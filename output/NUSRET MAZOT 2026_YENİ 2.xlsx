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2" autoFilterDateGrouping="1"/>
  </bookViews>
  <sheets>
    <sheet name="2025 MAZOT " sheetId="1" state="visible" r:id="rId1"/>
    <sheet name="2026 MAZOT" sheetId="2" state="visible" r:id="rId2"/>
    <sheet name="YİLMAZ MAZOT 2026" sheetId="3" state="visible" r:id="rId3"/>
    <sheet name="Sayfa1" sheetId="4" state="visible" r:id="rId4"/>
  </sheets>
  <externalReferences>
    <externalReference r:id="rId5"/>
  </externalReferences>
  <definedNames>
    <definedName name="_xlnm._FilterDatabase" localSheetId="0" hidden="1">'2025 MAZOT '!$A$1:$M$5053</definedName>
    <definedName name="_xlnm._FilterDatabase" localSheetId="1" hidden="1">'2026 MAZOT'!$A$1:$G$1170</definedName>
  </definedNames>
  <calcPr calcId="125725" fullCalcOnLoad="1"/>
</workbook>
</file>

<file path=xl/styles.xml><?xml version="1.0" encoding="utf-8"?>
<styleSheet xmlns="http://schemas.openxmlformats.org/spreadsheetml/2006/main">
  <numFmts count="8">
    <numFmt numFmtId="164" formatCode="#,##0.00\ \L\T"/>
    <numFmt numFmtId="165" formatCode="0.000"/>
    <numFmt numFmtId="166" formatCode="_-&quot;₺&quot;* #,##0.00_-;\-&quot;₺&quot;* #,##0.00_-;_-&quot;₺&quot;* &quot;-&quot;??_-;_-@_-"/>
    <numFmt numFmtId="167" formatCode="#,##0.00\ &quot;₺&quot;"/>
    <numFmt numFmtId="168" formatCode="dd/mm/yyyy;@"/>
    <numFmt numFmtId="169" formatCode="_-[$₺-41F]* #,##0.00_-;\-[$₺-41F]* #,##0.00_-;_-[$₺-41F]* &quot;-&quot;??_-;_-@_-"/>
    <numFmt numFmtId="170" formatCode="0.0000"/>
    <numFmt numFmtId="171" formatCode="dd/mm/yy;@"/>
  </numFmts>
  <fonts count="13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Tahoma"/>
      <charset val="162"/>
      <family val="2"/>
      <color indexed="81"/>
      <sz val="9"/>
    </font>
    <font>
      <name val="Tahoma"/>
      <charset val="162"/>
      <family val="2"/>
      <b val="1"/>
      <color indexed="81"/>
      <sz val="9"/>
    </font>
    <font>
      <name val="Calibri"/>
      <charset val="162"/>
      <family val="2"/>
      <sz val="8"/>
      <scheme val="minor"/>
    </font>
    <font>
      <name val="Calibri"/>
      <charset val="162"/>
      <family val="2"/>
      <color rgb="FF006100"/>
      <sz val="11"/>
      <scheme val="minor"/>
    </font>
    <font>
      <name val="Arial"/>
      <charset val="162"/>
      <family val="2"/>
      <sz val="11"/>
    </font>
    <font>
      <name val="Calibri"/>
      <charset val="162"/>
      <family val="2"/>
      <b val="1"/>
      <sz val="14"/>
      <scheme val="minor"/>
    </font>
    <font>
      <name val="Calibri"/>
      <charset val="162"/>
      <family val="2"/>
      <sz val="14"/>
      <scheme val="minor"/>
    </font>
    <font>
      <name val="Calibri"/>
      <family val="2"/>
      <sz val="11"/>
      <scheme val="minor"/>
    </font>
    <font>
      <name val="Calibri"/>
      <charset val="162"/>
      <family val="2"/>
      <color theme="1"/>
      <sz val="14"/>
      <scheme val="minor"/>
    </font>
    <font>
      <name val="Calibri"/>
      <family val="2"/>
      <sz val="14"/>
      <scheme val="minor"/>
    </font>
    <font>
      <name val="Arial"/>
      <charset val="162"/>
      <family val="2"/>
      <sz val="14"/>
    </font>
  </fonts>
  <fills count="1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1" fillId="0" borderId="0"/>
    <xf numFmtId="166" fontId="1" fillId="0" borderId="0"/>
    <xf numFmtId="0" fontId="5" fillId="2" borderId="0"/>
  </cellStyleXfs>
  <cellXfs count="186">
    <xf numFmtId="0" fontId="0" fillId="0" borderId="0" pivotButton="0" quotePrefix="0" xfId="0"/>
    <xf numFmtId="0" fontId="6" fillId="3" borderId="1" applyAlignment="1" pivotButton="0" quotePrefix="0" xfId="2">
      <alignment horizontal="center" vertical="center"/>
    </xf>
    <xf numFmtId="0" fontId="6" fillId="3" borderId="1" applyAlignment="1" pivotButton="0" quotePrefix="0" xfId="2">
      <alignment horizontal="left" vertical="center" indent="1"/>
    </xf>
    <xf numFmtId="3" fontId="6" fillId="3" borderId="1" applyAlignment="1" pivotButton="0" quotePrefix="0" xfId="2">
      <alignment horizontal="center" vertical="center"/>
    </xf>
    <xf numFmtId="164" fontId="6" fillId="3" borderId="1" applyAlignment="1" pivotButton="0" quotePrefix="0" xfId="2">
      <alignment horizontal="center" vertical="center"/>
    </xf>
    <xf numFmtId="165" fontId="6" fillId="3" borderId="1" applyAlignment="1" pivotButton="0" quotePrefix="0" xfId="2">
      <alignment horizontal="center" vertical="center"/>
    </xf>
    <xf numFmtId="166" fontId="6" fillId="3" borderId="1" applyAlignment="1" pivotButton="0" quotePrefix="0" xfId="2">
      <alignment horizontal="center" vertical="center"/>
    </xf>
    <xf numFmtId="166" fontId="6" fillId="3" borderId="1" applyAlignment="1" pivotButton="0" quotePrefix="0" xfId="1">
      <alignment horizontal="center" vertical="center"/>
    </xf>
    <xf numFmtId="0" fontId="6" fillId="3" borderId="0" applyAlignment="1" pivotButton="0" quotePrefix="0" xfId="0">
      <alignment horizontal="center" vertical="center"/>
    </xf>
    <xf numFmtId="14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166" fontId="6" fillId="3" borderId="0" applyAlignment="1" pivotButton="0" quotePrefix="0" xfId="1">
      <alignment horizontal="center" vertical="center"/>
    </xf>
    <xf numFmtId="164" fontId="6" fillId="3" borderId="0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166" fontId="6" fillId="3" borderId="1" applyAlignment="1" pivotButton="0" quotePrefix="0" xfId="1">
      <alignment horizontal="center" vertical="center" wrapText="1"/>
    </xf>
    <xf numFmtId="167" fontId="6" fillId="3" borderId="1" applyAlignment="1" pivotButton="0" quotePrefix="0" xfId="0">
      <alignment horizontal="center" vertical="center" wrapText="1"/>
    </xf>
    <xf numFmtId="14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3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7" fontId="6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168" fontId="6" fillId="3" borderId="1" applyAlignment="1" pivotButton="0" quotePrefix="0" xfId="0">
      <alignment horizontal="left" vertical="center" indent="1"/>
    </xf>
    <xf numFmtId="16" fontId="6" fillId="3" borderId="1" applyAlignment="1" pivotButton="0" quotePrefix="0" xfId="0">
      <alignment horizontal="center" vertical="center"/>
    </xf>
    <xf numFmtId="49" fontId="6" fillId="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3" fontId="6" fillId="3" borderId="2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168" fontId="7" fillId="4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169" fontId="7" fillId="4" borderId="1" applyAlignment="1" pivotButton="0" quotePrefix="0" xfId="1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168" fontId="7" fillId="5" borderId="1" applyAlignment="1" pivotButton="0" quotePrefix="0" xfId="0">
      <alignment horizontal="center" vertical="center"/>
    </xf>
    <xf numFmtId="1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164" fontId="7" fillId="5" borderId="1" pivotButton="0" quotePrefix="0" xfId="0"/>
    <xf numFmtId="165" fontId="7" fillId="5" borderId="1" applyAlignment="1" pivotButton="0" quotePrefix="0" xfId="0">
      <alignment horizontal="right" vertical="center" wrapText="1"/>
    </xf>
    <xf numFmtId="169" fontId="7" fillId="5" borderId="1" pivotButton="0" quotePrefix="0" xfId="1"/>
    <xf numFmtId="167" fontId="7" fillId="5" borderId="1" pivotButton="0" quotePrefix="0" xfId="0"/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3" fontId="8" fillId="3" borderId="1" applyAlignment="1" pivotButton="0" quotePrefix="0" xfId="0">
      <alignment horizontal="center"/>
    </xf>
    <xf numFmtId="164" fontId="8" fillId="3" borderId="1" pivotButton="0" quotePrefix="0" xfId="0"/>
    <xf numFmtId="2" fontId="8" fillId="0" borderId="1" applyAlignment="1" pivotButton="0" quotePrefix="0" xfId="0">
      <alignment horizontal="center"/>
    </xf>
    <xf numFmtId="165" fontId="8" fillId="0" borderId="1" pivotButton="0" quotePrefix="0" xfId="0"/>
    <xf numFmtId="0" fontId="9" fillId="0" borderId="1" pivotButton="0" quotePrefix="0" xfId="0"/>
    <xf numFmtId="167" fontId="8" fillId="3" borderId="1" pivotButton="0" quotePrefix="0" xfId="0"/>
    <xf numFmtId="167" fontId="8" fillId="6" borderId="1" pivotButton="0" quotePrefix="0" xfId="0"/>
    <xf numFmtId="0" fontId="0" fillId="0" borderId="1" pivotButton="0" quotePrefix="0" xfId="0"/>
    <xf numFmtId="164" fontId="10" fillId="0" borderId="1" pivotButton="0" quotePrefix="0" xfId="0"/>
    <xf numFmtId="164" fontId="10" fillId="0" borderId="0" pivotButton="0" quotePrefix="0" xfId="0"/>
    <xf numFmtId="0" fontId="10" fillId="0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3" fontId="10" fillId="0" borderId="1" applyAlignment="1" pivotButton="0" quotePrefix="0" xfId="0">
      <alignment horizontal="center"/>
    </xf>
    <xf numFmtId="3" fontId="10" fillId="0" borderId="0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164" fontId="10" fillId="0" borderId="0" pivotButton="0" quotePrefix="0" xfId="0"/>
    <xf numFmtId="4" fontId="0" fillId="0" borderId="1" pivotButton="0" quotePrefix="0" xfId="0"/>
    <xf numFmtId="170" fontId="7" fillId="4" borderId="1" applyAlignment="1" pivotButton="0" quotePrefix="0" xfId="0">
      <alignment horizontal="center" vertical="center" wrapText="1"/>
    </xf>
    <xf numFmtId="166" fontId="7" fillId="4" borderId="1" applyAlignment="1" pivotButton="0" quotePrefix="0" xfId="1">
      <alignment horizontal="center" vertical="center" wrapText="1"/>
    </xf>
    <xf numFmtId="168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 wrapText="1"/>
    </xf>
    <xf numFmtId="166" fontId="7" fillId="5" borderId="1" pivotButton="0" quotePrefix="0" xfId="1"/>
    <xf numFmtId="170" fontId="8" fillId="3" borderId="1" applyAlignment="1" pivotButton="0" quotePrefix="0" xfId="0">
      <alignment horizontal="right" vertical="center"/>
    </xf>
    <xf numFmtId="166" fontId="11" fillId="0" borderId="1" pivotButton="0" quotePrefix="0" xfId="1"/>
    <xf numFmtId="166" fontId="10" fillId="0" borderId="1" pivotButton="0" quotePrefix="0" xfId="1"/>
    <xf numFmtId="168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/>
    </xf>
    <xf numFmtId="3" fontId="8" fillId="7" borderId="1" applyAlignment="1" pivotButton="0" quotePrefix="0" xfId="0">
      <alignment horizontal="center"/>
    </xf>
    <xf numFmtId="164" fontId="8" fillId="7" borderId="1" pivotButton="0" quotePrefix="0" xfId="0"/>
    <xf numFmtId="170" fontId="8" fillId="7" borderId="1" pivotButton="0" quotePrefix="0" xfId="0"/>
    <xf numFmtId="166" fontId="11" fillId="7" borderId="1" pivotButton="0" quotePrefix="0" xfId="1"/>
    <xf numFmtId="167" fontId="8" fillId="7" borderId="1" pivotButton="0" quotePrefix="0" xfId="0"/>
    <xf numFmtId="170" fontId="10" fillId="0" borderId="1" pivotButton="0" quotePrefix="0" xfId="0"/>
    <xf numFmtId="0" fontId="12" fillId="3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/>
    </xf>
    <xf numFmtId="3" fontId="10" fillId="7" borderId="1" applyAlignment="1" pivotButton="0" quotePrefix="0" xfId="0">
      <alignment horizontal="center"/>
    </xf>
    <xf numFmtId="164" fontId="10" fillId="7" borderId="1" pivotButton="0" quotePrefix="0" xfId="0"/>
    <xf numFmtId="0" fontId="10" fillId="7" borderId="0" pivotButton="0" quotePrefix="0" xfId="0"/>
    <xf numFmtId="170" fontId="10" fillId="7" borderId="1" pivotButton="0" quotePrefix="0" xfId="0"/>
    <xf numFmtId="166" fontId="10" fillId="7" borderId="1" pivotButton="0" quotePrefix="0" xfId="1"/>
    <xf numFmtId="170" fontId="8" fillId="7" borderId="0" pivotButton="0" quotePrefix="0" xfId="0"/>
    <xf numFmtId="166" fontId="11" fillId="7" borderId="0" pivotButton="0" quotePrefix="0" xfId="1"/>
    <xf numFmtId="170" fontId="10" fillId="0" borderId="0" pivotButton="0" quotePrefix="0" xfId="0"/>
    <xf numFmtId="168" fontId="8" fillId="8" borderId="1" applyAlignment="1" pivotButton="0" quotePrefix="0" xfId="0">
      <alignment horizontal="center"/>
    </xf>
    <xf numFmtId="168" fontId="8" fillId="8" borderId="1" applyAlignment="1" pivotButton="0" quotePrefix="0" xfId="0">
      <alignment horizontal="left"/>
    </xf>
    <xf numFmtId="0" fontId="8" fillId="8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2" fontId="7" fillId="8" borderId="1" applyAlignment="1" pivotButton="0" quotePrefix="0" xfId="0">
      <alignment horizontal="center"/>
    </xf>
    <xf numFmtId="164" fontId="7" fillId="8" borderId="1" applyAlignment="1" pivotButton="0" quotePrefix="0" xfId="0">
      <alignment horizontal="center"/>
    </xf>
    <xf numFmtId="170" fontId="8" fillId="8" borderId="1" applyAlignment="1" pivotButton="0" quotePrefix="0" xfId="0">
      <alignment horizontal="right" vertical="center"/>
    </xf>
    <xf numFmtId="166" fontId="8" fillId="8" borderId="1" pivotButton="0" quotePrefix="0" xfId="1"/>
    <xf numFmtId="165" fontId="7" fillId="8" borderId="1" pivotButton="0" quotePrefix="0" xfId="0"/>
    <xf numFmtId="0" fontId="10" fillId="0" borderId="0" pivotButton="0" quotePrefix="0" xfId="0"/>
    <xf numFmtId="166" fontId="10" fillId="0" borderId="0" pivotButton="0" quotePrefix="0" xfId="1"/>
    <xf numFmtId="14" fontId="10" fillId="0" borderId="1" pivotButton="0" quotePrefix="0" xfId="0"/>
    <xf numFmtId="0" fontId="10" fillId="0" borderId="1" applyAlignment="1" pivotButton="0" quotePrefix="0" xfId="0">
      <alignment horizontal="center"/>
    </xf>
    <xf numFmtId="171" fontId="10" fillId="0" borderId="1" pivotButton="0" quotePrefix="0" xfId="0"/>
    <xf numFmtId="16" fontId="10" fillId="0" borderId="1" applyAlignment="1" pivotButton="0" quotePrefix="0" xfId="0">
      <alignment horizontal="center"/>
    </xf>
    <xf numFmtId="14" fontId="10" fillId="9" borderId="1" pivotButton="0" quotePrefix="0" xfId="0"/>
    <xf numFmtId="0" fontId="10" fillId="9" borderId="1" applyAlignment="1" pivotButton="0" quotePrefix="0" xfId="0">
      <alignment horizontal="center"/>
    </xf>
    <xf numFmtId="164" fontId="8" fillId="9" borderId="1" pivotButton="0" quotePrefix="0" xfId="0"/>
    <xf numFmtId="164" fontId="10" fillId="9" borderId="1" pivotButton="0" quotePrefix="0" xfId="0"/>
    <xf numFmtId="170" fontId="10" fillId="9" borderId="1" pivotButton="0" quotePrefix="0" xfId="0"/>
    <xf numFmtId="166" fontId="10" fillId="9" borderId="1" pivotButton="0" quotePrefix="0" xfId="1"/>
    <xf numFmtId="167" fontId="8" fillId="9" borderId="1" pivotButton="0" quotePrefix="0" xfId="0"/>
    <xf numFmtId="14" fontId="10" fillId="7" borderId="1" pivotButton="0" quotePrefix="0" xfId="0"/>
    <xf numFmtId="14" fontId="10" fillId="10" borderId="1" pivotButton="0" quotePrefix="0" xfId="0"/>
    <xf numFmtId="0" fontId="10" fillId="10" borderId="1" applyAlignment="1" pivotButton="0" quotePrefix="0" xfId="0">
      <alignment horizontal="center"/>
    </xf>
    <xf numFmtId="164" fontId="8" fillId="10" borderId="1" pivotButton="0" quotePrefix="0" xfId="0"/>
    <xf numFmtId="164" fontId="10" fillId="10" borderId="1" pivotButton="0" quotePrefix="0" xfId="0"/>
    <xf numFmtId="166" fontId="10" fillId="0" borderId="1" applyAlignment="1" pivotButton="0" quotePrefix="0" xfId="1">
      <alignment horizontal="center"/>
    </xf>
    <xf numFmtId="164" fontId="6" fillId="3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166" fontId="6" fillId="3" borderId="0" applyAlignment="1" pivotButton="0" quotePrefix="0" xfId="1">
      <alignment horizontal="center" vertical="center"/>
    </xf>
    <xf numFmtId="164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166" fontId="6" fillId="3" borderId="1" applyAlignment="1" pivotButton="0" quotePrefix="0" xfId="1">
      <alignment horizontal="center" vertical="center" wrapText="1"/>
    </xf>
    <xf numFmtId="167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1">
      <alignment horizontal="center" vertical="center"/>
    </xf>
    <xf numFmtId="167" fontId="6" fillId="3" borderId="1" applyAlignment="1" pivotButton="0" quotePrefix="0" xfId="0">
      <alignment horizontal="center" vertical="center"/>
    </xf>
    <xf numFmtId="168" fontId="6" fillId="3" borderId="1" applyAlignment="1" pivotButton="0" quotePrefix="0" xfId="0">
      <alignment horizontal="left" vertical="center" indent="1"/>
    </xf>
    <xf numFmtId="164" fontId="6" fillId="3" borderId="1" applyAlignment="1" pivotButton="0" quotePrefix="0" xfId="2">
      <alignment horizontal="center" vertical="center"/>
    </xf>
    <xf numFmtId="165" fontId="6" fillId="3" borderId="1" applyAlignment="1" pivotButton="0" quotePrefix="0" xfId="2">
      <alignment horizontal="center" vertical="center"/>
    </xf>
    <xf numFmtId="166" fontId="6" fillId="3" borderId="1" applyAlignment="1" pivotButton="0" quotePrefix="0" xfId="2">
      <alignment horizontal="center" vertical="center"/>
    </xf>
    <xf numFmtId="164" fontId="10" fillId="0" borderId="0" pivotButton="0" quotePrefix="0" xfId="0"/>
    <xf numFmtId="168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168" fontId="7" fillId="5" borderId="1" applyAlignment="1" pivotButton="0" quotePrefix="0" xfId="0">
      <alignment horizontal="center" vertical="center"/>
    </xf>
    <xf numFmtId="164" fontId="10" fillId="0" borderId="1" pivotButton="0" quotePrefix="0" xfId="0"/>
    <xf numFmtId="164" fontId="7" fillId="5" borderId="1" pivotButton="0" quotePrefix="0" xfId="0"/>
    <xf numFmtId="165" fontId="7" fillId="5" borderId="1" applyAlignment="1" pivotButton="0" quotePrefix="0" xfId="0">
      <alignment horizontal="right" vertical="center" wrapText="1"/>
    </xf>
    <xf numFmtId="167" fontId="7" fillId="5" borderId="1" pivotButton="0" quotePrefix="0" xfId="0"/>
    <xf numFmtId="164" fontId="8" fillId="3" borderId="1" pivotButton="0" quotePrefix="0" xfId="0"/>
    <xf numFmtId="165" fontId="8" fillId="0" borderId="1" pivotButton="0" quotePrefix="0" xfId="0"/>
    <xf numFmtId="167" fontId="8" fillId="3" borderId="1" pivotButton="0" quotePrefix="0" xfId="0"/>
    <xf numFmtId="167" fontId="8" fillId="6" borderId="1" pivotButton="0" quotePrefix="0" xfId="0"/>
    <xf numFmtId="164" fontId="7" fillId="5" borderId="1" applyAlignment="1" pivotButton="0" quotePrefix="0" xfId="0">
      <alignment horizontal="center" vertical="center" wrapText="1"/>
    </xf>
    <xf numFmtId="166" fontId="10" fillId="0" borderId="0" pivotButton="0" quotePrefix="0" xfId="1"/>
    <xf numFmtId="166" fontId="7" fillId="4" borderId="1" applyAlignment="1" pivotButton="0" quotePrefix="0" xfId="1">
      <alignment horizontal="center" vertical="center" wrapText="1"/>
    </xf>
    <xf numFmtId="168" fontId="7" fillId="5" borderId="1" applyAlignment="1" pivotButton="0" quotePrefix="0" xfId="0">
      <alignment horizontal="left" vertical="center"/>
    </xf>
    <xf numFmtId="166" fontId="7" fillId="5" borderId="1" pivotButton="0" quotePrefix="0" xfId="1"/>
    <xf numFmtId="166" fontId="11" fillId="0" borderId="1" pivotButton="0" quotePrefix="0" xfId="1"/>
    <xf numFmtId="166" fontId="10" fillId="0" borderId="1" pivotButton="0" quotePrefix="0" xfId="1"/>
    <xf numFmtId="168" fontId="7" fillId="7" borderId="1" applyAlignment="1" pivotButton="0" quotePrefix="0" xfId="0">
      <alignment horizontal="center" vertical="center"/>
    </xf>
    <xf numFmtId="164" fontId="8" fillId="7" borderId="1" pivotButton="0" quotePrefix="0" xfId="0"/>
    <xf numFmtId="166" fontId="11" fillId="7" borderId="1" pivotButton="0" quotePrefix="0" xfId="1"/>
    <xf numFmtId="167" fontId="8" fillId="7" borderId="1" pivotButton="0" quotePrefix="0" xfId="0"/>
    <xf numFmtId="164" fontId="10" fillId="7" borderId="1" pivotButton="0" quotePrefix="0" xfId="0"/>
    <xf numFmtId="166" fontId="10" fillId="7" borderId="1" pivotButton="0" quotePrefix="0" xfId="1"/>
    <xf numFmtId="166" fontId="11" fillId="7" borderId="0" pivotButton="0" quotePrefix="0" xfId="1"/>
    <xf numFmtId="164" fontId="8" fillId="9" borderId="1" pivotButton="0" quotePrefix="0" xfId="0"/>
    <xf numFmtId="164" fontId="10" fillId="9" borderId="1" pivotButton="0" quotePrefix="0" xfId="0"/>
    <xf numFmtId="166" fontId="10" fillId="9" borderId="1" pivotButton="0" quotePrefix="0" xfId="1"/>
    <xf numFmtId="167" fontId="8" fillId="9" borderId="1" pivotButton="0" quotePrefix="0" xfId="0"/>
    <xf numFmtId="164" fontId="8" fillId="10" borderId="1" pivotButton="0" quotePrefix="0" xfId="0"/>
    <xf numFmtId="164" fontId="10" fillId="10" borderId="1" pivotButton="0" quotePrefix="0" xfId="0"/>
    <xf numFmtId="166" fontId="10" fillId="0" borderId="1" applyAlignment="1" pivotButton="0" quotePrefix="0" xfId="1">
      <alignment horizontal="center"/>
    </xf>
    <xf numFmtId="168" fontId="8" fillId="8" borderId="1" applyAlignment="1" pivotButton="0" quotePrefix="0" xfId="0">
      <alignment horizontal="center"/>
    </xf>
    <xf numFmtId="168" fontId="8" fillId="8" borderId="1" applyAlignment="1" pivotButton="0" quotePrefix="0" xfId="0">
      <alignment horizontal="left"/>
    </xf>
    <xf numFmtId="164" fontId="7" fillId="8" borderId="1" applyAlignment="1" pivotButton="0" quotePrefix="0" xfId="0">
      <alignment horizontal="center"/>
    </xf>
    <xf numFmtId="166" fontId="8" fillId="8" borderId="1" pivotButton="0" quotePrefix="0" xfId="1"/>
    <xf numFmtId="165" fontId="7" fillId="8" borderId="1" pivotButton="0" quotePrefix="0" xfId="0"/>
  </cellXfs>
  <cellStyles count="3">
    <cellStyle name="Normal" xfId="0" builtinId="0"/>
    <cellStyle name="ParaBirimi" xfId="1" builtinId="4"/>
    <cellStyle name="İyi" xfId="2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AGA HAFRİYAT</author>
    <author>Nusret</author>
    <author>Sumeyra Selim Demirsoy</author>
  </authors>
  <commentList>
    <comment ref="C249" authorId="0" shapeId="0">
      <text>
        <t xml:space="preserve">AGA HAFRİYAT:
Çetin' den aldığım nakliye fişleri 300 Adet 
300*65 
19500lt 
(detay yılmaz çelebi)
06.03.2025 işlem tarihi
</t>
      </text>
    </comment>
    <comment ref="C724" authorId="0" shapeId="0">
      <text>
        <t>AGA HAFRİYAT:
Çetin' den aldığım nakliye fişleri 300 Adet 
300*65 
19500lt 
(detay yılmaz çelebi)
06.03.2025 işlem tarihi</t>
      </text>
    </comment>
    <comment ref="E1295" authorId="1" shapeId="0">
      <text>
        <t xml:space="preserve">Nusret:
365 ADET 
365*65
23725
NAKLİYE 
ÇETİN ŞİRİN İN NOTU BU ŞEKİLDE
</t>
      </text>
    </comment>
    <comment ref="F2821" authorId="2" shapeId="0">
      <text>
        <t xml:space="preserve">Sumeyra Selim Demirsoy:
KİLOMETRE BOZUK </t>
      </text>
    </comment>
    <comment ref="F2958" authorId="2" shapeId="0">
      <text>
        <t>Sumeyra Selim Demirsoy:
KİLOMETRE BOZUK (NUSRET)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\Ayse\CAR&#304;LER\MAZOT%20TAK&#304;P\2025%20MAZO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ZOT LİSTESİ"/>
      <sheetName val="TEMHA"/>
      <sheetName val="ENES"/>
      <sheetName val="KAZIK"/>
      <sheetName val="CEMAL"/>
      <sheetName val="KİRALIK"/>
      <sheetName val="METİN ERYİĞİT"/>
      <sheetName val="MAHMUT"/>
      <sheetName val="RECEP SELİM"/>
      <sheetName val="FAHRİ"/>
      <sheetName val="OYARSU"/>
      <sheetName val="AZGÜN"/>
      <sheetName val="MŞİRİN"/>
      <sheetName val="GÜLLÜK"/>
    </sheetNames>
    <sheetDataSet>
      <sheetData sheetId="0">
        <row r="7353">
          <cell r="I7353">
            <v>52526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eması">
  <a:themeElements>
    <a:clrScheme name="Cumba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62"/>
  <sheetViews>
    <sheetView topLeftCell="F1" zoomScale="130" zoomScaleNormal="130" workbookViewId="0">
      <pane ySplit="1" topLeftCell="A5028" activePane="bottomLeft" state="frozen"/>
      <selection pane="bottomLeft" activeCell="L5039" sqref="L5039:L5047"/>
    </sheetView>
  </sheetViews>
  <sheetFormatPr baseColWidth="8" defaultColWidth="9.109375" defaultRowHeight="13.8"/>
  <cols>
    <col width="15.44140625" bestFit="1" customWidth="1" style="9" min="1" max="1"/>
    <col width="14.44140625" bestFit="1" customWidth="1" style="8" min="2" max="2"/>
    <col width="19.44140625" customWidth="1" style="10" min="3" max="3"/>
    <col width="28.44140625" bestFit="1" customWidth="1" style="8" min="4" max="4"/>
    <col width="34.88671875" bestFit="1" customWidth="1" style="8" min="5" max="5"/>
    <col width="12.88671875" bestFit="1" customWidth="1" style="8" min="6" max="6"/>
    <col width="18" bestFit="1" customWidth="1" style="131" min="7" max="7"/>
    <col width="18" bestFit="1" customWidth="1" style="8" min="8" max="8"/>
    <col width="19.5546875" bestFit="1" customWidth="1" style="8" min="9" max="9"/>
    <col width="19.5546875" bestFit="1" customWidth="1" style="132" min="10" max="10"/>
    <col width="23.5546875" bestFit="1" customWidth="1" style="133" min="11" max="11"/>
    <col width="19.88671875" bestFit="1" customWidth="1" style="133" min="12" max="12"/>
    <col width="20.44140625" customWidth="1" style="8" min="13" max="13"/>
    <col width="9.109375" customWidth="1" style="8" min="14" max="16384"/>
  </cols>
  <sheetData>
    <row r="1" ht="57.75" customHeight="1">
      <c r="A1" s="13" t="inlineStr">
        <is>
          <t>TARİH</t>
        </is>
      </c>
      <c r="B1" s="14" t="inlineStr">
        <is>
          <t>FATURA NO</t>
        </is>
      </c>
      <c r="C1" s="15" t="inlineStr">
        <is>
          <t>FİRMA</t>
        </is>
      </c>
      <c r="D1" s="14" t="inlineStr">
        <is>
          <t>ARAÇ PLAKASI</t>
        </is>
      </c>
      <c r="E1" s="14" t="inlineStr">
        <is>
          <t>ADI SOYADI</t>
        </is>
      </c>
      <c r="F1" s="14" t="inlineStr">
        <is>
          <t xml:space="preserve">ARAÇ KM </t>
        </is>
      </c>
      <c r="G1" s="134" t="inlineStr">
        <is>
          <t>ALINAN LİTRE</t>
        </is>
      </c>
      <c r="H1" s="134" t="inlineStr">
        <is>
          <t>VERİLEN LİTRE</t>
        </is>
      </c>
      <c r="I1" s="134" t="inlineStr">
        <is>
          <t>LİTRE BAKİYE</t>
        </is>
      </c>
      <c r="J1" s="135" t="inlineStr">
        <is>
          <t>LİTRE TL</t>
        </is>
      </c>
      <c r="K1" s="136" t="inlineStr">
        <is>
          <t>FATURA GELEN MZT TL</t>
        </is>
      </c>
      <c r="L1" s="136" t="inlineStr">
        <is>
          <t>VERİLEN MZT TL</t>
        </is>
      </c>
      <c r="M1" s="137" t="inlineStr">
        <is>
          <t>TL BAKİYE</t>
        </is>
      </c>
    </row>
    <row r="2">
      <c r="A2" s="20" t="n">
        <v>9080</v>
      </c>
      <c r="B2" s="21" t="n">
        <v>14782</v>
      </c>
      <c r="C2" s="22" t="inlineStr">
        <is>
          <t>SELİM İNŞAAT</t>
        </is>
      </c>
      <c r="D2" s="21" t="inlineStr">
        <is>
          <t>34 GYZ 635</t>
        </is>
      </c>
      <c r="E2" s="21" t="inlineStr">
        <is>
          <t>ENGİN DEMİR</t>
        </is>
      </c>
      <c r="F2" s="23" t="n">
        <v>187655</v>
      </c>
      <c r="G2" s="138" t="n"/>
      <c r="H2" s="138" t="n">
        <v>497</v>
      </c>
      <c r="I2" s="138">
        <f>+I1+(G2-H2)</f>
        <v/>
      </c>
      <c r="J2" s="139" t="n"/>
      <c r="K2" s="140" t="n"/>
      <c r="L2" s="140">
        <f>+H2*J2</f>
        <v/>
      </c>
      <c r="M2" s="141">
        <f>SUM(M1+K2-L2)</f>
        <v/>
      </c>
    </row>
    <row r="3">
      <c r="A3" s="20" t="n">
        <v>45658</v>
      </c>
      <c r="B3" s="27" t="n">
        <v>1</v>
      </c>
      <c r="C3" s="142" t="inlineStr">
        <is>
          <t>2024 DEVREDEN BAKİYE</t>
        </is>
      </c>
      <c r="D3" s="27" t="n"/>
      <c r="E3" s="21" t="n"/>
      <c r="F3" s="23" t="n"/>
      <c r="G3" s="134" t="n"/>
      <c r="H3" s="134" t="n"/>
      <c r="I3" s="138" t="n">
        <v>75055</v>
      </c>
      <c r="J3" s="135" t="n">
        <v>36</v>
      </c>
      <c r="K3" s="140" t="n"/>
      <c r="L3" s="140">
        <f>+J3*H3</f>
        <v/>
      </c>
      <c r="M3" s="141" t="n">
        <v>0</v>
      </c>
    </row>
    <row r="4">
      <c r="A4" s="20" t="n">
        <v>45658</v>
      </c>
      <c r="B4" s="21" t="n">
        <v>21121</v>
      </c>
      <c r="C4" s="22" t="inlineStr">
        <is>
          <t>SELİM İNŞAAT</t>
        </is>
      </c>
      <c r="D4" s="21" t="inlineStr">
        <is>
          <t>34 TG 7869</t>
        </is>
      </c>
      <c r="E4" s="21" t="inlineStr">
        <is>
          <t>GÖRKEM KARABEL</t>
        </is>
      </c>
      <c r="F4" s="23" t="n">
        <v>178233</v>
      </c>
      <c r="G4" s="138" t="n"/>
      <c r="H4" s="138" t="n">
        <v>174</v>
      </c>
      <c r="I4" s="138">
        <f>+I3+(G4-H4)</f>
        <v/>
      </c>
      <c r="J4" s="139" t="n">
        <v>38.78</v>
      </c>
      <c r="K4" s="140" t="n"/>
      <c r="L4" s="140">
        <f>+H4*J4</f>
        <v/>
      </c>
      <c r="M4" s="141">
        <f>SUM(M3+K4-L4)</f>
        <v/>
      </c>
    </row>
    <row r="5">
      <c r="A5" s="20" t="n">
        <v>45658</v>
      </c>
      <c r="B5" s="21" t="n">
        <v>11873</v>
      </c>
      <c r="C5" s="22" t="inlineStr">
        <is>
          <t>SELİM İNŞAAT</t>
        </is>
      </c>
      <c r="D5" s="21" t="inlineStr">
        <is>
          <t>34 DFE 454</t>
        </is>
      </c>
      <c r="E5" s="21" t="inlineStr">
        <is>
          <t>HASAN BAYCAN</t>
        </is>
      </c>
      <c r="F5" s="23" t="n">
        <v>153177</v>
      </c>
      <c r="G5" s="138" t="n"/>
      <c r="H5" s="138" t="n">
        <v>139</v>
      </c>
      <c r="I5" s="138">
        <f>+I4+(G5-H5)</f>
        <v/>
      </c>
      <c r="J5" s="139" t="n">
        <v>38.78</v>
      </c>
      <c r="K5" s="140" t="n"/>
      <c r="L5" s="140">
        <f>+H5*J5</f>
        <v/>
      </c>
      <c r="M5" s="141">
        <f>SUM(M4+K5-L5)</f>
        <v/>
      </c>
    </row>
    <row r="6">
      <c r="A6" s="20" t="n">
        <v>45658</v>
      </c>
      <c r="B6" s="21" t="n">
        <v>10854</v>
      </c>
      <c r="C6" s="22" t="inlineStr">
        <is>
          <t>SELİM İNŞAAT</t>
        </is>
      </c>
      <c r="D6" s="21" t="inlineStr">
        <is>
          <t>34 AR 7743</t>
        </is>
      </c>
      <c r="E6" s="21" t="inlineStr">
        <is>
          <t>MEHMET SELİM</t>
        </is>
      </c>
      <c r="F6" s="23" t="n">
        <v>348858</v>
      </c>
      <c r="G6" s="138" t="n"/>
      <c r="H6" s="138" t="n">
        <v>39</v>
      </c>
      <c r="I6" s="138">
        <f>+I5+(G6-H6)</f>
        <v/>
      </c>
      <c r="J6" s="139" t="n">
        <v>38.78</v>
      </c>
      <c r="K6" s="140" t="n"/>
      <c r="L6" s="140">
        <f>+H6*J6</f>
        <v/>
      </c>
      <c r="M6" s="141">
        <f>SUM(M5+K6-L6)</f>
        <v/>
      </c>
    </row>
    <row r="7">
      <c r="A7" s="20" t="n">
        <v>45658</v>
      </c>
      <c r="B7" s="21" t="n">
        <v>16098</v>
      </c>
      <c r="C7" s="22" t="inlineStr">
        <is>
          <t>SELİM İNŞAAT</t>
        </is>
      </c>
      <c r="D7" s="21" t="inlineStr">
        <is>
          <t>34 GU 945</t>
        </is>
      </c>
      <c r="E7" s="21" t="inlineStr">
        <is>
          <t>ABDURRAHMAN SERDAN</t>
        </is>
      </c>
      <c r="F7" s="23" t="n">
        <v>435152</v>
      </c>
      <c r="G7" s="138" t="n"/>
      <c r="H7" s="138" t="n">
        <v>47</v>
      </c>
      <c r="I7" s="138">
        <f>+I6+(G7-H7)</f>
        <v/>
      </c>
      <c r="J7" s="139" t="n">
        <v>38.78</v>
      </c>
      <c r="K7" s="140" t="n"/>
      <c r="L7" s="140">
        <f>+H7*J7</f>
        <v/>
      </c>
      <c r="M7" s="141">
        <f>SUM(M6+K7-L7)</f>
        <v/>
      </c>
    </row>
    <row r="8">
      <c r="A8" s="20" t="n">
        <v>45658</v>
      </c>
      <c r="B8" s="1" t="n">
        <v>10482</v>
      </c>
      <c r="C8" s="2" t="inlineStr">
        <is>
          <t>VARLIK</t>
        </is>
      </c>
      <c r="D8" s="1" t="inlineStr">
        <is>
          <t>SM 300</t>
        </is>
      </c>
      <c r="E8" s="1" t="inlineStr">
        <is>
          <t>TURGUT SANCAK</t>
        </is>
      </c>
      <c r="F8" s="3" t="n"/>
      <c r="G8" s="143" t="n"/>
      <c r="H8" s="143" t="n">
        <v>395</v>
      </c>
      <c r="I8" s="143">
        <f>+I7+(G8-H8)</f>
        <v/>
      </c>
      <c r="J8" s="144" t="n">
        <v>38.78</v>
      </c>
      <c r="K8" s="145" t="n"/>
      <c r="L8" s="140">
        <f>+H8*J8</f>
        <v/>
      </c>
      <c r="M8" s="141">
        <f>SUM(M7+K8-L8)</f>
        <v/>
      </c>
    </row>
    <row r="9">
      <c r="A9" s="20" t="n">
        <v>45658</v>
      </c>
      <c r="B9" s="1" t="n">
        <v>10483</v>
      </c>
      <c r="C9" s="2" t="inlineStr">
        <is>
          <t>VARLIK</t>
        </is>
      </c>
      <c r="D9" s="1" t="inlineStr">
        <is>
          <t>SM 350</t>
        </is>
      </c>
      <c r="E9" s="1" t="inlineStr">
        <is>
          <t>BAYRAM SANCAK</t>
        </is>
      </c>
      <c r="F9" s="3" t="n"/>
      <c r="G9" s="143" t="n"/>
      <c r="H9" s="143" t="n">
        <v>280</v>
      </c>
      <c r="I9" s="143">
        <f>+I8+(G9-H9)</f>
        <v/>
      </c>
      <c r="J9" s="144" t="n">
        <v>38.78</v>
      </c>
      <c r="K9" s="145" t="n"/>
      <c r="L9" s="140">
        <f>+H9*J9</f>
        <v/>
      </c>
      <c r="M9" s="141">
        <f>SUM(M8+K9-L9)</f>
        <v/>
      </c>
    </row>
    <row r="10">
      <c r="A10" s="20" t="n">
        <v>45658</v>
      </c>
      <c r="B10" s="1" t="n">
        <v>10484</v>
      </c>
      <c r="C10" s="2" t="inlineStr">
        <is>
          <t>HASALTUN</t>
        </is>
      </c>
      <c r="D10" s="1" t="inlineStr">
        <is>
          <t>SM 370</t>
        </is>
      </c>
      <c r="E10" s="1" t="inlineStr">
        <is>
          <t>RAMAZAN KAYA</t>
        </is>
      </c>
      <c r="F10" s="3" t="n"/>
      <c r="G10" s="143" t="n"/>
      <c r="H10" s="143" t="n">
        <v>371</v>
      </c>
      <c r="I10" s="143">
        <f>+I9+(G10-H10)</f>
        <v/>
      </c>
      <c r="J10" s="144" t="n">
        <v>38.78</v>
      </c>
      <c r="K10" s="145" t="n"/>
      <c r="L10" s="140">
        <f>+H10*J10</f>
        <v/>
      </c>
      <c r="M10" s="141">
        <f>SUM(M9+K10-L10)</f>
        <v/>
      </c>
    </row>
    <row r="11">
      <c r="A11" s="20" t="n">
        <v>45658</v>
      </c>
      <c r="B11" s="1" t="n">
        <v>10485</v>
      </c>
      <c r="C11" s="2" t="inlineStr">
        <is>
          <t>HASALTUN</t>
        </is>
      </c>
      <c r="D11" s="1" t="inlineStr">
        <is>
          <t>SM 350</t>
        </is>
      </c>
      <c r="E11" s="1" t="inlineStr">
        <is>
          <t>TEVFİK ÖZTÜRK</t>
        </is>
      </c>
      <c r="F11" s="3" t="n"/>
      <c r="G11" s="143" t="n"/>
      <c r="H11" s="143" t="n">
        <v>400</v>
      </c>
      <c r="I11" s="143">
        <f>+I10+(G11-H11)</f>
        <v/>
      </c>
      <c r="J11" s="144" t="n">
        <v>38.78</v>
      </c>
      <c r="K11" s="145" t="n"/>
      <c r="L11" s="140">
        <f>+H11*J11</f>
        <v/>
      </c>
      <c r="M11" s="141">
        <f>SUM(M10+K11-L11)</f>
        <v/>
      </c>
    </row>
    <row r="12">
      <c r="A12" s="20" t="n">
        <v>45659</v>
      </c>
      <c r="B12" s="21" t="n">
        <v>11679</v>
      </c>
      <c r="C12" s="22" t="inlineStr">
        <is>
          <t>METİN ERYİĞİT</t>
        </is>
      </c>
      <c r="D12" s="21" t="inlineStr">
        <is>
          <t>34 GBL 998</t>
        </is>
      </c>
      <c r="E12" s="21" t="inlineStr">
        <is>
          <t>ALİ KESKİN</t>
        </is>
      </c>
      <c r="F12" s="23" t="n">
        <v>230308</v>
      </c>
      <c r="G12" s="138" t="n"/>
      <c r="H12" s="138" t="n">
        <v>209</v>
      </c>
      <c r="I12" s="138">
        <f>+I11+(G12-H12)</f>
        <v/>
      </c>
      <c r="J12" s="139" t="n">
        <v>38.78</v>
      </c>
      <c r="K12" s="140" t="n"/>
      <c r="L12" s="140">
        <f>+H12*J12</f>
        <v/>
      </c>
      <c r="M12" s="141">
        <f>SUM(M11+K12-L12)</f>
        <v/>
      </c>
    </row>
    <row r="13">
      <c r="A13" s="20" t="n">
        <v>45659</v>
      </c>
      <c r="B13" s="21" t="n">
        <v>21249</v>
      </c>
      <c r="C13" s="22" t="inlineStr">
        <is>
          <t>METİN ŞİRİN</t>
        </is>
      </c>
      <c r="D13" s="21" t="inlineStr">
        <is>
          <t>34 EGR 922</t>
        </is>
      </c>
      <c r="E13" s="21" t="inlineStr">
        <is>
          <t>GÜRAY KOYUNCU</t>
        </is>
      </c>
      <c r="F13" s="23" t="n">
        <v>426142</v>
      </c>
      <c r="G13" s="138" t="n"/>
      <c r="H13" s="138" t="n">
        <v>376</v>
      </c>
      <c r="I13" s="138">
        <f>+I12+(G13-H13)</f>
        <v/>
      </c>
      <c r="J13" s="139" t="n">
        <v>38.78</v>
      </c>
      <c r="K13" s="140" t="n"/>
      <c r="L13" s="140">
        <f>+H13*J13</f>
        <v/>
      </c>
      <c r="M13" s="141">
        <f>SUM(M12+K13-L13)</f>
        <v/>
      </c>
    </row>
    <row r="14">
      <c r="A14" s="20" t="n">
        <v>45659</v>
      </c>
      <c r="B14" s="21" t="n">
        <v>11706</v>
      </c>
      <c r="C14" s="22" t="inlineStr">
        <is>
          <t>SELİM İNŞAAT</t>
        </is>
      </c>
      <c r="D14" s="21" t="inlineStr">
        <is>
          <t>34 EDB 559</t>
        </is>
      </c>
      <c r="E14" s="21" t="inlineStr">
        <is>
          <t>CEM MUHTAR</t>
        </is>
      </c>
      <c r="F14" s="23" t="n">
        <v>297559</v>
      </c>
      <c r="G14" s="138" t="n"/>
      <c r="H14" s="138" t="n">
        <v>383</v>
      </c>
      <c r="I14" s="138">
        <f>+I13+(G14-H14)</f>
        <v/>
      </c>
      <c r="J14" s="139" t="n">
        <v>38.78</v>
      </c>
      <c r="K14" s="140" t="n"/>
      <c r="L14" s="140">
        <f>+H14*J14</f>
        <v/>
      </c>
      <c r="M14" s="141">
        <f>SUM(M13+K14-L14)</f>
        <v/>
      </c>
    </row>
    <row r="15">
      <c r="A15" s="20" t="n">
        <v>45659</v>
      </c>
      <c r="B15" s="21" t="n">
        <v>11151</v>
      </c>
      <c r="C15" s="22" t="inlineStr">
        <is>
          <t>SELİM İNŞAAT</t>
        </is>
      </c>
      <c r="D15" s="21" t="inlineStr">
        <is>
          <t>34 HZ 1663</t>
        </is>
      </c>
      <c r="E15" s="21" t="inlineStr">
        <is>
          <t>ÖNER DÜNDAR</t>
        </is>
      </c>
      <c r="F15" s="23" t="n">
        <v>516692</v>
      </c>
      <c r="G15" s="138" t="n"/>
      <c r="H15" s="138" t="n">
        <v>425</v>
      </c>
      <c r="I15" s="138">
        <f>+I14+(G15-H15)</f>
        <v/>
      </c>
      <c r="J15" s="139" t="n">
        <v>38.78</v>
      </c>
      <c r="K15" s="140" t="n"/>
      <c r="L15" s="140">
        <f>+H15*J15</f>
        <v/>
      </c>
      <c r="M15" s="141">
        <f>SUM(M14+K15-L15)</f>
        <v/>
      </c>
    </row>
    <row r="16">
      <c r="A16" s="20" t="n">
        <v>45659</v>
      </c>
      <c r="B16" s="21" t="n">
        <v>21608</v>
      </c>
      <c r="C16" s="22" t="inlineStr">
        <is>
          <t>SELİM İNŞAAT</t>
        </is>
      </c>
      <c r="D16" s="21" t="inlineStr">
        <is>
          <t>34 DHC 467</t>
        </is>
      </c>
      <c r="E16" s="21" t="inlineStr">
        <is>
          <t xml:space="preserve">ONUR CANLI </t>
        </is>
      </c>
      <c r="F16" s="23" t="n">
        <v>392865</v>
      </c>
      <c r="G16" s="138" t="n"/>
      <c r="H16" s="138" t="n">
        <v>240</v>
      </c>
      <c r="I16" s="138">
        <f>+I15+(G16-H16)</f>
        <v/>
      </c>
      <c r="J16" s="139" t="n">
        <v>38.78</v>
      </c>
      <c r="K16" s="140" t="n"/>
      <c r="L16" s="140">
        <f>+H16*J16</f>
        <v/>
      </c>
      <c r="M16" s="141">
        <f>SUM(M15+K16-L16)</f>
        <v/>
      </c>
    </row>
    <row r="17">
      <c r="A17" s="20" t="n">
        <v>45659</v>
      </c>
      <c r="B17" s="21" t="n">
        <v>21183</v>
      </c>
      <c r="C17" s="22" t="inlineStr">
        <is>
          <t>SELİM İNŞAAT</t>
        </is>
      </c>
      <c r="D17" s="21" t="inlineStr">
        <is>
          <t>34 DSN 565</t>
        </is>
      </c>
      <c r="E17" s="21" t="inlineStr">
        <is>
          <t>MUHAMMER ÇAMLI</t>
        </is>
      </c>
      <c r="F17" s="23" t="n">
        <v>382543</v>
      </c>
      <c r="G17" s="138" t="n"/>
      <c r="H17" s="138" t="n">
        <v>203</v>
      </c>
      <c r="I17" s="138">
        <f>+I16+(G17-H17)</f>
        <v/>
      </c>
      <c r="J17" s="139" t="n">
        <v>38.78</v>
      </c>
      <c r="K17" s="140" t="n"/>
      <c r="L17" s="140">
        <f>+H17*J17</f>
        <v/>
      </c>
      <c r="M17" s="141">
        <f>SUM(M16+K17-L17)</f>
        <v/>
      </c>
    </row>
    <row r="18">
      <c r="A18" s="20" t="n">
        <v>45659</v>
      </c>
      <c r="B18" s="21" t="n">
        <v>21467</v>
      </c>
      <c r="C18" s="22" t="inlineStr">
        <is>
          <t>SELİM İNŞAAT</t>
        </is>
      </c>
      <c r="D18" s="21" t="inlineStr">
        <is>
          <t>34 GYZ 635</t>
        </is>
      </c>
      <c r="E18" s="21" t="inlineStr">
        <is>
          <t>ENGİN DEMİR</t>
        </is>
      </c>
      <c r="F18" s="23" t="n">
        <v>141975</v>
      </c>
      <c r="G18" s="138" t="n"/>
      <c r="H18" s="138" t="n">
        <v>276</v>
      </c>
      <c r="I18" s="138">
        <f>+I17+(G18-H18)</f>
        <v/>
      </c>
      <c r="J18" s="139" t="n">
        <v>38.78</v>
      </c>
      <c r="K18" s="140" t="n"/>
      <c r="L18" s="140">
        <f>+H18*J18</f>
        <v/>
      </c>
      <c r="M18" s="141">
        <f>SUM(M17+K18-L18)</f>
        <v/>
      </c>
    </row>
    <row r="19">
      <c r="A19" s="20" t="n">
        <v>45659</v>
      </c>
      <c r="B19" s="21" t="n">
        <v>10502</v>
      </c>
      <c r="C19" s="22" t="inlineStr">
        <is>
          <t>SELİM İNŞAAT</t>
        </is>
      </c>
      <c r="D19" s="21" t="inlineStr">
        <is>
          <t>34 EDB 922</t>
        </is>
      </c>
      <c r="E19" s="21" t="inlineStr">
        <is>
          <t>AHMET TOPÇU</t>
        </is>
      </c>
      <c r="F19" s="23" t="n">
        <v>326400</v>
      </c>
      <c r="G19" s="138" t="n"/>
      <c r="H19" s="138" t="n">
        <v>237</v>
      </c>
      <c r="I19" s="138">
        <f>+I18+(G19-H19)</f>
        <v/>
      </c>
      <c r="J19" s="139" t="n">
        <v>38.78</v>
      </c>
      <c r="K19" s="140" t="n"/>
      <c r="L19" s="140">
        <f>+H19*J19</f>
        <v/>
      </c>
      <c r="M19" s="141">
        <f>SUM(M18+K19-L19)</f>
        <v/>
      </c>
    </row>
    <row r="20">
      <c r="A20" s="20" t="n">
        <v>45659</v>
      </c>
      <c r="B20" s="21" t="n">
        <v>20847</v>
      </c>
      <c r="C20" s="22" t="inlineStr">
        <is>
          <t>SELİM İNŞAAT</t>
        </is>
      </c>
      <c r="D20" s="21" t="inlineStr">
        <is>
          <t>34 FSG 229</t>
        </is>
      </c>
      <c r="E20" s="21" t="inlineStr">
        <is>
          <t>SİNAN TANRIVERDİ</t>
        </is>
      </c>
      <c r="F20" s="23" t="n">
        <v>226296</v>
      </c>
      <c r="G20" s="138" t="n"/>
      <c r="H20" s="138" t="n">
        <v>454</v>
      </c>
      <c r="I20" s="138">
        <f>+I19+(G20-H20)</f>
        <v/>
      </c>
      <c r="J20" s="139" t="n">
        <v>38.78</v>
      </c>
      <c r="K20" s="140" t="n"/>
      <c r="L20" s="140">
        <f>+H20*J20</f>
        <v/>
      </c>
      <c r="M20" s="141">
        <f>SUM(M19+K20-L20)</f>
        <v/>
      </c>
    </row>
    <row r="21">
      <c r="A21" s="20" t="n">
        <v>45659</v>
      </c>
      <c r="B21" s="21" t="n">
        <v>11261</v>
      </c>
      <c r="C21" s="22" t="inlineStr">
        <is>
          <t>SELİM İNŞAAT</t>
        </is>
      </c>
      <c r="D21" s="21" t="inlineStr">
        <is>
          <t>34 EDC 162</t>
        </is>
      </c>
      <c r="E21" s="21" t="inlineStr">
        <is>
          <t xml:space="preserve">YAKUP GÜNER </t>
        </is>
      </c>
      <c r="F21" s="23" t="n">
        <v>333946</v>
      </c>
      <c r="G21" s="138" t="n"/>
      <c r="H21" s="138" t="n">
        <v>337</v>
      </c>
      <c r="I21" s="138">
        <f>+I20+(G21-H21)</f>
        <v/>
      </c>
      <c r="J21" s="139" t="n">
        <v>38.78</v>
      </c>
      <c r="K21" s="140" t="n"/>
      <c r="L21" s="140">
        <f>+H21*J21</f>
        <v/>
      </c>
      <c r="M21" s="141">
        <f>SUM(M20+K21-L21)</f>
        <v/>
      </c>
    </row>
    <row r="22">
      <c r="A22" s="20" t="n">
        <v>45659</v>
      </c>
      <c r="B22" s="21" t="n">
        <v>10266</v>
      </c>
      <c r="C22" s="22" t="inlineStr">
        <is>
          <t>SELİM İNŞAAT</t>
        </is>
      </c>
      <c r="D22" s="21" t="inlineStr">
        <is>
          <t>34 FBR 748</t>
        </is>
      </c>
      <c r="E22" s="21" t="inlineStr">
        <is>
          <t>YAŞAR ÖZKAYA</t>
        </is>
      </c>
      <c r="F22" s="23" t="n">
        <v>252748</v>
      </c>
      <c r="G22" s="138" t="n"/>
      <c r="H22" s="138" t="n">
        <v>304</v>
      </c>
      <c r="I22" s="138">
        <f>+I21+(G22-H22)</f>
        <v/>
      </c>
      <c r="J22" s="139" t="n">
        <v>38.78</v>
      </c>
      <c r="K22" s="140" t="n"/>
      <c r="L22" s="140">
        <f>+H22*J22</f>
        <v/>
      </c>
      <c r="M22" s="141">
        <f>SUM(M21+K22-L22)</f>
        <v/>
      </c>
    </row>
    <row r="23">
      <c r="A23" s="20" t="n">
        <v>45659</v>
      </c>
      <c r="B23" s="21" t="n">
        <v>20986</v>
      </c>
      <c r="C23" s="22" t="inlineStr">
        <is>
          <t>SELİM İNŞAAT</t>
        </is>
      </c>
      <c r="D23" s="21" t="inlineStr">
        <is>
          <t>34 GUS 938</t>
        </is>
      </c>
      <c r="E23" s="21" t="inlineStr">
        <is>
          <t>MEHMET KAYA</t>
        </is>
      </c>
      <c r="F23" s="23" t="n">
        <v>151765</v>
      </c>
      <c r="G23" s="138" t="n"/>
      <c r="H23" s="138" t="n">
        <v>334</v>
      </c>
      <c r="I23" s="138">
        <f>+I22+(G23-H23)</f>
        <v/>
      </c>
      <c r="J23" s="139" t="n">
        <v>38.78</v>
      </c>
      <c r="K23" s="140" t="n"/>
      <c r="L23" s="140">
        <f>+H23*J23</f>
        <v/>
      </c>
      <c r="M23" s="141">
        <f>SUM(M22+K23-L23)</f>
        <v/>
      </c>
    </row>
    <row r="24">
      <c r="A24" s="20" t="n">
        <v>45659</v>
      </c>
      <c r="B24" s="21" t="n">
        <v>10306</v>
      </c>
      <c r="C24" s="22" t="inlineStr">
        <is>
          <t>SELİM İNŞAAT</t>
        </is>
      </c>
      <c r="D24" s="21" t="inlineStr">
        <is>
          <t>34 EDB 829</t>
        </is>
      </c>
      <c r="E24" s="21" t="inlineStr">
        <is>
          <t>İSMET BAYRAM</t>
        </is>
      </c>
      <c r="F24" s="23" t="n">
        <v>287724</v>
      </c>
      <c r="G24" s="138" t="n"/>
      <c r="H24" s="138" t="n">
        <v>327</v>
      </c>
      <c r="I24" s="138">
        <f>+I23+(G24-H24)</f>
        <v/>
      </c>
      <c r="J24" s="139" t="n">
        <v>38.78</v>
      </c>
      <c r="K24" s="140" t="n"/>
      <c r="L24" s="140">
        <f>+H24*J24</f>
        <v/>
      </c>
      <c r="M24" s="141">
        <f>SUM(M23+K24-L24)</f>
        <v/>
      </c>
    </row>
    <row r="25">
      <c r="A25" s="20" t="n">
        <v>45659</v>
      </c>
      <c r="B25" s="21" t="n">
        <v>11771</v>
      </c>
      <c r="C25" s="22" t="inlineStr">
        <is>
          <t>SELİM İNŞAAT</t>
        </is>
      </c>
      <c r="D25" s="21" t="inlineStr">
        <is>
          <t>34 EDC 086</t>
        </is>
      </c>
      <c r="E25" s="21" t="inlineStr">
        <is>
          <t>ÖMER AĞAYAR</t>
        </is>
      </c>
      <c r="F25" s="23" t="n">
        <v>299096</v>
      </c>
      <c r="G25" s="138" t="n"/>
      <c r="H25" s="138" t="n">
        <v>245</v>
      </c>
      <c r="I25" s="138">
        <f>+I24+(G25-H25)</f>
        <v/>
      </c>
      <c r="J25" s="139" t="n">
        <v>38.78</v>
      </c>
      <c r="K25" s="140" t="n"/>
      <c r="L25" s="140">
        <f>+H25*J25</f>
        <v/>
      </c>
      <c r="M25" s="141">
        <f>SUM(M24+K25-L25)</f>
        <v/>
      </c>
    </row>
    <row r="26">
      <c r="A26" s="20" t="n">
        <v>45659</v>
      </c>
      <c r="B26" s="21" t="n">
        <v>21698</v>
      </c>
      <c r="C26" s="22" t="inlineStr">
        <is>
          <t>SELİM İNŞAAT</t>
        </is>
      </c>
      <c r="D26" s="21" t="inlineStr">
        <is>
          <t>34 FBR 771</t>
        </is>
      </c>
      <c r="E26" s="21" t="inlineStr">
        <is>
          <t>HÜSEYİN AKÇİN</t>
        </is>
      </c>
      <c r="F26" s="23" t="n">
        <v>285680</v>
      </c>
      <c r="G26" s="138" t="n"/>
      <c r="H26" s="138" t="n">
        <v>347</v>
      </c>
      <c r="I26" s="138">
        <f>+I25+(G26-H26)</f>
        <v/>
      </c>
      <c r="J26" s="139" t="n">
        <v>38.78</v>
      </c>
      <c r="K26" s="140" t="n"/>
      <c r="L26" s="140">
        <f>+H26*J26</f>
        <v/>
      </c>
      <c r="M26" s="141">
        <f>SUM(M25+K26-L26)</f>
        <v/>
      </c>
    </row>
    <row r="27">
      <c r="A27" s="20" t="n">
        <v>45659</v>
      </c>
      <c r="B27" s="21" t="n">
        <v>10413</v>
      </c>
      <c r="C27" s="22" t="inlineStr">
        <is>
          <t>SELİM İNŞAAT</t>
        </is>
      </c>
      <c r="D27" s="21" t="inlineStr">
        <is>
          <t>34 FBR 781</t>
        </is>
      </c>
      <c r="E27" s="21" t="inlineStr">
        <is>
          <t>MEVLÜT POLAT</t>
        </is>
      </c>
      <c r="F27" s="23" t="n">
        <v>269657</v>
      </c>
      <c r="G27" s="138" t="n"/>
      <c r="H27" s="138" t="n">
        <v>453</v>
      </c>
      <c r="I27" s="138">
        <f>+I26+(G27-H27)</f>
        <v/>
      </c>
      <c r="J27" s="139" t="n">
        <v>38.78</v>
      </c>
      <c r="K27" s="140" t="n"/>
      <c r="L27" s="140">
        <f>+H27*J27</f>
        <v/>
      </c>
      <c r="M27" s="141">
        <f>SUM(M26+K27-L27)</f>
        <v/>
      </c>
    </row>
    <row r="28">
      <c r="A28" s="20" t="n">
        <v>45659</v>
      </c>
      <c r="B28" s="21" t="n">
        <v>10613</v>
      </c>
      <c r="C28" s="22" t="inlineStr">
        <is>
          <t>SELİM İNŞAAT</t>
        </is>
      </c>
      <c r="D28" s="21" t="inlineStr">
        <is>
          <t>34 EDB 754</t>
        </is>
      </c>
      <c r="E28" s="21" t="inlineStr">
        <is>
          <t>EMİN PARLAKKILIÇ</t>
        </is>
      </c>
      <c r="F28" s="23" t="n">
        <v>293741</v>
      </c>
      <c r="G28" s="138" t="n"/>
      <c r="H28" s="138" t="n">
        <v>328</v>
      </c>
      <c r="I28" s="138">
        <f>+I27+(G28-H28)</f>
        <v/>
      </c>
      <c r="J28" s="139" t="n">
        <v>38.78</v>
      </c>
      <c r="K28" s="140" t="n"/>
      <c r="L28" s="140">
        <f>+H28*J28</f>
        <v/>
      </c>
      <c r="M28" s="141">
        <f>SUM(M27+K28-L28)</f>
        <v/>
      </c>
    </row>
    <row r="29">
      <c r="A29" s="20" t="n">
        <v>45659</v>
      </c>
      <c r="B29" s="21" t="n">
        <v>21985</v>
      </c>
      <c r="C29" s="22" t="inlineStr">
        <is>
          <t>SELİM İNŞAAT</t>
        </is>
      </c>
      <c r="D29" s="21" t="inlineStr">
        <is>
          <t>34 EGR 737</t>
        </is>
      </c>
      <c r="E29" s="21" t="inlineStr">
        <is>
          <t>İBRAHİM GÜNASLAN</t>
        </is>
      </c>
      <c r="F29" s="23" t="n">
        <v>384663</v>
      </c>
      <c r="G29" s="138" t="n"/>
      <c r="H29" s="138" t="n">
        <v>192</v>
      </c>
      <c r="I29" s="138">
        <f>+I28+(G29-H29)</f>
        <v/>
      </c>
      <c r="J29" s="139" t="n">
        <v>38.78</v>
      </c>
      <c r="K29" s="140" t="n"/>
      <c r="L29" s="140">
        <f>+H29*J29</f>
        <v/>
      </c>
      <c r="M29" s="141">
        <f>SUM(M28+K29-L29)</f>
        <v/>
      </c>
    </row>
    <row r="30">
      <c r="A30" s="20" t="n">
        <v>45659</v>
      </c>
      <c r="B30" s="21" t="n">
        <v>9901</v>
      </c>
      <c r="C30" s="22" t="inlineStr">
        <is>
          <t>AHMET SELİM TEMHA</t>
        </is>
      </c>
      <c r="D30" s="21" t="inlineStr">
        <is>
          <t>34 DGE 422</t>
        </is>
      </c>
      <c r="E30" s="21" t="inlineStr">
        <is>
          <t>CEMAL</t>
        </is>
      </c>
      <c r="F30" s="23" t="inlineStr">
        <is>
          <t>-</t>
        </is>
      </c>
      <c r="G30" s="138" t="n"/>
      <c r="H30" s="138" t="n">
        <v>60</v>
      </c>
      <c r="I30" s="138">
        <f>+I29+(G30-H30)</f>
        <v/>
      </c>
      <c r="J30" s="139" t="n">
        <v>38.78</v>
      </c>
      <c r="K30" s="140" t="n"/>
      <c r="L30" s="140">
        <f>+H30*J30</f>
        <v/>
      </c>
      <c r="M30" s="141">
        <f>SUM(M29+K30-L30)</f>
        <v/>
      </c>
    </row>
    <row r="31">
      <c r="A31" s="20" t="n">
        <v>45659</v>
      </c>
      <c r="B31" s="21" t="n">
        <v>10115</v>
      </c>
      <c r="C31" s="22" t="inlineStr">
        <is>
          <t>SELİM İNŞAAT</t>
        </is>
      </c>
      <c r="D31" s="21" t="inlineStr">
        <is>
          <t>34 DP 4161</t>
        </is>
      </c>
      <c r="E31" s="21" t="inlineStr">
        <is>
          <t>RIFAT KARATAY</t>
        </is>
      </c>
      <c r="F31" s="23" t="n">
        <v>278590</v>
      </c>
      <c r="G31" s="138" t="n"/>
      <c r="H31" s="138" t="n">
        <v>221</v>
      </c>
      <c r="I31" s="138">
        <f>+I30+(G31-H31)</f>
        <v/>
      </c>
      <c r="J31" s="139" t="n">
        <v>38.78</v>
      </c>
      <c r="K31" s="140" t="n"/>
      <c r="L31" s="140">
        <f>+H31*J31</f>
        <v/>
      </c>
      <c r="M31" s="141">
        <f>SUM(M30+K31-L31)</f>
        <v/>
      </c>
    </row>
    <row r="32">
      <c r="A32" s="20" t="n">
        <v>45659</v>
      </c>
      <c r="B32" s="21" t="n">
        <v>20285</v>
      </c>
      <c r="C32" s="22" t="inlineStr">
        <is>
          <t>SELİM İNŞAAT</t>
        </is>
      </c>
      <c r="D32" s="21" t="inlineStr">
        <is>
          <t>34 DKL 866</t>
        </is>
      </c>
      <c r="E32" s="21" t="inlineStr">
        <is>
          <t>ŞERİF CAN ÖNVER</t>
        </is>
      </c>
      <c r="F32" s="23" t="n">
        <v>59610</v>
      </c>
      <c r="G32" s="138" t="n"/>
      <c r="H32" s="138" t="n">
        <v>112</v>
      </c>
      <c r="I32" s="138">
        <f>+I31+(G32-H32)</f>
        <v/>
      </c>
      <c r="J32" s="139" t="n">
        <v>38.78</v>
      </c>
      <c r="K32" s="140" t="n"/>
      <c r="L32" s="140">
        <f>+H32*J32</f>
        <v/>
      </c>
      <c r="M32" s="141">
        <f>SUM(M31+K32-L32)</f>
        <v/>
      </c>
    </row>
    <row r="33">
      <c r="A33" s="20" t="n">
        <v>45659</v>
      </c>
      <c r="B33" s="21" t="n">
        <v>11974</v>
      </c>
      <c r="C33" s="22" t="inlineStr">
        <is>
          <t>SELİM İNŞAAT</t>
        </is>
      </c>
      <c r="D33" s="21" t="inlineStr">
        <is>
          <t>34 DKL 798</t>
        </is>
      </c>
      <c r="E33" s="21" t="inlineStr">
        <is>
          <t>VOLKAN YANAR</t>
        </is>
      </c>
      <c r="F33" s="23" t="n">
        <v>59788</v>
      </c>
      <c r="G33" s="138" t="n"/>
      <c r="H33" s="138" t="n">
        <v>112</v>
      </c>
      <c r="I33" s="138">
        <f>+I32+(G33-H33)</f>
        <v/>
      </c>
      <c r="J33" s="139" t="n">
        <v>38.78</v>
      </c>
      <c r="K33" s="140" t="n"/>
      <c r="L33" s="140">
        <f>+H33*J33</f>
        <v/>
      </c>
      <c r="M33" s="141">
        <f>SUM(M32+K33-L33)</f>
        <v/>
      </c>
    </row>
    <row r="34">
      <c r="A34" s="20" t="n">
        <v>45659</v>
      </c>
      <c r="B34" s="21" t="n">
        <v>9697</v>
      </c>
      <c r="C34" s="22" t="inlineStr">
        <is>
          <t>SELİM İNŞAAT</t>
        </is>
      </c>
      <c r="D34" s="21" t="inlineStr">
        <is>
          <t>34 FEM 934</t>
        </is>
      </c>
      <c r="E34" s="21" t="inlineStr">
        <is>
          <t>TURAN SEVİNDİK</t>
        </is>
      </c>
      <c r="F34" s="23" t="n">
        <v>295907</v>
      </c>
      <c r="G34" s="138" t="n"/>
      <c r="H34" s="138" t="n">
        <v>65</v>
      </c>
      <c r="I34" s="138">
        <f>+I33+(G34-H34)</f>
        <v/>
      </c>
      <c r="J34" s="139" t="n">
        <v>38.78</v>
      </c>
      <c r="K34" s="140" t="n"/>
      <c r="L34" s="140">
        <f>+H34*J34</f>
        <v/>
      </c>
      <c r="M34" s="141">
        <f>SUM(M33+K34-L34)</f>
        <v/>
      </c>
    </row>
    <row r="35">
      <c r="A35" s="20" t="n">
        <v>45659</v>
      </c>
      <c r="B35" s="21" t="n">
        <v>16722</v>
      </c>
      <c r="C35" s="22" t="inlineStr">
        <is>
          <t>SELİM İNŞAAT</t>
        </is>
      </c>
      <c r="D35" s="21" t="inlineStr">
        <is>
          <t>34 JBA 25</t>
        </is>
      </c>
      <c r="E35" s="21" t="inlineStr">
        <is>
          <t>MUSTAFA ALBAYRAK</t>
        </is>
      </c>
      <c r="F35" s="23" t="n">
        <v>326881</v>
      </c>
      <c r="G35" s="138" t="n"/>
      <c r="H35" s="138" t="n">
        <v>64</v>
      </c>
      <c r="I35" s="138">
        <f>+I34+(G35-H35)</f>
        <v/>
      </c>
      <c r="J35" s="139" t="n">
        <v>38.78</v>
      </c>
      <c r="K35" s="140" t="n"/>
      <c r="L35" s="140">
        <f>+H35*J35</f>
        <v/>
      </c>
      <c r="M35" s="141">
        <f>SUM(M34+K35-L35)</f>
        <v/>
      </c>
    </row>
    <row r="36">
      <c r="A36" s="20" t="n">
        <v>45659</v>
      </c>
      <c r="B36" s="1" t="n">
        <v>10486</v>
      </c>
      <c r="C36" s="2" t="inlineStr">
        <is>
          <t>HASALTUN</t>
        </is>
      </c>
      <c r="D36" s="1" t="inlineStr">
        <is>
          <t>SM 350</t>
        </is>
      </c>
      <c r="E36" s="1" t="inlineStr">
        <is>
          <t>TEVFİK ÖZTÜRK</t>
        </is>
      </c>
      <c r="F36" s="3" t="n"/>
      <c r="G36" s="143" t="n"/>
      <c r="H36" s="143" t="n">
        <v>340</v>
      </c>
      <c r="I36" s="143">
        <f>+I35+(G36-H36)</f>
        <v/>
      </c>
      <c r="J36" s="144" t="n">
        <v>38.78</v>
      </c>
      <c r="K36" s="145" t="n"/>
      <c r="L36" s="140">
        <f>+H36*J36</f>
        <v/>
      </c>
      <c r="M36" s="141">
        <f>SUM(M35+K36-L36)</f>
        <v/>
      </c>
    </row>
    <row r="37">
      <c r="A37" s="20" t="n">
        <v>45659</v>
      </c>
      <c r="B37" s="1" t="n">
        <v>10487</v>
      </c>
      <c r="C37" s="2" t="inlineStr">
        <is>
          <t>HASALTUN</t>
        </is>
      </c>
      <c r="D37" s="1" t="inlineStr">
        <is>
          <t>SM 370</t>
        </is>
      </c>
      <c r="E37" s="1" t="inlineStr">
        <is>
          <t>TEKİN ŞEYLAN</t>
        </is>
      </c>
      <c r="F37" s="3" t="n"/>
      <c r="G37" s="143" t="n"/>
      <c r="H37" s="143" t="n">
        <v>490</v>
      </c>
      <c r="I37" s="143">
        <f>+I36+(G37-H37)</f>
        <v/>
      </c>
      <c r="J37" s="144" t="n">
        <v>38.78</v>
      </c>
      <c r="K37" s="145" t="n"/>
      <c r="L37" s="140">
        <f>+H37*J37</f>
        <v/>
      </c>
      <c r="M37" s="141">
        <f>SUM(M36+K37-L37)</f>
        <v/>
      </c>
    </row>
    <row r="38">
      <c r="A38" s="20" t="n">
        <v>45659</v>
      </c>
      <c r="B38" s="1" t="n">
        <v>10488</v>
      </c>
      <c r="C38" s="2" t="inlineStr">
        <is>
          <t>VARLIK</t>
        </is>
      </c>
      <c r="D38" s="1" t="inlineStr">
        <is>
          <t>SM 300</t>
        </is>
      </c>
      <c r="E38" s="1" t="inlineStr">
        <is>
          <t>TURGUT SANCAK</t>
        </is>
      </c>
      <c r="F38" s="3" t="n"/>
      <c r="G38" s="143" t="n"/>
      <c r="H38" s="143" t="n">
        <v>300</v>
      </c>
      <c r="I38" s="143">
        <f>+I37+(G38-H38)</f>
        <v/>
      </c>
      <c r="J38" s="144" t="n">
        <v>38.78</v>
      </c>
      <c r="K38" s="145" t="n"/>
      <c r="L38" s="140">
        <f>+H38*J38</f>
        <v/>
      </c>
      <c r="M38" s="141">
        <f>SUM(M37+K38-L38)</f>
        <v/>
      </c>
    </row>
    <row r="39">
      <c r="A39" s="20" t="n">
        <v>45659</v>
      </c>
      <c r="B39" s="1" t="n">
        <v>10489</v>
      </c>
      <c r="C39" s="2" t="inlineStr">
        <is>
          <t>HASALTUN</t>
        </is>
      </c>
      <c r="D39" s="1" t="inlineStr">
        <is>
          <t>SİLİNDİR</t>
        </is>
      </c>
      <c r="E39" s="1" t="inlineStr">
        <is>
          <t>A.KERİM ERGEN</t>
        </is>
      </c>
      <c r="F39" s="3" t="n"/>
      <c r="G39" s="143" t="n"/>
      <c r="H39" s="143" t="n">
        <v>180</v>
      </c>
      <c r="I39" s="143">
        <f>+I38+(G39-H39)</f>
        <v/>
      </c>
      <c r="J39" s="144" t="n">
        <v>38.78</v>
      </c>
      <c r="K39" s="145" t="n"/>
      <c r="L39" s="140">
        <f>+H39*J39</f>
        <v/>
      </c>
      <c r="M39" s="141">
        <f>SUM(M38+K39-L39)</f>
        <v/>
      </c>
    </row>
    <row r="40">
      <c r="A40" s="20" t="n">
        <v>45660</v>
      </c>
      <c r="B40" s="21" t="n">
        <v>2039</v>
      </c>
      <c r="C40" s="22" t="inlineStr">
        <is>
          <t>AZGÜN YAPI</t>
        </is>
      </c>
      <c r="D40" s="21" t="inlineStr">
        <is>
          <t>34 DTV 263</t>
        </is>
      </c>
      <c r="E40" s="21" t="inlineStr">
        <is>
          <t>EDİP TORLAK</t>
        </is>
      </c>
      <c r="F40" s="23" t="n">
        <v>353827</v>
      </c>
      <c r="G40" s="138" t="n"/>
      <c r="H40" s="138" t="n">
        <v>360</v>
      </c>
      <c r="I40" s="138">
        <f>+I39+(G40-H40)</f>
        <v/>
      </c>
      <c r="J40" s="139" t="n">
        <v>38.78</v>
      </c>
      <c r="K40" s="140" t="n"/>
      <c r="L40" s="140">
        <f>+H40*J40</f>
        <v/>
      </c>
      <c r="M40" s="141">
        <f>SUM(M39+K40-L40)</f>
        <v/>
      </c>
    </row>
    <row r="41">
      <c r="A41" s="20" t="n">
        <v>45660</v>
      </c>
      <c r="B41" s="21" t="n">
        <v>11301</v>
      </c>
      <c r="C41" s="22" t="inlineStr">
        <is>
          <t>AZGÜN YAPI</t>
        </is>
      </c>
      <c r="D41" s="21" t="inlineStr">
        <is>
          <t>34 MKT 859</t>
        </is>
      </c>
      <c r="E41" s="21" t="inlineStr">
        <is>
          <t>YAHYA</t>
        </is>
      </c>
      <c r="F41" s="23" t="n">
        <v>1106</v>
      </c>
      <c r="G41" s="138" t="n"/>
      <c r="H41" s="138" t="n">
        <v>460</v>
      </c>
      <c r="I41" s="138">
        <f>+I40+(G41-H41)</f>
        <v/>
      </c>
      <c r="J41" s="139" t="n">
        <v>38.78</v>
      </c>
      <c r="K41" s="140" t="n"/>
      <c r="L41" s="140">
        <f>+H41*J41</f>
        <v/>
      </c>
      <c r="M41" s="141">
        <f>SUM(M40+K41-L41)</f>
        <v/>
      </c>
    </row>
    <row r="42">
      <c r="A42" s="20" t="n">
        <v>45660</v>
      </c>
      <c r="B42" s="21" t="n">
        <v>10009</v>
      </c>
      <c r="C42" s="22" t="inlineStr">
        <is>
          <t>METİN ERYİĞİT</t>
        </is>
      </c>
      <c r="D42" s="21" t="inlineStr">
        <is>
          <t>34 EGS 013</t>
        </is>
      </c>
      <c r="E42" s="21" t="inlineStr">
        <is>
          <t>UĞUR DUMAN</t>
        </is>
      </c>
      <c r="F42" s="23" t="n">
        <v>452859</v>
      </c>
      <c r="G42" s="138" t="n"/>
      <c r="H42" s="138" t="n">
        <v>394</v>
      </c>
      <c r="I42" s="138">
        <f>+I41+(G42-H42)</f>
        <v/>
      </c>
      <c r="J42" s="139" t="n">
        <v>38.78</v>
      </c>
      <c r="K42" s="140" t="n"/>
      <c r="L42" s="140">
        <f>+H42*J42</f>
        <v/>
      </c>
      <c r="M42" s="141">
        <f>SUM(M41+K42-L42)</f>
        <v/>
      </c>
    </row>
    <row r="43">
      <c r="A43" s="20" t="n">
        <v>45660</v>
      </c>
      <c r="B43" s="21" t="n">
        <v>11411</v>
      </c>
      <c r="C43" s="22" t="inlineStr">
        <is>
          <t>METİN ERYİĞİT</t>
        </is>
      </c>
      <c r="D43" s="21" t="inlineStr">
        <is>
          <t>34 EGR 814</t>
        </is>
      </c>
      <c r="E43" s="21" t="inlineStr">
        <is>
          <t>FARUK ÖZEN</t>
        </is>
      </c>
      <c r="F43" s="23" t="n">
        <v>505115</v>
      </c>
      <c r="G43" s="138" t="n"/>
      <c r="H43" s="138" t="n">
        <v>390</v>
      </c>
      <c r="I43" s="138">
        <f>+I42+(G43-H43)</f>
        <v/>
      </c>
      <c r="J43" s="139" t="n">
        <v>38.78</v>
      </c>
      <c r="K43" s="140" t="n"/>
      <c r="L43" s="140">
        <f>+H43*J43</f>
        <v/>
      </c>
      <c r="M43" s="141">
        <f>SUM(M42+K43-L43)</f>
        <v/>
      </c>
    </row>
    <row r="44">
      <c r="A44" s="20" t="n">
        <v>45660</v>
      </c>
      <c r="B44" s="21" t="n">
        <v>20947</v>
      </c>
      <c r="C44" s="22" t="inlineStr">
        <is>
          <t>SELİM İNŞAAT</t>
        </is>
      </c>
      <c r="D44" s="21" t="inlineStr">
        <is>
          <t>34 FBR 742</t>
        </is>
      </c>
      <c r="E44" s="21" t="inlineStr">
        <is>
          <t>MİKAİL BAYILMAZ</t>
        </is>
      </c>
      <c r="F44" s="23" t="n">
        <v>287046</v>
      </c>
      <c r="G44" s="138" t="n"/>
      <c r="H44" s="138" t="n">
        <v>430</v>
      </c>
      <c r="I44" s="138">
        <f>+I43+(G44-H44)</f>
        <v/>
      </c>
      <c r="J44" s="139" t="n">
        <v>38.78</v>
      </c>
      <c r="K44" s="140" t="n"/>
      <c r="L44" s="140">
        <f>+H44*J44</f>
        <v/>
      </c>
      <c r="M44" s="141">
        <f>SUM(M43+K44-L44)</f>
        <v/>
      </c>
    </row>
    <row r="45">
      <c r="A45" s="20" t="n">
        <v>45660</v>
      </c>
      <c r="B45" s="21" t="n">
        <v>10975</v>
      </c>
      <c r="C45" s="22" t="inlineStr">
        <is>
          <t>SELİM İNŞAAT</t>
        </is>
      </c>
      <c r="D45" s="21" t="inlineStr">
        <is>
          <t>34 GVZ 199</t>
        </is>
      </c>
      <c r="E45" s="21" t="inlineStr">
        <is>
          <t>VAHDET GÜRLER</t>
        </is>
      </c>
      <c r="F45" s="23" t="n">
        <v>149430</v>
      </c>
      <c r="G45" s="138" t="n"/>
      <c r="H45" s="138" t="n">
        <v>317</v>
      </c>
      <c r="I45" s="138">
        <f>+I44+(G45-H45)</f>
        <v/>
      </c>
      <c r="J45" s="139" t="n">
        <v>38.78</v>
      </c>
      <c r="K45" s="140" t="n"/>
      <c r="L45" s="140">
        <f>+H45*J45</f>
        <v/>
      </c>
      <c r="M45" s="141">
        <f>SUM(M44+K45-L45)</f>
        <v/>
      </c>
    </row>
    <row r="46">
      <c r="A46" s="20" t="n">
        <v>45660</v>
      </c>
      <c r="B46" s="21" t="n">
        <v>10755</v>
      </c>
      <c r="C46" s="22" t="inlineStr">
        <is>
          <t>SELİM İNŞAAT</t>
        </is>
      </c>
      <c r="D46" s="21" t="inlineStr">
        <is>
          <t>34 FBR 705</t>
        </is>
      </c>
      <c r="E46" s="21" t="inlineStr">
        <is>
          <t>MESUT GÜRLER</t>
        </is>
      </c>
      <c r="F46" s="23" t="n">
        <v>281795</v>
      </c>
      <c r="G46" s="138" t="n"/>
      <c r="H46" s="138" t="n">
        <v>357</v>
      </c>
      <c r="I46" s="138">
        <f>+I45+(G46-H46)</f>
        <v/>
      </c>
      <c r="J46" s="139" t="n">
        <v>38.78</v>
      </c>
      <c r="K46" s="140" t="n"/>
      <c r="L46" s="140">
        <f>+H46*J46</f>
        <v/>
      </c>
      <c r="M46" s="141">
        <f>SUM(M45+K46-L46)</f>
        <v/>
      </c>
    </row>
    <row r="47">
      <c r="A47" s="20" t="n">
        <v>45660</v>
      </c>
      <c r="B47" s="21" t="n">
        <v>21440</v>
      </c>
      <c r="C47" s="22" t="inlineStr">
        <is>
          <t>SELİM İNŞAAT</t>
        </is>
      </c>
      <c r="D47" s="21" t="inlineStr">
        <is>
          <t>34 GUS 848</t>
        </is>
      </c>
      <c r="E47" s="21" t="inlineStr">
        <is>
          <t>SERDAR BOZKURT</t>
        </is>
      </c>
      <c r="F47" s="23" t="n">
        <v>156817</v>
      </c>
      <c r="G47" s="138" t="n"/>
      <c r="H47" s="138" t="n">
        <v>355</v>
      </c>
      <c r="I47" s="138">
        <f>+I46+(G47-H47)</f>
        <v/>
      </c>
      <c r="J47" s="139" t="n">
        <v>38.78</v>
      </c>
      <c r="K47" s="140" t="n"/>
      <c r="L47" s="140">
        <f>+H47*J47</f>
        <v/>
      </c>
      <c r="M47" s="141">
        <f>SUM(M46+K47-L47)</f>
        <v/>
      </c>
    </row>
    <row r="48">
      <c r="A48" s="20" t="n">
        <v>45660</v>
      </c>
      <c r="B48" s="21" t="n">
        <v>9778</v>
      </c>
      <c r="C48" s="22" t="inlineStr">
        <is>
          <t>SELİM İNŞAAT</t>
        </is>
      </c>
      <c r="D48" s="21" t="inlineStr">
        <is>
          <t>34 GUZ 268</t>
        </is>
      </c>
      <c r="E48" s="21" t="inlineStr">
        <is>
          <t>KERİM KARAMAN</t>
        </is>
      </c>
      <c r="F48" s="23" t="n">
        <v>158644</v>
      </c>
      <c r="G48" s="138" t="n"/>
      <c r="H48" s="138" t="n">
        <v>353</v>
      </c>
      <c r="I48" s="138">
        <f>+I47+(G48-H48)</f>
        <v/>
      </c>
      <c r="J48" s="139" t="n">
        <v>38.78</v>
      </c>
      <c r="K48" s="140" t="n"/>
      <c r="L48" s="140">
        <f>+H48*J48</f>
        <v/>
      </c>
      <c r="M48" s="141">
        <f>SUM(M47+K48-L48)</f>
        <v/>
      </c>
    </row>
    <row r="49">
      <c r="A49" s="20" t="n">
        <v>45660</v>
      </c>
      <c r="B49" s="21" t="n">
        <v>20889</v>
      </c>
      <c r="C49" s="22" t="inlineStr">
        <is>
          <t>SELİM İNŞAAT</t>
        </is>
      </c>
      <c r="D49" s="21" t="inlineStr">
        <is>
          <t>34 GVZ 310</t>
        </is>
      </c>
      <c r="E49" s="21" t="inlineStr">
        <is>
          <t>CELAL YÜZBAŞI</t>
        </is>
      </c>
      <c r="F49" s="23" t="n">
        <v>162063</v>
      </c>
      <c r="G49" s="138" t="n"/>
      <c r="H49" s="138" t="n">
        <v>454</v>
      </c>
      <c r="I49" s="138">
        <f>+I48+(G49-H49)</f>
        <v/>
      </c>
      <c r="J49" s="139" t="n">
        <v>38.78</v>
      </c>
      <c r="K49" s="140" t="n"/>
      <c r="L49" s="140">
        <f>+H49*J49</f>
        <v/>
      </c>
      <c r="M49" s="141">
        <f>SUM(M48+K49-L49)</f>
        <v/>
      </c>
    </row>
    <row r="50">
      <c r="A50" s="20" t="n">
        <v>45660</v>
      </c>
      <c r="B50" s="21" t="n">
        <v>17993</v>
      </c>
      <c r="C50" s="22" t="inlineStr">
        <is>
          <t>SELİM İNŞAAT</t>
        </is>
      </c>
      <c r="D50" s="21" t="inlineStr">
        <is>
          <t>34 DSN 536</t>
        </is>
      </c>
      <c r="E50" s="21" t="inlineStr">
        <is>
          <t>DURSUN ALİ GÜREK</t>
        </is>
      </c>
      <c r="F50" s="23" t="n">
        <v>375863</v>
      </c>
      <c r="G50" s="138" t="n"/>
      <c r="H50" s="138" t="n">
        <v>393</v>
      </c>
      <c r="I50" s="138">
        <f>+I49+(G50-H50)</f>
        <v/>
      </c>
      <c r="J50" s="139" t="n">
        <v>38.78</v>
      </c>
      <c r="K50" s="140" t="n"/>
      <c r="L50" s="140">
        <f>+H50*J50</f>
        <v/>
      </c>
      <c r="M50" s="141">
        <f>SUM(M49+K50-L50)</f>
        <v/>
      </c>
    </row>
    <row r="51">
      <c r="A51" s="20" t="n">
        <v>45660</v>
      </c>
      <c r="B51" s="21" t="n">
        <v>11115</v>
      </c>
      <c r="C51" s="22" t="inlineStr">
        <is>
          <t>SELİM İNŞAAT</t>
        </is>
      </c>
      <c r="D51" s="21" t="inlineStr">
        <is>
          <t>34 DTV 409</t>
        </is>
      </c>
      <c r="E51" s="21" t="inlineStr">
        <is>
          <t xml:space="preserve">İBRAHİM GÜLLÜK </t>
        </is>
      </c>
      <c r="F51" s="23" t="n">
        <v>391478</v>
      </c>
      <c r="G51" s="138" t="n"/>
      <c r="H51" s="138" t="n">
        <v>221</v>
      </c>
      <c r="I51" s="138">
        <f>+I50+(G51-H51)</f>
        <v/>
      </c>
      <c r="J51" s="139" t="n">
        <v>38.78</v>
      </c>
      <c r="K51" s="140" t="n"/>
      <c r="L51" s="140">
        <f>+H51*J51</f>
        <v/>
      </c>
      <c r="M51" s="141">
        <f>SUM(M50+K51-L51)</f>
        <v/>
      </c>
    </row>
    <row r="52">
      <c r="A52" s="20" t="n">
        <v>45660</v>
      </c>
      <c r="B52" s="21" t="n">
        <v>10674</v>
      </c>
      <c r="C52" s="22" t="inlineStr">
        <is>
          <t>SELİM İNŞAAT</t>
        </is>
      </c>
      <c r="D52" s="21" t="inlineStr">
        <is>
          <t>34 DTV 599</t>
        </is>
      </c>
      <c r="E52" s="21" t="inlineStr">
        <is>
          <t>FERHAT GÜRLER</t>
        </is>
      </c>
      <c r="F52" s="23" t="n">
        <v>405175</v>
      </c>
      <c r="G52" s="138" t="n"/>
      <c r="H52" s="138" t="n">
        <v>310</v>
      </c>
      <c r="I52" s="138">
        <f>+I51+(G52-H52)</f>
        <v/>
      </c>
      <c r="J52" s="139" t="n">
        <v>38.78</v>
      </c>
      <c r="K52" s="140" t="n"/>
      <c r="L52" s="140">
        <f>+H52*J52</f>
        <v/>
      </c>
      <c r="M52" s="141">
        <f>SUM(M51+K52-L52)</f>
        <v/>
      </c>
    </row>
    <row r="53">
      <c r="A53" s="20" t="n">
        <v>45660</v>
      </c>
      <c r="B53" s="21" t="n">
        <v>21088</v>
      </c>
      <c r="C53" s="22" t="inlineStr">
        <is>
          <t>SELİM İNŞAAT</t>
        </is>
      </c>
      <c r="D53" s="21" t="inlineStr">
        <is>
          <t>34 EDB 659</t>
        </is>
      </c>
      <c r="E53" s="21" t="inlineStr">
        <is>
          <t>MEHMET SAİT ANIK</t>
        </is>
      </c>
      <c r="F53" s="23" t="n">
        <v>307630</v>
      </c>
      <c r="G53" s="138" t="n"/>
      <c r="H53" s="138" t="n">
        <v>392</v>
      </c>
      <c r="I53" s="138">
        <f>+I52+(G53-H53)</f>
        <v/>
      </c>
      <c r="J53" s="139" t="n">
        <v>38.78</v>
      </c>
      <c r="K53" s="140" t="n"/>
      <c r="L53" s="140">
        <f>+H53*J53</f>
        <v/>
      </c>
      <c r="M53" s="141">
        <f>SUM(M52+K53-L53)</f>
        <v/>
      </c>
    </row>
    <row r="54">
      <c r="A54" s="20" t="n">
        <v>45660</v>
      </c>
      <c r="B54" s="21" t="n">
        <v>20797</v>
      </c>
      <c r="C54" s="22" t="inlineStr">
        <is>
          <t>SELİM İNŞAAT</t>
        </is>
      </c>
      <c r="D54" s="21" t="inlineStr">
        <is>
          <t>34 DRU 690</t>
        </is>
      </c>
      <c r="E54" s="21" t="inlineStr">
        <is>
          <t>FARUK ÖZEN</t>
        </is>
      </c>
      <c r="F54" s="23" t="n">
        <v>384591</v>
      </c>
      <c r="G54" s="138" t="n"/>
      <c r="H54" s="138" t="n">
        <v>497</v>
      </c>
      <c r="I54" s="138">
        <f>+I53+(G54-H54)</f>
        <v/>
      </c>
      <c r="J54" s="139" t="n">
        <v>38.78</v>
      </c>
      <c r="K54" s="140" t="n"/>
      <c r="L54" s="140">
        <f>+H54*J54</f>
        <v/>
      </c>
      <c r="M54" s="141">
        <f>SUM(M53+K54-L54)</f>
        <v/>
      </c>
    </row>
    <row r="55">
      <c r="A55" s="20" t="n">
        <v>45660</v>
      </c>
      <c r="B55" s="21" t="n">
        <v>9902</v>
      </c>
      <c r="C55" s="22" t="inlineStr">
        <is>
          <t>MAHMUT VİNÇ</t>
        </is>
      </c>
      <c r="D55" s="21" t="inlineStr">
        <is>
          <t>34 MEP 460</t>
        </is>
      </c>
      <c r="E55" s="21" t="inlineStr">
        <is>
          <t>YASİN DEMİR</t>
        </is>
      </c>
      <c r="F55" s="23" t="n"/>
      <c r="G55" s="138" t="n"/>
      <c r="H55" s="138" t="n">
        <v>100</v>
      </c>
      <c r="I55" s="138">
        <f>+I54+(G55-H55)</f>
        <v/>
      </c>
      <c r="J55" s="139" t="n">
        <v>38.78</v>
      </c>
      <c r="K55" s="140" t="n"/>
      <c r="L55" s="140">
        <f>+H55*J55</f>
        <v/>
      </c>
      <c r="M55" s="141">
        <f>SUM(M54+K55-L55)</f>
        <v/>
      </c>
    </row>
    <row r="56">
      <c r="A56" s="20" t="n">
        <v>45660</v>
      </c>
      <c r="B56" s="21" t="n">
        <v>9905</v>
      </c>
      <c r="C56" s="22" t="inlineStr">
        <is>
          <t>RECEP SELİM OTO KURTARICI</t>
        </is>
      </c>
      <c r="D56" s="21" t="inlineStr">
        <is>
          <t>34 GC 8658</t>
        </is>
      </c>
      <c r="E56" s="21" t="inlineStr">
        <is>
          <t>RECEP SELİM</t>
        </is>
      </c>
      <c r="F56" s="23" t="n"/>
      <c r="G56" s="138" t="n"/>
      <c r="H56" s="138" t="n">
        <v>72</v>
      </c>
      <c r="I56" s="138">
        <f>+I55+(G56-H56)</f>
        <v/>
      </c>
      <c r="J56" s="139" t="n">
        <v>38.78</v>
      </c>
      <c r="K56" s="140" t="n"/>
      <c r="L56" s="140">
        <f>+H56*J56</f>
        <v/>
      </c>
      <c r="M56" s="141">
        <f>SUM(M55+K56-L56)</f>
        <v/>
      </c>
    </row>
    <row r="57">
      <c r="A57" s="20" t="n">
        <v>45660</v>
      </c>
      <c r="B57" s="21" t="n">
        <v>10116</v>
      </c>
      <c r="C57" s="22" t="inlineStr">
        <is>
          <t>SELİM İNŞAAT</t>
        </is>
      </c>
      <c r="D57" s="21" t="inlineStr">
        <is>
          <t>34 DP 4161</t>
        </is>
      </c>
      <c r="E57" s="21" t="inlineStr">
        <is>
          <t>RIFAT KARATAY</t>
        </is>
      </c>
      <c r="F57" s="23" t="n">
        <v>278674</v>
      </c>
      <c r="G57" s="138" t="n"/>
      <c r="H57" s="138" t="n">
        <v>123</v>
      </c>
      <c r="I57" s="138">
        <f>+I56+(G57-H57)</f>
        <v/>
      </c>
      <c r="J57" s="139" t="n">
        <v>38.78</v>
      </c>
      <c r="K57" s="140" t="n"/>
      <c r="L57" s="140">
        <f>+H57*J57</f>
        <v/>
      </c>
      <c r="M57" s="141">
        <f>SUM(M56+K57-L57)</f>
        <v/>
      </c>
    </row>
    <row r="58">
      <c r="A58" s="20" t="n">
        <v>45660</v>
      </c>
      <c r="B58" s="21" t="n">
        <v>21122</v>
      </c>
      <c r="C58" s="22" t="inlineStr">
        <is>
          <t>SELİM İNŞAAT</t>
        </is>
      </c>
      <c r="D58" s="21" t="inlineStr">
        <is>
          <t>34 TG 7869</t>
        </is>
      </c>
      <c r="E58" s="21" t="inlineStr">
        <is>
          <t>GÖRKEM KARABEL</t>
        </is>
      </c>
      <c r="F58" s="23" t="n">
        <v>178350</v>
      </c>
      <c r="G58" s="138" t="n"/>
      <c r="H58" s="138" t="n">
        <v>160</v>
      </c>
      <c r="I58" s="138">
        <f>+I57+(G58-H58)</f>
        <v/>
      </c>
      <c r="J58" s="139" t="n">
        <v>38.78</v>
      </c>
      <c r="K58" s="140" t="n"/>
      <c r="L58" s="140">
        <f>+H58*J58</f>
        <v/>
      </c>
      <c r="M58" s="141">
        <f>SUM(M57+K58-L58)</f>
        <v/>
      </c>
    </row>
    <row r="59">
      <c r="A59" s="20" t="n">
        <v>45660</v>
      </c>
      <c r="B59" s="21" t="n">
        <v>20286</v>
      </c>
      <c r="C59" s="22" t="inlineStr">
        <is>
          <t>SELİM İNŞAAT</t>
        </is>
      </c>
      <c r="D59" s="21" t="inlineStr">
        <is>
          <t>34 DKL 866</t>
        </is>
      </c>
      <c r="E59" s="21" t="inlineStr">
        <is>
          <t>ŞERİF CAN ÖNVER</t>
        </is>
      </c>
      <c r="F59" s="23" t="n">
        <v>59683</v>
      </c>
      <c r="G59" s="138" t="n"/>
      <c r="H59" s="138" t="n">
        <v>110</v>
      </c>
      <c r="I59" s="138">
        <f>+I58+(G59-H59)</f>
        <v/>
      </c>
      <c r="J59" s="139" t="n">
        <v>38.78</v>
      </c>
      <c r="K59" s="140" t="n"/>
      <c r="L59" s="140">
        <f>+H59*J59</f>
        <v/>
      </c>
      <c r="M59" s="141">
        <f>SUM(M58+K59-L59)</f>
        <v/>
      </c>
    </row>
    <row r="60">
      <c r="A60" s="20" t="n">
        <v>45660</v>
      </c>
      <c r="B60" s="21" t="n">
        <v>11975</v>
      </c>
      <c r="C60" s="22" t="inlineStr">
        <is>
          <t>SELİM İNŞAAT</t>
        </is>
      </c>
      <c r="D60" s="21" t="inlineStr">
        <is>
          <t>34 DKL 798</t>
        </is>
      </c>
      <c r="E60" s="21" t="inlineStr">
        <is>
          <t>VOLKAN YANAR</t>
        </is>
      </c>
      <c r="F60" s="23" t="n">
        <v>59860</v>
      </c>
      <c r="G60" s="138" t="n"/>
      <c r="H60" s="138" t="n">
        <v>100</v>
      </c>
      <c r="I60" s="138">
        <f>+I59+(G60-H60)</f>
        <v/>
      </c>
      <c r="J60" s="139" t="n">
        <v>38.78</v>
      </c>
      <c r="K60" s="140" t="n"/>
      <c r="L60" s="140">
        <f>+H60*J60</f>
        <v/>
      </c>
      <c r="M60" s="141">
        <f>SUM(M59+K60-L60)</f>
        <v/>
      </c>
    </row>
    <row r="61">
      <c r="A61" s="20" t="n">
        <v>45660</v>
      </c>
      <c r="B61" s="21" t="n">
        <v>11874</v>
      </c>
      <c r="C61" s="22" t="inlineStr">
        <is>
          <t>SELİM İNŞAAT</t>
        </is>
      </c>
      <c r="D61" s="21" t="inlineStr">
        <is>
          <t>34 DFE 454</t>
        </is>
      </c>
      <c r="E61" s="21" t="inlineStr">
        <is>
          <t>HASAN BAYCAN</t>
        </is>
      </c>
      <c r="F61" s="23" t="n">
        <v>153300</v>
      </c>
      <c r="G61" s="138" t="n"/>
      <c r="H61" s="138" t="n">
        <v>168</v>
      </c>
      <c r="I61" s="138">
        <f>+I60+(G61-H61)</f>
        <v/>
      </c>
      <c r="J61" s="139" t="n">
        <v>38.78</v>
      </c>
      <c r="K61" s="140" t="n"/>
      <c r="L61" s="140">
        <f>+H61*J61</f>
        <v/>
      </c>
      <c r="M61" s="141">
        <f>SUM(M60+K61-L61)</f>
        <v/>
      </c>
    </row>
    <row r="62">
      <c r="A62" s="20" t="n">
        <v>45660</v>
      </c>
      <c r="B62" s="21" t="n">
        <v>10490</v>
      </c>
      <c r="C62" s="22" t="inlineStr">
        <is>
          <t>EVKUR</t>
        </is>
      </c>
      <c r="D62" s="21" t="n"/>
      <c r="E62" s="21" t="inlineStr">
        <is>
          <t>FAHRİ KALFA</t>
        </is>
      </c>
      <c r="F62" s="23" t="n"/>
      <c r="G62" s="138" t="n"/>
      <c r="H62" s="138" t="n">
        <v>100</v>
      </c>
      <c r="I62" s="138">
        <f>+I61+(G62-H62)</f>
        <v/>
      </c>
      <c r="J62" s="139" t="n">
        <v>38.78</v>
      </c>
      <c r="K62" s="140" t="n"/>
      <c r="L62" s="140">
        <f>+H62*J62</f>
        <v/>
      </c>
      <c r="M62" s="141">
        <f>SUM(M61+K62-L62)</f>
        <v/>
      </c>
    </row>
    <row r="63">
      <c r="A63" s="20" t="n">
        <v>45660</v>
      </c>
      <c r="B63" s="1" t="n">
        <v>10491</v>
      </c>
      <c r="C63" s="2" t="inlineStr">
        <is>
          <t>HASALTUN</t>
        </is>
      </c>
      <c r="D63" s="1" t="inlineStr">
        <is>
          <t>SM 370</t>
        </is>
      </c>
      <c r="E63" s="1" t="inlineStr">
        <is>
          <t>TEKİN ŞEYLAN</t>
        </is>
      </c>
      <c r="F63" s="3" t="n"/>
      <c r="G63" s="143" t="n"/>
      <c r="H63" s="143" t="n">
        <v>460</v>
      </c>
      <c r="I63" s="143">
        <f>+I62+(G63-H63)</f>
        <v/>
      </c>
      <c r="J63" s="144" t="n">
        <v>38.78</v>
      </c>
      <c r="K63" s="145" t="n"/>
      <c r="L63" s="140">
        <f>+H63*J63</f>
        <v/>
      </c>
      <c r="M63" s="141">
        <f>SUM(M62+K63-L63)</f>
        <v/>
      </c>
    </row>
    <row r="64">
      <c r="A64" s="20" t="n">
        <v>45660</v>
      </c>
      <c r="B64" s="1" t="n">
        <v>10492</v>
      </c>
      <c r="C64" s="2" t="inlineStr">
        <is>
          <t>HASALTUN</t>
        </is>
      </c>
      <c r="D64" s="1" t="inlineStr">
        <is>
          <t>SM 350</t>
        </is>
      </c>
      <c r="E64" s="1" t="inlineStr">
        <is>
          <t>TEVFİK ÖZTÜRK</t>
        </is>
      </c>
      <c r="F64" s="3" t="n"/>
      <c r="G64" s="143" t="n"/>
      <c r="H64" s="143" t="n">
        <v>270</v>
      </c>
      <c r="I64" s="143">
        <f>+I63+(G64-H64)</f>
        <v/>
      </c>
      <c r="J64" s="144" t="n">
        <v>38.78</v>
      </c>
      <c r="K64" s="145" t="n"/>
      <c r="L64" s="140">
        <f>+H64*J64</f>
        <v/>
      </c>
      <c r="M64" s="141">
        <f>SUM(M63+K64-L64)</f>
        <v/>
      </c>
    </row>
    <row r="65">
      <c r="A65" s="20" t="n">
        <v>45660</v>
      </c>
      <c r="B65" s="1" t="n">
        <v>10493</v>
      </c>
      <c r="C65" s="2" t="inlineStr">
        <is>
          <t>VARLIK</t>
        </is>
      </c>
      <c r="D65" s="1" t="inlineStr">
        <is>
          <t>SM 300</t>
        </is>
      </c>
      <c r="E65" s="1" t="inlineStr">
        <is>
          <t>TURGUT SANCAK</t>
        </is>
      </c>
      <c r="F65" s="3" t="n"/>
      <c r="G65" s="143" t="n"/>
      <c r="H65" s="143" t="n">
        <v>320</v>
      </c>
      <c r="I65" s="143">
        <f>+I64+(G65-H65)</f>
        <v/>
      </c>
      <c r="J65" s="144" t="n">
        <v>38.78</v>
      </c>
      <c r="K65" s="145" t="n"/>
      <c r="L65" s="140">
        <f>+H65*J65</f>
        <v/>
      </c>
      <c r="M65" s="141">
        <f>SUM(M64+K65-L65)</f>
        <v/>
      </c>
    </row>
    <row r="66">
      <c r="A66" s="20" t="n">
        <v>45660</v>
      </c>
      <c r="B66" s="1" t="n">
        <v>10494</v>
      </c>
      <c r="C66" s="2" t="inlineStr">
        <is>
          <t>VARLIK</t>
        </is>
      </c>
      <c r="D66" s="1" t="inlineStr">
        <is>
          <t>SM 350</t>
        </is>
      </c>
      <c r="E66" s="1" t="inlineStr">
        <is>
          <t>BAYRAM SANCAK</t>
        </is>
      </c>
      <c r="F66" s="3" t="n"/>
      <c r="G66" s="143" t="n"/>
      <c r="H66" s="143" t="n">
        <v>330</v>
      </c>
      <c r="I66" s="143">
        <f>+I65+(G66-H66)</f>
        <v/>
      </c>
      <c r="J66" s="144" t="n">
        <v>38.78</v>
      </c>
      <c r="K66" s="145" t="n"/>
      <c r="L66" s="140">
        <f>+H66*J66</f>
        <v/>
      </c>
      <c r="M66" s="141">
        <f>SUM(M65+K66-L66)</f>
        <v/>
      </c>
    </row>
    <row r="67">
      <c r="A67" s="20" t="n">
        <v>45660</v>
      </c>
      <c r="B67" s="21" t="n">
        <v>10495</v>
      </c>
      <c r="C67" s="22" t="inlineStr">
        <is>
          <t>SELİM İNŞAAT</t>
        </is>
      </c>
      <c r="D67" s="21" t="inlineStr">
        <is>
          <t>RT 650 SARI VİNÇ</t>
        </is>
      </c>
      <c r="E67" s="21" t="inlineStr">
        <is>
          <t>ALİHAN DUMAN</t>
        </is>
      </c>
      <c r="F67" s="23" t="n"/>
      <c r="G67" s="138" t="n"/>
      <c r="H67" s="138" t="n">
        <v>190</v>
      </c>
      <c r="I67" s="138">
        <f>+I66+(G67-H67)</f>
        <v/>
      </c>
      <c r="J67" s="139" t="n">
        <v>38.78</v>
      </c>
      <c r="K67" s="140" t="n"/>
      <c r="L67" s="140">
        <f>+H67*J67</f>
        <v/>
      </c>
      <c r="M67" s="141">
        <f>SUM(M66+K67-L67)</f>
        <v/>
      </c>
    </row>
    <row r="68">
      <c r="A68" s="20" t="n">
        <v>45661</v>
      </c>
      <c r="B68" s="21" t="n">
        <v>11680</v>
      </c>
      <c r="C68" s="22" t="inlineStr">
        <is>
          <t>METİN ERYİĞİT</t>
        </is>
      </c>
      <c r="D68" s="21" t="inlineStr">
        <is>
          <t>34 GBL 998</t>
        </is>
      </c>
      <c r="E68" s="21" t="inlineStr">
        <is>
          <t>ALİ KESKİN</t>
        </is>
      </c>
      <c r="F68" s="23" t="n">
        <v>231117</v>
      </c>
      <c r="G68" s="138" t="n"/>
      <c r="H68" s="138" t="n">
        <v>416</v>
      </c>
      <c r="I68" s="138">
        <f>+I67+(G68-H68)</f>
        <v/>
      </c>
      <c r="J68" s="139" t="n">
        <v>38.78</v>
      </c>
      <c r="K68" s="140" t="n"/>
      <c r="L68" s="140">
        <f>+H68*J68</f>
        <v/>
      </c>
      <c r="M68" s="141">
        <f>SUM(M67+K68-L68)</f>
        <v/>
      </c>
    </row>
    <row r="69">
      <c r="A69" s="20" t="n">
        <v>45661</v>
      </c>
      <c r="B69" s="21" t="n">
        <v>11707</v>
      </c>
      <c r="C69" s="22" t="inlineStr">
        <is>
          <t>SELİM İNŞAAT</t>
        </is>
      </c>
      <c r="D69" s="21" t="inlineStr">
        <is>
          <t>34 EDB 559</t>
        </is>
      </c>
      <c r="E69" s="21" t="inlineStr">
        <is>
          <t>CEM MUHTAR</t>
        </is>
      </c>
      <c r="F69" s="23" t="n">
        <v>298270</v>
      </c>
      <c r="G69" s="138" t="n"/>
      <c r="H69" s="138" t="n">
        <v>351</v>
      </c>
      <c r="I69" s="138">
        <f>+I68+(G69-H69)</f>
        <v/>
      </c>
      <c r="J69" s="139" t="n">
        <v>38.78</v>
      </c>
      <c r="K69" s="140" t="n"/>
      <c r="L69" s="140">
        <f>+H69*J69</f>
        <v/>
      </c>
      <c r="M69" s="141">
        <f>SUM(M68+K69-L69)</f>
        <v/>
      </c>
    </row>
    <row r="70">
      <c r="A70" s="20" t="n">
        <v>45661</v>
      </c>
      <c r="B70" s="21" t="n">
        <v>21609</v>
      </c>
      <c r="C70" s="22" t="inlineStr">
        <is>
          <t>SELİM İNŞAAT</t>
        </is>
      </c>
      <c r="D70" s="21" t="inlineStr">
        <is>
          <t>34 DHC 467</t>
        </is>
      </c>
      <c r="E70" s="21" t="inlineStr">
        <is>
          <t xml:space="preserve">ONUR CANLI </t>
        </is>
      </c>
      <c r="F70" s="23" t="n">
        <v>393343</v>
      </c>
      <c r="G70" s="138" t="n"/>
      <c r="H70" s="138" t="n">
        <v>264</v>
      </c>
      <c r="I70" s="138">
        <f>+I69+(G70-H70)</f>
        <v/>
      </c>
      <c r="J70" s="139" t="n">
        <v>38.78</v>
      </c>
      <c r="K70" s="140" t="n"/>
      <c r="L70" s="140">
        <f>+H70*J70</f>
        <v/>
      </c>
      <c r="M70" s="141">
        <f>SUM(M69+K70-L70)</f>
        <v/>
      </c>
    </row>
    <row r="71">
      <c r="A71" s="20" t="n">
        <v>45661</v>
      </c>
      <c r="B71" s="21" t="n">
        <v>21468</v>
      </c>
      <c r="C71" s="22" t="inlineStr">
        <is>
          <t>SELİM İNŞAAT</t>
        </is>
      </c>
      <c r="D71" s="21" t="inlineStr">
        <is>
          <t>34 GYZ 635</t>
        </is>
      </c>
      <c r="E71" s="21" t="inlineStr">
        <is>
          <t>ENGİN DEMİR</t>
        </is>
      </c>
      <c r="F71" s="23" t="n">
        <v>142604</v>
      </c>
      <c r="G71" s="138" t="n"/>
      <c r="H71" s="138" t="n">
        <v>321</v>
      </c>
      <c r="I71" s="138">
        <f>+I70+(G71-H71)</f>
        <v/>
      </c>
      <c r="J71" s="139" t="n">
        <v>38.78</v>
      </c>
      <c r="K71" s="140" t="n"/>
      <c r="L71" s="140">
        <f>+H71*J71</f>
        <v/>
      </c>
      <c r="M71" s="141">
        <f>SUM(M70+K71-L71)</f>
        <v/>
      </c>
    </row>
    <row r="72">
      <c r="A72" s="20" t="n">
        <v>45661</v>
      </c>
      <c r="B72" s="21" t="n">
        <v>10503</v>
      </c>
      <c r="C72" s="22" t="inlineStr">
        <is>
          <t>SELİM İNŞAAT</t>
        </is>
      </c>
      <c r="D72" s="21" t="inlineStr">
        <is>
          <t>34 EDB 922</t>
        </is>
      </c>
      <c r="E72" s="21" t="inlineStr">
        <is>
          <t>AHMET TOPÇU</t>
        </is>
      </c>
      <c r="F72" s="23" t="n">
        <v>327158</v>
      </c>
      <c r="G72" s="138" t="n"/>
      <c r="H72" s="138" t="n">
        <v>317</v>
      </c>
      <c r="I72" s="138">
        <f>+I71+(G72-H72)</f>
        <v/>
      </c>
      <c r="J72" s="139" t="n">
        <v>38.78</v>
      </c>
      <c r="K72" s="140" t="n"/>
      <c r="L72" s="140">
        <f>+H72*J72</f>
        <v/>
      </c>
      <c r="M72" s="141">
        <f>SUM(M71+K72-L72)</f>
        <v/>
      </c>
    </row>
    <row r="73">
      <c r="A73" s="20" t="n">
        <v>45661</v>
      </c>
      <c r="B73" s="21" t="n">
        <v>11616</v>
      </c>
      <c r="C73" s="22" t="inlineStr">
        <is>
          <t>SELİM İNŞAAT</t>
        </is>
      </c>
      <c r="D73" s="21" t="inlineStr">
        <is>
          <t>34 DTV 352</t>
        </is>
      </c>
      <c r="E73" s="21" t="inlineStr">
        <is>
          <t xml:space="preserve">RASİM BARTU </t>
        </is>
      </c>
      <c r="F73" s="23" t="n">
        <v>404964</v>
      </c>
      <c r="G73" s="138" t="n"/>
      <c r="H73" s="138" t="n">
        <v>250</v>
      </c>
      <c r="I73" s="138">
        <f>+I72+(G73-H73)</f>
        <v/>
      </c>
      <c r="J73" s="139" t="n">
        <v>38.78</v>
      </c>
      <c r="K73" s="140" t="n"/>
      <c r="L73" s="140">
        <f>+H73*J73</f>
        <v/>
      </c>
      <c r="M73" s="141">
        <f>SUM(M72+K73-L73)</f>
        <v/>
      </c>
    </row>
    <row r="74">
      <c r="A74" s="20" t="n">
        <v>45661</v>
      </c>
      <c r="B74" s="21" t="n">
        <v>20848</v>
      </c>
      <c r="C74" s="22" t="inlineStr">
        <is>
          <t>SELİM İNŞAAT</t>
        </is>
      </c>
      <c r="D74" s="21" t="inlineStr">
        <is>
          <t>34 FSG 229</t>
        </is>
      </c>
      <c r="E74" s="21" t="inlineStr">
        <is>
          <t>SİNAN TANRIVERDİ</t>
        </is>
      </c>
      <c r="F74" s="23" t="n">
        <v>226876</v>
      </c>
      <c r="G74" s="138" t="n"/>
      <c r="H74" s="138" t="n">
        <v>320</v>
      </c>
      <c r="I74" s="138">
        <f>+I73+(G74-H74)</f>
        <v/>
      </c>
      <c r="J74" s="139" t="n">
        <v>38.78</v>
      </c>
      <c r="K74" s="140" t="n"/>
      <c r="L74" s="140">
        <f>+H74*J74</f>
        <v/>
      </c>
      <c r="M74" s="141">
        <f>SUM(M73+K74-L74)</f>
        <v/>
      </c>
    </row>
    <row r="75">
      <c r="A75" s="20" t="n">
        <v>45661</v>
      </c>
      <c r="B75" s="21" t="n">
        <v>11262</v>
      </c>
      <c r="C75" s="22" t="inlineStr">
        <is>
          <t>SELİM İNŞAAT</t>
        </is>
      </c>
      <c r="D75" s="21" t="inlineStr">
        <is>
          <t>34 EDC 162</t>
        </is>
      </c>
      <c r="E75" s="21" t="inlineStr">
        <is>
          <t xml:space="preserve">YAKUP GÜNER </t>
        </is>
      </c>
      <c r="F75" s="23" t="n">
        <v>334566</v>
      </c>
      <c r="G75" s="138" t="n"/>
      <c r="H75" s="138" t="n">
        <v>317</v>
      </c>
      <c r="I75" s="138">
        <f>+I74+(G75-H75)</f>
        <v/>
      </c>
      <c r="J75" s="139" t="n">
        <v>38.78</v>
      </c>
      <c r="K75" s="140" t="n"/>
      <c r="L75" s="140">
        <f>+H75*J75</f>
        <v/>
      </c>
      <c r="M75" s="141">
        <f>SUM(M74+K75-L75)</f>
        <v/>
      </c>
    </row>
    <row r="76">
      <c r="A76" s="20" t="n">
        <v>45661</v>
      </c>
      <c r="B76" s="21" t="n">
        <v>10267</v>
      </c>
      <c r="C76" s="22" t="inlineStr">
        <is>
          <t>SELİM İNŞAAT</t>
        </is>
      </c>
      <c r="D76" s="21" t="inlineStr">
        <is>
          <t>34 FBR 748</t>
        </is>
      </c>
      <c r="E76" s="21" t="inlineStr">
        <is>
          <t>YAŞAR ÖZKAYA</t>
        </is>
      </c>
      <c r="F76" s="23" t="n">
        <v>253542</v>
      </c>
      <c r="G76" s="138" t="n"/>
      <c r="H76" s="138" t="n">
        <v>420</v>
      </c>
      <c r="I76" s="138">
        <f>+I75+(G76-H76)</f>
        <v/>
      </c>
      <c r="J76" s="139" t="n">
        <v>38.78</v>
      </c>
      <c r="K76" s="140" t="n"/>
      <c r="L76" s="140">
        <f>+H76*J76</f>
        <v/>
      </c>
      <c r="M76" s="141">
        <f>SUM(M75+K76-L76)</f>
        <v/>
      </c>
    </row>
    <row r="77">
      <c r="A77" s="20" t="n">
        <v>45661</v>
      </c>
      <c r="B77" s="21" t="n">
        <v>20987</v>
      </c>
      <c r="C77" s="22" t="inlineStr">
        <is>
          <t>SELİM İNŞAAT</t>
        </is>
      </c>
      <c r="D77" s="21" t="inlineStr">
        <is>
          <t>34 GUS 938</t>
        </is>
      </c>
      <c r="E77" s="21" t="inlineStr">
        <is>
          <t>MEHMET KAYA</t>
        </is>
      </c>
      <c r="F77" s="23" t="n">
        <v>152513</v>
      </c>
      <c r="G77" s="138" t="n"/>
      <c r="H77" s="138" t="n">
        <v>375</v>
      </c>
      <c r="I77" s="138">
        <f>+I76+(G77-H77)</f>
        <v/>
      </c>
      <c r="J77" s="139" t="n">
        <v>38.78</v>
      </c>
      <c r="K77" s="140" t="n"/>
      <c r="L77" s="140">
        <f>+H77*J77</f>
        <v/>
      </c>
      <c r="M77" s="141">
        <f>SUM(M76+K77-L77)</f>
        <v/>
      </c>
    </row>
    <row r="78">
      <c r="A78" s="20" t="n">
        <v>45661</v>
      </c>
      <c r="B78" s="21" t="n">
        <v>10307</v>
      </c>
      <c r="C78" s="22" t="inlineStr">
        <is>
          <t>SELİM İNŞAAT</t>
        </is>
      </c>
      <c r="D78" s="21" t="inlineStr">
        <is>
          <t>34 EDB 829</t>
        </is>
      </c>
      <c r="E78" s="21" t="inlineStr">
        <is>
          <t>İSMET BAYRAM</t>
        </is>
      </c>
      <c r="F78" s="23" t="n">
        <v>288332</v>
      </c>
      <c r="G78" s="138" t="n"/>
      <c r="H78" s="138" t="n">
        <v>313</v>
      </c>
      <c r="I78" s="138">
        <f>+I77+(G78-H78)</f>
        <v/>
      </c>
      <c r="J78" s="139" t="n">
        <v>38.78</v>
      </c>
      <c r="K78" s="140" t="n"/>
      <c r="L78" s="140">
        <f>+H78*J78</f>
        <v/>
      </c>
      <c r="M78" s="141">
        <f>SUM(M77+K78-L78)</f>
        <v/>
      </c>
    </row>
    <row r="79">
      <c r="A79" s="20" t="n">
        <v>45661</v>
      </c>
      <c r="B79" s="21" t="n">
        <v>21275</v>
      </c>
      <c r="C79" s="22" t="inlineStr">
        <is>
          <t>SELİM İNŞAAT</t>
        </is>
      </c>
      <c r="D79" s="21" t="inlineStr">
        <is>
          <t>34 DTV 447</t>
        </is>
      </c>
      <c r="E79" s="21" t="inlineStr">
        <is>
          <t>EBUBEKİR KOLDAŞ</t>
        </is>
      </c>
      <c r="F79" s="23" t="n">
        <v>408459</v>
      </c>
      <c r="G79" s="138" t="n"/>
      <c r="H79" s="138" t="n">
        <v>431</v>
      </c>
      <c r="I79" s="138">
        <f>+I78+(G79-H79)</f>
        <v/>
      </c>
      <c r="J79" s="139" t="n">
        <v>38.78</v>
      </c>
      <c r="K79" s="140" t="n"/>
      <c r="L79" s="140">
        <f>+H79*J79</f>
        <v/>
      </c>
      <c r="M79" s="141">
        <f>SUM(M78+K79-L79)</f>
        <v/>
      </c>
    </row>
    <row r="80">
      <c r="A80" s="20" t="n">
        <v>45661</v>
      </c>
      <c r="B80" s="21" t="n">
        <v>11772</v>
      </c>
      <c r="C80" s="22" t="inlineStr">
        <is>
          <t>SELİM İNŞAAT</t>
        </is>
      </c>
      <c r="D80" s="21" t="inlineStr">
        <is>
          <t>34 EDC 086</t>
        </is>
      </c>
      <c r="E80" s="21" t="inlineStr">
        <is>
          <t>ÖMER AĞAYAR</t>
        </is>
      </c>
      <c r="F80" s="23" t="n">
        <v>299543</v>
      </c>
      <c r="G80" s="138" t="n"/>
      <c r="H80" s="138" t="n">
        <v>290</v>
      </c>
      <c r="I80" s="138">
        <f>+I79+(G80-H80)</f>
        <v/>
      </c>
      <c r="J80" s="139" t="n">
        <v>38.78</v>
      </c>
      <c r="K80" s="140" t="n"/>
      <c r="L80" s="140">
        <f>+H80*J80</f>
        <v/>
      </c>
      <c r="M80" s="141">
        <f>SUM(M79+K80-L80)</f>
        <v/>
      </c>
    </row>
    <row r="81">
      <c r="A81" s="20" t="n">
        <v>45661</v>
      </c>
      <c r="B81" s="21" t="n">
        <v>21699</v>
      </c>
      <c r="C81" s="22" t="inlineStr">
        <is>
          <t>SELİM İNŞAAT</t>
        </is>
      </c>
      <c r="D81" s="21" t="inlineStr">
        <is>
          <t>34 FBR 771</t>
        </is>
      </c>
      <c r="E81" s="21" t="inlineStr">
        <is>
          <t>HÜSEYİN AKÇİN</t>
        </is>
      </c>
      <c r="F81" s="23" t="n">
        <v>286523</v>
      </c>
      <c r="G81" s="138" t="n"/>
      <c r="H81" s="138" t="n">
        <v>434</v>
      </c>
      <c r="I81" s="138">
        <f>+I80+(G81-H81)</f>
        <v/>
      </c>
      <c r="J81" s="139" t="n">
        <v>38.78</v>
      </c>
      <c r="K81" s="140" t="n"/>
      <c r="L81" s="140">
        <f>+H81*J81</f>
        <v/>
      </c>
      <c r="M81" s="141">
        <f>SUM(M80+K81-L81)</f>
        <v/>
      </c>
    </row>
    <row r="82">
      <c r="A82" s="20" t="n">
        <v>45661</v>
      </c>
      <c r="B82" s="21" t="n">
        <v>10414</v>
      </c>
      <c r="C82" s="22" t="inlineStr">
        <is>
          <t>SELİM İNŞAAT</t>
        </is>
      </c>
      <c r="D82" s="21" t="inlineStr">
        <is>
          <t>34 FBR 781</t>
        </is>
      </c>
      <c r="E82" s="21" t="inlineStr">
        <is>
          <t>MEVLÜT POLAT</t>
        </is>
      </c>
      <c r="F82" s="23" t="n">
        <v>270405</v>
      </c>
      <c r="G82" s="138" t="n"/>
      <c r="H82" s="138" t="n">
        <v>402</v>
      </c>
      <c r="I82" s="138">
        <f>+I81+(G82-H82)</f>
        <v/>
      </c>
      <c r="J82" s="139" t="n">
        <v>38.78</v>
      </c>
      <c r="K82" s="140" t="n"/>
      <c r="L82" s="140">
        <f>+H82*J82</f>
        <v/>
      </c>
      <c r="M82" s="141">
        <f>SUM(M81+K82-L82)</f>
        <v/>
      </c>
    </row>
    <row r="83">
      <c r="A83" s="20" t="n">
        <v>45661</v>
      </c>
      <c r="B83" s="21" t="n">
        <v>10614</v>
      </c>
      <c r="C83" s="22" t="inlineStr">
        <is>
          <t>SELİM İNŞAAT</t>
        </is>
      </c>
      <c r="D83" s="21" t="inlineStr">
        <is>
          <t>34 EDB 754</t>
        </is>
      </c>
      <c r="E83" s="21" t="inlineStr">
        <is>
          <t>EMİN PARLAKKILIÇ</t>
        </is>
      </c>
      <c r="F83" s="23" t="n">
        <v>294230</v>
      </c>
      <c r="G83" s="138" t="n"/>
      <c r="H83" s="138" t="n">
        <v>279</v>
      </c>
      <c r="I83" s="138">
        <f>+I82+(G83-H83)</f>
        <v/>
      </c>
      <c r="J83" s="139" t="n">
        <v>38.78</v>
      </c>
      <c r="K83" s="140" t="n"/>
      <c r="L83" s="140">
        <f>+H83*J83</f>
        <v/>
      </c>
      <c r="M83" s="141">
        <f>SUM(M82+K83-L83)</f>
        <v/>
      </c>
    </row>
    <row r="84">
      <c r="A84" s="20" t="n">
        <v>45661</v>
      </c>
      <c r="B84" s="21" t="n">
        <v>11116</v>
      </c>
      <c r="C84" s="22" t="inlineStr">
        <is>
          <t>SELİM İNŞAAT</t>
        </is>
      </c>
      <c r="D84" s="21" t="inlineStr">
        <is>
          <t>34 DTV 409</t>
        </is>
      </c>
      <c r="E84" s="21" t="inlineStr">
        <is>
          <t>EBUBEKİR KOLDAŞ</t>
        </is>
      </c>
      <c r="F84" s="23" t="n">
        <v>391839</v>
      </c>
      <c r="G84" s="138" t="n"/>
      <c r="H84" s="138" t="n">
        <v>270</v>
      </c>
      <c r="I84" s="138">
        <f>+I83+(G84-H84)</f>
        <v/>
      </c>
      <c r="J84" s="139" t="n">
        <v>38.78</v>
      </c>
      <c r="K84" s="140" t="n"/>
      <c r="L84" s="140">
        <f>+H84*J84</f>
        <v/>
      </c>
      <c r="M84" s="141">
        <f>SUM(M83+K84-L84)</f>
        <v/>
      </c>
    </row>
    <row r="85">
      <c r="A85" s="20" t="n">
        <v>45661</v>
      </c>
      <c r="B85" s="21" t="n">
        <v>21531</v>
      </c>
      <c r="C85" s="22" t="inlineStr">
        <is>
          <t>SELİM İNŞAAT</t>
        </is>
      </c>
      <c r="D85" s="21" t="inlineStr">
        <is>
          <t>34 GVZ 745</t>
        </is>
      </c>
      <c r="E85" s="21" t="inlineStr">
        <is>
          <t>MUHAMMED YİĞİT</t>
        </is>
      </c>
      <c r="F85" s="23" t="n">
        <v>156334</v>
      </c>
      <c r="G85" s="138" t="n"/>
      <c r="H85" s="138" t="n">
        <v>432</v>
      </c>
      <c r="I85" s="138">
        <f>+I84+(G85-H85)</f>
        <v/>
      </c>
      <c r="J85" s="139" t="n">
        <v>38.78</v>
      </c>
      <c r="K85" s="140" t="n"/>
      <c r="L85" s="140">
        <f>+H85*J85</f>
        <v/>
      </c>
      <c r="M85" s="141">
        <f>SUM(M84+K85-L85)</f>
        <v/>
      </c>
    </row>
    <row r="86">
      <c r="A86" s="20" t="n">
        <v>45661</v>
      </c>
      <c r="B86" s="21" t="n">
        <v>21986</v>
      </c>
      <c r="C86" s="22" t="inlineStr">
        <is>
          <t>SELİM İNŞAAT</t>
        </is>
      </c>
      <c r="D86" s="21" t="inlineStr">
        <is>
          <t>34 EGR 737</t>
        </is>
      </c>
      <c r="E86" s="21" t="inlineStr">
        <is>
          <t>İBRAHİM GÜNASLAN</t>
        </is>
      </c>
      <c r="F86" s="23" t="n">
        <v>385432</v>
      </c>
      <c r="G86" s="138" t="n"/>
      <c r="H86" s="138" t="n">
        <v>388</v>
      </c>
      <c r="I86" s="138">
        <f>+I85+(G86-H86)</f>
        <v/>
      </c>
      <c r="J86" s="139" t="n">
        <v>38.78</v>
      </c>
      <c r="K86" s="140" t="n"/>
      <c r="L86" s="140">
        <f>+H86*J86</f>
        <v/>
      </c>
      <c r="M86" s="141">
        <f>SUM(M85+K86-L86)</f>
        <v/>
      </c>
    </row>
    <row r="87">
      <c r="A87" s="20" t="n">
        <v>45661</v>
      </c>
      <c r="B87" s="21" t="n">
        <v>9903</v>
      </c>
      <c r="C87" s="22" t="inlineStr">
        <is>
          <t>AHMET SELİM TEMHA</t>
        </is>
      </c>
      <c r="D87" s="21" t="inlineStr">
        <is>
          <t>SIVACI İSMAİL</t>
        </is>
      </c>
      <c r="E87" s="21" t="inlineStr">
        <is>
          <t>CEMAL</t>
        </is>
      </c>
      <c r="F87" s="23" t="n"/>
      <c r="G87" s="138" t="n"/>
      <c r="H87" s="138" t="n">
        <v>35</v>
      </c>
      <c r="I87" s="138">
        <f>+I86+(G87-H87)</f>
        <v/>
      </c>
      <c r="J87" s="139" t="n">
        <v>38.78</v>
      </c>
      <c r="K87" s="140" t="n"/>
      <c r="L87" s="140">
        <f>+H87*J87</f>
        <v/>
      </c>
      <c r="M87" s="141">
        <f>SUM(M86+K87-L87)</f>
        <v/>
      </c>
    </row>
    <row r="88">
      <c r="A88" s="20" t="n">
        <v>45661</v>
      </c>
      <c r="B88" s="21" t="n">
        <v>21123</v>
      </c>
      <c r="C88" s="22" t="inlineStr">
        <is>
          <t>SELİM İNŞAAT</t>
        </is>
      </c>
      <c r="D88" s="21" t="inlineStr">
        <is>
          <t>34 TG 7869</t>
        </is>
      </c>
      <c r="E88" s="21" t="inlineStr">
        <is>
          <t>GÖRKEM KARABEL</t>
        </is>
      </c>
      <c r="F88" s="23" t="n">
        <v>178383</v>
      </c>
      <c r="G88" s="138" t="n"/>
      <c r="H88" s="138" t="n">
        <v>190</v>
      </c>
      <c r="I88" s="138">
        <f>+I87+(G88-H88)</f>
        <v/>
      </c>
      <c r="J88" s="139" t="n">
        <v>38.78</v>
      </c>
      <c r="K88" s="140" t="n"/>
      <c r="L88" s="140">
        <f>+H88*J88</f>
        <v/>
      </c>
      <c r="M88" s="141">
        <f>SUM(M87+K88-L88)</f>
        <v/>
      </c>
    </row>
    <row r="89">
      <c r="A89" s="20" t="n">
        <v>45661</v>
      </c>
      <c r="B89" s="1" t="n">
        <v>9925</v>
      </c>
      <c r="C89" s="2" t="inlineStr">
        <is>
          <t>EVKUR</t>
        </is>
      </c>
      <c r="D89" s="1" t="inlineStr">
        <is>
          <t>SIVACI İSMAİL</t>
        </is>
      </c>
      <c r="E89" s="1" t="n"/>
      <c r="F89" s="3" t="n"/>
      <c r="G89" s="143" t="n"/>
      <c r="H89" s="143" t="n">
        <v>45</v>
      </c>
      <c r="I89" s="143">
        <f>+I88+(G89-H89)</f>
        <v/>
      </c>
      <c r="J89" s="144" t="n">
        <v>38.78</v>
      </c>
      <c r="K89" s="145" t="n"/>
      <c r="L89" s="140">
        <f>+H89*J89</f>
        <v/>
      </c>
      <c r="M89" s="141">
        <f>SUM(M88+K89-L89)</f>
        <v/>
      </c>
    </row>
    <row r="90">
      <c r="A90" s="20" t="n">
        <v>45662</v>
      </c>
      <c r="B90" s="21" t="n">
        <v>9926</v>
      </c>
      <c r="C90" s="22" t="inlineStr">
        <is>
          <t>RECEP SELİM OTO KURTARICI</t>
        </is>
      </c>
      <c r="D90" s="21" t="inlineStr">
        <is>
          <t>34 GC 8658</t>
        </is>
      </c>
      <c r="E90" s="21" t="inlineStr">
        <is>
          <t>RECEP SELİM</t>
        </is>
      </c>
      <c r="F90" s="23" t="n"/>
      <c r="G90" s="138" t="n"/>
      <c r="H90" s="138" t="n">
        <v>77</v>
      </c>
      <c r="I90" s="138">
        <f>+I89+(G90-H90)</f>
        <v/>
      </c>
      <c r="J90" s="139" t="n">
        <v>38.78</v>
      </c>
      <c r="K90" s="140" t="n"/>
      <c r="L90" s="140">
        <f>+H90*J90</f>
        <v/>
      </c>
      <c r="M90" s="141">
        <f>SUM(M89+K90-L90)</f>
        <v/>
      </c>
    </row>
    <row r="91">
      <c r="A91" s="20" t="n">
        <v>45662</v>
      </c>
      <c r="B91" s="21" t="n">
        <v>9927</v>
      </c>
      <c r="C91" s="22" t="inlineStr">
        <is>
          <t>AHMET SELİM TEMHA</t>
        </is>
      </c>
      <c r="D91" s="21" t="inlineStr">
        <is>
          <t>34 DGE 422</t>
        </is>
      </c>
      <c r="E91" s="21" t="inlineStr">
        <is>
          <t>CEMAL</t>
        </is>
      </c>
      <c r="F91" s="23" t="n"/>
      <c r="G91" s="138" t="n"/>
      <c r="H91" s="138" t="n">
        <v>110</v>
      </c>
      <c r="I91" s="138">
        <f>+I90+(G91-H91)</f>
        <v/>
      </c>
      <c r="J91" s="139" t="n">
        <v>38.78</v>
      </c>
      <c r="K91" s="140" t="n"/>
      <c r="L91" s="140">
        <f>+H91*J91</f>
        <v/>
      </c>
      <c r="M91" s="141">
        <f>SUM(M90+K91-L91)</f>
        <v/>
      </c>
    </row>
    <row r="92">
      <c r="A92" s="20" t="n">
        <v>45663</v>
      </c>
      <c r="B92" s="21" t="n">
        <v>11351</v>
      </c>
      <c r="C92" s="22" t="inlineStr">
        <is>
          <t>AZGÜN YAPI</t>
        </is>
      </c>
      <c r="D92" s="21" t="inlineStr">
        <is>
          <t>34 MKT 593</t>
        </is>
      </c>
      <c r="E92" s="21" t="inlineStr">
        <is>
          <t>HASAN</t>
        </is>
      </c>
      <c r="F92" s="23" t="n">
        <v>759</v>
      </c>
      <c r="G92" s="138" t="n"/>
      <c r="H92" s="138" t="n">
        <v>354</v>
      </c>
      <c r="I92" s="138">
        <f>+I91+(G92-H92)</f>
        <v/>
      </c>
      <c r="J92" s="139" t="n">
        <v>38.78</v>
      </c>
      <c r="K92" s="140" t="n"/>
      <c r="L92" s="140">
        <f>+H92*J92</f>
        <v/>
      </c>
      <c r="M92" s="141">
        <f>SUM(M91+K92-L92)</f>
        <v/>
      </c>
    </row>
    <row r="93">
      <c r="A93" s="20" t="n">
        <v>45663</v>
      </c>
      <c r="B93" s="21" t="n">
        <v>11302</v>
      </c>
      <c r="C93" s="22" t="inlineStr">
        <is>
          <t>AZGÜN YAPI</t>
        </is>
      </c>
      <c r="D93" s="21" t="inlineStr">
        <is>
          <t>34 MKT 859</t>
        </is>
      </c>
      <c r="E93" s="21" t="inlineStr">
        <is>
          <t>YAHYA</t>
        </is>
      </c>
      <c r="F93" s="23" t="n">
        <v>1618</v>
      </c>
      <c r="G93" s="138" t="n"/>
      <c r="H93" s="138" t="n">
        <v>221</v>
      </c>
      <c r="I93" s="138">
        <f>+I92+(G93-H93)</f>
        <v/>
      </c>
      <c r="J93" s="139" t="n">
        <v>38.78</v>
      </c>
      <c r="K93" s="140" t="n"/>
      <c r="L93" s="140">
        <f>+H93*J93</f>
        <v/>
      </c>
      <c r="M93" s="141">
        <f>SUM(M92+K93-L93)</f>
        <v/>
      </c>
    </row>
    <row r="94">
      <c r="A94" s="20" t="n">
        <v>45663</v>
      </c>
      <c r="B94" s="21" t="n">
        <v>10010</v>
      </c>
      <c r="C94" s="22" t="inlineStr">
        <is>
          <t>METİN ERYİĞİT</t>
        </is>
      </c>
      <c r="D94" s="21" t="inlineStr">
        <is>
          <t>34 EGS 013</t>
        </is>
      </c>
      <c r="E94" s="21" t="inlineStr">
        <is>
          <t>UĞUR DUMAN</t>
        </is>
      </c>
      <c r="F94" s="23" t="n">
        <v>453687</v>
      </c>
      <c r="G94" s="138" t="n"/>
      <c r="H94" s="138" t="n">
        <v>415</v>
      </c>
      <c r="I94" s="138">
        <f>+I93+(G94-H94)</f>
        <v/>
      </c>
      <c r="J94" s="139" t="n">
        <v>38.78</v>
      </c>
      <c r="K94" s="140" t="n"/>
      <c r="L94" s="140">
        <f>+H94*J94</f>
        <v/>
      </c>
      <c r="M94" s="141">
        <f>SUM(M93+K94-L94)</f>
        <v/>
      </c>
    </row>
    <row r="95">
      <c r="A95" s="20" t="n">
        <v>45663</v>
      </c>
      <c r="B95" s="21" t="n">
        <v>11412</v>
      </c>
      <c r="C95" s="22" t="inlineStr">
        <is>
          <t>METİN ERYİĞİT</t>
        </is>
      </c>
      <c r="D95" s="21" t="inlineStr">
        <is>
          <t>34 EGR 814</t>
        </is>
      </c>
      <c r="E95" s="21" t="inlineStr">
        <is>
          <t>FARUK ÖZEN</t>
        </is>
      </c>
      <c r="F95" s="23" t="n">
        <v>505849</v>
      </c>
      <c r="G95" s="138" t="n"/>
      <c r="H95" s="138" t="n">
        <v>421</v>
      </c>
      <c r="I95" s="138">
        <f>+I94+(G95-H95)</f>
        <v/>
      </c>
      <c r="J95" s="139" t="n">
        <v>38.78</v>
      </c>
      <c r="K95" s="140" t="n"/>
      <c r="L95" s="140">
        <f>+H95*J95</f>
        <v/>
      </c>
      <c r="M95" s="141">
        <f>SUM(M94+K95-L95)</f>
        <v/>
      </c>
    </row>
    <row r="96">
      <c r="A96" s="20" t="n">
        <v>45663</v>
      </c>
      <c r="B96" s="21" t="n">
        <v>21250</v>
      </c>
      <c r="C96" s="22" t="inlineStr">
        <is>
          <t>METİN ŞİRİN</t>
        </is>
      </c>
      <c r="D96" s="21" t="inlineStr">
        <is>
          <t>34 EGR 922</t>
        </is>
      </c>
      <c r="E96" s="21" t="inlineStr">
        <is>
          <t>GÜRAY KOYUNCU</t>
        </is>
      </c>
      <c r="F96" s="23" t="n">
        <v>426929</v>
      </c>
      <c r="G96" s="138" t="n"/>
      <c r="H96" s="138" t="n">
        <v>427</v>
      </c>
      <c r="I96" s="138">
        <f>+I95+(G96-H96)</f>
        <v/>
      </c>
      <c r="J96" s="139" t="n">
        <v>38.78</v>
      </c>
      <c r="K96" s="140" t="n"/>
      <c r="L96" s="140">
        <f>+H96*J96</f>
        <v/>
      </c>
      <c r="M96" s="141">
        <f>SUM(M95+K96-L96)</f>
        <v/>
      </c>
    </row>
    <row r="97">
      <c r="A97" s="20" t="n">
        <v>45663</v>
      </c>
      <c r="B97" s="21" t="n">
        <v>20948</v>
      </c>
      <c r="C97" s="22" t="inlineStr">
        <is>
          <t>SELİM İNŞAAT</t>
        </is>
      </c>
      <c r="D97" s="21" t="inlineStr">
        <is>
          <t>34 FBR 742</t>
        </is>
      </c>
      <c r="E97" s="21" t="inlineStr">
        <is>
          <t>MİKAİL BAYILMAZ</t>
        </is>
      </c>
      <c r="F97" s="23" t="n">
        <v>287776</v>
      </c>
      <c r="G97" s="138" t="n"/>
      <c r="H97" s="138" t="n">
        <v>403</v>
      </c>
      <c r="I97" s="138">
        <f>+I96+(G97-H97)</f>
        <v/>
      </c>
      <c r="J97" s="139" t="n">
        <v>38.78</v>
      </c>
      <c r="K97" s="140" t="n"/>
      <c r="L97" s="140">
        <f>+H97*J97</f>
        <v/>
      </c>
      <c r="M97" s="141">
        <f>SUM(M96+K97-L97)</f>
        <v/>
      </c>
    </row>
    <row r="98">
      <c r="A98" s="20" t="n">
        <v>45663</v>
      </c>
      <c r="B98" s="21" t="n">
        <v>10976</v>
      </c>
      <c r="C98" s="22" t="inlineStr">
        <is>
          <t>SELİM İNŞAAT</t>
        </is>
      </c>
      <c r="D98" s="21" t="inlineStr">
        <is>
          <t>34 GVZ 199</t>
        </is>
      </c>
      <c r="E98" s="21" t="inlineStr">
        <is>
          <t>VAHDET GÜRLER</t>
        </is>
      </c>
      <c r="F98" s="23" t="n">
        <v>150013</v>
      </c>
      <c r="G98" s="138" t="n"/>
      <c r="H98" s="138" t="n">
        <v>274</v>
      </c>
      <c r="I98" s="138">
        <f>+I97+(G98-H98)</f>
        <v/>
      </c>
      <c r="J98" s="139" t="n">
        <v>38.78</v>
      </c>
      <c r="K98" s="140" t="n"/>
      <c r="L98" s="140">
        <f>+H98*J98</f>
        <v/>
      </c>
      <c r="M98" s="141">
        <f>SUM(M97+K98-L98)</f>
        <v/>
      </c>
    </row>
    <row r="99">
      <c r="A99" s="20" t="n">
        <v>45663</v>
      </c>
      <c r="B99" s="21" t="n">
        <v>11617</v>
      </c>
      <c r="C99" s="22" t="inlineStr">
        <is>
          <t>SELİM İNŞAAT</t>
        </is>
      </c>
      <c r="D99" s="21" t="inlineStr">
        <is>
          <t>34 DTV 352</t>
        </is>
      </c>
      <c r="E99" s="21" t="inlineStr">
        <is>
          <t xml:space="preserve">RASİM BARTU </t>
        </is>
      </c>
      <c r="F99" s="23" t="n">
        <v>405229</v>
      </c>
      <c r="G99" s="138" t="n"/>
      <c r="H99" s="138" t="n">
        <v>349</v>
      </c>
      <c r="I99" s="138">
        <f>+I98+(G99-H99)</f>
        <v/>
      </c>
      <c r="J99" s="139" t="n">
        <v>38.78</v>
      </c>
      <c r="K99" s="140" t="n"/>
      <c r="L99" s="140">
        <f>+H99*J99</f>
        <v/>
      </c>
      <c r="M99" s="141">
        <f>SUM(M98+K99-L99)</f>
        <v/>
      </c>
    </row>
    <row r="100">
      <c r="A100" s="20" t="n">
        <v>45663</v>
      </c>
      <c r="B100" s="21" t="n">
        <v>10756</v>
      </c>
      <c r="C100" s="22" t="inlineStr">
        <is>
          <t>SELİM İNŞAAT</t>
        </is>
      </c>
      <c r="D100" s="21" t="inlineStr">
        <is>
          <t>34 FBR 705</t>
        </is>
      </c>
      <c r="E100" s="21" t="inlineStr">
        <is>
          <t>MESUT GÜRLER</t>
        </is>
      </c>
      <c r="F100" s="23" t="n">
        <v>282431</v>
      </c>
      <c r="G100" s="138" t="n"/>
      <c r="H100" s="138" t="n">
        <v>343</v>
      </c>
      <c r="I100" s="138">
        <f>+I99+(G100-H100)</f>
        <v/>
      </c>
      <c r="J100" s="139" t="n">
        <v>38.78</v>
      </c>
      <c r="K100" s="140" t="n"/>
      <c r="L100" s="140">
        <f>+H100*J100</f>
        <v/>
      </c>
      <c r="M100" s="141">
        <f>SUM(M99+K100-L100)</f>
        <v/>
      </c>
    </row>
    <row r="101">
      <c r="A101" s="20" t="n">
        <v>45663</v>
      </c>
      <c r="B101" s="21" t="n">
        <v>21441</v>
      </c>
      <c r="C101" s="22" t="inlineStr">
        <is>
          <t>SELİM İNŞAAT</t>
        </is>
      </c>
      <c r="D101" s="21" t="inlineStr">
        <is>
          <t>34 GUS 848</t>
        </is>
      </c>
      <c r="E101" s="21" t="inlineStr">
        <is>
          <t>SERDAR BOZKURT</t>
        </is>
      </c>
      <c r="F101" s="23" t="n">
        <v>157532</v>
      </c>
      <c r="G101" s="138" t="n"/>
      <c r="H101" s="138" t="n">
        <v>370</v>
      </c>
      <c r="I101" s="138">
        <f>+I100+(G101-H101)</f>
        <v/>
      </c>
      <c r="J101" s="139" t="n">
        <v>38.78</v>
      </c>
      <c r="K101" s="140" t="n"/>
      <c r="L101" s="140">
        <f>+H101*J101</f>
        <v/>
      </c>
      <c r="M101" s="141">
        <f>SUM(M100+K101-L101)</f>
        <v/>
      </c>
    </row>
    <row r="102">
      <c r="A102" s="20" t="n">
        <v>45663</v>
      </c>
      <c r="B102" s="21" t="n">
        <v>9779</v>
      </c>
      <c r="C102" s="22" t="inlineStr">
        <is>
          <t>SELİM İNŞAAT</t>
        </is>
      </c>
      <c r="D102" s="21" t="inlineStr">
        <is>
          <t>34 GUZ 268</t>
        </is>
      </c>
      <c r="E102" s="21" t="inlineStr">
        <is>
          <t>KERİM KARAMAN</t>
        </is>
      </c>
      <c r="F102" s="23" t="n">
        <v>159467</v>
      </c>
      <c r="G102" s="138" t="n"/>
      <c r="H102" s="138" t="n">
        <v>422</v>
      </c>
      <c r="I102" s="138">
        <f>+I101+(G102-H102)</f>
        <v/>
      </c>
      <c r="J102" s="139" t="n">
        <v>38.78</v>
      </c>
      <c r="K102" s="140" t="n"/>
      <c r="L102" s="140">
        <f>+H102*J102</f>
        <v/>
      </c>
      <c r="M102" s="141">
        <f>SUM(M101+K102-L102)</f>
        <v/>
      </c>
    </row>
    <row r="103">
      <c r="A103" s="20" t="n">
        <v>45663</v>
      </c>
      <c r="B103" s="21" t="n">
        <v>20890</v>
      </c>
      <c r="C103" s="22" t="inlineStr">
        <is>
          <t>SELİM İNŞAAT</t>
        </is>
      </c>
      <c r="D103" s="21" t="inlineStr">
        <is>
          <t>34 GVZ 310</t>
        </is>
      </c>
      <c r="E103" s="21" t="inlineStr">
        <is>
          <t>CELAL YÜZBAŞI</t>
        </is>
      </c>
      <c r="F103" s="23" t="n">
        <v>162769</v>
      </c>
      <c r="G103" s="138" t="n"/>
      <c r="H103" s="138" t="n">
        <v>364</v>
      </c>
      <c r="I103" s="138">
        <f>+I102+(G103-H103)</f>
        <v/>
      </c>
      <c r="J103" s="139" t="n">
        <v>38.78</v>
      </c>
      <c r="K103" s="140" t="n"/>
      <c r="L103" s="140">
        <f>+H103*J103</f>
        <v/>
      </c>
      <c r="M103" s="141">
        <f>SUM(M102+K103-L103)</f>
        <v/>
      </c>
    </row>
    <row r="104">
      <c r="A104" s="20" t="n">
        <v>45663</v>
      </c>
      <c r="B104" s="21" t="n">
        <v>10162</v>
      </c>
      <c r="C104" s="22" t="inlineStr">
        <is>
          <t>SELİM İNŞAAT</t>
        </is>
      </c>
      <c r="D104" s="21" t="inlineStr">
        <is>
          <t>34 EGR 736</t>
        </is>
      </c>
      <c r="E104" s="21" t="inlineStr">
        <is>
          <t>MUSTAFA KAYA</t>
        </is>
      </c>
      <c r="F104" s="23" t="n">
        <v>357388</v>
      </c>
      <c r="G104" s="138" t="n"/>
      <c r="H104" s="138" t="n">
        <v>374</v>
      </c>
      <c r="I104" s="138">
        <f>+I103+(G104-H104)</f>
        <v/>
      </c>
      <c r="J104" s="139" t="n">
        <v>38.78</v>
      </c>
      <c r="K104" s="140" t="n"/>
      <c r="L104" s="140">
        <f>+H104*J104</f>
        <v/>
      </c>
      <c r="M104" s="141">
        <f>SUM(M103+K104-L104)</f>
        <v/>
      </c>
    </row>
    <row r="105">
      <c r="A105" s="20" t="n">
        <v>45663</v>
      </c>
      <c r="B105" s="21" t="n">
        <v>21089</v>
      </c>
      <c r="C105" s="22" t="inlineStr">
        <is>
          <t>SELİM İNŞAAT</t>
        </is>
      </c>
      <c r="D105" s="21" t="inlineStr">
        <is>
          <t>34 EDB 659</t>
        </is>
      </c>
      <c r="E105" s="21" t="inlineStr">
        <is>
          <t>MEHMET SAİT ANIK</t>
        </is>
      </c>
      <c r="F105" s="23" t="n">
        <v>308155</v>
      </c>
      <c r="G105" s="138" t="n"/>
      <c r="H105" s="138" t="n">
        <v>262</v>
      </c>
      <c r="I105" s="138">
        <f>+I104+(G105-H105)</f>
        <v/>
      </c>
      <c r="J105" s="139" t="n">
        <v>38.78</v>
      </c>
      <c r="K105" s="140" t="n"/>
      <c r="L105" s="140">
        <f>+H105*J105</f>
        <v/>
      </c>
      <c r="M105" s="141">
        <f>SUM(M104+K105-L105)</f>
        <v/>
      </c>
    </row>
    <row r="106">
      <c r="A106" s="20" t="n">
        <v>45663</v>
      </c>
      <c r="B106" s="21" t="n">
        <v>20798</v>
      </c>
      <c r="C106" s="22" t="inlineStr">
        <is>
          <t>SELİM İNŞAAT</t>
        </is>
      </c>
      <c r="D106" s="21" t="inlineStr">
        <is>
          <t>34 DRU 690</t>
        </is>
      </c>
      <c r="E106" s="21" t="inlineStr">
        <is>
          <t>FARUK ÖZEN</t>
        </is>
      </c>
      <c r="F106" s="23" t="n">
        <v>385234</v>
      </c>
      <c r="G106" s="138" t="n"/>
      <c r="H106" s="138" t="n">
        <v>362</v>
      </c>
      <c r="I106" s="138">
        <f>+I105+(G106-H106)</f>
        <v/>
      </c>
      <c r="J106" s="139" t="n">
        <v>38.78</v>
      </c>
      <c r="K106" s="140" t="n"/>
      <c r="L106" s="140">
        <f>+H106*J106</f>
        <v/>
      </c>
      <c r="M106" s="141">
        <f>SUM(M105+K106-L106)</f>
        <v/>
      </c>
    </row>
    <row r="107">
      <c r="A107" s="20" t="n">
        <v>45663</v>
      </c>
      <c r="B107" s="21" t="n">
        <v>9904</v>
      </c>
      <c r="C107" s="22" t="inlineStr">
        <is>
          <t>AHMET SELİM TEMHA</t>
        </is>
      </c>
      <c r="D107" s="21" t="inlineStr">
        <is>
          <t>SIVACI İSMAİL</t>
        </is>
      </c>
      <c r="E107" s="21" t="inlineStr">
        <is>
          <t>CEMAL</t>
        </is>
      </c>
      <c r="F107" s="23" t="n"/>
      <c r="G107" s="138" t="n"/>
      <c r="H107" s="138" t="n">
        <v>31</v>
      </c>
      <c r="I107" s="138">
        <f>+I106+(G107-H107)</f>
        <v/>
      </c>
      <c r="J107" s="139" t="n">
        <v>38.78</v>
      </c>
      <c r="K107" s="140" t="n"/>
      <c r="L107" s="140">
        <f>+H107*J107</f>
        <v/>
      </c>
      <c r="M107" s="141">
        <f>SUM(M106+K107-L107)</f>
        <v/>
      </c>
    </row>
    <row r="108">
      <c r="A108" s="20" t="n">
        <v>45663</v>
      </c>
      <c r="B108" s="21" t="n">
        <v>10117</v>
      </c>
      <c r="C108" s="22" t="inlineStr">
        <is>
          <t>SELİM İNŞAAT</t>
        </is>
      </c>
      <c r="D108" s="21" t="inlineStr">
        <is>
          <t>34 DP 4161</t>
        </is>
      </c>
      <c r="E108" s="21" t="inlineStr">
        <is>
          <t>RIFAT KARATAY</t>
        </is>
      </c>
      <c r="F108" s="23" t="n">
        <v>278772</v>
      </c>
      <c r="G108" s="138" t="n"/>
      <c r="H108" s="138" t="n">
        <v>158</v>
      </c>
      <c r="I108" s="138">
        <f>+I107+(G108-H108)</f>
        <v/>
      </c>
      <c r="J108" s="139" t="n">
        <v>38.78</v>
      </c>
      <c r="K108" s="140" t="n"/>
      <c r="L108" s="140">
        <f>+H108*J108</f>
        <v/>
      </c>
      <c r="M108" s="141">
        <f>SUM(M107+K108-L108)</f>
        <v/>
      </c>
    </row>
    <row r="109">
      <c r="A109" s="20" t="n">
        <v>45663</v>
      </c>
      <c r="B109" s="21" t="n">
        <v>20287</v>
      </c>
      <c r="C109" s="22" t="inlineStr">
        <is>
          <t>SELİM İNŞAAT</t>
        </is>
      </c>
      <c r="D109" s="21" t="inlineStr">
        <is>
          <t>34 DKL 866</t>
        </is>
      </c>
      <c r="E109" s="21" t="inlineStr">
        <is>
          <t>ŞERİF CAN ÖNVER</t>
        </is>
      </c>
      <c r="F109" s="23" t="n">
        <v>59780</v>
      </c>
      <c r="G109" s="138" t="n"/>
      <c r="H109" s="138" t="n">
        <v>139</v>
      </c>
      <c r="I109" s="138">
        <f>+I108+(G109-H109)</f>
        <v/>
      </c>
      <c r="J109" s="139" t="n">
        <v>38.78</v>
      </c>
      <c r="K109" s="140" t="n"/>
      <c r="L109" s="140">
        <f>+H109*J109</f>
        <v/>
      </c>
      <c r="M109" s="141">
        <f>SUM(M108+K109-L109)</f>
        <v/>
      </c>
    </row>
    <row r="110">
      <c r="A110" s="20" t="n">
        <v>45663</v>
      </c>
      <c r="B110" s="21" t="n">
        <v>11976</v>
      </c>
      <c r="C110" s="22" t="inlineStr">
        <is>
          <t>SELİM İNŞAAT</t>
        </is>
      </c>
      <c r="D110" s="21" t="inlineStr">
        <is>
          <t>34 DKL 798</t>
        </is>
      </c>
      <c r="E110" s="21" t="inlineStr">
        <is>
          <t>VOLKAN YANAR</t>
        </is>
      </c>
      <c r="F110" s="23" t="n">
        <v>59982</v>
      </c>
      <c r="G110" s="138" t="n"/>
      <c r="H110" s="138" t="n">
        <v>144</v>
      </c>
      <c r="I110" s="138">
        <f>+I109+(G110-H110)</f>
        <v/>
      </c>
      <c r="J110" s="139" t="n">
        <v>38.78</v>
      </c>
      <c r="K110" s="140" t="n"/>
      <c r="L110" s="140">
        <f>+H110*J110</f>
        <v/>
      </c>
      <c r="M110" s="141">
        <f>SUM(M109+K110-L110)</f>
        <v/>
      </c>
    </row>
    <row r="111">
      <c r="A111" s="20" t="n">
        <v>45663</v>
      </c>
      <c r="B111" s="21" t="n">
        <v>11875</v>
      </c>
      <c r="C111" s="22" t="inlineStr">
        <is>
          <t>SELİM İNŞAAT</t>
        </is>
      </c>
      <c r="D111" s="21" t="inlineStr">
        <is>
          <t>34 DFE 454</t>
        </is>
      </c>
      <c r="E111" s="21" t="inlineStr">
        <is>
          <t>HASAN BAYCAN</t>
        </is>
      </c>
      <c r="F111" s="23" t="n">
        <v>153430</v>
      </c>
      <c r="G111" s="138" t="n"/>
      <c r="H111" s="138" t="n">
        <v>175</v>
      </c>
      <c r="I111" s="138">
        <f>+I110+(G111-H111)</f>
        <v/>
      </c>
      <c r="J111" s="139" t="n">
        <v>38.78</v>
      </c>
      <c r="K111" s="140" t="n"/>
      <c r="L111" s="140">
        <f>+H111*J111</f>
        <v/>
      </c>
      <c r="M111" s="141">
        <f>SUM(M110+K111-L111)</f>
        <v/>
      </c>
    </row>
    <row r="112">
      <c r="A112" s="20" t="n">
        <v>45663</v>
      </c>
      <c r="B112" s="21" t="n">
        <v>16723</v>
      </c>
      <c r="C112" s="22" t="inlineStr">
        <is>
          <t>SELİM İNŞAAT</t>
        </is>
      </c>
      <c r="D112" s="21" t="inlineStr">
        <is>
          <t>34 JBA 25</t>
        </is>
      </c>
      <c r="E112" s="21" t="inlineStr">
        <is>
          <t>MUSTAFA ALBAYRAK</t>
        </is>
      </c>
      <c r="F112" s="23" t="n">
        <v>327284</v>
      </c>
      <c r="G112" s="138" t="n"/>
      <c r="H112" s="138" t="n">
        <v>62</v>
      </c>
      <c r="I112" s="138">
        <f>+I111+(G112-H112)</f>
        <v/>
      </c>
      <c r="J112" s="139" t="n">
        <v>38.78</v>
      </c>
      <c r="K112" s="140" t="n"/>
      <c r="L112" s="140">
        <f>+H112*J112</f>
        <v/>
      </c>
      <c r="M112" s="141">
        <f>SUM(M111+K112-L112)</f>
        <v/>
      </c>
    </row>
    <row r="113">
      <c r="A113" s="20" t="n">
        <v>45663</v>
      </c>
      <c r="B113" s="21" t="n">
        <v>10855</v>
      </c>
      <c r="C113" s="22" t="inlineStr">
        <is>
          <t>SELİM İNŞAAT</t>
        </is>
      </c>
      <c r="D113" s="21" t="inlineStr">
        <is>
          <t>34 AR 7743</t>
        </is>
      </c>
      <c r="E113" s="21" t="inlineStr">
        <is>
          <t>MEHMET SELİM</t>
        </is>
      </c>
      <c r="F113" s="23" t="n">
        <v>349046</v>
      </c>
      <c r="G113" s="138" t="n"/>
      <c r="H113" s="138" t="n">
        <v>50</v>
      </c>
      <c r="I113" s="138">
        <f>+I112+(G113-H113)</f>
        <v/>
      </c>
      <c r="J113" s="139" t="n">
        <v>38.78</v>
      </c>
      <c r="K113" s="140" t="n"/>
      <c r="L113" s="140">
        <f>+H113*J113</f>
        <v/>
      </c>
      <c r="M113" s="141">
        <f>SUM(M112+K113-L113)</f>
        <v/>
      </c>
    </row>
    <row r="114">
      <c r="A114" s="20" t="n">
        <v>45663</v>
      </c>
      <c r="B114" s="21" t="n">
        <v>16099</v>
      </c>
      <c r="C114" s="22" t="inlineStr">
        <is>
          <t>SELİM İNŞAAT</t>
        </is>
      </c>
      <c r="D114" s="21" t="inlineStr">
        <is>
          <t>34 GU 945</t>
        </is>
      </c>
      <c r="E114" s="21" t="inlineStr">
        <is>
          <t>ŞERİF KARTAL</t>
        </is>
      </c>
      <c r="F114" s="23" t="n">
        <v>435487</v>
      </c>
      <c r="G114" s="138" t="n"/>
      <c r="H114" s="138" t="n">
        <v>64</v>
      </c>
      <c r="I114" s="138">
        <f>+I113+(G114-H114)</f>
        <v/>
      </c>
      <c r="J114" s="139" t="n">
        <v>38.78</v>
      </c>
      <c r="K114" s="140" t="n"/>
      <c r="L114" s="140">
        <f>+H114*J114</f>
        <v/>
      </c>
      <c r="M114" s="141">
        <f>SUM(M113+K114-L114)</f>
        <v/>
      </c>
    </row>
    <row r="115">
      <c r="A115" s="20" t="n">
        <v>45663</v>
      </c>
      <c r="B115" s="21" t="n">
        <v>10496</v>
      </c>
      <c r="C115" s="22" t="inlineStr">
        <is>
          <t>EVKUR</t>
        </is>
      </c>
      <c r="D115" s="21" t="inlineStr">
        <is>
          <t>KİRALIK VOLVO</t>
        </is>
      </c>
      <c r="E115" s="21" t="inlineStr">
        <is>
          <t>ÖMER AZGÜN</t>
        </is>
      </c>
      <c r="F115" s="23" t="n"/>
      <c r="G115" s="138" t="n"/>
      <c r="H115" s="138" t="n">
        <v>345</v>
      </c>
      <c r="I115" s="138">
        <f>+I114+(G115-H115)</f>
        <v/>
      </c>
      <c r="J115" s="139" t="n">
        <v>38.78</v>
      </c>
      <c r="K115" s="140" t="n"/>
      <c r="L115" s="140">
        <f>+H115*J115</f>
        <v/>
      </c>
      <c r="M115" s="141">
        <f>SUM(M114+K115-L115)</f>
        <v/>
      </c>
    </row>
    <row r="116">
      <c r="A116" s="20" t="n">
        <v>45663</v>
      </c>
      <c r="B116" s="1" t="n">
        <v>10497</v>
      </c>
      <c r="C116" s="2" t="inlineStr">
        <is>
          <t>HASALTUN</t>
        </is>
      </c>
      <c r="D116" s="1" t="inlineStr">
        <is>
          <t>SM 370</t>
        </is>
      </c>
      <c r="E116" s="1" t="inlineStr">
        <is>
          <t>TEKİN ŞEYLAN</t>
        </is>
      </c>
      <c r="F116" s="3" t="n"/>
      <c r="G116" s="143" t="n"/>
      <c r="H116" s="143" t="n">
        <v>475</v>
      </c>
      <c r="I116" s="143">
        <f>+I115+(G116-H116)</f>
        <v/>
      </c>
      <c r="J116" s="144" t="n">
        <v>38.78</v>
      </c>
      <c r="K116" s="145" t="n"/>
      <c r="L116" s="140">
        <f>+H116*J116</f>
        <v/>
      </c>
      <c r="M116" s="141">
        <f>SUM(M115+K116-L116)</f>
        <v/>
      </c>
    </row>
    <row r="117">
      <c r="A117" s="20" t="n">
        <v>45663</v>
      </c>
      <c r="B117" s="1" t="n">
        <v>10498</v>
      </c>
      <c r="C117" s="2" t="inlineStr">
        <is>
          <t>HASALTUN</t>
        </is>
      </c>
      <c r="D117" s="1" t="inlineStr">
        <is>
          <t>SM 350</t>
        </is>
      </c>
      <c r="E117" s="1" t="inlineStr">
        <is>
          <t>TEVFİK ÖZTÜRK</t>
        </is>
      </c>
      <c r="F117" s="3" t="n"/>
      <c r="G117" s="143" t="n"/>
      <c r="H117" s="143" t="n">
        <v>445</v>
      </c>
      <c r="I117" s="143">
        <f>+I116+(G117-H117)</f>
        <v/>
      </c>
      <c r="J117" s="144" t="n">
        <v>38.78</v>
      </c>
      <c r="K117" s="145" t="n"/>
      <c r="L117" s="140">
        <f>+H117*J117</f>
        <v/>
      </c>
      <c r="M117" s="141">
        <f>SUM(M116+K117-L117)</f>
        <v/>
      </c>
    </row>
    <row r="118">
      <c r="A118" s="20" t="n">
        <v>45663</v>
      </c>
      <c r="B118" s="1" t="n">
        <v>10499</v>
      </c>
      <c r="C118" s="2" t="inlineStr">
        <is>
          <t>VARLIK</t>
        </is>
      </c>
      <c r="D118" s="1" t="inlineStr">
        <is>
          <t>SM 350</t>
        </is>
      </c>
      <c r="E118" s="1" t="inlineStr">
        <is>
          <t>BAYRAM SANCAK</t>
        </is>
      </c>
      <c r="F118" s="3" t="n"/>
      <c r="G118" s="143" t="n"/>
      <c r="H118" s="143" t="n">
        <v>325</v>
      </c>
      <c r="I118" s="143">
        <f>+I117+(G118-H118)</f>
        <v/>
      </c>
      <c r="J118" s="144" t="n">
        <v>38.78</v>
      </c>
      <c r="K118" s="145" t="n"/>
      <c r="L118" s="140">
        <f>+H118*J118</f>
        <v/>
      </c>
      <c r="M118" s="141">
        <f>SUM(M117+K118-L118)</f>
        <v/>
      </c>
    </row>
    <row r="119">
      <c r="A119" s="20" t="n">
        <v>45663</v>
      </c>
      <c r="B119" s="1" t="n">
        <v>10500</v>
      </c>
      <c r="C119" s="2" t="inlineStr">
        <is>
          <t>VARLIK</t>
        </is>
      </c>
      <c r="D119" s="1" t="inlineStr">
        <is>
          <t>SM 300</t>
        </is>
      </c>
      <c r="E119" s="1" t="inlineStr">
        <is>
          <t>TURGUT SANCAK</t>
        </is>
      </c>
      <c r="F119" s="3" t="n"/>
      <c r="G119" s="143" t="n"/>
      <c r="H119" s="143" t="n">
        <v>320</v>
      </c>
      <c r="I119" s="143">
        <f>+I118+(G119-H119)</f>
        <v/>
      </c>
      <c r="J119" s="144" t="n">
        <v>38.78</v>
      </c>
      <c r="K119" s="145" t="n"/>
      <c r="L119" s="140">
        <f>+H119*J119</f>
        <v/>
      </c>
      <c r="M119" s="141">
        <f>SUM(M118+K119-L119)</f>
        <v/>
      </c>
    </row>
    <row r="120">
      <c r="A120" s="20" t="n">
        <v>45663</v>
      </c>
      <c r="B120" s="21" t="n">
        <v>10801</v>
      </c>
      <c r="C120" s="22" t="inlineStr">
        <is>
          <t>SELİM İNŞAAT</t>
        </is>
      </c>
      <c r="D120" s="21" t="inlineStr">
        <is>
          <t>SİLİNDİR</t>
        </is>
      </c>
      <c r="E120" s="21" t="inlineStr">
        <is>
          <t>ÖNER DÜNDAR</t>
        </is>
      </c>
      <c r="F120" s="23" t="n"/>
      <c r="G120" s="138" t="n"/>
      <c r="H120" s="138" t="n">
        <v>125</v>
      </c>
      <c r="I120" s="138">
        <f>+I119+(G120-H120)</f>
        <v/>
      </c>
      <c r="J120" s="139" t="n">
        <v>38.78</v>
      </c>
      <c r="K120" s="140" t="n"/>
      <c r="L120" s="140">
        <f>+H120*J120</f>
        <v/>
      </c>
      <c r="M120" s="141">
        <f>SUM(M119+K120-L120)</f>
        <v/>
      </c>
    </row>
    <row r="121">
      <c r="A121" s="20" t="n">
        <v>45664</v>
      </c>
      <c r="B121" s="21" t="n">
        <v>25</v>
      </c>
      <c r="C121" s="22" t="inlineStr">
        <is>
          <t>ÜNSOY TURİZM İNŞ.SAN.VE TİC.A.Ş.</t>
        </is>
      </c>
      <c r="D121" s="21" t="n"/>
      <c r="E121" s="21" t="n"/>
      <c r="F121" s="23" t="n"/>
      <c r="G121" s="138" t="n">
        <v>31988</v>
      </c>
      <c r="H121" s="138" t="n"/>
      <c r="I121" s="138">
        <f>+I120+(G121-H121)</f>
        <v/>
      </c>
      <c r="J121" s="139">
        <f>+K121/31988</f>
        <v/>
      </c>
      <c r="K121" s="140" t="n">
        <v>1249131.4</v>
      </c>
      <c r="L121" s="140">
        <f>+H121*J121</f>
        <v/>
      </c>
      <c r="M121" s="141">
        <f>SUM(M120+K121-L121)</f>
        <v/>
      </c>
    </row>
    <row r="122">
      <c r="A122" s="20" t="n">
        <v>45664</v>
      </c>
      <c r="B122" s="21" t="n">
        <v>2040</v>
      </c>
      <c r="C122" s="22" t="inlineStr">
        <is>
          <t>AZGÜN YAPI</t>
        </is>
      </c>
      <c r="D122" s="21" t="inlineStr">
        <is>
          <t>34 DTV 263</t>
        </is>
      </c>
      <c r="E122" s="21" t="inlineStr">
        <is>
          <t>EDİP TORLAK</t>
        </is>
      </c>
      <c r="F122" s="23" t="n">
        <v>354428</v>
      </c>
      <c r="G122" s="138" t="n"/>
      <c r="H122" s="138" t="n">
        <v>306</v>
      </c>
      <c r="I122" s="138">
        <f>+I121+(G122-H122)</f>
        <v/>
      </c>
      <c r="J122" s="139" t="n">
        <v>39.05</v>
      </c>
      <c r="K122" s="140" t="n"/>
      <c r="L122" s="140">
        <f>+H122*J122</f>
        <v/>
      </c>
      <c r="M122" s="141">
        <f>SUM(M121+K122-L122)</f>
        <v/>
      </c>
    </row>
    <row r="123">
      <c r="A123" s="20" t="n">
        <v>45664</v>
      </c>
      <c r="B123" s="21" t="n">
        <v>11681</v>
      </c>
      <c r="C123" s="22" t="inlineStr">
        <is>
          <t>METİN ERYİĞİT</t>
        </is>
      </c>
      <c r="D123" s="21" t="inlineStr">
        <is>
          <t>34 GBL 998</t>
        </is>
      </c>
      <c r="E123" s="21" t="inlineStr">
        <is>
          <t>ALİ KESKİN</t>
        </is>
      </c>
      <c r="F123" s="23" t="n">
        <v>231887</v>
      </c>
      <c r="G123" s="138" t="n"/>
      <c r="H123" s="138" t="n">
        <v>417</v>
      </c>
      <c r="I123" s="138">
        <f>+I122+(G123-H123)</f>
        <v/>
      </c>
      <c r="J123" s="139" t="n">
        <v>39.05</v>
      </c>
      <c r="K123" s="140" t="n"/>
      <c r="L123" s="140">
        <f>+H123*J123</f>
        <v/>
      </c>
      <c r="M123" s="141">
        <f>SUM(M122+K123-L123)</f>
        <v/>
      </c>
    </row>
    <row r="124">
      <c r="A124" s="20" t="n">
        <v>45664</v>
      </c>
      <c r="B124" s="21" t="n">
        <v>11708</v>
      </c>
      <c r="C124" s="22" t="inlineStr">
        <is>
          <t>SELİM İNŞAAT</t>
        </is>
      </c>
      <c r="D124" s="21" t="inlineStr">
        <is>
          <t>34 EDB 559</t>
        </is>
      </c>
      <c r="E124" s="21" t="inlineStr">
        <is>
          <t>CEM MUHTAR</t>
        </is>
      </c>
      <c r="F124" s="23" t="n">
        <v>298808</v>
      </c>
      <c r="G124" s="138" t="n"/>
      <c r="H124" s="138" t="n">
        <v>303</v>
      </c>
      <c r="I124" s="138">
        <f>+I123+(G124-H124)</f>
        <v/>
      </c>
      <c r="J124" s="139" t="n">
        <v>39.05</v>
      </c>
      <c r="K124" s="140" t="n"/>
      <c r="L124" s="140">
        <f>+H124*J124</f>
        <v/>
      </c>
      <c r="M124" s="141">
        <f>SUM(M123+K124-L124)</f>
        <v/>
      </c>
    </row>
    <row r="125">
      <c r="A125" s="20" t="n">
        <v>45664</v>
      </c>
      <c r="B125" s="21" t="n">
        <v>21610</v>
      </c>
      <c r="C125" s="22" t="inlineStr">
        <is>
          <t>SELİM İNŞAAT</t>
        </is>
      </c>
      <c r="D125" s="21" t="inlineStr">
        <is>
          <t>34 DHC 467</t>
        </is>
      </c>
      <c r="E125" s="21" t="inlineStr">
        <is>
          <t xml:space="preserve">ONUR CANLI </t>
        </is>
      </c>
      <c r="F125" s="23" t="n">
        <v>393953</v>
      </c>
      <c r="G125" s="138" t="n"/>
      <c r="H125" s="138" t="n">
        <v>365</v>
      </c>
      <c r="I125" s="138">
        <f>+I124+(G125-H125)</f>
        <v/>
      </c>
      <c r="J125" s="139" t="n">
        <v>39.05</v>
      </c>
      <c r="K125" s="140" t="n"/>
      <c r="L125" s="140">
        <f>+H125*J125</f>
        <v/>
      </c>
      <c r="M125" s="141">
        <f>SUM(M124+K125-L125)</f>
        <v/>
      </c>
    </row>
    <row r="126">
      <c r="A126" s="20" t="n">
        <v>45664</v>
      </c>
      <c r="B126" s="21" t="n">
        <v>21469</v>
      </c>
      <c r="C126" s="22" t="inlineStr">
        <is>
          <t>SELİM İNŞAAT</t>
        </is>
      </c>
      <c r="D126" s="21" t="inlineStr">
        <is>
          <t>34 GYZ 635</t>
        </is>
      </c>
      <c r="E126" s="21" t="inlineStr">
        <is>
          <t>ENGİN DEMİR</t>
        </is>
      </c>
      <c r="F126" s="23" t="n">
        <v>143171</v>
      </c>
      <c r="G126" s="138" t="n"/>
      <c r="H126" s="138" t="n">
        <v>312</v>
      </c>
      <c r="I126" s="138">
        <f>+I125+(G126-H126)</f>
        <v/>
      </c>
      <c r="J126" s="139" t="n">
        <v>39.05</v>
      </c>
      <c r="K126" s="140" t="n"/>
      <c r="L126" s="140">
        <f>+H126*J126</f>
        <v/>
      </c>
      <c r="M126" s="141">
        <f>SUM(M125+K126-L126)</f>
        <v/>
      </c>
    </row>
    <row r="127">
      <c r="A127" s="20" t="n">
        <v>45664</v>
      </c>
      <c r="B127" s="21" t="n">
        <v>10504</v>
      </c>
      <c r="C127" s="22" t="inlineStr">
        <is>
          <t>SELİM İNŞAAT</t>
        </is>
      </c>
      <c r="D127" s="21" t="inlineStr">
        <is>
          <t>34 EDB 922</t>
        </is>
      </c>
      <c r="E127" s="21" t="inlineStr">
        <is>
          <t>AHMET TOPÇU</t>
        </is>
      </c>
      <c r="F127" s="23" t="n">
        <v>327782</v>
      </c>
      <c r="G127" s="138" t="n"/>
      <c r="H127" s="138" t="n">
        <v>298</v>
      </c>
      <c r="I127" s="138">
        <f>+I126+(G127-H127)</f>
        <v/>
      </c>
      <c r="J127" s="139" t="n">
        <v>39.05</v>
      </c>
      <c r="K127" s="140" t="n"/>
      <c r="L127" s="140">
        <f>+H127*J127</f>
        <v/>
      </c>
      <c r="M127" s="141">
        <f>SUM(M126+K127-L127)</f>
        <v/>
      </c>
    </row>
    <row r="128">
      <c r="A128" s="20" t="n">
        <v>45664</v>
      </c>
      <c r="B128" s="21" t="n">
        <v>11263</v>
      </c>
      <c r="C128" s="22" t="inlineStr">
        <is>
          <t>SELİM İNŞAAT</t>
        </is>
      </c>
      <c r="D128" s="21" t="inlineStr">
        <is>
          <t>34 EDC 162</t>
        </is>
      </c>
      <c r="E128" s="21" t="inlineStr">
        <is>
          <t xml:space="preserve">YAKUP GÜNER </t>
        </is>
      </c>
      <c r="F128" s="23" t="n">
        <v>335281</v>
      </c>
      <c r="G128" s="138" t="n"/>
      <c r="H128" s="138" t="n">
        <v>399</v>
      </c>
      <c r="I128" s="138">
        <f>+I127+(G128-H128)</f>
        <v/>
      </c>
      <c r="J128" s="139" t="n">
        <v>39.05</v>
      </c>
      <c r="K128" s="140" t="n"/>
      <c r="L128" s="140">
        <f>+H128*J128</f>
        <v/>
      </c>
      <c r="M128" s="141">
        <f>SUM(M127+K128-L128)</f>
        <v/>
      </c>
    </row>
    <row r="129">
      <c r="A129" s="20" t="n">
        <v>45664</v>
      </c>
      <c r="B129" s="21" t="n">
        <v>10268</v>
      </c>
      <c r="C129" s="22" t="inlineStr">
        <is>
          <t>SELİM İNŞAAT</t>
        </is>
      </c>
      <c r="D129" s="21" t="inlineStr">
        <is>
          <t>34 FBR 748</t>
        </is>
      </c>
      <c r="E129" s="21" t="inlineStr">
        <is>
          <t>YAŞAR ÖZKAYA</t>
        </is>
      </c>
      <c r="F129" s="23" t="n">
        <v>254204</v>
      </c>
      <c r="G129" s="138" t="n"/>
      <c r="H129" s="138" t="n">
        <v>349</v>
      </c>
      <c r="I129" s="138">
        <f>+I128+(G129-H129)</f>
        <v/>
      </c>
      <c r="J129" s="139" t="n">
        <v>39.05</v>
      </c>
      <c r="K129" s="140" t="n"/>
      <c r="L129" s="140">
        <f>+H129*J129</f>
        <v/>
      </c>
      <c r="M129" s="141">
        <f>SUM(M128+K129-L129)</f>
        <v/>
      </c>
    </row>
    <row r="130">
      <c r="A130" s="20" t="n">
        <v>45664</v>
      </c>
      <c r="B130" s="21" t="n">
        <v>20988</v>
      </c>
      <c r="C130" s="22" t="inlineStr">
        <is>
          <t>SELİM İNŞAAT</t>
        </is>
      </c>
      <c r="D130" s="21" t="inlineStr">
        <is>
          <t>34 GUS 938</t>
        </is>
      </c>
      <c r="E130" s="21" t="inlineStr">
        <is>
          <t>MEHMET KAYA</t>
        </is>
      </c>
      <c r="F130" s="23" t="n">
        <v>153294</v>
      </c>
      <c r="G130" s="138" t="n"/>
      <c r="H130" s="138" t="n">
        <v>437</v>
      </c>
      <c r="I130" s="138">
        <f>+I129+(G130-H130)</f>
        <v/>
      </c>
      <c r="J130" s="139" t="n">
        <v>39.05</v>
      </c>
      <c r="K130" s="140" t="n"/>
      <c r="L130" s="140">
        <f>+H130*J130</f>
        <v/>
      </c>
      <c r="M130" s="141">
        <f>SUM(M129+K130-L130)</f>
        <v/>
      </c>
    </row>
    <row r="131">
      <c r="A131" s="20" t="n">
        <v>45664</v>
      </c>
      <c r="B131" s="21" t="n">
        <v>21276</v>
      </c>
      <c r="C131" s="22" t="inlineStr">
        <is>
          <t>SELİM İNŞAAT</t>
        </is>
      </c>
      <c r="D131" s="21" t="inlineStr">
        <is>
          <t>34 DTV 447</t>
        </is>
      </c>
      <c r="E131" s="21" t="inlineStr">
        <is>
          <t>EBUBEKİR KOLDAŞ</t>
        </is>
      </c>
      <c r="F131" s="23" t="n">
        <v>408990</v>
      </c>
      <c r="G131" s="138" t="n"/>
      <c r="H131" s="138" t="n">
        <v>310</v>
      </c>
      <c r="I131" s="138">
        <f>+I130+(G131-H131)</f>
        <v/>
      </c>
      <c r="J131" s="139" t="n">
        <v>39.05</v>
      </c>
      <c r="K131" s="140" t="n"/>
      <c r="L131" s="140">
        <f>+H131*J131</f>
        <v/>
      </c>
      <c r="M131" s="141">
        <f>SUM(M130+K131-L131)</f>
        <v/>
      </c>
    </row>
    <row r="132">
      <c r="A132" s="20" t="n">
        <v>45664</v>
      </c>
      <c r="B132" s="21" t="n">
        <v>11773</v>
      </c>
      <c r="C132" s="22" t="inlineStr">
        <is>
          <t>SELİM İNŞAAT</t>
        </is>
      </c>
      <c r="D132" s="21" t="inlineStr">
        <is>
          <t>34 EDC 086</t>
        </is>
      </c>
      <c r="E132" s="21" t="inlineStr">
        <is>
          <t>ÖMER AĞAYAR</t>
        </is>
      </c>
      <c r="F132" s="23" t="n">
        <v>299989</v>
      </c>
      <c r="G132" s="138" t="n"/>
      <c r="H132" s="138" t="n">
        <v>286</v>
      </c>
      <c r="I132" s="138">
        <f>+I131+(G132-H132)</f>
        <v/>
      </c>
      <c r="J132" s="139" t="n">
        <v>39.05</v>
      </c>
      <c r="K132" s="140" t="n"/>
      <c r="L132" s="140">
        <f>+H132*J132</f>
        <v/>
      </c>
      <c r="M132" s="141">
        <f>SUM(M131+K132-L132)</f>
        <v/>
      </c>
    </row>
    <row r="133">
      <c r="A133" s="20" t="n">
        <v>45664</v>
      </c>
      <c r="B133" s="21" t="n">
        <v>20048</v>
      </c>
      <c r="C133" s="22" t="inlineStr">
        <is>
          <t>SELİM İNŞAAT</t>
        </is>
      </c>
      <c r="D133" s="21" t="inlineStr">
        <is>
          <t>34 DSN 621</t>
        </is>
      </c>
      <c r="E133" s="21" t="inlineStr">
        <is>
          <t>MUSTAFA KAYA</t>
        </is>
      </c>
      <c r="F133" s="23" t="n">
        <v>385175</v>
      </c>
      <c r="G133" s="138" t="n"/>
      <c r="H133" s="138" t="n">
        <v>221</v>
      </c>
      <c r="I133" s="138">
        <f>+I132+(G133-H133)</f>
        <v/>
      </c>
      <c r="J133" s="139" t="n">
        <v>39.05</v>
      </c>
      <c r="K133" s="140" t="n"/>
      <c r="L133" s="140">
        <f>+H133*J133</f>
        <v/>
      </c>
      <c r="M133" s="141">
        <f>SUM(M132+K133-L133)</f>
        <v/>
      </c>
    </row>
    <row r="134">
      <c r="A134" s="20" t="n">
        <v>45664</v>
      </c>
      <c r="B134" s="21" t="n">
        <v>21700</v>
      </c>
      <c r="C134" s="22" t="inlineStr">
        <is>
          <t>SELİM İNŞAAT</t>
        </is>
      </c>
      <c r="D134" s="21" t="inlineStr">
        <is>
          <t>34 FBR 771</t>
        </is>
      </c>
      <c r="E134" s="21" t="inlineStr">
        <is>
          <t>HÜSEYİN AKÇİN</t>
        </is>
      </c>
      <c r="F134" s="23" t="n">
        <v>287240</v>
      </c>
      <c r="G134" s="138" t="n"/>
      <c r="H134" s="138" t="n">
        <v>452</v>
      </c>
      <c r="I134" s="138">
        <f>+I133+(G134-H134)</f>
        <v/>
      </c>
      <c r="J134" s="139" t="n">
        <v>39.05</v>
      </c>
      <c r="K134" s="140" t="n"/>
      <c r="L134" s="140">
        <f>+H134*J134</f>
        <v/>
      </c>
      <c r="M134" s="141">
        <f>SUM(M133+K134-L134)</f>
        <v/>
      </c>
    </row>
    <row r="135">
      <c r="A135" s="20" t="n">
        <v>45664</v>
      </c>
      <c r="B135" s="21" t="n">
        <v>10415</v>
      </c>
      <c r="C135" s="22" t="inlineStr">
        <is>
          <t>SELİM İNŞAAT</t>
        </is>
      </c>
      <c r="D135" s="21" t="inlineStr">
        <is>
          <t>34 FBR 781</t>
        </is>
      </c>
      <c r="E135" s="21" t="inlineStr">
        <is>
          <t>MEVLÜT POLAT</t>
        </is>
      </c>
      <c r="F135" s="23" t="n">
        <v>271130</v>
      </c>
      <c r="G135" s="138" t="n"/>
      <c r="H135" s="138" t="n">
        <v>414</v>
      </c>
      <c r="I135" s="138">
        <f>+I134+(G135-H135)</f>
        <v/>
      </c>
      <c r="J135" s="139" t="n">
        <v>39.05</v>
      </c>
      <c r="K135" s="140" t="n"/>
      <c r="L135" s="140">
        <f>+H135*J135</f>
        <v/>
      </c>
      <c r="M135" s="141">
        <f>SUM(M134+K135-L135)</f>
        <v/>
      </c>
    </row>
    <row r="136">
      <c r="A136" s="20" t="n">
        <v>45664</v>
      </c>
      <c r="B136" s="21" t="n">
        <v>17994</v>
      </c>
      <c r="C136" s="22" t="inlineStr">
        <is>
          <t>SELİM İNŞAAT</t>
        </is>
      </c>
      <c r="D136" s="21" t="inlineStr">
        <is>
          <t>34 DSN 536</t>
        </is>
      </c>
      <c r="E136" s="21" t="inlineStr">
        <is>
          <t>DURSUN ALİ GÜREK</t>
        </is>
      </c>
      <c r="F136" s="23" t="n">
        <v>376706</v>
      </c>
      <c r="G136" s="138" t="n"/>
      <c r="H136" s="138" t="n">
        <v>478</v>
      </c>
      <c r="I136" s="138">
        <f>+I135+(G136-H136)</f>
        <v/>
      </c>
      <c r="J136" s="139" t="n">
        <v>39.05</v>
      </c>
      <c r="K136" s="140" t="n"/>
      <c r="L136" s="140">
        <f>+H136*J136</f>
        <v/>
      </c>
      <c r="M136" s="141">
        <f>SUM(M135+K136-L136)</f>
        <v/>
      </c>
    </row>
    <row r="137">
      <c r="A137" s="20" t="n">
        <v>45664</v>
      </c>
      <c r="B137" s="21" t="n">
        <v>21987</v>
      </c>
      <c r="C137" s="22" t="inlineStr">
        <is>
          <t>SELİM İNŞAAT</t>
        </is>
      </c>
      <c r="D137" s="21" t="inlineStr">
        <is>
          <t>34 EGR 737</t>
        </is>
      </c>
      <c r="E137" s="21" t="inlineStr">
        <is>
          <t>İBRAHİM GÜNASLAN</t>
        </is>
      </c>
      <c r="F137" s="23" t="n">
        <v>386195</v>
      </c>
      <c r="G137" s="138" t="n"/>
      <c r="H137" s="138" t="n">
        <v>396</v>
      </c>
      <c r="I137" s="138">
        <f>+I136+(G137-H137)</f>
        <v/>
      </c>
      <c r="J137" s="139" t="n">
        <v>39.05</v>
      </c>
      <c r="K137" s="140" t="n"/>
      <c r="L137" s="140">
        <f>+H137*J137</f>
        <v/>
      </c>
      <c r="M137" s="141">
        <f>SUM(M136+K137-L137)</f>
        <v/>
      </c>
    </row>
    <row r="138">
      <c r="A138" s="20" t="n">
        <v>45664</v>
      </c>
      <c r="B138" s="21" t="n">
        <v>10675</v>
      </c>
      <c r="C138" s="22" t="inlineStr">
        <is>
          <t>SELİM İNŞAAT</t>
        </is>
      </c>
      <c r="D138" s="21" t="inlineStr">
        <is>
          <t>34 DTV 599</t>
        </is>
      </c>
      <c r="E138" s="21" t="inlineStr">
        <is>
          <t>FERHAT GÜRLER</t>
        </is>
      </c>
      <c r="F138" s="23" t="n">
        <v>405944</v>
      </c>
      <c r="G138" s="138" t="n"/>
      <c r="H138" s="138" t="n">
        <v>455</v>
      </c>
      <c r="I138" s="138">
        <f>+I137+(G138-H138)</f>
        <v/>
      </c>
      <c r="J138" s="139" t="n">
        <v>39.05</v>
      </c>
      <c r="K138" s="140" t="n"/>
      <c r="L138" s="140">
        <f>+H138*J138</f>
        <v/>
      </c>
      <c r="M138" s="141">
        <f>SUM(M137+K138-L138)</f>
        <v/>
      </c>
    </row>
    <row r="139">
      <c r="A139" s="20" t="n">
        <v>45664</v>
      </c>
      <c r="B139" s="21" t="n">
        <v>21090</v>
      </c>
      <c r="C139" s="22" t="inlineStr">
        <is>
          <t>SELİM İNŞAAT</t>
        </is>
      </c>
      <c r="D139" s="21" t="inlineStr">
        <is>
          <t>34 EDB 659</t>
        </is>
      </c>
      <c r="E139" s="21" t="inlineStr">
        <is>
          <t>MEHMET SAİT ANIK</t>
        </is>
      </c>
      <c r="F139" s="23" t="n">
        <v>308562</v>
      </c>
      <c r="G139" s="138" t="n"/>
      <c r="H139" s="138" t="n">
        <v>200</v>
      </c>
      <c r="I139" s="138">
        <f>+I138+(G139-H139)</f>
        <v/>
      </c>
      <c r="J139" s="139" t="n">
        <v>39.05</v>
      </c>
      <c r="K139" s="140" t="n"/>
      <c r="L139" s="140">
        <f>+H139*J139</f>
        <v/>
      </c>
      <c r="M139" s="141">
        <f>SUM(M138+K139-L139)</f>
        <v/>
      </c>
    </row>
    <row r="140">
      <c r="A140" s="20" t="n">
        <v>45664</v>
      </c>
      <c r="B140" s="21" t="n">
        <v>10118</v>
      </c>
      <c r="C140" s="22" t="inlineStr">
        <is>
          <t>SELİM İNŞAAT</t>
        </is>
      </c>
      <c r="D140" s="21" t="inlineStr">
        <is>
          <t>34 DP 4161</t>
        </is>
      </c>
      <c r="E140" s="21" t="inlineStr">
        <is>
          <t>RIFAT KARATAY</t>
        </is>
      </c>
      <c r="F140" s="23" t="n">
        <v>278883</v>
      </c>
      <c r="G140" s="138" t="n"/>
      <c r="H140" s="138" t="n">
        <v>173</v>
      </c>
      <c r="I140" s="138">
        <f>+I139+(G140-H140)</f>
        <v/>
      </c>
      <c r="J140" s="139" t="n">
        <v>39.05</v>
      </c>
      <c r="K140" s="140" t="n"/>
      <c r="L140" s="140">
        <f>+H140*J140</f>
        <v/>
      </c>
      <c r="M140" s="141">
        <f>SUM(M139+K140-L140)</f>
        <v/>
      </c>
    </row>
    <row r="141">
      <c r="A141" s="20" t="n">
        <v>45664</v>
      </c>
      <c r="B141" s="21" t="n">
        <v>11977</v>
      </c>
      <c r="C141" s="22" t="inlineStr">
        <is>
          <t>SELİM İNŞAAT</t>
        </is>
      </c>
      <c r="D141" s="21" t="inlineStr">
        <is>
          <t>34 DKL 798</t>
        </is>
      </c>
      <c r="E141" s="21" t="inlineStr">
        <is>
          <t>VOLKAN YANAR</t>
        </is>
      </c>
      <c r="F141" s="23" t="n">
        <v>60061</v>
      </c>
      <c r="G141" s="138" t="n"/>
      <c r="H141" s="138" t="n">
        <v>142</v>
      </c>
      <c r="I141" s="138">
        <f>+I140+(G141-H141)</f>
        <v/>
      </c>
      <c r="J141" s="139" t="n">
        <v>39.05</v>
      </c>
      <c r="K141" s="140" t="n"/>
      <c r="L141" s="140">
        <f>+H141*J141</f>
        <v/>
      </c>
      <c r="M141" s="141">
        <f>SUM(M140+K141-L141)</f>
        <v/>
      </c>
    </row>
    <row r="142">
      <c r="A142" s="20" t="n">
        <v>45664</v>
      </c>
      <c r="B142" s="21" t="n">
        <v>11876</v>
      </c>
      <c r="C142" s="22" t="inlineStr">
        <is>
          <t>SELİM İNŞAAT</t>
        </is>
      </c>
      <c r="D142" s="21" t="inlineStr">
        <is>
          <t>34 DFE 454</t>
        </is>
      </c>
      <c r="E142" s="21" t="inlineStr">
        <is>
          <t>HASAN BAYCAN</t>
        </is>
      </c>
      <c r="F142" s="23" t="n">
        <v>153520</v>
      </c>
      <c r="G142" s="138" t="n"/>
      <c r="H142" s="138" t="n">
        <v>141</v>
      </c>
      <c r="I142" s="138">
        <f>+I141+(G142-H142)</f>
        <v/>
      </c>
      <c r="J142" s="139" t="n">
        <v>39.05</v>
      </c>
      <c r="K142" s="140" t="n"/>
      <c r="L142" s="140">
        <f>+H142*J142</f>
        <v/>
      </c>
      <c r="M142" s="141">
        <f>SUM(M141+K142-L142)</f>
        <v/>
      </c>
    </row>
    <row r="143">
      <c r="A143" s="20" t="n">
        <v>45664</v>
      </c>
      <c r="B143" s="21" t="n">
        <v>11001</v>
      </c>
      <c r="C143" s="22" t="inlineStr">
        <is>
          <t>SELİM İNŞAAT</t>
        </is>
      </c>
      <c r="D143" s="21" t="inlineStr">
        <is>
          <t>34 FCR 210</t>
        </is>
      </c>
      <c r="E143" s="21" t="inlineStr">
        <is>
          <t>GÖRKEM KARABEL</t>
        </is>
      </c>
      <c r="F143" s="23" t="n">
        <v>112004</v>
      </c>
      <c r="G143" s="138" t="n"/>
      <c r="H143" s="138" t="n">
        <v>209</v>
      </c>
      <c r="I143" s="138">
        <f>+I142+(G143-H143)</f>
        <v/>
      </c>
      <c r="J143" s="139" t="n">
        <v>39.05</v>
      </c>
      <c r="K143" s="140" t="n"/>
      <c r="L143" s="140">
        <f>+H143*J143</f>
        <v/>
      </c>
      <c r="M143" s="141">
        <f>SUM(M142+K143-L143)</f>
        <v/>
      </c>
    </row>
    <row r="144">
      <c r="A144" s="20" t="n">
        <v>45664</v>
      </c>
      <c r="B144" s="21" t="n">
        <v>20182</v>
      </c>
      <c r="C144" s="22" t="inlineStr">
        <is>
          <t>SELİM İNŞAAT</t>
        </is>
      </c>
      <c r="D144" s="21" t="inlineStr">
        <is>
          <t>34 JGR 15</t>
        </is>
      </c>
      <c r="E144" s="21" t="inlineStr">
        <is>
          <t>MUHAMMER ÇAMLI</t>
        </is>
      </c>
      <c r="F144" s="23" t="n">
        <v>304014</v>
      </c>
      <c r="G144" s="138" t="n"/>
      <c r="H144" s="138" t="n">
        <v>60</v>
      </c>
      <c r="I144" s="138">
        <f>+I143+(G144-H144)</f>
        <v/>
      </c>
      <c r="J144" s="139" t="n">
        <v>39.05</v>
      </c>
      <c r="K144" s="140" t="n"/>
      <c r="L144" s="140">
        <f>+H144*J144</f>
        <v/>
      </c>
      <c r="M144" s="141">
        <f>SUM(M143+K144-L144)</f>
        <v/>
      </c>
    </row>
    <row r="145">
      <c r="A145" s="20" t="n">
        <v>45664</v>
      </c>
      <c r="B145" s="21" t="n">
        <v>20523</v>
      </c>
      <c r="C145" s="22" t="inlineStr">
        <is>
          <t>SELİM İNŞAAT</t>
        </is>
      </c>
      <c r="D145" s="21" t="inlineStr">
        <is>
          <t>34 VF 2620</t>
        </is>
      </c>
      <c r="E145" s="21" t="inlineStr">
        <is>
          <t>RECEP SELİM</t>
        </is>
      </c>
      <c r="F145" s="23" t="n">
        <v>179119</v>
      </c>
      <c r="G145" s="138" t="n"/>
      <c r="H145" s="138" t="n">
        <v>74</v>
      </c>
      <c r="I145" s="138">
        <f>+I144+(G145-H145)</f>
        <v/>
      </c>
      <c r="J145" s="139" t="n">
        <v>39.05</v>
      </c>
      <c r="K145" s="140" t="n"/>
      <c r="L145" s="140">
        <f>+H145*J145</f>
        <v/>
      </c>
      <c r="M145" s="141">
        <f>SUM(M144+K145-L145)</f>
        <v/>
      </c>
    </row>
    <row r="146">
      <c r="A146" s="20" t="n">
        <v>45664</v>
      </c>
      <c r="B146" s="21" t="n">
        <v>10802</v>
      </c>
      <c r="C146" s="22" t="inlineStr">
        <is>
          <t>EVKUR</t>
        </is>
      </c>
      <c r="D146" s="21" t="n"/>
      <c r="E146" s="21" t="inlineStr">
        <is>
          <t>FAHRİ KALFA</t>
        </is>
      </c>
      <c r="F146" s="23" t="n"/>
      <c r="G146" s="138" t="n"/>
      <c r="H146" s="138" t="n">
        <v>150</v>
      </c>
      <c r="I146" s="138">
        <f>+I145+(G146-H146)</f>
        <v/>
      </c>
      <c r="J146" s="139" t="n">
        <v>39.05</v>
      </c>
      <c r="K146" s="140" t="n"/>
      <c r="L146" s="140">
        <f>+H146*J146</f>
        <v/>
      </c>
      <c r="M146" s="141">
        <f>SUM(M145+K146-L146)</f>
        <v/>
      </c>
    </row>
    <row r="147">
      <c r="A147" s="20" t="n">
        <v>45664</v>
      </c>
      <c r="B147" s="1" t="n">
        <v>10803</v>
      </c>
      <c r="C147" s="2" t="inlineStr">
        <is>
          <t>HASALTUN</t>
        </is>
      </c>
      <c r="D147" s="1" t="inlineStr">
        <is>
          <t>SM 370</t>
        </is>
      </c>
      <c r="E147" s="1" t="inlineStr">
        <is>
          <t>TEKİN ŞEYLAN</t>
        </is>
      </c>
      <c r="F147" s="3" t="n"/>
      <c r="G147" s="143" t="n"/>
      <c r="H147" s="143" t="n">
        <v>400</v>
      </c>
      <c r="I147" s="143">
        <f>+I146+(G147-H147)</f>
        <v/>
      </c>
      <c r="J147" s="144" t="n">
        <v>39.05</v>
      </c>
      <c r="K147" s="145" t="n"/>
      <c r="L147" s="140">
        <f>+H147*J147</f>
        <v/>
      </c>
      <c r="M147" s="141">
        <f>SUM(M146+K147-L147)</f>
        <v/>
      </c>
    </row>
    <row r="148">
      <c r="A148" s="20" t="n">
        <v>45664</v>
      </c>
      <c r="B148" s="1" t="n">
        <v>10804</v>
      </c>
      <c r="C148" s="2" t="inlineStr">
        <is>
          <t>HASALTUN</t>
        </is>
      </c>
      <c r="D148" s="1" t="inlineStr">
        <is>
          <t>SM 350</t>
        </is>
      </c>
      <c r="E148" s="1" t="inlineStr">
        <is>
          <t>TEVFİK ÖZTÜRK</t>
        </is>
      </c>
      <c r="F148" s="3" t="n"/>
      <c r="G148" s="143" t="n"/>
      <c r="H148" s="143" t="n">
        <v>455</v>
      </c>
      <c r="I148" s="143">
        <f>+I147+(G148-H148)</f>
        <v/>
      </c>
      <c r="J148" s="144" t="n">
        <v>39.05</v>
      </c>
      <c r="K148" s="145" t="n"/>
      <c r="L148" s="140">
        <f>+H148*J148</f>
        <v/>
      </c>
      <c r="M148" s="141">
        <f>SUM(M147+K148-L148)</f>
        <v/>
      </c>
    </row>
    <row r="149">
      <c r="A149" s="20" t="n">
        <v>45664</v>
      </c>
      <c r="B149" s="1" t="n">
        <v>10805</v>
      </c>
      <c r="C149" s="2" t="inlineStr">
        <is>
          <t>VARLIK</t>
        </is>
      </c>
      <c r="D149" s="1" t="inlineStr">
        <is>
          <t>SM 300</t>
        </is>
      </c>
      <c r="E149" s="1" t="inlineStr">
        <is>
          <t>TURGUT SANCAK</t>
        </is>
      </c>
      <c r="F149" s="3" t="n"/>
      <c r="G149" s="143" t="n"/>
      <c r="H149" s="143" t="n">
        <v>360</v>
      </c>
      <c r="I149" s="143">
        <f>+I148+(G149-H149)</f>
        <v/>
      </c>
      <c r="J149" s="144" t="n">
        <v>39.05</v>
      </c>
      <c r="K149" s="145" t="n"/>
      <c r="L149" s="140">
        <f>+H149*J149</f>
        <v/>
      </c>
      <c r="M149" s="141">
        <f>SUM(M148+K149-L149)</f>
        <v/>
      </c>
    </row>
    <row r="150">
      <c r="A150" s="20" t="n">
        <v>45664</v>
      </c>
      <c r="B150" s="21" t="n">
        <v>10806</v>
      </c>
      <c r="C150" s="22" t="inlineStr">
        <is>
          <t>EVKUR</t>
        </is>
      </c>
      <c r="D150" s="21" t="inlineStr">
        <is>
          <t>KİRALIK VOLVO</t>
        </is>
      </c>
      <c r="E150" s="21" t="inlineStr">
        <is>
          <t>ÖMER AZGÜN</t>
        </is>
      </c>
      <c r="F150" s="23" t="n"/>
      <c r="G150" s="138" t="n"/>
      <c r="H150" s="138" t="n">
        <v>250</v>
      </c>
      <c r="I150" s="138">
        <f>+I149+(G150-H150)</f>
        <v/>
      </c>
      <c r="J150" s="139" t="n">
        <v>39.05</v>
      </c>
      <c r="K150" s="140" t="n"/>
      <c r="L150" s="140">
        <f>+H150*J150</f>
        <v/>
      </c>
      <c r="M150" s="141">
        <f>SUM(M149+K150-L150)</f>
        <v/>
      </c>
    </row>
    <row r="151">
      <c r="A151" s="20" t="n">
        <v>45664</v>
      </c>
      <c r="B151" s="1" t="n">
        <v>10807</v>
      </c>
      <c r="C151" s="2" t="inlineStr">
        <is>
          <t>VARLIK</t>
        </is>
      </c>
      <c r="D151" s="1" t="inlineStr">
        <is>
          <t>SM 350</t>
        </is>
      </c>
      <c r="E151" s="1" t="inlineStr">
        <is>
          <t>BAYRAM SANCAK</t>
        </is>
      </c>
      <c r="F151" s="3" t="n"/>
      <c r="G151" s="143" t="n"/>
      <c r="H151" s="143" t="n">
        <v>200</v>
      </c>
      <c r="I151" s="143">
        <f>+I150+(G151-H151)</f>
        <v/>
      </c>
      <c r="J151" s="144" t="n">
        <v>39.05</v>
      </c>
      <c r="K151" s="145" t="n"/>
      <c r="L151" s="140">
        <f>+H151*J151</f>
        <v/>
      </c>
      <c r="M151" s="141">
        <f>SUM(M150+K151-L151)</f>
        <v/>
      </c>
    </row>
    <row r="152">
      <c r="A152" s="20" t="n">
        <v>45665</v>
      </c>
      <c r="B152" s="21" t="n">
        <v>11352</v>
      </c>
      <c r="C152" s="22" t="inlineStr">
        <is>
          <t>AZGÜN YAPI</t>
        </is>
      </c>
      <c r="D152" s="21" t="inlineStr">
        <is>
          <t>34 MKT 593</t>
        </is>
      </c>
      <c r="E152" s="21" t="inlineStr">
        <is>
          <t>HASAN</t>
        </is>
      </c>
      <c r="F152" s="23" t="n">
        <v>2178</v>
      </c>
      <c r="G152" s="138" t="n"/>
      <c r="H152" s="138" t="n">
        <v>171</v>
      </c>
      <c r="I152" s="138">
        <f>+I151+(G152-H152)</f>
        <v/>
      </c>
      <c r="J152" s="139" t="n">
        <v>39.05</v>
      </c>
      <c r="K152" s="140" t="n"/>
      <c r="L152" s="140">
        <f>+H152*J152</f>
        <v/>
      </c>
      <c r="M152" s="141">
        <f>SUM(M151+K152-L152)</f>
        <v/>
      </c>
    </row>
    <row r="153">
      <c r="A153" s="20" t="n">
        <v>45665</v>
      </c>
      <c r="B153" s="21" t="n">
        <v>10011</v>
      </c>
      <c r="C153" s="22" t="inlineStr">
        <is>
          <t>METİN ERYİĞİT</t>
        </is>
      </c>
      <c r="D153" s="21" t="inlineStr">
        <is>
          <t>34 EGS 013</t>
        </is>
      </c>
      <c r="E153" s="21" t="inlineStr">
        <is>
          <t>UĞUR DUMAN</t>
        </is>
      </c>
      <c r="F153" s="23" t="n">
        <v>454534</v>
      </c>
      <c r="G153" s="138" t="n"/>
      <c r="H153" s="138" t="n">
        <v>425</v>
      </c>
      <c r="I153" s="138">
        <f>+I152+(G153-H153)</f>
        <v/>
      </c>
      <c r="J153" s="139" t="n">
        <v>39.05</v>
      </c>
      <c r="K153" s="140" t="n"/>
      <c r="L153" s="140">
        <f>+H153*J153</f>
        <v/>
      </c>
      <c r="M153" s="141">
        <f>SUM(M152+K153-L153)</f>
        <v/>
      </c>
    </row>
    <row r="154">
      <c r="A154" s="20" t="n">
        <v>45665</v>
      </c>
      <c r="B154" s="21" t="n">
        <v>11413</v>
      </c>
      <c r="C154" s="22" t="inlineStr">
        <is>
          <t>METİN ERYİĞİT</t>
        </is>
      </c>
      <c r="D154" s="21" t="inlineStr">
        <is>
          <t>34 EGR 814</t>
        </is>
      </c>
      <c r="E154" s="21" t="inlineStr">
        <is>
          <t>FARUK ÖZEN</t>
        </is>
      </c>
      <c r="F154" s="23" t="n">
        <v>506522</v>
      </c>
      <c r="G154" s="138" t="n"/>
      <c r="H154" s="138" t="n">
        <v>369</v>
      </c>
      <c r="I154" s="138">
        <f>+I153+(G154-H154)</f>
        <v/>
      </c>
      <c r="J154" s="139" t="n">
        <v>39.05</v>
      </c>
      <c r="K154" s="140" t="n"/>
      <c r="L154" s="140">
        <f>+H154*J154</f>
        <v/>
      </c>
      <c r="M154" s="141">
        <f>SUM(M153+K154-L154)</f>
        <v/>
      </c>
    </row>
    <row r="155">
      <c r="A155" s="20" t="n">
        <v>45665</v>
      </c>
      <c r="B155" s="21" t="n">
        <v>11451</v>
      </c>
      <c r="C155" s="22" t="inlineStr">
        <is>
          <t>METİN ŞİRİN</t>
        </is>
      </c>
      <c r="D155" s="21" t="inlineStr">
        <is>
          <t>34 EGR 922</t>
        </is>
      </c>
      <c r="E155" s="21" t="inlineStr">
        <is>
          <t>GÜRAY KOYUNCU</t>
        </is>
      </c>
      <c r="F155" s="23" t="n">
        <v>427612</v>
      </c>
      <c r="G155" s="138" t="n"/>
      <c r="H155" s="138" t="n">
        <v>389</v>
      </c>
      <c r="I155" s="138">
        <f>+I154+(G155-H155)</f>
        <v/>
      </c>
      <c r="J155" s="139" t="n">
        <v>39.05</v>
      </c>
      <c r="K155" s="140" t="n"/>
      <c r="L155" s="140">
        <f>+H155*J155</f>
        <v/>
      </c>
      <c r="M155" s="141">
        <f>SUM(M154+K155-L155)</f>
        <v/>
      </c>
    </row>
    <row r="156">
      <c r="A156" s="20" t="n">
        <v>45665</v>
      </c>
      <c r="B156" s="21" t="n">
        <v>10977</v>
      </c>
      <c r="C156" s="22" t="inlineStr">
        <is>
          <t>SELİM İNŞAAT</t>
        </is>
      </c>
      <c r="D156" s="21" t="inlineStr">
        <is>
          <t>34 GVZ 199</t>
        </is>
      </c>
      <c r="E156" s="21" t="inlineStr">
        <is>
          <t>VAHDET GÜRLER</t>
        </is>
      </c>
      <c r="F156" s="23" t="n">
        <v>150545</v>
      </c>
      <c r="G156" s="138" t="n"/>
      <c r="H156" s="138" t="n">
        <v>258</v>
      </c>
      <c r="I156" s="138">
        <f>+I155+(G156-H156)</f>
        <v/>
      </c>
      <c r="J156" s="139" t="n">
        <v>39.05</v>
      </c>
      <c r="K156" s="140" t="n"/>
      <c r="L156" s="140">
        <f>+H156*J156</f>
        <v/>
      </c>
      <c r="M156" s="141">
        <f>SUM(M155+K156-L156)</f>
        <v/>
      </c>
    </row>
    <row r="157">
      <c r="A157" s="20" t="n">
        <v>45665</v>
      </c>
      <c r="B157" s="21" t="n">
        <v>20849</v>
      </c>
      <c r="C157" s="22" t="inlineStr">
        <is>
          <t>SELİM İNŞAAT</t>
        </is>
      </c>
      <c r="D157" s="21" t="inlineStr">
        <is>
          <t>34 FSG 229</t>
        </is>
      </c>
      <c r="E157" s="21" t="inlineStr">
        <is>
          <t>SİNAN TANRIVERDİ</t>
        </is>
      </c>
      <c r="F157" s="23" t="n">
        <v>227665</v>
      </c>
      <c r="G157" s="138" t="n"/>
      <c r="H157" s="138" t="n">
        <v>478</v>
      </c>
      <c r="I157" s="138">
        <f>+I156+(G157-H157)</f>
        <v/>
      </c>
      <c r="J157" s="139" t="n">
        <v>39.05</v>
      </c>
      <c r="K157" s="140" t="n"/>
      <c r="L157" s="140">
        <f>+H157*J157</f>
        <v/>
      </c>
      <c r="M157" s="141">
        <f>SUM(M156+K157-L157)</f>
        <v/>
      </c>
    </row>
    <row r="158">
      <c r="A158" s="20" t="n">
        <v>45665</v>
      </c>
      <c r="B158" s="21" t="n">
        <v>10757</v>
      </c>
      <c r="C158" s="22" t="inlineStr">
        <is>
          <t>SELİM İNŞAAT</t>
        </is>
      </c>
      <c r="D158" s="21" t="inlineStr">
        <is>
          <t>34 FBR 705</t>
        </is>
      </c>
      <c r="E158" s="21" t="inlineStr">
        <is>
          <t>MESUT GÜRLER</t>
        </is>
      </c>
      <c r="F158" s="23" t="n">
        <v>283090</v>
      </c>
      <c r="G158" s="138" t="n"/>
      <c r="H158" s="138" t="n">
        <v>380</v>
      </c>
      <c r="I158" s="138">
        <f>+I157+(G158-H158)</f>
        <v/>
      </c>
      <c r="J158" s="139" t="n">
        <v>39.05</v>
      </c>
      <c r="K158" s="140" t="n"/>
      <c r="L158" s="140">
        <f>+H158*J158</f>
        <v/>
      </c>
      <c r="M158" s="141">
        <f>SUM(M157+K158-L158)</f>
        <v/>
      </c>
    </row>
    <row r="159">
      <c r="A159" s="20" t="n">
        <v>45665</v>
      </c>
      <c r="B159" s="21" t="n">
        <v>21442</v>
      </c>
      <c r="C159" s="22" t="inlineStr">
        <is>
          <t>SELİM İNŞAAT</t>
        </is>
      </c>
      <c r="D159" s="21" t="inlineStr">
        <is>
          <t>34 GUS 848</t>
        </is>
      </c>
      <c r="E159" s="21" t="inlineStr">
        <is>
          <t>SERDAR BOZKURT</t>
        </is>
      </c>
      <c r="F159" s="23" t="n">
        <v>158194</v>
      </c>
      <c r="G159" s="138" t="n"/>
      <c r="H159" s="138" t="n">
        <v>338</v>
      </c>
      <c r="I159" s="138">
        <f>+I158+(G159-H159)</f>
        <v/>
      </c>
      <c r="J159" s="139" t="n">
        <v>39.05</v>
      </c>
      <c r="K159" s="140" t="n"/>
      <c r="L159" s="140">
        <f>+H159*J159</f>
        <v/>
      </c>
      <c r="M159" s="141">
        <f>SUM(M158+K159-L159)</f>
        <v/>
      </c>
    </row>
    <row r="160">
      <c r="A160" s="20" t="n">
        <v>45665</v>
      </c>
      <c r="B160" s="21" t="n">
        <v>9780</v>
      </c>
      <c r="C160" s="22" t="inlineStr">
        <is>
          <t>SELİM İNŞAAT</t>
        </is>
      </c>
      <c r="D160" s="21" t="inlineStr">
        <is>
          <t>34 GUZ 268</t>
        </is>
      </c>
      <c r="E160" s="21" t="inlineStr">
        <is>
          <t>KERİM KARAMAN</t>
        </is>
      </c>
      <c r="F160" s="23" t="n">
        <v>160154</v>
      </c>
      <c r="G160" s="138" t="n"/>
      <c r="H160" s="138" t="n">
        <v>329</v>
      </c>
      <c r="I160" s="138">
        <f>+I159+(G160-H160)</f>
        <v/>
      </c>
      <c r="J160" s="139" t="n">
        <v>39.05</v>
      </c>
      <c r="K160" s="140" t="n"/>
      <c r="L160" s="140">
        <f>+H160*J160</f>
        <v/>
      </c>
      <c r="M160" s="141">
        <f>SUM(M159+K160-L160)</f>
        <v/>
      </c>
    </row>
    <row r="161">
      <c r="A161" s="20" t="n">
        <v>45665</v>
      </c>
      <c r="B161" s="21" t="n">
        <v>20891</v>
      </c>
      <c r="C161" s="22" t="inlineStr">
        <is>
          <t>SELİM İNŞAAT</t>
        </is>
      </c>
      <c r="D161" s="21" t="inlineStr">
        <is>
          <t>34 GVZ 310</t>
        </is>
      </c>
      <c r="E161" s="21" t="inlineStr">
        <is>
          <t>CELAL YÜZBAŞI</t>
        </is>
      </c>
      <c r="F161" s="23" t="n">
        <v>163450</v>
      </c>
      <c r="G161" s="138" t="n"/>
      <c r="H161" s="138" t="n">
        <v>357</v>
      </c>
      <c r="I161" s="138">
        <f>+I160+(G161-H161)</f>
        <v/>
      </c>
      <c r="J161" s="139" t="n">
        <v>39.05</v>
      </c>
      <c r="K161" s="140" t="n"/>
      <c r="L161" s="140">
        <f>+H161*J161</f>
        <v/>
      </c>
      <c r="M161" s="141">
        <f>SUM(M160+K161-L161)</f>
        <v/>
      </c>
    </row>
    <row r="162">
      <c r="A162" s="20" t="n">
        <v>45665</v>
      </c>
      <c r="B162" s="21" t="n">
        <v>10163</v>
      </c>
      <c r="C162" s="22" t="inlineStr">
        <is>
          <t>SELİM İNŞAAT</t>
        </is>
      </c>
      <c r="D162" s="21" t="inlineStr">
        <is>
          <t>34 EGR 736</t>
        </is>
      </c>
      <c r="E162" s="21" t="inlineStr">
        <is>
          <t>MUHAMMER ÇAMLI</t>
        </is>
      </c>
      <c r="F162" s="23" t="n">
        <v>358006</v>
      </c>
      <c r="G162" s="138" t="n"/>
      <c r="H162" s="138" t="n">
        <v>325</v>
      </c>
      <c r="I162" s="138">
        <f>+I161+(G162-H162)</f>
        <v/>
      </c>
      <c r="J162" s="139" t="n">
        <v>39.05</v>
      </c>
      <c r="K162" s="140" t="n"/>
      <c r="L162" s="140">
        <f>+H162*J162</f>
        <v/>
      </c>
      <c r="M162" s="141">
        <f>SUM(M161+K162-L162)</f>
        <v/>
      </c>
    </row>
    <row r="163">
      <c r="A163" s="20" t="n">
        <v>45665</v>
      </c>
      <c r="B163" s="21" t="n">
        <v>11117</v>
      </c>
      <c r="C163" s="22" t="inlineStr">
        <is>
          <t>SELİM İNŞAAT</t>
        </is>
      </c>
      <c r="D163" s="21" t="inlineStr">
        <is>
          <t>34 DTV 409</t>
        </is>
      </c>
      <c r="E163" s="21" t="inlineStr">
        <is>
          <t>EMİN PARLAKKILIÇ</t>
        </is>
      </c>
      <c r="F163" s="23" t="n">
        <v>392420</v>
      </c>
      <c r="G163" s="138" t="n"/>
      <c r="H163" s="138" t="n">
        <v>396</v>
      </c>
      <c r="I163" s="138">
        <f>+I162+(G163-H163)</f>
        <v/>
      </c>
      <c r="J163" s="139" t="n">
        <v>39.05</v>
      </c>
      <c r="K163" s="140" t="n"/>
      <c r="L163" s="140">
        <f>+H163*J163</f>
        <v/>
      </c>
      <c r="M163" s="141">
        <f>SUM(M162+K163-L163)</f>
        <v/>
      </c>
    </row>
    <row r="164">
      <c r="A164" s="20" t="n">
        <v>45665</v>
      </c>
      <c r="B164" s="21" t="n">
        <v>21532</v>
      </c>
      <c r="C164" s="22" t="inlineStr">
        <is>
          <t>SELİM İNŞAAT</t>
        </is>
      </c>
      <c r="D164" s="21" t="inlineStr">
        <is>
          <t>34 GVZ 745</t>
        </is>
      </c>
      <c r="E164" s="21" t="inlineStr">
        <is>
          <t>MUHAMMED YİĞİT</t>
        </is>
      </c>
      <c r="F164" s="23" t="n">
        <v>157060</v>
      </c>
      <c r="G164" s="138" t="n"/>
      <c r="H164" s="138" t="n">
        <v>380</v>
      </c>
      <c r="I164" s="138">
        <f>+I163+(G164-H164)</f>
        <v/>
      </c>
      <c r="J164" s="139" t="n">
        <v>39.05</v>
      </c>
      <c r="K164" s="140" t="n"/>
      <c r="L164" s="140">
        <f>+H164*J164</f>
        <v/>
      </c>
      <c r="M164" s="141">
        <f>SUM(M163+K164-L164)</f>
        <v/>
      </c>
    </row>
    <row r="165">
      <c r="A165" s="20" t="n">
        <v>45665</v>
      </c>
      <c r="B165" s="21" t="n">
        <v>20799</v>
      </c>
      <c r="C165" s="22" t="inlineStr">
        <is>
          <t>SELİM İNŞAAT</t>
        </is>
      </c>
      <c r="D165" s="21" t="inlineStr">
        <is>
          <t>34 DRU 690</t>
        </is>
      </c>
      <c r="E165" s="21" t="inlineStr">
        <is>
          <t>İSMET BAYRAM</t>
        </is>
      </c>
      <c r="F165" s="23" t="n">
        <v>385855</v>
      </c>
      <c r="G165" s="138" t="n"/>
      <c r="H165" s="138" t="n">
        <v>357</v>
      </c>
      <c r="I165" s="138">
        <f>+I164+(G165-H165)</f>
        <v/>
      </c>
      <c r="J165" s="139" t="n">
        <v>39.05</v>
      </c>
      <c r="K165" s="140" t="n"/>
      <c r="L165" s="140">
        <f>+H165*J165</f>
        <v/>
      </c>
      <c r="M165" s="141">
        <f>SUM(M164+K165-L165)</f>
        <v/>
      </c>
    </row>
    <row r="166">
      <c r="A166" s="20" t="n">
        <v>45665</v>
      </c>
      <c r="B166" s="21" t="n">
        <v>9906</v>
      </c>
      <c r="C166" s="22" t="inlineStr">
        <is>
          <t>ENES SELİM</t>
        </is>
      </c>
      <c r="D166" s="21" t="inlineStr">
        <is>
          <t>TB 926 VİNÇ</t>
        </is>
      </c>
      <c r="E166" s="21" t="inlineStr">
        <is>
          <t>ENES SELİM</t>
        </is>
      </c>
      <c r="F166" s="23" t="n"/>
      <c r="G166" s="138" t="n"/>
      <c r="H166" s="138" t="n">
        <v>225</v>
      </c>
      <c r="I166" s="138">
        <f>+I165+(G166-H166)</f>
        <v/>
      </c>
      <c r="J166" s="139" t="n">
        <v>39.05</v>
      </c>
      <c r="K166" s="140" t="n"/>
      <c r="L166" s="140">
        <f>+H166*J166</f>
        <v/>
      </c>
      <c r="M166" s="141">
        <f>SUM(M165+K166-L166)</f>
        <v/>
      </c>
    </row>
    <row r="167">
      <c r="A167" s="20" t="n">
        <v>45665</v>
      </c>
      <c r="B167" s="21" t="n">
        <v>9923</v>
      </c>
      <c r="C167" s="22" t="inlineStr">
        <is>
          <t>-</t>
        </is>
      </c>
      <c r="D167" s="21" t="inlineStr">
        <is>
          <t>MAKİNA TAMİRİ</t>
        </is>
      </c>
      <c r="E167" s="21" t="inlineStr">
        <is>
          <t>ERDAL</t>
        </is>
      </c>
      <c r="F167" s="23" t="n"/>
      <c r="G167" s="138" t="n"/>
      <c r="H167" s="138" t="n">
        <v>30</v>
      </c>
      <c r="I167" s="138">
        <f>+I166+(G167-H167)</f>
        <v/>
      </c>
      <c r="J167" s="139" t="n">
        <v>39.05</v>
      </c>
      <c r="K167" s="140" t="n"/>
      <c r="L167" s="140">
        <f>+H167*J167</f>
        <v/>
      </c>
      <c r="M167" s="141">
        <f>SUM(M166+K167-L167)</f>
        <v/>
      </c>
    </row>
    <row r="168">
      <c r="A168" s="20" t="n">
        <v>45665</v>
      </c>
      <c r="B168" s="21" t="n">
        <v>11978</v>
      </c>
      <c r="C168" s="22" t="inlineStr">
        <is>
          <t>SELİM İNŞAAT</t>
        </is>
      </c>
      <c r="D168" s="21" t="inlineStr">
        <is>
          <t>34 DKL 798</t>
        </is>
      </c>
      <c r="E168" s="21" t="inlineStr">
        <is>
          <t>VOLKAN YANAR</t>
        </is>
      </c>
      <c r="F168" s="23" t="n">
        <v>60138</v>
      </c>
      <c r="G168" s="138" t="n"/>
      <c r="H168" s="138" t="n">
        <v>106</v>
      </c>
      <c r="I168" s="138">
        <f>+I167+(G168-H168)</f>
        <v/>
      </c>
      <c r="J168" s="139" t="n">
        <v>39.05</v>
      </c>
      <c r="K168" s="140" t="n"/>
      <c r="L168" s="140">
        <f>+H168*J168</f>
        <v/>
      </c>
      <c r="M168" s="141">
        <f>SUM(M167+K168-L168)</f>
        <v/>
      </c>
    </row>
    <row r="169">
      <c r="A169" s="20" t="n">
        <v>45665</v>
      </c>
      <c r="B169" s="21" t="n">
        <v>11051</v>
      </c>
      <c r="C169" s="22" t="inlineStr">
        <is>
          <t>SELİM İNŞAAT</t>
        </is>
      </c>
      <c r="D169" s="21" t="inlineStr">
        <is>
          <t>34 HBY 763</t>
        </is>
      </c>
      <c r="E169" s="21" t="inlineStr">
        <is>
          <t>A.KERİM ERGEN</t>
        </is>
      </c>
      <c r="F169" s="23" t="n">
        <v>11952</v>
      </c>
      <c r="G169" s="138" t="n"/>
      <c r="H169" s="138" t="n">
        <v>154</v>
      </c>
      <c r="I169" s="138">
        <f>+I168+(G169-H169)</f>
        <v/>
      </c>
      <c r="J169" s="139" t="n">
        <v>39.05</v>
      </c>
      <c r="K169" s="140" t="n"/>
      <c r="L169" s="140">
        <f>+H169*J169</f>
        <v/>
      </c>
      <c r="M169" s="141">
        <f>SUM(M168+K169-L169)</f>
        <v/>
      </c>
    </row>
    <row r="170">
      <c r="A170" s="20" t="n">
        <v>45665</v>
      </c>
      <c r="B170" s="21" t="n">
        <v>9698</v>
      </c>
      <c r="C170" s="22" t="inlineStr">
        <is>
          <t>SELİM İNŞAAT</t>
        </is>
      </c>
      <c r="D170" s="21" t="inlineStr">
        <is>
          <t>34 FEM 934</t>
        </is>
      </c>
      <c r="E170" s="21" t="inlineStr">
        <is>
          <t>TURAN SEVİNDİK</t>
        </is>
      </c>
      <c r="F170" s="23" t="n">
        <v>296373</v>
      </c>
      <c r="G170" s="138" t="n"/>
      <c r="H170" s="138" t="n">
        <v>70</v>
      </c>
      <c r="I170" s="138">
        <f>+I169+(G170-H170)</f>
        <v/>
      </c>
      <c r="J170" s="139" t="n">
        <v>39.05</v>
      </c>
      <c r="K170" s="140" t="n"/>
      <c r="L170" s="140">
        <f>+H170*J170</f>
        <v/>
      </c>
      <c r="M170" s="141">
        <f>SUM(M169+K170-L170)</f>
        <v/>
      </c>
    </row>
    <row r="171">
      <c r="A171" s="20" t="n">
        <v>45665</v>
      </c>
      <c r="B171" s="1" t="n">
        <v>10808</v>
      </c>
      <c r="C171" s="2" t="inlineStr">
        <is>
          <t>HASALTUN</t>
        </is>
      </c>
      <c r="D171" s="1" t="inlineStr">
        <is>
          <t>SM 370</t>
        </is>
      </c>
      <c r="E171" s="1" t="inlineStr">
        <is>
          <t>TEKİN ŞEYLAN</t>
        </is>
      </c>
      <c r="F171" s="3" t="n"/>
      <c r="G171" s="143" t="n"/>
      <c r="H171" s="143" t="n">
        <v>200</v>
      </c>
      <c r="I171" s="143">
        <f>+I170+(G171-H171)</f>
        <v/>
      </c>
      <c r="J171" s="144" t="n">
        <v>39.05</v>
      </c>
      <c r="K171" s="145" t="n"/>
      <c r="L171" s="140">
        <f>+H171*J171</f>
        <v/>
      </c>
      <c r="M171" s="141">
        <f>SUM(M170+K171-L171)</f>
        <v/>
      </c>
    </row>
    <row r="172">
      <c r="A172" s="20" t="n">
        <v>45665</v>
      </c>
      <c r="B172" s="1" t="n">
        <v>10809</v>
      </c>
      <c r="C172" s="2" t="inlineStr">
        <is>
          <t>VARLIK</t>
        </is>
      </c>
      <c r="D172" s="1" t="inlineStr">
        <is>
          <t>SM 300</t>
        </is>
      </c>
      <c r="E172" s="1" t="inlineStr">
        <is>
          <t>TURGUT SANCAK</t>
        </is>
      </c>
      <c r="F172" s="3" t="n"/>
      <c r="G172" s="143" t="n"/>
      <c r="H172" s="143" t="n">
        <v>361</v>
      </c>
      <c r="I172" s="143">
        <f>+I171+(G172-H172)</f>
        <v/>
      </c>
      <c r="J172" s="144" t="n">
        <v>39.05</v>
      </c>
      <c r="K172" s="145" t="n"/>
      <c r="L172" s="140">
        <f>+H172*J172</f>
        <v/>
      </c>
      <c r="M172" s="141">
        <f>SUM(M171+K172-L172)</f>
        <v/>
      </c>
    </row>
    <row r="173">
      <c r="A173" s="20" t="n">
        <v>45665</v>
      </c>
      <c r="B173" s="21" t="n">
        <v>10810</v>
      </c>
      <c r="C173" s="22" t="inlineStr">
        <is>
          <t>EVKUR</t>
        </is>
      </c>
      <c r="D173" s="21" t="inlineStr">
        <is>
          <t>KİRALIK VOLVO</t>
        </is>
      </c>
      <c r="E173" s="21" t="inlineStr">
        <is>
          <t>ÖMER AZGÜN</t>
        </is>
      </c>
      <c r="F173" s="23" t="n"/>
      <c r="G173" s="138" t="n"/>
      <c r="H173" s="138" t="n">
        <v>285</v>
      </c>
      <c r="I173" s="138">
        <f>+I172+(G173-H173)</f>
        <v/>
      </c>
      <c r="J173" s="139" t="n">
        <v>39.05</v>
      </c>
      <c r="K173" s="140" t="n"/>
      <c r="L173" s="140">
        <f>+H173*J173</f>
        <v/>
      </c>
      <c r="M173" s="141">
        <f>SUM(M172+K173-L173)</f>
        <v/>
      </c>
    </row>
    <row r="174">
      <c r="A174" s="20" t="n">
        <v>45665</v>
      </c>
      <c r="B174" s="1" t="n">
        <v>10811</v>
      </c>
      <c r="C174" s="2" t="inlineStr">
        <is>
          <t>VARLIK</t>
        </is>
      </c>
      <c r="D174" s="1" t="inlineStr">
        <is>
          <t>SM 350</t>
        </is>
      </c>
      <c r="E174" s="1" t="inlineStr">
        <is>
          <t>BAYRAM SANCAK</t>
        </is>
      </c>
      <c r="F174" s="3" t="n"/>
      <c r="G174" s="143" t="n"/>
      <c r="H174" s="143" t="n">
        <v>264</v>
      </c>
      <c r="I174" s="143">
        <f>+I173+(G174-H174)</f>
        <v/>
      </c>
      <c r="J174" s="144" t="n">
        <v>39.05</v>
      </c>
      <c r="K174" s="145" t="n"/>
      <c r="L174" s="140">
        <f>+H174*J174</f>
        <v/>
      </c>
      <c r="M174" s="141">
        <f>SUM(M173+K174-L174)</f>
        <v/>
      </c>
    </row>
    <row r="175">
      <c r="A175" s="20" t="n">
        <v>45666</v>
      </c>
      <c r="B175" s="21" t="n">
        <v>2041</v>
      </c>
      <c r="C175" s="22" t="inlineStr">
        <is>
          <t>AZGÜN YAPI</t>
        </is>
      </c>
      <c r="D175" s="21" t="inlineStr">
        <is>
          <t>34 DTV 263</t>
        </is>
      </c>
      <c r="E175" s="21" t="inlineStr">
        <is>
          <t>EDİP TORLAK</t>
        </is>
      </c>
      <c r="F175" s="23" t="n">
        <v>355042</v>
      </c>
      <c r="G175" s="138" t="n"/>
      <c r="H175" s="138" t="n">
        <v>377</v>
      </c>
      <c r="I175" s="138">
        <f>+I174+(G175-H175)</f>
        <v/>
      </c>
      <c r="J175" s="139" t="n">
        <v>39.05</v>
      </c>
      <c r="K175" s="140" t="n"/>
      <c r="L175" s="140">
        <f>+H175*J175</f>
        <v/>
      </c>
      <c r="M175" s="141">
        <f>SUM(M174+K175-L175)</f>
        <v/>
      </c>
    </row>
    <row r="176">
      <c r="A176" s="20" t="n">
        <v>45666</v>
      </c>
      <c r="B176" s="21" t="n">
        <v>11303</v>
      </c>
      <c r="C176" s="22" t="inlineStr">
        <is>
          <t>AZGÜN YAPI</t>
        </is>
      </c>
      <c r="D176" s="21" t="inlineStr">
        <is>
          <t>34 MKT 859</t>
        </is>
      </c>
      <c r="E176" s="21" t="inlineStr">
        <is>
          <t>YAHYA</t>
        </is>
      </c>
      <c r="F176" s="23" t="n">
        <v>2197</v>
      </c>
      <c r="G176" s="138" t="n"/>
      <c r="H176" s="138" t="n">
        <v>280</v>
      </c>
      <c r="I176" s="138">
        <f>+I175+(G176-H176)</f>
        <v/>
      </c>
      <c r="J176" s="139" t="n">
        <v>39.05</v>
      </c>
      <c r="K176" s="140" t="n"/>
      <c r="L176" s="140">
        <f>+H176*J176</f>
        <v/>
      </c>
      <c r="M176" s="141">
        <f>SUM(M175+K176-L176)</f>
        <v/>
      </c>
    </row>
    <row r="177">
      <c r="A177" s="20" t="n">
        <v>45666</v>
      </c>
      <c r="B177" s="21" t="n">
        <v>11682</v>
      </c>
      <c r="C177" s="22" t="inlineStr">
        <is>
          <t>METİN ERYİĞİT</t>
        </is>
      </c>
      <c r="D177" s="21" t="inlineStr">
        <is>
          <t>34 GBL 998</t>
        </is>
      </c>
      <c r="E177" s="21" t="inlineStr">
        <is>
          <t>ALİ KESKİN</t>
        </is>
      </c>
      <c r="F177" s="23" t="n">
        <v>232641</v>
      </c>
      <c r="G177" s="138" t="n"/>
      <c r="H177" s="138" t="n">
        <v>388</v>
      </c>
      <c r="I177" s="138">
        <f>+I176+(G177-H177)</f>
        <v/>
      </c>
      <c r="J177" s="139" t="n">
        <v>39.05</v>
      </c>
      <c r="K177" s="140" t="n"/>
      <c r="L177" s="140">
        <f>+H177*J177</f>
        <v/>
      </c>
      <c r="M177" s="141">
        <f>SUM(M176+K177-L177)</f>
        <v/>
      </c>
    </row>
    <row r="178">
      <c r="A178" s="20" t="n">
        <v>45666</v>
      </c>
      <c r="B178" s="21" t="n">
        <v>11709</v>
      </c>
      <c r="C178" s="22" t="inlineStr">
        <is>
          <t>SELİM İNŞAAT</t>
        </is>
      </c>
      <c r="D178" s="21" t="inlineStr">
        <is>
          <t>34 EDB 559</t>
        </is>
      </c>
      <c r="E178" s="21" t="inlineStr">
        <is>
          <t>CEM MUHTAR</t>
        </is>
      </c>
      <c r="F178" s="23" t="n">
        <v>299328</v>
      </c>
      <c r="G178" s="138" t="n"/>
      <c r="H178" s="138" t="n">
        <v>289</v>
      </c>
      <c r="I178" s="138">
        <f>+I177+(G178-H178)</f>
        <v/>
      </c>
      <c r="J178" s="139" t="n">
        <v>39.05</v>
      </c>
      <c r="K178" s="140" t="n"/>
      <c r="L178" s="140">
        <f>+H178*J178</f>
        <v/>
      </c>
      <c r="M178" s="141">
        <f>SUM(M177+K178-L178)</f>
        <v/>
      </c>
    </row>
    <row r="179">
      <c r="A179" s="20" t="n">
        <v>45666</v>
      </c>
      <c r="B179" s="21" t="n">
        <v>20949</v>
      </c>
      <c r="C179" s="22" t="inlineStr">
        <is>
          <t>SELİM İNŞAAT</t>
        </is>
      </c>
      <c r="D179" s="21" t="inlineStr">
        <is>
          <t>34 FBR 742</t>
        </is>
      </c>
      <c r="E179" s="21" t="inlineStr">
        <is>
          <t>MİKAİL BAYILMAZ</t>
        </is>
      </c>
      <c r="F179" s="23" t="n">
        <v>288334</v>
      </c>
      <c r="G179" s="138" t="n"/>
      <c r="H179" s="138" t="n">
        <v>338</v>
      </c>
      <c r="I179" s="138">
        <f>+I178+(G179-H179)</f>
        <v/>
      </c>
      <c r="J179" s="139" t="n">
        <v>39.05</v>
      </c>
      <c r="K179" s="140" t="n"/>
      <c r="L179" s="140">
        <f>+H179*J179</f>
        <v/>
      </c>
      <c r="M179" s="141">
        <f>SUM(M178+K179-L179)</f>
        <v/>
      </c>
    </row>
    <row r="180">
      <c r="A180" s="20" t="n">
        <v>45666</v>
      </c>
      <c r="B180" s="21" t="n">
        <v>10505</v>
      </c>
      <c r="C180" s="22" t="inlineStr">
        <is>
          <t>SELİM İNŞAAT</t>
        </is>
      </c>
      <c r="D180" s="21" t="inlineStr">
        <is>
          <t>34 EDB 922</t>
        </is>
      </c>
      <c r="E180" s="21" t="inlineStr">
        <is>
          <t>AHMET TOPÇU</t>
        </is>
      </c>
      <c r="F180" s="23" t="n">
        <v>328322</v>
      </c>
      <c r="G180" s="138" t="n"/>
      <c r="H180" s="138" t="n">
        <v>338</v>
      </c>
      <c r="I180" s="138">
        <f>+I179+(G180-H180)</f>
        <v/>
      </c>
      <c r="J180" s="139" t="n">
        <v>39.05</v>
      </c>
      <c r="K180" s="140" t="n"/>
      <c r="L180" s="140">
        <f>+H180*J180</f>
        <v/>
      </c>
      <c r="M180" s="141">
        <f>SUM(M179+K180-L180)</f>
        <v/>
      </c>
    </row>
    <row r="181">
      <c r="A181" s="20" t="n">
        <v>45666</v>
      </c>
      <c r="B181" s="21" t="n">
        <v>11618</v>
      </c>
      <c r="C181" s="22" t="inlineStr">
        <is>
          <t>SELİM İNŞAAT</t>
        </is>
      </c>
      <c r="D181" s="21" t="inlineStr">
        <is>
          <t>34 DTV 352</t>
        </is>
      </c>
      <c r="E181" s="21" t="inlineStr">
        <is>
          <t xml:space="preserve">RASİM BARTU </t>
        </is>
      </c>
      <c r="F181" s="23" t="n">
        <v>405993</v>
      </c>
      <c r="G181" s="138" t="n"/>
      <c r="H181" s="138" t="n">
        <v>392</v>
      </c>
      <c r="I181" s="138">
        <f>+I180+(G181-H181)</f>
        <v/>
      </c>
      <c r="J181" s="139" t="n">
        <v>39.05</v>
      </c>
      <c r="K181" s="140" t="n"/>
      <c r="L181" s="140">
        <f>+H181*J181</f>
        <v/>
      </c>
      <c r="M181" s="141">
        <f>SUM(M180+K181-L181)</f>
        <v/>
      </c>
    </row>
    <row r="182">
      <c r="A182" s="20" t="n">
        <v>45666</v>
      </c>
      <c r="B182" s="21" t="n">
        <v>11264</v>
      </c>
      <c r="C182" s="22" t="inlineStr">
        <is>
          <t>SELİM İNŞAAT</t>
        </is>
      </c>
      <c r="D182" s="21" t="inlineStr">
        <is>
          <t>34 EDC 162</t>
        </is>
      </c>
      <c r="E182" s="21" t="inlineStr">
        <is>
          <t xml:space="preserve">YAKUP GÜNER </t>
        </is>
      </c>
      <c r="F182" s="23" t="n">
        <v>335815</v>
      </c>
      <c r="G182" s="138" t="n"/>
      <c r="H182" s="138" t="n">
        <v>282</v>
      </c>
      <c r="I182" s="138">
        <f>+I181+(G182-H182)</f>
        <v/>
      </c>
      <c r="J182" s="139" t="n">
        <v>39.05</v>
      </c>
      <c r="K182" s="140" t="n"/>
      <c r="L182" s="140">
        <f>+H182*J182</f>
        <v/>
      </c>
      <c r="M182" s="141">
        <f>SUM(M181+K182-L182)</f>
        <v/>
      </c>
    </row>
    <row r="183">
      <c r="A183" s="20" t="n">
        <v>45666</v>
      </c>
      <c r="B183" s="21" t="n">
        <v>20989</v>
      </c>
      <c r="C183" s="22" t="inlineStr">
        <is>
          <t>SELİM İNŞAAT</t>
        </is>
      </c>
      <c r="D183" s="21" t="inlineStr">
        <is>
          <t>34 GUS 938</t>
        </is>
      </c>
      <c r="E183" s="21" t="inlineStr">
        <is>
          <t>MEHMET KAYA</t>
        </is>
      </c>
      <c r="F183" s="23" t="n">
        <v>153989</v>
      </c>
      <c r="G183" s="138" t="n"/>
      <c r="H183" s="138" t="n">
        <v>330</v>
      </c>
      <c r="I183" s="138">
        <f>+I182+(G183-H183)</f>
        <v/>
      </c>
      <c r="J183" s="139" t="n">
        <v>39.05</v>
      </c>
      <c r="K183" s="140" t="n"/>
      <c r="L183" s="140">
        <f>+H183*J183</f>
        <v/>
      </c>
      <c r="M183" s="141">
        <f>SUM(M182+K183-L183)</f>
        <v/>
      </c>
    </row>
    <row r="184">
      <c r="A184" s="20" t="n">
        <v>45666</v>
      </c>
      <c r="B184" s="21" t="n">
        <v>21277</v>
      </c>
      <c r="C184" s="22" t="inlineStr">
        <is>
          <t>SELİM İNŞAAT</t>
        </is>
      </c>
      <c r="D184" s="21" t="inlineStr">
        <is>
          <t>34 DTV 447</t>
        </is>
      </c>
      <c r="E184" s="21" t="inlineStr">
        <is>
          <t>EBUBEKİR KOLDAŞ</t>
        </is>
      </c>
      <c r="F184" s="23" t="n">
        <v>409500</v>
      </c>
      <c r="G184" s="138" t="n"/>
      <c r="H184" s="138" t="n">
        <v>306</v>
      </c>
      <c r="I184" s="138">
        <f>+I183+(G184-H184)</f>
        <v/>
      </c>
      <c r="J184" s="139" t="n">
        <v>39.05</v>
      </c>
      <c r="K184" s="140" t="n"/>
      <c r="L184" s="140">
        <f>+H184*J184</f>
        <v/>
      </c>
      <c r="M184" s="141">
        <f>SUM(M183+K184-L184)</f>
        <v/>
      </c>
    </row>
    <row r="185">
      <c r="A185" s="20" t="n">
        <v>45666</v>
      </c>
      <c r="B185" s="21" t="n">
        <v>11774</v>
      </c>
      <c r="C185" s="22" t="inlineStr">
        <is>
          <t>SELİM İNŞAAT</t>
        </is>
      </c>
      <c r="D185" s="21" t="inlineStr">
        <is>
          <t>34 EDC 086</t>
        </is>
      </c>
      <c r="E185" s="21" t="inlineStr">
        <is>
          <t>ÖMER AĞAYAR</t>
        </is>
      </c>
      <c r="F185" s="23" t="n">
        <v>300576</v>
      </c>
      <c r="G185" s="138" t="n"/>
      <c r="H185" s="138" t="n">
        <v>331</v>
      </c>
      <c r="I185" s="138">
        <f>+I184+(G185-H185)</f>
        <v/>
      </c>
      <c r="J185" s="139" t="n">
        <v>39.05</v>
      </c>
      <c r="K185" s="140" t="n"/>
      <c r="L185" s="140">
        <f>+H185*J185</f>
        <v/>
      </c>
      <c r="M185" s="141">
        <f>SUM(M184+K185-L185)</f>
        <v/>
      </c>
    </row>
    <row r="186">
      <c r="A186" s="20" t="n">
        <v>45666</v>
      </c>
      <c r="B186" s="21" t="n">
        <v>20049</v>
      </c>
      <c r="C186" s="22" t="inlineStr">
        <is>
          <t>SELİM İNŞAAT</t>
        </is>
      </c>
      <c r="D186" s="21" t="inlineStr">
        <is>
          <t>34 DSN 621</t>
        </is>
      </c>
      <c r="E186" s="21" t="inlineStr">
        <is>
          <t>MUSTAFA KAYA</t>
        </is>
      </c>
      <c r="F186" s="23" t="n">
        <v>385659</v>
      </c>
      <c r="G186" s="138" t="n"/>
      <c r="H186" s="138" t="n">
        <v>280</v>
      </c>
      <c r="I186" s="138">
        <f>+I185+(G186-H186)</f>
        <v/>
      </c>
      <c r="J186" s="139" t="n">
        <v>39.05</v>
      </c>
      <c r="K186" s="140" t="n"/>
      <c r="L186" s="140">
        <f>+H186*J186</f>
        <v/>
      </c>
      <c r="M186" s="141">
        <f>SUM(M185+K186-L186)</f>
        <v/>
      </c>
    </row>
    <row r="187">
      <c r="A187" s="20" t="n">
        <v>45666</v>
      </c>
      <c r="B187" s="21" t="n">
        <v>10051</v>
      </c>
      <c r="C187" s="22" t="inlineStr">
        <is>
          <t>SELİM İNŞAAT</t>
        </is>
      </c>
      <c r="D187" s="21" t="inlineStr">
        <is>
          <t>34 FBR 771</t>
        </is>
      </c>
      <c r="E187" s="21" t="inlineStr">
        <is>
          <t>HÜSEYİN AKÇİN</t>
        </is>
      </c>
      <c r="F187" s="23" t="n">
        <v>287857</v>
      </c>
      <c r="G187" s="138" t="n"/>
      <c r="H187" s="138" t="n">
        <v>331</v>
      </c>
      <c r="I187" s="138">
        <f>+I186+(G187-H187)</f>
        <v/>
      </c>
      <c r="J187" s="139" t="n">
        <v>39.05</v>
      </c>
      <c r="K187" s="140" t="n"/>
      <c r="L187" s="140">
        <f>+H187*J187</f>
        <v/>
      </c>
      <c r="M187" s="141">
        <f>SUM(M186+K187-L187)</f>
        <v/>
      </c>
    </row>
    <row r="188">
      <c r="A188" s="20" t="n">
        <v>45666</v>
      </c>
      <c r="B188" s="21" t="n">
        <v>10416</v>
      </c>
      <c r="C188" s="22" t="inlineStr">
        <is>
          <t>SELİM İNŞAAT</t>
        </is>
      </c>
      <c r="D188" s="21" t="inlineStr">
        <is>
          <t>34 FBR 781</t>
        </is>
      </c>
      <c r="E188" s="21" t="inlineStr">
        <is>
          <t>MEVLÜT POLAT</t>
        </is>
      </c>
      <c r="F188" s="23" t="n">
        <v>271772</v>
      </c>
      <c r="G188" s="138" t="n"/>
      <c r="H188" s="138" t="n">
        <v>343</v>
      </c>
      <c r="I188" s="138">
        <f>+I187+(G188-H188)</f>
        <v/>
      </c>
      <c r="J188" s="139" t="n">
        <v>39.05</v>
      </c>
      <c r="K188" s="140" t="n"/>
      <c r="L188" s="140">
        <f>+H188*J188</f>
        <v/>
      </c>
      <c r="M188" s="141">
        <f>SUM(M187+K188-L188)</f>
        <v/>
      </c>
    </row>
    <row r="189">
      <c r="A189" s="20" t="n">
        <v>45666</v>
      </c>
      <c r="B189" s="21" t="n">
        <v>17995</v>
      </c>
      <c r="C189" s="22" t="inlineStr">
        <is>
          <t>SELİM İNŞAAT</t>
        </is>
      </c>
      <c r="D189" s="21" t="inlineStr">
        <is>
          <t>34 DSN 536</t>
        </is>
      </c>
      <c r="E189" s="21" t="inlineStr">
        <is>
          <t>DURSUN ALİ GÜREK</t>
        </is>
      </c>
      <c r="F189" s="23" t="n">
        <v>377393</v>
      </c>
      <c r="G189" s="138" t="n"/>
      <c r="H189" s="138" t="n">
        <v>373</v>
      </c>
      <c r="I189" s="138">
        <f>+I188+(G189-H189)</f>
        <v/>
      </c>
      <c r="J189" s="139" t="n">
        <v>39.05</v>
      </c>
      <c r="K189" s="140" t="n"/>
      <c r="L189" s="140">
        <f>+H189*J189</f>
        <v/>
      </c>
      <c r="M189" s="141">
        <f>SUM(M188+K189-L189)</f>
        <v/>
      </c>
    </row>
    <row r="190">
      <c r="A190" s="20" t="n">
        <v>45666</v>
      </c>
      <c r="B190" s="21" t="n">
        <v>10615</v>
      </c>
      <c r="C190" s="22" t="inlineStr">
        <is>
          <t>SELİM İNŞAAT</t>
        </is>
      </c>
      <c r="D190" s="21" t="inlineStr">
        <is>
          <t>34 EDB 754</t>
        </is>
      </c>
      <c r="E190" s="21" t="inlineStr">
        <is>
          <t>EMİN PARLAKKILIÇ</t>
        </is>
      </c>
      <c r="F190" s="23" t="n">
        <v>294928</v>
      </c>
      <c r="G190" s="138" t="n"/>
      <c r="H190" s="138" t="n">
        <v>436</v>
      </c>
      <c r="I190" s="138">
        <f>+I189+(G190-H190)</f>
        <v/>
      </c>
      <c r="J190" s="139" t="n">
        <v>39.05</v>
      </c>
      <c r="K190" s="140" t="n"/>
      <c r="L190" s="140">
        <f>+H190*J190</f>
        <v/>
      </c>
      <c r="M190" s="141">
        <f>SUM(M189+K190-L190)</f>
        <v/>
      </c>
    </row>
    <row r="191">
      <c r="A191" s="20" t="n">
        <v>45666</v>
      </c>
      <c r="B191" s="21" t="n">
        <v>21988</v>
      </c>
      <c r="C191" s="22" t="inlineStr">
        <is>
          <t>SELİM İNŞAAT</t>
        </is>
      </c>
      <c r="D191" s="21" t="inlineStr">
        <is>
          <t>34 EGR 737</t>
        </is>
      </c>
      <c r="E191" s="21" t="inlineStr">
        <is>
          <t>İBRAHİM GÜNASLAN</t>
        </is>
      </c>
      <c r="F191" s="23" t="n">
        <v>386970</v>
      </c>
      <c r="G191" s="138" t="n"/>
      <c r="H191" s="138" t="n">
        <v>429</v>
      </c>
      <c r="I191" s="138">
        <f>+I190+(G191-H191)</f>
        <v/>
      </c>
      <c r="J191" s="139" t="n">
        <v>39.05</v>
      </c>
      <c r="K191" s="140" t="n"/>
      <c r="L191" s="140">
        <f>+H191*J191</f>
        <v/>
      </c>
      <c r="M191" s="141">
        <f>SUM(M190+K191-L191)</f>
        <v/>
      </c>
    </row>
    <row r="192">
      <c r="A192" s="20" t="n">
        <v>45666</v>
      </c>
      <c r="B192" s="21" t="n">
        <v>10676</v>
      </c>
      <c r="C192" s="22" t="inlineStr">
        <is>
          <t>SELİM İNŞAAT</t>
        </is>
      </c>
      <c r="D192" s="21" t="inlineStr">
        <is>
          <t>34 DTV 599</t>
        </is>
      </c>
      <c r="E192" s="21" t="inlineStr">
        <is>
          <t>FERHAT GÜRLER</t>
        </is>
      </c>
      <c r="F192" s="23" t="n">
        <v>406471</v>
      </c>
      <c r="G192" s="138" t="n"/>
      <c r="H192" s="138" t="n">
        <v>300</v>
      </c>
      <c r="I192" s="138">
        <f>+I191+(G192-H192)</f>
        <v/>
      </c>
      <c r="J192" s="139" t="n">
        <v>39.05</v>
      </c>
      <c r="K192" s="140" t="n"/>
      <c r="L192" s="140">
        <f>+H192*J192</f>
        <v/>
      </c>
      <c r="M192" s="141">
        <f>SUM(M191+K192-L192)</f>
        <v/>
      </c>
    </row>
    <row r="193">
      <c r="A193" s="20" t="n">
        <v>45666</v>
      </c>
      <c r="B193" s="21" t="n">
        <v>21091</v>
      </c>
      <c r="C193" s="22" t="inlineStr">
        <is>
          <t>SELİM İNŞAAT</t>
        </is>
      </c>
      <c r="D193" s="21" t="inlineStr">
        <is>
          <t>34 EDB 659</t>
        </is>
      </c>
      <c r="E193" s="21" t="inlineStr">
        <is>
          <t>MEHMET SAİT ANIK</t>
        </is>
      </c>
      <c r="F193" s="23" t="n">
        <v>309374</v>
      </c>
      <c r="G193" s="138" t="n"/>
      <c r="H193" s="138" t="n">
        <v>414</v>
      </c>
      <c r="I193" s="138">
        <f>+I192+(G193-H193)</f>
        <v/>
      </c>
      <c r="J193" s="139" t="n">
        <v>39.05</v>
      </c>
      <c r="K193" s="140" t="n"/>
      <c r="L193" s="140">
        <f>+H193*J193</f>
        <v/>
      </c>
      <c r="M193" s="141">
        <f>SUM(M192+K193-L193)</f>
        <v/>
      </c>
    </row>
    <row r="194">
      <c r="A194" s="20" t="n">
        <v>45666</v>
      </c>
      <c r="B194" s="1" t="n">
        <v>9907</v>
      </c>
      <c r="C194" s="2" t="inlineStr">
        <is>
          <t>VİNÇ</t>
        </is>
      </c>
      <c r="D194" s="1" t="inlineStr">
        <is>
          <t>34 AZ 2191 VİNÇ</t>
        </is>
      </c>
      <c r="E194" s="1" t="inlineStr">
        <is>
          <t>NUMAN KABİL</t>
        </is>
      </c>
      <c r="F194" s="3" t="n"/>
      <c r="G194" s="143" t="n"/>
      <c r="H194" s="143" t="n">
        <v>194</v>
      </c>
      <c r="I194" s="143">
        <f>+I193+(G194-H194)</f>
        <v/>
      </c>
      <c r="J194" s="144" t="n">
        <v>39.05</v>
      </c>
      <c r="K194" s="145" t="n"/>
      <c r="L194" s="140">
        <f>+H194*J194</f>
        <v/>
      </c>
      <c r="M194" s="141">
        <f>SUM(M193+K194-L194)</f>
        <v/>
      </c>
    </row>
    <row r="195">
      <c r="A195" s="20" t="n">
        <v>45666</v>
      </c>
      <c r="B195" s="21" t="n">
        <v>10119</v>
      </c>
      <c r="C195" s="22" t="inlineStr">
        <is>
          <t>SELİM İNŞAAT</t>
        </is>
      </c>
      <c r="D195" s="21" t="inlineStr">
        <is>
          <t>34 DP 4161</t>
        </is>
      </c>
      <c r="E195" s="21" t="inlineStr">
        <is>
          <t>RIFAT KARATAY</t>
        </is>
      </c>
      <c r="F195" s="23" t="n">
        <v>279010</v>
      </c>
      <c r="G195" s="138" t="n"/>
      <c r="H195" s="138" t="n">
        <v>213</v>
      </c>
      <c r="I195" s="138">
        <f>+I194+(G195-H195)</f>
        <v/>
      </c>
      <c r="J195" s="139" t="n">
        <v>39.05</v>
      </c>
      <c r="K195" s="140" t="n"/>
      <c r="L195" s="140">
        <f>+H195*J195</f>
        <v/>
      </c>
      <c r="M195" s="141">
        <f>SUM(M194+K195-L195)</f>
        <v/>
      </c>
    </row>
    <row r="196">
      <c r="A196" s="20" t="n">
        <v>45666</v>
      </c>
      <c r="B196" s="21" t="n">
        <v>20288</v>
      </c>
      <c r="C196" s="22" t="inlineStr">
        <is>
          <t>SELİM İNŞAAT</t>
        </is>
      </c>
      <c r="D196" s="21" t="inlineStr">
        <is>
          <t>34 DKL 866</t>
        </is>
      </c>
      <c r="E196" s="21" t="inlineStr">
        <is>
          <t>ŞERİF CAN ÖNVER</t>
        </is>
      </c>
      <c r="F196" s="23" t="n">
        <v>60035</v>
      </c>
      <c r="G196" s="138" t="n"/>
      <c r="H196" s="138" t="n">
        <v>261</v>
      </c>
      <c r="I196" s="138">
        <f>+I195+(G196-H196)</f>
        <v/>
      </c>
      <c r="J196" s="139" t="n">
        <v>39.05</v>
      </c>
      <c r="K196" s="140" t="n"/>
      <c r="L196" s="140">
        <f>+H196*J196</f>
        <v/>
      </c>
      <c r="M196" s="141">
        <f>SUM(M195+K196-L196)</f>
        <v/>
      </c>
    </row>
    <row r="197">
      <c r="A197" s="20" t="n">
        <v>45666</v>
      </c>
      <c r="B197" s="21" t="n">
        <v>11979</v>
      </c>
      <c r="C197" s="22" t="inlineStr">
        <is>
          <t>SELİM İNŞAAT</t>
        </is>
      </c>
      <c r="D197" s="21" t="inlineStr">
        <is>
          <t>34 DKL 798</t>
        </is>
      </c>
      <c r="E197" s="21" t="inlineStr">
        <is>
          <t>VOLKAN YANAR</t>
        </is>
      </c>
      <c r="F197" s="23" t="n">
        <v>60203</v>
      </c>
      <c r="G197" s="138" t="n"/>
      <c r="H197" s="138" t="n">
        <v>101</v>
      </c>
      <c r="I197" s="138">
        <f>+I196+(G197-H197)</f>
        <v/>
      </c>
      <c r="J197" s="139" t="n">
        <v>39.05</v>
      </c>
      <c r="K197" s="140" t="n"/>
      <c r="L197" s="140">
        <f>+H197*J197</f>
        <v/>
      </c>
      <c r="M197" s="141">
        <f>SUM(M196+K197-L197)</f>
        <v/>
      </c>
    </row>
    <row r="198">
      <c r="A198" s="20" t="n">
        <v>45666</v>
      </c>
      <c r="B198" s="21" t="n">
        <v>11877</v>
      </c>
      <c r="C198" s="22" t="inlineStr">
        <is>
          <t>SELİM İNŞAAT</t>
        </is>
      </c>
      <c r="D198" s="21" t="inlineStr">
        <is>
          <t>34 DFE 454</t>
        </is>
      </c>
      <c r="E198" s="21" t="inlineStr">
        <is>
          <t>HASAN BAYCAN</t>
        </is>
      </c>
      <c r="F198" s="23" t="n">
        <v>153670</v>
      </c>
      <c r="G198" s="138" t="n"/>
      <c r="H198" s="138" t="n">
        <v>235</v>
      </c>
      <c r="I198" s="138">
        <f>+I197+(G198-H198)</f>
        <v/>
      </c>
      <c r="J198" s="139" t="n">
        <v>39.05</v>
      </c>
      <c r="K198" s="140" t="n"/>
      <c r="L198" s="140">
        <f>+H198*J198</f>
        <v/>
      </c>
      <c r="M198" s="141">
        <f>SUM(M197+K198-L198)</f>
        <v/>
      </c>
    </row>
    <row r="199">
      <c r="A199" s="20" t="n">
        <v>45666</v>
      </c>
      <c r="B199" s="21" t="n">
        <v>11052</v>
      </c>
      <c r="C199" s="22" t="inlineStr">
        <is>
          <t>SELİM İNŞAAT</t>
        </is>
      </c>
      <c r="D199" s="21" t="inlineStr">
        <is>
          <t>34 HBY 763</t>
        </is>
      </c>
      <c r="E199" s="21" t="inlineStr">
        <is>
          <t>A.KERİM ERGEN</t>
        </is>
      </c>
      <c r="F199" s="23" t="n">
        <v>12075</v>
      </c>
      <c r="G199" s="138" t="n"/>
      <c r="H199" s="138" t="n">
        <v>117</v>
      </c>
      <c r="I199" s="138">
        <f>+I198+(G199-H199)</f>
        <v/>
      </c>
      <c r="J199" s="139" t="n">
        <v>39.05</v>
      </c>
      <c r="K199" s="140" t="n"/>
      <c r="L199" s="140">
        <f>+H199*J199</f>
        <v/>
      </c>
      <c r="M199" s="141">
        <f>SUM(M198+K199-L199)</f>
        <v/>
      </c>
    </row>
    <row r="200">
      <c r="A200" s="20" t="n">
        <v>45666</v>
      </c>
      <c r="B200" s="21" t="n">
        <v>11002</v>
      </c>
      <c r="C200" s="22" t="inlineStr">
        <is>
          <t>SELİM İNŞAAT</t>
        </is>
      </c>
      <c r="D200" s="21" t="inlineStr">
        <is>
          <t>34 FCR 210</t>
        </is>
      </c>
      <c r="E200" s="21" t="inlineStr">
        <is>
          <t>GÖRKEM KARABEL</t>
        </is>
      </c>
      <c r="F200" s="23" t="n">
        <v>112149</v>
      </c>
      <c r="G200" s="138" t="n"/>
      <c r="H200" s="138" t="n">
        <v>260</v>
      </c>
      <c r="I200" s="138">
        <f>+I199+(G200-H200)</f>
        <v/>
      </c>
      <c r="J200" s="139" t="n">
        <v>39.05</v>
      </c>
      <c r="K200" s="140" t="n"/>
      <c r="L200" s="140">
        <f>+H200*J200</f>
        <v/>
      </c>
      <c r="M200" s="141">
        <f>SUM(M199+K200-L200)</f>
        <v/>
      </c>
    </row>
    <row r="201">
      <c r="A201" s="20" t="n">
        <v>45666</v>
      </c>
      <c r="B201" s="21" t="n">
        <v>10812</v>
      </c>
      <c r="C201" s="22" t="inlineStr">
        <is>
          <t>EVKUR</t>
        </is>
      </c>
      <c r="D201" s="21" t="inlineStr">
        <is>
          <t>KİRALIK VOLVO</t>
        </is>
      </c>
      <c r="E201" s="21" t="inlineStr">
        <is>
          <t>ÖMER AZGÜN</t>
        </is>
      </c>
      <c r="F201" s="23" t="n"/>
      <c r="G201" s="138" t="n"/>
      <c r="H201" s="138" t="n">
        <v>210</v>
      </c>
      <c r="I201" s="138">
        <f>+I200+(G201-H201)</f>
        <v/>
      </c>
      <c r="J201" s="139" t="n">
        <v>39.05</v>
      </c>
      <c r="K201" s="140" t="n"/>
      <c r="L201" s="140">
        <f>+H201*J201</f>
        <v/>
      </c>
      <c r="M201" s="141">
        <f>SUM(M200+K201-L201)</f>
        <v/>
      </c>
    </row>
    <row r="202">
      <c r="A202" s="20" t="n">
        <v>45666</v>
      </c>
      <c r="B202" s="1" t="n">
        <v>10813</v>
      </c>
      <c r="C202" s="2" t="inlineStr">
        <is>
          <t>HASALTUN</t>
        </is>
      </c>
      <c r="D202" s="1" t="inlineStr">
        <is>
          <t>SM 350</t>
        </is>
      </c>
      <c r="E202" s="1" t="inlineStr">
        <is>
          <t>TEVFİK ÖZTÜRK</t>
        </is>
      </c>
      <c r="F202" s="3" t="n"/>
      <c r="G202" s="143" t="n"/>
      <c r="H202" s="143" t="n">
        <v>203</v>
      </c>
      <c r="I202" s="143">
        <f>+I201+(G202-H202)</f>
        <v/>
      </c>
      <c r="J202" s="144" t="n">
        <v>39.05</v>
      </c>
      <c r="K202" s="145" t="n"/>
      <c r="L202" s="140">
        <f>+H202*J202</f>
        <v/>
      </c>
      <c r="M202" s="141">
        <f>SUM(M201+K202-L202)</f>
        <v/>
      </c>
    </row>
    <row r="203">
      <c r="A203" s="20" t="n">
        <v>45666</v>
      </c>
      <c r="B203" s="1" t="n">
        <v>10814</v>
      </c>
      <c r="C203" s="2" t="inlineStr">
        <is>
          <t>HASALTUN</t>
        </is>
      </c>
      <c r="D203" s="1" t="inlineStr">
        <is>
          <t>SM 370</t>
        </is>
      </c>
      <c r="E203" s="1" t="inlineStr">
        <is>
          <t>TEKİN ŞEYLAN</t>
        </is>
      </c>
      <c r="F203" s="3" t="n"/>
      <c r="G203" s="143" t="n"/>
      <c r="H203" s="143" t="n">
        <v>221</v>
      </c>
      <c r="I203" s="143">
        <f>+I202+(G203-H203)</f>
        <v/>
      </c>
      <c r="J203" s="144" t="n">
        <v>39.05</v>
      </c>
      <c r="K203" s="145" t="n"/>
      <c r="L203" s="140">
        <f>+H203*J203</f>
        <v/>
      </c>
      <c r="M203" s="141">
        <f>SUM(M202+K203-L203)</f>
        <v/>
      </c>
    </row>
    <row r="204">
      <c r="A204" s="20" t="n">
        <v>45666</v>
      </c>
      <c r="B204" s="1" t="n">
        <v>10815</v>
      </c>
      <c r="C204" s="2" t="inlineStr">
        <is>
          <t>VARLIK</t>
        </is>
      </c>
      <c r="D204" s="1" t="inlineStr">
        <is>
          <t>SM 350</t>
        </is>
      </c>
      <c r="E204" s="1" t="inlineStr">
        <is>
          <t>BAYRAM SANCAK</t>
        </is>
      </c>
      <c r="F204" s="3" t="n"/>
      <c r="G204" s="143" t="n"/>
      <c r="H204" s="143" t="n">
        <v>245</v>
      </c>
      <c r="I204" s="143">
        <f>+I203+(G204-H204)</f>
        <v/>
      </c>
      <c r="J204" s="144" t="n">
        <v>39.05</v>
      </c>
      <c r="K204" s="145" t="n"/>
      <c r="L204" s="140">
        <f>+H204*J204</f>
        <v/>
      </c>
      <c r="M204" s="141">
        <f>SUM(M203+K204-L204)</f>
        <v/>
      </c>
    </row>
    <row r="205">
      <c r="A205" s="20" t="n">
        <v>45666</v>
      </c>
      <c r="B205" s="1" t="n">
        <v>10816</v>
      </c>
      <c r="C205" s="2" t="inlineStr">
        <is>
          <t>VARLIK</t>
        </is>
      </c>
      <c r="D205" s="1" t="inlineStr">
        <is>
          <t>SM 300</t>
        </is>
      </c>
      <c r="E205" s="1" t="inlineStr">
        <is>
          <t>TURGUT SANCAK</t>
        </is>
      </c>
      <c r="F205" s="3" t="n"/>
      <c r="G205" s="143" t="n"/>
      <c r="H205" s="143" t="n">
        <v>367</v>
      </c>
      <c r="I205" s="143">
        <f>+I204+(G205-H205)</f>
        <v/>
      </c>
      <c r="J205" s="144" t="n">
        <v>39.05</v>
      </c>
      <c r="K205" s="145" t="n"/>
      <c r="L205" s="140">
        <f>+H205*J205</f>
        <v/>
      </c>
      <c r="M205" s="141">
        <f>SUM(M204+K205-L205)</f>
        <v/>
      </c>
    </row>
    <row r="206">
      <c r="A206" s="20" t="n">
        <v>45667</v>
      </c>
      <c r="B206" s="21" t="n">
        <v>11353</v>
      </c>
      <c r="C206" s="22" t="inlineStr">
        <is>
          <t>AZGÜN YAPI</t>
        </is>
      </c>
      <c r="D206" s="21" t="inlineStr">
        <is>
          <t>34 MKT 593</t>
        </is>
      </c>
      <c r="E206" s="21" t="inlineStr">
        <is>
          <t>HASAN</t>
        </is>
      </c>
      <c r="F206" s="23" t="n">
        <v>2727</v>
      </c>
      <c r="G206" s="138" t="n"/>
      <c r="H206" s="138" t="n">
        <v>294</v>
      </c>
      <c r="I206" s="138">
        <f>+I205+(G206-H206)</f>
        <v/>
      </c>
      <c r="J206" s="139" t="n">
        <v>39.05</v>
      </c>
      <c r="K206" s="140" t="n"/>
      <c r="L206" s="140">
        <f>+H206*J206</f>
        <v/>
      </c>
      <c r="M206" s="141">
        <f>SUM(M205+K206-L206)</f>
        <v/>
      </c>
    </row>
    <row r="207">
      <c r="A207" s="20" t="n">
        <v>45667</v>
      </c>
      <c r="B207" s="21" t="n">
        <v>11304</v>
      </c>
      <c r="C207" s="22" t="inlineStr">
        <is>
          <t>AZGÜN YAPI</t>
        </is>
      </c>
      <c r="D207" s="21" t="inlineStr">
        <is>
          <t>34 MKT 859</t>
        </is>
      </c>
      <c r="E207" s="21" t="inlineStr">
        <is>
          <t>YAHYA</t>
        </is>
      </c>
      <c r="F207" s="23" t="n">
        <v>2719</v>
      </c>
      <c r="G207" s="138" t="n"/>
      <c r="H207" s="138" t="n">
        <v>279</v>
      </c>
      <c r="I207" s="138">
        <f>+I206+(G207-H207)</f>
        <v/>
      </c>
      <c r="J207" s="139" t="n">
        <v>39.05</v>
      </c>
      <c r="K207" s="140" t="n"/>
      <c r="L207" s="140">
        <f>+H207*J207</f>
        <v/>
      </c>
      <c r="M207" s="141">
        <f>SUM(M206+K207-L207)</f>
        <v/>
      </c>
    </row>
    <row r="208">
      <c r="A208" s="20" t="n">
        <v>45667</v>
      </c>
      <c r="B208" s="21" t="n">
        <v>10012</v>
      </c>
      <c r="C208" s="22" t="inlineStr">
        <is>
          <t>METİN ERYİĞİT</t>
        </is>
      </c>
      <c r="D208" s="21" t="inlineStr">
        <is>
          <t>34 EGS 013</t>
        </is>
      </c>
      <c r="E208" s="21" t="inlineStr">
        <is>
          <t>UĞUR DUMAN</t>
        </is>
      </c>
      <c r="F208" s="23" t="n">
        <v>455280</v>
      </c>
      <c r="G208" s="138" t="n"/>
      <c r="H208" s="138" t="n">
        <v>376</v>
      </c>
      <c r="I208" s="138">
        <f>+I207+(G208-H208)</f>
        <v/>
      </c>
      <c r="J208" s="139" t="n">
        <v>39.05</v>
      </c>
      <c r="K208" s="140" t="n"/>
      <c r="L208" s="140">
        <f>+H208*J208</f>
        <v/>
      </c>
      <c r="M208" s="141">
        <f>SUM(M207+K208-L208)</f>
        <v/>
      </c>
    </row>
    <row r="209">
      <c r="A209" s="20" t="n">
        <v>45667</v>
      </c>
      <c r="B209" s="21" t="n">
        <v>11683</v>
      </c>
      <c r="C209" s="22" t="inlineStr">
        <is>
          <t>METİN ERYİĞİT</t>
        </is>
      </c>
      <c r="D209" s="21" t="inlineStr">
        <is>
          <t>34 GBL 998</t>
        </is>
      </c>
      <c r="E209" s="21" t="inlineStr">
        <is>
          <t>ALİ KESKİN</t>
        </is>
      </c>
      <c r="F209" s="23" t="n">
        <v>233016</v>
      </c>
      <c r="G209" s="138" t="n"/>
      <c r="H209" s="138" t="n">
        <v>181</v>
      </c>
      <c r="I209" s="138">
        <f>+I208+(G209-H209)</f>
        <v/>
      </c>
      <c r="J209" s="139" t="n">
        <v>39.05</v>
      </c>
      <c r="K209" s="140" t="n"/>
      <c r="L209" s="140">
        <f>+H209*J209</f>
        <v/>
      </c>
      <c r="M209" s="141">
        <f>SUM(M208+K209-L209)</f>
        <v/>
      </c>
    </row>
    <row r="210">
      <c r="A210" s="20" t="n">
        <v>45667</v>
      </c>
      <c r="B210" s="21" t="n">
        <v>11414</v>
      </c>
      <c r="C210" s="22" t="inlineStr">
        <is>
          <t>METİN ERYİĞİT</t>
        </is>
      </c>
      <c r="D210" s="21" t="inlineStr">
        <is>
          <t>34 EGR 814</t>
        </is>
      </c>
      <c r="E210" s="21" t="inlineStr">
        <is>
          <t>FARUK ÖZEN</t>
        </is>
      </c>
      <c r="F210" s="23" t="n">
        <v>507261</v>
      </c>
      <c r="G210" s="138" t="n"/>
      <c r="H210" s="138" t="n">
        <v>408</v>
      </c>
      <c r="I210" s="138">
        <f>+I209+(G210-H210)</f>
        <v/>
      </c>
      <c r="J210" s="139" t="n">
        <v>39.05</v>
      </c>
      <c r="K210" s="140" t="n"/>
      <c r="L210" s="140">
        <f>+H210*J210</f>
        <v/>
      </c>
      <c r="M210" s="141">
        <f>SUM(M209+K210-L210)</f>
        <v/>
      </c>
    </row>
    <row r="211">
      <c r="A211" s="20" t="n">
        <v>45667</v>
      </c>
      <c r="B211" s="21" t="n">
        <v>11452</v>
      </c>
      <c r="C211" s="22" t="inlineStr">
        <is>
          <t>METİN ŞİRİN</t>
        </is>
      </c>
      <c r="D211" s="21" t="inlineStr">
        <is>
          <t>34 EGR 922</t>
        </is>
      </c>
      <c r="E211" s="21" t="inlineStr">
        <is>
          <t>GÜRAY KOYUNCU</t>
        </is>
      </c>
      <c r="F211" s="23" t="n">
        <v>428341</v>
      </c>
      <c r="G211" s="138" t="n"/>
      <c r="H211" s="138" t="n">
        <v>370</v>
      </c>
      <c r="I211" s="138">
        <f>+I210+(G211-H211)</f>
        <v/>
      </c>
      <c r="J211" s="139" t="n">
        <v>39.05</v>
      </c>
      <c r="K211" s="140" t="n"/>
      <c r="L211" s="140">
        <f>+H211*J211</f>
        <v/>
      </c>
      <c r="M211" s="141">
        <f>SUM(M210+K211-L211)</f>
        <v/>
      </c>
    </row>
    <row r="212">
      <c r="A212" s="20" t="n">
        <v>45667</v>
      </c>
      <c r="B212" s="21" t="n">
        <v>20950</v>
      </c>
      <c r="C212" s="22" t="inlineStr">
        <is>
          <t>SELİM İNŞAAT</t>
        </is>
      </c>
      <c r="D212" s="21" t="inlineStr">
        <is>
          <t>34 FBR 742</t>
        </is>
      </c>
      <c r="E212" s="21" t="inlineStr">
        <is>
          <t>MİKAİL BAYILMAZ</t>
        </is>
      </c>
      <c r="F212" s="23" t="n">
        <v>288943</v>
      </c>
      <c r="G212" s="138" t="n"/>
      <c r="H212" s="138" t="n">
        <v>372</v>
      </c>
      <c r="I212" s="138">
        <f>+I211+(G212-H212)</f>
        <v/>
      </c>
      <c r="J212" s="139" t="n">
        <v>39.05</v>
      </c>
      <c r="K212" s="140" t="n"/>
      <c r="L212" s="140">
        <f>+H212*J212</f>
        <v/>
      </c>
      <c r="M212" s="141">
        <f>SUM(M211+K212-L212)</f>
        <v/>
      </c>
    </row>
    <row r="213">
      <c r="A213" s="20" t="n">
        <v>45667</v>
      </c>
      <c r="B213" s="21" t="n">
        <v>10978</v>
      </c>
      <c r="C213" s="22" t="inlineStr">
        <is>
          <t>SELİM İNŞAAT</t>
        </is>
      </c>
      <c r="D213" s="21" t="inlineStr">
        <is>
          <t>34 GVZ 199</t>
        </is>
      </c>
      <c r="E213" s="21" t="inlineStr">
        <is>
          <t>VAHDET GÜRLER</t>
        </is>
      </c>
      <c r="F213" s="23" t="n">
        <v>151108</v>
      </c>
      <c r="G213" s="138" t="n"/>
      <c r="H213" s="138" t="n">
        <v>290</v>
      </c>
      <c r="I213" s="138">
        <f>+I212+(G213-H213)</f>
        <v/>
      </c>
      <c r="J213" s="139" t="n">
        <v>39.05</v>
      </c>
      <c r="K213" s="140" t="n"/>
      <c r="L213" s="140">
        <f>+H213*J213</f>
        <v/>
      </c>
      <c r="M213" s="141">
        <f>SUM(M212+K213-L213)</f>
        <v/>
      </c>
    </row>
    <row r="214">
      <c r="A214" s="20" t="n">
        <v>45667</v>
      </c>
      <c r="B214" s="21" t="n">
        <v>21470</v>
      </c>
      <c r="C214" s="22" t="inlineStr">
        <is>
          <t>SELİM İNŞAAT</t>
        </is>
      </c>
      <c r="D214" s="21" t="inlineStr">
        <is>
          <t>34 GYZ 635</t>
        </is>
      </c>
      <c r="E214" s="21" t="inlineStr">
        <is>
          <t>ENGİN DEMİR</t>
        </is>
      </c>
      <c r="F214" s="23" t="n">
        <v>143763</v>
      </c>
      <c r="G214" s="138" t="n"/>
      <c r="H214" s="138" t="n">
        <v>317</v>
      </c>
      <c r="I214" s="138">
        <f>+I213+(G214-H214)</f>
        <v/>
      </c>
      <c r="J214" s="139" t="n">
        <v>39.05</v>
      </c>
      <c r="K214" s="140" t="n"/>
      <c r="L214" s="140">
        <f>+H214*J214</f>
        <v/>
      </c>
      <c r="M214" s="141">
        <f>SUM(M213+K214-L214)</f>
        <v/>
      </c>
    </row>
    <row r="215">
      <c r="A215" s="20" t="n">
        <v>45667</v>
      </c>
      <c r="B215" s="21" t="n">
        <v>20850</v>
      </c>
      <c r="C215" s="22" t="inlineStr">
        <is>
          <t>SELİM İNŞAAT</t>
        </is>
      </c>
      <c r="D215" s="21" t="inlineStr">
        <is>
          <t>34 FSG 229</t>
        </is>
      </c>
      <c r="E215" s="21" t="inlineStr">
        <is>
          <t>SİNAN TANRIVERDİ</t>
        </is>
      </c>
      <c r="F215" s="23" t="n">
        <v>228318</v>
      </c>
      <c r="G215" s="138" t="n"/>
      <c r="H215" s="138" t="n">
        <v>361</v>
      </c>
      <c r="I215" s="138">
        <f>+I214+(G215-H215)</f>
        <v/>
      </c>
      <c r="J215" s="139" t="n">
        <v>39.05</v>
      </c>
      <c r="K215" s="140" t="n"/>
      <c r="L215" s="140">
        <f>+H215*J215</f>
        <v/>
      </c>
      <c r="M215" s="141">
        <f>SUM(M214+K215-L215)</f>
        <v/>
      </c>
    </row>
    <row r="216">
      <c r="A216" s="20" t="n">
        <v>45667</v>
      </c>
      <c r="B216" s="21" t="n">
        <v>10269</v>
      </c>
      <c r="C216" s="22" t="inlineStr">
        <is>
          <t>SELİM İNŞAAT</t>
        </is>
      </c>
      <c r="D216" s="21" t="inlineStr">
        <is>
          <t>34 FBR 748</t>
        </is>
      </c>
      <c r="E216" s="21" t="inlineStr">
        <is>
          <t>YAŞAR ÖZKAYA</t>
        </is>
      </c>
      <c r="F216" s="23" t="n">
        <v>254963</v>
      </c>
      <c r="G216" s="138" t="n"/>
      <c r="H216" s="138" t="n">
        <v>419</v>
      </c>
      <c r="I216" s="138">
        <f>+I215+(G216-H216)</f>
        <v/>
      </c>
      <c r="J216" s="139" t="n">
        <v>39.05</v>
      </c>
      <c r="K216" s="140" t="n"/>
      <c r="L216" s="140">
        <f>+H216*J216</f>
        <v/>
      </c>
      <c r="M216" s="141">
        <f>SUM(M215+K216-L216)</f>
        <v/>
      </c>
    </row>
    <row r="217">
      <c r="A217" s="20" t="n">
        <v>45667</v>
      </c>
      <c r="B217" s="21" t="n">
        <v>21443</v>
      </c>
      <c r="C217" s="22" t="inlineStr">
        <is>
          <t>SELİM İNŞAAT</t>
        </is>
      </c>
      <c r="D217" s="21" t="inlineStr">
        <is>
          <t>34 GUS 848</t>
        </is>
      </c>
      <c r="E217" s="21" t="inlineStr">
        <is>
          <t>SERDAR BOZKURT</t>
        </is>
      </c>
      <c r="F217" s="23" t="n">
        <v>159025</v>
      </c>
      <c r="G217" s="138" t="n"/>
      <c r="H217" s="138" t="n">
        <v>401</v>
      </c>
      <c r="I217" s="138">
        <f>+I216+(G217-H217)</f>
        <v/>
      </c>
      <c r="J217" s="139" t="n">
        <v>39.05</v>
      </c>
      <c r="K217" s="140" t="n"/>
      <c r="L217" s="140">
        <f>+H217*J217</f>
        <v/>
      </c>
      <c r="M217" s="141">
        <f>SUM(M216+K217-L217)</f>
        <v/>
      </c>
    </row>
    <row r="218">
      <c r="A218" s="20" t="n">
        <v>45667</v>
      </c>
      <c r="B218" s="21" t="n">
        <v>9781</v>
      </c>
      <c r="C218" s="22" t="inlineStr">
        <is>
          <t>SELİM İNŞAAT</t>
        </is>
      </c>
      <c r="D218" s="21" t="inlineStr">
        <is>
          <t>34 GUZ 268</t>
        </is>
      </c>
      <c r="E218" s="21" t="inlineStr">
        <is>
          <t>KERİM KARAMAN</t>
        </is>
      </c>
      <c r="F218" s="23" t="n">
        <v>160941</v>
      </c>
      <c r="G218" s="138" t="n"/>
      <c r="H218" s="138" t="n">
        <v>430</v>
      </c>
      <c r="I218" s="138">
        <f>+I217+(G218-H218)</f>
        <v/>
      </c>
      <c r="J218" s="139" t="n">
        <v>39.05</v>
      </c>
      <c r="K218" s="140" t="n"/>
      <c r="L218" s="140">
        <f>+H218*J218</f>
        <v/>
      </c>
      <c r="M218" s="141">
        <f>SUM(M217+K218-L218)</f>
        <v/>
      </c>
    </row>
    <row r="219">
      <c r="A219" s="20" t="n">
        <v>45667</v>
      </c>
      <c r="B219" s="21" t="n">
        <v>20892</v>
      </c>
      <c r="C219" s="22" t="inlineStr">
        <is>
          <t>SELİM İNŞAAT</t>
        </is>
      </c>
      <c r="D219" s="21" t="inlineStr">
        <is>
          <t>34 GVZ 310</t>
        </is>
      </c>
      <c r="E219" s="21" t="inlineStr">
        <is>
          <t>CELAL YÜZBAŞI</t>
        </is>
      </c>
      <c r="F219" s="23" t="n">
        <v>164183</v>
      </c>
      <c r="G219" s="138" t="n"/>
      <c r="H219" s="138" t="n">
        <v>382</v>
      </c>
      <c r="I219" s="138">
        <f>+I218+(G219-H219)</f>
        <v/>
      </c>
      <c r="J219" s="139" t="n">
        <v>39.05</v>
      </c>
      <c r="K219" s="140" t="n"/>
      <c r="L219" s="140">
        <f>+H219*J219</f>
        <v/>
      </c>
      <c r="M219" s="141">
        <f>SUM(M218+K219-L219)</f>
        <v/>
      </c>
    </row>
    <row r="220">
      <c r="A220" s="20" t="n">
        <v>45667</v>
      </c>
      <c r="B220" s="21" t="n">
        <v>10164</v>
      </c>
      <c r="C220" s="22" t="inlineStr">
        <is>
          <t>SELİM İNŞAAT</t>
        </is>
      </c>
      <c r="D220" s="21" t="inlineStr">
        <is>
          <t>34 EGR 736</t>
        </is>
      </c>
      <c r="E220" s="21" t="inlineStr">
        <is>
          <t>MUHAMMER ÇAMLI</t>
        </is>
      </c>
      <c r="F220" s="23" t="n">
        <v>358729</v>
      </c>
      <c r="G220" s="138" t="n"/>
      <c r="H220" s="138" t="n">
        <v>396</v>
      </c>
      <c r="I220" s="138">
        <f>+I219+(G220-H220)</f>
        <v/>
      </c>
      <c r="J220" s="139" t="n">
        <v>39.05</v>
      </c>
      <c r="K220" s="140" t="n"/>
      <c r="L220" s="140">
        <f>+H220*J220</f>
        <v/>
      </c>
      <c r="M220" s="141">
        <f>SUM(M219+K220-L220)</f>
        <v/>
      </c>
    </row>
    <row r="221">
      <c r="A221" s="20" t="n">
        <v>45667</v>
      </c>
      <c r="B221" s="21" t="n">
        <v>10616</v>
      </c>
      <c r="C221" s="22" t="inlineStr">
        <is>
          <t>SELİM İNŞAAT</t>
        </is>
      </c>
      <c r="D221" s="21" t="inlineStr">
        <is>
          <t>34 EDB 754</t>
        </is>
      </c>
      <c r="E221" s="21" t="inlineStr">
        <is>
          <t>EMİN PARLAKKILIÇ</t>
        </is>
      </c>
      <c r="F221" s="23" t="n">
        <v>295529</v>
      </c>
      <c r="G221" s="138" t="n"/>
      <c r="H221" s="138" t="n">
        <v>345</v>
      </c>
      <c r="I221" s="138">
        <f>+I220+(G221-H221)</f>
        <v/>
      </c>
      <c r="J221" s="139" t="n">
        <v>39.05</v>
      </c>
      <c r="K221" s="140" t="n"/>
      <c r="L221" s="140">
        <f>+H221*J221</f>
        <v/>
      </c>
      <c r="M221" s="141">
        <f>SUM(M220+K221-L221)</f>
        <v/>
      </c>
    </row>
    <row r="222">
      <c r="A222" s="20" t="n">
        <v>45667</v>
      </c>
      <c r="B222" s="21" t="n">
        <v>20800</v>
      </c>
      <c r="C222" s="22" t="inlineStr">
        <is>
          <t>SELİM İNŞAAT</t>
        </is>
      </c>
      <c r="D222" s="21" t="inlineStr">
        <is>
          <t>34 DRU 690</t>
        </is>
      </c>
      <c r="E222" s="21" t="inlineStr">
        <is>
          <t>İSMET BAYRAM</t>
        </is>
      </c>
      <c r="F222" s="23" t="n">
        <v>386497</v>
      </c>
      <c r="G222" s="138" t="n"/>
      <c r="H222" s="138" t="n">
        <v>365</v>
      </c>
      <c r="I222" s="138">
        <f>+I221+(G222-H222)</f>
        <v/>
      </c>
      <c r="J222" s="139" t="n">
        <v>39.05</v>
      </c>
      <c r="K222" s="140" t="n"/>
      <c r="L222" s="140">
        <f>+H222*J222</f>
        <v/>
      </c>
      <c r="M222" s="141">
        <f>SUM(M221+K222-L222)</f>
        <v/>
      </c>
    </row>
    <row r="223">
      <c r="A223" s="20" t="n">
        <v>45667</v>
      </c>
      <c r="B223" s="21" t="n">
        <v>9908</v>
      </c>
      <c r="C223" s="22" t="inlineStr">
        <is>
          <t>AHMET SELİM TEMHA</t>
        </is>
      </c>
      <c r="D223" s="21" t="inlineStr">
        <is>
          <t>SIVACI İSMAİL</t>
        </is>
      </c>
      <c r="E223" s="21" t="n"/>
      <c r="F223" s="23" t="n"/>
      <c r="G223" s="138" t="n"/>
      <c r="H223" s="138" t="n">
        <v>36</v>
      </c>
      <c r="I223" s="138">
        <f>+I222+(G223-H223)</f>
        <v/>
      </c>
      <c r="J223" s="139" t="n">
        <v>39.05</v>
      </c>
      <c r="K223" s="140" t="n"/>
      <c r="L223" s="140">
        <f>+H223*J223</f>
        <v/>
      </c>
      <c r="M223" s="141">
        <f>SUM(M222+K223-L223)</f>
        <v/>
      </c>
    </row>
    <row r="224">
      <c r="A224" s="20" t="n">
        <v>45667</v>
      </c>
      <c r="B224" s="21" t="n">
        <v>20289</v>
      </c>
      <c r="C224" s="22" t="inlineStr">
        <is>
          <t>SELİM İNŞAAT</t>
        </is>
      </c>
      <c r="D224" s="21" t="inlineStr">
        <is>
          <t>34 DKL 866</t>
        </is>
      </c>
      <c r="E224" s="21" t="inlineStr">
        <is>
          <t>ŞERİF CAN ÖNVER</t>
        </is>
      </c>
      <c r="F224" s="23" t="n">
        <v>60101</v>
      </c>
      <c r="G224" s="138" t="n"/>
      <c r="H224" s="138" t="n">
        <v>196</v>
      </c>
      <c r="I224" s="138">
        <f>+I223+(G224-H224)</f>
        <v/>
      </c>
      <c r="J224" s="139" t="n">
        <v>39.05</v>
      </c>
      <c r="K224" s="140" t="n"/>
      <c r="L224" s="140">
        <f>+H224*J224</f>
        <v/>
      </c>
      <c r="M224" s="141">
        <f>SUM(M223+K224-L224)</f>
        <v/>
      </c>
    </row>
    <row r="225">
      <c r="A225" s="20" t="n">
        <v>45667</v>
      </c>
      <c r="B225" s="21" t="n">
        <v>11980</v>
      </c>
      <c r="C225" s="22" t="inlineStr">
        <is>
          <t>SELİM İNŞAAT</t>
        </is>
      </c>
      <c r="D225" s="21" t="inlineStr">
        <is>
          <t>34 DKL 798</t>
        </is>
      </c>
      <c r="E225" s="21" t="inlineStr">
        <is>
          <t>VOLKAN YANAR</t>
        </is>
      </c>
      <c r="F225" s="23" t="n">
        <v>60256</v>
      </c>
      <c r="G225" s="138" t="n"/>
      <c r="H225" s="138" t="n">
        <v>64</v>
      </c>
      <c r="I225" s="138">
        <f>+I224+(G225-H225)</f>
        <v/>
      </c>
      <c r="J225" s="139" t="n">
        <v>39.05</v>
      </c>
      <c r="K225" s="140" t="n"/>
      <c r="L225" s="140">
        <f>+H225*J225</f>
        <v/>
      </c>
      <c r="M225" s="141">
        <f>SUM(M224+K225-L225)</f>
        <v/>
      </c>
    </row>
    <row r="226">
      <c r="A226" s="20" t="n">
        <v>45667</v>
      </c>
      <c r="B226" s="21" t="n">
        <v>16724</v>
      </c>
      <c r="C226" s="22" t="inlineStr">
        <is>
          <t>SELİM İNŞAAT</t>
        </is>
      </c>
      <c r="D226" s="21" t="inlineStr">
        <is>
          <t>34 JBA 25</t>
        </is>
      </c>
      <c r="E226" s="21" t="inlineStr">
        <is>
          <t>MUSTAFA ALBAYRAK</t>
        </is>
      </c>
      <c r="F226" s="23" t="n">
        <v>327704</v>
      </c>
      <c r="G226" s="138" t="n"/>
      <c r="H226" s="138" t="n">
        <v>60</v>
      </c>
      <c r="I226" s="138">
        <f>+I225+(G226-H226)</f>
        <v/>
      </c>
      <c r="J226" s="139" t="n">
        <v>39.05</v>
      </c>
      <c r="K226" s="140" t="n"/>
      <c r="L226" s="140">
        <f>+H226*J226</f>
        <v/>
      </c>
      <c r="M226" s="141">
        <f>SUM(M225+K226-L226)</f>
        <v/>
      </c>
    </row>
    <row r="227">
      <c r="A227" s="20" t="n">
        <v>45667</v>
      </c>
      <c r="B227" s="1" t="n">
        <v>10817</v>
      </c>
      <c r="C227" s="2" t="inlineStr">
        <is>
          <t>VARLIK</t>
        </is>
      </c>
      <c r="D227" s="1" t="inlineStr">
        <is>
          <t>SM 300</t>
        </is>
      </c>
      <c r="E227" s="1" t="inlineStr">
        <is>
          <t>TURGUT SANCAK</t>
        </is>
      </c>
      <c r="F227" s="3" t="n"/>
      <c r="G227" s="143" t="n"/>
      <c r="H227" s="143" t="n">
        <v>274</v>
      </c>
      <c r="I227" s="143">
        <f>+I226+(G227-H227)</f>
        <v/>
      </c>
      <c r="J227" s="144" t="n">
        <v>39.05</v>
      </c>
      <c r="K227" s="145" t="n"/>
      <c r="L227" s="140">
        <f>+H227*J227</f>
        <v/>
      </c>
      <c r="M227" s="141">
        <f>SUM(M226+K227-L227)</f>
        <v/>
      </c>
    </row>
    <row r="228">
      <c r="A228" s="20" t="n">
        <v>45667</v>
      </c>
      <c r="B228" s="1" t="n">
        <v>10818</v>
      </c>
      <c r="C228" s="2" t="inlineStr">
        <is>
          <t>HASALTUN</t>
        </is>
      </c>
      <c r="D228" s="1" t="inlineStr">
        <is>
          <t>SM 370</t>
        </is>
      </c>
      <c r="E228" s="1" t="inlineStr">
        <is>
          <t>TEKİN ŞEYLAN</t>
        </is>
      </c>
      <c r="F228" s="3" t="n"/>
      <c r="G228" s="143" t="n"/>
      <c r="H228" s="143" t="n">
        <v>410</v>
      </c>
      <c r="I228" s="143">
        <f>+I227+(G228-H228)</f>
        <v/>
      </c>
      <c r="J228" s="144" t="n">
        <v>39.05</v>
      </c>
      <c r="K228" s="145" t="n"/>
      <c r="L228" s="140">
        <f>+H228*J228</f>
        <v/>
      </c>
      <c r="M228" s="141">
        <f>SUM(M227+K228-L228)</f>
        <v/>
      </c>
    </row>
    <row r="229">
      <c r="A229" s="20" t="n">
        <v>45667</v>
      </c>
      <c r="B229" s="1" t="n">
        <v>10819</v>
      </c>
      <c r="C229" s="2" t="inlineStr">
        <is>
          <t>EVKUR</t>
        </is>
      </c>
      <c r="D229" s="1" t="inlineStr">
        <is>
          <t>KİRALIK VOLVO</t>
        </is>
      </c>
      <c r="E229" s="1" t="n"/>
      <c r="F229" s="3" t="n"/>
      <c r="G229" s="143" t="n"/>
      <c r="H229" s="143" t="n">
        <v>264</v>
      </c>
      <c r="I229" s="143">
        <f>+I228+(G229-H229)</f>
        <v/>
      </c>
      <c r="J229" s="144" t="n">
        <v>39.05</v>
      </c>
      <c r="K229" s="145" t="n"/>
      <c r="L229" s="140">
        <f>+H229*J229</f>
        <v/>
      </c>
      <c r="M229" s="141">
        <f>SUM(M228+K229-L229)</f>
        <v/>
      </c>
    </row>
    <row r="230">
      <c r="A230" s="20" t="n">
        <v>45667</v>
      </c>
      <c r="B230" s="1" t="n">
        <v>10820</v>
      </c>
      <c r="C230" s="2" t="inlineStr">
        <is>
          <t>OKYANUS</t>
        </is>
      </c>
      <c r="D230" s="1" t="inlineStr">
        <is>
          <t>SM 350</t>
        </is>
      </c>
      <c r="E230" s="1" t="inlineStr">
        <is>
          <t>BAYRAM SANCAK</t>
        </is>
      </c>
      <c r="F230" s="3" t="n"/>
      <c r="G230" s="143" t="n"/>
      <c r="H230" s="143" t="n">
        <v>412</v>
      </c>
      <c r="I230" s="143">
        <f>+I229+(G230-H230)</f>
        <v/>
      </c>
      <c r="J230" s="144" t="n">
        <v>39.05</v>
      </c>
      <c r="K230" s="145" t="n"/>
      <c r="L230" s="140">
        <f>+H230*J230</f>
        <v/>
      </c>
      <c r="M230" s="141">
        <f>SUM(M229+K230-L230)</f>
        <v/>
      </c>
    </row>
    <row r="231">
      <c r="A231" s="20" t="n">
        <v>45667</v>
      </c>
      <c r="B231" s="1" t="n">
        <v>10821</v>
      </c>
      <c r="C231" s="2" t="inlineStr">
        <is>
          <t>OKYANUS</t>
        </is>
      </c>
      <c r="D231" s="1" t="inlineStr">
        <is>
          <t>SİLİNDİR</t>
        </is>
      </c>
      <c r="E231" s="1" t="inlineStr">
        <is>
          <t>ÖNER DÜNDAR</t>
        </is>
      </c>
      <c r="F231" s="3" t="n"/>
      <c r="G231" s="143" t="n"/>
      <c r="H231" s="143" t="n">
        <v>222</v>
      </c>
      <c r="I231" s="143">
        <f>+I230+(G231-H231)</f>
        <v/>
      </c>
      <c r="J231" s="144" t="n">
        <v>39.05</v>
      </c>
      <c r="K231" s="145" t="n"/>
      <c r="L231" s="140">
        <f>+H231*J231</f>
        <v/>
      </c>
      <c r="M231" s="141">
        <f>SUM(M230+K231-L231)</f>
        <v/>
      </c>
    </row>
    <row r="232">
      <c r="A232" s="20" t="n">
        <v>45667</v>
      </c>
      <c r="B232" s="1" t="n">
        <v>10822</v>
      </c>
      <c r="C232" s="2" t="inlineStr">
        <is>
          <t>EVKUR</t>
        </is>
      </c>
      <c r="D232" s="1" t="inlineStr">
        <is>
          <t>SM 350</t>
        </is>
      </c>
      <c r="E232" s="1" t="inlineStr">
        <is>
          <t>TEVFİK ÖZTÜRK</t>
        </is>
      </c>
      <c r="F232" s="3" t="n"/>
      <c r="G232" s="143" t="n"/>
      <c r="H232" s="143" t="n">
        <v>299</v>
      </c>
      <c r="I232" s="143">
        <f>+I231+(G232-H232)</f>
        <v/>
      </c>
      <c r="J232" s="144" t="n">
        <v>39.05</v>
      </c>
      <c r="K232" s="145" t="n"/>
      <c r="L232" s="140">
        <f>+H232*J232</f>
        <v/>
      </c>
      <c r="M232" s="141">
        <f>SUM(M231+K232-L232)</f>
        <v/>
      </c>
    </row>
    <row r="233">
      <c r="A233" s="20" t="n">
        <v>45667</v>
      </c>
      <c r="B233" s="1" t="n">
        <v>10823</v>
      </c>
      <c r="C233" s="2" t="inlineStr">
        <is>
          <t>EVKUR</t>
        </is>
      </c>
      <c r="D233" s="1" t="inlineStr">
        <is>
          <t>MNT 2260</t>
        </is>
      </c>
      <c r="E233" s="1" t="inlineStr">
        <is>
          <t>MUHAMMED KANTAR</t>
        </is>
      </c>
      <c r="F233" s="3" t="n"/>
      <c r="G233" s="143" t="n"/>
      <c r="H233" s="143" t="n">
        <v>235</v>
      </c>
      <c r="I233" s="143">
        <f>+I232+(G233-H233)</f>
        <v/>
      </c>
      <c r="J233" s="144" t="n">
        <v>39.05</v>
      </c>
      <c r="K233" s="145" t="n"/>
      <c r="L233" s="140">
        <f>+H233*J233</f>
        <v/>
      </c>
      <c r="M233" s="141">
        <f>SUM(M232+K233-L233)</f>
        <v/>
      </c>
    </row>
    <row r="234">
      <c r="A234" s="20" t="n">
        <v>45668</v>
      </c>
      <c r="B234" s="21" t="n">
        <v>11710</v>
      </c>
      <c r="C234" s="22" t="inlineStr">
        <is>
          <t>SELİM İNŞAAT</t>
        </is>
      </c>
      <c r="D234" s="21" t="inlineStr">
        <is>
          <t>34 EDB 559</t>
        </is>
      </c>
      <c r="E234" s="21" t="inlineStr">
        <is>
          <t>CEM MUHTAR</t>
        </is>
      </c>
      <c r="F234" s="23" t="n">
        <v>300072</v>
      </c>
      <c r="G234" s="138" t="n"/>
      <c r="H234" s="138" t="n">
        <v>365</v>
      </c>
      <c r="I234" s="138">
        <f>+I233+(G234-H234)</f>
        <v/>
      </c>
      <c r="J234" s="139" t="n">
        <v>39.05</v>
      </c>
      <c r="K234" s="140" t="n"/>
      <c r="L234" s="140">
        <f>+H234*J234</f>
        <v/>
      </c>
      <c r="M234" s="141">
        <f>SUM(M233+K234-L234)</f>
        <v/>
      </c>
    </row>
    <row r="235">
      <c r="A235" s="20" t="n">
        <v>45668</v>
      </c>
      <c r="B235" s="21" t="n">
        <v>11265</v>
      </c>
      <c r="C235" s="22" t="inlineStr">
        <is>
          <t>SELİM İNŞAAT</t>
        </is>
      </c>
      <c r="D235" s="21" t="inlineStr">
        <is>
          <t>34 EDC 162</t>
        </is>
      </c>
      <c r="E235" s="21" t="inlineStr">
        <is>
          <t xml:space="preserve">YAKUP GÜNER </t>
        </is>
      </c>
      <c r="F235" s="23" t="n">
        <v>336562</v>
      </c>
      <c r="G235" s="138" t="n"/>
      <c r="H235" s="138" t="n">
        <v>383</v>
      </c>
      <c r="I235" s="138">
        <f>+I234+(G235-H235)</f>
        <v/>
      </c>
      <c r="J235" s="139" t="n">
        <v>39.05</v>
      </c>
      <c r="K235" s="140" t="n"/>
      <c r="L235" s="140">
        <f>+H235*J235</f>
        <v/>
      </c>
      <c r="M235" s="141">
        <f>SUM(M234+K235-L235)</f>
        <v/>
      </c>
    </row>
    <row r="236">
      <c r="A236" s="20" t="n">
        <v>45668</v>
      </c>
      <c r="B236" s="21" t="n">
        <v>20990</v>
      </c>
      <c r="C236" s="22" t="inlineStr">
        <is>
          <t>SELİM İNŞAAT</t>
        </is>
      </c>
      <c r="D236" s="21" t="inlineStr">
        <is>
          <t>34 GUS 938</t>
        </is>
      </c>
      <c r="E236" s="21" t="inlineStr">
        <is>
          <t>MEHMET KAYA</t>
        </is>
      </c>
      <c r="F236" s="23" t="n">
        <v>154739</v>
      </c>
      <c r="G236" s="138" t="n"/>
      <c r="H236" s="138" t="n">
        <v>433</v>
      </c>
      <c r="I236" s="138">
        <f>+I235+(G236-H236)</f>
        <v/>
      </c>
      <c r="J236" s="139" t="n">
        <v>39.05</v>
      </c>
      <c r="K236" s="140" t="n"/>
      <c r="L236" s="140">
        <f>+H236*J236</f>
        <v/>
      </c>
      <c r="M236" s="141">
        <f>SUM(M235+K236-L236)</f>
        <v/>
      </c>
    </row>
    <row r="237">
      <c r="A237" s="20" t="n">
        <v>45668</v>
      </c>
      <c r="B237" s="21" t="n">
        <v>11775</v>
      </c>
      <c r="C237" s="22" t="inlineStr">
        <is>
          <t>SELİM İNŞAAT</t>
        </is>
      </c>
      <c r="D237" s="21" t="inlineStr">
        <is>
          <t>34 EDC 086</t>
        </is>
      </c>
      <c r="E237" s="21" t="inlineStr">
        <is>
          <t>ÖMER AĞAYAR</t>
        </is>
      </c>
      <c r="F237" s="23" t="n">
        <v>301187</v>
      </c>
      <c r="G237" s="138" t="n"/>
      <c r="H237" s="138" t="n">
        <v>344</v>
      </c>
      <c r="I237" s="138">
        <f>+I236+(G237-H237)</f>
        <v/>
      </c>
      <c r="J237" s="139" t="n">
        <v>39.05</v>
      </c>
      <c r="K237" s="140" t="n"/>
      <c r="L237" s="140">
        <f>+H237*J237</f>
        <v/>
      </c>
      <c r="M237" s="141">
        <f>SUM(M236+K237-L237)</f>
        <v/>
      </c>
    </row>
    <row r="238">
      <c r="A238" s="20" t="n">
        <v>45668</v>
      </c>
      <c r="B238" s="21" t="n">
        <v>20050</v>
      </c>
      <c r="C238" s="22" t="inlineStr">
        <is>
          <t>SELİM İNŞAAT</t>
        </is>
      </c>
      <c r="D238" s="21" t="inlineStr">
        <is>
          <t>34 DSN 621</t>
        </is>
      </c>
      <c r="E238" s="21" t="inlineStr">
        <is>
          <t>MUSTAFA KAYA</t>
        </is>
      </c>
      <c r="F238" s="23" t="n">
        <v>386170</v>
      </c>
      <c r="G238" s="138" t="n"/>
      <c r="H238" s="138" t="n">
        <v>294</v>
      </c>
      <c r="I238" s="138">
        <f>+I237+(G238-H238)</f>
        <v/>
      </c>
      <c r="J238" s="139" t="n">
        <v>39.05</v>
      </c>
      <c r="K238" s="140" t="n"/>
      <c r="L238" s="140">
        <f>+H238*J238</f>
        <v/>
      </c>
      <c r="M238" s="141">
        <f>SUM(M237+K238-L238)</f>
        <v/>
      </c>
    </row>
    <row r="239">
      <c r="A239" s="20" t="n">
        <v>45668</v>
      </c>
      <c r="B239" s="21" t="n">
        <v>10052</v>
      </c>
      <c r="C239" s="22" t="inlineStr">
        <is>
          <t>SELİM İNŞAAT</t>
        </is>
      </c>
      <c r="D239" s="21" t="inlineStr">
        <is>
          <t>34 FBR 771</t>
        </is>
      </c>
      <c r="E239" s="21" t="inlineStr">
        <is>
          <t>HÜSEYİN AKÇİN</t>
        </is>
      </c>
      <c r="F239" s="23" t="n">
        <v>288641</v>
      </c>
      <c r="G239" s="138" t="n"/>
      <c r="H239" s="138" t="n">
        <v>438</v>
      </c>
      <c r="I239" s="138">
        <f>+I238+(G239-H239)</f>
        <v/>
      </c>
      <c r="J239" s="139" t="n">
        <v>39.05</v>
      </c>
      <c r="K239" s="140" t="n"/>
      <c r="L239" s="140">
        <f>+H239*J239</f>
        <v/>
      </c>
      <c r="M239" s="141">
        <f>SUM(M238+K239-L239)</f>
        <v/>
      </c>
    </row>
    <row r="240">
      <c r="A240" s="20" t="n">
        <v>45668</v>
      </c>
      <c r="B240" s="21" t="n">
        <v>10417</v>
      </c>
      <c r="C240" s="22" t="inlineStr">
        <is>
          <t>SELİM İNŞAAT</t>
        </is>
      </c>
      <c r="D240" s="21" t="inlineStr">
        <is>
          <t>34 FBR 781</t>
        </is>
      </c>
      <c r="E240" s="21" t="inlineStr">
        <is>
          <t>MEVLÜT POLAT</t>
        </is>
      </c>
      <c r="F240" s="23" t="n">
        <v>272352</v>
      </c>
      <c r="G240" s="138" t="n"/>
      <c r="H240" s="138" t="n">
        <v>310</v>
      </c>
      <c r="I240" s="138">
        <f>+I239+(G240-H240)</f>
        <v/>
      </c>
      <c r="J240" s="139" t="n">
        <v>39.05</v>
      </c>
      <c r="K240" s="140" t="n"/>
      <c r="L240" s="140">
        <f>+H240*J240</f>
        <v/>
      </c>
      <c r="M240" s="141">
        <f>SUM(M239+K240-L240)</f>
        <v/>
      </c>
    </row>
    <row r="241">
      <c r="A241" s="20" t="n">
        <v>45668</v>
      </c>
      <c r="B241" s="21" t="n">
        <v>17996</v>
      </c>
      <c r="C241" s="22" t="inlineStr">
        <is>
          <t>SELİM İNŞAAT</t>
        </is>
      </c>
      <c r="D241" s="21" t="inlineStr">
        <is>
          <t>34 DSN 536</t>
        </is>
      </c>
      <c r="E241" s="21" t="inlineStr">
        <is>
          <t>DURSUN ALİ GÜREK</t>
        </is>
      </c>
      <c r="F241" s="23" t="n">
        <v>378076</v>
      </c>
      <c r="G241" s="138" t="n"/>
      <c r="H241" s="138" t="n">
        <v>373</v>
      </c>
      <c r="I241" s="138">
        <f>+I240+(G241-H241)</f>
        <v/>
      </c>
      <c r="J241" s="139" t="n">
        <v>39.05</v>
      </c>
      <c r="K241" s="140" t="n"/>
      <c r="L241" s="140">
        <f>+H241*J241</f>
        <v/>
      </c>
      <c r="M241" s="141">
        <f>SUM(M240+K241-L241)</f>
        <v/>
      </c>
    </row>
    <row r="242">
      <c r="A242" s="20" t="n">
        <v>45668</v>
      </c>
      <c r="B242" s="21" t="n">
        <v>11118</v>
      </c>
      <c r="C242" s="22" t="inlineStr">
        <is>
          <t>SELİM İNŞAAT</t>
        </is>
      </c>
      <c r="D242" s="21" t="inlineStr">
        <is>
          <t>34 DTV 409</t>
        </is>
      </c>
      <c r="E242" s="21" t="inlineStr">
        <is>
          <t>EMİN PARLAKKILIÇ</t>
        </is>
      </c>
      <c r="F242" s="23" t="n">
        <v>393107</v>
      </c>
      <c r="G242" s="138" t="n"/>
      <c r="H242" s="138" t="n">
        <v>410</v>
      </c>
      <c r="I242" s="138">
        <f>+I241+(G242-H242)</f>
        <v/>
      </c>
      <c r="J242" s="139" t="n">
        <v>39.05</v>
      </c>
      <c r="K242" s="140" t="n"/>
      <c r="L242" s="140">
        <f>+H242*J242</f>
        <v/>
      </c>
      <c r="M242" s="141">
        <f>SUM(M241+K242-L242)</f>
        <v/>
      </c>
    </row>
    <row r="243">
      <c r="A243" s="20" t="n">
        <v>45668</v>
      </c>
      <c r="B243" s="21" t="n">
        <v>21989</v>
      </c>
      <c r="C243" s="22" t="inlineStr">
        <is>
          <t>SELİM İNŞAAT</t>
        </is>
      </c>
      <c r="D243" s="21" t="inlineStr">
        <is>
          <t>34 EGR 737</t>
        </is>
      </c>
      <c r="E243" s="21" t="inlineStr">
        <is>
          <t>İBRAHİM GÜNASLAN</t>
        </is>
      </c>
      <c r="F243" s="23" t="n">
        <v>387752</v>
      </c>
      <c r="G243" s="138" t="n"/>
      <c r="H243" s="138" t="n">
        <v>400</v>
      </c>
      <c r="I243" s="138">
        <f>+I242+(G243-H243)</f>
        <v/>
      </c>
      <c r="J243" s="139" t="n">
        <v>39.05</v>
      </c>
      <c r="K243" s="140" t="n"/>
      <c r="L243" s="140">
        <f>+H243*J243</f>
        <v/>
      </c>
      <c r="M243" s="141">
        <f>SUM(M242+K243-L243)</f>
        <v/>
      </c>
    </row>
    <row r="244">
      <c r="A244" s="20" t="n">
        <v>45668</v>
      </c>
      <c r="B244" s="21" t="n">
        <v>21092</v>
      </c>
      <c r="C244" s="22" t="inlineStr">
        <is>
          <t>SELİM İNŞAAT</t>
        </is>
      </c>
      <c r="D244" s="21" t="inlineStr">
        <is>
          <t>34 EDB 659</t>
        </is>
      </c>
      <c r="E244" s="21" t="inlineStr">
        <is>
          <t>MEHMET SAİT ANIK</t>
        </is>
      </c>
      <c r="F244" s="23" t="n">
        <v>309900</v>
      </c>
      <c r="G244" s="138" t="n"/>
      <c r="H244" s="138" t="n">
        <v>282</v>
      </c>
      <c r="I244" s="138">
        <f>+I243+(G244-H244)</f>
        <v/>
      </c>
      <c r="J244" s="139" t="n">
        <v>39.05</v>
      </c>
      <c r="K244" s="140" t="n"/>
      <c r="L244" s="140">
        <f>+H244*J244</f>
        <v/>
      </c>
      <c r="M244" s="141">
        <f>SUM(M243+K244-L244)</f>
        <v/>
      </c>
    </row>
    <row r="245">
      <c r="A245" s="20" t="n">
        <v>45668</v>
      </c>
      <c r="B245" s="21" t="n">
        <v>9909</v>
      </c>
      <c r="C245" s="22" t="inlineStr">
        <is>
          <t>AHMET SELİM TEMHA</t>
        </is>
      </c>
      <c r="D245" s="21" t="inlineStr">
        <is>
          <t>34 DGE 422</t>
        </is>
      </c>
      <c r="E245" s="21" t="inlineStr">
        <is>
          <t>CEMAL</t>
        </is>
      </c>
      <c r="F245" s="23" t="inlineStr">
        <is>
          <t>BİDON</t>
        </is>
      </c>
      <c r="G245" s="138" t="n"/>
      <c r="H245" s="138" t="n">
        <v>90</v>
      </c>
      <c r="I245" s="138">
        <f>+I244+(G245-H245)</f>
        <v/>
      </c>
      <c r="J245" s="139" t="n">
        <v>39.05</v>
      </c>
      <c r="K245" s="140" t="n"/>
      <c r="L245" s="140">
        <f>+H245*J245</f>
        <v/>
      </c>
      <c r="M245" s="141">
        <f>SUM(M244+K245-L245)</f>
        <v/>
      </c>
    </row>
    <row r="246">
      <c r="A246" s="20" t="n">
        <v>45668</v>
      </c>
      <c r="B246" s="21" t="n">
        <v>9911</v>
      </c>
      <c r="C246" s="22" t="inlineStr">
        <is>
          <t>SELİM İNŞAAT</t>
        </is>
      </c>
      <c r="D246" s="21" t="inlineStr">
        <is>
          <t>AIP 800 VİNÇ</t>
        </is>
      </c>
      <c r="E246" s="21" t="inlineStr">
        <is>
          <t>İSMAİL HIRA</t>
        </is>
      </c>
      <c r="F246" s="23" t="n"/>
      <c r="G246" s="138" t="n"/>
      <c r="H246" s="138" t="n">
        <v>41</v>
      </c>
      <c r="I246" s="138">
        <f>+I245+(G246-H246)</f>
        <v/>
      </c>
      <c r="J246" s="139" t="n">
        <v>39.05</v>
      </c>
      <c r="K246" s="140" t="n"/>
      <c r="L246" s="140">
        <f>+H246*J246</f>
        <v/>
      </c>
      <c r="M246" s="141">
        <f>SUM(M245+K246-L246)</f>
        <v/>
      </c>
    </row>
    <row r="247">
      <c r="A247" s="20" t="n">
        <v>45668</v>
      </c>
      <c r="B247" s="21" t="n">
        <v>10856</v>
      </c>
      <c r="C247" s="22" t="inlineStr">
        <is>
          <t>SELİM İNŞAAT</t>
        </is>
      </c>
      <c r="D247" s="21" t="inlineStr">
        <is>
          <t>34 AR 7743</t>
        </is>
      </c>
      <c r="E247" s="21" t="inlineStr">
        <is>
          <t>MEHMET SELİM</t>
        </is>
      </c>
      <c r="F247" s="23" t="n">
        <v>349303</v>
      </c>
      <c r="G247" s="138" t="n"/>
      <c r="H247" s="138" t="n">
        <v>54</v>
      </c>
      <c r="I247" s="138">
        <f>+I246+(G247-H247)</f>
        <v/>
      </c>
      <c r="J247" s="139" t="n">
        <v>39.05</v>
      </c>
      <c r="K247" s="140" t="n"/>
      <c r="L247" s="140">
        <f>+H247*J247</f>
        <v/>
      </c>
      <c r="M247" s="141">
        <f>SUM(M246+K247-L247)</f>
        <v/>
      </c>
    </row>
    <row r="248">
      <c r="A248" s="20" t="n">
        <v>45668</v>
      </c>
      <c r="B248" s="21" t="n">
        <v>16100</v>
      </c>
      <c r="C248" s="22" t="inlineStr">
        <is>
          <t>SELİM İNŞAAT</t>
        </is>
      </c>
      <c r="D248" s="21" t="inlineStr">
        <is>
          <t>34 GU 945</t>
        </is>
      </c>
      <c r="E248" s="21" t="inlineStr">
        <is>
          <t>TURAN SEVİNDİK</t>
        </is>
      </c>
      <c r="F248" s="23" t="n">
        <v>435880</v>
      </c>
      <c r="G248" s="138" t="n"/>
      <c r="H248" s="138" t="n">
        <v>60</v>
      </c>
      <c r="I248" s="138">
        <f>+I247+(G248-H248)</f>
        <v/>
      </c>
      <c r="J248" s="139" t="n">
        <v>39.05</v>
      </c>
      <c r="K248" s="140" t="n"/>
      <c r="L248" s="140">
        <f>+H248*J248</f>
        <v/>
      </c>
      <c r="M248" s="141">
        <f>SUM(M247+K248-L248)</f>
        <v/>
      </c>
    </row>
    <row r="249">
      <c r="A249" s="20" t="n">
        <v>45668</v>
      </c>
      <c r="B249" s="21" t="n">
        <v>16471</v>
      </c>
      <c r="C249" s="22" t="inlineStr">
        <is>
          <t>NAKLİYE</t>
        </is>
      </c>
      <c r="D249" s="21" t="inlineStr">
        <is>
          <t>NAKLİYE</t>
        </is>
      </c>
      <c r="E249" s="21" t="inlineStr">
        <is>
          <t>NAKLİYE</t>
        </is>
      </c>
      <c r="F249" s="23" t="inlineStr">
        <is>
          <t>300*65</t>
        </is>
      </c>
      <c r="G249" s="138" t="n"/>
      <c r="H249" s="138" t="n">
        <v>19500</v>
      </c>
      <c r="I249" s="138">
        <f>+I248+(G249-H249)</f>
        <v/>
      </c>
      <c r="J249" s="139" t="n">
        <v>39.05</v>
      </c>
      <c r="K249" s="140" t="n"/>
      <c r="L249" s="140">
        <f>+H249*J249</f>
        <v/>
      </c>
      <c r="M249" s="141">
        <f>SUM(M248+K249-L249)</f>
        <v/>
      </c>
    </row>
    <row r="250">
      <c r="A250" s="20" t="n">
        <v>45670</v>
      </c>
      <c r="B250" s="21" t="n">
        <v>10013</v>
      </c>
      <c r="C250" s="22" t="inlineStr">
        <is>
          <t>METİN ERYİĞİT</t>
        </is>
      </c>
      <c r="D250" s="21" t="inlineStr">
        <is>
          <t>34 EGS 013</t>
        </is>
      </c>
      <c r="E250" s="21" t="inlineStr">
        <is>
          <t>UĞUR DUMAN</t>
        </is>
      </c>
      <c r="F250" s="23" t="n">
        <v>456090</v>
      </c>
      <c r="G250" s="138" t="n"/>
      <c r="H250" s="138" t="n">
        <v>400</v>
      </c>
      <c r="I250" s="138">
        <f>+I249+(G250-H250)</f>
        <v/>
      </c>
      <c r="J250" s="139" t="n">
        <v>39.05</v>
      </c>
      <c r="K250" s="140" t="n"/>
      <c r="L250" s="140">
        <f>+H250*J250</f>
        <v/>
      </c>
      <c r="M250" s="141">
        <f>SUM(M249+K250-L250)</f>
        <v/>
      </c>
    </row>
    <row r="251">
      <c r="A251" s="20" t="n">
        <v>45670</v>
      </c>
      <c r="B251" s="21" t="n">
        <v>11684</v>
      </c>
      <c r="C251" s="22" t="inlineStr">
        <is>
          <t>METİN ERYİĞİT</t>
        </is>
      </c>
      <c r="D251" s="21" t="inlineStr">
        <is>
          <t>34 GBL 998</t>
        </is>
      </c>
      <c r="E251" s="21" t="inlineStr">
        <is>
          <t>ALİ KESKİN</t>
        </is>
      </c>
      <c r="F251" s="23" t="n">
        <v>233843</v>
      </c>
      <c r="G251" s="138" t="n"/>
      <c r="H251" s="138" t="n">
        <v>461</v>
      </c>
      <c r="I251" s="138">
        <f>+I250+(G251-H251)</f>
        <v/>
      </c>
      <c r="J251" s="139" t="n">
        <v>39.05</v>
      </c>
      <c r="K251" s="140" t="n"/>
      <c r="L251" s="140">
        <f>+H251*J251</f>
        <v/>
      </c>
      <c r="M251" s="141">
        <f>SUM(M250+K251-L251)</f>
        <v/>
      </c>
    </row>
    <row r="252">
      <c r="A252" s="20" t="n">
        <v>45670</v>
      </c>
      <c r="B252" s="21" t="n">
        <v>11415</v>
      </c>
      <c r="C252" s="22" t="inlineStr">
        <is>
          <t>METİN ERYİĞİT</t>
        </is>
      </c>
      <c r="D252" s="21" t="inlineStr">
        <is>
          <t>34 EGR 814</t>
        </is>
      </c>
      <c r="E252" s="21" t="inlineStr">
        <is>
          <t>FARUK ÖZEN</t>
        </is>
      </c>
      <c r="F252" s="23" t="n">
        <v>508064</v>
      </c>
      <c r="G252" s="138" t="n"/>
      <c r="H252" s="138" t="n">
        <v>401</v>
      </c>
      <c r="I252" s="138">
        <f>+I251+(G252-H252)</f>
        <v/>
      </c>
      <c r="J252" s="139" t="n">
        <v>39.05</v>
      </c>
      <c r="K252" s="140" t="n"/>
      <c r="L252" s="140">
        <f>+H252*J252</f>
        <v/>
      </c>
      <c r="M252" s="141">
        <f>SUM(M251+K252-L252)</f>
        <v/>
      </c>
    </row>
    <row r="253">
      <c r="A253" s="20" t="n">
        <v>45670</v>
      </c>
      <c r="B253" s="21" t="n">
        <v>9910</v>
      </c>
      <c r="C253" s="22" t="inlineStr">
        <is>
          <t>AHMET SELİM TEMHA</t>
        </is>
      </c>
      <c r="D253" s="21" t="inlineStr">
        <is>
          <t>-</t>
        </is>
      </c>
      <c r="E253" s="21" t="inlineStr">
        <is>
          <t>ÖMER DUMAN</t>
        </is>
      </c>
      <c r="F253" s="23" t="inlineStr">
        <is>
          <t>BİDON</t>
        </is>
      </c>
      <c r="G253" s="138" t="n"/>
      <c r="H253" s="138" t="n">
        <v>51</v>
      </c>
      <c r="I253" s="138">
        <f>+I252+(G253-H253)</f>
        <v/>
      </c>
      <c r="J253" s="139" t="n">
        <v>39.05</v>
      </c>
      <c r="K253" s="140" t="n"/>
      <c r="L253" s="140">
        <f>+H253*J253</f>
        <v/>
      </c>
      <c r="M253" s="141">
        <f>SUM(M252+K253-L253)</f>
        <v/>
      </c>
    </row>
    <row r="254">
      <c r="A254" s="20" t="n">
        <v>45670</v>
      </c>
      <c r="B254" s="21" t="n">
        <v>9913</v>
      </c>
      <c r="C254" s="22" t="inlineStr">
        <is>
          <t>MAHMUT VİNÇ</t>
        </is>
      </c>
      <c r="D254" s="21" t="inlineStr">
        <is>
          <t>34 MEP 460</t>
        </is>
      </c>
      <c r="E254" s="21" t="inlineStr">
        <is>
          <t>YASİN DEMİR</t>
        </is>
      </c>
      <c r="F254" s="23" t="n"/>
      <c r="G254" s="138" t="n"/>
      <c r="H254" s="138" t="n">
        <v>87</v>
      </c>
      <c r="I254" s="138">
        <f>+I253+(G254-H254)</f>
        <v/>
      </c>
      <c r="J254" s="139" t="n">
        <v>39.05</v>
      </c>
      <c r="K254" s="140" t="n"/>
      <c r="L254" s="140">
        <f>+H254*J254</f>
        <v/>
      </c>
      <c r="M254" s="141">
        <f>SUM(M253+K254-L254)</f>
        <v/>
      </c>
    </row>
    <row r="255">
      <c r="A255" s="20" t="n">
        <v>45670</v>
      </c>
      <c r="B255" s="21" t="n">
        <v>9914</v>
      </c>
      <c r="C255" s="22" t="inlineStr">
        <is>
          <t>-</t>
        </is>
      </c>
      <c r="D255" s="21" t="inlineStr">
        <is>
          <t>34 AGA 254</t>
        </is>
      </c>
      <c r="E255" s="21" t="inlineStr">
        <is>
          <t>METİN ERYİĞİT</t>
        </is>
      </c>
      <c r="F255" s="23" t="n"/>
      <c r="G255" s="138" t="n"/>
      <c r="H255" s="138" t="n">
        <v>71</v>
      </c>
      <c r="I255" s="138">
        <f>+I254+(G255-H255)</f>
        <v/>
      </c>
      <c r="J255" s="139" t="n">
        <v>39.05</v>
      </c>
      <c r="K255" s="140" t="n"/>
      <c r="L255" s="140">
        <f>+H255*J255</f>
        <v/>
      </c>
      <c r="M255" s="141">
        <f>SUM(M254+K255-L255)</f>
        <v/>
      </c>
    </row>
    <row r="256">
      <c r="A256" s="20" t="n">
        <v>45670</v>
      </c>
      <c r="B256" s="21" t="n">
        <v>10120</v>
      </c>
      <c r="C256" s="22" t="inlineStr">
        <is>
          <t>SELİM İNŞAAT</t>
        </is>
      </c>
      <c r="D256" s="21" t="inlineStr">
        <is>
          <t>34 DP 4161</t>
        </is>
      </c>
      <c r="E256" s="21" t="inlineStr">
        <is>
          <t>RIFAT KARATAY</t>
        </is>
      </c>
      <c r="F256" s="23" t="n">
        <v>279070</v>
      </c>
      <c r="G256" s="138" t="n"/>
      <c r="H256" s="138" t="n">
        <v>90</v>
      </c>
      <c r="I256" s="138">
        <f>+I255+(G256-H256)</f>
        <v/>
      </c>
      <c r="J256" s="139" t="n">
        <v>39.05</v>
      </c>
      <c r="K256" s="140" t="n"/>
      <c r="L256" s="140">
        <f>+H256*J256</f>
        <v/>
      </c>
      <c r="M256" s="141">
        <f>SUM(M255+K256-L256)</f>
        <v/>
      </c>
    </row>
    <row r="257">
      <c r="A257" s="20" t="n">
        <v>45670</v>
      </c>
      <c r="B257" s="21" t="n">
        <v>9699</v>
      </c>
      <c r="C257" s="22" t="inlineStr">
        <is>
          <t>SELİM İNŞAAT</t>
        </is>
      </c>
      <c r="D257" s="21" t="inlineStr">
        <is>
          <t>34 FEM 934</t>
        </is>
      </c>
      <c r="E257" s="21" t="inlineStr">
        <is>
          <t>MUSTAFA ALBAYRAK</t>
        </is>
      </c>
      <c r="F257" s="23" t="n">
        <v>296826</v>
      </c>
      <c r="G257" s="138" t="n"/>
      <c r="H257" s="138" t="n">
        <v>68</v>
      </c>
      <c r="I257" s="138">
        <f>+I256+(G257-H257)</f>
        <v/>
      </c>
      <c r="J257" s="139" t="n">
        <v>39.05</v>
      </c>
      <c r="K257" s="140" t="n"/>
      <c r="L257" s="140">
        <f>+H257*J257</f>
        <v/>
      </c>
      <c r="M257" s="141">
        <f>SUM(M256+K257-L257)</f>
        <v/>
      </c>
    </row>
    <row r="258">
      <c r="A258" s="20" t="n">
        <v>45670</v>
      </c>
      <c r="B258" s="21" t="n">
        <v>10551</v>
      </c>
      <c r="C258" s="22" t="inlineStr">
        <is>
          <t>SELİM İNŞAAT</t>
        </is>
      </c>
      <c r="D258" s="21" t="inlineStr">
        <is>
          <t>34 GU 945</t>
        </is>
      </c>
      <c r="E258" s="21" t="inlineStr">
        <is>
          <t>TURAN SEVİNDİK</t>
        </is>
      </c>
      <c r="F258" s="23" t="n">
        <v>436310</v>
      </c>
      <c r="G258" s="138" t="n"/>
      <c r="H258" s="138" t="n">
        <v>62</v>
      </c>
      <c r="I258" s="138">
        <f>+I257+(G258-H258)</f>
        <v/>
      </c>
      <c r="J258" s="139" t="n">
        <v>39.05</v>
      </c>
      <c r="K258" s="140" t="n"/>
      <c r="L258" s="140">
        <f>+H258*J258</f>
        <v/>
      </c>
      <c r="M258" s="141">
        <f>SUM(M257+K258-L258)</f>
        <v/>
      </c>
    </row>
    <row r="259">
      <c r="A259" s="20" t="n">
        <v>45671</v>
      </c>
      <c r="B259" s="21" t="n">
        <v>10552</v>
      </c>
      <c r="C259" s="22" t="inlineStr">
        <is>
          <t>SELİM İNŞAAT</t>
        </is>
      </c>
      <c r="D259" s="21" t="inlineStr">
        <is>
          <t>34 GU 945</t>
        </is>
      </c>
      <c r="E259" s="21" t="inlineStr">
        <is>
          <t>ŞERİF KARTAL</t>
        </is>
      </c>
      <c r="F259" s="23" t="n">
        <v>436618</v>
      </c>
      <c r="G259" s="138" t="n"/>
      <c r="H259" s="138" t="n">
        <v>57</v>
      </c>
      <c r="I259" s="138">
        <f>+I258+(G259-H259)</f>
        <v/>
      </c>
      <c r="J259" s="139" t="n">
        <v>39.05</v>
      </c>
      <c r="K259" s="140" t="n"/>
      <c r="L259" s="140">
        <f>+H259*J259</f>
        <v/>
      </c>
      <c r="M259" s="141">
        <f>SUM(M258+K259-L259)</f>
        <v/>
      </c>
    </row>
    <row r="260">
      <c r="A260" s="20" t="n">
        <v>45671</v>
      </c>
      <c r="B260" s="21" t="n">
        <v>9928</v>
      </c>
      <c r="C260" s="22" t="inlineStr">
        <is>
          <t>MAHMUT VİNÇ</t>
        </is>
      </c>
      <c r="D260" s="21" t="inlineStr">
        <is>
          <t>34 MEP 460</t>
        </is>
      </c>
      <c r="E260" s="21" t="inlineStr">
        <is>
          <t>YASİN DEMİR</t>
        </is>
      </c>
      <c r="F260" s="23" t="n"/>
      <c r="G260" s="138" t="n"/>
      <c r="H260" s="138" t="n">
        <v>95</v>
      </c>
      <c r="I260" s="138">
        <f>+I259+(G260-H260)</f>
        <v/>
      </c>
      <c r="J260" s="139" t="n">
        <v>39.05</v>
      </c>
      <c r="K260" s="140" t="n"/>
      <c r="L260" s="140">
        <f>+H260*J260</f>
        <v/>
      </c>
      <c r="M260" s="141">
        <f>SUM(M259+K260-L260)</f>
        <v/>
      </c>
    </row>
    <row r="261">
      <c r="A261" s="20" t="n">
        <v>45672</v>
      </c>
      <c r="B261" s="21" t="n">
        <v>16725</v>
      </c>
      <c r="C261" s="22" t="inlineStr">
        <is>
          <t>SELİM İNŞAAT</t>
        </is>
      </c>
      <c r="D261" s="21" t="inlineStr">
        <is>
          <t>34 JBA 25</t>
        </is>
      </c>
      <c r="E261" s="21" t="inlineStr">
        <is>
          <t>MUSTAFA ALBAYRAK</t>
        </is>
      </c>
      <c r="F261" s="23" t="n">
        <v>328084</v>
      </c>
      <c r="G261" s="138" t="n"/>
      <c r="H261" s="138" t="n">
        <v>57</v>
      </c>
      <c r="I261" s="138">
        <f>+I260+(G261-H261)</f>
        <v/>
      </c>
      <c r="J261" s="139" t="n">
        <v>39.05</v>
      </c>
      <c r="K261" s="140" t="n"/>
      <c r="L261" s="140">
        <f>+H261*J261</f>
        <v/>
      </c>
      <c r="M261" s="141">
        <f>SUM(M260+K261-L261)</f>
        <v/>
      </c>
    </row>
    <row r="262">
      <c r="A262" s="20" t="n">
        <v>45673</v>
      </c>
      <c r="B262" s="21" t="n">
        <v>9912</v>
      </c>
      <c r="C262" s="22" t="inlineStr">
        <is>
          <t>SELİM İNŞAAT</t>
        </is>
      </c>
      <c r="D262" s="21" t="inlineStr">
        <is>
          <t>34 FVU 827</t>
        </is>
      </c>
      <c r="E262" s="21" t="inlineStr">
        <is>
          <t>YILMAZ ÇELEBİ</t>
        </is>
      </c>
      <c r="F262" s="23" t="n"/>
      <c r="G262" s="138" t="n"/>
      <c r="H262" s="138" t="n">
        <v>40</v>
      </c>
      <c r="I262" s="138">
        <f>+I261+(G262-H262)</f>
        <v/>
      </c>
      <c r="J262" s="139" t="n">
        <v>39.05</v>
      </c>
      <c r="K262" s="140" t="n"/>
      <c r="L262" s="140">
        <f>+H262*J262</f>
        <v/>
      </c>
      <c r="M262" s="141">
        <f>SUM(M261+K262-L262)</f>
        <v/>
      </c>
    </row>
    <row r="263">
      <c r="A263" s="20" t="n">
        <v>45673</v>
      </c>
      <c r="B263" s="1" t="n">
        <v>10824</v>
      </c>
      <c r="C263" s="2" t="inlineStr">
        <is>
          <t>EVKUR</t>
        </is>
      </c>
      <c r="D263" s="1" t="inlineStr">
        <is>
          <t>RT 650 SARI VİNÇ</t>
        </is>
      </c>
      <c r="E263" s="1" t="inlineStr">
        <is>
          <t>ALİHAN DUMAN</t>
        </is>
      </c>
      <c r="F263" s="3" t="n"/>
      <c r="G263" s="143" t="n"/>
      <c r="H263" s="143" t="n">
        <v>173</v>
      </c>
      <c r="I263" s="143">
        <f>+I262+(G263-H263)</f>
        <v/>
      </c>
      <c r="J263" s="144" t="n">
        <v>39.05</v>
      </c>
      <c r="K263" s="145" t="n"/>
      <c r="L263" s="140">
        <f>+H263*J263</f>
        <v/>
      </c>
      <c r="M263" s="141">
        <f>SUM(M262+K263-L263)</f>
        <v/>
      </c>
    </row>
    <row r="264">
      <c r="A264" s="20" t="n">
        <v>45673</v>
      </c>
      <c r="B264" s="21" t="n">
        <v>10825</v>
      </c>
      <c r="C264" s="22" t="inlineStr">
        <is>
          <t>EVKUR</t>
        </is>
      </c>
      <c r="D264" s="21" t="n"/>
      <c r="E264" s="21" t="inlineStr">
        <is>
          <t>FAHRİ KALFA</t>
        </is>
      </c>
      <c r="F264" s="23" t="n"/>
      <c r="G264" s="138" t="n"/>
      <c r="H264" s="138" t="n">
        <v>144</v>
      </c>
      <c r="I264" s="138">
        <f>+I263+(G264-H264)</f>
        <v/>
      </c>
      <c r="J264" s="139" t="n">
        <v>39.05</v>
      </c>
      <c r="K264" s="140" t="n"/>
      <c r="L264" s="140">
        <f>+H264*J264</f>
        <v/>
      </c>
      <c r="M264" s="141">
        <f>SUM(M263+K264-L264)</f>
        <v/>
      </c>
    </row>
    <row r="265">
      <c r="A265" s="20" t="n">
        <v>45675</v>
      </c>
      <c r="B265" s="21" t="n">
        <v>11354</v>
      </c>
      <c r="C265" s="22" t="inlineStr">
        <is>
          <t>AZGÜN YAPI</t>
        </is>
      </c>
      <c r="D265" s="21" t="inlineStr">
        <is>
          <t>34 MKT 593</t>
        </is>
      </c>
      <c r="E265" s="21" t="inlineStr">
        <is>
          <t>HASAN</t>
        </is>
      </c>
      <c r="F265" s="23" t="n">
        <v>3330</v>
      </c>
      <c r="G265" s="138" t="n"/>
      <c r="H265" s="138" t="n">
        <v>266</v>
      </c>
      <c r="I265" s="138">
        <f>+I264+(G265-H265)</f>
        <v/>
      </c>
      <c r="J265" s="139" t="n">
        <v>39.05</v>
      </c>
      <c r="K265" s="140" t="n"/>
      <c r="L265" s="140">
        <f>+H265*J265</f>
        <v/>
      </c>
      <c r="M265" s="141">
        <f>SUM(M264+K265-L265)</f>
        <v/>
      </c>
    </row>
    <row r="266">
      <c r="A266" s="20" t="n">
        <v>45675</v>
      </c>
      <c r="B266" s="21" t="n">
        <v>11305</v>
      </c>
      <c r="C266" s="22" t="inlineStr">
        <is>
          <t>AZGÜN YAPI</t>
        </is>
      </c>
      <c r="D266" s="21" t="inlineStr">
        <is>
          <t>34 MKT 859</t>
        </is>
      </c>
      <c r="E266" s="21" t="inlineStr">
        <is>
          <t>YAHYA</t>
        </is>
      </c>
      <c r="F266" s="23" t="n">
        <v>3370</v>
      </c>
      <c r="G266" s="138" t="n"/>
      <c r="H266" s="138" t="n">
        <v>271</v>
      </c>
      <c r="I266" s="138">
        <f>+I265+(G266-H266)</f>
        <v/>
      </c>
      <c r="J266" s="139" t="n">
        <v>39.05</v>
      </c>
      <c r="K266" s="140" t="n"/>
      <c r="L266" s="140">
        <f>+H266*J266</f>
        <v/>
      </c>
      <c r="M266" s="141">
        <f>SUM(M265+K266-L266)</f>
        <v/>
      </c>
    </row>
    <row r="267">
      <c r="A267" s="20" t="n">
        <v>45675</v>
      </c>
      <c r="B267" s="21" t="n">
        <v>10014</v>
      </c>
      <c r="C267" s="22" t="inlineStr">
        <is>
          <t>METİN ERYİĞİT</t>
        </is>
      </c>
      <c r="D267" s="21" t="inlineStr">
        <is>
          <t>34 EGS 013</t>
        </is>
      </c>
      <c r="E267" s="21" t="inlineStr">
        <is>
          <t>UĞUR DUMAN</t>
        </is>
      </c>
      <c r="F267" s="23" t="n">
        <v>457083</v>
      </c>
      <c r="G267" s="138" t="n"/>
      <c r="H267" s="138" t="n">
        <v>443</v>
      </c>
      <c r="I267" s="138">
        <f>+I266+(G267-H267)</f>
        <v/>
      </c>
      <c r="J267" s="139" t="n">
        <v>39.05</v>
      </c>
      <c r="K267" s="140" t="n"/>
      <c r="L267" s="140">
        <f>+H267*J267</f>
        <v/>
      </c>
      <c r="M267" s="141">
        <f>SUM(M266+K267-L267)</f>
        <v/>
      </c>
    </row>
    <row r="268">
      <c r="A268" s="20" t="n">
        <v>45675</v>
      </c>
      <c r="B268" s="21" t="n">
        <v>11685</v>
      </c>
      <c r="C268" s="22" t="inlineStr">
        <is>
          <t>METİN ERYİĞİT</t>
        </is>
      </c>
      <c r="D268" s="21" t="inlineStr">
        <is>
          <t>34 GBL 998</t>
        </is>
      </c>
      <c r="E268" s="21" t="inlineStr">
        <is>
          <t>ALİ KESKİN</t>
        </is>
      </c>
      <c r="F268" s="23" t="n">
        <v>234299</v>
      </c>
      <c r="G268" s="138" t="n"/>
      <c r="H268" s="138" t="n">
        <v>209</v>
      </c>
      <c r="I268" s="138">
        <f>+I267+(G268-H268)</f>
        <v/>
      </c>
      <c r="J268" s="139" t="n">
        <v>39.05</v>
      </c>
      <c r="K268" s="140" t="n"/>
      <c r="L268" s="140">
        <f>+H268*J268</f>
        <v/>
      </c>
      <c r="M268" s="141">
        <f>SUM(M267+K268-L268)</f>
        <v/>
      </c>
    </row>
    <row r="269">
      <c r="A269" s="20" t="n">
        <v>45675</v>
      </c>
      <c r="B269" s="21" t="n">
        <v>11416</v>
      </c>
      <c r="C269" s="22" t="inlineStr">
        <is>
          <t>METİN ERYİĞİT</t>
        </is>
      </c>
      <c r="D269" s="21" t="inlineStr">
        <is>
          <t>34 EGR 814</t>
        </is>
      </c>
      <c r="E269" s="21" t="inlineStr">
        <is>
          <t>FARUK ÖZEN</t>
        </is>
      </c>
      <c r="F269" s="23" t="n">
        <v>508739</v>
      </c>
      <c r="G269" s="138" t="n"/>
      <c r="H269" s="138" t="n">
        <v>354</v>
      </c>
      <c r="I269" s="138">
        <f>+I268+(G269-H269)</f>
        <v/>
      </c>
      <c r="J269" s="139" t="n">
        <v>39.05</v>
      </c>
      <c r="K269" s="140" t="n"/>
      <c r="L269" s="140">
        <f>+H269*J269</f>
        <v/>
      </c>
      <c r="M269" s="141">
        <f>SUM(M268+K269-L269)</f>
        <v/>
      </c>
    </row>
    <row r="270">
      <c r="A270" s="20" t="n">
        <v>45675</v>
      </c>
      <c r="B270" s="21" t="n">
        <v>21184</v>
      </c>
      <c r="C270" s="22" t="inlineStr">
        <is>
          <t>SELİM İNŞAAT</t>
        </is>
      </c>
      <c r="D270" s="21" t="inlineStr">
        <is>
          <t>34 DSN 565</t>
        </is>
      </c>
      <c r="E270" s="21" t="inlineStr">
        <is>
          <t>MUHAMMER ÇAMLI</t>
        </is>
      </c>
      <c r="F270" s="23" t="n">
        <v>383267</v>
      </c>
      <c r="G270" s="138" t="n"/>
      <c r="H270" s="138" t="n">
        <v>434</v>
      </c>
      <c r="I270" s="138">
        <f>+I269+(G270-H270)</f>
        <v/>
      </c>
      <c r="J270" s="139" t="n">
        <v>39.05</v>
      </c>
      <c r="K270" s="140" t="n"/>
      <c r="L270" s="140">
        <f>+H270*J270</f>
        <v/>
      </c>
      <c r="M270" s="141">
        <f>SUM(M269+K270-L270)</f>
        <v/>
      </c>
    </row>
    <row r="271">
      <c r="A271" s="20" t="n">
        <v>45675</v>
      </c>
      <c r="B271" s="21" t="n">
        <v>10979</v>
      </c>
      <c r="C271" s="22" t="inlineStr">
        <is>
          <t>SELİM İNŞAAT</t>
        </is>
      </c>
      <c r="D271" s="21" t="inlineStr">
        <is>
          <t>34 GVZ 199</t>
        </is>
      </c>
      <c r="E271" s="21" t="inlineStr">
        <is>
          <t>VAHDET GÜRLER</t>
        </is>
      </c>
      <c r="F271" s="23" t="n">
        <v>151687</v>
      </c>
      <c r="G271" s="138" t="n"/>
      <c r="H271" s="138" t="n">
        <v>260</v>
      </c>
      <c r="I271" s="138">
        <f>+I270+(G271-H271)</f>
        <v/>
      </c>
      <c r="J271" s="139" t="n">
        <v>39.05</v>
      </c>
      <c r="K271" s="140" t="n"/>
      <c r="L271" s="140">
        <f>+H271*J271</f>
        <v/>
      </c>
      <c r="M271" s="141">
        <f>SUM(M270+K271-L271)</f>
        <v/>
      </c>
    </row>
    <row r="272">
      <c r="A272" s="20" t="n">
        <v>45675</v>
      </c>
      <c r="B272" s="21" t="n">
        <v>10506</v>
      </c>
      <c r="C272" s="22" t="inlineStr">
        <is>
          <t>SELİM İNŞAAT</t>
        </is>
      </c>
      <c r="D272" s="21" t="inlineStr">
        <is>
          <t>34 EDB 922</t>
        </is>
      </c>
      <c r="E272" s="21" t="inlineStr">
        <is>
          <t>AHMET TOPÇU</t>
        </is>
      </c>
      <c r="F272" s="23" t="n">
        <v>328808</v>
      </c>
      <c r="G272" s="138" t="n"/>
      <c r="H272" s="138" t="n">
        <v>255</v>
      </c>
      <c r="I272" s="138">
        <f>+I271+(G272-H272)</f>
        <v/>
      </c>
      <c r="J272" s="139" t="n">
        <v>39.05</v>
      </c>
      <c r="K272" s="140" t="n"/>
      <c r="L272" s="140">
        <f>+H272*J272</f>
        <v/>
      </c>
      <c r="M272" s="141">
        <f>SUM(M271+K272-L272)</f>
        <v/>
      </c>
    </row>
    <row r="273">
      <c r="A273" s="20" t="n">
        <v>45675</v>
      </c>
      <c r="B273" s="21" t="n">
        <v>10758</v>
      </c>
      <c r="C273" s="22" t="inlineStr">
        <is>
          <t>SELİM İNŞAAT</t>
        </is>
      </c>
      <c r="D273" s="21" t="inlineStr">
        <is>
          <t>34 FBR 705</t>
        </is>
      </c>
      <c r="E273" s="21" t="inlineStr">
        <is>
          <t>MESUT GÜRLER</t>
        </is>
      </c>
      <c r="F273" s="23" t="n">
        <v>283713</v>
      </c>
      <c r="G273" s="138" t="n"/>
      <c r="H273" s="138" t="n">
        <v>378</v>
      </c>
      <c r="I273" s="138">
        <f>+I272+(G273-H273)</f>
        <v/>
      </c>
      <c r="J273" s="139" t="n">
        <v>39.05</v>
      </c>
      <c r="K273" s="140" t="n"/>
      <c r="L273" s="140">
        <f>+H273*J273</f>
        <v/>
      </c>
      <c r="M273" s="141">
        <f>SUM(M272+K273-L273)</f>
        <v/>
      </c>
    </row>
    <row r="274">
      <c r="A274" s="20" t="n">
        <v>45675</v>
      </c>
      <c r="B274" s="21" t="n">
        <v>9782</v>
      </c>
      <c r="C274" s="22" t="inlineStr">
        <is>
          <t>SELİM İNŞAAT</t>
        </is>
      </c>
      <c r="D274" s="21" t="inlineStr">
        <is>
          <t>34 GUZ 268</t>
        </is>
      </c>
      <c r="E274" s="21" t="inlineStr">
        <is>
          <t>KERİM KARAMAN</t>
        </is>
      </c>
      <c r="F274" s="23" t="n">
        <v>161653</v>
      </c>
      <c r="G274" s="138" t="n"/>
      <c r="H274" s="138" t="n">
        <v>336</v>
      </c>
      <c r="I274" s="138">
        <f>+I273+(G274-H274)</f>
        <v/>
      </c>
      <c r="J274" s="139" t="n">
        <v>39.05</v>
      </c>
      <c r="K274" s="140" t="n"/>
      <c r="L274" s="140">
        <f>+H274*J274</f>
        <v/>
      </c>
      <c r="M274" s="141">
        <f>SUM(M273+K274-L274)</f>
        <v/>
      </c>
    </row>
    <row r="275">
      <c r="A275" s="20" t="n">
        <v>45675</v>
      </c>
      <c r="B275" s="21" t="n">
        <v>20893</v>
      </c>
      <c r="C275" s="22" t="inlineStr">
        <is>
          <t>SELİM İNŞAAT</t>
        </is>
      </c>
      <c r="D275" s="21" t="inlineStr">
        <is>
          <t>34 GVZ 310</t>
        </is>
      </c>
      <c r="E275" s="21" t="inlineStr">
        <is>
          <t>CELAL YÜZBAŞI</t>
        </is>
      </c>
      <c r="F275" s="23" t="n">
        <v>164668</v>
      </c>
      <c r="G275" s="138" t="n"/>
      <c r="H275" s="138" t="n">
        <v>260</v>
      </c>
      <c r="I275" s="138">
        <f>+I274+(G275-H275)</f>
        <v/>
      </c>
      <c r="J275" s="139" t="n">
        <v>39.05</v>
      </c>
      <c r="K275" s="140" t="n"/>
      <c r="L275" s="140">
        <f>+H275*J275</f>
        <v/>
      </c>
      <c r="M275" s="141">
        <f>SUM(M274+K275-L275)</f>
        <v/>
      </c>
    </row>
    <row r="276">
      <c r="A276" s="20" t="n">
        <v>45675</v>
      </c>
      <c r="B276" s="21" t="n">
        <v>10165</v>
      </c>
      <c r="C276" s="22" t="inlineStr">
        <is>
          <t>SELİM İNŞAAT</t>
        </is>
      </c>
      <c r="D276" s="21" t="inlineStr">
        <is>
          <t>34 EGR 736</t>
        </is>
      </c>
      <c r="E276" s="21" t="inlineStr">
        <is>
          <t>MUHAMMER ÇAMLI</t>
        </is>
      </c>
      <c r="F276" s="23" t="n">
        <v>359173</v>
      </c>
      <c r="G276" s="138" t="n"/>
      <c r="H276" s="138" t="n">
        <v>235</v>
      </c>
      <c r="I276" s="138">
        <f>+I275+(G276-H276)</f>
        <v/>
      </c>
      <c r="J276" s="139" t="n">
        <v>39.05</v>
      </c>
      <c r="K276" s="140" t="n"/>
      <c r="L276" s="140">
        <f>+H276*J276</f>
        <v/>
      </c>
      <c r="M276" s="141">
        <f>SUM(M275+K276-L276)</f>
        <v/>
      </c>
    </row>
    <row r="277">
      <c r="A277" s="20" t="n">
        <v>45675</v>
      </c>
      <c r="B277" s="21" t="n">
        <v>10617</v>
      </c>
      <c r="C277" s="22" t="inlineStr">
        <is>
          <t>SELİM İNŞAAT</t>
        </is>
      </c>
      <c r="D277" s="21" t="inlineStr">
        <is>
          <t>34 EDB 754</t>
        </is>
      </c>
      <c r="E277" s="21" t="inlineStr">
        <is>
          <t>EMİN PARLAKKILIÇ</t>
        </is>
      </c>
      <c r="F277" s="23" t="n">
        <v>296105</v>
      </c>
      <c r="G277" s="138" t="n"/>
      <c r="H277" s="138" t="n">
        <v>323</v>
      </c>
      <c r="I277" s="138">
        <f>+I276+(G277-H277)</f>
        <v/>
      </c>
      <c r="J277" s="139" t="n">
        <v>39.05</v>
      </c>
      <c r="K277" s="140" t="n"/>
      <c r="L277" s="140">
        <f>+H277*J277</f>
        <v/>
      </c>
      <c r="M277" s="141">
        <f>SUM(M276+K277-L277)</f>
        <v/>
      </c>
    </row>
    <row r="278">
      <c r="A278" s="20" t="n">
        <v>45675</v>
      </c>
      <c r="B278" s="21" t="n">
        <v>21533</v>
      </c>
      <c r="C278" s="22" t="inlineStr">
        <is>
          <t>SELİM İNŞAAT</t>
        </is>
      </c>
      <c r="D278" s="21" t="inlineStr">
        <is>
          <t>34 GVZ 745</t>
        </is>
      </c>
      <c r="E278" s="21" t="inlineStr">
        <is>
          <t>MUHAMMED YİĞİT</t>
        </is>
      </c>
      <c r="F278" s="23" t="n">
        <v>158110</v>
      </c>
      <c r="G278" s="138" t="n"/>
      <c r="H278" s="138" t="n">
        <v>485</v>
      </c>
      <c r="I278" s="138">
        <f>+I277+(G278-H278)</f>
        <v/>
      </c>
      <c r="J278" s="139" t="n">
        <v>39.05</v>
      </c>
      <c r="K278" s="140" t="n"/>
      <c r="L278" s="140">
        <f>+H278*J278</f>
        <v/>
      </c>
      <c r="M278" s="141">
        <f>SUM(M277+K278-L278)</f>
        <v/>
      </c>
    </row>
    <row r="279">
      <c r="A279" s="20" t="n">
        <v>45675</v>
      </c>
      <c r="B279" s="21" t="n">
        <v>10677</v>
      </c>
      <c r="C279" s="22" t="inlineStr">
        <is>
          <t>SELİM İNŞAAT</t>
        </is>
      </c>
      <c r="D279" s="21" t="inlineStr">
        <is>
          <t>34 DTV 599</t>
        </is>
      </c>
      <c r="E279" s="21" t="inlineStr">
        <is>
          <t>FERHAT GÜRLER</t>
        </is>
      </c>
      <c r="F279" s="23" t="n">
        <v>406987</v>
      </c>
      <c r="G279" s="138" t="n"/>
      <c r="H279" s="138" t="n">
        <v>308</v>
      </c>
      <c r="I279" s="138">
        <f>+I278+(G279-H279)</f>
        <v/>
      </c>
      <c r="J279" s="139" t="n">
        <v>39.05</v>
      </c>
      <c r="K279" s="140" t="n"/>
      <c r="L279" s="140">
        <f>+H279*J279</f>
        <v/>
      </c>
      <c r="M279" s="141">
        <f>SUM(M278+K279-L279)</f>
        <v/>
      </c>
    </row>
    <row r="280">
      <c r="A280" s="20" t="n">
        <v>45675</v>
      </c>
      <c r="B280" s="21" t="n">
        <v>10351</v>
      </c>
      <c r="C280" s="22" t="inlineStr">
        <is>
          <t>SELİM İNŞAAT</t>
        </is>
      </c>
      <c r="D280" s="21" t="inlineStr">
        <is>
          <t>34 DRU 690</t>
        </is>
      </c>
      <c r="E280" s="21" t="inlineStr">
        <is>
          <t>İSMET BAYRAM</t>
        </is>
      </c>
      <c r="F280" s="23" t="n">
        <v>387105</v>
      </c>
      <c r="G280" s="138" t="n"/>
      <c r="H280" s="138" t="n">
        <v>340</v>
      </c>
      <c r="I280" s="138">
        <f>+I279+(G280-H280)</f>
        <v/>
      </c>
      <c r="J280" s="139" t="n">
        <v>39.05</v>
      </c>
      <c r="K280" s="140" t="n"/>
      <c r="L280" s="140">
        <f>+H280*J280</f>
        <v/>
      </c>
      <c r="M280" s="141">
        <f>SUM(M279+K280-L280)</f>
        <v/>
      </c>
    </row>
    <row r="281">
      <c r="A281" s="20" t="n">
        <v>45675</v>
      </c>
      <c r="B281" s="21" t="n">
        <v>9918</v>
      </c>
      <c r="C281" s="22" t="inlineStr">
        <is>
          <t>SELİM İNŞAAT</t>
        </is>
      </c>
      <c r="D281" s="21" t="inlineStr">
        <is>
          <t>AIP 800 VİNÇ</t>
        </is>
      </c>
      <c r="E281" s="21" t="inlineStr">
        <is>
          <t>İSMAİL HIRA</t>
        </is>
      </c>
      <c r="F281" s="23" t="n"/>
      <c r="G281" s="138" t="n"/>
      <c r="H281" s="138" t="n">
        <v>46</v>
      </c>
      <c r="I281" s="138">
        <f>+I280+(G281-H281)</f>
        <v/>
      </c>
      <c r="J281" s="139" t="n">
        <v>39.05</v>
      </c>
      <c r="K281" s="140" t="n"/>
      <c r="L281" s="140">
        <f>+H281*J281</f>
        <v/>
      </c>
      <c r="M281" s="141">
        <f>SUM(M280+K281-L281)</f>
        <v/>
      </c>
    </row>
    <row r="282">
      <c r="A282" s="20" t="n">
        <v>45675</v>
      </c>
      <c r="B282" s="21" t="n">
        <v>11878</v>
      </c>
      <c r="C282" s="22" t="inlineStr">
        <is>
          <t>SELİM İNŞAAT</t>
        </is>
      </c>
      <c r="D282" s="21" t="inlineStr">
        <is>
          <t>34 DFE 454</t>
        </is>
      </c>
      <c r="E282" s="21" t="inlineStr">
        <is>
          <t>HASAN BAYCAN</t>
        </is>
      </c>
      <c r="F282" s="23" t="n">
        <v>153773</v>
      </c>
      <c r="G282" s="138" t="n"/>
      <c r="H282" s="138" t="n">
        <v>91</v>
      </c>
      <c r="I282" s="138">
        <f>+I281+(G282-H282)</f>
        <v/>
      </c>
      <c r="J282" s="139" t="n">
        <v>39.05</v>
      </c>
      <c r="K282" s="140" t="n"/>
      <c r="L282" s="140">
        <f>+H282*J282</f>
        <v/>
      </c>
      <c r="M282" s="141">
        <f>SUM(M281+K282-L282)</f>
        <v/>
      </c>
    </row>
    <row r="283">
      <c r="A283" s="20" t="n">
        <v>45675</v>
      </c>
      <c r="B283" s="21" t="n">
        <v>9700</v>
      </c>
      <c r="C283" s="22" t="inlineStr">
        <is>
          <t>SELİM İNŞAAT</t>
        </is>
      </c>
      <c r="D283" s="21" t="inlineStr">
        <is>
          <t>34 FEM 934</t>
        </is>
      </c>
      <c r="E283" s="21" t="inlineStr">
        <is>
          <t>MUSTAFA ALBAYRAK</t>
        </is>
      </c>
      <c r="F283" s="23" t="n">
        <v>297247</v>
      </c>
      <c r="G283" s="138" t="n"/>
      <c r="H283" s="138" t="n">
        <v>64</v>
      </c>
      <c r="I283" s="138">
        <f>+I282+(G283-H283)</f>
        <v/>
      </c>
      <c r="J283" s="139" t="n">
        <v>39.05</v>
      </c>
      <c r="K283" s="140" t="n"/>
      <c r="L283" s="140">
        <f>+H283*J283</f>
        <v/>
      </c>
      <c r="M283" s="141">
        <f>SUM(M282+K283-L283)</f>
        <v/>
      </c>
    </row>
    <row r="284">
      <c r="A284" s="20" t="n">
        <v>45675</v>
      </c>
      <c r="B284" s="21" t="n">
        <v>20183</v>
      </c>
      <c r="C284" s="22" t="inlineStr">
        <is>
          <t>SELİM İNŞAAT</t>
        </is>
      </c>
      <c r="D284" s="21" t="inlineStr">
        <is>
          <t>34 JGR 15</t>
        </is>
      </c>
      <c r="E284" s="21" t="inlineStr">
        <is>
          <t>MUHAMMER ÇAMLI</t>
        </is>
      </c>
      <c r="F284" s="23" t="n">
        <v>304431</v>
      </c>
      <c r="G284" s="138" t="n"/>
      <c r="H284" s="138" t="n">
        <v>60</v>
      </c>
      <c r="I284" s="138">
        <f>+I283+(G284-H284)</f>
        <v/>
      </c>
      <c r="J284" s="139" t="n">
        <v>39.05</v>
      </c>
      <c r="K284" s="140" t="n"/>
      <c r="L284" s="140">
        <f>+H284*J284</f>
        <v/>
      </c>
      <c r="M284" s="141">
        <f>SUM(M283+K284-L284)</f>
        <v/>
      </c>
    </row>
    <row r="285">
      <c r="A285" s="20" t="n">
        <v>45675</v>
      </c>
      <c r="B285" s="21" t="n">
        <v>10857</v>
      </c>
      <c r="C285" s="22" t="inlineStr">
        <is>
          <t>SELİM İNŞAAT</t>
        </is>
      </c>
      <c r="D285" s="21" t="inlineStr">
        <is>
          <t>34 AR 7743</t>
        </is>
      </c>
      <c r="E285" s="21" t="inlineStr">
        <is>
          <t>MEHMET SELİM</t>
        </is>
      </c>
      <c r="F285" s="23" t="n">
        <v>349549</v>
      </c>
      <c r="G285" s="138" t="n"/>
      <c r="H285" s="138" t="n">
        <v>55</v>
      </c>
      <c r="I285" s="138">
        <f>+I284+(G285-H285)</f>
        <v/>
      </c>
      <c r="J285" s="139" t="n">
        <v>39.05</v>
      </c>
      <c r="K285" s="140" t="n"/>
      <c r="L285" s="140">
        <f>+H285*J285</f>
        <v/>
      </c>
      <c r="M285" s="141">
        <f>SUM(M284+K285-L285)</f>
        <v/>
      </c>
    </row>
    <row r="286">
      <c r="A286" s="20" t="n">
        <v>45675</v>
      </c>
      <c r="B286" s="1" t="n">
        <v>10826</v>
      </c>
      <c r="C286" s="2" t="inlineStr">
        <is>
          <t>VARLIK</t>
        </is>
      </c>
      <c r="D286" s="1" t="inlineStr">
        <is>
          <t>SM 350</t>
        </is>
      </c>
      <c r="E286" s="1" t="inlineStr">
        <is>
          <t>BAYRAM SANCAK</t>
        </is>
      </c>
      <c r="F286" s="3" t="n"/>
      <c r="G286" s="143" t="n"/>
      <c r="H286" s="143" t="n">
        <v>200</v>
      </c>
      <c r="I286" s="143">
        <f>+I285+(G286-H286)</f>
        <v/>
      </c>
      <c r="J286" s="144" t="n">
        <v>39.05</v>
      </c>
      <c r="K286" s="145" t="n"/>
      <c r="L286" s="140">
        <f>+H286*J286</f>
        <v/>
      </c>
      <c r="M286" s="141">
        <f>SUM(M285+K286-L286)</f>
        <v/>
      </c>
    </row>
    <row r="287">
      <c r="A287" s="20" t="n">
        <v>45675</v>
      </c>
      <c r="B287" s="1" t="n">
        <v>10827</v>
      </c>
      <c r="C287" s="2" t="inlineStr">
        <is>
          <t>VARLIK</t>
        </is>
      </c>
      <c r="D287" s="1" t="inlineStr">
        <is>
          <t>SM 300</t>
        </is>
      </c>
      <c r="E287" s="1" t="inlineStr">
        <is>
          <t>TURGUT SANCAK</t>
        </is>
      </c>
      <c r="F287" s="3" t="n"/>
      <c r="G287" s="143" t="n"/>
      <c r="H287" s="143" t="n">
        <v>372</v>
      </c>
      <c r="I287" s="143">
        <f>+I286+(G287-H287)</f>
        <v/>
      </c>
      <c r="J287" s="144" t="n">
        <v>39.05</v>
      </c>
      <c r="K287" s="145" t="n"/>
      <c r="L287" s="140">
        <f>+H287*J287</f>
        <v/>
      </c>
      <c r="M287" s="141">
        <f>SUM(M286+K287-L287)</f>
        <v/>
      </c>
    </row>
    <row r="288">
      <c r="A288" s="20" t="n">
        <v>45675</v>
      </c>
      <c r="B288" s="1" t="n">
        <v>10828</v>
      </c>
      <c r="C288" s="2" t="inlineStr">
        <is>
          <t>VARLIK</t>
        </is>
      </c>
      <c r="D288" s="1" t="inlineStr">
        <is>
          <t>SM 370</t>
        </is>
      </c>
      <c r="E288" s="1" t="inlineStr">
        <is>
          <t>TEKİN ŞEYLAN</t>
        </is>
      </c>
      <c r="F288" s="3" t="n"/>
      <c r="G288" s="143" t="n"/>
      <c r="H288" s="143" t="n">
        <v>386</v>
      </c>
      <c r="I288" s="143">
        <f>+I287+(G288-H288)</f>
        <v/>
      </c>
      <c r="J288" s="144" t="n">
        <v>39.05</v>
      </c>
      <c r="K288" s="145" t="n"/>
      <c r="L288" s="140">
        <f>+H288*J288</f>
        <v/>
      </c>
      <c r="M288" s="141">
        <f>SUM(M287+K288-L288)</f>
        <v/>
      </c>
    </row>
    <row r="289">
      <c r="A289" s="20" t="n">
        <v>45676</v>
      </c>
      <c r="B289" s="21" t="n">
        <v>11355</v>
      </c>
      <c r="C289" s="22" t="inlineStr">
        <is>
          <t>AZGÜN YAPI</t>
        </is>
      </c>
      <c r="D289" s="21" t="inlineStr">
        <is>
          <t>34 MKT 593</t>
        </is>
      </c>
      <c r="E289" s="21" t="inlineStr">
        <is>
          <t>HASAN</t>
        </is>
      </c>
      <c r="F289" s="23" t="n">
        <v>3715</v>
      </c>
      <c r="G289" s="138" t="n"/>
      <c r="H289" s="138" t="n">
        <v>180</v>
      </c>
      <c r="I289" s="138">
        <f>+I288+(G289-H289)</f>
        <v/>
      </c>
      <c r="J289" s="139" t="n">
        <v>39.05</v>
      </c>
      <c r="K289" s="140" t="n"/>
      <c r="L289" s="140">
        <f>+H289*J289</f>
        <v/>
      </c>
      <c r="M289" s="141">
        <f>SUM(M288+K289-L289)</f>
        <v/>
      </c>
    </row>
    <row r="290">
      <c r="A290" s="20" t="n">
        <v>45676</v>
      </c>
      <c r="B290" s="21" t="n">
        <v>11306</v>
      </c>
      <c r="C290" s="22" t="inlineStr">
        <is>
          <t>AZGÜN YAPI</t>
        </is>
      </c>
      <c r="D290" s="21" t="inlineStr">
        <is>
          <t>34 MKT 859</t>
        </is>
      </c>
      <c r="E290" s="21" t="inlineStr">
        <is>
          <t>YAHYA</t>
        </is>
      </c>
      <c r="F290" s="23" t="n">
        <v>3880</v>
      </c>
      <c r="G290" s="138" t="n"/>
      <c r="H290" s="138" t="n">
        <v>230</v>
      </c>
      <c r="I290" s="138">
        <f>+I289+(G290-H290)</f>
        <v/>
      </c>
      <c r="J290" s="139" t="n">
        <v>39.05</v>
      </c>
      <c r="K290" s="140" t="n"/>
      <c r="L290" s="140">
        <f>+H290*J290</f>
        <v/>
      </c>
      <c r="M290" s="141">
        <f>SUM(M289+K290-L290)</f>
        <v/>
      </c>
    </row>
    <row r="291">
      <c r="A291" s="20" t="n">
        <v>45676</v>
      </c>
      <c r="B291" s="21" t="n">
        <v>11981</v>
      </c>
      <c r="C291" s="22" t="inlineStr">
        <is>
          <t>SELİM İNŞAAT</t>
        </is>
      </c>
      <c r="D291" s="21" t="inlineStr">
        <is>
          <t>34 DKL 798</t>
        </is>
      </c>
      <c r="E291" s="21" t="inlineStr">
        <is>
          <t>VOLKAN YANAR</t>
        </is>
      </c>
      <c r="F291" s="23" t="n">
        <v>60341</v>
      </c>
      <c r="G291" s="138" t="n"/>
      <c r="H291" s="138" t="n">
        <v>132</v>
      </c>
      <c r="I291" s="138">
        <f>+I290+(G291-H291)</f>
        <v/>
      </c>
      <c r="J291" s="139" t="n">
        <v>39.05</v>
      </c>
      <c r="K291" s="140" t="n"/>
      <c r="L291" s="140">
        <f>+H291*J291</f>
        <v/>
      </c>
      <c r="M291" s="141">
        <f>SUM(M290+K291-L291)</f>
        <v/>
      </c>
    </row>
    <row r="292">
      <c r="A292" s="20" t="n">
        <v>45676</v>
      </c>
      <c r="B292" s="21" t="n">
        <v>11879</v>
      </c>
      <c r="C292" s="22" t="inlineStr">
        <is>
          <t>SELİM İNŞAAT</t>
        </is>
      </c>
      <c r="D292" s="21" t="inlineStr">
        <is>
          <t>34 DFE 454</t>
        </is>
      </c>
      <c r="E292" s="21" t="inlineStr">
        <is>
          <t>HASAN BAYCAN</t>
        </is>
      </c>
      <c r="F292" s="23" t="n">
        <v>153800</v>
      </c>
      <c r="G292" s="138" t="n"/>
      <c r="H292" s="138" t="n">
        <v>107</v>
      </c>
      <c r="I292" s="138">
        <f>+I291+(G292-H292)</f>
        <v/>
      </c>
      <c r="J292" s="139" t="n">
        <v>39.05</v>
      </c>
      <c r="K292" s="140" t="n"/>
      <c r="L292" s="140">
        <f>+H292*J292</f>
        <v/>
      </c>
      <c r="M292" s="141">
        <f>SUM(M291+K292-L292)</f>
        <v/>
      </c>
    </row>
    <row r="293">
      <c r="A293" s="20" t="n">
        <v>45676</v>
      </c>
      <c r="B293" s="21" t="n">
        <v>11053</v>
      </c>
      <c r="C293" s="22" t="inlineStr">
        <is>
          <t>SELİM İNŞAAT</t>
        </is>
      </c>
      <c r="D293" s="21" t="inlineStr">
        <is>
          <t>34 HBY 763</t>
        </is>
      </c>
      <c r="E293" s="21" t="inlineStr">
        <is>
          <t>A.KERİM ERGEN</t>
        </is>
      </c>
      <c r="F293" s="23" t="n">
        <v>12215</v>
      </c>
      <c r="G293" s="138" t="n"/>
      <c r="H293" s="138" t="n">
        <v>138</v>
      </c>
      <c r="I293" s="138">
        <f>+I292+(G293-H293)</f>
        <v/>
      </c>
      <c r="J293" s="139" t="n">
        <v>39.05</v>
      </c>
      <c r="K293" s="140" t="n"/>
      <c r="L293" s="140">
        <f>+H293*J293</f>
        <v/>
      </c>
      <c r="M293" s="141">
        <f>SUM(M292+K293-L293)</f>
        <v/>
      </c>
    </row>
    <row r="294">
      <c r="A294" s="20" t="n">
        <v>45676</v>
      </c>
      <c r="B294" s="1" t="n">
        <v>10829</v>
      </c>
      <c r="C294" s="2" t="inlineStr">
        <is>
          <t>HASALTUN</t>
        </is>
      </c>
      <c r="D294" s="1" t="inlineStr">
        <is>
          <t>SM 350</t>
        </is>
      </c>
      <c r="E294" s="1" t="inlineStr">
        <is>
          <t>TEVFİK ÖZTÜRK</t>
        </is>
      </c>
      <c r="F294" s="3" t="n"/>
      <c r="G294" s="143" t="n"/>
      <c r="H294" s="143" t="n">
        <v>413</v>
      </c>
      <c r="I294" s="143">
        <f>+I293+(G294-H294)</f>
        <v/>
      </c>
      <c r="J294" s="144" t="n">
        <v>39.05</v>
      </c>
      <c r="K294" s="145" t="n"/>
      <c r="L294" s="140">
        <f>+H294*J294</f>
        <v/>
      </c>
      <c r="M294" s="141">
        <f>SUM(M293+K294-L294)</f>
        <v/>
      </c>
    </row>
    <row r="295">
      <c r="A295" s="20" t="n">
        <v>45676</v>
      </c>
      <c r="B295" s="1" t="n">
        <v>10830</v>
      </c>
      <c r="C295" s="2" t="inlineStr">
        <is>
          <t>EVKUR</t>
        </is>
      </c>
      <c r="D295" s="1" t="inlineStr">
        <is>
          <t>KİRALIK HİTACHİ</t>
        </is>
      </c>
      <c r="E295" s="1" t="n"/>
      <c r="F295" s="3" t="n"/>
      <c r="G295" s="143" t="n"/>
      <c r="H295" s="143" t="n">
        <v>428</v>
      </c>
      <c r="I295" s="143">
        <f>+I294+(G295-H295)</f>
        <v/>
      </c>
      <c r="J295" s="144" t="n">
        <v>39.05</v>
      </c>
      <c r="K295" s="145" t="n"/>
      <c r="L295" s="140">
        <f>+H295*J295</f>
        <v/>
      </c>
      <c r="M295" s="141">
        <f>SUM(M294+K295-L295)</f>
        <v/>
      </c>
    </row>
    <row r="296">
      <c r="A296" s="20" t="n">
        <v>45676</v>
      </c>
      <c r="B296" s="1" t="n">
        <v>10831</v>
      </c>
      <c r="C296" s="2" t="inlineStr">
        <is>
          <t>VARLIK</t>
        </is>
      </c>
      <c r="D296" s="1" t="inlineStr">
        <is>
          <t>SM 300</t>
        </is>
      </c>
      <c r="E296" s="1" t="inlineStr">
        <is>
          <t>TURGUT SANCAK</t>
        </is>
      </c>
      <c r="F296" s="3" t="n"/>
      <c r="G296" s="143" t="n"/>
      <c r="H296" s="143" t="n">
        <v>256</v>
      </c>
      <c r="I296" s="143">
        <f>+I295+(G296-H296)</f>
        <v/>
      </c>
      <c r="J296" s="144" t="n">
        <v>39.05</v>
      </c>
      <c r="K296" s="145" t="n"/>
      <c r="L296" s="140">
        <f>+H296*J296</f>
        <v/>
      </c>
      <c r="M296" s="141">
        <f>SUM(M295+K296-L296)</f>
        <v/>
      </c>
    </row>
    <row r="297">
      <c r="A297" s="20" t="n">
        <v>45676</v>
      </c>
      <c r="B297" s="1" t="n">
        <v>10832</v>
      </c>
      <c r="C297" s="2" t="inlineStr">
        <is>
          <t>VARLIK</t>
        </is>
      </c>
      <c r="D297" s="1" t="inlineStr">
        <is>
          <t>SM 350</t>
        </is>
      </c>
      <c r="E297" s="1" t="inlineStr">
        <is>
          <t>BAYRAM SANCAK</t>
        </is>
      </c>
      <c r="F297" s="3" t="n"/>
      <c r="G297" s="143" t="n"/>
      <c r="H297" s="143" t="n">
        <v>267</v>
      </c>
      <c r="I297" s="143">
        <f>+I296+(G297-H297)</f>
        <v/>
      </c>
      <c r="J297" s="144" t="n">
        <v>39.05</v>
      </c>
      <c r="K297" s="145" t="n"/>
      <c r="L297" s="140">
        <f>+H297*J297</f>
        <v/>
      </c>
      <c r="M297" s="141">
        <f>SUM(M296+K297-L297)</f>
        <v/>
      </c>
    </row>
    <row r="298">
      <c r="A298" s="20" t="n">
        <v>45676</v>
      </c>
      <c r="B298" s="1" t="n">
        <v>10833</v>
      </c>
      <c r="C298" s="2" t="inlineStr">
        <is>
          <t>VARLIK</t>
        </is>
      </c>
      <c r="D298" s="1" t="inlineStr">
        <is>
          <t>SM 370</t>
        </is>
      </c>
      <c r="E298" s="1" t="inlineStr">
        <is>
          <t>TEKİN ŞEYLAN</t>
        </is>
      </c>
      <c r="F298" s="3" t="n"/>
      <c r="G298" s="143" t="n"/>
      <c r="H298" s="143" t="n">
        <v>329</v>
      </c>
      <c r="I298" s="143">
        <f>+I297+(G298-H298)</f>
        <v/>
      </c>
      <c r="J298" s="144" t="n">
        <v>39.05</v>
      </c>
      <c r="K298" s="145" t="n"/>
      <c r="L298" s="140">
        <f>+H298*J298</f>
        <v/>
      </c>
      <c r="M298" s="141">
        <f>SUM(M297+K298-L298)</f>
        <v/>
      </c>
    </row>
    <row r="299">
      <c r="A299" s="20" t="n">
        <v>45676</v>
      </c>
      <c r="B299" s="1" t="n">
        <v>10837</v>
      </c>
      <c r="C299" s="2" t="inlineStr">
        <is>
          <t>HASALTUN</t>
        </is>
      </c>
      <c r="D299" s="1" t="inlineStr">
        <is>
          <t>SİLİNDİR</t>
        </is>
      </c>
      <c r="E299" s="1" t="n"/>
      <c r="F299" s="3" t="n"/>
      <c r="G299" s="143" t="n"/>
      <c r="H299" s="143" t="n">
        <v>114</v>
      </c>
      <c r="I299" s="143">
        <f>+I298+(G299-H299)</f>
        <v/>
      </c>
      <c r="J299" s="144" t="n">
        <v>39.05</v>
      </c>
      <c r="K299" s="145" t="n"/>
      <c r="L299" s="140">
        <f>+H299*J299</f>
        <v/>
      </c>
      <c r="M299" s="141">
        <f>SUM(M298+K299-L299)</f>
        <v/>
      </c>
    </row>
    <row r="300">
      <c r="A300" s="20" t="n">
        <v>45677</v>
      </c>
      <c r="B300" s="21" t="n">
        <v>2042</v>
      </c>
      <c r="C300" s="22" t="inlineStr">
        <is>
          <t>AZGÜN YAPI</t>
        </is>
      </c>
      <c r="D300" s="21" t="inlineStr">
        <is>
          <t>34 DTV 263</t>
        </is>
      </c>
      <c r="E300" s="21" t="inlineStr">
        <is>
          <t>EDİP TORLAK</t>
        </is>
      </c>
      <c r="F300" s="23" t="n">
        <v>355695</v>
      </c>
      <c r="G300" s="138" t="n"/>
      <c r="H300" s="138" t="n">
        <v>339</v>
      </c>
      <c r="I300" s="138">
        <f>+I299+(G300-H300)</f>
        <v/>
      </c>
      <c r="J300" s="139" t="n">
        <v>39.05</v>
      </c>
      <c r="K300" s="140" t="n"/>
      <c r="L300" s="140">
        <f>+H300*J300</f>
        <v/>
      </c>
      <c r="M300" s="141">
        <f>SUM(M299+K300-L300)</f>
        <v/>
      </c>
    </row>
    <row r="301">
      <c r="A301" s="20" t="n">
        <v>45677</v>
      </c>
      <c r="B301" s="21" t="n">
        <v>11356</v>
      </c>
      <c r="C301" s="22" t="inlineStr">
        <is>
          <t>AZGÜN YAPI</t>
        </is>
      </c>
      <c r="D301" s="21" t="inlineStr">
        <is>
          <t>34 MKT 593</t>
        </is>
      </c>
      <c r="E301" s="21" t="inlineStr">
        <is>
          <t>HASAN</t>
        </is>
      </c>
      <c r="F301" s="23" t="n">
        <v>4110</v>
      </c>
      <c r="G301" s="138" t="n"/>
      <c r="H301" s="138" t="n">
        <v>189</v>
      </c>
      <c r="I301" s="138">
        <f>+I300+(G301-H301)</f>
        <v/>
      </c>
      <c r="J301" s="139" t="n">
        <v>39.05</v>
      </c>
      <c r="K301" s="140" t="n"/>
      <c r="L301" s="140">
        <f>+H301*J301</f>
        <v/>
      </c>
      <c r="M301" s="141">
        <f>SUM(M300+K301-L301)</f>
        <v/>
      </c>
    </row>
    <row r="302">
      <c r="A302" s="20" t="n">
        <v>45677</v>
      </c>
      <c r="B302" s="21" t="n">
        <v>10015</v>
      </c>
      <c r="C302" s="22" t="inlineStr">
        <is>
          <t>METİN ERYİĞİT</t>
        </is>
      </c>
      <c r="D302" s="21" t="inlineStr">
        <is>
          <t>34 EGS 013</t>
        </is>
      </c>
      <c r="E302" s="21" t="inlineStr">
        <is>
          <t>UĞUR DUMAN</t>
        </is>
      </c>
      <c r="F302" s="23" t="n">
        <v>457951</v>
      </c>
      <c r="G302" s="138" t="n"/>
      <c r="H302" s="138" t="n">
        <v>404</v>
      </c>
      <c r="I302" s="138">
        <f>+I301+(G302-H302)</f>
        <v/>
      </c>
      <c r="J302" s="139" t="n">
        <v>39.05</v>
      </c>
      <c r="K302" s="140" t="n"/>
      <c r="L302" s="140">
        <f>+H302*J302</f>
        <v/>
      </c>
      <c r="M302" s="141">
        <f>SUM(M301+K302-L302)</f>
        <v/>
      </c>
    </row>
    <row r="303">
      <c r="A303" s="20" t="n">
        <v>45677</v>
      </c>
      <c r="B303" s="21" t="n">
        <v>11417</v>
      </c>
      <c r="C303" s="22" t="inlineStr">
        <is>
          <t>METİN ERYİĞİT</t>
        </is>
      </c>
      <c r="D303" s="21" t="inlineStr">
        <is>
          <t>34 EGR 814</t>
        </is>
      </c>
      <c r="E303" s="21" t="inlineStr">
        <is>
          <t>FARUK ÖZEN</t>
        </is>
      </c>
      <c r="F303" s="23" t="n">
        <v>509587</v>
      </c>
      <c r="G303" s="138" t="n"/>
      <c r="H303" s="138" t="n">
        <v>438</v>
      </c>
      <c r="I303" s="138">
        <f>+I302+(G303-H303)</f>
        <v/>
      </c>
      <c r="J303" s="139" t="n">
        <v>39.05</v>
      </c>
      <c r="K303" s="140" t="n"/>
      <c r="L303" s="140">
        <f>+H303*J303</f>
        <v/>
      </c>
      <c r="M303" s="141">
        <f>SUM(M302+K303-L303)</f>
        <v/>
      </c>
    </row>
    <row r="304">
      <c r="A304" s="20" t="n">
        <v>45677</v>
      </c>
      <c r="B304" s="21" t="n">
        <v>11453</v>
      </c>
      <c r="C304" s="22" t="inlineStr">
        <is>
          <t>METİN ŞİRİN</t>
        </is>
      </c>
      <c r="D304" s="21" t="inlineStr">
        <is>
          <t>34 EGR 922</t>
        </is>
      </c>
      <c r="E304" s="21" t="inlineStr">
        <is>
          <t>GÜRAY KOYUNCU</t>
        </is>
      </c>
      <c r="F304" s="23" t="n">
        <v>429005</v>
      </c>
      <c r="G304" s="138" t="n"/>
      <c r="H304" s="138" t="n">
        <v>351</v>
      </c>
      <c r="I304" s="138">
        <f>+I303+(G304-H304)</f>
        <v/>
      </c>
      <c r="J304" s="139" t="n">
        <v>39.05</v>
      </c>
      <c r="K304" s="140" t="n"/>
      <c r="L304" s="140">
        <f>+H304*J304</f>
        <v/>
      </c>
      <c r="M304" s="141">
        <f>SUM(M303+K304-L304)</f>
        <v/>
      </c>
    </row>
    <row r="305">
      <c r="A305" s="20" t="n">
        <v>45677</v>
      </c>
      <c r="B305" s="21" t="n">
        <v>11711</v>
      </c>
      <c r="C305" s="22" t="inlineStr">
        <is>
          <t>SELİM İNŞAAT</t>
        </is>
      </c>
      <c r="D305" s="21" t="inlineStr">
        <is>
          <t>34 EDB 559</t>
        </is>
      </c>
      <c r="E305" s="21" t="inlineStr">
        <is>
          <t>CEM MUHTAR</t>
        </is>
      </c>
      <c r="F305" s="23" t="n">
        <v>300419</v>
      </c>
      <c r="G305" s="138" t="n"/>
      <c r="H305" s="138" t="n">
        <v>230</v>
      </c>
      <c r="I305" s="138">
        <f>+I304+(G305-H305)</f>
        <v/>
      </c>
      <c r="J305" s="139" t="n">
        <v>39.05</v>
      </c>
      <c r="K305" s="140" t="n"/>
      <c r="L305" s="140">
        <f>+H305*J305</f>
        <v/>
      </c>
      <c r="M305" s="141">
        <f>SUM(M304+K305-L305)</f>
        <v/>
      </c>
    </row>
    <row r="306">
      <c r="A306" s="20" t="n">
        <v>45677</v>
      </c>
      <c r="B306" s="21" t="n">
        <v>11152</v>
      </c>
      <c r="C306" s="22" t="inlineStr">
        <is>
          <t>SELİM İNŞAAT</t>
        </is>
      </c>
      <c r="D306" s="21" t="inlineStr">
        <is>
          <t>34 HZ 1663</t>
        </is>
      </c>
      <c r="E306" s="21" t="inlineStr">
        <is>
          <t>ÖNER DÜNDAR</t>
        </is>
      </c>
      <c r="F306" s="23" t="n">
        <v>517257</v>
      </c>
      <c r="G306" s="138" t="n"/>
      <c r="H306" s="138" t="n">
        <v>538</v>
      </c>
      <c r="I306" s="138">
        <f>+I305+(G306-H306)</f>
        <v/>
      </c>
      <c r="J306" s="139" t="n">
        <v>39.05</v>
      </c>
      <c r="K306" s="140" t="n"/>
      <c r="L306" s="140">
        <f>+H306*J306</f>
        <v/>
      </c>
      <c r="M306" s="141">
        <f>SUM(M305+K306-L306)</f>
        <v/>
      </c>
    </row>
    <row r="307">
      <c r="A307" s="20" t="n">
        <v>45677</v>
      </c>
      <c r="B307" s="21" t="n">
        <v>21185</v>
      </c>
      <c r="C307" s="22" t="inlineStr">
        <is>
          <t>SELİM İNŞAAT</t>
        </is>
      </c>
      <c r="D307" s="21" t="inlineStr">
        <is>
          <t>34 DSN 565</t>
        </is>
      </c>
      <c r="E307" s="21" t="inlineStr">
        <is>
          <t>MUHAMMER ÇAMLI</t>
        </is>
      </c>
      <c r="F307" s="23" t="n">
        <v>383711</v>
      </c>
      <c r="G307" s="138" t="n"/>
      <c r="H307" s="138" t="n">
        <v>236</v>
      </c>
      <c r="I307" s="138">
        <f>+I306+(G307-H307)</f>
        <v/>
      </c>
      <c r="J307" s="139" t="n">
        <v>39.05</v>
      </c>
      <c r="K307" s="140" t="n"/>
      <c r="L307" s="140">
        <f>+H307*J307</f>
        <v/>
      </c>
      <c r="M307" s="141">
        <f>SUM(M306+K307-L307)</f>
        <v/>
      </c>
    </row>
    <row r="308">
      <c r="A308" s="20" t="n">
        <v>45677</v>
      </c>
      <c r="B308" s="21" t="n">
        <v>21471</v>
      </c>
      <c r="C308" s="22" t="inlineStr">
        <is>
          <t>SELİM İNŞAAT</t>
        </is>
      </c>
      <c r="D308" s="21" t="inlineStr">
        <is>
          <t>34 GYZ 635</t>
        </is>
      </c>
      <c r="E308" s="21" t="inlineStr">
        <is>
          <t>ENGİN DEMİR</t>
        </is>
      </c>
      <c r="F308" s="23" t="n">
        <v>144521</v>
      </c>
      <c r="G308" s="138" t="n"/>
      <c r="H308" s="138" t="n">
        <v>385</v>
      </c>
      <c r="I308" s="138">
        <f>+I307+(G308-H308)</f>
        <v/>
      </c>
      <c r="J308" s="139" t="n">
        <v>39.05</v>
      </c>
      <c r="K308" s="140" t="n"/>
      <c r="L308" s="140">
        <f>+H308*J308</f>
        <v/>
      </c>
      <c r="M308" s="141">
        <f>SUM(M307+K308-L308)</f>
        <v/>
      </c>
    </row>
    <row r="309">
      <c r="A309" s="20" t="n">
        <v>45677</v>
      </c>
      <c r="B309" s="21" t="n">
        <v>11619</v>
      </c>
      <c r="C309" s="22" t="inlineStr">
        <is>
          <t>SELİM İNŞAAT</t>
        </is>
      </c>
      <c r="D309" s="21" t="inlineStr">
        <is>
          <t>34 DTV 352</t>
        </is>
      </c>
      <c r="E309" s="21" t="inlineStr">
        <is>
          <t xml:space="preserve">RASİM BARTU </t>
        </is>
      </c>
      <c r="F309" s="23" t="n">
        <v>406873</v>
      </c>
      <c r="G309" s="138" t="n"/>
      <c r="H309" s="138" t="n">
        <v>452</v>
      </c>
      <c r="I309" s="138">
        <f>+I308+(G309-H309)</f>
        <v/>
      </c>
      <c r="J309" s="139" t="n">
        <v>39.05</v>
      </c>
      <c r="K309" s="140" t="n"/>
      <c r="L309" s="140">
        <f>+H309*J309</f>
        <v/>
      </c>
      <c r="M309" s="141">
        <f>SUM(M308+K309-L309)</f>
        <v/>
      </c>
    </row>
    <row r="310">
      <c r="A310" s="20" t="n">
        <v>45677</v>
      </c>
      <c r="B310" s="21" t="n">
        <v>11266</v>
      </c>
      <c r="C310" s="22" t="inlineStr">
        <is>
          <t>SELİM İNŞAAT</t>
        </is>
      </c>
      <c r="D310" s="21" t="inlineStr">
        <is>
          <t>34 EDC 162</t>
        </is>
      </c>
      <c r="E310" s="21" t="inlineStr">
        <is>
          <t xml:space="preserve">YAKUP GÜNER </t>
        </is>
      </c>
      <c r="F310" s="23" t="n">
        <v>337054</v>
      </c>
      <c r="G310" s="138" t="n"/>
      <c r="H310" s="138" t="n">
        <v>294</v>
      </c>
      <c r="I310" s="138">
        <f>+I309+(G310-H310)</f>
        <v/>
      </c>
      <c r="J310" s="139" t="n">
        <v>39.05</v>
      </c>
      <c r="K310" s="140" t="n"/>
      <c r="L310" s="140">
        <f>+H310*J310</f>
        <v/>
      </c>
      <c r="M310" s="141">
        <f>SUM(M309+K310-L310)</f>
        <v/>
      </c>
    </row>
    <row r="311">
      <c r="A311" s="20" t="n">
        <v>45677</v>
      </c>
      <c r="B311" s="21" t="n">
        <v>10270</v>
      </c>
      <c r="C311" s="22" t="inlineStr">
        <is>
          <t>SELİM İNŞAAT</t>
        </is>
      </c>
      <c r="D311" s="21" t="inlineStr">
        <is>
          <t>34 FBR 748</t>
        </is>
      </c>
      <c r="E311" s="21" t="inlineStr">
        <is>
          <t>YAŞAR ÖZKAYA</t>
        </is>
      </c>
      <c r="F311" s="23" t="n">
        <v>255820</v>
      </c>
      <c r="G311" s="138" t="n"/>
      <c r="H311" s="138" t="n">
        <v>444</v>
      </c>
      <c r="I311" s="138">
        <f>+I310+(G311-H311)</f>
        <v/>
      </c>
      <c r="J311" s="139" t="n">
        <v>39.05</v>
      </c>
      <c r="K311" s="140" t="n"/>
      <c r="L311" s="140">
        <f>+H311*J311</f>
        <v/>
      </c>
      <c r="M311" s="141">
        <f>SUM(M310+K311-L311)</f>
        <v/>
      </c>
    </row>
    <row r="312">
      <c r="A312" s="20" t="n">
        <v>45677</v>
      </c>
      <c r="B312" s="21" t="n">
        <v>20991</v>
      </c>
      <c r="C312" s="22" t="inlineStr">
        <is>
          <t>SELİM İNŞAAT</t>
        </is>
      </c>
      <c r="D312" s="21" t="inlineStr">
        <is>
          <t>34 GUS 938</t>
        </is>
      </c>
      <c r="E312" s="21" t="inlineStr">
        <is>
          <t>MEHMET KAYA</t>
        </is>
      </c>
      <c r="F312" s="23" t="n">
        <v>155325</v>
      </c>
      <c r="G312" s="138" t="n"/>
      <c r="H312" s="138" t="n">
        <v>327</v>
      </c>
      <c r="I312" s="138">
        <f>+I311+(G312-H312)</f>
        <v/>
      </c>
      <c r="J312" s="139" t="n">
        <v>39.05</v>
      </c>
      <c r="K312" s="140" t="n"/>
      <c r="L312" s="140">
        <f>+H312*J312</f>
        <v/>
      </c>
      <c r="M312" s="141">
        <f>SUM(M311+K312-L312)</f>
        <v/>
      </c>
    </row>
    <row r="313">
      <c r="A313" s="20" t="n">
        <v>45677</v>
      </c>
      <c r="B313" s="21" t="n">
        <v>10308</v>
      </c>
      <c r="C313" s="22" t="inlineStr">
        <is>
          <t>SELİM İNŞAAT</t>
        </is>
      </c>
      <c r="D313" s="21" t="inlineStr">
        <is>
          <t>34 EDB 829</t>
        </is>
      </c>
      <c r="E313" s="21" t="inlineStr">
        <is>
          <t>İSMET BAYRAM</t>
        </is>
      </c>
      <c r="F313" s="23" t="n">
        <v>289038</v>
      </c>
      <c r="G313" s="138" t="n"/>
      <c r="H313" s="138" t="n">
        <v>420</v>
      </c>
      <c r="I313" s="138">
        <f>+I312+(G313-H313)</f>
        <v/>
      </c>
      <c r="J313" s="139" t="n">
        <v>39.05</v>
      </c>
      <c r="K313" s="140" t="n"/>
      <c r="L313" s="140">
        <f>+H313*J313</f>
        <v/>
      </c>
      <c r="M313" s="141">
        <f>SUM(M312+K313-L313)</f>
        <v/>
      </c>
    </row>
    <row r="314">
      <c r="A314" s="20" t="n">
        <v>45677</v>
      </c>
      <c r="B314" s="21" t="n">
        <v>21278</v>
      </c>
      <c r="C314" s="22" t="inlineStr">
        <is>
          <t>SELİM İNŞAAT</t>
        </is>
      </c>
      <c r="D314" s="21" t="inlineStr">
        <is>
          <t>34 DTV 447</t>
        </is>
      </c>
      <c r="E314" s="21" t="inlineStr">
        <is>
          <t>EBUBEKİR KOLDAŞ</t>
        </is>
      </c>
      <c r="F314" s="23" t="n">
        <v>410100</v>
      </c>
      <c r="G314" s="138" t="n"/>
      <c r="H314" s="138" t="n">
        <v>379</v>
      </c>
      <c r="I314" s="138">
        <f>+I313+(G314-H314)</f>
        <v/>
      </c>
      <c r="J314" s="139" t="n">
        <v>39.05</v>
      </c>
      <c r="K314" s="140" t="n"/>
      <c r="L314" s="140">
        <f>+H314*J314</f>
        <v/>
      </c>
      <c r="M314" s="141">
        <f>SUM(M313+K314-L314)</f>
        <v/>
      </c>
    </row>
    <row r="315">
      <c r="A315" s="20" t="n">
        <v>45677</v>
      </c>
      <c r="B315" s="21" t="n">
        <v>21444</v>
      </c>
      <c r="C315" s="22" t="inlineStr">
        <is>
          <t>SELİM İNŞAAT</t>
        </is>
      </c>
      <c r="D315" s="21" t="inlineStr">
        <is>
          <t>34 GUS 848</t>
        </is>
      </c>
      <c r="E315" s="21" t="inlineStr">
        <is>
          <t>SERDAR BOZKURT</t>
        </is>
      </c>
      <c r="F315" s="23" t="n">
        <v>159930</v>
      </c>
      <c r="G315" s="138" t="n"/>
      <c r="H315" s="138" t="n">
        <v>443</v>
      </c>
      <c r="I315" s="138">
        <f>+I314+(G315-H315)</f>
        <v/>
      </c>
      <c r="J315" s="139" t="n">
        <v>39.05</v>
      </c>
      <c r="K315" s="140" t="n"/>
      <c r="L315" s="140">
        <f>+H315*J315</f>
        <v/>
      </c>
      <c r="M315" s="141">
        <f>SUM(M314+K315-L315)</f>
        <v/>
      </c>
    </row>
    <row r="316">
      <c r="A316" s="20" t="n">
        <v>45677</v>
      </c>
      <c r="B316" s="21" t="n">
        <v>10418</v>
      </c>
      <c r="C316" s="22" t="inlineStr">
        <is>
          <t>SELİM İNŞAAT</t>
        </is>
      </c>
      <c r="D316" s="21" t="inlineStr">
        <is>
          <t>34 FBR 781</t>
        </is>
      </c>
      <c r="E316" s="21" t="inlineStr">
        <is>
          <t>MEVLÜT POLAT</t>
        </is>
      </c>
      <c r="F316" s="23" t="n">
        <v>272906</v>
      </c>
      <c r="G316" s="138" t="n"/>
      <c r="H316" s="138" t="n">
        <v>351</v>
      </c>
      <c r="I316" s="138">
        <f>+I315+(G316-H316)</f>
        <v/>
      </c>
      <c r="J316" s="139" t="n">
        <v>39.05</v>
      </c>
      <c r="K316" s="140" t="n"/>
      <c r="L316" s="140">
        <f>+H316*J316</f>
        <v/>
      </c>
      <c r="M316" s="141">
        <f>SUM(M315+K316-L316)</f>
        <v/>
      </c>
    </row>
    <row r="317">
      <c r="A317" s="20" t="n">
        <v>45677</v>
      </c>
      <c r="B317" s="21" t="n">
        <v>11119</v>
      </c>
      <c r="C317" s="22" t="inlineStr">
        <is>
          <t>SELİM İNŞAAT</t>
        </is>
      </c>
      <c r="D317" s="21" t="inlineStr">
        <is>
          <t>34 DTV 409</t>
        </is>
      </c>
      <c r="E317" s="21" t="inlineStr">
        <is>
          <t xml:space="preserve">ONUR CANLI </t>
        </is>
      </c>
      <c r="F317" s="23" t="n">
        <v>393475</v>
      </c>
      <c r="G317" s="138" t="n"/>
      <c r="H317" s="138" t="n">
        <v>221</v>
      </c>
      <c r="I317" s="138">
        <f>+I316+(G317-H317)</f>
        <v/>
      </c>
      <c r="J317" s="139" t="n">
        <v>39.05</v>
      </c>
      <c r="K317" s="140" t="n"/>
      <c r="L317" s="140">
        <f>+H317*J317</f>
        <v/>
      </c>
      <c r="M317" s="141">
        <f>SUM(M316+K317-L317)</f>
        <v/>
      </c>
    </row>
    <row r="318">
      <c r="A318" s="20" t="n">
        <v>45677</v>
      </c>
      <c r="B318" s="21" t="n">
        <v>21990</v>
      </c>
      <c r="C318" s="22" t="inlineStr">
        <is>
          <t>SELİM İNŞAAT</t>
        </is>
      </c>
      <c r="D318" s="21" t="inlineStr">
        <is>
          <t>34 EGR 737</t>
        </is>
      </c>
      <c r="E318" s="21" t="inlineStr">
        <is>
          <t>İBRAHİM GÜNASLAN</t>
        </is>
      </c>
      <c r="F318" s="23" t="n">
        <v>388241</v>
      </c>
      <c r="G318" s="138" t="n"/>
      <c r="H318" s="138" t="n">
        <v>278</v>
      </c>
      <c r="I318" s="138">
        <f>+I317+(G318-H318)</f>
        <v/>
      </c>
      <c r="J318" s="139" t="n">
        <v>39.05</v>
      </c>
      <c r="K318" s="140" t="n"/>
      <c r="L318" s="140">
        <f>+H318*J318</f>
        <v/>
      </c>
      <c r="M318" s="141">
        <f>SUM(M317+K318-L318)</f>
        <v/>
      </c>
    </row>
    <row r="319">
      <c r="A319" s="20" t="n">
        <v>45677</v>
      </c>
      <c r="B319" s="21" t="n">
        <v>9915</v>
      </c>
      <c r="C319" s="22" t="inlineStr">
        <is>
          <t>-</t>
        </is>
      </c>
      <c r="D319" s="1" t="inlineStr">
        <is>
          <t>34 AZ 2191 VİNÇ</t>
        </is>
      </c>
      <c r="E319" s="21" t="inlineStr">
        <is>
          <t>NUMAN KABİL</t>
        </is>
      </c>
      <c r="F319" s="23" t="n"/>
      <c r="G319" s="138" t="n"/>
      <c r="H319" s="138" t="n">
        <v>156</v>
      </c>
      <c r="I319" s="138">
        <f>+I318+(G319-H319)</f>
        <v/>
      </c>
      <c r="J319" s="139" t="n">
        <v>39.05</v>
      </c>
      <c r="K319" s="140" t="n"/>
      <c r="L319" s="140">
        <f>+H319*J319</f>
        <v/>
      </c>
      <c r="M319" s="141">
        <f>SUM(M318+K319-L319)</f>
        <v/>
      </c>
    </row>
    <row r="320">
      <c r="A320" s="20" t="n">
        <v>45677</v>
      </c>
      <c r="B320" s="21" t="n">
        <v>10121</v>
      </c>
      <c r="C320" s="22" t="inlineStr">
        <is>
          <t>SELİM İNŞAAT</t>
        </is>
      </c>
      <c r="D320" s="21" t="inlineStr">
        <is>
          <t>34 DP 4161</t>
        </is>
      </c>
      <c r="E320" s="21" t="inlineStr">
        <is>
          <t>RIFAT KARATAY</t>
        </is>
      </c>
      <c r="F320" s="23" t="n">
        <v>279148</v>
      </c>
      <c r="G320" s="138" t="n"/>
      <c r="H320" s="138" t="n">
        <v>150</v>
      </c>
      <c r="I320" s="138">
        <f>+I319+(G320-H320)</f>
        <v/>
      </c>
      <c r="J320" s="139" t="n">
        <v>39.05</v>
      </c>
      <c r="K320" s="140" t="n"/>
      <c r="L320" s="140">
        <f>+H320*J320</f>
        <v/>
      </c>
      <c r="M320" s="141">
        <f>SUM(M319+K320-L320)</f>
        <v/>
      </c>
    </row>
    <row r="321">
      <c r="A321" s="20" t="n">
        <v>45677</v>
      </c>
      <c r="B321" s="21" t="n">
        <v>20290</v>
      </c>
      <c r="C321" s="22" t="inlineStr">
        <is>
          <t>SELİM İNŞAAT</t>
        </is>
      </c>
      <c r="D321" s="21" t="inlineStr">
        <is>
          <t>34 DKL 866</t>
        </is>
      </c>
      <c r="E321" s="21" t="inlineStr">
        <is>
          <t>ŞERİF CAN ÖNVER</t>
        </is>
      </c>
      <c r="F321" s="23" t="n">
        <v>60234</v>
      </c>
      <c r="G321" s="138" t="n"/>
      <c r="H321" s="138" t="n">
        <v>204</v>
      </c>
      <c r="I321" s="138">
        <f>+I320+(G321-H321)</f>
        <v/>
      </c>
      <c r="J321" s="139" t="n">
        <v>39.05</v>
      </c>
      <c r="K321" s="140" t="n"/>
      <c r="L321" s="140">
        <f>+H321*J321</f>
        <v/>
      </c>
      <c r="M321" s="141">
        <f>SUM(M320+K321-L321)</f>
        <v/>
      </c>
    </row>
    <row r="322">
      <c r="A322" s="20" t="n">
        <v>45677</v>
      </c>
      <c r="B322" s="21" t="n">
        <v>11880</v>
      </c>
      <c r="C322" s="22" t="inlineStr">
        <is>
          <t>SELİM İNŞAAT</t>
        </is>
      </c>
      <c r="D322" s="21" t="inlineStr">
        <is>
          <t>34 DFE 454</t>
        </is>
      </c>
      <c r="E322" s="21" t="inlineStr">
        <is>
          <t>HASAN BAYCAN</t>
        </is>
      </c>
      <c r="F322" s="23" t="n">
        <v>153888</v>
      </c>
      <c r="G322" s="138" t="n"/>
      <c r="H322" s="138" t="n">
        <v>95</v>
      </c>
      <c r="I322" s="138">
        <f>+I321+(G322-H322)</f>
        <v/>
      </c>
      <c r="J322" s="139" t="n">
        <v>39.05</v>
      </c>
      <c r="K322" s="140" t="n"/>
      <c r="L322" s="140">
        <f>+H322*J322</f>
        <v/>
      </c>
      <c r="M322" s="141">
        <f>SUM(M321+K322-L322)</f>
        <v/>
      </c>
    </row>
    <row r="323">
      <c r="A323" s="20" t="n">
        <v>45677</v>
      </c>
      <c r="B323" s="21" t="n">
        <v>11003</v>
      </c>
      <c r="C323" s="22" t="inlineStr">
        <is>
          <t>SELİM İNŞAAT</t>
        </is>
      </c>
      <c r="D323" s="21" t="inlineStr">
        <is>
          <t>34 FCR 210</t>
        </is>
      </c>
      <c r="E323" s="21" t="inlineStr">
        <is>
          <t>GÖRKEM KARABEL</t>
        </is>
      </c>
      <c r="F323" s="23" t="n">
        <v>112257</v>
      </c>
      <c r="G323" s="138" t="n"/>
      <c r="H323" s="138" t="n">
        <v>190</v>
      </c>
      <c r="I323" s="138">
        <f>+I322+(G323-H323)</f>
        <v/>
      </c>
      <c r="J323" s="139" t="n">
        <v>39.05</v>
      </c>
      <c r="K323" s="140" t="n"/>
      <c r="L323" s="140">
        <f>+H323*J323</f>
        <v/>
      </c>
      <c r="M323" s="141">
        <f>SUM(M322+K323-L323)</f>
        <v/>
      </c>
    </row>
    <row r="324">
      <c r="A324" s="20" t="n">
        <v>45677</v>
      </c>
      <c r="B324" s="21" t="n">
        <v>10553</v>
      </c>
      <c r="C324" s="22" t="inlineStr">
        <is>
          <t>SELİM İNŞAAT</t>
        </is>
      </c>
      <c r="D324" s="21" t="inlineStr">
        <is>
          <t>34 GU 945</t>
        </is>
      </c>
      <c r="E324" s="21" t="inlineStr">
        <is>
          <t>ŞERİF KARTAL</t>
        </is>
      </c>
      <c r="F324" s="23" t="n">
        <v>436903</v>
      </c>
      <c r="G324" s="138" t="n"/>
      <c r="H324" s="138" t="n">
        <v>60</v>
      </c>
      <c r="I324" s="138">
        <f>+I323+(G324-H324)</f>
        <v/>
      </c>
      <c r="J324" s="139" t="n">
        <v>39.05</v>
      </c>
      <c r="K324" s="140" t="n"/>
      <c r="L324" s="140">
        <f>+H324*J324</f>
        <v/>
      </c>
      <c r="M324" s="141">
        <f>SUM(M323+K324-L324)</f>
        <v/>
      </c>
    </row>
    <row r="325">
      <c r="A325" s="20" t="n">
        <v>45677</v>
      </c>
      <c r="B325" s="21" t="n">
        <v>20524</v>
      </c>
      <c r="C325" s="22" t="inlineStr">
        <is>
          <t>SELİM İNŞAAT</t>
        </is>
      </c>
      <c r="D325" s="21" t="inlineStr">
        <is>
          <t>34 VF 2620</t>
        </is>
      </c>
      <c r="E325" s="21" t="inlineStr">
        <is>
          <t>RECEP SELİM</t>
        </is>
      </c>
      <c r="F325" s="23" t="n">
        <v>179497</v>
      </c>
      <c r="G325" s="138" t="n"/>
      <c r="H325" s="138" t="n">
        <v>72</v>
      </c>
      <c r="I325" s="138">
        <f>+I324+(G325-H325)</f>
        <v/>
      </c>
      <c r="J325" s="139" t="n">
        <v>39.05</v>
      </c>
      <c r="K325" s="140" t="n"/>
      <c r="L325" s="140">
        <f>+H325*J325</f>
        <v/>
      </c>
      <c r="M325" s="141">
        <f>SUM(M324+K325-L325)</f>
        <v/>
      </c>
    </row>
    <row r="326">
      <c r="A326" s="20" t="n">
        <v>45677</v>
      </c>
      <c r="B326" s="1" t="n">
        <v>10834</v>
      </c>
      <c r="C326" s="2" t="inlineStr">
        <is>
          <t>HASALTUN</t>
        </is>
      </c>
      <c r="D326" s="1" t="inlineStr">
        <is>
          <t>SM 350</t>
        </is>
      </c>
      <c r="E326" s="1" t="inlineStr">
        <is>
          <t>TEVFİK ÖZTÜRK</t>
        </is>
      </c>
      <c r="F326" s="3" t="n"/>
      <c r="G326" s="143" t="n"/>
      <c r="H326" s="143" t="n">
        <v>301</v>
      </c>
      <c r="I326" s="143">
        <f>+I325+(G326-H326)</f>
        <v/>
      </c>
      <c r="J326" s="144" t="n">
        <v>39.05</v>
      </c>
      <c r="K326" s="145" t="n"/>
      <c r="L326" s="140">
        <f>+H326*J326</f>
        <v/>
      </c>
      <c r="M326" s="141">
        <f>SUM(M325+K326-L326)</f>
        <v/>
      </c>
    </row>
    <row r="327">
      <c r="A327" s="20" t="n">
        <v>45677</v>
      </c>
      <c r="B327" s="21" t="n">
        <v>10835</v>
      </c>
      <c r="C327" s="22" t="inlineStr">
        <is>
          <t>YUNUS GÜLLÜK</t>
        </is>
      </c>
      <c r="D327" s="21" t="inlineStr">
        <is>
          <t>KİRALIK HİTACHİ</t>
        </is>
      </c>
      <c r="E327" s="21" t="n"/>
      <c r="F327" s="23" t="n"/>
      <c r="G327" s="138" t="n"/>
      <c r="H327" s="138" t="n">
        <v>158</v>
      </c>
      <c r="I327" s="138">
        <f>+I326+(G327-H327)</f>
        <v/>
      </c>
      <c r="J327" s="139" t="n">
        <v>39.05</v>
      </c>
      <c r="K327" s="140" t="n"/>
      <c r="L327" s="140">
        <f>+H327*J327</f>
        <v/>
      </c>
      <c r="M327" s="141">
        <f>SUM(M326+K327-L327)</f>
        <v/>
      </c>
    </row>
    <row r="328">
      <c r="A328" s="20" t="n">
        <v>45677</v>
      </c>
      <c r="B328" s="21" t="n">
        <v>10836</v>
      </c>
      <c r="C328" s="22" t="inlineStr">
        <is>
          <t>EVKUR</t>
        </is>
      </c>
      <c r="D328" s="21" t="n"/>
      <c r="E328" s="21" t="inlineStr">
        <is>
          <t>FAHRİ KALFA</t>
        </is>
      </c>
      <c r="F328" s="23" t="n"/>
      <c r="G328" s="138" t="n"/>
      <c r="H328" s="138" t="n">
        <v>152</v>
      </c>
      <c r="I328" s="138">
        <f>+I327+(G328-H328)</f>
        <v/>
      </c>
      <c r="J328" s="139" t="n">
        <v>39.05</v>
      </c>
      <c r="K328" s="140" t="n"/>
      <c r="L328" s="140">
        <f>+H328*J328</f>
        <v/>
      </c>
      <c r="M328" s="141">
        <f>SUM(M327+K328-L328)</f>
        <v/>
      </c>
    </row>
    <row r="329">
      <c r="A329" s="20" t="n">
        <v>45678</v>
      </c>
      <c r="B329" s="21" t="n">
        <v>77</v>
      </c>
      <c r="C329" s="22" t="inlineStr">
        <is>
          <t>ÜNSOY TURİZM İNŞ.SAN.VE TİC.A.Ş.</t>
        </is>
      </c>
      <c r="D329" s="21" t="n"/>
      <c r="E329" s="21" t="n"/>
      <c r="F329" s="23" t="n"/>
      <c r="G329" s="138" t="n">
        <v>32122</v>
      </c>
      <c r="H329" s="138" t="n"/>
      <c r="I329" s="138">
        <f>+I328+(G329-H329)</f>
        <v/>
      </c>
      <c r="J329" s="139">
        <f>+K329/32122</f>
        <v/>
      </c>
      <c r="K329" s="140" t="n">
        <v>1322783.96</v>
      </c>
      <c r="L329" s="140">
        <f>+H329*J329</f>
        <v/>
      </c>
      <c r="M329" s="141">
        <f>SUM(M328+K329-L329)</f>
        <v/>
      </c>
    </row>
    <row r="330">
      <c r="A330" s="20" t="n">
        <v>45678</v>
      </c>
      <c r="B330" s="21" t="n">
        <v>11307</v>
      </c>
      <c r="C330" s="22" t="inlineStr">
        <is>
          <t>AZGÜN YAPI</t>
        </is>
      </c>
      <c r="D330" s="21" t="inlineStr">
        <is>
          <t>34 MKT 859</t>
        </is>
      </c>
      <c r="E330" s="21" t="inlineStr">
        <is>
          <t>YAHYA</t>
        </is>
      </c>
      <c r="F330" s="23" t="n">
        <v>4663</v>
      </c>
      <c r="G330" s="138" t="n"/>
      <c r="H330" s="138" t="n">
        <v>200</v>
      </c>
      <c r="I330" s="138">
        <f>+I329+(G330-H330)</f>
        <v/>
      </c>
      <c r="J330" s="139" t="n">
        <v>41.18</v>
      </c>
      <c r="K330" s="140" t="n"/>
      <c r="L330" s="140">
        <f>+H330*J330</f>
        <v/>
      </c>
      <c r="M330" s="141">
        <f>SUM(M329+K330-L330)</f>
        <v/>
      </c>
    </row>
    <row r="331">
      <c r="A331" s="20" t="n">
        <v>45678</v>
      </c>
      <c r="B331" s="21" t="n">
        <v>11686</v>
      </c>
      <c r="C331" s="22" t="inlineStr">
        <is>
          <t>METİN ERYİĞİT</t>
        </is>
      </c>
      <c r="D331" s="21" t="inlineStr">
        <is>
          <t>34 GBL 998</t>
        </is>
      </c>
      <c r="E331" s="21" t="inlineStr">
        <is>
          <t>ALİ KESKİN</t>
        </is>
      </c>
      <c r="F331" s="23" t="n">
        <v>235001</v>
      </c>
      <c r="G331" s="138" t="n"/>
      <c r="H331" s="138" t="n">
        <v>200</v>
      </c>
      <c r="I331" s="138">
        <f>+I330+(G331-H331)</f>
        <v/>
      </c>
      <c r="J331" s="139" t="n">
        <v>41.18</v>
      </c>
      <c r="K331" s="140" t="n"/>
      <c r="L331" s="140">
        <f>+H331*J331</f>
        <v/>
      </c>
      <c r="M331" s="141">
        <f>SUM(M330+K331-L331)</f>
        <v/>
      </c>
    </row>
    <row r="332">
      <c r="A332" s="20" t="n">
        <v>45678</v>
      </c>
      <c r="B332" s="21" t="n">
        <v>11901</v>
      </c>
      <c r="C332" s="22" t="inlineStr">
        <is>
          <t>SELİM İNŞAAT</t>
        </is>
      </c>
      <c r="D332" s="21" t="inlineStr">
        <is>
          <t>34 FBR 742</t>
        </is>
      </c>
      <c r="E332" s="21" t="inlineStr">
        <is>
          <t>MİKAİL BAYILMAZ</t>
        </is>
      </c>
      <c r="F332" s="23" t="n">
        <v>289835</v>
      </c>
      <c r="G332" s="138" t="n"/>
      <c r="H332" s="138" t="n">
        <v>200</v>
      </c>
      <c r="I332" s="138">
        <f>+I331+(G332-H332)</f>
        <v/>
      </c>
      <c r="J332" s="139" t="n">
        <v>41.18</v>
      </c>
      <c r="K332" s="140" t="n"/>
      <c r="L332" s="140">
        <f>+H332*J332</f>
        <v/>
      </c>
      <c r="M332" s="141">
        <f>SUM(M331+K332-L332)</f>
        <v/>
      </c>
    </row>
    <row r="333">
      <c r="A333" s="20" t="n">
        <v>45678</v>
      </c>
      <c r="B333" s="21" t="n">
        <v>11801</v>
      </c>
      <c r="C333" s="22" t="inlineStr">
        <is>
          <t>SELİM İNŞAAT</t>
        </is>
      </c>
      <c r="D333" s="21" t="inlineStr">
        <is>
          <t>34 FSG 229</t>
        </is>
      </c>
      <c r="E333" s="21" t="inlineStr">
        <is>
          <t>SİNAN TANRIVERDİ</t>
        </is>
      </c>
      <c r="F333" s="23" t="n">
        <v>229102</v>
      </c>
      <c r="G333" s="138" t="n"/>
      <c r="H333" s="138" t="n">
        <v>200</v>
      </c>
      <c r="I333" s="138">
        <f>+I332+(G333-H333)</f>
        <v/>
      </c>
      <c r="J333" s="139" t="n">
        <v>41.18</v>
      </c>
      <c r="K333" s="140" t="n"/>
      <c r="L333" s="140">
        <f>+H333*J333</f>
        <v/>
      </c>
      <c r="M333" s="141">
        <f>SUM(M332+K333-L333)</f>
        <v/>
      </c>
    </row>
    <row r="334">
      <c r="A334" s="20" t="n">
        <v>45678</v>
      </c>
      <c r="B334" s="21" t="n">
        <v>10309</v>
      </c>
      <c r="C334" s="22" t="inlineStr">
        <is>
          <t>SELİM İNŞAAT</t>
        </is>
      </c>
      <c r="D334" s="21" t="inlineStr">
        <is>
          <t>34 EDB 829</t>
        </is>
      </c>
      <c r="E334" s="21" t="inlineStr">
        <is>
          <t>İSMET BAYRAM</t>
        </is>
      </c>
      <c r="F334" s="23" t="n">
        <v>289490</v>
      </c>
      <c r="G334" s="138" t="n"/>
      <c r="H334" s="138" t="n">
        <v>200</v>
      </c>
      <c r="I334" s="138">
        <f>+I333+(G334-H334)</f>
        <v/>
      </c>
      <c r="J334" s="139" t="n">
        <v>41.18</v>
      </c>
      <c r="K334" s="140" t="n"/>
      <c r="L334" s="140">
        <f>+H334*J334</f>
        <v/>
      </c>
      <c r="M334" s="141">
        <f>SUM(M333+K334-L334)</f>
        <v/>
      </c>
    </row>
    <row r="335">
      <c r="A335" s="20" t="n">
        <v>45678</v>
      </c>
      <c r="B335" s="21" t="n">
        <v>10759</v>
      </c>
      <c r="C335" s="22" t="inlineStr">
        <is>
          <t>SELİM İNŞAAT</t>
        </is>
      </c>
      <c r="D335" s="21" t="inlineStr">
        <is>
          <t>34 FBR 705</t>
        </is>
      </c>
      <c r="E335" s="21" t="inlineStr">
        <is>
          <t>MESUT GÜRLER</t>
        </is>
      </c>
      <c r="F335" s="23" t="n">
        <v>284468</v>
      </c>
      <c r="G335" s="138" t="n"/>
      <c r="H335" s="138" t="n">
        <v>200</v>
      </c>
      <c r="I335" s="138">
        <f>+I334+(G335-H335)</f>
        <v/>
      </c>
      <c r="J335" s="139" t="n">
        <v>41.18</v>
      </c>
      <c r="K335" s="140" t="n"/>
      <c r="L335" s="140">
        <f>+H335*J335</f>
        <v/>
      </c>
      <c r="M335" s="141">
        <f>SUM(M334+K335-L335)</f>
        <v/>
      </c>
    </row>
    <row r="336">
      <c r="A336" s="20" t="n">
        <v>45678</v>
      </c>
      <c r="B336" s="21" t="n">
        <v>10053</v>
      </c>
      <c r="C336" s="22" t="inlineStr">
        <is>
          <t>SELİM İNŞAAT</t>
        </is>
      </c>
      <c r="D336" s="21" t="inlineStr">
        <is>
          <t>34 FBR 771</t>
        </is>
      </c>
      <c r="E336" s="21" t="inlineStr">
        <is>
          <t>HÜSEYİN AKÇİN</t>
        </is>
      </c>
      <c r="F336" s="23" t="n">
        <v>289443</v>
      </c>
      <c r="G336" s="138" t="n"/>
      <c r="H336" s="138" t="n">
        <v>200</v>
      </c>
      <c r="I336" s="138">
        <f>+I335+(G336-H336)</f>
        <v/>
      </c>
      <c r="J336" s="139" t="n">
        <v>41.18</v>
      </c>
      <c r="K336" s="140" t="n"/>
      <c r="L336" s="140">
        <f>+H336*J336</f>
        <v/>
      </c>
      <c r="M336" s="141">
        <f>SUM(M335+K336-L336)</f>
        <v/>
      </c>
    </row>
    <row r="337">
      <c r="A337" s="20" t="n">
        <v>45678</v>
      </c>
      <c r="B337" s="21" t="n">
        <v>9783</v>
      </c>
      <c r="C337" s="22" t="inlineStr">
        <is>
          <t>SELİM İNŞAAT</t>
        </is>
      </c>
      <c r="D337" s="21" t="inlineStr">
        <is>
          <t>34 GUZ 268</t>
        </is>
      </c>
      <c r="E337" s="21" t="inlineStr">
        <is>
          <t>KERİM KARAMAN</t>
        </is>
      </c>
      <c r="F337" s="23" t="n">
        <v>162493</v>
      </c>
      <c r="G337" s="138" t="n"/>
      <c r="H337" s="138" t="n">
        <v>200</v>
      </c>
      <c r="I337" s="138">
        <f>+I336+(G337-H337)</f>
        <v/>
      </c>
      <c r="J337" s="139" t="n">
        <v>41.18</v>
      </c>
      <c r="K337" s="140" t="n"/>
      <c r="L337" s="140">
        <f>+H337*J337</f>
        <v/>
      </c>
      <c r="M337" s="141">
        <f>SUM(M336+K337-L337)</f>
        <v/>
      </c>
    </row>
    <row r="338">
      <c r="A338" s="20" t="n">
        <v>45678</v>
      </c>
      <c r="B338" s="21" t="n">
        <v>21093</v>
      </c>
      <c r="C338" s="22" t="inlineStr">
        <is>
          <t>SELİM İNŞAAT</t>
        </is>
      </c>
      <c r="D338" s="21" t="inlineStr">
        <is>
          <t>34 EDB 659</t>
        </is>
      </c>
      <c r="E338" s="21" t="inlineStr">
        <is>
          <t>MEHMET SAİT ANIK</t>
        </is>
      </c>
      <c r="F338" s="23" t="n">
        <v>310431</v>
      </c>
      <c r="G338" s="138" t="n"/>
      <c r="H338" s="138" t="n">
        <v>200</v>
      </c>
      <c r="I338" s="138">
        <f>+I337+(G338-H338)</f>
        <v/>
      </c>
      <c r="J338" s="139" t="n">
        <v>41.18</v>
      </c>
      <c r="K338" s="140" t="n"/>
      <c r="L338" s="140">
        <f>+H338*J338</f>
        <v/>
      </c>
      <c r="M338" s="141">
        <f>SUM(M337+K338-L338)</f>
        <v/>
      </c>
    </row>
    <row r="339">
      <c r="A339" s="20" t="n">
        <v>45678</v>
      </c>
      <c r="B339" s="21" t="n">
        <v>10352</v>
      </c>
      <c r="C339" s="22" t="inlineStr">
        <is>
          <t>SELİM İNŞAAT</t>
        </is>
      </c>
      <c r="D339" s="21" t="inlineStr">
        <is>
          <t>34 DRU 690</t>
        </is>
      </c>
      <c r="E339" s="21" t="inlineStr">
        <is>
          <t>İSMET BAYRAM</t>
        </is>
      </c>
      <c r="F339" s="23" t="n">
        <v>387775</v>
      </c>
      <c r="G339" s="138" t="n"/>
      <c r="H339" s="138" t="n">
        <v>200</v>
      </c>
      <c r="I339" s="138">
        <f>+I338+(G339-H339)</f>
        <v/>
      </c>
      <c r="J339" s="139" t="n">
        <v>41.18</v>
      </c>
      <c r="K339" s="140" t="n"/>
      <c r="L339" s="140">
        <f>+H339*J339</f>
        <v/>
      </c>
      <c r="M339" s="141">
        <f>SUM(M338+K339-L339)</f>
        <v/>
      </c>
    </row>
    <row r="340">
      <c r="A340" s="20" t="n">
        <v>45678</v>
      </c>
      <c r="B340" s="21" t="n">
        <v>9916</v>
      </c>
      <c r="C340" s="22" t="inlineStr">
        <is>
          <t>AHMET SELİM TEMHA</t>
        </is>
      </c>
      <c r="D340" s="21" t="inlineStr">
        <is>
          <t>34 DGE 422</t>
        </is>
      </c>
      <c r="E340" s="21" t="inlineStr">
        <is>
          <t>CEMAL</t>
        </is>
      </c>
      <c r="F340" s="23" t="n"/>
      <c r="G340" s="138" t="n"/>
      <c r="H340" s="138" t="n">
        <v>90</v>
      </c>
      <c r="I340" s="138">
        <f>+I339+(G340-H340)</f>
        <v/>
      </c>
      <c r="J340" s="139" t="n">
        <v>41.18</v>
      </c>
      <c r="K340" s="140" t="n"/>
      <c r="L340" s="140">
        <f>+H340*J340</f>
        <v/>
      </c>
      <c r="M340" s="141">
        <f>SUM(M339+K340-L340)</f>
        <v/>
      </c>
    </row>
    <row r="341">
      <c r="A341" s="20" t="n">
        <v>45678</v>
      </c>
      <c r="B341" s="21" t="n">
        <v>11982</v>
      </c>
      <c r="C341" s="22" t="inlineStr">
        <is>
          <t>SELİM İNŞAAT</t>
        </is>
      </c>
      <c r="D341" s="21" t="inlineStr">
        <is>
          <t>34 DKL 798</t>
        </is>
      </c>
      <c r="E341" s="21" t="inlineStr">
        <is>
          <t>VOLKAN YANAR</t>
        </is>
      </c>
      <c r="F341" s="23" t="n">
        <v>60442</v>
      </c>
      <c r="G341" s="138" t="n"/>
      <c r="H341" s="138" t="n">
        <v>120</v>
      </c>
      <c r="I341" s="138">
        <f>+I340+(G341-H341)</f>
        <v/>
      </c>
      <c r="J341" s="139" t="n">
        <v>41.18</v>
      </c>
      <c r="K341" s="140" t="n"/>
      <c r="L341" s="140">
        <f>+H341*J341</f>
        <v/>
      </c>
      <c r="M341" s="141">
        <f>SUM(M340+K341-L341)</f>
        <v/>
      </c>
    </row>
    <row r="342">
      <c r="A342" s="20" t="n">
        <v>45678</v>
      </c>
      <c r="B342" s="1" t="n">
        <v>10838</v>
      </c>
      <c r="C342" s="2" t="inlineStr">
        <is>
          <t>VARLIK</t>
        </is>
      </c>
      <c r="D342" s="1" t="inlineStr">
        <is>
          <t>SM 350</t>
        </is>
      </c>
      <c r="E342" s="1" t="inlineStr">
        <is>
          <t>BAYRAM SANCAK</t>
        </is>
      </c>
      <c r="F342" s="3" t="n"/>
      <c r="G342" s="143" t="n"/>
      <c r="H342" s="143" t="n">
        <v>302</v>
      </c>
      <c r="I342" s="143">
        <f>+I341+(G342-H342)</f>
        <v/>
      </c>
      <c r="J342" s="144" t="n">
        <v>41.18</v>
      </c>
      <c r="K342" s="145" t="n"/>
      <c r="L342" s="140">
        <f>+H342*J342</f>
        <v/>
      </c>
      <c r="M342" s="141">
        <f>SUM(M341+K342-L342)</f>
        <v/>
      </c>
    </row>
    <row r="343">
      <c r="A343" s="20" t="n">
        <v>45678</v>
      </c>
      <c r="B343" s="1" t="n">
        <v>10839</v>
      </c>
      <c r="C343" s="2" t="inlineStr">
        <is>
          <t>VARLIK</t>
        </is>
      </c>
      <c r="D343" s="1" t="inlineStr">
        <is>
          <t>SM 370</t>
        </is>
      </c>
      <c r="E343" s="1" t="inlineStr">
        <is>
          <t>TEKİN ŞEYLAN</t>
        </is>
      </c>
      <c r="F343" s="3" t="n"/>
      <c r="G343" s="143" t="n"/>
      <c r="H343" s="143" t="n">
        <v>350</v>
      </c>
      <c r="I343" s="143">
        <f>+I342+(G343-H343)</f>
        <v/>
      </c>
      <c r="J343" s="144" t="n">
        <v>41.18</v>
      </c>
      <c r="K343" s="145" t="n"/>
      <c r="L343" s="140">
        <f>+H343*J343</f>
        <v/>
      </c>
      <c r="M343" s="141">
        <f>SUM(M342+K343-L343)</f>
        <v/>
      </c>
    </row>
    <row r="344">
      <c r="A344" s="20" t="n">
        <v>45678</v>
      </c>
      <c r="B344" s="1" t="n">
        <v>10840</v>
      </c>
      <c r="C344" s="2" t="inlineStr">
        <is>
          <t>VARLIK</t>
        </is>
      </c>
      <c r="D344" s="1" t="inlineStr">
        <is>
          <t>SM 300</t>
        </is>
      </c>
      <c r="E344" s="1" t="inlineStr">
        <is>
          <t>TURGUT SANCAK</t>
        </is>
      </c>
      <c r="F344" s="3" t="n"/>
      <c r="G344" s="143" t="n"/>
      <c r="H344" s="143" t="n">
        <v>248</v>
      </c>
      <c r="I344" s="143">
        <f>+I343+(G344-H344)</f>
        <v/>
      </c>
      <c r="J344" s="144" t="n">
        <v>41.18</v>
      </c>
      <c r="K344" s="145" t="n"/>
      <c r="L344" s="140">
        <f>+H344*J344</f>
        <v/>
      </c>
      <c r="M344" s="141">
        <f>SUM(M343+K344-L344)</f>
        <v/>
      </c>
    </row>
    <row r="345">
      <c r="A345" s="20" t="n">
        <v>45678</v>
      </c>
      <c r="B345" s="1" t="n">
        <v>10841</v>
      </c>
      <c r="C345" s="2" t="inlineStr">
        <is>
          <t>VARLIK</t>
        </is>
      </c>
      <c r="D345" s="1" t="inlineStr">
        <is>
          <t>SM 300</t>
        </is>
      </c>
      <c r="E345" s="1" t="inlineStr">
        <is>
          <t>TURGUT SANCAK</t>
        </is>
      </c>
      <c r="F345" s="3" t="n"/>
      <c r="G345" s="143" t="n"/>
      <c r="H345" s="143" t="n">
        <v>323</v>
      </c>
      <c r="I345" s="143">
        <f>+I344+(G345-H345)</f>
        <v/>
      </c>
      <c r="J345" s="144" t="n">
        <v>41.18</v>
      </c>
      <c r="K345" s="145" t="n"/>
      <c r="L345" s="140">
        <f>+H345*J345</f>
        <v/>
      </c>
      <c r="M345" s="141">
        <f>SUM(M344+K345-L345)</f>
        <v/>
      </c>
    </row>
    <row r="346">
      <c r="A346" s="20" t="n">
        <v>45678</v>
      </c>
      <c r="B346" s="1" t="n">
        <v>10842</v>
      </c>
      <c r="C346" s="2" t="inlineStr">
        <is>
          <t>EVKUR</t>
        </is>
      </c>
      <c r="D346" s="1" t="inlineStr">
        <is>
          <t>KAVAZAKİ</t>
        </is>
      </c>
      <c r="E346" s="1" t="inlineStr">
        <is>
          <t>UFUK SEVAL</t>
        </is>
      </c>
      <c r="F346" s="3" t="n"/>
      <c r="G346" s="143" t="n"/>
      <c r="H346" s="143" t="n">
        <v>304</v>
      </c>
      <c r="I346" s="143">
        <f>+I345+(G346-H346)</f>
        <v/>
      </c>
      <c r="J346" s="144" t="n">
        <v>41.18</v>
      </c>
      <c r="K346" s="145" t="n"/>
      <c r="L346" s="140">
        <f>+H346*J346</f>
        <v/>
      </c>
      <c r="M346" s="141">
        <f>SUM(M345+K346-L346)</f>
        <v/>
      </c>
    </row>
    <row r="347">
      <c r="A347" s="20" t="n">
        <v>45678</v>
      </c>
      <c r="B347" s="1" t="n">
        <v>10843</v>
      </c>
      <c r="C347" s="2" t="inlineStr">
        <is>
          <t>HASALTUN</t>
        </is>
      </c>
      <c r="D347" s="1" t="inlineStr">
        <is>
          <t>SM 350</t>
        </is>
      </c>
      <c r="E347" s="1" t="inlineStr">
        <is>
          <t>TEVFİK ÖZTÜRK</t>
        </is>
      </c>
      <c r="F347" s="3" t="n"/>
      <c r="G347" s="143" t="n"/>
      <c r="H347" s="143" t="n">
        <v>289</v>
      </c>
      <c r="I347" s="143">
        <f>+I346+(G347-H347)</f>
        <v/>
      </c>
      <c r="J347" s="144" t="n">
        <v>41.18</v>
      </c>
      <c r="K347" s="145" t="n"/>
      <c r="L347" s="140">
        <f>+H347*J347</f>
        <v/>
      </c>
      <c r="M347" s="141">
        <f>SUM(M346+K347-L347)</f>
        <v/>
      </c>
    </row>
    <row r="348">
      <c r="A348" s="20" t="n">
        <v>45679</v>
      </c>
      <c r="B348" s="21" t="n">
        <v>11418</v>
      </c>
      <c r="C348" s="22" t="inlineStr">
        <is>
          <t>METİN ERYİĞİT</t>
        </is>
      </c>
      <c r="D348" s="21" t="inlineStr">
        <is>
          <t>34 EGR 814</t>
        </is>
      </c>
      <c r="E348" s="21" t="inlineStr">
        <is>
          <t>FARUK ÖZEN</t>
        </is>
      </c>
      <c r="F348" s="23" t="n">
        <v>510420</v>
      </c>
      <c r="G348" s="138" t="n"/>
      <c r="H348" s="138" t="n">
        <v>450</v>
      </c>
      <c r="I348" s="138">
        <f>+I347+(G348-H348)</f>
        <v/>
      </c>
      <c r="J348" s="139" t="n">
        <v>41.18</v>
      </c>
      <c r="K348" s="140" t="n"/>
      <c r="L348" s="140">
        <f>+H348*J348</f>
        <v/>
      </c>
      <c r="M348" s="141">
        <f>SUM(M347+K348-L348)</f>
        <v/>
      </c>
    </row>
    <row r="349">
      <c r="A349" s="20" t="n">
        <v>45679</v>
      </c>
      <c r="B349" s="21" t="n">
        <v>11454</v>
      </c>
      <c r="C349" s="22" t="inlineStr">
        <is>
          <t>METİN ŞİRİN</t>
        </is>
      </c>
      <c r="D349" s="21" t="inlineStr">
        <is>
          <t>34 EGR 922</t>
        </is>
      </c>
      <c r="E349" s="21" t="inlineStr">
        <is>
          <t>GÜRAY KOYUNCU</t>
        </is>
      </c>
      <c r="F349" s="23" t="n">
        <v>429760</v>
      </c>
      <c r="G349" s="138" t="n"/>
      <c r="H349" s="138" t="n">
        <v>316</v>
      </c>
      <c r="I349" s="138">
        <f>+I348+(G349-H349)</f>
        <v/>
      </c>
      <c r="J349" s="139" t="n">
        <v>41.18</v>
      </c>
      <c r="K349" s="140" t="n"/>
      <c r="L349" s="140">
        <f>+H349*J349</f>
        <v/>
      </c>
      <c r="M349" s="141">
        <f>SUM(M348+K349-L349)</f>
        <v/>
      </c>
    </row>
    <row r="350">
      <c r="A350" s="20" t="n">
        <v>45679</v>
      </c>
      <c r="B350" s="21" t="n">
        <v>21186</v>
      </c>
      <c r="C350" s="22" t="inlineStr">
        <is>
          <t>SELİM İNŞAAT</t>
        </is>
      </c>
      <c r="D350" s="21" t="inlineStr">
        <is>
          <t>34 DSN 565</t>
        </is>
      </c>
      <c r="E350" s="21" t="inlineStr">
        <is>
          <t>MUHAMMER ÇAMLI</t>
        </is>
      </c>
      <c r="F350" s="23" t="n">
        <v>384253</v>
      </c>
      <c r="G350" s="138" t="n"/>
      <c r="H350" s="138" t="n">
        <v>245</v>
      </c>
      <c r="I350" s="138">
        <f>+I349+(G350-H350)</f>
        <v/>
      </c>
      <c r="J350" s="139" t="n">
        <v>41.18</v>
      </c>
      <c r="K350" s="140" t="n"/>
      <c r="L350" s="140">
        <f>+H350*J350</f>
        <v/>
      </c>
      <c r="M350" s="141">
        <f>SUM(M349+K350-L350)</f>
        <v/>
      </c>
    </row>
    <row r="351">
      <c r="A351" s="20" t="n">
        <v>45679</v>
      </c>
      <c r="B351" s="21" t="n">
        <v>11902</v>
      </c>
      <c r="C351" s="22" t="inlineStr">
        <is>
          <t>SELİM İNŞAAT</t>
        </is>
      </c>
      <c r="D351" s="21" t="inlineStr">
        <is>
          <t>34 FBR 742</t>
        </is>
      </c>
      <c r="E351" s="21" t="inlineStr">
        <is>
          <t>MİKAİL BAYILMAZ</t>
        </is>
      </c>
      <c r="F351" s="23" t="n">
        <v>290073</v>
      </c>
      <c r="G351" s="138" t="n"/>
      <c r="H351" s="138" t="n">
        <v>421</v>
      </c>
      <c r="I351" s="138">
        <f>+I350+(G351-H351)</f>
        <v/>
      </c>
      <c r="J351" s="139" t="n">
        <v>41.18</v>
      </c>
      <c r="K351" s="140" t="n"/>
      <c r="L351" s="140">
        <f>+H351*J351</f>
        <v/>
      </c>
      <c r="M351" s="141">
        <f>SUM(M350+K351-L351)</f>
        <v/>
      </c>
    </row>
    <row r="352">
      <c r="A352" s="20" t="n">
        <v>45679</v>
      </c>
      <c r="B352" s="21" t="n">
        <v>10980</v>
      </c>
      <c r="C352" s="22" t="inlineStr">
        <is>
          <t>SELİM İNŞAAT</t>
        </is>
      </c>
      <c r="D352" s="21" t="inlineStr">
        <is>
          <t>34 GVZ 199</t>
        </is>
      </c>
      <c r="E352" s="21" t="inlineStr">
        <is>
          <t>VAHDET GÜRLER</t>
        </is>
      </c>
      <c r="F352" s="23" t="n">
        <v>152325</v>
      </c>
      <c r="G352" s="138" t="n"/>
      <c r="H352" s="138" t="n">
        <v>299</v>
      </c>
      <c r="I352" s="138">
        <f>+I351+(G352-H352)</f>
        <v/>
      </c>
      <c r="J352" s="139" t="n">
        <v>41.18</v>
      </c>
      <c r="K352" s="140" t="n"/>
      <c r="L352" s="140">
        <f>+H352*J352</f>
        <v/>
      </c>
      <c r="M352" s="141">
        <f>SUM(M351+K352-L352)</f>
        <v/>
      </c>
    </row>
    <row r="353">
      <c r="A353" s="20" t="n">
        <v>45679</v>
      </c>
      <c r="B353" s="21" t="n">
        <v>21472</v>
      </c>
      <c r="C353" s="22" t="inlineStr">
        <is>
          <t>SELİM İNŞAAT</t>
        </is>
      </c>
      <c r="D353" s="21" t="inlineStr">
        <is>
          <t>34 GYZ 635</t>
        </is>
      </c>
      <c r="E353" s="21" t="inlineStr">
        <is>
          <t>ENGİN DEMİR</t>
        </is>
      </c>
      <c r="F353" s="23" t="n">
        <v>144900</v>
      </c>
      <c r="G353" s="138" t="n"/>
      <c r="H353" s="138" t="n">
        <v>186</v>
      </c>
      <c r="I353" s="138">
        <f>+I352+(G353-H353)</f>
        <v/>
      </c>
      <c r="J353" s="139" t="n">
        <v>41.18</v>
      </c>
      <c r="K353" s="140" t="n"/>
      <c r="L353" s="140">
        <f>+H353*J353</f>
        <v/>
      </c>
      <c r="M353" s="141">
        <f>SUM(M352+K353-L353)</f>
        <v/>
      </c>
    </row>
    <row r="354">
      <c r="A354" s="20" t="n">
        <v>45679</v>
      </c>
      <c r="B354" s="21" t="n">
        <v>10507</v>
      </c>
      <c r="C354" s="22" t="inlineStr">
        <is>
          <t>SELİM İNŞAAT</t>
        </is>
      </c>
      <c r="D354" s="21" t="inlineStr">
        <is>
          <t>34 EDB 922</t>
        </is>
      </c>
      <c r="E354" s="21" t="inlineStr">
        <is>
          <t>AHMET TOPÇU</t>
        </is>
      </c>
      <c r="F354" s="23" t="n">
        <v>329653</v>
      </c>
      <c r="G354" s="138" t="n"/>
      <c r="H354" s="138" t="n">
        <v>376</v>
      </c>
      <c r="I354" s="138">
        <f>+I353+(G354-H354)</f>
        <v/>
      </c>
      <c r="J354" s="139" t="n">
        <v>41.18</v>
      </c>
      <c r="K354" s="140" t="n"/>
      <c r="L354" s="140">
        <f>+H354*J354</f>
        <v/>
      </c>
      <c r="M354" s="141">
        <f>SUM(M353+K354-L354)</f>
        <v/>
      </c>
    </row>
    <row r="355">
      <c r="A355" s="20" t="n">
        <v>45679</v>
      </c>
      <c r="B355" s="21" t="n">
        <v>11802</v>
      </c>
      <c r="C355" s="22" t="inlineStr">
        <is>
          <t>SELİM İNŞAAT</t>
        </is>
      </c>
      <c r="D355" s="21" t="inlineStr">
        <is>
          <t>34 FSG 229</t>
        </is>
      </c>
      <c r="E355" s="21" t="inlineStr">
        <is>
          <t>SİNAN TANRIVERDİ</t>
        </is>
      </c>
      <c r="F355" s="23" t="n">
        <v>229373</v>
      </c>
      <c r="G355" s="138" t="n"/>
      <c r="H355" s="138" t="n">
        <v>395</v>
      </c>
      <c r="I355" s="138">
        <f>+I354+(G355-H355)</f>
        <v/>
      </c>
      <c r="J355" s="139" t="n">
        <v>41.18</v>
      </c>
      <c r="K355" s="140" t="n"/>
      <c r="L355" s="140">
        <f>+H355*J355</f>
        <v/>
      </c>
      <c r="M355" s="141">
        <f>SUM(M354+K355-L355)</f>
        <v/>
      </c>
    </row>
    <row r="356">
      <c r="A356" s="20" t="n">
        <v>45679</v>
      </c>
      <c r="B356" s="21" t="n">
        <v>10271</v>
      </c>
      <c r="C356" s="22" t="inlineStr">
        <is>
          <t>SELİM İNŞAAT</t>
        </is>
      </c>
      <c r="D356" s="21" t="inlineStr">
        <is>
          <t>34 FBR 748</t>
        </is>
      </c>
      <c r="E356" s="21" t="inlineStr">
        <is>
          <t>YAŞAR ÖZKAYA</t>
        </is>
      </c>
      <c r="F356" s="23" t="n">
        <v>256472</v>
      </c>
      <c r="G356" s="138" t="n"/>
      <c r="H356" s="138" t="n">
        <v>296</v>
      </c>
      <c r="I356" s="138">
        <f>+I355+(G356-H356)</f>
        <v/>
      </c>
      <c r="J356" s="139" t="n">
        <v>41.18</v>
      </c>
      <c r="K356" s="140" t="n"/>
      <c r="L356" s="140">
        <f>+H356*J356</f>
        <v/>
      </c>
      <c r="M356" s="141">
        <f>SUM(M355+K356-L356)</f>
        <v/>
      </c>
    </row>
    <row r="357">
      <c r="A357" s="20" t="n">
        <v>45679</v>
      </c>
      <c r="B357" s="21" t="n">
        <v>20992</v>
      </c>
      <c r="C357" s="22" t="inlineStr">
        <is>
          <t>SELİM İNŞAAT</t>
        </is>
      </c>
      <c r="D357" s="21" t="inlineStr">
        <is>
          <t>34 GUS 938</t>
        </is>
      </c>
      <c r="E357" s="21" t="inlineStr">
        <is>
          <t>MEHMET KAYA</t>
        </is>
      </c>
      <c r="F357" s="23" t="n">
        <v>156167</v>
      </c>
      <c r="G357" s="138" t="n"/>
      <c r="H357" s="138" t="n">
        <v>416</v>
      </c>
      <c r="I357" s="138">
        <f>+I356+(G357-H357)</f>
        <v/>
      </c>
      <c r="J357" s="139" t="n">
        <v>41.18</v>
      </c>
      <c r="K357" s="140" t="n"/>
      <c r="L357" s="140">
        <f>+H357*J357</f>
        <v/>
      </c>
      <c r="M357" s="141">
        <f>SUM(M356+K357-L357)</f>
        <v/>
      </c>
    </row>
    <row r="358">
      <c r="A358" s="20" t="n">
        <v>45679</v>
      </c>
      <c r="B358" s="21" t="n">
        <v>10310</v>
      </c>
      <c r="C358" s="22" t="inlineStr">
        <is>
          <t>SELİM İNŞAAT</t>
        </is>
      </c>
      <c r="D358" s="21" t="inlineStr">
        <is>
          <t>34 EDB 829</t>
        </is>
      </c>
      <c r="E358" s="21" t="inlineStr">
        <is>
          <t>İSMET BAYRAM</t>
        </is>
      </c>
      <c r="F358" s="23" t="n">
        <v>289750</v>
      </c>
      <c r="G358" s="138" t="n"/>
      <c r="H358" s="138" t="n">
        <v>185</v>
      </c>
      <c r="I358" s="138">
        <f>+I357+(G358-H358)</f>
        <v/>
      </c>
      <c r="J358" s="139" t="n">
        <v>41.18</v>
      </c>
      <c r="K358" s="140" t="n"/>
      <c r="L358" s="140">
        <f>+H358*J358</f>
        <v/>
      </c>
      <c r="M358" s="141">
        <f>SUM(M357+K358-L358)</f>
        <v/>
      </c>
    </row>
    <row r="359">
      <c r="A359" s="20" t="n">
        <v>45679</v>
      </c>
      <c r="B359" s="21" t="n">
        <v>21279</v>
      </c>
      <c r="C359" s="22" t="inlineStr">
        <is>
          <t>SELİM İNŞAAT</t>
        </is>
      </c>
      <c r="D359" s="21" t="inlineStr">
        <is>
          <t>34 DTV 447</t>
        </is>
      </c>
      <c r="E359" s="21" t="inlineStr">
        <is>
          <t>EBUBEKİR KOLDAŞ</t>
        </is>
      </c>
      <c r="F359" s="23" t="n">
        <v>410611</v>
      </c>
      <c r="G359" s="138" t="n"/>
      <c r="H359" s="138" t="n">
        <v>283</v>
      </c>
      <c r="I359" s="138">
        <f>+I358+(G359-H359)</f>
        <v/>
      </c>
      <c r="J359" s="139" t="n">
        <v>41.18</v>
      </c>
      <c r="K359" s="140" t="n"/>
      <c r="L359" s="140">
        <f>+H359*J359</f>
        <v/>
      </c>
      <c r="M359" s="141">
        <f>SUM(M358+K359-L359)</f>
        <v/>
      </c>
    </row>
    <row r="360">
      <c r="A360" s="20" t="n">
        <v>45679</v>
      </c>
      <c r="B360" s="21" t="n">
        <v>10760</v>
      </c>
      <c r="C360" s="22" t="inlineStr">
        <is>
          <t>SELİM İNŞAAT</t>
        </is>
      </c>
      <c r="D360" s="21" t="inlineStr">
        <is>
          <t>34 FBR 705</t>
        </is>
      </c>
      <c r="E360" s="21" t="inlineStr">
        <is>
          <t>MESUT GÜRLER</t>
        </is>
      </c>
      <c r="F360" s="23" t="n">
        <v>284718</v>
      </c>
      <c r="G360" s="138" t="n"/>
      <c r="H360" s="138" t="n">
        <v>333</v>
      </c>
      <c r="I360" s="138">
        <f>+I359+(G360-H360)</f>
        <v/>
      </c>
      <c r="J360" s="139" t="n">
        <v>41.18</v>
      </c>
      <c r="K360" s="140" t="n"/>
      <c r="L360" s="140">
        <f>+H360*J360</f>
        <v/>
      </c>
      <c r="M360" s="141">
        <f>SUM(M359+K360-L360)</f>
        <v/>
      </c>
    </row>
    <row r="361">
      <c r="A361" s="20" t="n">
        <v>45679</v>
      </c>
      <c r="B361" s="21" t="n">
        <v>11776</v>
      </c>
      <c r="C361" s="22" t="inlineStr">
        <is>
          <t>SELİM İNŞAAT</t>
        </is>
      </c>
      <c r="D361" s="21" t="inlineStr">
        <is>
          <t>34 EDC 086</t>
        </is>
      </c>
      <c r="E361" s="21" t="inlineStr">
        <is>
          <t>ÖMER AĞAYAR</t>
        </is>
      </c>
      <c r="F361" s="23" t="n">
        <v>301278</v>
      </c>
      <c r="G361" s="138" t="n"/>
      <c r="H361" s="138" t="n">
        <v>67</v>
      </c>
      <c r="I361" s="138">
        <f>+I360+(G361-H361)</f>
        <v/>
      </c>
      <c r="J361" s="139" t="n">
        <v>41.18</v>
      </c>
      <c r="K361" s="140" t="n"/>
      <c r="L361" s="140">
        <f>+H361*J361</f>
        <v/>
      </c>
      <c r="M361" s="141">
        <f>SUM(M360+K361-L361)</f>
        <v/>
      </c>
    </row>
    <row r="362">
      <c r="A362" s="20" t="n">
        <v>45679</v>
      </c>
      <c r="B362" s="21" t="n">
        <v>10054</v>
      </c>
      <c r="C362" s="22" t="inlineStr">
        <is>
          <t>SELİM İNŞAAT</t>
        </is>
      </c>
      <c r="D362" s="21" t="inlineStr">
        <is>
          <t>34 FBR 771</t>
        </is>
      </c>
      <c r="E362" s="21" t="inlineStr">
        <is>
          <t>HÜSEYİN AKÇİN</t>
        </is>
      </c>
      <c r="F362" s="23" t="n">
        <v>289749</v>
      </c>
      <c r="G362" s="138" t="n"/>
      <c r="H362" s="138" t="n">
        <v>436</v>
      </c>
      <c r="I362" s="138">
        <f>+I361+(G362-H362)</f>
        <v/>
      </c>
      <c r="J362" s="139" t="n">
        <v>41.18</v>
      </c>
      <c r="K362" s="140" t="n"/>
      <c r="L362" s="140">
        <f>+H362*J362</f>
        <v/>
      </c>
      <c r="M362" s="141">
        <f>SUM(M361+K362-L362)</f>
        <v/>
      </c>
    </row>
    <row r="363">
      <c r="A363" s="20" t="n">
        <v>45679</v>
      </c>
      <c r="B363" s="21" t="n">
        <v>9784</v>
      </c>
      <c r="C363" s="22" t="inlineStr">
        <is>
          <t>SELİM İNŞAAT</t>
        </is>
      </c>
      <c r="D363" s="21" t="inlineStr">
        <is>
          <t>34 GUZ 268</t>
        </is>
      </c>
      <c r="E363" s="21" t="inlineStr">
        <is>
          <t>KERİM KARAMAN</t>
        </is>
      </c>
      <c r="F363" s="23" t="n">
        <v>162900</v>
      </c>
      <c r="G363" s="138" t="n"/>
      <c r="H363" s="138" t="n">
        <v>385</v>
      </c>
      <c r="I363" s="138">
        <f>+I362+(G363-H363)</f>
        <v/>
      </c>
      <c r="J363" s="139" t="n">
        <v>41.18</v>
      </c>
      <c r="K363" s="140" t="n"/>
      <c r="L363" s="140">
        <f>+H363*J363</f>
        <v/>
      </c>
      <c r="M363" s="141">
        <f>SUM(M362+K363-L363)</f>
        <v/>
      </c>
    </row>
    <row r="364">
      <c r="A364" s="20" t="n">
        <v>45679</v>
      </c>
      <c r="B364" s="21" t="n">
        <v>20894</v>
      </c>
      <c r="C364" s="22" t="inlineStr">
        <is>
          <t>SELİM İNŞAAT</t>
        </is>
      </c>
      <c r="D364" s="21" t="inlineStr">
        <is>
          <t>34 GVZ 310</t>
        </is>
      </c>
      <c r="E364" s="21" t="inlineStr">
        <is>
          <t>CELAL YÜZBAŞI</t>
        </is>
      </c>
      <c r="F364" s="23" t="n">
        <v>165343</v>
      </c>
      <c r="G364" s="138" t="n"/>
      <c r="H364" s="138" t="n">
        <v>362</v>
      </c>
      <c r="I364" s="138">
        <f>+I363+(G364-H364)</f>
        <v/>
      </c>
      <c r="J364" s="139" t="n">
        <v>41.18</v>
      </c>
      <c r="K364" s="140" t="n"/>
      <c r="L364" s="140">
        <f>+H364*J364</f>
        <v/>
      </c>
      <c r="M364" s="141">
        <f>SUM(M363+K364-L364)</f>
        <v/>
      </c>
    </row>
    <row r="365">
      <c r="A365" s="20" t="n">
        <v>45679</v>
      </c>
      <c r="B365" s="21" t="n">
        <v>10419</v>
      </c>
      <c r="C365" s="22" t="inlineStr">
        <is>
          <t>SELİM İNŞAAT</t>
        </is>
      </c>
      <c r="D365" s="21" t="inlineStr">
        <is>
          <t>34 FBR 781</t>
        </is>
      </c>
      <c r="E365" s="21" t="inlineStr">
        <is>
          <t>MEVLÜT POLAT</t>
        </is>
      </c>
      <c r="F365" s="23" t="n">
        <v>273693</v>
      </c>
      <c r="G365" s="138" t="n"/>
      <c r="H365" s="138" t="n">
        <v>377</v>
      </c>
      <c r="I365" s="138">
        <f>+I364+(G365-H365)</f>
        <v/>
      </c>
      <c r="J365" s="139" t="n">
        <v>41.18</v>
      </c>
      <c r="K365" s="140" t="n"/>
      <c r="L365" s="140">
        <f>+H365*J365</f>
        <v/>
      </c>
      <c r="M365" s="141">
        <f>SUM(M364+K365-L365)</f>
        <v/>
      </c>
    </row>
    <row r="366">
      <c r="A366" s="20" t="n">
        <v>45679</v>
      </c>
      <c r="B366" s="21" t="n">
        <v>10166</v>
      </c>
      <c r="C366" s="22" t="inlineStr">
        <is>
          <t>SELİM İNŞAAT</t>
        </is>
      </c>
      <c r="D366" s="21" t="inlineStr">
        <is>
          <t>34 EGR 736</t>
        </is>
      </c>
      <c r="E366" s="21" t="inlineStr">
        <is>
          <t>MUHAMMER ÇAMLI</t>
        </is>
      </c>
      <c r="F366" s="23" t="n">
        <v>359809</v>
      </c>
      <c r="G366" s="138" t="n"/>
      <c r="H366" s="138" t="n">
        <v>370</v>
      </c>
      <c r="I366" s="138">
        <f>+I365+(G366-H366)</f>
        <v/>
      </c>
      <c r="J366" s="139" t="n">
        <v>41.18</v>
      </c>
      <c r="K366" s="140" t="n"/>
      <c r="L366" s="140">
        <f>+H366*J366</f>
        <v/>
      </c>
      <c r="M366" s="141">
        <f>SUM(M365+K366-L366)</f>
        <v/>
      </c>
    </row>
    <row r="367">
      <c r="A367" s="20" t="n">
        <v>45679</v>
      </c>
      <c r="B367" s="21" t="n">
        <v>11120</v>
      </c>
      <c r="C367" s="22" t="inlineStr">
        <is>
          <t>SELİM İNŞAAT</t>
        </is>
      </c>
      <c r="D367" s="21" t="inlineStr">
        <is>
          <t>34 DTV 409</t>
        </is>
      </c>
      <c r="E367" s="21" t="inlineStr">
        <is>
          <t xml:space="preserve">ONUR CANLI </t>
        </is>
      </c>
      <c r="F367" s="23" t="n">
        <v>394067</v>
      </c>
      <c r="G367" s="138" t="n"/>
      <c r="H367" s="138" t="n">
        <v>343</v>
      </c>
      <c r="I367" s="138">
        <f>+I366+(G367-H367)</f>
        <v/>
      </c>
      <c r="J367" s="139" t="n">
        <v>41.18</v>
      </c>
      <c r="K367" s="140" t="n"/>
      <c r="L367" s="140">
        <f>+H367*J367</f>
        <v/>
      </c>
      <c r="M367" s="141">
        <f>SUM(M366+K367-L367)</f>
        <v/>
      </c>
    </row>
    <row r="368">
      <c r="A368" s="20" t="n">
        <v>45679</v>
      </c>
      <c r="B368" s="21" t="n">
        <v>21534</v>
      </c>
      <c r="C368" s="22" t="inlineStr">
        <is>
          <t>SELİM İNŞAAT</t>
        </is>
      </c>
      <c r="D368" s="21" t="inlineStr">
        <is>
          <t>34 GVZ 745</t>
        </is>
      </c>
      <c r="E368" s="21" t="inlineStr">
        <is>
          <t>MUHAMMED YİĞİT</t>
        </is>
      </c>
      <c r="F368" s="23" t="n">
        <v>158956</v>
      </c>
      <c r="G368" s="138" t="n"/>
      <c r="H368" s="138" t="n">
        <v>378</v>
      </c>
      <c r="I368" s="138">
        <f>+I367+(G368-H368)</f>
        <v/>
      </c>
      <c r="J368" s="139" t="n">
        <v>41.18</v>
      </c>
      <c r="K368" s="140" t="n"/>
      <c r="L368" s="140">
        <f>+H368*J368</f>
        <v/>
      </c>
      <c r="M368" s="141">
        <f>SUM(M367+K368-L368)</f>
        <v/>
      </c>
    </row>
    <row r="369">
      <c r="A369" s="20" t="n">
        <v>45679</v>
      </c>
      <c r="B369" s="21" t="n">
        <v>21991</v>
      </c>
      <c r="C369" s="22" t="inlineStr">
        <is>
          <t>SELİM İNŞAAT</t>
        </is>
      </c>
      <c r="D369" s="21" t="inlineStr">
        <is>
          <t>34 EGR 737</t>
        </is>
      </c>
      <c r="E369" s="21" t="inlineStr">
        <is>
          <t>İBRAHİM GÜNASLAN</t>
        </is>
      </c>
      <c r="F369" s="23" t="n">
        <v>388922</v>
      </c>
      <c r="G369" s="138" t="n"/>
      <c r="H369" s="138" t="n">
        <v>346</v>
      </c>
      <c r="I369" s="138">
        <f>+I368+(G369-H369)</f>
        <v/>
      </c>
      <c r="J369" s="139" t="n">
        <v>41.18</v>
      </c>
      <c r="K369" s="140" t="n"/>
      <c r="L369" s="140">
        <f>+H369*J369</f>
        <v/>
      </c>
      <c r="M369" s="141">
        <f>SUM(M368+K369-L369)</f>
        <v/>
      </c>
    </row>
    <row r="370">
      <c r="A370" s="20" t="n">
        <v>45679</v>
      </c>
      <c r="B370" s="21" t="n">
        <v>10678</v>
      </c>
      <c r="C370" s="22" t="inlineStr">
        <is>
          <t>SELİM İNŞAAT</t>
        </is>
      </c>
      <c r="D370" s="21" t="inlineStr">
        <is>
          <t>34 DTV 599</t>
        </is>
      </c>
      <c r="E370" s="21" t="inlineStr">
        <is>
          <t>FERHAT GÜRLER</t>
        </is>
      </c>
      <c r="F370" s="23" t="n">
        <v>407776</v>
      </c>
      <c r="G370" s="138" t="n"/>
      <c r="H370" s="138" t="n">
        <v>440</v>
      </c>
      <c r="I370" s="138">
        <f>+I369+(G370-H370)</f>
        <v/>
      </c>
      <c r="J370" s="139" t="n">
        <v>41.18</v>
      </c>
      <c r="K370" s="140" t="n"/>
      <c r="L370" s="140">
        <f>+H370*J370</f>
        <v/>
      </c>
      <c r="M370" s="141">
        <f>SUM(M369+K370-L370)</f>
        <v/>
      </c>
    </row>
    <row r="371">
      <c r="A371" s="20" t="n">
        <v>45679</v>
      </c>
      <c r="B371" s="21" t="n">
        <v>21094</v>
      </c>
      <c r="C371" s="22" t="inlineStr">
        <is>
          <t>SELİM İNŞAAT</t>
        </is>
      </c>
      <c r="D371" s="21" t="inlineStr">
        <is>
          <t>34 EDB 659</t>
        </is>
      </c>
      <c r="E371" s="21" t="inlineStr">
        <is>
          <t>MEHMET SAİT ANIK</t>
        </is>
      </c>
      <c r="F371" s="23" t="n">
        <v>310897</v>
      </c>
      <c r="G371" s="138" t="n"/>
      <c r="H371" s="138" t="n">
        <v>298</v>
      </c>
      <c r="I371" s="138">
        <f>+I370+(G371-H371)</f>
        <v/>
      </c>
      <c r="J371" s="139" t="n">
        <v>41.18</v>
      </c>
      <c r="K371" s="140" t="n"/>
      <c r="L371" s="140">
        <f>+H371*J371</f>
        <v/>
      </c>
      <c r="M371" s="141">
        <f>SUM(M370+K371-L371)</f>
        <v/>
      </c>
    </row>
    <row r="372">
      <c r="A372" s="20" t="n">
        <v>45679</v>
      </c>
      <c r="B372" s="21" t="n">
        <v>9917</v>
      </c>
      <c r="C372" s="22" t="inlineStr">
        <is>
          <t>SELİM İNŞAAT</t>
        </is>
      </c>
      <c r="D372" s="21" t="inlineStr">
        <is>
          <t>34 FVU 827</t>
        </is>
      </c>
      <c r="E372" s="21" t="inlineStr">
        <is>
          <t>YILMAZ ÇELEBİ</t>
        </is>
      </c>
      <c r="F372" s="23" t="n"/>
      <c r="G372" s="138" t="n"/>
      <c r="H372" s="138" t="n">
        <v>51</v>
      </c>
      <c r="I372" s="138">
        <f>+I371+(G372-H372)</f>
        <v/>
      </c>
      <c r="J372" s="139" t="n">
        <v>41.18</v>
      </c>
      <c r="K372" s="140" t="n"/>
      <c r="L372" s="140">
        <f>+H372*J372</f>
        <v/>
      </c>
      <c r="M372" s="141">
        <f>SUM(M371+K372-L372)</f>
        <v/>
      </c>
    </row>
    <row r="373">
      <c r="A373" s="20" t="n">
        <v>45679</v>
      </c>
      <c r="B373" s="21" t="n">
        <v>9919</v>
      </c>
      <c r="C373" s="22" t="inlineStr">
        <is>
          <t>AHMET SELİM TEMHA</t>
        </is>
      </c>
      <c r="D373" s="21" t="inlineStr">
        <is>
          <t>-</t>
        </is>
      </c>
      <c r="E373" s="21" t="inlineStr">
        <is>
          <t>ÖMER DUMAN</t>
        </is>
      </c>
      <c r="F373" s="23" t="inlineStr">
        <is>
          <t>BİDON</t>
        </is>
      </c>
      <c r="G373" s="138" t="n"/>
      <c r="H373" s="138" t="n">
        <v>52</v>
      </c>
      <c r="I373" s="138">
        <f>+I372+(G373-H373)</f>
        <v/>
      </c>
      <c r="J373" s="139" t="n">
        <v>41.18</v>
      </c>
      <c r="K373" s="140" t="n"/>
      <c r="L373" s="140">
        <f>+H373*J373</f>
        <v/>
      </c>
      <c r="M373" s="141">
        <f>SUM(M372+K373-L373)</f>
        <v/>
      </c>
    </row>
    <row r="374">
      <c r="A374" s="20" t="n">
        <v>45679</v>
      </c>
      <c r="B374" s="21" t="n">
        <v>21124</v>
      </c>
      <c r="C374" s="22" t="inlineStr">
        <is>
          <t>SELİM İNŞAAT</t>
        </is>
      </c>
      <c r="D374" s="21" t="inlineStr">
        <is>
          <t>34 TG 7869</t>
        </is>
      </c>
      <c r="E374" s="21" t="inlineStr">
        <is>
          <t>GÖRKEM KARABEL</t>
        </is>
      </c>
      <c r="F374" s="23" t="n">
        <v>178569</v>
      </c>
      <c r="G374" s="138" t="n"/>
      <c r="H374" s="138" t="n">
        <v>238</v>
      </c>
      <c r="I374" s="138">
        <f>+I373+(G374-H374)</f>
        <v/>
      </c>
      <c r="J374" s="139" t="n">
        <v>41.18</v>
      </c>
      <c r="K374" s="140" t="n"/>
      <c r="L374" s="140">
        <f>+H374*J374</f>
        <v/>
      </c>
      <c r="M374" s="141">
        <f>SUM(M373+K374-L374)</f>
        <v/>
      </c>
    </row>
    <row r="375">
      <c r="A375" s="20" t="n">
        <v>45679</v>
      </c>
      <c r="B375" s="21" t="n">
        <v>20291</v>
      </c>
      <c r="C375" s="22" t="inlineStr">
        <is>
          <t>SELİM İNŞAAT</t>
        </is>
      </c>
      <c r="D375" s="21" t="inlineStr">
        <is>
          <t>34 DKL 866</t>
        </is>
      </c>
      <c r="E375" s="21" t="inlineStr">
        <is>
          <t>ŞERİF CAN ÖNVER</t>
        </is>
      </c>
      <c r="F375" s="23" t="n">
        <v>60323</v>
      </c>
      <c r="G375" s="138" t="n"/>
      <c r="H375" s="138" t="n">
        <v>130</v>
      </c>
      <c r="I375" s="138">
        <f>+I374+(G375-H375)</f>
        <v/>
      </c>
      <c r="J375" s="139" t="n">
        <v>41.18</v>
      </c>
      <c r="K375" s="140" t="n"/>
      <c r="L375" s="140">
        <f>+H375*J375</f>
        <v/>
      </c>
      <c r="M375" s="141">
        <f>SUM(M374+K375-L375)</f>
        <v/>
      </c>
    </row>
    <row r="376">
      <c r="A376" s="20" t="n">
        <v>45679</v>
      </c>
      <c r="B376" s="21" t="n">
        <v>11054</v>
      </c>
      <c r="C376" s="22" t="inlineStr">
        <is>
          <t>SELİM İNŞAAT</t>
        </is>
      </c>
      <c r="D376" s="21" t="inlineStr">
        <is>
          <t>34 HBY 763</t>
        </is>
      </c>
      <c r="E376" s="21" t="inlineStr">
        <is>
          <t>A.KERİM ERGEN</t>
        </is>
      </c>
      <c r="F376" s="23" t="n">
        <v>12257</v>
      </c>
      <c r="G376" s="138" t="n"/>
      <c r="H376" s="138" t="n">
        <v>178</v>
      </c>
      <c r="I376" s="138">
        <f>+I375+(G376-H376)</f>
        <v/>
      </c>
      <c r="J376" s="139" t="n">
        <v>41.18</v>
      </c>
      <c r="K376" s="140" t="n"/>
      <c r="L376" s="140">
        <f>+H376*J376</f>
        <v/>
      </c>
      <c r="M376" s="141">
        <f>SUM(M375+K376-L376)</f>
        <v/>
      </c>
    </row>
    <row r="377">
      <c r="A377" s="20" t="n">
        <v>45679</v>
      </c>
      <c r="B377" s="1" t="n">
        <v>10844</v>
      </c>
      <c r="C377" s="2" t="inlineStr">
        <is>
          <t>EVKUR</t>
        </is>
      </c>
      <c r="D377" s="1" t="inlineStr">
        <is>
          <t>RT 650 SARI VİNÇ</t>
        </is>
      </c>
      <c r="E377" s="1" t="inlineStr">
        <is>
          <t>ALİHAN DUMAN</t>
        </is>
      </c>
      <c r="F377" s="3" t="n"/>
      <c r="G377" s="143" t="n"/>
      <c r="H377" s="143" t="n">
        <v>142</v>
      </c>
      <c r="I377" s="143">
        <f>+I376+(G377-H377)</f>
        <v/>
      </c>
      <c r="J377" s="144" t="n">
        <v>41.18</v>
      </c>
      <c r="K377" s="145" t="n"/>
      <c r="L377" s="140">
        <f>+H377*J377</f>
        <v/>
      </c>
      <c r="M377" s="141">
        <f>SUM(M376+K377-L377)</f>
        <v/>
      </c>
    </row>
    <row r="378">
      <c r="A378" s="20" t="n">
        <v>45679</v>
      </c>
      <c r="B378" s="1" t="n">
        <v>10845</v>
      </c>
      <c r="C378" s="2" t="inlineStr">
        <is>
          <t>VARLIK</t>
        </is>
      </c>
      <c r="D378" s="1" t="inlineStr">
        <is>
          <t>SM 370</t>
        </is>
      </c>
      <c r="E378" s="1" t="inlineStr">
        <is>
          <t>TEKİN ŞEYLAN</t>
        </is>
      </c>
      <c r="F378" s="3" t="n"/>
      <c r="G378" s="143" t="n"/>
      <c r="H378" s="143" t="n">
        <v>470</v>
      </c>
      <c r="I378" s="143">
        <f>+I377+(G378-H378)</f>
        <v/>
      </c>
      <c r="J378" s="144" t="n">
        <v>41.18</v>
      </c>
      <c r="K378" s="145" t="n"/>
      <c r="L378" s="140">
        <f>+H378*J378</f>
        <v/>
      </c>
      <c r="M378" s="141">
        <f>SUM(M377+K378-L378)</f>
        <v/>
      </c>
    </row>
    <row r="379">
      <c r="A379" s="20" t="n">
        <v>45679</v>
      </c>
      <c r="B379" s="1" t="n">
        <v>10846</v>
      </c>
      <c r="C379" s="2" t="inlineStr">
        <is>
          <t>VARLIK</t>
        </is>
      </c>
      <c r="D379" s="1" t="inlineStr">
        <is>
          <t>SM 350</t>
        </is>
      </c>
      <c r="E379" s="1" t="inlineStr">
        <is>
          <t>BAYRAM SANCAK</t>
        </is>
      </c>
      <c r="F379" s="3" t="n"/>
      <c r="G379" s="143" t="n"/>
      <c r="H379" s="143" t="n">
        <v>121</v>
      </c>
      <c r="I379" s="143">
        <f>+I378+(G379-H379)</f>
        <v/>
      </c>
      <c r="J379" s="144" t="n">
        <v>41.18</v>
      </c>
      <c r="K379" s="145" t="n"/>
      <c r="L379" s="140">
        <f>+H379*J379</f>
        <v/>
      </c>
      <c r="M379" s="141">
        <f>SUM(M378+K379-L379)</f>
        <v/>
      </c>
    </row>
    <row r="380">
      <c r="A380" s="20" t="n">
        <v>45679</v>
      </c>
      <c r="B380" s="21" t="n">
        <v>10847</v>
      </c>
      <c r="C380" s="22" t="inlineStr">
        <is>
          <t>YUNUS GÜLLÜK</t>
        </is>
      </c>
      <c r="D380" s="21" t="inlineStr">
        <is>
          <t>KİRALIK HİTACHİ</t>
        </is>
      </c>
      <c r="E380" s="21" t="inlineStr">
        <is>
          <t>RAMAZAN KAYA</t>
        </is>
      </c>
      <c r="F380" s="23" t="n"/>
      <c r="G380" s="138" t="n"/>
      <c r="H380" s="138" t="n">
        <v>395</v>
      </c>
      <c r="I380" s="138">
        <f>+I379+(G380-H380)</f>
        <v/>
      </c>
      <c r="J380" s="139" t="n">
        <v>41.18</v>
      </c>
      <c r="K380" s="140" t="n"/>
      <c r="L380" s="140">
        <f>+H380*J380</f>
        <v/>
      </c>
      <c r="M380" s="141">
        <f>SUM(M379+K380-L380)</f>
        <v/>
      </c>
    </row>
    <row r="381">
      <c r="A381" s="20" t="n">
        <v>45679</v>
      </c>
      <c r="B381" s="1" t="n">
        <v>14853</v>
      </c>
      <c r="C381" s="2" t="inlineStr">
        <is>
          <t>VARLIK</t>
        </is>
      </c>
      <c r="D381" s="1" t="inlineStr">
        <is>
          <t>KAVAZAKİ</t>
        </is>
      </c>
      <c r="E381" s="1" t="inlineStr">
        <is>
          <t>UFUK SEVAL</t>
        </is>
      </c>
      <c r="F381" s="3" t="n"/>
      <c r="G381" s="143" t="n"/>
      <c r="H381" s="143" t="n">
        <v>184</v>
      </c>
      <c r="I381" s="143">
        <f>+I380+(G381-H381)</f>
        <v/>
      </c>
      <c r="J381" s="144" t="n">
        <v>41.18</v>
      </c>
      <c r="K381" s="145" t="n"/>
      <c r="L381" s="140">
        <f>+H381*J381</f>
        <v/>
      </c>
      <c r="M381" s="141">
        <f>SUM(M380+K381-L381)</f>
        <v/>
      </c>
    </row>
    <row r="382">
      <c r="A382" s="20" t="n">
        <v>45679</v>
      </c>
      <c r="B382" s="1" t="n">
        <v>14856</v>
      </c>
      <c r="C382" s="2" t="inlineStr">
        <is>
          <t>HASALTUN</t>
        </is>
      </c>
      <c r="D382" s="1" t="inlineStr">
        <is>
          <t>SM 300</t>
        </is>
      </c>
      <c r="E382" s="1" t="inlineStr">
        <is>
          <t>TURGUT SANCAK</t>
        </is>
      </c>
      <c r="F382" s="3" t="n"/>
      <c r="G382" s="143" t="n"/>
      <c r="H382" s="143" t="n">
        <v>310</v>
      </c>
      <c r="I382" s="143">
        <f>+I381+(G382-H382)</f>
        <v/>
      </c>
      <c r="J382" s="144" t="n">
        <v>41.18</v>
      </c>
      <c r="K382" s="145" t="n"/>
      <c r="L382" s="140">
        <f>+H382*J382</f>
        <v/>
      </c>
      <c r="M382" s="141">
        <f>SUM(M381+K382-L382)</f>
        <v/>
      </c>
    </row>
    <row r="383">
      <c r="A383" s="20" t="n">
        <v>45680</v>
      </c>
      <c r="B383" s="21" t="n">
        <v>2043</v>
      </c>
      <c r="C383" s="22" t="inlineStr">
        <is>
          <t>AZGÜN YAPI</t>
        </is>
      </c>
      <c r="D383" s="21" t="inlineStr">
        <is>
          <t>34 DTV 263</t>
        </is>
      </c>
      <c r="E383" s="21" t="inlineStr">
        <is>
          <t>EDİP TORLAK</t>
        </is>
      </c>
      <c r="F383" s="23" t="n">
        <v>356270</v>
      </c>
      <c r="G383" s="138" t="n"/>
      <c r="H383" s="138" t="n">
        <v>306</v>
      </c>
      <c r="I383" s="138">
        <f>+I382+(G383-H383)</f>
        <v/>
      </c>
      <c r="J383" s="139" t="n">
        <v>41.18</v>
      </c>
      <c r="K383" s="140" t="n"/>
      <c r="L383" s="140">
        <f>+H383*J383</f>
        <v/>
      </c>
      <c r="M383" s="141">
        <f>SUM(M382+K383-L383)</f>
        <v/>
      </c>
    </row>
    <row r="384">
      <c r="A384" s="20" t="n">
        <v>45680</v>
      </c>
      <c r="B384" s="21" t="n">
        <v>11357</v>
      </c>
      <c r="C384" s="22" t="inlineStr">
        <is>
          <t>AZGÜN YAPI</t>
        </is>
      </c>
      <c r="D384" s="21" t="inlineStr">
        <is>
          <t>34 MKT 593</t>
        </is>
      </c>
      <c r="E384" s="21" t="inlineStr">
        <is>
          <t>HASAN</t>
        </is>
      </c>
      <c r="F384" s="23" t="n">
        <v>5191</v>
      </c>
      <c r="G384" s="138" t="n"/>
      <c r="H384" s="138" t="n">
        <v>534</v>
      </c>
      <c r="I384" s="138">
        <f>+I383+(G384-H384)</f>
        <v/>
      </c>
      <c r="J384" s="139" t="n">
        <v>41.18</v>
      </c>
      <c r="K384" s="140" t="n"/>
      <c r="L384" s="140">
        <f>+H384*J384</f>
        <v/>
      </c>
      <c r="M384" s="141">
        <f>SUM(M383+K384-L384)</f>
        <v/>
      </c>
    </row>
    <row r="385">
      <c r="A385" s="20" t="n">
        <v>45680</v>
      </c>
      <c r="B385" s="21" t="n">
        <v>11308</v>
      </c>
      <c r="C385" s="22" t="inlineStr">
        <is>
          <t>AZGÜN YAPI</t>
        </is>
      </c>
      <c r="D385" s="21" t="inlineStr">
        <is>
          <t>34 MKT 859</t>
        </is>
      </c>
      <c r="E385" s="21" t="inlineStr">
        <is>
          <t>YAHYA</t>
        </is>
      </c>
      <c r="F385" s="23" t="n">
        <v>5375</v>
      </c>
      <c r="G385" s="138" t="n"/>
      <c r="H385" s="138" t="n">
        <v>1000</v>
      </c>
      <c r="I385" s="138">
        <f>+I384+(G385-H385)</f>
        <v/>
      </c>
      <c r="J385" s="139" t="n">
        <v>41.18</v>
      </c>
      <c r="K385" s="140" t="n"/>
      <c r="L385" s="140">
        <f>+H385*J385</f>
        <v/>
      </c>
      <c r="M385" s="141">
        <f>SUM(M384+K385-L385)</f>
        <v/>
      </c>
    </row>
    <row r="386">
      <c r="A386" s="20" t="n">
        <v>45680</v>
      </c>
      <c r="B386" s="21" t="n">
        <v>10016</v>
      </c>
      <c r="C386" s="22" t="inlineStr">
        <is>
          <t>METİN ERYİĞİT</t>
        </is>
      </c>
      <c r="D386" s="21" t="inlineStr">
        <is>
          <t>34 EGS 013</t>
        </is>
      </c>
      <c r="E386" s="21" t="inlineStr">
        <is>
          <t>UĞUR DUMAN</t>
        </is>
      </c>
      <c r="F386" s="23" t="n">
        <v>458854</v>
      </c>
      <c r="G386" s="138" t="n"/>
      <c r="H386" s="138" t="n">
        <v>434</v>
      </c>
      <c r="I386" s="138">
        <f>+I385+(G386-H386)</f>
        <v/>
      </c>
      <c r="J386" s="139" t="n">
        <v>41.18</v>
      </c>
      <c r="K386" s="140" t="n"/>
      <c r="L386" s="140">
        <f>+H386*J386</f>
        <v/>
      </c>
      <c r="M386" s="141">
        <f>SUM(M385+K386-L386)</f>
        <v/>
      </c>
    </row>
    <row r="387">
      <c r="A387" s="20" t="n">
        <v>45680</v>
      </c>
      <c r="B387" s="21" t="n">
        <v>11687</v>
      </c>
      <c r="C387" s="22" t="inlineStr">
        <is>
          <t>METİN ERYİĞİT</t>
        </is>
      </c>
      <c r="D387" s="21" t="inlineStr">
        <is>
          <t>34 GBL 998</t>
        </is>
      </c>
      <c r="E387" s="21" t="inlineStr">
        <is>
          <t>ALİ KESKİN</t>
        </is>
      </c>
      <c r="F387" s="23" t="n">
        <v>235599</v>
      </c>
      <c r="G387" s="138" t="n"/>
      <c r="H387" s="138" t="n">
        <v>408</v>
      </c>
      <c r="I387" s="138">
        <f>+I386+(G387-H387)</f>
        <v/>
      </c>
      <c r="J387" s="139" t="n">
        <v>41.18</v>
      </c>
      <c r="K387" s="140" t="n"/>
      <c r="L387" s="140">
        <f>+H387*J387</f>
        <v/>
      </c>
      <c r="M387" s="141">
        <f>SUM(M386+K387-L387)</f>
        <v/>
      </c>
    </row>
    <row r="388">
      <c r="A388" s="20" t="n">
        <v>45680</v>
      </c>
      <c r="B388" s="21" t="n">
        <v>11712</v>
      </c>
      <c r="C388" s="22" t="inlineStr">
        <is>
          <t>SELİM İNŞAAT</t>
        </is>
      </c>
      <c r="D388" s="21" t="inlineStr">
        <is>
          <t>34 EDB 559</t>
        </is>
      </c>
      <c r="E388" s="21" t="inlineStr">
        <is>
          <t>CEM MUHTAR</t>
        </is>
      </c>
      <c r="F388" s="23" t="n">
        <v>301337</v>
      </c>
      <c r="G388" s="138" t="n"/>
      <c r="H388" s="138" t="n">
        <v>452</v>
      </c>
      <c r="I388" s="138">
        <f>+I387+(G388-H388)</f>
        <v/>
      </c>
      <c r="J388" s="139" t="n">
        <v>41.18</v>
      </c>
      <c r="K388" s="140" t="n"/>
      <c r="L388" s="140">
        <f>+H388*J388</f>
        <v/>
      </c>
      <c r="M388" s="141">
        <f>SUM(M387+K388-L388)</f>
        <v/>
      </c>
    </row>
    <row r="389">
      <c r="A389" s="20" t="n">
        <v>45680</v>
      </c>
      <c r="B389" s="21" t="n">
        <v>10981</v>
      </c>
      <c r="C389" s="22" t="inlineStr">
        <is>
          <t>SELİM İNŞAAT</t>
        </is>
      </c>
      <c r="D389" s="21" t="inlineStr">
        <is>
          <t>34 GVZ 199</t>
        </is>
      </c>
      <c r="E389" s="21" t="inlineStr">
        <is>
          <t>VAHDET GÜRLER</t>
        </is>
      </c>
      <c r="F389" s="23" t="n">
        <v>152747</v>
      </c>
      <c r="G389" s="138" t="n"/>
      <c r="H389" s="138" t="n">
        <v>227</v>
      </c>
      <c r="I389" s="138">
        <f>+I388+(G389-H389)</f>
        <v/>
      </c>
      <c r="J389" s="139" t="n">
        <v>41.18</v>
      </c>
      <c r="K389" s="140" t="n"/>
      <c r="L389" s="140">
        <f>+H389*J389</f>
        <v/>
      </c>
      <c r="M389" s="141">
        <f>SUM(M388+K389-L389)</f>
        <v/>
      </c>
    </row>
    <row r="390">
      <c r="A390" s="20" t="n">
        <v>45680</v>
      </c>
      <c r="B390" s="21" t="n">
        <v>21280</v>
      </c>
      <c r="C390" s="22" t="inlineStr">
        <is>
          <t>SELİM İNŞAAT</t>
        </is>
      </c>
      <c r="D390" s="21" t="inlineStr">
        <is>
          <t>34 DTV 447</t>
        </is>
      </c>
      <c r="E390" s="21" t="inlineStr">
        <is>
          <t>EBUBEKİR KOLDAŞ</t>
        </is>
      </c>
      <c r="F390" s="23" t="n">
        <v>410880</v>
      </c>
      <c r="G390" s="138" t="n"/>
      <c r="H390" s="138" t="n">
        <v>160</v>
      </c>
      <c r="I390" s="138">
        <f>+I389+(G390-H390)</f>
        <v/>
      </c>
      <c r="J390" s="139" t="n">
        <v>41.18</v>
      </c>
      <c r="K390" s="140" t="n"/>
      <c r="L390" s="140">
        <f>+H390*J390</f>
        <v/>
      </c>
      <c r="M390" s="141">
        <f>SUM(M389+K390-L390)</f>
        <v/>
      </c>
    </row>
    <row r="391">
      <c r="A391" s="20" t="n">
        <v>45680</v>
      </c>
      <c r="B391" s="21" t="n">
        <v>10761</v>
      </c>
      <c r="C391" s="22" t="inlineStr">
        <is>
          <t>SELİM İNŞAAT</t>
        </is>
      </c>
      <c r="D391" s="21" t="inlineStr">
        <is>
          <t>34 FBR 705</t>
        </is>
      </c>
      <c r="E391" s="21" t="inlineStr">
        <is>
          <t>MESUT GÜRLER</t>
        </is>
      </c>
      <c r="F391" s="23" t="n">
        <v>285125</v>
      </c>
      <c r="G391" s="138" t="n"/>
      <c r="H391" s="138" t="n">
        <v>211</v>
      </c>
      <c r="I391" s="138">
        <f>+I390+(G391-H391)</f>
        <v/>
      </c>
      <c r="J391" s="139" t="n">
        <v>41.18</v>
      </c>
      <c r="K391" s="140" t="n"/>
      <c r="L391" s="140">
        <f>+H391*J391</f>
        <v/>
      </c>
      <c r="M391" s="141">
        <f>SUM(M390+K391-L391)</f>
        <v/>
      </c>
    </row>
    <row r="392">
      <c r="A392" s="20" t="n">
        <v>45680</v>
      </c>
      <c r="B392" s="21" t="n">
        <v>11777</v>
      </c>
      <c r="C392" s="22" t="inlineStr">
        <is>
          <t>SELİM İNŞAAT</t>
        </is>
      </c>
      <c r="D392" s="21" t="inlineStr">
        <is>
          <t>34 EDC 086</t>
        </is>
      </c>
      <c r="E392" s="21" t="inlineStr">
        <is>
          <t>ÖMER AĞAYAR</t>
        </is>
      </c>
      <c r="F392" s="23" t="n">
        <v>301721</v>
      </c>
      <c r="G392" s="138" t="n"/>
      <c r="H392" s="138" t="n">
        <v>201</v>
      </c>
      <c r="I392" s="138">
        <f>+I391+(G392-H392)</f>
        <v/>
      </c>
      <c r="J392" s="139" t="n">
        <v>41.18</v>
      </c>
      <c r="K392" s="140" t="n"/>
      <c r="L392" s="140">
        <f>+H392*J392</f>
        <v/>
      </c>
      <c r="M392" s="141">
        <f>SUM(M391+K392-L392)</f>
        <v/>
      </c>
    </row>
    <row r="393">
      <c r="A393" s="20" t="n">
        <v>45680</v>
      </c>
      <c r="B393" s="21" t="n">
        <v>10201</v>
      </c>
      <c r="C393" s="22" t="inlineStr">
        <is>
          <t>SELİM İNŞAAT</t>
        </is>
      </c>
      <c r="D393" s="21" t="inlineStr">
        <is>
          <t>34 DSN 621</t>
        </is>
      </c>
      <c r="E393" s="21" t="inlineStr">
        <is>
          <t>MUSTAFA KAYA</t>
        </is>
      </c>
      <c r="F393" s="23" t="n">
        <v>386816</v>
      </c>
      <c r="G393" s="138" t="n"/>
      <c r="H393" s="138" t="n">
        <v>370</v>
      </c>
      <c r="I393" s="138">
        <f>+I392+(G393-H393)</f>
        <v/>
      </c>
      <c r="J393" s="139" t="n">
        <v>41.18</v>
      </c>
      <c r="K393" s="140" t="n"/>
      <c r="L393" s="140">
        <f>+H393*J393</f>
        <v/>
      </c>
      <c r="M393" s="141">
        <f>SUM(M392+K393-L393)</f>
        <v/>
      </c>
    </row>
    <row r="394">
      <c r="A394" s="20" t="n">
        <v>45680</v>
      </c>
      <c r="B394" s="21" t="n">
        <v>21445</v>
      </c>
      <c r="C394" s="22" t="inlineStr">
        <is>
          <t>SELİM İNŞAAT</t>
        </is>
      </c>
      <c r="D394" s="21" t="inlineStr">
        <is>
          <t>34 GUS 848</t>
        </is>
      </c>
      <c r="E394" s="21" t="inlineStr">
        <is>
          <t>SERDAR BOZKURT</t>
        </is>
      </c>
      <c r="F394" s="23" t="n">
        <v>160892</v>
      </c>
      <c r="G394" s="138" t="n"/>
      <c r="H394" s="138" t="n">
        <v>423</v>
      </c>
      <c r="I394" s="138">
        <f>+I393+(G394-H394)</f>
        <v/>
      </c>
      <c r="J394" s="139" t="n">
        <v>41.18</v>
      </c>
      <c r="K394" s="140" t="n"/>
      <c r="L394" s="140">
        <f>+H394*J394</f>
        <v/>
      </c>
      <c r="M394" s="141">
        <f>SUM(M393+K394-L394)</f>
        <v/>
      </c>
    </row>
    <row r="395">
      <c r="A395" s="20" t="n">
        <v>45680</v>
      </c>
      <c r="B395" s="21" t="n">
        <v>10167</v>
      </c>
      <c r="C395" s="22" t="inlineStr">
        <is>
          <t>SELİM İNŞAAT</t>
        </is>
      </c>
      <c r="D395" s="21" t="inlineStr">
        <is>
          <t>34 EGR 736</t>
        </is>
      </c>
      <c r="E395" s="21" t="inlineStr">
        <is>
          <t>MUHAMMER ÇAMLI</t>
        </is>
      </c>
      <c r="F395" s="23" t="n">
        <v>360441</v>
      </c>
      <c r="G395" s="138" t="n"/>
      <c r="H395" s="138" t="n">
        <v>334</v>
      </c>
      <c r="I395" s="138">
        <f>+I394+(G395-H395)</f>
        <v/>
      </c>
      <c r="J395" s="139" t="n">
        <v>41.18</v>
      </c>
      <c r="K395" s="140" t="n"/>
      <c r="L395" s="140">
        <f>+H395*J395</f>
        <v/>
      </c>
      <c r="M395" s="141">
        <f>SUM(M394+K395-L395)</f>
        <v/>
      </c>
    </row>
    <row r="396">
      <c r="A396" s="20" t="n">
        <v>45680</v>
      </c>
      <c r="B396" s="21" t="n">
        <v>10618</v>
      </c>
      <c r="C396" s="22" t="inlineStr">
        <is>
          <t>SELİM İNŞAAT</t>
        </is>
      </c>
      <c r="D396" s="21" t="inlineStr">
        <is>
          <t>34 EDB 754</t>
        </is>
      </c>
      <c r="E396" s="21" t="inlineStr">
        <is>
          <t>EMİN PARLAKKILIÇ</t>
        </is>
      </c>
      <c r="F396" s="23" t="n">
        <v>296767</v>
      </c>
      <c r="G396" s="138" t="n"/>
      <c r="H396" s="138" t="n">
        <v>363</v>
      </c>
      <c r="I396" s="138">
        <f>+I395+(G396-H396)</f>
        <v/>
      </c>
      <c r="J396" s="139" t="n">
        <v>41.18</v>
      </c>
      <c r="K396" s="140" t="n"/>
      <c r="L396" s="140">
        <f>+H396*J396</f>
        <v/>
      </c>
      <c r="M396" s="141">
        <f>SUM(M395+K396-L396)</f>
        <v/>
      </c>
    </row>
    <row r="397">
      <c r="A397" s="20" t="n">
        <v>45680</v>
      </c>
      <c r="B397" s="21" t="n">
        <v>21992</v>
      </c>
      <c r="C397" s="22" t="inlineStr">
        <is>
          <t>SELİM İNŞAAT</t>
        </is>
      </c>
      <c r="D397" s="21" t="inlineStr">
        <is>
          <t>34 EGR 737</t>
        </is>
      </c>
      <c r="E397" s="21" t="inlineStr">
        <is>
          <t>İBRAHİM GÜNASLAN</t>
        </is>
      </c>
      <c r="F397" s="23" t="n">
        <v>389737</v>
      </c>
      <c r="G397" s="138" t="n"/>
      <c r="H397" s="138" t="n">
        <v>298</v>
      </c>
      <c r="I397" s="138">
        <f>+I396+(G397-H397)</f>
        <v/>
      </c>
      <c r="J397" s="139" t="n">
        <v>41.18</v>
      </c>
      <c r="K397" s="140" t="n"/>
      <c r="L397" s="140">
        <f>+H397*J397</f>
        <v/>
      </c>
      <c r="M397" s="141">
        <f>SUM(M396+K397-L397)</f>
        <v/>
      </c>
    </row>
    <row r="398">
      <c r="A398" s="20" t="n">
        <v>45680</v>
      </c>
      <c r="B398" s="21" t="n">
        <v>10679</v>
      </c>
      <c r="C398" s="22" t="inlineStr">
        <is>
          <t>SELİM İNŞAAT</t>
        </is>
      </c>
      <c r="D398" s="21" t="inlineStr">
        <is>
          <t>34 DTV 599</t>
        </is>
      </c>
      <c r="E398" s="21" t="inlineStr">
        <is>
          <t>FERHAT GÜRLER</t>
        </is>
      </c>
      <c r="F398" s="23" t="n">
        <v>408036</v>
      </c>
      <c r="G398" s="138" t="n"/>
      <c r="H398" s="138" t="n">
        <v>133</v>
      </c>
      <c r="I398" s="138">
        <f>+I397+(G398-H398)</f>
        <v/>
      </c>
      <c r="J398" s="139" t="n">
        <v>41.18</v>
      </c>
      <c r="K398" s="140" t="n"/>
      <c r="L398" s="140">
        <f>+H398*J398</f>
        <v/>
      </c>
      <c r="M398" s="141">
        <f>SUM(M397+K398-L398)</f>
        <v/>
      </c>
    </row>
    <row r="399">
      <c r="A399" s="20" t="n">
        <v>45680</v>
      </c>
      <c r="B399" s="21" t="n">
        <v>10122</v>
      </c>
      <c r="C399" s="22" t="inlineStr">
        <is>
          <t>SELİM İNŞAAT</t>
        </is>
      </c>
      <c r="D399" s="21" t="inlineStr">
        <is>
          <t>34 DP 4161</t>
        </is>
      </c>
      <c r="E399" s="21" t="inlineStr">
        <is>
          <t>RIFAT KARATAY</t>
        </is>
      </c>
      <c r="F399" s="23" t="n">
        <v>279250</v>
      </c>
      <c r="G399" s="138" t="n"/>
      <c r="H399" s="138" t="n">
        <v>237</v>
      </c>
      <c r="I399" s="138">
        <f>+I398+(G399-H399)</f>
        <v/>
      </c>
      <c r="J399" s="139" t="n">
        <v>41.18</v>
      </c>
      <c r="K399" s="140" t="n"/>
      <c r="L399" s="140">
        <f>+H399*J399</f>
        <v/>
      </c>
      <c r="M399" s="141">
        <f>SUM(M398+K399-L399)</f>
        <v/>
      </c>
    </row>
    <row r="400">
      <c r="A400" s="20" t="n">
        <v>45680</v>
      </c>
      <c r="B400" s="21" t="n">
        <v>11881</v>
      </c>
      <c r="C400" s="22" t="inlineStr">
        <is>
          <t>SELİM İNŞAAT</t>
        </is>
      </c>
      <c r="D400" s="21" t="inlineStr">
        <is>
          <t>34 DFE 454</t>
        </is>
      </c>
      <c r="E400" s="21" t="inlineStr">
        <is>
          <t>HASAN BAYCAN</t>
        </is>
      </c>
      <c r="F400" s="23" t="n">
        <v>153981</v>
      </c>
      <c r="G400" s="138" t="n"/>
      <c r="H400" s="138" t="n">
        <v>154</v>
      </c>
      <c r="I400" s="138">
        <f>+I399+(G400-H400)</f>
        <v/>
      </c>
      <c r="J400" s="139" t="n">
        <v>41.18</v>
      </c>
      <c r="K400" s="140" t="n"/>
      <c r="L400" s="140">
        <f>+H400*J400</f>
        <v/>
      </c>
      <c r="M400" s="141">
        <f>SUM(M399+K400-L400)</f>
        <v/>
      </c>
    </row>
    <row r="401">
      <c r="A401" s="20" t="n">
        <v>45680</v>
      </c>
      <c r="B401" s="21" t="n">
        <v>11004</v>
      </c>
      <c r="C401" s="22" t="inlineStr">
        <is>
          <t>SELİM İNŞAAT</t>
        </is>
      </c>
      <c r="D401" s="21" t="inlineStr">
        <is>
          <t>34 FCR 210</t>
        </is>
      </c>
      <c r="E401" s="21" t="inlineStr">
        <is>
          <t>GÖRKEM KARABEL</t>
        </is>
      </c>
      <c r="F401" s="23" t="n">
        <v>112381</v>
      </c>
      <c r="G401" s="138" t="n"/>
      <c r="H401" s="138" t="n">
        <v>182</v>
      </c>
      <c r="I401" s="138">
        <f>+I400+(G401-H401)</f>
        <v/>
      </c>
      <c r="J401" s="139" t="n">
        <v>41.18</v>
      </c>
      <c r="K401" s="140" t="n"/>
      <c r="L401" s="140">
        <f>+H401*J401</f>
        <v/>
      </c>
      <c r="M401" s="141">
        <f>SUM(M400+K401-L401)</f>
        <v/>
      </c>
    </row>
    <row r="402">
      <c r="A402" s="20" t="n">
        <v>45680</v>
      </c>
      <c r="B402" s="21" t="n">
        <v>21301</v>
      </c>
      <c r="C402" s="22" t="inlineStr">
        <is>
          <t>SELİM İNŞAAT</t>
        </is>
      </c>
      <c r="D402" s="21" t="inlineStr">
        <is>
          <t>34 FEM 934</t>
        </is>
      </c>
      <c r="E402" s="21" t="inlineStr">
        <is>
          <t>MUSTAFA ALBAYRAK</t>
        </is>
      </c>
      <c r="F402" s="23" t="n">
        <v>297923</v>
      </c>
      <c r="G402" s="138" t="n"/>
      <c r="H402" s="138" t="n">
        <v>30</v>
      </c>
      <c r="I402" s="138">
        <f>+I401+(G402-H402)</f>
        <v/>
      </c>
      <c r="J402" s="139" t="n">
        <v>41.18</v>
      </c>
      <c r="K402" s="140" t="n"/>
      <c r="L402" s="140">
        <f>+H402*J402</f>
        <v/>
      </c>
      <c r="M402" s="141">
        <f>SUM(M401+K402-L402)</f>
        <v/>
      </c>
    </row>
    <row r="403">
      <c r="A403" s="20" t="n">
        <v>45680</v>
      </c>
      <c r="B403" s="1" t="n">
        <v>10848</v>
      </c>
      <c r="C403" s="2" t="inlineStr">
        <is>
          <t>VARLIK</t>
        </is>
      </c>
      <c r="D403" s="1" t="inlineStr">
        <is>
          <t>SM 350</t>
        </is>
      </c>
      <c r="E403" s="1" t="inlineStr">
        <is>
          <t>BAYRAM SANCAK</t>
        </is>
      </c>
      <c r="F403" s="3" t="n"/>
      <c r="G403" s="143" t="n"/>
      <c r="H403" s="143" t="n">
        <v>197</v>
      </c>
      <c r="I403" s="143">
        <f>+I402+(G403-H403)</f>
        <v/>
      </c>
      <c r="J403" s="144" t="n">
        <v>41.18</v>
      </c>
      <c r="K403" s="145" t="n"/>
      <c r="L403" s="140">
        <f>+H403*J403</f>
        <v/>
      </c>
      <c r="M403" s="141">
        <f>SUM(M402+K403-L403)</f>
        <v/>
      </c>
    </row>
    <row r="404">
      <c r="A404" s="20" t="n">
        <v>45680</v>
      </c>
      <c r="B404" s="1" t="n">
        <v>10849</v>
      </c>
      <c r="C404" s="2" t="inlineStr">
        <is>
          <t>VARLIK</t>
        </is>
      </c>
      <c r="D404" s="1" t="inlineStr">
        <is>
          <t>SM 370</t>
        </is>
      </c>
      <c r="E404" s="1" t="inlineStr">
        <is>
          <t>TEKİN ŞEYLAN</t>
        </is>
      </c>
      <c r="F404" s="3" t="n"/>
      <c r="G404" s="143" t="n"/>
      <c r="H404" s="143" t="n">
        <v>249</v>
      </c>
      <c r="I404" s="143">
        <f>+I403+(G404-H404)</f>
        <v/>
      </c>
      <c r="J404" s="144" t="n">
        <v>41.18</v>
      </c>
      <c r="K404" s="145" t="n"/>
      <c r="L404" s="140">
        <f>+H404*J404</f>
        <v/>
      </c>
      <c r="M404" s="141">
        <f>SUM(M403+K404-L404)</f>
        <v/>
      </c>
    </row>
    <row r="405">
      <c r="A405" s="20" t="n">
        <v>45680</v>
      </c>
      <c r="B405" s="1" t="n">
        <v>10850</v>
      </c>
      <c r="C405" s="2" t="inlineStr">
        <is>
          <t>VARLIK</t>
        </is>
      </c>
      <c r="D405" s="1" t="inlineStr">
        <is>
          <t>SM 300</t>
        </is>
      </c>
      <c r="E405" s="1" t="inlineStr">
        <is>
          <t>TURGUT SANCAK</t>
        </is>
      </c>
      <c r="F405" s="3" t="n"/>
      <c r="G405" s="143" t="n"/>
      <c r="H405" s="143" t="n">
        <v>276</v>
      </c>
      <c r="I405" s="143">
        <f>+I404+(G405-H405)</f>
        <v/>
      </c>
      <c r="J405" s="144" t="n">
        <v>41.18</v>
      </c>
      <c r="K405" s="145" t="n"/>
      <c r="L405" s="140">
        <f>+H405*J405</f>
        <v/>
      </c>
      <c r="M405" s="141">
        <f>SUM(M404+K405-L405)</f>
        <v/>
      </c>
    </row>
    <row r="406">
      <c r="A406" s="20" t="n">
        <v>45680</v>
      </c>
      <c r="B406" s="1" t="n">
        <v>14854</v>
      </c>
      <c r="C406" s="2" t="inlineStr">
        <is>
          <t>VARLIK</t>
        </is>
      </c>
      <c r="D406" s="1" t="inlineStr">
        <is>
          <t>KAVAZAKİ</t>
        </is>
      </c>
      <c r="E406" s="1" t="inlineStr">
        <is>
          <t>UFUK SEVAL</t>
        </is>
      </c>
      <c r="F406" s="3" t="n"/>
      <c r="G406" s="143" t="n"/>
      <c r="H406" s="143" t="n">
        <v>154</v>
      </c>
      <c r="I406" s="143">
        <f>+I405+(G406-H406)</f>
        <v/>
      </c>
      <c r="J406" s="144" t="n">
        <v>41.18</v>
      </c>
      <c r="K406" s="145" t="n"/>
      <c r="L406" s="140">
        <f>+H406*J406</f>
        <v/>
      </c>
      <c r="M406" s="141">
        <f>SUM(M405+K406-L406)</f>
        <v/>
      </c>
    </row>
    <row r="407">
      <c r="A407" s="20" t="n">
        <v>45680</v>
      </c>
      <c r="B407" s="1" t="n">
        <v>14857</v>
      </c>
      <c r="C407" s="2" t="inlineStr">
        <is>
          <t>HASALTUN</t>
        </is>
      </c>
      <c r="D407" s="1" t="inlineStr">
        <is>
          <t>SM 350</t>
        </is>
      </c>
      <c r="E407" s="1" t="inlineStr">
        <is>
          <t>TEVFİK ÖZTÜRK</t>
        </is>
      </c>
      <c r="F407" s="3" t="n"/>
      <c r="G407" s="143" t="n"/>
      <c r="H407" s="143" t="n">
        <v>372</v>
      </c>
      <c r="I407" s="143">
        <f>+I406+(G407-H407)</f>
        <v/>
      </c>
      <c r="J407" s="144" t="n">
        <v>41.18</v>
      </c>
      <c r="K407" s="145" t="n"/>
      <c r="L407" s="140">
        <f>+H407*J407</f>
        <v/>
      </c>
      <c r="M407" s="141">
        <f>SUM(M406+K407-L407)</f>
        <v/>
      </c>
    </row>
    <row r="408">
      <c r="A408" s="20" t="n">
        <v>45681</v>
      </c>
      <c r="B408" s="21" t="n">
        <v>11419</v>
      </c>
      <c r="C408" s="22" t="inlineStr">
        <is>
          <t>METİN ERYİĞİT</t>
        </is>
      </c>
      <c r="D408" s="21" t="inlineStr">
        <is>
          <t>34 EGR 814</t>
        </is>
      </c>
      <c r="E408" s="21" t="inlineStr">
        <is>
          <t>FARUK ÖZEN</t>
        </is>
      </c>
      <c r="F408" s="23" t="n">
        <v>511920</v>
      </c>
      <c r="G408" s="138" t="n"/>
      <c r="H408" s="138" t="n">
        <v>425</v>
      </c>
      <c r="I408" s="138">
        <f>+I407+(G408-H408)</f>
        <v/>
      </c>
      <c r="J408" s="139" t="n">
        <v>41.18</v>
      </c>
      <c r="K408" s="140" t="n"/>
      <c r="L408" s="140">
        <f>+H408*J408</f>
        <v/>
      </c>
      <c r="M408" s="141">
        <f>SUM(M407+K408-L408)</f>
        <v/>
      </c>
    </row>
    <row r="409">
      <c r="A409" s="20" t="n">
        <v>45681</v>
      </c>
      <c r="B409" s="21" t="n">
        <v>11455</v>
      </c>
      <c r="C409" s="22" t="inlineStr">
        <is>
          <t>METİN ŞİRİN</t>
        </is>
      </c>
      <c r="D409" s="21" t="inlineStr">
        <is>
          <t>34 EGR 922</t>
        </is>
      </c>
      <c r="E409" s="21" t="inlineStr">
        <is>
          <t>GÜRAY KOYUNCU</t>
        </is>
      </c>
      <c r="F409" s="23" t="n">
        <v>430233</v>
      </c>
      <c r="G409" s="138" t="n"/>
      <c r="H409" s="138" t="n">
        <v>230</v>
      </c>
      <c r="I409" s="138">
        <f>+I408+(G409-H409)</f>
        <v/>
      </c>
      <c r="J409" s="139" t="n">
        <v>41.18</v>
      </c>
      <c r="K409" s="140" t="n"/>
      <c r="L409" s="140">
        <f>+H409*J409</f>
        <v/>
      </c>
      <c r="M409" s="141">
        <f>SUM(M408+K409-L409)</f>
        <v/>
      </c>
    </row>
    <row r="410">
      <c r="A410" s="20" t="n">
        <v>45681</v>
      </c>
      <c r="B410" s="21" t="n">
        <v>11903</v>
      </c>
      <c r="C410" s="22" t="inlineStr">
        <is>
          <t>SELİM İNŞAAT</t>
        </is>
      </c>
      <c r="D410" s="21" t="inlineStr">
        <is>
          <t>34 FBR 742</t>
        </is>
      </c>
      <c r="E410" s="21" t="inlineStr">
        <is>
          <t>MİKAİL BAYILMAZ</t>
        </is>
      </c>
      <c r="F410" s="23" t="n">
        <v>290943</v>
      </c>
      <c r="G410" s="138" t="n"/>
      <c r="H410" s="138" t="n">
        <v>497</v>
      </c>
      <c r="I410" s="138">
        <f>+I409+(G410-H410)</f>
        <v/>
      </c>
      <c r="J410" s="139" t="n">
        <v>41.18</v>
      </c>
      <c r="K410" s="140" t="n"/>
      <c r="L410" s="140">
        <f>+H410*J410</f>
        <v/>
      </c>
      <c r="M410" s="141">
        <f>SUM(M409+K410-L410)</f>
        <v/>
      </c>
    </row>
    <row r="411">
      <c r="A411" s="20" t="n">
        <v>45681</v>
      </c>
      <c r="B411" s="21" t="n">
        <v>21473</v>
      </c>
      <c r="C411" s="22" t="inlineStr">
        <is>
          <t>SELİM İNŞAAT</t>
        </is>
      </c>
      <c r="D411" s="21" t="inlineStr">
        <is>
          <t>34 GYZ 635</t>
        </is>
      </c>
      <c r="E411" s="21" t="inlineStr">
        <is>
          <t>ENGİN DEMİR</t>
        </is>
      </c>
      <c r="F411" s="23" t="n">
        <v>145735</v>
      </c>
      <c r="G411" s="138" t="n"/>
      <c r="H411" s="138" t="n">
        <v>453</v>
      </c>
      <c r="I411" s="138">
        <f>+I410+(G411-H411)</f>
        <v/>
      </c>
      <c r="J411" s="139" t="n">
        <v>41.18</v>
      </c>
      <c r="K411" s="140" t="n"/>
      <c r="L411" s="140">
        <f>+H411*J411</f>
        <v/>
      </c>
      <c r="M411" s="141">
        <f>SUM(M410+K411-L411)</f>
        <v/>
      </c>
    </row>
    <row r="412">
      <c r="A412" s="20" t="n">
        <v>45681</v>
      </c>
      <c r="B412" s="21" t="n">
        <v>10508</v>
      </c>
      <c r="C412" s="22" t="inlineStr">
        <is>
          <t>SELİM İNŞAAT</t>
        </is>
      </c>
      <c r="D412" s="21" t="inlineStr">
        <is>
          <t>34 EDB 922</t>
        </is>
      </c>
      <c r="E412" s="21" t="inlineStr">
        <is>
          <t>AHMET TOPÇU</t>
        </is>
      </c>
      <c r="F412" s="23" t="n">
        <v>330422</v>
      </c>
      <c r="G412" s="138" t="n"/>
      <c r="H412" s="138" t="n">
        <v>371</v>
      </c>
      <c r="I412" s="138">
        <f>+I411+(G412-H412)</f>
        <v/>
      </c>
      <c r="J412" s="139" t="n">
        <v>41.18</v>
      </c>
      <c r="K412" s="140" t="n"/>
      <c r="L412" s="140">
        <f>+H412*J412</f>
        <v/>
      </c>
      <c r="M412" s="141">
        <f>SUM(M411+K412-L412)</f>
        <v/>
      </c>
    </row>
    <row r="413">
      <c r="A413" s="20" t="n">
        <v>45681</v>
      </c>
      <c r="B413" s="21" t="n">
        <v>11620</v>
      </c>
      <c r="C413" s="22" t="inlineStr">
        <is>
          <t>SELİM İNŞAAT</t>
        </is>
      </c>
      <c r="D413" s="21" t="inlineStr">
        <is>
          <t>34 DTV 352</t>
        </is>
      </c>
      <c r="E413" s="21" t="inlineStr">
        <is>
          <t xml:space="preserve">RASİM BARTU </t>
        </is>
      </c>
      <c r="F413" s="23" t="n">
        <v>407528</v>
      </c>
      <c r="G413" s="138" t="n"/>
      <c r="H413" s="138" t="n">
        <v>343</v>
      </c>
      <c r="I413" s="138">
        <f>+I412+(G413-H413)</f>
        <v/>
      </c>
      <c r="J413" s="139" t="n">
        <v>41.18</v>
      </c>
      <c r="K413" s="140" t="n"/>
      <c r="L413" s="140">
        <f>+H413*J413</f>
        <v/>
      </c>
      <c r="M413" s="141">
        <f>SUM(M412+K413-L413)</f>
        <v/>
      </c>
    </row>
    <row r="414">
      <c r="A414" s="20" t="n">
        <v>45681</v>
      </c>
      <c r="B414" s="21" t="n">
        <v>11803</v>
      </c>
      <c r="C414" s="22" t="inlineStr">
        <is>
          <t>SELİM İNŞAAT</t>
        </is>
      </c>
      <c r="D414" s="21" t="inlineStr">
        <is>
          <t>34 FSG 229</t>
        </is>
      </c>
      <c r="E414" s="21" t="inlineStr">
        <is>
          <t>SİNAN TANRIVERDİ</t>
        </is>
      </c>
      <c r="F414" s="23" t="n">
        <v>230005</v>
      </c>
      <c r="G414" s="138" t="n"/>
      <c r="H414" s="138" t="n">
        <v>310</v>
      </c>
      <c r="I414" s="138">
        <f>+I413+(G414-H414)</f>
        <v/>
      </c>
      <c r="J414" s="139" t="n">
        <v>41.18</v>
      </c>
      <c r="K414" s="140" t="n"/>
      <c r="L414" s="140">
        <f>+H414*J414</f>
        <v/>
      </c>
      <c r="M414" s="141">
        <f>SUM(M413+K414-L414)</f>
        <v/>
      </c>
    </row>
    <row r="415">
      <c r="A415" s="20" t="n">
        <v>45681</v>
      </c>
      <c r="B415" s="21" t="n">
        <v>11267</v>
      </c>
      <c r="C415" s="22" t="inlineStr">
        <is>
          <t>SELİM İNŞAAT</t>
        </is>
      </c>
      <c r="D415" s="21" t="inlineStr">
        <is>
          <t>34 EDC 162</t>
        </is>
      </c>
      <c r="E415" s="21" t="inlineStr">
        <is>
          <t xml:space="preserve">YAKUP GÜNER </t>
        </is>
      </c>
      <c r="F415" s="23" t="n">
        <v>337541</v>
      </c>
      <c r="G415" s="138" t="n"/>
      <c r="H415" s="138" t="n">
        <v>253</v>
      </c>
      <c r="I415" s="138">
        <f>+I414+(G415-H415)</f>
        <v/>
      </c>
      <c r="J415" s="139" t="n">
        <v>41.18</v>
      </c>
      <c r="K415" s="140" t="n"/>
      <c r="L415" s="140">
        <f>+H415*J415</f>
        <v/>
      </c>
      <c r="M415" s="141">
        <f>SUM(M414+K415-L415)</f>
        <v/>
      </c>
    </row>
    <row r="416">
      <c r="A416" s="20" t="n">
        <v>45681</v>
      </c>
      <c r="B416" s="21" t="n">
        <v>10272</v>
      </c>
      <c r="C416" s="22" t="inlineStr">
        <is>
          <t>SELİM İNŞAAT</t>
        </is>
      </c>
      <c r="D416" s="21" t="inlineStr">
        <is>
          <t>34 FBR 748</t>
        </is>
      </c>
      <c r="E416" s="21" t="inlineStr">
        <is>
          <t>YAŞAR ÖZKAYA</t>
        </is>
      </c>
      <c r="F416" s="23" t="n">
        <v>257218</v>
      </c>
      <c r="G416" s="138" t="n"/>
      <c r="H416" s="138" t="n">
        <v>424</v>
      </c>
      <c r="I416" s="138">
        <f>+I415+(G416-H416)</f>
        <v/>
      </c>
      <c r="J416" s="139" t="n">
        <v>41.18</v>
      </c>
      <c r="K416" s="140" t="n"/>
      <c r="L416" s="140">
        <f>+H416*J416</f>
        <v/>
      </c>
      <c r="M416" s="141">
        <f>SUM(M415+K416-L416)</f>
        <v/>
      </c>
    </row>
    <row r="417">
      <c r="A417" s="20" t="n">
        <v>45681</v>
      </c>
      <c r="B417" s="21" t="n">
        <v>20993</v>
      </c>
      <c r="C417" s="22" t="inlineStr">
        <is>
          <t>SELİM İNŞAAT</t>
        </is>
      </c>
      <c r="D417" s="21" t="inlineStr">
        <is>
          <t>34 GUS 938</t>
        </is>
      </c>
      <c r="E417" s="21" t="inlineStr">
        <is>
          <t>MEHMET KAYA</t>
        </is>
      </c>
      <c r="F417" s="23" t="n">
        <v>157081</v>
      </c>
      <c r="G417" s="138" t="n"/>
      <c r="H417" s="138" t="n">
        <v>480</v>
      </c>
      <c r="I417" s="138">
        <f>+I416+(G417-H417)</f>
        <v/>
      </c>
      <c r="J417" s="139" t="n">
        <v>41.18</v>
      </c>
      <c r="K417" s="140" t="n"/>
      <c r="L417" s="140">
        <f>+H417*J417</f>
        <v/>
      </c>
      <c r="M417" s="141">
        <f>SUM(M416+K417-L417)</f>
        <v/>
      </c>
    </row>
    <row r="418">
      <c r="A418" s="20" t="n">
        <v>45681</v>
      </c>
      <c r="B418" s="21" t="n">
        <v>10311</v>
      </c>
      <c r="C418" s="22" t="inlineStr">
        <is>
          <t>SELİM İNŞAAT</t>
        </is>
      </c>
      <c r="D418" s="21" t="inlineStr">
        <is>
          <t>34 EDB 829</t>
        </is>
      </c>
      <c r="E418" s="21" t="inlineStr">
        <is>
          <t>İSMET BAYRAM</t>
        </is>
      </c>
      <c r="F418" s="23" t="n">
        <v>290246</v>
      </c>
      <c r="G418" s="138" t="n"/>
      <c r="H418" s="138" t="n">
        <v>275</v>
      </c>
      <c r="I418" s="138">
        <f>+I417+(G418-H418)</f>
        <v/>
      </c>
      <c r="J418" s="139" t="n">
        <v>41.18</v>
      </c>
      <c r="K418" s="140" t="n"/>
      <c r="L418" s="140">
        <f>+H418*J418</f>
        <v/>
      </c>
      <c r="M418" s="141">
        <f>SUM(M417+K418-L418)</f>
        <v/>
      </c>
    </row>
    <row r="419">
      <c r="A419" s="20" t="n">
        <v>45681</v>
      </c>
      <c r="B419" s="21" t="n">
        <v>10055</v>
      </c>
      <c r="C419" s="22" t="inlineStr">
        <is>
          <t>SELİM İNŞAAT</t>
        </is>
      </c>
      <c r="D419" s="21" t="inlineStr">
        <is>
          <t>34 FBR 771</t>
        </is>
      </c>
      <c r="E419" s="21" t="inlineStr">
        <is>
          <t>HÜSEYİN AKÇİN</t>
        </is>
      </c>
      <c r="F419" s="23" t="n">
        <v>290472</v>
      </c>
      <c r="G419" s="138" t="n"/>
      <c r="H419" s="138" t="n">
        <v>414</v>
      </c>
      <c r="I419" s="138">
        <f>+I418+(G419-H419)</f>
        <v/>
      </c>
      <c r="J419" s="139" t="n">
        <v>41.18</v>
      </c>
      <c r="K419" s="140" t="n"/>
      <c r="L419" s="140">
        <f>+H419*J419</f>
        <v/>
      </c>
      <c r="M419" s="141">
        <f>SUM(M418+K419-L419)</f>
        <v/>
      </c>
    </row>
    <row r="420">
      <c r="A420" s="20" t="n">
        <v>45681</v>
      </c>
      <c r="B420" s="21" t="n">
        <v>21446</v>
      </c>
      <c r="C420" s="22" t="inlineStr">
        <is>
          <t>SELİM İNŞAAT</t>
        </is>
      </c>
      <c r="D420" s="21" t="inlineStr">
        <is>
          <t>34 GUS 848</t>
        </is>
      </c>
      <c r="E420" s="21" t="inlineStr">
        <is>
          <t>SERDAR BOZKURT</t>
        </is>
      </c>
      <c r="F420" s="23" t="n">
        <v>161465</v>
      </c>
      <c r="G420" s="138" t="n"/>
      <c r="H420" s="138" t="n">
        <v>279</v>
      </c>
      <c r="I420" s="138">
        <f>+I419+(G420-H420)</f>
        <v/>
      </c>
      <c r="J420" s="139" t="n">
        <v>41.18</v>
      </c>
      <c r="K420" s="140" t="n"/>
      <c r="L420" s="140">
        <f>+H420*J420</f>
        <v/>
      </c>
      <c r="M420" s="141">
        <f>SUM(M419+K420-L420)</f>
        <v/>
      </c>
    </row>
    <row r="421">
      <c r="A421" s="20" t="n">
        <v>45681</v>
      </c>
      <c r="B421" s="21" t="n">
        <v>9785</v>
      </c>
      <c r="C421" s="22" t="inlineStr">
        <is>
          <t>SELİM İNŞAAT</t>
        </is>
      </c>
      <c r="D421" s="21" t="inlineStr">
        <is>
          <t>34 GUZ 268</t>
        </is>
      </c>
      <c r="E421" s="21" t="inlineStr">
        <is>
          <t>KERİM KARAMAN</t>
        </is>
      </c>
      <c r="F421" s="23" t="n">
        <v>163813</v>
      </c>
      <c r="G421" s="138" t="n"/>
      <c r="H421" s="138" t="n">
        <v>457</v>
      </c>
      <c r="I421" s="138">
        <f>+I420+(G421-H421)</f>
        <v/>
      </c>
      <c r="J421" s="139" t="n">
        <v>41.18</v>
      </c>
      <c r="K421" s="140" t="n"/>
      <c r="L421" s="140">
        <f>+H421*J421</f>
        <v/>
      </c>
      <c r="M421" s="141">
        <f>SUM(M420+K421-L421)</f>
        <v/>
      </c>
    </row>
    <row r="422">
      <c r="A422" s="20" t="n">
        <v>45681</v>
      </c>
      <c r="B422" s="21" t="n">
        <v>20895</v>
      </c>
      <c r="C422" s="22" t="inlineStr">
        <is>
          <t>SELİM İNŞAAT</t>
        </is>
      </c>
      <c r="D422" s="21" t="inlineStr">
        <is>
          <t>34 GVZ 310</t>
        </is>
      </c>
      <c r="E422" s="21" t="inlineStr">
        <is>
          <t>CELAL YÜZBAŞI</t>
        </is>
      </c>
      <c r="F422" s="23" t="n">
        <v>166098</v>
      </c>
      <c r="G422" s="138" t="n"/>
      <c r="H422" s="138" t="n">
        <v>404</v>
      </c>
      <c r="I422" s="138">
        <f>+I421+(G422-H422)</f>
        <v/>
      </c>
      <c r="J422" s="139" t="n">
        <v>41.18</v>
      </c>
      <c r="K422" s="140" t="n"/>
      <c r="L422" s="140">
        <f>+H422*J422</f>
        <v/>
      </c>
      <c r="M422" s="141">
        <f>SUM(M421+K422-L422)</f>
        <v/>
      </c>
    </row>
    <row r="423">
      <c r="A423" s="20" t="n">
        <v>45681</v>
      </c>
      <c r="B423" s="21" t="n">
        <v>10420</v>
      </c>
      <c r="C423" s="22" t="inlineStr">
        <is>
          <t>SELİM İNŞAAT</t>
        </is>
      </c>
      <c r="D423" s="21" t="inlineStr">
        <is>
          <t>34 FBR 781</t>
        </is>
      </c>
      <c r="E423" s="21" t="inlineStr">
        <is>
          <t>MEVLÜT POLAT</t>
        </is>
      </c>
      <c r="F423" s="23" t="n">
        <v>274491</v>
      </c>
      <c r="G423" s="138" t="n"/>
      <c r="H423" s="138" t="n">
        <v>434</v>
      </c>
      <c r="I423" s="138">
        <f>+I422+(G423-H423)</f>
        <v/>
      </c>
      <c r="J423" s="139" t="n">
        <v>41.18</v>
      </c>
      <c r="K423" s="140" t="n"/>
      <c r="L423" s="140">
        <f>+H423*J423</f>
        <v/>
      </c>
      <c r="M423" s="141">
        <f>SUM(M422+K423-L423)</f>
        <v/>
      </c>
    </row>
    <row r="424">
      <c r="A424" s="20" t="n">
        <v>45681</v>
      </c>
      <c r="B424" s="21" t="n">
        <v>10619</v>
      </c>
      <c r="C424" s="22" t="inlineStr">
        <is>
          <t>SELİM İNŞAAT</t>
        </is>
      </c>
      <c r="D424" s="21" t="inlineStr">
        <is>
          <t>34 EDB 754</t>
        </is>
      </c>
      <c r="E424" s="21" t="inlineStr">
        <is>
          <t>EMİN PARLAKKILIÇ</t>
        </is>
      </c>
      <c r="F424" s="23" t="n">
        <v>297175</v>
      </c>
      <c r="G424" s="138" t="n"/>
      <c r="H424" s="138" t="n">
        <v>257</v>
      </c>
      <c r="I424" s="138">
        <f>+I423+(G424-H424)</f>
        <v/>
      </c>
      <c r="J424" s="139" t="n">
        <v>41.18</v>
      </c>
      <c r="K424" s="140" t="n"/>
      <c r="L424" s="140">
        <f>+H424*J424</f>
        <v/>
      </c>
      <c r="M424" s="141">
        <f>SUM(M423+K424-L424)</f>
        <v/>
      </c>
    </row>
    <row r="425">
      <c r="A425" s="20" t="n">
        <v>45681</v>
      </c>
      <c r="B425" s="21" t="n">
        <v>11121</v>
      </c>
      <c r="C425" s="22" t="inlineStr">
        <is>
          <t>SELİM İNŞAAT</t>
        </is>
      </c>
      <c r="D425" s="21" t="inlineStr">
        <is>
          <t>34 DTV 409</t>
        </is>
      </c>
      <c r="E425" s="21" t="inlineStr">
        <is>
          <t xml:space="preserve">ONUR CANLI </t>
        </is>
      </c>
      <c r="F425" s="23" t="n">
        <v>394464</v>
      </c>
      <c r="G425" s="138" t="n"/>
      <c r="H425" s="138" t="n">
        <v>240</v>
      </c>
      <c r="I425" s="138">
        <f>+I424+(G425-H425)</f>
        <v/>
      </c>
      <c r="J425" s="139" t="n">
        <v>41.18</v>
      </c>
      <c r="K425" s="140" t="n"/>
      <c r="L425" s="140">
        <f>+H425*J425</f>
        <v/>
      </c>
      <c r="M425" s="141">
        <f>SUM(M424+K425-L425)</f>
        <v/>
      </c>
    </row>
    <row r="426">
      <c r="A426" s="20" t="n">
        <v>45681</v>
      </c>
      <c r="B426" s="21" t="n">
        <v>21095</v>
      </c>
      <c r="C426" s="22" t="inlineStr">
        <is>
          <t>SELİM İNŞAAT</t>
        </is>
      </c>
      <c r="D426" s="21" t="inlineStr">
        <is>
          <t>34 EDB 659</t>
        </is>
      </c>
      <c r="E426" s="21" t="inlineStr">
        <is>
          <t>MEHMET SAİT ANIK</t>
        </is>
      </c>
      <c r="F426" s="23" t="n">
        <v>311750</v>
      </c>
      <c r="G426" s="138" t="n"/>
      <c r="H426" s="138" t="n">
        <v>425</v>
      </c>
      <c r="I426" s="138">
        <f>+I425+(G426-H426)</f>
        <v/>
      </c>
      <c r="J426" s="139" t="n">
        <v>41.18</v>
      </c>
      <c r="K426" s="140" t="n"/>
      <c r="L426" s="140">
        <f>+H426*J426</f>
        <v/>
      </c>
      <c r="M426" s="141">
        <f>SUM(M425+K426-L426)</f>
        <v/>
      </c>
    </row>
    <row r="427">
      <c r="A427" s="20" t="n">
        <v>45681</v>
      </c>
      <c r="B427" s="21" t="n">
        <v>10353</v>
      </c>
      <c r="C427" s="22" t="inlineStr">
        <is>
          <t>SELİM İNŞAAT</t>
        </is>
      </c>
      <c r="D427" s="21" t="inlineStr">
        <is>
          <t>34 DRU 690</t>
        </is>
      </c>
      <c r="E427" s="21" t="inlineStr">
        <is>
          <t>İSMET BAYRAM</t>
        </is>
      </c>
      <c r="F427" s="23" t="n">
        <v>388153</v>
      </c>
      <c r="G427" s="138" t="n"/>
      <c r="H427" s="138" t="n">
        <v>347</v>
      </c>
      <c r="I427" s="138">
        <f>+I426+(G427-H427)</f>
        <v/>
      </c>
      <c r="J427" s="139" t="n">
        <v>41.18</v>
      </c>
      <c r="K427" s="140" t="n"/>
      <c r="L427" s="140">
        <f>+H427*J427</f>
        <v/>
      </c>
      <c r="M427" s="141">
        <f>SUM(M426+K427-L427)</f>
        <v/>
      </c>
    </row>
    <row r="428">
      <c r="A428" s="20" t="n">
        <v>45681</v>
      </c>
      <c r="B428" s="21" t="n">
        <v>9920</v>
      </c>
      <c r="C428" s="22" t="inlineStr">
        <is>
          <t>ENES SELİM</t>
        </is>
      </c>
      <c r="D428" s="21" t="inlineStr">
        <is>
          <t>TB 926 VİNÇ</t>
        </is>
      </c>
      <c r="E428" s="21" t="inlineStr">
        <is>
          <t>ENES SELİM</t>
        </is>
      </c>
      <c r="F428" s="23" t="n"/>
      <c r="G428" s="138" t="n"/>
      <c r="H428" s="138" t="n">
        <v>172</v>
      </c>
      <c r="I428" s="138">
        <f>+I427+(G428-H428)</f>
        <v/>
      </c>
      <c r="J428" s="139" t="n">
        <v>41.18</v>
      </c>
      <c r="K428" s="140" t="n"/>
      <c r="L428" s="140">
        <f>+H428*J428</f>
        <v/>
      </c>
      <c r="M428" s="141">
        <f>SUM(M427+K428-L428)</f>
        <v/>
      </c>
    </row>
    <row r="429">
      <c r="A429" s="20" t="n">
        <v>45681</v>
      </c>
      <c r="B429" s="21" t="n">
        <v>21125</v>
      </c>
      <c r="C429" s="22" t="inlineStr">
        <is>
          <t>SELİM İNŞAAT</t>
        </is>
      </c>
      <c r="D429" s="21" t="inlineStr">
        <is>
          <t>34 TG 7869</t>
        </is>
      </c>
      <c r="E429" s="21" t="inlineStr">
        <is>
          <t>GÖRKEM KARABEL</t>
        </is>
      </c>
      <c r="F429" s="23" t="n">
        <v>178686</v>
      </c>
      <c r="G429" s="138" t="n"/>
      <c r="H429" s="138" t="n">
        <v>255</v>
      </c>
      <c r="I429" s="138">
        <f>+I428+(G429-H429)</f>
        <v/>
      </c>
      <c r="J429" s="139" t="n">
        <v>41.18</v>
      </c>
      <c r="K429" s="140" t="n"/>
      <c r="L429" s="140">
        <f>+H429*J429</f>
        <v/>
      </c>
      <c r="M429" s="141">
        <f>SUM(M428+K429-L429)</f>
        <v/>
      </c>
    </row>
    <row r="430">
      <c r="A430" s="20" t="n">
        <v>45681</v>
      </c>
      <c r="B430" s="21" t="n">
        <v>20292</v>
      </c>
      <c r="C430" s="22" t="inlineStr">
        <is>
          <t>SELİM İNŞAAT</t>
        </is>
      </c>
      <c r="D430" s="21" t="inlineStr">
        <is>
          <t>34 DKL 866</t>
        </is>
      </c>
      <c r="E430" s="21" t="inlineStr">
        <is>
          <t>ŞERİF CAN ÖNVER</t>
        </is>
      </c>
      <c r="F430" s="23" t="n">
        <v>60396</v>
      </c>
      <c r="G430" s="138" t="n"/>
      <c r="H430" s="138" t="n">
        <v>97</v>
      </c>
      <c r="I430" s="138">
        <f>+I429+(G430-H430)</f>
        <v/>
      </c>
      <c r="J430" s="139" t="n">
        <v>41.18</v>
      </c>
      <c r="K430" s="140" t="n"/>
      <c r="L430" s="140">
        <f>+H430*J430</f>
        <v/>
      </c>
      <c r="M430" s="141">
        <f>SUM(M429+K430-L430)</f>
        <v/>
      </c>
    </row>
    <row r="431">
      <c r="A431" s="20" t="n">
        <v>45681</v>
      </c>
      <c r="B431" s="21" t="n">
        <v>11983</v>
      </c>
      <c r="C431" s="22" t="inlineStr">
        <is>
          <t>SELİM İNŞAAT</t>
        </is>
      </c>
      <c r="D431" s="21" t="inlineStr">
        <is>
          <t>34 DKL 798</t>
        </is>
      </c>
      <c r="E431" s="21" t="inlineStr">
        <is>
          <t>VOLKAN YANAR</t>
        </is>
      </c>
      <c r="F431" s="23" t="n">
        <v>60581</v>
      </c>
      <c r="G431" s="138" t="n"/>
      <c r="H431" s="138" t="n">
        <v>208</v>
      </c>
      <c r="I431" s="138">
        <f>+I430+(G431-H431)</f>
        <v/>
      </c>
      <c r="J431" s="139" t="n">
        <v>41.18</v>
      </c>
      <c r="K431" s="140" t="n"/>
      <c r="L431" s="140">
        <f>+H431*J431</f>
        <v/>
      </c>
      <c r="M431" s="141">
        <f>SUM(M430+K431-L431)</f>
        <v/>
      </c>
    </row>
    <row r="432">
      <c r="A432" s="20" t="n">
        <v>45681</v>
      </c>
      <c r="B432" s="21" t="n">
        <v>11882</v>
      </c>
      <c r="C432" s="22" t="inlineStr">
        <is>
          <t>SELİM İNŞAAT</t>
        </is>
      </c>
      <c r="D432" s="21" t="inlineStr">
        <is>
          <t>34 DFE 454</t>
        </is>
      </c>
      <c r="E432" s="21" t="inlineStr">
        <is>
          <t>HASAN BAYCAN</t>
        </is>
      </c>
      <c r="F432" s="23" t="n">
        <v>154063</v>
      </c>
      <c r="G432" s="138" t="n"/>
      <c r="H432" s="138" t="n">
        <v>158</v>
      </c>
      <c r="I432" s="138">
        <f>+I431+(G432-H432)</f>
        <v/>
      </c>
      <c r="J432" s="139" t="n">
        <v>41.18</v>
      </c>
      <c r="K432" s="140" t="n"/>
      <c r="L432" s="140">
        <f>+H432*J432</f>
        <v/>
      </c>
      <c r="M432" s="141">
        <f>SUM(M431+K432-L432)</f>
        <v/>
      </c>
    </row>
    <row r="433">
      <c r="A433" s="20" t="n">
        <v>45681</v>
      </c>
      <c r="B433" s="21" t="n">
        <v>11055</v>
      </c>
      <c r="C433" s="22" t="inlineStr">
        <is>
          <t>SELİM İNŞAAT</t>
        </is>
      </c>
      <c r="D433" s="21" t="inlineStr">
        <is>
          <t>34 HBY 763</t>
        </is>
      </c>
      <c r="E433" s="21" t="inlineStr">
        <is>
          <t>A.KERİM ERGEN</t>
        </is>
      </c>
      <c r="F433" s="23" t="n">
        <v>12370</v>
      </c>
      <c r="G433" s="138" t="n"/>
      <c r="H433" s="138" t="n">
        <v>166</v>
      </c>
      <c r="I433" s="138">
        <f>+I432+(G433-H433)</f>
        <v/>
      </c>
      <c r="J433" s="139" t="n">
        <v>41.18</v>
      </c>
      <c r="K433" s="140" t="n"/>
      <c r="L433" s="140">
        <f>+H433*J433</f>
        <v/>
      </c>
      <c r="M433" s="141">
        <f>SUM(M432+K433-L433)</f>
        <v/>
      </c>
    </row>
    <row r="434">
      <c r="A434" s="20" t="n">
        <v>45681</v>
      </c>
      <c r="B434" s="21" t="n">
        <v>20184</v>
      </c>
      <c r="C434" s="22" t="inlineStr">
        <is>
          <t>SELİM İNŞAAT</t>
        </is>
      </c>
      <c r="D434" s="21" t="inlineStr">
        <is>
          <t>34 JGR 15</t>
        </is>
      </c>
      <c r="E434" s="21" t="inlineStr">
        <is>
          <t>ENGİN DEMİR</t>
        </is>
      </c>
      <c r="F434" s="23" t="n">
        <v>304797</v>
      </c>
      <c r="G434" s="138" t="n"/>
      <c r="H434" s="138" t="n">
        <v>57</v>
      </c>
      <c r="I434" s="138">
        <f>+I433+(G434-H434)</f>
        <v/>
      </c>
      <c r="J434" s="139" t="n">
        <v>41.18</v>
      </c>
      <c r="K434" s="140" t="n"/>
      <c r="L434" s="140">
        <f>+H434*J434</f>
        <v/>
      </c>
      <c r="M434" s="141">
        <f>SUM(M433+K434-L434)</f>
        <v/>
      </c>
    </row>
    <row r="435">
      <c r="A435" s="20" t="n">
        <v>45681</v>
      </c>
      <c r="B435" s="21" t="n">
        <v>16726</v>
      </c>
      <c r="C435" s="22" t="inlineStr">
        <is>
          <t>SELİM İNŞAAT</t>
        </is>
      </c>
      <c r="D435" s="21" t="inlineStr">
        <is>
          <t>34 JBA 25</t>
        </is>
      </c>
      <c r="E435" s="21" t="inlineStr">
        <is>
          <t>MUSTAFA ALBAYRAK</t>
        </is>
      </c>
      <c r="F435" s="23" t="n">
        <v>328513</v>
      </c>
      <c r="G435" s="138" t="n"/>
      <c r="H435" s="138" t="n">
        <v>69</v>
      </c>
      <c r="I435" s="138">
        <f>+I434+(G435-H435)</f>
        <v/>
      </c>
      <c r="J435" s="139" t="n">
        <v>41.18</v>
      </c>
      <c r="K435" s="140" t="n"/>
      <c r="L435" s="140">
        <f>+H435*J435</f>
        <v/>
      </c>
      <c r="M435" s="141">
        <f>SUM(M434+K435-L435)</f>
        <v/>
      </c>
    </row>
    <row r="436">
      <c r="A436" s="20" t="n">
        <v>45681</v>
      </c>
      <c r="B436" s="21" t="n">
        <v>10858</v>
      </c>
      <c r="C436" s="22" t="inlineStr">
        <is>
          <t>SELİM İNŞAAT</t>
        </is>
      </c>
      <c r="D436" s="21" t="inlineStr">
        <is>
          <t>34 AR 7743</t>
        </is>
      </c>
      <c r="E436" s="21" t="inlineStr">
        <is>
          <t>MEHMET SELİM</t>
        </is>
      </c>
      <c r="F436" s="23" t="n">
        <v>349901</v>
      </c>
      <c r="G436" s="138" t="n"/>
      <c r="H436" s="138" t="n">
        <v>67</v>
      </c>
      <c r="I436" s="138">
        <f>+I435+(G436-H436)</f>
        <v/>
      </c>
      <c r="J436" s="139" t="n">
        <v>41.18</v>
      </c>
      <c r="K436" s="140" t="n"/>
      <c r="L436" s="140">
        <f>+H436*J436</f>
        <v/>
      </c>
      <c r="M436" s="141">
        <f>SUM(M435+K436-L436)</f>
        <v/>
      </c>
    </row>
    <row r="437">
      <c r="A437" s="20" t="n">
        <v>45681</v>
      </c>
      <c r="B437" s="21" t="n">
        <v>10554</v>
      </c>
      <c r="C437" s="22" t="inlineStr">
        <is>
          <t>SELİM İNŞAAT</t>
        </is>
      </c>
      <c r="D437" s="21" t="inlineStr">
        <is>
          <t>34 GU 945</t>
        </is>
      </c>
      <c r="E437" s="21" t="inlineStr">
        <is>
          <t>ŞERİF KARTAL</t>
        </is>
      </c>
      <c r="F437" s="23" t="n">
        <v>437204</v>
      </c>
      <c r="G437" s="138" t="n"/>
      <c r="H437" s="138" t="n">
        <v>62</v>
      </c>
      <c r="I437" s="138">
        <f>+I436+(G437-H437)</f>
        <v/>
      </c>
      <c r="J437" s="139" t="n">
        <v>41.18</v>
      </c>
      <c r="K437" s="140" t="n"/>
      <c r="L437" s="140">
        <f>+H437*J437</f>
        <v/>
      </c>
      <c r="M437" s="141">
        <f>SUM(M436+K437-L437)</f>
        <v/>
      </c>
    </row>
    <row r="438">
      <c r="A438" s="20" t="n">
        <v>45681</v>
      </c>
      <c r="B438" s="21" t="n">
        <v>14851</v>
      </c>
      <c r="C438" s="22" t="inlineStr">
        <is>
          <t>YUNUS GÜLLÜK</t>
        </is>
      </c>
      <c r="D438" s="21" t="inlineStr">
        <is>
          <t>KİRALIK HİTACHİ</t>
        </is>
      </c>
      <c r="E438" s="21" t="inlineStr">
        <is>
          <t>RAMAZAN KAYA</t>
        </is>
      </c>
      <c r="F438" s="23" t="n"/>
      <c r="G438" s="138" t="n"/>
      <c r="H438" s="138" t="n">
        <v>430</v>
      </c>
      <c r="I438" s="138">
        <f>+I437+(G438-H438)</f>
        <v/>
      </c>
      <c r="J438" s="139" t="n">
        <v>41.18</v>
      </c>
      <c r="K438" s="140" t="n"/>
      <c r="L438" s="140">
        <f>+H438*J438</f>
        <v/>
      </c>
      <c r="M438" s="141">
        <f>SUM(M437+K438-L438)</f>
        <v/>
      </c>
    </row>
    <row r="439">
      <c r="A439" s="20" t="n">
        <v>45681</v>
      </c>
      <c r="B439" s="1" t="n">
        <v>14852</v>
      </c>
      <c r="C439" s="2" t="inlineStr">
        <is>
          <t>VARLIK</t>
        </is>
      </c>
      <c r="D439" s="1" t="inlineStr">
        <is>
          <t>SM 300</t>
        </is>
      </c>
      <c r="E439" s="1" t="inlineStr">
        <is>
          <t>TURGUT SANCAK</t>
        </is>
      </c>
      <c r="F439" s="3" t="n"/>
      <c r="G439" s="143" t="n"/>
      <c r="H439" s="143" t="n">
        <v>229</v>
      </c>
      <c r="I439" s="143">
        <f>+I438+(G439-H439)</f>
        <v/>
      </c>
      <c r="J439" s="144" t="n">
        <v>41.18</v>
      </c>
      <c r="K439" s="145" t="n"/>
      <c r="L439" s="140">
        <f>+H439*J439</f>
        <v/>
      </c>
      <c r="M439" s="141">
        <f>SUM(M438+K439-L439)</f>
        <v/>
      </c>
    </row>
    <row r="440">
      <c r="A440" s="20" t="n">
        <v>45681</v>
      </c>
      <c r="B440" s="1" t="n">
        <v>14855</v>
      </c>
      <c r="C440" s="2" t="inlineStr">
        <is>
          <t>HASALTUN</t>
        </is>
      </c>
      <c r="D440" s="1" t="inlineStr">
        <is>
          <t>KAVAZAKİ</t>
        </is>
      </c>
      <c r="E440" s="1" t="inlineStr">
        <is>
          <t>UFUK SEVAL</t>
        </is>
      </c>
      <c r="F440" s="3" t="n"/>
      <c r="G440" s="143" t="n"/>
      <c r="H440" s="143" t="n">
        <v>109</v>
      </c>
      <c r="I440" s="143">
        <f>+I439+(G440-H440)</f>
        <v/>
      </c>
      <c r="J440" s="144" t="n">
        <v>41.18</v>
      </c>
      <c r="K440" s="145" t="n"/>
      <c r="L440" s="140">
        <f>+H440*J440</f>
        <v/>
      </c>
      <c r="M440" s="141">
        <f>SUM(M439+K440-L440)</f>
        <v/>
      </c>
    </row>
    <row r="441">
      <c r="A441" s="20" t="n">
        <v>45681</v>
      </c>
      <c r="B441" s="1" t="n">
        <v>14858</v>
      </c>
      <c r="C441" s="2" t="inlineStr">
        <is>
          <t>HASALTUN</t>
        </is>
      </c>
      <c r="D441" s="1" t="inlineStr">
        <is>
          <t>SM 370</t>
        </is>
      </c>
      <c r="E441" s="1" t="inlineStr">
        <is>
          <t>TEKİN ŞEYLAN</t>
        </is>
      </c>
      <c r="F441" s="3" t="n"/>
      <c r="G441" s="143" t="n"/>
      <c r="H441" s="143" t="n">
        <v>366</v>
      </c>
      <c r="I441" s="143">
        <f>+I440+(G441-H441)</f>
        <v/>
      </c>
      <c r="J441" s="144" t="n">
        <v>41.18</v>
      </c>
      <c r="K441" s="145" t="n"/>
      <c r="L441" s="140">
        <f>+H441*J441</f>
        <v/>
      </c>
      <c r="M441" s="141">
        <f>SUM(M440+K441-L441)</f>
        <v/>
      </c>
    </row>
    <row r="442">
      <c r="A442" s="20" t="n">
        <v>45681</v>
      </c>
      <c r="B442" s="1" t="n">
        <v>14859</v>
      </c>
      <c r="C442" s="2" t="inlineStr">
        <is>
          <t>VARLIK</t>
        </is>
      </c>
      <c r="D442" s="1" t="inlineStr">
        <is>
          <t>SM 350</t>
        </is>
      </c>
      <c r="E442" s="1" t="inlineStr">
        <is>
          <t>BAYRAM SANCAK</t>
        </is>
      </c>
      <c r="F442" s="3" t="n"/>
      <c r="G442" s="143" t="n"/>
      <c r="H442" s="143" t="n">
        <v>157</v>
      </c>
      <c r="I442" s="143">
        <f>+I441+(G442-H442)</f>
        <v/>
      </c>
      <c r="J442" s="144" t="n">
        <v>41.18</v>
      </c>
      <c r="K442" s="145" t="n"/>
      <c r="L442" s="140">
        <f>+H442*J442</f>
        <v/>
      </c>
      <c r="M442" s="141">
        <f>SUM(M441+K442-L442)</f>
        <v/>
      </c>
    </row>
    <row r="443">
      <c r="A443" s="20" t="n">
        <v>45681</v>
      </c>
      <c r="B443" s="1" t="n">
        <v>14860</v>
      </c>
      <c r="C443" s="2" t="inlineStr">
        <is>
          <t>HASALTUN</t>
        </is>
      </c>
      <c r="D443" s="1" t="inlineStr">
        <is>
          <t>SM 350</t>
        </is>
      </c>
      <c r="E443" s="1" t="inlineStr">
        <is>
          <t>TEVFİK ÖZTÜRK</t>
        </is>
      </c>
      <c r="F443" s="3" t="n"/>
      <c r="G443" s="143" t="n"/>
      <c r="H443" s="143" t="n">
        <v>344</v>
      </c>
      <c r="I443" s="143">
        <f>+I442+(G443-H443)</f>
        <v/>
      </c>
      <c r="J443" s="144" t="n">
        <v>41.18</v>
      </c>
      <c r="K443" s="145" t="n"/>
      <c r="L443" s="140">
        <f>+H443*J443</f>
        <v/>
      </c>
      <c r="M443" s="141">
        <f>SUM(M442+K443-L443)</f>
        <v/>
      </c>
    </row>
    <row r="444">
      <c r="A444" s="20" t="n">
        <v>45682</v>
      </c>
      <c r="B444" s="21" t="n">
        <v>90</v>
      </c>
      <c r="C444" s="22" t="inlineStr">
        <is>
          <t>ÜNSOY TURİZM İNŞ.SAN.VE TİC.A.Ş.</t>
        </is>
      </c>
      <c r="D444" s="21" t="n"/>
      <c r="E444" s="21" t="n"/>
      <c r="F444" s="23" t="n"/>
      <c r="G444" s="138" t="n">
        <v>32103</v>
      </c>
      <c r="H444" s="138" t="n"/>
      <c r="I444" s="138">
        <f>+I443+(G444-H444)</f>
        <v/>
      </c>
      <c r="J444" s="139">
        <f>+K444/32103</f>
        <v/>
      </c>
      <c r="K444" s="140" t="n">
        <v>1322001.54</v>
      </c>
      <c r="L444" s="140">
        <f>+H444*J444</f>
        <v/>
      </c>
      <c r="M444" s="141">
        <f>SUM(M443+K444-L444)</f>
        <v/>
      </c>
    </row>
    <row r="445">
      <c r="A445" s="20" t="n">
        <v>45682</v>
      </c>
      <c r="B445" s="21" t="n">
        <v>10017</v>
      </c>
      <c r="C445" s="22" t="inlineStr">
        <is>
          <t>METİN ERYİĞİT</t>
        </is>
      </c>
      <c r="D445" s="21" t="inlineStr">
        <is>
          <t>34 EGS 013</t>
        </is>
      </c>
      <c r="E445" s="21" t="inlineStr">
        <is>
          <t>UĞUR DUMAN</t>
        </is>
      </c>
      <c r="F445" s="23" t="n">
        <v>459621</v>
      </c>
      <c r="G445" s="138" t="n"/>
      <c r="H445" s="138" t="n">
        <v>358</v>
      </c>
      <c r="I445" s="138">
        <f>+I444+(G445-H445)</f>
        <v/>
      </c>
      <c r="J445" s="139" t="n">
        <v>41.18</v>
      </c>
      <c r="K445" s="140" t="n"/>
      <c r="L445" s="140">
        <f>+H445*J445</f>
        <v/>
      </c>
      <c r="M445" s="141">
        <f>SUM(M444+K445-L445)</f>
        <v/>
      </c>
    </row>
    <row r="446">
      <c r="A446" s="20" t="n">
        <v>45683</v>
      </c>
      <c r="B446" s="21" t="n">
        <v>11688</v>
      </c>
      <c r="C446" s="22" t="inlineStr">
        <is>
          <t>METİN ERYİĞİT</t>
        </is>
      </c>
      <c r="D446" s="21" t="inlineStr">
        <is>
          <t>34 GBL 998</t>
        </is>
      </c>
      <c r="E446" s="21" t="inlineStr">
        <is>
          <t>ALİ KESKİN</t>
        </is>
      </c>
      <c r="F446" s="23" t="n">
        <v>236688</v>
      </c>
      <c r="G446" s="138" t="n"/>
      <c r="H446" s="138" t="n">
        <v>513</v>
      </c>
      <c r="I446" s="138">
        <f>+I445+(G446-H446)</f>
        <v/>
      </c>
      <c r="J446" s="139" t="n">
        <v>41.18</v>
      </c>
      <c r="K446" s="140" t="n"/>
      <c r="L446" s="140">
        <f>+H446*J446</f>
        <v/>
      </c>
      <c r="M446" s="141">
        <f>SUM(M445+K446-L446)</f>
        <v/>
      </c>
    </row>
    <row r="447">
      <c r="A447" s="20" t="n">
        <v>45684</v>
      </c>
      <c r="B447" s="21" t="n">
        <v>2044</v>
      </c>
      <c r="C447" s="22" t="inlineStr">
        <is>
          <t>AZGÜN YAPI</t>
        </is>
      </c>
      <c r="D447" s="21" t="inlineStr">
        <is>
          <t>34 DTV 263</t>
        </is>
      </c>
      <c r="E447" s="21" t="inlineStr">
        <is>
          <t>EDİP TORLAK</t>
        </is>
      </c>
      <c r="F447" s="23" t="n">
        <v>356989</v>
      </c>
      <c r="G447" s="138" t="n"/>
      <c r="H447" s="138" t="n">
        <v>367</v>
      </c>
      <c r="I447" s="138">
        <f>+I446+(G447-H447)</f>
        <v/>
      </c>
      <c r="J447" s="139" t="n">
        <v>41.18</v>
      </c>
      <c r="K447" s="140" t="n"/>
      <c r="L447" s="140">
        <f>+H447*J447</f>
        <v/>
      </c>
      <c r="M447" s="141">
        <f>SUM(M446+K447-L447)</f>
        <v/>
      </c>
    </row>
    <row r="448">
      <c r="A448" s="20" t="n">
        <v>45684</v>
      </c>
      <c r="B448" s="21" t="n">
        <v>11358</v>
      </c>
      <c r="C448" s="22" t="inlineStr">
        <is>
          <t>AZGÜN YAPI</t>
        </is>
      </c>
      <c r="D448" s="21" t="inlineStr">
        <is>
          <t>34 MKT 593</t>
        </is>
      </c>
      <c r="E448" s="21" t="inlineStr">
        <is>
          <t>HASAN</t>
        </is>
      </c>
      <c r="F448" s="23" t="n">
        <v>7083</v>
      </c>
      <c r="G448" s="138" t="n"/>
      <c r="H448" s="138" t="n">
        <v>380</v>
      </c>
      <c r="I448" s="138">
        <f>+I447+(G448-H448)</f>
        <v/>
      </c>
      <c r="J448" s="139" t="n">
        <v>41.18</v>
      </c>
      <c r="K448" s="140" t="n"/>
      <c r="L448" s="140">
        <f>+H448*J448</f>
        <v/>
      </c>
      <c r="M448" s="141">
        <f>SUM(M447+K448-L448)</f>
        <v/>
      </c>
    </row>
    <row r="449">
      <c r="A449" s="20" t="n">
        <v>45684</v>
      </c>
      <c r="B449" s="21" t="n">
        <v>11309</v>
      </c>
      <c r="C449" s="22" t="inlineStr">
        <is>
          <t>AZGÜN YAPI</t>
        </is>
      </c>
      <c r="D449" s="21" t="inlineStr">
        <is>
          <t>34 MKT 859</t>
        </is>
      </c>
      <c r="E449" s="21" t="inlineStr">
        <is>
          <t>YAHYA</t>
        </is>
      </c>
      <c r="F449" s="23" t="n">
        <v>7328</v>
      </c>
      <c r="G449" s="138" t="n"/>
      <c r="H449" s="138" t="n">
        <v>843</v>
      </c>
      <c r="I449" s="138">
        <f>+I448+(G449-H449)</f>
        <v/>
      </c>
      <c r="J449" s="139" t="n">
        <v>41.18</v>
      </c>
      <c r="K449" s="140" t="n"/>
      <c r="L449" s="140">
        <f>+H449*J449</f>
        <v/>
      </c>
      <c r="M449" s="141">
        <f>SUM(M448+K449-L449)</f>
        <v/>
      </c>
    </row>
    <row r="450">
      <c r="A450" s="20" t="n">
        <v>45684</v>
      </c>
      <c r="B450" s="21" t="n">
        <v>10018</v>
      </c>
      <c r="C450" s="22" t="inlineStr">
        <is>
          <t>METİN ERYİĞİT</t>
        </is>
      </c>
      <c r="D450" s="21" t="inlineStr">
        <is>
          <t>34 EGS 013</t>
        </is>
      </c>
      <c r="E450" s="21" t="inlineStr">
        <is>
          <t>UĞUR DUMAN</t>
        </is>
      </c>
      <c r="F450" s="23" t="n">
        <v>460504</v>
      </c>
      <c r="G450" s="138" t="n"/>
      <c r="H450" s="138" t="n">
        <v>435</v>
      </c>
      <c r="I450" s="138">
        <f>+I449+(G450-H450)</f>
        <v/>
      </c>
      <c r="J450" s="139" t="n">
        <v>41.18</v>
      </c>
      <c r="K450" s="140" t="n"/>
      <c r="L450" s="140">
        <f>+H450*J450</f>
        <v/>
      </c>
      <c r="M450" s="141">
        <f>SUM(M449+K450-L450)</f>
        <v/>
      </c>
    </row>
    <row r="451">
      <c r="A451" s="20" t="n">
        <v>45684</v>
      </c>
      <c r="B451" s="21" t="n">
        <v>11420</v>
      </c>
      <c r="C451" s="22" t="inlineStr">
        <is>
          <t>METİN ERYİĞİT</t>
        </is>
      </c>
      <c r="D451" s="21" t="inlineStr">
        <is>
          <t>34 EGR 814</t>
        </is>
      </c>
      <c r="E451" s="21" t="inlineStr">
        <is>
          <t>FARUK ÖZEN</t>
        </is>
      </c>
      <c r="F451" s="23" t="n">
        <v>512081</v>
      </c>
      <c r="G451" s="138" t="n"/>
      <c r="H451" s="138" t="n">
        <v>350</v>
      </c>
      <c r="I451" s="138">
        <f>+I450+(G451-H451)</f>
        <v/>
      </c>
      <c r="J451" s="139" t="n">
        <v>41.18</v>
      </c>
      <c r="K451" s="140" t="n"/>
      <c r="L451" s="140">
        <f>+H451*J451</f>
        <v/>
      </c>
      <c r="M451" s="141">
        <f>SUM(M450+K451-L451)</f>
        <v/>
      </c>
    </row>
    <row r="452">
      <c r="A452" s="20" t="n">
        <v>45684</v>
      </c>
      <c r="B452" s="21" t="n">
        <v>11713</v>
      </c>
      <c r="C452" s="22" t="inlineStr">
        <is>
          <t>SELİM İNŞAAT</t>
        </is>
      </c>
      <c r="D452" s="21" t="inlineStr">
        <is>
          <t>34 EDB 559</t>
        </is>
      </c>
      <c r="E452" s="21" t="inlineStr">
        <is>
          <t>CEM MUHTAR</t>
        </is>
      </c>
      <c r="F452" s="23" t="n">
        <v>302129</v>
      </c>
      <c r="G452" s="138" t="n"/>
      <c r="H452" s="138" t="n">
        <v>397</v>
      </c>
      <c r="I452" s="138">
        <f>+I451+(G452-H452)</f>
        <v/>
      </c>
      <c r="J452" s="139" t="n">
        <v>41.18</v>
      </c>
      <c r="K452" s="140" t="n"/>
      <c r="L452" s="140">
        <f>+H452*J452</f>
        <v/>
      </c>
      <c r="M452" s="141">
        <f>SUM(M451+K452-L452)</f>
        <v/>
      </c>
    </row>
    <row r="453">
      <c r="A453" s="20" t="n">
        <v>45684</v>
      </c>
      <c r="B453" s="21" t="n">
        <v>11904</v>
      </c>
      <c r="C453" s="22" t="inlineStr">
        <is>
          <t>SELİM İNŞAAT</t>
        </is>
      </c>
      <c r="D453" s="21" t="inlineStr">
        <is>
          <t>34 FBR 742</t>
        </is>
      </c>
      <c r="E453" s="21" t="inlineStr">
        <is>
          <t>MİKAİL BAYILMAZ</t>
        </is>
      </c>
      <c r="F453" s="23" t="n">
        <v>291260</v>
      </c>
      <c r="G453" s="138" t="n"/>
      <c r="H453" s="138" t="n">
        <v>190</v>
      </c>
      <c r="I453" s="138">
        <f>+I452+(G453-H453)</f>
        <v/>
      </c>
      <c r="J453" s="139" t="n">
        <v>41.18</v>
      </c>
      <c r="K453" s="140" t="n"/>
      <c r="L453" s="140">
        <f>+H453*J453</f>
        <v/>
      </c>
      <c r="M453" s="141">
        <f>SUM(M452+K453-L453)</f>
        <v/>
      </c>
    </row>
    <row r="454">
      <c r="A454" s="20" t="n">
        <v>45684</v>
      </c>
      <c r="B454" s="21" t="n">
        <v>10982</v>
      </c>
      <c r="C454" s="22" t="inlineStr">
        <is>
          <t>SELİM İNŞAAT</t>
        </is>
      </c>
      <c r="D454" s="21" t="inlineStr">
        <is>
          <t>34 GVZ 199</t>
        </is>
      </c>
      <c r="E454" s="21" t="inlineStr">
        <is>
          <t>VAHDET GÜRLER</t>
        </is>
      </c>
      <c r="F454" s="23" t="n">
        <v>153218</v>
      </c>
      <c r="G454" s="138" t="n"/>
      <c r="H454" s="138" t="n">
        <v>249</v>
      </c>
      <c r="I454" s="138">
        <f>+I453+(G454-H454)</f>
        <v/>
      </c>
      <c r="J454" s="139" t="n">
        <v>41.18</v>
      </c>
      <c r="K454" s="140" t="n"/>
      <c r="L454" s="140">
        <f>+H454*J454</f>
        <v/>
      </c>
      <c r="M454" s="141">
        <f>SUM(M453+K454-L454)</f>
        <v/>
      </c>
    </row>
    <row r="455">
      <c r="A455" s="20" t="n">
        <v>45684</v>
      </c>
      <c r="B455" s="21" t="n">
        <v>10312</v>
      </c>
      <c r="C455" s="22" t="inlineStr">
        <is>
          <t>SELİM İNŞAAT</t>
        </is>
      </c>
      <c r="D455" s="21" t="inlineStr">
        <is>
          <t>34 EDB 829</t>
        </is>
      </c>
      <c r="E455" s="21" t="inlineStr">
        <is>
          <t>İSMET BAYRAM</t>
        </is>
      </c>
      <c r="F455" s="23" t="n">
        <v>290731</v>
      </c>
      <c r="G455" s="138" t="n"/>
      <c r="H455" s="138" t="n">
        <v>258</v>
      </c>
      <c r="I455" s="138">
        <f>+I454+(G455-H455)</f>
        <v/>
      </c>
      <c r="J455" s="139" t="n">
        <v>41.18</v>
      </c>
      <c r="K455" s="140" t="n"/>
      <c r="L455" s="140">
        <f>+H455*J455</f>
        <v/>
      </c>
      <c r="M455" s="141">
        <f>SUM(M454+K455-L455)</f>
        <v/>
      </c>
    </row>
    <row r="456">
      <c r="A456" s="20" t="n">
        <v>45684</v>
      </c>
      <c r="B456" s="21" t="n">
        <v>21281</v>
      </c>
      <c r="C456" s="22" t="inlineStr">
        <is>
          <t>SELİM İNŞAAT</t>
        </is>
      </c>
      <c r="D456" s="21" t="inlineStr">
        <is>
          <t>34 DTV 447</t>
        </is>
      </c>
      <c r="E456" s="21" t="inlineStr">
        <is>
          <t>EBUBEKİR KOLDAŞ</t>
        </is>
      </c>
      <c r="F456" s="23" t="n">
        <v>411368</v>
      </c>
      <c r="G456" s="138" t="n"/>
      <c r="H456" s="138" t="n">
        <v>320</v>
      </c>
      <c r="I456" s="138">
        <f>+I455+(G456-H456)</f>
        <v/>
      </c>
      <c r="J456" s="139" t="n">
        <v>41.18</v>
      </c>
      <c r="K456" s="140" t="n"/>
      <c r="L456" s="140">
        <f>+H456*J456</f>
        <v/>
      </c>
      <c r="M456" s="141">
        <f>SUM(M455+K456-L456)</f>
        <v/>
      </c>
    </row>
    <row r="457">
      <c r="A457" s="20" t="n">
        <v>45684</v>
      </c>
      <c r="B457" s="21" t="n">
        <v>20896</v>
      </c>
      <c r="C457" s="22" t="inlineStr">
        <is>
          <t>SELİM İNŞAAT</t>
        </is>
      </c>
      <c r="D457" s="21" t="inlineStr">
        <is>
          <t>34 GVZ 310</t>
        </is>
      </c>
      <c r="E457" s="21" t="inlineStr">
        <is>
          <t>CELAL YÜZBAŞI</t>
        </is>
      </c>
      <c r="F457" s="23" t="n">
        <v>166605</v>
      </c>
      <c r="G457" s="138" t="n"/>
      <c r="H457" s="138" t="n">
        <v>248</v>
      </c>
      <c r="I457" s="138">
        <f>+I456+(G457-H457)</f>
        <v/>
      </c>
      <c r="J457" s="139" t="n">
        <v>41.18</v>
      </c>
      <c r="K457" s="140" t="n"/>
      <c r="L457" s="140">
        <f>+H457*J457</f>
        <v/>
      </c>
      <c r="M457" s="141">
        <f>SUM(M456+K457-L457)</f>
        <v/>
      </c>
    </row>
    <row r="458">
      <c r="A458" s="20" t="n">
        <v>45684</v>
      </c>
      <c r="B458" s="21" t="n">
        <v>10168</v>
      </c>
      <c r="C458" s="22" t="inlineStr">
        <is>
          <t>SELİM İNŞAAT</t>
        </is>
      </c>
      <c r="D458" s="21" t="inlineStr">
        <is>
          <t>34 EGR 736</t>
        </is>
      </c>
      <c r="E458" s="21" t="inlineStr">
        <is>
          <t>MUHAMMER ÇAMLI</t>
        </is>
      </c>
      <c r="F458" s="23" t="n">
        <v>360757</v>
      </c>
      <c r="G458" s="138" t="n"/>
      <c r="H458" s="138" t="n">
        <v>187</v>
      </c>
      <c r="I458" s="138">
        <f>+I457+(G458-H458)</f>
        <v/>
      </c>
      <c r="J458" s="139" t="n">
        <v>41.18</v>
      </c>
      <c r="K458" s="140" t="n"/>
      <c r="L458" s="140">
        <f>+H458*J458</f>
        <v/>
      </c>
      <c r="M458" s="141">
        <f>SUM(M457+K458-L458)</f>
        <v/>
      </c>
    </row>
    <row r="459">
      <c r="A459" s="20" t="n">
        <v>45684</v>
      </c>
      <c r="B459" s="21" t="n">
        <v>17997</v>
      </c>
      <c r="C459" s="22" t="inlineStr">
        <is>
          <t>SELİM İNŞAAT</t>
        </is>
      </c>
      <c r="D459" s="21" t="inlineStr">
        <is>
          <t>34 DSN 536</t>
        </is>
      </c>
      <c r="E459" s="21" t="inlineStr">
        <is>
          <t>DURSUN ALİ GÜREK</t>
        </is>
      </c>
      <c r="F459" s="23" t="n">
        <v>378665</v>
      </c>
      <c r="G459" s="138" t="n"/>
      <c r="H459" s="138" t="n">
        <v>346</v>
      </c>
      <c r="I459" s="138">
        <f>+I458+(G459-H459)</f>
        <v/>
      </c>
      <c r="J459" s="139" t="n">
        <v>41.18</v>
      </c>
      <c r="K459" s="140" t="n"/>
      <c r="L459" s="140">
        <f>+H459*J459</f>
        <v/>
      </c>
      <c r="M459" s="141">
        <f>SUM(M458+K459-L459)</f>
        <v/>
      </c>
    </row>
    <row r="460">
      <c r="A460" s="20" t="n">
        <v>45684</v>
      </c>
      <c r="B460" s="21" t="n">
        <v>10620</v>
      </c>
      <c r="C460" s="22" t="inlineStr">
        <is>
          <t>SELİM İNŞAAT</t>
        </is>
      </c>
      <c r="D460" s="21" t="inlineStr">
        <is>
          <t>34 EDB 754</t>
        </is>
      </c>
      <c r="E460" s="21" t="inlineStr">
        <is>
          <t>EMİN PARLAKKILIÇ</t>
        </is>
      </c>
      <c r="F460" s="23" t="n">
        <v>297565</v>
      </c>
      <c r="G460" s="138" t="n"/>
      <c r="H460" s="138" t="n">
        <v>241</v>
      </c>
      <c r="I460" s="138">
        <f>+I459+(G460-H460)</f>
        <v/>
      </c>
      <c r="J460" s="139" t="n">
        <v>41.18</v>
      </c>
      <c r="K460" s="140" t="n"/>
      <c r="L460" s="140">
        <f>+H460*J460</f>
        <v/>
      </c>
      <c r="M460" s="141">
        <f>SUM(M459+K460-L460)</f>
        <v/>
      </c>
    </row>
    <row r="461">
      <c r="A461" s="20" t="n">
        <v>45684</v>
      </c>
      <c r="B461" s="21" t="n">
        <v>11122</v>
      </c>
      <c r="C461" s="22" t="inlineStr">
        <is>
          <t>SELİM İNŞAAT</t>
        </is>
      </c>
      <c r="D461" s="21" t="inlineStr">
        <is>
          <t>34 DTV 409</t>
        </is>
      </c>
      <c r="E461" s="21" t="inlineStr">
        <is>
          <t xml:space="preserve">ONUR CANLI </t>
        </is>
      </c>
      <c r="F461" s="23" t="n">
        <v>394931</v>
      </c>
      <c r="G461" s="138" t="n"/>
      <c r="H461" s="138" t="n">
        <v>290</v>
      </c>
      <c r="I461" s="138">
        <f>+I460+(G461-H461)</f>
        <v/>
      </c>
      <c r="J461" s="139" t="n">
        <v>41.18</v>
      </c>
      <c r="K461" s="140" t="n"/>
      <c r="L461" s="140">
        <f>+H461*J461</f>
        <v/>
      </c>
      <c r="M461" s="141">
        <f>SUM(M460+K461-L461)</f>
        <v/>
      </c>
    </row>
    <row r="462">
      <c r="A462" s="20" t="n">
        <v>45684</v>
      </c>
      <c r="B462" s="21" t="n">
        <v>21535</v>
      </c>
      <c r="C462" s="22" t="inlineStr">
        <is>
          <t>SELİM İNŞAAT</t>
        </is>
      </c>
      <c r="D462" s="21" t="inlineStr">
        <is>
          <t>34 GVZ 745</t>
        </is>
      </c>
      <c r="E462" s="21" t="inlineStr">
        <is>
          <t>MUHAMMED YİĞİT</t>
        </is>
      </c>
      <c r="F462" s="23" t="n">
        <v>159952</v>
      </c>
      <c r="G462" s="138" t="n"/>
      <c r="H462" s="138" t="n">
        <v>460</v>
      </c>
      <c r="I462" s="138">
        <f>+I461+(G462-H462)</f>
        <v/>
      </c>
      <c r="J462" s="139" t="n">
        <v>41.18</v>
      </c>
      <c r="K462" s="140" t="n"/>
      <c r="L462" s="140">
        <f>+H462*J462</f>
        <v/>
      </c>
      <c r="M462" s="141">
        <f>SUM(M461+K462-L462)</f>
        <v/>
      </c>
    </row>
    <row r="463">
      <c r="A463" s="20" t="n">
        <v>45684</v>
      </c>
      <c r="B463" s="21" t="n">
        <v>21993</v>
      </c>
      <c r="C463" s="22" t="inlineStr">
        <is>
          <t>SELİM İNŞAAT</t>
        </is>
      </c>
      <c r="D463" s="21" t="inlineStr">
        <is>
          <t>34 EGR 737</t>
        </is>
      </c>
      <c r="E463" s="21" t="inlineStr">
        <is>
          <t>İBRAHİM GÜNASLAN</t>
        </is>
      </c>
      <c r="F463" s="23" t="n">
        <v>390285</v>
      </c>
      <c r="G463" s="138" t="n"/>
      <c r="H463" s="138" t="n">
        <v>443</v>
      </c>
      <c r="I463" s="138">
        <f>+I462+(G463-H463)</f>
        <v/>
      </c>
      <c r="J463" s="139" t="n">
        <v>41.18</v>
      </c>
      <c r="K463" s="140" t="n"/>
      <c r="L463" s="140">
        <f>+H463*J463</f>
        <v/>
      </c>
      <c r="M463" s="141">
        <f>SUM(M462+K463-L463)</f>
        <v/>
      </c>
    </row>
    <row r="464">
      <c r="A464" s="20" t="n">
        <v>45684</v>
      </c>
      <c r="B464" s="21" t="n">
        <v>10680</v>
      </c>
      <c r="C464" s="22" t="inlineStr">
        <is>
          <t>SELİM İNŞAAT</t>
        </is>
      </c>
      <c r="D464" s="21" t="inlineStr">
        <is>
          <t>34 DTV 599</t>
        </is>
      </c>
      <c r="E464" s="21" t="inlineStr">
        <is>
          <t>FERHAT GÜRLER</t>
        </is>
      </c>
      <c r="F464" s="23" t="n">
        <v>408579</v>
      </c>
      <c r="G464" s="138" t="n"/>
      <c r="H464" s="138" t="n">
        <v>315</v>
      </c>
      <c r="I464" s="138">
        <f>+I463+(G464-H464)</f>
        <v/>
      </c>
      <c r="J464" s="139" t="n">
        <v>41.18</v>
      </c>
      <c r="K464" s="140" t="n"/>
      <c r="L464" s="140">
        <f>+H464*J464</f>
        <v/>
      </c>
      <c r="M464" s="141">
        <f>SUM(M463+K464-L464)</f>
        <v/>
      </c>
    </row>
    <row r="465">
      <c r="A465" s="20" t="n">
        <v>45684</v>
      </c>
      <c r="B465" s="21" t="n">
        <v>21096</v>
      </c>
      <c r="C465" s="22" t="inlineStr">
        <is>
          <t>SELİM İNŞAAT</t>
        </is>
      </c>
      <c r="D465" s="21" t="inlineStr">
        <is>
          <t>34 EDB 659</t>
        </is>
      </c>
      <c r="E465" s="21" t="inlineStr">
        <is>
          <t>MEHMET SAİT ANIK</t>
        </is>
      </c>
      <c r="F465" s="23" t="n">
        <v>312181</v>
      </c>
      <c r="G465" s="138" t="n"/>
      <c r="H465" s="138" t="n">
        <v>220</v>
      </c>
      <c r="I465" s="138">
        <f>+I464+(G465-H465)</f>
        <v/>
      </c>
      <c r="J465" s="139" t="n">
        <v>41.18</v>
      </c>
      <c r="K465" s="140" t="n"/>
      <c r="L465" s="140">
        <f>+H465*J465</f>
        <v/>
      </c>
      <c r="M465" s="141">
        <f>SUM(M464+K465-L465)</f>
        <v/>
      </c>
    </row>
    <row r="466">
      <c r="A466" s="20" t="n">
        <v>45684</v>
      </c>
      <c r="B466" s="21" t="n">
        <v>10354</v>
      </c>
      <c r="C466" s="22" t="inlineStr">
        <is>
          <t>SELİM İNŞAAT</t>
        </is>
      </c>
      <c r="D466" s="21" t="inlineStr">
        <is>
          <t>34 DRU 690</t>
        </is>
      </c>
      <c r="E466" s="21" t="inlineStr">
        <is>
          <t xml:space="preserve">ONUR CANLI </t>
        </is>
      </c>
      <c r="F466" s="23" t="n">
        <v>388617</v>
      </c>
      <c r="G466" s="138" t="n"/>
      <c r="H466" s="138" t="n">
        <v>257</v>
      </c>
      <c r="I466" s="138">
        <f>+I465+(G466-H466)</f>
        <v/>
      </c>
      <c r="J466" s="139" t="n">
        <v>41.18</v>
      </c>
      <c r="K466" s="140" t="n"/>
      <c r="L466" s="140">
        <f>+H466*J466</f>
        <v/>
      </c>
      <c r="M466" s="141">
        <f>SUM(M465+K466-L466)</f>
        <v/>
      </c>
    </row>
    <row r="467">
      <c r="A467" s="20" t="n">
        <v>45684</v>
      </c>
      <c r="B467" s="21" t="n">
        <v>9921</v>
      </c>
      <c r="C467" s="22" t="inlineStr">
        <is>
          <t>AHMET SELİM TEMHA</t>
        </is>
      </c>
      <c r="D467" s="21" t="inlineStr">
        <is>
          <t>-</t>
        </is>
      </c>
      <c r="E467" s="21" t="inlineStr">
        <is>
          <t>CEMAL AKDAMAR</t>
        </is>
      </c>
      <c r="F467" s="23" t="inlineStr">
        <is>
          <t>BİDON</t>
        </is>
      </c>
      <c r="G467" s="138" t="n"/>
      <c r="H467" s="138" t="n">
        <v>52</v>
      </c>
      <c r="I467" s="138">
        <f>+I466+(G467-H467)</f>
        <v/>
      </c>
      <c r="J467" s="139" t="n">
        <v>41.18</v>
      </c>
      <c r="K467" s="140" t="n"/>
      <c r="L467" s="140">
        <f>+H467*J467</f>
        <v/>
      </c>
      <c r="M467" s="141">
        <f>SUM(M466+K467-L467)</f>
        <v/>
      </c>
    </row>
    <row r="468">
      <c r="A468" s="20" t="n">
        <v>45684</v>
      </c>
      <c r="B468" s="21" t="n">
        <v>10123</v>
      </c>
      <c r="C468" s="22" t="inlineStr">
        <is>
          <t>SELİM İNŞAAT</t>
        </is>
      </c>
      <c r="D468" s="21" t="inlineStr">
        <is>
          <t>34 DP 4161</t>
        </is>
      </c>
      <c r="E468" s="21" t="inlineStr">
        <is>
          <t>RIFAT KARATAY</t>
        </is>
      </c>
      <c r="F468" s="23" t="n">
        <v>279377</v>
      </c>
      <c r="G468" s="138" t="n"/>
      <c r="H468" s="138" t="n">
        <v>214</v>
      </c>
      <c r="I468" s="138">
        <f>+I467+(G468-H468)</f>
        <v/>
      </c>
      <c r="J468" s="139" t="n">
        <v>41.18</v>
      </c>
      <c r="K468" s="140" t="n"/>
      <c r="L468" s="140">
        <f>+H468*J468</f>
        <v/>
      </c>
      <c r="M468" s="141">
        <f>SUM(M467+K468-L468)</f>
        <v/>
      </c>
    </row>
    <row r="469">
      <c r="A469" s="20" t="n">
        <v>45684</v>
      </c>
      <c r="B469" s="21" t="n">
        <v>11005</v>
      </c>
      <c r="C469" s="22" t="inlineStr">
        <is>
          <t>SELİM İNŞAAT</t>
        </is>
      </c>
      <c r="D469" s="21" t="inlineStr">
        <is>
          <t>34 FCR 210</t>
        </is>
      </c>
      <c r="E469" s="21" t="inlineStr">
        <is>
          <t>RIFAT KARATAY</t>
        </is>
      </c>
      <c r="F469" s="23" t="n">
        <v>112509</v>
      </c>
      <c r="G469" s="138" t="n"/>
      <c r="H469" s="138" t="n">
        <v>244</v>
      </c>
      <c r="I469" s="138">
        <f>+I468+(G469-H469)</f>
        <v/>
      </c>
      <c r="J469" s="139" t="n">
        <v>41.18</v>
      </c>
      <c r="K469" s="140" t="n"/>
      <c r="L469" s="140">
        <f>+H469*J469</f>
        <v/>
      </c>
      <c r="M469" s="141">
        <f>SUM(M468+K469-L469)</f>
        <v/>
      </c>
    </row>
    <row r="470">
      <c r="A470" s="20" t="n">
        <v>45684</v>
      </c>
      <c r="B470" s="1" t="n">
        <v>14861</v>
      </c>
      <c r="C470" s="2" t="inlineStr">
        <is>
          <t>VARLIK</t>
        </is>
      </c>
      <c r="D470" s="1" t="inlineStr">
        <is>
          <t>KAVAZAKİ</t>
        </is>
      </c>
      <c r="E470" s="1" t="inlineStr">
        <is>
          <t>UFUK SEVAL</t>
        </is>
      </c>
      <c r="F470" s="3" t="n"/>
      <c r="G470" s="143" t="n"/>
      <c r="H470" s="143" t="n">
        <v>151</v>
      </c>
      <c r="I470" s="143">
        <f>+I469+(G470-H470)</f>
        <v/>
      </c>
      <c r="J470" s="144" t="n">
        <v>41.18</v>
      </c>
      <c r="K470" s="145" t="n"/>
      <c r="L470" s="140">
        <f>+H470*J470</f>
        <v/>
      </c>
      <c r="M470" s="141">
        <f>SUM(M469+K470-L470)</f>
        <v/>
      </c>
    </row>
    <row r="471">
      <c r="A471" s="20" t="n">
        <v>45684</v>
      </c>
      <c r="B471" s="1" t="n">
        <v>14862</v>
      </c>
      <c r="C471" s="2" t="inlineStr">
        <is>
          <t>HASALTUN</t>
        </is>
      </c>
      <c r="D471" s="1" t="inlineStr">
        <is>
          <t>SM 350</t>
        </is>
      </c>
      <c r="E471" s="1" t="inlineStr">
        <is>
          <t>TEVFİK ÖZTÜRK</t>
        </is>
      </c>
      <c r="F471" s="3" t="n"/>
      <c r="G471" s="143" t="n"/>
      <c r="H471" s="143" t="n">
        <v>456</v>
      </c>
      <c r="I471" s="143">
        <f>+I470+(G471-H471)</f>
        <v/>
      </c>
      <c r="J471" s="144" t="n">
        <v>41.18</v>
      </c>
      <c r="K471" s="145" t="n"/>
      <c r="L471" s="140">
        <f>+H471*J471</f>
        <v/>
      </c>
      <c r="M471" s="141">
        <f>SUM(M470+K471-L471)</f>
        <v/>
      </c>
    </row>
    <row r="472">
      <c r="A472" s="20" t="n">
        <v>45684</v>
      </c>
      <c r="B472" s="1" t="n">
        <v>14863</v>
      </c>
      <c r="C472" s="2" t="inlineStr">
        <is>
          <t>HASALTUN</t>
        </is>
      </c>
      <c r="D472" s="1" t="inlineStr">
        <is>
          <t>SİLİNDİR</t>
        </is>
      </c>
      <c r="E472" s="1" t="inlineStr">
        <is>
          <t>ÖNER DÜNDAR</t>
        </is>
      </c>
      <c r="F472" s="3" t="n"/>
      <c r="G472" s="143" t="n"/>
      <c r="H472" s="143" t="n">
        <v>187</v>
      </c>
      <c r="I472" s="143">
        <f>+I471+(G472-H472)</f>
        <v/>
      </c>
      <c r="J472" s="144" t="n">
        <v>41.18</v>
      </c>
      <c r="K472" s="145" t="n"/>
      <c r="L472" s="140">
        <f>+H472*J472</f>
        <v/>
      </c>
      <c r="M472" s="141">
        <f>SUM(M471+K472-L472)</f>
        <v/>
      </c>
    </row>
    <row r="473">
      <c r="A473" s="20" t="n">
        <v>45684</v>
      </c>
      <c r="B473" s="1" t="n">
        <v>14864</v>
      </c>
      <c r="C473" s="2" t="inlineStr">
        <is>
          <t>EVKUR</t>
        </is>
      </c>
      <c r="D473" s="1" t="inlineStr">
        <is>
          <t>MNT 2260</t>
        </is>
      </c>
      <c r="E473" s="1" t="inlineStr">
        <is>
          <t>MUHAMMED KANTAR</t>
        </is>
      </c>
      <c r="F473" s="3" t="n"/>
      <c r="G473" s="143" t="n"/>
      <c r="H473" s="143" t="n">
        <v>216</v>
      </c>
      <c r="I473" s="143">
        <f>+I472+(G473-H473)</f>
        <v/>
      </c>
      <c r="J473" s="144" t="n">
        <v>41.18</v>
      </c>
      <c r="K473" s="145" t="n"/>
      <c r="L473" s="140">
        <f>+H473*J473</f>
        <v/>
      </c>
      <c r="M473" s="141">
        <f>SUM(M472+K473-L473)</f>
        <v/>
      </c>
    </row>
    <row r="474">
      <c r="A474" s="20" t="n">
        <v>45684</v>
      </c>
      <c r="B474" s="1" t="n">
        <v>14865</v>
      </c>
      <c r="C474" s="2" t="inlineStr">
        <is>
          <t>VARLIK</t>
        </is>
      </c>
      <c r="D474" s="1" t="inlineStr">
        <is>
          <t>SM 300</t>
        </is>
      </c>
      <c r="E474" s="1" t="inlineStr">
        <is>
          <t>TURGUT SANCAK</t>
        </is>
      </c>
      <c r="F474" s="3" t="n"/>
      <c r="G474" s="143" t="n"/>
      <c r="H474" s="143" t="n">
        <v>368</v>
      </c>
      <c r="I474" s="143">
        <f>+I473+(G474-H474)</f>
        <v/>
      </c>
      <c r="J474" s="144" t="n">
        <v>41.18</v>
      </c>
      <c r="K474" s="145" t="n"/>
      <c r="L474" s="140">
        <f>+H474*J474</f>
        <v/>
      </c>
      <c r="M474" s="141">
        <f>SUM(M473+K474-L474)</f>
        <v/>
      </c>
    </row>
    <row r="475">
      <c r="A475" s="20" t="n">
        <v>45684</v>
      </c>
      <c r="B475" s="1" t="n">
        <v>14866</v>
      </c>
      <c r="C475" s="2" t="inlineStr">
        <is>
          <t>VARLIK</t>
        </is>
      </c>
      <c r="D475" s="1" t="inlineStr">
        <is>
          <t>SM 350</t>
        </is>
      </c>
      <c r="E475" s="1" t="inlineStr">
        <is>
          <t>BAYRAM SANCAK</t>
        </is>
      </c>
      <c r="F475" s="3" t="n"/>
      <c r="G475" s="143" t="n"/>
      <c r="H475" s="143" t="n">
        <v>330</v>
      </c>
      <c r="I475" s="143">
        <f>+I474+(G475-H475)</f>
        <v/>
      </c>
      <c r="J475" s="144" t="n">
        <v>41.18</v>
      </c>
      <c r="K475" s="145" t="n"/>
      <c r="L475" s="140">
        <f>+H475*J475</f>
        <v/>
      </c>
      <c r="M475" s="141">
        <f>SUM(M474+K475-L475)</f>
        <v/>
      </c>
    </row>
    <row r="476">
      <c r="A476" s="20" t="n">
        <v>45684</v>
      </c>
      <c r="B476" s="1" t="n">
        <v>14867</v>
      </c>
      <c r="C476" s="2" t="inlineStr">
        <is>
          <t>VARLIK</t>
        </is>
      </c>
      <c r="D476" s="1" t="inlineStr">
        <is>
          <t>SM 370</t>
        </is>
      </c>
      <c r="E476" s="1" t="inlineStr">
        <is>
          <t>TEKİN ŞEYLAN</t>
        </is>
      </c>
      <c r="F476" s="3" t="n"/>
      <c r="G476" s="143" t="n"/>
      <c r="H476" s="143" t="n">
        <v>360</v>
      </c>
      <c r="I476" s="143">
        <f>+I475+(G476-H476)</f>
        <v/>
      </c>
      <c r="J476" s="144" t="n">
        <v>41.18</v>
      </c>
      <c r="K476" s="145" t="n"/>
      <c r="L476" s="140">
        <f>+H476*J476</f>
        <v/>
      </c>
      <c r="M476" s="141">
        <f>SUM(M475+K476-L476)</f>
        <v/>
      </c>
    </row>
    <row r="477">
      <c r="A477" s="20" t="n">
        <v>45684</v>
      </c>
      <c r="B477" s="21" t="n">
        <v>14868</v>
      </c>
      <c r="C477" s="22" t="inlineStr">
        <is>
          <t>YUNUS GÜLLÜK</t>
        </is>
      </c>
      <c r="D477" s="21" t="inlineStr">
        <is>
          <t>KİRALIK HİTACHİ</t>
        </is>
      </c>
      <c r="E477" s="21" t="inlineStr">
        <is>
          <t>RAMAZAN KAYA</t>
        </is>
      </c>
      <c r="F477" s="23" t="n"/>
      <c r="G477" s="138" t="n"/>
      <c r="H477" s="138" t="n">
        <v>468</v>
      </c>
      <c r="I477" s="138">
        <f>+I476+(G477-H477)</f>
        <v/>
      </c>
      <c r="J477" s="139" t="n">
        <v>41.18</v>
      </c>
      <c r="K477" s="140" t="n"/>
      <c r="L477" s="140">
        <f>+H477*J477</f>
        <v/>
      </c>
      <c r="M477" s="141">
        <f>SUM(M476+K477-L477)</f>
        <v/>
      </c>
    </row>
    <row r="478">
      <c r="A478" s="20" t="n">
        <v>45685</v>
      </c>
      <c r="B478" s="21" t="n">
        <v>11456</v>
      </c>
      <c r="C478" s="22" t="inlineStr">
        <is>
          <t>METİN ŞİRİN</t>
        </is>
      </c>
      <c r="D478" s="21" t="inlineStr">
        <is>
          <t>34 EGR 922</t>
        </is>
      </c>
      <c r="E478" s="21" t="inlineStr">
        <is>
          <t>GÜRAY KOYUNCU</t>
        </is>
      </c>
      <c r="F478" s="23" t="n">
        <v>431124</v>
      </c>
      <c r="G478" s="138" t="n"/>
      <c r="H478" s="138" t="n">
        <v>501</v>
      </c>
      <c r="I478" s="138">
        <f>+I477+(G478-H478)</f>
        <v/>
      </c>
      <c r="J478" s="139" t="n">
        <v>41.18</v>
      </c>
      <c r="K478" s="140" t="n"/>
      <c r="L478" s="140">
        <f>+H478*J478</f>
        <v/>
      </c>
      <c r="M478" s="141">
        <f>SUM(M477+K478-L478)</f>
        <v/>
      </c>
    </row>
    <row r="479">
      <c r="A479" s="20" t="n">
        <v>45685</v>
      </c>
      <c r="B479" s="21" t="n">
        <v>20994</v>
      </c>
      <c r="C479" s="22" t="inlineStr">
        <is>
          <t>SELİM İNŞAAT</t>
        </is>
      </c>
      <c r="D479" s="21" t="inlineStr">
        <is>
          <t>34 GUS 938</t>
        </is>
      </c>
      <c r="E479" s="21" t="inlineStr">
        <is>
          <t>MEHMET KAYA</t>
        </is>
      </c>
      <c r="F479" s="23" t="n">
        <v>157890</v>
      </c>
      <c r="G479" s="138" t="n"/>
      <c r="H479" s="138" t="n">
        <v>435</v>
      </c>
      <c r="I479" s="138">
        <f>+I478+(G479-H479)</f>
        <v/>
      </c>
      <c r="J479" s="139" t="n">
        <v>41.18</v>
      </c>
      <c r="K479" s="140" t="n"/>
      <c r="L479" s="140">
        <f>+H479*J479</f>
        <v/>
      </c>
      <c r="M479" s="141">
        <f>SUM(M478+K479-L479)</f>
        <v/>
      </c>
    </row>
    <row r="480">
      <c r="A480" s="20" t="n">
        <v>45685</v>
      </c>
      <c r="B480" s="21" t="n">
        <v>11778</v>
      </c>
      <c r="C480" s="22" t="inlineStr">
        <is>
          <t>SELİM İNŞAAT</t>
        </is>
      </c>
      <c r="D480" s="21" t="inlineStr">
        <is>
          <t>34 EDC 086</t>
        </is>
      </c>
      <c r="E480" s="21" t="inlineStr">
        <is>
          <t>ÖMER AĞAYAR</t>
        </is>
      </c>
      <c r="F480" s="23" t="n">
        <v>302275</v>
      </c>
      <c r="G480" s="138" t="n"/>
      <c r="H480" s="138" t="n">
        <v>364</v>
      </c>
      <c r="I480" s="138">
        <f>+I479+(G480-H480)</f>
        <v/>
      </c>
      <c r="J480" s="139" t="n">
        <v>41.18</v>
      </c>
      <c r="K480" s="140" t="n"/>
      <c r="L480" s="140">
        <f>+H480*J480</f>
        <v/>
      </c>
      <c r="M480" s="141">
        <f>SUM(M479+K480-L480)</f>
        <v/>
      </c>
    </row>
    <row r="481">
      <c r="A481" s="20" t="n">
        <v>45685</v>
      </c>
      <c r="B481" s="21" t="n">
        <v>10202</v>
      </c>
      <c r="C481" s="22" t="inlineStr">
        <is>
          <t>SELİM İNŞAAT</t>
        </is>
      </c>
      <c r="D481" s="21" t="inlineStr">
        <is>
          <t>34 DSN 621</t>
        </is>
      </c>
      <c r="E481" s="21" t="inlineStr">
        <is>
          <t>MUSTAFA KAYA</t>
        </is>
      </c>
      <c r="F481" s="23" t="n">
        <v>387495</v>
      </c>
      <c r="G481" s="138" t="n"/>
      <c r="H481" s="138" t="n">
        <v>377</v>
      </c>
      <c r="I481" s="138">
        <f>+I480+(G481-H481)</f>
        <v/>
      </c>
      <c r="J481" s="139" t="n">
        <v>41.18</v>
      </c>
      <c r="K481" s="140" t="n"/>
      <c r="L481" s="140">
        <f>+H481*J481</f>
        <v/>
      </c>
      <c r="M481" s="141">
        <f>SUM(M480+K481-L481)</f>
        <v/>
      </c>
    </row>
    <row r="482">
      <c r="A482" s="20" t="n">
        <v>45685</v>
      </c>
      <c r="B482" s="21" t="n">
        <v>10056</v>
      </c>
      <c r="C482" s="22" t="inlineStr">
        <is>
          <t>SELİM İNŞAAT</t>
        </is>
      </c>
      <c r="D482" s="21" t="inlineStr">
        <is>
          <t>34 FBR 771</t>
        </is>
      </c>
      <c r="E482" s="21" t="inlineStr">
        <is>
          <t>HÜSEYİN AKÇİN</t>
        </is>
      </c>
      <c r="F482" s="23" t="n">
        <v>291231</v>
      </c>
      <c r="G482" s="138" t="n"/>
      <c r="H482" s="138" t="n">
        <v>445</v>
      </c>
      <c r="I482" s="138">
        <f>+I481+(G482-H482)</f>
        <v/>
      </c>
      <c r="J482" s="139" t="n">
        <v>41.18</v>
      </c>
      <c r="K482" s="140" t="n"/>
      <c r="L482" s="140">
        <f>+H482*J482</f>
        <v/>
      </c>
      <c r="M482" s="141">
        <f>SUM(M481+K482-L482)</f>
        <v/>
      </c>
    </row>
    <row r="483">
      <c r="A483" s="20" t="n">
        <v>45685</v>
      </c>
      <c r="B483" s="21" t="n">
        <v>9786</v>
      </c>
      <c r="C483" s="22" t="inlineStr">
        <is>
          <t>SELİM İNŞAAT</t>
        </is>
      </c>
      <c r="D483" s="21" t="inlineStr">
        <is>
          <t>34 GUZ 268</t>
        </is>
      </c>
      <c r="E483" s="21" t="inlineStr">
        <is>
          <t>KERİM KARAMAN</t>
        </is>
      </c>
      <c r="F483" s="23" t="n">
        <v>164649</v>
      </c>
      <c r="G483" s="138" t="n"/>
      <c r="H483" s="138" t="n">
        <v>404</v>
      </c>
      <c r="I483" s="138">
        <f>+I482+(G483-H483)</f>
        <v/>
      </c>
      <c r="J483" s="139" t="n">
        <v>41.18</v>
      </c>
      <c r="K483" s="140" t="n"/>
      <c r="L483" s="140">
        <f>+H483*J483</f>
        <v/>
      </c>
      <c r="M483" s="141">
        <f>SUM(M482+K483-L483)</f>
        <v/>
      </c>
    </row>
    <row r="484">
      <c r="A484" s="20" t="n">
        <v>45685</v>
      </c>
      <c r="B484" s="21" t="n">
        <v>10421</v>
      </c>
      <c r="C484" s="22" t="inlineStr">
        <is>
          <t>SELİM İNŞAAT</t>
        </is>
      </c>
      <c r="D484" s="21" t="inlineStr">
        <is>
          <t>34 FBR 781</t>
        </is>
      </c>
      <c r="E484" s="21" t="inlineStr">
        <is>
          <t>MEVLÜT POLAT</t>
        </is>
      </c>
      <c r="F484" s="23" t="n">
        <v>275270</v>
      </c>
      <c r="G484" s="138" t="n"/>
      <c r="H484" s="138" t="n">
        <v>414</v>
      </c>
      <c r="I484" s="138">
        <f>+I483+(G484-H484)</f>
        <v/>
      </c>
      <c r="J484" s="139" t="n">
        <v>41.18</v>
      </c>
      <c r="K484" s="140" t="n"/>
      <c r="L484" s="140">
        <f>+H484*J484</f>
        <v/>
      </c>
      <c r="M484" s="141">
        <f>SUM(M483+K484-L484)</f>
        <v/>
      </c>
    </row>
    <row r="485">
      <c r="A485" s="20" t="n">
        <v>45685</v>
      </c>
      <c r="B485" s="21" t="n">
        <v>9922</v>
      </c>
      <c r="C485" s="22" t="inlineStr">
        <is>
          <t>AHMET SELİM TEMHA</t>
        </is>
      </c>
      <c r="D485" s="21" t="inlineStr">
        <is>
          <t>34 DGE 422</t>
        </is>
      </c>
      <c r="E485" s="21" t="inlineStr">
        <is>
          <t>CEMAL AKDAMAR</t>
        </is>
      </c>
      <c r="F485" s="23" t="n"/>
      <c r="G485" s="138" t="n"/>
      <c r="H485" s="138" t="n">
        <v>59</v>
      </c>
      <c r="I485" s="138">
        <f>+I484+(G485-H485)</f>
        <v/>
      </c>
      <c r="J485" s="139" t="n">
        <v>41.18</v>
      </c>
      <c r="K485" s="140" t="n"/>
      <c r="L485" s="140">
        <f>+H485*J485</f>
        <v/>
      </c>
      <c r="M485" s="141">
        <f>SUM(M484+K485-L485)</f>
        <v/>
      </c>
    </row>
    <row r="486">
      <c r="A486" s="20" t="n">
        <v>45685</v>
      </c>
      <c r="B486" s="21" t="n">
        <v>21126</v>
      </c>
      <c r="C486" s="22" t="inlineStr">
        <is>
          <t>SELİM İNŞAAT</t>
        </is>
      </c>
      <c r="D486" s="21" t="inlineStr">
        <is>
          <t>34 TG 7869</t>
        </is>
      </c>
      <c r="E486" s="21" t="inlineStr">
        <is>
          <t>GÖRKEM KARABEL</t>
        </is>
      </c>
      <c r="F486" s="23" t="n">
        <v>178805</v>
      </c>
      <c r="G486" s="138" t="n"/>
      <c r="H486" s="138" t="n">
        <v>253</v>
      </c>
      <c r="I486" s="138">
        <f>+I485+(G486-H486)</f>
        <v/>
      </c>
      <c r="J486" s="139" t="n">
        <v>41.18</v>
      </c>
      <c r="K486" s="140" t="n"/>
      <c r="L486" s="140">
        <f>+H486*J486</f>
        <v/>
      </c>
      <c r="M486" s="141">
        <f>SUM(M485+K486-L486)</f>
        <v/>
      </c>
    </row>
    <row r="487">
      <c r="A487" s="20" t="n">
        <v>45685</v>
      </c>
      <c r="B487" s="21" t="n">
        <v>20293</v>
      </c>
      <c r="C487" s="22" t="inlineStr">
        <is>
          <t>SELİM İNŞAAT</t>
        </is>
      </c>
      <c r="D487" s="21" t="inlineStr">
        <is>
          <t>34 DKL 866</t>
        </is>
      </c>
      <c r="E487" s="21" t="inlineStr">
        <is>
          <t>ŞERİF CAN ÖNVER</t>
        </is>
      </c>
      <c r="F487" s="23" t="n">
        <v>60548</v>
      </c>
      <c r="G487" s="138" t="n"/>
      <c r="H487" s="138" t="n">
        <v>253</v>
      </c>
      <c r="I487" s="138">
        <f>+I486+(G487-H487)</f>
        <v/>
      </c>
      <c r="J487" s="139" t="n">
        <v>41.18</v>
      </c>
      <c r="K487" s="140" t="n"/>
      <c r="L487" s="140">
        <f>+H487*J487</f>
        <v/>
      </c>
      <c r="M487" s="141">
        <f>SUM(M486+K487-L487)</f>
        <v/>
      </c>
    </row>
    <row r="488">
      <c r="A488" s="20" t="n">
        <v>45685</v>
      </c>
      <c r="B488" s="21" t="n">
        <v>11984</v>
      </c>
      <c r="C488" s="22" t="inlineStr">
        <is>
          <t>SELİM İNŞAAT</t>
        </is>
      </c>
      <c r="D488" s="21" t="inlineStr">
        <is>
          <t>34 DKL 798</t>
        </is>
      </c>
      <c r="E488" s="21" t="inlineStr">
        <is>
          <t>VOLKAN YANAR</t>
        </is>
      </c>
      <c r="F488" s="23" t="n">
        <v>60699</v>
      </c>
      <c r="G488" s="138" t="n"/>
      <c r="H488" s="138" t="n">
        <v>170</v>
      </c>
      <c r="I488" s="138">
        <f>+I487+(G488-H488)</f>
        <v/>
      </c>
      <c r="J488" s="139" t="n">
        <v>41.18</v>
      </c>
      <c r="K488" s="140" t="n"/>
      <c r="L488" s="140">
        <f>+H488*J488</f>
        <v/>
      </c>
      <c r="M488" s="141">
        <f>SUM(M487+K488-L488)</f>
        <v/>
      </c>
    </row>
    <row r="489">
      <c r="A489" s="20" t="n">
        <v>45685</v>
      </c>
      <c r="B489" s="21" t="n">
        <v>11883</v>
      </c>
      <c r="C489" s="22" t="inlineStr">
        <is>
          <t>SELİM İNŞAAT</t>
        </is>
      </c>
      <c r="D489" s="21" t="inlineStr">
        <is>
          <t>34 DFE 454</t>
        </is>
      </c>
      <c r="E489" s="21" t="inlineStr">
        <is>
          <t>HASAN BAYCAN</t>
        </is>
      </c>
      <c r="F489" s="23" t="n">
        <v>154173</v>
      </c>
      <c r="G489" s="138" t="n"/>
      <c r="H489" s="138" t="n">
        <v>157</v>
      </c>
      <c r="I489" s="138">
        <f>+I488+(G489-H489)</f>
        <v/>
      </c>
      <c r="J489" s="139" t="n">
        <v>41.18</v>
      </c>
      <c r="K489" s="140" t="n"/>
      <c r="L489" s="140">
        <f>+H489*J489</f>
        <v/>
      </c>
      <c r="M489" s="141">
        <f>SUM(M488+K489-L489)</f>
        <v/>
      </c>
    </row>
    <row r="490">
      <c r="A490" s="20" t="n">
        <v>45685</v>
      </c>
      <c r="B490" s="21" t="n">
        <v>11056</v>
      </c>
      <c r="C490" s="22" t="inlineStr">
        <is>
          <t>SELİM İNŞAAT</t>
        </is>
      </c>
      <c r="D490" s="21" t="inlineStr">
        <is>
          <t>34 HBY 763</t>
        </is>
      </c>
      <c r="E490" s="21" t="inlineStr">
        <is>
          <t>A.KERİM ERGEN</t>
        </is>
      </c>
      <c r="F490" s="23" t="n">
        <v>12527</v>
      </c>
      <c r="G490" s="138" t="n"/>
      <c r="H490" s="138" t="n">
        <v>204</v>
      </c>
      <c r="I490" s="138">
        <f>+I489+(G490-H490)</f>
        <v/>
      </c>
      <c r="J490" s="139" t="n">
        <v>41.18</v>
      </c>
      <c r="K490" s="140" t="n"/>
      <c r="L490" s="140">
        <f>+H490*J490</f>
        <v/>
      </c>
      <c r="M490" s="141">
        <f>SUM(M489+K490-L490)</f>
        <v/>
      </c>
    </row>
    <row r="491">
      <c r="A491" s="20" t="n">
        <v>45685</v>
      </c>
      <c r="B491" s="21" t="n">
        <v>21302</v>
      </c>
      <c r="C491" s="22" t="inlineStr">
        <is>
          <t>SELİM İNŞAAT</t>
        </is>
      </c>
      <c r="D491" s="21" t="inlineStr">
        <is>
          <t>34 FEM 934</t>
        </is>
      </c>
      <c r="E491" s="21" t="inlineStr">
        <is>
          <t>SERDAR BOZKURT</t>
        </is>
      </c>
      <c r="F491" s="23" t="n">
        <v>298098</v>
      </c>
      <c r="G491" s="138" t="n"/>
      <c r="H491" s="138" t="n">
        <v>31</v>
      </c>
      <c r="I491" s="138">
        <f>+I490+(G491-H491)</f>
        <v/>
      </c>
      <c r="J491" s="139" t="n">
        <v>41.18</v>
      </c>
      <c r="K491" s="140" t="n"/>
      <c r="L491" s="140">
        <f>+H491*J491</f>
        <v/>
      </c>
      <c r="M491" s="141">
        <f>SUM(M490+K491-L491)</f>
        <v/>
      </c>
    </row>
    <row r="492">
      <c r="A492" s="20" t="n">
        <v>45685</v>
      </c>
      <c r="B492" s="1" t="n">
        <v>14869</v>
      </c>
      <c r="C492" s="2" t="inlineStr">
        <is>
          <t>VARLIK</t>
        </is>
      </c>
      <c r="D492" s="1" t="inlineStr">
        <is>
          <t>KAVAZAKİ</t>
        </is>
      </c>
      <c r="E492" s="1" t="inlineStr">
        <is>
          <t>UFUK SEVAL</t>
        </is>
      </c>
      <c r="F492" s="3" t="n"/>
      <c r="G492" s="143" t="n"/>
      <c r="H492" s="143" t="n">
        <v>199</v>
      </c>
      <c r="I492" s="143">
        <f>+I491+(G492-H492)</f>
        <v/>
      </c>
      <c r="J492" s="144" t="n">
        <v>41.18</v>
      </c>
      <c r="K492" s="145" t="n"/>
      <c r="L492" s="140">
        <f>+H492*J492</f>
        <v/>
      </c>
      <c r="M492" s="141">
        <f>SUM(M491+K492-L492)</f>
        <v/>
      </c>
    </row>
    <row r="493">
      <c r="A493" s="20" t="n">
        <v>45685</v>
      </c>
      <c r="B493" s="1" t="n">
        <v>14870</v>
      </c>
      <c r="C493" s="2" t="inlineStr">
        <is>
          <t>HASALTUN</t>
        </is>
      </c>
      <c r="D493" s="1" t="inlineStr">
        <is>
          <t>SM 350</t>
        </is>
      </c>
      <c r="E493" s="1" t="inlineStr">
        <is>
          <t>TEVFİK ÖZTÜRK</t>
        </is>
      </c>
      <c r="F493" s="3" t="n"/>
      <c r="G493" s="143" t="n"/>
      <c r="H493" s="143" t="n">
        <v>190</v>
      </c>
      <c r="I493" s="143">
        <f>+I492+(G493-H493)</f>
        <v/>
      </c>
      <c r="J493" s="144" t="n">
        <v>41.18</v>
      </c>
      <c r="K493" s="145" t="n"/>
      <c r="L493" s="140">
        <f>+H493*J493</f>
        <v/>
      </c>
      <c r="M493" s="141">
        <f>SUM(M492+K493-L493)</f>
        <v/>
      </c>
    </row>
    <row r="494">
      <c r="A494" s="20" t="n">
        <v>45685</v>
      </c>
      <c r="B494" s="1" t="n">
        <v>14873</v>
      </c>
      <c r="C494" s="2" t="inlineStr">
        <is>
          <t>VARLIK</t>
        </is>
      </c>
      <c r="D494" s="1" t="inlineStr">
        <is>
          <t>SM 370</t>
        </is>
      </c>
      <c r="E494" s="1" t="inlineStr">
        <is>
          <t>TEKİN ŞEYLAN</t>
        </is>
      </c>
      <c r="F494" s="3" t="n"/>
      <c r="G494" s="143" t="n"/>
      <c r="H494" s="143" t="n">
        <v>201</v>
      </c>
      <c r="I494" s="143">
        <f>+I493+(G494-H494)</f>
        <v/>
      </c>
      <c r="J494" s="144" t="n">
        <v>41.18</v>
      </c>
      <c r="K494" s="145" t="n"/>
      <c r="L494" s="140">
        <f>+H494*J494</f>
        <v/>
      </c>
      <c r="M494" s="141">
        <f>SUM(M493+K494-L494)</f>
        <v/>
      </c>
    </row>
    <row r="495">
      <c r="A495" s="20" t="n">
        <v>45685</v>
      </c>
      <c r="B495" s="1" t="n">
        <v>14874</v>
      </c>
      <c r="C495" s="2" t="inlineStr">
        <is>
          <t>VARLIK</t>
        </is>
      </c>
      <c r="D495" s="1" t="inlineStr">
        <is>
          <t>SM 350</t>
        </is>
      </c>
      <c r="E495" s="1" t="inlineStr">
        <is>
          <t>BAYRAM SANCAK</t>
        </is>
      </c>
      <c r="F495" s="3" t="n"/>
      <c r="G495" s="143" t="n"/>
      <c r="H495" s="143" t="n">
        <v>254</v>
      </c>
      <c r="I495" s="143">
        <f>+I494+(G495-H495)</f>
        <v/>
      </c>
      <c r="J495" s="144" t="n">
        <v>41.18</v>
      </c>
      <c r="K495" s="145" t="n"/>
      <c r="L495" s="140">
        <f>+H495*J495</f>
        <v/>
      </c>
      <c r="M495" s="141">
        <f>SUM(M494+K495-L495)</f>
        <v/>
      </c>
    </row>
    <row r="496">
      <c r="A496" s="20" t="n">
        <v>45685</v>
      </c>
      <c r="B496" s="1" t="n">
        <v>14875</v>
      </c>
      <c r="C496" s="2" t="inlineStr">
        <is>
          <t>VARLIK</t>
        </is>
      </c>
      <c r="D496" s="1" t="inlineStr">
        <is>
          <t>SM 300</t>
        </is>
      </c>
      <c r="E496" s="1" t="inlineStr">
        <is>
          <t>TURGUT SANCAK</t>
        </is>
      </c>
      <c r="F496" s="3" t="n"/>
      <c r="G496" s="143" t="n"/>
      <c r="H496" s="143" t="n">
        <v>291</v>
      </c>
      <c r="I496" s="143">
        <f>+I495+(G496-H496)</f>
        <v/>
      </c>
      <c r="J496" s="144" t="n">
        <v>41.18</v>
      </c>
      <c r="K496" s="145" t="n"/>
      <c r="L496" s="140">
        <f>+H496*J496</f>
        <v/>
      </c>
      <c r="M496" s="141">
        <f>SUM(M495+K496-L496)</f>
        <v/>
      </c>
    </row>
    <row r="497">
      <c r="A497" s="20" t="n">
        <v>45686</v>
      </c>
      <c r="B497" s="21" t="n">
        <v>2045</v>
      </c>
      <c r="C497" s="22" t="inlineStr">
        <is>
          <t>AZGÜN YAPI</t>
        </is>
      </c>
      <c r="D497" s="21" t="inlineStr">
        <is>
          <t>34 DTV 263</t>
        </is>
      </c>
      <c r="E497" s="21" t="inlineStr">
        <is>
          <t>EDİP TORLAK</t>
        </is>
      </c>
      <c r="F497" s="23" t="n">
        <v>357698</v>
      </c>
      <c r="G497" s="138" t="n"/>
      <c r="H497" s="138" t="n">
        <v>400</v>
      </c>
      <c r="I497" s="138">
        <f>+I496+(G497-H497)</f>
        <v/>
      </c>
      <c r="J497" s="139" t="n">
        <v>41.18</v>
      </c>
      <c r="K497" s="140" t="n"/>
      <c r="L497" s="140">
        <f>+H497*J497</f>
        <v/>
      </c>
      <c r="M497" s="141">
        <f>SUM(M496+K497-L497)</f>
        <v/>
      </c>
    </row>
    <row r="498">
      <c r="A498" s="20" t="n">
        <v>45686</v>
      </c>
      <c r="B498" s="21" t="n">
        <v>10019</v>
      </c>
      <c r="C498" s="22" t="inlineStr">
        <is>
          <t>METİN ERYİĞİT</t>
        </is>
      </c>
      <c r="D498" s="21" t="inlineStr">
        <is>
          <t>34 EGS 013</t>
        </is>
      </c>
      <c r="E498" s="21" t="inlineStr">
        <is>
          <t>UĞUR DUMAN</t>
        </is>
      </c>
      <c r="F498" s="23" t="n">
        <v>461379</v>
      </c>
      <c r="G498" s="138" t="n"/>
      <c r="H498" s="138" t="n">
        <v>430</v>
      </c>
      <c r="I498" s="138">
        <f>+I497+(G498-H498)</f>
        <v/>
      </c>
      <c r="J498" s="139" t="n">
        <v>41.18</v>
      </c>
      <c r="K498" s="140" t="n"/>
      <c r="L498" s="140">
        <f>+H498*J498</f>
        <v/>
      </c>
      <c r="M498" s="141">
        <f>SUM(M497+K498-L498)</f>
        <v/>
      </c>
    </row>
    <row r="499">
      <c r="A499" s="20" t="n">
        <v>45686</v>
      </c>
      <c r="B499" s="21" t="n">
        <v>11689</v>
      </c>
      <c r="C499" s="22" t="inlineStr">
        <is>
          <t>METİN ERYİĞİT</t>
        </is>
      </c>
      <c r="D499" s="21" t="inlineStr">
        <is>
          <t>34 GBL 998</t>
        </is>
      </c>
      <c r="E499" s="21" t="inlineStr">
        <is>
          <t>ALİ KESKİN</t>
        </is>
      </c>
      <c r="F499" s="23" t="n">
        <v>237684</v>
      </c>
      <c r="G499" s="138" t="n"/>
      <c r="H499" s="138" t="n">
        <v>473</v>
      </c>
      <c r="I499" s="138">
        <f>+I498+(G499-H499)</f>
        <v/>
      </c>
      <c r="J499" s="139" t="n">
        <v>41.18</v>
      </c>
      <c r="K499" s="140" t="n"/>
      <c r="L499" s="140">
        <f>+H499*J499</f>
        <v/>
      </c>
      <c r="M499" s="141">
        <f>SUM(M498+K499-L499)</f>
        <v/>
      </c>
    </row>
    <row r="500">
      <c r="A500" s="20" t="n">
        <v>45686</v>
      </c>
      <c r="B500" s="21" t="n">
        <v>11421</v>
      </c>
      <c r="C500" s="22" t="inlineStr">
        <is>
          <t>METİN ERYİĞİT</t>
        </is>
      </c>
      <c r="D500" s="21" t="inlineStr">
        <is>
          <t>34 EGR 814</t>
        </is>
      </c>
      <c r="E500" s="21" t="inlineStr">
        <is>
          <t>FARUK ÖZEN</t>
        </is>
      </c>
      <c r="F500" s="23" t="n">
        <v>512960</v>
      </c>
      <c r="G500" s="138" t="n"/>
      <c r="H500" s="138" t="n">
        <v>452</v>
      </c>
      <c r="I500" s="138">
        <f>+I499+(G500-H500)</f>
        <v/>
      </c>
      <c r="J500" s="139" t="n">
        <v>41.18</v>
      </c>
      <c r="K500" s="140" t="n"/>
      <c r="L500" s="140">
        <f>+H500*J500</f>
        <v/>
      </c>
      <c r="M500" s="141">
        <f>SUM(M499+K500-L500)</f>
        <v/>
      </c>
    </row>
    <row r="501">
      <c r="A501" s="20" t="n">
        <v>45686</v>
      </c>
      <c r="B501" s="21" t="n">
        <v>11714</v>
      </c>
      <c r="C501" s="22" t="inlineStr">
        <is>
          <t>SELİM İNŞAAT</t>
        </is>
      </c>
      <c r="D501" s="21" t="inlineStr">
        <is>
          <t>34 EDB 559</t>
        </is>
      </c>
      <c r="E501" s="21" t="inlineStr">
        <is>
          <t>CEM MUHTAR</t>
        </is>
      </c>
      <c r="F501" s="23" t="n">
        <v>302678</v>
      </c>
      <c r="G501" s="138" t="n"/>
      <c r="H501" s="138" t="n">
        <v>325</v>
      </c>
      <c r="I501" s="138">
        <f>+I500+(G501-H501)</f>
        <v/>
      </c>
      <c r="J501" s="139" t="n">
        <v>41.18</v>
      </c>
      <c r="K501" s="140" t="n"/>
      <c r="L501" s="140">
        <f>+H501*J501</f>
        <v/>
      </c>
      <c r="M501" s="141">
        <f>SUM(M500+K501-L501)</f>
        <v/>
      </c>
    </row>
    <row r="502">
      <c r="A502" s="20" t="n">
        <v>45686</v>
      </c>
      <c r="B502" s="21" t="n">
        <v>21187</v>
      </c>
      <c r="C502" s="22" t="inlineStr">
        <is>
          <t>SELİM İNŞAAT</t>
        </is>
      </c>
      <c r="D502" s="21" t="inlineStr">
        <is>
          <t>34 DSN 565</t>
        </is>
      </c>
      <c r="E502" s="21" t="inlineStr">
        <is>
          <t>MUHAMMER ÇAMLI</t>
        </is>
      </c>
      <c r="F502" s="23" t="n">
        <v>384622</v>
      </c>
      <c r="G502" s="138" t="n"/>
      <c r="H502" s="138" t="n">
        <v>269</v>
      </c>
      <c r="I502" s="138">
        <f>+I501+(G502-H502)</f>
        <v/>
      </c>
      <c r="J502" s="139" t="n">
        <v>41.18</v>
      </c>
      <c r="K502" s="140" t="n"/>
      <c r="L502" s="140">
        <f>+H502*J502</f>
        <v/>
      </c>
      <c r="M502" s="141">
        <f>SUM(M501+K502-L502)</f>
        <v/>
      </c>
    </row>
    <row r="503">
      <c r="A503" s="20" t="n">
        <v>45686</v>
      </c>
      <c r="B503" s="21" t="n">
        <v>11905</v>
      </c>
      <c r="C503" s="22" t="inlineStr">
        <is>
          <t>SELİM İNŞAAT</t>
        </is>
      </c>
      <c r="D503" s="21" t="inlineStr">
        <is>
          <t>34 FBR 742</t>
        </is>
      </c>
      <c r="E503" s="21" t="inlineStr">
        <is>
          <t>MİKAİL BAYILMAZ</t>
        </is>
      </c>
      <c r="F503" s="23" t="n">
        <v>292119</v>
      </c>
      <c r="G503" s="138" t="n"/>
      <c r="H503" s="138" t="n">
        <v>503</v>
      </c>
      <c r="I503" s="138">
        <f>+I502+(G503-H503)</f>
        <v/>
      </c>
      <c r="J503" s="139" t="n">
        <v>41.18</v>
      </c>
      <c r="K503" s="140" t="n"/>
      <c r="L503" s="140">
        <f>+H503*J503</f>
        <v/>
      </c>
      <c r="M503" s="141">
        <f>SUM(M502+K503-L503)</f>
        <v/>
      </c>
    </row>
    <row r="504">
      <c r="A504" s="20" t="n">
        <v>45686</v>
      </c>
      <c r="B504" s="21" t="n">
        <v>10983</v>
      </c>
      <c r="C504" s="22" t="inlineStr">
        <is>
          <t>SELİM İNŞAAT</t>
        </is>
      </c>
      <c r="D504" s="21" t="inlineStr">
        <is>
          <t>34 GVZ 199</t>
        </is>
      </c>
      <c r="E504" s="21" t="inlineStr">
        <is>
          <t>VAHDET GÜRLER</t>
        </is>
      </c>
      <c r="F504" s="23" t="n">
        <v>153863</v>
      </c>
      <c r="G504" s="138" t="n"/>
      <c r="H504" s="138" t="n">
        <v>288</v>
      </c>
      <c r="I504" s="138">
        <f>+I503+(G504-H504)</f>
        <v/>
      </c>
      <c r="J504" s="139" t="n">
        <v>41.18</v>
      </c>
      <c r="K504" s="140" t="n"/>
      <c r="L504" s="140">
        <f>+H504*J504</f>
        <v/>
      </c>
      <c r="M504" s="141">
        <f>SUM(M503+K504-L504)</f>
        <v/>
      </c>
    </row>
    <row r="505">
      <c r="A505" s="20" t="n">
        <v>45686</v>
      </c>
      <c r="B505" s="21" t="n">
        <v>21474</v>
      </c>
      <c r="C505" s="22" t="inlineStr">
        <is>
          <t>SELİM İNŞAAT</t>
        </is>
      </c>
      <c r="D505" s="21" t="inlineStr">
        <is>
          <t>34 GYZ 635</t>
        </is>
      </c>
      <c r="E505" s="21" t="inlineStr">
        <is>
          <t>ENGİN DEMİR</t>
        </is>
      </c>
      <c r="F505" s="23" t="n">
        <v>146513</v>
      </c>
      <c r="G505" s="138" t="n"/>
      <c r="H505" s="138" t="n">
        <v>417</v>
      </c>
      <c r="I505" s="138">
        <f>+I504+(G505-H505)</f>
        <v/>
      </c>
      <c r="J505" s="139" t="n">
        <v>41.18</v>
      </c>
      <c r="K505" s="140" t="n"/>
      <c r="L505" s="140">
        <f>+H505*J505</f>
        <v/>
      </c>
      <c r="M505" s="141">
        <f>SUM(M504+K505-L505)</f>
        <v/>
      </c>
    </row>
    <row r="506">
      <c r="A506" s="20" t="n">
        <v>45686</v>
      </c>
      <c r="B506" s="21" t="n">
        <v>10509</v>
      </c>
      <c r="C506" s="22" t="inlineStr">
        <is>
          <t>SELİM İNŞAAT</t>
        </is>
      </c>
      <c r="D506" s="21" t="inlineStr">
        <is>
          <t>34 EDB 922</t>
        </is>
      </c>
      <c r="E506" s="21" t="inlineStr">
        <is>
          <t>AHMET TOPÇU</t>
        </is>
      </c>
      <c r="F506" s="23" t="n">
        <v>331042</v>
      </c>
      <c r="G506" s="138" t="n"/>
      <c r="H506" s="138" t="n">
        <v>283</v>
      </c>
      <c r="I506" s="138">
        <f>+I505+(G506-H506)</f>
        <v/>
      </c>
      <c r="J506" s="139" t="n">
        <v>41.18</v>
      </c>
      <c r="K506" s="140" t="n"/>
      <c r="L506" s="140">
        <f>+H506*J506</f>
        <v/>
      </c>
      <c r="M506" s="141">
        <f>SUM(M505+K506-L506)</f>
        <v/>
      </c>
    </row>
    <row r="507">
      <c r="A507" s="20" t="n">
        <v>45686</v>
      </c>
      <c r="B507" s="21" t="n">
        <v>11621</v>
      </c>
      <c r="C507" s="22" t="inlineStr">
        <is>
          <t>SELİM İNŞAAT</t>
        </is>
      </c>
      <c r="D507" s="21" t="inlineStr">
        <is>
          <t>34 DTV 352</t>
        </is>
      </c>
      <c r="E507" s="21" t="inlineStr">
        <is>
          <t xml:space="preserve">RASİM BARTU </t>
        </is>
      </c>
      <c r="F507" s="23" t="n">
        <v>408465</v>
      </c>
      <c r="G507" s="138" t="n"/>
      <c r="H507" s="138" t="n">
        <v>452</v>
      </c>
      <c r="I507" s="138">
        <f>+I506+(G507-H507)</f>
        <v/>
      </c>
      <c r="J507" s="139" t="n">
        <v>41.18</v>
      </c>
      <c r="K507" s="140" t="n"/>
      <c r="L507" s="140">
        <f>+H507*J507</f>
        <v/>
      </c>
      <c r="M507" s="141">
        <f>SUM(M506+K507-L507)</f>
        <v/>
      </c>
    </row>
    <row r="508">
      <c r="A508" s="20" t="n">
        <v>45686</v>
      </c>
      <c r="B508" s="21" t="n">
        <v>11804</v>
      </c>
      <c r="C508" s="22" t="inlineStr">
        <is>
          <t>SELİM İNŞAAT</t>
        </is>
      </c>
      <c r="D508" s="21" t="inlineStr">
        <is>
          <t>34 FSG 229</t>
        </is>
      </c>
      <c r="E508" s="21" t="inlineStr">
        <is>
          <t>SİNAN TANRIVERDİ</t>
        </is>
      </c>
      <c r="F508" s="23" t="n">
        <v>230699</v>
      </c>
      <c r="G508" s="138" t="n"/>
      <c r="H508" s="138" t="n">
        <v>370</v>
      </c>
      <c r="I508" s="138">
        <f>+I507+(G508-H508)</f>
        <v/>
      </c>
      <c r="J508" s="139" t="n">
        <v>41.18</v>
      </c>
      <c r="K508" s="140" t="n"/>
      <c r="L508" s="140">
        <f>+H508*J508</f>
        <v/>
      </c>
      <c r="M508" s="141">
        <f>SUM(M507+K508-L508)</f>
        <v/>
      </c>
    </row>
    <row r="509">
      <c r="A509" s="20" t="n">
        <v>45686</v>
      </c>
      <c r="B509" s="21" t="n">
        <v>10273</v>
      </c>
      <c r="C509" s="22" t="inlineStr">
        <is>
          <t>SELİM İNŞAAT</t>
        </is>
      </c>
      <c r="D509" s="21" t="inlineStr">
        <is>
          <t>34 FBR 748</t>
        </is>
      </c>
      <c r="E509" s="21" t="inlineStr">
        <is>
          <t>YAŞAR ÖZKAYA</t>
        </is>
      </c>
      <c r="F509" s="23" t="n">
        <v>258060</v>
      </c>
      <c r="G509" s="138" t="n"/>
      <c r="H509" s="138" t="n">
        <v>407</v>
      </c>
      <c r="I509" s="138">
        <f>+I508+(G509-H509)</f>
        <v/>
      </c>
      <c r="J509" s="139" t="n">
        <v>41.18</v>
      </c>
      <c r="K509" s="140" t="n"/>
      <c r="L509" s="140">
        <f>+H509*J509</f>
        <v/>
      </c>
      <c r="M509" s="141">
        <f>SUM(M508+K509-L509)</f>
        <v/>
      </c>
    </row>
    <row r="510">
      <c r="A510" s="20" t="n">
        <v>45686</v>
      </c>
      <c r="B510" s="21" t="n">
        <v>10314</v>
      </c>
      <c r="C510" s="22" t="inlineStr">
        <is>
          <t>SELİM İNŞAAT</t>
        </is>
      </c>
      <c r="D510" s="21" t="inlineStr">
        <is>
          <t>34 EDB 829</t>
        </is>
      </c>
      <c r="E510" s="21" t="inlineStr">
        <is>
          <t>İSMET BAYRAM</t>
        </is>
      </c>
      <c r="F510" s="23" t="n">
        <v>291200</v>
      </c>
      <c r="G510" s="138" t="n"/>
      <c r="H510" s="138" t="n">
        <v>249</v>
      </c>
      <c r="I510" s="138">
        <f>+I509+(G510-H510)</f>
        <v/>
      </c>
      <c r="J510" s="139" t="n">
        <v>41.18</v>
      </c>
      <c r="K510" s="140" t="n"/>
      <c r="L510" s="140">
        <f>+H510*J510</f>
        <v/>
      </c>
      <c r="M510" s="141">
        <f>SUM(M509+K510-L510)</f>
        <v/>
      </c>
    </row>
    <row r="511">
      <c r="A511" s="20" t="n">
        <v>45686</v>
      </c>
      <c r="B511" s="21" t="n">
        <v>21447</v>
      </c>
      <c r="C511" s="22" t="inlineStr">
        <is>
          <t>SELİM İNŞAAT</t>
        </is>
      </c>
      <c r="D511" s="21" t="inlineStr">
        <is>
          <t>34 GUS 848</t>
        </is>
      </c>
      <c r="E511" s="21" t="inlineStr">
        <is>
          <t>SERDAR BOZKURT</t>
        </is>
      </c>
      <c r="F511" s="23" t="n">
        <v>162379</v>
      </c>
      <c r="G511" s="138" t="n"/>
      <c r="H511" s="138" t="n">
        <v>459</v>
      </c>
      <c r="I511" s="138">
        <f>+I510+(G511-H511)</f>
        <v/>
      </c>
      <c r="J511" s="139" t="n">
        <v>41.18</v>
      </c>
      <c r="K511" s="140" t="n"/>
      <c r="L511" s="140">
        <f>+H511*J511</f>
        <v/>
      </c>
      <c r="M511" s="141">
        <f>SUM(M510+K511-L511)</f>
        <v/>
      </c>
    </row>
    <row r="512">
      <c r="A512" s="20" t="n">
        <v>45686</v>
      </c>
      <c r="B512" s="21" t="n">
        <v>17998</v>
      </c>
      <c r="C512" s="22" t="inlineStr">
        <is>
          <t>SELİM İNŞAAT</t>
        </is>
      </c>
      <c r="D512" s="21" t="inlineStr">
        <is>
          <t>34 DSN 536</t>
        </is>
      </c>
      <c r="E512" s="21" t="inlineStr">
        <is>
          <t>DURSUN ALİ GÜREK</t>
        </is>
      </c>
      <c r="F512" s="23" t="n">
        <v>379360</v>
      </c>
      <c r="G512" s="138" t="n"/>
      <c r="H512" s="138" t="n">
        <v>379</v>
      </c>
      <c r="I512" s="138">
        <f>+I511+(G512-H512)</f>
        <v/>
      </c>
      <c r="J512" s="139" t="n">
        <v>41.18</v>
      </c>
      <c r="K512" s="140" t="n"/>
      <c r="L512" s="140">
        <f>+H512*J512</f>
        <v/>
      </c>
      <c r="M512" s="141">
        <f>SUM(M511+K512-L512)</f>
        <v/>
      </c>
    </row>
    <row r="513">
      <c r="A513" s="20" t="n">
        <v>45686</v>
      </c>
      <c r="B513" s="21" t="n">
        <v>10621</v>
      </c>
      <c r="C513" s="22" t="inlineStr">
        <is>
          <t>SELİM İNŞAAT</t>
        </is>
      </c>
      <c r="D513" s="21" t="inlineStr">
        <is>
          <t>34 EDB 754</t>
        </is>
      </c>
      <c r="E513" s="21" t="inlineStr">
        <is>
          <t>EMİN PARLAKKILIÇ</t>
        </is>
      </c>
      <c r="F513" s="23" t="n">
        <v>298283</v>
      </c>
      <c r="G513" s="138" t="n"/>
      <c r="H513" s="138" t="n">
        <v>370</v>
      </c>
      <c r="I513" s="138">
        <f>+I512+(G513-H513)</f>
        <v/>
      </c>
      <c r="J513" s="139" t="n">
        <v>41.18</v>
      </c>
      <c r="K513" s="140" t="n"/>
      <c r="L513" s="140">
        <f>+H513*J513</f>
        <v/>
      </c>
      <c r="M513" s="141">
        <f>SUM(M512+K513-L513)</f>
        <v/>
      </c>
    </row>
    <row r="514">
      <c r="A514" s="20" t="n">
        <v>45686</v>
      </c>
      <c r="B514" s="21" t="n">
        <v>21994</v>
      </c>
      <c r="C514" s="22" t="inlineStr">
        <is>
          <t>SELİM İNŞAAT</t>
        </is>
      </c>
      <c r="D514" s="21" t="inlineStr">
        <is>
          <t>34 EGR 737</t>
        </is>
      </c>
      <c r="E514" s="21" t="inlineStr">
        <is>
          <t>İBRAHİM GÜNASLAN</t>
        </is>
      </c>
      <c r="F514" s="23" t="n">
        <v>391085</v>
      </c>
      <c r="G514" s="138" t="n"/>
      <c r="H514" s="138" t="n">
        <v>412</v>
      </c>
      <c r="I514" s="138">
        <f>+I513+(G514-H514)</f>
        <v/>
      </c>
      <c r="J514" s="139" t="n">
        <v>41.18</v>
      </c>
      <c r="K514" s="140" t="n"/>
      <c r="L514" s="140">
        <f>+H514*J514</f>
        <v/>
      </c>
      <c r="M514" s="141">
        <f>SUM(M513+K514-L514)</f>
        <v/>
      </c>
    </row>
    <row r="515">
      <c r="A515" s="20" t="n">
        <v>45686</v>
      </c>
      <c r="B515" s="21" t="n">
        <v>10681</v>
      </c>
      <c r="C515" s="22" t="inlineStr">
        <is>
          <t>SELİM İNŞAAT</t>
        </is>
      </c>
      <c r="D515" s="21" t="inlineStr">
        <is>
          <t>34 DTV 599</t>
        </is>
      </c>
      <c r="E515" s="21" t="inlineStr">
        <is>
          <t>FERHAT GÜRLER</t>
        </is>
      </c>
      <c r="F515" s="23" t="n">
        <v>409126</v>
      </c>
      <c r="G515" s="138" t="n"/>
      <c r="H515" s="138" t="n">
        <v>283</v>
      </c>
      <c r="I515" s="138">
        <f>+I514+(G515-H515)</f>
        <v/>
      </c>
      <c r="J515" s="139" t="n">
        <v>41.18</v>
      </c>
      <c r="K515" s="140" t="n"/>
      <c r="L515" s="140">
        <f>+H515*J515</f>
        <v/>
      </c>
      <c r="M515" s="141">
        <f>SUM(M514+K515-L515)</f>
        <v/>
      </c>
    </row>
    <row r="516">
      <c r="A516" s="20" t="n">
        <v>45686</v>
      </c>
      <c r="B516" s="21" t="n">
        <v>21097</v>
      </c>
      <c r="C516" s="22" t="inlineStr">
        <is>
          <t>SELİM İNŞAAT</t>
        </is>
      </c>
      <c r="D516" s="21" t="inlineStr">
        <is>
          <t>34 EDB 659</t>
        </is>
      </c>
      <c r="E516" s="21" t="inlineStr">
        <is>
          <t>MEHMET SAİT ANIK</t>
        </is>
      </c>
      <c r="F516" s="23" t="n">
        <v>312875</v>
      </c>
      <c r="G516" s="138" t="n"/>
      <c r="H516" s="138" t="n">
        <v>364</v>
      </c>
      <c r="I516" s="138">
        <f>+I515+(G516-H516)</f>
        <v/>
      </c>
      <c r="J516" s="139" t="n">
        <v>41.18</v>
      </c>
      <c r="K516" s="140" t="n"/>
      <c r="L516" s="140">
        <f>+H516*J516</f>
        <v/>
      </c>
      <c r="M516" s="141">
        <f>SUM(M515+K516-L516)</f>
        <v/>
      </c>
    </row>
    <row r="517">
      <c r="A517" s="20" t="n">
        <v>45686</v>
      </c>
      <c r="B517" s="21" t="n">
        <v>10124</v>
      </c>
      <c r="C517" s="22" t="inlineStr">
        <is>
          <t>SELİM İNŞAAT</t>
        </is>
      </c>
      <c r="D517" s="21" t="inlineStr">
        <is>
          <t>34 DP 4161</t>
        </is>
      </c>
      <c r="E517" s="21" t="inlineStr">
        <is>
          <t>RIFAT KARATAY</t>
        </is>
      </c>
      <c r="F517" s="23" t="n">
        <v>279480</v>
      </c>
      <c r="G517" s="138" t="n"/>
      <c r="H517" s="138" t="n">
        <v>196</v>
      </c>
      <c r="I517" s="138">
        <f>+I516+(G517-H517)</f>
        <v/>
      </c>
      <c r="J517" s="139" t="n">
        <v>41.18</v>
      </c>
      <c r="K517" s="140" t="n"/>
      <c r="L517" s="140">
        <f>+H517*J517</f>
        <v/>
      </c>
      <c r="M517" s="141">
        <f>SUM(M516+K517-L517)</f>
        <v/>
      </c>
    </row>
    <row r="518">
      <c r="A518" s="20" t="n">
        <v>45686</v>
      </c>
      <c r="B518" s="21" t="n">
        <v>20525</v>
      </c>
      <c r="C518" s="22" t="inlineStr">
        <is>
          <t>SELİM İNŞAAT</t>
        </is>
      </c>
      <c r="D518" s="21" t="inlineStr">
        <is>
          <t>34 VF 2620</t>
        </is>
      </c>
      <c r="E518" s="21" t="inlineStr">
        <is>
          <t>RECEP SELİM</t>
        </is>
      </c>
      <c r="F518" s="23" t="n">
        <v>179841</v>
      </c>
      <c r="G518" s="138" t="n"/>
      <c r="H518" s="138" t="n">
        <v>74</v>
      </c>
      <c r="I518" s="138">
        <f>+I517+(G518-H518)</f>
        <v/>
      </c>
      <c r="J518" s="139" t="n">
        <v>41.18</v>
      </c>
      <c r="K518" s="140" t="n"/>
      <c r="L518" s="140">
        <f>+H518*J518</f>
        <v/>
      </c>
      <c r="M518" s="141">
        <f>SUM(M517+K518-L518)</f>
        <v/>
      </c>
    </row>
    <row r="519">
      <c r="A519" s="20" t="n">
        <v>45686</v>
      </c>
      <c r="B519" s="21" t="n">
        <v>14871</v>
      </c>
      <c r="C519" s="22" t="inlineStr">
        <is>
          <t>YUNUS GÜLLÜK</t>
        </is>
      </c>
      <c r="D519" s="21" t="inlineStr">
        <is>
          <t>KİRALIK HİTACHİ</t>
        </is>
      </c>
      <c r="E519" s="21" t="inlineStr">
        <is>
          <t>RAMAZAN KAYA</t>
        </is>
      </c>
      <c r="F519" s="23" t="n"/>
      <c r="G519" s="138" t="n"/>
      <c r="H519" s="138" t="n">
        <v>412</v>
      </c>
      <c r="I519" s="138">
        <f>+I518+(G519-H519)</f>
        <v/>
      </c>
      <c r="J519" s="139" t="n">
        <v>41.18</v>
      </c>
      <c r="K519" s="140" t="n"/>
      <c r="L519" s="140">
        <f>+H519*J519</f>
        <v/>
      </c>
      <c r="M519" s="141">
        <f>SUM(M518+K519-L519)</f>
        <v/>
      </c>
    </row>
    <row r="520">
      <c r="A520" s="20" t="n">
        <v>45686</v>
      </c>
      <c r="B520" s="1" t="n">
        <v>14872</v>
      </c>
      <c r="C520" s="2" t="inlineStr">
        <is>
          <t>HASALTUN</t>
        </is>
      </c>
      <c r="D520" s="1" t="inlineStr">
        <is>
          <t>SM 350</t>
        </is>
      </c>
      <c r="E520" s="1" t="inlineStr">
        <is>
          <t>TEVFİK ÖZTÜRK</t>
        </is>
      </c>
      <c r="F520" s="3" t="n"/>
      <c r="G520" s="143" t="n"/>
      <c r="H520" s="143" t="n">
        <v>237</v>
      </c>
      <c r="I520" s="143">
        <f>+I519+(G520-H520)</f>
        <v/>
      </c>
      <c r="J520" s="144" t="n">
        <v>41.18</v>
      </c>
      <c r="K520" s="145" t="n"/>
      <c r="L520" s="140">
        <f>+H520*J520</f>
        <v/>
      </c>
      <c r="M520" s="141">
        <f>SUM(M519+K520-L520)</f>
        <v/>
      </c>
    </row>
    <row r="521">
      <c r="A521" s="20" t="n">
        <v>45686</v>
      </c>
      <c r="B521" s="1" t="n">
        <v>14877</v>
      </c>
      <c r="C521" s="2" t="inlineStr">
        <is>
          <t>VARLIK</t>
        </is>
      </c>
      <c r="D521" s="1" t="inlineStr">
        <is>
          <t>SM 370</t>
        </is>
      </c>
      <c r="E521" s="1" t="inlineStr">
        <is>
          <t>TEKİN ŞEYLAN</t>
        </is>
      </c>
      <c r="F521" s="3" t="n"/>
      <c r="G521" s="143" t="n"/>
      <c r="H521" s="143" t="n">
        <v>253</v>
      </c>
      <c r="I521" s="143">
        <f>+I520+(G521-H521)</f>
        <v/>
      </c>
      <c r="J521" s="144" t="n">
        <v>41.18</v>
      </c>
      <c r="K521" s="145" t="n"/>
      <c r="L521" s="140">
        <f>+H521*J521</f>
        <v/>
      </c>
      <c r="M521" s="141">
        <f>SUM(M520+K521-L521)</f>
        <v/>
      </c>
    </row>
    <row r="522">
      <c r="A522" s="20" t="n">
        <v>45686</v>
      </c>
      <c r="B522" s="1" t="n">
        <v>14878</v>
      </c>
      <c r="C522" s="2" t="inlineStr">
        <is>
          <t>VARLIK</t>
        </is>
      </c>
      <c r="D522" s="1" t="inlineStr">
        <is>
          <t>SM 300</t>
        </is>
      </c>
      <c r="E522" s="1" t="inlineStr">
        <is>
          <t>TURGUT SANCAK</t>
        </is>
      </c>
      <c r="F522" s="3" t="n"/>
      <c r="G522" s="143" t="n"/>
      <c r="H522" s="143" t="n">
        <v>140</v>
      </c>
      <c r="I522" s="143">
        <f>+I521+(G522-H522)</f>
        <v/>
      </c>
      <c r="J522" s="144" t="n">
        <v>41.18</v>
      </c>
      <c r="K522" s="145" t="n"/>
      <c r="L522" s="140">
        <f>+H522*J522</f>
        <v/>
      </c>
      <c r="M522" s="141">
        <f>SUM(M521+K522-L522)</f>
        <v/>
      </c>
    </row>
    <row r="523">
      <c r="A523" s="20" t="n">
        <v>45686</v>
      </c>
      <c r="B523" s="1" t="n">
        <v>14879</v>
      </c>
      <c r="C523" s="2" t="inlineStr">
        <is>
          <t>VARLIK</t>
        </is>
      </c>
      <c r="D523" s="1" t="inlineStr">
        <is>
          <t>SM 350</t>
        </is>
      </c>
      <c r="E523" s="1" t="inlineStr">
        <is>
          <t>BAYRAM SANCAK</t>
        </is>
      </c>
      <c r="F523" s="3" t="n"/>
      <c r="G523" s="143" t="n"/>
      <c r="H523" s="143" t="n">
        <v>158</v>
      </c>
      <c r="I523" s="143">
        <f>+I522+(G523-H523)</f>
        <v/>
      </c>
      <c r="J523" s="144" t="n">
        <v>41.18</v>
      </c>
      <c r="K523" s="145" t="n"/>
      <c r="L523" s="140">
        <f>+H523*J523</f>
        <v/>
      </c>
      <c r="M523" s="141">
        <f>SUM(M522+K523-L523)</f>
        <v/>
      </c>
    </row>
    <row r="524">
      <c r="A524" s="20" t="n">
        <v>45687</v>
      </c>
      <c r="B524" s="21" t="n">
        <v>11457</v>
      </c>
      <c r="C524" s="22" t="inlineStr">
        <is>
          <t>METİN ŞİRİN</t>
        </is>
      </c>
      <c r="D524" s="21" t="inlineStr">
        <is>
          <t>34 EGR 922</t>
        </is>
      </c>
      <c r="E524" s="21" t="inlineStr">
        <is>
          <t>GÜRAY KOYUNCU</t>
        </is>
      </c>
      <c r="F524" s="23" t="n">
        <v>431927</v>
      </c>
      <c r="G524" s="138" t="n"/>
      <c r="H524" s="138" t="n">
        <v>361</v>
      </c>
      <c r="I524" s="138">
        <f>+I523+(G524-H524)</f>
        <v/>
      </c>
      <c r="J524" s="139" t="n">
        <v>41.18</v>
      </c>
      <c r="K524" s="140" t="n"/>
      <c r="L524" s="140">
        <f>+H524*J524</f>
        <v/>
      </c>
      <c r="M524" s="141">
        <f>SUM(M523+K524-L524)</f>
        <v/>
      </c>
    </row>
    <row r="525">
      <c r="A525" s="20" t="n">
        <v>45687</v>
      </c>
      <c r="B525" s="21" t="n">
        <v>11268</v>
      </c>
      <c r="C525" s="22" t="inlineStr">
        <is>
          <t>SELİM İNŞAAT</t>
        </is>
      </c>
      <c r="D525" s="21" t="inlineStr">
        <is>
          <t>34 EDC 162</t>
        </is>
      </c>
      <c r="E525" s="21" t="inlineStr">
        <is>
          <t xml:space="preserve">YAKUP GÜNER </t>
        </is>
      </c>
      <c r="F525" s="23" t="n">
        <v>338326</v>
      </c>
      <c r="G525" s="138" t="n"/>
      <c r="H525" s="138" t="n">
        <v>422</v>
      </c>
      <c r="I525" s="138">
        <f>+I524+(G525-H525)</f>
        <v/>
      </c>
      <c r="J525" s="139" t="n">
        <v>41.18</v>
      </c>
      <c r="K525" s="140" t="n"/>
      <c r="L525" s="140">
        <f>+H525*J525</f>
        <v/>
      </c>
      <c r="M525" s="141">
        <f>SUM(M524+K525-L525)</f>
        <v/>
      </c>
    </row>
    <row r="526">
      <c r="A526" s="20" t="n">
        <v>45687</v>
      </c>
      <c r="B526" s="21" t="n">
        <v>20995</v>
      </c>
      <c r="C526" s="22" t="inlineStr">
        <is>
          <t>SELİM İNŞAAT</t>
        </is>
      </c>
      <c r="D526" s="21" t="inlineStr">
        <is>
          <t>34 GUS 938</t>
        </is>
      </c>
      <c r="E526" s="21" t="inlineStr">
        <is>
          <t>MEHMET KAYA</t>
        </is>
      </c>
      <c r="F526" s="23" t="n">
        <v>158756</v>
      </c>
      <c r="G526" s="138" t="n"/>
      <c r="H526" s="138" t="n">
        <v>443</v>
      </c>
      <c r="I526" s="138">
        <f>+I525+(G526-H526)</f>
        <v/>
      </c>
      <c r="J526" s="139" t="n">
        <v>41.18</v>
      </c>
      <c r="K526" s="140" t="n"/>
      <c r="L526" s="140">
        <f>+H526*J526</f>
        <v/>
      </c>
      <c r="M526" s="141">
        <f>SUM(M525+K526-L526)</f>
        <v/>
      </c>
    </row>
    <row r="527">
      <c r="A527" s="20" t="n">
        <v>45687</v>
      </c>
      <c r="B527" s="21" t="n">
        <v>21282</v>
      </c>
      <c r="C527" s="22" t="inlineStr">
        <is>
          <t>SELİM İNŞAAT</t>
        </is>
      </c>
      <c r="D527" s="21" t="inlineStr">
        <is>
          <t>34 DTV 447</t>
        </is>
      </c>
      <c r="E527" s="21" t="inlineStr">
        <is>
          <t>EBUBEKİR KOLDAŞ</t>
        </is>
      </c>
      <c r="F527" s="23" t="n">
        <v>412035</v>
      </c>
      <c r="G527" s="138" t="n"/>
      <c r="H527" s="138" t="n">
        <v>397</v>
      </c>
      <c r="I527" s="138">
        <f>+I526+(G527-H527)</f>
        <v/>
      </c>
      <c r="J527" s="139" t="n">
        <v>41.18</v>
      </c>
      <c r="K527" s="140" t="n"/>
      <c r="L527" s="140">
        <f>+H527*J527</f>
        <v/>
      </c>
      <c r="M527" s="141">
        <f>SUM(M526+K527-L527)</f>
        <v/>
      </c>
    </row>
    <row r="528">
      <c r="A528" s="20" t="n">
        <v>45687</v>
      </c>
      <c r="B528" s="21" t="n">
        <v>10763</v>
      </c>
      <c r="C528" s="22" t="inlineStr">
        <is>
          <t>SELİM İNŞAAT</t>
        </is>
      </c>
      <c r="D528" s="21" t="inlineStr">
        <is>
          <t>34 FBR 705</t>
        </is>
      </c>
      <c r="E528" s="21" t="inlineStr">
        <is>
          <t>MESUT GÜRLER</t>
        </is>
      </c>
      <c r="F528" s="23" t="n">
        <v>286522</v>
      </c>
      <c r="G528" s="138" t="n"/>
      <c r="H528" s="138" t="n">
        <v>379</v>
      </c>
      <c r="I528" s="138">
        <f>+I527+(G528-H528)</f>
        <v/>
      </c>
      <c r="J528" s="139" t="n">
        <v>41.18</v>
      </c>
      <c r="K528" s="140" t="n"/>
      <c r="L528" s="140">
        <f>+H528*J528</f>
        <v/>
      </c>
      <c r="M528" s="141">
        <f>SUM(M527+K528-L528)</f>
        <v/>
      </c>
    </row>
    <row r="529">
      <c r="A529" s="20" t="n">
        <v>45687</v>
      </c>
      <c r="B529" s="21" t="n">
        <v>11779</v>
      </c>
      <c r="C529" s="22" t="inlineStr">
        <is>
          <t>SELİM İNŞAAT</t>
        </is>
      </c>
      <c r="D529" s="21" t="inlineStr">
        <is>
          <t>34 EDC 086</t>
        </is>
      </c>
      <c r="E529" s="21" t="inlineStr">
        <is>
          <t>ÖMER AĞAYAR</t>
        </is>
      </c>
      <c r="F529" s="23" t="n">
        <v>302832</v>
      </c>
      <c r="G529" s="138" t="n"/>
      <c r="H529" s="138" t="n">
        <v>298</v>
      </c>
      <c r="I529" s="138">
        <f>+I528+(G529-H529)</f>
        <v/>
      </c>
      <c r="J529" s="139" t="n">
        <v>41.18</v>
      </c>
      <c r="K529" s="140" t="n"/>
      <c r="L529" s="140">
        <f>+H529*J529</f>
        <v/>
      </c>
      <c r="M529" s="141">
        <f>SUM(M528+K529-L529)</f>
        <v/>
      </c>
    </row>
    <row r="530">
      <c r="A530" s="20" t="n">
        <v>45687</v>
      </c>
      <c r="B530" s="21" t="n">
        <v>10203</v>
      </c>
      <c r="C530" s="22" t="inlineStr">
        <is>
          <t>SELİM İNŞAAT</t>
        </is>
      </c>
      <c r="D530" s="21" t="inlineStr">
        <is>
          <t>34 DSN 621</t>
        </is>
      </c>
      <c r="E530" s="21" t="inlineStr">
        <is>
          <t>MUSTAFA KAYA</t>
        </is>
      </c>
      <c r="F530" s="23" t="n">
        <v>388060</v>
      </c>
      <c r="G530" s="138" t="n"/>
      <c r="H530" s="138" t="n">
        <v>328</v>
      </c>
      <c r="I530" s="138">
        <f>+I529+(G530-H530)</f>
        <v/>
      </c>
      <c r="J530" s="139" t="n">
        <v>41.18</v>
      </c>
      <c r="K530" s="140" t="n"/>
      <c r="L530" s="140">
        <f>+H530*J530</f>
        <v/>
      </c>
      <c r="M530" s="141">
        <f>SUM(M529+K530-L530)</f>
        <v/>
      </c>
    </row>
    <row r="531">
      <c r="A531" s="20" t="n">
        <v>45687</v>
      </c>
      <c r="B531" s="21" t="n">
        <v>10057</v>
      </c>
      <c r="C531" s="22" t="inlineStr">
        <is>
          <t>SELİM İNŞAAT</t>
        </is>
      </c>
      <c r="D531" s="21" t="inlineStr">
        <is>
          <t>34 FBR 771</t>
        </is>
      </c>
      <c r="E531" s="21" t="inlineStr">
        <is>
          <t>HÜSEYİN AKÇİN</t>
        </is>
      </c>
      <c r="F531" s="23" t="n">
        <v>292143</v>
      </c>
      <c r="G531" s="138" t="n"/>
      <c r="H531" s="138" t="n">
        <v>509</v>
      </c>
      <c r="I531" s="138">
        <f>+I530+(G531-H531)</f>
        <v/>
      </c>
      <c r="J531" s="139" t="n">
        <v>41.18</v>
      </c>
      <c r="K531" s="140" t="n"/>
      <c r="L531" s="140">
        <f>+H531*J531</f>
        <v/>
      </c>
      <c r="M531" s="141">
        <f>SUM(M530+K531-L531)</f>
        <v/>
      </c>
    </row>
    <row r="532">
      <c r="A532" s="20" t="n">
        <v>45687</v>
      </c>
      <c r="B532" s="21" t="n">
        <v>20897</v>
      </c>
      <c r="C532" s="22" t="inlineStr">
        <is>
          <t>SELİM İNŞAAT</t>
        </is>
      </c>
      <c r="D532" s="21" t="inlineStr">
        <is>
          <t>34 GVZ 310</t>
        </is>
      </c>
      <c r="E532" s="21" t="inlineStr">
        <is>
          <t>CELAL YÜZBAŞI</t>
        </is>
      </c>
      <c r="F532" s="23" t="n">
        <v>167500</v>
      </c>
      <c r="G532" s="138" t="n"/>
      <c r="H532" s="138" t="n">
        <v>467</v>
      </c>
      <c r="I532" s="138">
        <f>+I531+(G532-H532)</f>
        <v/>
      </c>
      <c r="J532" s="139" t="n">
        <v>41.18</v>
      </c>
      <c r="K532" s="140" t="n"/>
      <c r="L532" s="140">
        <f>+H532*J532</f>
        <v/>
      </c>
      <c r="M532" s="141">
        <f>SUM(M531+K532-L532)</f>
        <v/>
      </c>
    </row>
    <row r="533">
      <c r="A533" s="20" t="n">
        <v>45687</v>
      </c>
      <c r="B533" s="21" t="n">
        <v>10422</v>
      </c>
      <c r="C533" s="22" t="inlineStr">
        <is>
          <t>SELİM İNŞAAT</t>
        </is>
      </c>
      <c r="D533" s="21" t="inlineStr">
        <is>
          <t>34 FBR 781</t>
        </is>
      </c>
      <c r="E533" s="21" t="inlineStr">
        <is>
          <t>MEVLÜT POLAT</t>
        </is>
      </c>
      <c r="F533" s="23" t="n">
        <v>276104</v>
      </c>
      <c r="G533" s="138" t="n"/>
      <c r="H533" s="138" t="n">
        <v>415</v>
      </c>
      <c r="I533" s="138">
        <f>+I532+(G533-H533)</f>
        <v/>
      </c>
      <c r="J533" s="139" t="n">
        <v>41.18</v>
      </c>
      <c r="K533" s="140" t="n"/>
      <c r="L533" s="140">
        <f>+H533*J533</f>
        <v/>
      </c>
      <c r="M533" s="141">
        <f>SUM(M532+K533-L533)</f>
        <v/>
      </c>
    </row>
    <row r="534">
      <c r="A534" s="20" t="n">
        <v>45687</v>
      </c>
      <c r="B534" s="21" t="n">
        <v>10169</v>
      </c>
      <c r="C534" s="22" t="inlineStr">
        <is>
          <t>SELİM İNŞAAT</t>
        </is>
      </c>
      <c r="D534" s="21" t="inlineStr">
        <is>
          <t>34 EGR 736</t>
        </is>
      </c>
      <c r="E534" s="21" t="inlineStr">
        <is>
          <t>MUHAMMER ÇAMLI</t>
        </is>
      </c>
      <c r="F534" s="23" t="n">
        <v>361455</v>
      </c>
      <c r="G534" s="138" t="n"/>
      <c r="H534" s="138" t="n">
        <v>366</v>
      </c>
      <c r="I534" s="138">
        <f>+I533+(G534-H534)</f>
        <v/>
      </c>
      <c r="J534" s="139" t="n">
        <v>41.18</v>
      </c>
      <c r="K534" s="140" t="n"/>
      <c r="L534" s="140">
        <f>+H534*J534</f>
        <v/>
      </c>
      <c r="M534" s="141">
        <f>SUM(M533+K534-L534)</f>
        <v/>
      </c>
    </row>
    <row r="535">
      <c r="A535" s="20" t="n">
        <v>45687</v>
      </c>
      <c r="B535" s="21" t="n">
        <v>11123</v>
      </c>
      <c r="C535" s="22" t="inlineStr">
        <is>
          <t>SELİM İNŞAAT</t>
        </is>
      </c>
      <c r="D535" s="21" t="inlineStr">
        <is>
          <t>34 DTV 409</t>
        </is>
      </c>
      <c r="E535" s="21" t="inlineStr">
        <is>
          <t xml:space="preserve">ONUR CANLI </t>
        </is>
      </c>
      <c r="F535" s="23" t="n">
        <v>395449</v>
      </c>
      <c r="G535" s="138" t="n"/>
      <c r="H535" s="138" t="n">
        <v>317</v>
      </c>
      <c r="I535" s="138">
        <f>+I534+(G535-H535)</f>
        <v/>
      </c>
      <c r="J535" s="139" t="n">
        <v>41.18</v>
      </c>
      <c r="K535" s="140" t="n"/>
      <c r="L535" s="140">
        <f>+H535*J535</f>
        <v/>
      </c>
      <c r="M535" s="141">
        <f>SUM(M534+K535-L535)</f>
        <v/>
      </c>
    </row>
    <row r="536">
      <c r="A536" s="20" t="n">
        <v>45687</v>
      </c>
      <c r="B536" s="21" t="n">
        <v>21536</v>
      </c>
      <c r="C536" s="22" t="inlineStr">
        <is>
          <t>SELİM İNŞAAT</t>
        </is>
      </c>
      <c r="D536" s="21" t="inlineStr">
        <is>
          <t>34 GVZ 745</t>
        </is>
      </c>
      <c r="E536" s="21" t="inlineStr">
        <is>
          <t>MUHAMMED YİĞİT</t>
        </is>
      </c>
      <c r="F536" s="23" t="n">
        <v>160594</v>
      </c>
      <c r="G536" s="138" t="n"/>
      <c r="H536" s="138" t="n">
        <v>292</v>
      </c>
      <c r="I536" s="138">
        <f>+I535+(G536-H536)</f>
        <v/>
      </c>
      <c r="J536" s="139" t="n">
        <v>41.18</v>
      </c>
      <c r="K536" s="140" t="n"/>
      <c r="L536" s="140">
        <f>+H536*J536</f>
        <v/>
      </c>
      <c r="M536" s="141">
        <f>SUM(M535+K536-L536)</f>
        <v/>
      </c>
    </row>
    <row r="537">
      <c r="A537" s="20" t="n">
        <v>45687</v>
      </c>
      <c r="B537" s="21" t="n">
        <v>10355</v>
      </c>
      <c r="C537" s="22" t="inlineStr">
        <is>
          <t>SELİM İNŞAAT</t>
        </is>
      </c>
      <c r="D537" s="21" t="inlineStr">
        <is>
          <t>34 DRU 690</t>
        </is>
      </c>
      <c r="E537" s="21" t="inlineStr">
        <is>
          <t>DURSUN ALİ GÜREK</t>
        </is>
      </c>
      <c r="F537" s="23" t="n">
        <v>389426</v>
      </c>
      <c r="G537" s="138" t="n"/>
      <c r="H537" s="138" t="n">
        <v>444</v>
      </c>
      <c r="I537" s="138">
        <f>+I536+(G537-H537)</f>
        <v/>
      </c>
      <c r="J537" s="139" t="n">
        <v>41.18</v>
      </c>
      <c r="K537" s="140" t="n"/>
      <c r="L537" s="140">
        <f>+H537*J537</f>
        <v/>
      </c>
      <c r="M537" s="141">
        <f>SUM(M536+K537-L537)</f>
        <v/>
      </c>
    </row>
    <row r="538">
      <c r="A538" s="20" t="n">
        <v>45687</v>
      </c>
      <c r="B538" s="21" t="n">
        <v>21127</v>
      </c>
      <c r="C538" s="22" t="inlineStr">
        <is>
          <t>SELİM İNŞAAT</t>
        </is>
      </c>
      <c r="D538" s="21" t="inlineStr">
        <is>
          <t>34 TG 7869</t>
        </is>
      </c>
      <c r="E538" s="21" t="inlineStr">
        <is>
          <t>GÖRKEM KARABEL</t>
        </is>
      </c>
      <c r="F538" s="23" t="n">
        <v>178936</v>
      </c>
      <c r="G538" s="138" t="n"/>
      <c r="H538" s="138" t="n">
        <v>245</v>
      </c>
      <c r="I538" s="138">
        <f>+I537+(G538-H538)</f>
        <v/>
      </c>
      <c r="J538" s="139" t="n">
        <v>41.18</v>
      </c>
      <c r="K538" s="140" t="n"/>
      <c r="L538" s="140">
        <f>+H538*J538</f>
        <v/>
      </c>
      <c r="M538" s="141">
        <f>SUM(M537+K538-L538)</f>
        <v/>
      </c>
    </row>
    <row r="539">
      <c r="A539" s="20" t="n">
        <v>45687</v>
      </c>
      <c r="B539" s="21" t="n">
        <v>20294</v>
      </c>
      <c r="C539" s="22" t="inlineStr">
        <is>
          <t>SELİM İNŞAAT</t>
        </is>
      </c>
      <c r="D539" s="21" t="inlineStr">
        <is>
          <t>34 DKL 866</t>
        </is>
      </c>
      <c r="E539" s="21" t="inlineStr">
        <is>
          <t>ŞERİF CAN ÖNVER</t>
        </is>
      </c>
      <c r="F539" s="23" t="n">
        <v>60689</v>
      </c>
      <c r="G539" s="138" t="n"/>
      <c r="H539" s="138" t="n">
        <v>221</v>
      </c>
      <c r="I539" s="138">
        <f>+I538+(G539-H539)</f>
        <v/>
      </c>
      <c r="J539" s="139" t="n">
        <v>41.18</v>
      </c>
      <c r="K539" s="140" t="n"/>
      <c r="L539" s="140">
        <f>+H539*J539</f>
        <v/>
      </c>
      <c r="M539" s="141">
        <f>SUM(M538+K539-L539)</f>
        <v/>
      </c>
    </row>
    <row r="540">
      <c r="A540" s="20" t="n">
        <v>45687</v>
      </c>
      <c r="B540" s="21" t="n">
        <v>11985</v>
      </c>
      <c r="C540" s="22" t="inlineStr">
        <is>
          <t>SELİM İNŞAAT</t>
        </is>
      </c>
      <c r="D540" s="21" t="inlineStr">
        <is>
          <t>34 DKL 798</t>
        </is>
      </c>
      <c r="E540" s="21" t="inlineStr">
        <is>
          <t>VOLKAN YANAR</t>
        </is>
      </c>
      <c r="F540" s="23" t="n">
        <v>60797</v>
      </c>
      <c r="G540" s="138" t="n"/>
      <c r="H540" s="138" t="n">
        <v>138</v>
      </c>
      <c r="I540" s="138">
        <f>+I539+(G540-H540)</f>
        <v/>
      </c>
      <c r="J540" s="139" t="n">
        <v>41.18</v>
      </c>
      <c r="K540" s="140" t="n"/>
      <c r="L540" s="140">
        <f>+H540*J540</f>
        <v/>
      </c>
      <c r="M540" s="141">
        <f>SUM(M539+K540-L540)</f>
        <v/>
      </c>
    </row>
    <row r="541">
      <c r="A541" s="20" t="n">
        <v>45687</v>
      </c>
      <c r="B541" s="21" t="n">
        <v>11884</v>
      </c>
      <c r="C541" s="22" t="inlineStr">
        <is>
          <t>SELİM İNŞAAT</t>
        </is>
      </c>
      <c r="D541" s="21" t="inlineStr">
        <is>
          <t>34 DFE 454</t>
        </is>
      </c>
      <c r="E541" s="21" t="inlineStr">
        <is>
          <t>HASAN BAYCAN</t>
        </is>
      </c>
      <c r="F541" s="23" t="n">
        <v>154295</v>
      </c>
      <c r="G541" s="138" t="n"/>
      <c r="H541" s="138" t="n">
        <v>203</v>
      </c>
      <c r="I541" s="138">
        <f>+I540+(G541-H541)</f>
        <v/>
      </c>
      <c r="J541" s="139" t="n">
        <v>41.18</v>
      </c>
      <c r="K541" s="140" t="n"/>
      <c r="L541" s="140">
        <f>+H541*J541</f>
        <v/>
      </c>
      <c r="M541" s="141">
        <f>SUM(M540+K541-L541)</f>
        <v/>
      </c>
    </row>
    <row r="542">
      <c r="A542" s="20" t="n">
        <v>45687</v>
      </c>
      <c r="B542" s="21" t="n">
        <v>10555</v>
      </c>
      <c r="C542" s="22" t="inlineStr">
        <is>
          <t>SELİM İNŞAAT</t>
        </is>
      </c>
      <c r="D542" s="21" t="inlineStr">
        <is>
          <t>34 GU 945</t>
        </is>
      </c>
      <c r="E542" s="21" t="inlineStr">
        <is>
          <t xml:space="preserve">ONUR CANLI </t>
        </is>
      </c>
      <c r="F542" s="23" t="n">
        <v>437592</v>
      </c>
      <c r="G542" s="138" t="n"/>
      <c r="H542" s="138" t="n">
        <v>73</v>
      </c>
      <c r="I542" s="138">
        <f>+I541+(G542-H542)</f>
        <v/>
      </c>
      <c r="J542" s="139" t="n">
        <v>41.18</v>
      </c>
      <c r="K542" s="140" t="n"/>
      <c r="L542" s="140">
        <f>+H542*J542</f>
        <v/>
      </c>
      <c r="M542" s="141">
        <f>SUM(M541+K542-L542)</f>
        <v/>
      </c>
    </row>
    <row r="543">
      <c r="A543" s="20" t="n">
        <v>45687</v>
      </c>
      <c r="B543" s="1" t="n">
        <v>14876</v>
      </c>
      <c r="C543" s="2" t="inlineStr">
        <is>
          <t>HASALTUN</t>
        </is>
      </c>
      <c r="D543" s="1" t="inlineStr">
        <is>
          <t>SM 350</t>
        </is>
      </c>
      <c r="E543" s="1" t="inlineStr">
        <is>
          <t>TEVFİK ÖZTÜRK</t>
        </is>
      </c>
      <c r="F543" s="3" t="n"/>
      <c r="G543" s="143" t="n"/>
      <c r="H543" s="143" t="n">
        <v>370</v>
      </c>
      <c r="I543" s="143">
        <f>+I542+(G543-H543)</f>
        <v/>
      </c>
      <c r="J543" s="144" t="n">
        <v>41.18</v>
      </c>
      <c r="K543" s="145" t="n"/>
      <c r="L543" s="140">
        <f>+H543*J543</f>
        <v/>
      </c>
      <c r="M543" s="141">
        <f>SUM(M542+K543-L543)</f>
        <v/>
      </c>
    </row>
    <row r="544">
      <c r="A544" s="20" t="n">
        <v>45687</v>
      </c>
      <c r="B544" s="1" t="n">
        <v>14880</v>
      </c>
      <c r="C544" s="2" t="inlineStr">
        <is>
          <t>EVKUR</t>
        </is>
      </c>
      <c r="D544" s="1" t="inlineStr">
        <is>
          <t>RT 650 SARI VİNÇ</t>
        </is>
      </c>
      <c r="E544" s="1" t="inlineStr">
        <is>
          <t>ALİHAN DUMAN</t>
        </is>
      </c>
      <c r="F544" s="3" t="n"/>
      <c r="G544" s="143" t="n"/>
      <c r="H544" s="143" t="n">
        <v>145</v>
      </c>
      <c r="I544" s="143">
        <f>+I543+(G544-H544)</f>
        <v/>
      </c>
      <c r="J544" s="144" t="n">
        <v>41.18</v>
      </c>
      <c r="K544" s="145" t="n"/>
      <c r="L544" s="140">
        <f>+H544*J544</f>
        <v/>
      </c>
      <c r="M544" s="141">
        <f>SUM(M543+K544-L544)</f>
        <v/>
      </c>
    </row>
    <row r="545">
      <c r="A545" s="20" t="n">
        <v>45687</v>
      </c>
      <c r="B545" s="1" t="n">
        <v>14881</v>
      </c>
      <c r="C545" s="2" t="inlineStr">
        <is>
          <t>VARLIK</t>
        </is>
      </c>
      <c r="D545" s="1" t="inlineStr">
        <is>
          <t>SM 300</t>
        </is>
      </c>
      <c r="E545" s="1" t="inlineStr">
        <is>
          <t>TURGUT SANCAK</t>
        </is>
      </c>
      <c r="F545" s="3" t="n"/>
      <c r="G545" s="143" t="n"/>
      <c r="H545" s="143" t="n">
        <v>201</v>
      </c>
      <c r="I545" s="143">
        <f>+I544+(G545-H545)</f>
        <v/>
      </c>
      <c r="J545" s="144" t="n">
        <v>41.18</v>
      </c>
      <c r="K545" s="145" t="n"/>
      <c r="L545" s="140">
        <f>+H545*J545</f>
        <v/>
      </c>
      <c r="M545" s="141">
        <f>SUM(M544+K545-L545)</f>
        <v/>
      </c>
    </row>
    <row r="546">
      <c r="A546" s="20" t="n">
        <v>45687</v>
      </c>
      <c r="B546" s="1" t="n">
        <v>14882</v>
      </c>
      <c r="C546" s="2" t="inlineStr">
        <is>
          <t>VARLIK</t>
        </is>
      </c>
      <c r="D546" s="1" t="inlineStr">
        <is>
          <t>SM 350</t>
        </is>
      </c>
      <c r="E546" s="1" t="inlineStr">
        <is>
          <t>BAYRAM SANCAK</t>
        </is>
      </c>
      <c r="F546" s="3" t="n"/>
      <c r="G546" s="143" t="n"/>
      <c r="H546" s="143" t="n">
        <v>177</v>
      </c>
      <c r="I546" s="143">
        <f>+I545+(G546-H546)</f>
        <v/>
      </c>
      <c r="J546" s="144" t="n">
        <v>41.18</v>
      </c>
      <c r="K546" s="145" t="n"/>
      <c r="L546" s="140">
        <f>+H546*J546</f>
        <v/>
      </c>
      <c r="M546" s="141">
        <f>SUM(M545+K546-L546)</f>
        <v/>
      </c>
    </row>
    <row r="547">
      <c r="A547" s="20" t="n">
        <v>45687</v>
      </c>
      <c r="B547" s="1" t="n">
        <v>14883</v>
      </c>
      <c r="C547" s="2" t="inlineStr">
        <is>
          <t>VARLIK</t>
        </is>
      </c>
      <c r="D547" s="1" t="inlineStr">
        <is>
          <t>SM 370</t>
        </is>
      </c>
      <c r="E547" s="1" t="inlineStr">
        <is>
          <t>TEKİN ŞEYLAN</t>
        </is>
      </c>
      <c r="F547" s="3" t="n"/>
      <c r="G547" s="143" t="n"/>
      <c r="H547" s="143" t="n">
        <v>213</v>
      </c>
      <c r="I547" s="143">
        <f>+I546+(G547-H547)</f>
        <v/>
      </c>
      <c r="J547" s="144" t="n">
        <v>41.18</v>
      </c>
      <c r="K547" s="145" t="n"/>
      <c r="L547" s="140">
        <f>+H547*J547</f>
        <v/>
      </c>
      <c r="M547" s="141">
        <f>SUM(M546+K547-L547)</f>
        <v/>
      </c>
    </row>
    <row r="548">
      <c r="A548" s="20" t="n">
        <v>45687</v>
      </c>
      <c r="B548" s="1" t="n">
        <v>14884</v>
      </c>
      <c r="C548" s="2" t="inlineStr">
        <is>
          <t>EVKUR</t>
        </is>
      </c>
      <c r="D548" s="1" t="inlineStr">
        <is>
          <t>34 AZ 2191 VİNÇ</t>
        </is>
      </c>
      <c r="E548" s="1" t="inlineStr">
        <is>
          <t>NUMAN KABİL</t>
        </is>
      </c>
      <c r="F548" s="3" t="n"/>
      <c r="G548" s="143" t="n"/>
      <c r="H548" s="143" t="n">
        <v>220</v>
      </c>
      <c r="I548" s="143">
        <f>+I547+(G548-H548)</f>
        <v/>
      </c>
      <c r="J548" s="144" t="n">
        <v>41.18</v>
      </c>
      <c r="K548" s="145" t="n"/>
      <c r="L548" s="140">
        <f>+H548*J548</f>
        <v/>
      </c>
      <c r="M548" s="141">
        <f>SUM(M547+K548-L548)</f>
        <v/>
      </c>
    </row>
    <row r="549">
      <c r="A549" s="20" t="n">
        <v>45687</v>
      </c>
      <c r="B549" s="1" t="n">
        <v>14885</v>
      </c>
      <c r="C549" s="2" t="inlineStr">
        <is>
          <t>EVKUR</t>
        </is>
      </c>
      <c r="D549" s="1" t="inlineStr">
        <is>
          <t>KAVAZAKİ</t>
        </is>
      </c>
      <c r="E549" s="1" t="inlineStr">
        <is>
          <t>UFUK SEVAL</t>
        </is>
      </c>
      <c r="F549" s="3" t="n"/>
      <c r="G549" s="143" t="n"/>
      <c r="H549" s="143" t="n">
        <v>207</v>
      </c>
      <c r="I549" s="143">
        <f>+I548+(G549-H549)</f>
        <v/>
      </c>
      <c r="J549" s="144" t="n">
        <v>41.18</v>
      </c>
      <c r="K549" s="145" t="n"/>
      <c r="L549" s="140">
        <f>+H549*J549</f>
        <v/>
      </c>
      <c r="M549" s="141">
        <f>SUM(M548+K549-L549)</f>
        <v/>
      </c>
    </row>
    <row r="550">
      <c r="A550" s="20" t="n">
        <v>45688</v>
      </c>
      <c r="B550" s="21" t="n">
        <v>92</v>
      </c>
      <c r="C550" s="22" t="inlineStr">
        <is>
          <t>ÜNSOY TURİZM İNŞ.SAN.VE TİC.A.Ş.</t>
        </is>
      </c>
      <c r="D550" s="21" t="n"/>
      <c r="E550" s="21" t="n"/>
      <c r="F550" s="23" t="n"/>
      <c r="G550" s="138" t="n">
        <v>31855</v>
      </c>
      <c r="H550" s="138" t="n"/>
      <c r="I550" s="138">
        <f>+I549+(G550-H550)</f>
        <v/>
      </c>
      <c r="J550" s="139">
        <f>+K550/31855</f>
        <v/>
      </c>
      <c r="K550" s="140" t="n">
        <v>1285349.26</v>
      </c>
      <c r="L550" s="140">
        <f>+H550*J550</f>
        <v/>
      </c>
      <c r="M550" s="141">
        <f>SUM(M549+K550-L550)</f>
        <v/>
      </c>
    </row>
    <row r="551">
      <c r="A551" s="20" t="n">
        <v>45688</v>
      </c>
      <c r="B551" s="21" t="n">
        <v>2046</v>
      </c>
      <c r="C551" s="22" t="inlineStr">
        <is>
          <t>AZGÜN YAPI</t>
        </is>
      </c>
      <c r="D551" s="21" t="inlineStr">
        <is>
          <t>34 DTV 263</t>
        </is>
      </c>
      <c r="E551" s="21" t="inlineStr">
        <is>
          <t>EDİP TORLAK</t>
        </is>
      </c>
      <c r="F551" s="23" t="n">
        <v>358330</v>
      </c>
      <c r="G551" s="138" t="n"/>
      <c r="H551" s="138" t="n">
        <v>356</v>
      </c>
      <c r="I551" s="138">
        <f>+I550+(G551-H551)</f>
        <v/>
      </c>
      <c r="J551" s="139" t="n">
        <v>40.35</v>
      </c>
      <c r="K551" s="140" t="n"/>
      <c r="L551" s="140">
        <f>+H551*J551</f>
        <v/>
      </c>
      <c r="M551" s="141">
        <f>SUM(M550+K551-L551)</f>
        <v/>
      </c>
    </row>
    <row r="552">
      <c r="A552" s="20" t="n">
        <v>45688</v>
      </c>
      <c r="B552" s="21" t="n">
        <v>11359</v>
      </c>
      <c r="C552" s="22" t="inlineStr">
        <is>
          <t>AZGÜN YAPI</t>
        </is>
      </c>
      <c r="D552" s="21" t="inlineStr">
        <is>
          <t>34 MKT 593</t>
        </is>
      </c>
      <c r="E552" s="21" t="inlineStr">
        <is>
          <t>HASAN</t>
        </is>
      </c>
      <c r="F552" s="23" t="n">
        <v>7930</v>
      </c>
      <c r="G552" s="138" t="n"/>
      <c r="H552" s="138" t="n">
        <v>380</v>
      </c>
      <c r="I552" s="138">
        <f>+I551+(G552-H552)</f>
        <v/>
      </c>
      <c r="J552" s="139" t="n">
        <v>40.35</v>
      </c>
      <c r="K552" s="140" t="n"/>
      <c r="L552" s="140">
        <f>+H552*J552</f>
        <v/>
      </c>
      <c r="M552" s="141">
        <f>SUM(M551+K552-L552)</f>
        <v/>
      </c>
    </row>
    <row r="553">
      <c r="A553" s="20" t="n">
        <v>45688</v>
      </c>
      <c r="B553" s="21" t="n">
        <v>11310</v>
      </c>
      <c r="C553" s="22" t="inlineStr">
        <is>
          <t>AZGÜN YAPI</t>
        </is>
      </c>
      <c r="D553" s="21" t="inlineStr">
        <is>
          <t>34 MKT 859</t>
        </is>
      </c>
      <c r="E553" s="21" t="inlineStr">
        <is>
          <t>YAHYA</t>
        </is>
      </c>
      <c r="F553" s="23" t="n">
        <v>9290</v>
      </c>
      <c r="G553" s="138" t="n"/>
      <c r="H553" s="138" t="n">
        <v>820</v>
      </c>
      <c r="I553" s="138">
        <f>+I552+(G553-H553)</f>
        <v/>
      </c>
      <c r="J553" s="139" t="n">
        <v>40.35</v>
      </c>
      <c r="K553" s="140" t="n"/>
      <c r="L553" s="140">
        <f>+H553*J553</f>
        <v/>
      </c>
      <c r="M553" s="141">
        <f>SUM(M552+K553-L553)</f>
        <v/>
      </c>
    </row>
    <row r="554">
      <c r="A554" s="20" t="n">
        <v>45688</v>
      </c>
      <c r="B554" s="21" t="n">
        <v>10020</v>
      </c>
      <c r="C554" s="22" t="inlineStr">
        <is>
          <t>METİN ERYİĞİT</t>
        </is>
      </c>
      <c r="D554" s="21" t="inlineStr">
        <is>
          <t>34 EGS 013</t>
        </is>
      </c>
      <c r="E554" s="21" t="inlineStr">
        <is>
          <t>UĞUR DUMAN</t>
        </is>
      </c>
      <c r="F554" s="23" t="n">
        <v>462189</v>
      </c>
      <c r="G554" s="138" t="n"/>
      <c r="H554" s="138" t="n">
        <v>393</v>
      </c>
      <c r="I554" s="138">
        <f>+I553+(G554-H554)</f>
        <v/>
      </c>
      <c r="J554" s="139" t="n">
        <v>40.35</v>
      </c>
      <c r="K554" s="140" t="n"/>
      <c r="L554" s="140">
        <f>+H554*J554</f>
        <v/>
      </c>
      <c r="M554" s="141">
        <f>SUM(M553+K554-L554)</f>
        <v/>
      </c>
    </row>
    <row r="555">
      <c r="A555" s="20" t="n">
        <v>45688</v>
      </c>
      <c r="B555" s="21" t="n">
        <v>11690</v>
      </c>
      <c r="C555" s="22" t="inlineStr">
        <is>
          <t>METİN ERYİĞİT</t>
        </is>
      </c>
      <c r="D555" s="21" t="inlineStr">
        <is>
          <t>34 GBL 998</t>
        </is>
      </c>
      <c r="E555" s="21" t="inlineStr">
        <is>
          <t>ALİ KESKİN</t>
        </is>
      </c>
      <c r="F555" s="23" t="n">
        <v>238578</v>
      </c>
      <c r="G555" s="138" t="n"/>
      <c r="H555" s="138" t="n">
        <v>453</v>
      </c>
      <c r="I555" s="138">
        <f>+I554+(G555-H555)</f>
        <v/>
      </c>
      <c r="J555" s="139" t="n">
        <v>40.35</v>
      </c>
      <c r="K555" s="140" t="n"/>
      <c r="L555" s="140">
        <f>+H555*J555</f>
        <v/>
      </c>
      <c r="M555" s="141">
        <f>SUM(M554+K555-L555)</f>
        <v/>
      </c>
    </row>
    <row r="556">
      <c r="A556" s="20" t="n">
        <v>45688</v>
      </c>
      <c r="B556" s="21" t="n">
        <v>11422</v>
      </c>
      <c r="C556" s="22" t="inlineStr">
        <is>
          <t>METİN ERYİĞİT</t>
        </is>
      </c>
      <c r="D556" s="21" t="inlineStr">
        <is>
          <t>34 EGR 814</t>
        </is>
      </c>
      <c r="E556" s="21" t="inlineStr">
        <is>
          <t>FARUK ÖZEN</t>
        </is>
      </c>
      <c r="F556" s="23" t="n">
        <v>513790</v>
      </c>
      <c r="G556" s="138" t="n"/>
      <c r="H556" s="138" t="n">
        <v>420</v>
      </c>
      <c r="I556" s="138">
        <f>+I555+(G556-H556)</f>
        <v/>
      </c>
      <c r="J556" s="139" t="n">
        <v>40.35</v>
      </c>
      <c r="K556" s="140" t="n"/>
      <c r="L556" s="140">
        <f>+H556*J556</f>
        <v/>
      </c>
      <c r="M556" s="141">
        <f>SUM(M555+K556-L556)</f>
        <v/>
      </c>
    </row>
    <row r="557">
      <c r="A557" s="20" t="n">
        <v>45688</v>
      </c>
      <c r="B557" s="21" t="n">
        <v>11458</v>
      </c>
      <c r="C557" s="22" t="inlineStr">
        <is>
          <t>METİN ŞİRİN</t>
        </is>
      </c>
      <c r="D557" s="21" t="inlineStr">
        <is>
          <t>34 EGR 922</t>
        </is>
      </c>
      <c r="E557" s="21" t="inlineStr">
        <is>
          <t>GÜRAY KOYUNCU</t>
        </is>
      </c>
      <c r="F557" s="23" t="n">
        <v>432480</v>
      </c>
      <c r="G557" s="138" t="n"/>
      <c r="H557" s="138" t="n">
        <v>291</v>
      </c>
      <c r="I557" s="138">
        <f>+I556+(G557-H557)</f>
        <v/>
      </c>
      <c r="J557" s="139" t="n">
        <v>40.35</v>
      </c>
      <c r="K557" s="140" t="n"/>
      <c r="L557" s="140">
        <f>+H557*J557</f>
        <v/>
      </c>
      <c r="M557" s="141">
        <f>SUM(M556+K557-L557)</f>
        <v/>
      </c>
    </row>
    <row r="558">
      <c r="A558" s="20" t="n">
        <v>45688</v>
      </c>
      <c r="B558" s="21" t="n">
        <v>11715</v>
      </c>
      <c r="C558" s="22" t="inlineStr">
        <is>
          <t>SELİM İNŞAAT</t>
        </is>
      </c>
      <c r="D558" s="21" t="inlineStr">
        <is>
          <t>34 EDB 559</t>
        </is>
      </c>
      <c r="E558" s="21" t="inlineStr">
        <is>
          <t>CEM MUHTAR</t>
        </is>
      </c>
      <c r="F558" s="23" t="n">
        <v>303406</v>
      </c>
      <c r="G558" s="138" t="n"/>
      <c r="H558" s="138" t="n">
        <v>383</v>
      </c>
      <c r="I558" s="138">
        <f>+I557+(G558-H558)</f>
        <v/>
      </c>
      <c r="J558" s="139" t="n">
        <v>40.35</v>
      </c>
      <c r="K558" s="140" t="n"/>
      <c r="L558" s="140">
        <f>+H558*J558</f>
        <v/>
      </c>
      <c r="M558" s="141">
        <f>SUM(M557+K558-L558)</f>
        <v/>
      </c>
    </row>
    <row r="559">
      <c r="A559" s="20" t="n">
        <v>45688</v>
      </c>
      <c r="B559" s="21" t="n">
        <v>11906</v>
      </c>
      <c r="C559" s="22" t="inlineStr">
        <is>
          <t>SELİM İNŞAAT</t>
        </is>
      </c>
      <c r="D559" s="21" t="inlineStr">
        <is>
          <t>34 FBR 742</t>
        </is>
      </c>
      <c r="E559" s="21" t="inlineStr">
        <is>
          <t>MİKAİL BAYILMAZ</t>
        </is>
      </c>
      <c r="F559" s="23" t="n">
        <v>292494</v>
      </c>
      <c r="G559" s="138" t="n"/>
      <c r="H559" s="138" t="n">
        <v>220</v>
      </c>
      <c r="I559" s="138">
        <f>+I558+(G559-H559)</f>
        <v/>
      </c>
      <c r="J559" s="139" t="n">
        <v>40.35</v>
      </c>
      <c r="K559" s="140" t="n"/>
      <c r="L559" s="140">
        <f>+H559*J559</f>
        <v/>
      </c>
      <c r="M559" s="141">
        <f>SUM(M558+K559-L559)</f>
        <v/>
      </c>
    </row>
    <row r="560">
      <c r="A560" s="20" t="n">
        <v>45688</v>
      </c>
      <c r="B560" s="21" t="n">
        <v>10984</v>
      </c>
      <c r="C560" s="22" t="inlineStr">
        <is>
          <t>SELİM İNŞAAT</t>
        </is>
      </c>
      <c r="D560" s="21" t="inlineStr">
        <is>
          <t>34 GVZ 199</t>
        </is>
      </c>
      <c r="E560" s="21" t="inlineStr">
        <is>
          <t>VAHDET GÜRLER</t>
        </is>
      </c>
      <c r="F560" s="23" t="n">
        <v>154363</v>
      </c>
      <c r="G560" s="138" t="n"/>
      <c r="H560" s="138" t="n">
        <v>241</v>
      </c>
      <c r="I560" s="138">
        <f>+I559+(G560-H560)</f>
        <v/>
      </c>
      <c r="J560" s="139" t="n">
        <v>40.35</v>
      </c>
      <c r="K560" s="140" t="n"/>
      <c r="L560" s="140">
        <f>+H560*J560</f>
        <v/>
      </c>
      <c r="M560" s="141">
        <f>SUM(M559+K560-L560)</f>
        <v/>
      </c>
    </row>
    <row r="561">
      <c r="A561" s="20" t="n">
        <v>45688</v>
      </c>
      <c r="B561" s="21" t="n">
        <v>21475</v>
      </c>
      <c r="C561" s="22" t="inlineStr">
        <is>
          <t>SELİM İNŞAAT</t>
        </is>
      </c>
      <c r="D561" s="21" t="inlineStr">
        <is>
          <t>34 GYZ 635</t>
        </is>
      </c>
      <c r="E561" s="21" t="inlineStr">
        <is>
          <t>ENGİN DEMİR</t>
        </is>
      </c>
      <c r="F561" s="23" t="n">
        <v>147330</v>
      </c>
      <c r="G561" s="138" t="n"/>
      <c r="H561" s="138" t="n">
        <v>461</v>
      </c>
      <c r="I561" s="138">
        <f>+I560+(G561-H561)</f>
        <v/>
      </c>
      <c r="J561" s="139" t="n">
        <v>40.35</v>
      </c>
      <c r="K561" s="140" t="n"/>
      <c r="L561" s="140">
        <f>+H561*J561</f>
        <v/>
      </c>
      <c r="M561" s="141">
        <f>SUM(M560+K561-L561)</f>
        <v/>
      </c>
    </row>
    <row r="562">
      <c r="A562" s="20" t="n">
        <v>45688</v>
      </c>
      <c r="B562" s="21" t="n">
        <v>10510</v>
      </c>
      <c r="C562" s="22" t="inlineStr">
        <is>
          <t>SELİM İNŞAAT</t>
        </is>
      </c>
      <c r="D562" s="21" t="inlineStr">
        <is>
          <t>34 EDB 922</t>
        </is>
      </c>
      <c r="E562" s="21" t="inlineStr">
        <is>
          <t>AHMET TOPÇU</t>
        </is>
      </c>
      <c r="F562" s="23" t="n">
        <v>331901</v>
      </c>
      <c r="G562" s="138" t="n"/>
      <c r="H562" s="138" t="n">
        <v>403</v>
      </c>
      <c r="I562" s="138">
        <f>+I561+(G562-H562)</f>
        <v/>
      </c>
      <c r="J562" s="139" t="n">
        <v>40.35</v>
      </c>
      <c r="K562" s="140" t="n"/>
      <c r="L562" s="140">
        <f>+H562*J562</f>
        <v/>
      </c>
      <c r="M562" s="141">
        <f>SUM(M561+K562-L562)</f>
        <v/>
      </c>
    </row>
    <row r="563">
      <c r="A563" s="20" t="n">
        <v>45688</v>
      </c>
      <c r="B563" s="21" t="n">
        <v>11622</v>
      </c>
      <c r="C563" s="22" t="inlineStr">
        <is>
          <t>SELİM İNŞAAT</t>
        </is>
      </c>
      <c r="D563" s="21" t="inlineStr">
        <is>
          <t>34 DTV 352</t>
        </is>
      </c>
      <c r="E563" s="21" t="inlineStr">
        <is>
          <t xml:space="preserve">RASİM BARTU </t>
        </is>
      </c>
      <c r="F563" s="23" t="n">
        <v>409113</v>
      </c>
      <c r="G563" s="138" t="n"/>
      <c r="H563" s="138" t="n">
        <v>297</v>
      </c>
      <c r="I563" s="138">
        <f>+I562+(G563-H563)</f>
        <v/>
      </c>
      <c r="J563" s="139" t="n">
        <v>40.35</v>
      </c>
      <c r="K563" s="140" t="n"/>
      <c r="L563" s="140">
        <f>+H563*J563</f>
        <v/>
      </c>
      <c r="M563" s="141">
        <f>SUM(M562+K563-L563)</f>
        <v/>
      </c>
    </row>
    <row r="564">
      <c r="A564" s="20" t="n">
        <v>45688</v>
      </c>
      <c r="B564" s="21" t="n">
        <v>11805</v>
      </c>
      <c r="C564" s="22" t="inlineStr">
        <is>
          <t>SELİM İNŞAAT</t>
        </is>
      </c>
      <c r="D564" s="21" t="inlineStr">
        <is>
          <t>34 FSG 229</t>
        </is>
      </c>
      <c r="E564" s="21" t="inlineStr">
        <is>
          <t>SİNAN TANRIVERDİ</t>
        </is>
      </c>
      <c r="F564" s="23" t="n">
        <v>231422</v>
      </c>
      <c r="G564" s="138" t="n"/>
      <c r="H564" s="138" t="n">
        <v>390</v>
      </c>
      <c r="I564" s="138">
        <f>+I563+(G564-H564)</f>
        <v/>
      </c>
      <c r="J564" s="139" t="n">
        <v>40.35</v>
      </c>
      <c r="K564" s="140" t="n"/>
      <c r="L564" s="140">
        <f>+H564*J564</f>
        <v/>
      </c>
      <c r="M564" s="141">
        <f>SUM(M563+K564-L564)</f>
        <v/>
      </c>
    </row>
    <row r="565">
      <c r="A565" s="20" t="n">
        <v>45688</v>
      </c>
      <c r="B565" s="21" t="n">
        <v>10274</v>
      </c>
      <c r="C565" s="22" t="inlineStr">
        <is>
          <t>SELİM İNŞAAT</t>
        </is>
      </c>
      <c r="D565" s="21" t="inlineStr">
        <is>
          <t>34 FBR 748</t>
        </is>
      </c>
      <c r="E565" s="21" t="inlineStr">
        <is>
          <t>YAŞAR ÖZKAYA</t>
        </is>
      </c>
      <c r="F565" s="23" t="n">
        <v>258694</v>
      </c>
      <c r="G565" s="138" t="n"/>
      <c r="H565" s="138" t="n">
        <v>382</v>
      </c>
      <c r="I565" s="138">
        <f>+I564+(G565-H565)</f>
        <v/>
      </c>
      <c r="J565" s="139" t="n">
        <v>40.35</v>
      </c>
      <c r="K565" s="140" t="n"/>
      <c r="L565" s="140">
        <f>+H565*J565</f>
        <v/>
      </c>
      <c r="M565" s="141">
        <f>SUM(M564+K565-L565)</f>
        <v/>
      </c>
    </row>
    <row r="566">
      <c r="A566" s="20" t="n">
        <v>45688</v>
      </c>
      <c r="B566" s="21" t="n">
        <v>20996</v>
      </c>
      <c r="C566" s="22" t="inlineStr">
        <is>
          <t>SELİM İNŞAAT</t>
        </is>
      </c>
      <c r="D566" s="21" t="inlineStr">
        <is>
          <t>34 GUS 938</t>
        </is>
      </c>
      <c r="E566" s="21" t="inlineStr">
        <is>
          <t>MEHMET KAYA</t>
        </is>
      </c>
      <c r="F566" s="23" t="n">
        <v>159116</v>
      </c>
      <c r="G566" s="138" t="n"/>
      <c r="H566" s="138" t="n">
        <v>176</v>
      </c>
      <c r="I566" s="138">
        <f>+I565+(G566-H566)</f>
        <v/>
      </c>
      <c r="J566" s="139" t="n">
        <v>40.35</v>
      </c>
      <c r="K566" s="140" t="n"/>
      <c r="L566" s="140">
        <f>+H566*J566</f>
        <v/>
      </c>
      <c r="M566" s="141">
        <f>SUM(M565+K566-L566)</f>
        <v/>
      </c>
    </row>
    <row r="567">
      <c r="A567" s="20" t="n">
        <v>45688</v>
      </c>
      <c r="B567" s="21" t="n">
        <v>10315</v>
      </c>
      <c r="C567" s="22" t="inlineStr">
        <is>
          <t>SELİM İNŞAAT</t>
        </is>
      </c>
      <c r="D567" s="21" t="inlineStr">
        <is>
          <t>34 EDB 829</t>
        </is>
      </c>
      <c r="E567" s="21" t="inlineStr">
        <is>
          <t>İSMET BAYRAM</t>
        </is>
      </c>
      <c r="F567" s="23" t="n">
        <v>291875</v>
      </c>
      <c r="G567" s="138" t="n"/>
      <c r="H567" s="138" t="n">
        <v>362</v>
      </c>
      <c r="I567" s="138">
        <f>+I566+(G567-H567)</f>
        <v/>
      </c>
      <c r="J567" s="139" t="n">
        <v>40.35</v>
      </c>
      <c r="K567" s="140" t="n"/>
      <c r="L567" s="140">
        <f>+H567*J567</f>
        <v/>
      </c>
      <c r="M567" s="141">
        <f>SUM(M566+K567-L567)</f>
        <v/>
      </c>
    </row>
    <row r="568">
      <c r="A568" s="20" t="n">
        <v>45688</v>
      </c>
      <c r="B568" s="21" t="n">
        <v>21283</v>
      </c>
      <c r="C568" s="22" t="inlineStr">
        <is>
          <t>SELİM İNŞAAT</t>
        </is>
      </c>
      <c r="D568" s="21" t="inlineStr">
        <is>
          <t>34 DTV 447</t>
        </is>
      </c>
      <c r="E568" s="21" t="inlineStr">
        <is>
          <t>EBUBEKİR KOLDAŞ</t>
        </is>
      </c>
      <c r="F568" s="23" t="n">
        <v>412446</v>
      </c>
      <c r="G568" s="138" t="n"/>
      <c r="H568" s="138" t="n">
        <v>249</v>
      </c>
      <c r="I568" s="138">
        <f>+I567+(G568-H568)</f>
        <v/>
      </c>
      <c r="J568" s="139" t="n">
        <v>40.35</v>
      </c>
      <c r="K568" s="140" t="n"/>
      <c r="L568" s="140">
        <f>+H568*J568</f>
        <v/>
      </c>
      <c r="M568" s="141">
        <f>SUM(M567+K568-L568)</f>
        <v/>
      </c>
    </row>
    <row r="569">
      <c r="A569" s="20" t="n">
        <v>45688</v>
      </c>
      <c r="B569" s="21" t="n">
        <v>21448</v>
      </c>
      <c r="C569" s="22" t="inlineStr">
        <is>
          <t>SELİM İNŞAAT</t>
        </is>
      </c>
      <c r="D569" s="21" t="inlineStr">
        <is>
          <t>34 GUS 848</t>
        </is>
      </c>
      <c r="E569" s="21" t="inlineStr">
        <is>
          <t>SERDAR BOZKURT</t>
        </is>
      </c>
      <c r="F569" s="23" t="n">
        <v>163337</v>
      </c>
      <c r="G569" s="138" t="n"/>
      <c r="H569" s="138" t="n">
        <v>474</v>
      </c>
      <c r="I569" s="138">
        <f>+I568+(G569-H569)</f>
        <v/>
      </c>
      <c r="J569" s="139" t="n">
        <v>40.35</v>
      </c>
      <c r="K569" s="140" t="n"/>
      <c r="L569" s="140">
        <f>+H569*J569</f>
        <v/>
      </c>
      <c r="M569" s="141">
        <f>SUM(M568+K569-L569)</f>
        <v/>
      </c>
    </row>
    <row r="570">
      <c r="A570" s="20" t="n">
        <v>45688</v>
      </c>
      <c r="B570" s="21" t="n">
        <v>10170</v>
      </c>
      <c r="C570" s="22" t="inlineStr">
        <is>
          <t>SELİM İNŞAAT</t>
        </is>
      </c>
      <c r="D570" s="21" t="inlineStr">
        <is>
          <t>34 EGR 736</t>
        </is>
      </c>
      <c r="E570" s="21" t="inlineStr">
        <is>
          <t>MUHAMMER ÇAMLI</t>
        </is>
      </c>
      <c r="F570" s="23" t="n">
        <v>362113</v>
      </c>
      <c r="G570" s="138" t="n"/>
      <c r="H570" s="138" t="n">
        <v>378</v>
      </c>
      <c r="I570" s="138">
        <f>+I569+(G570-H570)</f>
        <v/>
      </c>
      <c r="J570" s="139" t="n">
        <v>40.35</v>
      </c>
      <c r="K570" s="140" t="n"/>
      <c r="L570" s="140">
        <f>+H570*J570</f>
        <v/>
      </c>
      <c r="M570" s="141">
        <f>SUM(M569+K570-L570)</f>
        <v/>
      </c>
    </row>
    <row r="571">
      <c r="A571" s="20" t="n">
        <v>45688</v>
      </c>
      <c r="B571" s="21" t="n">
        <v>10622</v>
      </c>
      <c r="C571" s="22" t="inlineStr">
        <is>
          <t>SELİM İNŞAAT</t>
        </is>
      </c>
      <c r="D571" s="21" t="inlineStr">
        <is>
          <t>34 EDB 754</t>
        </is>
      </c>
      <c r="E571" s="21" t="inlineStr">
        <is>
          <t>EMİN PARLAKKILIÇ</t>
        </is>
      </c>
      <c r="F571" s="23" t="n">
        <v>298737</v>
      </c>
      <c r="G571" s="138" t="n"/>
      <c r="H571" s="138" t="n">
        <v>322</v>
      </c>
      <c r="I571" s="138">
        <f>+I570+(G571-H571)</f>
        <v/>
      </c>
      <c r="J571" s="139" t="n">
        <v>40.35</v>
      </c>
      <c r="K571" s="140" t="n"/>
      <c r="L571" s="140">
        <f>+H571*J571</f>
        <v/>
      </c>
      <c r="M571" s="141">
        <f>SUM(M570+K571-L571)</f>
        <v/>
      </c>
    </row>
    <row r="572">
      <c r="A572" s="20" t="n">
        <v>45688</v>
      </c>
      <c r="B572" s="21" t="n">
        <v>11124</v>
      </c>
      <c r="C572" s="22" t="inlineStr">
        <is>
          <t>SELİM İNŞAAT</t>
        </is>
      </c>
      <c r="D572" s="21" t="inlineStr">
        <is>
          <t>34 DTV 409</t>
        </is>
      </c>
      <c r="E572" s="21" t="inlineStr">
        <is>
          <t xml:space="preserve">ONUR CANLI </t>
        </is>
      </c>
      <c r="F572" s="23" t="n">
        <v>395824</v>
      </c>
      <c r="G572" s="138" t="n"/>
      <c r="H572" s="138" t="n">
        <v>183</v>
      </c>
      <c r="I572" s="138">
        <f>+I571+(G572-H572)</f>
        <v/>
      </c>
      <c r="J572" s="139" t="n">
        <v>40.35</v>
      </c>
      <c r="K572" s="140" t="n"/>
      <c r="L572" s="140">
        <f>+H572*J572</f>
        <v/>
      </c>
      <c r="M572" s="141">
        <f>SUM(M571+K572-L572)</f>
        <v/>
      </c>
    </row>
    <row r="573">
      <c r="A573" s="20" t="n">
        <v>45688</v>
      </c>
      <c r="B573" s="21" t="n">
        <v>21537</v>
      </c>
      <c r="C573" s="22" t="inlineStr">
        <is>
          <t>SELİM İNŞAAT</t>
        </is>
      </c>
      <c r="D573" s="21" t="inlineStr">
        <is>
          <t>34 GVZ 745</t>
        </is>
      </c>
      <c r="E573" s="21" t="inlineStr">
        <is>
          <t>MUHAMMED YİĞİT</t>
        </is>
      </c>
      <c r="F573" s="23" t="n">
        <v>161229</v>
      </c>
      <c r="G573" s="138" t="n"/>
      <c r="H573" s="138" t="n">
        <v>293</v>
      </c>
      <c r="I573" s="138">
        <f>+I572+(G573-H573)</f>
        <v/>
      </c>
      <c r="J573" s="139" t="n">
        <v>40.35</v>
      </c>
      <c r="K573" s="140" t="n"/>
      <c r="L573" s="140">
        <f>+H573*J573</f>
        <v/>
      </c>
      <c r="M573" s="141">
        <f>SUM(M572+K573-L573)</f>
        <v/>
      </c>
    </row>
    <row r="574">
      <c r="A574" s="20" t="n">
        <v>45688</v>
      </c>
      <c r="B574" s="21" t="n">
        <v>21098</v>
      </c>
      <c r="C574" s="22" t="inlineStr">
        <is>
          <t>SELİM İNŞAAT</t>
        </is>
      </c>
      <c r="D574" s="21" t="inlineStr">
        <is>
          <t>34 EDB 659</t>
        </is>
      </c>
      <c r="E574" s="21" t="inlineStr">
        <is>
          <t>MEHMET SAİT ANIK</t>
        </is>
      </c>
      <c r="F574" s="23" t="n">
        <v>313560</v>
      </c>
      <c r="G574" s="138" t="n"/>
      <c r="H574" s="138" t="n">
        <v>331</v>
      </c>
      <c r="I574" s="138">
        <f>+I573+(G574-H574)</f>
        <v/>
      </c>
      <c r="J574" s="139" t="n">
        <v>40.35</v>
      </c>
      <c r="K574" s="140" t="n"/>
      <c r="L574" s="140">
        <f>+H574*J574</f>
        <v/>
      </c>
      <c r="M574" s="141">
        <f>SUM(M573+K574-L574)</f>
        <v/>
      </c>
    </row>
    <row r="575">
      <c r="A575" s="20" t="n">
        <v>45688</v>
      </c>
      <c r="B575" s="21" t="n">
        <v>10125</v>
      </c>
      <c r="C575" s="22" t="inlineStr">
        <is>
          <t>SELİM İNŞAAT</t>
        </is>
      </c>
      <c r="D575" s="21" t="inlineStr">
        <is>
          <t>34 DP 4161</t>
        </is>
      </c>
      <c r="E575" s="21" t="inlineStr">
        <is>
          <t>RIFAT KARATAY</t>
        </is>
      </c>
      <c r="F575" s="23" t="n">
        <v>279560</v>
      </c>
      <c r="G575" s="138" t="n"/>
      <c r="H575" s="138" t="n">
        <v>143</v>
      </c>
      <c r="I575" s="138">
        <f>+I574+(G575-H575)</f>
        <v/>
      </c>
      <c r="J575" s="139" t="n">
        <v>40.35</v>
      </c>
      <c r="K575" s="140" t="n"/>
      <c r="L575" s="140">
        <f>+H575*J575</f>
        <v/>
      </c>
      <c r="M575" s="141">
        <f>SUM(M574+K575-L575)</f>
        <v/>
      </c>
    </row>
    <row r="576">
      <c r="A576" s="20" t="n">
        <v>45688</v>
      </c>
      <c r="B576" s="21" t="n">
        <v>20295</v>
      </c>
      <c r="C576" s="22" t="inlineStr">
        <is>
          <t>SELİM İNŞAAT</t>
        </is>
      </c>
      <c r="D576" s="21" t="inlineStr">
        <is>
          <t>34 DKL 866</t>
        </is>
      </c>
      <c r="E576" s="21" t="inlineStr">
        <is>
          <t>ŞERİF CAN ÖNVER</t>
        </is>
      </c>
      <c r="F576" s="23" t="n">
        <v>60742</v>
      </c>
      <c r="G576" s="138" t="n"/>
      <c r="H576" s="138" t="n">
        <v>75</v>
      </c>
      <c r="I576" s="138">
        <f>+I575+(G576-H576)</f>
        <v/>
      </c>
      <c r="J576" s="139" t="n">
        <v>40.35</v>
      </c>
      <c r="K576" s="140" t="n"/>
      <c r="L576" s="140">
        <f>+H576*J576</f>
        <v/>
      </c>
      <c r="M576" s="141">
        <f>SUM(M575+K576-L576)</f>
        <v/>
      </c>
    </row>
    <row r="577">
      <c r="A577" s="20" t="n">
        <v>45688</v>
      </c>
      <c r="B577" s="21" t="n">
        <v>11057</v>
      </c>
      <c r="C577" s="22" t="inlineStr">
        <is>
          <t>SELİM İNŞAAT</t>
        </is>
      </c>
      <c r="D577" s="21" t="inlineStr">
        <is>
          <t>34 HBY 763</t>
        </is>
      </c>
      <c r="E577" s="21" t="inlineStr">
        <is>
          <t>A.KERİM ERGEN</t>
        </is>
      </c>
      <c r="F577" s="23" t="n">
        <v>12658</v>
      </c>
      <c r="G577" s="138" t="n"/>
      <c r="H577" s="138" t="n">
        <v>184</v>
      </c>
      <c r="I577" s="138">
        <f>+I576+(G577-H577)</f>
        <v/>
      </c>
      <c r="J577" s="139" t="n">
        <v>40.35</v>
      </c>
      <c r="K577" s="140" t="n"/>
      <c r="L577" s="140">
        <f>+H577*J577</f>
        <v/>
      </c>
      <c r="M577" s="141">
        <f>SUM(M576+K577-L577)</f>
        <v/>
      </c>
    </row>
    <row r="578">
      <c r="A578" s="20" t="n">
        <v>45688</v>
      </c>
      <c r="B578" s="21" t="n">
        <v>21303</v>
      </c>
      <c r="C578" s="22" t="inlineStr">
        <is>
          <t>SELİM İNŞAAT</t>
        </is>
      </c>
      <c r="D578" s="21" t="inlineStr">
        <is>
          <t>34 FEM 934</t>
        </is>
      </c>
      <c r="E578" s="21" t="inlineStr">
        <is>
          <t>SERDAR BOZKURT</t>
        </is>
      </c>
      <c r="F578" s="23" t="n">
        <v>298508</v>
      </c>
      <c r="G578" s="138" t="n"/>
      <c r="H578" s="138" t="n">
        <v>73</v>
      </c>
      <c r="I578" s="138">
        <f>+I577+(G578-H578)</f>
        <v/>
      </c>
      <c r="J578" s="139" t="n">
        <v>40.35</v>
      </c>
      <c r="K578" s="140" t="n"/>
      <c r="L578" s="140">
        <f>+H578*J578</f>
        <v/>
      </c>
      <c r="M578" s="141">
        <f>SUM(M577+K578-L578)</f>
        <v/>
      </c>
    </row>
    <row r="579">
      <c r="A579" s="20" t="n">
        <v>45688</v>
      </c>
      <c r="B579" s="21" t="n">
        <v>20185</v>
      </c>
      <c r="C579" s="22" t="inlineStr">
        <is>
          <t>SELİM İNŞAAT</t>
        </is>
      </c>
      <c r="D579" s="21" t="inlineStr">
        <is>
          <t>34 JGR 15</t>
        </is>
      </c>
      <c r="E579" s="21" t="inlineStr">
        <is>
          <t>ENGİN DEMİR</t>
        </is>
      </c>
      <c r="F579" s="23" t="n">
        <v>305130</v>
      </c>
      <c r="G579" s="138" t="n"/>
      <c r="H579" s="138" t="n">
        <v>50</v>
      </c>
      <c r="I579" s="138">
        <f>+I578+(G579-H579)</f>
        <v/>
      </c>
      <c r="J579" s="139" t="n">
        <v>40.35</v>
      </c>
      <c r="K579" s="140" t="n"/>
      <c r="L579" s="140">
        <f>+H579*J579</f>
        <v/>
      </c>
      <c r="M579" s="141">
        <f>SUM(M578+K579-L579)</f>
        <v/>
      </c>
    </row>
    <row r="580">
      <c r="A580" s="20" t="n">
        <v>45688</v>
      </c>
      <c r="B580" s="21" t="n">
        <v>10859</v>
      </c>
      <c r="C580" s="22" t="inlineStr">
        <is>
          <t>SELİM İNŞAAT</t>
        </is>
      </c>
      <c r="D580" s="21" t="inlineStr">
        <is>
          <t>34 AR 7743</t>
        </is>
      </c>
      <c r="E580" s="21" t="inlineStr">
        <is>
          <t>MEHMET SELİM</t>
        </is>
      </c>
      <c r="F580" s="23" t="n">
        <v>350289</v>
      </c>
      <c r="G580" s="138" t="n"/>
      <c r="H580" s="138" t="n">
        <v>64</v>
      </c>
      <c r="I580" s="138">
        <f>+I579+(G580-H580)</f>
        <v/>
      </c>
      <c r="J580" s="139" t="n">
        <v>40.35</v>
      </c>
      <c r="K580" s="140" t="n"/>
      <c r="L580" s="140">
        <f>+H580*J580</f>
        <v/>
      </c>
      <c r="M580" s="141">
        <f>SUM(M579+K580-L580)</f>
        <v/>
      </c>
    </row>
    <row r="581">
      <c r="A581" s="20" t="n">
        <v>45688</v>
      </c>
      <c r="B581" s="21" t="n">
        <v>14886</v>
      </c>
      <c r="C581" s="22" t="inlineStr">
        <is>
          <t>YUNUS GÜLLÜK</t>
        </is>
      </c>
      <c r="D581" s="21" t="inlineStr">
        <is>
          <t>KİRALIK HİTACHİ</t>
        </is>
      </c>
      <c r="E581" s="21" t="inlineStr">
        <is>
          <t>RAMAZAN KAYA</t>
        </is>
      </c>
      <c r="F581" s="23" t="n"/>
      <c r="G581" s="138" t="n"/>
      <c r="H581" s="138" t="n">
        <v>338</v>
      </c>
      <c r="I581" s="138">
        <f>+I580+(G581-H581)</f>
        <v/>
      </c>
      <c r="J581" s="139" t="n">
        <v>40.35</v>
      </c>
      <c r="K581" s="140" t="n"/>
      <c r="L581" s="140">
        <f>+H581*J581</f>
        <v/>
      </c>
      <c r="M581" s="141">
        <f>SUM(M580+K581-L581)</f>
        <v/>
      </c>
    </row>
    <row r="582">
      <c r="A582" s="20" t="n">
        <v>45688</v>
      </c>
      <c r="B582" s="1" t="n">
        <v>14887</v>
      </c>
      <c r="C582" s="2" t="inlineStr">
        <is>
          <t>HASALTUN</t>
        </is>
      </c>
      <c r="D582" s="1" t="inlineStr">
        <is>
          <t>SM 350</t>
        </is>
      </c>
      <c r="E582" s="1" t="inlineStr">
        <is>
          <t>TEVFİK ÖZTÜRK</t>
        </is>
      </c>
      <c r="F582" s="3" t="n"/>
      <c r="G582" s="143" t="n"/>
      <c r="H582" s="143" t="n">
        <v>391</v>
      </c>
      <c r="I582" s="143">
        <f>+I581+(G582-H582)</f>
        <v/>
      </c>
      <c r="J582" s="144" t="n">
        <v>40.35</v>
      </c>
      <c r="K582" s="145" t="n"/>
      <c r="L582" s="140">
        <f>+H582*J582</f>
        <v/>
      </c>
      <c r="M582" s="141">
        <f>SUM(M581+K582-L582)</f>
        <v/>
      </c>
    </row>
    <row r="583">
      <c r="A583" s="20" t="n">
        <v>45688</v>
      </c>
      <c r="B583" s="1" t="n">
        <v>14888</v>
      </c>
      <c r="C583" s="2" t="inlineStr">
        <is>
          <t>EVKUR-VARLIK</t>
        </is>
      </c>
      <c r="D583" s="1" t="inlineStr">
        <is>
          <t>KAVAZAKİ</t>
        </is>
      </c>
      <c r="E583" s="1" t="inlineStr">
        <is>
          <t>UFUK SEVAL</t>
        </is>
      </c>
      <c r="F583" s="3" t="n"/>
      <c r="G583" s="143" t="n"/>
      <c r="H583" s="143" t="n">
        <v>271</v>
      </c>
      <c r="I583" s="143">
        <f>+I582+(G583-H583)</f>
        <v/>
      </c>
      <c r="J583" s="144" t="n">
        <v>40.35</v>
      </c>
      <c r="K583" s="145" t="n"/>
      <c r="L583" s="140">
        <f>+H583*J583</f>
        <v/>
      </c>
      <c r="M583" s="141">
        <f>SUM(M582+K583-L583)</f>
        <v/>
      </c>
    </row>
    <row r="584">
      <c r="A584" s="20" t="n">
        <v>45688</v>
      </c>
      <c r="B584" s="1" t="n">
        <v>14889</v>
      </c>
      <c r="C584" s="2" t="inlineStr">
        <is>
          <t>EVKUR</t>
        </is>
      </c>
      <c r="D584" s="1" t="inlineStr">
        <is>
          <t>SİLİNDİR</t>
        </is>
      </c>
      <c r="E584" s="1" t="inlineStr">
        <is>
          <t>RAMAZAN KAYA</t>
        </is>
      </c>
      <c r="F584" s="3" t="n"/>
      <c r="G584" s="143" t="n"/>
      <c r="H584" s="143" t="n">
        <v>247</v>
      </c>
      <c r="I584" s="143">
        <f>+I583+(G584-H584)</f>
        <v/>
      </c>
      <c r="J584" s="144" t="n">
        <v>40.35</v>
      </c>
      <c r="K584" s="145" t="n"/>
      <c r="L584" s="140">
        <f>+H584*J584</f>
        <v/>
      </c>
      <c r="M584" s="141">
        <f>SUM(M583+K584-L584)</f>
        <v/>
      </c>
    </row>
    <row r="585">
      <c r="A585" s="20" t="n">
        <v>45688</v>
      </c>
      <c r="B585" s="1" t="n">
        <v>14890</v>
      </c>
      <c r="C585" s="2" t="inlineStr">
        <is>
          <t>VARLIK</t>
        </is>
      </c>
      <c r="D585" s="1" t="inlineStr">
        <is>
          <t>SM 370</t>
        </is>
      </c>
      <c r="E585" s="1" t="inlineStr">
        <is>
          <t>TEKİN ŞEYLAN</t>
        </is>
      </c>
      <c r="F585" s="3" t="n"/>
      <c r="G585" s="143" t="n"/>
      <c r="H585" s="143" t="n">
        <v>302</v>
      </c>
      <c r="I585" s="143">
        <f>+I584+(G585-H585)</f>
        <v/>
      </c>
      <c r="J585" s="144" t="n">
        <v>40.35</v>
      </c>
      <c r="K585" s="145" t="n"/>
      <c r="L585" s="140">
        <f>+H585*J585</f>
        <v/>
      </c>
      <c r="M585" s="141">
        <f>SUM(M584+K585-L585)</f>
        <v/>
      </c>
    </row>
    <row r="586">
      <c r="A586" s="20" t="n">
        <v>45688</v>
      </c>
      <c r="B586" s="1" t="n">
        <v>14891</v>
      </c>
      <c r="C586" s="2" t="inlineStr">
        <is>
          <t>VARLIK</t>
        </is>
      </c>
      <c r="D586" s="1" t="inlineStr">
        <is>
          <t>SM 350</t>
        </is>
      </c>
      <c r="E586" s="1" t="inlineStr">
        <is>
          <t>BAYRAM SANCAK</t>
        </is>
      </c>
      <c r="F586" s="3" t="n"/>
      <c r="G586" s="143" t="n"/>
      <c r="H586" s="143" t="n">
        <v>195</v>
      </c>
      <c r="I586" s="143">
        <f>+I585+(G586-H586)</f>
        <v/>
      </c>
      <c r="J586" s="144" t="n">
        <v>40.35</v>
      </c>
      <c r="K586" s="145" t="n"/>
      <c r="L586" s="140">
        <f>+H586*J586</f>
        <v/>
      </c>
      <c r="M586" s="141">
        <f>SUM(M585+K586-L586)</f>
        <v/>
      </c>
    </row>
    <row r="587">
      <c r="A587" s="20" t="n">
        <v>45688</v>
      </c>
      <c r="B587" s="1" t="n">
        <v>14892</v>
      </c>
      <c r="C587" s="2" t="inlineStr">
        <is>
          <t>VARLIK</t>
        </is>
      </c>
      <c r="D587" s="1" t="inlineStr">
        <is>
          <t>SM 300</t>
        </is>
      </c>
      <c r="E587" s="1" t="inlineStr">
        <is>
          <t>TURGUT SANCAK</t>
        </is>
      </c>
      <c r="F587" s="3" t="n"/>
      <c r="G587" s="143" t="n"/>
      <c r="H587" s="143" t="n">
        <v>245</v>
      </c>
      <c r="I587" s="143">
        <f>+I586+(G587-H587)</f>
        <v/>
      </c>
      <c r="J587" s="144" t="n">
        <v>40.35</v>
      </c>
      <c r="K587" s="145" t="n"/>
      <c r="L587" s="140">
        <f>+H587*J587</f>
        <v/>
      </c>
      <c r="M587" s="141">
        <f>SUM(M586+K587-L587)</f>
        <v/>
      </c>
    </row>
    <row r="588">
      <c r="A588" s="20" t="n">
        <v>45689</v>
      </c>
      <c r="B588" s="21" t="n">
        <v>10860</v>
      </c>
      <c r="C588" s="22" t="inlineStr">
        <is>
          <t>SELİM İNŞAAT</t>
        </is>
      </c>
      <c r="D588" s="21" t="inlineStr">
        <is>
          <t>34 AR 7743</t>
        </is>
      </c>
      <c r="E588" s="21" t="inlineStr">
        <is>
          <t>MEHMET SELİM</t>
        </is>
      </c>
      <c r="F588" s="23" t="n">
        <v>350369</v>
      </c>
      <c r="G588" s="138" t="n"/>
      <c r="H588" s="138" t="n">
        <v>21</v>
      </c>
      <c r="I588" s="138">
        <f>+I587+(G588-H588)</f>
        <v/>
      </c>
      <c r="J588" s="139" t="n">
        <v>40.35</v>
      </c>
      <c r="K588" s="140" t="n"/>
      <c r="L588" s="140">
        <f>+H588*J588</f>
        <v/>
      </c>
      <c r="M588" s="141">
        <f>SUM(M587+K588-L588)</f>
        <v/>
      </c>
    </row>
    <row r="589">
      <c r="A589" s="20" t="n">
        <v>45689</v>
      </c>
      <c r="B589" s="21" t="n">
        <v>11006</v>
      </c>
      <c r="C589" s="22" t="inlineStr">
        <is>
          <t>SELİM İNŞAAT</t>
        </is>
      </c>
      <c r="D589" s="21" t="inlineStr">
        <is>
          <t>34 FCR 210</t>
        </is>
      </c>
      <c r="E589" s="21" t="inlineStr">
        <is>
          <t>RIFAT KARATAY</t>
        </is>
      </c>
      <c r="F589" s="23" t="n">
        <v>112606</v>
      </c>
      <c r="G589" s="138" t="n"/>
      <c r="H589" s="138" t="n">
        <v>151</v>
      </c>
      <c r="I589" s="138">
        <f>+I588+(G589-H589)</f>
        <v/>
      </c>
      <c r="J589" s="139" t="n">
        <v>40.35</v>
      </c>
      <c r="K589" s="140" t="n"/>
      <c r="L589" s="140">
        <f>+H589*J589</f>
        <v/>
      </c>
      <c r="M589" s="141">
        <f>SUM(M588+K589-L589)</f>
        <v/>
      </c>
    </row>
    <row r="590">
      <c r="A590" s="20" t="n">
        <v>45689</v>
      </c>
      <c r="B590" s="21" t="n">
        <v>21128</v>
      </c>
      <c r="C590" s="22" t="inlineStr">
        <is>
          <t>SELİM İNŞAAT</t>
        </is>
      </c>
      <c r="D590" s="21" t="inlineStr">
        <is>
          <t>34 TG 7869</t>
        </is>
      </c>
      <c r="E590" s="21" t="inlineStr">
        <is>
          <t>GÖRKEM KARABEL</t>
        </is>
      </c>
      <c r="F590" s="23" t="n">
        <v>179052</v>
      </c>
      <c r="G590" s="138" t="n"/>
      <c r="H590" s="138" t="n">
        <v>224</v>
      </c>
      <c r="I590" s="138">
        <f>+I589+(G590-H590)</f>
        <v/>
      </c>
      <c r="J590" s="139" t="n">
        <v>40.35</v>
      </c>
      <c r="K590" s="140" t="n"/>
      <c r="L590" s="140">
        <f>+H590*J590</f>
        <v/>
      </c>
      <c r="M590" s="141">
        <f>SUM(M589+K590-L590)</f>
        <v/>
      </c>
    </row>
    <row r="591">
      <c r="A591" s="20" t="n">
        <v>45689</v>
      </c>
      <c r="B591" s="21" t="n">
        <v>20296</v>
      </c>
      <c r="C591" s="22" t="inlineStr">
        <is>
          <t>SELİM İNŞAAT</t>
        </is>
      </c>
      <c r="D591" s="21" t="inlineStr">
        <is>
          <t>34 DKL 866</t>
        </is>
      </c>
      <c r="E591" s="21" t="inlineStr">
        <is>
          <t>SELİM CAN ÖNVER</t>
        </is>
      </c>
      <c r="F591" s="23" t="n">
        <v>60901</v>
      </c>
      <c r="G591" s="138" t="n"/>
      <c r="H591" s="138" t="n">
        <v>155</v>
      </c>
      <c r="I591" s="138">
        <f>+I590+(G591-H591)</f>
        <v/>
      </c>
      <c r="J591" s="139" t="n">
        <v>40.35</v>
      </c>
      <c r="K591" s="140" t="n"/>
      <c r="L591" s="140">
        <f>+H591*J591</f>
        <v/>
      </c>
      <c r="M591" s="141">
        <f>SUM(M590+K591-L591)</f>
        <v/>
      </c>
    </row>
    <row r="592">
      <c r="A592" s="20" t="n">
        <v>45689</v>
      </c>
      <c r="B592" s="21" t="n">
        <v>11691</v>
      </c>
      <c r="C592" s="22" t="inlineStr">
        <is>
          <t>METİN ERYİĞİT</t>
        </is>
      </c>
      <c r="D592" s="21" t="inlineStr">
        <is>
          <t>34 GBL 998</t>
        </is>
      </c>
      <c r="E592" s="21" t="inlineStr">
        <is>
          <t>ALİ KESKİN</t>
        </is>
      </c>
      <c r="F592" s="23" t="n">
        <v>239111</v>
      </c>
      <c r="G592" s="138" t="n"/>
      <c r="H592" s="138" t="n">
        <v>257</v>
      </c>
      <c r="I592" s="138">
        <f>+I591+(G592-H592)</f>
        <v/>
      </c>
      <c r="J592" s="139" t="n">
        <v>40.35</v>
      </c>
      <c r="K592" s="140" t="n"/>
      <c r="L592" s="140">
        <f>+H592*J592</f>
        <v/>
      </c>
      <c r="M592" s="141">
        <f>SUM(M591+K592-L592)</f>
        <v/>
      </c>
    </row>
    <row r="593">
      <c r="A593" s="20" t="n">
        <v>45689</v>
      </c>
      <c r="B593" s="21" t="n">
        <v>9924</v>
      </c>
      <c r="C593" s="22" t="inlineStr">
        <is>
          <t>MAHMUT VİNÇ</t>
        </is>
      </c>
      <c r="D593" s="21" t="inlineStr">
        <is>
          <t>34 MEP 460</t>
        </is>
      </c>
      <c r="E593" s="21" t="inlineStr">
        <is>
          <t>YASİN DEMİR</t>
        </is>
      </c>
      <c r="F593" s="23" t="n"/>
      <c r="G593" s="138" t="n"/>
      <c r="H593" s="138" t="n">
        <v>96</v>
      </c>
      <c r="I593" s="138">
        <f>+I592+(G593-H593)</f>
        <v/>
      </c>
      <c r="J593" s="139" t="n">
        <v>40.35</v>
      </c>
      <c r="K593" s="140" t="n"/>
      <c r="L593" s="140">
        <f>+H593*J593</f>
        <v/>
      </c>
      <c r="M593" s="141">
        <f>SUM(M592+K593-L593)</f>
        <v/>
      </c>
    </row>
    <row r="594">
      <c r="A594" s="20" t="n">
        <v>45689</v>
      </c>
      <c r="B594" s="21" t="n">
        <v>21995</v>
      </c>
      <c r="C594" s="22" t="inlineStr">
        <is>
          <t>SELİM İNŞAAT</t>
        </is>
      </c>
      <c r="D594" s="21" t="inlineStr">
        <is>
          <t>34 EGR 737</t>
        </is>
      </c>
      <c r="E594" s="21" t="inlineStr">
        <is>
          <t>İBRAHİM GÜNASLAN</t>
        </is>
      </c>
      <c r="F594" s="23" t="n">
        <v>391200</v>
      </c>
      <c r="G594" s="138" t="n"/>
      <c r="H594" s="138" t="n">
        <v>434</v>
      </c>
      <c r="I594" s="138">
        <f>+I593+(G594-H594)</f>
        <v/>
      </c>
      <c r="J594" s="139" t="n">
        <v>40.35</v>
      </c>
      <c r="K594" s="140" t="n"/>
      <c r="L594" s="140">
        <f>+H594*J594</f>
        <v/>
      </c>
      <c r="M594" s="141">
        <f>SUM(M593+K594-L594)</f>
        <v/>
      </c>
    </row>
    <row r="595">
      <c r="A595" s="20" t="n">
        <v>45689</v>
      </c>
      <c r="B595" s="21" t="n">
        <v>10764</v>
      </c>
      <c r="C595" s="22" t="inlineStr">
        <is>
          <t>SELİM İNŞAAT</t>
        </is>
      </c>
      <c r="D595" s="21" t="inlineStr">
        <is>
          <t>34 FBR 705</t>
        </is>
      </c>
      <c r="E595" s="21" t="inlineStr">
        <is>
          <t>MESUT GÜRLER</t>
        </is>
      </c>
      <c r="F595" s="23" t="n">
        <v>287370</v>
      </c>
      <c r="G595" s="138" t="n"/>
      <c r="H595" s="138" t="n">
        <v>413</v>
      </c>
      <c r="I595" s="138">
        <f>+I594+(G595-H595)</f>
        <v/>
      </c>
      <c r="J595" s="139" t="n">
        <v>40.35</v>
      </c>
      <c r="K595" s="140" t="n"/>
      <c r="L595" s="140">
        <f>+H595*J595</f>
        <v/>
      </c>
      <c r="M595" s="141">
        <f>SUM(M594+K595-L595)</f>
        <v/>
      </c>
    </row>
    <row r="596">
      <c r="A596" s="20" t="n">
        <v>45689</v>
      </c>
      <c r="B596" s="21" t="n">
        <v>20898</v>
      </c>
      <c r="C596" s="22" t="inlineStr">
        <is>
          <t>SELİM İNŞAAT</t>
        </is>
      </c>
      <c r="D596" s="21" t="inlineStr">
        <is>
          <t>34 GVZ 310</t>
        </is>
      </c>
      <c r="E596" s="21" t="inlineStr">
        <is>
          <t>CELAL YÜZBAŞI</t>
        </is>
      </c>
      <c r="F596" s="23" t="n">
        <v>168380</v>
      </c>
      <c r="G596" s="138" t="n"/>
      <c r="H596" s="138" t="n">
        <v>441</v>
      </c>
      <c r="I596" s="138">
        <f>+I595+(G596-H596)</f>
        <v/>
      </c>
      <c r="J596" s="139" t="n">
        <v>40.35</v>
      </c>
      <c r="K596" s="140" t="n"/>
      <c r="L596" s="140">
        <f>+H596*J596</f>
        <v/>
      </c>
      <c r="M596" s="141">
        <f>SUM(M595+K596-L596)</f>
        <v/>
      </c>
    </row>
    <row r="597">
      <c r="A597" s="20" t="n">
        <v>45689</v>
      </c>
      <c r="B597" s="21" t="n">
        <v>9787</v>
      </c>
      <c r="C597" s="22" t="inlineStr">
        <is>
          <t>SELİM İNŞAAT</t>
        </is>
      </c>
      <c r="D597" s="21" t="inlineStr">
        <is>
          <t>34 GVZ 268</t>
        </is>
      </c>
      <c r="E597" s="21" t="inlineStr">
        <is>
          <t>KERİM KARAMAN</t>
        </is>
      </c>
      <c r="F597" s="23" t="n">
        <v>165315</v>
      </c>
      <c r="G597" s="138" t="n"/>
      <c r="H597" s="138" t="n">
        <v>320</v>
      </c>
      <c r="I597" s="138">
        <f>+I596+(G597-H597)</f>
        <v/>
      </c>
      <c r="J597" s="139" t="n">
        <v>40.35</v>
      </c>
      <c r="K597" s="140" t="n"/>
      <c r="L597" s="140">
        <f>+H597*J597</f>
        <v/>
      </c>
      <c r="M597" s="141">
        <f>SUM(M596+K597-L597)</f>
        <v/>
      </c>
    </row>
    <row r="598">
      <c r="A598" s="20" t="n">
        <v>45689</v>
      </c>
      <c r="B598" s="21" t="n">
        <v>11780</v>
      </c>
      <c r="C598" s="22" t="inlineStr">
        <is>
          <t>SELİM İNŞAAT</t>
        </is>
      </c>
      <c r="D598" s="21" t="inlineStr">
        <is>
          <t>34 EDC 086</t>
        </is>
      </c>
      <c r="E598" s="21" t="inlineStr">
        <is>
          <t>ÖMER AĞAYAR</t>
        </is>
      </c>
      <c r="F598" s="23" t="n">
        <v>303382</v>
      </c>
      <c r="G598" s="138" t="n"/>
      <c r="H598" s="138" t="n">
        <v>324</v>
      </c>
      <c r="I598" s="138">
        <f>+I597+(G598-H598)</f>
        <v/>
      </c>
      <c r="J598" s="139" t="n">
        <v>40.35</v>
      </c>
      <c r="K598" s="140" t="n"/>
      <c r="L598" s="140">
        <f>+H598*J598</f>
        <v/>
      </c>
      <c r="M598" s="141">
        <f>SUM(M597+K598-L598)</f>
        <v/>
      </c>
    </row>
    <row r="599">
      <c r="A599" s="20" t="n">
        <v>45689</v>
      </c>
      <c r="B599" s="21" t="n">
        <v>10423</v>
      </c>
      <c r="C599" s="22" t="inlineStr">
        <is>
          <t>SELİM İNŞAAT</t>
        </is>
      </c>
      <c r="D599" s="21" t="inlineStr">
        <is>
          <t>34 FBR 781</t>
        </is>
      </c>
      <c r="E599" s="21" t="inlineStr">
        <is>
          <t>MEVLÜT POLAT</t>
        </is>
      </c>
      <c r="F599" s="23" t="n">
        <v>276752</v>
      </c>
      <c r="G599" s="138" t="n"/>
      <c r="H599" s="138" t="n">
        <v>433</v>
      </c>
      <c r="I599" s="138">
        <f>+I598+(G599-H599)</f>
        <v/>
      </c>
      <c r="J599" s="139" t="n">
        <v>40.35</v>
      </c>
      <c r="K599" s="140" t="n"/>
      <c r="L599" s="140">
        <f>+H599*J599</f>
        <v/>
      </c>
      <c r="M599" s="141">
        <f>SUM(M598+K599-L599)</f>
        <v/>
      </c>
    </row>
    <row r="600">
      <c r="A600" s="20" t="n">
        <v>45689</v>
      </c>
      <c r="B600" s="21" t="n">
        <v>11269</v>
      </c>
      <c r="C600" s="22" t="inlineStr">
        <is>
          <t>SELİM İNŞAAT</t>
        </is>
      </c>
      <c r="D600" s="21" t="inlineStr">
        <is>
          <t>34 EDC 162</t>
        </is>
      </c>
      <c r="E600" s="21" t="inlineStr">
        <is>
          <t xml:space="preserve">YAKUP GÜNER </t>
        </is>
      </c>
      <c r="F600" s="23" t="n">
        <v>339221</v>
      </c>
      <c r="G600" s="138" t="n"/>
      <c r="H600" s="138" t="n">
        <v>448</v>
      </c>
      <c r="I600" s="138">
        <f>+I599+(G600-H600)</f>
        <v/>
      </c>
      <c r="J600" s="139" t="n">
        <v>40.35</v>
      </c>
      <c r="K600" s="140" t="n"/>
      <c r="L600" s="140">
        <f>+H600*J600</f>
        <v/>
      </c>
      <c r="M600" s="141">
        <f>SUM(M599+K600-L600)</f>
        <v/>
      </c>
    </row>
    <row r="601">
      <c r="A601" s="20" t="n">
        <v>45689</v>
      </c>
      <c r="B601" s="21" t="n">
        <v>11125</v>
      </c>
      <c r="C601" s="22" t="inlineStr">
        <is>
          <t>SELİM İNŞAAT</t>
        </is>
      </c>
      <c r="D601" s="21" t="inlineStr">
        <is>
          <t>34 DTV 409</t>
        </is>
      </c>
      <c r="E601" s="21" t="inlineStr">
        <is>
          <t xml:space="preserve">ONUR CANLI </t>
        </is>
      </c>
      <c r="F601" s="23" t="n">
        <v>396132</v>
      </c>
      <c r="G601" s="138" t="n"/>
      <c r="H601" s="138" t="n">
        <v>196</v>
      </c>
      <c r="I601" s="138">
        <f>+I600+(G601-H601)</f>
        <v/>
      </c>
      <c r="J601" s="139" t="n">
        <v>40.35</v>
      </c>
      <c r="K601" s="140" t="n"/>
      <c r="L601" s="140">
        <f>+H601*J601</f>
        <v/>
      </c>
      <c r="M601" s="141">
        <f>SUM(M600+K601-L601)</f>
        <v/>
      </c>
    </row>
    <row r="602">
      <c r="A602" s="20" t="n">
        <v>45689</v>
      </c>
      <c r="B602" s="21" t="n">
        <v>21476</v>
      </c>
      <c r="C602" s="22" t="inlineStr">
        <is>
          <t>SELİM İNŞAAT</t>
        </is>
      </c>
      <c r="D602" s="21" t="inlineStr">
        <is>
          <t>34 GVZ 635</t>
        </is>
      </c>
      <c r="E602" s="21" t="inlineStr">
        <is>
          <t>ENGİN DEMİR</t>
        </is>
      </c>
      <c r="F602" s="23" t="n">
        <v>147632</v>
      </c>
      <c r="G602" s="138" t="n"/>
      <c r="H602" s="138" t="n">
        <v>154</v>
      </c>
      <c r="I602" s="138">
        <f>+I601+(G602-H602)</f>
        <v/>
      </c>
      <c r="J602" s="139" t="n">
        <v>40.35</v>
      </c>
      <c r="K602" s="140" t="n"/>
      <c r="L602" s="140">
        <f>+H602*J602</f>
        <v/>
      </c>
      <c r="M602" s="141">
        <f>SUM(M601+K602-L602)</f>
        <v/>
      </c>
    </row>
    <row r="603">
      <c r="A603" s="20" t="n">
        <v>45689</v>
      </c>
      <c r="B603" s="21" t="n">
        <v>20997</v>
      </c>
      <c r="C603" s="22" t="inlineStr">
        <is>
          <t>SELİM İNŞAAT</t>
        </is>
      </c>
      <c r="D603" s="21" t="inlineStr">
        <is>
          <t>34 GUS 938</t>
        </is>
      </c>
      <c r="E603" s="21" t="inlineStr">
        <is>
          <t>MEHMET KAYA</t>
        </is>
      </c>
      <c r="F603" s="23" t="n">
        <v>159421</v>
      </c>
      <c r="G603" s="138" t="n"/>
      <c r="H603" s="138" t="n">
        <v>139</v>
      </c>
      <c r="I603" s="138">
        <f>+I602+(G603-H603)</f>
        <v/>
      </c>
      <c r="J603" s="139" t="n">
        <v>40.35</v>
      </c>
      <c r="K603" s="140" t="n"/>
      <c r="L603" s="140">
        <f>+H603*J603</f>
        <v/>
      </c>
      <c r="M603" s="141">
        <f>SUM(M602+K603-L603)</f>
        <v/>
      </c>
    </row>
    <row r="604">
      <c r="A604" s="20" t="n">
        <v>45689</v>
      </c>
      <c r="B604" s="21" t="n">
        <v>10275</v>
      </c>
      <c r="C604" s="22" t="inlineStr">
        <is>
          <t>SELİM İNŞAAT</t>
        </is>
      </c>
      <c r="D604" s="21" t="inlineStr">
        <is>
          <t>34 FBR 748</t>
        </is>
      </c>
      <c r="E604" s="21" t="inlineStr">
        <is>
          <t>YAŞAR ÖZKAYA</t>
        </is>
      </c>
      <c r="F604" s="23" t="n">
        <v>259258</v>
      </c>
      <c r="G604" s="138" t="n"/>
      <c r="H604" s="138" t="n">
        <v>282</v>
      </c>
      <c r="I604" s="138">
        <f>+I603+(G604-H604)</f>
        <v/>
      </c>
      <c r="J604" s="139" t="n">
        <v>40.35</v>
      </c>
      <c r="K604" s="140" t="n"/>
      <c r="L604" s="140">
        <f>+H604*J604</f>
        <v/>
      </c>
      <c r="M604" s="141">
        <f>SUM(M603+K604-L604)</f>
        <v/>
      </c>
    </row>
    <row r="605">
      <c r="A605" s="20" t="n">
        <v>45689</v>
      </c>
      <c r="B605" s="21" t="n">
        <v>10623</v>
      </c>
      <c r="C605" s="22" t="inlineStr">
        <is>
          <t>SELİM İNŞAAT</t>
        </is>
      </c>
      <c r="D605" s="21" t="inlineStr">
        <is>
          <t>34 EDB 754</t>
        </is>
      </c>
      <c r="E605" s="21" t="inlineStr">
        <is>
          <t>EMİN PARLAKKILIÇ</t>
        </is>
      </c>
      <c r="F605" s="23" t="n">
        <v>298977</v>
      </c>
      <c r="G605" s="138" t="n"/>
      <c r="H605" s="138" t="n">
        <v>153</v>
      </c>
      <c r="I605" s="138">
        <f>+I604+(G605-H605)</f>
        <v/>
      </c>
      <c r="J605" s="139" t="n">
        <v>40.35</v>
      </c>
      <c r="K605" s="140" t="n"/>
      <c r="L605" s="140">
        <f>+H605*J605</f>
        <v/>
      </c>
      <c r="M605" s="141">
        <f>SUM(M604+K605-L605)</f>
        <v/>
      </c>
    </row>
    <row r="606">
      <c r="A606" s="20" t="n">
        <v>45689</v>
      </c>
      <c r="B606" s="21" t="n">
        <v>10985</v>
      </c>
      <c r="C606" s="22" t="inlineStr">
        <is>
          <t>SELİM İNŞAAT</t>
        </is>
      </c>
      <c r="D606" s="21" t="inlineStr">
        <is>
          <t>34 GVZ 199</t>
        </is>
      </c>
      <c r="E606" s="21" t="inlineStr">
        <is>
          <t>VAHDET GÜRLER</t>
        </is>
      </c>
      <c r="F606" s="23" t="n">
        <v>154656</v>
      </c>
      <c r="G606" s="138" t="n"/>
      <c r="H606" s="138" t="n">
        <v>177</v>
      </c>
      <c r="I606" s="138">
        <f>+I605+(G606-H606)</f>
        <v/>
      </c>
      <c r="J606" s="139" t="n">
        <v>40.35</v>
      </c>
      <c r="K606" s="140" t="n"/>
      <c r="L606" s="140">
        <f>+H606*J606</f>
        <v/>
      </c>
      <c r="M606" s="141">
        <f>SUM(M605+K606-L606)</f>
        <v/>
      </c>
    </row>
    <row r="607">
      <c r="A607" s="20" t="n">
        <v>45689</v>
      </c>
      <c r="B607" s="21" t="n">
        <v>17999</v>
      </c>
      <c r="C607" s="22" t="inlineStr">
        <is>
          <t>SELİM İNŞAAT</t>
        </is>
      </c>
      <c r="D607" s="21" t="inlineStr">
        <is>
          <t>34 DSN 536</t>
        </is>
      </c>
      <c r="E607" s="21" t="inlineStr">
        <is>
          <t>DURSUN ALİ GÜREK</t>
        </is>
      </c>
      <c r="F607" s="23" t="n">
        <v>380048</v>
      </c>
      <c r="G607" s="138" t="n"/>
      <c r="H607" s="138" t="n">
        <v>380</v>
      </c>
      <c r="I607" s="138">
        <f>+I606+(G607-H607)</f>
        <v/>
      </c>
      <c r="J607" s="139" t="n">
        <v>40.35</v>
      </c>
      <c r="K607" s="140" t="n"/>
      <c r="L607" s="140">
        <f>+H607*J607</f>
        <v/>
      </c>
      <c r="M607" s="141">
        <f>SUM(M606+K607-L607)</f>
        <v/>
      </c>
    </row>
    <row r="608">
      <c r="A608" s="20" t="n">
        <v>45689</v>
      </c>
      <c r="B608" s="21" t="n">
        <v>10511</v>
      </c>
      <c r="C608" s="22" t="inlineStr">
        <is>
          <t>SELİM İNŞAAT</t>
        </is>
      </c>
      <c r="D608" s="21" t="inlineStr">
        <is>
          <t>34 EDB 922</t>
        </is>
      </c>
      <c r="E608" s="21" t="inlineStr">
        <is>
          <t>AHMET TOPÇU</t>
        </is>
      </c>
      <c r="F608" s="23" t="n">
        <v>332204</v>
      </c>
      <c r="G608" s="138" t="n"/>
      <c r="H608" s="138" t="n">
        <v>155</v>
      </c>
      <c r="I608" s="138">
        <f>+I607+(G608-H608)</f>
        <v/>
      </c>
      <c r="J608" s="139" t="n">
        <v>40.35</v>
      </c>
      <c r="K608" s="140" t="n"/>
      <c r="L608" s="140">
        <f>+H608*J608</f>
        <v/>
      </c>
      <c r="M608" s="141">
        <f>SUM(M607+K608-L608)</f>
        <v/>
      </c>
    </row>
    <row r="609">
      <c r="A609" s="20" t="n">
        <v>45689</v>
      </c>
      <c r="B609" s="21" t="n">
        <v>11907</v>
      </c>
      <c r="C609" s="22" t="inlineStr">
        <is>
          <t>SELİM İNŞAAT</t>
        </is>
      </c>
      <c r="D609" s="21" t="inlineStr">
        <is>
          <t>34 FBR 742</t>
        </is>
      </c>
      <c r="E609" s="21" t="inlineStr">
        <is>
          <t>MİKAİL BAYILMAZ</t>
        </is>
      </c>
      <c r="F609" s="23" t="n">
        <v>292904</v>
      </c>
      <c r="G609" s="138" t="n"/>
      <c r="H609" s="138" t="n">
        <v>155</v>
      </c>
      <c r="I609" s="138">
        <f>+I608+(G609-H609)</f>
        <v/>
      </c>
      <c r="J609" s="139" t="n">
        <v>40.35</v>
      </c>
      <c r="K609" s="140" t="n"/>
      <c r="L609" s="140">
        <f>+H609*J609</f>
        <v/>
      </c>
      <c r="M609" s="141">
        <f>SUM(M608+K609-L609)</f>
        <v/>
      </c>
    </row>
    <row r="610">
      <c r="A610" s="20" t="n">
        <v>45689</v>
      </c>
      <c r="B610" s="21" t="n">
        <v>21099</v>
      </c>
      <c r="C610" s="22" t="inlineStr">
        <is>
          <t>SELİM İNŞAAT</t>
        </is>
      </c>
      <c r="D610" s="21" t="inlineStr">
        <is>
          <t>34 EDB 659</t>
        </is>
      </c>
      <c r="E610" s="21" t="inlineStr">
        <is>
          <t>MEHMET SAİT ANIK</t>
        </is>
      </c>
      <c r="F610" s="23" t="n">
        <v>314285</v>
      </c>
      <c r="G610" s="138" t="n"/>
      <c r="H610" s="138" t="n">
        <v>370</v>
      </c>
      <c r="I610" s="138">
        <f>+I609+(G610-H610)</f>
        <v/>
      </c>
      <c r="J610" s="139" t="n">
        <v>40.35</v>
      </c>
      <c r="K610" s="140" t="n"/>
      <c r="L610" s="140">
        <f>+H610*J610</f>
        <v/>
      </c>
      <c r="M610" s="141">
        <f>SUM(M609+K610-L610)</f>
        <v/>
      </c>
    </row>
    <row r="611">
      <c r="A611" s="20" t="n">
        <v>45689</v>
      </c>
      <c r="B611" s="21" t="n">
        <v>10058</v>
      </c>
      <c r="C611" s="22" t="inlineStr">
        <is>
          <t>SELİM İNŞAAT</t>
        </is>
      </c>
      <c r="D611" s="21" t="inlineStr">
        <is>
          <t>34 FBR 771</t>
        </is>
      </c>
      <c r="E611" s="21" t="inlineStr">
        <is>
          <t>HÜSEYİN AKÇİN</t>
        </is>
      </c>
      <c r="F611" s="23" t="n">
        <v>293018</v>
      </c>
      <c r="G611" s="138" t="n"/>
      <c r="H611" s="138" t="n">
        <v>480</v>
      </c>
      <c r="I611" s="138">
        <f>+I610+(G611-H611)</f>
        <v/>
      </c>
      <c r="J611" s="139" t="n">
        <v>40.35</v>
      </c>
      <c r="K611" s="140" t="n"/>
      <c r="L611" s="140">
        <f>+H611*J611</f>
        <v/>
      </c>
      <c r="M611" s="141">
        <f>SUM(M610+K611-L611)</f>
        <v/>
      </c>
    </row>
    <row r="612">
      <c r="A612" s="20" t="n">
        <v>45689</v>
      </c>
      <c r="B612" s="21" t="n">
        <v>10204</v>
      </c>
      <c r="C612" s="22" t="inlineStr">
        <is>
          <t>SELİM İNŞAAT</t>
        </is>
      </c>
      <c r="D612" s="21" t="inlineStr">
        <is>
          <t>34 DSN 621</t>
        </is>
      </c>
      <c r="E612" s="21" t="inlineStr">
        <is>
          <t>MUSTAFA KAYA</t>
        </is>
      </c>
      <c r="F612" s="23" t="n">
        <v>388658</v>
      </c>
      <c r="G612" s="138" t="n"/>
      <c r="H612" s="138" t="n">
        <v>336</v>
      </c>
      <c r="I612" s="138">
        <f>+I611+(G612-H612)</f>
        <v/>
      </c>
      <c r="J612" s="139" t="n">
        <v>40.35</v>
      </c>
      <c r="K612" s="140" t="n"/>
      <c r="L612" s="140">
        <f>+H612*J612</f>
        <v/>
      </c>
      <c r="M612" s="141">
        <f>SUM(M611+K612-L612)</f>
        <v/>
      </c>
    </row>
    <row r="613">
      <c r="A613" s="20" t="n">
        <v>45689</v>
      </c>
      <c r="B613" s="1" t="n">
        <v>14893</v>
      </c>
      <c r="C613" s="2" t="inlineStr">
        <is>
          <t>VARLIK</t>
        </is>
      </c>
      <c r="D613" s="1" t="inlineStr">
        <is>
          <t>SM 300</t>
        </is>
      </c>
      <c r="E613" s="1" t="inlineStr">
        <is>
          <t>TURGUT SANCAK</t>
        </is>
      </c>
      <c r="F613" s="3" t="n"/>
      <c r="G613" s="143" t="n"/>
      <c r="H613" s="143" t="n">
        <v>173</v>
      </c>
      <c r="I613" s="143">
        <f>+I612+(G613-H613)</f>
        <v/>
      </c>
      <c r="J613" s="144" t="n">
        <v>40.35</v>
      </c>
      <c r="K613" s="145" t="n"/>
      <c r="L613" s="140">
        <f>+H613*J613</f>
        <v/>
      </c>
      <c r="M613" s="141">
        <f>SUM(M612+K613-L613)</f>
        <v/>
      </c>
    </row>
    <row r="614">
      <c r="A614" s="20" t="n">
        <v>45689</v>
      </c>
      <c r="B614" s="1" t="n">
        <v>14894</v>
      </c>
      <c r="C614" s="2" t="inlineStr">
        <is>
          <t>VARLIK</t>
        </is>
      </c>
      <c r="D614" s="1" t="inlineStr">
        <is>
          <t>SM 370</t>
        </is>
      </c>
      <c r="E614" s="1" t="inlineStr">
        <is>
          <t>TEKİN ŞEYLAN</t>
        </is>
      </c>
      <c r="F614" s="3" t="n"/>
      <c r="G614" s="143" t="n"/>
      <c r="H614" s="143" t="n">
        <v>300</v>
      </c>
      <c r="I614" s="143">
        <f>+I613+(G614-H614)</f>
        <v/>
      </c>
      <c r="J614" s="144" t="n">
        <v>40.35</v>
      </c>
      <c r="K614" s="145" t="n"/>
      <c r="L614" s="140">
        <f>+H614*J614</f>
        <v/>
      </c>
      <c r="M614" s="141">
        <f>SUM(M613+K614-L614)</f>
        <v/>
      </c>
    </row>
    <row r="615">
      <c r="A615" s="20" t="n">
        <v>45689</v>
      </c>
      <c r="B615" s="1" t="n">
        <v>14895</v>
      </c>
      <c r="C615" s="2" t="inlineStr">
        <is>
          <t>VARLIK</t>
        </is>
      </c>
      <c r="D615" s="1" t="inlineStr">
        <is>
          <t>SM 350</t>
        </is>
      </c>
      <c r="E615" s="1" t="inlineStr">
        <is>
          <t>BAYRAM SANCAK</t>
        </is>
      </c>
      <c r="F615" s="3" t="n"/>
      <c r="G615" s="143" t="n"/>
      <c r="H615" s="143" t="n">
        <v>175</v>
      </c>
      <c r="I615" s="143">
        <f>+I614+(G615-H615)</f>
        <v/>
      </c>
      <c r="J615" s="144" t="n">
        <v>40.35</v>
      </c>
      <c r="K615" s="145" t="n"/>
      <c r="L615" s="140">
        <f>+H615*J615</f>
        <v/>
      </c>
      <c r="M615" s="141">
        <f>SUM(M614+K615-L615)</f>
        <v/>
      </c>
    </row>
    <row r="616">
      <c r="A616" s="20" t="n">
        <v>45689</v>
      </c>
      <c r="B616" s="1" t="n">
        <v>14896</v>
      </c>
      <c r="C616" s="2" t="inlineStr">
        <is>
          <t>EVKUR</t>
        </is>
      </c>
      <c r="D616" s="1" t="inlineStr">
        <is>
          <t>KAVAZAKİ</t>
        </is>
      </c>
      <c r="E616" s="1" t="inlineStr">
        <is>
          <t>UFUK SEVAL</t>
        </is>
      </c>
      <c r="F616" s="3" t="n"/>
      <c r="G616" s="143" t="n"/>
      <c r="H616" s="143" t="n">
        <v>178</v>
      </c>
      <c r="I616" s="143">
        <f>+I615+(G616-H616)</f>
        <v/>
      </c>
      <c r="J616" s="144" t="n">
        <v>40.35</v>
      </c>
      <c r="K616" s="145" t="n"/>
      <c r="L616" s="140">
        <f>+H616*J616</f>
        <v/>
      </c>
      <c r="M616" s="141">
        <f>SUM(M615+K616-L616)</f>
        <v/>
      </c>
    </row>
    <row r="617">
      <c r="A617" s="20" t="n">
        <v>45689</v>
      </c>
      <c r="B617" s="1" t="n">
        <v>14907</v>
      </c>
      <c r="C617" s="2" t="inlineStr">
        <is>
          <t>HASALTUN</t>
        </is>
      </c>
      <c r="D617" s="1" t="inlineStr">
        <is>
          <t>SM 350</t>
        </is>
      </c>
      <c r="E617" s="1" t="inlineStr">
        <is>
          <t>TEVFİK ÖZTÜRK</t>
        </is>
      </c>
      <c r="F617" s="3" t="n"/>
      <c r="G617" s="143" t="n"/>
      <c r="H617" s="143" t="n">
        <v>294</v>
      </c>
      <c r="I617" s="143">
        <f>+I616+(G617-H617)</f>
        <v/>
      </c>
      <c r="J617" s="144" t="n">
        <v>40.35</v>
      </c>
      <c r="K617" s="145" t="n"/>
      <c r="L617" s="140">
        <f>+H617*J617</f>
        <v/>
      </c>
      <c r="M617" s="141">
        <f>SUM(M616+K617-L617)</f>
        <v/>
      </c>
    </row>
    <row r="618">
      <c r="A618" s="20" t="n">
        <v>45690</v>
      </c>
      <c r="B618" s="21" t="n">
        <v>11007</v>
      </c>
      <c r="C618" s="22" t="inlineStr">
        <is>
          <t>SELİM İNŞAAT</t>
        </is>
      </c>
      <c r="D618" s="21" t="inlineStr">
        <is>
          <t>34 FCR 210</t>
        </is>
      </c>
      <c r="E618" s="21" t="inlineStr">
        <is>
          <t>RIFAT KARATAY</t>
        </is>
      </c>
      <c r="F618" s="23" t="n">
        <v>112798</v>
      </c>
      <c r="G618" s="138" t="n"/>
      <c r="H618" s="138" t="n">
        <v>258</v>
      </c>
      <c r="I618" s="138">
        <f>+I617+(G618-H618)</f>
        <v/>
      </c>
      <c r="J618" s="139" t="n">
        <v>40.35</v>
      </c>
      <c r="K618" s="140" t="n"/>
      <c r="L618" s="140">
        <f>+H618*J618</f>
        <v/>
      </c>
      <c r="M618" s="141">
        <f>SUM(M617+K618-L618)</f>
        <v/>
      </c>
    </row>
    <row r="619">
      <c r="A619" s="20" t="n">
        <v>45690</v>
      </c>
      <c r="B619" s="21" t="n">
        <v>16727</v>
      </c>
      <c r="C619" s="22" t="inlineStr">
        <is>
          <t>SELİM İNŞAAT</t>
        </is>
      </c>
      <c r="D619" s="21" t="inlineStr">
        <is>
          <t>34 JBA 25</t>
        </is>
      </c>
      <c r="E619" s="21" t="inlineStr">
        <is>
          <t>MUSTAFA ALBAYRAK</t>
        </is>
      </c>
      <c r="F619" s="23" t="n">
        <v>328906</v>
      </c>
      <c r="G619" s="138" t="n"/>
      <c r="H619" s="138" t="n">
        <v>69</v>
      </c>
      <c r="I619" s="138">
        <f>+I618+(G619-H619)</f>
        <v/>
      </c>
      <c r="J619" s="139" t="n">
        <v>40.35</v>
      </c>
      <c r="K619" s="140" t="n"/>
      <c r="L619" s="140">
        <f>+H619*J619</f>
        <v/>
      </c>
      <c r="M619" s="141">
        <f>SUM(M618+K619-L619)</f>
        <v/>
      </c>
    </row>
    <row r="620">
      <c r="A620" s="20" t="n">
        <v>45690</v>
      </c>
      <c r="B620" s="21" t="n">
        <v>11885</v>
      </c>
      <c r="C620" s="22" t="inlineStr">
        <is>
          <t>SELİM İNŞAAT</t>
        </is>
      </c>
      <c r="D620" s="21" t="inlineStr">
        <is>
          <t>34 DFE 454</t>
        </is>
      </c>
      <c r="E620" s="21" t="inlineStr">
        <is>
          <t>HASAN BAYCAN</t>
        </is>
      </c>
      <c r="F620" s="23" t="n">
        <v>154465</v>
      </c>
      <c r="G620" s="138" t="n"/>
      <c r="H620" s="138" t="n">
        <v>249</v>
      </c>
      <c r="I620" s="138">
        <f>+I619+(G620-H620)</f>
        <v/>
      </c>
      <c r="J620" s="139" t="n">
        <v>40.35</v>
      </c>
      <c r="K620" s="140" t="n"/>
      <c r="L620" s="140">
        <f>+H620*J620</f>
        <v/>
      </c>
      <c r="M620" s="141">
        <f>SUM(M619+K620-L620)</f>
        <v/>
      </c>
    </row>
    <row r="621">
      <c r="A621" s="20" t="n">
        <v>45690</v>
      </c>
      <c r="B621" s="21" t="n">
        <v>11986</v>
      </c>
      <c r="C621" s="22" t="inlineStr">
        <is>
          <t>SELİM İNŞAAT</t>
        </is>
      </c>
      <c r="D621" s="21" t="inlineStr">
        <is>
          <t>34 DKL 798</t>
        </is>
      </c>
      <c r="E621" s="21" t="inlineStr">
        <is>
          <t>VOLKAN YANAR</t>
        </is>
      </c>
      <c r="F621" s="23" t="n">
        <v>60927</v>
      </c>
      <c r="G621" s="138" t="n"/>
      <c r="H621" s="138" t="n">
        <v>165</v>
      </c>
      <c r="I621" s="138">
        <f>+I620+(G621-H621)</f>
        <v/>
      </c>
      <c r="J621" s="139" t="n">
        <v>40.35</v>
      </c>
      <c r="K621" s="140" t="n"/>
      <c r="L621" s="140">
        <f>+H621*J621</f>
        <v/>
      </c>
      <c r="M621" s="141">
        <f>SUM(M620+K621-L621)</f>
        <v/>
      </c>
    </row>
    <row r="622">
      <c r="A622" s="20" t="n">
        <v>45690</v>
      </c>
      <c r="B622" s="21" t="n">
        <v>20297</v>
      </c>
      <c r="C622" s="22" t="inlineStr">
        <is>
          <t>SELİM İNŞAAT</t>
        </is>
      </c>
      <c r="D622" s="21" t="inlineStr">
        <is>
          <t>34 DKL 866</t>
        </is>
      </c>
      <c r="E622" s="21" t="inlineStr">
        <is>
          <t>SELİM CAN ÖNVER</t>
        </is>
      </c>
      <c r="F622" s="23" t="n">
        <v>60970</v>
      </c>
      <c r="G622" s="138" t="n"/>
      <c r="H622" s="138" t="n">
        <v>94</v>
      </c>
      <c r="I622" s="138">
        <f>+I621+(G622-H622)</f>
        <v/>
      </c>
      <c r="J622" s="139" t="n">
        <v>40.35</v>
      </c>
      <c r="K622" s="140" t="n"/>
      <c r="L622" s="140">
        <f>+H622*J622</f>
        <v/>
      </c>
      <c r="M622" s="141">
        <f>SUM(M621+K622-L622)</f>
        <v/>
      </c>
    </row>
    <row r="623">
      <c r="A623" s="20" t="n">
        <v>45690</v>
      </c>
      <c r="B623" s="21" t="n">
        <v>11423</v>
      </c>
      <c r="C623" s="22" t="inlineStr">
        <is>
          <t>METİN ERYİĞİT</t>
        </is>
      </c>
      <c r="D623" s="21" t="inlineStr">
        <is>
          <t>34 EGR 814</t>
        </is>
      </c>
      <c r="E623" s="21" t="inlineStr">
        <is>
          <t>FARUK ÖZEN</t>
        </is>
      </c>
      <c r="F623" s="23" t="n">
        <v>514735</v>
      </c>
      <c r="G623" s="138" t="n"/>
      <c r="H623" s="138" t="n">
        <v>501</v>
      </c>
      <c r="I623" s="138">
        <f>+I622+(G623-H623)</f>
        <v/>
      </c>
      <c r="J623" s="139" t="n">
        <v>40.35</v>
      </c>
      <c r="K623" s="140" t="n"/>
      <c r="L623" s="140">
        <f>+H623*J623</f>
        <v/>
      </c>
      <c r="M623" s="141">
        <f>SUM(M622+K623-L623)</f>
        <v/>
      </c>
    </row>
    <row r="624">
      <c r="A624" s="20" t="n">
        <v>45690</v>
      </c>
      <c r="B624" s="21" t="n">
        <v>10021</v>
      </c>
      <c r="C624" s="22" t="inlineStr">
        <is>
          <t>METİN ERYİĞİT</t>
        </is>
      </c>
      <c r="D624" s="21" t="inlineStr">
        <is>
          <t>34 EGS 013</t>
        </is>
      </c>
      <c r="E624" s="21" t="inlineStr">
        <is>
          <t>UĞUR DUMAN</t>
        </is>
      </c>
      <c r="F624" s="23" t="n">
        <v>463139</v>
      </c>
      <c r="G624" s="138" t="n"/>
      <c r="H624" s="138" t="n">
        <v>500</v>
      </c>
      <c r="I624" s="138">
        <f>+I623+(G624-H624)</f>
        <v/>
      </c>
      <c r="J624" s="139" t="n">
        <v>40.35</v>
      </c>
      <c r="K624" s="140" t="n"/>
      <c r="L624" s="140">
        <f>+H624*J624</f>
        <v/>
      </c>
      <c r="M624" s="141">
        <f>SUM(M623+K624-L624)</f>
        <v/>
      </c>
    </row>
    <row r="625">
      <c r="A625" s="20" t="n">
        <v>45690</v>
      </c>
      <c r="B625" s="1" t="n">
        <v>14897</v>
      </c>
      <c r="C625" s="2" t="inlineStr">
        <is>
          <t>VARLIK</t>
        </is>
      </c>
      <c r="D625" s="1" t="inlineStr">
        <is>
          <t xml:space="preserve">SM 370 </t>
        </is>
      </c>
      <c r="E625" s="1" t="inlineStr">
        <is>
          <t>TEKİN ŞEYLAN</t>
        </is>
      </c>
      <c r="F625" s="3" t="n"/>
      <c r="G625" s="143" t="n"/>
      <c r="H625" s="143" t="n">
        <v>253</v>
      </c>
      <c r="I625" s="143">
        <f>+I624+(G625-H625)</f>
        <v/>
      </c>
      <c r="J625" s="144" t="n">
        <v>40.35</v>
      </c>
      <c r="K625" s="145" t="n"/>
      <c r="L625" s="140">
        <f>+H625*J625</f>
        <v/>
      </c>
      <c r="M625" s="141">
        <f>SUM(M624+K625-L625)</f>
        <v/>
      </c>
    </row>
    <row r="626">
      <c r="A626" s="20" t="n">
        <v>45690</v>
      </c>
      <c r="B626" s="1" t="n">
        <v>14898</v>
      </c>
      <c r="C626" s="2" t="inlineStr">
        <is>
          <t>VARLIK</t>
        </is>
      </c>
      <c r="D626" s="1" t="inlineStr">
        <is>
          <t>SM 350</t>
        </is>
      </c>
      <c r="E626" s="1" t="inlineStr">
        <is>
          <t>BAYRAM SANCAK</t>
        </is>
      </c>
      <c r="F626" s="3" t="n"/>
      <c r="G626" s="143" t="n"/>
      <c r="H626" s="143" t="n">
        <v>260</v>
      </c>
      <c r="I626" s="143">
        <f>+I625+(G626-H626)</f>
        <v/>
      </c>
      <c r="J626" s="144" t="n">
        <v>40.35</v>
      </c>
      <c r="K626" s="145" t="n"/>
      <c r="L626" s="140">
        <f>+H626*J626</f>
        <v/>
      </c>
      <c r="M626" s="141">
        <f>SUM(M625+K626-L626)</f>
        <v/>
      </c>
    </row>
    <row r="627">
      <c r="A627" s="20" t="n">
        <v>45690</v>
      </c>
      <c r="B627" s="1" t="n">
        <v>14899</v>
      </c>
      <c r="C627" s="2" t="inlineStr">
        <is>
          <t>VARLIK</t>
        </is>
      </c>
      <c r="D627" s="1" t="inlineStr">
        <is>
          <t>SM 300</t>
        </is>
      </c>
      <c r="E627" s="1" t="inlineStr">
        <is>
          <t>TURGUT SANCAK</t>
        </is>
      </c>
      <c r="F627" s="3" t="n"/>
      <c r="G627" s="143" t="n"/>
      <c r="H627" s="143" t="n">
        <v>209</v>
      </c>
      <c r="I627" s="143">
        <f>+I626+(G627-H627)</f>
        <v/>
      </c>
      <c r="J627" s="144" t="n">
        <v>40.35</v>
      </c>
      <c r="K627" s="145" t="n"/>
      <c r="L627" s="140">
        <f>+H627*J627</f>
        <v/>
      </c>
      <c r="M627" s="141">
        <f>SUM(M626+K627-L627)</f>
        <v/>
      </c>
    </row>
    <row r="628">
      <c r="A628" s="20" t="n">
        <v>45690</v>
      </c>
      <c r="B628" s="1" t="n">
        <v>14900</v>
      </c>
      <c r="C628" s="2" t="inlineStr">
        <is>
          <t>EVKUR</t>
        </is>
      </c>
      <c r="D628" s="1" t="inlineStr">
        <is>
          <t>KAVAZAKİ</t>
        </is>
      </c>
      <c r="E628" s="1" t="inlineStr">
        <is>
          <t>UFUK SEVAL</t>
        </is>
      </c>
      <c r="F628" s="3" t="n"/>
      <c r="G628" s="143" t="n"/>
      <c r="H628" s="143" t="n">
        <v>172</v>
      </c>
      <c r="I628" s="143">
        <f>+I627+(G628-H628)</f>
        <v/>
      </c>
      <c r="J628" s="144" t="n">
        <v>40.35</v>
      </c>
      <c r="K628" s="145" t="n"/>
      <c r="L628" s="140">
        <f>+H628*J628</f>
        <v/>
      </c>
      <c r="M628" s="141">
        <f>SUM(M627+K628-L628)</f>
        <v/>
      </c>
    </row>
    <row r="629">
      <c r="A629" s="20" t="n">
        <v>45690</v>
      </c>
      <c r="B629" s="21" t="n">
        <v>14901</v>
      </c>
      <c r="C629" s="22" t="inlineStr">
        <is>
          <t>YUNUS GÜLLÜK</t>
        </is>
      </c>
      <c r="D629" s="21" t="inlineStr">
        <is>
          <t>KİRALIK HİTACHİ</t>
        </is>
      </c>
      <c r="E629" s="21" t="inlineStr">
        <is>
          <t>RAMAZAN KAYA</t>
        </is>
      </c>
      <c r="F629" s="23" t="n"/>
      <c r="G629" s="138" t="n"/>
      <c r="H629" s="138" t="n">
        <v>445</v>
      </c>
      <c r="I629" s="138">
        <f>+I628+(G629-H629)</f>
        <v/>
      </c>
      <c r="J629" s="139" t="n">
        <v>40.35</v>
      </c>
      <c r="K629" s="140" t="n"/>
      <c r="L629" s="140">
        <f>+H629*J629</f>
        <v/>
      </c>
      <c r="M629" s="141">
        <f>SUM(M628+K629-L629)</f>
        <v/>
      </c>
    </row>
    <row r="630">
      <c r="A630" s="20" t="n">
        <v>45691</v>
      </c>
      <c r="B630" s="21" t="n">
        <v>10556</v>
      </c>
      <c r="C630" s="22" t="inlineStr">
        <is>
          <t>SELİM İNŞAAT</t>
        </is>
      </c>
      <c r="D630" s="21" t="inlineStr">
        <is>
          <t>34 GU 945</t>
        </is>
      </c>
      <c r="E630" s="21" t="inlineStr">
        <is>
          <t>TURAN SEVİNDİK</t>
        </is>
      </c>
      <c r="F630" s="23" t="n">
        <v>437840</v>
      </c>
      <c r="G630" s="138" t="n"/>
      <c r="H630" s="138" t="n">
        <v>51</v>
      </c>
      <c r="I630" s="138">
        <f>+I629+(G630-H630)</f>
        <v/>
      </c>
      <c r="J630" s="139" t="n">
        <v>40.35</v>
      </c>
      <c r="K630" s="140" t="n"/>
      <c r="L630" s="140">
        <f>+H630*J630</f>
        <v/>
      </c>
      <c r="M630" s="141">
        <f>SUM(M629+K630-L630)</f>
        <v/>
      </c>
    </row>
    <row r="631">
      <c r="A631" s="20" t="n">
        <v>45691</v>
      </c>
      <c r="B631" s="21" t="n">
        <v>10861</v>
      </c>
      <c r="C631" s="22" t="inlineStr">
        <is>
          <t>SELİM İNŞAAT</t>
        </is>
      </c>
      <c r="D631" s="21" t="inlineStr">
        <is>
          <t>34 AR 7743</t>
        </is>
      </c>
      <c r="E631" s="21" t="inlineStr">
        <is>
          <t>MEHMET SELİM</t>
        </is>
      </c>
      <c r="F631" s="23" t="n">
        <v>350550</v>
      </c>
      <c r="G631" s="138" t="n"/>
      <c r="H631" s="138" t="n">
        <v>36</v>
      </c>
      <c r="I631" s="138">
        <f>+I630+(G631-H631)</f>
        <v/>
      </c>
      <c r="J631" s="139" t="n">
        <v>40.35</v>
      </c>
      <c r="K631" s="140" t="n"/>
      <c r="L631" s="140">
        <f>+H631*J631</f>
        <v/>
      </c>
      <c r="M631" s="141">
        <f>SUM(M630+K631-L631)</f>
        <v/>
      </c>
    </row>
    <row r="632">
      <c r="A632" s="20" t="n">
        <v>45691</v>
      </c>
      <c r="B632" s="21" t="n">
        <v>11058</v>
      </c>
      <c r="C632" s="22" t="inlineStr">
        <is>
          <t>SELİM İNŞAAT</t>
        </is>
      </c>
      <c r="D632" s="21" t="inlineStr">
        <is>
          <t>34 HBY 763</t>
        </is>
      </c>
      <c r="E632" s="21" t="inlineStr">
        <is>
          <t>A.KERİM ERGEN</t>
        </is>
      </c>
      <c r="F632" s="23" t="n">
        <v>12798</v>
      </c>
      <c r="G632" s="138" t="n"/>
      <c r="H632" s="138" t="n">
        <v>191</v>
      </c>
      <c r="I632" s="138">
        <f>+I631+(G632-H632)</f>
        <v/>
      </c>
      <c r="J632" s="139" t="n">
        <v>40.35</v>
      </c>
      <c r="K632" s="140" t="n"/>
      <c r="L632" s="140">
        <f>+H632*J632</f>
        <v/>
      </c>
      <c r="M632" s="141">
        <f>SUM(M631+K632-L632)</f>
        <v/>
      </c>
    </row>
    <row r="633">
      <c r="A633" s="20" t="n">
        <v>45691</v>
      </c>
      <c r="B633" s="21" t="n">
        <v>11987</v>
      </c>
      <c r="C633" s="22" t="inlineStr">
        <is>
          <t>SELİM İNŞAAT</t>
        </is>
      </c>
      <c r="D633" s="21" t="inlineStr">
        <is>
          <t>34 DKL 798</t>
        </is>
      </c>
      <c r="E633" s="21" t="inlineStr">
        <is>
          <t>VOLKAN YANAR</t>
        </is>
      </c>
      <c r="F633" s="23" t="n">
        <v>61023</v>
      </c>
      <c r="G633" s="138" t="n"/>
      <c r="H633" s="138" t="n">
        <v>144</v>
      </c>
      <c r="I633" s="138">
        <f>+I632+(G633-H633)</f>
        <v/>
      </c>
      <c r="J633" s="139" t="n">
        <v>40.35</v>
      </c>
      <c r="K633" s="140" t="n"/>
      <c r="L633" s="140">
        <f>+H633*J633</f>
        <v/>
      </c>
      <c r="M633" s="141">
        <f>SUM(M632+K633-L633)</f>
        <v/>
      </c>
    </row>
    <row r="634">
      <c r="A634" s="20" t="n">
        <v>45691</v>
      </c>
      <c r="B634" s="21" t="n">
        <v>11692</v>
      </c>
      <c r="C634" s="22" t="inlineStr">
        <is>
          <t>METİN ERYİĞİT</t>
        </is>
      </c>
      <c r="D634" s="21" t="inlineStr">
        <is>
          <t>34 GBL 998</t>
        </is>
      </c>
      <c r="E634" s="21" t="inlineStr">
        <is>
          <t>ALİ KESKİN</t>
        </is>
      </c>
      <c r="F634" s="23" t="n">
        <v>239896</v>
      </c>
      <c r="G634" s="138" t="n"/>
      <c r="H634" s="138" t="n">
        <v>422</v>
      </c>
      <c r="I634" s="138">
        <f>+I633+(G634-H634)</f>
        <v/>
      </c>
      <c r="J634" s="139" t="n">
        <v>40.35</v>
      </c>
      <c r="K634" s="140" t="n"/>
      <c r="L634" s="140">
        <f>+H634*J634</f>
        <v/>
      </c>
      <c r="M634" s="141">
        <f>SUM(M633+K634-L634)</f>
        <v/>
      </c>
    </row>
    <row r="635">
      <c r="A635" s="20" t="n">
        <v>45691</v>
      </c>
      <c r="B635" s="21" t="n">
        <v>11311</v>
      </c>
      <c r="C635" s="22" t="inlineStr">
        <is>
          <t>AZGÜN YAPI</t>
        </is>
      </c>
      <c r="D635" s="21" t="inlineStr">
        <is>
          <t>34 MKT 859</t>
        </is>
      </c>
      <c r="E635" s="21" t="inlineStr">
        <is>
          <t>YAHYA</t>
        </is>
      </c>
      <c r="F635" s="23" t="n">
        <v>11130</v>
      </c>
      <c r="G635" s="138" t="n"/>
      <c r="H635" s="138" t="n">
        <v>795</v>
      </c>
      <c r="I635" s="138">
        <f>+I634+(G635-H635)</f>
        <v/>
      </c>
      <c r="J635" s="139" t="n">
        <v>40.35</v>
      </c>
      <c r="K635" s="140" t="n"/>
      <c r="L635" s="140">
        <f>+H635*J635</f>
        <v/>
      </c>
      <c r="M635" s="141">
        <f>SUM(M634+K635-L635)</f>
        <v/>
      </c>
    </row>
    <row r="636">
      <c r="A636" s="20" t="n">
        <v>45691</v>
      </c>
      <c r="B636" s="21" t="n">
        <v>11360</v>
      </c>
      <c r="C636" s="22" t="inlineStr">
        <is>
          <t>AZGÜN YAPI</t>
        </is>
      </c>
      <c r="D636" s="21" t="inlineStr">
        <is>
          <t>34 MKT 593</t>
        </is>
      </c>
      <c r="E636" s="21" t="inlineStr">
        <is>
          <t>HASAN</t>
        </is>
      </c>
      <c r="F636" s="23" t="n">
        <v>9025</v>
      </c>
      <c r="G636" s="138" t="n"/>
      <c r="H636" s="138" t="n">
        <v>1073</v>
      </c>
      <c r="I636" s="138">
        <f>+I635+(G636-H636)</f>
        <v/>
      </c>
      <c r="J636" s="139" t="n">
        <v>40.35</v>
      </c>
      <c r="K636" s="140" t="n"/>
      <c r="L636" s="140">
        <f>+H636*J636</f>
        <v/>
      </c>
      <c r="M636" s="141">
        <f>SUM(M635+K636-L636)</f>
        <v/>
      </c>
    </row>
    <row r="637">
      <c r="A637" s="20" t="n">
        <v>45691</v>
      </c>
      <c r="B637" s="21" t="n">
        <v>21996</v>
      </c>
      <c r="C637" s="22" t="inlineStr">
        <is>
          <t>SELİM İNŞAAT</t>
        </is>
      </c>
      <c r="D637" s="21" t="inlineStr">
        <is>
          <t>34 EGR 737</t>
        </is>
      </c>
      <c r="E637" s="21" t="inlineStr">
        <is>
          <t>İBRAHİM GÜNASLAN</t>
        </is>
      </c>
      <c r="F637" s="23" t="n">
        <v>391990</v>
      </c>
      <c r="G637" s="138" t="n"/>
      <c r="H637" s="138" t="n">
        <v>488</v>
      </c>
      <c r="I637" s="138">
        <f>+I636+(G637-H637)</f>
        <v/>
      </c>
      <c r="J637" s="139" t="n">
        <v>40.35</v>
      </c>
      <c r="K637" s="140" t="n"/>
      <c r="L637" s="140">
        <f>+H637*J637</f>
        <v/>
      </c>
      <c r="M637" s="141">
        <f>SUM(M636+K637-L637)</f>
        <v/>
      </c>
    </row>
    <row r="638">
      <c r="A638" s="20" t="n">
        <v>45691</v>
      </c>
      <c r="B638" s="21" t="n">
        <v>10765</v>
      </c>
      <c r="C638" s="22" t="inlineStr">
        <is>
          <t>SELİM İNŞAAT</t>
        </is>
      </c>
      <c r="D638" s="21" t="inlineStr">
        <is>
          <t>34 FBR 705</t>
        </is>
      </c>
      <c r="E638" s="21" t="inlineStr">
        <is>
          <t>MESUT GÜRLER</t>
        </is>
      </c>
      <c r="F638" s="23" t="n">
        <v>288046</v>
      </c>
      <c r="G638" s="138" t="n"/>
      <c r="H638" s="138" t="n">
        <v>321</v>
      </c>
      <c r="I638" s="138">
        <f>+I637+(G638-H638)</f>
        <v/>
      </c>
      <c r="J638" s="139" t="n">
        <v>40.35</v>
      </c>
      <c r="K638" s="140" t="n"/>
      <c r="L638" s="140">
        <f>+H638*J638</f>
        <v/>
      </c>
      <c r="M638" s="141">
        <f>SUM(M637+K638-L638)</f>
        <v/>
      </c>
    </row>
    <row r="639">
      <c r="A639" s="20" t="n">
        <v>45691</v>
      </c>
      <c r="B639" s="21" t="n">
        <v>20899</v>
      </c>
      <c r="C639" s="22" t="inlineStr">
        <is>
          <t>SELİM İNŞAAT</t>
        </is>
      </c>
      <c r="D639" s="21" t="inlineStr">
        <is>
          <t>34 GVZ 310</t>
        </is>
      </c>
      <c r="E639" s="21" t="inlineStr">
        <is>
          <t>CELAL YÜZBAŞI</t>
        </is>
      </c>
      <c r="F639" s="23" t="n">
        <v>168997</v>
      </c>
      <c r="G639" s="138" t="n"/>
      <c r="H639" s="138" t="n">
        <v>332</v>
      </c>
      <c r="I639" s="138">
        <f>+I638+(G639-H639)</f>
        <v/>
      </c>
      <c r="J639" s="139" t="n">
        <v>40.35</v>
      </c>
      <c r="K639" s="140" t="n"/>
      <c r="L639" s="140">
        <f>+H639*J639</f>
        <v/>
      </c>
      <c r="M639" s="141">
        <f>SUM(M638+K639-L639)</f>
        <v/>
      </c>
    </row>
    <row r="640">
      <c r="A640" s="20" t="n">
        <v>45691</v>
      </c>
      <c r="B640" s="21" t="n">
        <v>21449</v>
      </c>
      <c r="C640" s="22" t="inlineStr">
        <is>
          <t>SELİM İNŞAAT</t>
        </is>
      </c>
      <c r="D640" s="21" t="inlineStr">
        <is>
          <t>34 GUS 848</t>
        </is>
      </c>
      <c r="E640" s="21" t="inlineStr">
        <is>
          <t>SERDAR BOZKURT</t>
        </is>
      </c>
      <c r="F640" s="23" t="n">
        <v>164220</v>
      </c>
      <c r="G640" s="138" t="n"/>
      <c r="H640" s="138" t="n">
        <v>422</v>
      </c>
      <c r="I640" s="138">
        <f>+I639+(G640-H640)</f>
        <v/>
      </c>
      <c r="J640" s="139" t="n">
        <v>40.35</v>
      </c>
      <c r="K640" s="140" t="n"/>
      <c r="L640" s="140">
        <f>+H640*J640</f>
        <v/>
      </c>
      <c r="M640" s="141">
        <f>SUM(M639+K640-L640)</f>
        <v/>
      </c>
    </row>
    <row r="641">
      <c r="A641" s="20" t="n">
        <v>45691</v>
      </c>
      <c r="B641" s="21" t="n">
        <v>11909</v>
      </c>
      <c r="C641" s="22" t="inlineStr">
        <is>
          <t>SELİM İNŞAAT</t>
        </is>
      </c>
      <c r="D641" s="21" t="inlineStr">
        <is>
          <t>34 FBR 742</t>
        </is>
      </c>
      <c r="E641" s="21" t="inlineStr">
        <is>
          <t>MİKAİL BAYILMAZ</t>
        </is>
      </c>
      <c r="F641" s="23" t="n">
        <v>293197</v>
      </c>
      <c r="G641" s="138" t="n"/>
      <c r="H641" s="138" t="n">
        <v>240</v>
      </c>
      <c r="I641" s="138">
        <f>+I640+(G641-H641)</f>
        <v/>
      </c>
      <c r="J641" s="139" t="n">
        <v>40.35</v>
      </c>
      <c r="K641" s="140" t="n"/>
      <c r="L641" s="140">
        <f>+H641*J641</f>
        <v/>
      </c>
      <c r="M641" s="141">
        <f>SUM(M640+K641-L641)</f>
        <v/>
      </c>
    </row>
    <row r="642">
      <c r="A642" s="20" t="n">
        <v>45691</v>
      </c>
      <c r="B642" s="21" t="n">
        <v>10059</v>
      </c>
      <c r="C642" s="22" t="inlineStr">
        <is>
          <t>SELİM İNŞAAT</t>
        </is>
      </c>
      <c r="D642" s="21" t="inlineStr">
        <is>
          <t>34 FBR 771</t>
        </is>
      </c>
      <c r="E642" s="21" t="inlineStr">
        <is>
          <t>HÜSEYİN AKÇİN</t>
        </is>
      </c>
      <c r="F642" s="23" t="n">
        <v>293463</v>
      </c>
      <c r="G642" s="138" t="n"/>
      <c r="H642" s="138" t="n">
        <v>254</v>
      </c>
      <c r="I642" s="138">
        <f>+I641+(G642-H642)</f>
        <v/>
      </c>
      <c r="J642" s="139" t="n">
        <v>40.35</v>
      </c>
      <c r="K642" s="140" t="n"/>
      <c r="L642" s="140">
        <f>+H642*J642</f>
        <v/>
      </c>
      <c r="M642" s="141">
        <f>SUM(M641+K642-L642)</f>
        <v/>
      </c>
    </row>
    <row r="643">
      <c r="A643" s="20" t="n">
        <v>45691</v>
      </c>
      <c r="B643" s="21" t="n">
        <v>11716</v>
      </c>
      <c r="C643" s="22" t="inlineStr">
        <is>
          <t>SELİM İNŞAAT</t>
        </is>
      </c>
      <c r="D643" s="21" t="inlineStr">
        <is>
          <t>34 EDB 559</t>
        </is>
      </c>
      <c r="E643" s="21" t="inlineStr">
        <is>
          <t>CEM MUHTAR</t>
        </is>
      </c>
      <c r="F643" s="23" t="n">
        <v>304206</v>
      </c>
      <c r="G643" s="138" t="n"/>
      <c r="H643" s="138" t="n">
        <v>426</v>
      </c>
      <c r="I643" s="138">
        <f>+I642+(G643-H643)</f>
        <v/>
      </c>
      <c r="J643" s="139" t="n">
        <v>40.35</v>
      </c>
      <c r="K643" s="140" t="n"/>
      <c r="L643" s="140">
        <f>+H643*J643</f>
        <v/>
      </c>
      <c r="M643" s="141">
        <f>SUM(M642+K643-L643)</f>
        <v/>
      </c>
    </row>
    <row r="644">
      <c r="A644" s="20" t="n">
        <v>45691</v>
      </c>
      <c r="B644" s="21" t="n">
        <v>21188</v>
      </c>
      <c r="C644" s="22" t="inlineStr">
        <is>
          <t>SELİM İNŞAAT</t>
        </is>
      </c>
      <c r="D644" s="21" t="inlineStr">
        <is>
          <t>34 DSN 565</t>
        </is>
      </c>
      <c r="E644" s="21" t="inlineStr">
        <is>
          <t>KERİM KARAMAN</t>
        </is>
      </c>
      <c r="F644" s="23" t="n">
        <v>384818</v>
      </c>
      <c r="G644" s="138" t="n"/>
      <c r="H644" s="138" t="n">
        <v>162</v>
      </c>
      <c r="I644" s="138">
        <f>+I643+(G644-H644)</f>
        <v/>
      </c>
      <c r="J644" s="139" t="n">
        <v>40.35</v>
      </c>
      <c r="K644" s="140" t="n"/>
      <c r="L644" s="140">
        <f>+H644*J644</f>
        <v/>
      </c>
      <c r="M644" s="141">
        <f>SUM(M643+K644-L644)</f>
        <v/>
      </c>
    </row>
    <row r="645">
      <c r="A645" s="20" t="n">
        <v>45691</v>
      </c>
      <c r="B645" s="21" t="n">
        <v>11201</v>
      </c>
      <c r="C645" s="22" t="inlineStr">
        <is>
          <t>SELİM İNŞAAT</t>
        </is>
      </c>
      <c r="D645" s="21" t="inlineStr">
        <is>
          <t>34 DSN 636</t>
        </is>
      </c>
      <c r="E645" s="21" t="inlineStr">
        <is>
          <t>FERHAT GÜRLER</t>
        </is>
      </c>
      <c r="F645" s="23" t="n">
        <v>371636</v>
      </c>
      <c r="G645" s="138" t="n"/>
      <c r="H645" s="138" t="n">
        <v>348</v>
      </c>
      <c r="I645" s="138">
        <f>+I644+(G645-H645)</f>
        <v/>
      </c>
      <c r="J645" s="139" t="n">
        <v>40.35</v>
      </c>
      <c r="K645" s="140" t="n"/>
      <c r="L645" s="140">
        <f>+H645*J645</f>
        <v/>
      </c>
      <c r="M645" s="141">
        <f>SUM(M644+K645-L645)</f>
        <v/>
      </c>
    </row>
    <row r="646">
      <c r="A646" s="20" t="n">
        <v>45691</v>
      </c>
      <c r="B646" s="1" t="n">
        <v>14902</v>
      </c>
      <c r="C646" s="2" t="inlineStr">
        <is>
          <t>HASALTUN</t>
        </is>
      </c>
      <c r="D646" s="1" t="inlineStr">
        <is>
          <t>SM 350</t>
        </is>
      </c>
      <c r="E646" s="1" t="inlineStr">
        <is>
          <t>TEVFİK ÖZTÜRK</t>
        </is>
      </c>
      <c r="F646" s="3" t="n"/>
      <c r="G646" s="143" t="n"/>
      <c r="H646" s="143" t="n">
        <v>280</v>
      </c>
      <c r="I646" s="143">
        <f>+I645+(G646-H646)</f>
        <v/>
      </c>
      <c r="J646" s="144" t="n">
        <v>40.35</v>
      </c>
      <c r="K646" s="145" t="n"/>
      <c r="L646" s="140">
        <f>+H646*J646</f>
        <v/>
      </c>
      <c r="M646" s="141">
        <f>SUM(M645+K646-L646)</f>
        <v/>
      </c>
    </row>
    <row r="647">
      <c r="A647" s="20" t="n">
        <v>45691</v>
      </c>
      <c r="B647" s="21" t="n">
        <v>14903</v>
      </c>
      <c r="C647" s="22" t="inlineStr">
        <is>
          <t>EVKUR</t>
        </is>
      </c>
      <c r="D647" s="21" t="n"/>
      <c r="E647" s="21" t="inlineStr">
        <is>
          <t>FAHRİ KALFA</t>
        </is>
      </c>
      <c r="F647" s="23" t="n"/>
      <c r="G647" s="138" t="n"/>
      <c r="H647" s="138" t="n">
        <v>60</v>
      </c>
      <c r="I647" s="138">
        <f>+I646+(G647-H647)</f>
        <v/>
      </c>
      <c r="J647" s="139" t="n">
        <v>40.35</v>
      </c>
      <c r="K647" s="140" t="n"/>
      <c r="L647" s="140">
        <f>+H647*J647</f>
        <v/>
      </c>
      <c r="M647" s="141">
        <f>SUM(M646+K647-L647)</f>
        <v/>
      </c>
    </row>
    <row r="648">
      <c r="A648" s="20" t="n">
        <v>45691</v>
      </c>
      <c r="B648" s="1" t="n">
        <v>14904</v>
      </c>
      <c r="C648" s="2" t="inlineStr">
        <is>
          <t>VARLIK</t>
        </is>
      </c>
      <c r="D648" s="1" t="inlineStr">
        <is>
          <t>SM 350</t>
        </is>
      </c>
      <c r="E648" s="1" t="inlineStr">
        <is>
          <t>BAYRAM SANCAK</t>
        </is>
      </c>
      <c r="F648" s="3" t="n"/>
      <c r="G648" s="143" t="n"/>
      <c r="H648" s="143" t="n">
        <v>160</v>
      </c>
      <c r="I648" s="143">
        <f>+I647+(G648-H648)</f>
        <v/>
      </c>
      <c r="J648" s="144" t="n">
        <v>40.35</v>
      </c>
      <c r="K648" s="145" t="n"/>
      <c r="L648" s="140">
        <f>+H648*J648</f>
        <v/>
      </c>
      <c r="M648" s="141">
        <f>SUM(M647+K648-L648)</f>
        <v/>
      </c>
    </row>
    <row r="649">
      <c r="A649" s="20" t="n">
        <v>45691</v>
      </c>
      <c r="B649" s="1" t="n">
        <v>14905</v>
      </c>
      <c r="C649" s="2" t="inlineStr">
        <is>
          <t>VARLIK</t>
        </is>
      </c>
      <c r="D649" s="1" t="inlineStr">
        <is>
          <t>SM 300</t>
        </is>
      </c>
      <c r="E649" s="1" t="inlineStr">
        <is>
          <t>TURGUT SANCAK</t>
        </is>
      </c>
      <c r="F649" s="3" t="n"/>
      <c r="G649" s="143" t="n"/>
      <c r="H649" s="143" t="n">
        <v>214</v>
      </c>
      <c r="I649" s="143">
        <f>+I648+(G649-H649)</f>
        <v/>
      </c>
      <c r="J649" s="144" t="n">
        <v>40.35</v>
      </c>
      <c r="K649" s="145" t="n"/>
      <c r="L649" s="140">
        <f>+H649*J649</f>
        <v/>
      </c>
      <c r="M649" s="141">
        <f>SUM(M648+K649-L649)</f>
        <v/>
      </c>
    </row>
    <row r="650">
      <c r="A650" s="20" t="n">
        <v>45691</v>
      </c>
      <c r="B650" s="1" t="n">
        <v>14906</v>
      </c>
      <c r="C650" s="2" t="inlineStr">
        <is>
          <t>VARLIK</t>
        </is>
      </c>
      <c r="D650" s="1" t="inlineStr">
        <is>
          <t>SM 370</t>
        </is>
      </c>
      <c r="E650" s="1" t="inlineStr">
        <is>
          <t>TEKİN ŞEYLAN</t>
        </is>
      </c>
      <c r="F650" s="3" t="n"/>
      <c r="G650" s="143" t="n"/>
      <c r="H650" s="143" t="n">
        <v>213</v>
      </c>
      <c r="I650" s="143">
        <f>+I649+(G650-H650)</f>
        <v/>
      </c>
      <c r="J650" s="144" t="n">
        <v>40.35</v>
      </c>
      <c r="K650" s="145" t="n"/>
      <c r="L650" s="140">
        <f>+H650*J650</f>
        <v/>
      </c>
      <c r="M650" s="141">
        <f>SUM(M649+K650-L650)</f>
        <v/>
      </c>
    </row>
    <row r="651">
      <c r="A651" s="20" t="n">
        <v>45691</v>
      </c>
      <c r="B651" s="1" t="n">
        <v>14908</v>
      </c>
      <c r="C651" s="2" t="inlineStr">
        <is>
          <t>VARLIK</t>
        </is>
      </c>
      <c r="D651" s="1" t="inlineStr">
        <is>
          <t>KAVAZAKİ</t>
        </is>
      </c>
      <c r="E651" s="1" t="inlineStr">
        <is>
          <t>UFUK SEVAL</t>
        </is>
      </c>
      <c r="F651" s="3" t="n"/>
      <c r="G651" s="143" t="n"/>
      <c r="H651" s="143" t="n">
        <v>175</v>
      </c>
      <c r="I651" s="143">
        <f>+I650+(G651-H651)</f>
        <v/>
      </c>
      <c r="J651" s="144" t="n">
        <v>40.35</v>
      </c>
      <c r="K651" s="145" t="n"/>
      <c r="L651" s="140">
        <f>+H651*J651</f>
        <v/>
      </c>
      <c r="M651" s="141">
        <f>SUM(M650+K651-L651)</f>
        <v/>
      </c>
    </row>
    <row r="652">
      <c r="A652" s="20" t="n">
        <v>45692</v>
      </c>
      <c r="B652" s="21" t="n">
        <v>116</v>
      </c>
      <c r="C652" s="22" t="inlineStr">
        <is>
          <t>ÜNSOY TURİZM İNŞ.SAN.VE TİC.A.Ş.</t>
        </is>
      </c>
      <c r="D652" s="21" t="n"/>
      <c r="E652" s="21" t="n"/>
      <c r="F652" s="23" t="n"/>
      <c r="G652" s="138" t="n">
        <v>31875</v>
      </c>
      <c r="H652" s="138" t="n"/>
      <c r="I652" s="138">
        <f>+I651+(G652-H652)</f>
        <v/>
      </c>
      <c r="J652" s="139">
        <f>+K652/31875</f>
        <v/>
      </c>
      <c r="K652" s="140" t="n">
        <v>1283606.26</v>
      </c>
      <c r="L652" s="140">
        <f>+H652*J652</f>
        <v/>
      </c>
      <c r="M652" s="141">
        <f>SUM(M651+K652-L652)</f>
        <v/>
      </c>
    </row>
    <row r="653">
      <c r="A653" s="20" t="n">
        <v>45692</v>
      </c>
      <c r="B653" s="21" t="n">
        <v>11008</v>
      </c>
      <c r="C653" s="22" t="inlineStr">
        <is>
          <t>SELİM İNŞAAT</t>
        </is>
      </c>
      <c r="D653" s="21" t="inlineStr">
        <is>
          <t>34 FCR 210</t>
        </is>
      </c>
      <c r="E653" s="21" t="inlineStr">
        <is>
          <t>RIFAT KARATAY</t>
        </is>
      </c>
      <c r="F653" s="23" t="n">
        <v>112897</v>
      </c>
      <c r="G653" s="138" t="n"/>
      <c r="H653" s="138" t="n">
        <v>230</v>
      </c>
      <c r="I653" s="138">
        <f>+I652+(G653-H653)</f>
        <v/>
      </c>
      <c r="J653" s="139" t="n">
        <v>40.27</v>
      </c>
      <c r="K653" s="140" t="n"/>
      <c r="L653" s="140">
        <f>+H653*J653</f>
        <v/>
      </c>
      <c r="M653" s="141">
        <f>SUM(M652+K653-L653)</f>
        <v/>
      </c>
    </row>
    <row r="654">
      <c r="A654" s="20" t="n">
        <v>45692</v>
      </c>
      <c r="B654" s="21" t="n">
        <v>21129</v>
      </c>
      <c r="C654" s="22" t="inlineStr">
        <is>
          <t>SELİM İNŞAAT</t>
        </is>
      </c>
      <c r="D654" s="21" t="inlineStr">
        <is>
          <t>34 TG 7869</t>
        </is>
      </c>
      <c r="E654" s="21" t="inlineStr">
        <is>
          <t>GÖRKEM KARABEL</t>
        </is>
      </c>
      <c r="F654" s="23" t="n">
        <v>179204</v>
      </c>
      <c r="G654" s="138" t="n"/>
      <c r="H654" s="138" t="n">
        <v>265</v>
      </c>
      <c r="I654" s="138">
        <f>+I653+(G654-H654)</f>
        <v/>
      </c>
      <c r="J654" s="139" t="n">
        <v>40.27</v>
      </c>
      <c r="K654" s="140" t="n"/>
      <c r="L654" s="140">
        <f>+H654*J654</f>
        <v/>
      </c>
      <c r="M654" s="141">
        <f>SUM(M653+K654-L654)</f>
        <v/>
      </c>
    </row>
    <row r="655">
      <c r="A655" s="20" t="n">
        <v>45692</v>
      </c>
      <c r="B655" s="21" t="n">
        <v>11886</v>
      </c>
      <c r="C655" s="22" t="inlineStr">
        <is>
          <t>SELİM İNŞAAT</t>
        </is>
      </c>
      <c r="D655" s="21" t="inlineStr">
        <is>
          <t>34 DFE 454</t>
        </is>
      </c>
      <c r="E655" s="21" t="inlineStr">
        <is>
          <t>HASAN BAYCAN</t>
        </is>
      </c>
      <c r="F655" s="23" t="n">
        <v>154613</v>
      </c>
      <c r="G655" s="138" t="n"/>
      <c r="H655" s="138" t="n">
        <v>213</v>
      </c>
      <c r="I655" s="138">
        <f>+I654+(G655-H655)</f>
        <v/>
      </c>
      <c r="J655" s="139" t="n">
        <v>40.27</v>
      </c>
      <c r="K655" s="140" t="n"/>
      <c r="L655" s="140">
        <f>+H655*J655</f>
        <v/>
      </c>
      <c r="M655" s="141">
        <f>SUM(M654+K655-L655)</f>
        <v/>
      </c>
    </row>
    <row r="656">
      <c r="A656" s="20" t="n">
        <v>45692</v>
      </c>
      <c r="B656" s="21" t="n">
        <v>20298</v>
      </c>
      <c r="C656" s="22" t="inlineStr">
        <is>
          <t>SELİM İNŞAAT</t>
        </is>
      </c>
      <c r="D656" s="21" t="inlineStr">
        <is>
          <t>34 DKL 866</t>
        </is>
      </c>
      <c r="E656" s="21" t="inlineStr">
        <is>
          <t>SELİM CAN ÖNVER</t>
        </is>
      </c>
      <c r="F656" s="23" t="n">
        <v>61041</v>
      </c>
      <c r="G656" s="138" t="n"/>
      <c r="H656" s="138" t="n">
        <v>106</v>
      </c>
      <c r="I656" s="138">
        <f>+I655+(G656-H656)</f>
        <v/>
      </c>
      <c r="J656" s="139" t="n">
        <v>40.27</v>
      </c>
      <c r="K656" s="140" t="n"/>
      <c r="L656" s="140">
        <f>+H656*J656</f>
        <v/>
      </c>
      <c r="M656" s="141">
        <f>SUM(M655+K656-L656)</f>
        <v/>
      </c>
    </row>
    <row r="657">
      <c r="A657" s="20" t="n">
        <v>45692</v>
      </c>
      <c r="B657" s="21" t="n">
        <v>11459</v>
      </c>
      <c r="C657" s="22" t="inlineStr">
        <is>
          <t>METİN ŞİRİN</t>
        </is>
      </c>
      <c r="D657" s="21" t="inlineStr">
        <is>
          <t>34 EGR 922</t>
        </is>
      </c>
      <c r="E657" s="21" t="inlineStr">
        <is>
          <t>GÜRAY KOYUNCU</t>
        </is>
      </c>
      <c r="F657" s="23" t="n">
        <v>433407</v>
      </c>
      <c r="G657" s="138" t="n"/>
      <c r="H657" s="138" t="n">
        <v>439</v>
      </c>
      <c r="I657" s="138">
        <f>+I656+(G657-H657)</f>
        <v/>
      </c>
      <c r="J657" s="139" t="n">
        <v>40.27</v>
      </c>
      <c r="K657" s="140" t="n"/>
      <c r="L657" s="140">
        <f>+H657*J657</f>
        <v/>
      </c>
      <c r="M657" s="141">
        <f>SUM(M656+K657-L657)</f>
        <v/>
      </c>
    </row>
    <row r="658">
      <c r="A658" s="20" t="n">
        <v>45692</v>
      </c>
      <c r="B658" s="21" t="n">
        <v>2047</v>
      </c>
      <c r="C658" s="22" t="inlineStr">
        <is>
          <t>AZGÜN YAPI</t>
        </is>
      </c>
      <c r="D658" s="21" t="inlineStr">
        <is>
          <t>34 DTV 263</t>
        </is>
      </c>
      <c r="E658" s="21" t="inlineStr">
        <is>
          <t>EDİP TORLAK</t>
        </is>
      </c>
      <c r="F658" s="23" t="n">
        <v>358910</v>
      </c>
      <c r="G658" s="138" t="n"/>
      <c r="H658" s="138" t="n">
        <v>319</v>
      </c>
      <c r="I658" s="138">
        <f>+I657+(G658-H658)</f>
        <v/>
      </c>
      <c r="J658" s="139" t="n">
        <v>40.27</v>
      </c>
      <c r="K658" s="140" t="n"/>
      <c r="L658" s="140">
        <f>+H658*J658</f>
        <v/>
      </c>
      <c r="M658" s="141">
        <f>SUM(M657+K658-L658)</f>
        <v/>
      </c>
    </row>
    <row r="659">
      <c r="A659" s="20" t="n">
        <v>45692</v>
      </c>
      <c r="B659" s="21" t="n">
        <v>21997</v>
      </c>
      <c r="C659" s="22" t="inlineStr">
        <is>
          <t>SELİM İNŞAAT</t>
        </is>
      </c>
      <c r="D659" s="21" t="inlineStr">
        <is>
          <t>34 EGR 737</t>
        </is>
      </c>
      <c r="E659" s="21" t="inlineStr">
        <is>
          <t>İBRAHİM GÜNASLAN</t>
        </is>
      </c>
      <c r="F659" s="23" t="n">
        <v>392898</v>
      </c>
      <c r="G659" s="138" t="n"/>
      <c r="H659" s="138" t="n">
        <v>360</v>
      </c>
      <c r="I659" s="138">
        <f>+I658+(G659-H659)</f>
        <v/>
      </c>
      <c r="J659" s="139" t="n">
        <v>40.27</v>
      </c>
      <c r="K659" s="140" t="n"/>
      <c r="L659" s="140">
        <f>+H659*J659</f>
        <v/>
      </c>
      <c r="M659" s="141">
        <f>SUM(M658+K659-L659)</f>
        <v/>
      </c>
    </row>
    <row r="660">
      <c r="A660" s="20" t="n">
        <v>45692</v>
      </c>
      <c r="B660" s="21" t="n">
        <v>11781</v>
      </c>
      <c r="C660" s="22" t="inlineStr">
        <is>
          <t>SELİM İNŞAAT</t>
        </is>
      </c>
      <c r="D660" s="21" t="inlineStr">
        <is>
          <t>34 EDC 086</t>
        </is>
      </c>
      <c r="E660" s="21" t="inlineStr">
        <is>
          <t>ÖMER AĞAYAR</t>
        </is>
      </c>
      <c r="F660" s="23" t="n">
        <v>304072</v>
      </c>
      <c r="G660" s="138" t="n"/>
      <c r="H660" s="138" t="n">
        <v>404</v>
      </c>
      <c r="I660" s="138">
        <f>+I659+(G660-H660)</f>
        <v/>
      </c>
      <c r="J660" s="139" t="n">
        <v>40.27</v>
      </c>
      <c r="K660" s="140" t="n"/>
      <c r="L660" s="140">
        <f>+H660*J660</f>
        <v/>
      </c>
      <c r="M660" s="141">
        <f>SUM(M659+K660-L660)</f>
        <v/>
      </c>
    </row>
    <row r="661">
      <c r="A661" s="20" t="n">
        <v>45692</v>
      </c>
      <c r="B661" s="21" t="n">
        <v>10424</v>
      </c>
      <c r="C661" s="22" t="inlineStr">
        <is>
          <t>SELİM İNŞAAT</t>
        </is>
      </c>
      <c r="D661" s="21" t="inlineStr">
        <is>
          <t>34 FBR 781</t>
        </is>
      </c>
      <c r="E661" s="21" t="inlineStr">
        <is>
          <t>MEVLÜT POLAT</t>
        </is>
      </c>
      <c r="F661" s="23" t="n">
        <v>277480</v>
      </c>
      <c r="G661" s="138" t="n"/>
      <c r="H661" s="138" t="n">
        <v>317</v>
      </c>
      <c r="I661" s="138">
        <f>+I660+(G661-H661)</f>
        <v/>
      </c>
      <c r="J661" s="139" t="n">
        <v>40.27</v>
      </c>
      <c r="K661" s="140" t="n"/>
      <c r="L661" s="140">
        <f>+H661*J661</f>
        <v/>
      </c>
      <c r="M661" s="141">
        <f>SUM(M660+K661-L661)</f>
        <v/>
      </c>
    </row>
    <row r="662">
      <c r="A662" s="20" t="n">
        <v>45692</v>
      </c>
      <c r="B662" s="21" t="n">
        <v>11270</v>
      </c>
      <c r="C662" s="22" t="inlineStr">
        <is>
          <t>SELİM İNŞAAT</t>
        </is>
      </c>
      <c r="D662" s="21" t="inlineStr">
        <is>
          <t>34 EDC 162</t>
        </is>
      </c>
      <c r="E662" s="21" t="inlineStr">
        <is>
          <t xml:space="preserve">YAKUP GÜNER </t>
        </is>
      </c>
      <c r="F662" s="23" t="n">
        <v>339785</v>
      </c>
      <c r="G662" s="138" t="n"/>
      <c r="H662" s="138" t="n">
        <v>300</v>
      </c>
      <c r="I662" s="138">
        <f>+I661+(G662-H662)</f>
        <v/>
      </c>
      <c r="J662" s="139" t="n">
        <v>40.27</v>
      </c>
      <c r="K662" s="140" t="n"/>
      <c r="L662" s="140">
        <f>+H662*J662</f>
        <v/>
      </c>
      <c r="M662" s="141">
        <f>SUM(M661+K662-L662)</f>
        <v/>
      </c>
    </row>
    <row r="663">
      <c r="A663" s="20" t="n">
        <v>45692</v>
      </c>
      <c r="B663" s="21" t="n">
        <v>11126</v>
      </c>
      <c r="C663" s="22" t="inlineStr">
        <is>
          <t>SELİM İNŞAAT</t>
        </is>
      </c>
      <c r="D663" s="21" t="inlineStr">
        <is>
          <t>34 DTV 409</t>
        </is>
      </c>
      <c r="E663" s="21" t="inlineStr">
        <is>
          <t xml:space="preserve">ONUR CANLI </t>
        </is>
      </c>
      <c r="F663" s="23" t="n">
        <v>396732</v>
      </c>
      <c r="G663" s="138" t="n"/>
      <c r="H663" s="138" t="n">
        <v>365</v>
      </c>
      <c r="I663" s="138">
        <f>+I662+(G663-H663)</f>
        <v/>
      </c>
      <c r="J663" s="139" t="n">
        <v>40.27</v>
      </c>
      <c r="K663" s="140" t="n"/>
      <c r="L663" s="140">
        <f>+H663*J663</f>
        <v/>
      </c>
      <c r="M663" s="141">
        <f>SUM(M662+K663-L663)</f>
        <v/>
      </c>
    </row>
    <row r="664">
      <c r="A664" s="20" t="n">
        <v>45692</v>
      </c>
      <c r="B664" s="21" t="n">
        <v>20998</v>
      </c>
      <c r="C664" s="22" t="inlineStr">
        <is>
          <t>SELİM İNŞAAT</t>
        </is>
      </c>
      <c r="D664" s="21" t="inlineStr">
        <is>
          <t>34 GUS 938</t>
        </is>
      </c>
      <c r="E664" s="21" t="inlineStr">
        <is>
          <t>MEHMET KAYA</t>
        </is>
      </c>
      <c r="F664" s="23" t="n">
        <v>160091</v>
      </c>
      <c r="G664" s="138" t="n"/>
      <c r="H664" s="138" t="n">
        <v>372</v>
      </c>
      <c r="I664" s="138">
        <f>+I663+(G664-H664)</f>
        <v/>
      </c>
      <c r="J664" s="139" t="n">
        <v>40.27</v>
      </c>
      <c r="K664" s="140" t="n"/>
      <c r="L664" s="140">
        <f>+H664*J664</f>
        <v/>
      </c>
      <c r="M664" s="141">
        <f>SUM(M663+K664-L664)</f>
        <v/>
      </c>
    </row>
    <row r="665">
      <c r="A665" s="20" t="n">
        <v>45692</v>
      </c>
      <c r="B665" s="21" t="n">
        <v>10276</v>
      </c>
      <c r="C665" s="22" t="inlineStr">
        <is>
          <t>SELİM İNŞAAT</t>
        </is>
      </c>
      <c r="D665" s="21" t="inlineStr">
        <is>
          <t>34 FBR 748</t>
        </is>
      </c>
      <c r="E665" s="21" t="inlineStr">
        <is>
          <t>YAŞAR ÖZKAYA</t>
        </is>
      </c>
      <c r="F665" s="23" t="n">
        <v>259801</v>
      </c>
      <c r="G665" s="138" t="n"/>
      <c r="H665" s="138" t="n">
        <v>286</v>
      </c>
      <c r="I665" s="138">
        <f>+I664+(G665-H665)</f>
        <v/>
      </c>
      <c r="J665" s="139" t="n">
        <v>40.27</v>
      </c>
      <c r="K665" s="140" t="n"/>
      <c r="L665" s="140">
        <f>+H665*J665</f>
        <v/>
      </c>
      <c r="M665" s="141">
        <f>SUM(M664+K665-L665)</f>
        <v/>
      </c>
    </row>
    <row r="666">
      <c r="A666" s="20" t="n">
        <v>45692</v>
      </c>
      <c r="B666" s="21" t="n">
        <v>10624</v>
      </c>
      <c r="C666" s="22" t="inlineStr">
        <is>
          <t>SELİM İNŞAAT</t>
        </is>
      </c>
      <c r="D666" s="21" t="inlineStr">
        <is>
          <t>34 EDB 754</t>
        </is>
      </c>
      <c r="E666" s="21" t="inlineStr">
        <is>
          <t>EMİN PARLAKKILIÇ</t>
        </is>
      </c>
      <c r="F666" s="23" t="n">
        <v>299550</v>
      </c>
      <c r="G666" s="138" t="n"/>
      <c r="H666" s="138" t="n">
        <v>377</v>
      </c>
      <c r="I666" s="138">
        <f>+I665+(G666-H666)</f>
        <v/>
      </c>
      <c r="J666" s="139" t="n">
        <v>40.27</v>
      </c>
      <c r="K666" s="140" t="n"/>
      <c r="L666" s="140">
        <f>+H666*J666</f>
        <v/>
      </c>
      <c r="M666" s="141">
        <f>SUM(M665+K666-L666)</f>
        <v/>
      </c>
    </row>
    <row r="667">
      <c r="A667" s="20" t="n">
        <v>45692</v>
      </c>
      <c r="B667" s="21" t="n">
        <v>18000</v>
      </c>
      <c r="C667" s="22" t="inlineStr">
        <is>
          <t>SELİM İNŞAAT</t>
        </is>
      </c>
      <c r="D667" s="21" t="inlineStr">
        <is>
          <t>34 DSN 536</t>
        </is>
      </c>
      <c r="E667" s="21" t="inlineStr">
        <is>
          <t>DURSUN ALİ GÜREK</t>
        </is>
      </c>
      <c r="F667" s="23" t="n">
        <v>380697</v>
      </c>
      <c r="G667" s="138" t="n"/>
      <c r="H667" s="138" t="n">
        <v>348</v>
      </c>
      <c r="I667" s="138">
        <f>+I666+(G667-H667)</f>
        <v/>
      </c>
      <c r="J667" s="139" t="n">
        <v>40.27</v>
      </c>
      <c r="K667" s="140" t="n"/>
      <c r="L667" s="140">
        <f>+H667*J667</f>
        <v/>
      </c>
      <c r="M667" s="141">
        <f>SUM(M666+K667-L667)</f>
        <v/>
      </c>
    </row>
    <row r="668">
      <c r="A668" s="20" t="n">
        <v>45692</v>
      </c>
      <c r="B668" s="21" t="n">
        <v>10512</v>
      </c>
      <c r="C668" s="22" t="inlineStr">
        <is>
          <t>SELİM İNŞAAT</t>
        </is>
      </c>
      <c r="D668" s="21" t="inlineStr">
        <is>
          <t>34 EDB 922</t>
        </is>
      </c>
      <c r="E668" s="21" t="inlineStr">
        <is>
          <t>AHMET TOPÇU</t>
        </is>
      </c>
      <c r="F668" s="23" t="n">
        <v>332917</v>
      </c>
      <c r="G668" s="138" t="n"/>
      <c r="H668" s="138" t="n">
        <v>392</v>
      </c>
      <c r="I668" s="138">
        <f>+I667+(G668-H668)</f>
        <v/>
      </c>
      <c r="J668" s="139" t="n">
        <v>40.27</v>
      </c>
      <c r="K668" s="140" t="n"/>
      <c r="L668" s="140">
        <f>+H668*J668</f>
        <v/>
      </c>
      <c r="M668" s="141">
        <f>SUM(M667+K668-L668)</f>
        <v/>
      </c>
    </row>
    <row r="669">
      <c r="A669" s="20" t="n">
        <v>45692</v>
      </c>
      <c r="B669" s="21" t="n">
        <v>11910</v>
      </c>
      <c r="C669" s="22" t="inlineStr">
        <is>
          <t>SELİM İNŞAAT</t>
        </is>
      </c>
      <c r="D669" s="21" t="inlineStr">
        <is>
          <t>34 FBR 742</t>
        </is>
      </c>
      <c r="E669" s="21" t="inlineStr">
        <is>
          <t>MİKAİL BAYILMAZ</t>
        </is>
      </c>
      <c r="F669" s="23" t="n">
        <v>293426</v>
      </c>
      <c r="G669" s="138" t="n"/>
      <c r="H669" s="138" t="n">
        <v>118</v>
      </c>
      <c r="I669" s="138">
        <f>+I668+(G669-H669)</f>
        <v/>
      </c>
      <c r="J669" s="139" t="n">
        <v>40.27</v>
      </c>
      <c r="K669" s="140" t="n"/>
      <c r="L669" s="140">
        <f>+H669*J669</f>
        <v/>
      </c>
      <c r="M669" s="141">
        <f>SUM(M668+K669-L669)</f>
        <v/>
      </c>
    </row>
    <row r="670">
      <c r="A670" s="20" t="n">
        <v>45692</v>
      </c>
      <c r="B670" s="21" t="n">
        <v>11717</v>
      </c>
      <c r="C670" s="22" t="inlineStr">
        <is>
          <t>SELİM İNŞAAT</t>
        </is>
      </c>
      <c r="D670" s="21" t="inlineStr">
        <is>
          <t>34 EDB 559</t>
        </is>
      </c>
      <c r="E670" s="21" t="inlineStr">
        <is>
          <t>CEM MUHTAR</t>
        </is>
      </c>
      <c r="F670" s="23" t="n">
        <v>304617</v>
      </c>
      <c r="G670" s="138" t="n"/>
      <c r="H670" s="138" t="n">
        <v>221</v>
      </c>
      <c r="I670" s="138">
        <f>+I669+(G670-H670)</f>
        <v/>
      </c>
      <c r="J670" s="139" t="n">
        <v>40.27</v>
      </c>
      <c r="K670" s="140" t="n"/>
      <c r="L670" s="140">
        <f>+H670*J670</f>
        <v/>
      </c>
      <c r="M670" s="141">
        <f>SUM(M669+K670-L670)</f>
        <v/>
      </c>
    </row>
    <row r="671">
      <c r="A671" s="20" t="n">
        <v>45692</v>
      </c>
      <c r="B671" s="21" t="n">
        <v>21284</v>
      </c>
      <c r="C671" s="22" t="inlineStr">
        <is>
          <t>SELİM İNŞAAT</t>
        </is>
      </c>
      <c r="D671" s="21" t="inlineStr">
        <is>
          <t>34 DTV 447</t>
        </is>
      </c>
      <c r="E671" s="21" t="inlineStr">
        <is>
          <t>EBUBEKİR KOLDAŞ</t>
        </is>
      </c>
      <c r="F671" s="23" t="n">
        <v>413190</v>
      </c>
      <c r="G671" s="138" t="n"/>
      <c r="H671" s="138" t="n">
        <v>432</v>
      </c>
      <c r="I671" s="138">
        <f>+I670+(G671-H671)</f>
        <v/>
      </c>
      <c r="J671" s="139" t="n">
        <v>40.27</v>
      </c>
      <c r="K671" s="140" t="n"/>
      <c r="L671" s="140">
        <f>+H671*J671</f>
        <v/>
      </c>
      <c r="M671" s="141">
        <f>SUM(M670+K671-L671)</f>
        <v/>
      </c>
    </row>
    <row r="672">
      <c r="A672" s="20" t="n">
        <v>45692</v>
      </c>
      <c r="B672" s="21" t="n">
        <v>10682</v>
      </c>
      <c r="C672" s="22" t="inlineStr">
        <is>
          <t>SELİM İNŞAAT</t>
        </is>
      </c>
      <c r="D672" s="21" t="inlineStr">
        <is>
          <t>34 DTV 599</t>
        </is>
      </c>
      <c r="E672" s="21" t="inlineStr">
        <is>
          <t>FERHAT GÜRLER</t>
        </is>
      </c>
      <c r="F672" s="23" t="n">
        <v>409739</v>
      </c>
      <c r="G672" s="138" t="n"/>
      <c r="H672" s="138" t="n">
        <v>344</v>
      </c>
      <c r="I672" s="138">
        <f>+I671+(G672-H672)</f>
        <v/>
      </c>
      <c r="J672" s="139" t="n">
        <v>40.27</v>
      </c>
      <c r="K672" s="140" t="n"/>
      <c r="L672" s="140">
        <f>+H672*J672</f>
        <v/>
      </c>
      <c r="M672" s="141">
        <f>SUM(M671+K672-L672)</f>
        <v/>
      </c>
    </row>
    <row r="673">
      <c r="A673" s="20" t="n">
        <v>45692</v>
      </c>
      <c r="B673" s="21" t="n">
        <v>10316</v>
      </c>
      <c r="C673" s="22" t="inlineStr">
        <is>
          <t>SELİM İNŞAAT</t>
        </is>
      </c>
      <c r="D673" s="21" t="inlineStr">
        <is>
          <t>34 EDB 829</t>
        </is>
      </c>
      <c r="E673" s="21" t="inlineStr">
        <is>
          <t>İSMET BAYRAM</t>
        </is>
      </c>
      <c r="F673" s="23" t="n">
        <v>292703</v>
      </c>
      <c r="G673" s="138" t="n"/>
      <c r="H673" s="138" t="n">
        <v>464</v>
      </c>
      <c r="I673" s="138">
        <f>+I672+(G673-H673)</f>
        <v/>
      </c>
      <c r="J673" s="139" t="n">
        <v>40.27</v>
      </c>
      <c r="K673" s="140" t="n"/>
      <c r="L673" s="140">
        <f>+H673*J673</f>
        <v/>
      </c>
      <c r="M673" s="141">
        <f>SUM(M672+K673-L673)</f>
        <v/>
      </c>
    </row>
    <row r="674">
      <c r="A674" s="20" t="n">
        <v>45692</v>
      </c>
      <c r="B674" s="21" t="n">
        <v>10205</v>
      </c>
      <c r="C674" s="22" t="inlineStr">
        <is>
          <t>SELİM İNŞAAT</t>
        </is>
      </c>
      <c r="D674" s="21" t="inlineStr">
        <is>
          <t>34 DSN 621</t>
        </is>
      </c>
      <c r="E674" s="21" t="inlineStr">
        <is>
          <t>MUSTAFA KAYA</t>
        </is>
      </c>
      <c r="F674" s="23" t="n">
        <v>389237</v>
      </c>
      <c r="G674" s="138" t="n"/>
      <c r="H674" s="138" t="n">
        <v>337</v>
      </c>
      <c r="I674" s="138">
        <f>+I673+(G674-H674)</f>
        <v/>
      </c>
      <c r="J674" s="139" t="n">
        <v>40.27</v>
      </c>
      <c r="K674" s="140" t="n"/>
      <c r="L674" s="140">
        <f>+H674*J674</f>
        <v/>
      </c>
      <c r="M674" s="141">
        <f>SUM(M673+K674-L674)</f>
        <v/>
      </c>
    </row>
    <row r="675">
      <c r="A675" s="20" t="n">
        <v>45692</v>
      </c>
      <c r="B675" s="21" t="n">
        <v>11806</v>
      </c>
      <c r="C675" s="22" t="inlineStr">
        <is>
          <t>SELİM İNŞAAT</t>
        </is>
      </c>
      <c r="D675" s="21" t="inlineStr">
        <is>
          <t>34 FSG 229</t>
        </is>
      </c>
      <c r="E675" s="21" t="inlineStr">
        <is>
          <t>SİNAN TANRIVERDİ</t>
        </is>
      </c>
      <c r="F675" s="23" t="n">
        <v>232141</v>
      </c>
      <c r="G675" s="138" t="n"/>
      <c r="H675" s="138" t="n">
        <v>387</v>
      </c>
      <c r="I675" s="138">
        <f>+I674+(G675-H675)</f>
        <v/>
      </c>
      <c r="J675" s="139" t="n">
        <v>40.27</v>
      </c>
      <c r="K675" s="140" t="n"/>
      <c r="L675" s="140">
        <f>+H675*J675</f>
        <v/>
      </c>
      <c r="M675" s="141">
        <f>SUM(M674+K675-L675)</f>
        <v/>
      </c>
    </row>
    <row r="676">
      <c r="A676" s="20" t="n">
        <v>45692</v>
      </c>
      <c r="B676" s="21" t="n">
        <v>21538</v>
      </c>
      <c r="C676" s="22" t="inlineStr">
        <is>
          <t>SELİM İNŞAAT</t>
        </is>
      </c>
      <c r="D676" s="21" t="inlineStr">
        <is>
          <t>34 GVZ 745</t>
        </is>
      </c>
      <c r="E676" s="21" t="inlineStr">
        <is>
          <t>MUHAMMED YİĞİT</t>
        </is>
      </c>
      <c r="F676" s="23" t="n">
        <v>161960</v>
      </c>
      <c r="G676" s="138" t="n"/>
      <c r="H676" s="138" t="n">
        <v>359</v>
      </c>
      <c r="I676" s="138">
        <f>+I675+(G676-H676)</f>
        <v/>
      </c>
      <c r="J676" s="139" t="n">
        <v>40.27</v>
      </c>
      <c r="K676" s="140" t="n"/>
      <c r="L676" s="140">
        <f>+H676*J676</f>
        <v/>
      </c>
      <c r="M676" s="141">
        <f>SUM(M675+K676-L676)</f>
        <v/>
      </c>
    </row>
    <row r="677">
      <c r="A677" s="20" t="n">
        <v>45692</v>
      </c>
      <c r="B677" s="21" t="n">
        <v>10356</v>
      </c>
      <c r="C677" s="22" t="inlineStr">
        <is>
          <t>SELİM İNŞAAT</t>
        </is>
      </c>
      <c r="D677" s="21" t="inlineStr">
        <is>
          <t>34 DRU 690</t>
        </is>
      </c>
      <c r="E677" s="21" t="inlineStr">
        <is>
          <t>MUHAMMER ÇAMLI</t>
        </is>
      </c>
      <c r="F677" s="23" t="n">
        <v>390104</v>
      </c>
      <c r="G677" s="138" t="n"/>
      <c r="H677" s="138" t="n">
        <v>379</v>
      </c>
      <c r="I677" s="138">
        <f>+I676+(G677-H677)</f>
        <v/>
      </c>
      <c r="J677" s="139" t="n">
        <v>40.27</v>
      </c>
      <c r="K677" s="140" t="n"/>
      <c r="L677" s="140">
        <f>+H677*J677</f>
        <v/>
      </c>
      <c r="M677" s="141">
        <f>SUM(M676+K677-L677)</f>
        <v/>
      </c>
    </row>
    <row r="678">
      <c r="A678" s="20" t="n">
        <v>45692</v>
      </c>
      <c r="B678" s="21" t="n">
        <v>14909</v>
      </c>
      <c r="C678" s="22" t="inlineStr">
        <is>
          <t>SELİM İNŞAAT</t>
        </is>
      </c>
      <c r="D678" s="21" t="inlineStr">
        <is>
          <t>JENERATÖR</t>
        </is>
      </c>
      <c r="E678" s="21" t="inlineStr">
        <is>
          <t>OFİS</t>
        </is>
      </c>
      <c r="F678" s="23" t="n"/>
      <c r="G678" s="138" t="n"/>
      <c r="H678" s="138" t="n">
        <v>75</v>
      </c>
      <c r="I678" s="138">
        <f>+I677+(G678-H678)</f>
        <v/>
      </c>
      <c r="J678" s="139" t="n">
        <v>40.27</v>
      </c>
      <c r="K678" s="140" t="n"/>
      <c r="L678" s="140">
        <f>+H678*J678</f>
        <v/>
      </c>
      <c r="M678" s="141">
        <f>SUM(M677+K678-L678)</f>
        <v/>
      </c>
    </row>
    <row r="679">
      <c r="A679" s="20" t="n">
        <v>45692</v>
      </c>
      <c r="B679" s="21" t="n">
        <v>14910</v>
      </c>
      <c r="C679" s="22" t="inlineStr">
        <is>
          <t>SELİM İNŞAAT</t>
        </is>
      </c>
      <c r="D679" s="21" t="inlineStr">
        <is>
          <t>JENERATÖR</t>
        </is>
      </c>
      <c r="E679" s="21" t="inlineStr">
        <is>
          <t>ALKENT</t>
        </is>
      </c>
      <c r="F679" s="23" t="n"/>
      <c r="G679" s="138" t="n"/>
      <c r="H679" s="138" t="n">
        <v>24</v>
      </c>
      <c r="I679" s="138">
        <f>+I678+(G679-H679)</f>
        <v/>
      </c>
      <c r="J679" s="139" t="n">
        <v>40.27</v>
      </c>
      <c r="K679" s="140" t="n"/>
      <c r="L679" s="140">
        <f>+H679*J679</f>
        <v/>
      </c>
      <c r="M679" s="141">
        <f>SUM(M678+K679-L679)</f>
        <v/>
      </c>
    </row>
    <row r="680">
      <c r="A680" s="20" t="n">
        <v>45692</v>
      </c>
      <c r="B680" s="1" t="n">
        <v>14911</v>
      </c>
      <c r="C680" s="2" t="inlineStr">
        <is>
          <t>VARLIK</t>
        </is>
      </c>
      <c r="D680" s="1" t="inlineStr">
        <is>
          <t>SM 350</t>
        </is>
      </c>
      <c r="E680" s="1" t="inlineStr">
        <is>
          <t>BAYRAM SANCAK</t>
        </is>
      </c>
      <c r="F680" s="3" t="n"/>
      <c r="G680" s="143" t="n"/>
      <c r="H680" s="143" t="n">
        <v>154</v>
      </c>
      <c r="I680" s="143">
        <f>+I679+(G680-H680)</f>
        <v/>
      </c>
      <c r="J680" s="144" t="n">
        <v>40.27</v>
      </c>
      <c r="K680" s="145" t="n"/>
      <c r="L680" s="140">
        <f>+H680*J680</f>
        <v/>
      </c>
      <c r="M680" s="141">
        <f>SUM(M679+K680-L680)</f>
        <v/>
      </c>
    </row>
    <row r="681">
      <c r="A681" s="20" t="n">
        <v>45692</v>
      </c>
      <c r="B681" s="1" t="n">
        <v>14912</v>
      </c>
      <c r="C681" s="2" t="inlineStr">
        <is>
          <t>VARLIK</t>
        </is>
      </c>
      <c r="D681" s="1" t="inlineStr">
        <is>
          <t>SM 300</t>
        </is>
      </c>
      <c r="E681" s="1" t="inlineStr">
        <is>
          <t>TURGUT SANCAK</t>
        </is>
      </c>
      <c r="F681" s="3" t="n"/>
      <c r="G681" s="143" t="n"/>
      <c r="H681" s="143" t="n">
        <v>225</v>
      </c>
      <c r="I681" s="143">
        <f>+I680+(G681-H681)</f>
        <v/>
      </c>
      <c r="J681" s="144" t="n">
        <v>40.27</v>
      </c>
      <c r="K681" s="145" t="n"/>
      <c r="L681" s="140">
        <f>+H681*J681</f>
        <v/>
      </c>
      <c r="M681" s="141">
        <f>SUM(M680+K681-L681)</f>
        <v/>
      </c>
    </row>
    <row r="682">
      <c r="A682" s="20" t="n">
        <v>45692</v>
      </c>
      <c r="B682" s="1" t="n">
        <v>14913</v>
      </c>
      <c r="C682" s="2" t="inlineStr">
        <is>
          <t>VARLIK</t>
        </is>
      </c>
      <c r="D682" s="1" t="inlineStr">
        <is>
          <t>SM 370</t>
        </is>
      </c>
      <c r="E682" s="1" t="inlineStr">
        <is>
          <t>TEKİN ŞEYLAN</t>
        </is>
      </c>
      <c r="F682" s="3" t="n"/>
      <c r="G682" s="143" t="n"/>
      <c r="H682" s="143" t="n">
        <v>200</v>
      </c>
      <c r="I682" s="143">
        <f>+I681+(G682-H682)</f>
        <v/>
      </c>
      <c r="J682" s="144" t="n">
        <v>40.27</v>
      </c>
      <c r="K682" s="145" t="n"/>
      <c r="L682" s="140">
        <f>+H682*J682</f>
        <v/>
      </c>
      <c r="M682" s="141">
        <f>SUM(M681+K682-L682)</f>
        <v/>
      </c>
    </row>
    <row r="683">
      <c r="A683" s="20" t="n">
        <v>45692</v>
      </c>
      <c r="B683" s="1" t="n">
        <v>14914</v>
      </c>
      <c r="C683" s="2" t="inlineStr">
        <is>
          <t>HASALTUN</t>
        </is>
      </c>
      <c r="D683" s="1" t="inlineStr">
        <is>
          <t>SM 350</t>
        </is>
      </c>
      <c r="E683" s="1" t="inlineStr">
        <is>
          <t>TEVFİK ÖZTÜRK</t>
        </is>
      </c>
      <c r="F683" s="3" t="n"/>
      <c r="G683" s="143" t="n"/>
      <c r="H683" s="143" t="n">
        <v>402</v>
      </c>
      <c r="I683" s="143">
        <f>+I682+(G683-H683)</f>
        <v/>
      </c>
      <c r="J683" s="144" t="n">
        <v>40.27</v>
      </c>
      <c r="K683" s="145" t="n"/>
      <c r="L683" s="140">
        <f>+H683*J683</f>
        <v/>
      </c>
      <c r="M683" s="141">
        <f>SUM(M682+K683-L683)</f>
        <v/>
      </c>
    </row>
    <row r="684">
      <c r="A684" s="20" t="n">
        <v>45693</v>
      </c>
      <c r="B684" s="21" t="n">
        <v>10126</v>
      </c>
      <c r="C684" s="22" t="inlineStr">
        <is>
          <t>SELİM İNŞAAT</t>
        </is>
      </c>
      <c r="D684" s="21" t="inlineStr">
        <is>
          <t>34 DP 4161</t>
        </is>
      </c>
      <c r="E684" s="21" t="inlineStr">
        <is>
          <t>RIFAT KARATAY</t>
        </is>
      </c>
      <c r="F684" s="23" t="n">
        <v>279704</v>
      </c>
      <c r="G684" s="138" t="n"/>
      <c r="H684" s="138" t="n">
        <v>214</v>
      </c>
      <c r="I684" s="138">
        <f>+I683+(G684-H684)</f>
        <v/>
      </c>
      <c r="J684" s="139" t="n">
        <v>40.27</v>
      </c>
      <c r="K684" s="140" t="n"/>
      <c r="L684" s="140">
        <f>+H684*J684</f>
        <v/>
      </c>
      <c r="M684" s="141">
        <f>SUM(M683+K684-L684)</f>
        <v/>
      </c>
    </row>
    <row r="685">
      <c r="A685" s="20" t="n">
        <v>45693</v>
      </c>
      <c r="B685" s="21" t="n">
        <v>11988</v>
      </c>
      <c r="C685" s="22" t="inlineStr">
        <is>
          <t>SELİM İNŞAAT</t>
        </is>
      </c>
      <c r="D685" s="21" t="inlineStr">
        <is>
          <t>34 DKL 798</t>
        </is>
      </c>
      <c r="E685" s="21" t="inlineStr">
        <is>
          <t>VOLKAN YANAR</t>
        </is>
      </c>
      <c r="F685" s="23" t="n">
        <v>61094</v>
      </c>
      <c r="G685" s="138" t="n"/>
      <c r="H685" s="138" t="n">
        <v>97</v>
      </c>
      <c r="I685" s="138">
        <f>+I684+(G685-H685)</f>
        <v/>
      </c>
      <c r="J685" s="139" t="n">
        <v>40.27</v>
      </c>
      <c r="K685" s="140" t="n"/>
      <c r="L685" s="140">
        <f>+H685*J685</f>
        <v/>
      </c>
      <c r="M685" s="141">
        <f>SUM(M684+K685-L685)</f>
        <v/>
      </c>
    </row>
    <row r="686">
      <c r="A686" s="20" t="n">
        <v>45693</v>
      </c>
      <c r="B686" s="21" t="n">
        <v>11460</v>
      </c>
      <c r="C686" s="22" t="inlineStr">
        <is>
          <t>METİN ŞİRİN</t>
        </is>
      </c>
      <c r="D686" s="21" t="inlineStr">
        <is>
          <t>34 EGR 922</t>
        </is>
      </c>
      <c r="E686" s="21" t="inlineStr">
        <is>
          <t>GÜRAY KOYUNCU</t>
        </is>
      </c>
      <c r="F686" s="23" t="n">
        <v>433928</v>
      </c>
      <c r="G686" s="138" t="n"/>
      <c r="H686" s="138" t="n">
        <v>260</v>
      </c>
      <c r="I686" s="138">
        <f>+I685+(G686-H686)</f>
        <v/>
      </c>
      <c r="J686" s="139" t="n">
        <v>40.27</v>
      </c>
      <c r="K686" s="140" t="n"/>
      <c r="L686" s="140">
        <f>+H686*J686</f>
        <v/>
      </c>
      <c r="M686" s="141">
        <f>SUM(M685+K686-L686)</f>
        <v/>
      </c>
    </row>
    <row r="687">
      <c r="A687" s="20" t="n">
        <v>45693</v>
      </c>
      <c r="B687" s="21" t="n">
        <v>11693</v>
      </c>
      <c r="C687" s="22" t="inlineStr">
        <is>
          <t>METİN ERYİĞİT</t>
        </is>
      </c>
      <c r="D687" s="21" t="inlineStr">
        <is>
          <t>34 GBL 998</t>
        </is>
      </c>
      <c r="E687" s="21" t="inlineStr">
        <is>
          <t>ALİ KESKİN</t>
        </is>
      </c>
      <c r="F687" s="23" t="n">
        <v>240824</v>
      </c>
      <c r="G687" s="138" t="n"/>
      <c r="H687" s="138" t="n">
        <v>480</v>
      </c>
      <c r="I687" s="138">
        <f>+I686+(G687-H687)</f>
        <v/>
      </c>
      <c r="J687" s="139" t="n">
        <v>40.27</v>
      </c>
      <c r="K687" s="140" t="n"/>
      <c r="L687" s="140">
        <f>+H687*J687</f>
        <v/>
      </c>
      <c r="M687" s="141">
        <f>SUM(M686+K687-L687)</f>
        <v/>
      </c>
    </row>
    <row r="688">
      <c r="A688" s="20" t="n">
        <v>45693</v>
      </c>
      <c r="B688" s="21" t="n">
        <v>11424</v>
      </c>
      <c r="C688" s="22" t="inlineStr">
        <is>
          <t>METİN ERYİĞİT</t>
        </is>
      </c>
      <c r="D688" s="21" t="inlineStr">
        <is>
          <t>34 EGR 814</t>
        </is>
      </c>
      <c r="E688" s="21" t="inlineStr">
        <is>
          <t>FARUK ÖZEN</t>
        </is>
      </c>
      <c r="F688" s="23" t="n">
        <v>515651</v>
      </c>
      <c r="G688" s="138" t="n"/>
      <c r="H688" s="138" t="n">
        <v>495</v>
      </c>
      <c r="I688" s="138">
        <f>+I687+(G688-H688)</f>
        <v/>
      </c>
      <c r="J688" s="139" t="n">
        <v>40.27</v>
      </c>
      <c r="K688" s="140" t="n"/>
      <c r="L688" s="140">
        <f>+H688*J688</f>
        <v/>
      </c>
      <c r="M688" s="141">
        <f>SUM(M687+K688-L688)</f>
        <v/>
      </c>
    </row>
    <row r="689">
      <c r="A689" s="20" t="n">
        <v>45693</v>
      </c>
      <c r="B689" s="21" t="n">
        <v>10766</v>
      </c>
      <c r="C689" s="22" t="inlineStr">
        <is>
          <t>SELİM İNŞAAT</t>
        </is>
      </c>
      <c r="D689" s="21" t="inlineStr">
        <is>
          <t>34 FBR 705</t>
        </is>
      </c>
      <c r="E689" s="21" t="inlineStr">
        <is>
          <t>MESUT GÜRLER</t>
        </is>
      </c>
      <c r="F689" s="23" t="n">
        <v>288783</v>
      </c>
      <c r="G689" s="138" t="n"/>
      <c r="H689" s="138" t="n">
        <v>350</v>
      </c>
      <c r="I689" s="138">
        <f>+I688+(G689-H689)</f>
        <v/>
      </c>
      <c r="J689" s="139" t="n">
        <v>40.27</v>
      </c>
      <c r="K689" s="140" t="n"/>
      <c r="L689" s="140">
        <f>+H689*J689</f>
        <v/>
      </c>
      <c r="M689" s="141">
        <f>SUM(M688+K689-L689)</f>
        <v/>
      </c>
    </row>
    <row r="690">
      <c r="A690" s="20" t="n">
        <v>45693</v>
      </c>
      <c r="B690" s="21" t="n">
        <v>20900</v>
      </c>
      <c r="C690" s="22" t="inlineStr">
        <is>
          <t>SELİM İNŞAAT</t>
        </is>
      </c>
      <c r="D690" s="21" t="inlineStr">
        <is>
          <t>34 GVZ 310</t>
        </is>
      </c>
      <c r="E690" s="21" t="inlineStr">
        <is>
          <t>CELAL YÜZBAŞI</t>
        </is>
      </c>
      <c r="F690" s="23" t="n">
        <v>169798</v>
      </c>
      <c r="G690" s="138" t="n"/>
      <c r="H690" s="138" t="n">
        <v>405</v>
      </c>
      <c r="I690" s="138">
        <f>+I689+(G690-H690)</f>
        <v/>
      </c>
      <c r="J690" s="139" t="n">
        <v>40.27</v>
      </c>
      <c r="K690" s="140" t="n"/>
      <c r="L690" s="140">
        <f>+H690*J690</f>
        <v/>
      </c>
      <c r="M690" s="141">
        <f>SUM(M689+K690-L690)</f>
        <v/>
      </c>
    </row>
    <row r="691">
      <c r="A691" s="20" t="n">
        <v>45693</v>
      </c>
      <c r="B691" s="21" t="n">
        <v>11782</v>
      </c>
      <c r="C691" s="22" t="inlineStr">
        <is>
          <t>SELİM İNŞAAT</t>
        </is>
      </c>
      <c r="D691" s="21" t="inlineStr">
        <is>
          <t>34 EDC 086</t>
        </is>
      </c>
      <c r="E691" s="21" t="inlineStr">
        <is>
          <t>ÖMER AĞAYAR</t>
        </is>
      </c>
      <c r="F691" s="23" t="n">
        <v>304418</v>
      </c>
      <c r="G691" s="138" t="n"/>
      <c r="H691" s="138" t="n">
        <v>195</v>
      </c>
      <c r="I691" s="138">
        <f>+I690+(G691-H691)</f>
        <v/>
      </c>
      <c r="J691" s="139" t="n">
        <v>40.27</v>
      </c>
      <c r="K691" s="140" t="n"/>
      <c r="L691" s="140">
        <f>+H691*J691</f>
        <v/>
      </c>
      <c r="M691" s="141">
        <f>SUM(M690+K691-L691)</f>
        <v/>
      </c>
    </row>
    <row r="692">
      <c r="A692" s="20" t="n">
        <v>45693</v>
      </c>
      <c r="B692" s="21" t="n">
        <v>11271</v>
      </c>
      <c r="C692" s="22" t="inlineStr">
        <is>
          <t>SELİM İNŞAAT</t>
        </is>
      </c>
      <c r="D692" s="21" t="inlineStr">
        <is>
          <t>34 EDC 162</t>
        </is>
      </c>
      <c r="E692" s="21" t="inlineStr">
        <is>
          <t xml:space="preserve">YAKUP GÜNER </t>
        </is>
      </c>
      <c r="F692" s="23" t="n">
        <v>340426</v>
      </c>
      <c r="G692" s="138" t="n"/>
      <c r="H692" s="138" t="n">
        <v>360</v>
      </c>
      <c r="I692" s="138">
        <f>+I691+(G692-H692)</f>
        <v/>
      </c>
      <c r="J692" s="139" t="n">
        <v>40.27</v>
      </c>
      <c r="K692" s="140" t="n"/>
      <c r="L692" s="140">
        <f>+H692*J692</f>
        <v/>
      </c>
      <c r="M692" s="141">
        <f>SUM(M691+K692-L692)</f>
        <v/>
      </c>
    </row>
    <row r="693">
      <c r="A693" s="20" t="n">
        <v>45693</v>
      </c>
      <c r="B693" s="21" t="n">
        <v>21450</v>
      </c>
      <c r="C693" s="22" t="inlineStr">
        <is>
          <t>SELİM İNŞAAT</t>
        </is>
      </c>
      <c r="D693" s="21" t="inlineStr">
        <is>
          <t>34 GUS 848</t>
        </is>
      </c>
      <c r="E693" s="21" t="inlineStr">
        <is>
          <t>SERDAR BOZKURT</t>
        </is>
      </c>
      <c r="F693" s="23" t="n">
        <v>164918</v>
      </c>
      <c r="G693" s="138" t="n"/>
      <c r="H693" s="138" t="n">
        <v>347</v>
      </c>
      <c r="I693" s="138">
        <f>+I692+(G693-H693)</f>
        <v/>
      </c>
      <c r="J693" s="139" t="n">
        <v>40.27</v>
      </c>
      <c r="K693" s="140" t="n"/>
      <c r="L693" s="140">
        <f>+H693*J693</f>
        <v/>
      </c>
      <c r="M693" s="141">
        <f>SUM(M692+K693-L693)</f>
        <v/>
      </c>
    </row>
    <row r="694">
      <c r="A694" s="20" t="n">
        <v>45693</v>
      </c>
      <c r="B694" s="21" t="n">
        <v>21477</v>
      </c>
      <c r="C694" s="22" t="inlineStr">
        <is>
          <t>SELİM İNŞAAT</t>
        </is>
      </c>
      <c r="D694" s="21" t="inlineStr">
        <is>
          <t>34 GVZ 635</t>
        </is>
      </c>
      <c r="E694" s="21" t="inlineStr">
        <is>
          <t>ENGİN DEMİR</t>
        </is>
      </c>
      <c r="F694" s="23" t="n">
        <v>148233</v>
      </c>
      <c r="G694" s="138" t="n"/>
      <c r="H694" s="138" t="n">
        <v>352</v>
      </c>
      <c r="I694" s="138">
        <f>+I693+(G694-H694)</f>
        <v/>
      </c>
      <c r="J694" s="139" t="n">
        <v>40.27</v>
      </c>
      <c r="K694" s="140" t="n"/>
      <c r="L694" s="140">
        <f>+H694*J694</f>
        <v/>
      </c>
      <c r="M694" s="141">
        <f>SUM(M693+K694-L694)</f>
        <v/>
      </c>
    </row>
    <row r="695">
      <c r="A695" s="20" t="n">
        <v>45693</v>
      </c>
      <c r="B695" s="21" t="n">
        <v>10625</v>
      </c>
      <c r="C695" s="22" t="inlineStr">
        <is>
          <t>SELİM İNŞAAT</t>
        </is>
      </c>
      <c r="D695" s="21" t="inlineStr">
        <is>
          <t>34 EDB 754</t>
        </is>
      </c>
      <c r="E695" s="21" t="inlineStr">
        <is>
          <t>EMİN PARLAKKILIÇ</t>
        </is>
      </c>
      <c r="F695" s="23" t="n">
        <v>299784</v>
      </c>
      <c r="G695" s="138" t="n"/>
      <c r="H695" s="138" t="n">
        <v>143</v>
      </c>
      <c r="I695" s="138">
        <f>+I694+(G695-H695)</f>
        <v/>
      </c>
      <c r="J695" s="139" t="n">
        <v>40.27</v>
      </c>
      <c r="K695" s="140" t="n"/>
      <c r="L695" s="140">
        <f>+H695*J695</f>
        <v/>
      </c>
      <c r="M695" s="141">
        <f>SUM(M694+K695-L695)</f>
        <v/>
      </c>
    </row>
    <row r="696">
      <c r="A696" s="20" t="n">
        <v>45693</v>
      </c>
      <c r="B696" s="21" t="n">
        <v>10986</v>
      </c>
      <c r="C696" s="22" t="inlineStr">
        <is>
          <t>SELİM İNŞAAT</t>
        </is>
      </c>
      <c r="D696" s="21" t="inlineStr">
        <is>
          <t>34 GVZ 199</t>
        </is>
      </c>
      <c r="E696" s="21" t="inlineStr">
        <is>
          <t>VAHDET GÜRLER</t>
        </is>
      </c>
      <c r="F696" s="23" t="n">
        <v>155320</v>
      </c>
      <c r="G696" s="138" t="n"/>
      <c r="H696" s="138" t="n">
        <v>344</v>
      </c>
      <c r="I696" s="138">
        <f>+I695+(G696-H696)</f>
        <v/>
      </c>
      <c r="J696" s="139" t="n">
        <v>40.27</v>
      </c>
      <c r="K696" s="140" t="n"/>
      <c r="L696" s="140">
        <f>+H696*J696</f>
        <v/>
      </c>
      <c r="M696" s="141">
        <f>SUM(M695+K696-L696)</f>
        <v/>
      </c>
    </row>
    <row r="697">
      <c r="A697" s="20" t="n">
        <v>45693</v>
      </c>
      <c r="B697" s="21" t="n">
        <v>21100</v>
      </c>
      <c r="C697" s="22" t="inlineStr">
        <is>
          <t>SELİM İNŞAAT</t>
        </is>
      </c>
      <c r="D697" s="21" t="inlineStr">
        <is>
          <t>34 EDB 659</t>
        </is>
      </c>
      <c r="E697" s="21" t="inlineStr">
        <is>
          <t>MEHMET SAİT ANIK</t>
        </is>
      </c>
      <c r="F697" s="23" t="n">
        <v>315070</v>
      </c>
      <c r="G697" s="138" t="n"/>
      <c r="H697" s="138" t="n">
        <v>404</v>
      </c>
      <c r="I697" s="138">
        <f>+I696+(G697-H697)</f>
        <v/>
      </c>
      <c r="J697" s="139" t="n">
        <v>40.27</v>
      </c>
      <c r="K697" s="140" t="n"/>
      <c r="L697" s="140">
        <f>+H697*J697</f>
        <v/>
      </c>
      <c r="M697" s="141">
        <f>SUM(M696+K697-L697)</f>
        <v/>
      </c>
    </row>
    <row r="698">
      <c r="A698" s="20" t="n">
        <v>45693</v>
      </c>
      <c r="B698" s="21" t="n">
        <v>10060</v>
      </c>
      <c r="C698" s="22" t="inlineStr">
        <is>
          <t>SELİM İNŞAAT</t>
        </is>
      </c>
      <c r="D698" s="21" t="inlineStr">
        <is>
          <t>34 FBR 771</t>
        </is>
      </c>
      <c r="E698" s="21" t="inlineStr">
        <is>
          <t>HÜSEYİN AKÇİN</t>
        </is>
      </c>
      <c r="F698" s="23" t="n">
        <v>294176</v>
      </c>
      <c r="G698" s="138" t="n"/>
      <c r="H698" s="138" t="n">
        <v>418</v>
      </c>
      <c r="I698" s="138">
        <f>+I697+(G698-H698)</f>
        <v/>
      </c>
      <c r="J698" s="139" t="n">
        <v>40.27</v>
      </c>
      <c r="K698" s="140" t="n"/>
      <c r="L698" s="140">
        <f>+H698*J698</f>
        <v/>
      </c>
      <c r="M698" s="141">
        <f>SUM(M697+K698-L698)</f>
        <v/>
      </c>
    </row>
    <row r="699">
      <c r="A699" s="20" t="n">
        <v>45693</v>
      </c>
      <c r="B699" s="21" t="n">
        <v>10317</v>
      </c>
      <c r="C699" s="22" t="inlineStr">
        <is>
          <t>SELİM İNŞAAT</t>
        </is>
      </c>
      <c r="D699" s="21" t="inlineStr">
        <is>
          <t>34 EDB 829</t>
        </is>
      </c>
      <c r="E699" s="21" t="inlineStr">
        <is>
          <t>İSMET BAYRAM</t>
        </is>
      </c>
      <c r="F699" s="23" t="n">
        <v>293293</v>
      </c>
      <c r="G699" s="138" t="n"/>
      <c r="H699" s="138" t="n">
        <v>354</v>
      </c>
      <c r="I699" s="138">
        <f>+I698+(G699-H699)</f>
        <v/>
      </c>
      <c r="J699" s="139" t="n">
        <v>40.27</v>
      </c>
      <c r="K699" s="140" t="n"/>
      <c r="L699" s="140">
        <f>+H699*J699</f>
        <v/>
      </c>
      <c r="M699" s="141">
        <f>SUM(M698+K699-L699)</f>
        <v/>
      </c>
    </row>
    <row r="700">
      <c r="A700" s="20" t="n">
        <v>45693</v>
      </c>
      <c r="B700" s="1" t="n">
        <v>14915</v>
      </c>
      <c r="C700" s="2" t="inlineStr">
        <is>
          <t>VARLIK</t>
        </is>
      </c>
      <c r="D700" s="1" t="inlineStr">
        <is>
          <t>KAVAZAKİ</t>
        </is>
      </c>
      <c r="E700" s="1" t="inlineStr">
        <is>
          <t>UFUK SEVAL</t>
        </is>
      </c>
      <c r="F700" s="3" t="n"/>
      <c r="G700" s="143" t="n"/>
      <c r="H700" s="143" t="n">
        <v>208</v>
      </c>
      <c r="I700" s="143">
        <f>+I699+(G700-H700)</f>
        <v/>
      </c>
      <c r="J700" s="144" t="n">
        <v>40.27</v>
      </c>
      <c r="K700" s="145" t="n"/>
      <c r="L700" s="140">
        <f>+H700*J700</f>
        <v/>
      </c>
      <c r="M700" s="141">
        <f>SUM(M699+K700-L700)</f>
        <v/>
      </c>
    </row>
    <row r="701">
      <c r="A701" s="20" t="n">
        <v>45698</v>
      </c>
      <c r="B701" s="21" t="n">
        <v>10557</v>
      </c>
      <c r="C701" s="22" t="inlineStr">
        <is>
          <t>SELİM İNŞAAT</t>
        </is>
      </c>
      <c r="D701" s="21" t="inlineStr">
        <is>
          <t>34 GU 945</t>
        </is>
      </c>
      <c r="E701" s="21" t="inlineStr">
        <is>
          <t>ŞERİF KARTAL</t>
        </is>
      </c>
      <c r="F701" s="23" t="n">
        <v>438091</v>
      </c>
      <c r="G701" s="138" t="n"/>
      <c r="H701" s="138" t="n">
        <v>48</v>
      </c>
      <c r="I701" s="138">
        <f>+I700+(G701-H701)</f>
        <v/>
      </c>
      <c r="J701" s="139" t="n">
        <v>40.27</v>
      </c>
      <c r="K701" s="140" t="n"/>
      <c r="L701" s="140">
        <f>+H701*J701</f>
        <v/>
      </c>
      <c r="M701" s="141">
        <f>SUM(M700+K701-L701)</f>
        <v/>
      </c>
    </row>
    <row r="702">
      <c r="A702" s="20" t="n">
        <v>45699</v>
      </c>
      <c r="B702" s="21" t="n">
        <v>20186</v>
      </c>
      <c r="C702" s="22" t="inlineStr">
        <is>
          <t>SELİM İNŞAAT</t>
        </is>
      </c>
      <c r="D702" s="21" t="inlineStr">
        <is>
          <t>34 JGR 15</t>
        </is>
      </c>
      <c r="E702" s="21" t="inlineStr">
        <is>
          <t>ÖNER DÜNDAR</t>
        </is>
      </c>
      <c r="F702" s="23" t="n">
        <v>305514</v>
      </c>
      <c r="G702" s="138" t="n"/>
      <c r="H702" s="138" t="n">
        <v>65</v>
      </c>
      <c r="I702" s="138">
        <f>+I701+(G702-H702)</f>
        <v/>
      </c>
      <c r="J702" s="139" t="n">
        <v>40.27</v>
      </c>
      <c r="K702" s="140" t="n"/>
      <c r="L702" s="140">
        <f>+H702*J702</f>
        <v/>
      </c>
      <c r="M702" s="141">
        <f>SUM(M701+K702-L702)</f>
        <v/>
      </c>
    </row>
    <row r="703">
      <c r="A703" s="20" t="n">
        <v>45699</v>
      </c>
      <c r="B703" s="21" t="n">
        <v>16728</v>
      </c>
      <c r="C703" s="22" t="inlineStr">
        <is>
          <t>SELİM İNŞAAT</t>
        </is>
      </c>
      <c r="D703" s="21" t="inlineStr">
        <is>
          <t>34 JBA 25</t>
        </is>
      </c>
      <c r="E703" s="21" t="inlineStr">
        <is>
          <t>ABDURRAHMAN SERDAN</t>
        </is>
      </c>
      <c r="F703" s="23" t="n">
        <v>329301</v>
      </c>
      <c r="G703" s="138" t="n"/>
      <c r="H703" s="138" t="n">
        <v>67</v>
      </c>
      <c r="I703" s="138">
        <f>+I702+(G703-H703)</f>
        <v/>
      </c>
      <c r="J703" s="139" t="n">
        <v>40.27</v>
      </c>
      <c r="K703" s="140" t="n"/>
      <c r="L703" s="140">
        <f>+H703*J703</f>
        <v/>
      </c>
      <c r="M703" s="141">
        <f>SUM(M702+K703-L703)</f>
        <v/>
      </c>
    </row>
    <row r="704">
      <c r="A704" s="20" t="n">
        <v>45699</v>
      </c>
      <c r="B704" s="21" t="n">
        <v>21304</v>
      </c>
      <c r="C704" s="22" t="inlineStr">
        <is>
          <t>SELİM İNŞAAT</t>
        </is>
      </c>
      <c r="D704" s="21" t="inlineStr">
        <is>
          <t>34 FEM 934</t>
        </is>
      </c>
      <c r="E704" s="21" t="inlineStr">
        <is>
          <t>MUSTAFA ALBAYRAK</t>
        </is>
      </c>
      <c r="F704" s="23" t="n">
        <v>298798</v>
      </c>
      <c r="G704" s="138" t="n"/>
      <c r="H704" s="138" t="n">
        <v>35</v>
      </c>
      <c r="I704" s="138">
        <f>+I703+(G704-H704)</f>
        <v/>
      </c>
      <c r="J704" s="139" t="n">
        <v>40.27</v>
      </c>
      <c r="K704" s="140" t="n"/>
      <c r="L704" s="140">
        <f>+H704*J704</f>
        <v/>
      </c>
      <c r="M704" s="141">
        <f>SUM(M703+K704-L704)</f>
        <v/>
      </c>
    </row>
    <row r="705">
      <c r="A705" s="20" t="n">
        <v>45699</v>
      </c>
      <c r="B705" s="21" t="n">
        <v>20526</v>
      </c>
      <c r="C705" s="22" t="inlineStr">
        <is>
          <t>SELİM İNŞAAT</t>
        </is>
      </c>
      <c r="D705" s="21" t="inlineStr">
        <is>
          <t>34 VF 2620</t>
        </is>
      </c>
      <c r="E705" s="21" t="inlineStr">
        <is>
          <t>TURAN SEVİNDİK</t>
        </is>
      </c>
      <c r="F705" s="23" t="n">
        <v>180190</v>
      </c>
      <c r="G705" s="138" t="n"/>
      <c r="H705" s="138" t="n">
        <v>69</v>
      </c>
      <c r="I705" s="138">
        <f>+I704+(G705-H705)</f>
        <v/>
      </c>
      <c r="J705" s="139" t="n">
        <v>40.27</v>
      </c>
      <c r="K705" s="140" t="n"/>
      <c r="L705" s="140">
        <f>+H705*J705</f>
        <v/>
      </c>
      <c r="M705" s="141">
        <f>SUM(M704+K705-L705)</f>
        <v/>
      </c>
    </row>
    <row r="706">
      <c r="A706" s="20" t="n">
        <v>45699</v>
      </c>
      <c r="B706" s="21" t="n">
        <v>11695</v>
      </c>
      <c r="C706" s="22" t="inlineStr">
        <is>
          <t>METİN ERYİĞİT</t>
        </is>
      </c>
      <c r="D706" s="21" t="inlineStr">
        <is>
          <t>34 GBL 998</t>
        </is>
      </c>
      <c r="E706" s="21" t="inlineStr">
        <is>
          <t>ALİ KESKİN</t>
        </is>
      </c>
      <c r="F706" s="23" t="n">
        <v>241355</v>
      </c>
      <c r="G706" s="138" t="n"/>
      <c r="H706" s="138" t="n">
        <v>350</v>
      </c>
      <c r="I706" s="138">
        <f>+I705+(G706-H706)</f>
        <v/>
      </c>
      <c r="J706" s="139" t="n">
        <v>40.27</v>
      </c>
      <c r="K706" s="140" t="n"/>
      <c r="L706" s="140">
        <f>+H706*J706</f>
        <v/>
      </c>
      <c r="M706" s="141">
        <f>SUM(M705+K706-L706)</f>
        <v/>
      </c>
    </row>
    <row r="707">
      <c r="A707" s="20" t="n">
        <v>45699</v>
      </c>
      <c r="B707" s="21" t="n">
        <v>11425</v>
      </c>
      <c r="C707" s="22" t="inlineStr">
        <is>
          <t>METİN ERYİĞİT</t>
        </is>
      </c>
      <c r="D707" s="21" t="inlineStr">
        <is>
          <t>34 EGR 814</t>
        </is>
      </c>
      <c r="E707" s="21" t="inlineStr">
        <is>
          <t>FARUK ÖZEN</t>
        </is>
      </c>
      <c r="F707" s="23" t="n">
        <v>516166</v>
      </c>
      <c r="G707" s="138" t="n"/>
      <c r="H707" s="138" t="n">
        <v>256</v>
      </c>
      <c r="I707" s="138">
        <f>+I706+(G707-H707)</f>
        <v/>
      </c>
      <c r="J707" s="139" t="n">
        <v>40.27</v>
      </c>
      <c r="K707" s="140" t="n"/>
      <c r="L707" s="140">
        <f>+H707*J707</f>
        <v/>
      </c>
      <c r="M707" s="141">
        <f>SUM(M706+K707-L707)</f>
        <v/>
      </c>
    </row>
    <row r="708">
      <c r="A708" s="20" t="n">
        <v>45699</v>
      </c>
      <c r="B708" s="21" t="n">
        <v>11312</v>
      </c>
      <c r="C708" s="22" t="inlineStr">
        <is>
          <t>AZGÜN YAPI</t>
        </is>
      </c>
      <c r="D708" s="21" t="inlineStr">
        <is>
          <t>34 MKT 859</t>
        </is>
      </c>
      <c r="E708" s="21" t="inlineStr">
        <is>
          <t>YAHYA</t>
        </is>
      </c>
      <c r="F708" s="23" t="n">
        <v>13157</v>
      </c>
      <c r="G708" s="138" t="n"/>
      <c r="H708" s="138" t="n">
        <v>930</v>
      </c>
      <c r="I708" s="138">
        <f>+I707+(G708-H708)</f>
        <v/>
      </c>
      <c r="J708" s="139" t="n">
        <v>40.27</v>
      </c>
      <c r="K708" s="140" t="n"/>
      <c r="L708" s="140">
        <f>+H708*J708</f>
        <v/>
      </c>
      <c r="M708" s="141">
        <f>SUM(M707+K708-L708)</f>
        <v/>
      </c>
    </row>
    <row r="709">
      <c r="A709" s="20" t="n">
        <v>45699</v>
      </c>
      <c r="B709" s="21" t="n">
        <v>11361</v>
      </c>
      <c r="C709" s="22" t="inlineStr">
        <is>
          <t>AZGÜN YAPI</t>
        </is>
      </c>
      <c r="D709" s="21" t="inlineStr">
        <is>
          <t>34 MKT 593</t>
        </is>
      </c>
      <c r="E709" s="21" t="inlineStr">
        <is>
          <t>HASAN</t>
        </is>
      </c>
      <c r="F709" s="23" t="n">
        <v>11140</v>
      </c>
      <c r="G709" s="138" t="n"/>
      <c r="H709" s="138" t="n">
        <v>873</v>
      </c>
      <c r="I709" s="138">
        <f>+I708+(G709-H709)</f>
        <v/>
      </c>
      <c r="J709" s="139" t="n">
        <v>40.27</v>
      </c>
      <c r="K709" s="140" t="n"/>
      <c r="L709" s="140">
        <f>+H709*J709</f>
        <v/>
      </c>
      <c r="M709" s="141">
        <f>SUM(M708+K709-L709)</f>
        <v/>
      </c>
    </row>
    <row r="710">
      <c r="A710" s="20" t="n">
        <v>45699</v>
      </c>
      <c r="B710" s="21" t="n">
        <v>2048</v>
      </c>
      <c r="C710" s="22" t="inlineStr">
        <is>
          <t>AZGÜN YAPI</t>
        </is>
      </c>
      <c r="D710" s="21" t="inlineStr">
        <is>
          <t>34 DTV 263</t>
        </is>
      </c>
      <c r="E710" s="21" t="inlineStr">
        <is>
          <t>EDİP TORLAK</t>
        </is>
      </c>
      <c r="F710" s="23" t="n">
        <v>359586</v>
      </c>
      <c r="G710" s="138" t="n"/>
      <c r="H710" s="138" t="n">
        <v>354</v>
      </c>
      <c r="I710" s="138">
        <f>+I709+(G710-H710)</f>
        <v/>
      </c>
      <c r="J710" s="139" t="n">
        <v>40.27</v>
      </c>
      <c r="K710" s="140" t="n"/>
      <c r="L710" s="140">
        <f>+H710*J710</f>
        <v/>
      </c>
      <c r="M710" s="141">
        <f>SUM(M709+K710-L710)</f>
        <v/>
      </c>
    </row>
    <row r="711">
      <c r="A711" s="20" t="n">
        <v>45699</v>
      </c>
      <c r="B711" s="21" t="n">
        <v>10171</v>
      </c>
      <c r="C711" s="22" t="inlineStr">
        <is>
          <t>SELİM İNŞAAT</t>
        </is>
      </c>
      <c r="D711" s="21" t="inlineStr">
        <is>
          <t>34 EGR 736</t>
        </is>
      </c>
      <c r="E711" s="21" t="inlineStr">
        <is>
          <t>MUHAMMER ÇAMLI</t>
        </is>
      </c>
      <c r="F711" s="23" t="n">
        <v>362553</v>
      </c>
      <c r="G711" s="138" t="n"/>
      <c r="H711" s="138" t="n">
        <v>245</v>
      </c>
      <c r="I711" s="138">
        <f>+I710+(G711-H711)</f>
        <v/>
      </c>
      <c r="J711" s="139" t="n">
        <v>40.27</v>
      </c>
      <c r="K711" s="140" t="n"/>
      <c r="L711" s="140">
        <f>+H711*J711</f>
        <v/>
      </c>
      <c r="M711" s="141">
        <f>SUM(M710+K711-L711)</f>
        <v/>
      </c>
    </row>
    <row r="712">
      <c r="A712" s="20" t="n">
        <v>45702</v>
      </c>
      <c r="B712" s="21" t="n">
        <v>10558</v>
      </c>
      <c r="C712" s="22" t="inlineStr">
        <is>
          <t>SELİM İNŞAAT</t>
        </is>
      </c>
      <c r="D712" s="21" t="inlineStr">
        <is>
          <t>34 GU 945</t>
        </is>
      </c>
      <c r="E712" s="21" t="inlineStr">
        <is>
          <t>ŞERİF KARTAL</t>
        </is>
      </c>
      <c r="F712" s="23" t="n">
        <v>438406</v>
      </c>
      <c r="G712" s="138" t="n"/>
      <c r="H712" s="138" t="n">
        <v>60</v>
      </c>
      <c r="I712" s="138">
        <f>+I711+(G712-H712)</f>
        <v/>
      </c>
      <c r="J712" s="139" t="n">
        <v>40.27</v>
      </c>
      <c r="K712" s="140" t="n"/>
      <c r="L712" s="140">
        <f>+H712*J712</f>
        <v/>
      </c>
      <c r="M712" s="141">
        <f>SUM(M711+K712-L712)</f>
        <v/>
      </c>
    </row>
    <row r="713">
      <c r="A713" s="20" t="n">
        <v>45702</v>
      </c>
      <c r="B713" s="21" t="n">
        <v>10862</v>
      </c>
      <c r="C713" s="22" t="inlineStr">
        <is>
          <t>SELİM İNŞAAT</t>
        </is>
      </c>
      <c r="D713" s="21" t="inlineStr">
        <is>
          <t>34 AR 7743</t>
        </is>
      </c>
      <c r="E713" s="21" t="inlineStr">
        <is>
          <t>MEHMET SELİM</t>
        </is>
      </c>
      <c r="F713" s="23" t="n">
        <v>350807</v>
      </c>
      <c r="G713" s="138" t="n"/>
      <c r="H713" s="138" t="n">
        <v>58</v>
      </c>
      <c r="I713" s="138">
        <f>+I712+(G713-H713)</f>
        <v/>
      </c>
      <c r="J713" s="139" t="n">
        <v>40.27</v>
      </c>
      <c r="K713" s="140" t="n"/>
      <c r="L713" s="140">
        <f>+H713*J713</f>
        <v/>
      </c>
      <c r="M713" s="141">
        <f>SUM(M712+K713-L713)</f>
        <v/>
      </c>
    </row>
    <row r="714">
      <c r="A714" s="20" t="n">
        <v>45702</v>
      </c>
      <c r="B714" s="21" t="n">
        <v>21305</v>
      </c>
      <c r="C714" s="22" t="inlineStr">
        <is>
          <t>SELİM İNŞAAT</t>
        </is>
      </c>
      <c r="D714" s="21" t="inlineStr">
        <is>
          <t>34 FEM 934</t>
        </is>
      </c>
      <c r="E714" s="21" t="inlineStr">
        <is>
          <t>MUSTAFA ALBAYRAK</t>
        </is>
      </c>
      <c r="F714" s="23" t="n">
        <v>298998</v>
      </c>
      <c r="G714" s="138" t="n"/>
      <c r="H714" s="138" t="n">
        <v>71</v>
      </c>
      <c r="I714" s="138">
        <f>+I713+(G714-H714)</f>
        <v/>
      </c>
      <c r="J714" s="139" t="n">
        <v>40.27</v>
      </c>
      <c r="K714" s="140" t="n"/>
      <c r="L714" s="140">
        <f>+H714*J714</f>
        <v/>
      </c>
      <c r="M714" s="141">
        <f>SUM(M713+K714-L714)</f>
        <v/>
      </c>
    </row>
    <row r="715">
      <c r="A715" s="20" t="n">
        <v>45702</v>
      </c>
      <c r="B715" s="21" t="n">
        <v>20299</v>
      </c>
      <c r="C715" s="22" t="inlineStr">
        <is>
          <t>SELİM İNŞAAT</t>
        </is>
      </c>
      <c r="D715" s="21" t="inlineStr">
        <is>
          <t>34 DKL 866</t>
        </is>
      </c>
      <c r="E715" s="21" t="inlineStr">
        <is>
          <t>SELİM CAN ÖNVER</t>
        </is>
      </c>
      <c r="F715" s="23" t="n">
        <v>61118</v>
      </c>
      <c r="G715" s="138" t="n"/>
      <c r="H715" s="138" t="n">
        <v>120</v>
      </c>
      <c r="I715" s="138">
        <f>+I714+(G715-H715)</f>
        <v/>
      </c>
      <c r="J715" s="139" t="n">
        <v>40.27</v>
      </c>
      <c r="K715" s="140" t="n"/>
      <c r="L715" s="140">
        <f>+H715*J715</f>
        <v/>
      </c>
      <c r="M715" s="141">
        <f>SUM(M714+K715-L715)</f>
        <v/>
      </c>
    </row>
    <row r="716">
      <c r="A716" s="20" t="n">
        <v>45702</v>
      </c>
      <c r="B716" s="21" t="n">
        <v>10987</v>
      </c>
      <c r="C716" s="22" t="inlineStr">
        <is>
          <t>SELİM İNŞAAT</t>
        </is>
      </c>
      <c r="D716" s="21" t="inlineStr">
        <is>
          <t>34 GVZ 199</t>
        </is>
      </c>
      <c r="E716" s="21" t="inlineStr">
        <is>
          <t>VAHDET GÜRLER</t>
        </is>
      </c>
      <c r="F716" s="23" t="n">
        <v>155637</v>
      </c>
      <c r="G716" s="138" t="n"/>
      <c r="H716" s="138" t="n">
        <v>140</v>
      </c>
      <c r="I716" s="138">
        <f>+I715+(G716-H716)</f>
        <v/>
      </c>
      <c r="J716" s="139" t="n">
        <v>40.27</v>
      </c>
      <c r="K716" s="140" t="n"/>
      <c r="L716" s="140">
        <f>+H716*J716</f>
        <v/>
      </c>
      <c r="M716" s="141">
        <f>SUM(M715+K716-L716)</f>
        <v/>
      </c>
    </row>
    <row r="717">
      <c r="A717" s="20" t="n">
        <v>45702</v>
      </c>
      <c r="B717" s="21" t="n">
        <v>11911</v>
      </c>
      <c r="C717" s="22" t="inlineStr">
        <is>
          <t>SELİM İNŞAAT</t>
        </is>
      </c>
      <c r="D717" s="21" t="inlineStr">
        <is>
          <t>34 FBR 742</t>
        </is>
      </c>
      <c r="E717" s="21" t="inlineStr">
        <is>
          <t>MİKAİL BAYILMAZ</t>
        </is>
      </c>
      <c r="F717" s="23" t="n">
        <v>294017</v>
      </c>
      <c r="G717" s="138" t="n"/>
      <c r="H717" s="138" t="n">
        <v>305</v>
      </c>
      <c r="I717" s="138">
        <f>+I716+(G717-H717)</f>
        <v/>
      </c>
      <c r="J717" s="139" t="n">
        <v>40.27</v>
      </c>
      <c r="K717" s="140" t="n"/>
      <c r="L717" s="140">
        <f>+H717*J717</f>
        <v/>
      </c>
      <c r="M717" s="141">
        <f>SUM(M716+K717-L717)</f>
        <v/>
      </c>
    </row>
    <row r="718">
      <c r="A718" s="20" t="n">
        <v>45702</v>
      </c>
      <c r="B718" s="21" t="n">
        <v>11718</v>
      </c>
      <c r="C718" s="22" t="inlineStr">
        <is>
          <t>SELİM İNŞAAT</t>
        </is>
      </c>
      <c r="D718" s="21" t="inlineStr">
        <is>
          <t>34 EDB 559</t>
        </is>
      </c>
      <c r="E718" s="21" t="inlineStr">
        <is>
          <t>CEM MUHTAR</t>
        </is>
      </c>
      <c r="F718" s="23" t="n">
        <v>305086</v>
      </c>
      <c r="G718" s="138" t="n"/>
      <c r="H718" s="138" t="n">
        <v>241</v>
      </c>
      <c r="I718" s="138">
        <f>+I717+(G718-H718)</f>
        <v/>
      </c>
      <c r="J718" s="139" t="n">
        <v>40.27</v>
      </c>
      <c r="K718" s="140" t="n"/>
      <c r="L718" s="140">
        <f>+H718*J718</f>
        <v/>
      </c>
      <c r="M718" s="141">
        <f>SUM(M717+K718-L718)</f>
        <v/>
      </c>
    </row>
    <row r="719">
      <c r="A719" s="20" t="n">
        <v>45702</v>
      </c>
      <c r="B719" s="21" t="n">
        <v>10683</v>
      </c>
      <c r="C719" s="22" t="inlineStr">
        <is>
          <t>SELİM İNŞAAT</t>
        </is>
      </c>
      <c r="D719" s="21" t="inlineStr">
        <is>
          <t>34 DTV 599</t>
        </is>
      </c>
      <c r="E719" s="21" t="inlineStr">
        <is>
          <t>FERHAT GÜRLER</t>
        </is>
      </c>
      <c r="F719" s="23" t="n">
        <v>410375</v>
      </c>
      <c r="G719" s="138" t="n"/>
      <c r="H719" s="138" t="n">
        <v>328</v>
      </c>
      <c r="I719" s="138">
        <f>+I718+(G719-H719)</f>
        <v/>
      </c>
      <c r="J719" s="139" t="n">
        <v>40.27</v>
      </c>
      <c r="K719" s="140" t="n"/>
      <c r="L719" s="140">
        <f>+H719*J719</f>
        <v/>
      </c>
      <c r="M719" s="141">
        <f>SUM(M718+K719-L719)</f>
        <v/>
      </c>
    </row>
    <row r="720">
      <c r="A720" s="20" t="n">
        <v>45702</v>
      </c>
      <c r="B720" s="21" t="n">
        <v>10206</v>
      </c>
      <c r="C720" s="22" t="inlineStr">
        <is>
          <t>SELİM İNŞAAT</t>
        </is>
      </c>
      <c r="D720" s="21" t="inlineStr">
        <is>
          <t>34 DSN 621</t>
        </is>
      </c>
      <c r="E720" s="21" t="inlineStr">
        <is>
          <t>MUSTAFA KAYA</t>
        </is>
      </c>
      <c r="F720" s="23" t="n">
        <v>389753</v>
      </c>
      <c r="G720" s="138" t="n"/>
      <c r="H720" s="138" t="n">
        <v>276</v>
      </c>
      <c r="I720" s="138">
        <f>+I719+(G720-H720)</f>
        <v/>
      </c>
      <c r="J720" s="139" t="n">
        <v>40.27</v>
      </c>
      <c r="K720" s="140" t="n"/>
      <c r="L720" s="140">
        <f>+H720*J720</f>
        <v/>
      </c>
      <c r="M720" s="141">
        <f>SUM(M719+K720-L720)</f>
        <v/>
      </c>
    </row>
    <row r="721">
      <c r="A721" s="20" t="n">
        <v>45702</v>
      </c>
      <c r="B721" s="21" t="n">
        <v>11807</v>
      </c>
      <c r="C721" s="22" t="inlineStr">
        <is>
          <t>SELİM İNŞAAT</t>
        </is>
      </c>
      <c r="D721" s="21" t="inlineStr">
        <is>
          <t>34 FSG 229</t>
        </is>
      </c>
      <c r="E721" s="21" t="inlineStr">
        <is>
          <t>SİNAN TANRIVERDİ</t>
        </is>
      </c>
      <c r="F721" s="23" t="n">
        <v>232899</v>
      </c>
      <c r="G721" s="138" t="n"/>
      <c r="H721" s="138" t="n">
        <v>410</v>
      </c>
      <c r="I721" s="138">
        <f>+I720+(G721-H721)</f>
        <v/>
      </c>
      <c r="J721" s="139" t="n">
        <v>40.27</v>
      </c>
      <c r="K721" s="140" t="n"/>
      <c r="L721" s="140">
        <f>+H721*J721</f>
        <v/>
      </c>
      <c r="M721" s="141">
        <f>SUM(M720+K721-L721)</f>
        <v/>
      </c>
    </row>
    <row r="722">
      <c r="A722" s="20" t="n">
        <v>45702</v>
      </c>
      <c r="B722" s="21" t="n">
        <v>14916</v>
      </c>
      <c r="C722" s="22" t="inlineStr">
        <is>
          <t>EVKUR</t>
        </is>
      </c>
      <c r="D722" s="21" t="n"/>
      <c r="E722" s="21" t="inlineStr">
        <is>
          <t>FAHRİ KALFA</t>
        </is>
      </c>
      <c r="F722" s="23" t="n"/>
      <c r="G722" s="138" t="n"/>
      <c r="H722" s="138" t="n">
        <v>61</v>
      </c>
      <c r="I722" s="138">
        <f>+I721+(G722-H722)</f>
        <v/>
      </c>
      <c r="J722" s="139" t="n">
        <v>40.27</v>
      </c>
      <c r="K722" s="140" t="n"/>
      <c r="L722" s="140">
        <f>+H722*J722</f>
        <v/>
      </c>
      <c r="M722" s="141">
        <f>SUM(M721+K722-L722)</f>
        <v/>
      </c>
    </row>
    <row r="723">
      <c r="A723" s="20" t="n">
        <v>45702</v>
      </c>
      <c r="B723" s="1" t="n">
        <v>14920</v>
      </c>
      <c r="C723" s="2" t="inlineStr">
        <is>
          <t>GARAJ</t>
        </is>
      </c>
      <c r="D723" s="1" t="inlineStr">
        <is>
          <t>KAVAZAKİ</t>
        </is>
      </c>
      <c r="E723" s="1" t="inlineStr">
        <is>
          <t>UFUK SEVAL</t>
        </is>
      </c>
      <c r="F723" s="3" t="n"/>
      <c r="G723" s="143" t="n"/>
      <c r="H723" s="143" t="n">
        <v>56</v>
      </c>
      <c r="I723" s="143">
        <f>+I722+(G723-H723)</f>
        <v/>
      </c>
      <c r="J723" s="144" t="n">
        <v>40.27</v>
      </c>
      <c r="K723" s="145" t="n"/>
      <c r="L723" s="140">
        <f>+H723*J723</f>
        <v/>
      </c>
      <c r="M723" s="141">
        <f>SUM(M722+K723-L723)</f>
        <v/>
      </c>
    </row>
    <row r="724">
      <c r="A724" s="20" t="n">
        <v>45702</v>
      </c>
      <c r="B724" s="21" t="n">
        <v>16472</v>
      </c>
      <c r="C724" s="22" t="inlineStr">
        <is>
          <t>NAKLİYE</t>
        </is>
      </c>
      <c r="D724" s="21" t="inlineStr">
        <is>
          <t>NAKLİYE</t>
        </is>
      </c>
      <c r="E724" s="21" t="inlineStr">
        <is>
          <t>NAKLİYE</t>
        </is>
      </c>
      <c r="F724" s="23" t="inlineStr">
        <is>
          <t>280*65</t>
        </is>
      </c>
      <c r="G724" s="138" t="n"/>
      <c r="H724" s="138" t="n">
        <v>18200</v>
      </c>
      <c r="I724" s="138">
        <f>+I723+(G724-H724)</f>
        <v/>
      </c>
      <c r="J724" s="139" t="n"/>
      <c r="K724" s="140" t="n"/>
      <c r="L724" s="140">
        <f>+H724*J724</f>
        <v/>
      </c>
      <c r="M724" s="141">
        <f>SUM(M723+K724-L724)</f>
        <v/>
      </c>
    </row>
    <row r="725">
      <c r="A725" s="20" t="n">
        <v>45703</v>
      </c>
      <c r="B725" s="21" t="n">
        <v>32</v>
      </c>
      <c r="C725" s="22" t="inlineStr">
        <is>
          <t>MİRBE PETROL SANAYİ VE TİCARET ANONİM ŞİRKETİ</t>
        </is>
      </c>
      <c r="D725" s="21" t="n"/>
      <c r="E725" s="21" t="n"/>
      <c r="F725" s="23" t="n"/>
      <c r="G725" s="138" t="n">
        <v>24606</v>
      </c>
      <c r="H725" s="138" t="n"/>
      <c r="I725" s="138">
        <f>+I724+(G725-H725)</f>
        <v/>
      </c>
      <c r="J725" s="139">
        <f>+K725/24606</f>
        <v/>
      </c>
      <c r="K725" s="140" t="n">
        <v>1015115.6</v>
      </c>
      <c r="L725" s="140">
        <f>+H725*J725</f>
        <v/>
      </c>
      <c r="M725" s="141">
        <f>SUM(M724+K725-L725)</f>
        <v/>
      </c>
    </row>
    <row r="726">
      <c r="A726" s="20" t="n">
        <v>45703</v>
      </c>
      <c r="B726" s="21" t="n">
        <v>11009</v>
      </c>
      <c r="C726" s="22" t="inlineStr">
        <is>
          <t>SELİM İNŞAAT</t>
        </is>
      </c>
      <c r="D726" s="21" t="inlineStr">
        <is>
          <t>34 FCR 210</t>
        </is>
      </c>
      <c r="E726" s="21" t="inlineStr">
        <is>
          <t>EMİNCAN ÖZTÜRK</t>
        </is>
      </c>
      <c r="F726" s="23" t="n">
        <v>112982</v>
      </c>
      <c r="G726" s="138" t="n"/>
      <c r="H726" s="138" t="n">
        <v>158</v>
      </c>
      <c r="I726" s="138">
        <f>+I725+(G726-H726)</f>
        <v/>
      </c>
      <c r="J726" s="139" t="n">
        <v>41.255</v>
      </c>
      <c r="K726" s="140" t="n"/>
      <c r="L726" s="140">
        <f>+H726*J726</f>
        <v/>
      </c>
      <c r="M726" s="141">
        <f>SUM(M725+K726-L726)</f>
        <v/>
      </c>
    </row>
    <row r="727">
      <c r="A727" s="20" t="n">
        <v>45703</v>
      </c>
      <c r="B727" s="21" t="n">
        <v>11696</v>
      </c>
      <c r="C727" s="22" t="inlineStr">
        <is>
          <t>METİN ERYİĞİT</t>
        </is>
      </c>
      <c r="D727" s="21" t="inlineStr">
        <is>
          <t>34 GBL 998</t>
        </is>
      </c>
      <c r="E727" s="21" t="inlineStr">
        <is>
          <t>ALİ KESKİN</t>
        </is>
      </c>
      <c r="F727" s="23" t="n">
        <v>242554</v>
      </c>
      <c r="G727" s="138" t="n"/>
      <c r="H727" s="138" t="n">
        <v>334</v>
      </c>
      <c r="I727" s="138">
        <f>+I726+(G727-H727)</f>
        <v/>
      </c>
      <c r="J727" s="139" t="n">
        <v>41.255</v>
      </c>
      <c r="K727" s="140" t="n"/>
      <c r="L727" s="140">
        <f>+H727*J727</f>
        <v/>
      </c>
      <c r="M727" s="141">
        <f>SUM(M726+K727-L727)</f>
        <v/>
      </c>
    </row>
    <row r="728">
      <c r="A728" s="20" t="n">
        <v>45703</v>
      </c>
      <c r="B728" s="21" t="n">
        <v>11426</v>
      </c>
      <c r="C728" s="22" t="inlineStr">
        <is>
          <t>METİN ERYİĞİT</t>
        </is>
      </c>
      <c r="D728" s="21" t="inlineStr">
        <is>
          <t>34 EGR 814</t>
        </is>
      </c>
      <c r="E728" s="21" t="inlineStr">
        <is>
          <t>FARUK ÖZEN</t>
        </is>
      </c>
      <c r="F728" s="23" t="n">
        <v>517020</v>
      </c>
      <c r="G728" s="138" t="n"/>
      <c r="H728" s="138" t="n">
        <v>443</v>
      </c>
      <c r="I728" s="138">
        <f>+I727+(G728-H728)</f>
        <v/>
      </c>
      <c r="J728" s="139" t="n">
        <v>41.255</v>
      </c>
      <c r="K728" s="140" t="n"/>
      <c r="L728" s="140">
        <f>+H728*J728</f>
        <v/>
      </c>
      <c r="M728" s="141">
        <f>SUM(M727+K728-L728)</f>
        <v/>
      </c>
    </row>
    <row r="729">
      <c r="A729" s="20" t="n">
        <v>45703</v>
      </c>
      <c r="B729" s="21" t="n">
        <v>10022</v>
      </c>
      <c r="C729" s="22" t="inlineStr">
        <is>
          <t>METİN ERYİĞİT</t>
        </is>
      </c>
      <c r="D729" s="21" t="inlineStr">
        <is>
          <t>34 EGS 013</t>
        </is>
      </c>
      <c r="E729" s="21" t="inlineStr">
        <is>
          <t>UĞUR DUMAN</t>
        </is>
      </c>
      <c r="F729" s="23" t="n">
        <v>463942</v>
      </c>
      <c r="G729" s="138" t="n"/>
      <c r="H729" s="138" t="n">
        <v>392</v>
      </c>
      <c r="I729" s="138">
        <f>+I728+(G729-H729)</f>
        <v/>
      </c>
      <c r="J729" s="139" t="n">
        <v>41.255</v>
      </c>
      <c r="K729" s="140" t="n"/>
      <c r="L729" s="140">
        <f>+H729*J729</f>
        <v/>
      </c>
      <c r="M729" s="141">
        <f>SUM(M728+K729-L729)</f>
        <v/>
      </c>
    </row>
    <row r="730">
      <c r="A730" s="20" t="n">
        <v>45703</v>
      </c>
      <c r="B730" s="21" t="n">
        <v>11313</v>
      </c>
      <c r="C730" s="22" t="inlineStr">
        <is>
          <t>AZGÜN YAPI</t>
        </is>
      </c>
      <c r="D730" s="21" t="inlineStr">
        <is>
          <t>34 MKT 859</t>
        </is>
      </c>
      <c r="E730" s="21" t="inlineStr">
        <is>
          <t>YAHYA</t>
        </is>
      </c>
      <c r="F730" s="23" t="n">
        <v>14871</v>
      </c>
      <c r="G730" s="138" t="n"/>
      <c r="H730" s="138" t="n">
        <v>682</v>
      </c>
      <c r="I730" s="138">
        <f>+I729+(G730-H730)</f>
        <v/>
      </c>
      <c r="J730" s="139" t="n">
        <v>41.255</v>
      </c>
      <c r="K730" s="140" t="n"/>
      <c r="L730" s="140">
        <f>+H730*J730</f>
        <v/>
      </c>
      <c r="M730" s="141">
        <f>SUM(M729+K730-L730)</f>
        <v/>
      </c>
    </row>
    <row r="731">
      <c r="A731" s="20" t="n">
        <v>45703</v>
      </c>
      <c r="B731" s="21" t="n">
        <v>11362</v>
      </c>
      <c r="C731" s="22" t="inlineStr">
        <is>
          <t>AZGÜN YAPI</t>
        </is>
      </c>
      <c r="D731" s="21" t="inlineStr">
        <is>
          <t>34 MKT 593</t>
        </is>
      </c>
      <c r="E731" s="21" t="inlineStr">
        <is>
          <t>HASAN</t>
        </is>
      </c>
      <c r="F731" s="23" t="n">
        <v>12504</v>
      </c>
      <c r="G731" s="138" t="n"/>
      <c r="H731" s="138" t="n">
        <v>615</v>
      </c>
      <c r="I731" s="138">
        <f>+I730+(G731-H731)</f>
        <v/>
      </c>
      <c r="J731" s="139" t="n">
        <v>41.255</v>
      </c>
      <c r="K731" s="140" t="n"/>
      <c r="L731" s="140">
        <f>+H731*J731</f>
        <v/>
      </c>
      <c r="M731" s="141">
        <f>SUM(M730+K731-L731)</f>
        <v/>
      </c>
    </row>
    <row r="732">
      <c r="A732" s="20" t="n">
        <v>45703</v>
      </c>
      <c r="B732" s="21" t="n">
        <v>2049</v>
      </c>
      <c r="C732" s="22" t="inlineStr">
        <is>
          <t>AZGÜN YAPI</t>
        </is>
      </c>
      <c r="D732" s="21" t="inlineStr">
        <is>
          <t>34 DTV 263</t>
        </is>
      </c>
      <c r="E732" s="21" t="inlineStr">
        <is>
          <t>EDİP TORLAK</t>
        </is>
      </c>
      <c r="F732" s="23" t="n">
        <v>360466</v>
      </c>
      <c r="G732" s="138" t="n"/>
      <c r="H732" s="138" t="n">
        <v>431</v>
      </c>
      <c r="I732" s="138">
        <f>+I731+(G732-H732)</f>
        <v/>
      </c>
      <c r="J732" s="139" t="n">
        <v>41.255</v>
      </c>
      <c r="K732" s="140" t="n"/>
      <c r="L732" s="140">
        <f>+H732*J732</f>
        <v/>
      </c>
      <c r="M732" s="141">
        <f>SUM(M731+K732-L732)</f>
        <v/>
      </c>
    </row>
    <row r="733">
      <c r="A733" s="20" t="n">
        <v>45703</v>
      </c>
      <c r="B733" s="21" t="n">
        <v>9929</v>
      </c>
      <c r="C733" s="22" t="inlineStr">
        <is>
          <t>SELİM İNŞAAT</t>
        </is>
      </c>
      <c r="D733" s="1" t="inlineStr">
        <is>
          <t>34 AZ 2191 VİNÇ</t>
        </is>
      </c>
      <c r="E733" s="21" t="inlineStr">
        <is>
          <t>NUMAN KABİL</t>
        </is>
      </c>
      <c r="F733" s="23" t="n"/>
      <c r="G733" s="138" t="n"/>
      <c r="H733" s="138" t="n">
        <v>272</v>
      </c>
      <c r="I733" s="138">
        <f>+I732+(G733-H733)</f>
        <v/>
      </c>
      <c r="J733" s="139" t="n">
        <v>41.255</v>
      </c>
      <c r="K733" s="140" t="n"/>
      <c r="L733" s="140">
        <f>+H733*J733</f>
        <v/>
      </c>
      <c r="M733" s="141">
        <f>SUM(M732+K733-L733)</f>
        <v/>
      </c>
    </row>
    <row r="734">
      <c r="A734" s="20" t="n">
        <v>45703</v>
      </c>
      <c r="B734" s="21" t="n">
        <v>14917</v>
      </c>
      <c r="C734" s="22" t="inlineStr">
        <is>
          <t>SELİM İNŞAAT</t>
        </is>
      </c>
      <c r="D734" s="1" t="inlineStr">
        <is>
          <t>MNT 2260</t>
        </is>
      </c>
      <c r="E734" s="1" t="inlineStr">
        <is>
          <t>MUHAMMED KANTAR</t>
        </is>
      </c>
      <c r="F734" s="23" t="n"/>
      <c r="G734" s="138" t="n"/>
      <c r="H734" s="138" t="n">
        <v>212</v>
      </c>
      <c r="I734" s="138">
        <f>+I733+(G734-H734)</f>
        <v/>
      </c>
      <c r="J734" s="139" t="n">
        <v>41.255</v>
      </c>
      <c r="K734" s="140" t="n"/>
      <c r="L734" s="140">
        <f>+H734*J734</f>
        <v/>
      </c>
      <c r="M734" s="141">
        <f>SUM(M733+K734-L734)</f>
        <v/>
      </c>
    </row>
    <row r="735">
      <c r="A735" s="20" t="n">
        <v>45703</v>
      </c>
      <c r="B735" s="21" t="n">
        <v>14918</v>
      </c>
      <c r="C735" s="22" t="inlineStr">
        <is>
          <t>ENES SELİM</t>
        </is>
      </c>
      <c r="D735" s="21" t="inlineStr">
        <is>
          <t>TB 926 VİNÇ</t>
        </is>
      </c>
      <c r="E735" s="21" t="inlineStr">
        <is>
          <t>ENES SELİM</t>
        </is>
      </c>
      <c r="F735" s="23" t="n"/>
      <c r="G735" s="138" t="n"/>
      <c r="H735" s="138" t="n">
        <v>200</v>
      </c>
      <c r="I735" s="138">
        <f>+I734+(G735-H735)</f>
        <v/>
      </c>
      <c r="J735" s="139" t="n">
        <v>41.255</v>
      </c>
      <c r="K735" s="140" t="n"/>
      <c r="L735" s="140">
        <f>+H735*J735</f>
        <v/>
      </c>
      <c r="M735" s="141">
        <f>SUM(M734+K735-L735)</f>
        <v/>
      </c>
    </row>
    <row r="736">
      <c r="A736" s="20" t="n">
        <v>45703</v>
      </c>
      <c r="B736" s="1" t="n">
        <v>14919</v>
      </c>
      <c r="C736" s="2" t="inlineStr">
        <is>
          <t>EVKUR</t>
        </is>
      </c>
      <c r="D736" s="1" t="inlineStr">
        <is>
          <t>SM 370</t>
        </is>
      </c>
      <c r="E736" s="1" t="inlineStr">
        <is>
          <t>TURGUT SANCAK</t>
        </is>
      </c>
      <c r="F736" s="3" t="n"/>
      <c r="G736" s="143" t="n"/>
      <c r="H736" s="143" t="n">
        <v>480</v>
      </c>
      <c r="I736" s="143">
        <f>+I735+(G736-H736)</f>
        <v/>
      </c>
      <c r="J736" s="144" t="n">
        <v>41.255</v>
      </c>
      <c r="K736" s="145" t="n"/>
      <c r="L736" s="140">
        <f>+H736*J736</f>
        <v/>
      </c>
      <c r="M736" s="141">
        <f>SUM(M735+K736-L736)</f>
        <v/>
      </c>
    </row>
    <row r="737">
      <c r="A737" s="20" t="n">
        <v>45703</v>
      </c>
      <c r="B737" s="1" t="n">
        <v>14921</v>
      </c>
      <c r="C737" s="2" t="inlineStr">
        <is>
          <t>HASALTUN</t>
        </is>
      </c>
      <c r="D737" s="1" t="inlineStr">
        <is>
          <t>SM 350</t>
        </is>
      </c>
      <c r="E737" s="1" t="inlineStr">
        <is>
          <t>TEVFİK ÖZTÜRK</t>
        </is>
      </c>
      <c r="F737" s="3" t="n"/>
      <c r="G737" s="143" t="n"/>
      <c r="H737" s="143" t="n">
        <v>412</v>
      </c>
      <c r="I737" s="143">
        <f>+I736+(G737-H737)</f>
        <v/>
      </c>
      <c r="J737" s="144" t="n">
        <v>41.255</v>
      </c>
      <c r="K737" s="145" t="n"/>
      <c r="L737" s="140">
        <f>+H737*J737</f>
        <v/>
      </c>
      <c r="M737" s="141">
        <f>SUM(M736+K737-L737)</f>
        <v/>
      </c>
    </row>
    <row r="738">
      <c r="A738" s="20" t="n">
        <v>45705</v>
      </c>
      <c r="B738" s="21" t="n">
        <v>21306</v>
      </c>
      <c r="C738" s="22" t="inlineStr">
        <is>
          <t>SELİM İNŞAAT</t>
        </is>
      </c>
      <c r="D738" s="21" t="inlineStr">
        <is>
          <t>34 FEM 934</t>
        </is>
      </c>
      <c r="E738" s="21" t="inlineStr">
        <is>
          <t>MUSTAFA ALBAYRAK</t>
        </is>
      </c>
      <c r="F738" s="23" t="n">
        <v>299452</v>
      </c>
      <c r="G738" s="138" t="n"/>
      <c r="H738" s="138" t="n">
        <v>70</v>
      </c>
      <c r="I738" s="138">
        <f>+I737+(G738-H738)</f>
        <v/>
      </c>
      <c r="J738" s="139" t="n">
        <v>41.255</v>
      </c>
      <c r="K738" s="140" t="n"/>
      <c r="L738" s="140">
        <f>+H738*J738</f>
        <v/>
      </c>
      <c r="M738" s="141">
        <f>SUM(M737+K738-L738)</f>
        <v/>
      </c>
    </row>
    <row r="739">
      <c r="A739" s="20" t="n">
        <v>45705</v>
      </c>
      <c r="B739" s="21" t="n">
        <v>14922</v>
      </c>
      <c r="C739" s="22" t="inlineStr">
        <is>
          <t>EVKUR</t>
        </is>
      </c>
      <c r="D739" s="21" t="n"/>
      <c r="E739" s="21" t="inlineStr">
        <is>
          <t>FAHRİ KALFA</t>
        </is>
      </c>
      <c r="F739" s="23" t="n"/>
      <c r="G739" s="138" t="n"/>
      <c r="H739" s="138" t="n">
        <v>80</v>
      </c>
      <c r="I739" s="138">
        <f>+I738+(G739-H739)</f>
        <v/>
      </c>
      <c r="J739" s="139" t="n">
        <v>41.255</v>
      </c>
      <c r="K739" s="140" t="n"/>
      <c r="L739" s="140">
        <f>+H739*J739</f>
        <v/>
      </c>
      <c r="M739" s="141">
        <f>SUM(M738+K739-L739)</f>
        <v/>
      </c>
    </row>
    <row r="740">
      <c r="A740" s="20" t="n">
        <v>45706</v>
      </c>
      <c r="B740" s="21" t="n">
        <v>10559</v>
      </c>
      <c r="C740" s="22" t="inlineStr">
        <is>
          <t>SELİM İNŞAAT</t>
        </is>
      </c>
      <c r="D740" s="21" t="inlineStr">
        <is>
          <t>34 GU 945</t>
        </is>
      </c>
      <c r="E740" s="21" t="inlineStr">
        <is>
          <t>SELİM CAN ÖNVER</t>
        </is>
      </c>
      <c r="F740" s="23" t="n">
        <v>438866</v>
      </c>
      <c r="G740" s="138" t="n"/>
      <c r="H740" s="138" t="n">
        <v>71</v>
      </c>
      <c r="I740" s="138">
        <f>+I739+(G740-H740)</f>
        <v/>
      </c>
      <c r="J740" s="139" t="n">
        <v>41.255</v>
      </c>
      <c r="K740" s="140" t="n"/>
      <c r="L740" s="140">
        <f>+H740*J740</f>
        <v/>
      </c>
      <c r="M740" s="141">
        <f>SUM(M739+K740-L740)</f>
        <v/>
      </c>
    </row>
    <row r="741">
      <c r="A741" s="20" t="n">
        <v>45713</v>
      </c>
      <c r="B741" s="21" t="n">
        <v>9930</v>
      </c>
      <c r="C741" s="22" t="inlineStr">
        <is>
          <t>MAHMUT VİNÇ</t>
        </is>
      </c>
      <c r="D741" s="21" t="inlineStr">
        <is>
          <t>34 MEP 460</t>
        </is>
      </c>
      <c r="E741" s="21" t="inlineStr">
        <is>
          <t>YASİN DEMİR</t>
        </is>
      </c>
      <c r="F741" s="23" t="n"/>
      <c r="G741" s="138" t="n"/>
      <c r="H741" s="138" t="n">
        <v>133</v>
      </c>
      <c r="I741" s="138">
        <f>+I740+(G741-H741)</f>
        <v/>
      </c>
      <c r="J741" s="139" t="n">
        <v>41.255</v>
      </c>
      <c r="K741" s="140" t="n"/>
      <c r="L741" s="140">
        <f>+H741*J741</f>
        <v/>
      </c>
      <c r="M741" s="141">
        <f>SUM(M740+K741-L741)</f>
        <v/>
      </c>
    </row>
    <row r="742">
      <c r="A742" s="20" t="n">
        <v>45714</v>
      </c>
      <c r="B742" s="21" t="n">
        <v>10425</v>
      </c>
      <c r="C742" s="22" t="inlineStr">
        <is>
          <t>SELİM İNŞAAT</t>
        </is>
      </c>
      <c r="D742" s="21" t="inlineStr">
        <is>
          <t>34 FBR 781</t>
        </is>
      </c>
      <c r="E742" s="21" t="inlineStr">
        <is>
          <t>MEVLÜT POLAT</t>
        </is>
      </c>
      <c r="F742" s="23" t="n">
        <v>278374</v>
      </c>
      <c r="G742" s="138" t="n"/>
      <c r="H742" s="138" t="n">
        <v>405</v>
      </c>
      <c r="I742" s="138">
        <f>+I741+(G742-H742)</f>
        <v/>
      </c>
      <c r="J742" s="139" t="n">
        <v>41.255</v>
      </c>
      <c r="K742" s="140" t="n"/>
      <c r="L742" s="140">
        <f>+H742*J742</f>
        <v/>
      </c>
      <c r="M742" s="141">
        <f>SUM(M741+K742-L742)</f>
        <v/>
      </c>
    </row>
    <row r="743">
      <c r="A743" s="20" t="n">
        <v>45714</v>
      </c>
      <c r="B743" s="21" t="n">
        <v>10061</v>
      </c>
      <c r="C743" s="22" t="inlineStr">
        <is>
          <t>SELİM İNŞAAT</t>
        </is>
      </c>
      <c r="D743" s="21" t="inlineStr">
        <is>
          <t>34 FBR 771</t>
        </is>
      </c>
      <c r="E743" s="21" t="inlineStr">
        <is>
          <t>HÜSEYİN AKÇİN</t>
        </is>
      </c>
      <c r="F743" s="23" t="n">
        <v>294839</v>
      </c>
      <c r="G743" s="138" t="n"/>
      <c r="H743" s="138" t="n">
        <v>292</v>
      </c>
      <c r="I743" s="138">
        <f>+I742+(G743-H743)</f>
        <v/>
      </c>
      <c r="J743" s="139" t="n">
        <v>41.255</v>
      </c>
      <c r="K743" s="140" t="n"/>
      <c r="L743" s="140">
        <f>+H743*J743</f>
        <v/>
      </c>
      <c r="M743" s="141">
        <f>SUM(M742+K743-L743)</f>
        <v/>
      </c>
    </row>
    <row r="744">
      <c r="A744" s="20" t="n">
        <v>45714</v>
      </c>
      <c r="B744" s="21" t="n">
        <v>14051</v>
      </c>
      <c r="C744" s="22" t="inlineStr">
        <is>
          <t>SELİM İNŞAAT</t>
        </is>
      </c>
      <c r="D744" s="21" t="inlineStr">
        <is>
          <t>34 EDB 659</t>
        </is>
      </c>
      <c r="E744" s="21" t="inlineStr">
        <is>
          <t>MEHMET SAİT ANIK</t>
        </is>
      </c>
      <c r="F744" s="23" t="n">
        <v>315707</v>
      </c>
      <c r="G744" s="138" t="n"/>
      <c r="H744" s="138" t="n">
        <v>280</v>
      </c>
      <c r="I744" s="138">
        <f>+I743+(G744-H744)</f>
        <v/>
      </c>
      <c r="J744" s="139" t="n">
        <v>41.255</v>
      </c>
      <c r="K744" s="140" t="n"/>
      <c r="L744" s="140">
        <f>+H744*J744</f>
        <v/>
      </c>
      <c r="M744" s="141">
        <f>SUM(M743+K744-L744)</f>
        <v/>
      </c>
    </row>
    <row r="745">
      <c r="A745" s="20" t="n">
        <v>45714</v>
      </c>
      <c r="B745" s="21" t="n">
        <v>14101</v>
      </c>
      <c r="C745" s="22" t="inlineStr">
        <is>
          <t>SELİM İNŞAAT</t>
        </is>
      </c>
      <c r="D745" s="21" t="inlineStr">
        <is>
          <t>34 DSN 536</t>
        </is>
      </c>
      <c r="E745" s="21" t="inlineStr">
        <is>
          <t>DURSUN ALİ GÜREK</t>
        </is>
      </c>
      <c r="F745" s="23" t="n">
        <v>381284</v>
      </c>
      <c r="G745" s="138" t="n"/>
      <c r="H745" s="138" t="n">
        <v>316</v>
      </c>
      <c r="I745" s="138">
        <f>+I744+(G745-H745)</f>
        <v/>
      </c>
      <c r="J745" s="139" t="n">
        <v>41.255</v>
      </c>
      <c r="K745" s="140" t="n"/>
      <c r="L745" s="140">
        <f>+H745*J745</f>
        <v/>
      </c>
      <c r="M745" s="141">
        <f>SUM(M744+K745-L745)</f>
        <v/>
      </c>
    </row>
    <row r="746">
      <c r="A746" s="20" t="n">
        <v>45714</v>
      </c>
      <c r="B746" s="21" t="n">
        <v>20999</v>
      </c>
      <c r="C746" s="22" t="inlineStr">
        <is>
          <t>SELİM İNŞAAT</t>
        </is>
      </c>
      <c r="D746" s="21" t="inlineStr">
        <is>
          <t>34 GUS 938</t>
        </is>
      </c>
      <c r="E746" s="21" t="inlineStr">
        <is>
          <t>MEHMET KAYA</t>
        </is>
      </c>
      <c r="F746" s="23" t="n">
        <v>160985</v>
      </c>
      <c r="G746" s="138" t="n"/>
      <c r="H746" s="138" t="n">
        <v>436</v>
      </c>
      <c r="I746" s="138">
        <f>+I745+(G746-H746)</f>
        <v/>
      </c>
      <c r="J746" s="139" t="n">
        <v>41.255</v>
      </c>
      <c r="K746" s="140" t="n"/>
      <c r="L746" s="140">
        <f>+H746*J746</f>
        <v/>
      </c>
      <c r="M746" s="141">
        <f>SUM(M745+K746-L746)</f>
        <v/>
      </c>
    </row>
    <row r="747">
      <c r="A747" s="20" t="n">
        <v>45714</v>
      </c>
      <c r="B747" s="21" t="n">
        <v>10513</v>
      </c>
      <c r="C747" s="22" t="inlineStr">
        <is>
          <t>SELİM İNŞAAT</t>
        </is>
      </c>
      <c r="D747" s="21" t="inlineStr">
        <is>
          <t>34 EDB 922</t>
        </is>
      </c>
      <c r="E747" s="21" t="inlineStr">
        <is>
          <t>AHMET TOPÇU</t>
        </is>
      </c>
      <c r="F747" s="23" t="n">
        <v>333578</v>
      </c>
      <c r="G747" s="138" t="n"/>
      <c r="H747" s="138" t="n">
        <v>332</v>
      </c>
      <c r="I747" s="138">
        <f>+I746+(G747-H747)</f>
        <v/>
      </c>
      <c r="J747" s="139" t="n">
        <v>41.255</v>
      </c>
      <c r="K747" s="140" t="n"/>
      <c r="L747" s="140">
        <f>+H747*J747</f>
        <v/>
      </c>
      <c r="M747" s="141">
        <f>SUM(M746+K747-L747)</f>
        <v/>
      </c>
    </row>
    <row r="748">
      <c r="A748" s="20" t="n">
        <v>45714</v>
      </c>
      <c r="B748" s="21" t="n">
        <v>21539</v>
      </c>
      <c r="C748" s="22" t="inlineStr">
        <is>
          <t>SELİM İNŞAAT</t>
        </is>
      </c>
      <c r="D748" s="21" t="inlineStr">
        <is>
          <t>34 GVZ 745</t>
        </is>
      </c>
      <c r="E748" s="21" t="inlineStr">
        <is>
          <t>MUHAMMED YİĞİT</t>
        </is>
      </c>
      <c r="F748" s="23" t="n">
        <v>162675</v>
      </c>
      <c r="G748" s="138" t="n"/>
      <c r="H748" s="138" t="n">
        <v>336</v>
      </c>
      <c r="I748" s="138">
        <f>+I747+(G748-H748)</f>
        <v/>
      </c>
      <c r="J748" s="139" t="n">
        <v>41.255</v>
      </c>
      <c r="K748" s="140" t="n"/>
      <c r="L748" s="140">
        <f>+H748*J748</f>
        <v/>
      </c>
      <c r="M748" s="141">
        <f>SUM(M747+K748-L748)</f>
        <v/>
      </c>
    </row>
    <row r="749">
      <c r="A749" s="20" t="n">
        <v>45714</v>
      </c>
      <c r="B749" s="21" t="n">
        <v>21998</v>
      </c>
      <c r="C749" s="22" t="inlineStr">
        <is>
          <t>SELİM İNŞAAT</t>
        </is>
      </c>
      <c r="D749" s="21" t="inlineStr">
        <is>
          <t>34 EGR 737</t>
        </is>
      </c>
      <c r="E749" s="21" t="inlineStr">
        <is>
          <t>İBRAHİM GÜNASLAN</t>
        </is>
      </c>
      <c r="F749" s="23" t="n">
        <v>393711</v>
      </c>
      <c r="G749" s="138" t="n"/>
      <c r="H749" s="138" t="n">
        <v>391</v>
      </c>
      <c r="I749" s="138">
        <f>+I748+(G749-H749)</f>
        <v/>
      </c>
      <c r="J749" s="139" t="n">
        <v>41.255</v>
      </c>
      <c r="K749" s="140" t="n"/>
      <c r="L749" s="140">
        <f>+H749*J749</f>
        <v/>
      </c>
      <c r="M749" s="141">
        <f>SUM(M748+K749-L749)</f>
        <v/>
      </c>
    </row>
    <row r="750">
      <c r="A750" s="20" t="n">
        <v>45714</v>
      </c>
      <c r="B750" s="21" t="n">
        <v>21478</v>
      </c>
      <c r="C750" s="22" t="inlineStr">
        <is>
          <t>SELİM İNŞAAT</t>
        </is>
      </c>
      <c r="D750" s="21" t="inlineStr">
        <is>
          <t>34 GVZ 635</t>
        </is>
      </c>
      <c r="E750" s="21" t="inlineStr">
        <is>
          <t>ENGİN DEMİR</t>
        </is>
      </c>
      <c r="F750" s="23" t="n">
        <v>148964</v>
      </c>
      <c r="G750" s="138" t="n"/>
      <c r="H750" s="138" t="n">
        <v>321</v>
      </c>
      <c r="I750" s="138">
        <f>+I749+(G750-H750)</f>
        <v/>
      </c>
      <c r="J750" s="139" t="n">
        <v>41.255</v>
      </c>
      <c r="K750" s="140" t="n"/>
      <c r="L750" s="140">
        <f>+H750*J750</f>
        <v/>
      </c>
      <c r="M750" s="141">
        <f>SUM(M749+K750-L750)</f>
        <v/>
      </c>
    </row>
    <row r="751">
      <c r="A751" s="20" t="n">
        <v>45714</v>
      </c>
      <c r="B751" s="21" t="n">
        <v>11783</v>
      </c>
      <c r="C751" s="22" t="inlineStr">
        <is>
          <t>SELİM İNŞAAT</t>
        </is>
      </c>
      <c r="D751" s="21" t="inlineStr">
        <is>
          <t>34 EDC 086</t>
        </is>
      </c>
      <c r="E751" s="21" t="inlineStr">
        <is>
          <t>ÖMER AĞAYAR</t>
        </is>
      </c>
      <c r="F751" s="23" t="n">
        <v>304923</v>
      </c>
      <c r="G751" s="138" t="n"/>
      <c r="H751" s="138" t="n">
        <v>227</v>
      </c>
      <c r="I751" s="138">
        <f>+I750+(G751-H751)</f>
        <v/>
      </c>
      <c r="J751" s="139" t="n">
        <v>41.255</v>
      </c>
      <c r="K751" s="140" t="n"/>
      <c r="L751" s="140">
        <f>+H751*J751</f>
        <v/>
      </c>
      <c r="M751" s="141">
        <f>SUM(M750+K751-L751)</f>
        <v/>
      </c>
    </row>
    <row r="752">
      <c r="A752" s="20" t="n">
        <v>45714</v>
      </c>
      <c r="B752" s="21" t="n">
        <v>9788</v>
      </c>
      <c r="C752" s="22" t="inlineStr">
        <is>
          <t>SELİM İNŞAAT</t>
        </is>
      </c>
      <c r="D752" s="21" t="inlineStr">
        <is>
          <t>34 GVZ 268</t>
        </is>
      </c>
      <c r="E752" s="21" t="inlineStr">
        <is>
          <t>KERİM KARAMAN</t>
        </is>
      </c>
      <c r="F752" s="23" t="n">
        <v>166142</v>
      </c>
      <c r="G752" s="138" t="n"/>
      <c r="H752" s="138" t="n">
        <v>396</v>
      </c>
      <c r="I752" s="138">
        <f>+I751+(G752-H752)</f>
        <v/>
      </c>
      <c r="J752" s="139" t="n">
        <v>41.255</v>
      </c>
      <c r="K752" s="140" t="n"/>
      <c r="L752" s="140">
        <f>+H752*J752</f>
        <v/>
      </c>
      <c r="M752" s="141">
        <f>SUM(M751+K752-L752)</f>
        <v/>
      </c>
    </row>
    <row r="753">
      <c r="A753" s="20" t="n">
        <v>45714</v>
      </c>
      <c r="B753" s="21" t="n">
        <v>170476</v>
      </c>
      <c r="C753" s="22" t="inlineStr">
        <is>
          <t>SELİM İNŞAAT</t>
        </is>
      </c>
      <c r="D753" s="21" t="inlineStr">
        <is>
          <t>34 GVZ 310</t>
        </is>
      </c>
      <c r="E753" s="21" t="inlineStr">
        <is>
          <t>CELAL YÜZBAŞI</t>
        </is>
      </c>
      <c r="F753" s="23" t="n">
        <v>170476</v>
      </c>
      <c r="G753" s="138" t="n"/>
      <c r="H753" s="138" t="n">
        <v>284</v>
      </c>
      <c r="I753" s="138">
        <f>+I752+(G753-H753)</f>
        <v/>
      </c>
      <c r="J753" s="139" t="n">
        <v>41.255</v>
      </c>
      <c r="K753" s="140" t="n"/>
      <c r="L753" s="140">
        <f>+H753*J753</f>
        <v/>
      </c>
      <c r="M753" s="141">
        <f>SUM(M752+K753-L753)</f>
        <v/>
      </c>
    </row>
    <row r="754">
      <c r="A754" s="20" t="n">
        <v>45714</v>
      </c>
      <c r="B754" s="21" t="n">
        <v>10357</v>
      </c>
      <c r="C754" s="22" t="inlineStr">
        <is>
          <t>SELİM İNŞAAT</t>
        </is>
      </c>
      <c r="D754" s="21" t="inlineStr">
        <is>
          <t>34 DRU 690</t>
        </is>
      </c>
      <c r="E754" s="21" t="inlineStr">
        <is>
          <t>MUHAMMER ÇAMLI</t>
        </is>
      </c>
      <c r="F754" s="23" t="n">
        <v>390617</v>
      </c>
      <c r="G754" s="138" t="n"/>
      <c r="H754" s="138" t="n">
        <v>250</v>
      </c>
      <c r="I754" s="138">
        <f>+I753+(G754-H754)</f>
        <v/>
      </c>
      <c r="J754" s="139" t="n">
        <v>41.255</v>
      </c>
      <c r="K754" s="140" t="n"/>
      <c r="L754" s="140">
        <f>+H754*J754</f>
        <v/>
      </c>
      <c r="M754" s="141">
        <f>SUM(M753+K754-L754)</f>
        <v/>
      </c>
    </row>
    <row r="755">
      <c r="A755" s="20" t="n">
        <v>45714</v>
      </c>
      <c r="B755" s="21" t="n">
        <v>10318</v>
      </c>
      <c r="C755" s="22" t="inlineStr">
        <is>
          <t>SELİM İNŞAAT</t>
        </is>
      </c>
      <c r="D755" s="21" t="inlineStr">
        <is>
          <t>34 EDB 829</t>
        </is>
      </c>
      <c r="E755" s="21" t="inlineStr">
        <is>
          <t>İSMET BAYRAM</t>
        </is>
      </c>
      <c r="F755" s="23" t="n">
        <v>293841</v>
      </c>
      <c r="G755" s="138" t="n"/>
      <c r="H755" s="138" t="n">
        <v>262</v>
      </c>
      <c r="I755" s="138">
        <f>+I754+(G755-H755)</f>
        <v/>
      </c>
      <c r="J755" s="139" t="n">
        <v>41.255</v>
      </c>
      <c r="K755" s="140" t="n"/>
      <c r="L755" s="140">
        <f>+H755*J755</f>
        <v/>
      </c>
      <c r="M755" s="141">
        <f>SUM(M754+K755-L755)</f>
        <v/>
      </c>
    </row>
    <row r="756">
      <c r="A756" s="20" t="n">
        <v>45714</v>
      </c>
      <c r="B756" s="21" t="n">
        <v>10684</v>
      </c>
      <c r="C756" s="22" t="inlineStr">
        <is>
          <t>SELİM İNŞAAT</t>
        </is>
      </c>
      <c r="D756" s="21" t="inlineStr">
        <is>
          <t>34 DTV 599</t>
        </is>
      </c>
      <c r="E756" s="21" t="inlineStr">
        <is>
          <t>FERHAT GÜRLER</t>
        </is>
      </c>
      <c r="F756" s="23" t="n">
        <v>410743</v>
      </c>
      <c r="G756" s="138" t="n"/>
      <c r="H756" s="138" t="n">
        <v>182</v>
      </c>
      <c r="I756" s="138">
        <f>+I755+(G756-H756)</f>
        <v/>
      </c>
      <c r="J756" s="139" t="n">
        <v>41.255</v>
      </c>
      <c r="K756" s="140" t="n"/>
      <c r="L756" s="140">
        <f>+H756*J756</f>
        <v/>
      </c>
      <c r="M756" s="141">
        <f>SUM(M755+K756-L756)</f>
        <v/>
      </c>
    </row>
    <row r="757">
      <c r="A757" s="20" t="n">
        <v>45714</v>
      </c>
      <c r="B757" s="21" t="n">
        <v>11272</v>
      </c>
      <c r="C757" s="22" t="inlineStr">
        <is>
          <t>SELİM İNŞAAT</t>
        </is>
      </c>
      <c r="D757" s="21" t="inlineStr">
        <is>
          <t>34 EDC 162</t>
        </is>
      </c>
      <c r="E757" s="21" t="inlineStr">
        <is>
          <t xml:space="preserve">YAKUP GÜNER </t>
        </is>
      </c>
      <c r="F757" s="23" t="n">
        <v>340976</v>
      </c>
      <c r="G757" s="138" t="n"/>
      <c r="H757" s="138" t="n">
        <v>249</v>
      </c>
      <c r="I757" s="138">
        <f>+I756+(G757-H757)</f>
        <v/>
      </c>
      <c r="J757" s="139" t="n">
        <v>41.255</v>
      </c>
      <c r="K757" s="140" t="n"/>
      <c r="L757" s="140">
        <f>+H757*J757</f>
        <v/>
      </c>
      <c r="M757" s="141">
        <f>SUM(M756+K757-L757)</f>
        <v/>
      </c>
    </row>
    <row r="758">
      <c r="A758" s="20" t="n">
        <v>45714</v>
      </c>
      <c r="B758" s="21" t="n">
        <v>14451</v>
      </c>
      <c r="C758" s="22" t="inlineStr">
        <is>
          <t>SELİM İNŞAAT</t>
        </is>
      </c>
      <c r="D758" s="21" t="inlineStr">
        <is>
          <t>34 GUS 848</t>
        </is>
      </c>
      <c r="E758" s="21" t="inlineStr">
        <is>
          <t>SERDAR BOZKURT</t>
        </is>
      </c>
      <c r="F758" s="23" t="n">
        <v>165425</v>
      </c>
      <c r="G758" s="138" t="n"/>
      <c r="H758" s="138" t="n">
        <v>208</v>
      </c>
      <c r="I758" s="138">
        <f>+I757+(G758-H758)</f>
        <v/>
      </c>
      <c r="J758" s="139" t="n">
        <v>41.255</v>
      </c>
      <c r="K758" s="140" t="n"/>
      <c r="L758" s="140">
        <f>+H758*J758</f>
        <v/>
      </c>
      <c r="M758" s="141">
        <f>SUM(M757+K758-L758)</f>
        <v/>
      </c>
    </row>
    <row r="759">
      <c r="A759" s="20" t="n">
        <v>45714</v>
      </c>
      <c r="B759" s="21" t="n">
        <v>10277</v>
      </c>
      <c r="C759" s="22" t="inlineStr">
        <is>
          <t>SELİM İNŞAAT</t>
        </is>
      </c>
      <c r="D759" s="21" t="inlineStr">
        <is>
          <t>34 FBR 748</t>
        </is>
      </c>
      <c r="E759" s="21" t="inlineStr">
        <is>
          <t>YAŞAR ÖZKAYA</t>
        </is>
      </c>
      <c r="F759" s="23" t="n">
        <v>260380</v>
      </c>
      <c r="G759" s="138" t="n"/>
      <c r="H759" s="138" t="n">
        <v>330</v>
      </c>
      <c r="I759" s="138">
        <f>+I758+(G759-H759)</f>
        <v/>
      </c>
      <c r="J759" s="139" t="n">
        <v>41.255</v>
      </c>
      <c r="K759" s="140" t="n"/>
      <c r="L759" s="140">
        <f>+H759*J759</f>
        <v/>
      </c>
      <c r="M759" s="141">
        <f>SUM(M758+K759-L759)</f>
        <v/>
      </c>
    </row>
    <row r="760">
      <c r="A760" s="20" t="n">
        <v>45714</v>
      </c>
      <c r="B760" s="21" t="n">
        <v>11461</v>
      </c>
      <c r="C760" s="22" t="inlineStr">
        <is>
          <t>METİN ŞİRİN</t>
        </is>
      </c>
      <c r="D760" s="21" t="inlineStr">
        <is>
          <t>34 EGR 922</t>
        </is>
      </c>
      <c r="E760" s="21" t="inlineStr">
        <is>
          <t>GÜRAY KOYUNCU</t>
        </is>
      </c>
      <c r="F760" s="23" t="n">
        <v>434912</v>
      </c>
      <c r="G760" s="138" t="n"/>
      <c r="H760" s="138" t="n">
        <v>479</v>
      </c>
      <c r="I760" s="138">
        <f>+I759+(G760-H760)</f>
        <v/>
      </c>
      <c r="J760" s="139" t="n">
        <v>41.255</v>
      </c>
      <c r="K760" s="140" t="n"/>
      <c r="L760" s="140">
        <f>+H760*J760</f>
        <v/>
      </c>
      <c r="M760" s="141">
        <f>SUM(M759+K760-L760)</f>
        <v/>
      </c>
    </row>
    <row r="761">
      <c r="A761" s="20" t="n">
        <v>45714</v>
      </c>
      <c r="B761" s="21" t="n">
        <v>11697</v>
      </c>
      <c r="C761" s="22" t="inlineStr">
        <is>
          <t>METİN ERYİĞİT</t>
        </is>
      </c>
      <c r="D761" s="21" t="inlineStr">
        <is>
          <t>34 GBL 998</t>
        </is>
      </c>
      <c r="E761" s="21" t="inlineStr">
        <is>
          <t>ALİ KESKİN</t>
        </is>
      </c>
      <c r="F761" s="23" t="n">
        <v>243084</v>
      </c>
      <c r="G761" s="138" t="n"/>
      <c r="H761" s="138" t="n">
        <v>373</v>
      </c>
      <c r="I761" s="138">
        <f>+I760+(G761-H761)</f>
        <v/>
      </c>
      <c r="J761" s="139" t="n">
        <v>41.255</v>
      </c>
      <c r="K761" s="140" t="n"/>
      <c r="L761" s="140">
        <f>+H761*J761</f>
        <v/>
      </c>
      <c r="M761" s="141">
        <f>SUM(M760+K761-L761)</f>
        <v/>
      </c>
    </row>
    <row r="762">
      <c r="A762" s="20" t="n">
        <v>45714</v>
      </c>
      <c r="B762" s="21" t="n">
        <v>11427</v>
      </c>
      <c r="C762" s="22" t="inlineStr">
        <is>
          <t>METİN ERYİĞİT</t>
        </is>
      </c>
      <c r="D762" s="21" t="inlineStr">
        <is>
          <t>34 EGR 814</t>
        </is>
      </c>
      <c r="E762" s="21" t="inlineStr">
        <is>
          <t>FARUK ÖZEN</t>
        </is>
      </c>
      <c r="F762" s="23" t="n">
        <v>517540</v>
      </c>
      <c r="G762" s="138" t="n"/>
      <c r="H762" s="138" t="n">
        <v>297</v>
      </c>
      <c r="I762" s="138">
        <f>+I761+(G762-H762)</f>
        <v/>
      </c>
      <c r="J762" s="139" t="n">
        <v>41.255</v>
      </c>
      <c r="K762" s="140" t="n"/>
      <c r="L762" s="140">
        <f>+H762*J762</f>
        <v/>
      </c>
      <c r="M762" s="141">
        <f>SUM(M761+K762-L762)</f>
        <v/>
      </c>
    </row>
    <row r="763">
      <c r="A763" s="20" t="n">
        <v>45714</v>
      </c>
      <c r="B763" s="21" t="n">
        <v>2050</v>
      </c>
      <c r="C763" s="22" t="inlineStr">
        <is>
          <t>AZGÜN YAPI</t>
        </is>
      </c>
      <c r="D763" s="21" t="inlineStr">
        <is>
          <t>34 DTV 263</t>
        </is>
      </c>
      <c r="E763" s="21" t="inlineStr">
        <is>
          <t>EDİP TORLAK</t>
        </is>
      </c>
      <c r="F763" s="23" t="n">
        <v>360966</v>
      </c>
      <c r="G763" s="138" t="n"/>
      <c r="H763" s="138" t="n">
        <v>276</v>
      </c>
      <c r="I763" s="138">
        <f>+I762+(G763-H763)</f>
        <v/>
      </c>
      <c r="J763" s="139" t="n">
        <v>41.255</v>
      </c>
      <c r="K763" s="140" t="n"/>
      <c r="L763" s="140">
        <f>+H763*J763</f>
        <v/>
      </c>
      <c r="M763" s="141">
        <f>SUM(M762+K763-L763)</f>
        <v/>
      </c>
    </row>
    <row r="764">
      <c r="A764" s="20" t="n">
        <v>45714</v>
      </c>
      <c r="B764" s="1" t="n">
        <v>14925</v>
      </c>
      <c r="C764" s="2" t="inlineStr">
        <is>
          <t>HASALTUN</t>
        </is>
      </c>
      <c r="D764" s="1" t="inlineStr">
        <is>
          <t>SM 300</t>
        </is>
      </c>
      <c r="E764" s="1" t="inlineStr">
        <is>
          <t>TURGUT SANCAK</t>
        </is>
      </c>
      <c r="F764" s="3" t="n"/>
      <c r="G764" s="143" t="n"/>
      <c r="H764" s="143" t="n">
        <v>352</v>
      </c>
      <c r="I764" s="143">
        <f>+I763+(G764-H764)</f>
        <v/>
      </c>
      <c r="J764" s="144" t="n">
        <v>41.255</v>
      </c>
      <c r="K764" s="145" t="n"/>
      <c r="L764" s="140">
        <f>+H764*J764</f>
        <v/>
      </c>
      <c r="M764" s="141">
        <f>SUM(M763+K764-L764)</f>
        <v/>
      </c>
    </row>
    <row r="765">
      <c r="A765" s="20" t="n">
        <v>45714</v>
      </c>
      <c r="B765" s="21" t="n">
        <v>14923</v>
      </c>
      <c r="C765" s="22" t="inlineStr">
        <is>
          <t>EVKUR</t>
        </is>
      </c>
      <c r="D765" s="21" t="n"/>
      <c r="E765" s="21" t="inlineStr">
        <is>
          <t>FAHRİ KALFA</t>
        </is>
      </c>
      <c r="F765" s="23" t="n"/>
      <c r="G765" s="138" t="n"/>
      <c r="H765" s="138" t="n">
        <v>31</v>
      </c>
      <c r="I765" s="138">
        <f>+I764+(G765-H765)</f>
        <v/>
      </c>
      <c r="J765" s="139" t="n">
        <v>41.255</v>
      </c>
      <c r="K765" s="140" t="n"/>
      <c r="L765" s="140">
        <f>+H765*J765</f>
        <v/>
      </c>
      <c r="M765" s="141">
        <f>SUM(M764+K765-L765)</f>
        <v/>
      </c>
    </row>
    <row r="766">
      <c r="A766" s="20" t="n">
        <v>45714</v>
      </c>
      <c r="B766" s="21" t="n">
        <v>21130</v>
      </c>
      <c r="C766" s="22" t="inlineStr">
        <is>
          <t>SELİM İNŞAAT</t>
        </is>
      </c>
      <c r="D766" s="21" t="inlineStr">
        <is>
          <t>34 TG 7869</t>
        </is>
      </c>
      <c r="E766" s="21" t="inlineStr">
        <is>
          <t>GÖRKEM KARABEL</t>
        </is>
      </c>
      <c r="F766" s="23" t="n">
        <v>179292</v>
      </c>
      <c r="G766" s="138" t="n"/>
      <c r="H766" s="138" t="n">
        <v>196</v>
      </c>
      <c r="I766" s="138">
        <f>+I765+(G766-H766)</f>
        <v/>
      </c>
      <c r="J766" s="139" t="n">
        <v>41.255</v>
      </c>
      <c r="K766" s="140" t="n"/>
      <c r="L766" s="140">
        <f>+H766*J766</f>
        <v/>
      </c>
      <c r="M766" s="141">
        <f>SUM(M765+K766-L766)</f>
        <v/>
      </c>
    </row>
    <row r="767">
      <c r="A767" s="20" t="n">
        <v>45714</v>
      </c>
      <c r="B767" s="21" t="n">
        <v>11059</v>
      </c>
      <c r="C767" s="22" t="inlineStr">
        <is>
          <t>SELİM İNŞAAT</t>
        </is>
      </c>
      <c r="D767" s="21" t="inlineStr">
        <is>
          <t>34 HBY 763</t>
        </is>
      </c>
      <c r="E767" s="21" t="inlineStr">
        <is>
          <t>EMİRCAN ÖZTÜRK</t>
        </is>
      </c>
      <c r="F767" s="23" t="n">
        <v>12892</v>
      </c>
      <c r="G767" s="138" t="n"/>
      <c r="H767" s="138" t="n">
        <v>168</v>
      </c>
      <c r="I767" s="138">
        <f>+I766+(G767-H767)</f>
        <v/>
      </c>
      <c r="J767" s="139" t="n">
        <v>41.255</v>
      </c>
      <c r="K767" s="140" t="n"/>
      <c r="L767" s="140">
        <f>+H767*J767</f>
        <v/>
      </c>
      <c r="M767" s="141">
        <f>SUM(M766+K767-L767)</f>
        <v/>
      </c>
    </row>
    <row r="768">
      <c r="A768" s="20" t="n">
        <v>45714</v>
      </c>
      <c r="B768" s="21" t="n">
        <v>11887</v>
      </c>
      <c r="C768" s="22" t="inlineStr">
        <is>
          <t>SELİM İNŞAAT</t>
        </is>
      </c>
      <c r="D768" s="21" t="inlineStr">
        <is>
          <t>34 DFE 454</t>
        </is>
      </c>
      <c r="E768" s="21" t="inlineStr">
        <is>
          <t>HASAN BAYCAN</t>
        </is>
      </c>
      <c r="F768" s="23" t="n">
        <v>154760</v>
      </c>
      <c r="G768" s="138" t="n"/>
      <c r="H768" s="138" t="n">
        <v>190</v>
      </c>
      <c r="I768" s="138">
        <f>+I767+(G768-H768)</f>
        <v/>
      </c>
      <c r="J768" s="139" t="n">
        <v>41.255</v>
      </c>
      <c r="K768" s="140" t="n"/>
      <c r="L768" s="140">
        <f>+H768*J768</f>
        <v/>
      </c>
      <c r="M768" s="141">
        <f>SUM(M767+K768-L768)</f>
        <v/>
      </c>
    </row>
    <row r="769">
      <c r="A769" s="20" t="n">
        <v>45714</v>
      </c>
      <c r="B769" s="21" t="n">
        <v>11989</v>
      </c>
      <c r="C769" s="22" t="inlineStr">
        <is>
          <t>SELİM İNŞAAT</t>
        </is>
      </c>
      <c r="D769" s="21" t="inlineStr">
        <is>
          <t>34 DKL 798</t>
        </is>
      </c>
      <c r="E769" s="21" t="inlineStr">
        <is>
          <t>VOLKAN YANAR</t>
        </is>
      </c>
      <c r="F769" s="23" t="n">
        <v>61226</v>
      </c>
      <c r="G769" s="138" t="n"/>
      <c r="H769" s="138" t="n">
        <v>177</v>
      </c>
      <c r="I769" s="138">
        <f>+I768+(G769-H769)</f>
        <v/>
      </c>
      <c r="J769" s="139" t="n">
        <v>41.255</v>
      </c>
      <c r="K769" s="140" t="n"/>
      <c r="L769" s="140">
        <f>+H769*J769</f>
        <v/>
      </c>
      <c r="M769" s="141">
        <f>SUM(M768+K769-L769)</f>
        <v/>
      </c>
    </row>
    <row r="770">
      <c r="A770" s="20" t="n">
        <v>45714</v>
      </c>
      <c r="B770" s="21" t="n">
        <v>10863</v>
      </c>
      <c r="C770" s="22" t="inlineStr">
        <is>
          <t>SELİM İNŞAAT</t>
        </is>
      </c>
      <c r="D770" s="21" t="inlineStr">
        <is>
          <t>34 AR 7743</t>
        </is>
      </c>
      <c r="E770" s="21" t="inlineStr">
        <is>
          <t>MEHMET SELİM</t>
        </is>
      </c>
      <c r="F770" s="23" t="n">
        <v>351029</v>
      </c>
      <c r="G770" s="138" t="n"/>
      <c r="H770" s="138" t="n">
        <v>54</v>
      </c>
      <c r="I770" s="138">
        <f>+I769+(G770-H770)</f>
        <v/>
      </c>
      <c r="J770" s="139" t="n">
        <v>41.255</v>
      </c>
      <c r="K770" s="140" t="n"/>
      <c r="L770" s="140">
        <f>+H770*J770</f>
        <v/>
      </c>
      <c r="M770" s="141">
        <f>SUM(M769+K770-L770)</f>
        <v/>
      </c>
    </row>
    <row r="771">
      <c r="A771" s="20" t="n">
        <v>45714</v>
      </c>
      <c r="B771" s="21" t="n">
        <v>21307</v>
      </c>
      <c r="C771" s="22" t="inlineStr">
        <is>
          <t>SELİM İNŞAAT</t>
        </is>
      </c>
      <c r="D771" s="21" t="inlineStr">
        <is>
          <t>34 FEM 934</t>
        </is>
      </c>
      <c r="E771" s="21" t="inlineStr">
        <is>
          <t>MUSTAFA ALBAYRAK</t>
        </is>
      </c>
      <c r="F771" s="23" t="n">
        <v>299939</v>
      </c>
      <c r="G771" s="138" t="n"/>
      <c r="H771" s="138" t="n">
        <v>76</v>
      </c>
      <c r="I771" s="138">
        <f>+I770+(G771-H771)</f>
        <v/>
      </c>
      <c r="J771" s="139" t="n">
        <v>41.255</v>
      </c>
      <c r="K771" s="140" t="n"/>
      <c r="L771" s="140">
        <f>+H771*J771</f>
        <v/>
      </c>
      <c r="M771" s="141">
        <f>SUM(M770+K771-L771)</f>
        <v/>
      </c>
    </row>
    <row r="772">
      <c r="A772" s="20" t="n">
        <v>45715</v>
      </c>
      <c r="B772" s="21" t="n">
        <v>10626</v>
      </c>
      <c r="C772" s="22" t="inlineStr">
        <is>
          <t>SELİM İNŞAAT</t>
        </is>
      </c>
      <c r="D772" s="21" t="inlineStr">
        <is>
          <t>34 EDB 754</t>
        </is>
      </c>
      <c r="E772" s="21" t="inlineStr">
        <is>
          <t>EMİN PARLAKKILIÇ</t>
        </is>
      </c>
      <c r="F772" s="23" t="n">
        <v>300623</v>
      </c>
      <c r="G772" s="138" t="n"/>
      <c r="H772" s="138" t="n">
        <v>420</v>
      </c>
      <c r="I772" s="138">
        <f>+I771+(G772-H772)</f>
        <v/>
      </c>
      <c r="J772" s="139" t="n">
        <v>41.255</v>
      </c>
      <c r="K772" s="140" t="n"/>
      <c r="L772" s="140">
        <f>+H772*J772</f>
        <v/>
      </c>
      <c r="M772" s="141">
        <f>SUM(M771+K772-L772)</f>
        <v/>
      </c>
    </row>
    <row r="773">
      <c r="A773" s="20" t="n">
        <v>45715</v>
      </c>
      <c r="B773" s="21" t="n">
        <v>11623</v>
      </c>
      <c r="C773" s="22" t="inlineStr">
        <is>
          <t>SELİM İNŞAAT</t>
        </is>
      </c>
      <c r="D773" s="21" t="inlineStr">
        <is>
          <t>34 DTV 352</t>
        </is>
      </c>
      <c r="E773" s="21" t="inlineStr">
        <is>
          <t xml:space="preserve">RASİM BARTU </t>
        </is>
      </c>
      <c r="F773" s="23" t="n">
        <v>409948</v>
      </c>
      <c r="G773" s="138" t="n"/>
      <c r="H773" s="138" t="n">
        <v>445</v>
      </c>
      <c r="I773" s="138">
        <f>+I772+(G773-H773)</f>
        <v/>
      </c>
      <c r="J773" s="139" t="n">
        <v>41.255</v>
      </c>
      <c r="K773" s="140" t="n"/>
      <c r="L773" s="140">
        <f>+H773*J773</f>
        <v/>
      </c>
      <c r="M773" s="141">
        <f>SUM(M772+K773-L773)</f>
        <v/>
      </c>
    </row>
    <row r="774">
      <c r="A774" s="20" t="n">
        <v>45715</v>
      </c>
      <c r="B774" s="21" t="n">
        <v>21189</v>
      </c>
      <c r="C774" s="22" t="inlineStr">
        <is>
          <t>SELİM İNŞAAT</t>
        </is>
      </c>
      <c r="D774" s="21" t="inlineStr">
        <is>
          <t>34 DSN 565</t>
        </is>
      </c>
      <c r="E774" s="21" t="inlineStr">
        <is>
          <t>MESUT GÜRLER</t>
        </is>
      </c>
      <c r="F774" s="23" t="n">
        <v>385301</v>
      </c>
      <c r="G774" s="138" t="n"/>
      <c r="H774" s="138" t="n">
        <v>244</v>
      </c>
      <c r="I774" s="138">
        <f>+I773+(G774-H774)</f>
        <v/>
      </c>
      <c r="J774" s="139" t="n">
        <v>41.255</v>
      </c>
      <c r="K774" s="140" t="n"/>
      <c r="L774" s="140">
        <f>+H774*J774</f>
        <v/>
      </c>
      <c r="M774" s="141">
        <f>SUM(M773+K774-L774)</f>
        <v/>
      </c>
    </row>
    <row r="775">
      <c r="A775" s="20" t="n">
        <v>45715</v>
      </c>
      <c r="B775" s="21" t="n">
        <v>10207</v>
      </c>
      <c r="C775" s="22" t="inlineStr">
        <is>
          <t>SELİM İNŞAAT</t>
        </is>
      </c>
      <c r="D775" s="21" t="inlineStr">
        <is>
          <t>34 DSN 621</t>
        </is>
      </c>
      <c r="E775" s="21" t="inlineStr">
        <is>
          <t>MUSTAFA KAYA</t>
        </is>
      </c>
      <c r="F775" s="23" t="n">
        <v>390257</v>
      </c>
      <c r="G775" s="138" t="n"/>
      <c r="H775" s="138" t="n">
        <v>195</v>
      </c>
      <c r="I775" s="138">
        <f>+I774+(G775-H775)</f>
        <v/>
      </c>
      <c r="J775" s="139" t="n">
        <v>41.255</v>
      </c>
      <c r="K775" s="140" t="n"/>
      <c r="L775" s="140">
        <f>+H775*J775</f>
        <v/>
      </c>
      <c r="M775" s="141">
        <f>SUM(M774+K775-L775)</f>
        <v/>
      </c>
    </row>
    <row r="776">
      <c r="A776" s="20" t="n">
        <v>45715</v>
      </c>
      <c r="B776" s="21" t="n">
        <v>11202</v>
      </c>
      <c r="C776" s="22" t="inlineStr">
        <is>
          <t>SELİM İNŞAAT</t>
        </is>
      </c>
      <c r="D776" s="21" t="inlineStr">
        <is>
          <t>34 DSN 636</t>
        </is>
      </c>
      <c r="E776" s="21" t="inlineStr">
        <is>
          <t>DURSUN ALİ GÜREK</t>
        </is>
      </c>
      <c r="F776" s="23" t="n">
        <v>372308</v>
      </c>
      <c r="G776" s="138" t="n"/>
      <c r="H776" s="138" t="n">
        <v>320</v>
      </c>
      <c r="I776" s="138">
        <f>+I775+(G776-H776)</f>
        <v/>
      </c>
      <c r="J776" s="139" t="n">
        <v>41.255</v>
      </c>
      <c r="K776" s="140" t="n"/>
      <c r="L776" s="140">
        <f>+H776*J776</f>
        <v/>
      </c>
      <c r="M776" s="141">
        <f>SUM(M775+K776-L776)</f>
        <v/>
      </c>
    </row>
    <row r="777">
      <c r="A777" s="20" t="n">
        <v>45715</v>
      </c>
      <c r="B777" s="21" t="n">
        <v>14052</v>
      </c>
      <c r="C777" s="22" t="inlineStr">
        <is>
          <t>SELİM İNŞAAT</t>
        </is>
      </c>
      <c r="D777" s="21" t="inlineStr">
        <is>
          <t>34 EDB 659</t>
        </is>
      </c>
      <c r="E777" s="21" t="inlineStr">
        <is>
          <t>MEHMET SAİT ANIK</t>
        </is>
      </c>
      <c r="F777" s="23" t="n">
        <v>316160</v>
      </c>
      <c r="G777" s="138" t="n"/>
      <c r="H777" s="138" t="n">
        <v>175</v>
      </c>
      <c r="I777" s="138">
        <f>+I776+(G777-H777)</f>
        <v/>
      </c>
      <c r="J777" s="139" t="n">
        <v>41.255</v>
      </c>
      <c r="K777" s="140" t="n"/>
      <c r="L777" s="140">
        <f>+H777*J777</f>
        <v/>
      </c>
      <c r="M777" s="141">
        <f>SUM(M776+K777-L777)</f>
        <v/>
      </c>
    </row>
    <row r="778">
      <c r="A778" s="20" t="n">
        <v>45715</v>
      </c>
      <c r="B778" s="21" t="n">
        <v>11719</v>
      </c>
      <c r="C778" s="22" t="inlineStr">
        <is>
          <t>SELİM İNŞAAT</t>
        </is>
      </c>
      <c r="D778" s="21" t="inlineStr">
        <is>
          <t>34 EDB 559</t>
        </is>
      </c>
      <c r="E778" s="21" t="inlineStr">
        <is>
          <t>CEM MUHTAR</t>
        </is>
      </c>
      <c r="F778" s="23" t="n">
        <v>305732</v>
      </c>
      <c r="G778" s="138" t="n"/>
      <c r="H778" s="138" t="n">
        <v>250</v>
      </c>
      <c r="I778" s="138">
        <f>+I777+(G778-H778)</f>
        <v/>
      </c>
      <c r="J778" s="139" t="n">
        <v>41.255</v>
      </c>
      <c r="K778" s="140" t="n"/>
      <c r="L778" s="140">
        <f>+H778*J778</f>
        <v/>
      </c>
      <c r="M778" s="141">
        <f>SUM(M777+K778-L778)</f>
        <v/>
      </c>
    </row>
    <row r="779">
      <c r="A779" s="20" t="n">
        <v>45715</v>
      </c>
      <c r="B779" s="21" t="n">
        <v>10172</v>
      </c>
      <c r="C779" s="22" t="inlineStr">
        <is>
          <t>SELİM İNŞAAT</t>
        </is>
      </c>
      <c r="D779" s="21" t="inlineStr">
        <is>
          <t>34 EGR 736</t>
        </is>
      </c>
      <c r="E779" s="21" t="inlineStr">
        <is>
          <t>CEM MUHTAR</t>
        </is>
      </c>
      <c r="F779" s="23" t="n">
        <v>363209</v>
      </c>
      <c r="G779" s="138" t="n"/>
      <c r="H779" s="138" t="n">
        <v>284</v>
      </c>
      <c r="I779" s="138">
        <f>+I778+(G779-H779)</f>
        <v/>
      </c>
      <c r="J779" s="139" t="n">
        <v>41.255</v>
      </c>
      <c r="K779" s="140" t="n"/>
      <c r="L779" s="140">
        <f>+H779*J779</f>
        <v/>
      </c>
      <c r="M779" s="141">
        <f>SUM(M778+K779-L779)</f>
        <v/>
      </c>
    </row>
    <row r="780">
      <c r="A780" s="20" t="n">
        <v>45715</v>
      </c>
      <c r="B780" s="21" t="n">
        <v>11808</v>
      </c>
      <c r="C780" s="22" t="inlineStr">
        <is>
          <t>SELİM İNŞAAT</t>
        </is>
      </c>
      <c r="D780" s="21" t="inlineStr">
        <is>
          <t>34 FSG 229</t>
        </is>
      </c>
      <c r="E780" s="21" t="inlineStr">
        <is>
          <t>SİNAN TANRIVERDİ</t>
        </is>
      </c>
      <c r="F780" s="23" t="n">
        <v>233576</v>
      </c>
      <c r="G780" s="138" t="n"/>
      <c r="H780" s="138" t="n">
        <v>282</v>
      </c>
      <c r="I780" s="138">
        <f>+I779+(G780-H780)</f>
        <v/>
      </c>
      <c r="J780" s="139" t="n">
        <v>41.255</v>
      </c>
      <c r="K780" s="140" t="n"/>
      <c r="L780" s="140">
        <f>+H780*J780</f>
        <v/>
      </c>
      <c r="M780" s="141">
        <f>SUM(M779+K780-L780)</f>
        <v/>
      </c>
    </row>
    <row r="781">
      <c r="A781" s="20" t="n">
        <v>45715</v>
      </c>
      <c r="B781" s="21" t="n">
        <v>10988</v>
      </c>
      <c r="C781" s="22" t="inlineStr">
        <is>
          <t>SELİM İNŞAAT</t>
        </is>
      </c>
      <c r="D781" s="21" t="inlineStr">
        <is>
          <t>34 GVZ 199</t>
        </is>
      </c>
      <c r="E781" s="21" t="inlineStr">
        <is>
          <t>VAHDET GÜRLER</t>
        </is>
      </c>
      <c r="F781" s="23" t="n">
        <v>156330</v>
      </c>
      <c r="G781" s="138" t="n"/>
      <c r="H781" s="138" t="n">
        <v>325</v>
      </c>
      <c r="I781" s="138">
        <f>+I780+(G781-H781)</f>
        <v/>
      </c>
      <c r="J781" s="139" t="n">
        <v>41.255</v>
      </c>
      <c r="K781" s="140" t="n"/>
      <c r="L781" s="140">
        <f>+H781*J781</f>
        <v/>
      </c>
      <c r="M781" s="141">
        <f>SUM(M780+K781-L781)</f>
        <v/>
      </c>
    </row>
    <row r="782">
      <c r="A782" s="20" t="n">
        <v>45715</v>
      </c>
      <c r="B782" s="21" t="n">
        <v>10023</v>
      </c>
      <c r="C782" s="22" t="inlineStr">
        <is>
          <t>METİN ERYİĞİT</t>
        </is>
      </c>
      <c r="D782" s="21" t="inlineStr">
        <is>
          <t>34 EGS 013</t>
        </is>
      </c>
      <c r="E782" s="21" t="inlineStr">
        <is>
          <t>UĞUR DUMAN</t>
        </is>
      </c>
      <c r="F782" s="23" t="n">
        <v>464706</v>
      </c>
      <c r="G782" s="138" t="n"/>
      <c r="H782" s="138" t="n">
        <v>408</v>
      </c>
      <c r="I782" s="138">
        <f>+I781+(G782-H782)</f>
        <v/>
      </c>
      <c r="J782" s="139" t="n">
        <v>41.255</v>
      </c>
      <c r="K782" s="140" t="n"/>
      <c r="L782" s="140">
        <f>+H782*J782</f>
        <v/>
      </c>
      <c r="M782" s="141">
        <f>SUM(M781+K782-L782)</f>
        <v/>
      </c>
    </row>
    <row r="783">
      <c r="A783" s="20" t="n">
        <v>45715</v>
      </c>
      <c r="B783" s="1" t="n">
        <v>14926</v>
      </c>
      <c r="C783" s="2" t="inlineStr">
        <is>
          <t>HASALTUN</t>
        </is>
      </c>
      <c r="D783" s="1" t="inlineStr">
        <is>
          <t>SM 350</t>
        </is>
      </c>
      <c r="E783" s="1" t="inlineStr">
        <is>
          <t>TEVFİK ÖZTÜRK</t>
        </is>
      </c>
      <c r="F783" s="3" t="n"/>
      <c r="G783" s="143" t="n"/>
      <c r="H783" s="143" t="n">
        <v>335</v>
      </c>
      <c r="I783" s="143">
        <f>+I782+(G783-H783)</f>
        <v/>
      </c>
      <c r="J783" s="144" t="n">
        <v>41.255</v>
      </c>
      <c r="K783" s="145" t="n"/>
      <c r="L783" s="140">
        <f>+H783*J783</f>
        <v/>
      </c>
      <c r="M783" s="141">
        <f>SUM(M782+K783-L783)</f>
        <v/>
      </c>
    </row>
    <row r="784">
      <c r="A784" s="20" t="n">
        <v>45715</v>
      </c>
      <c r="B784" s="1" t="n">
        <v>14924</v>
      </c>
      <c r="C784" s="2" t="inlineStr">
        <is>
          <t>EVKUR - HASALTUN</t>
        </is>
      </c>
      <c r="D784" s="1" t="inlineStr">
        <is>
          <t>KAVAZAKİ</t>
        </is>
      </c>
      <c r="E784" s="1" t="inlineStr">
        <is>
          <t>UFUK SEVAL</t>
        </is>
      </c>
      <c r="F784" s="3" t="n"/>
      <c r="G784" s="143" t="n"/>
      <c r="H784" s="143" t="n">
        <v>312</v>
      </c>
      <c r="I784" s="143">
        <f>+I783+(G784-H784)</f>
        <v/>
      </c>
      <c r="J784" s="144" t="n">
        <v>41.255</v>
      </c>
      <c r="K784" s="145" t="n"/>
      <c r="L784" s="140">
        <f>+H784*J784</f>
        <v/>
      </c>
      <c r="M784" s="141">
        <f>SUM(M783+K784-L784)</f>
        <v/>
      </c>
    </row>
    <row r="785">
      <c r="A785" s="20" t="n">
        <v>45715</v>
      </c>
      <c r="B785" s="21" t="n">
        <v>188</v>
      </c>
      <c r="C785" s="22" t="inlineStr">
        <is>
          <t>ÜNSOY TURİZM İNŞ.SAN.VE TİC.A.Ş.</t>
        </is>
      </c>
      <c r="D785" s="21" t="n"/>
      <c r="E785" s="21" t="n"/>
      <c r="F785" s="23" t="n"/>
      <c r="G785" s="138" t="n">
        <v>31839</v>
      </c>
      <c r="H785" s="138" t="n"/>
      <c r="I785" s="138">
        <f>+I784+(G785-H785)</f>
        <v/>
      </c>
      <c r="J785" s="139">
        <f>+K785/G785</f>
        <v/>
      </c>
      <c r="K785" s="140" t="n">
        <v>1267743.01</v>
      </c>
      <c r="L785" s="140">
        <f>+H785*J785</f>
        <v/>
      </c>
      <c r="M785" s="141">
        <f>SUM(M784+K785-L785)</f>
        <v/>
      </c>
    </row>
    <row r="786">
      <c r="A786" s="20" t="n">
        <v>45716</v>
      </c>
      <c r="B786" s="21" t="n">
        <v>22912</v>
      </c>
      <c r="C786" s="22" t="inlineStr">
        <is>
          <t>SELİM İNŞAAT</t>
        </is>
      </c>
      <c r="D786" s="21" t="inlineStr">
        <is>
          <t>34 FBR 742</t>
        </is>
      </c>
      <c r="E786" s="21" t="inlineStr">
        <is>
          <t>MİKAİL BAYILMAZ</t>
        </is>
      </c>
      <c r="F786" s="23" t="n">
        <v>294771</v>
      </c>
      <c r="G786" s="138" t="n"/>
      <c r="H786" s="138" t="n">
        <v>351</v>
      </c>
      <c r="I786" s="138">
        <f>+I785+(G786-H786)</f>
        <v/>
      </c>
      <c r="J786" s="139" t="n">
        <v>39.817</v>
      </c>
      <c r="K786" s="140" t="n"/>
      <c r="L786" s="140">
        <f>+H786*J786</f>
        <v/>
      </c>
      <c r="M786" s="141">
        <f>SUM(M785+K786-L786)</f>
        <v/>
      </c>
    </row>
    <row r="787">
      <c r="A787" s="20" t="n">
        <v>45716</v>
      </c>
      <c r="B787" s="21" t="n">
        <v>10426</v>
      </c>
      <c r="C787" s="22" t="inlineStr">
        <is>
          <t>SELİM İNŞAAT</t>
        </is>
      </c>
      <c r="D787" s="21" t="inlineStr">
        <is>
          <t>34 FBR 781</t>
        </is>
      </c>
      <c r="E787" s="21" t="inlineStr">
        <is>
          <t>MEVLÜT POLAT</t>
        </is>
      </c>
      <c r="F787" s="23" t="n">
        <v>278971</v>
      </c>
      <c r="G787" s="138" t="n"/>
      <c r="H787" s="138" t="n">
        <v>307</v>
      </c>
      <c r="I787" s="138">
        <f>+I786+(G787-H787)</f>
        <v/>
      </c>
      <c r="J787" s="139" t="n">
        <v>39.817</v>
      </c>
      <c r="K787" s="140" t="n"/>
      <c r="L787" s="140">
        <f>+H787*J787</f>
        <v/>
      </c>
      <c r="M787" s="141">
        <f>SUM(M786+K787-L787)</f>
        <v/>
      </c>
    </row>
    <row r="788">
      <c r="A788" s="20" t="n">
        <v>45716</v>
      </c>
      <c r="B788" s="21" t="n">
        <v>10062</v>
      </c>
      <c r="C788" s="22" t="inlineStr">
        <is>
          <t>SELİM İNŞAAT</t>
        </is>
      </c>
      <c r="D788" s="21" t="inlineStr">
        <is>
          <t>34 FBR 771</t>
        </is>
      </c>
      <c r="E788" s="21" t="inlineStr">
        <is>
          <t>HÜSEYİN AKÇİN</t>
        </is>
      </c>
      <c r="F788" s="23" t="n">
        <v>295196</v>
      </c>
      <c r="G788" s="138" t="n"/>
      <c r="H788" s="138" t="n">
        <v>198</v>
      </c>
      <c r="I788" s="138">
        <f>+I787+(G788-H788)</f>
        <v/>
      </c>
      <c r="J788" s="139" t="n">
        <v>39.817</v>
      </c>
      <c r="K788" s="140" t="n"/>
      <c r="L788" s="140">
        <f>+H788*J788</f>
        <v/>
      </c>
      <c r="M788" s="141">
        <f>SUM(M787+K788-L788)</f>
        <v/>
      </c>
    </row>
    <row r="789">
      <c r="A789" s="20" t="n">
        <v>45716</v>
      </c>
      <c r="B789" s="21" t="n">
        <v>21000</v>
      </c>
      <c r="C789" s="22" t="inlineStr">
        <is>
          <t>SELİM İNŞAAT</t>
        </is>
      </c>
      <c r="D789" s="21" t="inlineStr">
        <is>
          <t>34 GUS 938</t>
        </is>
      </c>
      <c r="E789" s="21" t="inlineStr">
        <is>
          <t>MEHMET KAYA</t>
        </is>
      </c>
      <c r="F789" s="23" t="n">
        <v>161517</v>
      </c>
      <c r="G789" s="138" t="n"/>
      <c r="H789" s="138" t="n">
        <v>243</v>
      </c>
      <c r="I789" s="138">
        <f>+I788+(G789-H789)</f>
        <v/>
      </c>
      <c r="J789" s="139" t="n">
        <v>39.817</v>
      </c>
      <c r="K789" s="140" t="n"/>
      <c r="L789" s="140">
        <f>+H789*J789</f>
        <v/>
      </c>
      <c r="M789" s="141">
        <f>SUM(M788+K789-L789)</f>
        <v/>
      </c>
    </row>
    <row r="790">
      <c r="A790" s="20" t="n">
        <v>45716</v>
      </c>
      <c r="B790" s="21" t="n">
        <v>11127</v>
      </c>
      <c r="C790" s="22" t="inlineStr">
        <is>
          <t>SELİM İNŞAAT</t>
        </is>
      </c>
      <c r="D790" s="21" t="inlineStr">
        <is>
          <t>34 DTV 409</t>
        </is>
      </c>
      <c r="E790" s="21" t="inlineStr">
        <is>
          <t xml:space="preserve">ONUR CANLI </t>
        </is>
      </c>
      <c r="F790" s="23" t="n">
        <v>397461</v>
      </c>
      <c r="G790" s="138" t="n"/>
      <c r="H790" s="138" t="n">
        <v>485</v>
      </c>
      <c r="I790" s="138">
        <f>+I789+(G790-H790)</f>
        <v/>
      </c>
      <c r="J790" s="139" t="n">
        <v>39.817</v>
      </c>
      <c r="K790" s="140" t="n"/>
      <c r="L790" s="140">
        <f>+H790*J790</f>
        <v/>
      </c>
      <c r="M790" s="141">
        <f>SUM(M789+K790-L790)</f>
        <v/>
      </c>
    </row>
    <row r="791">
      <c r="A791" s="20" t="n">
        <v>45716</v>
      </c>
      <c r="B791" s="21" t="n">
        <v>21999</v>
      </c>
      <c r="C791" s="22" t="inlineStr">
        <is>
          <t>SELİM İNŞAAT</t>
        </is>
      </c>
      <c r="D791" s="21" t="inlineStr">
        <is>
          <t>34 EGR 737</t>
        </is>
      </c>
      <c r="E791" s="21" t="inlineStr">
        <is>
          <t>İBRAHİM GÜNASLAN</t>
        </is>
      </c>
      <c r="F791" s="23" t="n">
        <v>394413</v>
      </c>
      <c r="G791" s="138" t="n"/>
      <c r="H791" s="138" t="n">
        <v>324</v>
      </c>
      <c r="I791" s="138">
        <f>+I790+(G791-H791)</f>
        <v/>
      </c>
      <c r="J791" s="139" t="n">
        <v>39.817</v>
      </c>
      <c r="K791" s="140" t="n"/>
      <c r="L791" s="140">
        <f>+H791*J791</f>
        <v/>
      </c>
      <c r="M791" s="141">
        <f>SUM(M790+K791-L791)</f>
        <v/>
      </c>
    </row>
    <row r="792">
      <c r="A792" s="20" t="n">
        <v>45716</v>
      </c>
      <c r="B792" s="21" t="n">
        <v>21479</v>
      </c>
      <c r="C792" s="22" t="inlineStr">
        <is>
          <t>SELİM İNŞAAT</t>
        </is>
      </c>
      <c r="D792" s="21" t="inlineStr">
        <is>
          <t>34 GVZ 635</t>
        </is>
      </c>
      <c r="E792" s="21" t="inlineStr">
        <is>
          <t>ENGİN DEMİR</t>
        </is>
      </c>
      <c r="F792" s="23" t="n">
        <v>149643</v>
      </c>
      <c r="G792" s="138" t="n"/>
      <c r="H792" s="138" t="n">
        <v>311</v>
      </c>
      <c r="I792" s="138">
        <f>+I791+(G792-H792)</f>
        <v/>
      </c>
      <c r="J792" s="139" t="n">
        <v>39.817</v>
      </c>
      <c r="K792" s="140" t="n"/>
      <c r="L792" s="140">
        <f>+H792*J792</f>
        <v/>
      </c>
      <c r="M792" s="141">
        <f>SUM(M791+K792-L792)</f>
        <v/>
      </c>
    </row>
    <row r="793">
      <c r="A793" s="20" t="n">
        <v>45716</v>
      </c>
      <c r="B793" s="21" t="n">
        <v>11784</v>
      </c>
      <c r="C793" s="22" t="inlineStr">
        <is>
          <t>SELİM İNŞAAT</t>
        </is>
      </c>
      <c r="D793" s="21" t="inlineStr">
        <is>
          <t>34 EDC 086</t>
        </is>
      </c>
      <c r="E793" s="21" t="inlineStr">
        <is>
          <t>ÖMER AĞAYAR</t>
        </is>
      </c>
      <c r="F793" s="23" t="n">
        <v>305339</v>
      </c>
      <c r="G793" s="138" t="n"/>
      <c r="H793" s="138" t="n">
        <v>200</v>
      </c>
      <c r="I793" s="138">
        <f>+I792+(G793-H793)</f>
        <v/>
      </c>
      <c r="J793" s="139" t="n">
        <v>39.817</v>
      </c>
      <c r="K793" s="140" t="n"/>
      <c r="L793" s="140">
        <f>+H793*J793</f>
        <v/>
      </c>
      <c r="M793" s="141">
        <f>SUM(M792+K793-L793)</f>
        <v/>
      </c>
    </row>
    <row r="794">
      <c r="A794" s="20" t="n">
        <v>45716</v>
      </c>
      <c r="B794" s="21" t="n">
        <v>9789</v>
      </c>
      <c r="C794" s="22" t="inlineStr">
        <is>
          <t>SELİM İNŞAAT</t>
        </is>
      </c>
      <c r="D794" s="21" t="inlineStr">
        <is>
          <t>34 GVZ 268</t>
        </is>
      </c>
      <c r="E794" s="21" t="inlineStr">
        <is>
          <t>KERİM KARAMAN</t>
        </is>
      </c>
      <c r="F794" s="23" t="n">
        <v>166671</v>
      </c>
      <c r="G794" s="138" t="n"/>
      <c r="H794" s="138" t="n">
        <v>232</v>
      </c>
      <c r="I794" s="138">
        <f>+I793+(G794-H794)</f>
        <v/>
      </c>
      <c r="J794" s="139" t="n">
        <v>39.817</v>
      </c>
      <c r="K794" s="140" t="n"/>
      <c r="L794" s="140">
        <f>+H794*J794</f>
        <v/>
      </c>
      <c r="M794" s="141">
        <f>SUM(M793+K794-L794)</f>
        <v/>
      </c>
    </row>
    <row r="795">
      <c r="A795" s="20" t="n">
        <v>45716</v>
      </c>
      <c r="B795" s="21" t="n">
        <v>14002</v>
      </c>
      <c r="C795" s="22" t="inlineStr">
        <is>
          <t>SELİM İNŞAAT</t>
        </is>
      </c>
      <c r="D795" s="21" t="inlineStr">
        <is>
          <t>34 GVZ 310</t>
        </is>
      </c>
      <c r="E795" s="21" t="inlineStr">
        <is>
          <t>CELAL YÜZBAŞI</t>
        </is>
      </c>
      <c r="F795" s="23" t="n">
        <v>171124</v>
      </c>
      <c r="G795" s="138" t="n"/>
      <c r="H795" s="138" t="n">
        <v>292</v>
      </c>
      <c r="I795" s="138">
        <f>+I794+(G795-H795)</f>
        <v/>
      </c>
      <c r="J795" s="139" t="n">
        <v>39.817</v>
      </c>
      <c r="K795" s="140" t="n"/>
      <c r="L795" s="140">
        <f>+H795*J795</f>
        <v/>
      </c>
      <c r="M795" s="141">
        <f>SUM(M794+K795-L795)</f>
        <v/>
      </c>
    </row>
    <row r="796">
      <c r="A796" s="20" t="n">
        <v>45716</v>
      </c>
      <c r="B796" s="21" t="n">
        <v>10358</v>
      </c>
      <c r="C796" s="22" t="inlineStr">
        <is>
          <t>SELİM İNŞAAT</t>
        </is>
      </c>
      <c r="D796" s="21" t="inlineStr">
        <is>
          <t>34 DRU 690</t>
        </is>
      </c>
      <c r="E796" s="21" t="inlineStr">
        <is>
          <t>MUHAMMER ÇAMLI</t>
        </is>
      </c>
      <c r="F796" s="23" t="n">
        <v>391251</v>
      </c>
      <c r="G796" s="138" t="n"/>
      <c r="H796" s="138" t="n">
        <v>334</v>
      </c>
      <c r="I796" s="138">
        <f>+I795+(G796-H796)</f>
        <v/>
      </c>
      <c r="J796" s="139" t="n">
        <v>39.817</v>
      </c>
      <c r="K796" s="140" t="n"/>
      <c r="L796" s="140">
        <f>+H796*J796</f>
        <v/>
      </c>
      <c r="M796" s="141">
        <f>SUM(M795+K796-L796)</f>
        <v/>
      </c>
    </row>
    <row r="797">
      <c r="A797" s="20" t="n">
        <v>45716</v>
      </c>
      <c r="B797" s="21" t="n">
        <v>10319</v>
      </c>
      <c r="C797" s="22" t="inlineStr">
        <is>
          <t>SELİM İNŞAAT</t>
        </is>
      </c>
      <c r="D797" s="21" t="inlineStr">
        <is>
          <t>34 EDB 829</t>
        </is>
      </c>
      <c r="E797" s="21" t="inlineStr">
        <is>
          <t>İSMET BAYRAM</t>
        </is>
      </c>
      <c r="F797" s="23" t="n">
        <v>294493</v>
      </c>
      <c r="G797" s="138" t="n"/>
      <c r="H797" s="138" t="n">
        <v>279</v>
      </c>
      <c r="I797" s="138">
        <f>+I796+(G797-H797)</f>
        <v/>
      </c>
      <c r="J797" s="139" t="n">
        <v>39.817</v>
      </c>
      <c r="K797" s="140" t="n"/>
      <c r="L797" s="140">
        <f>+H797*J797</f>
        <v/>
      </c>
      <c r="M797" s="141">
        <f>SUM(M796+K797-L797)</f>
        <v/>
      </c>
    </row>
    <row r="798">
      <c r="A798" s="20" t="n">
        <v>45716</v>
      </c>
      <c r="B798" s="21" t="n">
        <v>11273</v>
      </c>
      <c r="C798" s="22" t="inlineStr">
        <is>
          <t>SELİM İNŞAAT</t>
        </is>
      </c>
      <c r="D798" s="21" t="inlineStr">
        <is>
          <t>34 EDC 162</t>
        </is>
      </c>
      <c r="E798" s="21" t="inlineStr">
        <is>
          <t xml:space="preserve">YAKUP GÜNER </t>
        </is>
      </c>
      <c r="F798" s="23" t="n">
        <v>341646</v>
      </c>
      <c r="G798" s="138" t="n"/>
      <c r="H798" s="138" t="n">
        <v>272</v>
      </c>
      <c r="I798" s="138">
        <f>+I797+(G798-H798)</f>
        <v/>
      </c>
      <c r="J798" s="139" t="n">
        <v>39.817</v>
      </c>
      <c r="K798" s="140" t="n"/>
      <c r="L798" s="140">
        <f>+H798*J798</f>
        <v/>
      </c>
      <c r="M798" s="141">
        <f>SUM(M797+K798-L798)</f>
        <v/>
      </c>
    </row>
    <row r="799">
      <c r="A799" s="20" t="n">
        <v>45716</v>
      </c>
      <c r="B799" s="21" t="n">
        <v>14452</v>
      </c>
      <c r="C799" s="22" t="inlineStr">
        <is>
          <t>SELİM İNŞAAT</t>
        </is>
      </c>
      <c r="D799" s="21" t="inlineStr">
        <is>
          <t>34 GUS 848</t>
        </is>
      </c>
      <c r="E799" s="21" t="inlineStr">
        <is>
          <t>SERDAR BOZKURT</t>
        </is>
      </c>
      <c r="F799" s="23" t="n">
        <v>166168</v>
      </c>
      <c r="G799" s="138" t="n"/>
      <c r="H799" s="138" t="n">
        <v>315</v>
      </c>
      <c r="I799" s="138">
        <f>+I798+(G799-H799)</f>
        <v/>
      </c>
      <c r="J799" s="139" t="n">
        <v>39.817</v>
      </c>
      <c r="K799" s="140" t="n"/>
      <c r="L799" s="140">
        <f>+H799*J799</f>
        <v/>
      </c>
      <c r="M799" s="141">
        <f>SUM(M798+K799-L799)</f>
        <v/>
      </c>
    </row>
    <row r="800">
      <c r="A800" s="20" t="n">
        <v>45716</v>
      </c>
      <c r="B800" s="21" t="n">
        <v>10278</v>
      </c>
      <c r="C800" s="22" t="inlineStr">
        <is>
          <t>SELİM İNŞAAT</t>
        </is>
      </c>
      <c r="D800" s="21" t="inlineStr">
        <is>
          <t>34 FBR 748</t>
        </is>
      </c>
      <c r="E800" s="21" t="inlineStr">
        <is>
          <t>YAŞAR ÖZKAYA</t>
        </is>
      </c>
      <c r="F800" s="23" t="n">
        <v>261156</v>
      </c>
      <c r="G800" s="138" t="n"/>
      <c r="H800" s="138" t="n">
        <v>307</v>
      </c>
      <c r="I800" s="138">
        <f>+I799+(G800-H800)</f>
        <v/>
      </c>
      <c r="J800" s="139" t="n">
        <v>39.817</v>
      </c>
      <c r="K800" s="140" t="n"/>
      <c r="L800" s="140">
        <f>+H800*J800</f>
        <v/>
      </c>
      <c r="M800" s="141">
        <f>SUM(M799+K800-L800)</f>
        <v/>
      </c>
    </row>
    <row r="801">
      <c r="A801" s="20" t="n">
        <v>45716</v>
      </c>
      <c r="B801" s="21" t="n">
        <v>11462</v>
      </c>
      <c r="C801" s="22" t="inlineStr">
        <is>
          <t>METİN ŞİRİN</t>
        </is>
      </c>
      <c r="D801" s="21" t="inlineStr">
        <is>
          <t>34 EGR 922</t>
        </is>
      </c>
      <c r="E801" s="21" t="inlineStr">
        <is>
          <t>GÜRAY KOYUNCU</t>
        </is>
      </c>
      <c r="F801" s="23" t="n">
        <v>435092</v>
      </c>
      <c r="G801" s="138" t="n"/>
      <c r="H801" s="138" t="n">
        <v>403</v>
      </c>
      <c r="I801" s="138">
        <f>+I800+(G801-H801)</f>
        <v/>
      </c>
      <c r="J801" s="139" t="n">
        <v>39.817</v>
      </c>
      <c r="K801" s="140" t="n"/>
      <c r="L801" s="140">
        <f>+H801*J801</f>
        <v/>
      </c>
      <c r="M801" s="141">
        <f>SUM(M800+K801-L801)</f>
        <v/>
      </c>
    </row>
    <row r="802">
      <c r="A802" s="20" t="n">
        <v>45716</v>
      </c>
      <c r="B802" s="21" t="n">
        <v>11698</v>
      </c>
      <c r="C802" s="22" t="inlineStr">
        <is>
          <t>METİN ERYİĞİT</t>
        </is>
      </c>
      <c r="D802" s="21" t="inlineStr">
        <is>
          <t>34 GBL 998</t>
        </is>
      </c>
      <c r="E802" s="21" t="inlineStr">
        <is>
          <t>ALİ KESKİN</t>
        </is>
      </c>
      <c r="F802" s="23" t="n">
        <v>243761</v>
      </c>
      <c r="G802" s="138" t="n"/>
      <c r="H802" s="138" t="n">
        <v>352</v>
      </c>
      <c r="I802" s="138">
        <f>+I801+(G802-H802)</f>
        <v/>
      </c>
      <c r="J802" s="139" t="n">
        <v>39.817</v>
      </c>
      <c r="K802" s="140" t="n"/>
      <c r="L802" s="140">
        <f>+H802*J802</f>
        <v/>
      </c>
      <c r="M802" s="141">
        <f>SUM(M801+K802-L802)</f>
        <v/>
      </c>
    </row>
    <row r="803">
      <c r="A803" s="20" t="n">
        <v>45716</v>
      </c>
      <c r="B803" s="21" t="n">
        <v>11428</v>
      </c>
      <c r="C803" s="22" t="inlineStr">
        <is>
          <t>METİN ERYİĞİT</t>
        </is>
      </c>
      <c r="D803" s="21" t="inlineStr">
        <is>
          <t>34 EGR 814</t>
        </is>
      </c>
      <c r="E803" s="21" t="inlineStr">
        <is>
          <t>FARUK ÖZEN</t>
        </is>
      </c>
      <c r="F803" s="23" t="n">
        <v>518142</v>
      </c>
      <c r="G803" s="138" t="n"/>
      <c r="H803" s="138" t="n">
        <v>343</v>
      </c>
      <c r="I803" s="138">
        <f>+I802+(G803-H803)</f>
        <v/>
      </c>
      <c r="J803" s="139" t="n">
        <v>39.817</v>
      </c>
      <c r="K803" s="140" t="n"/>
      <c r="L803" s="140">
        <f>+H803*J803</f>
        <v/>
      </c>
      <c r="M803" s="141">
        <f>SUM(M802+K803-L803)</f>
        <v/>
      </c>
    </row>
    <row r="804">
      <c r="A804" s="20" t="n">
        <v>45716</v>
      </c>
      <c r="B804" s="1" t="n">
        <v>14931</v>
      </c>
      <c r="C804" s="2" t="inlineStr">
        <is>
          <t>HASALTUN</t>
        </is>
      </c>
      <c r="D804" s="1" t="inlineStr">
        <is>
          <t>KAVAZAKİ</t>
        </is>
      </c>
      <c r="E804" s="1" t="inlineStr">
        <is>
          <t>UFUK SEVAL</t>
        </is>
      </c>
      <c r="F804" s="3" t="n"/>
      <c r="G804" s="143" t="n"/>
      <c r="H804" s="143" t="n">
        <v>214</v>
      </c>
      <c r="I804" s="143">
        <f>+I803+(G804-H804)</f>
        <v/>
      </c>
      <c r="J804" s="144" t="n">
        <v>39.817</v>
      </c>
      <c r="K804" s="145" t="n"/>
      <c r="L804" s="140">
        <f>+H804*J804</f>
        <v/>
      </c>
      <c r="M804" s="141">
        <f>SUM(M803+K804-L804)</f>
        <v/>
      </c>
    </row>
    <row r="805">
      <c r="A805" s="20" t="n">
        <v>45716</v>
      </c>
      <c r="B805" s="1" t="n">
        <v>14930</v>
      </c>
      <c r="C805" s="2" t="inlineStr">
        <is>
          <t>HASALTUN</t>
        </is>
      </c>
      <c r="D805" s="1" t="inlineStr">
        <is>
          <t>SİLİNDİR</t>
        </is>
      </c>
      <c r="E805" s="1" t="inlineStr">
        <is>
          <t>RAMAZAN KAYA</t>
        </is>
      </c>
      <c r="F805" s="3" t="n"/>
      <c r="G805" s="143" t="n"/>
      <c r="H805" s="143" t="n">
        <v>168</v>
      </c>
      <c r="I805" s="143">
        <f>+I804+(G805-H805)</f>
        <v/>
      </c>
      <c r="J805" s="144" t="n">
        <v>39.817</v>
      </c>
      <c r="K805" s="145" t="n"/>
      <c r="L805" s="140">
        <f>+H805*J805</f>
        <v/>
      </c>
      <c r="M805" s="141">
        <f>SUM(M804+K805-L805)</f>
        <v/>
      </c>
    </row>
    <row r="806">
      <c r="A806" s="20" t="n">
        <v>45716</v>
      </c>
      <c r="B806" s="1" t="n">
        <v>14929</v>
      </c>
      <c r="C806" s="2" t="inlineStr">
        <is>
          <t>HASALTUN</t>
        </is>
      </c>
      <c r="D806" s="1" t="inlineStr">
        <is>
          <t>SM 350</t>
        </is>
      </c>
      <c r="E806" s="1" t="inlineStr">
        <is>
          <t>TEVFİK ÖZTÜRK</t>
        </is>
      </c>
      <c r="F806" s="3" t="n"/>
      <c r="G806" s="143" t="n"/>
      <c r="H806" s="143" t="n">
        <v>314</v>
      </c>
      <c r="I806" s="143">
        <f>+I805+(G806-H806)</f>
        <v/>
      </c>
      <c r="J806" s="144" t="n">
        <v>39.817</v>
      </c>
      <c r="K806" s="145" t="n"/>
      <c r="L806" s="140">
        <f>+H806*J806</f>
        <v/>
      </c>
      <c r="M806" s="141">
        <f>SUM(M805+K806-L806)</f>
        <v/>
      </c>
    </row>
    <row r="807">
      <c r="A807" s="20" t="n">
        <v>45716</v>
      </c>
      <c r="B807" s="1" t="n">
        <v>14928</v>
      </c>
      <c r="C807" s="2" t="inlineStr">
        <is>
          <t>HASALTUN</t>
        </is>
      </c>
      <c r="D807" s="1" t="inlineStr">
        <is>
          <t>SM 370</t>
        </is>
      </c>
      <c r="E807" s="1" t="inlineStr">
        <is>
          <t>TEKİN ŞEYLAN</t>
        </is>
      </c>
      <c r="F807" s="3" t="n"/>
      <c r="G807" s="143" t="n"/>
      <c r="H807" s="143" t="n">
        <v>447</v>
      </c>
      <c r="I807" s="143">
        <f>+I806+(G807-H807)</f>
        <v/>
      </c>
      <c r="J807" s="144" t="n">
        <v>39.817</v>
      </c>
      <c r="K807" s="145" t="n"/>
      <c r="L807" s="140">
        <f>+H807*J807</f>
        <v/>
      </c>
      <c r="M807" s="141">
        <f>SUM(M806+K807-L807)</f>
        <v/>
      </c>
    </row>
    <row r="808">
      <c r="A808" s="20" t="n">
        <v>45716</v>
      </c>
      <c r="B808" s="1" t="n">
        <v>14927</v>
      </c>
      <c r="C808" s="2" t="inlineStr">
        <is>
          <t>HASALTUN</t>
        </is>
      </c>
      <c r="D808" s="1" t="inlineStr">
        <is>
          <t>SM 300</t>
        </is>
      </c>
      <c r="E808" s="1" t="inlineStr">
        <is>
          <t>TURGUT SANCAK</t>
        </is>
      </c>
      <c r="F808" s="3" t="n"/>
      <c r="G808" s="143" t="n"/>
      <c r="H808" s="143" t="n">
        <v>275</v>
      </c>
      <c r="I808" s="143">
        <f>+I807+(G808-H808)</f>
        <v/>
      </c>
      <c r="J808" s="144" t="n">
        <v>39.817</v>
      </c>
      <c r="K808" s="145" t="n"/>
      <c r="L808" s="140">
        <f>+H808*J808</f>
        <v/>
      </c>
      <c r="M808" s="141">
        <f>SUM(M807+K808-L808)</f>
        <v/>
      </c>
    </row>
    <row r="809">
      <c r="A809" s="20" t="n">
        <v>45716</v>
      </c>
      <c r="B809" s="21" t="n">
        <v>11060</v>
      </c>
      <c r="C809" s="22" t="inlineStr">
        <is>
          <t>SELİM İNŞAAT</t>
        </is>
      </c>
      <c r="D809" s="21" t="inlineStr">
        <is>
          <t>34 HBY 763</t>
        </is>
      </c>
      <c r="E809" s="21" t="inlineStr">
        <is>
          <t>EMİRCAN ÖZTÜRK</t>
        </is>
      </c>
      <c r="F809" s="23" t="n">
        <v>12987</v>
      </c>
      <c r="G809" s="138" t="n"/>
      <c r="H809" s="138" t="n">
        <v>117</v>
      </c>
      <c r="I809" s="138">
        <f>+I808+(G809-H809)</f>
        <v/>
      </c>
      <c r="J809" s="139" t="n">
        <v>39.817</v>
      </c>
      <c r="K809" s="140" t="n"/>
      <c r="L809" s="140">
        <f>+H809*J809</f>
        <v/>
      </c>
      <c r="M809" s="141">
        <f>SUM(M808+K809-L809)</f>
        <v/>
      </c>
    </row>
    <row r="810">
      <c r="A810" s="20" t="n">
        <v>45716</v>
      </c>
      <c r="B810" s="21" t="n">
        <v>11888</v>
      </c>
      <c r="C810" s="22" t="inlineStr">
        <is>
          <t>SELİM İNŞAAT</t>
        </is>
      </c>
      <c r="D810" s="21" t="inlineStr">
        <is>
          <t>34 DFE 454</t>
        </is>
      </c>
      <c r="E810" s="21" t="inlineStr">
        <is>
          <t>HASAN BAYCAN</t>
        </is>
      </c>
      <c r="F810" s="23" t="n">
        <v>154888</v>
      </c>
      <c r="G810" s="138" t="n"/>
      <c r="H810" s="138" t="n">
        <v>223</v>
      </c>
      <c r="I810" s="138">
        <f>+I809+(G810-H810)</f>
        <v/>
      </c>
      <c r="J810" s="139" t="n">
        <v>39.817</v>
      </c>
      <c r="K810" s="140" t="n"/>
      <c r="L810" s="140">
        <f>+H810*J810</f>
        <v/>
      </c>
      <c r="M810" s="141">
        <f>SUM(M809+K810-L810)</f>
        <v/>
      </c>
    </row>
    <row r="811">
      <c r="A811" s="20" t="n">
        <v>45716</v>
      </c>
      <c r="B811" s="21" t="n">
        <v>11990</v>
      </c>
      <c r="C811" s="22" t="inlineStr">
        <is>
          <t>SELİM İNŞAAT</t>
        </is>
      </c>
      <c r="D811" s="21" t="inlineStr">
        <is>
          <t>34 DKL 798</t>
        </is>
      </c>
      <c r="E811" s="21" t="inlineStr">
        <is>
          <t>VOLKAN YANAR</t>
        </is>
      </c>
      <c r="F811" s="23" t="n">
        <v>61309</v>
      </c>
      <c r="G811" s="138" t="n"/>
      <c r="H811" s="138" t="n">
        <v>155</v>
      </c>
      <c r="I811" s="138">
        <f>+I810+(G811-H811)</f>
        <v/>
      </c>
      <c r="J811" s="139" t="n">
        <v>39.817</v>
      </c>
      <c r="K811" s="140" t="n"/>
      <c r="L811" s="140">
        <f>+H811*J811</f>
        <v/>
      </c>
      <c r="M811" s="141">
        <f>SUM(M810+K811-L811)</f>
        <v/>
      </c>
    </row>
    <row r="812">
      <c r="A812" s="20" t="n">
        <v>45716</v>
      </c>
      <c r="B812" s="21" t="n">
        <v>20300</v>
      </c>
      <c r="C812" s="22" t="inlineStr">
        <is>
          <t>SELİM İNŞAAT</t>
        </is>
      </c>
      <c r="D812" s="21" t="inlineStr">
        <is>
          <t>34 DKL 866</t>
        </is>
      </c>
      <c r="E812" s="21" t="inlineStr">
        <is>
          <t>SELİM CAN ÖNVER</t>
        </is>
      </c>
      <c r="F812" s="23" t="n">
        <v>61170</v>
      </c>
      <c r="G812" s="138" t="n"/>
      <c r="H812" s="138" t="n">
        <v>118</v>
      </c>
      <c r="I812" s="138">
        <f>+I811+(G812-H812)</f>
        <v/>
      </c>
      <c r="J812" s="139" t="n">
        <v>39.817</v>
      </c>
      <c r="K812" s="140" t="n"/>
      <c r="L812" s="140">
        <f>+H812*J812</f>
        <v/>
      </c>
      <c r="M812" s="141">
        <f>SUM(M811+K812-L812)</f>
        <v/>
      </c>
    </row>
    <row r="813">
      <c r="A813" s="20" t="n">
        <v>45716</v>
      </c>
      <c r="B813" s="21" t="n">
        <v>10127</v>
      </c>
      <c r="C813" s="22" t="inlineStr">
        <is>
          <t>SELİM İNŞAAT</t>
        </is>
      </c>
      <c r="D813" s="21" t="inlineStr">
        <is>
          <t>34 DP 4161</t>
        </is>
      </c>
      <c r="E813" s="21" t="inlineStr">
        <is>
          <t>RIFAT KARATAY</t>
        </is>
      </c>
      <c r="F813" s="23" t="n">
        <v>279801</v>
      </c>
      <c r="G813" s="138" t="n"/>
      <c r="H813" s="138" t="n">
        <v>221</v>
      </c>
      <c r="I813" s="138">
        <f>+I812+(G813-H813)</f>
        <v/>
      </c>
      <c r="J813" s="139" t="n">
        <v>39.817</v>
      </c>
      <c r="K813" s="140" t="n"/>
      <c r="L813" s="140">
        <f>+H813*J813</f>
        <v/>
      </c>
      <c r="M813" s="141">
        <f>SUM(M812+K813-L813)</f>
        <v/>
      </c>
    </row>
    <row r="814">
      <c r="A814" s="20" t="n">
        <v>45717</v>
      </c>
      <c r="B814" s="21" t="n">
        <v>11785</v>
      </c>
      <c r="C814" s="22" t="inlineStr">
        <is>
          <t>SELİM İNŞAAT</t>
        </is>
      </c>
      <c r="D814" s="21" t="inlineStr">
        <is>
          <t>34 EDC 086</t>
        </is>
      </c>
      <c r="E814" s="21" t="inlineStr">
        <is>
          <t>ÖMER AĞAYAR</t>
        </is>
      </c>
      <c r="F814" s="23" t="n">
        <v>305908</v>
      </c>
      <c r="G814" s="138" t="n"/>
      <c r="H814" s="138" t="n">
        <v>342</v>
      </c>
      <c r="I814" s="138">
        <f>+I813+(G814-H814)</f>
        <v/>
      </c>
      <c r="J814" s="139" t="n">
        <v>39.817</v>
      </c>
      <c r="K814" s="140" t="n"/>
      <c r="L814" s="140">
        <f>+H814*J814</f>
        <v/>
      </c>
      <c r="M814" s="141">
        <f>SUM(M813+K814-L814)</f>
        <v/>
      </c>
    </row>
    <row r="815">
      <c r="A815" s="20" t="n">
        <v>45717</v>
      </c>
      <c r="B815" s="21" t="n">
        <v>10208</v>
      </c>
      <c r="C815" s="22" t="inlineStr">
        <is>
          <t>SELİM İNŞAAT</t>
        </is>
      </c>
      <c r="D815" s="21" t="inlineStr">
        <is>
          <t>34 DSN 621</t>
        </is>
      </c>
      <c r="E815" s="21" t="inlineStr">
        <is>
          <t>MUSTAFA KAYA</t>
        </is>
      </c>
      <c r="F815" s="23" t="n">
        <v>390913</v>
      </c>
      <c r="G815" s="138" t="n"/>
      <c r="H815" s="138" t="n">
        <v>369</v>
      </c>
      <c r="I815" s="138">
        <f>+I814+(G815-H815)</f>
        <v/>
      </c>
      <c r="J815" s="139" t="n">
        <v>39.817</v>
      </c>
      <c r="K815" s="140" t="n"/>
      <c r="L815" s="140">
        <f>+H815*J815</f>
        <v/>
      </c>
      <c r="M815" s="141">
        <f>SUM(M814+K815-L815)</f>
        <v/>
      </c>
    </row>
    <row r="816">
      <c r="A816" s="20" t="n">
        <v>45717</v>
      </c>
      <c r="B816" s="21" t="n">
        <v>10685</v>
      </c>
      <c r="C816" s="22" t="inlineStr">
        <is>
          <t>SELİM İNŞAAT</t>
        </is>
      </c>
      <c r="D816" s="21" t="inlineStr">
        <is>
          <t>34 DTV 599</t>
        </is>
      </c>
      <c r="E816" s="21" t="inlineStr">
        <is>
          <t>FERHAT GÜRLER</t>
        </is>
      </c>
      <c r="F816" s="23" t="n">
        <v>411496</v>
      </c>
      <c r="G816" s="138" t="n"/>
      <c r="H816" s="138" t="n">
        <v>382</v>
      </c>
      <c r="I816" s="138">
        <f>+I815+(G816-H816)</f>
        <v/>
      </c>
      <c r="J816" s="139" t="n">
        <v>39.817</v>
      </c>
      <c r="K816" s="140" t="n"/>
      <c r="L816" s="140">
        <f>+H816*J816</f>
        <v/>
      </c>
      <c r="M816" s="141">
        <f>SUM(M815+K816-L816)</f>
        <v/>
      </c>
    </row>
    <row r="817">
      <c r="A817" s="20" t="n">
        <v>45717</v>
      </c>
      <c r="B817" s="21" t="n">
        <v>10989</v>
      </c>
      <c r="C817" s="22" t="inlineStr">
        <is>
          <t>SELİM İNŞAAT</t>
        </is>
      </c>
      <c r="D817" s="21" t="inlineStr">
        <is>
          <t>34 GVZ 199</t>
        </is>
      </c>
      <c r="E817" s="21" t="inlineStr">
        <is>
          <t>VAHDET GÜRLER</t>
        </is>
      </c>
      <c r="F817" s="23" t="n">
        <v>156918</v>
      </c>
      <c r="G817" s="138" t="n"/>
      <c r="H817" s="138" t="n">
        <v>254</v>
      </c>
      <c r="I817" s="138">
        <f>+I816+(G817-H817)</f>
        <v/>
      </c>
      <c r="J817" s="139" t="n">
        <v>39.817</v>
      </c>
      <c r="K817" s="140" t="n"/>
      <c r="L817" s="140">
        <f>+H817*J817</f>
        <v/>
      </c>
      <c r="M817" s="141">
        <f>SUM(M816+K817-L817)</f>
        <v/>
      </c>
    </row>
    <row r="818">
      <c r="A818" s="20" t="n">
        <v>45717</v>
      </c>
      <c r="B818" s="21" t="n">
        <v>10320</v>
      </c>
      <c r="C818" s="22" t="inlineStr">
        <is>
          <t>SELİM İNŞAAT</t>
        </is>
      </c>
      <c r="D818" s="21" t="inlineStr">
        <is>
          <t>34 EDB 829</t>
        </is>
      </c>
      <c r="E818" s="21" t="inlineStr">
        <is>
          <t>İSMET BAYRAM</t>
        </is>
      </c>
      <c r="F818" s="23" t="n">
        <v>294849</v>
      </c>
      <c r="G818" s="138" t="n"/>
      <c r="H818" s="138" t="n">
        <v>210</v>
      </c>
      <c r="I818" s="138">
        <f>+I817+(G818-H818)</f>
        <v/>
      </c>
      <c r="J818" s="139" t="n">
        <v>39.817</v>
      </c>
      <c r="K818" s="140" t="n"/>
      <c r="L818" s="140">
        <f>+H818*J818</f>
        <v/>
      </c>
      <c r="M818" s="141">
        <f>SUM(M817+K818-L818)</f>
        <v/>
      </c>
    </row>
    <row r="819">
      <c r="A819" s="20" t="n">
        <v>45717</v>
      </c>
      <c r="B819" s="21" t="n">
        <v>21540</v>
      </c>
      <c r="C819" s="22" t="inlineStr">
        <is>
          <t>SELİM İNŞAAT</t>
        </is>
      </c>
      <c r="D819" s="21" t="inlineStr">
        <is>
          <t>34 GVZ 745</t>
        </is>
      </c>
      <c r="E819" s="21" t="inlineStr">
        <is>
          <t>MUHAMMED YİĞİT</t>
        </is>
      </c>
      <c r="F819" s="23" t="n">
        <v>163729</v>
      </c>
      <c r="G819" s="138" t="n"/>
      <c r="H819" s="138" t="n">
        <v>455</v>
      </c>
      <c r="I819" s="138">
        <f>+I818+(G819-H819)</f>
        <v/>
      </c>
      <c r="J819" s="139" t="n">
        <v>39.817</v>
      </c>
      <c r="K819" s="140" t="n"/>
      <c r="L819" s="140">
        <f>+H819*J819</f>
        <v/>
      </c>
      <c r="M819" s="141">
        <f>SUM(M818+K819-L819)</f>
        <v/>
      </c>
    </row>
    <row r="820">
      <c r="A820" s="20" t="n">
        <v>45717</v>
      </c>
      <c r="B820" s="21" t="n">
        <v>11720</v>
      </c>
      <c r="C820" s="22" t="inlineStr">
        <is>
          <t>SELİM İNŞAAT</t>
        </is>
      </c>
      <c r="D820" s="21" t="inlineStr">
        <is>
          <t>34 EDB 559</t>
        </is>
      </c>
      <c r="E820" s="21" t="inlineStr">
        <is>
          <t>CEM MUHTAR</t>
        </is>
      </c>
      <c r="F820" s="23" t="n">
        <v>306053</v>
      </c>
      <c r="G820" s="138" t="n"/>
      <c r="H820" s="138" t="n">
        <v>158</v>
      </c>
      <c r="I820" s="138">
        <f>+I819+(G820-H820)</f>
        <v/>
      </c>
      <c r="J820" s="139" t="n">
        <v>39.817</v>
      </c>
      <c r="K820" s="140" t="n"/>
      <c r="L820" s="140">
        <f>+H820*J820</f>
        <v/>
      </c>
      <c r="M820" s="141">
        <f>SUM(M819+K820-L820)</f>
        <v/>
      </c>
    </row>
    <row r="821">
      <c r="A821" s="20" t="n">
        <v>45717</v>
      </c>
      <c r="B821" s="21" t="n">
        <v>10514</v>
      </c>
      <c r="C821" s="22" t="inlineStr">
        <is>
          <t>SELİM İNŞAAT</t>
        </is>
      </c>
      <c r="D821" s="21" t="inlineStr">
        <is>
          <t>34 EDB 922</t>
        </is>
      </c>
      <c r="E821" s="21" t="inlineStr">
        <is>
          <t>AHMET TOPÇU</t>
        </is>
      </c>
      <c r="F821" s="23" t="n">
        <v>334533</v>
      </c>
      <c r="G821" s="138" t="n"/>
      <c r="H821" s="138" t="n">
        <v>403</v>
      </c>
      <c r="I821" s="138">
        <f>+I820+(G821-H821)</f>
        <v/>
      </c>
      <c r="J821" s="139" t="n">
        <v>39.817</v>
      </c>
      <c r="K821" s="140" t="n"/>
      <c r="L821" s="140">
        <f>+H821*J821</f>
        <v/>
      </c>
      <c r="M821" s="141">
        <f>SUM(M820+K821-L821)</f>
        <v/>
      </c>
    </row>
    <row r="822">
      <c r="A822" s="20" t="n">
        <v>45717</v>
      </c>
      <c r="B822" s="21" t="n">
        <v>10173</v>
      </c>
      <c r="C822" s="22" t="inlineStr">
        <is>
          <t>SELİM İNŞAAT</t>
        </is>
      </c>
      <c r="D822" s="21" t="inlineStr">
        <is>
          <t>34 EGR 736</t>
        </is>
      </c>
      <c r="E822" s="21" t="inlineStr">
        <is>
          <t>MUHAMMER ÇAMLI</t>
        </is>
      </c>
      <c r="F822" s="23" t="n">
        <v>363857</v>
      </c>
      <c r="G822" s="138" t="n"/>
      <c r="H822" s="138" t="n">
        <v>348</v>
      </c>
      <c r="I822" s="138">
        <f>+I821+(G822-H822)</f>
        <v/>
      </c>
      <c r="J822" s="139" t="n">
        <v>39.817</v>
      </c>
      <c r="K822" s="140" t="n"/>
      <c r="L822" s="140">
        <f>+H822*J822</f>
        <v/>
      </c>
      <c r="M822" s="141">
        <f>SUM(M821+K822-L822)</f>
        <v/>
      </c>
    </row>
    <row r="823">
      <c r="A823" s="20" t="n">
        <v>45717</v>
      </c>
      <c r="B823" s="21" t="n">
        <v>21190</v>
      </c>
      <c r="C823" s="22" t="inlineStr">
        <is>
          <t>SELİM İNŞAAT</t>
        </is>
      </c>
      <c r="D823" s="21" t="inlineStr">
        <is>
          <t>34 DSN 565</t>
        </is>
      </c>
      <c r="E823" s="21" t="inlineStr">
        <is>
          <t>MESUT GÜRLER</t>
        </is>
      </c>
      <c r="F823" s="23" t="n">
        <v>386140</v>
      </c>
      <c r="G823" s="138" t="n"/>
      <c r="H823" s="138" t="n">
        <v>440</v>
      </c>
      <c r="I823" s="138">
        <f>+I822+(G823-H823)</f>
        <v/>
      </c>
      <c r="J823" s="139" t="n">
        <v>39.817</v>
      </c>
      <c r="K823" s="140" t="n"/>
      <c r="L823" s="140">
        <f>+H823*J823</f>
        <v/>
      </c>
      <c r="M823" s="141">
        <f>SUM(M822+K823-L823)</f>
        <v/>
      </c>
    </row>
    <row r="824">
      <c r="A824" s="20" t="n">
        <v>45717</v>
      </c>
      <c r="B824" s="21" t="n">
        <v>11061</v>
      </c>
      <c r="C824" s="22" t="inlineStr">
        <is>
          <t>SELİM İNŞAAT</t>
        </is>
      </c>
      <c r="D824" s="21" t="inlineStr">
        <is>
          <t>34 HBY 763</t>
        </is>
      </c>
      <c r="E824" s="21" t="inlineStr">
        <is>
          <t>EMİRCAN ÖZTÜRK</t>
        </is>
      </c>
      <c r="F824" s="23" t="n">
        <v>13102</v>
      </c>
      <c r="G824" s="138" t="n"/>
      <c r="H824" s="138" t="n">
        <v>192</v>
      </c>
      <c r="I824" s="138">
        <f>+I823+(G824-H824)</f>
        <v/>
      </c>
      <c r="J824" s="139" t="n">
        <v>39.817</v>
      </c>
      <c r="K824" s="140" t="n"/>
      <c r="L824" s="140">
        <f>+H824*J824</f>
        <v/>
      </c>
      <c r="M824" s="141">
        <f>SUM(M823+K824-L824)</f>
        <v/>
      </c>
    </row>
    <row r="825">
      <c r="A825" s="20" t="n">
        <v>45717</v>
      </c>
      <c r="B825" s="21" t="n">
        <v>11991</v>
      </c>
      <c r="C825" s="22" t="inlineStr">
        <is>
          <t>SELİM İNŞAAT</t>
        </is>
      </c>
      <c r="D825" s="21" t="inlineStr">
        <is>
          <t>34 DKL 798</t>
        </is>
      </c>
      <c r="E825" s="21" t="inlineStr">
        <is>
          <t>VOLKAN YANAR</t>
        </is>
      </c>
      <c r="F825" s="23" t="n">
        <v>61386</v>
      </c>
      <c r="G825" s="138" t="n"/>
      <c r="H825" s="138" t="n">
        <v>128</v>
      </c>
      <c r="I825" s="138">
        <f>+I824+(G825-H825)</f>
        <v/>
      </c>
      <c r="J825" s="139" t="n">
        <v>39.817</v>
      </c>
      <c r="K825" s="140" t="n"/>
      <c r="L825" s="140">
        <f>+H825*J825</f>
        <v/>
      </c>
      <c r="M825" s="141">
        <f>SUM(M824+K825-L825)</f>
        <v/>
      </c>
    </row>
    <row r="826">
      <c r="A826" s="20" t="n">
        <v>45717</v>
      </c>
      <c r="B826" s="21" t="n">
        <v>14301</v>
      </c>
      <c r="C826" s="22" t="inlineStr">
        <is>
          <t>SELİM İNŞAAT</t>
        </is>
      </c>
      <c r="D826" s="21" t="inlineStr">
        <is>
          <t>34 DKL 866</t>
        </is>
      </c>
      <c r="E826" s="21" t="inlineStr">
        <is>
          <t>SELİM CAN ÖNVER</t>
        </is>
      </c>
      <c r="F826" s="23" t="n">
        <v>61272</v>
      </c>
      <c r="G826" s="138" t="n"/>
      <c r="H826" s="138" t="n">
        <v>142</v>
      </c>
      <c r="I826" s="138">
        <f>+I825+(G826-H826)</f>
        <v/>
      </c>
      <c r="J826" s="139" t="n">
        <v>39.817</v>
      </c>
      <c r="K826" s="140" t="n"/>
      <c r="L826" s="140">
        <f>+H826*J826</f>
        <v/>
      </c>
      <c r="M826" s="141">
        <f>SUM(M825+K826-L826)</f>
        <v/>
      </c>
    </row>
    <row r="827">
      <c r="A827" s="20" t="n">
        <v>45717</v>
      </c>
      <c r="B827" s="21" t="n">
        <v>10560</v>
      </c>
      <c r="C827" s="22" t="inlineStr">
        <is>
          <t>SELİM İNŞAAT</t>
        </is>
      </c>
      <c r="D827" s="21" t="inlineStr">
        <is>
          <t>34 GU 945</t>
        </is>
      </c>
      <c r="E827" s="21" t="inlineStr">
        <is>
          <t>ÖNER DÜNDAR</t>
        </is>
      </c>
      <c r="F827" s="23" t="n">
        <v>439239</v>
      </c>
      <c r="G827" s="138" t="n"/>
      <c r="H827" s="138" t="n">
        <v>74</v>
      </c>
      <c r="I827" s="138">
        <f>+I826+(G827-H827)</f>
        <v/>
      </c>
      <c r="J827" s="139" t="n">
        <v>39.817</v>
      </c>
      <c r="K827" s="140" t="n"/>
      <c r="L827" s="140">
        <f>+H827*J827</f>
        <v/>
      </c>
      <c r="M827" s="141">
        <f>SUM(M826+K827-L827)</f>
        <v/>
      </c>
    </row>
    <row r="828">
      <c r="A828" s="20" t="n">
        <v>45717</v>
      </c>
      <c r="B828" s="21" t="n">
        <v>16729</v>
      </c>
      <c r="C828" s="22" t="inlineStr">
        <is>
          <t>SELİM İNŞAAT</t>
        </is>
      </c>
      <c r="D828" s="21" t="inlineStr">
        <is>
          <t>34 JBA 25</t>
        </is>
      </c>
      <c r="E828" s="21" t="inlineStr">
        <is>
          <t>ABDURRAHMAN SERDAN</t>
        </is>
      </c>
      <c r="F828" s="23" t="n">
        <v>329604</v>
      </c>
      <c r="G828" s="138" t="n"/>
      <c r="H828" s="138" t="n">
        <v>51</v>
      </c>
      <c r="I828" s="138">
        <f>+I827+(G828-H828)</f>
        <v/>
      </c>
      <c r="J828" s="139" t="n">
        <v>39.817</v>
      </c>
      <c r="K828" s="140" t="n"/>
      <c r="L828" s="140">
        <f>+H828*J828</f>
        <v/>
      </c>
      <c r="M828" s="141">
        <f>SUM(M827+K828-L828)</f>
        <v/>
      </c>
    </row>
    <row r="829">
      <c r="A829" s="20" t="n">
        <v>45717</v>
      </c>
      <c r="B829" s="21" t="n">
        <v>9931</v>
      </c>
      <c r="C829" s="22" t="inlineStr">
        <is>
          <t>EVKUR</t>
        </is>
      </c>
      <c r="D829" s="21" t="inlineStr">
        <is>
          <t>FOKLİFT</t>
        </is>
      </c>
      <c r="E829" s="21" t="inlineStr">
        <is>
          <t>FAHRİ KALFA</t>
        </is>
      </c>
      <c r="F829" s="23" t="n"/>
      <c r="G829" s="138" t="n"/>
      <c r="H829" s="138" t="n">
        <v>41</v>
      </c>
      <c r="I829" s="138">
        <f>+I828+(G829-H829)</f>
        <v/>
      </c>
      <c r="J829" s="139" t="n">
        <v>39.817</v>
      </c>
      <c r="K829" s="140" t="n"/>
      <c r="L829" s="140">
        <f>+H829*J829</f>
        <v/>
      </c>
      <c r="M829" s="141">
        <f>SUM(M828+K829-L829)</f>
        <v/>
      </c>
    </row>
    <row r="830">
      <c r="A830" s="20" t="n">
        <v>45717</v>
      </c>
      <c r="B830" s="21" t="n">
        <v>9937</v>
      </c>
      <c r="C830" s="22" t="inlineStr">
        <is>
          <t>AHMET SELİM TEMHA</t>
        </is>
      </c>
      <c r="D830" s="21" t="inlineStr">
        <is>
          <t>34 DGE 422</t>
        </is>
      </c>
      <c r="E830" s="21" t="inlineStr">
        <is>
          <t>CEMAL AKDAMAR</t>
        </is>
      </c>
      <c r="F830" s="23" t="n"/>
      <c r="G830" s="138" t="n"/>
      <c r="H830" s="138" t="n">
        <v>75</v>
      </c>
      <c r="I830" s="138">
        <f>+I829+(G830-H830)</f>
        <v/>
      </c>
      <c r="J830" s="139" t="n">
        <v>39.817</v>
      </c>
      <c r="K830" s="140" t="n"/>
      <c r="L830" s="140">
        <f>+H830*J830</f>
        <v/>
      </c>
      <c r="M830" s="141">
        <f>SUM(M829+K830-L830)</f>
        <v/>
      </c>
    </row>
    <row r="831">
      <c r="A831" s="20" t="n">
        <v>45717</v>
      </c>
      <c r="B831" s="21" t="n">
        <v>10024</v>
      </c>
      <c r="C831" s="22" t="inlineStr">
        <is>
          <t>METİN ERYİĞİT</t>
        </is>
      </c>
      <c r="D831" s="21" t="inlineStr">
        <is>
          <t>34 EGS 013</t>
        </is>
      </c>
      <c r="E831" s="21" t="inlineStr">
        <is>
          <t>UĞUR DUMAN</t>
        </is>
      </c>
      <c r="F831" s="23" t="n">
        <v>465213</v>
      </c>
      <c r="G831" s="138" t="n"/>
      <c r="H831" s="138" t="n">
        <v>290</v>
      </c>
      <c r="I831" s="138">
        <f>+I830+(G831-H831)</f>
        <v/>
      </c>
      <c r="J831" s="139" t="n">
        <v>39.817</v>
      </c>
      <c r="K831" s="140" t="n"/>
      <c r="L831" s="140">
        <f>+H831*J831</f>
        <v/>
      </c>
      <c r="M831" s="141">
        <f>SUM(M830+K831-L831)</f>
        <v/>
      </c>
    </row>
    <row r="832">
      <c r="A832" s="20" t="n">
        <v>45717</v>
      </c>
      <c r="B832" s="21" t="n">
        <v>14151</v>
      </c>
      <c r="C832" s="22" t="inlineStr">
        <is>
          <t>AZGÜN YAPI</t>
        </is>
      </c>
      <c r="D832" s="21" t="inlineStr">
        <is>
          <t>34 DTV 263</t>
        </is>
      </c>
      <c r="E832" s="21" t="inlineStr">
        <is>
          <t>EDİP TORLAK</t>
        </is>
      </c>
      <c r="F832" s="23" t="n">
        <v>361730</v>
      </c>
      <c r="G832" s="138" t="n"/>
      <c r="H832" s="138" t="n">
        <v>473</v>
      </c>
      <c r="I832" s="138">
        <f>+I831+(G832-H832)</f>
        <v/>
      </c>
      <c r="J832" s="139" t="n">
        <v>39.817</v>
      </c>
      <c r="K832" s="140" t="n"/>
      <c r="L832" s="140">
        <f>+H832*J832</f>
        <v/>
      </c>
      <c r="M832" s="141">
        <f>SUM(M831+K832-L832)</f>
        <v/>
      </c>
    </row>
    <row r="833">
      <c r="A833" s="20" t="n">
        <v>45717</v>
      </c>
      <c r="B833" s="21" t="n">
        <v>11363</v>
      </c>
      <c r="C833" s="22" t="inlineStr">
        <is>
          <t>AZGÜN YAPI</t>
        </is>
      </c>
      <c r="D833" s="21" t="inlineStr">
        <is>
          <t>34 MKT 593</t>
        </is>
      </c>
      <c r="E833" s="21" t="inlineStr">
        <is>
          <t>HASAN ALTUN</t>
        </is>
      </c>
      <c r="F833" s="23" t="n">
        <v>13987</v>
      </c>
      <c r="G833" s="138" t="n"/>
      <c r="H833" s="138" t="n">
        <v>729</v>
      </c>
      <c r="I833" s="138">
        <f>+I832+(G833-H833)</f>
        <v/>
      </c>
      <c r="J833" s="139" t="n">
        <v>39.817</v>
      </c>
      <c r="K833" s="140" t="n"/>
      <c r="L833" s="140">
        <f>+H833*J833</f>
        <v/>
      </c>
      <c r="M833" s="141">
        <f>SUM(M832+K833-L833)</f>
        <v/>
      </c>
    </row>
    <row r="834">
      <c r="A834" s="20" t="n">
        <v>45717</v>
      </c>
      <c r="B834" s="21" t="n">
        <v>11314</v>
      </c>
      <c r="C834" s="22" t="inlineStr">
        <is>
          <t>AZGÜN YAPI</t>
        </is>
      </c>
      <c r="D834" s="21" t="inlineStr">
        <is>
          <t>34 MKT 859</t>
        </is>
      </c>
      <c r="E834" s="21" t="inlineStr">
        <is>
          <t>YAHYA</t>
        </is>
      </c>
      <c r="F834" s="23" t="n">
        <v>16296</v>
      </c>
      <c r="G834" s="138" t="n"/>
      <c r="H834" s="138" t="n">
        <v>742</v>
      </c>
      <c r="I834" s="138">
        <f>+I833+(G834-H834)</f>
        <v/>
      </c>
      <c r="J834" s="139" t="n">
        <v>39.817</v>
      </c>
      <c r="K834" s="140" t="n"/>
      <c r="L834" s="140">
        <f>+H834*J834</f>
        <v/>
      </c>
      <c r="M834" s="141">
        <f>SUM(M833+K834-L834)</f>
        <v/>
      </c>
    </row>
    <row r="835">
      <c r="A835" s="20" t="n">
        <v>45717</v>
      </c>
      <c r="B835" s="1" t="n">
        <v>14932</v>
      </c>
      <c r="C835" s="2" t="inlineStr">
        <is>
          <t>VARLIK</t>
        </is>
      </c>
      <c r="D835" s="1" t="inlineStr">
        <is>
          <t>SM 350</t>
        </is>
      </c>
      <c r="E835" s="1" t="inlineStr">
        <is>
          <t>BAYRAM SANCAK</t>
        </is>
      </c>
      <c r="F835" s="3" t="n"/>
      <c r="G835" s="143" t="n"/>
      <c r="H835" s="143" t="n">
        <v>382</v>
      </c>
      <c r="I835" s="143">
        <f>+I834+(G835-H835)</f>
        <v/>
      </c>
      <c r="J835" s="144" t="n">
        <v>39.817</v>
      </c>
      <c r="K835" s="145" t="n"/>
      <c r="L835" s="140">
        <f>+H835*J835</f>
        <v/>
      </c>
      <c r="M835" s="141">
        <f>SUM(M834+K835-L835)</f>
        <v/>
      </c>
    </row>
    <row r="836">
      <c r="A836" s="20" t="n">
        <v>45717</v>
      </c>
      <c r="B836" s="1" t="n">
        <v>14933</v>
      </c>
      <c r="C836" s="2" t="inlineStr">
        <is>
          <t>HASALTUN</t>
        </is>
      </c>
      <c r="D836" s="1" t="inlineStr">
        <is>
          <t>SM 300</t>
        </is>
      </c>
      <c r="E836" s="1" t="inlineStr">
        <is>
          <t xml:space="preserve">TURGUT SANCAK </t>
        </is>
      </c>
      <c r="F836" s="3" t="n"/>
      <c r="G836" s="143" t="n"/>
      <c r="H836" s="143" t="n">
        <v>335</v>
      </c>
      <c r="I836" s="143">
        <f>+I835+(G836-H836)</f>
        <v/>
      </c>
      <c r="J836" s="144" t="n">
        <v>39.817</v>
      </c>
      <c r="K836" s="145" t="n"/>
      <c r="L836" s="140">
        <f>+H836*J836</f>
        <v/>
      </c>
      <c r="M836" s="141">
        <f>SUM(M835+K836-L836)</f>
        <v/>
      </c>
    </row>
    <row r="837">
      <c r="A837" s="20" t="n">
        <v>45717</v>
      </c>
      <c r="B837" s="1" t="n">
        <v>14934</v>
      </c>
      <c r="C837" s="2" t="inlineStr">
        <is>
          <t>HASALTUN</t>
        </is>
      </c>
      <c r="D837" s="1" t="inlineStr">
        <is>
          <t>SM 370</t>
        </is>
      </c>
      <c r="E837" s="1" t="inlineStr">
        <is>
          <t>TEKİN ŞEYLAN</t>
        </is>
      </c>
      <c r="F837" s="3" t="n"/>
      <c r="G837" s="143" t="n"/>
      <c r="H837" s="143" t="n">
        <v>338</v>
      </c>
      <c r="I837" s="143">
        <f>+I836+(G837-H837)</f>
        <v/>
      </c>
      <c r="J837" s="144" t="n">
        <v>39.817</v>
      </c>
      <c r="K837" s="145" t="n"/>
      <c r="L837" s="140">
        <f>+H837*J837</f>
        <v/>
      </c>
      <c r="M837" s="141">
        <f>SUM(M836+K837-L837)</f>
        <v/>
      </c>
    </row>
    <row r="838">
      <c r="A838" s="20" t="n">
        <v>45717</v>
      </c>
      <c r="B838" s="1" t="n">
        <v>14935</v>
      </c>
      <c r="C838" s="2" t="inlineStr">
        <is>
          <t>HASALTUN</t>
        </is>
      </c>
      <c r="D838" s="1" t="inlineStr">
        <is>
          <t>SM 350</t>
        </is>
      </c>
      <c r="E838" s="1" t="inlineStr">
        <is>
          <t>TEVFİK ÖZTÜRK</t>
        </is>
      </c>
      <c r="F838" s="3" t="n"/>
      <c r="G838" s="143" t="n"/>
      <c r="H838" s="143" t="n">
        <v>255</v>
      </c>
      <c r="I838" s="143">
        <f>+I837+(G838-H838)</f>
        <v/>
      </c>
      <c r="J838" s="144" t="n">
        <v>39.817</v>
      </c>
      <c r="K838" s="145" t="n"/>
      <c r="L838" s="140">
        <f>+H838*J838</f>
        <v/>
      </c>
      <c r="M838" s="141">
        <f>SUM(M837+K838-L838)</f>
        <v/>
      </c>
    </row>
    <row r="839">
      <c r="A839" s="20" t="n">
        <v>45717</v>
      </c>
      <c r="B839" s="1" t="n">
        <v>14936</v>
      </c>
      <c r="C839" s="2" t="inlineStr">
        <is>
          <t>HASALTUN</t>
        </is>
      </c>
      <c r="D839" s="1" t="inlineStr">
        <is>
          <t>KAVAZAKİ</t>
        </is>
      </c>
      <c r="E839" s="1" t="inlineStr">
        <is>
          <t>UFUK SEVAL</t>
        </is>
      </c>
      <c r="F839" s="3" t="n"/>
      <c r="G839" s="143" t="n"/>
      <c r="H839" s="143" t="n">
        <v>146</v>
      </c>
      <c r="I839" s="143">
        <f>+I838+(G839-H839)</f>
        <v/>
      </c>
      <c r="J839" s="144" t="n">
        <v>39.817</v>
      </c>
      <c r="K839" s="145" t="n"/>
      <c r="L839" s="140">
        <f>+H839*J839</f>
        <v/>
      </c>
      <c r="M839" s="141">
        <f>SUM(M838+K839-L839)</f>
        <v/>
      </c>
    </row>
    <row r="840">
      <c r="A840" s="20" t="n">
        <v>45718</v>
      </c>
      <c r="B840" s="21" t="n">
        <v>10864</v>
      </c>
      <c r="C840" s="22" t="inlineStr">
        <is>
          <t>SELİM İNŞAAT</t>
        </is>
      </c>
      <c r="D840" s="21" t="inlineStr">
        <is>
          <t>34 AR 7743</t>
        </is>
      </c>
      <c r="E840" s="21" t="inlineStr">
        <is>
          <t>MEHMET SELİM</t>
        </is>
      </c>
      <c r="F840" s="23" t="n">
        <v>351253</v>
      </c>
      <c r="G840" s="138" t="n"/>
      <c r="H840" s="138" t="n">
        <v>53</v>
      </c>
      <c r="I840" s="138">
        <f>+I839+(G840-H840)</f>
        <v/>
      </c>
      <c r="J840" s="139" t="n">
        <v>39.817</v>
      </c>
      <c r="K840" s="140" t="n"/>
      <c r="L840" s="140">
        <f>+H840*J840</f>
        <v/>
      </c>
      <c r="M840" s="141">
        <f>SUM(M839+K840-L840)</f>
        <v/>
      </c>
    </row>
    <row r="841">
      <c r="A841" s="20" t="n">
        <v>45718</v>
      </c>
      <c r="B841" s="21" t="n">
        <v>21131</v>
      </c>
      <c r="C841" s="22" t="inlineStr">
        <is>
          <t>SELİM İNŞAAT</t>
        </is>
      </c>
      <c r="D841" s="21" t="inlineStr">
        <is>
          <t>34 TG 7869</t>
        </is>
      </c>
      <c r="E841" s="21" t="inlineStr">
        <is>
          <t>GÖRKEM KARABEL</t>
        </is>
      </c>
      <c r="F841" s="23" t="n">
        <v>179465</v>
      </c>
      <c r="G841" s="138" t="n"/>
      <c r="H841" s="138" t="n">
        <v>301</v>
      </c>
      <c r="I841" s="138">
        <f>+I840+(G841-H841)</f>
        <v/>
      </c>
      <c r="J841" s="139" t="n">
        <v>39.817</v>
      </c>
      <c r="K841" s="140" t="n"/>
      <c r="L841" s="140">
        <f>+H841*J841</f>
        <v/>
      </c>
      <c r="M841" s="141">
        <f>SUM(M840+K841-L841)</f>
        <v/>
      </c>
    </row>
    <row r="842">
      <c r="A842" s="20" t="n">
        <v>45718</v>
      </c>
      <c r="B842" s="21" t="n">
        <v>10128</v>
      </c>
      <c r="C842" s="22" t="inlineStr">
        <is>
          <t>SELİM İNŞAAT</t>
        </is>
      </c>
      <c r="D842" s="21" t="inlineStr">
        <is>
          <t>34 DP 4161</t>
        </is>
      </c>
      <c r="E842" s="21" t="inlineStr">
        <is>
          <t>RIFAT KARATAY</t>
        </is>
      </c>
      <c r="F842" s="23" t="n">
        <v>179899</v>
      </c>
      <c r="G842" s="138" t="n"/>
      <c r="H842" s="138" t="n">
        <v>184</v>
      </c>
      <c r="I842" s="138">
        <f>+I841+(G842-H842)</f>
        <v/>
      </c>
      <c r="J842" s="139" t="n">
        <v>39.817</v>
      </c>
      <c r="K842" s="140" t="n"/>
      <c r="L842" s="140">
        <f>+H842*J842</f>
        <v/>
      </c>
      <c r="M842" s="141">
        <f>SUM(M841+K842-L842)</f>
        <v/>
      </c>
    </row>
    <row r="843">
      <c r="A843" s="20" t="n">
        <v>45718</v>
      </c>
      <c r="B843" s="21" t="n">
        <v>11889</v>
      </c>
      <c r="C843" s="22" t="inlineStr">
        <is>
          <t>SELİM İNŞAAT</t>
        </is>
      </c>
      <c r="D843" s="21" t="inlineStr">
        <is>
          <t>34 DFE 454</t>
        </is>
      </c>
      <c r="E843" s="21" t="inlineStr">
        <is>
          <t>HASAN BAYCAN</t>
        </is>
      </c>
      <c r="F843" s="23" t="n">
        <v>154969</v>
      </c>
      <c r="G843" s="138" t="n"/>
      <c r="H843" s="138" t="n">
        <v>125</v>
      </c>
      <c r="I843" s="138">
        <f>+I842+(G843-H843)</f>
        <v/>
      </c>
      <c r="J843" s="139" t="n">
        <v>39.817</v>
      </c>
      <c r="K843" s="140" t="n"/>
      <c r="L843" s="140">
        <f>+H843*J843</f>
        <v/>
      </c>
      <c r="M843" s="141">
        <f>SUM(M842+K843-L843)</f>
        <v/>
      </c>
    </row>
    <row r="844">
      <c r="A844" s="20" t="n">
        <v>45718</v>
      </c>
      <c r="B844" s="21" t="n">
        <v>20527</v>
      </c>
      <c r="C844" s="22" t="inlineStr">
        <is>
          <t>SELİM İNŞAAT</t>
        </is>
      </c>
      <c r="D844" s="21" t="inlineStr">
        <is>
          <t>34 VF 2620</t>
        </is>
      </c>
      <c r="E844" s="21" t="inlineStr">
        <is>
          <t>RECEP SELİM</t>
        </is>
      </c>
      <c r="F844" s="23" t="n">
        <v>180470</v>
      </c>
      <c r="G844" s="138" t="n"/>
      <c r="H844" s="138" t="n">
        <v>56</v>
      </c>
      <c r="I844" s="138">
        <f>+I843+(G844-H844)</f>
        <v/>
      </c>
      <c r="J844" s="139" t="n">
        <v>39.817</v>
      </c>
      <c r="K844" s="140" t="n"/>
      <c r="L844" s="140">
        <f>+H844*J844</f>
        <v/>
      </c>
      <c r="M844" s="141">
        <f>SUM(M843+K844-L844)</f>
        <v/>
      </c>
    </row>
    <row r="845">
      <c r="A845" s="20" t="n">
        <v>45718</v>
      </c>
      <c r="B845" s="21" t="n">
        <v>11699</v>
      </c>
      <c r="C845" s="22" t="inlineStr">
        <is>
          <t>METİN ERYİĞİT</t>
        </is>
      </c>
      <c r="D845" s="21" t="inlineStr">
        <is>
          <t>34 GBL 998</t>
        </is>
      </c>
      <c r="E845" s="21" t="inlineStr">
        <is>
          <t>ALİ KESKİN</t>
        </is>
      </c>
      <c r="F845" s="23" t="n">
        <v>244428</v>
      </c>
      <c r="G845" s="138" t="n"/>
      <c r="H845" s="138" t="n">
        <v>150</v>
      </c>
      <c r="I845" s="138">
        <f>+I844+(G845-H845)</f>
        <v/>
      </c>
      <c r="J845" s="139" t="n">
        <v>39.817</v>
      </c>
      <c r="K845" s="140" t="n"/>
      <c r="L845" s="140">
        <f>+H845*J845</f>
        <v/>
      </c>
      <c r="M845" s="141">
        <f>SUM(M844+K845-L845)</f>
        <v/>
      </c>
    </row>
    <row r="846">
      <c r="A846" s="20" t="n">
        <v>45718</v>
      </c>
      <c r="B846" s="21" t="n">
        <v>11429</v>
      </c>
      <c r="C846" s="22" t="inlineStr">
        <is>
          <t>METİN ERYİĞİT</t>
        </is>
      </c>
      <c r="D846" s="21" t="inlineStr">
        <is>
          <t>34 EGR 814</t>
        </is>
      </c>
      <c r="E846" s="21" t="inlineStr">
        <is>
          <t>FARUK ÖZEN</t>
        </is>
      </c>
      <c r="F846" s="23" t="n">
        <v>518888</v>
      </c>
      <c r="G846" s="138" t="n"/>
      <c r="H846" s="138" t="n">
        <v>130</v>
      </c>
      <c r="I846" s="138">
        <f>+I845+(G846-H846)</f>
        <v/>
      </c>
      <c r="J846" s="139" t="n">
        <v>39.817</v>
      </c>
      <c r="K846" s="140" t="n"/>
      <c r="L846" s="140">
        <f>+H846*J846</f>
        <v/>
      </c>
      <c r="M846" s="141">
        <f>SUM(M845+K846-L846)</f>
        <v/>
      </c>
    </row>
    <row r="847">
      <c r="A847" s="20" t="n">
        <v>45718</v>
      </c>
      <c r="B847" s="1" t="n">
        <v>14937</v>
      </c>
      <c r="C847" s="2" t="inlineStr">
        <is>
          <t>HASALTUN</t>
        </is>
      </c>
      <c r="D847" s="1" t="inlineStr">
        <is>
          <t>SM 370</t>
        </is>
      </c>
      <c r="E847" s="1" t="inlineStr">
        <is>
          <t>TEKİN ŞEYLAN</t>
        </is>
      </c>
      <c r="F847" s="3" t="n"/>
      <c r="G847" s="143" t="n"/>
      <c r="H847" s="143" t="n">
        <v>271</v>
      </c>
      <c r="I847" s="143">
        <f>+I846+(G847-H847)</f>
        <v/>
      </c>
      <c r="J847" s="144" t="n">
        <v>39.817</v>
      </c>
      <c r="K847" s="145" t="n"/>
      <c r="L847" s="140">
        <f>+H847*J847</f>
        <v/>
      </c>
      <c r="M847" s="141">
        <f>SUM(M846+K847-L847)</f>
        <v/>
      </c>
    </row>
    <row r="848">
      <c r="A848" s="20" t="n">
        <v>45718</v>
      </c>
      <c r="B848" s="1" t="n">
        <v>14938</v>
      </c>
      <c r="C848" s="2" t="inlineStr">
        <is>
          <t>VARLIK</t>
        </is>
      </c>
      <c r="D848" s="1" t="inlineStr">
        <is>
          <t>SM 300</t>
        </is>
      </c>
      <c r="E848" s="1" t="inlineStr">
        <is>
          <t>TURGUT SANCAK</t>
        </is>
      </c>
      <c r="F848" s="3" t="n"/>
      <c r="G848" s="143" t="n"/>
      <c r="H848" s="143" t="n">
        <v>269</v>
      </c>
      <c r="I848" s="143">
        <f>+I847+(G848-H848)</f>
        <v/>
      </c>
      <c r="J848" s="144" t="n">
        <v>39.817</v>
      </c>
      <c r="K848" s="145" t="n"/>
      <c r="L848" s="140">
        <f>+H848*J848</f>
        <v/>
      </c>
      <c r="M848" s="141">
        <f>SUM(M847+K848-L848)</f>
        <v/>
      </c>
    </row>
    <row r="849">
      <c r="A849" s="20" t="n">
        <v>45718</v>
      </c>
      <c r="B849" s="1" t="n">
        <v>14939</v>
      </c>
      <c r="C849" s="2" t="inlineStr">
        <is>
          <t>VARLIK</t>
        </is>
      </c>
      <c r="D849" s="1" t="inlineStr">
        <is>
          <t>SM 350</t>
        </is>
      </c>
      <c r="E849" s="1" t="inlineStr">
        <is>
          <t>BAYRAM SANCAK</t>
        </is>
      </c>
      <c r="F849" s="3" t="n"/>
      <c r="G849" s="143" t="n"/>
      <c r="H849" s="143" t="n">
        <v>246</v>
      </c>
      <c r="I849" s="143">
        <f>+I848+(G849-H849)</f>
        <v/>
      </c>
      <c r="J849" s="144" t="n">
        <v>39.817</v>
      </c>
      <c r="K849" s="145" t="n"/>
      <c r="L849" s="140">
        <f>+H849*J849</f>
        <v/>
      </c>
      <c r="M849" s="141">
        <f>SUM(M848+K849-L849)</f>
        <v/>
      </c>
    </row>
    <row r="850">
      <c r="A850" s="20" t="n">
        <v>45719</v>
      </c>
      <c r="B850" s="21" t="n">
        <v>11062</v>
      </c>
      <c r="C850" s="22" t="inlineStr">
        <is>
          <t>SELİM İNŞAAT</t>
        </is>
      </c>
      <c r="D850" s="21" t="inlineStr">
        <is>
          <t>34 HBY 763</t>
        </is>
      </c>
      <c r="E850" s="21" t="inlineStr">
        <is>
          <t>EMİRCAN ÖZTÜRK</t>
        </is>
      </c>
      <c r="F850" s="23" t="n">
        <v>13166</v>
      </c>
      <c r="G850" s="138" t="n"/>
      <c r="H850" s="138" t="n">
        <v>77</v>
      </c>
      <c r="I850" s="138">
        <f>+I849+(G850-H850)</f>
        <v/>
      </c>
      <c r="J850" s="139" t="n">
        <v>39.817</v>
      </c>
      <c r="K850" s="140" t="n"/>
      <c r="L850" s="140">
        <f>+H850*J850</f>
        <v/>
      </c>
      <c r="M850" s="141">
        <f>SUM(M849+K850-L850)</f>
        <v/>
      </c>
    </row>
    <row r="851">
      <c r="A851" s="20" t="n">
        <v>45719</v>
      </c>
      <c r="B851" s="21" t="n">
        <v>21308</v>
      </c>
      <c r="C851" s="22" t="inlineStr">
        <is>
          <t>SELİM İNŞAAT</t>
        </is>
      </c>
      <c r="D851" s="21" t="inlineStr">
        <is>
          <t>34 FEM 934</t>
        </is>
      </c>
      <c r="E851" s="21" t="inlineStr">
        <is>
          <t>MUSTAFA ALBAYRAK</t>
        </is>
      </c>
      <c r="F851" s="23" t="n">
        <v>300506</v>
      </c>
      <c r="G851" s="138" t="n"/>
      <c r="H851" s="138" t="n">
        <v>66</v>
      </c>
      <c r="I851" s="138">
        <f>+I850+(G851-H851)</f>
        <v/>
      </c>
      <c r="J851" s="139" t="n">
        <v>39.817</v>
      </c>
      <c r="K851" s="140" t="n"/>
      <c r="L851" s="140">
        <f>+H851*J851</f>
        <v/>
      </c>
      <c r="M851" s="141">
        <f>SUM(M850+K851-L851)</f>
        <v/>
      </c>
    </row>
    <row r="852">
      <c r="A852" s="20" t="n">
        <v>45719</v>
      </c>
      <c r="B852" s="21" t="n">
        <v>10025</v>
      </c>
      <c r="C852" s="22" t="inlineStr">
        <is>
          <t>METİN ERYİĞİT</t>
        </is>
      </c>
      <c r="D852" s="21" t="inlineStr">
        <is>
          <t>34 EGS 013</t>
        </is>
      </c>
      <c r="E852" s="21" t="inlineStr">
        <is>
          <t>UĞUR DUMAN</t>
        </is>
      </c>
      <c r="F852" s="23" t="n">
        <v>465986</v>
      </c>
      <c r="G852" s="138" t="n"/>
      <c r="H852" s="138" t="n">
        <v>380</v>
      </c>
      <c r="I852" s="138">
        <f>+I851+(G852-H852)</f>
        <v/>
      </c>
      <c r="J852" s="139" t="n">
        <v>39.817</v>
      </c>
      <c r="K852" s="140" t="n"/>
      <c r="L852" s="140">
        <f>+H852*J852</f>
        <v/>
      </c>
      <c r="M852" s="141">
        <f>SUM(M851+K852-L852)</f>
        <v/>
      </c>
    </row>
    <row r="853">
      <c r="A853" s="20" t="n">
        <v>45720</v>
      </c>
      <c r="B853" s="21" t="n">
        <v>10063</v>
      </c>
      <c r="C853" s="22" t="inlineStr">
        <is>
          <t>SELİM İNŞAAT</t>
        </is>
      </c>
      <c r="D853" s="21" t="inlineStr">
        <is>
          <t>34 FBR 771</t>
        </is>
      </c>
      <c r="E853" s="21" t="inlineStr">
        <is>
          <t>HÜSEYİN AKÇİN</t>
        </is>
      </c>
      <c r="F853" s="23" t="n">
        <v>296034</v>
      </c>
      <c r="G853" s="138" t="n"/>
      <c r="H853" s="138" t="n">
        <v>405</v>
      </c>
      <c r="I853" s="138">
        <f>+I852+(G853-H853)</f>
        <v/>
      </c>
      <c r="J853" s="139" t="n">
        <v>39.817</v>
      </c>
      <c r="K853" s="140" t="n"/>
      <c r="L853" s="140">
        <f>+H853*J853</f>
        <v/>
      </c>
      <c r="M853" s="141">
        <f>SUM(M852+K853-L853)</f>
        <v/>
      </c>
    </row>
    <row r="854">
      <c r="A854" s="20" t="n">
        <v>45720</v>
      </c>
      <c r="B854" s="21" t="n">
        <v>22000</v>
      </c>
      <c r="C854" s="22" t="inlineStr">
        <is>
          <t>SELİM İNŞAAT</t>
        </is>
      </c>
      <c r="D854" s="21" t="inlineStr">
        <is>
          <t>34 EGR 737</t>
        </is>
      </c>
      <c r="E854" s="21" t="inlineStr">
        <is>
          <t>İBRAHİM GÜNASLAN</t>
        </is>
      </c>
      <c r="F854" s="23" t="n">
        <v>395160</v>
      </c>
      <c r="G854" s="138" t="n"/>
      <c r="H854" s="138" t="n">
        <v>370</v>
      </c>
      <c r="I854" s="138">
        <f>+I853+(G854-H854)</f>
        <v/>
      </c>
      <c r="J854" s="139" t="n">
        <v>39.817</v>
      </c>
      <c r="K854" s="140" t="n"/>
      <c r="L854" s="140">
        <f>+H854*J854</f>
        <v/>
      </c>
      <c r="M854" s="141">
        <f>SUM(M853+K854-L854)</f>
        <v/>
      </c>
    </row>
    <row r="855">
      <c r="A855" s="20" t="n">
        <v>45720</v>
      </c>
      <c r="B855" s="21" t="n">
        <v>14053</v>
      </c>
      <c r="C855" s="22" t="inlineStr">
        <is>
          <t>SELİM İNŞAAT</t>
        </is>
      </c>
      <c r="D855" s="21" t="inlineStr">
        <is>
          <t>34 EDB 659</t>
        </is>
      </c>
      <c r="E855" s="21" t="inlineStr">
        <is>
          <t>MEHMET SAİT ANIK</t>
        </is>
      </c>
      <c r="F855" s="23" t="n">
        <v>317040</v>
      </c>
      <c r="G855" s="138" t="n"/>
      <c r="H855" s="138" t="n">
        <v>408</v>
      </c>
      <c r="I855" s="138">
        <f>+I854+(G855-H855)</f>
        <v/>
      </c>
      <c r="J855" s="139" t="n">
        <v>39.817</v>
      </c>
      <c r="K855" s="140" t="n"/>
      <c r="L855" s="140">
        <f>+H855*J855</f>
        <v/>
      </c>
      <c r="M855" s="141">
        <f>SUM(M854+K855-L855)</f>
        <v/>
      </c>
    </row>
    <row r="856">
      <c r="A856" s="20" t="n">
        <v>45720</v>
      </c>
      <c r="B856" s="21" t="n">
        <v>10359</v>
      </c>
      <c r="C856" s="22" t="inlineStr">
        <is>
          <t>SELİM İNŞAAT</t>
        </is>
      </c>
      <c r="D856" s="21" t="inlineStr">
        <is>
          <t>34 DRU 690</t>
        </is>
      </c>
      <c r="E856" s="21" t="inlineStr">
        <is>
          <t>HÜSEYİN AKÇİN</t>
        </is>
      </c>
      <c r="F856" s="23" t="n">
        <v>391965</v>
      </c>
      <c r="G856" s="138" t="n"/>
      <c r="H856" s="138" t="n">
        <v>367</v>
      </c>
      <c r="I856" s="138">
        <f>+I855+(G856-H856)</f>
        <v/>
      </c>
      <c r="J856" s="139" t="n">
        <v>39.817</v>
      </c>
      <c r="K856" s="140" t="n"/>
      <c r="L856" s="140">
        <f>+H856*J856</f>
        <v/>
      </c>
      <c r="M856" s="141">
        <f>SUM(M855+K856-L856)</f>
        <v/>
      </c>
    </row>
    <row r="857">
      <c r="A857" s="20" t="n">
        <v>45720</v>
      </c>
      <c r="B857" s="21" t="n">
        <v>11624</v>
      </c>
      <c r="C857" s="22" t="inlineStr">
        <is>
          <t>SELİM İNŞAAT</t>
        </is>
      </c>
      <c r="D857" s="21" t="inlineStr">
        <is>
          <t>34 DTV 352</t>
        </is>
      </c>
      <c r="E857" s="21" t="inlineStr">
        <is>
          <t xml:space="preserve">RASİM BARTU </t>
        </is>
      </c>
      <c r="F857" s="23" t="n">
        <v>410977</v>
      </c>
      <c r="G857" s="138" t="n"/>
      <c r="H857" s="138" t="n">
        <v>410</v>
      </c>
      <c r="I857" s="138">
        <f>+I856+(G857-H857)</f>
        <v/>
      </c>
      <c r="J857" s="139" t="n">
        <v>39.817</v>
      </c>
      <c r="K857" s="140" t="n"/>
      <c r="L857" s="140">
        <f>+H857*J857</f>
        <v/>
      </c>
      <c r="M857" s="141">
        <f>SUM(M856+K857-L857)</f>
        <v/>
      </c>
    </row>
    <row r="858">
      <c r="A858" s="20" t="n">
        <v>45720</v>
      </c>
      <c r="B858" s="21" t="n">
        <v>10686</v>
      </c>
      <c r="C858" s="22" t="inlineStr">
        <is>
          <t>SELİM İNŞAAT</t>
        </is>
      </c>
      <c r="D858" s="21" t="inlineStr">
        <is>
          <t>34 DTV 599</t>
        </is>
      </c>
      <c r="E858" s="21" t="inlineStr">
        <is>
          <t>FERHAT GÜRLER</t>
        </is>
      </c>
      <c r="F858" s="23" t="n">
        <v>412016</v>
      </c>
      <c r="G858" s="138" t="n"/>
      <c r="H858" s="138" t="n">
        <v>230</v>
      </c>
      <c r="I858" s="138">
        <f>+I857+(G858-H858)</f>
        <v/>
      </c>
      <c r="J858" s="139" t="n">
        <v>39.817</v>
      </c>
      <c r="K858" s="140" t="n"/>
      <c r="L858" s="140">
        <f>+H858*J858</f>
        <v/>
      </c>
      <c r="M858" s="141">
        <f>SUM(M857+K858-L858)</f>
        <v/>
      </c>
    </row>
    <row r="859">
      <c r="A859" s="20" t="n">
        <v>45720</v>
      </c>
      <c r="B859" s="21" t="n">
        <v>11128</v>
      </c>
      <c r="C859" s="22" t="inlineStr">
        <is>
          <t>SELİM İNŞAAT</t>
        </is>
      </c>
      <c r="D859" s="21" t="inlineStr">
        <is>
          <t>34 DTV 409</t>
        </is>
      </c>
      <c r="E859" s="21" t="inlineStr">
        <is>
          <t xml:space="preserve">ONUR CANLI </t>
        </is>
      </c>
      <c r="F859" s="23" t="n">
        <v>397860</v>
      </c>
      <c r="G859" s="138" t="n"/>
      <c r="H859" s="138" t="n">
        <v>206</v>
      </c>
      <c r="I859" s="138">
        <f>+I858+(G859-H859)</f>
        <v/>
      </c>
      <c r="J859" s="139" t="n">
        <v>39.817</v>
      </c>
      <c r="K859" s="140" t="n"/>
      <c r="L859" s="140">
        <f>+H859*J859</f>
        <v/>
      </c>
      <c r="M859" s="141">
        <f>SUM(M858+K859-L859)</f>
        <v/>
      </c>
    </row>
    <row r="860">
      <c r="A860" s="20" t="n">
        <v>45720</v>
      </c>
      <c r="B860" s="21" t="n">
        <v>10279</v>
      </c>
      <c r="C860" s="22" t="inlineStr">
        <is>
          <t>SELİM İNŞAAT</t>
        </is>
      </c>
      <c r="D860" s="21" t="inlineStr">
        <is>
          <t>34 FBR 748</t>
        </is>
      </c>
      <c r="E860" s="21" t="inlineStr">
        <is>
          <t>YAŞAR ÖZKAYA</t>
        </is>
      </c>
      <c r="F860" s="23" t="n">
        <v>261836</v>
      </c>
      <c r="G860" s="138" t="n"/>
      <c r="H860" s="138" t="n">
        <v>314</v>
      </c>
      <c r="I860" s="138">
        <f>+I859+(G860-H860)</f>
        <v/>
      </c>
      <c r="J860" s="139" t="n">
        <v>39.817</v>
      </c>
      <c r="K860" s="140" t="n"/>
      <c r="L860" s="140">
        <f>+H860*J860</f>
        <v/>
      </c>
      <c r="M860" s="141">
        <f>SUM(M859+K860-L860)</f>
        <v/>
      </c>
    </row>
    <row r="861">
      <c r="A861" s="20" t="n">
        <v>45720</v>
      </c>
      <c r="B861" s="21" t="n">
        <v>14003</v>
      </c>
      <c r="C861" s="22" t="inlineStr">
        <is>
          <t>SELİM İNŞAAT</t>
        </is>
      </c>
      <c r="D861" s="21" t="inlineStr">
        <is>
          <t>34 GVZ 310</t>
        </is>
      </c>
      <c r="E861" s="21" t="inlineStr">
        <is>
          <t>CELAL YÜZBAŞI</t>
        </is>
      </c>
      <c r="F861" s="23" t="n">
        <v>171662</v>
      </c>
      <c r="G861" s="138" t="n"/>
      <c r="H861" s="138" t="n">
        <v>214</v>
      </c>
      <c r="I861" s="138">
        <f>+I860+(G861-H861)</f>
        <v/>
      </c>
      <c r="J861" s="139" t="n">
        <v>39.817</v>
      </c>
      <c r="K861" s="140" t="n"/>
      <c r="L861" s="140">
        <f>+H861*J861</f>
        <v/>
      </c>
      <c r="M861" s="141">
        <f>SUM(M860+K861-L861)</f>
        <v/>
      </c>
    </row>
    <row r="862">
      <c r="A862" s="20" t="n">
        <v>45720</v>
      </c>
      <c r="B862" s="21" t="n">
        <v>14201</v>
      </c>
      <c r="C862" s="22" t="inlineStr">
        <is>
          <t>SELİM İNŞAAT</t>
        </is>
      </c>
      <c r="D862" s="21" t="inlineStr">
        <is>
          <t xml:space="preserve">34 GUS 938 </t>
        </is>
      </c>
      <c r="E862" s="21" t="inlineStr">
        <is>
          <t>MEHMET KAYA</t>
        </is>
      </c>
      <c r="F862" s="23" t="n">
        <v>162285</v>
      </c>
      <c r="G862" s="138" t="n"/>
      <c r="H862" s="138" t="n">
        <v>393</v>
      </c>
      <c r="I862" s="138">
        <f>+I861+(G862-H862)</f>
        <v/>
      </c>
      <c r="J862" s="139" t="n">
        <v>39.817</v>
      </c>
      <c r="K862" s="140" t="n"/>
      <c r="L862" s="140">
        <f>+H862*J862</f>
        <v/>
      </c>
      <c r="M862" s="141">
        <f>SUM(M861+K862-L862)</f>
        <v/>
      </c>
    </row>
    <row r="863">
      <c r="A863" s="20" t="n">
        <v>45720</v>
      </c>
      <c r="B863" s="21" t="n">
        <v>10627</v>
      </c>
      <c r="C863" s="22" t="inlineStr">
        <is>
          <t>SELİM İNŞAAT</t>
        </is>
      </c>
      <c r="D863" s="21" t="inlineStr">
        <is>
          <t>34 EDB 754</t>
        </is>
      </c>
      <c r="E863" s="21" t="inlineStr">
        <is>
          <t>EMİN PARLAKKILIÇ</t>
        </is>
      </c>
      <c r="F863" s="23" t="n">
        <v>301214</v>
      </c>
      <c r="G863" s="138" t="n"/>
      <c r="H863" s="138" t="n">
        <v>270</v>
      </c>
      <c r="I863" s="138">
        <f>+I862+(G863-H863)</f>
        <v/>
      </c>
      <c r="J863" s="139" t="n">
        <v>39.817</v>
      </c>
      <c r="K863" s="140" t="n"/>
      <c r="L863" s="140">
        <f>+H863*J863</f>
        <v/>
      </c>
      <c r="M863" s="141">
        <f>SUM(M862+K863-L863)</f>
        <v/>
      </c>
    </row>
    <row r="864">
      <c r="A864" s="20" t="n">
        <v>45720</v>
      </c>
      <c r="B864" s="21" t="n">
        <v>11274</v>
      </c>
      <c r="C864" s="22" t="inlineStr">
        <is>
          <t>SELİM İNŞAAT</t>
        </is>
      </c>
      <c r="D864" s="21" t="inlineStr">
        <is>
          <t>34 EDC 162</t>
        </is>
      </c>
      <c r="E864" s="21" t="inlineStr">
        <is>
          <t xml:space="preserve">YAKUP GÜNER </t>
        </is>
      </c>
      <c r="F864" s="23" t="n">
        <v>342288</v>
      </c>
      <c r="G864" s="138" t="n"/>
      <c r="H864" s="138" t="n">
        <v>308</v>
      </c>
      <c r="I864" s="138">
        <f>+I863+(G864-H864)</f>
        <v/>
      </c>
      <c r="J864" s="139" t="n">
        <v>39.817</v>
      </c>
      <c r="K864" s="140" t="n"/>
      <c r="L864" s="140">
        <f>+H864*J864</f>
        <v/>
      </c>
      <c r="M864" s="141">
        <f>SUM(M863+K864-L864)</f>
        <v/>
      </c>
    </row>
    <row r="865">
      <c r="A865" s="20" t="n">
        <v>45720</v>
      </c>
      <c r="B865" s="21" t="n">
        <v>11809</v>
      </c>
      <c r="C865" s="22" t="inlineStr">
        <is>
          <t>SELİM İNŞAAT</t>
        </is>
      </c>
      <c r="D865" s="21" t="inlineStr">
        <is>
          <t>34 FSG 229</t>
        </is>
      </c>
      <c r="E865" s="21" t="inlineStr">
        <is>
          <t>SİNAN TANRIVERDİ</t>
        </is>
      </c>
      <c r="F865" s="23" t="n">
        <v>234303</v>
      </c>
      <c r="G865" s="138" t="n"/>
      <c r="H865" s="138" t="n">
        <v>357</v>
      </c>
      <c r="I865" s="138">
        <f>+I864+(G865-H865)</f>
        <v/>
      </c>
      <c r="J865" s="139" t="n">
        <v>39.817</v>
      </c>
      <c r="K865" s="140" t="n"/>
      <c r="L865" s="140">
        <f>+H865*J865</f>
        <v/>
      </c>
      <c r="M865" s="141">
        <f>SUM(M864+K865-L865)</f>
        <v/>
      </c>
    </row>
    <row r="866">
      <c r="A866" s="20" t="n">
        <v>45720</v>
      </c>
      <c r="B866" s="21" t="n">
        <v>14453</v>
      </c>
      <c r="C866" s="22" t="inlineStr">
        <is>
          <t>SELİM İNŞAAT</t>
        </is>
      </c>
      <c r="D866" s="21" t="inlineStr">
        <is>
          <t>34 GUS 848</t>
        </is>
      </c>
      <c r="E866" s="21" t="inlineStr">
        <is>
          <t>SERDAR BOZKURT</t>
        </is>
      </c>
      <c r="F866" s="23" t="n">
        <v>166867</v>
      </c>
      <c r="G866" s="138" t="n"/>
      <c r="H866" s="138" t="n">
        <v>318</v>
      </c>
      <c r="I866" s="138">
        <f>+I865+(G866-H866)</f>
        <v/>
      </c>
      <c r="J866" s="139" t="n">
        <v>39.817</v>
      </c>
      <c r="K866" s="140" t="n"/>
      <c r="L866" s="140">
        <f>+H866*J866</f>
        <v/>
      </c>
      <c r="M866" s="141">
        <f>SUM(M865+K866-L866)</f>
        <v/>
      </c>
    </row>
    <row r="867">
      <c r="A867" s="20" t="n">
        <v>45720</v>
      </c>
      <c r="B867" s="21" t="n">
        <v>9790</v>
      </c>
      <c r="C867" s="22" t="inlineStr">
        <is>
          <t>SELİM İNŞAAT</t>
        </is>
      </c>
      <c r="D867" s="21" t="inlineStr">
        <is>
          <t>34 GVZ 268</t>
        </is>
      </c>
      <c r="E867" s="21" t="inlineStr">
        <is>
          <t>KERİM KARAMAN</t>
        </is>
      </c>
      <c r="F867" s="23" t="n">
        <v>167447</v>
      </c>
      <c r="G867" s="138" t="n"/>
      <c r="H867" s="138" t="n">
        <v>390</v>
      </c>
      <c r="I867" s="138">
        <f>+I866+(G867-H867)</f>
        <v/>
      </c>
      <c r="J867" s="139" t="n">
        <v>39.817</v>
      </c>
      <c r="K867" s="140" t="n"/>
      <c r="L867" s="140">
        <f>+H867*J867</f>
        <v/>
      </c>
      <c r="M867" s="141">
        <f>SUM(M866+K867-L867)</f>
        <v/>
      </c>
    </row>
    <row r="868">
      <c r="A868" s="20" t="n">
        <v>45720</v>
      </c>
      <c r="B868" s="21" t="n">
        <v>21285</v>
      </c>
      <c r="C868" s="22" t="inlineStr">
        <is>
          <t>SELİM İNŞAAT</t>
        </is>
      </c>
      <c r="D868" s="21" t="inlineStr">
        <is>
          <t>34 DTV 447</t>
        </is>
      </c>
      <c r="E868" s="21" t="inlineStr">
        <is>
          <t>EBUBEKİR KOLDAŞ</t>
        </is>
      </c>
      <c r="F868" s="23" t="n">
        <v>413814</v>
      </c>
      <c r="G868" s="138" t="n"/>
      <c r="H868" s="138" t="n">
        <v>437</v>
      </c>
      <c r="I868" s="138">
        <f>+I867+(G868-H868)</f>
        <v/>
      </c>
      <c r="J868" s="139" t="n">
        <v>39.817</v>
      </c>
      <c r="K868" s="140" t="n"/>
      <c r="L868" s="140">
        <f>+H868*J868</f>
        <v/>
      </c>
      <c r="M868" s="141">
        <f>SUM(M867+K868-L868)</f>
        <v/>
      </c>
    </row>
    <row r="869">
      <c r="A869" s="20" t="n">
        <v>45720</v>
      </c>
      <c r="B869" s="21" t="n">
        <v>10515</v>
      </c>
      <c r="C869" s="22" t="inlineStr">
        <is>
          <t>SELİM İNŞAAT</t>
        </is>
      </c>
      <c r="D869" s="21" t="inlineStr">
        <is>
          <t>34 EDB 922</t>
        </is>
      </c>
      <c r="E869" s="21" t="inlineStr">
        <is>
          <t>AHMET TOPÇU</t>
        </is>
      </c>
      <c r="F869" s="23" t="n">
        <v>335004</v>
      </c>
      <c r="G869" s="138" t="n"/>
      <c r="H869" s="138" t="n">
        <v>193</v>
      </c>
      <c r="I869" s="138">
        <f>+I868+(G869-H869)</f>
        <v/>
      </c>
      <c r="J869" s="139" t="n">
        <v>39.817</v>
      </c>
      <c r="K869" s="140" t="n"/>
      <c r="L869" s="140">
        <f>+H869*J869</f>
        <v/>
      </c>
      <c r="M869" s="141">
        <f>SUM(M868+K869-L869)</f>
        <v/>
      </c>
    </row>
    <row r="870">
      <c r="A870" s="20" t="n">
        <v>45720</v>
      </c>
      <c r="B870" s="21" t="n">
        <v>21480</v>
      </c>
      <c r="C870" s="22" t="inlineStr">
        <is>
          <t>SELİM İNŞAAT</t>
        </is>
      </c>
      <c r="D870" s="21" t="inlineStr">
        <is>
          <t>34 GVZ 635</t>
        </is>
      </c>
      <c r="E870" s="21" t="inlineStr">
        <is>
          <t>ENGİN DEMİR</t>
        </is>
      </c>
      <c r="F870" s="23" t="n">
        <v>150273</v>
      </c>
      <c r="G870" s="138" t="n"/>
      <c r="H870" s="138" t="n">
        <v>267</v>
      </c>
      <c r="I870" s="138">
        <f>+I869+(G870-H870)</f>
        <v/>
      </c>
      <c r="J870" s="139" t="n">
        <v>39.817</v>
      </c>
      <c r="K870" s="140" t="n"/>
      <c r="L870" s="140">
        <f>+H870*J870</f>
        <v/>
      </c>
      <c r="M870" s="141">
        <f>SUM(M869+K870-L870)</f>
        <v/>
      </c>
    </row>
    <row r="871">
      <c r="A871" s="20" t="n">
        <v>45720</v>
      </c>
      <c r="B871" s="21" t="n">
        <v>10767</v>
      </c>
      <c r="C871" s="22" t="inlineStr">
        <is>
          <t>SELİM İNŞAAT</t>
        </is>
      </c>
      <c r="D871" s="21" t="inlineStr">
        <is>
          <t>34 FBR 705</t>
        </is>
      </c>
      <c r="E871" s="21" t="inlineStr">
        <is>
          <t>MESUT GÜRLER</t>
        </is>
      </c>
      <c r="F871" s="23" t="n">
        <v>289486</v>
      </c>
      <c r="G871" s="138" t="n"/>
      <c r="H871" s="138" t="n">
        <v>312</v>
      </c>
      <c r="I871" s="138">
        <f>+I870+(G871-H871)</f>
        <v/>
      </c>
      <c r="J871" s="139" t="n">
        <v>39.817</v>
      </c>
      <c r="K871" s="140" t="n"/>
      <c r="L871" s="140">
        <f>+H871*J871</f>
        <v/>
      </c>
      <c r="M871" s="141">
        <f>SUM(M870+K871-L871)</f>
        <v/>
      </c>
    </row>
    <row r="872">
      <c r="A872" s="20" t="n">
        <v>45720</v>
      </c>
      <c r="B872" s="21" t="n">
        <v>11992</v>
      </c>
      <c r="C872" s="22" t="inlineStr">
        <is>
          <t>SELİM İNŞAAT</t>
        </is>
      </c>
      <c r="D872" s="21" t="inlineStr">
        <is>
          <t>34 DKL 798</t>
        </is>
      </c>
      <c r="E872" s="21" t="inlineStr">
        <is>
          <t>VOLKAN YANAR</t>
        </is>
      </c>
      <c r="F872" s="23" t="n">
        <v>61470</v>
      </c>
      <c r="G872" s="138" t="n"/>
      <c r="H872" s="138" t="n">
        <v>137</v>
      </c>
      <c r="I872" s="138">
        <f>+I871+(G872-H872)</f>
        <v/>
      </c>
      <c r="J872" s="139" t="n">
        <v>39.817</v>
      </c>
      <c r="K872" s="140" t="n"/>
      <c r="L872" s="140">
        <f>+H872*J872</f>
        <v/>
      </c>
      <c r="M872" s="141">
        <f>SUM(M871+K872-L872)</f>
        <v/>
      </c>
    </row>
    <row r="873">
      <c r="A873" s="20" t="n">
        <v>45720</v>
      </c>
      <c r="B873" s="21" t="n">
        <v>14302</v>
      </c>
      <c r="C873" s="22" t="inlineStr">
        <is>
          <t>SELİM İNŞAAT</t>
        </is>
      </c>
      <c r="D873" s="21" t="inlineStr">
        <is>
          <t>34 DKL 866</t>
        </is>
      </c>
      <c r="E873" s="21" t="inlineStr">
        <is>
          <t>SELİM CAN ÖNVER</t>
        </is>
      </c>
      <c r="F873" s="23" t="n">
        <v>61386</v>
      </c>
      <c r="G873" s="138" t="n"/>
      <c r="H873" s="138" t="n">
        <v>144</v>
      </c>
      <c r="I873" s="138">
        <f>+I872+(G873-H873)</f>
        <v/>
      </c>
      <c r="J873" s="139" t="n">
        <v>39.817</v>
      </c>
      <c r="K873" s="140" t="n"/>
      <c r="L873" s="140">
        <f>+H873*J873</f>
        <v/>
      </c>
      <c r="M873" s="141">
        <f>SUM(M872+K873-L873)</f>
        <v/>
      </c>
    </row>
    <row r="874">
      <c r="A874" s="20" t="n">
        <v>45720</v>
      </c>
      <c r="B874" s="21" t="n">
        <v>9932</v>
      </c>
      <c r="C874" s="22" t="inlineStr">
        <is>
          <t>RECEP SELİM OTO KURTARICI</t>
        </is>
      </c>
      <c r="D874" s="21" t="inlineStr">
        <is>
          <t>34 GC 8658</t>
        </is>
      </c>
      <c r="E874" s="21" t="inlineStr">
        <is>
          <t>RECEP SELİM</t>
        </is>
      </c>
      <c r="F874" s="23" t="n"/>
      <c r="G874" s="138" t="n"/>
      <c r="H874" s="138" t="n">
        <v>63</v>
      </c>
      <c r="I874" s="138">
        <f>+I873+(G874-H874)</f>
        <v/>
      </c>
      <c r="J874" s="139" t="n">
        <v>39.817</v>
      </c>
      <c r="K874" s="140" t="n"/>
      <c r="L874" s="140">
        <f>+H874*J874</f>
        <v/>
      </c>
      <c r="M874" s="141">
        <f>SUM(M873+K874-L874)</f>
        <v/>
      </c>
    </row>
    <row r="875">
      <c r="A875" s="20" t="n">
        <v>45720</v>
      </c>
      <c r="B875" s="21" t="n">
        <v>9933</v>
      </c>
      <c r="C875" s="22" t="inlineStr">
        <is>
          <t>EVKUR</t>
        </is>
      </c>
      <c r="D875" s="21" t="inlineStr">
        <is>
          <t>FOKLİFT</t>
        </is>
      </c>
      <c r="E875" s="21" t="inlineStr">
        <is>
          <t>FAHRİ KALFA</t>
        </is>
      </c>
      <c r="F875" s="23" t="n"/>
      <c r="G875" s="138" t="n"/>
      <c r="H875" s="138" t="n">
        <v>47</v>
      </c>
      <c r="I875" s="138">
        <f>+I874+(G875-H875)</f>
        <v/>
      </c>
      <c r="J875" s="139" t="n">
        <v>39.817</v>
      </c>
      <c r="K875" s="140" t="n"/>
      <c r="L875" s="140">
        <f>+H875*J875</f>
        <v/>
      </c>
      <c r="M875" s="141">
        <f>SUM(M874+K875-L875)</f>
        <v/>
      </c>
    </row>
    <row r="876">
      <c r="A876" s="20" t="n">
        <v>45720</v>
      </c>
      <c r="B876" s="21" t="n">
        <v>11700</v>
      </c>
      <c r="C876" s="22" t="inlineStr">
        <is>
          <t>METİN ERYİĞİT</t>
        </is>
      </c>
      <c r="D876" s="21" t="inlineStr">
        <is>
          <t>34 GBL 998</t>
        </is>
      </c>
      <c r="E876" s="21" t="inlineStr">
        <is>
          <t>ALİ KESKİN</t>
        </is>
      </c>
      <c r="F876" s="23" t="n">
        <v>244932</v>
      </c>
      <c r="G876" s="138" t="n"/>
      <c r="H876" s="138" t="n">
        <v>434</v>
      </c>
      <c r="I876" s="138">
        <f>+I875+(G876-H876)</f>
        <v/>
      </c>
      <c r="J876" s="139" t="n">
        <v>39.817</v>
      </c>
      <c r="K876" s="140" t="n"/>
      <c r="L876" s="140">
        <f>+H876*J876</f>
        <v/>
      </c>
      <c r="M876" s="141">
        <f>SUM(M875+K876-L876)</f>
        <v/>
      </c>
    </row>
    <row r="877">
      <c r="A877" s="20" t="n">
        <v>45720</v>
      </c>
      <c r="B877" s="21" t="n">
        <v>11430</v>
      </c>
      <c r="C877" s="22" t="inlineStr">
        <is>
          <t>METİN ERYİĞİT</t>
        </is>
      </c>
      <c r="D877" s="21" t="inlineStr">
        <is>
          <t>34 EGR 814</t>
        </is>
      </c>
      <c r="E877" s="21" t="inlineStr">
        <is>
          <t>FARUK ÖZEN</t>
        </is>
      </c>
      <c r="F877" s="23" t="n">
        <v>519260</v>
      </c>
      <c r="G877" s="138" t="n"/>
      <c r="H877" s="138" t="n">
        <v>410</v>
      </c>
      <c r="I877" s="138">
        <f>+I876+(G877-H877)</f>
        <v/>
      </c>
      <c r="J877" s="139" t="n">
        <v>39.817</v>
      </c>
      <c r="K877" s="140" t="n"/>
      <c r="L877" s="140">
        <f>+H877*J877</f>
        <v/>
      </c>
      <c r="M877" s="141">
        <f>SUM(M876+K877-L877)</f>
        <v/>
      </c>
    </row>
    <row r="878">
      <c r="A878" s="20" t="n">
        <v>45720</v>
      </c>
      <c r="B878" s="21" t="n">
        <v>11463</v>
      </c>
      <c r="C878" s="22" t="inlineStr">
        <is>
          <t>METİN ŞİRİN</t>
        </is>
      </c>
      <c r="D878" s="21" t="inlineStr">
        <is>
          <t>34 EGR 922</t>
        </is>
      </c>
      <c r="E878" s="21" t="inlineStr">
        <is>
          <t>GÜRAY KOYUNCU</t>
        </is>
      </c>
      <c r="F878" s="23" t="n">
        <v>436431</v>
      </c>
      <c r="G878" s="138" t="n"/>
      <c r="H878" s="138" t="n">
        <v>438</v>
      </c>
      <c r="I878" s="138">
        <f>+I877+(G878-H878)</f>
        <v/>
      </c>
      <c r="J878" s="139" t="n">
        <v>39.817</v>
      </c>
      <c r="K878" s="140" t="n"/>
      <c r="L878" s="140">
        <f>+H878*J878</f>
        <v/>
      </c>
      <c r="M878" s="141">
        <f>SUM(M877+K878-L878)</f>
        <v/>
      </c>
    </row>
    <row r="879">
      <c r="A879" s="20" t="n">
        <v>45720</v>
      </c>
      <c r="B879" s="21" t="n">
        <v>14152</v>
      </c>
      <c r="C879" s="22" t="inlineStr">
        <is>
          <t>AZGÜN YAPI</t>
        </is>
      </c>
      <c r="D879" s="21" t="inlineStr">
        <is>
          <t>34 DTV 263</t>
        </is>
      </c>
      <c r="E879" s="21" t="inlineStr">
        <is>
          <t>EDİP TORLAK</t>
        </is>
      </c>
      <c r="F879" s="23" t="n">
        <v>362527</v>
      </c>
      <c r="G879" s="138" t="n"/>
      <c r="H879" s="138" t="n">
        <v>424</v>
      </c>
      <c r="I879" s="138">
        <f>+I878+(G879-H879)</f>
        <v/>
      </c>
      <c r="J879" s="139" t="n">
        <v>39.817</v>
      </c>
      <c r="K879" s="140" t="n"/>
      <c r="L879" s="140">
        <f>+H879*J879</f>
        <v/>
      </c>
      <c r="M879" s="141">
        <f>SUM(M878+K879-L879)</f>
        <v/>
      </c>
    </row>
    <row r="880">
      <c r="A880" s="20" t="n">
        <v>45720</v>
      </c>
      <c r="B880" s="1" t="n">
        <v>14940</v>
      </c>
      <c r="C880" s="2" t="inlineStr">
        <is>
          <t>VARLIK</t>
        </is>
      </c>
      <c r="D880" s="1" t="inlineStr">
        <is>
          <t>KAVAZAKİ</t>
        </is>
      </c>
      <c r="E880" s="1" t="inlineStr">
        <is>
          <t>UFUK SEVAL</t>
        </is>
      </c>
      <c r="F880" s="3" t="n"/>
      <c r="G880" s="143" t="n"/>
      <c r="H880" s="143" t="n">
        <v>244</v>
      </c>
      <c r="I880" s="143">
        <f>+I879+(G880-H880)</f>
        <v/>
      </c>
      <c r="J880" s="144" t="n">
        <v>39.817</v>
      </c>
      <c r="K880" s="145" t="n"/>
      <c r="L880" s="140">
        <f>+H880*J880</f>
        <v/>
      </c>
      <c r="M880" s="141">
        <f>SUM(M879+K880-L880)</f>
        <v/>
      </c>
    </row>
    <row r="881">
      <c r="A881" s="20" t="n">
        <v>45720</v>
      </c>
      <c r="B881" s="1" t="n">
        <v>14941</v>
      </c>
      <c r="C881" s="2" t="inlineStr">
        <is>
          <t>EVKUR</t>
        </is>
      </c>
      <c r="D881" s="1" t="inlineStr">
        <is>
          <t>MNT 2260</t>
        </is>
      </c>
      <c r="E881" s="1" t="inlineStr">
        <is>
          <t>MUHAMMED KANTAR</t>
        </is>
      </c>
      <c r="F881" s="3" t="n"/>
      <c r="G881" s="143" t="n"/>
      <c r="H881" s="143" t="n">
        <v>189</v>
      </c>
      <c r="I881" s="143">
        <f>+I880+(G881-H881)</f>
        <v/>
      </c>
      <c r="J881" s="144" t="n">
        <v>39.817</v>
      </c>
      <c r="K881" s="145" t="n"/>
      <c r="L881" s="140">
        <f>+H881*J881</f>
        <v/>
      </c>
      <c r="M881" s="141">
        <f>SUM(M880+K881-L881)</f>
        <v/>
      </c>
    </row>
    <row r="882">
      <c r="A882" s="20" t="n">
        <v>45720</v>
      </c>
      <c r="B882" s="1" t="n">
        <v>14942</v>
      </c>
      <c r="C882" s="2" t="inlineStr">
        <is>
          <t>HASALTUN</t>
        </is>
      </c>
      <c r="D882" s="1" t="inlineStr">
        <is>
          <t xml:space="preserve">SM 370 </t>
        </is>
      </c>
      <c r="E882" s="1" t="inlineStr">
        <is>
          <t>TEKİN ŞEYLAN</t>
        </is>
      </c>
      <c r="F882" s="3" t="n"/>
      <c r="G882" s="143" t="n"/>
      <c r="H882" s="143" t="n">
        <v>366</v>
      </c>
      <c r="I882" s="143">
        <f>+I881+(G882-H882)</f>
        <v/>
      </c>
      <c r="J882" s="144" t="n">
        <v>39.817</v>
      </c>
      <c r="K882" s="145" t="n"/>
      <c r="L882" s="140">
        <f>+H882*J882</f>
        <v/>
      </c>
      <c r="M882" s="141">
        <f>SUM(M881+K882-L882)</f>
        <v/>
      </c>
    </row>
    <row r="883">
      <c r="A883" s="20" t="n">
        <v>45720</v>
      </c>
      <c r="B883" s="1" t="n">
        <v>14943</v>
      </c>
      <c r="C883" s="2" t="inlineStr">
        <is>
          <t>HASALTUN</t>
        </is>
      </c>
      <c r="D883" s="1" t="inlineStr">
        <is>
          <t>SM 350</t>
        </is>
      </c>
      <c r="E883" s="1" t="inlineStr">
        <is>
          <t>TEVFİK ÖZTÜRK</t>
        </is>
      </c>
      <c r="F883" s="3" t="n"/>
      <c r="G883" s="143" t="n"/>
      <c r="H883" s="143" t="n">
        <v>397</v>
      </c>
      <c r="I883" s="143">
        <f>+I882+(G883-H883)</f>
        <v/>
      </c>
      <c r="J883" s="144" t="n">
        <v>39.817</v>
      </c>
      <c r="K883" s="145" t="n"/>
      <c r="L883" s="140">
        <f>+H883*J883</f>
        <v/>
      </c>
      <c r="M883" s="141">
        <f>SUM(M882+K883-L883)</f>
        <v/>
      </c>
    </row>
    <row r="884">
      <c r="A884" s="20" t="n">
        <v>45721</v>
      </c>
      <c r="B884" s="21" t="n">
        <v>10209</v>
      </c>
      <c r="C884" s="22" t="inlineStr">
        <is>
          <t>SELİM İNŞAAT</t>
        </is>
      </c>
      <c r="D884" s="21" t="inlineStr">
        <is>
          <t>34 DSN 621</t>
        </is>
      </c>
      <c r="E884" s="21" t="inlineStr">
        <is>
          <t>MUSTAFA KAYA</t>
        </is>
      </c>
      <c r="F884" s="23" t="n">
        <v>391496</v>
      </c>
      <c r="G884" s="138" t="n"/>
      <c r="H884" s="138" t="n">
        <v>260</v>
      </c>
      <c r="I884" s="138">
        <f>+I883+(G884-H884)</f>
        <v/>
      </c>
      <c r="J884" s="139" t="n">
        <v>39.817</v>
      </c>
      <c r="K884" s="140" t="n"/>
      <c r="L884" s="140">
        <f>+H884*J884</f>
        <v/>
      </c>
      <c r="M884" s="141">
        <f>SUM(M883+K884-L884)</f>
        <v/>
      </c>
    </row>
    <row r="885">
      <c r="A885" s="20" t="n">
        <v>45721</v>
      </c>
      <c r="B885" s="21" t="n">
        <v>10990</v>
      </c>
      <c r="C885" s="22" t="inlineStr">
        <is>
          <t>SELİM İNŞAAT</t>
        </is>
      </c>
      <c r="D885" s="21" t="inlineStr">
        <is>
          <t>34 GVZ 199</t>
        </is>
      </c>
      <c r="E885" s="21" t="inlineStr">
        <is>
          <t>VAHDET GÜRLER</t>
        </is>
      </c>
      <c r="F885" s="23" t="n">
        <v>157502</v>
      </c>
      <c r="G885" s="138" t="n"/>
      <c r="H885" s="138" t="n">
        <v>233</v>
      </c>
      <c r="I885" s="138">
        <f>+I884+(G885-H885)</f>
        <v/>
      </c>
      <c r="J885" s="139" t="n">
        <v>39.817</v>
      </c>
      <c r="K885" s="140" t="n"/>
      <c r="L885" s="140">
        <f>+H885*J885</f>
        <v/>
      </c>
      <c r="M885" s="141">
        <f>SUM(M884+K885-L885)</f>
        <v/>
      </c>
    </row>
    <row r="886">
      <c r="A886" s="20" t="n">
        <v>45721</v>
      </c>
      <c r="B886" s="21" t="n">
        <v>14202</v>
      </c>
      <c r="C886" s="22" t="inlineStr">
        <is>
          <t>SELİM İNŞAAT</t>
        </is>
      </c>
      <c r="D886" s="21" t="inlineStr">
        <is>
          <t xml:space="preserve">34 GUS 938 </t>
        </is>
      </c>
      <c r="E886" s="21" t="inlineStr">
        <is>
          <t>MEHMET KAYA</t>
        </is>
      </c>
      <c r="F886" s="23" t="n">
        <v>162735</v>
      </c>
      <c r="G886" s="138" t="n"/>
      <c r="H886" s="138" t="n">
        <v>198</v>
      </c>
      <c r="I886" s="138">
        <f>+I885+(G886-H886)</f>
        <v/>
      </c>
      <c r="J886" s="139" t="n">
        <v>39.817</v>
      </c>
      <c r="K886" s="140" t="n"/>
      <c r="L886" s="140">
        <f>+H886*J886</f>
        <v/>
      </c>
      <c r="M886" s="141">
        <f>SUM(M885+K886-L886)</f>
        <v/>
      </c>
    </row>
    <row r="887">
      <c r="A887" s="20" t="n">
        <v>45721</v>
      </c>
      <c r="B887" s="21" t="n">
        <v>9791</v>
      </c>
      <c r="C887" s="22" t="inlineStr">
        <is>
          <t>SELİM İNŞAAT</t>
        </is>
      </c>
      <c r="D887" s="21" t="inlineStr">
        <is>
          <t>34 GVZ 268</t>
        </is>
      </c>
      <c r="E887" s="21" t="inlineStr">
        <is>
          <t>KERİM KARAMAN</t>
        </is>
      </c>
      <c r="F887" s="23" t="n">
        <v>167901</v>
      </c>
      <c r="G887" s="138" t="n"/>
      <c r="H887" s="138" t="n">
        <v>356</v>
      </c>
      <c r="I887" s="138">
        <f>+I886+(G887-H887)</f>
        <v/>
      </c>
      <c r="J887" s="139" t="n">
        <v>39.817</v>
      </c>
      <c r="K887" s="140" t="n"/>
      <c r="L887" s="140">
        <f>+H887*J887</f>
        <v/>
      </c>
      <c r="M887" s="141">
        <f>SUM(M886+K887-L887)</f>
        <v/>
      </c>
    </row>
    <row r="888">
      <c r="A888" s="20" t="n">
        <v>45721</v>
      </c>
      <c r="B888" s="21" t="n">
        <v>10174</v>
      </c>
      <c r="C888" s="22" t="inlineStr">
        <is>
          <t>SELİM İNŞAAT</t>
        </is>
      </c>
      <c r="D888" s="21" t="inlineStr">
        <is>
          <t>34 EGR 736</t>
        </is>
      </c>
      <c r="E888" s="21" t="inlineStr">
        <is>
          <t>MUHAMMER ÇAMLI</t>
        </is>
      </c>
      <c r="F888" s="23" t="n">
        <v>364451</v>
      </c>
      <c r="G888" s="138" t="n"/>
      <c r="H888" s="138" t="n">
        <v>258</v>
      </c>
      <c r="I888" s="138">
        <f>+I887+(G888-H888)</f>
        <v/>
      </c>
      <c r="J888" s="139" t="n">
        <v>39.817</v>
      </c>
      <c r="K888" s="140" t="n"/>
      <c r="L888" s="140">
        <f>+H888*J888</f>
        <v/>
      </c>
      <c r="M888" s="141">
        <f>SUM(M887+K888-L888)</f>
        <v/>
      </c>
    </row>
    <row r="889">
      <c r="A889" s="20" t="n">
        <v>45721</v>
      </c>
      <c r="B889" s="21" t="n">
        <v>11203</v>
      </c>
      <c r="C889" s="22" t="inlineStr">
        <is>
          <t>SELİM İNŞAAT</t>
        </is>
      </c>
      <c r="D889" s="21" t="inlineStr">
        <is>
          <t>34 DSN 636</t>
        </is>
      </c>
      <c r="E889" s="21" t="inlineStr">
        <is>
          <t>DURSUN ALİ GÜREK</t>
        </is>
      </c>
      <c r="F889" s="23" t="n">
        <v>373072</v>
      </c>
      <c r="G889" s="138" t="n"/>
      <c r="H889" s="138" t="n">
        <v>375</v>
      </c>
      <c r="I889" s="138">
        <f>+I888+(G889-H889)</f>
        <v/>
      </c>
      <c r="J889" s="139" t="n">
        <v>39.817</v>
      </c>
      <c r="K889" s="140" t="n"/>
      <c r="L889" s="140">
        <f>+H889*J889</f>
        <v/>
      </c>
      <c r="M889" s="141">
        <f>SUM(M888+K889-L889)</f>
        <v/>
      </c>
    </row>
    <row r="890">
      <c r="A890" s="20" t="n">
        <v>45721</v>
      </c>
      <c r="B890" s="21" t="n">
        <v>11890</v>
      </c>
      <c r="C890" s="22" t="inlineStr">
        <is>
          <t>SELİM İNŞAAT</t>
        </is>
      </c>
      <c r="D890" s="21" t="inlineStr">
        <is>
          <t>34 DFE 454</t>
        </is>
      </c>
      <c r="E890" s="21" t="inlineStr">
        <is>
          <t>HASAN BAYCAN</t>
        </is>
      </c>
      <c r="F890" s="23" t="n">
        <v>155070</v>
      </c>
      <c r="G890" s="138" t="n"/>
      <c r="H890" s="138" t="n">
        <v>166</v>
      </c>
      <c r="I890" s="138">
        <f>+I889+(G890-H890)</f>
        <v/>
      </c>
      <c r="J890" s="139" t="n">
        <v>39.817</v>
      </c>
      <c r="K890" s="140" t="n"/>
      <c r="L890" s="140">
        <f>+H890*J890</f>
        <v/>
      </c>
      <c r="M890" s="141">
        <f>SUM(M889+K890-L890)</f>
        <v/>
      </c>
    </row>
    <row r="891">
      <c r="A891" s="20" t="n">
        <v>45721</v>
      </c>
      <c r="B891" s="21" t="n">
        <v>9934</v>
      </c>
      <c r="C891" s="22" t="inlineStr">
        <is>
          <t>MAHMUT VİNÇ</t>
        </is>
      </c>
      <c r="D891" s="21" t="inlineStr">
        <is>
          <t>34 MEP 460</t>
        </is>
      </c>
      <c r="E891" s="21" t="inlineStr">
        <is>
          <t>YASİN DEMİR</t>
        </is>
      </c>
      <c r="F891" s="23" t="n"/>
      <c r="G891" s="138" t="n"/>
      <c r="H891" s="138" t="n">
        <v>91</v>
      </c>
      <c r="I891" s="138">
        <f>+I890+(G891-H891)</f>
        <v/>
      </c>
      <c r="J891" s="139" t="n">
        <v>39.817</v>
      </c>
      <c r="K891" s="140" t="n"/>
      <c r="L891" s="140">
        <f>+H891*J891</f>
        <v/>
      </c>
      <c r="M891" s="141">
        <f>SUM(M890+K891-L891)</f>
        <v/>
      </c>
    </row>
    <row r="892">
      <c r="A892" s="20" t="n">
        <v>45721</v>
      </c>
      <c r="B892" s="21" t="n">
        <v>9935</v>
      </c>
      <c r="C892" s="22" t="inlineStr">
        <is>
          <t>EVKUR</t>
        </is>
      </c>
      <c r="D892" s="21" t="inlineStr">
        <is>
          <t>FOKLİFT</t>
        </is>
      </c>
      <c r="E892" s="21" t="inlineStr">
        <is>
          <t>FAHRİ KALFA</t>
        </is>
      </c>
      <c r="F892" s="23" t="n"/>
      <c r="G892" s="138" t="n"/>
      <c r="H892" s="138" t="n">
        <v>27</v>
      </c>
      <c r="I892" s="138">
        <f>+I891+(G892-H892)</f>
        <v/>
      </c>
      <c r="J892" s="139" t="n">
        <v>39.817</v>
      </c>
      <c r="K892" s="140" t="n"/>
      <c r="L892" s="140">
        <f>+H892*J892</f>
        <v/>
      </c>
      <c r="M892" s="141">
        <f>SUM(M891+K892-L892)</f>
        <v/>
      </c>
    </row>
    <row r="893">
      <c r="A893" s="20" t="n">
        <v>45721</v>
      </c>
      <c r="B893" s="21" t="n">
        <v>10026</v>
      </c>
      <c r="C893" s="22" t="inlineStr">
        <is>
          <t>METİN ERYİĞİT</t>
        </is>
      </c>
      <c r="D893" s="21" t="inlineStr">
        <is>
          <t>34 EGS 013</t>
        </is>
      </c>
      <c r="E893" s="21" t="inlineStr">
        <is>
          <t>UĞUR DUMAN</t>
        </is>
      </c>
      <c r="F893" s="23" t="n">
        <v>466492</v>
      </c>
      <c r="G893" s="138" t="n"/>
      <c r="H893" s="138" t="n">
        <v>342</v>
      </c>
      <c r="I893" s="138">
        <f>+I892+(G893-H893)</f>
        <v/>
      </c>
      <c r="J893" s="139" t="n">
        <v>39.817</v>
      </c>
      <c r="K893" s="140" t="n"/>
      <c r="L893" s="140">
        <f>+H893*J893</f>
        <v/>
      </c>
      <c r="M893" s="141">
        <f>SUM(M892+K893-L893)</f>
        <v/>
      </c>
    </row>
    <row r="894">
      <c r="A894" s="20" t="n">
        <v>45721</v>
      </c>
      <c r="B894" s="21" t="n">
        <v>11431</v>
      </c>
      <c r="C894" s="22" t="inlineStr">
        <is>
          <t>METİN ERYİĞİT</t>
        </is>
      </c>
      <c r="D894" s="21" t="inlineStr">
        <is>
          <t>34 EGR 814</t>
        </is>
      </c>
      <c r="E894" s="21" t="inlineStr">
        <is>
          <t>FARUK ÖZEN</t>
        </is>
      </c>
      <c r="F894" s="23" t="n">
        <v>519019</v>
      </c>
      <c r="G894" s="138" t="n"/>
      <c r="H894" s="138" t="n">
        <v>100</v>
      </c>
      <c r="I894" s="138">
        <f>+I893+(G894-H894)</f>
        <v/>
      </c>
      <c r="J894" s="139" t="n">
        <v>39.817</v>
      </c>
      <c r="K894" s="140" t="n"/>
      <c r="L894" s="140">
        <f>+H894*J894</f>
        <v/>
      </c>
      <c r="M894" s="141">
        <f>SUM(M893+K894-L894)</f>
        <v/>
      </c>
    </row>
    <row r="895">
      <c r="A895" s="20" t="n">
        <v>45721</v>
      </c>
      <c r="B895" s="21" t="n">
        <v>14153</v>
      </c>
      <c r="C895" s="22" t="inlineStr">
        <is>
          <t>AZGÜN YAPI</t>
        </is>
      </c>
      <c r="D895" s="21" t="inlineStr">
        <is>
          <t>34 DTV 263</t>
        </is>
      </c>
      <c r="E895" s="21" t="inlineStr">
        <is>
          <t>EDİP TORLAK</t>
        </is>
      </c>
      <c r="F895" s="23" t="n">
        <v>362911</v>
      </c>
      <c r="G895" s="138" t="n"/>
      <c r="H895" s="138" t="n">
        <v>214</v>
      </c>
      <c r="I895" s="138">
        <f>+I894+(G895-H895)</f>
        <v/>
      </c>
      <c r="J895" s="139" t="n">
        <v>39.817</v>
      </c>
      <c r="K895" s="140" t="n"/>
      <c r="L895" s="140">
        <f>+H895*J895</f>
        <v/>
      </c>
      <c r="M895" s="141">
        <f>SUM(M894+K895-L895)</f>
        <v/>
      </c>
    </row>
    <row r="896">
      <c r="A896" s="20" t="n">
        <v>45721</v>
      </c>
      <c r="B896" s="21" t="n">
        <v>14944</v>
      </c>
      <c r="C896" s="22" t="inlineStr">
        <is>
          <t>ENES SELİM</t>
        </is>
      </c>
      <c r="D896" s="21" t="inlineStr">
        <is>
          <t>TB 926 VİNÇ</t>
        </is>
      </c>
      <c r="E896" s="21" t="inlineStr">
        <is>
          <t>ENES SELİM</t>
        </is>
      </c>
      <c r="F896" s="23" t="n"/>
      <c r="G896" s="138" t="n"/>
      <c r="H896" s="138" t="n">
        <v>180</v>
      </c>
      <c r="I896" s="138">
        <f>+I895+(G896-H896)</f>
        <v/>
      </c>
      <c r="J896" s="139" t="n">
        <v>39.817</v>
      </c>
      <c r="K896" s="140" t="n"/>
      <c r="L896" s="140">
        <f>+H896*J896</f>
        <v/>
      </c>
      <c r="M896" s="141">
        <f>SUM(M895+K896-L896)</f>
        <v/>
      </c>
    </row>
    <row r="897">
      <c r="A897" s="20" t="n">
        <v>45721</v>
      </c>
      <c r="B897" s="1" t="n">
        <v>14945</v>
      </c>
      <c r="C897" s="2" t="inlineStr">
        <is>
          <t>VARLIK</t>
        </is>
      </c>
      <c r="D897" s="1" t="inlineStr">
        <is>
          <t>SM 300</t>
        </is>
      </c>
      <c r="E897" s="1" t="inlineStr">
        <is>
          <t>TURGUT SANCAK</t>
        </is>
      </c>
      <c r="F897" s="3" t="n"/>
      <c r="G897" s="143" t="n"/>
      <c r="H897" s="143" t="n">
        <v>313</v>
      </c>
      <c r="I897" s="143">
        <f>+I896+(G897-H897)</f>
        <v/>
      </c>
      <c r="J897" s="144" t="n">
        <v>39.817</v>
      </c>
      <c r="K897" s="145" t="n"/>
      <c r="L897" s="140">
        <f>+H897*J897</f>
        <v/>
      </c>
      <c r="M897" s="141">
        <f>SUM(M896+K897-L897)</f>
        <v/>
      </c>
    </row>
    <row r="898">
      <c r="A898" s="20" t="n">
        <v>45721</v>
      </c>
      <c r="B898" s="1" t="n">
        <v>14946</v>
      </c>
      <c r="C898" s="2" t="inlineStr">
        <is>
          <t>VARLIK</t>
        </is>
      </c>
      <c r="D898" s="1" t="inlineStr">
        <is>
          <t>SM 350</t>
        </is>
      </c>
      <c r="E898" s="1" t="inlineStr">
        <is>
          <t>BAYRAM SANCAK</t>
        </is>
      </c>
      <c r="F898" s="3" t="n"/>
      <c r="G898" s="143" t="n"/>
      <c r="H898" s="143" t="n">
        <v>305</v>
      </c>
      <c r="I898" s="143">
        <f>+I897+(G898-H898)</f>
        <v/>
      </c>
      <c r="J898" s="144" t="n">
        <v>39.817</v>
      </c>
      <c r="K898" s="145" t="n"/>
      <c r="L898" s="140">
        <f>+H898*J898</f>
        <v/>
      </c>
      <c r="M898" s="141">
        <f>SUM(M897+K898-L898)</f>
        <v/>
      </c>
    </row>
    <row r="899">
      <c r="A899" s="20" t="n">
        <v>45721</v>
      </c>
      <c r="B899" s="1" t="n">
        <v>14947</v>
      </c>
      <c r="C899" s="2" t="inlineStr">
        <is>
          <t>HASALTUN</t>
        </is>
      </c>
      <c r="D899" s="1" t="inlineStr">
        <is>
          <t>SM 370</t>
        </is>
      </c>
      <c r="E899" s="1" t="inlineStr">
        <is>
          <t>TEKİN ŞEYLAN</t>
        </is>
      </c>
      <c r="F899" s="3" t="n"/>
      <c r="G899" s="143" t="n"/>
      <c r="H899" s="143" t="n">
        <v>302</v>
      </c>
      <c r="I899" s="143">
        <f>+I898+(G899-H899)</f>
        <v/>
      </c>
      <c r="J899" s="144" t="n">
        <v>39.817</v>
      </c>
      <c r="K899" s="145" t="n"/>
      <c r="L899" s="140">
        <f>+H899*J899</f>
        <v/>
      </c>
      <c r="M899" s="141">
        <f>SUM(M898+K899-L899)</f>
        <v/>
      </c>
    </row>
    <row r="900">
      <c r="A900" s="20" t="n">
        <v>45721</v>
      </c>
      <c r="B900" s="1" t="n">
        <v>14948</v>
      </c>
      <c r="C900" s="2" t="inlineStr">
        <is>
          <t>HASALTUN</t>
        </is>
      </c>
      <c r="D900" s="1" t="inlineStr">
        <is>
          <t>SM 350</t>
        </is>
      </c>
      <c r="E900" s="1" t="inlineStr">
        <is>
          <t>TEVFİK ÖZTÜRK</t>
        </is>
      </c>
      <c r="F900" s="3" t="n"/>
      <c r="G900" s="143" t="n"/>
      <c r="H900" s="143" t="n">
        <v>250</v>
      </c>
      <c r="I900" s="143">
        <f>+I899+(G900-H900)</f>
        <v/>
      </c>
      <c r="J900" s="144" t="n">
        <v>39.817</v>
      </c>
      <c r="K900" s="145" t="n"/>
      <c r="L900" s="140">
        <f>+H900*J900</f>
        <v/>
      </c>
      <c r="M900" s="141">
        <f>SUM(M899+K900-L900)</f>
        <v/>
      </c>
    </row>
    <row r="901">
      <c r="A901" s="20" t="n">
        <v>45722</v>
      </c>
      <c r="B901" s="21" t="n">
        <v>45</v>
      </c>
      <c r="C901" s="22" t="inlineStr">
        <is>
          <t>MİRBE PETROL SANAYİ VE TİCARET ANONİM ŞİRKETİ</t>
        </is>
      </c>
      <c r="D901" s="21" t="n"/>
      <c r="E901" s="21" t="n"/>
      <c r="F901" s="23" t="n"/>
      <c r="G901" s="138" t="n">
        <v>24583</v>
      </c>
      <c r="H901" s="138" t="n"/>
      <c r="I901" s="138">
        <f>+I900+(G901-H901)</f>
        <v/>
      </c>
      <c r="J901" s="139">
        <f>+K901/G901</f>
        <v/>
      </c>
      <c r="K901" s="140" t="n">
        <v>1035161.62</v>
      </c>
      <c r="L901" s="140">
        <f>+H901*J901</f>
        <v/>
      </c>
      <c r="M901" s="141">
        <f>SUM(M900+K901-L901)</f>
        <v/>
      </c>
    </row>
    <row r="902">
      <c r="A902" s="20" t="n">
        <v>45722</v>
      </c>
      <c r="B902" s="21" t="n">
        <v>14401</v>
      </c>
      <c r="C902" s="22" t="inlineStr">
        <is>
          <t>SELİM İNŞAAT</t>
        </is>
      </c>
      <c r="D902" s="21" t="inlineStr">
        <is>
          <t>34 EGR 737</t>
        </is>
      </c>
      <c r="E902" s="21" t="inlineStr">
        <is>
          <t>İBRAHİM GÜNASLAN</t>
        </is>
      </c>
      <c r="F902" s="23" t="n">
        <v>395842</v>
      </c>
      <c r="G902" s="138" t="n"/>
      <c r="H902" s="138" t="n">
        <v>318</v>
      </c>
      <c r="I902" s="138">
        <f>+I901+(G902-H902)</f>
        <v/>
      </c>
      <c r="J902" s="139" t="n">
        <v>42.109</v>
      </c>
      <c r="K902" s="140" t="n"/>
      <c r="L902" s="140">
        <f>+H902*J902</f>
        <v/>
      </c>
      <c r="M902" s="141">
        <f>SUM(M901+K902-L902)</f>
        <v/>
      </c>
    </row>
    <row r="903">
      <c r="A903" s="20" t="n">
        <v>45722</v>
      </c>
      <c r="B903" s="21" t="n">
        <v>11786</v>
      </c>
      <c r="C903" s="22" t="inlineStr">
        <is>
          <t>SELİM İNŞAAT</t>
        </is>
      </c>
      <c r="D903" s="21" t="inlineStr">
        <is>
          <t>34 EDC 086</t>
        </is>
      </c>
      <c r="E903" s="21" t="inlineStr">
        <is>
          <t>ÖMER AĞAYAR</t>
        </is>
      </c>
      <c r="F903" s="23" t="n">
        <v>306710</v>
      </c>
      <c r="G903" s="138" t="n"/>
      <c r="H903" s="138" t="n">
        <v>390</v>
      </c>
      <c r="I903" s="138">
        <f>+I902+(G903-H903)</f>
        <v/>
      </c>
      <c r="J903" s="139" t="n">
        <v>42.109</v>
      </c>
      <c r="K903" s="140" t="n"/>
      <c r="L903" s="140">
        <f>+H903*J903</f>
        <v/>
      </c>
      <c r="M903" s="141">
        <f>SUM(M902+K903-L903)</f>
        <v/>
      </c>
    </row>
    <row r="904">
      <c r="A904" s="20" t="n">
        <v>45722</v>
      </c>
      <c r="B904" s="21" t="n">
        <v>10360</v>
      </c>
      <c r="C904" s="22" t="inlineStr">
        <is>
          <t>SELİM İNŞAAT</t>
        </is>
      </c>
      <c r="D904" s="21" t="inlineStr">
        <is>
          <t>34 DRU 690</t>
        </is>
      </c>
      <c r="E904" s="21" t="inlineStr">
        <is>
          <t>HÜSEYİN AKÇİN</t>
        </is>
      </c>
      <c r="F904" s="23" t="n">
        <v>392725</v>
      </c>
      <c r="G904" s="138" t="n"/>
      <c r="H904" s="138" t="n">
        <v>357</v>
      </c>
      <c r="I904" s="138">
        <f>+I903+(G904-H904)</f>
        <v/>
      </c>
      <c r="J904" s="139" t="n">
        <v>42.109</v>
      </c>
      <c r="K904" s="140" t="n"/>
      <c r="L904" s="140">
        <f>+H904*J904</f>
        <v/>
      </c>
      <c r="M904" s="141">
        <f>SUM(M903+K904-L904)</f>
        <v/>
      </c>
    </row>
    <row r="905">
      <c r="A905" s="20" t="n">
        <v>45722</v>
      </c>
      <c r="B905" s="21" t="n">
        <v>10427</v>
      </c>
      <c r="C905" s="22" t="inlineStr">
        <is>
          <t>SELİM İNŞAAT</t>
        </is>
      </c>
      <c r="D905" s="21" t="inlineStr">
        <is>
          <t>34 FBR 781</t>
        </is>
      </c>
      <c r="E905" s="21" t="inlineStr">
        <is>
          <t>MEVLÜT POLAT</t>
        </is>
      </c>
      <c r="F905" s="23" t="n">
        <v>279484</v>
      </c>
      <c r="G905" s="138" t="n"/>
      <c r="H905" s="138" t="n">
        <v>270</v>
      </c>
      <c r="I905" s="138">
        <f>+I904+(G905-H905)</f>
        <v/>
      </c>
      <c r="J905" s="139" t="n">
        <v>42.109</v>
      </c>
      <c r="K905" s="140" t="n"/>
      <c r="L905" s="140">
        <f>+H905*J905</f>
        <v/>
      </c>
      <c r="M905" s="141">
        <f>SUM(M904+K905-L905)</f>
        <v/>
      </c>
    </row>
    <row r="906">
      <c r="A906" s="20" t="n">
        <v>45722</v>
      </c>
      <c r="B906" s="21" t="n">
        <v>11913</v>
      </c>
      <c r="C906" s="22" t="inlineStr">
        <is>
          <t>SELİM İNŞAAT</t>
        </is>
      </c>
      <c r="D906" s="21" t="inlineStr">
        <is>
          <t>34 FBR 742</t>
        </is>
      </c>
      <c r="E906" s="21" t="inlineStr">
        <is>
          <t>MİKAİL BAYILMAZ</t>
        </is>
      </c>
      <c r="F906" s="23" t="n">
        <v>295323</v>
      </c>
      <c r="G906" s="138" t="n"/>
      <c r="H906" s="138" t="n">
        <v>348</v>
      </c>
      <c r="I906" s="138">
        <f>+I905+(G906-H906)</f>
        <v/>
      </c>
      <c r="J906" s="139" t="n">
        <v>42.109</v>
      </c>
      <c r="K906" s="140" t="n"/>
      <c r="L906" s="140">
        <f>+H906*J906</f>
        <v/>
      </c>
      <c r="M906" s="141">
        <f>SUM(M905+K906-L906)</f>
        <v/>
      </c>
    </row>
    <row r="907">
      <c r="A907" s="20" t="n">
        <v>45722</v>
      </c>
      <c r="B907" s="21" t="n">
        <v>21541</v>
      </c>
      <c r="C907" s="22" t="inlineStr">
        <is>
          <t>SELİM İNŞAAT</t>
        </is>
      </c>
      <c r="D907" s="21" t="inlineStr">
        <is>
          <t>34 GVZ 745</t>
        </is>
      </c>
      <c r="E907" s="21" t="inlineStr">
        <is>
          <t>MUHAMMED YİĞİT</t>
        </is>
      </c>
      <c r="F907" s="23" t="n">
        <v>164572</v>
      </c>
      <c r="G907" s="138" t="n"/>
      <c r="H907" s="138" t="n">
        <v>317</v>
      </c>
      <c r="I907" s="138">
        <f>+I906+(G907-H907)</f>
        <v/>
      </c>
      <c r="J907" s="139" t="n">
        <v>42.109</v>
      </c>
      <c r="K907" s="140" t="n"/>
      <c r="L907" s="140">
        <f>+H907*J907</f>
        <v/>
      </c>
      <c r="M907" s="141">
        <f>SUM(M906+K907-L907)</f>
        <v/>
      </c>
    </row>
    <row r="908">
      <c r="A908" s="20" t="n">
        <v>45722</v>
      </c>
      <c r="B908" s="21" t="n">
        <v>14004</v>
      </c>
      <c r="C908" s="22" t="inlineStr">
        <is>
          <t>SELİM İNŞAAT</t>
        </is>
      </c>
      <c r="D908" s="21" t="inlineStr">
        <is>
          <t>34 GVZ 310</t>
        </is>
      </c>
      <c r="E908" s="21" t="inlineStr">
        <is>
          <t>CELAL YÜZBAŞI</t>
        </is>
      </c>
      <c r="F908" s="23" t="n">
        <v>172174</v>
      </c>
      <c r="G908" s="138" t="n"/>
      <c r="H908" s="138" t="n">
        <v>257</v>
      </c>
      <c r="I908" s="138">
        <f>+I907+(G908-H908)</f>
        <v/>
      </c>
      <c r="J908" s="139" t="n">
        <v>42.109</v>
      </c>
      <c r="K908" s="140" t="n"/>
      <c r="L908" s="140">
        <f>+H908*J908</f>
        <v/>
      </c>
      <c r="M908" s="141">
        <f>SUM(M907+K908-L908)</f>
        <v/>
      </c>
    </row>
    <row r="909">
      <c r="A909" s="20" t="n">
        <v>45722</v>
      </c>
      <c r="B909" s="21" t="n">
        <v>11721</v>
      </c>
      <c r="C909" s="22" t="inlineStr">
        <is>
          <t>SELİM İNŞAAT</t>
        </is>
      </c>
      <c r="D909" s="21" t="inlineStr">
        <is>
          <t>34 EDB 559</t>
        </is>
      </c>
      <c r="E909" s="21" t="inlineStr">
        <is>
          <t>CEM MUHTAR</t>
        </is>
      </c>
      <c r="F909" s="23" t="n">
        <v>306751</v>
      </c>
      <c r="G909" s="138" t="n"/>
      <c r="H909" s="138" t="n">
        <v>341</v>
      </c>
      <c r="I909" s="138">
        <f>+I908+(G909-H909)</f>
        <v/>
      </c>
      <c r="J909" s="139" t="n">
        <v>42.109</v>
      </c>
      <c r="K909" s="140" t="n"/>
      <c r="L909" s="140">
        <f>+H909*J909</f>
        <v/>
      </c>
      <c r="M909" s="141">
        <f>SUM(M908+K909-L909)</f>
        <v/>
      </c>
    </row>
    <row r="910">
      <c r="A910" s="20" t="n">
        <v>45722</v>
      </c>
      <c r="B910" s="21" t="n">
        <v>11275</v>
      </c>
      <c r="C910" s="22" t="inlineStr">
        <is>
          <t>SELİM İNŞAAT</t>
        </is>
      </c>
      <c r="D910" s="21" t="inlineStr">
        <is>
          <t>34 EDC 162</t>
        </is>
      </c>
      <c r="E910" s="21" t="inlineStr">
        <is>
          <t xml:space="preserve">YAKUP GÜNER </t>
        </is>
      </c>
      <c r="F910" s="23" t="n">
        <v>343060</v>
      </c>
      <c r="G910" s="138" t="n"/>
      <c r="H910" s="138" t="n">
        <v>355</v>
      </c>
      <c r="I910" s="138">
        <f>+I909+(G910-H910)</f>
        <v/>
      </c>
      <c r="J910" s="139" t="n">
        <v>42.109</v>
      </c>
      <c r="K910" s="140" t="n"/>
      <c r="L910" s="140">
        <f>+H910*J910</f>
        <v/>
      </c>
      <c r="M910" s="141">
        <f>SUM(M909+K910-L910)</f>
        <v/>
      </c>
    </row>
    <row r="911">
      <c r="A911" s="20" t="n">
        <v>45722</v>
      </c>
      <c r="B911" s="21" t="n">
        <v>14454</v>
      </c>
      <c r="C911" s="22" t="inlineStr">
        <is>
          <t>SELİM İNŞAAT</t>
        </is>
      </c>
      <c r="D911" s="21" t="inlineStr">
        <is>
          <t>34 GUS 848</t>
        </is>
      </c>
      <c r="E911" s="21" t="inlineStr">
        <is>
          <t>SERDAR BOZKURT</t>
        </is>
      </c>
      <c r="F911" s="23" t="n">
        <v>167545</v>
      </c>
      <c r="G911" s="138" t="n"/>
      <c r="H911" s="138" t="n">
        <v>306</v>
      </c>
      <c r="I911" s="138">
        <f>+I910+(G911-H911)</f>
        <v/>
      </c>
      <c r="J911" s="139" t="n">
        <v>42.109</v>
      </c>
      <c r="K911" s="140" t="n"/>
      <c r="L911" s="140">
        <f>+H911*J911</f>
        <v/>
      </c>
      <c r="M911" s="141">
        <f>SUM(M910+K911-L911)</f>
        <v/>
      </c>
    </row>
    <row r="912">
      <c r="A912" s="20" t="n">
        <v>45722</v>
      </c>
      <c r="B912" s="21" t="n">
        <v>21286</v>
      </c>
      <c r="C912" s="22" t="inlineStr">
        <is>
          <t>SELİM İNŞAAT</t>
        </is>
      </c>
      <c r="D912" s="21" t="inlineStr">
        <is>
          <t>34 DTV 447</t>
        </is>
      </c>
      <c r="E912" s="21" t="inlineStr">
        <is>
          <t>EBUBEKİR KOLDAŞ</t>
        </is>
      </c>
      <c r="F912" s="23" t="n">
        <v>414642</v>
      </c>
      <c r="G912" s="138" t="n"/>
      <c r="H912" s="138" t="n">
        <v>400</v>
      </c>
      <c r="I912" s="138">
        <f>+I911+(G912-H912)</f>
        <v/>
      </c>
      <c r="J912" s="139" t="n">
        <v>42.109</v>
      </c>
      <c r="K912" s="140" t="n"/>
      <c r="L912" s="140">
        <f>+H912*J912</f>
        <v/>
      </c>
      <c r="M912" s="141">
        <f>SUM(M911+K912-L912)</f>
        <v/>
      </c>
    </row>
    <row r="913">
      <c r="A913" s="20" t="n">
        <v>45722</v>
      </c>
      <c r="B913" s="21" t="n">
        <v>21481</v>
      </c>
      <c r="C913" s="22" t="inlineStr">
        <is>
          <t>SELİM İNŞAAT</t>
        </is>
      </c>
      <c r="D913" s="21" t="inlineStr">
        <is>
          <t>34 GVZ 635</t>
        </is>
      </c>
      <c r="E913" s="21" t="inlineStr">
        <is>
          <t>ENGİN DEMİR</t>
        </is>
      </c>
      <c r="F913" s="23" t="n">
        <v>150785</v>
      </c>
      <c r="G913" s="138" t="n"/>
      <c r="H913" s="138" t="n">
        <v>282</v>
      </c>
      <c r="I913" s="138">
        <f>+I912+(G913-H913)</f>
        <v/>
      </c>
      <c r="J913" s="139" t="n">
        <v>42.109</v>
      </c>
      <c r="K913" s="140" t="n"/>
      <c r="L913" s="140">
        <f>+H913*J913</f>
        <v/>
      </c>
      <c r="M913" s="141">
        <f>SUM(M912+K913-L913)</f>
        <v/>
      </c>
    </row>
    <row r="914">
      <c r="A914" s="20" t="n">
        <v>45722</v>
      </c>
      <c r="B914" s="21" t="n">
        <v>21191</v>
      </c>
      <c r="C914" s="22" t="inlineStr">
        <is>
          <t>SELİM İNŞAAT</t>
        </is>
      </c>
      <c r="D914" s="21" t="inlineStr">
        <is>
          <t>34 DSN 565</t>
        </is>
      </c>
      <c r="E914" s="21" t="inlineStr">
        <is>
          <t>MUSTAFA KAYA</t>
        </is>
      </c>
      <c r="F914" s="23" t="n">
        <v>386966</v>
      </c>
      <c r="G914" s="138" t="n"/>
      <c r="H914" s="138" t="n">
        <v>333</v>
      </c>
      <c r="I914" s="138">
        <f>+I913+(G914-H914)</f>
        <v/>
      </c>
      <c r="J914" s="139" t="n">
        <v>42.109</v>
      </c>
      <c r="K914" s="140" t="n"/>
      <c r="L914" s="140">
        <f>+H914*J914</f>
        <v/>
      </c>
      <c r="M914" s="141">
        <f>SUM(M913+K914-L914)</f>
        <v/>
      </c>
    </row>
    <row r="915">
      <c r="A915" s="20" t="n">
        <v>45722</v>
      </c>
      <c r="B915" s="21" t="n">
        <v>10865</v>
      </c>
      <c r="C915" s="22" t="inlineStr">
        <is>
          <t>SELİM İNŞAAT</t>
        </is>
      </c>
      <c r="D915" s="21" t="inlineStr">
        <is>
          <t>34 AR 7743</t>
        </is>
      </c>
      <c r="E915" s="21" t="inlineStr">
        <is>
          <t>MEHMET SELİM</t>
        </is>
      </c>
      <c r="F915" s="23" t="n">
        <v>351470</v>
      </c>
      <c r="G915" s="138" t="n"/>
      <c r="H915" s="138" t="n">
        <v>47</v>
      </c>
      <c r="I915" s="138">
        <f>+I914+(G915-H915)</f>
        <v/>
      </c>
      <c r="J915" s="139" t="n">
        <v>42.109</v>
      </c>
      <c r="K915" s="140" t="n"/>
      <c r="L915" s="140">
        <f>+H915*J915</f>
        <v/>
      </c>
      <c r="M915" s="141">
        <f>SUM(M914+K915-L915)</f>
        <v/>
      </c>
    </row>
    <row r="916">
      <c r="A916" s="20" t="n">
        <v>45722</v>
      </c>
      <c r="B916" s="21" t="n">
        <v>21132</v>
      </c>
      <c r="C916" s="22" t="inlineStr">
        <is>
          <t>SELİM İNŞAAT</t>
        </is>
      </c>
      <c r="D916" s="21" t="inlineStr">
        <is>
          <t>34 TG 7869</t>
        </is>
      </c>
      <c r="E916" s="21" t="inlineStr">
        <is>
          <t>GÖRKEM KARABEL</t>
        </is>
      </c>
      <c r="F916" s="23" t="n">
        <v>179598</v>
      </c>
      <c r="G916" s="138" t="n"/>
      <c r="H916" s="138" t="n">
        <v>246</v>
      </c>
      <c r="I916" s="138">
        <f>+I915+(G916-H916)</f>
        <v/>
      </c>
      <c r="J916" s="139" t="n">
        <v>42.109</v>
      </c>
      <c r="K916" s="140" t="n"/>
      <c r="L916" s="140">
        <f>+H916*J916</f>
        <v/>
      </c>
      <c r="M916" s="141">
        <f>SUM(M915+K916-L916)</f>
        <v/>
      </c>
    </row>
    <row r="917">
      <c r="A917" s="20" t="n">
        <v>45722</v>
      </c>
      <c r="B917" s="21" t="n">
        <v>11063</v>
      </c>
      <c r="C917" s="22" t="inlineStr">
        <is>
          <t>SELİM İNŞAAT</t>
        </is>
      </c>
      <c r="D917" s="21" t="inlineStr">
        <is>
          <t>34 HBY 763</t>
        </is>
      </c>
      <c r="E917" s="21" t="inlineStr">
        <is>
          <t>EMİRCAN ÖZTÜRK</t>
        </is>
      </c>
      <c r="F917" s="23" t="n">
        <v>13310</v>
      </c>
      <c r="G917" s="138" t="n"/>
      <c r="H917" s="138" t="n">
        <v>224</v>
      </c>
      <c r="I917" s="138">
        <f>+I916+(G917-H917)</f>
        <v/>
      </c>
      <c r="J917" s="139" t="n">
        <v>42.109</v>
      </c>
      <c r="K917" s="140" t="n"/>
      <c r="L917" s="140">
        <f>+H917*J917</f>
        <v/>
      </c>
      <c r="M917" s="141">
        <f>SUM(M916+K917-L917)</f>
        <v/>
      </c>
    </row>
    <row r="918">
      <c r="A918" s="20" t="n">
        <v>45722</v>
      </c>
      <c r="B918" s="21" t="n">
        <v>11993</v>
      </c>
      <c r="C918" s="22" t="inlineStr">
        <is>
          <t>SELİM İNŞAAT</t>
        </is>
      </c>
      <c r="D918" s="21" t="inlineStr">
        <is>
          <t>34 DKL 798</t>
        </is>
      </c>
      <c r="E918" s="21" t="inlineStr">
        <is>
          <t>VOLKAN YANAR</t>
        </is>
      </c>
      <c r="F918" s="23" t="n">
        <v>61567</v>
      </c>
      <c r="G918" s="138" t="n"/>
      <c r="H918" s="138" t="n">
        <v>118</v>
      </c>
      <c r="I918" s="138">
        <f>+I917+(G918-H918)</f>
        <v/>
      </c>
      <c r="J918" s="139" t="n">
        <v>42.109</v>
      </c>
      <c r="K918" s="140" t="n"/>
      <c r="L918" s="140">
        <f>+H918*J918</f>
        <v/>
      </c>
      <c r="M918" s="141">
        <f>SUM(M917+K918-L918)</f>
        <v/>
      </c>
    </row>
    <row r="919">
      <c r="A919" s="20" t="n">
        <v>45722</v>
      </c>
      <c r="B919" s="21" t="n">
        <v>14303</v>
      </c>
      <c r="C919" s="22" t="inlineStr">
        <is>
          <t>SELİM İNŞAAT</t>
        </is>
      </c>
      <c r="D919" s="21" t="inlineStr">
        <is>
          <t>34 DKL 866</t>
        </is>
      </c>
      <c r="E919" s="21" t="inlineStr">
        <is>
          <t>SELİM CAN ÖNVER</t>
        </is>
      </c>
      <c r="F919" s="23" t="n">
        <v>61474</v>
      </c>
      <c r="G919" s="138" t="n"/>
      <c r="H919" s="138" t="n">
        <v>165</v>
      </c>
      <c r="I919" s="138">
        <f>+I918+(G919-H919)</f>
        <v/>
      </c>
      <c r="J919" s="139" t="n">
        <v>42.109</v>
      </c>
      <c r="K919" s="140" t="n"/>
      <c r="L919" s="140">
        <f>+H919*J919</f>
        <v/>
      </c>
      <c r="M919" s="141">
        <f>SUM(M918+K919-L919)</f>
        <v/>
      </c>
    </row>
    <row r="920">
      <c r="A920" s="20" t="n">
        <v>45722</v>
      </c>
      <c r="B920" s="21" t="n">
        <v>11464</v>
      </c>
      <c r="C920" s="22" t="inlineStr">
        <is>
          <t>METİN ŞİRİN</t>
        </is>
      </c>
      <c r="D920" s="21" t="inlineStr">
        <is>
          <t>34 EGR 922</t>
        </is>
      </c>
      <c r="E920" s="21" t="inlineStr">
        <is>
          <t>GÜRAY KOYUNCU</t>
        </is>
      </c>
      <c r="F920" s="23" t="n">
        <v>437013</v>
      </c>
      <c r="G920" s="138" t="n"/>
      <c r="H920" s="138" t="n">
        <v>308</v>
      </c>
      <c r="I920" s="138">
        <f>+I919+(G920-H920)</f>
        <v/>
      </c>
      <c r="J920" s="139" t="n">
        <v>42.109</v>
      </c>
      <c r="K920" s="140" t="n"/>
      <c r="L920" s="140">
        <f>+H920*J920</f>
        <v/>
      </c>
      <c r="M920" s="141">
        <f>SUM(M919+K920-L920)</f>
        <v/>
      </c>
    </row>
    <row r="921">
      <c r="A921" s="20" t="n">
        <v>45722</v>
      </c>
      <c r="B921" s="1" t="n">
        <v>14949</v>
      </c>
      <c r="C921" s="2" t="inlineStr">
        <is>
          <t>VARLIK</t>
        </is>
      </c>
      <c r="D921" s="1" t="inlineStr">
        <is>
          <t>KAVAZAKİ</t>
        </is>
      </c>
      <c r="E921" s="1" t="inlineStr">
        <is>
          <t>UFUK SEVAL</t>
        </is>
      </c>
      <c r="F921" s="3" t="n"/>
      <c r="G921" s="143" t="n"/>
      <c r="H921" s="143" t="n">
        <v>205</v>
      </c>
      <c r="I921" s="143">
        <f>+I920+(G921-H921)</f>
        <v/>
      </c>
      <c r="J921" s="144" t="n">
        <v>42.109</v>
      </c>
      <c r="K921" s="145" t="n"/>
      <c r="L921" s="140">
        <f>+H921*J921</f>
        <v/>
      </c>
      <c r="M921" s="141">
        <f>SUM(M920+K921-L921)</f>
        <v/>
      </c>
    </row>
    <row r="922">
      <c r="A922" s="20" t="n">
        <v>45722</v>
      </c>
      <c r="B922" s="1" t="n">
        <v>14950</v>
      </c>
      <c r="C922" s="2" t="inlineStr">
        <is>
          <t>HASALTUN</t>
        </is>
      </c>
      <c r="D922" s="1" t="inlineStr">
        <is>
          <t>SM 370</t>
        </is>
      </c>
      <c r="E922" s="1" t="inlineStr">
        <is>
          <t>RAMAZAN KAYA</t>
        </is>
      </c>
      <c r="F922" s="3" t="n"/>
      <c r="G922" s="143" t="n"/>
      <c r="H922" s="143" t="n">
        <v>337</v>
      </c>
      <c r="I922" s="143">
        <f>+I921+(G922-H922)</f>
        <v/>
      </c>
      <c r="J922" s="144" t="n">
        <v>42.109</v>
      </c>
      <c r="K922" s="145" t="n"/>
      <c r="L922" s="140">
        <f>+H922*J922</f>
        <v/>
      </c>
      <c r="M922" s="141">
        <f>SUM(M921+K922-L922)</f>
        <v/>
      </c>
    </row>
    <row r="923">
      <c r="A923" s="20" t="n">
        <v>45723</v>
      </c>
      <c r="B923" s="21" t="n">
        <v>14054</v>
      </c>
      <c r="C923" s="22" t="inlineStr">
        <is>
          <t>SELİM İNŞAAT</t>
        </is>
      </c>
      <c r="D923" s="21" t="inlineStr">
        <is>
          <t>34 EDB 659</t>
        </is>
      </c>
      <c r="E923" s="21" t="inlineStr">
        <is>
          <t>MEHMET SAİT ANIK</t>
        </is>
      </c>
      <c r="F923" s="23" t="n">
        <v>317879</v>
      </c>
      <c r="G923" s="138" t="n"/>
      <c r="H923" s="138" t="n">
        <v>395</v>
      </c>
      <c r="I923" s="138">
        <f>+I922+(G923-H923)</f>
        <v/>
      </c>
      <c r="J923" s="139" t="n">
        <v>42.109</v>
      </c>
      <c r="K923" s="140" t="n"/>
      <c r="L923" s="140">
        <f>+H923*J923</f>
        <v/>
      </c>
      <c r="M923" s="141">
        <f>SUM(M922+K923-L923)</f>
        <v/>
      </c>
    </row>
    <row r="924">
      <c r="A924" s="20" t="n">
        <v>45723</v>
      </c>
      <c r="B924" s="21" t="n">
        <v>10280</v>
      </c>
      <c r="C924" s="22" t="inlineStr">
        <is>
          <t>SELİM İNŞAAT</t>
        </is>
      </c>
      <c r="D924" s="21" t="inlineStr">
        <is>
          <t>34 FBR 748</t>
        </is>
      </c>
      <c r="E924" s="21" t="inlineStr">
        <is>
          <t>YAŞAR ÖZKAYA</t>
        </is>
      </c>
      <c r="F924" s="23" t="n">
        <v>262525</v>
      </c>
      <c r="G924" s="138" t="n"/>
      <c r="H924" s="138" t="n">
        <v>150</v>
      </c>
      <c r="I924" s="138">
        <f>+I923+(G924-H924)</f>
        <v/>
      </c>
      <c r="J924" s="139" t="n">
        <v>42.109</v>
      </c>
      <c r="K924" s="140" t="n"/>
      <c r="L924" s="140">
        <f>+H924*J924</f>
        <v/>
      </c>
      <c r="M924" s="141">
        <f>SUM(M923+K924-L924)</f>
        <v/>
      </c>
    </row>
    <row r="925">
      <c r="A925" s="20" t="n">
        <v>45723</v>
      </c>
      <c r="B925" s="21" t="n">
        <v>10321</v>
      </c>
      <c r="C925" s="22" t="inlineStr">
        <is>
          <t>SELİM İNŞAAT</t>
        </is>
      </c>
      <c r="D925" s="21" t="inlineStr">
        <is>
          <t>34 EDB 829</t>
        </is>
      </c>
      <c r="E925" s="21" t="inlineStr">
        <is>
          <t>İSMET BAYRAM</t>
        </is>
      </c>
      <c r="F925" s="23" t="n">
        <v>295748</v>
      </c>
      <c r="G925" s="138" t="n"/>
      <c r="H925" s="138" t="n">
        <v>391</v>
      </c>
      <c r="I925" s="138">
        <f>+I924+(G925-H925)</f>
        <v/>
      </c>
      <c r="J925" s="139" t="n">
        <v>42.109</v>
      </c>
      <c r="K925" s="140" t="n"/>
      <c r="L925" s="140">
        <f>+H925*J925</f>
        <v/>
      </c>
      <c r="M925" s="141">
        <f>SUM(M924+K925-L925)</f>
        <v/>
      </c>
    </row>
    <row r="926">
      <c r="A926" s="20" t="n">
        <v>45723</v>
      </c>
      <c r="B926" s="21" t="n">
        <v>14203</v>
      </c>
      <c r="C926" s="22" t="inlineStr">
        <is>
          <t>SELİM İNŞAAT</t>
        </is>
      </c>
      <c r="D926" s="21" t="inlineStr">
        <is>
          <t xml:space="preserve">34 GUS 938 </t>
        </is>
      </c>
      <c r="E926" s="21" t="inlineStr">
        <is>
          <t>MEHMET KAYA</t>
        </is>
      </c>
      <c r="F926" s="23" t="n">
        <v>163168</v>
      </c>
      <c r="G926" s="138" t="n"/>
      <c r="H926" s="138" t="n">
        <v>238</v>
      </c>
      <c r="I926" s="138">
        <f>+I925+(G926-H926)</f>
        <v/>
      </c>
      <c r="J926" s="139" t="n">
        <v>42.109</v>
      </c>
      <c r="K926" s="140" t="n"/>
      <c r="L926" s="140">
        <f>+H926*J926</f>
        <v/>
      </c>
      <c r="M926" s="141">
        <f>SUM(M925+K926-L926)</f>
        <v/>
      </c>
    </row>
    <row r="927">
      <c r="A927" s="20" t="n">
        <v>45723</v>
      </c>
      <c r="B927" s="21" t="n">
        <v>10628</v>
      </c>
      <c r="C927" s="22" t="inlineStr">
        <is>
          <t>SELİM İNŞAAT</t>
        </is>
      </c>
      <c r="D927" s="21" t="inlineStr">
        <is>
          <t>34 EDB 754</t>
        </is>
      </c>
      <c r="E927" s="21" t="inlineStr">
        <is>
          <t>EMİN PARLAKKILIÇ</t>
        </is>
      </c>
      <c r="F927" s="23" t="n">
        <v>302024</v>
      </c>
      <c r="G927" s="138" t="n"/>
      <c r="H927" s="138" t="n">
        <v>485</v>
      </c>
      <c r="I927" s="138">
        <f>+I926+(G927-H927)</f>
        <v/>
      </c>
      <c r="J927" s="139" t="n">
        <v>42.109</v>
      </c>
      <c r="K927" s="140" t="n"/>
      <c r="L927" s="140">
        <f>+H927*J927</f>
        <v/>
      </c>
      <c r="M927" s="141">
        <f>SUM(M926+K927-L927)</f>
        <v/>
      </c>
    </row>
    <row r="928">
      <c r="A928" s="20" t="n">
        <v>45723</v>
      </c>
      <c r="B928" s="21" t="n">
        <v>11810</v>
      </c>
      <c r="C928" s="22" t="inlineStr">
        <is>
          <t>SELİM İNŞAAT</t>
        </is>
      </c>
      <c r="D928" s="21" t="inlineStr">
        <is>
          <t>34 FSG 229</t>
        </is>
      </c>
      <c r="E928" s="21" t="inlineStr">
        <is>
          <t>SİNAN TANRIVERDİ</t>
        </is>
      </c>
      <c r="F928" s="23" t="n">
        <v>235080</v>
      </c>
      <c r="G928" s="138" t="n"/>
      <c r="H928" s="138" t="n">
        <v>150</v>
      </c>
      <c r="I928" s="138">
        <f>+I927+(G928-H928)</f>
        <v/>
      </c>
      <c r="J928" s="139" t="n">
        <v>42.109</v>
      </c>
      <c r="K928" s="140" t="n"/>
      <c r="L928" s="140">
        <f>+H928*J928</f>
        <v/>
      </c>
      <c r="M928" s="141">
        <f>SUM(M927+K928-L928)</f>
        <v/>
      </c>
    </row>
    <row r="929">
      <c r="A929" s="20" t="n">
        <v>45723</v>
      </c>
      <c r="B929" s="21" t="n">
        <v>10516</v>
      </c>
      <c r="C929" s="22" t="inlineStr">
        <is>
          <t>SELİM İNŞAAT</t>
        </is>
      </c>
      <c r="D929" s="21" t="inlineStr">
        <is>
          <t>34 EDB 922</t>
        </is>
      </c>
      <c r="E929" s="21" t="inlineStr">
        <is>
          <t>AHMET TOPÇU</t>
        </is>
      </c>
      <c r="F929" s="23" t="n">
        <v>335831</v>
      </c>
      <c r="G929" s="138" t="n"/>
      <c r="H929" s="138" t="n">
        <v>373</v>
      </c>
      <c r="I929" s="138">
        <f>+I928+(G929-H929)</f>
        <v/>
      </c>
      <c r="J929" s="139" t="n">
        <v>42.109</v>
      </c>
      <c r="K929" s="140" t="n"/>
      <c r="L929" s="140">
        <f>+H929*J929</f>
        <v/>
      </c>
      <c r="M929" s="141">
        <f>SUM(M928+K929-L929)</f>
        <v/>
      </c>
    </row>
    <row r="930">
      <c r="A930" s="20" t="n">
        <v>45723</v>
      </c>
      <c r="B930" s="21" t="n">
        <v>10768</v>
      </c>
      <c r="C930" s="22" t="inlineStr">
        <is>
          <t>SELİM İNŞAAT</t>
        </is>
      </c>
      <c r="D930" s="21" t="inlineStr">
        <is>
          <t>34 FBR 705</t>
        </is>
      </c>
      <c r="E930" s="21" t="inlineStr">
        <is>
          <t>MESUT GÜRLER</t>
        </is>
      </c>
      <c r="F930" s="23" t="n">
        <v>290390</v>
      </c>
      <c r="G930" s="138" t="n"/>
      <c r="H930" s="138" t="n">
        <v>427</v>
      </c>
      <c r="I930" s="138">
        <f>+I929+(G930-H930)</f>
        <v/>
      </c>
      <c r="J930" s="139" t="n">
        <v>42.109</v>
      </c>
      <c r="K930" s="140" t="n"/>
      <c r="L930" s="140">
        <f>+H930*J930</f>
        <v/>
      </c>
      <c r="M930" s="141">
        <f>SUM(M929+K930-L930)</f>
        <v/>
      </c>
    </row>
    <row r="931">
      <c r="A931" s="20" t="n">
        <v>45723</v>
      </c>
      <c r="B931" s="21" t="n">
        <v>11204</v>
      </c>
      <c r="C931" s="22" t="inlineStr">
        <is>
          <t>SELİM İNŞAAT</t>
        </is>
      </c>
      <c r="D931" s="21" t="inlineStr">
        <is>
          <t>34 DSN 636</t>
        </is>
      </c>
      <c r="E931" s="21" t="inlineStr">
        <is>
          <t>DURSUN ALİ GÜREK</t>
        </is>
      </c>
      <c r="F931" s="23" t="n">
        <v>373572</v>
      </c>
      <c r="G931" s="138" t="n"/>
      <c r="H931" s="138" t="n">
        <v>275</v>
      </c>
      <c r="I931" s="138">
        <f>+I930+(G931-H931)</f>
        <v/>
      </c>
      <c r="J931" s="139" t="n">
        <v>42.109</v>
      </c>
      <c r="K931" s="140" t="n"/>
      <c r="L931" s="140">
        <f>+H931*J931</f>
        <v/>
      </c>
      <c r="M931" s="141">
        <f>SUM(M930+K931-L931)</f>
        <v/>
      </c>
    </row>
    <row r="932">
      <c r="A932" s="20" t="n">
        <v>45723</v>
      </c>
      <c r="B932" s="21" t="n">
        <v>21133</v>
      </c>
      <c r="C932" s="22" t="inlineStr">
        <is>
          <t>SELİM İNŞAAT</t>
        </is>
      </c>
      <c r="D932" s="21" t="inlineStr">
        <is>
          <t>34 TG 7869</t>
        </is>
      </c>
      <c r="E932" s="21" t="inlineStr">
        <is>
          <t>GÖRKEM KARABEL</t>
        </is>
      </c>
      <c r="F932" s="23" t="n">
        <v>179677</v>
      </c>
      <c r="G932" s="138" t="n"/>
      <c r="H932" s="138" t="n">
        <v>170</v>
      </c>
      <c r="I932" s="138">
        <f>+I931+(G932-H932)</f>
        <v/>
      </c>
      <c r="J932" s="139" t="n">
        <v>42.109</v>
      </c>
      <c r="K932" s="140" t="n"/>
      <c r="L932" s="140">
        <f>+H932*J932</f>
        <v/>
      </c>
      <c r="M932" s="141">
        <f>SUM(M931+K932-L932)</f>
        <v/>
      </c>
    </row>
    <row r="933">
      <c r="A933" s="20" t="n">
        <v>45723</v>
      </c>
      <c r="B933" s="21" t="n">
        <v>11064</v>
      </c>
      <c r="C933" s="22" t="inlineStr">
        <is>
          <t>SELİM İNŞAAT</t>
        </is>
      </c>
      <c r="D933" s="21" t="inlineStr">
        <is>
          <t>34 HBY 763</t>
        </is>
      </c>
      <c r="E933" s="21" t="inlineStr">
        <is>
          <t>EMİRCAN ÖZTÜRK</t>
        </is>
      </c>
      <c r="F933" s="23" t="n">
        <v>13399</v>
      </c>
      <c r="G933" s="138" t="n"/>
      <c r="H933" s="138" t="n">
        <v>132</v>
      </c>
      <c r="I933" s="138">
        <f>+I932+(G933-H933)</f>
        <v/>
      </c>
      <c r="J933" s="139" t="n">
        <v>42.109</v>
      </c>
      <c r="K933" s="140" t="n"/>
      <c r="L933" s="140">
        <f>+H933*J933</f>
        <v/>
      </c>
      <c r="M933" s="141">
        <f>SUM(M932+K933-L933)</f>
        <v/>
      </c>
    </row>
    <row r="934">
      <c r="A934" s="20" t="n">
        <v>45723</v>
      </c>
      <c r="B934" s="21" t="n">
        <v>11994</v>
      </c>
      <c r="C934" s="22" t="inlineStr">
        <is>
          <t>SELİM İNŞAAT</t>
        </is>
      </c>
      <c r="D934" s="21" t="inlineStr">
        <is>
          <t>34 DKL 798</t>
        </is>
      </c>
      <c r="E934" s="21" t="inlineStr">
        <is>
          <t>VOLKAN YANAR</t>
        </is>
      </c>
      <c r="F934" s="23" t="n">
        <v>61645</v>
      </c>
      <c r="G934" s="138" t="n"/>
      <c r="H934" s="138" t="n">
        <v>142</v>
      </c>
      <c r="I934" s="138">
        <f>+I933+(G934-H934)</f>
        <v/>
      </c>
      <c r="J934" s="139" t="n">
        <v>42.109</v>
      </c>
      <c r="K934" s="140" t="n"/>
      <c r="L934" s="140">
        <f>+H934*J934</f>
        <v/>
      </c>
      <c r="M934" s="141">
        <f>SUM(M933+K934-L934)</f>
        <v/>
      </c>
    </row>
    <row r="935">
      <c r="A935" s="20" t="n">
        <v>45723</v>
      </c>
      <c r="B935" s="21" t="n">
        <v>14304</v>
      </c>
      <c r="C935" s="22" t="inlineStr">
        <is>
          <t>SELİM İNŞAAT</t>
        </is>
      </c>
      <c r="D935" s="21" t="inlineStr">
        <is>
          <t>34 DKL 866</t>
        </is>
      </c>
      <c r="E935" s="21" t="inlineStr">
        <is>
          <t>SELİM CAN ÖNVER</t>
        </is>
      </c>
      <c r="F935" s="23" t="n">
        <v>61562</v>
      </c>
      <c r="G935" s="138" t="n"/>
      <c r="H935" s="138" t="n">
        <v>138</v>
      </c>
      <c r="I935" s="138">
        <f>+I934+(G935-H935)</f>
        <v/>
      </c>
      <c r="J935" s="139" t="n">
        <v>42.109</v>
      </c>
      <c r="K935" s="140" t="n"/>
      <c r="L935" s="140">
        <f>+H935*J935</f>
        <v/>
      </c>
      <c r="M935" s="141">
        <f>SUM(M934+K935-L935)</f>
        <v/>
      </c>
    </row>
    <row r="936">
      <c r="A936" s="20" t="n">
        <v>45723</v>
      </c>
      <c r="B936" s="21" t="n">
        <v>11891</v>
      </c>
      <c r="C936" s="22" t="inlineStr">
        <is>
          <t>SELİM İNŞAAT</t>
        </is>
      </c>
      <c r="D936" s="21" t="inlineStr">
        <is>
          <t>34 DFE 454</t>
        </is>
      </c>
      <c r="E936" s="21" t="inlineStr">
        <is>
          <t>HASAN BAYCAN</t>
        </is>
      </c>
      <c r="F936" s="23" t="n">
        <v>155200</v>
      </c>
      <c r="G936" s="138" t="n"/>
      <c r="H936" s="138" t="n">
        <v>204</v>
      </c>
      <c r="I936" s="138">
        <f>+I935+(G936-H936)</f>
        <v/>
      </c>
      <c r="J936" s="139" t="n">
        <v>42.109</v>
      </c>
      <c r="K936" s="140" t="n"/>
      <c r="L936" s="140">
        <f>+H936*J936</f>
        <v/>
      </c>
      <c r="M936" s="141">
        <f>SUM(M935+K936-L936)</f>
        <v/>
      </c>
    </row>
    <row r="937">
      <c r="A937" s="20" t="n">
        <v>45723</v>
      </c>
      <c r="B937" s="21" t="n">
        <v>20187</v>
      </c>
      <c r="C937" s="22" t="inlineStr">
        <is>
          <t>SELİM İNŞAAT</t>
        </is>
      </c>
      <c r="D937" s="21" t="inlineStr">
        <is>
          <t>34 JGR 15</t>
        </is>
      </c>
      <c r="E937" s="21" t="inlineStr">
        <is>
          <t>ÖNER DÜNDAR</t>
        </is>
      </c>
      <c r="F937" s="23" t="n">
        <v>305889</v>
      </c>
      <c r="G937" s="138" t="n"/>
      <c r="H937" s="138" t="n">
        <v>65</v>
      </c>
      <c r="I937" s="138">
        <f>+I936+(G937-H937)</f>
        <v/>
      </c>
      <c r="J937" s="139" t="n">
        <v>42.109</v>
      </c>
      <c r="K937" s="140" t="n"/>
      <c r="L937" s="140">
        <f>+H937*J937</f>
        <v/>
      </c>
      <c r="M937" s="141">
        <f>SUM(M936+K937-L937)</f>
        <v/>
      </c>
    </row>
    <row r="938">
      <c r="A938" s="20" t="n">
        <v>45723</v>
      </c>
      <c r="B938" s="21" t="n">
        <v>10561</v>
      </c>
      <c r="C938" s="22" t="inlineStr">
        <is>
          <t>SELİM İNŞAAT</t>
        </is>
      </c>
      <c r="D938" s="21" t="inlineStr">
        <is>
          <t>34 GU 945</t>
        </is>
      </c>
      <c r="E938" s="21" t="inlineStr">
        <is>
          <t>TURAN SEVİNDİK</t>
        </is>
      </c>
      <c r="F938" s="23" t="n">
        <v>439677</v>
      </c>
      <c r="G938" s="138" t="n"/>
      <c r="H938" s="138" t="n">
        <v>71</v>
      </c>
      <c r="I938" s="138">
        <f>+I937+(G938-H938)</f>
        <v/>
      </c>
      <c r="J938" s="139" t="n">
        <v>42.109</v>
      </c>
      <c r="K938" s="140" t="n"/>
      <c r="L938" s="140">
        <f>+H938*J938</f>
        <v/>
      </c>
      <c r="M938" s="141">
        <f>SUM(M937+K938-L938)</f>
        <v/>
      </c>
    </row>
    <row r="939">
      <c r="A939" s="20" t="n">
        <v>45723</v>
      </c>
      <c r="B939" s="21" t="n">
        <v>16730</v>
      </c>
      <c r="C939" s="22" t="inlineStr">
        <is>
          <t>SELİM İNŞAAT</t>
        </is>
      </c>
      <c r="D939" s="21" t="inlineStr">
        <is>
          <t>34 JBA 25</t>
        </is>
      </c>
      <c r="E939" s="21" t="inlineStr">
        <is>
          <t>ABDURRAHMAN SERDAN</t>
        </is>
      </c>
      <c r="F939" s="23" t="n">
        <v>329961</v>
      </c>
      <c r="G939" s="138" t="n"/>
      <c r="H939" s="138" t="n">
        <v>61</v>
      </c>
      <c r="I939" s="138">
        <f>+I938+(G939-H939)</f>
        <v/>
      </c>
      <c r="J939" s="139" t="n">
        <v>42.109</v>
      </c>
      <c r="K939" s="140" t="n"/>
      <c r="L939" s="140">
        <f>+H939*J939</f>
        <v/>
      </c>
      <c r="M939" s="141">
        <f>SUM(M938+K939-L939)</f>
        <v/>
      </c>
    </row>
    <row r="940">
      <c r="A940" s="20" t="n">
        <v>45723</v>
      </c>
      <c r="B940" s="21" t="n">
        <v>20528</v>
      </c>
      <c r="C940" s="22" t="inlineStr">
        <is>
          <t>SELİM İNŞAAT</t>
        </is>
      </c>
      <c r="D940" s="21" t="inlineStr">
        <is>
          <t>34 VF 2620</t>
        </is>
      </c>
      <c r="E940" s="21" t="inlineStr">
        <is>
          <t>A.KERİM ERGEN</t>
        </is>
      </c>
      <c r="F940" s="23" t="n">
        <v>180953</v>
      </c>
      <c r="G940" s="138" t="n"/>
      <c r="H940" s="138" t="n">
        <v>74</v>
      </c>
      <c r="I940" s="138">
        <f>+I939+(G940-H940)</f>
        <v/>
      </c>
      <c r="J940" s="139" t="n">
        <v>42.109</v>
      </c>
      <c r="K940" s="140" t="n"/>
      <c r="L940" s="140">
        <f>+H940*J940</f>
        <v/>
      </c>
      <c r="M940" s="141">
        <f>SUM(M939+K940-L940)</f>
        <v/>
      </c>
    </row>
    <row r="941">
      <c r="A941" s="20" t="n">
        <v>45723</v>
      </c>
      <c r="B941" s="21" t="n">
        <v>14701</v>
      </c>
      <c r="C941" s="22" t="inlineStr">
        <is>
          <t>METİN ERYİĞİT</t>
        </is>
      </c>
      <c r="D941" s="21" t="inlineStr">
        <is>
          <t>34 GBL 998</t>
        </is>
      </c>
      <c r="E941" s="21" t="inlineStr">
        <is>
          <t>ALİ KESKİN</t>
        </is>
      </c>
      <c r="F941" s="23" t="n">
        <v>245744</v>
      </c>
      <c r="G941" s="138" t="n"/>
      <c r="H941" s="138" t="n">
        <v>493</v>
      </c>
      <c r="I941" s="138">
        <f>+I940+(G941-H941)</f>
        <v/>
      </c>
      <c r="J941" s="139" t="n">
        <v>42.109</v>
      </c>
      <c r="K941" s="140" t="n"/>
      <c r="L941" s="140">
        <f>+H941*J941</f>
        <v/>
      </c>
      <c r="M941" s="141">
        <f>SUM(M940+K941-L941)</f>
        <v/>
      </c>
    </row>
    <row r="942">
      <c r="A942" s="20" t="n">
        <v>45723</v>
      </c>
      <c r="B942" s="21" t="n">
        <v>11432</v>
      </c>
      <c r="C942" s="22" t="inlineStr">
        <is>
          <t>METİN ERYİĞİT</t>
        </is>
      </c>
      <c r="D942" s="21" t="inlineStr">
        <is>
          <t>34 EGR 814</t>
        </is>
      </c>
      <c r="E942" s="21" t="inlineStr">
        <is>
          <t>FARUK ÖZEN</t>
        </is>
      </c>
      <c r="F942" s="23" t="n">
        <v>519983</v>
      </c>
      <c r="G942" s="138" t="n"/>
      <c r="H942" s="138" t="n">
        <v>432</v>
      </c>
      <c r="I942" s="138">
        <f>+I941+(G942-H942)</f>
        <v/>
      </c>
      <c r="J942" s="139" t="n">
        <v>42.109</v>
      </c>
      <c r="K942" s="140" t="n"/>
      <c r="L942" s="140">
        <f>+H942*J942</f>
        <v/>
      </c>
      <c r="M942" s="141">
        <f>SUM(M941+K942-L942)</f>
        <v/>
      </c>
    </row>
    <row r="943">
      <c r="A943" s="20" t="n">
        <v>45723</v>
      </c>
      <c r="B943" s="21" t="n">
        <v>14154</v>
      </c>
      <c r="C943" s="22" t="inlineStr">
        <is>
          <t>AZGÜN YAPI</t>
        </is>
      </c>
      <c r="D943" s="21" t="inlineStr">
        <is>
          <t>34 DTV 263</t>
        </is>
      </c>
      <c r="E943" s="21" t="inlineStr">
        <is>
          <t>EDİP TORLAK</t>
        </is>
      </c>
      <c r="F943" s="23" t="n">
        <v>363436</v>
      </c>
      <c r="G943" s="138" t="n"/>
      <c r="H943" s="138" t="n">
        <v>307</v>
      </c>
      <c r="I943" s="138">
        <f>+I942+(G943-H943)</f>
        <v/>
      </c>
      <c r="J943" s="139" t="n">
        <v>42.109</v>
      </c>
      <c r="K943" s="140" t="n"/>
      <c r="L943" s="140">
        <f>+H943*J943</f>
        <v/>
      </c>
      <c r="M943" s="141">
        <f>SUM(M942+K943-L943)</f>
        <v/>
      </c>
    </row>
    <row r="944">
      <c r="A944" s="20" t="n">
        <v>45723</v>
      </c>
      <c r="B944" s="1" t="n">
        <v>14951</v>
      </c>
      <c r="C944" s="2" t="inlineStr">
        <is>
          <t>HASALTUN - EVKUR</t>
        </is>
      </c>
      <c r="D944" s="1" t="inlineStr">
        <is>
          <t>KAVAZAKİ</t>
        </is>
      </c>
      <c r="E944" s="1" t="inlineStr">
        <is>
          <t>UFUK SEVAL</t>
        </is>
      </c>
      <c r="F944" s="3" t="n"/>
      <c r="G944" s="143" t="n"/>
      <c r="H944" s="143" t="n">
        <v>173</v>
      </c>
      <c r="I944" s="143">
        <f>+I943+(G944-H944)</f>
        <v/>
      </c>
      <c r="J944" s="144" t="n">
        <v>42.109</v>
      </c>
      <c r="K944" s="145" t="n"/>
      <c r="L944" s="140">
        <f>+H944*J944</f>
        <v/>
      </c>
      <c r="M944" s="141">
        <f>SUM(M943+K944-L944)</f>
        <v/>
      </c>
    </row>
    <row r="945">
      <c r="A945" s="20" t="n">
        <v>45723</v>
      </c>
      <c r="B945" s="21" t="n">
        <v>14952</v>
      </c>
      <c r="C945" s="22" t="n"/>
      <c r="D945" s="1" t="inlineStr">
        <is>
          <t>34 AZ 2191 VİNÇ</t>
        </is>
      </c>
      <c r="E945" s="21" t="inlineStr">
        <is>
          <t>NUMAN KABİL</t>
        </is>
      </c>
      <c r="F945" s="23" t="n"/>
      <c r="G945" s="138" t="n"/>
      <c r="H945" s="138" t="n">
        <v>255</v>
      </c>
      <c r="I945" s="138">
        <f>+I944+(G945-H945)</f>
        <v/>
      </c>
      <c r="J945" s="139" t="n">
        <v>42.109</v>
      </c>
      <c r="K945" s="140" t="n"/>
      <c r="L945" s="140">
        <f>+H945*J945</f>
        <v/>
      </c>
      <c r="M945" s="141">
        <f>SUM(M944+K945-L945)</f>
        <v/>
      </c>
    </row>
    <row r="946">
      <c r="A946" s="20" t="n">
        <v>45723</v>
      </c>
      <c r="B946" s="1" t="n">
        <v>14953</v>
      </c>
      <c r="C946" s="2" t="inlineStr">
        <is>
          <t>VARLIK</t>
        </is>
      </c>
      <c r="D946" s="1" t="inlineStr">
        <is>
          <t>SM 300</t>
        </is>
      </c>
      <c r="E946" s="1" t="inlineStr">
        <is>
          <t>TURGUT SANCAK</t>
        </is>
      </c>
      <c r="F946" s="3" t="n"/>
      <c r="G946" s="143" t="n"/>
      <c r="H946" s="143" t="n">
        <v>359</v>
      </c>
      <c r="I946" s="143">
        <f>+I945+(G946-H946)</f>
        <v/>
      </c>
      <c r="J946" s="144" t="n">
        <v>42.109</v>
      </c>
      <c r="K946" s="145" t="n"/>
      <c r="L946" s="140">
        <f>+H946*J946</f>
        <v/>
      </c>
      <c r="M946" s="141">
        <f>SUM(M945+K946-L946)</f>
        <v/>
      </c>
    </row>
    <row r="947">
      <c r="A947" s="20" t="n">
        <v>45723</v>
      </c>
      <c r="B947" s="1" t="n">
        <v>14954</v>
      </c>
      <c r="C947" s="2" t="inlineStr">
        <is>
          <t>VARLIK</t>
        </is>
      </c>
      <c r="D947" s="1" t="inlineStr">
        <is>
          <t>SM 350</t>
        </is>
      </c>
      <c r="E947" s="1" t="inlineStr">
        <is>
          <t>BAYRAM SANCAK</t>
        </is>
      </c>
      <c r="F947" s="3" t="n"/>
      <c r="G947" s="143" t="n"/>
      <c r="H947" s="143" t="n">
        <v>328</v>
      </c>
      <c r="I947" s="143">
        <f>+I946+(G947-H947)</f>
        <v/>
      </c>
      <c r="J947" s="144" t="n">
        <v>42.109</v>
      </c>
      <c r="K947" s="145" t="n"/>
      <c r="L947" s="140">
        <f>+H947*J947</f>
        <v/>
      </c>
      <c r="M947" s="141">
        <f>SUM(M946+K947-L947)</f>
        <v/>
      </c>
    </row>
    <row r="948">
      <c r="A948" s="20" t="n">
        <v>45723</v>
      </c>
      <c r="B948" s="1" t="n">
        <v>14955</v>
      </c>
      <c r="C948" s="2" t="inlineStr">
        <is>
          <t>HASALTUN - EVKUR</t>
        </is>
      </c>
      <c r="D948" s="1" t="inlineStr">
        <is>
          <t>SİLİNDİR</t>
        </is>
      </c>
      <c r="E948" s="1" t="inlineStr">
        <is>
          <t>RAMAZAN KAYA</t>
        </is>
      </c>
      <c r="F948" s="3" t="n"/>
      <c r="G948" s="143" t="n"/>
      <c r="H948" s="143" t="n">
        <v>105</v>
      </c>
      <c r="I948" s="143">
        <f>+I947+(G948-H948)</f>
        <v/>
      </c>
      <c r="J948" s="144" t="n">
        <v>42.109</v>
      </c>
      <c r="K948" s="145" t="n"/>
      <c r="L948" s="140">
        <f>+H948*J948</f>
        <v/>
      </c>
      <c r="M948" s="141">
        <f>SUM(M947+K948-L948)</f>
        <v/>
      </c>
    </row>
    <row r="949">
      <c r="A949" s="20" t="n">
        <v>45723</v>
      </c>
      <c r="B949" s="1" t="n">
        <v>14956</v>
      </c>
      <c r="C949" s="2" t="inlineStr">
        <is>
          <t>HASALTUN</t>
        </is>
      </c>
      <c r="D949" s="1" t="inlineStr">
        <is>
          <t>SM 350</t>
        </is>
      </c>
      <c r="E949" s="1" t="inlineStr">
        <is>
          <t>TEVFİK ÖZTÜRK</t>
        </is>
      </c>
      <c r="F949" s="3" t="n"/>
      <c r="G949" s="143" t="n"/>
      <c r="H949" s="143" t="n">
        <v>354</v>
      </c>
      <c r="I949" s="143">
        <f>+I948+(G949-H949)</f>
        <v/>
      </c>
      <c r="J949" s="144" t="n">
        <v>42.109</v>
      </c>
      <c r="K949" s="145" t="n"/>
      <c r="L949" s="140">
        <f>+H949*J949</f>
        <v/>
      </c>
      <c r="M949" s="141">
        <f>SUM(M948+K949-L949)</f>
        <v/>
      </c>
    </row>
    <row r="950">
      <c r="A950" s="20" t="n">
        <v>45723</v>
      </c>
      <c r="B950" s="1" t="n">
        <v>14957</v>
      </c>
      <c r="C950" s="2" t="inlineStr">
        <is>
          <t>HASALTUN</t>
        </is>
      </c>
      <c r="D950" s="1" t="inlineStr">
        <is>
          <t>SM 370</t>
        </is>
      </c>
      <c r="E950" s="1" t="inlineStr">
        <is>
          <t>TEKİN ŞEYLAN</t>
        </is>
      </c>
      <c r="F950" s="3" t="n"/>
      <c r="G950" s="143" t="n"/>
      <c r="H950" s="143" t="n">
        <v>257</v>
      </c>
      <c r="I950" s="143">
        <f>+I949+(G950-H950)</f>
        <v/>
      </c>
      <c r="J950" s="144" t="n">
        <v>42.109</v>
      </c>
      <c r="K950" s="145" t="n"/>
      <c r="L950" s="140">
        <f>+H950*J950</f>
        <v/>
      </c>
      <c r="M950" s="141">
        <f>SUM(M949+K950-L950)</f>
        <v/>
      </c>
    </row>
    <row r="951">
      <c r="A951" s="20" t="n">
        <v>45724</v>
      </c>
      <c r="B951" s="21" t="n">
        <v>14402</v>
      </c>
      <c r="C951" s="22" t="inlineStr">
        <is>
          <t>SELİM İNŞAAT</t>
        </is>
      </c>
      <c r="D951" s="21" t="inlineStr">
        <is>
          <t>34 EGR 737</t>
        </is>
      </c>
      <c r="E951" s="21" t="inlineStr">
        <is>
          <t>İBRAHİM GÜNASLAN</t>
        </is>
      </c>
      <c r="F951" s="23" t="n">
        <v>396572</v>
      </c>
      <c r="G951" s="138" t="n"/>
      <c r="H951" s="138" t="n">
        <v>363</v>
      </c>
      <c r="I951" s="138">
        <f>+I950+(G951-H951)</f>
        <v/>
      </c>
      <c r="J951" s="139" t="n">
        <v>42.109</v>
      </c>
      <c r="K951" s="140" t="n"/>
      <c r="L951" s="140">
        <f>+H951*J951</f>
        <v/>
      </c>
      <c r="M951" s="141">
        <f>SUM(M950+K951-L951)</f>
        <v/>
      </c>
    </row>
    <row r="952">
      <c r="A952" s="20" t="n">
        <v>45724</v>
      </c>
      <c r="B952" s="21" t="n">
        <v>11787</v>
      </c>
      <c r="C952" s="22" t="inlineStr">
        <is>
          <t>SELİM İNŞAAT</t>
        </is>
      </c>
      <c r="D952" s="21" t="inlineStr">
        <is>
          <t>34 EDC 086</t>
        </is>
      </c>
      <c r="E952" s="21" t="inlineStr">
        <is>
          <t>ÖMER AĞAYAR</t>
        </is>
      </c>
      <c r="F952" s="23" t="n">
        <v>307372</v>
      </c>
      <c r="G952" s="138" t="n"/>
      <c r="H952" s="138" t="n">
        <v>324</v>
      </c>
      <c r="I952" s="138">
        <f>+I951+(G952-H952)</f>
        <v/>
      </c>
      <c r="J952" s="139" t="n">
        <v>42.109</v>
      </c>
      <c r="K952" s="140" t="n"/>
      <c r="L952" s="140">
        <f>+H952*J952</f>
        <v/>
      </c>
      <c r="M952" s="141">
        <f>SUM(M951+K952-L952)</f>
        <v/>
      </c>
    </row>
    <row r="953">
      <c r="A953" s="20" t="n">
        <v>45724</v>
      </c>
      <c r="B953" s="21" t="n">
        <v>10361</v>
      </c>
      <c r="C953" s="22" t="inlineStr">
        <is>
          <t>SELİM İNŞAAT</t>
        </is>
      </c>
      <c r="D953" s="21" t="inlineStr">
        <is>
          <t>34 DRU 690</t>
        </is>
      </c>
      <c r="E953" s="21" t="inlineStr">
        <is>
          <t>HÜSEYİN AKÇİN</t>
        </is>
      </c>
      <c r="F953" s="23" t="n">
        <v>392893</v>
      </c>
      <c r="G953" s="138" t="n"/>
      <c r="H953" s="138" t="n">
        <v>118</v>
      </c>
      <c r="I953" s="138">
        <f>+I952+(G953-H953)</f>
        <v/>
      </c>
      <c r="J953" s="139" t="n">
        <v>42.109</v>
      </c>
      <c r="K953" s="140" t="n"/>
      <c r="L953" s="140">
        <f>+H953*J953</f>
        <v/>
      </c>
      <c r="M953" s="141">
        <f>SUM(M952+K953-L953)</f>
        <v/>
      </c>
    </row>
    <row r="954">
      <c r="A954" s="20" t="n">
        <v>45724</v>
      </c>
      <c r="B954" s="21" t="n">
        <v>11625</v>
      </c>
      <c r="C954" s="22" t="inlineStr">
        <is>
          <t>SELİM İNŞAAT</t>
        </is>
      </c>
      <c r="D954" s="21" t="inlineStr">
        <is>
          <t>34 DTV 352</t>
        </is>
      </c>
      <c r="E954" s="21" t="inlineStr">
        <is>
          <t xml:space="preserve">RASİM BARTU </t>
        </is>
      </c>
      <c r="F954" s="23" t="n">
        <v>411997</v>
      </c>
      <c r="G954" s="138" t="n"/>
      <c r="H954" s="138" t="n">
        <v>486</v>
      </c>
      <c r="I954" s="138">
        <f>+I953+(G954-H954)</f>
        <v/>
      </c>
      <c r="J954" s="139" t="n">
        <v>42.109</v>
      </c>
      <c r="K954" s="140" t="n"/>
      <c r="L954" s="140">
        <f>+H954*J954</f>
        <v/>
      </c>
      <c r="M954" s="141">
        <f>SUM(M953+K954-L954)</f>
        <v/>
      </c>
    </row>
    <row r="955">
      <c r="A955" s="20" t="n">
        <v>45724</v>
      </c>
      <c r="B955" s="21" t="n">
        <v>10281</v>
      </c>
      <c r="C955" s="22" t="inlineStr">
        <is>
          <t>SELİM İNŞAAT</t>
        </is>
      </c>
      <c r="D955" s="21" t="inlineStr">
        <is>
          <t>34 FBR 748</t>
        </is>
      </c>
      <c r="E955" s="21" t="inlineStr">
        <is>
          <t>YAŞAR ÖZKAYA</t>
        </is>
      </c>
      <c r="F955" s="23" t="n">
        <v>262800</v>
      </c>
      <c r="G955" s="138" t="n"/>
      <c r="H955" s="138" t="n">
        <v>363</v>
      </c>
      <c r="I955" s="138">
        <f>+I954+(G955-H955)</f>
        <v/>
      </c>
      <c r="J955" s="139" t="n">
        <v>42.109</v>
      </c>
      <c r="K955" s="140" t="n"/>
      <c r="L955" s="140">
        <f>+H955*J955</f>
        <v/>
      </c>
      <c r="M955" s="141">
        <f>SUM(M954+K955-L955)</f>
        <v/>
      </c>
    </row>
    <row r="956">
      <c r="A956" s="20" t="n">
        <v>45724</v>
      </c>
      <c r="B956" s="21" t="n">
        <v>10428</v>
      </c>
      <c r="C956" s="22" t="inlineStr">
        <is>
          <t>SELİM İNŞAAT</t>
        </is>
      </c>
      <c r="D956" s="21" t="inlineStr">
        <is>
          <t>34 FBR 781</t>
        </is>
      </c>
      <c r="E956" s="21" t="inlineStr">
        <is>
          <t>MEVLÜT POLAT</t>
        </is>
      </c>
      <c r="F956" s="23" t="n">
        <v>280089</v>
      </c>
      <c r="G956" s="138" t="n"/>
      <c r="H956" s="138" t="n">
        <v>314</v>
      </c>
      <c r="I956" s="138">
        <f>+I955+(G956-H956)</f>
        <v/>
      </c>
      <c r="J956" s="139" t="n">
        <v>42.109</v>
      </c>
      <c r="K956" s="140" t="n"/>
      <c r="L956" s="140">
        <f>+H956*J956</f>
        <v/>
      </c>
      <c r="M956" s="141">
        <f>SUM(M955+K956-L956)</f>
        <v/>
      </c>
    </row>
    <row r="957">
      <c r="A957" s="20" t="n">
        <v>45724</v>
      </c>
      <c r="B957" s="21" t="n">
        <v>10991</v>
      </c>
      <c r="C957" s="22" t="inlineStr">
        <is>
          <t>SELİM İNŞAAT</t>
        </is>
      </c>
      <c r="D957" s="21" t="inlineStr">
        <is>
          <t>34 GVZ 199</t>
        </is>
      </c>
      <c r="E957" s="21" t="inlineStr">
        <is>
          <t>VAHDET GÜRLER</t>
        </is>
      </c>
      <c r="F957" s="23" t="n">
        <v>158253</v>
      </c>
      <c r="G957" s="138" t="n"/>
      <c r="H957" s="138" t="n">
        <v>358</v>
      </c>
      <c r="I957" s="138">
        <f>+I956+(G957-H957)</f>
        <v/>
      </c>
      <c r="J957" s="139" t="n">
        <v>42.109</v>
      </c>
      <c r="K957" s="140" t="n"/>
      <c r="L957" s="140">
        <f>+H957*J957</f>
        <v/>
      </c>
      <c r="M957" s="141">
        <f>SUM(M956+K957-L957)</f>
        <v/>
      </c>
    </row>
    <row r="958">
      <c r="A958" s="20" t="n">
        <v>45724</v>
      </c>
      <c r="B958" s="21" t="n">
        <v>21542</v>
      </c>
      <c r="C958" s="22" t="inlineStr">
        <is>
          <t>SELİM İNŞAAT</t>
        </is>
      </c>
      <c r="D958" s="21" t="inlineStr">
        <is>
          <t>34 GVZ 745</t>
        </is>
      </c>
      <c r="E958" s="21" t="inlineStr">
        <is>
          <t>MUHAMMED YİĞİT</t>
        </is>
      </c>
      <c r="F958" s="23" t="n">
        <v>165321</v>
      </c>
      <c r="G958" s="138" t="n"/>
      <c r="H958" s="138" t="n">
        <v>286</v>
      </c>
      <c r="I958" s="138">
        <f>+I957+(G958-H958)</f>
        <v/>
      </c>
      <c r="J958" s="139" t="n">
        <v>42.109</v>
      </c>
      <c r="K958" s="140" t="n"/>
      <c r="L958" s="140">
        <f>+H958*J958</f>
        <v/>
      </c>
      <c r="M958" s="141">
        <f>SUM(M957+K958-L958)</f>
        <v/>
      </c>
    </row>
    <row r="959">
      <c r="A959" s="20" t="n">
        <v>45724</v>
      </c>
      <c r="B959" s="21" t="n">
        <v>14005</v>
      </c>
      <c r="C959" s="22" t="inlineStr">
        <is>
          <t>SELİM İNŞAAT</t>
        </is>
      </c>
      <c r="D959" s="21" t="inlineStr">
        <is>
          <t>34 GVZ 310</t>
        </is>
      </c>
      <c r="E959" s="21" t="inlineStr">
        <is>
          <t>CELAL YÜZBAŞI</t>
        </is>
      </c>
      <c r="F959" s="23" t="n">
        <v>172891</v>
      </c>
      <c r="G959" s="138" t="n"/>
      <c r="H959" s="138" t="n">
        <v>343</v>
      </c>
      <c r="I959" s="138">
        <f>+I958+(G959-H959)</f>
        <v/>
      </c>
      <c r="J959" s="139" t="n">
        <v>42.109</v>
      </c>
      <c r="K959" s="140" t="n"/>
      <c r="L959" s="140">
        <f>+H959*J959</f>
        <v/>
      </c>
      <c r="M959" s="141">
        <f>SUM(M958+K959-L959)</f>
        <v/>
      </c>
    </row>
    <row r="960">
      <c r="A960" s="20" t="n">
        <v>45724</v>
      </c>
      <c r="B960" s="21" t="n">
        <v>14204</v>
      </c>
      <c r="C960" s="22" t="inlineStr">
        <is>
          <t>SELİM İNŞAAT</t>
        </is>
      </c>
      <c r="D960" s="21" t="inlineStr">
        <is>
          <t xml:space="preserve">34 GUS 938 </t>
        </is>
      </c>
      <c r="E960" s="21" t="inlineStr">
        <is>
          <t>MEHMET KAYA</t>
        </is>
      </c>
      <c r="F960" s="23" t="n">
        <v>163486</v>
      </c>
      <c r="G960" s="138" t="n"/>
      <c r="H960" s="138" t="n">
        <v>167</v>
      </c>
      <c r="I960" s="138">
        <f>+I959+(G960-H960)</f>
        <v/>
      </c>
      <c r="J960" s="139" t="n">
        <v>42.109</v>
      </c>
      <c r="K960" s="140" t="n"/>
      <c r="L960" s="140">
        <f>+H960*J960</f>
        <v/>
      </c>
      <c r="M960" s="141">
        <f>SUM(M959+K960-L960)</f>
        <v/>
      </c>
    </row>
    <row r="961">
      <c r="A961" s="20" t="n">
        <v>45724</v>
      </c>
      <c r="B961" s="21" t="n">
        <v>11722</v>
      </c>
      <c r="C961" s="22" t="inlineStr">
        <is>
          <t>SELİM İNŞAAT</t>
        </is>
      </c>
      <c r="D961" s="21" t="inlineStr">
        <is>
          <t>34 EDB 559</t>
        </is>
      </c>
      <c r="E961" s="21" t="inlineStr">
        <is>
          <t>CEM MUHTAR</t>
        </is>
      </c>
      <c r="F961" s="23" t="n">
        <v>307329</v>
      </c>
      <c r="G961" s="138" t="n"/>
      <c r="H961" s="138" t="n">
        <v>283</v>
      </c>
      <c r="I961" s="138">
        <f>+I960+(G961-H961)</f>
        <v/>
      </c>
      <c r="J961" s="139" t="n">
        <v>42.109</v>
      </c>
      <c r="K961" s="140" t="n"/>
      <c r="L961" s="140">
        <f>+H961*J961</f>
        <v/>
      </c>
      <c r="M961" s="141">
        <f>SUM(M960+K961-L961)</f>
        <v/>
      </c>
    </row>
    <row r="962">
      <c r="A962" s="20" t="n">
        <v>45724</v>
      </c>
      <c r="B962" s="21" t="n">
        <v>11276</v>
      </c>
      <c r="C962" s="22" t="inlineStr">
        <is>
          <t>SELİM İNŞAAT</t>
        </is>
      </c>
      <c r="D962" s="21" t="inlineStr">
        <is>
          <t>34 EDC 162</t>
        </is>
      </c>
      <c r="E962" s="21" t="inlineStr">
        <is>
          <t xml:space="preserve">YAKUP GÜNER </t>
        </is>
      </c>
      <c r="F962" s="23" t="n">
        <v>343743</v>
      </c>
      <c r="G962" s="138" t="n"/>
      <c r="H962" s="138" t="n">
        <v>297</v>
      </c>
      <c r="I962" s="138">
        <f>+I961+(G962-H962)</f>
        <v/>
      </c>
      <c r="J962" s="139" t="n">
        <v>42.109</v>
      </c>
      <c r="K962" s="140" t="n"/>
      <c r="L962" s="140">
        <f>+H962*J962</f>
        <v/>
      </c>
      <c r="M962" s="141">
        <f>SUM(M961+K962-L962)</f>
        <v/>
      </c>
    </row>
    <row r="963">
      <c r="A963" s="20" t="n">
        <v>45724</v>
      </c>
      <c r="B963" s="21" t="n">
        <v>11811</v>
      </c>
      <c r="C963" s="22" t="inlineStr">
        <is>
          <t>SELİM İNŞAAT</t>
        </is>
      </c>
      <c r="D963" s="21" t="inlineStr">
        <is>
          <t>34 FSG 229</t>
        </is>
      </c>
      <c r="E963" s="21" t="inlineStr">
        <is>
          <t>SİNAN TANRIVERDİ</t>
        </is>
      </c>
      <c r="F963" s="23" t="n">
        <v>235700</v>
      </c>
      <c r="G963" s="138" t="n"/>
      <c r="H963" s="138" t="n">
        <v>404</v>
      </c>
      <c r="I963" s="138">
        <f>+I962+(G963-H963)</f>
        <v/>
      </c>
      <c r="J963" s="139" t="n">
        <v>42.109</v>
      </c>
      <c r="K963" s="140" t="n"/>
      <c r="L963" s="140">
        <f>+H963*J963</f>
        <v/>
      </c>
      <c r="M963" s="141">
        <f>SUM(M962+K963-L963)</f>
        <v/>
      </c>
    </row>
    <row r="964">
      <c r="A964" s="20" t="n">
        <v>45724</v>
      </c>
      <c r="B964" s="21" t="n">
        <v>14455</v>
      </c>
      <c r="C964" s="22" t="inlineStr">
        <is>
          <t>SELİM İNŞAAT</t>
        </is>
      </c>
      <c r="D964" s="21" t="inlineStr">
        <is>
          <t>34 GUS 848</t>
        </is>
      </c>
      <c r="E964" s="21" t="inlineStr">
        <is>
          <t>SERDAR BOZKURT</t>
        </is>
      </c>
      <c r="F964" s="23" t="n">
        <v>168236</v>
      </c>
      <c r="G964" s="138" t="n"/>
      <c r="H964" s="138" t="n">
        <v>315</v>
      </c>
      <c r="I964" s="138">
        <f>+I963+(G964-H964)</f>
        <v/>
      </c>
      <c r="J964" s="139" t="n">
        <v>42.109</v>
      </c>
      <c r="K964" s="140" t="n"/>
      <c r="L964" s="140">
        <f>+H964*J964</f>
        <v/>
      </c>
      <c r="M964" s="141">
        <f>SUM(M963+K964-L964)</f>
        <v/>
      </c>
    </row>
    <row r="965">
      <c r="A965" s="20" t="n">
        <v>45724</v>
      </c>
      <c r="B965" s="21" t="n">
        <v>9792</v>
      </c>
      <c r="C965" s="22" t="inlineStr">
        <is>
          <t>SELİM İNŞAAT</t>
        </is>
      </c>
      <c r="D965" s="21" t="inlineStr">
        <is>
          <t>34 GVZ 268</t>
        </is>
      </c>
      <c r="E965" s="21" t="inlineStr">
        <is>
          <t>KERİM KARAMAN</t>
        </is>
      </c>
      <c r="F965" s="23" t="n">
        <v>168909</v>
      </c>
      <c r="G965" s="138" t="n"/>
      <c r="H965" s="138" t="n">
        <v>368</v>
      </c>
      <c r="I965" s="138">
        <f>+I964+(G965-H965)</f>
        <v/>
      </c>
      <c r="J965" s="139" t="n">
        <v>42.109</v>
      </c>
      <c r="K965" s="140" t="n"/>
      <c r="L965" s="140">
        <f>+H965*J965</f>
        <v/>
      </c>
      <c r="M965" s="141">
        <f>SUM(M964+K965-L965)</f>
        <v/>
      </c>
    </row>
    <row r="966">
      <c r="A966" s="20" t="n">
        <v>45724</v>
      </c>
      <c r="B966" s="21" t="n">
        <v>21287</v>
      </c>
      <c r="C966" s="22" t="inlineStr">
        <is>
          <t>SELİM İNŞAAT</t>
        </is>
      </c>
      <c r="D966" s="21" t="inlineStr">
        <is>
          <t>34 DTV 447</t>
        </is>
      </c>
      <c r="E966" s="21" t="inlineStr">
        <is>
          <t>EBUBEKİR KOLDAŞ</t>
        </is>
      </c>
      <c r="F966" s="23" t="n">
        <v>415265</v>
      </c>
      <c r="G966" s="138" t="n"/>
      <c r="H966" s="138" t="n">
        <v>332</v>
      </c>
      <c r="I966" s="138">
        <f>+I965+(G966-H966)</f>
        <v/>
      </c>
      <c r="J966" s="139" t="n">
        <v>42.109</v>
      </c>
      <c r="K966" s="140" t="n"/>
      <c r="L966" s="140">
        <f>+H966*J966</f>
        <v/>
      </c>
      <c r="M966" s="141">
        <f>SUM(M965+K966-L966)</f>
        <v/>
      </c>
    </row>
    <row r="967">
      <c r="A967" s="20" t="n">
        <v>45724</v>
      </c>
      <c r="B967" s="21" t="n">
        <v>10175</v>
      </c>
      <c r="C967" s="22" t="inlineStr">
        <is>
          <t>SELİM İNŞAAT</t>
        </is>
      </c>
      <c r="D967" s="21" t="inlineStr">
        <is>
          <t>34 EGR 736</t>
        </is>
      </c>
      <c r="E967" s="21" t="inlineStr">
        <is>
          <t>MUHAMMER ÇAMLI</t>
        </is>
      </c>
      <c r="F967" s="23" t="n">
        <v>365313</v>
      </c>
      <c r="G967" s="138" t="n"/>
      <c r="H967" s="138" t="n">
        <v>200</v>
      </c>
      <c r="I967" s="138">
        <f>+I966+(G967-H967)</f>
        <v/>
      </c>
      <c r="J967" s="139" t="n">
        <v>42.109</v>
      </c>
      <c r="K967" s="140" t="n"/>
      <c r="L967" s="140">
        <f>+H967*J967</f>
        <v/>
      </c>
      <c r="M967" s="141">
        <f>SUM(M966+K967-L967)</f>
        <v/>
      </c>
    </row>
    <row r="968">
      <c r="A968" s="20" t="n">
        <v>45724</v>
      </c>
      <c r="B968" s="21" t="n">
        <v>14102</v>
      </c>
      <c r="C968" s="22" t="inlineStr">
        <is>
          <t>SELİM İNŞAAT</t>
        </is>
      </c>
      <c r="D968" s="21" t="inlineStr">
        <is>
          <t>34 DSN 536</t>
        </is>
      </c>
      <c r="E968" s="21" t="inlineStr">
        <is>
          <t>DURSUN ALİ GÜREK</t>
        </is>
      </c>
      <c r="F968" s="23" t="n">
        <v>382014</v>
      </c>
      <c r="G968" s="138" t="n"/>
      <c r="H968" s="138" t="n">
        <v>368</v>
      </c>
      <c r="I968" s="138">
        <f>+I967+(G968-H968)</f>
        <v/>
      </c>
      <c r="J968" s="139" t="n">
        <v>42.109</v>
      </c>
      <c r="K968" s="140" t="n"/>
      <c r="L968" s="140">
        <f>+H968*J968</f>
        <v/>
      </c>
      <c r="M968" s="141">
        <f>SUM(M967+K968-L968)</f>
        <v/>
      </c>
    </row>
    <row r="969">
      <c r="A969" s="20" t="n">
        <v>45724</v>
      </c>
      <c r="B969" s="21" t="n">
        <v>21482</v>
      </c>
      <c r="C969" s="22" t="inlineStr">
        <is>
          <t>SELİM İNŞAAT</t>
        </is>
      </c>
      <c r="D969" s="21" t="inlineStr">
        <is>
          <t>34 GVZ 635</t>
        </is>
      </c>
      <c r="E969" s="21" t="inlineStr">
        <is>
          <t>ENGİN DEMİR</t>
        </is>
      </c>
      <c r="F969" s="23" t="n">
        <v>151356</v>
      </c>
      <c r="G969" s="138" t="n"/>
      <c r="H969" s="138" t="n">
        <v>277</v>
      </c>
      <c r="I969" s="138">
        <f>+I968+(G969-H969)</f>
        <v/>
      </c>
      <c r="J969" s="139" t="n">
        <v>42.109</v>
      </c>
      <c r="K969" s="140" t="n"/>
      <c r="L969" s="140">
        <f>+H969*J969</f>
        <v/>
      </c>
      <c r="M969" s="141">
        <f>SUM(M968+K969-L969)</f>
        <v/>
      </c>
    </row>
    <row r="970">
      <c r="A970" s="20" t="n">
        <v>45724</v>
      </c>
      <c r="B970" s="21" t="n">
        <v>21192</v>
      </c>
      <c r="C970" s="22" t="inlineStr">
        <is>
          <t>SELİM İNŞAAT</t>
        </is>
      </c>
      <c r="D970" s="21" t="inlineStr">
        <is>
          <t>34 DSN 565</t>
        </is>
      </c>
      <c r="E970" s="21" t="inlineStr">
        <is>
          <t>MUSTAFA KAYA</t>
        </is>
      </c>
      <c r="F970" s="23" t="n">
        <v>387569</v>
      </c>
      <c r="G970" s="138" t="n"/>
      <c r="H970" s="138" t="n">
        <v>330</v>
      </c>
      <c r="I970" s="138">
        <f>+I969+(G970-H970)</f>
        <v/>
      </c>
      <c r="J970" s="139" t="n">
        <v>42.109</v>
      </c>
      <c r="K970" s="140" t="n"/>
      <c r="L970" s="140">
        <f>+H970*J970</f>
        <v/>
      </c>
      <c r="M970" s="141">
        <f>SUM(M969+K970-L970)</f>
        <v/>
      </c>
    </row>
    <row r="971">
      <c r="A971" s="20" t="n">
        <v>45724</v>
      </c>
      <c r="B971" s="21" t="n">
        <v>10866</v>
      </c>
      <c r="C971" s="22" t="inlineStr">
        <is>
          <t>SELİM İNŞAAT</t>
        </is>
      </c>
      <c r="D971" s="21" t="inlineStr">
        <is>
          <t>34 AR 7743</t>
        </is>
      </c>
      <c r="E971" s="21" t="inlineStr">
        <is>
          <t>MEHMET SELİM</t>
        </is>
      </c>
      <c r="F971" s="23" t="n">
        <v>351636</v>
      </c>
      <c r="G971" s="138" t="n"/>
      <c r="H971" s="138" t="n">
        <v>37</v>
      </c>
      <c r="I971" s="138">
        <f>+I970+(G971-H971)</f>
        <v/>
      </c>
      <c r="J971" s="139" t="n">
        <v>42.109</v>
      </c>
      <c r="K971" s="140" t="n"/>
      <c r="L971" s="140">
        <f>+H971*J971</f>
        <v/>
      </c>
      <c r="M971" s="141">
        <f>SUM(M970+K971-L971)</f>
        <v/>
      </c>
    </row>
    <row r="972">
      <c r="A972" s="20" t="n">
        <v>45724</v>
      </c>
      <c r="B972" s="21" t="n">
        <v>14305</v>
      </c>
      <c r="C972" s="22" t="inlineStr">
        <is>
          <t>SELİM İNŞAAT</t>
        </is>
      </c>
      <c r="D972" s="21" t="inlineStr">
        <is>
          <t>34 DKL 866</t>
        </is>
      </c>
      <c r="E972" s="21" t="inlineStr">
        <is>
          <t>SELİM CAN ÖNVER</t>
        </is>
      </c>
      <c r="F972" s="23" t="n">
        <v>61619</v>
      </c>
      <c r="G972" s="138" t="n"/>
      <c r="H972" s="138" t="n">
        <v>88</v>
      </c>
      <c r="I972" s="138">
        <f>+I971+(G972-H972)</f>
        <v/>
      </c>
      <c r="J972" s="139" t="n">
        <v>42.109</v>
      </c>
      <c r="K972" s="140" t="n"/>
      <c r="L972" s="140">
        <f>+H972*J972</f>
        <v/>
      </c>
      <c r="M972" s="141">
        <f>SUM(M971+K972-L972)</f>
        <v/>
      </c>
    </row>
    <row r="973">
      <c r="A973" s="20" t="n">
        <v>45724</v>
      </c>
      <c r="B973" s="21" t="n">
        <v>21309</v>
      </c>
      <c r="C973" s="22" t="inlineStr">
        <is>
          <t>SELİM İNŞAAT</t>
        </is>
      </c>
      <c r="D973" s="21" t="inlineStr">
        <is>
          <t>34 FEM 934</t>
        </is>
      </c>
      <c r="E973" s="21" t="inlineStr">
        <is>
          <t>RECEP SELİM</t>
        </is>
      </c>
      <c r="F973" s="23" t="n">
        <v>300885</v>
      </c>
      <c r="G973" s="138" t="n"/>
      <c r="H973" s="138" t="n">
        <v>60</v>
      </c>
      <c r="I973" s="138">
        <f>+I972+(G973-H973)</f>
        <v/>
      </c>
      <c r="J973" s="139" t="n">
        <v>42.109</v>
      </c>
      <c r="K973" s="140" t="n"/>
      <c r="L973" s="140">
        <f>+H973*J973</f>
        <v/>
      </c>
      <c r="M973" s="141">
        <f>SUM(M972+K973-L973)</f>
        <v/>
      </c>
    </row>
    <row r="974">
      <c r="A974" s="20" t="n">
        <v>45724</v>
      </c>
      <c r="B974" s="21" t="n">
        <v>10562</v>
      </c>
      <c r="C974" s="22" t="inlineStr">
        <is>
          <t>SELİM İNŞAAT</t>
        </is>
      </c>
      <c r="D974" s="21" t="inlineStr">
        <is>
          <t>34 GU 945</t>
        </is>
      </c>
      <c r="E974" s="21" t="inlineStr">
        <is>
          <t>ÖNER DÜNDAR</t>
        </is>
      </c>
      <c r="F974" s="23" t="n">
        <v>439968</v>
      </c>
      <c r="G974" s="138" t="n"/>
      <c r="H974" s="138" t="n">
        <v>49</v>
      </c>
      <c r="I974" s="138">
        <f>+I973+(G974-H974)</f>
        <v/>
      </c>
      <c r="J974" s="139" t="n">
        <v>42.109</v>
      </c>
      <c r="K974" s="140" t="n"/>
      <c r="L974" s="140">
        <f>+H974*J974</f>
        <v/>
      </c>
      <c r="M974" s="141">
        <f>SUM(M973+K974-L974)</f>
        <v/>
      </c>
    </row>
    <row r="975">
      <c r="A975" s="20" t="n">
        <v>45724</v>
      </c>
      <c r="B975" s="21" t="n">
        <v>14501</v>
      </c>
      <c r="C975" s="22" t="inlineStr">
        <is>
          <t>SELİM İNŞAAT</t>
        </is>
      </c>
      <c r="D975" s="21" t="inlineStr">
        <is>
          <t>34 GER 028</t>
        </is>
      </c>
      <c r="E975" s="21" t="inlineStr">
        <is>
          <t>A.KERİM ERGEN</t>
        </is>
      </c>
      <c r="F975" s="23" t="n">
        <v>40380</v>
      </c>
      <c r="G975" s="138" t="n"/>
      <c r="H975" s="138" t="n">
        <v>222</v>
      </c>
      <c r="I975" s="138">
        <f>+I974+(G975-H975)</f>
        <v/>
      </c>
      <c r="J975" s="139" t="n">
        <v>42.109</v>
      </c>
      <c r="K975" s="140" t="n"/>
      <c r="L975" s="140">
        <f>+H975*J975</f>
        <v/>
      </c>
      <c r="M975" s="141">
        <f>SUM(M974+K975-L975)</f>
        <v/>
      </c>
    </row>
    <row r="976">
      <c r="A976" s="20" t="n">
        <v>45724</v>
      </c>
      <c r="B976" s="21" t="n">
        <v>14601</v>
      </c>
      <c r="C976" s="22" t="inlineStr">
        <is>
          <t>SELİM İNŞAAT</t>
        </is>
      </c>
      <c r="D976" s="21" t="inlineStr">
        <is>
          <t>34 GER 445</t>
        </is>
      </c>
      <c r="E976" s="21" t="inlineStr">
        <is>
          <t>HASAN BAYCAN</t>
        </is>
      </c>
      <c r="F976" s="23" t="n">
        <v>38567</v>
      </c>
      <c r="G976" s="138" t="n"/>
      <c r="H976" s="138" t="n">
        <v>215</v>
      </c>
      <c r="I976" s="138">
        <f>+I975+(G976-H976)</f>
        <v/>
      </c>
      <c r="J976" s="139" t="n">
        <v>42.109</v>
      </c>
      <c r="K976" s="140" t="n"/>
      <c r="L976" s="140">
        <f>+H976*J976</f>
        <v/>
      </c>
      <c r="M976" s="141">
        <f>SUM(M975+K976-L976)</f>
        <v/>
      </c>
    </row>
    <row r="977">
      <c r="A977" s="20" t="n">
        <v>45724</v>
      </c>
      <c r="B977" s="21" t="n">
        <v>9936</v>
      </c>
      <c r="C977" s="22" t="inlineStr">
        <is>
          <t>EVKUR</t>
        </is>
      </c>
      <c r="D977" s="21" t="inlineStr">
        <is>
          <t>FOKLİFT</t>
        </is>
      </c>
      <c r="E977" s="21" t="inlineStr">
        <is>
          <t>FAHRİ KALFA</t>
        </is>
      </c>
      <c r="F977" s="23" t="n"/>
      <c r="G977" s="138" t="n"/>
      <c r="H977" s="138" t="n">
        <v>68</v>
      </c>
      <c r="I977" s="138">
        <f>+I976+(G977-H977)</f>
        <v/>
      </c>
      <c r="J977" s="139" t="n">
        <v>42.109</v>
      </c>
      <c r="K977" s="140" t="n"/>
      <c r="L977" s="140">
        <f>+H977*J977</f>
        <v/>
      </c>
      <c r="M977" s="141">
        <f>SUM(M976+K977-L977)</f>
        <v/>
      </c>
    </row>
    <row r="978">
      <c r="A978" s="20" t="n">
        <v>45724</v>
      </c>
      <c r="B978" s="21" t="n">
        <v>14702</v>
      </c>
      <c r="C978" s="22" t="inlineStr">
        <is>
          <t>METİN ERYİĞİT</t>
        </is>
      </c>
      <c r="D978" s="21" t="inlineStr">
        <is>
          <t>34 GBL 998</t>
        </is>
      </c>
      <c r="E978" s="21" t="inlineStr">
        <is>
          <t>ALİ KESKİN</t>
        </is>
      </c>
      <c r="F978" s="23" t="n">
        <v>246173</v>
      </c>
      <c r="G978" s="138" t="n"/>
      <c r="H978" s="138" t="n">
        <v>221</v>
      </c>
      <c r="I978" s="138">
        <f>+I977+(G978-H978)</f>
        <v/>
      </c>
      <c r="J978" s="139" t="n">
        <v>42.109</v>
      </c>
      <c r="K978" s="140" t="n"/>
      <c r="L978" s="140">
        <f>+H978*J978</f>
        <v/>
      </c>
      <c r="M978" s="141">
        <f>SUM(M977+K978-L978)</f>
        <v/>
      </c>
    </row>
    <row r="979">
      <c r="A979" s="20" t="n">
        <v>45724</v>
      </c>
      <c r="B979" s="21" t="n">
        <v>10027</v>
      </c>
      <c r="C979" s="22" t="inlineStr">
        <is>
          <t>METİN ERYİĞİT</t>
        </is>
      </c>
      <c r="D979" s="21" t="inlineStr">
        <is>
          <t>34 EGS 013</t>
        </is>
      </c>
      <c r="E979" s="21" t="inlineStr">
        <is>
          <t>UĞUR DUMAN</t>
        </is>
      </c>
      <c r="F979" s="23" t="n">
        <v>467242</v>
      </c>
      <c r="G979" s="138" t="n"/>
      <c r="H979" s="138" t="n">
        <v>429</v>
      </c>
      <c r="I979" s="138">
        <f>+I978+(G979-H979)</f>
        <v/>
      </c>
      <c r="J979" s="139" t="n">
        <v>42.109</v>
      </c>
      <c r="K979" s="140" t="n"/>
      <c r="L979" s="140">
        <f>+H979*J979</f>
        <v/>
      </c>
      <c r="M979" s="141">
        <f>SUM(M978+K979-L979)</f>
        <v/>
      </c>
    </row>
    <row r="980">
      <c r="A980" s="20" t="n">
        <v>45724</v>
      </c>
      <c r="B980" s="21" t="n">
        <v>11465</v>
      </c>
      <c r="C980" s="22" t="inlineStr">
        <is>
          <t>METİN ŞİRİN</t>
        </is>
      </c>
      <c r="D980" s="21" t="inlineStr">
        <is>
          <t>34 EGR 922</t>
        </is>
      </c>
      <c r="E980" s="21" t="inlineStr">
        <is>
          <t>GÜRAY KOYUNCU</t>
        </is>
      </c>
      <c r="F980" s="23" t="n">
        <v>437620</v>
      </c>
      <c r="G980" s="138" t="n"/>
      <c r="H980" s="138" t="n">
        <v>349</v>
      </c>
      <c r="I980" s="138">
        <f>+I979+(G980-H980)</f>
        <v/>
      </c>
      <c r="J980" s="139" t="n">
        <v>42.109</v>
      </c>
      <c r="K980" s="140" t="n"/>
      <c r="L980" s="140">
        <f>+H980*J980</f>
        <v/>
      </c>
      <c r="M980" s="141">
        <f>SUM(M979+K980-L980)</f>
        <v/>
      </c>
    </row>
    <row r="981">
      <c r="A981" s="20" t="n">
        <v>45724</v>
      </c>
      <c r="B981" s="21" t="n">
        <v>11315</v>
      </c>
      <c r="C981" s="22" t="inlineStr">
        <is>
          <t>AZGÜN YAPI</t>
        </is>
      </c>
      <c r="D981" s="21" t="inlineStr">
        <is>
          <t>34 MKT 859</t>
        </is>
      </c>
      <c r="E981" s="21" t="inlineStr">
        <is>
          <t>HASAN ALTUN</t>
        </is>
      </c>
      <c r="F981" s="23" t="n">
        <v>18417</v>
      </c>
      <c r="G981" s="138" t="n"/>
      <c r="H981" s="138" t="n">
        <v>1013</v>
      </c>
      <c r="I981" s="138">
        <f>+I980+(G981-H981)</f>
        <v/>
      </c>
      <c r="J981" s="139" t="n">
        <v>42.109</v>
      </c>
      <c r="K981" s="140" t="n"/>
      <c r="L981" s="140">
        <f>+H981*J981</f>
        <v/>
      </c>
      <c r="M981" s="141">
        <f>SUM(M980+K981-L981)</f>
        <v/>
      </c>
    </row>
    <row r="982">
      <c r="A982" s="20" t="n">
        <v>45724</v>
      </c>
      <c r="B982" s="1" t="n">
        <v>14958</v>
      </c>
      <c r="C982" s="2" t="inlineStr">
        <is>
          <t>HASALTUN</t>
        </is>
      </c>
      <c r="D982" s="1" t="inlineStr">
        <is>
          <t>SM 350</t>
        </is>
      </c>
      <c r="E982" s="1" t="inlineStr">
        <is>
          <t>TEVFİK ÖZTÜRK</t>
        </is>
      </c>
      <c r="F982" s="3" t="n"/>
      <c r="G982" s="143" t="n"/>
      <c r="H982" s="143" t="n">
        <v>217</v>
      </c>
      <c r="I982" s="143">
        <f>+I981+(G982-H982)</f>
        <v/>
      </c>
      <c r="J982" s="144" t="n">
        <v>42.109</v>
      </c>
      <c r="K982" s="145" t="n"/>
      <c r="L982" s="140">
        <f>+H982*J982</f>
        <v/>
      </c>
      <c r="M982" s="141">
        <f>SUM(M981+K982-L982)</f>
        <v/>
      </c>
    </row>
    <row r="983">
      <c r="A983" s="20" t="n">
        <v>45724</v>
      </c>
      <c r="B983" s="1" t="n">
        <v>14959</v>
      </c>
      <c r="C983" s="2" t="inlineStr">
        <is>
          <t>VARLIK</t>
        </is>
      </c>
      <c r="D983" s="1" t="inlineStr">
        <is>
          <t>KAVAZAKİ</t>
        </is>
      </c>
      <c r="E983" s="1" t="inlineStr">
        <is>
          <t>UFUK SEVAL</t>
        </is>
      </c>
      <c r="F983" s="3" t="n"/>
      <c r="G983" s="143" t="n"/>
      <c r="H983" s="143" t="n">
        <v>188</v>
      </c>
      <c r="I983" s="143">
        <f>+I982+(G983-H983)</f>
        <v/>
      </c>
      <c r="J983" s="144" t="n">
        <v>42.109</v>
      </c>
      <c r="K983" s="145" t="n"/>
      <c r="L983" s="140">
        <f>+H983*J983</f>
        <v/>
      </c>
      <c r="M983" s="141">
        <f>SUM(M982+K983-L983)</f>
        <v/>
      </c>
    </row>
    <row r="984">
      <c r="A984" s="20" t="n">
        <v>45725</v>
      </c>
      <c r="B984" s="21" t="n">
        <v>14055</v>
      </c>
      <c r="C984" s="22" t="inlineStr">
        <is>
          <t>SELİM İNŞAAT</t>
        </is>
      </c>
      <c r="D984" s="21" t="inlineStr">
        <is>
          <t>34 EDB 659</t>
        </is>
      </c>
      <c r="E984" s="21" t="inlineStr">
        <is>
          <t>MEHMET SAİT ANIK</t>
        </is>
      </c>
      <c r="F984" s="23" t="n">
        <v>318655</v>
      </c>
      <c r="G984" s="138" t="n"/>
      <c r="H984" s="138" t="n">
        <v>320</v>
      </c>
      <c r="I984" s="138">
        <f>+I983+(G984-H984)</f>
        <v/>
      </c>
      <c r="J984" s="139" t="n">
        <v>42.109</v>
      </c>
      <c r="K984" s="140" t="n"/>
      <c r="L984" s="140">
        <f>+H984*J984</f>
        <v/>
      </c>
      <c r="M984" s="141">
        <f>SUM(M983+K984-L984)</f>
        <v/>
      </c>
    </row>
    <row r="985">
      <c r="A985" s="20" t="n">
        <v>45725</v>
      </c>
      <c r="B985" s="21" t="n">
        <v>11788</v>
      </c>
      <c r="C985" s="22" t="inlineStr">
        <is>
          <t>SELİM İNŞAAT</t>
        </is>
      </c>
      <c r="D985" s="21" t="inlineStr">
        <is>
          <t>34 EDC 086</t>
        </is>
      </c>
      <c r="E985" s="21" t="inlineStr">
        <is>
          <t>ÖMER AĞAYAR</t>
        </is>
      </c>
      <c r="F985" s="23" t="n">
        <v>307862</v>
      </c>
      <c r="G985" s="138" t="n"/>
      <c r="H985" s="138" t="n">
        <v>198</v>
      </c>
      <c r="I985" s="138">
        <f>+I984+(G985-H985)</f>
        <v/>
      </c>
      <c r="J985" s="139" t="n">
        <v>42.109</v>
      </c>
      <c r="K985" s="140" t="n"/>
      <c r="L985" s="140">
        <f>+H985*J985</f>
        <v/>
      </c>
      <c r="M985" s="141">
        <f>SUM(M984+K985-L985)</f>
        <v/>
      </c>
    </row>
    <row r="986">
      <c r="A986" s="20" t="n">
        <v>45725</v>
      </c>
      <c r="B986" s="21" t="n">
        <v>10362</v>
      </c>
      <c r="C986" s="22" t="inlineStr">
        <is>
          <t>SELİM İNŞAAT</t>
        </is>
      </c>
      <c r="D986" s="21" t="inlineStr">
        <is>
          <t>34 DRU 690</t>
        </is>
      </c>
      <c r="E986" s="21" t="inlineStr">
        <is>
          <t>HÜSEYİN AKÇİN</t>
        </is>
      </c>
      <c r="F986" s="23" t="n">
        <v>393543</v>
      </c>
      <c r="G986" s="138" t="n"/>
      <c r="H986" s="138" t="n">
        <v>278</v>
      </c>
      <c r="I986" s="138">
        <f>+I985+(G986-H986)</f>
        <v/>
      </c>
      <c r="J986" s="139" t="n">
        <v>42.109</v>
      </c>
      <c r="K986" s="140" t="n"/>
      <c r="L986" s="140">
        <f>+H986*J986</f>
        <v/>
      </c>
      <c r="M986" s="141">
        <f>SUM(M985+K986-L986)</f>
        <v/>
      </c>
    </row>
    <row r="987">
      <c r="A987" s="20" t="n">
        <v>45725</v>
      </c>
      <c r="B987" s="21" t="n">
        <v>10210</v>
      </c>
      <c r="C987" s="22" t="inlineStr">
        <is>
          <t>SELİM İNŞAAT</t>
        </is>
      </c>
      <c r="D987" s="21" t="inlineStr">
        <is>
          <t>34 DSN 621</t>
        </is>
      </c>
      <c r="E987" s="21" t="inlineStr">
        <is>
          <t>MUSTAFA KAYA</t>
        </is>
      </c>
      <c r="F987" s="23" t="n">
        <v>392077</v>
      </c>
      <c r="G987" s="138" t="n"/>
      <c r="H987" s="138" t="n">
        <v>237</v>
      </c>
      <c r="I987" s="138">
        <f>+I986+(G987-H987)</f>
        <v/>
      </c>
      <c r="J987" s="139" t="n">
        <v>42.109</v>
      </c>
      <c r="K987" s="140" t="n"/>
      <c r="L987" s="140">
        <f>+H987*J987</f>
        <v/>
      </c>
      <c r="M987" s="141">
        <f>SUM(M986+K987-L987)</f>
        <v/>
      </c>
    </row>
    <row r="988">
      <c r="A988" s="20" t="n">
        <v>45725</v>
      </c>
      <c r="B988" s="21" t="n">
        <v>10322</v>
      </c>
      <c r="C988" s="22" t="inlineStr">
        <is>
          <t>SELİM İNŞAAT</t>
        </is>
      </c>
      <c r="D988" s="21" t="inlineStr">
        <is>
          <t>34 EDB 829</t>
        </is>
      </c>
      <c r="E988" s="21" t="inlineStr">
        <is>
          <t>İSMET BAYRAM</t>
        </is>
      </c>
      <c r="F988" s="23" t="n">
        <v>296520</v>
      </c>
      <c r="G988" s="138" t="n"/>
      <c r="H988" s="138" t="n">
        <v>339</v>
      </c>
      <c r="I988" s="138">
        <f>+I987+(G988-H988)</f>
        <v/>
      </c>
      <c r="J988" s="139" t="n">
        <v>42.109</v>
      </c>
      <c r="K988" s="140" t="n"/>
      <c r="L988" s="140">
        <f>+H988*J988</f>
        <v/>
      </c>
      <c r="M988" s="141">
        <f>SUM(M987+K988-L988)</f>
        <v/>
      </c>
    </row>
    <row r="989">
      <c r="A989" s="20" t="n">
        <v>45725</v>
      </c>
      <c r="B989" s="21" t="n">
        <v>11914</v>
      </c>
      <c r="C989" s="22" t="inlineStr">
        <is>
          <t>SELİM İNŞAAT</t>
        </is>
      </c>
      <c r="D989" s="21" t="inlineStr">
        <is>
          <t>34 FBR 742</t>
        </is>
      </c>
      <c r="E989" s="21" t="inlineStr">
        <is>
          <t>MİKAİL BAYILMAZ</t>
        </is>
      </c>
      <c r="F989" s="23" t="n">
        <v>296022</v>
      </c>
      <c r="G989" s="138" t="n"/>
      <c r="H989" s="138" t="n">
        <v>353</v>
      </c>
      <c r="I989" s="138">
        <f>+I988+(G989-H989)</f>
        <v/>
      </c>
      <c r="J989" s="139" t="n">
        <v>42.109</v>
      </c>
      <c r="K989" s="140" t="n"/>
      <c r="L989" s="140">
        <f>+H989*J989</f>
        <v/>
      </c>
      <c r="M989" s="141">
        <f>SUM(M988+K989-L989)</f>
        <v/>
      </c>
    </row>
    <row r="990">
      <c r="A990" s="20" t="n">
        <v>45725</v>
      </c>
      <c r="B990" s="21" t="n">
        <v>21543</v>
      </c>
      <c r="C990" s="22" t="inlineStr">
        <is>
          <t>SELİM İNŞAAT</t>
        </is>
      </c>
      <c r="D990" s="21" t="inlineStr">
        <is>
          <t>34 GVZ 745</t>
        </is>
      </c>
      <c r="E990" s="21" t="inlineStr">
        <is>
          <t>MUHAMMED YİĞİT</t>
        </is>
      </c>
      <c r="F990" s="23" t="n">
        <v>165822</v>
      </c>
      <c r="G990" s="138" t="n"/>
      <c r="H990" s="138" t="n">
        <v>166</v>
      </c>
      <c r="I990" s="138">
        <f>+I989+(G990-H990)</f>
        <v/>
      </c>
      <c r="J990" s="139" t="n">
        <v>42.109</v>
      </c>
      <c r="K990" s="140" t="n"/>
      <c r="L990" s="140">
        <f>+H990*J990</f>
        <v/>
      </c>
      <c r="M990" s="141">
        <f>SUM(M989+K990-L990)</f>
        <v/>
      </c>
    </row>
    <row r="991">
      <c r="A991" s="20" t="n">
        <v>45725</v>
      </c>
      <c r="B991" s="21" t="n">
        <v>10629</v>
      </c>
      <c r="C991" s="22" t="inlineStr">
        <is>
          <t>SELİM İNŞAAT</t>
        </is>
      </c>
      <c r="D991" s="21" t="inlineStr">
        <is>
          <t>34 EDB 754</t>
        </is>
      </c>
      <c r="E991" s="21" t="inlineStr">
        <is>
          <t>EMİN PARLAKKILIÇ</t>
        </is>
      </c>
      <c r="F991" s="23" t="n">
        <v>302809</v>
      </c>
      <c r="G991" s="138" t="n"/>
      <c r="H991" s="138" t="n">
        <v>359</v>
      </c>
      <c r="I991" s="138">
        <f>+I990+(G991-H991)</f>
        <v/>
      </c>
      <c r="J991" s="139" t="n">
        <v>42.109</v>
      </c>
      <c r="K991" s="140" t="n"/>
      <c r="L991" s="140">
        <f>+H991*J991</f>
        <v/>
      </c>
      <c r="M991" s="141">
        <f>SUM(M990+K991-L991)</f>
        <v/>
      </c>
    </row>
    <row r="992">
      <c r="A992" s="20" t="n">
        <v>45725</v>
      </c>
      <c r="B992" s="21" t="n">
        <v>11277</v>
      </c>
      <c r="C992" s="22" t="inlineStr">
        <is>
          <t>SELİM İNŞAAT</t>
        </is>
      </c>
      <c r="D992" s="21" t="inlineStr">
        <is>
          <t>34 EDC 162</t>
        </is>
      </c>
      <c r="E992" s="21" t="inlineStr">
        <is>
          <t xml:space="preserve">YAKUP GÜNER </t>
        </is>
      </c>
      <c r="F992" s="23" t="n">
        <v>344403</v>
      </c>
      <c r="G992" s="138" t="n"/>
      <c r="H992" s="138" t="n">
        <v>258</v>
      </c>
      <c r="I992" s="138">
        <f>+I991+(G992-H992)</f>
        <v/>
      </c>
      <c r="J992" s="139" t="n">
        <v>42.109</v>
      </c>
      <c r="K992" s="140" t="n"/>
      <c r="L992" s="140">
        <f>+H992*J992</f>
        <v/>
      </c>
      <c r="M992" s="141">
        <f>SUM(M991+K992-L992)</f>
        <v/>
      </c>
    </row>
    <row r="993">
      <c r="A993" s="20" t="n">
        <v>45725</v>
      </c>
      <c r="B993" s="21" t="n">
        <v>10517</v>
      </c>
      <c r="C993" s="22" t="inlineStr">
        <is>
          <t>SELİM İNŞAAT</t>
        </is>
      </c>
      <c r="D993" s="21" t="inlineStr">
        <is>
          <t>34 EDB 922</t>
        </is>
      </c>
      <c r="E993" s="21" t="inlineStr">
        <is>
          <t>AHMET TOPÇU</t>
        </is>
      </c>
      <c r="F993" s="23" t="n">
        <v>336641</v>
      </c>
      <c r="G993" s="138" t="n"/>
      <c r="H993" s="138" t="n">
        <v>298</v>
      </c>
      <c r="I993" s="138">
        <f>+I992+(G993-H993)</f>
        <v/>
      </c>
      <c r="J993" s="139" t="n">
        <v>42.109</v>
      </c>
      <c r="K993" s="140" t="n"/>
      <c r="L993" s="140">
        <f>+H993*J993</f>
        <v/>
      </c>
      <c r="M993" s="141">
        <f>SUM(M992+K993-L993)</f>
        <v/>
      </c>
    </row>
    <row r="994">
      <c r="A994" s="20" t="n">
        <v>45725</v>
      </c>
      <c r="B994" s="21" t="n">
        <v>10176</v>
      </c>
      <c r="C994" s="22" t="inlineStr">
        <is>
          <t>SELİM İNŞAAT</t>
        </is>
      </c>
      <c r="D994" s="21" t="inlineStr">
        <is>
          <t>34 EGR 736</t>
        </is>
      </c>
      <c r="E994" s="21" t="inlineStr">
        <is>
          <t>MUHAMMER ÇAMLI</t>
        </is>
      </c>
      <c r="F994" s="23" t="n">
        <v>365800</v>
      </c>
      <c r="G994" s="138" t="n"/>
      <c r="H994" s="138" t="n">
        <v>407</v>
      </c>
      <c r="I994" s="138">
        <f>+I993+(G994-H994)</f>
        <v/>
      </c>
      <c r="J994" s="139" t="n">
        <v>42.109</v>
      </c>
      <c r="K994" s="140" t="n"/>
      <c r="L994" s="140">
        <f>+H994*J994</f>
        <v/>
      </c>
      <c r="M994" s="141">
        <f>SUM(M993+K994-L994)</f>
        <v/>
      </c>
    </row>
    <row r="995">
      <c r="A995" s="20" t="n">
        <v>45725</v>
      </c>
      <c r="B995" s="21" t="n">
        <v>10769</v>
      </c>
      <c r="C995" s="22" t="inlineStr">
        <is>
          <t>SELİM İNŞAAT</t>
        </is>
      </c>
      <c r="D995" s="21" t="inlineStr">
        <is>
          <t>34 FBR 705</t>
        </is>
      </c>
      <c r="E995" s="21" t="inlineStr">
        <is>
          <t>MESUT GÜRLER</t>
        </is>
      </c>
      <c r="F995" s="23" t="n">
        <v>291238</v>
      </c>
      <c r="G995" s="138" t="n"/>
      <c r="H995" s="138" t="n">
        <v>304</v>
      </c>
      <c r="I995" s="138">
        <f>+I994+(G995-H995)</f>
        <v/>
      </c>
      <c r="J995" s="139" t="n">
        <v>42.109</v>
      </c>
      <c r="K995" s="140" t="n"/>
      <c r="L995" s="140">
        <f>+H995*J995</f>
        <v/>
      </c>
      <c r="M995" s="141">
        <f>SUM(M994+K995-L995)</f>
        <v/>
      </c>
    </row>
    <row r="996">
      <c r="A996" s="20" t="n">
        <v>45725</v>
      </c>
      <c r="B996" s="21" t="n">
        <v>11065</v>
      </c>
      <c r="C996" s="22" t="inlineStr">
        <is>
          <t>SELİM İNŞAAT</t>
        </is>
      </c>
      <c r="D996" s="21" t="inlineStr">
        <is>
          <t>34 HBY 763</t>
        </is>
      </c>
      <c r="E996" s="21" t="inlineStr">
        <is>
          <t>EMİRCAN ÖZTÜRK</t>
        </is>
      </c>
      <c r="F996" s="23" t="n">
        <v>13529</v>
      </c>
      <c r="G996" s="138" t="n"/>
      <c r="H996" s="138" t="n">
        <v>188</v>
      </c>
      <c r="I996" s="138">
        <f>+I995+(G996-H996)</f>
        <v/>
      </c>
      <c r="J996" s="139" t="n">
        <v>42.109</v>
      </c>
      <c r="K996" s="140" t="n"/>
      <c r="L996" s="140">
        <f>+H996*J996</f>
        <v/>
      </c>
      <c r="M996" s="141">
        <f>SUM(M995+K996-L996)</f>
        <v/>
      </c>
    </row>
    <row r="997">
      <c r="A997" s="20" t="n">
        <v>45725</v>
      </c>
      <c r="B997" s="21" t="n">
        <v>11995</v>
      </c>
      <c r="C997" s="22" t="inlineStr">
        <is>
          <t>SELİM İNŞAAT</t>
        </is>
      </c>
      <c r="D997" s="21" t="inlineStr">
        <is>
          <t>34 DKL 798</t>
        </is>
      </c>
      <c r="E997" s="21" t="inlineStr">
        <is>
          <t>VOLKAN YANAR</t>
        </is>
      </c>
      <c r="F997" s="23" t="n">
        <v>61745</v>
      </c>
      <c r="G997" s="138" t="n"/>
      <c r="H997" s="138" t="n">
        <v>158</v>
      </c>
      <c r="I997" s="138">
        <f>+I996+(G997-H997)</f>
        <v/>
      </c>
      <c r="J997" s="139" t="n">
        <v>42.109</v>
      </c>
      <c r="K997" s="140" t="n"/>
      <c r="L997" s="140">
        <f>+H997*J997</f>
        <v/>
      </c>
      <c r="M997" s="141">
        <f>SUM(M996+K997-L997)</f>
        <v/>
      </c>
    </row>
    <row r="998">
      <c r="A998" s="20" t="n">
        <v>45725</v>
      </c>
      <c r="B998" s="21" t="n">
        <v>9938</v>
      </c>
      <c r="C998" s="22" t="inlineStr">
        <is>
          <t>ENES SELİM</t>
        </is>
      </c>
      <c r="D998" s="21" t="inlineStr">
        <is>
          <t>TB 926 VİNÇ</t>
        </is>
      </c>
      <c r="E998" s="21" t="inlineStr">
        <is>
          <t>ENES SELİM</t>
        </is>
      </c>
      <c r="F998" s="23" t="n"/>
      <c r="G998" s="138" t="n"/>
      <c r="H998" s="138" t="n">
        <v>115</v>
      </c>
      <c r="I998" s="138">
        <f>+I997+(G998-H998)</f>
        <v/>
      </c>
      <c r="J998" s="139" t="n">
        <v>42.109</v>
      </c>
      <c r="K998" s="140" t="n"/>
      <c r="L998" s="140">
        <f>+H998*J998</f>
        <v/>
      </c>
      <c r="M998" s="141">
        <f>SUM(M997+K998-L998)</f>
        <v/>
      </c>
    </row>
    <row r="999">
      <c r="A999" s="20" t="n">
        <v>45725</v>
      </c>
      <c r="B999" s="1" t="n">
        <v>14960</v>
      </c>
      <c r="C999" s="2" t="inlineStr">
        <is>
          <t>HASALTUN - EVKUR</t>
        </is>
      </c>
      <c r="D999" s="1" t="inlineStr">
        <is>
          <t>KAVAZAKİ</t>
        </is>
      </c>
      <c r="E999" s="1" t="inlineStr">
        <is>
          <t>UFUK SEVAL</t>
        </is>
      </c>
      <c r="F999" s="3" t="n"/>
      <c r="G999" s="143" t="n"/>
      <c r="H999" s="143" t="n">
        <v>258</v>
      </c>
      <c r="I999" s="143">
        <f>+I998+(G999-H999)</f>
        <v/>
      </c>
      <c r="J999" s="144" t="n">
        <v>42.109</v>
      </c>
      <c r="K999" s="145" t="n"/>
      <c r="L999" s="140">
        <f>+H999*J999</f>
        <v/>
      </c>
      <c r="M999" s="141">
        <f>SUM(M998+K999-L999)</f>
        <v/>
      </c>
    </row>
    <row r="1000">
      <c r="A1000" s="20" t="n">
        <v>45725</v>
      </c>
      <c r="B1000" s="1" t="n">
        <v>14961</v>
      </c>
      <c r="C1000" s="2" t="inlineStr">
        <is>
          <t>VARLIK</t>
        </is>
      </c>
      <c r="D1000" s="1" t="inlineStr">
        <is>
          <t>SM 350</t>
        </is>
      </c>
      <c r="E1000" s="1" t="inlineStr">
        <is>
          <t>BAYRAM SANCAK</t>
        </is>
      </c>
      <c r="F1000" s="3" t="n"/>
      <c r="G1000" s="143" t="n"/>
      <c r="H1000" s="143" t="n">
        <v>363</v>
      </c>
      <c r="I1000" s="143">
        <f>+I999+(G1000-H1000)</f>
        <v/>
      </c>
      <c r="J1000" s="144" t="n">
        <v>42.109</v>
      </c>
      <c r="K1000" s="145" t="n"/>
      <c r="L1000" s="140">
        <f>+H1000*J1000</f>
        <v/>
      </c>
      <c r="M1000" s="141">
        <f>SUM(M999+K1000-L1000)</f>
        <v/>
      </c>
    </row>
    <row r="1001">
      <c r="A1001" s="20" t="n">
        <v>45725</v>
      </c>
      <c r="B1001" s="1" t="n">
        <v>14962</v>
      </c>
      <c r="C1001" s="2" t="inlineStr">
        <is>
          <t>HASALTUN</t>
        </is>
      </c>
      <c r="D1001" s="1" t="inlineStr">
        <is>
          <t>SM 370</t>
        </is>
      </c>
      <c r="E1001" s="1" t="inlineStr">
        <is>
          <t>RAMAZAN KAYA</t>
        </is>
      </c>
      <c r="F1001" s="3" t="n"/>
      <c r="G1001" s="143" t="n"/>
      <c r="H1001" s="143" t="n">
        <v>512</v>
      </c>
      <c r="I1001" s="143">
        <f>+I1000+(G1001-H1001)</f>
        <v/>
      </c>
      <c r="J1001" s="144" t="n">
        <v>42.109</v>
      </c>
      <c r="K1001" s="145" t="n"/>
      <c r="L1001" s="140">
        <f>+H1001*J1001</f>
        <v/>
      </c>
      <c r="M1001" s="141">
        <f>SUM(M1000+K1001-L1001)</f>
        <v/>
      </c>
    </row>
    <row r="1002">
      <c r="A1002" s="20" t="n">
        <v>45725</v>
      </c>
      <c r="B1002" s="1" t="n">
        <v>14963</v>
      </c>
      <c r="C1002" s="2" t="inlineStr">
        <is>
          <t>HASALTUN</t>
        </is>
      </c>
      <c r="D1002" s="1" t="inlineStr">
        <is>
          <t>SM 300</t>
        </is>
      </c>
      <c r="E1002" s="1" t="inlineStr">
        <is>
          <t>TURGUT SANCAK</t>
        </is>
      </c>
      <c r="F1002" s="3" t="n"/>
      <c r="G1002" s="143" t="n"/>
      <c r="H1002" s="143" t="n">
        <v>407</v>
      </c>
      <c r="I1002" s="143">
        <f>+I1001+(G1002-H1002)</f>
        <v/>
      </c>
      <c r="J1002" s="144" t="n">
        <v>42.109</v>
      </c>
      <c r="K1002" s="145" t="n"/>
      <c r="L1002" s="140">
        <f>+H1002*J1002</f>
        <v/>
      </c>
      <c r="M1002" s="141">
        <f>SUM(M1001+K1002-L1002)</f>
        <v/>
      </c>
    </row>
    <row r="1003">
      <c r="A1003" s="20" t="n">
        <v>45725</v>
      </c>
      <c r="B1003" s="1" t="n">
        <v>14964</v>
      </c>
      <c r="C1003" s="2" t="inlineStr">
        <is>
          <t>HASALTUN</t>
        </is>
      </c>
      <c r="D1003" s="1" t="inlineStr">
        <is>
          <t>SM 350</t>
        </is>
      </c>
      <c r="E1003" s="1" t="inlineStr">
        <is>
          <t>TEVFİK ÖZTÜRK</t>
        </is>
      </c>
      <c r="F1003" s="3" t="n"/>
      <c r="G1003" s="143" t="n"/>
      <c r="H1003" s="143" t="n">
        <v>218</v>
      </c>
      <c r="I1003" s="143">
        <f>+I1002+(G1003-H1003)</f>
        <v/>
      </c>
      <c r="J1003" s="144" t="n">
        <v>42.109</v>
      </c>
      <c r="K1003" s="145" t="n"/>
      <c r="L1003" s="140">
        <f>+H1003*J1003</f>
        <v/>
      </c>
      <c r="M1003" s="141">
        <f>SUM(M1002+K1003-L1003)</f>
        <v/>
      </c>
    </row>
    <row r="1004">
      <c r="A1004" s="20" t="n">
        <v>45726</v>
      </c>
      <c r="B1004" s="21" t="n">
        <v>10282</v>
      </c>
      <c r="C1004" s="22" t="inlineStr">
        <is>
          <t>SELİM İNŞAAT</t>
        </is>
      </c>
      <c r="D1004" s="21" t="inlineStr">
        <is>
          <t>34 FBR 748</t>
        </is>
      </c>
      <c r="E1004" s="21" t="inlineStr">
        <is>
          <t>YAŞAR ÖZKAYA</t>
        </is>
      </c>
      <c r="F1004" s="23" t="n">
        <v>263786</v>
      </c>
      <c r="G1004" s="138" t="n"/>
      <c r="H1004" s="138" t="n">
        <v>387</v>
      </c>
      <c r="I1004" s="138">
        <f>+I1003+(G1004-H1004)</f>
        <v/>
      </c>
      <c r="J1004" s="139" t="n">
        <v>42.109</v>
      </c>
      <c r="K1004" s="140" t="n"/>
      <c r="L1004" s="140">
        <f>+H1004*J1004</f>
        <v/>
      </c>
      <c r="M1004" s="141">
        <f>SUM(M1003+K1004-L1004)</f>
        <v/>
      </c>
    </row>
    <row r="1005">
      <c r="A1005" s="20" t="n">
        <v>45726</v>
      </c>
      <c r="B1005" s="21" t="n">
        <v>10429</v>
      </c>
      <c r="C1005" s="22" t="inlineStr">
        <is>
          <t>SELİM İNŞAAT</t>
        </is>
      </c>
      <c r="D1005" s="21" t="inlineStr">
        <is>
          <t>34 FBR 781</t>
        </is>
      </c>
      <c r="E1005" s="21" t="inlineStr">
        <is>
          <t>MEVLÜT POLAT</t>
        </is>
      </c>
      <c r="F1005" s="23" t="n">
        <v>281079</v>
      </c>
      <c r="G1005" s="138" t="n"/>
      <c r="H1005" s="138" t="n">
        <v>370</v>
      </c>
      <c r="I1005" s="138">
        <f>+I1004+(G1005-H1005)</f>
        <v/>
      </c>
      <c r="J1005" s="139" t="n">
        <v>42.109</v>
      </c>
      <c r="K1005" s="140" t="n"/>
      <c r="L1005" s="140">
        <f>+H1005*J1005</f>
        <v/>
      </c>
      <c r="M1005" s="141">
        <f>SUM(M1004+K1005-L1005)</f>
        <v/>
      </c>
    </row>
    <row r="1006">
      <c r="A1006" s="20" t="n">
        <v>45726</v>
      </c>
      <c r="B1006" s="21" t="n">
        <v>10992</v>
      </c>
      <c r="C1006" s="22" t="inlineStr">
        <is>
          <t>SELİM İNŞAAT</t>
        </is>
      </c>
      <c r="D1006" s="21" t="inlineStr">
        <is>
          <t>34 GVZ 199</t>
        </is>
      </c>
      <c r="E1006" s="21" t="inlineStr">
        <is>
          <t>VAHDET GÜRLER</t>
        </is>
      </c>
      <c r="F1006" s="23" t="n">
        <v>158922</v>
      </c>
      <c r="G1006" s="138" t="n"/>
      <c r="H1006" s="138" t="n">
        <v>228</v>
      </c>
      <c r="I1006" s="138">
        <f>+I1005+(G1006-H1006)</f>
        <v/>
      </c>
      <c r="J1006" s="139" t="n">
        <v>42.109</v>
      </c>
      <c r="K1006" s="140" t="n"/>
      <c r="L1006" s="140">
        <f>+H1006*J1006</f>
        <v/>
      </c>
      <c r="M1006" s="141">
        <f>SUM(M1005+K1006-L1006)</f>
        <v/>
      </c>
    </row>
    <row r="1007">
      <c r="A1007" s="20" t="n">
        <v>45726</v>
      </c>
      <c r="B1007" s="21" t="n">
        <v>11915</v>
      </c>
      <c r="C1007" s="22" t="inlineStr">
        <is>
          <t>SELİM İNŞAAT</t>
        </is>
      </c>
      <c r="D1007" s="21" t="inlineStr">
        <is>
          <t>34 FBR 742</t>
        </is>
      </c>
      <c r="E1007" s="21" t="inlineStr">
        <is>
          <t>MİKAİL BAYILMAZ</t>
        </is>
      </c>
      <c r="F1007" s="23" t="n">
        <v>296680</v>
      </c>
      <c r="G1007" s="138" t="n"/>
      <c r="H1007" s="138" t="n">
        <v>277</v>
      </c>
      <c r="I1007" s="138">
        <f>+I1006+(G1007-H1007)</f>
        <v/>
      </c>
      <c r="J1007" s="139" t="n">
        <v>42.109</v>
      </c>
      <c r="K1007" s="140" t="n"/>
      <c r="L1007" s="140">
        <f>+H1007*J1007</f>
        <v/>
      </c>
      <c r="M1007" s="141">
        <f>SUM(M1006+K1007-L1007)</f>
        <v/>
      </c>
    </row>
    <row r="1008">
      <c r="A1008" s="20" t="n">
        <v>45726</v>
      </c>
      <c r="B1008" s="21" t="n">
        <v>14006</v>
      </c>
      <c r="C1008" s="22" t="inlineStr">
        <is>
          <t>SELİM İNŞAAT</t>
        </is>
      </c>
      <c r="D1008" s="21" t="inlineStr">
        <is>
          <t>34 GVZ 310</t>
        </is>
      </c>
      <c r="E1008" s="21" t="inlineStr">
        <is>
          <t>CELAL YÜZBAŞI</t>
        </is>
      </c>
      <c r="F1008" s="23" t="n">
        <v>174064</v>
      </c>
      <c r="G1008" s="138" t="n"/>
      <c r="H1008" s="138" t="n">
        <v>407</v>
      </c>
      <c r="I1008" s="138">
        <f>+I1007+(G1008-H1008)</f>
        <v/>
      </c>
      <c r="J1008" s="139" t="n">
        <v>42.109</v>
      </c>
      <c r="K1008" s="140" t="n"/>
      <c r="L1008" s="140">
        <f>+H1008*J1008</f>
        <v/>
      </c>
      <c r="M1008" s="141">
        <f>SUM(M1007+K1008-L1008)</f>
        <v/>
      </c>
    </row>
    <row r="1009">
      <c r="A1009" s="20" t="n">
        <v>45726</v>
      </c>
      <c r="B1009" s="21" t="n">
        <v>11812</v>
      </c>
      <c r="C1009" s="22" t="inlineStr">
        <is>
          <t>SELİM İNŞAAT</t>
        </is>
      </c>
      <c r="D1009" s="21" t="inlineStr">
        <is>
          <t>34 FSG 229</t>
        </is>
      </c>
      <c r="E1009" s="21" t="inlineStr">
        <is>
          <t>SİNAN TANRIVERDİ</t>
        </is>
      </c>
      <c r="F1009" s="23" t="n">
        <v>236569</v>
      </c>
      <c r="G1009" s="138" t="n"/>
      <c r="H1009" s="138" t="n">
        <v>367</v>
      </c>
      <c r="I1009" s="138">
        <f>+I1008+(G1009-H1009)</f>
        <v/>
      </c>
      <c r="J1009" s="139" t="n">
        <v>42.109</v>
      </c>
      <c r="K1009" s="140" t="n"/>
      <c r="L1009" s="140">
        <f>+H1009*J1009</f>
        <v/>
      </c>
      <c r="M1009" s="141">
        <f>SUM(M1008+K1009-L1009)</f>
        <v/>
      </c>
    </row>
    <row r="1010">
      <c r="A1010" s="20" t="n">
        <v>45726</v>
      </c>
      <c r="B1010" s="21" t="n">
        <v>9793</v>
      </c>
      <c r="C1010" s="22" t="inlineStr">
        <is>
          <t>SELİM İNŞAAT</t>
        </is>
      </c>
      <c r="D1010" s="21" t="inlineStr">
        <is>
          <t>34 GVZ 268</t>
        </is>
      </c>
      <c r="E1010" s="21" t="inlineStr">
        <is>
          <t>KERİM KARAMAN</t>
        </is>
      </c>
      <c r="F1010" s="23" t="n">
        <v>170170</v>
      </c>
      <c r="G1010" s="138" t="n"/>
      <c r="H1010" s="138" t="n">
        <v>432</v>
      </c>
      <c r="I1010" s="138">
        <f>+I1009+(G1010-H1010)</f>
        <v/>
      </c>
      <c r="J1010" s="139" t="n">
        <v>42.109</v>
      </c>
      <c r="K1010" s="140" t="n"/>
      <c r="L1010" s="140">
        <f>+H1010*J1010</f>
        <v/>
      </c>
      <c r="M1010" s="141">
        <f>SUM(M1009+K1010-L1010)</f>
        <v/>
      </c>
    </row>
    <row r="1011">
      <c r="A1011" s="20" t="n">
        <v>45726</v>
      </c>
      <c r="B1011" s="21" t="n">
        <v>21288</v>
      </c>
      <c r="C1011" s="22" t="inlineStr">
        <is>
          <t>SELİM İNŞAAT</t>
        </is>
      </c>
      <c r="D1011" s="21" t="inlineStr">
        <is>
          <t>34 DTV 447</t>
        </is>
      </c>
      <c r="E1011" s="21" t="inlineStr">
        <is>
          <t>EBUBEKİR KOLDAŞ</t>
        </is>
      </c>
      <c r="F1011" s="23" t="n">
        <v>416090</v>
      </c>
      <c r="G1011" s="138" t="n"/>
      <c r="H1011" s="138" t="n">
        <v>310</v>
      </c>
      <c r="I1011" s="138">
        <f>+I1010+(G1011-H1011)</f>
        <v/>
      </c>
      <c r="J1011" s="139" t="n">
        <v>42.109</v>
      </c>
      <c r="K1011" s="140" t="n"/>
      <c r="L1011" s="140">
        <f>+H1011*J1011</f>
        <v/>
      </c>
      <c r="M1011" s="141">
        <f>SUM(M1010+K1011-L1011)</f>
        <v/>
      </c>
    </row>
    <row r="1012">
      <c r="A1012" s="20" t="n">
        <v>45726</v>
      </c>
      <c r="B1012" s="21" t="n">
        <v>21483</v>
      </c>
      <c r="C1012" s="22" t="inlineStr">
        <is>
          <t>SELİM İNŞAAT</t>
        </is>
      </c>
      <c r="D1012" s="21" t="inlineStr">
        <is>
          <t>34 GVZ 635</t>
        </is>
      </c>
      <c r="E1012" s="21" t="inlineStr">
        <is>
          <t>ENGİN DEMİR</t>
        </is>
      </c>
      <c r="F1012" s="23" t="n">
        <v>152190</v>
      </c>
      <c r="G1012" s="138" t="n"/>
      <c r="H1012" s="138" t="n">
        <v>304</v>
      </c>
      <c r="I1012" s="138">
        <f>+I1011+(G1012-H1012)</f>
        <v/>
      </c>
      <c r="J1012" s="139" t="n">
        <v>42.109</v>
      </c>
      <c r="K1012" s="140" t="n"/>
      <c r="L1012" s="140">
        <f>+H1012*J1012</f>
        <v/>
      </c>
      <c r="M1012" s="141">
        <f>SUM(M1011+K1012-L1012)</f>
        <v/>
      </c>
    </row>
    <row r="1013">
      <c r="A1013" s="20" t="n">
        <v>45726</v>
      </c>
      <c r="B1013" s="21" t="n">
        <v>21193</v>
      </c>
      <c r="C1013" s="22" t="inlineStr">
        <is>
          <t>SELİM İNŞAAT</t>
        </is>
      </c>
      <c r="D1013" s="21" t="inlineStr">
        <is>
          <t>34 DSN 565</t>
        </is>
      </c>
      <c r="E1013" s="21" t="inlineStr">
        <is>
          <t>İBRAHİM GÜNASLAN</t>
        </is>
      </c>
      <c r="F1013" s="23" t="n">
        <v>388401</v>
      </c>
      <c r="G1013" s="138" t="n"/>
      <c r="H1013" s="138" t="n">
        <v>287</v>
      </c>
      <c r="I1013" s="138">
        <f>+I1012+(G1013-H1013)</f>
        <v/>
      </c>
      <c r="J1013" s="139" t="n">
        <v>42.109</v>
      </c>
      <c r="K1013" s="140" t="n"/>
      <c r="L1013" s="140">
        <f>+H1013*J1013</f>
        <v/>
      </c>
      <c r="M1013" s="141">
        <f>SUM(M1012+K1013-L1013)</f>
        <v/>
      </c>
    </row>
    <row r="1014">
      <c r="A1014" s="20" t="n">
        <v>45726</v>
      </c>
      <c r="B1014" s="21" t="n">
        <v>11892</v>
      </c>
      <c r="C1014" s="22" t="inlineStr">
        <is>
          <t>SELİM İNŞAAT</t>
        </is>
      </c>
      <c r="D1014" s="21" t="inlineStr">
        <is>
          <t>34 DFE 454</t>
        </is>
      </c>
      <c r="E1014" s="21" t="inlineStr">
        <is>
          <t>RIFAT KARATAY</t>
        </is>
      </c>
      <c r="F1014" s="23" t="n">
        <v>155380</v>
      </c>
      <c r="G1014" s="138" t="n"/>
      <c r="H1014" s="138" t="n">
        <v>242</v>
      </c>
      <c r="I1014" s="138">
        <f>+I1013+(G1014-H1014)</f>
        <v/>
      </c>
      <c r="J1014" s="139" t="n">
        <v>42.109</v>
      </c>
      <c r="K1014" s="140" t="n"/>
      <c r="L1014" s="140">
        <f>+H1014*J1014</f>
        <v/>
      </c>
      <c r="M1014" s="141">
        <f>SUM(M1013+K1014-L1014)</f>
        <v/>
      </c>
    </row>
    <row r="1015">
      <c r="A1015" s="20" t="n">
        <v>45726</v>
      </c>
      <c r="B1015" s="21" t="n">
        <v>20529</v>
      </c>
      <c r="C1015" s="22" t="inlineStr">
        <is>
          <t>SELİM İNŞAAT</t>
        </is>
      </c>
      <c r="D1015" s="21" t="inlineStr">
        <is>
          <t>34 VF 2620</t>
        </is>
      </c>
      <c r="E1015" s="21" t="inlineStr">
        <is>
          <t>MUSTAFA ALBAYRAK</t>
        </is>
      </c>
      <c r="F1015" s="23" t="n">
        <v>181194</v>
      </c>
      <c r="G1015" s="138" t="n"/>
      <c r="H1015" s="138" t="n">
        <v>53</v>
      </c>
      <c r="I1015" s="138">
        <f>+I1014+(G1015-H1015)</f>
        <v/>
      </c>
      <c r="J1015" s="139" t="n">
        <v>42.109</v>
      </c>
      <c r="K1015" s="140" t="n"/>
      <c r="L1015" s="140">
        <f>+H1015*J1015</f>
        <v/>
      </c>
      <c r="M1015" s="141">
        <f>SUM(M1014+K1015-L1015)</f>
        <v/>
      </c>
    </row>
    <row r="1016">
      <c r="A1016" s="20" t="n">
        <v>45726</v>
      </c>
      <c r="B1016" s="21" t="n">
        <v>14502</v>
      </c>
      <c r="C1016" s="22" t="inlineStr">
        <is>
          <t>SELİM İNŞAAT</t>
        </is>
      </c>
      <c r="D1016" s="21" t="inlineStr">
        <is>
          <t>34 GER 028</t>
        </is>
      </c>
      <c r="E1016" s="21" t="inlineStr">
        <is>
          <t>A.KERİM ERGEN</t>
        </is>
      </c>
      <c r="F1016" s="23" t="n">
        <v>40501</v>
      </c>
      <c r="G1016" s="138" t="n"/>
      <c r="H1016" s="138" t="n">
        <v>184</v>
      </c>
      <c r="I1016" s="138">
        <f>+I1015+(G1016-H1016)</f>
        <v/>
      </c>
      <c r="J1016" s="139" t="n">
        <v>42.109</v>
      </c>
      <c r="K1016" s="140" t="n"/>
      <c r="L1016" s="140">
        <f>+H1016*J1016</f>
        <v/>
      </c>
      <c r="M1016" s="141">
        <f>SUM(M1015+K1016-L1016)</f>
        <v/>
      </c>
    </row>
    <row r="1017">
      <c r="A1017" s="20" t="n">
        <v>45726</v>
      </c>
      <c r="B1017" s="21" t="n">
        <v>14602</v>
      </c>
      <c r="C1017" s="22" t="inlineStr">
        <is>
          <t>SELİM İNŞAAT</t>
        </is>
      </c>
      <c r="D1017" s="21" t="inlineStr">
        <is>
          <t>34 GER 445</t>
        </is>
      </c>
      <c r="E1017" s="21" t="inlineStr">
        <is>
          <t>HASAN BAYCAN</t>
        </is>
      </c>
      <c r="F1017" s="23" t="n">
        <v>38700</v>
      </c>
      <c r="G1017" s="138" t="n"/>
      <c r="H1017" s="138" t="n">
        <v>215</v>
      </c>
      <c r="I1017" s="138">
        <f>+I1016+(G1017-H1017)</f>
        <v/>
      </c>
      <c r="J1017" s="139" t="n">
        <v>42.109</v>
      </c>
      <c r="K1017" s="140" t="n"/>
      <c r="L1017" s="140">
        <f>+H1017*J1017</f>
        <v/>
      </c>
      <c r="M1017" s="141">
        <f>SUM(M1016+K1017-L1017)</f>
        <v/>
      </c>
    </row>
    <row r="1018">
      <c r="A1018" s="20" t="n">
        <v>45726</v>
      </c>
      <c r="B1018" s="21" t="n">
        <v>9939</v>
      </c>
      <c r="C1018" s="22" t="inlineStr">
        <is>
          <t>MAHMUT VİNÇ</t>
        </is>
      </c>
      <c r="D1018" s="21" t="inlineStr">
        <is>
          <t>34 MEP 460</t>
        </is>
      </c>
      <c r="E1018" s="21" t="inlineStr">
        <is>
          <t>YASİN DEMİR</t>
        </is>
      </c>
      <c r="F1018" s="23" t="n"/>
      <c r="G1018" s="138" t="n"/>
      <c r="H1018" s="138" t="n">
        <v>85</v>
      </c>
      <c r="I1018" s="138">
        <f>+I1017+(G1018-H1018)</f>
        <v/>
      </c>
      <c r="J1018" s="139" t="n">
        <v>42.109</v>
      </c>
      <c r="K1018" s="140" t="n"/>
      <c r="L1018" s="140">
        <f>+H1018*J1018</f>
        <v/>
      </c>
      <c r="M1018" s="141">
        <f>SUM(M1017+K1018-L1018)</f>
        <v/>
      </c>
    </row>
    <row r="1019">
      <c r="A1019" s="20" t="n">
        <v>45726</v>
      </c>
      <c r="B1019" s="21" t="n">
        <v>9941</v>
      </c>
      <c r="C1019" s="22" t="inlineStr">
        <is>
          <t>EVKUR</t>
        </is>
      </c>
      <c r="D1019" s="21" t="inlineStr">
        <is>
          <t>FOKLİFT</t>
        </is>
      </c>
      <c r="E1019" s="21" t="inlineStr">
        <is>
          <t>FAHRİ KALFA</t>
        </is>
      </c>
      <c r="F1019" s="23" t="n"/>
      <c r="G1019" s="138" t="n"/>
      <c r="H1019" s="138" t="n">
        <v>77</v>
      </c>
      <c r="I1019" s="138">
        <f>+I1018+(G1019-H1019)</f>
        <v/>
      </c>
      <c r="J1019" s="139" t="n">
        <v>42.109</v>
      </c>
      <c r="K1019" s="140" t="n"/>
      <c r="L1019" s="140">
        <f>+H1019*J1019</f>
        <v/>
      </c>
      <c r="M1019" s="141">
        <f>SUM(M1018+K1019-L1019)</f>
        <v/>
      </c>
    </row>
    <row r="1020">
      <c r="A1020" s="20" t="n">
        <v>45726</v>
      </c>
      <c r="B1020" s="21" t="n">
        <v>14155</v>
      </c>
      <c r="C1020" s="22" t="inlineStr">
        <is>
          <t>AZGÜN YAPI</t>
        </is>
      </c>
      <c r="D1020" s="21" t="inlineStr">
        <is>
          <t>34 DTV 263</t>
        </is>
      </c>
      <c r="E1020" s="21" t="inlineStr">
        <is>
          <t>EDİP TORLAK</t>
        </is>
      </c>
      <c r="F1020" s="23" t="n">
        <v>363852</v>
      </c>
      <c r="G1020" s="138" t="n"/>
      <c r="H1020" s="138" t="n">
        <v>224</v>
      </c>
      <c r="I1020" s="138">
        <f>+I1019+(G1020-H1020)</f>
        <v/>
      </c>
      <c r="J1020" s="139" t="n">
        <v>42.109</v>
      </c>
      <c r="K1020" s="140" t="n"/>
      <c r="L1020" s="140">
        <f>+H1020*J1020</f>
        <v/>
      </c>
      <c r="M1020" s="141">
        <f>SUM(M1019+K1020-L1020)</f>
        <v/>
      </c>
    </row>
    <row r="1021">
      <c r="A1021" s="20" t="n">
        <v>45726</v>
      </c>
      <c r="B1021" s="1" t="n">
        <v>14965</v>
      </c>
      <c r="C1021" s="2" t="inlineStr">
        <is>
          <t>VARLIK</t>
        </is>
      </c>
      <c r="D1021" s="1" t="inlineStr">
        <is>
          <t>SM 300</t>
        </is>
      </c>
      <c r="E1021" s="1" t="inlineStr">
        <is>
          <t>TURGUT SANCAK</t>
        </is>
      </c>
      <c r="F1021" s="3" t="n"/>
      <c r="G1021" s="143" t="n"/>
      <c r="H1021" s="143" t="n">
        <v>156</v>
      </c>
      <c r="I1021" s="143">
        <f>+I1020+(G1021-H1021)</f>
        <v/>
      </c>
      <c r="J1021" s="144" t="n">
        <v>42.109</v>
      </c>
      <c r="K1021" s="145" t="n"/>
      <c r="L1021" s="140">
        <f>+H1021*J1021</f>
        <v/>
      </c>
      <c r="M1021" s="141">
        <f>SUM(M1020+K1021-L1021)</f>
        <v/>
      </c>
    </row>
    <row r="1022">
      <c r="A1022" s="20" t="n">
        <v>45726</v>
      </c>
      <c r="B1022" s="21" t="n">
        <v>14966</v>
      </c>
      <c r="C1022" s="22" t="inlineStr">
        <is>
          <t>EVKUR</t>
        </is>
      </c>
      <c r="D1022" s="21" t="n"/>
      <c r="E1022" s="21" t="inlineStr">
        <is>
          <t>SIVACI İSMAİL</t>
        </is>
      </c>
      <c r="F1022" s="23" t="n"/>
      <c r="G1022" s="138" t="n"/>
      <c r="H1022" s="138" t="n">
        <v>91</v>
      </c>
      <c r="I1022" s="138">
        <f>+I1021+(G1022-H1022)</f>
        <v/>
      </c>
      <c r="J1022" s="139" t="n">
        <v>42.109</v>
      </c>
      <c r="K1022" s="140" t="n"/>
      <c r="L1022" s="140">
        <f>+H1022*J1022</f>
        <v/>
      </c>
      <c r="M1022" s="141">
        <f>SUM(M1021+K1022-L1022)</f>
        <v/>
      </c>
    </row>
    <row r="1023">
      <c r="A1023" s="20" t="n">
        <v>45726</v>
      </c>
      <c r="B1023" s="1" t="n">
        <v>14967</v>
      </c>
      <c r="C1023" s="2" t="inlineStr">
        <is>
          <t>VARLIK</t>
        </is>
      </c>
      <c r="D1023" s="1" t="inlineStr">
        <is>
          <t>KAVAZAKİ</t>
        </is>
      </c>
      <c r="E1023" s="1" t="inlineStr">
        <is>
          <t>UFUK SEVAL</t>
        </is>
      </c>
      <c r="F1023" s="3" t="n"/>
      <c r="G1023" s="143" t="n"/>
      <c r="H1023" s="143" t="n">
        <v>278</v>
      </c>
      <c r="I1023" s="143">
        <f>+I1022+(G1023-H1023)</f>
        <v/>
      </c>
      <c r="J1023" s="144" t="n">
        <v>42.109</v>
      </c>
      <c r="K1023" s="145" t="n"/>
      <c r="L1023" s="140">
        <f>+H1023*J1023</f>
        <v/>
      </c>
      <c r="M1023" s="141">
        <f>SUM(M1022+K1023-L1023)</f>
        <v/>
      </c>
    </row>
    <row r="1024">
      <c r="A1024" s="20" t="n">
        <v>45726</v>
      </c>
      <c r="B1024" s="1" t="n">
        <v>14968</v>
      </c>
      <c r="C1024" s="2" t="inlineStr">
        <is>
          <t>HASALTUN</t>
        </is>
      </c>
      <c r="D1024" s="1" t="inlineStr">
        <is>
          <t>SM 350</t>
        </is>
      </c>
      <c r="E1024" s="1" t="inlineStr">
        <is>
          <t>TEVFİK ÖZTÜRK</t>
        </is>
      </c>
      <c r="F1024" s="3" t="n"/>
      <c r="G1024" s="143" t="n"/>
      <c r="H1024" s="143" t="n">
        <v>329</v>
      </c>
      <c r="I1024" s="143">
        <f>+I1023+(G1024-H1024)</f>
        <v/>
      </c>
      <c r="J1024" s="144" t="n">
        <v>42.109</v>
      </c>
      <c r="K1024" s="145" t="n"/>
      <c r="L1024" s="140">
        <f>+H1024*J1024</f>
        <v/>
      </c>
      <c r="M1024" s="141">
        <f>SUM(M1023+K1024-L1024)</f>
        <v/>
      </c>
    </row>
    <row r="1025">
      <c r="A1025" s="20" t="n">
        <v>45726</v>
      </c>
      <c r="B1025" s="1" t="n">
        <v>14969</v>
      </c>
      <c r="C1025" s="2" t="inlineStr">
        <is>
          <t>HASALTUN</t>
        </is>
      </c>
      <c r="D1025" s="1" t="inlineStr">
        <is>
          <t>SM 300</t>
        </is>
      </c>
      <c r="E1025" s="1" t="inlineStr">
        <is>
          <t>TEKİN ŞEYLAN</t>
        </is>
      </c>
      <c r="F1025" s="3" t="n"/>
      <c r="G1025" s="143" t="n"/>
      <c r="H1025" s="143" t="n">
        <v>184</v>
      </c>
      <c r="I1025" s="143">
        <f>+I1024+(G1025-H1025)</f>
        <v/>
      </c>
      <c r="J1025" s="144" t="n">
        <v>42.109</v>
      </c>
      <c r="K1025" s="145" t="n"/>
      <c r="L1025" s="140">
        <f>+H1025*J1025</f>
        <v/>
      </c>
      <c r="M1025" s="141">
        <f>SUM(M1024+K1025-L1025)</f>
        <v/>
      </c>
    </row>
    <row r="1026">
      <c r="A1026" s="20" t="n">
        <v>45726</v>
      </c>
      <c r="B1026" s="1" t="n">
        <v>14970</v>
      </c>
      <c r="C1026" s="2" t="inlineStr">
        <is>
          <t>HASALTUN</t>
        </is>
      </c>
      <c r="D1026" s="1" t="inlineStr">
        <is>
          <t>SM 350</t>
        </is>
      </c>
      <c r="E1026" s="1" t="inlineStr">
        <is>
          <t>RAMAZAN KAYA</t>
        </is>
      </c>
      <c r="F1026" s="3" t="n"/>
      <c r="G1026" s="143" t="n"/>
      <c r="H1026" s="143" t="n">
        <v>409</v>
      </c>
      <c r="I1026" s="143">
        <f>+I1025+(G1026-H1026)</f>
        <v/>
      </c>
      <c r="J1026" s="144" t="n">
        <v>42.109</v>
      </c>
      <c r="K1026" s="145" t="n"/>
      <c r="L1026" s="140">
        <f>+H1026*J1026</f>
        <v/>
      </c>
      <c r="M1026" s="141">
        <f>SUM(M1025+K1026-L1026)</f>
        <v/>
      </c>
    </row>
    <row r="1027">
      <c r="A1027" s="20" t="n">
        <v>45726</v>
      </c>
      <c r="B1027" s="1" t="n">
        <v>14971</v>
      </c>
      <c r="C1027" s="2" t="inlineStr">
        <is>
          <t>VARLIK</t>
        </is>
      </c>
      <c r="D1027" s="1" t="inlineStr">
        <is>
          <t>SM 350</t>
        </is>
      </c>
      <c r="E1027" s="1" t="inlineStr">
        <is>
          <t>BAYRAM SANCAK</t>
        </is>
      </c>
      <c r="F1027" s="3" t="n"/>
      <c r="G1027" s="143" t="n"/>
      <c r="H1027" s="143" t="n">
        <v>291</v>
      </c>
      <c r="I1027" s="143">
        <f>+I1026+(G1027-H1027)</f>
        <v/>
      </c>
      <c r="J1027" s="144" t="n">
        <v>42.109</v>
      </c>
      <c r="K1027" s="145" t="n"/>
      <c r="L1027" s="140">
        <f>+H1027*J1027</f>
        <v/>
      </c>
      <c r="M1027" s="141">
        <f>SUM(M1026+K1027-L1027)</f>
        <v/>
      </c>
    </row>
    <row r="1028">
      <c r="A1028" s="20" t="n">
        <v>45726</v>
      </c>
      <c r="B1028" s="21" t="n">
        <v>242</v>
      </c>
      <c r="C1028" s="22" t="inlineStr">
        <is>
          <t>ÜNSOY TURİZM İNŞ.SAN.VE TİC.A.Ş.</t>
        </is>
      </c>
      <c r="D1028" s="21" t="n"/>
      <c r="E1028" s="21" t="n"/>
      <c r="F1028" s="23" t="n"/>
      <c r="G1028" s="138" t="n">
        <v>32638</v>
      </c>
      <c r="H1028" s="138" t="n"/>
      <c r="I1028" s="138">
        <f>+I1027+(G1028-H1028)</f>
        <v/>
      </c>
      <c r="J1028" s="139">
        <f>+K1028/G1028</f>
        <v/>
      </c>
      <c r="K1028" s="140" t="n">
        <v>1257640.06</v>
      </c>
      <c r="L1028" s="140">
        <f>+H1028*J1028</f>
        <v/>
      </c>
      <c r="M1028" s="141">
        <f>SUM(M1027+K1028-L1028)</f>
        <v/>
      </c>
    </row>
    <row r="1029">
      <c r="A1029" s="20" t="n">
        <v>45727</v>
      </c>
      <c r="B1029" s="21" t="n">
        <v>11789</v>
      </c>
      <c r="C1029" s="22" t="inlineStr">
        <is>
          <t>SELİM İNŞAAT</t>
        </is>
      </c>
      <c r="D1029" s="21" t="inlineStr">
        <is>
          <t>34 EDC 086</t>
        </is>
      </c>
      <c r="E1029" s="21" t="inlineStr">
        <is>
          <t>ÖMER AĞAYAR</t>
        </is>
      </c>
      <c r="F1029" s="23" t="n">
        <v>308843</v>
      </c>
      <c r="G1029" s="138" t="n"/>
      <c r="H1029" s="138" t="n">
        <v>385</v>
      </c>
      <c r="I1029" s="138">
        <f>+I1028+(G1029-H1029)</f>
        <v/>
      </c>
      <c r="J1029" s="139" t="n">
        <v>38.533</v>
      </c>
      <c r="K1029" s="140" t="n"/>
      <c r="L1029" s="140">
        <f>+H1029*J1029</f>
        <v/>
      </c>
      <c r="M1029" s="141">
        <f>SUM(M1028+K1029-L1029)</f>
        <v/>
      </c>
    </row>
    <row r="1030">
      <c r="A1030" s="20" t="n">
        <v>45727</v>
      </c>
      <c r="B1030" s="21" t="n">
        <v>10363</v>
      </c>
      <c r="C1030" s="22" t="inlineStr">
        <is>
          <t>SELİM İNŞAAT</t>
        </is>
      </c>
      <c r="D1030" s="21" t="inlineStr">
        <is>
          <t>34 DRU 690</t>
        </is>
      </c>
      <c r="E1030" s="21" t="inlineStr">
        <is>
          <t>HÜSEYİN AKÇİN</t>
        </is>
      </c>
      <c r="F1030" s="23" t="n">
        <v>394519</v>
      </c>
      <c r="G1030" s="138" t="n"/>
      <c r="H1030" s="138" t="n">
        <v>407</v>
      </c>
      <c r="I1030" s="138">
        <f>+I1029+(G1030-H1030)</f>
        <v/>
      </c>
      <c r="J1030" s="139" t="n">
        <v>38.533</v>
      </c>
      <c r="K1030" s="140" t="n"/>
      <c r="L1030" s="140">
        <f>+H1030*J1030</f>
        <v/>
      </c>
      <c r="M1030" s="141">
        <f>SUM(M1029+K1030-L1030)</f>
        <v/>
      </c>
    </row>
    <row r="1031">
      <c r="A1031" s="20" t="n">
        <v>45727</v>
      </c>
      <c r="B1031" s="21" t="n">
        <v>11626</v>
      </c>
      <c r="C1031" s="22" t="inlineStr">
        <is>
          <t>SELİM İNŞAAT</t>
        </is>
      </c>
      <c r="D1031" s="21" t="inlineStr">
        <is>
          <t>34 DTV 352</t>
        </is>
      </c>
      <c r="E1031" s="21" t="inlineStr">
        <is>
          <t xml:space="preserve">RASİM BARTU </t>
        </is>
      </c>
      <c r="F1031" s="23" t="n">
        <v>412897</v>
      </c>
      <c r="G1031" s="138" t="n"/>
      <c r="H1031" s="138" t="n">
        <v>325</v>
      </c>
      <c r="I1031" s="138">
        <f>+I1030+(G1031-H1031)</f>
        <v/>
      </c>
      <c r="J1031" s="139" t="n">
        <v>38.533</v>
      </c>
      <c r="K1031" s="140" t="n"/>
      <c r="L1031" s="140">
        <f>+H1031*J1031</f>
        <v/>
      </c>
      <c r="M1031" s="141">
        <f>SUM(M1030+K1031-L1031)</f>
        <v/>
      </c>
    </row>
    <row r="1032">
      <c r="A1032" s="20" t="n">
        <v>45727</v>
      </c>
      <c r="B1032" s="21" t="n">
        <v>10687</v>
      </c>
      <c r="C1032" s="22" t="inlineStr">
        <is>
          <t>SELİM İNŞAAT</t>
        </is>
      </c>
      <c r="D1032" s="21" t="inlineStr">
        <is>
          <t>34 DTV 599</t>
        </is>
      </c>
      <c r="E1032" s="21" t="inlineStr">
        <is>
          <t>FERHAT GÜRLER</t>
        </is>
      </c>
      <c r="F1032" s="23" t="n">
        <v>412683</v>
      </c>
      <c r="G1032" s="138" t="n"/>
      <c r="H1032" s="138" t="n">
        <v>265</v>
      </c>
      <c r="I1032" s="138">
        <f>+I1031+(G1032-H1032)</f>
        <v/>
      </c>
      <c r="J1032" s="139" t="n">
        <v>38.533</v>
      </c>
      <c r="K1032" s="140" t="n"/>
      <c r="L1032" s="140">
        <f>+H1032*J1032</f>
        <v/>
      </c>
      <c r="M1032" s="141">
        <f>SUM(M1031+K1032-L1032)</f>
        <v/>
      </c>
    </row>
    <row r="1033">
      <c r="A1033" s="20" t="n">
        <v>45727</v>
      </c>
      <c r="B1033" s="21" t="n">
        <v>10323</v>
      </c>
      <c r="C1033" s="22" t="inlineStr">
        <is>
          <t>SELİM İNŞAAT</t>
        </is>
      </c>
      <c r="D1033" s="21" t="inlineStr">
        <is>
          <t>34 EDB 829</t>
        </is>
      </c>
      <c r="E1033" s="21" t="inlineStr">
        <is>
          <t>İSMET BAYRAM</t>
        </is>
      </c>
      <c r="F1033" s="23" t="n">
        <v>297510</v>
      </c>
      <c r="G1033" s="138" t="n"/>
      <c r="H1033" s="138" t="n">
        <v>384</v>
      </c>
      <c r="I1033" s="138">
        <f>+I1032+(G1033-H1033)</f>
        <v/>
      </c>
      <c r="J1033" s="139" t="n">
        <v>38.533</v>
      </c>
      <c r="K1033" s="140" t="n"/>
      <c r="L1033" s="140">
        <f>+H1033*J1033</f>
        <v/>
      </c>
      <c r="M1033" s="141">
        <f>SUM(M1032+K1033-L1033)</f>
        <v/>
      </c>
    </row>
    <row r="1034">
      <c r="A1034" s="20" t="n">
        <v>45727</v>
      </c>
      <c r="B1034" s="21" t="n">
        <v>21544</v>
      </c>
      <c r="C1034" s="22" t="inlineStr">
        <is>
          <t>SELİM İNŞAAT</t>
        </is>
      </c>
      <c r="D1034" s="21" t="inlineStr">
        <is>
          <t>34 GVZ 745</t>
        </is>
      </c>
      <c r="E1034" s="21" t="inlineStr">
        <is>
          <t>MUHAMMED YİĞİT</t>
        </is>
      </c>
      <c r="F1034" s="23" t="n">
        <v>166820</v>
      </c>
      <c r="G1034" s="138" t="n"/>
      <c r="H1034" s="138" t="n">
        <v>340</v>
      </c>
      <c r="I1034" s="138">
        <f>+I1033+(G1034-H1034)</f>
        <v/>
      </c>
      <c r="J1034" s="139" t="n">
        <v>38.533</v>
      </c>
      <c r="K1034" s="140" t="n"/>
      <c r="L1034" s="140">
        <f>+H1034*J1034</f>
        <v/>
      </c>
      <c r="M1034" s="141">
        <f>SUM(M1033+K1034-L1034)</f>
        <v/>
      </c>
    </row>
    <row r="1035">
      <c r="A1035" s="20" t="n">
        <v>45727</v>
      </c>
      <c r="B1035" s="21" t="n">
        <v>14205</v>
      </c>
      <c r="C1035" s="22" t="inlineStr">
        <is>
          <t>SELİM İNŞAAT</t>
        </is>
      </c>
      <c r="D1035" s="21" t="inlineStr">
        <is>
          <t xml:space="preserve">34 GUS 938 </t>
        </is>
      </c>
      <c r="E1035" s="21" t="inlineStr">
        <is>
          <t>MEHMET KAYA</t>
        </is>
      </c>
      <c r="F1035" s="23" t="n">
        <v>164637</v>
      </c>
      <c r="G1035" s="138" t="n"/>
      <c r="H1035" s="138" t="n">
        <v>418</v>
      </c>
      <c r="I1035" s="138">
        <f>+I1034+(G1035-H1035)</f>
        <v/>
      </c>
      <c r="J1035" s="139" t="n">
        <v>38.533</v>
      </c>
      <c r="K1035" s="140" t="n"/>
      <c r="L1035" s="140">
        <f>+H1035*J1035</f>
        <v/>
      </c>
      <c r="M1035" s="141">
        <f>SUM(M1034+K1035-L1035)</f>
        <v/>
      </c>
    </row>
    <row r="1036">
      <c r="A1036" s="20" t="n">
        <v>45727</v>
      </c>
      <c r="B1036" s="21" t="n">
        <v>10630</v>
      </c>
      <c r="C1036" s="22" t="inlineStr">
        <is>
          <t>SELİM İNŞAAT</t>
        </is>
      </c>
      <c r="D1036" s="21" t="inlineStr">
        <is>
          <t>34 EDB 754</t>
        </is>
      </c>
      <c r="E1036" s="21" t="inlineStr">
        <is>
          <t>EMİN PARLAKKILIÇ</t>
        </is>
      </c>
      <c r="F1036" s="23" t="n">
        <v>303623</v>
      </c>
      <c r="G1036" s="138" t="n"/>
      <c r="H1036" s="138" t="n">
        <v>381</v>
      </c>
      <c r="I1036" s="138">
        <f>+I1035+(G1036-H1036)</f>
        <v/>
      </c>
      <c r="J1036" s="139" t="n">
        <v>38.533</v>
      </c>
      <c r="K1036" s="140" t="n"/>
      <c r="L1036" s="140">
        <f>+H1036*J1036</f>
        <v/>
      </c>
      <c r="M1036" s="141">
        <f>SUM(M1035+K1036-L1036)</f>
        <v/>
      </c>
    </row>
    <row r="1037">
      <c r="A1037" s="20" t="n">
        <v>45727</v>
      </c>
      <c r="B1037" s="21" t="n">
        <v>11278</v>
      </c>
      <c r="C1037" s="22" t="inlineStr">
        <is>
          <t>SELİM İNŞAAT</t>
        </is>
      </c>
      <c r="D1037" s="21" t="inlineStr">
        <is>
          <t>34 EDC 162</t>
        </is>
      </c>
      <c r="E1037" s="21" t="inlineStr">
        <is>
          <t xml:space="preserve">YAKUP GÜNER </t>
        </is>
      </c>
      <c r="F1037" s="23" t="n">
        <v>345231</v>
      </c>
      <c r="G1037" s="138" t="n"/>
      <c r="H1037" s="138" t="n">
        <v>298</v>
      </c>
      <c r="I1037" s="138">
        <f>+I1036+(G1037-H1037)</f>
        <v/>
      </c>
      <c r="J1037" s="139" t="n">
        <v>38.533</v>
      </c>
      <c r="K1037" s="140" t="n"/>
      <c r="L1037" s="140">
        <f>+H1037*J1037</f>
        <v/>
      </c>
      <c r="M1037" s="141">
        <f>SUM(M1036+K1037-L1037)</f>
        <v/>
      </c>
    </row>
    <row r="1038">
      <c r="A1038" s="20" t="n">
        <v>45727</v>
      </c>
      <c r="B1038" s="21" t="n">
        <v>14456</v>
      </c>
      <c r="C1038" s="22" t="inlineStr">
        <is>
          <t>SELİM İNŞAAT</t>
        </is>
      </c>
      <c r="D1038" s="21" t="inlineStr">
        <is>
          <t>34 GUS 848</t>
        </is>
      </c>
      <c r="E1038" s="21" t="inlineStr">
        <is>
          <t>SERDAR BOZKURT</t>
        </is>
      </c>
      <c r="F1038" s="23" t="n">
        <v>169566</v>
      </c>
      <c r="G1038" s="138" t="n"/>
      <c r="H1038" s="138" t="n">
        <v>482</v>
      </c>
      <c r="I1038" s="138">
        <f>+I1037+(G1038-H1038)</f>
        <v/>
      </c>
      <c r="J1038" s="139" t="n">
        <v>38.533</v>
      </c>
      <c r="K1038" s="140" t="n"/>
      <c r="L1038" s="140">
        <f>+H1038*J1038</f>
        <v/>
      </c>
      <c r="M1038" s="141">
        <f>SUM(M1037+K1038-L1038)</f>
        <v/>
      </c>
    </row>
    <row r="1039">
      <c r="A1039" s="20" t="n">
        <v>45727</v>
      </c>
      <c r="B1039" s="21" t="n">
        <v>10518</v>
      </c>
      <c r="C1039" s="22" t="inlineStr">
        <is>
          <t>SELİM İNŞAAT</t>
        </is>
      </c>
      <c r="D1039" s="21" t="inlineStr">
        <is>
          <t>34 EDB 922</t>
        </is>
      </c>
      <c r="E1039" s="21" t="inlineStr">
        <is>
          <t>AHMET TOPÇU</t>
        </is>
      </c>
      <c r="F1039" s="23" t="n">
        <v>337601</v>
      </c>
      <c r="G1039" s="138" t="n"/>
      <c r="H1039" s="138" t="n">
        <v>347</v>
      </c>
      <c r="I1039" s="138">
        <f>+I1038+(G1039-H1039)</f>
        <v/>
      </c>
      <c r="J1039" s="139" t="n">
        <v>38.533</v>
      </c>
      <c r="K1039" s="140" t="n"/>
      <c r="L1039" s="140">
        <f>+H1039*J1039</f>
        <v/>
      </c>
      <c r="M1039" s="141">
        <f>SUM(M1038+K1039-L1039)</f>
        <v/>
      </c>
    </row>
    <row r="1040">
      <c r="A1040" s="20" t="n">
        <v>45727</v>
      </c>
      <c r="B1040" s="21" t="n">
        <v>10177</v>
      </c>
      <c r="C1040" s="22" t="inlineStr">
        <is>
          <t>SELİM İNŞAAT</t>
        </is>
      </c>
      <c r="D1040" s="21" t="inlineStr">
        <is>
          <t>34 EGR 736</t>
        </is>
      </c>
      <c r="E1040" s="21" t="inlineStr">
        <is>
          <t>MUHAMMER ÇAMLI</t>
        </is>
      </c>
      <c r="F1040" s="23" t="n">
        <v>366799</v>
      </c>
      <c r="G1040" s="138" t="n"/>
      <c r="H1040" s="138" t="n">
        <v>359</v>
      </c>
      <c r="I1040" s="138">
        <f>+I1039+(G1040-H1040)</f>
        <v/>
      </c>
      <c r="J1040" s="139" t="n">
        <v>38.533</v>
      </c>
      <c r="K1040" s="140" t="n"/>
      <c r="L1040" s="140">
        <f>+H1040*J1040</f>
        <v/>
      </c>
      <c r="M1040" s="141">
        <f>SUM(M1039+K1040-L1040)</f>
        <v/>
      </c>
    </row>
    <row r="1041">
      <c r="A1041" s="20" t="n">
        <v>45727</v>
      </c>
      <c r="B1041" s="21" t="n">
        <v>14103</v>
      </c>
      <c r="C1041" s="22" t="inlineStr">
        <is>
          <t>SELİM İNŞAAT</t>
        </is>
      </c>
      <c r="D1041" s="21" t="inlineStr">
        <is>
          <t>34 DSN 536</t>
        </is>
      </c>
      <c r="E1041" s="21" t="inlineStr">
        <is>
          <t>DURSUN ALİ GÜREK</t>
        </is>
      </c>
      <c r="F1041" s="23" t="n">
        <v>383149</v>
      </c>
      <c r="G1041" s="138" t="n"/>
      <c r="H1041" s="138" t="n">
        <v>450</v>
      </c>
      <c r="I1041" s="138">
        <f>+I1040+(G1041-H1041)</f>
        <v/>
      </c>
      <c r="J1041" s="139" t="n">
        <v>38.533</v>
      </c>
      <c r="K1041" s="140" t="n"/>
      <c r="L1041" s="140">
        <f>+H1041*J1041</f>
        <v/>
      </c>
      <c r="M1041" s="141">
        <f>SUM(M1040+K1041-L1041)</f>
        <v/>
      </c>
    </row>
    <row r="1042">
      <c r="A1042" s="20" t="n">
        <v>45727</v>
      </c>
      <c r="B1042" s="21" t="n">
        <v>11066</v>
      </c>
      <c r="C1042" s="22" t="inlineStr">
        <is>
          <t>SELİM İNŞAAT</t>
        </is>
      </c>
      <c r="D1042" s="21" t="inlineStr">
        <is>
          <t>34 HBY 763</t>
        </is>
      </c>
      <c r="E1042" s="21" t="inlineStr">
        <is>
          <t>EMİRCAN ÖZTÜRK</t>
        </is>
      </c>
      <c r="F1042" s="23" t="n">
        <v>13656</v>
      </c>
      <c r="G1042" s="138" t="n"/>
      <c r="H1042" s="138" t="n">
        <v>170</v>
      </c>
      <c r="I1042" s="138">
        <f>+I1041+(G1042-H1042)</f>
        <v/>
      </c>
      <c r="J1042" s="139" t="n">
        <v>38.533</v>
      </c>
      <c r="K1042" s="140" t="n"/>
      <c r="L1042" s="140">
        <f>+H1042*J1042</f>
        <v/>
      </c>
      <c r="M1042" s="141">
        <f>SUM(M1041+K1042-L1042)</f>
        <v/>
      </c>
    </row>
    <row r="1043">
      <c r="A1043" s="20" t="n">
        <v>45727</v>
      </c>
      <c r="B1043" s="21" t="n">
        <v>11996</v>
      </c>
      <c r="C1043" s="22" t="inlineStr">
        <is>
          <t>SELİM İNŞAAT</t>
        </is>
      </c>
      <c r="D1043" s="21" t="inlineStr">
        <is>
          <t>34 DKL 798</t>
        </is>
      </c>
      <c r="E1043" s="21" t="inlineStr">
        <is>
          <t>VOLKAN YANAR</t>
        </is>
      </c>
      <c r="F1043" s="23" t="n">
        <v>61870</v>
      </c>
      <c r="G1043" s="138" t="n"/>
      <c r="H1043" s="138" t="n">
        <v>158</v>
      </c>
      <c r="I1043" s="138">
        <f>+I1042+(G1043-H1043)</f>
        <v/>
      </c>
      <c r="J1043" s="139" t="n">
        <v>38.533</v>
      </c>
      <c r="K1043" s="140" t="n"/>
      <c r="L1043" s="140">
        <f>+H1043*J1043</f>
        <v/>
      </c>
      <c r="M1043" s="141">
        <f>SUM(M1042+K1043-L1043)</f>
        <v/>
      </c>
    </row>
    <row r="1044">
      <c r="A1044" s="20" t="n">
        <v>45727</v>
      </c>
      <c r="B1044" s="21" t="n">
        <v>14306</v>
      </c>
      <c r="C1044" s="22" t="inlineStr">
        <is>
          <t>SELİM İNŞAAT</t>
        </is>
      </c>
      <c r="D1044" s="21" t="inlineStr">
        <is>
          <t>34 DKL 866</t>
        </is>
      </c>
      <c r="E1044" s="21" t="inlineStr">
        <is>
          <t>SELİM CAN ÖNVER</t>
        </is>
      </c>
      <c r="F1044" s="23" t="n">
        <v>61779</v>
      </c>
      <c r="G1044" s="138" t="n"/>
      <c r="H1044" s="138" t="n">
        <v>201</v>
      </c>
      <c r="I1044" s="138">
        <f>+I1043+(G1044-H1044)</f>
        <v/>
      </c>
      <c r="J1044" s="139" t="n">
        <v>38.533</v>
      </c>
      <c r="K1044" s="140" t="n"/>
      <c r="L1044" s="140">
        <f>+H1044*J1044</f>
        <v/>
      </c>
      <c r="M1044" s="141">
        <f>SUM(M1043+K1044-L1044)</f>
        <v/>
      </c>
    </row>
    <row r="1045">
      <c r="A1045" s="20" t="n">
        <v>45727</v>
      </c>
      <c r="B1045" s="21" t="n">
        <v>21310</v>
      </c>
      <c r="C1045" s="22" t="inlineStr">
        <is>
          <t>SELİM İNŞAAT</t>
        </is>
      </c>
      <c r="D1045" s="21" t="inlineStr">
        <is>
          <t>34 FEM 934</t>
        </is>
      </c>
      <c r="E1045" s="21" t="inlineStr">
        <is>
          <t>TEKİN ŞEYLAN</t>
        </is>
      </c>
      <c r="F1045" s="23" t="n">
        <v>301318</v>
      </c>
      <c r="G1045" s="138" t="n"/>
      <c r="H1045" s="138" t="n">
        <v>60</v>
      </c>
      <c r="I1045" s="138">
        <f>+I1044+(G1045-H1045)</f>
        <v/>
      </c>
      <c r="J1045" s="139" t="n">
        <v>38.533</v>
      </c>
      <c r="K1045" s="140" t="n"/>
      <c r="L1045" s="140">
        <f>+H1045*J1045</f>
        <v/>
      </c>
      <c r="M1045" s="141">
        <f>SUM(M1044+K1045-L1045)</f>
        <v/>
      </c>
    </row>
    <row r="1046">
      <c r="A1046" s="20" t="n">
        <v>45727</v>
      </c>
      <c r="B1046" s="21" t="n">
        <v>14503</v>
      </c>
      <c r="C1046" s="22" t="inlineStr">
        <is>
          <t>SELİM İNŞAAT</t>
        </is>
      </c>
      <c r="D1046" s="21" t="inlineStr">
        <is>
          <t>34 GER 028</t>
        </is>
      </c>
      <c r="E1046" s="21" t="inlineStr">
        <is>
          <t>A.KERİM ERGEN</t>
        </is>
      </c>
      <c r="F1046" s="23" t="n">
        <v>40611</v>
      </c>
      <c r="G1046" s="138" t="n"/>
      <c r="H1046" s="138" t="n">
        <v>162</v>
      </c>
      <c r="I1046" s="138">
        <f>+I1045+(G1046-H1046)</f>
        <v/>
      </c>
      <c r="J1046" s="139" t="n">
        <v>38.533</v>
      </c>
      <c r="K1046" s="140" t="n"/>
      <c r="L1046" s="140">
        <f>+H1046*J1046</f>
        <v/>
      </c>
      <c r="M1046" s="141">
        <f>SUM(M1045+K1046-L1046)</f>
        <v/>
      </c>
    </row>
    <row r="1047">
      <c r="A1047" s="20" t="n">
        <v>45727</v>
      </c>
      <c r="B1047" s="21" t="n">
        <v>9940</v>
      </c>
      <c r="C1047" s="22" t="inlineStr">
        <is>
          <t>RECEP SELİM OTO KURTARICI</t>
        </is>
      </c>
      <c r="D1047" s="21" t="inlineStr">
        <is>
          <t>34 GC 8658</t>
        </is>
      </c>
      <c r="E1047" s="21" t="inlineStr">
        <is>
          <t>RECEP SELİM</t>
        </is>
      </c>
      <c r="F1047" s="23" t="n"/>
      <c r="G1047" s="138" t="n"/>
      <c r="H1047" s="138" t="n">
        <v>59</v>
      </c>
      <c r="I1047" s="138">
        <f>+I1046+(G1047-H1047)</f>
        <v/>
      </c>
      <c r="J1047" s="139" t="n">
        <v>38.533</v>
      </c>
      <c r="K1047" s="140" t="n"/>
      <c r="L1047" s="140">
        <f>+H1047*J1047</f>
        <v/>
      </c>
      <c r="M1047" s="141">
        <f>SUM(M1046+K1047-L1047)</f>
        <v/>
      </c>
    </row>
    <row r="1048">
      <c r="A1048" s="20" t="n">
        <v>45727</v>
      </c>
      <c r="B1048" s="21" t="n">
        <v>11433</v>
      </c>
      <c r="C1048" s="22" t="inlineStr">
        <is>
          <t>METİN ERYİĞİT</t>
        </is>
      </c>
      <c r="D1048" s="21" t="inlineStr">
        <is>
          <t>34 EGR 814</t>
        </is>
      </c>
      <c r="E1048" s="21" t="inlineStr">
        <is>
          <t>FARUK ÖZEN</t>
        </is>
      </c>
      <c r="F1048" s="23" t="n">
        <v>520507</v>
      </c>
      <c r="G1048" s="138" t="n"/>
      <c r="H1048" s="138" t="n">
        <v>452</v>
      </c>
      <c r="I1048" s="138">
        <f>+I1047+(G1048-H1048)</f>
        <v/>
      </c>
      <c r="J1048" s="139" t="n">
        <v>38.533</v>
      </c>
      <c r="K1048" s="140" t="n"/>
      <c r="L1048" s="140">
        <f>+H1048*J1048</f>
        <v/>
      </c>
      <c r="M1048" s="141">
        <f>SUM(M1047+K1048-L1048)</f>
        <v/>
      </c>
    </row>
    <row r="1049">
      <c r="A1049" s="20" t="n">
        <v>45727</v>
      </c>
      <c r="B1049" s="21" t="n">
        <v>11466</v>
      </c>
      <c r="C1049" s="22" t="inlineStr">
        <is>
          <t>METİN ŞİRİN</t>
        </is>
      </c>
      <c r="D1049" s="21" t="inlineStr">
        <is>
          <t>34 EGR 922</t>
        </is>
      </c>
      <c r="E1049" s="21" t="inlineStr">
        <is>
          <t>GÜRAY KOYUNCU</t>
        </is>
      </c>
      <c r="F1049" s="23" t="n">
        <v>438148</v>
      </c>
      <c r="G1049" s="138" t="n"/>
      <c r="H1049" s="138" t="n">
        <v>320</v>
      </c>
      <c r="I1049" s="138">
        <f>+I1048+(G1049-H1049)</f>
        <v/>
      </c>
      <c r="J1049" s="139" t="n">
        <v>38.533</v>
      </c>
      <c r="K1049" s="140" t="n"/>
      <c r="L1049" s="140">
        <f>+H1049*J1049</f>
        <v/>
      </c>
      <c r="M1049" s="141">
        <f>SUM(M1048+K1049-L1049)</f>
        <v/>
      </c>
    </row>
    <row r="1050">
      <c r="A1050" s="20" t="n">
        <v>45727</v>
      </c>
      <c r="B1050" s="21" t="n">
        <v>14156</v>
      </c>
      <c r="C1050" s="22" t="inlineStr">
        <is>
          <t>AZGÜN YAPI</t>
        </is>
      </c>
      <c r="D1050" s="21" t="inlineStr">
        <is>
          <t>34 DTV 263</t>
        </is>
      </c>
      <c r="E1050" s="21" t="inlineStr">
        <is>
          <t>EDİP TORLAK</t>
        </is>
      </c>
      <c r="F1050" s="23" t="n">
        <v>364257</v>
      </c>
      <c r="G1050" s="138" t="n"/>
      <c r="H1050" s="138" t="n">
        <v>242</v>
      </c>
      <c r="I1050" s="138">
        <f>+I1049+(G1050-H1050)</f>
        <v/>
      </c>
      <c r="J1050" s="139" t="n">
        <v>38.533</v>
      </c>
      <c r="K1050" s="140" t="n"/>
      <c r="L1050" s="140">
        <f>+H1050*J1050</f>
        <v/>
      </c>
      <c r="M1050" s="141">
        <f>SUM(M1049+K1050-L1050)</f>
        <v/>
      </c>
    </row>
    <row r="1051">
      <c r="A1051" s="20" t="n">
        <v>45727</v>
      </c>
      <c r="B1051" s="1" t="n">
        <v>14972</v>
      </c>
      <c r="C1051" s="2" t="inlineStr">
        <is>
          <t>HASALTUN</t>
        </is>
      </c>
      <c r="D1051" s="1" t="inlineStr">
        <is>
          <t>SM 350</t>
        </is>
      </c>
      <c r="E1051" s="1" t="inlineStr">
        <is>
          <t>TEVFİK ÖZTÜRK</t>
        </is>
      </c>
      <c r="F1051" s="3" t="n"/>
      <c r="G1051" s="143" t="n"/>
      <c r="H1051" s="143" t="n">
        <v>273</v>
      </c>
      <c r="I1051" s="143">
        <f>+I1050+(G1051-H1051)</f>
        <v/>
      </c>
      <c r="J1051" s="144" t="n">
        <v>38.533</v>
      </c>
      <c r="K1051" s="145" t="n"/>
      <c r="L1051" s="140">
        <f>+H1051*J1051</f>
        <v/>
      </c>
      <c r="M1051" s="141">
        <f>SUM(M1050+K1051-L1051)</f>
        <v/>
      </c>
    </row>
    <row r="1052">
      <c r="A1052" s="20" t="n">
        <v>45727</v>
      </c>
      <c r="B1052" s="1" t="n">
        <v>14973</v>
      </c>
      <c r="C1052" s="2" t="inlineStr">
        <is>
          <t>VARLIK</t>
        </is>
      </c>
      <c r="D1052" s="1" t="inlineStr">
        <is>
          <t>SM 300</t>
        </is>
      </c>
      <c r="E1052" s="1" t="inlineStr">
        <is>
          <t>TURGUT SANCAK</t>
        </is>
      </c>
      <c r="F1052" s="3" t="n"/>
      <c r="G1052" s="143" t="n"/>
      <c r="H1052" s="143" t="n">
        <v>232</v>
      </c>
      <c r="I1052" s="143">
        <f>+I1051+(G1052-H1052)</f>
        <v/>
      </c>
      <c r="J1052" s="144" t="n">
        <v>38.533</v>
      </c>
      <c r="K1052" s="145" t="n"/>
      <c r="L1052" s="140">
        <f>+H1052*J1052</f>
        <v/>
      </c>
      <c r="M1052" s="141">
        <f>SUM(M1051+K1052-L1052)</f>
        <v/>
      </c>
    </row>
    <row r="1053">
      <c r="A1053" s="20" t="n">
        <v>45727</v>
      </c>
      <c r="B1053" s="1" t="n">
        <v>14974</v>
      </c>
      <c r="C1053" s="2" t="inlineStr">
        <is>
          <t>VARLIK</t>
        </is>
      </c>
      <c r="D1053" s="1" t="inlineStr">
        <is>
          <t>SM 350</t>
        </is>
      </c>
      <c r="E1053" s="1" t="inlineStr">
        <is>
          <t>BAYRAM SANCAK</t>
        </is>
      </c>
      <c r="F1053" s="3" t="n"/>
      <c r="G1053" s="143" t="n"/>
      <c r="H1053" s="143" t="n">
        <v>349</v>
      </c>
      <c r="I1053" s="143">
        <f>+I1052+(G1053-H1053)</f>
        <v/>
      </c>
      <c r="J1053" s="144" t="n">
        <v>38.533</v>
      </c>
      <c r="K1053" s="145" t="n"/>
      <c r="L1053" s="140">
        <f>+H1053*J1053</f>
        <v/>
      </c>
      <c r="M1053" s="141">
        <f>SUM(M1052+K1053-L1053)</f>
        <v/>
      </c>
    </row>
    <row r="1054">
      <c r="A1054" s="20" t="n">
        <v>45727</v>
      </c>
      <c r="B1054" s="1" t="n">
        <v>14975</v>
      </c>
      <c r="C1054" s="2" t="inlineStr">
        <is>
          <t>HASALTUN</t>
        </is>
      </c>
      <c r="D1054" s="1" t="inlineStr">
        <is>
          <t>KAVAZAKİ</t>
        </is>
      </c>
      <c r="E1054" s="1" t="inlineStr">
        <is>
          <t>UFUK SEVAL</t>
        </is>
      </c>
      <c r="F1054" s="3" t="n"/>
      <c r="G1054" s="143" t="n"/>
      <c r="H1054" s="143" t="n">
        <v>143</v>
      </c>
      <c r="I1054" s="143">
        <f>+I1053+(G1054-H1054)</f>
        <v/>
      </c>
      <c r="J1054" s="144" t="n">
        <v>38.533</v>
      </c>
      <c r="K1054" s="145" t="n"/>
      <c r="L1054" s="140">
        <f>+H1054*J1054</f>
        <v/>
      </c>
      <c r="M1054" s="141">
        <f>SUM(M1053+K1054-L1054)</f>
        <v/>
      </c>
    </row>
    <row r="1055">
      <c r="A1055" s="20" t="n">
        <v>45727</v>
      </c>
      <c r="B1055" s="1" t="n">
        <v>14976</v>
      </c>
      <c r="C1055" s="2" t="inlineStr">
        <is>
          <t>HASALTUN</t>
        </is>
      </c>
      <c r="D1055" s="1" t="inlineStr">
        <is>
          <t>SM 370</t>
        </is>
      </c>
      <c r="E1055" s="1" t="inlineStr">
        <is>
          <t>RAMAZAN KAYA</t>
        </is>
      </c>
      <c r="F1055" s="3" t="n"/>
      <c r="G1055" s="143" t="n"/>
      <c r="H1055" s="143" t="n">
        <v>378</v>
      </c>
      <c r="I1055" s="143">
        <f>+I1054+(G1055-H1055)</f>
        <v/>
      </c>
      <c r="J1055" s="144" t="n">
        <v>38.533</v>
      </c>
      <c r="K1055" s="145" t="n"/>
      <c r="L1055" s="140">
        <f>+H1055*J1055</f>
        <v/>
      </c>
      <c r="M1055" s="141">
        <f>SUM(M1054+K1055-L1055)</f>
        <v/>
      </c>
    </row>
    <row r="1056">
      <c r="A1056" s="20" t="n">
        <v>45728</v>
      </c>
      <c r="B1056" s="21" t="n">
        <v>14056</v>
      </c>
      <c r="C1056" s="22" t="inlineStr">
        <is>
          <t>SELİM İNŞAAT</t>
        </is>
      </c>
      <c r="D1056" s="21" t="inlineStr">
        <is>
          <t>34 EDB 659</t>
        </is>
      </c>
      <c r="E1056" s="21" t="inlineStr">
        <is>
          <t>MEHMET SAİT ANIK</t>
        </is>
      </c>
      <c r="F1056" s="23" t="n">
        <v>319785</v>
      </c>
      <c r="G1056" s="138" t="n"/>
      <c r="H1056" s="138" t="n">
        <v>415</v>
      </c>
      <c r="I1056" s="138">
        <f>+I1055+(G1056-H1056)</f>
        <v/>
      </c>
      <c r="J1056" s="139" t="n">
        <v>38.533</v>
      </c>
      <c r="K1056" s="140" t="n"/>
      <c r="L1056" s="140">
        <f>+H1056*J1056</f>
        <v/>
      </c>
      <c r="M1056" s="141">
        <f>SUM(M1055+K1056-L1056)</f>
        <v/>
      </c>
    </row>
    <row r="1057">
      <c r="A1057" s="20" t="n">
        <v>45728</v>
      </c>
      <c r="B1057" s="21" t="n">
        <v>10211</v>
      </c>
      <c r="C1057" s="22" t="inlineStr">
        <is>
          <t>SELİM İNŞAAT</t>
        </is>
      </c>
      <c r="D1057" s="21" t="inlineStr">
        <is>
          <t>34 DSN 621</t>
        </is>
      </c>
      <c r="E1057" s="21" t="inlineStr">
        <is>
          <t>MUSTAFA KAYA</t>
        </is>
      </c>
      <c r="F1057" s="23" t="n">
        <v>393210</v>
      </c>
      <c r="G1057" s="138" t="n"/>
      <c r="H1057" s="138" t="n">
        <v>452</v>
      </c>
      <c r="I1057" s="138">
        <f>+I1056+(G1057-H1057)</f>
        <v/>
      </c>
      <c r="J1057" s="139" t="n">
        <v>38.533</v>
      </c>
      <c r="K1057" s="140" t="n"/>
      <c r="L1057" s="140">
        <f>+H1057*J1057</f>
        <v/>
      </c>
      <c r="M1057" s="141">
        <f>SUM(M1056+K1057-L1057)</f>
        <v/>
      </c>
    </row>
    <row r="1058">
      <c r="A1058" s="20" t="n">
        <v>45728</v>
      </c>
      <c r="B1058" s="21" t="n">
        <v>11129</v>
      </c>
      <c r="C1058" s="22" t="inlineStr">
        <is>
          <t>SELİM İNŞAAT</t>
        </is>
      </c>
      <c r="D1058" s="21" t="inlineStr">
        <is>
          <t>34 DTV 409</t>
        </is>
      </c>
      <c r="E1058" s="21" t="inlineStr">
        <is>
          <t xml:space="preserve">ONUR CANLI </t>
        </is>
      </c>
      <c r="F1058" s="23" t="n">
        <v>398389</v>
      </c>
      <c r="G1058" s="138" t="n"/>
      <c r="H1058" s="138" t="n">
        <v>236</v>
      </c>
      <c r="I1058" s="138">
        <f>+I1057+(G1058-H1058)</f>
        <v/>
      </c>
      <c r="J1058" s="139" t="n">
        <v>38.533</v>
      </c>
      <c r="K1058" s="140" t="n"/>
      <c r="L1058" s="140">
        <f>+H1058*J1058</f>
        <v/>
      </c>
      <c r="M1058" s="141">
        <f>SUM(M1057+K1058-L1058)</f>
        <v/>
      </c>
    </row>
    <row r="1059">
      <c r="A1059" s="20" t="n">
        <v>45728</v>
      </c>
      <c r="B1059" s="21" t="n">
        <v>10283</v>
      </c>
      <c r="C1059" s="22" t="inlineStr">
        <is>
          <t>SELİM İNŞAAT</t>
        </is>
      </c>
      <c r="D1059" s="21" t="inlineStr">
        <is>
          <t>34 FBR 748</t>
        </is>
      </c>
      <c r="E1059" s="21" t="inlineStr">
        <is>
          <t>YAŞAR ÖZKAYA</t>
        </is>
      </c>
      <c r="F1059" s="23" t="n">
        <v>264771</v>
      </c>
      <c r="G1059" s="138" t="n"/>
      <c r="H1059" s="138" t="n">
        <v>364</v>
      </c>
      <c r="I1059" s="138">
        <f>+I1058+(G1059-H1059)</f>
        <v/>
      </c>
      <c r="J1059" s="139" t="n">
        <v>38.533</v>
      </c>
      <c r="K1059" s="140" t="n"/>
      <c r="L1059" s="140">
        <f>+H1059*J1059</f>
        <v/>
      </c>
      <c r="M1059" s="141">
        <f>SUM(M1058+K1059-L1059)</f>
        <v/>
      </c>
    </row>
    <row r="1060">
      <c r="A1060" s="20" t="n">
        <v>45728</v>
      </c>
      <c r="B1060" s="21" t="n">
        <v>10430</v>
      </c>
      <c r="C1060" s="22" t="inlineStr">
        <is>
          <t>SELİM İNŞAAT</t>
        </is>
      </c>
      <c r="D1060" s="21" t="inlineStr">
        <is>
          <t>34 FBR 781</t>
        </is>
      </c>
      <c r="E1060" s="21" t="inlineStr">
        <is>
          <t>MEVLÜT POLAT</t>
        </is>
      </c>
      <c r="F1060" s="23" t="n">
        <v>282065</v>
      </c>
      <c r="G1060" s="138" t="n"/>
      <c r="H1060" s="138" t="n">
        <v>366</v>
      </c>
      <c r="I1060" s="138">
        <f>+I1059+(G1060-H1060)</f>
        <v/>
      </c>
      <c r="J1060" s="139" t="n">
        <v>38.533</v>
      </c>
      <c r="K1060" s="140" t="n"/>
      <c r="L1060" s="140">
        <f>+H1060*J1060</f>
        <v/>
      </c>
      <c r="M1060" s="141">
        <f>SUM(M1059+K1060-L1060)</f>
        <v/>
      </c>
    </row>
    <row r="1061">
      <c r="A1061" s="20" t="n">
        <v>45728</v>
      </c>
      <c r="B1061" s="21" t="n">
        <v>10993</v>
      </c>
      <c r="C1061" s="22" t="inlineStr">
        <is>
          <t>SELİM İNŞAAT</t>
        </is>
      </c>
      <c r="D1061" s="21" t="inlineStr">
        <is>
          <t>34 GVZ 199</t>
        </is>
      </c>
      <c r="E1061" s="21" t="inlineStr">
        <is>
          <t>VAHDET GÜRLER</t>
        </is>
      </c>
      <c r="F1061" s="23" t="n">
        <v>159748</v>
      </c>
      <c r="G1061" s="138" t="n"/>
      <c r="H1061" s="138" t="n">
        <v>290</v>
      </c>
      <c r="I1061" s="138">
        <f>+I1060+(G1061-H1061)</f>
        <v/>
      </c>
      <c r="J1061" s="139" t="n">
        <v>38.533</v>
      </c>
      <c r="K1061" s="140" t="n"/>
      <c r="L1061" s="140">
        <f>+H1061*J1061</f>
        <v/>
      </c>
      <c r="M1061" s="141">
        <f>SUM(M1060+K1061-L1061)</f>
        <v/>
      </c>
    </row>
    <row r="1062">
      <c r="A1062" s="20" t="n">
        <v>45728</v>
      </c>
      <c r="B1062" s="21" t="n">
        <v>11916</v>
      </c>
      <c r="C1062" s="22" t="inlineStr">
        <is>
          <t>SELİM İNŞAAT</t>
        </is>
      </c>
      <c r="D1062" s="21" t="inlineStr">
        <is>
          <t>34 FBR 742</t>
        </is>
      </c>
      <c r="E1062" s="21" t="inlineStr">
        <is>
          <t>MİKAİL BAYILMAZ</t>
        </is>
      </c>
      <c r="F1062" s="23" t="n">
        <v>297673</v>
      </c>
      <c r="G1062" s="138" t="n"/>
      <c r="H1062" s="138" t="n">
        <v>200</v>
      </c>
      <c r="I1062" s="138">
        <f>+I1061+(G1062-H1062)</f>
        <v/>
      </c>
      <c r="J1062" s="139" t="n">
        <v>38.533</v>
      </c>
      <c r="K1062" s="140" t="n"/>
      <c r="L1062" s="140">
        <f>+H1062*J1062</f>
        <v/>
      </c>
      <c r="M1062" s="141">
        <f>SUM(M1061+K1062-L1062)</f>
        <v/>
      </c>
    </row>
    <row r="1063">
      <c r="A1063" s="20" t="n">
        <v>45728</v>
      </c>
      <c r="B1063" s="21" t="n">
        <v>14007</v>
      </c>
      <c r="C1063" s="22" t="inlineStr">
        <is>
          <t>SELİM İNŞAAT</t>
        </is>
      </c>
      <c r="D1063" s="21" t="inlineStr">
        <is>
          <t>34 GVZ 310</t>
        </is>
      </c>
      <c r="E1063" s="21" t="inlineStr">
        <is>
          <t>CELAL YÜZBAŞI</t>
        </is>
      </c>
      <c r="F1063" s="23" t="n">
        <v>174903</v>
      </c>
      <c r="G1063" s="138" t="n"/>
      <c r="H1063" s="138" t="n">
        <v>307</v>
      </c>
      <c r="I1063" s="138">
        <f>+I1062+(G1063-H1063)</f>
        <v/>
      </c>
      <c r="J1063" s="139" t="n">
        <v>38.533</v>
      </c>
      <c r="K1063" s="140" t="n"/>
      <c r="L1063" s="140">
        <f>+H1063*J1063</f>
        <v/>
      </c>
      <c r="M1063" s="141">
        <f>SUM(M1062+K1063-L1063)</f>
        <v/>
      </c>
    </row>
    <row r="1064">
      <c r="A1064" s="20" t="n">
        <v>45728</v>
      </c>
      <c r="B1064" s="21" t="n">
        <v>14206</v>
      </c>
      <c r="C1064" s="22" t="inlineStr">
        <is>
          <t>SELİM İNŞAAT</t>
        </is>
      </c>
      <c r="D1064" s="21" t="inlineStr">
        <is>
          <t xml:space="preserve">34 GUS 938 </t>
        </is>
      </c>
      <c r="E1064" s="21" t="inlineStr">
        <is>
          <t>MEHMET KAYA</t>
        </is>
      </c>
      <c r="F1064" s="23" t="n">
        <v>165459</v>
      </c>
      <c r="G1064" s="138" t="n"/>
      <c r="H1064" s="138" t="n">
        <v>288</v>
      </c>
      <c r="I1064" s="138">
        <f>+I1063+(G1064-H1064)</f>
        <v/>
      </c>
      <c r="J1064" s="139" t="n">
        <v>38.533</v>
      </c>
      <c r="K1064" s="140" t="n"/>
      <c r="L1064" s="140">
        <f>+H1064*J1064</f>
        <v/>
      </c>
      <c r="M1064" s="141">
        <f>SUM(M1063+K1064-L1064)</f>
        <v/>
      </c>
    </row>
    <row r="1065">
      <c r="A1065" s="20" t="n">
        <v>45728</v>
      </c>
      <c r="B1065" s="21" t="n">
        <v>11723</v>
      </c>
      <c r="C1065" s="22" t="inlineStr">
        <is>
          <t>SELİM İNŞAAT</t>
        </is>
      </c>
      <c r="D1065" s="21" t="inlineStr">
        <is>
          <t>34 EDB 559</t>
        </is>
      </c>
      <c r="E1065" s="21" t="inlineStr">
        <is>
          <t>CEM MUHTAR</t>
        </is>
      </c>
      <c r="F1065" s="23" t="n">
        <v>308461</v>
      </c>
      <c r="G1065" s="138" t="n"/>
      <c r="H1065" s="138" t="n">
        <v>450</v>
      </c>
      <c r="I1065" s="138">
        <f>+I1064+(G1065-H1065)</f>
        <v/>
      </c>
      <c r="J1065" s="139" t="n">
        <v>38.533</v>
      </c>
      <c r="K1065" s="140" t="n"/>
      <c r="L1065" s="140">
        <f>+H1065*J1065</f>
        <v/>
      </c>
      <c r="M1065" s="141">
        <f>SUM(M1064+K1065-L1065)</f>
        <v/>
      </c>
    </row>
    <row r="1066">
      <c r="A1066" s="20" t="n">
        <v>45728</v>
      </c>
      <c r="B1066" s="21" t="n">
        <v>9794</v>
      </c>
      <c r="C1066" s="22" t="inlineStr">
        <is>
          <t>SELİM İNŞAAT</t>
        </is>
      </c>
      <c r="D1066" s="21" t="inlineStr">
        <is>
          <t>34 GVZ 268</t>
        </is>
      </c>
      <c r="E1066" s="21" t="inlineStr">
        <is>
          <t>KERİM KARAMAN</t>
        </is>
      </c>
      <c r="F1066" s="23" t="n">
        <v>170898</v>
      </c>
      <c r="G1066" s="138" t="n"/>
      <c r="H1066" s="138" t="n">
        <v>297</v>
      </c>
      <c r="I1066" s="138">
        <f>+I1065+(G1066-H1066)</f>
        <v/>
      </c>
      <c r="J1066" s="139" t="n">
        <v>38.533</v>
      </c>
      <c r="K1066" s="140" t="n"/>
      <c r="L1066" s="140">
        <f>+H1066*J1066</f>
        <v/>
      </c>
      <c r="M1066" s="141">
        <f>SUM(M1065+K1066-L1066)</f>
        <v/>
      </c>
    </row>
    <row r="1067">
      <c r="A1067" s="20" t="n">
        <v>45728</v>
      </c>
      <c r="B1067" s="21" t="n">
        <v>21289</v>
      </c>
      <c r="C1067" s="22" t="inlineStr">
        <is>
          <t>SELİM İNŞAAT</t>
        </is>
      </c>
      <c r="D1067" s="21" t="inlineStr">
        <is>
          <t>34 DTV 447</t>
        </is>
      </c>
      <c r="E1067" s="21" t="inlineStr">
        <is>
          <t>EBUBEKİR KOLDAŞ</t>
        </is>
      </c>
      <c r="F1067" s="23" t="n">
        <v>416910</v>
      </c>
      <c r="G1067" s="138" t="n"/>
      <c r="H1067" s="138" t="n">
        <v>338</v>
      </c>
      <c r="I1067" s="138">
        <f>+I1066+(G1067-H1067)</f>
        <v/>
      </c>
      <c r="J1067" s="139" t="n">
        <v>38.533</v>
      </c>
      <c r="K1067" s="140" t="n"/>
      <c r="L1067" s="140">
        <f>+H1067*J1067</f>
        <v/>
      </c>
      <c r="M1067" s="141">
        <f>SUM(M1066+K1067-L1067)</f>
        <v/>
      </c>
    </row>
    <row r="1068">
      <c r="A1068" s="20" t="n">
        <v>45728</v>
      </c>
      <c r="B1068" s="21" t="n">
        <v>21484</v>
      </c>
      <c r="C1068" s="22" t="inlineStr">
        <is>
          <t>SELİM İNŞAAT</t>
        </is>
      </c>
      <c r="D1068" s="21" t="inlineStr">
        <is>
          <t>34 GVZ 635</t>
        </is>
      </c>
      <c r="E1068" s="21" t="inlineStr">
        <is>
          <t>ENGİN DEMİR</t>
        </is>
      </c>
      <c r="F1068" s="23" t="n">
        <v>153023</v>
      </c>
      <c r="G1068" s="138" t="n"/>
      <c r="H1068" s="138" t="n">
        <v>296</v>
      </c>
      <c r="I1068" s="138">
        <f>+I1067+(G1068-H1068)</f>
        <v/>
      </c>
      <c r="J1068" s="139" t="n">
        <v>38.533</v>
      </c>
      <c r="K1068" s="140" t="n"/>
      <c r="L1068" s="140">
        <f>+H1068*J1068</f>
        <v/>
      </c>
      <c r="M1068" s="141">
        <f>SUM(M1067+K1068-L1068)</f>
        <v/>
      </c>
    </row>
    <row r="1069">
      <c r="A1069" s="20" t="n">
        <v>45728</v>
      </c>
      <c r="B1069" s="21" t="n">
        <v>10770</v>
      </c>
      <c r="C1069" s="22" t="inlineStr">
        <is>
          <t>SELİM İNŞAAT</t>
        </is>
      </c>
      <c r="D1069" s="21" t="inlineStr">
        <is>
          <t>34 FBR 705</t>
        </is>
      </c>
      <c r="E1069" s="21" t="inlineStr">
        <is>
          <t>MESUT GÜRLER</t>
        </is>
      </c>
      <c r="F1069" s="23" t="n">
        <v>292485</v>
      </c>
      <c r="G1069" s="138" t="n"/>
      <c r="H1069" s="138" t="n">
        <v>454</v>
      </c>
      <c r="I1069" s="138">
        <f>+I1068+(G1069-H1069)</f>
        <v/>
      </c>
      <c r="J1069" s="139" t="n">
        <v>38.533</v>
      </c>
      <c r="K1069" s="140" t="n"/>
      <c r="L1069" s="140">
        <f>+H1069*J1069</f>
        <v/>
      </c>
      <c r="M1069" s="141">
        <f>SUM(M1068+K1069-L1069)</f>
        <v/>
      </c>
    </row>
    <row r="1070">
      <c r="A1070" s="20" t="n">
        <v>45728</v>
      </c>
      <c r="B1070" s="21" t="n">
        <v>11997</v>
      </c>
      <c r="C1070" s="22" t="inlineStr">
        <is>
          <t>SELİM İNŞAAT</t>
        </is>
      </c>
      <c r="D1070" s="21" t="inlineStr">
        <is>
          <t>34 DKL 798</t>
        </is>
      </c>
      <c r="E1070" s="21" t="inlineStr">
        <is>
          <t>VOLKAN YANAR</t>
        </is>
      </c>
      <c r="F1070" s="23" t="n">
        <v>61948</v>
      </c>
      <c r="G1070" s="138" t="n"/>
      <c r="H1070" s="138" t="n">
        <v>115</v>
      </c>
      <c r="I1070" s="138">
        <f>+I1069+(G1070-H1070)</f>
        <v/>
      </c>
      <c r="J1070" s="139" t="n">
        <v>38.533</v>
      </c>
      <c r="K1070" s="140" t="n"/>
      <c r="L1070" s="140">
        <f>+H1070*J1070</f>
        <v/>
      </c>
      <c r="M1070" s="141">
        <f>SUM(M1069+K1070-L1070)</f>
        <v/>
      </c>
    </row>
    <row r="1071">
      <c r="A1071" s="20" t="n">
        <v>45728</v>
      </c>
      <c r="B1071" s="21" t="n">
        <v>20188</v>
      </c>
      <c r="C1071" s="22" t="inlineStr">
        <is>
          <t>SELİM İNŞAAT</t>
        </is>
      </c>
      <c r="D1071" s="21" t="inlineStr">
        <is>
          <t>34 JGR 15</t>
        </is>
      </c>
      <c r="E1071" s="21" t="inlineStr">
        <is>
          <t>MUHAMMER ÇAMLI</t>
        </is>
      </c>
      <c r="F1071" s="23" t="n">
        <v>306288</v>
      </c>
      <c r="G1071" s="138" t="n"/>
      <c r="H1071" s="138" t="n">
        <v>59</v>
      </c>
      <c r="I1071" s="138">
        <f>+I1070+(G1071-H1071)</f>
        <v/>
      </c>
      <c r="J1071" s="139" t="n">
        <v>38.533</v>
      </c>
      <c r="K1071" s="140" t="n"/>
      <c r="L1071" s="140">
        <f>+H1071*J1071</f>
        <v/>
      </c>
      <c r="M1071" s="141">
        <f>SUM(M1070+K1071-L1071)</f>
        <v/>
      </c>
    </row>
    <row r="1072">
      <c r="A1072" s="20" t="n">
        <v>45728</v>
      </c>
      <c r="B1072" s="21" t="n">
        <v>14603</v>
      </c>
      <c r="C1072" s="22" t="inlineStr">
        <is>
          <t>SELİM İNŞAAT</t>
        </is>
      </c>
      <c r="D1072" s="21" t="inlineStr">
        <is>
          <t>34 GER 445</t>
        </is>
      </c>
      <c r="E1072" s="21" t="inlineStr">
        <is>
          <t>HASAN BAYCAN</t>
        </is>
      </c>
      <c r="F1072" s="23" t="n">
        <v>38827</v>
      </c>
      <c r="G1072" s="138" t="n"/>
      <c r="H1072" s="138" t="n">
        <v>198</v>
      </c>
      <c r="I1072" s="138">
        <f>+I1071+(G1072-H1072)</f>
        <v/>
      </c>
      <c r="J1072" s="139" t="n">
        <v>38.533</v>
      </c>
      <c r="K1072" s="140" t="n"/>
      <c r="L1072" s="140">
        <f>+H1072*J1072</f>
        <v/>
      </c>
      <c r="M1072" s="141">
        <f>SUM(M1071+K1072-L1072)</f>
        <v/>
      </c>
    </row>
    <row r="1073">
      <c r="A1073" s="20" t="n">
        <v>45728</v>
      </c>
      <c r="B1073" s="21" t="n">
        <v>10028</v>
      </c>
      <c r="C1073" s="22" t="inlineStr">
        <is>
          <t>METİN ERYİĞİT</t>
        </is>
      </c>
      <c r="D1073" s="21" t="inlineStr">
        <is>
          <t>34 EGS 013</t>
        </is>
      </c>
      <c r="E1073" s="21" t="inlineStr">
        <is>
          <t>UĞUR DUMAN</t>
        </is>
      </c>
      <c r="F1073" s="23" t="n">
        <v>467855</v>
      </c>
      <c r="G1073" s="138" t="n"/>
      <c r="H1073" s="138" t="n">
        <v>298</v>
      </c>
      <c r="I1073" s="138">
        <f>+I1072+(G1073-H1073)</f>
        <v/>
      </c>
      <c r="J1073" s="139" t="n">
        <v>38.533</v>
      </c>
      <c r="K1073" s="140" t="n"/>
      <c r="L1073" s="140">
        <f>+H1073*J1073</f>
        <v/>
      </c>
      <c r="M1073" s="141">
        <f>SUM(M1072+K1073-L1073)</f>
        <v/>
      </c>
    </row>
    <row r="1074">
      <c r="A1074" s="20" t="n">
        <v>45728</v>
      </c>
      <c r="B1074" s="21" t="n">
        <v>11364</v>
      </c>
      <c r="C1074" s="22" t="inlineStr">
        <is>
          <t>AZGÜN YAPI</t>
        </is>
      </c>
      <c r="D1074" s="21" t="inlineStr">
        <is>
          <t>34 MKT 593</t>
        </is>
      </c>
      <c r="E1074" s="21" t="inlineStr">
        <is>
          <t>HASAN ALTUN</t>
        </is>
      </c>
      <c r="F1074" s="23" t="n">
        <v>15980</v>
      </c>
      <c r="G1074" s="138" t="n"/>
      <c r="H1074" s="138" t="n">
        <v>990</v>
      </c>
      <c r="I1074" s="138">
        <f>+I1073+(G1074-H1074)</f>
        <v/>
      </c>
      <c r="J1074" s="139" t="n">
        <v>38.533</v>
      </c>
      <c r="K1074" s="140" t="n"/>
      <c r="L1074" s="140">
        <f>+H1074*J1074</f>
        <v/>
      </c>
      <c r="M1074" s="141">
        <f>SUM(M1073+K1074-L1074)</f>
        <v/>
      </c>
    </row>
    <row r="1075">
      <c r="A1075" s="20" t="n">
        <v>45728</v>
      </c>
      <c r="B1075" s="1" t="n">
        <v>14977</v>
      </c>
      <c r="C1075" s="2" t="inlineStr">
        <is>
          <t>VARLIK</t>
        </is>
      </c>
      <c r="D1075" s="1" t="inlineStr">
        <is>
          <t>SM 350</t>
        </is>
      </c>
      <c r="E1075" s="1" t="inlineStr">
        <is>
          <t>BAYRAM SANCAK</t>
        </is>
      </c>
      <c r="F1075" s="3" t="n"/>
      <c r="G1075" s="143" t="n"/>
      <c r="H1075" s="143" t="n">
        <v>143</v>
      </c>
      <c r="I1075" s="143">
        <f>+I1074+(G1075-H1075)</f>
        <v/>
      </c>
      <c r="J1075" s="144" t="n">
        <v>38.533</v>
      </c>
      <c r="K1075" s="145" t="n"/>
      <c r="L1075" s="140">
        <f>+H1075*J1075</f>
        <v/>
      </c>
      <c r="M1075" s="141">
        <f>SUM(M1074+K1075-L1075)</f>
        <v/>
      </c>
    </row>
    <row r="1076">
      <c r="A1076" s="20" t="n">
        <v>45728</v>
      </c>
      <c r="B1076" s="1" t="n">
        <v>14978</v>
      </c>
      <c r="C1076" s="2" t="inlineStr">
        <is>
          <t>VARLIK</t>
        </is>
      </c>
      <c r="D1076" s="1" t="inlineStr">
        <is>
          <t>KAVAZAKİ</t>
        </is>
      </c>
      <c r="E1076" s="1" t="inlineStr">
        <is>
          <t>UFUK SEVAL</t>
        </is>
      </c>
      <c r="F1076" s="3" t="n"/>
      <c r="G1076" s="143" t="n"/>
      <c r="H1076" s="143" t="n">
        <v>85</v>
      </c>
      <c r="I1076" s="143">
        <f>+I1075+(G1076-H1076)</f>
        <v/>
      </c>
      <c r="J1076" s="144" t="n">
        <v>38.533</v>
      </c>
      <c r="K1076" s="145" t="n"/>
      <c r="L1076" s="140">
        <f>+H1076*J1076</f>
        <v/>
      </c>
      <c r="M1076" s="141">
        <f>SUM(M1075+K1076-L1076)</f>
        <v/>
      </c>
    </row>
    <row r="1077">
      <c r="A1077" s="20" t="n">
        <v>45728</v>
      </c>
      <c r="B1077" s="1" t="n">
        <v>14979</v>
      </c>
      <c r="C1077" s="2" t="inlineStr">
        <is>
          <t>HASALTUN</t>
        </is>
      </c>
      <c r="D1077" s="1" t="inlineStr">
        <is>
          <t>SM 300</t>
        </is>
      </c>
      <c r="E1077" s="1" t="inlineStr">
        <is>
          <t>TURGUT SANCAK</t>
        </is>
      </c>
      <c r="F1077" s="3" t="n"/>
      <c r="G1077" s="143" t="n"/>
      <c r="H1077" s="143" t="n">
        <v>278</v>
      </c>
      <c r="I1077" s="143">
        <f>+I1076+(G1077-H1077)</f>
        <v/>
      </c>
      <c r="J1077" s="144" t="n">
        <v>38.533</v>
      </c>
      <c r="K1077" s="145" t="n"/>
      <c r="L1077" s="140">
        <f>+H1077*J1077</f>
        <v/>
      </c>
      <c r="M1077" s="141">
        <f>SUM(M1076+K1077-L1077)</f>
        <v/>
      </c>
    </row>
    <row r="1078">
      <c r="A1078" s="20" t="n">
        <v>45728</v>
      </c>
      <c r="B1078" s="1" t="n">
        <v>14980</v>
      </c>
      <c r="C1078" s="2" t="inlineStr">
        <is>
          <t>HASALTUN</t>
        </is>
      </c>
      <c r="D1078" s="1" t="inlineStr">
        <is>
          <t>SM 350</t>
        </is>
      </c>
      <c r="E1078" s="1" t="inlineStr">
        <is>
          <t>TEVFİK ÖZTÜRK</t>
        </is>
      </c>
      <c r="F1078" s="3" t="n"/>
      <c r="G1078" s="143" t="n"/>
      <c r="H1078" s="143" t="n">
        <v>411</v>
      </c>
      <c r="I1078" s="143">
        <f>+I1077+(G1078-H1078)</f>
        <v/>
      </c>
      <c r="J1078" s="144" t="n">
        <v>38.533</v>
      </c>
      <c r="K1078" s="145" t="n"/>
      <c r="L1078" s="140">
        <f>+H1078*J1078</f>
        <v/>
      </c>
      <c r="M1078" s="141">
        <f>SUM(M1077+K1078-L1078)</f>
        <v/>
      </c>
    </row>
    <row r="1079">
      <c r="A1079" s="20" t="n">
        <v>45728</v>
      </c>
      <c r="B1079" s="1" t="n">
        <v>14981</v>
      </c>
      <c r="C1079" s="2" t="inlineStr">
        <is>
          <t>HASALTUN</t>
        </is>
      </c>
      <c r="D1079" s="1" t="inlineStr">
        <is>
          <t>SM 370</t>
        </is>
      </c>
      <c r="E1079" s="1" t="inlineStr">
        <is>
          <t>RAMAZAN KAYA</t>
        </is>
      </c>
      <c r="F1079" s="3" t="n"/>
      <c r="G1079" s="143" t="n"/>
      <c r="H1079" s="143" t="n">
        <v>337</v>
      </c>
      <c r="I1079" s="143">
        <f>+I1078+(G1079-H1079)</f>
        <v/>
      </c>
      <c r="J1079" s="144" t="n">
        <v>38.533</v>
      </c>
      <c r="K1079" s="145" t="n"/>
      <c r="L1079" s="140">
        <f>+H1079*J1079</f>
        <v/>
      </c>
      <c r="M1079" s="141">
        <f>SUM(M1078+K1079-L1079)</f>
        <v/>
      </c>
    </row>
    <row r="1080">
      <c r="A1080" s="20" t="n">
        <v>45729</v>
      </c>
      <c r="B1080" s="21" t="n">
        <v>14058</v>
      </c>
      <c r="C1080" s="22" t="inlineStr">
        <is>
          <t>SELİM İNŞAAT</t>
        </is>
      </c>
      <c r="D1080" s="21" t="inlineStr">
        <is>
          <t>34 EDB 659</t>
        </is>
      </c>
      <c r="E1080" s="21" t="inlineStr">
        <is>
          <t>MEHMET SAİT ANIK</t>
        </is>
      </c>
      <c r="F1080" s="23" t="n">
        <v>320250</v>
      </c>
      <c r="G1080" s="138" t="n"/>
      <c r="H1080" s="138" t="n">
        <v>200</v>
      </c>
      <c r="I1080" s="138">
        <f>+I1079+(G1080-H1080)</f>
        <v/>
      </c>
      <c r="J1080" s="139" t="n">
        <v>38.533</v>
      </c>
      <c r="K1080" s="140" t="n"/>
      <c r="L1080" s="140">
        <f>+H1080*J1080</f>
        <v/>
      </c>
      <c r="M1080" s="141">
        <f>SUM(M1079+K1080-L1080)</f>
        <v/>
      </c>
    </row>
    <row r="1081">
      <c r="A1081" s="20" t="n">
        <v>45729</v>
      </c>
      <c r="B1081" s="21" t="n">
        <v>11790</v>
      </c>
      <c r="C1081" s="22" t="inlineStr">
        <is>
          <t>SELİM İNŞAAT</t>
        </is>
      </c>
      <c r="D1081" s="21" t="inlineStr">
        <is>
          <t>34 EDC 086</t>
        </is>
      </c>
      <c r="E1081" s="21" t="inlineStr">
        <is>
          <t>ÖMER AĞAYAR</t>
        </is>
      </c>
      <c r="F1081" s="23" t="n">
        <v>309651</v>
      </c>
      <c r="G1081" s="138" t="n"/>
      <c r="H1081" s="138" t="n">
        <v>317</v>
      </c>
      <c r="I1081" s="138">
        <f>+I1080+(G1081-H1081)</f>
        <v/>
      </c>
      <c r="J1081" s="139" t="n">
        <v>38.533</v>
      </c>
      <c r="K1081" s="140" t="n"/>
      <c r="L1081" s="140">
        <f>+H1081*J1081</f>
        <v/>
      </c>
      <c r="M1081" s="141">
        <f>SUM(M1080+K1081-L1081)</f>
        <v/>
      </c>
    </row>
    <row r="1082">
      <c r="A1082" s="20" t="n">
        <v>45729</v>
      </c>
      <c r="B1082" s="21" t="n">
        <v>10364</v>
      </c>
      <c r="C1082" s="22" t="inlineStr">
        <is>
          <t>SELİM İNŞAAT</t>
        </is>
      </c>
      <c r="D1082" s="21" t="inlineStr">
        <is>
          <t>34 DRU 690</t>
        </is>
      </c>
      <c r="E1082" s="21" t="inlineStr">
        <is>
          <t>HÜSEYİN AKÇİN</t>
        </is>
      </c>
      <c r="F1082" s="23" t="n">
        <v>395490</v>
      </c>
      <c r="G1082" s="138" t="n"/>
      <c r="H1082" s="138" t="n">
        <v>430</v>
      </c>
      <c r="I1082" s="138">
        <f>+I1081+(G1082-H1082)</f>
        <v/>
      </c>
      <c r="J1082" s="139" t="n">
        <v>38.533</v>
      </c>
      <c r="K1082" s="140" t="n"/>
      <c r="L1082" s="140">
        <f>+H1082*J1082</f>
        <v/>
      </c>
      <c r="M1082" s="141">
        <f>SUM(M1081+K1082-L1082)</f>
        <v/>
      </c>
    </row>
    <row r="1083">
      <c r="A1083" s="20" t="n">
        <v>45729</v>
      </c>
      <c r="B1083" s="21" t="n">
        <v>10212</v>
      </c>
      <c r="C1083" s="22" t="inlineStr">
        <is>
          <t>SELİM İNŞAAT</t>
        </is>
      </c>
      <c r="D1083" s="21" t="inlineStr">
        <is>
          <t>34 DSN 621</t>
        </is>
      </c>
      <c r="E1083" s="21" t="inlineStr">
        <is>
          <t>MUSTAFA KAYA</t>
        </is>
      </c>
      <c r="F1083" s="23" t="n">
        <v>393851</v>
      </c>
      <c r="G1083" s="138" t="n"/>
      <c r="H1083" s="138" t="n">
        <v>236</v>
      </c>
      <c r="I1083" s="138">
        <f>+I1082+(G1083-H1083)</f>
        <v/>
      </c>
      <c r="J1083" s="139" t="n">
        <v>38.533</v>
      </c>
      <c r="K1083" s="140" t="n"/>
      <c r="L1083" s="140">
        <f>+H1083*J1083</f>
        <v/>
      </c>
      <c r="M1083" s="141">
        <f>SUM(M1082+K1083-L1083)</f>
        <v/>
      </c>
    </row>
    <row r="1084">
      <c r="A1084" s="20" t="n">
        <v>45729</v>
      </c>
      <c r="B1084" s="21" t="n">
        <v>11130</v>
      </c>
      <c r="C1084" s="22" t="inlineStr">
        <is>
          <t>SELİM İNŞAAT</t>
        </is>
      </c>
      <c r="D1084" s="21" t="inlineStr">
        <is>
          <t>34 DTV 409</t>
        </is>
      </c>
      <c r="E1084" s="21" t="inlineStr">
        <is>
          <t xml:space="preserve">ONUR CANLI </t>
        </is>
      </c>
      <c r="F1084" s="23" t="n">
        <v>398866</v>
      </c>
      <c r="G1084" s="138" t="n"/>
      <c r="H1084" s="138" t="n">
        <v>211</v>
      </c>
      <c r="I1084" s="138">
        <f>+I1083+(G1084-H1084)</f>
        <v/>
      </c>
      <c r="J1084" s="139" t="n">
        <v>38.533</v>
      </c>
      <c r="K1084" s="140" t="n"/>
      <c r="L1084" s="140">
        <f>+H1084*J1084</f>
        <v/>
      </c>
      <c r="M1084" s="141">
        <f>SUM(M1083+K1084-L1084)</f>
        <v/>
      </c>
    </row>
    <row r="1085">
      <c r="A1085" s="20" t="n">
        <v>45729</v>
      </c>
      <c r="B1085" s="21" t="n">
        <v>10324</v>
      </c>
      <c r="C1085" s="22" t="inlineStr">
        <is>
          <t>SELİM İNŞAAT</t>
        </is>
      </c>
      <c r="D1085" s="21" t="inlineStr">
        <is>
          <t>34 EDB 829</t>
        </is>
      </c>
      <c r="E1085" s="21" t="inlineStr">
        <is>
          <t>İSMET BAYRAM</t>
        </is>
      </c>
      <c r="F1085" s="23" t="n">
        <v>298336</v>
      </c>
      <c r="G1085" s="138" t="n"/>
      <c r="H1085" s="138" t="n">
        <v>307</v>
      </c>
      <c r="I1085" s="138">
        <f>+I1084+(G1085-H1085)</f>
        <v/>
      </c>
      <c r="J1085" s="139" t="n">
        <v>38.533</v>
      </c>
      <c r="K1085" s="140" t="n"/>
      <c r="L1085" s="140">
        <f>+H1085*J1085</f>
        <v/>
      </c>
      <c r="M1085" s="141">
        <f>SUM(M1084+K1085-L1085)</f>
        <v/>
      </c>
    </row>
    <row r="1086">
      <c r="A1086" s="20" t="n">
        <v>45729</v>
      </c>
      <c r="B1086" s="21" t="n">
        <v>11917</v>
      </c>
      <c r="C1086" s="22" t="inlineStr">
        <is>
          <t>SELİM İNŞAAT</t>
        </is>
      </c>
      <c r="D1086" s="21" t="inlineStr">
        <is>
          <t>34 FBR 742</t>
        </is>
      </c>
      <c r="E1086" s="21" t="inlineStr">
        <is>
          <t>MİKAİL BAYILMAZ</t>
        </is>
      </c>
      <c r="F1086" s="23" t="n">
        <v>297980</v>
      </c>
      <c r="G1086" s="138" t="n"/>
      <c r="H1086" s="138" t="n">
        <v>356</v>
      </c>
      <c r="I1086" s="138">
        <f>+I1085+(G1086-H1086)</f>
        <v/>
      </c>
      <c r="J1086" s="139" t="n">
        <v>38.533</v>
      </c>
      <c r="K1086" s="140" t="n"/>
      <c r="L1086" s="140">
        <f>+H1086*J1086</f>
        <v/>
      </c>
      <c r="M1086" s="141">
        <f>SUM(M1085+K1086-L1086)</f>
        <v/>
      </c>
    </row>
    <row r="1087">
      <c r="A1087" s="20" t="n">
        <v>45729</v>
      </c>
      <c r="B1087" s="21" t="n">
        <v>10631</v>
      </c>
      <c r="C1087" s="22" t="inlineStr">
        <is>
          <t>SELİM İNŞAAT</t>
        </is>
      </c>
      <c r="D1087" s="21" t="inlineStr">
        <is>
          <t>34 EDB 754</t>
        </is>
      </c>
      <c r="E1087" s="21" t="inlineStr">
        <is>
          <t>EMİN PARLAKKILIÇ</t>
        </is>
      </c>
      <c r="F1087" s="23" t="n">
        <v>304586</v>
      </c>
      <c r="G1087" s="138" t="n"/>
      <c r="H1087" s="138" t="n">
        <v>456</v>
      </c>
      <c r="I1087" s="138">
        <f>+I1086+(G1087-H1087)</f>
        <v/>
      </c>
      <c r="J1087" s="139" t="n">
        <v>38.533</v>
      </c>
      <c r="K1087" s="140" t="n"/>
      <c r="L1087" s="140">
        <f>+H1087*J1087</f>
        <v/>
      </c>
      <c r="M1087" s="141">
        <f>SUM(M1086+K1087-L1087)</f>
        <v/>
      </c>
    </row>
    <row r="1088">
      <c r="A1088" s="20" t="n">
        <v>45729</v>
      </c>
      <c r="B1088" s="21" t="n">
        <v>11279</v>
      </c>
      <c r="C1088" s="22" t="inlineStr">
        <is>
          <t>SELİM İNŞAAT</t>
        </is>
      </c>
      <c r="D1088" s="21" t="inlineStr">
        <is>
          <t>34 EDC 162</t>
        </is>
      </c>
      <c r="E1088" s="21" t="inlineStr">
        <is>
          <t xml:space="preserve">YAKUP GÜNER </t>
        </is>
      </c>
      <c r="F1088" s="23" t="n">
        <v>346221</v>
      </c>
      <c r="G1088" s="138" t="n"/>
      <c r="H1088" s="138" t="n">
        <v>343</v>
      </c>
      <c r="I1088" s="138">
        <f>+I1087+(G1088-H1088)</f>
        <v/>
      </c>
      <c r="J1088" s="139" t="n">
        <v>38.533</v>
      </c>
      <c r="K1088" s="140" t="n"/>
      <c r="L1088" s="140">
        <f>+H1088*J1088</f>
        <v/>
      </c>
      <c r="M1088" s="141">
        <f>SUM(M1087+K1088-L1088)</f>
        <v/>
      </c>
    </row>
    <row r="1089">
      <c r="A1089" s="20" t="n">
        <v>45729</v>
      </c>
      <c r="B1089" s="21" t="n">
        <v>11813</v>
      </c>
      <c r="C1089" s="22" t="inlineStr">
        <is>
          <t>SELİM İNŞAAT</t>
        </is>
      </c>
      <c r="D1089" s="21" t="inlineStr">
        <is>
          <t>34 FSG 229</t>
        </is>
      </c>
      <c r="E1089" s="21" t="inlineStr">
        <is>
          <t>SİNAN TANRIVERDİ</t>
        </is>
      </c>
      <c r="F1089" s="23" t="n">
        <v>237431</v>
      </c>
      <c r="G1089" s="138" t="n"/>
      <c r="H1089" s="138" t="n">
        <v>377</v>
      </c>
      <c r="I1089" s="138">
        <f>+I1088+(G1089-H1089)</f>
        <v/>
      </c>
      <c r="J1089" s="139" t="n">
        <v>38.533</v>
      </c>
      <c r="K1089" s="140" t="n"/>
      <c r="L1089" s="140">
        <f>+H1089*J1089</f>
        <v/>
      </c>
      <c r="M1089" s="141">
        <f>SUM(M1088+K1089-L1089)</f>
        <v/>
      </c>
    </row>
    <row r="1090">
      <c r="A1090" s="20" t="n">
        <v>45729</v>
      </c>
      <c r="B1090" s="21" t="n">
        <v>10519</v>
      </c>
      <c r="C1090" s="22" t="inlineStr">
        <is>
          <t>SELİM İNŞAAT</t>
        </is>
      </c>
      <c r="D1090" s="21" t="inlineStr">
        <is>
          <t>34 EDB 922</t>
        </is>
      </c>
      <c r="E1090" s="21" t="inlineStr">
        <is>
          <t>AHMET TOPÇU</t>
        </is>
      </c>
      <c r="F1090" s="23" t="n">
        <v>338575</v>
      </c>
      <c r="G1090" s="138" t="n"/>
      <c r="H1090" s="138" t="n">
        <v>370</v>
      </c>
      <c r="I1090" s="138">
        <f>+I1089+(G1090-H1090)</f>
        <v/>
      </c>
      <c r="J1090" s="139" t="n">
        <v>38.533</v>
      </c>
      <c r="K1090" s="140" t="n"/>
      <c r="L1090" s="140">
        <f>+H1090*J1090</f>
        <v/>
      </c>
      <c r="M1090" s="141">
        <f>SUM(M1089+K1090-L1090)</f>
        <v/>
      </c>
    </row>
    <row r="1091">
      <c r="A1091" s="20" t="n">
        <v>45729</v>
      </c>
      <c r="B1091" s="21" t="n">
        <v>10178</v>
      </c>
      <c r="C1091" s="22" t="inlineStr">
        <is>
          <t>SELİM İNŞAAT</t>
        </is>
      </c>
      <c r="D1091" s="21" t="inlineStr">
        <is>
          <t>34 EGR 736</t>
        </is>
      </c>
      <c r="E1091" s="21" t="inlineStr">
        <is>
          <t>MUHAMMER ÇAMLI</t>
        </is>
      </c>
      <c r="F1091" s="23" t="n">
        <v>367601</v>
      </c>
      <c r="G1091" s="138" t="n"/>
      <c r="H1091" s="138" t="n">
        <v>317</v>
      </c>
      <c r="I1091" s="138">
        <f>+I1090+(G1091-H1091)</f>
        <v/>
      </c>
      <c r="J1091" s="139" t="n">
        <v>38.533</v>
      </c>
      <c r="K1091" s="140" t="n"/>
      <c r="L1091" s="140">
        <f>+H1091*J1091</f>
        <v/>
      </c>
      <c r="M1091" s="141">
        <f>SUM(M1090+K1091-L1091)</f>
        <v/>
      </c>
    </row>
    <row r="1092">
      <c r="A1092" s="20" t="n">
        <v>45729</v>
      </c>
      <c r="B1092" s="21" t="n">
        <v>14104</v>
      </c>
      <c r="C1092" s="22" t="inlineStr">
        <is>
          <t>SELİM İNŞAAT</t>
        </is>
      </c>
      <c r="D1092" s="21" t="inlineStr">
        <is>
          <t>34 DSN 536</t>
        </is>
      </c>
      <c r="E1092" s="21" t="inlineStr">
        <is>
          <t>DURSUN ALİ GÜREK</t>
        </is>
      </c>
      <c r="F1092" s="23" t="n">
        <v>383985</v>
      </c>
      <c r="G1092" s="138" t="n"/>
      <c r="H1092" s="138" t="n">
        <v>307</v>
      </c>
      <c r="I1092" s="138">
        <f>+I1091+(G1092-H1092)</f>
        <v/>
      </c>
      <c r="J1092" s="139" t="n">
        <v>38.533</v>
      </c>
      <c r="K1092" s="140" t="n"/>
      <c r="L1092" s="140">
        <f>+H1092*J1092</f>
        <v/>
      </c>
      <c r="M1092" s="141">
        <f>SUM(M1091+K1092-L1092)</f>
        <v/>
      </c>
    </row>
    <row r="1093">
      <c r="A1093" s="20" t="n">
        <v>45729</v>
      </c>
      <c r="B1093" s="21" t="n">
        <v>21194</v>
      </c>
      <c r="C1093" s="22" t="inlineStr">
        <is>
          <t>SELİM İNŞAAT</t>
        </is>
      </c>
      <c r="D1093" s="21" t="inlineStr">
        <is>
          <t>34 DSN 565</t>
        </is>
      </c>
      <c r="E1093" s="21" t="inlineStr">
        <is>
          <t>ENGİN DEMİR</t>
        </is>
      </c>
      <c r="F1093" s="23" t="n">
        <v>389390</v>
      </c>
      <c r="G1093" s="138" t="n"/>
      <c r="H1093" s="138" t="n">
        <v>364</v>
      </c>
      <c r="I1093" s="138">
        <f>+I1092+(G1093-H1093)</f>
        <v/>
      </c>
      <c r="J1093" s="139" t="n">
        <v>38.533</v>
      </c>
      <c r="K1093" s="140" t="n"/>
      <c r="L1093" s="140">
        <f>+H1093*J1093</f>
        <v/>
      </c>
      <c r="M1093" s="141">
        <f>SUM(M1092+K1093-L1093)</f>
        <v/>
      </c>
    </row>
    <row r="1094">
      <c r="A1094" s="20" t="n">
        <v>45729</v>
      </c>
      <c r="B1094" s="21" t="n">
        <v>10867</v>
      </c>
      <c r="C1094" s="22" t="inlineStr">
        <is>
          <t>SELİM İNŞAAT</t>
        </is>
      </c>
      <c r="D1094" s="21" t="inlineStr">
        <is>
          <t>34 AR 7743</t>
        </is>
      </c>
      <c r="E1094" s="21" t="inlineStr">
        <is>
          <t>MEHMET SELİM</t>
        </is>
      </c>
      <c r="F1094" s="23" t="n">
        <v>351908</v>
      </c>
      <c r="G1094" s="138" t="n"/>
      <c r="H1094" s="138" t="n">
        <v>60</v>
      </c>
      <c r="I1094" s="138">
        <f>+I1093+(G1094-H1094)</f>
        <v/>
      </c>
      <c r="J1094" s="139" t="n">
        <v>38.533</v>
      </c>
      <c r="K1094" s="140" t="n"/>
      <c r="L1094" s="140">
        <f>+H1094*J1094</f>
        <v/>
      </c>
      <c r="M1094" s="141">
        <f>SUM(M1093+K1094-L1094)</f>
        <v/>
      </c>
    </row>
    <row r="1095">
      <c r="A1095" s="20" t="n">
        <v>45729</v>
      </c>
      <c r="B1095" s="21" t="n">
        <v>21134</v>
      </c>
      <c r="C1095" s="22" t="inlineStr">
        <is>
          <t>SELİM İNŞAAT</t>
        </is>
      </c>
      <c r="D1095" s="21" t="inlineStr">
        <is>
          <t>34 TG 7869</t>
        </is>
      </c>
      <c r="E1095" s="21" t="inlineStr">
        <is>
          <t>GÖRKEM KARABEL</t>
        </is>
      </c>
      <c r="F1095" s="23" t="n">
        <v>179816</v>
      </c>
      <c r="G1095" s="138" t="n"/>
      <c r="H1095" s="138" t="n">
        <v>272</v>
      </c>
      <c r="I1095" s="138">
        <f>+I1094+(G1095-H1095)</f>
        <v/>
      </c>
      <c r="J1095" s="139" t="n">
        <v>38.533</v>
      </c>
      <c r="K1095" s="140" t="n"/>
      <c r="L1095" s="140">
        <f>+H1095*J1095</f>
        <v/>
      </c>
      <c r="M1095" s="141">
        <f>SUM(M1094+K1095-L1095)</f>
        <v/>
      </c>
    </row>
    <row r="1096">
      <c r="A1096" s="20" t="n">
        <v>45729</v>
      </c>
      <c r="B1096" s="21" t="n">
        <v>11067</v>
      </c>
      <c r="C1096" s="22" t="inlineStr">
        <is>
          <t>SELİM İNŞAAT</t>
        </is>
      </c>
      <c r="D1096" s="21" t="inlineStr">
        <is>
          <t>34 HBY 763</t>
        </is>
      </c>
      <c r="E1096" s="21" t="inlineStr">
        <is>
          <t>EMİRCAN ÖZTÜRK</t>
        </is>
      </c>
      <c r="F1096" s="23" t="n">
        <v>13791</v>
      </c>
      <c r="G1096" s="138" t="n"/>
      <c r="H1096" s="138" t="n">
        <v>180</v>
      </c>
      <c r="I1096" s="138">
        <f>+I1095+(G1096-H1096)</f>
        <v/>
      </c>
      <c r="J1096" s="139" t="n">
        <v>38.533</v>
      </c>
      <c r="K1096" s="140" t="n"/>
      <c r="L1096" s="140">
        <f>+H1096*J1096</f>
        <v/>
      </c>
      <c r="M1096" s="141">
        <f>SUM(M1095+K1096-L1096)</f>
        <v/>
      </c>
    </row>
    <row r="1097">
      <c r="A1097" s="20" t="n">
        <v>45729</v>
      </c>
      <c r="B1097" s="21" t="n">
        <v>14307</v>
      </c>
      <c r="C1097" s="22" t="inlineStr">
        <is>
          <t>SELİM İNŞAAT</t>
        </is>
      </c>
      <c r="D1097" s="21" t="inlineStr">
        <is>
          <t>34 DKL 866</t>
        </is>
      </c>
      <c r="E1097" s="21" t="inlineStr">
        <is>
          <t>SELİM CAN ÖNVER</t>
        </is>
      </c>
      <c r="F1097" s="23" t="n">
        <v>61931</v>
      </c>
      <c r="G1097" s="138" t="n"/>
      <c r="H1097" s="138" t="n">
        <v>210</v>
      </c>
      <c r="I1097" s="138">
        <f>+I1096+(G1097-H1097)</f>
        <v/>
      </c>
      <c r="J1097" s="139" t="n">
        <v>38.533</v>
      </c>
      <c r="K1097" s="140" t="n"/>
      <c r="L1097" s="140">
        <f>+H1097*J1097</f>
        <v/>
      </c>
      <c r="M1097" s="141">
        <f>SUM(M1096+K1097-L1097)</f>
        <v/>
      </c>
    </row>
    <row r="1098">
      <c r="A1098" s="20" t="n">
        <v>45729</v>
      </c>
      <c r="B1098" s="21" t="n">
        <v>11893</v>
      </c>
      <c r="C1098" s="22" t="inlineStr">
        <is>
          <t>SELİM İNŞAAT</t>
        </is>
      </c>
      <c r="D1098" s="21" t="inlineStr">
        <is>
          <t>34 DFE 454</t>
        </is>
      </c>
      <c r="E1098" s="21" t="inlineStr">
        <is>
          <t>RIFAT KARATAY</t>
        </is>
      </c>
      <c r="F1098" s="23" t="n">
        <v>155547</v>
      </c>
      <c r="G1098" s="138" t="n"/>
      <c r="H1098" s="138" t="n">
        <v>256</v>
      </c>
      <c r="I1098" s="138">
        <f>+I1097+(G1098-H1098)</f>
        <v/>
      </c>
      <c r="J1098" s="139" t="n">
        <v>38.533</v>
      </c>
      <c r="K1098" s="140" t="n"/>
      <c r="L1098" s="140">
        <f>+H1098*J1098</f>
        <v/>
      </c>
      <c r="M1098" s="141">
        <f>SUM(M1097+K1098-L1098)</f>
        <v/>
      </c>
    </row>
    <row r="1099">
      <c r="A1099" s="20" t="n">
        <v>45729</v>
      </c>
      <c r="B1099" s="21" t="n">
        <v>11467</v>
      </c>
      <c r="C1099" s="22" t="inlineStr">
        <is>
          <t>METİN ŞİRİN</t>
        </is>
      </c>
      <c r="D1099" s="21" t="inlineStr">
        <is>
          <t>34 EGR 922</t>
        </is>
      </c>
      <c r="E1099" s="21" t="inlineStr">
        <is>
          <t>GÜRAY KOYUNCU</t>
        </is>
      </c>
      <c r="F1099" s="23" t="n">
        <v>438688</v>
      </c>
      <c r="G1099" s="138" t="n"/>
      <c r="H1099" s="138" t="n">
        <v>304</v>
      </c>
      <c r="I1099" s="138">
        <f>+I1098+(G1099-H1099)</f>
        <v/>
      </c>
      <c r="J1099" s="139" t="n">
        <v>38.533</v>
      </c>
      <c r="K1099" s="140" t="n"/>
      <c r="L1099" s="140">
        <f>+H1099*J1099</f>
        <v/>
      </c>
      <c r="M1099" s="141">
        <f>SUM(M1098+K1099-L1099)</f>
        <v/>
      </c>
    </row>
    <row r="1100">
      <c r="A1100" s="20" t="n">
        <v>45729</v>
      </c>
      <c r="B1100" s="21" t="n">
        <v>14157</v>
      </c>
      <c r="C1100" s="22" t="inlineStr">
        <is>
          <t>AZGÜN YAPI</t>
        </is>
      </c>
      <c r="D1100" s="21" t="inlineStr">
        <is>
          <t>34 DTV 263</t>
        </is>
      </c>
      <c r="E1100" s="21" t="inlineStr">
        <is>
          <t>EDİP TORLAK</t>
        </is>
      </c>
      <c r="F1100" s="23" t="n">
        <v>364703</v>
      </c>
      <c r="G1100" s="138" t="n"/>
      <c r="H1100" s="138" t="n">
        <v>280</v>
      </c>
      <c r="I1100" s="138">
        <f>+I1099+(G1100-H1100)</f>
        <v/>
      </c>
      <c r="J1100" s="139" t="n">
        <v>38.533</v>
      </c>
      <c r="K1100" s="140" t="n"/>
      <c r="L1100" s="140">
        <f>+H1100*J1100</f>
        <v/>
      </c>
      <c r="M1100" s="141">
        <f>SUM(M1099+K1100-L1100)</f>
        <v/>
      </c>
    </row>
    <row r="1101">
      <c r="A1101" s="20" t="n">
        <v>45729</v>
      </c>
      <c r="B1101" s="1" t="n">
        <v>14982</v>
      </c>
      <c r="C1101" s="2" t="inlineStr">
        <is>
          <t>VARLIK</t>
        </is>
      </c>
      <c r="D1101" s="1" t="inlineStr">
        <is>
          <t>SM 350</t>
        </is>
      </c>
      <c r="E1101" s="1" t="inlineStr">
        <is>
          <t>BAYRAM SANCAK</t>
        </is>
      </c>
      <c r="F1101" s="3" t="n"/>
      <c r="G1101" s="143" t="n"/>
      <c r="H1101" s="143" t="n">
        <v>222</v>
      </c>
      <c r="I1101" s="143">
        <f>+I1100+(G1101-H1101)</f>
        <v/>
      </c>
      <c r="J1101" s="144" t="n">
        <v>38.533</v>
      </c>
      <c r="K1101" s="145" t="n"/>
      <c r="L1101" s="140">
        <f>+H1101*J1101</f>
        <v/>
      </c>
      <c r="M1101" s="141">
        <f>SUM(M1100+K1101-L1101)</f>
        <v/>
      </c>
    </row>
    <row r="1102">
      <c r="A1102" s="20" t="n">
        <v>45729</v>
      </c>
      <c r="B1102" s="1" t="n">
        <v>14983</v>
      </c>
      <c r="C1102" s="2" t="inlineStr">
        <is>
          <t>VARLIK</t>
        </is>
      </c>
      <c r="D1102" s="1" t="inlineStr">
        <is>
          <t>KAVAZAKİ</t>
        </is>
      </c>
      <c r="E1102" s="1" t="inlineStr">
        <is>
          <t>UFUK SEVAL</t>
        </is>
      </c>
      <c r="F1102" s="3" t="n"/>
      <c r="G1102" s="143" t="n"/>
      <c r="H1102" s="143" t="n">
        <v>180</v>
      </c>
      <c r="I1102" s="143">
        <f>+I1101+(G1102-H1102)</f>
        <v/>
      </c>
      <c r="J1102" s="144" t="n">
        <v>38.533</v>
      </c>
      <c r="K1102" s="145" t="n"/>
      <c r="L1102" s="140">
        <f>+H1102*J1102</f>
        <v/>
      </c>
      <c r="M1102" s="141">
        <f>SUM(M1101+K1102-L1102)</f>
        <v/>
      </c>
    </row>
    <row r="1103">
      <c r="A1103" s="20" t="n">
        <v>45729</v>
      </c>
      <c r="B1103" s="1" t="n">
        <v>14984</v>
      </c>
      <c r="C1103" s="2" t="inlineStr">
        <is>
          <t>HASALTUN</t>
        </is>
      </c>
      <c r="D1103" s="1" t="inlineStr">
        <is>
          <t>SM 370</t>
        </is>
      </c>
      <c r="E1103" s="1" t="inlineStr">
        <is>
          <t>RAMAZAN KAYA</t>
        </is>
      </c>
      <c r="F1103" s="3" t="n"/>
      <c r="G1103" s="143" t="n"/>
      <c r="H1103" s="143" t="n">
        <v>403</v>
      </c>
      <c r="I1103" s="143">
        <f>+I1102+(G1103-H1103)</f>
        <v/>
      </c>
      <c r="J1103" s="144" t="n">
        <v>38.533</v>
      </c>
      <c r="K1103" s="145" t="n"/>
      <c r="L1103" s="140">
        <f>+H1103*J1103</f>
        <v/>
      </c>
      <c r="M1103" s="141">
        <f>SUM(M1102+K1103-L1103)</f>
        <v/>
      </c>
    </row>
    <row r="1104">
      <c r="A1104" s="20" t="n">
        <v>45729</v>
      </c>
      <c r="B1104" s="1" t="n">
        <v>14985</v>
      </c>
      <c r="C1104" s="2" t="inlineStr">
        <is>
          <t>HASALTUN</t>
        </is>
      </c>
      <c r="D1104" s="1" t="inlineStr">
        <is>
          <t>SM 350</t>
        </is>
      </c>
      <c r="E1104" s="1" t="inlineStr">
        <is>
          <t>TEVFİK ÖZTÜRK</t>
        </is>
      </c>
      <c r="F1104" s="3" t="n"/>
      <c r="G1104" s="143" t="n"/>
      <c r="H1104" s="143" t="n">
        <v>256</v>
      </c>
      <c r="I1104" s="143">
        <f>+I1103+(G1104-H1104)</f>
        <v/>
      </c>
      <c r="J1104" s="144" t="n">
        <v>38.533</v>
      </c>
      <c r="K1104" s="145" t="n"/>
      <c r="L1104" s="140">
        <f>+H1104*J1104</f>
        <v/>
      </c>
      <c r="M1104" s="141">
        <f>SUM(M1103+K1104-L1104)</f>
        <v/>
      </c>
    </row>
    <row r="1105">
      <c r="A1105" s="20" t="n">
        <v>45729</v>
      </c>
      <c r="B1105" s="1" t="n">
        <v>14986</v>
      </c>
      <c r="C1105" s="2" t="inlineStr">
        <is>
          <t>HASALTUN</t>
        </is>
      </c>
      <c r="D1105" s="1" t="inlineStr">
        <is>
          <t>SM 300</t>
        </is>
      </c>
      <c r="E1105" s="1" t="inlineStr">
        <is>
          <t>TURGUT SANCAK</t>
        </is>
      </c>
      <c r="F1105" s="3" t="n"/>
      <c r="G1105" s="143" t="n"/>
      <c r="H1105" s="143" t="n">
        <v>341</v>
      </c>
      <c r="I1105" s="143">
        <f>+I1104+(G1105-H1105)</f>
        <v/>
      </c>
      <c r="J1105" s="144" t="n">
        <v>38.533</v>
      </c>
      <c r="K1105" s="145" t="n"/>
      <c r="L1105" s="140">
        <f>+H1105*J1105</f>
        <v/>
      </c>
      <c r="M1105" s="141">
        <f>SUM(M1104+K1105-L1105)</f>
        <v/>
      </c>
    </row>
    <row r="1106">
      <c r="A1106" s="20" t="n">
        <v>45730</v>
      </c>
      <c r="B1106" s="21" t="n">
        <v>10064</v>
      </c>
      <c r="C1106" s="22" t="inlineStr">
        <is>
          <t>SELİM İNŞAAT</t>
        </is>
      </c>
      <c r="D1106" s="21" t="inlineStr">
        <is>
          <t>34 FBR 771</t>
        </is>
      </c>
      <c r="E1106" s="21" t="inlineStr">
        <is>
          <t>HÜSEYİN AKÇİN</t>
        </is>
      </c>
      <c r="F1106" s="23" t="n">
        <v>296854</v>
      </c>
      <c r="G1106" s="138" t="n"/>
      <c r="H1106" s="138" t="n">
        <v>404</v>
      </c>
      <c r="I1106" s="138">
        <f>+I1105+(G1106-H1106)</f>
        <v/>
      </c>
      <c r="J1106" s="139" t="n">
        <v>38.533</v>
      </c>
      <c r="K1106" s="140" t="n"/>
      <c r="L1106" s="140">
        <f>+H1106*J1106</f>
        <v/>
      </c>
      <c r="M1106" s="141">
        <f>SUM(M1105+K1106-L1106)</f>
        <v/>
      </c>
    </row>
    <row r="1107">
      <c r="A1107" s="20" t="n">
        <v>45730</v>
      </c>
      <c r="B1107" s="21" t="n">
        <v>14403</v>
      </c>
      <c r="C1107" s="22" t="inlineStr">
        <is>
          <t>SELİM İNŞAAT</t>
        </is>
      </c>
      <c r="D1107" s="21" t="inlineStr">
        <is>
          <t>34 EGR 737</t>
        </is>
      </c>
      <c r="E1107" s="21" t="inlineStr">
        <is>
          <t>İBRAHİM GÜNASLAN</t>
        </is>
      </c>
      <c r="F1107" s="23" t="n">
        <v>397412</v>
      </c>
      <c r="G1107" s="138" t="n"/>
      <c r="H1107" s="138" t="n">
        <v>346</v>
      </c>
      <c r="I1107" s="138">
        <f>+I1106+(G1107-H1107)</f>
        <v/>
      </c>
      <c r="J1107" s="139" t="n">
        <v>38.533</v>
      </c>
      <c r="K1107" s="140" t="n"/>
      <c r="L1107" s="140">
        <f>+H1107*J1107</f>
        <v/>
      </c>
      <c r="M1107" s="141">
        <f>SUM(M1106+K1107-L1107)</f>
        <v/>
      </c>
    </row>
    <row r="1108">
      <c r="A1108" s="20" t="n">
        <v>45730</v>
      </c>
      <c r="B1108" s="21" t="n">
        <v>11627</v>
      </c>
      <c r="C1108" s="22" t="inlineStr">
        <is>
          <t>SELİM İNŞAAT</t>
        </is>
      </c>
      <c r="D1108" s="21" t="inlineStr">
        <is>
          <t>34 DTV 352</t>
        </is>
      </c>
      <c r="E1108" s="21" t="inlineStr">
        <is>
          <t xml:space="preserve">RASİM BARTU </t>
        </is>
      </c>
      <c r="F1108" s="23" t="n">
        <v>413988</v>
      </c>
      <c r="G1108" s="138" t="n"/>
      <c r="H1108" s="138" t="n">
        <v>438</v>
      </c>
      <c r="I1108" s="138">
        <f>+I1107+(G1108-H1108)</f>
        <v/>
      </c>
      <c r="J1108" s="139" t="n">
        <v>38.533</v>
      </c>
      <c r="K1108" s="140" t="n"/>
      <c r="L1108" s="140">
        <f>+H1108*J1108</f>
        <v/>
      </c>
      <c r="M1108" s="141">
        <f>SUM(M1107+K1108-L1108)</f>
        <v/>
      </c>
    </row>
    <row r="1109">
      <c r="A1109" s="20" t="n">
        <v>45730</v>
      </c>
      <c r="B1109" s="21" t="n">
        <v>10688</v>
      </c>
      <c r="C1109" s="22" t="inlineStr">
        <is>
          <t>SELİM İNŞAAT</t>
        </is>
      </c>
      <c r="D1109" s="21" t="inlineStr">
        <is>
          <t>34 DTV 599</t>
        </is>
      </c>
      <c r="E1109" s="21" t="inlineStr">
        <is>
          <t>FERHAT GÜRLER</t>
        </is>
      </c>
      <c r="F1109" s="23" t="n">
        <v>413983</v>
      </c>
      <c r="G1109" s="138" t="n"/>
      <c r="H1109" s="138" t="n">
        <v>477</v>
      </c>
      <c r="I1109" s="138">
        <f>+I1108+(G1109-H1109)</f>
        <v/>
      </c>
      <c r="J1109" s="139" t="n">
        <v>38.533</v>
      </c>
      <c r="K1109" s="140" t="n"/>
      <c r="L1109" s="140">
        <f>+H1109*J1109</f>
        <v/>
      </c>
      <c r="M1109" s="141">
        <f>SUM(M1108+K1109-L1109)</f>
        <v/>
      </c>
    </row>
    <row r="1110">
      <c r="A1110" s="20" t="n">
        <v>45730</v>
      </c>
      <c r="B1110" s="21" t="n">
        <v>10284</v>
      </c>
      <c r="C1110" s="22" t="inlineStr">
        <is>
          <t>SELİM İNŞAAT</t>
        </is>
      </c>
      <c r="D1110" s="21" t="inlineStr">
        <is>
          <t>34 FBR 748</t>
        </is>
      </c>
      <c r="E1110" s="21" t="inlineStr">
        <is>
          <t>YAŞAR ÖZKAYA</t>
        </is>
      </c>
      <c r="F1110" s="23" t="n">
        <v>265755</v>
      </c>
      <c r="G1110" s="138" t="n"/>
      <c r="H1110" s="138" t="n">
        <v>370</v>
      </c>
      <c r="I1110" s="138">
        <f>+I1109+(G1110-H1110)</f>
        <v/>
      </c>
      <c r="J1110" s="139" t="n">
        <v>38.533</v>
      </c>
      <c r="K1110" s="140" t="n"/>
      <c r="L1110" s="140">
        <f>+H1110*J1110</f>
        <v/>
      </c>
      <c r="M1110" s="141">
        <f>SUM(M1109+K1110-L1110)</f>
        <v/>
      </c>
    </row>
    <row r="1111">
      <c r="A1111" s="20" t="n">
        <v>45730</v>
      </c>
      <c r="B1111" s="21" t="n">
        <v>10431</v>
      </c>
      <c r="C1111" s="22" t="inlineStr">
        <is>
          <t>SELİM İNŞAAT</t>
        </is>
      </c>
      <c r="D1111" s="21" t="inlineStr">
        <is>
          <t>34 FBR 781</t>
        </is>
      </c>
      <c r="E1111" s="21" t="inlineStr">
        <is>
          <t>MEVLÜT POLAT</t>
        </is>
      </c>
      <c r="F1111" s="23" t="n">
        <v>283057</v>
      </c>
      <c r="G1111" s="138" t="n"/>
      <c r="H1111" s="138" t="n">
        <v>384</v>
      </c>
      <c r="I1111" s="138">
        <f>+I1110+(G1111-H1111)</f>
        <v/>
      </c>
      <c r="J1111" s="139" t="n">
        <v>38.533</v>
      </c>
      <c r="K1111" s="140" t="n"/>
      <c r="L1111" s="140">
        <f>+H1111*J1111</f>
        <v/>
      </c>
      <c r="M1111" s="141">
        <f>SUM(M1110+K1111-L1111)</f>
        <v/>
      </c>
    </row>
    <row r="1112">
      <c r="A1112" s="20" t="n">
        <v>45730</v>
      </c>
      <c r="B1112" s="21" t="n">
        <v>21545</v>
      </c>
      <c r="C1112" s="22" t="inlineStr">
        <is>
          <t>SELİM İNŞAAT</t>
        </is>
      </c>
      <c r="D1112" s="21" t="inlineStr">
        <is>
          <t>34 GVZ 745</t>
        </is>
      </c>
      <c r="E1112" s="21" t="inlineStr">
        <is>
          <t>MUHAMMED YİĞİT</t>
        </is>
      </c>
      <c r="F1112" s="23" t="n">
        <v>167888</v>
      </c>
      <c r="G1112" s="138" t="n"/>
      <c r="H1112" s="138" t="n">
        <v>372</v>
      </c>
      <c r="I1112" s="138">
        <f>+I1111+(G1112-H1112)</f>
        <v/>
      </c>
      <c r="J1112" s="139" t="n">
        <v>38.533</v>
      </c>
      <c r="K1112" s="140" t="n"/>
      <c r="L1112" s="140">
        <f>+H1112*J1112</f>
        <v/>
      </c>
      <c r="M1112" s="141">
        <f>SUM(M1111+K1112-L1112)</f>
        <v/>
      </c>
    </row>
    <row r="1113">
      <c r="A1113" s="20" t="n">
        <v>45730</v>
      </c>
      <c r="B1113" s="21" t="n">
        <v>14008</v>
      </c>
      <c r="C1113" s="22" t="inlineStr">
        <is>
          <t>SELİM İNŞAAT</t>
        </is>
      </c>
      <c r="D1113" s="21" t="inlineStr">
        <is>
          <t>34 GVZ 310</t>
        </is>
      </c>
      <c r="E1113" s="21" t="inlineStr">
        <is>
          <t>CELAL YÜZBAŞI</t>
        </is>
      </c>
      <c r="F1113" s="23" t="n">
        <v>175906</v>
      </c>
      <c r="G1113" s="138" t="n"/>
      <c r="H1113" s="138" t="n">
        <v>358</v>
      </c>
      <c r="I1113" s="138">
        <f>+I1112+(G1113-H1113)</f>
        <v/>
      </c>
      <c r="J1113" s="139" t="n">
        <v>38.533</v>
      </c>
      <c r="K1113" s="140" t="n"/>
      <c r="L1113" s="140">
        <f>+H1113*J1113</f>
        <v/>
      </c>
      <c r="M1113" s="141">
        <f>SUM(M1112+K1113-L1113)</f>
        <v/>
      </c>
    </row>
    <row r="1114">
      <c r="A1114" s="20" t="n">
        <v>45730</v>
      </c>
      <c r="B1114" s="21" t="n">
        <v>14207</v>
      </c>
      <c r="C1114" s="22" t="inlineStr">
        <is>
          <t>SELİM İNŞAAT</t>
        </is>
      </c>
      <c r="D1114" s="21" t="inlineStr">
        <is>
          <t xml:space="preserve">34 GUS 938 </t>
        </is>
      </c>
      <c r="E1114" s="21" t="inlineStr">
        <is>
          <t>MEHMET KAYA</t>
        </is>
      </c>
      <c r="F1114" s="23" t="n">
        <v>166289</v>
      </c>
      <c r="G1114" s="138" t="n"/>
      <c r="H1114" s="138" t="n">
        <v>334</v>
      </c>
      <c r="I1114" s="138">
        <f>+I1113+(G1114-H1114)</f>
        <v/>
      </c>
      <c r="J1114" s="139" t="n">
        <v>38.533</v>
      </c>
      <c r="K1114" s="140" t="n"/>
      <c r="L1114" s="140">
        <f>+H1114*J1114</f>
        <v/>
      </c>
      <c r="M1114" s="141">
        <f>SUM(M1113+K1114-L1114)</f>
        <v/>
      </c>
    </row>
    <row r="1115">
      <c r="A1115" s="20" t="n">
        <v>45730</v>
      </c>
      <c r="B1115" s="21" t="n">
        <v>11724</v>
      </c>
      <c r="C1115" s="22" t="inlineStr">
        <is>
          <t>SELİM İNŞAAT</t>
        </is>
      </c>
      <c r="D1115" s="21" t="inlineStr">
        <is>
          <t>34 EDB 559</t>
        </is>
      </c>
      <c r="E1115" s="21" t="inlineStr">
        <is>
          <t>CEM MUHTAR</t>
        </is>
      </c>
      <c r="F1115" s="23" t="n">
        <v>309425</v>
      </c>
      <c r="G1115" s="138" t="n"/>
      <c r="H1115" s="138" t="n">
        <v>400</v>
      </c>
      <c r="I1115" s="138">
        <f>+I1114+(G1115-H1115)</f>
        <v/>
      </c>
      <c r="J1115" s="139" t="n">
        <v>38.533</v>
      </c>
      <c r="K1115" s="140" t="n"/>
      <c r="L1115" s="140">
        <f>+H1115*J1115</f>
        <v/>
      </c>
      <c r="M1115" s="141">
        <f>SUM(M1114+K1115-L1115)</f>
        <v/>
      </c>
    </row>
    <row r="1116">
      <c r="A1116" s="20" t="n">
        <v>45730</v>
      </c>
      <c r="B1116" s="21" t="n">
        <v>14457</v>
      </c>
      <c r="C1116" s="22" t="inlineStr">
        <is>
          <t>SELİM İNŞAAT</t>
        </is>
      </c>
      <c r="D1116" s="21" t="inlineStr">
        <is>
          <t>34 GUS 848</t>
        </is>
      </c>
      <c r="E1116" s="21" t="inlineStr">
        <is>
          <t>SERDAR BOZKURT</t>
        </is>
      </c>
      <c r="F1116" s="23" t="n">
        <v>170643</v>
      </c>
      <c r="G1116" s="138" t="n"/>
      <c r="H1116" s="138" t="n">
        <v>424</v>
      </c>
      <c r="I1116" s="138">
        <f>+I1115+(G1116-H1116)</f>
        <v/>
      </c>
      <c r="J1116" s="139" t="n">
        <v>38.533</v>
      </c>
      <c r="K1116" s="140" t="n"/>
      <c r="L1116" s="140">
        <f>+H1116*J1116</f>
        <v/>
      </c>
      <c r="M1116" s="141">
        <f>SUM(M1115+K1116-L1116)</f>
        <v/>
      </c>
    </row>
    <row r="1117">
      <c r="A1117" s="20" t="n">
        <v>45730</v>
      </c>
      <c r="B1117" s="21" t="n">
        <v>9795</v>
      </c>
      <c r="C1117" s="22" t="inlineStr">
        <is>
          <t>SELİM İNŞAAT</t>
        </is>
      </c>
      <c r="D1117" s="21" t="inlineStr">
        <is>
          <t>34 GVZ 268</t>
        </is>
      </c>
      <c r="E1117" s="21" t="inlineStr">
        <is>
          <t>KERİM KARAMAN</t>
        </is>
      </c>
      <c r="F1117" s="23" t="n">
        <v>171734</v>
      </c>
      <c r="G1117" s="138" t="n"/>
      <c r="H1117" s="138" t="n">
        <v>331</v>
      </c>
      <c r="I1117" s="138">
        <f>+I1116+(G1117-H1117)</f>
        <v/>
      </c>
      <c r="J1117" s="139" t="n">
        <v>38.533</v>
      </c>
      <c r="K1117" s="140" t="n"/>
      <c r="L1117" s="140">
        <f>+H1117*J1117</f>
        <v/>
      </c>
      <c r="M1117" s="141">
        <f>SUM(M1116+K1117-L1117)</f>
        <v/>
      </c>
    </row>
    <row r="1118">
      <c r="A1118" s="20" t="n">
        <v>45730</v>
      </c>
      <c r="B1118" s="21" t="n">
        <v>11998</v>
      </c>
      <c r="C1118" s="22" t="inlineStr">
        <is>
          <t>SELİM İNŞAAT</t>
        </is>
      </c>
      <c r="D1118" s="21" t="inlineStr">
        <is>
          <t>34 DKL 798</t>
        </is>
      </c>
      <c r="E1118" s="21" t="inlineStr">
        <is>
          <t>VOLKAN YANAR</t>
        </is>
      </c>
      <c r="F1118" s="23" t="n">
        <v>62052</v>
      </c>
      <c r="G1118" s="138" t="n"/>
      <c r="H1118" s="138" t="n">
        <v>132</v>
      </c>
      <c r="I1118" s="138">
        <f>+I1117+(G1118-H1118)</f>
        <v/>
      </c>
      <c r="J1118" s="139" t="n">
        <v>38.533</v>
      </c>
      <c r="K1118" s="140" t="n"/>
      <c r="L1118" s="140">
        <f>+H1118*J1118</f>
        <v/>
      </c>
      <c r="M1118" s="141">
        <f>SUM(M1117+K1118-L1118)</f>
        <v/>
      </c>
    </row>
    <row r="1119">
      <c r="A1119" s="20" t="n">
        <v>45730</v>
      </c>
      <c r="B1119" s="21" t="n">
        <v>10563</v>
      </c>
      <c r="C1119" s="22" t="inlineStr">
        <is>
          <t>SELİM İNŞAAT</t>
        </is>
      </c>
      <c r="D1119" s="21" t="inlineStr">
        <is>
          <t>34 GU 945</t>
        </is>
      </c>
      <c r="E1119" s="21" t="inlineStr">
        <is>
          <t>TURAN SEVİNDİK</t>
        </is>
      </c>
      <c r="F1119" s="23" t="n">
        <v>440426</v>
      </c>
      <c r="G1119" s="138" t="n"/>
      <c r="H1119" s="138" t="n">
        <v>63</v>
      </c>
      <c r="I1119" s="138">
        <f>+I1118+(G1119-H1119)</f>
        <v/>
      </c>
      <c r="J1119" s="139" t="n">
        <v>38.533</v>
      </c>
      <c r="K1119" s="140" t="n"/>
      <c r="L1119" s="140">
        <f>+H1119*J1119</f>
        <v/>
      </c>
      <c r="M1119" s="141">
        <f>SUM(M1118+K1119-L1119)</f>
        <v/>
      </c>
    </row>
    <row r="1120">
      <c r="A1120" s="20" t="n">
        <v>45730</v>
      </c>
      <c r="B1120" s="21" t="n">
        <v>20530</v>
      </c>
      <c r="C1120" s="22" t="inlineStr">
        <is>
          <t>SELİM İNŞAAT</t>
        </is>
      </c>
      <c r="D1120" s="21" t="inlineStr">
        <is>
          <t>34 VF 2620</t>
        </is>
      </c>
      <c r="E1120" s="21" t="inlineStr">
        <is>
          <t>RECEP SELİM</t>
        </is>
      </c>
      <c r="F1120" s="23" t="n">
        <v>181658</v>
      </c>
      <c r="G1120" s="138" t="n"/>
      <c r="H1120" s="138" t="n">
        <v>84</v>
      </c>
      <c r="I1120" s="138">
        <f>+I1119+(G1120-H1120)</f>
        <v/>
      </c>
      <c r="J1120" s="139" t="n">
        <v>38.533</v>
      </c>
      <c r="K1120" s="140" t="n"/>
      <c r="L1120" s="140">
        <f>+H1120*J1120</f>
        <v/>
      </c>
      <c r="M1120" s="141">
        <f>SUM(M1119+K1120-L1120)</f>
        <v/>
      </c>
    </row>
    <row r="1121">
      <c r="A1121" s="20" t="n">
        <v>45730</v>
      </c>
      <c r="B1121" s="21" t="n">
        <v>14604</v>
      </c>
      <c r="C1121" s="22" t="inlineStr">
        <is>
          <t>SELİM İNŞAAT</t>
        </is>
      </c>
      <c r="D1121" s="21" t="inlineStr">
        <is>
          <t>34 GER 445</t>
        </is>
      </c>
      <c r="E1121" s="21" t="inlineStr">
        <is>
          <t>HASAN BAYCAN</t>
        </is>
      </c>
      <c r="F1121" s="23" t="n">
        <v>38950</v>
      </c>
      <c r="G1121" s="138" t="n"/>
      <c r="H1121" s="138" t="n">
        <v>184</v>
      </c>
      <c r="I1121" s="138">
        <f>+I1120+(G1121-H1121)</f>
        <v/>
      </c>
      <c r="J1121" s="139" t="n">
        <v>38.533</v>
      </c>
      <c r="K1121" s="140" t="n"/>
      <c r="L1121" s="140">
        <f>+H1121*J1121</f>
        <v/>
      </c>
      <c r="M1121" s="141">
        <f>SUM(M1120+K1121-L1121)</f>
        <v/>
      </c>
    </row>
    <row r="1122">
      <c r="A1122" s="20" t="n">
        <v>45730</v>
      </c>
      <c r="B1122" s="21" t="n">
        <v>14703</v>
      </c>
      <c r="C1122" s="22" t="inlineStr">
        <is>
          <t>METİN ERYİĞİT</t>
        </is>
      </c>
      <c r="D1122" s="21" t="inlineStr">
        <is>
          <t>34 GBL 998</t>
        </is>
      </c>
      <c r="E1122" s="21" t="inlineStr">
        <is>
          <t>ALİ KESKİN</t>
        </is>
      </c>
      <c r="F1122" s="23" t="n">
        <v>246779</v>
      </c>
      <c r="G1122" s="138" t="n"/>
      <c r="H1122" s="138" t="n">
        <v>150</v>
      </c>
      <c r="I1122" s="138">
        <f>+I1121+(G1122-H1122)</f>
        <v/>
      </c>
      <c r="J1122" s="139" t="n">
        <v>38.533</v>
      </c>
      <c r="K1122" s="140" t="n"/>
      <c r="L1122" s="140">
        <f>+H1122*J1122</f>
        <v/>
      </c>
      <c r="M1122" s="141">
        <f>SUM(M1121+K1122-L1122)</f>
        <v/>
      </c>
    </row>
    <row r="1123">
      <c r="A1123" s="20" t="n">
        <v>45730</v>
      </c>
      <c r="B1123" s="1" t="n">
        <v>14987</v>
      </c>
      <c r="C1123" s="2" t="inlineStr">
        <is>
          <t>VARLIK</t>
        </is>
      </c>
      <c r="D1123" s="1" t="inlineStr">
        <is>
          <t>KAVAZAKİ</t>
        </is>
      </c>
      <c r="E1123" s="1" t="inlineStr">
        <is>
          <t>UFUK SEVAL</t>
        </is>
      </c>
      <c r="F1123" s="3" t="n"/>
      <c r="G1123" s="143" t="n"/>
      <c r="H1123" s="143" t="n">
        <v>178</v>
      </c>
      <c r="I1123" s="143">
        <f>+I1122+(G1123-H1123)</f>
        <v/>
      </c>
      <c r="J1123" s="144" t="n">
        <v>38.533</v>
      </c>
      <c r="K1123" s="145" t="n"/>
      <c r="L1123" s="140">
        <f>+H1123*J1123</f>
        <v/>
      </c>
      <c r="M1123" s="141">
        <f>SUM(M1122+K1123-L1123)</f>
        <v/>
      </c>
    </row>
    <row r="1124">
      <c r="A1124" s="20" t="n">
        <v>45730</v>
      </c>
      <c r="B1124" s="1" t="n">
        <v>14988</v>
      </c>
      <c r="C1124" s="2" t="inlineStr">
        <is>
          <t>HASALTUN</t>
        </is>
      </c>
      <c r="D1124" s="1" t="inlineStr">
        <is>
          <t>SM 300</t>
        </is>
      </c>
      <c r="E1124" s="1" t="inlineStr">
        <is>
          <t>TURGUT SANCAK</t>
        </is>
      </c>
      <c r="F1124" s="3" t="n"/>
      <c r="G1124" s="143" t="n"/>
      <c r="H1124" s="143" t="n">
        <v>370</v>
      </c>
      <c r="I1124" s="143">
        <f>+I1123+(G1124-H1124)</f>
        <v/>
      </c>
      <c r="J1124" s="144" t="n">
        <v>38.533</v>
      </c>
      <c r="K1124" s="145" t="n"/>
      <c r="L1124" s="140">
        <f>+H1124*J1124</f>
        <v/>
      </c>
      <c r="M1124" s="141">
        <f>SUM(M1123+K1124-L1124)</f>
        <v/>
      </c>
    </row>
    <row r="1125">
      <c r="A1125" s="20" t="n">
        <v>45730</v>
      </c>
      <c r="B1125" s="1" t="n">
        <v>14989</v>
      </c>
      <c r="C1125" s="2" t="inlineStr">
        <is>
          <t>HASALTUN</t>
        </is>
      </c>
      <c r="D1125" s="1" t="inlineStr">
        <is>
          <t>SM 350</t>
        </is>
      </c>
      <c r="E1125" s="1" t="inlineStr">
        <is>
          <t>TEVFİK ÖZTÜRK</t>
        </is>
      </c>
      <c r="F1125" s="3" t="n"/>
      <c r="G1125" s="143" t="n"/>
      <c r="H1125" s="143" t="n">
        <v>371</v>
      </c>
      <c r="I1125" s="143">
        <f>+I1124+(G1125-H1125)</f>
        <v/>
      </c>
      <c r="J1125" s="144" t="n">
        <v>38.533</v>
      </c>
      <c r="K1125" s="145" t="n"/>
      <c r="L1125" s="140">
        <f>+H1125*J1125</f>
        <v/>
      </c>
      <c r="M1125" s="141">
        <f>SUM(M1124+K1125-L1125)</f>
        <v/>
      </c>
    </row>
    <row r="1126">
      <c r="A1126" s="20" t="n">
        <v>45730</v>
      </c>
      <c r="B1126" s="1" t="n">
        <v>14990</v>
      </c>
      <c r="C1126" s="2" t="inlineStr">
        <is>
          <t>HASALTUN</t>
        </is>
      </c>
      <c r="D1126" s="1" t="inlineStr">
        <is>
          <t>SM 370</t>
        </is>
      </c>
      <c r="E1126" s="1" t="inlineStr">
        <is>
          <t>RAMAZAN KAYA</t>
        </is>
      </c>
      <c r="F1126" s="3" t="n"/>
      <c r="G1126" s="143" t="n"/>
      <c r="H1126" s="143" t="n">
        <v>405</v>
      </c>
      <c r="I1126" s="143">
        <f>+I1125+(G1126-H1126)</f>
        <v/>
      </c>
      <c r="J1126" s="144" t="n">
        <v>38.533</v>
      </c>
      <c r="K1126" s="145" t="n"/>
      <c r="L1126" s="140">
        <f>+H1126*J1126</f>
        <v/>
      </c>
      <c r="M1126" s="141">
        <f>SUM(M1125+K1126-L1126)</f>
        <v/>
      </c>
    </row>
    <row r="1127">
      <c r="A1127" s="20" t="n">
        <v>45730</v>
      </c>
      <c r="B1127" s="21" t="n">
        <v>279</v>
      </c>
      <c r="C1127" s="22" t="inlineStr">
        <is>
          <t>ÜNSOY TURİZM İNŞ.SAN.VE TİC.A.Ş.</t>
        </is>
      </c>
      <c r="D1127" s="21" t="n"/>
      <c r="E1127" s="21" t="n"/>
      <c r="F1127" s="23" t="n"/>
      <c r="G1127" s="138" t="n">
        <v>31813</v>
      </c>
      <c r="H1127" s="138" t="n"/>
      <c r="I1127" s="138">
        <f>+I1126+(G1127-H1127)</f>
        <v/>
      </c>
      <c r="J1127" s="139">
        <f>+K1127/G1127</f>
        <v/>
      </c>
      <c r="K1127" s="140" t="n">
        <v>1225850.32</v>
      </c>
      <c r="L1127" s="140">
        <f>+H1127*J1127</f>
        <v/>
      </c>
      <c r="M1127" s="141">
        <f>SUM(M1126+K1127-L1127)</f>
        <v/>
      </c>
    </row>
    <row r="1128">
      <c r="A1128" s="20" t="n">
        <v>45731</v>
      </c>
      <c r="B1128" s="21" t="n">
        <v>10065</v>
      </c>
      <c r="C1128" s="22" t="inlineStr">
        <is>
          <t>SELİM İNŞAAT</t>
        </is>
      </c>
      <c r="D1128" s="21" t="inlineStr">
        <is>
          <t>34 FBR 771</t>
        </is>
      </c>
      <c r="E1128" s="21" t="inlineStr">
        <is>
          <t>HÜSEYİN AKÇİN</t>
        </is>
      </c>
      <c r="F1128" s="23" t="n">
        <v>297347</v>
      </c>
      <c r="G1128" s="138" t="n"/>
      <c r="H1128" s="138" t="n">
        <v>189</v>
      </c>
      <c r="I1128" s="138">
        <f>+I1127+(G1128-H1128)</f>
        <v/>
      </c>
      <c r="J1128" s="139" t="n">
        <v>38.533</v>
      </c>
      <c r="K1128" s="140" t="n"/>
      <c r="L1128" s="140">
        <f>+H1128*J1128</f>
        <v/>
      </c>
      <c r="M1128" s="141">
        <f>SUM(M1127+K1128-L1128)</f>
        <v/>
      </c>
    </row>
    <row r="1129">
      <c r="A1129" s="20" t="n">
        <v>45731</v>
      </c>
      <c r="B1129" s="21" t="n">
        <v>14404</v>
      </c>
      <c r="C1129" s="22" t="inlineStr">
        <is>
          <t>SELİM İNŞAAT</t>
        </is>
      </c>
      <c r="D1129" s="21" t="inlineStr">
        <is>
          <t>34 EGR 737</t>
        </is>
      </c>
      <c r="E1129" s="21" t="inlineStr">
        <is>
          <t>İBRAHİM GÜNASLAN</t>
        </is>
      </c>
      <c r="F1129" s="23" t="n">
        <v>398242</v>
      </c>
      <c r="G1129" s="138" t="n"/>
      <c r="H1129" s="138" t="n">
        <v>339</v>
      </c>
      <c r="I1129" s="138">
        <f>+I1128+(G1129-H1129)</f>
        <v/>
      </c>
      <c r="J1129" s="139" t="n">
        <v>38.533</v>
      </c>
      <c r="K1129" s="140" t="n"/>
      <c r="L1129" s="140">
        <f>+H1129*J1129</f>
        <v/>
      </c>
      <c r="M1129" s="141">
        <f>SUM(M1128+K1129-L1129)</f>
        <v/>
      </c>
    </row>
    <row r="1130">
      <c r="A1130" s="20" t="n">
        <v>45731</v>
      </c>
      <c r="B1130" s="21" t="n">
        <v>14059</v>
      </c>
      <c r="C1130" s="22" t="inlineStr">
        <is>
          <t>SELİM İNŞAAT</t>
        </is>
      </c>
      <c r="D1130" s="21" t="inlineStr">
        <is>
          <t>34 EDB 659</t>
        </is>
      </c>
      <c r="E1130" s="21" t="inlineStr">
        <is>
          <t>MEHMET SAİT ANIK</t>
        </is>
      </c>
      <c r="F1130" s="23" t="n">
        <v>321004</v>
      </c>
      <c r="G1130" s="138" t="n"/>
      <c r="H1130" s="138" t="n">
        <v>307</v>
      </c>
      <c r="I1130" s="138">
        <f>+I1129+(G1130-H1130)</f>
        <v/>
      </c>
      <c r="J1130" s="139" t="n">
        <v>38.533</v>
      </c>
      <c r="K1130" s="140" t="n"/>
      <c r="L1130" s="140">
        <f>+H1130*J1130</f>
        <v/>
      </c>
      <c r="M1130" s="141">
        <f>SUM(M1129+K1130-L1130)</f>
        <v/>
      </c>
    </row>
    <row r="1131">
      <c r="A1131" s="20" t="n">
        <v>45731</v>
      </c>
      <c r="B1131" s="21" t="n">
        <v>11791</v>
      </c>
      <c r="C1131" s="22" t="inlineStr">
        <is>
          <t>SELİM İNŞAAT</t>
        </is>
      </c>
      <c r="D1131" s="21" t="inlineStr">
        <is>
          <t>34 EDC 086</t>
        </is>
      </c>
      <c r="E1131" s="21" t="inlineStr">
        <is>
          <t>ÖMER AĞAYAR</t>
        </is>
      </c>
      <c r="F1131" s="23" t="n">
        <v>310310</v>
      </c>
      <c r="G1131" s="138" t="n"/>
      <c r="H1131" s="138" t="n">
        <v>251</v>
      </c>
      <c r="I1131" s="138">
        <f>+I1130+(G1131-H1131)</f>
        <v/>
      </c>
      <c r="J1131" s="139" t="n">
        <v>38.533</v>
      </c>
      <c r="K1131" s="140" t="n"/>
      <c r="L1131" s="140">
        <f>+H1131*J1131</f>
        <v/>
      </c>
      <c r="M1131" s="141">
        <f>SUM(M1130+K1131-L1131)</f>
        <v/>
      </c>
    </row>
    <row r="1132">
      <c r="A1132" s="20" t="n">
        <v>45731</v>
      </c>
      <c r="B1132" s="21" t="n">
        <v>10365</v>
      </c>
      <c r="C1132" s="22" t="inlineStr">
        <is>
          <t>SELİM İNŞAAT</t>
        </is>
      </c>
      <c r="D1132" s="21" t="inlineStr">
        <is>
          <t>34 DRU 690</t>
        </is>
      </c>
      <c r="E1132" s="21" t="inlineStr">
        <is>
          <t>HÜSEYİN AKÇİN</t>
        </is>
      </c>
      <c r="F1132" s="23" t="n">
        <v>396427</v>
      </c>
      <c r="G1132" s="138" t="n"/>
      <c r="H1132" s="138" t="n">
        <v>429</v>
      </c>
      <c r="I1132" s="138">
        <f>+I1131+(G1132-H1132)</f>
        <v/>
      </c>
      <c r="J1132" s="139" t="n">
        <v>38.533</v>
      </c>
      <c r="K1132" s="140" t="n"/>
      <c r="L1132" s="140">
        <f>+H1132*J1132</f>
        <v/>
      </c>
      <c r="M1132" s="141">
        <f>SUM(M1131+K1132-L1132)</f>
        <v/>
      </c>
    </row>
    <row r="1133">
      <c r="A1133" s="20" t="n">
        <v>45731</v>
      </c>
      <c r="B1133" s="21" t="n">
        <v>10213</v>
      </c>
      <c r="C1133" s="22" t="inlineStr">
        <is>
          <t>SELİM İNŞAAT</t>
        </is>
      </c>
      <c r="D1133" s="21" t="inlineStr">
        <is>
          <t>34 DSN 621</t>
        </is>
      </c>
      <c r="E1133" s="21" t="inlineStr">
        <is>
          <t>MUSTAFA KAYA</t>
        </is>
      </c>
      <c r="F1133" s="23" t="n">
        <v>394828</v>
      </c>
      <c r="G1133" s="138" t="n"/>
      <c r="H1133" s="138" t="n">
        <v>367</v>
      </c>
      <c r="I1133" s="138">
        <f>+I1132+(G1133-H1133)</f>
        <v/>
      </c>
      <c r="J1133" s="139" t="n">
        <v>38.533</v>
      </c>
      <c r="K1133" s="140" t="n"/>
      <c r="L1133" s="140">
        <f>+H1133*J1133</f>
        <v/>
      </c>
      <c r="M1133" s="141">
        <f>SUM(M1132+K1133-L1133)</f>
        <v/>
      </c>
    </row>
    <row r="1134">
      <c r="A1134" s="20" t="n">
        <v>45731</v>
      </c>
      <c r="B1134" s="21" t="n">
        <v>10994</v>
      </c>
      <c r="C1134" s="22" t="inlineStr">
        <is>
          <t>SELİM İNŞAAT</t>
        </is>
      </c>
      <c r="D1134" s="21" t="inlineStr">
        <is>
          <t>34 GVZ 199</t>
        </is>
      </c>
      <c r="E1134" s="21" t="inlineStr">
        <is>
          <t>VAHDET GÜRLER</t>
        </is>
      </c>
      <c r="F1134" s="23" t="n">
        <v>160717</v>
      </c>
      <c r="G1134" s="138" t="n"/>
      <c r="H1134" s="138" t="n">
        <v>373</v>
      </c>
      <c r="I1134" s="138">
        <f>+I1133+(G1134-H1134)</f>
        <v/>
      </c>
      <c r="J1134" s="139" t="n">
        <v>38.533</v>
      </c>
      <c r="K1134" s="140" t="n"/>
      <c r="L1134" s="140">
        <f>+H1134*J1134</f>
        <v/>
      </c>
      <c r="M1134" s="141">
        <f>SUM(M1133+K1134-L1134)</f>
        <v/>
      </c>
    </row>
    <row r="1135">
      <c r="A1135" s="20" t="n">
        <v>45731</v>
      </c>
      <c r="B1135" s="21" t="n">
        <v>10325</v>
      </c>
      <c r="C1135" s="22" t="inlineStr">
        <is>
          <t>SELİM İNŞAAT</t>
        </is>
      </c>
      <c r="D1135" s="21" t="inlineStr">
        <is>
          <t>34 EDB 829</t>
        </is>
      </c>
      <c r="E1135" s="21" t="inlineStr">
        <is>
          <t>İSMET BAYRAM</t>
        </is>
      </c>
      <c r="F1135" s="23" t="n">
        <v>299330</v>
      </c>
      <c r="G1135" s="138" t="n"/>
      <c r="H1135" s="138" t="n">
        <v>365</v>
      </c>
      <c r="I1135" s="138">
        <f>+I1134+(G1135-H1135)</f>
        <v/>
      </c>
      <c r="J1135" s="139" t="n">
        <v>38.533</v>
      </c>
      <c r="K1135" s="140" t="n"/>
      <c r="L1135" s="140">
        <f>+H1135*J1135</f>
        <v/>
      </c>
      <c r="M1135" s="141">
        <f>SUM(M1134+K1135-L1135)</f>
        <v/>
      </c>
    </row>
    <row r="1136">
      <c r="A1136" s="20" t="n">
        <v>45731</v>
      </c>
      <c r="B1136" s="21" t="n">
        <v>11918</v>
      </c>
      <c r="C1136" s="22" t="inlineStr">
        <is>
          <t>SELİM İNŞAAT</t>
        </is>
      </c>
      <c r="D1136" s="21" t="inlineStr">
        <is>
          <t>34 FBR 742</t>
        </is>
      </c>
      <c r="E1136" s="21" t="inlineStr">
        <is>
          <t>MİKAİL BAYILMAZ</t>
        </is>
      </c>
      <c r="F1136" s="23" t="n">
        <v>298783</v>
      </c>
      <c r="G1136" s="138" t="n"/>
      <c r="H1136" s="138" t="n">
        <v>337</v>
      </c>
      <c r="I1136" s="138">
        <f>+I1135+(G1136-H1136)</f>
        <v/>
      </c>
      <c r="J1136" s="139" t="n">
        <v>38.533</v>
      </c>
      <c r="K1136" s="140" t="n"/>
      <c r="L1136" s="140">
        <f>+H1136*J1136</f>
        <v/>
      </c>
      <c r="M1136" s="141">
        <f>SUM(M1135+K1136-L1136)</f>
        <v/>
      </c>
    </row>
    <row r="1137">
      <c r="A1137" s="20" t="n">
        <v>45731</v>
      </c>
      <c r="B1137" s="21" t="n">
        <v>14009</v>
      </c>
      <c r="C1137" s="22" t="inlineStr">
        <is>
          <t>SELİM İNŞAAT</t>
        </is>
      </c>
      <c r="D1137" s="21" t="inlineStr">
        <is>
          <t>34 GVZ 310</t>
        </is>
      </c>
      <c r="E1137" s="21" t="inlineStr">
        <is>
          <t>CELAL YÜZBAŞI</t>
        </is>
      </c>
      <c r="F1137" s="23" t="n">
        <v>176573</v>
      </c>
      <c r="G1137" s="138" t="n"/>
      <c r="H1137" s="138" t="n">
        <v>228</v>
      </c>
      <c r="I1137" s="138">
        <f>+I1136+(G1137-H1137)</f>
        <v/>
      </c>
      <c r="J1137" s="139" t="n">
        <v>38.533</v>
      </c>
      <c r="K1137" s="140" t="n"/>
      <c r="L1137" s="140">
        <f>+H1137*J1137</f>
        <v/>
      </c>
      <c r="M1137" s="141">
        <f>SUM(M1136+K1137-L1137)</f>
        <v/>
      </c>
    </row>
    <row r="1138">
      <c r="A1138" s="20" t="n">
        <v>45731</v>
      </c>
      <c r="B1138" s="21" t="n">
        <v>10632</v>
      </c>
      <c r="C1138" s="22" t="inlineStr">
        <is>
          <t>SELİM İNŞAAT</t>
        </is>
      </c>
      <c r="D1138" s="21" t="inlineStr">
        <is>
          <t>34 EDB 754</t>
        </is>
      </c>
      <c r="E1138" s="21" t="inlineStr">
        <is>
          <t>EMİN PARLAKKILIÇ</t>
        </is>
      </c>
      <c r="F1138" s="23" t="n">
        <v>305393</v>
      </c>
      <c r="G1138" s="138" t="n"/>
      <c r="H1138" s="138" t="n">
        <v>332</v>
      </c>
      <c r="I1138" s="138">
        <f>+I1137+(G1138-H1138)</f>
        <v/>
      </c>
      <c r="J1138" s="139" t="n">
        <v>38.533</v>
      </c>
      <c r="K1138" s="140" t="n"/>
      <c r="L1138" s="140">
        <f>+H1138*J1138</f>
        <v/>
      </c>
      <c r="M1138" s="141">
        <f>SUM(M1137+K1138-L1138)</f>
        <v/>
      </c>
    </row>
    <row r="1139">
      <c r="A1139" s="20" t="n">
        <v>45731</v>
      </c>
      <c r="B1139" s="21" t="n">
        <v>11280</v>
      </c>
      <c r="C1139" s="22" t="inlineStr">
        <is>
          <t>SELİM İNŞAAT</t>
        </is>
      </c>
      <c r="D1139" s="21" t="inlineStr">
        <is>
          <t>34 EDC 162</t>
        </is>
      </c>
      <c r="E1139" s="21" t="inlineStr">
        <is>
          <t xml:space="preserve">YAKUP GÜNER </t>
        </is>
      </c>
      <c r="F1139" s="23" t="n">
        <v>347374</v>
      </c>
      <c r="G1139" s="138" t="n"/>
      <c r="H1139" s="138" t="n">
        <v>426</v>
      </c>
      <c r="I1139" s="138">
        <f>+I1138+(G1139-H1139)</f>
        <v/>
      </c>
      <c r="J1139" s="139" t="n">
        <v>38.533</v>
      </c>
      <c r="K1139" s="140" t="n"/>
      <c r="L1139" s="140">
        <f>+H1139*J1139</f>
        <v/>
      </c>
      <c r="M1139" s="141">
        <f>SUM(M1138+K1139-L1139)</f>
        <v/>
      </c>
    </row>
    <row r="1140">
      <c r="A1140" s="20" t="n">
        <v>45731</v>
      </c>
      <c r="B1140" s="21" t="n">
        <v>11814</v>
      </c>
      <c r="C1140" s="22" t="inlineStr">
        <is>
          <t>SELİM İNŞAAT</t>
        </is>
      </c>
      <c r="D1140" s="21" t="inlineStr">
        <is>
          <t>34 FSG 229</t>
        </is>
      </c>
      <c r="E1140" s="21" t="inlineStr">
        <is>
          <t>SİNAN TANRIVERDİ</t>
        </is>
      </c>
      <c r="F1140" s="23" t="n">
        <v>238137</v>
      </c>
      <c r="G1140" s="138" t="n"/>
      <c r="H1140" s="138" t="n">
        <v>367</v>
      </c>
      <c r="I1140" s="138">
        <f>+I1139+(G1140-H1140)</f>
        <v/>
      </c>
      <c r="J1140" s="139" t="n">
        <v>38.533</v>
      </c>
      <c r="K1140" s="140" t="n"/>
      <c r="L1140" s="140">
        <f>+H1140*J1140</f>
        <v/>
      </c>
      <c r="M1140" s="141">
        <f>SUM(M1139+K1140-L1140)</f>
        <v/>
      </c>
    </row>
    <row r="1141">
      <c r="A1141" s="20" t="n">
        <v>45731</v>
      </c>
      <c r="B1141" s="21" t="n">
        <v>14458</v>
      </c>
      <c r="C1141" s="22" t="inlineStr">
        <is>
          <t>SELİM İNŞAAT</t>
        </is>
      </c>
      <c r="D1141" s="21" t="inlineStr">
        <is>
          <t>34 GUS 848</t>
        </is>
      </c>
      <c r="E1141" s="21" t="inlineStr">
        <is>
          <t>SERDAR BOZKURT</t>
        </is>
      </c>
      <c r="F1141" s="23" t="n">
        <v>171460</v>
      </c>
      <c r="G1141" s="138" t="n"/>
      <c r="H1141" s="138" t="n">
        <v>294</v>
      </c>
      <c r="I1141" s="138">
        <f>+I1140+(G1141-H1141)</f>
        <v/>
      </c>
      <c r="J1141" s="139" t="n">
        <v>38.533</v>
      </c>
      <c r="K1141" s="140" t="n"/>
      <c r="L1141" s="140">
        <f>+H1141*J1141</f>
        <v/>
      </c>
      <c r="M1141" s="141">
        <f>SUM(M1140+K1141-L1141)</f>
        <v/>
      </c>
    </row>
    <row r="1142">
      <c r="A1142" s="20" t="n">
        <v>45731</v>
      </c>
      <c r="B1142" s="21" t="n">
        <v>21290</v>
      </c>
      <c r="C1142" s="22" t="inlineStr">
        <is>
          <t>SELİM İNŞAAT</t>
        </is>
      </c>
      <c r="D1142" s="21" t="inlineStr">
        <is>
          <t>34 DTV 447</t>
        </is>
      </c>
      <c r="E1142" s="21" t="inlineStr">
        <is>
          <t>EBUBEKİR KOLDAŞ</t>
        </is>
      </c>
      <c r="F1142" s="23" t="n">
        <v>417872</v>
      </c>
      <c r="G1142" s="138" t="n"/>
      <c r="H1142" s="138" t="n">
        <v>413</v>
      </c>
      <c r="I1142" s="138">
        <f>+I1141+(G1142-H1142)</f>
        <v/>
      </c>
      <c r="J1142" s="139" t="n">
        <v>38.533</v>
      </c>
      <c r="K1142" s="140" t="n"/>
      <c r="L1142" s="140">
        <f>+H1142*J1142</f>
        <v/>
      </c>
      <c r="M1142" s="141">
        <f>SUM(M1141+K1142-L1142)</f>
        <v/>
      </c>
    </row>
    <row r="1143">
      <c r="A1143" s="20" t="n">
        <v>45731</v>
      </c>
      <c r="B1143" s="21" t="n">
        <v>10520</v>
      </c>
      <c r="C1143" s="22" t="inlineStr">
        <is>
          <t>SELİM İNŞAAT</t>
        </is>
      </c>
      <c r="D1143" s="21" t="inlineStr">
        <is>
          <t>34 EDB 922</t>
        </is>
      </c>
      <c r="E1143" s="21" t="inlineStr">
        <is>
          <t>AHMET TOPÇU</t>
        </is>
      </c>
      <c r="F1143" s="23" t="n">
        <v>339383</v>
      </c>
      <c r="G1143" s="138" t="n"/>
      <c r="H1143" s="138" t="n">
        <v>477</v>
      </c>
      <c r="I1143" s="138">
        <f>+I1142+(G1143-H1143)</f>
        <v/>
      </c>
      <c r="J1143" s="139" t="n">
        <v>38.533</v>
      </c>
      <c r="K1143" s="140" t="n"/>
      <c r="L1143" s="140">
        <f>+H1143*J1143</f>
        <v/>
      </c>
      <c r="M1143" s="141">
        <f>SUM(M1142+K1143-L1143)</f>
        <v/>
      </c>
    </row>
    <row r="1144">
      <c r="A1144" s="20" t="n">
        <v>45731</v>
      </c>
      <c r="B1144" s="21" t="n">
        <v>10179</v>
      </c>
      <c r="C1144" s="22" t="inlineStr">
        <is>
          <t>SELİM İNŞAAT</t>
        </is>
      </c>
      <c r="D1144" s="21" t="inlineStr">
        <is>
          <t>34 EGR 736</t>
        </is>
      </c>
      <c r="E1144" s="21" t="inlineStr">
        <is>
          <t>MUHAMMER ÇAMLI</t>
        </is>
      </c>
      <c r="F1144" s="23" t="n">
        <v>368431</v>
      </c>
      <c r="G1144" s="138" t="n"/>
      <c r="H1144" s="138" t="n">
        <v>287</v>
      </c>
      <c r="I1144" s="138">
        <f>+I1143+(G1144-H1144)</f>
        <v/>
      </c>
      <c r="J1144" s="139" t="n">
        <v>38.533</v>
      </c>
      <c r="K1144" s="140" t="n"/>
      <c r="L1144" s="140">
        <f>+H1144*J1144</f>
        <v/>
      </c>
      <c r="M1144" s="141">
        <f>SUM(M1143+K1144-L1144)</f>
        <v/>
      </c>
    </row>
    <row r="1145">
      <c r="A1145" s="20" t="n">
        <v>45731</v>
      </c>
      <c r="B1145" s="21" t="n">
        <v>14105</v>
      </c>
      <c r="C1145" s="22" t="inlineStr">
        <is>
          <t>SELİM İNŞAAT</t>
        </is>
      </c>
      <c r="D1145" s="21" t="inlineStr">
        <is>
          <t>34 DSN 536</t>
        </is>
      </c>
      <c r="E1145" s="21" t="inlineStr">
        <is>
          <t>DURSUN ALİ GÜREK</t>
        </is>
      </c>
      <c r="F1145" s="23" t="n">
        <v>384967</v>
      </c>
      <c r="G1145" s="138" t="n"/>
      <c r="H1145" s="138" t="n">
        <v>345</v>
      </c>
      <c r="I1145" s="138">
        <f>+I1144+(G1145-H1145)</f>
        <v/>
      </c>
      <c r="J1145" s="139" t="n">
        <v>38.533</v>
      </c>
      <c r="K1145" s="140" t="n"/>
      <c r="L1145" s="140">
        <f>+H1145*J1145</f>
        <v/>
      </c>
      <c r="M1145" s="141">
        <f>SUM(M1144+K1145-L1145)</f>
        <v/>
      </c>
    </row>
    <row r="1146">
      <c r="A1146" s="20" t="n">
        <v>45731</v>
      </c>
      <c r="B1146" s="21" t="n">
        <v>11068</v>
      </c>
      <c r="C1146" s="22" t="inlineStr">
        <is>
          <t>SELİM İNŞAAT</t>
        </is>
      </c>
      <c r="D1146" s="21" t="inlineStr">
        <is>
          <t>34 HBY 763</t>
        </is>
      </c>
      <c r="E1146" s="21" t="inlineStr">
        <is>
          <t>EMİRCAN ÖZTÜRK</t>
        </is>
      </c>
      <c r="F1146" s="23" t="n">
        <v>13905</v>
      </c>
      <c r="G1146" s="138" t="n"/>
      <c r="H1146" s="138" t="n">
        <v>176</v>
      </c>
      <c r="I1146" s="138">
        <f>+I1145+(G1146-H1146)</f>
        <v/>
      </c>
      <c r="J1146" s="139" t="n">
        <v>38.533</v>
      </c>
      <c r="K1146" s="140" t="n"/>
      <c r="L1146" s="140">
        <f>+H1146*J1146</f>
        <v/>
      </c>
      <c r="M1146" s="141">
        <f>SUM(M1145+K1146-L1146)</f>
        <v/>
      </c>
    </row>
    <row r="1147">
      <c r="A1147" s="20" t="n">
        <v>45731</v>
      </c>
      <c r="B1147" s="21" t="n">
        <v>11999</v>
      </c>
      <c r="C1147" s="22" t="inlineStr">
        <is>
          <t>SELİM İNŞAAT</t>
        </is>
      </c>
      <c r="D1147" s="21" t="inlineStr">
        <is>
          <t>34 DKL 798</t>
        </is>
      </c>
      <c r="E1147" s="21" t="inlineStr">
        <is>
          <t>VOLKAN YANAR</t>
        </is>
      </c>
      <c r="F1147" s="23" t="n">
        <v>62121</v>
      </c>
      <c r="G1147" s="138" t="n"/>
      <c r="H1147" s="138" t="n">
        <v>108</v>
      </c>
      <c r="I1147" s="138">
        <f>+I1146+(G1147-H1147)</f>
        <v/>
      </c>
      <c r="J1147" s="139" t="n">
        <v>38.533</v>
      </c>
      <c r="K1147" s="140" t="n"/>
      <c r="L1147" s="140">
        <f>+H1147*J1147</f>
        <v/>
      </c>
      <c r="M1147" s="141">
        <f>SUM(M1146+K1147-L1147)</f>
        <v/>
      </c>
    </row>
    <row r="1148">
      <c r="A1148" s="20" t="n">
        <v>45731</v>
      </c>
      <c r="B1148" s="21" t="n">
        <v>14308</v>
      </c>
      <c r="C1148" s="22" t="inlineStr">
        <is>
          <t>SELİM İNŞAAT</t>
        </is>
      </c>
      <c r="D1148" s="21" t="inlineStr">
        <is>
          <t>34 DKL 866</t>
        </is>
      </c>
      <c r="E1148" s="21" t="inlineStr">
        <is>
          <t>SELİM CAN ÖNVER</t>
        </is>
      </c>
      <c r="F1148" s="23" t="n">
        <v>62051</v>
      </c>
      <c r="G1148" s="138" t="n"/>
      <c r="H1148" s="138" t="n">
        <v>153</v>
      </c>
      <c r="I1148" s="138">
        <f>+I1147+(G1148-H1148)</f>
        <v/>
      </c>
      <c r="J1148" s="139" t="n">
        <v>38.533</v>
      </c>
      <c r="K1148" s="140" t="n"/>
      <c r="L1148" s="140">
        <f>+H1148*J1148</f>
        <v/>
      </c>
      <c r="M1148" s="141">
        <f>SUM(M1147+K1148-L1148)</f>
        <v/>
      </c>
    </row>
    <row r="1149">
      <c r="A1149" s="20" t="n">
        <v>45731</v>
      </c>
      <c r="B1149" s="21" t="n">
        <v>21311</v>
      </c>
      <c r="C1149" s="22" t="inlineStr">
        <is>
          <t>SELİM İNŞAAT</t>
        </is>
      </c>
      <c r="D1149" s="21" t="inlineStr">
        <is>
          <t>34 FEM 934</t>
        </is>
      </c>
      <c r="E1149" s="21" t="inlineStr">
        <is>
          <t>MUSTAFA ALBAYRAK</t>
        </is>
      </c>
      <c r="F1149" s="23" t="n">
        <v>301780</v>
      </c>
      <c r="G1149" s="138" t="n"/>
      <c r="H1149" s="138" t="n">
        <v>81</v>
      </c>
      <c r="I1149" s="138">
        <f>+I1148+(G1149-H1149)</f>
        <v/>
      </c>
      <c r="J1149" s="139" t="n">
        <v>38.533</v>
      </c>
      <c r="K1149" s="140" t="n"/>
      <c r="L1149" s="140">
        <f>+H1149*J1149</f>
        <v/>
      </c>
      <c r="M1149" s="141">
        <f>SUM(M1148+K1149-L1149)</f>
        <v/>
      </c>
    </row>
    <row r="1150">
      <c r="A1150" s="20" t="n">
        <v>45731</v>
      </c>
      <c r="B1150" s="21" t="n">
        <v>20189</v>
      </c>
      <c r="C1150" s="22" t="inlineStr">
        <is>
          <t>SELİM İNŞAAT</t>
        </is>
      </c>
      <c r="D1150" s="21" t="inlineStr">
        <is>
          <t>34 JGR 15</t>
        </is>
      </c>
      <c r="E1150" s="21" t="inlineStr">
        <is>
          <t>MUHAMMER ÇAMLI</t>
        </is>
      </c>
      <c r="F1150" s="23" t="n">
        <v>306504</v>
      </c>
      <c r="G1150" s="138" t="n"/>
      <c r="H1150" s="138" t="n">
        <v>32</v>
      </c>
      <c r="I1150" s="138">
        <f>+I1149+(G1150-H1150)</f>
        <v/>
      </c>
      <c r="J1150" s="139" t="n">
        <v>38.533</v>
      </c>
      <c r="K1150" s="140" t="n"/>
      <c r="L1150" s="140">
        <f>+H1150*J1150</f>
        <v/>
      </c>
      <c r="M1150" s="141">
        <f>SUM(M1149+K1150-L1150)</f>
        <v/>
      </c>
    </row>
    <row r="1151">
      <c r="A1151" s="20" t="n">
        <v>45731</v>
      </c>
      <c r="B1151" s="21" t="n">
        <v>16731</v>
      </c>
      <c r="C1151" s="22" t="inlineStr">
        <is>
          <t>SELİM İNŞAAT</t>
        </is>
      </c>
      <c r="D1151" s="21" t="inlineStr">
        <is>
          <t>34 JBA 25</t>
        </is>
      </c>
      <c r="E1151" s="21" t="inlineStr">
        <is>
          <t>ABDURRAHMAN SERDAN</t>
        </is>
      </c>
      <c r="F1151" s="23" t="n">
        <v>330501</v>
      </c>
      <c r="G1151" s="138" t="n"/>
      <c r="H1151" s="138" t="n">
        <v>74</v>
      </c>
      <c r="I1151" s="138">
        <f>+I1150+(G1151-H1151)</f>
        <v/>
      </c>
      <c r="J1151" s="139" t="n">
        <v>38.533</v>
      </c>
      <c r="K1151" s="140" t="n"/>
      <c r="L1151" s="140">
        <f>+H1151*J1151</f>
        <v/>
      </c>
      <c r="M1151" s="141">
        <f>SUM(M1150+K1151-L1151)</f>
        <v/>
      </c>
    </row>
    <row r="1152">
      <c r="A1152" s="20" t="n">
        <v>45731</v>
      </c>
      <c r="B1152" s="21" t="n">
        <v>14504</v>
      </c>
      <c r="C1152" s="22" t="inlineStr">
        <is>
          <t>SELİM İNŞAAT</t>
        </is>
      </c>
      <c r="D1152" s="21" t="inlineStr">
        <is>
          <t>34 GER 028</t>
        </is>
      </c>
      <c r="E1152" s="21" t="inlineStr">
        <is>
          <t>A.KERİM ERGEN</t>
        </is>
      </c>
      <c r="F1152" s="23" t="n">
        <v>40753</v>
      </c>
      <c r="G1152" s="138" t="n"/>
      <c r="H1152" s="138" t="n">
        <v>220</v>
      </c>
      <c r="I1152" s="138">
        <f>+I1151+(G1152-H1152)</f>
        <v/>
      </c>
      <c r="J1152" s="139" t="n">
        <v>38.533</v>
      </c>
      <c r="K1152" s="140" t="n"/>
      <c r="L1152" s="140">
        <f>+H1152*J1152</f>
        <v/>
      </c>
      <c r="M1152" s="141">
        <f>SUM(M1151+K1152-L1152)</f>
        <v/>
      </c>
    </row>
    <row r="1153">
      <c r="A1153" s="20" t="n">
        <v>45731</v>
      </c>
      <c r="B1153" s="21" t="n">
        <v>9942</v>
      </c>
      <c r="C1153" s="22" t="inlineStr">
        <is>
          <t>AHMET SELİM TEMHA</t>
        </is>
      </c>
      <c r="D1153" s="21" t="inlineStr">
        <is>
          <t>34 DGE 422</t>
        </is>
      </c>
      <c r="E1153" s="21" t="inlineStr">
        <is>
          <t>CEMAL AKDAMAR</t>
        </is>
      </c>
      <c r="F1153" s="23" t="n"/>
      <c r="G1153" s="138" t="n"/>
      <c r="H1153" s="138" t="n">
        <v>55</v>
      </c>
      <c r="I1153" s="138">
        <f>+I1152+(G1153-H1153)</f>
        <v/>
      </c>
      <c r="J1153" s="139" t="n">
        <v>38.533</v>
      </c>
      <c r="K1153" s="140" t="n"/>
      <c r="L1153" s="140">
        <f>+H1153*J1153</f>
        <v/>
      </c>
      <c r="M1153" s="141">
        <f>SUM(M1152+K1153-L1153)</f>
        <v/>
      </c>
    </row>
    <row r="1154">
      <c r="A1154" s="20" t="n">
        <v>45731</v>
      </c>
      <c r="B1154" s="21" t="n">
        <v>9943</v>
      </c>
      <c r="C1154" s="22" t="n"/>
      <c r="D1154" s="21" t="inlineStr">
        <is>
          <t>TRAKTÖR</t>
        </is>
      </c>
      <c r="E1154" s="21" t="inlineStr">
        <is>
          <t>İLYAS OYAR</t>
        </is>
      </c>
      <c r="F1154" s="23" t="n"/>
      <c r="G1154" s="138" t="n"/>
      <c r="H1154" s="138" t="n">
        <v>36</v>
      </c>
      <c r="I1154" s="138">
        <f>+I1153+(G1154-H1154)</f>
        <v/>
      </c>
      <c r="J1154" s="139" t="n">
        <v>38.533</v>
      </c>
      <c r="K1154" s="140" t="n"/>
      <c r="L1154" s="140">
        <f>+H1154*J1154</f>
        <v/>
      </c>
      <c r="M1154" s="141">
        <f>SUM(M1153+K1154-L1154)</f>
        <v/>
      </c>
    </row>
    <row r="1155">
      <c r="A1155" s="20" t="n">
        <v>45731</v>
      </c>
      <c r="B1155" s="21" t="n">
        <v>14704</v>
      </c>
      <c r="C1155" s="22" t="inlineStr">
        <is>
          <t>METİN ERYİĞİT</t>
        </is>
      </c>
      <c r="D1155" s="21" t="inlineStr">
        <is>
          <t>34 GBL 998</t>
        </is>
      </c>
      <c r="E1155" s="21" t="inlineStr">
        <is>
          <t>ALİ KESKİN</t>
        </is>
      </c>
      <c r="F1155" s="23" t="n">
        <v>247126</v>
      </c>
      <c r="G1155" s="138" t="n"/>
      <c r="H1155" s="138" t="n">
        <v>374</v>
      </c>
      <c r="I1155" s="138">
        <f>+I1154+(G1155-H1155)</f>
        <v/>
      </c>
      <c r="J1155" s="139" t="n">
        <v>38.533</v>
      </c>
      <c r="K1155" s="140" t="n"/>
      <c r="L1155" s="140">
        <f>+H1155*J1155</f>
        <v/>
      </c>
      <c r="M1155" s="141">
        <f>SUM(M1154+K1155-L1155)</f>
        <v/>
      </c>
    </row>
    <row r="1156">
      <c r="A1156" s="20" t="n">
        <v>45731</v>
      </c>
      <c r="B1156" s="21" t="n">
        <v>10029</v>
      </c>
      <c r="C1156" s="22" t="inlineStr">
        <is>
          <t>METİN ERYİĞİT</t>
        </is>
      </c>
      <c r="D1156" s="21" t="inlineStr">
        <is>
          <t>34 EGS 013</t>
        </is>
      </c>
      <c r="E1156" s="21" t="inlineStr">
        <is>
          <t>UĞUR DUMAN</t>
        </is>
      </c>
      <c r="F1156" s="23" t="n">
        <v>468504</v>
      </c>
      <c r="G1156" s="138" t="n"/>
      <c r="H1156" s="138" t="n">
        <v>445</v>
      </c>
      <c r="I1156" s="138">
        <f>+I1155+(G1156-H1156)</f>
        <v/>
      </c>
      <c r="J1156" s="139" t="n">
        <v>38.533</v>
      </c>
      <c r="K1156" s="140" t="n"/>
      <c r="L1156" s="140">
        <f>+H1156*J1156</f>
        <v/>
      </c>
      <c r="M1156" s="141">
        <f>SUM(M1155+K1156-L1156)</f>
        <v/>
      </c>
    </row>
    <row r="1157">
      <c r="A1157" s="20" t="n">
        <v>45731</v>
      </c>
      <c r="B1157" s="21" t="n">
        <v>11434</v>
      </c>
      <c r="C1157" s="22" t="inlineStr">
        <is>
          <t>METİN ERYİĞİT</t>
        </is>
      </c>
      <c r="D1157" s="21" t="inlineStr">
        <is>
          <t>34 EGR 814</t>
        </is>
      </c>
      <c r="E1157" s="21" t="inlineStr">
        <is>
          <t>FARUK ÖZEN</t>
        </is>
      </c>
      <c r="F1157" s="23" t="n">
        <v>521330</v>
      </c>
      <c r="G1157" s="138" t="n"/>
      <c r="H1157" s="138" t="n">
        <v>497</v>
      </c>
      <c r="I1157" s="138">
        <f>+I1156+(G1157-H1157)</f>
        <v/>
      </c>
      <c r="J1157" s="139" t="n">
        <v>38.533</v>
      </c>
      <c r="K1157" s="140" t="n"/>
      <c r="L1157" s="140">
        <f>+H1157*J1157</f>
        <v/>
      </c>
      <c r="M1157" s="141">
        <f>SUM(M1156+K1157-L1157)</f>
        <v/>
      </c>
    </row>
    <row r="1158">
      <c r="A1158" s="20" t="n">
        <v>45731</v>
      </c>
      <c r="B1158" s="21" t="n">
        <v>11316</v>
      </c>
      <c r="C1158" s="22" t="inlineStr">
        <is>
          <t>AZGÜN YAPI</t>
        </is>
      </c>
      <c r="D1158" s="21" t="inlineStr">
        <is>
          <t>34 MKT 859</t>
        </is>
      </c>
      <c r="E1158" s="21" t="inlineStr">
        <is>
          <t>HASAN ALTUN</t>
        </is>
      </c>
      <c r="F1158" s="23" t="n">
        <v>19948</v>
      </c>
      <c r="G1158" s="138" t="n"/>
      <c r="H1158" s="138" t="n">
        <v>790</v>
      </c>
      <c r="I1158" s="138">
        <f>+I1157+(G1158-H1158)</f>
        <v/>
      </c>
      <c r="J1158" s="139" t="n">
        <v>38.533</v>
      </c>
      <c r="K1158" s="140" t="n"/>
      <c r="L1158" s="140">
        <f>+H1158*J1158</f>
        <v/>
      </c>
      <c r="M1158" s="141">
        <f>SUM(M1157+K1158-L1158)</f>
        <v/>
      </c>
    </row>
    <row r="1159">
      <c r="A1159" s="20" t="n">
        <v>45731</v>
      </c>
      <c r="B1159" s="1" t="n">
        <v>14991</v>
      </c>
      <c r="C1159" s="2" t="inlineStr">
        <is>
          <t>EVKUR</t>
        </is>
      </c>
      <c r="D1159" s="1" t="inlineStr">
        <is>
          <t>MNT 2260</t>
        </is>
      </c>
      <c r="E1159" s="1" t="inlineStr">
        <is>
          <t>MUHAMMED KANTAR</t>
        </is>
      </c>
      <c r="F1159" s="3" t="n"/>
      <c r="G1159" s="143" t="n"/>
      <c r="H1159" s="143" t="n">
        <v>202</v>
      </c>
      <c r="I1159" s="143">
        <f>+I1158+(G1159-H1159)</f>
        <v/>
      </c>
      <c r="J1159" s="144" t="n">
        <v>38.533</v>
      </c>
      <c r="K1159" s="145" t="n"/>
      <c r="L1159" s="140">
        <f>+H1159*J1159</f>
        <v/>
      </c>
      <c r="M1159" s="141">
        <f>SUM(M1158+K1159-L1159)</f>
        <v/>
      </c>
    </row>
    <row r="1160">
      <c r="A1160" s="20" t="n">
        <v>45731</v>
      </c>
      <c r="B1160" s="1" t="n">
        <v>14992</v>
      </c>
      <c r="C1160" s="2" t="inlineStr">
        <is>
          <t>EVKUR</t>
        </is>
      </c>
      <c r="D1160" s="1" t="inlineStr">
        <is>
          <t>KAVAZAKİ</t>
        </is>
      </c>
      <c r="E1160" s="1" t="inlineStr">
        <is>
          <t>UFUK SEVAL</t>
        </is>
      </c>
      <c r="F1160" s="3" t="n"/>
      <c r="G1160" s="143" t="n"/>
      <c r="H1160" s="143" t="n">
        <v>177</v>
      </c>
      <c r="I1160" s="143">
        <f>+I1159+(G1160-H1160)</f>
        <v/>
      </c>
      <c r="J1160" s="144" t="n">
        <v>38.533</v>
      </c>
      <c r="K1160" s="145" t="n"/>
      <c r="L1160" s="140">
        <f>+H1160*J1160</f>
        <v/>
      </c>
      <c r="M1160" s="141">
        <f>SUM(M1159+K1160-L1160)</f>
        <v/>
      </c>
    </row>
    <row r="1161">
      <c r="A1161" s="20" t="n">
        <v>45731</v>
      </c>
      <c r="B1161" s="1" t="n">
        <v>14993</v>
      </c>
      <c r="C1161" s="2" t="inlineStr">
        <is>
          <t>VARLIK</t>
        </is>
      </c>
      <c r="D1161" s="1" t="inlineStr">
        <is>
          <t>SM 300</t>
        </is>
      </c>
      <c r="E1161" s="1" t="inlineStr">
        <is>
          <t>TURGUT SANCAK</t>
        </is>
      </c>
      <c r="F1161" s="3" t="n"/>
      <c r="G1161" s="143" t="n"/>
      <c r="H1161" s="143" t="n">
        <v>196</v>
      </c>
      <c r="I1161" s="143">
        <f>+I1160+(G1161-H1161)</f>
        <v/>
      </c>
      <c r="J1161" s="144" t="n">
        <v>38.533</v>
      </c>
      <c r="K1161" s="145" t="n"/>
      <c r="L1161" s="140">
        <f>+H1161*J1161</f>
        <v/>
      </c>
      <c r="M1161" s="141">
        <f>SUM(M1160+K1161-L1161)</f>
        <v/>
      </c>
    </row>
    <row r="1162">
      <c r="A1162" s="20" t="n">
        <v>45731</v>
      </c>
      <c r="B1162" s="1" t="n">
        <v>14994</v>
      </c>
      <c r="C1162" s="2" t="inlineStr">
        <is>
          <t>VARLIK</t>
        </is>
      </c>
      <c r="D1162" s="1" t="inlineStr">
        <is>
          <t>SM 350</t>
        </is>
      </c>
      <c r="E1162" s="1" t="inlineStr">
        <is>
          <t>BAYRAM SANCAK</t>
        </is>
      </c>
      <c r="F1162" s="3" t="n"/>
      <c r="G1162" s="143" t="n"/>
      <c r="H1162" s="143" t="n">
        <v>390</v>
      </c>
      <c r="I1162" s="143">
        <f>+I1161+(G1162-H1162)</f>
        <v/>
      </c>
      <c r="J1162" s="144" t="n">
        <v>38.533</v>
      </c>
      <c r="K1162" s="145" t="n"/>
      <c r="L1162" s="140">
        <f>+H1162*J1162</f>
        <v/>
      </c>
      <c r="M1162" s="141">
        <f>SUM(M1161+K1162-L1162)</f>
        <v/>
      </c>
    </row>
    <row r="1163">
      <c r="A1163" s="20" t="n">
        <v>45731</v>
      </c>
      <c r="B1163" s="1" t="n">
        <v>14995</v>
      </c>
      <c r="C1163" s="2" t="inlineStr">
        <is>
          <t>HASALTUN</t>
        </is>
      </c>
      <c r="D1163" s="1" t="inlineStr">
        <is>
          <t>SM 370</t>
        </is>
      </c>
      <c r="E1163" s="1" t="inlineStr">
        <is>
          <t>RAMAZAN KAYA</t>
        </is>
      </c>
      <c r="F1163" s="3" t="n"/>
      <c r="G1163" s="143" t="n"/>
      <c r="H1163" s="143" t="n">
        <v>430</v>
      </c>
      <c r="I1163" s="143">
        <f>+I1162+(G1163-H1163)</f>
        <v/>
      </c>
      <c r="J1163" s="144" t="n">
        <v>38.533</v>
      </c>
      <c r="K1163" s="145" t="n"/>
      <c r="L1163" s="140">
        <f>+H1163*J1163</f>
        <v/>
      </c>
      <c r="M1163" s="141">
        <f>SUM(M1162+K1163-L1163)</f>
        <v/>
      </c>
    </row>
    <row r="1164">
      <c r="A1164" s="20" t="n">
        <v>45731</v>
      </c>
      <c r="B1164" s="1" t="n">
        <v>14996</v>
      </c>
      <c r="C1164" s="2" t="inlineStr">
        <is>
          <t>HASALTUN</t>
        </is>
      </c>
      <c r="D1164" s="1" t="inlineStr">
        <is>
          <t>SM 350</t>
        </is>
      </c>
      <c r="E1164" s="1" t="inlineStr">
        <is>
          <t>TEVFİK ÖZTÜRK</t>
        </is>
      </c>
      <c r="F1164" s="3" t="n"/>
      <c r="G1164" s="143" t="n"/>
      <c r="H1164" s="143" t="n">
        <v>284</v>
      </c>
      <c r="I1164" s="143">
        <f>+I1163+(G1164-H1164)</f>
        <v/>
      </c>
      <c r="J1164" s="144" t="n">
        <v>38.533</v>
      </c>
      <c r="K1164" s="145" t="n"/>
      <c r="L1164" s="140">
        <f>+H1164*J1164</f>
        <v/>
      </c>
      <c r="M1164" s="141">
        <f>SUM(M1163+K1164-L1164)</f>
        <v/>
      </c>
    </row>
    <row r="1165">
      <c r="A1165" s="20" t="n">
        <v>45732</v>
      </c>
      <c r="B1165" s="21" t="n">
        <v>14158</v>
      </c>
      <c r="C1165" s="22" t="inlineStr">
        <is>
          <t>AZGÜN YAPI</t>
        </is>
      </c>
      <c r="D1165" s="21" t="inlineStr">
        <is>
          <t>34 DTV 263</t>
        </is>
      </c>
      <c r="E1165" s="21" t="inlineStr">
        <is>
          <t>EDİP TORLAK</t>
        </is>
      </c>
      <c r="F1165" s="23" t="n">
        <v>365428</v>
      </c>
      <c r="G1165" s="138" t="n"/>
      <c r="H1165" s="138" t="n">
        <v>382</v>
      </c>
      <c r="I1165" s="138">
        <f>+I1164+(G1165-H1165)</f>
        <v/>
      </c>
      <c r="J1165" s="139" t="n">
        <v>38.533</v>
      </c>
      <c r="K1165" s="140" t="n"/>
      <c r="L1165" s="140">
        <f>+H1165*J1165</f>
        <v/>
      </c>
      <c r="M1165" s="141">
        <f>SUM(M1164+K1165-L1165)</f>
        <v/>
      </c>
    </row>
    <row r="1166">
      <c r="A1166" s="20" t="n">
        <v>45732</v>
      </c>
      <c r="B1166" s="21" t="n">
        <v>11435</v>
      </c>
      <c r="C1166" s="22" t="inlineStr">
        <is>
          <t>METİN ERYİĞİT</t>
        </is>
      </c>
      <c r="D1166" s="21" t="inlineStr">
        <is>
          <t>34 EGR 814</t>
        </is>
      </c>
      <c r="E1166" s="21" t="inlineStr">
        <is>
          <t>FARUK ÖZEN</t>
        </is>
      </c>
      <c r="F1166" s="23" t="n">
        <v>522002</v>
      </c>
      <c r="G1166" s="138" t="n"/>
      <c r="H1166" s="138" t="n">
        <v>345</v>
      </c>
      <c r="I1166" s="138">
        <f>+I1165+(G1166-H1166)</f>
        <v/>
      </c>
      <c r="J1166" s="139" t="n">
        <v>38.533</v>
      </c>
      <c r="K1166" s="140" t="n"/>
      <c r="L1166" s="140">
        <f>+H1166*J1166</f>
        <v/>
      </c>
      <c r="M1166" s="141">
        <f>SUM(M1165+K1166-L1166)</f>
        <v/>
      </c>
    </row>
    <row r="1167">
      <c r="A1167" s="20" t="n">
        <v>45732</v>
      </c>
      <c r="B1167" s="21" t="n">
        <v>11468</v>
      </c>
      <c r="C1167" s="22" t="inlineStr">
        <is>
          <t>METİN ŞİRİN</t>
        </is>
      </c>
      <c r="D1167" s="21" t="inlineStr">
        <is>
          <t>34 EGR 922</t>
        </is>
      </c>
      <c r="E1167" s="21" t="inlineStr">
        <is>
          <t>GÜRAY KOYUNCU</t>
        </is>
      </c>
      <c r="F1167" s="23" t="n">
        <v>439428</v>
      </c>
      <c r="G1167" s="138" t="n"/>
      <c r="H1167" s="138" t="n">
        <v>367</v>
      </c>
      <c r="I1167" s="138">
        <f>+I1166+(G1167-H1167)</f>
        <v/>
      </c>
      <c r="J1167" s="139" t="n">
        <v>38.533</v>
      </c>
      <c r="K1167" s="140" t="n"/>
      <c r="L1167" s="140">
        <f>+H1167*J1167</f>
        <v/>
      </c>
      <c r="M1167" s="141">
        <f>SUM(M1166+K1167-L1167)</f>
        <v/>
      </c>
    </row>
    <row r="1168">
      <c r="A1168" s="20" t="n">
        <v>45732</v>
      </c>
      <c r="B1168" s="21" t="n">
        <v>11153</v>
      </c>
      <c r="C1168" s="22" t="inlineStr">
        <is>
          <t>SELİM İNŞAAT</t>
        </is>
      </c>
      <c r="D1168" s="21" t="inlineStr">
        <is>
          <t>34 HZ 1663</t>
        </is>
      </c>
      <c r="E1168" s="21" t="inlineStr">
        <is>
          <t>ÖNER DÜNDAR</t>
        </is>
      </c>
      <c r="F1168" s="23" t="n">
        <v>517741</v>
      </c>
      <c r="G1168" s="138" t="n"/>
      <c r="H1168" s="138" t="n">
        <v>260</v>
      </c>
      <c r="I1168" s="138">
        <f>+I1167+(G1168-H1168)</f>
        <v/>
      </c>
      <c r="J1168" s="139" t="n">
        <v>38.533</v>
      </c>
      <c r="K1168" s="140" t="n"/>
      <c r="L1168" s="140">
        <f>+H1168*J1168</f>
        <v/>
      </c>
      <c r="M1168" s="141">
        <f>SUM(M1167+K1168-L1168)</f>
        <v/>
      </c>
    </row>
    <row r="1169">
      <c r="A1169" s="20" t="n">
        <v>45732</v>
      </c>
      <c r="B1169" s="21" t="n">
        <v>10771</v>
      </c>
      <c r="C1169" s="22" t="inlineStr">
        <is>
          <t>SELİM İNŞAAT</t>
        </is>
      </c>
      <c r="D1169" s="21" t="inlineStr">
        <is>
          <t>34 FBR 705</t>
        </is>
      </c>
      <c r="E1169" s="21" t="inlineStr">
        <is>
          <t>MESUT GÜRLER</t>
        </is>
      </c>
      <c r="F1169" s="23" t="n">
        <v>293549</v>
      </c>
      <c r="G1169" s="138" t="n"/>
      <c r="H1169" s="138" t="n">
        <v>376</v>
      </c>
      <c r="I1169" s="138">
        <f>+I1168+(G1169-H1169)</f>
        <v/>
      </c>
      <c r="J1169" s="139" t="n">
        <v>38.533</v>
      </c>
      <c r="K1169" s="140" t="n"/>
      <c r="L1169" s="140">
        <f>+H1169*J1169</f>
        <v/>
      </c>
      <c r="M1169" s="141">
        <f>SUM(M1168+K1169-L1169)</f>
        <v/>
      </c>
    </row>
    <row r="1170">
      <c r="A1170" s="20" t="n">
        <v>45732</v>
      </c>
      <c r="B1170" s="21" t="n">
        <v>10285</v>
      </c>
      <c r="C1170" s="22" t="inlineStr">
        <is>
          <t>SELİM İNŞAAT</t>
        </is>
      </c>
      <c r="D1170" s="21" t="inlineStr">
        <is>
          <t>34 FBR 748</t>
        </is>
      </c>
      <c r="E1170" s="21" t="inlineStr">
        <is>
          <t>YAŞAR ÖZKAYA</t>
        </is>
      </c>
      <c r="F1170" s="23" t="n">
        <v>266621</v>
      </c>
      <c r="G1170" s="138" t="n"/>
      <c r="H1170" s="138" t="n">
        <v>363</v>
      </c>
      <c r="I1170" s="138">
        <f>+I1169+(G1170-H1170)</f>
        <v/>
      </c>
      <c r="J1170" s="139" t="n">
        <v>38.533</v>
      </c>
      <c r="K1170" s="140" t="n"/>
      <c r="L1170" s="140">
        <f>+H1170*J1170</f>
        <v/>
      </c>
      <c r="M1170" s="141">
        <f>SUM(M1169+K1170-L1170)</f>
        <v/>
      </c>
    </row>
    <row r="1171">
      <c r="A1171" s="20" t="n">
        <v>45732</v>
      </c>
      <c r="B1171" s="21" t="n">
        <v>10995</v>
      </c>
      <c r="C1171" s="22" t="inlineStr">
        <is>
          <t>SELİM İNŞAAT</t>
        </is>
      </c>
      <c r="D1171" s="21" t="inlineStr">
        <is>
          <t>34 GVZ 199</t>
        </is>
      </c>
      <c r="E1171" s="21" t="inlineStr">
        <is>
          <t>VAHDET GÜRLER</t>
        </is>
      </c>
      <c r="F1171" s="23" t="n">
        <v>161571</v>
      </c>
      <c r="G1171" s="138" t="n"/>
      <c r="H1171" s="138" t="n">
        <v>305</v>
      </c>
      <c r="I1171" s="138">
        <f>+I1170+(G1171-H1171)</f>
        <v/>
      </c>
      <c r="J1171" s="139" t="n">
        <v>38.533</v>
      </c>
      <c r="K1171" s="140" t="n"/>
      <c r="L1171" s="140">
        <f>+H1171*J1171</f>
        <v/>
      </c>
      <c r="M1171" s="141">
        <f>SUM(M1170+K1171-L1171)</f>
        <v/>
      </c>
    </row>
    <row r="1172">
      <c r="A1172" s="20" t="n">
        <v>45732</v>
      </c>
      <c r="B1172" s="21" t="n">
        <v>10432</v>
      </c>
      <c r="C1172" s="22" t="inlineStr">
        <is>
          <t>SELİM İNŞAAT</t>
        </is>
      </c>
      <c r="D1172" s="21" t="inlineStr">
        <is>
          <t>34 FBR 781</t>
        </is>
      </c>
      <c r="E1172" s="21" t="inlineStr">
        <is>
          <t>MEVLÜT POLAT</t>
        </is>
      </c>
      <c r="F1172" s="23" t="n">
        <v>283990</v>
      </c>
      <c r="G1172" s="138" t="n"/>
      <c r="H1172" s="138" t="n">
        <v>352</v>
      </c>
      <c r="I1172" s="138">
        <f>+I1171+(G1172-H1172)</f>
        <v/>
      </c>
      <c r="J1172" s="139" t="n">
        <v>38.533</v>
      </c>
      <c r="K1172" s="140" t="n"/>
      <c r="L1172" s="140">
        <f>+H1172*J1172</f>
        <v/>
      </c>
      <c r="M1172" s="141">
        <f>SUM(M1171+K1172-L1172)</f>
        <v/>
      </c>
    </row>
    <row r="1173">
      <c r="A1173" s="20" t="n">
        <v>45732</v>
      </c>
      <c r="B1173" s="21" t="n">
        <v>14208</v>
      </c>
      <c r="C1173" s="22" t="inlineStr">
        <is>
          <t>SELİM İNŞAAT</t>
        </is>
      </c>
      <c r="D1173" s="21" t="inlineStr">
        <is>
          <t xml:space="preserve">34 GUS 938 </t>
        </is>
      </c>
      <c r="E1173" s="21" t="inlineStr">
        <is>
          <t>MEHMET KAYA</t>
        </is>
      </c>
      <c r="F1173" s="23" t="n">
        <v>167385</v>
      </c>
      <c r="G1173" s="138" t="n"/>
      <c r="H1173" s="138" t="n">
        <v>425</v>
      </c>
      <c r="I1173" s="138">
        <f>+I1172+(G1173-H1173)</f>
        <v/>
      </c>
      <c r="J1173" s="139" t="n">
        <v>38.533</v>
      </c>
      <c r="K1173" s="140" t="n"/>
      <c r="L1173" s="140">
        <f>+H1173*J1173</f>
        <v/>
      </c>
      <c r="M1173" s="141">
        <f>SUM(M1172+K1173-L1173)</f>
        <v/>
      </c>
    </row>
    <row r="1174">
      <c r="A1174" s="20" t="n">
        <v>45732</v>
      </c>
      <c r="B1174" s="21" t="n">
        <v>11131</v>
      </c>
      <c r="C1174" s="22" t="inlineStr">
        <is>
          <t>SELİM İNŞAAT</t>
        </is>
      </c>
      <c r="D1174" s="21" t="inlineStr">
        <is>
          <t>34 DTV 409</t>
        </is>
      </c>
      <c r="E1174" s="21" t="inlineStr">
        <is>
          <t xml:space="preserve">ONUR CANLI </t>
        </is>
      </c>
      <c r="F1174" s="23" t="n">
        <v>399746</v>
      </c>
      <c r="G1174" s="138" t="n"/>
      <c r="H1174" s="138" t="n">
        <v>391</v>
      </c>
      <c r="I1174" s="138">
        <f>+I1173+(G1174-H1174)</f>
        <v/>
      </c>
      <c r="J1174" s="139" t="n">
        <v>38.533</v>
      </c>
      <c r="K1174" s="140" t="n"/>
      <c r="L1174" s="140">
        <f>+H1174*J1174</f>
        <v/>
      </c>
      <c r="M1174" s="141">
        <f>SUM(M1173+K1174-L1174)</f>
        <v/>
      </c>
    </row>
    <row r="1175">
      <c r="A1175" s="20" t="n">
        <v>45732</v>
      </c>
      <c r="B1175" s="21" t="n">
        <v>10521</v>
      </c>
      <c r="C1175" s="22" t="inlineStr">
        <is>
          <t>SELİM İNŞAAT</t>
        </is>
      </c>
      <c r="D1175" s="21" t="inlineStr">
        <is>
          <t>34 EDB 922</t>
        </is>
      </c>
      <c r="E1175" s="21" t="inlineStr">
        <is>
          <t>AHMET TOPÇU</t>
        </is>
      </c>
      <c r="F1175" s="23" t="n">
        <v>339979</v>
      </c>
      <c r="G1175" s="138" t="n"/>
      <c r="H1175" s="138" t="n">
        <v>214</v>
      </c>
      <c r="I1175" s="138">
        <f>+I1174+(G1175-H1175)</f>
        <v/>
      </c>
      <c r="J1175" s="139" t="n">
        <v>38.533</v>
      </c>
      <c r="K1175" s="140" t="n"/>
      <c r="L1175" s="140">
        <f>+H1175*J1175</f>
        <v/>
      </c>
      <c r="M1175" s="141">
        <f>SUM(M1174+K1175-L1175)</f>
        <v/>
      </c>
    </row>
    <row r="1176">
      <c r="A1176" s="20" t="n">
        <v>45732</v>
      </c>
      <c r="B1176" s="21" t="n">
        <v>9796</v>
      </c>
      <c r="C1176" s="22" t="inlineStr">
        <is>
          <t>SELİM İNŞAAT</t>
        </is>
      </c>
      <c r="D1176" s="21" t="inlineStr">
        <is>
          <t>34 GVZ 268</t>
        </is>
      </c>
      <c r="E1176" s="21" t="inlineStr">
        <is>
          <t>KERİM KARAMAN</t>
        </is>
      </c>
      <c r="F1176" s="23" t="n">
        <v>172834</v>
      </c>
      <c r="G1176" s="138" t="n"/>
      <c r="H1176" s="138" t="n">
        <v>420</v>
      </c>
      <c r="I1176" s="138">
        <f>+I1175+(G1176-H1176)</f>
        <v/>
      </c>
      <c r="J1176" s="139" t="n">
        <v>38.533</v>
      </c>
      <c r="K1176" s="140" t="n"/>
      <c r="L1176" s="140">
        <f>+H1176*J1176</f>
        <v/>
      </c>
      <c r="M1176" s="141">
        <f>SUM(M1175+K1176-L1176)</f>
        <v/>
      </c>
    </row>
    <row r="1177">
      <c r="A1177" s="20" t="n">
        <v>45732</v>
      </c>
      <c r="B1177" s="21" t="n">
        <v>14405</v>
      </c>
      <c r="C1177" s="22" t="inlineStr">
        <is>
          <t>SELİM İNŞAAT</t>
        </is>
      </c>
      <c r="D1177" s="21" t="inlineStr">
        <is>
          <t>34 EGR 737</t>
        </is>
      </c>
      <c r="E1177" s="21" t="inlineStr">
        <is>
          <t>İBRAHİM GÜNASLAN</t>
        </is>
      </c>
      <c r="F1177" s="23" t="n">
        <v>398685</v>
      </c>
      <c r="G1177" s="138" t="n"/>
      <c r="H1177" s="138" t="n">
        <v>200</v>
      </c>
      <c r="I1177" s="138">
        <f>+I1176+(G1177-H1177)</f>
        <v/>
      </c>
      <c r="J1177" s="139" t="n">
        <v>38.533</v>
      </c>
      <c r="K1177" s="140" t="n"/>
      <c r="L1177" s="140">
        <f>+H1177*J1177</f>
        <v/>
      </c>
      <c r="M1177" s="141">
        <f>SUM(M1176+K1177-L1177)</f>
        <v/>
      </c>
    </row>
    <row r="1178">
      <c r="A1178" s="20" t="n">
        <v>45732</v>
      </c>
      <c r="B1178" s="21" t="n">
        <v>14605</v>
      </c>
      <c r="C1178" s="22" t="inlineStr">
        <is>
          <t>SELİM İNŞAAT</t>
        </is>
      </c>
      <c r="D1178" s="21" t="inlineStr">
        <is>
          <t>34 GER 445</t>
        </is>
      </c>
      <c r="E1178" s="21" t="inlineStr">
        <is>
          <t>HASAN BAYCAN</t>
        </is>
      </c>
      <c r="F1178" s="23" t="n">
        <v>39073</v>
      </c>
      <c r="G1178" s="138" t="n"/>
      <c r="H1178" s="138" t="n">
        <v>204</v>
      </c>
      <c r="I1178" s="138">
        <f>+I1177+(G1178-H1178)</f>
        <v/>
      </c>
      <c r="J1178" s="139" t="n">
        <v>38.533</v>
      </c>
      <c r="K1178" s="140" t="n"/>
      <c r="L1178" s="140">
        <f>+H1178*J1178</f>
        <v/>
      </c>
      <c r="M1178" s="141">
        <f>SUM(M1177+K1178-L1178)</f>
        <v/>
      </c>
    </row>
    <row r="1179">
      <c r="A1179" s="20" t="n">
        <v>45732</v>
      </c>
      <c r="B1179" s="21" t="n">
        <v>21135</v>
      </c>
      <c r="C1179" s="22" t="inlineStr">
        <is>
          <t>SELİM İNŞAAT</t>
        </is>
      </c>
      <c r="D1179" s="21" t="inlineStr">
        <is>
          <t>34 TG 7869</t>
        </is>
      </c>
      <c r="E1179" s="21" t="inlineStr">
        <is>
          <t>GÖRKEM KARAYEL</t>
        </is>
      </c>
      <c r="F1179" s="23" t="n">
        <v>179995</v>
      </c>
      <c r="G1179" s="138" t="n"/>
      <c r="H1179" s="138" t="n">
        <v>246</v>
      </c>
      <c r="I1179" s="138">
        <f>+I1178+(G1179-H1179)</f>
        <v/>
      </c>
      <c r="J1179" s="139" t="n">
        <v>38.533</v>
      </c>
      <c r="K1179" s="140" t="n"/>
      <c r="L1179" s="140">
        <f>+H1179*J1179</f>
        <v/>
      </c>
      <c r="M1179" s="141">
        <f>SUM(M1178+K1179-L1179)</f>
        <v/>
      </c>
    </row>
    <row r="1180">
      <c r="A1180" s="20" t="n">
        <v>45732</v>
      </c>
      <c r="B1180" s="21" t="n">
        <v>21135</v>
      </c>
      <c r="C1180" s="22" t="inlineStr">
        <is>
          <t>SELİM İNŞAAT</t>
        </is>
      </c>
      <c r="D1180" s="21" t="inlineStr">
        <is>
          <t>34 TG 7869</t>
        </is>
      </c>
      <c r="E1180" s="21" t="inlineStr">
        <is>
          <t>GÖRKEM KARAYEL</t>
        </is>
      </c>
      <c r="F1180" s="23" t="n">
        <v>179995</v>
      </c>
      <c r="G1180" s="138" t="n"/>
      <c r="H1180" s="138" t="n">
        <v>246</v>
      </c>
      <c r="I1180" s="138">
        <f>+I1179+(G1180-H1180)</f>
        <v/>
      </c>
      <c r="J1180" s="139" t="n">
        <v>38.533</v>
      </c>
      <c r="K1180" s="140" t="n"/>
      <c r="L1180" s="140">
        <f>+H1180*J1180</f>
        <v/>
      </c>
      <c r="M1180" s="141">
        <f>SUM(M1179+K1180-L1180)</f>
        <v/>
      </c>
    </row>
    <row r="1181">
      <c r="A1181" s="20" t="n">
        <v>45732</v>
      </c>
      <c r="B1181" s="21" t="n">
        <v>11069</v>
      </c>
      <c r="C1181" s="22" t="inlineStr">
        <is>
          <t>SELİM İNŞAAT</t>
        </is>
      </c>
      <c r="D1181" s="21" t="inlineStr">
        <is>
          <t>34 HBT 763</t>
        </is>
      </c>
      <c r="E1181" s="21" t="inlineStr">
        <is>
          <t>EMİRCAN ÖZTÜRK</t>
        </is>
      </c>
      <c r="F1181" s="23" t="n">
        <v>13988</v>
      </c>
      <c r="G1181" s="138" t="n"/>
      <c r="H1181" s="138" t="n">
        <v>115</v>
      </c>
      <c r="I1181" s="138">
        <f>+I1180+(G1181-H1181)</f>
        <v/>
      </c>
      <c r="J1181" s="139" t="n">
        <v>38.533</v>
      </c>
      <c r="K1181" s="140" t="n"/>
      <c r="L1181" s="140">
        <f>+H1181*J1181</f>
        <v/>
      </c>
      <c r="M1181" s="141">
        <f>SUM(M1180+K1181-L1181)</f>
        <v/>
      </c>
    </row>
    <row r="1182">
      <c r="A1182" s="20" t="n">
        <v>45732</v>
      </c>
      <c r="B1182" s="21" t="n">
        <v>14997</v>
      </c>
      <c r="C1182" s="22" t="inlineStr">
        <is>
          <t>EVKUR</t>
        </is>
      </c>
      <c r="D1182" s="21" t="n"/>
      <c r="E1182" s="21" t="inlineStr">
        <is>
          <t>FAHRİ KALFA</t>
        </is>
      </c>
      <c r="F1182" s="23" t="n"/>
      <c r="G1182" s="138" t="n"/>
      <c r="H1182" s="138" t="n">
        <v>65</v>
      </c>
      <c r="I1182" s="138">
        <f>+I1181+(G1182-H1182)</f>
        <v/>
      </c>
      <c r="J1182" s="139" t="n">
        <v>38.533</v>
      </c>
      <c r="K1182" s="140" t="n"/>
      <c r="L1182" s="140">
        <f>+H1182*J1182</f>
        <v/>
      </c>
      <c r="M1182" s="141">
        <f>SUM(M1181+K1182-L1182)</f>
        <v/>
      </c>
    </row>
    <row r="1183">
      <c r="A1183" s="20" t="n">
        <v>45732</v>
      </c>
      <c r="B1183" s="21" t="n">
        <v>14998</v>
      </c>
      <c r="C1183" s="22" t="inlineStr">
        <is>
          <t>SELİM İNŞAAT</t>
        </is>
      </c>
      <c r="D1183" s="21" t="inlineStr">
        <is>
          <t>SİLİNDİR</t>
        </is>
      </c>
      <c r="E1183" s="21" t="inlineStr">
        <is>
          <t>ÖNER DÜNDAR</t>
        </is>
      </c>
      <c r="F1183" s="23" t="n"/>
      <c r="G1183" s="138" t="n"/>
      <c r="H1183" s="138" t="n">
        <v>217</v>
      </c>
      <c r="I1183" s="138">
        <f>+I1182+(G1183-H1183)</f>
        <v/>
      </c>
      <c r="J1183" s="139" t="n">
        <v>38.533</v>
      </c>
      <c r="K1183" s="140" t="n"/>
      <c r="L1183" s="140">
        <f>+H1183*J1183</f>
        <v/>
      </c>
      <c r="M1183" s="141">
        <f>SUM(M1182+K1183-L1183)</f>
        <v/>
      </c>
    </row>
    <row r="1184">
      <c r="A1184" s="20" t="n">
        <v>45732</v>
      </c>
      <c r="B1184" s="1" t="n">
        <v>14999</v>
      </c>
      <c r="C1184" s="2" t="inlineStr">
        <is>
          <t>VARLIK</t>
        </is>
      </c>
      <c r="D1184" s="1" t="inlineStr">
        <is>
          <t>SM 350</t>
        </is>
      </c>
      <c r="E1184" s="1" t="inlineStr">
        <is>
          <t>BAYRAM SANCAK</t>
        </is>
      </c>
      <c r="F1184" s="3" t="n"/>
      <c r="G1184" s="143" t="n"/>
      <c r="H1184" s="143" t="n">
        <v>328</v>
      </c>
      <c r="I1184" s="143">
        <f>+I1183+(G1184-H1184)</f>
        <v/>
      </c>
      <c r="J1184" s="144" t="n">
        <v>38.533</v>
      </c>
      <c r="K1184" s="145" t="n"/>
      <c r="L1184" s="140">
        <f>+H1184*J1184</f>
        <v/>
      </c>
      <c r="M1184" s="141">
        <f>SUM(M1183+K1184-L1184)</f>
        <v/>
      </c>
    </row>
    <row r="1185">
      <c r="A1185" s="20" t="n">
        <v>45732</v>
      </c>
      <c r="B1185" s="1" t="n">
        <v>15000</v>
      </c>
      <c r="C1185" s="2" t="inlineStr">
        <is>
          <t>VARLIK</t>
        </is>
      </c>
      <c r="D1185" s="1" t="inlineStr">
        <is>
          <t>SM 300</t>
        </is>
      </c>
      <c r="E1185" s="1" t="inlineStr">
        <is>
          <t>TURGUT SANCAK</t>
        </is>
      </c>
      <c r="F1185" s="3" t="n"/>
      <c r="G1185" s="143" t="n"/>
      <c r="H1185" s="143" t="n">
        <v>229</v>
      </c>
      <c r="I1185" s="143">
        <f>+I1184+(G1185-H1185)</f>
        <v/>
      </c>
      <c r="J1185" s="144" t="n">
        <v>38.533</v>
      </c>
      <c r="K1185" s="145" t="n"/>
      <c r="L1185" s="140">
        <f>+H1185*J1185</f>
        <v/>
      </c>
      <c r="M1185" s="141">
        <f>SUM(M1184+K1185-L1185)</f>
        <v/>
      </c>
    </row>
    <row r="1186">
      <c r="A1186" s="20" t="n">
        <v>45732</v>
      </c>
      <c r="B1186" s="1" t="n">
        <v>14251</v>
      </c>
      <c r="C1186" s="2" t="inlineStr">
        <is>
          <t>HASALTUN EVKUR</t>
        </is>
      </c>
      <c r="D1186" s="1" t="inlineStr">
        <is>
          <t>KAVAZAKİ</t>
        </is>
      </c>
      <c r="E1186" s="1" t="inlineStr">
        <is>
          <t>UFUK SEVAL</t>
        </is>
      </c>
      <c r="F1186" s="3" t="n"/>
      <c r="G1186" s="143" t="n"/>
      <c r="H1186" s="143" t="n">
        <v>172</v>
      </c>
      <c r="I1186" s="143">
        <f>+I1185+(G1186-H1186)</f>
        <v/>
      </c>
      <c r="J1186" s="144" t="n">
        <v>38.533</v>
      </c>
      <c r="K1186" s="145" t="n"/>
      <c r="L1186" s="140">
        <f>+H1186*J1186</f>
        <v/>
      </c>
      <c r="M1186" s="141">
        <f>SUM(M1185+K1186-L1186)</f>
        <v/>
      </c>
    </row>
    <row r="1187">
      <c r="A1187" s="20" t="n">
        <v>45732</v>
      </c>
      <c r="B1187" s="1" t="n">
        <v>14252</v>
      </c>
      <c r="C1187" s="2" t="inlineStr">
        <is>
          <t>HASALTUN</t>
        </is>
      </c>
      <c r="D1187" s="1" t="inlineStr">
        <is>
          <t>SM 370</t>
        </is>
      </c>
      <c r="E1187" s="1" t="inlineStr">
        <is>
          <t>RAMAZAN KAYA</t>
        </is>
      </c>
      <c r="F1187" s="3" t="n"/>
      <c r="G1187" s="143" t="n"/>
      <c r="H1187" s="143" t="n">
        <v>440</v>
      </c>
      <c r="I1187" s="143">
        <f>+I1186+(G1187-H1187)</f>
        <v/>
      </c>
      <c r="J1187" s="144" t="n">
        <v>38.533</v>
      </c>
      <c r="K1187" s="145" t="n"/>
      <c r="L1187" s="140">
        <f>+H1187*J1187</f>
        <v/>
      </c>
      <c r="M1187" s="141">
        <f>SUM(M1186+K1187-L1187)</f>
        <v/>
      </c>
    </row>
    <row r="1188">
      <c r="A1188" s="20" t="n">
        <v>45733</v>
      </c>
      <c r="B1188" s="21" t="n">
        <v>10030</v>
      </c>
      <c r="C1188" s="22" t="inlineStr">
        <is>
          <t>METİN ERYİĞİT</t>
        </is>
      </c>
      <c r="D1188" s="21" t="inlineStr">
        <is>
          <t>34 EGS 013</t>
        </is>
      </c>
      <c r="E1188" s="21" t="inlineStr">
        <is>
          <t>UĞUR DUMAN</t>
        </is>
      </c>
      <c r="F1188" s="23" t="n">
        <v>469306</v>
      </c>
      <c r="G1188" s="138" t="n"/>
      <c r="H1188" s="138" t="n">
        <v>394</v>
      </c>
      <c r="I1188" s="138">
        <f>+I1187+(G1188-H1188)</f>
        <v/>
      </c>
      <c r="J1188" s="139" t="n">
        <v>38.533</v>
      </c>
      <c r="K1188" s="140" t="n"/>
      <c r="L1188" s="140">
        <f>+H1188*J1188</f>
        <v/>
      </c>
      <c r="M1188" s="141">
        <f>SUM(M1187+K1188-L1188)</f>
        <v/>
      </c>
    </row>
    <row r="1189">
      <c r="A1189" s="20" t="n">
        <v>45733</v>
      </c>
      <c r="B1189" s="21" t="n">
        <v>14705</v>
      </c>
      <c r="C1189" s="22" t="inlineStr">
        <is>
          <t>METİN ERYİĞİT</t>
        </is>
      </c>
      <c r="D1189" s="21" t="inlineStr">
        <is>
          <t>34 GBL 998</t>
        </is>
      </c>
      <c r="E1189" s="21" t="inlineStr">
        <is>
          <t>ALİ KESKİN</t>
        </is>
      </c>
      <c r="F1189" s="23" t="n">
        <v>247795</v>
      </c>
      <c r="G1189" s="138" t="n"/>
      <c r="H1189" s="138" t="n">
        <v>312</v>
      </c>
      <c r="I1189" s="138">
        <f>+I1188+(G1189-H1189)</f>
        <v/>
      </c>
      <c r="J1189" s="139" t="n">
        <v>38.533</v>
      </c>
      <c r="K1189" s="140" t="n"/>
      <c r="L1189" s="140">
        <f>+H1189*J1189</f>
        <v/>
      </c>
      <c r="M1189" s="141">
        <f>SUM(M1188+K1189-L1189)</f>
        <v/>
      </c>
    </row>
    <row r="1190">
      <c r="A1190" s="20" t="n">
        <v>45733</v>
      </c>
      <c r="B1190" s="21" t="n">
        <v>10689</v>
      </c>
      <c r="C1190" s="22" t="inlineStr">
        <is>
          <t>SELİM İNŞAAT</t>
        </is>
      </c>
      <c r="D1190" s="21" t="inlineStr">
        <is>
          <t>34 DTV 599</t>
        </is>
      </c>
      <c r="E1190" s="21" t="inlineStr">
        <is>
          <t>FERHAT GÜRLER</t>
        </is>
      </c>
      <c r="F1190" s="23" t="n">
        <v>414889</v>
      </c>
      <c r="G1190" s="138" t="n"/>
      <c r="H1190" s="138" t="n">
        <v>385</v>
      </c>
      <c r="I1190" s="138">
        <f>+I1189+(G1190-H1190)</f>
        <v/>
      </c>
      <c r="J1190" s="139" t="n">
        <v>38.533</v>
      </c>
      <c r="K1190" s="140" t="n"/>
      <c r="L1190" s="140">
        <f>+H1190*J1190</f>
        <v/>
      </c>
      <c r="M1190" s="141">
        <f>SUM(M1189+K1190-L1190)</f>
        <v/>
      </c>
    </row>
    <row r="1191">
      <c r="A1191" s="20" t="n">
        <v>45733</v>
      </c>
      <c r="B1191" s="21" t="n">
        <v>10180</v>
      </c>
      <c r="C1191" s="22" t="inlineStr">
        <is>
          <t>SELİM İNŞAAT</t>
        </is>
      </c>
      <c r="D1191" s="21" t="inlineStr">
        <is>
          <t>34 EGR 736</t>
        </is>
      </c>
      <c r="E1191" s="21" t="inlineStr">
        <is>
          <t>MUHAMMER ÇAMLI</t>
        </is>
      </c>
      <c r="F1191" s="23" t="n">
        <v>369222</v>
      </c>
      <c r="G1191" s="138" t="n"/>
      <c r="H1191" s="138" t="n">
        <v>376</v>
      </c>
      <c r="I1191" s="138">
        <f>+I1190+(G1191-H1191)</f>
        <v/>
      </c>
      <c r="J1191" s="139" t="n">
        <v>38.533</v>
      </c>
      <c r="K1191" s="140" t="n"/>
      <c r="L1191" s="140">
        <f>+H1191*J1191</f>
        <v/>
      </c>
      <c r="M1191" s="141">
        <f>SUM(M1190+K1191-L1191)</f>
        <v/>
      </c>
    </row>
    <row r="1192">
      <c r="A1192" s="20" t="n">
        <v>45733</v>
      </c>
      <c r="B1192" s="21" t="n">
        <v>10633</v>
      </c>
      <c r="C1192" s="22" t="inlineStr">
        <is>
          <t>SELİM İNŞAAT</t>
        </is>
      </c>
      <c r="D1192" s="21" t="inlineStr">
        <is>
          <t>34 EDB 754</t>
        </is>
      </c>
      <c r="E1192" s="21" t="inlineStr">
        <is>
          <t>EMİN PARLAKKILIÇ</t>
        </is>
      </c>
      <c r="F1192" s="23" t="n">
        <v>306106</v>
      </c>
      <c r="G1192" s="138" t="n"/>
      <c r="H1192" s="138" t="n">
        <v>354</v>
      </c>
      <c r="I1192" s="138">
        <f>+I1191+(G1192-H1192)</f>
        <v/>
      </c>
      <c r="J1192" s="139" t="n">
        <v>38.533</v>
      </c>
      <c r="K1192" s="140" t="n"/>
      <c r="L1192" s="140">
        <f>+H1192*J1192</f>
        <v/>
      </c>
      <c r="M1192" s="141">
        <f>SUM(M1191+K1192-L1192)</f>
        <v/>
      </c>
    </row>
    <row r="1193">
      <c r="A1193" s="20" t="n">
        <v>45733</v>
      </c>
      <c r="B1193" s="21" t="n">
        <v>14459</v>
      </c>
      <c r="C1193" s="22" t="inlineStr">
        <is>
          <t>SELİM İNŞAAT</t>
        </is>
      </c>
      <c r="D1193" s="21" t="inlineStr">
        <is>
          <t>34 GUS 848</t>
        </is>
      </c>
      <c r="E1193" s="21" t="inlineStr">
        <is>
          <t>SERDAR BOZKURT</t>
        </is>
      </c>
      <c r="F1193" s="23" t="n">
        <v>172220</v>
      </c>
      <c r="G1193" s="138" t="n"/>
      <c r="H1193" s="138" t="n">
        <v>325</v>
      </c>
      <c r="I1193" s="138">
        <f>+I1192+(G1193-H1193)</f>
        <v/>
      </c>
      <c r="J1193" s="139" t="n">
        <v>38.533</v>
      </c>
      <c r="K1193" s="140" t="n"/>
      <c r="L1193" s="140">
        <f>+H1193*J1193</f>
        <v/>
      </c>
      <c r="M1193" s="141">
        <f>SUM(M1192+K1193-L1193)</f>
        <v/>
      </c>
    </row>
    <row r="1194">
      <c r="A1194" s="20" t="n">
        <v>45733</v>
      </c>
      <c r="B1194" s="21" t="n">
        <v>11815</v>
      </c>
      <c r="C1194" s="22" t="inlineStr">
        <is>
          <t>SELİM İNŞAAT</t>
        </is>
      </c>
      <c r="D1194" s="21" t="inlineStr">
        <is>
          <t>34 FSG 229</t>
        </is>
      </c>
      <c r="E1194" s="21" t="inlineStr">
        <is>
          <t>SİNAN TANRIVERDİ</t>
        </is>
      </c>
      <c r="F1194" s="23" t="n">
        <v>238951</v>
      </c>
      <c r="G1194" s="138" t="n"/>
      <c r="H1194" s="138" t="n">
        <v>358</v>
      </c>
      <c r="I1194" s="138">
        <f>+I1193+(G1194-H1194)</f>
        <v/>
      </c>
      <c r="J1194" s="139" t="n">
        <v>38.533</v>
      </c>
      <c r="K1194" s="140" t="n"/>
      <c r="L1194" s="140">
        <f>+H1194*J1194</f>
        <v/>
      </c>
      <c r="M1194" s="141">
        <f>SUM(M1193+K1194-L1194)</f>
        <v/>
      </c>
    </row>
    <row r="1195">
      <c r="A1195" s="20" t="n">
        <v>45733</v>
      </c>
      <c r="B1195" s="21" t="n">
        <v>11919</v>
      </c>
      <c r="C1195" s="22" t="inlineStr">
        <is>
          <t>SELİM İNŞAAT</t>
        </is>
      </c>
      <c r="D1195" s="21" t="inlineStr">
        <is>
          <t>34 FBR 742</t>
        </is>
      </c>
      <c r="E1195" s="21" t="inlineStr">
        <is>
          <t>MİKAİL BAYILMAZ</t>
        </is>
      </c>
      <c r="F1195" s="23" t="n">
        <v>299419</v>
      </c>
      <c r="G1195" s="138" t="n"/>
      <c r="H1195" s="138" t="n">
        <v>295</v>
      </c>
      <c r="I1195" s="138">
        <f>+I1194+(G1195-H1195)</f>
        <v/>
      </c>
      <c r="J1195" s="139" t="n">
        <v>38.533</v>
      </c>
      <c r="K1195" s="140" t="n"/>
      <c r="L1195" s="140">
        <f>+H1195*J1195</f>
        <v/>
      </c>
      <c r="M1195" s="141">
        <f>SUM(M1194+K1195-L1195)</f>
        <v/>
      </c>
    </row>
    <row r="1196">
      <c r="A1196" s="20" t="n">
        <v>45733</v>
      </c>
      <c r="B1196" s="21" t="n">
        <v>14106</v>
      </c>
      <c r="C1196" s="22" t="inlineStr">
        <is>
          <t>SELİM İNŞAAT</t>
        </is>
      </c>
      <c r="D1196" s="21" t="inlineStr">
        <is>
          <t>34 DSN 536</t>
        </is>
      </c>
      <c r="E1196" s="21" t="inlineStr">
        <is>
          <t>DURSUN ALİ GÜREK</t>
        </is>
      </c>
      <c r="F1196" s="23" t="n">
        <v>385863</v>
      </c>
      <c r="G1196" s="138" t="n"/>
      <c r="H1196" s="138" t="n">
        <v>396</v>
      </c>
      <c r="I1196" s="138">
        <f>+I1195+(G1196-H1196)</f>
        <v/>
      </c>
      <c r="J1196" s="139" t="n">
        <v>38.533</v>
      </c>
      <c r="K1196" s="140" t="n"/>
      <c r="L1196" s="140">
        <f>+H1196*J1196</f>
        <v/>
      </c>
      <c r="M1196" s="141">
        <f>SUM(M1195+K1196-L1196)</f>
        <v/>
      </c>
    </row>
    <row r="1197">
      <c r="A1197" s="20" t="n">
        <v>45733</v>
      </c>
      <c r="B1197" s="21" t="n">
        <v>11725</v>
      </c>
      <c r="C1197" s="22" t="inlineStr">
        <is>
          <t>SELİM İNŞAAT</t>
        </is>
      </c>
      <c r="D1197" s="21" t="inlineStr">
        <is>
          <t>34 EDB 559</t>
        </is>
      </c>
      <c r="E1197" s="21" t="inlineStr">
        <is>
          <t>CEM MUHTAR</t>
        </is>
      </c>
      <c r="F1197" s="23" t="n">
        <v>310277</v>
      </c>
      <c r="G1197" s="138" t="n"/>
      <c r="H1197" s="138" t="n">
        <v>350</v>
      </c>
      <c r="I1197" s="138">
        <f>+I1196+(G1197-H1197)</f>
        <v/>
      </c>
      <c r="J1197" s="139" t="n">
        <v>38.533</v>
      </c>
      <c r="K1197" s="140" t="n"/>
      <c r="L1197" s="140">
        <f>+H1197*J1197</f>
        <v/>
      </c>
      <c r="M1197" s="141">
        <f>SUM(M1196+K1197-L1197)</f>
        <v/>
      </c>
    </row>
    <row r="1198">
      <c r="A1198" s="20" t="n">
        <v>45733</v>
      </c>
      <c r="B1198" s="21" t="n">
        <v>11281</v>
      </c>
      <c r="C1198" s="22" t="inlineStr">
        <is>
          <t>SELİM İNŞAAT</t>
        </is>
      </c>
      <c r="D1198" s="21" t="inlineStr">
        <is>
          <t>34 EDC 162</t>
        </is>
      </c>
      <c r="E1198" s="21" t="inlineStr">
        <is>
          <t xml:space="preserve">YAKUP GÜNER </t>
        </is>
      </c>
      <c r="F1198" s="23" t="n">
        <v>348073</v>
      </c>
      <c r="G1198" s="138" t="n"/>
      <c r="H1198" s="138" t="n">
        <v>294</v>
      </c>
      <c r="I1198" s="138">
        <f>+I1197+(G1198-H1198)</f>
        <v/>
      </c>
      <c r="J1198" s="139" t="n">
        <v>38.533</v>
      </c>
      <c r="K1198" s="140" t="n"/>
      <c r="L1198" s="140">
        <f>+H1198*J1198</f>
        <v/>
      </c>
      <c r="M1198" s="141">
        <f>SUM(M1197+K1198-L1198)</f>
        <v/>
      </c>
    </row>
    <row r="1199">
      <c r="A1199" s="20" t="n">
        <v>45733</v>
      </c>
      <c r="B1199" s="21" t="n">
        <v>11628</v>
      </c>
      <c r="C1199" s="22" t="inlineStr">
        <is>
          <t>SELİM İNŞAAT</t>
        </is>
      </c>
      <c r="D1199" s="21" t="inlineStr">
        <is>
          <t>34 DTV 352</t>
        </is>
      </c>
      <c r="E1199" s="21" t="inlineStr">
        <is>
          <t xml:space="preserve">RASİM BARTU </t>
        </is>
      </c>
      <c r="F1199" s="23" t="n">
        <v>415073</v>
      </c>
      <c r="G1199" s="138" t="n"/>
      <c r="H1199" s="138" t="n">
        <v>434</v>
      </c>
      <c r="I1199" s="138">
        <f>+I1198+(G1199-H1199)</f>
        <v/>
      </c>
      <c r="J1199" s="139" t="n">
        <v>38.533</v>
      </c>
      <c r="K1199" s="140" t="n"/>
      <c r="L1199" s="140">
        <f>+H1199*J1199</f>
        <v/>
      </c>
      <c r="M1199" s="141">
        <f>SUM(M1198+K1199-L1199)</f>
        <v/>
      </c>
    </row>
    <row r="1200">
      <c r="A1200" s="20" t="n">
        <v>45733</v>
      </c>
      <c r="B1200" s="21" t="n">
        <v>10214</v>
      </c>
      <c r="C1200" s="22" t="inlineStr">
        <is>
          <t>SELİM İNŞAAT</t>
        </is>
      </c>
      <c r="D1200" s="21" t="inlineStr">
        <is>
          <t>34 DSN 621</t>
        </is>
      </c>
      <c r="E1200" s="21" t="inlineStr">
        <is>
          <t>MUSTAFA KAYA</t>
        </is>
      </c>
      <c r="F1200" s="23" t="n">
        <v>395553</v>
      </c>
      <c r="G1200" s="138" t="n"/>
      <c r="H1200" s="138" t="n">
        <v>299</v>
      </c>
      <c r="I1200" s="138">
        <f>+I1199+(G1200-H1200)</f>
        <v/>
      </c>
      <c r="J1200" s="139" t="n">
        <v>38.533</v>
      </c>
      <c r="K1200" s="140" t="n"/>
      <c r="L1200" s="140">
        <f>+H1200*J1200</f>
        <v/>
      </c>
      <c r="M1200" s="141">
        <f>SUM(M1199+K1200-L1200)</f>
        <v/>
      </c>
    </row>
    <row r="1201">
      <c r="A1201" s="20" t="n">
        <v>45733</v>
      </c>
      <c r="B1201" s="21" t="n">
        <v>10326</v>
      </c>
      <c r="C1201" s="22" t="inlineStr">
        <is>
          <t>SELİM İNŞAAT</t>
        </is>
      </c>
      <c r="D1201" s="21" t="inlineStr">
        <is>
          <t>34 EDB 829</t>
        </is>
      </c>
      <c r="E1201" s="21" t="inlineStr">
        <is>
          <t>İSMET BAYRAM</t>
        </is>
      </c>
      <c r="F1201" s="23" t="n">
        <v>300265</v>
      </c>
      <c r="G1201" s="138" t="n"/>
      <c r="H1201" s="138" t="n">
        <v>379</v>
      </c>
      <c r="I1201" s="138">
        <f>+I1200+(G1201-H1201)</f>
        <v/>
      </c>
      <c r="J1201" s="139" t="n">
        <v>38.533</v>
      </c>
      <c r="K1201" s="140" t="n"/>
      <c r="L1201" s="140">
        <f>+H1201*J1201</f>
        <v/>
      </c>
      <c r="M1201" s="141">
        <f>SUM(M1200+K1201-L1201)</f>
        <v/>
      </c>
    </row>
    <row r="1202">
      <c r="A1202" s="20" t="n">
        <v>45733</v>
      </c>
      <c r="B1202" s="21" t="n">
        <v>14309</v>
      </c>
      <c r="C1202" s="22" t="inlineStr">
        <is>
          <t>SELİM İNŞAAT</t>
        </is>
      </c>
      <c r="D1202" s="21" t="inlineStr">
        <is>
          <t>34 DKL 866</t>
        </is>
      </c>
      <c r="E1202" s="21" t="inlineStr">
        <is>
          <t>SELİM CAN ÖNVER</t>
        </is>
      </c>
      <c r="F1202" s="23" t="n">
        <v>62160</v>
      </c>
      <c r="G1202" s="138" t="n"/>
      <c r="H1202" s="138" t="n">
        <v>148</v>
      </c>
      <c r="I1202" s="138">
        <f>+I1201+(G1202-H1202)</f>
        <v/>
      </c>
      <c r="J1202" s="139" t="n">
        <v>38.533</v>
      </c>
      <c r="K1202" s="140" t="n"/>
      <c r="L1202" s="140">
        <f>+H1202*J1202</f>
        <v/>
      </c>
      <c r="M1202" s="141">
        <f>SUM(M1201+K1202-L1202)</f>
        <v/>
      </c>
    </row>
    <row r="1203">
      <c r="A1203" s="20" t="n">
        <v>45733</v>
      </c>
      <c r="B1203" s="21" t="n">
        <v>14505</v>
      </c>
      <c r="C1203" s="22" t="inlineStr">
        <is>
          <t>SELİM İNŞAAT</t>
        </is>
      </c>
      <c r="D1203" s="21" t="inlineStr">
        <is>
          <t>34 GER 028</t>
        </is>
      </c>
      <c r="E1203" s="21" t="inlineStr">
        <is>
          <t>ÖNER DÜNDAR</t>
        </is>
      </c>
      <c r="F1203" s="23" t="n">
        <v>40884</v>
      </c>
      <c r="G1203" s="138" t="n"/>
      <c r="H1203" s="138" t="n">
        <v>173</v>
      </c>
      <c r="I1203" s="138">
        <f>+I1202+(G1203-H1203)</f>
        <v/>
      </c>
      <c r="J1203" s="139" t="n">
        <v>38.533</v>
      </c>
      <c r="K1203" s="140" t="n"/>
      <c r="L1203" s="140">
        <f>+H1203*J1203</f>
        <v/>
      </c>
      <c r="M1203" s="141">
        <f>SUM(M1202+K1203-L1203)</f>
        <v/>
      </c>
    </row>
    <row r="1204">
      <c r="A1204" s="20" t="n">
        <v>45733</v>
      </c>
      <c r="B1204" s="21" t="n">
        <v>11894</v>
      </c>
      <c r="C1204" s="22" t="inlineStr">
        <is>
          <t>SELİM İNŞAAT</t>
        </is>
      </c>
      <c r="D1204" s="21" t="inlineStr">
        <is>
          <t>34 DFE 454</t>
        </is>
      </c>
      <c r="E1204" s="21" t="inlineStr">
        <is>
          <t>A.KERİM ERGEN</t>
        </is>
      </c>
      <c r="F1204" s="23" t="n">
        <v>155723</v>
      </c>
      <c r="G1204" s="138" t="n"/>
      <c r="H1204" s="138" t="n">
        <v>248</v>
      </c>
      <c r="I1204" s="138">
        <f>+I1203+(G1204-H1204)</f>
        <v/>
      </c>
      <c r="J1204" s="139" t="n">
        <v>38.533</v>
      </c>
      <c r="K1204" s="140" t="n"/>
      <c r="L1204" s="140">
        <f>+H1204*J1204</f>
        <v/>
      </c>
      <c r="M1204" s="141">
        <f>SUM(M1203+K1204-L1204)</f>
        <v/>
      </c>
    </row>
    <row r="1205">
      <c r="A1205" s="20" t="n">
        <v>45733</v>
      </c>
      <c r="B1205" s="21" t="n">
        <v>12000</v>
      </c>
      <c r="C1205" s="22" t="inlineStr">
        <is>
          <t>SELİM İNŞAAT</t>
        </is>
      </c>
      <c r="D1205" s="21" t="inlineStr">
        <is>
          <t>34 DKL 798</t>
        </is>
      </c>
      <c r="E1205" s="21" t="inlineStr">
        <is>
          <t>VOLKAN YANAR</t>
        </is>
      </c>
      <c r="F1205" s="23" t="n">
        <v>62236</v>
      </c>
      <c r="G1205" s="138" t="n"/>
      <c r="H1205" s="138" t="n">
        <v>128</v>
      </c>
      <c r="I1205" s="138">
        <f>+I1204+(G1205-H1205)</f>
        <v/>
      </c>
      <c r="J1205" s="139" t="n">
        <v>38.533</v>
      </c>
      <c r="K1205" s="140" t="n"/>
      <c r="L1205" s="140">
        <f>+H1205*J1205</f>
        <v/>
      </c>
      <c r="M1205" s="141">
        <f>SUM(M1204+K1205-L1205)</f>
        <v/>
      </c>
    </row>
    <row r="1206">
      <c r="A1206" s="20" t="n">
        <v>45733</v>
      </c>
      <c r="B1206" s="1" t="n">
        <v>14253</v>
      </c>
      <c r="C1206" s="2" t="inlineStr">
        <is>
          <t>VARLIK</t>
        </is>
      </c>
      <c r="D1206" s="1" t="inlineStr">
        <is>
          <t>SM 350</t>
        </is>
      </c>
      <c r="E1206" s="1" t="inlineStr">
        <is>
          <t>BAYRAM SANCAK</t>
        </is>
      </c>
      <c r="F1206" s="3" t="n"/>
      <c r="G1206" s="143" t="n"/>
      <c r="H1206" s="143" t="n">
        <v>255</v>
      </c>
      <c r="I1206" s="143">
        <f>+I1205+(G1206-H1206)</f>
        <v/>
      </c>
      <c r="J1206" s="144" t="n">
        <v>38.533</v>
      </c>
      <c r="K1206" s="145" t="n"/>
      <c r="L1206" s="140">
        <f>+H1206*J1206</f>
        <v/>
      </c>
      <c r="M1206" s="141">
        <f>SUM(M1205+K1206-L1206)</f>
        <v/>
      </c>
    </row>
    <row r="1207">
      <c r="A1207" s="20" t="n">
        <v>45733</v>
      </c>
      <c r="B1207" s="1" t="n">
        <v>14254</v>
      </c>
      <c r="C1207" s="2" t="inlineStr">
        <is>
          <t>VARLIK</t>
        </is>
      </c>
      <c r="D1207" s="1" t="inlineStr">
        <is>
          <t>SM 350</t>
        </is>
      </c>
      <c r="E1207" s="1" t="inlineStr">
        <is>
          <t>TEVFİK ÖZTÜRK</t>
        </is>
      </c>
      <c r="F1207" s="3" t="n"/>
      <c r="G1207" s="143" t="n"/>
      <c r="H1207" s="143" t="n">
        <v>336</v>
      </c>
      <c r="I1207" s="143">
        <f>+I1206+(G1207-H1207)</f>
        <v/>
      </c>
      <c r="J1207" s="144" t="n">
        <v>38.533</v>
      </c>
      <c r="K1207" s="145" t="n"/>
      <c r="L1207" s="140">
        <f>+H1207*J1207</f>
        <v/>
      </c>
      <c r="M1207" s="141">
        <f>SUM(M1206+K1207-L1207)</f>
        <v/>
      </c>
    </row>
    <row r="1208">
      <c r="A1208" s="20" t="n">
        <v>45733</v>
      </c>
      <c r="B1208" s="1" t="n">
        <v>14255</v>
      </c>
      <c r="C1208" s="2" t="inlineStr">
        <is>
          <t>HASALTUN</t>
        </is>
      </c>
      <c r="D1208" s="1" t="inlineStr">
        <is>
          <t>SM 300</t>
        </is>
      </c>
      <c r="E1208" s="1" t="inlineStr">
        <is>
          <t>TURGUT SANCAK</t>
        </is>
      </c>
      <c r="F1208" s="3" t="n"/>
      <c r="G1208" s="143" t="n"/>
      <c r="H1208" s="143" t="n">
        <v>342</v>
      </c>
      <c r="I1208" s="143">
        <f>+I1207+(G1208-H1208)</f>
        <v/>
      </c>
      <c r="J1208" s="144" t="n">
        <v>38.533</v>
      </c>
      <c r="K1208" s="145" t="n"/>
      <c r="L1208" s="140">
        <f>+H1208*J1208</f>
        <v/>
      </c>
      <c r="M1208" s="141">
        <f>SUM(M1207+K1208-L1208)</f>
        <v/>
      </c>
    </row>
    <row r="1209">
      <c r="A1209" s="20" t="n">
        <v>45733</v>
      </c>
      <c r="B1209" s="1" t="n">
        <v>14256</v>
      </c>
      <c r="C1209" s="2" t="inlineStr">
        <is>
          <t>VARLIK</t>
        </is>
      </c>
      <c r="D1209" s="1" t="inlineStr">
        <is>
          <t>KAVAZAKİ</t>
        </is>
      </c>
      <c r="E1209" s="1" t="inlineStr">
        <is>
          <t>UFUK SEVAL</t>
        </is>
      </c>
      <c r="F1209" s="3" t="n"/>
      <c r="G1209" s="143" t="n"/>
      <c r="H1209" s="143" t="n">
        <v>172</v>
      </c>
      <c r="I1209" s="143">
        <f>+I1208+(G1209-H1209)</f>
        <v/>
      </c>
      <c r="J1209" s="144" t="n">
        <v>38.533</v>
      </c>
      <c r="K1209" s="145" t="n"/>
      <c r="L1209" s="140">
        <f>+H1209*J1209</f>
        <v/>
      </c>
      <c r="M1209" s="141">
        <f>SUM(M1208+K1209-L1209)</f>
        <v/>
      </c>
    </row>
    <row r="1210">
      <c r="A1210" s="20" t="n">
        <v>45733</v>
      </c>
      <c r="B1210" s="21" t="n">
        <v>14712</v>
      </c>
      <c r="C1210" s="22" t="inlineStr">
        <is>
          <t>METİN ERYİĞİT</t>
        </is>
      </c>
      <c r="D1210" s="21" t="inlineStr">
        <is>
          <t>34 GBL 998</t>
        </is>
      </c>
      <c r="E1210" s="21" t="inlineStr">
        <is>
          <t>ALİ KESKİN</t>
        </is>
      </c>
      <c r="F1210" s="23" t="n">
        <v>251531</v>
      </c>
      <c r="G1210" s="138" t="n"/>
      <c r="H1210" s="138" t="n">
        <v>150</v>
      </c>
      <c r="I1210" s="138">
        <f>+I1209+(G1210-H1210)</f>
        <v/>
      </c>
      <c r="J1210" s="139" t="n"/>
      <c r="K1210" s="140" t="n"/>
      <c r="L1210" s="140">
        <f>+H1210*J1210</f>
        <v/>
      </c>
      <c r="M1210" s="141">
        <f>SUM(M1209+K1210-L1210)</f>
        <v/>
      </c>
    </row>
    <row r="1211">
      <c r="A1211" s="20" t="n">
        <v>45734</v>
      </c>
      <c r="B1211" s="21" t="n">
        <v>14060</v>
      </c>
      <c r="C1211" s="22" t="inlineStr">
        <is>
          <t>SELİM İNŞAAT</t>
        </is>
      </c>
      <c r="D1211" s="21" t="inlineStr">
        <is>
          <t>34 EDB 659</t>
        </is>
      </c>
      <c r="E1211" s="21" t="inlineStr">
        <is>
          <t>MEHMET SAİT ANIK</t>
        </is>
      </c>
      <c r="F1211" s="23" t="n">
        <v>321754</v>
      </c>
      <c r="G1211" s="138" t="n"/>
      <c r="H1211" s="138" t="n">
        <v>250</v>
      </c>
      <c r="I1211" s="138">
        <f>+I1210+(G1211-H1211)</f>
        <v/>
      </c>
      <c r="J1211" s="139" t="n">
        <v>38.533</v>
      </c>
      <c r="K1211" s="140" t="n"/>
      <c r="L1211" s="140">
        <f>+H1211*J1211</f>
        <v/>
      </c>
      <c r="M1211" s="141">
        <f>SUM(M1210+K1211-L1211)</f>
        <v/>
      </c>
    </row>
    <row r="1212">
      <c r="A1212" s="20" t="n">
        <v>45734</v>
      </c>
      <c r="B1212" s="21" t="n">
        <v>14010</v>
      </c>
      <c r="C1212" s="22" t="inlineStr">
        <is>
          <t>SELİM İNŞAAT</t>
        </is>
      </c>
      <c r="D1212" s="21" t="inlineStr">
        <is>
          <t>34 GVZ 310</t>
        </is>
      </c>
      <c r="E1212" s="21" t="inlineStr">
        <is>
          <t>CELAL YÜZBAŞI</t>
        </is>
      </c>
      <c r="F1212" s="23" t="n">
        <v>177397</v>
      </c>
      <c r="G1212" s="138" t="n"/>
      <c r="H1212" s="138" t="n">
        <v>250</v>
      </c>
      <c r="I1212" s="138">
        <f>+I1211+(G1212-H1212)</f>
        <v/>
      </c>
      <c r="J1212" s="139" t="n">
        <v>38.533</v>
      </c>
      <c r="K1212" s="140" t="n"/>
      <c r="L1212" s="140">
        <f>+H1212*J1212</f>
        <v/>
      </c>
      <c r="M1212" s="141">
        <f>SUM(M1211+K1212-L1212)</f>
        <v/>
      </c>
    </row>
    <row r="1213">
      <c r="A1213" s="20" t="n">
        <v>45734</v>
      </c>
      <c r="B1213" s="21" t="n">
        <v>14606</v>
      </c>
      <c r="C1213" s="22" t="inlineStr">
        <is>
          <t>SELİM İNŞAAT</t>
        </is>
      </c>
      <c r="D1213" s="21" t="inlineStr">
        <is>
          <t>34 GER 445</t>
        </is>
      </c>
      <c r="E1213" s="21" t="inlineStr">
        <is>
          <t>HASAN BAYCAN</t>
        </is>
      </c>
      <c r="F1213" s="23" t="n">
        <v>39183</v>
      </c>
      <c r="G1213" s="138" t="n"/>
      <c r="H1213" s="138" t="n">
        <v>159</v>
      </c>
      <c r="I1213" s="138">
        <f>+I1212+(G1213-H1213)</f>
        <v/>
      </c>
      <c r="J1213" s="139" t="n">
        <v>38.533</v>
      </c>
      <c r="K1213" s="140" t="n"/>
      <c r="L1213" s="140">
        <f>+H1213*J1213</f>
        <v/>
      </c>
      <c r="M1213" s="141">
        <f>SUM(M1212+K1213-L1213)</f>
        <v/>
      </c>
    </row>
    <row r="1214">
      <c r="A1214" s="20" t="n">
        <v>45734</v>
      </c>
      <c r="B1214" s="21" t="n">
        <v>10129</v>
      </c>
      <c r="C1214" s="22" t="inlineStr">
        <is>
          <t>SELİM İNŞAAT</t>
        </is>
      </c>
      <c r="D1214" s="21" t="inlineStr">
        <is>
          <t>34 DP 4161</t>
        </is>
      </c>
      <c r="E1214" s="21" t="inlineStr">
        <is>
          <t>RIFAT KARATAY</t>
        </is>
      </c>
      <c r="F1214" s="23" t="n">
        <v>280036</v>
      </c>
      <c r="G1214" s="138" t="n"/>
      <c r="H1214" s="138" t="n">
        <v>196</v>
      </c>
      <c r="I1214" s="138">
        <f>+I1213+(G1214-H1214)</f>
        <v/>
      </c>
      <c r="J1214" s="139" t="n">
        <v>38.533</v>
      </c>
      <c r="K1214" s="140" t="n"/>
      <c r="L1214" s="140">
        <f>+H1214*J1214</f>
        <v/>
      </c>
      <c r="M1214" s="141">
        <f>SUM(M1213+K1214-L1214)</f>
        <v/>
      </c>
    </row>
    <row r="1215">
      <c r="A1215" s="20" t="n">
        <v>45734</v>
      </c>
      <c r="B1215" s="21" t="n">
        <v>10564</v>
      </c>
      <c r="C1215" s="22" t="inlineStr">
        <is>
          <t>SELİM İNŞAAT</t>
        </is>
      </c>
      <c r="D1215" s="21" t="inlineStr">
        <is>
          <t>34 GU 945</t>
        </is>
      </c>
      <c r="E1215" s="21" t="inlineStr">
        <is>
          <t>TURAN SEVİNDİK</t>
        </is>
      </c>
      <c r="F1215" s="23" t="n">
        <v>440775</v>
      </c>
      <c r="G1215" s="138" t="n"/>
      <c r="H1215" s="138" t="n">
        <v>54</v>
      </c>
      <c r="I1215" s="138">
        <f>+I1214+(G1215-H1215)</f>
        <v/>
      </c>
      <c r="J1215" s="139" t="n">
        <v>38.533</v>
      </c>
      <c r="K1215" s="140" t="n"/>
      <c r="L1215" s="140">
        <f>+H1215*J1215</f>
        <v/>
      </c>
      <c r="M1215" s="141">
        <f>SUM(M1214+K1215-L1215)</f>
        <v/>
      </c>
    </row>
    <row r="1216">
      <c r="A1216" s="20" t="n">
        <v>45734</v>
      </c>
      <c r="B1216" s="1" t="n">
        <v>14257</v>
      </c>
      <c r="C1216" s="2" t="inlineStr">
        <is>
          <t>HASALTUN</t>
        </is>
      </c>
      <c r="D1216" s="1" t="inlineStr">
        <is>
          <t>SM 350</t>
        </is>
      </c>
      <c r="E1216" s="1" t="inlineStr">
        <is>
          <t>TEVFİK ÖZTÜRK</t>
        </is>
      </c>
      <c r="F1216" s="3" t="n"/>
      <c r="G1216" s="143" t="n"/>
      <c r="H1216" s="143" t="n">
        <v>279</v>
      </c>
      <c r="I1216" s="143">
        <f>+I1215+(G1216-H1216)</f>
        <v/>
      </c>
      <c r="J1216" s="144" t="n">
        <v>38.533</v>
      </c>
      <c r="K1216" s="145" t="n"/>
      <c r="L1216" s="140">
        <f>+H1216*J1216</f>
        <v/>
      </c>
      <c r="M1216" s="141">
        <f>SUM(M1215+K1216-L1216)</f>
        <v/>
      </c>
    </row>
    <row r="1217">
      <c r="A1217" s="20" t="n">
        <v>45734</v>
      </c>
      <c r="B1217" s="1" t="n">
        <v>14258</v>
      </c>
      <c r="C1217" s="2" t="inlineStr">
        <is>
          <t>HASALTUN</t>
        </is>
      </c>
      <c r="D1217" s="1" t="inlineStr">
        <is>
          <t>SM 370</t>
        </is>
      </c>
      <c r="E1217" s="1" t="inlineStr">
        <is>
          <t>RAMAZAN KAYA</t>
        </is>
      </c>
      <c r="F1217" s="3" t="n"/>
      <c r="G1217" s="143" t="n"/>
      <c r="H1217" s="143" t="n">
        <v>468</v>
      </c>
      <c r="I1217" s="143">
        <f>+I1216+(G1217-H1217)</f>
        <v/>
      </c>
      <c r="J1217" s="144" t="n">
        <v>38.533</v>
      </c>
      <c r="K1217" s="145" t="n"/>
      <c r="L1217" s="140">
        <f>+H1217*J1217</f>
        <v/>
      </c>
      <c r="M1217" s="141">
        <f>SUM(M1216+K1217-L1217)</f>
        <v/>
      </c>
    </row>
    <row r="1218">
      <c r="A1218" s="20" t="n">
        <v>45734</v>
      </c>
      <c r="B1218" s="21" t="n">
        <v>14259</v>
      </c>
      <c r="C1218" s="22" t="inlineStr">
        <is>
          <t>SELİM İNŞAAT</t>
        </is>
      </c>
      <c r="D1218" s="1" t="inlineStr">
        <is>
          <t>KAVAZAKİ</t>
        </is>
      </c>
      <c r="E1218" s="21" t="inlineStr">
        <is>
          <t>UFUK SEVAL</t>
        </is>
      </c>
      <c r="F1218" s="23" t="n"/>
      <c r="G1218" s="138" t="n"/>
      <c r="H1218" s="138" t="n">
        <v>72</v>
      </c>
      <c r="I1218" s="138">
        <f>+I1217+(G1218-H1218)</f>
        <v/>
      </c>
      <c r="J1218" s="139" t="n">
        <v>38.533</v>
      </c>
      <c r="K1218" s="140" t="n"/>
      <c r="L1218" s="140">
        <f>+H1218*J1218</f>
        <v/>
      </c>
      <c r="M1218" s="141">
        <f>SUM(M1217+K1218-L1218)</f>
        <v/>
      </c>
    </row>
    <row r="1219">
      <c r="A1219" s="20" t="n">
        <v>45735</v>
      </c>
      <c r="B1219" s="21" t="n">
        <v>10031</v>
      </c>
      <c r="C1219" s="22" t="inlineStr">
        <is>
          <t>METİN ERYİĞİT</t>
        </is>
      </c>
      <c r="D1219" s="21" t="inlineStr">
        <is>
          <t>34 EGS 013</t>
        </is>
      </c>
      <c r="E1219" s="21" t="inlineStr">
        <is>
          <t>UĞUR DUMAN</t>
        </is>
      </c>
      <c r="F1219" s="23" t="n">
        <v>470046</v>
      </c>
      <c r="G1219" s="138" t="n"/>
      <c r="H1219" s="138" t="n">
        <v>230</v>
      </c>
      <c r="I1219" s="138">
        <f>+I1218+(G1219-H1219)</f>
        <v/>
      </c>
      <c r="J1219" s="139" t="n">
        <v>38.533</v>
      </c>
      <c r="K1219" s="140" t="n"/>
      <c r="L1219" s="140">
        <f>+H1219*J1219</f>
        <v/>
      </c>
      <c r="M1219" s="141">
        <f>SUM(M1218+K1219-L1219)</f>
        <v/>
      </c>
    </row>
    <row r="1220">
      <c r="A1220" s="20" t="n">
        <v>45735</v>
      </c>
      <c r="B1220" s="21" t="n">
        <v>20190</v>
      </c>
      <c r="C1220" s="22" t="inlineStr">
        <is>
          <t>SELİM İNŞAAT</t>
        </is>
      </c>
      <c r="D1220" s="21" t="inlineStr">
        <is>
          <t>34 JGR 15</t>
        </is>
      </c>
      <c r="E1220" s="21" t="inlineStr">
        <is>
          <t>MUSTAFA ALBAYRAK</t>
        </is>
      </c>
      <c r="F1220" s="23" t="n">
        <v>306910</v>
      </c>
      <c r="G1220" s="138" t="n"/>
      <c r="H1220" s="138" t="n">
        <v>61</v>
      </c>
      <c r="I1220" s="138">
        <f>+I1219+(G1220-H1220)</f>
        <v/>
      </c>
      <c r="J1220" s="139" t="n">
        <v>38.533</v>
      </c>
      <c r="K1220" s="140" t="n"/>
      <c r="L1220" s="140">
        <f>+H1220*J1220</f>
        <v/>
      </c>
      <c r="M1220" s="141">
        <f>SUM(M1219+K1220-L1220)</f>
        <v/>
      </c>
    </row>
    <row r="1221">
      <c r="A1221" s="20" t="n">
        <v>45735</v>
      </c>
      <c r="B1221" s="21" t="n">
        <v>9944</v>
      </c>
      <c r="C1221" s="22" t="inlineStr">
        <is>
          <t>MAHMUT VİNÇ</t>
        </is>
      </c>
      <c r="D1221" s="21" t="inlineStr">
        <is>
          <t>34 MEP 460</t>
        </is>
      </c>
      <c r="E1221" s="21" t="inlineStr">
        <is>
          <t>YASİN DEMİR</t>
        </is>
      </c>
      <c r="F1221" s="23" t="n"/>
      <c r="G1221" s="138" t="n"/>
      <c r="H1221" s="138" t="n">
        <v>68</v>
      </c>
      <c r="I1221" s="138">
        <f>+I1220+(G1221-H1221)</f>
        <v/>
      </c>
      <c r="J1221" s="139" t="n">
        <v>38.533</v>
      </c>
      <c r="K1221" s="140" t="n"/>
      <c r="L1221" s="140">
        <f>+H1221*J1221</f>
        <v/>
      </c>
      <c r="M1221" s="141">
        <f>SUM(M1220+K1221-L1221)</f>
        <v/>
      </c>
    </row>
    <row r="1222">
      <c r="A1222" s="20" t="n">
        <v>45736</v>
      </c>
      <c r="B1222" s="21" t="n">
        <v>325</v>
      </c>
      <c r="C1222" s="22" t="inlineStr">
        <is>
          <t>ÜNSOY TURİZM İNŞ.SAN.VE TİC.A.Ş.</t>
        </is>
      </c>
      <c r="D1222" s="21" t="n"/>
      <c r="E1222" s="21" t="n"/>
      <c r="F1222" s="23" t="n"/>
      <c r="G1222" s="138" t="n">
        <v>32580</v>
      </c>
      <c r="H1222" s="138" t="n"/>
      <c r="I1222" s="138">
        <f>+I1221+(G1222-H1222)</f>
        <v/>
      </c>
      <c r="J1222" s="139">
        <f>+K1222/G1222</f>
        <v/>
      </c>
      <c r="K1222" s="140" t="n">
        <v>1259217</v>
      </c>
      <c r="L1222" s="140">
        <f>+H1222*J1222</f>
        <v/>
      </c>
      <c r="M1222" s="141">
        <f>SUM(M1221+K1222-L1222)</f>
        <v/>
      </c>
    </row>
    <row r="1223">
      <c r="A1223" s="20" t="n">
        <v>45736</v>
      </c>
      <c r="B1223" s="21" t="n">
        <v>14159</v>
      </c>
      <c r="C1223" s="22" t="inlineStr">
        <is>
          <t>AZGÜN YAPI</t>
        </is>
      </c>
      <c r="D1223" s="21" t="inlineStr">
        <is>
          <t>34 DTV 263</t>
        </is>
      </c>
      <c r="E1223" s="21" t="inlineStr">
        <is>
          <t>EDİP TORLAK</t>
        </is>
      </c>
      <c r="F1223" s="23" t="n">
        <v>366045</v>
      </c>
      <c r="G1223" s="138" t="n"/>
      <c r="H1223" s="138" t="n">
        <v>356</v>
      </c>
      <c r="I1223" s="138">
        <f>+I1222+(G1223-H1223)</f>
        <v/>
      </c>
      <c r="J1223" s="139" t="n">
        <v>38.65</v>
      </c>
      <c r="K1223" s="140" t="n"/>
      <c r="L1223" s="140">
        <f>+H1223*J1223</f>
        <v/>
      </c>
      <c r="M1223" s="141">
        <f>SUM(M1222+K1223-L1223)</f>
        <v/>
      </c>
    </row>
    <row r="1224">
      <c r="A1224" s="20" t="n">
        <v>45736</v>
      </c>
      <c r="B1224" s="21" t="n">
        <v>11469</v>
      </c>
      <c r="C1224" s="22" t="inlineStr">
        <is>
          <t>METİN ŞİRİN</t>
        </is>
      </c>
      <c r="D1224" s="21" t="inlineStr">
        <is>
          <t>34 EGR 922</t>
        </is>
      </c>
      <c r="E1224" s="21" t="inlineStr">
        <is>
          <t>GÜRAY KOYUNCU</t>
        </is>
      </c>
      <c r="F1224" s="23" t="n">
        <v>440043</v>
      </c>
      <c r="G1224" s="138" t="n"/>
      <c r="H1224" s="138" t="n">
        <v>348</v>
      </c>
      <c r="I1224" s="138">
        <f>+I1223+(G1224-H1224)</f>
        <v/>
      </c>
      <c r="J1224" s="139" t="n">
        <v>38.65</v>
      </c>
      <c r="K1224" s="140" t="n"/>
      <c r="L1224" s="140">
        <f>+H1224*J1224</f>
        <v/>
      </c>
      <c r="M1224" s="141">
        <f>SUM(M1223+K1224-L1224)</f>
        <v/>
      </c>
    </row>
    <row r="1225">
      <c r="A1225" s="20" t="n">
        <v>45736</v>
      </c>
      <c r="B1225" s="21" t="n">
        <v>21546</v>
      </c>
      <c r="C1225" s="22" t="inlineStr">
        <is>
          <t>SELİM İNŞAAT</t>
        </is>
      </c>
      <c r="D1225" s="21" t="inlineStr">
        <is>
          <t>34 GVZ 745</t>
        </is>
      </c>
      <c r="E1225" s="21" t="inlineStr">
        <is>
          <t>MUHAMMED YİĞİT</t>
        </is>
      </c>
      <c r="F1225" s="23" t="n">
        <v>169006</v>
      </c>
      <c r="G1225" s="138" t="n"/>
      <c r="H1225" s="138" t="n">
        <v>471</v>
      </c>
      <c r="I1225" s="138">
        <f>+I1224+(G1225-H1225)</f>
        <v/>
      </c>
      <c r="J1225" s="139" t="n">
        <v>38.65</v>
      </c>
      <c r="K1225" s="140" t="n"/>
      <c r="L1225" s="140">
        <f>+H1225*J1225</f>
        <v/>
      </c>
      <c r="M1225" s="141">
        <f>SUM(M1224+K1225-L1225)</f>
        <v/>
      </c>
    </row>
    <row r="1226">
      <c r="A1226" s="20" t="n">
        <v>45736</v>
      </c>
      <c r="B1226" s="21" t="n">
        <v>21485</v>
      </c>
      <c r="C1226" s="22" t="inlineStr">
        <is>
          <t>SELİM İNŞAAT</t>
        </is>
      </c>
      <c r="D1226" s="21" t="inlineStr">
        <is>
          <t>34 GYZ 635</t>
        </is>
      </c>
      <c r="E1226" s="21" t="inlineStr">
        <is>
          <t>ENGİN DEMİR</t>
        </is>
      </c>
      <c r="F1226" s="23" t="n">
        <v>153884</v>
      </c>
      <c r="G1226" s="138" t="n"/>
      <c r="H1226" s="138" t="n">
        <v>398</v>
      </c>
      <c r="I1226" s="138">
        <f>+I1225+(G1226-H1226)</f>
        <v/>
      </c>
      <c r="J1226" s="139" t="n">
        <v>38.65</v>
      </c>
      <c r="K1226" s="140" t="n"/>
      <c r="L1226" s="140">
        <f>+H1226*J1226</f>
        <v/>
      </c>
      <c r="M1226" s="141">
        <f>SUM(M1225+K1226-L1226)</f>
        <v/>
      </c>
    </row>
    <row r="1227">
      <c r="A1227" s="20" t="n">
        <v>45736</v>
      </c>
      <c r="B1227" s="21" t="n">
        <v>10772</v>
      </c>
      <c r="C1227" s="22" t="inlineStr">
        <is>
          <t>SELİM İNŞAAT</t>
        </is>
      </c>
      <c r="D1227" s="21" t="inlineStr">
        <is>
          <t>34 FBR 705</t>
        </is>
      </c>
      <c r="E1227" s="21" t="inlineStr">
        <is>
          <t>MESUT GÜRLER</t>
        </is>
      </c>
      <c r="F1227" s="23" t="n">
        <v>294655</v>
      </c>
      <c r="G1227" s="138" t="n"/>
      <c r="H1227" s="138" t="n">
        <v>404</v>
      </c>
      <c r="I1227" s="138">
        <f>+I1226+(G1227-H1227)</f>
        <v/>
      </c>
      <c r="J1227" s="139" t="n">
        <v>38.65</v>
      </c>
      <c r="K1227" s="140" t="n"/>
      <c r="L1227" s="140">
        <f>+H1227*J1227</f>
        <v/>
      </c>
      <c r="M1227" s="141">
        <f>SUM(M1226+K1227-L1227)</f>
        <v/>
      </c>
    </row>
    <row r="1228">
      <c r="A1228" s="20" t="n">
        <v>45736</v>
      </c>
      <c r="B1228" s="21" t="n">
        <v>10286</v>
      </c>
      <c r="C1228" s="22" t="inlineStr">
        <is>
          <t>SELİM İNŞAAT</t>
        </is>
      </c>
      <c r="D1228" s="21" t="inlineStr">
        <is>
          <t>34 FBR 748</t>
        </is>
      </c>
      <c r="E1228" s="21" t="inlineStr">
        <is>
          <t>YAŞAR ÖZKAYA</t>
        </is>
      </c>
      <c r="F1228" s="23" t="n">
        <v>267278</v>
      </c>
      <c r="G1228" s="138" t="n"/>
      <c r="H1228" s="138" t="n">
        <v>306</v>
      </c>
      <c r="I1228" s="138">
        <f>+I1227+(G1228-H1228)</f>
        <v/>
      </c>
      <c r="J1228" s="139" t="n">
        <v>38.65</v>
      </c>
      <c r="K1228" s="140" t="n"/>
      <c r="L1228" s="140">
        <f>+H1228*J1228</f>
        <v/>
      </c>
      <c r="M1228" s="141">
        <f>SUM(M1227+K1228-L1228)</f>
        <v/>
      </c>
    </row>
    <row r="1229">
      <c r="A1229" s="20" t="n">
        <v>45736</v>
      </c>
      <c r="B1229" s="21" t="n">
        <v>10366</v>
      </c>
      <c r="C1229" s="22" t="inlineStr">
        <is>
          <t>SELİM İNŞAAT</t>
        </is>
      </c>
      <c r="D1229" s="21" t="inlineStr">
        <is>
          <t>34 DRU 690</t>
        </is>
      </c>
      <c r="E1229" s="21" t="inlineStr">
        <is>
          <t>MUSTAFA KAYA</t>
        </is>
      </c>
      <c r="F1229" s="23" t="n">
        <v>396993</v>
      </c>
      <c r="G1229" s="138" t="n"/>
      <c r="H1229" s="138" t="n">
        <v>288</v>
      </c>
      <c r="I1229" s="138">
        <f>+I1228+(G1229-H1229)</f>
        <v/>
      </c>
      <c r="J1229" s="139" t="n">
        <v>38.65</v>
      </c>
      <c r="K1229" s="140" t="n"/>
      <c r="L1229" s="140">
        <f>+H1229*J1229</f>
        <v/>
      </c>
      <c r="M1229" s="141">
        <f>SUM(M1228+K1229-L1229)</f>
        <v/>
      </c>
    </row>
    <row r="1230">
      <c r="A1230" s="20" t="n">
        <v>45736</v>
      </c>
      <c r="B1230" s="21" t="n">
        <v>21291</v>
      </c>
      <c r="C1230" s="22" t="inlineStr">
        <is>
          <t>SELİM İNŞAAT</t>
        </is>
      </c>
      <c r="D1230" s="21" t="inlineStr">
        <is>
          <t>34 DTV 447</t>
        </is>
      </c>
      <c r="E1230" s="21" t="inlineStr">
        <is>
          <t>EBUBEKİR KOLDAŞ</t>
        </is>
      </c>
      <c r="F1230" s="23" t="n">
        <v>418843</v>
      </c>
      <c r="G1230" s="138" t="n"/>
      <c r="H1230" s="138" t="n">
        <v>406</v>
      </c>
      <c r="I1230" s="138">
        <f>+I1229+(G1230-H1230)</f>
        <v/>
      </c>
      <c r="J1230" s="139" t="n">
        <v>38.65</v>
      </c>
      <c r="K1230" s="140" t="n"/>
      <c r="L1230" s="140">
        <f>+H1230*J1230</f>
        <v/>
      </c>
      <c r="M1230" s="141">
        <f>SUM(M1229+K1230-L1230)</f>
        <v/>
      </c>
    </row>
    <row r="1231">
      <c r="A1231" s="20" t="n">
        <v>45736</v>
      </c>
      <c r="B1231" s="21" t="n">
        <v>11132</v>
      </c>
      <c r="C1231" s="22" t="inlineStr">
        <is>
          <t>SELİM İNŞAAT</t>
        </is>
      </c>
      <c r="D1231" s="21" t="inlineStr">
        <is>
          <t>34 DTV 409</t>
        </is>
      </c>
      <c r="E1231" s="21" t="inlineStr">
        <is>
          <t xml:space="preserve">ONUR CANLI </t>
        </is>
      </c>
      <c r="F1231" s="23" t="n">
        <v>400559</v>
      </c>
      <c r="G1231" s="138" t="n"/>
      <c r="H1231" s="138" t="n">
        <v>403</v>
      </c>
      <c r="I1231" s="138">
        <f>+I1230+(G1231-H1231)</f>
        <v/>
      </c>
      <c r="J1231" s="139" t="n">
        <v>38.65</v>
      </c>
      <c r="K1231" s="140" t="n"/>
      <c r="L1231" s="140">
        <f>+H1231*J1231</f>
        <v/>
      </c>
      <c r="M1231" s="141">
        <f>SUM(M1230+K1231-L1231)</f>
        <v/>
      </c>
    </row>
    <row r="1232">
      <c r="A1232" s="20" t="n">
        <v>45736</v>
      </c>
      <c r="B1232" s="21" t="n">
        <v>10522</v>
      </c>
      <c r="C1232" s="22" t="inlineStr">
        <is>
          <t>SELİM İNŞAAT</t>
        </is>
      </c>
      <c r="D1232" s="21" t="inlineStr">
        <is>
          <t>34 EDB 922</t>
        </is>
      </c>
      <c r="E1232" s="21" t="inlineStr">
        <is>
          <t>AHMET TOPÇU</t>
        </is>
      </c>
      <c r="F1232" s="23" t="n">
        <v>340850</v>
      </c>
      <c r="G1232" s="138" t="n"/>
      <c r="H1232" s="138" t="n">
        <v>383</v>
      </c>
      <c r="I1232" s="138">
        <f>+I1231+(G1232-H1232)</f>
        <v/>
      </c>
      <c r="J1232" s="139" t="n">
        <v>38.65</v>
      </c>
      <c r="K1232" s="140" t="n"/>
      <c r="L1232" s="140">
        <f>+H1232*J1232</f>
        <v/>
      </c>
      <c r="M1232" s="141">
        <f>SUM(M1231+K1232-L1232)</f>
        <v/>
      </c>
    </row>
    <row r="1233">
      <c r="A1233" s="20" t="n">
        <v>45736</v>
      </c>
      <c r="B1233" s="21" t="n">
        <v>9797</v>
      </c>
      <c r="C1233" s="22" t="inlineStr">
        <is>
          <t>SELİM İNŞAAT</t>
        </is>
      </c>
      <c r="D1233" s="21" t="inlineStr">
        <is>
          <t>34 GVZ 268</t>
        </is>
      </c>
      <c r="E1233" s="21" t="inlineStr">
        <is>
          <t>KERİM KARAMAN</t>
        </is>
      </c>
      <c r="F1233" s="23" t="n">
        <v>173667</v>
      </c>
      <c r="G1233" s="138" t="n"/>
      <c r="H1233" s="138" t="n">
        <v>360</v>
      </c>
      <c r="I1233" s="138">
        <f>+I1232+(G1233-H1233)</f>
        <v/>
      </c>
      <c r="J1233" s="139" t="n">
        <v>38.65</v>
      </c>
      <c r="K1233" s="140" t="n"/>
      <c r="L1233" s="140">
        <f>+H1233*J1233</f>
        <v/>
      </c>
      <c r="M1233" s="141">
        <f>SUM(M1232+K1233-L1233)</f>
        <v/>
      </c>
    </row>
    <row r="1234">
      <c r="A1234" s="20" t="n">
        <v>45736</v>
      </c>
      <c r="B1234" s="21" t="n">
        <v>14061</v>
      </c>
      <c r="C1234" s="22" t="inlineStr">
        <is>
          <t>SELİM İNŞAAT</t>
        </is>
      </c>
      <c r="D1234" s="21" t="inlineStr">
        <is>
          <t>34 EDB 659</t>
        </is>
      </c>
      <c r="E1234" s="21" t="inlineStr">
        <is>
          <t>MEHMET SAİT ANIK</t>
        </is>
      </c>
      <c r="F1234" s="23" t="n">
        <v>322020</v>
      </c>
      <c r="G1234" s="138" t="n"/>
      <c r="H1234" s="138" t="n">
        <v>207</v>
      </c>
      <c r="I1234" s="138">
        <f>+I1233+(G1234-H1234)</f>
        <v/>
      </c>
      <c r="J1234" s="139" t="n">
        <v>38.65</v>
      </c>
      <c r="K1234" s="140" t="n"/>
      <c r="L1234" s="140">
        <f>+H1234*J1234</f>
        <v/>
      </c>
      <c r="M1234" s="141">
        <f>SUM(M1233+K1234-L1234)</f>
        <v/>
      </c>
    </row>
    <row r="1235">
      <c r="A1235" s="20" t="n">
        <v>45736</v>
      </c>
      <c r="B1235" s="21" t="n">
        <v>10066</v>
      </c>
      <c r="C1235" s="22" t="inlineStr">
        <is>
          <t>SELİM İNŞAAT</t>
        </is>
      </c>
      <c r="D1235" s="21" t="inlineStr">
        <is>
          <t>34 FBR 771</t>
        </is>
      </c>
      <c r="E1235" s="21" t="inlineStr">
        <is>
          <t>HÜSEYİN AKÇİN</t>
        </is>
      </c>
      <c r="F1235" s="23" t="n">
        <v>298438</v>
      </c>
      <c r="G1235" s="138" t="n"/>
      <c r="H1235" s="138" t="n">
        <v>491</v>
      </c>
      <c r="I1235" s="138">
        <f>+I1234+(G1235-H1235)</f>
        <v/>
      </c>
      <c r="J1235" s="139" t="n">
        <v>38.65</v>
      </c>
      <c r="K1235" s="140" t="n"/>
      <c r="L1235" s="140">
        <f>+H1235*J1235</f>
        <v/>
      </c>
      <c r="M1235" s="141">
        <f>SUM(M1234+K1235-L1235)</f>
        <v/>
      </c>
    </row>
    <row r="1236">
      <c r="A1236" s="20" t="n">
        <v>45736</v>
      </c>
      <c r="B1236" s="21" t="n">
        <v>14607</v>
      </c>
      <c r="C1236" s="22" t="inlineStr">
        <is>
          <t>SELİM İNŞAAT</t>
        </is>
      </c>
      <c r="D1236" s="21" t="inlineStr">
        <is>
          <t>34 GER 445</t>
        </is>
      </c>
      <c r="E1236" s="21" t="inlineStr">
        <is>
          <t>HASAN BAYCAN</t>
        </is>
      </c>
      <c r="F1236" s="23" t="n">
        <v>39245</v>
      </c>
      <c r="G1236" s="138" t="n"/>
      <c r="H1236" s="138" t="n">
        <v>128</v>
      </c>
      <c r="I1236" s="138">
        <f>+I1235+(G1236-H1236)</f>
        <v/>
      </c>
      <c r="J1236" s="139" t="n">
        <v>38.65</v>
      </c>
      <c r="K1236" s="140" t="n"/>
      <c r="L1236" s="140">
        <f>+H1236*J1236</f>
        <v/>
      </c>
      <c r="M1236" s="141">
        <f>SUM(M1235+K1236-L1236)</f>
        <v/>
      </c>
    </row>
    <row r="1237">
      <c r="A1237" s="20" t="n">
        <v>45736</v>
      </c>
      <c r="B1237" s="21" t="n">
        <v>14351</v>
      </c>
      <c r="C1237" s="22" t="inlineStr">
        <is>
          <t>SELİM İNŞAAT</t>
        </is>
      </c>
      <c r="D1237" s="21" t="inlineStr">
        <is>
          <t>34 DKL 798</t>
        </is>
      </c>
      <c r="E1237" s="21" t="inlineStr">
        <is>
          <t>VOLKAN YANAR</t>
        </is>
      </c>
      <c r="F1237" s="23" t="n">
        <v>62329</v>
      </c>
      <c r="G1237" s="138" t="n"/>
      <c r="H1237" s="138" t="n">
        <v>168</v>
      </c>
      <c r="I1237" s="138">
        <f>+I1236+(G1237-H1237)</f>
        <v/>
      </c>
      <c r="J1237" s="139" t="n">
        <v>38.65</v>
      </c>
      <c r="K1237" s="140" t="n"/>
      <c r="L1237" s="140">
        <f>+H1237*J1237</f>
        <v/>
      </c>
      <c r="M1237" s="141">
        <f>SUM(M1236+K1237-L1237)</f>
        <v/>
      </c>
    </row>
    <row r="1238">
      <c r="A1238" s="20" t="n">
        <v>45736</v>
      </c>
      <c r="B1238" s="21" t="n">
        <v>11070</v>
      </c>
      <c r="C1238" s="22" t="inlineStr">
        <is>
          <t>SELİM İNŞAAT</t>
        </is>
      </c>
      <c r="D1238" s="21" t="inlineStr">
        <is>
          <t>34 HBT 763</t>
        </is>
      </c>
      <c r="E1238" s="21" t="inlineStr">
        <is>
          <t>EMİRCAN ÖZTÜRK</t>
        </is>
      </c>
      <c r="F1238" s="23" t="n">
        <v>14096</v>
      </c>
      <c r="G1238" s="138" t="n"/>
      <c r="H1238" s="138" t="n">
        <v>157</v>
      </c>
      <c r="I1238" s="138">
        <f>+I1237+(G1238-H1238)</f>
        <v/>
      </c>
      <c r="J1238" s="139" t="n">
        <v>38.65</v>
      </c>
      <c r="K1238" s="140" t="n"/>
      <c r="L1238" s="140">
        <f>+H1238*J1238</f>
        <v/>
      </c>
      <c r="M1238" s="141">
        <f>SUM(M1237+K1238-L1238)</f>
        <v/>
      </c>
    </row>
    <row r="1239">
      <c r="A1239" s="20" t="n">
        <v>45736</v>
      </c>
      <c r="B1239" s="21" t="n">
        <v>10868</v>
      </c>
      <c r="C1239" s="22" t="inlineStr">
        <is>
          <t>SELİM İNŞAAT</t>
        </is>
      </c>
      <c r="D1239" s="21" t="inlineStr">
        <is>
          <t>34 AR 7743</t>
        </is>
      </c>
      <c r="E1239" s="21" t="inlineStr">
        <is>
          <t>MEHMET SELİM</t>
        </is>
      </c>
      <c r="F1239" s="23" t="n">
        <v>352053</v>
      </c>
      <c r="G1239" s="138" t="n"/>
      <c r="H1239" s="138" t="n">
        <v>34</v>
      </c>
      <c r="I1239" s="138">
        <f>+I1238+(G1239-H1239)</f>
        <v/>
      </c>
      <c r="J1239" s="139" t="n">
        <v>38.65</v>
      </c>
      <c r="K1239" s="140" t="n"/>
      <c r="L1239" s="140">
        <f>+H1239*J1239</f>
        <v/>
      </c>
      <c r="M1239" s="141">
        <f>SUM(M1238+K1239-L1239)</f>
        <v/>
      </c>
    </row>
    <row r="1240">
      <c r="A1240" s="20" t="n">
        <v>45736</v>
      </c>
      <c r="B1240" s="21" t="n">
        <v>9947</v>
      </c>
      <c r="C1240" s="22" t="inlineStr">
        <is>
          <t>AHMET SELİM TEMHA</t>
        </is>
      </c>
      <c r="D1240" s="21" t="inlineStr">
        <is>
          <t>34 DGE 422</t>
        </is>
      </c>
      <c r="E1240" s="21" t="inlineStr">
        <is>
          <t>CEMAL AKDAMAR</t>
        </is>
      </c>
      <c r="F1240" s="23" t="n"/>
      <c r="G1240" s="138" t="n"/>
      <c r="H1240" s="138" t="n">
        <v>72</v>
      </c>
      <c r="I1240" s="138">
        <f>+I1239+(G1240-H1240)</f>
        <v/>
      </c>
      <c r="J1240" s="139" t="n">
        <v>38.65</v>
      </c>
      <c r="K1240" s="140" t="n"/>
      <c r="L1240" s="140">
        <f>+H1240*J1240</f>
        <v/>
      </c>
      <c r="M1240" s="141">
        <f>SUM(M1239+K1240-L1240)</f>
        <v/>
      </c>
    </row>
    <row r="1241">
      <c r="A1241" s="20" t="n">
        <v>45736</v>
      </c>
      <c r="B1241" s="21" t="n">
        <v>14260</v>
      </c>
      <c r="C1241" s="22" t="inlineStr">
        <is>
          <t>SELİM İNŞAAT</t>
        </is>
      </c>
      <c r="D1241" s="21" t="inlineStr">
        <is>
          <t>SİLİNDİR</t>
        </is>
      </c>
      <c r="E1241" s="21" t="inlineStr">
        <is>
          <t>UFUK SEVAL</t>
        </is>
      </c>
      <c r="F1241" s="23" t="n"/>
      <c r="G1241" s="138" t="n"/>
      <c r="H1241" s="138" t="n">
        <v>76</v>
      </c>
      <c r="I1241" s="138">
        <f>+I1240+(G1241-H1241)</f>
        <v/>
      </c>
      <c r="J1241" s="139" t="n">
        <v>38.65</v>
      </c>
      <c r="K1241" s="140" t="n"/>
      <c r="L1241" s="140">
        <f>+H1241*J1241</f>
        <v/>
      </c>
      <c r="M1241" s="141">
        <f>SUM(M1240+K1241-L1241)</f>
        <v/>
      </c>
    </row>
    <row r="1242">
      <c r="A1242" s="20" t="n">
        <v>45736</v>
      </c>
      <c r="B1242" s="1" t="n">
        <v>14261</v>
      </c>
      <c r="C1242" s="2" t="inlineStr">
        <is>
          <t>HASALTUN</t>
        </is>
      </c>
      <c r="D1242" s="1" t="inlineStr">
        <is>
          <t>SM 300</t>
        </is>
      </c>
      <c r="E1242" s="1" t="inlineStr">
        <is>
          <t>TURGUT SANCAK</t>
        </is>
      </c>
      <c r="F1242" s="3" t="n"/>
      <c r="G1242" s="143" t="n"/>
      <c r="H1242" s="143" t="n">
        <v>389</v>
      </c>
      <c r="I1242" s="143">
        <f>+I1241+(G1242-H1242)</f>
        <v/>
      </c>
      <c r="J1242" s="144" t="n">
        <v>38.65</v>
      </c>
      <c r="K1242" s="145" t="n"/>
      <c r="L1242" s="140">
        <f>+H1242*J1242</f>
        <v/>
      </c>
      <c r="M1242" s="141">
        <f>SUM(M1241+K1242-L1242)</f>
        <v/>
      </c>
    </row>
    <row r="1243">
      <c r="A1243" s="20" t="n">
        <v>45736</v>
      </c>
      <c r="B1243" s="21" t="n">
        <v>14262</v>
      </c>
      <c r="C1243" s="22" t="inlineStr">
        <is>
          <t>EVKUR</t>
        </is>
      </c>
      <c r="D1243" s="21" t="inlineStr">
        <is>
          <t>FOKLİFT</t>
        </is>
      </c>
      <c r="E1243" s="21" t="inlineStr">
        <is>
          <t>FAHRİ KALFA</t>
        </is>
      </c>
      <c r="F1243" s="23" t="n"/>
      <c r="G1243" s="138" t="n"/>
      <c r="H1243" s="138" t="n">
        <v>68</v>
      </c>
      <c r="I1243" s="138">
        <f>+I1242+(G1243-H1243)</f>
        <v/>
      </c>
      <c r="J1243" s="139" t="n">
        <v>38.65</v>
      </c>
      <c r="K1243" s="140" t="n"/>
      <c r="L1243" s="140">
        <f>+H1243*J1243</f>
        <v/>
      </c>
      <c r="M1243" s="141">
        <f>SUM(M1242+K1243-L1243)</f>
        <v/>
      </c>
    </row>
    <row r="1244">
      <c r="A1244" s="20" t="n">
        <v>45736</v>
      </c>
      <c r="B1244" s="1" t="n">
        <v>14263</v>
      </c>
      <c r="C1244" s="2" t="inlineStr">
        <is>
          <t>HASALTUN</t>
        </is>
      </c>
      <c r="D1244" s="1" t="inlineStr">
        <is>
          <t>SM 370</t>
        </is>
      </c>
      <c r="E1244" s="1" t="inlineStr">
        <is>
          <t>RAMAZAN KAYA</t>
        </is>
      </c>
      <c r="F1244" s="3" t="n"/>
      <c r="G1244" s="143" t="n"/>
      <c r="H1244" s="143" t="n">
        <v>472</v>
      </c>
      <c r="I1244" s="143">
        <f>+I1243+(G1244-H1244)</f>
        <v/>
      </c>
      <c r="J1244" s="144" t="n">
        <v>38.65</v>
      </c>
      <c r="K1244" s="145" t="n"/>
      <c r="L1244" s="140">
        <f>+H1244*J1244</f>
        <v/>
      </c>
      <c r="M1244" s="141">
        <f>SUM(M1243+K1244-L1244)</f>
        <v/>
      </c>
    </row>
    <row r="1245">
      <c r="A1245" s="20" t="n">
        <v>45736</v>
      </c>
      <c r="B1245" s="1" t="n">
        <v>14264</v>
      </c>
      <c r="C1245" s="2" t="inlineStr">
        <is>
          <t>HASALTUN</t>
        </is>
      </c>
      <c r="D1245" s="1" t="inlineStr">
        <is>
          <t>SM 350</t>
        </is>
      </c>
      <c r="E1245" s="1" t="inlineStr">
        <is>
          <t>TEVFİK ÖZTÜRK</t>
        </is>
      </c>
      <c r="F1245" s="3" t="n"/>
      <c r="G1245" s="143" t="n"/>
      <c r="H1245" s="143" t="n">
        <v>390</v>
      </c>
      <c r="I1245" s="143">
        <f>+I1244+(G1245-H1245)</f>
        <v/>
      </c>
      <c r="J1245" s="144" t="n">
        <v>38.65</v>
      </c>
      <c r="K1245" s="145" t="n"/>
      <c r="L1245" s="140">
        <f>+H1245*J1245</f>
        <v/>
      </c>
      <c r="M1245" s="141">
        <f>SUM(M1244+K1245-L1245)</f>
        <v/>
      </c>
    </row>
    <row r="1246">
      <c r="A1246" s="20" t="n">
        <v>45737</v>
      </c>
      <c r="B1246" s="21" t="n">
        <v>10690</v>
      </c>
      <c r="C1246" s="22" t="inlineStr">
        <is>
          <t>SELİM İNŞAAT</t>
        </is>
      </c>
      <c r="D1246" s="21" t="inlineStr">
        <is>
          <t>34 DTV 599</t>
        </is>
      </c>
      <c r="E1246" s="21" t="inlineStr">
        <is>
          <t>FERHAT GÜRLER</t>
        </is>
      </c>
      <c r="F1246" s="23" t="n">
        <v>415514</v>
      </c>
      <c r="G1246" s="138" t="n"/>
      <c r="H1246" s="138" t="n">
        <v>279</v>
      </c>
      <c r="I1246" s="138">
        <f>+I1245+(G1246-H1246)</f>
        <v/>
      </c>
      <c r="J1246" s="139" t="n">
        <v>38.65</v>
      </c>
      <c r="K1246" s="140" t="n"/>
      <c r="L1246" s="140">
        <f>+H1246*J1246</f>
        <v/>
      </c>
      <c r="M1246" s="141">
        <f>SUM(M1245+K1246-L1246)</f>
        <v/>
      </c>
    </row>
    <row r="1247">
      <c r="A1247" s="20" t="n">
        <v>45737</v>
      </c>
      <c r="B1247" s="21" t="n">
        <v>14107</v>
      </c>
      <c r="C1247" s="22" t="inlineStr">
        <is>
          <t>SELİM İNŞAAT</t>
        </is>
      </c>
      <c r="D1247" s="21" t="inlineStr">
        <is>
          <t>34 DSN 536</t>
        </is>
      </c>
      <c r="E1247" s="21" t="inlineStr">
        <is>
          <t>DURSUN ALİ GÜREK</t>
        </is>
      </c>
      <c r="F1247" s="23" t="n">
        <v>386650</v>
      </c>
      <c r="G1247" s="138" t="n"/>
      <c r="H1247" s="138" t="n">
        <v>329</v>
      </c>
      <c r="I1247" s="138">
        <f>+I1246+(G1247-H1247)</f>
        <v/>
      </c>
      <c r="J1247" s="139" t="n">
        <v>38.65</v>
      </c>
      <c r="K1247" s="140" t="n"/>
      <c r="L1247" s="140">
        <f>+H1247*J1247</f>
        <v/>
      </c>
      <c r="M1247" s="141">
        <f>SUM(M1246+K1247-L1247)</f>
        <v/>
      </c>
    </row>
    <row r="1248">
      <c r="A1248" s="20" t="n">
        <v>45737</v>
      </c>
      <c r="B1248" s="21" t="n">
        <v>10996</v>
      </c>
      <c r="C1248" s="22" t="inlineStr">
        <is>
          <t>SELİM İNŞAAT</t>
        </is>
      </c>
      <c r="D1248" s="21" t="inlineStr">
        <is>
          <t>34 GVZ 199</t>
        </is>
      </c>
      <c r="E1248" s="21" t="inlineStr">
        <is>
          <t>VAHDET GÜRLER</t>
        </is>
      </c>
      <c r="F1248" s="23" t="n">
        <v>162374</v>
      </c>
      <c r="G1248" s="138" t="n"/>
      <c r="H1248" s="138" t="n">
        <v>365</v>
      </c>
      <c r="I1248" s="138">
        <f>+I1247+(G1248-H1248)</f>
        <v/>
      </c>
      <c r="J1248" s="139" t="n">
        <v>38.65</v>
      </c>
      <c r="K1248" s="140" t="n"/>
      <c r="L1248" s="140">
        <f>+H1248*J1248</f>
        <v/>
      </c>
      <c r="M1248" s="141">
        <f>SUM(M1247+K1248-L1248)</f>
        <v/>
      </c>
    </row>
    <row r="1249">
      <c r="A1249" s="20" t="n">
        <v>45737</v>
      </c>
      <c r="B1249" s="21" t="n">
        <v>10433</v>
      </c>
      <c r="C1249" s="22" t="inlineStr">
        <is>
          <t>SELİM İNŞAAT</t>
        </is>
      </c>
      <c r="D1249" s="21" t="inlineStr">
        <is>
          <t>34 FBR 781</t>
        </is>
      </c>
      <c r="E1249" s="21" t="inlineStr">
        <is>
          <t>MEVLÜT POLAT</t>
        </is>
      </c>
      <c r="F1249" s="23" t="n">
        <v>285101</v>
      </c>
      <c r="G1249" s="138" t="n"/>
      <c r="H1249" s="138" t="n">
        <v>480</v>
      </c>
      <c r="I1249" s="138">
        <f>+I1248+(G1249-H1249)</f>
        <v/>
      </c>
      <c r="J1249" s="139" t="n">
        <v>38.65</v>
      </c>
      <c r="K1249" s="140" t="n"/>
      <c r="L1249" s="140">
        <f>+H1249*J1249</f>
        <v/>
      </c>
      <c r="M1249" s="141">
        <f>SUM(M1248+K1249-L1249)</f>
        <v/>
      </c>
    </row>
    <row r="1250">
      <c r="A1250" s="20" t="n">
        <v>45737</v>
      </c>
      <c r="B1250" s="21" t="n">
        <v>11282</v>
      </c>
      <c r="C1250" s="22" t="inlineStr">
        <is>
          <t>SELİM İNŞAAT</t>
        </is>
      </c>
      <c r="D1250" s="21" t="inlineStr">
        <is>
          <t>34 EDC 162</t>
        </is>
      </c>
      <c r="E1250" s="21" t="inlineStr">
        <is>
          <t xml:space="preserve">YAKUP GÜNER </t>
        </is>
      </c>
      <c r="F1250" s="23" t="n">
        <v>348996</v>
      </c>
      <c r="G1250" s="138" t="n"/>
      <c r="H1250" s="138" t="n">
        <v>387</v>
      </c>
      <c r="I1250" s="138">
        <f>+I1249+(G1250-H1250)</f>
        <v/>
      </c>
      <c r="J1250" s="139" t="n">
        <v>38.65</v>
      </c>
      <c r="K1250" s="140" t="n"/>
      <c r="L1250" s="140">
        <f>+H1250*J1250</f>
        <v/>
      </c>
      <c r="M1250" s="141">
        <f>SUM(M1249+K1250-L1250)</f>
        <v/>
      </c>
    </row>
    <row r="1251">
      <c r="A1251" s="20" t="n">
        <v>45737</v>
      </c>
      <c r="B1251" s="21" t="n">
        <v>14406</v>
      </c>
      <c r="C1251" s="22" t="inlineStr">
        <is>
          <t>SELİM İNŞAAT</t>
        </is>
      </c>
      <c r="D1251" s="21" t="inlineStr">
        <is>
          <t>34 EGR 737</t>
        </is>
      </c>
      <c r="E1251" s="21" t="inlineStr">
        <is>
          <t>İBRAHİM GÜNASLAN</t>
        </is>
      </c>
      <c r="F1251" s="23" t="n">
        <v>399388</v>
      </c>
      <c r="G1251" s="138" t="n"/>
      <c r="H1251" s="138" t="n">
        <v>270</v>
      </c>
      <c r="I1251" s="138">
        <f>+I1250+(G1251-H1251)</f>
        <v/>
      </c>
      <c r="J1251" s="139" t="n">
        <v>38.65</v>
      </c>
      <c r="K1251" s="140" t="n"/>
      <c r="L1251" s="140">
        <f>+H1251*J1251</f>
        <v/>
      </c>
      <c r="M1251" s="141">
        <f>SUM(M1250+K1251-L1251)</f>
        <v/>
      </c>
    </row>
    <row r="1252">
      <c r="A1252" s="20" t="n">
        <v>45737</v>
      </c>
      <c r="B1252" s="21" t="n">
        <v>10215</v>
      </c>
      <c r="C1252" s="22" t="inlineStr">
        <is>
          <t>SELİM İNŞAAT</t>
        </is>
      </c>
      <c r="D1252" s="21" t="inlineStr">
        <is>
          <t>34 DSN 621</t>
        </is>
      </c>
      <c r="E1252" s="21" t="inlineStr">
        <is>
          <t>MUSTAFA KAYA</t>
        </is>
      </c>
      <c r="F1252" s="23" t="n">
        <v>396348</v>
      </c>
      <c r="G1252" s="138" t="n"/>
      <c r="H1252" s="138" t="n">
        <v>320</v>
      </c>
      <c r="I1252" s="138">
        <f>+I1251+(G1252-H1252)</f>
        <v/>
      </c>
      <c r="J1252" s="139" t="n">
        <v>38.65</v>
      </c>
      <c r="K1252" s="140" t="n"/>
      <c r="L1252" s="140">
        <f>+H1252*J1252</f>
        <v/>
      </c>
      <c r="M1252" s="141">
        <f>SUM(M1251+K1252-L1252)</f>
        <v/>
      </c>
    </row>
    <row r="1253">
      <c r="A1253" s="20" t="n">
        <v>45737</v>
      </c>
      <c r="B1253" s="21" t="n">
        <v>10327</v>
      </c>
      <c r="C1253" s="22" t="inlineStr">
        <is>
          <t>SELİM İNŞAAT</t>
        </is>
      </c>
      <c r="D1253" s="21" t="inlineStr">
        <is>
          <t>34 EDB 829</t>
        </is>
      </c>
      <c r="E1253" s="21" t="inlineStr">
        <is>
          <t>İSMET BAYRAM</t>
        </is>
      </c>
      <c r="F1253" s="23" t="n">
        <v>301184</v>
      </c>
      <c r="G1253" s="138" t="n"/>
      <c r="H1253" s="138" t="n">
        <v>372</v>
      </c>
      <c r="I1253" s="138">
        <f>+I1252+(G1253-H1253)</f>
        <v/>
      </c>
      <c r="J1253" s="139" t="n">
        <v>38.65</v>
      </c>
      <c r="K1253" s="140" t="n"/>
      <c r="L1253" s="140">
        <f>+H1253*J1253</f>
        <v/>
      </c>
      <c r="M1253" s="141">
        <f>SUM(M1252+K1253-L1253)</f>
        <v/>
      </c>
    </row>
    <row r="1254">
      <c r="A1254" s="20" t="n">
        <v>45737</v>
      </c>
      <c r="B1254" s="21" t="n">
        <v>14310</v>
      </c>
      <c r="C1254" s="22" t="inlineStr">
        <is>
          <t>SELİM İNŞAAT</t>
        </is>
      </c>
      <c r="D1254" s="21" t="inlineStr">
        <is>
          <t>34 DKL 866</t>
        </is>
      </c>
      <c r="E1254" s="21" t="inlineStr">
        <is>
          <t>SELİM CAN ÖNVER</t>
        </is>
      </c>
      <c r="F1254" s="23" t="n">
        <v>62354</v>
      </c>
      <c r="G1254" s="138" t="n"/>
      <c r="H1254" s="138" t="n">
        <v>248</v>
      </c>
      <c r="I1254" s="138">
        <f>+I1253+(G1254-H1254)</f>
        <v/>
      </c>
      <c r="J1254" s="139" t="n">
        <v>38.65</v>
      </c>
      <c r="K1254" s="140" t="n"/>
      <c r="L1254" s="140">
        <f>+H1254*J1254</f>
        <v/>
      </c>
      <c r="M1254" s="141">
        <f>SUM(M1253+K1254-L1254)</f>
        <v/>
      </c>
    </row>
    <row r="1255">
      <c r="A1255" s="20" t="n">
        <v>45737</v>
      </c>
      <c r="B1255" s="21" t="n">
        <v>14506</v>
      </c>
      <c r="C1255" s="22" t="inlineStr">
        <is>
          <t>SELİM İNŞAAT</t>
        </is>
      </c>
      <c r="D1255" s="21" t="inlineStr">
        <is>
          <t>34 GER 028</t>
        </is>
      </c>
      <c r="E1255" s="21" t="inlineStr">
        <is>
          <t>ÖNER DÜNDAR</t>
        </is>
      </c>
      <c r="F1255" s="23" t="n">
        <v>41019</v>
      </c>
      <c r="G1255" s="138" t="n"/>
      <c r="H1255" s="138" t="n">
        <v>212</v>
      </c>
      <c r="I1255" s="138">
        <f>+I1254+(G1255-H1255)</f>
        <v/>
      </c>
      <c r="J1255" s="139" t="n">
        <v>38.65</v>
      </c>
      <c r="K1255" s="140" t="n"/>
      <c r="L1255" s="140">
        <f>+H1255*J1255</f>
        <v/>
      </c>
      <c r="M1255" s="141">
        <f>SUM(M1254+K1255-L1255)</f>
        <v/>
      </c>
    </row>
    <row r="1256">
      <c r="A1256" s="20" t="n">
        <v>45737</v>
      </c>
      <c r="B1256" s="21" t="n">
        <v>10130</v>
      </c>
      <c r="C1256" s="22" t="inlineStr">
        <is>
          <t>SELİM İNŞAAT</t>
        </is>
      </c>
      <c r="D1256" s="21" t="inlineStr">
        <is>
          <t>34 DP 4161</t>
        </is>
      </c>
      <c r="E1256" s="21" t="inlineStr">
        <is>
          <t>RIFAT KARATAY</t>
        </is>
      </c>
      <c r="F1256" s="23" t="n">
        <v>280145</v>
      </c>
      <c r="G1256" s="138" t="n"/>
      <c r="H1256" s="138" t="n">
        <v>226</v>
      </c>
      <c r="I1256" s="138">
        <f>+I1255+(G1256-H1256)</f>
        <v/>
      </c>
      <c r="J1256" s="139" t="n">
        <v>38.65</v>
      </c>
      <c r="K1256" s="140" t="n"/>
      <c r="L1256" s="140">
        <f>+H1256*J1256</f>
        <v/>
      </c>
      <c r="M1256" s="141">
        <f>SUM(M1255+K1256-L1256)</f>
        <v/>
      </c>
    </row>
    <row r="1257">
      <c r="A1257" s="20" t="n">
        <v>45737</v>
      </c>
      <c r="B1257" s="21" t="n">
        <v>11895</v>
      </c>
      <c r="C1257" s="22" t="inlineStr">
        <is>
          <t>SELİM İNŞAAT</t>
        </is>
      </c>
      <c r="D1257" s="21" t="inlineStr">
        <is>
          <t>34 DFE 454</t>
        </is>
      </c>
      <c r="E1257" s="21" t="inlineStr">
        <is>
          <t>A.KERİM ERGEN</t>
        </is>
      </c>
      <c r="F1257" s="23" t="n">
        <v>155866</v>
      </c>
      <c r="G1257" s="138" t="n"/>
      <c r="H1257" s="138" t="n">
        <v>211</v>
      </c>
      <c r="I1257" s="138">
        <f>+I1256+(G1257-H1257)</f>
        <v/>
      </c>
      <c r="J1257" s="139" t="n">
        <v>38.65</v>
      </c>
      <c r="K1257" s="140" t="n"/>
      <c r="L1257" s="140">
        <f>+H1257*J1257</f>
        <v/>
      </c>
      <c r="M1257" s="141">
        <f>SUM(M1256+K1257-L1257)</f>
        <v/>
      </c>
    </row>
    <row r="1258">
      <c r="A1258" s="20" t="n">
        <v>45737</v>
      </c>
      <c r="B1258" s="21" t="n">
        <v>21312</v>
      </c>
      <c r="C1258" s="22" t="inlineStr">
        <is>
          <t>SELİM İNŞAAT</t>
        </is>
      </c>
      <c r="D1258" s="21" t="inlineStr">
        <is>
          <t>34 FEM 934</t>
        </is>
      </c>
      <c r="E1258" s="21" t="inlineStr">
        <is>
          <t>RECEP SELİM</t>
        </is>
      </c>
      <c r="F1258" s="23" t="n">
        <v>302187</v>
      </c>
      <c r="G1258" s="138" t="n"/>
      <c r="H1258" s="138" t="n">
        <v>60</v>
      </c>
      <c r="I1258" s="138">
        <f>+I1257+(G1258-H1258)</f>
        <v/>
      </c>
      <c r="J1258" s="139" t="n">
        <v>38.65</v>
      </c>
      <c r="K1258" s="140" t="n"/>
      <c r="L1258" s="140">
        <f>+H1258*J1258</f>
        <v/>
      </c>
      <c r="M1258" s="141">
        <f>SUM(M1257+K1258-L1258)</f>
        <v/>
      </c>
    </row>
    <row r="1259">
      <c r="A1259" s="20" t="n">
        <v>45737</v>
      </c>
      <c r="B1259" s="21" t="n">
        <v>14265</v>
      </c>
      <c r="C1259" s="22" t="inlineStr">
        <is>
          <t>SELİM İNŞAAT</t>
        </is>
      </c>
      <c r="D1259" s="1" t="inlineStr">
        <is>
          <t>KAVAZAKİ</t>
        </is>
      </c>
      <c r="E1259" s="21" t="inlineStr">
        <is>
          <t>UFUK SEVAL</t>
        </is>
      </c>
      <c r="F1259" s="23" t="n"/>
      <c r="G1259" s="138" t="n"/>
      <c r="H1259" s="138" t="n">
        <v>184</v>
      </c>
      <c r="I1259" s="138">
        <f>+I1258+(G1259-H1259)</f>
        <v/>
      </c>
      <c r="J1259" s="139" t="n">
        <v>38.65</v>
      </c>
      <c r="K1259" s="140" t="n"/>
      <c r="L1259" s="140">
        <f>+H1259*J1259</f>
        <v/>
      </c>
      <c r="M1259" s="141">
        <f>SUM(M1258+K1259-L1259)</f>
        <v/>
      </c>
    </row>
    <row r="1260">
      <c r="A1260" s="20" t="n">
        <v>45737</v>
      </c>
      <c r="B1260" s="1" t="n">
        <v>14266</v>
      </c>
      <c r="C1260" s="2" t="inlineStr">
        <is>
          <t>HASALTUN</t>
        </is>
      </c>
      <c r="D1260" s="1" t="inlineStr">
        <is>
          <t>SM 350</t>
        </is>
      </c>
      <c r="E1260" s="1" t="inlineStr">
        <is>
          <t>TEVFİK ÖZTÜRK</t>
        </is>
      </c>
      <c r="F1260" s="3" t="n"/>
      <c r="G1260" s="143" t="n"/>
      <c r="H1260" s="143" t="n">
        <v>385</v>
      </c>
      <c r="I1260" s="143">
        <f>+I1259+(G1260-H1260)</f>
        <v/>
      </c>
      <c r="J1260" s="144" t="n">
        <v>38.65</v>
      </c>
      <c r="K1260" s="145" t="n"/>
      <c r="L1260" s="140">
        <f>+H1260*J1260</f>
        <v/>
      </c>
      <c r="M1260" s="141">
        <f>SUM(M1259+K1260-L1260)</f>
        <v/>
      </c>
    </row>
    <row r="1261">
      <c r="A1261" s="20" t="n">
        <v>45737</v>
      </c>
      <c r="B1261" s="1" t="n">
        <v>14267</v>
      </c>
      <c r="C1261" s="2" t="inlineStr">
        <is>
          <t>VARLIK</t>
        </is>
      </c>
      <c r="D1261" s="1" t="inlineStr">
        <is>
          <t>SM 350</t>
        </is>
      </c>
      <c r="E1261" s="1" t="inlineStr">
        <is>
          <t>BAYRAM SANCAK</t>
        </is>
      </c>
      <c r="F1261" s="3" t="n"/>
      <c r="G1261" s="143" t="n"/>
      <c r="H1261" s="143" t="n">
        <v>339</v>
      </c>
      <c r="I1261" s="143">
        <f>+I1260+(G1261-H1261)</f>
        <v/>
      </c>
      <c r="J1261" s="144" t="n">
        <v>38.65</v>
      </c>
      <c r="K1261" s="145" t="n"/>
      <c r="L1261" s="140">
        <f>+H1261*J1261</f>
        <v/>
      </c>
      <c r="M1261" s="141">
        <f>SUM(M1260+K1261-L1261)</f>
        <v/>
      </c>
    </row>
    <row r="1262">
      <c r="A1262" s="20" t="n">
        <v>45737</v>
      </c>
      <c r="B1262" s="1" t="n">
        <v>14268</v>
      </c>
      <c r="C1262" s="2" t="inlineStr">
        <is>
          <t>VARLIK</t>
        </is>
      </c>
      <c r="D1262" s="1" t="inlineStr">
        <is>
          <t>SM 300</t>
        </is>
      </c>
      <c r="E1262" s="1" t="inlineStr">
        <is>
          <t>TURGUT SANCAK</t>
        </is>
      </c>
      <c r="F1262" s="3" t="n"/>
      <c r="G1262" s="143" t="n"/>
      <c r="H1262" s="143" t="n">
        <v>225</v>
      </c>
      <c r="I1262" s="143">
        <f>+I1261+(G1262-H1262)</f>
        <v/>
      </c>
      <c r="J1262" s="144" t="n">
        <v>38.65</v>
      </c>
      <c r="K1262" s="145" t="n"/>
      <c r="L1262" s="140">
        <f>+H1262*J1262</f>
        <v/>
      </c>
      <c r="M1262" s="141">
        <f>SUM(M1261+K1262-L1262)</f>
        <v/>
      </c>
    </row>
    <row r="1263">
      <c r="A1263" s="20" t="n">
        <v>45738</v>
      </c>
      <c r="B1263" s="21" t="n">
        <v>54</v>
      </c>
      <c r="C1263" s="22" t="inlineStr">
        <is>
          <t>MİRBE PETROL SANAYİ VE TİCARET ANONİM ŞİRKETİ</t>
        </is>
      </c>
      <c r="D1263" s="21" t="n"/>
      <c r="E1263" s="21" t="n"/>
      <c r="F1263" s="23" t="n"/>
      <c r="G1263" s="138" t="n">
        <v>24602</v>
      </c>
      <c r="H1263" s="138" t="n"/>
      <c r="I1263" s="138">
        <f>+I1262+(G1263-H1263)</f>
        <v/>
      </c>
      <c r="J1263" s="139">
        <f>+K1263/G1263</f>
        <v/>
      </c>
      <c r="K1263" s="140" t="n">
        <v>992017.58</v>
      </c>
      <c r="L1263" s="140">
        <f>+H1263*J1263</f>
        <v/>
      </c>
      <c r="M1263" s="141">
        <f>SUM(M1262+K1263-L1263)</f>
        <v/>
      </c>
    </row>
    <row r="1264">
      <c r="A1264" s="20" t="n">
        <v>45738</v>
      </c>
      <c r="B1264" s="21" t="n">
        <v>11365</v>
      </c>
      <c r="C1264" s="22" t="inlineStr">
        <is>
          <t>AZGÜN YAPI</t>
        </is>
      </c>
      <c r="D1264" s="21" t="inlineStr">
        <is>
          <t>34 MKT 593</t>
        </is>
      </c>
      <c r="E1264" s="21" t="inlineStr">
        <is>
          <t>İLYAS OYAR</t>
        </is>
      </c>
      <c r="F1264" s="23" t="n">
        <v>17528</v>
      </c>
      <c r="G1264" s="138" t="n"/>
      <c r="H1264" s="138" t="n">
        <v>813</v>
      </c>
      <c r="I1264" s="138">
        <f>+I1263+(G1264-H1264)</f>
        <v/>
      </c>
      <c r="J1264" s="139" t="n">
        <v>40.323</v>
      </c>
      <c r="K1264" s="140" t="n"/>
      <c r="L1264" s="140">
        <f>+H1264*J1264</f>
        <v/>
      </c>
      <c r="M1264" s="141">
        <f>SUM(M1263+K1264-L1264)</f>
        <v/>
      </c>
    </row>
    <row r="1265">
      <c r="A1265" s="20" t="n">
        <v>45738</v>
      </c>
      <c r="B1265" s="21" t="n">
        <v>14160</v>
      </c>
      <c r="C1265" s="22" t="inlineStr">
        <is>
          <t>AZGÜN YAPI</t>
        </is>
      </c>
      <c r="D1265" s="21" t="inlineStr">
        <is>
          <t>34 DTV 263</t>
        </is>
      </c>
      <c r="E1265" s="21" t="inlineStr">
        <is>
          <t>EDİP TORLAK</t>
        </is>
      </c>
      <c r="F1265" s="23" t="n">
        <v>366574</v>
      </c>
      <c r="G1265" s="138" t="n"/>
      <c r="H1265" s="138" t="n">
        <v>309</v>
      </c>
      <c r="I1265" s="138">
        <f>+I1264+(G1265-H1265)</f>
        <v/>
      </c>
      <c r="J1265" s="139" t="n">
        <v>40.323</v>
      </c>
      <c r="K1265" s="140" t="n"/>
      <c r="L1265" s="140">
        <f>+H1265*J1265</f>
        <v/>
      </c>
      <c r="M1265" s="141">
        <f>SUM(M1264+K1265-L1265)</f>
        <v/>
      </c>
    </row>
    <row r="1266">
      <c r="A1266" s="20" t="n">
        <v>45738</v>
      </c>
      <c r="B1266" s="21" t="n">
        <v>11317</v>
      </c>
      <c r="C1266" s="22" t="inlineStr">
        <is>
          <t>AZGÜN YAPI</t>
        </is>
      </c>
      <c r="D1266" s="21" t="inlineStr">
        <is>
          <t>34 MKT 859</t>
        </is>
      </c>
      <c r="E1266" s="21" t="inlineStr">
        <is>
          <t>HASAN ALTUN</t>
        </is>
      </c>
      <c r="F1266" s="23" t="n">
        <v>21516</v>
      </c>
      <c r="G1266" s="138" t="n"/>
      <c r="H1266" s="138" t="n">
        <v>757</v>
      </c>
      <c r="I1266" s="138">
        <f>+I1265+(G1266-H1266)</f>
        <v/>
      </c>
      <c r="J1266" s="139" t="n">
        <v>40.323</v>
      </c>
      <c r="K1266" s="140" t="n"/>
      <c r="L1266" s="140">
        <f>+H1266*J1266</f>
        <v/>
      </c>
      <c r="M1266" s="141">
        <f>SUM(M1265+K1266-L1266)</f>
        <v/>
      </c>
    </row>
    <row r="1267">
      <c r="A1267" s="20" t="n">
        <v>45738</v>
      </c>
      <c r="B1267" s="21" t="n">
        <v>11436</v>
      </c>
      <c r="C1267" s="22" t="inlineStr">
        <is>
          <t>METİN ERYİĞİT</t>
        </is>
      </c>
      <c r="D1267" s="21" t="inlineStr">
        <is>
          <t>34 EGR 814</t>
        </is>
      </c>
      <c r="E1267" s="21" t="inlineStr">
        <is>
          <t>FARUK ÖZEN</t>
        </is>
      </c>
      <c r="F1267" s="23" t="n">
        <v>522572</v>
      </c>
      <c r="G1267" s="138" t="n"/>
      <c r="H1267" s="138" t="n">
        <v>338</v>
      </c>
      <c r="I1267" s="138">
        <f>+I1266+(G1267-H1267)</f>
        <v/>
      </c>
      <c r="J1267" s="139" t="n">
        <v>40.323</v>
      </c>
      <c r="K1267" s="140" t="n"/>
      <c r="L1267" s="140">
        <f>+H1267*J1267</f>
        <v/>
      </c>
      <c r="M1267" s="141">
        <f>SUM(M1266+K1267-L1267)</f>
        <v/>
      </c>
    </row>
    <row r="1268">
      <c r="A1268" s="20" t="n">
        <v>45738</v>
      </c>
      <c r="B1268" s="21" t="n">
        <v>10032</v>
      </c>
      <c r="C1268" s="22" t="inlineStr">
        <is>
          <t>METİN ERYİĞİT</t>
        </is>
      </c>
      <c r="D1268" s="21" t="inlineStr">
        <is>
          <t>34 EGS 013</t>
        </is>
      </c>
      <c r="E1268" s="21" t="inlineStr">
        <is>
          <t>UĞUR DUMAN</t>
        </is>
      </c>
      <c r="F1268" s="23" t="n">
        <v>470247</v>
      </c>
      <c r="G1268" s="138" t="n"/>
      <c r="H1268" s="138" t="n">
        <v>294</v>
      </c>
      <c r="I1268" s="138">
        <f>+I1267+(G1268-H1268)</f>
        <v/>
      </c>
      <c r="J1268" s="139" t="n">
        <v>40.323</v>
      </c>
      <c r="K1268" s="140" t="n"/>
      <c r="L1268" s="140">
        <f>+H1268*J1268</f>
        <v/>
      </c>
      <c r="M1268" s="141">
        <f>SUM(M1267+K1268-L1268)</f>
        <v/>
      </c>
    </row>
    <row r="1269">
      <c r="A1269" s="20" t="n">
        <v>45738</v>
      </c>
      <c r="B1269" s="21" t="n">
        <v>11470</v>
      </c>
      <c r="C1269" s="22" t="inlineStr">
        <is>
          <t>METİN ŞİRİN</t>
        </is>
      </c>
      <c r="D1269" s="21" t="inlineStr">
        <is>
          <t>34 EGR 922</t>
        </is>
      </c>
      <c r="E1269" s="21" t="inlineStr">
        <is>
          <t>GÜRAY KOYUNCU</t>
        </is>
      </c>
      <c r="F1269" s="23" t="n">
        <v>440715</v>
      </c>
      <c r="G1269" s="138" t="n"/>
      <c r="H1269" s="138" t="n">
        <v>353</v>
      </c>
      <c r="I1269" s="138">
        <f>+I1268+(G1269-H1269)</f>
        <v/>
      </c>
      <c r="J1269" s="139" t="n">
        <v>40.323</v>
      </c>
      <c r="K1269" s="140" t="n"/>
      <c r="L1269" s="140">
        <f>+H1269*J1269</f>
        <v/>
      </c>
      <c r="M1269" s="141">
        <f>SUM(M1268+K1269-L1269)</f>
        <v/>
      </c>
    </row>
    <row r="1270">
      <c r="A1270" s="20" t="n">
        <v>45738</v>
      </c>
      <c r="B1270" s="21" t="n">
        <v>10181</v>
      </c>
      <c r="C1270" s="22" t="inlineStr">
        <is>
          <t>SELİM İNŞAAT</t>
        </is>
      </c>
      <c r="D1270" s="21" t="inlineStr">
        <is>
          <t>34 EGR 736</t>
        </is>
      </c>
      <c r="E1270" s="21" t="inlineStr">
        <is>
          <t>MUHAMMER ÇAMLI</t>
        </is>
      </c>
      <c r="F1270" s="23" t="n">
        <v>370279</v>
      </c>
      <c r="G1270" s="138" t="n"/>
      <c r="H1270" s="138" t="n">
        <v>478</v>
      </c>
      <c r="I1270" s="138">
        <f>+I1269+(G1270-H1270)</f>
        <v/>
      </c>
      <c r="J1270" s="139" t="n">
        <v>40.323</v>
      </c>
      <c r="K1270" s="140" t="n"/>
      <c r="L1270" s="140">
        <f>+H1270*J1270</f>
        <v/>
      </c>
      <c r="M1270" s="141">
        <f>SUM(M1269+K1270-L1270)</f>
        <v/>
      </c>
    </row>
    <row r="1271">
      <c r="A1271" s="20" t="n">
        <v>45738</v>
      </c>
      <c r="B1271" s="21" t="n">
        <v>10634</v>
      </c>
      <c r="C1271" s="22" t="inlineStr">
        <is>
          <t>SELİM İNŞAAT</t>
        </is>
      </c>
      <c r="D1271" s="21" t="inlineStr">
        <is>
          <t>34 EDB 754</t>
        </is>
      </c>
      <c r="E1271" s="21" t="inlineStr">
        <is>
          <t>EMİN PARLAKKILIÇ</t>
        </is>
      </c>
      <c r="F1271" s="23" t="n">
        <v>307088</v>
      </c>
      <c r="G1271" s="138" t="n"/>
      <c r="H1271" s="138" t="n">
        <v>497</v>
      </c>
      <c r="I1271" s="138">
        <f>+I1270+(G1271-H1271)</f>
        <v/>
      </c>
      <c r="J1271" s="139" t="n">
        <v>40.323</v>
      </c>
      <c r="K1271" s="140" t="n"/>
      <c r="L1271" s="140">
        <f>+H1271*J1271</f>
        <v/>
      </c>
      <c r="M1271" s="141">
        <f>SUM(M1270+K1271-L1271)</f>
        <v/>
      </c>
    </row>
    <row r="1272">
      <c r="A1272" s="20" t="n">
        <v>45738</v>
      </c>
      <c r="B1272" s="21" t="n">
        <v>14460</v>
      </c>
      <c r="C1272" s="22" t="inlineStr">
        <is>
          <t>SELİM İNŞAAT</t>
        </is>
      </c>
      <c r="D1272" s="21" t="inlineStr">
        <is>
          <t>34 GUS 848</t>
        </is>
      </c>
      <c r="E1272" s="21" t="inlineStr">
        <is>
          <t>SERDAR BOZKURT</t>
        </is>
      </c>
      <c r="F1272" s="23" t="n">
        <v>173254</v>
      </c>
      <c r="G1272" s="138" t="n"/>
      <c r="H1272" s="138" t="n">
        <v>466</v>
      </c>
      <c r="I1272" s="138">
        <f>+I1271+(G1272-H1272)</f>
        <v/>
      </c>
      <c r="J1272" s="139" t="n">
        <v>40.323</v>
      </c>
      <c r="K1272" s="140" t="n"/>
      <c r="L1272" s="140">
        <f>+H1272*J1272</f>
        <v/>
      </c>
      <c r="M1272" s="141">
        <f>SUM(M1271+K1272-L1272)</f>
        <v/>
      </c>
    </row>
    <row r="1273">
      <c r="A1273" s="20" t="n">
        <v>45738</v>
      </c>
      <c r="B1273" s="21" t="n">
        <v>11816</v>
      </c>
      <c r="C1273" s="22" t="inlineStr">
        <is>
          <t>SELİM İNŞAAT</t>
        </is>
      </c>
      <c r="D1273" s="21" t="inlineStr">
        <is>
          <t>34 FSG 229</t>
        </is>
      </c>
      <c r="E1273" s="21" t="inlineStr">
        <is>
          <t>SİNAN TANRIVERDİ</t>
        </is>
      </c>
      <c r="F1273" s="23" t="n">
        <v>239744</v>
      </c>
      <c r="G1273" s="138" t="n"/>
      <c r="H1273" s="138" t="n">
        <v>381</v>
      </c>
      <c r="I1273" s="138">
        <f>+I1272+(G1273-H1273)</f>
        <v/>
      </c>
      <c r="J1273" s="139" t="n">
        <v>40.323</v>
      </c>
      <c r="K1273" s="140" t="n"/>
      <c r="L1273" s="140">
        <f>+H1273*J1273</f>
        <v/>
      </c>
      <c r="M1273" s="141">
        <f>SUM(M1272+K1273-L1273)</f>
        <v/>
      </c>
    </row>
    <row r="1274">
      <c r="A1274" s="20" t="n">
        <v>45738</v>
      </c>
      <c r="B1274" s="21" t="n">
        <v>10773</v>
      </c>
      <c r="C1274" s="22" t="inlineStr">
        <is>
          <t>SELİM İNŞAAT</t>
        </is>
      </c>
      <c r="D1274" s="21" t="inlineStr">
        <is>
          <t>34 FBR 705</t>
        </is>
      </c>
      <c r="E1274" s="21" t="inlineStr">
        <is>
          <t>MESUT GÜRLER</t>
        </is>
      </c>
      <c r="F1274" s="23" t="n">
        <v>295720</v>
      </c>
      <c r="G1274" s="138" t="n"/>
      <c r="H1274" s="138" t="n">
        <v>408</v>
      </c>
      <c r="I1274" s="138">
        <f>+I1273+(G1274-H1274)</f>
        <v/>
      </c>
      <c r="J1274" s="139" t="n">
        <v>40.323</v>
      </c>
      <c r="K1274" s="140" t="n"/>
      <c r="L1274" s="140">
        <f>+H1274*J1274</f>
        <v/>
      </c>
      <c r="M1274" s="141">
        <f>SUM(M1273+K1274-L1274)</f>
        <v/>
      </c>
    </row>
    <row r="1275">
      <c r="A1275" s="20" t="n">
        <v>45738</v>
      </c>
      <c r="B1275" s="21" t="n">
        <v>11920</v>
      </c>
      <c r="C1275" s="22" t="inlineStr">
        <is>
          <t>SELİM İNŞAAT</t>
        </is>
      </c>
      <c r="D1275" s="21" t="inlineStr">
        <is>
          <t>34 FBR 742</t>
        </is>
      </c>
      <c r="E1275" s="21" t="inlineStr">
        <is>
          <t>MİKAİL BAYILMAZ</t>
        </is>
      </c>
      <c r="F1275" s="23" t="n">
        <v>300490</v>
      </c>
      <c r="G1275" s="138" t="n"/>
      <c r="H1275" s="138" t="n">
        <v>527</v>
      </c>
      <c r="I1275" s="138">
        <f>+I1274+(G1275-H1275)</f>
        <v/>
      </c>
      <c r="J1275" s="139" t="n">
        <v>40.323</v>
      </c>
      <c r="K1275" s="140" t="n"/>
      <c r="L1275" s="140">
        <f>+H1275*J1275</f>
        <v/>
      </c>
      <c r="M1275" s="141">
        <f>SUM(M1274+K1275-L1275)</f>
        <v/>
      </c>
    </row>
    <row r="1276">
      <c r="A1276" s="20" t="n">
        <v>45738</v>
      </c>
      <c r="B1276" s="21" t="n">
        <v>21292</v>
      </c>
      <c r="C1276" s="22" t="inlineStr">
        <is>
          <t>SELİM İNŞAAT</t>
        </is>
      </c>
      <c r="D1276" s="21" t="inlineStr">
        <is>
          <t>34 DTV 447</t>
        </is>
      </c>
      <c r="E1276" s="21" t="inlineStr">
        <is>
          <t>EBUBEKİR KOLDAŞ</t>
        </is>
      </c>
      <c r="F1276" s="23" t="n">
        <v>419791</v>
      </c>
      <c r="G1276" s="138" t="n"/>
      <c r="H1276" s="138" t="n">
        <v>424</v>
      </c>
      <c r="I1276" s="138">
        <f>+I1275+(G1276-H1276)</f>
        <v/>
      </c>
      <c r="J1276" s="139" t="n">
        <v>40.323</v>
      </c>
      <c r="K1276" s="140" t="n"/>
      <c r="L1276" s="140">
        <f>+H1276*J1276</f>
        <v/>
      </c>
      <c r="M1276" s="141">
        <f>SUM(M1275+K1276-L1276)</f>
        <v/>
      </c>
    </row>
    <row r="1277">
      <c r="A1277" s="20" t="n">
        <v>45738</v>
      </c>
      <c r="B1277" s="21" t="n">
        <v>11726</v>
      </c>
      <c r="C1277" s="22" t="inlineStr">
        <is>
          <t>SELİM İNŞAAT</t>
        </is>
      </c>
      <c r="D1277" s="21" t="inlineStr">
        <is>
          <t>34 EDB 559</t>
        </is>
      </c>
      <c r="E1277" s="21" t="inlineStr">
        <is>
          <t>CEM MUHTAR</t>
        </is>
      </c>
      <c r="F1277" s="23" t="n">
        <v>311051</v>
      </c>
      <c r="G1277" s="138" t="n"/>
      <c r="H1277" s="138" t="n">
        <v>365</v>
      </c>
      <c r="I1277" s="138">
        <f>+I1276+(G1277-H1277)</f>
        <v/>
      </c>
      <c r="J1277" s="139" t="n">
        <v>40.323</v>
      </c>
      <c r="K1277" s="140" t="n"/>
      <c r="L1277" s="140">
        <f>+H1277*J1277</f>
        <v/>
      </c>
      <c r="M1277" s="141">
        <f>SUM(M1276+K1277-L1277)</f>
        <v/>
      </c>
    </row>
    <row r="1278">
      <c r="A1278" s="20" t="n">
        <v>45738</v>
      </c>
      <c r="B1278" s="21" t="n">
        <v>14209</v>
      </c>
      <c r="C1278" s="22" t="inlineStr">
        <is>
          <t>SELİM İNŞAAT</t>
        </is>
      </c>
      <c r="D1278" s="21" t="inlineStr">
        <is>
          <t xml:space="preserve">34 GUS 938 </t>
        </is>
      </c>
      <c r="E1278" s="21" t="inlineStr">
        <is>
          <t>FARUK ÖZEN</t>
        </is>
      </c>
      <c r="F1278" s="23" t="n">
        <v>168288</v>
      </c>
      <c r="G1278" s="138" t="n"/>
      <c r="H1278" s="138" t="n">
        <v>404</v>
      </c>
      <c r="I1278" s="138">
        <f>+I1277+(G1278-H1278)</f>
        <v/>
      </c>
      <c r="J1278" s="139" t="n">
        <v>40.323</v>
      </c>
      <c r="K1278" s="140" t="n"/>
      <c r="L1278" s="140">
        <f>+H1278*J1278</f>
        <v/>
      </c>
      <c r="M1278" s="141">
        <f>SUM(M1277+K1278-L1278)</f>
        <v/>
      </c>
    </row>
    <row r="1279">
      <c r="A1279" s="20" t="n">
        <v>45738</v>
      </c>
      <c r="B1279" s="21" t="n">
        <v>11133</v>
      </c>
      <c r="C1279" s="22" t="inlineStr">
        <is>
          <t>SELİM İNŞAAT</t>
        </is>
      </c>
      <c r="D1279" s="21" t="inlineStr">
        <is>
          <t>34 DTV 409</t>
        </is>
      </c>
      <c r="E1279" s="21" t="inlineStr">
        <is>
          <t xml:space="preserve">ONUR CANLI </t>
        </is>
      </c>
      <c r="F1279" s="23" t="n">
        <v>401296</v>
      </c>
      <c r="G1279" s="138" t="n"/>
      <c r="H1279" s="138" t="n">
        <v>330</v>
      </c>
      <c r="I1279" s="138">
        <f>+I1278+(G1279-H1279)</f>
        <v/>
      </c>
      <c r="J1279" s="139" t="n">
        <v>40.323</v>
      </c>
      <c r="K1279" s="140" t="n"/>
      <c r="L1279" s="140">
        <f>+H1279*J1279</f>
        <v/>
      </c>
      <c r="M1279" s="141">
        <f>SUM(M1278+K1279-L1279)</f>
        <v/>
      </c>
    </row>
    <row r="1280">
      <c r="A1280" s="20" t="n">
        <v>45738</v>
      </c>
      <c r="B1280" s="21" t="n">
        <v>10523</v>
      </c>
      <c r="C1280" s="22" t="inlineStr">
        <is>
          <t>SELİM İNŞAAT</t>
        </is>
      </c>
      <c r="D1280" s="21" t="inlineStr">
        <is>
          <t>34 EDB 922</t>
        </is>
      </c>
      <c r="E1280" s="21" t="inlineStr">
        <is>
          <t>AHMET TOPÇU</t>
        </is>
      </c>
      <c r="F1280" s="23" t="n">
        <v>341560</v>
      </c>
      <c r="G1280" s="138" t="n"/>
      <c r="H1280" s="138" t="n">
        <v>267</v>
      </c>
      <c r="I1280" s="138">
        <f>+I1279+(G1280-H1280)</f>
        <v/>
      </c>
      <c r="J1280" s="139" t="n">
        <v>40.323</v>
      </c>
      <c r="K1280" s="140" t="n"/>
      <c r="L1280" s="140">
        <f>+H1280*J1280</f>
        <v/>
      </c>
      <c r="M1280" s="141">
        <f>SUM(M1279+K1280-L1280)</f>
        <v/>
      </c>
    </row>
    <row r="1281">
      <c r="A1281" s="20" t="n">
        <v>45738</v>
      </c>
      <c r="B1281" s="21" t="n">
        <v>9798</v>
      </c>
      <c r="C1281" s="22" t="inlineStr">
        <is>
          <t>SELİM İNŞAAT</t>
        </is>
      </c>
      <c r="D1281" s="21" t="inlineStr">
        <is>
          <t>34 GVZ 268</t>
        </is>
      </c>
      <c r="E1281" s="21" t="inlineStr">
        <is>
          <t>KERİM KARAMAN</t>
        </is>
      </c>
      <c r="F1281" s="23" t="n">
        <v>174458</v>
      </c>
      <c r="G1281" s="138" t="n"/>
      <c r="H1281" s="138" t="n">
        <v>327</v>
      </c>
      <c r="I1281" s="138">
        <f>+I1280+(G1281-H1281)</f>
        <v/>
      </c>
      <c r="J1281" s="139" t="n">
        <v>40.323</v>
      </c>
      <c r="K1281" s="140" t="n"/>
      <c r="L1281" s="140">
        <f>+H1281*J1281</f>
        <v/>
      </c>
      <c r="M1281" s="141">
        <f>SUM(M1280+K1281-L1281)</f>
        <v/>
      </c>
    </row>
    <row r="1282">
      <c r="A1282" s="20" t="n">
        <v>45738</v>
      </c>
      <c r="B1282" s="21" t="n">
        <v>14011</v>
      </c>
      <c r="C1282" s="22" t="inlineStr">
        <is>
          <t>SELİM İNŞAAT</t>
        </is>
      </c>
      <c r="D1282" s="21" t="inlineStr">
        <is>
          <t>34 GVZ 310</t>
        </is>
      </c>
      <c r="E1282" s="21" t="inlineStr">
        <is>
          <t>CELAL YÜZBAŞI</t>
        </is>
      </c>
      <c r="F1282" s="23" t="n">
        <v>178387</v>
      </c>
      <c r="G1282" s="138" t="n"/>
      <c r="H1282" s="138" t="n">
        <v>493</v>
      </c>
      <c r="I1282" s="138">
        <f>+I1281+(G1282-H1282)</f>
        <v/>
      </c>
      <c r="J1282" s="139" t="n">
        <v>40.323</v>
      </c>
      <c r="K1282" s="140" t="n"/>
      <c r="L1282" s="140">
        <f>+H1282*J1282</f>
        <v/>
      </c>
      <c r="M1282" s="141">
        <f>SUM(M1281+K1282-L1282)</f>
        <v/>
      </c>
    </row>
    <row r="1283">
      <c r="A1283" s="20" t="n">
        <v>45738</v>
      </c>
      <c r="B1283" s="21" t="n">
        <v>14608</v>
      </c>
      <c r="C1283" s="22" t="inlineStr">
        <is>
          <t>SELİM İNŞAAT</t>
        </is>
      </c>
      <c r="D1283" s="21" t="inlineStr">
        <is>
          <t>34 GER 445</t>
        </is>
      </c>
      <c r="E1283" s="21" t="inlineStr">
        <is>
          <t>HASAN BAYCAN</t>
        </is>
      </c>
      <c r="F1283" s="23" t="n">
        <v>39377</v>
      </c>
      <c r="G1283" s="138" t="n"/>
      <c r="H1283" s="138" t="n">
        <v>204</v>
      </c>
      <c r="I1283" s="138">
        <f>+I1282+(G1283-H1283)</f>
        <v/>
      </c>
      <c r="J1283" s="139" t="n">
        <v>40.323</v>
      </c>
      <c r="K1283" s="140" t="n"/>
      <c r="L1283" s="140">
        <f>+H1283*J1283</f>
        <v/>
      </c>
      <c r="M1283" s="141">
        <f>SUM(M1282+K1283-L1283)</f>
        <v/>
      </c>
    </row>
    <row r="1284">
      <c r="A1284" s="20" t="n">
        <v>45738</v>
      </c>
      <c r="B1284" s="21" t="n">
        <v>14352</v>
      </c>
      <c r="C1284" s="22" t="inlineStr">
        <is>
          <t>SELİM İNŞAAT</t>
        </is>
      </c>
      <c r="D1284" s="21" t="inlineStr">
        <is>
          <t>34 DKL 798</t>
        </is>
      </c>
      <c r="E1284" s="21" t="inlineStr">
        <is>
          <t>VOLKAN YANAR</t>
        </is>
      </c>
      <c r="F1284" s="23" t="n">
        <v>62450</v>
      </c>
      <c r="G1284" s="138" t="n"/>
      <c r="H1284" s="138" t="n">
        <v>190</v>
      </c>
      <c r="I1284" s="138">
        <f>+I1283+(G1284-H1284)</f>
        <v/>
      </c>
      <c r="J1284" s="139" t="n">
        <v>40.323</v>
      </c>
      <c r="K1284" s="140" t="n"/>
      <c r="L1284" s="140">
        <f>+H1284*J1284</f>
        <v/>
      </c>
      <c r="M1284" s="141">
        <f>SUM(M1283+K1284-L1284)</f>
        <v/>
      </c>
    </row>
    <row r="1285">
      <c r="A1285" s="20" t="n">
        <v>45738</v>
      </c>
      <c r="B1285" s="21" t="n">
        <v>11071</v>
      </c>
      <c r="C1285" s="22" t="inlineStr">
        <is>
          <t>SELİM İNŞAAT</t>
        </is>
      </c>
      <c r="D1285" s="21" t="inlineStr">
        <is>
          <t>34 HBT 763</t>
        </is>
      </c>
      <c r="E1285" s="21" t="inlineStr">
        <is>
          <t>EMİRCAN ÖZTÜRK</t>
        </is>
      </c>
      <c r="F1285" s="23" t="n">
        <v>14230</v>
      </c>
      <c r="G1285" s="138" t="n"/>
      <c r="H1285" s="138" t="n">
        <v>169</v>
      </c>
      <c r="I1285" s="138">
        <f>+I1284+(G1285-H1285)</f>
        <v/>
      </c>
      <c r="J1285" s="139" t="n">
        <v>40.323</v>
      </c>
      <c r="K1285" s="140" t="n"/>
      <c r="L1285" s="140">
        <f>+H1285*J1285</f>
        <v/>
      </c>
      <c r="M1285" s="141">
        <f>SUM(M1284+K1285-L1285)</f>
        <v/>
      </c>
    </row>
    <row r="1286">
      <c r="A1286" s="20" t="n">
        <v>45738</v>
      </c>
      <c r="B1286" s="21" t="n">
        <v>20531</v>
      </c>
      <c r="C1286" s="22" t="inlineStr">
        <is>
          <t>SELİM İNŞAAT</t>
        </is>
      </c>
      <c r="D1286" s="21" t="inlineStr">
        <is>
          <t>34 VF 2620</t>
        </is>
      </c>
      <c r="E1286" s="21" t="inlineStr">
        <is>
          <t>A.KERİM ERGEN</t>
        </is>
      </c>
      <c r="F1286" s="23" t="n">
        <v>182038</v>
      </c>
      <c r="G1286" s="138" t="n"/>
      <c r="H1286" s="138" t="n">
        <v>65</v>
      </c>
      <c r="I1286" s="138">
        <f>+I1285+(G1286-H1286)</f>
        <v/>
      </c>
      <c r="J1286" s="139" t="n">
        <v>40.323</v>
      </c>
      <c r="K1286" s="140" t="n"/>
      <c r="L1286" s="140">
        <f>+H1286*J1286</f>
        <v/>
      </c>
      <c r="M1286" s="141">
        <f>SUM(M1285+K1286-L1286)</f>
        <v/>
      </c>
    </row>
    <row r="1287">
      <c r="A1287" s="20" t="n">
        <v>45738</v>
      </c>
      <c r="B1287" s="21" t="n">
        <v>9945</v>
      </c>
      <c r="C1287" s="22" t="inlineStr">
        <is>
          <t>-</t>
        </is>
      </c>
      <c r="D1287" s="1" t="inlineStr">
        <is>
          <t>34 AZ 2191 VİNÇ</t>
        </is>
      </c>
      <c r="E1287" s="21" t="inlineStr">
        <is>
          <t>NUMAN KABİL</t>
        </is>
      </c>
      <c r="F1287" s="23" t="n"/>
      <c r="G1287" s="138" t="n"/>
      <c r="H1287" s="138" t="n">
        <v>220</v>
      </c>
      <c r="I1287" s="138">
        <f>+I1286+(G1287-H1287)</f>
        <v/>
      </c>
      <c r="J1287" s="139" t="n">
        <v>40.323</v>
      </c>
      <c r="K1287" s="140" t="n"/>
      <c r="L1287" s="140">
        <f>+H1287*J1287</f>
        <v/>
      </c>
      <c r="M1287" s="141">
        <f>SUM(M1286+K1287-L1287)</f>
        <v/>
      </c>
    </row>
    <row r="1288">
      <c r="A1288" s="20" t="n">
        <v>45738</v>
      </c>
      <c r="B1288" s="21" t="n">
        <v>9946</v>
      </c>
      <c r="C1288" s="22" t="inlineStr">
        <is>
          <t>AHMET SELİM TEMHA</t>
        </is>
      </c>
      <c r="D1288" s="21" t="inlineStr">
        <is>
          <t>FOKLİFT</t>
        </is>
      </c>
      <c r="E1288" s="21" t="inlineStr">
        <is>
          <t>OĞUZHAN AYDINLI</t>
        </is>
      </c>
      <c r="F1288" s="23" t="n"/>
      <c r="G1288" s="138" t="n"/>
      <c r="H1288" s="138" t="n">
        <v>52</v>
      </c>
      <c r="I1288" s="138">
        <f>+I1287+(G1288-H1288)</f>
        <v/>
      </c>
      <c r="J1288" s="139" t="n">
        <v>40.323</v>
      </c>
      <c r="K1288" s="140" t="n"/>
      <c r="L1288" s="140">
        <f>+H1288*J1288</f>
        <v/>
      </c>
      <c r="M1288" s="141">
        <f>SUM(M1287+K1288-L1288)</f>
        <v/>
      </c>
    </row>
    <row r="1289">
      <c r="A1289" s="20" t="n">
        <v>45738</v>
      </c>
      <c r="B1289" s="1" t="n">
        <v>14269</v>
      </c>
      <c r="C1289" s="2" t="inlineStr">
        <is>
          <t>HASALTUN</t>
        </is>
      </c>
      <c r="D1289" s="1" t="inlineStr">
        <is>
          <t>SM 370</t>
        </is>
      </c>
      <c r="E1289" s="1" t="inlineStr">
        <is>
          <t>RAMAZAN KAYA</t>
        </is>
      </c>
      <c r="F1289" s="3" t="n"/>
      <c r="G1289" s="143" t="n"/>
      <c r="H1289" s="143" t="n">
        <v>203</v>
      </c>
      <c r="I1289" s="143">
        <f>+I1288+(G1289-H1289)</f>
        <v/>
      </c>
      <c r="J1289" s="144" t="n">
        <v>40.323</v>
      </c>
      <c r="K1289" s="145" t="n"/>
      <c r="L1289" s="140">
        <f>+H1289*J1289</f>
        <v/>
      </c>
      <c r="M1289" s="141">
        <f>SUM(M1288+K1289-L1289)</f>
        <v/>
      </c>
    </row>
    <row r="1290">
      <c r="A1290" s="20" t="n">
        <v>45738</v>
      </c>
      <c r="B1290" s="1" t="n">
        <v>14270</v>
      </c>
      <c r="C1290" s="2" t="inlineStr">
        <is>
          <t>HASALTUN</t>
        </is>
      </c>
      <c r="D1290" s="1" t="inlineStr">
        <is>
          <t>SM 370</t>
        </is>
      </c>
      <c r="E1290" s="1" t="inlineStr">
        <is>
          <t>RAMAZAN KAYA</t>
        </is>
      </c>
      <c r="F1290" s="3" t="n"/>
      <c r="G1290" s="143" t="n"/>
      <c r="H1290" s="143" t="n">
        <v>400</v>
      </c>
      <c r="I1290" s="143">
        <f>+I1289+(G1290-H1290)</f>
        <v/>
      </c>
      <c r="J1290" s="144" t="n">
        <v>40.323</v>
      </c>
      <c r="K1290" s="145" t="n"/>
      <c r="L1290" s="140">
        <f>+H1290*J1290</f>
        <v/>
      </c>
      <c r="M1290" s="141">
        <f>SUM(M1289+K1290-L1290)</f>
        <v/>
      </c>
    </row>
    <row r="1291">
      <c r="A1291" s="20" t="n">
        <v>45738</v>
      </c>
      <c r="B1291" s="1" t="n">
        <v>14271</v>
      </c>
      <c r="C1291" s="2" t="inlineStr">
        <is>
          <t>VARLIK</t>
        </is>
      </c>
      <c r="D1291" s="1" t="inlineStr">
        <is>
          <t>SM 350</t>
        </is>
      </c>
      <c r="E1291" s="1" t="inlineStr">
        <is>
          <t>BAYRAM SANCAK</t>
        </is>
      </c>
      <c r="F1291" s="3" t="n"/>
      <c r="G1291" s="143" t="n"/>
      <c r="H1291" s="143" t="n">
        <v>190</v>
      </c>
      <c r="I1291" s="143">
        <f>+I1290+(G1291-H1291)</f>
        <v/>
      </c>
      <c r="J1291" s="144" t="n">
        <v>40.323</v>
      </c>
      <c r="K1291" s="145" t="n"/>
      <c r="L1291" s="140">
        <f>+H1291*J1291</f>
        <v/>
      </c>
      <c r="M1291" s="141">
        <f>SUM(M1290+K1291-L1291)</f>
        <v/>
      </c>
    </row>
    <row r="1292">
      <c r="A1292" s="20" t="n">
        <v>45738</v>
      </c>
      <c r="B1292" s="1" t="n">
        <v>14272</v>
      </c>
      <c r="C1292" s="2" t="inlineStr">
        <is>
          <t>VARLIK</t>
        </is>
      </c>
      <c r="D1292" s="1" t="inlineStr">
        <is>
          <t>SM 300</t>
        </is>
      </c>
      <c r="E1292" s="1" t="inlineStr">
        <is>
          <t>TURGUT SANCAK</t>
        </is>
      </c>
      <c r="F1292" s="3" t="n"/>
      <c r="G1292" s="143" t="n"/>
      <c r="H1292" s="143" t="n">
        <v>200</v>
      </c>
      <c r="I1292" s="143">
        <f>+I1291+(G1292-H1292)</f>
        <v/>
      </c>
      <c r="J1292" s="144" t="n">
        <v>40.323</v>
      </c>
      <c r="K1292" s="145" t="n"/>
      <c r="L1292" s="140">
        <f>+H1292*J1292</f>
        <v/>
      </c>
      <c r="M1292" s="141">
        <f>SUM(M1291+K1292-L1292)</f>
        <v/>
      </c>
    </row>
    <row r="1293">
      <c r="A1293" s="20" t="n">
        <v>45738</v>
      </c>
      <c r="B1293" s="1" t="n">
        <v>14273</v>
      </c>
      <c r="C1293" s="2" t="inlineStr">
        <is>
          <t>HASALTUN</t>
        </is>
      </c>
      <c r="D1293" s="1" t="inlineStr">
        <is>
          <t>SM 350</t>
        </is>
      </c>
      <c r="E1293" s="1" t="inlineStr">
        <is>
          <t>TEVFİK ÖZTÜRK</t>
        </is>
      </c>
      <c r="F1293" s="3" t="n"/>
      <c r="G1293" s="143" t="n"/>
      <c r="H1293" s="143" t="n">
        <v>160</v>
      </c>
      <c r="I1293" s="143">
        <f>+I1292+(G1293-H1293)</f>
        <v/>
      </c>
      <c r="J1293" s="144" t="n">
        <v>40.323</v>
      </c>
      <c r="K1293" s="145" t="n"/>
      <c r="L1293" s="140">
        <f>+H1293*J1293</f>
        <v/>
      </c>
      <c r="M1293" s="141">
        <f>SUM(M1292+K1293-L1293)</f>
        <v/>
      </c>
    </row>
    <row r="1294">
      <c r="A1294" s="20" t="n">
        <v>45738</v>
      </c>
      <c r="B1294" s="21" t="n">
        <v>14274</v>
      </c>
      <c r="C1294" s="22" t="inlineStr">
        <is>
          <t>SELİM İNŞAAT</t>
        </is>
      </c>
      <c r="D1294" s="1" t="inlineStr">
        <is>
          <t>KAVAZAKİ</t>
        </is>
      </c>
      <c r="E1294" s="21" t="inlineStr">
        <is>
          <t>UFUK SEVAL</t>
        </is>
      </c>
      <c r="F1294" s="23" t="n"/>
      <c r="G1294" s="138" t="n"/>
      <c r="H1294" s="138" t="n">
        <v>150</v>
      </c>
      <c r="I1294" s="138">
        <f>+I1293+(G1294-H1294)</f>
        <v/>
      </c>
      <c r="J1294" s="139" t="n">
        <v>40.323</v>
      </c>
      <c r="K1294" s="140" t="n"/>
      <c r="L1294" s="140">
        <f>+H1294*J1294</f>
        <v/>
      </c>
      <c r="M1294" s="141">
        <f>SUM(M1293+K1294-L1294)</f>
        <v/>
      </c>
    </row>
    <row r="1295">
      <c r="A1295" s="20" t="n">
        <v>45738</v>
      </c>
      <c r="B1295" s="1" t="n">
        <v>16473</v>
      </c>
      <c r="C1295" s="2" t="inlineStr">
        <is>
          <t>EVKUR</t>
        </is>
      </c>
      <c r="D1295" s="1" t="inlineStr">
        <is>
          <t xml:space="preserve">NAKLİYE </t>
        </is>
      </c>
      <c r="E1295" s="1" t="inlineStr">
        <is>
          <t xml:space="preserve">365*65 </t>
        </is>
      </c>
      <c r="F1295" s="3" t="n"/>
      <c r="G1295" s="143" t="n"/>
      <c r="H1295" s="143" t="n">
        <v>23725</v>
      </c>
      <c r="I1295" s="143">
        <f>+I1294+(G1295-H1295)</f>
        <v/>
      </c>
      <c r="J1295" s="144" t="n">
        <v>40.323</v>
      </c>
      <c r="K1295" s="145" t="n"/>
      <c r="L1295" s="140">
        <f>+H1295*J1295</f>
        <v/>
      </c>
      <c r="M1295" s="141">
        <f>SUM(M1294+K1295-L1295)</f>
        <v/>
      </c>
    </row>
    <row r="1296">
      <c r="A1296" s="20" t="n">
        <v>45739</v>
      </c>
      <c r="B1296" s="21" t="n">
        <v>14507</v>
      </c>
      <c r="C1296" s="22" t="inlineStr">
        <is>
          <t>SELİM İNŞAAT</t>
        </is>
      </c>
      <c r="D1296" s="21" t="inlineStr">
        <is>
          <t>34 GER 028</t>
        </is>
      </c>
      <c r="E1296" s="21" t="inlineStr">
        <is>
          <t>ÖNER DÜNDAR</t>
        </is>
      </c>
      <c r="F1296" s="23" t="n">
        <v>41121</v>
      </c>
      <c r="G1296" s="138" t="n"/>
      <c r="H1296" s="138" t="n">
        <v>146</v>
      </c>
      <c r="I1296" s="138">
        <f>+I1295+(G1296-H1296)</f>
        <v/>
      </c>
      <c r="J1296" s="139" t="n">
        <v>40.323</v>
      </c>
      <c r="K1296" s="140" t="n"/>
      <c r="L1296" s="140">
        <f>+H1296*J1296</f>
        <v/>
      </c>
      <c r="M1296" s="141">
        <f>SUM(M1295+K1296-L1296)</f>
        <v/>
      </c>
    </row>
    <row r="1297">
      <c r="A1297" s="20" t="n">
        <v>45739</v>
      </c>
      <c r="B1297" s="21" t="n">
        <v>10565</v>
      </c>
      <c r="C1297" s="22" t="inlineStr">
        <is>
          <t>SELİM İNŞAAT</t>
        </is>
      </c>
      <c r="D1297" s="21" t="inlineStr">
        <is>
          <t>34 GU 945</t>
        </is>
      </c>
      <c r="E1297" s="21" t="inlineStr">
        <is>
          <t>ALİ KESKİN</t>
        </is>
      </c>
      <c r="F1297" s="23" t="n">
        <v>441221</v>
      </c>
      <c r="G1297" s="138" t="n"/>
      <c r="H1297" s="138" t="n">
        <v>68</v>
      </c>
      <c r="I1297" s="138">
        <f>+I1296+(G1297-H1297)</f>
        <v/>
      </c>
      <c r="J1297" s="139" t="n">
        <v>40.323</v>
      </c>
      <c r="K1297" s="140" t="n"/>
      <c r="L1297" s="140">
        <f>+H1297*J1297</f>
        <v/>
      </c>
      <c r="M1297" s="141">
        <f>SUM(M1296+K1297-L1297)</f>
        <v/>
      </c>
    </row>
    <row r="1298">
      <c r="A1298" s="20" t="n">
        <v>45739</v>
      </c>
      <c r="B1298" s="21" t="n">
        <v>10869</v>
      </c>
      <c r="C1298" s="22" t="inlineStr">
        <is>
          <t>SELİM İNŞAAT</t>
        </is>
      </c>
      <c r="D1298" s="21" t="inlineStr">
        <is>
          <t>34 AR 7743</t>
        </is>
      </c>
      <c r="E1298" s="21" t="inlineStr">
        <is>
          <t>MEHMET SELİM</t>
        </is>
      </c>
      <c r="F1298" s="23" t="n">
        <v>352260</v>
      </c>
      <c r="G1298" s="138" t="n"/>
      <c r="H1298" s="138" t="n">
        <v>50</v>
      </c>
      <c r="I1298" s="138">
        <f>+I1297+(G1298-H1298)</f>
        <v/>
      </c>
      <c r="J1298" s="139" t="n">
        <v>40.323</v>
      </c>
      <c r="K1298" s="140" t="n"/>
      <c r="L1298" s="140">
        <f>+H1298*J1298</f>
        <v/>
      </c>
      <c r="M1298" s="141">
        <f>SUM(M1297+K1298-L1298)</f>
        <v/>
      </c>
    </row>
    <row r="1299">
      <c r="A1299" s="20" t="n">
        <v>45739</v>
      </c>
      <c r="B1299" s="1" t="n">
        <v>14275</v>
      </c>
      <c r="C1299" s="2" t="inlineStr">
        <is>
          <t>HASALTUN</t>
        </is>
      </c>
      <c r="D1299" s="1" t="inlineStr">
        <is>
          <t>SM 300</t>
        </is>
      </c>
      <c r="E1299" s="1" t="inlineStr">
        <is>
          <t>TURGUT SANCAK</t>
        </is>
      </c>
      <c r="F1299" s="3" t="n"/>
      <c r="G1299" s="143" t="n"/>
      <c r="H1299" s="143" t="n">
        <v>233</v>
      </c>
      <c r="I1299" s="143">
        <f>+I1298+(G1299-H1299)</f>
        <v/>
      </c>
      <c r="J1299" s="144" t="n">
        <v>40.323</v>
      </c>
      <c r="K1299" s="145" t="n"/>
      <c r="L1299" s="140">
        <f>+H1299*J1299</f>
        <v/>
      </c>
      <c r="M1299" s="141">
        <f>SUM(M1298+K1299-L1299)</f>
        <v/>
      </c>
    </row>
    <row r="1300">
      <c r="A1300" s="20" t="n">
        <v>45739</v>
      </c>
      <c r="B1300" s="1" t="n">
        <v>14276</v>
      </c>
      <c r="C1300" s="2" t="inlineStr">
        <is>
          <t>HASALTUN EVKUR</t>
        </is>
      </c>
      <c r="D1300" s="1" t="inlineStr">
        <is>
          <t>SİLİNDİR</t>
        </is>
      </c>
      <c r="E1300" s="1" t="inlineStr">
        <is>
          <t>ÖNER DÜNDAR</t>
        </is>
      </c>
      <c r="F1300" s="3" t="n"/>
      <c r="G1300" s="143" t="n"/>
      <c r="H1300" s="143" t="n">
        <v>128</v>
      </c>
      <c r="I1300" s="143">
        <f>+I1299+(G1300-H1300)</f>
        <v/>
      </c>
      <c r="J1300" s="144" t="n">
        <v>40.323</v>
      </c>
      <c r="K1300" s="145" t="n"/>
      <c r="L1300" s="140">
        <f>+H1300*J1300</f>
        <v/>
      </c>
      <c r="M1300" s="141">
        <f>SUM(M1299+K1300-L1300)</f>
        <v/>
      </c>
    </row>
    <row r="1301">
      <c r="A1301" s="20" t="n">
        <v>45739</v>
      </c>
      <c r="B1301" s="21" t="n">
        <v>14277</v>
      </c>
      <c r="C1301" s="22" t="inlineStr">
        <is>
          <t>SELİM İNŞAAT</t>
        </is>
      </c>
      <c r="D1301" s="1" t="inlineStr">
        <is>
          <t>KAVAZAKİ</t>
        </is>
      </c>
      <c r="E1301" s="21" t="inlineStr">
        <is>
          <t>UFUK SEVAL</t>
        </is>
      </c>
      <c r="F1301" s="23" t="n"/>
      <c r="G1301" s="138" t="n"/>
      <c r="H1301" s="138" t="n">
        <v>121</v>
      </c>
      <c r="I1301" s="138">
        <f>+I1300+(G1301-H1301)</f>
        <v/>
      </c>
      <c r="J1301" s="139" t="n">
        <v>40.323</v>
      </c>
      <c r="K1301" s="140" t="n"/>
      <c r="L1301" s="140">
        <f>+H1301*J1301</f>
        <v/>
      </c>
      <c r="M1301" s="141">
        <f>SUM(M1300+K1301-L1301)</f>
        <v/>
      </c>
    </row>
    <row r="1302">
      <c r="A1302" s="20" t="n">
        <v>45739</v>
      </c>
      <c r="B1302" s="1" t="n">
        <v>14278</v>
      </c>
      <c r="C1302" s="2" t="inlineStr">
        <is>
          <t>HASALTUN</t>
        </is>
      </c>
      <c r="D1302" s="1" t="inlineStr">
        <is>
          <t>SM 370</t>
        </is>
      </c>
      <c r="E1302" s="1" t="inlineStr">
        <is>
          <t>RAMAZAN KAYA</t>
        </is>
      </c>
      <c r="F1302" s="3" t="n"/>
      <c r="G1302" s="143" t="n"/>
      <c r="H1302" s="143" t="n">
        <v>432</v>
      </c>
      <c r="I1302" s="143">
        <f>+I1301+(G1302-H1302)</f>
        <v/>
      </c>
      <c r="J1302" s="144" t="n">
        <v>40.323</v>
      </c>
      <c r="K1302" s="145" t="n"/>
      <c r="L1302" s="140">
        <f>+H1302*J1302</f>
        <v/>
      </c>
      <c r="M1302" s="141">
        <f>SUM(M1301+K1302-L1302)</f>
        <v/>
      </c>
    </row>
    <row r="1303">
      <c r="A1303" s="20" t="n">
        <v>45739</v>
      </c>
      <c r="B1303" s="1" t="n">
        <v>14279</v>
      </c>
      <c r="C1303" s="2" t="inlineStr">
        <is>
          <t>HASALTUN</t>
        </is>
      </c>
      <c r="D1303" s="1" t="inlineStr">
        <is>
          <t>SM 350</t>
        </is>
      </c>
      <c r="E1303" s="1" t="inlineStr">
        <is>
          <t>TEVFİK ÖZTÜRK</t>
        </is>
      </c>
      <c r="F1303" s="3" t="n"/>
      <c r="G1303" s="143" t="n"/>
      <c r="H1303" s="143" t="n">
        <v>300</v>
      </c>
      <c r="I1303" s="143">
        <f>+I1302+(G1303-H1303)</f>
        <v/>
      </c>
      <c r="J1303" s="144" t="n">
        <v>40.323</v>
      </c>
      <c r="K1303" s="145" t="n"/>
      <c r="L1303" s="140">
        <f>+H1303*J1303</f>
        <v/>
      </c>
      <c r="M1303" s="141">
        <f>SUM(M1302+K1303-L1303)</f>
        <v/>
      </c>
    </row>
    <row r="1304">
      <c r="A1304" s="20" t="n">
        <v>45739</v>
      </c>
      <c r="B1304" s="1" t="n">
        <v>14280</v>
      </c>
      <c r="C1304" s="2" t="inlineStr">
        <is>
          <t>HASALTUN</t>
        </is>
      </c>
      <c r="D1304" s="1" t="inlineStr">
        <is>
          <t>SM 350</t>
        </is>
      </c>
      <c r="E1304" s="1" t="inlineStr">
        <is>
          <t>BAYRAM SANCAK</t>
        </is>
      </c>
      <c r="F1304" s="3" t="n"/>
      <c r="G1304" s="143" t="n"/>
      <c r="H1304" s="143" t="n">
        <v>280</v>
      </c>
      <c r="I1304" s="143">
        <f>+I1303+(G1304-H1304)</f>
        <v/>
      </c>
      <c r="J1304" s="144" t="n">
        <v>40.323</v>
      </c>
      <c r="K1304" s="145" t="n"/>
      <c r="L1304" s="140">
        <f>+H1304*J1304</f>
        <v/>
      </c>
      <c r="M1304" s="141">
        <f>SUM(M1303+K1304-L1304)</f>
        <v/>
      </c>
    </row>
    <row r="1305">
      <c r="A1305" s="20" t="n">
        <v>45740</v>
      </c>
      <c r="B1305" s="21" t="n">
        <v>354</v>
      </c>
      <c r="C1305" s="22" t="inlineStr">
        <is>
          <t>ÜNSOY TURİZM İNŞ.SAN.VE TİC.A.Ş.</t>
        </is>
      </c>
      <c r="D1305" s="21" t="n"/>
      <c r="E1305" s="21" t="n"/>
      <c r="F1305" s="23" t="n"/>
      <c r="G1305" s="138" t="n">
        <v>31919</v>
      </c>
      <c r="H1305" s="138" t="n"/>
      <c r="I1305" s="138">
        <f>+I1304+(G1305-H1305)</f>
        <v/>
      </c>
      <c r="J1305" s="139">
        <f>+K1305/G1305</f>
        <v/>
      </c>
      <c r="K1305" s="140" t="n">
        <v>1233669.35</v>
      </c>
      <c r="L1305" s="140">
        <f>+H1305*J1305</f>
        <v/>
      </c>
      <c r="M1305" s="141">
        <f>SUM(M1304+K1305-L1305)</f>
        <v/>
      </c>
    </row>
    <row r="1306">
      <c r="A1306" s="20" t="n">
        <v>45740</v>
      </c>
      <c r="B1306" s="21" t="n">
        <v>14161</v>
      </c>
      <c r="C1306" s="22" t="inlineStr">
        <is>
          <t>AZGÜN YAPI</t>
        </is>
      </c>
      <c r="D1306" s="21" t="inlineStr">
        <is>
          <t>34 DTV 263</t>
        </is>
      </c>
      <c r="E1306" s="21" t="inlineStr">
        <is>
          <t>EDİP TORLAK</t>
        </is>
      </c>
      <c r="F1306" s="23" t="n">
        <v>366941</v>
      </c>
      <c r="G1306" s="138" t="n"/>
      <c r="H1306" s="138" t="n">
        <v>243</v>
      </c>
      <c r="I1306" s="138">
        <f>+I1305+(G1306-H1306)</f>
        <v/>
      </c>
      <c r="J1306" s="139" t="n">
        <v>38.65</v>
      </c>
      <c r="K1306" s="140" t="n"/>
      <c r="L1306" s="140">
        <f>+H1306*J1306</f>
        <v/>
      </c>
      <c r="M1306" s="141">
        <f>SUM(M1305+K1306-L1306)</f>
        <v/>
      </c>
    </row>
    <row r="1307">
      <c r="A1307" s="20" t="n">
        <v>45740</v>
      </c>
      <c r="B1307" s="21" t="n">
        <v>21547</v>
      </c>
      <c r="C1307" s="22" t="inlineStr">
        <is>
          <t>SELİM İNŞAAT</t>
        </is>
      </c>
      <c r="D1307" s="21" t="inlineStr">
        <is>
          <t>34 GVZ 745</t>
        </is>
      </c>
      <c r="E1307" s="21" t="inlineStr">
        <is>
          <t>MUHAMMED YİĞİT</t>
        </is>
      </c>
      <c r="F1307" s="23" t="n">
        <v>170015</v>
      </c>
      <c r="G1307" s="138" t="n"/>
      <c r="H1307" s="138" t="n">
        <v>334</v>
      </c>
      <c r="I1307" s="138">
        <f>+I1306+(G1307-H1307)</f>
        <v/>
      </c>
      <c r="J1307" s="139" t="n">
        <v>38.65</v>
      </c>
      <c r="K1307" s="140" t="n"/>
      <c r="L1307" s="140">
        <f>+H1307*J1307</f>
        <v/>
      </c>
      <c r="M1307" s="141">
        <f>SUM(M1306+K1307-L1307)</f>
        <v/>
      </c>
    </row>
    <row r="1308">
      <c r="A1308" s="20" t="n">
        <v>45740</v>
      </c>
      <c r="B1308" s="21" t="n">
        <v>10691</v>
      </c>
      <c r="C1308" s="22" t="inlineStr">
        <is>
          <t>SELİM İNŞAAT</t>
        </is>
      </c>
      <c r="D1308" s="21" t="inlineStr">
        <is>
          <t>34 DTV 599</t>
        </is>
      </c>
      <c r="E1308" s="21" t="inlineStr">
        <is>
          <t>FERHAT GÜRLER</t>
        </is>
      </c>
      <c r="F1308" s="23" t="n">
        <v>415936</v>
      </c>
      <c r="G1308" s="138" t="n"/>
      <c r="H1308" s="138" t="n">
        <v>196</v>
      </c>
      <c r="I1308" s="138">
        <f>+I1307+(G1308-H1308)</f>
        <v/>
      </c>
      <c r="J1308" s="139" t="n">
        <v>38.65</v>
      </c>
      <c r="K1308" s="140" t="n"/>
      <c r="L1308" s="140">
        <f>+H1308*J1308</f>
        <v/>
      </c>
      <c r="M1308" s="141">
        <f>SUM(M1307+K1308-L1308)</f>
        <v/>
      </c>
    </row>
    <row r="1309">
      <c r="A1309" s="20" t="n">
        <v>45740</v>
      </c>
      <c r="B1309" s="21" t="n">
        <v>11461</v>
      </c>
      <c r="C1309" s="22" t="inlineStr">
        <is>
          <t>SELİM İNŞAAT</t>
        </is>
      </c>
      <c r="D1309" s="21" t="inlineStr">
        <is>
          <t>34 GUS 848</t>
        </is>
      </c>
      <c r="E1309" s="21" t="inlineStr">
        <is>
          <t>SERDAR BOZKURT</t>
        </is>
      </c>
      <c r="F1309" s="23" t="n">
        <v>173607</v>
      </c>
      <c r="G1309" s="138" t="n"/>
      <c r="H1309" s="138" t="n">
        <v>170</v>
      </c>
      <c r="I1309" s="138">
        <f>+I1308+(G1309-H1309)</f>
        <v/>
      </c>
      <c r="J1309" s="139" t="n">
        <v>38.65</v>
      </c>
      <c r="K1309" s="140" t="n"/>
      <c r="L1309" s="140">
        <f>+H1309*J1309</f>
        <v/>
      </c>
      <c r="M1309" s="141">
        <f>SUM(M1308+K1309-L1309)</f>
        <v/>
      </c>
    </row>
    <row r="1310">
      <c r="A1310" s="20" t="n">
        <v>45740</v>
      </c>
      <c r="B1310" s="21" t="n">
        <v>21486</v>
      </c>
      <c r="C1310" s="22" t="inlineStr">
        <is>
          <t>SELİM İNŞAAT</t>
        </is>
      </c>
      <c r="D1310" s="21" t="inlineStr">
        <is>
          <t>34 GYZ 635</t>
        </is>
      </c>
      <c r="E1310" s="21" t="inlineStr">
        <is>
          <t>ENGİN DEMİR</t>
        </is>
      </c>
      <c r="F1310" s="23" t="n">
        <v>154791</v>
      </c>
      <c r="G1310" s="138" t="n"/>
      <c r="H1310" s="138" t="n">
        <v>390</v>
      </c>
      <c r="I1310" s="138">
        <f>+I1309+(G1310-H1310)</f>
        <v/>
      </c>
      <c r="J1310" s="139" t="n">
        <v>38.65</v>
      </c>
      <c r="K1310" s="140" t="n"/>
      <c r="L1310" s="140">
        <f>+H1310*J1310</f>
        <v/>
      </c>
      <c r="M1310" s="141">
        <f>SUM(M1309+K1310-L1310)</f>
        <v/>
      </c>
    </row>
    <row r="1311">
      <c r="A1311" s="20" t="n">
        <v>45740</v>
      </c>
      <c r="B1311" s="21" t="n">
        <v>11817</v>
      </c>
      <c r="C1311" s="22" t="inlineStr">
        <is>
          <t>SELİM İNŞAAT</t>
        </is>
      </c>
      <c r="D1311" s="21" t="inlineStr">
        <is>
          <t>34 FSG 229</t>
        </is>
      </c>
      <c r="E1311" s="21" t="inlineStr">
        <is>
          <t>SİNAN TANRIVERDİ</t>
        </is>
      </c>
      <c r="F1311" s="23" t="n">
        <v>240066</v>
      </c>
      <c r="G1311" s="138" t="n"/>
      <c r="H1311" s="138" t="n">
        <v>146</v>
      </c>
      <c r="I1311" s="138">
        <f>+I1310+(G1311-H1311)</f>
        <v/>
      </c>
      <c r="J1311" s="139" t="n">
        <v>38.65</v>
      </c>
      <c r="K1311" s="140" t="n"/>
      <c r="L1311" s="140">
        <f>+H1311*J1311</f>
        <v/>
      </c>
      <c r="M1311" s="141">
        <f>SUM(M1310+K1311-L1311)</f>
        <v/>
      </c>
    </row>
    <row r="1312">
      <c r="A1312" s="20" t="n">
        <v>45740</v>
      </c>
      <c r="B1312" s="21" t="n">
        <v>10287</v>
      </c>
      <c r="C1312" s="22" t="inlineStr">
        <is>
          <t>SELİM İNŞAAT</t>
        </is>
      </c>
      <c r="D1312" s="21" t="inlineStr">
        <is>
          <t>34 FBR 748</t>
        </is>
      </c>
      <c r="E1312" s="21" t="inlineStr">
        <is>
          <t>YAŞAR ÖZKAYA</t>
        </is>
      </c>
      <c r="F1312" s="23" t="n">
        <v>268054</v>
      </c>
      <c r="G1312" s="138" t="n"/>
      <c r="H1312" s="138" t="n">
        <v>338</v>
      </c>
      <c r="I1312" s="138">
        <f>+I1311+(G1312-H1312)</f>
        <v/>
      </c>
      <c r="J1312" s="139" t="n">
        <v>38.65</v>
      </c>
      <c r="K1312" s="140" t="n"/>
      <c r="L1312" s="140">
        <f>+H1312*J1312</f>
        <v/>
      </c>
      <c r="M1312" s="141">
        <f>SUM(M1311+K1312-L1312)</f>
        <v/>
      </c>
    </row>
    <row r="1313">
      <c r="A1313" s="20" t="n">
        <v>45740</v>
      </c>
      <c r="B1313" s="21" t="n">
        <v>14108</v>
      </c>
      <c r="C1313" s="22" t="inlineStr">
        <is>
          <t>SELİM İNŞAAT</t>
        </is>
      </c>
      <c r="D1313" s="21" t="inlineStr">
        <is>
          <t>34 DSN 536</t>
        </is>
      </c>
      <c r="E1313" s="21" t="inlineStr">
        <is>
          <t>DURSUN ALİ GÜREK</t>
        </is>
      </c>
      <c r="F1313" s="23" t="n">
        <v>387040</v>
      </c>
      <c r="G1313" s="138" t="n"/>
      <c r="H1313" s="138" t="n">
        <v>192</v>
      </c>
      <c r="I1313" s="138">
        <f>+I1312+(G1313-H1313)</f>
        <v/>
      </c>
      <c r="J1313" s="139" t="n">
        <v>38.65</v>
      </c>
      <c r="K1313" s="140" t="n"/>
      <c r="L1313" s="140">
        <f>+H1313*J1313</f>
        <v/>
      </c>
      <c r="M1313" s="141">
        <f>SUM(M1312+K1313-L1313)</f>
        <v/>
      </c>
    </row>
    <row r="1314">
      <c r="A1314" s="20" t="n">
        <v>45740</v>
      </c>
      <c r="B1314" s="21" t="n">
        <v>10997</v>
      </c>
      <c r="C1314" s="22" t="inlineStr">
        <is>
          <t>SELİM İNŞAAT</t>
        </is>
      </c>
      <c r="D1314" s="21" t="inlineStr">
        <is>
          <t>34 GVZ 199</t>
        </is>
      </c>
      <c r="E1314" s="21" t="inlineStr">
        <is>
          <t>VAHDET GÜRLER</t>
        </is>
      </c>
      <c r="F1314" s="23" t="n">
        <v>163111</v>
      </c>
      <c r="G1314" s="138" t="n"/>
      <c r="H1314" s="138" t="n">
        <v>310</v>
      </c>
      <c r="I1314" s="138">
        <f>+I1313+(G1314-H1314)</f>
        <v/>
      </c>
      <c r="J1314" s="139" t="n">
        <v>38.65</v>
      </c>
      <c r="K1314" s="140" t="n"/>
      <c r="L1314" s="140">
        <f>+H1314*J1314</f>
        <v/>
      </c>
      <c r="M1314" s="141">
        <f>SUM(M1313+K1314-L1314)</f>
        <v/>
      </c>
    </row>
    <row r="1315">
      <c r="A1315" s="20" t="n">
        <v>45740</v>
      </c>
      <c r="B1315" s="21" t="n">
        <v>10367</v>
      </c>
      <c r="C1315" s="22" t="inlineStr">
        <is>
          <t>SELİM İNŞAAT</t>
        </is>
      </c>
      <c r="D1315" s="21" t="inlineStr">
        <is>
          <t>34 DRU 690</t>
        </is>
      </c>
      <c r="E1315" s="21" t="inlineStr">
        <is>
          <t>MUSTAFA KAYA</t>
        </is>
      </c>
      <c r="F1315" s="23" t="n">
        <v>397726</v>
      </c>
      <c r="G1315" s="138" t="n"/>
      <c r="H1315" s="138" t="n">
        <v>359</v>
      </c>
      <c r="I1315" s="138">
        <f>+I1314+(G1315-H1315)</f>
        <v/>
      </c>
      <c r="J1315" s="139" t="n">
        <v>38.65</v>
      </c>
      <c r="K1315" s="140" t="n"/>
      <c r="L1315" s="140">
        <f>+H1315*J1315</f>
        <v/>
      </c>
      <c r="M1315" s="141">
        <f>SUM(M1314+K1315-L1315)</f>
        <v/>
      </c>
    </row>
    <row r="1316">
      <c r="A1316" s="20" t="n">
        <v>45740</v>
      </c>
      <c r="B1316" s="21" t="n">
        <v>11283</v>
      </c>
      <c r="C1316" s="22" t="inlineStr">
        <is>
          <t>SELİM İNŞAAT</t>
        </is>
      </c>
      <c r="D1316" s="21" t="inlineStr">
        <is>
          <t>34 EDC 162</t>
        </is>
      </c>
      <c r="E1316" s="21" t="inlineStr">
        <is>
          <t xml:space="preserve">YAKUP GÜNER </t>
        </is>
      </c>
      <c r="F1316" s="23" t="n">
        <v>349500</v>
      </c>
      <c r="G1316" s="138" t="n"/>
      <c r="H1316" s="138" t="n">
        <v>198</v>
      </c>
      <c r="I1316" s="138">
        <f>+I1315+(G1316-H1316)</f>
        <v/>
      </c>
      <c r="J1316" s="139" t="n">
        <v>38.65</v>
      </c>
      <c r="K1316" s="140" t="n"/>
      <c r="L1316" s="140">
        <f>+H1316*J1316</f>
        <v/>
      </c>
      <c r="M1316" s="141">
        <f>SUM(M1315+K1316-L1316)</f>
        <v/>
      </c>
    </row>
    <row r="1317">
      <c r="A1317" s="20" t="n">
        <v>45740</v>
      </c>
      <c r="B1317" s="21" t="n">
        <v>14062</v>
      </c>
      <c r="C1317" s="22" t="inlineStr">
        <is>
          <t>SELİM İNŞAAT</t>
        </is>
      </c>
      <c r="D1317" s="21" t="inlineStr">
        <is>
          <t>34 EDB 659</t>
        </is>
      </c>
      <c r="E1317" s="21" t="inlineStr">
        <is>
          <t>MEHMET SAİT ANIK</t>
        </is>
      </c>
      <c r="F1317" s="23" t="n">
        <v>322785</v>
      </c>
      <c r="G1317" s="138" t="n"/>
      <c r="H1317" s="138" t="n">
        <v>336</v>
      </c>
      <c r="I1317" s="138">
        <f>+I1316+(G1317-H1317)</f>
        <v/>
      </c>
      <c r="J1317" s="139" t="n">
        <v>38.65</v>
      </c>
      <c r="K1317" s="140" t="n"/>
      <c r="L1317" s="140">
        <f>+H1317*J1317</f>
        <v/>
      </c>
      <c r="M1317" s="141">
        <f>SUM(M1316+K1317-L1317)</f>
        <v/>
      </c>
    </row>
    <row r="1318">
      <c r="A1318" s="20" t="n">
        <v>45740</v>
      </c>
      <c r="B1318" s="21" t="n">
        <v>11629</v>
      </c>
      <c r="C1318" s="22" t="inlineStr">
        <is>
          <t>SELİM İNŞAAT</t>
        </is>
      </c>
      <c r="D1318" s="21" t="inlineStr">
        <is>
          <t>34 DTV 352</t>
        </is>
      </c>
      <c r="E1318" s="21" t="inlineStr">
        <is>
          <t xml:space="preserve">RASİM BARTU </t>
        </is>
      </c>
      <c r="F1318" s="23" t="n">
        <v>416018</v>
      </c>
      <c r="G1318" s="138" t="n"/>
      <c r="H1318" s="138" t="n">
        <v>398</v>
      </c>
      <c r="I1318" s="138">
        <f>+I1317+(G1318-H1318)</f>
        <v/>
      </c>
      <c r="J1318" s="139" t="n">
        <v>38.65</v>
      </c>
      <c r="K1318" s="140" t="n"/>
      <c r="L1318" s="140">
        <f>+H1318*J1318</f>
        <v/>
      </c>
      <c r="M1318" s="141">
        <f>SUM(M1317+K1318-L1318)</f>
        <v/>
      </c>
    </row>
    <row r="1319">
      <c r="A1319" s="20" t="n">
        <v>45740</v>
      </c>
      <c r="B1319" s="21" t="n">
        <v>14407</v>
      </c>
      <c r="C1319" s="22" t="inlineStr">
        <is>
          <t>SELİM İNŞAAT</t>
        </is>
      </c>
      <c r="D1319" s="21" t="inlineStr">
        <is>
          <t>34 EGR 737</t>
        </is>
      </c>
      <c r="E1319" s="21" t="inlineStr">
        <is>
          <t>İBRAHİM GÜNASLAN</t>
        </is>
      </c>
      <c r="F1319" s="23" t="n">
        <v>399770</v>
      </c>
      <c r="G1319" s="138" t="n"/>
      <c r="H1319" s="138" t="n">
        <v>226</v>
      </c>
      <c r="I1319" s="138">
        <f>+I1318+(G1319-H1319)</f>
        <v/>
      </c>
      <c r="J1319" s="139" t="n">
        <v>38.65</v>
      </c>
      <c r="K1319" s="140" t="n"/>
      <c r="L1319" s="140">
        <f>+H1319*J1319</f>
        <v/>
      </c>
      <c r="M1319" s="141">
        <f>SUM(M1318+K1319-L1319)</f>
        <v/>
      </c>
    </row>
    <row r="1320">
      <c r="A1320" s="20" t="n">
        <v>45740</v>
      </c>
      <c r="B1320" s="21" t="n">
        <v>10067</v>
      </c>
      <c r="C1320" s="22" t="inlineStr">
        <is>
          <t>SELİM İNŞAAT</t>
        </is>
      </c>
      <c r="D1320" s="21" t="inlineStr">
        <is>
          <t>34 FBR 771</t>
        </is>
      </c>
      <c r="E1320" s="21" t="inlineStr">
        <is>
          <t>HÜSEYİN AKÇİN</t>
        </is>
      </c>
      <c r="F1320" s="23" t="n">
        <v>299012</v>
      </c>
      <c r="G1320" s="138" t="n"/>
      <c r="H1320" s="138" t="n">
        <v>278</v>
      </c>
      <c r="I1320" s="138">
        <f>+I1319+(G1320-H1320)</f>
        <v/>
      </c>
      <c r="J1320" s="139" t="n">
        <v>38.65</v>
      </c>
      <c r="K1320" s="140" t="n"/>
      <c r="L1320" s="140">
        <f>+H1320*J1320</f>
        <v/>
      </c>
      <c r="M1320" s="141">
        <f>SUM(M1319+K1320-L1320)</f>
        <v/>
      </c>
    </row>
    <row r="1321">
      <c r="A1321" s="20" t="n">
        <v>45740</v>
      </c>
      <c r="B1321" s="21" t="n">
        <v>14012</v>
      </c>
      <c r="C1321" s="22" t="inlineStr">
        <is>
          <t>SELİM İNŞAAT</t>
        </is>
      </c>
      <c r="D1321" s="21" t="inlineStr">
        <is>
          <t>34 GVZ 310</t>
        </is>
      </c>
      <c r="E1321" s="21" t="inlineStr">
        <is>
          <t>CELAL YÜZBAŞI</t>
        </is>
      </c>
      <c r="F1321" s="23" t="n">
        <v>178696</v>
      </c>
      <c r="G1321" s="138" t="n"/>
      <c r="H1321" s="138" t="n">
        <v>137</v>
      </c>
      <c r="I1321" s="138">
        <f>+I1320+(G1321-H1321)</f>
        <v/>
      </c>
      <c r="J1321" s="139" t="n">
        <v>38.65</v>
      </c>
      <c r="K1321" s="140" t="n"/>
      <c r="L1321" s="140">
        <f>+H1321*J1321</f>
        <v/>
      </c>
      <c r="M1321" s="141">
        <f>SUM(M1320+K1321-L1321)</f>
        <v/>
      </c>
    </row>
    <row r="1322">
      <c r="A1322" s="20" t="n">
        <v>45740</v>
      </c>
      <c r="B1322" s="21" t="n">
        <v>10216</v>
      </c>
      <c r="C1322" s="22" t="inlineStr">
        <is>
          <t>SELİM İNŞAAT</t>
        </is>
      </c>
      <c r="D1322" s="21" t="inlineStr">
        <is>
          <t>34 DSN 621</t>
        </is>
      </c>
      <c r="E1322" s="21" t="inlineStr">
        <is>
          <t>MUSTAFA KAYA</t>
        </is>
      </c>
      <c r="F1322" s="23" t="n">
        <v>396757</v>
      </c>
      <c r="G1322" s="138" t="n"/>
      <c r="H1322" s="138" t="n">
        <v>206</v>
      </c>
      <c r="I1322" s="138">
        <f>+I1321+(G1322-H1322)</f>
        <v/>
      </c>
      <c r="J1322" s="139" t="n">
        <v>38.65</v>
      </c>
      <c r="K1322" s="140" t="n"/>
      <c r="L1322" s="140">
        <f>+H1322*J1322</f>
        <v/>
      </c>
      <c r="M1322" s="141">
        <f>SUM(M1321+K1322-L1322)</f>
        <v/>
      </c>
    </row>
    <row r="1323">
      <c r="A1323" s="20" t="n">
        <v>45740</v>
      </c>
      <c r="B1323" s="21" t="n">
        <v>14311</v>
      </c>
      <c r="C1323" s="22" t="inlineStr">
        <is>
          <t>SELİM İNŞAAT</t>
        </is>
      </c>
      <c r="D1323" s="21" t="inlineStr">
        <is>
          <t>34 DKL 866</t>
        </is>
      </c>
      <c r="E1323" s="21" t="inlineStr">
        <is>
          <t>SELİM CAN ÖNVER</t>
        </is>
      </c>
      <c r="F1323" s="23" t="n">
        <v>62542</v>
      </c>
      <c r="G1323" s="138" t="n"/>
      <c r="H1323" s="138" t="n">
        <v>255</v>
      </c>
      <c r="I1323" s="138">
        <f>+I1322+(G1323-H1323)</f>
        <v/>
      </c>
      <c r="J1323" s="139" t="n">
        <v>38.65</v>
      </c>
      <c r="K1323" s="140" t="n"/>
      <c r="L1323" s="140">
        <f>+H1323*J1323</f>
        <v/>
      </c>
      <c r="M1323" s="141">
        <f>SUM(M1322+K1323-L1323)</f>
        <v/>
      </c>
    </row>
    <row r="1324">
      <c r="A1324" s="20" t="n">
        <v>45740</v>
      </c>
      <c r="B1324" s="21" t="n">
        <v>14508</v>
      </c>
      <c r="C1324" s="22" t="inlineStr">
        <is>
          <t>SELİM İNŞAAT</t>
        </is>
      </c>
      <c r="D1324" s="21" t="inlineStr">
        <is>
          <t>34 GER 028</t>
        </is>
      </c>
      <c r="E1324" s="21" t="inlineStr">
        <is>
          <t>A.KERİM ERGEN</t>
        </is>
      </c>
      <c r="F1324" s="23" t="n">
        <v>41211</v>
      </c>
      <c r="G1324" s="138" t="n"/>
      <c r="H1324" s="138" t="n">
        <v>151</v>
      </c>
      <c r="I1324" s="138">
        <f>+I1323+(G1324-H1324)</f>
        <v/>
      </c>
      <c r="J1324" s="139" t="n">
        <v>38.65</v>
      </c>
      <c r="K1324" s="140" t="n"/>
      <c r="L1324" s="140">
        <f>+H1324*J1324</f>
        <v/>
      </c>
      <c r="M1324" s="141">
        <f>SUM(M1323+K1324-L1324)</f>
        <v/>
      </c>
    </row>
    <row r="1325">
      <c r="A1325" s="20" t="n">
        <v>45740</v>
      </c>
      <c r="B1325" s="21" t="n">
        <v>14609</v>
      </c>
      <c r="C1325" s="22" t="inlineStr">
        <is>
          <t>SELİM İNŞAAT</t>
        </is>
      </c>
      <c r="D1325" s="21" t="inlineStr">
        <is>
          <t>34 GER 445</t>
        </is>
      </c>
      <c r="E1325" s="21" t="inlineStr">
        <is>
          <t>HASAN BAYCAN</t>
        </is>
      </c>
      <c r="F1325" s="23" t="n">
        <v>39510</v>
      </c>
      <c r="G1325" s="138" t="n"/>
      <c r="H1325" s="138" t="n">
        <v>203</v>
      </c>
      <c r="I1325" s="138">
        <f>+I1324+(G1325-H1325)</f>
        <v/>
      </c>
      <c r="J1325" s="139" t="n">
        <v>38.65</v>
      </c>
      <c r="K1325" s="140" t="n"/>
      <c r="L1325" s="140">
        <f>+H1325*J1325</f>
        <v/>
      </c>
      <c r="M1325" s="141">
        <f>SUM(M1324+K1325-L1325)</f>
        <v/>
      </c>
    </row>
    <row r="1326">
      <c r="A1326" s="20" t="n">
        <v>45740</v>
      </c>
      <c r="B1326" s="21" t="n">
        <v>21136</v>
      </c>
      <c r="C1326" s="22" t="inlineStr">
        <is>
          <t>SELİM İNŞAAT</t>
        </is>
      </c>
      <c r="D1326" s="21" t="inlineStr">
        <is>
          <t>34 TG 7869</t>
        </is>
      </c>
      <c r="E1326" s="21" t="inlineStr">
        <is>
          <t>GÖRKEM KARAYEL</t>
        </is>
      </c>
      <c r="F1326" s="23" t="n">
        <v>180185</v>
      </c>
      <c r="G1326" s="138" t="n"/>
      <c r="H1326" s="138" t="n">
        <v>263</v>
      </c>
      <c r="I1326" s="138">
        <f>+I1325+(G1326-H1326)</f>
        <v/>
      </c>
      <c r="J1326" s="139" t="n">
        <v>38.65</v>
      </c>
      <c r="K1326" s="140" t="n"/>
      <c r="L1326" s="140">
        <f>+H1326*J1326</f>
        <v/>
      </c>
      <c r="M1326" s="141">
        <f>SUM(M1325+K1326-L1326)</f>
        <v/>
      </c>
    </row>
    <row r="1327">
      <c r="A1327" s="20" t="n">
        <v>45740</v>
      </c>
      <c r="B1327" s="21" t="n">
        <v>10131</v>
      </c>
      <c r="C1327" s="22" t="inlineStr">
        <is>
          <t>SELİM İNŞAAT</t>
        </is>
      </c>
      <c r="D1327" s="21" t="inlineStr">
        <is>
          <t>34 DP 4161</t>
        </is>
      </c>
      <c r="E1327" s="21" t="inlineStr">
        <is>
          <t>RIFAT KARATAY</t>
        </is>
      </c>
      <c r="F1327" s="23" t="n">
        <v>280358</v>
      </c>
      <c r="G1327" s="138" t="n"/>
      <c r="H1327" s="138" t="n">
        <v>213</v>
      </c>
      <c r="I1327" s="138">
        <f>+I1326+(G1327-H1327)</f>
        <v/>
      </c>
      <c r="J1327" s="139" t="n">
        <v>38.65</v>
      </c>
      <c r="K1327" s="140" t="n"/>
      <c r="L1327" s="140">
        <f>+H1327*J1327</f>
        <v/>
      </c>
      <c r="M1327" s="141">
        <f>SUM(M1326+K1327-L1327)</f>
        <v/>
      </c>
    </row>
    <row r="1328">
      <c r="A1328" s="20" t="n">
        <v>45740</v>
      </c>
      <c r="B1328" s="21" t="n">
        <v>11896</v>
      </c>
      <c r="C1328" s="22" t="inlineStr">
        <is>
          <t>SELİM İNŞAAT</t>
        </is>
      </c>
      <c r="D1328" s="21" t="inlineStr">
        <is>
          <t>34 DFE 454</t>
        </is>
      </c>
      <c r="E1328" s="21" t="inlineStr">
        <is>
          <t>SELİM CAN ÖNVER</t>
        </is>
      </c>
      <c r="F1328" s="23" t="n">
        <v>156029</v>
      </c>
      <c r="G1328" s="138" t="n"/>
      <c r="H1328" s="138" t="n">
        <v>204</v>
      </c>
      <c r="I1328" s="138">
        <f>+I1327+(G1328-H1328)</f>
        <v/>
      </c>
      <c r="J1328" s="139" t="n">
        <v>38.65</v>
      </c>
      <c r="K1328" s="140" t="n"/>
      <c r="L1328" s="140">
        <f>+H1328*J1328</f>
        <v/>
      </c>
      <c r="M1328" s="141">
        <f>SUM(M1327+K1328-L1328)</f>
        <v/>
      </c>
    </row>
    <row r="1329">
      <c r="A1329" s="20" t="n">
        <v>45740</v>
      </c>
      <c r="B1329" s="21" t="n">
        <v>14353</v>
      </c>
      <c r="C1329" s="22" t="inlineStr">
        <is>
          <t>SELİM İNŞAAT</t>
        </is>
      </c>
      <c r="D1329" s="21" t="inlineStr">
        <is>
          <t>34 DKL 798</t>
        </is>
      </c>
      <c r="E1329" s="21" t="inlineStr">
        <is>
          <t>VOLKAN YANAR</t>
        </is>
      </c>
      <c r="F1329" s="23" t="n">
        <v>62573</v>
      </c>
      <c r="G1329" s="138" t="n"/>
      <c r="H1329" s="138" t="n">
        <v>178</v>
      </c>
      <c r="I1329" s="138">
        <f>+I1328+(G1329-H1329)</f>
        <v/>
      </c>
      <c r="J1329" s="139" t="n">
        <v>38.65</v>
      </c>
      <c r="K1329" s="140" t="n"/>
      <c r="L1329" s="140">
        <f>+H1329*J1329</f>
        <v/>
      </c>
      <c r="M1329" s="141">
        <f>SUM(M1328+K1329-L1329)</f>
        <v/>
      </c>
    </row>
    <row r="1330">
      <c r="A1330" s="20" t="n">
        <v>45740</v>
      </c>
      <c r="B1330" s="21" t="n">
        <v>11072</v>
      </c>
      <c r="C1330" s="22" t="inlineStr">
        <is>
          <t>SELİM İNŞAAT</t>
        </is>
      </c>
      <c r="D1330" s="21" t="inlineStr">
        <is>
          <t>34 HBT 763</t>
        </is>
      </c>
      <c r="E1330" s="21" t="inlineStr">
        <is>
          <t>EMİRCAN ÖZTÜRK</t>
        </is>
      </c>
      <c r="F1330" s="23" t="n">
        <v>14315</v>
      </c>
      <c r="G1330" s="138" t="n"/>
      <c r="H1330" s="138" t="n">
        <v>128</v>
      </c>
      <c r="I1330" s="138">
        <f>+I1329+(G1330-H1330)</f>
        <v/>
      </c>
      <c r="J1330" s="139" t="n">
        <v>38.65</v>
      </c>
      <c r="K1330" s="140" t="n"/>
      <c r="L1330" s="140">
        <f>+H1330*J1330</f>
        <v/>
      </c>
      <c r="M1330" s="141">
        <f>SUM(M1329+K1330-L1330)</f>
        <v/>
      </c>
    </row>
    <row r="1331">
      <c r="A1331" s="20" t="n">
        <v>45740</v>
      </c>
      <c r="B1331" s="21" t="n">
        <v>20191</v>
      </c>
      <c r="C1331" s="22" t="inlineStr">
        <is>
          <t>SELİM İNŞAAT</t>
        </is>
      </c>
      <c r="D1331" s="21" t="inlineStr">
        <is>
          <t>34 JGR 15</t>
        </is>
      </c>
      <c r="E1331" s="21" t="inlineStr">
        <is>
          <t>MUSTAFA ALBAYRAK</t>
        </is>
      </c>
      <c r="F1331" s="23" t="n">
        <v>306959</v>
      </c>
      <c r="G1331" s="138" t="n"/>
      <c r="H1331" s="138" t="n">
        <v>32</v>
      </c>
      <c r="I1331" s="138">
        <f>+I1330+(G1331-H1331)</f>
        <v/>
      </c>
      <c r="J1331" s="139" t="n">
        <v>38.65</v>
      </c>
      <c r="K1331" s="140" t="n"/>
      <c r="L1331" s="140">
        <f>+H1331*J1331</f>
        <v/>
      </c>
      <c r="M1331" s="141">
        <f>SUM(M1330+K1331-L1331)</f>
        <v/>
      </c>
    </row>
    <row r="1332">
      <c r="A1332" s="20" t="n">
        <v>45740</v>
      </c>
      <c r="B1332" s="21" t="n">
        <v>14281</v>
      </c>
      <c r="C1332" s="22" t="inlineStr">
        <is>
          <t>EVKUR</t>
        </is>
      </c>
      <c r="D1332" s="21" t="n"/>
      <c r="E1332" s="21" t="inlineStr">
        <is>
          <t>FAHRİ KALFA</t>
        </is>
      </c>
      <c r="F1332" s="23" t="n"/>
      <c r="G1332" s="138" t="n"/>
      <c r="H1332" s="138" t="n">
        <v>27</v>
      </c>
      <c r="I1332" s="138">
        <f>+I1331+(G1332-H1332)</f>
        <v/>
      </c>
      <c r="J1332" s="139" t="n">
        <v>38.65</v>
      </c>
      <c r="K1332" s="140" t="n"/>
      <c r="L1332" s="140">
        <f>+H1332*J1332</f>
        <v/>
      </c>
      <c r="M1332" s="141">
        <f>SUM(M1331+K1332-L1332)</f>
        <v/>
      </c>
    </row>
    <row r="1333">
      <c r="A1333" s="20" t="n">
        <v>45740</v>
      </c>
      <c r="B1333" s="1" t="n">
        <v>14282</v>
      </c>
      <c r="C1333" s="2" t="inlineStr">
        <is>
          <t>EVKUR</t>
        </is>
      </c>
      <c r="D1333" s="1" t="inlineStr">
        <is>
          <t>KİRALIK KATO</t>
        </is>
      </c>
      <c r="E1333" s="1" t="inlineStr">
        <is>
          <t xml:space="preserve">MELİH SELİM'İN BİLGİSİ DAHİLİNDE </t>
        </is>
      </c>
      <c r="F1333" s="3" t="n"/>
      <c r="G1333" s="143" t="n"/>
      <c r="H1333" s="143" t="n">
        <v>50</v>
      </c>
      <c r="I1333" s="143">
        <f>+I1332+(G1333-H1333)</f>
        <v/>
      </c>
      <c r="J1333" s="144" t="n">
        <v>38.65</v>
      </c>
      <c r="K1333" s="145" t="n"/>
      <c r="L1333" s="140">
        <f>+H1333*J1333</f>
        <v/>
      </c>
      <c r="M1333" s="141">
        <f>SUM(M1332+K1333-L1333)</f>
        <v/>
      </c>
    </row>
    <row r="1334">
      <c r="A1334" s="20" t="n">
        <v>45740</v>
      </c>
      <c r="B1334" s="1" t="n">
        <v>14283</v>
      </c>
      <c r="C1334" s="2" t="inlineStr">
        <is>
          <t>HASALTUN</t>
        </is>
      </c>
      <c r="D1334" s="1" t="inlineStr">
        <is>
          <t>SM 370</t>
        </is>
      </c>
      <c r="E1334" s="1" t="inlineStr">
        <is>
          <t>RAMAZAN KAYA</t>
        </is>
      </c>
      <c r="F1334" s="3" t="n"/>
      <c r="G1334" s="143" t="n"/>
      <c r="H1334" s="143" t="n">
        <v>336</v>
      </c>
      <c r="I1334" s="143">
        <f>+I1333+(G1334-H1334)</f>
        <v/>
      </c>
      <c r="J1334" s="144" t="n">
        <v>38.65</v>
      </c>
      <c r="K1334" s="145" t="n"/>
      <c r="L1334" s="140">
        <f>+H1334*J1334</f>
        <v/>
      </c>
      <c r="M1334" s="141">
        <f>SUM(M1333+K1334-L1334)</f>
        <v/>
      </c>
    </row>
    <row r="1335">
      <c r="A1335" s="20" t="n">
        <v>45740</v>
      </c>
      <c r="B1335" s="1" t="n">
        <v>14284</v>
      </c>
      <c r="C1335" s="2" t="inlineStr">
        <is>
          <t>VARLIK</t>
        </is>
      </c>
      <c r="D1335" s="1" t="inlineStr">
        <is>
          <t>SM 300</t>
        </is>
      </c>
      <c r="E1335" s="1" t="inlineStr">
        <is>
          <t>TURGUT SANCAK</t>
        </is>
      </c>
      <c r="F1335" s="3" t="n"/>
      <c r="G1335" s="143" t="n"/>
      <c r="H1335" s="143" t="n">
        <v>407</v>
      </c>
      <c r="I1335" s="143">
        <f>+I1334+(G1335-H1335)</f>
        <v/>
      </c>
      <c r="J1335" s="144" t="n">
        <v>38.65</v>
      </c>
      <c r="K1335" s="145" t="n"/>
      <c r="L1335" s="140">
        <f>+H1335*J1335</f>
        <v/>
      </c>
      <c r="M1335" s="141">
        <f>SUM(M1334+K1335-L1335)</f>
        <v/>
      </c>
    </row>
    <row r="1336">
      <c r="A1336" s="20" t="n">
        <v>45740</v>
      </c>
      <c r="B1336" s="1" t="n">
        <v>14285</v>
      </c>
      <c r="C1336" s="2" t="inlineStr">
        <is>
          <t>VARLIK</t>
        </is>
      </c>
      <c r="D1336" s="1" t="inlineStr">
        <is>
          <t>SM 350</t>
        </is>
      </c>
      <c r="E1336" s="1" t="inlineStr">
        <is>
          <t>BAYRAM SANCAK</t>
        </is>
      </c>
      <c r="F1336" s="3" t="n"/>
      <c r="G1336" s="143" t="n"/>
      <c r="H1336" s="143" t="n">
        <v>313</v>
      </c>
      <c r="I1336" s="143">
        <f>+I1335+(G1336-H1336)</f>
        <v/>
      </c>
      <c r="J1336" s="144" t="n">
        <v>38.65</v>
      </c>
      <c r="K1336" s="145" t="n"/>
      <c r="L1336" s="140">
        <f>+H1336*J1336</f>
        <v/>
      </c>
      <c r="M1336" s="141">
        <f>SUM(M1335+K1336-L1336)</f>
        <v/>
      </c>
    </row>
    <row r="1337">
      <c r="A1337" s="20" t="n">
        <v>45740</v>
      </c>
      <c r="B1337" s="21" t="n">
        <v>14286</v>
      </c>
      <c r="C1337" s="22" t="inlineStr">
        <is>
          <t>SELİM İNŞAAT</t>
        </is>
      </c>
      <c r="D1337" s="1" t="inlineStr">
        <is>
          <t>KAVAZAKİ</t>
        </is>
      </c>
      <c r="E1337" s="21" t="inlineStr">
        <is>
          <t>UFUK SEVAL</t>
        </is>
      </c>
      <c r="F1337" s="23" t="n"/>
      <c r="G1337" s="138" t="n"/>
      <c r="H1337" s="138" t="n">
        <v>116</v>
      </c>
      <c r="I1337" s="138">
        <f>+I1336+(G1337-H1337)</f>
        <v/>
      </c>
      <c r="J1337" s="139" t="n">
        <v>38.65</v>
      </c>
      <c r="K1337" s="140" t="n"/>
      <c r="L1337" s="140">
        <f>+H1337*J1337</f>
        <v/>
      </c>
      <c r="M1337" s="141">
        <f>SUM(M1336+K1337-L1337)</f>
        <v/>
      </c>
    </row>
    <row r="1338">
      <c r="A1338" s="20" t="n">
        <v>45740</v>
      </c>
      <c r="B1338" s="1" t="n">
        <v>14287</v>
      </c>
      <c r="C1338" s="2" t="inlineStr">
        <is>
          <t>HASALTUN</t>
        </is>
      </c>
      <c r="D1338" s="1" t="inlineStr">
        <is>
          <t>SM 350</t>
        </is>
      </c>
      <c r="E1338" s="1" t="inlineStr">
        <is>
          <t>TEVFİK ÖZTÜRK</t>
        </is>
      </c>
      <c r="F1338" s="3" t="n"/>
      <c r="G1338" s="143" t="n"/>
      <c r="H1338" s="143" t="n">
        <v>332</v>
      </c>
      <c r="I1338" s="143">
        <f>+I1337+(G1338-H1338)</f>
        <v/>
      </c>
      <c r="J1338" s="144" t="n">
        <v>38.65</v>
      </c>
      <c r="K1338" s="145" t="n"/>
      <c r="L1338" s="140">
        <f>+H1338*J1338</f>
        <v/>
      </c>
      <c r="M1338" s="141">
        <f>SUM(M1337+K1338-L1338)</f>
        <v/>
      </c>
    </row>
    <row r="1339">
      <c r="A1339" s="20" t="n">
        <v>45741</v>
      </c>
      <c r="B1339" s="21" t="n">
        <v>10033</v>
      </c>
      <c r="C1339" s="22" t="inlineStr">
        <is>
          <t>METİN ERYİĞİT</t>
        </is>
      </c>
      <c r="D1339" s="21" t="inlineStr">
        <is>
          <t>34 EGS 013</t>
        </is>
      </c>
      <c r="E1339" s="21" t="inlineStr">
        <is>
          <t>UĞUR DUMAN</t>
        </is>
      </c>
      <c r="F1339" s="23" t="n">
        <v>471070</v>
      </c>
      <c r="G1339" s="138" t="n"/>
      <c r="H1339" s="138" t="n">
        <v>427</v>
      </c>
      <c r="I1339" s="138">
        <f>+I1338+(G1339-H1339)</f>
        <v/>
      </c>
      <c r="J1339" s="139" t="n">
        <v>38.65</v>
      </c>
      <c r="K1339" s="140" t="n"/>
      <c r="L1339" s="140">
        <f>+H1339*J1339</f>
        <v/>
      </c>
      <c r="M1339" s="141">
        <f>SUM(M1338+K1339-L1339)</f>
        <v/>
      </c>
    </row>
    <row r="1340">
      <c r="A1340" s="20" t="n">
        <v>45741</v>
      </c>
      <c r="B1340" s="21" t="n">
        <v>11471</v>
      </c>
      <c r="C1340" s="22" t="inlineStr">
        <is>
          <t>METİN ŞİRİN</t>
        </is>
      </c>
      <c r="D1340" s="21" t="inlineStr">
        <is>
          <t>34 EGR 922</t>
        </is>
      </c>
      <c r="E1340" s="21" t="inlineStr">
        <is>
          <t>GÜRAY KOYUNCU</t>
        </is>
      </c>
      <c r="F1340" s="23" t="n">
        <v>441317</v>
      </c>
      <c r="G1340" s="138" t="n"/>
      <c r="H1340" s="138" t="n">
        <v>200</v>
      </c>
      <c r="I1340" s="138">
        <f>+I1339+(G1340-H1340)</f>
        <v/>
      </c>
      <c r="J1340" s="139" t="n">
        <v>38.65</v>
      </c>
      <c r="K1340" s="140" t="n"/>
      <c r="L1340" s="140">
        <f>+H1340*J1340</f>
        <v/>
      </c>
      <c r="M1340" s="141">
        <f>SUM(M1339+K1340-L1340)</f>
        <v/>
      </c>
    </row>
    <row r="1341">
      <c r="A1341" s="20" t="n">
        <v>45741</v>
      </c>
      <c r="B1341" s="21" t="n">
        <v>11154</v>
      </c>
      <c r="C1341" s="22" t="inlineStr">
        <is>
          <t>SELİM İNŞAAT</t>
        </is>
      </c>
      <c r="D1341" s="21" t="inlineStr">
        <is>
          <t>34 HZ 1663</t>
        </is>
      </c>
      <c r="E1341" s="21" t="inlineStr">
        <is>
          <t>ÖNER DÜNDAR</t>
        </is>
      </c>
      <c r="F1341" s="23" t="n">
        <v>517953</v>
      </c>
      <c r="G1341" s="138" t="n"/>
      <c r="H1341" s="138" t="n">
        <v>380</v>
      </c>
      <c r="I1341" s="138">
        <f>+I1340+(G1341-H1341)</f>
        <v/>
      </c>
      <c r="J1341" s="139" t="n">
        <v>38.65</v>
      </c>
      <c r="K1341" s="140" t="n"/>
      <c r="L1341" s="140">
        <f>+H1341*J1341</f>
        <v/>
      </c>
      <c r="M1341" s="141">
        <f>SUM(M1340+K1341-L1341)</f>
        <v/>
      </c>
    </row>
    <row r="1342">
      <c r="A1342" s="20" t="n">
        <v>45741</v>
      </c>
      <c r="B1342" s="21" t="n">
        <v>9799</v>
      </c>
      <c r="C1342" s="22" t="inlineStr">
        <is>
          <t>SELİM İNŞAAT</t>
        </is>
      </c>
      <c r="D1342" s="21" t="inlineStr">
        <is>
          <t>34 GVZ 268</t>
        </is>
      </c>
      <c r="E1342" s="21" t="inlineStr">
        <is>
          <t>MEVLÜT POLAT</t>
        </is>
      </c>
      <c r="F1342" s="23" t="n">
        <v>174867</v>
      </c>
      <c r="G1342" s="138" t="n"/>
      <c r="H1342" s="138" t="n">
        <v>239</v>
      </c>
      <c r="I1342" s="138">
        <f>+I1341+(G1342-H1342)</f>
        <v/>
      </c>
      <c r="J1342" s="139" t="n">
        <v>38.65</v>
      </c>
      <c r="K1342" s="140" t="n"/>
      <c r="L1342" s="140">
        <f>+H1342*J1342</f>
        <v/>
      </c>
      <c r="M1342" s="141">
        <f>SUM(M1341+K1342-L1342)</f>
        <v/>
      </c>
    </row>
    <row r="1343">
      <c r="A1343" s="20" t="n">
        <v>45741</v>
      </c>
      <c r="B1343" s="21" t="n">
        <v>10068</v>
      </c>
      <c r="C1343" s="22" t="inlineStr">
        <is>
          <t>SELİM İNŞAAT</t>
        </is>
      </c>
      <c r="D1343" s="21" t="inlineStr">
        <is>
          <t>34 FBR 771</t>
        </is>
      </c>
      <c r="E1343" s="21" t="inlineStr">
        <is>
          <t>HÜSEYİN AKÇİN</t>
        </is>
      </c>
      <c r="F1343" s="23" t="n">
        <v>299377</v>
      </c>
      <c r="G1343" s="138" t="n"/>
      <c r="H1343" s="138" t="n">
        <v>228</v>
      </c>
      <c r="I1343" s="138">
        <f>+I1342+(G1343-H1343)</f>
        <v/>
      </c>
      <c r="J1343" s="139" t="n">
        <v>38.65</v>
      </c>
      <c r="K1343" s="140" t="n"/>
      <c r="L1343" s="140">
        <f>+H1343*J1343</f>
        <v/>
      </c>
      <c r="M1343" s="141">
        <f>SUM(M1342+K1343-L1343)</f>
        <v/>
      </c>
    </row>
    <row r="1344">
      <c r="A1344" s="20" t="n">
        <v>45741</v>
      </c>
      <c r="B1344" s="21" t="n">
        <v>9948</v>
      </c>
      <c r="C1344" s="22" t="inlineStr">
        <is>
          <t>RECEP SELİM OTO KURTARICI</t>
        </is>
      </c>
      <c r="D1344" s="21" t="inlineStr">
        <is>
          <t>34 GC 8658</t>
        </is>
      </c>
      <c r="E1344" s="21" t="inlineStr">
        <is>
          <t>RECEP SELİM</t>
        </is>
      </c>
      <c r="F1344" s="23" t="n"/>
      <c r="G1344" s="138" t="n"/>
      <c r="H1344" s="138" t="n">
        <v>70</v>
      </c>
      <c r="I1344" s="138">
        <f>+I1343+(G1344-H1344)</f>
        <v/>
      </c>
      <c r="J1344" s="139" t="n">
        <v>38.65</v>
      </c>
      <c r="K1344" s="140" t="n"/>
      <c r="L1344" s="140">
        <f>+H1344*J1344</f>
        <v/>
      </c>
      <c r="M1344" s="141">
        <f>SUM(M1343+K1344-L1344)</f>
        <v/>
      </c>
    </row>
    <row r="1345">
      <c r="A1345" s="20" t="n">
        <v>45741</v>
      </c>
      <c r="B1345" s="21" t="n">
        <v>14288</v>
      </c>
      <c r="C1345" s="22" t="inlineStr">
        <is>
          <t>EVKUR</t>
        </is>
      </c>
      <c r="D1345" s="21" t="n"/>
      <c r="E1345" s="21" t="inlineStr">
        <is>
          <t>FAHRİ KALFA</t>
        </is>
      </c>
      <c r="F1345" s="23" t="n"/>
      <c r="G1345" s="138" t="n"/>
      <c r="H1345" s="138" t="n">
        <v>44</v>
      </c>
      <c r="I1345" s="138">
        <f>+I1344+(G1345-H1345)</f>
        <v/>
      </c>
      <c r="J1345" s="139" t="n">
        <v>38.65</v>
      </c>
      <c r="K1345" s="140" t="n"/>
      <c r="L1345" s="140">
        <f>+H1345*J1345</f>
        <v/>
      </c>
      <c r="M1345" s="141">
        <f>SUM(M1344+K1345-L1345)</f>
        <v/>
      </c>
    </row>
    <row r="1346">
      <c r="A1346" s="20" t="n">
        <v>45741</v>
      </c>
      <c r="B1346" s="21" t="n">
        <v>14289</v>
      </c>
      <c r="C1346" s="22" t="inlineStr">
        <is>
          <t>-</t>
        </is>
      </c>
      <c r="D1346" s="1" t="inlineStr">
        <is>
          <t>34 AZ 2191 VİNÇ</t>
        </is>
      </c>
      <c r="E1346" s="21" t="inlineStr">
        <is>
          <t>NUMAN KABİL</t>
        </is>
      </c>
      <c r="F1346" s="23" t="n"/>
      <c r="G1346" s="138" t="n"/>
      <c r="H1346" s="138" t="n">
        <v>70</v>
      </c>
      <c r="I1346" s="138">
        <f>+I1345+(G1346-H1346)</f>
        <v/>
      </c>
      <c r="J1346" s="139" t="n">
        <v>38.65</v>
      </c>
      <c r="K1346" s="140" t="n"/>
      <c r="L1346" s="140">
        <f>+H1346*J1346</f>
        <v/>
      </c>
      <c r="M1346" s="141">
        <f>SUM(M1345+K1346-L1346)</f>
        <v/>
      </c>
    </row>
    <row r="1347">
      <c r="A1347" s="20" t="n">
        <v>45741</v>
      </c>
      <c r="B1347" s="1" t="n">
        <v>14290</v>
      </c>
      <c r="C1347" s="2" t="inlineStr">
        <is>
          <t>EVKUR</t>
        </is>
      </c>
      <c r="D1347" s="1" t="inlineStr">
        <is>
          <t>MNT 2260</t>
        </is>
      </c>
      <c r="E1347" s="1" t="inlineStr">
        <is>
          <t>MUHAMMED KANTAR</t>
        </is>
      </c>
      <c r="F1347" s="3" t="n"/>
      <c r="G1347" s="143" t="n"/>
      <c r="H1347" s="143" t="n">
        <v>177</v>
      </c>
      <c r="I1347" s="143">
        <f>+I1346+(G1347-H1347)</f>
        <v/>
      </c>
      <c r="J1347" s="144" t="n">
        <v>38.65</v>
      </c>
      <c r="K1347" s="145" t="n"/>
      <c r="L1347" s="140">
        <f>+H1347*J1347</f>
        <v/>
      </c>
      <c r="M1347" s="141">
        <f>SUM(M1346+K1347-L1347)</f>
        <v/>
      </c>
    </row>
    <row r="1348">
      <c r="A1348" s="20" t="n">
        <v>45741</v>
      </c>
      <c r="B1348" s="1" t="n">
        <v>14291</v>
      </c>
      <c r="C1348" s="2" t="inlineStr">
        <is>
          <t>EVKUR</t>
        </is>
      </c>
      <c r="D1348" s="1" t="inlineStr">
        <is>
          <t>SM 300</t>
        </is>
      </c>
      <c r="E1348" s="1" t="inlineStr">
        <is>
          <t>TURGUT SANCAK</t>
        </is>
      </c>
      <c r="F1348" s="3" t="n"/>
      <c r="G1348" s="143" t="n"/>
      <c r="H1348" s="143" t="n">
        <v>328</v>
      </c>
      <c r="I1348" s="143">
        <f>+I1347+(G1348-H1348)</f>
        <v/>
      </c>
      <c r="J1348" s="144" t="n">
        <v>38.65</v>
      </c>
      <c r="K1348" s="145" t="n"/>
      <c r="L1348" s="140">
        <f>+H1348*J1348</f>
        <v/>
      </c>
      <c r="M1348" s="141">
        <f>SUM(M1347+K1348-L1348)</f>
        <v/>
      </c>
    </row>
    <row r="1349">
      <c r="A1349" s="20" t="n">
        <v>45741</v>
      </c>
      <c r="B1349" s="1" t="n">
        <v>14292</v>
      </c>
      <c r="C1349" s="2" t="inlineStr">
        <is>
          <t>HASALTUN</t>
        </is>
      </c>
      <c r="D1349" s="1" t="inlineStr">
        <is>
          <t>SM 350</t>
        </is>
      </c>
      <c r="E1349" s="1" t="inlineStr">
        <is>
          <t>TEVFİK ÖZTÜRK</t>
        </is>
      </c>
      <c r="F1349" s="3" t="n"/>
      <c r="G1349" s="143" t="n"/>
      <c r="H1349" s="143" t="n">
        <v>308</v>
      </c>
      <c r="I1349" s="143">
        <f>+I1348+(G1349-H1349)</f>
        <v/>
      </c>
      <c r="J1349" s="144" t="n">
        <v>38.65</v>
      </c>
      <c r="K1349" s="145" t="n"/>
      <c r="L1349" s="140">
        <f>+H1349*J1349</f>
        <v/>
      </c>
      <c r="M1349" s="141">
        <f>SUM(M1348+K1349-L1349)</f>
        <v/>
      </c>
    </row>
    <row r="1350">
      <c r="A1350" s="20" t="n">
        <v>45741</v>
      </c>
      <c r="B1350" s="1" t="n">
        <v>14294</v>
      </c>
      <c r="C1350" s="2" t="inlineStr">
        <is>
          <t>HASALTUN</t>
        </is>
      </c>
      <c r="D1350" s="1" t="inlineStr">
        <is>
          <t>SM 370</t>
        </is>
      </c>
      <c r="E1350" s="1" t="inlineStr">
        <is>
          <t>RAMAZAN KAYA</t>
        </is>
      </c>
      <c r="F1350" s="3" t="n"/>
      <c r="G1350" s="143" t="n"/>
      <c r="H1350" s="143" t="n">
        <v>510</v>
      </c>
      <c r="I1350" s="143">
        <f>+I1349+(G1350-H1350)</f>
        <v/>
      </c>
      <c r="J1350" s="144" t="n">
        <v>38.65</v>
      </c>
      <c r="K1350" s="145" t="n"/>
      <c r="L1350" s="140">
        <f>+H1350*J1350</f>
        <v/>
      </c>
      <c r="M1350" s="141">
        <f>SUM(M1349+K1350-L1350)</f>
        <v/>
      </c>
    </row>
    <row r="1351">
      <c r="A1351" s="20" t="n">
        <v>45741</v>
      </c>
      <c r="B1351" s="1" t="n">
        <v>14295</v>
      </c>
      <c r="C1351" s="2" t="inlineStr">
        <is>
          <t>EVKUR</t>
        </is>
      </c>
      <c r="D1351" s="1" t="inlineStr">
        <is>
          <t>KAVAZAKİ</t>
        </is>
      </c>
      <c r="E1351" s="1" t="inlineStr">
        <is>
          <t>UFUK SEVAL</t>
        </is>
      </c>
      <c r="F1351" s="3" t="n"/>
      <c r="G1351" s="143" t="n"/>
      <c r="H1351" s="143" t="n">
        <v>120</v>
      </c>
      <c r="I1351" s="143">
        <f>+I1350+(G1351-H1351)</f>
        <v/>
      </c>
      <c r="J1351" s="144" t="n">
        <v>38.65</v>
      </c>
      <c r="K1351" s="145" t="n"/>
      <c r="L1351" s="140">
        <f>+H1351*J1351</f>
        <v/>
      </c>
      <c r="M1351" s="141">
        <f>SUM(M1350+K1351-L1351)</f>
        <v/>
      </c>
    </row>
    <row r="1352">
      <c r="A1352" s="20" t="n">
        <v>45741</v>
      </c>
      <c r="B1352" s="1" t="n">
        <v>14296</v>
      </c>
      <c r="C1352" s="2" t="inlineStr">
        <is>
          <t>VARLIK</t>
        </is>
      </c>
      <c r="D1352" s="1" t="inlineStr">
        <is>
          <t>SM 350</t>
        </is>
      </c>
      <c r="E1352" s="1" t="inlineStr">
        <is>
          <t>BAYRAM SANCAK</t>
        </is>
      </c>
      <c r="F1352" s="3" t="n"/>
      <c r="G1352" s="143" t="n"/>
      <c r="H1352" s="143" t="n">
        <v>221</v>
      </c>
      <c r="I1352" s="143">
        <f>+I1351+(G1352-H1352)</f>
        <v/>
      </c>
      <c r="J1352" s="144" t="n">
        <v>38.65</v>
      </c>
      <c r="K1352" s="145" t="n"/>
      <c r="L1352" s="140">
        <f>+H1352*J1352</f>
        <v/>
      </c>
      <c r="M1352" s="141">
        <f>SUM(M1351+K1352-L1352)</f>
        <v/>
      </c>
    </row>
    <row r="1353">
      <c r="A1353" s="20" t="n">
        <v>45742</v>
      </c>
      <c r="B1353" s="21" t="n">
        <v>21487</v>
      </c>
      <c r="C1353" s="22" t="inlineStr">
        <is>
          <t>SELİM İNŞAAT</t>
        </is>
      </c>
      <c r="D1353" s="21" t="inlineStr">
        <is>
          <t>34 GYZ 635</t>
        </is>
      </c>
      <c r="E1353" s="21" t="inlineStr">
        <is>
          <t>ENGİN DEMİR</t>
        </is>
      </c>
      <c r="F1353" s="23" t="n">
        <v>155191</v>
      </c>
      <c r="G1353" s="138" t="n"/>
      <c r="H1353" s="138" t="n">
        <v>242</v>
      </c>
      <c r="I1353" s="138">
        <f>+I1352+(G1353-H1353)</f>
        <v/>
      </c>
      <c r="J1353" s="139" t="n">
        <v>38.65</v>
      </c>
      <c r="K1353" s="140" t="n"/>
      <c r="L1353" s="140">
        <f>+H1353*J1353</f>
        <v/>
      </c>
      <c r="M1353" s="141">
        <f>SUM(M1352+K1353-L1353)</f>
        <v/>
      </c>
    </row>
    <row r="1354">
      <c r="A1354" s="20" t="n">
        <v>45742</v>
      </c>
      <c r="B1354" s="21" t="n">
        <v>10774</v>
      </c>
      <c r="C1354" s="22" t="inlineStr">
        <is>
          <t>SELİM İNŞAAT</t>
        </is>
      </c>
      <c r="D1354" s="21" t="inlineStr">
        <is>
          <t>34 FBR 705</t>
        </is>
      </c>
      <c r="E1354" s="21" t="inlineStr">
        <is>
          <t>MESUT GÜRLER</t>
        </is>
      </c>
      <c r="F1354" s="23" t="n">
        <v>296318</v>
      </c>
      <c r="G1354" s="138" t="n"/>
      <c r="H1354" s="138" t="n">
        <v>327</v>
      </c>
      <c r="I1354" s="138">
        <f>+I1353+(G1354-H1354)</f>
        <v/>
      </c>
      <c r="J1354" s="139" t="n">
        <v>38.65</v>
      </c>
      <c r="K1354" s="140" t="n"/>
      <c r="L1354" s="140">
        <f>+H1354*J1354</f>
        <v/>
      </c>
      <c r="M1354" s="141">
        <f>SUM(M1353+K1354-L1354)</f>
        <v/>
      </c>
    </row>
    <row r="1355">
      <c r="A1355" s="20" t="n">
        <v>45742</v>
      </c>
      <c r="B1355" s="21" t="n">
        <v>10998</v>
      </c>
      <c r="C1355" s="22" t="inlineStr">
        <is>
          <t>SELİM İNŞAAT</t>
        </is>
      </c>
      <c r="D1355" s="21" t="inlineStr">
        <is>
          <t>34 GVZ 199</t>
        </is>
      </c>
      <c r="E1355" s="21" t="inlineStr">
        <is>
          <t>VAHDET GÜRLER</t>
        </is>
      </c>
      <c r="F1355" s="23" t="n">
        <v>163738</v>
      </c>
      <c r="G1355" s="138" t="n"/>
      <c r="H1355" s="138" t="n">
        <v>312</v>
      </c>
      <c r="I1355" s="138">
        <f>+I1354+(G1355-H1355)</f>
        <v/>
      </c>
      <c r="J1355" s="139" t="n">
        <v>38.65</v>
      </c>
      <c r="K1355" s="140" t="n"/>
      <c r="L1355" s="140">
        <f>+H1355*J1355</f>
        <v/>
      </c>
      <c r="M1355" s="141">
        <f>SUM(M1354+K1355-L1355)</f>
        <v/>
      </c>
    </row>
    <row r="1356">
      <c r="A1356" s="20" t="n">
        <v>45742</v>
      </c>
      <c r="B1356" s="21" t="n">
        <v>10368</v>
      </c>
      <c r="C1356" s="22" t="inlineStr">
        <is>
          <t>SELİM İNŞAAT</t>
        </is>
      </c>
      <c r="D1356" s="21" t="inlineStr">
        <is>
          <t>34 DRU 690</t>
        </is>
      </c>
      <c r="E1356" s="21" t="inlineStr">
        <is>
          <t>MUSTAFA KAYA</t>
        </is>
      </c>
      <c r="F1356" s="23" t="n">
        <v>398151</v>
      </c>
      <c r="G1356" s="138" t="n"/>
      <c r="H1356" s="138" t="n">
        <v>304</v>
      </c>
      <c r="I1356" s="138">
        <f>+I1355+(G1356-H1356)</f>
        <v/>
      </c>
      <c r="J1356" s="139" t="n">
        <v>38.65</v>
      </c>
      <c r="K1356" s="140" t="n"/>
      <c r="L1356" s="140">
        <f>+H1356*J1356</f>
        <v/>
      </c>
      <c r="M1356" s="141">
        <f>SUM(M1355+K1356-L1356)</f>
        <v/>
      </c>
    </row>
    <row r="1357">
      <c r="A1357" s="20" t="n">
        <v>45742</v>
      </c>
      <c r="B1357" s="21" t="n">
        <v>21293</v>
      </c>
      <c r="C1357" s="22" t="inlineStr">
        <is>
          <t>SELİM İNŞAAT</t>
        </is>
      </c>
      <c r="D1357" s="21" t="inlineStr">
        <is>
          <t>34 DTV 447</t>
        </is>
      </c>
      <c r="E1357" s="21" t="inlineStr">
        <is>
          <t>EBUBEKİR KOLDAŞ</t>
        </is>
      </c>
      <c r="F1357" s="23" t="n">
        <v>420480</v>
      </c>
      <c r="G1357" s="138" t="n"/>
      <c r="H1357" s="138" t="n">
        <v>382</v>
      </c>
      <c r="I1357" s="138">
        <f>+I1356+(G1357-H1357)</f>
        <v/>
      </c>
      <c r="J1357" s="139" t="n">
        <v>38.65</v>
      </c>
      <c r="K1357" s="140" t="n"/>
      <c r="L1357" s="140">
        <f>+H1357*J1357</f>
        <v/>
      </c>
      <c r="M1357" s="141">
        <f>SUM(M1356+K1357-L1357)</f>
        <v/>
      </c>
    </row>
    <row r="1358">
      <c r="A1358" s="20" t="n">
        <v>45742</v>
      </c>
      <c r="B1358" s="21" t="n">
        <v>11727</v>
      </c>
      <c r="C1358" s="22" t="inlineStr">
        <is>
          <t>SELİM İNŞAAT</t>
        </is>
      </c>
      <c r="D1358" s="21" t="inlineStr">
        <is>
          <t>34 EDB 559</t>
        </is>
      </c>
      <c r="E1358" s="21" t="inlineStr">
        <is>
          <t>CEM MUHTAR</t>
        </is>
      </c>
      <c r="F1358" s="23" t="n">
        <v>311708</v>
      </c>
      <c r="G1358" s="138" t="n"/>
      <c r="H1358" s="138" t="n">
        <v>337</v>
      </c>
      <c r="I1358" s="138">
        <f>+I1357+(G1358-H1358)</f>
        <v/>
      </c>
      <c r="J1358" s="139" t="n">
        <v>38.65</v>
      </c>
      <c r="K1358" s="140" t="n"/>
      <c r="L1358" s="140">
        <f>+H1358*J1358</f>
        <v/>
      </c>
      <c r="M1358" s="141">
        <f>SUM(M1357+K1358-L1358)</f>
        <v/>
      </c>
    </row>
    <row r="1359">
      <c r="A1359" s="20" t="n">
        <v>45742</v>
      </c>
      <c r="B1359" s="21" t="n">
        <v>11284</v>
      </c>
      <c r="C1359" s="22" t="inlineStr">
        <is>
          <t>SELİM İNŞAAT</t>
        </is>
      </c>
      <c r="D1359" s="21" t="inlineStr">
        <is>
          <t>34 EDC 162</t>
        </is>
      </c>
      <c r="E1359" s="21" t="inlineStr">
        <is>
          <t xml:space="preserve">YAKUP GÜNER </t>
        </is>
      </c>
      <c r="F1359" s="23" t="n">
        <v>350082</v>
      </c>
      <c r="G1359" s="138" t="n"/>
      <c r="H1359" s="138" t="n">
        <v>320</v>
      </c>
      <c r="I1359" s="138">
        <f>+I1358+(G1359-H1359)</f>
        <v/>
      </c>
      <c r="J1359" s="139" t="n">
        <v>38.65</v>
      </c>
      <c r="K1359" s="140" t="n"/>
      <c r="L1359" s="140">
        <f>+H1359*J1359</f>
        <v/>
      </c>
      <c r="M1359" s="141">
        <f>SUM(M1358+K1359-L1359)</f>
        <v/>
      </c>
    </row>
    <row r="1360">
      <c r="A1360" s="20" t="n">
        <v>45742</v>
      </c>
      <c r="B1360" s="21" t="n">
        <v>14210</v>
      </c>
      <c r="C1360" s="22" t="inlineStr">
        <is>
          <t>SELİM İNŞAAT</t>
        </is>
      </c>
      <c r="D1360" s="21" t="inlineStr">
        <is>
          <t xml:space="preserve">34 GUS 938 </t>
        </is>
      </c>
      <c r="E1360" s="21" t="inlineStr">
        <is>
          <t>FARUK ÖZEN</t>
        </is>
      </c>
      <c r="F1360" s="23" t="n">
        <v>168879</v>
      </c>
      <c r="G1360" s="138" t="n"/>
      <c r="H1360" s="138" t="n">
        <v>300</v>
      </c>
      <c r="I1360" s="138">
        <f>+I1359+(G1360-H1360)</f>
        <v/>
      </c>
      <c r="J1360" s="139" t="n">
        <v>38.65</v>
      </c>
      <c r="K1360" s="140" t="n"/>
      <c r="L1360" s="140">
        <f>+H1360*J1360</f>
        <v/>
      </c>
      <c r="M1360" s="141">
        <f>SUM(M1359+K1360-L1360)</f>
        <v/>
      </c>
    </row>
    <row r="1361">
      <c r="A1361" s="20" t="n">
        <v>45742</v>
      </c>
      <c r="B1361" s="21" t="n">
        <v>11134</v>
      </c>
      <c r="C1361" s="22" t="inlineStr">
        <is>
          <t>SELİM İNŞAAT</t>
        </is>
      </c>
      <c r="D1361" s="21" t="inlineStr">
        <is>
          <t>34 DTV 409</t>
        </is>
      </c>
      <c r="E1361" s="21" t="inlineStr">
        <is>
          <t xml:space="preserve">ONUR CANLI </t>
        </is>
      </c>
      <c r="F1361" s="23" t="n">
        <v>401920</v>
      </c>
      <c r="G1361" s="138" t="n"/>
      <c r="H1361" s="138" t="n">
        <v>359</v>
      </c>
      <c r="I1361" s="138">
        <f>+I1360+(G1361-H1361)</f>
        <v/>
      </c>
      <c r="J1361" s="139" t="n">
        <v>38.65</v>
      </c>
      <c r="K1361" s="140" t="n"/>
      <c r="L1361" s="140">
        <f>+H1361*J1361</f>
        <v/>
      </c>
      <c r="M1361" s="141">
        <f>SUM(M1360+K1361-L1361)</f>
        <v/>
      </c>
    </row>
    <row r="1362">
      <c r="A1362" s="20" t="n">
        <v>45742</v>
      </c>
      <c r="B1362" s="21" t="n">
        <v>10524</v>
      </c>
      <c r="C1362" s="22" t="inlineStr">
        <is>
          <t>SELİM İNŞAAT</t>
        </is>
      </c>
      <c r="D1362" s="21" t="inlineStr">
        <is>
          <t>34 EDB 922</t>
        </is>
      </c>
      <c r="E1362" s="21" t="inlineStr">
        <is>
          <t>AHMET TOPÇU</t>
        </is>
      </c>
      <c r="F1362" s="23" t="n">
        <v>342157</v>
      </c>
      <c r="G1362" s="138" t="n"/>
      <c r="H1362" s="138" t="n">
        <v>314</v>
      </c>
      <c r="I1362" s="138">
        <f>+I1361+(G1362-H1362)</f>
        <v/>
      </c>
      <c r="J1362" s="139" t="n">
        <v>38.65</v>
      </c>
      <c r="K1362" s="140" t="n"/>
      <c r="L1362" s="140">
        <f>+H1362*J1362</f>
        <v/>
      </c>
      <c r="M1362" s="141">
        <f>SUM(M1361+K1362-L1362)</f>
        <v/>
      </c>
    </row>
    <row r="1363">
      <c r="A1363" s="20" t="n">
        <v>45742</v>
      </c>
      <c r="B1363" s="21" t="n">
        <v>14063</v>
      </c>
      <c r="C1363" s="22" t="inlineStr">
        <is>
          <t>SELİM İNŞAAT</t>
        </is>
      </c>
      <c r="D1363" s="21" t="inlineStr">
        <is>
          <t>34 EDB 659</t>
        </is>
      </c>
      <c r="E1363" s="21" t="inlineStr">
        <is>
          <t>MEHMET SAİT ANIK</t>
        </is>
      </c>
      <c r="F1363" s="23" t="n">
        <v>323253</v>
      </c>
      <c r="G1363" s="138" t="n"/>
      <c r="H1363" s="138" t="n">
        <v>247</v>
      </c>
      <c r="I1363" s="138">
        <f>+I1362+(G1363-H1363)</f>
        <v/>
      </c>
      <c r="J1363" s="139" t="n">
        <v>38.65</v>
      </c>
      <c r="K1363" s="140" t="n"/>
      <c r="L1363" s="140">
        <f>+H1363*J1363</f>
        <v/>
      </c>
      <c r="M1363" s="141">
        <f>SUM(M1362+K1363-L1363)</f>
        <v/>
      </c>
    </row>
    <row r="1364">
      <c r="A1364" s="20" t="n">
        <v>45742</v>
      </c>
      <c r="B1364" s="21" t="n">
        <v>11630</v>
      </c>
      <c r="C1364" s="22" t="inlineStr">
        <is>
          <t>SELİM İNŞAAT</t>
        </is>
      </c>
      <c r="D1364" s="21" t="inlineStr">
        <is>
          <t>34 DTV 352</t>
        </is>
      </c>
      <c r="E1364" s="21" t="inlineStr">
        <is>
          <t xml:space="preserve">RASİM BARTU </t>
        </is>
      </c>
      <c r="F1364" s="23" t="n">
        <v>416521</v>
      </c>
      <c r="G1364" s="138" t="n"/>
      <c r="H1364" s="138" t="n">
        <v>272</v>
      </c>
      <c r="I1364" s="138">
        <f>+I1363+(G1364-H1364)</f>
        <v/>
      </c>
      <c r="J1364" s="139" t="n">
        <v>38.65</v>
      </c>
      <c r="K1364" s="140" t="n"/>
      <c r="L1364" s="140">
        <f>+H1364*J1364</f>
        <v/>
      </c>
      <c r="M1364" s="141">
        <f>SUM(M1363+K1364-L1364)</f>
        <v/>
      </c>
    </row>
    <row r="1365">
      <c r="A1365" s="20" t="n">
        <v>45742</v>
      </c>
      <c r="B1365" s="21" t="n">
        <v>11792</v>
      </c>
      <c r="C1365" s="22" t="inlineStr">
        <is>
          <t>SELİM İNŞAAT</t>
        </is>
      </c>
      <c r="D1365" s="21" t="inlineStr">
        <is>
          <t>34 EDC 086</t>
        </is>
      </c>
      <c r="E1365" s="21" t="inlineStr">
        <is>
          <t>ÖMER AĞAYAR</t>
        </is>
      </c>
      <c r="F1365" s="23" t="n">
        <v>310997</v>
      </c>
      <c r="G1365" s="138" t="n"/>
      <c r="H1365" s="138" t="n">
        <v>350</v>
      </c>
      <c r="I1365" s="138">
        <f>+I1364+(G1365-H1365)</f>
        <v/>
      </c>
      <c r="J1365" s="139" t="n">
        <v>38.65</v>
      </c>
      <c r="K1365" s="140" t="n"/>
      <c r="L1365" s="140">
        <f>+H1365*J1365</f>
        <v/>
      </c>
      <c r="M1365" s="141">
        <f>SUM(M1364+K1365-L1365)</f>
        <v/>
      </c>
    </row>
    <row r="1366">
      <c r="A1366" s="20" t="n">
        <v>45742</v>
      </c>
      <c r="B1366" s="21" t="n">
        <v>14013</v>
      </c>
      <c r="C1366" s="22" t="inlineStr">
        <is>
          <t>SELİM İNŞAAT</t>
        </is>
      </c>
      <c r="D1366" s="21" t="inlineStr">
        <is>
          <t>34 GVZ 310</t>
        </is>
      </c>
      <c r="E1366" s="21" t="inlineStr">
        <is>
          <t>CELAL YÜZBAŞI</t>
        </is>
      </c>
      <c r="F1366" s="23" t="n">
        <v>179219</v>
      </c>
      <c r="G1366" s="138" t="n"/>
      <c r="H1366" s="138" t="n">
        <v>274</v>
      </c>
      <c r="I1366" s="138">
        <f>+I1365+(G1366-H1366)</f>
        <v/>
      </c>
      <c r="J1366" s="139" t="n">
        <v>38.65</v>
      </c>
      <c r="K1366" s="140" t="n"/>
      <c r="L1366" s="140">
        <f>+H1366*J1366</f>
        <v/>
      </c>
      <c r="M1366" s="141">
        <f>SUM(M1365+K1366-L1366)</f>
        <v/>
      </c>
    </row>
    <row r="1367">
      <c r="A1367" s="20" t="n">
        <v>45742</v>
      </c>
      <c r="B1367" s="21" t="n">
        <v>10328</v>
      </c>
      <c r="C1367" s="22" t="inlineStr">
        <is>
          <t>SELİM İNŞAAT</t>
        </is>
      </c>
      <c r="D1367" s="21" t="inlineStr">
        <is>
          <t>34 EDB 829</t>
        </is>
      </c>
      <c r="E1367" s="21" t="inlineStr">
        <is>
          <t>İSMET BAYRAM</t>
        </is>
      </c>
      <c r="F1367" s="23" t="n">
        <v>301833</v>
      </c>
      <c r="G1367" s="138" t="n"/>
      <c r="H1367" s="138" t="n">
        <v>360</v>
      </c>
      <c r="I1367" s="138">
        <f>+I1366+(G1367-H1367)</f>
        <v/>
      </c>
      <c r="J1367" s="139" t="n">
        <v>38.65</v>
      </c>
      <c r="K1367" s="140" t="n"/>
      <c r="L1367" s="140">
        <f>+H1367*J1367</f>
        <v/>
      </c>
      <c r="M1367" s="141">
        <f>SUM(M1366+K1367-L1367)</f>
        <v/>
      </c>
    </row>
    <row r="1368">
      <c r="A1368" s="20" t="n">
        <v>45742</v>
      </c>
      <c r="B1368" s="21" t="n">
        <v>14509</v>
      </c>
      <c r="C1368" s="22" t="inlineStr">
        <is>
          <t>SELİM İNŞAAT</t>
        </is>
      </c>
      <c r="D1368" s="21" t="inlineStr">
        <is>
          <t>34 GER 028</t>
        </is>
      </c>
      <c r="E1368" s="21" t="inlineStr">
        <is>
          <t>A.KERİM ERGEN</t>
        </is>
      </c>
      <c r="F1368" s="23" t="n">
        <v>41318</v>
      </c>
      <c r="G1368" s="138" t="n"/>
      <c r="H1368" s="138" t="n">
        <v>151</v>
      </c>
      <c r="I1368" s="138">
        <f>+I1367+(G1368-H1368)</f>
        <v/>
      </c>
      <c r="J1368" s="139" t="n">
        <v>38.65</v>
      </c>
      <c r="K1368" s="140" t="n"/>
      <c r="L1368" s="140">
        <f>+H1368*J1368</f>
        <v/>
      </c>
      <c r="M1368" s="141">
        <f>SUM(M1367+K1368-L1368)</f>
        <v/>
      </c>
    </row>
    <row r="1369">
      <c r="A1369" s="20" t="n">
        <v>45742</v>
      </c>
      <c r="B1369" s="21" t="n">
        <v>14610</v>
      </c>
      <c r="C1369" s="22" t="inlineStr">
        <is>
          <t>SELİM İNŞAAT</t>
        </is>
      </c>
      <c r="D1369" s="21" t="inlineStr">
        <is>
          <t>34 GER 445</t>
        </is>
      </c>
      <c r="E1369" s="21" t="inlineStr">
        <is>
          <t>HASAN BAYCAN</t>
        </is>
      </c>
      <c r="F1369" s="23" t="n">
        <v>39663</v>
      </c>
      <c r="G1369" s="138" t="n"/>
      <c r="H1369" s="138" t="n">
        <v>193</v>
      </c>
      <c r="I1369" s="138">
        <f>+I1368+(G1369-H1369)</f>
        <v/>
      </c>
      <c r="J1369" s="139" t="n">
        <v>38.65</v>
      </c>
      <c r="K1369" s="140" t="n"/>
      <c r="L1369" s="140">
        <f>+H1369*J1369</f>
        <v/>
      </c>
      <c r="M1369" s="141">
        <f>SUM(M1368+K1369-L1369)</f>
        <v/>
      </c>
    </row>
    <row r="1370">
      <c r="A1370" s="20" t="n">
        <v>45742</v>
      </c>
      <c r="B1370" s="21" t="n">
        <v>10132</v>
      </c>
      <c r="C1370" s="22" t="inlineStr">
        <is>
          <t>SELİM İNŞAAT</t>
        </is>
      </c>
      <c r="D1370" s="21" t="inlineStr">
        <is>
          <t>34 DP 4161</t>
        </is>
      </c>
      <c r="E1370" s="21" t="inlineStr">
        <is>
          <t>RIFAT KARATAY</t>
        </is>
      </c>
      <c r="F1370" s="23" t="n">
        <v>280568</v>
      </c>
      <c r="G1370" s="138" t="n"/>
      <c r="H1370" s="138" t="n">
        <v>238</v>
      </c>
      <c r="I1370" s="138">
        <f>+I1369+(G1370-H1370)</f>
        <v/>
      </c>
      <c r="J1370" s="139" t="n">
        <v>38.65</v>
      </c>
      <c r="K1370" s="140" t="n"/>
      <c r="L1370" s="140">
        <f>+H1370*J1370</f>
        <v/>
      </c>
      <c r="M1370" s="141">
        <f>SUM(M1369+K1370-L1370)</f>
        <v/>
      </c>
    </row>
    <row r="1371">
      <c r="A1371" s="20" t="n">
        <v>45742</v>
      </c>
      <c r="B1371" s="21" t="n">
        <v>14354</v>
      </c>
      <c r="C1371" s="22" t="inlineStr">
        <is>
          <t>SELİM İNŞAAT</t>
        </is>
      </c>
      <c r="D1371" s="21" t="inlineStr">
        <is>
          <t>34 DKL 798</t>
        </is>
      </c>
      <c r="E1371" s="21" t="inlineStr">
        <is>
          <t>VOLKAN YANAR</t>
        </is>
      </c>
      <c r="F1371" s="23" t="n">
        <v>62700</v>
      </c>
      <c r="G1371" s="138" t="n"/>
      <c r="H1371" s="138" t="n">
        <v>164</v>
      </c>
      <c r="I1371" s="138">
        <f>+I1370+(G1371-H1371)</f>
        <v/>
      </c>
      <c r="J1371" s="139" t="n">
        <v>38.65</v>
      </c>
      <c r="K1371" s="140" t="n"/>
      <c r="L1371" s="140">
        <f>+H1371*J1371</f>
        <v/>
      </c>
      <c r="M1371" s="141">
        <f>SUM(M1370+K1371-L1371)</f>
        <v/>
      </c>
    </row>
    <row r="1372">
      <c r="A1372" s="20" t="n">
        <v>45742</v>
      </c>
      <c r="B1372" s="21" t="n">
        <v>11073</v>
      </c>
      <c r="C1372" s="22" t="inlineStr">
        <is>
          <t>SELİM İNŞAAT</t>
        </is>
      </c>
      <c r="D1372" s="21" t="inlineStr">
        <is>
          <t>34 HBT 763</t>
        </is>
      </c>
      <c r="E1372" s="21" t="inlineStr">
        <is>
          <t>EMİRCAN ÖZTÜRK</t>
        </is>
      </c>
      <c r="F1372" s="23" t="n">
        <v>14441</v>
      </c>
      <c r="G1372" s="138" t="n"/>
      <c r="H1372" s="138" t="n">
        <v>157</v>
      </c>
      <c r="I1372" s="138">
        <f>+I1371+(G1372-H1372)</f>
        <v/>
      </c>
      <c r="J1372" s="139" t="n">
        <v>38.65</v>
      </c>
      <c r="K1372" s="140" t="n"/>
      <c r="L1372" s="140">
        <f>+H1372*J1372</f>
        <v/>
      </c>
      <c r="M1372" s="141">
        <f>SUM(M1371+K1372-L1372)</f>
        <v/>
      </c>
    </row>
    <row r="1373">
      <c r="A1373" s="20" t="n">
        <v>45742</v>
      </c>
      <c r="B1373" s="21" t="n">
        <v>10870</v>
      </c>
      <c r="C1373" s="22" t="inlineStr">
        <is>
          <t>SELİM İNŞAAT</t>
        </is>
      </c>
      <c r="D1373" s="21" t="inlineStr">
        <is>
          <t>34 AR 7743</t>
        </is>
      </c>
      <c r="E1373" s="21" t="inlineStr">
        <is>
          <t>MEHMET SELİM</t>
        </is>
      </c>
      <c r="F1373" s="23" t="n">
        <v>352481</v>
      </c>
      <c r="G1373" s="138" t="n"/>
      <c r="H1373" s="138" t="n">
        <v>50</v>
      </c>
      <c r="I1373" s="138">
        <f>+I1372+(G1373-H1373)</f>
        <v/>
      </c>
      <c r="J1373" s="139" t="n">
        <v>38.65</v>
      </c>
      <c r="K1373" s="140" t="n"/>
      <c r="L1373" s="140">
        <f>+H1373*J1373</f>
        <v/>
      </c>
      <c r="M1373" s="141">
        <f>SUM(M1372+K1373-L1373)</f>
        <v/>
      </c>
    </row>
    <row r="1374">
      <c r="A1374" s="20" t="n">
        <v>45742</v>
      </c>
      <c r="B1374" s="21" t="n">
        <v>9949</v>
      </c>
      <c r="C1374" s="22" t="inlineStr">
        <is>
          <t>AHMET SELİM TEMHA</t>
        </is>
      </c>
      <c r="D1374" s="21" t="n"/>
      <c r="E1374" s="21" t="inlineStr">
        <is>
          <t>SIVACI İSMAİL</t>
        </is>
      </c>
      <c r="F1374" s="23" t="n"/>
      <c r="G1374" s="138" t="n"/>
      <c r="H1374" s="138" t="n">
        <v>20</v>
      </c>
      <c r="I1374" s="138">
        <f>+I1373+(G1374-H1374)</f>
        <v/>
      </c>
      <c r="J1374" s="139" t="n">
        <v>38.65</v>
      </c>
      <c r="K1374" s="140" t="n"/>
      <c r="L1374" s="140">
        <f>+H1374*J1374</f>
        <v/>
      </c>
      <c r="M1374" s="141">
        <f>SUM(M1373+K1374-L1374)</f>
        <v/>
      </c>
    </row>
    <row r="1375">
      <c r="A1375" s="20" t="n">
        <v>45742</v>
      </c>
      <c r="B1375" s="21" t="n">
        <v>14293</v>
      </c>
      <c r="C1375" s="22" t="inlineStr">
        <is>
          <t>SELİM İNŞAAT</t>
        </is>
      </c>
      <c r="D1375" s="21" t="inlineStr">
        <is>
          <t>SİLİNDİR</t>
        </is>
      </c>
      <c r="E1375" s="21" t="inlineStr">
        <is>
          <t>ÖNER DÜNDAR</t>
        </is>
      </c>
      <c r="F1375" s="23" t="n"/>
      <c r="G1375" s="138" t="n"/>
      <c r="H1375" s="138" t="n">
        <v>141</v>
      </c>
      <c r="I1375" s="138">
        <f>+I1374+(G1375-H1375)</f>
        <v/>
      </c>
      <c r="J1375" s="139" t="n">
        <v>38.65</v>
      </c>
      <c r="K1375" s="140" t="n"/>
      <c r="L1375" s="140">
        <f>+H1375*J1375</f>
        <v/>
      </c>
      <c r="M1375" s="141">
        <f>SUM(M1374+K1375-L1375)</f>
        <v/>
      </c>
    </row>
    <row r="1376">
      <c r="A1376" s="20" t="n">
        <v>45742</v>
      </c>
      <c r="B1376" s="1" t="n">
        <v>14297</v>
      </c>
      <c r="C1376" s="2" t="inlineStr">
        <is>
          <t>VARLIK</t>
        </is>
      </c>
      <c r="D1376" s="1" t="inlineStr">
        <is>
          <t>SM 300</t>
        </is>
      </c>
      <c r="E1376" s="1" t="inlineStr">
        <is>
          <t>TURGUT SANCAK</t>
        </is>
      </c>
      <c r="F1376" s="3" t="n"/>
      <c r="G1376" s="143" t="n"/>
      <c r="H1376" s="143" t="n">
        <v>230</v>
      </c>
      <c r="I1376" s="143">
        <f>+I1375+(G1376-H1376)</f>
        <v/>
      </c>
      <c r="J1376" s="144" t="n">
        <v>38.65</v>
      </c>
      <c r="K1376" s="145" t="n"/>
      <c r="L1376" s="140">
        <f>+H1376*J1376</f>
        <v/>
      </c>
      <c r="M1376" s="141">
        <f>SUM(M1375+K1376-L1376)</f>
        <v/>
      </c>
    </row>
    <row r="1377">
      <c r="A1377" s="20" t="n">
        <v>45742</v>
      </c>
      <c r="B1377" s="21" t="n">
        <v>14298</v>
      </c>
      <c r="C1377" s="22" t="inlineStr">
        <is>
          <t>ENES SELİM</t>
        </is>
      </c>
      <c r="D1377" s="21" t="inlineStr">
        <is>
          <t>TB 926 VİNÇ</t>
        </is>
      </c>
      <c r="E1377" s="21" t="inlineStr">
        <is>
          <t>ENES SELİM</t>
        </is>
      </c>
      <c r="F1377" s="23" t="n"/>
      <c r="G1377" s="138" t="n"/>
      <c r="H1377" s="138" t="n">
        <v>181</v>
      </c>
      <c r="I1377" s="138">
        <f>+I1376+(G1377-H1377)</f>
        <v/>
      </c>
      <c r="J1377" s="139" t="n">
        <v>38.65</v>
      </c>
      <c r="K1377" s="140" t="n"/>
      <c r="L1377" s="140">
        <f>+H1377*J1377</f>
        <v/>
      </c>
      <c r="M1377" s="141">
        <f>SUM(M1376+K1377-L1377)</f>
        <v/>
      </c>
    </row>
    <row r="1378">
      <c r="A1378" s="20" t="n">
        <v>45742</v>
      </c>
      <c r="B1378" s="1" t="n">
        <v>14299</v>
      </c>
      <c r="C1378" s="2" t="inlineStr">
        <is>
          <t>HASALTUN</t>
        </is>
      </c>
      <c r="D1378" s="1" t="inlineStr">
        <is>
          <t>SM 370</t>
        </is>
      </c>
      <c r="E1378" s="1" t="inlineStr">
        <is>
          <t>RAMAZAN KAYA</t>
        </is>
      </c>
      <c r="F1378" s="3" t="n"/>
      <c r="G1378" s="143" t="n"/>
      <c r="H1378" s="143" t="n">
        <v>410</v>
      </c>
      <c r="I1378" s="143">
        <f>+I1377+(G1378-H1378)</f>
        <v/>
      </c>
      <c r="J1378" s="144" t="n">
        <v>38.65</v>
      </c>
      <c r="K1378" s="145" t="n"/>
      <c r="L1378" s="140">
        <f>+H1378*J1378</f>
        <v/>
      </c>
      <c r="M1378" s="141">
        <f>SUM(M1377+K1378-L1378)</f>
        <v/>
      </c>
    </row>
    <row r="1379">
      <c r="A1379" s="20" t="n">
        <v>45742</v>
      </c>
      <c r="B1379" s="1" t="n">
        <v>14300</v>
      </c>
      <c r="C1379" s="2" t="inlineStr">
        <is>
          <t>HASALTUN</t>
        </is>
      </c>
      <c r="D1379" s="1" t="inlineStr">
        <is>
          <t>SM 350</t>
        </is>
      </c>
      <c r="E1379" s="1" t="inlineStr">
        <is>
          <t>TEVFİK ÖZTÜRK</t>
        </is>
      </c>
      <c r="F1379" s="3" t="n"/>
      <c r="G1379" s="143" t="n"/>
      <c r="H1379" s="143" t="n">
        <v>455</v>
      </c>
      <c r="I1379" s="143">
        <f>+I1378+(G1379-H1379)</f>
        <v/>
      </c>
      <c r="J1379" s="144" t="n">
        <v>38.65</v>
      </c>
      <c r="K1379" s="145" t="n"/>
      <c r="L1379" s="140">
        <f>+H1379*J1379</f>
        <v/>
      </c>
      <c r="M1379" s="141">
        <f>SUM(M1378+K1379-L1379)</f>
        <v/>
      </c>
    </row>
    <row r="1380">
      <c r="A1380" s="20" t="n">
        <v>45742</v>
      </c>
      <c r="B1380" s="1" t="n">
        <v>14551</v>
      </c>
      <c r="C1380" s="2" t="inlineStr">
        <is>
          <t>HASALTUN</t>
        </is>
      </c>
      <c r="D1380" s="1" t="inlineStr">
        <is>
          <t>SM 350</t>
        </is>
      </c>
      <c r="E1380" s="1" t="inlineStr">
        <is>
          <t>BAYRAM SANCAK</t>
        </is>
      </c>
      <c r="F1380" s="3" t="n"/>
      <c r="G1380" s="143" t="n"/>
      <c r="H1380" s="143" t="n">
        <v>338</v>
      </c>
      <c r="I1380" s="143">
        <f>+I1379+(G1380-H1380)</f>
        <v/>
      </c>
      <c r="J1380" s="144" t="n">
        <v>38.65</v>
      </c>
      <c r="K1380" s="145" t="n"/>
      <c r="L1380" s="140">
        <f>+H1380*J1380</f>
        <v/>
      </c>
      <c r="M1380" s="141">
        <f>SUM(M1379+K1380-L1380)</f>
        <v/>
      </c>
    </row>
    <row r="1381">
      <c r="A1381" s="20" t="n">
        <v>45742</v>
      </c>
      <c r="B1381" s="1" t="n">
        <v>14552</v>
      </c>
      <c r="C1381" s="2" t="inlineStr">
        <is>
          <t>HASALTUN</t>
        </is>
      </c>
      <c r="D1381" s="1" t="inlineStr">
        <is>
          <t>KAVAZAKİ</t>
        </is>
      </c>
      <c r="E1381" s="1" t="inlineStr">
        <is>
          <t>UFUK SEVAL</t>
        </is>
      </c>
      <c r="F1381" s="3" t="n"/>
      <c r="G1381" s="143" t="n"/>
      <c r="H1381" s="143" t="n">
        <v>174</v>
      </c>
      <c r="I1381" s="143">
        <f>+I1380+(G1381-H1381)</f>
        <v/>
      </c>
      <c r="J1381" s="144" t="n">
        <v>38.65</v>
      </c>
      <c r="K1381" s="145" t="n"/>
      <c r="L1381" s="140">
        <f>+H1381*J1381</f>
        <v/>
      </c>
      <c r="M1381" s="141">
        <f>SUM(M1380+K1381-L1381)</f>
        <v/>
      </c>
    </row>
    <row r="1382">
      <c r="A1382" s="20" t="n">
        <v>45743</v>
      </c>
      <c r="B1382" s="21" t="n">
        <v>14162</v>
      </c>
      <c r="C1382" s="22" t="inlineStr">
        <is>
          <t>AZGÜN YAPI</t>
        </is>
      </c>
      <c r="D1382" s="21" t="inlineStr">
        <is>
          <t>34 DTV 263</t>
        </is>
      </c>
      <c r="E1382" s="21" t="inlineStr">
        <is>
          <t>EDİP TORLAK</t>
        </is>
      </c>
      <c r="F1382" s="23" t="n">
        <v>367577</v>
      </c>
      <c r="G1382" s="138" t="n"/>
      <c r="H1382" s="138" t="n">
        <v>357</v>
      </c>
      <c r="I1382" s="138">
        <f>+I1381+(G1382-H1382)</f>
        <v/>
      </c>
      <c r="J1382" s="139" t="n">
        <v>38.65</v>
      </c>
      <c r="K1382" s="140" t="n"/>
      <c r="L1382" s="140">
        <f>+H1382*J1382</f>
        <v/>
      </c>
      <c r="M1382" s="141">
        <f>SUM(M1381+K1382-L1382)</f>
        <v/>
      </c>
    </row>
    <row r="1383">
      <c r="A1383" s="20" t="n">
        <v>45743</v>
      </c>
      <c r="B1383" s="21" t="n">
        <v>11472</v>
      </c>
      <c r="C1383" s="22" t="inlineStr">
        <is>
          <t>METİN ŞİRİN</t>
        </is>
      </c>
      <c r="D1383" s="21" t="inlineStr">
        <is>
          <t>34 EGR 922</t>
        </is>
      </c>
      <c r="E1383" s="21" t="inlineStr">
        <is>
          <t>GÜRAY KOYUNCU</t>
        </is>
      </c>
      <c r="F1383" s="23" t="n">
        <v>441807</v>
      </c>
      <c r="G1383" s="138" t="n"/>
      <c r="H1383" s="138" t="n">
        <v>425</v>
      </c>
      <c r="I1383" s="138">
        <f>+I1382+(G1383-H1383)</f>
        <v/>
      </c>
      <c r="J1383" s="139" t="n">
        <v>38.65</v>
      </c>
      <c r="K1383" s="140" t="n"/>
      <c r="L1383" s="140">
        <f>+H1383*J1383</f>
        <v/>
      </c>
      <c r="M1383" s="141">
        <f>SUM(M1382+K1383-L1383)</f>
        <v/>
      </c>
    </row>
    <row r="1384">
      <c r="A1384" s="20" t="n">
        <v>45743</v>
      </c>
      <c r="B1384" s="21" t="n">
        <v>21548</v>
      </c>
      <c r="C1384" s="22" t="inlineStr">
        <is>
          <t>SELİM İNŞAAT</t>
        </is>
      </c>
      <c r="D1384" s="21" t="inlineStr">
        <is>
          <t>34 GVZ 745</t>
        </is>
      </c>
      <c r="E1384" s="21" t="inlineStr">
        <is>
          <t>MUHAMMED YİĞİT</t>
        </is>
      </c>
      <c r="F1384" s="23" t="n">
        <v>170614</v>
      </c>
      <c r="G1384" s="138" t="n"/>
      <c r="H1384" s="138" t="n">
        <v>328</v>
      </c>
      <c r="I1384" s="138">
        <f>+I1383+(G1384-H1384)</f>
        <v/>
      </c>
      <c r="J1384" s="139" t="n">
        <v>38.65</v>
      </c>
      <c r="K1384" s="140" t="n"/>
      <c r="L1384" s="140">
        <f>+H1384*J1384</f>
        <v/>
      </c>
      <c r="M1384" s="141">
        <f>SUM(M1383+K1384-L1384)</f>
        <v/>
      </c>
    </row>
    <row r="1385">
      <c r="A1385" s="20" t="n">
        <v>45743</v>
      </c>
      <c r="B1385" s="21" t="n">
        <v>10692</v>
      </c>
      <c r="C1385" s="22" t="inlineStr">
        <is>
          <t>SELİM İNŞAAT</t>
        </is>
      </c>
      <c r="D1385" s="21" t="inlineStr">
        <is>
          <t>34 DTV 599</t>
        </is>
      </c>
      <c r="E1385" s="21" t="inlineStr">
        <is>
          <t>FERHAT GÜRLER</t>
        </is>
      </c>
      <c r="F1385" s="23" t="n">
        <v>416697</v>
      </c>
      <c r="G1385" s="138" t="n"/>
      <c r="H1385" s="138" t="n">
        <v>398</v>
      </c>
      <c r="I1385" s="138">
        <f>+I1384+(G1385-H1385)</f>
        <v/>
      </c>
      <c r="J1385" s="139" t="n">
        <v>38.65</v>
      </c>
      <c r="K1385" s="140" t="n"/>
      <c r="L1385" s="140">
        <f>+H1385*J1385</f>
        <v/>
      </c>
      <c r="M1385" s="141">
        <f>SUM(M1384+K1385-L1385)</f>
        <v/>
      </c>
    </row>
    <row r="1386">
      <c r="A1386" s="20" t="n">
        <v>45743</v>
      </c>
      <c r="B1386" s="21" t="n">
        <v>10182</v>
      </c>
      <c r="C1386" s="22" t="inlineStr">
        <is>
          <t>SELİM İNŞAAT</t>
        </is>
      </c>
      <c r="D1386" s="21" t="inlineStr">
        <is>
          <t>34 EGR 736</t>
        </is>
      </c>
      <c r="E1386" s="21" t="inlineStr">
        <is>
          <t>MUHAMMER ÇAMLI</t>
        </is>
      </c>
      <c r="F1386" s="23" t="n">
        <v>370887</v>
      </c>
      <c r="G1386" s="138" t="n"/>
      <c r="H1386" s="138" t="n">
        <v>377</v>
      </c>
      <c r="I1386" s="138">
        <f>+I1385+(G1386-H1386)</f>
        <v/>
      </c>
      <c r="J1386" s="139" t="n">
        <v>38.65</v>
      </c>
      <c r="K1386" s="140" t="n"/>
      <c r="L1386" s="140">
        <f>+H1386*J1386</f>
        <v/>
      </c>
      <c r="M1386" s="141">
        <f>SUM(M1385+K1386-L1386)</f>
        <v/>
      </c>
    </row>
    <row r="1387">
      <c r="A1387" s="20" t="n">
        <v>45743</v>
      </c>
      <c r="B1387" s="21" t="n">
        <v>14462</v>
      </c>
      <c r="C1387" s="22" t="inlineStr">
        <is>
          <t>SELİM İNŞAAT</t>
        </is>
      </c>
      <c r="D1387" s="21" t="inlineStr">
        <is>
          <t>34 GUS 848</t>
        </is>
      </c>
      <c r="E1387" s="21" t="inlineStr">
        <is>
          <t>SERDAR BOZKURT</t>
        </is>
      </c>
      <c r="F1387" s="23" t="n">
        <v>174172</v>
      </c>
      <c r="G1387" s="138" t="n"/>
      <c r="H1387" s="138" t="n">
        <v>321</v>
      </c>
      <c r="I1387" s="138">
        <f>+I1386+(G1387-H1387)</f>
        <v/>
      </c>
      <c r="J1387" s="139" t="n">
        <v>38.65</v>
      </c>
      <c r="K1387" s="140" t="n"/>
      <c r="L1387" s="140">
        <f>+H1387*J1387</f>
        <v/>
      </c>
      <c r="M1387" s="141">
        <f>SUM(M1386+K1387-L1387)</f>
        <v/>
      </c>
    </row>
    <row r="1388">
      <c r="A1388" s="20" t="n">
        <v>45743</v>
      </c>
      <c r="B1388" s="21" t="n">
        <v>11818</v>
      </c>
      <c r="C1388" s="22" t="inlineStr">
        <is>
          <t>SELİM İNŞAAT</t>
        </is>
      </c>
      <c r="D1388" s="21" t="inlineStr">
        <is>
          <t>34 FSG 229</t>
        </is>
      </c>
      <c r="E1388" s="21" t="inlineStr">
        <is>
          <t>SİNAN TANRIVERDİ</t>
        </is>
      </c>
      <c r="F1388" s="23" t="n">
        <v>240814</v>
      </c>
      <c r="G1388" s="138" t="n"/>
      <c r="H1388" s="138" t="n">
        <v>411</v>
      </c>
      <c r="I1388" s="138">
        <f>+I1387+(G1388-H1388)</f>
        <v/>
      </c>
      <c r="J1388" s="139" t="n">
        <v>38.65</v>
      </c>
      <c r="K1388" s="140" t="n"/>
      <c r="L1388" s="140">
        <f>+H1388*J1388</f>
        <v/>
      </c>
      <c r="M1388" s="141">
        <f>SUM(M1387+K1388-L1388)</f>
        <v/>
      </c>
    </row>
    <row r="1389">
      <c r="A1389" s="20" t="n">
        <v>45743</v>
      </c>
      <c r="B1389" s="21" t="n">
        <v>11818</v>
      </c>
      <c r="C1389" s="22" t="inlineStr">
        <is>
          <t>SELİM İNŞAAT</t>
        </is>
      </c>
      <c r="D1389" s="21" t="inlineStr">
        <is>
          <t>34 FSG 229</t>
        </is>
      </c>
      <c r="E1389" s="21" t="inlineStr">
        <is>
          <t>SİNAN TANRIVERDİ</t>
        </is>
      </c>
      <c r="F1389" s="23" t="n">
        <v>240814</v>
      </c>
      <c r="G1389" s="138" t="n"/>
      <c r="H1389" s="138" t="n">
        <v>411</v>
      </c>
      <c r="I1389" s="138">
        <f>+I1388+(G1389-H1389)</f>
        <v/>
      </c>
      <c r="J1389" s="139" t="n">
        <v>38.65</v>
      </c>
      <c r="K1389" s="140" t="n"/>
      <c r="L1389" s="140">
        <f>+H1389*J1389</f>
        <v/>
      </c>
      <c r="M1389" s="141">
        <f>SUM(M1388+K1389-L1389)</f>
        <v/>
      </c>
    </row>
    <row r="1390">
      <c r="A1390" s="20" t="n">
        <v>45743</v>
      </c>
      <c r="B1390" s="21" t="n">
        <v>10775</v>
      </c>
      <c r="C1390" s="22" t="inlineStr">
        <is>
          <t>SELİM İNŞAAT</t>
        </is>
      </c>
      <c r="D1390" s="21" t="inlineStr">
        <is>
          <t>34 FBR 705</t>
        </is>
      </c>
      <c r="E1390" s="21" t="inlineStr">
        <is>
          <t>MESUT GÜRLER</t>
        </is>
      </c>
      <c r="F1390" s="23" t="n">
        <v>296722</v>
      </c>
      <c r="G1390" s="138" t="n"/>
      <c r="H1390" s="138" t="n">
        <v>215</v>
      </c>
      <c r="I1390" s="138">
        <f>+I1389+(G1390-H1390)</f>
        <v/>
      </c>
      <c r="J1390" s="139" t="n">
        <v>38.65</v>
      </c>
      <c r="K1390" s="140" t="n"/>
      <c r="L1390" s="140">
        <f>+H1390*J1390</f>
        <v/>
      </c>
      <c r="M1390" s="141">
        <f>SUM(M1389+K1390-L1390)</f>
        <v/>
      </c>
    </row>
    <row r="1391">
      <c r="A1391" s="20" t="n">
        <v>45743</v>
      </c>
      <c r="B1391" s="21" t="n">
        <v>11921</v>
      </c>
      <c r="C1391" s="22" t="inlineStr">
        <is>
          <t>SELİM İNŞAAT</t>
        </is>
      </c>
      <c r="D1391" s="21" t="inlineStr">
        <is>
          <t>34 FBR 742</t>
        </is>
      </c>
      <c r="E1391" s="21" t="inlineStr">
        <is>
          <t>MİKAİL BAYILMAZ</t>
        </is>
      </c>
      <c r="F1391" s="23" t="n">
        <v>301231</v>
      </c>
      <c r="G1391" s="138" t="n"/>
      <c r="H1391" s="138" t="n">
        <v>478</v>
      </c>
      <c r="I1391" s="138">
        <f>+I1390+(G1391-H1391)</f>
        <v/>
      </c>
      <c r="J1391" s="139" t="n">
        <v>38.65</v>
      </c>
      <c r="K1391" s="140" t="n"/>
      <c r="L1391" s="140">
        <f>+H1391*J1391</f>
        <v/>
      </c>
      <c r="M1391" s="141">
        <f>SUM(M1390+K1391-L1391)</f>
        <v/>
      </c>
    </row>
    <row r="1392">
      <c r="A1392" s="20" t="n">
        <v>45743</v>
      </c>
      <c r="B1392" s="21" t="n">
        <v>11205</v>
      </c>
      <c r="C1392" s="22" t="inlineStr">
        <is>
          <t>SELİM İNŞAAT</t>
        </is>
      </c>
      <c r="D1392" s="21" t="inlineStr">
        <is>
          <t>34 DSN 636</t>
        </is>
      </c>
      <c r="E1392" s="21" t="inlineStr">
        <is>
          <t>EMİN PARLAKKILIÇ</t>
        </is>
      </c>
      <c r="F1392" s="23" t="n">
        <v>374318</v>
      </c>
      <c r="G1392" s="138" t="n"/>
      <c r="H1392" s="138" t="n">
        <v>404</v>
      </c>
      <c r="I1392" s="138">
        <f>+I1391+(G1392-H1392)</f>
        <v/>
      </c>
      <c r="J1392" s="139" t="n">
        <v>38.65</v>
      </c>
      <c r="K1392" s="140" t="n"/>
      <c r="L1392" s="140">
        <f>+H1392*J1392</f>
        <v/>
      </c>
      <c r="M1392" s="141">
        <f>SUM(M1391+K1392-L1392)</f>
        <v/>
      </c>
    </row>
    <row r="1393">
      <c r="A1393" s="20" t="n">
        <v>45743</v>
      </c>
      <c r="B1393" s="21" t="n">
        <v>14109</v>
      </c>
      <c r="C1393" s="22" t="inlineStr">
        <is>
          <t>SELİM İNŞAAT</t>
        </is>
      </c>
      <c r="D1393" s="21" t="inlineStr">
        <is>
          <t>34 DSN 536</t>
        </is>
      </c>
      <c r="E1393" s="21" t="inlineStr">
        <is>
          <t>DURSUN ALİ GÜREK</t>
        </is>
      </c>
      <c r="F1393" s="23" t="n">
        <v>387721</v>
      </c>
      <c r="G1393" s="138" t="n"/>
      <c r="H1393" s="138" t="n">
        <v>372</v>
      </c>
      <c r="I1393" s="138">
        <f>+I1392+(G1393-H1393)</f>
        <v/>
      </c>
      <c r="J1393" s="139" t="n">
        <v>38.65</v>
      </c>
      <c r="K1393" s="140" t="n"/>
      <c r="L1393" s="140">
        <f>+H1393*J1393</f>
        <v/>
      </c>
      <c r="M1393" s="141">
        <f>SUM(M1392+K1393-L1393)</f>
        <v/>
      </c>
    </row>
    <row r="1394">
      <c r="A1394" s="20" t="n">
        <v>45743</v>
      </c>
      <c r="B1394" s="21" t="n">
        <v>11728</v>
      </c>
      <c r="C1394" s="22" t="inlineStr">
        <is>
          <t>SELİM İNŞAAT</t>
        </is>
      </c>
      <c r="D1394" s="21" t="inlineStr">
        <is>
          <t>34 EDB 559</t>
        </is>
      </c>
      <c r="E1394" s="21" t="inlineStr">
        <is>
          <t>CEM MUHTAR</t>
        </is>
      </c>
      <c r="F1394" s="23" t="n">
        <v>312102</v>
      </c>
      <c r="G1394" s="138" t="n"/>
      <c r="H1394" s="138" t="n">
        <v>200</v>
      </c>
      <c r="I1394" s="138">
        <f>+I1393+(G1394-H1394)</f>
        <v/>
      </c>
      <c r="J1394" s="139" t="n">
        <v>38.65</v>
      </c>
      <c r="K1394" s="140" t="n"/>
      <c r="L1394" s="140">
        <f>+H1394*J1394</f>
        <v/>
      </c>
      <c r="M1394" s="141">
        <f>SUM(M1393+K1394-L1394)</f>
        <v/>
      </c>
    </row>
    <row r="1395">
      <c r="A1395" s="20" t="n">
        <v>45743</v>
      </c>
      <c r="B1395" s="21" t="n">
        <v>14408</v>
      </c>
      <c r="C1395" s="22" t="inlineStr">
        <is>
          <t>SELİM İNŞAAT</t>
        </is>
      </c>
      <c r="D1395" s="21" t="inlineStr">
        <is>
          <t>34 EGR 737</t>
        </is>
      </c>
      <c r="E1395" s="21" t="inlineStr">
        <is>
          <t>İBRAHİM GÜNASLAN</t>
        </is>
      </c>
      <c r="F1395" s="23" t="n">
        <v>400420</v>
      </c>
      <c r="G1395" s="138" t="n"/>
      <c r="H1395" s="138" t="n">
        <v>438</v>
      </c>
      <c r="I1395" s="138">
        <f>+I1394+(G1395-H1395)</f>
        <v/>
      </c>
      <c r="J1395" s="139" t="n">
        <v>38.65</v>
      </c>
      <c r="K1395" s="140" t="n"/>
      <c r="L1395" s="140">
        <f>+H1395*J1395</f>
        <v/>
      </c>
      <c r="M1395" s="141">
        <f>SUM(M1394+K1395-L1395)</f>
        <v/>
      </c>
    </row>
    <row r="1396">
      <c r="A1396" s="20" t="n">
        <v>45743</v>
      </c>
      <c r="B1396" s="21" t="n">
        <v>10069</v>
      </c>
      <c r="C1396" s="22" t="inlineStr">
        <is>
          <t>SELİM İNŞAAT</t>
        </is>
      </c>
      <c r="D1396" s="21" t="inlineStr">
        <is>
          <t>34 FBR 771</t>
        </is>
      </c>
      <c r="E1396" s="21" t="inlineStr">
        <is>
          <t>HÜSEYİN AKÇİN</t>
        </is>
      </c>
      <c r="F1396" s="23" t="n">
        <v>299779</v>
      </c>
      <c r="G1396" s="138" t="n"/>
      <c r="H1396" s="138" t="n">
        <v>258</v>
      </c>
      <c r="I1396" s="138">
        <f>+I1395+(G1396-H1396)</f>
        <v/>
      </c>
      <c r="J1396" s="139" t="n">
        <v>38.65</v>
      </c>
      <c r="K1396" s="140" t="n"/>
      <c r="L1396" s="140">
        <f>+H1396*J1396</f>
        <v/>
      </c>
      <c r="M1396" s="141">
        <f>SUM(M1395+K1396-L1396)</f>
        <v/>
      </c>
    </row>
    <row r="1397">
      <c r="A1397" s="20" t="n">
        <v>45743</v>
      </c>
      <c r="B1397" s="21" t="n">
        <v>14312</v>
      </c>
      <c r="C1397" s="22" t="inlineStr">
        <is>
          <t>SELİM İNŞAAT</t>
        </is>
      </c>
      <c r="D1397" s="21" t="inlineStr">
        <is>
          <t>34 DKL 866</t>
        </is>
      </c>
      <c r="E1397" s="21" t="inlineStr">
        <is>
          <t>SELİM CAN ÖNVER</t>
        </is>
      </c>
      <c r="F1397" s="23" t="n">
        <v>62723</v>
      </c>
      <c r="G1397" s="138" t="n"/>
      <c r="H1397" s="138" t="n">
        <v>243</v>
      </c>
      <c r="I1397" s="138">
        <f>+I1396+(G1397-H1397)</f>
        <v/>
      </c>
      <c r="J1397" s="139" t="n">
        <v>38.65</v>
      </c>
      <c r="K1397" s="140" t="n"/>
      <c r="L1397" s="140">
        <f>+H1397*J1397</f>
        <v/>
      </c>
      <c r="M1397" s="141">
        <f>SUM(M1396+K1397-L1397)</f>
        <v/>
      </c>
    </row>
    <row r="1398">
      <c r="A1398" s="20" t="n">
        <v>45743</v>
      </c>
      <c r="B1398" s="21" t="n">
        <v>14355</v>
      </c>
      <c r="C1398" s="22" t="inlineStr">
        <is>
          <t>SELİM İNŞAAT</t>
        </is>
      </c>
      <c r="D1398" s="21" t="inlineStr">
        <is>
          <t>34 DKL 798</t>
        </is>
      </c>
      <c r="E1398" s="21" t="inlineStr">
        <is>
          <t>VOLKAN YANAR</t>
        </is>
      </c>
      <c r="F1398" s="23" t="n">
        <v>62779</v>
      </c>
      <c r="G1398" s="138" t="n"/>
      <c r="H1398" s="138" t="n">
        <v>128</v>
      </c>
      <c r="I1398" s="138">
        <f>+I1397+(G1398-H1398)</f>
        <v/>
      </c>
      <c r="J1398" s="139" t="n">
        <v>38.65</v>
      </c>
      <c r="K1398" s="140" t="n"/>
      <c r="L1398" s="140">
        <f>+H1398*J1398</f>
        <v/>
      </c>
      <c r="M1398" s="141">
        <f>SUM(M1397+K1398-L1398)</f>
        <v/>
      </c>
    </row>
    <row r="1399">
      <c r="A1399" s="20" t="n">
        <v>45743</v>
      </c>
      <c r="B1399" s="21" t="n">
        <v>11074</v>
      </c>
      <c r="C1399" s="22" t="inlineStr">
        <is>
          <t>SELİM İNŞAAT</t>
        </is>
      </c>
      <c r="D1399" s="21" t="inlineStr">
        <is>
          <t>34 HBT 763</t>
        </is>
      </c>
      <c r="E1399" s="21" t="inlineStr">
        <is>
          <t>EMİRCAN ÖZTÜRK</t>
        </is>
      </c>
      <c r="F1399" s="23" t="n">
        <v>14504</v>
      </c>
      <c r="G1399" s="138" t="n"/>
      <c r="H1399" s="138" t="n">
        <v>108</v>
      </c>
      <c r="I1399" s="138">
        <f>+I1398+(G1399-H1399)</f>
        <v/>
      </c>
      <c r="J1399" s="139" t="n">
        <v>38.65</v>
      </c>
      <c r="K1399" s="140" t="n"/>
      <c r="L1399" s="140">
        <f>+H1399*J1399</f>
        <v/>
      </c>
      <c r="M1399" s="141">
        <f>SUM(M1398+K1399-L1399)</f>
        <v/>
      </c>
    </row>
    <row r="1400">
      <c r="A1400" s="20" t="n">
        <v>45743</v>
      </c>
      <c r="B1400" s="21" t="n">
        <v>21313</v>
      </c>
      <c r="C1400" s="22" t="inlineStr">
        <is>
          <t>SELİM İNŞAAT</t>
        </is>
      </c>
      <c r="D1400" s="21" t="inlineStr">
        <is>
          <t>34 FEM 934</t>
        </is>
      </c>
      <c r="E1400" s="21" t="inlineStr">
        <is>
          <t>RECEP SELİM</t>
        </is>
      </c>
      <c r="F1400" s="23" t="n">
        <v>302716</v>
      </c>
      <c r="G1400" s="138" t="n"/>
      <c r="H1400" s="138" t="n">
        <v>80</v>
      </c>
      <c r="I1400" s="138">
        <f>+I1399+(G1400-H1400)</f>
        <v/>
      </c>
      <c r="J1400" s="139" t="n">
        <v>38.65</v>
      </c>
      <c r="K1400" s="140" t="n"/>
      <c r="L1400" s="140">
        <f>+H1400*J1400</f>
        <v/>
      </c>
      <c r="M1400" s="141">
        <f>SUM(M1399+K1400-L1400)</f>
        <v/>
      </c>
    </row>
    <row r="1401">
      <c r="A1401" s="20" t="n">
        <v>45743</v>
      </c>
      <c r="B1401" s="21" t="n">
        <v>9950</v>
      </c>
      <c r="C1401" s="22" t="inlineStr">
        <is>
          <t>AHMET SELİM TEMHA</t>
        </is>
      </c>
      <c r="D1401" s="21" t="inlineStr">
        <is>
          <t>34 DGE 422</t>
        </is>
      </c>
      <c r="E1401" s="21" t="inlineStr">
        <is>
          <t>CEMAL AKDAMAR</t>
        </is>
      </c>
      <c r="F1401" s="23" t="n"/>
      <c r="G1401" s="138" t="n"/>
      <c r="H1401" s="138" t="n">
        <v>52</v>
      </c>
      <c r="I1401" s="138">
        <f>+I1400+(G1401-H1401)</f>
        <v/>
      </c>
      <c r="J1401" s="139" t="n">
        <v>38.65</v>
      </c>
      <c r="K1401" s="140" t="n"/>
      <c r="L1401" s="140">
        <f>+H1401*J1401</f>
        <v/>
      </c>
      <c r="M1401" s="141">
        <f>SUM(M1400+K1401-L1401)</f>
        <v/>
      </c>
    </row>
    <row r="1402">
      <c r="A1402" s="20" t="n">
        <v>45743</v>
      </c>
      <c r="B1402" s="1" t="n">
        <v>14553</v>
      </c>
      <c r="C1402" s="2" t="inlineStr">
        <is>
          <t>HASALTUN</t>
        </is>
      </c>
      <c r="D1402" s="1" t="inlineStr">
        <is>
          <t>SM 350</t>
        </is>
      </c>
      <c r="E1402" s="1" t="inlineStr">
        <is>
          <t>TEVFİK ÖZTÜRK</t>
        </is>
      </c>
      <c r="F1402" s="3" t="n"/>
      <c r="G1402" s="143" t="n"/>
      <c r="H1402" s="143" t="n">
        <v>177</v>
      </c>
      <c r="I1402" s="143">
        <f>+I1401+(G1402-H1402)</f>
        <v/>
      </c>
      <c r="J1402" s="144" t="n">
        <v>38.65</v>
      </c>
      <c r="K1402" s="145" t="n"/>
      <c r="L1402" s="140">
        <f>+H1402*J1402</f>
        <v/>
      </c>
      <c r="M1402" s="141">
        <f>SUM(M1401+K1402-L1402)</f>
        <v/>
      </c>
    </row>
    <row r="1403">
      <c r="A1403" s="20" t="n">
        <v>45743</v>
      </c>
      <c r="B1403" s="1" t="n">
        <v>14554</v>
      </c>
      <c r="C1403" s="2" t="inlineStr">
        <is>
          <t>HASALTUN</t>
        </is>
      </c>
      <c r="D1403" s="1" t="inlineStr">
        <is>
          <t>SM 370</t>
        </is>
      </c>
      <c r="E1403" s="1" t="inlineStr">
        <is>
          <t>RAMAZAN KAYA</t>
        </is>
      </c>
      <c r="F1403" s="3" t="n"/>
      <c r="G1403" s="143" t="n"/>
      <c r="H1403" s="143" t="n">
        <v>476</v>
      </c>
      <c r="I1403" s="143">
        <f>+I1402+(G1403-H1403)</f>
        <v/>
      </c>
      <c r="J1403" s="144" t="n">
        <v>38.65</v>
      </c>
      <c r="K1403" s="145" t="n"/>
      <c r="L1403" s="140">
        <f>+H1403*J1403</f>
        <v/>
      </c>
      <c r="M1403" s="141">
        <f>SUM(M1402+K1403-L1403)</f>
        <v/>
      </c>
    </row>
    <row r="1404">
      <c r="A1404" s="20" t="n">
        <v>45743</v>
      </c>
      <c r="B1404" s="1" t="n">
        <v>14555</v>
      </c>
      <c r="C1404" s="2" t="inlineStr">
        <is>
          <t>VARLIK</t>
        </is>
      </c>
      <c r="D1404" s="1" t="inlineStr">
        <is>
          <t>SM 300</t>
        </is>
      </c>
      <c r="E1404" s="1" t="inlineStr">
        <is>
          <t>TURGUT SANCAK</t>
        </is>
      </c>
      <c r="F1404" s="3" t="n"/>
      <c r="G1404" s="143" t="n"/>
      <c r="H1404" s="143" t="n">
        <v>315</v>
      </c>
      <c r="I1404" s="143">
        <f>+I1403+(G1404-H1404)</f>
        <v/>
      </c>
      <c r="J1404" s="144" t="n">
        <v>38.65</v>
      </c>
      <c r="K1404" s="145" t="n"/>
      <c r="L1404" s="140">
        <f>+H1404*J1404</f>
        <v/>
      </c>
      <c r="M1404" s="141">
        <f>SUM(M1403+K1404-L1404)</f>
        <v/>
      </c>
    </row>
    <row r="1405">
      <c r="A1405" s="20" t="n">
        <v>45743</v>
      </c>
      <c r="B1405" s="1" t="n">
        <v>14556</v>
      </c>
      <c r="C1405" s="2" t="inlineStr">
        <is>
          <t>VARLIK</t>
        </is>
      </c>
      <c r="D1405" s="1" t="inlineStr">
        <is>
          <t>KAVAZAKİ</t>
        </is>
      </c>
      <c r="E1405" s="1" t="inlineStr">
        <is>
          <t>UFUK SEVAL</t>
        </is>
      </c>
      <c r="F1405" s="3" t="n"/>
      <c r="G1405" s="143" t="n"/>
      <c r="H1405" s="143" t="n">
        <v>108</v>
      </c>
      <c r="I1405" s="143">
        <f>+I1404+(G1405-H1405)</f>
        <v/>
      </c>
      <c r="J1405" s="144" t="n">
        <v>38.65</v>
      </c>
      <c r="K1405" s="145" t="n"/>
      <c r="L1405" s="140">
        <f>+H1405*J1405</f>
        <v/>
      </c>
      <c r="M1405" s="141">
        <f>SUM(M1404+K1405-L1405)</f>
        <v/>
      </c>
    </row>
    <row r="1406">
      <c r="A1406" s="20" t="n">
        <v>45743</v>
      </c>
      <c r="B1406" s="1" t="n">
        <v>14557</v>
      </c>
      <c r="C1406" s="2" t="inlineStr">
        <is>
          <t>HASALTUN</t>
        </is>
      </c>
      <c r="D1406" s="1" t="inlineStr">
        <is>
          <t>SM 350</t>
        </is>
      </c>
      <c r="E1406" s="1" t="inlineStr">
        <is>
          <t>TEVFİK ÖZTÜRK</t>
        </is>
      </c>
      <c r="F1406" s="3" t="n"/>
      <c r="G1406" s="143" t="n"/>
      <c r="H1406" s="143" t="n">
        <v>368</v>
      </c>
      <c r="I1406" s="143">
        <f>+I1405+(G1406-H1406)</f>
        <v/>
      </c>
      <c r="J1406" s="144" t="n">
        <v>38.65</v>
      </c>
      <c r="K1406" s="145" t="n"/>
      <c r="L1406" s="140">
        <f>+H1406*J1406</f>
        <v/>
      </c>
      <c r="M1406" s="141">
        <f>SUM(M1405+K1406-L1406)</f>
        <v/>
      </c>
    </row>
    <row r="1407">
      <c r="A1407" s="20" t="n">
        <v>45743</v>
      </c>
      <c r="B1407" s="1" t="n">
        <v>14558</v>
      </c>
      <c r="C1407" s="2" t="inlineStr">
        <is>
          <t>HASALTUN VARLIK</t>
        </is>
      </c>
      <c r="D1407" s="1" t="inlineStr">
        <is>
          <t>SM 350</t>
        </is>
      </c>
      <c r="E1407" s="1" t="inlineStr">
        <is>
          <t>TURGUT SANCAK</t>
        </is>
      </c>
      <c r="F1407" s="3" t="n"/>
      <c r="G1407" s="143" t="n"/>
      <c r="H1407" s="143" t="n">
        <v>318</v>
      </c>
      <c r="I1407" s="143">
        <f>+I1406+(G1407-H1407)</f>
        <v/>
      </c>
      <c r="J1407" s="144" t="n">
        <v>38.65</v>
      </c>
      <c r="K1407" s="145" t="n"/>
      <c r="L1407" s="140">
        <f>+H1407*J1407</f>
        <v/>
      </c>
      <c r="M1407" s="141">
        <f>SUM(M1406+K1407-L1407)</f>
        <v/>
      </c>
    </row>
    <row r="1408">
      <c r="A1408" s="20" t="n">
        <v>45744</v>
      </c>
      <c r="B1408" s="21" t="n">
        <v>11318</v>
      </c>
      <c r="C1408" s="22" t="inlineStr">
        <is>
          <t>AZGÜN YAPI</t>
        </is>
      </c>
      <c r="D1408" s="21" t="inlineStr">
        <is>
          <t>34 MKT 859</t>
        </is>
      </c>
      <c r="E1408" s="21" t="inlineStr">
        <is>
          <t>HASAN ALTUN</t>
        </is>
      </c>
      <c r="F1408" s="23" t="n">
        <v>23126</v>
      </c>
      <c r="G1408" s="138" t="n"/>
      <c r="H1408" s="138" t="n">
        <v>884</v>
      </c>
      <c r="I1408" s="138">
        <f>+I1407+(G1408-H1408)</f>
        <v/>
      </c>
      <c r="J1408" s="139" t="n">
        <v>38.65</v>
      </c>
      <c r="K1408" s="140" t="n"/>
      <c r="L1408" s="140">
        <f>+H1408*J1408</f>
        <v/>
      </c>
      <c r="M1408" s="141">
        <f>SUM(M1407+K1408-L1408)</f>
        <v/>
      </c>
    </row>
    <row r="1409">
      <c r="A1409" s="20" t="n">
        <v>45744</v>
      </c>
      <c r="B1409" s="21" t="n">
        <v>10034</v>
      </c>
      <c r="C1409" s="22" t="inlineStr">
        <is>
          <t>METİN ERYİĞİT</t>
        </is>
      </c>
      <c r="D1409" s="21" t="inlineStr">
        <is>
          <t>34 EGS 013</t>
        </is>
      </c>
      <c r="E1409" s="21" t="inlineStr">
        <is>
          <t>UĞUR DUMAN</t>
        </is>
      </c>
      <c r="F1409" s="23" t="n">
        <v>471841</v>
      </c>
      <c r="G1409" s="138" t="n"/>
      <c r="H1409" s="138" t="n">
        <v>416</v>
      </c>
      <c r="I1409" s="138">
        <f>+I1408+(G1409-H1409)</f>
        <v/>
      </c>
      <c r="J1409" s="139" t="n">
        <v>38.65</v>
      </c>
      <c r="K1409" s="140" t="n"/>
      <c r="L1409" s="140">
        <f>+H1409*J1409</f>
        <v/>
      </c>
      <c r="M1409" s="141">
        <f>SUM(M1408+K1409-L1409)</f>
        <v/>
      </c>
    </row>
    <row r="1410">
      <c r="A1410" s="20" t="n">
        <v>45744</v>
      </c>
      <c r="B1410" s="21" t="n">
        <v>21488</v>
      </c>
      <c r="C1410" s="22" t="inlineStr">
        <is>
          <t>SELİM İNŞAAT</t>
        </is>
      </c>
      <c r="D1410" s="21" t="inlineStr">
        <is>
          <t>34 GYZ 635</t>
        </is>
      </c>
      <c r="E1410" s="21" t="inlineStr">
        <is>
          <t>ENGİN DEMİR</t>
        </is>
      </c>
      <c r="F1410" s="23" t="n">
        <v>155750</v>
      </c>
      <c r="G1410" s="138" t="n"/>
      <c r="H1410" s="138" t="n">
        <v>309</v>
      </c>
      <c r="I1410" s="138">
        <f>+I1409+(G1410-H1410)</f>
        <v/>
      </c>
      <c r="J1410" s="139" t="n">
        <v>38.65</v>
      </c>
      <c r="K1410" s="140" t="n"/>
      <c r="L1410" s="140">
        <f>+H1410*J1410</f>
        <v/>
      </c>
      <c r="M1410" s="141">
        <f>SUM(M1409+K1410-L1410)</f>
        <v/>
      </c>
    </row>
    <row r="1411">
      <c r="A1411" s="20" t="n">
        <v>45744</v>
      </c>
      <c r="B1411" s="21" t="n">
        <v>11285</v>
      </c>
      <c r="C1411" s="22" t="inlineStr">
        <is>
          <t>SELİM İNŞAAT</t>
        </is>
      </c>
      <c r="D1411" s="21" t="inlineStr">
        <is>
          <t>34 EDC 162</t>
        </is>
      </c>
      <c r="E1411" s="21" t="inlineStr">
        <is>
          <t xml:space="preserve">YAKUP GÜNER </t>
        </is>
      </c>
      <c r="F1411" s="23" t="n">
        <v>350893</v>
      </c>
      <c r="G1411" s="138" t="n"/>
      <c r="H1411" s="138" t="n">
        <v>411</v>
      </c>
      <c r="I1411" s="138">
        <f>+I1410+(G1411-H1411)</f>
        <v/>
      </c>
      <c r="J1411" s="139" t="n">
        <v>38.65</v>
      </c>
      <c r="K1411" s="140" t="n"/>
      <c r="L1411" s="140">
        <f>+H1411*J1411</f>
        <v/>
      </c>
      <c r="M1411" s="141">
        <f>SUM(M1410+K1411-L1411)</f>
        <v/>
      </c>
    </row>
    <row r="1412">
      <c r="A1412" s="20" t="n">
        <v>45744</v>
      </c>
      <c r="B1412" s="21" t="n">
        <v>10525</v>
      </c>
      <c r="C1412" s="22" t="inlineStr">
        <is>
          <t>SELİM İNŞAAT</t>
        </is>
      </c>
      <c r="D1412" s="21" t="inlineStr">
        <is>
          <t>34 EDB 922</t>
        </is>
      </c>
      <c r="E1412" s="21" t="inlineStr">
        <is>
          <t>MEVLÜT POLAT</t>
        </is>
      </c>
      <c r="F1412" s="23" t="n">
        <v>342839</v>
      </c>
      <c r="G1412" s="138" t="n"/>
      <c r="H1412" s="138" t="n">
        <v>397</v>
      </c>
      <c r="I1412" s="138">
        <f>+I1411+(G1412-H1412)</f>
        <v/>
      </c>
      <c r="J1412" s="139" t="n">
        <v>38.65</v>
      </c>
      <c r="K1412" s="140" t="n"/>
      <c r="L1412" s="140">
        <f>+H1412*J1412</f>
        <v/>
      </c>
      <c r="M1412" s="141">
        <f>SUM(M1411+K1412-L1412)</f>
        <v/>
      </c>
    </row>
    <row r="1413">
      <c r="A1413" s="20" t="n">
        <v>45744</v>
      </c>
      <c r="B1413" s="21" t="n">
        <v>9800</v>
      </c>
      <c r="C1413" s="22" t="inlineStr">
        <is>
          <t>SELİM İNŞAAT</t>
        </is>
      </c>
      <c r="D1413" s="21" t="inlineStr">
        <is>
          <t>34 GVZ 268</t>
        </is>
      </c>
      <c r="E1413" s="21" t="inlineStr">
        <is>
          <t>KERİM KARAMAN</t>
        </is>
      </c>
      <c r="F1413" s="23" t="n">
        <v>175641</v>
      </c>
      <c r="G1413" s="138" t="n"/>
      <c r="H1413" s="138" t="n">
        <v>442</v>
      </c>
      <c r="I1413" s="138">
        <f>+I1412+(G1413-H1413)</f>
        <v/>
      </c>
      <c r="J1413" s="139" t="n">
        <v>38.65</v>
      </c>
      <c r="K1413" s="140" t="n"/>
      <c r="L1413" s="140">
        <f>+H1413*J1413</f>
        <v/>
      </c>
      <c r="M1413" s="141">
        <f>SUM(M1412+K1413-L1413)</f>
        <v/>
      </c>
    </row>
    <row r="1414">
      <c r="A1414" s="20" t="n">
        <v>45744</v>
      </c>
      <c r="B1414" s="21" t="n">
        <v>14014</v>
      </c>
      <c r="C1414" s="22" t="inlineStr">
        <is>
          <t>SELİM İNŞAAT</t>
        </is>
      </c>
      <c r="D1414" s="21" t="inlineStr">
        <is>
          <t>34 GVZ 310</t>
        </is>
      </c>
      <c r="E1414" s="21" t="inlineStr">
        <is>
          <t>CELAL YÜZBAŞI</t>
        </is>
      </c>
      <c r="F1414" s="23" t="n">
        <v>179876</v>
      </c>
      <c r="G1414" s="138" t="n"/>
      <c r="H1414" s="138" t="n">
        <v>338</v>
      </c>
      <c r="I1414" s="138">
        <f>+I1413+(G1414-H1414)</f>
        <v/>
      </c>
      <c r="J1414" s="139" t="n">
        <v>38.65</v>
      </c>
      <c r="K1414" s="140" t="n"/>
      <c r="L1414" s="140">
        <f>+H1414*J1414</f>
        <v/>
      </c>
      <c r="M1414" s="141">
        <f>SUM(M1413+K1414-L1414)</f>
        <v/>
      </c>
    </row>
    <row r="1415">
      <c r="A1415" s="20" t="n">
        <v>45744</v>
      </c>
      <c r="B1415" s="21" t="n">
        <v>10217</v>
      </c>
      <c r="C1415" s="22" t="inlineStr">
        <is>
          <t>SELİM İNŞAAT</t>
        </is>
      </c>
      <c r="D1415" s="21" t="inlineStr">
        <is>
          <t>34 DSN 621</t>
        </is>
      </c>
      <c r="E1415" s="21" t="inlineStr">
        <is>
          <t>MUSTAFA KAYA</t>
        </is>
      </c>
      <c r="F1415" s="23" t="n">
        <v>397312</v>
      </c>
      <c r="G1415" s="138" t="n"/>
      <c r="H1415" s="138" t="n">
        <v>330</v>
      </c>
      <c r="I1415" s="138">
        <f>+I1414+(G1415-H1415)</f>
        <v/>
      </c>
      <c r="J1415" s="139" t="n">
        <v>38.65</v>
      </c>
      <c r="K1415" s="140" t="n"/>
      <c r="L1415" s="140">
        <f>+H1415*J1415</f>
        <v/>
      </c>
      <c r="M1415" s="141">
        <f>SUM(M1414+K1415-L1415)</f>
        <v/>
      </c>
    </row>
    <row r="1416">
      <c r="A1416" s="20" t="n">
        <v>45744</v>
      </c>
      <c r="B1416" s="21" t="n">
        <v>10329</v>
      </c>
      <c r="C1416" s="22" t="inlineStr">
        <is>
          <t>SELİM İNŞAAT</t>
        </is>
      </c>
      <c r="D1416" s="21" t="inlineStr">
        <is>
          <t>34 EDB 829</t>
        </is>
      </c>
      <c r="E1416" s="21" t="inlineStr">
        <is>
          <t>İSMET BAYRAM</t>
        </is>
      </c>
      <c r="F1416" s="23" t="n">
        <v>302482</v>
      </c>
      <c r="G1416" s="138" t="n"/>
      <c r="H1416" s="138" t="n">
        <v>336</v>
      </c>
      <c r="I1416" s="138">
        <f>+I1415+(G1416-H1416)</f>
        <v/>
      </c>
      <c r="J1416" s="139" t="n">
        <v>38.65</v>
      </c>
      <c r="K1416" s="140" t="n"/>
      <c r="L1416" s="140">
        <f>+H1416*J1416</f>
        <v/>
      </c>
      <c r="M1416" s="141">
        <f>SUM(M1415+K1416-L1416)</f>
        <v/>
      </c>
    </row>
    <row r="1417">
      <c r="A1417" s="20" t="n">
        <v>45744</v>
      </c>
      <c r="B1417" s="21" t="n">
        <v>14313</v>
      </c>
      <c r="C1417" s="22" t="inlineStr">
        <is>
          <t>SELİM İNŞAAT</t>
        </is>
      </c>
      <c r="D1417" s="21" t="inlineStr">
        <is>
          <t>34 DKL 866</t>
        </is>
      </c>
      <c r="E1417" s="21" t="inlineStr">
        <is>
          <t>SELİM CAN ÖNVER</t>
        </is>
      </c>
      <c r="F1417" s="23" t="n">
        <v>62789</v>
      </c>
      <c r="G1417" s="138" t="n"/>
      <c r="H1417" s="138" t="n">
        <v>94</v>
      </c>
      <c r="I1417" s="138">
        <f>+I1416+(G1417-H1417)</f>
        <v/>
      </c>
      <c r="J1417" s="139" t="n">
        <v>38.65</v>
      </c>
      <c r="K1417" s="140" t="n"/>
      <c r="L1417" s="140">
        <f>+H1417*J1417</f>
        <v/>
      </c>
      <c r="M1417" s="141">
        <f>SUM(M1416+K1417-L1417)</f>
        <v/>
      </c>
    </row>
    <row r="1418">
      <c r="A1418" s="20" t="n">
        <v>45744</v>
      </c>
      <c r="B1418" s="21" t="n">
        <v>14510</v>
      </c>
      <c r="C1418" s="22" t="inlineStr">
        <is>
          <t>SELİM İNŞAAT</t>
        </is>
      </c>
      <c r="D1418" s="21" t="inlineStr">
        <is>
          <t>34 GER 028</t>
        </is>
      </c>
      <c r="E1418" s="21" t="inlineStr">
        <is>
          <t>A.KERİM ERGEN</t>
        </is>
      </c>
      <c r="F1418" s="23" t="n">
        <v>41425</v>
      </c>
      <c r="G1418" s="138" t="n"/>
      <c r="H1418" s="138" t="n">
        <v>160</v>
      </c>
      <c r="I1418" s="138">
        <f>+I1417+(G1418-H1418)</f>
        <v/>
      </c>
      <c r="J1418" s="139" t="n">
        <v>38.65</v>
      </c>
      <c r="K1418" s="140" t="n"/>
      <c r="L1418" s="140">
        <f>+H1418*J1418</f>
        <v/>
      </c>
      <c r="M1418" s="141">
        <f>SUM(M1417+K1418-L1418)</f>
        <v/>
      </c>
    </row>
    <row r="1419">
      <c r="A1419" s="20" t="n">
        <v>45744</v>
      </c>
      <c r="B1419" s="21" t="n">
        <v>14611</v>
      </c>
      <c r="C1419" s="22" t="inlineStr">
        <is>
          <t>SELİM İNŞAAT</t>
        </is>
      </c>
      <c r="D1419" s="21" t="inlineStr">
        <is>
          <t>34 GER 445</t>
        </is>
      </c>
      <c r="E1419" s="21" t="inlineStr">
        <is>
          <t>HASAN BAYCAN</t>
        </is>
      </c>
      <c r="F1419" s="23" t="n">
        <v>39741</v>
      </c>
      <c r="G1419" s="138" t="n"/>
      <c r="H1419" s="138" t="n">
        <v>128</v>
      </c>
      <c r="I1419" s="138">
        <f>+I1418+(G1419-H1419)</f>
        <v/>
      </c>
      <c r="J1419" s="139" t="n">
        <v>38.65</v>
      </c>
      <c r="K1419" s="140" t="n"/>
      <c r="L1419" s="140">
        <f>+H1419*J1419</f>
        <v/>
      </c>
      <c r="M1419" s="141">
        <f>SUM(M1418+K1419-L1419)</f>
        <v/>
      </c>
    </row>
    <row r="1420">
      <c r="A1420" s="20" t="n">
        <v>45744</v>
      </c>
      <c r="B1420" s="21" t="n">
        <v>11897</v>
      </c>
      <c r="C1420" s="22" t="inlineStr">
        <is>
          <t>SELİM İNŞAAT</t>
        </is>
      </c>
      <c r="D1420" s="21" t="inlineStr">
        <is>
          <t>34 DFE 454</t>
        </is>
      </c>
      <c r="E1420" s="21" t="inlineStr">
        <is>
          <t>SELİM CAN ÖNVER</t>
        </is>
      </c>
      <c r="F1420" s="23" t="n">
        <v>156229</v>
      </c>
      <c r="G1420" s="138" t="n"/>
      <c r="H1420" s="138" t="n">
        <v>256</v>
      </c>
      <c r="I1420" s="138">
        <f>+I1419+(G1420-H1420)</f>
        <v/>
      </c>
      <c r="J1420" s="139" t="n">
        <v>38.65</v>
      </c>
      <c r="K1420" s="140" t="n"/>
      <c r="L1420" s="140">
        <f>+H1420*J1420</f>
        <v/>
      </c>
      <c r="M1420" s="141">
        <f>SUM(M1419+K1420-L1420)</f>
        <v/>
      </c>
    </row>
    <row r="1421">
      <c r="A1421" s="20" t="n">
        <v>45744</v>
      </c>
      <c r="B1421" s="21" t="n">
        <v>10566</v>
      </c>
      <c r="C1421" s="22" t="inlineStr">
        <is>
          <t>SELİM İNŞAAT</t>
        </is>
      </c>
      <c r="D1421" s="21" t="inlineStr">
        <is>
          <t>34 GU 945</t>
        </is>
      </c>
      <c r="E1421" s="21" t="inlineStr">
        <is>
          <t>ALİ KESKİN</t>
        </is>
      </c>
      <c r="F1421" s="23" t="n">
        <v>441597</v>
      </c>
      <c r="G1421" s="138" t="n"/>
      <c r="H1421" s="138" t="n">
        <v>54</v>
      </c>
      <c r="I1421" s="138">
        <f>+I1420+(G1421-H1421)</f>
        <v/>
      </c>
      <c r="J1421" s="139" t="n">
        <v>38.65</v>
      </c>
      <c r="K1421" s="140" t="n"/>
      <c r="L1421" s="140">
        <f>+H1421*J1421</f>
        <v/>
      </c>
      <c r="M1421" s="141">
        <f>SUM(M1420+K1421-L1421)</f>
        <v/>
      </c>
    </row>
    <row r="1422">
      <c r="A1422" s="20" t="n">
        <v>45744</v>
      </c>
      <c r="B1422" s="21" t="n">
        <v>14651</v>
      </c>
      <c r="C1422" s="22" t="inlineStr">
        <is>
          <t>AHMET SELİM TEMHA</t>
        </is>
      </c>
      <c r="D1422" s="21" t="inlineStr">
        <is>
          <t>FOKLİFT</t>
        </is>
      </c>
      <c r="E1422" s="21" t="inlineStr">
        <is>
          <t>CEMAL AKDAMAR</t>
        </is>
      </c>
      <c r="F1422" s="23" t="n"/>
      <c r="G1422" s="138" t="n"/>
      <c r="H1422" s="138" t="n">
        <v>20</v>
      </c>
      <c r="I1422" s="138">
        <f>+I1421+(G1422-H1422)</f>
        <v/>
      </c>
      <c r="J1422" s="139" t="n">
        <v>38.65</v>
      </c>
      <c r="K1422" s="140" t="n"/>
      <c r="L1422" s="140">
        <f>+H1422*J1422</f>
        <v/>
      </c>
      <c r="M1422" s="141">
        <f>SUM(M1421+K1422-L1422)</f>
        <v/>
      </c>
    </row>
    <row r="1423">
      <c r="A1423" s="20" t="n">
        <v>45744</v>
      </c>
      <c r="B1423" s="1" t="n">
        <v>14559</v>
      </c>
      <c r="C1423" s="2" t="inlineStr">
        <is>
          <t>HASALTUN</t>
        </is>
      </c>
      <c r="D1423" s="1" t="inlineStr">
        <is>
          <t>SM 370</t>
        </is>
      </c>
      <c r="E1423" s="1" t="inlineStr">
        <is>
          <t>RAMAZAN KAYA</t>
        </is>
      </c>
      <c r="F1423" s="3" t="n"/>
      <c r="G1423" s="143" t="n"/>
      <c r="H1423" s="143" t="n">
        <v>348</v>
      </c>
      <c r="I1423" s="143">
        <f>+I1422+(G1423-H1423)</f>
        <v/>
      </c>
      <c r="J1423" s="144" t="n">
        <v>38.65</v>
      </c>
      <c r="K1423" s="145" t="n"/>
      <c r="L1423" s="140">
        <f>+H1423*J1423</f>
        <v/>
      </c>
      <c r="M1423" s="141">
        <f>SUM(M1422+K1423-L1423)</f>
        <v/>
      </c>
    </row>
    <row r="1424">
      <c r="A1424" s="20" t="n">
        <v>45744</v>
      </c>
      <c r="B1424" s="1" t="n">
        <v>14560</v>
      </c>
      <c r="C1424" s="2" t="inlineStr">
        <is>
          <t>VARLIK</t>
        </is>
      </c>
      <c r="D1424" s="1" t="inlineStr">
        <is>
          <t>KAVAZAKİ</t>
        </is>
      </c>
      <c r="E1424" s="1" t="inlineStr">
        <is>
          <t>UFUK SEVAL</t>
        </is>
      </c>
      <c r="F1424" s="3" t="n"/>
      <c r="G1424" s="143" t="n"/>
      <c r="H1424" s="143" t="n">
        <v>129</v>
      </c>
      <c r="I1424" s="143">
        <f>+I1423+(G1424-H1424)</f>
        <v/>
      </c>
      <c r="J1424" s="144" t="n">
        <v>38.65</v>
      </c>
      <c r="K1424" s="145" t="n"/>
      <c r="L1424" s="140">
        <f>+H1424*J1424</f>
        <v/>
      </c>
      <c r="M1424" s="141">
        <f>SUM(M1423+K1424-L1424)</f>
        <v/>
      </c>
    </row>
    <row r="1425">
      <c r="A1425" s="20" t="n">
        <v>45744</v>
      </c>
      <c r="B1425" s="1" t="n">
        <v>14561</v>
      </c>
      <c r="C1425" s="2" t="inlineStr">
        <is>
          <t>VARLIK</t>
        </is>
      </c>
      <c r="D1425" s="1" t="inlineStr">
        <is>
          <t>SM 300</t>
        </is>
      </c>
      <c r="E1425" s="1" t="inlineStr">
        <is>
          <t>TURGUT SANCAK</t>
        </is>
      </c>
      <c r="F1425" s="3" t="n"/>
      <c r="G1425" s="143" t="n"/>
      <c r="H1425" s="143" t="n">
        <v>250</v>
      </c>
      <c r="I1425" s="143">
        <f>+I1424+(G1425-H1425)</f>
        <v/>
      </c>
      <c r="J1425" s="144" t="n">
        <v>38.65</v>
      </c>
      <c r="K1425" s="145" t="n"/>
      <c r="L1425" s="140">
        <f>+H1425*J1425</f>
        <v/>
      </c>
      <c r="M1425" s="141">
        <f>SUM(M1424+K1425-L1425)</f>
        <v/>
      </c>
    </row>
    <row r="1426">
      <c r="A1426" s="20" t="n">
        <v>45750</v>
      </c>
      <c r="B1426" s="1" t="n">
        <v>14562</v>
      </c>
      <c r="C1426" s="2" t="inlineStr">
        <is>
          <t>HASALTUN</t>
        </is>
      </c>
      <c r="D1426" s="1" t="inlineStr">
        <is>
          <t>SM 370</t>
        </is>
      </c>
      <c r="E1426" s="1" t="inlineStr">
        <is>
          <t>TEVFİK ÖZTÜRK</t>
        </is>
      </c>
      <c r="F1426" s="3" t="n"/>
      <c r="G1426" s="143" t="n"/>
      <c r="H1426" s="143" t="n">
        <v>428</v>
      </c>
      <c r="I1426" s="143">
        <f>+I1425+(G1426-H1426)</f>
        <v/>
      </c>
      <c r="J1426" s="144" t="n">
        <v>38.65</v>
      </c>
      <c r="K1426" s="145" t="n"/>
      <c r="L1426" s="140">
        <f>+H1426*J1426</f>
        <v/>
      </c>
      <c r="M1426" s="141">
        <f>SUM(M1425+K1426-L1426)</f>
        <v/>
      </c>
    </row>
    <row r="1427">
      <c r="A1427" s="20" t="n">
        <v>45750</v>
      </c>
      <c r="B1427" s="21" t="n">
        <v>10999</v>
      </c>
      <c r="C1427" s="22" t="inlineStr">
        <is>
          <t>SELİM İNŞAAT</t>
        </is>
      </c>
      <c r="D1427" s="21" t="inlineStr">
        <is>
          <t>34 GVZ 199</t>
        </is>
      </c>
      <c r="E1427" s="21" t="inlineStr">
        <is>
          <t>VAHDET GÜRLER</t>
        </is>
      </c>
      <c r="F1427" s="23" t="n">
        <v>164379</v>
      </c>
      <c r="G1427" s="138" t="n"/>
      <c r="H1427" s="138" t="n">
        <v>355</v>
      </c>
      <c r="I1427" s="138">
        <f>+I1426+(G1427-H1427)</f>
        <v/>
      </c>
      <c r="J1427" s="139" t="n">
        <v>38.65</v>
      </c>
      <c r="K1427" s="140" t="n"/>
      <c r="L1427" s="140">
        <f>+H1427*J1427</f>
        <v/>
      </c>
      <c r="M1427" s="141">
        <f>SUM(M1426+K1427-L1427)</f>
        <v/>
      </c>
    </row>
    <row r="1428">
      <c r="A1428" s="20" t="n">
        <v>45751</v>
      </c>
      <c r="B1428" s="1" t="n">
        <v>14563</v>
      </c>
      <c r="C1428" s="2" t="inlineStr">
        <is>
          <t>HASALTUN</t>
        </is>
      </c>
      <c r="D1428" s="1" t="inlineStr">
        <is>
          <t>KAVAZAKİ</t>
        </is>
      </c>
      <c r="E1428" s="1" t="inlineStr">
        <is>
          <t>UFUK SEVAL</t>
        </is>
      </c>
      <c r="F1428" s="3" t="n"/>
      <c r="G1428" s="143" t="n"/>
      <c r="H1428" s="143" t="n">
        <v>147</v>
      </c>
      <c r="I1428" s="143">
        <f>+I1427+(G1428-H1428)</f>
        <v/>
      </c>
      <c r="J1428" s="144" t="n">
        <v>38.65</v>
      </c>
      <c r="K1428" s="145" t="n"/>
      <c r="L1428" s="140">
        <f>+H1428*J1428</f>
        <v/>
      </c>
      <c r="M1428" s="141">
        <f>SUM(M1427+K1428-L1428)</f>
        <v/>
      </c>
    </row>
    <row r="1429">
      <c r="A1429" s="20" t="n">
        <v>45751</v>
      </c>
      <c r="B1429" s="21" t="n">
        <v>10070</v>
      </c>
      <c r="C1429" s="22" t="inlineStr">
        <is>
          <t>SELİM İNŞAAT</t>
        </is>
      </c>
      <c r="D1429" s="21" t="inlineStr">
        <is>
          <t>34 FBR 771</t>
        </is>
      </c>
      <c r="E1429" s="21" t="inlineStr">
        <is>
          <t>HÜSEYİN AKÇİN</t>
        </is>
      </c>
      <c r="F1429" s="23" t="n">
        <v>300382</v>
      </c>
      <c r="G1429" s="138" t="n"/>
      <c r="H1429" s="138" t="n">
        <v>405</v>
      </c>
      <c r="I1429" s="138">
        <f>+I1428+(G1429-H1429)</f>
        <v/>
      </c>
      <c r="J1429" s="139" t="n">
        <v>38.65</v>
      </c>
      <c r="K1429" s="140" t="n"/>
      <c r="L1429" s="140">
        <f>+H1429*J1429</f>
        <v/>
      </c>
      <c r="M1429" s="141">
        <f>SUM(M1428+K1429-L1429)</f>
        <v/>
      </c>
    </row>
    <row r="1430">
      <c r="A1430" s="20" t="n">
        <v>45751</v>
      </c>
      <c r="B1430" s="1" t="n">
        <v>14564</v>
      </c>
      <c r="C1430" s="2" t="inlineStr">
        <is>
          <t>HASALTUN</t>
        </is>
      </c>
      <c r="D1430" s="1" t="inlineStr">
        <is>
          <t>SM 370</t>
        </is>
      </c>
      <c r="E1430" s="1" t="inlineStr">
        <is>
          <t>RAMAZAN KAYA</t>
        </is>
      </c>
      <c r="F1430" s="3" t="n"/>
      <c r="G1430" s="143" t="n"/>
      <c r="H1430" s="143" t="n">
        <v>352</v>
      </c>
      <c r="I1430" s="143">
        <f>+I1429+(G1430-H1430)</f>
        <v/>
      </c>
      <c r="J1430" s="144" t="n">
        <v>38.65</v>
      </c>
      <c r="K1430" s="145" t="n"/>
      <c r="L1430" s="140">
        <f>+H1430*J1430</f>
        <v/>
      </c>
      <c r="M1430" s="141">
        <f>SUM(M1429+K1430-L1430)</f>
        <v/>
      </c>
    </row>
    <row r="1431">
      <c r="A1431" s="20" t="n">
        <v>45751</v>
      </c>
      <c r="B1431" s="21" t="n">
        <v>14211</v>
      </c>
      <c r="C1431" s="22" t="inlineStr">
        <is>
          <t>SELİM İNŞAAT</t>
        </is>
      </c>
      <c r="D1431" s="21" t="inlineStr">
        <is>
          <t xml:space="preserve">34 GUS 938 </t>
        </is>
      </c>
      <c r="E1431" s="21" t="inlineStr">
        <is>
          <t>MEHMET KAYA</t>
        </is>
      </c>
      <c r="F1431" s="23" t="n">
        <v>169567</v>
      </c>
      <c r="G1431" s="138" t="n"/>
      <c r="H1431" s="138" t="n">
        <v>398</v>
      </c>
      <c r="I1431" s="138">
        <f>+I1430+(G1431-H1431)</f>
        <v/>
      </c>
      <c r="J1431" s="139" t="n">
        <v>38.65</v>
      </c>
      <c r="K1431" s="140" t="n"/>
      <c r="L1431" s="140">
        <f>+H1431*J1431</f>
        <v/>
      </c>
      <c r="M1431" s="141">
        <f>SUM(M1430+K1431-L1431)</f>
        <v/>
      </c>
    </row>
    <row r="1432">
      <c r="A1432" s="20" t="n">
        <v>45751</v>
      </c>
      <c r="B1432" s="21" t="n">
        <v>14565</v>
      </c>
      <c r="C1432" s="22" t="inlineStr">
        <is>
          <t>EVKUR</t>
        </is>
      </c>
      <c r="D1432" s="21" t="inlineStr">
        <is>
          <t>FOKLİFT</t>
        </is>
      </c>
      <c r="E1432" s="21" t="inlineStr">
        <is>
          <t>FAHRİ KALFA</t>
        </is>
      </c>
      <c r="F1432" s="23" t="n"/>
      <c r="G1432" s="138" t="n"/>
      <c r="H1432" s="138" t="n">
        <v>63</v>
      </c>
      <c r="I1432" s="138">
        <f>+I1431+(G1432-H1432)</f>
        <v/>
      </c>
      <c r="J1432" s="139" t="n">
        <v>38.65</v>
      </c>
      <c r="K1432" s="140" t="n"/>
      <c r="L1432" s="140">
        <f>+H1432*J1432</f>
        <v/>
      </c>
      <c r="M1432" s="141">
        <f>SUM(M1431+K1432-L1432)</f>
        <v/>
      </c>
    </row>
    <row r="1433">
      <c r="A1433" s="20" t="n">
        <v>45751</v>
      </c>
      <c r="B1433" s="21" t="n">
        <v>10133</v>
      </c>
      <c r="C1433" s="22" t="inlineStr">
        <is>
          <t>SELİM İNŞAAT</t>
        </is>
      </c>
      <c r="D1433" s="21" t="inlineStr">
        <is>
          <t>34 DP 4161</t>
        </is>
      </c>
      <c r="E1433" s="21" t="inlineStr">
        <is>
          <t>RIFAT KARATAY</t>
        </is>
      </c>
      <c r="F1433" s="23" t="n">
        <v>280710</v>
      </c>
      <c r="G1433" s="138" t="n"/>
      <c r="H1433" s="138" t="n">
        <v>180</v>
      </c>
      <c r="I1433" s="138">
        <f>+I1432+(G1433-H1433)</f>
        <v/>
      </c>
      <c r="J1433" s="139" t="n">
        <v>38.65</v>
      </c>
      <c r="K1433" s="140" t="n"/>
      <c r="L1433" s="140">
        <f>+H1433*J1433</f>
        <v/>
      </c>
      <c r="M1433" s="141">
        <f>SUM(M1432+K1433-L1433)</f>
        <v/>
      </c>
    </row>
    <row r="1434">
      <c r="A1434" s="20" t="n">
        <v>45751</v>
      </c>
      <c r="B1434" s="21" t="n">
        <v>14163</v>
      </c>
      <c r="C1434" s="22" t="inlineStr">
        <is>
          <t>AZGÜN YAPI</t>
        </is>
      </c>
      <c r="D1434" s="21" t="inlineStr">
        <is>
          <t>34 DTV 263</t>
        </is>
      </c>
      <c r="E1434" s="21" t="inlineStr">
        <is>
          <t>EDİP TORLAK</t>
        </is>
      </c>
      <c r="F1434" s="23" t="n">
        <v>368247</v>
      </c>
      <c r="G1434" s="138" t="n"/>
      <c r="H1434" s="138" t="n">
        <v>417</v>
      </c>
      <c r="I1434" s="138">
        <f>+I1433+(G1434-H1434)</f>
        <v/>
      </c>
      <c r="J1434" s="139" t="n">
        <v>38.65</v>
      </c>
      <c r="K1434" s="140" t="n"/>
      <c r="L1434" s="140">
        <f>+H1434*J1434</f>
        <v/>
      </c>
      <c r="M1434" s="141">
        <f>SUM(M1433+K1434-L1434)</f>
        <v/>
      </c>
    </row>
    <row r="1435">
      <c r="A1435" s="20" t="n">
        <v>45751</v>
      </c>
      <c r="B1435" s="1" t="n">
        <v>14566</v>
      </c>
      <c r="C1435" s="2" t="inlineStr">
        <is>
          <t>HASALTUN</t>
        </is>
      </c>
      <c r="D1435" s="1" t="inlineStr">
        <is>
          <t>SM 370</t>
        </is>
      </c>
      <c r="E1435" s="1" t="inlineStr">
        <is>
          <t>TEVFİK ÖZTÜRK</t>
        </is>
      </c>
      <c r="F1435" s="3" t="n"/>
      <c r="G1435" s="143" t="n"/>
      <c r="H1435" s="143" t="n">
        <v>446</v>
      </c>
      <c r="I1435" s="143">
        <f>+I1434+(G1435-H1435)</f>
        <v/>
      </c>
      <c r="J1435" s="144" t="n">
        <v>38.65</v>
      </c>
      <c r="K1435" s="145" t="n"/>
      <c r="L1435" s="140">
        <f>+H1435*J1435</f>
        <v/>
      </c>
      <c r="M1435" s="141">
        <f>SUM(M1434+K1435-L1435)</f>
        <v/>
      </c>
    </row>
    <row r="1436">
      <c r="A1436" s="20" t="n">
        <v>45751</v>
      </c>
      <c r="B1436" s="21" t="n">
        <v>14110</v>
      </c>
      <c r="C1436" s="22" t="inlineStr">
        <is>
          <t>SELİM İNŞAAT</t>
        </is>
      </c>
      <c r="D1436" s="21" t="inlineStr">
        <is>
          <t>34 DSN 536</t>
        </is>
      </c>
      <c r="E1436" s="21" t="inlineStr">
        <is>
          <t>DURSUN ALİ GÜREK</t>
        </is>
      </c>
      <c r="F1436" s="23" t="n">
        <v>388390</v>
      </c>
      <c r="G1436" s="138" t="n"/>
      <c r="H1436" s="138" t="n">
        <v>414</v>
      </c>
      <c r="I1436" s="138">
        <f>+I1435+(G1436-H1436)</f>
        <v/>
      </c>
      <c r="J1436" s="139" t="n">
        <v>38.65</v>
      </c>
      <c r="K1436" s="140" t="n"/>
      <c r="L1436" s="140">
        <f>+H1436*J1436</f>
        <v/>
      </c>
      <c r="M1436" s="141">
        <f>SUM(M1435+K1436-L1436)</f>
        <v/>
      </c>
    </row>
    <row r="1437">
      <c r="A1437" s="20" t="n">
        <v>45751</v>
      </c>
      <c r="B1437" s="21" t="n">
        <v>14463</v>
      </c>
      <c r="C1437" s="22" t="inlineStr">
        <is>
          <t>SELİM İNŞAAT</t>
        </is>
      </c>
      <c r="D1437" s="21" t="inlineStr">
        <is>
          <t>34 GUS 848</t>
        </is>
      </c>
      <c r="E1437" s="21" t="inlineStr">
        <is>
          <t>SERDAR BOZKURT</t>
        </is>
      </c>
      <c r="F1437" s="23" t="n">
        <v>174786</v>
      </c>
      <c r="G1437" s="138" t="n"/>
      <c r="H1437" s="138" t="n">
        <v>370</v>
      </c>
      <c r="I1437" s="138">
        <f>+I1436+(G1437-H1437)</f>
        <v/>
      </c>
      <c r="J1437" s="139" t="n">
        <v>38.65</v>
      </c>
      <c r="K1437" s="140" t="n"/>
      <c r="L1437" s="140">
        <f>+H1437*J1437</f>
        <v/>
      </c>
      <c r="M1437" s="141">
        <f>SUM(M1436+K1437-L1437)</f>
        <v/>
      </c>
    </row>
    <row r="1438">
      <c r="A1438" s="20" t="n">
        <v>45751</v>
      </c>
      <c r="B1438" s="21" t="n">
        <v>21137</v>
      </c>
      <c r="C1438" s="22" t="inlineStr">
        <is>
          <t>SELİM İNŞAAT</t>
        </is>
      </c>
      <c r="D1438" s="21" t="inlineStr">
        <is>
          <t>34 TG 7869</t>
        </is>
      </c>
      <c r="E1438" s="21" t="inlineStr">
        <is>
          <t>A.KERİM ERGEN</t>
        </is>
      </c>
      <c r="F1438" s="23" t="n">
        <v>180411</v>
      </c>
      <c r="G1438" s="138" t="n"/>
      <c r="H1438" s="138" t="n">
        <v>307</v>
      </c>
      <c r="I1438" s="138">
        <f>+I1437+(G1438-H1438)</f>
        <v/>
      </c>
      <c r="J1438" s="139" t="n">
        <v>38.65</v>
      </c>
      <c r="K1438" s="140" t="n"/>
      <c r="L1438" s="140">
        <f>+H1438*J1438</f>
        <v/>
      </c>
      <c r="M1438" s="141">
        <f>SUM(M1437+K1438-L1438)</f>
        <v/>
      </c>
    </row>
    <row r="1439">
      <c r="A1439" s="20" t="n">
        <v>45751</v>
      </c>
      <c r="B1439" s="21" t="n">
        <v>11075</v>
      </c>
      <c r="C1439" s="22" t="inlineStr">
        <is>
          <t>SELİM İNŞAAT</t>
        </is>
      </c>
      <c r="D1439" s="21" t="inlineStr">
        <is>
          <t>34 HBY 763</t>
        </is>
      </c>
      <c r="E1439" s="21" t="inlineStr">
        <is>
          <t>EMİRCAN ÖZTÜRK</t>
        </is>
      </c>
      <c r="F1439" s="23" t="n">
        <v>14633</v>
      </c>
      <c r="G1439" s="138" t="n"/>
      <c r="H1439" s="138" t="n">
        <v>180</v>
      </c>
      <c r="I1439" s="138">
        <f>+I1438+(G1439-H1439)</f>
        <v/>
      </c>
      <c r="J1439" s="139" t="n">
        <v>38.65</v>
      </c>
      <c r="K1439" s="140" t="n"/>
      <c r="L1439" s="140">
        <f>+H1439*J1439</f>
        <v/>
      </c>
      <c r="M1439" s="141">
        <f>SUM(M1438+K1439-L1439)</f>
        <v/>
      </c>
    </row>
    <row r="1440">
      <c r="A1440" s="20" t="n">
        <v>45751</v>
      </c>
      <c r="B1440" s="21" t="n">
        <v>14314</v>
      </c>
      <c r="C1440" s="22" t="inlineStr">
        <is>
          <t>SELİM İNŞAAT</t>
        </is>
      </c>
      <c r="D1440" s="21" t="inlineStr">
        <is>
          <t>34 DKL 866</t>
        </is>
      </c>
      <c r="E1440" s="21" t="inlineStr">
        <is>
          <t>SELİM CAN ÖNVER</t>
        </is>
      </c>
      <c r="F1440" s="23" t="n">
        <v>62875</v>
      </c>
      <c r="G1440" s="138" t="n"/>
      <c r="H1440" s="138" t="n">
        <v>110</v>
      </c>
      <c r="I1440" s="138">
        <f>+I1439+(G1440-H1440)</f>
        <v/>
      </c>
      <c r="J1440" s="139" t="n">
        <v>38.65</v>
      </c>
      <c r="K1440" s="140" t="n"/>
      <c r="L1440" s="140">
        <f>+H1440*J1440</f>
        <v/>
      </c>
      <c r="M1440" s="141">
        <f>SUM(M1439+K1440-L1440)</f>
        <v/>
      </c>
    </row>
    <row r="1441">
      <c r="A1441" s="20" t="n">
        <v>45751</v>
      </c>
      <c r="B1441" s="21" t="n">
        <v>14652</v>
      </c>
      <c r="C1441" s="22" t="inlineStr">
        <is>
          <t>MAHMUT VİNÇ</t>
        </is>
      </c>
      <c r="D1441" s="21" t="inlineStr">
        <is>
          <t>34 AH 5401</t>
        </is>
      </c>
      <c r="E1441" s="21" t="inlineStr">
        <is>
          <t>YASİN DEMİR</t>
        </is>
      </c>
      <c r="F1441" s="23" t="n"/>
      <c r="G1441" s="138" t="n"/>
      <c r="H1441" s="138" t="n">
        <v>64</v>
      </c>
      <c r="I1441" s="138">
        <f>+I1440+(G1441-H1441)</f>
        <v/>
      </c>
      <c r="J1441" s="139" t="n">
        <v>38.65</v>
      </c>
      <c r="K1441" s="140" t="n"/>
      <c r="L1441" s="140">
        <f>+H1441*J1441</f>
        <v/>
      </c>
      <c r="M1441" s="141">
        <f>SUM(M1440+K1441-L1441)</f>
        <v/>
      </c>
    </row>
    <row r="1442">
      <c r="A1442" s="20" t="n">
        <v>45751</v>
      </c>
      <c r="B1442" s="1" t="n">
        <v>14567</v>
      </c>
      <c r="C1442" s="2" t="inlineStr">
        <is>
          <t>VARLIK</t>
        </is>
      </c>
      <c r="D1442" s="1" t="inlineStr">
        <is>
          <t>SM 300</t>
        </is>
      </c>
      <c r="E1442" s="1" t="inlineStr">
        <is>
          <t>TURGUT SANCAK</t>
        </is>
      </c>
      <c r="F1442" s="3" t="n"/>
      <c r="G1442" s="143" t="n"/>
      <c r="H1442" s="143" t="n">
        <v>274</v>
      </c>
      <c r="I1442" s="143">
        <f>+I1441+(G1442-H1442)</f>
        <v/>
      </c>
      <c r="J1442" s="144" t="n">
        <v>38.65</v>
      </c>
      <c r="K1442" s="145" t="n"/>
      <c r="L1442" s="140">
        <f>+H1442*J1442</f>
        <v/>
      </c>
      <c r="M1442" s="141">
        <f>SUM(M1441+K1442-L1442)</f>
        <v/>
      </c>
    </row>
    <row r="1443">
      <c r="A1443" s="20" t="n">
        <v>45751</v>
      </c>
      <c r="B1443" s="21" t="n">
        <v>20532</v>
      </c>
      <c r="C1443" s="22" t="inlineStr">
        <is>
          <t>SELİM İNŞAAT</t>
        </is>
      </c>
      <c r="D1443" s="21" t="inlineStr">
        <is>
          <t>34 VF 2620</t>
        </is>
      </c>
      <c r="E1443" s="21" t="inlineStr">
        <is>
          <t>RECEP SELİM</t>
        </is>
      </c>
      <c r="F1443" s="23" t="n">
        <v>182566</v>
      </c>
      <c r="G1443" s="138" t="n"/>
      <c r="H1443" s="138" t="n">
        <v>60</v>
      </c>
      <c r="I1443" s="138">
        <f>+I1442+(G1443-H1443)</f>
        <v/>
      </c>
      <c r="J1443" s="139" t="n">
        <v>38.65</v>
      </c>
      <c r="K1443" s="140" t="n"/>
      <c r="L1443" s="140">
        <f>+H1443*J1443</f>
        <v/>
      </c>
      <c r="M1443" s="141">
        <f>SUM(M1442+K1443-L1443)</f>
        <v/>
      </c>
    </row>
    <row r="1444">
      <c r="A1444" s="20" t="n">
        <v>45751</v>
      </c>
      <c r="B1444" s="1" t="n">
        <v>14568</v>
      </c>
      <c r="C1444" s="2" t="inlineStr">
        <is>
          <t>VARLIK</t>
        </is>
      </c>
      <c r="D1444" s="1" t="inlineStr">
        <is>
          <t>SM 350</t>
        </is>
      </c>
      <c r="E1444" s="1" t="inlineStr">
        <is>
          <t>BAYRAM SANCAK</t>
        </is>
      </c>
      <c r="F1444" s="3" t="n"/>
      <c r="G1444" s="143" t="n"/>
      <c r="H1444" s="143" t="n">
        <v>402</v>
      </c>
      <c r="I1444" s="143">
        <f>+I1443+(G1444-H1444)</f>
        <v/>
      </c>
      <c r="J1444" s="144" t="n">
        <v>38.65</v>
      </c>
      <c r="K1444" s="145" t="n"/>
      <c r="L1444" s="140">
        <f>+H1444*J1444</f>
        <v/>
      </c>
      <c r="M1444" s="141">
        <f>SUM(M1443+K1444-L1444)</f>
        <v/>
      </c>
    </row>
    <row r="1445">
      <c r="A1445" s="20" t="n">
        <v>45751</v>
      </c>
      <c r="B1445" s="21" t="n">
        <v>21294</v>
      </c>
      <c r="C1445" s="22" t="inlineStr">
        <is>
          <t>SELİM İNŞAAT</t>
        </is>
      </c>
      <c r="D1445" s="21" t="inlineStr">
        <is>
          <t>34 DTV 447</t>
        </is>
      </c>
      <c r="E1445" s="21" t="inlineStr">
        <is>
          <t>EBUBEKİR KOLDAŞ</t>
        </is>
      </c>
      <c r="F1445" s="23" t="n">
        <v>421110</v>
      </c>
      <c r="G1445" s="138" t="n"/>
      <c r="H1445" s="138" t="n">
        <v>358</v>
      </c>
      <c r="I1445" s="138">
        <f>+I1444+(G1445-H1445)</f>
        <v/>
      </c>
      <c r="J1445" s="139" t="n">
        <v>38.65</v>
      </c>
      <c r="K1445" s="140" t="n"/>
      <c r="L1445" s="140">
        <f>+H1445*J1445</f>
        <v/>
      </c>
      <c r="M1445" s="141">
        <f>SUM(M1444+K1445-L1445)</f>
        <v/>
      </c>
    </row>
    <row r="1446">
      <c r="A1446" s="20" t="n">
        <v>45751</v>
      </c>
      <c r="B1446" s="21" t="n">
        <v>10183</v>
      </c>
      <c r="C1446" s="22" t="inlineStr">
        <is>
          <t>SELİM İNŞAAT</t>
        </is>
      </c>
      <c r="D1446" s="21" t="inlineStr">
        <is>
          <t>34 EGR 736</t>
        </is>
      </c>
      <c r="E1446" s="21" t="inlineStr">
        <is>
          <t>MUHARREM ÇAMLI</t>
        </is>
      </c>
      <c r="F1446" s="23" t="n">
        <v>371373</v>
      </c>
      <c r="G1446" s="138" t="n"/>
      <c r="H1446" s="138" t="n">
        <v>271</v>
      </c>
      <c r="I1446" s="138">
        <f>+I1445+(G1446-H1446)</f>
        <v/>
      </c>
      <c r="J1446" s="139" t="n">
        <v>38.65</v>
      </c>
      <c r="K1446" s="140" t="n"/>
      <c r="L1446" s="140">
        <f>+H1446*J1446</f>
        <v/>
      </c>
      <c r="M1446" s="141">
        <f>SUM(M1445+K1446-L1446)</f>
        <v/>
      </c>
    </row>
    <row r="1447">
      <c r="A1447" s="20" t="n">
        <v>45751</v>
      </c>
      <c r="B1447" s="21" t="n">
        <v>11922</v>
      </c>
      <c r="C1447" s="22" t="inlineStr">
        <is>
          <t>SELİM İNŞAAT</t>
        </is>
      </c>
      <c r="D1447" s="21" t="inlineStr">
        <is>
          <t>34 FBR 742</t>
        </is>
      </c>
      <c r="E1447" s="21" t="inlineStr">
        <is>
          <t>MİKAİL BAYILMAZ</t>
        </is>
      </c>
      <c r="F1447" s="23" t="n">
        <v>301721</v>
      </c>
      <c r="G1447" s="138" t="n"/>
      <c r="H1447" s="138" t="n">
        <v>316</v>
      </c>
      <c r="I1447" s="138">
        <f>+I1446+(G1447-H1447)</f>
        <v/>
      </c>
      <c r="J1447" s="139" t="n">
        <v>38.65</v>
      </c>
      <c r="K1447" s="140" t="n"/>
      <c r="L1447" s="140">
        <f>+H1447*J1447</f>
        <v/>
      </c>
      <c r="M1447" s="141">
        <f>SUM(M1446+K1447-L1447)</f>
        <v/>
      </c>
    </row>
    <row r="1448">
      <c r="A1448" s="20" t="n">
        <v>45751</v>
      </c>
      <c r="B1448" s="21" t="n">
        <v>11473</v>
      </c>
      <c r="C1448" s="22" t="inlineStr">
        <is>
          <t>METİN ŞİRİN</t>
        </is>
      </c>
      <c r="D1448" s="21" t="inlineStr">
        <is>
          <t>34 EGR 922</t>
        </is>
      </c>
      <c r="E1448" s="21" t="inlineStr">
        <is>
          <t>FARUK ÖZEN</t>
        </is>
      </c>
      <c r="F1448" s="23" t="n">
        <v>442590</v>
      </c>
      <c r="G1448" s="138" t="n"/>
      <c r="H1448" s="138" t="n">
        <v>406</v>
      </c>
      <c r="I1448" s="138">
        <f>+I1447+(G1448-H1448)</f>
        <v/>
      </c>
      <c r="J1448" s="139" t="n">
        <v>38.65</v>
      </c>
      <c r="K1448" s="140" t="n"/>
      <c r="L1448" s="140">
        <f>+H1448*J1448</f>
        <v/>
      </c>
      <c r="M1448" s="141">
        <f>SUM(M1447+K1448-L1448)</f>
        <v/>
      </c>
    </row>
    <row r="1449">
      <c r="A1449" s="20" t="n">
        <v>45751</v>
      </c>
      <c r="B1449" s="21" t="n">
        <v>14612</v>
      </c>
      <c r="C1449" s="22" t="inlineStr">
        <is>
          <t>SELİM İNŞAAT</t>
        </is>
      </c>
      <c r="D1449" s="21" t="inlineStr">
        <is>
          <t>34 GER 445</t>
        </is>
      </c>
      <c r="E1449" s="21" t="inlineStr">
        <is>
          <t>HASAN BAYCAN</t>
        </is>
      </c>
      <c r="F1449" s="23" t="n">
        <v>39809</v>
      </c>
      <c r="G1449" s="138" t="n"/>
      <c r="H1449" s="138" t="n">
        <v>156</v>
      </c>
      <c r="I1449" s="138">
        <f>+I1448+(G1449-H1449)</f>
        <v/>
      </c>
      <c r="J1449" s="139" t="n">
        <v>38.65</v>
      </c>
      <c r="K1449" s="140" t="n"/>
      <c r="L1449" s="140">
        <f>+H1449*J1449</f>
        <v/>
      </c>
      <c r="M1449" s="141">
        <f>SUM(M1448+K1449-L1449)</f>
        <v/>
      </c>
    </row>
    <row r="1450">
      <c r="A1450" s="20" t="n">
        <v>45751</v>
      </c>
      <c r="B1450" s="21" t="n">
        <v>11135</v>
      </c>
      <c r="C1450" s="22" t="inlineStr">
        <is>
          <t>SELİM İNŞAAT</t>
        </is>
      </c>
      <c r="D1450" s="21" t="inlineStr">
        <is>
          <t>34 DTV 409</t>
        </is>
      </c>
      <c r="E1450" s="21" t="inlineStr">
        <is>
          <t xml:space="preserve">ONUR CANLI </t>
        </is>
      </c>
      <c r="F1450" s="23" t="n">
        <v>402617</v>
      </c>
      <c r="G1450" s="138" t="n"/>
      <c r="H1450" s="138" t="n">
        <v>438</v>
      </c>
      <c r="I1450" s="138">
        <f>+I1449+(G1450-H1450)</f>
        <v/>
      </c>
      <c r="J1450" s="139" t="n">
        <v>38.65</v>
      </c>
      <c r="K1450" s="140" t="n"/>
      <c r="L1450" s="140">
        <f>+H1450*J1450</f>
        <v/>
      </c>
      <c r="M1450" s="141">
        <f>SUM(M1449+K1450-L1450)</f>
        <v/>
      </c>
    </row>
    <row r="1451">
      <c r="A1451" s="20" t="n">
        <v>45751</v>
      </c>
      <c r="B1451" s="21" t="n">
        <v>14706</v>
      </c>
      <c r="C1451" s="22" t="inlineStr">
        <is>
          <t>METİN ERYİĞİT</t>
        </is>
      </c>
      <c r="D1451" s="21" t="inlineStr">
        <is>
          <t>34 GBL 998</t>
        </is>
      </c>
      <c r="E1451" s="21" t="inlineStr">
        <is>
          <t>ALİ KESKİN</t>
        </is>
      </c>
      <c r="F1451" s="23" t="n">
        <v>248449</v>
      </c>
      <c r="G1451" s="138" t="n"/>
      <c r="H1451" s="138" t="n">
        <v>443</v>
      </c>
      <c r="I1451" s="138">
        <f>+I1450+(G1451-H1451)</f>
        <v/>
      </c>
      <c r="J1451" s="139" t="n">
        <v>38.65</v>
      </c>
      <c r="K1451" s="140" t="n"/>
      <c r="L1451" s="140">
        <f>+H1451*J1451</f>
        <v/>
      </c>
      <c r="M1451" s="141">
        <f>SUM(M1450+K1451-L1451)</f>
        <v/>
      </c>
    </row>
    <row r="1452">
      <c r="A1452" s="20" t="n">
        <v>45751</v>
      </c>
      <c r="B1452" s="21" t="n">
        <v>14409</v>
      </c>
      <c r="C1452" s="22" t="inlineStr">
        <is>
          <t>SELİM İNŞAAT</t>
        </is>
      </c>
      <c r="D1452" s="21" t="inlineStr">
        <is>
          <t>34 EGR 737</t>
        </is>
      </c>
      <c r="E1452" s="21" t="inlineStr">
        <is>
          <t>İBRAHİM GÜNASLAN</t>
        </is>
      </c>
      <c r="F1452" s="23" t="n">
        <v>400957</v>
      </c>
      <c r="G1452" s="138" t="n"/>
      <c r="H1452" s="138" t="n">
        <v>340</v>
      </c>
      <c r="I1452" s="138">
        <f>+I1451+(G1452-H1452)</f>
        <v/>
      </c>
      <c r="J1452" s="139" t="n">
        <v>38.65</v>
      </c>
      <c r="K1452" s="140" t="n"/>
      <c r="L1452" s="140">
        <f>+H1452*J1452</f>
        <v/>
      </c>
      <c r="M1452" s="141">
        <f>SUM(M1451+K1452-L1452)</f>
        <v/>
      </c>
    </row>
    <row r="1453">
      <c r="A1453" s="20" t="n">
        <v>45751</v>
      </c>
      <c r="B1453" s="21" t="n">
        <v>14356</v>
      </c>
      <c r="C1453" s="22" t="inlineStr">
        <is>
          <t>SELİM İNŞAAT</t>
        </is>
      </c>
      <c r="D1453" s="21" t="inlineStr">
        <is>
          <t>34 DKL 798</t>
        </is>
      </c>
      <c r="E1453" s="21" t="inlineStr">
        <is>
          <t>VOLKAN YANAR</t>
        </is>
      </c>
      <c r="F1453" s="23" t="n">
        <v>62900</v>
      </c>
      <c r="G1453" s="138" t="n"/>
      <c r="H1453" s="138" t="n">
        <v>143</v>
      </c>
      <c r="I1453" s="138">
        <f>+I1452+(G1453-H1453)</f>
        <v/>
      </c>
      <c r="J1453" s="139" t="n">
        <v>38.65</v>
      </c>
      <c r="K1453" s="140" t="n"/>
      <c r="L1453" s="140">
        <f>+H1453*J1453</f>
        <v/>
      </c>
      <c r="M1453" s="141">
        <f>SUM(M1452+K1453-L1453)</f>
        <v/>
      </c>
    </row>
    <row r="1454">
      <c r="A1454" s="20" t="n">
        <v>45751</v>
      </c>
      <c r="B1454" s="21" t="n">
        <v>21314</v>
      </c>
      <c r="C1454" s="22" t="inlineStr">
        <is>
          <t>SELİM İNŞAAT</t>
        </is>
      </c>
      <c r="D1454" s="21" t="inlineStr">
        <is>
          <t>34 FEM 934</t>
        </is>
      </c>
      <c r="E1454" s="21" t="inlineStr">
        <is>
          <t>MUSTAFA ALBAYRAK</t>
        </is>
      </c>
      <c r="F1454" s="23" t="n">
        <v>303182</v>
      </c>
      <c r="G1454" s="138" t="n"/>
      <c r="H1454" s="138" t="n">
        <v>70</v>
      </c>
      <c r="I1454" s="138">
        <f>+I1453+(G1454-H1454)</f>
        <v/>
      </c>
      <c r="J1454" s="139" t="n">
        <v>38.65</v>
      </c>
      <c r="K1454" s="140" t="n"/>
      <c r="L1454" s="140">
        <f>+H1454*J1454</f>
        <v/>
      </c>
      <c r="M1454" s="141">
        <f>SUM(M1453+K1454-L1454)</f>
        <v/>
      </c>
    </row>
    <row r="1455">
      <c r="A1455" s="20" t="n">
        <v>45752</v>
      </c>
      <c r="B1455" s="21" t="n">
        <v>14511</v>
      </c>
      <c r="C1455" s="22" t="inlineStr">
        <is>
          <t>SELİM İNŞAAT</t>
        </is>
      </c>
      <c r="D1455" s="21" t="inlineStr">
        <is>
          <t>34 GER 028</t>
        </is>
      </c>
      <c r="E1455" s="21" t="inlineStr">
        <is>
          <t>A.KERİM ERGEN</t>
        </is>
      </c>
      <c r="F1455" s="23" t="n">
        <v>41556</v>
      </c>
      <c r="G1455" s="138" t="n"/>
      <c r="H1455" s="138" t="n">
        <v>186</v>
      </c>
      <c r="I1455" s="138">
        <f>+I1454+(G1455-H1455)</f>
        <v/>
      </c>
      <c r="J1455" s="139" t="n">
        <v>38.65</v>
      </c>
      <c r="K1455" s="140" t="n"/>
      <c r="L1455" s="140">
        <f>+H1455*J1455</f>
        <v/>
      </c>
      <c r="M1455" s="141">
        <f>SUM(M1454+K1455-L1455)</f>
        <v/>
      </c>
    </row>
    <row r="1456">
      <c r="A1456" s="20" t="n">
        <v>45752</v>
      </c>
      <c r="B1456" s="21" t="n">
        <v>10693</v>
      </c>
      <c r="C1456" s="22" t="inlineStr">
        <is>
          <t>SELİM İNŞAAT</t>
        </is>
      </c>
      <c r="D1456" s="21" t="inlineStr">
        <is>
          <t>34 DTV 599</t>
        </is>
      </c>
      <c r="E1456" s="21" t="inlineStr">
        <is>
          <t>FERHAT GÜRLER</t>
        </is>
      </c>
      <c r="F1456" s="23" t="n">
        <v>417514</v>
      </c>
      <c r="G1456" s="138" t="n"/>
      <c r="H1456" s="138" t="n">
        <v>482</v>
      </c>
      <c r="I1456" s="138">
        <f>+I1455+(G1456-H1456)</f>
        <v/>
      </c>
      <c r="J1456" s="139" t="n">
        <v>38.65</v>
      </c>
      <c r="K1456" s="140" t="n"/>
      <c r="L1456" s="140">
        <f>+H1456*J1456</f>
        <v/>
      </c>
      <c r="M1456" s="141">
        <f>SUM(M1455+K1456-L1456)</f>
        <v/>
      </c>
    </row>
    <row r="1457">
      <c r="A1457" s="20" t="n">
        <v>45752</v>
      </c>
      <c r="B1457" s="21" t="n">
        <v>10635</v>
      </c>
      <c r="C1457" s="22" t="inlineStr">
        <is>
          <t>SELİM İNŞAAT</t>
        </is>
      </c>
      <c r="D1457" s="21" t="inlineStr">
        <is>
          <t>34 EDB 754</t>
        </is>
      </c>
      <c r="E1457" s="21" t="inlineStr">
        <is>
          <t>EMİN PARLAKKILIÇ</t>
        </is>
      </c>
      <c r="F1457" s="23" t="n">
        <v>307609</v>
      </c>
      <c r="G1457" s="138" t="n"/>
      <c r="H1457" s="138" t="n">
        <v>370</v>
      </c>
      <c r="I1457" s="138">
        <f>+I1456+(G1457-H1457)</f>
        <v/>
      </c>
      <c r="J1457" s="139" t="n">
        <v>38.65</v>
      </c>
      <c r="K1457" s="140" t="n"/>
      <c r="L1457" s="140">
        <f>+H1457*J1457</f>
        <v/>
      </c>
      <c r="M1457" s="141">
        <f>SUM(M1456+K1457-L1457)</f>
        <v/>
      </c>
    </row>
    <row r="1458">
      <c r="A1458" s="20" t="n">
        <v>45752</v>
      </c>
      <c r="B1458" s="21" t="n">
        <v>20192</v>
      </c>
      <c r="C1458" s="22" t="inlineStr">
        <is>
          <t>SELİM İNŞAAT</t>
        </is>
      </c>
      <c r="D1458" s="21" t="inlineStr">
        <is>
          <t>34 JGR 15</t>
        </is>
      </c>
      <c r="E1458" s="21" t="inlineStr">
        <is>
          <t>MUHAMMER ÇAMLI</t>
        </is>
      </c>
      <c r="F1458" s="23" t="n">
        <v>307392</v>
      </c>
      <c r="G1458" s="138" t="n"/>
      <c r="H1458" s="138" t="n">
        <v>65</v>
      </c>
      <c r="I1458" s="138">
        <f>+I1457+(G1458-H1458)</f>
        <v/>
      </c>
      <c r="J1458" s="139" t="n">
        <v>38.65</v>
      </c>
      <c r="K1458" s="140" t="n"/>
      <c r="L1458" s="140">
        <f>+H1458*J1458</f>
        <v/>
      </c>
      <c r="M1458" s="141">
        <f>SUM(M1457+K1458-L1458)</f>
        <v/>
      </c>
    </row>
    <row r="1459">
      <c r="A1459" s="20" t="n">
        <v>45752</v>
      </c>
      <c r="B1459" s="21" t="n">
        <v>10776</v>
      </c>
      <c r="C1459" s="22" t="inlineStr">
        <is>
          <t>SELİM İNŞAAT</t>
        </is>
      </c>
      <c r="D1459" s="21" t="inlineStr">
        <is>
          <t>34 FBR 705</t>
        </is>
      </c>
      <c r="E1459" s="21" t="inlineStr">
        <is>
          <t>MESUT GÜRLER</t>
        </is>
      </c>
      <c r="F1459" s="23" t="n">
        <v>297492</v>
      </c>
      <c r="G1459" s="138" t="n"/>
      <c r="H1459" s="138" t="n">
        <v>431</v>
      </c>
      <c r="I1459" s="138">
        <f>+I1458+(G1459-H1459)</f>
        <v/>
      </c>
      <c r="J1459" s="139" t="n">
        <v>38.65</v>
      </c>
      <c r="K1459" s="140" t="n"/>
      <c r="L1459" s="140">
        <f>+H1459*J1459</f>
        <v/>
      </c>
      <c r="M1459" s="141">
        <f>SUM(M1458+K1459-L1459)</f>
        <v/>
      </c>
    </row>
    <row r="1460">
      <c r="A1460" s="20" t="n">
        <v>45752</v>
      </c>
      <c r="B1460" s="21" t="n">
        <v>11729</v>
      </c>
      <c r="C1460" s="22" t="inlineStr">
        <is>
          <t>SELİM İNŞAAT</t>
        </is>
      </c>
      <c r="D1460" s="21" t="inlineStr">
        <is>
          <t>34 EDB 559</t>
        </is>
      </c>
      <c r="E1460" s="21" t="inlineStr">
        <is>
          <t>CEM MUHTAR</t>
        </is>
      </c>
      <c r="F1460" s="23" t="n">
        <v>312734</v>
      </c>
      <c r="G1460" s="138" t="n"/>
      <c r="H1460" s="138" t="n">
        <v>398</v>
      </c>
      <c r="I1460" s="138">
        <f>+I1459+(G1460-H1460)</f>
        <v/>
      </c>
      <c r="J1460" s="139" t="n">
        <v>38.65</v>
      </c>
      <c r="K1460" s="140" t="n"/>
      <c r="L1460" s="140">
        <f>+H1460*J1460</f>
        <v/>
      </c>
      <c r="M1460" s="141">
        <f>SUM(M1459+K1460-L1460)</f>
        <v/>
      </c>
    </row>
    <row r="1461">
      <c r="A1461" s="20" t="n">
        <v>45752</v>
      </c>
      <c r="B1461" s="21" t="n">
        <v>11000</v>
      </c>
      <c r="C1461" s="22" t="inlineStr">
        <is>
          <t>SELİM İNŞAAT</t>
        </is>
      </c>
      <c r="D1461" s="21" t="inlineStr">
        <is>
          <t>34 GVZ 199</t>
        </is>
      </c>
      <c r="E1461" s="21" t="inlineStr">
        <is>
          <t>VAHDET GÜRLER</t>
        </is>
      </c>
      <c r="F1461" s="23" t="n">
        <v>165026</v>
      </c>
      <c r="G1461" s="138" t="n"/>
      <c r="H1461" s="138" t="n">
        <v>345</v>
      </c>
      <c r="I1461" s="138">
        <f>+I1460+(G1461-H1461)</f>
        <v/>
      </c>
      <c r="J1461" s="139" t="n">
        <v>38.65</v>
      </c>
      <c r="K1461" s="140" t="n"/>
      <c r="L1461" s="140">
        <f>+H1461*J1461</f>
        <v/>
      </c>
      <c r="M1461" s="141">
        <f>SUM(M1460+K1461-L1461)</f>
        <v/>
      </c>
    </row>
    <row r="1462">
      <c r="A1462" s="20" t="n">
        <v>45752</v>
      </c>
      <c r="B1462" s="21" t="n">
        <v>11437</v>
      </c>
      <c r="C1462" s="22" t="inlineStr">
        <is>
          <t>METİN ERYİĞİT</t>
        </is>
      </c>
      <c r="D1462" s="21" t="inlineStr">
        <is>
          <t>34 EGR 814</t>
        </is>
      </c>
      <c r="E1462" s="21" t="inlineStr">
        <is>
          <t>GÜRAY KOYUNCU</t>
        </is>
      </c>
      <c r="F1462" s="23" t="n">
        <v>523378</v>
      </c>
      <c r="G1462" s="138" t="n"/>
      <c r="H1462" s="138" t="n">
        <v>461</v>
      </c>
      <c r="I1462" s="138">
        <f>+I1461+(G1462-H1462)</f>
        <v/>
      </c>
      <c r="J1462" s="139" t="n">
        <v>38.65</v>
      </c>
      <c r="K1462" s="140" t="n"/>
      <c r="L1462" s="140">
        <f>+H1462*J1462</f>
        <v/>
      </c>
      <c r="M1462" s="141">
        <f>SUM(M1461+K1462-L1462)</f>
        <v/>
      </c>
    </row>
    <row r="1463">
      <c r="A1463" s="20" t="n">
        <v>45752</v>
      </c>
      <c r="B1463" s="1" t="n">
        <v>14570</v>
      </c>
      <c r="C1463" s="2" t="inlineStr">
        <is>
          <t>VARLIK</t>
        </is>
      </c>
      <c r="D1463" s="1" t="inlineStr">
        <is>
          <t>SM 300</t>
        </is>
      </c>
      <c r="E1463" s="1" t="inlineStr">
        <is>
          <t>TURGUT SANCAK</t>
        </is>
      </c>
      <c r="F1463" s="3" t="n"/>
      <c r="G1463" s="143" t="n"/>
      <c r="H1463" s="143" t="n">
        <v>263</v>
      </c>
      <c r="I1463" s="143">
        <f>+I1462+(G1463-H1463)</f>
        <v/>
      </c>
      <c r="J1463" s="144" t="n">
        <v>38.65</v>
      </c>
      <c r="K1463" s="145" t="n"/>
      <c r="L1463" s="140">
        <f>+H1463*J1463</f>
        <v/>
      </c>
      <c r="M1463" s="141">
        <f>SUM(M1462+K1463-L1463)</f>
        <v/>
      </c>
    </row>
    <row r="1464">
      <c r="A1464" s="20" t="n">
        <v>45752</v>
      </c>
      <c r="B1464" s="21" t="n">
        <v>21549</v>
      </c>
      <c r="C1464" s="22" t="inlineStr">
        <is>
          <t>SELİM İNŞAAT</t>
        </is>
      </c>
      <c r="D1464" s="21" t="inlineStr">
        <is>
          <t>34 EDB 745</t>
        </is>
      </c>
      <c r="E1464" s="21" t="inlineStr">
        <is>
          <t>MUHAMMED YİĞİT</t>
        </is>
      </c>
      <c r="F1464" s="23" t="n">
        <v>171374</v>
      </c>
      <c r="G1464" s="138" t="n"/>
      <c r="H1464" s="138" t="n">
        <v>369</v>
      </c>
      <c r="I1464" s="138">
        <f>+I1463+(G1464-H1464)</f>
        <v/>
      </c>
      <c r="J1464" s="139" t="n">
        <v>38.65</v>
      </c>
      <c r="K1464" s="140" t="n"/>
      <c r="L1464" s="140">
        <f>+H1464*J1464</f>
        <v/>
      </c>
      <c r="M1464" s="141">
        <f>SUM(M1463+K1464-L1464)</f>
        <v/>
      </c>
    </row>
    <row r="1465">
      <c r="A1465" s="20" t="n">
        <v>45752</v>
      </c>
      <c r="B1465" s="1" t="n">
        <v>14569</v>
      </c>
      <c r="C1465" s="2" t="inlineStr">
        <is>
          <t>VARLIK</t>
        </is>
      </c>
      <c r="D1465" s="1" t="inlineStr">
        <is>
          <t>KAVAZAKİ</t>
        </is>
      </c>
      <c r="E1465" s="1" t="inlineStr">
        <is>
          <t>UFUK SEVAL</t>
        </is>
      </c>
      <c r="F1465" s="3" t="n"/>
      <c r="G1465" s="143" t="n"/>
      <c r="H1465" s="143" t="n">
        <v>162</v>
      </c>
      <c r="I1465" s="143">
        <f>+I1464+(G1465-H1465)</f>
        <v/>
      </c>
      <c r="J1465" s="144" t="n">
        <v>38.65</v>
      </c>
      <c r="K1465" s="145" t="n"/>
      <c r="L1465" s="140">
        <f>+H1465*J1465</f>
        <v/>
      </c>
      <c r="M1465" s="141">
        <f>SUM(M1464+K1465-L1465)</f>
        <v/>
      </c>
    </row>
    <row r="1466">
      <c r="A1466" s="20" t="n">
        <v>45752</v>
      </c>
      <c r="B1466" s="21" t="n">
        <v>10330</v>
      </c>
      <c r="C1466" s="22" t="inlineStr">
        <is>
          <t>SELİM İNŞAAT</t>
        </is>
      </c>
      <c r="D1466" s="21" t="inlineStr">
        <is>
          <t>34 EDB 829</t>
        </is>
      </c>
      <c r="E1466" s="21" t="inlineStr">
        <is>
          <t>İSMET BAYRAM</t>
        </is>
      </c>
      <c r="F1466" s="23" t="n">
        <v>303062</v>
      </c>
      <c r="G1466" s="138" t="n"/>
      <c r="H1466" s="138" t="n">
        <v>302</v>
      </c>
      <c r="I1466" s="138">
        <f>+I1465+(G1466-H1466)</f>
        <v/>
      </c>
      <c r="J1466" s="139" t="n">
        <v>38.65</v>
      </c>
      <c r="K1466" s="140" t="n"/>
      <c r="L1466" s="140">
        <f>+H1466*J1466</f>
        <v/>
      </c>
      <c r="M1466" s="141">
        <f>SUM(M1465+K1466-L1466)</f>
        <v/>
      </c>
    </row>
    <row r="1467">
      <c r="A1467" s="20" t="n">
        <v>45752</v>
      </c>
      <c r="B1467" s="21" t="n">
        <v>11206</v>
      </c>
      <c r="C1467" s="22" t="inlineStr">
        <is>
          <t>SELİM İNŞAAT</t>
        </is>
      </c>
      <c r="D1467" s="21" t="inlineStr">
        <is>
          <t>34 DSN 636</t>
        </is>
      </c>
      <c r="E1467" s="21" t="inlineStr">
        <is>
          <t>MUSTAFA KAYA</t>
        </is>
      </c>
      <c r="F1467" s="23" t="n">
        <v>375058</v>
      </c>
      <c r="G1467" s="138" t="n"/>
      <c r="H1467" s="138" t="n">
        <v>440</v>
      </c>
      <c r="I1467" s="138">
        <f>+I1466+(G1467-H1467)</f>
        <v/>
      </c>
      <c r="J1467" s="139" t="n">
        <v>38.65</v>
      </c>
      <c r="K1467" s="140" t="n"/>
      <c r="L1467" s="140">
        <f>+H1467*J1467</f>
        <v/>
      </c>
      <c r="M1467" s="141">
        <f>SUM(M1466+K1467-L1467)</f>
        <v/>
      </c>
    </row>
    <row r="1468">
      <c r="A1468" s="20" t="n">
        <v>45752</v>
      </c>
      <c r="B1468" s="21" t="n">
        <v>10871</v>
      </c>
      <c r="C1468" s="22" t="inlineStr">
        <is>
          <t>SELİM İNŞAAT</t>
        </is>
      </c>
      <c r="D1468" s="21" t="inlineStr">
        <is>
          <t>34 AR 7743</t>
        </is>
      </c>
      <c r="E1468" s="21" t="inlineStr">
        <is>
          <t>MEHMET SELİM</t>
        </is>
      </c>
      <c r="F1468" s="23" t="n">
        <v>352671</v>
      </c>
      <c r="G1468" s="138" t="n"/>
      <c r="H1468" s="138" t="n">
        <v>42</v>
      </c>
      <c r="I1468" s="138">
        <f>+I1467+(G1468-H1468)</f>
        <v/>
      </c>
      <c r="J1468" s="139" t="n">
        <v>38.65</v>
      </c>
      <c r="K1468" s="140" t="n"/>
      <c r="L1468" s="140">
        <f>+H1468*J1468</f>
        <v/>
      </c>
      <c r="M1468" s="141">
        <f>SUM(M1467+K1468-L1468)</f>
        <v/>
      </c>
    </row>
    <row r="1469">
      <c r="A1469" s="20" t="n">
        <v>45752</v>
      </c>
      <c r="B1469" s="21" t="n">
        <v>11286</v>
      </c>
      <c r="C1469" s="22" t="inlineStr">
        <is>
          <t>SELİM İNŞAAT</t>
        </is>
      </c>
      <c r="D1469" s="21" t="inlineStr">
        <is>
          <t>34 EDC 162</t>
        </is>
      </c>
      <c r="E1469" s="21" t="inlineStr">
        <is>
          <t xml:space="preserve">YAKUP GÜNER </t>
        </is>
      </c>
      <c r="F1469" s="23" t="n">
        <v>351411</v>
      </c>
      <c r="G1469" s="138" t="n"/>
      <c r="H1469" s="138" t="n">
        <v>294</v>
      </c>
      <c r="I1469" s="138">
        <f>+I1468+(G1469-H1469)</f>
        <v/>
      </c>
      <c r="J1469" s="139" t="n">
        <v>38.65</v>
      </c>
      <c r="K1469" s="140" t="n"/>
      <c r="L1469" s="140">
        <f>+H1469*J1469</f>
        <v/>
      </c>
      <c r="M1469" s="141">
        <f>SUM(M1468+K1469-L1469)</f>
        <v/>
      </c>
    </row>
    <row r="1470">
      <c r="A1470" s="20" t="n">
        <v>45752</v>
      </c>
      <c r="B1470" s="21" t="n">
        <v>14653</v>
      </c>
      <c r="C1470" s="22" t="inlineStr">
        <is>
          <t>AHMET SELİM TEMHA</t>
        </is>
      </c>
      <c r="D1470" s="21" t="inlineStr">
        <is>
          <t>34 DGE 422</t>
        </is>
      </c>
      <c r="E1470" s="21" t="inlineStr">
        <is>
          <t>CEMAL AKDAMAR</t>
        </is>
      </c>
      <c r="F1470" s="23" t="n"/>
      <c r="G1470" s="138" t="n"/>
      <c r="H1470" s="138" t="n">
        <v>64</v>
      </c>
      <c r="I1470" s="138">
        <f>+I1469+(G1470-H1470)</f>
        <v/>
      </c>
      <c r="J1470" s="139" t="n">
        <v>38.65</v>
      </c>
      <c r="K1470" s="140" t="n"/>
      <c r="L1470" s="140">
        <f>+H1470*J1470</f>
        <v/>
      </c>
      <c r="M1470" s="141">
        <f>SUM(M1469+K1470-L1470)</f>
        <v/>
      </c>
    </row>
    <row r="1471">
      <c r="A1471" s="20" t="n">
        <v>45752</v>
      </c>
      <c r="B1471" s="1" t="n">
        <v>14571</v>
      </c>
      <c r="C1471" s="2" t="inlineStr">
        <is>
          <t>VARLIK</t>
        </is>
      </c>
      <c r="D1471" s="1" t="inlineStr">
        <is>
          <t>SM 350</t>
        </is>
      </c>
      <c r="E1471" s="1" t="inlineStr">
        <is>
          <t>BAYRAM SANCAK</t>
        </is>
      </c>
      <c r="F1471" s="3" t="n"/>
      <c r="G1471" s="143" t="n"/>
      <c r="H1471" s="143" t="n">
        <v>251</v>
      </c>
      <c r="I1471" s="143">
        <f>+I1470+(G1471-H1471)</f>
        <v/>
      </c>
      <c r="J1471" s="144" t="n">
        <v>38.65</v>
      </c>
      <c r="K1471" s="145" t="n"/>
      <c r="L1471" s="140">
        <f>+H1471*J1471</f>
        <v/>
      </c>
      <c r="M1471" s="141">
        <f>SUM(M1470+K1471-L1471)</f>
        <v/>
      </c>
    </row>
    <row r="1472">
      <c r="A1472" s="20" t="n">
        <v>45752</v>
      </c>
      <c r="B1472" s="21" t="n">
        <v>14707</v>
      </c>
      <c r="C1472" s="22" t="inlineStr">
        <is>
          <t>METİN ERYİĞİT</t>
        </is>
      </c>
      <c r="D1472" s="21" t="inlineStr">
        <is>
          <t>34 GBL 998</t>
        </is>
      </c>
      <c r="E1472" s="21" t="inlineStr">
        <is>
          <t>ALİ KESKİN</t>
        </is>
      </c>
      <c r="F1472" s="23" t="n">
        <v>248700</v>
      </c>
      <c r="G1472" s="138" t="n"/>
      <c r="H1472" s="138" t="n">
        <v>140</v>
      </c>
      <c r="I1472" s="138">
        <f>+I1471+(G1472-H1472)</f>
        <v/>
      </c>
      <c r="J1472" s="139" t="n">
        <v>38.65</v>
      </c>
      <c r="K1472" s="140" t="n"/>
      <c r="L1472" s="140">
        <f>+H1472*J1472</f>
        <v/>
      </c>
      <c r="M1472" s="141">
        <f>SUM(M1471+K1472-L1472)</f>
        <v/>
      </c>
    </row>
    <row r="1473">
      <c r="A1473" s="20" t="n">
        <v>45752</v>
      </c>
      <c r="B1473" s="21" t="n">
        <v>11819</v>
      </c>
      <c r="C1473" s="22" t="inlineStr">
        <is>
          <t>SELİM İNŞAAT</t>
        </is>
      </c>
      <c r="D1473" s="21" t="inlineStr">
        <is>
          <t>34 FSG 229</t>
        </is>
      </c>
      <c r="E1473" s="21" t="inlineStr">
        <is>
          <t>SİNAN TANRIVERDİ</t>
        </is>
      </c>
      <c r="F1473" s="23" t="n">
        <v>241540</v>
      </c>
      <c r="G1473" s="138" t="n"/>
      <c r="H1473" s="138" t="n">
        <v>422</v>
      </c>
      <c r="I1473" s="138">
        <f>+I1472+(G1473-H1473)</f>
        <v/>
      </c>
      <c r="J1473" s="139" t="n">
        <v>38.65</v>
      </c>
      <c r="K1473" s="140" t="n"/>
      <c r="L1473" s="140">
        <f>+H1473*J1473</f>
        <v/>
      </c>
      <c r="M1473" s="141">
        <f>SUM(M1472+K1473-L1473)</f>
        <v/>
      </c>
    </row>
    <row r="1474">
      <c r="A1474" s="20" t="n">
        <v>45753</v>
      </c>
      <c r="B1474" s="21" t="n">
        <v>10567</v>
      </c>
      <c r="C1474" s="22" t="inlineStr">
        <is>
          <t>SELİM İNŞAAT</t>
        </is>
      </c>
      <c r="D1474" s="21" t="inlineStr">
        <is>
          <t>34 GU 945</t>
        </is>
      </c>
      <c r="E1474" s="21" t="inlineStr">
        <is>
          <t>TURAN SEVİNDİK</t>
        </is>
      </c>
      <c r="F1474" s="23" t="n">
        <v>441832</v>
      </c>
      <c r="G1474" s="138" t="n"/>
      <c r="H1474" s="138" t="n">
        <v>47</v>
      </c>
      <c r="I1474" s="138">
        <f>+I1473+(G1474-H1474)</f>
        <v/>
      </c>
      <c r="J1474" s="139" t="n">
        <v>38.65</v>
      </c>
      <c r="K1474" s="140" t="n"/>
      <c r="L1474" s="140">
        <f>+H1474*J1474</f>
        <v/>
      </c>
      <c r="M1474" s="141">
        <f>SUM(M1473+K1474-L1474)</f>
        <v/>
      </c>
    </row>
    <row r="1475">
      <c r="A1475" s="20" t="n">
        <v>45753</v>
      </c>
      <c r="B1475" s="21" t="n">
        <v>14164</v>
      </c>
      <c r="C1475" s="22" t="inlineStr">
        <is>
          <t>AZGÜN YAPI</t>
        </is>
      </c>
      <c r="D1475" s="21" t="inlineStr">
        <is>
          <t>34 DTV 263</t>
        </is>
      </c>
      <c r="E1475" s="21" t="inlineStr">
        <is>
          <t>EDİP TORLAK</t>
        </is>
      </c>
      <c r="F1475" s="23" t="n">
        <v>368748</v>
      </c>
      <c r="G1475" s="138" t="n"/>
      <c r="H1475" s="138" t="n">
        <v>200</v>
      </c>
      <c r="I1475" s="138">
        <f>+I1474+(G1475-H1475)</f>
        <v/>
      </c>
      <c r="J1475" s="139" t="n">
        <v>38.65</v>
      </c>
      <c r="K1475" s="140" t="n"/>
      <c r="L1475" s="140">
        <f>+H1475*J1475</f>
        <v/>
      </c>
      <c r="M1475" s="141">
        <f>SUM(M1474+K1475-L1475)</f>
        <v/>
      </c>
    </row>
    <row r="1476">
      <c r="A1476" s="20" t="n">
        <v>45753</v>
      </c>
      <c r="B1476" s="21" t="n">
        <v>11631</v>
      </c>
      <c r="C1476" s="22" t="inlineStr">
        <is>
          <t>SELİM İNŞAAT</t>
        </is>
      </c>
      <c r="D1476" s="21" t="inlineStr">
        <is>
          <t>34 DTV 352</t>
        </is>
      </c>
      <c r="E1476" s="21" t="inlineStr">
        <is>
          <t xml:space="preserve">RASİM BARTU </t>
        </is>
      </c>
      <c r="F1476" s="23" t="n">
        <v>417551</v>
      </c>
      <c r="G1476" s="138" t="n"/>
      <c r="H1476" s="138" t="n">
        <v>340</v>
      </c>
      <c r="I1476" s="138">
        <f>+I1475+(G1476-H1476)</f>
        <v/>
      </c>
      <c r="J1476" s="139" t="n">
        <v>38.65</v>
      </c>
      <c r="K1476" s="140" t="n"/>
      <c r="L1476" s="140">
        <f>+H1476*J1476</f>
        <v/>
      </c>
      <c r="M1476" s="141">
        <f>SUM(M1475+K1476-L1476)</f>
        <v/>
      </c>
    </row>
    <row r="1477">
      <c r="A1477" s="20" t="n">
        <v>45753</v>
      </c>
      <c r="B1477" s="21" t="n">
        <v>14064</v>
      </c>
      <c r="C1477" s="22" t="inlineStr">
        <is>
          <t>SELİM İNŞAAT</t>
        </is>
      </c>
      <c r="D1477" s="21" t="inlineStr">
        <is>
          <t>34 EDB 659</t>
        </is>
      </c>
      <c r="E1477" s="21" t="inlineStr">
        <is>
          <t>MEHMET SAİT ANIK</t>
        </is>
      </c>
      <c r="F1477" s="23" t="n">
        <v>354051</v>
      </c>
      <c r="G1477" s="138" t="n"/>
      <c r="H1477" s="138" t="n">
        <v>200</v>
      </c>
      <c r="I1477" s="138">
        <f>+I1476+(G1477-H1477)</f>
        <v/>
      </c>
      <c r="J1477" s="139" t="n">
        <v>38.65</v>
      </c>
      <c r="K1477" s="140" t="n"/>
      <c r="L1477" s="140">
        <f>+H1477*J1477</f>
        <v/>
      </c>
      <c r="M1477" s="141">
        <f>SUM(M1476+K1477-L1477)</f>
        <v/>
      </c>
    </row>
    <row r="1478">
      <c r="A1478" s="20" t="n">
        <v>45753</v>
      </c>
      <c r="B1478" s="21" t="n">
        <v>11923</v>
      </c>
      <c r="C1478" s="22" t="inlineStr">
        <is>
          <t>SELİM İNŞAAT</t>
        </is>
      </c>
      <c r="D1478" s="21" t="inlineStr">
        <is>
          <t>34 FBR 742</t>
        </is>
      </c>
      <c r="E1478" s="21" t="inlineStr">
        <is>
          <t>MİKAİL BAYILMAZ</t>
        </is>
      </c>
      <c r="F1478" s="23" t="n">
        <v>302148</v>
      </c>
      <c r="G1478" s="138" t="n"/>
      <c r="H1478" s="138" t="n">
        <v>200</v>
      </c>
      <c r="I1478" s="138">
        <f>+I1477+(G1478-H1478)</f>
        <v/>
      </c>
      <c r="J1478" s="139" t="n">
        <v>38.65</v>
      </c>
      <c r="K1478" s="140" t="n"/>
      <c r="L1478" s="140">
        <f>+H1478*J1478</f>
        <v/>
      </c>
      <c r="M1478" s="141">
        <f>SUM(M1477+K1478-L1478)</f>
        <v/>
      </c>
    </row>
    <row r="1479">
      <c r="A1479" s="20" t="n">
        <v>45753</v>
      </c>
      <c r="B1479" s="21" t="n">
        <v>11793</v>
      </c>
      <c r="C1479" s="22" t="inlineStr">
        <is>
          <t>SELİM İNŞAAT</t>
        </is>
      </c>
      <c r="D1479" s="21" t="inlineStr">
        <is>
          <t>34 EDC 086</t>
        </is>
      </c>
      <c r="E1479" s="21" t="inlineStr">
        <is>
          <t>ÖMER AĞAYAR</t>
        </is>
      </c>
      <c r="F1479" s="23" t="n">
        <v>311423</v>
      </c>
      <c r="G1479" s="138" t="n"/>
      <c r="H1479" s="138" t="n">
        <v>200</v>
      </c>
      <c r="I1479" s="138">
        <f>+I1478+(G1479-H1479)</f>
        <v/>
      </c>
      <c r="J1479" s="139" t="n">
        <v>38.65</v>
      </c>
      <c r="K1479" s="140" t="n"/>
      <c r="L1479" s="140">
        <f>+H1479*J1479</f>
        <v/>
      </c>
      <c r="M1479" s="141">
        <f>SUM(M1478+K1479-L1479)</f>
        <v/>
      </c>
    </row>
    <row r="1480">
      <c r="A1480" s="20" t="n">
        <v>45753</v>
      </c>
      <c r="B1480" s="1" t="n">
        <v>14578</v>
      </c>
      <c r="C1480" s="2" t="inlineStr">
        <is>
          <t>HASALTUN</t>
        </is>
      </c>
      <c r="D1480" s="1" t="inlineStr">
        <is>
          <t>SM 370</t>
        </is>
      </c>
      <c r="E1480" s="1" t="inlineStr">
        <is>
          <t>TEVFİK ÖZTÜRK</t>
        </is>
      </c>
      <c r="F1480" s="3" t="n"/>
      <c r="G1480" s="143" t="n"/>
      <c r="H1480" s="143" t="n">
        <v>338</v>
      </c>
      <c r="I1480" s="143">
        <f>+I1479+(G1480-H1480)</f>
        <v/>
      </c>
      <c r="J1480" s="144" t="n">
        <v>38.65</v>
      </c>
      <c r="K1480" s="145" t="n"/>
      <c r="L1480" s="140">
        <f>+H1480*J1480</f>
        <v/>
      </c>
      <c r="M1480" s="141">
        <f>SUM(M1479+K1480-L1480)</f>
        <v/>
      </c>
    </row>
    <row r="1481">
      <c r="A1481" s="20" t="n">
        <v>45753</v>
      </c>
      <c r="B1481" s="21" t="n">
        <v>14111</v>
      </c>
      <c r="C1481" s="22" t="inlineStr">
        <is>
          <t>SELİM İNŞAAT</t>
        </is>
      </c>
      <c r="D1481" s="21" t="inlineStr">
        <is>
          <t>34 DSN 536</t>
        </is>
      </c>
      <c r="E1481" s="21" t="inlineStr">
        <is>
          <t>DURSUN ALİ GÜREK</t>
        </is>
      </c>
      <c r="F1481" s="23" t="n">
        <v>388782</v>
      </c>
      <c r="G1481" s="138" t="n"/>
      <c r="H1481" s="138" t="n">
        <v>200</v>
      </c>
      <c r="I1481" s="138">
        <f>+I1480+(G1481-H1481)</f>
        <v/>
      </c>
      <c r="J1481" s="139" t="n">
        <v>38.65</v>
      </c>
      <c r="K1481" s="140" t="n"/>
      <c r="L1481" s="140">
        <f>+H1481*J1481</f>
        <v/>
      </c>
      <c r="M1481" s="141">
        <f>SUM(M1480+K1481-L1481)</f>
        <v/>
      </c>
    </row>
    <row r="1482">
      <c r="A1482" s="20" t="n">
        <v>45753</v>
      </c>
      <c r="B1482" s="21" t="n">
        <v>14315</v>
      </c>
      <c r="C1482" s="22" t="inlineStr">
        <is>
          <t>SELİM İNŞAAT</t>
        </is>
      </c>
      <c r="D1482" s="21" t="inlineStr">
        <is>
          <t>34 DKL 866</t>
        </is>
      </c>
      <c r="E1482" s="21" t="inlineStr">
        <is>
          <t>SELİM CAN ÖNVER</t>
        </is>
      </c>
      <c r="F1482" s="23" t="n">
        <v>62981</v>
      </c>
      <c r="G1482" s="138" t="n"/>
      <c r="H1482" s="138" t="n">
        <v>137</v>
      </c>
      <c r="I1482" s="138">
        <f>+I1481+(G1482-H1482)</f>
        <v/>
      </c>
      <c r="J1482" s="139" t="n">
        <v>38.65</v>
      </c>
      <c r="K1482" s="140" t="n"/>
      <c r="L1482" s="140">
        <f>+H1482*J1482</f>
        <v/>
      </c>
      <c r="M1482" s="141">
        <f>SUM(M1481+K1482-L1482)</f>
        <v/>
      </c>
    </row>
    <row r="1483">
      <c r="A1483" s="20" t="n">
        <v>45753</v>
      </c>
      <c r="B1483" s="21" t="n">
        <v>11898</v>
      </c>
      <c r="C1483" s="22" t="inlineStr">
        <is>
          <t>SELİM İNŞAAT</t>
        </is>
      </c>
      <c r="D1483" s="21" t="inlineStr">
        <is>
          <t>34 DFE 454</t>
        </is>
      </c>
      <c r="E1483" s="21" t="inlineStr">
        <is>
          <t>METİN KALKAN</t>
        </is>
      </c>
      <c r="F1483" s="23" t="n">
        <v>156400</v>
      </c>
      <c r="G1483" s="138" t="n"/>
      <c r="H1483" s="138" t="n">
        <v>203</v>
      </c>
      <c r="I1483" s="138">
        <f>+I1482+(G1483-H1483)</f>
        <v/>
      </c>
      <c r="J1483" s="139" t="n">
        <v>38.65</v>
      </c>
      <c r="K1483" s="140" t="n"/>
      <c r="L1483" s="140">
        <f>+H1483*J1483</f>
        <v/>
      </c>
      <c r="M1483" s="141">
        <f>SUM(M1482+K1483-L1483)</f>
        <v/>
      </c>
    </row>
    <row r="1484">
      <c r="A1484" s="20" t="n">
        <v>45753</v>
      </c>
      <c r="B1484" s="21" t="n">
        <v>10526</v>
      </c>
      <c r="C1484" s="22" t="inlineStr">
        <is>
          <t>SELİM İNŞAAT</t>
        </is>
      </c>
      <c r="D1484" s="21" t="inlineStr">
        <is>
          <t>34 EDB 922</t>
        </is>
      </c>
      <c r="E1484" s="21" t="inlineStr">
        <is>
          <t>AHMET TOPÇU</t>
        </is>
      </c>
      <c r="F1484" s="23" t="n">
        <v>343613</v>
      </c>
      <c r="G1484" s="138" t="n"/>
      <c r="H1484" s="138" t="n">
        <v>395</v>
      </c>
      <c r="I1484" s="138">
        <f>+I1483+(G1484-H1484)</f>
        <v/>
      </c>
      <c r="J1484" s="139" t="n">
        <v>38.65</v>
      </c>
      <c r="K1484" s="140" t="n"/>
      <c r="L1484" s="140">
        <f>+H1484*J1484</f>
        <v/>
      </c>
      <c r="M1484" s="141">
        <f>SUM(M1483+K1484-L1484)</f>
        <v/>
      </c>
    </row>
    <row r="1485">
      <c r="A1485" s="20" t="n">
        <v>45753</v>
      </c>
      <c r="B1485" s="21" t="n">
        <v>16732</v>
      </c>
      <c r="C1485" s="22" t="inlineStr">
        <is>
          <t>SELİM İNŞAAT</t>
        </is>
      </c>
      <c r="D1485" s="21" t="inlineStr">
        <is>
          <t>34 JBA 25</t>
        </is>
      </c>
      <c r="E1485" s="21" t="inlineStr">
        <is>
          <t>ABDURRAHMAN SERDAN</t>
        </is>
      </c>
      <c r="F1485" s="23" t="n">
        <v>320947</v>
      </c>
      <c r="G1485" s="138" t="n"/>
      <c r="H1485" s="138" t="n">
        <v>67</v>
      </c>
      <c r="I1485" s="138">
        <f>+I1484+(G1485-H1485)</f>
        <v/>
      </c>
      <c r="J1485" s="139" t="n">
        <v>38.65</v>
      </c>
      <c r="K1485" s="140" t="n"/>
      <c r="L1485" s="140">
        <f>+H1485*J1485</f>
        <v/>
      </c>
      <c r="M1485" s="141">
        <f>SUM(M1484+K1485-L1485)</f>
        <v/>
      </c>
    </row>
    <row r="1486">
      <c r="A1486" s="20" t="n">
        <v>45753</v>
      </c>
      <c r="B1486" s="1" t="n">
        <v>14576</v>
      </c>
      <c r="C1486" s="2" t="inlineStr">
        <is>
          <t>VARLIK</t>
        </is>
      </c>
      <c r="D1486" s="1" t="inlineStr">
        <is>
          <t>KAVAZAKİ</t>
        </is>
      </c>
      <c r="E1486" s="1" t="inlineStr">
        <is>
          <t>UFUK SEVAL</t>
        </is>
      </c>
      <c r="F1486" s="3" t="n"/>
      <c r="G1486" s="143" t="n"/>
      <c r="H1486" s="143" t="n">
        <v>176</v>
      </c>
      <c r="I1486" s="143">
        <f>+I1485+(G1486-H1486)</f>
        <v/>
      </c>
      <c r="J1486" s="144" t="n">
        <v>38.65</v>
      </c>
      <c r="K1486" s="145" t="n"/>
      <c r="L1486" s="140">
        <f>+H1486*J1486</f>
        <v/>
      </c>
      <c r="M1486" s="141">
        <f>SUM(M1485+K1486-L1486)</f>
        <v/>
      </c>
    </row>
    <row r="1487">
      <c r="A1487" s="20" t="n">
        <v>45753</v>
      </c>
      <c r="B1487" s="21" t="n">
        <v>10035</v>
      </c>
      <c r="C1487" s="22" t="inlineStr">
        <is>
          <t>METİN ERYİĞİT</t>
        </is>
      </c>
      <c r="D1487" s="21" t="inlineStr">
        <is>
          <t>34 EGS 013</t>
        </is>
      </c>
      <c r="E1487" s="21" t="inlineStr">
        <is>
          <t>UĞUR DUMAN</t>
        </is>
      </c>
      <c r="F1487" s="23" t="n">
        <v>472682</v>
      </c>
      <c r="G1487" s="138" t="n"/>
      <c r="H1487" s="138" t="n">
        <v>300</v>
      </c>
      <c r="I1487" s="138">
        <f>+I1486+(G1487-H1487)</f>
        <v/>
      </c>
      <c r="J1487" s="139" t="n">
        <v>38.65</v>
      </c>
      <c r="K1487" s="140" t="n"/>
      <c r="L1487" s="140">
        <f>+H1487*J1487</f>
        <v/>
      </c>
      <c r="M1487" s="141">
        <f>SUM(M1486+K1487-L1487)</f>
        <v/>
      </c>
    </row>
    <row r="1488">
      <c r="A1488" s="20" t="n">
        <v>45753</v>
      </c>
      <c r="B1488" s="1" t="n">
        <v>14577</v>
      </c>
      <c r="C1488" s="2" t="inlineStr">
        <is>
          <t>HASALTUN</t>
        </is>
      </c>
      <c r="D1488" s="1" t="inlineStr">
        <is>
          <t>SM 300</t>
        </is>
      </c>
      <c r="E1488" s="1" t="inlineStr">
        <is>
          <t>TURGUT SANCAK</t>
        </is>
      </c>
      <c r="F1488" s="3" t="n"/>
      <c r="G1488" s="143" t="n"/>
      <c r="H1488" s="143" t="n">
        <v>187</v>
      </c>
      <c r="I1488" s="143">
        <f>+I1487+(G1488-H1488)</f>
        <v/>
      </c>
      <c r="J1488" s="144" t="n">
        <v>38.65</v>
      </c>
      <c r="K1488" s="145" t="n"/>
      <c r="L1488" s="140">
        <f>+H1488*J1488</f>
        <v/>
      </c>
      <c r="M1488" s="141">
        <f>SUM(M1487+K1488-L1488)</f>
        <v/>
      </c>
    </row>
    <row r="1489">
      <c r="A1489" s="20" t="n">
        <v>45753</v>
      </c>
      <c r="B1489" s="21" t="n">
        <v>14410</v>
      </c>
      <c r="C1489" s="22" t="inlineStr">
        <is>
          <t>SELİM İNŞAAT</t>
        </is>
      </c>
      <c r="D1489" s="21" t="inlineStr">
        <is>
          <t>34 EGR 737</t>
        </is>
      </c>
      <c r="E1489" s="21" t="inlineStr">
        <is>
          <t>İBRAHİM GÜNASLAN</t>
        </is>
      </c>
      <c r="F1489" s="23" t="n">
        <v>401344</v>
      </c>
      <c r="G1489" s="138" t="n"/>
      <c r="H1489" s="138" t="n">
        <v>200</v>
      </c>
      <c r="I1489" s="138">
        <f>+I1488+(G1489-H1489)</f>
        <v/>
      </c>
      <c r="J1489" s="139" t="n">
        <v>38.65</v>
      </c>
      <c r="K1489" s="140" t="n"/>
      <c r="L1489" s="140">
        <f>+H1489*J1489</f>
        <v/>
      </c>
      <c r="M1489" s="141">
        <f>SUM(M1488+K1489-L1489)</f>
        <v/>
      </c>
    </row>
    <row r="1490">
      <c r="A1490" s="20" t="n">
        <v>45753</v>
      </c>
      <c r="B1490" s="21" t="n">
        <v>10369</v>
      </c>
      <c r="C1490" s="22" t="inlineStr">
        <is>
          <t>SELİM İNŞAAT</t>
        </is>
      </c>
      <c r="D1490" s="21" t="inlineStr">
        <is>
          <t>34 DRU 690</t>
        </is>
      </c>
      <c r="E1490" s="21" t="inlineStr">
        <is>
          <t>MEVLÜT POLAT</t>
        </is>
      </c>
      <c r="F1490" s="23" t="n">
        <v>399017</v>
      </c>
      <c r="G1490" s="138" t="n"/>
      <c r="H1490" s="138" t="n">
        <v>400</v>
      </c>
      <c r="I1490" s="138">
        <f>+I1489+(G1490-H1490)</f>
        <v/>
      </c>
      <c r="J1490" s="139" t="n">
        <v>38.65</v>
      </c>
      <c r="K1490" s="140" t="n"/>
      <c r="L1490" s="140">
        <f>+H1490*J1490</f>
        <v/>
      </c>
      <c r="M1490" s="141">
        <f>SUM(M1489+K1490-L1490)</f>
        <v/>
      </c>
    </row>
    <row r="1491">
      <c r="A1491" s="20" t="n">
        <v>45753</v>
      </c>
      <c r="B1491" s="21" t="n">
        <v>10134</v>
      </c>
      <c r="C1491" s="22" t="inlineStr">
        <is>
          <t>SELİM İNŞAAT</t>
        </is>
      </c>
      <c r="D1491" s="21" t="inlineStr">
        <is>
          <t>34 DP 4161</t>
        </is>
      </c>
      <c r="E1491" s="21" t="inlineStr">
        <is>
          <t>RIFAT KARATAY</t>
        </is>
      </c>
      <c r="F1491" s="23" t="n">
        <v>280890</v>
      </c>
      <c r="G1491" s="138" t="n"/>
      <c r="H1491" s="138" t="n">
        <v>128</v>
      </c>
      <c r="I1491" s="138">
        <f>+I1490+(G1491-H1491)</f>
        <v/>
      </c>
      <c r="J1491" s="139" t="n">
        <v>38.65</v>
      </c>
      <c r="K1491" s="140" t="n"/>
      <c r="L1491" s="140">
        <f>+H1491*J1491</f>
        <v/>
      </c>
      <c r="M1491" s="141">
        <f>SUM(M1490+K1491-L1491)</f>
        <v/>
      </c>
    </row>
    <row r="1492">
      <c r="A1492" s="20" t="n">
        <v>45753</v>
      </c>
      <c r="B1492" s="1" t="n">
        <v>14574</v>
      </c>
      <c r="C1492" s="2" t="inlineStr">
        <is>
          <t>VARLIK</t>
        </is>
      </c>
      <c r="D1492" s="1" t="inlineStr">
        <is>
          <t>SM 300</t>
        </is>
      </c>
      <c r="E1492" s="1" t="inlineStr">
        <is>
          <t>TURGUT SANCAK</t>
        </is>
      </c>
      <c r="F1492" s="3" t="n"/>
      <c r="G1492" s="143" t="n"/>
      <c r="H1492" s="143" t="n">
        <v>219</v>
      </c>
      <c r="I1492" s="143">
        <f>+I1491+(G1492-H1492)</f>
        <v/>
      </c>
      <c r="J1492" s="144" t="n">
        <v>38.65</v>
      </c>
      <c r="K1492" s="145" t="n"/>
      <c r="L1492" s="140">
        <f>+H1492*J1492</f>
        <v/>
      </c>
      <c r="M1492" s="141">
        <f>SUM(M1491+K1492-L1492)</f>
        <v/>
      </c>
    </row>
    <row r="1493">
      <c r="A1493" s="20" t="n">
        <v>45753</v>
      </c>
      <c r="B1493" s="21" t="n">
        <v>11730</v>
      </c>
      <c r="C1493" s="22" t="inlineStr">
        <is>
          <t>SELİM İNŞAAT</t>
        </is>
      </c>
      <c r="D1493" s="21" t="inlineStr">
        <is>
          <t>34 EDB 559</t>
        </is>
      </c>
      <c r="E1493" s="21" t="inlineStr">
        <is>
          <t>CEM MUHTAR</t>
        </is>
      </c>
      <c r="F1493" s="23" t="n">
        <v>313170</v>
      </c>
      <c r="G1493" s="138" t="n"/>
      <c r="H1493" s="138" t="n">
        <v>270</v>
      </c>
      <c r="I1493" s="138">
        <f>+I1492+(G1493-H1493)</f>
        <v/>
      </c>
      <c r="J1493" s="139" t="n">
        <v>38.65</v>
      </c>
      <c r="K1493" s="140" t="n"/>
      <c r="L1493" s="140">
        <f>+H1493*J1493</f>
        <v/>
      </c>
      <c r="M1493" s="141">
        <f>SUM(M1492+K1493-L1493)</f>
        <v/>
      </c>
    </row>
    <row r="1494">
      <c r="A1494" s="20" t="n">
        <v>45753</v>
      </c>
      <c r="B1494" s="1" t="n">
        <v>14573</v>
      </c>
      <c r="C1494" s="2" t="inlineStr">
        <is>
          <t>HASALTUN</t>
        </is>
      </c>
      <c r="D1494" s="1" t="inlineStr">
        <is>
          <t>SM 370</t>
        </is>
      </c>
      <c r="E1494" s="1" t="inlineStr">
        <is>
          <t>RAMAZAN KAYA</t>
        </is>
      </c>
      <c r="F1494" s="3" t="n"/>
      <c r="G1494" s="143" t="n"/>
      <c r="H1494" s="143" t="n">
        <v>533</v>
      </c>
      <c r="I1494" s="143">
        <f>+I1493+(G1494-H1494)</f>
        <v/>
      </c>
      <c r="J1494" s="144" t="n">
        <v>38.65</v>
      </c>
      <c r="K1494" s="145" t="n"/>
      <c r="L1494" s="140">
        <f>+H1494*J1494</f>
        <v/>
      </c>
      <c r="M1494" s="141">
        <f>SUM(M1493+K1494-L1494)</f>
        <v/>
      </c>
    </row>
    <row r="1495">
      <c r="A1495" s="20" t="n">
        <v>45753</v>
      </c>
      <c r="B1495" s="1" t="n">
        <v>14572</v>
      </c>
      <c r="C1495" s="2" t="inlineStr">
        <is>
          <t>HASALTUN</t>
        </is>
      </c>
      <c r="D1495" s="1" t="inlineStr">
        <is>
          <t>SM 350</t>
        </is>
      </c>
      <c r="E1495" s="1" t="inlineStr">
        <is>
          <t>TEVFİK ÖZTÜRK</t>
        </is>
      </c>
      <c r="F1495" s="3" t="n"/>
      <c r="G1495" s="143" t="n"/>
      <c r="H1495" s="143" t="n">
        <v>341</v>
      </c>
      <c r="I1495" s="143">
        <f>+I1494+(G1495-H1495)</f>
        <v/>
      </c>
      <c r="J1495" s="144" t="n">
        <v>38.65</v>
      </c>
      <c r="K1495" s="145" t="n"/>
      <c r="L1495" s="140">
        <f>+H1495*J1495</f>
        <v/>
      </c>
      <c r="M1495" s="141">
        <f>SUM(M1494+K1495-L1495)</f>
        <v/>
      </c>
    </row>
    <row r="1496">
      <c r="A1496" s="20" t="n">
        <v>45753</v>
      </c>
      <c r="B1496" s="1" t="n">
        <v>14575</v>
      </c>
      <c r="C1496" s="2" t="inlineStr">
        <is>
          <t>VARLIK</t>
        </is>
      </c>
      <c r="D1496" s="1" t="inlineStr">
        <is>
          <t>SM 350</t>
        </is>
      </c>
      <c r="E1496" s="1" t="inlineStr">
        <is>
          <t>BAYRAM SANCAK</t>
        </is>
      </c>
      <c r="F1496" s="3" t="n"/>
      <c r="G1496" s="143" t="n"/>
      <c r="H1496" s="143" t="n">
        <v>194</v>
      </c>
      <c r="I1496" s="143">
        <f>+I1495+(G1496-H1496)</f>
        <v/>
      </c>
      <c r="J1496" s="144" t="n">
        <v>38.65</v>
      </c>
      <c r="K1496" s="145" t="n"/>
      <c r="L1496" s="140">
        <f>+H1496*J1496</f>
        <v/>
      </c>
      <c r="M1496" s="141">
        <f>SUM(M1495+K1496-L1496)</f>
        <v/>
      </c>
    </row>
    <row r="1497">
      <c r="A1497" s="20" t="n">
        <v>45754</v>
      </c>
      <c r="B1497" s="21" t="n">
        <v>409</v>
      </c>
      <c r="C1497" s="22" t="inlineStr">
        <is>
          <t>ÜNSOY TURİZM İNŞ.SAN.VE TİC.A.Ş.</t>
        </is>
      </c>
      <c r="D1497" s="21" t="n"/>
      <c r="E1497" s="21" t="n"/>
      <c r="F1497" s="23" t="n"/>
      <c r="G1497" s="138" t="n">
        <v>32555</v>
      </c>
      <c r="H1497" s="138" t="n"/>
      <c r="I1497" s="138">
        <f>+I1496+(G1497-H1497)</f>
        <v/>
      </c>
      <c r="J1497" s="139">
        <f>+K1497/G1497</f>
        <v/>
      </c>
      <c r="K1497" s="140" t="n">
        <v>1318737.94</v>
      </c>
      <c r="L1497" s="140">
        <f>+H1497*J1497</f>
        <v/>
      </c>
      <c r="M1497" s="141">
        <f>SUM(M1496+K1497-L1497)</f>
        <v/>
      </c>
    </row>
    <row r="1498">
      <c r="A1498" s="20" t="n">
        <v>45755</v>
      </c>
      <c r="B1498" s="21" t="n">
        <v>14613</v>
      </c>
      <c r="C1498" s="22" t="inlineStr">
        <is>
          <t>SELİM İNŞAAT</t>
        </is>
      </c>
      <c r="D1498" s="21" t="inlineStr">
        <is>
          <t>34 GER 445</t>
        </is>
      </c>
      <c r="E1498" s="21" t="inlineStr">
        <is>
          <t>HASAN BAYCAN</t>
        </is>
      </c>
      <c r="F1498" s="23" t="n">
        <v>39952</v>
      </c>
      <c r="G1498" s="138" t="n"/>
      <c r="H1498" s="138" t="n">
        <v>198</v>
      </c>
      <c r="I1498" s="138">
        <f>+I1497+(G1498-H1498)</f>
        <v/>
      </c>
      <c r="J1498" s="139" t="n">
        <v>40.508</v>
      </c>
      <c r="K1498" s="140" t="n"/>
      <c r="L1498" s="140">
        <f>+H1498*J1498</f>
        <v/>
      </c>
      <c r="M1498" s="141">
        <f>SUM(M1497+K1498-L1498)</f>
        <v/>
      </c>
    </row>
    <row r="1499">
      <c r="A1499" s="20" t="n">
        <v>45755</v>
      </c>
      <c r="B1499" s="1" t="n">
        <v>14579</v>
      </c>
      <c r="C1499" s="2" t="inlineStr">
        <is>
          <t>HASALTUN</t>
        </is>
      </c>
      <c r="D1499" s="1" t="inlineStr">
        <is>
          <t>SM 370</t>
        </is>
      </c>
      <c r="E1499" s="1" t="inlineStr">
        <is>
          <t>RAMAZAN KAYA</t>
        </is>
      </c>
      <c r="F1499" s="3" t="n"/>
      <c r="G1499" s="143" t="n"/>
      <c r="H1499" s="143" t="n">
        <v>446</v>
      </c>
      <c r="I1499" s="143">
        <f>+I1498+(G1499-H1499)</f>
        <v/>
      </c>
      <c r="J1499" s="144" t="n">
        <v>40.508</v>
      </c>
      <c r="K1499" s="145" t="n"/>
      <c r="L1499" s="140">
        <f>+H1499*J1499</f>
        <v/>
      </c>
      <c r="M1499" s="141">
        <f>SUM(M1498+K1499-L1499)</f>
        <v/>
      </c>
    </row>
    <row r="1500">
      <c r="A1500" s="20" t="n">
        <v>45756</v>
      </c>
      <c r="B1500" s="21" t="n">
        <v>15001</v>
      </c>
      <c r="C1500" s="22" t="inlineStr">
        <is>
          <t>SELİM İNŞAAT</t>
        </is>
      </c>
      <c r="D1500" s="21" t="inlineStr">
        <is>
          <t>34 GVZ 199</t>
        </is>
      </c>
      <c r="E1500" s="21" t="inlineStr">
        <is>
          <t>VAHDET GÜRLER</t>
        </is>
      </c>
      <c r="F1500" s="23" t="n">
        <v>165332</v>
      </c>
      <c r="G1500" s="138" t="n"/>
      <c r="H1500" s="138" t="n">
        <v>169</v>
      </c>
      <c r="I1500" s="138">
        <f>+I1499+(G1500-H1500)</f>
        <v/>
      </c>
      <c r="J1500" s="139" t="n">
        <v>40.508</v>
      </c>
      <c r="K1500" s="140" t="n"/>
      <c r="L1500" s="140">
        <f>+H1500*J1500</f>
        <v/>
      </c>
      <c r="M1500" s="141">
        <f>SUM(M1499+K1500-L1500)</f>
        <v/>
      </c>
    </row>
    <row r="1501">
      <c r="A1501" s="20" t="n">
        <v>45756</v>
      </c>
      <c r="B1501" s="1" t="n">
        <v>14585</v>
      </c>
      <c r="C1501" s="2" t="inlineStr">
        <is>
          <t>HASALTUN</t>
        </is>
      </c>
      <c r="D1501" s="1" t="inlineStr">
        <is>
          <t>SM 370</t>
        </is>
      </c>
      <c r="E1501" s="1" t="inlineStr">
        <is>
          <t>RAMAZAN KAYA</t>
        </is>
      </c>
      <c r="F1501" s="3" t="n"/>
      <c r="G1501" s="143" t="n"/>
      <c r="H1501" s="143" t="n">
        <v>467</v>
      </c>
      <c r="I1501" s="143">
        <f>+I1500+(G1501-H1501)</f>
        <v/>
      </c>
      <c r="J1501" s="144" t="n">
        <v>40.508</v>
      </c>
      <c r="K1501" s="145" t="n"/>
      <c r="L1501" s="140">
        <f>+H1501*J1501</f>
        <v/>
      </c>
      <c r="M1501" s="141">
        <f>SUM(M1500+K1501-L1501)</f>
        <v/>
      </c>
    </row>
    <row r="1502">
      <c r="A1502" s="20" t="n">
        <v>45756</v>
      </c>
      <c r="B1502" s="21" t="n">
        <v>10218</v>
      </c>
      <c r="C1502" s="22" t="inlineStr">
        <is>
          <t>SELİM İNŞAAT</t>
        </is>
      </c>
      <c r="D1502" s="21" t="inlineStr">
        <is>
          <t>34 DSN 621</t>
        </is>
      </c>
      <c r="E1502" s="21" t="inlineStr">
        <is>
          <t>MUSTAFA KAYA</t>
        </is>
      </c>
      <c r="F1502" s="23" t="n">
        <v>397600</v>
      </c>
      <c r="G1502" s="138" t="n"/>
      <c r="H1502" s="138" t="n">
        <v>200</v>
      </c>
      <c r="I1502" s="138">
        <f>+I1501+(G1502-H1502)</f>
        <v/>
      </c>
      <c r="J1502" s="139" t="n">
        <v>40.508</v>
      </c>
      <c r="K1502" s="140" t="n"/>
      <c r="L1502" s="140">
        <f>+H1502*J1502</f>
        <v/>
      </c>
      <c r="M1502" s="141">
        <f>SUM(M1501+K1502-L1502)</f>
        <v/>
      </c>
    </row>
    <row r="1503">
      <c r="A1503" s="20" t="n">
        <v>45756</v>
      </c>
      <c r="B1503" s="21" t="n">
        <v>14614</v>
      </c>
      <c r="C1503" s="22" t="inlineStr">
        <is>
          <t>SELİM İNŞAAT</t>
        </is>
      </c>
      <c r="D1503" s="21" t="inlineStr">
        <is>
          <t>34 GER 445</t>
        </is>
      </c>
      <c r="E1503" s="21" t="inlineStr">
        <is>
          <t>HASAN BAYCAN</t>
        </is>
      </c>
      <c r="F1503" s="23" t="n">
        <v>40015</v>
      </c>
      <c r="G1503" s="138" t="n"/>
      <c r="H1503" s="138" t="n">
        <v>116</v>
      </c>
      <c r="I1503" s="138">
        <f>+I1502+(G1503-H1503)</f>
        <v/>
      </c>
      <c r="J1503" s="139" t="n">
        <v>40.508</v>
      </c>
      <c r="K1503" s="140" t="n"/>
      <c r="L1503" s="140">
        <f>+H1503*J1503</f>
        <v/>
      </c>
      <c r="M1503" s="141">
        <f>SUM(M1502+K1503-L1503)</f>
        <v/>
      </c>
    </row>
    <row r="1504">
      <c r="A1504" s="20" t="n">
        <v>45756</v>
      </c>
      <c r="B1504" s="21" t="n">
        <v>14065</v>
      </c>
      <c r="C1504" s="22" t="inlineStr">
        <is>
          <t>SELİM İNŞAAT</t>
        </is>
      </c>
      <c r="D1504" s="21" t="inlineStr">
        <is>
          <t>34 EDB 659</t>
        </is>
      </c>
      <c r="E1504" s="21" t="inlineStr">
        <is>
          <t>MEHMET SAİT ANIK</t>
        </is>
      </c>
      <c r="F1504" s="23" t="n">
        <v>354440</v>
      </c>
      <c r="G1504" s="138" t="n"/>
      <c r="H1504" s="138" t="n">
        <v>428</v>
      </c>
      <c r="I1504" s="138">
        <f>+I1503+(G1504-H1504)</f>
        <v/>
      </c>
      <c r="J1504" s="139" t="n">
        <v>40.508</v>
      </c>
      <c r="K1504" s="140" t="n"/>
      <c r="L1504" s="140">
        <f>+H1504*J1504</f>
        <v/>
      </c>
      <c r="M1504" s="141">
        <f>SUM(M1503+K1504-L1504)</f>
        <v/>
      </c>
    </row>
    <row r="1505">
      <c r="A1505" s="20" t="n">
        <v>45756</v>
      </c>
      <c r="B1505" s="21" t="n">
        <v>14512</v>
      </c>
      <c r="C1505" s="22" t="inlineStr">
        <is>
          <t>SELİM İNŞAAT</t>
        </is>
      </c>
      <c r="D1505" s="21" t="inlineStr">
        <is>
          <t>34 GER 028</t>
        </is>
      </c>
      <c r="E1505" s="21" t="inlineStr">
        <is>
          <t>A.KERİM ERGEN</t>
        </is>
      </c>
      <c r="F1505" s="23" t="n">
        <v>41677</v>
      </c>
      <c r="G1505" s="138" t="n"/>
      <c r="H1505" s="138" t="n">
        <v>172</v>
      </c>
      <c r="I1505" s="138">
        <f>+I1504+(G1505-H1505)</f>
        <v/>
      </c>
      <c r="J1505" s="139" t="n">
        <v>40.508</v>
      </c>
      <c r="K1505" s="140" t="n"/>
      <c r="L1505" s="140">
        <f>+H1505*J1505</f>
        <v/>
      </c>
      <c r="M1505" s="141">
        <f>SUM(M1504+K1505-L1505)</f>
        <v/>
      </c>
    </row>
    <row r="1506">
      <c r="A1506" s="20" t="n">
        <v>45756</v>
      </c>
      <c r="B1506" s="21" t="n">
        <v>14655</v>
      </c>
      <c r="C1506" s="22" t="inlineStr">
        <is>
          <t>AHMET SELİM TEMHA</t>
        </is>
      </c>
      <c r="D1506" s="21" t="inlineStr">
        <is>
          <t>FOKLİFT</t>
        </is>
      </c>
      <c r="E1506" s="21" t="inlineStr">
        <is>
          <t>OĞUZHAN AYDINLI</t>
        </is>
      </c>
      <c r="F1506" s="23" t="n"/>
      <c r="G1506" s="138" t="n"/>
      <c r="H1506" s="138" t="n">
        <v>52</v>
      </c>
      <c r="I1506" s="138">
        <f>+I1505+(G1506-H1506)</f>
        <v/>
      </c>
      <c r="J1506" s="139" t="n">
        <v>40.508</v>
      </c>
      <c r="K1506" s="140" t="n"/>
      <c r="L1506" s="140">
        <f>+H1506*J1506</f>
        <v/>
      </c>
      <c r="M1506" s="141">
        <f>SUM(M1505+K1506-L1506)</f>
        <v/>
      </c>
    </row>
    <row r="1507">
      <c r="A1507" s="20" t="n">
        <v>45756</v>
      </c>
      <c r="B1507" s="1" t="n">
        <v>14583</v>
      </c>
      <c r="C1507" s="2" t="inlineStr">
        <is>
          <t>HASALTUN</t>
        </is>
      </c>
      <c r="D1507" s="1" t="inlineStr">
        <is>
          <t>SİLİNDİR</t>
        </is>
      </c>
      <c r="E1507" s="1" t="inlineStr">
        <is>
          <t>ÖNER DÜNDAR</t>
        </is>
      </c>
      <c r="F1507" s="3" t="n"/>
      <c r="G1507" s="143" t="n"/>
      <c r="H1507" s="143" t="n">
        <v>223</v>
      </c>
      <c r="I1507" s="143">
        <f>+I1506+(G1507-H1507)</f>
        <v/>
      </c>
      <c r="J1507" s="144" t="n">
        <v>40.508</v>
      </c>
      <c r="K1507" s="145" t="n"/>
      <c r="L1507" s="140">
        <f>+H1507*J1507</f>
        <v/>
      </c>
      <c r="M1507" s="141">
        <f>SUM(M1506+K1507-L1507)</f>
        <v/>
      </c>
    </row>
    <row r="1508">
      <c r="A1508" s="20" t="n">
        <v>45756</v>
      </c>
      <c r="B1508" s="21" t="n">
        <v>10777</v>
      </c>
      <c r="C1508" s="22" t="inlineStr">
        <is>
          <t>SELİM İNŞAAT</t>
        </is>
      </c>
      <c r="D1508" s="21" t="inlineStr">
        <is>
          <t>34 FBR 705</t>
        </is>
      </c>
      <c r="E1508" s="21" t="inlineStr">
        <is>
          <t>MESUT GÜRLER</t>
        </is>
      </c>
      <c r="F1508" s="23" t="n">
        <v>298111</v>
      </c>
      <c r="G1508" s="138" t="n"/>
      <c r="H1508" s="138" t="n">
        <v>305</v>
      </c>
      <c r="I1508" s="138">
        <f>+I1507+(G1508-H1508)</f>
        <v/>
      </c>
      <c r="J1508" s="139" t="n">
        <v>40.508</v>
      </c>
      <c r="K1508" s="140" t="n"/>
      <c r="L1508" s="140">
        <f>+H1508*J1508</f>
        <v/>
      </c>
      <c r="M1508" s="141">
        <f>SUM(M1507+K1508-L1508)</f>
        <v/>
      </c>
    </row>
    <row r="1509">
      <c r="A1509" s="20" t="n">
        <v>45756</v>
      </c>
      <c r="B1509" s="21" t="n">
        <v>10370</v>
      </c>
      <c r="C1509" s="22" t="inlineStr">
        <is>
          <t>SELİM İNŞAAT</t>
        </is>
      </c>
      <c r="D1509" s="21" t="inlineStr">
        <is>
          <t>34 DRU 690</t>
        </is>
      </c>
      <c r="E1509" s="21" t="inlineStr">
        <is>
          <t xml:space="preserve">RASİM BARTU </t>
        </is>
      </c>
      <c r="F1509" s="23" t="n">
        <v>399324</v>
      </c>
      <c r="G1509" s="138" t="n"/>
      <c r="H1509" s="138" t="n">
        <v>319</v>
      </c>
      <c r="I1509" s="138">
        <f>+I1508+(G1509-H1509)</f>
        <v/>
      </c>
      <c r="J1509" s="139" t="n">
        <v>40.508</v>
      </c>
      <c r="K1509" s="140" t="n"/>
      <c r="L1509" s="140">
        <f>+H1509*J1509</f>
        <v/>
      </c>
      <c r="M1509" s="141">
        <f>SUM(M1508+K1509-L1509)</f>
        <v/>
      </c>
    </row>
    <row r="1510">
      <c r="A1510" s="20" t="n">
        <v>45756</v>
      </c>
      <c r="B1510" s="1" t="n">
        <v>14587</v>
      </c>
      <c r="C1510" s="2" t="inlineStr">
        <is>
          <t>HASALTUN</t>
        </is>
      </c>
      <c r="D1510" s="1" t="inlineStr">
        <is>
          <t>SM 350</t>
        </is>
      </c>
      <c r="E1510" s="1" t="inlineStr">
        <is>
          <t>BAYRAM SANCAK</t>
        </is>
      </c>
      <c r="F1510" s="3" t="n"/>
      <c r="G1510" s="143" t="n"/>
      <c r="H1510" s="143" t="n">
        <v>342</v>
      </c>
      <c r="I1510" s="143">
        <f>+I1509+(G1510-H1510)</f>
        <v/>
      </c>
      <c r="J1510" s="144" t="n">
        <v>40.508</v>
      </c>
      <c r="K1510" s="145" t="n"/>
      <c r="L1510" s="140">
        <f>+H1510*J1510</f>
        <v/>
      </c>
      <c r="M1510" s="141">
        <f>SUM(M1509+K1510-L1510)</f>
        <v/>
      </c>
    </row>
    <row r="1511">
      <c r="A1511" s="20" t="n">
        <v>45756</v>
      </c>
      <c r="B1511" s="21" t="n">
        <v>10636</v>
      </c>
      <c r="C1511" s="22" t="inlineStr">
        <is>
          <t>SELİM İNŞAAT</t>
        </is>
      </c>
      <c r="D1511" s="21" t="inlineStr">
        <is>
          <t>34 EDB 754</t>
        </is>
      </c>
      <c r="E1511" s="21" t="inlineStr">
        <is>
          <t>EMİN PARLAKKILIÇ</t>
        </is>
      </c>
      <c r="F1511" s="23" t="n">
        <v>308170</v>
      </c>
      <c r="G1511" s="138" t="n"/>
      <c r="H1511" s="138" t="n">
        <v>303</v>
      </c>
      <c r="I1511" s="138">
        <f>+I1510+(G1511-H1511)</f>
        <v/>
      </c>
      <c r="J1511" s="139" t="n">
        <v>40.508</v>
      </c>
      <c r="K1511" s="140" t="n"/>
      <c r="L1511" s="140">
        <f>+H1511*J1511</f>
        <v/>
      </c>
      <c r="M1511" s="141">
        <f>SUM(M1510+K1511-L1511)</f>
        <v/>
      </c>
    </row>
    <row r="1512">
      <c r="A1512" s="20" t="n">
        <v>45756</v>
      </c>
      <c r="B1512" s="21" t="n">
        <v>21489</v>
      </c>
      <c r="C1512" s="22" t="inlineStr">
        <is>
          <t>SELİM İNŞAAT</t>
        </is>
      </c>
      <c r="D1512" s="21" t="inlineStr">
        <is>
          <t>34 GYZ 635</t>
        </is>
      </c>
      <c r="E1512" s="21" t="inlineStr">
        <is>
          <t>ENGİN DEMİR</t>
        </is>
      </c>
      <c r="F1512" s="23" t="n">
        <v>156415</v>
      </c>
      <c r="G1512" s="138" t="n"/>
      <c r="H1512" s="138" t="n">
        <v>395</v>
      </c>
      <c r="I1512" s="138">
        <f>+I1511+(G1512-H1512)</f>
        <v/>
      </c>
      <c r="J1512" s="139" t="n">
        <v>40.508</v>
      </c>
      <c r="K1512" s="140" t="n"/>
      <c r="L1512" s="140">
        <f>+H1512*J1512</f>
        <v/>
      </c>
      <c r="M1512" s="141">
        <f>SUM(M1511+K1512-L1512)</f>
        <v/>
      </c>
    </row>
    <row r="1513">
      <c r="A1513" s="20" t="n">
        <v>45756</v>
      </c>
      <c r="B1513" s="21" t="n">
        <v>14358</v>
      </c>
      <c r="C1513" s="22" t="inlineStr">
        <is>
          <t>SELİM İNŞAAT</t>
        </is>
      </c>
      <c r="D1513" s="21" t="inlineStr">
        <is>
          <t>34 DKL 798</t>
        </is>
      </c>
      <c r="E1513" s="21" t="inlineStr">
        <is>
          <t>VOLKAN YANAR</t>
        </is>
      </c>
      <c r="F1513" s="23" t="n">
        <v>63124</v>
      </c>
      <c r="G1513" s="138" t="n"/>
      <c r="H1513" s="138" t="n">
        <v>110</v>
      </c>
      <c r="I1513" s="138">
        <f>+I1512+(G1513-H1513)</f>
        <v/>
      </c>
      <c r="J1513" s="139" t="n">
        <v>40.508</v>
      </c>
      <c r="K1513" s="140" t="n"/>
      <c r="L1513" s="140">
        <f>+H1513*J1513</f>
        <v/>
      </c>
      <c r="M1513" s="141">
        <f>SUM(M1512+K1513-L1513)</f>
        <v/>
      </c>
    </row>
    <row r="1514">
      <c r="A1514" s="20" t="n">
        <v>45756</v>
      </c>
      <c r="B1514" s="21" t="n">
        <v>14656</v>
      </c>
      <c r="C1514" s="22" t="inlineStr">
        <is>
          <t>EVKUR</t>
        </is>
      </c>
      <c r="D1514" s="21" t="inlineStr">
        <is>
          <t>FOKLİFT</t>
        </is>
      </c>
      <c r="E1514" s="21" t="inlineStr">
        <is>
          <t>FAHRİ KALFA</t>
        </is>
      </c>
      <c r="F1514" s="23" t="n"/>
      <c r="G1514" s="138" t="n"/>
      <c r="H1514" s="138" t="n">
        <v>47</v>
      </c>
      <c r="I1514" s="138">
        <f>+I1513+(G1514-H1514)</f>
        <v/>
      </c>
      <c r="J1514" s="139" t="n">
        <v>40.508</v>
      </c>
      <c r="K1514" s="140" t="n"/>
      <c r="L1514" s="140">
        <f>+H1514*J1514</f>
        <v/>
      </c>
      <c r="M1514" s="141">
        <f>SUM(M1513+K1514-L1514)</f>
        <v/>
      </c>
    </row>
    <row r="1515">
      <c r="A1515" s="20" t="n">
        <v>45756</v>
      </c>
      <c r="B1515" s="1" t="n">
        <v>14584</v>
      </c>
      <c r="C1515" s="2" t="inlineStr">
        <is>
          <t>EVKUR</t>
        </is>
      </c>
      <c r="D1515" s="1" t="inlineStr">
        <is>
          <t>MNT 2260</t>
        </is>
      </c>
      <c r="E1515" s="1" t="inlineStr">
        <is>
          <t>MUHAMMED KANTAR</t>
        </is>
      </c>
      <c r="F1515" s="3" t="n"/>
      <c r="G1515" s="143" t="n"/>
      <c r="H1515" s="143" t="n">
        <v>200</v>
      </c>
      <c r="I1515" s="143">
        <f>+I1514+(G1515-H1515)</f>
        <v/>
      </c>
      <c r="J1515" s="144" t="n">
        <v>40.508</v>
      </c>
      <c r="K1515" s="145" t="n"/>
      <c r="L1515" s="140">
        <f>+H1515*J1515</f>
        <v/>
      </c>
      <c r="M1515" s="141">
        <f>SUM(M1514+K1515-L1515)</f>
        <v/>
      </c>
    </row>
    <row r="1516">
      <c r="A1516" s="20" t="n">
        <v>45756</v>
      </c>
      <c r="B1516" s="21" t="n">
        <v>11076</v>
      </c>
      <c r="C1516" s="22" t="inlineStr">
        <is>
          <t>SELİM İNŞAAT</t>
        </is>
      </c>
      <c r="D1516" s="21" t="inlineStr">
        <is>
          <t>34 HBY 763</t>
        </is>
      </c>
      <c r="E1516" s="21" t="inlineStr">
        <is>
          <t>EMİRCAN ÖZTÜRK</t>
        </is>
      </c>
      <c r="F1516" s="23" t="n">
        <v>14785</v>
      </c>
      <c r="G1516" s="138" t="n"/>
      <c r="H1516" s="138" t="n">
        <v>219</v>
      </c>
      <c r="I1516" s="138">
        <f>+I1515+(G1516-H1516)</f>
        <v/>
      </c>
      <c r="J1516" s="139" t="n">
        <v>40.508</v>
      </c>
      <c r="K1516" s="140" t="n"/>
      <c r="L1516" s="140">
        <f>+H1516*J1516</f>
        <v/>
      </c>
      <c r="M1516" s="141">
        <f>SUM(M1515+K1516-L1516)</f>
        <v/>
      </c>
    </row>
    <row r="1517">
      <c r="A1517" s="20" t="n">
        <v>45756</v>
      </c>
      <c r="B1517" s="21" t="n">
        <v>10036</v>
      </c>
      <c r="C1517" s="22" t="inlineStr">
        <is>
          <t>METİN ERYİĞİT</t>
        </is>
      </c>
      <c r="D1517" s="21" t="inlineStr">
        <is>
          <t>34 EGS 013</t>
        </is>
      </c>
      <c r="E1517" s="21" t="inlineStr">
        <is>
          <t>UĞUR DUMAN</t>
        </is>
      </c>
      <c r="F1517" s="23" t="n">
        <v>473017</v>
      </c>
      <c r="G1517" s="138" t="n"/>
      <c r="H1517" s="138" t="n">
        <v>360</v>
      </c>
      <c r="I1517" s="138">
        <f>+I1516+(G1517-H1517)</f>
        <v/>
      </c>
      <c r="J1517" s="139" t="n">
        <v>40.508</v>
      </c>
      <c r="K1517" s="140" t="n"/>
      <c r="L1517" s="140">
        <f>+H1517*J1517</f>
        <v/>
      </c>
      <c r="M1517" s="141">
        <f>SUM(M1516+K1517-L1517)</f>
        <v/>
      </c>
    </row>
    <row r="1518">
      <c r="A1518" s="20" t="n">
        <v>45756</v>
      </c>
      <c r="B1518" s="21" t="n">
        <v>21138</v>
      </c>
      <c r="C1518" s="22" t="inlineStr">
        <is>
          <t>SELİM İNŞAAT</t>
        </is>
      </c>
      <c r="D1518" s="21" t="inlineStr">
        <is>
          <t>34 TG 7869</t>
        </is>
      </c>
      <c r="E1518" s="21" t="inlineStr">
        <is>
          <t>GÖRKEM KARAYEL</t>
        </is>
      </c>
      <c r="F1518" s="23" t="n">
        <v>180528</v>
      </c>
      <c r="G1518" s="138" t="n"/>
      <c r="H1518" s="138" t="n">
        <v>194</v>
      </c>
      <c r="I1518" s="138">
        <f>+I1517+(G1518-H1518)</f>
        <v/>
      </c>
      <c r="J1518" s="139" t="n">
        <v>40.508</v>
      </c>
      <c r="K1518" s="140" t="n"/>
      <c r="L1518" s="140">
        <f>+H1518*J1518</f>
        <v/>
      </c>
      <c r="M1518" s="141">
        <f>SUM(M1517+K1518-L1518)</f>
        <v/>
      </c>
    </row>
    <row r="1519">
      <c r="A1519" s="20" t="n">
        <v>45756</v>
      </c>
      <c r="B1519" s="21" t="n">
        <v>11899</v>
      </c>
      <c r="C1519" s="22" t="inlineStr">
        <is>
          <t>SELİM İNŞAAT</t>
        </is>
      </c>
      <c r="D1519" s="21" t="inlineStr">
        <is>
          <t>34 DFE 454</t>
        </is>
      </c>
      <c r="E1519" s="21" t="inlineStr">
        <is>
          <t>METİN KALKAN</t>
        </is>
      </c>
      <c r="F1519" s="23" t="n">
        <v>156490</v>
      </c>
      <c r="G1519" s="138" t="n"/>
      <c r="H1519" s="138" t="n">
        <v>154</v>
      </c>
      <c r="I1519" s="138">
        <f>+I1518+(G1519-H1519)</f>
        <v/>
      </c>
      <c r="J1519" s="139" t="n">
        <v>40.508</v>
      </c>
      <c r="K1519" s="140" t="n"/>
      <c r="L1519" s="140">
        <f>+H1519*J1519</f>
        <v/>
      </c>
      <c r="M1519" s="141">
        <f>SUM(M1518+K1519-L1519)</f>
        <v/>
      </c>
    </row>
    <row r="1520">
      <c r="A1520" s="20" t="n">
        <v>45756</v>
      </c>
      <c r="B1520" s="21" t="n">
        <v>14464</v>
      </c>
      <c r="C1520" s="22" t="inlineStr">
        <is>
          <t>SELİM İNŞAAT</t>
        </is>
      </c>
      <c r="D1520" s="21" t="inlineStr">
        <is>
          <t>34 GUS 848</t>
        </is>
      </c>
      <c r="E1520" s="21" t="inlineStr">
        <is>
          <t>SERDAR BOZKURT</t>
        </is>
      </c>
      <c r="F1520" s="23" t="n">
        <v>175441</v>
      </c>
      <c r="G1520" s="138" t="n"/>
      <c r="H1520" s="138" t="n">
        <v>346</v>
      </c>
      <c r="I1520" s="138">
        <f>+I1519+(G1520-H1520)</f>
        <v/>
      </c>
      <c r="J1520" s="139" t="n">
        <v>40.508</v>
      </c>
      <c r="K1520" s="140" t="n"/>
      <c r="L1520" s="140">
        <f>+H1520*J1520</f>
        <v/>
      </c>
      <c r="M1520" s="141">
        <f>SUM(M1519+K1520-L1520)</f>
        <v/>
      </c>
    </row>
    <row r="1521">
      <c r="A1521" s="20" t="n">
        <v>45756</v>
      </c>
      <c r="B1521" s="21" t="n">
        <v>14654</v>
      </c>
      <c r="C1521" s="22" t="inlineStr">
        <is>
          <t>AHMET SELİM TEMHA</t>
        </is>
      </c>
      <c r="D1521" s="21" t="inlineStr">
        <is>
          <t>FOKLİFT</t>
        </is>
      </c>
      <c r="E1521" s="21" t="inlineStr">
        <is>
          <t>CEMAL AKDAMAR</t>
        </is>
      </c>
      <c r="F1521" s="23" t="n"/>
      <c r="G1521" s="138" t="n"/>
      <c r="H1521" s="138" t="n">
        <v>61</v>
      </c>
      <c r="I1521" s="138">
        <f>+I1520+(G1521-H1521)</f>
        <v/>
      </c>
      <c r="J1521" s="139" t="n">
        <v>40.508</v>
      </c>
      <c r="K1521" s="140" t="n"/>
      <c r="L1521" s="140">
        <f>+H1521*J1521</f>
        <v/>
      </c>
      <c r="M1521" s="141">
        <f>SUM(M1520+K1521-L1521)</f>
        <v/>
      </c>
    </row>
    <row r="1522">
      <c r="A1522" s="20" t="n">
        <v>45756</v>
      </c>
      <c r="B1522" s="1" t="n">
        <v>14581</v>
      </c>
      <c r="C1522" s="2" t="inlineStr">
        <is>
          <t>GARAJ</t>
        </is>
      </c>
      <c r="D1522" s="1" t="inlineStr">
        <is>
          <t>SM 300</t>
        </is>
      </c>
      <c r="E1522" s="1" t="inlineStr">
        <is>
          <t>TURGUT SANCAK</t>
        </is>
      </c>
      <c r="F1522" s="3" t="n"/>
      <c r="G1522" s="143" t="n"/>
      <c r="H1522" s="143" t="n">
        <v>62</v>
      </c>
      <c r="I1522" s="143">
        <f>+I1521+(G1522-H1522)</f>
        <v/>
      </c>
      <c r="J1522" s="144" t="n">
        <v>40.508</v>
      </c>
      <c r="K1522" s="145" t="n"/>
      <c r="L1522" s="140">
        <f>+H1522*J1522</f>
        <v/>
      </c>
      <c r="M1522" s="141">
        <f>SUM(M1521+K1522-L1522)</f>
        <v/>
      </c>
    </row>
    <row r="1523">
      <c r="A1523" s="20" t="n">
        <v>45756</v>
      </c>
      <c r="B1523" s="1" t="n">
        <v>14580</v>
      </c>
      <c r="C1523" s="2" t="inlineStr">
        <is>
          <t>GARAJ</t>
        </is>
      </c>
      <c r="D1523" s="1" t="inlineStr">
        <is>
          <t>KAVAZAKİ</t>
        </is>
      </c>
      <c r="E1523" s="1" t="inlineStr">
        <is>
          <t>UFUK SEVAL</t>
        </is>
      </c>
      <c r="F1523" s="3" t="n"/>
      <c r="G1523" s="143" t="n"/>
      <c r="H1523" s="143" t="n">
        <v>70</v>
      </c>
      <c r="I1523" s="143">
        <f>+I1522+(G1523-H1523)</f>
        <v/>
      </c>
      <c r="J1523" s="144" t="n">
        <v>40.508</v>
      </c>
      <c r="K1523" s="145" t="n"/>
      <c r="L1523" s="140">
        <f>+H1523*J1523</f>
        <v/>
      </c>
      <c r="M1523" s="141">
        <f>SUM(M1522+K1523-L1523)</f>
        <v/>
      </c>
    </row>
    <row r="1524">
      <c r="A1524" s="20" t="n">
        <v>45756</v>
      </c>
      <c r="B1524" s="21" t="n">
        <v>11207</v>
      </c>
      <c r="C1524" s="22" t="inlineStr">
        <is>
          <t>SELİM İNŞAAT</t>
        </is>
      </c>
      <c r="D1524" s="21" t="inlineStr">
        <is>
          <t>34 DSN 636</t>
        </is>
      </c>
      <c r="E1524" s="21" t="inlineStr">
        <is>
          <t>ÖMER AĞAYAR</t>
        </is>
      </c>
      <c r="F1524" s="23" t="n">
        <v>375309</v>
      </c>
      <c r="G1524" s="138" t="n"/>
      <c r="H1524" s="138" t="n">
        <v>200</v>
      </c>
      <c r="I1524" s="138">
        <f>+I1523+(G1524-H1524)</f>
        <v/>
      </c>
      <c r="J1524" s="139" t="n">
        <v>40.508</v>
      </c>
      <c r="K1524" s="140" t="n"/>
      <c r="L1524" s="140">
        <f>+H1524*J1524</f>
        <v/>
      </c>
      <c r="M1524" s="141">
        <f>SUM(M1523+K1524-L1524)</f>
        <v/>
      </c>
    </row>
    <row r="1525">
      <c r="A1525" s="20" t="n">
        <v>45756</v>
      </c>
      <c r="B1525" s="1" t="n">
        <v>14582</v>
      </c>
      <c r="C1525" s="2" t="inlineStr">
        <is>
          <t>HASALTUN</t>
        </is>
      </c>
      <c r="D1525" s="1" t="inlineStr">
        <is>
          <t>SM 350</t>
        </is>
      </c>
      <c r="E1525" s="1" t="inlineStr">
        <is>
          <t>TEVFİK ÖZTÜRK</t>
        </is>
      </c>
      <c r="F1525" s="3" t="n"/>
      <c r="G1525" s="143" t="n"/>
      <c r="H1525" s="143" t="n">
        <v>315</v>
      </c>
      <c r="I1525" s="143">
        <f>+I1524+(G1525-H1525)</f>
        <v/>
      </c>
      <c r="J1525" s="144" t="n">
        <v>40.508</v>
      </c>
      <c r="K1525" s="145" t="n"/>
      <c r="L1525" s="140">
        <f>+H1525*J1525</f>
        <v/>
      </c>
      <c r="M1525" s="141">
        <f>SUM(M1524+K1525-L1525)</f>
        <v/>
      </c>
    </row>
    <row r="1526">
      <c r="A1526" s="20" t="n">
        <v>45756</v>
      </c>
      <c r="B1526" s="21" t="n">
        <v>10071</v>
      </c>
      <c r="C1526" s="22" t="inlineStr">
        <is>
          <t>SELİM İNŞAAT</t>
        </is>
      </c>
      <c r="D1526" s="21" t="inlineStr">
        <is>
          <t>34 FBR 771</t>
        </is>
      </c>
      <c r="E1526" s="21" t="inlineStr">
        <is>
          <t>HÜSEYİN AKÇİN</t>
        </is>
      </c>
      <c r="F1526" s="23" t="n">
        <v>300904</v>
      </c>
      <c r="G1526" s="138" t="n"/>
      <c r="H1526" s="138" t="n">
        <v>362</v>
      </c>
      <c r="I1526" s="138">
        <f>+I1525+(G1526-H1526)</f>
        <v/>
      </c>
      <c r="J1526" s="139" t="n">
        <v>40.508</v>
      </c>
      <c r="K1526" s="140" t="n"/>
      <c r="L1526" s="140">
        <f>+H1526*J1526</f>
        <v/>
      </c>
      <c r="M1526" s="141">
        <f>SUM(M1525+K1526-L1526)</f>
        <v/>
      </c>
    </row>
    <row r="1527">
      <c r="A1527" s="20" t="n">
        <v>45756</v>
      </c>
      <c r="B1527" s="21" t="n">
        <v>21295</v>
      </c>
      <c r="C1527" s="22" t="inlineStr">
        <is>
          <t>SELİM İNŞAAT</t>
        </is>
      </c>
      <c r="D1527" s="21" t="inlineStr">
        <is>
          <t>34 DTV 447</t>
        </is>
      </c>
      <c r="E1527" s="21" t="inlineStr">
        <is>
          <t>EBUBEKİR KOLDAŞ</t>
        </is>
      </c>
      <c r="F1527" s="23" t="n">
        <v>421548</v>
      </c>
      <c r="G1527" s="138" t="n"/>
      <c r="H1527" s="138" t="n">
        <v>255</v>
      </c>
      <c r="I1527" s="138">
        <f>+I1526+(G1527-H1527)</f>
        <v/>
      </c>
      <c r="J1527" s="139" t="n">
        <v>40.508</v>
      </c>
      <c r="K1527" s="140" t="n"/>
      <c r="L1527" s="140">
        <f>+H1527*J1527</f>
        <v/>
      </c>
      <c r="M1527" s="141">
        <f>SUM(M1526+K1527-L1527)</f>
        <v/>
      </c>
    </row>
    <row r="1528">
      <c r="A1528" s="20" t="n">
        <v>45756</v>
      </c>
      <c r="B1528" s="21" t="n">
        <v>10184</v>
      </c>
      <c r="C1528" s="22" t="inlineStr">
        <is>
          <t>SELİM İNŞAAT</t>
        </is>
      </c>
      <c r="D1528" s="21" t="inlineStr">
        <is>
          <t>34 EGR 736</t>
        </is>
      </c>
      <c r="E1528" s="21" t="inlineStr">
        <is>
          <t>MUHAMMER ÇAMLI</t>
        </is>
      </c>
      <c r="F1528" s="23" t="n">
        <v>371896</v>
      </c>
      <c r="G1528" s="138" t="n"/>
      <c r="H1528" s="138" t="n">
        <v>370</v>
      </c>
      <c r="I1528" s="138">
        <f>+I1527+(G1528-H1528)</f>
        <v/>
      </c>
      <c r="J1528" s="139" t="n">
        <v>40.508</v>
      </c>
      <c r="K1528" s="140" t="n"/>
      <c r="L1528" s="140">
        <f>+H1528*J1528</f>
        <v/>
      </c>
      <c r="M1528" s="141">
        <f>SUM(M1527+K1528-L1528)</f>
        <v/>
      </c>
    </row>
    <row r="1529">
      <c r="A1529" s="20" t="n">
        <v>45756</v>
      </c>
      <c r="B1529" s="21" t="n">
        <v>14316</v>
      </c>
      <c r="C1529" s="22" t="inlineStr">
        <is>
          <t>SELİM İNŞAAT</t>
        </is>
      </c>
      <c r="D1529" s="21" t="inlineStr">
        <is>
          <t>34 DKL 866</t>
        </is>
      </c>
      <c r="E1529" s="21" t="inlineStr">
        <is>
          <t>SELİM CAN ÖNVER</t>
        </is>
      </c>
      <c r="F1529" s="23" t="n">
        <v>63059</v>
      </c>
      <c r="G1529" s="138" t="n"/>
      <c r="H1529" s="138" t="n">
        <v>118</v>
      </c>
      <c r="I1529" s="138">
        <f>+I1528+(G1529-H1529)</f>
        <v/>
      </c>
      <c r="J1529" s="139" t="n">
        <v>40.508</v>
      </c>
      <c r="K1529" s="140" t="n"/>
      <c r="L1529" s="140">
        <f>+H1529*J1529</f>
        <v/>
      </c>
      <c r="M1529" s="141">
        <f>SUM(M1528+K1529-L1529)</f>
        <v/>
      </c>
    </row>
    <row r="1530">
      <c r="A1530" s="20" t="n">
        <v>45756</v>
      </c>
      <c r="B1530" s="21" t="n">
        <v>14801</v>
      </c>
      <c r="C1530" s="22" t="inlineStr">
        <is>
          <t>SELİM İNŞAAT</t>
        </is>
      </c>
      <c r="D1530" s="21" t="inlineStr">
        <is>
          <t>34 GVZ 268</t>
        </is>
      </c>
      <c r="E1530" s="21" t="inlineStr">
        <is>
          <t>KERİM KARAMAN</t>
        </is>
      </c>
      <c r="F1530" s="23" t="n">
        <v>176357</v>
      </c>
      <c r="G1530" s="138" t="n"/>
      <c r="H1530" s="138" t="n">
        <v>447</v>
      </c>
      <c r="I1530" s="138">
        <f>+I1529+(G1530-H1530)</f>
        <v/>
      </c>
      <c r="J1530" s="139" t="n">
        <v>40.508</v>
      </c>
      <c r="K1530" s="140" t="n"/>
      <c r="L1530" s="140">
        <f>+H1530*J1530</f>
        <v/>
      </c>
      <c r="M1530" s="141">
        <f>SUM(M1529+K1530-L1530)</f>
        <v/>
      </c>
    </row>
    <row r="1531">
      <c r="A1531" s="20" t="n">
        <v>45756</v>
      </c>
      <c r="B1531" s="21" t="n">
        <v>11924</v>
      </c>
      <c r="C1531" s="22" t="inlineStr">
        <is>
          <t>SELİM İNŞAAT</t>
        </is>
      </c>
      <c r="D1531" s="21" t="inlineStr">
        <is>
          <t>34 FBR 742</t>
        </is>
      </c>
      <c r="E1531" s="21" t="inlineStr">
        <is>
          <t>MİKAİL BAYILMAZ</t>
        </is>
      </c>
      <c r="F1531" s="23" t="n">
        <v>302454</v>
      </c>
      <c r="G1531" s="138" t="n"/>
      <c r="H1531" s="138" t="n">
        <v>222</v>
      </c>
      <c r="I1531" s="138">
        <f>+I1530+(G1531-H1531)</f>
        <v/>
      </c>
      <c r="J1531" s="139" t="n">
        <v>40.508</v>
      </c>
      <c r="K1531" s="140" t="n"/>
      <c r="L1531" s="140">
        <f>+H1531*J1531</f>
        <v/>
      </c>
      <c r="M1531" s="141">
        <f>SUM(M1530+K1531-L1531)</f>
        <v/>
      </c>
    </row>
    <row r="1532">
      <c r="A1532" s="20" t="n">
        <v>45756</v>
      </c>
      <c r="B1532" s="21" t="n">
        <v>14212</v>
      </c>
      <c r="C1532" s="22" t="inlineStr">
        <is>
          <t>SELİM İNŞAAT</t>
        </is>
      </c>
      <c r="D1532" s="21" t="inlineStr">
        <is>
          <t xml:space="preserve">34 GUS 938 </t>
        </is>
      </c>
      <c r="E1532" s="21" t="inlineStr">
        <is>
          <t>MEHMET KAYA</t>
        </is>
      </c>
      <c r="F1532" s="23" t="n">
        <v>170077</v>
      </c>
      <c r="G1532" s="138" t="n"/>
      <c r="H1532" s="138" t="n">
        <v>356</v>
      </c>
      <c r="I1532" s="138">
        <f>+I1531+(G1532-H1532)</f>
        <v/>
      </c>
      <c r="J1532" s="139" t="n">
        <v>40.508</v>
      </c>
      <c r="K1532" s="140" t="n"/>
      <c r="L1532" s="140">
        <f>+H1532*J1532</f>
        <v/>
      </c>
      <c r="M1532" s="141">
        <f>SUM(M1531+K1532-L1532)</f>
        <v/>
      </c>
    </row>
    <row r="1533">
      <c r="A1533" s="20" t="n">
        <v>45756</v>
      </c>
      <c r="B1533" s="21" t="n">
        <v>14357</v>
      </c>
      <c r="C1533" s="22" t="inlineStr">
        <is>
          <t>SELİM İNŞAAT</t>
        </is>
      </c>
      <c r="D1533" s="21" t="inlineStr">
        <is>
          <t>34 DKL 798</t>
        </is>
      </c>
      <c r="E1533" s="21" t="inlineStr">
        <is>
          <t>VOLKAN YANAR</t>
        </is>
      </c>
      <c r="F1533" s="23" t="n">
        <v>63059</v>
      </c>
      <c r="G1533" s="138" t="n"/>
      <c r="H1533" s="138" t="n">
        <v>229</v>
      </c>
      <c r="I1533" s="138">
        <f>+I1532+(G1533-H1533)</f>
        <v/>
      </c>
      <c r="J1533" s="139" t="n">
        <v>40.508</v>
      </c>
      <c r="K1533" s="140" t="n"/>
      <c r="L1533" s="140">
        <f>+H1533*J1533</f>
        <v/>
      </c>
      <c r="M1533" s="141">
        <f>SUM(M1532+K1533-L1533)</f>
        <v/>
      </c>
    </row>
    <row r="1534">
      <c r="A1534" s="20" t="n">
        <v>45756</v>
      </c>
      <c r="B1534" s="21" t="n">
        <v>11136</v>
      </c>
      <c r="C1534" s="22" t="inlineStr">
        <is>
          <t>SELİM İNŞAAT</t>
        </is>
      </c>
      <c r="D1534" s="21" t="inlineStr">
        <is>
          <t>34 DTV 409</t>
        </is>
      </c>
      <c r="E1534" s="21" t="inlineStr">
        <is>
          <t xml:space="preserve">ONUR CANLI </t>
        </is>
      </c>
      <c r="F1534" s="23" t="n">
        <v>403069</v>
      </c>
      <c r="G1534" s="138" t="n"/>
      <c r="H1534" s="138" t="n">
        <v>311</v>
      </c>
      <c r="I1534" s="138">
        <f>+I1533+(G1534-H1534)</f>
        <v/>
      </c>
      <c r="J1534" s="139" t="n">
        <v>40.508</v>
      </c>
      <c r="K1534" s="140" t="n"/>
      <c r="L1534" s="140">
        <f>+H1534*J1534</f>
        <v/>
      </c>
      <c r="M1534" s="141">
        <f>SUM(M1533+K1534-L1534)</f>
        <v/>
      </c>
    </row>
    <row r="1535">
      <c r="A1535" s="20" t="n">
        <v>45756</v>
      </c>
      <c r="B1535" s="21" t="n">
        <v>14708</v>
      </c>
      <c r="C1535" s="22" t="inlineStr">
        <is>
          <t>METİN ERYİĞİT</t>
        </is>
      </c>
      <c r="D1535" s="21" t="inlineStr">
        <is>
          <t>34 GBL 998</t>
        </is>
      </c>
      <c r="E1535" s="21" t="inlineStr">
        <is>
          <t>ALİ KESKİN</t>
        </is>
      </c>
      <c r="F1535" s="23" t="n">
        <v>249378</v>
      </c>
      <c r="G1535" s="138" t="n"/>
      <c r="H1535" s="138" t="n">
        <v>150</v>
      </c>
      <c r="I1535" s="138">
        <f>+I1534+(G1535-H1535)</f>
        <v/>
      </c>
      <c r="J1535" s="139" t="n">
        <v>40.508</v>
      </c>
      <c r="K1535" s="140" t="n"/>
      <c r="L1535" s="140">
        <f>+H1535*J1535</f>
        <v/>
      </c>
      <c r="M1535" s="141">
        <f>SUM(M1534+K1535-L1535)</f>
        <v/>
      </c>
    </row>
    <row r="1536">
      <c r="A1536" s="20" t="n">
        <v>45756</v>
      </c>
      <c r="B1536" s="21" t="n">
        <v>14719</v>
      </c>
      <c r="C1536" s="22" t="inlineStr">
        <is>
          <t>METİN ERYİĞİT</t>
        </is>
      </c>
      <c r="D1536" s="21" t="inlineStr">
        <is>
          <t>34 GBL 998</t>
        </is>
      </c>
      <c r="E1536" s="21" t="inlineStr">
        <is>
          <t>ALİ KESKİN</t>
        </is>
      </c>
      <c r="F1536" s="23" t="n">
        <v>255126</v>
      </c>
      <c r="G1536" s="138" t="n"/>
      <c r="H1536" s="138" t="n">
        <v>394</v>
      </c>
      <c r="I1536" s="138">
        <f>+I1535+(G1536-H1536)</f>
        <v/>
      </c>
      <c r="J1536" s="139" t="n">
        <v>40.508</v>
      </c>
      <c r="K1536" s="140" t="n"/>
      <c r="L1536" s="140">
        <f>+H1536*J1536</f>
        <v/>
      </c>
      <c r="M1536" s="141">
        <f>SUM(M1535+K1536-L1536)</f>
        <v/>
      </c>
    </row>
    <row r="1537">
      <c r="A1537" s="20" t="n">
        <v>45757</v>
      </c>
      <c r="B1537" s="21" t="n">
        <v>11632</v>
      </c>
      <c r="C1537" s="22" t="inlineStr">
        <is>
          <t>SELİM İNŞAAT</t>
        </is>
      </c>
      <c r="D1537" s="21" t="inlineStr">
        <is>
          <t>34 DTV 352</t>
        </is>
      </c>
      <c r="E1537" s="21" t="inlineStr">
        <is>
          <t xml:space="preserve">RASİM BARTU </t>
        </is>
      </c>
      <c r="F1537" s="23" t="n">
        <v>417849</v>
      </c>
      <c r="G1537" s="138" t="n"/>
      <c r="H1537" s="138" t="n">
        <v>389</v>
      </c>
      <c r="I1537" s="138">
        <f>+I1536+(G1537-H1537)</f>
        <v/>
      </c>
      <c r="J1537" s="139" t="n">
        <v>40.508</v>
      </c>
      <c r="K1537" s="140" t="n"/>
      <c r="L1537" s="140">
        <f>+H1537*J1537</f>
        <v/>
      </c>
      <c r="M1537" s="141">
        <f>SUM(M1536+K1537-L1537)</f>
        <v/>
      </c>
    </row>
    <row r="1538">
      <c r="A1538" s="20" t="n">
        <v>45757</v>
      </c>
      <c r="B1538" s="21" t="n">
        <v>10637</v>
      </c>
      <c r="C1538" s="22" t="inlineStr">
        <is>
          <t>SELİM İNŞAAT</t>
        </is>
      </c>
      <c r="D1538" s="21" t="inlineStr">
        <is>
          <t>34 EDB 754</t>
        </is>
      </c>
      <c r="E1538" s="21" t="inlineStr">
        <is>
          <t>EMİN PARLAKKILIÇ</t>
        </is>
      </c>
      <c r="F1538" s="23" t="n">
        <v>308572</v>
      </c>
      <c r="G1538" s="138" t="n"/>
      <c r="H1538" s="138" t="n">
        <v>196</v>
      </c>
      <c r="I1538" s="138">
        <f>+I1537+(G1538-H1538)</f>
        <v/>
      </c>
      <c r="J1538" s="139" t="n">
        <v>40.508</v>
      </c>
      <c r="K1538" s="140" t="n"/>
      <c r="L1538" s="140">
        <f>+H1538*J1538</f>
        <v/>
      </c>
      <c r="M1538" s="141">
        <f>SUM(M1537+K1538-L1538)</f>
        <v/>
      </c>
    </row>
    <row r="1539">
      <c r="A1539" s="20" t="n">
        <v>45757</v>
      </c>
      <c r="B1539" s="21" t="n">
        <v>10694</v>
      </c>
      <c r="C1539" s="22" t="inlineStr">
        <is>
          <t>SELİM İNŞAAT</t>
        </is>
      </c>
      <c r="D1539" s="21" t="inlineStr">
        <is>
          <t>34 DTV 599</t>
        </is>
      </c>
      <c r="E1539" s="21" t="inlineStr">
        <is>
          <t>FERHAT GÜRLER</t>
        </is>
      </c>
      <c r="F1539" s="23" t="n">
        <v>418096</v>
      </c>
      <c r="G1539" s="138" t="n"/>
      <c r="H1539" s="138" t="n">
        <v>289</v>
      </c>
      <c r="I1539" s="138">
        <f>+I1538+(G1539-H1539)</f>
        <v/>
      </c>
      <c r="J1539" s="139" t="n">
        <v>40.508</v>
      </c>
      <c r="K1539" s="140" t="n"/>
      <c r="L1539" s="140">
        <f>+H1539*J1539</f>
        <v/>
      </c>
      <c r="M1539" s="141">
        <f>SUM(M1538+K1539-L1539)</f>
        <v/>
      </c>
    </row>
    <row r="1540">
      <c r="A1540" s="20" t="n">
        <v>45757</v>
      </c>
      <c r="B1540" s="21" t="n">
        <v>14165</v>
      </c>
      <c r="C1540" s="22" t="inlineStr">
        <is>
          <t>AZGÜN YAPI</t>
        </is>
      </c>
      <c r="D1540" s="21" t="inlineStr">
        <is>
          <t>34 DTV 263</t>
        </is>
      </c>
      <c r="E1540" s="21" t="inlineStr">
        <is>
          <t>EDİP TORLAK</t>
        </is>
      </c>
      <c r="F1540" s="23" t="n">
        <v>369290</v>
      </c>
      <c r="G1540" s="138" t="n"/>
      <c r="H1540" s="138" t="n">
        <v>399</v>
      </c>
      <c r="I1540" s="138">
        <f>+I1539+(G1540-H1540)</f>
        <v/>
      </c>
      <c r="J1540" s="139" t="n">
        <v>40.508</v>
      </c>
      <c r="K1540" s="140" t="n"/>
      <c r="L1540" s="140">
        <f>+H1540*J1540</f>
        <v/>
      </c>
      <c r="M1540" s="141">
        <f>SUM(M1539+K1540-L1540)</f>
        <v/>
      </c>
    </row>
    <row r="1541">
      <c r="A1541" s="20" t="n">
        <v>45757</v>
      </c>
      <c r="B1541" s="1" t="n">
        <v>14586</v>
      </c>
      <c r="C1541" s="2" t="inlineStr">
        <is>
          <t>HASALTUN</t>
        </is>
      </c>
      <c r="D1541" s="1" t="inlineStr">
        <is>
          <t>KAVAZAKİ</t>
        </is>
      </c>
      <c r="E1541" s="1" t="inlineStr">
        <is>
          <t>UFUK SEVAL</t>
        </is>
      </c>
      <c r="F1541" s="3" t="n"/>
      <c r="G1541" s="143" t="n"/>
      <c r="H1541" s="143" t="n">
        <v>240</v>
      </c>
      <c r="I1541" s="143">
        <f>+I1540+(G1541-H1541)</f>
        <v/>
      </c>
      <c r="J1541" s="144" t="n">
        <v>40.508</v>
      </c>
      <c r="K1541" s="145" t="n"/>
      <c r="L1541" s="140">
        <f>+H1541*J1541</f>
        <v/>
      </c>
      <c r="M1541" s="141">
        <f>SUM(M1540+K1541-L1541)</f>
        <v/>
      </c>
    </row>
    <row r="1542">
      <c r="A1542" s="20" t="n">
        <v>45757</v>
      </c>
      <c r="B1542" s="21" t="n">
        <v>11438</v>
      </c>
      <c r="C1542" s="22" t="inlineStr">
        <is>
          <t>METİN ERYİĞİT</t>
        </is>
      </c>
      <c r="D1542" s="21" t="inlineStr">
        <is>
          <t>34 EGR 814</t>
        </is>
      </c>
      <c r="E1542" s="21" t="inlineStr">
        <is>
          <t>GÜRAY KOYUNCU</t>
        </is>
      </c>
      <c r="F1542" s="23" t="n">
        <v>524293</v>
      </c>
      <c r="G1542" s="138" t="n"/>
      <c r="H1542" s="138" t="n">
        <v>506</v>
      </c>
      <c r="I1542" s="138">
        <f>+I1541+(G1542-H1542)</f>
        <v/>
      </c>
      <c r="J1542" s="139" t="n">
        <v>40.508</v>
      </c>
      <c r="K1542" s="140" t="n"/>
      <c r="L1542" s="140">
        <f>+H1542*J1542</f>
        <v/>
      </c>
      <c r="M1542" s="141">
        <f>SUM(M1541+K1542-L1542)</f>
        <v/>
      </c>
    </row>
    <row r="1543">
      <c r="A1543" s="20" t="n">
        <v>45757</v>
      </c>
      <c r="B1543" s="21" t="n">
        <v>11474</v>
      </c>
      <c r="C1543" s="22" t="inlineStr">
        <is>
          <t>METİN ŞİRİN</t>
        </is>
      </c>
      <c r="D1543" s="21" t="inlineStr">
        <is>
          <t>34 EGR 922</t>
        </is>
      </c>
      <c r="E1543" s="21" t="inlineStr">
        <is>
          <t>FARUK ÖZEN</t>
        </is>
      </c>
      <c r="F1543" s="23" t="n">
        <v>443278</v>
      </c>
      <c r="G1543" s="138" t="n"/>
      <c r="H1543" s="138" t="n">
        <v>364</v>
      </c>
      <c r="I1543" s="138">
        <f>+I1542+(G1543-H1543)</f>
        <v/>
      </c>
      <c r="J1543" s="139" t="n">
        <v>40.508</v>
      </c>
      <c r="K1543" s="140" t="n"/>
      <c r="L1543" s="140">
        <f>+H1543*J1543</f>
        <v/>
      </c>
      <c r="M1543" s="141">
        <f>SUM(M1542+K1543-L1543)</f>
        <v/>
      </c>
    </row>
    <row r="1544">
      <c r="A1544" s="20" t="n">
        <v>45757</v>
      </c>
      <c r="B1544" s="1" t="n">
        <v>14589</v>
      </c>
      <c r="C1544" s="2" t="inlineStr">
        <is>
          <t>HASALTUN</t>
        </is>
      </c>
      <c r="D1544" s="1" t="inlineStr">
        <is>
          <t>SM 350</t>
        </is>
      </c>
      <c r="E1544" s="1" t="inlineStr">
        <is>
          <t>TEVFİK ÖZTÜRK</t>
        </is>
      </c>
      <c r="F1544" s="3" t="n"/>
      <c r="G1544" s="143" t="n"/>
      <c r="H1544" s="143" t="n">
        <v>373</v>
      </c>
      <c r="I1544" s="143">
        <f>+I1543+(G1544-H1544)</f>
        <v/>
      </c>
      <c r="J1544" s="144" t="n">
        <v>40.508</v>
      </c>
      <c r="K1544" s="145" t="n"/>
      <c r="L1544" s="140">
        <f>+H1544*J1544</f>
        <v/>
      </c>
      <c r="M1544" s="141">
        <f>SUM(M1543+K1544-L1544)</f>
        <v/>
      </c>
    </row>
    <row r="1545">
      <c r="A1545" s="20" t="n">
        <v>45757</v>
      </c>
      <c r="B1545" s="1" t="n">
        <v>14588</v>
      </c>
      <c r="C1545" s="2" t="inlineStr">
        <is>
          <t>VARLIK</t>
        </is>
      </c>
      <c r="D1545" s="1" t="inlineStr">
        <is>
          <t>SM 370</t>
        </is>
      </c>
      <c r="E1545" s="1" t="inlineStr">
        <is>
          <t>RAMAZAN KAYA</t>
        </is>
      </c>
      <c r="F1545" s="3" t="n"/>
      <c r="G1545" s="143" t="n"/>
      <c r="H1545" s="143" t="n">
        <v>115</v>
      </c>
      <c r="I1545" s="143">
        <f>+I1544+(G1545-H1545)</f>
        <v/>
      </c>
      <c r="J1545" s="144" t="n">
        <v>40.508</v>
      </c>
      <c r="K1545" s="145" t="n"/>
      <c r="L1545" s="140">
        <f>+H1545*J1545</f>
        <v/>
      </c>
      <c r="M1545" s="141">
        <f>SUM(M1544+K1545-L1545)</f>
        <v/>
      </c>
    </row>
    <row r="1546">
      <c r="A1546" s="20" t="n">
        <v>45757</v>
      </c>
      <c r="B1546" s="21" t="n">
        <v>14015</v>
      </c>
      <c r="C1546" s="22" t="inlineStr">
        <is>
          <t>SELİM İNŞAAT</t>
        </is>
      </c>
      <c r="D1546" s="21" t="inlineStr">
        <is>
          <t>34 GVZ 310</t>
        </is>
      </c>
      <c r="E1546" s="21" t="inlineStr">
        <is>
          <t>CELAL YÜZBAŞI</t>
        </is>
      </c>
      <c r="F1546" s="23" t="n">
        <v>180796</v>
      </c>
      <c r="G1546" s="138" t="n"/>
      <c r="H1546" s="138" t="n">
        <v>441</v>
      </c>
      <c r="I1546" s="138">
        <f>+I1545+(G1546-H1546)</f>
        <v/>
      </c>
      <c r="J1546" s="139" t="n">
        <v>40.508</v>
      </c>
      <c r="K1546" s="140" t="n"/>
      <c r="L1546" s="140">
        <f>+H1546*J1546</f>
        <v/>
      </c>
      <c r="M1546" s="141">
        <f>SUM(M1545+K1546-L1546)</f>
        <v/>
      </c>
    </row>
    <row r="1547">
      <c r="A1547" s="20" t="n">
        <v>45757</v>
      </c>
      <c r="B1547" s="21" t="n">
        <v>11077</v>
      </c>
      <c r="C1547" s="22" t="inlineStr">
        <is>
          <t>SELİM İNŞAAT</t>
        </is>
      </c>
      <c r="D1547" s="21" t="inlineStr">
        <is>
          <t>34 HBY 763</t>
        </is>
      </c>
      <c r="E1547" s="21" t="inlineStr">
        <is>
          <t>EMİRCAN ÖZTÜRK</t>
        </is>
      </c>
      <c r="F1547" s="23" t="n">
        <v>14865</v>
      </c>
      <c r="G1547" s="138" t="n"/>
      <c r="H1547" s="138" t="n">
        <v>138</v>
      </c>
      <c r="I1547" s="138">
        <f>+I1546+(G1547-H1547)</f>
        <v/>
      </c>
      <c r="J1547" s="139" t="n">
        <v>40.508</v>
      </c>
      <c r="K1547" s="140" t="n"/>
      <c r="L1547" s="140">
        <f>+H1547*J1547</f>
        <v/>
      </c>
      <c r="M1547" s="141">
        <f>SUM(M1546+K1547-L1547)</f>
        <v/>
      </c>
    </row>
    <row r="1548">
      <c r="A1548" s="20" t="n">
        <v>45757</v>
      </c>
      <c r="B1548" s="21" t="n">
        <v>10331</v>
      </c>
      <c r="C1548" s="22" t="inlineStr">
        <is>
          <t>SELİM İNŞAAT</t>
        </is>
      </c>
      <c r="D1548" s="21" t="inlineStr">
        <is>
          <t>34 EDB 829</t>
        </is>
      </c>
      <c r="E1548" s="21" t="inlineStr">
        <is>
          <t>İSMET BAYRAM</t>
        </is>
      </c>
      <c r="F1548" s="23" t="n">
        <v>304024</v>
      </c>
      <c r="G1548" s="138" t="n"/>
      <c r="H1548" s="138" t="n">
        <v>466</v>
      </c>
      <c r="I1548" s="138">
        <f>+I1547+(G1548-H1548)</f>
        <v/>
      </c>
      <c r="J1548" s="139" t="n">
        <v>40.508</v>
      </c>
      <c r="K1548" s="140" t="n"/>
      <c r="L1548" s="140">
        <f>+H1548*J1548</f>
        <v/>
      </c>
      <c r="M1548" s="141">
        <f>SUM(M1547+K1548-L1548)</f>
        <v/>
      </c>
    </row>
    <row r="1549">
      <c r="A1549" s="20" t="n">
        <v>45757</v>
      </c>
      <c r="B1549" s="21" t="n">
        <v>14802</v>
      </c>
      <c r="C1549" s="22" t="inlineStr">
        <is>
          <t>SELİM İNŞAAT</t>
        </is>
      </c>
      <c r="D1549" s="21" t="inlineStr">
        <is>
          <t>34 GVZ 268</t>
        </is>
      </c>
      <c r="E1549" s="21" t="inlineStr">
        <is>
          <t>KERİM KARAMAN</t>
        </is>
      </c>
      <c r="F1549" s="23" t="n">
        <v>177095</v>
      </c>
      <c r="G1549" s="138" t="n"/>
      <c r="H1549" s="138" t="n">
        <v>300</v>
      </c>
      <c r="I1549" s="138">
        <f>+I1548+(G1549-H1549)</f>
        <v/>
      </c>
      <c r="J1549" s="139" t="n">
        <v>40.508</v>
      </c>
      <c r="K1549" s="140" t="n"/>
      <c r="L1549" s="140">
        <f>+H1549*J1549</f>
        <v/>
      </c>
      <c r="M1549" s="141">
        <f>SUM(M1548+K1549-L1549)</f>
        <v/>
      </c>
    </row>
    <row r="1550">
      <c r="A1550" s="20" t="n">
        <v>45757</v>
      </c>
      <c r="B1550" s="21" t="n">
        <v>21550</v>
      </c>
      <c r="C1550" s="22" t="inlineStr">
        <is>
          <t>SELİM İNŞAAT</t>
        </is>
      </c>
      <c r="D1550" s="21" t="inlineStr">
        <is>
          <t>34 GVZ 745</t>
        </is>
      </c>
      <c r="E1550" s="21" t="inlineStr">
        <is>
          <t>MUHAMMED YİĞİT</t>
        </is>
      </c>
      <c r="F1550" s="23" t="n">
        <v>172040</v>
      </c>
      <c r="G1550" s="138" t="n"/>
      <c r="H1550" s="138" t="n">
        <v>292</v>
      </c>
      <c r="I1550" s="138">
        <f>+I1549+(G1550-H1550)</f>
        <v/>
      </c>
      <c r="J1550" s="139" t="n">
        <v>40.508</v>
      </c>
      <c r="K1550" s="140" t="n"/>
      <c r="L1550" s="140">
        <f>+H1550*J1550</f>
        <v/>
      </c>
      <c r="M1550" s="141">
        <f>SUM(M1549+K1550-L1550)</f>
        <v/>
      </c>
    </row>
    <row r="1551">
      <c r="A1551" s="20" t="n">
        <v>45757</v>
      </c>
      <c r="B1551" s="21" t="n">
        <v>11794</v>
      </c>
      <c r="C1551" s="22" t="inlineStr">
        <is>
          <t>SELİM İNŞAAT</t>
        </is>
      </c>
      <c r="D1551" s="21" t="inlineStr">
        <is>
          <t>34 EDC 086</t>
        </is>
      </c>
      <c r="E1551" s="21" t="inlineStr">
        <is>
          <t>ÖMER AĞAYAR</t>
        </is>
      </c>
      <c r="F1551" s="23" t="n">
        <v>311792</v>
      </c>
      <c r="G1551" s="138" t="n"/>
      <c r="H1551" s="138" t="n">
        <v>244</v>
      </c>
      <c r="I1551" s="138">
        <f>+I1550+(G1551-H1551)</f>
        <v/>
      </c>
      <c r="J1551" s="139" t="n">
        <v>40.508</v>
      </c>
      <c r="K1551" s="140" t="n"/>
      <c r="L1551" s="140">
        <f>+H1551*J1551</f>
        <v/>
      </c>
      <c r="M1551" s="141">
        <f>SUM(M1550+K1551-L1551)</f>
        <v/>
      </c>
    </row>
    <row r="1552">
      <c r="A1552" s="20" t="n">
        <v>45757</v>
      </c>
      <c r="B1552" s="21" t="n">
        <v>14317</v>
      </c>
      <c r="C1552" s="22" t="inlineStr">
        <is>
          <t>SELİM İNŞAAT</t>
        </is>
      </c>
      <c r="D1552" s="21" t="inlineStr">
        <is>
          <t>34 DKL 866</t>
        </is>
      </c>
      <c r="E1552" s="21" t="inlineStr">
        <is>
          <t>SELİM CAN ÖNVER</t>
        </is>
      </c>
      <c r="F1552" s="23" t="n">
        <v>63130</v>
      </c>
      <c r="G1552" s="138" t="n"/>
      <c r="H1552" s="138" t="n">
        <v>98</v>
      </c>
      <c r="I1552" s="138">
        <f>+I1551+(G1552-H1552)</f>
        <v/>
      </c>
      <c r="J1552" s="139" t="n">
        <v>40.508</v>
      </c>
      <c r="K1552" s="140" t="n"/>
      <c r="L1552" s="140">
        <f>+H1552*J1552</f>
        <v/>
      </c>
      <c r="M1552" s="141">
        <f>SUM(M1551+K1552-L1552)</f>
        <v/>
      </c>
    </row>
    <row r="1553">
      <c r="A1553" s="20" t="n">
        <v>45757</v>
      </c>
      <c r="B1553" s="21" t="n">
        <v>14594</v>
      </c>
      <c r="C1553" s="22" t="inlineStr">
        <is>
          <t>ENES SELİM</t>
        </is>
      </c>
      <c r="D1553" s="21" t="inlineStr">
        <is>
          <t>TB 926 VİNÇ</t>
        </is>
      </c>
      <c r="E1553" s="21" t="inlineStr">
        <is>
          <t>ENES SELİM</t>
        </is>
      </c>
      <c r="F1553" s="23" t="n"/>
      <c r="G1553" s="138" t="n"/>
      <c r="H1553" s="138" t="n">
        <v>210</v>
      </c>
      <c r="I1553" s="138">
        <f>+I1552+(G1553-H1553)</f>
        <v/>
      </c>
      <c r="J1553" s="139" t="n">
        <v>40.508</v>
      </c>
      <c r="K1553" s="140" t="n"/>
      <c r="L1553" s="140">
        <f>+H1553*J1553</f>
        <v/>
      </c>
      <c r="M1553" s="141">
        <f>SUM(M1552+K1553-L1553)</f>
        <v/>
      </c>
    </row>
    <row r="1554">
      <c r="A1554" s="20" t="n">
        <v>45757</v>
      </c>
      <c r="B1554" s="21" t="n">
        <v>10072</v>
      </c>
      <c r="C1554" s="22" t="inlineStr">
        <is>
          <t>SELİM İNŞAAT</t>
        </is>
      </c>
      <c r="D1554" s="21" t="inlineStr">
        <is>
          <t>34 FBR 771</t>
        </is>
      </c>
      <c r="E1554" s="21" t="inlineStr">
        <is>
          <t>HÜSEYİN AKÇİN</t>
        </is>
      </c>
      <c r="F1554" s="23" t="n">
        <v>301470</v>
      </c>
      <c r="G1554" s="138" t="n"/>
      <c r="H1554" s="138" t="n">
        <v>259</v>
      </c>
      <c r="I1554" s="138">
        <f>+I1553+(G1554-H1554)</f>
        <v/>
      </c>
      <c r="J1554" s="139" t="n">
        <v>40.508</v>
      </c>
      <c r="K1554" s="140" t="n"/>
      <c r="L1554" s="140">
        <f>+H1554*J1554</f>
        <v/>
      </c>
      <c r="M1554" s="141">
        <f>SUM(M1553+K1554-L1554)</f>
        <v/>
      </c>
    </row>
    <row r="1555">
      <c r="A1555" s="20" t="n">
        <v>45757</v>
      </c>
      <c r="B1555" s="21" t="n">
        <v>14112</v>
      </c>
      <c r="C1555" s="22" t="inlineStr">
        <is>
          <t>SELİM İNŞAAT</t>
        </is>
      </c>
      <c r="D1555" s="21" t="inlineStr">
        <is>
          <t>34 DSN 536</t>
        </is>
      </c>
      <c r="E1555" s="21" t="inlineStr">
        <is>
          <t>DURSUN ALİ GÜREK</t>
        </is>
      </c>
      <c r="F1555" s="23" t="n">
        <v>389514</v>
      </c>
      <c r="G1555" s="138" t="n"/>
      <c r="H1555" s="138" t="n">
        <v>342</v>
      </c>
      <c r="I1555" s="138">
        <f>+I1554+(G1555-H1555)</f>
        <v/>
      </c>
      <c r="J1555" s="139" t="n">
        <v>40.508</v>
      </c>
      <c r="K1555" s="140" t="n"/>
      <c r="L1555" s="140">
        <f>+H1555*J1555</f>
        <v/>
      </c>
      <c r="M1555" s="141">
        <f>SUM(M1554+K1555-L1555)</f>
        <v/>
      </c>
    </row>
    <row r="1556">
      <c r="A1556" s="20" t="n">
        <v>45757</v>
      </c>
      <c r="B1556" s="21" t="n">
        <v>11731</v>
      </c>
      <c r="C1556" s="22" t="inlineStr">
        <is>
          <t>SELİM İNŞAAT</t>
        </is>
      </c>
      <c r="D1556" s="21" t="inlineStr">
        <is>
          <t>34 EDB 559</t>
        </is>
      </c>
      <c r="E1556" s="21" t="inlineStr">
        <is>
          <t>CEM MUHTAR</t>
        </is>
      </c>
      <c r="F1556" s="23" t="n">
        <v>313805</v>
      </c>
      <c r="G1556" s="138" t="n"/>
      <c r="H1556" s="138" t="n">
        <v>290</v>
      </c>
      <c r="I1556" s="138">
        <f>+I1555+(G1556-H1556)</f>
        <v/>
      </c>
      <c r="J1556" s="139" t="n">
        <v>40.508</v>
      </c>
      <c r="K1556" s="140" t="n"/>
      <c r="L1556" s="140">
        <f>+H1556*J1556</f>
        <v/>
      </c>
      <c r="M1556" s="141">
        <f>SUM(M1555+K1556-L1556)</f>
        <v/>
      </c>
    </row>
    <row r="1557">
      <c r="A1557" s="20" t="n">
        <v>45757</v>
      </c>
      <c r="B1557" s="21" t="n">
        <v>11319</v>
      </c>
      <c r="C1557" s="22" t="inlineStr">
        <is>
          <t>AZGÜN YAPI</t>
        </is>
      </c>
      <c r="D1557" s="21" t="inlineStr">
        <is>
          <t>34 MKT 859</t>
        </is>
      </c>
      <c r="E1557" s="21" t="inlineStr">
        <is>
          <t>HASAN ALTUN</t>
        </is>
      </c>
      <c r="F1557" s="23" t="n">
        <v>24639</v>
      </c>
      <c r="G1557" s="138" t="n"/>
      <c r="H1557" s="138" t="n">
        <v>805</v>
      </c>
      <c r="I1557" s="138">
        <f>+I1556+(G1557-H1557)</f>
        <v/>
      </c>
      <c r="J1557" s="139" t="n">
        <v>40.508</v>
      </c>
      <c r="K1557" s="140" t="n"/>
      <c r="L1557" s="140">
        <f>+H1557*J1557</f>
        <v/>
      </c>
      <c r="M1557" s="141">
        <f>SUM(M1556+K1557-L1557)</f>
        <v/>
      </c>
    </row>
    <row r="1558">
      <c r="A1558" s="20" t="n">
        <v>45757</v>
      </c>
      <c r="B1558" s="1" t="n">
        <v>14590</v>
      </c>
      <c r="C1558" s="2" t="inlineStr">
        <is>
          <t>VARLIK</t>
        </is>
      </c>
      <c r="D1558" s="1" t="inlineStr">
        <is>
          <t>SM 300</t>
        </is>
      </c>
      <c r="E1558" s="1" t="inlineStr">
        <is>
          <t>TURGUT SANCAK</t>
        </is>
      </c>
      <c r="F1558" s="3" t="n"/>
      <c r="G1558" s="143" t="n"/>
      <c r="H1558" s="143" t="n">
        <v>311</v>
      </c>
      <c r="I1558" s="143">
        <f>+I1557+(G1558-H1558)</f>
        <v/>
      </c>
      <c r="J1558" s="144" t="n">
        <v>40.508</v>
      </c>
      <c r="K1558" s="145" t="n"/>
      <c r="L1558" s="140">
        <f>+H1558*J1558</f>
        <v/>
      </c>
      <c r="M1558" s="141">
        <f>SUM(M1557+K1558-L1558)</f>
        <v/>
      </c>
    </row>
    <row r="1559">
      <c r="A1559" s="20" t="n">
        <v>45757</v>
      </c>
      <c r="B1559" s="21" t="n">
        <v>11287</v>
      </c>
      <c r="C1559" s="22" t="inlineStr">
        <is>
          <t>SELİM İNŞAAT</t>
        </is>
      </c>
      <c r="D1559" s="21" t="inlineStr">
        <is>
          <t>34 EDC 162</t>
        </is>
      </c>
      <c r="E1559" s="21" t="inlineStr">
        <is>
          <t xml:space="preserve">YAKUP GÜNER </t>
        </is>
      </c>
      <c r="F1559" s="23" t="n">
        <v>352178</v>
      </c>
      <c r="G1559" s="138" t="n"/>
      <c r="H1559" s="138" t="n">
        <v>378</v>
      </c>
      <c r="I1559" s="138">
        <f>+I1558+(G1559-H1559)</f>
        <v/>
      </c>
      <c r="J1559" s="139" t="n">
        <v>40.508</v>
      </c>
      <c r="K1559" s="140" t="n"/>
      <c r="L1559" s="140">
        <f>+H1559*J1559</f>
        <v/>
      </c>
      <c r="M1559" s="141">
        <f>SUM(M1558+K1559-L1559)</f>
        <v/>
      </c>
    </row>
    <row r="1560">
      <c r="A1560" s="20" t="n">
        <v>45757</v>
      </c>
      <c r="B1560" s="21" t="n">
        <v>10135</v>
      </c>
      <c r="C1560" s="22" t="inlineStr">
        <is>
          <t>SELİM İNŞAAT</t>
        </is>
      </c>
      <c r="D1560" s="21" t="inlineStr">
        <is>
          <t>34 DP 4161</t>
        </is>
      </c>
      <c r="E1560" s="21" t="inlineStr">
        <is>
          <t>RIFAT KARATAY</t>
        </is>
      </c>
      <c r="F1560" s="23" t="n">
        <v>281048</v>
      </c>
      <c r="G1560" s="138" t="n"/>
      <c r="H1560" s="138" t="n">
        <v>194</v>
      </c>
      <c r="I1560" s="138">
        <f>+I1559+(G1560-H1560)</f>
        <v/>
      </c>
      <c r="J1560" s="139" t="n">
        <v>40.508</v>
      </c>
      <c r="K1560" s="140" t="n"/>
      <c r="L1560" s="140">
        <f>+H1560*J1560</f>
        <v/>
      </c>
      <c r="M1560" s="141">
        <f>SUM(M1559+K1560-L1560)</f>
        <v/>
      </c>
    </row>
    <row r="1561">
      <c r="A1561" s="20" t="n">
        <v>45757</v>
      </c>
      <c r="B1561" s="21" t="n">
        <v>11366</v>
      </c>
      <c r="C1561" s="22" t="inlineStr">
        <is>
          <t>AZGÜN YAPI</t>
        </is>
      </c>
      <c r="D1561" s="21" t="inlineStr">
        <is>
          <t>34 MKT 593</t>
        </is>
      </c>
      <c r="E1561" s="21" t="inlineStr">
        <is>
          <t>İLHAN YÜRÜK</t>
        </is>
      </c>
      <c r="F1561" s="23" t="n">
        <v>19406</v>
      </c>
      <c r="G1561" s="138" t="n"/>
      <c r="H1561" s="138" t="n">
        <v>1018</v>
      </c>
      <c r="I1561" s="138">
        <f>+I1560+(G1561-H1561)</f>
        <v/>
      </c>
      <c r="J1561" s="139" t="n">
        <v>40.508</v>
      </c>
      <c r="K1561" s="140" t="n"/>
      <c r="L1561" s="140">
        <f>+H1561*J1561</f>
        <v/>
      </c>
      <c r="M1561" s="141">
        <f>SUM(M1560+K1561-L1561)</f>
        <v/>
      </c>
    </row>
    <row r="1562">
      <c r="A1562" s="20" t="n">
        <v>45757</v>
      </c>
      <c r="B1562" s="1" t="n">
        <v>14592</v>
      </c>
      <c r="C1562" s="2" t="inlineStr">
        <is>
          <t>HASALTUN</t>
        </is>
      </c>
      <c r="D1562" s="1" t="inlineStr">
        <is>
          <t>SM 350</t>
        </is>
      </c>
      <c r="E1562" s="1" t="inlineStr">
        <is>
          <t>BAYRAM SANCAK</t>
        </is>
      </c>
      <c r="F1562" s="3" t="n"/>
      <c r="G1562" s="143" t="n"/>
      <c r="H1562" s="143" t="n">
        <v>344</v>
      </c>
      <c r="I1562" s="143">
        <f>+I1561+(G1562-H1562)</f>
        <v/>
      </c>
      <c r="J1562" s="144" t="n">
        <v>40.508</v>
      </c>
      <c r="K1562" s="145" t="n"/>
      <c r="L1562" s="140">
        <f>+H1562*J1562</f>
        <v/>
      </c>
      <c r="M1562" s="141">
        <f>SUM(M1561+K1562-L1562)</f>
        <v/>
      </c>
    </row>
    <row r="1563">
      <c r="A1563" s="20" t="n">
        <v>45757</v>
      </c>
      <c r="B1563" s="21" t="n">
        <v>11820</v>
      </c>
      <c r="C1563" s="22" t="inlineStr">
        <is>
          <t>SELİM İNŞAAT</t>
        </is>
      </c>
      <c r="D1563" s="21" t="inlineStr">
        <is>
          <t>34 FSG 229</t>
        </is>
      </c>
      <c r="E1563" s="21" t="inlineStr">
        <is>
          <t>SİNAN TANRIVERDİ</t>
        </is>
      </c>
      <c r="F1563" s="23" t="n">
        <v>242214</v>
      </c>
      <c r="G1563" s="138" t="n"/>
      <c r="H1563" s="138" t="n">
        <v>372</v>
      </c>
      <c r="I1563" s="138">
        <f>+I1562+(G1563-H1563)</f>
        <v/>
      </c>
      <c r="J1563" s="139" t="n">
        <v>40.508</v>
      </c>
      <c r="K1563" s="140" t="n"/>
      <c r="L1563" s="140">
        <f>+H1563*J1563</f>
        <v/>
      </c>
      <c r="M1563" s="141">
        <f>SUM(M1562+K1563-L1563)</f>
        <v/>
      </c>
    </row>
    <row r="1564">
      <c r="A1564" s="20" t="n">
        <v>45757</v>
      </c>
      <c r="B1564" s="21" t="n">
        <v>14709</v>
      </c>
      <c r="C1564" s="22" t="inlineStr">
        <is>
          <t>METİN ERYİĞİT</t>
        </is>
      </c>
      <c r="D1564" s="21" t="inlineStr">
        <is>
          <t>34 GBL 998</t>
        </is>
      </c>
      <c r="E1564" s="21" t="inlineStr">
        <is>
          <t>ALİ KESKİN</t>
        </is>
      </c>
      <c r="F1564" s="23" t="n">
        <v>249598</v>
      </c>
      <c r="G1564" s="138" t="n"/>
      <c r="H1564" s="138" t="n">
        <v>369</v>
      </c>
      <c r="I1564" s="138">
        <f>+I1563+(G1564-H1564)</f>
        <v/>
      </c>
      <c r="J1564" s="139" t="n">
        <v>40.508</v>
      </c>
      <c r="K1564" s="140" t="n"/>
      <c r="L1564" s="140">
        <f>+H1564*J1564</f>
        <v/>
      </c>
      <c r="M1564" s="141">
        <f>SUM(M1563+K1564-L1564)</f>
        <v/>
      </c>
    </row>
    <row r="1565">
      <c r="A1565" s="20" t="n">
        <v>45757</v>
      </c>
      <c r="B1565" s="21" t="n">
        <v>14593</v>
      </c>
      <c r="C1565" s="22" t="inlineStr">
        <is>
          <t>EVKUR</t>
        </is>
      </c>
      <c r="D1565" s="21" t="inlineStr">
        <is>
          <t>FOKLİFT</t>
        </is>
      </c>
      <c r="E1565" s="21" t="inlineStr">
        <is>
          <t>FAHRİ KALFA</t>
        </is>
      </c>
      <c r="F1565" s="23" t="n"/>
      <c r="G1565" s="138" t="n"/>
      <c r="H1565" s="138" t="n">
        <v>47</v>
      </c>
      <c r="I1565" s="138">
        <f>+I1564+(G1565-H1565)</f>
        <v/>
      </c>
      <c r="J1565" s="139" t="n">
        <v>40.508</v>
      </c>
      <c r="K1565" s="140" t="n"/>
      <c r="L1565" s="140">
        <f>+H1565*J1565</f>
        <v/>
      </c>
      <c r="M1565" s="141">
        <f>SUM(M1564+K1565-L1565)</f>
        <v/>
      </c>
    </row>
    <row r="1566">
      <c r="A1566" s="20" t="n">
        <v>45757</v>
      </c>
      <c r="B1566" s="21" t="n">
        <v>14213</v>
      </c>
      <c r="C1566" s="22" t="inlineStr">
        <is>
          <t>SELİM İNŞAAT</t>
        </is>
      </c>
      <c r="D1566" s="21" t="inlineStr">
        <is>
          <t xml:space="preserve">34 GUS 938 </t>
        </is>
      </c>
      <c r="E1566" s="21" t="inlineStr">
        <is>
          <t>MEHMET KAYA</t>
        </is>
      </c>
      <c r="F1566" s="23" t="n">
        <v>170811</v>
      </c>
      <c r="G1566" s="138" t="n"/>
      <c r="H1566" s="138" t="n">
        <v>300</v>
      </c>
      <c r="I1566" s="138">
        <f>+I1565+(G1566-H1566)</f>
        <v/>
      </c>
      <c r="J1566" s="139" t="n">
        <v>40.508</v>
      </c>
      <c r="K1566" s="140" t="n"/>
      <c r="L1566" s="140">
        <f>+H1566*J1566</f>
        <v/>
      </c>
      <c r="M1566" s="141">
        <f>SUM(M1565+K1566-L1566)</f>
        <v/>
      </c>
    </row>
    <row r="1567">
      <c r="A1567" s="20" t="n">
        <v>45757</v>
      </c>
      <c r="B1567" s="1" t="n">
        <v>14591</v>
      </c>
      <c r="C1567" s="2" t="inlineStr">
        <is>
          <t>HASALTUN</t>
        </is>
      </c>
      <c r="D1567" s="1" t="inlineStr">
        <is>
          <t>SİLİNDİR</t>
        </is>
      </c>
      <c r="E1567" s="1" t="inlineStr">
        <is>
          <t>ÖNER DÜNDAR</t>
        </is>
      </c>
      <c r="F1567" s="3" t="n"/>
      <c r="G1567" s="143" t="n"/>
      <c r="H1567" s="143" t="n">
        <v>119</v>
      </c>
      <c r="I1567" s="143">
        <f>+I1566+(G1567-H1567)</f>
        <v/>
      </c>
      <c r="J1567" s="144" t="n">
        <v>40.508</v>
      </c>
      <c r="K1567" s="145" t="n"/>
      <c r="L1567" s="140">
        <f>+H1567*J1567</f>
        <v/>
      </c>
      <c r="M1567" s="141">
        <f>SUM(M1566+K1567-L1567)</f>
        <v/>
      </c>
    </row>
    <row r="1568">
      <c r="A1568" s="20" t="n">
        <v>45758</v>
      </c>
      <c r="B1568" s="21" t="n">
        <v>10568</v>
      </c>
      <c r="C1568" s="22" t="inlineStr">
        <is>
          <t>SELİM İNŞAAT</t>
        </is>
      </c>
      <c r="D1568" s="21" t="inlineStr">
        <is>
          <t>34 GU 945</t>
        </is>
      </c>
      <c r="E1568" s="21" t="inlineStr">
        <is>
          <t>TURAN SEVİNDİK</t>
        </is>
      </c>
      <c r="F1568" s="23" t="n">
        <v>442182</v>
      </c>
      <c r="G1568" s="138" t="n"/>
      <c r="H1568" s="138" t="n">
        <v>63</v>
      </c>
      <c r="I1568" s="138">
        <f>+I1567+(G1568-H1568)</f>
        <v/>
      </c>
      <c r="J1568" s="139" t="n">
        <v>40.508</v>
      </c>
      <c r="K1568" s="140" t="n"/>
      <c r="L1568" s="140">
        <f>+H1568*J1568</f>
        <v/>
      </c>
      <c r="M1568" s="141">
        <f>SUM(M1567+K1568-L1568)</f>
        <v/>
      </c>
    </row>
    <row r="1569">
      <c r="A1569" s="20" t="n">
        <v>45758</v>
      </c>
      <c r="B1569" s="21" t="n">
        <v>11900</v>
      </c>
      <c r="C1569" s="22" t="inlineStr">
        <is>
          <t>SELİM İNŞAAT</t>
        </is>
      </c>
      <c r="D1569" s="21" t="inlineStr">
        <is>
          <t>34 DFE 454</t>
        </is>
      </c>
      <c r="E1569" s="21" t="inlineStr">
        <is>
          <t>METİN KALKAN</t>
        </is>
      </c>
      <c r="F1569" s="23" t="n">
        <v>156629</v>
      </c>
      <c r="G1569" s="138" t="n"/>
      <c r="H1569" s="138" t="n">
        <v>165</v>
      </c>
      <c r="I1569" s="138">
        <f>+I1568+(G1569-H1569)</f>
        <v/>
      </c>
      <c r="J1569" s="139" t="n">
        <v>40.508</v>
      </c>
      <c r="K1569" s="140" t="n"/>
      <c r="L1569" s="140">
        <f>+H1569*J1569</f>
        <v/>
      </c>
      <c r="M1569" s="141">
        <f>SUM(M1568+K1569-L1569)</f>
        <v/>
      </c>
    </row>
    <row r="1570">
      <c r="A1570" s="20" t="n">
        <v>45758</v>
      </c>
      <c r="B1570" s="21" t="n">
        <v>14513</v>
      </c>
      <c r="C1570" s="22" t="inlineStr">
        <is>
          <t>SELİM İNŞAAT</t>
        </is>
      </c>
      <c r="D1570" s="21" t="inlineStr">
        <is>
          <t>34 GER 028</t>
        </is>
      </c>
      <c r="E1570" s="21" t="inlineStr">
        <is>
          <t>A.KERİM ERGEN</t>
        </is>
      </c>
      <c r="F1570" s="23" t="n">
        <v>41793</v>
      </c>
      <c r="G1570" s="138" t="n"/>
      <c r="H1570" s="138" t="n">
        <v>157</v>
      </c>
      <c r="I1570" s="138">
        <f>+I1569+(G1570-H1570)</f>
        <v/>
      </c>
      <c r="J1570" s="139" t="n">
        <v>40.508</v>
      </c>
      <c r="K1570" s="140" t="n"/>
      <c r="L1570" s="140">
        <f>+H1570*J1570</f>
        <v/>
      </c>
      <c r="M1570" s="141">
        <f>SUM(M1569+K1570-L1570)</f>
        <v/>
      </c>
    </row>
    <row r="1571">
      <c r="A1571" s="20" t="n">
        <v>45758</v>
      </c>
      <c r="B1571" s="1" t="n">
        <v>14595</v>
      </c>
      <c r="C1571" s="2" t="inlineStr">
        <is>
          <t>HASALTUN</t>
        </is>
      </c>
      <c r="D1571" s="1" t="inlineStr">
        <is>
          <t>SM 370</t>
        </is>
      </c>
      <c r="E1571" s="1" t="inlineStr">
        <is>
          <t>RAMAZAN KAYA</t>
        </is>
      </c>
      <c r="F1571" s="3" t="n"/>
      <c r="G1571" s="143" t="n"/>
      <c r="H1571" s="143" t="n">
        <v>200</v>
      </c>
      <c r="I1571" s="143">
        <f>+I1570+(G1571-H1571)</f>
        <v/>
      </c>
      <c r="J1571" s="144" t="n">
        <v>40.508</v>
      </c>
      <c r="K1571" s="145" t="n"/>
      <c r="L1571" s="140">
        <f>+H1571*J1571</f>
        <v/>
      </c>
      <c r="M1571" s="141">
        <f>SUM(M1570+K1571-L1571)</f>
        <v/>
      </c>
    </row>
    <row r="1572">
      <c r="A1572" s="20" t="n">
        <v>45758</v>
      </c>
      <c r="B1572" s="1" t="n">
        <v>14596</v>
      </c>
      <c r="C1572" s="2" t="inlineStr">
        <is>
          <t>HASALTUN</t>
        </is>
      </c>
      <c r="D1572" s="1" t="inlineStr">
        <is>
          <t>SM 350</t>
        </is>
      </c>
      <c r="E1572" s="1" t="inlineStr">
        <is>
          <t>TEVFİK ÖZTÜRK</t>
        </is>
      </c>
      <c r="F1572" s="3" t="n"/>
      <c r="G1572" s="143" t="n"/>
      <c r="H1572" s="143" t="n">
        <v>200</v>
      </c>
      <c r="I1572" s="143">
        <f>+I1571+(G1572-H1572)</f>
        <v/>
      </c>
      <c r="J1572" s="144" t="n">
        <v>40.508</v>
      </c>
      <c r="K1572" s="145" t="n"/>
      <c r="L1572" s="140">
        <f>+H1572*J1572</f>
        <v/>
      </c>
      <c r="M1572" s="141">
        <f>SUM(M1571+K1572-L1572)</f>
        <v/>
      </c>
    </row>
    <row r="1573">
      <c r="A1573" s="20" t="n">
        <v>45759</v>
      </c>
      <c r="B1573" s="21" t="n">
        <v>14657</v>
      </c>
      <c r="C1573" s="22" t="inlineStr">
        <is>
          <t>EVKUR</t>
        </is>
      </c>
      <c r="D1573" s="21" t="inlineStr">
        <is>
          <t>FOKLİFT</t>
        </is>
      </c>
      <c r="E1573" s="21" t="inlineStr">
        <is>
          <t>FAHRİ KALFA</t>
        </is>
      </c>
      <c r="F1573" s="23" t="n"/>
      <c r="G1573" s="138" t="n"/>
      <c r="H1573" s="138" t="n">
        <v>30</v>
      </c>
      <c r="I1573" s="138">
        <f>+I1572+(G1573-H1573)</f>
        <v/>
      </c>
      <c r="J1573" s="139" t="n">
        <v>40.508</v>
      </c>
      <c r="K1573" s="140" t="n"/>
      <c r="L1573" s="140">
        <f>+H1573*J1573</f>
        <v/>
      </c>
      <c r="M1573" s="141">
        <f>SUM(M1572+K1573-L1573)</f>
        <v/>
      </c>
    </row>
    <row r="1574">
      <c r="A1574" s="20" t="n">
        <v>45759</v>
      </c>
      <c r="B1574" s="1" t="n">
        <v>14600</v>
      </c>
      <c r="C1574" s="2" t="inlineStr">
        <is>
          <t>VARLIK</t>
        </is>
      </c>
      <c r="D1574" s="1" t="inlineStr">
        <is>
          <t>SM 350</t>
        </is>
      </c>
      <c r="E1574" s="1" t="inlineStr">
        <is>
          <t>BAYRAM SANCAK</t>
        </is>
      </c>
      <c r="F1574" s="3" t="n"/>
      <c r="G1574" s="143" t="n"/>
      <c r="H1574" s="143" t="n">
        <v>382</v>
      </c>
      <c r="I1574" s="143">
        <f>+I1573+(G1574-H1574)</f>
        <v/>
      </c>
      <c r="J1574" s="144" t="n">
        <v>40.508</v>
      </c>
      <c r="K1574" s="145" t="n"/>
      <c r="L1574" s="140">
        <f>+H1574*J1574</f>
        <v/>
      </c>
      <c r="M1574" s="141">
        <f>SUM(M1573+K1574-L1574)</f>
        <v/>
      </c>
    </row>
    <row r="1575">
      <c r="A1575" s="20" t="n">
        <v>45759</v>
      </c>
      <c r="B1575" s="1" t="n">
        <v>14599</v>
      </c>
      <c r="C1575" s="2" t="inlineStr">
        <is>
          <t>VARLIK</t>
        </is>
      </c>
      <c r="D1575" s="1" t="inlineStr">
        <is>
          <t>SM 300</t>
        </is>
      </c>
      <c r="E1575" s="1" t="inlineStr">
        <is>
          <t>TURGUT SANCAK</t>
        </is>
      </c>
      <c r="F1575" s="3" t="n"/>
      <c r="G1575" s="143" t="n"/>
      <c r="H1575" s="143" t="n">
        <v>355</v>
      </c>
      <c r="I1575" s="143">
        <f>+I1574+(G1575-H1575)</f>
        <v/>
      </c>
      <c r="J1575" s="144" t="n">
        <v>40.508</v>
      </c>
      <c r="K1575" s="145" t="n"/>
      <c r="L1575" s="140">
        <f>+H1575*J1575</f>
        <v/>
      </c>
      <c r="M1575" s="141">
        <f>SUM(M1574+K1575-L1575)</f>
        <v/>
      </c>
    </row>
    <row r="1576">
      <c r="A1576" s="20" t="n">
        <v>45759</v>
      </c>
      <c r="B1576" s="1" t="n">
        <v>14598</v>
      </c>
      <c r="C1576" s="2" t="inlineStr">
        <is>
          <t>HASALTUN</t>
        </is>
      </c>
      <c r="D1576" s="1" t="inlineStr">
        <is>
          <t>SM 350</t>
        </is>
      </c>
      <c r="E1576" s="1" t="inlineStr">
        <is>
          <t>TEVFİK ÖZTÜRK</t>
        </is>
      </c>
      <c r="F1576" s="3" t="n"/>
      <c r="G1576" s="143" t="n"/>
      <c r="H1576" s="143" t="n">
        <v>372</v>
      </c>
      <c r="I1576" s="143">
        <f>+I1575+(G1576-H1576)</f>
        <v/>
      </c>
      <c r="J1576" s="144" t="n">
        <v>40.508</v>
      </c>
      <c r="K1576" s="145" t="n"/>
      <c r="L1576" s="140">
        <f>+H1576*J1576</f>
        <v/>
      </c>
      <c r="M1576" s="141">
        <f>SUM(M1575+K1576-L1576)</f>
        <v/>
      </c>
    </row>
    <row r="1577">
      <c r="A1577" s="20" t="n">
        <v>45759</v>
      </c>
      <c r="B1577" s="1" t="n">
        <v>14597</v>
      </c>
      <c r="C1577" s="2" t="inlineStr">
        <is>
          <t>HASALTUN</t>
        </is>
      </c>
      <c r="D1577" s="1" t="inlineStr">
        <is>
          <t>SM 370</t>
        </is>
      </c>
      <c r="E1577" s="1" t="inlineStr">
        <is>
          <t>RAMAZAN KAYA</t>
        </is>
      </c>
      <c r="F1577" s="3" t="n"/>
      <c r="G1577" s="143" t="n"/>
      <c r="H1577" s="143" t="n">
        <v>297</v>
      </c>
      <c r="I1577" s="143">
        <f>+I1576+(G1577-H1577)</f>
        <v/>
      </c>
      <c r="J1577" s="144" t="n">
        <v>40.508</v>
      </c>
      <c r="K1577" s="145" t="n"/>
      <c r="L1577" s="140">
        <f>+H1577*J1577</f>
        <v/>
      </c>
      <c r="M1577" s="141">
        <f>SUM(M1576+K1577-L1577)</f>
        <v/>
      </c>
    </row>
    <row r="1578">
      <c r="A1578" s="20" t="n">
        <v>45759</v>
      </c>
      <c r="B1578" s="21" t="n">
        <v>443</v>
      </c>
      <c r="C1578" s="22" t="inlineStr">
        <is>
          <t>ÜNSOY TURİZM İNŞ.SAN.VE TİC.A.Ş.</t>
        </is>
      </c>
      <c r="D1578" s="21" t="n"/>
      <c r="E1578" s="21" t="n"/>
      <c r="F1578" s="23" t="n"/>
      <c r="G1578" s="138" t="n">
        <v>32597</v>
      </c>
      <c r="H1578" s="138" t="n"/>
      <c r="I1578" s="138">
        <f>+I1577+(G1578-H1578)</f>
        <v/>
      </c>
      <c r="J1578" s="139">
        <f>+K1578/G1578</f>
        <v/>
      </c>
      <c r="K1578" s="140" t="n">
        <v>1238686</v>
      </c>
      <c r="L1578" s="140">
        <f>+H1578*J1578</f>
        <v/>
      </c>
      <c r="M1578" s="141">
        <f>SUM(M1577+K1578-L1578)</f>
        <v/>
      </c>
    </row>
    <row r="1579">
      <c r="A1579" s="20" t="n">
        <v>45760</v>
      </c>
      <c r="B1579" s="1" t="n">
        <v>15404</v>
      </c>
      <c r="C1579" s="2" t="inlineStr">
        <is>
          <t>VARLIK</t>
        </is>
      </c>
      <c r="D1579" s="1" t="inlineStr">
        <is>
          <t>SM 350</t>
        </is>
      </c>
      <c r="E1579" s="1" t="inlineStr">
        <is>
          <t>BAYRAM SANCAK</t>
        </is>
      </c>
      <c r="F1579" s="3" t="n"/>
      <c r="G1579" s="143" t="n"/>
      <c r="H1579" s="143" t="n">
        <v>338</v>
      </c>
      <c r="I1579" s="143">
        <f>+I1578+(G1579-H1579)</f>
        <v/>
      </c>
      <c r="J1579" s="144" t="n">
        <v>40.508</v>
      </c>
      <c r="K1579" s="145" t="n"/>
      <c r="L1579" s="140">
        <f>+H1579*J1579</f>
        <v/>
      </c>
      <c r="M1579" s="141">
        <f>SUM(M1578+K1579-L1579)</f>
        <v/>
      </c>
    </row>
    <row r="1580">
      <c r="A1580" s="20" t="n">
        <v>45760</v>
      </c>
      <c r="B1580" s="21" t="n">
        <v>10136</v>
      </c>
      <c r="C1580" s="22" t="inlineStr">
        <is>
          <t>SELİM İNŞAAT</t>
        </is>
      </c>
      <c r="D1580" s="21" t="inlineStr">
        <is>
          <t>34 DP 4161</t>
        </is>
      </c>
      <c r="E1580" s="21" t="inlineStr">
        <is>
          <t>RIFAT KARATAY</t>
        </is>
      </c>
      <c r="F1580" s="23" t="n">
        <v>281191</v>
      </c>
      <c r="G1580" s="138" t="n"/>
      <c r="H1580" s="138" t="n">
        <v>151</v>
      </c>
      <c r="I1580" s="138">
        <f>+I1579+(G1580-H1580)</f>
        <v/>
      </c>
      <c r="J1580" s="139" t="n">
        <v>40.508</v>
      </c>
      <c r="K1580" s="140" t="n"/>
      <c r="L1580" s="140">
        <f>+H1580*J1580</f>
        <v/>
      </c>
      <c r="M1580" s="141">
        <f>SUM(M1579+K1580-L1580)</f>
        <v/>
      </c>
    </row>
    <row r="1581">
      <c r="A1581" s="20" t="n">
        <v>45760</v>
      </c>
      <c r="B1581" s="1" t="n">
        <v>15402</v>
      </c>
      <c r="C1581" s="2" t="inlineStr">
        <is>
          <t>HASALTUN</t>
        </is>
      </c>
      <c r="D1581" s="1" t="inlineStr">
        <is>
          <t>SM 370</t>
        </is>
      </c>
      <c r="E1581" s="1" t="inlineStr">
        <is>
          <t>TEKİN ŞEYLAN</t>
        </is>
      </c>
      <c r="F1581" s="3" t="n"/>
      <c r="G1581" s="143" t="n"/>
      <c r="H1581" s="143" t="n">
        <v>362</v>
      </c>
      <c r="I1581" s="143">
        <f>+I1580+(G1581-H1581)</f>
        <v/>
      </c>
      <c r="J1581" s="144" t="n">
        <v>40.508</v>
      </c>
      <c r="K1581" s="145" t="n"/>
      <c r="L1581" s="140">
        <f>+H1581*J1581</f>
        <v/>
      </c>
      <c r="M1581" s="141">
        <f>SUM(M1580+K1581-L1581)</f>
        <v/>
      </c>
    </row>
    <row r="1582">
      <c r="A1582" s="20" t="n">
        <v>45760</v>
      </c>
      <c r="B1582" s="1" t="n">
        <v>15406</v>
      </c>
      <c r="C1582" s="2" t="inlineStr">
        <is>
          <t>VARLIK</t>
        </is>
      </c>
      <c r="D1582" s="1" t="inlineStr">
        <is>
          <t>KAVAZAKİ</t>
        </is>
      </c>
      <c r="E1582" s="1" t="inlineStr">
        <is>
          <t>UFUK SEVAL</t>
        </is>
      </c>
      <c r="F1582" s="3" t="n"/>
      <c r="G1582" s="143" t="n"/>
      <c r="H1582" s="143" t="n">
        <v>285</v>
      </c>
      <c r="I1582" s="143">
        <f>+I1581+(G1582-H1582)</f>
        <v/>
      </c>
      <c r="J1582" s="144" t="n">
        <v>40.508</v>
      </c>
      <c r="K1582" s="145" t="n"/>
      <c r="L1582" s="140">
        <f>+H1582*J1582</f>
        <v/>
      </c>
      <c r="M1582" s="141">
        <f>SUM(M1581+K1582-L1582)</f>
        <v/>
      </c>
    </row>
    <row r="1583">
      <c r="A1583" s="20" t="n">
        <v>45760</v>
      </c>
      <c r="B1583" s="21" t="n">
        <v>14318</v>
      </c>
      <c r="C1583" s="22" t="inlineStr">
        <is>
          <t>SELİM İNŞAAT</t>
        </is>
      </c>
      <c r="D1583" s="21" t="inlineStr">
        <is>
          <t>34 DKL 866</t>
        </is>
      </c>
      <c r="E1583" s="21" t="inlineStr">
        <is>
          <t>SELİM CAN ÖNVER</t>
        </is>
      </c>
      <c r="F1583" s="23" t="n">
        <v>63232</v>
      </c>
      <c r="G1583" s="138" t="n"/>
      <c r="H1583" s="138" t="n">
        <v>119</v>
      </c>
      <c r="I1583" s="138">
        <f>+I1582+(G1583-H1583)</f>
        <v/>
      </c>
      <c r="J1583" s="139" t="n">
        <v>40.508</v>
      </c>
      <c r="K1583" s="140" t="n"/>
      <c r="L1583" s="140">
        <f>+H1583*J1583</f>
        <v/>
      </c>
      <c r="M1583" s="141">
        <f>SUM(M1582+K1583-L1583)</f>
        <v/>
      </c>
    </row>
    <row r="1584">
      <c r="A1584" s="20" t="n">
        <v>45760</v>
      </c>
      <c r="B1584" s="1" t="n">
        <v>15403</v>
      </c>
      <c r="C1584" s="2" t="inlineStr">
        <is>
          <t>VARLIK</t>
        </is>
      </c>
      <c r="D1584" s="1" t="inlineStr">
        <is>
          <t>SM 300</t>
        </is>
      </c>
      <c r="E1584" s="1" t="inlineStr">
        <is>
          <t>TURGUT SANCAK</t>
        </is>
      </c>
      <c r="F1584" s="3" t="n"/>
      <c r="G1584" s="143" t="n"/>
      <c r="H1584" s="143" t="n">
        <v>327</v>
      </c>
      <c r="I1584" s="143">
        <f>+I1583+(G1584-H1584)</f>
        <v/>
      </c>
      <c r="J1584" s="144" t="n">
        <v>40.508</v>
      </c>
      <c r="K1584" s="145" t="n"/>
      <c r="L1584" s="140">
        <f>+H1584*J1584</f>
        <v/>
      </c>
      <c r="M1584" s="141">
        <f>SUM(M1583+K1584-L1584)</f>
        <v/>
      </c>
    </row>
    <row r="1585">
      <c r="A1585" s="20" t="n">
        <v>45760</v>
      </c>
      <c r="B1585" s="21" t="n">
        <v>14359</v>
      </c>
      <c r="C1585" s="22" t="inlineStr">
        <is>
          <t>SELİM İNŞAAT</t>
        </is>
      </c>
      <c r="D1585" s="21" t="inlineStr">
        <is>
          <t>34 DKL 798</t>
        </is>
      </c>
      <c r="E1585" s="21" t="inlineStr">
        <is>
          <t>VOLKAN YANAR</t>
        </is>
      </c>
      <c r="F1585" s="23" t="n">
        <v>63303</v>
      </c>
      <c r="G1585" s="138" t="n"/>
      <c r="H1585" s="138" t="n">
        <v>240</v>
      </c>
      <c r="I1585" s="138">
        <f>+I1584+(G1585-H1585)</f>
        <v/>
      </c>
      <c r="J1585" s="139" t="n">
        <v>40.508</v>
      </c>
      <c r="K1585" s="140" t="n"/>
      <c r="L1585" s="140">
        <f>+H1585*J1585</f>
        <v/>
      </c>
      <c r="M1585" s="141">
        <f>SUM(M1584+K1585-L1585)</f>
        <v/>
      </c>
    </row>
    <row r="1586">
      <c r="A1586" s="20" t="n">
        <v>45760</v>
      </c>
      <c r="B1586" s="21" t="n">
        <v>14615</v>
      </c>
      <c r="C1586" s="22" t="inlineStr">
        <is>
          <t>SELİM İNŞAAT</t>
        </is>
      </c>
      <c r="D1586" s="21" t="inlineStr">
        <is>
          <t>34 GER 445</t>
        </is>
      </c>
      <c r="E1586" s="21" t="inlineStr">
        <is>
          <t>HASAN BAYCAN</t>
        </is>
      </c>
      <c r="F1586" s="23" t="n">
        <v>40177</v>
      </c>
      <c r="G1586" s="138" t="n"/>
      <c r="H1586" s="138" t="n">
        <v>252</v>
      </c>
      <c r="I1586" s="138">
        <f>+I1585+(G1586-H1586)</f>
        <v/>
      </c>
      <c r="J1586" s="139" t="n">
        <v>40.508</v>
      </c>
      <c r="K1586" s="140" t="n"/>
      <c r="L1586" s="140">
        <f>+H1586*J1586</f>
        <v/>
      </c>
      <c r="M1586" s="141">
        <f>SUM(M1585+K1586-L1586)</f>
        <v/>
      </c>
    </row>
    <row r="1587">
      <c r="A1587" s="20" t="n">
        <v>45760</v>
      </c>
      <c r="B1587" s="21" t="n">
        <v>10872</v>
      </c>
      <c r="C1587" s="22" t="inlineStr">
        <is>
          <t>SELİM İNŞAAT</t>
        </is>
      </c>
      <c r="D1587" s="21" t="inlineStr">
        <is>
          <t>34 AR 7743</t>
        </is>
      </c>
      <c r="E1587" s="21" t="inlineStr">
        <is>
          <t>MEHMET SELİM</t>
        </is>
      </c>
      <c r="F1587" s="23" t="n">
        <v>352876</v>
      </c>
      <c r="G1587" s="138" t="n"/>
      <c r="H1587" s="138" t="n">
        <v>41</v>
      </c>
      <c r="I1587" s="138">
        <f>+I1586+(G1587-H1587)</f>
        <v/>
      </c>
      <c r="J1587" s="139" t="n">
        <v>40.508</v>
      </c>
      <c r="K1587" s="140" t="n"/>
      <c r="L1587" s="140">
        <f>+H1587*J1587</f>
        <v/>
      </c>
      <c r="M1587" s="141">
        <f>SUM(M1586+K1587-L1587)</f>
        <v/>
      </c>
    </row>
    <row r="1588">
      <c r="A1588" s="20" t="n">
        <v>45760</v>
      </c>
      <c r="B1588" s="1" t="n">
        <v>15401</v>
      </c>
      <c r="C1588" s="2" t="inlineStr">
        <is>
          <t>HASALTUN</t>
        </is>
      </c>
      <c r="D1588" s="1" t="inlineStr">
        <is>
          <t>SM 350</t>
        </is>
      </c>
      <c r="E1588" s="1" t="inlineStr">
        <is>
          <t>TEVFİK ÖZTÜRK</t>
        </is>
      </c>
      <c r="F1588" s="3" t="n"/>
      <c r="G1588" s="143" t="n"/>
      <c r="H1588" s="143" t="n">
        <v>316</v>
      </c>
      <c r="I1588" s="143">
        <f>+I1587+(G1588-H1588)</f>
        <v/>
      </c>
      <c r="J1588" s="144" t="n">
        <v>40.508</v>
      </c>
      <c r="K1588" s="145" t="n"/>
      <c r="L1588" s="140">
        <f>+H1588*J1588</f>
        <v/>
      </c>
      <c r="M1588" s="141">
        <f>SUM(M1587+K1588-L1588)</f>
        <v/>
      </c>
    </row>
    <row r="1589">
      <c r="A1589" s="20" t="n">
        <v>45760</v>
      </c>
      <c r="B1589" s="21" t="n">
        <v>11155</v>
      </c>
      <c r="C1589" s="22" t="inlineStr">
        <is>
          <t>SELİM İNŞAAT</t>
        </is>
      </c>
      <c r="D1589" s="21" t="inlineStr">
        <is>
          <t>34 HZ 1663</t>
        </is>
      </c>
      <c r="E1589" s="21" t="inlineStr">
        <is>
          <t>ÖNER DÜNDAR</t>
        </is>
      </c>
      <c r="F1589" s="23" t="n">
        <v>518554</v>
      </c>
      <c r="G1589" s="138" t="n"/>
      <c r="H1589" s="138" t="n">
        <v>350</v>
      </c>
      <c r="I1589" s="138">
        <f>+I1588+(G1589-H1589)</f>
        <v/>
      </c>
      <c r="J1589" s="139" t="n">
        <v>40.508</v>
      </c>
      <c r="K1589" s="140" t="n"/>
      <c r="L1589" s="140">
        <f>+H1589*J1589</f>
        <v/>
      </c>
      <c r="M1589" s="141">
        <f>SUM(M1588+K1589-L1589)</f>
        <v/>
      </c>
    </row>
    <row r="1590">
      <c r="A1590" s="20" t="n">
        <v>45760</v>
      </c>
      <c r="B1590" s="1" t="n">
        <v>15407</v>
      </c>
      <c r="C1590" s="2" t="inlineStr">
        <is>
          <t>HASALTUN</t>
        </is>
      </c>
      <c r="D1590" s="1" t="inlineStr">
        <is>
          <t>SM 350</t>
        </is>
      </c>
      <c r="E1590" s="1" t="inlineStr">
        <is>
          <t>TEVFİK ÖZTÜRK</t>
        </is>
      </c>
      <c r="F1590" s="3" t="n"/>
      <c r="G1590" s="143" t="n"/>
      <c r="H1590" s="143" t="n">
        <v>223</v>
      </c>
      <c r="I1590" s="143">
        <f>+I1589+(G1590-H1590)</f>
        <v/>
      </c>
      <c r="J1590" s="144" t="n">
        <v>40.508</v>
      </c>
      <c r="K1590" s="145" t="n"/>
      <c r="L1590" s="140">
        <f>+H1590*J1590</f>
        <v/>
      </c>
      <c r="M1590" s="141">
        <f>SUM(M1589+K1590-L1590)</f>
        <v/>
      </c>
    </row>
    <row r="1591">
      <c r="A1591" s="20" t="n">
        <v>45760</v>
      </c>
      <c r="B1591" s="21" t="n">
        <v>16733</v>
      </c>
      <c r="C1591" s="22" t="inlineStr">
        <is>
          <t>SELİM İNŞAAT</t>
        </is>
      </c>
      <c r="D1591" s="21" t="inlineStr">
        <is>
          <t>34 JBA 25</t>
        </is>
      </c>
      <c r="E1591" s="21" t="inlineStr">
        <is>
          <t>ABDURRAHMAN SERDAN</t>
        </is>
      </c>
      <c r="F1591" s="23" t="n">
        <v>331244</v>
      </c>
      <c r="G1591" s="138" t="n"/>
      <c r="H1591" s="138" t="n">
        <v>48</v>
      </c>
      <c r="I1591" s="138">
        <f>+I1590+(G1591-H1591)</f>
        <v/>
      </c>
      <c r="J1591" s="139" t="n">
        <v>40.508</v>
      </c>
      <c r="K1591" s="140" t="n"/>
      <c r="L1591" s="140">
        <f>+H1591*J1591</f>
        <v/>
      </c>
      <c r="M1591" s="141">
        <f>SUM(M1590+K1591-L1591)</f>
        <v/>
      </c>
    </row>
    <row r="1592">
      <c r="A1592" s="20" t="n">
        <v>45760</v>
      </c>
      <c r="B1592" s="21" t="n">
        <v>20193</v>
      </c>
      <c r="C1592" s="22" t="inlineStr">
        <is>
          <t>SELİM İNŞAAT</t>
        </is>
      </c>
      <c r="D1592" s="21" t="inlineStr">
        <is>
          <t>34 JGR 15</t>
        </is>
      </c>
      <c r="E1592" s="21" t="inlineStr">
        <is>
          <t>TEKİN ŞEYLAN</t>
        </is>
      </c>
      <c r="F1592" s="23" t="n">
        <v>307659</v>
      </c>
      <c r="G1592" s="138" t="n"/>
      <c r="H1592" s="138" t="n">
        <v>40</v>
      </c>
      <c r="I1592" s="138">
        <f>+I1591+(G1592-H1592)</f>
        <v/>
      </c>
      <c r="J1592" s="139" t="n">
        <v>40.508</v>
      </c>
      <c r="K1592" s="140" t="n"/>
      <c r="L1592" s="140">
        <f>+H1592*J1592</f>
        <v/>
      </c>
      <c r="M1592" s="141">
        <f>SUM(M1591+K1592-L1592)</f>
        <v/>
      </c>
    </row>
    <row r="1593">
      <c r="A1593" s="20" t="n">
        <v>45761</v>
      </c>
      <c r="B1593" s="1" t="n">
        <v>15414</v>
      </c>
      <c r="C1593" s="2" t="inlineStr">
        <is>
          <t>HASALTUN</t>
        </is>
      </c>
      <c r="D1593" s="1" t="inlineStr">
        <is>
          <t xml:space="preserve">SM 350 </t>
        </is>
      </c>
      <c r="E1593" s="1" t="inlineStr">
        <is>
          <t>TEVFİK ÖZTÜRK</t>
        </is>
      </c>
      <c r="F1593" s="3" t="n"/>
      <c r="G1593" s="143" t="n"/>
      <c r="H1593" s="143" t="n">
        <v>400</v>
      </c>
      <c r="I1593" s="143">
        <f>+I1592+(G1593-H1593)</f>
        <v/>
      </c>
      <c r="J1593" s="144" t="n">
        <v>40.508</v>
      </c>
      <c r="K1593" s="145" t="n"/>
      <c r="L1593" s="140">
        <f>+H1593*J1593</f>
        <v/>
      </c>
      <c r="M1593" s="141">
        <f>SUM(M1592+K1593-L1593)</f>
        <v/>
      </c>
    </row>
    <row r="1594">
      <c r="A1594" s="20" t="n">
        <v>45761</v>
      </c>
      <c r="B1594" s="21" t="n">
        <v>11439</v>
      </c>
      <c r="C1594" s="22" t="inlineStr">
        <is>
          <t>METİN ERYİĞİT</t>
        </is>
      </c>
      <c r="D1594" s="21" t="inlineStr">
        <is>
          <t>34 EGR 814</t>
        </is>
      </c>
      <c r="E1594" s="21" t="inlineStr">
        <is>
          <t>GÜRAY KOYUNCU</t>
        </is>
      </c>
      <c r="F1594" s="23" t="n">
        <v>525127</v>
      </c>
      <c r="G1594" s="138" t="n"/>
      <c r="H1594" s="138" t="n">
        <v>461</v>
      </c>
      <c r="I1594" s="138">
        <f>+I1593+(G1594-H1594)</f>
        <v/>
      </c>
      <c r="J1594" s="139" t="n">
        <v>40.508</v>
      </c>
      <c r="K1594" s="140" t="n"/>
      <c r="L1594" s="140">
        <f>+H1594*J1594</f>
        <v/>
      </c>
      <c r="M1594" s="141">
        <f>SUM(M1593+K1594-L1594)</f>
        <v/>
      </c>
    </row>
    <row r="1595">
      <c r="A1595" s="20" t="n">
        <v>45761</v>
      </c>
      <c r="B1595" s="21" t="n">
        <v>21139</v>
      </c>
      <c r="C1595" s="22" t="inlineStr">
        <is>
          <t>SELİM İNŞAAT</t>
        </is>
      </c>
      <c r="D1595" s="21" t="inlineStr">
        <is>
          <t>34 TG 7869</t>
        </is>
      </c>
      <c r="E1595" s="21" t="inlineStr">
        <is>
          <t>EMİRCAN ÖZTÜRK</t>
        </is>
      </c>
      <c r="F1595" s="23" t="n">
        <v>180687</v>
      </c>
      <c r="G1595" s="138" t="n"/>
      <c r="H1595" s="138" t="n">
        <v>267</v>
      </c>
      <c r="I1595" s="138">
        <f>+I1594+(G1595-H1595)</f>
        <v/>
      </c>
      <c r="J1595" s="139" t="n">
        <v>40.508</v>
      </c>
      <c r="K1595" s="140" t="n"/>
      <c r="L1595" s="140">
        <f>+H1595*J1595</f>
        <v/>
      </c>
      <c r="M1595" s="141">
        <f>SUM(M1594+K1595-L1595)</f>
        <v/>
      </c>
    </row>
    <row r="1596">
      <c r="A1596" s="20" t="n">
        <v>45761</v>
      </c>
      <c r="B1596" s="21" t="n">
        <v>14658</v>
      </c>
      <c r="C1596" s="22" t="inlineStr">
        <is>
          <t>AHMET SELİM TEMHA</t>
        </is>
      </c>
      <c r="D1596" s="21" t="n"/>
      <c r="E1596" s="21" t="inlineStr">
        <is>
          <t>ÖMER DUMAN</t>
        </is>
      </c>
      <c r="F1596" s="23" t="n"/>
      <c r="G1596" s="138" t="n"/>
      <c r="H1596" s="138" t="n">
        <v>20</v>
      </c>
      <c r="I1596" s="138">
        <f>+I1595+(G1596-H1596)</f>
        <v/>
      </c>
      <c r="J1596" s="139" t="n">
        <v>40.508</v>
      </c>
      <c r="K1596" s="140" t="n"/>
      <c r="L1596" s="140">
        <f>+H1596*J1596</f>
        <v/>
      </c>
      <c r="M1596" s="141">
        <f>SUM(M1595+K1596-L1596)</f>
        <v/>
      </c>
    </row>
    <row r="1597">
      <c r="A1597" s="20" t="n">
        <v>45761</v>
      </c>
      <c r="B1597" s="1" t="n">
        <v>15405</v>
      </c>
      <c r="C1597" s="2" t="inlineStr">
        <is>
          <t>EVKUR</t>
        </is>
      </c>
      <c r="D1597" s="1" t="inlineStr">
        <is>
          <t>RT 650 SARI VİNÇ</t>
        </is>
      </c>
      <c r="E1597" s="1" t="inlineStr">
        <is>
          <t>ALİHAN DUMAN</t>
        </is>
      </c>
      <c r="F1597" s="3" t="n"/>
      <c r="G1597" s="143" t="n"/>
      <c r="H1597" s="143" t="n">
        <v>140</v>
      </c>
      <c r="I1597" s="143">
        <f>+I1596+(G1597-H1597)</f>
        <v/>
      </c>
      <c r="J1597" s="144" t="n">
        <v>40.508</v>
      </c>
      <c r="K1597" s="145" t="n"/>
      <c r="L1597" s="140">
        <f>+H1597*J1597</f>
        <v/>
      </c>
      <c r="M1597" s="141">
        <f>SUM(M1596+K1597-L1597)</f>
        <v/>
      </c>
    </row>
    <row r="1598">
      <c r="A1598" s="20" t="n">
        <v>45761</v>
      </c>
      <c r="B1598" s="21" t="n">
        <v>21490</v>
      </c>
      <c r="C1598" s="22" t="inlineStr">
        <is>
          <t>SELİM İNŞAAT</t>
        </is>
      </c>
      <c r="D1598" s="21" t="inlineStr">
        <is>
          <t>34 GYZ 635</t>
        </is>
      </c>
      <c r="E1598" s="21" t="inlineStr">
        <is>
          <t>ENGİN DEMİR</t>
        </is>
      </c>
      <c r="F1598" s="23" t="n">
        <v>157097</v>
      </c>
      <c r="G1598" s="138" t="n"/>
      <c r="H1598" s="138" t="n">
        <v>348</v>
      </c>
      <c r="I1598" s="138">
        <f>+I1597+(G1598-H1598)</f>
        <v/>
      </c>
      <c r="J1598" s="139" t="n">
        <v>40.508</v>
      </c>
      <c r="K1598" s="140" t="n"/>
      <c r="L1598" s="140">
        <f>+H1598*J1598</f>
        <v/>
      </c>
      <c r="M1598" s="141">
        <f>SUM(M1597+K1598-L1598)</f>
        <v/>
      </c>
    </row>
    <row r="1599">
      <c r="A1599" s="20" t="n">
        <v>45761</v>
      </c>
      <c r="B1599" s="21" t="n">
        <v>14411</v>
      </c>
      <c r="C1599" s="22" t="inlineStr">
        <is>
          <t>SELİM İNŞAAT</t>
        </is>
      </c>
      <c r="D1599" s="21" t="inlineStr">
        <is>
          <t>34 EGR 737</t>
        </is>
      </c>
      <c r="E1599" s="21" t="inlineStr">
        <is>
          <t>İBRAHİM GÜNASLAN</t>
        </is>
      </c>
      <c r="F1599" s="23" t="n">
        <v>401815</v>
      </c>
      <c r="G1599" s="138" t="n"/>
      <c r="H1599" s="138" t="n">
        <v>335</v>
      </c>
      <c r="I1599" s="138">
        <f>+I1598+(G1599-H1599)</f>
        <v/>
      </c>
      <c r="J1599" s="139" t="n">
        <v>40.508</v>
      </c>
      <c r="K1599" s="140" t="n"/>
      <c r="L1599" s="140">
        <f>+H1599*J1599</f>
        <v/>
      </c>
      <c r="M1599" s="141">
        <f>SUM(M1598+K1599-L1599)</f>
        <v/>
      </c>
    </row>
    <row r="1600">
      <c r="A1600" s="20" t="n">
        <v>45761</v>
      </c>
      <c r="B1600" s="21" t="n">
        <v>14514</v>
      </c>
      <c r="C1600" s="22" t="inlineStr">
        <is>
          <t>SELİM İNŞAAT</t>
        </is>
      </c>
      <c r="D1600" s="21" t="inlineStr">
        <is>
          <t>34 GER 028</t>
        </is>
      </c>
      <c r="E1600" s="21" t="inlineStr">
        <is>
          <t>A.KERİM ERGEN</t>
        </is>
      </c>
      <c r="F1600" s="23" t="n">
        <v>41932</v>
      </c>
      <c r="G1600" s="138" t="n"/>
      <c r="H1600" s="138" t="n">
        <v>195</v>
      </c>
      <c r="I1600" s="138">
        <f>+I1599+(G1600-H1600)</f>
        <v/>
      </c>
      <c r="J1600" s="139" t="n">
        <v>40.508</v>
      </c>
      <c r="K1600" s="140" t="n"/>
      <c r="L1600" s="140">
        <f>+H1600*J1600</f>
        <v/>
      </c>
      <c r="M1600" s="141">
        <f>SUM(M1599+K1600-L1600)</f>
        <v/>
      </c>
    </row>
    <row r="1601">
      <c r="A1601" s="20" t="n">
        <v>45761</v>
      </c>
      <c r="B1601" s="21" t="n">
        <v>10371</v>
      </c>
      <c r="C1601" s="22" t="inlineStr">
        <is>
          <t>SELİM İNŞAAT</t>
        </is>
      </c>
      <c r="D1601" s="21" t="inlineStr">
        <is>
          <t>34 DRU 690</t>
        </is>
      </c>
      <c r="E1601" s="21" t="inlineStr">
        <is>
          <t>MURAT DEMİRBAŞ</t>
        </is>
      </c>
      <c r="F1601" s="23" t="n">
        <v>399805</v>
      </c>
      <c r="G1601" s="138" t="n"/>
      <c r="H1601" s="138" t="n">
        <v>285</v>
      </c>
      <c r="I1601" s="138">
        <f>+I1600+(G1601-H1601)</f>
        <v/>
      </c>
      <c r="J1601" s="139" t="n">
        <v>40.508</v>
      </c>
      <c r="K1601" s="140" t="n"/>
      <c r="L1601" s="140">
        <f>+H1601*J1601</f>
        <v/>
      </c>
      <c r="M1601" s="141">
        <f>SUM(M1600+K1601-L1601)</f>
        <v/>
      </c>
    </row>
    <row r="1602">
      <c r="A1602" s="20" t="n">
        <v>45761</v>
      </c>
      <c r="B1602" s="21" t="n">
        <v>11078</v>
      </c>
      <c r="C1602" s="22" t="inlineStr">
        <is>
          <t>SELİM İNŞAAT</t>
        </is>
      </c>
      <c r="D1602" s="21" t="inlineStr">
        <is>
          <t>34 HBY 763</t>
        </is>
      </c>
      <c r="E1602" s="21" t="inlineStr">
        <is>
          <t>EMİRCAN ÖZTÜRK</t>
        </is>
      </c>
      <c r="F1602" s="23" t="n">
        <v>15073</v>
      </c>
      <c r="G1602" s="138" t="n"/>
      <c r="H1602" s="138" t="n">
        <v>259</v>
      </c>
      <c r="I1602" s="138">
        <f>+I1601+(G1602-H1602)</f>
        <v/>
      </c>
      <c r="J1602" s="139" t="n">
        <v>40.508</v>
      </c>
      <c r="K1602" s="140" t="n"/>
      <c r="L1602" s="140">
        <f>+H1602*J1602</f>
        <v/>
      </c>
      <c r="M1602" s="141">
        <f>SUM(M1601+K1602-L1602)</f>
        <v/>
      </c>
    </row>
    <row r="1603">
      <c r="A1603" s="20" t="n">
        <v>45761</v>
      </c>
      <c r="B1603" s="21" t="n">
        <v>15409</v>
      </c>
      <c r="C1603" s="22" t="inlineStr">
        <is>
          <t>EVKUR</t>
        </is>
      </c>
      <c r="D1603" s="21" t="inlineStr">
        <is>
          <t>FOKLİFT</t>
        </is>
      </c>
      <c r="E1603" s="21" t="inlineStr">
        <is>
          <t>FAHRİ KALFA</t>
        </is>
      </c>
      <c r="F1603" s="23" t="n"/>
      <c r="G1603" s="138" t="n"/>
      <c r="H1603" s="138" t="n">
        <v>79</v>
      </c>
      <c r="I1603" s="138">
        <f>+I1602+(G1603-H1603)</f>
        <v/>
      </c>
      <c r="J1603" s="139" t="n">
        <v>40.508</v>
      </c>
      <c r="K1603" s="140" t="n"/>
      <c r="L1603" s="140">
        <f>+H1603*J1603</f>
        <v/>
      </c>
      <c r="M1603" s="141">
        <f>SUM(M1602+K1603-L1603)</f>
        <v/>
      </c>
    </row>
    <row r="1604">
      <c r="A1604" s="20" t="n">
        <v>45761</v>
      </c>
      <c r="B1604" s="1" t="n">
        <v>15410</v>
      </c>
      <c r="C1604" s="2" t="inlineStr">
        <is>
          <t>HASALTUN</t>
        </is>
      </c>
      <c r="D1604" s="1" t="inlineStr">
        <is>
          <t>KAVAZAKİ</t>
        </is>
      </c>
      <c r="E1604" s="1" t="inlineStr">
        <is>
          <t>UFUK SEVAL</t>
        </is>
      </c>
      <c r="F1604" s="3" t="n"/>
      <c r="G1604" s="143" t="n"/>
      <c r="H1604" s="143" t="n">
        <v>263</v>
      </c>
      <c r="I1604" s="143">
        <f>+I1603+(G1604-H1604)</f>
        <v/>
      </c>
      <c r="J1604" s="144" t="n">
        <v>40.508</v>
      </c>
      <c r="K1604" s="145" t="n"/>
      <c r="L1604" s="140">
        <f>+H1604*J1604</f>
        <v/>
      </c>
      <c r="M1604" s="141">
        <f>SUM(M1603+K1604-L1604)</f>
        <v/>
      </c>
    </row>
    <row r="1605">
      <c r="A1605" s="20" t="n">
        <v>45761</v>
      </c>
      <c r="B1605" s="1" t="n">
        <v>15411</v>
      </c>
      <c r="C1605" s="2" t="inlineStr">
        <is>
          <t>EVKUR</t>
        </is>
      </c>
      <c r="D1605" s="1" t="inlineStr">
        <is>
          <t>MNT 2260</t>
        </is>
      </c>
      <c r="E1605" s="1" t="inlineStr">
        <is>
          <t>MUHAMMED KANTAR</t>
        </is>
      </c>
      <c r="F1605" s="3" t="n"/>
      <c r="G1605" s="143" t="n"/>
      <c r="H1605" s="143" t="n">
        <v>176</v>
      </c>
      <c r="I1605" s="143">
        <f>+I1604+(G1605-H1605)</f>
        <v/>
      </c>
      <c r="J1605" s="144" t="n">
        <v>40.508</v>
      </c>
      <c r="K1605" s="145" t="n"/>
      <c r="L1605" s="140">
        <f>+H1605*J1605</f>
        <v/>
      </c>
      <c r="M1605" s="141">
        <f>SUM(M1604+K1605-L1605)</f>
        <v/>
      </c>
    </row>
    <row r="1606">
      <c r="A1606" s="20" t="n">
        <v>45761</v>
      </c>
      <c r="B1606" s="21" t="n">
        <v>14360</v>
      </c>
      <c r="C1606" s="22" t="inlineStr">
        <is>
          <t>SELİM İNŞAAT</t>
        </is>
      </c>
      <c r="D1606" s="21" t="inlineStr">
        <is>
          <t>34 DKL 798</t>
        </is>
      </c>
      <c r="E1606" s="21" t="inlineStr">
        <is>
          <t>VOLKAN YANAR</t>
        </is>
      </c>
      <c r="F1606" s="23" t="n">
        <v>63389</v>
      </c>
      <c r="G1606" s="138" t="n"/>
      <c r="H1606" s="138" t="n">
        <v>117</v>
      </c>
      <c r="I1606" s="138">
        <f>+I1605+(G1606-H1606)</f>
        <v/>
      </c>
      <c r="J1606" s="139" t="n">
        <v>40.508</v>
      </c>
      <c r="K1606" s="140" t="n"/>
      <c r="L1606" s="140">
        <f>+H1606*J1606</f>
        <v/>
      </c>
      <c r="M1606" s="141">
        <f>SUM(M1605+K1606-L1606)</f>
        <v/>
      </c>
    </row>
    <row r="1607">
      <c r="A1607" s="20" t="n">
        <v>45761</v>
      </c>
      <c r="B1607" s="21" t="n">
        <v>14710</v>
      </c>
      <c r="C1607" s="22" t="inlineStr">
        <is>
          <t>METİN ERYİĞİT</t>
        </is>
      </c>
      <c r="D1607" s="21" t="inlineStr">
        <is>
          <t>34 GBL 998</t>
        </is>
      </c>
      <c r="E1607" s="21" t="inlineStr">
        <is>
          <t>ALİ KESKİN</t>
        </is>
      </c>
      <c r="F1607" s="23" t="n">
        <v>250256</v>
      </c>
      <c r="G1607" s="138" t="n"/>
      <c r="H1607" s="138" t="n">
        <v>417</v>
      </c>
      <c r="I1607" s="138">
        <f>+I1606+(G1607-H1607)</f>
        <v/>
      </c>
      <c r="J1607" s="139" t="n">
        <v>40.508</v>
      </c>
      <c r="K1607" s="140" t="n"/>
      <c r="L1607" s="140">
        <f>+H1607*J1607</f>
        <v/>
      </c>
      <c r="M1607" s="141">
        <f>SUM(M1606+K1607-L1607)</f>
        <v/>
      </c>
    </row>
    <row r="1608">
      <c r="A1608" s="20" t="n">
        <v>45761</v>
      </c>
      <c r="B1608" s="21" t="n">
        <v>14166</v>
      </c>
      <c r="C1608" s="22" t="inlineStr">
        <is>
          <t>AZGÜN YAPI</t>
        </is>
      </c>
      <c r="D1608" s="21" t="inlineStr">
        <is>
          <t>34 DTV 263</t>
        </is>
      </c>
      <c r="E1608" s="21" t="inlineStr">
        <is>
          <t>EDİP TORLAK</t>
        </is>
      </c>
      <c r="F1608" s="23" t="n">
        <v>369751</v>
      </c>
      <c r="G1608" s="138" t="n"/>
      <c r="H1608" s="138" t="n">
        <v>256</v>
      </c>
      <c r="I1608" s="138">
        <f>+I1607+(G1608-H1608)</f>
        <v/>
      </c>
      <c r="J1608" s="139" t="n">
        <v>40.508</v>
      </c>
      <c r="K1608" s="140" t="n"/>
      <c r="L1608" s="140">
        <f>+H1608*J1608</f>
        <v/>
      </c>
      <c r="M1608" s="141">
        <f>SUM(M1607+K1608-L1608)</f>
        <v/>
      </c>
    </row>
    <row r="1609">
      <c r="A1609" s="20" t="n">
        <v>45761</v>
      </c>
      <c r="B1609" s="1" t="n">
        <v>15408</v>
      </c>
      <c r="C1609" s="2" t="inlineStr">
        <is>
          <t>HASALTUN</t>
        </is>
      </c>
      <c r="D1609" s="1" t="inlineStr">
        <is>
          <t>SM 370</t>
        </is>
      </c>
      <c r="E1609" s="1" t="inlineStr">
        <is>
          <t>RAMAZAN KAYA</t>
        </is>
      </c>
      <c r="F1609" s="3" t="n"/>
      <c r="G1609" s="143" t="n"/>
      <c r="H1609" s="143" t="n">
        <v>288</v>
      </c>
      <c r="I1609" s="143">
        <f>+I1608+(G1609-H1609)</f>
        <v/>
      </c>
      <c r="J1609" s="144" t="n">
        <v>40.508</v>
      </c>
      <c r="K1609" s="145" t="n"/>
      <c r="L1609" s="140">
        <f>+H1609*J1609</f>
        <v/>
      </c>
      <c r="M1609" s="141">
        <f>SUM(M1608+K1609-L1609)</f>
        <v/>
      </c>
    </row>
    <row r="1610">
      <c r="A1610" s="20" t="n">
        <v>45761</v>
      </c>
      <c r="B1610" s="21" t="n">
        <v>15901</v>
      </c>
      <c r="C1610" s="22" t="inlineStr">
        <is>
          <t>SELİM İNŞAAT</t>
        </is>
      </c>
      <c r="D1610" s="21" t="inlineStr">
        <is>
          <t>34 DFE 454</t>
        </is>
      </c>
      <c r="E1610" s="21" t="inlineStr">
        <is>
          <t>GÖRKEM KARAYEL</t>
        </is>
      </c>
      <c r="F1610" s="23" t="n">
        <v>156761</v>
      </c>
      <c r="G1610" s="138" t="n"/>
      <c r="H1610" s="138" t="n">
        <v>204</v>
      </c>
      <c r="I1610" s="138">
        <f>+I1609+(G1610-H1610)</f>
        <v/>
      </c>
      <c r="J1610" s="139" t="n">
        <v>40.508</v>
      </c>
      <c r="K1610" s="140" t="n"/>
      <c r="L1610" s="140">
        <f>+H1610*J1610</f>
        <v/>
      </c>
      <c r="M1610" s="141">
        <f>SUM(M1609+K1610-L1610)</f>
        <v/>
      </c>
    </row>
    <row r="1611">
      <c r="A1611" s="20" t="n">
        <v>45761</v>
      </c>
      <c r="B1611" s="21" t="n">
        <v>14616</v>
      </c>
      <c r="C1611" s="22" t="inlineStr">
        <is>
          <t>SELİM İNŞAAT</t>
        </is>
      </c>
      <c r="D1611" s="21" t="inlineStr">
        <is>
          <t>34 GER 445</t>
        </is>
      </c>
      <c r="E1611" s="21" t="inlineStr">
        <is>
          <t>HASAN BAYCAN</t>
        </is>
      </c>
      <c r="F1611" s="23" t="n">
        <v>40263</v>
      </c>
      <c r="G1611" s="138" t="n"/>
      <c r="H1611" s="138" t="n">
        <v>125</v>
      </c>
      <c r="I1611" s="138">
        <f>+I1610+(G1611-H1611)</f>
        <v/>
      </c>
      <c r="J1611" s="139" t="n">
        <v>40.508</v>
      </c>
      <c r="K1611" s="140" t="n"/>
      <c r="L1611" s="140">
        <f>+H1611*J1611</f>
        <v/>
      </c>
      <c r="M1611" s="141">
        <f>SUM(M1610+K1611-L1611)</f>
        <v/>
      </c>
    </row>
    <row r="1612">
      <c r="A1612" s="20" t="n">
        <v>45761</v>
      </c>
      <c r="B1612" s="1" t="n">
        <v>15412</v>
      </c>
      <c r="C1612" s="2" t="inlineStr">
        <is>
          <t>VARLIK</t>
        </is>
      </c>
      <c r="D1612" s="1" t="inlineStr">
        <is>
          <t>SM 300</t>
        </is>
      </c>
      <c r="E1612" s="1" t="inlineStr">
        <is>
          <t>TURGUT SANCAK</t>
        </is>
      </c>
      <c r="F1612" s="3" t="n"/>
      <c r="G1612" s="143" t="n"/>
      <c r="H1612" s="143" t="n">
        <v>293</v>
      </c>
      <c r="I1612" s="143">
        <f>+I1611+(G1612-H1612)</f>
        <v/>
      </c>
      <c r="J1612" s="144" t="n">
        <v>40.508</v>
      </c>
      <c r="K1612" s="145" t="n"/>
      <c r="L1612" s="140">
        <f>+H1612*J1612</f>
        <v/>
      </c>
      <c r="M1612" s="141">
        <f>SUM(M1611+K1612-L1612)</f>
        <v/>
      </c>
    </row>
    <row r="1613">
      <c r="A1613" s="20" t="n">
        <v>45761</v>
      </c>
      <c r="B1613" s="21" t="n">
        <v>21611</v>
      </c>
      <c r="C1613" s="22" t="inlineStr">
        <is>
          <t>SELİM İNŞAAT</t>
        </is>
      </c>
      <c r="D1613" s="21" t="inlineStr">
        <is>
          <t>34 DHC 467</t>
        </is>
      </c>
      <c r="E1613" s="21" t="inlineStr">
        <is>
          <t>FERHAT GÜRLER</t>
        </is>
      </c>
      <c r="F1613" s="23" t="n">
        <v>394283</v>
      </c>
      <c r="G1613" s="138" t="n"/>
      <c r="H1613" s="138" t="n">
        <v>467</v>
      </c>
      <c r="I1613" s="138">
        <f>+I1612+(G1613-H1613)</f>
        <v/>
      </c>
      <c r="J1613" s="139" t="n">
        <v>40.508</v>
      </c>
      <c r="K1613" s="140" t="n"/>
      <c r="L1613" s="140">
        <f>+H1613*J1613</f>
        <v/>
      </c>
      <c r="M1613" s="141">
        <f>SUM(M1612+K1613-L1613)</f>
        <v/>
      </c>
    </row>
    <row r="1614">
      <c r="A1614" s="20" t="n">
        <v>45761</v>
      </c>
      <c r="B1614" s="21" t="n">
        <v>10434</v>
      </c>
      <c r="C1614" s="22" t="inlineStr">
        <is>
          <t>SELİM İNŞAAT</t>
        </is>
      </c>
      <c r="D1614" s="21" t="inlineStr">
        <is>
          <t>34 FBR 781</t>
        </is>
      </c>
      <c r="E1614" s="21" t="inlineStr">
        <is>
          <t>MEVLÜT POLAT</t>
        </is>
      </c>
      <c r="F1614" s="23" t="n">
        <v>285600</v>
      </c>
      <c r="G1614" s="138" t="n"/>
      <c r="H1614" s="138" t="n">
        <v>315</v>
      </c>
      <c r="I1614" s="138">
        <f>+I1613+(G1614-H1614)</f>
        <v/>
      </c>
      <c r="J1614" s="139" t="n">
        <v>40.508</v>
      </c>
      <c r="K1614" s="140" t="n"/>
      <c r="L1614" s="140">
        <f>+H1614*J1614</f>
        <v/>
      </c>
      <c r="M1614" s="141">
        <f>SUM(M1613+K1614-L1614)</f>
        <v/>
      </c>
    </row>
    <row r="1615">
      <c r="A1615" s="20" t="n">
        <v>45761</v>
      </c>
      <c r="B1615" s="21" t="n">
        <v>10185</v>
      </c>
      <c r="C1615" s="22" t="inlineStr">
        <is>
          <t>SELİM İNŞAAT</t>
        </is>
      </c>
      <c r="D1615" s="21" t="inlineStr">
        <is>
          <t>34 EGR 736</t>
        </is>
      </c>
      <c r="E1615" s="21" t="inlineStr">
        <is>
          <t>HAKAN ÇAVUŞOĞLU</t>
        </is>
      </c>
      <c r="F1615" s="23" t="n">
        <v>372863</v>
      </c>
      <c r="G1615" s="138" t="n"/>
      <c r="H1615" s="138" t="n">
        <v>451</v>
      </c>
      <c r="I1615" s="138">
        <f>+I1614+(G1615-H1615)</f>
        <v/>
      </c>
      <c r="J1615" s="139" t="n">
        <v>40.508</v>
      </c>
      <c r="K1615" s="140" t="n"/>
      <c r="L1615" s="140">
        <f>+H1615*J1615</f>
        <v/>
      </c>
      <c r="M1615" s="141">
        <f>SUM(M1614+K1615-L1615)</f>
        <v/>
      </c>
    </row>
    <row r="1616">
      <c r="A1616" s="20" t="n">
        <v>45761</v>
      </c>
      <c r="B1616" s="21" t="n">
        <v>14319</v>
      </c>
      <c r="C1616" s="22" t="inlineStr">
        <is>
          <t>SELİM İNŞAAT</t>
        </is>
      </c>
      <c r="D1616" s="21" t="inlineStr">
        <is>
          <t>34 DKL 866</t>
        </is>
      </c>
      <c r="E1616" s="21" t="inlineStr">
        <is>
          <t>SELİM CAN ÖNVER</t>
        </is>
      </c>
      <c r="F1616" s="23" t="n">
        <v>63318</v>
      </c>
      <c r="G1616" s="138" t="n"/>
      <c r="H1616" s="138" t="n">
        <v>129</v>
      </c>
      <c r="I1616" s="138">
        <f>+I1615+(G1616-H1616)</f>
        <v/>
      </c>
      <c r="J1616" s="139" t="n">
        <v>40.508</v>
      </c>
      <c r="K1616" s="140" t="n"/>
      <c r="L1616" s="140">
        <f>+H1616*J1616</f>
        <v/>
      </c>
      <c r="M1616" s="141">
        <f>SUM(M1615+K1616-L1616)</f>
        <v/>
      </c>
    </row>
    <row r="1617">
      <c r="A1617" s="20" t="n">
        <v>45761</v>
      </c>
      <c r="B1617" s="21" t="n">
        <v>11137</v>
      </c>
      <c r="C1617" s="22" t="inlineStr">
        <is>
          <t>SELİM İNŞAAT</t>
        </is>
      </c>
      <c r="D1617" s="21" t="inlineStr">
        <is>
          <t>34 DTV 409</t>
        </is>
      </c>
      <c r="E1617" s="21" t="inlineStr">
        <is>
          <t xml:space="preserve">ONUR CANLI </t>
        </is>
      </c>
      <c r="F1617" s="23" t="n">
        <v>403705</v>
      </c>
      <c r="G1617" s="138" t="n"/>
      <c r="H1617" s="138" t="n">
        <v>275</v>
      </c>
      <c r="I1617" s="138">
        <f>+I1616+(G1617-H1617)</f>
        <v/>
      </c>
      <c r="J1617" s="139" t="n">
        <v>40.508</v>
      </c>
      <c r="K1617" s="140" t="n"/>
      <c r="L1617" s="140">
        <f>+H1617*J1617</f>
        <v/>
      </c>
      <c r="M1617" s="141">
        <f>SUM(M1616+K1617-L1617)</f>
        <v/>
      </c>
    </row>
    <row r="1618">
      <c r="A1618" s="20" t="n">
        <v>45761</v>
      </c>
      <c r="B1618" s="1" t="n">
        <v>15413</v>
      </c>
      <c r="C1618" s="2" t="inlineStr">
        <is>
          <t>VARLIK</t>
        </is>
      </c>
      <c r="D1618" s="1" t="inlineStr">
        <is>
          <t>SM 350</t>
        </is>
      </c>
      <c r="E1618" s="1" t="inlineStr">
        <is>
          <t>BAYRAM SANCAK</t>
        </is>
      </c>
      <c r="F1618" s="3" t="n"/>
      <c r="G1618" s="143" t="n"/>
      <c r="H1618" s="143" t="n">
        <v>302</v>
      </c>
      <c r="I1618" s="143">
        <f>+I1617+(G1618-H1618)</f>
        <v/>
      </c>
      <c r="J1618" s="144" t="n">
        <v>40.508</v>
      </c>
      <c r="K1618" s="145" t="n"/>
      <c r="L1618" s="140">
        <f>+H1618*J1618</f>
        <v/>
      </c>
      <c r="M1618" s="141">
        <f>SUM(M1617+K1618-L1618)</f>
        <v/>
      </c>
    </row>
    <row r="1619">
      <c r="A1619" s="20" t="n">
        <v>45762</v>
      </c>
      <c r="B1619" s="21" t="n">
        <v>11288</v>
      </c>
      <c r="C1619" s="22" t="inlineStr">
        <is>
          <t>SELİM İNŞAAT</t>
        </is>
      </c>
      <c r="D1619" s="21" t="inlineStr">
        <is>
          <t>34 EDC 162</t>
        </is>
      </c>
      <c r="E1619" s="21" t="inlineStr">
        <is>
          <t xml:space="preserve">YAKUP GÜNER </t>
        </is>
      </c>
      <c r="F1619" s="23" t="n">
        <v>352684</v>
      </c>
      <c r="G1619" s="138" t="n"/>
      <c r="H1619" s="138" t="n">
        <v>273</v>
      </c>
      <c r="I1619" s="138">
        <f>+I1618+(G1619-H1619)</f>
        <v/>
      </c>
      <c r="J1619" s="139" t="n">
        <v>40.508</v>
      </c>
      <c r="K1619" s="140" t="n"/>
      <c r="L1619" s="140">
        <f>+H1619*J1619</f>
        <v/>
      </c>
      <c r="M1619" s="141">
        <f>SUM(M1618+K1619-L1619)</f>
        <v/>
      </c>
    </row>
    <row r="1620">
      <c r="A1620" s="20" t="n">
        <v>45762</v>
      </c>
      <c r="B1620" s="21" t="n">
        <v>10219</v>
      </c>
      <c r="C1620" s="22" t="inlineStr">
        <is>
          <t>SELİM İNŞAAT</t>
        </is>
      </c>
      <c r="D1620" s="21" t="inlineStr">
        <is>
          <t>34 DSN 621</t>
        </is>
      </c>
      <c r="E1620" s="21" t="inlineStr">
        <is>
          <t>MUSTAFA KAYA</t>
        </is>
      </c>
      <c r="F1620" s="23" t="n">
        <v>398535</v>
      </c>
      <c r="G1620" s="138" t="n"/>
      <c r="H1620" s="138" t="n">
        <v>425</v>
      </c>
      <c r="I1620" s="138">
        <f>+I1619+(G1620-H1620)</f>
        <v/>
      </c>
      <c r="J1620" s="139" t="n">
        <v>40.508</v>
      </c>
      <c r="K1620" s="140" t="n"/>
      <c r="L1620" s="140">
        <f>+H1620*J1620</f>
        <v/>
      </c>
      <c r="M1620" s="141">
        <f>SUM(M1619+K1620-L1620)</f>
        <v/>
      </c>
    </row>
    <row r="1621">
      <c r="A1621" s="20" t="n">
        <v>45762</v>
      </c>
      <c r="B1621" s="21" t="n">
        <v>15002</v>
      </c>
      <c r="C1621" s="22" t="inlineStr">
        <is>
          <t>SELİM İNŞAAT</t>
        </is>
      </c>
      <c r="D1621" s="21" t="inlineStr">
        <is>
          <t>34 GVZ 199</t>
        </is>
      </c>
      <c r="E1621" s="21" t="inlineStr">
        <is>
          <t>VAHDET GÜRLER</t>
        </is>
      </c>
      <c r="F1621" s="23" t="n">
        <v>166202</v>
      </c>
      <c r="G1621" s="138" t="n"/>
      <c r="H1621" s="138" t="n">
        <v>378</v>
      </c>
      <c r="I1621" s="138">
        <f>+I1620+(G1621-H1621)</f>
        <v/>
      </c>
      <c r="J1621" s="139" t="n">
        <v>40.508</v>
      </c>
      <c r="K1621" s="140" t="n"/>
      <c r="L1621" s="140">
        <f>+H1621*J1621</f>
        <v/>
      </c>
      <c r="M1621" s="141">
        <f>SUM(M1620+K1621-L1621)</f>
        <v/>
      </c>
    </row>
    <row r="1622">
      <c r="A1622" s="20" t="n">
        <v>45762</v>
      </c>
      <c r="B1622" s="21" t="n">
        <v>21612</v>
      </c>
      <c r="C1622" s="22" t="inlineStr">
        <is>
          <t>SELİM İNŞAAT</t>
        </is>
      </c>
      <c r="D1622" s="21" t="inlineStr">
        <is>
          <t>34 DHC 467</t>
        </is>
      </c>
      <c r="E1622" s="21" t="inlineStr">
        <is>
          <t>CEM MUHTAR</t>
        </is>
      </c>
      <c r="F1622" s="23" t="n">
        <v>394293</v>
      </c>
      <c r="G1622" s="138" t="n"/>
      <c r="H1622" s="138" t="n">
        <v>178</v>
      </c>
      <c r="I1622" s="138">
        <f>+I1621+(G1622-H1622)</f>
        <v/>
      </c>
      <c r="J1622" s="139" t="n">
        <v>40.508</v>
      </c>
      <c r="K1622" s="140" t="n"/>
      <c r="L1622" s="140">
        <f>+H1622*J1622</f>
        <v/>
      </c>
      <c r="M1622" s="141">
        <f>SUM(M1621+K1622-L1622)</f>
        <v/>
      </c>
    </row>
    <row r="1623">
      <c r="A1623" s="20" t="n">
        <v>45762</v>
      </c>
      <c r="B1623" s="21" t="n">
        <v>10695</v>
      </c>
      <c r="C1623" s="22" t="inlineStr">
        <is>
          <t>SELİM İNŞAAT</t>
        </is>
      </c>
      <c r="D1623" s="21" t="inlineStr">
        <is>
          <t>34 DTV 599</t>
        </is>
      </c>
      <c r="E1623" s="21" t="inlineStr">
        <is>
          <t>FERHAT GÜRLER</t>
        </is>
      </c>
      <c r="F1623" s="23" t="n">
        <v>415645</v>
      </c>
      <c r="G1623" s="138" t="n"/>
      <c r="H1623" s="138" t="n">
        <v>274</v>
      </c>
      <c r="I1623" s="138">
        <f>+I1622+(G1623-H1623)</f>
        <v/>
      </c>
      <c r="J1623" s="139" t="n">
        <v>40.508</v>
      </c>
      <c r="K1623" s="140" t="n"/>
      <c r="L1623" s="140">
        <f>+H1623*J1623</f>
        <v/>
      </c>
      <c r="M1623" s="141">
        <f>SUM(M1622+K1623-L1623)</f>
        <v/>
      </c>
    </row>
    <row r="1624">
      <c r="A1624" s="20" t="n">
        <v>45762</v>
      </c>
      <c r="B1624" s="21" t="n">
        <v>21195</v>
      </c>
      <c r="C1624" s="22" t="inlineStr">
        <is>
          <t>SELİM İNŞAAT</t>
        </is>
      </c>
      <c r="D1624" s="21" t="inlineStr">
        <is>
          <t>34 DSN 565</t>
        </is>
      </c>
      <c r="E1624" s="21" t="inlineStr">
        <is>
          <t>EBUBEKİR KOLDAŞ</t>
        </is>
      </c>
      <c r="F1624" s="23" t="n">
        <v>390288</v>
      </c>
      <c r="G1624" s="138" t="n"/>
      <c r="H1624" s="138" t="n">
        <v>413</v>
      </c>
      <c r="I1624" s="138">
        <f>+I1623+(G1624-H1624)</f>
        <v/>
      </c>
      <c r="J1624" s="139" t="n">
        <v>40.508</v>
      </c>
      <c r="K1624" s="140" t="n"/>
      <c r="L1624" s="140">
        <f>+H1624*J1624</f>
        <v/>
      </c>
      <c r="M1624" s="141">
        <f>SUM(M1623+K1624-L1624)</f>
        <v/>
      </c>
    </row>
    <row r="1625">
      <c r="A1625" s="20" t="n">
        <v>45762</v>
      </c>
      <c r="B1625" s="21" t="n">
        <v>14214</v>
      </c>
      <c r="C1625" s="22" t="inlineStr">
        <is>
          <t>SELİM İNŞAAT</t>
        </is>
      </c>
      <c r="D1625" s="21" t="inlineStr">
        <is>
          <t xml:space="preserve">34 GUS 938 </t>
        </is>
      </c>
      <c r="E1625" s="21" t="inlineStr">
        <is>
          <t>MEHMET KAYA</t>
        </is>
      </c>
      <c r="F1625" s="23" t="n">
        <v>171272</v>
      </c>
      <c r="G1625" s="138" t="n"/>
      <c r="H1625" s="138" t="n">
        <v>257</v>
      </c>
      <c r="I1625" s="138">
        <f>+I1624+(G1625-H1625)</f>
        <v/>
      </c>
      <c r="J1625" s="139" t="n">
        <v>40.508</v>
      </c>
      <c r="K1625" s="140" t="n"/>
      <c r="L1625" s="140">
        <f>+H1625*J1625</f>
        <v/>
      </c>
      <c r="M1625" s="141">
        <f>SUM(M1624+K1625-L1625)</f>
        <v/>
      </c>
    </row>
    <row r="1626">
      <c r="A1626" s="20" t="n">
        <v>45762</v>
      </c>
      <c r="B1626" s="21" t="n">
        <v>14803</v>
      </c>
      <c r="C1626" s="22" t="inlineStr">
        <is>
          <t>SELİM İNŞAAT</t>
        </is>
      </c>
      <c r="D1626" s="21" t="inlineStr">
        <is>
          <t>34 GVZ 268</t>
        </is>
      </c>
      <c r="E1626" s="21" t="inlineStr">
        <is>
          <t>KERİM KARAMAN</t>
        </is>
      </c>
      <c r="F1626" s="23" t="n">
        <v>177561</v>
      </c>
      <c r="G1626" s="138" t="n"/>
      <c r="H1626" s="138" t="n">
        <v>235</v>
      </c>
      <c r="I1626" s="138">
        <f>+I1625+(G1626-H1626)</f>
        <v/>
      </c>
      <c r="J1626" s="139" t="n">
        <v>40.508</v>
      </c>
      <c r="K1626" s="140" t="n"/>
      <c r="L1626" s="140">
        <f>+H1626*J1626</f>
        <v/>
      </c>
      <c r="M1626" s="141">
        <f>SUM(M1625+K1626-L1626)</f>
        <v/>
      </c>
    </row>
    <row r="1627">
      <c r="A1627" s="20" t="n">
        <v>45762</v>
      </c>
      <c r="B1627" s="21" t="n">
        <v>14016</v>
      </c>
      <c r="C1627" s="22" t="inlineStr">
        <is>
          <t>SELİM İNŞAAT</t>
        </is>
      </c>
      <c r="D1627" s="21" t="inlineStr">
        <is>
          <t>34 GVZ 310</t>
        </is>
      </c>
      <c r="E1627" s="21" t="inlineStr">
        <is>
          <t>CELAL YÜZBAŞI</t>
        </is>
      </c>
      <c r="F1627" s="23" t="n">
        <v>181736</v>
      </c>
      <c r="G1627" s="138" t="n"/>
      <c r="H1627" s="138" t="n">
        <v>433</v>
      </c>
      <c r="I1627" s="138">
        <f>+I1626+(G1627-H1627)</f>
        <v/>
      </c>
      <c r="J1627" s="139" t="n">
        <v>40.508</v>
      </c>
      <c r="K1627" s="140" t="n"/>
      <c r="L1627" s="140">
        <f>+H1627*J1627</f>
        <v/>
      </c>
      <c r="M1627" s="141">
        <f>SUM(M1626+K1627-L1627)</f>
        <v/>
      </c>
    </row>
    <row r="1628">
      <c r="A1628" s="20" t="n">
        <v>45762</v>
      </c>
      <c r="B1628" s="21" t="n">
        <v>11208</v>
      </c>
      <c r="C1628" s="22" t="inlineStr">
        <is>
          <t>SELİM İNŞAAT</t>
        </is>
      </c>
      <c r="D1628" s="21" t="inlineStr">
        <is>
          <t>34 DSN 536</t>
        </is>
      </c>
      <c r="E1628" s="21" t="inlineStr">
        <is>
          <t>ÖMER AĞAYAR</t>
        </is>
      </c>
      <c r="F1628" s="23" t="n">
        <v>376145</v>
      </c>
      <c r="G1628" s="138" t="n"/>
      <c r="H1628" s="138" t="n">
        <v>390</v>
      </c>
      <c r="I1628" s="138">
        <f>+I1627+(G1628-H1628)</f>
        <v/>
      </c>
      <c r="J1628" s="139" t="n">
        <v>40.508</v>
      </c>
      <c r="K1628" s="140" t="n"/>
      <c r="L1628" s="140">
        <f>+H1628*J1628</f>
        <v/>
      </c>
      <c r="M1628" s="141">
        <f>SUM(M1627+K1628-L1628)</f>
        <v/>
      </c>
    </row>
    <row r="1629">
      <c r="A1629" s="20" t="n">
        <v>45762</v>
      </c>
      <c r="B1629" s="21" t="n">
        <v>10073</v>
      </c>
      <c r="C1629" s="22" t="inlineStr">
        <is>
          <t>SELİM İNŞAAT</t>
        </is>
      </c>
      <c r="D1629" s="21" t="inlineStr">
        <is>
          <t>34 FBR 771</t>
        </is>
      </c>
      <c r="E1629" s="21" t="inlineStr">
        <is>
          <t>HÜSEYİN AKÇİN</t>
        </is>
      </c>
      <c r="F1629" s="23" t="n">
        <v>301935</v>
      </c>
      <c r="G1629" s="138" t="n"/>
      <c r="H1629" s="138" t="n">
        <v>255</v>
      </c>
      <c r="I1629" s="138">
        <f>+I1628+(G1629-H1629)</f>
        <v/>
      </c>
      <c r="J1629" s="139" t="n">
        <v>40.508</v>
      </c>
      <c r="K1629" s="140" t="n"/>
      <c r="L1629" s="140">
        <f>+H1629*J1629</f>
        <v/>
      </c>
      <c r="M1629" s="141">
        <f>SUM(M1628+K1629-L1629)</f>
        <v/>
      </c>
    </row>
    <row r="1630">
      <c r="A1630" s="20" t="n">
        <v>45762</v>
      </c>
      <c r="B1630" s="21" t="n">
        <v>14113</v>
      </c>
      <c r="C1630" s="22" t="inlineStr">
        <is>
          <t>SELİM İNŞAAT</t>
        </is>
      </c>
      <c r="D1630" s="21" t="inlineStr">
        <is>
          <t>34 DSN 536</t>
        </is>
      </c>
      <c r="E1630" s="21" t="inlineStr">
        <is>
          <t>DURSUN ALİ GÜREK</t>
        </is>
      </c>
      <c r="F1630" s="23" t="n">
        <v>390026</v>
      </c>
      <c r="G1630" s="138" t="n"/>
      <c r="H1630" s="138" t="n">
        <v>301</v>
      </c>
      <c r="I1630" s="138">
        <f>+I1629+(G1630-H1630)</f>
        <v/>
      </c>
      <c r="J1630" s="139" t="n">
        <v>40.508</v>
      </c>
      <c r="K1630" s="140" t="n"/>
      <c r="L1630" s="140">
        <f>+H1630*J1630</f>
        <v/>
      </c>
      <c r="M1630" s="141">
        <f>SUM(M1629+K1630-L1630)</f>
        <v/>
      </c>
    </row>
    <row r="1631">
      <c r="A1631" s="20" t="n">
        <v>45762</v>
      </c>
      <c r="B1631" s="21" t="n">
        <v>11795</v>
      </c>
      <c r="C1631" s="22" t="inlineStr">
        <is>
          <t>SELİM İNŞAAT</t>
        </is>
      </c>
      <c r="D1631" s="21" t="inlineStr">
        <is>
          <t>34 EDC 086</t>
        </is>
      </c>
      <c r="E1631" s="21" t="inlineStr">
        <is>
          <t>ÖMER AĞAYAR</t>
        </is>
      </c>
      <c r="F1631" s="23" t="n">
        <v>312254</v>
      </c>
      <c r="G1631" s="138" t="n"/>
      <c r="H1631" s="138" t="n">
        <v>277</v>
      </c>
      <c r="I1631" s="138">
        <f>+I1630+(G1631-H1631)</f>
        <v/>
      </c>
      <c r="J1631" s="139" t="n">
        <v>40.508</v>
      </c>
      <c r="K1631" s="140" t="n"/>
      <c r="L1631" s="140">
        <f>+H1631*J1631</f>
        <v/>
      </c>
      <c r="M1631" s="141">
        <f>SUM(M1630+K1631-L1631)</f>
        <v/>
      </c>
    </row>
    <row r="1632">
      <c r="A1632" s="20" t="n">
        <v>45762</v>
      </c>
      <c r="B1632" s="21" t="n">
        <v>14465</v>
      </c>
      <c r="C1632" s="22" t="inlineStr">
        <is>
          <t>SELİM İNŞAAT</t>
        </is>
      </c>
      <c r="D1632" s="21" t="inlineStr">
        <is>
          <t>34 GUS 848</t>
        </is>
      </c>
      <c r="E1632" s="21" t="inlineStr">
        <is>
          <t>SERDAR BOZKURT</t>
        </is>
      </c>
      <c r="F1632" s="23" t="n">
        <v>176127</v>
      </c>
      <c r="G1632" s="138" t="n"/>
      <c r="H1632" s="138" t="n">
        <v>388</v>
      </c>
      <c r="I1632" s="138">
        <f>+I1631+(G1632-H1632)</f>
        <v/>
      </c>
      <c r="J1632" s="139" t="n">
        <v>40.508</v>
      </c>
      <c r="K1632" s="140" t="n"/>
      <c r="L1632" s="140">
        <f>+H1632*J1632</f>
        <v/>
      </c>
      <c r="M1632" s="141">
        <f>SUM(M1631+K1632-L1632)</f>
        <v/>
      </c>
    </row>
    <row r="1633">
      <c r="A1633" s="20" t="n">
        <v>45762</v>
      </c>
      <c r="B1633" s="21" t="n">
        <v>10638</v>
      </c>
      <c r="C1633" s="22" t="inlineStr">
        <is>
          <t>SELİM İNŞAAT</t>
        </is>
      </c>
      <c r="D1633" s="21" t="inlineStr">
        <is>
          <t>34 EDB 754</t>
        </is>
      </c>
      <c r="E1633" s="21" t="inlineStr">
        <is>
          <t>EMİN PARLAKKILIÇ</t>
        </is>
      </c>
      <c r="F1633" s="23" t="n">
        <v>309018</v>
      </c>
      <c r="G1633" s="138" t="n"/>
      <c r="H1633" s="138" t="n">
        <v>274</v>
      </c>
      <c r="I1633" s="138">
        <f>+I1632+(G1633-H1633)</f>
        <v/>
      </c>
      <c r="J1633" s="139" t="n">
        <v>40.508</v>
      </c>
      <c r="K1633" s="140" t="n"/>
      <c r="L1633" s="140">
        <f>+H1633*J1633</f>
        <v/>
      </c>
      <c r="M1633" s="141">
        <f>SUM(M1632+K1633-L1633)</f>
        <v/>
      </c>
    </row>
    <row r="1634">
      <c r="A1634" s="20" t="n">
        <v>45762</v>
      </c>
      <c r="B1634" s="21" t="n">
        <v>10288</v>
      </c>
      <c r="C1634" s="22" t="inlineStr">
        <is>
          <t>SELİM İNŞAAT</t>
        </is>
      </c>
      <c r="D1634" s="21" t="inlineStr">
        <is>
          <t>34 FBR 748</t>
        </is>
      </c>
      <c r="E1634" s="21" t="inlineStr">
        <is>
          <t>YAŞAR ÖZKAYA</t>
        </is>
      </c>
      <c r="F1634" s="23" t="n">
        <v>268625</v>
      </c>
      <c r="G1634" s="138" t="n"/>
      <c r="H1634" s="138" t="n">
        <v>359</v>
      </c>
      <c r="I1634" s="138">
        <f>+I1633+(G1634-H1634)</f>
        <v/>
      </c>
      <c r="J1634" s="139" t="n">
        <v>40.508</v>
      </c>
      <c r="K1634" s="140" t="n"/>
      <c r="L1634" s="140">
        <f>+H1634*J1634</f>
        <v/>
      </c>
      <c r="M1634" s="141">
        <f>SUM(M1633+K1634-L1634)</f>
        <v/>
      </c>
    </row>
    <row r="1635">
      <c r="A1635" s="20" t="n">
        <v>45762</v>
      </c>
      <c r="B1635" s="21" t="n">
        <v>11821</v>
      </c>
      <c r="C1635" s="22" t="inlineStr">
        <is>
          <t>SELİM İNŞAAT</t>
        </is>
      </c>
      <c r="D1635" s="21" t="inlineStr">
        <is>
          <t>34 FSG 229</t>
        </is>
      </c>
      <c r="E1635" s="21" t="inlineStr">
        <is>
          <t>SİNAN TANRIVERDİ</t>
        </is>
      </c>
      <c r="F1635" s="23" t="n">
        <v>242697</v>
      </c>
      <c r="G1635" s="138" t="n"/>
      <c r="H1635" s="138" t="n">
        <v>269</v>
      </c>
      <c r="I1635" s="138">
        <f>+I1634+(G1635-H1635)</f>
        <v/>
      </c>
      <c r="J1635" s="139" t="n">
        <v>40.508</v>
      </c>
      <c r="K1635" s="140" t="n"/>
      <c r="L1635" s="140">
        <f>+H1635*J1635</f>
        <v/>
      </c>
      <c r="M1635" s="141">
        <f>SUM(M1634+K1635-L1635)</f>
        <v/>
      </c>
    </row>
    <row r="1636">
      <c r="A1636" s="20" t="n">
        <v>45762</v>
      </c>
      <c r="B1636" s="21" t="n">
        <v>10527</v>
      </c>
      <c r="C1636" s="22" t="inlineStr">
        <is>
          <t>SELİM İNŞAAT</t>
        </is>
      </c>
      <c r="D1636" s="21" t="inlineStr">
        <is>
          <t>34 EDB 922</t>
        </is>
      </c>
      <c r="E1636" s="21" t="inlineStr">
        <is>
          <t>AHMET TOPÇU</t>
        </is>
      </c>
      <c r="F1636" s="23" t="n">
        <v>344354</v>
      </c>
      <c r="G1636" s="138" t="n"/>
      <c r="H1636" s="138" t="n">
        <v>383</v>
      </c>
      <c r="I1636" s="138">
        <f>+I1635+(G1636-H1636)</f>
        <v/>
      </c>
      <c r="J1636" s="139" t="n">
        <v>40.508</v>
      </c>
      <c r="K1636" s="140" t="n"/>
      <c r="L1636" s="140">
        <f>+H1636*J1636</f>
        <v/>
      </c>
      <c r="M1636" s="141">
        <f>SUM(M1635+K1636-L1636)</f>
        <v/>
      </c>
    </row>
    <row r="1637">
      <c r="A1637" s="20" t="n">
        <v>45762</v>
      </c>
      <c r="B1637" s="21" t="n">
        <v>10778</v>
      </c>
      <c r="C1637" s="22" t="inlineStr">
        <is>
          <t>SELİM İNŞAAT</t>
        </is>
      </c>
      <c r="D1637" s="21" t="inlineStr">
        <is>
          <t>34 FBR 705</t>
        </is>
      </c>
      <c r="E1637" s="21" t="inlineStr">
        <is>
          <t>MESUT GÜRLER</t>
        </is>
      </c>
      <c r="F1637" s="23" t="n">
        <v>299035</v>
      </c>
      <c r="G1637" s="138" t="n"/>
      <c r="H1637" s="138" t="n">
        <v>413</v>
      </c>
      <c r="I1637" s="138">
        <f>+I1636+(G1637-H1637)</f>
        <v/>
      </c>
      <c r="J1637" s="139" t="n">
        <v>40.508</v>
      </c>
      <c r="K1637" s="140" t="n"/>
      <c r="L1637" s="140">
        <f>+H1637*J1637</f>
        <v/>
      </c>
      <c r="M1637" s="141">
        <f>SUM(M1636+K1637-L1637)</f>
        <v/>
      </c>
    </row>
    <row r="1638">
      <c r="A1638" s="20" t="n">
        <v>45762</v>
      </c>
      <c r="B1638" s="1" t="n">
        <v>15415</v>
      </c>
      <c r="C1638" s="2" t="inlineStr">
        <is>
          <t>HASALTUN</t>
        </is>
      </c>
      <c r="D1638" s="1" t="inlineStr">
        <is>
          <t>SM 370</t>
        </is>
      </c>
      <c r="E1638" s="1" t="inlineStr">
        <is>
          <t>TEKİN ŞEYLAN</t>
        </is>
      </c>
      <c r="F1638" s="3" t="n"/>
      <c r="G1638" s="143" t="n"/>
      <c r="H1638" s="143" t="n">
        <v>510</v>
      </c>
      <c r="I1638" s="143">
        <f>+I1637+(G1638-H1638)</f>
        <v/>
      </c>
      <c r="J1638" s="144" t="n">
        <v>40.508</v>
      </c>
      <c r="K1638" s="145" t="n"/>
      <c r="L1638" s="140">
        <f>+H1638*J1638</f>
        <v/>
      </c>
      <c r="M1638" s="141">
        <f>SUM(M1637+K1638-L1638)</f>
        <v/>
      </c>
    </row>
    <row r="1639">
      <c r="A1639" s="20" t="n">
        <v>45762</v>
      </c>
      <c r="B1639" s="1" t="n">
        <v>15416</v>
      </c>
      <c r="C1639" s="2" t="inlineStr">
        <is>
          <t>HASALTUN</t>
        </is>
      </c>
      <c r="D1639" s="1" t="inlineStr">
        <is>
          <t>SM 300</t>
        </is>
      </c>
      <c r="E1639" s="1" t="inlineStr">
        <is>
          <t>TURGUT SANCAK</t>
        </is>
      </c>
      <c r="F1639" s="3" t="n"/>
      <c r="G1639" s="143" t="n"/>
      <c r="H1639" s="143" t="n">
        <v>306</v>
      </c>
      <c r="I1639" s="143">
        <f>+I1638+(G1639-H1639)</f>
        <v/>
      </c>
      <c r="J1639" s="144" t="n">
        <v>40.508</v>
      </c>
      <c r="K1639" s="145" t="n"/>
      <c r="L1639" s="140">
        <f>+H1639*J1639</f>
        <v/>
      </c>
      <c r="M1639" s="141">
        <f>SUM(M1638+K1639-L1639)</f>
        <v/>
      </c>
    </row>
    <row r="1640">
      <c r="A1640" s="20" t="n">
        <v>45762</v>
      </c>
      <c r="B1640" s="1" t="n">
        <v>15417</v>
      </c>
      <c r="C1640" s="2" t="inlineStr">
        <is>
          <t>VARLIK</t>
        </is>
      </c>
      <c r="D1640" s="1" t="inlineStr">
        <is>
          <t>KAVAZAKİ</t>
        </is>
      </c>
      <c r="E1640" s="1" t="inlineStr">
        <is>
          <t>UFUK SEVAL</t>
        </is>
      </c>
      <c r="F1640" s="3" t="n"/>
      <c r="G1640" s="143" t="n"/>
      <c r="H1640" s="143" t="n">
        <v>237</v>
      </c>
      <c r="I1640" s="143">
        <f>+I1639+(G1640-H1640)</f>
        <v/>
      </c>
      <c r="J1640" s="144" t="n">
        <v>40.508</v>
      </c>
      <c r="K1640" s="145" t="n"/>
      <c r="L1640" s="140">
        <f>+H1640*J1640</f>
        <v/>
      </c>
      <c r="M1640" s="141">
        <f>SUM(M1639+K1640-L1640)</f>
        <v/>
      </c>
    </row>
    <row r="1641">
      <c r="A1641" s="20" t="n">
        <v>45762</v>
      </c>
      <c r="B1641" s="1" t="n">
        <v>15418</v>
      </c>
      <c r="C1641" s="2" t="inlineStr">
        <is>
          <t>HASALTUN</t>
        </is>
      </c>
      <c r="D1641" s="1" t="inlineStr">
        <is>
          <t>SM 350</t>
        </is>
      </c>
      <c r="E1641" s="1" t="inlineStr">
        <is>
          <t>TEVFİK ÖZTÜRK</t>
        </is>
      </c>
      <c r="F1641" s="3" t="n"/>
      <c r="G1641" s="143" t="n"/>
      <c r="H1641" s="143" t="n">
        <v>283</v>
      </c>
      <c r="I1641" s="143">
        <f>+I1640+(G1641-H1641)</f>
        <v/>
      </c>
      <c r="J1641" s="144" t="n">
        <v>40.508</v>
      </c>
      <c r="K1641" s="145" t="n"/>
      <c r="L1641" s="140">
        <f>+H1641*J1641</f>
        <v/>
      </c>
      <c r="M1641" s="141">
        <f>SUM(M1640+K1641-L1641)</f>
        <v/>
      </c>
    </row>
    <row r="1642">
      <c r="A1642" s="20" t="n">
        <v>45762</v>
      </c>
      <c r="B1642" s="21" t="n">
        <v>14659</v>
      </c>
      <c r="C1642" s="22" t="inlineStr">
        <is>
          <t>AHMET SELİM TEMHA</t>
        </is>
      </c>
      <c r="D1642" s="21" t="n"/>
      <c r="E1642" s="21" t="inlineStr">
        <is>
          <t>CEMAL AKDAMAR</t>
        </is>
      </c>
      <c r="F1642" s="23" t="n"/>
      <c r="G1642" s="138" t="n"/>
      <c r="H1642" s="138" t="n">
        <v>25</v>
      </c>
      <c r="I1642" s="138">
        <f>+I1641+(G1642-H1642)</f>
        <v/>
      </c>
      <c r="J1642" s="139" t="n">
        <v>40.508</v>
      </c>
      <c r="K1642" s="140" t="n"/>
      <c r="L1642" s="140">
        <f>+H1642*J1642</f>
        <v/>
      </c>
      <c r="M1642" s="141">
        <f>SUM(M1641+K1642-L1642)</f>
        <v/>
      </c>
    </row>
    <row r="1643">
      <c r="A1643" s="20" t="n">
        <v>45762</v>
      </c>
      <c r="B1643" s="21" t="n">
        <v>10037</v>
      </c>
      <c r="C1643" s="22" t="inlineStr">
        <is>
          <t>METİN ERYİĞİT</t>
        </is>
      </c>
      <c r="D1643" s="21" t="inlineStr">
        <is>
          <t>34 EGS 013</t>
        </is>
      </c>
      <c r="E1643" s="21" t="inlineStr">
        <is>
          <t xml:space="preserve">UĞUR DUMAN </t>
        </is>
      </c>
      <c r="F1643" s="23" t="n">
        <v>473817</v>
      </c>
      <c r="G1643" s="138" t="n"/>
      <c r="H1643" s="138" t="n">
        <v>150</v>
      </c>
      <c r="I1643" s="138">
        <f>+I1642+(G1643-H1643)</f>
        <v/>
      </c>
      <c r="J1643" s="139" t="n">
        <v>40.508</v>
      </c>
      <c r="K1643" s="140" t="n"/>
      <c r="L1643" s="140">
        <f>+H1643*J1643</f>
        <v/>
      </c>
      <c r="M1643" s="141">
        <f>SUM(M1642+K1643-L1643)</f>
        <v/>
      </c>
    </row>
    <row r="1644">
      <c r="A1644" s="20" t="n">
        <v>45762</v>
      </c>
      <c r="B1644" s="21" t="n">
        <v>10569</v>
      </c>
      <c r="C1644" s="22" t="inlineStr">
        <is>
          <t>SELİM İNŞAAT</t>
        </is>
      </c>
      <c r="D1644" s="21" t="inlineStr">
        <is>
          <t>34 GU 945</t>
        </is>
      </c>
      <c r="E1644" s="21" t="inlineStr">
        <is>
          <t>TURAN SEVİNDİK</t>
        </is>
      </c>
      <c r="F1644" s="23" t="n">
        <v>442458</v>
      </c>
      <c r="G1644" s="138" t="n"/>
      <c r="H1644" s="138" t="n">
        <v>60</v>
      </c>
      <c r="I1644" s="138">
        <f>+I1643+(G1644-H1644)</f>
        <v/>
      </c>
      <c r="J1644" s="139" t="n">
        <v>40.508</v>
      </c>
      <c r="K1644" s="140" t="n"/>
      <c r="L1644" s="140">
        <f>+H1644*J1644</f>
        <v/>
      </c>
      <c r="M1644" s="141">
        <f>SUM(M1643+K1644-L1644)</f>
        <v/>
      </c>
    </row>
    <row r="1645">
      <c r="A1645" s="20" t="n">
        <v>45762</v>
      </c>
      <c r="B1645" s="21" t="n">
        <v>21315</v>
      </c>
      <c r="C1645" s="22" t="inlineStr">
        <is>
          <t>SELİM İNŞAAT</t>
        </is>
      </c>
      <c r="D1645" s="21" t="inlineStr">
        <is>
          <t>34 FEM 934</t>
        </is>
      </c>
      <c r="E1645" s="21" t="inlineStr">
        <is>
          <t>SERDAR BOZKURT</t>
        </is>
      </c>
      <c r="F1645" s="23" t="n">
        <v>303572</v>
      </c>
      <c r="G1645" s="138" t="n"/>
      <c r="H1645" s="138" t="n">
        <v>60</v>
      </c>
      <c r="I1645" s="138">
        <f>+I1644+(G1645-H1645)</f>
        <v/>
      </c>
      <c r="J1645" s="139" t="n">
        <v>40.508</v>
      </c>
      <c r="K1645" s="140" t="n"/>
      <c r="L1645" s="140">
        <f>+H1645*J1645</f>
        <v/>
      </c>
      <c r="M1645" s="141">
        <f>SUM(M1644+K1645-L1645)</f>
        <v/>
      </c>
    </row>
    <row r="1646">
      <c r="A1646" s="20" t="n">
        <v>45762</v>
      </c>
      <c r="B1646" s="21" t="n">
        <v>20533</v>
      </c>
      <c r="C1646" s="22" t="inlineStr">
        <is>
          <t>SELİM İNŞAAT</t>
        </is>
      </c>
      <c r="D1646" s="21" t="inlineStr">
        <is>
          <t>34 VF 2620</t>
        </is>
      </c>
      <c r="E1646" s="21" t="inlineStr">
        <is>
          <t>RECEP SELİM</t>
        </is>
      </c>
      <c r="F1646" s="23" t="n">
        <v>182947</v>
      </c>
      <c r="G1646" s="138" t="n"/>
      <c r="H1646" s="138" t="n">
        <v>78</v>
      </c>
      <c r="I1646" s="138">
        <f>+I1645+(G1646-H1646)</f>
        <v/>
      </c>
      <c r="J1646" s="139" t="n">
        <v>40.508</v>
      </c>
      <c r="K1646" s="140" t="n"/>
      <c r="L1646" s="140">
        <f>+H1646*J1646</f>
        <v/>
      </c>
      <c r="M1646" s="141">
        <f>SUM(M1645+K1646-L1646)</f>
        <v/>
      </c>
    </row>
    <row r="1647">
      <c r="A1647" s="20" t="n">
        <v>45762</v>
      </c>
      <c r="B1647" s="21" t="n">
        <v>10873</v>
      </c>
      <c r="C1647" s="22" t="inlineStr">
        <is>
          <t>SELİM İNŞAAT</t>
        </is>
      </c>
      <c r="D1647" s="21" t="inlineStr">
        <is>
          <t>34 AR 7743</t>
        </is>
      </c>
      <c r="E1647" s="21" t="inlineStr">
        <is>
          <t>MEHMET SELİM</t>
        </is>
      </c>
      <c r="F1647" s="23" t="n">
        <v>353097</v>
      </c>
      <c r="G1647" s="138" t="n"/>
      <c r="H1647" s="138" t="n">
        <v>47</v>
      </c>
      <c r="I1647" s="138">
        <f>+I1646+(G1647-H1647)</f>
        <v/>
      </c>
      <c r="J1647" s="139" t="n">
        <v>40.508</v>
      </c>
      <c r="K1647" s="140" t="n"/>
      <c r="L1647" s="140">
        <f>+H1647*J1647</f>
        <v/>
      </c>
      <c r="M1647" s="141">
        <f>SUM(M1646+K1647-L1647)</f>
        <v/>
      </c>
    </row>
    <row r="1648">
      <c r="A1648" s="20" t="n">
        <v>45762</v>
      </c>
      <c r="B1648" s="21" t="n">
        <v>10137</v>
      </c>
      <c r="C1648" s="22" t="inlineStr">
        <is>
          <t>SELİM İNŞAAT</t>
        </is>
      </c>
      <c r="D1648" s="21" t="inlineStr">
        <is>
          <t>34 DP 4161</t>
        </is>
      </c>
      <c r="E1648" s="21" t="inlineStr">
        <is>
          <t>RIFAT KARATAY</t>
        </is>
      </c>
      <c r="F1648" s="23" t="n">
        <v>281516</v>
      </c>
      <c r="G1648" s="138" t="n"/>
      <c r="H1648" s="138" t="n">
        <v>255</v>
      </c>
      <c r="I1648" s="138">
        <f>+I1647+(G1648-H1648)</f>
        <v/>
      </c>
      <c r="J1648" s="139" t="n">
        <v>40.508</v>
      </c>
      <c r="K1648" s="140" t="n"/>
      <c r="L1648" s="140">
        <f>+H1648*J1648</f>
        <v/>
      </c>
      <c r="M1648" s="141">
        <f>SUM(M1647+K1648-L1648)</f>
        <v/>
      </c>
    </row>
    <row r="1649">
      <c r="A1649" s="20" t="n">
        <v>45762</v>
      </c>
      <c r="B1649" s="21" t="n">
        <v>11633</v>
      </c>
      <c r="C1649" s="22" t="inlineStr">
        <is>
          <t>SELİM İNŞAAT</t>
        </is>
      </c>
      <c r="D1649" s="21" t="inlineStr">
        <is>
          <t>34 DTV 352</t>
        </is>
      </c>
      <c r="E1649" s="21" t="inlineStr">
        <is>
          <t>RASİM BARTU</t>
        </is>
      </c>
      <c r="F1649" s="23" t="n">
        <v>418653</v>
      </c>
      <c r="G1649" s="138" t="n"/>
      <c r="H1649" s="138" t="n">
        <v>349</v>
      </c>
      <c r="I1649" s="138">
        <f>+I1648+(G1649-H1649)</f>
        <v/>
      </c>
      <c r="J1649" s="139" t="n">
        <v>40.508</v>
      </c>
      <c r="K1649" s="140" t="n"/>
      <c r="L1649" s="140">
        <f>+H1649*J1649</f>
        <v/>
      </c>
      <c r="M1649" s="141">
        <f>SUM(M1648+K1649-L1649)</f>
        <v/>
      </c>
    </row>
    <row r="1650">
      <c r="A1650" s="20" t="n">
        <v>45763</v>
      </c>
      <c r="B1650" s="21" t="n">
        <v>10186</v>
      </c>
      <c r="C1650" s="22" t="inlineStr">
        <is>
          <t>SELİM İNŞAAT</t>
        </is>
      </c>
      <c r="D1650" s="21" t="inlineStr">
        <is>
          <t>34 EGR 736</t>
        </is>
      </c>
      <c r="E1650" s="21" t="inlineStr">
        <is>
          <t>HAKAN ÇAVUŞOĞLU</t>
        </is>
      </c>
      <c r="F1650" s="23" t="n">
        <v>323723</v>
      </c>
      <c r="G1650" s="138" t="n"/>
      <c r="H1650" s="138" t="n">
        <v>350</v>
      </c>
      <c r="I1650" s="138">
        <f>+I1649+(G1650-H1650)</f>
        <v/>
      </c>
      <c r="J1650" s="139" t="n">
        <v>40.508</v>
      </c>
      <c r="K1650" s="140" t="n"/>
      <c r="L1650" s="140">
        <f>+H1650*J1650</f>
        <v/>
      </c>
      <c r="M1650" s="141">
        <f>SUM(M1649+K1650-L1650)</f>
        <v/>
      </c>
    </row>
    <row r="1651">
      <c r="A1651" s="20" t="n">
        <v>45763</v>
      </c>
      <c r="B1651" s="21" t="n">
        <v>10435</v>
      </c>
      <c r="C1651" s="22" t="inlineStr">
        <is>
          <t>SELİM İNŞAAT</t>
        </is>
      </c>
      <c r="D1651" s="21" t="inlineStr">
        <is>
          <t>34 FBR 781</t>
        </is>
      </c>
      <c r="E1651" s="21" t="inlineStr">
        <is>
          <t>MEVLÜT POLAT</t>
        </is>
      </c>
      <c r="F1651" s="23" t="n">
        <v>286459</v>
      </c>
      <c r="G1651" s="138" t="n"/>
      <c r="H1651" s="138" t="n">
        <v>392</v>
      </c>
      <c r="I1651" s="138">
        <f>+I1650+(G1651-H1651)</f>
        <v/>
      </c>
      <c r="J1651" s="139" t="n">
        <v>40.508</v>
      </c>
      <c r="K1651" s="140" t="n"/>
      <c r="L1651" s="140">
        <f>+H1651*J1651</f>
        <v/>
      </c>
      <c r="M1651" s="141">
        <f>SUM(M1650+K1651-L1651)</f>
        <v/>
      </c>
    </row>
    <row r="1652">
      <c r="A1652" s="20" t="n">
        <v>45763</v>
      </c>
      <c r="B1652" s="21" t="n">
        <v>21491</v>
      </c>
      <c r="C1652" s="22" t="inlineStr">
        <is>
          <t>SELİM İNŞAAT</t>
        </is>
      </c>
      <c r="D1652" s="21" t="inlineStr">
        <is>
          <t>34 GYZ 635</t>
        </is>
      </c>
      <c r="E1652" s="21" t="inlineStr">
        <is>
          <t>ENGİN DEMİR</t>
        </is>
      </c>
      <c r="F1652" s="23" t="n">
        <v>157994</v>
      </c>
      <c r="G1652" s="138" t="n"/>
      <c r="H1652" s="138" t="n">
        <v>360</v>
      </c>
      <c r="I1652" s="138">
        <f>+I1651+(G1652-H1652)</f>
        <v/>
      </c>
      <c r="J1652" s="139" t="n">
        <v>40.508</v>
      </c>
      <c r="K1652" s="140" t="n"/>
      <c r="L1652" s="140">
        <f>+H1652*J1652</f>
        <v/>
      </c>
      <c r="M1652" s="141">
        <f>SUM(M1651+K1652-L1652)</f>
        <v/>
      </c>
    </row>
    <row r="1653">
      <c r="A1653" s="20" t="n">
        <v>45763</v>
      </c>
      <c r="B1653" s="21" t="n">
        <v>14412</v>
      </c>
      <c r="C1653" s="22" t="inlineStr">
        <is>
          <t>SELİM İNŞAAT</t>
        </is>
      </c>
      <c r="D1653" s="21" t="inlineStr">
        <is>
          <t>34 EGR 737</t>
        </is>
      </c>
      <c r="E1653" s="21" t="inlineStr">
        <is>
          <t>İBRAHİM GÜNASLAN</t>
        </is>
      </c>
      <c r="F1653" s="23" t="n">
        <v>402503</v>
      </c>
      <c r="G1653" s="138" t="n"/>
      <c r="H1653" s="138" t="n">
        <v>332</v>
      </c>
      <c r="I1653" s="138">
        <f>+I1652+(G1653-H1653)</f>
        <v/>
      </c>
      <c r="J1653" s="139" t="n">
        <v>40.508</v>
      </c>
      <c r="K1653" s="140" t="n"/>
      <c r="L1653" s="140">
        <f>+H1653*J1653</f>
        <v/>
      </c>
      <c r="M1653" s="141">
        <f>SUM(M1652+K1653-L1653)</f>
        <v/>
      </c>
    </row>
    <row r="1654">
      <c r="A1654" s="20" t="n">
        <v>45763</v>
      </c>
      <c r="B1654" s="21" t="n">
        <v>10220</v>
      </c>
      <c r="C1654" s="22" t="inlineStr">
        <is>
          <t>SELİM İNŞAAT</t>
        </is>
      </c>
      <c r="D1654" s="21" t="inlineStr">
        <is>
          <t>34 DSN 621</t>
        </is>
      </c>
      <c r="E1654" s="21" t="inlineStr">
        <is>
          <t>MUSTAFA KAYA</t>
        </is>
      </c>
      <c r="F1654" s="23" t="n">
        <v>399194</v>
      </c>
      <c r="G1654" s="138" t="n"/>
      <c r="H1654" s="138" t="n">
        <v>264</v>
      </c>
      <c r="I1654" s="138">
        <f>+I1653+(G1654-H1654)</f>
        <v/>
      </c>
      <c r="J1654" s="139" t="n">
        <v>40.508</v>
      </c>
      <c r="K1654" s="140" t="n"/>
      <c r="L1654" s="140">
        <f>+H1654*J1654</f>
        <v/>
      </c>
      <c r="M1654" s="141">
        <f>SUM(M1653+K1654-L1654)</f>
        <v/>
      </c>
    </row>
    <row r="1655">
      <c r="A1655" s="20" t="n">
        <v>45763</v>
      </c>
      <c r="B1655" s="21" t="n">
        <v>10372</v>
      </c>
      <c r="C1655" s="22" t="inlineStr">
        <is>
          <t>SELİM İNŞAAT</t>
        </is>
      </c>
      <c r="D1655" s="21" t="inlineStr">
        <is>
          <t>34 DRU 690</t>
        </is>
      </c>
      <c r="E1655" s="21" t="inlineStr">
        <is>
          <t>MURAT DEMİRBAŞ</t>
        </is>
      </c>
      <c r="F1655" s="23" t="n">
        <v>400601</v>
      </c>
      <c r="G1655" s="138" t="n"/>
      <c r="H1655" s="138" t="n">
        <v>397</v>
      </c>
      <c r="I1655" s="138">
        <f>+I1654+(G1655-H1655)</f>
        <v/>
      </c>
      <c r="J1655" s="139" t="n">
        <v>40.508</v>
      </c>
      <c r="K1655" s="140" t="n"/>
      <c r="L1655" s="140">
        <f>+H1655*J1655</f>
        <v/>
      </c>
      <c r="M1655" s="141">
        <f>SUM(M1654+K1655-L1655)</f>
        <v/>
      </c>
    </row>
    <row r="1656">
      <c r="A1656" s="20" t="n">
        <v>45763</v>
      </c>
      <c r="B1656" s="21" t="n">
        <v>15551</v>
      </c>
      <c r="C1656" s="22" t="inlineStr">
        <is>
          <t>SELİM İNŞAAT</t>
        </is>
      </c>
      <c r="D1656" s="21" t="inlineStr">
        <is>
          <t>34 GVZ 745</t>
        </is>
      </c>
      <c r="E1656" s="21" t="inlineStr">
        <is>
          <t>MUHAMMED YİĞİT</t>
        </is>
      </c>
      <c r="F1656" s="23" t="n">
        <v>173119</v>
      </c>
      <c r="G1656" s="138" t="n"/>
      <c r="H1656" s="138" t="n">
        <v>434</v>
      </c>
      <c r="I1656" s="138">
        <f>+I1655+(G1656-H1656)</f>
        <v/>
      </c>
      <c r="J1656" s="139" t="n">
        <v>40.508</v>
      </c>
      <c r="K1656" s="140" t="n"/>
      <c r="L1656" s="140">
        <f>+H1656*J1656</f>
        <v/>
      </c>
      <c r="M1656" s="141">
        <f>SUM(M1655+K1656-L1656)</f>
        <v/>
      </c>
    </row>
    <row r="1657">
      <c r="A1657" s="20" t="n">
        <v>45763</v>
      </c>
      <c r="B1657" s="21" t="n">
        <v>14215</v>
      </c>
      <c r="C1657" s="22" t="inlineStr">
        <is>
          <t>SELİM İNŞAAT</t>
        </is>
      </c>
      <c r="D1657" s="21" t="inlineStr">
        <is>
          <t xml:space="preserve">34 GUS 938 </t>
        </is>
      </c>
      <c r="E1657" s="21" t="inlineStr">
        <is>
          <t>MEHMET KAYA</t>
        </is>
      </c>
      <c r="F1657" s="23" t="n">
        <v>171549</v>
      </c>
      <c r="G1657" s="138" t="n"/>
      <c r="H1657" s="138" t="n">
        <v>132</v>
      </c>
      <c r="I1657" s="138">
        <f>+I1656+(G1657-H1657)</f>
        <v/>
      </c>
      <c r="J1657" s="139" t="n">
        <v>40.508</v>
      </c>
      <c r="K1657" s="140" t="n"/>
      <c r="L1657" s="140">
        <f>+H1657*J1657</f>
        <v/>
      </c>
      <c r="M1657" s="141">
        <f>SUM(M1656+K1657-L1657)</f>
        <v/>
      </c>
    </row>
    <row r="1658">
      <c r="A1658" s="20" t="n">
        <v>45763</v>
      </c>
      <c r="B1658" s="21" t="n">
        <v>11925</v>
      </c>
      <c r="C1658" s="22" t="inlineStr">
        <is>
          <t>SELİM İNŞAAT</t>
        </is>
      </c>
      <c r="D1658" s="21" t="inlineStr">
        <is>
          <t>34 FBR 742</t>
        </is>
      </c>
      <c r="E1658" s="21" t="inlineStr">
        <is>
          <t>MİKAİL BAYILMAZ</t>
        </is>
      </c>
      <c r="F1658" s="23" t="n">
        <v>303072</v>
      </c>
      <c r="G1658" s="138" t="n"/>
      <c r="H1658" s="138" t="n">
        <v>346</v>
      </c>
      <c r="I1658" s="138">
        <f>+I1657+(G1658-H1658)</f>
        <v/>
      </c>
      <c r="J1658" s="139" t="n">
        <v>40.508</v>
      </c>
      <c r="K1658" s="140" t="n"/>
      <c r="L1658" s="140">
        <f>+H1658*J1658</f>
        <v/>
      </c>
      <c r="M1658" s="141">
        <f>SUM(M1657+K1658-L1658)</f>
        <v/>
      </c>
    </row>
    <row r="1659">
      <c r="A1659" s="20" t="n">
        <v>45763</v>
      </c>
      <c r="B1659" s="21" t="n">
        <v>14017</v>
      </c>
      <c r="C1659" s="22" t="inlineStr">
        <is>
          <t>SELİM İNŞAAT</t>
        </is>
      </c>
      <c r="D1659" s="21" t="inlineStr">
        <is>
          <t>34 GVZ 310</t>
        </is>
      </c>
      <c r="E1659" s="21" t="inlineStr">
        <is>
          <t>CELAL YÜZBAŞI</t>
        </is>
      </c>
      <c r="F1659" s="23" t="n">
        <v>182376</v>
      </c>
      <c r="G1659" s="138" t="n"/>
      <c r="H1659" s="138" t="n">
        <v>263</v>
      </c>
      <c r="I1659" s="138">
        <f>+I1658+(G1659-H1659)</f>
        <v/>
      </c>
      <c r="J1659" s="139" t="n">
        <v>40.508</v>
      </c>
      <c r="K1659" s="140" t="n"/>
      <c r="L1659" s="140">
        <f>+H1659*J1659</f>
        <v/>
      </c>
      <c r="M1659" s="141">
        <f>SUM(M1658+K1659-L1659)</f>
        <v/>
      </c>
    </row>
    <row r="1660">
      <c r="A1660" s="20" t="n">
        <v>45763</v>
      </c>
      <c r="B1660" s="21" t="n">
        <v>14066</v>
      </c>
      <c r="C1660" s="22" t="inlineStr">
        <is>
          <t>SELİM İNŞAAT</t>
        </is>
      </c>
      <c r="D1660" s="21" t="inlineStr">
        <is>
          <t>34 EDB 659</t>
        </is>
      </c>
      <c r="E1660" s="21" t="inlineStr">
        <is>
          <t>KERİM KARAMAN</t>
        </is>
      </c>
      <c r="F1660" s="23" t="n">
        <v>325377</v>
      </c>
      <c r="G1660" s="138" t="n"/>
      <c r="H1660" s="138" t="n">
        <v>408</v>
      </c>
      <c r="I1660" s="138">
        <f>+I1659+(G1660-H1660)</f>
        <v/>
      </c>
      <c r="J1660" s="139" t="n">
        <v>40.508</v>
      </c>
      <c r="K1660" s="140" t="n"/>
      <c r="L1660" s="140">
        <f>+H1660*J1660</f>
        <v/>
      </c>
      <c r="M1660" s="141">
        <f>SUM(M1659+K1660-L1660)</f>
        <v/>
      </c>
    </row>
    <row r="1661">
      <c r="A1661" s="20" t="n">
        <v>45763</v>
      </c>
      <c r="B1661" s="21" t="n">
        <v>21296</v>
      </c>
      <c r="C1661" s="22" t="inlineStr">
        <is>
          <t>SELİM İNŞAAT</t>
        </is>
      </c>
      <c r="D1661" s="21" t="inlineStr">
        <is>
          <t>34 DTV 447</t>
        </is>
      </c>
      <c r="E1661" s="21" t="inlineStr">
        <is>
          <t>EBUBEKİR KOLDAŞ</t>
        </is>
      </c>
      <c r="F1661" s="23" t="n">
        <v>422191</v>
      </c>
      <c r="G1661" s="138" t="n"/>
      <c r="H1661" s="138" t="n">
        <v>312</v>
      </c>
      <c r="I1661" s="138">
        <f>+I1660+(G1661-H1661)</f>
        <v/>
      </c>
      <c r="J1661" s="139" t="n">
        <v>40.508</v>
      </c>
      <c r="K1661" s="140" t="n"/>
      <c r="L1661" s="140">
        <f>+H1661*J1661</f>
        <v/>
      </c>
      <c r="M1661" s="141">
        <f>SUM(M1660+K1661-L1661)</f>
        <v/>
      </c>
    </row>
    <row r="1662">
      <c r="A1662" s="20" t="n">
        <v>45763</v>
      </c>
      <c r="B1662" s="21" t="n">
        <v>10074</v>
      </c>
      <c r="C1662" s="22" t="inlineStr">
        <is>
          <t>SELİM İNŞAAT</t>
        </is>
      </c>
      <c r="D1662" s="21" t="inlineStr">
        <is>
          <t>34 FBR 771</t>
        </is>
      </c>
      <c r="E1662" s="21" t="inlineStr">
        <is>
          <t>HÜSEYİN AKÇİN</t>
        </is>
      </c>
      <c r="F1662" s="23" t="n">
        <v>302555</v>
      </c>
      <c r="G1662" s="138" t="n"/>
      <c r="H1662" s="138" t="n">
        <v>252</v>
      </c>
      <c r="I1662" s="138">
        <f>+I1661+(G1662-H1662)</f>
        <v/>
      </c>
      <c r="J1662" s="139" t="n">
        <v>40.508</v>
      </c>
      <c r="K1662" s="140" t="n"/>
      <c r="L1662" s="140">
        <f>+H1662*J1662</f>
        <v/>
      </c>
      <c r="M1662" s="141">
        <f>SUM(M1661+K1662-L1662)</f>
        <v/>
      </c>
    </row>
    <row r="1663">
      <c r="A1663" s="20" t="n">
        <v>45763</v>
      </c>
      <c r="B1663" s="21" t="n">
        <v>11796</v>
      </c>
      <c r="C1663" s="22" t="inlineStr">
        <is>
          <t>SELİM İNŞAAT</t>
        </is>
      </c>
      <c r="D1663" s="21" t="inlineStr">
        <is>
          <t>34 EDC 086</t>
        </is>
      </c>
      <c r="E1663" s="21" t="inlineStr">
        <is>
          <t>ÖMER AĞAYAR</t>
        </is>
      </c>
      <c r="F1663" s="23" t="n">
        <v>312467</v>
      </c>
      <c r="G1663" s="138" t="n"/>
      <c r="H1663" s="138" t="n">
        <v>272</v>
      </c>
      <c r="I1663" s="138">
        <f>+I1662+(G1663-H1663)</f>
        <v/>
      </c>
      <c r="J1663" s="139" t="n">
        <v>40.508</v>
      </c>
      <c r="K1663" s="140" t="n"/>
      <c r="L1663" s="140">
        <f>+H1663*J1663</f>
        <v/>
      </c>
      <c r="M1663" s="141">
        <f>SUM(M1662+K1663-L1663)</f>
        <v/>
      </c>
    </row>
    <row r="1664">
      <c r="A1664" s="20" t="n">
        <v>45763</v>
      </c>
      <c r="B1664" s="21" t="n">
        <v>15419</v>
      </c>
      <c r="C1664" s="22" t="inlineStr">
        <is>
          <t>EVKUR</t>
        </is>
      </c>
      <c r="D1664" s="21" t="inlineStr">
        <is>
          <t>FOKLİFT</t>
        </is>
      </c>
      <c r="E1664" s="21" t="inlineStr">
        <is>
          <t>FAHRİ KALFA</t>
        </is>
      </c>
      <c r="F1664" s="23" t="n"/>
      <c r="G1664" s="138" t="n"/>
      <c r="H1664" s="138" t="n">
        <v>26</v>
      </c>
      <c r="I1664" s="138">
        <f>+I1663+(G1664-H1664)</f>
        <v/>
      </c>
      <c r="J1664" s="139" t="n">
        <v>40.508</v>
      </c>
      <c r="K1664" s="140" t="n"/>
      <c r="L1664" s="140">
        <f>+H1664*J1664</f>
        <v/>
      </c>
      <c r="M1664" s="141">
        <f>SUM(M1663+K1664-L1664)</f>
        <v/>
      </c>
    </row>
    <row r="1665">
      <c r="A1665" s="20" t="n">
        <v>45763</v>
      </c>
      <c r="B1665" s="1" t="n">
        <v>15420</v>
      </c>
      <c r="C1665" s="2" t="inlineStr">
        <is>
          <t>VARLIK</t>
        </is>
      </c>
      <c r="D1665" s="1" t="inlineStr">
        <is>
          <t>SM 300</t>
        </is>
      </c>
      <c r="E1665" s="1" t="inlineStr">
        <is>
          <t>TURGUT SANCAK</t>
        </is>
      </c>
      <c r="F1665" s="3" t="n"/>
      <c r="G1665" s="143" t="n"/>
      <c r="H1665" s="143" t="n">
        <v>126</v>
      </c>
      <c r="I1665" s="143">
        <f>+I1664+(G1665-H1665)</f>
        <v/>
      </c>
      <c r="J1665" s="144" t="n">
        <v>40.508</v>
      </c>
      <c r="K1665" s="145" t="n"/>
      <c r="L1665" s="140">
        <f>+H1665*J1665</f>
        <v/>
      </c>
      <c r="M1665" s="141">
        <f>SUM(M1664+K1665-L1665)</f>
        <v/>
      </c>
    </row>
    <row r="1666">
      <c r="A1666" s="20" t="n">
        <v>45763</v>
      </c>
      <c r="B1666" s="1" t="n">
        <v>15421</v>
      </c>
      <c r="C1666" s="2" t="inlineStr">
        <is>
          <t>VARLIK</t>
        </is>
      </c>
      <c r="D1666" s="1" t="inlineStr">
        <is>
          <t>SM 350</t>
        </is>
      </c>
      <c r="E1666" s="1" t="inlineStr">
        <is>
          <t>BAYRAM SANCAK</t>
        </is>
      </c>
      <c r="F1666" s="3" t="n"/>
      <c r="G1666" s="143" t="n"/>
      <c r="H1666" s="143" t="n">
        <v>355</v>
      </c>
      <c r="I1666" s="143">
        <f>+I1665+(G1666-H1666)</f>
        <v/>
      </c>
      <c r="J1666" s="144" t="n">
        <v>40.508</v>
      </c>
      <c r="K1666" s="145" t="n"/>
      <c r="L1666" s="140">
        <f>+H1666*J1666</f>
        <v/>
      </c>
      <c r="M1666" s="141">
        <f>SUM(M1665+K1666-L1666)</f>
        <v/>
      </c>
    </row>
    <row r="1667">
      <c r="A1667" s="20" t="n">
        <v>45763</v>
      </c>
      <c r="B1667" s="1" t="n">
        <v>15426</v>
      </c>
      <c r="C1667" s="2" t="inlineStr">
        <is>
          <t>HASALTUN</t>
        </is>
      </c>
      <c r="D1667" s="1" t="inlineStr">
        <is>
          <t>SM 350</t>
        </is>
      </c>
      <c r="E1667" s="1" t="inlineStr">
        <is>
          <t>TEVFİK ÖZTÜRK</t>
        </is>
      </c>
      <c r="F1667" s="3" t="n"/>
      <c r="G1667" s="143" t="n"/>
      <c r="H1667" s="143" t="n">
        <v>281</v>
      </c>
      <c r="I1667" s="143">
        <f>+I1666+(G1667-H1667)</f>
        <v/>
      </c>
      <c r="J1667" s="144" t="n">
        <v>40.508</v>
      </c>
      <c r="K1667" s="145" t="n"/>
      <c r="L1667" s="140">
        <f>+H1667*J1667</f>
        <v/>
      </c>
      <c r="M1667" s="141">
        <f>SUM(M1666+K1667-L1667)</f>
        <v/>
      </c>
    </row>
    <row r="1668">
      <c r="A1668" s="20" t="n">
        <v>45763</v>
      </c>
      <c r="B1668" s="1" t="n">
        <v>14664</v>
      </c>
      <c r="C1668" s="2" t="inlineStr">
        <is>
          <t>EVKUR</t>
        </is>
      </c>
      <c r="D1668" s="1" t="inlineStr">
        <is>
          <t>KİRALIK KATO</t>
        </is>
      </c>
      <c r="E1668" s="1" t="inlineStr">
        <is>
          <t>BURAK ŞENDOĞAN TALİMATIYLA</t>
        </is>
      </c>
      <c r="F1668" s="3" t="n"/>
      <c r="G1668" s="143" t="n"/>
      <c r="H1668" s="143" t="n">
        <v>97</v>
      </c>
      <c r="I1668" s="143">
        <f>+I1667+(G1668-H1668)</f>
        <v/>
      </c>
      <c r="J1668" s="144" t="n">
        <v>40.508</v>
      </c>
      <c r="K1668" s="145" t="n"/>
      <c r="L1668" s="140">
        <f>+H1668*J1668</f>
        <v/>
      </c>
      <c r="M1668" s="141">
        <f>SUM(M1667+K1668-L1668)</f>
        <v/>
      </c>
    </row>
    <row r="1669">
      <c r="A1669" s="20" t="n">
        <v>45763</v>
      </c>
      <c r="B1669" s="21" t="n">
        <v>14663</v>
      </c>
      <c r="C1669" s="22" t="inlineStr">
        <is>
          <t>AHMET SELİM TEMHA</t>
        </is>
      </c>
      <c r="D1669" s="21" t="inlineStr">
        <is>
          <t>FOKLİFT</t>
        </is>
      </c>
      <c r="E1669" s="21" t="inlineStr">
        <is>
          <t>ÖMER DUMAN</t>
        </is>
      </c>
      <c r="F1669" s="23" t="n"/>
      <c r="G1669" s="138" t="n"/>
      <c r="H1669" s="138" t="n">
        <v>71</v>
      </c>
      <c r="I1669" s="138">
        <f>+I1668+(G1669-H1669)</f>
        <v/>
      </c>
      <c r="J1669" s="139" t="n">
        <v>40.508</v>
      </c>
      <c r="K1669" s="140" t="n"/>
      <c r="L1669" s="140">
        <f>+H1669*J1669</f>
        <v/>
      </c>
      <c r="M1669" s="141">
        <f>SUM(M1668+K1669-L1669)</f>
        <v/>
      </c>
    </row>
    <row r="1670">
      <c r="A1670" s="20" t="n">
        <v>45763</v>
      </c>
      <c r="B1670" s="21" t="n">
        <v>14662</v>
      </c>
      <c r="C1670" s="22" t="inlineStr">
        <is>
          <t>AHMET SELİM TEMHA</t>
        </is>
      </c>
      <c r="D1670" s="21" t="inlineStr">
        <is>
          <t>34 BP 9369</t>
        </is>
      </c>
      <c r="E1670" s="21" t="inlineStr">
        <is>
          <t>BAHATTİN</t>
        </is>
      </c>
      <c r="F1670" s="23" t="n"/>
      <c r="G1670" s="138" t="n"/>
      <c r="H1670" s="138" t="n">
        <v>74</v>
      </c>
      <c r="I1670" s="138">
        <f>+I1669+(G1670-H1670)</f>
        <v/>
      </c>
      <c r="J1670" s="139" t="n">
        <v>40.508</v>
      </c>
      <c r="K1670" s="140" t="n"/>
      <c r="L1670" s="140">
        <f>+H1670*J1670</f>
        <v/>
      </c>
      <c r="M1670" s="141">
        <f>SUM(M1669+K1670-L1670)</f>
        <v/>
      </c>
    </row>
    <row r="1671">
      <c r="A1671" s="20" t="n">
        <v>45763</v>
      </c>
      <c r="B1671" s="21" t="n">
        <v>14661</v>
      </c>
      <c r="C1671" s="22" t="inlineStr">
        <is>
          <t>RECEP SELİM OTO KURTARICI</t>
        </is>
      </c>
      <c r="D1671" s="21" t="inlineStr">
        <is>
          <t>34 GC 8658</t>
        </is>
      </c>
      <c r="E1671" s="21" t="inlineStr">
        <is>
          <t>RECEP SELİM</t>
        </is>
      </c>
      <c r="F1671" s="23" t="n"/>
      <c r="G1671" s="138" t="n"/>
      <c r="H1671" s="138" t="n">
        <v>60</v>
      </c>
      <c r="I1671" s="138">
        <f>+I1670+(G1671-H1671)</f>
        <v/>
      </c>
      <c r="J1671" s="139" t="n">
        <v>40.508</v>
      </c>
      <c r="K1671" s="140" t="n"/>
      <c r="L1671" s="140">
        <f>+H1671*J1671</f>
        <v/>
      </c>
      <c r="M1671" s="141">
        <f>SUM(M1670+K1671-L1671)</f>
        <v/>
      </c>
    </row>
    <row r="1672">
      <c r="A1672" s="20" t="n">
        <v>45763</v>
      </c>
      <c r="B1672" s="21" t="n">
        <v>14660</v>
      </c>
      <c r="C1672" s="22" t="inlineStr">
        <is>
          <t>AHMET SELİM TEMHA</t>
        </is>
      </c>
      <c r="D1672" s="21" t="inlineStr">
        <is>
          <t>34 DGE 422</t>
        </is>
      </c>
      <c r="E1672" s="21" t="inlineStr">
        <is>
          <t>ÖMER DUMAN</t>
        </is>
      </c>
      <c r="F1672" s="23" t="n"/>
      <c r="G1672" s="138" t="n"/>
      <c r="H1672" s="138" t="n">
        <v>55</v>
      </c>
      <c r="I1672" s="138">
        <f>+I1671+(G1672-H1672)</f>
        <v/>
      </c>
      <c r="J1672" s="139" t="n">
        <v>40.508</v>
      </c>
      <c r="K1672" s="140" t="n"/>
      <c r="L1672" s="140">
        <f>+H1672*J1672</f>
        <v/>
      </c>
      <c r="M1672" s="141">
        <f>SUM(M1671+K1672-L1672)</f>
        <v/>
      </c>
    </row>
    <row r="1673">
      <c r="A1673" s="20" t="n">
        <v>45763</v>
      </c>
      <c r="B1673" s="21" t="n">
        <v>14711</v>
      </c>
      <c r="C1673" s="22" t="inlineStr">
        <is>
          <t>METİN ERYİĞİT</t>
        </is>
      </c>
      <c r="D1673" s="21" t="inlineStr">
        <is>
          <t>34 GBL 998</t>
        </is>
      </c>
      <c r="E1673" s="21" t="inlineStr">
        <is>
          <t>ALİ KESKİN</t>
        </is>
      </c>
      <c r="F1673" s="23" t="n">
        <v>250933</v>
      </c>
      <c r="G1673" s="138" t="n"/>
      <c r="H1673" s="138" t="n">
        <v>370</v>
      </c>
      <c r="I1673" s="138">
        <f>+I1672+(G1673-H1673)</f>
        <v/>
      </c>
      <c r="J1673" s="139" t="n">
        <v>40.508</v>
      </c>
      <c r="K1673" s="140" t="n"/>
      <c r="L1673" s="140">
        <f>+H1673*J1673</f>
        <v/>
      </c>
      <c r="M1673" s="141">
        <f>SUM(M1672+K1673-L1673)</f>
        <v/>
      </c>
    </row>
    <row r="1674">
      <c r="A1674" s="20" t="n">
        <v>45763</v>
      </c>
      <c r="B1674" s="21" t="n">
        <v>11440</v>
      </c>
      <c r="C1674" s="22" t="inlineStr">
        <is>
          <t>METİN ERYİĞİT</t>
        </is>
      </c>
      <c r="D1674" s="21" t="inlineStr">
        <is>
          <t>34 EGR 814</t>
        </is>
      </c>
      <c r="E1674" s="21" t="inlineStr">
        <is>
          <t>GÜRAY KOYUNCU</t>
        </is>
      </c>
      <c r="F1674" s="23" t="n">
        <v>525895</v>
      </c>
      <c r="G1674" s="138" t="n"/>
      <c r="H1674" s="138" t="n">
        <v>437</v>
      </c>
      <c r="I1674" s="138">
        <f>+I1673+(G1674-H1674)</f>
        <v/>
      </c>
      <c r="J1674" s="139" t="n">
        <v>40.508</v>
      </c>
      <c r="K1674" s="140" t="n"/>
      <c r="L1674" s="140">
        <f>+H1674*J1674</f>
        <v/>
      </c>
      <c r="M1674" s="141">
        <f>SUM(M1673+K1674-L1674)</f>
        <v/>
      </c>
    </row>
    <row r="1675">
      <c r="A1675" s="20" t="n">
        <v>45763</v>
      </c>
      <c r="B1675" s="21" t="n">
        <v>11475</v>
      </c>
      <c r="C1675" s="22" t="inlineStr">
        <is>
          <t>METİN ŞİRİN</t>
        </is>
      </c>
      <c r="D1675" s="21" t="inlineStr">
        <is>
          <t>34 EGR 922</t>
        </is>
      </c>
      <c r="E1675" s="21" t="inlineStr">
        <is>
          <t>FARUK ÖZEN</t>
        </is>
      </c>
      <c r="F1675" s="23" t="n">
        <v>444019</v>
      </c>
      <c r="G1675" s="138" t="n"/>
      <c r="H1675" s="138" t="n">
        <v>397</v>
      </c>
      <c r="I1675" s="138">
        <f>+I1674+(G1675-H1675)</f>
        <v/>
      </c>
      <c r="J1675" s="139" t="n">
        <v>40.508</v>
      </c>
      <c r="K1675" s="140" t="n"/>
      <c r="L1675" s="140">
        <f>+H1675*J1675</f>
        <v/>
      </c>
      <c r="M1675" s="141">
        <f>SUM(M1674+K1675-L1675)</f>
        <v/>
      </c>
    </row>
    <row r="1676">
      <c r="A1676" s="20" t="n">
        <v>45763</v>
      </c>
      <c r="B1676" s="21" t="n">
        <v>10038</v>
      </c>
      <c r="C1676" s="22" t="inlineStr">
        <is>
          <t>METİN ERYİĞİT</t>
        </is>
      </c>
      <c r="D1676" s="21" t="inlineStr">
        <is>
          <t>34 EGS 013</t>
        </is>
      </c>
      <c r="E1676" s="21" t="inlineStr">
        <is>
          <t xml:space="preserve">UĞUR DUMAN </t>
        </is>
      </c>
      <c r="F1676" s="23" t="n">
        <v>473982</v>
      </c>
      <c r="G1676" s="138" t="n"/>
      <c r="H1676" s="138" t="n">
        <v>375</v>
      </c>
      <c r="I1676" s="138">
        <f>+I1675+(G1676-H1676)</f>
        <v/>
      </c>
      <c r="J1676" s="139" t="n">
        <v>40.508</v>
      </c>
      <c r="K1676" s="140" t="n"/>
      <c r="L1676" s="140">
        <f>+H1676*J1676</f>
        <v/>
      </c>
      <c r="M1676" s="141">
        <f>SUM(M1675+K1676-L1676)</f>
        <v/>
      </c>
    </row>
    <row r="1677">
      <c r="A1677" s="20" t="n">
        <v>45763</v>
      </c>
      <c r="B1677" s="21" t="n">
        <v>14320</v>
      </c>
      <c r="C1677" s="22" t="inlineStr">
        <is>
          <t>SELİM İNŞAAT</t>
        </is>
      </c>
      <c r="D1677" s="21" t="inlineStr">
        <is>
          <t>34 DKL 866</t>
        </is>
      </c>
      <c r="E1677" s="21" t="inlineStr">
        <is>
          <t>SELİM CAN ÖNVER</t>
        </is>
      </c>
      <c r="F1677" s="23" t="n">
        <v>63438</v>
      </c>
      <c r="G1677" s="138" t="n"/>
      <c r="H1677" s="138" t="n">
        <v>121</v>
      </c>
      <c r="I1677" s="138">
        <f>+I1676+(G1677-H1677)</f>
        <v/>
      </c>
      <c r="J1677" s="139" t="n">
        <v>40.508</v>
      </c>
      <c r="K1677" s="140" t="n"/>
      <c r="L1677" s="140">
        <f>+H1677*J1677</f>
        <v/>
      </c>
      <c r="M1677" s="141">
        <f>SUM(M1676+K1677-L1677)</f>
        <v/>
      </c>
    </row>
    <row r="1678">
      <c r="A1678" s="20" t="n">
        <v>45764</v>
      </c>
      <c r="B1678" s="21" t="n">
        <v>472</v>
      </c>
      <c r="C1678" s="22" t="inlineStr">
        <is>
          <t>ÜNSOY TURİZM İNŞ.SAN.VE TİC.A.Ş.</t>
        </is>
      </c>
      <c r="D1678" s="21" t="n"/>
      <c r="E1678" s="21" t="n"/>
      <c r="F1678" s="23" t="n"/>
      <c r="G1678" s="138" t="n">
        <v>32624</v>
      </c>
      <c r="H1678" s="138" t="n"/>
      <c r="I1678" s="138">
        <f>+I1677+(G1678-H1678)</f>
        <v/>
      </c>
      <c r="J1678" s="139">
        <f>+K1678/G1678</f>
        <v/>
      </c>
      <c r="K1678" s="140" t="n">
        <v>1239711.97</v>
      </c>
      <c r="L1678" s="140">
        <f>+H1678*J1678</f>
        <v/>
      </c>
      <c r="M1678" s="141">
        <f>SUM(M1677+K1678-L1678)</f>
        <v/>
      </c>
    </row>
    <row r="1679">
      <c r="A1679" s="20" t="n">
        <v>45764</v>
      </c>
      <c r="B1679" s="21" t="n">
        <v>10436</v>
      </c>
      <c r="C1679" s="22" t="inlineStr">
        <is>
          <t>SELİM İNŞAAT</t>
        </is>
      </c>
      <c r="D1679" s="21" t="inlineStr">
        <is>
          <t>34 FBR 781</t>
        </is>
      </c>
      <c r="E1679" s="21" t="inlineStr">
        <is>
          <t>MEVLÜT POLAT</t>
        </is>
      </c>
      <c r="F1679" s="23" t="n">
        <v>286827</v>
      </c>
      <c r="G1679" s="138" t="n"/>
      <c r="H1679" s="138" t="n">
        <v>185</v>
      </c>
      <c r="I1679" s="138">
        <f>+I1678+(G1679-H1679)</f>
        <v/>
      </c>
      <c r="J1679" s="139" t="n">
        <v>38</v>
      </c>
      <c r="K1679" s="140" t="n"/>
      <c r="L1679" s="140">
        <f>+H1679*J1679</f>
        <v/>
      </c>
      <c r="M1679" s="141">
        <f>SUM(M1678+K1679-L1679)</f>
        <v/>
      </c>
    </row>
    <row r="1680">
      <c r="A1680" s="20" t="n">
        <v>45764</v>
      </c>
      <c r="B1680" s="21" t="n">
        <v>11138</v>
      </c>
      <c r="C1680" s="22" t="inlineStr">
        <is>
          <t>SELİM İNŞAAT</t>
        </is>
      </c>
      <c r="D1680" s="21" t="inlineStr">
        <is>
          <t>34 DTV 409</t>
        </is>
      </c>
      <c r="E1680" s="21" t="inlineStr">
        <is>
          <t xml:space="preserve">ONUR CANLI </t>
        </is>
      </c>
      <c r="F1680" s="23" t="n">
        <v>404610</v>
      </c>
      <c r="G1680" s="138" t="n"/>
      <c r="H1680" s="138" t="n">
        <v>432</v>
      </c>
      <c r="I1680" s="138">
        <f>+I1679+(G1680-H1680)</f>
        <v/>
      </c>
      <c r="J1680" s="139" t="n">
        <v>38</v>
      </c>
      <c r="K1680" s="140" t="n"/>
      <c r="L1680" s="140">
        <f>+H1680*J1680</f>
        <v/>
      </c>
      <c r="M1680" s="141">
        <f>SUM(M1679+K1680-L1680)</f>
        <v/>
      </c>
    </row>
    <row r="1681">
      <c r="A1681" s="20" t="n">
        <v>45764</v>
      </c>
      <c r="B1681" s="21" t="n">
        <v>11289</v>
      </c>
      <c r="C1681" s="22" t="inlineStr">
        <is>
          <t>SELİM İNŞAAT</t>
        </is>
      </c>
      <c r="D1681" s="21" t="inlineStr">
        <is>
          <t>34 EDC 162</t>
        </is>
      </c>
      <c r="E1681" s="21" t="inlineStr">
        <is>
          <t xml:space="preserve">YAKUP GÜNER </t>
        </is>
      </c>
      <c r="F1681" s="23" t="n">
        <v>353441</v>
      </c>
      <c r="G1681" s="138" t="n"/>
      <c r="H1681" s="138" t="n">
        <v>370</v>
      </c>
      <c r="I1681" s="138">
        <f>+I1680+(G1681-H1681)</f>
        <v/>
      </c>
      <c r="J1681" s="139" t="n">
        <v>38</v>
      </c>
      <c r="K1681" s="140" t="n"/>
      <c r="L1681" s="140">
        <f>+H1681*J1681</f>
        <v/>
      </c>
      <c r="M1681" s="141">
        <f>SUM(M1680+K1681-L1681)</f>
        <v/>
      </c>
    </row>
    <row r="1682">
      <c r="A1682" s="20" t="n">
        <v>45764</v>
      </c>
      <c r="B1682" s="21" t="n">
        <v>10696</v>
      </c>
      <c r="C1682" s="22" t="inlineStr">
        <is>
          <t>SELİM İNŞAAT</t>
        </is>
      </c>
      <c r="D1682" s="21" t="inlineStr">
        <is>
          <t>34 DTV 599</t>
        </is>
      </c>
      <c r="E1682" s="21" t="inlineStr">
        <is>
          <t>FERHAT GÜRLER</t>
        </is>
      </c>
      <c r="F1682" s="23" t="n">
        <v>419333</v>
      </c>
      <c r="G1682" s="138" t="n"/>
      <c r="H1682" s="138" t="n">
        <v>353</v>
      </c>
      <c r="I1682" s="138">
        <f>+I1681+(G1682-H1682)</f>
        <v/>
      </c>
      <c r="J1682" s="139" t="n">
        <v>38</v>
      </c>
      <c r="K1682" s="140" t="n"/>
      <c r="L1682" s="140">
        <f>+H1682*J1682</f>
        <v/>
      </c>
      <c r="M1682" s="141">
        <f>SUM(M1681+K1682-L1682)</f>
        <v/>
      </c>
    </row>
    <row r="1683">
      <c r="A1683" s="20" t="n">
        <v>45764</v>
      </c>
      <c r="B1683" s="21" t="n">
        <v>21196</v>
      </c>
      <c r="C1683" s="22" t="inlineStr">
        <is>
          <t>SELİM İNŞAAT</t>
        </is>
      </c>
      <c r="D1683" s="21" t="inlineStr">
        <is>
          <t>34 DSN 565</t>
        </is>
      </c>
      <c r="E1683" s="21" t="inlineStr">
        <is>
          <t>EBUBEKİR KOLDAŞ</t>
        </is>
      </c>
      <c r="F1683" s="23" t="n">
        <v>391019</v>
      </c>
      <c r="G1683" s="138" t="n"/>
      <c r="H1683" s="138" t="n">
        <v>336</v>
      </c>
      <c r="I1683" s="138">
        <f>+I1682+(G1683-H1683)</f>
        <v/>
      </c>
      <c r="J1683" s="139" t="n">
        <v>38</v>
      </c>
      <c r="K1683" s="140" t="n"/>
      <c r="L1683" s="140">
        <f>+H1683*J1683</f>
        <v/>
      </c>
      <c r="M1683" s="141">
        <f>SUM(M1682+K1683-L1683)</f>
        <v/>
      </c>
    </row>
    <row r="1684">
      <c r="A1684" s="20" t="n">
        <v>45764</v>
      </c>
      <c r="B1684" s="21" t="n">
        <v>14466</v>
      </c>
      <c r="C1684" s="22" t="inlineStr">
        <is>
          <t>SELİM İNŞAAT</t>
        </is>
      </c>
      <c r="D1684" s="21" t="inlineStr">
        <is>
          <t>34 GUS 848</t>
        </is>
      </c>
      <c r="E1684" s="21" t="inlineStr">
        <is>
          <t>SERDAR BOZKURT</t>
        </is>
      </c>
      <c r="F1684" s="23" t="n">
        <v>177008</v>
      </c>
      <c r="G1684" s="138" t="n"/>
      <c r="H1684" s="138" t="n">
        <v>392</v>
      </c>
      <c r="I1684" s="138">
        <f>+I1683+(G1684-H1684)</f>
        <v/>
      </c>
      <c r="J1684" s="139" t="n">
        <v>38</v>
      </c>
      <c r="K1684" s="140" t="n"/>
      <c r="L1684" s="140">
        <f>+H1684*J1684</f>
        <v/>
      </c>
      <c r="M1684" s="141">
        <f>SUM(M1683+K1684-L1684)</f>
        <v/>
      </c>
    </row>
    <row r="1685">
      <c r="A1685" s="20" t="n">
        <v>45764</v>
      </c>
      <c r="B1685" s="21" t="n">
        <v>11822</v>
      </c>
      <c r="C1685" s="22" t="inlineStr">
        <is>
          <t>SELİM İNŞAAT</t>
        </is>
      </c>
      <c r="D1685" s="21" t="inlineStr">
        <is>
          <t>34 FSG 229</t>
        </is>
      </c>
      <c r="E1685" s="21" t="inlineStr">
        <is>
          <t>SİNAN TANRIVERDİ</t>
        </is>
      </c>
      <c r="F1685" s="23" t="n">
        <v>243580</v>
      </c>
      <c r="G1685" s="138" t="n"/>
      <c r="H1685" s="138" t="n">
        <v>384</v>
      </c>
      <c r="I1685" s="138">
        <f>+I1684+(G1685-H1685)</f>
        <v/>
      </c>
      <c r="J1685" s="139" t="n">
        <v>38</v>
      </c>
      <c r="K1685" s="140" t="n"/>
      <c r="L1685" s="140">
        <f>+H1685*J1685</f>
        <v/>
      </c>
      <c r="M1685" s="141">
        <f>SUM(M1684+K1685-L1685)</f>
        <v/>
      </c>
    </row>
    <row r="1686">
      <c r="A1686" s="20" t="n">
        <v>45764</v>
      </c>
      <c r="B1686" s="21" t="n">
        <v>10528</v>
      </c>
      <c r="C1686" s="22" t="inlineStr">
        <is>
          <t>SELİM İNŞAAT</t>
        </is>
      </c>
      <c r="D1686" s="21" t="inlineStr">
        <is>
          <t>34 EDB 922</t>
        </is>
      </c>
      <c r="E1686" s="21" t="inlineStr">
        <is>
          <t>AHMET TOPÇU</t>
        </is>
      </c>
      <c r="F1686" s="23" t="n">
        <v>345106</v>
      </c>
      <c r="G1686" s="138" t="n"/>
      <c r="H1686" s="138" t="n">
        <v>303</v>
      </c>
      <c r="I1686" s="138">
        <f>+I1685+(G1686-H1686)</f>
        <v/>
      </c>
      <c r="J1686" s="139" t="n">
        <v>38</v>
      </c>
      <c r="K1686" s="140" t="n"/>
      <c r="L1686" s="140">
        <f>+H1686*J1686</f>
        <v/>
      </c>
      <c r="M1686" s="141">
        <f>SUM(M1685+K1686-L1686)</f>
        <v/>
      </c>
    </row>
    <row r="1687">
      <c r="A1687" s="20" t="n">
        <v>45764</v>
      </c>
      <c r="B1687" s="21" t="n">
        <v>10332</v>
      </c>
      <c r="C1687" s="22" t="inlineStr">
        <is>
          <t>SELİM İNŞAAT</t>
        </is>
      </c>
      <c r="D1687" s="21" t="inlineStr">
        <is>
          <t>34 EDB 829</t>
        </is>
      </c>
      <c r="E1687" s="21" t="inlineStr">
        <is>
          <t>İSMET BAYRAM</t>
        </is>
      </c>
      <c r="F1687" s="23" t="n">
        <v>304896</v>
      </c>
      <c r="G1687" s="138" t="n"/>
      <c r="H1687" s="138" t="n">
        <v>200</v>
      </c>
      <c r="I1687" s="138">
        <f>+I1686+(G1687-H1687)</f>
        <v/>
      </c>
      <c r="J1687" s="139" t="n">
        <v>38</v>
      </c>
      <c r="K1687" s="140" t="n"/>
      <c r="L1687" s="140">
        <f>+H1687*J1687</f>
        <v/>
      </c>
      <c r="M1687" s="141">
        <f>SUM(M1686+K1687-L1687)</f>
        <v/>
      </c>
    </row>
    <row r="1688">
      <c r="A1688" s="20" t="n">
        <v>45764</v>
      </c>
      <c r="B1688" s="21" t="n">
        <v>10779</v>
      </c>
      <c r="C1688" s="22" t="inlineStr">
        <is>
          <t>SELİM İNŞAAT</t>
        </is>
      </c>
      <c r="D1688" s="21" t="inlineStr">
        <is>
          <t>34 FBR 705</t>
        </is>
      </c>
      <c r="E1688" s="21" t="inlineStr">
        <is>
          <t>MESUT GÜRLER</t>
        </is>
      </c>
      <c r="F1688" s="23" t="n">
        <v>300065</v>
      </c>
      <c r="G1688" s="138" t="n"/>
      <c r="H1688" s="138" t="n">
        <v>365</v>
      </c>
      <c r="I1688" s="138">
        <f>+I1687+(G1688-H1688)</f>
        <v/>
      </c>
      <c r="J1688" s="139" t="n">
        <v>38</v>
      </c>
      <c r="K1688" s="140" t="n"/>
      <c r="L1688" s="140">
        <f>+H1688*J1688</f>
        <v/>
      </c>
      <c r="M1688" s="141">
        <f>SUM(M1687+K1688-L1688)</f>
        <v/>
      </c>
    </row>
    <row r="1689">
      <c r="A1689" s="20" t="n">
        <v>45764</v>
      </c>
      <c r="B1689" s="1" t="n">
        <v>15422</v>
      </c>
      <c r="C1689" s="2" t="inlineStr">
        <is>
          <t>HASALTUN</t>
        </is>
      </c>
      <c r="D1689" s="1" t="inlineStr">
        <is>
          <t>KAVAZAKİ</t>
        </is>
      </c>
      <c r="E1689" s="1" t="inlineStr">
        <is>
          <t>UFUK SEVAL</t>
        </is>
      </c>
      <c r="F1689" s="3" t="n"/>
      <c r="G1689" s="143" t="n"/>
      <c r="H1689" s="143" t="n">
        <v>209</v>
      </c>
      <c r="I1689" s="143">
        <f>+I1688+(G1689-H1689)</f>
        <v/>
      </c>
      <c r="J1689" s="144" t="n">
        <v>38</v>
      </c>
      <c r="K1689" s="145" t="n"/>
      <c r="L1689" s="140">
        <f>+H1689*J1689</f>
        <v/>
      </c>
      <c r="M1689" s="141">
        <f>SUM(M1688+K1689-L1689)</f>
        <v/>
      </c>
    </row>
    <row r="1690">
      <c r="A1690" s="20" t="n">
        <v>45764</v>
      </c>
      <c r="B1690" s="21" t="n">
        <v>15423</v>
      </c>
      <c r="C1690" s="22" t="inlineStr">
        <is>
          <t>EVKUR</t>
        </is>
      </c>
      <c r="D1690" s="21" t="inlineStr">
        <is>
          <t>FOKLİFT</t>
        </is>
      </c>
      <c r="E1690" s="21" t="inlineStr">
        <is>
          <t>FAHRİ KALFA</t>
        </is>
      </c>
      <c r="F1690" s="23" t="n"/>
      <c r="G1690" s="138" t="n"/>
      <c r="H1690" s="138" t="n">
        <v>36</v>
      </c>
      <c r="I1690" s="138">
        <f>+I1689+(G1690-H1690)</f>
        <v/>
      </c>
      <c r="J1690" s="139" t="n">
        <v>38</v>
      </c>
      <c r="K1690" s="140" t="n"/>
      <c r="L1690" s="140">
        <f>+H1690*J1690</f>
        <v/>
      </c>
      <c r="M1690" s="141">
        <f>SUM(M1689+K1690-L1690)</f>
        <v/>
      </c>
    </row>
    <row r="1691">
      <c r="A1691" s="20" t="n">
        <v>45764</v>
      </c>
      <c r="B1691" s="1" t="n">
        <v>15424</v>
      </c>
      <c r="C1691" s="2" t="inlineStr">
        <is>
          <t>VARLIK</t>
        </is>
      </c>
      <c r="D1691" s="1" t="inlineStr">
        <is>
          <t>SM 300</t>
        </is>
      </c>
      <c r="E1691" s="1" t="inlineStr">
        <is>
          <t>TURGUT SANCAK</t>
        </is>
      </c>
      <c r="F1691" s="3" t="n"/>
      <c r="G1691" s="143" t="n"/>
      <c r="H1691" s="143" t="n">
        <v>355</v>
      </c>
      <c r="I1691" s="143">
        <f>+I1690+(G1691-H1691)</f>
        <v/>
      </c>
      <c r="J1691" s="144" t="n">
        <v>38</v>
      </c>
      <c r="K1691" s="145" t="n"/>
      <c r="L1691" s="140">
        <f>+H1691*J1691</f>
        <v/>
      </c>
      <c r="M1691" s="141">
        <f>SUM(M1690+K1691-L1691)</f>
        <v/>
      </c>
    </row>
    <row r="1692">
      <c r="A1692" s="20" t="n">
        <v>45764</v>
      </c>
      <c r="B1692" s="1" t="n">
        <v>15425</v>
      </c>
      <c r="C1692" s="2" t="inlineStr">
        <is>
          <t>VARLIK</t>
        </is>
      </c>
      <c r="D1692" s="1" t="inlineStr">
        <is>
          <t>SM 350</t>
        </is>
      </c>
      <c r="E1692" s="1" t="inlineStr">
        <is>
          <t>BAYRAM SANCAK</t>
        </is>
      </c>
      <c r="F1692" s="3" t="n"/>
      <c r="G1692" s="143" t="n"/>
      <c r="H1692" s="143" t="n">
        <v>315</v>
      </c>
      <c r="I1692" s="143">
        <f>+I1691+(G1692-H1692)</f>
        <v/>
      </c>
      <c r="J1692" s="144" t="n">
        <v>38</v>
      </c>
      <c r="K1692" s="145" t="n"/>
      <c r="L1692" s="140">
        <f>+H1692*J1692</f>
        <v/>
      </c>
      <c r="M1692" s="141">
        <f>SUM(M1691+K1692-L1692)</f>
        <v/>
      </c>
    </row>
    <row r="1693">
      <c r="A1693" s="20" t="n">
        <v>45764</v>
      </c>
      <c r="B1693" s="1" t="n">
        <v>15427</v>
      </c>
      <c r="C1693" s="2" t="inlineStr">
        <is>
          <t>HASALTUN</t>
        </is>
      </c>
      <c r="D1693" s="1" t="inlineStr">
        <is>
          <t>SM 370</t>
        </is>
      </c>
      <c r="E1693" s="1" t="inlineStr">
        <is>
          <t>TEKİN ŞEYLAN</t>
        </is>
      </c>
      <c r="F1693" s="3" t="n"/>
      <c r="G1693" s="143" t="n"/>
      <c r="H1693" s="143" t="n">
        <v>537</v>
      </c>
      <c r="I1693" s="143">
        <f>+I1692+(G1693-H1693)</f>
        <v/>
      </c>
      <c r="J1693" s="144" t="n">
        <v>38</v>
      </c>
      <c r="K1693" s="145" t="n"/>
      <c r="L1693" s="140">
        <f>+H1693*J1693</f>
        <v/>
      </c>
      <c r="M1693" s="141">
        <f>SUM(M1692+K1693-L1693)</f>
        <v/>
      </c>
    </row>
    <row r="1694">
      <c r="A1694" s="20" t="n">
        <v>45764</v>
      </c>
      <c r="B1694" s="21" t="n">
        <v>14665</v>
      </c>
      <c r="C1694" s="22" t="inlineStr">
        <is>
          <t>MAHMUT VİNÇ</t>
        </is>
      </c>
      <c r="D1694" s="21" t="inlineStr">
        <is>
          <t>34 AH 5401</t>
        </is>
      </c>
      <c r="E1694" s="21" t="inlineStr">
        <is>
          <t>YASİN DEMİR</t>
        </is>
      </c>
      <c r="F1694" s="23" t="n"/>
      <c r="G1694" s="138" t="n"/>
      <c r="H1694" s="138" t="n">
        <v>128</v>
      </c>
      <c r="I1694" s="138">
        <f>+I1693+(G1694-H1694)</f>
        <v/>
      </c>
      <c r="J1694" s="139" t="n">
        <v>38</v>
      </c>
      <c r="K1694" s="140" t="n"/>
      <c r="L1694" s="140">
        <f>+H1694*J1694</f>
        <v/>
      </c>
      <c r="M1694" s="141">
        <f>SUM(M1693+K1694-L1694)</f>
        <v/>
      </c>
    </row>
    <row r="1695">
      <c r="A1695" s="20" t="n">
        <v>45764</v>
      </c>
      <c r="B1695" s="21" t="n">
        <v>11367</v>
      </c>
      <c r="C1695" s="22" t="inlineStr">
        <is>
          <t>AZGÜN YAPI</t>
        </is>
      </c>
      <c r="D1695" s="21" t="inlineStr">
        <is>
          <t>34 MKT 593</t>
        </is>
      </c>
      <c r="E1695" s="21" t="inlineStr">
        <is>
          <t>İLHAN YÜRÜK</t>
        </is>
      </c>
      <c r="F1695" s="23" t="n">
        <v>20960</v>
      </c>
      <c r="G1695" s="138" t="n"/>
      <c r="H1695" s="138" t="n">
        <v>840</v>
      </c>
      <c r="I1695" s="138">
        <f>+I1694+(G1695-H1695)</f>
        <v/>
      </c>
      <c r="J1695" s="139" t="n">
        <v>38</v>
      </c>
      <c r="K1695" s="140" t="n"/>
      <c r="L1695" s="140">
        <f>+H1695*J1695</f>
        <v/>
      </c>
      <c r="M1695" s="141">
        <f>SUM(M1694+K1695-L1695)</f>
        <v/>
      </c>
    </row>
    <row r="1696">
      <c r="A1696" s="20" t="n">
        <v>45764</v>
      </c>
      <c r="B1696" s="21" t="n">
        <v>10039</v>
      </c>
      <c r="C1696" s="22" t="inlineStr">
        <is>
          <t>METİN ERYİĞİT</t>
        </is>
      </c>
      <c r="D1696" s="21" t="inlineStr">
        <is>
          <t>34 EGS 013</t>
        </is>
      </c>
      <c r="E1696" s="21" t="inlineStr">
        <is>
          <t xml:space="preserve">UĞUR DUMAN </t>
        </is>
      </c>
      <c r="F1696" s="23" t="n">
        <v>474789</v>
      </c>
      <c r="G1696" s="138" t="n"/>
      <c r="H1696" s="138" t="n">
        <v>150</v>
      </c>
      <c r="I1696" s="138">
        <f>+I1695+(G1696-H1696)</f>
        <v/>
      </c>
      <c r="J1696" s="139" t="n">
        <v>38</v>
      </c>
      <c r="K1696" s="140" t="n"/>
      <c r="L1696" s="140">
        <f>+H1696*J1696</f>
        <v/>
      </c>
      <c r="M1696" s="141">
        <f>SUM(M1695+K1696-L1696)</f>
        <v/>
      </c>
    </row>
    <row r="1697">
      <c r="A1697" s="20" t="n">
        <v>45764</v>
      </c>
      <c r="B1697" s="21" t="n">
        <v>15902</v>
      </c>
      <c r="C1697" s="22" t="inlineStr">
        <is>
          <t>SELİM İNŞAAT</t>
        </is>
      </c>
      <c r="D1697" s="21" t="inlineStr">
        <is>
          <t>34 DFE 454</t>
        </is>
      </c>
      <c r="E1697" s="21" t="inlineStr">
        <is>
          <t>GÖRKEM KARATAY</t>
        </is>
      </c>
      <c r="F1697" s="23" t="n">
        <v>156903</v>
      </c>
      <c r="G1697" s="138" t="n"/>
      <c r="H1697" s="138" t="n">
        <v>175</v>
      </c>
      <c r="I1697" s="138">
        <f>+I1696+(G1697-H1697)</f>
        <v/>
      </c>
      <c r="J1697" s="139" t="n">
        <v>38</v>
      </c>
      <c r="K1697" s="140" t="n"/>
      <c r="L1697" s="140">
        <f>+H1697*J1697</f>
        <v/>
      </c>
      <c r="M1697" s="141">
        <f>SUM(M1696+K1697-L1697)</f>
        <v/>
      </c>
    </row>
    <row r="1698">
      <c r="A1698" s="20" t="n">
        <v>45764</v>
      </c>
      <c r="B1698" s="21" t="n">
        <v>14361</v>
      </c>
      <c r="C1698" s="22" t="inlineStr">
        <is>
          <t>SELİM İNŞAAT</t>
        </is>
      </c>
      <c r="D1698" s="21" t="inlineStr">
        <is>
          <t>34 DKL 798</t>
        </is>
      </c>
      <c r="E1698" s="21" t="inlineStr">
        <is>
          <t>VOLKAN YANAR</t>
        </is>
      </c>
      <c r="F1698" s="23" t="n">
        <v>63545</v>
      </c>
      <c r="G1698" s="138" t="n"/>
      <c r="H1698" s="138" t="n">
        <v>203</v>
      </c>
      <c r="I1698" s="138">
        <f>+I1697+(G1698-H1698)</f>
        <v/>
      </c>
      <c r="J1698" s="139" t="n">
        <v>38</v>
      </c>
      <c r="K1698" s="140" t="n"/>
      <c r="L1698" s="140">
        <f>+H1698*J1698</f>
        <v/>
      </c>
      <c r="M1698" s="141">
        <f>SUM(M1697+K1698-L1698)</f>
        <v/>
      </c>
    </row>
    <row r="1699">
      <c r="A1699" s="20" t="n">
        <v>45764</v>
      </c>
      <c r="B1699" s="21" t="n">
        <v>11079</v>
      </c>
      <c r="C1699" s="22" t="inlineStr">
        <is>
          <t>SELİM İNŞAAT</t>
        </is>
      </c>
      <c r="D1699" s="21" t="inlineStr">
        <is>
          <t>34 HBY 763</t>
        </is>
      </c>
      <c r="E1699" s="21" t="inlineStr">
        <is>
          <t>EMİRCAN ÖZTÜRK</t>
        </is>
      </c>
      <c r="F1699" s="23" t="n">
        <v>15261</v>
      </c>
      <c r="G1699" s="138" t="n"/>
      <c r="H1699" s="138" t="n">
        <v>221</v>
      </c>
      <c r="I1699" s="138">
        <f>+I1698+(G1699-H1699)</f>
        <v/>
      </c>
      <c r="J1699" s="139" t="n">
        <v>38</v>
      </c>
      <c r="K1699" s="140" t="n"/>
      <c r="L1699" s="140">
        <f>+H1699*J1699</f>
        <v/>
      </c>
      <c r="M1699" s="141">
        <f>SUM(M1698+K1699-L1699)</f>
        <v/>
      </c>
    </row>
    <row r="1700">
      <c r="A1700" s="20" t="n">
        <v>45764</v>
      </c>
      <c r="B1700" s="21" t="n">
        <v>14515</v>
      </c>
      <c r="C1700" s="22" t="inlineStr">
        <is>
          <t>SELİM İNŞAAT</t>
        </is>
      </c>
      <c r="D1700" s="21" t="inlineStr">
        <is>
          <t>34 GER 028</t>
        </is>
      </c>
      <c r="E1700" s="21" t="inlineStr">
        <is>
          <t>A.KERİM ERGEN</t>
        </is>
      </c>
      <c r="F1700" s="23" t="n">
        <v>42093</v>
      </c>
      <c r="G1700" s="138" t="n"/>
      <c r="H1700" s="138" t="n">
        <v>198</v>
      </c>
      <c r="I1700" s="138">
        <f>+I1699+(G1700-H1700)</f>
        <v/>
      </c>
      <c r="J1700" s="139" t="n">
        <v>38</v>
      </c>
      <c r="K1700" s="140" t="n"/>
      <c r="L1700" s="140">
        <f>+H1700*J1700</f>
        <v/>
      </c>
      <c r="M1700" s="141">
        <f>SUM(M1699+K1700-L1700)</f>
        <v/>
      </c>
    </row>
    <row r="1701">
      <c r="A1701" s="20" t="n">
        <v>45764</v>
      </c>
      <c r="B1701" s="21" t="n">
        <v>14617</v>
      </c>
      <c r="C1701" s="22" t="inlineStr">
        <is>
          <t>SELİM İNŞAAT</t>
        </is>
      </c>
      <c r="D1701" s="21" t="inlineStr">
        <is>
          <t>34 GER 445</t>
        </is>
      </c>
      <c r="E1701" s="21" t="inlineStr">
        <is>
          <t>HASAN BAYCAN</t>
        </is>
      </c>
      <c r="F1701" s="23" t="n">
        <v>40415</v>
      </c>
      <c r="G1701" s="138" t="n"/>
      <c r="H1701" s="138" t="n">
        <v>221</v>
      </c>
      <c r="I1701" s="138">
        <f>+I1700+(G1701-H1701)</f>
        <v/>
      </c>
      <c r="J1701" s="139" t="n">
        <v>38</v>
      </c>
      <c r="K1701" s="140" t="n"/>
      <c r="L1701" s="140">
        <f>+H1701*J1701</f>
        <v/>
      </c>
      <c r="M1701" s="141">
        <f>SUM(M1700+K1701-L1701)</f>
        <v/>
      </c>
    </row>
    <row r="1702">
      <c r="A1702" s="20" t="n">
        <v>45764</v>
      </c>
      <c r="B1702" s="21" t="n">
        <v>10138</v>
      </c>
      <c r="C1702" s="22" t="inlineStr">
        <is>
          <t>SELİM İNŞAAT</t>
        </is>
      </c>
      <c r="D1702" s="21" t="inlineStr">
        <is>
          <t>34 DP 4161</t>
        </is>
      </c>
      <c r="E1702" s="21" t="inlineStr">
        <is>
          <t>RIFAT KARATAY</t>
        </is>
      </c>
      <c r="F1702" s="23" t="n">
        <v>281759</v>
      </c>
      <c r="G1702" s="138" t="n"/>
      <c r="H1702" s="138" t="n">
        <v>197</v>
      </c>
      <c r="I1702" s="138">
        <f>+I1701+(G1702-H1702)</f>
        <v/>
      </c>
      <c r="J1702" s="139" t="n">
        <v>38</v>
      </c>
      <c r="K1702" s="140" t="n"/>
      <c r="L1702" s="140">
        <f>+H1702*J1702</f>
        <v/>
      </c>
      <c r="M1702" s="141">
        <f>SUM(M1701+K1702-L1702)</f>
        <v/>
      </c>
    </row>
    <row r="1703">
      <c r="A1703" s="20" t="n">
        <v>45765</v>
      </c>
      <c r="B1703" s="21" t="n">
        <v>443</v>
      </c>
      <c r="C1703" s="22" t="inlineStr">
        <is>
          <t>ÜNSOY TURİZM İNŞ.SAN.VE TİC.A.Ş.</t>
        </is>
      </c>
      <c r="D1703" s="21" t="n"/>
      <c r="E1703" s="21" t="n"/>
      <c r="F1703" s="23" t="n"/>
      <c r="G1703" s="138" t="n">
        <v>32597</v>
      </c>
      <c r="H1703" s="138" t="n"/>
      <c r="I1703" s="138">
        <f>+I1702+(G1703-H1703)</f>
        <v/>
      </c>
      <c r="J1703" s="139">
        <f>+K1703/G1703</f>
        <v/>
      </c>
      <c r="K1703" s="140" t="n">
        <v>1238686</v>
      </c>
      <c r="L1703" s="140">
        <f>+H1703*J1703</f>
        <v/>
      </c>
      <c r="M1703" s="141">
        <f>SUM(M1702+K1703-L1703)</f>
        <v/>
      </c>
    </row>
    <row r="1704">
      <c r="A1704" s="20" t="n">
        <v>45765</v>
      </c>
      <c r="B1704" s="21" t="n">
        <v>14413</v>
      </c>
      <c r="C1704" s="22" t="inlineStr">
        <is>
          <t>SELİM İNŞAAT</t>
        </is>
      </c>
      <c r="D1704" s="21" t="inlineStr">
        <is>
          <t>34 EGR 737</t>
        </is>
      </c>
      <c r="E1704" s="21" t="inlineStr">
        <is>
          <t>EBUBEKİR KOLDAŞ</t>
        </is>
      </c>
      <c r="F1704" s="23" t="n">
        <v>403082</v>
      </c>
      <c r="G1704" s="138" t="n"/>
      <c r="H1704" s="138" t="n">
        <v>322</v>
      </c>
      <c r="I1704" s="138">
        <f>+I1703+(G1704-H1704)</f>
        <v/>
      </c>
      <c r="J1704" s="139" t="n">
        <v>38</v>
      </c>
      <c r="K1704" s="140" t="n"/>
      <c r="L1704" s="140">
        <f>+H1704*J1704</f>
        <v/>
      </c>
      <c r="M1704" s="141">
        <f>SUM(M1703+K1704-L1704)</f>
        <v/>
      </c>
    </row>
    <row r="1705">
      <c r="A1705" s="20" t="n">
        <v>45765</v>
      </c>
      <c r="B1705" s="21" t="n">
        <v>11290</v>
      </c>
      <c r="C1705" s="22" t="inlineStr">
        <is>
          <t>SELİM İNŞAAT</t>
        </is>
      </c>
      <c r="D1705" s="21" t="inlineStr">
        <is>
          <t>34 EDC 162</t>
        </is>
      </c>
      <c r="E1705" s="21" t="inlineStr">
        <is>
          <t xml:space="preserve">YAKUP GÜNER </t>
        </is>
      </c>
      <c r="F1705" s="23" t="n">
        <v>354186</v>
      </c>
      <c r="G1705" s="138" t="n"/>
      <c r="H1705" s="138" t="n">
        <v>367</v>
      </c>
      <c r="I1705" s="138">
        <f>+I1704+(G1705-H1705)</f>
        <v/>
      </c>
      <c r="J1705" s="139" t="n">
        <v>38</v>
      </c>
      <c r="K1705" s="140" t="n"/>
      <c r="L1705" s="140">
        <f>+H1705*J1705</f>
        <v/>
      </c>
      <c r="M1705" s="141">
        <f>SUM(M1704+K1705-L1705)</f>
        <v/>
      </c>
    </row>
    <row r="1706">
      <c r="A1706" s="20" t="n">
        <v>45765</v>
      </c>
      <c r="B1706" s="21" t="n">
        <v>10221</v>
      </c>
      <c r="C1706" s="22" t="inlineStr">
        <is>
          <t>SELİM İNŞAAT</t>
        </is>
      </c>
      <c r="D1706" s="21" t="inlineStr">
        <is>
          <t>34 DSN 621</t>
        </is>
      </c>
      <c r="E1706" s="21" t="inlineStr">
        <is>
          <t>MUSTAFA KAYA</t>
        </is>
      </c>
      <c r="F1706" s="23" t="n">
        <v>399829</v>
      </c>
      <c r="G1706" s="138" t="n"/>
      <c r="H1706" s="138" t="n">
        <v>341</v>
      </c>
      <c r="I1706" s="138">
        <f>+I1705+(G1706-H1706)</f>
        <v/>
      </c>
      <c r="J1706" s="139" t="n">
        <v>38</v>
      </c>
      <c r="K1706" s="140" t="n"/>
      <c r="L1706" s="140">
        <f>+H1706*J1706</f>
        <v/>
      </c>
      <c r="M1706" s="141">
        <f>SUM(M1705+K1706-L1706)</f>
        <v/>
      </c>
    </row>
    <row r="1707">
      <c r="A1707" s="20" t="n">
        <v>45765</v>
      </c>
      <c r="B1707" s="21" t="n">
        <v>15003</v>
      </c>
      <c r="C1707" s="22" t="inlineStr">
        <is>
          <t>SELİM İNŞAAT</t>
        </is>
      </c>
      <c r="D1707" s="21" t="inlineStr">
        <is>
          <t>34 GVZ 199</t>
        </is>
      </c>
      <c r="E1707" s="21" t="inlineStr">
        <is>
          <t>VAHDET GÜRLER</t>
        </is>
      </c>
      <c r="F1707" s="23" t="n">
        <v>167086</v>
      </c>
      <c r="G1707" s="138" t="n"/>
      <c r="H1707" s="138" t="n">
        <v>379</v>
      </c>
      <c r="I1707" s="138">
        <f>+I1706+(G1707-H1707)</f>
        <v/>
      </c>
      <c r="J1707" s="139" t="n">
        <v>38</v>
      </c>
      <c r="K1707" s="140" t="n"/>
      <c r="L1707" s="140">
        <f>+H1707*J1707</f>
        <v/>
      </c>
      <c r="M1707" s="141">
        <f>SUM(M1706+K1707-L1707)</f>
        <v/>
      </c>
    </row>
    <row r="1708">
      <c r="A1708" s="20" t="n">
        <v>45765</v>
      </c>
      <c r="B1708" s="21" t="n">
        <v>10373</v>
      </c>
      <c r="C1708" s="22" t="inlineStr">
        <is>
          <t>SELİM İNŞAAT</t>
        </is>
      </c>
      <c r="D1708" s="21" t="inlineStr">
        <is>
          <t>34 DRU 690</t>
        </is>
      </c>
      <c r="E1708" s="21" t="inlineStr">
        <is>
          <t>MURAT DEMİRBAŞ</t>
        </is>
      </c>
      <c r="F1708" s="23" t="n">
        <v>401417</v>
      </c>
      <c r="G1708" s="138" t="n"/>
      <c r="H1708" s="138" t="n">
        <v>424</v>
      </c>
      <c r="I1708" s="138">
        <f>+I1707+(G1708-H1708)</f>
        <v/>
      </c>
      <c r="J1708" s="139" t="n">
        <v>38</v>
      </c>
      <c r="K1708" s="140" t="n"/>
      <c r="L1708" s="140">
        <f>+H1708*J1708</f>
        <v/>
      </c>
      <c r="M1708" s="141">
        <f>SUM(M1707+K1708-L1708)</f>
        <v/>
      </c>
    </row>
    <row r="1709">
      <c r="A1709" s="20" t="n">
        <v>45765</v>
      </c>
      <c r="B1709" s="21" t="n">
        <v>15552</v>
      </c>
      <c r="C1709" s="22" t="inlineStr">
        <is>
          <t>SELİM İNŞAAT</t>
        </is>
      </c>
      <c r="D1709" s="21" t="inlineStr">
        <is>
          <t>34 GVZ 745</t>
        </is>
      </c>
      <c r="E1709" s="21" t="inlineStr">
        <is>
          <t>MUHAMMED YİĞİT</t>
        </is>
      </c>
      <c r="F1709" s="23" t="n">
        <v>173654</v>
      </c>
      <c r="G1709" s="138" t="n"/>
      <c r="H1709" s="138" t="n">
        <v>236</v>
      </c>
      <c r="I1709" s="138">
        <f>+I1708+(G1709-H1709)</f>
        <v/>
      </c>
      <c r="J1709" s="139" t="n">
        <v>38</v>
      </c>
      <c r="K1709" s="140" t="n"/>
      <c r="L1709" s="140">
        <f>+H1709*J1709</f>
        <v/>
      </c>
      <c r="M1709" s="141">
        <f>SUM(M1708+K1709-L1709)</f>
        <v/>
      </c>
    </row>
    <row r="1710">
      <c r="A1710" s="20" t="n">
        <v>45765</v>
      </c>
      <c r="B1710" s="21" t="n">
        <v>14216</v>
      </c>
      <c r="C1710" s="22" t="inlineStr">
        <is>
          <t>SELİM İNŞAAT</t>
        </is>
      </c>
      <c r="D1710" s="21" t="inlineStr">
        <is>
          <t xml:space="preserve">34 GUS 938 </t>
        </is>
      </c>
      <c r="E1710" s="21" t="inlineStr">
        <is>
          <t>MEHMET KAYA</t>
        </is>
      </c>
      <c r="F1710" s="23" t="n">
        <v>172411</v>
      </c>
      <c r="G1710" s="138" t="n"/>
      <c r="H1710" s="138" t="n">
        <v>430</v>
      </c>
      <c r="I1710" s="138">
        <f>+I1709+(G1710-H1710)</f>
        <v/>
      </c>
      <c r="J1710" s="139" t="n">
        <v>38</v>
      </c>
      <c r="K1710" s="140" t="n"/>
      <c r="L1710" s="140">
        <f>+H1710*J1710</f>
        <v/>
      </c>
      <c r="M1710" s="141">
        <f>SUM(M1709+K1710-L1710)</f>
        <v/>
      </c>
    </row>
    <row r="1711">
      <c r="A1711" s="20" t="n">
        <v>45765</v>
      </c>
      <c r="B1711" s="21" t="n">
        <v>11926</v>
      </c>
      <c r="C1711" s="22" t="inlineStr">
        <is>
          <t>SELİM İNŞAAT</t>
        </is>
      </c>
      <c r="D1711" s="21" t="inlineStr">
        <is>
          <t>34 FBR 742</t>
        </is>
      </c>
      <c r="E1711" s="21" t="inlineStr">
        <is>
          <t>MİKAİL BAYILMAZ</t>
        </is>
      </c>
      <c r="F1711" s="23" t="n">
        <v>303879</v>
      </c>
      <c r="G1711" s="138" t="n"/>
      <c r="H1711" s="138" t="n">
        <v>429</v>
      </c>
      <c r="I1711" s="138">
        <f>+I1710+(G1711-H1711)</f>
        <v/>
      </c>
      <c r="J1711" s="139" t="n">
        <v>38</v>
      </c>
      <c r="K1711" s="140" t="n"/>
      <c r="L1711" s="140">
        <f>+H1711*J1711</f>
        <v/>
      </c>
      <c r="M1711" s="141">
        <f>SUM(M1710+K1711-L1711)</f>
        <v/>
      </c>
    </row>
    <row r="1712">
      <c r="A1712" s="20" t="n">
        <v>45765</v>
      </c>
      <c r="B1712" s="21" t="n">
        <v>14804</v>
      </c>
      <c r="C1712" s="22" t="inlineStr">
        <is>
          <t>SELİM İNŞAAT</t>
        </is>
      </c>
      <c r="D1712" s="21" t="inlineStr">
        <is>
          <t>34 GVZ 268</t>
        </is>
      </c>
      <c r="E1712" s="21" t="inlineStr">
        <is>
          <t>KERİM KARAMAN</t>
        </is>
      </c>
      <c r="F1712" s="23" t="n">
        <v>178210</v>
      </c>
      <c r="G1712" s="138" t="n"/>
      <c r="H1712" s="138" t="n">
        <v>354</v>
      </c>
      <c r="I1712" s="138">
        <f>+I1711+(G1712-H1712)</f>
        <v/>
      </c>
      <c r="J1712" s="139" t="n">
        <v>38</v>
      </c>
      <c r="K1712" s="140" t="n"/>
      <c r="L1712" s="140">
        <f>+H1712*J1712</f>
        <v/>
      </c>
      <c r="M1712" s="141">
        <f>SUM(M1711+K1712-L1712)</f>
        <v/>
      </c>
    </row>
    <row r="1713">
      <c r="A1713" s="20" t="n">
        <v>45765</v>
      </c>
      <c r="B1713" s="21" t="n">
        <v>14067</v>
      </c>
      <c r="C1713" s="22" t="inlineStr">
        <is>
          <t>SELİM İNŞAAT</t>
        </is>
      </c>
      <c r="D1713" s="21" t="inlineStr">
        <is>
          <t>34 EDB 659</t>
        </is>
      </c>
      <c r="E1713" s="21" t="inlineStr">
        <is>
          <t>CELAL YÜZBAŞI</t>
        </is>
      </c>
      <c r="F1713" s="23" t="n">
        <v>326108</v>
      </c>
      <c r="G1713" s="138" t="n"/>
      <c r="H1713" s="138" t="n">
        <v>334</v>
      </c>
      <c r="I1713" s="138">
        <f>+I1712+(G1713-H1713)</f>
        <v/>
      </c>
      <c r="J1713" s="139" t="n">
        <v>38</v>
      </c>
      <c r="K1713" s="140" t="n"/>
      <c r="L1713" s="140">
        <f>+H1713*J1713</f>
        <v/>
      </c>
      <c r="M1713" s="141">
        <f>SUM(M1712+K1713-L1713)</f>
        <v/>
      </c>
    </row>
    <row r="1714">
      <c r="A1714" s="20" t="n">
        <v>45765</v>
      </c>
      <c r="B1714" s="21" t="n">
        <v>11209</v>
      </c>
      <c r="C1714" s="22" t="inlineStr">
        <is>
          <t>SELİM İNŞAAT</t>
        </is>
      </c>
      <c r="D1714" s="21" t="inlineStr">
        <is>
          <t>34 DSN 636</t>
        </is>
      </c>
      <c r="E1714" s="21" t="inlineStr">
        <is>
          <t>ÖMER KIDIL</t>
        </is>
      </c>
      <c r="F1714" s="23" t="n">
        <v>377000</v>
      </c>
      <c r="G1714" s="138" t="n"/>
      <c r="H1714" s="138" t="n">
        <v>362</v>
      </c>
      <c r="I1714" s="138">
        <f>+I1713+(G1714-H1714)</f>
        <v/>
      </c>
      <c r="J1714" s="139" t="n">
        <v>38</v>
      </c>
      <c r="K1714" s="140" t="n"/>
      <c r="L1714" s="140">
        <f>+H1714*J1714</f>
        <v/>
      </c>
      <c r="M1714" s="141">
        <f>SUM(M1713+K1714-L1714)</f>
        <v/>
      </c>
    </row>
    <row r="1715">
      <c r="A1715" s="20" t="n">
        <v>45765</v>
      </c>
      <c r="B1715" s="21" t="n">
        <v>10075</v>
      </c>
      <c r="C1715" s="22" t="inlineStr">
        <is>
          <t>SELİM İNŞAAT</t>
        </is>
      </c>
      <c r="D1715" s="21" t="inlineStr">
        <is>
          <t>34 FBR 771</t>
        </is>
      </c>
      <c r="E1715" s="21" t="inlineStr">
        <is>
          <t>ÖMER AĞAYAR</t>
        </is>
      </c>
      <c r="F1715" s="23" t="n">
        <v>303037</v>
      </c>
      <c r="G1715" s="138" t="n"/>
      <c r="H1715" s="138" t="n">
        <v>284</v>
      </c>
      <c r="I1715" s="138">
        <f>+I1714+(G1715-H1715)</f>
        <v/>
      </c>
      <c r="J1715" s="139" t="n">
        <v>38</v>
      </c>
      <c r="K1715" s="140" t="n"/>
      <c r="L1715" s="140">
        <f>+H1715*J1715</f>
        <v/>
      </c>
      <c r="M1715" s="141">
        <f>SUM(M1714+K1715-L1715)</f>
        <v/>
      </c>
    </row>
    <row r="1716">
      <c r="A1716" s="20" t="n">
        <v>45765</v>
      </c>
      <c r="B1716" s="21" t="n">
        <v>11732</v>
      </c>
      <c r="C1716" s="22" t="inlineStr">
        <is>
          <t>SELİM İNŞAAT</t>
        </is>
      </c>
      <c r="D1716" s="21" t="inlineStr">
        <is>
          <t>34 EDB 559</t>
        </is>
      </c>
      <c r="E1716" s="21" t="inlineStr">
        <is>
          <t>CEM MUHTAR</t>
        </is>
      </c>
      <c r="F1716" s="23" t="n">
        <v>314429</v>
      </c>
      <c r="G1716" s="138" t="n"/>
      <c r="H1716" s="138" t="n">
        <v>360</v>
      </c>
      <c r="I1716" s="138">
        <f>+I1715+(G1716-H1716)</f>
        <v/>
      </c>
      <c r="J1716" s="139" t="n">
        <v>38</v>
      </c>
      <c r="K1716" s="140" t="n"/>
      <c r="L1716" s="140">
        <f>+H1716*J1716</f>
        <v/>
      </c>
      <c r="M1716" s="141">
        <f>SUM(M1715+K1716-L1716)</f>
        <v/>
      </c>
    </row>
    <row r="1717">
      <c r="A1717" s="20" t="n">
        <v>45765</v>
      </c>
      <c r="B1717" s="21" t="n">
        <v>10290</v>
      </c>
      <c r="C1717" s="22" t="inlineStr">
        <is>
          <t>SELİM İNŞAAT</t>
        </is>
      </c>
      <c r="D1717" s="21" t="inlineStr">
        <is>
          <t>34 FBR 748</t>
        </is>
      </c>
      <c r="E1717" s="21" t="inlineStr">
        <is>
          <t>YAŞAR ÖZKAYA</t>
        </is>
      </c>
      <c r="F1717" s="23" t="n">
        <v>270096</v>
      </c>
      <c r="G1717" s="138" t="n"/>
      <c r="H1717" s="138" t="n">
        <v>350</v>
      </c>
      <c r="I1717" s="138">
        <f>+I1716+(G1717-H1717)</f>
        <v/>
      </c>
      <c r="J1717" s="139" t="n">
        <v>38</v>
      </c>
      <c r="K1717" s="140" t="n"/>
      <c r="L1717" s="140">
        <f>+H1717*J1717</f>
        <v/>
      </c>
      <c r="M1717" s="141">
        <f>SUM(M1716+K1717-L1717)</f>
        <v/>
      </c>
    </row>
    <row r="1718">
      <c r="A1718" s="20" t="n">
        <v>45765</v>
      </c>
      <c r="B1718" s="21" t="n">
        <v>10333</v>
      </c>
      <c r="C1718" s="22" t="inlineStr">
        <is>
          <t>SELİM İNŞAAT</t>
        </is>
      </c>
      <c r="D1718" s="21" t="inlineStr">
        <is>
          <t>34 EDB 829</t>
        </is>
      </c>
      <c r="E1718" s="21" t="inlineStr">
        <is>
          <t>İSMET BAYRAM</t>
        </is>
      </c>
      <c r="F1718" s="23" t="n">
        <v>305155</v>
      </c>
      <c r="G1718" s="138" t="n"/>
      <c r="H1718" s="138" t="n">
        <v>352</v>
      </c>
      <c r="I1718" s="138">
        <f>+I1717+(G1718-H1718)</f>
        <v/>
      </c>
      <c r="J1718" s="139" t="n">
        <v>38</v>
      </c>
      <c r="K1718" s="140" t="n"/>
      <c r="L1718" s="140">
        <f>+H1718*J1718</f>
        <v/>
      </c>
      <c r="M1718" s="141">
        <f>SUM(M1717+K1718-L1718)</f>
        <v/>
      </c>
    </row>
    <row r="1719">
      <c r="A1719" s="20" t="n">
        <v>45765</v>
      </c>
      <c r="B1719" s="1" t="n">
        <v>15428</v>
      </c>
      <c r="C1719" s="2" t="inlineStr">
        <is>
          <t>HASALTUN</t>
        </is>
      </c>
      <c r="D1719" s="1" t="inlineStr">
        <is>
          <t>SM 350</t>
        </is>
      </c>
      <c r="E1719" s="1" t="inlineStr">
        <is>
          <t>TEVFİK ÖZTÜRK</t>
        </is>
      </c>
      <c r="F1719" s="3" t="n"/>
      <c r="G1719" s="143" t="n"/>
      <c r="H1719" s="143" t="n">
        <v>356</v>
      </c>
      <c r="I1719" s="143">
        <f>+I1718+(G1719-H1719)</f>
        <v/>
      </c>
      <c r="J1719" s="144" t="n">
        <v>38</v>
      </c>
      <c r="K1719" s="145" t="n"/>
      <c r="L1719" s="140">
        <f>+H1719*J1719</f>
        <v/>
      </c>
      <c r="M1719" s="141">
        <f>SUM(M1718+K1719-L1719)</f>
        <v/>
      </c>
    </row>
    <row r="1720">
      <c r="A1720" s="20" t="n">
        <v>45765</v>
      </c>
      <c r="B1720" s="1" t="n">
        <v>15429</v>
      </c>
      <c r="C1720" s="2" t="inlineStr">
        <is>
          <t>HASALTUN</t>
        </is>
      </c>
      <c r="D1720" s="1" t="inlineStr">
        <is>
          <t>SM 370</t>
        </is>
      </c>
      <c r="E1720" s="1" t="inlineStr">
        <is>
          <t>TEKİN ŞEYLAN</t>
        </is>
      </c>
      <c r="F1720" s="3" t="n"/>
      <c r="G1720" s="143" t="n"/>
      <c r="H1720" s="143" t="n">
        <v>260</v>
      </c>
      <c r="I1720" s="143">
        <f>+I1719+(G1720-H1720)</f>
        <v/>
      </c>
      <c r="J1720" s="144" t="n">
        <v>38</v>
      </c>
      <c r="K1720" s="145" t="n"/>
      <c r="L1720" s="140">
        <f>+H1720*J1720</f>
        <v/>
      </c>
      <c r="M1720" s="141">
        <f>SUM(M1719+K1720-L1720)</f>
        <v/>
      </c>
    </row>
    <row r="1721">
      <c r="A1721" s="20" t="n">
        <v>45765</v>
      </c>
      <c r="B1721" s="21" t="n">
        <v>15430</v>
      </c>
      <c r="C1721" s="22" t="inlineStr">
        <is>
          <t>SELİM İNŞAAT</t>
        </is>
      </c>
      <c r="D1721" s="21" t="inlineStr">
        <is>
          <t>SİLİNDİR</t>
        </is>
      </c>
      <c r="E1721" s="21" t="inlineStr">
        <is>
          <t>ÖNER DÜNDAR</t>
        </is>
      </c>
      <c r="F1721" s="23" t="n"/>
      <c r="G1721" s="138" t="n"/>
      <c r="H1721" s="138" t="n">
        <v>74</v>
      </c>
      <c r="I1721" s="138">
        <f>+I1720+(G1721-H1721)</f>
        <v/>
      </c>
      <c r="J1721" s="139" t="n">
        <v>38</v>
      </c>
      <c r="K1721" s="140" t="n"/>
      <c r="L1721" s="140">
        <f>+H1721*J1721</f>
        <v/>
      </c>
      <c r="M1721" s="141">
        <f>SUM(M1720+K1721-L1721)</f>
        <v/>
      </c>
    </row>
    <row r="1722">
      <c r="A1722" s="20" t="n">
        <v>45765</v>
      </c>
      <c r="B1722" s="1" t="n">
        <v>15431</v>
      </c>
      <c r="C1722" s="2" t="inlineStr">
        <is>
          <t>VARLIK</t>
        </is>
      </c>
      <c r="D1722" s="1" t="inlineStr">
        <is>
          <t>KAVAZAKİ</t>
        </is>
      </c>
      <c r="E1722" s="1" t="inlineStr">
        <is>
          <t>UFUK SEVAL</t>
        </is>
      </c>
      <c r="F1722" s="3" t="n"/>
      <c r="G1722" s="143" t="n"/>
      <c r="H1722" s="143" t="n">
        <v>115</v>
      </c>
      <c r="I1722" s="143">
        <f>+I1721+(G1722-H1722)</f>
        <v/>
      </c>
      <c r="J1722" s="144" t="n">
        <v>38</v>
      </c>
      <c r="K1722" s="145" t="n"/>
      <c r="L1722" s="140">
        <f>+H1722*J1722</f>
        <v/>
      </c>
      <c r="M1722" s="141">
        <f>SUM(M1721+K1722-L1722)</f>
        <v/>
      </c>
    </row>
    <row r="1723">
      <c r="A1723" s="20" t="n">
        <v>45765</v>
      </c>
      <c r="B1723" s="1" t="n">
        <v>15432</v>
      </c>
      <c r="C1723" s="2" t="inlineStr">
        <is>
          <t>VARLIK</t>
        </is>
      </c>
      <c r="D1723" s="1" t="inlineStr">
        <is>
          <t>SM 350</t>
        </is>
      </c>
      <c r="E1723" s="1" t="inlineStr">
        <is>
          <t>BAYRAM SANCAK</t>
        </is>
      </c>
      <c r="F1723" s="3" t="n"/>
      <c r="G1723" s="143" t="n"/>
      <c r="H1723" s="143" t="n">
        <v>249</v>
      </c>
      <c r="I1723" s="143">
        <f>+I1722+(G1723-H1723)</f>
        <v/>
      </c>
      <c r="J1723" s="144" t="n">
        <v>38</v>
      </c>
      <c r="K1723" s="145" t="n"/>
      <c r="L1723" s="140">
        <f>+H1723*J1723</f>
        <v/>
      </c>
      <c r="M1723" s="141">
        <f>SUM(M1722+K1723-L1723)</f>
        <v/>
      </c>
    </row>
    <row r="1724">
      <c r="A1724" s="20" t="n">
        <v>45765</v>
      </c>
      <c r="B1724" s="1" t="n">
        <v>15433</v>
      </c>
      <c r="C1724" s="2" t="inlineStr">
        <is>
          <t>VARLIK</t>
        </is>
      </c>
      <c r="D1724" s="1" t="inlineStr">
        <is>
          <t>SM 300</t>
        </is>
      </c>
      <c r="E1724" s="1" t="inlineStr">
        <is>
          <t>TURGUT SANCAK</t>
        </is>
      </c>
      <c r="F1724" s="3" t="n"/>
      <c r="G1724" s="143" t="n"/>
      <c r="H1724" s="143" t="n">
        <v>324</v>
      </c>
      <c r="I1724" s="143">
        <f>+I1723+(G1724-H1724)</f>
        <v/>
      </c>
      <c r="J1724" s="144" t="n">
        <v>38</v>
      </c>
      <c r="K1724" s="145" t="n"/>
      <c r="L1724" s="140">
        <f>+H1724*J1724</f>
        <v/>
      </c>
      <c r="M1724" s="141">
        <f>SUM(M1723+K1724-L1724)</f>
        <v/>
      </c>
    </row>
    <row r="1725">
      <c r="A1725" s="20" t="n">
        <v>45765</v>
      </c>
      <c r="B1725" s="21" t="n">
        <v>11320</v>
      </c>
      <c r="C1725" s="22" t="inlineStr">
        <is>
          <t>AZGÜN YAPI</t>
        </is>
      </c>
      <c r="D1725" s="21" t="inlineStr">
        <is>
          <t>34 MKT 859</t>
        </is>
      </c>
      <c r="E1725" s="21" t="inlineStr">
        <is>
          <t>HASAN ALTUN</t>
        </is>
      </c>
      <c r="F1725" s="23" t="n">
        <v>26590</v>
      </c>
      <c r="G1725" s="138" t="n"/>
      <c r="H1725" s="138" t="n">
        <v>927</v>
      </c>
      <c r="I1725" s="138">
        <f>+I1724+(G1725-H1725)</f>
        <v/>
      </c>
      <c r="J1725" s="139" t="n">
        <v>38</v>
      </c>
      <c r="K1725" s="140" t="n"/>
      <c r="L1725" s="140">
        <f>+H1725*J1725</f>
        <v/>
      </c>
      <c r="M1725" s="141">
        <f>SUM(M1724+K1725-L1725)</f>
        <v/>
      </c>
    </row>
    <row r="1726">
      <c r="A1726" s="20" t="n">
        <v>45765</v>
      </c>
      <c r="B1726" s="21" t="n">
        <v>14713</v>
      </c>
      <c r="C1726" s="22" t="inlineStr">
        <is>
          <t>METİN ERYİĞİT</t>
        </is>
      </c>
      <c r="D1726" s="21" t="inlineStr">
        <is>
          <t>34 GBL 998</t>
        </is>
      </c>
      <c r="E1726" s="21" t="inlineStr">
        <is>
          <t>ALİ KESKİN</t>
        </is>
      </c>
      <c r="F1726" s="23" t="n">
        <v>251644</v>
      </c>
      <c r="G1726" s="138" t="n"/>
      <c r="H1726" s="138" t="n">
        <v>246</v>
      </c>
      <c r="I1726" s="138">
        <f>+I1725+(G1726-H1726)</f>
        <v/>
      </c>
      <c r="J1726" s="139" t="n">
        <v>38</v>
      </c>
      <c r="K1726" s="140" t="n"/>
      <c r="L1726" s="140">
        <f>+H1726*J1726</f>
        <v/>
      </c>
      <c r="M1726" s="141">
        <f>SUM(M1725+K1726-L1726)</f>
        <v/>
      </c>
    </row>
    <row r="1727">
      <c r="A1727" s="20" t="n">
        <v>45765</v>
      </c>
      <c r="B1727" s="21" t="n">
        <v>11441</v>
      </c>
      <c r="C1727" s="22" t="inlineStr">
        <is>
          <t>METİN ŞİRİN</t>
        </is>
      </c>
      <c r="D1727" s="21" t="inlineStr">
        <is>
          <t>34 EGR 814</t>
        </is>
      </c>
      <c r="E1727" s="21" t="inlineStr">
        <is>
          <t>GÜRAY KOYUNCU</t>
        </is>
      </c>
      <c r="F1727" s="23" t="n">
        <v>526495</v>
      </c>
      <c r="G1727" s="138" t="n"/>
      <c r="H1727" s="138" t="n">
        <v>340</v>
      </c>
      <c r="I1727" s="138">
        <f>+I1726+(G1727-H1727)</f>
        <v/>
      </c>
      <c r="J1727" s="139" t="n">
        <v>38</v>
      </c>
      <c r="K1727" s="140" t="n"/>
      <c r="L1727" s="140">
        <f>+H1727*J1727</f>
        <v/>
      </c>
      <c r="M1727" s="141">
        <f>SUM(M1726+K1727-L1727)</f>
        <v/>
      </c>
    </row>
    <row r="1728">
      <c r="A1728" s="20" t="n">
        <v>45765</v>
      </c>
      <c r="B1728" s="21" t="n">
        <v>11476</v>
      </c>
      <c r="C1728" s="22" t="inlineStr">
        <is>
          <t>METİN ŞİRİN</t>
        </is>
      </c>
      <c r="D1728" s="21" t="inlineStr">
        <is>
          <t>34 EGR 922</t>
        </is>
      </c>
      <c r="E1728" s="21" t="inlineStr">
        <is>
          <t>FARUK ÖZEN</t>
        </is>
      </c>
      <c r="F1728" s="23" t="n">
        <v>444728</v>
      </c>
      <c r="G1728" s="138" t="n"/>
      <c r="H1728" s="138" t="n">
        <v>402</v>
      </c>
      <c r="I1728" s="138">
        <f>+I1727+(G1728-H1728)</f>
        <v/>
      </c>
      <c r="J1728" s="139" t="n">
        <v>38</v>
      </c>
      <c r="K1728" s="140" t="n"/>
      <c r="L1728" s="140">
        <f>+H1728*J1728</f>
        <v/>
      </c>
      <c r="M1728" s="141">
        <f>SUM(M1727+K1728-L1728)</f>
        <v/>
      </c>
    </row>
    <row r="1729">
      <c r="A1729" s="20" t="n">
        <v>45765</v>
      </c>
      <c r="B1729" s="21" t="n">
        <v>10040</v>
      </c>
      <c r="C1729" s="22" t="inlineStr">
        <is>
          <t>METİN ERYİĞİT</t>
        </is>
      </c>
      <c r="D1729" s="21" t="inlineStr">
        <is>
          <t>34 EGS 013</t>
        </is>
      </c>
      <c r="E1729" s="21" t="inlineStr">
        <is>
          <t xml:space="preserve">UĞUR DUMAN </t>
        </is>
      </c>
      <c r="F1729" s="23" t="n">
        <v>475013</v>
      </c>
      <c r="G1729" s="138" t="n"/>
      <c r="H1729" s="138" t="n">
        <v>411</v>
      </c>
      <c r="I1729" s="138">
        <f>+I1728+(G1729-H1729)</f>
        <v/>
      </c>
      <c r="J1729" s="139" t="n">
        <v>38</v>
      </c>
      <c r="K1729" s="140" t="n"/>
      <c r="L1729" s="140">
        <f>+H1729*J1729</f>
        <v/>
      </c>
      <c r="M1729" s="141">
        <f>SUM(M1728+K1729-L1729)</f>
        <v/>
      </c>
    </row>
    <row r="1730">
      <c r="A1730" s="20" t="n">
        <v>45765</v>
      </c>
      <c r="B1730" s="21" t="n">
        <v>16734</v>
      </c>
      <c r="C1730" s="22" t="inlineStr">
        <is>
          <t>SELİM İNŞAAT</t>
        </is>
      </c>
      <c r="D1730" s="21" t="inlineStr">
        <is>
          <t>34 JBA 25</t>
        </is>
      </c>
      <c r="E1730" s="21" t="inlineStr">
        <is>
          <t>ABDURRAHMAN SERDAN</t>
        </is>
      </c>
      <c r="F1730" s="23" t="n">
        <v>331607</v>
      </c>
      <c r="G1730" s="138" t="n"/>
      <c r="H1730" s="138" t="n">
        <v>50</v>
      </c>
      <c r="I1730" s="138">
        <f>+I1729+(G1730-H1730)</f>
        <v/>
      </c>
      <c r="J1730" s="139" t="n">
        <v>38</v>
      </c>
      <c r="K1730" s="140" t="n"/>
      <c r="L1730" s="140">
        <f>+H1730*J1730</f>
        <v/>
      </c>
      <c r="M1730" s="141">
        <f>SUM(M1729+K1730-L1730)</f>
        <v/>
      </c>
    </row>
    <row r="1731">
      <c r="A1731" s="20" t="n">
        <v>45765</v>
      </c>
      <c r="B1731" s="21" t="n">
        <v>21140</v>
      </c>
      <c r="C1731" s="22" t="inlineStr">
        <is>
          <t>SELİM İNŞAAT</t>
        </is>
      </c>
      <c r="D1731" s="21" t="inlineStr">
        <is>
          <t>34 TG 7869</t>
        </is>
      </c>
      <c r="E1731" s="21" t="inlineStr">
        <is>
          <t>GÖRKEM KARAYEL</t>
        </is>
      </c>
      <c r="F1731" s="23" t="n">
        <v>180875</v>
      </c>
      <c r="G1731" s="138" t="n"/>
      <c r="H1731" s="138" t="n">
        <v>294</v>
      </c>
      <c r="I1731" s="138">
        <f>+I1730+(G1731-H1731)</f>
        <v/>
      </c>
      <c r="J1731" s="139" t="n">
        <v>38</v>
      </c>
      <c r="K1731" s="140" t="n"/>
      <c r="L1731" s="140">
        <f>+H1731*J1731</f>
        <v/>
      </c>
      <c r="M1731" s="141">
        <f>SUM(M1730+K1731-L1731)</f>
        <v/>
      </c>
    </row>
    <row r="1732">
      <c r="A1732" s="20" t="n">
        <v>45765</v>
      </c>
      <c r="B1732" s="21" t="n">
        <v>21316</v>
      </c>
      <c r="C1732" s="22" t="inlineStr">
        <is>
          <t>SELİM İNŞAAT</t>
        </is>
      </c>
      <c r="D1732" s="21" t="inlineStr">
        <is>
          <t>34 FEM 934</t>
        </is>
      </c>
      <c r="E1732" s="21" t="inlineStr">
        <is>
          <t>SERDAR BOZKURT</t>
        </is>
      </c>
      <c r="F1732" s="23" t="n">
        <v>304033</v>
      </c>
      <c r="G1732" s="138" t="n"/>
      <c r="H1732" s="138" t="n">
        <v>69</v>
      </c>
      <c r="I1732" s="138">
        <f>+I1731+(G1732-H1732)</f>
        <v/>
      </c>
      <c r="J1732" s="139" t="n">
        <v>38</v>
      </c>
      <c r="K1732" s="140" t="n"/>
      <c r="L1732" s="140">
        <f>+H1732*J1732</f>
        <v/>
      </c>
      <c r="M1732" s="141">
        <f>SUM(M1731+K1732-L1732)</f>
        <v/>
      </c>
    </row>
    <row r="1733">
      <c r="A1733" s="20" t="n">
        <v>45765</v>
      </c>
      <c r="B1733" s="21" t="n">
        <v>10874</v>
      </c>
      <c r="C1733" s="22" t="inlineStr">
        <is>
          <t>SELİM İNŞAAT</t>
        </is>
      </c>
      <c r="D1733" s="21" t="inlineStr">
        <is>
          <t>34 AR 7743</t>
        </is>
      </c>
      <c r="E1733" s="21" t="inlineStr">
        <is>
          <t>MEHMET SELİM</t>
        </is>
      </c>
      <c r="F1733" s="23" t="n">
        <v>353344</v>
      </c>
      <c r="G1733" s="138" t="n"/>
      <c r="H1733" s="138" t="n">
        <v>52</v>
      </c>
      <c r="I1733" s="138">
        <f>+I1732+(G1733-H1733)</f>
        <v/>
      </c>
      <c r="J1733" s="139" t="n">
        <v>38</v>
      </c>
      <c r="K1733" s="140" t="n"/>
      <c r="L1733" s="140">
        <f>+H1733*J1733</f>
        <v/>
      </c>
      <c r="M1733" s="141">
        <f>SUM(M1732+K1733-L1733)</f>
        <v/>
      </c>
    </row>
    <row r="1734">
      <c r="A1734" s="20" t="n">
        <v>45765</v>
      </c>
      <c r="B1734" s="21" t="n">
        <v>10139</v>
      </c>
      <c r="C1734" s="22" t="inlineStr">
        <is>
          <t>SELİM İNŞAAT</t>
        </is>
      </c>
      <c r="D1734" s="21" t="inlineStr">
        <is>
          <t>34 DP 4161</t>
        </is>
      </c>
      <c r="E1734" s="21" t="inlineStr">
        <is>
          <t>RIFAT KARATAY</t>
        </is>
      </c>
      <c r="F1734" s="23" t="n">
        <v>281966</v>
      </c>
      <c r="G1734" s="138" t="n"/>
      <c r="H1734" s="138" t="n">
        <v>214</v>
      </c>
      <c r="I1734" s="138">
        <f>+I1733+(G1734-H1734)</f>
        <v/>
      </c>
      <c r="J1734" s="139" t="n">
        <v>38</v>
      </c>
      <c r="K1734" s="140" t="n"/>
      <c r="L1734" s="140">
        <f>+H1734*J1734</f>
        <v/>
      </c>
      <c r="M1734" s="141">
        <f>SUM(M1733+K1734-L1734)</f>
        <v/>
      </c>
    </row>
    <row r="1735">
      <c r="A1735" s="20" t="n">
        <v>45766</v>
      </c>
      <c r="B1735" s="1" t="n">
        <v>15434</v>
      </c>
      <c r="C1735" s="2" t="inlineStr">
        <is>
          <t>EVKUR</t>
        </is>
      </c>
      <c r="D1735" s="1" t="inlineStr">
        <is>
          <t>MNT 2260</t>
        </is>
      </c>
      <c r="E1735" s="1" t="inlineStr">
        <is>
          <t>MUHAMMED KANTAR</t>
        </is>
      </c>
      <c r="F1735" s="3" t="n"/>
      <c r="G1735" s="143" t="n"/>
      <c r="H1735" s="143" t="n">
        <v>184</v>
      </c>
      <c r="I1735" s="143">
        <f>+I1734+(G1735-H1735)</f>
        <v/>
      </c>
      <c r="J1735" s="144" t="n">
        <v>38</v>
      </c>
      <c r="K1735" s="145" t="n"/>
      <c r="L1735" s="140">
        <f>+H1735*J1735</f>
        <v/>
      </c>
      <c r="M1735" s="141">
        <f>SUM(M1734+K1735-L1735)</f>
        <v/>
      </c>
    </row>
    <row r="1736">
      <c r="A1736" s="20" t="n">
        <v>45766</v>
      </c>
      <c r="B1736" s="21" t="n">
        <v>14321</v>
      </c>
      <c r="C1736" s="22" t="inlineStr">
        <is>
          <t>SELİM İNŞAAT</t>
        </is>
      </c>
      <c r="D1736" s="21" t="inlineStr">
        <is>
          <t>34 DKL 866</t>
        </is>
      </c>
      <c r="E1736" s="21" t="inlineStr">
        <is>
          <t>SELİM CAN ÖNVER</t>
        </is>
      </c>
      <c r="F1736" s="23" t="n">
        <v>63591</v>
      </c>
      <c r="G1736" s="138" t="n"/>
      <c r="H1736" s="138" t="n">
        <v>204</v>
      </c>
      <c r="I1736" s="138">
        <f>+I1735+(G1736-H1736)</f>
        <v/>
      </c>
      <c r="J1736" s="139" t="n">
        <v>38</v>
      </c>
      <c r="K1736" s="140" t="n"/>
      <c r="L1736" s="140">
        <f>+H1736*J1736</f>
        <v/>
      </c>
      <c r="M1736" s="141">
        <f>SUM(M1735+K1736-L1736)</f>
        <v/>
      </c>
    </row>
    <row r="1737">
      <c r="A1737" s="20" t="n">
        <v>45766</v>
      </c>
      <c r="B1737" s="21" t="n">
        <v>11080</v>
      </c>
      <c r="C1737" s="22" t="inlineStr">
        <is>
          <t>SELİM İNŞAAT</t>
        </is>
      </c>
      <c r="D1737" s="21" t="inlineStr">
        <is>
          <t>34 HBY 763</t>
        </is>
      </c>
      <c r="E1737" s="21" t="inlineStr">
        <is>
          <t>EMİRCAN ÖZTÜRK</t>
        </is>
      </c>
      <c r="F1737" s="23" t="n">
        <v>15364</v>
      </c>
      <c r="G1737" s="138" t="n"/>
      <c r="H1737" s="138" t="n">
        <v>134</v>
      </c>
      <c r="I1737" s="138">
        <f>+I1736+(G1737-H1737)</f>
        <v/>
      </c>
      <c r="J1737" s="139" t="n">
        <v>38</v>
      </c>
      <c r="K1737" s="140" t="n"/>
      <c r="L1737" s="140">
        <f>+H1737*J1737</f>
        <v/>
      </c>
      <c r="M1737" s="141">
        <f>SUM(M1736+K1737-L1737)</f>
        <v/>
      </c>
    </row>
    <row r="1738">
      <c r="A1738" s="20" t="n">
        <v>45766</v>
      </c>
      <c r="B1738" s="21" t="n">
        <v>14362</v>
      </c>
      <c r="C1738" s="22" t="inlineStr">
        <is>
          <t>SELİM İNŞAAT</t>
        </is>
      </c>
      <c r="D1738" s="21" t="inlineStr">
        <is>
          <t>34 DKL 798</t>
        </is>
      </c>
      <c r="E1738" s="21" t="inlineStr">
        <is>
          <t>VOLKAN YANAR</t>
        </is>
      </c>
      <c r="F1738" s="23" t="n">
        <v>63664</v>
      </c>
      <c r="G1738" s="138" t="n"/>
      <c r="H1738" s="138" t="n">
        <v>116</v>
      </c>
      <c r="I1738" s="138">
        <f>+I1737+(G1738-H1738)</f>
        <v/>
      </c>
      <c r="J1738" s="139" t="n">
        <v>38</v>
      </c>
      <c r="K1738" s="140" t="n"/>
      <c r="L1738" s="140">
        <f>+H1738*J1738</f>
        <v/>
      </c>
      <c r="M1738" s="141">
        <f>SUM(M1737+K1738-L1738)</f>
        <v/>
      </c>
    </row>
    <row r="1739">
      <c r="A1739" s="20" t="n">
        <v>45766</v>
      </c>
      <c r="B1739" s="1" t="n">
        <v>15439</v>
      </c>
      <c r="C1739" s="2" t="inlineStr">
        <is>
          <t>HASALTUN</t>
        </is>
      </c>
      <c r="D1739" s="1" t="inlineStr">
        <is>
          <t>RT 650 SARI VİNÇ</t>
        </is>
      </c>
      <c r="E1739" s="1" t="inlineStr">
        <is>
          <t>ALİHAN DUMAN</t>
        </is>
      </c>
      <c r="F1739" s="3" t="n"/>
      <c r="G1739" s="143" t="n"/>
      <c r="H1739" s="143" t="n">
        <v>142</v>
      </c>
      <c r="I1739" s="143">
        <f>+I1738+(G1739-H1739)</f>
        <v/>
      </c>
      <c r="J1739" s="144" t="n">
        <v>38</v>
      </c>
      <c r="K1739" s="145" t="n"/>
      <c r="L1739" s="140">
        <f>+H1739*J1739</f>
        <v/>
      </c>
      <c r="M1739" s="141">
        <f>SUM(M1738+K1739-L1739)</f>
        <v/>
      </c>
    </row>
    <row r="1740">
      <c r="A1740" s="20" t="n">
        <v>45766</v>
      </c>
      <c r="B1740" s="1" t="n">
        <v>15438</v>
      </c>
      <c r="C1740" s="2" t="inlineStr">
        <is>
          <t>HASALTUN</t>
        </is>
      </c>
      <c r="D1740" s="1" t="inlineStr">
        <is>
          <t>SM 350</t>
        </is>
      </c>
      <c r="E1740" s="1" t="inlineStr">
        <is>
          <t>TEVFİK ÖZTÜRK</t>
        </is>
      </c>
      <c r="F1740" s="3" t="n"/>
      <c r="G1740" s="143" t="n"/>
      <c r="H1740" s="143" t="n">
        <v>363</v>
      </c>
      <c r="I1740" s="143">
        <f>+I1739+(G1740-H1740)</f>
        <v/>
      </c>
      <c r="J1740" s="144" t="n">
        <v>38</v>
      </c>
      <c r="K1740" s="145" t="n"/>
      <c r="L1740" s="140">
        <f>+H1740*J1740</f>
        <v/>
      </c>
      <c r="M1740" s="141">
        <f>SUM(M1739+K1740-L1740)</f>
        <v/>
      </c>
    </row>
    <row r="1741">
      <c r="A1741" s="20" t="n">
        <v>45766</v>
      </c>
      <c r="B1741" s="1" t="n">
        <v>15437</v>
      </c>
      <c r="C1741" s="2" t="inlineStr">
        <is>
          <t>HASALTUN</t>
        </is>
      </c>
      <c r="D1741" s="1" t="inlineStr">
        <is>
          <t>KAVAZAKİ</t>
        </is>
      </c>
      <c r="E1741" s="1" t="inlineStr">
        <is>
          <t>UFUK SEVAL</t>
        </is>
      </c>
      <c r="F1741" s="3" t="n"/>
      <c r="G1741" s="143" t="n"/>
      <c r="H1741" s="143" t="n">
        <v>187</v>
      </c>
      <c r="I1741" s="143">
        <f>+I1740+(G1741-H1741)</f>
        <v/>
      </c>
      <c r="J1741" s="144" t="n">
        <v>38</v>
      </c>
      <c r="K1741" s="145" t="n"/>
      <c r="L1741" s="140">
        <f>+H1741*J1741</f>
        <v/>
      </c>
      <c r="M1741" s="141">
        <f>SUM(M1740+K1741-L1741)</f>
        <v/>
      </c>
    </row>
    <row r="1742">
      <c r="A1742" s="20" t="n">
        <v>45766</v>
      </c>
      <c r="B1742" s="21" t="n">
        <v>15436</v>
      </c>
      <c r="C1742" s="22" t="inlineStr">
        <is>
          <t>EVKUR</t>
        </is>
      </c>
      <c r="D1742" s="21" t="inlineStr">
        <is>
          <t>FOKLİFT</t>
        </is>
      </c>
      <c r="E1742" s="21" t="inlineStr">
        <is>
          <t>FAHRİ KALFA</t>
        </is>
      </c>
      <c r="F1742" s="23" t="n"/>
      <c r="G1742" s="138" t="n"/>
      <c r="H1742" s="138" t="n">
        <v>36</v>
      </c>
      <c r="I1742" s="138">
        <f>+I1741+(G1742-H1742)</f>
        <v/>
      </c>
      <c r="J1742" s="139" t="n">
        <v>38</v>
      </c>
      <c r="K1742" s="140" t="n"/>
      <c r="L1742" s="140">
        <f>+H1742*J1742</f>
        <v/>
      </c>
      <c r="M1742" s="141">
        <f>SUM(M1741+K1742-L1742)</f>
        <v/>
      </c>
    </row>
    <row r="1743">
      <c r="A1743" s="20" t="n">
        <v>45766</v>
      </c>
      <c r="B1743" s="1" t="n">
        <v>15435</v>
      </c>
      <c r="C1743" s="2" t="inlineStr">
        <is>
          <t>HASALTUN</t>
        </is>
      </c>
      <c r="D1743" s="1" t="inlineStr">
        <is>
          <t>SM 370</t>
        </is>
      </c>
      <c r="E1743" s="1" t="inlineStr">
        <is>
          <t>RAMAZAN KAYA</t>
        </is>
      </c>
      <c r="F1743" s="3" t="n"/>
      <c r="G1743" s="143" t="n"/>
      <c r="H1743" s="143" t="n">
        <v>342</v>
      </c>
      <c r="I1743" s="143">
        <f>+I1742+(G1743-H1743)</f>
        <v/>
      </c>
      <c r="J1743" s="144" t="n">
        <v>38</v>
      </c>
      <c r="K1743" s="145" t="n"/>
      <c r="L1743" s="140">
        <f>+H1743*J1743</f>
        <v/>
      </c>
      <c r="M1743" s="141">
        <f>SUM(M1742+K1743-L1743)</f>
        <v/>
      </c>
    </row>
    <row r="1744">
      <c r="A1744" s="20" t="n">
        <v>45766</v>
      </c>
      <c r="B1744" s="21" t="n">
        <v>14714</v>
      </c>
      <c r="C1744" s="22" t="inlineStr">
        <is>
          <t>METİN ERYİĞİT</t>
        </is>
      </c>
      <c r="D1744" s="21" t="inlineStr">
        <is>
          <t>34 GBL 998</t>
        </is>
      </c>
      <c r="E1744" s="21" t="inlineStr">
        <is>
          <t>ALİ KESKİN</t>
        </is>
      </c>
      <c r="F1744" s="23" t="n">
        <v>252198</v>
      </c>
      <c r="G1744" s="138" t="n"/>
      <c r="H1744" s="138" t="n">
        <v>320</v>
      </c>
      <c r="I1744" s="138">
        <f>+I1743+(G1744-H1744)</f>
        <v/>
      </c>
      <c r="J1744" s="139" t="n">
        <v>38</v>
      </c>
      <c r="K1744" s="140" t="n"/>
      <c r="L1744" s="140">
        <f>+H1744*J1744</f>
        <v/>
      </c>
      <c r="M1744" s="141">
        <f>SUM(M1743+K1744-L1744)</f>
        <v/>
      </c>
    </row>
    <row r="1745">
      <c r="A1745" s="20" t="n">
        <v>45766</v>
      </c>
      <c r="B1745" s="21" t="n">
        <v>14167</v>
      </c>
      <c r="C1745" s="22" t="inlineStr">
        <is>
          <t>AZGÜN YAPI</t>
        </is>
      </c>
      <c r="D1745" s="21" t="inlineStr">
        <is>
          <t>34 DTV 263</t>
        </is>
      </c>
      <c r="E1745" s="21" t="inlineStr">
        <is>
          <t>EDİP TORLAK</t>
        </is>
      </c>
      <c r="F1745" s="23" t="n">
        <v>370503</v>
      </c>
      <c r="G1745" s="138" t="n"/>
      <c r="H1745" s="138" t="n">
        <v>434</v>
      </c>
      <c r="I1745" s="138">
        <f>+I1744+(G1745-H1745)</f>
        <v/>
      </c>
      <c r="J1745" s="139" t="n">
        <v>38</v>
      </c>
      <c r="K1745" s="140" t="n"/>
      <c r="L1745" s="140">
        <f>+H1745*J1745</f>
        <v/>
      </c>
      <c r="M1745" s="141">
        <f>SUM(M1744+K1745-L1745)</f>
        <v/>
      </c>
    </row>
    <row r="1746">
      <c r="A1746" s="20" t="n">
        <v>45766</v>
      </c>
      <c r="B1746" s="21" t="n">
        <v>11634</v>
      </c>
      <c r="C1746" s="22" t="inlineStr">
        <is>
          <t>SELİM İNŞAAT</t>
        </is>
      </c>
      <c r="D1746" s="21" t="inlineStr">
        <is>
          <t>34 DTV 352</t>
        </is>
      </c>
      <c r="E1746" s="21" t="inlineStr">
        <is>
          <t>RASİM BARTU</t>
        </is>
      </c>
      <c r="F1746" s="23" t="n">
        <v>419748</v>
      </c>
      <c r="G1746" s="138" t="n"/>
      <c r="H1746" s="138" t="n">
        <v>467</v>
      </c>
      <c r="I1746" s="138">
        <f>+I1745+(G1746-H1746)</f>
        <v/>
      </c>
      <c r="J1746" s="139" t="n">
        <v>38</v>
      </c>
      <c r="K1746" s="140" t="n"/>
      <c r="L1746" s="140">
        <f>+H1746*J1746</f>
        <v/>
      </c>
      <c r="M1746" s="141">
        <f>SUM(M1745+K1746-L1746)</f>
        <v/>
      </c>
    </row>
    <row r="1747">
      <c r="A1747" s="20" t="n">
        <v>45766</v>
      </c>
      <c r="B1747" s="21" t="n">
        <v>15553</v>
      </c>
      <c r="C1747" s="22" t="inlineStr">
        <is>
          <t>SELİM İNŞAAT</t>
        </is>
      </c>
      <c r="D1747" s="21" t="inlineStr">
        <is>
          <t>34 GVZ 745</t>
        </is>
      </c>
      <c r="E1747" s="21" t="inlineStr">
        <is>
          <t>MUHAMMED YİĞİT</t>
        </is>
      </c>
      <c r="F1747" s="23" t="n">
        <v>174103</v>
      </c>
      <c r="G1747" s="138" t="n"/>
      <c r="H1747" s="138" t="n">
        <v>200</v>
      </c>
      <c r="I1747" s="138">
        <f>+I1746+(G1747-H1747)</f>
        <v/>
      </c>
      <c r="J1747" s="139" t="n">
        <v>38</v>
      </c>
      <c r="K1747" s="140" t="n"/>
      <c r="L1747" s="140">
        <f>+H1747*J1747</f>
        <v/>
      </c>
      <c r="M1747" s="141">
        <f>SUM(M1746+K1747-L1747)</f>
        <v/>
      </c>
    </row>
    <row r="1748">
      <c r="A1748" s="20" t="n">
        <v>45766</v>
      </c>
      <c r="B1748" s="21" t="n">
        <v>10187</v>
      </c>
      <c r="C1748" s="22" t="inlineStr">
        <is>
          <t>SELİM İNŞAAT</t>
        </is>
      </c>
      <c r="D1748" s="21" t="inlineStr">
        <is>
          <t>34 EGR 736</t>
        </is>
      </c>
      <c r="E1748" s="21" t="inlineStr">
        <is>
          <t>HAKAN ÇAVUŞOĞLU</t>
        </is>
      </c>
      <c r="F1748" s="23" t="n">
        <v>374582</v>
      </c>
      <c r="G1748" s="138" t="n"/>
      <c r="H1748" s="138" t="n">
        <v>465</v>
      </c>
      <c r="I1748" s="138">
        <f>+I1747+(G1748-H1748)</f>
        <v/>
      </c>
      <c r="J1748" s="139" t="n">
        <v>38</v>
      </c>
      <c r="K1748" s="140" t="n"/>
      <c r="L1748" s="140">
        <f>+H1748*J1748</f>
        <v/>
      </c>
      <c r="M1748" s="141">
        <f>SUM(M1747+K1748-L1748)</f>
        <v/>
      </c>
    </row>
    <row r="1749">
      <c r="A1749" s="20" t="n">
        <v>45766</v>
      </c>
      <c r="B1749" s="21" t="n">
        <v>21197</v>
      </c>
      <c r="C1749" s="22" t="inlineStr">
        <is>
          <t>SELİM İNŞAAT</t>
        </is>
      </c>
      <c r="D1749" s="21" t="inlineStr">
        <is>
          <t>34 DSN 565</t>
        </is>
      </c>
      <c r="E1749" s="21" t="inlineStr">
        <is>
          <t>DURSUN ALİ GÜREK</t>
        </is>
      </c>
      <c r="F1749" s="23" t="n">
        <v>391736</v>
      </c>
      <c r="G1749" s="138" t="n"/>
      <c r="H1749" s="138" t="n">
        <v>347</v>
      </c>
      <c r="I1749" s="138">
        <f>+I1748+(G1749-H1749)</f>
        <v/>
      </c>
      <c r="J1749" s="139" t="n">
        <v>38</v>
      </c>
      <c r="K1749" s="140" t="n"/>
      <c r="L1749" s="140">
        <f>+H1749*J1749</f>
        <v/>
      </c>
      <c r="M1749" s="141">
        <f>SUM(M1748+K1749-L1749)</f>
        <v/>
      </c>
    </row>
    <row r="1750">
      <c r="A1750" s="20" t="n">
        <v>45766</v>
      </c>
      <c r="B1750" s="21" t="n">
        <v>10076</v>
      </c>
      <c r="C1750" s="22" t="inlineStr">
        <is>
          <t>SELİM İNŞAAT</t>
        </is>
      </c>
      <c r="D1750" s="21" t="inlineStr">
        <is>
          <t>34 FBR 771</t>
        </is>
      </c>
      <c r="E1750" s="21" t="inlineStr">
        <is>
          <t>ÖMER AĞAYAR</t>
        </is>
      </c>
      <c r="F1750" s="23" t="n">
        <v>303472</v>
      </c>
      <c r="G1750" s="138" t="n"/>
      <c r="H1750" s="138" t="n">
        <v>237</v>
      </c>
      <c r="I1750" s="138">
        <f>+I1749+(G1750-H1750)</f>
        <v/>
      </c>
      <c r="J1750" s="139" t="n">
        <v>38</v>
      </c>
      <c r="K1750" s="140" t="n"/>
      <c r="L1750" s="140">
        <f>+H1750*J1750</f>
        <v/>
      </c>
      <c r="M1750" s="141">
        <f>SUM(M1749+K1750-L1750)</f>
        <v/>
      </c>
    </row>
    <row r="1751">
      <c r="A1751" s="20" t="n">
        <v>45766</v>
      </c>
      <c r="B1751" s="21" t="n">
        <v>10639</v>
      </c>
      <c r="C1751" s="22" t="inlineStr">
        <is>
          <t>SELİM İNŞAAT</t>
        </is>
      </c>
      <c r="D1751" s="21" t="inlineStr">
        <is>
          <t>34 EDB 754</t>
        </is>
      </c>
      <c r="E1751" s="21" t="inlineStr">
        <is>
          <t>EMİN PARLAKKILIÇ</t>
        </is>
      </c>
      <c r="F1751" s="23" t="n">
        <v>309526</v>
      </c>
      <c r="G1751" s="138" t="n"/>
      <c r="H1751" s="138" t="n">
        <v>343</v>
      </c>
      <c r="I1751" s="138">
        <f>+I1750+(G1751-H1751)</f>
        <v/>
      </c>
      <c r="J1751" s="139" t="n">
        <v>38</v>
      </c>
      <c r="K1751" s="140" t="n"/>
      <c r="L1751" s="140">
        <f>+H1751*J1751</f>
        <v/>
      </c>
      <c r="M1751" s="141">
        <f>SUM(M1750+K1751-L1751)</f>
        <v/>
      </c>
    </row>
    <row r="1752">
      <c r="A1752" s="20" t="n">
        <v>45766</v>
      </c>
      <c r="B1752" s="21" t="n">
        <v>14018</v>
      </c>
      <c r="C1752" s="22" t="inlineStr">
        <is>
          <t>SELİM İNŞAAT</t>
        </is>
      </c>
      <c r="D1752" s="21" t="inlineStr">
        <is>
          <t>34 GVZ 310</t>
        </is>
      </c>
      <c r="E1752" s="21" t="inlineStr">
        <is>
          <t>CELAL YÜZBAŞI</t>
        </is>
      </c>
      <c r="F1752" s="23" t="n">
        <v>182828</v>
      </c>
      <c r="G1752" s="138" t="n"/>
      <c r="H1752" s="138" t="n">
        <v>219</v>
      </c>
      <c r="I1752" s="138">
        <f>+I1751+(G1752-H1752)</f>
        <v/>
      </c>
      <c r="J1752" s="139" t="n">
        <v>38</v>
      </c>
      <c r="K1752" s="140" t="n"/>
      <c r="L1752" s="140">
        <f>+H1752*J1752</f>
        <v/>
      </c>
      <c r="M1752" s="141">
        <f>SUM(M1751+K1752-L1752)</f>
        <v/>
      </c>
    </row>
    <row r="1753">
      <c r="A1753" s="20" t="n">
        <v>45766</v>
      </c>
      <c r="B1753" s="21" t="n">
        <v>14467</v>
      </c>
      <c r="C1753" s="22" t="inlineStr">
        <is>
          <t>SELİM İNŞAAT</t>
        </is>
      </c>
      <c r="D1753" s="21" t="inlineStr">
        <is>
          <t>34 GUS 848</t>
        </is>
      </c>
      <c r="E1753" s="21" t="inlineStr">
        <is>
          <t>SERDAR BOZKURT</t>
        </is>
      </c>
      <c r="F1753" s="23" t="n">
        <v>177642</v>
      </c>
      <c r="G1753" s="138" t="n"/>
      <c r="H1753" s="138" t="n">
        <v>340</v>
      </c>
      <c r="I1753" s="138">
        <f>+I1752+(G1753-H1753)</f>
        <v/>
      </c>
      <c r="J1753" s="139" t="n">
        <v>38</v>
      </c>
      <c r="K1753" s="140" t="n"/>
      <c r="L1753" s="140">
        <f>+H1753*J1753</f>
        <v/>
      </c>
      <c r="M1753" s="141">
        <f>SUM(M1752+K1753-L1753)</f>
        <v/>
      </c>
    </row>
    <row r="1754">
      <c r="A1754" s="20" t="n">
        <v>45766</v>
      </c>
      <c r="B1754" s="21" t="n">
        <v>11733</v>
      </c>
      <c r="C1754" s="22" t="inlineStr">
        <is>
          <t>SELİM İNŞAAT</t>
        </is>
      </c>
      <c r="D1754" s="21" t="inlineStr">
        <is>
          <t>34 EDB 559</t>
        </is>
      </c>
      <c r="E1754" s="21" t="inlineStr">
        <is>
          <t>CEM MUHTAR</t>
        </is>
      </c>
      <c r="F1754" s="23" t="n">
        <v>314842</v>
      </c>
      <c r="G1754" s="138" t="n"/>
      <c r="H1754" s="138" t="n">
        <v>229</v>
      </c>
      <c r="I1754" s="138">
        <f>+I1753+(G1754-H1754)</f>
        <v/>
      </c>
      <c r="J1754" s="139" t="n">
        <v>38</v>
      </c>
      <c r="K1754" s="140" t="n"/>
      <c r="L1754" s="140">
        <f>+H1754*J1754</f>
        <v/>
      </c>
      <c r="M1754" s="141">
        <f>SUM(M1753+K1754-L1754)</f>
        <v/>
      </c>
    </row>
    <row r="1755">
      <c r="A1755" s="20" t="n">
        <v>45766</v>
      </c>
      <c r="B1755" s="21" t="n">
        <v>21492</v>
      </c>
      <c r="C1755" s="22" t="inlineStr">
        <is>
          <t>SELİM İNŞAAT</t>
        </is>
      </c>
      <c r="D1755" s="21" t="inlineStr">
        <is>
          <t>34 GYZ 635</t>
        </is>
      </c>
      <c r="E1755" s="21" t="inlineStr">
        <is>
          <t>ENGİN DEMİR</t>
        </is>
      </c>
      <c r="F1755" s="23" t="n">
        <v>158638</v>
      </c>
      <c r="G1755" s="138" t="n"/>
      <c r="H1755" s="138" t="n">
        <v>372</v>
      </c>
      <c r="I1755" s="138">
        <f>+I1754+(G1755-H1755)</f>
        <v/>
      </c>
      <c r="J1755" s="139" t="n">
        <v>38</v>
      </c>
      <c r="K1755" s="140" t="n"/>
      <c r="L1755" s="140">
        <f>+H1755*J1755</f>
        <v/>
      </c>
      <c r="M1755" s="141">
        <f>SUM(M1754+K1755-L1755)</f>
        <v/>
      </c>
    </row>
    <row r="1756">
      <c r="A1756" s="20" t="n">
        <v>45766</v>
      </c>
      <c r="B1756" s="21" t="n">
        <v>10780</v>
      </c>
      <c r="C1756" s="22" t="inlineStr">
        <is>
          <t>SELİM İNŞAAT</t>
        </is>
      </c>
      <c r="D1756" s="21" t="inlineStr">
        <is>
          <t>34 FBR 705</t>
        </is>
      </c>
      <c r="E1756" s="21" t="inlineStr">
        <is>
          <t>MESUT GÜRLER</t>
        </is>
      </c>
      <c r="F1756" s="23" t="n">
        <v>300661</v>
      </c>
      <c r="G1756" s="138" t="n"/>
      <c r="H1756" s="138" t="n">
        <v>322</v>
      </c>
      <c r="I1756" s="138">
        <f>+I1755+(G1756-H1756)</f>
        <v/>
      </c>
      <c r="J1756" s="139" t="n">
        <v>38</v>
      </c>
      <c r="K1756" s="140" t="n"/>
      <c r="L1756" s="140">
        <f>+H1756*J1756</f>
        <v/>
      </c>
      <c r="M1756" s="141">
        <f>SUM(M1755+K1756-L1756)</f>
        <v/>
      </c>
    </row>
    <row r="1757">
      <c r="A1757" s="20" t="n">
        <v>45766</v>
      </c>
      <c r="B1757" s="21" t="n">
        <v>10529</v>
      </c>
      <c r="C1757" s="22" t="inlineStr">
        <is>
          <t>SELİM İNŞAAT</t>
        </is>
      </c>
      <c r="D1757" s="21" t="inlineStr">
        <is>
          <t>34 EDB 922</t>
        </is>
      </c>
      <c r="E1757" s="21" t="inlineStr">
        <is>
          <t>AHMET TOPÇU</t>
        </is>
      </c>
      <c r="F1757" s="23" t="n">
        <v>345929</v>
      </c>
      <c r="G1757" s="138" t="n"/>
      <c r="H1757" s="138" t="n">
        <v>377</v>
      </c>
      <c r="I1757" s="138">
        <f>+I1756+(G1757-H1757)</f>
        <v/>
      </c>
      <c r="J1757" s="139" t="n">
        <v>38</v>
      </c>
      <c r="K1757" s="140" t="n"/>
      <c r="L1757" s="140">
        <f>+H1757*J1757</f>
        <v/>
      </c>
      <c r="M1757" s="141">
        <f>SUM(M1756+K1757-L1757)</f>
        <v/>
      </c>
    </row>
    <row r="1758">
      <c r="A1758" s="20" t="n">
        <v>45766</v>
      </c>
      <c r="B1758" s="21" t="n">
        <v>79</v>
      </c>
      <c r="C1758" s="22" t="inlineStr">
        <is>
          <t>MİRBE PETROL SANAYİ VE TİCARET ANONİM ŞİRKETİ</t>
        </is>
      </c>
      <c r="D1758" s="21" t="n"/>
      <c r="E1758" s="21" t="n"/>
      <c r="F1758" s="23" t="n"/>
      <c r="G1758" s="138" t="n">
        <v>24572</v>
      </c>
      <c r="H1758" s="138" t="n"/>
      <c r="I1758" s="138">
        <f>+I1757+(G1758-H1758)</f>
        <v/>
      </c>
      <c r="J1758" s="139">
        <f>+K1758/G1758</f>
        <v/>
      </c>
      <c r="K1758" s="140" t="n">
        <v>991057.73</v>
      </c>
      <c r="L1758" s="140">
        <f>+H1758*J1758</f>
        <v/>
      </c>
      <c r="M1758" s="141">
        <f>SUM(M1757+K1758-L1758)</f>
        <v/>
      </c>
    </row>
    <row r="1759">
      <c r="A1759" s="20" t="n">
        <v>45767</v>
      </c>
      <c r="B1759" s="1" t="n">
        <v>14666</v>
      </c>
      <c r="C1759" s="2" t="inlineStr">
        <is>
          <t>EVKUR</t>
        </is>
      </c>
      <c r="D1759" s="1" t="inlineStr">
        <is>
          <t>KİRALIK KATO</t>
        </is>
      </c>
      <c r="E1759" s="1" t="inlineStr">
        <is>
          <t>BURAK ŞENDOĞAN TALİMATIYLA</t>
        </is>
      </c>
      <c r="F1759" s="3" t="n"/>
      <c r="G1759" s="143" t="n"/>
      <c r="H1759" s="143" t="n">
        <v>120</v>
      </c>
      <c r="I1759" s="143">
        <f>+I1758+(G1759-H1759)</f>
        <v/>
      </c>
      <c r="J1759" s="144" t="n">
        <v>40.333</v>
      </c>
      <c r="K1759" s="145" t="n"/>
      <c r="L1759" s="140">
        <f>+H1759*J1759</f>
        <v/>
      </c>
      <c r="M1759" s="141">
        <f>SUM(M1758+K1759-L1759)</f>
        <v/>
      </c>
    </row>
    <row r="1760">
      <c r="A1760" s="20" t="n">
        <v>45767</v>
      </c>
      <c r="B1760" s="1" t="n">
        <v>15441</v>
      </c>
      <c r="C1760" s="2" t="inlineStr">
        <is>
          <t>GARAJ</t>
        </is>
      </c>
      <c r="D1760" s="1" t="inlineStr">
        <is>
          <t>SM 300</t>
        </is>
      </c>
      <c r="E1760" s="1" t="inlineStr">
        <is>
          <t>TURGUT SANCAK</t>
        </is>
      </c>
      <c r="F1760" s="3" t="n"/>
      <c r="G1760" s="143" t="n"/>
      <c r="H1760" s="143" t="n">
        <v>393</v>
      </c>
      <c r="I1760" s="143">
        <f>+I1759+(G1760-H1760)</f>
        <v/>
      </c>
      <c r="J1760" s="144" t="n">
        <v>40.333</v>
      </c>
      <c r="K1760" s="145" t="n"/>
      <c r="L1760" s="140">
        <f>+H1760*J1760</f>
        <v/>
      </c>
      <c r="M1760" s="141">
        <f>SUM(M1759+K1760-L1760)</f>
        <v/>
      </c>
    </row>
    <row r="1761">
      <c r="A1761" s="20" t="n">
        <v>45767</v>
      </c>
      <c r="B1761" s="1" t="n">
        <v>15440</v>
      </c>
      <c r="C1761" s="2" t="inlineStr">
        <is>
          <t>VARLIK</t>
        </is>
      </c>
      <c r="D1761" s="1" t="inlineStr">
        <is>
          <t>SM 350</t>
        </is>
      </c>
      <c r="E1761" s="1" t="inlineStr">
        <is>
          <t>BAYRAM SANCAK</t>
        </is>
      </c>
      <c r="F1761" s="3" t="n"/>
      <c r="G1761" s="143" t="n"/>
      <c r="H1761" s="143" t="n">
        <v>403</v>
      </c>
      <c r="I1761" s="143">
        <f>+I1760+(G1761-H1761)</f>
        <v/>
      </c>
      <c r="J1761" s="144" t="n">
        <v>40.333</v>
      </c>
      <c r="K1761" s="145" t="n"/>
      <c r="L1761" s="140">
        <f>+H1761*J1761</f>
        <v/>
      </c>
      <c r="M1761" s="141">
        <f>SUM(M1760+K1761-L1761)</f>
        <v/>
      </c>
    </row>
    <row r="1762">
      <c r="A1762" s="20" t="n">
        <v>45767</v>
      </c>
      <c r="B1762" s="21" t="n">
        <v>11442</v>
      </c>
      <c r="C1762" s="22" t="inlineStr">
        <is>
          <t>METİN ERYİĞİT</t>
        </is>
      </c>
      <c r="D1762" s="21" t="inlineStr">
        <is>
          <t>34 EGR 814</t>
        </is>
      </c>
      <c r="E1762" s="21" t="inlineStr">
        <is>
          <t>GÜRAY KOYUNCU</t>
        </is>
      </c>
      <c r="F1762" s="23" t="n">
        <v>527355</v>
      </c>
      <c r="G1762" s="138" t="n"/>
      <c r="H1762" s="138" t="n">
        <v>495</v>
      </c>
      <c r="I1762" s="138">
        <f>+I1761+(G1762-H1762)</f>
        <v/>
      </c>
      <c r="J1762" s="139" t="n">
        <v>40.333</v>
      </c>
      <c r="K1762" s="140" t="n"/>
      <c r="L1762" s="140">
        <f>+H1762*J1762</f>
        <v/>
      </c>
      <c r="M1762" s="141">
        <f>SUM(M1761+K1762-L1762)</f>
        <v/>
      </c>
    </row>
    <row r="1763">
      <c r="A1763" s="20" t="n">
        <v>45767</v>
      </c>
      <c r="B1763" s="21" t="n">
        <v>11368</v>
      </c>
      <c r="C1763" s="22" t="inlineStr">
        <is>
          <t>AZGÜN YAPI</t>
        </is>
      </c>
      <c r="D1763" s="21" t="inlineStr">
        <is>
          <t>34 MKT 593</t>
        </is>
      </c>
      <c r="E1763" s="21" t="inlineStr">
        <is>
          <t>İLHAN YÜRÜK</t>
        </is>
      </c>
      <c r="F1763" s="23" t="n">
        <v>21828</v>
      </c>
      <c r="G1763" s="138" t="n"/>
      <c r="H1763" s="138" t="n">
        <v>437</v>
      </c>
      <c r="I1763" s="138">
        <f>+I1762+(G1763-H1763)</f>
        <v/>
      </c>
      <c r="J1763" s="139" t="n">
        <v>40.333</v>
      </c>
      <c r="K1763" s="140" t="n"/>
      <c r="L1763" s="140">
        <f>+H1763*J1763</f>
        <v/>
      </c>
      <c r="M1763" s="141">
        <f>SUM(M1762+K1763-L1763)</f>
        <v/>
      </c>
    </row>
    <row r="1764">
      <c r="A1764" s="20" t="n">
        <v>45767</v>
      </c>
      <c r="B1764" s="21" t="n">
        <v>10437</v>
      </c>
      <c r="C1764" s="22" t="inlineStr">
        <is>
          <t>SELİM İNŞAAT</t>
        </is>
      </c>
      <c r="D1764" s="21" t="inlineStr">
        <is>
          <t>34 FBR 781</t>
        </is>
      </c>
      <c r="E1764" s="21" t="inlineStr">
        <is>
          <t>MEVLÜT POLAT</t>
        </is>
      </c>
      <c r="F1764" s="23" t="n">
        <v>287730</v>
      </c>
      <c r="G1764" s="138" t="n"/>
      <c r="H1764" s="138" t="n">
        <v>458</v>
      </c>
      <c r="I1764" s="138">
        <f>+I1763+(G1764-H1764)</f>
        <v/>
      </c>
      <c r="J1764" s="139" t="n">
        <v>40.333</v>
      </c>
      <c r="K1764" s="140" t="n"/>
      <c r="L1764" s="140">
        <f>+H1764*J1764</f>
        <v/>
      </c>
      <c r="M1764" s="141">
        <f>SUM(M1763+K1764-L1764)</f>
        <v/>
      </c>
    </row>
    <row r="1765">
      <c r="A1765" s="20" t="n">
        <v>45767</v>
      </c>
      <c r="B1765" s="21" t="n">
        <v>11291</v>
      </c>
      <c r="C1765" s="22" t="inlineStr">
        <is>
          <t>SELİM İNŞAAT</t>
        </is>
      </c>
      <c r="D1765" s="21" t="inlineStr">
        <is>
          <t>34 EDC 162</t>
        </is>
      </c>
      <c r="E1765" s="21" t="inlineStr">
        <is>
          <t xml:space="preserve">YAKUP GÜNER </t>
        </is>
      </c>
      <c r="F1765" s="23" t="n">
        <v>354799</v>
      </c>
      <c r="G1765" s="138" t="n"/>
      <c r="H1765" s="138" t="n">
        <v>312</v>
      </c>
      <c r="I1765" s="138">
        <f>+I1764+(G1765-H1765)</f>
        <v/>
      </c>
      <c r="J1765" s="139" t="n">
        <v>40.333</v>
      </c>
      <c r="K1765" s="140" t="n"/>
      <c r="L1765" s="140">
        <f>+H1765*J1765</f>
        <v/>
      </c>
      <c r="M1765" s="141">
        <f>SUM(M1764+K1765-L1765)</f>
        <v/>
      </c>
    </row>
    <row r="1766">
      <c r="A1766" s="20" t="n">
        <v>45767</v>
      </c>
      <c r="B1766" s="21" t="n">
        <v>11823</v>
      </c>
      <c r="C1766" s="22" t="inlineStr">
        <is>
          <t>SELİM İNŞAAT</t>
        </is>
      </c>
      <c r="D1766" s="21" t="inlineStr">
        <is>
          <t>34 FSG 229</t>
        </is>
      </c>
      <c r="E1766" s="21" t="inlineStr">
        <is>
          <t>SİNAN TANRIVERDİ</t>
        </is>
      </c>
      <c r="F1766" s="23" t="n">
        <v>244506</v>
      </c>
      <c r="G1766" s="138" t="n"/>
      <c r="H1766" s="138" t="n">
        <v>437</v>
      </c>
      <c r="I1766" s="138">
        <f>+I1765+(G1766-H1766)</f>
        <v/>
      </c>
      <c r="J1766" s="139" t="n">
        <v>40.333</v>
      </c>
      <c r="K1766" s="140" t="n"/>
      <c r="L1766" s="140">
        <f>+H1766*J1766</f>
        <v/>
      </c>
      <c r="M1766" s="141">
        <f>SUM(M1765+K1766-L1766)</f>
        <v/>
      </c>
    </row>
    <row r="1767">
      <c r="A1767" s="20" t="n">
        <v>45767</v>
      </c>
      <c r="B1767" s="21" t="n">
        <v>10334</v>
      </c>
      <c r="C1767" s="22" t="inlineStr">
        <is>
          <t>SELİM İNŞAAT</t>
        </is>
      </c>
      <c r="D1767" s="21" t="inlineStr">
        <is>
          <t>34 EDB 829</t>
        </is>
      </c>
      <c r="E1767" s="21" t="inlineStr">
        <is>
          <t>İSMET BAYRAM</t>
        </is>
      </c>
      <c r="F1767" s="23" t="n">
        <v>306059</v>
      </c>
      <c r="G1767" s="138" t="n"/>
      <c r="H1767" s="138" t="n">
        <v>429</v>
      </c>
      <c r="I1767" s="138">
        <f>+I1766+(G1767-H1767)</f>
        <v/>
      </c>
      <c r="J1767" s="139" t="n">
        <v>40.333</v>
      </c>
      <c r="K1767" s="140" t="n"/>
      <c r="L1767" s="140">
        <f>+H1767*J1767</f>
        <v/>
      </c>
      <c r="M1767" s="141">
        <f>SUM(M1766+K1767-L1767)</f>
        <v/>
      </c>
    </row>
    <row r="1768">
      <c r="A1768" s="20" t="n">
        <v>45767</v>
      </c>
      <c r="B1768" s="21" t="n">
        <v>14068</v>
      </c>
      <c r="C1768" s="22" t="inlineStr">
        <is>
          <t>SELİM İNŞAAT</t>
        </is>
      </c>
      <c r="D1768" s="21" t="inlineStr">
        <is>
          <t>34 EDB 659</t>
        </is>
      </c>
      <c r="E1768" s="21" t="inlineStr">
        <is>
          <t>MEHMET SAİT ANIK</t>
        </is>
      </c>
      <c r="F1768" s="23" t="n">
        <v>327000</v>
      </c>
      <c r="G1768" s="138" t="n"/>
      <c r="H1768" s="138" t="n">
        <v>428</v>
      </c>
      <c r="I1768" s="138">
        <f>+I1767+(G1768-H1768)</f>
        <v/>
      </c>
      <c r="J1768" s="139" t="n">
        <v>40.333</v>
      </c>
      <c r="K1768" s="140" t="n"/>
      <c r="L1768" s="140">
        <f>+H1768*J1768</f>
        <v/>
      </c>
      <c r="M1768" s="141">
        <f>SUM(M1767+K1768-L1768)</f>
        <v/>
      </c>
    </row>
    <row r="1769">
      <c r="A1769" s="20" t="n">
        <v>45767</v>
      </c>
      <c r="B1769" s="21" t="n">
        <v>10697</v>
      </c>
      <c r="C1769" s="22" t="inlineStr">
        <is>
          <t>SELİM İNŞAAT</t>
        </is>
      </c>
      <c r="D1769" s="21" t="inlineStr">
        <is>
          <t>34 DTV 599</t>
        </is>
      </c>
      <c r="E1769" s="21" t="inlineStr">
        <is>
          <t>FERHAT GÜRLER</t>
        </is>
      </c>
      <c r="F1769" s="23" t="n">
        <v>420128</v>
      </c>
      <c r="G1769" s="138" t="n"/>
      <c r="H1769" s="138" t="n">
        <v>340</v>
      </c>
      <c r="I1769" s="138">
        <f>+I1768+(G1769-H1769)</f>
        <v/>
      </c>
      <c r="J1769" s="139" t="n">
        <v>40.333</v>
      </c>
      <c r="K1769" s="140" t="n"/>
      <c r="L1769" s="140">
        <f>+H1769*J1769</f>
        <v/>
      </c>
      <c r="M1769" s="141">
        <f>SUM(M1768+K1769-L1769)</f>
        <v/>
      </c>
    </row>
    <row r="1770">
      <c r="A1770" s="20" t="n">
        <v>45767</v>
      </c>
      <c r="B1770" s="21" t="n">
        <v>14805</v>
      </c>
      <c r="C1770" s="22" t="inlineStr">
        <is>
          <t>SELİM İNŞAAT</t>
        </is>
      </c>
      <c r="D1770" s="21" t="inlineStr">
        <is>
          <t>34 GVZ 268</t>
        </is>
      </c>
      <c r="E1770" s="21" t="inlineStr">
        <is>
          <t>KERİM KARAMAN</t>
        </is>
      </c>
      <c r="F1770" s="23" t="n">
        <v>178968</v>
      </c>
      <c r="G1770" s="138" t="n"/>
      <c r="H1770" s="138" t="n">
        <v>320</v>
      </c>
      <c r="I1770" s="138">
        <f>+I1769+(G1770-H1770)</f>
        <v/>
      </c>
      <c r="J1770" s="139" t="n">
        <v>40.333</v>
      </c>
      <c r="K1770" s="140" t="n"/>
      <c r="L1770" s="140">
        <f>+H1770*J1770</f>
        <v/>
      </c>
      <c r="M1770" s="141">
        <f>SUM(M1769+K1770-L1770)</f>
        <v/>
      </c>
    </row>
    <row r="1771">
      <c r="A1771" s="20" t="n">
        <v>45767</v>
      </c>
      <c r="B1771" s="21" t="n">
        <v>14217</v>
      </c>
      <c r="C1771" s="22" t="inlineStr">
        <is>
          <t>SELİM İNŞAAT</t>
        </is>
      </c>
      <c r="D1771" s="21" t="inlineStr">
        <is>
          <t xml:space="preserve">34 GUS 938 </t>
        </is>
      </c>
      <c r="E1771" s="21" t="inlineStr">
        <is>
          <t>MEHMET KAYA</t>
        </is>
      </c>
      <c r="F1771" s="23" t="n">
        <v>173025</v>
      </c>
      <c r="G1771" s="138" t="n"/>
      <c r="H1771" s="138" t="n">
        <v>275</v>
      </c>
      <c r="I1771" s="138">
        <f>+I1770+(G1771-H1771)</f>
        <v/>
      </c>
      <c r="J1771" s="139" t="n">
        <v>40.333</v>
      </c>
      <c r="K1771" s="140" t="n"/>
      <c r="L1771" s="140">
        <f>+H1771*J1771</f>
        <v/>
      </c>
      <c r="M1771" s="141">
        <f>SUM(M1770+K1771-L1771)</f>
        <v/>
      </c>
    </row>
    <row r="1772">
      <c r="A1772" s="20" t="n">
        <v>45767</v>
      </c>
      <c r="B1772" s="21" t="n">
        <v>10374</v>
      </c>
      <c r="C1772" s="22" t="inlineStr">
        <is>
          <t>SELİM İNŞAAT</t>
        </is>
      </c>
      <c r="D1772" s="21" t="inlineStr">
        <is>
          <t>34 DRU 690</t>
        </is>
      </c>
      <c r="E1772" s="21" t="inlineStr">
        <is>
          <t>MURAT DEMİRBAŞ</t>
        </is>
      </c>
      <c r="F1772" s="23" t="n">
        <v>401995</v>
      </c>
      <c r="G1772" s="138" t="n"/>
      <c r="H1772" s="138" t="n">
        <v>308</v>
      </c>
      <c r="I1772" s="138">
        <f>+I1771+(G1772-H1772)</f>
        <v/>
      </c>
      <c r="J1772" s="139" t="n">
        <v>40.333</v>
      </c>
      <c r="K1772" s="140" t="n"/>
      <c r="L1772" s="140">
        <f>+H1772*J1772</f>
        <v/>
      </c>
      <c r="M1772" s="141">
        <f>SUM(M1771+K1772-L1772)</f>
        <v/>
      </c>
    </row>
    <row r="1773">
      <c r="A1773" s="20" t="n">
        <v>45767</v>
      </c>
      <c r="B1773" s="21" t="n">
        <v>11210</v>
      </c>
      <c r="C1773" s="22" t="inlineStr">
        <is>
          <t>SELİM İNŞAAT</t>
        </is>
      </c>
      <c r="D1773" s="21" t="inlineStr">
        <is>
          <t>34 DSN 636</t>
        </is>
      </c>
      <c r="E1773" s="21" t="inlineStr">
        <is>
          <t>ÖMER KIDIL</t>
        </is>
      </c>
      <c r="F1773" s="23" t="n">
        <v>377587</v>
      </c>
      <c r="G1773" s="138" t="n"/>
      <c r="H1773" s="138" t="n">
        <v>304</v>
      </c>
      <c r="I1773" s="138">
        <f>+I1772+(G1773-H1773)</f>
        <v/>
      </c>
      <c r="J1773" s="139" t="n">
        <v>40.333</v>
      </c>
      <c r="K1773" s="140" t="n"/>
      <c r="L1773" s="140">
        <f>+H1773*J1773</f>
        <v/>
      </c>
      <c r="M1773" s="141">
        <f>SUM(M1772+K1773-L1773)</f>
        <v/>
      </c>
    </row>
    <row r="1774">
      <c r="A1774" s="20" t="n">
        <v>45767</v>
      </c>
      <c r="B1774" s="21" t="n">
        <v>11156</v>
      </c>
      <c r="C1774" s="22" t="inlineStr">
        <is>
          <t>SELİM İNŞAAT</t>
        </is>
      </c>
      <c r="D1774" s="21" t="inlineStr">
        <is>
          <t>34 HZ 1663</t>
        </is>
      </c>
      <c r="E1774" s="21" t="inlineStr">
        <is>
          <t>ÖNER DÜNDAR</t>
        </is>
      </c>
      <c r="F1774" s="23" t="n">
        <v>518910</v>
      </c>
      <c r="G1774" s="138" t="n"/>
      <c r="H1774" s="138" t="n">
        <v>424</v>
      </c>
      <c r="I1774" s="138">
        <f>+I1773+(G1774-H1774)</f>
        <v/>
      </c>
      <c r="J1774" s="139" t="n">
        <v>40.333</v>
      </c>
      <c r="K1774" s="140" t="n"/>
      <c r="L1774" s="140">
        <f>+H1774*J1774</f>
        <v/>
      </c>
      <c r="M1774" s="141">
        <f>SUM(M1773+K1774-L1774)</f>
        <v/>
      </c>
    </row>
    <row r="1775">
      <c r="A1775" s="20" t="n">
        <v>45767</v>
      </c>
      <c r="B1775" s="21" t="n">
        <v>10140</v>
      </c>
      <c r="C1775" s="22" t="inlineStr">
        <is>
          <t>SELİM İNŞAAT</t>
        </is>
      </c>
      <c r="D1775" s="21" t="inlineStr">
        <is>
          <t>34 DP 4161</t>
        </is>
      </c>
      <c r="E1775" s="21" t="inlineStr">
        <is>
          <t>RIFAT KARATAY</t>
        </is>
      </c>
      <c r="F1775" s="23" t="n">
        <v>282284</v>
      </c>
      <c r="G1775" s="138" t="n"/>
      <c r="H1775" s="138" t="n">
        <v>252</v>
      </c>
      <c r="I1775" s="138">
        <f>+I1774+(G1775-H1775)</f>
        <v/>
      </c>
      <c r="J1775" s="139" t="n">
        <v>40.333</v>
      </c>
      <c r="K1775" s="140" t="n"/>
      <c r="L1775" s="140">
        <f>+H1775*J1775</f>
        <v/>
      </c>
      <c r="M1775" s="141">
        <f>SUM(M1774+K1775-L1775)</f>
        <v/>
      </c>
    </row>
    <row r="1776">
      <c r="A1776" s="20" t="n">
        <v>45767</v>
      </c>
      <c r="B1776" s="21" t="n">
        <v>11081</v>
      </c>
      <c r="C1776" s="22" t="inlineStr">
        <is>
          <t>SELİM İNŞAAT</t>
        </is>
      </c>
      <c r="D1776" s="21" t="inlineStr">
        <is>
          <t>34 HBY 763</t>
        </is>
      </c>
      <c r="E1776" s="21" t="inlineStr">
        <is>
          <t>EMİCAN ÖZTÜRK</t>
        </is>
      </c>
      <c r="F1776" s="23" t="n">
        <v>15422</v>
      </c>
      <c r="G1776" s="138" t="n"/>
      <c r="H1776" s="138" t="n">
        <v>81</v>
      </c>
      <c r="I1776" s="138">
        <f>+I1775+(G1776-H1776)</f>
        <v/>
      </c>
      <c r="J1776" s="139" t="n">
        <v>40.333</v>
      </c>
      <c r="K1776" s="140" t="n"/>
      <c r="L1776" s="140">
        <f>+H1776*J1776</f>
        <v/>
      </c>
      <c r="M1776" s="141">
        <f>SUM(M1775+K1776-L1776)</f>
        <v/>
      </c>
    </row>
    <row r="1777">
      <c r="A1777" s="20" t="n">
        <v>45767</v>
      </c>
      <c r="B1777" s="21" t="n">
        <v>21297</v>
      </c>
      <c r="C1777" s="22" t="inlineStr">
        <is>
          <t>SELİM İNŞAAT</t>
        </is>
      </c>
      <c r="D1777" s="21" t="inlineStr">
        <is>
          <t>34 DTV 447</t>
        </is>
      </c>
      <c r="E1777" s="21" t="inlineStr">
        <is>
          <t>EBUBEKİR KOLDAŞ</t>
        </is>
      </c>
      <c r="F1777" s="23" t="n">
        <v>422812</v>
      </c>
      <c r="G1777" s="138" t="n"/>
      <c r="H1777" s="138" t="n">
        <v>380</v>
      </c>
      <c r="I1777" s="138">
        <f>+I1776+(G1777-H1777)</f>
        <v/>
      </c>
      <c r="J1777" s="139" t="n">
        <v>40.333</v>
      </c>
      <c r="K1777" s="140" t="n"/>
      <c r="L1777" s="140">
        <f>+H1777*J1777</f>
        <v/>
      </c>
      <c r="M1777" s="141">
        <f>SUM(M1776+K1777-L1777)</f>
        <v/>
      </c>
    </row>
    <row r="1778">
      <c r="A1778" s="20" t="n">
        <v>45767</v>
      </c>
      <c r="B1778" s="21" t="n">
        <v>14114</v>
      </c>
      <c r="C1778" s="22" t="inlineStr">
        <is>
          <t>SELİM İNŞAAT</t>
        </is>
      </c>
      <c r="D1778" s="21" t="inlineStr">
        <is>
          <t>34 DSN 536</t>
        </is>
      </c>
      <c r="E1778" s="21" t="inlineStr">
        <is>
          <t>DURSUN ALİ GÜREK</t>
        </is>
      </c>
      <c r="F1778" s="23" t="n">
        <v>390947</v>
      </c>
      <c r="G1778" s="138" t="n"/>
      <c r="H1778" s="138" t="n">
        <v>398</v>
      </c>
      <c r="I1778" s="138">
        <f>+I1777+(G1778-H1778)</f>
        <v/>
      </c>
      <c r="J1778" s="139" t="n">
        <v>40.333</v>
      </c>
      <c r="K1778" s="140" t="n"/>
      <c r="L1778" s="140">
        <f>+H1778*J1778</f>
        <v/>
      </c>
      <c r="M1778" s="141">
        <f>SUM(M1777+K1778-L1778)</f>
        <v/>
      </c>
    </row>
    <row r="1779">
      <c r="A1779" s="20" t="n">
        <v>45767</v>
      </c>
      <c r="B1779" s="21" t="n">
        <v>14618</v>
      </c>
      <c r="C1779" s="22" t="inlineStr">
        <is>
          <t>SELİM İNŞAAT</t>
        </is>
      </c>
      <c r="D1779" s="21" t="inlineStr">
        <is>
          <t>34 GER 445</t>
        </is>
      </c>
      <c r="E1779" s="21" t="inlineStr">
        <is>
          <t>HASAN BAYCAN</t>
        </is>
      </c>
      <c r="F1779" s="23" t="n">
        <v>40593</v>
      </c>
      <c r="G1779" s="138" t="n"/>
      <c r="H1779" s="138" t="n">
        <v>210</v>
      </c>
      <c r="I1779" s="138">
        <f>+I1778+(G1779-H1779)</f>
        <v/>
      </c>
      <c r="J1779" s="139" t="n">
        <v>40.333</v>
      </c>
      <c r="K1779" s="140" t="n"/>
      <c r="L1779" s="140">
        <f>+H1779*J1779</f>
        <v/>
      </c>
      <c r="M1779" s="141">
        <f>SUM(M1778+K1779-L1779)</f>
        <v/>
      </c>
    </row>
    <row r="1780">
      <c r="A1780" s="20" t="n">
        <v>45767</v>
      </c>
      <c r="B1780" s="21" t="n">
        <v>14516</v>
      </c>
      <c r="C1780" s="22" t="inlineStr">
        <is>
          <t>SELİM İNŞAAT</t>
        </is>
      </c>
      <c r="D1780" s="21" t="inlineStr">
        <is>
          <t>34 GER 028</t>
        </is>
      </c>
      <c r="E1780" s="21" t="inlineStr">
        <is>
          <t>A.KERİM ERGEN</t>
        </is>
      </c>
      <c r="F1780" s="23" t="n">
        <v>42369</v>
      </c>
      <c r="G1780" s="138" t="n"/>
      <c r="H1780" s="138" t="n">
        <v>198</v>
      </c>
      <c r="I1780" s="138">
        <f>+I1779+(G1780-H1780)</f>
        <v/>
      </c>
      <c r="J1780" s="139" t="n">
        <v>40.333</v>
      </c>
      <c r="K1780" s="140" t="n"/>
      <c r="L1780" s="140">
        <f>+H1780*J1780</f>
        <v/>
      </c>
      <c r="M1780" s="141">
        <f>SUM(M1779+K1780-L1780)</f>
        <v/>
      </c>
    </row>
    <row r="1781">
      <c r="A1781" s="20" t="n">
        <v>45767</v>
      </c>
      <c r="B1781" s="1" t="n">
        <v>15445</v>
      </c>
      <c r="C1781" s="2" t="inlineStr">
        <is>
          <t>HASALTUN</t>
        </is>
      </c>
      <c r="D1781" s="1" t="inlineStr">
        <is>
          <t>SM 350</t>
        </is>
      </c>
      <c r="E1781" s="1" t="inlineStr">
        <is>
          <t>TEVFİK ÖZTÜRK</t>
        </is>
      </c>
      <c r="F1781" s="3" t="n"/>
      <c r="G1781" s="143" t="n"/>
      <c r="H1781" s="143" t="n">
        <v>374</v>
      </c>
      <c r="I1781" s="143">
        <f>+I1780+(G1781-H1781)</f>
        <v/>
      </c>
      <c r="J1781" s="144" t="n">
        <v>40.333</v>
      </c>
      <c r="K1781" s="145" t="n"/>
      <c r="L1781" s="140">
        <f>+H1781*J1781</f>
        <v/>
      </c>
      <c r="M1781" s="141">
        <f>SUM(M1780+K1781-L1781)</f>
        <v/>
      </c>
    </row>
    <row r="1782">
      <c r="A1782" s="20" t="n">
        <v>45767</v>
      </c>
      <c r="B1782" s="1" t="n">
        <v>15444</v>
      </c>
      <c r="C1782" s="2" t="inlineStr">
        <is>
          <t>EVKUR</t>
        </is>
      </c>
      <c r="D1782" s="1" t="inlineStr">
        <is>
          <t>SM 370</t>
        </is>
      </c>
      <c r="E1782" s="1" t="inlineStr">
        <is>
          <t>TEKİN ŞEYLAN</t>
        </is>
      </c>
      <c r="F1782" s="3" t="n"/>
      <c r="G1782" s="143" t="n"/>
      <c r="H1782" s="143" t="n">
        <v>514</v>
      </c>
      <c r="I1782" s="143">
        <f>+I1781+(G1782-H1782)</f>
        <v/>
      </c>
      <c r="J1782" s="144" t="n">
        <v>40.333</v>
      </c>
      <c r="K1782" s="145" t="n"/>
      <c r="L1782" s="140">
        <f>+H1782*J1782</f>
        <v/>
      </c>
      <c r="M1782" s="141">
        <f>SUM(M1781+K1782-L1782)</f>
        <v/>
      </c>
    </row>
    <row r="1783">
      <c r="A1783" s="20" t="n">
        <v>45767</v>
      </c>
      <c r="B1783" s="1" t="n">
        <v>15443</v>
      </c>
      <c r="C1783" s="2" t="inlineStr">
        <is>
          <t>EVKUR</t>
        </is>
      </c>
      <c r="D1783" s="1" t="inlineStr">
        <is>
          <t>KAVAZAKİ</t>
        </is>
      </c>
      <c r="E1783" s="1" t="inlineStr">
        <is>
          <t>RAMAZAN KAYA</t>
        </is>
      </c>
      <c r="F1783" s="3" t="n"/>
      <c r="G1783" s="143" t="n"/>
      <c r="H1783" s="143" t="n">
        <v>162</v>
      </c>
      <c r="I1783" s="143">
        <f>+I1782+(G1783-H1783)</f>
        <v/>
      </c>
      <c r="J1783" s="144" t="n">
        <v>40.333</v>
      </c>
      <c r="K1783" s="145" t="n"/>
      <c r="L1783" s="140">
        <f>+H1783*J1783</f>
        <v/>
      </c>
      <c r="M1783" s="141">
        <f>SUM(M1782+K1783-L1783)</f>
        <v/>
      </c>
    </row>
    <row r="1784">
      <c r="A1784" s="20" t="n">
        <v>45767</v>
      </c>
      <c r="B1784" s="1" t="n">
        <v>15442</v>
      </c>
      <c r="C1784" s="2" t="inlineStr">
        <is>
          <t>VARLIK</t>
        </is>
      </c>
      <c r="D1784" s="1" t="inlineStr">
        <is>
          <t>SİLİNDİR</t>
        </is>
      </c>
      <c r="E1784" s="1" t="inlineStr">
        <is>
          <t>ÖNER DÜNDAR</t>
        </is>
      </c>
      <c r="F1784" s="3" t="n"/>
      <c r="G1784" s="143" t="n"/>
      <c r="H1784" s="143" t="n">
        <v>160</v>
      </c>
      <c r="I1784" s="143">
        <f>+I1783+(G1784-H1784)</f>
        <v/>
      </c>
      <c r="J1784" s="144" t="n">
        <v>40.333</v>
      </c>
      <c r="K1784" s="145" t="n"/>
      <c r="L1784" s="140">
        <f>+H1784*J1784</f>
        <v/>
      </c>
      <c r="M1784" s="141">
        <f>SUM(M1783+K1784-L1784)</f>
        <v/>
      </c>
    </row>
    <row r="1785">
      <c r="A1785" s="20" t="n">
        <v>45767</v>
      </c>
      <c r="B1785" s="21" t="n">
        <v>15903</v>
      </c>
      <c r="C1785" s="22" t="inlineStr">
        <is>
          <t>SELİM İNŞAAT</t>
        </is>
      </c>
      <c r="D1785" s="21" t="inlineStr">
        <is>
          <t>34 DFE 454</t>
        </is>
      </c>
      <c r="E1785" s="21" t="inlineStr">
        <is>
          <t>GÖRKEM KARATAY</t>
        </is>
      </c>
      <c r="F1785" s="23" t="n">
        <v>157074</v>
      </c>
      <c r="G1785" s="138" t="n"/>
      <c r="H1785" s="138" t="n">
        <v>112</v>
      </c>
      <c r="I1785" s="138">
        <f>+I1784+(G1785-H1785)</f>
        <v/>
      </c>
      <c r="J1785" s="139" t="n">
        <v>40.333</v>
      </c>
      <c r="K1785" s="140" t="n"/>
      <c r="L1785" s="140">
        <f>+H1785*J1785</f>
        <v/>
      </c>
      <c r="M1785" s="141">
        <f>SUM(M1784+K1785-L1785)</f>
        <v/>
      </c>
    </row>
    <row r="1786">
      <c r="A1786" s="20" t="n">
        <v>45768</v>
      </c>
      <c r="B1786" s="21" t="n">
        <v>14715</v>
      </c>
      <c r="C1786" s="22" t="inlineStr">
        <is>
          <t>METİN ERYİĞİT</t>
        </is>
      </c>
      <c r="D1786" s="21" t="inlineStr">
        <is>
          <t>34 GBL 998</t>
        </is>
      </c>
      <c r="E1786" s="21" t="inlineStr">
        <is>
          <t>ALİ KESKİN</t>
        </is>
      </c>
      <c r="F1786" s="23" t="n">
        <v>252762</v>
      </c>
      <c r="G1786" s="138" t="n"/>
      <c r="H1786" s="138" t="n">
        <v>320</v>
      </c>
      <c r="I1786" s="138">
        <f>+I1785+(G1786-H1786)</f>
        <v/>
      </c>
      <c r="J1786" s="139" t="n">
        <v>40.333</v>
      </c>
      <c r="K1786" s="140" t="n"/>
      <c r="L1786" s="140">
        <f>+H1786*J1786</f>
        <v/>
      </c>
      <c r="M1786" s="141">
        <f>SUM(M1785+K1786-L1786)</f>
        <v/>
      </c>
    </row>
    <row r="1787">
      <c r="A1787" s="20" t="n">
        <v>45768</v>
      </c>
      <c r="B1787" s="21" t="n">
        <v>11477</v>
      </c>
      <c r="C1787" s="22" t="inlineStr">
        <is>
          <t>METİN ŞİRİN</t>
        </is>
      </c>
      <c r="D1787" s="21" t="inlineStr">
        <is>
          <t>34 EGR 922</t>
        </is>
      </c>
      <c r="E1787" s="21" t="inlineStr">
        <is>
          <t>HALUK ÖZEN</t>
        </is>
      </c>
      <c r="F1787" s="23" t="n">
        <v>445503</v>
      </c>
      <c r="G1787" s="138" t="n"/>
      <c r="H1787" s="138" t="n">
        <v>440</v>
      </c>
      <c r="I1787" s="138">
        <f>+I1786+(G1787-H1787)</f>
        <v/>
      </c>
      <c r="J1787" s="139" t="n">
        <v>40.333</v>
      </c>
      <c r="K1787" s="140" t="n"/>
      <c r="L1787" s="140">
        <f>+H1787*J1787</f>
        <v/>
      </c>
      <c r="M1787" s="141">
        <f>SUM(M1786+K1787-L1787)</f>
        <v/>
      </c>
    </row>
    <row r="1788">
      <c r="A1788" s="20" t="n">
        <v>45768</v>
      </c>
      <c r="B1788" s="21" t="n">
        <v>15004</v>
      </c>
      <c r="C1788" s="22" t="inlineStr">
        <is>
          <t>SELİM İNŞAAT</t>
        </is>
      </c>
      <c r="D1788" s="21" t="inlineStr">
        <is>
          <t>34 GVZ 199</t>
        </is>
      </c>
      <c r="E1788" s="21" t="inlineStr">
        <is>
          <t>VAHDET GÜRLER</t>
        </is>
      </c>
      <c r="F1788" s="23" t="n">
        <v>167758</v>
      </c>
      <c r="G1788" s="138" t="n"/>
      <c r="H1788" s="138" t="n">
        <v>356</v>
      </c>
      <c r="I1788" s="138">
        <f>+I1787+(G1788-H1788)</f>
        <v/>
      </c>
      <c r="J1788" s="139" t="n">
        <v>40.333</v>
      </c>
      <c r="K1788" s="140" t="n"/>
      <c r="L1788" s="140">
        <f>+H1788*J1788</f>
        <v/>
      </c>
      <c r="M1788" s="141">
        <f>SUM(M1787+K1788-L1788)</f>
        <v/>
      </c>
    </row>
    <row r="1789">
      <c r="A1789" s="20" t="n">
        <v>45768</v>
      </c>
      <c r="B1789" s="21" t="n">
        <v>10530</v>
      </c>
      <c r="C1789" s="22" t="inlineStr">
        <is>
          <t>SELİM İNŞAAT</t>
        </is>
      </c>
      <c r="D1789" s="21" t="inlineStr">
        <is>
          <t>34 EDB 922</t>
        </is>
      </c>
      <c r="E1789" s="21" t="inlineStr">
        <is>
          <t>AHMET TOPÇU</t>
        </is>
      </c>
      <c r="F1789" s="23" t="n">
        <v>346774</v>
      </c>
      <c r="G1789" s="138" t="n"/>
      <c r="H1789" s="138" t="n">
        <v>420</v>
      </c>
      <c r="I1789" s="138">
        <f>+I1788+(G1789-H1789)</f>
        <v/>
      </c>
      <c r="J1789" s="139" t="n">
        <v>40.333</v>
      </c>
      <c r="K1789" s="140" t="n"/>
      <c r="L1789" s="140">
        <f>+H1789*J1789</f>
        <v/>
      </c>
      <c r="M1789" s="141">
        <f>SUM(M1788+K1789-L1789)</f>
        <v/>
      </c>
    </row>
    <row r="1790">
      <c r="A1790" s="20" t="n">
        <v>45768</v>
      </c>
      <c r="B1790" s="21" t="n">
        <v>14019</v>
      </c>
      <c r="C1790" s="22" t="inlineStr">
        <is>
          <t>SELİM İNŞAAT</t>
        </is>
      </c>
      <c r="D1790" s="21" t="inlineStr">
        <is>
          <t>34 GVZ 310</t>
        </is>
      </c>
      <c r="E1790" s="21" t="inlineStr">
        <is>
          <t>CELAL YÜZBAŞI</t>
        </is>
      </c>
      <c r="F1790" s="23" t="n">
        <v>183520</v>
      </c>
      <c r="G1790" s="138" t="n"/>
      <c r="H1790" s="138" t="n">
        <v>360</v>
      </c>
      <c r="I1790" s="138">
        <f>+I1789+(G1790-H1790)</f>
        <v/>
      </c>
      <c r="J1790" s="139" t="n">
        <v>40.333</v>
      </c>
      <c r="K1790" s="140" t="n"/>
      <c r="L1790" s="140">
        <f>+H1790*J1790</f>
        <v/>
      </c>
      <c r="M1790" s="141">
        <f>SUM(M1789+K1790-L1790)</f>
        <v/>
      </c>
    </row>
    <row r="1791">
      <c r="A1791" s="20" t="n">
        <v>45768</v>
      </c>
      <c r="B1791" s="21" t="n">
        <v>10698</v>
      </c>
      <c r="C1791" s="22" t="inlineStr">
        <is>
          <t>SELİM İNŞAAT</t>
        </is>
      </c>
      <c r="D1791" s="21" t="inlineStr">
        <is>
          <t>34 DTV 599</t>
        </is>
      </c>
      <c r="E1791" s="21" t="inlineStr">
        <is>
          <t>FERHAT GÜRLER</t>
        </is>
      </c>
      <c r="F1791" s="23" t="n">
        <v>420396</v>
      </c>
      <c r="G1791" s="138" t="n"/>
      <c r="H1791" s="138" t="n">
        <v>150</v>
      </c>
      <c r="I1791" s="138">
        <f>+I1790+(G1791-H1791)</f>
        <v/>
      </c>
      <c r="J1791" s="139" t="n">
        <v>40.333</v>
      </c>
      <c r="K1791" s="140" t="n"/>
      <c r="L1791" s="140">
        <f>+H1791*J1791</f>
        <v/>
      </c>
      <c r="M1791" s="141">
        <f>SUM(M1790+K1791-L1791)</f>
        <v/>
      </c>
    </row>
    <row r="1792">
      <c r="A1792" s="20" t="n">
        <v>45768</v>
      </c>
      <c r="B1792" s="21" t="n">
        <v>14468</v>
      </c>
      <c r="C1792" s="22" t="inlineStr">
        <is>
          <t>SELİM İNŞAAT</t>
        </is>
      </c>
      <c r="D1792" s="21" t="inlineStr">
        <is>
          <t>34 GUS 848</t>
        </is>
      </c>
      <c r="E1792" s="21" t="inlineStr">
        <is>
          <t>SERDAR BOZKURT</t>
        </is>
      </c>
      <c r="F1792" s="23" t="n">
        <v>178269</v>
      </c>
      <c r="G1792" s="138" t="n"/>
      <c r="H1792" s="138" t="n">
        <v>304</v>
      </c>
      <c r="I1792" s="138">
        <f>+I1791+(G1792-H1792)</f>
        <v/>
      </c>
      <c r="J1792" s="139" t="n">
        <v>40.333</v>
      </c>
      <c r="K1792" s="140" t="n"/>
      <c r="L1792" s="140">
        <f>+H1792*J1792</f>
        <v/>
      </c>
      <c r="M1792" s="141">
        <f>SUM(M1791+K1792-L1792)</f>
        <v/>
      </c>
    </row>
    <row r="1793">
      <c r="A1793" s="20" t="n">
        <v>45768</v>
      </c>
      <c r="B1793" s="21" t="n">
        <v>11139</v>
      </c>
      <c r="C1793" s="22" t="inlineStr">
        <is>
          <t>SELİM İNŞAAT</t>
        </is>
      </c>
      <c r="D1793" s="21" t="inlineStr">
        <is>
          <t>34 DTV 409</t>
        </is>
      </c>
      <c r="E1793" s="21" t="inlineStr">
        <is>
          <t xml:space="preserve">ONUR CANLI </t>
        </is>
      </c>
      <c r="F1793" s="23" t="n">
        <v>405358</v>
      </c>
      <c r="G1793" s="138" t="n"/>
      <c r="H1793" s="138" t="n">
        <v>410</v>
      </c>
      <c r="I1793" s="138">
        <f>+I1792+(G1793-H1793)</f>
        <v/>
      </c>
      <c r="J1793" s="139" t="n">
        <v>40.333</v>
      </c>
      <c r="K1793" s="140" t="n"/>
      <c r="L1793" s="140">
        <f>+H1793*J1793</f>
        <v/>
      </c>
      <c r="M1793" s="141">
        <f>SUM(M1792+K1793-L1793)</f>
        <v/>
      </c>
    </row>
    <row r="1794">
      <c r="A1794" s="20" t="n">
        <v>45768</v>
      </c>
      <c r="B1794" s="21" t="n">
        <v>15554</v>
      </c>
      <c r="C1794" s="22" t="inlineStr">
        <is>
          <t>SELİM İNŞAAT</t>
        </is>
      </c>
      <c r="D1794" s="21" t="inlineStr">
        <is>
          <t>34 GVZ 745</t>
        </is>
      </c>
      <c r="E1794" s="21" t="inlineStr">
        <is>
          <t>MUHAMMED YİĞİT</t>
        </is>
      </c>
      <c r="F1794" s="23" t="n">
        <v>174787</v>
      </c>
      <c r="G1794" s="138" t="n"/>
      <c r="H1794" s="138" t="n">
        <v>304</v>
      </c>
      <c r="I1794" s="138">
        <f>+I1793+(G1794-H1794)</f>
        <v/>
      </c>
      <c r="J1794" s="139" t="n">
        <v>40.333</v>
      </c>
      <c r="K1794" s="140" t="n"/>
      <c r="L1794" s="140">
        <f>+H1794*J1794</f>
        <v/>
      </c>
      <c r="M1794" s="141">
        <f>SUM(M1793+K1794-L1794)</f>
        <v/>
      </c>
    </row>
    <row r="1795">
      <c r="A1795" s="20" t="n">
        <v>45768</v>
      </c>
      <c r="B1795" s="21" t="n">
        <v>10781</v>
      </c>
      <c r="C1795" s="22" t="inlineStr">
        <is>
          <t>SELİM İNŞAAT</t>
        </is>
      </c>
      <c r="D1795" s="21" t="inlineStr">
        <is>
          <t>34 FBR 705</t>
        </is>
      </c>
      <c r="E1795" s="21" t="inlineStr">
        <is>
          <t>MESUT GÜRLER</t>
        </is>
      </c>
      <c r="F1795" s="23" t="n">
        <v>301150</v>
      </c>
      <c r="G1795" s="138" t="n"/>
      <c r="H1795" s="138" t="n">
        <v>270</v>
      </c>
      <c r="I1795" s="138">
        <f>+I1794+(G1795-H1795)</f>
        <v/>
      </c>
      <c r="J1795" s="139" t="n">
        <v>40.333</v>
      </c>
      <c r="K1795" s="140" t="n"/>
      <c r="L1795" s="140">
        <f>+H1795*J1795</f>
        <v/>
      </c>
      <c r="M1795" s="141">
        <f>SUM(M1794+K1795-L1795)</f>
        <v/>
      </c>
    </row>
    <row r="1796">
      <c r="A1796" s="20" t="n">
        <v>45768</v>
      </c>
      <c r="B1796" s="21" t="n">
        <v>10640</v>
      </c>
      <c r="C1796" s="22" t="inlineStr">
        <is>
          <t>SELİM İNŞAAT</t>
        </is>
      </c>
      <c r="D1796" s="21" t="inlineStr">
        <is>
          <t>34 EDB 754</t>
        </is>
      </c>
      <c r="E1796" s="21" t="inlineStr">
        <is>
          <t>EMİN PARLAKKILIÇ</t>
        </is>
      </c>
      <c r="F1796" s="23" t="n">
        <v>310148</v>
      </c>
      <c r="G1796" s="138" t="n"/>
      <c r="H1796" s="138" t="n">
        <v>368</v>
      </c>
      <c r="I1796" s="138">
        <f>+I1795+(G1796-H1796)</f>
        <v/>
      </c>
      <c r="J1796" s="139" t="n">
        <v>40.333</v>
      </c>
      <c r="K1796" s="140" t="n"/>
      <c r="L1796" s="140">
        <f>+H1796*J1796</f>
        <v/>
      </c>
      <c r="M1796" s="141">
        <f>SUM(M1795+K1796-L1796)</f>
        <v/>
      </c>
    </row>
    <row r="1797">
      <c r="A1797" s="20" t="n">
        <v>45768</v>
      </c>
      <c r="B1797" s="21" t="n">
        <v>10077</v>
      </c>
      <c r="C1797" s="22" t="inlineStr">
        <is>
          <t>SELİM İNŞAAT</t>
        </is>
      </c>
      <c r="D1797" s="21" t="inlineStr">
        <is>
          <t>34 FBR 771</t>
        </is>
      </c>
      <c r="E1797" s="21" t="inlineStr">
        <is>
          <t>HÜSEYİN AKÇİN</t>
        </is>
      </c>
      <c r="F1797" s="23" t="n">
        <v>304027</v>
      </c>
      <c r="G1797" s="138" t="n"/>
      <c r="H1797" s="138" t="n">
        <v>314</v>
      </c>
      <c r="I1797" s="138">
        <f>+I1796+(G1797-H1797)</f>
        <v/>
      </c>
      <c r="J1797" s="139" t="n">
        <v>40.333</v>
      </c>
      <c r="K1797" s="140" t="n"/>
      <c r="L1797" s="140">
        <f>+H1797*J1797</f>
        <v/>
      </c>
      <c r="M1797" s="141">
        <f>SUM(M1796+K1797-L1797)</f>
        <v/>
      </c>
    </row>
    <row r="1798">
      <c r="A1798" s="20" t="n">
        <v>45768</v>
      </c>
      <c r="B1798" s="21" t="n">
        <v>21493</v>
      </c>
      <c r="C1798" s="22" t="inlineStr">
        <is>
          <t>SELİM İNŞAAT</t>
        </is>
      </c>
      <c r="D1798" s="21" t="inlineStr">
        <is>
          <t>34 GYZ 635</t>
        </is>
      </c>
      <c r="E1798" s="21" t="inlineStr">
        <is>
          <t>ENGİN DEMİR</t>
        </is>
      </c>
      <c r="F1798" s="23" t="n">
        <v>159140</v>
      </c>
      <c r="G1798" s="138" t="n"/>
      <c r="H1798" s="138" t="n">
        <v>310</v>
      </c>
      <c r="I1798" s="138">
        <f>+I1797+(G1798-H1798)</f>
        <v/>
      </c>
      <c r="J1798" s="139" t="n">
        <v>40.333</v>
      </c>
      <c r="K1798" s="140" t="n"/>
      <c r="L1798" s="140">
        <f>+H1798*J1798</f>
        <v/>
      </c>
      <c r="M1798" s="141">
        <f>SUM(M1797+K1798-L1798)</f>
        <v/>
      </c>
    </row>
    <row r="1799">
      <c r="A1799" s="20" t="n">
        <v>45768</v>
      </c>
      <c r="B1799" s="21" t="n">
        <v>10188</v>
      </c>
      <c r="C1799" s="22" t="inlineStr">
        <is>
          <t>SELİM İNŞAAT</t>
        </is>
      </c>
      <c r="D1799" s="21" t="inlineStr">
        <is>
          <t>34 EGR 736</t>
        </is>
      </c>
      <c r="E1799" s="21" t="inlineStr">
        <is>
          <t>HAKAN ÇAVUŞOĞLU</t>
        </is>
      </c>
      <c r="F1799" s="23" t="n">
        <v>375288</v>
      </c>
      <c r="G1799" s="138" t="n"/>
      <c r="H1799" s="138" t="n">
        <v>340</v>
      </c>
      <c r="I1799" s="138">
        <f>+I1798+(G1799-H1799)</f>
        <v/>
      </c>
      <c r="J1799" s="139" t="n">
        <v>40.333</v>
      </c>
      <c r="K1799" s="140" t="n"/>
      <c r="L1799" s="140">
        <f>+H1799*J1799</f>
        <v/>
      </c>
      <c r="M1799" s="141">
        <f>SUM(M1798+K1799-L1799)</f>
        <v/>
      </c>
    </row>
    <row r="1800">
      <c r="A1800" s="20" t="n">
        <v>45768</v>
      </c>
      <c r="B1800" s="21" t="n">
        <v>11927</v>
      </c>
      <c r="C1800" s="22" t="inlineStr">
        <is>
          <t>SELİM İNŞAAT</t>
        </is>
      </c>
      <c r="D1800" s="21" t="inlineStr">
        <is>
          <t>34 FBR 742</t>
        </is>
      </c>
      <c r="E1800" s="21" t="inlineStr">
        <is>
          <t>MİKAİL BAYILMAZ</t>
        </is>
      </c>
      <c r="F1800" s="23" t="n">
        <v>304475</v>
      </c>
      <c r="G1800" s="138" t="n"/>
      <c r="H1800" s="138" t="n">
        <v>337</v>
      </c>
      <c r="I1800" s="138">
        <f>+I1799+(G1800-H1800)</f>
        <v/>
      </c>
      <c r="J1800" s="139" t="n">
        <v>40.333</v>
      </c>
      <c r="K1800" s="140" t="n"/>
      <c r="L1800" s="140">
        <f>+H1800*J1800</f>
        <v/>
      </c>
      <c r="M1800" s="141">
        <f>SUM(M1799+K1800-L1800)</f>
        <v/>
      </c>
    </row>
    <row r="1801">
      <c r="A1801" s="20" t="n">
        <v>45768</v>
      </c>
      <c r="B1801" s="21" t="n">
        <v>10291</v>
      </c>
      <c r="C1801" s="22" t="inlineStr">
        <is>
          <t>SELİM İNŞAAT</t>
        </is>
      </c>
      <c r="D1801" s="21" t="inlineStr">
        <is>
          <t>34 FBR 748</t>
        </is>
      </c>
      <c r="E1801" s="21" t="inlineStr">
        <is>
          <t>YAŞAR ÖZKAYA</t>
        </is>
      </c>
      <c r="F1801" s="23" t="n">
        <v>270558</v>
      </c>
      <c r="G1801" s="138" t="n"/>
      <c r="H1801" s="138" t="n">
        <v>235</v>
      </c>
      <c r="I1801" s="138">
        <f>+I1800+(G1801-H1801)</f>
        <v/>
      </c>
      <c r="J1801" s="139" t="n">
        <v>40.333</v>
      </c>
      <c r="K1801" s="140" t="n"/>
      <c r="L1801" s="140">
        <f>+H1801*J1801</f>
        <v/>
      </c>
      <c r="M1801" s="141">
        <f>SUM(M1800+K1801-L1801)</f>
        <v/>
      </c>
    </row>
    <row r="1802">
      <c r="A1802" s="20" t="n">
        <v>45768</v>
      </c>
      <c r="B1802" s="21" t="n">
        <v>10468</v>
      </c>
      <c r="C1802" s="22" t="inlineStr">
        <is>
          <t>AZGÜN YAPI</t>
        </is>
      </c>
      <c r="D1802" s="21" t="inlineStr">
        <is>
          <t>34 DTV 263</t>
        </is>
      </c>
      <c r="E1802" s="21" t="inlineStr">
        <is>
          <t>EDİP TORLAK</t>
        </is>
      </c>
      <c r="F1802" s="23" t="n">
        <v>371068</v>
      </c>
      <c r="G1802" s="138" t="n"/>
      <c r="H1802" s="138" t="n">
        <v>304</v>
      </c>
      <c r="I1802" s="138">
        <f>+I1801+(G1802-H1802)</f>
        <v/>
      </c>
      <c r="J1802" s="139" t="n">
        <v>40.333</v>
      </c>
      <c r="K1802" s="140" t="n"/>
      <c r="L1802" s="140">
        <f>+H1802*J1802</f>
        <v/>
      </c>
      <c r="M1802" s="141">
        <f>SUM(M1801+K1802-L1802)</f>
        <v/>
      </c>
    </row>
    <row r="1803">
      <c r="A1803" s="20" t="n">
        <v>45768</v>
      </c>
      <c r="B1803" s="21" t="n">
        <v>10875</v>
      </c>
      <c r="C1803" s="22" t="inlineStr">
        <is>
          <t>SELİM İNŞAAT</t>
        </is>
      </c>
      <c r="D1803" s="21" t="inlineStr">
        <is>
          <t>34 AR 7743</t>
        </is>
      </c>
      <c r="E1803" s="21" t="inlineStr">
        <is>
          <t>MEHMET SELİM</t>
        </is>
      </c>
      <c r="F1803" s="23" t="n">
        <v>353493</v>
      </c>
      <c r="G1803" s="138" t="n"/>
      <c r="H1803" s="138" t="n">
        <v>34</v>
      </c>
      <c r="I1803" s="138">
        <f>+I1802+(G1803-H1803)</f>
        <v/>
      </c>
      <c r="J1803" s="139" t="n">
        <v>40.333</v>
      </c>
      <c r="K1803" s="140" t="n"/>
      <c r="L1803" s="140">
        <f>+H1803*J1803</f>
        <v/>
      </c>
      <c r="M1803" s="141">
        <f>SUM(M1802+K1803-L1803)</f>
        <v/>
      </c>
    </row>
    <row r="1804">
      <c r="A1804" s="20" t="n">
        <v>45768</v>
      </c>
      <c r="B1804" s="21" t="n">
        <v>10570</v>
      </c>
      <c r="C1804" s="22" t="inlineStr">
        <is>
          <t>SELİM İNŞAAT</t>
        </is>
      </c>
      <c r="D1804" s="21" t="inlineStr">
        <is>
          <t>34 GU 945</t>
        </is>
      </c>
      <c r="E1804" s="21" t="inlineStr">
        <is>
          <t>TURAN SEVİNDİK</t>
        </is>
      </c>
      <c r="F1804" s="23" t="n">
        <v>443033</v>
      </c>
      <c r="G1804" s="138" t="n"/>
      <c r="H1804" s="138" t="n">
        <v>54</v>
      </c>
      <c r="I1804" s="138">
        <f>+I1803+(G1804-H1804)</f>
        <v/>
      </c>
      <c r="J1804" s="139" t="n">
        <v>40.333</v>
      </c>
      <c r="K1804" s="140" t="n"/>
      <c r="L1804" s="140">
        <f>+H1804*J1804</f>
        <v/>
      </c>
      <c r="M1804" s="141">
        <f>SUM(M1803+K1804-L1804)</f>
        <v/>
      </c>
    </row>
    <row r="1805">
      <c r="A1805" s="20" t="n">
        <v>45768</v>
      </c>
      <c r="B1805" s="21" t="n">
        <v>20534</v>
      </c>
      <c r="C1805" s="22" t="inlineStr">
        <is>
          <t>SELİM İNŞAAT</t>
        </is>
      </c>
      <c r="D1805" s="21" t="inlineStr">
        <is>
          <t>34 VF 2620</t>
        </is>
      </c>
      <c r="E1805" s="21" t="inlineStr">
        <is>
          <t>RECEP SELİM</t>
        </is>
      </c>
      <c r="F1805" s="23" t="n">
        <v>183340</v>
      </c>
      <c r="G1805" s="138" t="n"/>
      <c r="H1805" s="138" t="n">
        <v>66</v>
      </c>
      <c r="I1805" s="138">
        <f>+I1804+(G1805-H1805)</f>
        <v/>
      </c>
      <c r="J1805" s="139" t="n">
        <v>40.333</v>
      </c>
      <c r="K1805" s="140" t="n"/>
      <c r="L1805" s="140">
        <f>+H1805*J1805</f>
        <v/>
      </c>
      <c r="M1805" s="141">
        <f>SUM(M1804+K1805-L1805)</f>
        <v/>
      </c>
    </row>
    <row r="1806">
      <c r="A1806" s="20" t="n">
        <v>45768</v>
      </c>
      <c r="B1806" s="21" t="n">
        <v>21141</v>
      </c>
      <c r="C1806" s="22" t="inlineStr">
        <is>
          <t>SELİM İNŞAAT</t>
        </is>
      </c>
      <c r="D1806" s="21" t="inlineStr">
        <is>
          <t>34 TG 7869</t>
        </is>
      </c>
      <c r="E1806" s="21" t="inlineStr">
        <is>
          <t>METİN KALKAN</t>
        </is>
      </c>
      <c r="F1806" s="23" t="n">
        <v>181005</v>
      </c>
      <c r="G1806" s="138" t="n"/>
      <c r="H1806" s="138" t="n">
        <v>105</v>
      </c>
      <c r="I1806" s="138">
        <f>+I1805+(G1806-H1806)</f>
        <v/>
      </c>
      <c r="J1806" s="139" t="n">
        <v>40.333</v>
      </c>
      <c r="K1806" s="140" t="n"/>
      <c r="L1806" s="140">
        <f>+H1806*J1806</f>
        <v/>
      </c>
      <c r="M1806" s="141">
        <f>SUM(M1805+K1806-L1806)</f>
        <v/>
      </c>
    </row>
    <row r="1807">
      <c r="A1807" s="20" t="n">
        <v>45768</v>
      </c>
      <c r="B1807" s="21" t="n">
        <v>14322</v>
      </c>
      <c r="C1807" s="22" t="inlineStr">
        <is>
          <t>SELİM İNŞAAT</t>
        </is>
      </c>
      <c r="D1807" s="21" t="inlineStr">
        <is>
          <t>34 DKL 866</t>
        </is>
      </c>
      <c r="E1807" s="21" t="inlineStr">
        <is>
          <t>SELİM CAN ÖNVER</t>
        </is>
      </c>
      <c r="F1807" s="23" t="n">
        <v>63697</v>
      </c>
      <c r="G1807" s="138" t="n"/>
      <c r="H1807" s="138" t="n">
        <v>114</v>
      </c>
      <c r="I1807" s="138">
        <f>+I1806+(G1807-H1807)</f>
        <v/>
      </c>
      <c r="J1807" s="139" t="n">
        <v>40.333</v>
      </c>
      <c r="K1807" s="140" t="n"/>
      <c r="L1807" s="140">
        <f>+H1807*J1807</f>
        <v/>
      </c>
      <c r="M1807" s="141">
        <f>SUM(M1806+K1807-L1807)</f>
        <v/>
      </c>
    </row>
    <row r="1808">
      <c r="A1808" s="20" t="n">
        <v>45768</v>
      </c>
      <c r="B1808" s="1" t="n">
        <v>15446</v>
      </c>
      <c r="C1808" s="2" t="inlineStr">
        <is>
          <t>VARLIK</t>
        </is>
      </c>
      <c r="D1808" s="1" t="inlineStr">
        <is>
          <t>KAVAZAKİ</t>
        </is>
      </c>
      <c r="E1808" s="1" t="inlineStr">
        <is>
          <t>UFUK SEVAL</t>
        </is>
      </c>
      <c r="F1808" s="3" t="n"/>
      <c r="G1808" s="143" t="n"/>
      <c r="H1808" s="143" t="n">
        <v>100</v>
      </c>
      <c r="I1808" s="143">
        <f>+I1807+(G1808-H1808)</f>
        <v/>
      </c>
      <c r="J1808" s="144" t="n">
        <v>40.333</v>
      </c>
      <c r="K1808" s="145" t="n"/>
      <c r="L1808" s="140">
        <f>+H1808*J1808</f>
        <v/>
      </c>
      <c r="M1808" s="141">
        <f>SUM(M1807+K1808-L1808)</f>
        <v/>
      </c>
    </row>
    <row r="1809">
      <c r="A1809" s="20" t="n">
        <v>45768</v>
      </c>
      <c r="B1809" s="1" t="n">
        <v>15447</v>
      </c>
      <c r="C1809" s="2" t="inlineStr">
        <is>
          <t>VARLIK</t>
        </is>
      </c>
      <c r="D1809" s="1" t="inlineStr">
        <is>
          <t>SM 350</t>
        </is>
      </c>
      <c r="E1809" s="1" t="inlineStr">
        <is>
          <t>BAYRAM SANCAK</t>
        </is>
      </c>
      <c r="F1809" s="3" t="n"/>
      <c r="G1809" s="143" t="n"/>
      <c r="H1809" s="143" t="n">
        <v>281</v>
      </c>
      <c r="I1809" s="143">
        <f>+I1808+(G1809-H1809)</f>
        <v/>
      </c>
      <c r="J1809" s="144" t="n">
        <v>40.333</v>
      </c>
      <c r="K1809" s="145" t="n"/>
      <c r="L1809" s="140">
        <f>+H1809*J1809</f>
        <v/>
      </c>
      <c r="M1809" s="141">
        <f>SUM(M1808+K1809-L1809)</f>
        <v/>
      </c>
    </row>
    <row r="1810">
      <c r="A1810" s="20" t="n">
        <v>45768</v>
      </c>
      <c r="B1810" s="1" t="n">
        <v>15478</v>
      </c>
      <c r="C1810" s="2" t="inlineStr">
        <is>
          <t>VARLIK</t>
        </is>
      </c>
      <c r="D1810" s="1" t="inlineStr">
        <is>
          <t>SM 300</t>
        </is>
      </c>
      <c r="E1810" s="1" t="inlineStr">
        <is>
          <t>TURGUT SANCAK</t>
        </is>
      </c>
      <c r="F1810" s="3" t="n"/>
      <c r="G1810" s="143" t="n"/>
      <c r="H1810" s="143" t="n">
        <v>265</v>
      </c>
      <c r="I1810" s="143">
        <f>+I1809+(G1810-H1810)</f>
        <v/>
      </c>
      <c r="J1810" s="144" t="n">
        <v>40.333</v>
      </c>
      <c r="K1810" s="145" t="n"/>
      <c r="L1810" s="140">
        <f>+H1810*J1810</f>
        <v/>
      </c>
      <c r="M1810" s="141">
        <f>SUM(M1809+K1810-L1810)</f>
        <v/>
      </c>
    </row>
    <row r="1811">
      <c r="A1811" s="20" t="n">
        <v>45768</v>
      </c>
      <c r="B1811" s="1" t="n">
        <v>15449</v>
      </c>
      <c r="C1811" s="2" t="inlineStr">
        <is>
          <t>HASALTUN</t>
        </is>
      </c>
      <c r="D1811" s="1" t="inlineStr">
        <is>
          <t>SM 370</t>
        </is>
      </c>
      <c r="E1811" s="1" t="inlineStr">
        <is>
          <t>TEKİN ŞEYLAN</t>
        </is>
      </c>
      <c r="F1811" s="3" t="n"/>
      <c r="G1811" s="143" t="n"/>
      <c r="H1811" s="143" t="n">
        <v>411</v>
      </c>
      <c r="I1811" s="143">
        <f>+I1810+(G1811-H1811)</f>
        <v/>
      </c>
      <c r="J1811" s="144" t="n">
        <v>40.333</v>
      </c>
      <c r="K1811" s="145" t="n"/>
      <c r="L1811" s="140">
        <f>+H1811*J1811</f>
        <v/>
      </c>
      <c r="M1811" s="141">
        <f>SUM(M1810+K1811-L1811)</f>
        <v/>
      </c>
    </row>
    <row r="1812">
      <c r="A1812" s="20" t="n">
        <v>45768</v>
      </c>
      <c r="B1812" s="1" t="n">
        <v>15453</v>
      </c>
      <c r="C1812" s="2" t="inlineStr">
        <is>
          <t>HASALTUN</t>
        </is>
      </c>
      <c r="D1812" s="1" t="inlineStr">
        <is>
          <t>SM 350</t>
        </is>
      </c>
      <c r="E1812" s="1" t="inlineStr">
        <is>
          <t>TEVFİK ÖZTÜRK</t>
        </is>
      </c>
      <c r="F1812" s="3" t="n"/>
      <c r="G1812" s="143" t="n"/>
      <c r="H1812" s="143" t="n">
        <v>348</v>
      </c>
      <c r="I1812" s="143">
        <f>+I1811+(G1812-H1812)</f>
        <v/>
      </c>
      <c r="J1812" s="144" t="n">
        <v>40.333</v>
      </c>
      <c r="K1812" s="145" t="n"/>
      <c r="L1812" s="140">
        <f>+H1812*J1812</f>
        <v/>
      </c>
      <c r="M1812" s="141">
        <f>SUM(M1811+K1812-L1812)</f>
        <v/>
      </c>
    </row>
    <row r="1813">
      <c r="A1813" s="20" t="n">
        <v>45768</v>
      </c>
      <c r="B1813" s="1" t="n">
        <v>15457</v>
      </c>
      <c r="C1813" s="2" t="inlineStr">
        <is>
          <t>VARLIK</t>
        </is>
      </c>
      <c r="D1813" s="1" t="inlineStr">
        <is>
          <t>SM 300</t>
        </is>
      </c>
      <c r="E1813" s="1" t="inlineStr">
        <is>
          <t>TURGUT SANCAK</t>
        </is>
      </c>
      <c r="F1813" s="3" t="n"/>
      <c r="G1813" s="143" t="n"/>
      <c r="H1813" s="143" t="n">
        <v>300</v>
      </c>
      <c r="I1813" s="143">
        <f>+I1812+(G1813-H1813)</f>
        <v/>
      </c>
      <c r="J1813" s="144" t="n">
        <v>40.333</v>
      </c>
      <c r="K1813" s="145" t="n"/>
      <c r="L1813" s="140">
        <f>+H1813*J1813</f>
        <v/>
      </c>
      <c r="M1813" s="141">
        <f>SUM(M1812+K1813-L1813)</f>
        <v/>
      </c>
    </row>
    <row r="1814">
      <c r="A1814" s="20" t="n">
        <v>45769</v>
      </c>
      <c r="B1814" s="21" t="n">
        <v>10041</v>
      </c>
      <c r="C1814" s="22" t="inlineStr">
        <is>
          <t>METİN ERYİĞİT</t>
        </is>
      </c>
      <c r="D1814" s="21" t="inlineStr">
        <is>
          <t>34 EGS 013</t>
        </is>
      </c>
      <c r="E1814" s="21" t="inlineStr">
        <is>
          <t xml:space="preserve">UĞUR DUMAN </t>
        </is>
      </c>
      <c r="F1814" s="23" t="n">
        <v>475788</v>
      </c>
      <c r="G1814" s="138" t="n"/>
      <c r="H1814" s="138" t="n">
        <v>404</v>
      </c>
      <c r="I1814" s="138">
        <f>+I1813+(G1814-H1814)</f>
        <v/>
      </c>
      <c r="J1814" s="139" t="n">
        <v>40.333</v>
      </c>
      <c r="K1814" s="140" t="n"/>
      <c r="L1814" s="140">
        <f>+H1814*J1814</f>
        <v/>
      </c>
      <c r="M1814" s="141">
        <f>SUM(M1813+K1814-L1814)</f>
        <v/>
      </c>
    </row>
    <row r="1815">
      <c r="A1815" s="20" t="n">
        <v>45769</v>
      </c>
      <c r="B1815" s="21" t="n">
        <v>15005</v>
      </c>
      <c r="C1815" s="22" t="inlineStr">
        <is>
          <t>SELİM İNŞAAT</t>
        </is>
      </c>
      <c r="D1815" s="21" t="inlineStr">
        <is>
          <t>34 GVZ 199</t>
        </is>
      </c>
      <c r="E1815" s="21" t="inlineStr">
        <is>
          <t>VAHDET GÜRLER</t>
        </is>
      </c>
      <c r="F1815" s="23" t="n">
        <v>168187</v>
      </c>
      <c r="G1815" s="138" t="n"/>
      <c r="H1815" s="138" t="n">
        <v>193</v>
      </c>
      <c r="I1815" s="138">
        <f>+I1814+(G1815-H1815)</f>
        <v/>
      </c>
      <c r="J1815" s="139" t="n">
        <v>40.333</v>
      </c>
      <c r="K1815" s="140" t="n"/>
      <c r="L1815" s="140">
        <f>+H1815*J1815</f>
        <v/>
      </c>
      <c r="M1815" s="141">
        <f>SUM(M1814+K1815-L1815)</f>
        <v/>
      </c>
    </row>
    <row r="1816">
      <c r="A1816" s="20" t="n">
        <v>45769</v>
      </c>
      <c r="B1816" s="21" t="n">
        <v>14414</v>
      </c>
      <c r="C1816" s="22" t="inlineStr">
        <is>
          <t>SELİM İNŞAAT</t>
        </is>
      </c>
      <c r="D1816" s="21" t="inlineStr">
        <is>
          <t>34 EGR 737</t>
        </is>
      </c>
      <c r="E1816" s="21" t="inlineStr">
        <is>
          <t>EBUBEKİR KOLDAŞ</t>
        </is>
      </c>
      <c r="F1816" s="23" t="n">
        <v>403874</v>
      </c>
      <c r="G1816" s="138" t="n"/>
      <c r="H1816" s="138" t="n">
        <v>452</v>
      </c>
      <c r="I1816" s="138">
        <f>+I1815+(G1816-H1816)</f>
        <v/>
      </c>
      <c r="J1816" s="139" t="n">
        <v>40.333</v>
      </c>
      <c r="K1816" s="140" t="n"/>
      <c r="L1816" s="140">
        <f>+H1816*J1816</f>
        <v/>
      </c>
      <c r="M1816" s="141">
        <f>SUM(M1815+K1816-L1816)</f>
        <v/>
      </c>
    </row>
    <row r="1817">
      <c r="A1817" s="20" t="n">
        <v>45769</v>
      </c>
      <c r="B1817" s="21" t="n">
        <v>10782</v>
      </c>
      <c r="C1817" s="22" t="inlineStr">
        <is>
          <t>SELİM İNŞAAT</t>
        </is>
      </c>
      <c r="D1817" s="21" t="inlineStr">
        <is>
          <t>34 FBR 705</t>
        </is>
      </c>
      <c r="E1817" s="21" t="inlineStr">
        <is>
          <t>MESUT GÜRLER</t>
        </is>
      </c>
      <c r="F1817" s="23" t="n">
        <v>301671</v>
      </c>
      <c r="G1817" s="138" t="n"/>
      <c r="H1817" s="138" t="n">
        <v>239</v>
      </c>
      <c r="I1817" s="138">
        <f>+I1816+(G1817-H1817)</f>
        <v/>
      </c>
      <c r="J1817" s="139" t="n">
        <v>40.333</v>
      </c>
      <c r="K1817" s="140" t="n"/>
      <c r="L1817" s="140">
        <f>+H1817*J1817</f>
        <v/>
      </c>
      <c r="M1817" s="141">
        <f>SUM(M1816+K1817-L1817)</f>
        <v/>
      </c>
    </row>
    <row r="1818">
      <c r="A1818" s="20" t="n">
        <v>45769</v>
      </c>
      <c r="B1818" s="21" t="n">
        <v>10335</v>
      </c>
      <c r="C1818" s="22" t="inlineStr">
        <is>
          <t>SELİM İNŞAAT</t>
        </is>
      </c>
      <c r="D1818" s="21" t="inlineStr">
        <is>
          <t>34 EDB 829</t>
        </is>
      </c>
      <c r="E1818" s="21" t="inlineStr">
        <is>
          <t>İSMET BAYRAM</t>
        </is>
      </c>
      <c r="F1818" s="23" t="n">
        <v>306695</v>
      </c>
      <c r="G1818" s="138" t="n"/>
      <c r="H1818" s="138" t="n">
        <v>311</v>
      </c>
      <c r="I1818" s="138">
        <f>+I1817+(G1818-H1818)</f>
        <v/>
      </c>
      <c r="J1818" s="139" t="n">
        <v>40.333</v>
      </c>
      <c r="K1818" s="140" t="n"/>
      <c r="L1818" s="140">
        <f>+H1818*J1818</f>
        <v/>
      </c>
      <c r="M1818" s="141">
        <f>SUM(M1817+K1818-L1818)</f>
        <v/>
      </c>
    </row>
    <row r="1819">
      <c r="A1819" s="20" t="n">
        <v>45769</v>
      </c>
      <c r="B1819" s="21" t="n">
        <v>10375</v>
      </c>
      <c r="C1819" s="22" t="inlineStr">
        <is>
          <t>SELİM İNŞAAT</t>
        </is>
      </c>
      <c r="D1819" s="21" t="inlineStr">
        <is>
          <t>34 DRU 690</t>
        </is>
      </c>
      <c r="E1819" s="21" t="inlineStr">
        <is>
          <t>MURAT DEMİRBAŞ</t>
        </is>
      </c>
      <c r="F1819" s="23" t="n">
        <v>402789</v>
      </c>
      <c r="G1819" s="138" t="n"/>
      <c r="H1819" s="138" t="n">
        <v>405</v>
      </c>
      <c r="I1819" s="138">
        <f>+I1818+(G1819-H1819)</f>
        <v/>
      </c>
      <c r="J1819" s="139" t="n">
        <v>40.333</v>
      </c>
      <c r="K1819" s="140" t="n"/>
      <c r="L1819" s="140">
        <f>+H1819*J1819</f>
        <v/>
      </c>
      <c r="M1819" s="141">
        <f>SUM(M1818+K1819-L1819)</f>
        <v/>
      </c>
    </row>
    <row r="1820">
      <c r="A1820" s="20" t="n">
        <v>45769</v>
      </c>
      <c r="B1820" s="21" t="n">
        <v>14218</v>
      </c>
      <c r="C1820" s="22" t="inlineStr">
        <is>
          <t>SELİM İNŞAAT</t>
        </is>
      </c>
      <c r="D1820" s="21" t="inlineStr">
        <is>
          <t xml:space="preserve">34 GUS 938 </t>
        </is>
      </c>
      <c r="E1820" s="21" t="inlineStr">
        <is>
          <t>MEHMET KAYA</t>
        </is>
      </c>
      <c r="F1820" s="23" t="n">
        <v>173660</v>
      </c>
      <c r="G1820" s="138" t="n"/>
      <c r="H1820" s="138" t="n">
        <v>307</v>
      </c>
      <c r="I1820" s="138">
        <f>+I1819+(G1820-H1820)</f>
        <v/>
      </c>
      <c r="J1820" s="139" t="n">
        <v>40.333</v>
      </c>
      <c r="K1820" s="140" t="n"/>
      <c r="L1820" s="140">
        <f>+H1820*J1820</f>
        <v/>
      </c>
      <c r="M1820" s="141">
        <f>SUM(M1819+K1820-L1820)</f>
        <v/>
      </c>
    </row>
    <row r="1821">
      <c r="A1821" s="20" t="n">
        <v>45769</v>
      </c>
      <c r="B1821" s="21" t="n">
        <v>11211</v>
      </c>
      <c r="C1821" s="22" t="inlineStr">
        <is>
          <t>SELİM İNŞAAT</t>
        </is>
      </c>
      <c r="D1821" s="21" t="inlineStr">
        <is>
          <t>34 DSN 636</t>
        </is>
      </c>
      <c r="E1821" s="21" t="inlineStr">
        <is>
          <t>ÖMER KIDIL</t>
        </is>
      </c>
      <c r="F1821" s="23" t="n">
        <v>378327</v>
      </c>
      <c r="G1821" s="138" t="n"/>
      <c r="H1821" s="138" t="n">
        <v>392</v>
      </c>
      <c r="I1821" s="138">
        <f>+I1820+(G1821-H1821)</f>
        <v/>
      </c>
      <c r="J1821" s="139" t="n">
        <v>40.333</v>
      </c>
      <c r="K1821" s="140" t="n"/>
      <c r="L1821" s="140">
        <f>+H1821*J1821</f>
        <v/>
      </c>
      <c r="M1821" s="141">
        <f>SUM(M1820+K1821-L1821)</f>
        <v/>
      </c>
    </row>
    <row r="1822">
      <c r="A1822" s="20" t="n">
        <v>45769</v>
      </c>
      <c r="B1822" s="21" t="n">
        <v>14115</v>
      </c>
      <c r="C1822" s="22" t="inlineStr">
        <is>
          <t>SELİM İNŞAAT</t>
        </is>
      </c>
      <c r="D1822" s="21" t="inlineStr">
        <is>
          <t>34 DSN 536</t>
        </is>
      </c>
      <c r="E1822" s="21" t="inlineStr">
        <is>
          <t>DURSUN ALİ GÜREK</t>
        </is>
      </c>
      <c r="F1822" s="23" t="n">
        <v>391670</v>
      </c>
      <c r="G1822" s="138" t="n"/>
      <c r="H1822" s="138" t="n">
        <v>377</v>
      </c>
      <c r="I1822" s="138">
        <f>+I1821+(G1822-H1822)</f>
        <v/>
      </c>
      <c r="J1822" s="139" t="n">
        <v>40.333</v>
      </c>
      <c r="K1822" s="140" t="n"/>
      <c r="L1822" s="140">
        <f>+H1822*J1822</f>
        <v/>
      </c>
      <c r="M1822" s="141">
        <f>SUM(M1821+K1822-L1822)</f>
        <v/>
      </c>
    </row>
    <row r="1823">
      <c r="A1823" s="20" t="n">
        <v>45769</v>
      </c>
      <c r="B1823" s="21" t="n">
        <v>11797</v>
      </c>
      <c r="C1823" s="22" t="inlineStr">
        <is>
          <t>SELİM İNŞAAT</t>
        </is>
      </c>
      <c r="D1823" s="21" t="inlineStr">
        <is>
          <t>34 EDC 086</t>
        </is>
      </c>
      <c r="E1823" s="21" t="inlineStr">
        <is>
          <t>ÖMER AĞAYAR</t>
        </is>
      </c>
      <c r="F1823" s="23" t="n">
        <v>313504</v>
      </c>
      <c r="G1823" s="138" t="n"/>
      <c r="H1823" s="138" t="n">
        <v>310</v>
      </c>
      <c r="I1823" s="138">
        <f>+I1822+(G1823-H1823)</f>
        <v/>
      </c>
      <c r="J1823" s="139" t="n">
        <v>40.333</v>
      </c>
      <c r="K1823" s="140" t="n"/>
      <c r="L1823" s="140">
        <f>+H1823*J1823</f>
        <v/>
      </c>
      <c r="M1823" s="141">
        <f>SUM(M1822+K1823-L1823)</f>
        <v/>
      </c>
    </row>
    <row r="1824">
      <c r="A1824" s="20" t="n">
        <v>45769</v>
      </c>
      <c r="B1824" s="21" t="n">
        <v>11292</v>
      </c>
      <c r="C1824" s="22" t="inlineStr">
        <is>
          <t>SELİM İNŞAAT</t>
        </is>
      </c>
      <c r="D1824" s="21" t="inlineStr">
        <is>
          <t>34 EDC 162</t>
        </is>
      </c>
      <c r="E1824" s="21" t="inlineStr">
        <is>
          <t xml:space="preserve">YAKUP GÜNER </t>
        </is>
      </c>
      <c r="F1824" s="23" t="n">
        <v>355440</v>
      </c>
      <c r="G1824" s="138" t="n"/>
      <c r="H1824" s="138" t="n">
        <v>334</v>
      </c>
      <c r="I1824" s="138">
        <f>+I1823+(G1824-H1824)</f>
        <v/>
      </c>
      <c r="J1824" s="139" t="n">
        <v>40.333</v>
      </c>
      <c r="K1824" s="140" t="n"/>
      <c r="L1824" s="140">
        <f>+H1824*J1824</f>
        <v/>
      </c>
      <c r="M1824" s="141">
        <f>SUM(M1823+K1824-L1824)</f>
        <v/>
      </c>
    </row>
    <row r="1825">
      <c r="A1825" s="20" t="n">
        <v>45769</v>
      </c>
      <c r="B1825" s="21" t="n">
        <v>14069</v>
      </c>
      <c r="C1825" s="22" t="inlineStr">
        <is>
          <t>SELİM İNŞAAT</t>
        </is>
      </c>
      <c r="D1825" s="21" t="inlineStr">
        <is>
          <t>34 EDB 659</t>
        </is>
      </c>
      <c r="E1825" s="21" t="inlineStr">
        <is>
          <t>MEHMET SAİT ANIK</t>
        </is>
      </c>
      <c r="F1825" s="23" t="n">
        <v>327500</v>
      </c>
      <c r="G1825" s="138" t="n"/>
      <c r="H1825" s="138" t="n">
        <v>254</v>
      </c>
      <c r="I1825" s="138">
        <f>+I1824+(G1825-H1825)</f>
        <v/>
      </c>
      <c r="J1825" s="139" t="n">
        <v>40.333</v>
      </c>
      <c r="K1825" s="140" t="n"/>
      <c r="L1825" s="140">
        <f>+H1825*J1825</f>
        <v/>
      </c>
      <c r="M1825" s="141">
        <f>SUM(M1824+K1825-L1825)</f>
        <v/>
      </c>
    </row>
    <row r="1826">
      <c r="A1826" s="20" t="n">
        <v>45769</v>
      </c>
      <c r="B1826" s="21" t="n">
        <v>10438</v>
      </c>
      <c r="C1826" s="22" t="inlineStr">
        <is>
          <t>SELİM İNŞAAT</t>
        </is>
      </c>
      <c r="D1826" s="21" t="inlineStr">
        <is>
          <t>34 FBR 781</t>
        </is>
      </c>
      <c r="E1826" s="21" t="inlineStr">
        <is>
          <t>MEVLÜT POLAT</t>
        </is>
      </c>
      <c r="F1826" s="23" t="n">
        <v>288389</v>
      </c>
      <c r="G1826" s="138" t="n"/>
      <c r="H1826" s="138" t="n">
        <v>318</v>
      </c>
      <c r="I1826" s="138">
        <f>+I1825+(G1826-H1826)</f>
        <v/>
      </c>
      <c r="J1826" s="139" t="n">
        <v>40.333</v>
      </c>
      <c r="K1826" s="140" t="n"/>
      <c r="L1826" s="140">
        <f>+H1826*J1826</f>
        <v/>
      </c>
      <c r="M1826" s="141">
        <f>SUM(M1825+K1826-L1826)</f>
        <v/>
      </c>
    </row>
    <row r="1827">
      <c r="A1827" s="20" t="n">
        <v>45769</v>
      </c>
      <c r="B1827" s="21" t="n">
        <v>11635</v>
      </c>
      <c r="C1827" s="22" t="inlineStr">
        <is>
          <t>SELİM İNŞAAT</t>
        </is>
      </c>
      <c r="D1827" s="21" t="inlineStr">
        <is>
          <t>34 DTV 352</t>
        </is>
      </c>
      <c r="E1827" s="21" t="inlineStr">
        <is>
          <t>RASİM BARTU</t>
        </is>
      </c>
      <c r="F1827" s="23" t="n">
        <v>420611</v>
      </c>
      <c r="G1827" s="138" t="n"/>
      <c r="H1827" s="138" t="n">
        <v>419</v>
      </c>
      <c r="I1827" s="138">
        <f>+I1826+(G1827-H1827)</f>
        <v/>
      </c>
      <c r="J1827" s="139" t="n">
        <v>40.333</v>
      </c>
      <c r="K1827" s="140" t="n"/>
      <c r="L1827" s="140">
        <f>+H1827*J1827</f>
        <v/>
      </c>
      <c r="M1827" s="141">
        <f>SUM(M1826+K1827-L1827)</f>
        <v/>
      </c>
    </row>
    <row r="1828">
      <c r="A1828" s="20" t="n">
        <v>45769</v>
      </c>
      <c r="B1828" s="21" t="n">
        <v>14667</v>
      </c>
      <c r="C1828" s="22" t="inlineStr">
        <is>
          <t>AHMET SELİM TEMHA</t>
        </is>
      </c>
      <c r="D1828" s="21" t="inlineStr">
        <is>
          <t>34 DGE 422</t>
        </is>
      </c>
      <c r="E1828" s="21" t="inlineStr">
        <is>
          <t>CEMAL AKDAMAR</t>
        </is>
      </c>
      <c r="F1828" s="23" t="n"/>
      <c r="G1828" s="138" t="n"/>
      <c r="H1828" s="138" t="n">
        <v>37</v>
      </c>
      <c r="I1828" s="138">
        <f>+I1827+(G1828-H1828)</f>
        <v/>
      </c>
      <c r="J1828" s="139" t="n">
        <v>40.333</v>
      </c>
      <c r="K1828" s="140" t="n"/>
      <c r="L1828" s="140">
        <f>+H1828*J1828</f>
        <v/>
      </c>
      <c r="M1828" s="141">
        <f>SUM(M1827+K1828-L1828)</f>
        <v/>
      </c>
    </row>
    <row r="1829">
      <c r="A1829" s="20" t="n">
        <v>45769</v>
      </c>
      <c r="B1829" s="21" t="n">
        <v>21317</v>
      </c>
      <c r="C1829" s="22" t="inlineStr">
        <is>
          <t>SELİM İNŞAAT</t>
        </is>
      </c>
      <c r="D1829" s="21" t="inlineStr">
        <is>
          <t>34 FEM 934</t>
        </is>
      </c>
      <c r="E1829" s="21" t="inlineStr">
        <is>
          <t>ENGİN DEMİR</t>
        </is>
      </c>
      <c r="F1829" s="23" t="n">
        <v>304560</v>
      </c>
      <c r="G1829" s="138" t="n"/>
      <c r="H1829" s="138" t="n">
        <v>74</v>
      </c>
      <c r="I1829" s="138">
        <f>+I1828+(G1829-H1829)</f>
        <v/>
      </c>
      <c r="J1829" s="139" t="n">
        <v>40.333</v>
      </c>
      <c r="K1829" s="140" t="n"/>
      <c r="L1829" s="140">
        <f>+H1829*J1829</f>
        <v/>
      </c>
      <c r="M1829" s="141">
        <f>SUM(M1828+K1829-L1829)</f>
        <v/>
      </c>
    </row>
    <row r="1830">
      <c r="A1830" s="20" t="n">
        <v>45769</v>
      </c>
      <c r="B1830" s="21" t="n">
        <v>20194</v>
      </c>
      <c r="C1830" s="22" t="inlineStr">
        <is>
          <t>SELİM İNŞAAT</t>
        </is>
      </c>
      <c r="D1830" s="21" t="inlineStr">
        <is>
          <t>34 JGR 15</t>
        </is>
      </c>
      <c r="E1830" s="21" t="inlineStr">
        <is>
          <t>ŞERİF KARTAL</t>
        </is>
      </c>
      <c r="F1830" s="23" t="n">
        <v>308114</v>
      </c>
      <c r="G1830" s="138" t="n"/>
      <c r="H1830" s="138" t="n">
        <v>63</v>
      </c>
      <c r="I1830" s="138">
        <f>+I1829+(G1830-H1830)</f>
        <v/>
      </c>
      <c r="J1830" s="139" t="n">
        <v>40.333</v>
      </c>
      <c r="K1830" s="140" t="n"/>
      <c r="L1830" s="140">
        <f>+H1830*J1830</f>
        <v/>
      </c>
      <c r="M1830" s="141">
        <f>SUM(M1829+K1830-L1830)</f>
        <v/>
      </c>
    </row>
    <row r="1831">
      <c r="A1831" s="20" t="n">
        <v>45769</v>
      </c>
      <c r="B1831" s="21" t="n">
        <v>14619</v>
      </c>
      <c r="C1831" s="22" t="inlineStr">
        <is>
          <t>SELİM İNŞAAT</t>
        </is>
      </c>
      <c r="D1831" s="21" t="inlineStr">
        <is>
          <t>34 GER 445</t>
        </is>
      </c>
      <c r="E1831" s="21" t="inlineStr">
        <is>
          <t>HASAN BAYCAN</t>
        </is>
      </c>
      <c r="F1831" s="23" t="n">
        <v>40492</v>
      </c>
      <c r="G1831" s="138" t="n"/>
      <c r="H1831" s="138" t="n">
        <v>133</v>
      </c>
      <c r="I1831" s="138">
        <f>+I1830+(G1831-H1831)</f>
        <v/>
      </c>
      <c r="J1831" s="139" t="n">
        <v>40.333</v>
      </c>
      <c r="K1831" s="140" t="n"/>
      <c r="L1831" s="140">
        <f>+H1831*J1831</f>
        <v/>
      </c>
      <c r="M1831" s="141">
        <f>SUM(M1830+K1831-L1831)</f>
        <v/>
      </c>
    </row>
    <row r="1832">
      <c r="A1832" s="20" t="n">
        <v>45769</v>
      </c>
      <c r="B1832" s="21" t="n">
        <v>10141</v>
      </c>
      <c r="C1832" s="22" t="inlineStr">
        <is>
          <t>SELİM İNŞAAT</t>
        </is>
      </c>
      <c r="D1832" s="21" t="inlineStr">
        <is>
          <t>34 DP 4161</t>
        </is>
      </c>
      <c r="E1832" s="21" t="inlineStr">
        <is>
          <t>RIFAT KARATAY</t>
        </is>
      </c>
      <c r="F1832" s="23" t="n">
        <v>282440</v>
      </c>
      <c r="G1832" s="138" t="n"/>
      <c r="H1832" s="138" t="n">
        <v>184</v>
      </c>
      <c r="I1832" s="138">
        <f>+I1831+(G1832-H1832)</f>
        <v/>
      </c>
      <c r="J1832" s="139" t="n">
        <v>40.333</v>
      </c>
      <c r="K1832" s="140" t="n"/>
      <c r="L1832" s="140">
        <f>+H1832*J1832</f>
        <v/>
      </c>
      <c r="M1832" s="141">
        <f>SUM(M1831+K1832-L1832)</f>
        <v/>
      </c>
    </row>
    <row r="1833">
      <c r="A1833" s="20" t="n">
        <v>45769</v>
      </c>
      <c r="B1833" s="21" t="n">
        <v>14363</v>
      </c>
      <c r="C1833" s="22" t="inlineStr">
        <is>
          <t>SELİM İNŞAAT</t>
        </is>
      </c>
      <c r="D1833" s="21" t="inlineStr">
        <is>
          <t>34 DKL 798</t>
        </is>
      </c>
      <c r="E1833" s="21" t="inlineStr">
        <is>
          <t>VOLKAN YANAR</t>
        </is>
      </c>
      <c r="F1833" s="23" t="n">
        <v>63814</v>
      </c>
      <c r="G1833" s="138" t="n"/>
      <c r="H1833" s="138" t="n">
        <v>159</v>
      </c>
      <c r="I1833" s="138">
        <f>+I1832+(G1833-H1833)</f>
        <v/>
      </c>
      <c r="J1833" s="139" t="n">
        <v>40.333</v>
      </c>
      <c r="K1833" s="140" t="n"/>
      <c r="L1833" s="140">
        <f>+H1833*J1833</f>
        <v/>
      </c>
      <c r="M1833" s="141">
        <f>SUM(M1832+K1833-L1833)</f>
        <v/>
      </c>
    </row>
    <row r="1834">
      <c r="A1834" s="20" t="n">
        <v>45769</v>
      </c>
      <c r="B1834" s="21" t="n">
        <v>15450</v>
      </c>
      <c r="C1834" s="22" t="inlineStr">
        <is>
          <t>SELİM İNŞAAT</t>
        </is>
      </c>
      <c r="D1834" s="1" t="inlineStr">
        <is>
          <t>34 AZ 2191 VİNÇ</t>
        </is>
      </c>
      <c r="E1834" s="21" t="inlineStr">
        <is>
          <t>NUMAN KABİL</t>
        </is>
      </c>
      <c r="F1834" s="23" t="n"/>
      <c r="G1834" s="138" t="n"/>
      <c r="H1834" s="138" t="n">
        <v>239</v>
      </c>
      <c r="I1834" s="138">
        <f>+I1833+(G1834-H1834)</f>
        <v/>
      </c>
      <c r="J1834" s="139" t="n">
        <v>40.333</v>
      </c>
      <c r="K1834" s="140" t="n"/>
      <c r="L1834" s="140">
        <f>+H1834*J1834</f>
        <v/>
      </c>
      <c r="M1834" s="141">
        <f>SUM(M1833+K1834-L1834)</f>
        <v/>
      </c>
    </row>
    <row r="1835">
      <c r="A1835" s="20" t="n">
        <v>45769</v>
      </c>
      <c r="B1835" s="21" t="n">
        <v>15451</v>
      </c>
      <c r="C1835" s="22" t="inlineStr">
        <is>
          <t>SELİM İNŞAAT</t>
        </is>
      </c>
      <c r="D1835" s="21" t="inlineStr">
        <is>
          <t>SİLİNDİR</t>
        </is>
      </c>
      <c r="E1835" s="21" t="inlineStr">
        <is>
          <t>ÖNER DÜNDAR</t>
        </is>
      </c>
      <c r="F1835" s="23" t="n"/>
      <c r="G1835" s="138" t="n"/>
      <c r="H1835" s="138" t="n">
        <v>109</v>
      </c>
      <c r="I1835" s="138">
        <f>+I1834+(G1835-H1835)</f>
        <v/>
      </c>
      <c r="J1835" s="139" t="n">
        <v>40.333</v>
      </c>
      <c r="K1835" s="140" t="n"/>
      <c r="L1835" s="140">
        <f>+H1835*J1835</f>
        <v/>
      </c>
      <c r="M1835" s="141">
        <f>SUM(M1834+K1835-L1835)</f>
        <v/>
      </c>
    </row>
    <row r="1836">
      <c r="A1836" s="20" t="n">
        <v>45769</v>
      </c>
      <c r="B1836" s="1" t="n">
        <v>15452</v>
      </c>
      <c r="C1836" s="2" t="inlineStr">
        <is>
          <t>HASALTUN</t>
        </is>
      </c>
      <c r="D1836" s="1" t="inlineStr">
        <is>
          <t>SM 370</t>
        </is>
      </c>
      <c r="E1836" s="1" t="inlineStr">
        <is>
          <t>TEKİN ŞEYLAN</t>
        </is>
      </c>
      <c r="F1836" s="3" t="n"/>
      <c r="G1836" s="143" t="n"/>
      <c r="H1836" s="143" t="n">
        <v>316</v>
      </c>
      <c r="I1836" s="143">
        <f>+I1835+(G1836-H1836)</f>
        <v/>
      </c>
      <c r="J1836" s="144" t="n">
        <v>40.333</v>
      </c>
      <c r="K1836" s="145" t="n"/>
      <c r="L1836" s="140">
        <f>+H1836*J1836</f>
        <v/>
      </c>
      <c r="M1836" s="141">
        <f>SUM(M1835+K1836-L1836)</f>
        <v/>
      </c>
    </row>
    <row r="1837">
      <c r="A1837" s="20" t="n">
        <v>45769</v>
      </c>
      <c r="B1837" s="21" t="n">
        <v>15454</v>
      </c>
      <c r="C1837" s="22" t="inlineStr">
        <is>
          <t>SELİM İNŞAAT</t>
        </is>
      </c>
      <c r="D1837" s="1" t="inlineStr">
        <is>
          <t>KAVAZAKİ</t>
        </is>
      </c>
      <c r="E1837" s="21" t="inlineStr">
        <is>
          <t>UFUK SEVAL</t>
        </is>
      </c>
      <c r="F1837" s="23" t="n"/>
      <c r="G1837" s="138" t="n"/>
      <c r="H1837" s="138" t="n">
        <v>149</v>
      </c>
      <c r="I1837" s="138">
        <f>+I1836+(G1837-H1837)</f>
        <v/>
      </c>
      <c r="J1837" s="139" t="n">
        <v>40.333</v>
      </c>
      <c r="K1837" s="140" t="n"/>
      <c r="L1837" s="140">
        <f>+H1837*J1837</f>
        <v/>
      </c>
      <c r="M1837" s="141">
        <f>SUM(M1836+K1837-L1837)</f>
        <v/>
      </c>
    </row>
    <row r="1838">
      <c r="A1838" s="20" t="n">
        <v>45770</v>
      </c>
      <c r="B1838" s="21" t="n">
        <v>14716</v>
      </c>
      <c r="C1838" s="22" t="inlineStr">
        <is>
          <t>METİN ERYİĞİT</t>
        </is>
      </c>
      <c r="D1838" s="21" t="inlineStr">
        <is>
          <t>34 GBL 998</t>
        </is>
      </c>
      <c r="E1838" s="21" t="inlineStr">
        <is>
          <t>ALİ KESKİN</t>
        </is>
      </c>
      <c r="F1838" s="23" t="n">
        <v>253439</v>
      </c>
      <c r="G1838" s="138" t="n"/>
      <c r="H1838" s="138" t="n">
        <v>352</v>
      </c>
      <c r="I1838" s="138">
        <f>+I1837+(G1838-H1838)</f>
        <v/>
      </c>
      <c r="J1838" s="139" t="n">
        <v>40.333</v>
      </c>
      <c r="K1838" s="140" t="n"/>
      <c r="L1838" s="140">
        <f>+H1838*J1838</f>
        <v/>
      </c>
      <c r="M1838" s="141">
        <f>SUM(M1837+K1838-L1838)</f>
        <v/>
      </c>
    </row>
    <row r="1839">
      <c r="A1839" s="20" t="n">
        <v>45770</v>
      </c>
      <c r="B1839" s="21" t="n">
        <v>11443</v>
      </c>
      <c r="C1839" s="22" t="inlineStr">
        <is>
          <t>METİN ERYİĞİT</t>
        </is>
      </c>
      <c r="D1839" s="21" t="inlineStr">
        <is>
          <t>34 EGR 814</t>
        </is>
      </c>
      <c r="E1839" s="21" t="inlineStr">
        <is>
          <t>GÜRAY KOYUNCU</t>
        </is>
      </c>
      <c r="F1839" s="23" t="n">
        <v>528332</v>
      </c>
      <c r="G1839" s="138" t="n"/>
      <c r="H1839" s="138" t="n">
        <v>325</v>
      </c>
      <c r="I1839" s="138">
        <f>+I1838+(G1839-H1839)</f>
        <v/>
      </c>
      <c r="J1839" s="139" t="n">
        <v>40.333</v>
      </c>
      <c r="K1839" s="140" t="n"/>
      <c r="L1839" s="140">
        <f>+H1839*J1839</f>
        <v/>
      </c>
      <c r="M1839" s="141">
        <f>SUM(M1838+K1839-L1839)</f>
        <v/>
      </c>
    </row>
    <row r="1840">
      <c r="A1840" s="20" t="n">
        <v>45770</v>
      </c>
      <c r="B1840" s="21" t="n">
        <v>10189</v>
      </c>
      <c r="C1840" s="22" t="inlineStr">
        <is>
          <t>SELİM İNŞAAT</t>
        </is>
      </c>
      <c r="D1840" s="21" t="inlineStr">
        <is>
          <t>34 EGR 736</t>
        </is>
      </c>
      <c r="E1840" s="21" t="inlineStr">
        <is>
          <t>HAKAN ÇAVUŞOĞLU</t>
        </is>
      </c>
      <c r="F1840" s="23" t="n">
        <v>376044</v>
      </c>
      <c r="G1840" s="138" t="n"/>
      <c r="H1840" s="138" t="n">
        <v>318</v>
      </c>
      <c r="I1840" s="138">
        <f>+I1839+(G1840-H1840)</f>
        <v/>
      </c>
      <c r="J1840" s="139" t="n">
        <v>40.333</v>
      </c>
      <c r="K1840" s="140" t="n"/>
      <c r="L1840" s="140">
        <f>+H1840*J1840</f>
        <v/>
      </c>
      <c r="M1840" s="141">
        <f>SUM(M1839+K1840-L1840)</f>
        <v/>
      </c>
    </row>
    <row r="1841">
      <c r="A1841" s="20" t="n">
        <v>45770</v>
      </c>
      <c r="B1841" s="21" t="n">
        <v>11928</v>
      </c>
      <c r="C1841" s="22" t="inlineStr">
        <is>
          <t>SELİM İNŞAAT</t>
        </is>
      </c>
      <c r="D1841" s="21" t="inlineStr">
        <is>
          <t>34 FBR 742</t>
        </is>
      </c>
      <c r="E1841" s="21" t="inlineStr">
        <is>
          <t>MİKAİL BAYILMAZ</t>
        </is>
      </c>
      <c r="F1841" s="23" t="n">
        <v>305308</v>
      </c>
      <c r="G1841" s="138" t="n"/>
      <c r="H1841" s="138" t="n">
        <v>250</v>
      </c>
      <c r="I1841" s="138">
        <f>+I1840+(G1841-H1841)</f>
        <v/>
      </c>
      <c r="J1841" s="139" t="n">
        <v>40.333</v>
      </c>
      <c r="K1841" s="140" t="n"/>
      <c r="L1841" s="140">
        <f>+H1841*J1841</f>
        <v/>
      </c>
      <c r="M1841" s="141">
        <f>SUM(M1840+K1841-L1841)</f>
        <v/>
      </c>
    </row>
    <row r="1842">
      <c r="A1842" s="20" t="n">
        <v>45770</v>
      </c>
      <c r="B1842" s="21" t="n">
        <v>14668</v>
      </c>
      <c r="C1842" s="22" t="inlineStr">
        <is>
          <t>AHMET SELİM TEMHA</t>
        </is>
      </c>
      <c r="D1842" s="21" t="inlineStr">
        <is>
          <t>FOKLİFT</t>
        </is>
      </c>
      <c r="E1842" s="21" t="inlineStr">
        <is>
          <t>CEMAL AKDAMAR</t>
        </is>
      </c>
      <c r="F1842" s="23" t="n"/>
      <c r="G1842" s="138" t="n"/>
      <c r="H1842" s="138" t="n">
        <v>94</v>
      </c>
      <c r="I1842" s="138">
        <f>+I1841+(G1842-H1842)</f>
        <v/>
      </c>
      <c r="J1842" s="139" t="n">
        <v>40.333</v>
      </c>
      <c r="K1842" s="140" t="n"/>
      <c r="L1842" s="140">
        <f>+H1842*J1842</f>
        <v/>
      </c>
      <c r="M1842" s="141">
        <f>SUM(M1841+K1842-L1842)</f>
        <v/>
      </c>
    </row>
    <row r="1843">
      <c r="A1843" s="20" t="n">
        <v>45770</v>
      </c>
      <c r="B1843" s="21" t="n">
        <v>14669</v>
      </c>
      <c r="C1843" s="22" t="inlineStr">
        <is>
          <t>MAHMUT VİNÇ</t>
        </is>
      </c>
      <c r="D1843" s="21" t="inlineStr">
        <is>
          <t>34 AH 5401</t>
        </is>
      </c>
      <c r="E1843" s="21" t="inlineStr">
        <is>
          <t>YASİN DEMİR</t>
        </is>
      </c>
      <c r="F1843" s="23" t="n"/>
      <c r="G1843" s="138" t="n"/>
      <c r="H1843" s="138" t="n">
        <v>103</v>
      </c>
      <c r="I1843" s="138">
        <f>+I1842+(G1843-H1843)</f>
        <v/>
      </c>
      <c r="J1843" s="139" t="n">
        <v>40.333</v>
      </c>
      <c r="K1843" s="140" t="n"/>
      <c r="L1843" s="140">
        <f>+H1843*J1843</f>
        <v/>
      </c>
      <c r="M1843" s="141">
        <f>SUM(M1842+K1843-L1843)</f>
        <v/>
      </c>
    </row>
    <row r="1844">
      <c r="A1844" s="20" t="n">
        <v>45770</v>
      </c>
      <c r="B1844" s="21" t="n">
        <v>14670</v>
      </c>
      <c r="C1844" s="22" t="inlineStr">
        <is>
          <t>AHMET SELİM TEMHA</t>
        </is>
      </c>
      <c r="D1844" s="21" t="inlineStr">
        <is>
          <t>FOKLİFT</t>
        </is>
      </c>
      <c r="E1844" s="21" t="inlineStr">
        <is>
          <t>OĞUZHAN AYDINLI</t>
        </is>
      </c>
      <c r="F1844" s="23" t="n"/>
      <c r="G1844" s="138" t="n"/>
      <c r="H1844" s="138" t="n">
        <v>48</v>
      </c>
      <c r="I1844" s="138">
        <f>+I1843+(G1844-H1844)</f>
        <v/>
      </c>
      <c r="J1844" s="139" t="n">
        <v>40.333</v>
      </c>
      <c r="K1844" s="140" t="n"/>
      <c r="L1844" s="140">
        <f>+H1844*J1844</f>
        <v/>
      </c>
      <c r="M1844" s="141">
        <f>SUM(M1843+K1844-L1844)</f>
        <v/>
      </c>
    </row>
    <row r="1845">
      <c r="A1845" s="20" t="n">
        <v>45770</v>
      </c>
      <c r="B1845" s="21" t="n">
        <v>14672</v>
      </c>
      <c r="C1845" s="22" t="inlineStr">
        <is>
          <t>EVKUR</t>
        </is>
      </c>
      <c r="D1845" s="21" t="inlineStr">
        <is>
          <t>FOKLİFT</t>
        </is>
      </c>
      <c r="E1845" s="21" t="inlineStr">
        <is>
          <t>FAHRİ KALFA</t>
        </is>
      </c>
      <c r="F1845" s="23" t="n"/>
      <c r="G1845" s="138" t="n"/>
      <c r="H1845" s="138" t="n">
        <v>39</v>
      </c>
      <c r="I1845" s="138">
        <f>+I1844+(G1845-H1845)</f>
        <v/>
      </c>
      <c r="J1845" s="139" t="n">
        <v>40.333</v>
      </c>
      <c r="K1845" s="140" t="n"/>
      <c r="L1845" s="140">
        <f>+H1845*J1845</f>
        <v/>
      </c>
      <c r="M1845" s="141">
        <f>SUM(M1844+K1845-L1845)</f>
        <v/>
      </c>
    </row>
    <row r="1846">
      <c r="A1846" s="20" t="n">
        <v>45770</v>
      </c>
      <c r="B1846" s="21" t="n">
        <v>10876</v>
      </c>
      <c r="C1846" s="22" t="inlineStr">
        <is>
          <t>SELİM İNŞAAT</t>
        </is>
      </c>
      <c r="D1846" s="21" t="inlineStr">
        <is>
          <t>34 AR 7743</t>
        </is>
      </c>
      <c r="E1846" s="21" t="inlineStr">
        <is>
          <t>MEHMET SELİM</t>
        </is>
      </c>
      <c r="F1846" s="23" t="n">
        <v>353692</v>
      </c>
      <c r="G1846" s="138" t="n"/>
      <c r="H1846" s="138" t="n">
        <v>40</v>
      </c>
      <c r="I1846" s="138">
        <f>+I1845+(G1846-H1846)</f>
        <v/>
      </c>
      <c r="J1846" s="139" t="n">
        <v>40.333</v>
      </c>
      <c r="K1846" s="140" t="n"/>
      <c r="L1846" s="140">
        <f>+H1846*J1846</f>
        <v/>
      </c>
      <c r="M1846" s="141">
        <f>SUM(M1845+K1846-L1846)</f>
        <v/>
      </c>
    </row>
    <row r="1847">
      <c r="A1847" s="20" t="n">
        <v>45770</v>
      </c>
      <c r="B1847" s="21" t="n">
        <v>15904</v>
      </c>
      <c r="C1847" s="22" t="inlineStr">
        <is>
          <t>SELİM İNŞAAT</t>
        </is>
      </c>
      <c r="D1847" s="21" t="inlineStr">
        <is>
          <t>34 DFE 454</t>
        </is>
      </c>
      <c r="E1847" s="21" t="inlineStr">
        <is>
          <t>GÖRKEM KARATAY</t>
        </is>
      </c>
      <c r="F1847" s="23" t="n">
        <v>157270</v>
      </c>
      <c r="G1847" s="138" t="n"/>
      <c r="H1847" s="138" t="n">
        <v>252</v>
      </c>
      <c r="I1847" s="138">
        <f>+I1846+(G1847-H1847)</f>
        <v/>
      </c>
      <c r="J1847" s="139" t="n">
        <v>40.333</v>
      </c>
      <c r="K1847" s="140" t="n"/>
      <c r="L1847" s="140">
        <f>+H1847*J1847</f>
        <v/>
      </c>
      <c r="M1847" s="141">
        <f>SUM(M1846+K1847-L1847)</f>
        <v/>
      </c>
    </row>
    <row r="1848">
      <c r="A1848" s="20" t="n">
        <v>45770</v>
      </c>
      <c r="B1848" s="21" t="n">
        <v>11082</v>
      </c>
      <c r="C1848" s="22" t="inlineStr">
        <is>
          <t>SELİM İNŞAAT</t>
        </is>
      </c>
      <c r="D1848" s="21" t="inlineStr">
        <is>
          <t>34 HBY 763</t>
        </is>
      </c>
      <c r="E1848" s="21" t="inlineStr">
        <is>
          <t>EMİRCAN ÖZTÜRK</t>
        </is>
      </c>
      <c r="F1848" s="23" t="n">
        <v>15559</v>
      </c>
      <c r="G1848" s="138" t="n"/>
      <c r="H1848" s="138" t="n">
        <v>190</v>
      </c>
      <c r="I1848" s="138">
        <f>+I1847+(G1848-H1848)</f>
        <v/>
      </c>
      <c r="J1848" s="139" t="n">
        <v>40.333</v>
      </c>
      <c r="K1848" s="140" t="n"/>
      <c r="L1848" s="140">
        <f>+H1848*J1848</f>
        <v/>
      </c>
      <c r="M1848" s="141">
        <f>SUM(M1847+K1848-L1848)</f>
        <v/>
      </c>
    </row>
    <row r="1849">
      <c r="A1849" s="20" t="n">
        <v>45770</v>
      </c>
      <c r="B1849" s="21" t="n">
        <v>14517</v>
      </c>
      <c r="C1849" s="22" t="inlineStr">
        <is>
          <t>SELİM İNŞAAT</t>
        </is>
      </c>
      <c r="D1849" s="21" t="inlineStr">
        <is>
          <t>34 GER 028</t>
        </is>
      </c>
      <c r="E1849" s="21" t="inlineStr">
        <is>
          <t>A.KERİM ERGEN</t>
        </is>
      </c>
      <c r="F1849" s="23" t="n">
        <v>42432</v>
      </c>
      <c r="G1849" s="138" t="n"/>
      <c r="H1849" s="138" t="n">
        <v>197</v>
      </c>
      <c r="I1849" s="138">
        <f>+I1848+(G1849-H1849)</f>
        <v/>
      </c>
      <c r="J1849" s="139" t="n">
        <v>40.333</v>
      </c>
      <c r="K1849" s="140" t="n"/>
      <c r="L1849" s="140">
        <f>+H1849*J1849</f>
        <v/>
      </c>
      <c r="M1849" s="141">
        <f>SUM(M1848+K1849-L1849)</f>
        <v/>
      </c>
    </row>
    <row r="1850">
      <c r="A1850" s="20" t="n">
        <v>45770</v>
      </c>
      <c r="B1850" s="21" t="n">
        <v>21142</v>
      </c>
      <c r="C1850" s="22" t="inlineStr">
        <is>
          <t>SELİM İNŞAAT</t>
        </is>
      </c>
      <c r="D1850" s="21" t="inlineStr">
        <is>
          <t>34 TG 7869</t>
        </is>
      </c>
      <c r="E1850" s="21" t="inlineStr">
        <is>
          <t>METİN KALKAN</t>
        </is>
      </c>
      <c r="F1850" s="23" t="n">
        <v>181118</v>
      </c>
      <c r="G1850" s="138" t="n"/>
      <c r="H1850" s="138" t="n">
        <v>237</v>
      </c>
      <c r="I1850" s="138">
        <f>+I1849+(G1850-H1850)</f>
        <v/>
      </c>
      <c r="J1850" s="139" t="n">
        <v>40.333</v>
      </c>
      <c r="K1850" s="140" t="n"/>
      <c r="L1850" s="140">
        <f>+H1850*J1850</f>
        <v/>
      </c>
      <c r="M1850" s="141">
        <f>SUM(M1849+K1850-L1850)</f>
        <v/>
      </c>
    </row>
    <row r="1851">
      <c r="A1851" s="20" t="n">
        <v>45770</v>
      </c>
      <c r="B1851" s="21" t="n">
        <v>14323</v>
      </c>
      <c r="C1851" s="22" t="inlineStr">
        <is>
          <t>SELİM İNŞAAT</t>
        </is>
      </c>
      <c r="D1851" s="21" t="inlineStr">
        <is>
          <t>34 DKL 866</t>
        </is>
      </c>
      <c r="E1851" s="21" t="inlineStr">
        <is>
          <t>SELİM CAN ÖNVER</t>
        </is>
      </c>
      <c r="F1851" s="23" t="n">
        <v>63806</v>
      </c>
      <c r="G1851" s="138" t="n"/>
      <c r="H1851" s="138" t="n">
        <v>120</v>
      </c>
      <c r="I1851" s="138">
        <f>+I1850+(G1851-H1851)</f>
        <v/>
      </c>
      <c r="J1851" s="139" t="n">
        <v>40.333</v>
      </c>
      <c r="K1851" s="140" t="n"/>
      <c r="L1851" s="140">
        <f>+H1851*J1851</f>
        <v/>
      </c>
      <c r="M1851" s="141">
        <f>SUM(M1850+K1851-L1851)</f>
        <v/>
      </c>
    </row>
    <row r="1852">
      <c r="A1852" s="20" t="n">
        <v>45770</v>
      </c>
      <c r="B1852" s="1" t="n">
        <v>15455</v>
      </c>
      <c r="C1852" s="2" t="inlineStr">
        <is>
          <t>HASALTUN</t>
        </is>
      </c>
      <c r="D1852" s="1" t="inlineStr">
        <is>
          <t>SM 350</t>
        </is>
      </c>
      <c r="E1852" s="1" t="inlineStr">
        <is>
          <t>TEVFİK ÖZTÜRK</t>
        </is>
      </c>
      <c r="F1852" s="3" t="n"/>
      <c r="G1852" s="143" t="n"/>
      <c r="H1852" s="143" t="n">
        <v>387</v>
      </c>
      <c r="I1852" s="143">
        <f>+I1851+(G1852-H1852)</f>
        <v/>
      </c>
      <c r="J1852" s="144" t="n">
        <v>40.333</v>
      </c>
      <c r="K1852" s="145" t="n"/>
      <c r="L1852" s="140">
        <f>+H1852*J1852</f>
        <v/>
      </c>
      <c r="M1852" s="141">
        <f>SUM(M1851+K1852-L1852)</f>
        <v/>
      </c>
    </row>
    <row r="1853">
      <c r="A1853" s="20" t="n">
        <v>45770</v>
      </c>
      <c r="B1853" s="1" t="n">
        <v>15456</v>
      </c>
      <c r="C1853" s="2" t="inlineStr">
        <is>
          <t>EVKUR</t>
        </is>
      </c>
      <c r="D1853" s="1" t="inlineStr">
        <is>
          <t>KİRALIK KATO</t>
        </is>
      </c>
      <c r="E1853" s="1" t="n"/>
      <c r="F1853" s="3" t="n"/>
      <c r="G1853" s="143" t="n"/>
      <c r="H1853" s="143" t="n">
        <v>110</v>
      </c>
      <c r="I1853" s="143">
        <f>+I1852+(G1853-H1853)</f>
        <v/>
      </c>
      <c r="J1853" s="144" t="n">
        <v>40.333</v>
      </c>
      <c r="K1853" s="145" t="n"/>
      <c r="L1853" s="140">
        <f>+H1853*J1853</f>
        <v/>
      </c>
      <c r="M1853" s="141">
        <f>SUM(M1852+K1853-L1853)</f>
        <v/>
      </c>
    </row>
    <row r="1854">
      <c r="A1854" s="20" t="n">
        <v>45770</v>
      </c>
      <c r="B1854" s="1" t="n">
        <v>15458</v>
      </c>
      <c r="C1854" s="2" t="inlineStr">
        <is>
          <t>VARLIK</t>
        </is>
      </c>
      <c r="D1854" s="1" t="inlineStr">
        <is>
          <t>SM 350</t>
        </is>
      </c>
      <c r="E1854" s="1" t="inlineStr">
        <is>
          <t>BAYRAM SANCAK</t>
        </is>
      </c>
      <c r="F1854" s="3" t="n"/>
      <c r="G1854" s="143" t="n"/>
      <c r="H1854" s="143" t="n">
        <v>315</v>
      </c>
      <c r="I1854" s="143">
        <f>+I1853+(G1854-H1854)</f>
        <v/>
      </c>
      <c r="J1854" s="144" t="n">
        <v>40.333</v>
      </c>
      <c r="K1854" s="145" t="n"/>
      <c r="L1854" s="140">
        <f>+H1854*J1854</f>
        <v/>
      </c>
      <c r="M1854" s="141">
        <f>SUM(M1853+K1854-L1854)</f>
        <v/>
      </c>
    </row>
    <row r="1855">
      <c r="A1855" s="20" t="n">
        <v>45770</v>
      </c>
      <c r="B1855" s="1" t="n">
        <v>15459</v>
      </c>
      <c r="C1855" s="2" t="inlineStr">
        <is>
          <t>VARLIK</t>
        </is>
      </c>
      <c r="D1855" s="1" t="inlineStr">
        <is>
          <t>SM 370</t>
        </is>
      </c>
      <c r="E1855" s="1" t="inlineStr">
        <is>
          <t>TEKİN ŞEYLAN</t>
        </is>
      </c>
      <c r="F1855" s="3" t="n"/>
      <c r="G1855" s="143" t="n"/>
      <c r="H1855" s="143" t="n">
        <v>283</v>
      </c>
      <c r="I1855" s="143">
        <f>+I1854+(G1855-H1855)</f>
        <v/>
      </c>
      <c r="J1855" s="144" t="n">
        <v>40.333</v>
      </c>
      <c r="K1855" s="145" t="n"/>
      <c r="L1855" s="140">
        <f>+H1855*J1855</f>
        <v/>
      </c>
      <c r="M1855" s="141">
        <f>SUM(M1854+K1855-L1855)</f>
        <v/>
      </c>
    </row>
    <row r="1856">
      <c r="A1856" s="20" t="n">
        <v>45771</v>
      </c>
      <c r="B1856" s="21" t="n">
        <v>517</v>
      </c>
      <c r="C1856" s="22" t="inlineStr">
        <is>
          <t>ÜNSOY TURİZM İNŞ.SAN.VE TİC.A.Ş.</t>
        </is>
      </c>
      <c r="D1856" s="21" t="n"/>
      <c r="E1856" s="21" t="n"/>
      <c r="F1856" s="23" t="n"/>
      <c r="G1856" s="138" t="n">
        <v>32114</v>
      </c>
      <c r="H1856" s="138" t="n"/>
      <c r="I1856" s="138">
        <f>+I1855+(G1856-H1856)</f>
        <v/>
      </c>
      <c r="J1856" s="139">
        <f>+K1856/G1856</f>
        <v/>
      </c>
      <c r="K1856" s="140" t="n">
        <v>1250519.16</v>
      </c>
      <c r="L1856" s="140">
        <f>+H1856*J1856</f>
        <v/>
      </c>
      <c r="M1856" s="141">
        <f>SUM(M1855+K1856-L1856)</f>
        <v/>
      </c>
    </row>
    <row r="1857">
      <c r="A1857" s="20" t="n">
        <v>45771</v>
      </c>
      <c r="B1857" s="21" t="n">
        <v>14717</v>
      </c>
      <c r="C1857" s="22" t="inlineStr">
        <is>
          <t>METİN ERYİĞİT</t>
        </is>
      </c>
      <c r="D1857" s="21" t="inlineStr">
        <is>
          <t>34 GBL 998</t>
        </is>
      </c>
      <c r="E1857" s="21" t="inlineStr">
        <is>
          <t>ALİ KESKİN</t>
        </is>
      </c>
      <c r="F1857" s="23" t="n">
        <v>253889</v>
      </c>
      <c r="G1857" s="138" t="n"/>
      <c r="H1857" s="138" t="n">
        <v>300</v>
      </c>
      <c r="I1857" s="138">
        <f>+I1856+(G1857-H1857)</f>
        <v/>
      </c>
      <c r="J1857" s="139" t="n">
        <v>38.94</v>
      </c>
      <c r="K1857" s="140" t="n"/>
      <c r="L1857" s="140">
        <f>+H1857*J1857</f>
        <v/>
      </c>
      <c r="M1857" s="141">
        <f>SUM(M1856+K1857-L1857)</f>
        <v/>
      </c>
    </row>
    <row r="1858">
      <c r="A1858" s="20" t="n">
        <v>45771</v>
      </c>
      <c r="B1858" s="21" t="n">
        <v>11444</v>
      </c>
      <c r="C1858" s="22" t="inlineStr">
        <is>
          <t>METİN ERYİĞİT</t>
        </is>
      </c>
      <c r="D1858" s="21" t="inlineStr">
        <is>
          <t>34 EGR 814</t>
        </is>
      </c>
      <c r="E1858" s="21" t="inlineStr">
        <is>
          <t>GÜRAY KOYUNCU</t>
        </is>
      </c>
      <c r="F1858" s="23" t="n">
        <v>528696</v>
      </c>
      <c r="G1858" s="138" t="n"/>
      <c r="H1858" s="138" t="n">
        <v>457</v>
      </c>
      <c r="I1858" s="138">
        <f>+I1857+(G1858-H1858)</f>
        <v/>
      </c>
      <c r="J1858" s="139" t="n">
        <v>38.94</v>
      </c>
      <c r="K1858" s="140" t="n"/>
      <c r="L1858" s="140">
        <f>+H1858*J1858</f>
        <v/>
      </c>
      <c r="M1858" s="141">
        <f>SUM(M1857+K1858-L1858)</f>
        <v/>
      </c>
    </row>
    <row r="1859">
      <c r="A1859" s="20" t="n">
        <v>45771</v>
      </c>
      <c r="B1859" s="21" t="n">
        <v>11478</v>
      </c>
      <c r="C1859" s="22" t="inlineStr">
        <is>
          <t>METİN ŞİRİN</t>
        </is>
      </c>
      <c r="D1859" s="21" t="inlineStr">
        <is>
          <t>34 EGR 922</t>
        </is>
      </c>
      <c r="E1859" s="21" t="inlineStr">
        <is>
          <t>HALUK ÖZEN</t>
        </is>
      </c>
      <c r="F1859" s="23" t="n">
        <v>446227</v>
      </c>
      <c r="G1859" s="138" t="n"/>
      <c r="H1859" s="138" t="n">
        <v>378</v>
      </c>
      <c r="I1859" s="138">
        <f>+I1858+(G1859-H1859)</f>
        <v/>
      </c>
      <c r="J1859" s="139" t="n">
        <v>38.94</v>
      </c>
      <c r="K1859" s="140" t="n"/>
      <c r="L1859" s="140">
        <f>+H1859*J1859</f>
        <v/>
      </c>
      <c r="M1859" s="141">
        <f>SUM(M1858+K1859-L1859)</f>
        <v/>
      </c>
    </row>
    <row r="1860">
      <c r="A1860" s="20" t="n">
        <v>45771</v>
      </c>
      <c r="B1860" s="21" t="n">
        <v>10042</v>
      </c>
      <c r="C1860" s="22" t="inlineStr">
        <is>
          <t>METİN ERYİĞİT</t>
        </is>
      </c>
      <c r="D1860" s="21" t="inlineStr">
        <is>
          <t>34 EGS 013</t>
        </is>
      </c>
      <c r="E1860" s="21" t="inlineStr">
        <is>
          <t xml:space="preserve">UĞUR DUMAN </t>
        </is>
      </c>
      <c r="F1860" s="23" t="n">
        <v>476383</v>
      </c>
      <c r="G1860" s="138" t="n"/>
      <c r="H1860" s="138" t="n">
        <v>346</v>
      </c>
      <c r="I1860" s="138">
        <f>+I1859+(G1860-H1860)</f>
        <v/>
      </c>
      <c r="J1860" s="139" t="n">
        <v>38.94</v>
      </c>
      <c r="K1860" s="140" t="n"/>
      <c r="L1860" s="140">
        <f>+H1860*J1860</f>
        <v/>
      </c>
      <c r="M1860" s="141">
        <f>SUM(M1859+K1860-L1860)</f>
        <v/>
      </c>
    </row>
    <row r="1861">
      <c r="A1861" s="20" t="n">
        <v>45771</v>
      </c>
      <c r="B1861" s="21" t="n">
        <v>10531</v>
      </c>
      <c r="C1861" s="22" t="inlineStr">
        <is>
          <t>SELİM İNŞAAT</t>
        </is>
      </c>
      <c r="D1861" s="21" t="inlineStr">
        <is>
          <t>34 EDB 922</t>
        </is>
      </c>
      <c r="E1861" s="21" t="inlineStr">
        <is>
          <t>AHMET TOPÇU</t>
        </is>
      </c>
      <c r="F1861" s="23" t="n">
        <v>347751</v>
      </c>
      <c r="G1861" s="138" t="n"/>
      <c r="H1861" s="138" t="n">
        <v>449</v>
      </c>
      <c r="I1861" s="138">
        <f>+I1860+(G1861-H1861)</f>
        <v/>
      </c>
      <c r="J1861" s="139" t="n">
        <v>38.94</v>
      </c>
      <c r="K1861" s="140" t="n"/>
      <c r="L1861" s="140">
        <f>+H1861*J1861</f>
        <v/>
      </c>
      <c r="M1861" s="141">
        <f>SUM(M1860+K1861-L1861)</f>
        <v/>
      </c>
    </row>
    <row r="1862">
      <c r="A1862" s="20" t="n">
        <v>45771</v>
      </c>
      <c r="B1862" s="21" t="n">
        <v>11824</v>
      </c>
      <c r="C1862" s="22" t="inlineStr">
        <is>
          <t>SELİM İNŞAAT</t>
        </is>
      </c>
      <c r="D1862" s="21" t="inlineStr">
        <is>
          <t>34 FSG 229</t>
        </is>
      </c>
      <c r="E1862" s="21" t="inlineStr">
        <is>
          <t>SİNAN TANRIVERDİ</t>
        </is>
      </c>
      <c r="F1862" s="23" t="n">
        <v>245298</v>
      </c>
      <c r="G1862" s="138" t="n"/>
      <c r="H1862" s="138" t="n">
        <v>437</v>
      </c>
      <c r="I1862" s="138">
        <f>+I1861+(G1862-H1862)</f>
        <v/>
      </c>
      <c r="J1862" s="139" t="n">
        <v>38.94</v>
      </c>
      <c r="K1862" s="140" t="n"/>
      <c r="L1862" s="140">
        <f>+H1862*J1862</f>
        <v/>
      </c>
      <c r="M1862" s="141">
        <f>SUM(M1861+K1862-L1862)</f>
        <v/>
      </c>
    </row>
    <row r="1863">
      <c r="A1863" s="20" t="n">
        <v>45771</v>
      </c>
      <c r="B1863" s="21" t="n">
        <v>14020</v>
      </c>
      <c r="C1863" s="22" t="inlineStr">
        <is>
          <t>SELİM İNŞAAT</t>
        </is>
      </c>
      <c r="D1863" s="21" t="inlineStr">
        <is>
          <t>34 GVZ 310</t>
        </is>
      </c>
      <c r="E1863" s="21" t="inlineStr">
        <is>
          <t>CELAL YÜZBAŞI</t>
        </is>
      </c>
      <c r="F1863" s="23" t="n">
        <v>184290</v>
      </c>
      <c r="G1863" s="138" t="n"/>
      <c r="H1863" s="138" t="n">
        <v>410</v>
      </c>
      <c r="I1863" s="138">
        <f>+I1862+(G1863-H1863)</f>
        <v/>
      </c>
      <c r="J1863" s="139" t="n">
        <v>38.94</v>
      </c>
      <c r="K1863" s="140" t="n"/>
      <c r="L1863" s="140">
        <f>+H1863*J1863</f>
        <v/>
      </c>
      <c r="M1863" s="141">
        <f>SUM(M1862+K1863-L1863)</f>
        <v/>
      </c>
    </row>
    <row r="1864">
      <c r="A1864" s="20" t="n">
        <v>45771</v>
      </c>
      <c r="B1864" s="21" t="n">
        <v>10699</v>
      </c>
      <c r="C1864" s="22" t="inlineStr">
        <is>
          <t>SELİM İNŞAAT</t>
        </is>
      </c>
      <c r="D1864" s="21" t="inlineStr">
        <is>
          <t>34 DTV 599</t>
        </is>
      </c>
      <c r="E1864" s="21" t="inlineStr">
        <is>
          <t>FERHAT GÜRLER</t>
        </is>
      </c>
      <c r="F1864" s="23" t="n">
        <v>421056</v>
      </c>
      <c r="G1864" s="138" t="n"/>
      <c r="H1864" s="138" t="n">
        <v>379</v>
      </c>
      <c r="I1864" s="138">
        <f>+I1863+(G1864-H1864)</f>
        <v/>
      </c>
      <c r="J1864" s="139" t="n">
        <v>38.94</v>
      </c>
      <c r="K1864" s="140" t="n"/>
      <c r="L1864" s="140">
        <f>+H1864*J1864</f>
        <v/>
      </c>
      <c r="M1864" s="141">
        <f>SUM(M1863+K1864-L1864)</f>
        <v/>
      </c>
    </row>
    <row r="1865">
      <c r="A1865" s="20" t="n">
        <v>45771</v>
      </c>
      <c r="B1865" s="21" t="n">
        <v>14469</v>
      </c>
      <c r="C1865" s="22" t="inlineStr">
        <is>
          <t>SELİM İNŞAAT</t>
        </is>
      </c>
      <c r="D1865" s="21" t="inlineStr">
        <is>
          <t>34 GUS 848</t>
        </is>
      </c>
      <c r="E1865" s="21" t="inlineStr">
        <is>
          <t>SERDAR BOZKURT</t>
        </is>
      </c>
      <c r="F1865" s="23" t="n">
        <v>179138</v>
      </c>
      <c r="G1865" s="138" t="n"/>
      <c r="H1865" s="138" t="n">
        <v>200</v>
      </c>
      <c r="I1865" s="138">
        <f>+I1864+(G1865-H1865)</f>
        <v/>
      </c>
      <c r="J1865" s="139" t="n">
        <v>38.94</v>
      </c>
      <c r="K1865" s="140" t="n"/>
      <c r="L1865" s="140">
        <f>+H1865*J1865</f>
        <v/>
      </c>
      <c r="M1865" s="141">
        <f>SUM(M1864+K1865-L1865)</f>
        <v/>
      </c>
    </row>
    <row r="1866">
      <c r="A1866" s="20" t="n">
        <v>45771</v>
      </c>
      <c r="B1866" s="21" t="n">
        <v>14415</v>
      </c>
      <c r="C1866" s="22" t="inlineStr">
        <is>
          <t>SELİM İNŞAAT</t>
        </is>
      </c>
      <c r="D1866" s="21" t="inlineStr">
        <is>
          <t>34 EGR 737</t>
        </is>
      </c>
      <c r="E1866" s="21" t="inlineStr">
        <is>
          <t>EBUBEKİR KOLDAŞ</t>
        </is>
      </c>
      <c r="F1866" s="23" t="n">
        <v>404226</v>
      </c>
      <c r="G1866" s="138" t="n"/>
      <c r="H1866" s="138" t="n">
        <v>223</v>
      </c>
      <c r="I1866" s="138">
        <f>+I1865+(G1866-H1866)</f>
        <v/>
      </c>
      <c r="J1866" s="139" t="n">
        <v>38.94</v>
      </c>
      <c r="K1866" s="140" t="n"/>
      <c r="L1866" s="140">
        <f>+H1866*J1866</f>
        <v/>
      </c>
      <c r="M1866" s="141">
        <f>SUM(M1865+K1866-L1866)</f>
        <v/>
      </c>
    </row>
    <row r="1867">
      <c r="A1867" s="20" t="n">
        <v>45771</v>
      </c>
      <c r="B1867" s="21" t="n">
        <v>11140</v>
      </c>
      <c r="C1867" s="22" t="inlineStr">
        <is>
          <t>SELİM İNŞAAT</t>
        </is>
      </c>
      <c r="D1867" s="21" t="inlineStr">
        <is>
          <t>34 DTV 409</t>
        </is>
      </c>
      <c r="E1867" s="21" t="inlineStr">
        <is>
          <t xml:space="preserve">ONUR CANLI </t>
        </is>
      </c>
      <c r="F1867" s="23" t="n">
        <v>406101</v>
      </c>
      <c r="G1867" s="138" t="n"/>
      <c r="H1867" s="138" t="n">
        <v>389</v>
      </c>
      <c r="I1867" s="138">
        <f>+I1866+(G1867-H1867)</f>
        <v/>
      </c>
      <c r="J1867" s="139" t="n">
        <v>38.94</v>
      </c>
      <c r="K1867" s="140" t="n"/>
      <c r="L1867" s="140">
        <f>+H1867*J1867</f>
        <v/>
      </c>
      <c r="M1867" s="141">
        <f>SUM(M1866+K1867-L1867)</f>
        <v/>
      </c>
    </row>
    <row r="1868">
      <c r="A1868" s="20" t="n">
        <v>45771</v>
      </c>
      <c r="B1868" s="21" t="n">
        <v>15555</v>
      </c>
      <c r="C1868" s="22" t="inlineStr">
        <is>
          <t>SELİM İNŞAAT</t>
        </is>
      </c>
      <c r="D1868" s="21" t="inlineStr">
        <is>
          <t>34 GVZ 745</t>
        </is>
      </c>
      <c r="E1868" s="21" t="inlineStr">
        <is>
          <t>MUHAMMED YİĞİT</t>
        </is>
      </c>
      <c r="F1868" s="23" t="n">
        <v>175834</v>
      </c>
      <c r="G1868" s="138" t="n"/>
      <c r="H1868" s="138" t="n">
        <v>451</v>
      </c>
      <c r="I1868" s="138">
        <f>+I1867+(G1868-H1868)</f>
        <v/>
      </c>
      <c r="J1868" s="139" t="n">
        <v>38.94</v>
      </c>
      <c r="K1868" s="140" t="n"/>
      <c r="L1868" s="140">
        <f>+H1868*J1868</f>
        <v/>
      </c>
      <c r="M1868" s="141">
        <f>SUM(M1867+K1868-L1868)</f>
        <v/>
      </c>
    </row>
    <row r="1869">
      <c r="A1869" s="20" t="n">
        <v>45771</v>
      </c>
      <c r="B1869" s="21" t="n">
        <v>10222</v>
      </c>
      <c r="C1869" s="22" t="inlineStr">
        <is>
          <t>SELİM İNŞAAT</t>
        </is>
      </c>
      <c r="D1869" s="21" t="inlineStr">
        <is>
          <t>34 DSN 621</t>
        </is>
      </c>
      <c r="E1869" s="21" t="inlineStr">
        <is>
          <t>MUSTAFA KAYA</t>
        </is>
      </c>
      <c r="F1869" s="23" t="n">
        <v>400295</v>
      </c>
      <c r="G1869" s="138" t="n"/>
      <c r="H1869" s="138" t="n">
        <v>217</v>
      </c>
      <c r="I1869" s="138">
        <f>+I1868+(G1869-H1869)</f>
        <v/>
      </c>
      <c r="J1869" s="139" t="n">
        <v>38.94</v>
      </c>
      <c r="K1869" s="140" t="n"/>
      <c r="L1869" s="140">
        <f>+H1869*J1869</f>
        <v/>
      </c>
      <c r="M1869" s="141">
        <f>SUM(M1868+K1869-L1869)</f>
        <v/>
      </c>
    </row>
    <row r="1870">
      <c r="A1870" s="20" t="n">
        <v>45771</v>
      </c>
      <c r="B1870" s="21" t="n">
        <v>10783</v>
      </c>
      <c r="C1870" s="22" t="inlineStr">
        <is>
          <t>SELİM İNŞAAT</t>
        </is>
      </c>
      <c r="D1870" s="21" t="inlineStr">
        <is>
          <t>34 FBR 705</t>
        </is>
      </c>
      <c r="E1870" s="21" t="inlineStr">
        <is>
          <t>MESUT GÜRLER</t>
        </is>
      </c>
      <c r="F1870" s="23" t="n">
        <v>302117</v>
      </c>
      <c r="G1870" s="138" t="n"/>
      <c r="H1870" s="138" t="n">
        <v>232</v>
      </c>
      <c r="I1870" s="138">
        <f>+I1869+(G1870-H1870)</f>
        <v/>
      </c>
      <c r="J1870" s="139" t="n">
        <v>38.94</v>
      </c>
      <c r="K1870" s="140" t="n"/>
      <c r="L1870" s="140">
        <f>+H1870*J1870</f>
        <v/>
      </c>
      <c r="M1870" s="141">
        <f>SUM(M1869+K1870-L1870)</f>
        <v/>
      </c>
    </row>
    <row r="1871">
      <c r="A1871" s="20" t="n">
        <v>45771</v>
      </c>
      <c r="B1871" s="21" t="n">
        <v>10336</v>
      </c>
      <c r="C1871" s="22" t="inlineStr">
        <is>
          <t>SELİM İNŞAAT</t>
        </is>
      </c>
      <c r="D1871" s="21" t="inlineStr">
        <is>
          <t>34 EDB 829</t>
        </is>
      </c>
      <c r="E1871" s="21" t="inlineStr">
        <is>
          <t>İSMET BAYRAM</t>
        </is>
      </c>
      <c r="F1871" s="23" t="n">
        <v>307104</v>
      </c>
      <c r="G1871" s="138" t="n"/>
      <c r="H1871" s="138" t="n">
        <v>257</v>
      </c>
      <c r="I1871" s="138">
        <f>+I1870+(G1871-H1871)</f>
        <v/>
      </c>
      <c r="J1871" s="139" t="n">
        <v>38.94</v>
      </c>
      <c r="K1871" s="140" t="n"/>
      <c r="L1871" s="140">
        <f>+H1871*J1871</f>
        <v/>
      </c>
      <c r="M1871" s="141">
        <f>SUM(M1870+K1871-L1871)</f>
        <v/>
      </c>
    </row>
    <row r="1872">
      <c r="A1872" s="20" t="n">
        <v>45771</v>
      </c>
      <c r="B1872" s="21" t="n">
        <v>10376</v>
      </c>
      <c r="C1872" s="22" t="inlineStr">
        <is>
          <t>SELİM İNŞAAT</t>
        </is>
      </c>
      <c r="D1872" s="21" t="inlineStr">
        <is>
          <t>34 DRU 690</t>
        </is>
      </c>
      <c r="E1872" s="21" t="inlineStr">
        <is>
          <t>MURAT DEMİRBAŞ</t>
        </is>
      </c>
      <c r="F1872" s="23" t="n">
        <v>403394</v>
      </c>
      <c r="G1872" s="138" t="n"/>
      <c r="H1872" s="138" t="n">
        <v>384</v>
      </c>
      <c r="I1872" s="138">
        <f>+I1871+(G1872-H1872)</f>
        <v/>
      </c>
      <c r="J1872" s="139" t="n">
        <v>38.94</v>
      </c>
      <c r="K1872" s="140" t="n"/>
      <c r="L1872" s="140">
        <f>+H1872*J1872</f>
        <v/>
      </c>
      <c r="M1872" s="141">
        <f>SUM(M1871+K1872-L1872)</f>
        <v/>
      </c>
    </row>
    <row r="1873">
      <c r="A1873" s="20" t="n">
        <v>45771</v>
      </c>
      <c r="B1873" s="21" t="n">
        <v>14219</v>
      </c>
      <c r="C1873" s="22" t="inlineStr">
        <is>
          <t>SELİM İNŞAAT</t>
        </is>
      </c>
      <c r="D1873" s="21" t="inlineStr">
        <is>
          <t xml:space="preserve">34 GUS 938 </t>
        </is>
      </c>
      <c r="E1873" s="21" t="inlineStr">
        <is>
          <t>MEHMET KAYA</t>
        </is>
      </c>
      <c r="F1873" s="23" t="n">
        <v>174145</v>
      </c>
      <c r="G1873" s="138" t="n"/>
      <c r="H1873" s="138" t="n">
        <v>262</v>
      </c>
      <c r="I1873" s="138">
        <f>+I1872+(G1873-H1873)</f>
        <v/>
      </c>
      <c r="J1873" s="139" t="n">
        <v>38.94</v>
      </c>
      <c r="K1873" s="140" t="n"/>
      <c r="L1873" s="140">
        <f>+H1873*J1873</f>
        <v/>
      </c>
      <c r="M1873" s="141">
        <f>SUM(M1872+K1873-L1873)</f>
        <v/>
      </c>
    </row>
    <row r="1874">
      <c r="A1874" s="20" t="n">
        <v>45771</v>
      </c>
      <c r="B1874" s="21" t="n">
        <v>10078</v>
      </c>
      <c r="C1874" s="22" t="inlineStr">
        <is>
          <t>SELİM İNŞAAT</t>
        </is>
      </c>
      <c r="D1874" s="21" t="inlineStr">
        <is>
          <t>34 FBR 771</t>
        </is>
      </c>
      <c r="E1874" s="21" t="inlineStr">
        <is>
          <t>HÜSEYİN AKÇİN</t>
        </is>
      </c>
      <c r="F1874" s="23" t="n">
        <v>304899</v>
      </c>
      <c r="G1874" s="138" t="n"/>
      <c r="H1874" s="138" t="n">
        <v>448</v>
      </c>
      <c r="I1874" s="138">
        <f>+I1873+(G1874-H1874)</f>
        <v/>
      </c>
      <c r="J1874" s="139" t="n">
        <v>38.94</v>
      </c>
      <c r="K1874" s="140" t="n"/>
      <c r="L1874" s="140">
        <f>+H1874*J1874</f>
        <v/>
      </c>
      <c r="M1874" s="141">
        <f>SUM(M1873+K1874-L1874)</f>
        <v/>
      </c>
    </row>
    <row r="1875">
      <c r="A1875" s="20" t="n">
        <v>45771</v>
      </c>
      <c r="B1875" s="21" t="n">
        <v>14116</v>
      </c>
      <c r="C1875" s="22" t="inlineStr">
        <is>
          <t>SELİM İNŞAAT</t>
        </is>
      </c>
      <c r="D1875" s="21" t="inlineStr">
        <is>
          <t>34 DSN 536</t>
        </is>
      </c>
      <c r="E1875" s="21" t="inlineStr">
        <is>
          <t>DURSUN ALİ GÜREK</t>
        </is>
      </c>
      <c r="F1875" s="23" t="n">
        <v>392085</v>
      </c>
      <c r="G1875" s="138" t="n"/>
      <c r="H1875" s="138" t="n">
        <v>219</v>
      </c>
      <c r="I1875" s="138">
        <f>+I1874+(G1875-H1875)</f>
        <v/>
      </c>
      <c r="J1875" s="139" t="n">
        <v>38.94</v>
      </c>
      <c r="K1875" s="140" t="n"/>
      <c r="L1875" s="140">
        <f>+H1875*J1875</f>
        <v/>
      </c>
      <c r="M1875" s="141">
        <f>SUM(M1874+K1875-L1875)</f>
        <v/>
      </c>
    </row>
    <row r="1876">
      <c r="A1876" s="20" t="n">
        <v>45771</v>
      </c>
      <c r="B1876" s="21" t="n">
        <v>11798</v>
      </c>
      <c r="C1876" s="22" t="inlineStr">
        <is>
          <t>SELİM İNŞAAT</t>
        </is>
      </c>
      <c r="D1876" s="21" t="inlineStr">
        <is>
          <t>34 EDC 086</t>
        </is>
      </c>
      <c r="E1876" s="21" t="inlineStr">
        <is>
          <t>ÖMER AĞAYAR</t>
        </is>
      </c>
      <c r="F1876" s="23" t="n">
        <v>314186</v>
      </c>
      <c r="G1876" s="138" t="n"/>
      <c r="H1876" s="138" t="n">
        <v>436</v>
      </c>
      <c r="I1876" s="138">
        <f>+I1875+(G1876-H1876)</f>
        <v/>
      </c>
      <c r="J1876" s="139" t="n">
        <v>38.94</v>
      </c>
      <c r="K1876" s="140" t="n"/>
      <c r="L1876" s="140">
        <f>+H1876*J1876</f>
        <v/>
      </c>
      <c r="M1876" s="141">
        <f>SUM(M1875+K1876-L1876)</f>
        <v/>
      </c>
    </row>
    <row r="1877">
      <c r="A1877" s="20" t="n">
        <v>45771</v>
      </c>
      <c r="B1877" s="21" t="n">
        <v>21494</v>
      </c>
      <c r="C1877" s="22" t="inlineStr">
        <is>
          <t>SELİM İNŞAAT</t>
        </is>
      </c>
      <c r="D1877" s="21" t="inlineStr">
        <is>
          <t>34 GYZ 635</t>
        </is>
      </c>
      <c r="E1877" s="21" t="inlineStr">
        <is>
          <t>ENGİN DEMİR</t>
        </is>
      </c>
      <c r="F1877" s="23" t="n">
        <v>160002</v>
      </c>
      <c r="G1877" s="138" t="n"/>
      <c r="H1877" s="138" t="n">
        <v>467</v>
      </c>
      <c r="I1877" s="138">
        <f>+I1876+(G1877-H1877)</f>
        <v/>
      </c>
      <c r="J1877" s="139" t="n">
        <v>38.94</v>
      </c>
      <c r="K1877" s="140" t="n"/>
      <c r="L1877" s="140">
        <f>+H1877*J1877</f>
        <v/>
      </c>
      <c r="M1877" s="141">
        <f>SUM(M1876+K1877-L1877)</f>
        <v/>
      </c>
    </row>
    <row r="1878">
      <c r="A1878" s="20" t="n">
        <v>45771</v>
      </c>
      <c r="B1878" s="21" t="n">
        <v>11293</v>
      </c>
      <c r="C1878" s="22" t="inlineStr">
        <is>
          <t>SELİM İNŞAAT</t>
        </is>
      </c>
      <c r="D1878" s="21" t="inlineStr">
        <is>
          <t>34 EDC 162</t>
        </is>
      </c>
      <c r="E1878" s="21" t="inlineStr">
        <is>
          <t xml:space="preserve">YAKUP GÜNER </t>
        </is>
      </c>
      <c r="F1878" s="23" t="n">
        <v>356165</v>
      </c>
      <c r="G1878" s="138" t="n"/>
      <c r="H1878" s="138" t="n">
        <v>358</v>
      </c>
      <c r="I1878" s="138">
        <f>+I1877+(G1878-H1878)</f>
        <v/>
      </c>
      <c r="J1878" s="139" t="n">
        <v>38.94</v>
      </c>
      <c r="K1878" s="140" t="n"/>
      <c r="L1878" s="140">
        <f>+H1878*J1878</f>
        <v/>
      </c>
      <c r="M1878" s="141">
        <f>SUM(M1877+K1878-L1878)</f>
        <v/>
      </c>
    </row>
    <row r="1879">
      <c r="A1879" s="20" t="n">
        <v>45771</v>
      </c>
      <c r="B1879" s="21" t="n">
        <v>11929</v>
      </c>
      <c r="C1879" s="22" t="inlineStr">
        <is>
          <t>SELİM İNŞAAT</t>
        </is>
      </c>
      <c r="D1879" s="21" t="inlineStr">
        <is>
          <t>34 FBR 742</t>
        </is>
      </c>
      <c r="E1879" s="21" t="inlineStr">
        <is>
          <t>MİKAİL BAYILMAZ</t>
        </is>
      </c>
      <c r="F1879" s="23" t="n">
        <v>305553</v>
      </c>
      <c r="G1879" s="138" t="n"/>
      <c r="H1879" s="138" t="n">
        <v>310</v>
      </c>
      <c r="I1879" s="138">
        <f>+I1878+(G1879-H1879)</f>
        <v/>
      </c>
      <c r="J1879" s="139" t="n">
        <v>38.94</v>
      </c>
      <c r="K1879" s="140" t="n"/>
      <c r="L1879" s="140">
        <f>+H1879*J1879</f>
        <v/>
      </c>
      <c r="M1879" s="141">
        <f>SUM(M1878+K1879-L1879)</f>
        <v/>
      </c>
    </row>
    <row r="1880">
      <c r="A1880" s="20" t="n">
        <v>45771</v>
      </c>
      <c r="B1880" s="21" t="n">
        <v>10439</v>
      </c>
      <c r="C1880" s="22" t="inlineStr">
        <is>
          <t>SELİM İNŞAAT</t>
        </is>
      </c>
      <c r="D1880" s="21" t="inlineStr">
        <is>
          <t>34 FBR 781</t>
        </is>
      </c>
      <c r="E1880" s="21" t="inlineStr">
        <is>
          <t>MEVLÜT POLAT</t>
        </is>
      </c>
      <c r="F1880" s="23" t="n">
        <v>288774</v>
      </c>
      <c r="G1880" s="138" t="n"/>
      <c r="H1880" s="138" t="n">
        <v>250</v>
      </c>
      <c r="I1880" s="138">
        <f>+I1879+(G1880-H1880)</f>
        <v/>
      </c>
      <c r="J1880" s="139" t="n">
        <v>38.94</v>
      </c>
      <c r="K1880" s="140" t="n"/>
      <c r="L1880" s="140">
        <f>+H1880*J1880</f>
        <v/>
      </c>
      <c r="M1880" s="141">
        <f>SUM(M1879+K1880-L1880)</f>
        <v/>
      </c>
    </row>
    <row r="1881">
      <c r="A1881" s="20" t="n">
        <v>45771</v>
      </c>
      <c r="B1881" s="21" t="n">
        <v>14806</v>
      </c>
      <c r="C1881" s="22" t="inlineStr">
        <is>
          <t>SELİM İNŞAAT</t>
        </is>
      </c>
      <c r="D1881" s="21" t="inlineStr">
        <is>
          <t>34 GVZ 268</t>
        </is>
      </c>
      <c r="E1881" s="21" t="inlineStr">
        <is>
          <t>KERİM KARAMAN</t>
        </is>
      </c>
      <c r="F1881" s="23" t="n">
        <v>179542</v>
      </c>
      <c r="G1881" s="138" t="n"/>
      <c r="H1881" s="138" t="n">
        <v>302</v>
      </c>
      <c r="I1881" s="138">
        <f>+I1880+(G1881-H1881)</f>
        <v/>
      </c>
      <c r="J1881" s="139" t="n">
        <v>38.94</v>
      </c>
      <c r="K1881" s="140" t="n"/>
      <c r="L1881" s="140">
        <f>+H1881*J1881</f>
        <v/>
      </c>
      <c r="M1881" s="141">
        <f>SUM(M1880+K1881-L1881)</f>
        <v/>
      </c>
    </row>
    <row r="1882">
      <c r="A1882" s="20" t="n">
        <v>45771</v>
      </c>
      <c r="B1882" s="21" t="n">
        <v>10292</v>
      </c>
      <c r="C1882" s="22" t="inlineStr">
        <is>
          <t>SELİM İNŞAAT</t>
        </is>
      </c>
      <c r="D1882" s="21" t="inlineStr">
        <is>
          <t>34 FBR 748</t>
        </is>
      </c>
      <c r="E1882" s="21" t="inlineStr">
        <is>
          <t>YAŞAR ÖZKAYA</t>
        </is>
      </c>
      <c r="F1882" s="23" t="n">
        <v>271539</v>
      </c>
      <c r="G1882" s="138" t="n"/>
      <c r="H1882" s="138" t="n">
        <v>461</v>
      </c>
      <c r="I1882" s="138">
        <f>+I1881+(G1882-H1882)</f>
        <v/>
      </c>
      <c r="J1882" s="139" t="n">
        <v>38.94</v>
      </c>
      <c r="K1882" s="140" t="n"/>
      <c r="L1882" s="140">
        <f>+H1882*J1882</f>
        <v/>
      </c>
      <c r="M1882" s="141">
        <f>SUM(M1881+K1882-L1882)</f>
        <v/>
      </c>
    </row>
    <row r="1883">
      <c r="A1883" s="20" t="n">
        <v>45771</v>
      </c>
      <c r="B1883" s="21" t="n">
        <v>14169</v>
      </c>
      <c r="C1883" s="22" t="inlineStr">
        <is>
          <t>AZGÜN YAPI</t>
        </is>
      </c>
      <c r="D1883" s="21" t="inlineStr">
        <is>
          <t>34 DTV 263</t>
        </is>
      </c>
      <c r="E1883" s="21" t="inlineStr">
        <is>
          <t>EDİP TORLAK</t>
        </is>
      </c>
      <c r="F1883" s="23" t="n">
        <v>371678</v>
      </c>
      <c r="G1883" s="138" t="n"/>
      <c r="H1883" s="138" t="n">
        <v>356</v>
      </c>
      <c r="I1883" s="138">
        <f>+I1882+(G1883-H1883)</f>
        <v/>
      </c>
      <c r="J1883" s="139" t="n">
        <v>38.94</v>
      </c>
      <c r="K1883" s="140" t="n"/>
      <c r="L1883" s="140">
        <f>+H1883*J1883</f>
        <v/>
      </c>
      <c r="M1883" s="141">
        <f>SUM(M1882+K1883-L1883)</f>
        <v/>
      </c>
    </row>
    <row r="1884">
      <c r="A1884" s="20" t="n">
        <v>45771</v>
      </c>
      <c r="B1884" s="21" t="n">
        <v>14671</v>
      </c>
      <c r="C1884" s="22" t="inlineStr">
        <is>
          <t>AHMET SELİM TEMHA</t>
        </is>
      </c>
      <c r="D1884" s="21" t="inlineStr">
        <is>
          <t>FOKLİFT</t>
        </is>
      </c>
      <c r="E1884" s="21" t="inlineStr">
        <is>
          <t>OĞUZHAN AYDINLI</t>
        </is>
      </c>
      <c r="F1884" s="23" t="n"/>
      <c r="G1884" s="138" t="n"/>
      <c r="H1884" s="138" t="n">
        <v>47</v>
      </c>
      <c r="I1884" s="138">
        <f>+I1883+(G1884-H1884)</f>
        <v/>
      </c>
      <c r="J1884" s="139" t="n">
        <v>38.94</v>
      </c>
      <c r="K1884" s="140" t="n"/>
      <c r="L1884" s="140">
        <f>+H1884*J1884</f>
        <v/>
      </c>
      <c r="M1884" s="141">
        <f>SUM(M1883+K1884-L1884)</f>
        <v/>
      </c>
    </row>
    <row r="1885">
      <c r="A1885" s="20" t="n">
        <v>45771</v>
      </c>
      <c r="B1885" s="21" t="n">
        <v>10571</v>
      </c>
      <c r="C1885" s="22" t="inlineStr">
        <is>
          <t>SELİM İNŞAAT</t>
        </is>
      </c>
      <c r="D1885" s="21" t="inlineStr">
        <is>
          <t>34 GU 945</t>
        </is>
      </c>
      <c r="E1885" s="21" t="inlineStr">
        <is>
          <t>TURAN SEVİNDİK</t>
        </is>
      </c>
      <c r="F1885" s="23" t="n">
        <v>443353</v>
      </c>
      <c r="G1885" s="138" t="n"/>
      <c r="H1885" s="138" t="n">
        <v>58</v>
      </c>
      <c r="I1885" s="138">
        <f>+I1884+(G1885-H1885)</f>
        <v/>
      </c>
      <c r="J1885" s="139" t="n">
        <v>38.94</v>
      </c>
      <c r="K1885" s="140" t="n"/>
      <c r="L1885" s="140">
        <f>+H1885*J1885</f>
        <v/>
      </c>
      <c r="M1885" s="141">
        <f>SUM(M1884+K1885-L1885)</f>
        <v/>
      </c>
    </row>
    <row r="1886">
      <c r="A1886" s="20" t="n">
        <v>45771</v>
      </c>
      <c r="B1886" s="21" t="n">
        <v>14620</v>
      </c>
      <c r="C1886" s="22" t="inlineStr">
        <is>
          <t>SELİM İNŞAAT</t>
        </is>
      </c>
      <c r="D1886" s="21" t="inlineStr">
        <is>
          <t>34 GER 445</t>
        </is>
      </c>
      <c r="E1886" s="21" t="inlineStr">
        <is>
          <t>HASAN BAYCAN</t>
        </is>
      </c>
      <c r="F1886" s="23" t="n">
        <v>40802</v>
      </c>
      <c r="G1886" s="138" t="n"/>
      <c r="H1886" s="138" t="n">
        <v>143</v>
      </c>
      <c r="I1886" s="138">
        <f>+I1885+(G1886-H1886)</f>
        <v/>
      </c>
      <c r="J1886" s="139" t="n">
        <v>38.94</v>
      </c>
      <c r="K1886" s="140" t="n"/>
      <c r="L1886" s="140">
        <f>+H1886*J1886</f>
        <v/>
      </c>
      <c r="M1886" s="141">
        <f>SUM(M1885+K1886-L1886)</f>
        <v/>
      </c>
    </row>
    <row r="1887">
      <c r="A1887" s="20" t="n">
        <v>45771</v>
      </c>
      <c r="B1887" s="21" t="n">
        <v>10142</v>
      </c>
      <c r="C1887" s="22" t="inlineStr">
        <is>
          <t>SELİM İNŞAAT</t>
        </is>
      </c>
      <c r="D1887" s="21" t="inlineStr">
        <is>
          <t>34 DP 4161</t>
        </is>
      </c>
      <c r="E1887" s="21" t="inlineStr">
        <is>
          <t>RIFAT KARATAY</t>
        </is>
      </c>
      <c r="F1887" s="23" t="n">
        <v>282718</v>
      </c>
      <c r="G1887" s="138" t="n"/>
      <c r="H1887" s="138" t="n">
        <v>247</v>
      </c>
      <c r="I1887" s="138">
        <f>+I1886+(G1887-H1887)</f>
        <v/>
      </c>
      <c r="J1887" s="139" t="n">
        <v>38.94</v>
      </c>
      <c r="K1887" s="140" t="n"/>
      <c r="L1887" s="140">
        <f>+H1887*J1887</f>
        <v/>
      </c>
      <c r="M1887" s="141">
        <f>SUM(M1886+K1887-L1887)</f>
        <v/>
      </c>
    </row>
    <row r="1888">
      <c r="A1888" s="20" t="n">
        <v>45771</v>
      </c>
      <c r="B1888" s="21" t="n">
        <v>14364</v>
      </c>
      <c r="C1888" s="22" t="inlineStr">
        <is>
          <t>SELİM İNŞAAT</t>
        </is>
      </c>
      <c r="D1888" s="21" t="inlineStr">
        <is>
          <t>34 DKL 798</t>
        </is>
      </c>
      <c r="E1888" s="21" t="inlineStr">
        <is>
          <t>VOLKAN YANAR</t>
        </is>
      </c>
      <c r="F1888" s="23" t="n">
        <v>63926</v>
      </c>
      <c r="G1888" s="138" t="n"/>
      <c r="H1888" s="138" t="n">
        <v>141</v>
      </c>
      <c r="I1888" s="138">
        <f>+I1887+(G1888-H1888)</f>
        <v/>
      </c>
      <c r="J1888" s="139" t="n">
        <v>38.94</v>
      </c>
      <c r="K1888" s="140" t="n"/>
      <c r="L1888" s="140">
        <f>+H1888*J1888</f>
        <v/>
      </c>
      <c r="M1888" s="141">
        <f>SUM(M1887+K1888-L1888)</f>
        <v/>
      </c>
    </row>
    <row r="1889">
      <c r="A1889" s="20" t="n">
        <v>45771</v>
      </c>
      <c r="B1889" s="1" t="n">
        <v>15460</v>
      </c>
      <c r="C1889" s="2" t="inlineStr">
        <is>
          <t>HASALTUN VARLIK</t>
        </is>
      </c>
      <c r="D1889" s="1" t="inlineStr">
        <is>
          <t>KAVAZAKİ</t>
        </is>
      </c>
      <c r="E1889" s="1" t="inlineStr">
        <is>
          <t>UFUK SEVAL</t>
        </is>
      </c>
      <c r="F1889" s="3" t="n"/>
      <c r="G1889" s="143" t="n"/>
      <c r="H1889" s="143" t="n">
        <v>253</v>
      </c>
      <c r="I1889" s="143">
        <f>+I1888+(G1889-H1889)</f>
        <v/>
      </c>
      <c r="J1889" s="144" t="n">
        <v>38.94</v>
      </c>
      <c r="K1889" s="145" t="n"/>
      <c r="L1889" s="140">
        <f>+H1889*J1889</f>
        <v/>
      </c>
      <c r="M1889" s="141">
        <f>SUM(M1888+K1889-L1889)</f>
        <v/>
      </c>
    </row>
    <row r="1890">
      <c r="A1890" s="20" t="n">
        <v>45771</v>
      </c>
      <c r="B1890" s="1" t="n">
        <v>15461</v>
      </c>
      <c r="C1890" s="2" t="inlineStr">
        <is>
          <t>EVKUR</t>
        </is>
      </c>
      <c r="D1890" s="1" t="inlineStr">
        <is>
          <t>RT 650 SARI VİNÇ</t>
        </is>
      </c>
      <c r="E1890" s="1" t="inlineStr">
        <is>
          <t>ALİHAN DUMAN</t>
        </is>
      </c>
      <c r="F1890" s="3" t="n"/>
      <c r="G1890" s="143" t="n"/>
      <c r="H1890" s="143" t="n">
        <v>194</v>
      </c>
      <c r="I1890" s="143">
        <f>+I1889+(G1890-H1890)</f>
        <v/>
      </c>
      <c r="J1890" s="144" t="n">
        <v>38.94</v>
      </c>
      <c r="K1890" s="145" t="n"/>
      <c r="L1890" s="140">
        <f>+H1890*J1890</f>
        <v/>
      </c>
      <c r="M1890" s="141">
        <f>SUM(M1889+K1890-L1890)</f>
        <v/>
      </c>
    </row>
    <row r="1891">
      <c r="A1891" s="20" t="n">
        <v>45771</v>
      </c>
      <c r="B1891" s="1" t="n">
        <v>15462</v>
      </c>
      <c r="C1891" s="2" t="inlineStr">
        <is>
          <t>HASALTUN</t>
        </is>
      </c>
      <c r="D1891" s="1" t="inlineStr">
        <is>
          <t>SM 350</t>
        </is>
      </c>
      <c r="E1891" s="1" t="inlineStr">
        <is>
          <t>TEVFİK ÖZTÜRK</t>
        </is>
      </c>
      <c r="F1891" s="3" t="n"/>
      <c r="G1891" s="143" t="n"/>
      <c r="H1891" s="143" t="n">
        <v>424</v>
      </c>
      <c r="I1891" s="143">
        <f>+I1890+(G1891-H1891)</f>
        <v/>
      </c>
      <c r="J1891" s="144" t="n">
        <v>38.94</v>
      </c>
      <c r="K1891" s="145" t="n"/>
      <c r="L1891" s="140">
        <f>+H1891*J1891</f>
        <v/>
      </c>
      <c r="M1891" s="141">
        <f>SUM(M1890+K1891-L1891)</f>
        <v/>
      </c>
    </row>
    <row r="1892">
      <c r="A1892" s="20" t="n">
        <v>45771</v>
      </c>
      <c r="B1892" s="1" t="n">
        <v>15463</v>
      </c>
      <c r="C1892" s="2" t="inlineStr">
        <is>
          <t>VARLIK</t>
        </is>
      </c>
      <c r="D1892" s="1" t="inlineStr">
        <is>
          <t>SM 300</t>
        </is>
      </c>
      <c r="E1892" s="1" t="inlineStr">
        <is>
          <t>TURGUT SANCAK</t>
        </is>
      </c>
      <c r="F1892" s="3" t="n"/>
      <c r="G1892" s="143" t="n"/>
      <c r="H1892" s="143" t="n">
        <v>229</v>
      </c>
      <c r="I1892" s="143">
        <f>+I1891+(G1892-H1892)</f>
        <v/>
      </c>
      <c r="J1892" s="144" t="n">
        <v>38.94</v>
      </c>
      <c r="K1892" s="145" t="n"/>
      <c r="L1892" s="140">
        <f>+H1892*J1892</f>
        <v/>
      </c>
      <c r="M1892" s="141">
        <f>SUM(M1891+K1892-L1892)</f>
        <v/>
      </c>
    </row>
    <row r="1893">
      <c r="A1893" s="20" t="n">
        <v>45771</v>
      </c>
      <c r="B1893" s="1" t="n">
        <v>15464</v>
      </c>
      <c r="C1893" s="2" t="inlineStr">
        <is>
          <t>VARLIK</t>
        </is>
      </c>
      <c r="D1893" s="1" t="inlineStr">
        <is>
          <t>SM 370</t>
        </is>
      </c>
      <c r="E1893" s="1" t="inlineStr">
        <is>
          <t>TEKİN ŞEYLAN</t>
        </is>
      </c>
      <c r="F1893" s="3" t="n"/>
      <c r="G1893" s="143" t="n"/>
      <c r="H1893" s="143" t="n">
        <v>254</v>
      </c>
      <c r="I1893" s="143">
        <f>+I1892+(G1893-H1893)</f>
        <v/>
      </c>
      <c r="J1893" s="144" t="n">
        <v>38.94</v>
      </c>
      <c r="K1893" s="145" t="n"/>
      <c r="L1893" s="140">
        <f>+H1893*J1893</f>
        <v/>
      </c>
      <c r="M1893" s="141">
        <f>SUM(M1892+K1893-L1893)</f>
        <v/>
      </c>
    </row>
    <row r="1894">
      <c r="A1894" s="20" t="n">
        <v>45771</v>
      </c>
      <c r="B1894" s="1" t="n">
        <v>15465</v>
      </c>
      <c r="C1894" s="2" t="inlineStr">
        <is>
          <t>VARLIK</t>
        </is>
      </c>
      <c r="D1894" s="1" t="inlineStr">
        <is>
          <t>SM 350</t>
        </is>
      </c>
      <c r="E1894" s="1" t="inlineStr">
        <is>
          <t>BAYRAM SANCAK</t>
        </is>
      </c>
      <c r="F1894" s="3" t="n"/>
      <c r="G1894" s="143" t="n"/>
      <c r="H1894" s="143" t="n">
        <v>234</v>
      </c>
      <c r="I1894" s="143">
        <f>+I1893+(G1894-H1894)</f>
        <v/>
      </c>
      <c r="J1894" s="144" t="n">
        <v>38.94</v>
      </c>
      <c r="K1894" s="145" t="n"/>
      <c r="L1894" s="140">
        <f>+H1894*J1894</f>
        <v/>
      </c>
      <c r="M1894" s="141">
        <f>SUM(M1893+K1894-L1894)</f>
        <v/>
      </c>
    </row>
    <row r="1895">
      <c r="A1895" s="20" t="n">
        <v>45772</v>
      </c>
      <c r="B1895" s="21" t="n">
        <v>15006</v>
      </c>
      <c r="C1895" s="22" t="inlineStr">
        <is>
          <t>SELİM İNŞAAT</t>
        </is>
      </c>
      <c r="D1895" s="21" t="inlineStr">
        <is>
          <t>34 GVZ 199</t>
        </is>
      </c>
      <c r="E1895" s="21" t="inlineStr">
        <is>
          <t>VAHDET GÜRLER</t>
        </is>
      </c>
      <c r="F1895" s="23" t="n">
        <v>168873</v>
      </c>
      <c r="G1895" s="138" t="n"/>
      <c r="H1895" s="138" t="n">
        <v>331</v>
      </c>
      <c r="I1895" s="138">
        <f>+I1894+(G1895-H1895)</f>
        <v/>
      </c>
      <c r="J1895" s="139" t="n">
        <v>38.94</v>
      </c>
      <c r="K1895" s="140" t="n"/>
      <c r="L1895" s="140">
        <f>+H1895*J1895</f>
        <v/>
      </c>
      <c r="M1895" s="141">
        <f>SUM(M1894+K1895-L1895)</f>
        <v/>
      </c>
    </row>
    <row r="1896">
      <c r="A1896" s="20" t="n">
        <v>45772</v>
      </c>
      <c r="B1896" s="21" t="n">
        <v>11825</v>
      </c>
      <c r="C1896" s="22" t="inlineStr">
        <is>
          <t>SELİM İNŞAAT</t>
        </is>
      </c>
      <c r="D1896" s="21" t="inlineStr">
        <is>
          <t>34 FSG 229</t>
        </is>
      </c>
      <c r="E1896" s="21" t="inlineStr">
        <is>
          <t>SİNAN TANRIVERDİ</t>
        </is>
      </c>
      <c r="F1896" s="23" t="n">
        <v>245954</v>
      </c>
      <c r="G1896" s="138" t="n"/>
      <c r="H1896" s="138" t="n">
        <v>294</v>
      </c>
      <c r="I1896" s="138">
        <f>+I1895+(G1896-H1896)</f>
        <v/>
      </c>
      <c r="J1896" s="139" t="n">
        <v>38.94</v>
      </c>
      <c r="K1896" s="140" t="n"/>
      <c r="L1896" s="140">
        <f>+H1896*J1896</f>
        <v/>
      </c>
      <c r="M1896" s="141">
        <f>SUM(M1895+K1896-L1896)</f>
        <v/>
      </c>
    </row>
    <row r="1897">
      <c r="A1897" s="20" t="n">
        <v>45772</v>
      </c>
      <c r="B1897" s="21" t="n">
        <v>14021</v>
      </c>
      <c r="C1897" s="22" t="inlineStr">
        <is>
          <t>SELİM İNŞAAT</t>
        </is>
      </c>
      <c r="D1897" s="21" t="inlineStr">
        <is>
          <t>34 GVZ 310</t>
        </is>
      </c>
      <c r="E1897" s="21" t="inlineStr">
        <is>
          <t>CELAL YÜZBAŞI</t>
        </is>
      </c>
      <c r="F1897" s="23" t="n">
        <v>184459</v>
      </c>
      <c r="G1897" s="138" t="n"/>
      <c r="H1897" s="138" t="n">
        <v>136</v>
      </c>
      <c r="I1897" s="138">
        <f>+I1896+(G1897-H1897)</f>
        <v/>
      </c>
      <c r="J1897" s="139" t="n">
        <v>38.94</v>
      </c>
      <c r="K1897" s="140" t="n"/>
      <c r="L1897" s="140">
        <f>+H1897*J1897</f>
        <v/>
      </c>
      <c r="M1897" s="141">
        <f>SUM(M1896+K1897-L1897)</f>
        <v/>
      </c>
    </row>
    <row r="1898">
      <c r="A1898" s="20" t="n">
        <v>45772</v>
      </c>
      <c r="B1898" s="21" t="n">
        <v>14470</v>
      </c>
      <c r="C1898" s="22" t="inlineStr">
        <is>
          <t>SELİM İNŞAAT</t>
        </is>
      </c>
      <c r="D1898" s="21" t="inlineStr">
        <is>
          <t>34 GUS 848</t>
        </is>
      </c>
      <c r="E1898" s="21" t="inlineStr">
        <is>
          <t>SERDAR BOZKURT</t>
        </is>
      </c>
      <c r="F1898" s="23" t="n">
        <v>179630</v>
      </c>
      <c r="G1898" s="138" t="n"/>
      <c r="H1898" s="138" t="n">
        <v>435</v>
      </c>
      <c r="I1898" s="138">
        <f>+I1897+(G1898-H1898)</f>
        <v/>
      </c>
      <c r="J1898" s="139" t="n">
        <v>38.94</v>
      </c>
      <c r="K1898" s="140" t="n"/>
      <c r="L1898" s="140">
        <f>+H1898*J1898</f>
        <v/>
      </c>
      <c r="M1898" s="141">
        <f>SUM(M1897+K1898-L1898)</f>
        <v/>
      </c>
    </row>
    <row r="1899">
      <c r="A1899" s="20" t="n">
        <v>45772</v>
      </c>
      <c r="B1899" s="21" t="n">
        <v>14416</v>
      </c>
      <c r="C1899" s="22" t="inlineStr">
        <is>
          <t>SELİM İNŞAAT</t>
        </is>
      </c>
      <c r="D1899" s="21" t="inlineStr">
        <is>
          <t>34 EGR 737</t>
        </is>
      </c>
      <c r="E1899" s="21" t="inlineStr">
        <is>
          <t>EBUBEKİR KOLDAŞ</t>
        </is>
      </c>
      <c r="F1899" s="23" t="n">
        <v>404713</v>
      </c>
      <c r="G1899" s="138" t="n"/>
      <c r="H1899" s="138" t="n">
        <v>241</v>
      </c>
      <c r="I1899" s="138">
        <f>+I1898+(G1899-H1899)</f>
        <v/>
      </c>
      <c r="J1899" s="139" t="n">
        <v>38.94</v>
      </c>
      <c r="K1899" s="140" t="n"/>
      <c r="L1899" s="140">
        <f>+H1899*J1899</f>
        <v/>
      </c>
      <c r="M1899" s="141">
        <f>SUM(M1898+K1899-L1899)</f>
        <v/>
      </c>
    </row>
    <row r="1900">
      <c r="A1900" s="20" t="n">
        <v>45772</v>
      </c>
      <c r="B1900" s="21" t="n">
        <v>21198</v>
      </c>
      <c r="C1900" s="22" t="inlineStr">
        <is>
          <t>SELİM İNŞAAT</t>
        </is>
      </c>
      <c r="D1900" s="21" t="inlineStr">
        <is>
          <t>34 DSN 565</t>
        </is>
      </c>
      <c r="E1900" s="21" t="inlineStr">
        <is>
          <t>DURSUN ALİ GÜREK</t>
        </is>
      </c>
      <c r="F1900" s="23" t="n">
        <v>392560</v>
      </c>
      <c r="G1900" s="138" t="n"/>
      <c r="H1900" s="138" t="n">
        <v>446</v>
      </c>
      <c r="I1900" s="138">
        <f>+I1899+(G1900-H1900)</f>
        <v/>
      </c>
      <c r="J1900" s="139" t="n">
        <v>38.94</v>
      </c>
      <c r="K1900" s="140" t="n"/>
      <c r="L1900" s="140">
        <f>+H1900*J1900</f>
        <v/>
      </c>
      <c r="M1900" s="141">
        <f>SUM(M1899+K1900-L1900)</f>
        <v/>
      </c>
    </row>
    <row r="1901">
      <c r="A1901" s="20" t="n">
        <v>45772</v>
      </c>
      <c r="B1901" s="21" t="n">
        <v>10223</v>
      </c>
      <c r="C1901" s="22" t="inlineStr">
        <is>
          <t>SELİM İNŞAAT</t>
        </is>
      </c>
      <c r="D1901" s="21" t="inlineStr">
        <is>
          <t>34 DSN 621</t>
        </is>
      </c>
      <c r="E1901" s="21" t="inlineStr">
        <is>
          <t>MUSTAFA KAYA</t>
        </is>
      </c>
      <c r="F1901" s="23" t="n">
        <v>400723</v>
      </c>
      <c r="G1901" s="138" t="n"/>
      <c r="H1901" s="138" t="n">
        <v>236</v>
      </c>
      <c r="I1901" s="138">
        <f>+I1900+(G1901-H1901)</f>
        <v/>
      </c>
      <c r="J1901" s="139" t="n">
        <v>38.94</v>
      </c>
      <c r="K1901" s="140" t="n"/>
      <c r="L1901" s="140">
        <f>+H1901*J1901</f>
        <v/>
      </c>
      <c r="M1901" s="141">
        <f>SUM(M1900+K1901-L1901)</f>
        <v/>
      </c>
    </row>
    <row r="1902">
      <c r="A1902" s="20" t="n">
        <v>45772</v>
      </c>
      <c r="B1902" s="21" t="n">
        <v>11212</v>
      </c>
      <c r="C1902" s="22" t="inlineStr">
        <is>
          <t>SELİM İNŞAAT</t>
        </is>
      </c>
      <c r="D1902" s="21" t="inlineStr">
        <is>
          <t>34 DSN 636</t>
        </is>
      </c>
      <c r="E1902" s="21" t="inlineStr">
        <is>
          <t>ÖMER KIDIL</t>
        </is>
      </c>
      <c r="F1902" s="23" t="n">
        <v>378998</v>
      </c>
      <c r="G1902" s="138" t="n"/>
      <c r="H1902" s="138" t="n">
        <v>300</v>
      </c>
      <c r="I1902" s="138">
        <f>+I1901+(G1902-H1902)</f>
        <v/>
      </c>
      <c r="J1902" s="139" t="n">
        <v>38.94</v>
      </c>
      <c r="K1902" s="140" t="n"/>
      <c r="L1902" s="140">
        <f>+H1902*J1902</f>
        <v/>
      </c>
      <c r="M1902" s="141">
        <f>SUM(M1901+K1902-L1902)</f>
        <v/>
      </c>
    </row>
    <row r="1903">
      <c r="A1903" s="20" t="n">
        <v>45772</v>
      </c>
      <c r="B1903" s="21" t="n">
        <v>11799</v>
      </c>
      <c r="C1903" s="22" t="inlineStr">
        <is>
          <t>SELİM İNŞAAT</t>
        </is>
      </c>
      <c r="D1903" s="21" t="inlineStr">
        <is>
          <t>34 EDC 086</t>
        </is>
      </c>
      <c r="E1903" s="21" t="inlineStr">
        <is>
          <t>ÖMER AĞAYAR</t>
        </is>
      </c>
      <c r="F1903" s="23" t="n">
        <v>314479</v>
      </c>
      <c r="G1903" s="138" t="n"/>
      <c r="H1903" s="138" t="n">
        <v>146</v>
      </c>
      <c r="I1903" s="138">
        <f>+I1902+(G1903-H1903)</f>
        <v/>
      </c>
      <c r="J1903" s="139" t="n">
        <v>38.94</v>
      </c>
      <c r="K1903" s="140" t="n"/>
      <c r="L1903" s="140">
        <f>+H1903*J1903</f>
        <v/>
      </c>
      <c r="M1903" s="141">
        <f>SUM(M1902+K1903-L1903)</f>
        <v/>
      </c>
    </row>
    <row r="1904">
      <c r="A1904" s="20" t="n">
        <v>45772</v>
      </c>
      <c r="B1904" s="21" t="n">
        <v>14070</v>
      </c>
      <c r="C1904" s="22" t="inlineStr">
        <is>
          <t>SELİM İNŞAAT</t>
        </is>
      </c>
      <c r="D1904" s="21" t="inlineStr">
        <is>
          <t>34 EDB 659</t>
        </is>
      </c>
      <c r="E1904" s="21" t="inlineStr">
        <is>
          <t>MEHMET SAİT ANIK</t>
        </is>
      </c>
      <c r="F1904" s="23" t="n">
        <v>328142</v>
      </c>
      <c r="G1904" s="138" t="n"/>
      <c r="H1904" s="138" t="n">
        <v>360</v>
      </c>
      <c r="I1904" s="138">
        <f>+I1903+(G1904-H1904)</f>
        <v/>
      </c>
      <c r="J1904" s="139" t="n">
        <v>38.94</v>
      </c>
      <c r="K1904" s="140" t="n"/>
      <c r="L1904" s="140">
        <f>+H1904*J1904</f>
        <v/>
      </c>
      <c r="M1904" s="141">
        <f>SUM(M1903+K1904-L1904)</f>
        <v/>
      </c>
    </row>
    <row r="1905">
      <c r="A1905" s="20" t="n">
        <v>45772</v>
      </c>
      <c r="B1905" s="21" t="n">
        <v>11930</v>
      </c>
      <c r="C1905" s="22" t="inlineStr">
        <is>
          <t>SELİM İNŞAAT</t>
        </is>
      </c>
      <c r="D1905" s="21" t="inlineStr">
        <is>
          <t>34 FBR 742</t>
        </is>
      </c>
      <c r="E1905" s="21" t="inlineStr">
        <is>
          <t>MİKAİL BAYILMAZ</t>
        </is>
      </c>
      <c r="F1905" s="23" t="n">
        <v>306126</v>
      </c>
      <c r="G1905" s="138" t="n"/>
      <c r="H1905" s="138" t="n">
        <v>279</v>
      </c>
      <c r="I1905" s="138">
        <f>+I1904+(G1905-H1905)</f>
        <v/>
      </c>
      <c r="J1905" s="139" t="n">
        <v>38.94</v>
      </c>
      <c r="K1905" s="140" t="n"/>
      <c r="L1905" s="140">
        <f>+H1905*J1905</f>
        <v/>
      </c>
      <c r="M1905" s="141">
        <f>SUM(M1904+K1905-L1905)</f>
        <v/>
      </c>
    </row>
    <row r="1906">
      <c r="A1906" s="20" t="n">
        <v>45772</v>
      </c>
      <c r="B1906" s="21" t="n">
        <v>14807</v>
      </c>
      <c r="C1906" s="22" t="inlineStr">
        <is>
          <t>SELİM İNŞAAT</t>
        </is>
      </c>
      <c r="D1906" s="21" t="inlineStr">
        <is>
          <t>34 GVZ 268</t>
        </is>
      </c>
      <c r="E1906" s="21" t="inlineStr">
        <is>
          <t>KERİM KARAMAN</t>
        </is>
      </c>
      <c r="F1906" s="23" t="n">
        <v>180242</v>
      </c>
      <c r="G1906" s="138" t="n"/>
      <c r="H1906" s="138" t="n">
        <v>344</v>
      </c>
      <c r="I1906" s="138">
        <f>+I1905+(G1906-H1906)</f>
        <v/>
      </c>
      <c r="J1906" s="139" t="n">
        <v>38.94</v>
      </c>
      <c r="K1906" s="140" t="n"/>
      <c r="L1906" s="140">
        <f>+H1906*J1906</f>
        <v/>
      </c>
      <c r="M1906" s="141">
        <f>SUM(M1905+K1906-L1906)</f>
        <v/>
      </c>
    </row>
    <row r="1907">
      <c r="A1907" s="20" t="n">
        <v>45772</v>
      </c>
      <c r="B1907" s="21" t="n">
        <v>11636</v>
      </c>
      <c r="C1907" s="22" t="inlineStr">
        <is>
          <t>SELİM İNŞAAT</t>
        </is>
      </c>
      <c r="D1907" s="21" t="inlineStr">
        <is>
          <t>34 DTV 352</t>
        </is>
      </c>
      <c r="E1907" s="21" t="inlineStr">
        <is>
          <t>RASİM BARTU</t>
        </is>
      </c>
      <c r="F1907" s="23" t="n">
        <v>421478</v>
      </c>
      <c r="G1907" s="138" t="n"/>
      <c r="H1907" s="138" t="n">
        <v>392</v>
      </c>
      <c r="I1907" s="138">
        <f>+I1906+(G1907-H1907)</f>
        <v/>
      </c>
      <c r="J1907" s="139" t="n">
        <v>38.94</v>
      </c>
      <c r="K1907" s="140" t="n"/>
      <c r="L1907" s="140">
        <f>+H1907*J1907</f>
        <v/>
      </c>
      <c r="M1907" s="141">
        <f>SUM(M1906+K1907-L1907)</f>
        <v/>
      </c>
    </row>
    <row r="1908">
      <c r="A1908" s="20" t="n">
        <v>45772</v>
      </c>
      <c r="B1908" s="21" t="n">
        <v>20535</v>
      </c>
      <c r="C1908" s="22" t="inlineStr">
        <is>
          <t>SELİM İNŞAAT</t>
        </is>
      </c>
      <c r="D1908" s="21" t="inlineStr">
        <is>
          <t>34 VF 2620</t>
        </is>
      </c>
      <c r="E1908" s="21" t="inlineStr">
        <is>
          <t>RECEP SELİM</t>
        </is>
      </c>
      <c r="F1908" s="23" t="n">
        <v>183789</v>
      </c>
      <c r="G1908" s="138" t="n"/>
      <c r="H1908" s="138" t="n">
        <v>50</v>
      </c>
      <c r="I1908" s="138">
        <f>+I1907+(G1908-H1908)</f>
        <v/>
      </c>
      <c r="J1908" s="139" t="n">
        <v>38.94</v>
      </c>
      <c r="K1908" s="140" t="n"/>
      <c r="L1908" s="140">
        <f>+H1908*J1908</f>
        <v/>
      </c>
      <c r="M1908" s="141">
        <f>SUM(M1907+K1908-L1908)</f>
        <v/>
      </c>
    </row>
    <row r="1909">
      <c r="A1909" s="20" t="n">
        <v>45772</v>
      </c>
      <c r="B1909" s="21" t="n">
        <v>11083</v>
      </c>
      <c r="C1909" s="22" t="inlineStr">
        <is>
          <t>SELİM İNŞAAT</t>
        </is>
      </c>
      <c r="D1909" s="21" t="inlineStr">
        <is>
          <t>34 HBY 763</t>
        </is>
      </c>
      <c r="E1909" s="21" t="inlineStr">
        <is>
          <t>EMİRCAN ÖZTÜRK</t>
        </is>
      </c>
      <c r="F1909" s="23" t="n">
        <v>15658</v>
      </c>
      <c r="G1909" s="138" t="n"/>
      <c r="H1909" s="138" t="n">
        <v>107</v>
      </c>
      <c r="I1909" s="138">
        <f>+I1908+(G1909-H1909)</f>
        <v/>
      </c>
      <c r="J1909" s="139" t="n">
        <v>38.94</v>
      </c>
      <c r="K1909" s="140" t="n"/>
      <c r="L1909" s="140">
        <f>+H1909*J1909</f>
        <v/>
      </c>
      <c r="M1909" s="141">
        <f>SUM(M1908+K1909-L1909)</f>
        <v/>
      </c>
    </row>
    <row r="1910">
      <c r="A1910" s="20" t="n">
        <v>45772</v>
      </c>
      <c r="B1910" s="21" t="n">
        <v>14324</v>
      </c>
      <c r="C1910" s="22" t="inlineStr">
        <is>
          <t>SELİM İNŞAAT</t>
        </is>
      </c>
      <c r="D1910" s="21" t="inlineStr">
        <is>
          <t>34 DKL 866</t>
        </is>
      </c>
      <c r="E1910" s="21" t="inlineStr">
        <is>
          <t>SELİM CAN ÖNVER</t>
        </is>
      </c>
      <c r="F1910" s="23" t="n">
        <v>63908</v>
      </c>
      <c r="G1910" s="138" t="n"/>
      <c r="H1910" s="138" t="n">
        <v>107</v>
      </c>
      <c r="I1910" s="138">
        <f>+I1909+(G1910-H1910)</f>
        <v/>
      </c>
      <c r="J1910" s="139" t="n">
        <v>38.94</v>
      </c>
      <c r="K1910" s="140" t="n"/>
      <c r="L1910" s="140">
        <f>+H1910*J1910</f>
        <v/>
      </c>
      <c r="M1910" s="141">
        <f>SUM(M1909+K1910-L1910)</f>
        <v/>
      </c>
    </row>
    <row r="1911">
      <c r="A1911" s="20" t="n">
        <v>45772</v>
      </c>
      <c r="B1911" s="21" t="n">
        <v>14365</v>
      </c>
      <c r="C1911" s="22" t="inlineStr">
        <is>
          <t>SELİM İNŞAAT</t>
        </is>
      </c>
      <c r="D1911" s="21" t="inlineStr">
        <is>
          <t>34 DKL 798</t>
        </is>
      </c>
      <c r="E1911" s="21" t="inlineStr">
        <is>
          <t>VOLKAN YANAR</t>
        </is>
      </c>
      <c r="F1911" s="23" t="n">
        <v>64000</v>
      </c>
      <c r="G1911" s="138" t="n"/>
      <c r="H1911" s="138" t="n">
        <v>97</v>
      </c>
      <c r="I1911" s="138">
        <f>+I1910+(G1911-H1911)</f>
        <v/>
      </c>
      <c r="J1911" s="139" t="n">
        <v>38.94</v>
      </c>
      <c r="K1911" s="140" t="n"/>
      <c r="L1911" s="140">
        <f>+H1911*J1911</f>
        <v/>
      </c>
      <c r="M1911" s="141">
        <f>SUM(M1910+K1911-L1911)</f>
        <v/>
      </c>
    </row>
    <row r="1912">
      <c r="A1912" s="20" t="n">
        <v>45772</v>
      </c>
      <c r="B1912" s="1" t="n">
        <v>15466</v>
      </c>
      <c r="C1912" s="2" t="inlineStr">
        <is>
          <t>EVKUR</t>
        </is>
      </c>
      <c r="D1912" s="1" t="inlineStr">
        <is>
          <t>MNT 2260</t>
        </is>
      </c>
      <c r="E1912" s="1" t="inlineStr">
        <is>
          <t>MUHAMMED KANTAR</t>
        </is>
      </c>
      <c r="F1912" s="3" t="n"/>
      <c r="G1912" s="143" t="n"/>
      <c r="H1912" s="143" t="n">
        <v>137</v>
      </c>
      <c r="I1912" s="143">
        <f>+I1911+(G1912-H1912)</f>
        <v/>
      </c>
      <c r="J1912" s="144" t="n">
        <v>38.94</v>
      </c>
      <c r="K1912" s="145" t="n"/>
      <c r="L1912" s="140">
        <f>+H1912*J1912</f>
        <v/>
      </c>
      <c r="M1912" s="141">
        <f>SUM(M1911+K1912-L1912)</f>
        <v/>
      </c>
    </row>
    <row r="1913">
      <c r="A1913" s="20" t="n">
        <v>45772</v>
      </c>
      <c r="B1913" s="1" t="n">
        <v>15467</v>
      </c>
      <c r="C1913" s="2" t="inlineStr">
        <is>
          <t>VARLIK</t>
        </is>
      </c>
      <c r="D1913" s="1" t="inlineStr">
        <is>
          <t xml:space="preserve">SM 300 </t>
        </is>
      </c>
      <c r="E1913" s="1" t="inlineStr">
        <is>
          <t>TURGUT SANCAK</t>
        </is>
      </c>
      <c r="F1913" s="3" t="n"/>
      <c r="G1913" s="143" t="n"/>
      <c r="H1913" s="143" t="n">
        <v>201</v>
      </c>
      <c r="I1913" s="143">
        <f>+I1912+(G1913-H1913)</f>
        <v/>
      </c>
      <c r="J1913" s="144" t="n">
        <v>38.94</v>
      </c>
      <c r="K1913" s="145" t="n"/>
      <c r="L1913" s="140">
        <f>+H1913*J1913</f>
        <v/>
      </c>
      <c r="M1913" s="141">
        <f>SUM(M1912+K1913-L1913)</f>
        <v/>
      </c>
    </row>
    <row r="1914">
      <c r="A1914" s="20" t="n">
        <v>45772</v>
      </c>
      <c r="B1914" s="1" t="n">
        <v>15468</v>
      </c>
      <c r="C1914" s="2" t="inlineStr">
        <is>
          <t>VARLIK</t>
        </is>
      </c>
      <c r="D1914" s="1" t="inlineStr">
        <is>
          <t>SM 370</t>
        </is>
      </c>
      <c r="E1914" s="1" t="inlineStr">
        <is>
          <t>TEKİN ŞEYLAN</t>
        </is>
      </c>
      <c r="F1914" s="3" t="n"/>
      <c r="G1914" s="143" t="n"/>
      <c r="H1914" s="143" t="n">
        <v>198</v>
      </c>
      <c r="I1914" s="143">
        <f>+I1913+(G1914-H1914)</f>
        <v/>
      </c>
      <c r="J1914" s="144" t="n">
        <v>38.94</v>
      </c>
      <c r="K1914" s="145" t="n"/>
      <c r="L1914" s="140">
        <f>+H1914*J1914</f>
        <v/>
      </c>
      <c r="M1914" s="141">
        <f>SUM(M1913+K1914-L1914)</f>
        <v/>
      </c>
    </row>
    <row r="1915">
      <c r="A1915" s="20" t="n">
        <v>45772</v>
      </c>
      <c r="B1915" s="1" t="n">
        <v>15469</v>
      </c>
      <c r="C1915" s="2" t="inlineStr">
        <is>
          <t>VARLIK</t>
        </is>
      </c>
      <c r="D1915" s="1" t="inlineStr">
        <is>
          <t>SM 350</t>
        </is>
      </c>
      <c r="E1915" s="1" t="inlineStr">
        <is>
          <t>BAYRAM SANCAK</t>
        </is>
      </c>
      <c r="F1915" s="3" t="n"/>
      <c r="G1915" s="143" t="n"/>
      <c r="H1915" s="143" t="n">
        <v>222</v>
      </c>
      <c r="I1915" s="143">
        <f>+I1914+(G1915-H1915)</f>
        <v/>
      </c>
      <c r="J1915" s="144" t="n">
        <v>38.94</v>
      </c>
      <c r="K1915" s="145" t="n"/>
      <c r="L1915" s="140">
        <f>+H1915*J1915</f>
        <v/>
      </c>
      <c r="M1915" s="141">
        <f>SUM(M1914+K1915-L1915)</f>
        <v/>
      </c>
    </row>
    <row r="1916">
      <c r="A1916" s="20" t="n">
        <v>45772</v>
      </c>
      <c r="B1916" s="1" t="n">
        <v>15470</v>
      </c>
      <c r="C1916" s="2" t="inlineStr">
        <is>
          <t>HASALTUN</t>
        </is>
      </c>
      <c r="D1916" s="1" t="inlineStr">
        <is>
          <t>SM 350</t>
        </is>
      </c>
      <c r="E1916" s="1" t="inlineStr">
        <is>
          <t>TEVFİK ÖZTÜRK</t>
        </is>
      </c>
      <c r="F1916" s="3" t="n"/>
      <c r="G1916" s="143" t="n"/>
      <c r="H1916" s="143" t="n">
        <v>248</v>
      </c>
      <c r="I1916" s="143">
        <f>+I1915+(G1916-H1916)</f>
        <v/>
      </c>
      <c r="J1916" s="144" t="n">
        <v>38.94</v>
      </c>
      <c r="K1916" s="145" t="n"/>
      <c r="L1916" s="140">
        <f>+H1916*J1916</f>
        <v/>
      </c>
      <c r="M1916" s="141">
        <f>SUM(M1915+K1916-L1916)</f>
        <v/>
      </c>
    </row>
    <row r="1917">
      <c r="A1917" s="20" t="n">
        <v>45772</v>
      </c>
      <c r="B1917" s="1" t="n">
        <v>15471</v>
      </c>
      <c r="C1917" s="2" t="inlineStr">
        <is>
          <t>VARLIK</t>
        </is>
      </c>
      <c r="D1917" s="1" t="inlineStr">
        <is>
          <t>KAVAZAKİ</t>
        </is>
      </c>
      <c r="E1917" s="1" t="inlineStr">
        <is>
          <t>UFUK SEVAL</t>
        </is>
      </c>
      <c r="F1917" s="3" t="n"/>
      <c r="G1917" s="143" t="n"/>
      <c r="H1917" s="143" t="n">
        <v>186</v>
      </c>
      <c r="I1917" s="143">
        <f>+I1916+(G1917-H1917)</f>
        <v/>
      </c>
      <c r="J1917" s="144" t="n">
        <v>38.94</v>
      </c>
      <c r="K1917" s="145" t="n"/>
      <c r="L1917" s="140">
        <f>+H1917*J1917</f>
        <v/>
      </c>
      <c r="M1917" s="141">
        <f>SUM(M1916+K1917-L1917)</f>
        <v/>
      </c>
    </row>
    <row r="1918">
      <c r="A1918" s="20" t="n">
        <v>45773</v>
      </c>
      <c r="B1918" s="21" t="n">
        <v>14718</v>
      </c>
      <c r="C1918" s="22" t="inlineStr">
        <is>
          <t>METİN ERYİĞİT</t>
        </is>
      </c>
      <c r="D1918" s="21" t="inlineStr">
        <is>
          <t>34 GBL 998</t>
        </is>
      </c>
      <c r="E1918" s="21" t="inlineStr">
        <is>
          <t>ALİ KESKİN</t>
        </is>
      </c>
      <c r="F1918" s="23" t="n">
        <v>254454</v>
      </c>
      <c r="G1918" s="138" t="n"/>
      <c r="H1918" s="138" t="n">
        <v>319</v>
      </c>
      <c r="I1918" s="138">
        <f>+I1917+(G1918-H1918)</f>
        <v/>
      </c>
      <c r="J1918" s="139" t="n">
        <v>38.94</v>
      </c>
      <c r="K1918" s="140" t="n"/>
      <c r="L1918" s="140">
        <f>+H1918*J1918</f>
        <v/>
      </c>
      <c r="M1918" s="141">
        <f>SUM(M1917+K1918-L1918)</f>
        <v/>
      </c>
    </row>
    <row r="1919">
      <c r="A1919" s="20" t="n">
        <v>45773</v>
      </c>
      <c r="B1919" s="21" t="n">
        <v>11445</v>
      </c>
      <c r="C1919" s="22" t="inlineStr">
        <is>
          <t>METİN ERYİĞİT</t>
        </is>
      </c>
      <c r="D1919" s="21" t="inlineStr">
        <is>
          <t>34 EGR 814</t>
        </is>
      </c>
      <c r="E1919" s="21" t="inlineStr">
        <is>
          <t>GÜRAY KOYUNCU</t>
        </is>
      </c>
      <c r="F1919" s="23" t="n">
        <v>529237</v>
      </c>
      <c r="G1919" s="138" t="n"/>
      <c r="H1919" s="138" t="n">
        <v>340</v>
      </c>
      <c r="I1919" s="138">
        <f>+I1918+(G1919-H1919)</f>
        <v/>
      </c>
      <c r="J1919" s="139" t="n">
        <v>38.94</v>
      </c>
      <c r="K1919" s="140" t="n"/>
      <c r="L1919" s="140">
        <f>+H1919*J1919</f>
        <v/>
      </c>
      <c r="M1919" s="141">
        <f>SUM(M1918+K1919-L1919)</f>
        <v/>
      </c>
    </row>
    <row r="1920">
      <c r="A1920" s="20" t="n">
        <v>45773</v>
      </c>
      <c r="B1920" s="21" t="n">
        <v>10043</v>
      </c>
      <c r="C1920" s="22" t="inlineStr">
        <is>
          <t>METİN ERYİĞİT</t>
        </is>
      </c>
      <c r="D1920" s="21" t="inlineStr">
        <is>
          <t>34 EGS 013</t>
        </is>
      </c>
      <c r="E1920" s="21" t="inlineStr">
        <is>
          <t xml:space="preserve">UĞUR DUMAN </t>
        </is>
      </c>
      <c r="F1920" s="23" t="n">
        <v>477169</v>
      </c>
      <c r="G1920" s="138" t="n"/>
      <c r="H1920" s="138" t="n">
        <v>437</v>
      </c>
      <c r="I1920" s="138">
        <f>+I1919+(G1920-H1920)</f>
        <v/>
      </c>
      <c r="J1920" s="139" t="n">
        <v>38.94</v>
      </c>
      <c r="K1920" s="140" t="n"/>
      <c r="L1920" s="140">
        <f>+H1920*J1920</f>
        <v/>
      </c>
      <c r="M1920" s="141">
        <f>SUM(M1919+K1920-L1920)</f>
        <v/>
      </c>
    </row>
    <row r="1921">
      <c r="A1921" s="20" t="n">
        <v>45773</v>
      </c>
      <c r="B1921" s="21" t="n">
        <v>10532</v>
      </c>
      <c r="C1921" s="22" t="inlineStr">
        <is>
          <t>SELİM İNŞAAT</t>
        </is>
      </c>
      <c r="D1921" s="21" t="inlineStr">
        <is>
          <t>34 EDB 922</t>
        </is>
      </c>
      <c r="E1921" s="21" t="inlineStr">
        <is>
          <t>AHMET TOPÇU</t>
        </is>
      </c>
      <c r="F1921" s="23" t="n">
        <v>348494</v>
      </c>
      <c r="G1921" s="138" t="n"/>
      <c r="H1921" s="138" t="n">
        <v>319</v>
      </c>
      <c r="I1921" s="138">
        <f>+I1920+(G1921-H1921)</f>
        <v/>
      </c>
      <c r="J1921" s="139" t="n">
        <v>38.94</v>
      </c>
      <c r="K1921" s="140" t="n"/>
      <c r="L1921" s="140">
        <f>+H1921*J1921</f>
        <v/>
      </c>
      <c r="M1921" s="141">
        <f>SUM(M1920+K1921-L1921)</f>
        <v/>
      </c>
    </row>
    <row r="1922">
      <c r="A1922" s="20" t="n">
        <v>45773</v>
      </c>
      <c r="B1922" s="21" t="n">
        <v>10224</v>
      </c>
      <c r="C1922" s="22" t="inlineStr">
        <is>
          <t>SELİM İNŞAAT</t>
        </is>
      </c>
      <c r="D1922" s="21" t="inlineStr">
        <is>
          <t>34 DSN 621</t>
        </is>
      </c>
      <c r="E1922" s="21" t="inlineStr">
        <is>
          <t>MUSTAFA KAYA</t>
        </is>
      </c>
      <c r="F1922" s="23" t="n">
        <v>401280</v>
      </c>
      <c r="G1922" s="138" t="n"/>
      <c r="H1922" s="138" t="n">
        <v>284</v>
      </c>
      <c r="I1922" s="138">
        <f>+I1921+(G1922-H1922)</f>
        <v/>
      </c>
      <c r="J1922" s="139" t="n">
        <v>38.94</v>
      </c>
      <c r="K1922" s="140" t="n"/>
      <c r="L1922" s="140">
        <f>+H1922*J1922</f>
        <v/>
      </c>
      <c r="M1922" s="141">
        <f>SUM(M1921+K1922-L1922)</f>
        <v/>
      </c>
    </row>
    <row r="1923">
      <c r="A1923" s="20" t="n">
        <v>45773</v>
      </c>
      <c r="B1923" s="21" t="n">
        <v>10784</v>
      </c>
      <c r="C1923" s="22" t="inlineStr">
        <is>
          <t>SELİM İNŞAAT</t>
        </is>
      </c>
      <c r="D1923" s="21" t="inlineStr">
        <is>
          <t>34 FBR 705</t>
        </is>
      </c>
      <c r="E1923" s="21" t="inlineStr">
        <is>
          <t>MESUT GÜRLER</t>
        </is>
      </c>
      <c r="F1923" s="23" t="n">
        <v>303203</v>
      </c>
      <c r="G1923" s="138" t="n"/>
      <c r="H1923" s="138" t="n">
        <v>494</v>
      </c>
      <c r="I1923" s="138">
        <f>+I1922+(G1923-H1923)</f>
        <v/>
      </c>
      <c r="J1923" s="139" t="n">
        <v>38.94</v>
      </c>
      <c r="K1923" s="140" t="n"/>
      <c r="L1923" s="140">
        <f>+H1923*J1923</f>
        <v/>
      </c>
      <c r="M1923" s="141">
        <f>SUM(M1922+K1923-L1923)</f>
        <v/>
      </c>
    </row>
    <row r="1924">
      <c r="A1924" s="20" t="n">
        <v>45773</v>
      </c>
      <c r="B1924" s="21" t="n">
        <v>10079</v>
      </c>
      <c r="C1924" s="22" t="inlineStr">
        <is>
          <t>SELİM İNŞAAT</t>
        </is>
      </c>
      <c r="D1924" s="21" t="inlineStr">
        <is>
          <t>34 FBR 771</t>
        </is>
      </c>
      <c r="E1924" s="21" t="inlineStr">
        <is>
          <t>HÜSEYİN AKÇİN</t>
        </is>
      </c>
      <c r="F1924" s="23" t="n">
        <v>305765</v>
      </c>
      <c r="G1924" s="138" t="n"/>
      <c r="H1924" s="138" t="n">
        <v>433</v>
      </c>
      <c r="I1924" s="138">
        <f>+I1923+(G1924-H1924)</f>
        <v/>
      </c>
      <c r="J1924" s="139" t="n">
        <v>38.94</v>
      </c>
      <c r="K1924" s="140" t="n"/>
      <c r="L1924" s="140">
        <f>+H1924*J1924</f>
        <v/>
      </c>
      <c r="M1924" s="141">
        <f>SUM(M1923+K1924-L1924)</f>
        <v/>
      </c>
    </row>
    <row r="1925">
      <c r="A1925" s="20" t="n">
        <v>45773</v>
      </c>
      <c r="B1925" s="21" t="n">
        <v>14117</v>
      </c>
      <c r="C1925" s="22" t="inlineStr">
        <is>
          <t>SELİM İNŞAAT</t>
        </is>
      </c>
      <c r="D1925" s="21" t="inlineStr">
        <is>
          <t>34 DSN 536</t>
        </is>
      </c>
      <c r="E1925" s="21" t="inlineStr">
        <is>
          <t>DURSUN ALİ GÜREK</t>
        </is>
      </c>
      <c r="F1925" s="23" t="n">
        <v>392768</v>
      </c>
      <c r="G1925" s="138" t="n"/>
      <c r="H1925" s="138" t="n">
        <v>404</v>
      </c>
      <c r="I1925" s="138">
        <f>+I1924+(G1925-H1925)</f>
        <v/>
      </c>
      <c r="J1925" s="139" t="n">
        <v>38.94</v>
      </c>
      <c r="K1925" s="140" t="n"/>
      <c r="L1925" s="140">
        <f>+H1925*J1925</f>
        <v/>
      </c>
      <c r="M1925" s="141">
        <f>SUM(M1924+K1925-L1925)</f>
        <v/>
      </c>
    </row>
    <row r="1926">
      <c r="A1926" s="20" t="n">
        <v>45773</v>
      </c>
      <c r="B1926" s="21" t="n">
        <v>21495</v>
      </c>
      <c r="C1926" s="22" t="inlineStr">
        <is>
          <t>SELİM İNŞAAT</t>
        </is>
      </c>
      <c r="D1926" s="21" t="inlineStr">
        <is>
          <t>34 GYZ 635</t>
        </is>
      </c>
      <c r="E1926" s="21" t="inlineStr">
        <is>
          <t>ENGİN DEMİR</t>
        </is>
      </c>
      <c r="F1926" s="23" t="n">
        <v>160644</v>
      </c>
      <c r="G1926" s="138" t="n"/>
      <c r="H1926" s="138" t="n">
        <v>281</v>
      </c>
      <c r="I1926" s="138">
        <f>+I1925+(G1926-H1926)</f>
        <v/>
      </c>
      <c r="J1926" s="139" t="n">
        <v>38.94</v>
      </c>
      <c r="K1926" s="140" t="n"/>
      <c r="L1926" s="140">
        <f>+H1926*J1926</f>
        <v/>
      </c>
      <c r="M1926" s="141">
        <f>SUM(M1925+K1926-L1926)</f>
        <v/>
      </c>
    </row>
    <row r="1927">
      <c r="A1927" s="20" t="n">
        <v>45773</v>
      </c>
      <c r="B1927" s="21" t="n">
        <v>11294</v>
      </c>
      <c r="C1927" s="22" t="inlineStr">
        <is>
          <t>SELİM İNŞAAT</t>
        </is>
      </c>
      <c r="D1927" s="21" t="inlineStr">
        <is>
          <t>34 EDC 162</t>
        </is>
      </c>
      <c r="E1927" s="21" t="inlineStr">
        <is>
          <t xml:space="preserve">YAKUP GÜNER </t>
        </is>
      </c>
      <c r="F1927" s="23" t="n">
        <v>356829</v>
      </c>
      <c r="G1927" s="138" t="n"/>
      <c r="H1927" s="138" t="n">
        <v>338</v>
      </c>
      <c r="I1927" s="138">
        <f>+I1926+(G1927-H1927)</f>
        <v/>
      </c>
      <c r="J1927" s="139" t="n">
        <v>38.94</v>
      </c>
      <c r="K1927" s="140" t="n"/>
      <c r="L1927" s="140">
        <f>+H1927*J1927</f>
        <v/>
      </c>
      <c r="M1927" s="141">
        <f>SUM(M1926+K1927-L1927)</f>
        <v/>
      </c>
    </row>
    <row r="1928">
      <c r="A1928" s="20" t="n">
        <v>45773</v>
      </c>
      <c r="B1928" s="21" t="n">
        <v>10190</v>
      </c>
      <c r="C1928" s="22" t="inlineStr">
        <is>
          <t>SELİM İNŞAAT</t>
        </is>
      </c>
      <c r="D1928" s="21" t="inlineStr">
        <is>
          <t>34 EGR 736</t>
        </is>
      </c>
      <c r="E1928" s="21" t="inlineStr">
        <is>
          <t>HAKAN ÇAVUŞOĞLU</t>
        </is>
      </c>
      <c r="F1928" s="23" t="n">
        <v>376855</v>
      </c>
      <c r="G1928" s="138" t="n"/>
      <c r="H1928" s="138" t="n">
        <v>424</v>
      </c>
      <c r="I1928" s="138">
        <f>+I1927+(G1928-H1928)</f>
        <v/>
      </c>
      <c r="J1928" s="139" t="n">
        <v>38.94</v>
      </c>
      <c r="K1928" s="140" t="n"/>
      <c r="L1928" s="140">
        <f>+H1928*J1928</f>
        <v/>
      </c>
      <c r="M1928" s="141">
        <f>SUM(M1927+K1928-L1928)</f>
        <v/>
      </c>
    </row>
    <row r="1929">
      <c r="A1929" s="20" t="n">
        <v>45773</v>
      </c>
      <c r="B1929" s="21" t="n">
        <v>10440</v>
      </c>
      <c r="C1929" s="22" t="inlineStr">
        <is>
          <t>SELİM İNŞAAT</t>
        </is>
      </c>
      <c r="D1929" s="21" t="inlineStr">
        <is>
          <t>34 FBR 781</t>
        </is>
      </c>
      <c r="E1929" s="21" t="inlineStr">
        <is>
          <t>MEVLÜT POLAT</t>
        </is>
      </c>
      <c r="F1929" s="23" t="n">
        <v>289530</v>
      </c>
      <c r="G1929" s="138" t="n"/>
      <c r="H1929" s="138" t="n">
        <v>396</v>
      </c>
      <c r="I1929" s="138">
        <f>+I1928+(G1929-H1929)</f>
        <v/>
      </c>
      <c r="J1929" s="139" t="n">
        <v>38.94</v>
      </c>
      <c r="K1929" s="140" t="n"/>
      <c r="L1929" s="140">
        <f>+H1929*J1929</f>
        <v/>
      </c>
      <c r="M1929" s="141">
        <f>SUM(M1928+K1929-L1929)</f>
        <v/>
      </c>
    </row>
    <row r="1930">
      <c r="A1930" s="20" t="n">
        <v>45773</v>
      </c>
      <c r="B1930" s="21" t="n">
        <v>11321</v>
      </c>
      <c r="C1930" s="22" t="inlineStr">
        <is>
          <t>AZGÜN YAPI</t>
        </is>
      </c>
      <c r="D1930" s="21" t="inlineStr">
        <is>
          <t>34 MKT 859</t>
        </is>
      </c>
      <c r="E1930" s="21" t="inlineStr">
        <is>
          <t>HASAN ALTUN</t>
        </is>
      </c>
      <c r="F1930" s="23" t="n">
        <v>28315</v>
      </c>
      <c r="G1930" s="138" t="n"/>
      <c r="H1930" s="138" t="n">
        <v>879</v>
      </c>
      <c r="I1930" s="138">
        <f>+I1929+(G1930-H1930)</f>
        <v/>
      </c>
      <c r="J1930" s="139" t="n">
        <v>38.94</v>
      </c>
      <c r="K1930" s="140" t="n"/>
      <c r="L1930" s="140">
        <f>+H1930*J1930</f>
        <v/>
      </c>
      <c r="M1930" s="141">
        <f>SUM(M1929+K1930-L1930)</f>
        <v/>
      </c>
    </row>
    <row r="1931">
      <c r="A1931" s="20" t="n">
        <v>45773</v>
      </c>
      <c r="B1931" s="21" t="n">
        <v>11369</v>
      </c>
      <c r="C1931" s="22" t="inlineStr">
        <is>
          <t>AZGÜN YAPI</t>
        </is>
      </c>
      <c r="D1931" s="21" t="inlineStr">
        <is>
          <t>34 MKT 593</t>
        </is>
      </c>
      <c r="E1931" s="21" t="inlineStr">
        <is>
          <t>İLHAN YÜRÜK</t>
        </is>
      </c>
      <c r="F1931" s="23" t="n">
        <v>23444</v>
      </c>
      <c r="G1931" s="138" t="n"/>
      <c r="H1931" s="138" t="n">
        <v>885</v>
      </c>
      <c r="I1931" s="138">
        <f>+I1930+(G1931-H1931)</f>
        <v/>
      </c>
      <c r="J1931" s="139" t="n">
        <v>38.94</v>
      </c>
      <c r="K1931" s="140" t="n"/>
      <c r="L1931" s="140">
        <f>+H1931*J1931</f>
        <v/>
      </c>
      <c r="M1931" s="141">
        <f>SUM(M1930+K1931-L1931)</f>
        <v/>
      </c>
    </row>
    <row r="1932">
      <c r="A1932" s="20" t="n">
        <v>45773</v>
      </c>
      <c r="B1932" s="21" t="n">
        <v>14170</v>
      </c>
      <c r="C1932" s="22" t="inlineStr">
        <is>
          <t>AZGÜN YAPI</t>
        </is>
      </c>
      <c r="D1932" s="21" t="inlineStr">
        <is>
          <t>34 DTV 263</t>
        </is>
      </c>
      <c r="E1932" s="21" t="inlineStr">
        <is>
          <t>EDİP TORLAK</t>
        </is>
      </c>
      <c r="F1932" s="23" t="n">
        <v>372363</v>
      </c>
      <c r="G1932" s="138" t="n"/>
      <c r="H1932" s="138" t="n">
        <v>415</v>
      </c>
      <c r="I1932" s="138">
        <f>+I1931+(G1932-H1932)</f>
        <v/>
      </c>
      <c r="J1932" s="139" t="n">
        <v>38.94</v>
      </c>
      <c r="K1932" s="140" t="n"/>
      <c r="L1932" s="140">
        <f>+H1932*J1932</f>
        <v/>
      </c>
      <c r="M1932" s="141">
        <f>SUM(M1931+K1932-L1932)</f>
        <v/>
      </c>
    </row>
    <row r="1933">
      <c r="A1933" s="20" t="n">
        <v>45773</v>
      </c>
      <c r="B1933" s="21" t="n">
        <v>14673</v>
      </c>
      <c r="C1933" s="22" t="inlineStr">
        <is>
          <t>AHMET SELİM TEMHA</t>
        </is>
      </c>
      <c r="D1933" s="21" t="inlineStr">
        <is>
          <t>34 DGE 422</t>
        </is>
      </c>
      <c r="E1933" s="21" t="inlineStr">
        <is>
          <t>CEMAL AKDAMAR</t>
        </is>
      </c>
      <c r="F1933" s="23" t="n"/>
      <c r="G1933" s="138" t="n"/>
      <c r="H1933" s="138" t="n">
        <v>42</v>
      </c>
      <c r="I1933" s="138">
        <f>+I1932+(G1933-H1933)</f>
        <v/>
      </c>
      <c r="J1933" s="139" t="n">
        <v>38.94</v>
      </c>
      <c r="K1933" s="140" t="n"/>
      <c r="L1933" s="140">
        <f>+H1933*J1933</f>
        <v/>
      </c>
      <c r="M1933" s="141">
        <f>SUM(M1932+K1933-L1933)</f>
        <v/>
      </c>
    </row>
    <row r="1934">
      <c r="A1934" s="20" t="n">
        <v>45773</v>
      </c>
      <c r="B1934" s="21" t="n">
        <v>21318</v>
      </c>
      <c r="C1934" s="22" t="inlineStr">
        <is>
          <t>SELİM İNŞAAT</t>
        </is>
      </c>
      <c r="D1934" s="21" t="inlineStr">
        <is>
          <t>34 FEM 934</t>
        </is>
      </c>
      <c r="E1934" s="21" t="inlineStr">
        <is>
          <t>ENGİN DEMİR</t>
        </is>
      </c>
      <c r="F1934" s="23" t="n">
        <v>305026</v>
      </c>
      <c r="G1934" s="138" t="n"/>
      <c r="H1934" s="138" t="n">
        <v>70</v>
      </c>
      <c r="I1934" s="138">
        <f>+I1933+(G1934-H1934)</f>
        <v/>
      </c>
      <c r="J1934" s="139" t="n">
        <v>38.94</v>
      </c>
      <c r="K1934" s="140" t="n"/>
      <c r="L1934" s="140">
        <f>+H1934*J1934</f>
        <v/>
      </c>
      <c r="M1934" s="141">
        <f>SUM(M1933+K1934-L1934)</f>
        <v/>
      </c>
    </row>
    <row r="1935">
      <c r="A1935" s="20" t="n">
        <v>45773</v>
      </c>
      <c r="B1935" s="21" t="n">
        <v>10877</v>
      </c>
      <c r="C1935" s="22" t="inlineStr">
        <is>
          <t>SELİM İNŞAAT</t>
        </is>
      </c>
      <c r="D1935" s="21" t="inlineStr">
        <is>
          <t>34 AR 7743</t>
        </is>
      </c>
      <c r="E1935" s="21" t="inlineStr">
        <is>
          <t>MEHMET SELİM</t>
        </is>
      </c>
      <c r="F1935" s="23" t="n">
        <v>353990</v>
      </c>
      <c r="G1935" s="138" t="n"/>
      <c r="H1935" s="138" t="n">
        <v>54</v>
      </c>
      <c r="I1935" s="138">
        <f>+I1934+(G1935-H1935)</f>
        <v/>
      </c>
      <c r="J1935" s="139" t="n">
        <v>38.94</v>
      </c>
      <c r="K1935" s="140" t="n"/>
      <c r="L1935" s="140">
        <f>+H1935*J1935</f>
        <v/>
      </c>
      <c r="M1935" s="141">
        <f>SUM(M1934+K1935-L1935)</f>
        <v/>
      </c>
    </row>
    <row r="1936">
      <c r="A1936" s="20" t="n">
        <v>45773</v>
      </c>
      <c r="B1936" s="21" t="n">
        <v>16735</v>
      </c>
      <c r="C1936" s="22" t="inlineStr">
        <is>
          <t>SELİM İNŞAAT</t>
        </is>
      </c>
      <c r="D1936" s="21" t="inlineStr">
        <is>
          <t>34 JBA 25</t>
        </is>
      </c>
      <c r="E1936" s="21" t="inlineStr">
        <is>
          <t>EMİRCAN ÖZTÜRK</t>
        </is>
      </c>
      <c r="F1936" s="23" t="n">
        <v>332105</v>
      </c>
      <c r="G1936" s="138" t="n"/>
      <c r="H1936" s="138" t="n">
        <v>74</v>
      </c>
      <c r="I1936" s="138">
        <f>+I1935+(G1936-H1936)</f>
        <v/>
      </c>
      <c r="J1936" s="139" t="n">
        <v>38.94</v>
      </c>
      <c r="K1936" s="140" t="n"/>
      <c r="L1936" s="140">
        <f>+H1936*J1936</f>
        <v/>
      </c>
      <c r="M1936" s="141">
        <f>SUM(M1935+K1936-L1936)</f>
        <v/>
      </c>
    </row>
    <row r="1937">
      <c r="A1937" s="20" t="n">
        <v>45773</v>
      </c>
      <c r="B1937" s="21" t="n">
        <v>15905</v>
      </c>
      <c r="C1937" s="22" t="inlineStr">
        <is>
          <t>SELİM İNŞAAT</t>
        </is>
      </c>
      <c r="D1937" s="21" t="inlineStr">
        <is>
          <t>34 DFE 454</t>
        </is>
      </c>
      <c r="E1937" s="21" t="inlineStr">
        <is>
          <t>GÖRKEM KARATAY</t>
        </is>
      </c>
      <c r="F1937" s="23" t="n">
        <v>157585</v>
      </c>
      <c r="G1937" s="138" t="n"/>
      <c r="H1937" s="138" t="n">
        <v>239</v>
      </c>
      <c r="I1937" s="138">
        <f>+I1936+(G1937-H1937)</f>
        <v/>
      </c>
      <c r="J1937" s="139" t="n">
        <v>38.94</v>
      </c>
      <c r="K1937" s="140" t="n"/>
      <c r="L1937" s="140">
        <f>+H1937*J1937</f>
        <v/>
      </c>
      <c r="M1937" s="141">
        <f>SUM(M1936+K1937-L1937)</f>
        <v/>
      </c>
    </row>
    <row r="1938">
      <c r="A1938" s="20" t="n">
        <v>45773</v>
      </c>
      <c r="B1938" s="21" t="n">
        <v>14621</v>
      </c>
      <c r="C1938" s="22" t="inlineStr">
        <is>
          <t>SELİM İNŞAAT</t>
        </is>
      </c>
      <c r="D1938" s="21" t="inlineStr">
        <is>
          <t>34 GER 445</t>
        </is>
      </c>
      <c r="E1938" s="21" t="inlineStr">
        <is>
          <t>HASAN BAYCAN</t>
        </is>
      </c>
      <c r="F1938" s="23" t="n">
        <v>40923</v>
      </c>
      <c r="G1938" s="138" t="n"/>
      <c r="H1938" s="138" t="n">
        <v>148</v>
      </c>
      <c r="I1938" s="138">
        <f>+I1937+(G1938-H1938)</f>
        <v/>
      </c>
      <c r="J1938" s="139" t="n">
        <v>38.94</v>
      </c>
      <c r="K1938" s="140" t="n"/>
      <c r="L1938" s="140">
        <f>+H1938*J1938</f>
        <v/>
      </c>
      <c r="M1938" s="141">
        <f>SUM(M1937+K1938-L1938)</f>
        <v/>
      </c>
    </row>
    <row r="1939">
      <c r="A1939" s="20" t="n">
        <v>45773</v>
      </c>
      <c r="B1939" s="21" t="n">
        <v>14518</v>
      </c>
      <c r="C1939" s="22" t="inlineStr">
        <is>
          <t>SELİM İNŞAAT</t>
        </is>
      </c>
      <c r="D1939" s="21" t="inlineStr">
        <is>
          <t>34 GER 028</t>
        </is>
      </c>
      <c r="E1939" s="21" t="inlineStr">
        <is>
          <t>A.KERİM ERGEN</t>
        </is>
      </c>
      <c r="F1939" s="23" t="n">
        <v>42604</v>
      </c>
      <c r="G1939" s="138" t="n"/>
      <c r="H1939" s="138" t="n">
        <v>170</v>
      </c>
      <c r="I1939" s="138">
        <f>+I1938+(G1939-H1939)</f>
        <v/>
      </c>
      <c r="J1939" s="139" t="n">
        <v>38.94</v>
      </c>
      <c r="K1939" s="140" t="n"/>
      <c r="L1939" s="140">
        <f>+H1939*J1939</f>
        <v/>
      </c>
      <c r="M1939" s="141">
        <f>SUM(M1938+K1939-L1939)</f>
        <v/>
      </c>
    </row>
    <row r="1940">
      <c r="A1940" s="20" t="n">
        <v>45773</v>
      </c>
      <c r="B1940" s="21" t="n">
        <v>10143</v>
      </c>
      <c r="C1940" s="22" t="inlineStr">
        <is>
          <t>SELİM İNŞAAT</t>
        </is>
      </c>
      <c r="D1940" s="21" t="inlineStr">
        <is>
          <t>34 DP 4161</t>
        </is>
      </c>
      <c r="E1940" s="21" t="inlineStr">
        <is>
          <t>RIFAT KARATAY</t>
        </is>
      </c>
      <c r="F1940" s="23" t="n">
        <v>282980</v>
      </c>
      <c r="G1940" s="138" t="n"/>
      <c r="H1940" s="138" t="n">
        <v>233</v>
      </c>
      <c r="I1940" s="138">
        <f>+I1939+(G1940-H1940)</f>
        <v/>
      </c>
      <c r="J1940" s="139" t="n">
        <v>38.94</v>
      </c>
      <c r="K1940" s="140" t="n"/>
      <c r="L1940" s="140">
        <f>+H1940*J1940</f>
        <v/>
      </c>
      <c r="M1940" s="141">
        <f>SUM(M1939+K1940-L1940)</f>
        <v/>
      </c>
    </row>
    <row r="1941">
      <c r="A1941" s="20" t="n">
        <v>45773</v>
      </c>
      <c r="B1941" s="21" t="n">
        <v>14325</v>
      </c>
      <c r="C1941" s="22" t="inlineStr">
        <is>
          <t>SELİM İNŞAAT</t>
        </is>
      </c>
      <c r="D1941" s="21" t="inlineStr">
        <is>
          <t>34 DKL 866</t>
        </is>
      </c>
      <c r="E1941" s="21" t="inlineStr">
        <is>
          <t>SELİM CAN ÖNVER</t>
        </is>
      </c>
      <c r="F1941" s="23" t="n">
        <v>63986</v>
      </c>
      <c r="G1941" s="138" t="n"/>
      <c r="H1941" s="138" t="n">
        <v>84</v>
      </c>
      <c r="I1941" s="138">
        <f>+I1940+(G1941-H1941)</f>
        <v/>
      </c>
      <c r="J1941" s="139" t="n">
        <v>38.94</v>
      </c>
      <c r="K1941" s="140" t="n"/>
      <c r="L1941" s="140">
        <f>+H1941*J1941</f>
        <v/>
      </c>
      <c r="M1941" s="141">
        <f>SUM(M1940+K1941-L1941)</f>
        <v/>
      </c>
    </row>
    <row r="1942">
      <c r="A1942" s="20" t="n">
        <v>45773</v>
      </c>
      <c r="B1942" s="1" t="n">
        <v>15472</v>
      </c>
      <c r="C1942" s="2" t="inlineStr">
        <is>
          <t>HASALTUN VARLIK</t>
        </is>
      </c>
      <c r="D1942" s="1" t="inlineStr">
        <is>
          <t>KAVAZAKİ</t>
        </is>
      </c>
      <c r="E1942" s="1" t="inlineStr">
        <is>
          <t>UFUK SEVAL</t>
        </is>
      </c>
      <c r="F1942" s="3" t="n"/>
      <c r="G1942" s="143" t="n"/>
      <c r="H1942" s="143" t="n">
        <v>155</v>
      </c>
      <c r="I1942" s="143">
        <f>+I1941+(G1942-H1942)</f>
        <v/>
      </c>
      <c r="J1942" s="144" t="n">
        <v>38.94</v>
      </c>
      <c r="K1942" s="145" t="n"/>
      <c r="L1942" s="140">
        <f>+H1942*J1942</f>
        <v/>
      </c>
      <c r="M1942" s="141">
        <f>SUM(M1941+K1942-L1942)</f>
        <v/>
      </c>
    </row>
    <row r="1943">
      <c r="A1943" s="20" t="n">
        <v>45773</v>
      </c>
      <c r="B1943" s="1" t="n">
        <v>15473</v>
      </c>
      <c r="C1943" s="2" t="inlineStr">
        <is>
          <t>HASALTUN</t>
        </is>
      </c>
      <c r="D1943" s="1" t="inlineStr">
        <is>
          <t>SM 350</t>
        </is>
      </c>
      <c r="E1943" s="1" t="inlineStr">
        <is>
          <t>TEVFİK ÖZTÜRK</t>
        </is>
      </c>
      <c r="F1943" s="3" t="n"/>
      <c r="G1943" s="143" t="n"/>
      <c r="H1943" s="143" t="n">
        <v>287</v>
      </c>
      <c r="I1943" s="143">
        <f>+I1942+(G1943-H1943)</f>
        <v/>
      </c>
      <c r="J1943" s="144" t="n">
        <v>38.94</v>
      </c>
      <c r="K1943" s="145" t="n"/>
      <c r="L1943" s="140">
        <f>+H1943*J1943</f>
        <v/>
      </c>
      <c r="M1943" s="141">
        <f>SUM(M1942+K1943-L1943)</f>
        <v/>
      </c>
    </row>
    <row r="1944">
      <c r="A1944" s="20" t="n">
        <v>45773</v>
      </c>
      <c r="B1944" s="1" t="n">
        <v>15475</v>
      </c>
      <c r="C1944" s="2" t="inlineStr">
        <is>
          <t>VARLIK</t>
        </is>
      </c>
      <c r="D1944" s="1" t="inlineStr">
        <is>
          <t>SM 350</t>
        </is>
      </c>
      <c r="E1944" s="1" t="inlineStr">
        <is>
          <t>BAYRAM SANCAK</t>
        </is>
      </c>
      <c r="F1944" s="3" t="n"/>
      <c r="G1944" s="143" t="n"/>
      <c r="H1944" s="143" t="n">
        <v>190</v>
      </c>
      <c r="I1944" s="143">
        <f>+I1943+(G1944-H1944)</f>
        <v/>
      </c>
      <c r="J1944" s="144" t="n">
        <v>38.94</v>
      </c>
      <c r="K1944" s="145" t="n"/>
      <c r="L1944" s="140">
        <f>+H1944*J1944</f>
        <v/>
      </c>
      <c r="M1944" s="141">
        <f>SUM(M1943+K1944-L1944)</f>
        <v/>
      </c>
    </row>
    <row r="1945">
      <c r="A1945" s="20" t="n">
        <v>45773</v>
      </c>
      <c r="B1945" s="1" t="n">
        <v>15476</v>
      </c>
      <c r="C1945" s="2" t="inlineStr">
        <is>
          <t>VARLIK</t>
        </is>
      </c>
      <c r="D1945" s="1" t="inlineStr">
        <is>
          <t>SM 350</t>
        </is>
      </c>
      <c r="E1945" s="1" t="inlineStr">
        <is>
          <t>TURGUT SANCAK</t>
        </is>
      </c>
      <c r="F1945" s="3" t="n"/>
      <c r="G1945" s="143" t="n"/>
      <c r="H1945" s="143" t="n">
        <v>235</v>
      </c>
      <c r="I1945" s="143">
        <f>+I1944+(G1945-H1945)</f>
        <v/>
      </c>
      <c r="J1945" s="144" t="n">
        <v>38.94</v>
      </c>
      <c r="K1945" s="145" t="n"/>
      <c r="L1945" s="140">
        <f>+H1945*J1945</f>
        <v/>
      </c>
      <c r="M1945" s="141">
        <f>SUM(M1944+K1945-L1945)</f>
        <v/>
      </c>
    </row>
    <row r="1946">
      <c r="A1946" s="20" t="n">
        <v>45773</v>
      </c>
      <c r="B1946" s="1" t="n">
        <v>15477</v>
      </c>
      <c r="C1946" s="2" t="inlineStr">
        <is>
          <t>VARLIK</t>
        </is>
      </c>
      <c r="D1946" s="1" t="inlineStr">
        <is>
          <t>SM 370</t>
        </is>
      </c>
      <c r="E1946" s="1" t="inlineStr">
        <is>
          <t>TEKİN ŞEYLAN</t>
        </is>
      </c>
      <c r="F1946" s="3" t="n"/>
      <c r="G1946" s="143" t="n"/>
      <c r="H1946" s="143" t="n">
        <v>250</v>
      </c>
      <c r="I1946" s="143">
        <f>+I1945+(G1946-H1946)</f>
        <v/>
      </c>
      <c r="J1946" s="144" t="n">
        <v>38.94</v>
      </c>
      <c r="K1946" s="145" t="n"/>
      <c r="L1946" s="140">
        <f>+H1946*J1946</f>
        <v/>
      </c>
      <c r="M1946" s="141">
        <f>SUM(M1945+K1946-L1946)</f>
        <v/>
      </c>
    </row>
    <row r="1947">
      <c r="A1947" s="20" t="n">
        <v>45774</v>
      </c>
      <c r="B1947" s="1" t="n">
        <v>15474</v>
      </c>
      <c r="C1947" s="2" t="inlineStr">
        <is>
          <t>HASALTUN</t>
        </is>
      </c>
      <c r="D1947" s="1" t="inlineStr">
        <is>
          <t>SM 350</t>
        </is>
      </c>
      <c r="E1947" s="1" t="inlineStr">
        <is>
          <t>TEVFİK ÖZTÜRK</t>
        </is>
      </c>
      <c r="F1947" s="3" t="n"/>
      <c r="G1947" s="143" t="n"/>
      <c r="H1947" s="143" t="n">
        <v>190</v>
      </c>
      <c r="I1947" s="143">
        <f>+I1946+(G1947-H1947)</f>
        <v/>
      </c>
      <c r="J1947" s="144" t="n">
        <v>38.94</v>
      </c>
      <c r="K1947" s="145" t="n"/>
      <c r="L1947" s="140">
        <f>+H1947*J1947</f>
        <v/>
      </c>
      <c r="M1947" s="141">
        <f>SUM(M1946+K1947-L1947)</f>
        <v/>
      </c>
    </row>
    <row r="1948">
      <c r="A1948" s="20" t="n">
        <v>45775</v>
      </c>
      <c r="B1948" s="21" t="n">
        <v>11157</v>
      </c>
      <c r="C1948" s="22" t="inlineStr">
        <is>
          <t>SELİM İNŞAAT</t>
        </is>
      </c>
      <c r="D1948" s="21" t="inlineStr">
        <is>
          <t>34 HZ 1663</t>
        </is>
      </c>
      <c r="E1948" s="21" t="inlineStr">
        <is>
          <t>ÖNER DÜNDAR</t>
        </is>
      </c>
      <c r="F1948" s="23" t="n">
        <v>519806</v>
      </c>
      <c r="G1948" s="138" t="n"/>
      <c r="H1948" s="138" t="n">
        <v>408</v>
      </c>
      <c r="I1948" s="138">
        <f>+I1947+(G1948-H1948)</f>
        <v/>
      </c>
      <c r="J1948" s="139" t="n">
        <v>38.94</v>
      </c>
      <c r="K1948" s="140" t="n"/>
      <c r="L1948" s="140">
        <f>+H1948*J1948</f>
        <v/>
      </c>
      <c r="M1948" s="141">
        <f>SUM(M1947+K1948-L1948)</f>
        <v/>
      </c>
    </row>
    <row r="1949">
      <c r="A1949" s="20" t="n">
        <v>45775</v>
      </c>
      <c r="B1949" s="21" t="n">
        <v>21613</v>
      </c>
      <c r="C1949" s="22" t="inlineStr">
        <is>
          <t>SELİM İNŞAAT</t>
        </is>
      </c>
      <c r="D1949" s="21" t="inlineStr">
        <is>
          <t>34 DHC 467</t>
        </is>
      </c>
      <c r="E1949" s="21" t="inlineStr">
        <is>
          <t>İSMET BAYRAM</t>
        </is>
      </c>
      <c r="F1949" s="23" t="n">
        <v>394293</v>
      </c>
      <c r="G1949" s="138" t="n"/>
      <c r="H1949" s="138" t="n">
        <v>274</v>
      </c>
      <c r="I1949" s="138">
        <f>+I1948+(G1949-H1949)</f>
        <v/>
      </c>
      <c r="J1949" s="139" t="n">
        <v>38.94</v>
      </c>
      <c r="K1949" s="140" t="n"/>
      <c r="L1949" s="140">
        <f>+H1949*J1949</f>
        <v/>
      </c>
      <c r="M1949" s="141">
        <f>SUM(M1948+K1949-L1949)</f>
        <v/>
      </c>
    </row>
    <row r="1950">
      <c r="A1950" s="20" t="n">
        <v>45775</v>
      </c>
      <c r="B1950" s="21" t="n">
        <v>15007</v>
      </c>
      <c r="C1950" s="22" t="inlineStr">
        <is>
          <t>SELİM İNŞAAT</t>
        </is>
      </c>
      <c r="D1950" s="21" t="inlineStr">
        <is>
          <t>34 GVZ 199</t>
        </is>
      </c>
      <c r="E1950" s="21" t="inlineStr">
        <is>
          <t>VAHDET GÜRLER</t>
        </is>
      </c>
      <c r="F1950" s="23" t="n">
        <v>169636</v>
      </c>
      <c r="G1950" s="138" t="n"/>
      <c r="H1950" s="138" t="n">
        <v>342</v>
      </c>
      <c r="I1950" s="138">
        <f>+I1949+(G1950-H1950)</f>
        <v/>
      </c>
      <c r="J1950" s="139" t="n">
        <v>38.94</v>
      </c>
      <c r="K1950" s="140" t="n"/>
      <c r="L1950" s="140">
        <f>+H1950*J1950</f>
        <v/>
      </c>
      <c r="M1950" s="141">
        <f>SUM(M1949+K1950-L1950)</f>
        <v/>
      </c>
    </row>
    <row r="1951">
      <c r="A1951" s="20" t="n">
        <v>45775</v>
      </c>
      <c r="B1951" s="21" t="n">
        <v>10533</v>
      </c>
      <c r="C1951" s="22" t="inlineStr">
        <is>
          <t>SELİM İNŞAAT</t>
        </is>
      </c>
      <c r="D1951" s="21" t="inlineStr">
        <is>
          <t>34 EDB 922</t>
        </is>
      </c>
      <c r="E1951" s="21" t="inlineStr">
        <is>
          <t>AHMET TOPÇU</t>
        </is>
      </c>
      <c r="F1951" s="23" t="n">
        <v>348976</v>
      </c>
      <c r="G1951" s="138" t="n"/>
      <c r="H1951" s="138" t="n">
        <v>235</v>
      </c>
      <c r="I1951" s="138">
        <f>+I1950+(G1951-H1951)</f>
        <v/>
      </c>
      <c r="J1951" s="139" t="n">
        <v>38.94</v>
      </c>
      <c r="K1951" s="140" t="n"/>
      <c r="L1951" s="140">
        <f>+H1951*J1951</f>
        <v/>
      </c>
      <c r="M1951" s="141">
        <f>SUM(M1950+K1951-L1951)</f>
        <v/>
      </c>
    </row>
    <row r="1952">
      <c r="A1952" s="20" t="n">
        <v>45775</v>
      </c>
      <c r="B1952" s="21" t="n">
        <v>11826</v>
      </c>
      <c r="C1952" s="22" t="inlineStr">
        <is>
          <t>SELİM İNŞAAT</t>
        </is>
      </c>
      <c r="D1952" s="21" t="inlineStr">
        <is>
          <t>34 FSG 229</t>
        </is>
      </c>
      <c r="E1952" s="21" t="inlineStr">
        <is>
          <t>SİNAN TANRIVERDİ</t>
        </is>
      </c>
      <c r="F1952" s="23" t="n">
        <v>246553</v>
      </c>
      <c r="G1952" s="138" t="n"/>
      <c r="H1952" s="138" t="n">
        <v>334</v>
      </c>
      <c r="I1952" s="138">
        <f>+I1951+(G1952-H1952)</f>
        <v/>
      </c>
      <c r="J1952" s="139" t="n">
        <v>38.94</v>
      </c>
      <c r="K1952" s="140" t="n"/>
      <c r="L1952" s="140">
        <f>+H1952*J1952</f>
        <v/>
      </c>
      <c r="M1952" s="141">
        <f>SUM(M1951+K1952-L1952)</f>
        <v/>
      </c>
    </row>
    <row r="1953">
      <c r="A1953" s="20" t="n">
        <v>45775</v>
      </c>
      <c r="B1953" s="21" t="n">
        <v>10700</v>
      </c>
      <c r="C1953" s="22" t="inlineStr">
        <is>
          <t>SELİM İNŞAAT</t>
        </is>
      </c>
      <c r="D1953" s="21" t="inlineStr">
        <is>
          <t>34 DTV 599</t>
        </is>
      </c>
      <c r="E1953" s="21" t="inlineStr">
        <is>
          <t>FERHAT GÜRLER</t>
        </is>
      </c>
      <c r="F1953" s="23" t="n">
        <v>422011</v>
      </c>
      <c r="G1953" s="138" t="n"/>
      <c r="H1953" s="138" t="n">
        <v>500</v>
      </c>
      <c r="I1953" s="138">
        <f>+I1952+(G1953-H1953)</f>
        <v/>
      </c>
      <c r="J1953" s="139" t="n">
        <v>38.94</v>
      </c>
      <c r="K1953" s="140" t="n"/>
      <c r="L1953" s="140">
        <f>+H1953*J1953</f>
        <v/>
      </c>
      <c r="M1953" s="141">
        <f>SUM(M1952+K1953-L1953)</f>
        <v/>
      </c>
    </row>
    <row r="1954">
      <c r="A1954" s="20" t="n">
        <v>45775</v>
      </c>
      <c r="B1954" s="21" t="n">
        <v>14417</v>
      </c>
      <c r="C1954" s="22" t="inlineStr">
        <is>
          <t>SELİM İNŞAAT</t>
        </is>
      </c>
      <c r="D1954" s="21" t="inlineStr">
        <is>
          <t>34 EGR 737</t>
        </is>
      </c>
      <c r="E1954" s="21" t="inlineStr">
        <is>
          <t>EBUBEKİR KOLDAŞ</t>
        </is>
      </c>
      <c r="F1954" s="23" t="n">
        <v>405300</v>
      </c>
      <c r="G1954" s="138" t="n"/>
      <c r="H1954" s="138" t="n">
        <v>394</v>
      </c>
      <c r="I1954" s="138">
        <f>+I1953+(G1954-H1954)</f>
        <v/>
      </c>
      <c r="J1954" s="139" t="n">
        <v>38.94</v>
      </c>
      <c r="K1954" s="140" t="n"/>
      <c r="L1954" s="140">
        <f>+H1954*J1954</f>
        <v/>
      </c>
      <c r="M1954" s="141">
        <f>SUM(M1953+K1954-L1954)</f>
        <v/>
      </c>
    </row>
    <row r="1955">
      <c r="A1955" s="20" t="n">
        <v>45775</v>
      </c>
      <c r="B1955" s="21" t="n">
        <v>11141</v>
      </c>
      <c r="C1955" s="22" t="inlineStr">
        <is>
          <t>SELİM İNŞAAT</t>
        </is>
      </c>
      <c r="D1955" s="21" t="inlineStr">
        <is>
          <t>34 DTV 409</t>
        </is>
      </c>
      <c r="E1955" s="21" t="inlineStr">
        <is>
          <t>FARUK ÖZEN</t>
        </is>
      </c>
      <c r="F1955" s="23" t="n">
        <v>406780</v>
      </c>
      <c r="G1955" s="138" t="n"/>
      <c r="H1955" s="138" t="n">
        <v>385</v>
      </c>
      <c r="I1955" s="138">
        <f>+I1954+(G1955-H1955)</f>
        <v/>
      </c>
      <c r="J1955" s="139" t="n">
        <v>38.94</v>
      </c>
      <c r="K1955" s="140" t="n"/>
      <c r="L1955" s="140">
        <f>+H1955*J1955</f>
        <v/>
      </c>
      <c r="M1955" s="141">
        <f>SUM(M1954+K1955-L1955)</f>
        <v/>
      </c>
    </row>
    <row r="1956">
      <c r="A1956" s="20" t="n">
        <v>45775</v>
      </c>
      <c r="B1956" s="21" t="n">
        <v>15556</v>
      </c>
      <c r="C1956" s="22" t="inlineStr">
        <is>
          <t>SELİM İNŞAAT</t>
        </is>
      </c>
      <c r="D1956" s="21" t="inlineStr">
        <is>
          <t>34 GVZ 745</t>
        </is>
      </c>
      <c r="E1956" s="21" t="inlineStr">
        <is>
          <t>MUHAMMED YİĞİT</t>
        </is>
      </c>
      <c r="F1956" s="23" t="n">
        <v>176880</v>
      </c>
      <c r="G1956" s="138" t="n"/>
      <c r="H1956" s="138" t="n">
        <v>463</v>
      </c>
      <c r="I1956" s="138">
        <f>+I1955+(G1956-H1956)</f>
        <v/>
      </c>
      <c r="J1956" s="139" t="n">
        <v>38.94</v>
      </c>
      <c r="K1956" s="140" t="n"/>
      <c r="L1956" s="140">
        <f>+H1956*J1956</f>
        <v/>
      </c>
      <c r="M1956" s="141">
        <f>SUM(M1955+K1956-L1956)</f>
        <v/>
      </c>
    </row>
    <row r="1957">
      <c r="A1957" s="20" t="n">
        <v>45775</v>
      </c>
      <c r="B1957" s="21" t="n">
        <v>10377</v>
      </c>
      <c r="C1957" s="22" t="inlineStr">
        <is>
          <t>SELİM İNŞAAT</t>
        </is>
      </c>
      <c r="D1957" s="21" t="inlineStr">
        <is>
          <t>34 DRU 690</t>
        </is>
      </c>
      <c r="E1957" s="21" t="inlineStr">
        <is>
          <t>MURAT DEMİRBAŞ</t>
        </is>
      </c>
      <c r="F1957" s="23" t="n">
        <v>404237</v>
      </c>
      <c r="G1957" s="138" t="n"/>
      <c r="H1957" s="138" t="n">
        <v>472</v>
      </c>
      <c r="I1957" s="138">
        <f>+I1956+(G1957-H1957)</f>
        <v/>
      </c>
      <c r="J1957" s="139" t="n">
        <v>38.94</v>
      </c>
      <c r="K1957" s="140" t="n"/>
      <c r="L1957" s="140">
        <f>+H1957*J1957</f>
        <v/>
      </c>
      <c r="M1957" s="141">
        <f>SUM(M1956+K1957-L1957)</f>
        <v/>
      </c>
    </row>
    <row r="1958">
      <c r="A1958" s="20" t="n">
        <v>45775</v>
      </c>
      <c r="B1958" s="21" t="n">
        <v>14220</v>
      </c>
      <c r="C1958" s="22" t="inlineStr">
        <is>
          <t>SELİM İNŞAAT</t>
        </is>
      </c>
      <c r="D1958" s="21" t="inlineStr">
        <is>
          <t xml:space="preserve">34 GUS 938 </t>
        </is>
      </c>
      <c r="E1958" s="21" t="inlineStr">
        <is>
          <t>MEHMET KAYA</t>
        </is>
      </c>
      <c r="F1958" s="23" t="n">
        <v>175077</v>
      </c>
      <c r="G1958" s="138" t="n"/>
      <c r="H1958" s="138" t="n">
        <v>472</v>
      </c>
      <c r="I1958" s="138">
        <f>+I1957+(G1958-H1958)</f>
        <v/>
      </c>
      <c r="J1958" s="139" t="n">
        <v>38.94</v>
      </c>
      <c r="K1958" s="140" t="n"/>
      <c r="L1958" s="140">
        <f>+H1958*J1958</f>
        <v/>
      </c>
      <c r="M1958" s="141">
        <f>SUM(M1957+K1958-L1958)</f>
        <v/>
      </c>
    </row>
    <row r="1959">
      <c r="A1959" s="20" t="n">
        <v>45775</v>
      </c>
      <c r="B1959" s="21" t="n">
        <v>10641</v>
      </c>
      <c r="C1959" s="22" t="inlineStr">
        <is>
          <t>SELİM İNŞAAT</t>
        </is>
      </c>
      <c r="D1959" s="21" t="inlineStr">
        <is>
          <t>34 EDB 754</t>
        </is>
      </c>
      <c r="E1959" s="21" t="inlineStr">
        <is>
          <t>EMİN PARLAKKILIÇ</t>
        </is>
      </c>
      <c r="F1959" s="23" t="n">
        <v>310834</v>
      </c>
      <c r="G1959" s="138" t="n"/>
      <c r="H1959" s="138" t="n">
        <v>412</v>
      </c>
      <c r="I1959" s="138">
        <f>+I1958+(G1959-H1959)</f>
        <v/>
      </c>
      <c r="J1959" s="139" t="n">
        <v>38.94</v>
      </c>
      <c r="K1959" s="140" t="n"/>
      <c r="L1959" s="140">
        <f>+H1959*J1959</f>
        <v/>
      </c>
      <c r="M1959" s="141">
        <f>SUM(M1958+K1959-L1959)</f>
        <v/>
      </c>
    </row>
    <row r="1960">
      <c r="A1960" s="20" t="n">
        <v>45775</v>
      </c>
      <c r="B1960" s="21" t="n">
        <v>10080</v>
      </c>
      <c r="C1960" s="22" t="inlineStr">
        <is>
          <t>SELİM İNŞAAT</t>
        </is>
      </c>
      <c r="D1960" s="21" t="inlineStr">
        <is>
          <t>34 FBR 771</t>
        </is>
      </c>
      <c r="E1960" s="21" t="inlineStr">
        <is>
          <t>HÜSEYİN AKÇİN</t>
        </is>
      </c>
      <c r="F1960" s="23" t="n">
        <v>306106</v>
      </c>
      <c r="G1960" s="138" t="n"/>
      <c r="H1960" s="138" t="n">
        <v>190</v>
      </c>
      <c r="I1960" s="138">
        <f>+I1959+(G1960-H1960)</f>
        <v/>
      </c>
      <c r="J1960" s="139" t="n">
        <v>38.94</v>
      </c>
      <c r="K1960" s="140" t="n"/>
      <c r="L1960" s="140">
        <f>+H1960*J1960</f>
        <v/>
      </c>
      <c r="M1960" s="141">
        <f>SUM(M1959+K1960-L1960)</f>
        <v/>
      </c>
    </row>
    <row r="1961">
      <c r="A1961" s="20" t="n">
        <v>45775</v>
      </c>
      <c r="B1961" s="21" t="n">
        <v>14071</v>
      </c>
      <c r="C1961" s="22" t="inlineStr">
        <is>
          <t>SELİM İNŞAAT</t>
        </is>
      </c>
      <c r="D1961" s="21" t="inlineStr">
        <is>
          <t>34 EDB 659</t>
        </is>
      </c>
      <c r="E1961" s="21" t="inlineStr">
        <is>
          <t>MEHMET SAİT ANIK</t>
        </is>
      </c>
      <c r="F1961" s="23" t="n">
        <v>328844</v>
      </c>
      <c r="G1961" s="138" t="n"/>
      <c r="H1961" s="138" t="n">
        <v>381</v>
      </c>
      <c r="I1961" s="138">
        <f>+I1960+(G1961-H1961)</f>
        <v/>
      </c>
      <c r="J1961" s="139" t="n">
        <v>38.94</v>
      </c>
      <c r="K1961" s="140" t="n"/>
      <c r="L1961" s="140">
        <f>+H1961*J1961</f>
        <v/>
      </c>
      <c r="M1961" s="141">
        <f>SUM(M1960+K1961-L1961)</f>
        <v/>
      </c>
    </row>
    <row r="1962">
      <c r="A1962" s="20" t="n">
        <v>45775</v>
      </c>
      <c r="B1962" s="21" t="n">
        <v>10441</v>
      </c>
      <c r="C1962" s="22" t="inlineStr">
        <is>
          <t>SELİM İNŞAAT</t>
        </is>
      </c>
      <c r="D1962" s="21" t="inlineStr">
        <is>
          <t>34 FBR 781</t>
        </is>
      </c>
      <c r="E1962" s="21" t="inlineStr">
        <is>
          <t>MEVLÜT POLAT</t>
        </is>
      </c>
      <c r="F1962" s="23" t="n">
        <v>290200</v>
      </c>
      <c r="G1962" s="138" t="n"/>
      <c r="H1962" s="138" t="n">
        <v>341</v>
      </c>
      <c r="I1962" s="138">
        <f>+I1961+(G1962-H1962)</f>
        <v/>
      </c>
      <c r="J1962" s="139" t="n">
        <v>38.94</v>
      </c>
      <c r="K1962" s="140" t="n"/>
      <c r="L1962" s="140">
        <f>+H1962*J1962</f>
        <v/>
      </c>
      <c r="M1962" s="141">
        <f>SUM(M1961+K1962-L1962)</f>
        <v/>
      </c>
    </row>
    <row r="1963">
      <c r="A1963" s="20" t="n">
        <v>45775</v>
      </c>
      <c r="B1963" s="21" t="n">
        <v>14808</v>
      </c>
      <c r="C1963" s="22" t="inlineStr">
        <is>
          <t>SELİM İNŞAAT</t>
        </is>
      </c>
      <c r="D1963" s="21" t="inlineStr">
        <is>
          <t>34 GVZ 268</t>
        </is>
      </c>
      <c r="E1963" s="21" t="inlineStr">
        <is>
          <t>KERİM KARAMAN</t>
        </is>
      </c>
      <c r="F1963" s="23" t="n">
        <v>180968</v>
      </c>
      <c r="G1963" s="138" t="n"/>
      <c r="H1963" s="138" t="n">
        <v>362</v>
      </c>
      <c r="I1963" s="138">
        <f>+I1962+(G1963-H1963)</f>
        <v/>
      </c>
      <c r="J1963" s="139" t="n">
        <v>38.94</v>
      </c>
      <c r="K1963" s="140" t="n"/>
      <c r="L1963" s="140">
        <f>+H1963*J1963</f>
        <v/>
      </c>
      <c r="M1963" s="141">
        <f>SUM(M1962+K1963-L1963)</f>
        <v/>
      </c>
    </row>
    <row r="1964">
      <c r="A1964" s="20" t="n">
        <v>45775</v>
      </c>
      <c r="B1964" s="21" t="n">
        <v>14674</v>
      </c>
      <c r="C1964" s="22" t="inlineStr">
        <is>
          <t>ENES SELİM</t>
        </is>
      </c>
      <c r="D1964" s="21" t="inlineStr">
        <is>
          <t>TB 926 VİNÇ</t>
        </is>
      </c>
      <c r="E1964" s="21" t="inlineStr">
        <is>
          <t>ENES SELİM</t>
        </is>
      </c>
      <c r="F1964" s="23" t="n"/>
      <c r="G1964" s="138" t="n"/>
      <c r="H1964" s="138" t="n">
        <v>230</v>
      </c>
      <c r="I1964" s="138">
        <f>+I1963+(G1964-H1964)</f>
        <v/>
      </c>
      <c r="J1964" s="139" t="n">
        <v>38.94</v>
      </c>
      <c r="K1964" s="140" t="n"/>
      <c r="L1964" s="140">
        <f>+H1964*J1964</f>
        <v/>
      </c>
      <c r="M1964" s="141">
        <f>SUM(M1963+K1964-L1964)</f>
        <v/>
      </c>
    </row>
    <row r="1965">
      <c r="A1965" s="20" t="n">
        <v>45775</v>
      </c>
      <c r="B1965" s="21" t="n">
        <v>10878</v>
      </c>
      <c r="C1965" s="22" t="inlineStr">
        <is>
          <t>SELİM İNŞAAT</t>
        </is>
      </c>
      <c r="D1965" s="21" t="inlineStr">
        <is>
          <t>34 AR 7743</t>
        </is>
      </c>
      <c r="E1965" s="21" t="inlineStr">
        <is>
          <t>MEHMET SELİM</t>
        </is>
      </c>
      <c r="F1965" s="23" t="n">
        <v>354185</v>
      </c>
      <c r="G1965" s="138" t="n"/>
      <c r="H1965" s="138" t="n">
        <v>40</v>
      </c>
      <c r="I1965" s="138">
        <f>+I1964+(G1965-H1965)</f>
        <v/>
      </c>
      <c r="J1965" s="139" t="n">
        <v>38.94</v>
      </c>
      <c r="K1965" s="140" t="n"/>
      <c r="L1965" s="140">
        <f>+H1965*J1965</f>
        <v/>
      </c>
      <c r="M1965" s="141">
        <f>SUM(M1964+K1965-L1965)</f>
        <v/>
      </c>
    </row>
    <row r="1966">
      <c r="A1966" s="20" t="n">
        <v>45775</v>
      </c>
      <c r="B1966" s="21" t="n">
        <v>21143</v>
      </c>
      <c r="C1966" s="22" t="inlineStr">
        <is>
          <t>SELİM İNŞAAT</t>
        </is>
      </c>
      <c r="D1966" s="21" t="inlineStr">
        <is>
          <t>34 TG 7869</t>
        </is>
      </c>
      <c r="E1966" s="21" t="inlineStr">
        <is>
          <t>METİN KALKAN</t>
        </is>
      </c>
      <c r="F1966" s="23" t="n">
        <v>181347</v>
      </c>
      <c r="G1966" s="138" t="n"/>
      <c r="H1966" s="138" t="n">
        <v>292</v>
      </c>
      <c r="I1966" s="138">
        <f>+I1965+(G1966-H1966)</f>
        <v/>
      </c>
      <c r="J1966" s="139" t="n">
        <v>38.94</v>
      </c>
      <c r="K1966" s="140" t="n"/>
      <c r="L1966" s="140">
        <f>+H1966*J1966</f>
        <v/>
      </c>
      <c r="M1966" s="141">
        <f>SUM(M1965+K1966-L1966)</f>
        <v/>
      </c>
    </row>
    <row r="1967">
      <c r="A1967" s="20" t="n">
        <v>45775</v>
      </c>
      <c r="B1967" s="21" t="n">
        <v>14326</v>
      </c>
      <c r="C1967" s="22" t="inlineStr">
        <is>
          <t>SELİM İNŞAAT</t>
        </is>
      </c>
      <c r="D1967" s="21" t="inlineStr">
        <is>
          <t>34 DKL 866</t>
        </is>
      </c>
      <c r="E1967" s="21" t="inlineStr">
        <is>
          <t>SELİM CAN ÖNVER</t>
        </is>
      </c>
      <c r="F1967" s="23" t="n">
        <v>64099</v>
      </c>
      <c r="G1967" s="138" t="n"/>
      <c r="H1967" s="138" t="n">
        <v>129</v>
      </c>
      <c r="I1967" s="138">
        <f>+I1966+(G1967-H1967)</f>
        <v/>
      </c>
      <c r="J1967" s="139" t="n">
        <v>38.94</v>
      </c>
      <c r="K1967" s="140" t="n"/>
      <c r="L1967" s="140">
        <f>+H1967*J1967</f>
        <v/>
      </c>
      <c r="M1967" s="141">
        <f>SUM(M1966+K1967-L1967)</f>
        <v/>
      </c>
    </row>
    <row r="1968">
      <c r="A1968" s="20" t="n">
        <v>45775</v>
      </c>
      <c r="B1968" s="21" t="n">
        <v>14366</v>
      </c>
      <c r="C1968" s="22" t="inlineStr">
        <is>
          <t>SELİM İNŞAAT</t>
        </is>
      </c>
      <c r="D1968" s="21" t="inlineStr">
        <is>
          <t>34 DKL 798</t>
        </is>
      </c>
      <c r="E1968" s="21" t="inlineStr">
        <is>
          <t>VOLKAN YANAR</t>
        </is>
      </c>
      <c r="F1968" s="23" t="n">
        <v>64165</v>
      </c>
      <c r="G1968" s="138" t="n"/>
      <c r="H1968" s="138" t="n">
        <v>176</v>
      </c>
      <c r="I1968" s="138">
        <f>+I1967+(G1968-H1968)</f>
        <v/>
      </c>
      <c r="J1968" s="139" t="n">
        <v>38.94</v>
      </c>
      <c r="K1968" s="140" t="n"/>
      <c r="L1968" s="140">
        <f>+H1968*J1968</f>
        <v/>
      </c>
      <c r="M1968" s="141">
        <f>SUM(M1967+K1968-L1968)</f>
        <v/>
      </c>
    </row>
    <row r="1969">
      <c r="A1969" s="20" t="n">
        <v>45775</v>
      </c>
      <c r="B1969" s="21" t="n">
        <v>14675</v>
      </c>
      <c r="C1969" s="22" t="inlineStr">
        <is>
          <t>RECEP SELİM OTO KURTARICI</t>
        </is>
      </c>
      <c r="D1969" s="21" t="inlineStr">
        <is>
          <t>34 GC 8658</t>
        </is>
      </c>
      <c r="E1969" s="21" t="inlineStr">
        <is>
          <t>RECEP SELİM</t>
        </is>
      </c>
      <c r="F1969" s="23" t="n"/>
      <c r="G1969" s="138" t="n"/>
      <c r="H1969" s="138" t="n">
        <v>74</v>
      </c>
      <c r="I1969" s="138">
        <f>+I1968+(G1969-H1969)</f>
        <v/>
      </c>
      <c r="J1969" s="139" t="n">
        <v>38.94</v>
      </c>
      <c r="K1969" s="140" t="n"/>
      <c r="L1969" s="140">
        <f>+H1969*J1969</f>
        <v/>
      </c>
      <c r="M1969" s="141">
        <f>SUM(M1968+K1969-L1969)</f>
        <v/>
      </c>
    </row>
    <row r="1970">
      <c r="A1970" s="20" t="n">
        <v>45775</v>
      </c>
      <c r="B1970" s="1" t="n">
        <v>15478</v>
      </c>
      <c r="C1970" s="2" t="inlineStr">
        <is>
          <t>EVKUR</t>
        </is>
      </c>
      <c r="D1970" s="1" t="inlineStr">
        <is>
          <t>KİRALIK KATO</t>
        </is>
      </c>
      <c r="E1970" s="1" t="n"/>
      <c r="F1970" s="3" t="n"/>
      <c r="G1970" s="143" t="n"/>
      <c r="H1970" s="143" t="n">
        <v>127</v>
      </c>
      <c r="I1970" s="143">
        <f>+I1969+(G1970-H1970)</f>
        <v/>
      </c>
      <c r="J1970" s="144" t="n">
        <v>38.94</v>
      </c>
      <c r="K1970" s="145" t="n"/>
      <c r="L1970" s="140">
        <f>+H1970*J1970</f>
        <v/>
      </c>
      <c r="M1970" s="141">
        <f>SUM(M1969+K1970-L1970)</f>
        <v/>
      </c>
    </row>
    <row r="1971">
      <c r="A1971" s="20" t="n">
        <v>45775</v>
      </c>
      <c r="B1971" s="1" t="n">
        <v>15479</v>
      </c>
      <c r="C1971" s="2" t="inlineStr">
        <is>
          <t>HASALTUN</t>
        </is>
      </c>
      <c r="D1971" s="1" t="inlineStr">
        <is>
          <t>KAVAZAKİ</t>
        </is>
      </c>
      <c r="E1971" s="1" t="inlineStr">
        <is>
          <t>UFUK SEVAL</t>
        </is>
      </c>
      <c r="F1971" s="3" t="n"/>
      <c r="G1971" s="143" t="n"/>
      <c r="H1971" s="143" t="n">
        <v>174</v>
      </c>
      <c r="I1971" s="143">
        <f>+I1970+(G1971-H1971)</f>
        <v/>
      </c>
      <c r="J1971" s="144" t="n">
        <v>38.94</v>
      </c>
      <c r="K1971" s="145" t="n"/>
      <c r="L1971" s="140">
        <f>+H1971*J1971</f>
        <v/>
      </c>
      <c r="M1971" s="141">
        <f>SUM(M1970+K1971-L1971)</f>
        <v/>
      </c>
    </row>
    <row r="1972">
      <c r="A1972" s="20" t="n">
        <v>45775</v>
      </c>
      <c r="B1972" s="1" t="n">
        <v>15480</v>
      </c>
      <c r="C1972" s="2" t="inlineStr">
        <is>
          <t>HASALTUN</t>
        </is>
      </c>
      <c r="D1972" s="1" t="inlineStr">
        <is>
          <t>SM 350</t>
        </is>
      </c>
      <c r="E1972" s="1" t="inlineStr">
        <is>
          <t>TEVFİK ÖZTÜRK</t>
        </is>
      </c>
      <c r="F1972" s="3" t="n"/>
      <c r="G1972" s="143" t="n"/>
      <c r="H1972" s="143" t="n">
        <v>254</v>
      </c>
      <c r="I1972" s="143">
        <f>+I1971+(G1972-H1972)</f>
        <v/>
      </c>
      <c r="J1972" s="144" t="n">
        <v>38.94</v>
      </c>
      <c r="K1972" s="145" t="n"/>
      <c r="L1972" s="140">
        <f>+H1972*J1972</f>
        <v/>
      </c>
      <c r="M1972" s="141">
        <f>SUM(M1971+K1972-L1972)</f>
        <v/>
      </c>
    </row>
    <row r="1973">
      <c r="A1973" s="20" t="n">
        <v>45775</v>
      </c>
      <c r="B1973" s="21" t="n">
        <v>14022</v>
      </c>
      <c r="C1973" s="22" t="inlineStr">
        <is>
          <t>SELİM İNŞAAT</t>
        </is>
      </c>
      <c r="D1973" s="21" t="inlineStr">
        <is>
          <t>34 GVZ 310</t>
        </is>
      </c>
      <c r="E1973" s="21" t="inlineStr">
        <is>
          <t>CELAL YÜZBAŞI</t>
        </is>
      </c>
      <c r="F1973" s="23" t="n">
        <v>185348</v>
      </c>
      <c r="G1973" s="138" t="n"/>
      <c r="H1973" s="138" t="n">
        <v>390</v>
      </c>
      <c r="I1973" s="138">
        <f>+I1972+(G1973-H1973)</f>
        <v/>
      </c>
      <c r="J1973" s="139" t="n"/>
      <c r="K1973" s="140" t="n"/>
      <c r="L1973" s="140">
        <f>+H1973*J1973</f>
        <v/>
      </c>
      <c r="M1973" s="141">
        <f>SUM(M1972+K1973-L1973)</f>
        <v/>
      </c>
    </row>
    <row r="1974">
      <c r="A1974" s="20" t="n">
        <v>45776</v>
      </c>
      <c r="B1974" s="21" t="n">
        <v>11446</v>
      </c>
      <c r="C1974" s="22" t="inlineStr">
        <is>
          <t>METİN ERYİĞİT</t>
        </is>
      </c>
      <c r="D1974" s="21" t="inlineStr">
        <is>
          <t>34 EGR 814</t>
        </is>
      </c>
      <c r="E1974" s="21" t="inlineStr">
        <is>
          <t>GÜRAY KOYUNCU</t>
        </is>
      </c>
      <c r="F1974" s="23" t="n">
        <v>529891</v>
      </c>
      <c r="G1974" s="138" t="n"/>
      <c r="H1974" s="138" t="n">
        <v>389</v>
      </c>
      <c r="I1974" s="138">
        <f>+I1973+(G1974-H1974)</f>
        <v/>
      </c>
      <c r="J1974" s="139" t="n">
        <v>38.94</v>
      </c>
      <c r="K1974" s="140" t="n"/>
      <c r="L1974" s="140">
        <f>+H1974*J1974</f>
        <v/>
      </c>
      <c r="M1974" s="141">
        <f>SUM(M1973+K1974-L1974)</f>
        <v/>
      </c>
    </row>
    <row r="1975">
      <c r="A1975" s="20" t="n">
        <v>45776</v>
      </c>
      <c r="B1975" s="21" t="n">
        <v>10044</v>
      </c>
      <c r="C1975" s="22" t="inlineStr">
        <is>
          <t>METİN ERYİĞİT</t>
        </is>
      </c>
      <c r="D1975" s="21" t="inlineStr">
        <is>
          <t>34 EGS 013</t>
        </is>
      </c>
      <c r="E1975" s="21" t="inlineStr">
        <is>
          <t xml:space="preserve">UĞUR DUMAN </t>
        </is>
      </c>
      <c r="F1975" s="23" t="n">
        <v>477845</v>
      </c>
      <c r="G1975" s="138" t="n"/>
      <c r="H1975" s="138" t="n">
        <v>384</v>
      </c>
      <c r="I1975" s="138">
        <f>+I1974+(G1975-H1975)</f>
        <v/>
      </c>
      <c r="J1975" s="139" t="n">
        <v>38.94</v>
      </c>
      <c r="K1975" s="140" t="n"/>
      <c r="L1975" s="140">
        <f>+H1975*J1975</f>
        <v/>
      </c>
      <c r="M1975" s="141">
        <f>SUM(M1974+K1975-L1975)</f>
        <v/>
      </c>
    </row>
    <row r="1976">
      <c r="A1976" s="20" t="n">
        <v>45776</v>
      </c>
      <c r="B1976" s="21" t="n">
        <v>14471</v>
      </c>
      <c r="C1976" s="22" t="inlineStr">
        <is>
          <t>SELİM İNŞAAT</t>
        </is>
      </c>
      <c r="D1976" s="21" t="inlineStr">
        <is>
          <t>34 GUS 848</t>
        </is>
      </c>
      <c r="E1976" s="21" t="inlineStr">
        <is>
          <t>SERDAR BOZKURT</t>
        </is>
      </c>
      <c r="F1976" s="23" t="n">
        <v>180396</v>
      </c>
      <c r="G1976" s="138" t="n"/>
      <c r="H1976" s="138" t="n">
        <v>423</v>
      </c>
      <c r="I1976" s="138">
        <f>+I1975+(G1976-H1976)</f>
        <v/>
      </c>
      <c r="J1976" s="139" t="n">
        <v>38.94</v>
      </c>
      <c r="K1976" s="140" t="n"/>
      <c r="L1976" s="140">
        <f>+H1976*J1976</f>
        <v/>
      </c>
      <c r="M1976" s="141">
        <f>SUM(M1975+K1976-L1976)</f>
        <v/>
      </c>
    </row>
    <row r="1977">
      <c r="A1977" s="20" t="n">
        <v>45776</v>
      </c>
      <c r="B1977" s="21" t="n">
        <v>21199</v>
      </c>
      <c r="C1977" s="22" t="inlineStr">
        <is>
          <t>SELİM İNŞAAT</t>
        </is>
      </c>
      <c r="D1977" s="21" t="inlineStr">
        <is>
          <t>34 DSN 565</t>
        </is>
      </c>
      <c r="E1977" s="21" t="inlineStr">
        <is>
          <t>DURSUN ALİ GÜREK</t>
        </is>
      </c>
      <c r="F1977" s="23" t="n">
        <v>393333</v>
      </c>
      <c r="G1977" s="138" t="n"/>
      <c r="H1977" s="138" t="n">
        <v>403</v>
      </c>
      <c r="I1977" s="138">
        <f>+I1976+(G1977-H1977)</f>
        <v/>
      </c>
      <c r="J1977" s="139" t="n">
        <v>38.94</v>
      </c>
      <c r="K1977" s="140" t="n"/>
      <c r="L1977" s="140">
        <f>+H1977*J1977</f>
        <v/>
      </c>
      <c r="M1977" s="141">
        <f>SUM(M1976+K1977-L1977)</f>
        <v/>
      </c>
    </row>
    <row r="1978">
      <c r="A1978" s="20" t="n">
        <v>45776</v>
      </c>
      <c r="B1978" s="21" t="n">
        <v>15557</v>
      </c>
      <c r="C1978" s="22" t="inlineStr">
        <is>
          <t>SELİM İNŞAAT</t>
        </is>
      </c>
      <c r="D1978" s="21" t="inlineStr">
        <is>
          <t>34 GVZ 745</t>
        </is>
      </c>
      <c r="E1978" s="21" t="inlineStr">
        <is>
          <t>MUHAMMED YİĞİT</t>
        </is>
      </c>
      <c r="F1978" s="23" t="n">
        <v>177333</v>
      </c>
      <c r="G1978" s="138" t="n"/>
      <c r="H1978" s="138" t="n">
        <v>169</v>
      </c>
      <c r="I1978" s="138">
        <f>+I1977+(G1978-H1978)</f>
        <v/>
      </c>
      <c r="J1978" s="139" t="n">
        <v>38.94</v>
      </c>
      <c r="K1978" s="140" t="n"/>
      <c r="L1978" s="140">
        <f>+H1978*J1978</f>
        <v/>
      </c>
      <c r="M1978" s="141">
        <f>SUM(M1977+K1978-L1978)</f>
        <v/>
      </c>
    </row>
    <row r="1979">
      <c r="A1979" s="20" t="n">
        <v>45776</v>
      </c>
      <c r="B1979" s="21" t="n">
        <v>10225</v>
      </c>
      <c r="C1979" s="22" t="inlineStr">
        <is>
          <t>SELİM İNŞAAT</t>
        </is>
      </c>
      <c r="D1979" s="21" t="inlineStr">
        <is>
          <t>34 DSN 621</t>
        </is>
      </c>
      <c r="E1979" s="21" t="inlineStr">
        <is>
          <t>MUSTAFA KAYA</t>
        </is>
      </c>
      <c r="F1979" s="23" t="n">
        <v>402047</v>
      </c>
      <c r="G1979" s="138" t="n"/>
      <c r="H1979" s="138" t="n">
        <v>372</v>
      </c>
      <c r="I1979" s="138">
        <f>+I1978+(G1979-H1979)</f>
        <v/>
      </c>
      <c r="J1979" s="139" t="n">
        <v>38.94</v>
      </c>
      <c r="K1979" s="140" t="n"/>
      <c r="L1979" s="140">
        <f>+H1979*J1979</f>
        <v/>
      </c>
      <c r="M1979" s="141">
        <f>SUM(M1978+K1979-L1979)</f>
        <v/>
      </c>
    </row>
    <row r="1980">
      <c r="A1980" s="20" t="n">
        <v>45776</v>
      </c>
      <c r="B1980" s="21" t="n">
        <v>10785</v>
      </c>
      <c r="C1980" s="22" t="inlineStr">
        <is>
          <t>SELİM İNŞAAT</t>
        </is>
      </c>
      <c r="D1980" s="21" t="inlineStr">
        <is>
          <t>34 FBR 705</t>
        </is>
      </c>
      <c r="E1980" s="21" t="inlineStr">
        <is>
          <t>MESUT GÜRLER</t>
        </is>
      </c>
      <c r="F1980" s="23" t="n">
        <v>303897</v>
      </c>
      <c r="G1980" s="138" t="n"/>
      <c r="H1980" s="138" t="n">
        <v>348</v>
      </c>
      <c r="I1980" s="138">
        <f>+I1979+(G1980-H1980)</f>
        <v/>
      </c>
      <c r="J1980" s="139" t="n">
        <v>38.94</v>
      </c>
      <c r="K1980" s="140" t="n"/>
      <c r="L1980" s="140">
        <f>+H1980*J1980</f>
        <v/>
      </c>
      <c r="M1980" s="141">
        <f>SUM(M1979+K1980-L1980)</f>
        <v/>
      </c>
    </row>
    <row r="1981">
      <c r="A1981" s="20" t="n">
        <v>45776</v>
      </c>
      <c r="B1981" s="21" t="n">
        <v>10337</v>
      </c>
      <c r="C1981" s="22" t="inlineStr">
        <is>
          <t>SELİM İNŞAAT</t>
        </is>
      </c>
      <c r="D1981" s="21" t="inlineStr">
        <is>
          <t>34 EDB 829</t>
        </is>
      </c>
      <c r="E1981" s="21" t="inlineStr">
        <is>
          <t>İSMET BAYRAM</t>
        </is>
      </c>
      <c r="F1981" s="23" t="n">
        <v>307703</v>
      </c>
      <c r="G1981" s="138" t="n"/>
      <c r="H1981" s="138" t="n">
        <v>347</v>
      </c>
      <c r="I1981" s="138">
        <f>+I1980+(G1981-H1981)</f>
        <v/>
      </c>
      <c r="J1981" s="139" t="n">
        <v>38.94</v>
      </c>
      <c r="K1981" s="140" t="n"/>
      <c r="L1981" s="140">
        <f>+H1981*J1981</f>
        <v/>
      </c>
      <c r="M1981" s="141">
        <f>SUM(M1980+K1981-L1981)</f>
        <v/>
      </c>
    </row>
    <row r="1982">
      <c r="A1982" s="20" t="n">
        <v>45776</v>
      </c>
      <c r="B1982" s="21" t="n">
        <v>10378</v>
      </c>
      <c r="C1982" s="22" t="inlineStr">
        <is>
          <t>SELİM İNŞAAT</t>
        </is>
      </c>
      <c r="D1982" s="21" t="inlineStr">
        <is>
          <t>34 DRU 690</t>
        </is>
      </c>
      <c r="E1982" s="21" t="inlineStr">
        <is>
          <t>MURAT DEMİRBAŞ</t>
        </is>
      </c>
      <c r="F1982" s="23" t="n">
        <v>404670</v>
      </c>
      <c r="G1982" s="138" t="n"/>
      <c r="H1982" s="138" t="n">
        <v>219</v>
      </c>
      <c r="I1982" s="138">
        <f>+I1981+(G1982-H1982)</f>
        <v/>
      </c>
      <c r="J1982" s="139" t="n">
        <v>38.94</v>
      </c>
      <c r="K1982" s="140" t="n"/>
      <c r="L1982" s="140">
        <f>+H1982*J1982</f>
        <v/>
      </c>
      <c r="M1982" s="141">
        <f>SUM(M1981+K1982-L1982)</f>
        <v/>
      </c>
    </row>
    <row r="1983">
      <c r="A1983" s="20" t="n">
        <v>45776</v>
      </c>
      <c r="B1983" s="21" t="n">
        <v>11213</v>
      </c>
      <c r="C1983" s="22" t="inlineStr">
        <is>
          <t>SELİM İNŞAAT</t>
        </is>
      </c>
      <c r="D1983" s="21" t="inlineStr">
        <is>
          <t>34 DSN 636</t>
        </is>
      </c>
      <c r="E1983" s="21" t="inlineStr">
        <is>
          <t>ÖMER KIDIL</t>
        </is>
      </c>
      <c r="F1983" s="23" t="n">
        <v>379756</v>
      </c>
      <c r="G1983" s="138" t="n"/>
      <c r="H1983" s="138" t="n">
        <v>430</v>
      </c>
      <c r="I1983" s="138">
        <f>+I1982+(G1983-H1983)</f>
        <v/>
      </c>
      <c r="J1983" s="139" t="n">
        <v>38.94</v>
      </c>
      <c r="K1983" s="140" t="n"/>
      <c r="L1983" s="140">
        <f>+H1983*J1983</f>
        <v/>
      </c>
      <c r="M1983" s="141">
        <f>SUM(M1982+K1983-L1983)</f>
        <v/>
      </c>
    </row>
    <row r="1984">
      <c r="A1984" s="20" t="n">
        <v>45776</v>
      </c>
      <c r="B1984" s="21" t="n">
        <v>10081</v>
      </c>
      <c r="C1984" s="22" t="inlineStr">
        <is>
          <t>SELİM İNŞAAT</t>
        </is>
      </c>
      <c r="D1984" s="21" t="inlineStr">
        <is>
          <t>34 FBR 771</t>
        </is>
      </c>
      <c r="E1984" s="21" t="inlineStr">
        <is>
          <t>HÜSEYİN AKÇİN</t>
        </is>
      </c>
      <c r="F1984" s="23" t="n">
        <v>306546</v>
      </c>
      <c r="G1984" s="138" t="n"/>
      <c r="H1984" s="138" t="n">
        <v>209</v>
      </c>
      <c r="I1984" s="138">
        <f>+I1983+(G1984-H1984)</f>
        <v/>
      </c>
      <c r="J1984" s="139" t="n">
        <v>38.94</v>
      </c>
      <c r="K1984" s="140" t="n"/>
      <c r="L1984" s="140">
        <f>+H1984*J1984</f>
        <v/>
      </c>
      <c r="M1984" s="141">
        <f>SUM(M1983+K1984-L1984)</f>
        <v/>
      </c>
    </row>
    <row r="1985">
      <c r="A1985" s="20" t="n">
        <v>45776</v>
      </c>
      <c r="B1985" s="21" t="n">
        <v>14118</v>
      </c>
      <c r="C1985" s="22" t="inlineStr">
        <is>
          <t>SELİM İNŞAAT</t>
        </is>
      </c>
      <c r="D1985" s="21" t="inlineStr">
        <is>
          <t>34 DSN 536</t>
        </is>
      </c>
      <c r="E1985" s="21" t="inlineStr">
        <is>
          <t>DURSUN ALİ GÜREK</t>
        </is>
      </c>
      <c r="F1985" s="23" t="n">
        <v>393647</v>
      </c>
      <c r="G1985" s="138" t="n"/>
      <c r="H1985" s="138" t="n">
        <v>467</v>
      </c>
      <c r="I1985" s="138">
        <f>+I1984+(G1985-H1985)</f>
        <v/>
      </c>
      <c r="J1985" s="139" t="n">
        <v>38.94</v>
      </c>
      <c r="K1985" s="140" t="n"/>
      <c r="L1985" s="140">
        <f>+H1985*J1985</f>
        <v/>
      </c>
      <c r="M1985" s="141">
        <f>SUM(M1984+K1985-L1985)</f>
        <v/>
      </c>
    </row>
    <row r="1986">
      <c r="A1986" s="20" t="n">
        <v>45776</v>
      </c>
      <c r="B1986" s="21" t="n">
        <v>11800</v>
      </c>
      <c r="C1986" s="22" t="inlineStr">
        <is>
          <t>SELİM İNŞAAT</t>
        </is>
      </c>
      <c r="D1986" s="21" t="inlineStr">
        <is>
          <t>34 EDC 086</t>
        </is>
      </c>
      <c r="E1986" s="21" t="inlineStr">
        <is>
          <t>ÖMER AĞAYAR</t>
        </is>
      </c>
      <c r="F1986" s="23" t="n">
        <v>315305</v>
      </c>
      <c r="G1986" s="138" t="n"/>
      <c r="H1986" s="138" t="n">
        <v>474</v>
      </c>
      <c r="I1986" s="138">
        <f>+I1985+(G1986-H1986)</f>
        <v/>
      </c>
      <c r="J1986" s="139" t="n">
        <v>38.94</v>
      </c>
      <c r="K1986" s="140" t="n"/>
      <c r="L1986" s="140">
        <f>+H1986*J1986</f>
        <v/>
      </c>
      <c r="M1986" s="141">
        <f>SUM(M1985+K1986-L1986)</f>
        <v/>
      </c>
    </row>
    <row r="1987">
      <c r="A1987" s="20" t="n">
        <v>45776</v>
      </c>
      <c r="B1987" s="21" t="n">
        <v>21496</v>
      </c>
      <c r="C1987" s="22" t="inlineStr">
        <is>
          <t>SELİM İNŞAAT</t>
        </is>
      </c>
      <c r="D1987" s="21" t="inlineStr">
        <is>
          <t>34 GYZ 635</t>
        </is>
      </c>
      <c r="E1987" s="21" t="inlineStr">
        <is>
          <t>ENGİN DEMİR</t>
        </is>
      </c>
      <c r="F1987" s="23" t="n">
        <v>161381</v>
      </c>
      <c r="G1987" s="138" t="n"/>
      <c r="H1987" s="138" t="n">
        <v>346</v>
      </c>
      <c r="I1987" s="138">
        <f>+I1986+(G1987-H1987)</f>
        <v/>
      </c>
      <c r="J1987" s="139" t="n">
        <v>38.94</v>
      </c>
      <c r="K1987" s="140" t="n"/>
      <c r="L1987" s="140">
        <f>+H1987*J1987</f>
        <v/>
      </c>
      <c r="M1987" s="141">
        <f>SUM(M1986+K1987-L1987)</f>
        <v/>
      </c>
    </row>
    <row r="1988">
      <c r="A1988" s="20" t="n">
        <v>45776</v>
      </c>
      <c r="B1988" s="21" t="n">
        <v>11295</v>
      </c>
      <c r="C1988" s="22" t="inlineStr">
        <is>
          <t>SELİM İNŞAAT</t>
        </is>
      </c>
      <c r="D1988" s="21" t="inlineStr">
        <is>
          <t>34 EDC 162</t>
        </is>
      </c>
      <c r="E1988" s="21" t="inlineStr">
        <is>
          <t xml:space="preserve">YAKUP GÜNER </t>
        </is>
      </c>
      <c r="F1988" s="23" t="n">
        <v>357636</v>
      </c>
      <c r="G1988" s="138" t="n"/>
      <c r="H1988" s="138" t="n">
        <v>375</v>
      </c>
      <c r="I1988" s="138">
        <f>+I1987+(G1988-H1988)</f>
        <v/>
      </c>
      <c r="J1988" s="139" t="n">
        <v>38.94</v>
      </c>
      <c r="K1988" s="140" t="n"/>
      <c r="L1988" s="140">
        <f>+H1988*J1988</f>
        <v/>
      </c>
      <c r="M1988" s="141">
        <f>SUM(M1987+K1988-L1988)</f>
        <v/>
      </c>
    </row>
    <row r="1989">
      <c r="A1989" s="20" t="n">
        <v>45776</v>
      </c>
      <c r="B1989" s="21" t="n">
        <v>10191</v>
      </c>
      <c r="C1989" s="22" t="inlineStr">
        <is>
          <t>SELİM İNŞAAT</t>
        </is>
      </c>
      <c r="D1989" s="21" t="inlineStr">
        <is>
          <t>34 EGR 736</t>
        </is>
      </c>
      <c r="E1989" s="21" t="inlineStr">
        <is>
          <t>HAKAN ÇAVUŞOĞLU</t>
        </is>
      </c>
      <c r="F1989" s="23" t="n">
        <v>377797</v>
      </c>
      <c r="G1989" s="138" t="n"/>
      <c r="H1989" s="138" t="n">
        <v>373</v>
      </c>
      <c r="I1989" s="138">
        <f>+I1988+(G1989-H1989)</f>
        <v/>
      </c>
      <c r="J1989" s="139" t="n">
        <v>38.94</v>
      </c>
      <c r="K1989" s="140" t="n"/>
      <c r="L1989" s="140">
        <f>+H1989*J1989</f>
        <v/>
      </c>
      <c r="M1989" s="141">
        <f>SUM(M1988+K1989-L1989)</f>
        <v/>
      </c>
    </row>
    <row r="1990">
      <c r="A1990" s="20" t="n">
        <v>45776</v>
      </c>
      <c r="B1990" s="21" t="n">
        <v>11931</v>
      </c>
      <c r="C1990" s="22" t="inlineStr">
        <is>
          <t>SELİM İNŞAAT</t>
        </is>
      </c>
      <c r="D1990" s="21" t="inlineStr">
        <is>
          <t>34 FBR 742</t>
        </is>
      </c>
      <c r="E1990" s="21" t="inlineStr">
        <is>
          <t>MİKAİL BAYILMAZ</t>
        </is>
      </c>
      <c r="F1990" s="23" t="n">
        <v>306868</v>
      </c>
      <c r="G1990" s="138" t="n"/>
      <c r="H1990" s="138" t="n">
        <v>388</v>
      </c>
      <c r="I1990" s="138">
        <f>+I1989+(G1990-H1990)</f>
        <v/>
      </c>
      <c r="J1990" s="139" t="n">
        <v>38.94</v>
      </c>
      <c r="K1990" s="140" t="n"/>
      <c r="L1990" s="140">
        <f>+H1990*J1990</f>
        <v/>
      </c>
      <c r="M1990" s="141">
        <f>SUM(M1989+K1990-L1990)</f>
        <v/>
      </c>
    </row>
    <row r="1991">
      <c r="A1991" s="20" t="n">
        <v>45776</v>
      </c>
      <c r="B1991" s="21" t="n">
        <v>11637</v>
      </c>
      <c r="C1991" s="22" t="inlineStr">
        <is>
          <t>SELİM İNŞAAT</t>
        </is>
      </c>
      <c r="D1991" s="21" t="inlineStr">
        <is>
          <t>34 DTV 352</t>
        </is>
      </c>
      <c r="E1991" s="21" t="inlineStr">
        <is>
          <t>RASİM BARTU</t>
        </is>
      </c>
      <c r="F1991" s="23" t="n">
        <v>422509</v>
      </c>
      <c r="G1991" s="138" t="n"/>
      <c r="H1991" s="138" t="n">
        <v>478</v>
      </c>
      <c r="I1991" s="138">
        <f>+I1990+(G1991-H1991)</f>
        <v/>
      </c>
      <c r="J1991" s="139" t="n">
        <v>38.94</v>
      </c>
      <c r="K1991" s="140" t="n"/>
      <c r="L1991" s="140">
        <f>+H1991*J1991</f>
        <v/>
      </c>
      <c r="M1991" s="141">
        <f>SUM(M1990+K1991-L1991)</f>
        <v/>
      </c>
    </row>
    <row r="1992">
      <c r="A1992" s="20" t="n">
        <v>45776</v>
      </c>
      <c r="B1992" s="21" t="n">
        <v>20536</v>
      </c>
      <c r="C1992" s="22" t="inlineStr">
        <is>
          <t>SELİM İNŞAAT</t>
        </is>
      </c>
      <c r="D1992" s="21" t="inlineStr">
        <is>
          <t>34 VF 2620</t>
        </is>
      </c>
      <c r="E1992" s="21" t="inlineStr">
        <is>
          <t>RECEP SELİM</t>
        </is>
      </c>
      <c r="F1992" s="23" t="n">
        <v>184109</v>
      </c>
      <c r="G1992" s="138" t="n"/>
      <c r="H1992" s="138" t="n">
        <v>80</v>
      </c>
      <c r="I1992" s="138">
        <f>+I1991+(G1992-H1992)</f>
        <v/>
      </c>
      <c r="J1992" s="139" t="n">
        <v>38.94</v>
      </c>
      <c r="K1992" s="140" t="n"/>
      <c r="L1992" s="140">
        <f>+H1992*J1992</f>
        <v/>
      </c>
      <c r="M1992" s="141">
        <f>SUM(M1991+K1992-L1992)</f>
        <v/>
      </c>
    </row>
    <row r="1993">
      <c r="A1993" s="20" t="n">
        <v>45776</v>
      </c>
      <c r="B1993" s="21" t="n">
        <v>14622</v>
      </c>
      <c r="C1993" s="22" t="inlineStr">
        <is>
          <t>SELİM İNŞAAT</t>
        </is>
      </c>
      <c r="D1993" s="21" t="inlineStr">
        <is>
          <t>34 GER 445</t>
        </is>
      </c>
      <c r="E1993" s="21" t="inlineStr">
        <is>
          <t>HASAN BAYCAN</t>
        </is>
      </c>
      <c r="F1993" s="23" t="n">
        <v>41120</v>
      </c>
      <c r="G1993" s="138" t="n"/>
      <c r="H1993" s="138" t="n">
        <v>224</v>
      </c>
      <c r="I1993" s="138">
        <f>+I1992+(G1993-H1993)</f>
        <v/>
      </c>
      <c r="J1993" s="139" t="n">
        <v>38.94</v>
      </c>
      <c r="K1993" s="140" t="n"/>
      <c r="L1993" s="140">
        <f>+H1993*J1993</f>
        <v/>
      </c>
      <c r="M1993" s="141">
        <f>SUM(M1992+K1993-L1993)</f>
        <v/>
      </c>
    </row>
    <row r="1994">
      <c r="A1994" s="20" t="n">
        <v>45776</v>
      </c>
      <c r="B1994" s="21" t="n">
        <v>14519</v>
      </c>
      <c r="C1994" s="22" t="inlineStr">
        <is>
          <t>SELİM İNŞAAT</t>
        </is>
      </c>
      <c r="D1994" s="21" t="inlineStr">
        <is>
          <t>34 GER 028</t>
        </is>
      </c>
      <c r="E1994" s="21" t="inlineStr">
        <is>
          <t>A.KERİM ERGEN</t>
        </is>
      </c>
      <c r="F1994" s="23" t="n">
        <v>42779</v>
      </c>
      <c r="G1994" s="138" t="n"/>
      <c r="H1994" s="138" t="n">
        <v>198</v>
      </c>
      <c r="I1994" s="138">
        <f>+I1993+(G1994-H1994)</f>
        <v/>
      </c>
      <c r="J1994" s="139" t="n">
        <v>38.94</v>
      </c>
      <c r="K1994" s="140" t="n"/>
      <c r="L1994" s="140">
        <f>+H1994*J1994</f>
        <v/>
      </c>
      <c r="M1994" s="141">
        <f>SUM(M1993+K1994-L1994)</f>
        <v/>
      </c>
    </row>
    <row r="1995">
      <c r="A1995" s="20" t="n">
        <v>45776</v>
      </c>
      <c r="B1995" s="21" t="n">
        <v>10144</v>
      </c>
      <c r="C1995" s="22" t="inlineStr">
        <is>
          <t>SELİM İNŞAAT</t>
        </is>
      </c>
      <c r="D1995" s="21" t="inlineStr">
        <is>
          <t>34 DP 4161</t>
        </is>
      </c>
      <c r="E1995" s="21" t="inlineStr">
        <is>
          <t>RIFAT KARATAY</t>
        </is>
      </c>
      <c r="F1995" s="23" t="n">
        <v>283311</v>
      </c>
      <c r="G1995" s="138" t="n"/>
      <c r="H1995" s="138" t="n">
        <v>238</v>
      </c>
      <c r="I1995" s="138">
        <f>+I1994+(G1995-H1995)</f>
        <v/>
      </c>
      <c r="J1995" s="139" t="n">
        <v>38.94</v>
      </c>
      <c r="K1995" s="140" t="n"/>
      <c r="L1995" s="140">
        <f>+H1995*J1995</f>
        <v/>
      </c>
      <c r="M1995" s="141">
        <f>SUM(M1994+K1995-L1995)</f>
        <v/>
      </c>
    </row>
    <row r="1996">
      <c r="A1996" s="20" t="n">
        <v>45776</v>
      </c>
      <c r="B1996" s="21" t="n">
        <v>14327</v>
      </c>
      <c r="C1996" s="22" t="inlineStr">
        <is>
          <t>SELİM İNŞAAT</t>
        </is>
      </c>
      <c r="D1996" s="21" t="inlineStr">
        <is>
          <t>34 DKL 866</t>
        </is>
      </c>
      <c r="E1996" s="21" t="inlineStr">
        <is>
          <t>SELİM CAN ÖNVER</t>
        </is>
      </c>
      <c r="F1996" s="23" t="n">
        <v>64185</v>
      </c>
      <c r="G1996" s="138" t="n"/>
      <c r="H1996" s="138" t="n">
        <v>87</v>
      </c>
      <c r="I1996" s="138">
        <f>+I1995+(G1996-H1996)</f>
        <v/>
      </c>
      <c r="J1996" s="139" t="n">
        <v>38.94</v>
      </c>
      <c r="K1996" s="140" t="n"/>
      <c r="L1996" s="140">
        <f>+H1996*J1996</f>
        <v/>
      </c>
      <c r="M1996" s="141">
        <f>SUM(M1995+K1996-L1996)</f>
        <v/>
      </c>
    </row>
    <row r="1997">
      <c r="A1997" s="20" t="n">
        <v>45776</v>
      </c>
      <c r="B1997" s="21" t="n">
        <v>15481</v>
      </c>
      <c r="C1997" s="22" t="inlineStr">
        <is>
          <t>EVKUR</t>
        </is>
      </c>
      <c r="D1997" s="21" t="inlineStr">
        <is>
          <t>FOKLİFT</t>
        </is>
      </c>
      <c r="E1997" s="21" t="inlineStr">
        <is>
          <t>FAHRİ KALFA</t>
        </is>
      </c>
      <c r="F1997" s="23" t="n"/>
      <c r="G1997" s="138" t="n"/>
      <c r="H1997" s="138" t="n">
        <v>19</v>
      </c>
      <c r="I1997" s="138">
        <f>+I1996+(G1997-H1997)</f>
        <v/>
      </c>
      <c r="J1997" s="139" t="n">
        <v>38.94</v>
      </c>
      <c r="K1997" s="140" t="n"/>
      <c r="L1997" s="140">
        <f>+H1997*J1997</f>
        <v/>
      </c>
      <c r="M1997" s="141">
        <f>SUM(M1996+K1997-L1997)</f>
        <v/>
      </c>
    </row>
    <row r="1998">
      <c r="A1998" s="20" t="n">
        <v>45776</v>
      </c>
      <c r="B1998" s="1" t="n">
        <v>15482</v>
      </c>
      <c r="C1998" s="2" t="inlineStr">
        <is>
          <t>VARLIK</t>
        </is>
      </c>
      <c r="D1998" s="1" t="inlineStr">
        <is>
          <t>SM 300</t>
        </is>
      </c>
      <c r="E1998" s="1" t="inlineStr">
        <is>
          <t>TURGUT SANCAK</t>
        </is>
      </c>
      <c r="F1998" s="3" t="n"/>
      <c r="G1998" s="143" t="n"/>
      <c r="H1998" s="143" t="n">
        <v>315</v>
      </c>
      <c r="I1998" s="143">
        <f>+I1997+(G1998-H1998)</f>
        <v/>
      </c>
      <c r="J1998" s="144" t="n">
        <v>38.94</v>
      </c>
      <c r="K1998" s="145" t="n"/>
      <c r="L1998" s="140">
        <f>+H1998*J1998</f>
        <v/>
      </c>
      <c r="M1998" s="141">
        <f>SUM(M1997+K1998-L1998)</f>
        <v/>
      </c>
    </row>
    <row r="1999">
      <c r="A1999" s="20" t="n">
        <v>45776</v>
      </c>
      <c r="B1999" s="1" t="n">
        <v>15483</v>
      </c>
      <c r="C1999" s="2" t="inlineStr">
        <is>
          <t>VARLIK</t>
        </is>
      </c>
      <c r="D1999" s="1" t="inlineStr">
        <is>
          <t>SM 350</t>
        </is>
      </c>
      <c r="E1999" s="1" t="inlineStr">
        <is>
          <t>BAYRAM SANCAK</t>
        </is>
      </c>
      <c r="F1999" s="3" t="n"/>
      <c r="G1999" s="143" t="n"/>
      <c r="H1999" s="143" t="n">
        <v>400</v>
      </c>
      <c r="I1999" s="143">
        <f>+I1998+(G1999-H1999)</f>
        <v/>
      </c>
      <c r="J1999" s="144" t="n">
        <v>38.94</v>
      </c>
      <c r="K1999" s="145" t="n"/>
      <c r="L1999" s="140">
        <f>+H1999*J1999</f>
        <v/>
      </c>
      <c r="M1999" s="141">
        <f>SUM(M1998+K1999-L1999)</f>
        <v/>
      </c>
    </row>
    <row r="2000">
      <c r="A2000" s="20" t="n">
        <v>45776</v>
      </c>
      <c r="B2000" s="1" t="n">
        <v>15484</v>
      </c>
      <c r="C2000" s="2" t="inlineStr">
        <is>
          <t>VARLIK</t>
        </is>
      </c>
      <c r="D2000" s="1" t="inlineStr">
        <is>
          <t>SM 370</t>
        </is>
      </c>
      <c r="E2000" s="1" t="inlineStr">
        <is>
          <t>TEKİN ŞEYLAN</t>
        </is>
      </c>
      <c r="F2000" s="3" t="n"/>
      <c r="G2000" s="143" t="n"/>
      <c r="H2000" s="143" t="n">
        <v>290</v>
      </c>
      <c r="I2000" s="143">
        <f>+I1999+(G2000-H2000)</f>
        <v/>
      </c>
      <c r="J2000" s="144" t="n">
        <v>38.94</v>
      </c>
      <c r="K2000" s="145" t="n"/>
      <c r="L2000" s="140">
        <f>+H2000*J2000</f>
        <v/>
      </c>
      <c r="M2000" s="141">
        <f>SUM(M1999+K2000-L2000)</f>
        <v/>
      </c>
    </row>
    <row r="2001">
      <c r="A2001" s="20" t="n">
        <v>45776</v>
      </c>
      <c r="B2001" s="1" t="n">
        <v>15485</v>
      </c>
      <c r="C2001" s="2" t="inlineStr">
        <is>
          <t>VARLIK</t>
        </is>
      </c>
      <c r="D2001" s="1" t="inlineStr">
        <is>
          <t>KAVAZAKİ</t>
        </is>
      </c>
      <c r="E2001" s="1" t="inlineStr">
        <is>
          <t>UFUK SEVAL</t>
        </is>
      </c>
      <c r="F2001" s="3" t="n"/>
      <c r="G2001" s="143" t="n"/>
      <c r="H2001" s="143" t="n">
        <v>105</v>
      </c>
      <c r="I2001" s="143">
        <f>+I2000+(G2001-H2001)</f>
        <v/>
      </c>
      <c r="J2001" s="144" t="n">
        <v>38.94</v>
      </c>
      <c r="K2001" s="145" t="n"/>
      <c r="L2001" s="140">
        <f>+H2001*J2001</f>
        <v/>
      </c>
      <c r="M2001" s="141">
        <f>SUM(M2000+K2001-L2001)</f>
        <v/>
      </c>
    </row>
    <row r="2002">
      <c r="A2002" s="20" t="n">
        <v>45776</v>
      </c>
      <c r="B2002" s="21" t="n">
        <v>532</v>
      </c>
      <c r="C2002" s="22" t="inlineStr">
        <is>
          <t>ÜNSOY TURİZM İNŞ.SAN.VE TİC.A.Ş.</t>
        </is>
      </c>
      <c r="D2002" s="21" t="n"/>
      <c r="E2002" s="21" t="n"/>
      <c r="F2002" s="23" t="n"/>
      <c r="G2002" s="138" t="n">
        <v>32495</v>
      </c>
      <c r="H2002" s="138" t="n"/>
      <c r="I2002" s="138">
        <f>+I2001+(G2002-H2002)</f>
        <v/>
      </c>
      <c r="J2002" s="139">
        <f>+K2002/G2002</f>
        <v/>
      </c>
      <c r="K2002" s="140" t="n">
        <v>1265355.3</v>
      </c>
      <c r="L2002" s="140">
        <f>+H2002*J2002</f>
        <v/>
      </c>
      <c r="M2002" s="141">
        <f>SUM(M2001+K2002-L2002)</f>
        <v/>
      </c>
    </row>
    <row r="2003">
      <c r="A2003" s="20" t="n">
        <v>45776</v>
      </c>
      <c r="B2003" s="21" t="n">
        <v>14023</v>
      </c>
      <c r="C2003" s="22" t="inlineStr">
        <is>
          <t>SELİM İNŞAAT</t>
        </is>
      </c>
      <c r="D2003" s="21" t="inlineStr">
        <is>
          <t>34 GVZ 310</t>
        </is>
      </c>
      <c r="E2003" s="21" t="inlineStr">
        <is>
          <t>CELAL YÜZBAŞI</t>
        </is>
      </c>
      <c r="F2003" s="23" t="n">
        <v>185962</v>
      </c>
      <c r="G2003" s="138" t="n"/>
      <c r="H2003" s="138" t="n">
        <v>245</v>
      </c>
      <c r="I2003" s="138">
        <f>+I2002+(G2003-H2003)</f>
        <v/>
      </c>
      <c r="J2003" s="139" t="n"/>
      <c r="K2003" s="140" t="n"/>
      <c r="L2003" s="140">
        <f>+H2003*J2003</f>
        <v/>
      </c>
      <c r="M2003" s="141">
        <f>SUM(M2002+K2003-L2003)</f>
        <v/>
      </c>
    </row>
    <row r="2004">
      <c r="A2004" s="20" t="n">
        <v>45777</v>
      </c>
      <c r="B2004" s="21" t="n">
        <v>15008</v>
      </c>
      <c r="C2004" s="22" t="inlineStr">
        <is>
          <t>SELİM İNŞAAT</t>
        </is>
      </c>
      <c r="D2004" s="21" t="inlineStr">
        <is>
          <t>34 GVZ 199</t>
        </is>
      </c>
      <c r="E2004" s="21" t="inlineStr">
        <is>
          <t>VAHDET GÜRLER</t>
        </is>
      </c>
      <c r="F2004" s="23" t="n">
        <v>170571</v>
      </c>
      <c r="G2004" s="138" t="n"/>
      <c r="H2004" s="138" t="n">
        <v>352</v>
      </c>
      <c r="I2004" s="138">
        <f>+I2003+(G2004-H2004)</f>
        <v/>
      </c>
      <c r="J2004" s="139" t="n">
        <v>38.94</v>
      </c>
      <c r="K2004" s="140" t="n"/>
      <c r="L2004" s="140">
        <f>+H2004*J2004</f>
        <v/>
      </c>
      <c r="M2004" s="141">
        <f>SUM(M2003+K2004-L2004)</f>
        <v/>
      </c>
    </row>
    <row r="2005">
      <c r="A2005" s="20" t="n">
        <v>45777</v>
      </c>
      <c r="B2005" s="21" t="n">
        <v>10534</v>
      </c>
      <c r="C2005" s="22" t="inlineStr">
        <is>
          <t>SELİM İNŞAAT</t>
        </is>
      </c>
      <c r="D2005" s="21" t="inlineStr">
        <is>
          <t>34 EDB 922</t>
        </is>
      </c>
      <c r="E2005" s="21" t="inlineStr">
        <is>
          <t>AHMET TOPÇU</t>
        </is>
      </c>
      <c r="F2005" s="23" t="n">
        <v>349750</v>
      </c>
      <c r="G2005" s="138" t="n"/>
      <c r="H2005" s="138" t="n">
        <v>317</v>
      </c>
      <c r="I2005" s="138">
        <f>+I2004+(G2005-H2005)</f>
        <v/>
      </c>
      <c r="J2005" s="139" t="n">
        <v>38.94</v>
      </c>
      <c r="K2005" s="140" t="n"/>
      <c r="L2005" s="140">
        <f>+H2005*J2005</f>
        <v/>
      </c>
      <c r="M2005" s="141">
        <f>SUM(M2004+K2005-L2005)</f>
        <v/>
      </c>
    </row>
    <row r="2006">
      <c r="A2006" s="20" t="n">
        <v>45777</v>
      </c>
      <c r="B2006" s="21" t="n">
        <v>11827</v>
      </c>
      <c r="C2006" s="22" t="inlineStr">
        <is>
          <t>SELİM İNŞAAT</t>
        </is>
      </c>
      <c r="D2006" s="21" t="inlineStr">
        <is>
          <t>34 FSG 229</t>
        </is>
      </c>
      <c r="E2006" s="21" t="inlineStr">
        <is>
          <t>SİNAN TANRIVERDİ</t>
        </is>
      </c>
      <c r="F2006" s="23" t="n">
        <v>247326</v>
      </c>
      <c r="G2006" s="138" t="n"/>
      <c r="H2006" s="138" t="n">
        <v>353</v>
      </c>
      <c r="I2006" s="138">
        <f>+I2005+(G2006-H2006)</f>
        <v/>
      </c>
      <c r="J2006" s="139" t="n">
        <v>38.94</v>
      </c>
      <c r="K2006" s="140" t="n"/>
      <c r="L2006" s="140">
        <f>+H2006*J2006</f>
        <v/>
      </c>
      <c r="M2006" s="141">
        <f>SUM(M2005+K2006-L2006)</f>
        <v/>
      </c>
    </row>
    <row r="2007">
      <c r="A2007" s="20" t="n">
        <v>45777</v>
      </c>
      <c r="B2007" s="21" t="n">
        <v>10501</v>
      </c>
      <c r="C2007" s="22" t="inlineStr">
        <is>
          <t>SELİM İNŞAAT</t>
        </is>
      </c>
      <c r="D2007" s="21" t="inlineStr">
        <is>
          <t>34 DTV 599</t>
        </is>
      </c>
      <c r="E2007" s="21" t="inlineStr">
        <is>
          <t>FERHAT GÜRLER</t>
        </is>
      </c>
      <c r="F2007" s="23" t="n">
        <v>422945</v>
      </c>
      <c r="G2007" s="138" t="n"/>
      <c r="H2007" s="138" t="n">
        <v>394</v>
      </c>
      <c r="I2007" s="138">
        <f>+I2006+(G2007-H2007)</f>
        <v/>
      </c>
      <c r="J2007" s="139" t="n">
        <v>38.94</v>
      </c>
      <c r="K2007" s="140" t="n"/>
      <c r="L2007" s="140">
        <f>+H2007*J2007</f>
        <v/>
      </c>
      <c r="M2007" s="141">
        <f>SUM(M2006+K2007-L2007)</f>
        <v/>
      </c>
    </row>
    <row r="2008">
      <c r="A2008" s="20" t="n">
        <v>45777</v>
      </c>
      <c r="B2008" s="21" t="n">
        <v>11142</v>
      </c>
      <c r="C2008" s="22" t="inlineStr">
        <is>
          <t>SELİM İNŞAAT</t>
        </is>
      </c>
      <c r="D2008" s="21" t="inlineStr">
        <is>
          <t>34 DTV 409</t>
        </is>
      </c>
      <c r="E2008" s="21" t="inlineStr">
        <is>
          <t>FARUK ÖZEN</t>
        </is>
      </c>
      <c r="F2008" s="23" t="n">
        <v>407705</v>
      </c>
      <c r="G2008" s="138" t="n"/>
      <c r="H2008" s="138" t="n">
        <v>418</v>
      </c>
      <c r="I2008" s="138">
        <f>+I2007+(G2008-H2008)</f>
        <v/>
      </c>
      <c r="J2008" s="139" t="n">
        <v>38.94</v>
      </c>
      <c r="K2008" s="140" t="n"/>
      <c r="L2008" s="140">
        <f>+H2008*J2008</f>
        <v/>
      </c>
      <c r="M2008" s="141">
        <f>SUM(M2007+K2008-L2008)</f>
        <v/>
      </c>
    </row>
    <row r="2009">
      <c r="A2009" s="20" t="n">
        <v>45777</v>
      </c>
      <c r="B2009" s="21" t="n">
        <v>10338</v>
      </c>
      <c r="C2009" s="22" t="inlineStr">
        <is>
          <t>SELİM İNŞAAT</t>
        </is>
      </c>
      <c r="D2009" s="21" t="inlineStr">
        <is>
          <t>34 EDB 829</t>
        </is>
      </c>
      <c r="E2009" s="21" t="inlineStr">
        <is>
          <t>İSMET BAYRAM</t>
        </is>
      </c>
      <c r="F2009" s="23" t="n">
        <v>308524</v>
      </c>
      <c r="G2009" s="138" t="n"/>
      <c r="H2009" s="138" t="n">
        <v>310</v>
      </c>
      <c r="I2009" s="138">
        <f>+I2008+(G2009-H2009)</f>
        <v/>
      </c>
      <c r="J2009" s="139" t="n">
        <v>38.94</v>
      </c>
      <c r="K2009" s="140" t="n"/>
      <c r="L2009" s="140">
        <f>+H2009*J2009</f>
        <v/>
      </c>
      <c r="M2009" s="141">
        <f>SUM(M2008+K2009-L2009)</f>
        <v/>
      </c>
    </row>
    <row r="2010">
      <c r="A2010" s="20" t="n">
        <v>45777</v>
      </c>
      <c r="B2010" s="21" t="n">
        <v>10642</v>
      </c>
      <c r="C2010" s="22" t="inlineStr">
        <is>
          <t>SELİM İNŞAAT</t>
        </is>
      </c>
      <c r="D2010" s="21" t="inlineStr">
        <is>
          <t>34 EDB 754</t>
        </is>
      </c>
      <c r="E2010" s="21" t="inlineStr">
        <is>
          <t>EMİN PARLAKKILIÇ</t>
        </is>
      </c>
      <c r="F2010" s="23" t="n">
        <v>311768</v>
      </c>
      <c r="G2010" s="138" t="n"/>
      <c r="H2010" s="138" t="n">
        <v>416</v>
      </c>
      <c r="I2010" s="138">
        <f>+I2009+(G2010-H2010)</f>
        <v/>
      </c>
      <c r="J2010" s="139" t="n">
        <v>38.94</v>
      </c>
      <c r="K2010" s="140" t="n"/>
      <c r="L2010" s="140">
        <f>+H2010*J2010</f>
        <v/>
      </c>
      <c r="M2010" s="141">
        <f>SUM(M2009+K2010-L2010)</f>
        <v/>
      </c>
    </row>
    <row r="2011">
      <c r="A2011" s="20" t="n">
        <v>45777</v>
      </c>
      <c r="B2011" s="21" t="n">
        <v>11296</v>
      </c>
      <c r="C2011" s="22" t="inlineStr">
        <is>
          <t>SELİM İNŞAAT</t>
        </is>
      </c>
      <c r="D2011" s="21" t="inlineStr">
        <is>
          <t>34 EDC 162</t>
        </is>
      </c>
      <c r="E2011" s="21" t="inlineStr">
        <is>
          <t xml:space="preserve">YAKUP GÜNER </t>
        </is>
      </c>
      <c r="F2011" s="23" t="n">
        <v>358300</v>
      </c>
      <c r="G2011" s="138" t="n"/>
      <c r="H2011" s="138" t="n">
        <v>281</v>
      </c>
      <c r="I2011" s="138">
        <f>+I2010+(G2011-H2011)</f>
        <v/>
      </c>
      <c r="J2011" s="139" t="n">
        <v>38.94</v>
      </c>
      <c r="K2011" s="140" t="n"/>
      <c r="L2011" s="140">
        <f>+H2011*J2011</f>
        <v/>
      </c>
      <c r="M2011" s="141">
        <f>SUM(M2010+K2011-L2011)</f>
        <v/>
      </c>
    </row>
    <row r="2012">
      <c r="A2012" s="20" t="n">
        <v>45777</v>
      </c>
      <c r="B2012" s="21" t="n">
        <v>11932</v>
      </c>
      <c r="C2012" s="22" t="inlineStr">
        <is>
          <t>SELİM İNŞAAT</t>
        </is>
      </c>
      <c r="D2012" s="21" t="inlineStr">
        <is>
          <t>34 FBR 742</t>
        </is>
      </c>
      <c r="E2012" s="21" t="inlineStr">
        <is>
          <t>MİKAİL BAYILMAZ</t>
        </is>
      </c>
      <c r="F2012" s="23" t="n">
        <v>307691</v>
      </c>
      <c r="G2012" s="138" t="n"/>
      <c r="H2012" s="138" t="n">
        <v>354</v>
      </c>
      <c r="I2012" s="138">
        <f>+I2011+(G2012-H2012)</f>
        <v/>
      </c>
      <c r="J2012" s="139" t="n">
        <v>38.94</v>
      </c>
      <c r="K2012" s="140" t="n"/>
      <c r="L2012" s="140">
        <f>+H2012*J2012</f>
        <v/>
      </c>
      <c r="M2012" s="141">
        <f>SUM(M2011+K2012-L2012)</f>
        <v/>
      </c>
    </row>
    <row r="2013">
      <c r="A2013" s="20" t="n">
        <v>45777</v>
      </c>
      <c r="B2013" s="21" t="n">
        <v>10442</v>
      </c>
      <c r="C2013" s="22" t="inlineStr">
        <is>
          <t>SELİM İNŞAAT</t>
        </is>
      </c>
      <c r="D2013" s="21" t="inlineStr">
        <is>
          <t>34 FBR 781</t>
        </is>
      </c>
      <c r="E2013" s="21" t="inlineStr">
        <is>
          <t>MEVLÜT POLAT</t>
        </is>
      </c>
      <c r="F2013" s="23" t="n">
        <v>291134</v>
      </c>
      <c r="G2013" s="138" t="n"/>
      <c r="H2013" s="138" t="n">
        <v>388</v>
      </c>
      <c r="I2013" s="138">
        <f>+I2012+(G2013-H2013)</f>
        <v/>
      </c>
      <c r="J2013" s="139" t="n">
        <v>38.94</v>
      </c>
      <c r="K2013" s="140" t="n"/>
      <c r="L2013" s="140">
        <f>+H2013*J2013</f>
        <v/>
      </c>
      <c r="M2013" s="141">
        <f>SUM(M2012+K2013-L2013)</f>
        <v/>
      </c>
    </row>
    <row r="2014">
      <c r="A2014" s="20" t="n">
        <v>45777</v>
      </c>
      <c r="B2014" s="21" t="n">
        <v>14471</v>
      </c>
      <c r="C2014" s="22" t="inlineStr">
        <is>
          <t>AZGÜN YAPI</t>
        </is>
      </c>
      <c r="D2014" s="21" t="inlineStr">
        <is>
          <t>34 DTV 263</t>
        </is>
      </c>
      <c r="E2014" s="21" t="inlineStr">
        <is>
          <t>EDİP TORLAK</t>
        </is>
      </c>
      <c r="F2014" s="23" t="n">
        <v>373035</v>
      </c>
      <c r="G2014" s="138" t="n"/>
      <c r="H2014" s="138" t="n">
        <v>390</v>
      </c>
      <c r="I2014" s="138">
        <f>+I2013+(G2014-H2014)</f>
        <v/>
      </c>
      <c r="J2014" s="139" t="n">
        <v>38.94</v>
      </c>
      <c r="K2014" s="140" t="n"/>
      <c r="L2014" s="140">
        <f>+H2014*J2014</f>
        <v/>
      </c>
      <c r="M2014" s="141">
        <f>SUM(M2013+K2014-L2014)</f>
        <v/>
      </c>
    </row>
    <row r="2015">
      <c r="A2015" s="20" t="n">
        <v>45777</v>
      </c>
      <c r="B2015" s="21" t="n">
        <v>14520</v>
      </c>
      <c r="C2015" s="22" t="inlineStr">
        <is>
          <t>SELİM İNŞAAT</t>
        </is>
      </c>
      <c r="D2015" s="21" t="inlineStr">
        <is>
          <t>34 GER 028</t>
        </is>
      </c>
      <c r="E2015" s="21" t="inlineStr">
        <is>
          <t>A.KERİM ERGEN</t>
        </is>
      </c>
      <c r="F2015" s="23" t="n">
        <v>42821</v>
      </c>
      <c r="G2015" s="138" t="n"/>
      <c r="H2015" s="138" t="n">
        <v>43</v>
      </c>
      <c r="I2015" s="138">
        <f>+I2014+(G2015-H2015)</f>
        <v/>
      </c>
      <c r="J2015" s="139" t="n">
        <v>38.94</v>
      </c>
      <c r="K2015" s="140" t="n"/>
      <c r="L2015" s="140">
        <f>+H2015*J2015</f>
        <v/>
      </c>
      <c r="M2015" s="141">
        <f>SUM(M2014+K2015-L2015)</f>
        <v/>
      </c>
    </row>
    <row r="2016">
      <c r="A2016" s="20" t="n">
        <v>45777</v>
      </c>
      <c r="B2016" s="21" t="n">
        <v>14367</v>
      </c>
      <c r="C2016" s="22" t="inlineStr">
        <is>
          <t>SELİM İNŞAAT</t>
        </is>
      </c>
      <c r="D2016" s="21" t="inlineStr">
        <is>
          <t>34 DKL 798</t>
        </is>
      </c>
      <c r="E2016" s="21" t="inlineStr">
        <is>
          <t>VOLKAN YANAR</t>
        </is>
      </c>
      <c r="F2016" s="23" t="n">
        <v>64309</v>
      </c>
      <c r="G2016" s="138" t="n"/>
      <c r="H2016" s="138" t="n">
        <v>146</v>
      </c>
      <c r="I2016" s="138">
        <f>+I2015+(G2016-H2016)</f>
        <v/>
      </c>
      <c r="J2016" s="139" t="n">
        <v>38.94</v>
      </c>
      <c r="K2016" s="140" t="n"/>
      <c r="L2016" s="140">
        <f>+H2016*J2016</f>
        <v/>
      </c>
      <c r="M2016" s="141">
        <f>SUM(M2015+K2016-L2016)</f>
        <v/>
      </c>
    </row>
    <row r="2017">
      <c r="A2017" s="20" t="n">
        <v>45777</v>
      </c>
      <c r="B2017" s="21" t="n">
        <v>15486</v>
      </c>
      <c r="C2017" s="22" t="inlineStr">
        <is>
          <t>SELİM İNŞAAT</t>
        </is>
      </c>
      <c r="D2017" s="21" t="inlineStr">
        <is>
          <t>SİLİNDİR</t>
        </is>
      </c>
      <c r="E2017" s="21" t="inlineStr">
        <is>
          <t>HASAN BAYCAN</t>
        </is>
      </c>
      <c r="F2017" s="23" t="n"/>
      <c r="G2017" s="138" t="n"/>
      <c r="H2017" s="138" t="n">
        <v>103</v>
      </c>
      <c r="I2017" s="138">
        <f>+I2016+(G2017-H2017)</f>
        <v/>
      </c>
      <c r="J2017" s="139" t="n">
        <v>38.94</v>
      </c>
      <c r="K2017" s="140" t="n"/>
      <c r="L2017" s="140">
        <f>+H2017*J2017</f>
        <v/>
      </c>
      <c r="M2017" s="141">
        <f>SUM(M2016+K2017-L2017)</f>
        <v/>
      </c>
    </row>
    <row r="2018">
      <c r="A2018" s="20" t="n">
        <v>45777</v>
      </c>
      <c r="B2018" s="1" t="n">
        <v>15487</v>
      </c>
      <c r="C2018" s="2" t="inlineStr">
        <is>
          <t>VARLIK</t>
        </is>
      </c>
      <c r="D2018" s="1" t="inlineStr">
        <is>
          <t>SM 300</t>
        </is>
      </c>
      <c r="E2018" s="1" t="inlineStr">
        <is>
          <t>TURGUT SANCAK</t>
        </is>
      </c>
      <c r="F2018" s="3" t="n"/>
      <c r="G2018" s="143" t="n"/>
      <c r="H2018" s="143" t="n">
        <v>281</v>
      </c>
      <c r="I2018" s="143">
        <f>+I2017+(G2018-H2018)</f>
        <v/>
      </c>
      <c r="J2018" s="144" t="n">
        <v>38.94</v>
      </c>
      <c r="K2018" s="145" t="n"/>
      <c r="L2018" s="140">
        <f>+H2018*J2018</f>
        <v/>
      </c>
      <c r="M2018" s="141">
        <f>SUM(M2017+K2018-L2018)</f>
        <v/>
      </c>
    </row>
    <row r="2019">
      <c r="A2019" s="20" t="n">
        <v>45777</v>
      </c>
      <c r="B2019" s="1" t="n">
        <v>15488</v>
      </c>
      <c r="C2019" s="2" t="inlineStr">
        <is>
          <t>VARLIK</t>
        </is>
      </c>
      <c r="D2019" s="1" t="inlineStr">
        <is>
          <t>SM 350</t>
        </is>
      </c>
      <c r="E2019" s="1" t="inlineStr">
        <is>
          <t>BAYRAM SANCAK</t>
        </is>
      </c>
      <c r="F2019" s="3" t="n"/>
      <c r="G2019" s="143" t="n"/>
      <c r="H2019" s="143" t="n">
        <v>343</v>
      </c>
      <c r="I2019" s="143">
        <f>+I2018+(G2019-H2019)</f>
        <v/>
      </c>
      <c r="J2019" s="144" t="n">
        <v>38.94</v>
      </c>
      <c r="K2019" s="145" t="n"/>
      <c r="L2019" s="140">
        <f>+H2019*J2019</f>
        <v/>
      </c>
      <c r="M2019" s="141">
        <f>SUM(M2018+K2019-L2019)</f>
        <v/>
      </c>
    </row>
    <row r="2020">
      <c r="A2020" s="20" t="n">
        <v>45777</v>
      </c>
      <c r="B2020" s="1" t="n">
        <v>15489</v>
      </c>
      <c r="C2020" s="2" t="inlineStr">
        <is>
          <t>VARLIK</t>
        </is>
      </c>
      <c r="D2020" s="1" t="inlineStr">
        <is>
          <t>SM 370</t>
        </is>
      </c>
      <c r="E2020" s="1" t="inlineStr">
        <is>
          <t>TEKİN ŞEYLAN</t>
        </is>
      </c>
      <c r="F2020" s="3" t="n"/>
      <c r="G2020" s="143" t="n"/>
      <c r="H2020" s="143" t="n">
        <v>390</v>
      </c>
      <c r="I2020" s="143">
        <f>+I2019+(G2020-H2020)</f>
        <v/>
      </c>
      <c r="J2020" s="144" t="n">
        <v>38.94</v>
      </c>
      <c r="K2020" s="145" t="n"/>
      <c r="L2020" s="140">
        <f>+H2020*J2020</f>
        <v/>
      </c>
      <c r="M2020" s="141">
        <f>SUM(M2019+K2020-L2020)</f>
        <v/>
      </c>
    </row>
    <row r="2021">
      <c r="A2021" s="20" t="n">
        <v>45777</v>
      </c>
      <c r="B2021" s="1" t="n">
        <v>15490</v>
      </c>
      <c r="C2021" s="2" t="inlineStr">
        <is>
          <t>VARLIK</t>
        </is>
      </c>
      <c r="D2021" s="1" t="inlineStr">
        <is>
          <t>KAVAZAKİ</t>
        </is>
      </c>
      <c r="E2021" s="1" t="inlineStr">
        <is>
          <t>UFUK SEVAL</t>
        </is>
      </c>
      <c r="F2021" s="3" t="n"/>
      <c r="G2021" s="143" t="n"/>
      <c r="H2021" s="143" t="n">
        <v>140</v>
      </c>
      <c r="I2021" s="143">
        <f>+I2020+(G2021-H2021)</f>
        <v/>
      </c>
      <c r="J2021" s="144" t="n">
        <v>38.94</v>
      </c>
      <c r="K2021" s="145" t="n"/>
      <c r="L2021" s="140">
        <f>+H2021*J2021</f>
        <v/>
      </c>
      <c r="M2021" s="141">
        <f>SUM(M2020+K2021-L2021)</f>
        <v/>
      </c>
    </row>
    <row r="2022">
      <c r="A2022" s="20" t="n">
        <v>45777</v>
      </c>
      <c r="B2022" s="1" t="n">
        <v>15491</v>
      </c>
      <c r="C2022" s="2" t="inlineStr">
        <is>
          <t>HASALTUN</t>
        </is>
      </c>
      <c r="D2022" s="1" t="inlineStr">
        <is>
          <t xml:space="preserve">SM 350 </t>
        </is>
      </c>
      <c r="E2022" s="1" t="inlineStr">
        <is>
          <t>TEVFİK ÖZTÜRK</t>
        </is>
      </c>
      <c r="F2022" s="3" t="n"/>
      <c r="G2022" s="143" t="n"/>
      <c r="H2022" s="143" t="n">
        <v>306</v>
      </c>
      <c r="I2022" s="143">
        <f>+I2021+(G2022-H2022)</f>
        <v/>
      </c>
      <c r="J2022" s="144" t="n">
        <v>38.94</v>
      </c>
      <c r="K2022" s="145" t="n"/>
      <c r="L2022" s="140">
        <f>+H2022*J2022</f>
        <v/>
      </c>
      <c r="M2022" s="141">
        <f>SUM(M2021+K2022-L2022)</f>
        <v/>
      </c>
    </row>
    <row r="2023">
      <c r="A2023" s="20" t="n">
        <v>45778</v>
      </c>
      <c r="B2023" s="21" t="n">
        <v>14720</v>
      </c>
      <c r="C2023" s="22" t="inlineStr">
        <is>
          <t>METİN ERYİĞİT</t>
        </is>
      </c>
      <c r="D2023" s="21" t="inlineStr">
        <is>
          <t>34 GBL 998</t>
        </is>
      </c>
      <c r="E2023" s="21" t="inlineStr">
        <is>
          <t>ALİ KESKİN</t>
        </is>
      </c>
      <c r="F2023" s="23" t="n">
        <v>255919</v>
      </c>
      <c r="G2023" s="138" t="n"/>
      <c r="H2023" s="138" t="n">
        <v>446</v>
      </c>
      <c r="I2023" s="138">
        <f>+I2022+(G2023-H2023)</f>
        <v/>
      </c>
      <c r="J2023" s="139" t="n">
        <v>38.94</v>
      </c>
      <c r="K2023" s="140" t="n"/>
      <c r="L2023" s="140">
        <f>+H2023*J2023</f>
        <v/>
      </c>
      <c r="M2023" s="141">
        <f>SUM(M2022+K2023-L2023)</f>
        <v/>
      </c>
    </row>
    <row r="2024">
      <c r="A2024" s="20" t="n">
        <v>45778</v>
      </c>
      <c r="B2024" s="21" t="n">
        <v>10045</v>
      </c>
      <c r="C2024" s="22" t="inlineStr">
        <is>
          <t>METİN ERYİĞİT</t>
        </is>
      </c>
      <c r="D2024" s="21" t="inlineStr">
        <is>
          <t>34 EGS 013</t>
        </is>
      </c>
      <c r="E2024" s="21" t="inlineStr">
        <is>
          <t xml:space="preserve">UĞUR DUMAN </t>
        </is>
      </c>
      <c r="F2024" s="23" t="n">
        <v>478626</v>
      </c>
      <c r="G2024" s="138" t="n"/>
      <c r="H2024" s="138" t="n">
        <v>449</v>
      </c>
      <c r="I2024" s="138">
        <f>+I2023+(G2024-H2024)</f>
        <v/>
      </c>
      <c r="J2024" s="139" t="n">
        <v>38.94</v>
      </c>
      <c r="K2024" s="140" t="n"/>
      <c r="L2024" s="140">
        <f>+H2024*J2024</f>
        <v/>
      </c>
      <c r="M2024" s="141">
        <f>SUM(M2023+K2024-L2024)</f>
        <v/>
      </c>
    </row>
    <row r="2025">
      <c r="A2025" s="20" t="n">
        <v>45778</v>
      </c>
      <c r="B2025" s="1" t="n">
        <v>15492</v>
      </c>
      <c r="C2025" s="2" t="inlineStr">
        <is>
          <t>HASALTUN</t>
        </is>
      </c>
      <c r="D2025" s="1" t="inlineStr">
        <is>
          <t>RT 650 SARI VİNÇ</t>
        </is>
      </c>
      <c r="E2025" s="1" t="inlineStr">
        <is>
          <t>ALİHAN DUMAN</t>
        </is>
      </c>
      <c r="F2025" s="3" t="n"/>
      <c r="G2025" s="143" t="n"/>
      <c r="H2025" s="143" t="n">
        <v>177</v>
      </c>
      <c r="I2025" s="143">
        <f>+I2024+(G2025-H2025)</f>
        <v/>
      </c>
      <c r="J2025" s="144" t="n">
        <v>38.94</v>
      </c>
      <c r="K2025" s="145" t="n"/>
      <c r="L2025" s="140">
        <f>+H2025*J2025</f>
        <v/>
      </c>
      <c r="M2025" s="141">
        <f>SUM(M2024+K2025-L2025)</f>
        <v/>
      </c>
    </row>
    <row r="2026">
      <c r="A2026" s="20" t="n">
        <v>45778</v>
      </c>
      <c r="B2026" s="21" t="n">
        <v>15906</v>
      </c>
      <c r="C2026" s="22" t="inlineStr">
        <is>
          <t>SELİM İNŞAAT</t>
        </is>
      </c>
      <c r="D2026" s="21" t="inlineStr">
        <is>
          <t>34 DFE 454</t>
        </is>
      </c>
      <c r="E2026" s="21" t="inlineStr">
        <is>
          <t>GÖRKEM KARAYEL</t>
        </is>
      </c>
      <c r="F2026" s="23" t="n">
        <v>157780</v>
      </c>
      <c r="G2026" s="138" t="n"/>
      <c r="H2026" s="138" t="n">
        <v>168</v>
      </c>
      <c r="I2026" s="138">
        <f>+I2025+(G2026-H2026)</f>
        <v/>
      </c>
      <c r="J2026" s="139" t="n">
        <v>38.94</v>
      </c>
      <c r="K2026" s="140" t="n"/>
      <c r="L2026" s="140">
        <f>+H2026*J2026</f>
        <v/>
      </c>
      <c r="M2026" s="141">
        <f>SUM(M2025+K2026-L2026)</f>
        <v/>
      </c>
    </row>
    <row r="2027">
      <c r="A2027" s="20" t="n">
        <v>45778</v>
      </c>
      <c r="B2027" s="21" t="n">
        <v>10879</v>
      </c>
      <c r="C2027" s="22" t="inlineStr">
        <is>
          <t>SELİM İNŞAAT</t>
        </is>
      </c>
      <c r="D2027" s="21" t="inlineStr">
        <is>
          <t>34 AR 7743</t>
        </is>
      </c>
      <c r="E2027" s="21" t="inlineStr">
        <is>
          <t>MEHMET SELİM</t>
        </is>
      </c>
      <c r="F2027" s="23" t="n">
        <v>354444</v>
      </c>
      <c r="G2027" s="138" t="n"/>
      <c r="H2027" s="138" t="n">
        <v>53</v>
      </c>
      <c r="I2027" s="138">
        <f>+I2026+(G2027-H2027)</f>
        <v/>
      </c>
      <c r="J2027" s="139" t="n">
        <v>38.94</v>
      </c>
      <c r="K2027" s="140" t="n"/>
      <c r="L2027" s="140">
        <f>+H2027*J2027</f>
        <v/>
      </c>
      <c r="M2027" s="141">
        <f>SUM(M2026+K2027-L2027)</f>
        <v/>
      </c>
    </row>
    <row r="2028">
      <c r="A2028" s="20" t="n">
        <v>45778</v>
      </c>
      <c r="B2028" s="21" t="n">
        <v>10572</v>
      </c>
      <c r="C2028" s="22" t="inlineStr">
        <is>
          <t>SELİM İNŞAAT</t>
        </is>
      </c>
      <c r="D2028" s="21" t="inlineStr">
        <is>
          <t>34 GU 945</t>
        </is>
      </c>
      <c r="E2028" s="21" t="inlineStr">
        <is>
          <t>TURAN SEVİNDİK</t>
        </is>
      </c>
      <c r="F2028" s="23" t="n">
        <v>443637</v>
      </c>
      <c r="G2028" s="138" t="n"/>
      <c r="H2028" s="138" t="n">
        <v>58</v>
      </c>
      <c r="I2028" s="138">
        <f>+I2027+(G2028-H2028)</f>
        <v/>
      </c>
      <c r="J2028" s="139" t="n">
        <v>38.94</v>
      </c>
      <c r="K2028" s="140" t="n"/>
      <c r="L2028" s="140">
        <f>+H2028*J2028</f>
        <v/>
      </c>
      <c r="M2028" s="141">
        <f>SUM(M2027+K2028-L2028)</f>
        <v/>
      </c>
    </row>
    <row r="2029">
      <c r="A2029" s="20" t="n">
        <v>45778</v>
      </c>
      <c r="B2029" s="21" t="n">
        <v>10786</v>
      </c>
      <c r="C2029" s="22" t="inlineStr">
        <is>
          <t>SELİM İNŞAAT</t>
        </is>
      </c>
      <c r="D2029" s="21" t="inlineStr">
        <is>
          <t>34 FBR 705</t>
        </is>
      </c>
      <c r="E2029" s="21" t="inlineStr">
        <is>
          <t>MESUT GÜRLER</t>
        </is>
      </c>
      <c r="F2029" s="23" t="n">
        <v>304605</v>
      </c>
      <c r="G2029" s="138" t="n"/>
      <c r="H2029" s="138" t="n">
        <v>310</v>
      </c>
      <c r="I2029" s="138">
        <f>+I2028+(G2029-H2029)</f>
        <v/>
      </c>
      <c r="J2029" s="139" t="n">
        <v>38.94</v>
      </c>
      <c r="K2029" s="140" t="n"/>
      <c r="L2029" s="140">
        <f>+H2029*J2029</f>
        <v/>
      </c>
      <c r="M2029" s="141">
        <f>SUM(M2028+K2029-L2029)</f>
        <v/>
      </c>
    </row>
    <row r="2030">
      <c r="A2030" s="20" t="n">
        <v>45778</v>
      </c>
      <c r="B2030" s="21" t="n">
        <v>10379</v>
      </c>
      <c r="C2030" s="22" t="inlineStr">
        <is>
          <t>SELİM İNŞAAT</t>
        </is>
      </c>
      <c r="D2030" s="21" t="inlineStr">
        <is>
          <t>34 DRU 690</t>
        </is>
      </c>
      <c r="E2030" s="21" t="inlineStr">
        <is>
          <t>MURAT DEMİRBAŞ</t>
        </is>
      </c>
      <c r="F2030" s="23" t="n">
        <v>405650</v>
      </c>
      <c r="G2030" s="138" t="n"/>
      <c r="H2030" s="138" t="n">
        <v>423</v>
      </c>
      <c r="I2030" s="138">
        <f>+I2029+(G2030-H2030)</f>
        <v/>
      </c>
      <c r="J2030" s="139" t="n">
        <v>38.94</v>
      </c>
      <c r="K2030" s="140" t="n"/>
      <c r="L2030" s="140">
        <f>+H2030*J2030</f>
        <v/>
      </c>
      <c r="M2030" s="141">
        <f>SUM(M2029+K2030-L2030)</f>
        <v/>
      </c>
    </row>
    <row r="2031">
      <c r="A2031" s="20" t="n">
        <v>45778</v>
      </c>
      <c r="B2031" s="21" t="n">
        <v>10082</v>
      </c>
      <c r="C2031" s="22" t="inlineStr">
        <is>
          <t>SELİM İNŞAAT</t>
        </is>
      </c>
      <c r="D2031" s="21" t="inlineStr">
        <is>
          <t>34 FBR 771</t>
        </is>
      </c>
      <c r="E2031" s="21" t="inlineStr">
        <is>
          <t>HÜSEYİN AKÇİN</t>
        </is>
      </c>
      <c r="F2031" s="23" t="n">
        <v>307536</v>
      </c>
      <c r="G2031" s="138" t="n"/>
      <c r="H2031" s="138" t="n">
        <v>412</v>
      </c>
      <c r="I2031" s="138">
        <f>+I2030+(G2031-H2031)</f>
        <v/>
      </c>
      <c r="J2031" s="139" t="n">
        <v>38.94</v>
      </c>
      <c r="K2031" s="140" t="n"/>
      <c r="L2031" s="140">
        <f>+H2031*J2031</f>
        <v/>
      </c>
      <c r="M2031" s="141">
        <f>SUM(M2030+K2031-L2031)</f>
        <v/>
      </c>
    </row>
    <row r="2032">
      <c r="A2032" s="20" t="n">
        <v>45778</v>
      </c>
      <c r="B2032" s="21" t="n">
        <v>11214</v>
      </c>
      <c r="C2032" s="22" t="inlineStr">
        <is>
          <t>SELİM İNŞAAT</t>
        </is>
      </c>
      <c r="D2032" s="21" t="inlineStr">
        <is>
          <t>34 DSN 636</t>
        </is>
      </c>
      <c r="E2032" s="21" t="inlineStr">
        <is>
          <t>EBUBEKİR KOLDAŞ</t>
        </is>
      </c>
      <c r="F2032" s="23" t="n">
        <v>380750</v>
      </c>
      <c r="G2032" s="138" t="n"/>
      <c r="H2032" s="138" t="n">
        <v>393</v>
      </c>
      <c r="I2032" s="138">
        <f>+I2031+(G2032-H2032)</f>
        <v/>
      </c>
      <c r="J2032" s="139" t="n">
        <v>38.94</v>
      </c>
      <c r="K2032" s="140" t="n"/>
      <c r="L2032" s="140">
        <f>+H2032*J2032</f>
        <v/>
      </c>
      <c r="M2032" s="141">
        <f>SUM(M2031+K2032-L2032)</f>
        <v/>
      </c>
    </row>
    <row r="2033">
      <c r="A2033" s="20" t="n">
        <v>45778</v>
      </c>
      <c r="B2033" s="21" t="n">
        <v>15558</v>
      </c>
      <c r="C2033" s="22" t="inlineStr">
        <is>
          <t>SELİM İNŞAAT</t>
        </is>
      </c>
      <c r="D2033" s="21" t="inlineStr">
        <is>
          <t>34 GVZ 745</t>
        </is>
      </c>
      <c r="E2033" s="21" t="inlineStr">
        <is>
          <t>MUHAMMED YİĞİT</t>
        </is>
      </c>
      <c r="F2033" s="23" t="n">
        <v>178111</v>
      </c>
      <c r="G2033" s="138" t="n"/>
      <c r="H2033" s="138" t="n">
        <v>310</v>
      </c>
      <c r="I2033" s="138">
        <f>+I2032+(G2033-H2033)</f>
        <v/>
      </c>
      <c r="J2033" s="139" t="n">
        <v>38.94</v>
      </c>
      <c r="K2033" s="140" t="n"/>
      <c r="L2033" s="140">
        <f>+H2033*J2033</f>
        <v/>
      </c>
      <c r="M2033" s="141">
        <f>SUM(M2032+K2033-L2033)</f>
        <v/>
      </c>
    </row>
    <row r="2034">
      <c r="A2034" s="20" t="n">
        <v>45778</v>
      </c>
      <c r="B2034" s="21" t="n">
        <v>14221</v>
      </c>
      <c r="C2034" s="22" t="inlineStr">
        <is>
          <t>SELİM İNŞAAT</t>
        </is>
      </c>
      <c r="D2034" s="21" t="inlineStr">
        <is>
          <t xml:space="preserve">34 GUS 938 </t>
        </is>
      </c>
      <c r="E2034" s="21" t="inlineStr">
        <is>
          <t>MEHMET AĞAYAR</t>
        </is>
      </c>
      <c r="F2034" s="23" t="n">
        <v>176040</v>
      </c>
      <c r="G2034" s="138" t="n"/>
      <c r="H2034" s="138" t="n">
        <v>427</v>
      </c>
      <c r="I2034" s="138">
        <f>+I2033+(G2034-H2034)</f>
        <v/>
      </c>
      <c r="J2034" s="139" t="n">
        <v>38.94</v>
      </c>
      <c r="K2034" s="140" t="n"/>
      <c r="L2034" s="140">
        <f>+H2034*J2034</f>
        <v/>
      </c>
      <c r="M2034" s="141">
        <f>SUM(M2033+K2034-L2034)</f>
        <v/>
      </c>
    </row>
    <row r="2035">
      <c r="A2035" s="20" t="n">
        <v>45778</v>
      </c>
      <c r="B2035" s="21" t="n">
        <v>10192</v>
      </c>
      <c r="C2035" s="22" t="inlineStr">
        <is>
          <t>SELİM İNŞAAT</t>
        </is>
      </c>
      <c r="D2035" s="21" t="inlineStr">
        <is>
          <t>34 EGR 736</t>
        </is>
      </c>
      <c r="E2035" s="21" t="inlineStr">
        <is>
          <t>HAKAN ÇAVUŞOĞLU</t>
        </is>
      </c>
      <c r="F2035" s="23" t="n">
        <v>378793</v>
      </c>
      <c r="G2035" s="138" t="n"/>
      <c r="H2035" s="138" t="n">
        <v>365</v>
      </c>
      <c r="I2035" s="138">
        <f>+I2034+(G2035-H2035)</f>
        <v/>
      </c>
      <c r="J2035" s="139" t="n">
        <v>38.94</v>
      </c>
      <c r="K2035" s="140" t="n"/>
      <c r="L2035" s="140">
        <f>+H2035*J2035</f>
        <v/>
      </c>
      <c r="M2035" s="141">
        <f>SUM(M2034+K2035-L2035)</f>
        <v/>
      </c>
    </row>
    <row r="2036">
      <c r="A2036" s="20" t="n">
        <v>45778</v>
      </c>
      <c r="B2036" s="21" t="n">
        <v>14472</v>
      </c>
      <c r="C2036" s="22" t="inlineStr">
        <is>
          <t>SELİM İNŞAAT</t>
        </is>
      </c>
      <c r="D2036" s="21" t="inlineStr">
        <is>
          <t>34 GUS 848</t>
        </is>
      </c>
      <c r="E2036" s="21" t="inlineStr">
        <is>
          <t>SERDAR BOZKURT</t>
        </is>
      </c>
      <c r="F2036" s="23" t="n">
        <v>181388</v>
      </c>
      <c r="G2036" s="138" t="n"/>
      <c r="H2036" s="138" t="n">
        <v>381</v>
      </c>
      <c r="I2036" s="138">
        <f>+I2035+(G2036-H2036)</f>
        <v/>
      </c>
      <c r="J2036" s="139" t="n">
        <v>38.94</v>
      </c>
      <c r="K2036" s="140" t="n"/>
      <c r="L2036" s="140">
        <f>+H2036*J2036</f>
        <v/>
      </c>
      <c r="M2036" s="141">
        <f>SUM(M2035+K2036-L2036)</f>
        <v/>
      </c>
    </row>
    <row r="2037">
      <c r="A2037" s="20" t="n">
        <v>45778</v>
      </c>
      <c r="B2037" s="21" t="n">
        <v>14024</v>
      </c>
      <c r="C2037" s="22" t="inlineStr">
        <is>
          <t>SELİM İNŞAAT</t>
        </is>
      </c>
      <c r="D2037" s="21" t="inlineStr">
        <is>
          <t>34 GVZ 310</t>
        </is>
      </c>
      <c r="E2037" s="21" t="inlineStr">
        <is>
          <t>CELAL YÜZBAŞI</t>
        </is>
      </c>
      <c r="F2037" s="23" t="n">
        <v>187129</v>
      </c>
      <c r="G2037" s="138" t="n"/>
      <c r="H2037" s="138" t="n">
        <v>439</v>
      </c>
      <c r="I2037" s="138">
        <f>+I2036+(G2037-H2037)</f>
        <v/>
      </c>
      <c r="J2037" s="139" t="n">
        <v>38.94</v>
      </c>
      <c r="K2037" s="140" t="n"/>
      <c r="L2037" s="140">
        <f>+H2037*J2037</f>
        <v/>
      </c>
      <c r="M2037" s="141">
        <f>SUM(M2036+K2037-L2037)</f>
        <v/>
      </c>
    </row>
    <row r="2038">
      <c r="A2038" s="20" t="n">
        <v>45778</v>
      </c>
      <c r="B2038" s="21" t="n">
        <v>15501</v>
      </c>
      <c r="C2038" s="22" t="inlineStr">
        <is>
          <t>SELİM İNŞAAT</t>
        </is>
      </c>
      <c r="D2038" s="21" t="inlineStr">
        <is>
          <t>34 EDC 086</t>
        </is>
      </c>
      <c r="E2038" s="21" t="inlineStr">
        <is>
          <t>ÖMER AĞAYAR</t>
        </is>
      </c>
      <c r="F2038" s="23" t="n">
        <v>316198</v>
      </c>
      <c r="G2038" s="138" t="n"/>
      <c r="H2038" s="138" t="n">
        <v>403</v>
      </c>
      <c r="I2038" s="138">
        <f>+I2037+(G2038-H2038)</f>
        <v/>
      </c>
      <c r="J2038" s="139" t="n">
        <v>38.94</v>
      </c>
      <c r="K2038" s="140" t="n"/>
      <c r="L2038" s="140">
        <f>+H2038*J2038</f>
        <v/>
      </c>
      <c r="M2038" s="141">
        <f>SUM(M2037+K2038-L2038)</f>
        <v/>
      </c>
    </row>
    <row r="2039">
      <c r="A2039" s="20" t="n">
        <v>45778</v>
      </c>
      <c r="B2039" s="21" t="n">
        <v>10226</v>
      </c>
      <c r="C2039" s="22" t="inlineStr">
        <is>
          <t>SELİM İNŞAAT</t>
        </is>
      </c>
      <c r="D2039" s="21" t="inlineStr">
        <is>
          <t>34 DSN 621</t>
        </is>
      </c>
      <c r="E2039" s="21" t="inlineStr">
        <is>
          <t>MUSTAFA KAYA</t>
        </is>
      </c>
      <c r="F2039" s="23" t="n">
        <v>402768</v>
      </c>
      <c r="G2039" s="138" t="n"/>
      <c r="H2039" s="138" t="n">
        <v>329</v>
      </c>
      <c r="I2039" s="138">
        <f>+I2038+(G2039-H2039)</f>
        <v/>
      </c>
      <c r="J2039" s="139" t="n">
        <v>38.94</v>
      </c>
      <c r="K2039" s="140" t="n"/>
      <c r="L2039" s="140">
        <f>+H2039*J2039</f>
        <v/>
      </c>
      <c r="M2039" s="141">
        <f>SUM(M2038+K2039-L2039)</f>
        <v/>
      </c>
    </row>
    <row r="2040">
      <c r="A2040" s="20" t="n">
        <v>45778</v>
      </c>
      <c r="B2040" s="21" t="n">
        <v>14119</v>
      </c>
      <c r="C2040" s="22" t="inlineStr">
        <is>
          <t>SELİM İNŞAAT</t>
        </is>
      </c>
      <c r="D2040" s="21" t="inlineStr">
        <is>
          <t>34 DSN 536</t>
        </is>
      </c>
      <c r="E2040" s="21" t="inlineStr">
        <is>
          <t>DURSUN ALİ GÜREK</t>
        </is>
      </c>
      <c r="F2040" s="23" t="n">
        <v>394478</v>
      </c>
      <c r="G2040" s="138" t="n"/>
      <c r="H2040" s="138" t="n">
        <v>329</v>
      </c>
      <c r="I2040" s="138">
        <f>+I2039+(G2040-H2040)</f>
        <v/>
      </c>
      <c r="J2040" s="139" t="n">
        <v>38.94</v>
      </c>
      <c r="K2040" s="140" t="n"/>
      <c r="L2040" s="140">
        <f>+H2040*J2040</f>
        <v/>
      </c>
      <c r="M2040" s="141">
        <f>SUM(M2039+K2040-L2040)</f>
        <v/>
      </c>
    </row>
    <row r="2041">
      <c r="A2041" s="20" t="n">
        <v>45778</v>
      </c>
      <c r="B2041" s="21" t="n">
        <v>14072</v>
      </c>
      <c r="C2041" s="22" t="inlineStr">
        <is>
          <t>SELİM İNŞAAT</t>
        </is>
      </c>
      <c r="D2041" s="21" t="inlineStr">
        <is>
          <t>34 EDB 659</t>
        </is>
      </c>
      <c r="E2041" s="21" t="inlineStr">
        <is>
          <t>MEHMET SAİT ANIK</t>
        </is>
      </c>
      <c r="F2041" s="23" t="n">
        <v>330000</v>
      </c>
      <c r="G2041" s="138" t="n"/>
      <c r="H2041" s="138" t="n">
        <v>160</v>
      </c>
      <c r="I2041" s="138">
        <f>+I2040+(G2041-H2041)</f>
        <v/>
      </c>
      <c r="J2041" s="139" t="n">
        <v>38.94</v>
      </c>
      <c r="K2041" s="140" t="n"/>
      <c r="L2041" s="140">
        <f>+H2041*J2041</f>
        <v/>
      </c>
      <c r="M2041" s="141">
        <f>SUM(M2040+K2041-L2041)</f>
        <v/>
      </c>
    </row>
    <row r="2042">
      <c r="A2042" s="20" t="n">
        <v>45778</v>
      </c>
      <c r="B2042" s="21" t="n">
        <v>21497</v>
      </c>
      <c r="C2042" s="22" t="inlineStr">
        <is>
          <t>SELİM İNŞAAT</t>
        </is>
      </c>
      <c r="D2042" s="21" t="inlineStr">
        <is>
          <t>34 GVZ 635</t>
        </is>
      </c>
      <c r="E2042" s="21" t="inlineStr">
        <is>
          <t>ENGİN DEMİR</t>
        </is>
      </c>
      <c r="F2042" s="23" t="n">
        <v>162286</v>
      </c>
      <c r="G2042" s="138" t="n"/>
      <c r="H2042" s="138" t="n">
        <v>390</v>
      </c>
      <c r="I2042" s="138">
        <f>+I2041+(G2042-H2042)</f>
        <v/>
      </c>
      <c r="J2042" s="139" t="n">
        <v>38.94</v>
      </c>
      <c r="K2042" s="140" t="n"/>
      <c r="L2042" s="140">
        <f>+H2042*J2042</f>
        <v/>
      </c>
      <c r="M2042" s="141">
        <f>SUM(M2041+K2042-L2042)</f>
        <v/>
      </c>
    </row>
    <row r="2043">
      <c r="A2043" s="20" t="n">
        <v>45778</v>
      </c>
      <c r="B2043" s="21" t="n">
        <v>14809</v>
      </c>
      <c r="C2043" s="22" t="inlineStr">
        <is>
          <t>SELİM İNŞAAT</t>
        </is>
      </c>
      <c r="D2043" s="21" t="inlineStr">
        <is>
          <t>34 GVZ 268</t>
        </is>
      </c>
      <c r="E2043" s="21" t="inlineStr">
        <is>
          <t>KERİM KARAMAN</t>
        </is>
      </c>
      <c r="F2043" s="23" t="n">
        <v>181869</v>
      </c>
      <c r="G2043" s="138" t="n"/>
      <c r="H2043" s="138" t="n">
        <v>345</v>
      </c>
      <c r="I2043" s="138">
        <f>+I2042+(G2043-H2043)</f>
        <v/>
      </c>
      <c r="J2043" s="139" t="n">
        <v>38.94</v>
      </c>
      <c r="K2043" s="140" t="n"/>
      <c r="L2043" s="140">
        <f>+H2043*J2043</f>
        <v/>
      </c>
      <c r="M2043" s="141">
        <f>SUM(M2042+K2043-L2043)</f>
        <v/>
      </c>
    </row>
    <row r="2044">
      <c r="A2044" s="20" t="n">
        <v>45778</v>
      </c>
      <c r="B2044" s="21" t="n">
        <v>14418</v>
      </c>
      <c r="C2044" s="22" t="inlineStr">
        <is>
          <t>SELİM İNŞAAT</t>
        </is>
      </c>
      <c r="D2044" s="21" t="inlineStr">
        <is>
          <t>34 EGR 737</t>
        </is>
      </c>
      <c r="E2044" s="21" t="inlineStr">
        <is>
          <t>FERHAT GÜRLER</t>
        </is>
      </c>
      <c r="F2044" s="23" t="n">
        <v>406469</v>
      </c>
      <c r="G2044" s="138" t="n"/>
      <c r="H2044" s="138" t="n">
        <v>502</v>
      </c>
      <c r="I2044" s="138">
        <f>+I2043+(G2044-H2044)</f>
        <v/>
      </c>
      <c r="J2044" s="139" t="n">
        <v>38.94</v>
      </c>
      <c r="K2044" s="140" t="n"/>
      <c r="L2044" s="140">
        <f>+H2044*J2044</f>
        <v/>
      </c>
      <c r="M2044" s="141">
        <f>SUM(M2043+K2044-L2044)</f>
        <v/>
      </c>
    </row>
    <row r="2045">
      <c r="A2045" s="20" t="n">
        <v>45779</v>
      </c>
      <c r="B2045" s="21" t="n">
        <v>11322</v>
      </c>
      <c r="C2045" s="22" t="inlineStr">
        <is>
          <t>AZGÜN YAPI</t>
        </is>
      </c>
      <c r="D2045" s="21" t="inlineStr">
        <is>
          <t>34 MKT 859</t>
        </is>
      </c>
      <c r="E2045" s="21" t="inlineStr">
        <is>
          <t>HASAN ALTUN</t>
        </is>
      </c>
      <c r="F2045" s="23" t="n">
        <v>29938</v>
      </c>
      <c r="G2045" s="138" t="n"/>
      <c r="H2045" s="138" t="n">
        <v>851</v>
      </c>
      <c r="I2045" s="138">
        <f>+I2044+(G2045-H2045)</f>
        <v/>
      </c>
      <c r="J2045" s="139" t="n">
        <v>38.94</v>
      </c>
      <c r="K2045" s="140" t="n"/>
      <c r="L2045" s="140">
        <f>+H2045*J2045</f>
        <v/>
      </c>
      <c r="M2045" s="141">
        <f>SUM(M2044+K2045-L2045)</f>
        <v/>
      </c>
    </row>
    <row r="2046">
      <c r="A2046" s="20" t="n">
        <v>45779</v>
      </c>
      <c r="B2046" s="21" t="n">
        <v>11370</v>
      </c>
      <c r="C2046" s="22" t="inlineStr">
        <is>
          <t>AZGÜN YAPI</t>
        </is>
      </c>
      <c r="D2046" s="21" t="inlineStr">
        <is>
          <t>34 MKT 859</t>
        </is>
      </c>
      <c r="E2046" s="21" t="inlineStr">
        <is>
          <t>İBRAHİM GÜLLÜK</t>
        </is>
      </c>
      <c r="F2046" s="23" t="n">
        <v>24891</v>
      </c>
      <c r="G2046" s="138" t="n"/>
      <c r="H2046" s="138" t="n">
        <v>718</v>
      </c>
      <c r="I2046" s="138">
        <f>+I2045+(G2046-H2046)</f>
        <v/>
      </c>
      <c r="J2046" s="139" t="n">
        <v>38.94</v>
      </c>
      <c r="K2046" s="140" t="n"/>
      <c r="L2046" s="140">
        <f>+H2046*J2046</f>
        <v/>
      </c>
      <c r="M2046" s="141">
        <f>SUM(M2045+K2046-L2046)</f>
        <v/>
      </c>
    </row>
    <row r="2047">
      <c r="A2047" s="20" t="n">
        <v>45779</v>
      </c>
      <c r="B2047" s="21" t="n">
        <v>14172</v>
      </c>
      <c r="C2047" s="22" t="inlineStr">
        <is>
          <t>AZGÜN YAPI</t>
        </is>
      </c>
      <c r="D2047" s="21" t="inlineStr">
        <is>
          <t>34 DTV 263</t>
        </is>
      </c>
      <c r="E2047" s="21" t="inlineStr">
        <is>
          <t>EDİP TORLAK</t>
        </is>
      </c>
      <c r="F2047" s="23" t="n">
        <v>373706</v>
      </c>
      <c r="G2047" s="138" t="n"/>
      <c r="H2047" s="138" t="n">
        <v>355</v>
      </c>
      <c r="I2047" s="138">
        <f>+I2046+(G2047-H2047)</f>
        <v/>
      </c>
      <c r="J2047" s="139" t="n">
        <v>38.94</v>
      </c>
      <c r="K2047" s="140" t="n"/>
      <c r="L2047" s="140">
        <f>+H2047*J2047</f>
        <v/>
      </c>
      <c r="M2047" s="141">
        <f>SUM(M2046+K2047-L2047)</f>
        <v/>
      </c>
    </row>
    <row r="2048">
      <c r="A2048" s="20" t="n">
        <v>45779</v>
      </c>
      <c r="B2048" s="1" t="n">
        <v>15493</v>
      </c>
      <c r="C2048" s="2" t="inlineStr">
        <is>
          <t>VARLIK</t>
        </is>
      </c>
      <c r="D2048" s="1" t="inlineStr">
        <is>
          <t>SM 300</t>
        </is>
      </c>
      <c r="E2048" s="1" t="inlineStr">
        <is>
          <t>TURGUT SANCAK</t>
        </is>
      </c>
      <c r="F2048" s="3" t="n"/>
      <c r="G2048" s="143" t="n"/>
      <c r="H2048" s="143" t="n">
        <v>382</v>
      </c>
      <c r="I2048" s="143">
        <f>+I2047+(G2048-H2048)</f>
        <v/>
      </c>
      <c r="J2048" s="144" t="n">
        <v>38.94</v>
      </c>
      <c r="K2048" s="145" t="n"/>
      <c r="L2048" s="140">
        <f>+H2048*J2048</f>
        <v/>
      </c>
      <c r="M2048" s="141">
        <f>SUM(M2047+K2048-L2048)</f>
        <v/>
      </c>
    </row>
    <row r="2049">
      <c r="A2049" s="20" t="n">
        <v>45779</v>
      </c>
      <c r="B2049" s="1" t="n">
        <v>15494</v>
      </c>
      <c r="C2049" s="2" t="inlineStr">
        <is>
          <t>VARLIK</t>
        </is>
      </c>
      <c r="D2049" s="1" t="inlineStr">
        <is>
          <t>SM 370</t>
        </is>
      </c>
      <c r="E2049" s="1" t="inlineStr">
        <is>
          <t>TEKİN ŞEYLAN</t>
        </is>
      </c>
      <c r="F2049" s="3" t="n"/>
      <c r="G2049" s="143" t="n"/>
      <c r="H2049" s="143" t="n">
        <v>400</v>
      </c>
      <c r="I2049" s="143">
        <f>+I2048+(G2049-H2049)</f>
        <v/>
      </c>
      <c r="J2049" s="144" t="n">
        <v>38.94</v>
      </c>
      <c r="K2049" s="145" t="n"/>
      <c r="L2049" s="140">
        <f>+H2049*J2049</f>
        <v/>
      </c>
      <c r="M2049" s="141">
        <f>SUM(M2048+K2049-L2049)</f>
        <v/>
      </c>
    </row>
    <row r="2050">
      <c r="A2050" s="20" t="n">
        <v>45779</v>
      </c>
      <c r="B2050" s="1" t="n">
        <v>15495</v>
      </c>
      <c r="C2050" s="2" t="inlineStr">
        <is>
          <t>VARLIK</t>
        </is>
      </c>
      <c r="D2050" s="1" t="inlineStr">
        <is>
          <t>SM 350</t>
        </is>
      </c>
      <c r="E2050" s="1" t="inlineStr">
        <is>
          <t>BAYRAM SANCAK</t>
        </is>
      </c>
      <c r="F2050" s="3" t="n"/>
      <c r="G2050" s="143" t="n"/>
      <c r="H2050" s="143" t="n">
        <v>358</v>
      </c>
      <c r="I2050" s="143">
        <f>+I2049+(G2050-H2050)</f>
        <v/>
      </c>
      <c r="J2050" s="144" t="n">
        <v>38.94</v>
      </c>
      <c r="K2050" s="145" t="n"/>
      <c r="L2050" s="140">
        <f>+H2050*J2050</f>
        <v/>
      </c>
      <c r="M2050" s="141">
        <f>SUM(M2049+K2050-L2050)</f>
        <v/>
      </c>
    </row>
    <row r="2051">
      <c r="A2051" s="20" t="n">
        <v>45779</v>
      </c>
      <c r="B2051" s="1" t="n">
        <v>15496</v>
      </c>
      <c r="C2051" s="2" t="inlineStr">
        <is>
          <t>HASALTUN</t>
        </is>
      </c>
      <c r="D2051" s="1" t="inlineStr">
        <is>
          <t>KAVAZAKİ</t>
        </is>
      </c>
      <c r="E2051" s="1" t="inlineStr">
        <is>
          <t>UFUK SEVAL</t>
        </is>
      </c>
      <c r="F2051" s="3" t="n"/>
      <c r="G2051" s="143" t="n"/>
      <c r="H2051" s="143" t="n">
        <v>317</v>
      </c>
      <c r="I2051" s="143">
        <f>+I2050+(G2051-H2051)</f>
        <v/>
      </c>
      <c r="J2051" s="144" t="n">
        <v>38.94</v>
      </c>
      <c r="K2051" s="145" t="n"/>
      <c r="L2051" s="140">
        <f>+H2051*J2051</f>
        <v/>
      </c>
      <c r="M2051" s="141">
        <f>SUM(M2050+K2051-L2051)</f>
        <v/>
      </c>
    </row>
    <row r="2052">
      <c r="A2052" s="20" t="n">
        <v>45779</v>
      </c>
      <c r="B2052" s="1" t="n">
        <v>15497</v>
      </c>
      <c r="C2052" s="2" t="inlineStr">
        <is>
          <t>EVKUR</t>
        </is>
      </c>
      <c r="D2052" s="1" t="inlineStr">
        <is>
          <t>MNT 2260</t>
        </is>
      </c>
      <c r="E2052" s="1" t="inlineStr">
        <is>
          <t>MUHAMMED KANTAR</t>
        </is>
      </c>
      <c r="F2052" s="3" t="n"/>
      <c r="G2052" s="143" t="n"/>
      <c r="H2052" s="143" t="n">
        <v>162</v>
      </c>
      <c r="I2052" s="143">
        <f>+I2051+(G2052-H2052)</f>
        <v/>
      </c>
      <c r="J2052" s="144" t="n">
        <v>38.94</v>
      </c>
      <c r="K2052" s="145" t="n"/>
      <c r="L2052" s="140">
        <f>+H2052*J2052</f>
        <v/>
      </c>
      <c r="M2052" s="141">
        <f>SUM(M2051+K2052-L2052)</f>
        <v/>
      </c>
    </row>
    <row r="2053">
      <c r="A2053" s="20" t="n">
        <v>45779</v>
      </c>
      <c r="B2053" s="1" t="n">
        <v>15498</v>
      </c>
      <c r="C2053" s="2" t="inlineStr">
        <is>
          <t>HASALTUN</t>
        </is>
      </c>
      <c r="D2053" s="1" t="inlineStr">
        <is>
          <t>SM 350</t>
        </is>
      </c>
      <c r="E2053" s="1" t="inlineStr">
        <is>
          <t>TEVFİK ÖZTÜRK</t>
        </is>
      </c>
      <c r="F2053" s="3" t="n"/>
      <c r="G2053" s="143" t="n"/>
      <c r="H2053" s="143" t="n">
        <v>418</v>
      </c>
      <c r="I2053" s="143">
        <f>+I2052+(G2053-H2053)</f>
        <v/>
      </c>
      <c r="J2053" s="144" t="n">
        <v>38.94</v>
      </c>
      <c r="K2053" s="145" t="n"/>
      <c r="L2053" s="140">
        <f>+H2053*J2053</f>
        <v/>
      </c>
      <c r="M2053" s="141">
        <f>SUM(M2052+K2053-L2053)</f>
        <v/>
      </c>
    </row>
    <row r="2054">
      <c r="A2054" s="20" t="n">
        <v>45779</v>
      </c>
      <c r="B2054" s="21" t="n">
        <v>14328</v>
      </c>
      <c r="C2054" s="22" t="inlineStr">
        <is>
          <t>SELİM İNŞAAT</t>
        </is>
      </c>
      <c r="D2054" s="21" t="inlineStr">
        <is>
          <t>34 DKL 866</t>
        </is>
      </c>
      <c r="E2054" s="21" t="inlineStr">
        <is>
          <t>SELİM CAN ÖNVER</t>
        </is>
      </c>
      <c r="F2054" s="23" t="n">
        <v>64358</v>
      </c>
      <c r="G2054" s="138" t="n"/>
      <c r="H2054" s="138" t="n">
        <v>159</v>
      </c>
      <c r="I2054" s="138">
        <f>+I2053+(G2054-H2054)</f>
        <v/>
      </c>
      <c r="J2054" s="139" t="n">
        <v>38.94</v>
      </c>
      <c r="K2054" s="140" t="n"/>
      <c r="L2054" s="140">
        <f>+H2054*J2054</f>
        <v/>
      </c>
      <c r="M2054" s="141">
        <f>SUM(M2053+K2054-L2054)</f>
        <v/>
      </c>
    </row>
    <row r="2055">
      <c r="A2055" s="20" t="n">
        <v>45779</v>
      </c>
      <c r="B2055" s="21" t="n">
        <v>14623</v>
      </c>
      <c r="C2055" s="22" t="inlineStr">
        <is>
          <t>SELİM İNŞAAT</t>
        </is>
      </c>
      <c r="D2055" s="21" t="inlineStr">
        <is>
          <t>34 GER 445</t>
        </is>
      </c>
      <c r="E2055" s="21" t="inlineStr">
        <is>
          <t>HASAN BAYCAN</t>
        </is>
      </c>
      <c r="F2055" s="23" t="n">
        <v>41286</v>
      </c>
      <c r="G2055" s="138" t="n"/>
      <c r="H2055" s="138" t="n">
        <v>187</v>
      </c>
      <c r="I2055" s="138">
        <f>+I2054+(G2055-H2055)</f>
        <v/>
      </c>
      <c r="J2055" s="139" t="n">
        <v>38.94</v>
      </c>
      <c r="K2055" s="140" t="n"/>
      <c r="L2055" s="140">
        <f>+H2055*J2055</f>
        <v/>
      </c>
      <c r="M2055" s="141">
        <f>SUM(M2054+K2055-L2055)</f>
        <v/>
      </c>
    </row>
    <row r="2056">
      <c r="A2056" s="20" t="n">
        <v>45779</v>
      </c>
      <c r="B2056" s="21" t="n">
        <v>14521</v>
      </c>
      <c r="C2056" s="22" t="inlineStr">
        <is>
          <t>SELİM İNŞAAT</t>
        </is>
      </c>
      <c r="D2056" s="21" t="inlineStr">
        <is>
          <t>34 GER 028</t>
        </is>
      </c>
      <c r="E2056" s="21" t="inlineStr">
        <is>
          <t>EMİRCAN ÖZTÜRK</t>
        </is>
      </c>
      <c r="F2056" s="23" t="n">
        <v>42944</v>
      </c>
      <c r="G2056" s="138" t="n"/>
      <c r="H2056" s="138" t="n">
        <v>129</v>
      </c>
      <c r="I2056" s="138">
        <f>+I2055+(G2056-H2056)</f>
        <v/>
      </c>
      <c r="J2056" s="139" t="n">
        <v>38.94</v>
      </c>
      <c r="K2056" s="140" t="n"/>
      <c r="L2056" s="140">
        <f>+H2056*J2056</f>
        <v/>
      </c>
      <c r="M2056" s="141">
        <f>SUM(M2055+K2056-L2056)</f>
        <v/>
      </c>
    </row>
    <row r="2057">
      <c r="A2057" s="20" t="n">
        <v>45779</v>
      </c>
      <c r="B2057" s="21" t="n">
        <v>16736</v>
      </c>
      <c r="C2057" s="22" t="inlineStr">
        <is>
          <t>SELİM İNŞAAT</t>
        </is>
      </c>
      <c r="D2057" s="21" t="inlineStr">
        <is>
          <t>34 JBA 25</t>
        </is>
      </c>
      <c r="E2057" s="21" t="inlineStr">
        <is>
          <t>ABDURRAHMAN SERDAN</t>
        </is>
      </c>
      <c r="F2057" s="23" t="n">
        <v>332602</v>
      </c>
      <c r="G2057" s="138" t="n"/>
      <c r="H2057" s="138" t="n">
        <v>67</v>
      </c>
      <c r="I2057" s="138">
        <f>+I2056+(G2057-H2057)</f>
        <v/>
      </c>
      <c r="J2057" s="139" t="n">
        <v>38.94</v>
      </c>
      <c r="K2057" s="140" t="n"/>
      <c r="L2057" s="140">
        <f>+H2057*J2057</f>
        <v/>
      </c>
      <c r="M2057" s="141">
        <f>SUM(M2056+K2057-L2057)</f>
        <v/>
      </c>
    </row>
    <row r="2058">
      <c r="A2058" s="20" t="n">
        <v>45779</v>
      </c>
      <c r="B2058" s="21" t="n">
        <v>21319</v>
      </c>
      <c r="C2058" s="22" t="inlineStr">
        <is>
          <t>SELİM İNŞAAT</t>
        </is>
      </c>
      <c r="D2058" s="21" t="inlineStr">
        <is>
          <t>34 FEM 934</t>
        </is>
      </c>
      <c r="E2058" s="21" t="inlineStr">
        <is>
          <t>ENGİN DEMİR</t>
        </is>
      </c>
      <c r="F2058" s="23" t="n">
        <v>305625</v>
      </c>
      <c r="G2058" s="138" t="n"/>
      <c r="H2058" s="138" t="n">
        <v>78</v>
      </c>
      <c r="I2058" s="138">
        <f>+I2057+(G2058-H2058)</f>
        <v/>
      </c>
      <c r="J2058" s="139" t="n">
        <v>38.94</v>
      </c>
      <c r="K2058" s="140" t="n"/>
      <c r="L2058" s="140">
        <f>+H2058*J2058</f>
        <v/>
      </c>
      <c r="M2058" s="141">
        <f>SUM(M2057+K2058-L2058)</f>
        <v/>
      </c>
    </row>
    <row r="2059">
      <c r="A2059" s="20" t="n">
        <v>45779</v>
      </c>
      <c r="B2059" s="21" t="n">
        <v>15009</v>
      </c>
      <c r="C2059" s="22" t="inlineStr">
        <is>
          <t>SELİM İNŞAAT</t>
        </is>
      </c>
      <c r="D2059" s="21" t="inlineStr">
        <is>
          <t>34 GVZ 199</t>
        </is>
      </c>
      <c r="E2059" s="21" t="inlineStr">
        <is>
          <t>VAHDET GÜRLER</t>
        </is>
      </c>
      <c r="F2059" s="23" t="n">
        <v>171145</v>
      </c>
      <c r="G2059" s="138" t="n"/>
      <c r="H2059" s="138" t="n">
        <v>243</v>
      </c>
      <c r="I2059" s="138">
        <f>+I2058+(G2059-H2059)</f>
        <v/>
      </c>
      <c r="J2059" s="139" t="n">
        <v>38.94</v>
      </c>
      <c r="K2059" s="140" t="n"/>
      <c r="L2059" s="140">
        <f>+H2059*J2059</f>
        <v/>
      </c>
      <c r="M2059" s="141">
        <f>SUM(M2058+K2059-L2059)</f>
        <v/>
      </c>
    </row>
    <row r="2060">
      <c r="A2060" s="20" t="n">
        <v>45779</v>
      </c>
      <c r="B2060" s="21" t="n">
        <v>10535</v>
      </c>
      <c r="C2060" s="22" t="inlineStr">
        <is>
          <t>SELİM İNŞAAT</t>
        </is>
      </c>
      <c r="D2060" s="21" t="inlineStr">
        <is>
          <t>34 EDB 922</t>
        </is>
      </c>
      <c r="E2060" s="21" t="inlineStr">
        <is>
          <t>AHMET TOPÇU</t>
        </is>
      </c>
      <c r="F2060" s="23" t="n">
        <v>350787</v>
      </c>
      <c r="G2060" s="138" t="n"/>
      <c r="H2060" s="138" t="n">
        <v>407</v>
      </c>
      <c r="I2060" s="138">
        <f>+I2059+(G2060-H2060)</f>
        <v/>
      </c>
      <c r="J2060" s="139" t="n">
        <v>38.94</v>
      </c>
      <c r="K2060" s="140" t="n"/>
      <c r="L2060" s="140">
        <f>+H2060*J2060</f>
        <v/>
      </c>
      <c r="M2060" s="141">
        <f>SUM(M2059+K2060-L2060)</f>
        <v/>
      </c>
    </row>
    <row r="2061">
      <c r="A2061" s="20" t="n">
        <v>45779</v>
      </c>
      <c r="B2061" s="21" t="n">
        <v>10339</v>
      </c>
      <c r="C2061" s="22" t="inlineStr">
        <is>
          <t>SELİM İNŞAAT</t>
        </is>
      </c>
      <c r="D2061" s="21" t="inlineStr">
        <is>
          <t>34 EDB 829</t>
        </is>
      </c>
      <c r="E2061" s="21" t="inlineStr">
        <is>
          <t>İSMET BAYRAM</t>
        </is>
      </c>
      <c r="F2061" s="23" t="n">
        <v>309349</v>
      </c>
      <c r="G2061" s="138" t="n"/>
      <c r="H2061" s="138" t="n">
        <v>316</v>
      </c>
      <c r="I2061" s="138">
        <f>+I2060+(G2061-H2061)</f>
        <v/>
      </c>
      <c r="J2061" s="139" t="n">
        <v>38.94</v>
      </c>
      <c r="K2061" s="140" t="n"/>
      <c r="L2061" s="140">
        <f>+H2061*J2061</f>
        <v/>
      </c>
      <c r="M2061" s="141">
        <f>SUM(M2060+K2061-L2061)</f>
        <v/>
      </c>
    </row>
    <row r="2062">
      <c r="A2062" s="20" t="n">
        <v>45779</v>
      </c>
      <c r="B2062" s="21" t="n">
        <v>21200</v>
      </c>
      <c r="C2062" s="22" t="inlineStr">
        <is>
          <t>SELİM İNŞAAT</t>
        </is>
      </c>
      <c r="D2062" s="21" t="inlineStr">
        <is>
          <t>34 DSN 565</t>
        </is>
      </c>
      <c r="E2062" s="21" t="inlineStr">
        <is>
          <t>ERSEL DERVİŞ</t>
        </is>
      </c>
      <c r="F2062" s="23" t="n">
        <v>394237</v>
      </c>
      <c r="G2062" s="138" t="n"/>
      <c r="H2062" s="138" t="n">
        <v>368</v>
      </c>
      <c r="I2062" s="138">
        <f>+I2061+(G2062-H2062)</f>
        <v/>
      </c>
      <c r="J2062" s="139" t="n">
        <v>38.94</v>
      </c>
      <c r="K2062" s="140" t="n"/>
      <c r="L2062" s="140">
        <f>+H2062*J2062</f>
        <v/>
      </c>
      <c r="M2062" s="141">
        <f>SUM(M2061+K2062-L2062)</f>
        <v/>
      </c>
    </row>
    <row r="2063">
      <c r="A2063" s="20" t="n">
        <v>45779</v>
      </c>
      <c r="B2063" s="21" t="n">
        <v>10443</v>
      </c>
      <c r="C2063" s="22" t="inlineStr">
        <is>
          <t>SELİM İNŞAAT</t>
        </is>
      </c>
      <c r="D2063" s="21" t="inlineStr">
        <is>
          <t>34 FBR 781</t>
        </is>
      </c>
      <c r="E2063" s="21" t="inlineStr">
        <is>
          <t>MEVLÜT POLAT</t>
        </is>
      </c>
      <c r="F2063" s="23" t="n">
        <v>292135</v>
      </c>
      <c r="G2063" s="138" t="n"/>
      <c r="H2063" s="138" t="n">
        <v>393</v>
      </c>
      <c r="I2063" s="138">
        <f>+I2062+(G2063-H2063)</f>
        <v/>
      </c>
      <c r="J2063" s="139" t="n">
        <v>38.94</v>
      </c>
      <c r="K2063" s="140" t="n"/>
      <c r="L2063" s="140">
        <f>+H2063*J2063</f>
        <v/>
      </c>
      <c r="M2063" s="141">
        <f>SUM(M2062+K2063-L2063)</f>
        <v/>
      </c>
    </row>
    <row r="2064">
      <c r="A2064" s="20" t="n">
        <v>45779</v>
      </c>
      <c r="B2064" s="21" t="n">
        <v>11297</v>
      </c>
      <c r="C2064" s="22" t="inlineStr">
        <is>
          <t>SELİM İNŞAAT</t>
        </is>
      </c>
      <c r="D2064" s="21" t="inlineStr">
        <is>
          <t>34 EDC 162</t>
        </is>
      </c>
      <c r="E2064" s="21" t="inlineStr">
        <is>
          <t xml:space="preserve">YAKUP GÜNER </t>
        </is>
      </c>
      <c r="F2064" s="23" t="n">
        <v>359148</v>
      </c>
      <c r="G2064" s="138" t="n"/>
      <c r="H2064" s="138" t="n">
        <v>344</v>
      </c>
      <c r="I2064" s="138">
        <f>+I2063+(G2064-H2064)</f>
        <v/>
      </c>
      <c r="J2064" s="139" t="n">
        <v>38.94</v>
      </c>
      <c r="K2064" s="140" t="n"/>
      <c r="L2064" s="140">
        <f>+H2064*J2064</f>
        <v/>
      </c>
      <c r="M2064" s="141">
        <f>SUM(M2063+K2064-L2064)</f>
        <v/>
      </c>
    </row>
    <row r="2065">
      <c r="A2065" s="20" t="n">
        <v>45779</v>
      </c>
      <c r="B2065" s="21" t="n">
        <v>14073</v>
      </c>
      <c r="C2065" s="22" t="inlineStr">
        <is>
          <t>SELİM İNŞAAT</t>
        </is>
      </c>
      <c r="D2065" s="21" t="inlineStr">
        <is>
          <t>34 EDB 659</t>
        </is>
      </c>
      <c r="E2065" s="21" t="inlineStr">
        <is>
          <t>MEHMET SAİT ANIK</t>
        </is>
      </c>
      <c r="F2065" s="23" t="n">
        <v>330088</v>
      </c>
      <c r="G2065" s="138" t="n"/>
      <c r="H2065" s="138" t="n">
        <v>374</v>
      </c>
      <c r="I2065" s="138">
        <f>+I2064+(G2065-H2065)</f>
        <v/>
      </c>
      <c r="J2065" s="139" t="n">
        <v>38.94</v>
      </c>
      <c r="K2065" s="140" t="n"/>
      <c r="L2065" s="140">
        <f>+H2065*J2065</f>
        <v/>
      </c>
      <c r="M2065" s="141">
        <f>SUM(M2064+K2065-L2065)</f>
        <v/>
      </c>
    </row>
    <row r="2066">
      <c r="A2066" s="20" t="n">
        <v>45779</v>
      </c>
      <c r="B2066" s="21" t="n">
        <v>21614</v>
      </c>
      <c r="C2066" s="22" t="inlineStr">
        <is>
          <t>SELİM İNŞAAT</t>
        </is>
      </c>
      <c r="D2066" s="21" t="inlineStr">
        <is>
          <t>34 DHC 467</t>
        </is>
      </c>
      <c r="E2066" s="21" t="inlineStr">
        <is>
          <t>YAŞAR ÖZKAYA</t>
        </is>
      </c>
      <c r="F2066" s="23" t="n">
        <v>395110</v>
      </c>
      <c r="G2066" s="138" t="n"/>
      <c r="H2066" s="138" t="n">
        <v>365</v>
      </c>
      <c r="I2066" s="138">
        <f>+I2065+(G2066-H2066)</f>
        <v/>
      </c>
      <c r="J2066" s="139" t="n">
        <v>38.94</v>
      </c>
      <c r="K2066" s="140" t="n"/>
      <c r="L2066" s="140">
        <f>+H2066*J2066</f>
        <v/>
      </c>
      <c r="M2066" s="141">
        <f>SUM(M2065+K2066-L2066)</f>
        <v/>
      </c>
    </row>
    <row r="2067">
      <c r="A2067" s="20" t="n">
        <v>45779</v>
      </c>
      <c r="B2067" s="21" t="n">
        <v>11143</v>
      </c>
      <c r="C2067" s="22" t="inlineStr">
        <is>
          <t>SELİM İNŞAAT</t>
        </is>
      </c>
      <c r="D2067" s="21" t="inlineStr">
        <is>
          <t>34 DTV 409</t>
        </is>
      </c>
      <c r="E2067" s="21" t="inlineStr">
        <is>
          <t>FARUK ÖZEN</t>
        </is>
      </c>
      <c r="F2067" s="23" t="n">
        <v>408527</v>
      </c>
      <c r="G2067" s="138" t="n"/>
      <c r="H2067" s="138" t="n">
        <v>316</v>
      </c>
      <c r="I2067" s="138">
        <f>+I2066+(G2067-H2067)</f>
        <v/>
      </c>
      <c r="J2067" s="139" t="n">
        <v>38.94</v>
      </c>
      <c r="K2067" s="140" t="n"/>
      <c r="L2067" s="140">
        <f>+H2067*J2067</f>
        <v/>
      </c>
      <c r="M2067" s="141">
        <f>SUM(M2066+K2067-L2067)</f>
        <v/>
      </c>
    </row>
    <row r="2068">
      <c r="A2068" s="20" t="n">
        <v>45780</v>
      </c>
      <c r="B2068" s="21" t="n">
        <v>14721</v>
      </c>
      <c r="C2068" s="22" t="inlineStr">
        <is>
          <t>METİN ERYİĞİT</t>
        </is>
      </c>
      <c r="D2068" s="21" t="inlineStr">
        <is>
          <t>34 GBL 998</t>
        </is>
      </c>
      <c r="E2068" s="21" t="inlineStr">
        <is>
          <t>ALİ KESKİN</t>
        </is>
      </c>
      <c r="F2068" s="23" t="n">
        <v>256595</v>
      </c>
      <c r="G2068" s="138" t="n"/>
      <c r="H2068" s="138" t="n">
        <v>394</v>
      </c>
      <c r="I2068" s="138">
        <f>+I2067+(G2068-H2068)</f>
        <v/>
      </c>
      <c r="J2068" s="139" t="n">
        <v>38.94</v>
      </c>
      <c r="K2068" s="140" t="n"/>
      <c r="L2068" s="140">
        <f>+H2068*J2068</f>
        <v/>
      </c>
      <c r="M2068" s="141">
        <f>SUM(M2067+K2068-L2068)</f>
        <v/>
      </c>
    </row>
    <row r="2069">
      <c r="A2069" s="20" t="n">
        <v>45780</v>
      </c>
      <c r="B2069" s="21" t="n">
        <v>14676</v>
      </c>
      <c r="C2069" s="22" t="inlineStr">
        <is>
          <t>AHMET SELİM TEMHA</t>
        </is>
      </c>
      <c r="D2069" s="21" t="n"/>
      <c r="E2069" s="21" t="inlineStr">
        <is>
          <t>OĞUZHAN AYDINLI</t>
        </is>
      </c>
      <c r="F2069" s="23" t="inlineStr">
        <is>
          <t>1 BİDON</t>
        </is>
      </c>
      <c r="G2069" s="138" t="n"/>
      <c r="H2069" s="138" t="n">
        <v>17</v>
      </c>
      <c r="I2069" s="138">
        <f>+I2068+(G2069-H2069)</f>
        <v/>
      </c>
      <c r="J2069" s="139" t="n">
        <v>38.94</v>
      </c>
      <c r="K2069" s="140" t="n"/>
      <c r="L2069" s="140">
        <f>+H2069*J2069</f>
        <v/>
      </c>
      <c r="M2069" s="141">
        <f>SUM(M2068+K2069-L2069)</f>
        <v/>
      </c>
    </row>
    <row r="2070">
      <c r="A2070" s="20" t="n">
        <v>45780</v>
      </c>
      <c r="B2070" s="21" t="n">
        <v>15499</v>
      </c>
      <c r="C2070" s="22" t="inlineStr">
        <is>
          <t>SELİM İNŞAAT</t>
        </is>
      </c>
      <c r="D2070" s="1" t="inlineStr">
        <is>
          <t>34 AZ 2191 VİNÇ</t>
        </is>
      </c>
      <c r="E2070" s="21" t="inlineStr">
        <is>
          <t>NUMAN KABİL</t>
        </is>
      </c>
      <c r="F2070" s="23" t="n"/>
      <c r="G2070" s="138" t="n"/>
      <c r="H2070" s="138" t="n">
        <v>231</v>
      </c>
      <c r="I2070" s="138">
        <f>+I2069+(G2070-H2070)</f>
        <v/>
      </c>
      <c r="J2070" s="139" t="n">
        <v>38.94</v>
      </c>
      <c r="K2070" s="140" t="n"/>
      <c r="L2070" s="140">
        <f>+H2070*J2070</f>
        <v/>
      </c>
      <c r="M2070" s="141">
        <f>SUM(M2069+K2070-L2070)</f>
        <v/>
      </c>
    </row>
    <row r="2071">
      <c r="A2071" s="20" t="n">
        <v>45780</v>
      </c>
      <c r="B2071" s="21" t="n">
        <v>15500</v>
      </c>
      <c r="C2071" s="22" t="inlineStr">
        <is>
          <t>EVKUR</t>
        </is>
      </c>
      <c r="D2071" s="21" t="inlineStr">
        <is>
          <t>FOKLİFT</t>
        </is>
      </c>
      <c r="E2071" s="21" t="inlineStr">
        <is>
          <t>FAHRİ KALFA</t>
        </is>
      </c>
      <c r="F2071" s="23" t="n"/>
      <c r="G2071" s="138" t="n"/>
      <c r="H2071" s="138" t="n">
        <v>74</v>
      </c>
      <c r="I2071" s="138">
        <f>+I2070+(G2071-H2071)</f>
        <v/>
      </c>
      <c r="J2071" s="139" t="n">
        <v>38.94</v>
      </c>
      <c r="K2071" s="140" t="n"/>
      <c r="L2071" s="140">
        <f>+H2071*J2071</f>
        <v/>
      </c>
      <c r="M2071" s="141">
        <f>SUM(M2070+K2071-L2071)</f>
        <v/>
      </c>
    </row>
    <row r="2072">
      <c r="A2072" s="20" t="n">
        <v>45780</v>
      </c>
      <c r="B2072" s="1" t="n">
        <v>15701</v>
      </c>
      <c r="C2072" s="2" t="inlineStr">
        <is>
          <t>HASALTUN</t>
        </is>
      </c>
      <c r="D2072" s="1" t="inlineStr">
        <is>
          <t>SM 350</t>
        </is>
      </c>
      <c r="E2072" s="1" t="inlineStr">
        <is>
          <t>TEVFİK ÖZTÜRK</t>
        </is>
      </c>
      <c r="F2072" s="3" t="n"/>
      <c r="G2072" s="143" t="n"/>
      <c r="H2072" s="143" t="n">
        <v>437</v>
      </c>
      <c r="I2072" s="143">
        <f>+I2071+(G2072-H2072)</f>
        <v/>
      </c>
      <c r="J2072" s="144" t="n">
        <v>38.94</v>
      </c>
      <c r="K2072" s="145" t="n"/>
      <c r="L2072" s="140">
        <f>+H2072*J2072</f>
        <v/>
      </c>
      <c r="M2072" s="141">
        <f>SUM(M2071+K2072-L2072)</f>
        <v/>
      </c>
    </row>
    <row r="2073">
      <c r="A2073" s="20" t="n">
        <v>45780</v>
      </c>
      <c r="B2073" s="1" t="n">
        <v>15702</v>
      </c>
      <c r="C2073" s="2" t="inlineStr">
        <is>
          <t>VARLIK</t>
        </is>
      </c>
      <c r="D2073" s="1" t="inlineStr">
        <is>
          <t>KAVAZAKİ</t>
        </is>
      </c>
      <c r="E2073" s="1" t="inlineStr">
        <is>
          <t>UFUK SEVAL</t>
        </is>
      </c>
      <c r="F2073" s="3" t="n"/>
      <c r="G2073" s="143" t="n"/>
      <c r="H2073" s="143" t="n">
        <v>153</v>
      </c>
      <c r="I2073" s="143">
        <f>+I2072+(G2073-H2073)</f>
        <v/>
      </c>
      <c r="J2073" s="144" t="n">
        <v>38.94</v>
      </c>
      <c r="K2073" s="145" t="n"/>
      <c r="L2073" s="140">
        <f>+H2073*J2073</f>
        <v/>
      </c>
      <c r="M2073" s="141">
        <f>SUM(M2072+K2073-L2073)</f>
        <v/>
      </c>
    </row>
    <row r="2074">
      <c r="A2074" s="20" t="n">
        <v>45780</v>
      </c>
      <c r="B2074" s="1" t="n">
        <v>15703</v>
      </c>
      <c r="C2074" s="2" t="inlineStr">
        <is>
          <t>VARLIK</t>
        </is>
      </c>
      <c r="D2074" s="1" t="inlineStr">
        <is>
          <t>SM 370</t>
        </is>
      </c>
      <c r="E2074" s="1" t="inlineStr">
        <is>
          <t>TEKİN ŞEYLAN</t>
        </is>
      </c>
      <c r="F2074" s="3" t="n"/>
      <c r="G2074" s="143" t="n"/>
      <c r="H2074" s="143" t="n">
        <v>533</v>
      </c>
      <c r="I2074" s="143">
        <f>+I2073+(G2074-H2074)</f>
        <v/>
      </c>
      <c r="J2074" s="144" t="n">
        <v>38.94</v>
      </c>
      <c r="K2074" s="145" t="n"/>
      <c r="L2074" s="140">
        <f>+H2074*J2074</f>
        <v/>
      </c>
      <c r="M2074" s="141">
        <f>SUM(M2073+K2074-L2074)</f>
        <v/>
      </c>
    </row>
    <row r="2075">
      <c r="A2075" s="20" t="n">
        <v>45780</v>
      </c>
      <c r="B2075" s="1" t="n">
        <v>15704</v>
      </c>
      <c r="C2075" s="2" t="inlineStr">
        <is>
          <t>VARLIK</t>
        </is>
      </c>
      <c r="D2075" s="1" t="inlineStr">
        <is>
          <t>SM 300</t>
        </is>
      </c>
      <c r="E2075" s="1" t="inlineStr">
        <is>
          <t>TURGUT SANCAK</t>
        </is>
      </c>
      <c r="F2075" s="3" t="n"/>
      <c r="G2075" s="143" t="n"/>
      <c r="H2075" s="143" t="n">
        <v>297</v>
      </c>
      <c r="I2075" s="143">
        <f>+I2074+(G2075-H2075)</f>
        <v/>
      </c>
      <c r="J2075" s="144" t="n">
        <v>38.94</v>
      </c>
      <c r="K2075" s="145" t="n"/>
      <c r="L2075" s="140">
        <f>+H2075*J2075</f>
        <v/>
      </c>
      <c r="M2075" s="141">
        <f>SUM(M2074+K2075-L2075)</f>
        <v/>
      </c>
    </row>
    <row r="2076">
      <c r="A2076" s="20" t="n">
        <v>45780</v>
      </c>
      <c r="B2076" s="1" t="n">
        <v>15705</v>
      </c>
      <c r="C2076" s="2" t="inlineStr">
        <is>
          <t>VARLIK</t>
        </is>
      </c>
      <c r="D2076" s="1" t="inlineStr">
        <is>
          <t>SM 350</t>
        </is>
      </c>
      <c r="E2076" s="1" t="inlineStr">
        <is>
          <t>BAYRAM SANCAK</t>
        </is>
      </c>
      <c r="F2076" s="3" t="n"/>
      <c r="G2076" s="143" t="n"/>
      <c r="H2076" s="143" t="n">
        <v>333</v>
      </c>
      <c r="I2076" s="143">
        <f>+I2075+(G2076-H2076)</f>
        <v/>
      </c>
      <c r="J2076" s="144" t="n">
        <v>38.94</v>
      </c>
      <c r="K2076" s="145" t="n"/>
      <c r="L2076" s="140">
        <f>+H2076*J2076</f>
        <v/>
      </c>
      <c r="M2076" s="141">
        <f>SUM(M2075+K2076-L2076)</f>
        <v/>
      </c>
    </row>
    <row r="2077">
      <c r="A2077" s="20" t="n">
        <v>45780</v>
      </c>
      <c r="B2077" s="21" t="n">
        <v>21144</v>
      </c>
      <c r="C2077" s="22" t="inlineStr">
        <is>
          <t>SELİM İNŞAAT</t>
        </is>
      </c>
      <c r="D2077" s="21" t="inlineStr">
        <is>
          <t>34 TG 7869</t>
        </is>
      </c>
      <c r="E2077" s="21" t="inlineStr">
        <is>
          <t>GÖRKEM KARAYEL</t>
        </is>
      </c>
      <c r="F2077" s="23" t="n">
        <v>181586</v>
      </c>
      <c r="G2077" s="138" t="n"/>
      <c r="H2077" s="138" t="n">
        <v>302</v>
      </c>
      <c r="I2077" s="138">
        <f>+I2076+(G2077-H2077)</f>
        <v/>
      </c>
      <c r="J2077" s="139" t="n">
        <v>38.94</v>
      </c>
      <c r="K2077" s="140" t="n"/>
      <c r="L2077" s="140">
        <f>+H2077*J2077</f>
        <v/>
      </c>
      <c r="M2077" s="141">
        <f>SUM(M2076+K2077-L2077)</f>
        <v/>
      </c>
    </row>
    <row r="2078">
      <c r="A2078" s="20" t="n">
        <v>45780</v>
      </c>
      <c r="B2078" s="21" t="n">
        <v>14368</v>
      </c>
      <c r="C2078" s="22" t="inlineStr">
        <is>
          <t>SELİM İNŞAAT</t>
        </is>
      </c>
      <c r="D2078" s="21" t="inlineStr">
        <is>
          <t>34 DKL 798</t>
        </is>
      </c>
      <c r="E2078" s="21" t="inlineStr">
        <is>
          <t>VOLKAN YANAR</t>
        </is>
      </c>
      <c r="F2078" s="23" t="n">
        <v>64479</v>
      </c>
      <c r="G2078" s="138" t="n"/>
      <c r="H2078" s="138" t="n">
        <v>157</v>
      </c>
      <c r="I2078" s="138">
        <f>+I2077+(G2078-H2078)</f>
        <v/>
      </c>
      <c r="J2078" s="139" t="n">
        <v>38.94</v>
      </c>
      <c r="K2078" s="140" t="n"/>
      <c r="L2078" s="140">
        <f>+H2078*J2078</f>
        <v/>
      </c>
      <c r="M2078" s="141">
        <f>SUM(M2077+K2078-L2078)</f>
        <v/>
      </c>
    </row>
    <row r="2079">
      <c r="A2079" s="20" t="n">
        <v>45780</v>
      </c>
      <c r="B2079" s="21" t="n">
        <v>15907</v>
      </c>
      <c r="C2079" s="22" t="inlineStr">
        <is>
          <t>SELİM İNŞAAT</t>
        </is>
      </c>
      <c r="D2079" s="21" t="inlineStr">
        <is>
          <t>34 DFE 454</t>
        </is>
      </c>
      <c r="E2079" s="21" t="inlineStr">
        <is>
          <t>GÖRKEM KARAYEL</t>
        </is>
      </c>
      <c r="F2079" s="23" t="n">
        <v>158012</v>
      </c>
      <c r="G2079" s="138" t="n"/>
      <c r="H2079" s="138" t="n">
        <v>135</v>
      </c>
      <c r="I2079" s="138">
        <f>+I2078+(G2079-H2079)</f>
        <v/>
      </c>
      <c r="J2079" s="139" t="n">
        <v>38.94</v>
      </c>
      <c r="K2079" s="140" t="n"/>
      <c r="L2079" s="140">
        <f>+H2079*J2079</f>
        <v/>
      </c>
      <c r="M2079" s="141">
        <f>SUM(M2078+K2079-L2079)</f>
        <v/>
      </c>
    </row>
    <row r="2080">
      <c r="A2080" s="20" t="n">
        <v>45780</v>
      </c>
      <c r="B2080" s="21" t="n">
        <v>10145</v>
      </c>
      <c r="C2080" s="22" t="inlineStr">
        <is>
          <t>SELİM İNŞAAT</t>
        </is>
      </c>
      <c r="D2080" s="21" t="inlineStr">
        <is>
          <t>34 DP 4161</t>
        </is>
      </c>
      <c r="E2080" s="21" t="inlineStr">
        <is>
          <t>RIFAT KARATAY</t>
        </is>
      </c>
      <c r="F2080" s="23" t="n">
        <v>283608</v>
      </c>
      <c r="G2080" s="138" t="n"/>
      <c r="H2080" s="138" t="n">
        <v>230</v>
      </c>
      <c r="I2080" s="138">
        <f>+I2079+(G2080-H2080)</f>
        <v/>
      </c>
      <c r="J2080" s="139" t="n">
        <v>38.94</v>
      </c>
      <c r="K2080" s="140" t="n"/>
      <c r="L2080" s="140">
        <f>+H2080*J2080</f>
        <v/>
      </c>
      <c r="M2080" s="141">
        <f>SUM(M2079+K2080-L2080)</f>
        <v/>
      </c>
    </row>
    <row r="2081">
      <c r="A2081" s="20" t="n">
        <v>45780</v>
      </c>
      <c r="B2081" s="21" t="n">
        <v>20195</v>
      </c>
      <c r="C2081" s="22" t="inlineStr">
        <is>
          <t>SELİM İNŞAAT</t>
        </is>
      </c>
      <c r="D2081" s="21" t="inlineStr">
        <is>
          <t>34 JGR 15</t>
        </is>
      </c>
      <c r="E2081" s="21" t="inlineStr">
        <is>
          <t>ŞERİF KARTAL</t>
        </is>
      </c>
      <c r="F2081" s="23" t="n">
        <v>308221</v>
      </c>
      <c r="G2081" s="138" t="n"/>
      <c r="H2081" s="138" t="n">
        <v>78</v>
      </c>
      <c r="I2081" s="138">
        <f>+I2080+(G2081-H2081)</f>
        <v/>
      </c>
      <c r="J2081" s="139" t="n">
        <v>38.94</v>
      </c>
      <c r="K2081" s="140" t="n"/>
      <c r="L2081" s="140">
        <f>+H2081*J2081</f>
        <v/>
      </c>
      <c r="M2081" s="141">
        <f>SUM(M2080+K2081-L2081)</f>
        <v/>
      </c>
    </row>
    <row r="2082">
      <c r="A2082" s="20" t="n">
        <v>45780</v>
      </c>
      <c r="B2082" s="21" t="n">
        <v>10787</v>
      </c>
      <c r="C2082" s="22" t="inlineStr">
        <is>
          <t>SELİM İNŞAAT</t>
        </is>
      </c>
      <c r="D2082" s="21" t="inlineStr">
        <is>
          <t>34 FBR 705</t>
        </is>
      </c>
      <c r="E2082" s="21" t="inlineStr">
        <is>
          <t>MESUT GÜRLER</t>
        </is>
      </c>
      <c r="F2082" s="23" t="n">
        <v>305623</v>
      </c>
      <c r="G2082" s="138" t="n"/>
      <c r="H2082" s="138" t="n">
        <v>322</v>
      </c>
      <c r="I2082" s="138">
        <f>+I2081+(G2082-H2082)</f>
        <v/>
      </c>
      <c r="J2082" s="139" t="n">
        <v>38.94</v>
      </c>
      <c r="K2082" s="140" t="n"/>
      <c r="L2082" s="140">
        <f>+H2082*J2082</f>
        <v/>
      </c>
      <c r="M2082" s="141">
        <f>SUM(M2081+K2082-L2082)</f>
        <v/>
      </c>
    </row>
    <row r="2083">
      <c r="A2083" s="20" t="n">
        <v>45780</v>
      </c>
      <c r="B2083" s="21" t="n">
        <v>10380</v>
      </c>
      <c r="C2083" s="22" t="inlineStr">
        <is>
          <t>SELİM İNŞAAT</t>
        </is>
      </c>
      <c r="D2083" s="21" t="inlineStr">
        <is>
          <t>34 DRU 690</t>
        </is>
      </c>
      <c r="E2083" s="21" t="inlineStr">
        <is>
          <t>MURAT DEMİRBAŞ</t>
        </is>
      </c>
      <c r="F2083" s="23" t="n">
        <v>406591</v>
      </c>
      <c r="G2083" s="138" t="n"/>
      <c r="H2083" s="138" t="n">
        <v>381</v>
      </c>
      <c r="I2083" s="138">
        <f>+I2082+(G2083-H2083)</f>
        <v/>
      </c>
      <c r="J2083" s="139" t="n">
        <v>38.94</v>
      </c>
      <c r="K2083" s="140" t="n"/>
      <c r="L2083" s="140">
        <f>+H2083*J2083</f>
        <v/>
      </c>
      <c r="M2083" s="141">
        <f>SUM(M2082+K2083-L2083)</f>
        <v/>
      </c>
    </row>
    <row r="2084">
      <c r="A2084" s="20" t="n">
        <v>45780</v>
      </c>
      <c r="B2084" s="21" t="n">
        <v>10083</v>
      </c>
      <c r="C2084" s="22" t="inlineStr">
        <is>
          <t>SELİM İNŞAAT</t>
        </is>
      </c>
      <c r="D2084" s="21" t="inlineStr">
        <is>
          <t>34 FBR 771</t>
        </is>
      </c>
      <c r="E2084" s="21" t="inlineStr">
        <is>
          <t>HÜSEYİN AKÇİN</t>
        </is>
      </c>
      <c r="F2084" s="23" t="n">
        <v>308451</v>
      </c>
      <c r="G2084" s="138" t="n"/>
      <c r="H2084" s="138" t="n">
        <v>371</v>
      </c>
      <c r="I2084" s="138">
        <f>+I2083+(G2084-H2084)</f>
        <v/>
      </c>
      <c r="J2084" s="139" t="n">
        <v>38.94</v>
      </c>
      <c r="K2084" s="140" t="n"/>
      <c r="L2084" s="140">
        <f>+H2084*J2084</f>
        <v/>
      </c>
      <c r="M2084" s="141">
        <f>SUM(M2083+K2084-L2084)</f>
        <v/>
      </c>
    </row>
    <row r="2085">
      <c r="A2085" s="20" t="n">
        <v>45780</v>
      </c>
      <c r="B2085" s="21" t="n">
        <v>11215</v>
      </c>
      <c r="C2085" s="22" t="inlineStr">
        <is>
          <t>SELİM İNŞAAT</t>
        </is>
      </c>
      <c r="D2085" s="21" t="inlineStr">
        <is>
          <t>34 DSN 636</t>
        </is>
      </c>
      <c r="E2085" s="21" t="inlineStr">
        <is>
          <t>EBUBEKİR KOLDAŞ</t>
        </is>
      </c>
      <c r="F2085" s="23" t="n">
        <v>381703</v>
      </c>
      <c r="G2085" s="138" t="n"/>
      <c r="H2085" s="138" t="n">
        <v>380</v>
      </c>
      <c r="I2085" s="138">
        <f>+I2084+(G2085-H2085)</f>
        <v/>
      </c>
      <c r="J2085" s="139" t="n">
        <v>38.94</v>
      </c>
      <c r="K2085" s="140" t="n"/>
      <c r="L2085" s="140">
        <f>+H2085*J2085</f>
        <v/>
      </c>
      <c r="M2085" s="141">
        <f>SUM(M2084+K2085-L2085)</f>
        <v/>
      </c>
    </row>
    <row r="2086">
      <c r="A2086" s="20" t="n">
        <v>45780</v>
      </c>
      <c r="B2086" s="21" t="n">
        <v>15559</v>
      </c>
      <c r="C2086" s="22" t="inlineStr">
        <is>
          <t>SELİM İNŞAAT</t>
        </is>
      </c>
      <c r="D2086" s="21" t="inlineStr">
        <is>
          <t>34 GVZ 745</t>
        </is>
      </c>
      <c r="E2086" s="21" t="inlineStr">
        <is>
          <t>MUHAMMED YİĞİT</t>
        </is>
      </c>
      <c r="F2086" s="23" t="n">
        <v>178779</v>
      </c>
      <c r="G2086" s="138" t="n"/>
      <c r="H2086" s="138" t="n">
        <v>267</v>
      </c>
      <c r="I2086" s="138">
        <f>+I2085+(G2086-H2086)</f>
        <v/>
      </c>
      <c r="J2086" s="139" t="n">
        <v>38.94</v>
      </c>
      <c r="K2086" s="140" t="n"/>
      <c r="L2086" s="140">
        <f>+H2086*J2086</f>
        <v/>
      </c>
      <c r="M2086" s="141">
        <f>SUM(M2085+K2086-L2086)</f>
        <v/>
      </c>
    </row>
    <row r="2087">
      <c r="A2087" s="20" t="n">
        <v>45780</v>
      </c>
      <c r="B2087" s="21" t="n">
        <v>10536</v>
      </c>
      <c r="C2087" s="22" t="inlineStr">
        <is>
          <t>SELİM İNŞAAT</t>
        </is>
      </c>
      <c r="D2087" s="21" t="inlineStr">
        <is>
          <t>34 EDB 922</t>
        </is>
      </c>
      <c r="E2087" s="21" t="inlineStr">
        <is>
          <t>AHMET TOPÇU</t>
        </is>
      </c>
      <c r="F2087" s="23" t="n">
        <v>351263</v>
      </c>
      <c r="G2087" s="138" t="n"/>
      <c r="H2087" s="138" t="n">
        <v>193</v>
      </c>
      <c r="I2087" s="138">
        <f>+I2086+(G2087-H2087)</f>
        <v/>
      </c>
      <c r="J2087" s="139" t="n">
        <v>38.94</v>
      </c>
      <c r="K2087" s="140" t="n"/>
      <c r="L2087" s="140">
        <f>+H2087*J2087</f>
        <v/>
      </c>
      <c r="M2087" s="141">
        <f>SUM(M2086+K2087-L2087)</f>
        <v/>
      </c>
    </row>
    <row r="2088">
      <c r="A2088" s="20" t="n">
        <v>45780</v>
      </c>
      <c r="B2088" s="21" t="n">
        <v>10193</v>
      </c>
      <c r="C2088" s="22" t="inlineStr">
        <is>
          <t>SELİM İNŞAAT</t>
        </is>
      </c>
      <c r="D2088" s="21" t="inlineStr">
        <is>
          <t>34 EGR 736</t>
        </is>
      </c>
      <c r="E2088" s="21" t="inlineStr">
        <is>
          <t>HAKAN ÇAVUŞOĞLU</t>
        </is>
      </c>
      <c r="F2088" s="23" t="n">
        <v>379754</v>
      </c>
      <c r="G2088" s="138" t="n"/>
      <c r="H2088" s="138" t="n">
        <v>393</v>
      </c>
      <c r="I2088" s="138">
        <f>+I2087+(G2088-H2088)</f>
        <v/>
      </c>
      <c r="J2088" s="139" t="n">
        <v>38.94</v>
      </c>
      <c r="K2088" s="140" t="n"/>
      <c r="L2088" s="140">
        <f>+H2088*J2088</f>
        <v/>
      </c>
      <c r="M2088" s="141">
        <f>SUM(M2087+K2088-L2088)</f>
        <v/>
      </c>
    </row>
    <row r="2089">
      <c r="A2089" s="20" t="n">
        <v>45780</v>
      </c>
      <c r="B2089" s="21" t="n">
        <v>11933</v>
      </c>
      <c r="C2089" s="22" t="inlineStr">
        <is>
          <t>SELİM İNŞAAT</t>
        </is>
      </c>
      <c r="D2089" s="21" t="inlineStr">
        <is>
          <t>34 FBR 742</t>
        </is>
      </c>
      <c r="E2089" s="21" t="inlineStr">
        <is>
          <t>MİKAİL BAYILMAZ</t>
        </is>
      </c>
      <c r="F2089" s="23" t="n">
        <v>308614</v>
      </c>
      <c r="G2089" s="138" t="n"/>
      <c r="H2089" s="138" t="n">
        <v>392</v>
      </c>
      <c r="I2089" s="138">
        <f>+I2088+(G2089-H2089)</f>
        <v/>
      </c>
      <c r="J2089" s="139" t="n">
        <v>38.94</v>
      </c>
      <c r="K2089" s="140" t="n"/>
      <c r="L2089" s="140">
        <f>+H2089*J2089</f>
        <v/>
      </c>
      <c r="M2089" s="141">
        <f>SUM(M2088+K2089-L2089)</f>
        <v/>
      </c>
    </row>
    <row r="2090">
      <c r="A2090" s="20" t="n">
        <v>45780</v>
      </c>
      <c r="B2090" s="21" t="n">
        <v>14473</v>
      </c>
      <c r="C2090" s="22" t="inlineStr">
        <is>
          <t>SELİM İNŞAAT</t>
        </is>
      </c>
      <c r="D2090" s="21" t="inlineStr">
        <is>
          <t>34 GUS 848</t>
        </is>
      </c>
      <c r="E2090" s="21" t="inlineStr">
        <is>
          <t>SERDAR BOZKURT</t>
        </is>
      </c>
      <c r="F2090" s="23" t="n">
        <v>182397</v>
      </c>
      <c r="G2090" s="138" t="n"/>
      <c r="H2090" s="138" t="n">
        <v>341</v>
      </c>
      <c r="I2090" s="138">
        <f>+I2089+(G2090-H2090)</f>
        <v/>
      </c>
      <c r="J2090" s="139" t="n">
        <v>38.94</v>
      </c>
      <c r="K2090" s="140" t="n"/>
      <c r="L2090" s="140">
        <f>+H2090*J2090</f>
        <v/>
      </c>
      <c r="M2090" s="141">
        <f>SUM(M2089+K2090-L2090)</f>
        <v/>
      </c>
    </row>
    <row r="2091">
      <c r="A2091" s="20" t="n">
        <v>45780</v>
      </c>
      <c r="B2091" s="21" t="n">
        <v>14025</v>
      </c>
      <c r="C2091" s="22" t="inlineStr">
        <is>
          <t>SELİM İNŞAAT</t>
        </is>
      </c>
      <c r="D2091" s="21" t="inlineStr">
        <is>
          <t>34 GVZ 310</t>
        </is>
      </c>
      <c r="E2091" s="21" t="inlineStr">
        <is>
          <t>CELAL YÜZBAŞI</t>
        </is>
      </c>
      <c r="F2091" s="23" t="n">
        <v>187989</v>
      </c>
      <c r="G2091" s="138" t="n"/>
      <c r="H2091" s="138" t="n">
        <v>296</v>
      </c>
      <c r="I2091" s="138">
        <f>+I2090+(G2091-H2091)</f>
        <v/>
      </c>
      <c r="J2091" s="139" t="n">
        <v>38.94</v>
      </c>
      <c r="K2091" s="140" t="n"/>
      <c r="L2091" s="140">
        <f>+H2091*J2091</f>
        <v/>
      </c>
      <c r="M2091" s="141">
        <f>SUM(M2090+K2091-L2091)</f>
        <v/>
      </c>
    </row>
    <row r="2092">
      <c r="A2092" s="20" t="n">
        <v>45780</v>
      </c>
      <c r="B2092" s="21" t="n">
        <v>15502</v>
      </c>
      <c r="C2092" s="22" t="inlineStr">
        <is>
          <t>SELİM İNŞAAT</t>
        </is>
      </c>
      <c r="D2092" s="21" t="inlineStr">
        <is>
          <t>34 EDC 086</t>
        </is>
      </c>
      <c r="E2092" s="21" t="inlineStr">
        <is>
          <t>ÖMER AĞAYAR</t>
        </is>
      </c>
      <c r="F2092" s="23" t="n">
        <v>316880</v>
      </c>
      <c r="G2092" s="138" t="n"/>
      <c r="H2092" s="138" t="n">
        <v>273</v>
      </c>
      <c r="I2092" s="138">
        <f>+I2091+(G2092-H2092)</f>
        <v/>
      </c>
      <c r="J2092" s="139" t="n">
        <v>38.94</v>
      </c>
      <c r="K2092" s="140" t="n"/>
      <c r="L2092" s="140">
        <f>+H2092*J2092</f>
        <v/>
      </c>
      <c r="M2092" s="141">
        <f>SUM(M2091+K2092-L2092)</f>
        <v/>
      </c>
    </row>
    <row r="2093">
      <c r="A2093" s="20" t="n">
        <v>45780</v>
      </c>
      <c r="B2093" s="21" t="n">
        <v>10227</v>
      </c>
      <c r="C2093" s="22" t="inlineStr">
        <is>
          <t>SELİM İNŞAAT</t>
        </is>
      </c>
      <c r="D2093" s="21" t="inlineStr">
        <is>
          <t>34 DSN 621</t>
        </is>
      </c>
      <c r="E2093" s="21" t="inlineStr">
        <is>
          <t>MUSTAFA KAYA</t>
        </is>
      </c>
      <c r="F2093" s="23" t="n">
        <v>403284</v>
      </c>
      <c r="G2093" s="138" t="n"/>
      <c r="H2093" s="138" t="n">
        <v>185</v>
      </c>
      <c r="I2093" s="138">
        <f>+I2092+(G2093-H2093)</f>
        <v/>
      </c>
      <c r="J2093" s="139" t="n">
        <v>38.94</v>
      </c>
      <c r="K2093" s="140" t="n"/>
      <c r="L2093" s="140">
        <f>+H2093*J2093</f>
        <v/>
      </c>
      <c r="M2093" s="141">
        <f>SUM(M2092+K2093-L2093)</f>
        <v/>
      </c>
    </row>
    <row r="2094">
      <c r="A2094" s="20" t="n">
        <v>45780</v>
      </c>
      <c r="B2094" s="21" t="n">
        <v>14120</v>
      </c>
      <c r="C2094" s="22" t="inlineStr">
        <is>
          <t>SELİM İNŞAAT</t>
        </is>
      </c>
      <c r="D2094" s="21" t="inlineStr">
        <is>
          <t>34 DSN 536</t>
        </is>
      </c>
      <c r="E2094" s="21" t="inlineStr">
        <is>
          <t>DURSUN ALİ GÜREK</t>
        </is>
      </c>
      <c r="F2094" s="23" t="n">
        <v>395303</v>
      </c>
      <c r="G2094" s="138" t="n"/>
      <c r="H2094" s="138" t="n">
        <v>308</v>
      </c>
      <c r="I2094" s="138">
        <f>+I2093+(G2094-H2094)</f>
        <v/>
      </c>
      <c r="J2094" s="139" t="n">
        <v>38.94</v>
      </c>
      <c r="K2094" s="140" t="n"/>
      <c r="L2094" s="140">
        <f>+H2094*J2094</f>
        <v/>
      </c>
      <c r="M2094" s="141">
        <f>SUM(M2093+K2094-L2094)</f>
        <v/>
      </c>
    </row>
    <row r="2095">
      <c r="A2095" s="20" t="n">
        <v>45780</v>
      </c>
      <c r="B2095" s="21" t="n">
        <v>14074</v>
      </c>
      <c r="C2095" s="22" t="inlineStr">
        <is>
          <t>SELİM İNŞAAT</t>
        </is>
      </c>
      <c r="D2095" s="21" t="inlineStr">
        <is>
          <t>34 EDB 659</t>
        </is>
      </c>
      <c r="E2095" s="21" t="inlineStr">
        <is>
          <t>MEHMET SAİT ANIK</t>
        </is>
      </c>
      <c r="F2095" s="23" t="n">
        <v>330772</v>
      </c>
      <c r="G2095" s="138" t="n"/>
      <c r="H2095" s="138" t="n">
        <v>218</v>
      </c>
      <c r="I2095" s="138">
        <f>+I2094+(G2095-H2095)</f>
        <v/>
      </c>
      <c r="J2095" s="139" t="n">
        <v>38.94</v>
      </c>
      <c r="K2095" s="140" t="n"/>
      <c r="L2095" s="140">
        <f>+H2095*J2095</f>
        <v/>
      </c>
      <c r="M2095" s="141">
        <f>SUM(M2094+K2095-L2095)</f>
        <v/>
      </c>
    </row>
    <row r="2096">
      <c r="A2096" s="20" t="n">
        <v>45780</v>
      </c>
      <c r="B2096" s="21" t="n">
        <v>11828</v>
      </c>
      <c r="C2096" s="22" t="inlineStr">
        <is>
          <t>SELİM İNŞAAT</t>
        </is>
      </c>
      <c r="D2096" s="21" t="inlineStr">
        <is>
          <t>34 FSG 229</t>
        </is>
      </c>
      <c r="E2096" s="21" t="inlineStr">
        <is>
          <t>SİNAN TANRIVERDİ</t>
        </is>
      </c>
      <c r="F2096" s="23" t="n">
        <v>248319</v>
      </c>
      <c r="G2096" s="138" t="n"/>
      <c r="H2096" s="138" t="n">
        <v>400</v>
      </c>
      <c r="I2096" s="138">
        <f>+I2095+(G2096-H2096)</f>
        <v/>
      </c>
      <c r="J2096" s="139" t="n">
        <v>38.94</v>
      </c>
      <c r="K2096" s="140" t="n"/>
      <c r="L2096" s="140">
        <f>+H2096*J2096</f>
        <v/>
      </c>
      <c r="M2096" s="141">
        <f>SUM(M2095+K2096-L2096)</f>
        <v/>
      </c>
    </row>
    <row r="2097">
      <c r="A2097" s="20" t="n">
        <v>45780</v>
      </c>
      <c r="B2097" s="21" t="n">
        <v>11638</v>
      </c>
      <c r="C2097" s="22" t="inlineStr">
        <is>
          <t>SELİM İNŞAAT</t>
        </is>
      </c>
      <c r="D2097" s="21" t="inlineStr">
        <is>
          <t>34 DTV 352</t>
        </is>
      </c>
      <c r="E2097" s="21" t="inlineStr">
        <is>
          <t>RASİM BARTU</t>
        </is>
      </c>
      <c r="F2097" s="23" t="n">
        <v>423679</v>
      </c>
      <c r="G2097" s="138" t="n"/>
      <c r="H2097" s="138" t="n">
        <v>481</v>
      </c>
      <c r="I2097" s="138">
        <f>+I2096+(G2097-H2097)</f>
        <v/>
      </c>
      <c r="J2097" s="139" t="n">
        <v>38.94</v>
      </c>
      <c r="K2097" s="140" t="n"/>
      <c r="L2097" s="140">
        <f>+H2097*J2097</f>
        <v/>
      </c>
      <c r="M2097" s="141">
        <f>SUM(M2096+K2097-L2097)</f>
        <v/>
      </c>
    </row>
    <row r="2098">
      <c r="A2098" s="20" t="n">
        <v>45780</v>
      </c>
      <c r="B2098" s="21" t="n">
        <v>14810</v>
      </c>
      <c r="C2098" s="22" t="inlineStr">
        <is>
          <t>SELİM İNŞAAT</t>
        </is>
      </c>
      <c r="D2098" s="21" t="inlineStr">
        <is>
          <t>34 GVZ 268</t>
        </is>
      </c>
      <c r="E2098" s="21" t="inlineStr">
        <is>
          <t>KERİM KARAMAN</t>
        </is>
      </c>
      <c r="F2098" s="23" t="n">
        <v>182613</v>
      </c>
      <c r="G2098" s="138" t="n"/>
      <c r="H2098" s="138" t="n">
        <v>363</v>
      </c>
      <c r="I2098" s="138">
        <f>+I2097+(G2098-H2098)</f>
        <v/>
      </c>
      <c r="J2098" s="139" t="n">
        <v>38.94</v>
      </c>
      <c r="K2098" s="140" t="n"/>
      <c r="L2098" s="140">
        <f>+H2098*J2098</f>
        <v/>
      </c>
      <c r="M2098" s="141">
        <f>SUM(M2097+K2098-L2098)</f>
        <v/>
      </c>
    </row>
    <row r="2099">
      <c r="A2099" s="20" t="n">
        <v>45780</v>
      </c>
      <c r="B2099" s="21" t="n">
        <v>14419</v>
      </c>
      <c r="C2099" s="22" t="inlineStr">
        <is>
          <t>SELİM İNŞAAT</t>
        </is>
      </c>
      <c r="D2099" s="21" t="inlineStr">
        <is>
          <t>34 EGR 737</t>
        </is>
      </c>
      <c r="E2099" s="21" t="inlineStr">
        <is>
          <t>İLHAN YÜRÜK</t>
        </is>
      </c>
      <c r="F2099" s="23" t="n">
        <v>407300</v>
      </c>
      <c r="G2099" s="138" t="n"/>
      <c r="H2099" s="138" t="n">
        <v>378</v>
      </c>
      <c r="I2099" s="138">
        <f>+I2098+(G2099-H2099)</f>
        <v/>
      </c>
      <c r="J2099" s="139" t="n">
        <v>38.94</v>
      </c>
      <c r="K2099" s="140" t="n"/>
      <c r="L2099" s="140">
        <f>+H2099*J2099</f>
        <v/>
      </c>
      <c r="M2099" s="141">
        <f>SUM(M2098+K2099-L2099)</f>
        <v/>
      </c>
    </row>
    <row r="2100">
      <c r="A2100" s="20" t="n">
        <v>45781</v>
      </c>
      <c r="B2100" s="1" t="n">
        <v>15706</v>
      </c>
      <c r="C2100" s="2" t="inlineStr">
        <is>
          <t>VARLIK</t>
        </is>
      </c>
      <c r="D2100" s="1" t="inlineStr">
        <is>
          <t>SM 370</t>
        </is>
      </c>
      <c r="E2100" s="1" t="inlineStr">
        <is>
          <t>TEKİN ŞEYLAN</t>
        </is>
      </c>
      <c r="F2100" s="3" t="n"/>
      <c r="G2100" s="143" t="n"/>
      <c r="H2100" s="143" t="n">
        <v>338</v>
      </c>
      <c r="I2100" s="143">
        <f>+I2099+(G2100-H2100)</f>
        <v/>
      </c>
      <c r="J2100" s="144" t="n">
        <v>38.94</v>
      </c>
      <c r="K2100" s="145" t="n"/>
      <c r="L2100" s="140">
        <f>+H2100*J2100</f>
        <v/>
      </c>
      <c r="M2100" s="141">
        <f>SUM(M2099+K2100-L2100)</f>
        <v/>
      </c>
    </row>
    <row r="2101">
      <c r="A2101" s="20" t="n">
        <v>45781</v>
      </c>
      <c r="B2101" s="1" t="n">
        <v>15707</v>
      </c>
      <c r="C2101" s="2" t="inlineStr">
        <is>
          <t>VARLIK</t>
        </is>
      </c>
      <c r="D2101" s="1" t="inlineStr">
        <is>
          <t>SM 300</t>
        </is>
      </c>
      <c r="E2101" s="1" t="inlineStr">
        <is>
          <t>TURGUT SANCAK</t>
        </is>
      </c>
      <c r="F2101" s="3" t="n"/>
      <c r="G2101" s="143" t="n"/>
      <c r="H2101" s="143" t="n">
        <v>290</v>
      </c>
      <c r="I2101" s="143">
        <f>+I2100+(G2101-H2101)</f>
        <v/>
      </c>
      <c r="J2101" s="144" t="n">
        <v>38.94</v>
      </c>
      <c r="K2101" s="145" t="n"/>
      <c r="L2101" s="140">
        <f>+H2101*J2101</f>
        <v/>
      </c>
      <c r="M2101" s="141">
        <f>SUM(M2100+K2101-L2101)</f>
        <v/>
      </c>
    </row>
    <row r="2102">
      <c r="A2102" s="20" t="n">
        <v>45781</v>
      </c>
      <c r="B2102" s="1" t="n">
        <v>15708</v>
      </c>
      <c r="C2102" s="2" t="inlineStr">
        <is>
          <t>VARLIK</t>
        </is>
      </c>
      <c r="D2102" s="1" t="inlineStr">
        <is>
          <t>SM 350</t>
        </is>
      </c>
      <c r="E2102" s="1" t="inlineStr">
        <is>
          <t>BAYRAM SANCAK</t>
        </is>
      </c>
      <c r="F2102" s="3" t="n"/>
      <c r="G2102" s="143" t="n"/>
      <c r="H2102" s="143" t="n">
        <v>373</v>
      </c>
      <c r="I2102" s="143">
        <f>+I2101+(G2102-H2102)</f>
        <v/>
      </c>
      <c r="J2102" s="144" t="n">
        <v>38.94</v>
      </c>
      <c r="K2102" s="145" t="n"/>
      <c r="L2102" s="140">
        <f>+H2102*J2102</f>
        <v/>
      </c>
      <c r="M2102" s="141">
        <f>SUM(M2101+K2102-L2102)</f>
        <v/>
      </c>
    </row>
    <row r="2103">
      <c r="A2103" s="20" t="n">
        <v>45782</v>
      </c>
      <c r="B2103" s="21" t="n">
        <v>11449</v>
      </c>
      <c r="C2103" s="22" t="inlineStr">
        <is>
          <t>METİN ERYİĞİT</t>
        </is>
      </c>
      <c r="D2103" s="21" t="inlineStr">
        <is>
          <t>34 EGR 814</t>
        </is>
      </c>
      <c r="E2103" s="21" t="inlineStr">
        <is>
          <t>GÜRAY KOYUNCU</t>
        </is>
      </c>
      <c r="F2103" s="23" t="n">
        <v>531758</v>
      </c>
      <c r="G2103" s="138" t="n"/>
      <c r="H2103" s="138" t="n">
        <v>485</v>
      </c>
      <c r="I2103" s="138">
        <f>+I2102+(G2103-H2103)</f>
        <v/>
      </c>
      <c r="J2103" s="139" t="n">
        <v>38.94</v>
      </c>
      <c r="K2103" s="140" t="n"/>
      <c r="L2103" s="140">
        <f>+H2103*J2103</f>
        <v/>
      </c>
      <c r="M2103" s="141">
        <f>SUM(M2102+K2103-L2103)</f>
        <v/>
      </c>
    </row>
    <row r="2104">
      <c r="A2104" s="20" t="n">
        <v>45782</v>
      </c>
      <c r="B2104" s="21" t="n">
        <v>14173</v>
      </c>
      <c r="C2104" s="22" t="inlineStr">
        <is>
          <t>AZGÜN YAPI</t>
        </is>
      </c>
      <c r="D2104" s="21" t="inlineStr">
        <is>
          <t>34 DTV 263</t>
        </is>
      </c>
      <c r="E2104" s="21" t="inlineStr">
        <is>
          <t>EDİP TORLAK</t>
        </is>
      </c>
      <c r="F2104" s="23" t="n">
        <v>374255</v>
      </c>
      <c r="G2104" s="138" t="n"/>
      <c r="H2104" s="138" t="n">
        <v>310</v>
      </c>
      <c r="I2104" s="138">
        <f>+I2103+(G2104-H2104)</f>
        <v/>
      </c>
      <c r="J2104" s="139" t="n">
        <v>38.94</v>
      </c>
      <c r="K2104" s="140" t="n"/>
      <c r="L2104" s="140">
        <f>+H2104*J2104</f>
        <v/>
      </c>
      <c r="M2104" s="141">
        <f>SUM(M2103+K2104-L2104)</f>
        <v/>
      </c>
    </row>
    <row r="2105">
      <c r="A2105" s="20" t="n">
        <v>45782</v>
      </c>
      <c r="B2105" s="1" t="n">
        <v>15709</v>
      </c>
      <c r="C2105" s="2" t="inlineStr">
        <is>
          <t>VARLIK</t>
        </is>
      </c>
      <c r="D2105" s="1" t="inlineStr">
        <is>
          <t>SM 300</t>
        </is>
      </c>
      <c r="E2105" s="1" t="inlineStr">
        <is>
          <t>TURGUT SANCAK</t>
        </is>
      </c>
      <c r="F2105" s="3" t="n"/>
      <c r="G2105" s="143" t="n"/>
      <c r="H2105" s="143" t="n">
        <v>146</v>
      </c>
      <c r="I2105" s="143">
        <f>+I2104+(G2105-H2105)</f>
        <v/>
      </c>
      <c r="J2105" s="144" t="n">
        <v>38.94</v>
      </c>
      <c r="K2105" s="145" t="n"/>
      <c r="L2105" s="140">
        <f>+H2105*J2105</f>
        <v/>
      </c>
      <c r="M2105" s="141">
        <f>SUM(M2104+K2105-L2105)</f>
        <v/>
      </c>
    </row>
    <row r="2106">
      <c r="A2106" s="20" t="n">
        <v>45782</v>
      </c>
      <c r="B2106" s="1" t="n">
        <v>15710</v>
      </c>
      <c r="C2106" s="2" t="inlineStr">
        <is>
          <t>VARLIK</t>
        </is>
      </c>
      <c r="D2106" s="1" t="inlineStr">
        <is>
          <t>SM 350</t>
        </is>
      </c>
      <c r="E2106" s="1" t="inlineStr">
        <is>
          <t>BAYRAM SANCAK</t>
        </is>
      </c>
      <c r="F2106" s="3" t="n"/>
      <c r="G2106" s="143" t="n"/>
      <c r="H2106" s="143" t="n">
        <v>304</v>
      </c>
      <c r="I2106" s="143">
        <f>+I2105+(G2106-H2106)</f>
        <v/>
      </c>
      <c r="J2106" s="144" t="n">
        <v>38.94</v>
      </c>
      <c r="K2106" s="145" t="n"/>
      <c r="L2106" s="140">
        <f>+H2106*J2106</f>
        <v/>
      </c>
      <c r="M2106" s="141">
        <f>SUM(M2105+K2106-L2106)</f>
        <v/>
      </c>
    </row>
    <row r="2107">
      <c r="A2107" s="20" t="n">
        <v>45782</v>
      </c>
      <c r="B2107" s="1" t="n">
        <v>15711</v>
      </c>
      <c r="C2107" s="2" t="inlineStr">
        <is>
          <t>VARLIK</t>
        </is>
      </c>
      <c r="D2107" s="1" t="inlineStr">
        <is>
          <t>SM 370</t>
        </is>
      </c>
      <c r="E2107" s="1" t="inlineStr">
        <is>
          <t>TEKİN ŞEYLAN</t>
        </is>
      </c>
      <c r="F2107" s="3" t="n"/>
      <c r="G2107" s="143" t="n"/>
      <c r="H2107" s="143" t="n">
        <v>370</v>
      </c>
      <c r="I2107" s="143">
        <f>+I2106+(G2107-H2107)</f>
        <v/>
      </c>
      <c r="J2107" s="144" t="n">
        <v>38.94</v>
      </c>
      <c r="K2107" s="145" t="n"/>
      <c r="L2107" s="140">
        <f>+H2107*J2107</f>
        <v/>
      </c>
      <c r="M2107" s="141">
        <f>SUM(M2106+K2107-L2107)</f>
        <v/>
      </c>
    </row>
    <row r="2108">
      <c r="A2108" s="20" t="n">
        <v>45782</v>
      </c>
      <c r="B2108" s="1" t="n">
        <v>15712</v>
      </c>
      <c r="C2108" s="2" t="inlineStr">
        <is>
          <t>HASALTUN</t>
        </is>
      </c>
      <c r="D2108" s="1" t="inlineStr">
        <is>
          <t>SİLİNDİR</t>
        </is>
      </c>
      <c r="E2108" s="1" t="inlineStr">
        <is>
          <t>HASAN BAYCAN</t>
        </is>
      </c>
      <c r="F2108" s="3" t="n"/>
      <c r="G2108" s="143" t="n"/>
      <c r="H2108" s="143" t="n">
        <v>129</v>
      </c>
      <c r="I2108" s="143">
        <f>+I2107+(G2108-H2108)</f>
        <v/>
      </c>
      <c r="J2108" s="144" t="n">
        <v>38.94</v>
      </c>
      <c r="K2108" s="145" t="n"/>
      <c r="L2108" s="140">
        <f>+H2108*J2108</f>
        <v/>
      </c>
      <c r="M2108" s="141">
        <f>SUM(M2107+K2108-L2108)</f>
        <v/>
      </c>
    </row>
    <row r="2109">
      <c r="A2109" s="20" t="n">
        <v>45782</v>
      </c>
      <c r="B2109" s="1" t="n">
        <v>15713</v>
      </c>
      <c r="C2109" s="2" t="inlineStr">
        <is>
          <t>VARLIK</t>
        </is>
      </c>
      <c r="D2109" s="1" t="inlineStr">
        <is>
          <t>KAVAZAKİ</t>
        </is>
      </c>
      <c r="E2109" s="1" t="inlineStr">
        <is>
          <t>UFUK SEVAL</t>
        </is>
      </c>
      <c r="F2109" s="3" t="n"/>
      <c r="G2109" s="143" t="n"/>
      <c r="H2109" s="143" t="n">
        <v>198</v>
      </c>
      <c r="I2109" s="143">
        <f>+I2108+(G2109-H2109)</f>
        <v/>
      </c>
      <c r="J2109" s="144" t="n">
        <v>38.94</v>
      </c>
      <c r="K2109" s="145" t="n"/>
      <c r="L2109" s="140">
        <f>+H2109*J2109</f>
        <v/>
      </c>
      <c r="M2109" s="141">
        <f>SUM(M2108+K2109-L2109)</f>
        <v/>
      </c>
    </row>
    <row r="2110">
      <c r="A2110" s="20" t="n">
        <v>45782</v>
      </c>
      <c r="B2110" s="1" t="n">
        <v>15714</v>
      </c>
      <c r="C2110" s="2" t="inlineStr">
        <is>
          <t>EVKUR</t>
        </is>
      </c>
      <c r="D2110" s="1" t="inlineStr">
        <is>
          <t>KİRALIK KATO</t>
        </is>
      </c>
      <c r="E2110" s="1" t="inlineStr">
        <is>
          <t>BURAK BEY' İN TALİMATIYLA</t>
        </is>
      </c>
      <c r="F2110" s="3" t="n"/>
      <c r="G2110" s="143" t="n"/>
      <c r="H2110" s="143" t="n">
        <v>119</v>
      </c>
      <c r="I2110" s="143">
        <f>+I2109+(G2110-H2110)</f>
        <v/>
      </c>
      <c r="J2110" s="144" t="n">
        <v>38.94</v>
      </c>
      <c r="K2110" s="145" t="n"/>
      <c r="L2110" s="140">
        <f>+H2110*J2110</f>
        <v/>
      </c>
      <c r="M2110" s="141">
        <f>SUM(M2109+K2110-L2110)</f>
        <v/>
      </c>
    </row>
    <row r="2111">
      <c r="A2111" s="20" t="n">
        <v>45782</v>
      </c>
      <c r="B2111" s="21" t="n">
        <v>14329</v>
      </c>
      <c r="C2111" s="22" t="inlineStr">
        <is>
          <t>SELİM İNŞAAT</t>
        </is>
      </c>
      <c r="D2111" s="21" t="inlineStr">
        <is>
          <t>34 DKL 866</t>
        </is>
      </c>
      <c r="E2111" s="21" t="inlineStr">
        <is>
          <t>SELİM CAN ÖNVER</t>
        </is>
      </c>
      <c r="F2111" s="23" t="n">
        <v>64528</v>
      </c>
      <c r="G2111" s="138" t="n"/>
      <c r="H2111" s="138" t="n">
        <v>207</v>
      </c>
      <c r="I2111" s="138">
        <f>+I2110+(G2111-H2111)</f>
        <v/>
      </c>
      <c r="J2111" s="139" t="n">
        <v>38.94</v>
      </c>
      <c r="K2111" s="140" t="n"/>
      <c r="L2111" s="140">
        <f>+H2111*J2111</f>
        <v/>
      </c>
      <c r="M2111" s="141">
        <f>SUM(M2110+K2111-L2111)</f>
        <v/>
      </c>
    </row>
    <row r="2112">
      <c r="A2112" s="20" t="n">
        <v>45782</v>
      </c>
      <c r="B2112" s="21" t="n">
        <v>14369</v>
      </c>
      <c r="C2112" s="22" t="inlineStr">
        <is>
          <t>SELİM İNŞAAT</t>
        </is>
      </c>
      <c r="D2112" s="21" t="inlineStr">
        <is>
          <t>34 DKL 798</t>
        </is>
      </c>
      <c r="E2112" s="21" t="inlineStr">
        <is>
          <t>METİN KALKAN</t>
        </is>
      </c>
      <c r="F2112" s="23" t="n">
        <v>64562</v>
      </c>
      <c r="G2112" s="138" t="n"/>
      <c r="H2112" s="138" t="n">
        <v>121</v>
      </c>
      <c r="I2112" s="138">
        <f>+I2111+(G2112-H2112)</f>
        <v/>
      </c>
      <c r="J2112" s="139" t="n">
        <v>38.94</v>
      </c>
      <c r="K2112" s="140" t="n"/>
      <c r="L2112" s="140">
        <f>+H2112*J2112</f>
        <v/>
      </c>
      <c r="M2112" s="141">
        <f>SUM(M2111+K2112-L2112)</f>
        <v/>
      </c>
    </row>
    <row r="2113">
      <c r="A2113" s="20" t="n">
        <v>45782</v>
      </c>
      <c r="B2113" s="21" t="n">
        <v>14624</v>
      </c>
      <c r="C2113" s="22" t="inlineStr">
        <is>
          <t>SELİM İNŞAAT</t>
        </is>
      </c>
      <c r="D2113" s="21" t="inlineStr">
        <is>
          <t>34 GER 445</t>
        </is>
      </c>
      <c r="E2113" s="21" t="inlineStr">
        <is>
          <t>HASAN BAYCAN</t>
        </is>
      </c>
      <c r="F2113" s="23" t="n">
        <v>41421</v>
      </c>
      <c r="G2113" s="138" t="n"/>
      <c r="H2113" s="138" t="n">
        <v>195</v>
      </c>
      <c r="I2113" s="138">
        <f>+I2112+(G2113-H2113)</f>
        <v/>
      </c>
      <c r="J2113" s="139" t="n">
        <v>38.94</v>
      </c>
      <c r="K2113" s="140" t="n"/>
      <c r="L2113" s="140">
        <f>+H2113*J2113</f>
        <v/>
      </c>
      <c r="M2113" s="141">
        <f>SUM(M2112+K2113-L2113)</f>
        <v/>
      </c>
    </row>
    <row r="2114">
      <c r="A2114" s="20" t="n">
        <v>45782</v>
      </c>
      <c r="B2114" s="21" t="n">
        <v>20537</v>
      </c>
      <c r="C2114" s="22" t="inlineStr">
        <is>
          <t>SELİM İNŞAAT</t>
        </is>
      </c>
      <c r="D2114" s="21" t="inlineStr">
        <is>
          <t>34 VF 2620</t>
        </is>
      </c>
      <c r="E2114" s="21" t="inlineStr">
        <is>
          <t>RECEP SELİM</t>
        </is>
      </c>
      <c r="F2114" s="23" t="n">
        <v>184577</v>
      </c>
      <c r="G2114" s="138" t="n"/>
      <c r="H2114" s="138" t="n">
        <v>50</v>
      </c>
      <c r="I2114" s="138">
        <f>+I2113+(G2114-H2114)</f>
        <v/>
      </c>
      <c r="J2114" s="139" t="n">
        <v>38.94</v>
      </c>
      <c r="K2114" s="140" t="n"/>
      <c r="L2114" s="140">
        <f>+H2114*J2114</f>
        <v/>
      </c>
      <c r="M2114" s="141">
        <f>SUM(M2113+K2114-L2114)</f>
        <v/>
      </c>
    </row>
    <row r="2115">
      <c r="A2115" s="20" t="n">
        <v>45782</v>
      </c>
      <c r="B2115" s="21" t="n">
        <v>14222</v>
      </c>
      <c r="C2115" s="22" t="inlineStr">
        <is>
          <t>SELİM İNŞAAT</t>
        </is>
      </c>
      <c r="D2115" s="21" t="inlineStr">
        <is>
          <t xml:space="preserve">34 GUS 938 </t>
        </is>
      </c>
      <c r="E2115" s="21" t="inlineStr">
        <is>
          <t>MEHMET AĞAYAR</t>
        </is>
      </c>
      <c r="F2115" s="23" t="n">
        <v>176689</v>
      </c>
      <c r="G2115" s="138" t="n"/>
      <c r="H2115" s="138" t="n">
        <v>263</v>
      </c>
      <c r="I2115" s="138">
        <f>+I2114+(G2115-H2115)</f>
        <v/>
      </c>
      <c r="J2115" s="139" t="n">
        <v>38.94</v>
      </c>
      <c r="K2115" s="140" t="n"/>
      <c r="L2115" s="140">
        <f>+H2115*J2115</f>
        <v/>
      </c>
      <c r="M2115" s="141">
        <f>SUM(M2114+K2115-L2115)</f>
        <v/>
      </c>
    </row>
    <row r="2116">
      <c r="A2116" s="20" t="n">
        <v>45782</v>
      </c>
      <c r="B2116" s="21" t="n">
        <v>10340</v>
      </c>
      <c r="C2116" s="22" t="inlineStr">
        <is>
          <t>SELİM İNŞAAT</t>
        </is>
      </c>
      <c r="D2116" s="21" t="inlineStr">
        <is>
          <t>34 EDB 829</t>
        </is>
      </c>
      <c r="E2116" s="21" t="inlineStr">
        <is>
          <t>İSMET BAYRAM</t>
        </is>
      </c>
      <c r="F2116" s="23" t="n">
        <v>310011</v>
      </c>
      <c r="G2116" s="138" t="n"/>
      <c r="H2116" s="138" t="n">
        <v>299</v>
      </c>
      <c r="I2116" s="138">
        <f>+I2115+(G2116-H2116)</f>
        <v/>
      </c>
      <c r="J2116" s="139" t="n">
        <v>38.94</v>
      </c>
      <c r="K2116" s="140" t="n"/>
      <c r="L2116" s="140">
        <f>+H2116*J2116</f>
        <v/>
      </c>
      <c r="M2116" s="141">
        <f>SUM(M2115+K2116-L2116)</f>
        <v/>
      </c>
    </row>
    <row r="2117">
      <c r="A2117" s="20" t="n">
        <v>45782</v>
      </c>
      <c r="B2117" s="21" t="n">
        <v>10444</v>
      </c>
      <c r="C2117" s="22" t="inlineStr">
        <is>
          <t>SELİM İNŞAAT</t>
        </is>
      </c>
      <c r="D2117" s="21" t="inlineStr">
        <is>
          <t>34 FBR 781</t>
        </is>
      </c>
      <c r="E2117" s="21" t="inlineStr">
        <is>
          <t>MEVLÜT POLAT</t>
        </is>
      </c>
      <c r="F2117" s="23" t="n">
        <v>292980</v>
      </c>
      <c r="G2117" s="138" t="n"/>
      <c r="H2117" s="138" t="n">
        <v>364</v>
      </c>
      <c r="I2117" s="138">
        <f>+I2116+(G2117-H2117)</f>
        <v/>
      </c>
      <c r="J2117" s="139" t="n">
        <v>38.94</v>
      </c>
      <c r="K2117" s="140" t="n"/>
      <c r="L2117" s="140">
        <f>+H2117*J2117</f>
        <v/>
      </c>
      <c r="M2117" s="141">
        <f>SUM(M2116+K2117-L2117)</f>
        <v/>
      </c>
    </row>
    <row r="2118">
      <c r="A2118" s="20" t="n">
        <v>45782</v>
      </c>
      <c r="B2118" s="21" t="n">
        <v>10643</v>
      </c>
      <c r="C2118" s="22" t="inlineStr">
        <is>
          <t>SELİM İNŞAAT</t>
        </is>
      </c>
      <c r="D2118" s="21" t="inlineStr">
        <is>
          <t>34 EDB 754</t>
        </is>
      </c>
      <c r="E2118" s="21" t="inlineStr">
        <is>
          <t>EMİN PARLAKKILIÇ</t>
        </is>
      </c>
      <c r="F2118" s="23" t="n">
        <v>312512</v>
      </c>
      <c r="G2118" s="138" t="n"/>
      <c r="H2118" s="138" t="n">
        <v>369</v>
      </c>
      <c r="I2118" s="138">
        <f>+I2117+(G2118-H2118)</f>
        <v/>
      </c>
      <c r="J2118" s="139" t="n">
        <v>38.94</v>
      </c>
      <c r="K2118" s="140" t="n"/>
      <c r="L2118" s="140">
        <f>+H2118*J2118</f>
        <v/>
      </c>
      <c r="M2118" s="141">
        <f>SUM(M2117+K2118-L2118)</f>
        <v/>
      </c>
    </row>
    <row r="2119">
      <c r="A2119" s="20" t="n">
        <v>45782</v>
      </c>
      <c r="B2119" s="21" t="n">
        <v>14121</v>
      </c>
      <c r="C2119" s="22" t="inlineStr">
        <is>
          <t>SELİM İNŞAAT</t>
        </is>
      </c>
      <c r="D2119" s="21" t="inlineStr">
        <is>
          <t>34 DSN 536</t>
        </is>
      </c>
      <c r="E2119" s="21" t="inlineStr">
        <is>
          <t>DURSUN ALİ GÜREK</t>
        </is>
      </c>
      <c r="F2119" s="23" t="n">
        <v>396122</v>
      </c>
      <c r="G2119" s="138" t="n"/>
      <c r="H2119" s="138" t="n">
        <v>380</v>
      </c>
      <c r="I2119" s="138">
        <f>+I2118+(G2119-H2119)</f>
        <v/>
      </c>
      <c r="J2119" s="139" t="n">
        <v>38.94</v>
      </c>
      <c r="K2119" s="140" t="n"/>
      <c r="L2119" s="140">
        <f>+H2119*J2119</f>
        <v/>
      </c>
      <c r="M2119" s="141">
        <f>SUM(M2118+K2119-L2119)</f>
        <v/>
      </c>
    </row>
    <row r="2120">
      <c r="A2120" s="20" t="n">
        <v>45782</v>
      </c>
      <c r="B2120" s="21" t="n">
        <v>11298</v>
      </c>
      <c r="C2120" s="22" t="inlineStr">
        <is>
          <t>SELİM İNŞAAT</t>
        </is>
      </c>
      <c r="D2120" s="21" t="inlineStr">
        <is>
          <t>34 EDC 162</t>
        </is>
      </c>
      <c r="E2120" s="21" t="inlineStr">
        <is>
          <t xml:space="preserve">YAKUP GÜNER </t>
        </is>
      </c>
      <c r="F2120" s="23" t="n">
        <v>359751</v>
      </c>
      <c r="G2120" s="138" t="n"/>
      <c r="H2120" s="138" t="n">
        <v>262</v>
      </c>
      <c r="I2120" s="138">
        <f>+I2119+(G2120-H2120)</f>
        <v/>
      </c>
      <c r="J2120" s="139" t="n">
        <v>38.94</v>
      </c>
      <c r="K2120" s="140" t="n"/>
      <c r="L2120" s="140">
        <f>+H2120*J2120</f>
        <v/>
      </c>
      <c r="M2120" s="141">
        <f>SUM(M2119+K2120-L2120)</f>
        <v/>
      </c>
    </row>
    <row r="2121">
      <c r="A2121" s="20" t="n">
        <v>45782</v>
      </c>
      <c r="B2121" s="21" t="n">
        <v>15102</v>
      </c>
      <c r="C2121" s="22" t="inlineStr">
        <is>
          <t>SELİM İNŞAAT</t>
        </is>
      </c>
      <c r="D2121" s="21" t="inlineStr">
        <is>
          <t>34 DTV 599</t>
        </is>
      </c>
      <c r="E2121" s="21" t="inlineStr">
        <is>
          <t>FERHAT GÜRLER</t>
        </is>
      </c>
      <c r="F2121" s="23" t="n">
        <v>424019</v>
      </c>
      <c r="G2121" s="138" t="n"/>
      <c r="H2121" s="138" t="n">
        <v>448</v>
      </c>
      <c r="I2121" s="138">
        <f>+I2120+(G2121-H2121)</f>
        <v/>
      </c>
      <c r="J2121" s="139" t="n">
        <v>38.94</v>
      </c>
      <c r="K2121" s="140" t="n"/>
      <c r="L2121" s="140">
        <f>+H2121*J2121</f>
        <v/>
      </c>
      <c r="M2121" s="141">
        <f>SUM(M2120+K2121-L2121)</f>
        <v/>
      </c>
    </row>
    <row r="2122">
      <c r="A2122" s="20" t="n">
        <v>45782</v>
      </c>
      <c r="B2122" s="21" t="n">
        <v>21615</v>
      </c>
      <c r="C2122" s="22" t="inlineStr">
        <is>
          <t>SELİM İNŞAAT</t>
        </is>
      </c>
      <c r="D2122" s="21" t="inlineStr">
        <is>
          <t>34 DHC 467</t>
        </is>
      </c>
      <c r="E2122" s="21" t="inlineStr">
        <is>
          <t>YAŞAR ÖZKAYA</t>
        </is>
      </c>
      <c r="F2122" s="23" t="n">
        <v>395782</v>
      </c>
      <c r="G2122" s="138" t="n"/>
      <c r="H2122" s="138" t="n">
        <v>320</v>
      </c>
      <c r="I2122" s="138">
        <f>+I2121+(G2122-H2122)</f>
        <v/>
      </c>
      <c r="J2122" s="139" t="n">
        <v>38.94</v>
      </c>
      <c r="K2122" s="140" t="n"/>
      <c r="L2122" s="140">
        <f>+H2122*J2122</f>
        <v/>
      </c>
      <c r="M2122" s="141">
        <f>SUM(M2121+K2122-L2122)</f>
        <v/>
      </c>
    </row>
    <row r="2123">
      <c r="A2123" s="20" t="n">
        <v>45782</v>
      </c>
      <c r="B2123" s="21" t="n">
        <v>11829</v>
      </c>
      <c r="C2123" s="22" t="inlineStr">
        <is>
          <t>SELİM İNŞAAT</t>
        </is>
      </c>
      <c r="D2123" s="21" t="inlineStr">
        <is>
          <t>34 FSG 229</t>
        </is>
      </c>
      <c r="E2123" s="21" t="inlineStr">
        <is>
          <t>SİNAN TANRIVERDİ</t>
        </is>
      </c>
      <c r="F2123" s="23" t="n">
        <v>248697</v>
      </c>
      <c r="G2123" s="138" t="n"/>
      <c r="H2123" s="138" t="n">
        <v>146</v>
      </c>
      <c r="I2123" s="138">
        <f>+I2122+(G2123-H2123)</f>
        <v/>
      </c>
      <c r="J2123" s="139" t="n">
        <v>38.94</v>
      </c>
      <c r="K2123" s="140" t="n"/>
      <c r="L2123" s="140">
        <f>+H2123*J2123</f>
        <v/>
      </c>
      <c r="M2123" s="141">
        <f>SUM(M2122+K2123-L2123)</f>
        <v/>
      </c>
    </row>
    <row r="2124">
      <c r="A2124" s="20" t="n">
        <v>45782</v>
      </c>
      <c r="B2124" s="21" t="n">
        <v>21498</v>
      </c>
      <c r="C2124" s="22" t="inlineStr">
        <is>
          <t>SELİM İNŞAAT</t>
        </is>
      </c>
      <c r="D2124" s="21" t="inlineStr">
        <is>
          <t>34 GVZ 635</t>
        </is>
      </c>
      <c r="E2124" s="21" t="inlineStr">
        <is>
          <t>ENGİN DEMİR</t>
        </is>
      </c>
      <c r="F2124" s="23" t="n">
        <v>163180</v>
      </c>
      <c r="G2124" s="138" t="n"/>
      <c r="H2124" s="138" t="n">
        <v>358</v>
      </c>
      <c r="I2124" s="138">
        <f>+I2123+(G2124-H2124)</f>
        <v/>
      </c>
      <c r="J2124" s="139" t="n">
        <v>38.94</v>
      </c>
      <c r="K2124" s="140" t="n"/>
      <c r="L2124" s="140">
        <f>+H2124*J2124</f>
        <v/>
      </c>
      <c r="M2124" s="141">
        <f>SUM(M2123+K2124-L2124)</f>
        <v/>
      </c>
    </row>
    <row r="2125">
      <c r="A2125" s="20" t="n">
        <v>45783</v>
      </c>
      <c r="B2125" s="21" t="n">
        <v>14722</v>
      </c>
      <c r="C2125" s="22" t="inlineStr">
        <is>
          <t>METİN ERYİĞİT</t>
        </is>
      </c>
      <c r="D2125" s="21" t="inlineStr">
        <is>
          <t>34 GBL 998</t>
        </is>
      </c>
      <c r="E2125" s="21" t="inlineStr">
        <is>
          <t>ALİ KESKİN</t>
        </is>
      </c>
      <c r="F2125" s="23" t="n">
        <v>257296</v>
      </c>
      <c r="G2125" s="138" t="n"/>
      <c r="H2125" s="138" t="n">
        <v>379</v>
      </c>
      <c r="I2125" s="138">
        <f>+I2124+(G2125-H2125)</f>
        <v/>
      </c>
      <c r="J2125" s="139" t="n">
        <v>38.94</v>
      </c>
      <c r="K2125" s="140" t="n"/>
      <c r="L2125" s="140">
        <f>+H2125*J2125</f>
        <v/>
      </c>
      <c r="M2125" s="141">
        <f>SUM(M2124+K2125-L2125)</f>
        <v/>
      </c>
    </row>
    <row r="2126">
      <c r="A2126" s="20" t="n">
        <v>45783</v>
      </c>
      <c r="B2126" s="21" t="n">
        <v>11479</v>
      </c>
      <c r="C2126" s="22" t="inlineStr">
        <is>
          <t>METİN ŞİRİN</t>
        </is>
      </c>
      <c r="D2126" s="21" t="inlineStr">
        <is>
          <t>34 EGR 922</t>
        </is>
      </c>
      <c r="E2126" s="21" t="inlineStr">
        <is>
          <t>FARUK ÖZEN</t>
        </is>
      </c>
      <c r="F2126" s="23" t="n">
        <v>446957</v>
      </c>
      <c r="G2126" s="138" t="n"/>
      <c r="H2126" s="138" t="n">
        <v>439</v>
      </c>
      <c r="I2126" s="138">
        <f>+I2125+(G2126-H2126)</f>
        <v/>
      </c>
      <c r="J2126" s="139" t="n">
        <v>38.94</v>
      </c>
      <c r="K2126" s="140" t="n"/>
      <c r="L2126" s="140">
        <f>+H2126*J2126</f>
        <v/>
      </c>
      <c r="M2126" s="141">
        <f>SUM(M2125+K2126-L2126)</f>
        <v/>
      </c>
    </row>
    <row r="2127">
      <c r="A2127" s="20" t="n">
        <v>45783</v>
      </c>
      <c r="B2127" s="21" t="n">
        <v>15715</v>
      </c>
      <c r="C2127" s="22" t="inlineStr">
        <is>
          <t>EVKUR</t>
        </is>
      </c>
      <c r="D2127" s="21" t="inlineStr">
        <is>
          <t>FOKLİFT</t>
        </is>
      </c>
      <c r="E2127" s="21" t="inlineStr">
        <is>
          <t>FAHRİ KALFA</t>
        </is>
      </c>
      <c r="F2127" s="23" t="n"/>
      <c r="G2127" s="138" t="n"/>
      <c r="H2127" s="138" t="n">
        <v>23</v>
      </c>
      <c r="I2127" s="138">
        <f>+I2126+(G2127-H2127)</f>
        <v/>
      </c>
      <c r="J2127" s="139" t="n">
        <v>38.94</v>
      </c>
      <c r="K2127" s="140" t="n"/>
      <c r="L2127" s="140">
        <f>+H2127*J2127</f>
        <v/>
      </c>
      <c r="M2127" s="141">
        <f>SUM(M2126+K2127-L2127)</f>
        <v/>
      </c>
    </row>
    <row r="2128">
      <c r="A2128" s="20" t="n">
        <v>45783</v>
      </c>
      <c r="B2128" s="1" t="n">
        <v>15716</v>
      </c>
      <c r="C2128" s="2" t="inlineStr">
        <is>
          <t>VARLIK</t>
        </is>
      </c>
      <c r="D2128" s="1" t="inlineStr">
        <is>
          <t>KAVAZAKİ</t>
        </is>
      </c>
      <c r="E2128" s="1" t="inlineStr">
        <is>
          <t>RAMAZAN KAYA</t>
        </is>
      </c>
      <c r="F2128" s="3" t="n"/>
      <c r="G2128" s="143" t="n"/>
      <c r="H2128" s="143" t="n">
        <v>70</v>
      </c>
      <c r="I2128" s="143">
        <f>+I2127+(G2128-H2128)</f>
        <v/>
      </c>
      <c r="J2128" s="144" t="n">
        <v>38.94</v>
      </c>
      <c r="K2128" s="145" t="n"/>
      <c r="L2128" s="140">
        <f>+H2128*J2128</f>
        <v/>
      </c>
      <c r="M2128" s="141">
        <f>SUM(M2127+K2128-L2128)</f>
        <v/>
      </c>
    </row>
    <row r="2129">
      <c r="A2129" s="20" t="n">
        <v>45783</v>
      </c>
      <c r="B2129" s="1" t="n">
        <v>15717</v>
      </c>
      <c r="C2129" s="2" t="inlineStr">
        <is>
          <t>HASALTUN</t>
        </is>
      </c>
      <c r="D2129" s="1" t="inlineStr">
        <is>
          <t>RT 650 SARI VİNÇ</t>
        </is>
      </c>
      <c r="E2129" s="1" t="inlineStr">
        <is>
          <t>ALİHAN DUMAN</t>
        </is>
      </c>
      <c r="F2129" s="3" t="n"/>
      <c r="G2129" s="143" t="n"/>
      <c r="H2129" s="143" t="n">
        <v>157</v>
      </c>
      <c r="I2129" s="143">
        <f>+I2128+(G2129-H2129)</f>
        <v/>
      </c>
      <c r="J2129" s="144" t="n">
        <v>38.94</v>
      </c>
      <c r="K2129" s="145" t="n"/>
      <c r="L2129" s="140">
        <f>+H2129*J2129</f>
        <v/>
      </c>
      <c r="M2129" s="141">
        <f>SUM(M2128+K2129-L2129)</f>
        <v/>
      </c>
    </row>
    <row r="2130">
      <c r="A2130" s="20" t="n">
        <v>45783</v>
      </c>
      <c r="B2130" s="1" t="n">
        <v>15721</v>
      </c>
      <c r="C2130" s="2" t="inlineStr">
        <is>
          <t>HASALTUN</t>
        </is>
      </c>
      <c r="D2130" s="1" t="inlineStr">
        <is>
          <t>SM 350</t>
        </is>
      </c>
      <c r="E2130" s="1" t="inlineStr">
        <is>
          <t>TEVFİK ÖZTÜRK</t>
        </is>
      </c>
      <c r="F2130" s="3" t="n"/>
      <c r="G2130" s="143" t="n"/>
      <c r="H2130" s="143" t="n">
        <v>305</v>
      </c>
      <c r="I2130" s="143">
        <f>+I2129+(G2130-H2130)</f>
        <v/>
      </c>
      <c r="J2130" s="144" t="n">
        <v>38.94</v>
      </c>
      <c r="K2130" s="145" t="n"/>
      <c r="L2130" s="140">
        <f>+H2130*J2130</f>
        <v/>
      </c>
      <c r="M2130" s="141">
        <f>SUM(M2129+K2130-L2130)</f>
        <v/>
      </c>
    </row>
    <row r="2131">
      <c r="A2131" s="20" t="n">
        <v>45783</v>
      </c>
      <c r="B2131" s="21" t="n">
        <v>15908</v>
      </c>
      <c r="C2131" s="22" t="inlineStr">
        <is>
          <t>SELİM İNŞAAT</t>
        </is>
      </c>
      <c r="D2131" s="21" t="inlineStr">
        <is>
          <t>34 DFE 454</t>
        </is>
      </c>
      <c r="E2131" s="21" t="inlineStr">
        <is>
          <t>GÖRKEM KARAYEL</t>
        </is>
      </c>
      <c r="F2131" s="23" t="n">
        <v>158171</v>
      </c>
      <c r="G2131" s="138" t="n"/>
      <c r="H2131" s="138" t="n">
        <v>186</v>
      </c>
      <c r="I2131" s="138">
        <f>+I2130+(G2131-H2131)</f>
        <v/>
      </c>
      <c r="J2131" s="139" t="n">
        <v>38.94</v>
      </c>
      <c r="K2131" s="140" t="n"/>
      <c r="L2131" s="140">
        <f>+H2131*J2131</f>
        <v/>
      </c>
      <c r="M2131" s="141">
        <f>SUM(M2130+K2131-L2131)</f>
        <v/>
      </c>
    </row>
    <row r="2132">
      <c r="A2132" s="20" t="n">
        <v>45783</v>
      </c>
      <c r="B2132" s="21" t="n">
        <v>10146</v>
      </c>
      <c r="C2132" s="22" t="inlineStr">
        <is>
          <t>SELİM İNŞAAT</t>
        </is>
      </c>
      <c r="D2132" s="21" t="inlineStr">
        <is>
          <t>34 DP 4161</t>
        </is>
      </c>
      <c r="E2132" s="21" t="inlineStr">
        <is>
          <t>RIFAT KARATAY</t>
        </is>
      </c>
      <c r="F2132" s="23" t="n">
        <v>283907</v>
      </c>
      <c r="G2132" s="138" t="n"/>
      <c r="H2132" s="138" t="n">
        <v>224</v>
      </c>
      <c r="I2132" s="138">
        <f>+I2131+(G2132-H2132)</f>
        <v/>
      </c>
      <c r="J2132" s="139" t="n">
        <v>38.94</v>
      </c>
      <c r="K2132" s="140" t="n"/>
      <c r="L2132" s="140">
        <f>+H2132*J2132</f>
        <v/>
      </c>
      <c r="M2132" s="141">
        <f>SUM(M2131+K2132-L2132)</f>
        <v/>
      </c>
    </row>
    <row r="2133">
      <c r="A2133" s="20" t="n">
        <v>45783</v>
      </c>
      <c r="B2133" s="21" t="n">
        <v>14522</v>
      </c>
      <c r="C2133" s="22" t="inlineStr">
        <is>
          <t>SELİM İNŞAAT</t>
        </is>
      </c>
      <c r="D2133" s="21" t="inlineStr">
        <is>
          <t>34 GER 028</t>
        </is>
      </c>
      <c r="E2133" s="21" t="inlineStr">
        <is>
          <t>EMİRCAN ÖZTÜRK</t>
        </is>
      </c>
      <c r="F2133" s="23" t="n">
        <v>43088</v>
      </c>
      <c r="G2133" s="138" t="n"/>
      <c r="H2133" s="138" t="n">
        <v>177</v>
      </c>
      <c r="I2133" s="138">
        <f>+I2132+(G2133-H2133)</f>
        <v/>
      </c>
      <c r="J2133" s="139" t="n">
        <v>38.94</v>
      </c>
      <c r="K2133" s="140" t="n"/>
      <c r="L2133" s="140">
        <f>+H2133*J2133</f>
        <v/>
      </c>
      <c r="M2133" s="141">
        <f>SUM(M2132+K2133-L2133)</f>
        <v/>
      </c>
    </row>
    <row r="2134">
      <c r="A2134" s="20" t="n">
        <v>45783</v>
      </c>
      <c r="B2134" s="21" t="n">
        <v>21320</v>
      </c>
      <c r="C2134" s="22" t="inlineStr">
        <is>
          <t>SELİM İNŞAAT</t>
        </is>
      </c>
      <c r="D2134" s="21" t="inlineStr">
        <is>
          <t>34 FEM 934</t>
        </is>
      </c>
      <c r="E2134" s="21" t="inlineStr">
        <is>
          <t>MUSTAFA ALBAYRAK</t>
        </is>
      </c>
      <c r="F2134" s="23" t="n">
        <v>306064</v>
      </c>
      <c r="G2134" s="138" t="n"/>
      <c r="H2134" s="138" t="n">
        <v>76</v>
      </c>
      <c r="I2134" s="138">
        <f>+I2133+(G2134-H2134)</f>
        <v/>
      </c>
      <c r="J2134" s="139" t="n">
        <v>38.94</v>
      </c>
      <c r="K2134" s="140" t="n"/>
      <c r="L2134" s="140">
        <f>+H2134*J2134</f>
        <v/>
      </c>
      <c r="M2134" s="141">
        <f>SUM(M2133+K2134-L2134)</f>
        <v/>
      </c>
    </row>
    <row r="2135">
      <c r="A2135" s="20" t="n">
        <v>45783</v>
      </c>
      <c r="B2135" s="21" t="n">
        <v>10880</v>
      </c>
      <c r="C2135" s="22" t="inlineStr">
        <is>
          <t>SELİM İNŞAAT</t>
        </is>
      </c>
      <c r="D2135" s="21" t="inlineStr">
        <is>
          <t>34 AR 7743</t>
        </is>
      </c>
      <c r="E2135" s="21" t="inlineStr">
        <is>
          <t>MEHMET SELİM</t>
        </is>
      </c>
      <c r="F2135" s="23" t="n">
        <v>354745</v>
      </c>
      <c r="G2135" s="138" t="n"/>
      <c r="H2135" s="138" t="n">
        <v>60</v>
      </c>
      <c r="I2135" s="138">
        <f>+I2134+(G2135-H2135)</f>
        <v/>
      </c>
      <c r="J2135" s="139" t="n">
        <v>38.94</v>
      </c>
      <c r="K2135" s="140" t="n"/>
      <c r="L2135" s="140">
        <f>+H2135*J2135</f>
        <v/>
      </c>
      <c r="M2135" s="141">
        <f>SUM(M2134+K2135-L2135)</f>
        <v/>
      </c>
    </row>
    <row r="2136">
      <c r="A2136" s="20" t="n">
        <v>45783</v>
      </c>
      <c r="B2136" s="21" t="n">
        <v>10573</v>
      </c>
      <c r="C2136" s="22" t="inlineStr">
        <is>
          <t>SELİM İNŞAAT</t>
        </is>
      </c>
      <c r="D2136" s="21" t="inlineStr">
        <is>
          <t>34 GU 945</t>
        </is>
      </c>
      <c r="E2136" s="21" t="inlineStr">
        <is>
          <t>ŞERİF KARTAL</t>
        </is>
      </c>
      <c r="F2136" s="23" t="n">
        <v>444010</v>
      </c>
      <c r="G2136" s="138" t="n"/>
      <c r="H2136" s="138" t="n">
        <v>56</v>
      </c>
      <c r="I2136" s="138">
        <f>+I2135+(G2136-H2136)</f>
        <v/>
      </c>
      <c r="J2136" s="139" t="n">
        <v>38.94</v>
      </c>
      <c r="K2136" s="140" t="n"/>
      <c r="L2136" s="140">
        <f>+H2136*J2136</f>
        <v/>
      </c>
      <c r="M2136" s="141">
        <f>SUM(M2135+K2136-L2136)</f>
        <v/>
      </c>
    </row>
    <row r="2137">
      <c r="A2137" s="20" t="n">
        <v>45783</v>
      </c>
      <c r="B2137" s="21" t="n">
        <v>10788</v>
      </c>
      <c r="C2137" s="22" t="inlineStr">
        <is>
          <t>SELİM İNŞAAT</t>
        </is>
      </c>
      <c r="D2137" s="21" t="inlineStr">
        <is>
          <t>34 FBR 705</t>
        </is>
      </c>
      <c r="E2137" s="21" t="inlineStr">
        <is>
          <t>MESUT GÜRLER</t>
        </is>
      </c>
      <c r="F2137" s="23" t="n">
        <v>306280</v>
      </c>
      <c r="G2137" s="138" t="n"/>
      <c r="H2137" s="138" t="n">
        <v>256</v>
      </c>
      <c r="I2137" s="138">
        <f>+I2136+(G2137-H2137)</f>
        <v/>
      </c>
      <c r="J2137" s="139" t="n">
        <v>38.94</v>
      </c>
      <c r="K2137" s="140" t="n"/>
      <c r="L2137" s="140">
        <f>+H2137*J2137</f>
        <v/>
      </c>
      <c r="M2137" s="141">
        <f>SUM(M2136+K2137-L2137)</f>
        <v/>
      </c>
    </row>
    <row r="2138">
      <c r="A2138" s="20" t="n">
        <v>45783</v>
      </c>
      <c r="B2138" s="21" t="n">
        <v>10084</v>
      </c>
      <c r="C2138" s="22" t="inlineStr">
        <is>
          <t>SELİM İNŞAAT</t>
        </is>
      </c>
      <c r="D2138" s="21" t="inlineStr">
        <is>
          <t>34 FBR 771</t>
        </is>
      </c>
      <c r="E2138" s="21" t="inlineStr">
        <is>
          <t>HÜSEYİN AKÇİN</t>
        </is>
      </c>
      <c r="F2138" s="23" t="n">
        <v>309220</v>
      </c>
      <c r="G2138" s="138" t="n"/>
      <c r="H2138" s="138" t="n">
        <v>355</v>
      </c>
      <c r="I2138" s="138">
        <f>+I2137+(G2138-H2138)</f>
        <v/>
      </c>
      <c r="J2138" s="139" t="n">
        <v>38.94</v>
      </c>
      <c r="K2138" s="140" t="n"/>
      <c r="L2138" s="140">
        <f>+H2138*J2138</f>
        <v/>
      </c>
      <c r="M2138" s="141">
        <f>SUM(M2137+K2138-L2138)</f>
        <v/>
      </c>
    </row>
    <row r="2139">
      <c r="A2139" s="20" t="n">
        <v>45783</v>
      </c>
      <c r="B2139" s="21" t="n">
        <v>15010</v>
      </c>
      <c r="C2139" s="22" t="inlineStr">
        <is>
          <t>SELİM İNŞAAT</t>
        </is>
      </c>
      <c r="D2139" s="21" t="inlineStr">
        <is>
          <t>34 GVZ 199</t>
        </is>
      </c>
      <c r="E2139" s="21" t="inlineStr">
        <is>
          <t>VAHDET GÜRLER</t>
        </is>
      </c>
      <c r="F2139" s="23" t="n">
        <v>172039</v>
      </c>
      <c r="G2139" s="138" t="n"/>
      <c r="H2139" s="138" t="n">
        <v>385</v>
      </c>
      <c r="I2139" s="138">
        <f>+I2138+(G2139-H2139)</f>
        <v/>
      </c>
      <c r="J2139" s="139" t="n">
        <v>38.94</v>
      </c>
      <c r="K2139" s="140" t="n"/>
      <c r="L2139" s="140">
        <f>+H2139*J2139</f>
        <v/>
      </c>
      <c r="M2139" s="141">
        <f>SUM(M2138+K2139-L2139)</f>
        <v/>
      </c>
    </row>
    <row r="2140">
      <c r="A2140" s="20" t="n">
        <v>45783</v>
      </c>
      <c r="B2140" s="21" t="n">
        <v>15560</v>
      </c>
      <c r="C2140" s="22" t="inlineStr">
        <is>
          <t>SELİM İNŞAAT</t>
        </is>
      </c>
      <c r="D2140" s="21" t="inlineStr">
        <is>
          <t>34 GVZ 745</t>
        </is>
      </c>
      <c r="E2140" s="21" t="inlineStr">
        <is>
          <t>MUHAMMED YİĞİT</t>
        </is>
      </c>
      <c r="F2140" s="23" t="n">
        <v>179494</v>
      </c>
      <c r="G2140" s="138" t="n"/>
      <c r="H2140" s="138" t="n">
        <v>273</v>
      </c>
      <c r="I2140" s="138">
        <f>+I2139+(G2140-H2140)</f>
        <v/>
      </c>
      <c r="J2140" s="139" t="n">
        <v>38.94</v>
      </c>
      <c r="K2140" s="140" t="n"/>
      <c r="L2140" s="140">
        <f>+H2140*J2140</f>
        <v/>
      </c>
      <c r="M2140" s="141">
        <f>SUM(M2139+K2140-L2140)</f>
        <v/>
      </c>
    </row>
    <row r="2141">
      <c r="A2141" s="20" t="n">
        <v>45783</v>
      </c>
      <c r="B2141" s="21" t="n">
        <v>14223</v>
      </c>
      <c r="C2141" s="22" t="inlineStr">
        <is>
          <t>SELİM İNŞAAT</t>
        </is>
      </c>
      <c r="D2141" s="21" t="inlineStr">
        <is>
          <t xml:space="preserve">34 GUS 938 </t>
        </is>
      </c>
      <c r="E2141" s="21" t="inlineStr">
        <is>
          <t>MEHMET AĞAYAR</t>
        </is>
      </c>
      <c r="F2141" s="23" t="n">
        <v>177347</v>
      </c>
      <c r="G2141" s="138" t="n"/>
      <c r="H2141" s="138" t="n">
        <v>266</v>
      </c>
      <c r="I2141" s="138">
        <f>+I2140+(G2141-H2141)</f>
        <v/>
      </c>
      <c r="J2141" s="139" t="n">
        <v>38.94</v>
      </c>
      <c r="K2141" s="140" t="n"/>
      <c r="L2141" s="140">
        <f>+H2141*J2141</f>
        <v/>
      </c>
      <c r="M2141" s="141">
        <f>SUM(M2140+K2141-L2141)</f>
        <v/>
      </c>
    </row>
    <row r="2142">
      <c r="A2142" s="20" t="n">
        <v>45783</v>
      </c>
      <c r="B2142" s="21" t="n">
        <v>10537</v>
      </c>
      <c r="C2142" s="22" t="inlineStr">
        <is>
          <t>SELİM İNŞAAT</t>
        </is>
      </c>
      <c r="D2142" s="21" t="inlineStr">
        <is>
          <t>34 EDB 922</t>
        </is>
      </c>
      <c r="E2142" s="21" t="inlineStr">
        <is>
          <t>AHMET TOPÇU</t>
        </is>
      </c>
      <c r="F2142" s="23" t="n">
        <v>352201</v>
      </c>
      <c r="G2142" s="138" t="n"/>
      <c r="H2142" s="138" t="n">
        <v>376</v>
      </c>
      <c r="I2142" s="138">
        <f>+I2141+(G2142-H2142)</f>
        <v/>
      </c>
      <c r="J2142" s="139" t="n">
        <v>38.94</v>
      </c>
      <c r="K2142" s="140" t="n"/>
      <c r="L2142" s="140">
        <f>+H2142*J2142</f>
        <v/>
      </c>
      <c r="M2142" s="141">
        <f>SUM(M2141+K2142-L2142)</f>
        <v/>
      </c>
    </row>
    <row r="2143">
      <c r="A2143" s="20" t="n">
        <v>45783</v>
      </c>
      <c r="B2143" s="21" t="n">
        <v>10341</v>
      </c>
      <c r="C2143" s="22" t="inlineStr">
        <is>
          <t>SELİM İNŞAAT</t>
        </is>
      </c>
      <c r="D2143" s="21" t="inlineStr">
        <is>
          <t>34 EDB 829</t>
        </is>
      </c>
      <c r="E2143" s="21" t="inlineStr">
        <is>
          <t>İSMET BAYRAM</t>
        </is>
      </c>
      <c r="F2143" s="23" t="n">
        <v>310388</v>
      </c>
      <c r="G2143" s="138" t="n"/>
      <c r="H2143" s="138" t="n">
        <v>170</v>
      </c>
      <c r="I2143" s="138">
        <f>+I2142+(G2143-H2143)</f>
        <v/>
      </c>
      <c r="J2143" s="139" t="n">
        <v>38.94</v>
      </c>
      <c r="K2143" s="140" t="n"/>
      <c r="L2143" s="140">
        <f>+H2143*J2143</f>
        <v/>
      </c>
      <c r="M2143" s="141">
        <f>SUM(M2142+K2143-L2143)</f>
        <v/>
      </c>
    </row>
    <row r="2144">
      <c r="A2144" s="20" t="n">
        <v>45783</v>
      </c>
      <c r="B2144" s="21" t="n">
        <v>11934</v>
      </c>
      <c r="C2144" s="22" t="inlineStr">
        <is>
          <t>SELİM İNŞAAT</t>
        </is>
      </c>
      <c r="D2144" s="21" t="inlineStr">
        <is>
          <t>34 FBR 742</t>
        </is>
      </c>
      <c r="E2144" s="21" t="inlineStr">
        <is>
          <t>MİKAİL BAYILMAZ</t>
        </is>
      </c>
      <c r="F2144" s="23" t="n">
        <v>309442</v>
      </c>
      <c r="G2144" s="138" t="n"/>
      <c r="H2144" s="138" t="n">
        <v>381</v>
      </c>
      <c r="I2144" s="138">
        <f>+I2143+(G2144-H2144)</f>
        <v/>
      </c>
      <c r="J2144" s="139" t="n">
        <v>38.94</v>
      </c>
      <c r="K2144" s="140" t="n"/>
      <c r="L2144" s="140">
        <f>+H2144*J2144</f>
        <v/>
      </c>
      <c r="M2144" s="141">
        <f>SUM(M2143+K2144-L2144)</f>
        <v/>
      </c>
    </row>
    <row r="2145">
      <c r="A2145" s="20" t="n">
        <v>45783</v>
      </c>
      <c r="B2145" s="21" t="n">
        <v>14474</v>
      </c>
      <c r="C2145" s="22" t="inlineStr">
        <is>
          <t>SELİM İNŞAAT</t>
        </is>
      </c>
      <c r="D2145" s="21" t="inlineStr">
        <is>
          <t>34 GUS 848</t>
        </is>
      </c>
      <c r="E2145" s="21" t="inlineStr">
        <is>
          <t>SERDAR BOZKURT</t>
        </is>
      </c>
      <c r="F2145" s="23" t="n">
        <v>183228</v>
      </c>
      <c r="G2145" s="138" t="n"/>
      <c r="H2145" s="138" t="n">
        <v>407</v>
      </c>
      <c r="I2145" s="138">
        <f>+I2144+(G2145-H2145)</f>
        <v/>
      </c>
      <c r="J2145" s="139" t="n">
        <v>38.94</v>
      </c>
      <c r="K2145" s="140" t="n"/>
      <c r="L2145" s="140">
        <f>+H2145*J2145</f>
        <v/>
      </c>
      <c r="M2145" s="141">
        <f>SUM(M2144+K2145-L2145)</f>
        <v/>
      </c>
    </row>
    <row r="2146">
      <c r="A2146" s="20" t="n">
        <v>45783</v>
      </c>
      <c r="B2146" s="21" t="n">
        <v>14026</v>
      </c>
      <c r="C2146" s="22" t="inlineStr">
        <is>
          <t>SELİM İNŞAAT</t>
        </is>
      </c>
      <c r="D2146" s="21" t="inlineStr">
        <is>
          <t>34 GVZ 310</t>
        </is>
      </c>
      <c r="E2146" s="21" t="inlineStr">
        <is>
          <t>CELAL YÜZBAŞI</t>
        </is>
      </c>
      <c r="F2146" s="23" t="n">
        <v>188741</v>
      </c>
      <c r="G2146" s="138" t="n"/>
      <c r="H2146" s="138" t="n">
        <v>276</v>
      </c>
      <c r="I2146" s="138">
        <f>+I2145+(G2146-H2146)</f>
        <v/>
      </c>
      <c r="J2146" s="139" t="n">
        <v>38.94</v>
      </c>
      <c r="K2146" s="140" t="n"/>
      <c r="L2146" s="140">
        <f>+H2146*J2146</f>
        <v/>
      </c>
      <c r="M2146" s="141">
        <f>SUM(M2145+K2146-L2146)</f>
        <v/>
      </c>
    </row>
    <row r="2147">
      <c r="A2147" s="20" t="n">
        <v>45783</v>
      </c>
      <c r="B2147" s="21" t="n">
        <v>15201</v>
      </c>
      <c r="C2147" s="22" t="inlineStr">
        <is>
          <t>SELİM İNŞAAT</t>
        </is>
      </c>
      <c r="D2147" s="21" t="inlineStr">
        <is>
          <t>34 DSN 565</t>
        </is>
      </c>
      <c r="E2147" s="21" t="inlineStr">
        <is>
          <t>ERSEL DERVİŞ</t>
        </is>
      </c>
      <c r="F2147" s="23" t="n">
        <v>395232</v>
      </c>
      <c r="G2147" s="138" t="n"/>
      <c r="H2147" s="138" t="n">
        <v>438</v>
      </c>
      <c r="I2147" s="138">
        <f>+I2146+(G2147-H2147)</f>
        <v/>
      </c>
      <c r="J2147" s="139" t="n">
        <v>38.94</v>
      </c>
      <c r="K2147" s="140" t="n"/>
      <c r="L2147" s="140">
        <f>+H2147*J2147</f>
        <v/>
      </c>
      <c r="M2147" s="141">
        <f>SUM(M2146+K2147-L2147)</f>
        <v/>
      </c>
    </row>
    <row r="2148">
      <c r="A2148" s="20" t="n">
        <v>45783</v>
      </c>
      <c r="B2148" s="21" t="n">
        <v>10445</v>
      </c>
      <c r="C2148" s="22" t="inlineStr">
        <is>
          <t>SELİM İNŞAAT</t>
        </is>
      </c>
      <c r="D2148" s="21" t="inlineStr">
        <is>
          <t>34 FBR 781</t>
        </is>
      </c>
      <c r="E2148" s="21" t="inlineStr">
        <is>
          <t>MEVLÜT POLAT</t>
        </is>
      </c>
      <c r="F2148" s="23" t="n">
        <v>293383</v>
      </c>
      <c r="G2148" s="138" t="n"/>
      <c r="H2148" s="138" t="n">
        <v>146</v>
      </c>
      <c r="I2148" s="138">
        <f>+I2147+(G2148-H2148)</f>
        <v/>
      </c>
      <c r="J2148" s="139" t="n">
        <v>38.94</v>
      </c>
      <c r="K2148" s="140" t="n"/>
      <c r="L2148" s="140">
        <f>+H2148*J2148</f>
        <v/>
      </c>
      <c r="M2148" s="141">
        <f>SUM(M2147+K2148-L2148)</f>
        <v/>
      </c>
    </row>
    <row r="2149">
      <c r="A2149" s="20" t="n">
        <v>45783</v>
      </c>
      <c r="B2149" s="21" t="n">
        <v>15503</v>
      </c>
      <c r="C2149" s="22" t="inlineStr">
        <is>
          <t>SELİM İNŞAAT</t>
        </is>
      </c>
      <c r="D2149" s="21" t="inlineStr">
        <is>
          <t>34 EDC 086</t>
        </is>
      </c>
      <c r="E2149" s="21" t="inlineStr">
        <is>
          <t>ÖMER AĞAYAR</t>
        </is>
      </c>
      <c r="F2149" s="23" t="n">
        <v>317303</v>
      </c>
      <c r="G2149" s="138" t="n"/>
      <c r="H2149" s="138" t="n">
        <v>208</v>
      </c>
      <c r="I2149" s="138">
        <f>+I2148+(G2149-H2149)</f>
        <v/>
      </c>
      <c r="J2149" s="139" t="n">
        <v>38.94</v>
      </c>
      <c r="K2149" s="140" t="n"/>
      <c r="L2149" s="140">
        <f>+H2149*J2149</f>
        <v/>
      </c>
      <c r="M2149" s="141">
        <f>SUM(M2148+K2149-L2149)</f>
        <v/>
      </c>
    </row>
    <row r="2150">
      <c r="A2150" s="20" t="n">
        <v>45783</v>
      </c>
      <c r="B2150" s="21" t="n">
        <v>10644</v>
      </c>
      <c r="C2150" s="22" t="inlineStr">
        <is>
          <t>SELİM İNŞAAT</t>
        </is>
      </c>
      <c r="D2150" s="21" t="inlineStr">
        <is>
          <t>34 EDB 754</t>
        </is>
      </c>
      <c r="E2150" s="21" t="inlineStr">
        <is>
          <t>EMİN PARLAKKILIÇ</t>
        </is>
      </c>
      <c r="F2150" s="23" t="n">
        <v>313221</v>
      </c>
      <c r="G2150" s="138" t="n"/>
      <c r="H2150" s="138" t="n">
        <v>313</v>
      </c>
      <c r="I2150" s="138">
        <f>+I2149+(G2150-H2150)</f>
        <v/>
      </c>
      <c r="J2150" s="139" t="n">
        <v>38.94</v>
      </c>
      <c r="K2150" s="140" t="n"/>
      <c r="L2150" s="140">
        <f>+H2150*J2150</f>
        <v/>
      </c>
      <c r="M2150" s="141">
        <f>SUM(M2149+K2150-L2150)</f>
        <v/>
      </c>
    </row>
    <row r="2151">
      <c r="A2151" s="20" t="n">
        <v>45783</v>
      </c>
      <c r="B2151" s="21" t="n">
        <v>14075</v>
      </c>
      <c r="C2151" s="22" t="inlineStr">
        <is>
          <t>SELİM İNŞAAT</t>
        </is>
      </c>
      <c r="D2151" s="21" t="inlineStr">
        <is>
          <t>34 EDB 659</t>
        </is>
      </c>
      <c r="E2151" s="21" t="inlineStr">
        <is>
          <t>MEHMET SAİT ANIK</t>
        </is>
      </c>
      <c r="F2151" s="23" t="n">
        <v>331496</v>
      </c>
      <c r="G2151" s="138" t="n"/>
      <c r="H2151" s="138" t="n">
        <v>315</v>
      </c>
      <c r="I2151" s="138">
        <f>+I2150+(G2151-H2151)</f>
        <v/>
      </c>
      <c r="J2151" s="139" t="n">
        <v>38.94</v>
      </c>
      <c r="K2151" s="140" t="n"/>
      <c r="L2151" s="140">
        <f>+H2151*J2151</f>
        <v/>
      </c>
      <c r="M2151" s="141">
        <f>SUM(M2150+K2151-L2151)</f>
        <v/>
      </c>
    </row>
    <row r="2152">
      <c r="A2152" s="20" t="n">
        <v>45783</v>
      </c>
      <c r="B2152" s="21" t="n">
        <v>11144</v>
      </c>
      <c r="C2152" s="22" t="inlineStr">
        <is>
          <t>SELİM İNŞAAT</t>
        </is>
      </c>
      <c r="D2152" s="21" t="inlineStr">
        <is>
          <t>34 DTV 409</t>
        </is>
      </c>
      <c r="E2152" s="21" t="inlineStr">
        <is>
          <t>CEM MUHTAR</t>
        </is>
      </c>
      <c r="F2152" s="23" t="n">
        <v>409462</v>
      </c>
      <c r="G2152" s="138" t="n"/>
      <c r="H2152" s="138" t="n">
        <v>394</v>
      </c>
      <c r="I2152" s="138">
        <f>+I2151+(G2152-H2152)</f>
        <v/>
      </c>
      <c r="J2152" s="139" t="n">
        <v>38.94</v>
      </c>
      <c r="K2152" s="140" t="n"/>
      <c r="L2152" s="140">
        <f>+H2152*J2152</f>
        <v/>
      </c>
      <c r="M2152" s="141">
        <f>SUM(M2151+K2152-L2152)</f>
        <v/>
      </c>
    </row>
    <row r="2153">
      <c r="A2153" s="20" t="n">
        <v>45783</v>
      </c>
      <c r="B2153" s="21" t="n">
        <v>14811</v>
      </c>
      <c r="C2153" s="22" t="inlineStr">
        <is>
          <t>SELİM İNŞAAT</t>
        </is>
      </c>
      <c r="D2153" s="21" t="inlineStr">
        <is>
          <t>34 GVZ 268</t>
        </is>
      </c>
      <c r="E2153" s="21" t="inlineStr">
        <is>
          <t>KERİM KARAMAN</t>
        </is>
      </c>
      <c r="F2153" s="23" t="n">
        <v>183420</v>
      </c>
      <c r="G2153" s="138" t="n"/>
      <c r="H2153" s="138" t="n">
        <v>343</v>
      </c>
      <c r="I2153" s="138">
        <f>+I2152+(G2153-H2153)</f>
        <v/>
      </c>
      <c r="J2153" s="139" t="n">
        <v>38.94</v>
      </c>
      <c r="K2153" s="140" t="n"/>
      <c r="L2153" s="140">
        <f>+H2153*J2153</f>
        <v/>
      </c>
      <c r="M2153" s="141">
        <f>SUM(M2152+K2153-L2153)</f>
        <v/>
      </c>
    </row>
    <row r="2154">
      <c r="A2154" s="20" t="n">
        <v>45784</v>
      </c>
      <c r="B2154" s="21" t="n">
        <v>10046</v>
      </c>
      <c r="C2154" s="22" t="inlineStr">
        <is>
          <t>METİN ERYİĞİT</t>
        </is>
      </c>
      <c r="D2154" s="21" t="inlineStr">
        <is>
          <t>34 EGS 013</t>
        </is>
      </c>
      <c r="E2154" s="21" t="inlineStr">
        <is>
          <t xml:space="preserve">UĞUR DUMAN </t>
        </is>
      </c>
      <c r="F2154" s="23" t="n">
        <v>479306</v>
      </c>
      <c r="G2154" s="138" t="n"/>
      <c r="H2154" s="138" t="n">
        <v>395</v>
      </c>
      <c r="I2154" s="138">
        <f>+I2153+(G2154-H2154)</f>
        <v/>
      </c>
      <c r="J2154" s="139" t="n">
        <v>38.94</v>
      </c>
      <c r="K2154" s="140" t="n"/>
      <c r="L2154" s="140">
        <f>+H2154*J2154</f>
        <v/>
      </c>
      <c r="M2154" s="141">
        <f>SUM(M2153+K2154-L2154)</f>
        <v/>
      </c>
    </row>
    <row r="2155">
      <c r="A2155" s="20" t="n">
        <v>45784</v>
      </c>
      <c r="B2155" s="21" t="n">
        <v>14174</v>
      </c>
      <c r="C2155" s="22" t="inlineStr">
        <is>
          <t>AZGÜN YAPI</t>
        </is>
      </c>
      <c r="D2155" s="21" t="inlineStr">
        <is>
          <t>34 DTV 263</t>
        </is>
      </c>
      <c r="E2155" s="21" t="inlineStr">
        <is>
          <t>EDİP TORLAK</t>
        </is>
      </c>
      <c r="F2155" s="23" t="n">
        <v>374814</v>
      </c>
      <c r="G2155" s="138" t="n"/>
      <c r="H2155" s="138" t="n">
        <v>319</v>
      </c>
      <c r="I2155" s="138">
        <f>+I2154+(G2155-H2155)</f>
        <v/>
      </c>
      <c r="J2155" s="139" t="n">
        <v>38.94</v>
      </c>
      <c r="K2155" s="140" t="n"/>
      <c r="L2155" s="140">
        <f>+H2155*J2155</f>
        <v/>
      </c>
      <c r="M2155" s="141">
        <f>SUM(M2154+K2155-L2155)</f>
        <v/>
      </c>
    </row>
    <row r="2156">
      <c r="A2156" s="20" t="n">
        <v>45784</v>
      </c>
      <c r="B2156" s="1" t="n">
        <v>15718</v>
      </c>
      <c r="C2156" s="2" t="inlineStr">
        <is>
          <t>VARLIK</t>
        </is>
      </c>
      <c r="D2156" s="1" t="inlineStr">
        <is>
          <t>SM 370</t>
        </is>
      </c>
      <c r="E2156" s="1" t="inlineStr">
        <is>
          <t>TEKİN ŞEYLAN</t>
        </is>
      </c>
      <c r="F2156" s="3" t="n"/>
      <c r="G2156" s="143" t="n"/>
      <c r="H2156" s="143" t="n">
        <v>461</v>
      </c>
      <c r="I2156" s="143">
        <f>+I2155+(G2156-H2156)</f>
        <v/>
      </c>
      <c r="J2156" s="144" t="n">
        <v>38.94</v>
      </c>
      <c r="K2156" s="145" t="n"/>
      <c r="L2156" s="140">
        <f>+H2156*J2156</f>
        <v/>
      </c>
      <c r="M2156" s="141">
        <f>SUM(M2155+K2156-L2156)</f>
        <v/>
      </c>
    </row>
    <row r="2157">
      <c r="A2157" s="20" t="n">
        <v>45784</v>
      </c>
      <c r="B2157" s="1" t="n">
        <v>15719</v>
      </c>
      <c r="C2157" s="2" t="inlineStr">
        <is>
          <t>VARLIK</t>
        </is>
      </c>
      <c r="D2157" s="1" t="inlineStr">
        <is>
          <t>SM 300</t>
        </is>
      </c>
      <c r="E2157" s="1" t="inlineStr">
        <is>
          <t>TURGUT SANCAK</t>
        </is>
      </c>
      <c r="F2157" s="3" t="n"/>
      <c r="G2157" s="143" t="n"/>
      <c r="H2157" s="143" t="n">
        <v>385</v>
      </c>
      <c r="I2157" s="143">
        <f>+I2156+(G2157-H2157)</f>
        <v/>
      </c>
      <c r="J2157" s="144" t="n">
        <v>38.94</v>
      </c>
      <c r="K2157" s="145" t="n"/>
      <c r="L2157" s="140">
        <f>+H2157*J2157</f>
        <v/>
      </c>
      <c r="M2157" s="141">
        <f>SUM(M2156+K2157-L2157)</f>
        <v/>
      </c>
    </row>
    <row r="2158">
      <c r="A2158" s="20" t="n">
        <v>45784</v>
      </c>
      <c r="B2158" s="1" t="n">
        <v>15720</v>
      </c>
      <c r="C2158" s="2" t="inlineStr">
        <is>
          <t>VARLIK</t>
        </is>
      </c>
      <c r="D2158" s="1" t="inlineStr">
        <is>
          <t>SM 300</t>
        </is>
      </c>
      <c r="E2158" s="1" t="inlineStr">
        <is>
          <t>BAYRAM SANCAK</t>
        </is>
      </c>
      <c r="F2158" s="3" t="n"/>
      <c r="G2158" s="143" t="n"/>
      <c r="H2158" s="143" t="n">
        <v>325</v>
      </c>
      <c r="I2158" s="143">
        <f>+I2157+(G2158-H2158)</f>
        <v/>
      </c>
      <c r="J2158" s="144" t="n">
        <v>38.94</v>
      </c>
      <c r="K2158" s="145" t="n"/>
      <c r="L2158" s="140">
        <f>+H2158*J2158</f>
        <v/>
      </c>
      <c r="M2158" s="141">
        <f>SUM(M2157+K2158-L2158)</f>
        <v/>
      </c>
    </row>
    <row r="2159">
      <c r="A2159" s="20" t="n">
        <v>45784</v>
      </c>
      <c r="B2159" s="21" t="n">
        <v>15722</v>
      </c>
      <c r="C2159" s="22" t="inlineStr">
        <is>
          <t>EVKUR</t>
        </is>
      </c>
      <c r="D2159" s="21" t="inlineStr">
        <is>
          <t>FOKLİFT</t>
        </is>
      </c>
      <c r="E2159" s="21" t="inlineStr">
        <is>
          <t>FAHRİ KALFA</t>
        </is>
      </c>
      <c r="F2159" s="23" t="n"/>
      <c r="G2159" s="138" t="n"/>
      <c r="H2159" s="138" t="n">
        <v>35</v>
      </c>
      <c r="I2159" s="138">
        <f>+I2158+(G2159-H2159)</f>
        <v/>
      </c>
      <c r="J2159" s="139" t="n">
        <v>38.94</v>
      </c>
      <c r="K2159" s="140" t="n"/>
      <c r="L2159" s="140">
        <f>+H2159*J2159</f>
        <v/>
      </c>
      <c r="M2159" s="141">
        <f>SUM(M2158+K2159-L2159)</f>
        <v/>
      </c>
    </row>
    <row r="2160">
      <c r="A2160" s="20" t="n">
        <v>45784</v>
      </c>
      <c r="B2160" s="1" t="n">
        <v>15723</v>
      </c>
      <c r="C2160" s="2" t="inlineStr">
        <is>
          <t>HASALTUN</t>
        </is>
      </c>
      <c r="D2160" s="1" t="inlineStr">
        <is>
          <t>KAVAZAKİ</t>
        </is>
      </c>
      <c r="E2160" s="1" t="inlineStr">
        <is>
          <t>UFUK SEVAL</t>
        </is>
      </c>
      <c r="F2160" s="3" t="n"/>
      <c r="G2160" s="143" t="n"/>
      <c r="H2160" s="143" t="n">
        <v>132</v>
      </c>
      <c r="I2160" s="143">
        <f>+I2159+(G2160-H2160)</f>
        <v/>
      </c>
      <c r="J2160" s="144" t="n">
        <v>38.94</v>
      </c>
      <c r="K2160" s="145" t="n"/>
      <c r="L2160" s="140">
        <f>+H2160*J2160</f>
        <v/>
      </c>
      <c r="M2160" s="141">
        <f>SUM(M2159+K2160-L2160)</f>
        <v/>
      </c>
    </row>
    <row r="2161">
      <c r="A2161" s="20" t="n">
        <v>45784</v>
      </c>
      <c r="B2161" s="1" t="n">
        <v>15724</v>
      </c>
      <c r="C2161" s="2" t="inlineStr">
        <is>
          <t>HASALTUN</t>
        </is>
      </c>
      <c r="D2161" s="1" t="inlineStr">
        <is>
          <t>SM 350</t>
        </is>
      </c>
      <c r="E2161" s="1" t="inlineStr">
        <is>
          <t>TEVFİK ÖZTÜRK</t>
        </is>
      </c>
      <c r="F2161" s="3" t="n"/>
      <c r="G2161" s="143" t="n"/>
      <c r="H2161" s="143" t="n">
        <v>256</v>
      </c>
      <c r="I2161" s="143">
        <f>+I2160+(G2161-H2161)</f>
        <v/>
      </c>
      <c r="J2161" s="144" t="n">
        <v>38.94</v>
      </c>
      <c r="K2161" s="145" t="n"/>
      <c r="L2161" s="140">
        <f>+H2161*J2161</f>
        <v/>
      </c>
      <c r="M2161" s="141">
        <f>SUM(M2160+K2161-L2161)</f>
        <v/>
      </c>
    </row>
    <row r="2162">
      <c r="A2162" s="20" t="n">
        <v>45784</v>
      </c>
      <c r="B2162" s="21" t="n">
        <v>14330</v>
      </c>
      <c r="C2162" s="22" t="inlineStr">
        <is>
          <t>SELİM İNŞAAT</t>
        </is>
      </c>
      <c r="D2162" s="21" t="inlineStr">
        <is>
          <t>34 DKL 866</t>
        </is>
      </c>
      <c r="E2162" s="21" t="inlineStr">
        <is>
          <t>SELİM CAN ÖNVER</t>
        </is>
      </c>
      <c r="F2162" s="23" t="n">
        <v>64626</v>
      </c>
      <c r="G2162" s="138" t="n"/>
      <c r="H2162" s="138" t="n">
        <v>113</v>
      </c>
      <c r="I2162" s="138">
        <f>+I2161+(G2162-H2162)</f>
        <v/>
      </c>
      <c r="J2162" s="139" t="n">
        <v>38.94</v>
      </c>
      <c r="K2162" s="140" t="n"/>
      <c r="L2162" s="140">
        <f>+H2162*J2162</f>
        <v/>
      </c>
      <c r="M2162" s="141">
        <f>SUM(M2161+K2162-L2162)</f>
        <v/>
      </c>
    </row>
    <row r="2163">
      <c r="A2163" s="20" t="n">
        <v>45784</v>
      </c>
      <c r="B2163" s="21" t="n">
        <v>14370</v>
      </c>
      <c r="C2163" s="22" t="inlineStr">
        <is>
          <t>SELİM İNŞAAT</t>
        </is>
      </c>
      <c r="D2163" s="21" t="inlineStr">
        <is>
          <t>34 DKL 798</t>
        </is>
      </c>
      <c r="E2163" s="21" t="inlineStr">
        <is>
          <t>METİN KALKAN</t>
        </is>
      </c>
      <c r="F2163" s="23" t="n">
        <v>64660</v>
      </c>
      <c r="G2163" s="138" t="n"/>
      <c r="H2163" s="138" t="n">
        <v>138</v>
      </c>
      <c r="I2163" s="138">
        <f>+I2162+(G2163-H2163)</f>
        <v/>
      </c>
      <c r="J2163" s="139" t="n">
        <v>38.94</v>
      </c>
      <c r="K2163" s="140" t="n"/>
      <c r="L2163" s="140">
        <f>+H2163*J2163</f>
        <v/>
      </c>
      <c r="M2163" s="141">
        <f>SUM(M2162+K2163-L2163)</f>
        <v/>
      </c>
    </row>
    <row r="2164">
      <c r="A2164" s="20" t="n">
        <v>45784</v>
      </c>
      <c r="B2164" s="21" t="n">
        <v>14625</v>
      </c>
      <c r="C2164" s="22" t="inlineStr">
        <is>
          <t>SELİM İNŞAAT</t>
        </is>
      </c>
      <c r="D2164" s="21" t="inlineStr">
        <is>
          <t>34 GER 445</t>
        </is>
      </c>
      <c r="E2164" s="21" t="inlineStr">
        <is>
          <t>HASAN BAYCAN</t>
        </is>
      </c>
      <c r="F2164" s="23" t="n">
        <v>41509</v>
      </c>
      <c r="G2164" s="138" t="n"/>
      <c r="H2164" s="138" t="n">
        <v>140</v>
      </c>
      <c r="I2164" s="138">
        <f>+I2163+(G2164-H2164)</f>
        <v/>
      </c>
      <c r="J2164" s="139" t="n">
        <v>38.94</v>
      </c>
      <c r="K2164" s="140" t="n"/>
      <c r="L2164" s="140">
        <f>+H2164*J2164</f>
        <v/>
      </c>
      <c r="M2164" s="141">
        <f>SUM(M2163+K2164-L2164)</f>
        <v/>
      </c>
    </row>
    <row r="2165">
      <c r="A2165" s="20" t="n">
        <v>45784</v>
      </c>
      <c r="B2165" s="21" t="n">
        <v>10381</v>
      </c>
      <c r="C2165" s="22" t="inlineStr">
        <is>
          <t>SELİM İNŞAAT</t>
        </is>
      </c>
      <c r="D2165" s="21" t="inlineStr">
        <is>
          <t>34 DRU 690</t>
        </is>
      </c>
      <c r="E2165" s="21" t="inlineStr">
        <is>
          <t>MURAT DEMİRBAŞ</t>
        </is>
      </c>
      <c r="F2165" s="23" t="n">
        <v>407352</v>
      </c>
      <c r="G2165" s="138" t="n"/>
      <c r="H2165" s="138" t="n">
        <v>382</v>
      </c>
      <c r="I2165" s="138">
        <f>+I2164+(G2165-H2165)</f>
        <v/>
      </c>
      <c r="J2165" s="139" t="n">
        <v>38.94</v>
      </c>
      <c r="K2165" s="140" t="n"/>
      <c r="L2165" s="140">
        <f>+H2165*J2165</f>
        <v/>
      </c>
      <c r="M2165" s="141">
        <f>SUM(M2164+K2165-L2165)</f>
        <v/>
      </c>
    </row>
    <row r="2166">
      <c r="A2166" s="20" t="n">
        <v>45784</v>
      </c>
      <c r="B2166" s="21" t="n">
        <v>11158</v>
      </c>
      <c r="C2166" s="22" t="inlineStr">
        <is>
          <t>SELİM İNŞAAT</t>
        </is>
      </c>
      <c r="D2166" s="21" t="inlineStr">
        <is>
          <t>34 HZ 1663</t>
        </is>
      </c>
      <c r="E2166" s="21" t="inlineStr">
        <is>
          <t>ÖNER DÜNDAR</t>
        </is>
      </c>
      <c r="F2166" s="23" t="n">
        <v>520280</v>
      </c>
      <c r="G2166" s="138" t="n"/>
      <c r="H2166" s="138" t="n">
        <v>318</v>
      </c>
      <c r="I2166" s="138">
        <f>+I2165+(G2166-H2166)</f>
        <v/>
      </c>
      <c r="J2166" s="139" t="n">
        <v>38.94</v>
      </c>
      <c r="K2166" s="140" t="n"/>
      <c r="L2166" s="140">
        <f>+H2166*J2166</f>
        <v/>
      </c>
      <c r="M2166" s="141">
        <f>SUM(M2165+K2166-L2166)</f>
        <v/>
      </c>
    </row>
    <row r="2167">
      <c r="A2167" s="20" t="n">
        <v>45784</v>
      </c>
      <c r="B2167" s="21" t="n">
        <v>10194</v>
      </c>
      <c r="C2167" s="22" t="inlineStr">
        <is>
          <t>SELİM İNŞAAT</t>
        </is>
      </c>
      <c r="D2167" s="21" t="inlineStr">
        <is>
          <t>34 EGR 736</t>
        </is>
      </c>
      <c r="E2167" s="21" t="inlineStr">
        <is>
          <t>HAKAN ÇAVUŞOĞLU</t>
        </is>
      </c>
      <c r="F2167" s="23" t="n">
        <v>380801</v>
      </c>
      <c r="G2167" s="138" t="n"/>
      <c r="H2167" s="138" t="n">
        <v>434</v>
      </c>
      <c r="I2167" s="138">
        <f>+I2166+(G2167-H2167)</f>
        <v/>
      </c>
      <c r="J2167" s="139" t="n">
        <v>38.94</v>
      </c>
      <c r="K2167" s="140" t="n"/>
      <c r="L2167" s="140">
        <f>+H2167*J2167</f>
        <v/>
      </c>
      <c r="M2167" s="141">
        <f>SUM(M2166+K2167-L2167)</f>
        <v/>
      </c>
    </row>
    <row r="2168">
      <c r="A2168" s="20" t="n">
        <v>45784</v>
      </c>
      <c r="B2168" s="21" t="n">
        <v>15504</v>
      </c>
      <c r="C2168" s="22" t="inlineStr">
        <is>
          <t>SELİM İNŞAAT</t>
        </is>
      </c>
      <c r="D2168" s="21" t="inlineStr">
        <is>
          <t>34 EDC 086</t>
        </is>
      </c>
      <c r="E2168" s="21" t="inlineStr">
        <is>
          <t>ÖMER AĞAYAR</t>
        </is>
      </c>
      <c r="F2168" s="23" t="n">
        <v>317998</v>
      </c>
      <c r="G2168" s="138" t="n"/>
      <c r="H2168" s="138" t="n">
        <v>270</v>
      </c>
      <c r="I2168" s="138">
        <f>+I2167+(G2168-H2168)</f>
        <v/>
      </c>
      <c r="J2168" s="139" t="n">
        <v>38.94</v>
      </c>
      <c r="K2168" s="140" t="n"/>
      <c r="L2168" s="140">
        <f>+H2168*J2168</f>
        <v/>
      </c>
      <c r="M2168" s="141">
        <f>SUM(M2167+K2168-L2168)</f>
        <v/>
      </c>
    </row>
    <row r="2169">
      <c r="A2169" s="20" t="n">
        <v>45784</v>
      </c>
      <c r="B2169" s="21" t="n">
        <v>10228</v>
      </c>
      <c r="C2169" s="22" t="inlineStr">
        <is>
          <t>SELİM İNŞAAT</t>
        </is>
      </c>
      <c r="D2169" s="21" t="inlineStr">
        <is>
          <t>34 DSN 621</t>
        </is>
      </c>
      <c r="E2169" s="21" t="inlineStr">
        <is>
          <t>MUSTAFA KAYA</t>
        </is>
      </c>
      <c r="F2169" s="23" t="n">
        <v>404074</v>
      </c>
      <c r="G2169" s="138" t="n"/>
      <c r="H2169" s="138" t="n">
        <v>365</v>
      </c>
      <c r="I2169" s="138">
        <f>+I2168+(G2169-H2169)</f>
        <v/>
      </c>
      <c r="J2169" s="139" t="n">
        <v>38.94</v>
      </c>
      <c r="K2169" s="140" t="n"/>
      <c r="L2169" s="140">
        <f>+H2169*J2169</f>
        <v/>
      </c>
      <c r="M2169" s="141">
        <f>SUM(M2168+K2169-L2169)</f>
        <v/>
      </c>
    </row>
    <row r="2170">
      <c r="A2170" s="20" t="n">
        <v>45784</v>
      </c>
      <c r="B2170" s="21" t="n">
        <v>14122</v>
      </c>
      <c r="C2170" s="22" t="inlineStr">
        <is>
          <t>SELİM İNŞAAT</t>
        </is>
      </c>
      <c r="D2170" s="21" t="inlineStr">
        <is>
          <t>34 DSN 536</t>
        </is>
      </c>
      <c r="E2170" s="21" t="inlineStr">
        <is>
          <t>DURSUN ALİ GÜREK</t>
        </is>
      </c>
      <c r="F2170" s="23" t="n">
        <v>396280</v>
      </c>
      <c r="G2170" s="138" t="n"/>
      <c r="H2170" s="138" t="n">
        <v>176</v>
      </c>
      <c r="I2170" s="138">
        <f>+I2169+(G2170-H2170)</f>
        <v/>
      </c>
      <c r="J2170" s="139" t="n">
        <v>38.94</v>
      </c>
      <c r="K2170" s="140" t="n"/>
      <c r="L2170" s="140">
        <f>+H2170*J2170</f>
        <v/>
      </c>
      <c r="M2170" s="141">
        <f>SUM(M2169+K2170-L2170)</f>
        <v/>
      </c>
    </row>
    <row r="2171">
      <c r="A2171" s="20" t="n">
        <v>45784</v>
      </c>
      <c r="B2171" s="21" t="n">
        <v>11299</v>
      </c>
      <c r="C2171" s="22" t="inlineStr">
        <is>
          <t>SELİM İNŞAAT</t>
        </is>
      </c>
      <c r="D2171" s="21" t="inlineStr">
        <is>
          <t>34 EDC 162</t>
        </is>
      </c>
      <c r="E2171" s="21" t="inlineStr">
        <is>
          <t xml:space="preserve">YAKUP GÜNER </t>
        </is>
      </c>
      <c r="F2171" s="23" t="n">
        <v>360475</v>
      </c>
      <c r="G2171" s="138" t="n"/>
      <c r="H2171" s="138" t="n">
        <v>298</v>
      </c>
      <c r="I2171" s="138">
        <f>+I2170+(G2171-H2171)</f>
        <v/>
      </c>
      <c r="J2171" s="139" t="n">
        <v>38.94</v>
      </c>
      <c r="K2171" s="140" t="n"/>
      <c r="L2171" s="140">
        <f>+H2171*J2171</f>
        <v/>
      </c>
      <c r="M2171" s="141">
        <f>SUM(M2170+K2171-L2171)</f>
        <v/>
      </c>
    </row>
    <row r="2172">
      <c r="A2172" s="20" t="n">
        <v>45784</v>
      </c>
      <c r="B2172" s="21" t="n">
        <v>21616</v>
      </c>
      <c r="C2172" s="22" t="inlineStr">
        <is>
          <t>SELİM İNŞAAT</t>
        </is>
      </c>
      <c r="D2172" s="21" t="inlineStr">
        <is>
          <t>34 DHC 467</t>
        </is>
      </c>
      <c r="E2172" s="21" t="inlineStr">
        <is>
          <t>YAŞAR ÖZKAYA</t>
        </is>
      </c>
      <c r="F2172" s="23" t="n">
        <v>396210</v>
      </c>
      <c r="G2172" s="138" t="n"/>
      <c r="H2172" s="138" t="n">
        <v>232</v>
      </c>
      <c r="I2172" s="138">
        <f>+I2171+(G2172-H2172)</f>
        <v/>
      </c>
      <c r="J2172" s="139" t="n">
        <v>38.94</v>
      </c>
      <c r="K2172" s="140" t="n"/>
      <c r="L2172" s="140">
        <f>+H2172*J2172</f>
        <v/>
      </c>
      <c r="M2172" s="141">
        <f>SUM(M2171+K2172-L2172)</f>
        <v/>
      </c>
    </row>
    <row r="2173">
      <c r="A2173" s="20" t="n">
        <v>45784</v>
      </c>
      <c r="B2173" s="21" t="n">
        <v>11830</v>
      </c>
      <c r="C2173" s="22" t="inlineStr">
        <is>
          <t>SELİM İNŞAAT</t>
        </is>
      </c>
      <c r="D2173" s="21" t="inlineStr">
        <is>
          <t>34 FSG 229</t>
        </is>
      </c>
      <c r="E2173" s="21" t="inlineStr">
        <is>
          <t>SİNAN TANRIVERDİ</t>
        </is>
      </c>
      <c r="F2173" s="23" t="n">
        <v>249449</v>
      </c>
      <c r="G2173" s="138" t="n"/>
      <c r="H2173" s="138" t="n">
        <v>351</v>
      </c>
      <c r="I2173" s="138">
        <f>+I2172+(G2173-H2173)</f>
        <v/>
      </c>
      <c r="J2173" s="139" t="n">
        <v>38.94</v>
      </c>
      <c r="K2173" s="140" t="n"/>
      <c r="L2173" s="140">
        <f>+H2173*J2173</f>
        <v/>
      </c>
      <c r="M2173" s="141">
        <f>SUM(M2172+K2173-L2173)</f>
        <v/>
      </c>
    </row>
    <row r="2174">
      <c r="A2174" s="20" t="n">
        <v>45784</v>
      </c>
      <c r="B2174" s="21" t="n">
        <v>21499</v>
      </c>
      <c r="C2174" s="22" t="inlineStr">
        <is>
          <t>SELİM İNŞAAT</t>
        </is>
      </c>
      <c r="D2174" s="21" t="inlineStr">
        <is>
          <t>34 GVZ 635</t>
        </is>
      </c>
      <c r="E2174" s="21" t="inlineStr">
        <is>
          <t>ENGİN DEMİR</t>
        </is>
      </c>
      <c r="F2174" s="23" t="n">
        <v>163755</v>
      </c>
      <c r="G2174" s="138" t="n"/>
      <c r="H2174" s="138" t="n">
        <v>266</v>
      </c>
      <c r="I2174" s="138">
        <f>+I2173+(G2174-H2174)</f>
        <v/>
      </c>
      <c r="J2174" s="139" t="n">
        <v>38.94</v>
      </c>
      <c r="K2174" s="140" t="n"/>
      <c r="L2174" s="140">
        <f>+H2174*J2174</f>
        <v/>
      </c>
      <c r="M2174" s="141">
        <f>SUM(M2173+K2174-L2174)</f>
        <v/>
      </c>
    </row>
    <row r="2175">
      <c r="A2175" s="20" t="n">
        <v>45784</v>
      </c>
      <c r="B2175" s="21" t="n">
        <v>11639</v>
      </c>
      <c r="C2175" s="22" t="inlineStr">
        <is>
          <t>SELİM İNŞAAT</t>
        </is>
      </c>
      <c r="D2175" s="21" t="inlineStr">
        <is>
          <t>34 EDB 352</t>
        </is>
      </c>
      <c r="E2175" s="21" t="inlineStr">
        <is>
          <t>RASİM BARTU</t>
        </is>
      </c>
      <c r="F2175" s="23" t="n">
        <v>425016</v>
      </c>
      <c r="G2175" s="138" t="n"/>
      <c r="H2175" s="138" t="n">
        <v>503</v>
      </c>
      <c r="I2175" s="138">
        <f>+I2174+(G2175-H2175)</f>
        <v/>
      </c>
      <c r="J2175" s="139" t="n">
        <v>38.94</v>
      </c>
      <c r="K2175" s="140" t="n"/>
      <c r="L2175" s="140">
        <f>+H2175*J2175</f>
        <v/>
      </c>
      <c r="M2175" s="141">
        <f>SUM(M2174+K2175-L2175)</f>
        <v/>
      </c>
    </row>
    <row r="2176">
      <c r="A2176" s="20" t="n">
        <v>45785</v>
      </c>
      <c r="B2176" s="21" t="n">
        <v>14723</v>
      </c>
      <c r="C2176" s="22" t="inlineStr">
        <is>
          <t>METİN ERYİĞİT</t>
        </is>
      </c>
      <c r="D2176" s="21" t="inlineStr">
        <is>
          <t>34 GBL 998</t>
        </is>
      </c>
      <c r="E2176" s="21" t="inlineStr">
        <is>
          <t>ALİ KESKİN</t>
        </is>
      </c>
      <c r="F2176" s="23" t="n">
        <v>258098</v>
      </c>
      <c r="G2176" s="138" t="n"/>
      <c r="H2176" s="138" t="n">
        <v>443</v>
      </c>
      <c r="I2176" s="138">
        <f>+I2175+(G2176-H2176)</f>
        <v/>
      </c>
      <c r="J2176" s="139" t="n">
        <v>38.94</v>
      </c>
      <c r="K2176" s="140" t="n"/>
      <c r="L2176" s="140">
        <f>+H2176*J2176</f>
        <v/>
      </c>
      <c r="M2176" s="141">
        <f>SUM(M2175+K2176-L2176)</f>
        <v/>
      </c>
    </row>
    <row r="2177">
      <c r="A2177" s="20" t="n">
        <v>45785</v>
      </c>
      <c r="B2177" s="21" t="n">
        <v>11450</v>
      </c>
      <c r="C2177" s="22" t="inlineStr">
        <is>
          <t>METİN ERYİĞİT</t>
        </is>
      </c>
      <c r="D2177" s="21" t="inlineStr">
        <is>
          <t>34 EGR 814</t>
        </is>
      </c>
      <c r="E2177" s="21" t="inlineStr">
        <is>
          <t>GÜRAY KOYUNCU</t>
        </is>
      </c>
      <c r="F2177" s="23" t="n">
        <v>532641</v>
      </c>
      <c r="G2177" s="138" t="n"/>
      <c r="H2177" s="138" t="n">
        <v>503</v>
      </c>
      <c r="I2177" s="138">
        <f>+I2176+(G2177-H2177)</f>
        <v/>
      </c>
      <c r="J2177" s="139" t="n">
        <v>38.94</v>
      </c>
      <c r="K2177" s="140" t="n"/>
      <c r="L2177" s="140">
        <f>+H2177*J2177</f>
        <v/>
      </c>
      <c r="M2177" s="141">
        <f>SUM(M2176+K2177-L2177)</f>
        <v/>
      </c>
    </row>
    <row r="2178">
      <c r="A2178" s="20" t="n">
        <v>45785</v>
      </c>
      <c r="B2178" s="21" t="n">
        <v>11480</v>
      </c>
      <c r="C2178" s="22" t="inlineStr">
        <is>
          <t>METİN ŞİRİN</t>
        </is>
      </c>
      <c r="D2178" s="21" t="inlineStr">
        <is>
          <t>34 EGR 922</t>
        </is>
      </c>
      <c r="E2178" s="21" t="inlineStr">
        <is>
          <t>FARUK ÖZEN</t>
        </is>
      </c>
      <c r="F2178" s="23" t="n">
        <v>447634</v>
      </c>
      <c r="G2178" s="138" t="n"/>
      <c r="H2178" s="138" t="n">
        <v>332</v>
      </c>
      <c r="I2178" s="138">
        <f>+I2177+(G2178-H2178)</f>
        <v/>
      </c>
      <c r="J2178" s="139" t="n">
        <v>38.94</v>
      </c>
      <c r="K2178" s="140" t="n"/>
      <c r="L2178" s="140">
        <f>+H2178*J2178</f>
        <v/>
      </c>
      <c r="M2178" s="141">
        <f>SUM(M2177+K2178-L2178)</f>
        <v/>
      </c>
    </row>
    <row r="2179">
      <c r="A2179" s="20" t="n">
        <v>45785</v>
      </c>
      <c r="B2179" s="21" t="n">
        <v>14677</v>
      </c>
      <c r="C2179" s="22" t="inlineStr">
        <is>
          <t>AHMET SELİM TEMHA</t>
        </is>
      </c>
      <c r="D2179" s="21" t="inlineStr">
        <is>
          <t>FOKLİFT</t>
        </is>
      </c>
      <c r="E2179" s="21" t="inlineStr">
        <is>
          <t>ÖMER DUMAN</t>
        </is>
      </c>
      <c r="F2179" s="23" t="n"/>
      <c r="G2179" s="138" t="n"/>
      <c r="H2179" s="138" t="n">
        <v>46</v>
      </c>
      <c r="I2179" s="138">
        <f>+I2178+(G2179-H2179)</f>
        <v/>
      </c>
      <c r="J2179" s="139" t="n">
        <v>38.94</v>
      </c>
      <c r="K2179" s="140" t="n"/>
      <c r="L2179" s="140">
        <f>+H2179*J2179</f>
        <v/>
      </c>
      <c r="M2179" s="141">
        <f>SUM(M2178+K2179-L2179)</f>
        <v/>
      </c>
    </row>
    <row r="2180">
      <c r="A2180" s="20" t="n">
        <v>45785</v>
      </c>
      <c r="B2180" s="21" t="n">
        <v>14678</v>
      </c>
      <c r="C2180" s="22" t="inlineStr">
        <is>
          <t>RECEP SELİM OTO KURTARICI</t>
        </is>
      </c>
      <c r="D2180" s="21" t="inlineStr">
        <is>
          <t>34 GC 8658</t>
        </is>
      </c>
      <c r="E2180" s="21" t="inlineStr">
        <is>
          <t>RECEP SELİM</t>
        </is>
      </c>
      <c r="F2180" s="23" t="n"/>
      <c r="G2180" s="138" t="n"/>
      <c r="H2180" s="138" t="n">
        <v>60</v>
      </c>
      <c r="I2180" s="138">
        <f>+I2179+(G2180-H2180)</f>
        <v/>
      </c>
      <c r="J2180" s="139" t="n">
        <v>38.94</v>
      </c>
      <c r="K2180" s="140" t="n"/>
      <c r="L2180" s="140">
        <f>+H2180*J2180</f>
        <v/>
      </c>
      <c r="M2180" s="141">
        <f>SUM(M2179+K2180-L2180)</f>
        <v/>
      </c>
    </row>
    <row r="2181">
      <c r="A2181" s="20" t="n">
        <v>45785</v>
      </c>
      <c r="B2181" s="1" t="n">
        <v>15725</v>
      </c>
      <c r="C2181" s="2" t="inlineStr">
        <is>
          <t>VARLIK</t>
        </is>
      </c>
      <c r="D2181" s="1" t="inlineStr">
        <is>
          <t>SM 300</t>
        </is>
      </c>
      <c r="E2181" s="1" t="inlineStr">
        <is>
          <t>TURGUT SANCAK</t>
        </is>
      </c>
      <c r="F2181" s="3" t="n"/>
      <c r="G2181" s="143" t="n"/>
      <c r="H2181" s="143" t="n">
        <v>313</v>
      </c>
      <c r="I2181" s="143">
        <f>+I2180+(G2181-H2181)</f>
        <v/>
      </c>
      <c r="J2181" s="144" t="n">
        <v>38.94</v>
      </c>
      <c r="K2181" s="145" t="n"/>
      <c r="L2181" s="140">
        <f>+H2181*J2181</f>
        <v/>
      </c>
      <c r="M2181" s="141">
        <f>SUM(M2180+K2181-L2181)</f>
        <v/>
      </c>
    </row>
    <row r="2182">
      <c r="A2182" s="20" t="n">
        <v>45785</v>
      </c>
      <c r="B2182" s="1" t="n">
        <v>15726</v>
      </c>
      <c r="C2182" s="2" t="inlineStr">
        <is>
          <t>VARLIK</t>
        </is>
      </c>
      <c r="D2182" s="1" t="inlineStr">
        <is>
          <t>SM 350</t>
        </is>
      </c>
      <c r="E2182" s="1" t="inlineStr">
        <is>
          <t>BAYRAM SANCAK</t>
        </is>
      </c>
      <c r="F2182" s="3" t="n"/>
      <c r="G2182" s="143" t="n"/>
      <c r="H2182" s="143" t="n">
        <v>233</v>
      </c>
      <c r="I2182" s="143">
        <f>+I2181+(G2182-H2182)</f>
        <v/>
      </c>
      <c r="J2182" s="144" t="n">
        <v>38.94</v>
      </c>
      <c r="K2182" s="145" t="n"/>
      <c r="L2182" s="140">
        <f>+H2182*J2182</f>
        <v/>
      </c>
      <c r="M2182" s="141">
        <f>SUM(M2181+K2182-L2182)</f>
        <v/>
      </c>
    </row>
    <row r="2183">
      <c r="A2183" s="20" t="n">
        <v>45785</v>
      </c>
      <c r="B2183" s="1" t="n">
        <v>15727</v>
      </c>
      <c r="C2183" s="2" t="inlineStr">
        <is>
          <t>VARLIK</t>
        </is>
      </c>
      <c r="D2183" s="1" t="inlineStr">
        <is>
          <t>SM 370</t>
        </is>
      </c>
      <c r="E2183" s="1" t="inlineStr">
        <is>
          <t>TEKİN ŞEYLAN</t>
        </is>
      </c>
      <c r="F2183" s="3" t="n"/>
      <c r="G2183" s="143" t="n"/>
      <c r="H2183" s="143" t="n">
        <v>238</v>
      </c>
      <c r="I2183" s="143">
        <f>+I2182+(G2183-H2183)</f>
        <v/>
      </c>
      <c r="J2183" s="144" t="n">
        <v>38.94</v>
      </c>
      <c r="K2183" s="145" t="n"/>
      <c r="L2183" s="140">
        <f>+H2183*J2183</f>
        <v/>
      </c>
      <c r="M2183" s="141">
        <f>SUM(M2182+K2183-L2183)</f>
        <v/>
      </c>
    </row>
    <row r="2184">
      <c r="A2184" s="20" t="n">
        <v>45785</v>
      </c>
      <c r="B2184" s="21" t="n">
        <v>15728</v>
      </c>
      <c r="C2184" s="22" t="inlineStr">
        <is>
          <t>EVKUR</t>
        </is>
      </c>
      <c r="D2184" s="21" t="inlineStr">
        <is>
          <t>FOKLİFT</t>
        </is>
      </c>
      <c r="E2184" s="21" t="inlineStr">
        <is>
          <t>FAHRİ KALFA</t>
        </is>
      </c>
      <c r="F2184" s="23" t="n"/>
      <c r="G2184" s="138" t="n"/>
      <c r="H2184" s="138" t="n">
        <v>22</v>
      </c>
      <c r="I2184" s="138">
        <f>+I2183+(G2184-H2184)</f>
        <v/>
      </c>
      <c r="J2184" s="139" t="n">
        <v>38.94</v>
      </c>
      <c r="K2184" s="140" t="n"/>
      <c r="L2184" s="140">
        <f>+H2184*J2184</f>
        <v/>
      </c>
      <c r="M2184" s="141">
        <f>SUM(M2183+K2184-L2184)</f>
        <v/>
      </c>
    </row>
    <row r="2185">
      <c r="A2185" s="20" t="n">
        <v>45785</v>
      </c>
      <c r="B2185" s="21" t="n">
        <v>15729</v>
      </c>
      <c r="C2185" s="22" t="inlineStr">
        <is>
          <t>ENES SELİM</t>
        </is>
      </c>
      <c r="D2185" s="21" t="inlineStr">
        <is>
          <t>TB 926 VİNÇ</t>
        </is>
      </c>
      <c r="E2185" s="21" t="inlineStr">
        <is>
          <t>ENES SELİM</t>
        </is>
      </c>
      <c r="F2185" s="23" t="n"/>
      <c r="G2185" s="138" t="n"/>
      <c r="H2185" s="138" t="n">
        <v>197</v>
      </c>
      <c r="I2185" s="138">
        <f>+I2184+(G2185-H2185)</f>
        <v/>
      </c>
      <c r="J2185" s="139" t="n">
        <v>38.94</v>
      </c>
      <c r="K2185" s="140" t="n"/>
      <c r="L2185" s="140">
        <f>+H2185*J2185</f>
        <v/>
      </c>
      <c r="M2185" s="141">
        <f>SUM(M2184+K2185-L2185)</f>
        <v/>
      </c>
    </row>
    <row r="2186">
      <c r="A2186" s="20" t="n">
        <v>45785</v>
      </c>
      <c r="B2186" s="1" t="n">
        <v>15730</v>
      </c>
      <c r="C2186" s="2" t="inlineStr">
        <is>
          <t>EVKUR</t>
        </is>
      </c>
      <c r="D2186" s="1" t="inlineStr">
        <is>
          <t>MNT 2260</t>
        </is>
      </c>
      <c r="E2186" s="1" t="inlineStr">
        <is>
          <t>MUHAMMED KANTAR</t>
        </is>
      </c>
      <c r="F2186" s="3" t="n"/>
      <c r="G2186" s="143" t="n"/>
      <c r="H2186" s="143" t="n">
        <v>185</v>
      </c>
      <c r="I2186" s="143">
        <f>+I2185+(G2186-H2186)</f>
        <v/>
      </c>
      <c r="J2186" s="144" t="n">
        <v>38.94</v>
      </c>
      <c r="K2186" s="145" t="n"/>
      <c r="L2186" s="140">
        <f>+H2186*J2186</f>
        <v/>
      </c>
      <c r="M2186" s="141">
        <f>SUM(M2185+K2186-L2186)</f>
        <v/>
      </c>
    </row>
    <row r="2187">
      <c r="A2187" s="20" t="n">
        <v>45785</v>
      </c>
      <c r="B2187" s="21" t="n">
        <v>10147</v>
      </c>
      <c r="C2187" s="22" t="inlineStr">
        <is>
          <t>SELİM İNŞAAT</t>
        </is>
      </c>
      <c r="D2187" s="21" t="inlineStr">
        <is>
          <t>34 DP 4161</t>
        </is>
      </c>
      <c r="E2187" s="21" t="inlineStr">
        <is>
          <t>RIFAT KARATAY</t>
        </is>
      </c>
      <c r="F2187" s="23" t="n">
        <v>284136</v>
      </c>
      <c r="G2187" s="138" t="n"/>
      <c r="H2187" s="138" t="n">
        <v>172</v>
      </c>
      <c r="I2187" s="138">
        <f>+I2186+(G2187-H2187)</f>
        <v/>
      </c>
      <c r="J2187" s="139" t="n">
        <v>38.94</v>
      </c>
      <c r="K2187" s="140" t="n"/>
      <c r="L2187" s="140">
        <f>+H2187*J2187</f>
        <v/>
      </c>
      <c r="M2187" s="141">
        <f>SUM(M2186+K2187-L2187)</f>
        <v/>
      </c>
    </row>
    <row r="2188">
      <c r="A2188" s="20" t="n">
        <v>45785</v>
      </c>
      <c r="B2188" s="21" t="n">
        <v>10789</v>
      </c>
      <c r="C2188" s="22" t="inlineStr">
        <is>
          <t>SELİM İNŞAAT</t>
        </is>
      </c>
      <c r="D2188" s="21" t="inlineStr">
        <is>
          <t>34 FBR 705</t>
        </is>
      </c>
      <c r="E2188" s="21" t="inlineStr">
        <is>
          <t>MESUT GÜRLER</t>
        </is>
      </c>
      <c r="F2188" s="23" t="n">
        <v>306998</v>
      </c>
      <c r="G2188" s="138" t="n"/>
      <c r="H2188" s="138" t="n">
        <v>306</v>
      </c>
      <c r="I2188" s="138">
        <f>+I2187+(G2188-H2188)</f>
        <v/>
      </c>
      <c r="J2188" s="139" t="n">
        <v>38.94</v>
      </c>
      <c r="K2188" s="140" t="n"/>
      <c r="L2188" s="140">
        <f>+H2188*J2188</f>
        <v/>
      </c>
      <c r="M2188" s="141">
        <f>SUM(M2187+K2188-L2188)</f>
        <v/>
      </c>
    </row>
    <row r="2189">
      <c r="A2189" s="20" t="n">
        <v>45785</v>
      </c>
      <c r="B2189" s="21" t="n">
        <v>10382</v>
      </c>
      <c r="C2189" s="22" t="inlineStr">
        <is>
          <t>SELİM İNŞAAT</t>
        </is>
      </c>
      <c r="D2189" s="21" t="inlineStr">
        <is>
          <t>34 DRU 690</t>
        </is>
      </c>
      <c r="E2189" s="21" t="inlineStr">
        <is>
          <t>MURAT DEMİRBAŞ</t>
        </is>
      </c>
      <c r="F2189" s="23" t="n">
        <v>407611</v>
      </c>
      <c r="G2189" s="138" t="n"/>
      <c r="H2189" s="138" t="n">
        <v>135</v>
      </c>
      <c r="I2189" s="138">
        <f>+I2188+(G2189-H2189)</f>
        <v/>
      </c>
      <c r="J2189" s="139" t="n">
        <v>38.94</v>
      </c>
      <c r="K2189" s="140" t="n"/>
      <c r="L2189" s="140">
        <f>+H2189*J2189</f>
        <v/>
      </c>
      <c r="M2189" s="141">
        <f>SUM(M2188+K2189-L2189)</f>
        <v/>
      </c>
    </row>
    <row r="2190">
      <c r="A2190" s="20" t="n">
        <v>45785</v>
      </c>
      <c r="B2190" s="21" t="n">
        <v>10085</v>
      </c>
      <c r="C2190" s="22" t="inlineStr">
        <is>
          <t>SELİM İNŞAAT</t>
        </is>
      </c>
      <c r="D2190" s="21" t="inlineStr">
        <is>
          <t>34 FBR 771</t>
        </is>
      </c>
      <c r="E2190" s="21" t="inlineStr">
        <is>
          <t>HÜSEYİN AKÇİN</t>
        </is>
      </c>
      <c r="F2190" s="23" t="n">
        <v>309859</v>
      </c>
      <c r="G2190" s="138" t="n"/>
      <c r="H2190" s="138" t="n">
        <v>296</v>
      </c>
      <c r="I2190" s="138">
        <f>+I2189+(G2190-H2190)</f>
        <v/>
      </c>
      <c r="J2190" s="139" t="n">
        <v>38.94</v>
      </c>
      <c r="K2190" s="140" t="n"/>
      <c r="L2190" s="140">
        <f>+H2190*J2190</f>
        <v/>
      </c>
      <c r="M2190" s="141">
        <f>SUM(M2189+K2190-L2190)</f>
        <v/>
      </c>
    </row>
    <row r="2191">
      <c r="A2191" s="20" t="n">
        <v>45785</v>
      </c>
      <c r="B2191" s="21" t="n">
        <v>11216</v>
      </c>
      <c r="C2191" s="22" t="inlineStr">
        <is>
          <t>SELİM İNŞAAT</t>
        </is>
      </c>
      <c r="D2191" s="21" t="inlineStr">
        <is>
          <t>34 DSN 636</t>
        </is>
      </c>
      <c r="E2191" s="21" t="inlineStr">
        <is>
          <t>EBUBEKİR KOLDAŞ</t>
        </is>
      </c>
      <c r="F2191" s="23" t="n">
        <v>382500</v>
      </c>
      <c r="G2191" s="138" t="n"/>
      <c r="H2191" s="138" t="n">
        <v>373</v>
      </c>
      <c r="I2191" s="138">
        <f>+I2190+(G2191-H2191)</f>
        <v/>
      </c>
      <c r="J2191" s="139" t="n">
        <v>38.94</v>
      </c>
      <c r="K2191" s="140" t="n"/>
      <c r="L2191" s="140">
        <f>+H2191*J2191</f>
        <v/>
      </c>
      <c r="M2191" s="141">
        <f>SUM(M2190+K2191-L2191)</f>
        <v/>
      </c>
    </row>
    <row r="2192">
      <c r="A2192" s="20" t="n">
        <v>45785</v>
      </c>
      <c r="B2192" s="21" t="n">
        <v>14224</v>
      </c>
      <c r="C2192" s="22" t="inlineStr">
        <is>
          <t>SELİM İNŞAAT</t>
        </is>
      </c>
      <c r="D2192" s="21" t="inlineStr">
        <is>
          <t xml:space="preserve">34 GUS 938 </t>
        </is>
      </c>
      <c r="E2192" s="21" t="inlineStr">
        <is>
          <t>MEHMET AĞAYAR</t>
        </is>
      </c>
      <c r="F2192" s="23" t="n">
        <v>178122</v>
      </c>
      <c r="G2192" s="138" t="n"/>
      <c r="H2192" s="138" t="n">
        <v>355</v>
      </c>
      <c r="I2192" s="138">
        <f>+I2191+(G2192-H2192)</f>
        <v/>
      </c>
      <c r="J2192" s="139" t="n">
        <v>38.94</v>
      </c>
      <c r="K2192" s="140" t="n"/>
      <c r="L2192" s="140">
        <f>+H2192*J2192</f>
        <v/>
      </c>
      <c r="M2192" s="141">
        <f>SUM(M2191+K2192-L2192)</f>
        <v/>
      </c>
    </row>
    <row r="2193">
      <c r="A2193" s="20" t="n">
        <v>45785</v>
      </c>
      <c r="B2193" s="21" t="n">
        <v>10342</v>
      </c>
      <c r="C2193" s="22" t="inlineStr">
        <is>
          <t>SELİM İNŞAAT</t>
        </is>
      </c>
      <c r="D2193" s="21" t="inlineStr">
        <is>
          <t>34 EDB 829</t>
        </is>
      </c>
      <c r="E2193" s="21" t="inlineStr">
        <is>
          <t>İSMET BAYRAM</t>
        </is>
      </c>
      <c r="F2193" s="23" t="n">
        <v>310910</v>
      </c>
      <c r="G2193" s="138" t="n"/>
      <c r="H2193" s="138" t="n">
        <v>237</v>
      </c>
      <c r="I2193" s="138">
        <f>+I2192+(G2193-H2193)</f>
        <v/>
      </c>
      <c r="J2193" s="139" t="n">
        <v>38.94</v>
      </c>
      <c r="K2193" s="140" t="n"/>
      <c r="L2193" s="140">
        <f>+H2193*J2193</f>
        <v/>
      </c>
      <c r="M2193" s="141">
        <f>SUM(M2192+K2193-L2193)</f>
        <v/>
      </c>
    </row>
    <row r="2194">
      <c r="A2194" s="20" t="n">
        <v>45785</v>
      </c>
      <c r="B2194" s="21" t="n">
        <v>11935</v>
      </c>
      <c r="C2194" s="22" t="inlineStr">
        <is>
          <t>SELİM İNŞAAT</t>
        </is>
      </c>
      <c r="D2194" s="21" t="inlineStr">
        <is>
          <t>34 FBR 742</t>
        </is>
      </c>
      <c r="E2194" s="21" t="inlineStr">
        <is>
          <t>MİKAİL BAYILMAZ</t>
        </is>
      </c>
      <c r="F2194" s="23" t="n">
        <v>310224</v>
      </c>
      <c r="G2194" s="138" t="n"/>
      <c r="H2194" s="138" t="n">
        <v>100</v>
      </c>
      <c r="I2194" s="138">
        <f>+I2193+(G2194-H2194)</f>
        <v/>
      </c>
      <c r="J2194" s="139" t="n">
        <v>38.94</v>
      </c>
      <c r="K2194" s="140" t="n"/>
      <c r="L2194" s="140">
        <f>+H2194*J2194</f>
        <v/>
      </c>
      <c r="M2194" s="141">
        <f>SUM(M2193+K2194-L2194)</f>
        <v/>
      </c>
    </row>
    <row r="2195">
      <c r="A2195" s="20" t="n">
        <v>45785</v>
      </c>
      <c r="B2195" s="21" t="n">
        <v>14027</v>
      </c>
      <c r="C2195" s="22" t="inlineStr">
        <is>
          <t>SELİM İNŞAAT</t>
        </is>
      </c>
      <c r="D2195" s="21" t="inlineStr">
        <is>
          <t>34 GVZ 310</t>
        </is>
      </c>
      <c r="E2195" s="21" t="inlineStr">
        <is>
          <t>CELAL YÜZBAŞI</t>
        </is>
      </c>
      <c r="F2195" s="23" t="n">
        <v>189606</v>
      </c>
      <c r="G2195" s="138" t="n"/>
      <c r="H2195" s="138" t="n">
        <v>337</v>
      </c>
      <c r="I2195" s="138">
        <f>+I2194+(G2195-H2195)</f>
        <v/>
      </c>
      <c r="J2195" s="139" t="n">
        <v>38.94</v>
      </c>
      <c r="K2195" s="140" t="n"/>
      <c r="L2195" s="140">
        <f>+H2195*J2195</f>
        <v/>
      </c>
      <c r="M2195" s="141">
        <f>SUM(M2194+K2195-L2195)</f>
        <v/>
      </c>
    </row>
    <row r="2196">
      <c r="A2196" s="20" t="n">
        <v>45785</v>
      </c>
      <c r="B2196" s="21" t="n">
        <v>15202</v>
      </c>
      <c r="C2196" s="22" t="inlineStr">
        <is>
          <t>SELİM İNŞAAT</t>
        </is>
      </c>
      <c r="D2196" s="21" t="inlineStr">
        <is>
          <t>34 DSN 565</t>
        </is>
      </c>
      <c r="E2196" s="21" t="inlineStr">
        <is>
          <t>ERSEL DERVİŞ</t>
        </is>
      </c>
      <c r="F2196" s="23" t="n">
        <v>396082</v>
      </c>
      <c r="G2196" s="138" t="n"/>
      <c r="H2196" s="138" t="n">
        <v>344</v>
      </c>
      <c r="I2196" s="138">
        <f>+I2195+(G2196-H2196)</f>
        <v/>
      </c>
      <c r="J2196" s="139" t="n">
        <v>38.94</v>
      </c>
      <c r="K2196" s="140" t="n"/>
      <c r="L2196" s="140">
        <f>+H2196*J2196</f>
        <v/>
      </c>
      <c r="M2196" s="141">
        <f>SUM(M2195+K2196-L2196)</f>
        <v/>
      </c>
    </row>
    <row r="2197">
      <c r="A2197" s="20" t="n">
        <v>45785</v>
      </c>
      <c r="B2197" s="21" t="n">
        <v>14076</v>
      </c>
      <c r="C2197" s="22" t="inlineStr">
        <is>
          <t>SELİM İNŞAAT</t>
        </is>
      </c>
      <c r="D2197" s="21" t="inlineStr">
        <is>
          <t>34 EDB 659</t>
        </is>
      </c>
      <c r="E2197" s="21" t="inlineStr">
        <is>
          <t>MEHMET SAİT ANIK</t>
        </is>
      </c>
      <c r="F2197" s="23" t="n">
        <v>332160</v>
      </c>
      <c r="G2197" s="138" t="n"/>
      <c r="H2197" s="138" t="n">
        <v>284</v>
      </c>
      <c r="I2197" s="138">
        <f>+I2196+(G2197-H2197)</f>
        <v/>
      </c>
      <c r="J2197" s="139" t="n">
        <v>38.94</v>
      </c>
      <c r="K2197" s="140" t="n"/>
      <c r="L2197" s="140">
        <f>+H2197*J2197</f>
        <v/>
      </c>
      <c r="M2197" s="141">
        <f>SUM(M2196+K2197-L2197)</f>
        <v/>
      </c>
    </row>
    <row r="2198">
      <c r="A2198" s="20" t="n">
        <v>45785</v>
      </c>
      <c r="B2198" s="21" t="n">
        <v>15103</v>
      </c>
      <c r="C2198" s="22" t="inlineStr">
        <is>
          <t>SELİM İNŞAAT</t>
        </is>
      </c>
      <c r="D2198" s="21" t="inlineStr">
        <is>
          <t>34 DTV 599</t>
        </is>
      </c>
      <c r="E2198" s="21" t="inlineStr">
        <is>
          <t>FERHAT GÜRLER</t>
        </is>
      </c>
      <c r="F2198" s="23" t="n">
        <v>424888</v>
      </c>
      <c r="G2198" s="138" t="n"/>
      <c r="H2198" s="138" t="n">
        <v>361</v>
      </c>
      <c r="I2198" s="138">
        <f>+I2197+(G2198-H2198)</f>
        <v/>
      </c>
      <c r="J2198" s="139" t="n">
        <v>38.94</v>
      </c>
      <c r="K2198" s="140" t="n"/>
      <c r="L2198" s="140">
        <f>+H2198*J2198</f>
        <v/>
      </c>
      <c r="M2198" s="141">
        <f>SUM(M2197+K2198-L2198)</f>
        <v/>
      </c>
    </row>
    <row r="2199">
      <c r="A2199" s="20" t="n">
        <v>45785</v>
      </c>
      <c r="B2199" s="21" t="n">
        <v>21500</v>
      </c>
      <c r="C2199" s="22" t="inlineStr">
        <is>
          <t>SELİM İNŞAAT</t>
        </is>
      </c>
      <c r="D2199" s="21" t="inlineStr">
        <is>
          <t>34 GVZ 635</t>
        </is>
      </c>
      <c r="E2199" s="21" t="inlineStr">
        <is>
          <t>ENGİN DEMİR</t>
        </is>
      </c>
      <c r="F2199" s="23" t="n">
        <v>164402</v>
      </c>
      <c r="G2199" s="138" t="n"/>
      <c r="H2199" s="138" t="n">
        <v>238</v>
      </c>
      <c r="I2199" s="138">
        <f>+I2198+(G2199-H2199)</f>
        <v/>
      </c>
      <c r="J2199" s="139" t="n">
        <v>38.94</v>
      </c>
      <c r="K2199" s="140" t="n"/>
      <c r="L2199" s="140">
        <f>+H2199*J2199</f>
        <v/>
      </c>
      <c r="M2199" s="141">
        <f>SUM(M2198+K2199-L2199)</f>
        <v/>
      </c>
    </row>
    <row r="2200">
      <c r="A2200" s="20" t="n">
        <v>45785</v>
      </c>
      <c r="B2200" s="21" t="n">
        <v>11145</v>
      </c>
      <c r="C2200" s="22" t="inlineStr">
        <is>
          <t>SELİM İNŞAAT</t>
        </is>
      </c>
      <c r="D2200" s="21" t="inlineStr">
        <is>
          <t>34 DTV 409</t>
        </is>
      </c>
      <c r="E2200" s="21" t="inlineStr">
        <is>
          <t>CEM MUHTAR</t>
        </is>
      </c>
      <c r="F2200" s="23" t="n">
        <v>410282</v>
      </c>
      <c r="G2200" s="138" t="n"/>
      <c r="H2200" s="138" t="n">
        <v>404</v>
      </c>
      <c r="I2200" s="138">
        <f>+I2199+(G2200-H2200)</f>
        <v/>
      </c>
      <c r="J2200" s="139" t="n">
        <v>38.94</v>
      </c>
      <c r="K2200" s="140" t="n"/>
      <c r="L2200" s="140">
        <f>+H2200*J2200</f>
        <v/>
      </c>
      <c r="M2200" s="141">
        <f>SUM(M2199+K2200-L2200)</f>
        <v/>
      </c>
    </row>
    <row r="2201">
      <c r="A2201" s="20" t="n">
        <v>45785</v>
      </c>
      <c r="B2201" s="21" t="n">
        <v>14812</v>
      </c>
      <c r="C2201" s="22" t="inlineStr">
        <is>
          <t>SELİM İNŞAAT</t>
        </is>
      </c>
      <c r="D2201" s="21" t="inlineStr">
        <is>
          <t>34 GVZ 268</t>
        </is>
      </c>
      <c r="E2201" s="21" t="inlineStr">
        <is>
          <t>KERİM KARAMAN</t>
        </is>
      </c>
      <c r="F2201" s="23" t="n">
        <v>184198</v>
      </c>
      <c r="G2201" s="138" t="n"/>
      <c r="H2201" s="138" t="n">
        <v>355</v>
      </c>
      <c r="I2201" s="138">
        <f>+I2200+(G2201-H2201)</f>
        <v/>
      </c>
      <c r="J2201" s="139" t="n">
        <v>38.94</v>
      </c>
      <c r="K2201" s="140" t="n"/>
      <c r="L2201" s="140">
        <f>+H2201*J2201</f>
        <v/>
      </c>
      <c r="M2201" s="141">
        <f>SUM(M2200+K2201-L2201)</f>
        <v/>
      </c>
    </row>
    <row r="2202">
      <c r="A2202" s="20" t="n">
        <v>45786</v>
      </c>
      <c r="B2202" s="21" t="n">
        <v>557</v>
      </c>
      <c r="C2202" s="22" t="inlineStr">
        <is>
          <t>ÜNSOY TURİZM İNŞ.SAN.VE TİC.A.Ş.</t>
        </is>
      </c>
      <c r="D2202" s="21" t="n"/>
      <c r="E2202" s="21" t="n"/>
      <c r="F2202" s="23" t="n"/>
      <c r="G2202" s="138" t="n">
        <v>32548</v>
      </c>
      <c r="H2202" s="138" t="n"/>
      <c r="I2202" s="138">
        <f>+I2201+(G2202-H2202)</f>
        <v/>
      </c>
      <c r="J2202" s="139">
        <f>+K2202/G2202</f>
        <v/>
      </c>
      <c r="K2202" s="140" t="n">
        <v>1267419.12</v>
      </c>
      <c r="L2202" s="140">
        <f>+H2202*J2202</f>
        <v/>
      </c>
      <c r="M2202" s="141">
        <f>SUM(M2201+K2202-L2202)</f>
        <v/>
      </c>
    </row>
    <row r="2203">
      <c r="A2203" s="20" t="n">
        <v>45786</v>
      </c>
      <c r="B2203" s="21" t="n">
        <v>11323</v>
      </c>
      <c r="C2203" s="22" t="inlineStr">
        <is>
          <t>AZGÜN YAPI</t>
        </is>
      </c>
      <c r="D2203" s="21" t="inlineStr">
        <is>
          <t>34 MKT 859</t>
        </is>
      </c>
      <c r="E2203" s="21" t="inlineStr">
        <is>
          <t>HASAN ALTUN</t>
        </is>
      </c>
      <c r="F2203" s="23" t="n">
        <v>31767</v>
      </c>
      <c r="G2203" s="138" t="n"/>
      <c r="H2203" s="138" t="n">
        <v>946</v>
      </c>
      <c r="I2203" s="138">
        <f>+I2202+(G2203-H2203)</f>
        <v/>
      </c>
      <c r="J2203" s="139" t="n">
        <v>38.94</v>
      </c>
      <c r="K2203" s="140" t="n"/>
      <c r="L2203" s="140">
        <f>+H2203*J2203</f>
        <v/>
      </c>
      <c r="M2203" s="141">
        <f>SUM(M2202+K2203-L2203)</f>
        <v/>
      </c>
    </row>
    <row r="2204">
      <c r="A2204" s="20" t="n">
        <v>45786</v>
      </c>
      <c r="B2204" s="21" t="n">
        <v>11371</v>
      </c>
      <c r="C2204" s="22" t="inlineStr">
        <is>
          <t>AZGÜN YAPI</t>
        </is>
      </c>
      <c r="D2204" s="21" t="inlineStr">
        <is>
          <t>34 MKT 859</t>
        </is>
      </c>
      <c r="E2204" s="21" t="inlineStr">
        <is>
          <t>İBRAHİM GÜLLÜK</t>
        </is>
      </c>
      <c r="F2204" s="23" t="n">
        <v>26863</v>
      </c>
      <c r="G2204" s="138" t="n"/>
      <c r="H2204" s="138" t="n">
        <v>924</v>
      </c>
      <c r="I2204" s="138">
        <f>+I2203+(G2204-H2204)</f>
        <v/>
      </c>
      <c r="J2204" s="139" t="n">
        <v>38.94</v>
      </c>
      <c r="K2204" s="140" t="n"/>
      <c r="L2204" s="140">
        <f>+H2204*J2204</f>
        <v/>
      </c>
      <c r="M2204" s="141">
        <f>SUM(M2203+K2204-L2204)</f>
        <v/>
      </c>
    </row>
    <row r="2205">
      <c r="A2205" s="20" t="n">
        <v>45786</v>
      </c>
      <c r="B2205" s="21" t="n">
        <v>14175</v>
      </c>
      <c r="C2205" s="22" t="inlineStr">
        <is>
          <t>AZGÜN YAPI</t>
        </is>
      </c>
      <c r="D2205" s="21" t="inlineStr">
        <is>
          <t>34 DTV 263</t>
        </is>
      </c>
      <c r="E2205" s="21" t="inlineStr">
        <is>
          <t>EDİP TORLAK</t>
        </is>
      </c>
      <c r="F2205" s="23" t="n">
        <v>375486</v>
      </c>
      <c r="G2205" s="138" t="n"/>
      <c r="H2205" s="138" t="n">
        <v>345</v>
      </c>
      <c r="I2205" s="138">
        <f>+I2204+(G2205-H2205)</f>
        <v/>
      </c>
      <c r="J2205" s="139" t="n">
        <v>38.94</v>
      </c>
      <c r="K2205" s="140" t="n"/>
      <c r="L2205" s="140">
        <f>+H2205*J2205</f>
        <v/>
      </c>
      <c r="M2205" s="141">
        <f>SUM(M2204+K2205-L2205)</f>
        <v/>
      </c>
    </row>
    <row r="2206">
      <c r="A2206" s="20" t="n">
        <v>45786</v>
      </c>
      <c r="B2206" s="21" t="n">
        <v>15731</v>
      </c>
      <c r="C2206" s="22" t="inlineStr">
        <is>
          <t>EVKUR</t>
        </is>
      </c>
      <c r="D2206" s="21" t="inlineStr">
        <is>
          <t>FOKLİFT</t>
        </is>
      </c>
      <c r="E2206" s="21" t="inlineStr">
        <is>
          <t>FAHRİ KALFA</t>
        </is>
      </c>
      <c r="F2206" s="23" t="n"/>
      <c r="G2206" s="138" t="n"/>
      <c r="H2206" s="138" t="n">
        <v>29</v>
      </c>
      <c r="I2206" s="138">
        <f>+I2205+(G2206-H2206)</f>
        <v/>
      </c>
      <c r="J2206" s="139" t="n">
        <v>38.94</v>
      </c>
      <c r="K2206" s="140" t="n"/>
      <c r="L2206" s="140">
        <f>+H2206*J2206</f>
        <v/>
      </c>
      <c r="M2206" s="141">
        <f>SUM(M2205+K2206-L2206)</f>
        <v/>
      </c>
    </row>
    <row r="2207">
      <c r="A2207" s="20" t="n">
        <v>45786</v>
      </c>
      <c r="B2207" s="21" t="n">
        <v>15732</v>
      </c>
      <c r="C2207" s="22" t="inlineStr">
        <is>
          <t>SELİM İNŞAAT</t>
        </is>
      </c>
      <c r="D2207" s="1" t="inlineStr">
        <is>
          <t>KİRALIK KATO</t>
        </is>
      </c>
      <c r="E2207" s="21" t="inlineStr">
        <is>
          <t>BURAK BEY' İN TALİMATIYLA</t>
        </is>
      </c>
      <c r="F2207" s="23" t="n"/>
      <c r="G2207" s="138" t="n"/>
      <c r="H2207" s="138" t="n">
        <v>61</v>
      </c>
      <c r="I2207" s="138">
        <f>+I2206+(G2207-H2207)</f>
        <v/>
      </c>
      <c r="J2207" s="139" t="n">
        <v>38.94</v>
      </c>
      <c r="K2207" s="140" t="n"/>
      <c r="L2207" s="140">
        <f>+H2207*J2207</f>
        <v/>
      </c>
      <c r="M2207" s="141">
        <f>SUM(M2206+K2207-L2207)</f>
        <v/>
      </c>
    </row>
    <row r="2208">
      <c r="A2208" s="20" t="n">
        <v>45786</v>
      </c>
      <c r="B2208" s="1" t="n">
        <v>15733</v>
      </c>
      <c r="C2208" s="2" t="inlineStr">
        <is>
          <t>VARLIK</t>
        </is>
      </c>
      <c r="D2208" s="1" t="inlineStr">
        <is>
          <t>KAVAZAKİ</t>
        </is>
      </c>
      <c r="E2208" s="1" t="inlineStr">
        <is>
          <t>UFUK SEVAL</t>
        </is>
      </c>
      <c r="F2208" s="3" t="n"/>
      <c r="G2208" s="143" t="n"/>
      <c r="H2208" s="143" t="n">
        <v>182</v>
      </c>
      <c r="I2208" s="143">
        <f>+I2207+(G2208-H2208)</f>
        <v/>
      </c>
      <c r="J2208" s="144" t="n">
        <v>38.94</v>
      </c>
      <c r="K2208" s="145" t="n"/>
      <c r="L2208" s="140">
        <f>+H2208*J2208</f>
        <v/>
      </c>
      <c r="M2208" s="141">
        <f>SUM(M2207+K2208-L2208)</f>
        <v/>
      </c>
    </row>
    <row r="2209">
      <c r="A2209" s="20" t="n">
        <v>45786</v>
      </c>
      <c r="B2209" s="1" t="n">
        <v>15734</v>
      </c>
      <c r="C2209" s="2" t="inlineStr">
        <is>
          <t>VARLIK</t>
        </is>
      </c>
      <c r="D2209" s="1" t="inlineStr">
        <is>
          <t>SM 370</t>
        </is>
      </c>
      <c r="E2209" s="1" t="inlineStr">
        <is>
          <t>TEKİN ŞEYLAN</t>
        </is>
      </c>
      <c r="F2209" s="3" t="n"/>
      <c r="G2209" s="143" t="n"/>
      <c r="H2209" s="143" t="n">
        <v>250</v>
      </c>
      <c r="I2209" s="143">
        <f>+I2208+(G2209-H2209)</f>
        <v/>
      </c>
      <c r="J2209" s="144" t="n">
        <v>38.94</v>
      </c>
      <c r="K2209" s="145" t="n"/>
      <c r="L2209" s="140">
        <f>+H2209*J2209</f>
        <v/>
      </c>
      <c r="M2209" s="141">
        <f>SUM(M2208+K2209-L2209)</f>
        <v/>
      </c>
    </row>
    <row r="2210">
      <c r="A2210" s="20" t="n">
        <v>45786</v>
      </c>
      <c r="B2210" s="1" t="n">
        <v>15735</v>
      </c>
      <c r="C2210" s="2" t="inlineStr">
        <is>
          <t>VARLIK</t>
        </is>
      </c>
      <c r="D2210" s="1" t="inlineStr">
        <is>
          <t>SM 350</t>
        </is>
      </c>
      <c r="E2210" s="1" t="inlineStr">
        <is>
          <t>BAYRAM SANCAK</t>
        </is>
      </c>
      <c r="F2210" s="3" t="n"/>
      <c r="G2210" s="143" t="n"/>
      <c r="H2210" s="143" t="n">
        <v>238</v>
      </c>
      <c r="I2210" s="143">
        <f>+I2209+(G2210-H2210)</f>
        <v/>
      </c>
      <c r="J2210" s="144" t="n">
        <v>38.94</v>
      </c>
      <c r="K2210" s="145" t="n"/>
      <c r="L2210" s="140">
        <f>+H2210*J2210</f>
        <v/>
      </c>
      <c r="M2210" s="141">
        <f>SUM(M2209+K2210-L2210)</f>
        <v/>
      </c>
    </row>
    <row r="2211">
      <c r="A2211" s="20" t="n">
        <v>45786</v>
      </c>
      <c r="B2211" s="1" t="n">
        <v>15736</v>
      </c>
      <c r="C2211" s="2" t="inlineStr">
        <is>
          <t>VARLIK</t>
        </is>
      </c>
      <c r="D2211" s="1" t="inlineStr">
        <is>
          <t>SM 300</t>
        </is>
      </c>
      <c r="E2211" s="1" t="inlineStr">
        <is>
          <t>TURGUT SANCAK</t>
        </is>
      </c>
      <c r="F2211" s="3" t="n"/>
      <c r="G2211" s="143" t="n"/>
      <c r="H2211" s="143" t="n">
        <v>250</v>
      </c>
      <c r="I2211" s="143">
        <f>+I2210+(G2211-H2211)</f>
        <v/>
      </c>
      <c r="J2211" s="144" t="n">
        <v>38.94</v>
      </c>
      <c r="K2211" s="145" t="n"/>
      <c r="L2211" s="140">
        <f>+H2211*J2211</f>
        <v/>
      </c>
      <c r="M2211" s="141">
        <f>SUM(M2210+K2211-L2211)</f>
        <v/>
      </c>
    </row>
    <row r="2212">
      <c r="A2212" s="20" t="n">
        <v>45786</v>
      </c>
      <c r="B2212" s="21" t="n">
        <v>21145</v>
      </c>
      <c r="C2212" s="22" t="inlineStr">
        <is>
          <t>SELİM İNŞAAT</t>
        </is>
      </c>
      <c r="D2212" s="21" t="inlineStr">
        <is>
          <t>34 TG 7869</t>
        </is>
      </c>
      <c r="E2212" s="21" t="inlineStr">
        <is>
          <t>GÖRKEM KARAYEL</t>
        </is>
      </c>
      <c r="F2212" s="23" t="n">
        <v>181779</v>
      </c>
      <c r="G2212" s="138" t="n"/>
      <c r="H2212" s="138" t="n">
        <v>216</v>
      </c>
      <c r="I2212" s="138">
        <f>+I2211+(G2212-H2212)</f>
        <v/>
      </c>
      <c r="J2212" s="139" t="n">
        <v>38.94</v>
      </c>
      <c r="K2212" s="140" t="n"/>
      <c r="L2212" s="140">
        <f>+H2212*J2212</f>
        <v/>
      </c>
      <c r="M2212" s="141">
        <f>SUM(M2211+K2212-L2212)</f>
        <v/>
      </c>
    </row>
    <row r="2213">
      <c r="A2213" s="20" t="n">
        <v>45786</v>
      </c>
      <c r="B2213" s="21" t="n">
        <v>14331</v>
      </c>
      <c r="C2213" s="22" t="inlineStr">
        <is>
          <t>SELİM İNŞAAT</t>
        </is>
      </c>
      <c r="D2213" s="21" t="inlineStr">
        <is>
          <t>34 DKL 866</t>
        </is>
      </c>
      <c r="E2213" s="21" t="inlineStr">
        <is>
          <t>SELİM CAN ÖNVER</t>
        </is>
      </c>
      <c r="F2213" s="23" t="n">
        <v>64732</v>
      </c>
      <c r="G2213" s="138" t="n"/>
      <c r="H2213" s="138" t="n">
        <v>91</v>
      </c>
      <c r="I2213" s="138">
        <f>+I2212+(G2213-H2213)</f>
        <v/>
      </c>
      <c r="J2213" s="139" t="n">
        <v>38.94</v>
      </c>
      <c r="K2213" s="140" t="n"/>
      <c r="L2213" s="140">
        <f>+H2213*J2213</f>
        <v/>
      </c>
      <c r="M2213" s="141">
        <f>SUM(M2212+K2213-L2213)</f>
        <v/>
      </c>
    </row>
    <row r="2214">
      <c r="A2214" s="20" t="n">
        <v>45786</v>
      </c>
      <c r="B2214" s="21" t="n">
        <v>14371</v>
      </c>
      <c r="C2214" s="22" t="inlineStr">
        <is>
          <t>SELİM İNŞAAT</t>
        </is>
      </c>
      <c r="D2214" s="21" t="inlineStr">
        <is>
          <t>34 DKL 798</t>
        </is>
      </c>
      <c r="E2214" s="21" t="inlineStr">
        <is>
          <t>VOLKAN YANAR</t>
        </is>
      </c>
      <c r="F2214" s="23" t="n">
        <v>64754</v>
      </c>
      <c r="G2214" s="138" t="n"/>
      <c r="H2214" s="138" t="n">
        <v>98</v>
      </c>
      <c r="I2214" s="138">
        <f>+I2213+(G2214-H2214)</f>
        <v/>
      </c>
      <c r="J2214" s="139" t="n">
        <v>38.94</v>
      </c>
      <c r="K2214" s="140" t="n"/>
      <c r="L2214" s="140">
        <f>+H2214*J2214</f>
        <v/>
      </c>
      <c r="M2214" s="141">
        <f>SUM(M2213+K2214-L2214)</f>
        <v/>
      </c>
    </row>
    <row r="2215">
      <c r="A2215" s="20" t="n">
        <v>45786</v>
      </c>
      <c r="B2215" s="21" t="n">
        <v>14523</v>
      </c>
      <c r="C2215" s="22" t="inlineStr">
        <is>
          <t>SELİM İNŞAAT</t>
        </is>
      </c>
      <c r="D2215" s="21" t="inlineStr">
        <is>
          <t>34 GER 028</t>
        </is>
      </c>
      <c r="E2215" s="21" t="inlineStr">
        <is>
          <t>EMİRCAN ÖZTÜRK</t>
        </is>
      </c>
      <c r="F2215" s="23" t="n">
        <v>43235</v>
      </c>
      <c r="G2215" s="138" t="n"/>
      <c r="H2215" s="138" t="n">
        <v>150</v>
      </c>
      <c r="I2215" s="138">
        <f>+I2214+(G2215-H2215)</f>
        <v/>
      </c>
      <c r="J2215" s="139" t="n">
        <v>38.94</v>
      </c>
      <c r="K2215" s="140" t="n"/>
      <c r="L2215" s="140">
        <f>+H2215*J2215</f>
        <v/>
      </c>
      <c r="M2215" s="141">
        <f>SUM(M2214+K2215-L2215)</f>
        <v/>
      </c>
    </row>
    <row r="2216">
      <c r="A2216" s="20" t="n">
        <v>45786</v>
      </c>
      <c r="B2216" s="21" t="n">
        <v>10881</v>
      </c>
      <c r="C2216" s="22" t="inlineStr">
        <is>
          <t>SELİM İNŞAAT</t>
        </is>
      </c>
      <c r="D2216" s="21" t="inlineStr">
        <is>
          <t>34 AR 7743</t>
        </is>
      </c>
      <c r="E2216" s="21" t="inlineStr">
        <is>
          <t>MEHMET SELİM</t>
        </is>
      </c>
      <c r="F2216" s="23" t="n">
        <v>354993</v>
      </c>
      <c r="G2216" s="138" t="n"/>
      <c r="H2216" s="138" t="n">
        <v>54</v>
      </c>
      <c r="I2216" s="138">
        <f>+I2215+(G2216-H2216)</f>
        <v/>
      </c>
      <c r="J2216" s="139" t="n">
        <v>38.94</v>
      </c>
      <c r="K2216" s="140" t="n"/>
      <c r="L2216" s="140">
        <f>+H2216*J2216</f>
        <v/>
      </c>
      <c r="M2216" s="141">
        <f>SUM(M2215+K2216-L2216)</f>
        <v/>
      </c>
    </row>
    <row r="2217">
      <c r="A2217" s="20" t="n">
        <v>45786</v>
      </c>
      <c r="B2217" s="21" t="n">
        <v>10086</v>
      </c>
      <c r="C2217" s="22" t="inlineStr">
        <is>
          <t>SELİM İNŞAAT</t>
        </is>
      </c>
      <c r="D2217" s="21" t="inlineStr">
        <is>
          <t>34 FBR 771</t>
        </is>
      </c>
      <c r="E2217" s="21" t="inlineStr">
        <is>
          <t>HÜSEYİN AKÇİN</t>
        </is>
      </c>
      <c r="F2217" s="23" t="n">
        <v>310494</v>
      </c>
      <c r="G2217" s="138" t="n"/>
      <c r="H2217" s="138" t="n">
        <v>330</v>
      </c>
      <c r="I2217" s="138">
        <f>+I2216+(G2217-H2217)</f>
        <v/>
      </c>
      <c r="J2217" s="139" t="n">
        <v>38.94</v>
      </c>
      <c r="K2217" s="140" t="n"/>
      <c r="L2217" s="140">
        <f>+H2217*J2217</f>
        <v/>
      </c>
      <c r="M2217" s="141">
        <f>SUM(M2216+K2217-L2217)</f>
        <v/>
      </c>
    </row>
    <row r="2218">
      <c r="A2218" s="20" t="n">
        <v>45786</v>
      </c>
      <c r="B2218" s="21" t="n">
        <v>15561</v>
      </c>
      <c r="C2218" s="22" t="inlineStr">
        <is>
          <t>SELİM İNŞAAT</t>
        </is>
      </c>
      <c r="D2218" s="21" t="inlineStr">
        <is>
          <t>34 GVZ 745</t>
        </is>
      </c>
      <c r="E2218" s="21" t="inlineStr">
        <is>
          <t>MUHAMMED YİĞİT</t>
        </is>
      </c>
      <c r="F2218" s="23" t="n">
        <v>180576</v>
      </c>
      <c r="G2218" s="138" t="n"/>
      <c r="H2218" s="138" t="n">
        <v>455</v>
      </c>
      <c r="I2218" s="138">
        <f>+I2217+(G2218-H2218)</f>
        <v/>
      </c>
      <c r="J2218" s="139" t="n">
        <v>38.94</v>
      </c>
      <c r="K2218" s="140" t="n"/>
      <c r="L2218" s="140">
        <f>+H2218*J2218</f>
        <v/>
      </c>
      <c r="M2218" s="141">
        <f>SUM(M2217+K2218-L2218)</f>
        <v/>
      </c>
    </row>
    <row r="2219">
      <c r="A2219" s="20" t="n">
        <v>45786</v>
      </c>
      <c r="B2219" s="21" t="n">
        <v>10538</v>
      </c>
      <c r="C2219" s="22" t="inlineStr">
        <is>
          <t>SELİM İNŞAAT</t>
        </is>
      </c>
      <c r="D2219" s="21" t="inlineStr">
        <is>
          <t>34 EDB 922</t>
        </is>
      </c>
      <c r="E2219" s="21" t="inlineStr">
        <is>
          <t>AHMET TOPÇU</t>
        </is>
      </c>
      <c r="F2219" s="23" t="n">
        <v>353267</v>
      </c>
      <c r="G2219" s="138" t="n"/>
      <c r="H2219" s="138" t="n">
        <v>410</v>
      </c>
      <c r="I2219" s="138">
        <f>+I2218+(G2219-H2219)</f>
        <v/>
      </c>
      <c r="J2219" s="139" t="n">
        <v>38.94</v>
      </c>
      <c r="K2219" s="140" t="n"/>
      <c r="L2219" s="140">
        <f>+H2219*J2219</f>
        <v/>
      </c>
      <c r="M2219" s="141">
        <f>SUM(M2218+K2219-L2219)</f>
        <v/>
      </c>
    </row>
    <row r="2220">
      <c r="A2220" s="20" t="n">
        <v>45786</v>
      </c>
      <c r="B2220" s="21" t="n">
        <v>10195</v>
      </c>
      <c r="C2220" s="22" t="inlineStr">
        <is>
          <t>SELİM İNŞAAT</t>
        </is>
      </c>
      <c r="D2220" s="21" t="inlineStr">
        <is>
          <t>34 EGR 736</t>
        </is>
      </c>
      <c r="E2220" s="21" t="inlineStr">
        <is>
          <t>HAKAN ÇAVUŞOĞLU</t>
        </is>
      </c>
      <c r="F2220" s="23" t="n">
        <v>381676</v>
      </c>
      <c r="G2220" s="138" t="n"/>
      <c r="H2220" s="138" t="n">
        <v>435</v>
      </c>
      <c r="I2220" s="138">
        <f>+I2219+(G2220-H2220)</f>
        <v/>
      </c>
      <c r="J2220" s="139" t="n">
        <v>38.94</v>
      </c>
      <c r="K2220" s="140" t="n"/>
      <c r="L2220" s="140">
        <f>+H2220*J2220</f>
        <v/>
      </c>
      <c r="M2220" s="141">
        <f>SUM(M2219+K2220-L2220)</f>
        <v/>
      </c>
    </row>
    <row r="2221">
      <c r="A2221" s="20" t="n">
        <v>45786</v>
      </c>
      <c r="B2221" s="21" t="n">
        <v>11936</v>
      </c>
      <c r="C2221" s="22" t="inlineStr">
        <is>
          <t>SELİM İNŞAAT</t>
        </is>
      </c>
      <c r="D2221" s="21" t="inlineStr">
        <is>
          <t>34 FBR 742</t>
        </is>
      </c>
      <c r="E2221" s="21" t="inlineStr">
        <is>
          <t>MİKAİL BAYILMAZ</t>
        </is>
      </c>
      <c r="F2221" s="23" t="n">
        <v>310567</v>
      </c>
      <c r="G2221" s="138" t="n"/>
      <c r="H2221" s="138" t="n">
        <v>458</v>
      </c>
      <c r="I2221" s="138">
        <f>+I2220+(G2221-H2221)</f>
        <v/>
      </c>
      <c r="J2221" s="139" t="n">
        <v>38.94</v>
      </c>
      <c r="K2221" s="140" t="n"/>
      <c r="L2221" s="140">
        <f>+H2221*J2221</f>
        <v/>
      </c>
      <c r="M2221" s="141">
        <f>SUM(M2220+K2221-L2221)</f>
        <v/>
      </c>
    </row>
    <row r="2222">
      <c r="A2222" s="20" t="n">
        <v>45786</v>
      </c>
      <c r="B2222" s="21" t="n">
        <v>14475</v>
      </c>
      <c r="C2222" s="22" t="inlineStr">
        <is>
          <t>SELİM İNŞAAT</t>
        </is>
      </c>
      <c r="D2222" s="21" t="inlineStr">
        <is>
          <t>34 GUS 848</t>
        </is>
      </c>
      <c r="E2222" s="21" t="inlineStr">
        <is>
          <t>SERDAR BOZKURT</t>
        </is>
      </c>
      <c r="F2222" s="23" t="n">
        <v>184246</v>
      </c>
      <c r="G2222" s="138" t="n"/>
      <c r="H2222" s="138" t="n">
        <v>388</v>
      </c>
      <c r="I2222" s="138">
        <f>+I2221+(G2222-H2222)</f>
        <v/>
      </c>
      <c r="J2222" s="139" t="n">
        <v>38.94</v>
      </c>
      <c r="K2222" s="140" t="n"/>
      <c r="L2222" s="140">
        <f>+H2222*J2222</f>
        <v/>
      </c>
      <c r="M2222" s="141">
        <f>SUM(M2221+K2222-L2222)</f>
        <v/>
      </c>
    </row>
    <row r="2223">
      <c r="A2223" s="20" t="n">
        <v>45786</v>
      </c>
      <c r="B2223" s="21" t="n">
        <v>10446</v>
      </c>
      <c r="C2223" s="22" t="inlineStr">
        <is>
          <t>SELİM İNŞAAT</t>
        </is>
      </c>
      <c r="D2223" s="21" t="inlineStr">
        <is>
          <t>34 FBR 781</t>
        </is>
      </c>
      <c r="E2223" s="21" t="inlineStr">
        <is>
          <t>MEVLÜT POLAT</t>
        </is>
      </c>
      <c r="F2223" s="23" t="n">
        <v>294274</v>
      </c>
      <c r="G2223" s="138" t="n"/>
      <c r="H2223" s="138" t="n">
        <v>411</v>
      </c>
      <c r="I2223" s="138">
        <f>+I2222+(G2223-H2223)</f>
        <v/>
      </c>
      <c r="J2223" s="139" t="n">
        <v>38.94</v>
      </c>
      <c r="K2223" s="140" t="n"/>
      <c r="L2223" s="140">
        <f>+H2223*J2223</f>
        <v/>
      </c>
      <c r="M2223" s="141">
        <f>SUM(M2222+K2223-L2223)</f>
        <v/>
      </c>
    </row>
    <row r="2224">
      <c r="A2224" s="20" t="n">
        <v>45786</v>
      </c>
      <c r="B2224" s="21" t="n">
        <v>10293</v>
      </c>
      <c r="C2224" s="22" t="inlineStr">
        <is>
          <t>SELİM İNŞAAT</t>
        </is>
      </c>
      <c r="D2224" s="21" t="inlineStr">
        <is>
          <t>34 FBR 748</t>
        </is>
      </c>
      <c r="E2224" s="21" t="inlineStr">
        <is>
          <t>YAŞAR ÖZKAYA</t>
        </is>
      </c>
      <c r="F2224" s="23" t="n">
        <v>272362</v>
      </c>
      <c r="G2224" s="138" t="n"/>
      <c r="H2224" s="138" t="n">
        <v>150</v>
      </c>
      <c r="I2224" s="138">
        <f>+I2223+(G2224-H2224)</f>
        <v/>
      </c>
      <c r="J2224" s="139" t="n">
        <v>38.94</v>
      </c>
      <c r="K2224" s="140" t="n"/>
      <c r="L2224" s="140">
        <f>+H2224*J2224</f>
        <v/>
      </c>
      <c r="M2224" s="141">
        <f>SUM(M2223+K2224-L2224)</f>
        <v/>
      </c>
    </row>
    <row r="2225">
      <c r="A2225" s="20" t="n">
        <v>45786</v>
      </c>
      <c r="B2225" s="21" t="n">
        <v>15505</v>
      </c>
      <c r="C2225" s="22" t="inlineStr">
        <is>
          <t>SELİM İNŞAAT</t>
        </is>
      </c>
      <c r="D2225" s="21" t="inlineStr">
        <is>
          <t>34 EDC 086</t>
        </is>
      </c>
      <c r="E2225" s="21" t="inlineStr">
        <is>
          <t>ÖMER AĞAYAR</t>
        </is>
      </c>
      <c r="F2225" s="23" t="n">
        <v>318715</v>
      </c>
      <c r="G2225" s="138" t="n"/>
      <c r="H2225" s="138" t="n">
        <v>311</v>
      </c>
      <c r="I2225" s="138">
        <f>+I2224+(G2225-H2225)</f>
        <v/>
      </c>
      <c r="J2225" s="139" t="n">
        <v>38.94</v>
      </c>
      <c r="K2225" s="140" t="n"/>
      <c r="L2225" s="140">
        <f>+H2225*J2225</f>
        <v/>
      </c>
      <c r="M2225" s="141">
        <f>SUM(M2224+K2225-L2225)</f>
        <v/>
      </c>
    </row>
    <row r="2226">
      <c r="A2226" s="20" t="n">
        <v>45786</v>
      </c>
      <c r="B2226" s="21" t="n">
        <v>10229</v>
      </c>
      <c r="C2226" s="22" t="inlineStr">
        <is>
          <t>SELİM İNŞAAT</t>
        </is>
      </c>
      <c r="D2226" s="21" t="inlineStr">
        <is>
          <t>34 DSN 621</t>
        </is>
      </c>
      <c r="E2226" s="21" t="inlineStr">
        <is>
          <t>MUSTAFA KAYA</t>
        </is>
      </c>
      <c r="F2226" s="23" t="n">
        <v>404710</v>
      </c>
      <c r="G2226" s="138" t="n"/>
      <c r="H2226" s="138" t="n">
        <v>268</v>
      </c>
      <c r="I2226" s="138">
        <f>+I2225+(G2226-H2226)</f>
        <v/>
      </c>
      <c r="J2226" s="139" t="n">
        <v>38.94</v>
      </c>
      <c r="K2226" s="140" t="n"/>
      <c r="L2226" s="140">
        <f>+H2226*J2226</f>
        <v/>
      </c>
      <c r="M2226" s="141">
        <f>SUM(M2225+K2226-L2226)</f>
        <v/>
      </c>
    </row>
    <row r="2227">
      <c r="A2227" s="20" t="n">
        <v>45786</v>
      </c>
      <c r="B2227" s="21" t="n">
        <v>10645</v>
      </c>
      <c r="C2227" s="22" t="inlineStr">
        <is>
          <t>SELİM İNŞAAT</t>
        </is>
      </c>
      <c r="D2227" s="21" t="inlineStr">
        <is>
          <t>34 EDB 754</t>
        </is>
      </c>
      <c r="E2227" s="21" t="inlineStr">
        <is>
          <t>EMİN PARLAKKILIÇ</t>
        </is>
      </c>
      <c r="F2227" s="23" t="n">
        <v>314249</v>
      </c>
      <c r="G2227" s="138" t="n"/>
      <c r="H2227" s="138" t="n">
        <v>468</v>
      </c>
      <c r="I2227" s="138">
        <f>+I2226+(G2227-H2227)</f>
        <v/>
      </c>
      <c r="J2227" s="139" t="n">
        <v>38.94</v>
      </c>
      <c r="K2227" s="140" t="n"/>
      <c r="L2227" s="140">
        <f>+H2227*J2227</f>
        <v/>
      </c>
      <c r="M2227" s="141">
        <f>SUM(M2226+K2227-L2227)</f>
        <v/>
      </c>
    </row>
    <row r="2228">
      <c r="A2228" s="20" t="n">
        <v>45786</v>
      </c>
      <c r="B2228" s="21" t="n">
        <v>14123</v>
      </c>
      <c r="C2228" s="22" t="inlineStr">
        <is>
          <t>SELİM İNŞAAT</t>
        </is>
      </c>
      <c r="D2228" s="21" t="inlineStr">
        <is>
          <t>34 DSN 536</t>
        </is>
      </c>
      <c r="E2228" s="21" t="inlineStr">
        <is>
          <t>DURSUN ALİ GÜREK</t>
        </is>
      </c>
      <c r="F2228" s="23" t="n">
        <v>397344</v>
      </c>
      <c r="G2228" s="138" t="n"/>
      <c r="H2228" s="138" t="n">
        <v>437</v>
      </c>
      <c r="I2228" s="138">
        <f>+I2227+(G2228-H2228)</f>
        <v/>
      </c>
      <c r="J2228" s="139" t="n">
        <v>38.94</v>
      </c>
      <c r="K2228" s="140" t="n"/>
      <c r="L2228" s="140">
        <f>+H2228*J2228</f>
        <v/>
      </c>
      <c r="M2228" s="141">
        <f>SUM(M2227+K2228-L2228)</f>
        <v/>
      </c>
    </row>
    <row r="2229">
      <c r="A2229" s="20" t="n">
        <v>45786</v>
      </c>
      <c r="B2229" s="21" t="n">
        <v>11300</v>
      </c>
      <c r="C2229" s="22" t="inlineStr">
        <is>
          <t>SELİM İNŞAAT</t>
        </is>
      </c>
      <c r="D2229" s="21" t="inlineStr">
        <is>
          <t>34 EDC 162</t>
        </is>
      </c>
      <c r="E2229" s="21" t="inlineStr">
        <is>
          <t xml:space="preserve">YAKUP GÜNER </t>
        </is>
      </c>
      <c r="F2229" s="23" t="n">
        <v>361139</v>
      </c>
      <c r="G2229" s="138" t="n"/>
      <c r="H2229" s="138" t="n">
        <v>346</v>
      </c>
      <c r="I2229" s="138">
        <f>+I2228+(G2229-H2229)</f>
        <v/>
      </c>
      <c r="J2229" s="139" t="n">
        <v>38.94</v>
      </c>
      <c r="K2229" s="140" t="n"/>
      <c r="L2229" s="140">
        <f>+H2229*J2229</f>
        <v/>
      </c>
      <c r="M2229" s="141">
        <f>SUM(M2228+K2229-L2229)</f>
        <v/>
      </c>
    </row>
    <row r="2230">
      <c r="A2230" s="20" t="n">
        <v>45786</v>
      </c>
      <c r="B2230" s="21" t="n">
        <v>11734</v>
      </c>
      <c r="C2230" s="22" t="inlineStr">
        <is>
          <t>SELİM İNŞAAT</t>
        </is>
      </c>
      <c r="D2230" s="21" t="inlineStr">
        <is>
          <t>34 EDB 559</t>
        </is>
      </c>
      <c r="E2230" s="21" t="inlineStr">
        <is>
          <t>CEM MUHTAR</t>
        </is>
      </c>
      <c r="F2230" s="23" t="n">
        <v>315628</v>
      </c>
      <c r="G2230" s="138" t="n"/>
      <c r="H2230" s="138" t="n">
        <v>331</v>
      </c>
      <c r="I2230" s="138">
        <f>+I2229+(G2230-H2230)</f>
        <v/>
      </c>
      <c r="J2230" s="139" t="n">
        <v>38.94</v>
      </c>
      <c r="K2230" s="140" t="n"/>
      <c r="L2230" s="140">
        <f>+H2230*J2230</f>
        <v/>
      </c>
      <c r="M2230" s="141">
        <f>SUM(M2229+K2230-L2230)</f>
        <v/>
      </c>
    </row>
    <row r="2231">
      <c r="A2231" s="20" t="n">
        <v>45786</v>
      </c>
      <c r="B2231" s="21" t="n">
        <v>21617</v>
      </c>
      <c r="C2231" s="22" t="inlineStr">
        <is>
          <t>SELİM İNŞAAT</t>
        </is>
      </c>
      <c r="D2231" s="21" t="inlineStr">
        <is>
          <t>34 DHC 467</t>
        </is>
      </c>
      <c r="E2231" s="21" t="inlineStr">
        <is>
          <t>YAŞAR ÖZKAYA</t>
        </is>
      </c>
      <c r="F2231" s="23" t="n">
        <v>397172</v>
      </c>
      <c r="G2231" s="138" t="n"/>
      <c r="H2231" s="138" t="n">
        <v>434</v>
      </c>
      <c r="I2231" s="138">
        <f>+I2230+(G2231-H2231)</f>
        <v/>
      </c>
      <c r="J2231" s="139" t="n">
        <v>38.94</v>
      </c>
      <c r="K2231" s="140" t="n"/>
      <c r="L2231" s="140">
        <f>+H2231*J2231</f>
        <v/>
      </c>
      <c r="M2231" s="141">
        <f>SUM(M2230+K2231-L2231)</f>
        <v/>
      </c>
    </row>
    <row r="2232">
      <c r="A2232" s="20" t="n">
        <v>45787</v>
      </c>
      <c r="B2232" s="21" t="n">
        <v>92</v>
      </c>
      <c r="C2232" s="22" t="inlineStr">
        <is>
          <t>MİRBE PETROL SANAYİ VE TİCARET ANONİM ŞİRKETİ</t>
        </is>
      </c>
      <c r="D2232" s="21" t="n"/>
      <c r="E2232" s="21" t="n"/>
      <c r="F2232" s="23" t="n"/>
      <c r="G2232" s="138" t="n">
        <v>24581</v>
      </c>
      <c r="H2232" s="138" t="n"/>
      <c r="I2232" s="138">
        <f>+I2231+(G2232-H2232)</f>
        <v/>
      </c>
      <c r="J2232" s="139">
        <f>+K2232/G2232</f>
        <v/>
      </c>
      <c r="K2232" s="140" t="n">
        <v>969077.76</v>
      </c>
      <c r="L2232" s="140">
        <f>+H2232*J2232</f>
        <v/>
      </c>
      <c r="M2232" s="141">
        <f>SUM(M2231+K2232-L2232)</f>
        <v/>
      </c>
    </row>
    <row r="2233">
      <c r="A2233" s="20" t="n">
        <v>45787</v>
      </c>
      <c r="B2233" s="21" t="n">
        <v>15651</v>
      </c>
      <c r="C2233" s="22" t="inlineStr">
        <is>
          <t>METİN ERYİĞİT</t>
        </is>
      </c>
      <c r="D2233" s="21" t="inlineStr">
        <is>
          <t>34 EGR 814</t>
        </is>
      </c>
      <c r="E2233" s="21" t="inlineStr">
        <is>
          <t>GÜRAY KOYUNCU</t>
        </is>
      </c>
      <c r="F2233" s="23" t="n">
        <v>533312</v>
      </c>
      <c r="G2233" s="138" t="n"/>
      <c r="H2233" s="138" t="n">
        <v>386</v>
      </c>
      <c r="I2233" s="138">
        <f>+I2232+(G2233-H2233)</f>
        <v/>
      </c>
      <c r="J2233" s="139" t="n">
        <v>39.424</v>
      </c>
      <c r="K2233" s="140" t="n"/>
      <c r="L2233" s="140">
        <f>+H2233*J2233</f>
        <v/>
      </c>
      <c r="M2233" s="141">
        <f>SUM(M2232+K2233-L2233)</f>
        <v/>
      </c>
    </row>
    <row r="2234">
      <c r="A2234" s="20" t="n">
        <v>45787</v>
      </c>
      <c r="B2234" s="21" t="n">
        <v>11481</v>
      </c>
      <c r="C2234" s="22" t="inlineStr">
        <is>
          <t>METİN ŞİRİN</t>
        </is>
      </c>
      <c r="D2234" s="21" t="inlineStr">
        <is>
          <t>34 EGR 922</t>
        </is>
      </c>
      <c r="E2234" s="21" t="inlineStr">
        <is>
          <t>FARUK ÖZEN</t>
        </is>
      </c>
      <c r="F2234" s="23" t="n">
        <v>448276</v>
      </c>
      <c r="G2234" s="138" t="n"/>
      <c r="H2234" s="138" t="n">
        <v>307</v>
      </c>
      <c r="I2234" s="138">
        <f>+I2233+(G2234-H2234)</f>
        <v/>
      </c>
      <c r="J2234" s="139" t="n">
        <v>39.424</v>
      </c>
      <c r="K2234" s="140" t="n"/>
      <c r="L2234" s="140">
        <f>+H2234*J2234</f>
        <v/>
      </c>
      <c r="M2234" s="141">
        <f>SUM(M2233+K2234-L2234)</f>
        <v/>
      </c>
    </row>
    <row r="2235">
      <c r="A2235" s="20" t="n">
        <v>45787</v>
      </c>
      <c r="B2235" s="21" t="n">
        <v>14679</v>
      </c>
      <c r="C2235" s="22" t="inlineStr">
        <is>
          <t>AHMET SELİM TEMHA</t>
        </is>
      </c>
      <c r="D2235" s="21" t="inlineStr">
        <is>
          <t>34 DGE 422</t>
        </is>
      </c>
      <c r="E2235" s="21" t="inlineStr">
        <is>
          <t>CEMAL</t>
        </is>
      </c>
      <c r="F2235" s="23" t="n"/>
      <c r="G2235" s="138" t="n"/>
      <c r="H2235" s="138" t="n">
        <v>49</v>
      </c>
      <c r="I2235" s="138">
        <f>+I2234+(G2235-H2235)</f>
        <v/>
      </c>
      <c r="J2235" s="139" t="n">
        <v>39.424</v>
      </c>
      <c r="K2235" s="140" t="n"/>
      <c r="L2235" s="140">
        <f>+H2235*J2235</f>
        <v/>
      </c>
      <c r="M2235" s="141">
        <f>SUM(M2234+K2235-L2235)</f>
        <v/>
      </c>
    </row>
    <row r="2236">
      <c r="A2236" s="20" t="n">
        <v>45787</v>
      </c>
      <c r="B2236" s="21" t="n">
        <v>14680</v>
      </c>
      <c r="C2236" s="22" t="inlineStr">
        <is>
          <t>MAHMUT VİNÇ</t>
        </is>
      </c>
      <c r="D2236" s="21" t="inlineStr">
        <is>
          <t>34 AH 5401</t>
        </is>
      </c>
      <c r="E2236" s="21" t="inlineStr">
        <is>
          <t>YASİN DEMİR</t>
        </is>
      </c>
      <c r="F2236" s="23" t="n"/>
      <c r="G2236" s="138" t="n"/>
      <c r="H2236" s="138" t="n">
        <v>79</v>
      </c>
      <c r="I2236" s="138">
        <f>+I2235+(G2236-H2236)</f>
        <v/>
      </c>
      <c r="J2236" s="139" t="n">
        <v>39.424</v>
      </c>
      <c r="K2236" s="140" t="n"/>
      <c r="L2236" s="140">
        <f>+H2236*J2236</f>
        <v/>
      </c>
      <c r="M2236" s="141">
        <f>SUM(M2235+K2236-L2236)</f>
        <v/>
      </c>
    </row>
    <row r="2237">
      <c r="A2237" s="20" t="n">
        <v>45787</v>
      </c>
      <c r="B2237" s="1" t="n">
        <v>15737</v>
      </c>
      <c r="C2237" s="2" t="inlineStr">
        <is>
          <t>GÜRSES</t>
        </is>
      </c>
      <c r="D2237" s="1" t="inlineStr">
        <is>
          <t xml:space="preserve">SM 350 </t>
        </is>
      </c>
      <c r="E2237" s="1" t="inlineStr">
        <is>
          <t>TEVFİK ÖZTÜRK</t>
        </is>
      </c>
      <c r="F2237" s="3" t="n"/>
      <c r="G2237" s="143" t="n"/>
      <c r="H2237" s="143" t="n">
        <v>325</v>
      </c>
      <c r="I2237" s="143">
        <f>+I2236+(G2237-H2237)</f>
        <v/>
      </c>
      <c r="J2237" s="144" t="n">
        <v>39.424</v>
      </c>
      <c r="K2237" s="145" t="n"/>
      <c r="L2237" s="140">
        <f>+H2237*J2237</f>
        <v/>
      </c>
      <c r="M2237" s="141">
        <f>SUM(M2236+K2237-L2237)</f>
        <v/>
      </c>
    </row>
    <row r="2238">
      <c r="A2238" s="20" t="n">
        <v>45787</v>
      </c>
      <c r="B2238" s="1" t="n">
        <v>15738</v>
      </c>
      <c r="C2238" s="2" t="inlineStr">
        <is>
          <t>VARLIK</t>
        </is>
      </c>
      <c r="D2238" s="1" t="inlineStr">
        <is>
          <t>SİLİNDİR</t>
        </is>
      </c>
      <c r="E2238" s="1" t="inlineStr">
        <is>
          <t>ÖNER DÜNDAR</t>
        </is>
      </c>
      <c r="F2238" s="3" t="n"/>
      <c r="G2238" s="143" t="n"/>
      <c r="H2238" s="143" t="n">
        <v>50</v>
      </c>
      <c r="I2238" s="143">
        <f>+I2237+(G2238-H2238)</f>
        <v/>
      </c>
      <c r="J2238" s="144" t="n">
        <v>39.424</v>
      </c>
      <c r="K2238" s="145" t="n"/>
      <c r="L2238" s="140">
        <f>+H2238*J2238</f>
        <v/>
      </c>
      <c r="M2238" s="141">
        <f>SUM(M2237+K2238-L2238)</f>
        <v/>
      </c>
    </row>
    <row r="2239">
      <c r="A2239" s="20" t="n">
        <v>45787</v>
      </c>
      <c r="B2239" s="1" t="n">
        <v>15739</v>
      </c>
      <c r="C2239" s="2" t="inlineStr">
        <is>
          <t>HASALTUN</t>
        </is>
      </c>
      <c r="D2239" s="1" t="inlineStr">
        <is>
          <t>SM 370</t>
        </is>
      </c>
      <c r="E2239" s="1" t="inlineStr">
        <is>
          <t>TEKİN ŞEYLAN</t>
        </is>
      </c>
      <c r="F2239" s="3" t="n"/>
      <c r="G2239" s="143" t="n"/>
      <c r="H2239" s="143" t="n">
        <v>383</v>
      </c>
      <c r="I2239" s="143">
        <f>+I2238+(G2239-H2239)</f>
        <v/>
      </c>
      <c r="J2239" s="144" t="n">
        <v>39.424</v>
      </c>
      <c r="K2239" s="145" t="n"/>
      <c r="L2239" s="140">
        <f>+H2239*J2239</f>
        <v/>
      </c>
      <c r="M2239" s="141">
        <f>SUM(M2238+K2239-L2239)</f>
        <v/>
      </c>
    </row>
    <row r="2240">
      <c r="A2240" s="20" t="n">
        <v>45787</v>
      </c>
      <c r="B2240" s="1" t="n">
        <v>15740</v>
      </c>
      <c r="C2240" s="2" t="inlineStr">
        <is>
          <t>HASALTUN</t>
        </is>
      </c>
      <c r="D2240" s="1" t="inlineStr">
        <is>
          <t>KAVAZAKİ</t>
        </is>
      </c>
      <c r="E2240" s="1" t="inlineStr">
        <is>
          <t>RAMAZAN KAYA</t>
        </is>
      </c>
      <c r="F2240" s="3" t="n"/>
      <c r="G2240" s="143" t="n"/>
      <c r="H2240" s="143" t="n">
        <v>136</v>
      </c>
      <c r="I2240" s="143">
        <f>+I2239+(G2240-H2240)</f>
        <v/>
      </c>
      <c r="J2240" s="144" t="n">
        <v>39.424</v>
      </c>
      <c r="K2240" s="145" t="n"/>
      <c r="L2240" s="140">
        <f>+H2240*J2240</f>
        <v/>
      </c>
      <c r="M2240" s="141">
        <f>SUM(M2239+K2240-L2240)</f>
        <v/>
      </c>
    </row>
    <row r="2241">
      <c r="A2241" s="20" t="n">
        <v>45787</v>
      </c>
      <c r="B2241" s="21" t="n">
        <v>14332</v>
      </c>
      <c r="C2241" s="22" t="inlineStr">
        <is>
          <t>SELİM İNŞAAT</t>
        </is>
      </c>
      <c r="D2241" s="21" t="inlineStr">
        <is>
          <t>34 DKL 866</t>
        </is>
      </c>
      <c r="E2241" s="21" t="inlineStr">
        <is>
          <t>SELİM CAN ÖNVER</t>
        </is>
      </c>
      <c r="F2241" s="23" t="n">
        <v>64778</v>
      </c>
      <c r="G2241" s="138" t="n"/>
      <c r="H2241" s="138" t="n">
        <v>85</v>
      </c>
      <c r="I2241" s="138">
        <f>+I2240+(G2241-H2241)</f>
        <v/>
      </c>
      <c r="J2241" s="139" t="n">
        <v>39.424</v>
      </c>
      <c r="K2241" s="140" t="n"/>
      <c r="L2241" s="140">
        <f>+H2241*J2241</f>
        <v/>
      </c>
      <c r="M2241" s="141">
        <f>SUM(M2240+K2241-L2241)</f>
        <v/>
      </c>
    </row>
    <row r="2242">
      <c r="A2242" s="20" t="n">
        <v>45787</v>
      </c>
      <c r="B2242" s="21" t="n">
        <v>14626</v>
      </c>
      <c r="C2242" s="22" t="inlineStr">
        <is>
          <t>SELİM İNŞAAT</t>
        </is>
      </c>
      <c r="D2242" s="21" t="inlineStr">
        <is>
          <t>34 GER 445</t>
        </is>
      </c>
      <c r="E2242" s="21" t="inlineStr">
        <is>
          <t>HASAN BAYCAN</t>
        </is>
      </c>
      <c r="F2242" s="23" t="n">
        <v>41641</v>
      </c>
      <c r="G2242" s="138" t="n"/>
      <c r="H2242" s="138" t="n">
        <v>167</v>
      </c>
      <c r="I2242" s="138">
        <f>+I2241+(G2242-H2242)</f>
        <v/>
      </c>
      <c r="J2242" s="139" t="n">
        <v>39.424</v>
      </c>
      <c r="K2242" s="140" t="n"/>
      <c r="L2242" s="140">
        <f>+H2242*J2242</f>
        <v/>
      </c>
      <c r="M2242" s="141">
        <f>SUM(M2241+K2242-L2242)</f>
        <v/>
      </c>
    </row>
    <row r="2243">
      <c r="A2243" s="20" t="n">
        <v>45787</v>
      </c>
      <c r="B2243" s="21" t="n">
        <v>15909</v>
      </c>
      <c r="C2243" s="22" t="inlineStr">
        <is>
          <t>SELİM İNŞAAT</t>
        </is>
      </c>
      <c r="D2243" s="21" t="inlineStr">
        <is>
          <t>34 DFE 454</t>
        </is>
      </c>
      <c r="E2243" s="21" t="inlineStr">
        <is>
          <t>GÖRKEM KARAYEL</t>
        </is>
      </c>
      <c r="F2243" s="23" t="n">
        <v>158403</v>
      </c>
      <c r="G2243" s="138" t="n"/>
      <c r="H2243" s="138" t="n">
        <v>187</v>
      </c>
      <c r="I2243" s="138">
        <f>+I2242+(G2243-H2243)</f>
        <v/>
      </c>
      <c r="J2243" s="139" t="n">
        <v>39.424</v>
      </c>
      <c r="K2243" s="140" t="n"/>
      <c r="L2243" s="140">
        <f>+H2243*J2243</f>
        <v/>
      </c>
      <c r="M2243" s="141">
        <f>SUM(M2242+K2243-L2243)</f>
        <v/>
      </c>
    </row>
    <row r="2244">
      <c r="A2244" s="20" t="n">
        <v>45787</v>
      </c>
      <c r="B2244" s="21" t="n">
        <v>20538</v>
      </c>
      <c r="C2244" s="22" t="inlineStr">
        <is>
          <t>SELİM İNŞAAT</t>
        </is>
      </c>
      <c r="D2244" s="21" t="inlineStr">
        <is>
          <t>34 VF 2620</t>
        </is>
      </c>
      <c r="E2244" s="21" t="inlineStr">
        <is>
          <t>RECEP SELİM</t>
        </is>
      </c>
      <c r="F2244" s="23" t="n">
        <v>184928</v>
      </c>
      <c r="G2244" s="138" t="n"/>
      <c r="H2244" s="138" t="n">
        <v>50</v>
      </c>
      <c r="I2244" s="138">
        <f>+I2243+(G2244-H2244)</f>
        <v/>
      </c>
      <c r="J2244" s="139" t="n">
        <v>39.424</v>
      </c>
      <c r="K2244" s="140" t="n"/>
      <c r="L2244" s="140">
        <f>+H2244*J2244</f>
        <v/>
      </c>
      <c r="M2244" s="141">
        <f>SUM(M2243+K2244-L2244)</f>
        <v/>
      </c>
    </row>
    <row r="2245">
      <c r="A2245" s="20" t="n">
        <v>45787</v>
      </c>
      <c r="B2245" s="21" t="n">
        <v>10574</v>
      </c>
      <c r="C2245" s="22" t="inlineStr">
        <is>
          <t>SELİM İNŞAAT</t>
        </is>
      </c>
      <c r="D2245" s="21" t="inlineStr">
        <is>
          <t>34 GU 945</t>
        </is>
      </c>
      <c r="E2245" s="21" t="inlineStr">
        <is>
          <t>ŞERİF KARTAL</t>
        </is>
      </c>
      <c r="F2245" s="23" t="n">
        <v>444488</v>
      </c>
      <c r="G2245" s="138" t="n"/>
      <c r="H2245" s="138" t="n">
        <v>72</v>
      </c>
      <c r="I2245" s="138">
        <f>+I2244+(G2245-H2245)</f>
        <v/>
      </c>
      <c r="J2245" s="139" t="n">
        <v>39.424</v>
      </c>
      <c r="K2245" s="140" t="n"/>
      <c r="L2245" s="140">
        <f>+H2245*J2245</f>
        <v/>
      </c>
      <c r="M2245" s="141">
        <f>SUM(M2244+K2245-L2245)</f>
        <v/>
      </c>
    </row>
    <row r="2246">
      <c r="A2246" s="20" t="n">
        <v>45787</v>
      </c>
      <c r="B2246" s="21" t="n">
        <v>10790</v>
      </c>
      <c r="C2246" s="22" t="inlineStr">
        <is>
          <t>SELİM İNŞAAT</t>
        </is>
      </c>
      <c r="D2246" s="21" t="inlineStr">
        <is>
          <t>34 FBR 705</t>
        </is>
      </c>
      <c r="E2246" s="21" t="inlineStr">
        <is>
          <t>MESUT GÜRLER</t>
        </is>
      </c>
      <c r="F2246" s="23" t="n">
        <v>307940</v>
      </c>
      <c r="G2246" s="138" t="n"/>
      <c r="H2246" s="138" t="n">
        <v>351</v>
      </c>
      <c r="I2246" s="138">
        <f>+I2245+(G2246-H2246)</f>
        <v/>
      </c>
      <c r="J2246" s="139" t="n">
        <v>39.424</v>
      </c>
      <c r="K2246" s="140" t="n"/>
      <c r="L2246" s="140">
        <f>+H2246*J2246</f>
        <v/>
      </c>
      <c r="M2246" s="141">
        <f>SUM(M2245+K2246-L2246)</f>
        <v/>
      </c>
    </row>
    <row r="2247">
      <c r="A2247" s="20" t="n">
        <v>45787</v>
      </c>
      <c r="B2247" s="21" t="n">
        <v>10383</v>
      </c>
      <c r="C2247" s="22" t="inlineStr">
        <is>
          <t>SELİM İNŞAAT</t>
        </is>
      </c>
      <c r="D2247" s="21" t="inlineStr">
        <is>
          <t>34 DRU 690</t>
        </is>
      </c>
      <c r="E2247" s="21" t="inlineStr">
        <is>
          <t>MURAT DEMİRBAŞ</t>
        </is>
      </c>
      <c r="F2247" s="23" t="n">
        <v>408429</v>
      </c>
      <c r="G2247" s="138" t="n"/>
      <c r="H2247" s="138" t="n">
        <v>363</v>
      </c>
      <c r="I2247" s="138">
        <f>+I2246+(G2247-H2247)</f>
        <v/>
      </c>
      <c r="J2247" s="139" t="n">
        <v>39.424</v>
      </c>
      <c r="K2247" s="140" t="n"/>
      <c r="L2247" s="140">
        <f>+H2247*J2247</f>
        <v/>
      </c>
      <c r="M2247" s="141">
        <f>SUM(M2246+K2247-L2247)</f>
        <v/>
      </c>
    </row>
    <row r="2248">
      <c r="A2248" s="20" t="n">
        <v>45787</v>
      </c>
      <c r="B2248" s="21" t="n">
        <v>10087</v>
      </c>
      <c r="C2248" s="22" t="inlineStr">
        <is>
          <t>SELİM İNŞAAT</t>
        </is>
      </c>
      <c r="D2248" s="21" t="inlineStr">
        <is>
          <t>34 FBR 771</t>
        </is>
      </c>
      <c r="E2248" s="21" t="inlineStr">
        <is>
          <t>HÜSEYİN AKÇİN</t>
        </is>
      </c>
      <c r="F2248" s="23" t="n">
        <v>310838</v>
      </c>
      <c r="G2248" s="138" t="n"/>
      <c r="H2248" s="138" t="n">
        <v>159</v>
      </c>
      <c r="I2248" s="138">
        <f>+I2247+(G2248-H2248)</f>
        <v/>
      </c>
      <c r="J2248" s="139" t="n">
        <v>39.424</v>
      </c>
      <c r="K2248" s="140" t="n"/>
      <c r="L2248" s="140">
        <f>+H2248*J2248</f>
        <v/>
      </c>
      <c r="M2248" s="141">
        <f>SUM(M2247+K2248-L2248)</f>
        <v/>
      </c>
    </row>
    <row r="2249">
      <c r="A2249" s="20" t="n">
        <v>45787</v>
      </c>
      <c r="B2249" s="21" t="n">
        <v>11217</v>
      </c>
      <c r="C2249" s="22" t="inlineStr">
        <is>
          <t>SELİM İNŞAAT</t>
        </is>
      </c>
      <c r="D2249" s="21" t="inlineStr">
        <is>
          <t>34 DSN 636</t>
        </is>
      </c>
      <c r="E2249" s="21" t="inlineStr">
        <is>
          <t>İLHAN YÜRÜK</t>
        </is>
      </c>
      <c r="F2249" s="23" t="n">
        <v>383316</v>
      </c>
      <c r="G2249" s="138" t="n"/>
      <c r="H2249" s="138" t="n">
        <v>378</v>
      </c>
      <c r="I2249" s="138">
        <f>+I2248+(G2249-H2249)</f>
        <v/>
      </c>
      <c r="J2249" s="139" t="n">
        <v>39.424</v>
      </c>
      <c r="K2249" s="140" t="n"/>
      <c r="L2249" s="140">
        <f>+H2249*J2249</f>
        <v/>
      </c>
      <c r="M2249" s="141">
        <f>SUM(M2248+K2249-L2249)</f>
        <v/>
      </c>
    </row>
    <row r="2250">
      <c r="A2250" s="20" t="n">
        <v>45787</v>
      </c>
      <c r="B2250" s="21" t="n">
        <v>15011</v>
      </c>
      <c r="C2250" s="22" t="inlineStr">
        <is>
          <t>SELİM İNŞAAT</t>
        </is>
      </c>
      <c r="D2250" s="21" t="inlineStr">
        <is>
          <t>34 GVZ 199</t>
        </is>
      </c>
      <c r="E2250" s="21" t="inlineStr">
        <is>
          <t>VAHDET GÜRLER</t>
        </is>
      </c>
      <c r="F2250" s="23" t="n">
        <v>173143</v>
      </c>
      <c r="G2250" s="138" t="n"/>
      <c r="H2250" s="138" t="n">
        <v>484</v>
      </c>
      <c r="I2250" s="138">
        <f>+I2249+(G2250-H2250)</f>
        <v/>
      </c>
      <c r="J2250" s="139" t="n">
        <v>39.424</v>
      </c>
      <c r="K2250" s="140" t="n"/>
      <c r="L2250" s="140">
        <f>+H2250*J2250</f>
        <v/>
      </c>
      <c r="M2250" s="141">
        <f>SUM(M2249+K2250-L2250)</f>
        <v/>
      </c>
    </row>
    <row r="2251">
      <c r="A2251" s="20" t="n">
        <v>45787</v>
      </c>
      <c r="B2251" s="21" t="n">
        <v>21298</v>
      </c>
      <c r="C2251" s="22" t="inlineStr">
        <is>
          <t>SELİM İNŞAAT</t>
        </is>
      </c>
      <c r="D2251" s="21" t="inlineStr">
        <is>
          <t>34 DTV 447</t>
        </is>
      </c>
      <c r="E2251" s="21" t="inlineStr">
        <is>
          <t>EBUBEKİR KOLDAŞ</t>
        </is>
      </c>
      <c r="F2251" s="23" t="n">
        <v>423731</v>
      </c>
      <c r="G2251" s="138" t="n"/>
      <c r="H2251" s="138" t="n">
        <v>424</v>
      </c>
      <c r="I2251" s="138">
        <f>+I2250+(G2251-H2251)</f>
        <v/>
      </c>
      <c r="J2251" s="139" t="n">
        <v>39.424</v>
      </c>
      <c r="K2251" s="140" t="n"/>
      <c r="L2251" s="140">
        <f>+H2251*J2251</f>
        <v/>
      </c>
      <c r="M2251" s="141">
        <f>SUM(M2250+K2251-L2251)</f>
        <v/>
      </c>
    </row>
    <row r="2252">
      <c r="A2252" s="20" t="n">
        <v>45787</v>
      </c>
      <c r="B2252" s="21" t="n">
        <v>10294</v>
      </c>
      <c r="C2252" s="22" t="inlineStr">
        <is>
          <t>SELİM İNŞAAT</t>
        </is>
      </c>
      <c r="D2252" s="21" t="inlineStr">
        <is>
          <t>34 FBR 748</t>
        </is>
      </c>
      <c r="E2252" s="21" t="inlineStr">
        <is>
          <t>YAŞAR ÖZKAYA</t>
        </is>
      </c>
      <c r="F2252" s="23" t="n">
        <v>272537</v>
      </c>
      <c r="G2252" s="138" t="n"/>
      <c r="H2252" s="138" t="n">
        <v>404</v>
      </c>
      <c r="I2252" s="138">
        <f>+I2251+(G2252-H2252)</f>
        <v/>
      </c>
      <c r="J2252" s="139" t="n">
        <v>39.424</v>
      </c>
      <c r="K2252" s="140" t="n"/>
      <c r="L2252" s="140">
        <f>+H2252*J2252</f>
        <v/>
      </c>
      <c r="M2252" s="141">
        <f>SUM(M2251+K2252-L2252)</f>
        <v/>
      </c>
    </row>
    <row r="2253">
      <c r="A2253" s="20" t="n">
        <v>45787</v>
      </c>
      <c r="B2253" s="21" t="n">
        <v>11831</v>
      </c>
      <c r="C2253" s="22" t="inlineStr">
        <is>
          <t>SELİM İNŞAAT</t>
        </is>
      </c>
      <c r="D2253" s="21" t="inlineStr">
        <is>
          <t>34 FSG 229</t>
        </is>
      </c>
      <c r="E2253" s="21" t="inlineStr">
        <is>
          <t>SİNAN TANRIVERDİ</t>
        </is>
      </c>
      <c r="F2253" s="23" t="n">
        <v>250169</v>
      </c>
      <c r="G2253" s="138" t="n"/>
      <c r="H2253" s="138" t="n">
        <v>377</v>
      </c>
      <c r="I2253" s="138">
        <f>+I2252+(G2253-H2253)</f>
        <v/>
      </c>
      <c r="J2253" s="139" t="n">
        <v>39.424</v>
      </c>
      <c r="K2253" s="140" t="n"/>
      <c r="L2253" s="140">
        <f>+H2253*J2253</f>
        <v/>
      </c>
      <c r="M2253" s="141">
        <f>SUM(M2252+K2253-L2253)</f>
        <v/>
      </c>
    </row>
    <row r="2254">
      <c r="A2254" s="20" t="n">
        <v>45787</v>
      </c>
      <c r="B2254" s="21" t="n">
        <v>11146</v>
      </c>
      <c r="C2254" s="22" t="inlineStr">
        <is>
          <t>SELİM İNŞAAT</t>
        </is>
      </c>
      <c r="D2254" s="21" t="inlineStr">
        <is>
          <t>34 DTV 409</t>
        </is>
      </c>
      <c r="E2254" s="21" t="inlineStr">
        <is>
          <t>CEM MUHTAR</t>
        </is>
      </c>
      <c r="F2254" s="23" t="n">
        <v>411037</v>
      </c>
      <c r="G2254" s="138" t="n"/>
      <c r="H2254" s="138" t="n">
        <v>379</v>
      </c>
      <c r="I2254" s="138">
        <f>+I2253+(G2254-H2254)</f>
        <v/>
      </c>
      <c r="J2254" s="139" t="n">
        <v>39.424</v>
      </c>
      <c r="K2254" s="140" t="n"/>
      <c r="L2254" s="140">
        <f>+H2254*J2254</f>
        <v/>
      </c>
      <c r="M2254" s="141">
        <f>SUM(M2253+K2254-L2254)</f>
        <v/>
      </c>
    </row>
    <row r="2255">
      <c r="A2255" s="20" t="n">
        <v>45787</v>
      </c>
      <c r="B2255" s="21" t="n">
        <v>16737</v>
      </c>
      <c r="C2255" s="22" t="inlineStr">
        <is>
          <t>SELİM İNŞAAT</t>
        </is>
      </c>
      <c r="D2255" s="21" t="inlineStr">
        <is>
          <t>34 JBA 25</t>
        </is>
      </c>
      <c r="E2255" s="21" t="inlineStr">
        <is>
          <t>ABDURRAHMAN SERDAN</t>
        </is>
      </c>
      <c r="F2255" s="23" t="n">
        <v>333125</v>
      </c>
      <c r="G2255" s="138" t="n"/>
      <c r="H2255" s="138" t="n">
        <v>70</v>
      </c>
      <c r="I2255" s="138">
        <f>+I2254+(G2255-H2255)</f>
        <v/>
      </c>
      <c r="J2255" s="139" t="n">
        <v>39.424</v>
      </c>
      <c r="K2255" s="140" t="n"/>
      <c r="L2255" s="140">
        <f>+H2255*J2255</f>
        <v/>
      </c>
      <c r="M2255" s="141">
        <f>SUM(M2254+K2255-L2255)</f>
        <v/>
      </c>
    </row>
    <row r="2256">
      <c r="A2256" s="20" t="n">
        <v>45787</v>
      </c>
      <c r="B2256" s="21" t="n">
        <v>21321</v>
      </c>
      <c r="C2256" s="22" t="inlineStr">
        <is>
          <t>SELİM İNŞAAT</t>
        </is>
      </c>
      <c r="D2256" s="21" t="inlineStr">
        <is>
          <t>34 FEM 934</t>
        </is>
      </c>
      <c r="E2256" s="21" t="inlineStr">
        <is>
          <t>MUSTAFA ALBAYRAK</t>
        </is>
      </c>
      <c r="F2256" s="23" t="n">
        <v>306541</v>
      </c>
      <c r="G2256" s="138" t="n"/>
      <c r="H2256" s="138" t="n">
        <v>72</v>
      </c>
      <c r="I2256" s="138">
        <f>+I2255+(G2256-H2256)</f>
        <v/>
      </c>
      <c r="J2256" s="139" t="n">
        <v>39.424</v>
      </c>
      <c r="K2256" s="140" t="n"/>
      <c r="L2256" s="140">
        <f>+H2256*J2256</f>
        <v/>
      </c>
      <c r="M2256" s="141">
        <f>SUM(M2255+K2256-L2256)</f>
        <v/>
      </c>
    </row>
    <row r="2257">
      <c r="A2257" s="20" t="n">
        <v>45787</v>
      </c>
      <c r="B2257" s="21" t="n">
        <v>20196</v>
      </c>
      <c r="C2257" s="22" t="inlineStr">
        <is>
          <t>SELİM İNŞAAT</t>
        </is>
      </c>
      <c r="D2257" s="21" t="inlineStr">
        <is>
          <t>34 JGR 15</t>
        </is>
      </c>
      <c r="E2257" s="21" t="inlineStr">
        <is>
          <t>ŞERİF KARTAL</t>
        </is>
      </c>
      <c r="F2257" s="23" t="n">
        <v>308662</v>
      </c>
      <c r="G2257" s="138" t="n"/>
      <c r="H2257" s="138" t="n">
        <v>72</v>
      </c>
      <c r="I2257" s="138">
        <f>+I2256+(G2257-H2257)</f>
        <v/>
      </c>
      <c r="J2257" s="139" t="n">
        <v>39.424</v>
      </c>
      <c r="K2257" s="140" t="n"/>
      <c r="L2257" s="140">
        <f>+H2257*J2257</f>
        <v/>
      </c>
      <c r="M2257" s="141">
        <f>SUM(M2256+K2257-L2257)</f>
        <v/>
      </c>
    </row>
    <row r="2258">
      <c r="A2258" s="20" t="n">
        <v>45789</v>
      </c>
      <c r="B2258" s="21" t="n">
        <v>14724</v>
      </c>
      <c r="C2258" s="22" t="inlineStr">
        <is>
          <t>METİN ERYİĞİT</t>
        </is>
      </c>
      <c r="D2258" s="21" t="inlineStr">
        <is>
          <t>34 GBL 998</t>
        </is>
      </c>
      <c r="E2258" s="21" t="inlineStr">
        <is>
          <t>ALİ KESKİN</t>
        </is>
      </c>
      <c r="F2258" s="23" t="n">
        <v>259270</v>
      </c>
      <c r="G2258" s="138" t="n"/>
      <c r="H2258" s="138" t="n">
        <v>410</v>
      </c>
      <c r="I2258" s="138">
        <f>+I2257+(G2258-H2258)</f>
        <v/>
      </c>
      <c r="J2258" s="139" t="n">
        <v>39.424</v>
      </c>
      <c r="K2258" s="140" t="n"/>
      <c r="L2258" s="140">
        <f>+H2258*J2258</f>
        <v/>
      </c>
      <c r="M2258" s="141">
        <f>SUM(M2257+K2258-L2258)</f>
        <v/>
      </c>
    </row>
    <row r="2259">
      <c r="A2259" s="20" t="n">
        <v>45789</v>
      </c>
      <c r="B2259" s="21" t="n">
        <v>10048</v>
      </c>
      <c r="C2259" s="22" t="inlineStr">
        <is>
          <t>METİN ERYİĞİT</t>
        </is>
      </c>
      <c r="D2259" s="21" t="inlineStr">
        <is>
          <t>34 EGS 013</t>
        </is>
      </c>
      <c r="E2259" s="21" t="inlineStr">
        <is>
          <t xml:space="preserve">UĞUR DUMAN </t>
        </is>
      </c>
      <c r="F2259" s="23" t="n">
        <v>480915</v>
      </c>
      <c r="G2259" s="138" t="n"/>
      <c r="H2259" s="138" t="n">
        <v>434</v>
      </c>
      <c r="I2259" s="138">
        <f>+I2258+(G2259-H2259)</f>
        <v/>
      </c>
      <c r="J2259" s="139" t="n">
        <v>39.424</v>
      </c>
      <c r="K2259" s="140" t="n"/>
      <c r="L2259" s="140">
        <f>+H2259*J2259</f>
        <v/>
      </c>
      <c r="M2259" s="141">
        <f>SUM(M2258+K2259-L2259)</f>
        <v/>
      </c>
    </row>
    <row r="2260">
      <c r="A2260" s="20" t="n">
        <v>45789</v>
      </c>
      <c r="B2260" s="1" t="n">
        <v>15741</v>
      </c>
      <c r="C2260" s="2" t="inlineStr">
        <is>
          <t>HASALTUN</t>
        </is>
      </c>
      <c r="D2260" s="1" t="inlineStr">
        <is>
          <t>RT 650 SARI VİNÇ</t>
        </is>
      </c>
      <c r="E2260" s="1" t="inlineStr">
        <is>
          <t>ALİHAN DUMAN</t>
        </is>
      </c>
      <c r="F2260" s="3" t="n"/>
      <c r="G2260" s="143" t="n"/>
      <c r="H2260" s="143" t="n">
        <v>190</v>
      </c>
      <c r="I2260" s="143">
        <f>+I2259+(G2260-H2260)</f>
        <v/>
      </c>
      <c r="J2260" s="144" t="n">
        <v>39.424</v>
      </c>
      <c r="K2260" s="145" t="n"/>
      <c r="L2260" s="140">
        <f>+H2260*J2260</f>
        <v/>
      </c>
      <c r="M2260" s="141">
        <f>SUM(M2259+K2260-L2260)</f>
        <v/>
      </c>
    </row>
    <row r="2261">
      <c r="A2261" s="20" t="n">
        <v>45789</v>
      </c>
      <c r="B2261" s="1" t="n">
        <v>15742</v>
      </c>
      <c r="C2261" s="2" t="inlineStr">
        <is>
          <t>VARLIK</t>
        </is>
      </c>
      <c r="D2261" s="1" t="inlineStr">
        <is>
          <t>SM 370</t>
        </is>
      </c>
      <c r="E2261" s="1" t="inlineStr">
        <is>
          <t>TEKİN ŞEYLAN</t>
        </is>
      </c>
      <c r="F2261" s="3" t="n"/>
      <c r="G2261" s="143" t="n"/>
      <c r="H2261" s="143" t="n">
        <v>192</v>
      </c>
      <c r="I2261" s="143">
        <f>+I2260+(G2261-H2261)</f>
        <v/>
      </c>
      <c r="J2261" s="144" t="n">
        <v>39.424</v>
      </c>
      <c r="K2261" s="145" t="n"/>
      <c r="L2261" s="140">
        <f>+H2261*J2261</f>
        <v/>
      </c>
      <c r="M2261" s="141">
        <f>SUM(M2260+K2261-L2261)</f>
        <v/>
      </c>
    </row>
    <row r="2262">
      <c r="A2262" s="20" t="n">
        <v>45789</v>
      </c>
      <c r="B2262" s="1" t="n">
        <v>15743</v>
      </c>
      <c r="C2262" s="2" t="inlineStr">
        <is>
          <t>VARLIK</t>
        </is>
      </c>
      <c r="D2262" s="1" t="inlineStr">
        <is>
          <t>SM 300</t>
        </is>
      </c>
      <c r="E2262" s="1" t="inlineStr">
        <is>
          <t>TURGUT SANCAK</t>
        </is>
      </c>
      <c r="F2262" s="3" t="n"/>
      <c r="G2262" s="143" t="n"/>
      <c r="H2262" s="143" t="n">
        <v>372</v>
      </c>
      <c r="I2262" s="143">
        <f>+I2261+(G2262-H2262)</f>
        <v/>
      </c>
      <c r="J2262" s="144" t="n">
        <v>39.424</v>
      </c>
      <c r="K2262" s="145" t="n"/>
      <c r="L2262" s="140">
        <f>+H2262*J2262</f>
        <v/>
      </c>
      <c r="M2262" s="141">
        <f>SUM(M2261+K2262-L2262)</f>
        <v/>
      </c>
    </row>
    <row r="2263">
      <c r="A2263" s="20" t="n">
        <v>45789</v>
      </c>
      <c r="B2263" s="1" t="n">
        <v>15744</v>
      </c>
      <c r="C2263" s="2" t="inlineStr">
        <is>
          <t>VARLIK</t>
        </is>
      </c>
      <c r="D2263" s="1" t="inlineStr">
        <is>
          <t>SM 350</t>
        </is>
      </c>
      <c r="E2263" s="1" t="inlineStr">
        <is>
          <t>BAYRAM SANCAK</t>
        </is>
      </c>
      <c r="F2263" s="3" t="n"/>
      <c r="G2263" s="143" t="n"/>
      <c r="H2263" s="143" t="n">
        <v>367</v>
      </c>
      <c r="I2263" s="143">
        <f>+I2262+(G2263-H2263)</f>
        <v/>
      </c>
      <c r="J2263" s="144" t="n">
        <v>39.424</v>
      </c>
      <c r="K2263" s="145" t="n"/>
      <c r="L2263" s="140">
        <f>+H2263*J2263</f>
        <v/>
      </c>
      <c r="M2263" s="141">
        <f>SUM(M2262+K2263-L2263)</f>
        <v/>
      </c>
    </row>
    <row r="2264">
      <c r="A2264" s="20" t="n">
        <v>45789</v>
      </c>
      <c r="B2264" s="1" t="n">
        <v>15745</v>
      </c>
      <c r="C2264" s="2" t="inlineStr">
        <is>
          <t>HASALTUN</t>
        </is>
      </c>
      <c r="D2264" s="1" t="inlineStr">
        <is>
          <t>KAVAZAKİ</t>
        </is>
      </c>
      <c r="E2264" s="1" t="inlineStr">
        <is>
          <t>RAMAZAN KAYA</t>
        </is>
      </c>
      <c r="F2264" s="3" t="n"/>
      <c r="G2264" s="143" t="n"/>
      <c r="H2264" s="143" t="n">
        <v>102</v>
      </c>
      <c r="I2264" s="143">
        <f>+I2263+(G2264-H2264)</f>
        <v/>
      </c>
      <c r="J2264" s="144" t="n">
        <v>39.424</v>
      </c>
      <c r="K2264" s="145" t="n"/>
      <c r="L2264" s="140">
        <f>+H2264*J2264</f>
        <v/>
      </c>
      <c r="M2264" s="141">
        <f>SUM(M2263+K2264-L2264)</f>
        <v/>
      </c>
    </row>
    <row r="2265">
      <c r="A2265" s="20" t="n">
        <v>45789</v>
      </c>
      <c r="B2265" s="21" t="n">
        <v>14682</v>
      </c>
      <c r="C2265" s="22" t="inlineStr">
        <is>
          <t>EVKUR</t>
        </is>
      </c>
      <c r="D2265" s="21" t="inlineStr">
        <is>
          <t>FOKLİFT</t>
        </is>
      </c>
      <c r="E2265" s="21" t="inlineStr">
        <is>
          <t>FAHRİ KALFA</t>
        </is>
      </c>
      <c r="F2265" s="23" t="n"/>
      <c r="G2265" s="138" t="n"/>
      <c r="H2265" s="138" t="n">
        <v>74</v>
      </c>
      <c r="I2265" s="138">
        <f>+I2264+(G2265-H2265)</f>
        <v/>
      </c>
      <c r="J2265" s="139" t="n">
        <v>39.424</v>
      </c>
      <c r="K2265" s="140" t="n"/>
      <c r="L2265" s="140">
        <f>+H2265*J2265</f>
        <v/>
      </c>
      <c r="M2265" s="141">
        <f>SUM(M2264+K2265-L2265)</f>
        <v/>
      </c>
    </row>
    <row r="2266">
      <c r="A2266" s="20" t="n">
        <v>45789</v>
      </c>
      <c r="B2266" s="21" t="n">
        <v>15203</v>
      </c>
      <c r="C2266" s="22" t="inlineStr">
        <is>
          <t>SELİM İNŞAAT</t>
        </is>
      </c>
      <c r="D2266" s="21" t="inlineStr">
        <is>
          <t>34 DRU 565</t>
        </is>
      </c>
      <c r="E2266" s="21" t="inlineStr">
        <is>
          <t>ERSEL DERVİŞ</t>
        </is>
      </c>
      <c r="F2266" s="23" t="n">
        <v>397107</v>
      </c>
      <c r="G2266" s="138" t="n"/>
      <c r="H2266" s="138" t="n">
        <v>450</v>
      </c>
      <c r="I2266" s="138">
        <f>+I2265+(G2266-H2266)</f>
        <v/>
      </c>
      <c r="J2266" s="139" t="n">
        <v>39.424</v>
      </c>
      <c r="K2266" s="140" t="n"/>
      <c r="L2266" s="140">
        <f>+H2266*J2266</f>
        <v/>
      </c>
      <c r="M2266" s="141">
        <f>SUM(M2265+K2266-L2266)</f>
        <v/>
      </c>
    </row>
    <row r="2267">
      <c r="A2267" s="20" t="n">
        <v>45789</v>
      </c>
      <c r="B2267" s="21" t="n">
        <v>15104</v>
      </c>
      <c r="C2267" s="22" t="inlineStr">
        <is>
          <t>SELİM İNŞAAT</t>
        </is>
      </c>
      <c r="D2267" s="21" t="inlineStr">
        <is>
          <t>34 DTV 599</t>
        </is>
      </c>
      <c r="E2267" s="21" t="inlineStr">
        <is>
          <t>FERHAT GÜRLER</t>
        </is>
      </c>
      <c r="F2267" s="23" t="n">
        <v>425815</v>
      </c>
      <c r="G2267" s="138" t="n"/>
      <c r="H2267" s="138" t="n">
        <v>443</v>
      </c>
      <c r="I2267" s="138">
        <f>+I2266+(G2267-H2267)</f>
        <v/>
      </c>
      <c r="J2267" s="139" t="n">
        <v>39.424</v>
      </c>
      <c r="K2267" s="140" t="n"/>
      <c r="L2267" s="140">
        <f>+H2267*J2267</f>
        <v/>
      </c>
      <c r="M2267" s="141">
        <f>SUM(M2266+K2267-L2267)</f>
        <v/>
      </c>
    </row>
    <row r="2268">
      <c r="A2268" s="20" t="n">
        <v>45789</v>
      </c>
      <c r="B2268" s="21" t="n">
        <v>15301</v>
      </c>
      <c r="C2268" s="22" t="inlineStr">
        <is>
          <t>SELİM İNŞAAT</t>
        </is>
      </c>
      <c r="D2268" s="21" t="inlineStr">
        <is>
          <t>34 EDC 162</t>
        </is>
      </c>
      <c r="E2268" s="21" t="inlineStr">
        <is>
          <t xml:space="preserve">YAKUP GÜNER </t>
        </is>
      </c>
      <c r="F2268" s="23" t="n">
        <v>361998</v>
      </c>
      <c r="G2268" s="138" t="n"/>
      <c r="H2268" s="138" t="n">
        <v>368</v>
      </c>
      <c r="I2268" s="138">
        <f>+I2267+(G2268-H2268)</f>
        <v/>
      </c>
      <c r="J2268" s="139" t="n">
        <v>39.424</v>
      </c>
      <c r="K2268" s="140" t="n"/>
      <c r="L2268" s="140">
        <f>+H2268*J2268</f>
        <v/>
      </c>
      <c r="M2268" s="141">
        <f>SUM(M2267+K2268-L2268)</f>
        <v/>
      </c>
    </row>
    <row r="2269">
      <c r="A2269" s="20" t="n">
        <v>45789</v>
      </c>
      <c r="B2269" s="21" t="n">
        <v>10343</v>
      </c>
      <c r="C2269" s="22" t="inlineStr">
        <is>
          <t>SELİM İNŞAAT</t>
        </is>
      </c>
      <c r="D2269" s="21" t="inlineStr">
        <is>
          <t>34 EDB 829</t>
        </is>
      </c>
      <c r="E2269" s="21" t="inlineStr">
        <is>
          <t>İSMET BAYRAM</t>
        </is>
      </c>
      <c r="F2269" s="23" t="n">
        <v>311614</v>
      </c>
      <c r="G2269" s="138" t="n"/>
      <c r="H2269" s="138" t="n">
        <v>320</v>
      </c>
      <c r="I2269" s="138">
        <f>+I2268+(G2269-H2269)</f>
        <v/>
      </c>
      <c r="J2269" s="139" t="n">
        <v>39.424</v>
      </c>
      <c r="K2269" s="140" t="n"/>
      <c r="L2269" s="140">
        <f>+H2269*J2269</f>
        <v/>
      </c>
      <c r="M2269" s="141">
        <f>SUM(M2268+K2269-L2269)</f>
        <v/>
      </c>
    </row>
    <row r="2270">
      <c r="A2270" s="20" t="n">
        <v>45789</v>
      </c>
      <c r="B2270" s="21" t="n">
        <v>14751</v>
      </c>
      <c r="C2270" s="22" t="inlineStr">
        <is>
          <t>SELİM İNŞAAT</t>
        </is>
      </c>
      <c r="D2270" s="21" t="inlineStr">
        <is>
          <t>34 GVZ 635</t>
        </is>
      </c>
      <c r="E2270" s="21" t="inlineStr">
        <is>
          <t>ENGİN DEMİR</t>
        </is>
      </c>
      <c r="F2270" s="23" t="n">
        <v>165235</v>
      </c>
      <c r="G2270" s="138" t="n"/>
      <c r="H2270" s="138" t="n">
        <v>368</v>
      </c>
      <c r="I2270" s="138">
        <f>+I2269+(G2270-H2270)</f>
        <v/>
      </c>
      <c r="J2270" s="139" t="n">
        <v>39.424</v>
      </c>
      <c r="K2270" s="140" t="n"/>
      <c r="L2270" s="140">
        <f>+H2270*J2270</f>
        <v/>
      </c>
      <c r="M2270" s="141">
        <f>SUM(M2269+K2270-L2270)</f>
        <v/>
      </c>
    </row>
    <row r="2271">
      <c r="A2271" s="20" t="n">
        <v>45789</v>
      </c>
      <c r="B2271" s="21" t="n">
        <v>14813</v>
      </c>
      <c r="C2271" s="22" t="inlineStr">
        <is>
          <t>SELİM İNŞAAT</t>
        </is>
      </c>
      <c r="D2271" s="21" t="inlineStr">
        <is>
          <t>34 GVZ 268</t>
        </is>
      </c>
      <c r="E2271" s="21" t="inlineStr">
        <is>
          <t>KERİM KARAMAN</t>
        </is>
      </c>
      <c r="F2271" s="23" t="n">
        <v>185233</v>
      </c>
      <c r="G2271" s="138" t="n"/>
      <c r="H2271" s="138" t="n">
        <v>461</v>
      </c>
      <c r="I2271" s="138">
        <f>+I2270+(G2271-H2271)</f>
        <v/>
      </c>
      <c r="J2271" s="139" t="n">
        <v>39.424</v>
      </c>
      <c r="K2271" s="140" t="n"/>
      <c r="L2271" s="140">
        <f>+H2271*J2271</f>
        <v/>
      </c>
      <c r="M2271" s="141">
        <f>SUM(M2270+K2271-L2271)</f>
        <v/>
      </c>
    </row>
    <row r="2272">
      <c r="A2272" s="20" t="n">
        <v>45789</v>
      </c>
      <c r="B2272" s="21" t="n">
        <v>14028</v>
      </c>
      <c r="C2272" s="22" t="inlineStr">
        <is>
          <t>SELİM İNŞAAT</t>
        </is>
      </c>
      <c r="D2272" s="21" t="inlineStr">
        <is>
          <t>34 GVZ 310</t>
        </is>
      </c>
      <c r="E2272" s="21" t="inlineStr">
        <is>
          <t>CELAL YÜZBAŞI</t>
        </is>
      </c>
      <c r="F2272" s="23" t="n">
        <v>190351</v>
      </c>
      <c r="G2272" s="138" t="n"/>
      <c r="H2272" s="138" t="n">
        <v>327</v>
      </c>
      <c r="I2272" s="138">
        <f>+I2271+(G2272-H2272)</f>
        <v/>
      </c>
      <c r="J2272" s="139" t="n">
        <v>39.424</v>
      </c>
      <c r="K2272" s="140" t="n"/>
      <c r="L2272" s="140">
        <f>+H2272*J2272</f>
        <v/>
      </c>
      <c r="M2272" s="141">
        <f>SUM(M2271+K2272-L2272)</f>
        <v/>
      </c>
    </row>
    <row r="2273">
      <c r="A2273" s="20" t="n">
        <v>45789</v>
      </c>
      <c r="B2273" s="21" t="n">
        <v>21628</v>
      </c>
      <c r="C2273" s="22" t="inlineStr">
        <is>
          <t>SELİM İNŞAAT</t>
        </is>
      </c>
      <c r="D2273" s="21" t="inlineStr">
        <is>
          <t>34 DHC 467</t>
        </is>
      </c>
      <c r="E2273" s="21" t="n"/>
      <c r="F2273" s="23" t="n">
        <v>397991</v>
      </c>
      <c r="G2273" s="138" t="n"/>
      <c r="H2273" s="138" t="n">
        <v>357</v>
      </c>
      <c r="I2273" s="138">
        <f>+I2272+(G2273-H2273)</f>
        <v/>
      </c>
      <c r="J2273" s="139" t="n">
        <v>39.424</v>
      </c>
      <c r="K2273" s="140" t="n"/>
      <c r="L2273" s="140">
        <f>+H2273*J2273</f>
        <v/>
      </c>
      <c r="M2273" s="141">
        <f>SUM(M2272+K2273-L2273)</f>
        <v/>
      </c>
    </row>
    <row r="2274">
      <c r="A2274" s="20" t="n">
        <v>45789</v>
      </c>
      <c r="B2274" s="21" t="n">
        <v>11640</v>
      </c>
      <c r="C2274" s="22" t="inlineStr">
        <is>
          <t>SELİM İNŞAAT</t>
        </is>
      </c>
      <c r="D2274" s="21" t="inlineStr">
        <is>
          <t>34 DTV 352</t>
        </is>
      </c>
      <c r="E2274" s="21" t="inlineStr">
        <is>
          <t>RASİM BARTU</t>
        </is>
      </c>
      <c r="F2274" s="23" t="n">
        <v>426190</v>
      </c>
      <c r="G2274" s="138" t="n"/>
      <c r="H2274" s="138" t="n">
        <v>488</v>
      </c>
      <c r="I2274" s="138">
        <f>+I2273+(G2274-H2274)</f>
        <v/>
      </c>
      <c r="J2274" s="139" t="n">
        <v>39.424</v>
      </c>
      <c r="K2274" s="140" t="n"/>
      <c r="L2274" s="140">
        <f>+H2274*J2274</f>
        <v/>
      </c>
      <c r="M2274" s="141">
        <f>SUM(M2273+K2274-L2274)</f>
        <v/>
      </c>
    </row>
    <row r="2275">
      <c r="A2275" s="20" t="n">
        <v>45789</v>
      </c>
      <c r="B2275" s="21" t="n">
        <v>10447</v>
      </c>
      <c r="C2275" s="22" t="inlineStr">
        <is>
          <t>SELİM İNŞAAT</t>
        </is>
      </c>
      <c r="D2275" s="21" t="inlineStr">
        <is>
          <t>34 FBR 781</t>
        </is>
      </c>
      <c r="E2275" s="21" t="inlineStr">
        <is>
          <t>MEVLÜT POLAT</t>
        </is>
      </c>
      <c r="F2275" s="23" t="n">
        <v>295216</v>
      </c>
      <c r="G2275" s="138" t="n"/>
      <c r="H2275" s="138" t="n">
        <v>455</v>
      </c>
      <c r="I2275" s="138">
        <f>+I2274+(G2275-H2275)</f>
        <v/>
      </c>
      <c r="J2275" s="139" t="n">
        <v>39.424</v>
      </c>
      <c r="K2275" s="140" t="n"/>
      <c r="L2275" s="140">
        <f>+H2275*J2275</f>
        <v/>
      </c>
      <c r="M2275" s="141">
        <f>SUM(M2274+K2275-L2275)</f>
        <v/>
      </c>
    </row>
    <row r="2276">
      <c r="A2276" s="20" t="n">
        <v>45789</v>
      </c>
      <c r="B2276" s="21" t="n">
        <v>14225</v>
      </c>
      <c r="C2276" s="22" t="inlineStr">
        <is>
          <t>SELİM İNŞAAT</t>
        </is>
      </c>
      <c r="D2276" s="21" t="inlineStr">
        <is>
          <t xml:space="preserve">34 GUS 938 </t>
        </is>
      </c>
      <c r="E2276" s="21" t="inlineStr">
        <is>
          <t>MEHMET KAYA</t>
        </is>
      </c>
      <c r="F2276" s="23" t="n">
        <v>178879</v>
      </c>
      <c r="G2276" s="138" t="n"/>
      <c r="H2276" s="138" t="n">
        <v>344</v>
      </c>
      <c r="I2276" s="138">
        <f>+I2275+(G2276-H2276)</f>
        <v/>
      </c>
      <c r="J2276" s="139" t="n">
        <v>39.424</v>
      </c>
      <c r="K2276" s="140" t="n"/>
      <c r="L2276" s="140">
        <f>+H2276*J2276</f>
        <v/>
      </c>
      <c r="M2276" s="141">
        <f>SUM(M2275+K2276-L2276)</f>
        <v/>
      </c>
    </row>
    <row r="2277">
      <c r="A2277" s="20" t="n">
        <v>45789</v>
      </c>
      <c r="B2277" s="21" t="n">
        <v>15506</v>
      </c>
      <c r="C2277" s="22" t="inlineStr">
        <is>
          <t>SELİM İNŞAAT</t>
        </is>
      </c>
      <c r="D2277" s="21" t="inlineStr">
        <is>
          <t>34 EDC 086</t>
        </is>
      </c>
      <c r="E2277" s="21" t="inlineStr">
        <is>
          <t>ÖMER AĞAYAR</t>
        </is>
      </c>
      <c r="F2277" s="23" t="n">
        <v>319444</v>
      </c>
      <c r="G2277" s="138" t="n"/>
      <c r="H2277" s="138" t="n">
        <v>316</v>
      </c>
      <c r="I2277" s="138">
        <f>+I2276+(G2277-H2277)</f>
        <v/>
      </c>
      <c r="J2277" s="139" t="n">
        <v>39.424</v>
      </c>
      <c r="K2277" s="140" t="n"/>
      <c r="L2277" s="140">
        <f>+H2277*J2277</f>
        <v/>
      </c>
      <c r="M2277" s="141">
        <f>SUM(M2276+K2277-L2277)</f>
        <v/>
      </c>
    </row>
    <row r="2278">
      <c r="A2278" s="20" t="n">
        <v>45789</v>
      </c>
      <c r="B2278" s="21" t="n">
        <v>10791</v>
      </c>
      <c r="C2278" s="22" t="inlineStr">
        <is>
          <t>SELİM İNŞAAT</t>
        </is>
      </c>
      <c r="D2278" s="21" t="inlineStr">
        <is>
          <t>34 FBR 705</t>
        </is>
      </c>
      <c r="E2278" s="21" t="inlineStr">
        <is>
          <t>MESUT GÜRLER</t>
        </is>
      </c>
      <c r="F2278" s="23" t="n">
        <v>308260</v>
      </c>
      <c r="G2278" s="138" t="n"/>
      <c r="H2278" s="138" t="n">
        <v>146</v>
      </c>
      <c r="I2278" s="138">
        <f>+I2277+(G2278-H2278)</f>
        <v/>
      </c>
      <c r="J2278" s="139" t="n">
        <v>39.424</v>
      </c>
      <c r="K2278" s="140" t="n"/>
      <c r="L2278" s="140">
        <f>+H2278*J2278</f>
        <v/>
      </c>
      <c r="M2278" s="141">
        <f>SUM(M2277+K2278-L2278)</f>
        <v/>
      </c>
    </row>
    <row r="2279">
      <c r="A2279" s="20" t="n">
        <v>45789</v>
      </c>
      <c r="B2279" s="21" t="n">
        <v>14476</v>
      </c>
      <c r="C2279" s="22" t="inlineStr">
        <is>
          <t>SELİM İNŞAAT</t>
        </is>
      </c>
      <c r="D2279" s="21" t="inlineStr">
        <is>
          <t>34 GUS 848</t>
        </is>
      </c>
      <c r="E2279" s="21" t="inlineStr">
        <is>
          <t>SERDAR BOZKURT</t>
        </is>
      </c>
      <c r="F2279" s="23" t="n">
        <v>185271</v>
      </c>
      <c r="G2279" s="138" t="n"/>
      <c r="H2279" s="138" t="n">
        <v>380</v>
      </c>
      <c r="I2279" s="138">
        <f>+I2278+(G2279-H2279)</f>
        <v/>
      </c>
      <c r="J2279" s="139" t="n">
        <v>39.424</v>
      </c>
      <c r="K2279" s="140" t="n"/>
      <c r="L2279" s="140">
        <f>+H2279*J2279</f>
        <v/>
      </c>
      <c r="M2279" s="141">
        <f>SUM(M2278+K2279-L2279)</f>
        <v/>
      </c>
    </row>
    <row r="2280">
      <c r="A2280" s="20" t="n">
        <v>45789</v>
      </c>
      <c r="B2280" s="21" t="n">
        <v>11937</v>
      </c>
      <c r="C2280" s="22" t="inlineStr">
        <is>
          <t>SELİM İNŞAAT</t>
        </is>
      </c>
      <c r="D2280" s="21" t="inlineStr">
        <is>
          <t>34 FBR 742</t>
        </is>
      </c>
      <c r="E2280" s="21" t="inlineStr">
        <is>
          <t>MİKAİL BAYILMAZ</t>
        </is>
      </c>
      <c r="F2280" s="23" t="n">
        <v>311240</v>
      </c>
      <c r="G2280" s="138" t="n"/>
      <c r="H2280" s="138" t="n">
        <v>316</v>
      </c>
      <c r="I2280" s="138">
        <f>+I2279+(G2280-H2280)</f>
        <v/>
      </c>
      <c r="J2280" s="139" t="n">
        <v>39.424</v>
      </c>
      <c r="K2280" s="140" t="n"/>
      <c r="L2280" s="140">
        <f>+H2280*J2280</f>
        <v/>
      </c>
      <c r="M2280" s="141">
        <f>SUM(M2279+K2280-L2280)</f>
        <v/>
      </c>
    </row>
    <row r="2281">
      <c r="A2281" s="20" t="n">
        <v>45789</v>
      </c>
      <c r="B2281" s="21" t="n">
        <v>11218</v>
      </c>
      <c r="C2281" s="22" t="inlineStr">
        <is>
          <t>SELİM İNŞAAT</t>
        </is>
      </c>
      <c r="D2281" s="21" t="inlineStr">
        <is>
          <t>34 DSN 636</t>
        </is>
      </c>
      <c r="E2281" s="21" t="inlineStr">
        <is>
          <t>İLHAN YÜRÜK</t>
        </is>
      </c>
      <c r="F2281" s="23" t="n">
        <v>383800</v>
      </c>
      <c r="G2281" s="138" t="n"/>
      <c r="H2281" s="138" t="n">
        <v>225</v>
      </c>
      <c r="I2281" s="138">
        <f>+I2280+(G2281-H2281)</f>
        <v/>
      </c>
      <c r="J2281" s="139" t="n">
        <v>39.424</v>
      </c>
      <c r="K2281" s="140" t="n"/>
      <c r="L2281" s="140">
        <f>+H2281*J2281</f>
        <v/>
      </c>
      <c r="M2281" s="141">
        <f>SUM(M2280+K2281-L2281)</f>
        <v/>
      </c>
    </row>
    <row r="2282">
      <c r="A2282" s="20" t="n">
        <v>45789</v>
      </c>
      <c r="B2282" s="21" t="n">
        <v>10384</v>
      </c>
      <c r="C2282" s="22" t="inlineStr">
        <is>
          <t>SELİM İNŞAAT</t>
        </is>
      </c>
      <c r="D2282" s="21" t="inlineStr">
        <is>
          <t>34 DRU 690</t>
        </is>
      </c>
      <c r="E2282" s="21" t="inlineStr">
        <is>
          <t>MURAT DEMİRBAŞ</t>
        </is>
      </c>
      <c r="F2282" s="23" t="n">
        <v>408748</v>
      </c>
      <c r="G2282" s="138" t="n"/>
      <c r="H2282" s="138" t="n">
        <v>175</v>
      </c>
      <c r="I2282" s="138">
        <f>+I2281+(G2282-H2282)</f>
        <v/>
      </c>
      <c r="J2282" s="139" t="n">
        <v>39.424</v>
      </c>
      <c r="K2282" s="140" t="n"/>
      <c r="L2282" s="140">
        <f>+H2282*J2282</f>
        <v/>
      </c>
      <c r="M2282" s="141">
        <f>SUM(M2281+K2282-L2282)</f>
        <v/>
      </c>
    </row>
    <row r="2283">
      <c r="A2283" s="20" t="n">
        <v>45789</v>
      </c>
      <c r="B2283" s="21" t="n">
        <v>10088</v>
      </c>
      <c r="C2283" s="22" t="inlineStr">
        <is>
          <t>SELİM İNŞAAT</t>
        </is>
      </c>
      <c r="D2283" s="21" t="inlineStr">
        <is>
          <t>34 FBR 771</t>
        </is>
      </c>
      <c r="E2283" s="21" t="inlineStr">
        <is>
          <t>HÜSEYİN AKÇİN</t>
        </is>
      </c>
      <c r="F2283" s="23" t="n">
        <v>311251</v>
      </c>
      <c r="G2283" s="138" t="n"/>
      <c r="H2283" s="138" t="n">
        <v>194</v>
      </c>
      <c r="I2283" s="138">
        <f>+I2282+(G2283-H2283)</f>
        <v/>
      </c>
      <c r="J2283" s="139" t="n">
        <v>39.424</v>
      </c>
      <c r="K2283" s="140" t="n"/>
      <c r="L2283" s="140">
        <f>+H2283*J2283</f>
        <v/>
      </c>
      <c r="M2283" s="141">
        <f>SUM(M2282+K2283-L2283)</f>
        <v/>
      </c>
    </row>
    <row r="2284">
      <c r="A2284" s="20" t="n">
        <v>45789</v>
      </c>
      <c r="B2284" s="21" t="n">
        <v>10230</v>
      </c>
      <c r="C2284" s="22" t="inlineStr">
        <is>
          <t>SELİM İNŞAAT</t>
        </is>
      </c>
      <c r="D2284" s="21" t="inlineStr">
        <is>
          <t>34 DSN 621</t>
        </is>
      </c>
      <c r="E2284" s="21" t="inlineStr">
        <is>
          <t>MUSTAFA KAYA</t>
        </is>
      </c>
      <c r="F2284" s="23" t="n">
        <v>435336</v>
      </c>
      <c r="G2284" s="138" t="n"/>
      <c r="H2284" s="138" t="n">
        <v>261</v>
      </c>
      <c r="I2284" s="138">
        <f>+I2283+(G2284-H2284)</f>
        <v/>
      </c>
      <c r="J2284" s="139" t="n">
        <v>39.424</v>
      </c>
      <c r="K2284" s="140" t="n"/>
      <c r="L2284" s="140">
        <f>+H2284*J2284</f>
        <v/>
      </c>
      <c r="M2284" s="141">
        <f>SUM(M2283+K2284-L2284)</f>
        <v/>
      </c>
    </row>
    <row r="2285">
      <c r="A2285" s="20" t="n">
        <v>45789</v>
      </c>
      <c r="B2285" s="21" t="n">
        <v>14077</v>
      </c>
      <c r="C2285" s="22" t="inlineStr">
        <is>
          <t>SELİM İNŞAAT</t>
        </is>
      </c>
      <c r="D2285" s="21" t="inlineStr">
        <is>
          <t>34 EDB 659</t>
        </is>
      </c>
      <c r="E2285" s="21" t="inlineStr">
        <is>
          <t>MEHMET SAİT ANIK</t>
        </is>
      </c>
      <c r="F2285" s="23" t="n">
        <v>333155</v>
      </c>
      <c r="G2285" s="138" t="n"/>
      <c r="H2285" s="138" t="n">
        <v>400</v>
      </c>
      <c r="I2285" s="138">
        <f>+I2284+(G2285-H2285)</f>
        <v/>
      </c>
      <c r="J2285" s="139" t="n">
        <v>39.424</v>
      </c>
      <c r="K2285" s="140" t="n"/>
      <c r="L2285" s="140">
        <f>+H2285*J2285</f>
        <v/>
      </c>
      <c r="M2285" s="141">
        <f>SUM(M2284+K2285-L2285)</f>
        <v/>
      </c>
    </row>
    <row r="2286">
      <c r="A2286" s="20" t="n">
        <v>45789</v>
      </c>
      <c r="B2286" s="21" t="n">
        <v>14372</v>
      </c>
      <c r="C2286" s="22" t="inlineStr">
        <is>
          <t>SELİM İNŞAAT</t>
        </is>
      </c>
      <c r="D2286" s="21" t="inlineStr">
        <is>
          <t>34 DKL 798</t>
        </is>
      </c>
      <c r="E2286" s="21" t="inlineStr">
        <is>
          <t>VOLKAN YANAR</t>
        </is>
      </c>
      <c r="F2286" s="23" t="n">
        <v>64842</v>
      </c>
      <c r="G2286" s="138" t="n"/>
      <c r="H2286" s="138" t="n">
        <v>109</v>
      </c>
      <c r="I2286" s="138">
        <f>+I2285+(G2286-H2286)</f>
        <v/>
      </c>
      <c r="J2286" s="139" t="n">
        <v>39.424</v>
      </c>
      <c r="K2286" s="140" t="n"/>
      <c r="L2286" s="140">
        <f>+H2286*J2286</f>
        <v/>
      </c>
      <c r="M2286" s="141">
        <f>SUM(M2285+K2286-L2286)</f>
        <v/>
      </c>
    </row>
    <row r="2287">
      <c r="A2287" s="20" t="n">
        <v>45789</v>
      </c>
      <c r="B2287" s="21" t="n">
        <v>14524</v>
      </c>
      <c r="C2287" s="22" t="inlineStr">
        <is>
          <t>SELİM İNŞAAT</t>
        </is>
      </c>
      <c r="D2287" s="21" t="inlineStr">
        <is>
          <t>34 GER 028</t>
        </is>
      </c>
      <c r="E2287" s="21" t="inlineStr">
        <is>
          <t>EMİRCAN ÖZTÜRK</t>
        </is>
      </c>
      <c r="F2287" s="23" t="n">
        <v>43305</v>
      </c>
      <c r="G2287" s="138" t="n"/>
      <c r="H2287" s="138" t="n">
        <v>171</v>
      </c>
      <c r="I2287" s="138">
        <f>+I2286+(G2287-H2287)</f>
        <v/>
      </c>
      <c r="J2287" s="139" t="n">
        <v>39.424</v>
      </c>
      <c r="K2287" s="140" t="n"/>
      <c r="L2287" s="140">
        <f>+H2287*J2287</f>
        <v/>
      </c>
      <c r="M2287" s="141">
        <f>SUM(M2286+K2287-L2287)</f>
        <v/>
      </c>
    </row>
    <row r="2288">
      <c r="A2288" s="20" t="n">
        <v>45789</v>
      </c>
      <c r="B2288" s="21" t="n">
        <v>10148</v>
      </c>
      <c r="C2288" s="22" t="inlineStr">
        <is>
          <t>SELİM İNŞAAT</t>
        </is>
      </c>
      <c r="D2288" s="21" t="inlineStr">
        <is>
          <t>34 DP 4161</t>
        </is>
      </c>
      <c r="E2288" s="21" t="inlineStr">
        <is>
          <t>RIFAT KARATAY</t>
        </is>
      </c>
      <c r="F2288" s="23" t="n">
        <v>284421</v>
      </c>
      <c r="G2288" s="138" t="n"/>
      <c r="H2288" s="138" t="n">
        <v>256</v>
      </c>
      <c r="I2288" s="138">
        <f>+I2287+(G2288-H2288)</f>
        <v/>
      </c>
      <c r="J2288" s="139" t="n">
        <v>39.424</v>
      </c>
      <c r="K2288" s="140" t="n"/>
      <c r="L2288" s="140">
        <f>+H2288*J2288</f>
        <v/>
      </c>
      <c r="M2288" s="141">
        <f>SUM(M2287+K2288-L2288)</f>
        <v/>
      </c>
    </row>
    <row r="2289">
      <c r="A2289" s="20" t="n">
        <v>45790</v>
      </c>
      <c r="B2289" s="21" t="n">
        <v>10196</v>
      </c>
      <c r="C2289" s="22" t="inlineStr">
        <is>
          <t>SELİM İNŞAAT</t>
        </is>
      </c>
      <c r="D2289" s="21" t="inlineStr">
        <is>
          <t>34 EGR 736</t>
        </is>
      </c>
      <c r="E2289" s="21" t="inlineStr">
        <is>
          <t>HAKAN ÇAVUŞOĞLU</t>
        </is>
      </c>
      <c r="F2289" s="23" t="n">
        <v>382518</v>
      </c>
      <c r="G2289" s="138" t="n"/>
      <c r="H2289" s="138" t="n">
        <v>435</v>
      </c>
      <c r="I2289" s="138">
        <f>+I2288+(G2289-H2289)</f>
        <v/>
      </c>
      <c r="J2289" s="139" t="n">
        <v>39.424</v>
      </c>
      <c r="K2289" s="140" t="n"/>
      <c r="L2289" s="140">
        <f>+H2289*J2289</f>
        <v/>
      </c>
      <c r="M2289" s="141">
        <f>SUM(M2288+K2289-L2289)</f>
        <v/>
      </c>
    </row>
    <row r="2290">
      <c r="A2290" s="20" t="n">
        <v>45790</v>
      </c>
      <c r="B2290" s="21" t="n">
        <v>15507</v>
      </c>
      <c r="C2290" s="22" t="inlineStr">
        <is>
          <t>SELİM İNŞAAT</t>
        </is>
      </c>
      <c r="D2290" s="21" t="inlineStr">
        <is>
          <t>34 EDC 086</t>
        </is>
      </c>
      <c r="E2290" s="21" t="inlineStr">
        <is>
          <t>ÖMER AĞAYAR</t>
        </is>
      </c>
      <c r="F2290" s="23" t="n">
        <v>319906</v>
      </c>
      <c r="G2290" s="138" t="n"/>
      <c r="H2290" s="138" t="n">
        <v>233</v>
      </c>
      <c r="I2290" s="138">
        <f>+I2289+(G2290-H2290)</f>
        <v/>
      </c>
      <c r="J2290" s="139" t="n">
        <v>39.424</v>
      </c>
      <c r="K2290" s="140" t="n"/>
      <c r="L2290" s="140">
        <f>+H2290*J2290</f>
        <v/>
      </c>
      <c r="M2290" s="141">
        <f>SUM(M2289+K2290-L2290)</f>
        <v/>
      </c>
    </row>
    <row r="2291">
      <c r="A2291" s="20" t="n">
        <v>45790</v>
      </c>
      <c r="B2291" s="21" t="n">
        <v>10295</v>
      </c>
      <c r="C2291" s="22" t="inlineStr">
        <is>
          <t>SELİM İNŞAAT</t>
        </is>
      </c>
      <c r="D2291" s="21" t="inlineStr">
        <is>
          <t>34 FBR 748</t>
        </is>
      </c>
      <c r="E2291" s="21" t="inlineStr">
        <is>
          <t>YAŞAR ÖZKAYA</t>
        </is>
      </c>
      <c r="F2291" s="23" t="n">
        <v>273250</v>
      </c>
      <c r="G2291" s="138" t="n"/>
      <c r="H2291" s="138" t="n">
        <v>400</v>
      </c>
      <c r="I2291" s="138">
        <f>+I2290+(G2291-H2291)</f>
        <v/>
      </c>
      <c r="J2291" s="139" t="n">
        <v>39.424</v>
      </c>
      <c r="K2291" s="140" t="n"/>
      <c r="L2291" s="140">
        <f>+H2291*J2291</f>
        <v/>
      </c>
      <c r="M2291" s="141">
        <f>SUM(M2290+K2291-L2291)</f>
        <v/>
      </c>
    </row>
    <row r="2292">
      <c r="A2292" s="20" t="n">
        <v>45790</v>
      </c>
      <c r="B2292" s="21" t="n">
        <v>21299</v>
      </c>
      <c r="C2292" s="22" t="inlineStr">
        <is>
          <t>SELİM İNŞAAT</t>
        </is>
      </c>
      <c r="D2292" s="21" t="inlineStr">
        <is>
          <t>34 DTV 447</t>
        </is>
      </c>
      <c r="E2292" s="21" t="inlineStr">
        <is>
          <t>EBUBEKİR KOLDAŞ</t>
        </is>
      </c>
      <c r="F2292" s="23" t="n">
        <v>424832</v>
      </c>
      <c r="G2292" s="138" t="n"/>
      <c r="H2292" s="138" t="n">
        <v>510</v>
      </c>
      <c r="I2292" s="138">
        <f>+I2291+(G2292-H2292)</f>
        <v/>
      </c>
      <c r="J2292" s="139" t="n">
        <v>39.424</v>
      </c>
      <c r="K2292" s="140" t="n"/>
      <c r="L2292" s="140">
        <f>+H2292*J2292</f>
        <v/>
      </c>
      <c r="M2292" s="141">
        <f>SUM(M2291+K2292-L2292)</f>
        <v/>
      </c>
    </row>
    <row r="2293">
      <c r="A2293" s="20" t="n">
        <v>45790</v>
      </c>
      <c r="B2293" s="21" t="n">
        <v>10539</v>
      </c>
      <c r="C2293" s="22" t="inlineStr">
        <is>
          <t>SELİM İNŞAAT</t>
        </is>
      </c>
      <c r="D2293" s="21" t="inlineStr">
        <is>
          <t>34 EDB 922</t>
        </is>
      </c>
      <c r="E2293" s="21" t="inlineStr">
        <is>
          <t>AHMET TOPÇU</t>
        </is>
      </c>
      <c r="F2293" s="23" t="n">
        <v>354376</v>
      </c>
      <c r="G2293" s="138" t="n"/>
      <c r="H2293" s="138" t="n">
        <v>476</v>
      </c>
      <c r="I2293" s="138">
        <f>+I2292+(G2293-H2293)</f>
        <v/>
      </c>
      <c r="J2293" s="139" t="n">
        <v>39.424</v>
      </c>
      <c r="K2293" s="140" t="n"/>
      <c r="L2293" s="140">
        <f>+H2293*J2293</f>
        <v/>
      </c>
      <c r="M2293" s="141">
        <f>SUM(M2292+K2293-L2293)</f>
        <v/>
      </c>
    </row>
    <row r="2294">
      <c r="A2294" s="20" t="n">
        <v>45790</v>
      </c>
      <c r="B2294" s="21" t="n">
        <v>10344</v>
      </c>
      <c r="C2294" s="22" t="inlineStr">
        <is>
          <t>SELİM İNŞAAT</t>
        </is>
      </c>
      <c r="D2294" s="21" t="inlineStr">
        <is>
          <t>34 EDB 829</t>
        </is>
      </c>
      <c r="E2294" s="21" t="inlineStr">
        <is>
          <t>İSMET BAYRAM</t>
        </is>
      </c>
      <c r="F2294" s="23" t="n">
        <v>312286</v>
      </c>
      <c r="G2294" s="138" t="n"/>
      <c r="H2294" s="138" t="n">
        <v>305</v>
      </c>
      <c r="I2294" s="138">
        <f>+I2293+(G2294-H2294)</f>
        <v/>
      </c>
      <c r="J2294" s="139" t="n">
        <v>39.424</v>
      </c>
      <c r="K2294" s="140" t="n"/>
      <c r="L2294" s="140">
        <f>+H2294*J2294</f>
        <v/>
      </c>
      <c r="M2294" s="141">
        <f>SUM(M2293+K2294-L2294)</f>
        <v/>
      </c>
    </row>
    <row r="2295">
      <c r="A2295" s="20" t="n">
        <v>45790</v>
      </c>
      <c r="B2295" s="21" t="n">
        <v>14124</v>
      </c>
      <c r="C2295" s="22" t="inlineStr">
        <is>
          <t>SELİM İNŞAAT</t>
        </is>
      </c>
      <c r="D2295" s="21" t="inlineStr">
        <is>
          <t>34 DSN 536</t>
        </is>
      </c>
      <c r="E2295" s="21" t="inlineStr">
        <is>
          <t>DURSUN ALİ GÜREK</t>
        </is>
      </c>
      <c r="F2295" s="23" t="n">
        <v>398206</v>
      </c>
      <c r="G2295" s="138" t="n"/>
      <c r="H2295" s="138" t="n">
        <v>415</v>
      </c>
      <c r="I2295" s="138">
        <f>+I2294+(G2295-H2295)</f>
        <v/>
      </c>
      <c r="J2295" s="139" t="n">
        <v>39.424</v>
      </c>
      <c r="K2295" s="140" t="n"/>
      <c r="L2295" s="140">
        <f>+H2295*J2295</f>
        <v/>
      </c>
      <c r="M2295" s="141">
        <f>SUM(M2294+K2295-L2295)</f>
        <v/>
      </c>
    </row>
    <row r="2296">
      <c r="A2296" s="20" t="n">
        <v>45790</v>
      </c>
      <c r="B2296" s="21" t="n">
        <v>11735</v>
      </c>
      <c r="C2296" s="22" t="inlineStr">
        <is>
          <t>SELİM İNŞAAT</t>
        </is>
      </c>
      <c r="D2296" s="21" t="inlineStr">
        <is>
          <t>34 EDB 559</t>
        </is>
      </c>
      <c r="E2296" s="21" t="inlineStr">
        <is>
          <t>CEM MUHTAR</t>
        </is>
      </c>
      <c r="F2296" s="23" t="n">
        <v>316597</v>
      </c>
      <c r="G2296" s="138" t="n"/>
      <c r="H2296" s="138" t="n">
        <v>510</v>
      </c>
      <c r="I2296" s="138">
        <f>+I2295+(G2296-H2296)</f>
        <v/>
      </c>
      <c r="J2296" s="139" t="n">
        <v>39.424</v>
      </c>
      <c r="K2296" s="140" t="n"/>
      <c r="L2296" s="140">
        <f>+H2296*J2296</f>
        <v/>
      </c>
      <c r="M2296" s="141">
        <f>SUM(M2295+K2296-L2296)</f>
        <v/>
      </c>
    </row>
    <row r="2297">
      <c r="A2297" s="20" t="n">
        <v>45790</v>
      </c>
      <c r="B2297" s="21" t="n">
        <v>10646</v>
      </c>
      <c r="C2297" s="22" t="inlineStr">
        <is>
          <t>SELİM İNŞAAT</t>
        </is>
      </c>
      <c r="D2297" s="21" t="inlineStr">
        <is>
          <t>34 EDB 754</t>
        </is>
      </c>
      <c r="E2297" s="21" t="inlineStr">
        <is>
          <t>EMİN PARLAKKILIÇ</t>
        </is>
      </c>
      <c r="F2297" s="23" t="n">
        <v>315086</v>
      </c>
      <c r="G2297" s="138" t="n"/>
      <c r="H2297" s="138" t="n">
        <v>455</v>
      </c>
      <c r="I2297" s="138">
        <f>+I2296+(G2297-H2297)</f>
        <v/>
      </c>
      <c r="J2297" s="139" t="n">
        <v>39.424</v>
      </c>
      <c r="K2297" s="140" t="n"/>
      <c r="L2297" s="140">
        <f>+H2297*J2297</f>
        <v/>
      </c>
      <c r="M2297" s="141">
        <f>SUM(M2296+K2297-L2297)</f>
        <v/>
      </c>
    </row>
    <row r="2298">
      <c r="A2298" s="20" t="n">
        <v>45790</v>
      </c>
      <c r="B2298" s="21" t="n">
        <v>14752</v>
      </c>
      <c r="C2298" s="22" t="inlineStr">
        <is>
          <t>SELİM İNŞAAT</t>
        </is>
      </c>
      <c r="D2298" s="21" t="inlineStr">
        <is>
          <t>34 GYZ 635</t>
        </is>
      </c>
      <c r="E2298" s="21" t="inlineStr">
        <is>
          <t>ENGİN DEMİR</t>
        </is>
      </c>
      <c r="F2298" s="23" t="n">
        <v>165864</v>
      </c>
      <c r="G2298" s="138" t="n"/>
      <c r="H2298" s="138" t="n">
        <v>292</v>
      </c>
      <c r="I2298" s="138">
        <f>+I2297+(G2298-H2298)</f>
        <v/>
      </c>
      <c r="J2298" s="139" t="n">
        <v>39.424</v>
      </c>
      <c r="K2298" s="140" t="n"/>
      <c r="L2298" s="140">
        <f>+H2298*J2298</f>
        <v/>
      </c>
      <c r="M2298" s="141">
        <f>SUM(M2297+K2298-L2298)</f>
        <v/>
      </c>
    </row>
    <row r="2299">
      <c r="A2299" s="20" t="n">
        <v>45790</v>
      </c>
      <c r="B2299" s="21" t="n">
        <v>15012</v>
      </c>
      <c r="C2299" s="22" t="inlineStr">
        <is>
          <t>SELİM İNŞAAT</t>
        </is>
      </c>
      <c r="D2299" s="21" t="inlineStr">
        <is>
          <t>34 GVZ 199</t>
        </is>
      </c>
      <c r="E2299" s="21" t="inlineStr">
        <is>
          <t>VAHDET GÜRLER</t>
        </is>
      </c>
      <c r="F2299" s="23" t="n">
        <v>173801</v>
      </c>
      <c r="G2299" s="138" t="n"/>
      <c r="H2299" s="138" t="n">
        <v>303</v>
      </c>
      <c r="I2299" s="138">
        <f>+I2298+(G2299-H2299)</f>
        <v/>
      </c>
      <c r="J2299" s="139" t="n">
        <v>39.424</v>
      </c>
      <c r="K2299" s="140" t="n"/>
      <c r="L2299" s="140">
        <f>+H2299*J2299</f>
        <v/>
      </c>
      <c r="M2299" s="141">
        <f>SUM(M2298+K2299-L2299)</f>
        <v/>
      </c>
    </row>
    <row r="2300">
      <c r="A2300" s="20" t="n">
        <v>45790</v>
      </c>
      <c r="B2300" s="21" t="n">
        <v>11832</v>
      </c>
      <c r="C2300" s="22" t="inlineStr">
        <is>
          <t>SELİM İNŞAAT</t>
        </is>
      </c>
      <c r="D2300" s="21" t="inlineStr">
        <is>
          <t>34 FSG 229</t>
        </is>
      </c>
      <c r="E2300" s="21" t="inlineStr">
        <is>
          <t>SİNAN TANRIVERDİ</t>
        </is>
      </c>
      <c r="F2300" s="23" t="n">
        <v>251210</v>
      </c>
      <c r="G2300" s="138" t="n"/>
      <c r="H2300" s="138" t="n">
        <v>505</v>
      </c>
      <c r="I2300" s="138">
        <f>+I2299+(G2300-H2300)</f>
        <v/>
      </c>
      <c r="J2300" s="139" t="n">
        <v>39.424</v>
      </c>
      <c r="K2300" s="140" t="n"/>
      <c r="L2300" s="140">
        <f>+H2300*J2300</f>
        <v/>
      </c>
      <c r="M2300" s="141">
        <f>SUM(M2299+K2300-L2300)</f>
        <v/>
      </c>
    </row>
    <row r="2301">
      <c r="A2301" s="20" t="n">
        <v>45790</v>
      </c>
      <c r="B2301" s="21" t="n">
        <v>14333</v>
      </c>
      <c r="C2301" s="22" t="inlineStr">
        <is>
          <t>SELİM İNŞAAT</t>
        </is>
      </c>
      <c r="D2301" s="21" t="inlineStr">
        <is>
          <t>34 DKL 866</t>
        </is>
      </c>
      <c r="E2301" s="21" t="inlineStr">
        <is>
          <t>SELİM CAN ÖNVER</t>
        </is>
      </c>
      <c r="F2301" s="23" t="n">
        <v>64875</v>
      </c>
      <c r="G2301" s="138" t="n"/>
      <c r="H2301" s="138" t="n">
        <v>121</v>
      </c>
      <c r="I2301" s="138">
        <f>+I2300+(G2301-H2301)</f>
        <v/>
      </c>
      <c r="J2301" s="139" t="n">
        <v>39.424</v>
      </c>
      <c r="K2301" s="140" t="n"/>
      <c r="L2301" s="140">
        <f>+H2301*J2301</f>
        <v/>
      </c>
      <c r="M2301" s="141">
        <f>SUM(M2300+K2301-L2301)</f>
        <v/>
      </c>
    </row>
    <row r="2302">
      <c r="A2302" s="20" t="n">
        <v>45790</v>
      </c>
      <c r="B2302" s="21" t="n">
        <v>21146</v>
      </c>
      <c r="C2302" s="22" t="inlineStr">
        <is>
          <t>SELİM İNŞAAT</t>
        </is>
      </c>
      <c r="D2302" s="21" t="inlineStr">
        <is>
          <t>34 TG 7869</t>
        </is>
      </c>
      <c r="E2302" s="21" t="inlineStr">
        <is>
          <t>GÖRKEM KARAYEL</t>
        </is>
      </c>
      <c r="F2302" s="23" t="n">
        <v>181896</v>
      </c>
      <c r="G2302" s="138" t="n"/>
      <c r="H2302" s="138" t="n">
        <v>184</v>
      </c>
      <c r="I2302" s="138">
        <f>+I2301+(G2302-H2302)</f>
        <v/>
      </c>
      <c r="J2302" s="139" t="n">
        <v>39.424</v>
      </c>
      <c r="K2302" s="140" t="n"/>
      <c r="L2302" s="140">
        <f>+H2302*J2302</f>
        <v/>
      </c>
      <c r="M2302" s="141">
        <f>SUM(M2301+K2302-L2302)</f>
        <v/>
      </c>
    </row>
    <row r="2303">
      <c r="A2303" s="20" t="n">
        <v>45790</v>
      </c>
      <c r="B2303" s="21" t="n">
        <v>15910</v>
      </c>
      <c r="C2303" s="22" t="inlineStr">
        <is>
          <t>SELİM İNŞAAT</t>
        </is>
      </c>
      <c r="D2303" s="21" t="inlineStr">
        <is>
          <t>34 DFE 454</t>
        </is>
      </c>
      <c r="E2303" s="21" t="inlineStr">
        <is>
          <t>METİN KALKAN</t>
        </is>
      </c>
      <c r="F2303" s="23" t="n">
        <v>158504</v>
      </c>
      <c r="G2303" s="138" t="n"/>
      <c r="H2303" s="138" t="n">
        <v>176</v>
      </c>
      <c r="I2303" s="138">
        <f>+I2302+(G2303-H2303)</f>
        <v/>
      </c>
      <c r="J2303" s="139" t="n">
        <v>39.424</v>
      </c>
      <c r="K2303" s="140" t="n"/>
      <c r="L2303" s="140">
        <f>+H2303*J2303</f>
        <v/>
      </c>
      <c r="M2303" s="141">
        <f>SUM(M2302+K2303-L2303)</f>
        <v/>
      </c>
    </row>
    <row r="2304">
      <c r="A2304" s="20" t="n">
        <v>45790</v>
      </c>
      <c r="B2304" s="21" t="n">
        <v>20539</v>
      </c>
      <c r="C2304" s="22" t="inlineStr">
        <is>
          <t>SELİM İNŞAAT</t>
        </is>
      </c>
      <c r="D2304" s="21" t="inlineStr">
        <is>
          <t>34 VF 2620</t>
        </is>
      </c>
      <c r="E2304" s="21" t="inlineStr">
        <is>
          <t>RECEP SELİM</t>
        </is>
      </c>
      <c r="F2304" s="23" t="n">
        <v>185195</v>
      </c>
      <c r="G2304" s="138" t="n"/>
      <c r="H2304" s="138" t="n">
        <v>67</v>
      </c>
      <c r="I2304" s="138">
        <f>+I2303+(G2304-H2304)</f>
        <v/>
      </c>
      <c r="J2304" s="139" t="n">
        <v>39.424</v>
      </c>
      <c r="K2304" s="140" t="n"/>
      <c r="L2304" s="140">
        <f>+H2304*J2304</f>
        <v/>
      </c>
      <c r="M2304" s="141">
        <f>SUM(M2303+K2304-L2304)</f>
        <v/>
      </c>
    </row>
    <row r="2305">
      <c r="A2305" s="20" t="n">
        <v>45790</v>
      </c>
      <c r="B2305" s="21" t="n">
        <v>10882</v>
      </c>
      <c r="C2305" s="22" t="inlineStr">
        <is>
          <t>SELİM İNŞAAT</t>
        </is>
      </c>
      <c r="D2305" s="21" t="inlineStr">
        <is>
          <t>34 AR 7743</t>
        </is>
      </c>
      <c r="E2305" s="21" t="inlineStr">
        <is>
          <t>MEHMET SELİM</t>
        </is>
      </c>
      <c r="F2305" s="23" t="n">
        <v>355276</v>
      </c>
      <c r="G2305" s="138" t="n"/>
      <c r="H2305" s="138" t="n">
        <v>63</v>
      </c>
      <c r="I2305" s="138">
        <f>+I2304+(G2305-H2305)</f>
        <v/>
      </c>
      <c r="J2305" s="139" t="n">
        <v>39.424</v>
      </c>
      <c r="K2305" s="140" t="n"/>
      <c r="L2305" s="140">
        <f>+H2305*J2305</f>
        <v/>
      </c>
      <c r="M2305" s="141">
        <f>SUM(M2304+K2305-L2305)</f>
        <v/>
      </c>
    </row>
    <row r="2306">
      <c r="A2306" s="20" t="n">
        <v>45790</v>
      </c>
      <c r="B2306" s="21" t="n">
        <v>14627</v>
      </c>
      <c r="C2306" s="22" t="inlineStr">
        <is>
          <t>SELİM İNŞAAT</t>
        </is>
      </c>
      <c r="D2306" s="21" t="inlineStr">
        <is>
          <t>34 GER 445</t>
        </is>
      </c>
      <c r="E2306" s="21" t="inlineStr">
        <is>
          <t>HASAN BAYCAN</t>
        </is>
      </c>
      <c r="F2306" s="23" t="n">
        <v>41732</v>
      </c>
      <c r="G2306" s="138" t="n"/>
      <c r="H2306" s="138" t="n">
        <v>131</v>
      </c>
      <c r="I2306" s="138">
        <f>+I2305+(G2306-H2306)</f>
        <v/>
      </c>
      <c r="J2306" s="139" t="n">
        <v>39.424</v>
      </c>
      <c r="K2306" s="140" t="n"/>
      <c r="L2306" s="140">
        <f>+H2306*J2306</f>
        <v/>
      </c>
      <c r="M2306" s="141">
        <f>SUM(M2305+K2306-L2306)</f>
        <v/>
      </c>
    </row>
    <row r="2307">
      <c r="A2307" s="20" t="n">
        <v>45790</v>
      </c>
      <c r="B2307" s="21" t="n">
        <v>15652</v>
      </c>
      <c r="C2307" s="22" t="inlineStr">
        <is>
          <t>METİN ERYİĞİT</t>
        </is>
      </c>
      <c r="D2307" s="21" t="inlineStr">
        <is>
          <t>34 EGR 814</t>
        </is>
      </c>
      <c r="E2307" s="21" t="inlineStr">
        <is>
          <t>GÜRAY KOYUNCU</t>
        </is>
      </c>
      <c r="F2307" s="23" t="n">
        <v>534163</v>
      </c>
      <c r="G2307" s="138" t="n"/>
      <c r="H2307" s="138" t="n">
        <v>495</v>
      </c>
      <c r="I2307" s="138">
        <f>+I2306+(G2307-H2307)</f>
        <v/>
      </c>
      <c r="J2307" s="139" t="n">
        <v>39.424</v>
      </c>
      <c r="K2307" s="140" t="n"/>
      <c r="L2307" s="140">
        <f>+H2307*J2307</f>
        <v/>
      </c>
      <c r="M2307" s="141">
        <f>SUM(M2306+K2307-L2307)</f>
        <v/>
      </c>
    </row>
    <row r="2308">
      <c r="A2308" s="20" t="n">
        <v>45790</v>
      </c>
      <c r="B2308" s="21" t="n">
        <v>14725</v>
      </c>
      <c r="C2308" s="22" t="inlineStr">
        <is>
          <t>METİN ERYİĞİT</t>
        </is>
      </c>
      <c r="D2308" s="21" t="inlineStr">
        <is>
          <t>34 GBL 998</t>
        </is>
      </c>
      <c r="E2308" s="21" t="inlineStr">
        <is>
          <t>ALİ KESKİN</t>
        </is>
      </c>
      <c r="F2308" s="23" t="n">
        <v>259684</v>
      </c>
      <c r="G2308" s="138" t="n"/>
      <c r="H2308" s="138" t="n">
        <v>477</v>
      </c>
      <c r="I2308" s="138">
        <f>+I2307+(G2308-H2308)</f>
        <v/>
      </c>
      <c r="J2308" s="139" t="n">
        <v>39.424</v>
      </c>
      <c r="K2308" s="140" t="n"/>
      <c r="L2308" s="140">
        <f>+H2308*J2308</f>
        <v/>
      </c>
      <c r="M2308" s="141">
        <f>SUM(M2307+K2308-L2308)</f>
        <v/>
      </c>
    </row>
    <row r="2309">
      <c r="A2309" s="20" t="n">
        <v>45790</v>
      </c>
      <c r="B2309" s="21" t="n">
        <v>14682</v>
      </c>
      <c r="C2309" s="22" t="inlineStr">
        <is>
          <t>AHMET SELİM TEMHA</t>
        </is>
      </c>
      <c r="D2309" s="21" t="inlineStr">
        <is>
          <t>FOKLİFT</t>
        </is>
      </c>
      <c r="E2309" s="21" t="inlineStr">
        <is>
          <t>ÖMER DUMAN</t>
        </is>
      </c>
      <c r="F2309" s="23" t="n"/>
      <c r="G2309" s="138" t="n"/>
      <c r="H2309" s="138" t="n">
        <v>36</v>
      </c>
      <c r="I2309" s="138">
        <f>+I2308+(G2309-H2309)</f>
        <v/>
      </c>
      <c r="J2309" s="139" t="n">
        <v>39.424</v>
      </c>
      <c r="K2309" s="140" t="n"/>
      <c r="L2309" s="140">
        <f>+H2309*J2309</f>
        <v/>
      </c>
      <c r="M2309" s="141">
        <f>SUM(M2308+K2309-L2309)</f>
        <v/>
      </c>
    </row>
    <row r="2310">
      <c r="A2310" s="20" t="n">
        <v>45790</v>
      </c>
      <c r="B2310" s="21" t="n">
        <v>14176</v>
      </c>
      <c r="C2310" s="22" t="inlineStr">
        <is>
          <t>AZGÜN YAPI</t>
        </is>
      </c>
      <c r="D2310" s="21" t="inlineStr">
        <is>
          <t>34 DTV 263</t>
        </is>
      </c>
      <c r="E2310" s="21" t="inlineStr">
        <is>
          <t>EDİP TORLAK</t>
        </is>
      </c>
      <c r="F2310" s="23" t="n">
        <v>376282</v>
      </c>
      <c r="G2310" s="138" t="n"/>
      <c r="H2310" s="138" t="n">
        <v>490</v>
      </c>
      <c r="I2310" s="138">
        <f>+I2309+(G2310-H2310)</f>
        <v/>
      </c>
      <c r="J2310" s="139" t="n">
        <v>39.424</v>
      </c>
      <c r="K2310" s="140" t="n"/>
      <c r="L2310" s="140">
        <f>+H2310*J2310</f>
        <v/>
      </c>
      <c r="M2310" s="141">
        <f>SUM(M2309+K2310-L2310)</f>
        <v/>
      </c>
    </row>
    <row r="2311">
      <c r="A2311" s="20" t="n">
        <v>45790</v>
      </c>
      <c r="B2311" s="21" t="n">
        <v>15746</v>
      </c>
      <c r="C2311" s="22" t="inlineStr">
        <is>
          <t>SELİM İNŞAAT</t>
        </is>
      </c>
      <c r="D2311" s="1" t="inlineStr">
        <is>
          <t>34 AZ 2191 VİNÇ</t>
        </is>
      </c>
      <c r="E2311" s="21" t="inlineStr">
        <is>
          <t>NUMAN KABİL</t>
        </is>
      </c>
      <c r="F2311" s="23" t="n"/>
      <c r="G2311" s="138" t="n"/>
      <c r="H2311" s="138" t="n">
        <v>271</v>
      </c>
      <c r="I2311" s="138">
        <f>+I2310+(G2311-H2311)</f>
        <v/>
      </c>
      <c r="J2311" s="139" t="n">
        <v>39.424</v>
      </c>
      <c r="K2311" s="140" t="n"/>
      <c r="L2311" s="140">
        <f>+H2311*J2311</f>
        <v/>
      </c>
      <c r="M2311" s="141">
        <f>SUM(M2310+K2311-L2311)</f>
        <v/>
      </c>
    </row>
    <row r="2312">
      <c r="A2312" s="20" t="n">
        <v>45790</v>
      </c>
      <c r="B2312" s="1" t="n">
        <v>15747</v>
      </c>
      <c r="C2312" s="2" t="inlineStr">
        <is>
          <t>HASALTUN</t>
        </is>
      </c>
      <c r="D2312" s="1" t="inlineStr">
        <is>
          <t>SM 370</t>
        </is>
      </c>
      <c r="E2312" s="1" t="inlineStr">
        <is>
          <t>TEKİN ŞEYLAN</t>
        </is>
      </c>
      <c r="F2312" s="3" t="n"/>
      <c r="G2312" s="143" t="n"/>
      <c r="H2312" s="143" t="n">
        <v>433</v>
      </c>
      <c r="I2312" s="143">
        <f>+I2311+(G2312-H2312)</f>
        <v/>
      </c>
      <c r="J2312" s="144" t="n">
        <v>39.424</v>
      </c>
      <c r="K2312" s="145" t="n"/>
      <c r="L2312" s="140">
        <f>+H2312*J2312</f>
        <v/>
      </c>
      <c r="M2312" s="141">
        <f>SUM(M2311+K2312-L2312)</f>
        <v/>
      </c>
    </row>
    <row r="2313">
      <c r="A2313" s="20" t="n">
        <v>45790</v>
      </c>
      <c r="B2313" s="1" t="n">
        <v>15748</v>
      </c>
      <c r="C2313" s="2" t="inlineStr">
        <is>
          <t>GÜRSES</t>
        </is>
      </c>
      <c r="D2313" s="1" t="inlineStr">
        <is>
          <t>SM 350</t>
        </is>
      </c>
      <c r="E2313" s="1" t="inlineStr">
        <is>
          <t>TEVFİK ÖZTÜRK</t>
        </is>
      </c>
      <c r="F2313" s="3" t="n"/>
      <c r="G2313" s="143" t="n"/>
      <c r="H2313" s="143" t="n">
        <v>541</v>
      </c>
      <c r="I2313" s="143">
        <f>+I2312+(G2313-H2313)</f>
        <v/>
      </c>
      <c r="J2313" s="144" t="n">
        <v>39.424</v>
      </c>
      <c r="K2313" s="145" t="n"/>
      <c r="L2313" s="140">
        <f>+H2313*J2313</f>
        <v/>
      </c>
      <c r="M2313" s="141">
        <f>SUM(M2312+K2313-L2313)</f>
        <v/>
      </c>
    </row>
    <row r="2314">
      <c r="A2314" s="20" t="n">
        <v>45790</v>
      </c>
      <c r="B2314" s="1" t="n">
        <v>15749</v>
      </c>
      <c r="C2314" s="2" t="inlineStr">
        <is>
          <t>HASALTUN</t>
        </is>
      </c>
      <c r="D2314" s="1" t="inlineStr">
        <is>
          <t>KAVAZAKİ</t>
        </is>
      </c>
      <c r="E2314" s="1" t="inlineStr">
        <is>
          <t>UFUK SEVAL</t>
        </is>
      </c>
      <c r="F2314" s="3" t="n"/>
      <c r="G2314" s="143" t="n"/>
      <c r="H2314" s="143" t="n">
        <v>171</v>
      </c>
      <c r="I2314" s="143">
        <f>+I2313+(G2314-H2314)</f>
        <v/>
      </c>
      <c r="J2314" s="144" t="n">
        <v>39.424</v>
      </c>
      <c r="K2314" s="145" t="n"/>
      <c r="L2314" s="140">
        <f>+H2314*J2314</f>
        <v/>
      </c>
      <c r="M2314" s="141">
        <f>SUM(M2313+K2314-L2314)</f>
        <v/>
      </c>
    </row>
    <row r="2315">
      <c r="A2315" s="20" t="n">
        <v>45790</v>
      </c>
      <c r="B2315" s="1" t="n">
        <v>15750</v>
      </c>
      <c r="C2315" s="2" t="inlineStr">
        <is>
          <t>VARLIK</t>
        </is>
      </c>
      <c r="D2315" s="1" t="inlineStr">
        <is>
          <t>SM 350</t>
        </is>
      </c>
      <c r="E2315" s="1" t="inlineStr">
        <is>
          <t>BAYRAM SANCAK</t>
        </is>
      </c>
      <c r="F2315" s="3" t="n"/>
      <c r="G2315" s="143" t="n"/>
      <c r="H2315" s="143" t="n">
        <v>282</v>
      </c>
      <c r="I2315" s="143">
        <f>+I2314+(G2315-H2315)</f>
        <v/>
      </c>
      <c r="J2315" s="144" t="n">
        <v>39.424</v>
      </c>
      <c r="K2315" s="145" t="n"/>
      <c r="L2315" s="140">
        <f>+H2315*J2315</f>
        <v/>
      </c>
      <c r="M2315" s="141">
        <f>SUM(M2314+K2315-L2315)</f>
        <v/>
      </c>
    </row>
    <row r="2316">
      <c r="A2316" s="20" t="n">
        <v>45790</v>
      </c>
      <c r="B2316" s="1" t="n">
        <v>15751</v>
      </c>
      <c r="C2316" s="2" t="inlineStr">
        <is>
          <t>VARLIK</t>
        </is>
      </c>
      <c r="D2316" s="1" t="inlineStr">
        <is>
          <t>SM 300</t>
        </is>
      </c>
      <c r="E2316" s="1" t="inlineStr">
        <is>
          <t>TURGUT SANCAK</t>
        </is>
      </c>
      <c r="F2316" s="3" t="n"/>
      <c r="G2316" s="143" t="n"/>
      <c r="H2316" s="143" t="n">
        <v>316</v>
      </c>
      <c r="I2316" s="143">
        <f>+I2315+(G2316-H2316)</f>
        <v/>
      </c>
      <c r="J2316" s="144" t="n">
        <v>39.424</v>
      </c>
      <c r="K2316" s="145" t="n"/>
      <c r="L2316" s="140">
        <f>+H2316*J2316</f>
        <v/>
      </c>
      <c r="M2316" s="141">
        <f>SUM(M2315+K2316-L2316)</f>
        <v/>
      </c>
    </row>
    <row r="2317">
      <c r="A2317" s="20" t="n">
        <v>45790</v>
      </c>
      <c r="B2317" s="21" t="n">
        <v>8861</v>
      </c>
      <c r="C2317" s="22" t="inlineStr">
        <is>
          <t>EVKUR</t>
        </is>
      </c>
      <c r="D2317" s="21" t="inlineStr">
        <is>
          <t>FOKLİFT</t>
        </is>
      </c>
      <c r="E2317" s="21" t="inlineStr">
        <is>
          <t>FAHRİ KALFA</t>
        </is>
      </c>
      <c r="F2317" s="23" t="n"/>
      <c r="G2317" s="138" t="n"/>
      <c r="H2317" s="138" t="n">
        <v>69</v>
      </c>
      <c r="I2317" s="138">
        <f>+I2316+(G2317-H2317)</f>
        <v/>
      </c>
      <c r="J2317" s="139" t="n"/>
      <c r="K2317" s="140" t="n"/>
      <c r="L2317" s="140">
        <f>+H2317*J2317</f>
        <v/>
      </c>
      <c r="M2317" s="141">
        <f>SUM(M2316+K2317-L2317)</f>
        <v/>
      </c>
    </row>
    <row r="2318">
      <c r="A2318" s="20" t="n">
        <v>45791</v>
      </c>
      <c r="B2318" s="21" t="n">
        <v>609</v>
      </c>
      <c r="C2318" s="22" t="inlineStr">
        <is>
          <t>ÜNSOY TURİZM İNŞ.SAN.VE TİC.A.Ş.</t>
        </is>
      </c>
      <c r="D2318" s="21" t="n"/>
      <c r="E2318" s="21" t="n"/>
      <c r="F2318" s="23" t="n"/>
      <c r="G2318" s="138" t="n">
        <v>32437</v>
      </c>
      <c r="H2318" s="138" t="n"/>
      <c r="I2318" s="138">
        <f>+I2317+(G2318-H2318)</f>
        <v/>
      </c>
      <c r="J2318" s="139">
        <f>+K2318/G2318</f>
        <v/>
      </c>
      <c r="K2318" s="140" t="n">
        <v>1267637.94</v>
      </c>
      <c r="L2318" s="140">
        <f>+H2318*J2318</f>
        <v/>
      </c>
      <c r="M2318" s="141">
        <f>SUM(M2317+K2318-L2318)</f>
        <v/>
      </c>
    </row>
    <row r="2319">
      <c r="A2319" s="20" t="n">
        <v>45791</v>
      </c>
      <c r="B2319" s="21" t="n">
        <v>11219</v>
      </c>
      <c r="C2319" s="22" t="inlineStr">
        <is>
          <t>SELİM İNŞAAT</t>
        </is>
      </c>
      <c r="D2319" s="21" t="inlineStr">
        <is>
          <t>34 DSN 636</t>
        </is>
      </c>
      <c r="E2319" s="21" t="inlineStr">
        <is>
          <t>İLHAN YÜRÜK</t>
        </is>
      </c>
      <c r="F2319" s="23" t="n">
        <v>384508</v>
      </c>
      <c r="G2319" s="138" t="n"/>
      <c r="H2319" s="138" t="n">
        <v>414</v>
      </c>
      <c r="I2319" s="138">
        <f>+I2318+(G2319-H2319)</f>
        <v/>
      </c>
      <c r="J2319" s="139" t="n">
        <v>39.08</v>
      </c>
      <c r="K2319" s="140" t="n"/>
      <c r="L2319" s="140">
        <f>+H2319*J2319</f>
        <v/>
      </c>
      <c r="M2319" s="141">
        <f>SUM(M2318+K2319-L2319)</f>
        <v/>
      </c>
    </row>
    <row r="2320">
      <c r="A2320" s="20" t="n">
        <v>45791</v>
      </c>
      <c r="B2320" s="21" t="n">
        <v>15562</v>
      </c>
      <c r="C2320" s="22" t="inlineStr">
        <is>
          <t>SELİM İNŞAAT</t>
        </is>
      </c>
      <c r="D2320" s="21" t="inlineStr">
        <is>
          <t>34 GVZ 745</t>
        </is>
      </c>
      <c r="E2320" s="21" t="inlineStr">
        <is>
          <t>MUHAMMED YİĞİT</t>
        </is>
      </c>
      <c r="F2320" s="23" t="n">
        <v>181307</v>
      </c>
      <c r="G2320" s="138" t="n"/>
      <c r="H2320" s="138" t="n">
        <v>365</v>
      </c>
      <c r="I2320" s="138">
        <f>+I2319+(G2320-H2320)</f>
        <v/>
      </c>
      <c r="J2320" s="139" t="n">
        <v>39.08</v>
      </c>
      <c r="K2320" s="140" t="n"/>
      <c r="L2320" s="140">
        <f>+H2320*J2320</f>
        <v/>
      </c>
      <c r="M2320" s="141">
        <f>SUM(M2319+K2320-L2320)</f>
        <v/>
      </c>
    </row>
    <row r="2321">
      <c r="A2321" s="20" t="n">
        <v>45791</v>
      </c>
      <c r="B2321" s="21" t="n">
        <v>10089</v>
      </c>
      <c r="C2321" s="22" t="inlineStr">
        <is>
          <t>SELİM İNŞAAT</t>
        </is>
      </c>
      <c r="D2321" s="21" t="inlineStr">
        <is>
          <t>34 FBR 771</t>
        </is>
      </c>
      <c r="E2321" s="21" t="inlineStr">
        <is>
          <t>HÜSEYİN AKÇİN</t>
        </is>
      </c>
      <c r="F2321" s="23" t="n">
        <v>311935</v>
      </c>
      <c r="G2321" s="138" t="n"/>
      <c r="H2321" s="138" t="n">
        <v>417</v>
      </c>
      <c r="I2321" s="138">
        <f>+I2320+(G2321-H2321)</f>
        <v/>
      </c>
      <c r="J2321" s="139" t="n">
        <v>39.08</v>
      </c>
      <c r="K2321" s="140" t="n"/>
      <c r="L2321" s="140">
        <f>+H2321*J2321</f>
        <v/>
      </c>
      <c r="M2321" s="141">
        <f>SUM(M2320+K2321-L2321)</f>
        <v/>
      </c>
    </row>
    <row r="2322">
      <c r="A2322" s="20" t="n">
        <v>45791</v>
      </c>
      <c r="B2322" s="21" t="n">
        <v>15105</v>
      </c>
      <c r="C2322" s="22" t="inlineStr">
        <is>
          <t>SELİM İNŞAAT</t>
        </is>
      </c>
      <c r="D2322" s="21" t="inlineStr">
        <is>
          <t>34 DTV 599</t>
        </is>
      </c>
      <c r="E2322" s="21" t="inlineStr">
        <is>
          <t>FERHAT GÜRLER</t>
        </is>
      </c>
      <c r="F2322" s="23" t="n">
        <v>426565</v>
      </c>
      <c r="G2322" s="138" t="n"/>
      <c r="H2322" s="138" t="n">
        <v>394</v>
      </c>
      <c r="I2322" s="138">
        <f>+I2321+(G2322-H2322)</f>
        <v/>
      </c>
      <c r="J2322" s="139" t="n">
        <v>39.08</v>
      </c>
      <c r="K2322" s="140" t="n"/>
      <c r="L2322" s="140">
        <f>+H2322*J2322</f>
        <v/>
      </c>
      <c r="M2322" s="141">
        <f>SUM(M2321+K2322-L2322)</f>
        <v/>
      </c>
    </row>
    <row r="2323">
      <c r="A2323" s="20" t="n">
        <v>45791</v>
      </c>
      <c r="B2323" s="21" t="n">
        <v>15302</v>
      </c>
      <c r="C2323" s="22" t="inlineStr">
        <is>
          <t>SELİM İNŞAAT</t>
        </is>
      </c>
      <c r="D2323" s="21" t="inlineStr">
        <is>
          <t>34 EDC 162</t>
        </is>
      </c>
      <c r="E2323" s="21" t="inlineStr">
        <is>
          <t xml:space="preserve">YAKUP GÜNER </t>
        </is>
      </c>
      <c r="F2323" s="23" t="n">
        <v>362810</v>
      </c>
      <c r="G2323" s="138" t="n"/>
      <c r="H2323" s="138" t="n">
        <v>375</v>
      </c>
      <c r="I2323" s="138">
        <f>+I2322+(G2323-H2323)</f>
        <v/>
      </c>
      <c r="J2323" s="139" t="n">
        <v>39.08</v>
      </c>
      <c r="K2323" s="140" t="n"/>
      <c r="L2323" s="140">
        <f>+H2323*J2323</f>
        <v/>
      </c>
      <c r="M2323" s="141">
        <f>SUM(M2322+K2323-L2323)</f>
        <v/>
      </c>
    </row>
    <row r="2324">
      <c r="A2324" s="20" t="n">
        <v>45791</v>
      </c>
      <c r="B2324" s="21" t="n">
        <v>14477</v>
      </c>
      <c r="C2324" s="22" t="inlineStr">
        <is>
          <t>SELİM İNŞAAT</t>
        </is>
      </c>
      <c r="D2324" s="21" t="inlineStr">
        <is>
          <t>34 GUS 848</t>
        </is>
      </c>
      <c r="E2324" s="21" t="inlineStr">
        <is>
          <t>SERDAR BOZKURT</t>
        </is>
      </c>
      <c r="F2324" s="23" t="n">
        <v>186036</v>
      </c>
      <c r="G2324" s="138" t="n"/>
      <c r="H2324" s="138" t="n">
        <v>366</v>
      </c>
      <c r="I2324" s="138">
        <f>+I2323+(G2324-H2324)</f>
        <v/>
      </c>
      <c r="J2324" s="139" t="n">
        <v>39.08</v>
      </c>
      <c r="K2324" s="140" t="n"/>
      <c r="L2324" s="140">
        <f>+H2324*J2324</f>
        <v/>
      </c>
      <c r="M2324" s="141">
        <f>SUM(M2323+K2324-L2324)</f>
        <v/>
      </c>
    </row>
    <row r="2325">
      <c r="A2325" s="20" t="n">
        <v>45791</v>
      </c>
      <c r="B2325" s="21" t="n">
        <v>14078</v>
      </c>
      <c r="C2325" s="22" t="inlineStr">
        <is>
          <t>SELİM İNŞAAT</t>
        </is>
      </c>
      <c r="D2325" s="21" t="inlineStr">
        <is>
          <t>34 EDB 659</t>
        </is>
      </c>
      <c r="E2325" s="21" t="inlineStr">
        <is>
          <t>MEHMET SAİT ANIK</t>
        </is>
      </c>
      <c r="F2325" s="23" t="n">
        <v>333663</v>
      </c>
      <c r="G2325" s="138" t="n"/>
      <c r="H2325" s="138" t="n">
        <v>263</v>
      </c>
      <c r="I2325" s="138">
        <f>+I2324+(G2325-H2325)</f>
        <v/>
      </c>
      <c r="J2325" s="139" t="n">
        <v>39.08</v>
      </c>
      <c r="K2325" s="140" t="n"/>
      <c r="L2325" s="140">
        <f>+H2325*J2325</f>
        <v/>
      </c>
      <c r="M2325" s="141">
        <f>SUM(M2324+K2325-L2325)</f>
        <v/>
      </c>
    </row>
    <row r="2326">
      <c r="A2326" s="20" t="n">
        <v>45791</v>
      </c>
      <c r="B2326" s="21" t="n">
        <v>11147</v>
      </c>
      <c r="C2326" s="22" t="inlineStr">
        <is>
          <t>SELİM İNŞAAT</t>
        </is>
      </c>
      <c r="D2326" s="21" t="inlineStr">
        <is>
          <t>34 DTV 409</t>
        </is>
      </c>
      <c r="E2326" s="21" t="inlineStr">
        <is>
          <t>ONUR CANLI</t>
        </is>
      </c>
      <c r="F2326" s="23" t="n">
        <v>411866</v>
      </c>
      <c r="G2326" s="138" t="n"/>
      <c r="H2326" s="138" t="n">
        <v>368</v>
      </c>
      <c r="I2326" s="138">
        <f>+I2325+(G2326-H2326)</f>
        <v/>
      </c>
      <c r="J2326" s="139" t="n">
        <v>39.08</v>
      </c>
      <c r="K2326" s="140" t="n"/>
      <c r="L2326" s="140">
        <f>+H2326*J2326</f>
        <v/>
      </c>
      <c r="M2326" s="141">
        <f>SUM(M2325+K2326-L2326)</f>
        <v/>
      </c>
    </row>
    <row r="2327">
      <c r="A2327" s="20" t="n">
        <v>45791</v>
      </c>
      <c r="B2327" s="21" t="n">
        <v>11641</v>
      </c>
      <c r="C2327" s="22" t="inlineStr">
        <is>
          <t>SELİM İNŞAAT</t>
        </is>
      </c>
      <c r="D2327" s="21" t="inlineStr">
        <is>
          <t>34 DTV 352</t>
        </is>
      </c>
      <c r="E2327" s="21" t="inlineStr">
        <is>
          <t>RASİM BARTU</t>
        </is>
      </c>
      <c r="F2327" s="23" t="n">
        <v>427069</v>
      </c>
      <c r="G2327" s="138" t="n"/>
      <c r="H2327" s="138" t="n">
        <v>410</v>
      </c>
      <c r="I2327" s="138">
        <f>+I2326+(G2327-H2327)</f>
        <v/>
      </c>
      <c r="J2327" s="139" t="n">
        <v>39.08</v>
      </c>
      <c r="K2327" s="140" t="n"/>
      <c r="L2327" s="140">
        <f>+H2327*J2327</f>
        <v/>
      </c>
      <c r="M2327" s="141">
        <f>SUM(M2326+K2327-L2327)</f>
        <v/>
      </c>
    </row>
    <row r="2328">
      <c r="A2328" s="20" t="n">
        <v>45791</v>
      </c>
      <c r="B2328" s="21" t="n">
        <v>14125</v>
      </c>
      <c r="C2328" s="22" t="inlineStr">
        <is>
          <t>SELİM İNŞAAT</t>
        </is>
      </c>
      <c r="D2328" s="21" t="inlineStr">
        <is>
          <t>34 DSN 536</t>
        </is>
      </c>
      <c r="E2328" s="21" t="inlineStr">
        <is>
          <t>DURSUN ALİ GÜREK</t>
        </is>
      </c>
      <c r="F2328" s="23" t="n">
        <v>398747</v>
      </c>
      <c r="G2328" s="138" t="n"/>
      <c r="H2328" s="138" t="n">
        <v>279</v>
      </c>
      <c r="I2328" s="138">
        <f>+I2327+(G2328-H2328)</f>
        <v/>
      </c>
      <c r="J2328" s="139" t="n">
        <v>39.08</v>
      </c>
      <c r="K2328" s="140" t="n"/>
      <c r="L2328" s="140">
        <f>+H2328*J2328</f>
        <v/>
      </c>
      <c r="M2328" s="141">
        <f>SUM(M2327+K2328-L2328)</f>
        <v/>
      </c>
    </row>
    <row r="2329">
      <c r="A2329" s="20" t="n">
        <v>45791</v>
      </c>
      <c r="B2329" s="21" t="n">
        <v>10792</v>
      </c>
      <c r="C2329" s="22" t="inlineStr">
        <is>
          <t>SELİM İNŞAAT</t>
        </is>
      </c>
      <c r="D2329" s="21" t="inlineStr">
        <is>
          <t>34 FBR 705</t>
        </is>
      </c>
      <c r="E2329" s="21" t="inlineStr">
        <is>
          <t>CEM MUHTAR</t>
        </is>
      </c>
      <c r="F2329" s="23" t="n">
        <v>308904</v>
      </c>
      <c r="G2329" s="138" t="n"/>
      <c r="H2329" s="138" t="n">
        <v>295</v>
      </c>
      <c r="I2329" s="138">
        <f>+I2328+(G2329-H2329)</f>
        <v/>
      </c>
      <c r="J2329" s="139" t="n">
        <v>39.08</v>
      </c>
      <c r="K2329" s="140" t="n"/>
      <c r="L2329" s="140">
        <f>+H2329*J2329</f>
        <v/>
      </c>
      <c r="M2329" s="141">
        <f>SUM(M2328+K2329-L2329)</f>
        <v/>
      </c>
    </row>
    <row r="2330">
      <c r="A2330" s="20" t="n">
        <v>45791</v>
      </c>
      <c r="B2330" s="21" t="n">
        <v>14814</v>
      </c>
      <c r="C2330" s="22" t="inlineStr">
        <is>
          <t>SELİM İNŞAAT</t>
        </is>
      </c>
      <c r="D2330" s="21" t="inlineStr">
        <is>
          <t>34 GVZ 268</t>
        </is>
      </c>
      <c r="E2330" s="21" t="inlineStr">
        <is>
          <t>KERİM KARAMAN</t>
        </is>
      </c>
      <c r="F2330" s="23" t="n">
        <v>186081</v>
      </c>
      <c r="G2330" s="138" t="n"/>
      <c r="H2330" s="138" t="n">
        <v>388</v>
      </c>
      <c r="I2330" s="138">
        <f>+I2329+(G2330-H2330)</f>
        <v/>
      </c>
      <c r="J2330" s="139" t="n">
        <v>39.08</v>
      </c>
      <c r="K2330" s="140" t="n"/>
      <c r="L2330" s="140">
        <f>+H2330*J2330</f>
        <v/>
      </c>
      <c r="M2330" s="141">
        <f>SUM(M2329+K2330-L2330)</f>
        <v/>
      </c>
    </row>
    <row r="2331">
      <c r="A2331" s="20" t="n">
        <v>45791</v>
      </c>
      <c r="B2331" s="21" t="n">
        <v>15204</v>
      </c>
      <c r="C2331" s="22" t="inlineStr">
        <is>
          <t>SELİM İNŞAAT</t>
        </is>
      </c>
      <c r="D2331" s="21" t="inlineStr">
        <is>
          <t>34 DSN 565</t>
        </is>
      </c>
      <c r="E2331" s="21" t="inlineStr">
        <is>
          <t>FUAT AYKUL</t>
        </is>
      </c>
      <c r="F2331" s="23" t="n">
        <v>397990</v>
      </c>
      <c r="G2331" s="138" t="n"/>
      <c r="H2331" s="138" t="n">
        <v>419</v>
      </c>
      <c r="I2331" s="138">
        <f>+I2330+(G2331-H2331)</f>
        <v/>
      </c>
      <c r="J2331" s="139" t="n">
        <v>39.08</v>
      </c>
      <c r="K2331" s="140" t="n"/>
      <c r="L2331" s="140">
        <f>+H2331*J2331</f>
        <v/>
      </c>
      <c r="M2331" s="141">
        <f>SUM(M2330+K2331-L2331)</f>
        <v/>
      </c>
    </row>
    <row r="2332">
      <c r="A2332" s="20" t="n">
        <v>45791</v>
      </c>
      <c r="B2332" s="21" t="n">
        <v>11938</v>
      </c>
      <c r="C2332" s="22" t="inlineStr">
        <is>
          <t>SELİM İNŞAAT</t>
        </is>
      </c>
      <c r="D2332" s="21" t="inlineStr">
        <is>
          <t>34 FBR 742</t>
        </is>
      </c>
      <c r="E2332" s="21" t="inlineStr">
        <is>
          <t>MİKAİL BAYILMAZ</t>
        </is>
      </c>
      <c r="F2332" s="23" t="n">
        <v>311825</v>
      </c>
      <c r="G2332" s="138" t="n"/>
      <c r="H2332" s="138" t="n">
        <v>351</v>
      </c>
      <c r="I2332" s="138">
        <f>+I2331+(G2332-H2332)</f>
        <v/>
      </c>
      <c r="J2332" s="139" t="n">
        <v>39.08</v>
      </c>
      <c r="K2332" s="140" t="n"/>
      <c r="L2332" s="140">
        <f>+H2332*J2332</f>
        <v/>
      </c>
      <c r="M2332" s="141">
        <f>SUM(M2331+K2332-L2332)</f>
        <v/>
      </c>
    </row>
    <row r="2333">
      <c r="A2333" s="20" t="n">
        <v>45791</v>
      </c>
      <c r="B2333" s="21" t="n">
        <v>14226</v>
      </c>
      <c r="C2333" s="22" t="inlineStr">
        <is>
          <t>SELİM İNŞAAT</t>
        </is>
      </c>
      <c r="D2333" s="21" t="inlineStr">
        <is>
          <t xml:space="preserve">34 GUS 938 </t>
        </is>
      </c>
      <c r="E2333" s="21" t="inlineStr">
        <is>
          <t>MEHMET KAYA</t>
        </is>
      </c>
      <c r="F2333" s="23" t="n">
        <v>179594</v>
      </c>
      <c r="G2333" s="138" t="n"/>
      <c r="H2333" s="138" t="n">
        <v>356</v>
      </c>
      <c r="I2333" s="138">
        <f>+I2332+(G2333-H2333)</f>
        <v/>
      </c>
      <c r="J2333" s="139" t="n">
        <v>39.08</v>
      </c>
      <c r="K2333" s="140" t="n"/>
      <c r="L2333" s="140">
        <f>+H2333*J2333</f>
        <v/>
      </c>
      <c r="M2333" s="141">
        <f>SUM(M2332+K2333-L2333)</f>
        <v/>
      </c>
    </row>
    <row r="2334">
      <c r="A2334" s="20" t="n">
        <v>45791</v>
      </c>
      <c r="B2334" s="21" t="n">
        <v>15013</v>
      </c>
      <c r="C2334" s="22" t="inlineStr">
        <is>
          <t>SELİM İNŞAAT</t>
        </is>
      </c>
      <c r="D2334" s="21" t="inlineStr">
        <is>
          <t>34 GVZ 199</t>
        </is>
      </c>
      <c r="E2334" s="21" t="inlineStr">
        <is>
          <t>VAHDET GÜRLER</t>
        </is>
      </c>
      <c r="F2334" s="23" t="n">
        <v>174457</v>
      </c>
      <c r="G2334" s="138" t="n"/>
      <c r="H2334" s="138" t="n">
        <v>314</v>
      </c>
      <c r="I2334" s="138">
        <f>+I2333+(G2334-H2334)</f>
        <v/>
      </c>
      <c r="J2334" s="139" t="n">
        <v>39.08</v>
      </c>
      <c r="K2334" s="140" t="n"/>
      <c r="L2334" s="140">
        <f>+H2334*J2334</f>
        <v/>
      </c>
      <c r="M2334" s="141">
        <f>SUM(M2333+K2334-L2334)</f>
        <v/>
      </c>
    </row>
    <row r="2335">
      <c r="A2335" s="20" t="n">
        <v>45791</v>
      </c>
      <c r="B2335" s="21" t="n">
        <v>21619</v>
      </c>
      <c r="C2335" s="22" t="inlineStr">
        <is>
          <t>SELİM İNŞAAT</t>
        </is>
      </c>
      <c r="D2335" s="21" t="inlineStr">
        <is>
          <t>34 DHC 467</t>
        </is>
      </c>
      <c r="E2335" s="21" t="inlineStr">
        <is>
          <t>ERSEL DERVİŞ</t>
        </is>
      </c>
      <c r="F2335" s="23" t="n">
        <v>398716</v>
      </c>
      <c r="G2335" s="138" t="n"/>
      <c r="H2335" s="138" t="n">
        <v>357</v>
      </c>
      <c r="I2335" s="138">
        <f>+I2334+(G2335-H2335)</f>
        <v/>
      </c>
      <c r="J2335" s="139" t="n">
        <v>39.08</v>
      </c>
      <c r="K2335" s="140" t="n"/>
      <c r="L2335" s="140">
        <f>+H2335*J2335</f>
        <v/>
      </c>
      <c r="M2335" s="141">
        <f>SUM(M2334+K2335-L2335)</f>
        <v/>
      </c>
    </row>
    <row r="2336">
      <c r="A2336" s="20" t="n">
        <v>45791</v>
      </c>
      <c r="B2336" s="21" t="n">
        <v>21322</v>
      </c>
      <c r="C2336" s="22" t="inlineStr">
        <is>
          <t>SELİM İNŞAAT</t>
        </is>
      </c>
      <c r="D2336" s="21" t="inlineStr">
        <is>
          <t>34 FEM 934</t>
        </is>
      </c>
      <c r="E2336" s="21" t="inlineStr">
        <is>
          <t>MUSTAFA ALBAYRAK</t>
        </is>
      </c>
      <c r="F2336" s="23" t="n">
        <v>306996</v>
      </c>
      <c r="G2336" s="138" t="n"/>
      <c r="H2336" s="138" t="n">
        <v>82</v>
      </c>
      <c r="I2336" s="138">
        <f>+I2335+(G2336-H2336)</f>
        <v/>
      </c>
      <c r="J2336" s="139" t="n">
        <v>39.08</v>
      </c>
      <c r="K2336" s="140" t="n"/>
      <c r="L2336" s="140">
        <f>+H2336*J2336</f>
        <v/>
      </c>
      <c r="M2336" s="141">
        <f>SUM(M2335+K2336-L2336)</f>
        <v/>
      </c>
    </row>
    <row r="2337">
      <c r="A2337" s="20" t="n">
        <v>45791</v>
      </c>
      <c r="B2337" s="21" t="n">
        <v>14373</v>
      </c>
      <c r="C2337" s="22" t="inlineStr">
        <is>
          <t>SELİM İNŞAAT</t>
        </is>
      </c>
      <c r="D2337" s="21" t="inlineStr">
        <is>
          <t>34 DKL 798</t>
        </is>
      </c>
      <c r="E2337" s="21" t="inlineStr">
        <is>
          <t>VOLKAN YANAR</t>
        </is>
      </c>
      <c r="F2337" s="23" t="n">
        <v>64934</v>
      </c>
      <c r="G2337" s="138" t="n"/>
      <c r="H2337" s="138" t="n">
        <v>121</v>
      </c>
      <c r="I2337" s="138">
        <f>+I2336+(G2337-H2337)</f>
        <v/>
      </c>
      <c r="J2337" s="139" t="n">
        <v>39.08</v>
      </c>
      <c r="K2337" s="140" t="n"/>
      <c r="L2337" s="140">
        <f>+H2337*J2337</f>
        <v/>
      </c>
      <c r="M2337" s="141">
        <f>SUM(M2336+K2337-L2337)</f>
        <v/>
      </c>
    </row>
    <row r="2338">
      <c r="A2338" s="20" t="n">
        <v>45791</v>
      </c>
      <c r="B2338" s="21" t="n">
        <v>10575</v>
      </c>
      <c r="C2338" s="22" t="inlineStr">
        <is>
          <t>SELİM İNŞAAT</t>
        </is>
      </c>
      <c r="D2338" s="21" t="inlineStr">
        <is>
          <t>34 GU 945</t>
        </is>
      </c>
      <c r="E2338" s="21" t="inlineStr">
        <is>
          <t>TURAN SEVİNDİK</t>
        </is>
      </c>
      <c r="F2338" s="23" t="n">
        <v>444950</v>
      </c>
      <c r="G2338" s="138" t="n"/>
      <c r="H2338" s="138" t="n">
        <v>68</v>
      </c>
      <c r="I2338" s="138">
        <f>+I2337+(G2338-H2338)</f>
        <v/>
      </c>
      <c r="J2338" s="139" t="n">
        <v>39.08</v>
      </c>
      <c r="K2338" s="140" t="n"/>
      <c r="L2338" s="140">
        <f>+H2338*J2338</f>
        <v/>
      </c>
      <c r="M2338" s="141">
        <f>SUM(M2337+K2338-L2338)</f>
        <v/>
      </c>
    </row>
    <row r="2339">
      <c r="A2339" s="20" t="n">
        <v>45791</v>
      </c>
      <c r="B2339" s="21" t="n">
        <v>10049</v>
      </c>
      <c r="C2339" s="22" t="inlineStr">
        <is>
          <t>METİN ERYİĞİT</t>
        </is>
      </c>
      <c r="D2339" s="21" t="inlineStr">
        <is>
          <t>34 EGS 013</t>
        </is>
      </c>
      <c r="E2339" s="21" t="inlineStr">
        <is>
          <t xml:space="preserve">UĞUR DUMAN </t>
        </is>
      </c>
      <c r="F2339" s="23" t="n">
        <v>481955</v>
      </c>
      <c r="G2339" s="138" t="n"/>
      <c r="H2339" s="138" t="n">
        <v>563</v>
      </c>
      <c r="I2339" s="138">
        <f>+I2338+(G2339-H2339)</f>
        <v/>
      </c>
      <c r="J2339" s="139" t="n">
        <v>39.08</v>
      </c>
      <c r="K2339" s="140" t="n"/>
      <c r="L2339" s="140">
        <f>+H2339*J2339</f>
        <v/>
      </c>
      <c r="M2339" s="141">
        <f>SUM(M2338+K2339-L2339)</f>
        <v/>
      </c>
    </row>
    <row r="2340">
      <c r="A2340" s="20" t="n">
        <v>45791</v>
      </c>
      <c r="B2340" s="21" t="n">
        <v>10385</v>
      </c>
      <c r="C2340" s="22" t="inlineStr">
        <is>
          <t>SELİM İNŞAAT</t>
        </is>
      </c>
      <c r="D2340" s="21" t="inlineStr">
        <is>
          <t>34 DRU 690</t>
        </is>
      </c>
      <c r="E2340" s="21" t="inlineStr">
        <is>
          <t>MURAT DEMİRBAŞ</t>
        </is>
      </c>
      <c r="F2340" s="23" t="n">
        <v>409465</v>
      </c>
      <c r="G2340" s="138" t="n"/>
      <c r="H2340" s="138" t="n">
        <v>428</v>
      </c>
      <c r="I2340" s="138">
        <f>+I2339+(G2340-H2340)</f>
        <v/>
      </c>
      <c r="J2340" s="139" t="n">
        <v>39.08</v>
      </c>
      <c r="K2340" s="140" t="n"/>
      <c r="L2340" s="140">
        <f>+H2340*J2340</f>
        <v/>
      </c>
      <c r="M2340" s="141">
        <f>SUM(M2339+K2340-L2340)</f>
        <v/>
      </c>
    </row>
    <row r="2341">
      <c r="A2341" s="20" t="n">
        <v>45791</v>
      </c>
      <c r="B2341" s="21" t="n">
        <v>10448</v>
      </c>
      <c r="C2341" s="22" t="inlineStr">
        <is>
          <t>SELİM İNŞAAT</t>
        </is>
      </c>
      <c r="D2341" s="21" t="inlineStr">
        <is>
          <t>34 FBR 781</t>
        </is>
      </c>
      <c r="E2341" s="21" t="inlineStr">
        <is>
          <t>MEVLÜT POLAT</t>
        </is>
      </c>
      <c r="F2341" s="23" t="n">
        <v>296021</v>
      </c>
      <c r="G2341" s="138" t="n"/>
      <c r="H2341" s="138" t="n">
        <v>426</v>
      </c>
      <c r="I2341" s="138">
        <f>+I2340+(G2341-H2341)</f>
        <v/>
      </c>
      <c r="J2341" s="139" t="n">
        <v>39.08</v>
      </c>
      <c r="K2341" s="140" t="n"/>
      <c r="L2341" s="140">
        <f>+H2341*J2341</f>
        <v/>
      </c>
      <c r="M2341" s="141">
        <f>SUM(M2340+K2341-L2341)</f>
        <v/>
      </c>
    </row>
    <row r="2342">
      <c r="A2342" s="20" t="n">
        <v>45791</v>
      </c>
      <c r="B2342" s="21" t="n">
        <v>15752</v>
      </c>
      <c r="C2342" s="22" t="inlineStr">
        <is>
          <t>EVKUR</t>
        </is>
      </c>
      <c r="D2342" s="21" t="inlineStr">
        <is>
          <t>FOKLİFT</t>
        </is>
      </c>
      <c r="E2342" s="21" t="inlineStr">
        <is>
          <t>FAHRİ KALFA</t>
        </is>
      </c>
      <c r="F2342" s="23" t="n"/>
      <c r="G2342" s="138" t="n"/>
      <c r="H2342" s="138" t="n">
        <v>55</v>
      </c>
      <c r="I2342" s="138">
        <f>+I2341+(G2342-H2342)</f>
        <v/>
      </c>
      <c r="J2342" s="139" t="n">
        <v>39.08</v>
      </c>
      <c r="K2342" s="140" t="n"/>
      <c r="L2342" s="140">
        <f>+H2342*J2342</f>
        <v/>
      </c>
      <c r="M2342" s="141">
        <f>SUM(M2341+K2342-L2342)</f>
        <v/>
      </c>
    </row>
    <row r="2343">
      <c r="A2343" s="20" t="n">
        <v>45791</v>
      </c>
      <c r="B2343" s="1" t="n">
        <v>15753</v>
      </c>
      <c r="C2343" s="2" t="inlineStr">
        <is>
          <t>VARLIK</t>
        </is>
      </c>
      <c r="D2343" s="1" t="inlineStr">
        <is>
          <t>SM 350</t>
        </is>
      </c>
      <c r="E2343" s="1" t="inlineStr">
        <is>
          <t>BAYRAM SANCAK</t>
        </is>
      </c>
      <c r="F2343" s="3" t="n"/>
      <c r="G2343" s="143" t="n"/>
      <c r="H2343" s="143" t="n">
        <v>259</v>
      </c>
      <c r="I2343" s="143">
        <f>+I2342+(G2343-H2343)</f>
        <v/>
      </c>
      <c r="J2343" s="144" t="n">
        <v>39.08</v>
      </c>
      <c r="K2343" s="145" t="n"/>
      <c r="L2343" s="140">
        <f>+H2343*J2343</f>
        <v/>
      </c>
      <c r="M2343" s="141">
        <f>SUM(M2342+K2343-L2343)</f>
        <v/>
      </c>
    </row>
    <row r="2344">
      <c r="A2344" s="20" t="n">
        <v>45791</v>
      </c>
      <c r="B2344" s="1" t="n">
        <v>15754</v>
      </c>
      <c r="C2344" s="2" t="inlineStr">
        <is>
          <t>VARLIK</t>
        </is>
      </c>
      <c r="D2344" s="1" t="inlineStr">
        <is>
          <t>SM 370</t>
        </is>
      </c>
      <c r="E2344" s="1" t="inlineStr">
        <is>
          <t>TEKİN ŞEYLAN</t>
        </is>
      </c>
      <c r="F2344" s="3" t="n"/>
      <c r="G2344" s="143" t="n"/>
      <c r="H2344" s="143" t="n">
        <v>326</v>
      </c>
      <c r="I2344" s="143">
        <f>+I2343+(G2344-H2344)</f>
        <v/>
      </c>
      <c r="J2344" s="144" t="n">
        <v>39.08</v>
      </c>
      <c r="K2344" s="145" t="n"/>
      <c r="L2344" s="140">
        <f>+H2344*J2344</f>
        <v/>
      </c>
      <c r="M2344" s="141">
        <f>SUM(M2343+K2344-L2344)</f>
        <v/>
      </c>
    </row>
    <row r="2345">
      <c r="A2345" s="20" t="n">
        <v>45791</v>
      </c>
      <c r="B2345" s="1" t="n">
        <v>15755</v>
      </c>
      <c r="C2345" s="2" t="inlineStr">
        <is>
          <t>VARLIK</t>
        </is>
      </c>
      <c r="D2345" s="1" t="inlineStr">
        <is>
          <t>SM 300</t>
        </is>
      </c>
      <c r="E2345" s="1" t="inlineStr">
        <is>
          <t>TURGUT SANCAK</t>
        </is>
      </c>
      <c r="F2345" s="3" t="n"/>
      <c r="G2345" s="143" t="n"/>
      <c r="H2345" s="143" t="n">
        <v>269</v>
      </c>
      <c r="I2345" s="143">
        <f>+I2344+(G2345-H2345)</f>
        <v/>
      </c>
      <c r="J2345" s="144" t="n">
        <v>39.08</v>
      </c>
      <c r="K2345" s="145" t="n"/>
      <c r="L2345" s="140">
        <f>+H2345*J2345</f>
        <v/>
      </c>
      <c r="M2345" s="141">
        <f>SUM(M2344+K2345-L2345)</f>
        <v/>
      </c>
    </row>
    <row r="2346">
      <c r="A2346" s="20" t="n">
        <v>45791</v>
      </c>
      <c r="B2346" s="1" t="n">
        <v>15756</v>
      </c>
      <c r="C2346" s="2" t="inlineStr">
        <is>
          <t>VARLIK</t>
        </is>
      </c>
      <c r="D2346" s="1" t="inlineStr">
        <is>
          <t>KAVAZAKİ</t>
        </is>
      </c>
      <c r="E2346" s="1" t="inlineStr">
        <is>
          <t>UFUK SEVAL</t>
        </is>
      </c>
      <c r="F2346" s="3" t="n"/>
      <c r="G2346" s="143" t="n"/>
      <c r="H2346" s="143" t="n">
        <v>159</v>
      </c>
      <c r="I2346" s="143">
        <f>+I2345+(G2346-H2346)</f>
        <v/>
      </c>
      <c r="J2346" s="144" t="n">
        <v>39.08</v>
      </c>
      <c r="K2346" s="145" t="n"/>
      <c r="L2346" s="140">
        <f>+H2346*J2346</f>
        <v/>
      </c>
      <c r="M2346" s="141">
        <f>SUM(M2345+K2346-L2346)</f>
        <v/>
      </c>
    </row>
    <row r="2347">
      <c r="A2347" s="20" t="n">
        <v>45792</v>
      </c>
      <c r="B2347" s="21" t="n">
        <v>583</v>
      </c>
      <c r="C2347" s="22" t="inlineStr">
        <is>
          <t>ÜNSOY TURİZM İNŞ.SAN.VE TİC.A.Ş.</t>
        </is>
      </c>
      <c r="D2347" s="21" t="n"/>
      <c r="E2347" s="21" t="n"/>
      <c r="F2347" s="23" t="n"/>
      <c r="G2347" s="138" t="n">
        <v>32497</v>
      </c>
      <c r="H2347" s="138" t="n"/>
      <c r="I2347" s="138">
        <f>+I2346+(G2347-H2347)</f>
        <v/>
      </c>
      <c r="J2347" s="139">
        <f>+K2347/G2347</f>
        <v/>
      </c>
      <c r="K2347" s="140" t="n">
        <v>1226761.75</v>
      </c>
      <c r="L2347" s="140">
        <f>+H2347*J2347</f>
        <v/>
      </c>
      <c r="M2347" s="141">
        <f>SUM(M2346+K2347-L2347)</f>
        <v/>
      </c>
    </row>
    <row r="2348">
      <c r="A2348" s="20" t="n">
        <v>45792</v>
      </c>
      <c r="B2348" s="21" t="n">
        <v>10047</v>
      </c>
      <c r="C2348" s="22" t="inlineStr">
        <is>
          <t>METİN ERYİĞİT</t>
        </is>
      </c>
      <c r="D2348" s="21" t="inlineStr">
        <is>
          <t>34 EGS 013</t>
        </is>
      </c>
      <c r="E2348" s="21" t="inlineStr">
        <is>
          <t xml:space="preserve">UĞUR DUMAN </t>
        </is>
      </c>
      <c r="F2348" s="23" t="n">
        <v>480247</v>
      </c>
      <c r="G2348" s="138" t="n"/>
      <c r="H2348" s="138" t="n">
        <v>555</v>
      </c>
      <c r="I2348" s="138">
        <f>+I2347+(G2348-H2348)</f>
        <v/>
      </c>
      <c r="J2348" s="139" t="n">
        <v>37.75</v>
      </c>
      <c r="K2348" s="140" t="n"/>
      <c r="L2348" s="140">
        <f>+H2348*J2348</f>
        <v/>
      </c>
      <c r="M2348" s="141">
        <f>SUM(M2347+K2348-L2348)</f>
        <v/>
      </c>
    </row>
    <row r="2349">
      <c r="A2349" s="20" t="n">
        <v>45792</v>
      </c>
      <c r="B2349" s="21" t="n">
        <v>10197</v>
      </c>
      <c r="C2349" s="22" t="inlineStr">
        <is>
          <t>SELİM İNŞAAT</t>
        </is>
      </c>
      <c r="D2349" s="21" t="inlineStr">
        <is>
          <t>34 EGR 736</t>
        </is>
      </c>
      <c r="E2349" s="21" t="inlineStr">
        <is>
          <t>HAKAN ÇAVUŞOĞLU</t>
        </is>
      </c>
      <c r="F2349" s="23" t="n">
        <v>383477</v>
      </c>
      <c r="G2349" s="138" t="n"/>
      <c r="H2349" s="138" t="n">
        <v>487</v>
      </c>
      <c r="I2349" s="138">
        <f>+I2348+(G2349-H2349)</f>
        <v/>
      </c>
      <c r="J2349" s="139" t="n">
        <v>37.75</v>
      </c>
      <c r="K2349" s="140" t="n"/>
      <c r="L2349" s="140">
        <f>+H2349*J2349</f>
        <v/>
      </c>
      <c r="M2349" s="141">
        <f>SUM(M2348+K2349-L2349)</f>
        <v/>
      </c>
    </row>
    <row r="2350">
      <c r="A2350" s="20" t="n">
        <v>45792</v>
      </c>
      <c r="B2350" s="21" t="n">
        <v>10090</v>
      </c>
      <c r="C2350" s="22" t="inlineStr">
        <is>
          <t>SELİM İNŞAAT</t>
        </is>
      </c>
      <c r="D2350" s="21" t="inlineStr">
        <is>
          <t>34 FBR 771</t>
        </is>
      </c>
      <c r="E2350" s="21" t="inlineStr">
        <is>
          <t>HÜSEYİN AKÇİN</t>
        </is>
      </c>
      <c r="F2350" s="23" t="n">
        <v>312467</v>
      </c>
      <c r="G2350" s="138" t="n"/>
      <c r="H2350" s="138" t="n">
        <v>316</v>
      </c>
      <c r="I2350" s="138">
        <f>+I2349+(G2350-H2350)</f>
        <v/>
      </c>
      <c r="J2350" s="139" t="n">
        <v>37.75</v>
      </c>
      <c r="K2350" s="140" t="n"/>
      <c r="L2350" s="140">
        <f>+H2350*J2350</f>
        <v/>
      </c>
      <c r="M2350" s="141">
        <f>SUM(M2349+K2350-L2350)</f>
        <v/>
      </c>
    </row>
    <row r="2351">
      <c r="A2351" s="20" t="n">
        <v>45792</v>
      </c>
      <c r="B2351" s="21" t="n">
        <v>10296</v>
      </c>
      <c r="C2351" s="22" t="inlineStr">
        <is>
          <t>SELİM İNŞAAT</t>
        </is>
      </c>
      <c r="D2351" s="21" t="inlineStr">
        <is>
          <t>34 FBR 748</t>
        </is>
      </c>
      <c r="E2351" s="21" t="inlineStr">
        <is>
          <t>YAŞAR ÖZKAYA</t>
        </is>
      </c>
      <c r="F2351" s="23" t="n">
        <v>273981</v>
      </c>
      <c r="G2351" s="138" t="n"/>
      <c r="H2351" s="138" t="n">
        <v>463</v>
      </c>
      <c r="I2351" s="138">
        <f>+I2350+(G2351-H2351)</f>
        <v/>
      </c>
      <c r="J2351" s="139" t="n">
        <v>37.75</v>
      </c>
      <c r="K2351" s="140" t="n"/>
      <c r="L2351" s="140">
        <f>+H2351*J2351</f>
        <v/>
      </c>
      <c r="M2351" s="141">
        <f>SUM(M2350+K2351-L2351)</f>
        <v/>
      </c>
    </row>
    <row r="2352">
      <c r="A2352" s="20" t="n">
        <v>45792</v>
      </c>
      <c r="B2352" s="21" t="n">
        <v>10540</v>
      </c>
      <c r="C2352" s="22" t="inlineStr">
        <is>
          <t>SELİM İNŞAAT</t>
        </is>
      </c>
      <c r="D2352" s="21" t="inlineStr">
        <is>
          <t>34 EDB 922</t>
        </is>
      </c>
      <c r="E2352" s="21" t="inlineStr">
        <is>
          <t>AHMET TOPÇU</t>
        </is>
      </c>
      <c r="F2352" s="23" t="n">
        <v>355228</v>
      </c>
      <c r="G2352" s="138" t="n"/>
      <c r="H2352" s="138" t="n">
        <v>466</v>
      </c>
      <c r="I2352" s="138">
        <f>+I2351+(G2352-H2352)</f>
        <v/>
      </c>
      <c r="J2352" s="139" t="n">
        <v>37.75</v>
      </c>
      <c r="K2352" s="140" t="n"/>
      <c r="L2352" s="140">
        <f>+H2352*J2352</f>
        <v/>
      </c>
      <c r="M2352" s="141">
        <f>SUM(M2351+K2352-L2352)</f>
        <v/>
      </c>
    </row>
    <row r="2353">
      <c r="A2353" s="20" t="n">
        <v>45792</v>
      </c>
      <c r="B2353" s="21" t="n">
        <v>10345</v>
      </c>
      <c r="C2353" s="22" t="inlineStr">
        <is>
          <t>SELİM İNŞAAT</t>
        </is>
      </c>
      <c r="D2353" s="21" t="inlineStr">
        <is>
          <t>34 EDB 829</t>
        </is>
      </c>
      <c r="E2353" s="21" t="inlineStr">
        <is>
          <t>İSMET BAYRAM</t>
        </is>
      </c>
      <c r="F2353" s="23" t="n">
        <v>312892</v>
      </c>
      <c r="G2353" s="138" t="n"/>
      <c r="H2353" s="138" t="n">
        <v>355</v>
      </c>
      <c r="I2353" s="138">
        <f>+I2352+(G2353-H2353)</f>
        <v/>
      </c>
      <c r="J2353" s="139" t="n">
        <v>37.75</v>
      </c>
      <c r="K2353" s="140" t="n"/>
      <c r="L2353" s="140">
        <f>+H2353*J2353</f>
        <v/>
      </c>
      <c r="M2353" s="141">
        <f>SUM(M2352+K2353-L2353)</f>
        <v/>
      </c>
    </row>
    <row r="2354">
      <c r="A2354" s="20" t="n">
        <v>45792</v>
      </c>
      <c r="B2354" s="21" t="n">
        <v>11736</v>
      </c>
      <c r="C2354" s="22" t="inlineStr">
        <is>
          <t>SELİM İNŞAAT</t>
        </is>
      </c>
      <c r="D2354" s="21" t="inlineStr">
        <is>
          <t>34 EDB 559</t>
        </is>
      </c>
      <c r="E2354" s="21" t="inlineStr">
        <is>
          <t>CEM MUHTAR</t>
        </is>
      </c>
      <c r="F2354" s="23" t="n">
        <v>317069</v>
      </c>
      <c r="G2354" s="138" t="n"/>
      <c r="H2354" s="138" t="n">
        <v>227</v>
      </c>
      <c r="I2354" s="138">
        <f>+I2353+(G2354-H2354)</f>
        <v/>
      </c>
      <c r="J2354" s="139" t="n">
        <v>37.75</v>
      </c>
      <c r="K2354" s="140" t="n"/>
      <c r="L2354" s="140">
        <f>+H2354*J2354</f>
        <v/>
      </c>
      <c r="M2354" s="141">
        <f>SUM(M2353+K2354-L2354)</f>
        <v/>
      </c>
    </row>
    <row r="2355">
      <c r="A2355" s="20" t="n">
        <v>45792</v>
      </c>
      <c r="B2355" s="21" t="n">
        <v>10793</v>
      </c>
      <c r="C2355" s="22" t="inlineStr">
        <is>
          <t>SELİM İNŞAAT</t>
        </is>
      </c>
      <c r="D2355" s="21" t="inlineStr">
        <is>
          <t>34 FBR 705</t>
        </is>
      </c>
      <c r="E2355" s="21" t="inlineStr">
        <is>
          <t>CEM MUHTAR</t>
        </is>
      </c>
      <c r="F2355" s="23" t="n">
        <v>309444</v>
      </c>
      <c r="G2355" s="138" t="n"/>
      <c r="H2355" s="138" t="n">
        <v>308</v>
      </c>
      <c r="I2355" s="138">
        <f>+I2354+(G2355-H2355)</f>
        <v/>
      </c>
      <c r="J2355" s="139" t="n">
        <v>37.75</v>
      </c>
      <c r="K2355" s="140" t="n"/>
      <c r="L2355" s="140">
        <f>+H2355*J2355</f>
        <v/>
      </c>
      <c r="M2355" s="141">
        <f>SUM(M2354+K2355-L2355)</f>
        <v/>
      </c>
    </row>
    <row r="2356">
      <c r="A2356" s="20" t="n">
        <v>45792</v>
      </c>
      <c r="B2356" s="21" t="n">
        <v>10647</v>
      </c>
      <c r="C2356" s="22" t="inlineStr">
        <is>
          <t>SELİM İNŞAAT</t>
        </is>
      </c>
      <c r="D2356" s="21" t="inlineStr">
        <is>
          <t>34 EDB 754</t>
        </is>
      </c>
      <c r="E2356" s="21" t="inlineStr">
        <is>
          <t>EMİN PARLAKKILIÇ</t>
        </is>
      </c>
      <c r="F2356" s="23" t="n">
        <v>315574</v>
      </c>
      <c r="G2356" s="138" t="n"/>
      <c r="H2356" s="138" t="n">
        <v>251</v>
      </c>
      <c r="I2356" s="138">
        <f>+I2355+(G2356-H2356)</f>
        <v/>
      </c>
      <c r="J2356" s="139" t="n">
        <v>37.75</v>
      </c>
      <c r="K2356" s="140" t="n"/>
      <c r="L2356" s="140">
        <f>+H2356*J2356</f>
        <v/>
      </c>
      <c r="M2356" s="141">
        <f>SUM(M2355+K2356-L2356)</f>
        <v/>
      </c>
    </row>
    <row r="2357">
      <c r="A2357" s="20" t="n">
        <v>45792</v>
      </c>
      <c r="B2357" s="21" t="n">
        <v>14029</v>
      </c>
      <c r="C2357" s="22" t="inlineStr">
        <is>
          <t>SELİM İNŞAAT</t>
        </is>
      </c>
      <c r="D2357" s="21" t="inlineStr">
        <is>
          <t>34 GVZ 310</t>
        </is>
      </c>
      <c r="E2357" s="21" t="inlineStr">
        <is>
          <t>CELAL YÜZBAŞI</t>
        </is>
      </c>
      <c r="F2357" s="23" t="n">
        <v>191370</v>
      </c>
      <c r="G2357" s="138" t="n"/>
      <c r="H2357" s="138" t="n">
        <v>529</v>
      </c>
      <c r="I2357" s="138">
        <f>+I2356+(G2357-H2357)</f>
        <v/>
      </c>
      <c r="J2357" s="139" t="n">
        <v>37.75</v>
      </c>
      <c r="K2357" s="140" t="n"/>
      <c r="L2357" s="140">
        <f>+H2357*J2357</f>
        <v/>
      </c>
      <c r="M2357" s="141">
        <f>SUM(M2356+K2357-L2357)</f>
        <v/>
      </c>
    </row>
    <row r="2358">
      <c r="A2358" s="20" t="n">
        <v>45792</v>
      </c>
      <c r="B2358" s="21" t="n">
        <v>15911</v>
      </c>
      <c r="C2358" s="22" t="inlineStr">
        <is>
          <t>SELİM İNŞAAT</t>
        </is>
      </c>
      <c r="D2358" s="21" t="inlineStr">
        <is>
          <t>34 DFE 454</t>
        </is>
      </c>
      <c r="E2358" s="21" t="inlineStr">
        <is>
          <t>METİN KALKAN</t>
        </is>
      </c>
      <c r="F2358" s="23" t="n">
        <v>158595</v>
      </c>
      <c r="G2358" s="138" t="n"/>
      <c r="H2358" s="138" t="n">
        <v>105</v>
      </c>
      <c r="I2358" s="138">
        <f>+I2357+(G2358-H2358)</f>
        <v/>
      </c>
      <c r="J2358" s="139" t="n">
        <v>37.75</v>
      </c>
      <c r="K2358" s="140" t="n"/>
      <c r="L2358" s="140">
        <f>+H2358*J2358</f>
        <v/>
      </c>
      <c r="M2358" s="141">
        <f>SUM(M2357+K2358-L2358)</f>
        <v/>
      </c>
    </row>
    <row r="2359">
      <c r="A2359" s="20" t="n">
        <v>45792</v>
      </c>
      <c r="B2359" s="21" t="n">
        <v>14628</v>
      </c>
      <c r="C2359" s="22" t="inlineStr">
        <is>
          <t>SELİM İNŞAAT</t>
        </is>
      </c>
      <c r="D2359" s="21" t="inlineStr">
        <is>
          <t>34 GER 445</t>
        </is>
      </c>
      <c r="E2359" s="21" t="inlineStr">
        <is>
          <t>HASAN BAYCAN</t>
        </is>
      </c>
      <c r="F2359" s="23" t="n">
        <v>41820</v>
      </c>
      <c r="G2359" s="138" t="n"/>
      <c r="H2359" s="138" t="n">
        <v>162</v>
      </c>
      <c r="I2359" s="138">
        <f>+I2358+(G2359-H2359)</f>
        <v/>
      </c>
      <c r="J2359" s="139" t="n">
        <v>37.75</v>
      </c>
      <c r="K2359" s="140" t="n"/>
      <c r="L2359" s="140">
        <f>+H2359*J2359</f>
        <v/>
      </c>
      <c r="M2359" s="141">
        <f>SUM(M2358+K2359-L2359)</f>
        <v/>
      </c>
    </row>
    <row r="2360">
      <c r="A2360" s="20" t="n">
        <v>45792</v>
      </c>
      <c r="B2360" s="21" t="n">
        <v>14683</v>
      </c>
      <c r="C2360" s="22" t="inlineStr">
        <is>
          <t>AHMET SELİM TEMHA</t>
        </is>
      </c>
      <c r="D2360" s="21" t="inlineStr">
        <is>
          <t>FOKLİFT</t>
        </is>
      </c>
      <c r="E2360" s="21" t="inlineStr">
        <is>
          <t xml:space="preserve">ERSOY SIĞINMAZ </t>
        </is>
      </c>
      <c r="F2360" s="23" t="n"/>
      <c r="G2360" s="138" t="n"/>
      <c r="H2360" s="138" t="n">
        <v>28</v>
      </c>
      <c r="I2360" s="138">
        <f>+I2359+(G2360-H2360)</f>
        <v/>
      </c>
      <c r="J2360" s="139" t="n">
        <v>37.75</v>
      </c>
      <c r="K2360" s="140" t="n"/>
      <c r="L2360" s="140">
        <f>+H2360*J2360</f>
        <v/>
      </c>
      <c r="M2360" s="141">
        <f>SUM(M2359+K2360-L2360)</f>
        <v/>
      </c>
    </row>
    <row r="2361">
      <c r="A2361" s="20" t="n">
        <v>45792</v>
      </c>
      <c r="B2361" s="21" t="n">
        <v>14684</v>
      </c>
      <c r="C2361" s="22" t="inlineStr">
        <is>
          <t>SELİM İNŞAAT</t>
        </is>
      </c>
      <c r="D2361" s="1" t="inlineStr">
        <is>
          <t>KİRALIK KATO</t>
        </is>
      </c>
      <c r="E2361" s="21" t="inlineStr">
        <is>
          <t>BURAK BEY' İN TALİMATIYLA</t>
        </is>
      </c>
      <c r="F2361" s="23" t="n"/>
      <c r="G2361" s="138" t="n"/>
      <c r="H2361" s="138" t="n">
        <v>99</v>
      </c>
      <c r="I2361" s="138">
        <f>+I2360+(G2361-H2361)</f>
        <v/>
      </c>
      <c r="J2361" s="139" t="n">
        <v>37.75</v>
      </c>
      <c r="K2361" s="140" t="n"/>
      <c r="L2361" s="140">
        <f>+H2361*J2361</f>
        <v/>
      </c>
      <c r="M2361" s="141">
        <f>SUM(M2360+K2361-L2361)</f>
        <v/>
      </c>
    </row>
    <row r="2362">
      <c r="A2362" s="20" t="n">
        <v>45792</v>
      </c>
      <c r="B2362" s="21" t="n">
        <v>14177</v>
      </c>
      <c r="C2362" s="22" t="inlineStr">
        <is>
          <t>AZGÜN YAPI</t>
        </is>
      </c>
      <c r="D2362" s="21" t="inlineStr">
        <is>
          <t>34 DTV 263</t>
        </is>
      </c>
      <c r="E2362" s="21" t="inlineStr">
        <is>
          <t>EDİP TORLAK</t>
        </is>
      </c>
      <c r="F2362" s="23" t="n">
        <v>377010</v>
      </c>
      <c r="G2362" s="138" t="n"/>
      <c r="H2362" s="138" t="n">
        <v>405</v>
      </c>
      <c r="I2362" s="138">
        <f>+I2361+(G2362-H2362)</f>
        <v/>
      </c>
      <c r="J2362" s="139" t="n">
        <v>37.75</v>
      </c>
      <c r="K2362" s="140" t="n"/>
      <c r="L2362" s="140">
        <f>+H2362*J2362</f>
        <v/>
      </c>
      <c r="M2362" s="141">
        <f>SUM(M2361+K2362-L2362)</f>
        <v/>
      </c>
    </row>
    <row r="2363">
      <c r="A2363" s="20" t="n">
        <v>45792</v>
      </c>
      <c r="B2363" s="1" t="n">
        <v>15757</v>
      </c>
      <c r="C2363" s="2" t="inlineStr">
        <is>
          <t>HASALTUN</t>
        </is>
      </c>
      <c r="D2363" s="1" t="inlineStr">
        <is>
          <t>SM 350</t>
        </is>
      </c>
      <c r="E2363" s="1" t="inlineStr">
        <is>
          <t>TEVFİK ÖZTÜRK</t>
        </is>
      </c>
      <c r="F2363" s="3" t="n"/>
      <c r="G2363" s="143" t="n"/>
      <c r="H2363" s="143" t="n">
        <v>429</v>
      </c>
      <c r="I2363" s="143">
        <f>+I2362+(G2363-H2363)</f>
        <v/>
      </c>
      <c r="J2363" s="144" t="n">
        <v>37.75</v>
      </c>
      <c r="K2363" s="145" t="n"/>
      <c r="L2363" s="140">
        <f>+H2363*J2363</f>
        <v/>
      </c>
      <c r="M2363" s="141">
        <f>SUM(M2362+K2363-L2363)</f>
        <v/>
      </c>
    </row>
    <row r="2364">
      <c r="A2364" s="20" t="n">
        <v>45792</v>
      </c>
      <c r="B2364" s="1" t="n">
        <v>15758</v>
      </c>
      <c r="C2364" s="2" t="inlineStr">
        <is>
          <t>GÜRSES</t>
        </is>
      </c>
      <c r="D2364" s="1" t="inlineStr">
        <is>
          <t>SM 370</t>
        </is>
      </c>
      <c r="E2364" s="1" t="inlineStr">
        <is>
          <t>TEKİN ŞEYLAN</t>
        </is>
      </c>
      <c r="F2364" s="3" t="n"/>
      <c r="G2364" s="143" t="n"/>
      <c r="H2364" s="143" t="n">
        <v>428</v>
      </c>
      <c r="I2364" s="143">
        <f>+I2363+(G2364-H2364)</f>
        <v/>
      </c>
      <c r="J2364" s="144" t="n">
        <v>37.75</v>
      </c>
      <c r="K2364" s="145" t="n"/>
      <c r="L2364" s="140">
        <f>+H2364*J2364</f>
        <v/>
      </c>
      <c r="M2364" s="141">
        <f>SUM(M2363+K2364-L2364)</f>
        <v/>
      </c>
    </row>
    <row r="2365">
      <c r="A2365" s="20" t="n">
        <v>45792</v>
      </c>
      <c r="B2365" s="1" t="n">
        <v>15759</v>
      </c>
      <c r="C2365" s="2" t="inlineStr">
        <is>
          <t>VARLIK</t>
        </is>
      </c>
      <c r="D2365" s="1" t="inlineStr">
        <is>
          <t>SM 350</t>
        </is>
      </c>
      <c r="E2365" s="1" t="inlineStr">
        <is>
          <t>BAYRAM SANCAK</t>
        </is>
      </c>
      <c r="F2365" s="3" t="n"/>
      <c r="G2365" s="143" t="n"/>
      <c r="H2365" s="143" t="n">
        <v>213</v>
      </c>
      <c r="I2365" s="143">
        <f>+I2364+(G2365-H2365)</f>
        <v/>
      </c>
      <c r="J2365" s="144" t="n">
        <v>37.75</v>
      </c>
      <c r="K2365" s="145" t="n"/>
      <c r="L2365" s="140">
        <f>+H2365*J2365</f>
        <v/>
      </c>
      <c r="M2365" s="141">
        <f>SUM(M2364+K2365-L2365)</f>
        <v/>
      </c>
    </row>
    <row r="2366">
      <c r="A2366" s="20" t="n">
        <v>45792</v>
      </c>
      <c r="B2366" s="1" t="n">
        <v>15760</v>
      </c>
      <c r="C2366" s="2" t="inlineStr">
        <is>
          <t>VARLIK</t>
        </is>
      </c>
      <c r="D2366" s="1" t="inlineStr">
        <is>
          <t>SİLİNDİR</t>
        </is>
      </c>
      <c r="E2366" s="1" t="inlineStr">
        <is>
          <t>EMİRCAN ÖZTÜRK</t>
        </is>
      </c>
      <c r="F2366" s="3" t="n"/>
      <c r="G2366" s="143" t="n"/>
      <c r="H2366" s="143" t="n">
        <v>55</v>
      </c>
      <c r="I2366" s="143">
        <f>+I2365+(G2366-H2366)</f>
        <v/>
      </c>
      <c r="J2366" s="144" t="n">
        <v>37.75</v>
      </c>
      <c r="K2366" s="145" t="n"/>
      <c r="L2366" s="140">
        <f>+H2366*J2366</f>
        <v/>
      </c>
      <c r="M2366" s="141">
        <f>SUM(M2365+K2366-L2366)</f>
        <v/>
      </c>
    </row>
    <row r="2367">
      <c r="A2367" s="20" t="n">
        <v>45792</v>
      </c>
      <c r="B2367" s="1" t="n">
        <v>15761</v>
      </c>
      <c r="C2367" s="2" t="inlineStr">
        <is>
          <t>VARLIK</t>
        </is>
      </c>
      <c r="D2367" s="1" t="inlineStr">
        <is>
          <t>SM 300</t>
        </is>
      </c>
      <c r="E2367" s="1" t="inlineStr">
        <is>
          <t>TURGUT SANCAK</t>
        </is>
      </c>
      <c r="F2367" s="3" t="n"/>
      <c r="G2367" s="143" t="n"/>
      <c r="H2367" s="143" t="n">
        <v>285</v>
      </c>
      <c r="I2367" s="143">
        <f>+I2366+(G2367-H2367)</f>
        <v/>
      </c>
      <c r="J2367" s="144" t="n">
        <v>37.75</v>
      </c>
      <c r="K2367" s="145" t="n"/>
      <c r="L2367" s="140">
        <f>+H2367*J2367</f>
        <v/>
      </c>
      <c r="M2367" s="141">
        <f>SUM(M2366+K2367-L2367)</f>
        <v/>
      </c>
    </row>
    <row r="2368">
      <c r="A2368" s="20" t="n">
        <v>45792</v>
      </c>
      <c r="B2368" s="1" t="n">
        <v>15762</v>
      </c>
      <c r="C2368" s="2" t="inlineStr">
        <is>
          <t>VARLIK</t>
        </is>
      </c>
      <c r="D2368" s="1" t="inlineStr">
        <is>
          <t>KAVAZAKİ</t>
        </is>
      </c>
      <c r="E2368" s="1" t="inlineStr">
        <is>
          <t>UFUK SEVAL</t>
        </is>
      </c>
      <c r="F2368" s="3" t="n"/>
      <c r="G2368" s="143" t="n"/>
      <c r="H2368" s="143" t="n">
        <v>125</v>
      </c>
      <c r="I2368" s="143">
        <f>+I2367+(G2368-H2368)</f>
        <v/>
      </c>
      <c r="J2368" s="144" t="n">
        <v>37.75</v>
      </c>
      <c r="K2368" s="145" t="n"/>
      <c r="L2368" s="140">
        <f>+H2368*J2368</f>
        <v/>
      </c>
      <c r="M2368" s="141">
        <f>SUM(M2367+K2368-L2368)</f>
        <v/>
      </c>
    </row>
    <row r="2369">
      <c r="A2369" s="20" t="n">
        <v>45792</v>
      </c>
      <c r="B2369" s="1" t="n">
        <v>15763</v>
      </c>
      <c r="C2369" s="2" t="inlineStr">
        <is>
          <t>EVKUR</t>
        </is>
      </c>
      <c r="D2369" s="1" t="inlineStr">
        <is>
          <t>MNT 2260</t>
        </is>
      </c>
      <c r="E2369" s="1" t="inlineStr">
        <is>
          <t>MUHAMMED KANTAR</t>
        </is>
      </c>
      <c r="F2369" s="3" t="n"/>
      <c r="G2369" s="143" t="n"/>
      <c r="H2369" s="143" t="n">
        <v>199</v>
      </c>
      <c r="I2369" s="143">
        <f>+I2368+(G2369-H2369)</f>
        <v/>
      </c>
      <c r="J2369" s="144" t="n">
        <v>37.75</v>
      </c>
      <c r="K2369" s="145" t="n"/>
      <c r="L2369" s="140">
        <f>+H2369*J2369</f>
        <v/>
      </c>
      <c r="M2369" s="141">
        <f>SUM(M2368+K2369-L2369)</f>
        <v/>
      </c>
    </row>
    <row r="2370">
      <c r="A2370" s="20" t="n">
        <v>45793</v>
      </c>
      <c r="B2370" s="21" t="n">
        <v>15563</v>
      </c>
      <c r="C2370" s="22" t="inlineStr">
        <is>
          <t>SELİM İNŞAAT</t>
        </is>
      </c>
      <c r="D2370" s="21" t="inlineStr">
        <is>
          <t>34 GVZ 745</t>
        </is>
      </c>
      <c r="E2370" s="21" t="inlineStr">
        <is>
          <t>MUHAMMED YİĞİT</t>
        </is>
      </c>
      <c r="F2370" s="23" t="n">
        <v>181890</v>
      </c>
      <c r="G2370" s="138" t="n"/>
      <c r="H2370" s="138" t="n">
        <v>243</v>
      </c>
      <c r="I2370" s="138">
        <f>+I2369+(G2370-H2370)</f>
        <v/>
      </c>
      <c r="J2370" s="139" t="n">
        <v>37.75</v>
      </c>
      <c r="K2370" s="140" t="n"/>
      <c r="L2370" s="140">
        <f>+H2370*J2370</f>
        <v/>
      </c>
      <c r="M2370" s="141">
        <f>SUM(M2369+K2370-L2370)</f>
        <v/>
      </c>
    </row>
    <row r="2371">
      <c r="A2371" s="20" t="n">
        <v>45793</v>
      </c>
      <c r="B2371" s="21" t="n">
        <v>15303</v>
      </c>
      <c r="C2371" s="22" t="inlineStr">
        <is>
          <t>SELİM İNŞAAT</t>
        </is>
      </c>
      <c r="D2371" s="21" t="inlineStr">
        <is>
          <t>34 EDC 162</t>
        </is>
      </c>
      <c r="E2371" s="21" t="inlineStr">
        <is>
          <t xml:space="preserve">YAKUP GÜNER </t>
        </is>
      </c>
      <c r="F2371" s="23" t="n">
        <v>363452</v>
      </c>
      <c r="G2371" s="138" t="n"/>
      <c r="H2371" s="138" t="n">
        <v>339</v>
      </c>
      <c r="I2371" s="138">
        <f>+I2370+(G2371-H2371)</f>
        <v/>
      </c>
      <c r="J2371" s="139" t="n">
        <v>37.75</v>
      </c>
      <c r="K2371" s="140" t="n"/>
      <c r="L2371" s="140">
        <f>+H2371*J2371</f>
        <v/>
      </c>
      <c r="M2371" s="141">
        <f>SUM(M2370+K2371-L2371)</f>
        <v/>
      </c>
    </row>
    <row r="2372">
      <c r="A2372" s="20" t="n">
        <v>45793</v>
      </c>
      <c r="B2372" s="21" t="n">
        <v>11939</v>
      </c>
      <c r="C2372" s="22" t="inlineStr">
        <is>
          <t>SELİM İNŞAAT</t>
        </is>
      </c>
      <c r="D2372" s="21" t="inlineStr">
        <is>
          <t>34 FBR 742</t>
        </is>
      </c>
      <c r="E2372" s="21" t="inlineStr">
        <is>
          <t>MİKAİL BAYILMAZ</t>
        </is>
      </c>
      <c r="F2372" s="23" t="n">
        <v>312590</v>
      </c>
      <c r="G2372" s="138" t="n"/>
      <c r="H2372" s="138" t="n">
        <v>224</v>
      </c>
      <c r="I2372" s="138">
        <f>+I2371+(G2372-H2372)</f>
        <v/>
      </c>
      <c r="J2372" s="139" t="n">
        <v>37.75</v>
      </c>
      <c r="K2372" s="140" t="n"/>
      <c r="L2372" s="140">
        <f>+H2372*J2372</f>
        <v/>
      </c>
      <c r="M2372" s="141">
        <f>SUM(M2371+K2372-L2372)</f>
        <v/>
      </c>
    </row>
    <row r="2373">
      <c r="A2373" s="20" t="n">
        <v>45793</v>
      </c>
      <c r="B2373" s="21" t="n">
        <v>14753</v>
      </c>
      <c r="C2373" s="22" t="inlineStr">
        <is>
          <t>SELİM İNŞAAT</t>
        </is>
      </c>
      <c r="D2373" s="21" t="inlineStr">
        <is>
          <t>34 GYZ 635</t>
        </is>
      </c>
      <c r="E2373" s="21" t="inlineStr">
        <is>
          <t>ENGİN DEMİR</t>
        </is>
      </c>
      <c r="F2373" s="23" t="n">
        <v>166823</v>
      </c>
      <c r="G2373" s="138" t="n"/>
      <c r="H2373" s="138" t="n">
        <v>435</v>
      </c>
      <c r="I2373" s="138">
        <f>+I2372+(G2373-H2373)</f>
        <v/>
      </c>
      <c r="J2373" s="139" t="n">
        <v>37.75</v>
      </c>
      <c r="K2373" s="140" t="n"/>
      <c r="L2373" s="140">
        <f>+H2373*J2373</f>
        <v/>
      </c>
      <c r="M2373" s="141">
        <f>SUM(M2372+K2373-L2373)</f>
        <v/>
      </c>
    </row>
    <row r="2374">
      <c r="A2374" s="20" t="n">
        <v>45793</v>
      </c>
      <c r="B2374" s="21" t="n">
        <v>11833</v>
      </c>
      <c r="C2374" s="22" t="inlineStr">
        <is>
          <t>SELİM İNŞAAT</t>
        </is>
      </c>
      <c r="D2374" s="21" t="inlineStr">
        <is>
          <t>34 FSG 229</t>
        </is>
      </c>
      <c r="E2374" s="21" t="inlineStr">
        <is>
          <t>SİNAN TANRIVERDİ</t>
        </is>
      </c>
      <c r="F2374" s="23" t="n">
        <v>252139</v>
      </c>
      <c r="G2374" s="138" t="n"/>
      <c r="H2374" s="138" t="n">
        <v>436</v>
      </c>
      <c r="I2374" s="138">
        <f>+I2373+(G2374-H2374)</f>
        <v/>
      </c>
      <c r="J2374" s="139" t="n">
        <v>37.75</v>
      </c>
      <c r="K2374" s="140" t="n"/>
      <c r="L2374" s="140">
        <f>+H2374*J2374</f>
        <v/>
      </c>
      <c r="M2374" s="141">
        <f>SUM(M2373+K2374-L2374)</f>
        <v/>
      </c>
    </row>
    <row r="2375">
      <c r="A2375" s="20" t="n">
        <v>45793</v>
      </c>
      <c r="B2375" s="21" t="n">
        <v>14374</v>
      </c>
      <c r="C2375" s="22" t="inlineStr">
        <is>
          <t>SELİM İNŞAAT</t>
        </is>
      </c>
      <c r="D2375" s="21" t="inlineStr">
        <is>
          <t>34 DKL 798</t>
        </is>
      </c>
      <c r="E2375" s="21" t="inlineStr">
        <is>
          <t>VOLKAN YANAR</t>
        </is>
      </c>
      <c r="F2375" s="23" t="n">
        <v>65020</v>
      </c>
      <c r="G2375" s="138" t="n"/>
      <c r="H2375" s="138" t="n">
        <v>146</v>
      </c>
      <c r="I2375" s="138">
        <f>+I2374+(G2375-H2375)</f>
        <v/>
      </c>
      <c r="J2375" s="139" t="n">
        <v>37.75</v>
      </c>
      <c r="K2375" s="140" t="n"/>
      <c r="L2375" s="140">
        <f>+H2375*J2375</f>
        <v/>
      </c>
      <c r="M2375" s="141">
        <f>SUM(M2374+K2375-L2375)</f>
        <v/>
      </c>
    </row>
    <row r="2376">
      <c r="A2376" s="20" t="n">
        <v>45793</v>
      </c>
      <c r="B2376" s="21" t="n">
        <v>10149</v>
      </c>
      <c r="C2376" s="22" t="inlineStr">
        <is>
          <t>SELİM İNŞAAT</t>
        </is>
      </c>
      <c r="D2376" s="21" t="inlineStr">
        <is>
          <t>34 DP 4161</t>
        </is>
      </c>
      <c r="E2376" s="21" t="inlineStr">
        <is>
          <t>RIFAT KARATAY</t>
        </is>
      </c>
      <c r="F2376" s="23" t="n">
        <v>284569</v>
      </c>
      <c r="G2376" s="138" t="n"/>
      <c r="H2376" s="138" t="n">
        <v>132</v>
      </c>
      <c r="I2376" s="138">
        <f>+I2375+(G2376-H2376)</f>
        <v/>
      </c>
      <c r="J2376" s="139" t="n">
        <v>37.75</v>
      </c>
      <c r="K2376" s="140" t="n"/>
      <c r="L2376" s="140">
        <f>+H2376*J2376</f>
        <v/>
      </c>
      <c r="M2376" s="141">
        <f>SUM(M2375+K2376-L2376)</f>
        <v/>
      </c>
    </row>
    <row r="2377">
      <c r="A2377" s="20" t="n">
        <v>45793</v>
      </c>
      <c r="B2377" s="21" t="n">
        <v>14525</v>
      </c>
      <c r="C2377" s="22" t="inlineStr">
        <is>
          <t>SELİM İNŞAAT</t>
        </is>
      </c>
      <c r="D2377" s="21" t="inlineStr">
        <is>
          <t>34 GER 028</t>
        </is>
      </c>
      <c r="E2377" s="21" t="inlineStr">
        <is>
          <t>A.KERİM ERGEN</t>
        </is>
      </c>
      <c r="F2377" s="23" t="n">
        <v>43463</v>
      </c>
      <c r="G2377" s="138" t="n"/>
      <c r="H2377" s="138" t="n">
        <v>233</v>
      </c>
      <c r="I2377" s="138">
        <f>+I2376+(G2377-H2377)</f>
        <v/>
      </c>
      <c r="J2377" s="139" t="n">
        <v>37.75</v>
      </c>
      <c r="K2377" s="140" t="n"/>
      <c r="L2377" s="140">
        <f>+H2377*J2377</f>
        <v/>
      </c>
      <c r="M2377" s="141">
        <f>SUM(M2376+K2377-L2377)</f>
        <v/>
      </c>
    </row>
    <row r="2378">
      <c r="A2378" s="20" t="n">
        <v>45793</v>
      </c>
      <c r="B2378" s="21" t="n">
        <v>14726</v>
      </c>
      <c r="C2378" s="22" t="inlineStr">
        <is>
          <t>METİN ERYİĞİT</t>
        </is>
      </c>
      <c r="D2378" s="21" t="inlineStr">
        <is>
          <t>34 GBL 998</t>
        </is>
      </c>
      <c r="E2378" s="21" t="inlineStr">
        <is>
          <t>ALİ KESKİN</t>
        </is>
      </c>
      <c r="F2378" s="23" t="n">
        <v>260860</v>
      </c>
      <c r="G2378" s="138" t="n"/>
      <c r="H2378" s="138" t="n">
        <v>349</v>
      </c>
      <c r="I2378" s="138">
        <f>+I2377+(G2378-H2378)</f>
        <v/>
      </c>
      <c r="J2378" s="139" t="n">
        <v>37.75</v>
      </c>
      <c r="K2378" s="140" t="n"/>
      <c r="L2378" s="140">
        <f>+H2378*J2378</f>
        <v/>
      </c>
      <c r="M2378" s="141">
        <f>SUM(M2377+K2378-L2378)</f>
        <v/>
      </c>
    </row>
    <row r="2379">
      <c r="A2379" s="20" t="n">
        <v>45793</v>
      </c>
      <c r="B2379" s="21" t="n">
        <v>14685</v>
      </c>
      <c r="C2379" s="22" t="inlineStr">
        <is>
          <t>AHMET SELİM TEMHA</t>
        </is>
      </c>
      <c r="D2379" s="21" t="inlineStr">
        <is>
          <t>34 DGE 422</t>
        </is>
      </c>
      <c r="E2379" s="21" t="inlineStr">
        <is>
          <t xml:space="preserve">ERSOY SIĞINMAZ </t>
        </is>
      </c>
      <c r="F2379" s="23" t="n"/>
      <c r="G2379" s="138" t="n"/>
      <c r="H2379" s="138" t="n">
        <v>47</v>
      </c>
      <c r="I2379" s="138">
        <f>+I2378+(G2379-H2379)</f>
        <v/>
      </c>
      <c r="J2379" s="139" t="n">
        <v>37.75</v>
      </c>
      <c r="K2379" s="140" t="n"/>
      <c r="L2379" s="140">
        <f>+H2379*J2379</f>
        <v/>
      </c>
      <c r="M2379" s="141">
        <f>SUM(M2378+K2379-L2379)</f>
        <v/>
      </c>
    </row>
    <row r="2380">
      <c r="A2380" s="20" t="n">
        <v>45793</v>
      </c>
      <c r="B2380" s="21" t="n">
        <v>10449</v>
      </c>
      <c r="C2380" s="22" t="inlineStr">
        <is>
          <t>SELİM İNŞAAT</t>
        </is>
      </c>
      <c r="D2380" s="21" t="inlineStr">
        <is>
          <t>34 FBR 781</t>
        </is>
      </c>
      <c r="E2380" s="21" t="inlineStr">
        <is>
          <t>MEVLÜT POLAT</t>
        </is>
      </c>
      <c r="F2380" s="23" t="n">
        <v>296670</v>
      </c>
      <c r="G2380" s="138" t="n"/>
      <c r="H2380" s="138" t="n">
        <v>363</v>
      </c>
      <c r="I2380" s="138">
        <f>+I2379+(G2380-H2380)</f>
        <v/>
      </c>
      <c r="J2380" s="139" t="n">
        <v>37.75</v>
      </c>
      <c r="K2380" s="140" t="n"/>
      <c r="L2380" s="140">
        <f>+H2380*J2380</f>
        <v/>
      </c>
      <c r="M2380" s="141">
        <f>SUM(M2379+K2380-L2380)</f>
        <v/>
      </c>
    </row>
    <row r="2381">
      <c r="A2381" s="20" t="n">
        <v>45793</v>
      </c>
      <c r="B2381" s="1" t="n">
        <v>15764</v>
      </c>
      <c r="C2381" s="2" t="inlineStr">
        <is>
          <t>VARLIK</t>
        </is>
      </c>
      <c r="D2381" s="1" t="inlineStr">
        <is>
          <t>KAVAZAKİ</t>
        </is>
      </c>
      <c r="E2381" s="1" t="inlineStr">
        <is>
          <t>UFUK SEVAL</t>
        </is>
      </c>
      <c r="F2381" s="3" t="n"/>
      <c r="G2381" s="143" t="n"/>
      <c r="H2381" s="143" t="n">
        <v>182</v>
      </c>
      <c r="I2381" s="143">
        <f>+I2380+(G2381-H2381)</f>
        <v/>
      </c>
      <c r="J2381" s="144" t="n">
        <v>37.75</v>
      </c>
      <c r="K2381" s="145" t="n"/>
      <c r="L2381" s="140">
        <f>+H2381*J2381</f>
        <v/>
      </c>
      <c r="M2381" s="141">
        <f>SUM(M2380+K2381-L2381)</f>
        <v/>
      </c>
    </row>
    <row r="2382">
      <c r="A2382" s="20" t="n">
        <v>45793</v>
      </c>
      <c r="B2382" s="1" t="n">
        <v>15765</v>
      </c>
      <c r="C2382" s="2" t="inlineStr">
        <is>
          <t>VARLIK</t>
        </is>
      </c>
      <c r="D2382" s="1" t="inlineStr">
        <is>
          <t>SM 300</t>
        </is>
      </c>
      <c r="E2382" s="1" t="inlineStr">
        <is>
          <t>TURGUT SANCAK</t>
        </is>
      </c>
      <c r="F2382" s="3" t="n"/>
      <c r="G2382" s="143" t="n"/>
      <c r="H2382" s="143" t="n">
        <v>335</v>
      </c>
      <c r="I2382" s="143">
        <f>+I2381+(G2382-H2382)</f>
        <v/>
      </c>
      <c r="J2382" s="144" t="n">
        <v>37.75</v>
      </c>
      <c r="K2382" s="145" t="n"/>
      <c r="L2382" s="140">
        <f>+H2382*J2382</f>
        <v/>
      </c>
      <c r="M2382" s="141">
        <f>SUM(M2381+K2382-L2382)</f>
        <v/>
      </c>
    </row>
    <row r="2383">
      <c r="A2383" s="20" t="n">
        <v>45793</v>
      </c>
      <c r="B2383" s="1" t="n">
        <v>15766</v>
      </c>
      <c r="C2383" s="2" t="inlineStr">
        <is>
          <t>VARLIK</t>
        </is>
      </c>
      <c r="D2383" s="1" t="inlineStr">
        <is>
          <t>SM 370</t>
        </is>
      </c>
      <c r="E2383" s="1" t="inlineStr">
        <is>
          <t>TEKİN ŞEYLAN</t>
        </is>
      </c>
      <c r="F2383" s="3" t="n"/>
      <c r="G2383" s="143" t="n"/>
      <c r="H2383" s="143" t="n">
        <v>372</v>
      </c>
      <c r="I2383" s="143">
        <f>+I2382+(G2383-H2383)</f>
        <v/>
      </c>
      <c r="J2383" s="144" t="n">
        <v>37.75</v>
      </c>
      <c r="K2383" s="145" t="n"/>
      <c r="L2383" s="140">
        <f>+H2383*J2383</f>
        <v/>
      </c>
      <c r="M2383" s="141">
        <f>SUM(M2382+K2383-L2383)</f>
        <v/>
      </c>
    </row>
    <row r="2384">
      <c r="A2384" s="20" t="n">
        <v>45793</v>
      </c>
      <c r="B2384" s="1" t="n">
        <v>15767</v>
      </c>
      <c r="C2384" s="2" t="inlineStr">
        <is>
          <t>VARLIK</t>
        </is>
      </c>
      <c r="D2384" s="1" t="inlineStr">
        <is>
          <t>SM 300</t>
        </is>
      </c>
      <c r="E2384" s="1" t="inlineStr">
        <is>
          <t>BAYRAM SANCAK</t>
        </is>
      </c>
      <c r="F2384" s="3" t="n"/>
      <c r="G2384" s="143" t="n"/>
      <c r="H2384" s="143" t="n">
        <v>410</v>
      </c>
      <c r="I2384" s="143">
        <f>+I2383+(G2384-H2384)</f>
        <v/>
      </c>
      <c r="J2384" s="144" t="n">
        <v>37.75</v>
      </c>
      <c r="K2384" s="145" t="n"/>
      <c r="L2384" s="140">
        <f>+H2384*J2384</f>
        <v/>
      </c>
      <c r="M2384" s="141">
        <f>SUM(M2383+K2384-L2384)</f>
        <v/>
      </c>
    </row>
    <row r="2385">
      <c r="A2385" s="20" t="n">
        <v>45794</v>
      </c>
      <c r="B2385" s="21" t="n">
        <v>15508</v>
      </c>
      <c r="C2385" s="22" t="inlineStr">
        <is>
          <t>SELİM İNŞAAT</t>
        </is>
      </c>
      <c r="D2385" s="21" t="inlineStr">
        <is>
          <t>34 EDC 086</t>
        </is>
      </c>
      <c r="E2385" s="21" t="inlineStr">
        <is>
          <t>ÖMER AĞAYAR</t>
        </is>
      </c>
      <c r="F2385" s="23" t="n">
        <v>320933</v>
      </c>
      <c r="G2385" s="138" t="n"/>
      <c r="H2385" s="138" t="n">
        <v>485</v>
      </c>
      <c r="I2385" s="138">
        <f>+I2384+(G2385-H2385)</f>
        <v/>
      </c>
      <c r="J2385" s="139" t="n">
        <v>37.75</v>
      </c>
      <c r="K2385" s="140" t="n"/>
      <c r="L2385" s="140">
        <f>+H2385*J2385</f>
        <v/>
      </c>
      <c r="M2385" s="141">
        <f>SUM(M2384+K2385-L2385)</f>
        <v/>
      </c>
    </row>
    <row r="2386">
      <c r="A2386" s="20" t="n">
        <v>45794</v>
      </c>
      <c r="B2386" s="21" t="n">
        <v>15106</v>
      </c>
      <c r="C2386" s="22" t="inlineStr">
        <is>
          <t>SELİM İNŞAAT</t>
        </is>
      </c>
      <c r="D2386" s="21" t="inlineStr">
        <is>
          <t>34 DTV 599</t>
        </is>
      </c>
      <c r="E2386" s="21" t="inlineStr">
        <is>
          <t>FERHAT GÜRLER</t>
        </is>
      </c>
      <c r="F2386" s="23" t="n">
        <v>427255</v>
      </c>
      <c r="G2386" s="138" t="n"/>
      <c r="H2386" s="138" t="n">
        <v>365</v>
      </c>
      <c r="I2386" s="138">
        <f>+I2385+(G2386-H2386)</f>
        <v/>
      </c>
      <c r="J2386" s="139" t="n">
        <v>37.75</v>
      </c>
      <c r="K2386" s="140" t="n"/>
      <c r="L2386" s="140">
        <f>+H2386*J2386</f>
        <v/>
      </c>
      <c r="M2386" s="141">
        <f>SUM(M2385+K2386-L2386)</f>
        <v/>
      </c>
    </row>
    <row r="2387">
      <c r="A2387" s="20" t="n">
        <v>45794</v>
      </c>
      <c r="B2387" s="21" t="n">
        <v>14478</v>
      </c>
      <c r="C2387" s="22" t="inlineStr">
        <is>
          <t>SELİM İNŞAAT</t>
        </is>
      </c>
      <c r="D2387" s="21" t="inlineStr">
        <is>
          <t>34 GUS 848</t>
        </is>
      </c>
      <c r="E2387" s="21" t="inlineStr">
        <is>
          <t>SERDAR BOZKURT</t>
        </is>
      </c>
      <c r="F2387" s="23" t="n">
        <v>186843</v>
      </c>
      <c r="G2387" s="138" t="n"/>
      <c r="H2387" s="138" t="n">
        <v>412</v>
      </c>
      <c r="I2387" s="138">
        <f>+I2386+(G2387-H2387)</f>
        <v/>
      </c>
      <c r="J2387" s="139" t="n">
        <v>37.75</v>
      </c>
      <c r="K2387" s="140" t="n"/>
      <c r="L2387" s="140">
        <f>+H2387*J2387</f>
        <v/>
      </c>
      <c r="M2387" s="141">
        <f>SUM(M2386+K2387-L2387)</f>
        <v/>
      </c>
    </row>
    <row r="2388">
      <c r="A2388" s="20" t="n">
        <v>45794</v>
      </c>
      <c r="B2388" s="21" t="n">
        <v>21300</v>
      </c>
      <c r="C2388" s="22" t="inlineStr">
        <is>
          <t>SELİM İNŞAAT</t>
        </is>
      </c>
      <c r="D2388" s="21" t="inlineStr">
        <is>
          <t>34 DTV 447</t>
        </is>
      </c>
      <c r="E2388" s="21" t="inlineStr">
        <is>
          <t>EBUBEKİR KOLDAŞ</t>
        </is>
      </c>
      <c r="F2388" s="23" t="n">
        <v>425523</v>
      </c>
      <c r="G2388" s="138" t="n"/>
      <c r="H2388" s="138" t="n">
        <v>325</v>
      </c>
      <c r="I2388" s="138">
        <f>+I2387+(G2388-H2388)</f>
        <v/>
      </c>
      <c r="J2388" s="139" t="n">
        <v>37.75</v>
      </c>
      <c r="K2388" s="140" t="n"/>
      <c r="L2388" s="140">
        <f>+H2388*J2388</f>
        <v/>
      </c>
      <c r="M2388" s="141">
        <f>SUM(M2387+K2388-L2388)</f>
        <v/>
      </c>
    </row>
    <row r="2389">
      <c r="A2389" s="20" t="n">
        <v>45794</v>
      </c>
      <c r="B2389" s="21" t="n">
        <v>14079</v>
      </c>
      <c r="C2389" s="22" t="inlineStr">
        <is>
          <t>SELİM İNŞAAT</t>
        </is>
      </c>
      <c r="D2389" s="21" t="inlineStr">
        <is>
          <t>34 EDB 659</t>
        </is>
      </c>
      <c r="E2389" s="21" t="inlineStr">
        <is>
          <t>MEHMET SAİT ANIK</t>
        </is>
      </c>
      <c r="F2389" s="23" t="n">
        <v>334400</v>
      </c>
      <c r="G2389" s="138" t="n"/>
      <c r="H2389" s="138" t="n">
        <v>339</v>
      </c>
      <c r="I2389" s="138">
        <f>+I2388+(G2389-H2389)</f>
        <v/>
      </c>
      <c r="J2389" s="139" t="n">
        <v>37.75</v>
      </c>
      <c r="K2389" s="140" t="n"/>
      <c r="L2389" s="140">
        <f>+H2389*J2389</f>
        <v/>
      </c>
      <c r="M2389" s="141">
        <f>SUM(M2388+K2389-L2389)</f>
        <v/>
      </c>
    </row>
    <row r="2390">
      <c r="A2390" s="20" t="n">
        <v>45794</v>
      </c>
      <c r="B2390" s="21" t="n">
        <v>11148</v>
      </c>
      <c r="C2390" s="22" t="inlineStr">
        <is>
          <t>SELİM İNŞAAT</t>
        </is>
      </c>
      <c r="D2390" s="21" t="inlineStr">
        <is>
          <t>34 DTV 409</t>
        </is>
      </c>
      <c r="E2390" s="21" t="inlineStr">
        <is>
          <t>ONUR CANLI</t>
        </is>
      </c>
      <c r="F2390" s="23" t="n">
        <v>412713</v>
      </c>
      <c r="G2390" s="138" t="n"/>
      <c r="H2390" s="138" t="n">
        <v>488</v>
      </c>
      <c r="I2390" s="138">
        <f>+I2389+(G2390-H2390)</f>
        <v/>
      </c>
      <c r="J2390" s="139" t="n">
        <v>37.75</v>
      </c>
      <c r="K2390" s="140" t="n"/>
      <c r="L2390" s="140">
        <f>+H2390*J2390</f>
        <v/>
      </c>
      <c r="M2390" s="141">
        <f>SUM(M2389+K2390-L2390)</f>
        <v/>
      </c>
    </row>
    <row r="2391">
      <c r="A2391" s="20" t="n">
        <v>45794</v>
      </c>
      <c r="B2391" s="21" t="n">
        <v>14126</v>
      </c>
      <c r="C2391" s="22" t="inlineStr">
        <is>
          <t>SELİM İNŞAAT</t>
        </is>
      </c>
      <c r="D2391" s="21" t="inlineStr">
        <is>
          <t>34 DSN 536</t>
        </is>
      </c>
      <c r="E2391" s="21" t="inlineStr">
        <is>
          <t>DURSUN ALİ GÜREK</t>
        </is>
      </c>
      <c r="F2391" s="23" t="n">
        <v>399548</v>
      </c>
      <c r="G2391" s="138" t="n"/>
      <c r="H2391" s="138" t="n">
        <v>446</v>
      </c>
      <c r="I2391" s="138">
        <f>+I2390+(G2391-H2391)</f>
        <v/>
      </c>
      <c r="J2391" s="139" t="n">
        <v>37.75</v>
      </c>
      <c r="K2391" s="140" t="n"/>
      <c r="L2391" s="140">
        <f>+H2391*J2391</f>
        <v/>
      </c>
      <c r="M2391" s="141">
        <f>SUM(M2390+K2391-L2391)</f>
        <v/>
      </c>
    </row>
    <row r="2392">
      <c r="A2392" s="20" t="n">
        <v>45794</v>
      </c>
      <c r="B2392" s="21" t="n">
        <v>11482</v>
      </c>
      <c r="C2392" s="22" t="inlineStr">
        <is>
          <t>METİN ŞİRİN</t>
        </is>
      </c>
      <c r="D2392" s="21" t="inlineStr">
        <is>
          <t>34 EGR 922</t>
        </is>
      </c>
      <c r="E2392" s="21" t="inlineStr">
        <is>
          <t>FARUK ÖZEN</t>
        </is>
      </c>
      <c r="F2392" s="23" t="n">
        <v>449034</v>
      </c>
      <c r="G2392" s="138" t="n"/>
      <c r="H2392" s="138" t="n">
        <v>363</v>
      </c>
      <c r="I2392" s="138">
        <f>+I2391+(G2392-H2392)</f>
        <v/>
      </c>
      <c r="J2392" s="139" t="n">
        <v>37.75</v>
      </c>
      <c r="K2392" s="140" t="n"/>
      <c r="L2392" s="140">
        <f>+H2392*J2392</f>
        <v/>
      </c>
      <c r="M2392" s="141">
        <f>SUM(M2391+K2392-L2392)</f>
        <v/>
      </c>
    </row>
    <row r="2393">
      <c r="A2393" s="20" t="n">
        <v>45794</v>
      </c>
      <c r="B2393" s="21" t="n">
        <v>14420</v>
      </c>
      <c r="C2393" s="22" t="inlineStr">
        <is>
          <t>SELİM İNŞAAT</t>
        </is>
      </c>
      <c r="D2393" s="21" t="inlineStr">
        <is>
          <t>34 EGR 737</t>
        </is>
      </c>
      <c r="E2393" s="21" t="inlineStr">
        <is>
          <t>CEM MUHTAR</t>
        </is>
      </c>
      <c r="F2393" s="23" t="n">
        <v>408063</v>
      </c>
      <c r="G2393" s="138" t="n"/>
      <c r="H2393" s="138" t="n">
        <v>341</v>
      </c>
      <c r="I2393" s="138">
        <f>+I2392+(G2393-H2393)</f>
        <v/>
      </c>
      <c r="J2393" s="139" t="n">
        <v>37.75</v>
      </c>
      <c r="K2393" s="140" t="n"/>
      <c r="L2393" s="140">
        <f>+H2393*J2393</f>
        <v/>
      </c>
      <c r="M2393" s="141">
        <f>SUM(M2392+K2393-L2393)</f>
        <v/>
      </c>
    </row>
    <row r="2394">
      <c r="A2394" s="20" t="n">
        <v>45794</v>
      </c>
      <c r="B2394" s="21" t="n">
        <v>14815</v>
      </c>
      <c r="C2394" s="22" t="inlineStr">
        <is>
          <t>SELİM İNŞAAT</t>
        </is>
      </c>
      <c r="D2394" s="21" t="inlineStr">
        <is>
          <t>34 GVZ 268</t>
        </is>
      </c>
      <c r="E2394" s="21" t="inlineStr">
        <is>
          <t>KERİM KARAMAN</t>
        </is>
      </c>
      <c r="F2394" s="23" t="n">
        <v>186945</v>
      </c>
      <c r="G2394" s="138" t="n"/>
      <c r="H2394" s="138" t="n">
        <v>317</v>
      </c>
      <c r="I2394" s="138">
        <f>+I2393+(G2394-H2394)</f>
        <v/>
      </c>
      <c r="J2394" s="139" t="n">
        <v>37.75</v>
      </c>
      <c r="K2394" s="140" t="n"/>
      <c r="L2394" s="140">
        <f>+H2394*J2394</f>
        <v/>
      </c>
      <c r="M2394" s="141">
        <f>SUM(M2393+K2394-L2394)</f>
        <v/>
      </c>
    </row>
    <row r="2395">
      <c r="A2395" s="20" t="n">
        <v>45794</v>
      </c>
      <c r="B2395" s="21" t="n">
        <v>14227</v>
      </c>
      <c r="C2395" s="22" t="inlineStr">
        <is>
          <t>SELİM İNŞAAT</t>
        </is>
      </c>
      <c r="D2395" s="21" t="inlineStr">
        <is>
          <t xml:space="preserve">34 GUS 938 </t>
        </is>
      </c>
      <c r="E2395" s="21" t="inlineStr">
        <is>
          <t>MEHMET KAYA</t>
        </is>
      </c>
      <c r="F2395" s="23" t="n">
        <v>180456</v>
      </c>
      <c r="G2395" s="138" t="n"/>
      <c r="H2395" s="138" t="n">
        <v>259</v>
      </c>
      <c r="I2395" s="138">
        <f>+I2394+(G2395-H2395)</f>
        <v/>
      </c>
      <c r="J2395" s="139" t="n">
        <v>37.75</v>
      </c>
      <c r="K2395" s="140" t="n"/>
      <c r="L2395" s="140">
        <f>+H2395*J2395</f>
        <v/>
      </c>
      <c r="M2395" s="141">
        <f>SUM(M2394+K2395-L2395)</f>
        <v/>
      </c>
    </row>
    <row r="2396">
      <c r="A2396" s="20" t="n">
        <v>45794</v>
      </c>
      <c r="B2396" s="21" t="n">
        <v>21620</v>
      </c>
      <c r="C2396" s="22" t="inlineStr">
        <is>
          <t>SELİM İNŞAAT</t>
        </is>
      </c>
      <c r="D2396" s="21" t="inlineStr">
        <is>
          <t>34 DHC 467</t>
        </is>
      </c>
      <c r="E2396" s="21" t="inlineStr">
        <is>
          <t>ERSEL DERVİŞ</t>
        </is>
      </c>
      <c r="F2396" s="23" t="n">
        <v>399267</v>
      </c>
      <c r="G2396" s="138" t="n"/>
      <c r="H2396" s="138" t="n">
        <v>304</v>
      </c>
      <c r="I2396" s="138">
        <f>+I2395+(G2396-H2396)</f>
        <v/>
      </c>
      <c r="J2396" s="139" t="n">
        <v>37.75</v>
      </c>
      <c r="K2396" s="140" t="n"/>
      <c r="L2396" s="140">
        <f>+H2396*J2396</f>
        <v/>
      </c>
      <c r="M2396" s="141">
        <f>SUM(M2395+K2396-L2396)</f>
        <v/>
      </c>
    </row>
    <row r="2397">
      <c r="A2397" s="20" t="n">
        <v>45794</v>
      </c>
      <c r="B2397" s="21" t="n">
        <v>21323</v>
      </c>
      <c r="C2397" s="22" t="inlineStr">
        <is>
          <t>SELİM İNŞAAT</t>
        </is>
      </c>
      <c r="D2397" s="21" t="inlineStr">
        <is>
          <t>34 FEM 934</t>
        </is>
      </c>
      <c r="E2397" s="21" t="inlineStr">
        <is>
          <t>MUSTAFA ALBAYRAK</t>
        </is>
      </c>
      <c r="F2397" s="23" t="n">
        <v>307451</v>
      </c>
      <c r="G2397" s="138" t="n"/>
      <c r="H2397" s="138" t="n">
        <v>50</v>
      </c>
      <c r="I2397" s="138">
        <f>+I2396+(G2397-H2397)</f>
        <v/>
      </c>
      <c r="J2397" s="139" t="n">
        <v>37.75</v>
      </c>
      <c r="K2397" s="140" t="n"/>
      <c r="L2397" s="140">
        <f>+H2397*J2397</f>
        <v/>
      </c>
      <c r="M2397" s="141">
        <f>SUM(M2396+K2397-L2397)</f>
        <v/>
      </c>
    </row>
    <row r="2398">
      <c r="A2398" s="20" t="n">
        <v>45794</v>
      </c>
      <c r="B2398" s="21" t="n">
        <v>16738</v>
      </c>
      <c r="C2398" s="22" t="inlineStr">
        <is>
          <t>SELİM İNŞAAT</t>
        </is>
      </c>
      <c r="D2398" s="21" t="inlineStr">
        <is>
          <t>34 JBA 25</t>
        </is>
      </c>
      <c r="E2398" s="21" t="inlineStr">
        <is>
          <t>ABDURRAHMAN SERDAN</t>
        </is>
      </c>
      <c r="F2398" s="23" t="n">
        <v>333593</v>
      </c>
      <c r="G2398" s="138" t="n"/>
      <c r="H2398" s="138" t="n">
        <v>66</v>
      </c>
      <c r="I2398" s="138">
        <f>+I2397+(G2398-H2398)</f>
        <v/>
      </c>
      <c r="J2398" s="139" t="n">
        <v>37.75</v>
      </c>
      <c r="K2398" s="140" t="n"/>
      <c r="L2398" s="140">
        <f>+H2398*J2398</f>
        <v/>
      </c>
      <c r="M2398" s="141">
        <f>SUM(M2397+K2398-L2398)</f>
        <v/>
      </c>
    </row>
    <row r="2399">
      <c r="A2399" s="20" t="n">
        <v>45794</v>
      </c>
      <c r="B2399" s="21" t="n">
        <v>10576</v>
      </c>
      <c r="C2399" s="22" t="inlineStr">
        <is>
          <t>SELİM İNŞAAT</t>
        </is>
      </c>
      <c r="D2399" s="21" t="inlineStr">
        <is>
          <t>34 GU 945</t>
        </is>
      </c>
      <c r="E2399" s="21" t="inlineStr">
        <is>
          <t>TURAN SEVİNDİK</t>
        </is>
      </c>
      <c r="F2399" s="23" t="n">
        <v>445443</v>
      </c>
      <c r="G2399" s="138" t="n"/>
      <c r="H2399" s="138" t="n">
        <v>68</v>
      </c>
      <c r="I2399" s="138">
        <f>+I2398+(G2399-H2399)</f>
        <v/>
      </c>
      <c r="J2399" s="139" t="n">
        <v>37.75</v>
      </c>
      <c r="K2399" s="140" t="n"/>
      <c r="L2399" s="140">
        <f>+H2399*J2399</f>
        <v/>
      </c>
      <c r="M2399" s="141">
        <f>SUM(M2398+K2399-L2399)</f>
        <v/>
      </c>
    </row>
    <row r="2400">
      <c r="A2400" s="20" t="n">
        <v>45794</v>
      </c>
      <c r="B2400" s="21" t="n">
        <v>10883</v>
      </c>
      <c r="C2400" s="22" t="inlineStr">
        <is>
          <t>SELİM İNŞAAT</t>
        </is>
      </c>
      <c r="D2400" s="21" t="inlineStr">
        <is>
          <t>34 AR 7743</t>
        </is>
      </c>
      <c r="E2400" s="21" t="inlineStr">
        <is>
          <t>MEHMET SELİM</t>
        </is>
      </c>
      <c r="F2400" s="23" t="n">
        <v>355564</v>
      </c>
      <c r="G2400" s="138" t="n"/>
      <c r="H2400" s="138" t="n">
        <v>63</v>
      </c>
      <c r="I2400" s="138">
        <f>+I2399+(G2400-H2400)</f>
        <v/>
      </c>
      <c r="J2400" s="139" t="n">
        <v>37.75</v>
      </c>
      <c r="K2400" s="140" t="n"/>
      <c r="L2400" s="140">
        <f>+H2400*J2400</f>
        <v/>
      </c>
      <c r="M2400" s="141">
        <f>SUM(M2399+K2400-L2400)</f>
        <v/>
      </c>
    </row>
    <row r="2401">
      <c r="A2401" s="20" t="n">
        <v>45794</v>
      </c>
      <c r="B2401" s="21" t="n">
        <v>15653</v>
      </c>
      <c r="C2401" s="22" t="inlineStr">
        <is>
          <t>METİN ERYİĞİT</t>
        </is>
      </c>
      <c r="D2401" s="21" t="inlineStr">
        <is>
          <t>34 EGR 814</t>
        </is>
      </c>
      <c r="E2401" s="21" t="inlineStr">
        <is>
          <t>GÜRAY KOYUNCU</t>
        </is>
      </c>
      <c r="F2401" s="23" t="n">
        <v>535006</v>
      </c>
      <c r="G2401" s="138" t="n"/>
      <c r="H2401" s="138" t="n">
        <v>265</v>
      </c>
      <c r="I2401" s="138">
        <f>+I2400+(G2401-H2401)</f>
        <v/>
      </c>
      <c r="J2401" s="139" t="n">
        <v>37.75</v>
      </c>
      <c r="K2401" s="140" t="n"/>
      <c r="L2401" s="140">
        <f>+H2401*J2401</f>
        <v/>
      </c>
      <c r="M2401" s="141">
        <f>SUM(M2400+K2401-L2401)</f>
        <v/>
      </c>
    </row>
    <row r="2402">
      <c r="A2402" s="20" t="n">
        <v>45794</v>
      </c>
      <c r="B2402" s="21" t="n">
        <v>14727</v>
      </c>
      <c r="C2402" s="22" t="inlineStr">
        <is>
          <t>METİN ERYİĞİT</t>
        </is>
      </c>
      <c r="D2402" s="21" t="inlineStr">
        <is>
          <t>34 GBL 998</t>
        </is>
      </c>
      <c r="E2402" s="21" t="inlineStr">
        <is>
          <t>ALİ KESKİN</t>
        </is>
      </c>
      <c r="F2402" s="23" t="n">
        <v>261223</v>
      </c>
      <c r="G2402" s="138" t="n"/>
      <c r="H2402" s="138" t="n">
        <v>318</v>
      </c>
      <c r="I2402" s="138">
        <f>+I2401+(G2402-H2402)</f>
        <v/>
      </c>
      <c r="J2402" s="139" t="n">
        <v>37.75</v>
      </c>
      <c r="K2402" s="140" t="n"/>
      <c r="L2402" s="140">
        <f>+H2402*J2402</f>
        <v/>
      </c>
      <c r="M2402" s="141">
        <f>SUM(M2401+K2402-L2402)</f>
        <v/>
      </c>
    </row>
    <row r="2403">
      <c r="A2403" s="20" t="n">
        <v>45794</v>
      </c>
      <c r="B2403" s="21" t="n">
        <v>11324</v>
      </c>
      <c r="C2403" s="22" t="inlineStr">
        <is>
          <t>AZGÜN YAPI</t>
        </is>
      </c>
      <c r="D2403" s="21" t="inlineStr">
        <is>
          <t>34 DTV 263</t>
        </is>
      </c>
      <c r="E2403" s="21" t="inlineStr">
        <is>
          <t>EDİP TORLAK</t>
        </is>
      </c>
      <c r="F2403" s="23" t="n">
        <v>379043</v>
      </c>
      <c r="G2403" s="138" t="n"/>
      <c r="H2403" s="138" t="n">
        <v>138</v>
      </c>
      <c r="I2403" s="138">
        <f>+I2402+(G2403-H2403)</f>
        <v/>
      </c>
      <c r="J2403" s="139" t="n">
        <v>37.75</v>
      </c>
      <c r="K2403" s="140" t="n"/>
      <c r="L2403" s="140">
        <f>+H2403*J2403</f>
        <v/>
      </c>
      <c r="M2403" s="141">
        <f>SUM(M2402+K2403-L2403)</f>
        <v/>
      </c>
    </row>
    <row r="2404">
      <c r="A2404" s="20" t="n">
        <v>45794</v>
      </c>
      <c r="B2404" s="21" t="n">
        <v>10386</v>
      </c>
      <c r="C2404" s="22" t="inlineStr">
        <is>
          <t>SELİM İNŞAAT</t>
        </is>
      </c>
      <c r="D2404" s="21" t="inlineStr">
        <is>
          <t>34 DRU 690</t>
        </is>
      </c>
      <c r="E2404" s="21" t="inlineStr">
        <is>
          <t>MURAT DEMİRBAŞ</t>
        </is>
      </c>
      <c r="F2404" s="23" t="n">
        <v>410363</v>
      </c>
      <c r="G2404" s="138" t="n"/>
      <c r="H2404" s="138" t="n">
        <v>484</v>
      </c>
      <c r="I2404" s="138">
        <f>+I2403+(G2404-H2404)</f>
        <v/>
      </c>
      <c r="J2404" s="139" t="n">
        <v>37.75</v>
      </c>
      <c r="K2404" s="140" t="n"/>
      <c r="L2404" s="140">
        <f>+H2404*J2404</f>
        <v/>
      </c>
      <c r="M2404" s="141">
        <f>SUM(M2403+K2404-L2404)</f>
        <v/>
      </c>
    </row>
    <row r="2405">
      <c r="A2405" s="20" t="n">
        <v>45794</v>
      </c>
      <c r="B2405" s="1" t="n">
        <v>15768</v>
      </c>
      <c r="C2405" s="2" t="inlineStr">
        <is>
          <t>HASALTUN</t>
        </is>
      </c>
      <c r="D2405" s="1" t="inlineStr">
        <is>
          <t>RT 650 SARI VİNÇ</t>
        </is>
      </c>
      <c r="E2405" s="1" t="inlineStr">
        <is>
          <t>ALİHAN DUMAN</t>
        </is>
      </c>
      <c r="F2405" s="3" t="n"/>
      <c r="G2405" s="143" t="n"/>
      <c r="H2405" s="143" t="n">
        <v>200</v>
      </c>
      <c r="I2405" s="143">
        <f>+I2404+(G2405-H2405)</f>
        <v/>
      </c>
      <c r="J2405" s="144" t="n">
        <v>37.75</v>
      </c>
      <c r="K2405" s="145" t="n"/>
      <c r="L2405" s="140">
        <f>+H2405*J2405</f>
        <v/>
      </c>
      <c r="M2405" s="141">
        <f>SUM(M2404+K2405-L2405)</f>
        <v/>
      </c>
    </row>
    <row r="2406">
      <c r="A2406" s="20" t="n">
        <v>45795</v>
      </c>
      <c r="B2406" s="1" t="n">
        <v>15769</v>
      </c>
      <c r="C2406" s="2" t="inlineStr">
        <is>
          <t>GÜRSES</t>
        </is>
      </c>
      <c r="D2406" s="1" t="inlineStr">
        <is>
          <t>SM 300</t>
        </is>
      </c>
      <c r="E2406" s="1" t="inlineStr">
        <is>
          <t>TEVFİK ÖZTÜRK</t>
        </is>
      </c>
      <c r="F2406" s="3" t="n"/>
      <c r="G2406" s="143" t="n"/>
      <c r="H2406" s="143" t="n">
        <v>333</v>
      </c>
      <c r="I2406" s="143">
        <f>+I2405+(G2406-H2406)</f>
        <v/>
      </c>
      <c r="J2406" s="144" t="n">
        <v>37.75</v>
      </c>
      <c r="K2406" s="145" t="n"/>
      <c r="L2406" s="140">
        <f>+H2406*J2406</f>
        <v/>
      </c>
      <c r="M2406" s="141">
        <f>SUM(M2405+K2406-L2406)</f>
        <v/>
      </c>
    </row>
    <row r="2407">
      <c r="A2407" s="20" t="n">
        <v>45796</v>
      </c>
      <c r="B2407" s="21" t="n">
        <v>11220</v>
      </c>
      <c r="C2407" s="22" t="inlineStr">
        <is>
          <t>SELİM İNŞAAT</t>
        </is>
      </c>
      <c r="D2407" s="21" t="inlineStr">
        <is>
          <t>34 DSN 636</t>
        </is>
      </c>
      <c r="E2407" s="21" t="inlineStr">
        <is>
          <t>İLHAN YÜRÜK</t>
        </is>
      </c>
      <c r="F2407" s="23" t="n">
        <v>385295</v>
      </c>
      <c r="G2407" s="138" t="n"/>
      <c r="H2407" s="138" t="n">
        <v>456</v>
      </c>
      <c r="I2407" s="138">
        <f>+I2406+(G2407-H2407)</f>
        <v/>
      </c>
      <c r="J2407" s="139" t="n">
        <v>37.75</v>
      </c>
      <c r="K2407" s="140" t="n"/>
      <c r="L2407" s="140">
        <f>+H2407*J2407</f>
        <v/>
      </c>
      <c r="M2407" s="141">
        <f>SUM(M2406+K2407-L2407)</f>
        <v/>
      </c>
    </row>
    <row r="2408">
      <c r="A2408" s="20" t="n">
        <v>45796</v>
      </c>
      <c r="B2408" s="21" t="n">
        <v>10198</v>
      </c>
      <c r="C2408" s="22" t="inlineStr">
        <is>
          <t>SELİM İNŞAAT</t>
        </is>
      </c>
      <c r="D2408" s="21" t="inlineStr">
        <is>
          <t>34 EGR 736</t>
        </is>
      </c>
      <c r="E2408" s="21" t="inlineStr">
        <is>
          <t>HAKAN ÇAVUŞOĞLU</t>
        </is>
      </c>
      <c r="F2408" s="23" t="n">
        <v>384349</v>
      </c>
      <c r="G2408" s="138" t="n"/>
      <c r="H2408" s="138" t="n">
        <v>447</v>
      </c>
      <c r="I2408" s="138">
        <f>+I2407+(G2408-H2408)</f>
        <v/>
      </c>
      <c r="J2408" s="139" t="n">
        <v>37.75</v>
      </c>
      <c r="K2408" s="140" t="n"/>
      <c r="L2408" s="140">
        <f>+H2408*J2408</f>
        <v/>
      </c>
      <c r="M2408" s="141">
        <f>SUM(M2407+K2408-L2408)</f>
        <v/>
      </c>
    </row>
    <row r="2409">
      <c r="A2409" s="20" t="n">
        <v>45796</v>
      </c>
      <c r="B2409" s="21" t="n">
        <v>15564</v>
      </c>
      <c r="C2409" s="22" t="inlineStr">
        <is>
          <t>SELİM İNŞAAT</t>
        </is>
      </c>
      <c r="D2409" s="21" t="inlineStr">
        <is>
          <t>34 GVZ 745</t>
        </is>
      </c>
      <c r="E2409" s="21" t="inlineStr">
        <is>
          <t>MUHAMMED YİĞİT</t>
        </is>
      </c>
      <c r="F2409" s="23" t="n">
        <v>182742</v>
      </c>
      <c r="G2409" s="138" t="n"/>
      <c r="H2409" s="138" t="n">
        <v>353</v>
      </c>
      <c r="I2409" s="138">
        <f>+I2408+(G2409-H2409)</f>
        <v/>
      </c>
      <c r="J2409" s="139" t="n">
        <v>37.75</v>
      </c>
      <c r="K2409" s="140" t="n"/>
      <c r="L2409" s="140">
        <f>+H2409*J2409</f>
        <v/>
      </c>
      <c r="M2409" s="141">
        <f>SUM(M2408+K2409-L2409)</f>
        <v/>
      </c>
    </row>
    <row r="2410">
      <c r="A2410" s="20" t="n">
        <v>45796</v>
      </c>
      <c r="B2410" s="21" t="n">
        <v>10091</v>
      </c>
      <c r="C2410" s="22" t="inlineStr">
        <is>
          <t>SELİM İNŞAAT</t>
        </is>
      </c>
      <c r="D2410" s="21" t="inlineStr">
        <is>
          <t>34 FBR 771</t>
        </is>
      </c>
      <c r="E2410" s="21" t="inlineStr">
        <is>
          <t>HÜSEYİN AKÇİN</t>
        </is>
      </c>
      <c r="F2410" s="23" t="n">
        <v>313314</v>
      </c>
      <c r="G2410" s="138" t="n"/>
      <c r="H2410" s="138" t="n">
        <v>420</v>
      </c>
      <c r="I2410" s="138">
        <f>+I2409+(G2410-H2410)</f>
        <v/>
      </c>
      <c r="J2410" s="139" t="n">
        <v>37.75</v>
      </c>
      <c r="K2410" s="140" t="n"/>
      <c r="L2410" s="140">
        <f>+H2410*J2410</f>
        <v/>
      </c>
      <c r="M2410" s="141">
        <f>SUM(M2409+K2410-L2410)</f>
        <v/>
      </c>
    </row>
    <row r="2411">
      <c r="A2411" s="20" t="n">
        <v>45796</v>
      </c>
      <c r="B2411" s="21" t="n">
        <v>15509</v>
      </c>
      <c r="C2411" s="22" t="inlineStr">
        <is>
          <t>SELİM İNŞAAT</t>
        </is>
      </c>
      <c r="D2411" s="21" t="inlineStr">
        <is>
          <t>34 EDC 086</t>
        </is>
      </c>
      <c r="E2411" s="21" t="inlineStr">
        <is>
          <t>ÖMER AĞAYAR</t>
        </is>
      </c>
      <c r="F2411" s="23" t="n">
        <v>321467</v>
      </c>
      <c r="G2411" s="138" t="n"/>
      <c r="H2411" s="138" t="n">
        <v>266</v>
      </c>
      <c r="I2411" s="138">
        <f>+I2410+(G2411-H2411)</f>
        <v/>
      </c>
      <c r="J2411" s="139" t="n">
        <v>37.75</v>
      </c>
      <c r="K2411" s="140" t="n"/>
      <c r="L2411" s="140">
        <f>+H2411*J2411</f>
        <v/>
      </c>
      <c r="M2411" s="141">
        <f>SUM(M2410+K2411-L2411)</f>
        <v/>
      </c>
    </row>
    <row r="2412">
      <c r="A2412" s="20" t="n">
        <v>45796</v>
      </c>
      <c r="B2412" s="21" t="n">
        <v>10297</v>
      </c>
      <c r="C2412" s="22" t="inlineStr">
        <is>
          <t>SELİM İNŞAAT</t>
        </is>
      </c>
      <c r="D2412" s="21" t="inlineStr">
        <is>
          <t>34 FBR 748</t>
        </is>
      </c>
      <c r="E2412" s="21" t="inlineStr">
        <is>
          <t>YAŞAR ÖZKAYA</t>
        </is>
      </c>
      <c r="F2412" s="23" t="n">
        <v>274932</v>
      </c>
      <c r="G2412" s="138" t="n"/>
      <c r="H2412" s="138" t="n">
        <v>416</v>
      </c>
      <c r="I2412" s="138">
        <f>+I2411+(G2412-H2412)</f>
        <v/>
      </c>
      <c r="J2412" s="139" t="n">
        <v>37.75</v>
      </c>
      <c r="K2412" s="140" t="n"/>
      <c r="L2412" s="140">
        <f>+H2412*J2412</f>
        <v/>
      </c>
      <c r="M2412" s="141">
        <f>SUM(M2411+K2412-L2412)</f>
        <v/>
      </c>
    </row>
    <row r="2413">
      <c r="A2413" s="20" t="n">
        <v>45796</v>
      </c>
      <c r="B2413" s="21" t="n">
        <v>15304</v>
      </c>
      <c r="C2413" s="22" t="inlineStr">
        <is>
          <t>SELİM İNŞAAT</t>
        </is>
      </c>
      <c r="D2413" s="21" t="inlineStr">
        <is>
          <t>34 EDC 162</t>
        </is>
      </c>
      <c r="E2413" s="21" t="inlineStr">
        <is>
          <t xml:space="preserve">YAKUP GÜNER </t>
        </is>
      </c>
      <c r="F2413" s="23" t="n">
        <v>364264</v>
      </c>
      <c r="G2413" s="138" t="n"/>
      <c r="H2413" s="138" t="n">
        <v>360</v>
      </c>
      <c r="I2413" s="138">
        <f>+I2412+(G2413-H2413)</f>
        <v/>
      </c>
      <c r="J2413" s="139" t="n">
        <v>37.75</v>
      </c>
      <c r="K2413" s="140" t="n"/>
      <c r="L2413" s="140">
        <f>+H2413*J2413</f>
        <v/>
      </c>
      <c r="M2413" s="141">
        <f>SUM(M2412+K2413-L2413)</f>
        <v/>
      </c>
    </row>
    <row r="2414">
      <c r="A2414" s="20" t="n">
        <v>45796</v>
      </c>
      <c r="B2414" s="21" t="n">
        <v>14479</v>
      </c>
      <c r="C2414" s="22" t="inlineStr">
        <is>
          <t>SELİM İNŞAAT</t>
        </is>
      </c>
      <c r="D2414" s="21" t="inlineStr">
        <is>
          <t>34 GUS 848</t>
        </is>
      </c>
      <c r="E2414" s="21" t="inlineStr">
        <is>
          <t>SERDAR BOZKURT</t>
        </is>
      </c>
      <c r="F2414" s="23" t="n">
        <v>187442</v>
      </c>
      <c r="G2414" s="138" t="n"/>
      <c r="H2414" s="138" t="n">
        <v>267</v>
      </c>
      <c r="I2414" s="138">
        <f>+I2413+(G2414-H2414)</f>
        <v/>
      </c>
      <c r="J2414" s="139" t="n">
        <v>37.75</v>
      </c>
      <c r="K2414" s="140" t="n"/>
      <c r="L2414" s="140">
        <f>+H2414*J2414</f>
        <v/>
      </c>
      <c r="M2414" s="141">
        <f>SUM(M2413+K2414-L2414)</f>
        <v/>
      </c>
    </row>
    <row r="2415">
      <c r="A2415" s="20" t="n">
        <v>45796</v>
      </c>
      <c r="B2415" s="21" t="n">
        <v>10541</v>
      </c>
      <c r="C2415" s="22" t="inlineStr">
        <is>
          <t>SELİM İNŞAAT</t>
        </is>
      </c>
      <c r="D2415" s="21" t="inlineStr">
        <is>
          <t>34 EDB 922</t>
        </is>
      </c>
      <c r="E2415" s="21" t="inlineStr">
        <is>
          <t>AHMET TOPÇU</t>
        </is>
      </c>
      <c r="F2415" s="23" t="n">
        <v>356078</v>
      </c>
      <c r="G2415" s="138" t="n"/>
      <c r="H2415" s="138" t="n">
        <v>413</v>
      </c>
      <c r="I2415" s="138">
        <f>+I2414+(G2415-H2415)</f>
        <v/>
      </c>
      <c r="J2415" s="139" t="n">
        <v>37.75</v>
      </c>
      <c r="K2415" s="140" t="n"/>
      <c r="L2415" s="140">
        <f>+H2415*J2415</f>
        <v/>
      </c>
      <c r="M2415" s="141">
        <f>SUM(M2414+K2415-L2415)</f>
        <v/>
      </c>
    </row>
    <row r="2416">
      <c r="A2416" s="20" t="n">
        <v>45796</v>
      </c>
      <c r="B2416" s="21" t="n">
        <v>11149</v>
      </c>
      <c r="C2416" s="22" t="inlineStr">
        <is>
          <t>SELİM İNŞAAT</t>
        </is>
      </c>
      <c r="D2416" s="21" t="inlineStr">
        <is>
          <t>34 DTV 409</t>
        </is>
      </c>
      <c r="E2416" s="21" t="inlineStr">
        <is>
          <t>ONUR CANLI</t>
        </is>
      </c>
      <c r="F2416" s="23" t="n">
        <v>413173</v>
      </c>
      <c r="G2416" s="138" t="n"/>
      <c r="H2416" s="138" t="n">
        <v>231</v>
      </c>
      <c r="I2416" s="138">
        <f>+I2415+(G2416-H2416)</f>
        <v/>
      </c>
      <c r="J2416" s="139" t="n">
        <v>37.75</v>
      </c>
      <c r="K2416" s="140" t="n"/>
      <c r="L2416" s="140">
        <f>+H2416*J2416</f>
        <v/>
      </c>
      <c r="M2416" s="141">
        <f>SUM(M2415+K2416-L2416)</f>
        <v/>
      </c>
    </row>
    <row r="2417">
      <c r="A2417" s="20" t="n">
        <v>45796</v>
      </c>
      <c r="B2417" s="21" t="n">
        <v>11642</v>
      </c>
      <c r="C2417" s="22" t="inlineStr">
        <is>
          <t>SELİM İNŞAAT</t>
        </is>
      </c>
      <c r="D2417" s="21" t="inlineStr">
        <is>
          <t>34 DTV 352</t>
        </is>
      </c>
      <c r="E2417" s="21" t="inlineStr">
        <is>
          <t>RASİM BARTU</t>
        </is>
      </c>
      <c r="F2417" s="23" t="n">
        <v>428250</v>
      </c>
      <c r="G2417" s="138" t="n"/>
      <c r="H2417" s="138" t="n">
        <v>502</v>
      </c>
      <c r="I2417" s="138">
        <f>+I2416+(G2417-H2417)</f>
        <v/>
      </c>
      <c r="J2417" s="139" t="n">
        <v>37.75</v>
      </c>
      <c r="K2417" s="140" t="n"/>
      <c r="L2417" s="140">
        <f>+H2417*J2417</f>
        <v/>
      </c>
      <c r="M2417" s="141">
        <f>SUM(M2416+K2417-L2417)</f>
        <v/>
      </c>
    </row>
    <row r="2418">
      <c r="A2418" s="20" t="n">
        <v>45796</v>
      </c>
      <c r="B2418" s="21" t="n">
        <v>10346</v>
      </c>
      <c r="C2418" s="22" t="inlineStr">
        <is>
          <t>SELİM İNŞAAT</t>
        </is>
      </c>
      <c r="D2418" s="21" t="inlineStr">
        <is>
          <t>34 EDB 829</t>
        </is>
      </c>
      <c r="E2418" s="21" t="inlineStr">
        <is>
          <t>İSMET BAYRAM</t>
        </is>
      </c>
      <c r="F2418" s="23" t="n">
        <v>313656</v>
      </c>
      <c r="G2418" s="138" t="n"/>
      <c r="H2418" s="138" t="n">
        <v>365</v>
      </c>
      <c r="I2418" s="138">
        <f>+I2417+(G2418-H2418)</f>
        <v/>
      </c>
      <c r="J2418" s="139" t="n">
        <v>37.75</v>
      </c>
      <c r="K2418" s="140" t="n"/>
      <c r="L2418" s="140">
        <f>+H2418*J2418</f>
        <v/>
      </c>
      <c r="M2418" s="141">
        <f>SUM(M2417+K2418-L2418)</f>
        <v/>
      </c>
    </row>
    <row r="2419">
      <c r="A2419" s="20" t="n">
        <v>45796</v>
      </c>
      <c r="B2419" s="21" t="n">
        <v>14127</v>
      </c>
      <c r="C2419" s="22" t="inlineStr">
        <is>
          <t>SELİM İNŞAAT</t>
        </is>
      </c>
      <c r="D2419" s="21" t="inlineStr">
        <is>
          <t>34 DSN 536</t>
        </is>
      </c>
      <c r="E2419" s="21" t="inlineStr">
        <is>
          <t>DURSUN ALİ GÜREK</t>
        </is>
      </c>
      <c r="F2419" s="23" t="n">
        <v>400303</v>
      </c>
      <c r="G2419" s="138" t="n"/>
      <c r="H2419" s="138" t="n">
        <v>317</v>
      </c>
      <c r="I2419" s="138">
        <f>+I2418+(G2419-H2419)</f>
        <v/>
      </c>
      <c r="J2419" s="139" t="n">
        <v>37.75</v>
      </c>
      <c r="K2419" s="140" t="n"/>
      <c r="L2419" s="140">
        <f>+H2419*J2419</f>
        <v/>
      </c>
      <c r="M2419" s="141">
        <f>SUM(M2418+K2419-L2419)</f>
        <v/>
      </c>
    </row>
    <row r="2420">
      <c r="A2420" s="20" t="n">
        <v>45796</v>
      </c>
      <c r="B2420" s="21" t="n">
        <v>11737</v>
      </c>
      <c r="C2420" s="22" t="inlineStr">
        <is>
          <t>SELİM İNŞAAT</t>
        </is>
      </c>
      <c r="D2420" s="21" t="inlineStr">
        <is>
          <t>34 EDB 559</t>
        </is>
      </c>
      <c r="E2420" s="21" t="inlineStr">
        <is>
          <t>MUSTAFA KAYA</t>
        </is>
      </c>
      <c r="F2420" s="23" t="n">
        <v>317977</v>
      </c>
      <c r="G2420" s="138" t="n"/>
      <c r="H2420" s="138" t="n">
        <v>413</v>
      </c>
      <c r="I2420" s="138">
        <f>+I2419+(G2420-H2420)</f>
        <v/>
      </c>
      <c r="J2420" s="139" t="n">
        <v>37.75</v>
      </c>
      <c r="K2420" s="140" t="n"/>
      <c r="L2420" s="140">
        <f>+H2420*J2420</f>
        <v/>
      </c>
      <c r="M2420" s="141">
        <f>SUM(M2419+K2420-L2420)</f>
        <v/>
      </c>
    </row>
    <row r="2421">
      <c r="A2421" s="20" t="n">
        <v>45796</v>
      </c>
      <c r="B2421" s="21" t="n">
        <v>14421</v>
      </c>
      <c r="C2421" s="22" t="inlineStr">
        <is>
          <t>SELİM İNŞAAT</t>
        </is>
      </c>
      <c r="D2421" s="21" t="inlineStr">
        <is>
          <t>34 EGR 737</t>
        </is>
      </c>
      <c r="E2421" s="21" t="inlineStr">
        <is>
          <t>CEM MUHTAR</t>
        </is>
      </c>
      <c r="F2421" s="23" t="n">
        <v>408679</v>
      </c>
      <c r="G2421" s="138" t="n"/>
      <c r="H2421" s="138" t="n">
        <v>317</v>
      </c>
      <c r="I2421" s="138">
        <f>+I2420+(G2421-H2421)</f>
        <v/>
      </c>
      <c r="J2421" s="139" t="n">
        <v>37.75</v>
      </c>
      <c r="K2421" s="140" t="n"/>
      <c r="L2421" s="140">
        <f>+H2421*J2421</f>
        <v/>
      </c>
      <c r="M2421" s="141">
        <f>SUM(M2420+K2421-L2421)</f>
        <v/>
      </c>
    </row>
    <row r="2422">
      <c r="A2422" s="20" t="n">
        <v>45796</v>
      </c>
      <c r="B2422" s="21" t="n">
        <v>14816</v>
      </c>
      <c r="C2422" s="22" t="inlineStr">
        <is>
          <t>SELİM İNŞAAT</t>
        </is>
      </c>
      <c r="D2422" s="21" t="inlineStr">
        <is>
          <t>34 GVZ 268</t>
        </is>
      </c>
      <c r="E2422" s="21" t="inlineStr">
        <is>
          <t>KERİM KARAMAN</t>
        </is>
      </c>
      <c r="F2422" s="23" t="n">
        <v>187555</v>
      </c>
      <c r="G2422" s="138" t="n"/>
      <c r="H2422" s="138" t="n">
        <v>408</v>
      </c>
      <c r="I2422" s="138">
        <f>+I2421+(G2422-H2422)</f>
        <v/>
      </c>
      <c r="J2422" s="139" t="n">
        <v>37.75</v>
      </c>
      <c r="K2422" s="140" t="n"/>
      <c r="L2422" s="140">
        <f>+H2422*J2422</f>
        <v/>
      </c>
      <c r="M2422" s="141">
        <f>SUM(M2421+K2422-L2422)</f>
        <v/>
      </c>
    </row>
    <row r="2423">
      <c r="A2423" s="20" t="n">
        <v>45796</v>
      </c>
      <c r="B2423" s="21" t="n">
        <v>15205</v>
      </c>
      <c r="C2423" s="22" t="inlineStr">
        <is>
          <t>SELİM İNŞAAT</t>
        </is>
      </c>
      <c r="D2423" s="21" t="inlineStr">
        <is>
          <t>34 DSN 565</t>
        </is>
      </c>
      <c r="E2423" s="21" t="inlineStr">
        <is>
          <t>FUAT AYKUL</t>
        </is>
      </c>
      <c r="F2423" s="23" t="n">
        <v>398880</v>
      </c>
      <c r="G2423" s="138" t="n"/>
      <c r="H2423" s="138" t="n">
        <v>413</v>
      </c>
      <c r="I2423" s="138">
        <f>+I2422+(G2423-H2423)</f>
        <v/>
      </c>
      <c r="J2423" s="139" t="n">
        <v>37.75</v>
      </c>
      <c r="K2423" s="140" t="n"/>
      <c r="L2423" s="140">
        <f>+H2423*J2423</f>
        <v/>
      </c>
      <c r="M2423" s="141">
        <f>SUM(M2422+K2423-L2423)</f>
        <v/>
      </c>
    </row>
    <row r="2424">
      <c r="A2424" s="20" t="n">
        <v>45796</v>
      </c>
      <c r="B2424" s="21" t="n">
        <v>11940</v>
      </c>
      <c r="C2424" s="22" t="inlineStr">
        <is>
          <t>SELİM İNŞAAT</t>
        </is>
      </c>
      <c r="D2424" s="21" t="inlineStr">
        <is>
          <t>34 FBR 742</t>
        </is>
      </c>
      <c r="E2424" s="21" t="inlineStr">
        <is>
          <t>MİKAİL BAYILMAZ</t>
        </is>
      </c>
      <c r="F2424" s="23" t="n">
        <v>313030</v>
      </c>
      <c r="G2424" s="138" t="n"/>
      <c r="H2424" s="138" t="n">
        <v>419</v>
      </c>
      <c r="I2424" s="138">
        <f>+I2423+(G2424-H2424)</f>
        <v/>
      </c>
      <c r="J2424" s="139" t="n">
        <v>37.75</v>
      </c>
      <c r="K2424" s="140" t="n"/>
      <c r="L2424" s="140">
        <f>+H2424*J2424</f>
        <v/>
      </c>
      <c r="M2424" s="141">
        <f>SUM(M2423+K2424-L2424)</f>
        <v/>
      </c>
    </row>
    <row r="2425">
      <c r="A2425" s="20" t="n">
        <v>45796</v>
      </c>
      <c r="B2425" s="21" t="n">
        <v>14228</v>
      </c>
      <c r="C2425" s="22" t="inlineStr">
        <is>
          <t>SELİM İNŞAAT</t>
        </is>
      </c>
      <c r="D2425" s="21" t="inlineStr">
        <is>
          <t xml:space="preserve">34 GUS 938 </t>
        </is>
      </c>
      <c r="E2425" s="21" t="inlineStr">
        <is>
          <t>MEHMET KAYA</t>
        </is>
      </c>
      <c r="F2425" s="23" t="n">
        <v>180727</v>
      </c>
      <c r="G2425" s="138" t="n"/>
      <c r="H2425" s="138" t="n">
        <v>368</v>
      </c>
      <c r="I2425" s="138">
        <f>+I2424+(G2425-H2425)</f>
        <v/>
      </c>
      <c r="J2425" s="139" t="n">
        <v>37.75</v>
      </c>
      <c r="K2425" s="140" t="n"/>
      <c r="L2425" s="140">
        <f>+H2425*J2425</f>
        <v/>
      </c>
      <c r="M2425" s="141">
        <f>SUM(M2424+K2425-L2425)</f>
        <v/>
      </c>
    </row>
    <row r="2426">
      <c r="A2426" s="20" t="n">
        <v>45796</v>
      </c>
      <c r="B2426" s="21" t="n">
        <v>10648</v>
      </c>
      <c r="C2426" s="22" t="inlineStr">
        <is>
          <t>SELİM İNŞAAT</t>
        </is>
      </c>
      <c r="D2426" s="21" t="inlineStr">
        <is>
          <t>34 EDB 754</t>
        </is>
      </c>
      <c r="E2426" s="21" t="inlineStr">
        <is>
          <t>EMİN PARLAKKILIÇ</t>
        </is>
      </c>
      <c r="F2426" s="23" t="n">
        <v>316293</v>
      </c>
      <c r="G2426" s="138" t="n"/>
      <c r="H2426" s="138" t="n">
        <v>439</v>
      </c>
      <c r="I2426" s="138">
        <f>+I2425+(G2426-H2426)</f>
        <v/>
      </c>
      <c r="J2426" s="139" t="n">
        <v>37.75</v>
      </c>
      <c r="K2426" s="140" t="n"/>
      <c r="L2426" s="140">
        <f>+H2426*J2426</f>
        <v/>
      </c>
      <c r="M2426" s="141">
        <f>SUM(M2425+K2426-L2426)</f>
        <v/>
      </c>
    </row>
    <row r="2427">
      <c r="A2427" s="20" t="n">
        <v>45796</v>
      </c>
      <c r="B2427" s="21" t="n">
        <v>15014</v>
      </c>
      <c r="C2427" s="22" t="inlineStr">
        <is>
          <t>SELİM İNŞAAT</t>
        </is>
      </c>
      <c r="D2427" s="21" t="inlineStr">
        <is>
          <t>34 GVZ 199</t>
        </is>
      </c>
      <c r="E2427" s="21" t="inlineStr">
        <is>
          <t>VAHDET GÜRLER</t>
        </is>
      </c>
      <c r="F2427" s="23" t="n">
        <v>175363</v>
      </c>
      <c r="G2427" s="138" t="n"/>
      <c r="H2427" s="138" t="n">
        <v>388</v>
      </c>
      <c r="I2427" s="138">
        <f>+I2426+(G2427-H2427)</f>
        <v/>
      </c>
      <c r="J2427" s="139" t="n">
        <v>37.75</v>
      </c>
      <c r="K2427" s="140" t="n"/>
      <c r="L2427" s="140">
        <f>+H2427*J2427</f>
        <v/>
      </c>
      <c r="M2427" s="141">
        <f>SUM(M2426+K2427-L2427)</f>
        <v/>
      </c>
    </row>
    <row r="2428">
      <c r="A2428" s="20" t="n">
        <v>45796</v>
      </c>
      <c r="B2428" s="21" t="n">
        <v>14030</v>
      </c>
      <c r="C2428" s="22" t="inlineStr">
        <is>
          <t>SELİM İNŞAAT</t>
        </is>
      </c>
      <c r="D2428" s="21" t="inlineStr">
        <is>
          <t>34 GVZ 310</t>
        </is>
      </c>
      <c r="E2428" s="21" t="inlineStr">
        <is>
          <t>CELAL YÜZBAŞI</t>
        </is>
      </c>
      <c r="F2428" s="23" t="n">
        <v>192314</v>
      </c>
      <c r="G2428" s="138" t="n"/>
      <c r="H2428" s="138" t="n">
        <v>403</v>
      </c>
      <c r="I2428" s="138">
        <f>+I2427+(G2428-H2428)</f>
        <v/>
      </c>
      <c r="J2428" s="139" t="n">
        <v>37.75</v>
      </c>
      <c r="K2428" s="140" t="n"/>
      <c r="L2428" s="140">
        <f>+H2428*J2428</f>
        <v/>
      </c>
      <c r="M2428" s="141">
        <f>SUM(M2427+K2428-L2428)</f>
        <v/>
      </c>
    </row>
    <row r="2429">
      <c r="A2429" s="20" t="n">
        <v>45796</v>
      </c>
      <c r="B2429" s="21" t="n">
        <v>21621</v>
      </c>
      <c r="C2429" s="22" t="inlineStr">
        <is>
          <t>SELİM İNŞAAT</t>
        </is>
      </c>
      <c r="D2429" s="21" t="inlineStr">
        <is>
          <t>34 DHC 467</t>
        </is>
      </c>
      <c r="E2429" s="21" t="inlineStr">
        <is>
          <t>ERSEL DERVİŞ</t>
        </is>
      </c>
      <c r="F2429" s="23" t="n">
        <v>399863</v>
      </c>
      <c r="G2429" s="138" t="n"/>
      <c r="H2429" s="138" t="n">
        <v>265</v>
      </c>
      <c r="I2429" s="138">
        <f>+I2428+(G2429-H2429)</f>
        <v/>
      </c>
      <c r="J2429" s="139" t="n">
        <v>37.75</v>
      </c>
      <c r="K2429" s="140" t="n"/>
      <c r="L2429" s="140">
        <f>+H2429*J2429</f>
        <v/>
      </c>
      <c r="M2429" s="141">
        <f>SUM(M2428+K2429-L2429)</f>
        <v/>
      </c>
    </row>
    <row r="2430">
      <c r="A2430" s="20" t="n">
        <v>45796</v>
      </c>
      <c r="B2430" s="21" t="n">
        <v>14334</v>
      </c>
      <c r="C2430" s="22" t="inlineStr">
        <is>
          <t>SELİM İNŞAAT</t>
        </is>
      </c>
      <c r="D2430" s="21" t="inlineStr">
        <is>
          <t>34 DKL 866</t>
        </is>
      </c>
      <c r="E2430" s="21" t="inlineStr">
        <is>
          <t>SELİM CAN ÖNVER</t>
        </is>
      </c>
      <c r="F2430" s="23" t="n">
        <v>65032</v>
      </c>
      <c r="G2430" s="138" t="n"/>
      <c r="H2430" s="138" t="n">
        <v>176</v>
      </c>
      <c r="I2430" s="138">
        <f>+I2429+(G2430-H2430)</f>
        <v/>
      </c>
      <c r="J2430" s="139" t="n">
        <v>37.75</v>
      </c>
      <c r="K2430" s="140" t="n"/>
      <c r="L2430" s="140">
        <f>+H2430*J2430</f>
        <v/>
      </c>
      <c r="M2430" s="141">
        <f>SUM(M2429+K2430-L2430)</f>
        <v/>
      </c>
    </row>
    <row r="2431">
      <c r="A2431" s="20" t="n">
        <v>45796</v>
      </c>
      <c r="B2431" s="21" t="n">
        <v>10150</v>
      </c>
      <c r="C2431" s="22" t="inlineStr">
        <is>
          <t>SELİM İNŞAAT</t>
        </is>
      </c>
      <c r="D2431" s="21" t="inlineStr">
        <is>
          <t>34 DP 4161</t>
        </is>
      </c>
      <c r="E2431" s="21" t="inlineStr">
        <is>
          <t>RIFAT KARATAY</t>
        </is>
      </c>
      <c r="F2431" s="23" t="n">
        <v>284829</v>
      </c>
      <c r="G2431" s="138" t="n"/>
      <c r="H2431" s="138" t="n">
        <v>194</v>
      </c>
      <c r="I2431" s="138">
        <f>+I2430+(G2431-H2431)</f>
        <v/>
      </c>
      <c r="J2431" s="139" t="n">
        <v>37.75</v>
      </c>
      <c r="K2431" s="140" t="n"/>
      <c r="L2431" s="140">
        <f>+H2431*J2431</f>
        <v/>
      </c>
      <c r="M2431" s="141">
        <f>SUM(M2430+K2431-L2431)</f>
        <v/>
      </c>
    </row>
    <row r="2432">
      <c r="A2432" s="20" t="n">
        <v>45796</v>
      </c>
      <c r="B2432" s="21" t="n">
        <v>20540</v>
      </c>
      <c r="C2432" s="22" t="inlineStr">
        <is>
          <t>SELİM İNŞAAT</t>
        </is>
      </c>
      <c r="D2432" s="21" t="inlineStr">
        <is>
          <t>34 VF 2620</t>
        </is>
      </c>
      <c r="E2432" s="21" t="inlineStr">
        <is>
          <t>RECEP SELİM</t>
        </is>
      </c>
      <c r="F2432" s="23" t="n">
        <v>185554</v>
      </c>
      <c r="G2432" s="138" t="n"/>
      <c r="H2432" s="138" t="n">
        <v>81</v>
      </c>
      <c r="I2432" s="138">
        <f>+I2431+(G2432-H2432)</f>
        <v/>
      </c>
      <c r="J2432" s="139" t="n">
        <v>37.75</v>
      </c>
      <c r="K2432" s="140" t="n"/>
      <c r="L2432" s="140">
        <f>+H2432*J2432</f>
        <v/>
      </c>
      <c r="M2432" s="141">
        <f>SUM(M2431+K2432-L2432)</f>
        <v/>
      </c>
    </row>
    <row r="2433">
      <c r="A2433" s="20" t="n">
        <v>45796</v>
      </c>
      <c r="B2433" s="21" t="n">
        <v>15654</v>
      </c>
      <c r="C2433" s="22" t="inlineStr">
        <is>
          <t>METİN ERYİĞİT</t>
        </is>
      </c>
      <c r="D2433" s="21" t="inlineStr">
        <is>
          <t>34 EGR 814</t>
        </is>
      </c>
      <c r="E2433" s="21" t="inlineStr">
        <is>
          <t>GÜRAY KOYUNCU</t>
        </is>
      </c>
      <c r="F2433" s="23" t="n">
        <v>535376</v>
      </c>
      <c r="G2433" s="138" t="n"/>
      <c r="H2433" s="138" t="n">
        <v>474</v>
      </c>
      <c r="I2433" s="138">
        <f>+I2432+(G2433-H2433)</f>
        <v/>
      </c>
      <c r="J2433" s="139" t="n">
        <v>37.75</v>
      </c>
      <c r="K2433" s="140" t="n"/>
      <c r="L2433" s="140">
        <f>+H2433*J2433</f>
        <v/>
      </c>
      <c r="M2433" s="141">
        <f>SUM(M2432+K2433-L2433)</f>
        <v/>
      </c>
    </row>
    <row r="2434">
      <c r="A2434" s="20" t="n">
        <v>45796</v>
      </c>
      <c r="B2434" s="21" t="n">
        <v>14728</v>
      </c>
      <c r="C2434" s="22" t="inlineStr">
        <is>
          <t>METİN ERYİĞİT</t>
        </is>
      </c>
      <c r="D2434" s="21" t="inlineStr">
        <is>
          <t>34 GBL 998</t>
        </is>
      </c>
      <c r="E2434" s="21" t="inlineStr">
        <is>
          <t>ALİ KESKİN</t>
        </is>
      </c>
      <c r="F2434" s="23" t="n">
        <v>261553</v>
      </c>
      <c r="G2434" s="138" t="n"/>
      <c r="H2434" s="138" t="n">
        <v>358</v>
      </c>
      <c r="I2434" s="138">
        <f>+I2433+(G2434-H2434)</f>
        <v/>
      </c>
      <c r="J2434" s="139" t="n">
        <v>37.75</v>
      </c>
      <c r="K2434" s="140" t="n"/>
      <c r="L2434" s="140">
        <f>+H2434*J2434</f>
        <v/>
      </c>
      <c r="M2434" s="141">
        <f>SUM(M2433+K2434-L2434)</f>
        <v/>
      </c>
    </row>
    <row r="2435">
      <c r="A2435" s="20" t="n">
        <v>45796</v>
      </c>
      <c r="B2435" s="21" t="n">
        <v>10050</v>
      </c>
      <c r="C2435" s="22" t="inlineStr">
        <is>
          <t>METİN ERYİĞİT</t>
        </is>
      </c>
      <c r="D2435" s="21" t="inlineStr">
        <is>
          <t>34 EGS 013</t>
        </is>
      </c>
      <c r="E2435" s="21" t="inlineStr">
        <is>
          <t xml:space="preserve">UĞUR DUMAN </t>
        </is>
      </c>
      <c r="F2435" s="23" t="n">
        <v>482683</v>
      </c>
      <c r="G2435" s="138" t="n"/>
      <c r="H2435" s="138" t="n">
        <v>212</v>
      </c>
      <c r="I2435" s="138">
        <f>+I2434+(G2435-H2435)</f>
        <v/>
      </c>
      <c r="J2435" s="139" t="n">
        <v>37.75</v>
      </c>
      <c r="K2435" s="140" t="n"/>
      <c r="L2435" s="140">
        <f>+H2435*J2435</f>
        <v/>
      </c>
      <c r="M2435" s="141">
        <f>SUM(M2434+K2435-L2435)</f>
        <v/>
      </c>
    </row>
    <row r="2436">
      <c r="A2436" s="20" t="n">
        <v>45796</v>
      </c>
      <c r="B2436" s="21" t="n">
        <v>14178</v>
      </c>
      <c r="C2436" s="22" t="inlineStr">
        <is>
          <t>AZGÜN YAPI</t>
        </is>
      </c>
      <c r="D2436" s="21" t="inlineStr">
        <is>
          <t>34 DTV 263</t>
        </is>
      </c>
      <c r="E2436" s="21" t="inlineStr">
        <is>
          <t>EDİP TORLAK</t>
        </is>
      </c>
      <c r="F2436" s="23" t="n">
        <v>377643</v>
      </c>
      <c r="G2436" s="138" t="n"/>
      <c r="H2436" s="138" t="n">
        <v>351</v>
      </c>
      <c r="I2436" s="138">
        <f>+I2435+(G2436-H2436)</f>
        <v/>
      </c>
      <c r="J2436" s="139" t="n">
        <v>37.75</v>
      </c>
      <c r="K2436" s="140" t="n"/>
      <c r="L2436" s="140">
        <f>+H2436*J2436</f>
        <v/>
      </c>
      <c r="M2436" s="141">
        <f>SUM(M2435+K2436-L2436)</f>
        <v/>
      </c>
    </row>
    <row r="2437">
      <c r="A2437" s="20" t="n">
        <v>45796</v>
      </c>
      <c r="B2437" s="21" t="n">
        <v>11325</v>
      </c>
      <c r="C2437" s="22" t="inlineStr">
        <is>
          <t>AZGÜN YAPI</t>
        </is>
      </c>
      <c r="D2437" s="21" t="inlineStr">
        <is>
          <t>34 MKT 859</t>
        </is>
      </c>
      <c r="E2437" s="21" t="inlineStr">
        <is>
          <t>HASAN ALTUN</t>
        </is>
      </c>
      <c r="F2437" s="23" t="n">
        <v>34217</v>
      </c>
      <c r="G2437" s="138" t="n"/>
      <c r="H2437" s="138" t="n">
        <v>1077</v>
      </c>
      <c r="I2437" s="138">
        <f>+I2436+(G2437-H2437)</f>
        <v/>
      </c>
      <c r="J2437" s="139" t="n">
        <v>37.75</v>
      </c>
      <c r="K2437" s="140" t="n"/>
      <c r="L2437" s="140">
        <f>+H2437*J2437</f>
        <v/>
      </c>
      <c r="M2437" s="141">
        <f>SUM(M2436+K2437-L2437)</f>
        <v/>
      </c>
    </row>
    <row r="2438">
      <c r="A2438" s="20" t="n">
        <v>45796</v>
      </c>
      <c r="B2438" s="21" t="n">
        <v>10387</v>
      </c>
      <c r="C2438" s="22" t="inlineStr">
        <is>
          <t>SELİM İNŞAAT</t>
        </is>
      </c>
      <c r="D2438" s="21" t="inlineStr">
        <is>
          <t>34 DRU 690</t>
        </is>
      </c>
      <c r="E2438" s="21" t="inlineStr">
        <is>
          <t>MURAT DEMİRBAŞ</t>
        </is>
      </c>
      <c r="F2438" s="23" t="n">
        <v>410644</v>
      </c>
      <c r="G2438" s="138" t="n"/>
      <c r="H2438" s="138" t="n">
        <v>214</v>
      </c>
      <c r="I2438" s="138">
        <f>+I2437+(G2438-H2438)</f>
        <v/>
      </c>
      <c r="J2438" s="139" t="n">
        <v>37.75</v>
      </c>
      <c r="K2438" s="140" t="n"/>
      <c r="L2438" s="140">
        <f>+H2438*J2438</f>
        <v/>
      </c>
      <c r="M2438" s="141">
        <f>SUM(M2437+K2438-L2438)</f>
        <v/>
      </c>
    </row>
    <row r="2439">
      <c r="A2439" s="20" t="n">
        <v>45796</v>
      </c>
      <c r="B2439" s="21" t="n">
        <v>10450</v>
      </c>
      <c r="C2439" s="22" t="inlineStr">
        <is>
          <t>SELİM İNŞAAT</t>
        </is>
      </c>
      <c r="D2439" s="21" t="inlineStr">
        <is>
          <t>34 FBR 781</t>
        </is>
      </c>
      <c r="E2439" s="21" t="inlineStr">
        <is>
          <t>MEVLÜT POLAT</t>
        </is>
      </c>
      <c r="F2439" s="23" t="n">
        <v>297348</v>
      </c>
      <c r="G2439" s="138" t="n"/>
      <c r="H2439" s="138" t="n">
        <v>343</v>
      </c>
      <c r="I2439" s="138">
        <f>+I2438+(G2439-H2439)</f>
        <v/>
      </c>
      <c r="J2439" s="139" t="n">
        <v>37.75</v>
      </c>
      <c r="K2439" s="140" t="n"/>
      <c r="L2439" s="140">
        <f>+H2439*J2439</f>
        <v/>
      </c>
      <c r="M2439" s="141">
        <f>SUM(M2438+K2439-L2439)</f>
        <v/>
      </c>
    </row>
    <row r="2440">
      <c r="A2440" s="20" t="n">
        <v>45796</v>
      </c>
      <c r="B2440" s="1" t="n">
        <v>15770</v>
      </c>
      <c r="C2440" s="2" t="inlineStr">
        <is>
          <t>GÜRSES</t>
        </is>
      </c>
      <c r="D2440" s="1" t="inlineStr">
        <is>
          <t>SM 370</t>
        </is>
      </c>
      <c r="E2440" s="1" t="inlineStr">
        <is>
          <t>TEKİN ŞEYLAN</t>
        </is>
      </c>
      <c r="F2440" s="3" t="n"/>
      <c r="G2440" s="143" t="n"/>
      <c r="H2440" s="143" t="n">
        <v>391</v>
      </c>
      <c r="I2440" s="143">
        <f>+I2439+(G2440-H2440)</f>
        <v/>
      </c>
      <c r="J2440" s="144" t="n">
        <v>37.75</v>
      </c>
      <c r="K2440" s="145" t="n"/>
      <c r="L2440" s="140">
        <f>+H2440*J2440</f>
        <v/>
      </c>
      <c r="M2440" s="141">
        <f>SUM(M2439+K2440-L2440)</f>
        <v/>
      </c>
    </row>
    <row r="2441">
      <c r="A2441" s="20" t="n">
        <v>45796</v>
      </c>
      <c r="B2441" s="1" t="n">
        <v>15771</v>
      </c>
      <c r="C2441" s="2" t="inlineStr">
        <is>
          <t>VARLIK</t>
        </is>
      </c>
      <c r="D2441" s="1" t="inlineStr">
        <is>
          <t>KAVAZAKİ</t>
        </is>
      </c>
      <c r="E2441" s="1" t="inlineStr">
        <is>
          <t>UFUK SEVAL</t>
        </is>
      </c>
      <c r="F2441" s="3" t="n"/>
      <c r="G2441" s="143" t="n"/>
      <c r="H2441" s="143" t="n">
        <v>106</v>
      </c>
      <c r="I2441" s="143">
        <f>+I2440+(G2441-H2441)</f>
        <v/>
      </c>
      <c r="J2441" s="144" t="n">
        <v>37.75</v>
      </c>
      <c r="K2441" s="145" t="n"/>
      <c r="L2441" s="140">
        <f>+H2441*J2441</f>
        <v/>
      </c>
      <c r="M2441" s="141">
        <f>SUM(M2440+K2441-L2441)</f>
        <v/>
      </c>
    </row>
    <row r="2442">
      <c r="A2442" s="20" t="n">
        <v>45797</v>
      </c>
      <c r="B2442" s="21" t="n">
        <v>632</v>
      </c>
      <c r="C2442" s="22" t="inlineStr">
        <is>
          <t>ÜNSOY TURİZM İNŞ.SAN.VE TİC.A.Ş.</t>
        </is>
      </c>
      <c r="D2442" s="21" t="n"/>
      <c r="E2442" s="21" t="n"/>
      <c r="F2442" s="23" t="n"/>
      <c r="G2442" s="138" t="n">
        <v>32418</v>
      </c>
      <c r="H2442" s="138" t="n"/>
      <c r="I2442" s="138">
        <f>+I2441+(G2442-H2442)</f>
        <v/>
      </c>
      <c r="J2442" s="139">
        <f>+K2442/G2442</f>
        <v/>
      </c>
      <c r="K2442" s="140" t="n">
        <v>1280115.5</v>
      </c>
      <c r="L2442" s="140">
        <f>+H2442*J2442</f>
        <v/>
      </c>
      <c r="M2442" s="141">
        <f>SUM(M2441+K2442-L2442)</f>
        <v/>
      </c>
    </row>
    <row r="2443">
      <c r="A2443" s="20" t="n">
        <v>45797</v>
      </c>
      <c r="B2443" s="21" t="n">
        <v>10092</v>
      </c>
      <c r="C2443" s="22" t="inlineStr">
        <is>
          <t>SELİM İNŞAAT</t>
        </is>
      </c>
      <c r="D2443" s="21" t="inlineStr">
        <is>
          <t>34 FBR 771</t>
        </is>
      </c>
      <c r="E2443" s="21" t="inlineStr">
        <is>
          <t>HÜSEYİN AKÇİN</t>
        </is>
      </c>
      <c r="F2443" s="23" t="n">
        <v>313972</v>
      </c>
      <c r="G2443" s="138" t="n"/>
      <c r="H2443" s="138" t="n">
        <v>306</v>
      </c>
      <c r="I2443" s="138">
        <f>+I2442+(G2443-H2443)</f>
        <v/>
      </c>
      <c r="J2443" s="139" t="n">
        <v>39.488</v>
      </c>
      <c r="K2443" s="140" t="n"/>
      <c r="L2443" s="140">
        <f>+H2443*J2443</f>
        <v/>
      </c>
      <c r="M2443" s="141">
        <f>SUM(M2442+K2443-L2443)</f>
        <v/>
      </c>
    </row>
    <row r="2444">
      <c r="A2444" s="20" t="n">
        <v>45797</v>
      </c>
      <c r="B2444" s="21" t="n">
        <v>14080</v>
      </c>
      <c r="C2444" s="22" t="inlineStr">
        <is>
          <t>SELİM İNŞAAT</t>
        </is>
      </c>
      <c r="D2444" s="21" t="inlineStr">
        <is>
          <t>34 EDB 659</t>
        </is>
      </c>
      <c r="E2444" s="21" t="inlineStr">
        <is>
          <t>MEHMET SAİT ANIK</t>
        </is>
      </c>
      <c r="F2444" s="23" t="n">
        <v>335195</v>
      </c>
      <c r="G2444" s="138" t="n"/>
      <c r="H2444" s="138" t="n">
        <v>388</v>
      </c>
      <c r="I2444" s="138">
        <f>+I2443+(G2444-H2444)</f>
        <v/>
      </c>
      <c r="J2444" s="139" t="n">
        <v>39.488</v>
      </c>
      <c r="K2444" s="140" t="n"/>
      <c r="L2444" s="140">
        <f>+H2444*J2444</f>
        <v/>
      </c>
      <c r="M2444" s="141">
        <f>SUM(M2443+K2444-L2444)</f>
        <v/>
      </c>
    </row>
    <row r="2445">
      <c r="A2445" s="20" t="n">
        <v>45797</v>
      </c>
      <c r="B2445" s="21" t="n">
        <v>10542</v>
      </c>
      <c r="C2445" s="22" t="inlineStr">
        <is>
          <t>SELİM İNŞAAT</t>
        </is>
      </c>
      <c r="D2445" s="21" t="inlineStr">
        <is>
          <t>34 EDB 922</t>
        </is>
      </c>
      <c r="E2445" s="21" t="inlineStr">
        <is>
          <t>AHMET TOPÇU</t>
        </is>
      </c>
      <c r="F2445" s="23" t="n">
        <v>356781</v>
      </c>
      <c r="G2445" s="138" t="n"/>
      <c r="H2445" s="138" t="n">
        <v>299</v>
      </c>
      <c r="I2445" s="138">
        <f>+I2444+(G2445-H2445)</f>
        <v/>
      </c>
      <c r="J2445" s="139" t="n">
        <v>39.488</v>
      </c>
      <c r="K2445" s="140" t="n"/>
      <c r="L2445" s="140">
        <f>+H2445*J2445</f>
        <v/>
      </c>
      <c r="M2445" s="141">
        <f>SUM(M2444+K2445-L2445)</f>
        <v/>
      </c>
    </row>
    <row r="2446">
      <c r="A2446" s="20" t="n">
        <v>45797</v>
      </c>
      <c r="B2446" s="21" t="n">
        <v>11738</v>
      </c>
      <c r="C2446" s="22" t="inlineStr">
        <is>
          <t>SELİM İNŞAAT</t>
        </is>
      </c>
      <c r="D2446" s="21" t="inlineStr">
        <is>
          <t>34 EDB 559</t>
        </is>
      </c>
      <c r="E2446" s="21" t="inlineStr">
        <is>
          <t>FERHAT GÜRLER</t>
        </is>
      </c>
      <c r="F2446" s="23" t="n">
        <v>318598</v>
      </c>
      <c r="G2446" s="138" t="n"/>
      <c r="H2446" s="138" t="n">
        <v>253</v>
      </c>
      <c r="I2446" s="138">
        <f>+I2445+(G2446-H2446)</f>
        <v/>
      </c>
      <c r="J2446" s="139" t="n">
        <v>39.488</v>
      </c>
      <c r="K2446" s="140" t="n"/>
      <c r="L2446" s="140">
        <f>+H2446*J2446</f>
        <v/>
      </c>
      <c r="M2446" s="141">
        <f>SUM(M2445+K2446-L2446)</f>
        <v/>
      </c>
    </row>
    <row r="2447">
      <c r="A2447" s="20" t="n">
        <v>45797</v>
      </c>
      <c r="B2447" s="21" t="n">
        <v>10794</v>
      </c>
      <c r="C2447" s="22" t="inlineStr">
        <is>
          <t>SELİM İNŞAAT</t>
        </is>
      </c>
      <c r="D2447" s="21" t="inlineStr">
        <is>
          <t>34 FBR 705</t>
        </is>
      </c>
      <c r="E2447" s="21" t="inlineStr">
        <is>
          <t>MESUT GÜRLER</t>
        </is>
      </c>
      <c r="F2447" s="23" t="n">
        <v>310753</v>
      </c>
      <c r="G2447" s="138" t="n"/>
      <c r="H2447" s="138" t="n">
        <v>585</v>
      </c>
      <c r="I2447" s="138">
        <f>+I2446+(G2447-H2447)</f>
        <v/>
      </c>
      <c r="J2447" s="139" t="n">
        <v>39.488</v>
      </c>
      <c r="K2447" s="140" t="n"/>
      <c r="L2447" s="140">
        <f>+H2447*J2447</f>
        <v/>
      </c>
      <c r="M2447" s="141">
        <f>SUM(M2446+K2447-L2447)</f>
        <v/>
      </c>
    </row>
    <row r="2448">
      <c r="A2448" s="20" t="n">
        <v>45797</v>
      </c>
      <c r="B2448" s="21" t="n">
        <v>10231</v>
      </c>
      <c r="C2448" s="22" t="inlineStr">
        <is>
          <t>SELİM İNŞAAT</t>
        </is>
      </c>
      <c r="D2448" s="21" t="inlineStr">
        <is>
          <t>34 DSN 621</t>
        </is>
      </c>
      <c r="E2448" s="21" t="inlineStr">
        <is>
          <t>MUSTAFA KAYA</t>
        </is>
      </c>
      <c r="F2448" s="23" t="n">
        <v>406026</v>
      </c>
      <c r="G2448" s="138" t="n"/>
      <c r="H2448" s="138" t="n">
        <v>329</v>
      </c>
      <c r="I2448" s="138">
        <f>+I2447+(G2448-H2448)</f>
        <v/>
      </c>
      <c r="J2448" s="139" t="n">
        <v>39.488</v>
      </c>
      <c r="K2448" s="140" t="n"/>
      <c r="L2448" s="140">
        <f>+H2448*J2448</f>
        <v/>
      </c>
      <c r="M2448" s="141">
        <f>SUM(M2447+K2448-L2448)</f>
        <v/>
      </c>
    </row>
    <row r="2449">
      <c r="A2449" s="20" t="n">
        <v>45797</v>
      </c>
      <c r="B2449" s="21" t="n">
        <v>14229</v>
      </c>
      <c r="C2449" s="22" t="inlineStr">
        <is>
          <t>SELİM İNŞAAT</t>
        </is>
      </c>
      <c r="D2449" s="21" t="inlineStr">
        <is>
          <t xml:space="preserve">34 GUS 938 </t>
        </is>
      </c>
      <c r="E2449" s="21" t="inlineStr">
        <is>
          <t>MEHMET KAYA</t>
        </is>
      </c>
      <c r="F2449" s="23" t="n">
        <v>181075</v>
      </c>
      <c r="G2449" s="138" t="n"/>
      <c r="H2449" s="138" t="n">
        <v>142</v>
      </c>
      <c r="I2449" s="138">
        <f>+I2448+(G2449-H2449)</f>
        <v/>
      </c>
      <c r="J2449" s="139" t="n">
        <v>39.488</v>
      </c>
      <c r="K2449" s="140" t="n"/>
      <c r="L2449" s="140">
        <f>+H2449*J2449</f>
        <v/>
      </c>
      <c r="M2449" s="141">
        <f>SUM(M2448+K2449-L2449)</f>
        <v/>
      </c>
    </row>
    <row r="2450">
      <c r="A2450" s="20" t="n">
        <v>45797</v>
      </c>
      <c r="B2450" s="21" t="n">
        <v>10649</v>
      </c>
      <c r="C2450" s="22" t="inlineStr">
        <is>
          <t>SELİM İNŞAAT</t>
        </is>
      </c>
      <c r="D2450" s="21" t="inlineStr">
        <is>
          <t>34 EDB 754</t>
        </is>
      </c>
      <c r="E2450" s="21" t="inlineStr">
        <is>
          <t>EMİN PARLAKKILIÇ</t>
        </is>
      </c>
      <c r="F2450" s="23" t="n">
        <v>316968</v>
      </c>
      <c r="G2450" s="138" t="n"/>
      <c r="H2450" s="138" t="n">
        <v>298</v>
      </c>
      <c r="I2450" s="138">
        <f>+I2449+(G2450-H2450)</f>
        <v/>
      </c>
      <c r="J2450" s="139" t="n">
        <v>39.488</v>
      </c>
      <c r="K2450" s="140" t="n"/>
      <c r="L2450" s="140">
        <f>+H2450*J2450</f>
        <v/>
      </c>
      <c r="M2450" s="141">
        <f>SUM(M2449+K2450-L2450)</f>
        <v/>
      </c>
    </row>
    <row r="2451">
      <c r="A2451" s="20" t="n">
        <v>45797</v>
      </c>
      <c r="B2451" s="21" t="n">
        <v>14754</v>
      </c>
      <c r="C2451" s="22" t="inlineStr">
        <is>
          <t>SELİM İNŞAAT</t>
        </is>
      </c>
      <c r="D2451" s="21" t="inlineStr">
        <is>
          <t>34 GYZ 635</t>
        </is>
      </c>
      <c r="E2451" s="21" t="inlineStr">
        <is>
          <t>ENGİN DEMİR</t>
        </is>
      </c>
      <c r="F2451" s="23" t="n">
        <v>167768</v>
      </c>
      <c r="G2451" s="138" t="n"/>
      <c r="H2451" s="138" t="n">
        <v>393</v>
      </c>
      <c r="I2451" s="138">
        <f>+I2450+(G2451-H2451)</f>
        <v/>
      </c>
      <c r="J2451" s="139" t="n">
        <v>39.488</v>
      </c>
      <c r="K2451" s="140" t="n"/>
      <c r="L2451" s="140">
        <f>+H2451*J2451</f>
        <v/>
      </c>
      <c r="M2451" s="141">
        <f>SUM(M2450+K2451-L2451)</f>
        <v/>
      </c>
    </row>
    <row r="2452">
      <c r="A2452" s="20" t="n">
        <v>45797</v>
      </c>
      <c r="B2452" s="21" t="n">
        <v>15015</v>
      </c>
      <c r="C2452" s="22" t="inlineStr">
        <is>
          <t>SELİM İNŞAAT</t>
        </is>
      </c>
      <c r="D2452" s="21" t="inlineStr">
        <is>
          <t>34 GVZ 199</t>
        </is>
      </c>
      <c r="E2452" s="21" t="inlineStr">
        <is>
          <t>VAHDET GÜRLER</t>
        </is>
      </c>
      <c r="F2452" s="23" t="n">
        <v>176044</v>
      </c>
      <c r="G2452" s="138" t="n"/>
      <c r="H2452" s="138" t="n">
        <v>287</v>
      </c>
      <c r="I2452" s="138">
        <f>+I2451+(G2452-H2452)</f>
        <v/>
      </c>
      <c r="J2452" s="139" t="n">
        <v>39.488</v>
      </c>
      <c r="K2452" s="140" t="n"/>
      <c r="L2452" s="140">
        <f>+H2452*J2452</f>
        <v/>
      </c>
      <c r="M2452" s="141">
        <f>SUM(M2451+K2452-L2452)</f>
        <v/>
      </c>
    </row>
    <row r="2453">
      <c r="A2453" s="20" t="n">
        <v>45797</v>
      </c>
      <c r="B2453" s="21" t="n">
        <v>11834</v>
      </c>
      <c r="C2453" s="22" t="inlineStr">
        <is>
          <t>SELİM İNŞAAT</t>
        </is>
      </c>
      <c r="D2453" s="21" t="inlineStr">
        <is>
          <t>34 FSG 229</t>
        </is>
      </c>
      <c r="E2453" s="21" t="inlineStr">
        <is>
          <t>SİNAN TANRIVERDİ</t>
        </is>
      </c>
      <c r="F2453" s="23" t="n">
        <v>253074</v>
      </c>
      <c r="G2453" s="138" t="n"/>
      <c r="H2453" s="138" t="n">
        <v>426</v>
      </c>
      <c r="I2453" s="138">
        <f>+I2452+(G2453-H2453)</f>
        <v/>
      </c>
      <c r="J2453" s="139" t="n">
        <v>39.488</v>
      </c>
      <c r="K2453" s="140" t="n"/>
      <c r="L2453" s="140">
        <f>+H2453*J2453</f>
        <v/>
      </c>
      <c r="M2453" s="141">
        <f>SUM(M2452+K2453-L2453)</f>
        <v/>
      </c>
    </row>
    <row r="2454">
      <c r="A2454" s="20" t="n">
        <v>45797</v>
      </c>
      <c r="B2454" s="21" t="n">
        <v>20197</v>
      </c>
      <c r="C2454" s="22" t="inlineStr">
        <is>
          <t>SELİM İNŞAAT</t>
        </is>
      </c>
      <c r="D2454" s="21" t="inlineStr">
        <is>
          <t>34 JGR 15</t>
        </is>
      </c>
      <c r="E2454" s="21" t="inlineStr">
        <is>
          <t>ŞERİF KARTAL</t>
        </is>
      </c>
      <c r="F2454" s="23" t="n">
        <v>309125</v>
      </c>
      <c r="G2454" s="138" t="n"/>
      <c r="H2454" s="138" t="n">
        <v>79</v>
      </c>
      <c r="I2454" s="138">
        <f>+I2453+(G2454-H2454)</f>
        <v/>
      </c>
      <c r="J2454" s="139" t="n">
        <v>39.488</v>
      </c>
      <c r="K2454" s="140" t="n"/>
      <c r="L2454" s="140">
        <f>+H2454*J2454</f>
        <v/>
      </c>
      <c r="M2454" s="141">
        <f>SUM(M2453+K2454-L2454)</f>
        <v/>
      </c>
    </row>
    <row r="2455">
      <c r="A2455" s="20" t="n">
        <v>45797</v>
      </c>
      <c r="B2455" s="21" t="n">
        <v>10577</v>
      </c>
      <c r="C2455" s="22" t="inlineStr">
        <is>
          <t>SELİM İNŞAAT</t>
        </is>
      </c>
      <c r="D2455" s="21" t="inlineStr">
        <is>
          <t>34 GU 945</t>
        </is>
      </c>
      <c r="E2455" s="21" t="inlineStr">
        <is>
          <t>TURAN SEVİNDİK</t>
        </is>
      </c>
      <c r="F2455" s="23" t="n">
        <v>445821</v>
      </c>
      <c r="G2455" s="138" t="n"/>
      <c r="H2455" s="138" t="n">
        <v>69</v>
      </c>
      <c r="I2455" s="138">
        <f>+I2454+(G2455-H2455)</f>
        <v/>
      </c>
      <c r="J2455" s="139" t="n">
        <v>39.488</v>
      </c>
      <c r="K2455" s="140" t="n"/>
      <c r="L2455" s="140">
        <f>+H2455*J2455</f>
        <v/>
      </c>
      <c r="M2455" s="141">
        <f>SUM(M2454+K2455-L2455)</f>
        <v/>
      </c>
    </row>
    <row r="2456">
      <c r="A2456" s="20" t="n">
        <v>45797</v>
      </c>
      <c r="B2456" s="21" t="n">
        <v>14629</v>
      </c>
      <c r="C2456" s="22" t="inlineStr">
        <is>
          <t>SELİM İNŞAAT</t>
        </is>
      </c>
      <c r="D2456" s="21" t="inlineStr">
        <is>
          <t>34 GER 445</t>
        </is>
      </c>
      <c r="E2456" s="21" t="inlineStr">
        <is>
          <t>HASAN BAYCAN</t>
        </is>
      </c>
      <c r="F2456" s="23" t="n">
        <v>41925</v>
      </c>
      <c r="G2456" s="138" t="n"/>
      <c r="H2456" s="138" t="n">
        <v>142</v>
      </c>
      <c r="I2456" s="138">
        <f>+I2455+(G2456-H2456)</f>
        <v/>
      </c>
      <c r="J2456" s="139" t="n">
        <v>39.488</v>
      </c>
      <c r="K2456" s="140" t="n"/>
      <c r="L2456" s="140">
        <f>+H2456*J2456</f>
        <v/>
      </c>
      <c r="M2456" s="141">
        <f>SUM(M2455+K2456-L2456)</f>
        <v/>
      </c>
    </row>
    <row r="2457">
      <c r="A2457" s="20" t="n">
        <v>45797</v>
      </c>
      <c r="B2457" s="21" t="n">
        <v>14686</v>
      </c>
      <c r="C2457" s="22" t="inlineStr">
        <is>
          <t>SELİM İNŞAAT</t>
        </is>
      </c>
      <c r="D2457" s="21" t="inlineStr">
        <is>
          <t>34 FVU 827</t>
        </is>
      </c>
      <c r="E2457" s="21" t="inlineStr">
        <is>
          <t>NUSRET ÖZDEMİR</t>
        </is>
      </c>
      <c r="F2457" s="23" t="n"/>
      <c r="G2457" s="138" t="n"/>
      <c r="H2457" s="138" t="n">
        <v>40</v>
      </c>
      <c r="I2457" s="138">
        <f>+I2456+(G2457-H2457)</f>
        <v/>
      </c>
      <c r="J2457" s="139" t="n">
        <v>39.488</v>
      </c>
      <c r="K2457" s="140" t="n"/>
      <c r="L2457" s="140">
        <f>+H2457*J2457</f>
        <v/>
      </c>
      <c r="M2457" s="141">
        <f>SUM(M2456+K2457-L2457)</f>
        <v/>
      </c>
    </row>
    <row r="2458">
      <c r="A2458" s="20" t="n">
        <v>45797</v>
      </c>
      <c r="B2458" s="21" t="n">
        <v>14179</v>
      </c>
      <c r="C2458" s="22" t="inlineStr">
        <is>
          <t>AZGÜN YAPI</t>
        </is>
      </c>
      <c r="D2458" s="21" t="inlineStr">
        <is>
          <t>34 DTV 263</t>
        </is>
      </c>
      <c r="E2458" s="21" t="inlineStr">
        <is>
          <t>EDİP TORLAK</t>
        </is>
      </c>
      <c r="F2458" s="23" t="n">
        <v>378342</v>
      </c>
      <c r="G2458" s="138" t="n"/>
      <c r="H2458" s="138" t="n">
        <v>343</v>
      </c>
      <c r="I2458" s="138">
        <f>+I2457+(G2458-H2458)</f>
        <v/>
      </c>
      <c r="J2458" s="139" t="n">
        <v>39.488</v>
      </c>
      <c r="K2458" s="140" t="n"/>
      <c r="L2458" s="140">
        <f>+H2458*J2458</f>
        <v/>
      </c>
      <c r="M2458" s="141">
        <f>SUM(M2457+K2458-L2458)</f>
        <v/>
      </c>
    </row>
    <row r="2459">
      <c r="A2459" s="20" t="n">
        <v>45797</v>
      </c>
      <c r="B2459" s="21" t="n">
        <v>11159</v>
      </c>
      <c r="C2459" s="22" t="inlineStr">
        <is>
          <t>SELİM İNŞAAT</t>
        </is>
      </c>
      <c r="D2459" s="21" t="inlineStr">
        <is>
          <t>34 HZ 1663</t>
        </is>
      </c>
      <c r="E2459" s="21" t="inlineStr">
        <is>
          <t>ÖNER DÜNDAR</t>
        </is>
      </c>
      <c r="F2459" s="23" t="n">
        <v>520776</v>
      </c>
      <c r="G2459" s="138" t="n"/>
      <c r="H2459" s="138" t="n">
        <v>529</v>
      </c>
      <c r="I2459" s="138">
        <f>+I2458+(G2459-H2459)</f>
        <v/>
      </c>
      <c r="J2459" s="139" t="n">
        <v>39.488</v>
      </c>
      <c r="K2459" s="140" t="n"/>
      <c r="L2459" s="140">
        <f>+H2459*J2459</f>
        <v/>
      </c>
      <c r="M2459" s="141">
        <f>SUM(M2458+K2459-L2459)</f>
        <v/>
      </c>
    </row>
    <row r="2460">
      <c r="A2460" s="20" t="n">
        <v>45797</v>
      </c>
      <c r="B2460" s="1" t="n">
        <v>15772</v>
      </c>
      <c r="C2460" s="2" t="inlineStr">
        <is>
          <t>VARLIK</t>
        </is>
      </c>
      <c r="D2460" s="1" t="inlineStr">
        <is>
          <t>SM 300</t>
        </is>
      </c>
      <c r="E2460" s="1" t="inlineStr">
        <is>
          <t>TURGUT SANCAK</t>
        </is>
      </c>
      <c r="F2460" s="3" t="n"/>
      <c r="G2460" s="143" t="n"/>
      <c r="H2460" s="143" t="n">
        <v>323</v>
      </c>
      <c r="I2460" s="143">
        <f>+I2459+(G2460-H2460)</f>
        <v/>
      </c>
      <c r="J2460" s="144" t="n">
        <v>39.488</v>
      </c>
      <c r="K2460" s="145" t="n"/>
      <c r="L2460" s="140">
        <f>+H2460*J2460</f>
        <v/>
      </c>
      <c r="M2460" s="141">
        <f>SUM(M2459+K2460-L2460)</f>
        <v/>
      </c>
    </row>
    <row r="2461">
      <c r="A2461" s="20" t="n">
        <v>45797</v>
      </c>
      <c r="B2461" s="1" t="n">
        <v>15773</v>
      </c>
      <c r="C2461" s="2" t="inlineStr">
        <is>
          <t>VARLIK</t>
        </is>
      </c>
      <c r="D2461" s="1" t="inlineStr">
        <is>
          <t>SM 350</t>
        </is>
      </c>
      <c r="E2461" s="1" t="inlineStr">
        <is>
          <t>BAYRAM SANCAK</t>
        </is>
      </c>
      <c r="F2461" s="3" t="n"/>
      <c r="G2461" s="143" t="n"/>
      <c r="H2461" s="143" t="n">
        <v>288</v>
      </c>
      <c r="I2461" s="143">
        <f>+I2460+(G2461-H2461)</f>
        <v/>
      </c>
      <c r="J2461" s="144" t="n">
        <v>39.488</v>
      </c>
      <c r="K2461" s="145" t="n"/>
      <c r="L2461" s="140">
        <f>+H2461*J2461</f>
        <v/>
      </c>
      <c r="M2461" s="141">
        <f>SUM(M2460+K2461-L2461)</f>
        <v/>
      </c>
    </row>
    <row r="2462">
      <c r="A2462" s="20" t="n">
        <v>45797</v>
      </c>
      <c r="B2462" s="1" t="n">
        <v>15774</v>
      </c>
      <c r="C2462" s="2" t="inlineStr">
        <is>
          <t>GÜRSES</t>
        </is>
      </c>
      <c r="D2462" s="1" t="inlineStr">
        <is>
          <t>SM 370</t>
        </is>
      </c>
      <c r="E2462" s="1" t="inlineStr">
        <is>
          <t>TEKİN ŞEYLAN</t>
        </is>
      </c>
      <c r="F2462" s="3" t="n"/>
      <c r="G2462" s="143" t="n"/>
      <c r="H2462" s="143" t="n">
        <v>351</v>
      </c>
      <c r="I2462" s="143">
        <f>+I2461+(G2462-H2462)</f>
        <v/>
      </c>
      <c r="J2462" s="144" t="n">
        <v>39.488</v>
      </c>
      <c r="K2462" s="145" t="n"/>
      <c r="L2462" s="140">
        <f>+H2462*J2462</f>
        <v/>
      </c>
      <c r="M2462" s="141">
        <f>SUM(M2461+K2462-L2462)</f>
        <v/>
      </c>
    </row>
    <row r="2463">
      <c r="A2463" s="20" t="n">
        <v>45797</v>
      </c>
      <c r="B2463" s="1" t="n">
        <v>15775</v>
      </c>
      <c r="C2463" s="2" t="inlineStr">
        <is>
          <t>VARLIK</t>
        </is>
      </c>
      <c r="D2463" s="1" t="inlineStr">
        <is>
          <t>KAVAZAKİ</t>
        </is>
      </c>
      <c r="E2463" s="1" t="inlineStr">
        <is>
          <t>UFUK SEVAL</t>
        </is>
      </c>
      <c r="F2463" s="3" t="n"/>
      <c r="G2463" s="143" t="n"/>
      <c r="H2463" s="143" t="n">
        <v>252</v>
      </c>
      <c r="I2463" s="143">
        <f>+I2462+(G2463-H2463)</f>
        <v/>
      </c>
      <c r="J2463" s="144" t="n">
        <v>39.488</v>
      </c>
      <c r="K2463" s="145" t="n"/>
      <c r="L2463" s="140">
        <f>+H2463*J2463</f>
        <v/>
      </c>
      <c r="M2463" s="141">
        <f>SUM(M2462+K2463-L2463)</f>
        <v/>
      </c>
    </row>
    <row r="2464">
      <c r="A2464" s="20" t="n">
        <v>45797</v>
      </c>
      <c r="B2464" s="1" t="n">
        <v>15776</v>
      </c>
      <c r="C2464" s="2" t="inlineStr">
        <is>
          <t>HASALTUN</t>
        </is>
      </c>
      <c r="D2464" s="1" t="inlineStr">
        <is>
          <t>SM 350</t>
        </is>
      </c>
      <c r="E2464" s="1" t="inlineStr">
        <is>
          <t>TEVFİK ÖZTÜRK</t>
        </is>
      </c>
      <c r="F2464" s="3" t="n"/>
      <c r="G2464" s="143" t="n"/>
      <c r="H2464" s="143" t="n">
        <v>149</v>
      </c>
      <c r="I2464" s="143">
        <f>+I2463+(G2464-H2464)</f>
        <v/>
      </c>
      <c r="J2464" s="144" t="n">
        <v>39.488</v>
      </c>
      <c r="K2464" s="145" t="n"/>
      <c r="L2464" s="140">
        <f>+H2464*J2464</f>
        <v/>
      </c>
      <c r="M2464" s="141">
        <f>SUM(M2463+K2464-L2464)</f>
        <v/>
      </c>
    </row>
    <row r="2465">
      <c r="A2465" s="20" t="n">
        <v>45797</v>
      </c>
      <c r="B2465" s="21" t="n">
        <v>15777</v>
      </c>
      <c r="C2465" s="22" t="inlineStr">
        <is>
          <t>EVKUR</t>
        </is>
      </c>
      <c r="D2465" s="21" t="inlineStr">
        <is>
          <t>FOKLİFT</t>
        </is>
      </c>
      <c r="E2465" s="21" t="inlineStr">
        <is>
          <t>FAHRİ KALFA</t>
        </is>
      </c>
      <c r="F2465" s="23" t="n"/>
      <c r="G2465" s="138" t="n"/>
      <c r="H2465" s="138" t="n">
        <v>90</v>
      </c>
      <c r="I2465" s="138">
        <f>+I2464+(G2465-H2465)</f>
        <v/>
      </c>
      <c r="J2465" s="139" t="n">
        <v>39.488</v>
      </c>
      <c r="K2465" s="140" t="n"/>
      <c r="L2465" s="140">
        <f>+H2465*J2465</f>
        <v/>
      </c>
      <c r="M2465" s="141">
        <f>SUM(M2464+K2465-L2465)</f>
        <v/>
      </c>
    </row>
    <row r="2466">
      <c r="A2466" s="20" t="n">
        <v>45797</v>
      </c>
      <c r="B2466" s="1" t="n">
        <v>15778</v>
      </c>
      <c r="C2466" s="2" t="inlineStr">
        <is>
          <t>EVKUR</t>
        </is>
      </c>
      <c r="D2466" s="1" t="inlineStr">
        <is>
          <t>KİRALIK KATO</t>
        </is>
      </c>
      <c r="E2466" s="1" t="inlineStr">
        <is>
          <t>BURAK BEY' İN TALİMATIYLA</t>
        </is>
      </c>
      <c r="F2466" s="3" t="n"/>
      <c r="G2466" s="143" t="n"/>
      <c r="H2466" s="143" t="n">
        <v>70</v>
      </c>
      <c r="I2466" s="143">
        <f>+I2465+(G2466-H2466)</f>
        <v/>
      </c>
      <c r="J2466" s="144" t="n">
        <v>39.488</v>
      </c>
      <c r="K2466" s="145" t="n"/>
      <c r="L2466" s="140">
        <f>+H2466*J2466</f>
        <v/>
      </c>
      <c r="M2466" s="141">
        <f>SUM(M2465+K2466-L2466)</f>
        <v/>
      </c>
    </row>
    <row r="2467">
      <c r="A2467" s="20" t="n">
        <v>45798</v>
      </c>
      <c r="B2467" s="21" t="n">
        <v>10199</v>
      </c>
      <c r="C2467" s="22" t="inlineStr">
        <is>
          <t>SELİM İNŞAAT</t>
        </is>
      </c>
      <c r="D2467" s="21" t="inlineStr">
        <is>
          <t>34 EGR 736</t>
        </is>
      </c>
      <c r="E2467" s="21" t="inlineStr">
        <is>
          <t>HAKAN ÇAVUŞOĞLU</t>
        </is>
      </c>
      <c r="F2467" s="23" t="n">
        <v>385222</v>
      </c>
      <c r="G2467" s="138" t="n"/>
      <c r="H2467" s="138" t="n">
        <v>426</v>
      </c>
      <c r="I2467" s="138">
        <f>+I2466+(G2467-H2467)</f>
        <v/>
      </c>
      <c r="J2467" s="139" t="n">
        <v>39.488</v>
      </c>
      <c r="K2467" s="140" t="n"/>
      <c r="L2467" s="140">
        <f>+H2467*J2467</f>
        <v/>
      </c>
      <c r="M2467" s="141">
        <f>SUM(M2466+K2467-L2467)</f>
        <v/>
      </c>
    </row>
    <row r="2468">
      <c r="A2468" s="20" t="n">
        <v>45798</v>
      </c>
      <c r="B2468" s="21" t="n">
        <v>15510</v>
      </c>
      <c r="C2468" s="22" t="inlineStr">
        <is>
          <t>SELİM İNŞAAT</t>
        </is>
      </c>
      <c r="D2468" s="21" t="inlineStr">
        <is>
          <t>34 EDC 086</t>
        </is>
      </c>
      <c r="E2468" s="21" t="inlineStr">
        <is>
          <t>ÖMER AĞAYAR</t>
        </is>
      </c>
      <c r="F2468" s="23" t="n">
        <v>322003</v>
      </c>
      <c r="G2468" s="138" t="n"/>
      <c r="H2468" s="138" t="n">
        <v>291</v>
      </c>
      <c r="I2468" s="138">
        <f>+I2467+(G2468-H2468)</f>
        <v/>
      </c>
      <c r="J2468" s="139" t="n">
        <v>39.488</v>
      </c>
      <c r="K2468" s="140" t="n"/>
      <c r="L2468" s="140">
        <f>+H2468*J2468</f>
        <v/>
      </c>
      <c r="M2468" s="141">
        <f>SUM(M2467+K2468-L2468)</f>
        <v/>
      </c>
    </row>
    <row r="2469">
      <c r="A2469" s="20" t="n">
        <v>45798</v>
      </c>
      <c r="B2469" s="21" t="n">
        <v>10298</v>
      </c>
      <c r="C2469" s="22" t="inlineStr">
        <is>
          <t>SELİM İNŞAAT</t>
        </is>
      </c>
      <c r="D2469" s="21" t="inlineStr">
        <is>
          <t>34 FBR 748</t>
        </is>
      </c>
      <c r="E2469" s="21" t="inlineStr">
        <is>
          <t>YAŞAR ÖZKAYA</t>
        </is>
      </c>
      <c r="F2469" s="23" t="n">
        <v>275657</v>
      </c>
      <c r="G2469" s="138" t="n"/>
      <c r="H2469" s="138" t="n">
        <v>377</v>
      </c>
      <c r="I2469" s="138">
        <f>+I2468+(G2469-H2469)</f>
        <v/>
      </c>
      <c r="J2469" s="139" t="n">
        <v>39.488</v>
      </c>
      <c r="K2469" s="140" t="n"/>
      <c r="L2469" s="140">
        <f>+H2469*J2469</f>
        <v/>
      </c>
      <c r="M2469" s="141">
        <f>SUM(M2468+K2469-L2469)</f>
        <v/>
      </c>
    </row>
    <row r="2470">
      <c r="A2470" s="20" t="n">
        <v>45798</v>
      </c>
      <c r="B2470" s="21" t="n">
        <v>15305</v>
      </c>
      <c r="C2470" s="22" t="inlineStr">
        <is>
          <t>SELİM İNŞAAT</t>
        </is>
      </c>
      <c r="D2470" s="21" t="inlineStr">
        <is>
          <t>34 EDC 162</t>
        </is>
      </c>
      <c r="E2470" s="21" t="inlineStr">
        <is>
          <t xml:space="preserve">YAKUP GÜNER </t>
        </is>
      </c>
      <c r="F2470" s="23" t="n">
        <v>365149</v>
      </c>
      <c r="G2470" s="138" t="n"/>
      <c r="H2470" s="138" t="n">
        <v>387</v>
      </c>
      <c r="I2470" s="138">
        <f>+I2469+(G2470-H2470)</f>
        <v/>
      </c>
      <c r="J2470" s="139" t="n">
        <v>39.488</v>
      </c>
      <c r="K2470" s="140" t="n"/>
      <c r="L2470" s="140">
        <f>+H2470*J2470</f>
        <v/>
      </c>
      <c r="M2470" s="141">
        <f>SUM(M2469+K2470-L2470)</f>
        <v/>
      </c>
    </row>
    <row r="2471">
      <c r="A2471" s="20" t="n">
        <v>45798</v>
      </c>
      <c r="B2471" s="21" t="n">
        <v>10347</v>
      </c>
      <c r="C2471" s="22" t="inlineStr">
        <is>
          <t>SELİM İNŞAAT</t>
        </is>
      </c>
      <c r="D2471" s="21" t="inlineStr">
        <is>
          <t>34 EDB 829</t>
        </is>
      </c>
      <c r="E2471" s="21" t="inlineStr">
        <is>
          <t>İSMET BAYRAM</t>
        </is>
      </c>
      <c r="F2471" s="23" t="n">
        <v>314357</v>
      </c>
      <c r="G2471" s="138" t="n"/>
      <c r="H2471" s="138" t="n">
        <v>327</v>
      </c>
      <c r="I2471" s="138">
        <f>+I2470+(G2471-H2471)</f>
        <v/>
      </c>
      <c r="J2471" s="139" t="n">
        <v>39.488</v>
      </c>
      <c r="K2471" s="140" t="n"/>
      <c r="L2471" s="140">
        <f>+H2471*J2471</f>
        <v/>
      </c>
      <c r="M2471" s="141">
        <f>SUM(M2470+K2471-L2471)</f>
        <v/>
      </c>
    </row>
    <row r="2472">
      <c r="A2472" s="20" t="n">
        <v>45798</v>
      </c>
      <c r="B2472" s="21" t="n">
        <v>11483</v>
      </c>
      <c r="C2472" s="22" t="inlineStr">
        <is>
          <t>METİN ŞİRİN</t>
        </is>
      </c>
      <c r="D2472" s="21" t="inlineStr">
        <is>
          <t>34 EGR 922</t>
        </is>
      </c>
      <c r="E2472" s="21" t="inlineStr">
        <is>
          <t>FARUK ÖZEN</t>
        </is>
      </c>
      <c r="F2472" s="23" t="n">
        <v>450031</v>
      </c>
      <c r="G2472" s="138" t="n"/>
      <c r="H2472" s="138" t="n">
        <v>498</v>
      </c>
      <c r="I2472" s="138">
        <f>+I2471+(G2472-H2472)</f>
        <v/>
      </c>
      <c r="J2472" s="139" t="n">
        <v>39.488</v>
      </c>
      <c r="K2472" s="140" t="n"/>
      <c r="L2472" s="140">
        <f>+H2472*J2472</f>
        <v/>
      </c>
      <c r="M2472" s="141">
        <f>SUM(M2471+K2472-L2472)</f>
        <v/>
      </c>
    </row>
    <row r="2473">
      <c r="A2473" s="20" t="n">
        <v>45798</v>
      </c>
      <c r="B2473" s="21" t="n">
        <v>14422</v>
      </c>
      <c r="C2473" s="22" t="inlineStr">
        <is>
          <t>SELİM İNŞAAT</t>
        </is>
      </c>
      <c r="D2473" s="21" t="inlineStr">
        <is>
          <t>34 EGR 737</t>
        </is>
      </c>
      <c r="E2473" s="21" t="inlineStr">
        <is>
          <t>CEM MUHTAR</t>
        </is>
      </c>
      <c r="F2473" s="23" t="n">
        <v>409312</v>
      </c>
      <c r="G2473" s="138" t="n"/>
      <c r="H2473" s="138" t="n">
        <v>393</v>
      </c>
      <c r="I2473" s="138">
        <f>+I2472+(G2473-H2473)</f>
        <v/>
      </c>
      <c r="J2473" s="139" t="n">
        <v>39.488</v>
      </c>
      <c r="K2473" s="140" t="n"/>
      <c r="L2473" s="140">
        <f>+H2473*J2473</f>
        <v/>
      </c>
      <c r="M2473" s="141">
        <f>SUM(M2472+K2473-L2473)</f>
        <v/>
      </c>
    </row>
    <row r="2474">
      <c r="A2474" s="20" t="n">
        <v>45798</v>
      </c>
      <c r="B2474" s="21" t="n">
        <v>14817</v>
      </c>
      <c r="C2474" s="22" t="inlineStr">
        <is>
          <t>SELİM İNŞAAT</t>
        </is>
      </c>
      <c r="D2474" s="21" t="inlineStr">
        <is>
          <t>34 GVZ 268</t>
        </is>
      </c>
      <c r="E2474" s="21" t="inlineStr">
        <is>
          <t>KERİM KARAMAN</t>
        </is>
      </c>
      <c r="F2474" s="23" t="n">
        <v>188200</v>
      </c>
      <c r="G2474" s="138" t="n"/>
      <c r="H2474" s="138" t="n">
        <v>286</v>
      </c>
      <c r="I2474" s="138">
        <f>+I2473+(G2474-H2474)</f>
        <v/>
      </c>
      <c r="J2474" s="139" t="n">
        <v>39.488</v>
      </c>
      <c r="K2474" s="140" t="n"/>
      <c r="L2474" s="140">
        <f>+H2474*J2474</f>
        <v/>
      </c>
      <c r="M2474" s="141">
        <f>SUM(M2473+K2474-L2474)</f>
        <v/>
      </c>
    </row>
    <row r="2475">
      <c r="A2475" s="20" t="n">
        <v>45798</v>
      </c>
      <c r="B2475" s="21" t="n">
        <v>11941</v>
      </c>
      <c r="C2475" s="22" t="inlineStr">
        <is>
          <t>SELİM İNŞAAT</t>
        </is>
      </c>
      <c r="D2475" s="21" t="inlineStr">
        <is>
          <t>34 FBR 742</t>
        </is>
      </c>
      <c r="E2475" s="21" t="inlineStr">
        <is>
          <t>MİKAİL BAYILMAZ</t>
        </is>
      </c>
      <c r="F2475" s="23" t="n">
        <v>313730</v>
      </c>
      <c r="G2475" s="138" t="n"/>
      <c r="H2475" s="138" t="n">
        <v>389</v>
      </c>
      <c r="I2475" s="138">
        <f>+I2474+(G2475-H2475)</f>
        <v/>
      </c>
      <c r="J2475" s="139" t="n">
        <v>39.488</v>
      </c>
      <c r="K2475" s="140" t="n"/>
      <c r="L2475" s="140">
        <f>+H2475*J2475</f>
        <v/>
      </c>
      <c r="M2475" s="141">
        <f>SUM(M2474+K2475-L2475)</f>
        <v/>
      </c>
    </row>
    <row r="2476">
      <c r="A2476" s="20" t="n">
        <v>45798</v>
      </c>
      <c r="B2476" s="21" t="n">
        <v>14230</v>
      </c>
      <c r="C2476" s="22" t="inlineStr">
        <is>
          <t>SELİM İNŞAAT</t>
        </is>
      </c>
      <c r="D2476" s="21" t="inlineStr">
        <is>
          <t xml:space="preserve">34 GUS 938 </t>
        </is>
      </c>
      <c r="E2476" s="21" t="inlineStr">
        <is>
          <t>MEHMET KAYA</t>
        </is>
      </c>
      <c r="F2476" s="23" t="n">
        <v>181714</v>
      </c>
      <c r="G2476" s="138" t="n"/>
      <c r="H2476" s="138" t="n">
        <v>284</v>
      </c>
      <c r="I2476" s="138">
        <f>+I2475+(G2476-H2476)</f>
        <v/>
      </c>
      <c r="J2476" s="139" t="n">
        <v>39.488</v>
      </c>
      <c r="K2476" s="140" t="n"/>
      <c r="L2476" s="140">
        <f>+H2476*J2476</f>
        <v/>
      </c>
      <c r="M2476" s="141">
        <f>SUM(M2475+K2476-L2476)</f>
        <v/>
      </c>
    </row>
    <row r="2477">
      <c r="A2477" s="20" t="n">
        <v>45798</v>
      </c>
      <c r="B2477" s="21" t="n">
        <v>14031</v>
      </c>
      <c r="C2477" s="22" t="inlineStr">
        <is>
          <t>SELİM İNŞAAT</t>
        </is>
      </c>
      <c r="D2477" s="21" t="inlineStr">
        <is>
          <t>34 GVZ 310</t>
        </is>
      </c>
      <c r="E2477" s="21" t="inlineStr">
        <is>
          <t>CELAL YÜZBAŞI</t>
        </is>
      </c>
      <c r="F2477" s="23" t="n">
        <v>193044</v>
      </c>
      <c r="G2477" s="138" t="n"/>
      <c r="H2477" s="138" t="n">
        <v>318</v>
      </c>
      <c r="I2477" s="138">
        <f>+I2476+(G2477-H2477)</f>
        <v/>
      </c>
      <c r="J2477" s="139" t="n">
        <v>39.488</v>
      </c>
      <c r="K2477" s="140" t="n"/>
      <c r="L2477" s="140">
        <f>+H2477*J2477</f>
        <v/>
      </c>
      <c r="M2477" s="141">
        <f>SUM(M2476+K2477-L2477)</f>
        <v/>
      </c>
    </row>
    <row r="2478">
      <c r="A2478" s="20" t="n">
        <v>45798</v>
      </c>
      <c r="B2478" s="21" t="n">
        <v>15912</v>
      </c>
      <c r="C2478" s="22" t="inlineStr">
        <is>
          <t>SELİM İNŞAAT</t>
        </is>
      </c>
      <c r="D2478" s="21" t="inlineStr">
        <is>
          <t>34 DFE 454</t>
        </is>
      </c>
      <c r="E2478" s="21" t="inlineStr">
        <is>
          <t>METİN KALKAN</t>
        </is>
      </c>
      <c r="F2478" s="23" t="n">
        <v>158728</v>
      </c>
      <c r="G2478" s="138" t="n"/>
      <c r="H2478" s="138" t="n">
        <v>157</v>
      </c>
      <c r="I2478" s="138">
        <f>+I2477+(G2478-H2478)</f>
        <v/>
      </c>
      <c r="J2478" s="139" t="n">
        <v>39.488</v>
      </c>
      <c r="K2478" s="140" t="n"/>
      <c r="L2478" s="140">
        <f>+H2478*J2478</f>
        <v/>
      </c>
      <c r="M2478" s="141">
        <f>SUM(M2477+K2478-L2478)</f>
        <v/>
      </c>
    </row>
    <row r="2479">
      <c r="A2479" s="20" t="n">
        <v>45798</v>
      </c>
      <c r="B2479" s="21" t="n">
        <v>10884</v>
      </c>
      <c r="C2479" s="22" t="inlineStr">
        <is>
          <t>SELİM İNŞAAT</t>
        </is>
      </c>
      <c r="D2479" s="21" t="inlineStr">
        <is>
          <t>34 AR 7743</t>
        </is>
      </c>
      <c r="E2479" s="21" t="inlineStr">
        <is>
          <t>MEHMET SELİM</t>
        </is>
      </c>
      <c r="F2479" s="23" t="n">
        <v>355837</v>
      </c>
      <c r="G2479" s="138" t="n"/>
      <c r="H2479" s="138" t="n">
        <v>61</v>
      </c>
      <c r="I2479" s="138">
        <f>+I2478+(G2479-H2479)</f>
        <v/>
      </c>
      <c r="J2479" s="139" t="n">
        <v>39.488</v>
      </c>
      <c r="K2479" s="140" t="n"/>
      <c r="L2479" s="140">
        <f>+H2479*J2479</f>
        <v/>
      </c>
      <c r="M2479" s="141">
        <f>SUM(M2478+K2479-L2479)</f>
        <v/>
      </c>
    </row>
    <row r="2480">
      <c r="A2480" s="20" t="n">
        <v>45798</v>
      </c>
      <c r="B2480" s="21" t="n">
        <v>15655</v>
      </c>
      <c r="C2480" s="22" t="inlineStr">
        <is>
          <t>METİN ERYİĞİT</t>
        </is>
      </c>
      <c r="D2480" s="21" t="inlineStr">
        <is>
          <t>34 EGR 814</t>
        </is>
      </c>
      <c r="E2480" s="21" t="inlineStr">
        <is>
          <t>GÜRAY KOYUNCU</t>
        </is>
      </c>
      <c r="F2480" s="23" t="n">
        <v>536298</v>
      </c>
      <c r="G2480" s="138" t="n"/>
      <c r="H2480" s="138" t="n">
        <v>532</v>
      </c>
      <c r="I2480" s="138">
        <f>+I2479+(G2480-H2480)</f>
        <v/>
      </c>
      <c r="J2480" s="139" t="n">
        <v>39.488</v>
      </c>
      <c r="K2480" s="140" t="n"/>
      <c r="L2480" s="140">
        <f>+H2480*J2480</f>
        <v/>
      </c>
      <c r="M2480" s="141">
        <f>SUM(M2479+K2480-L2480)</f>
        <v/>
      </c>
    </row>
    <row r="2481">
      <c r="A2481" s="20" t="n">
        <v>45798</v>
      </c>
      <c r="B2481" s="21" t="n">
        <v>14729</v>
      </c>
      <c r="C2481" s="22" t="inlineStr">
        <is>
          <t>METİN ERYİĞİT</t>
        </is>
      </c>
      <c r="D2481" s="21" t="inlineStr">
        <is>
          <t>34 GBL 998</t>
        </is>
      </c>
      <c r="E2481" s="21" t="inlineStr">
        <is>
          <t>ALİ KESKİN</t>
        </is>
      </c>
      <c r="F2481" s="23" t="n">
        <v>262352</v>
      </c>
      <c r="G2481" s="138" t="n"/>
      <c r="H2481" s="138" t="n">
        <v>409</v>
      </c>
      <c r="I2481" s="138">
        <f>+I2480+(G2481-H2481)</f>
        <v/>
      </c>
      <c r="J2481" s="139" t="n">
        <v>39.488</v>
      </c>
      <c r="K2481" s="140" t="n"/>
      <c r="L2481" s="140">
        <f>+H2481*J2481</f>
        <v/>
      </c>
      <c r="M2481" s="141">
        <f>SUM(M2480+K2481-L2481)</f>
        <v/>
      </c>
    </row>
    <row r="2482">
      <c r="A2482" s="20" t="n">
        <v>45798</v>
      </c>
      <c r="B2482" s="21" t="n">
        <v>15601</v>
      </c>
      <c r="C2482" s="22" t="inlineStr">
        <is>
          <t>METİN ERYİĞİT</t>
        </is>
      </c>
      <c r="D2482" s="21" t="inlineStr">
        <is>
          <t>34 EGS 013</t>
        </is>
      </c>
      <c r="E2482" s="21" t="inlineStr">
        <is>
          <t xml:space="preserve">UĞUR DUMAN </t>
        </is>
      </c>
      <c r="F2482" s="23" t="n">
        <v>483328</v>
      </c>
      <c r="G2482" s="138" t="n"/>
      <c r="H2482" s="138" t="n">
        <v>497</v>
      </c>
      <c r="I2482" s="138">
        <f>+I2481+(G2482-H2482)</f>
        <v/>
      </c>
      <c r="J2482" s="139" t="n">
        <v>39.488</v>
      </c>
      <c r="K2482" s="140" t="n"/>
      <c r="L2482" s="140">
        <f>+H2482*J2482</f>
        <v/>
      </c>
      <c r="M2482" s="141">
        <f>SUM(M2481+K2482-L2482)</f>
        <v/>
      </c>
    </row>
    <row r="2483">
      <c r="A2483" s="20" t="n">
        <v>45798</v>
      </c>
      <c r="B2483" s="21" t="n">
        <v>14687</v>
      </c>
      <c r="C2483" s="22" t="inlineStr">
        <is>
          <t>ENES SELİM</t>
        </is>
      </c>
      <c r="D2483" s="21" t="inlineStr">
        <is>
          <t>TB 926 VİNÇ</t>
        </is>
      </c>
      <c r="E2483" s="21" t="inlineStr">
        <is>
          <t>ENES SELİM</t>
        </is>
      </c>
      <c r="F2483" s="23" t="n"/>
      <c r="G2483" s="138" t="n"/>
      <c r="H2483" s="138" t="n">
        <v>187</v>
      </c>
      <c r="I2483" s="138">
        <f>+I2482+(G2483-H2483)</f>
        <v/>
      </c>
      <c r="J2483" s="139" t="n">
        <v>39.488</v>
      </c>
      <c r="K2483" s="140" t="n"/>
      <c r="L2483" s="140">
        <f>+H2483*J2483</f>
        <v/>
      </c>
      <c r="M2483" s="141">
        <f>SUM(M2482+K2483-L2483)</f>
        <v/>
      </c>
    </row>
    <row r="2484">
      <c r="A2484" s="20" t="n">
        <v>45798</v>
      </c>
      <c r="B2484" s="21" t="n">
        <v>11326</v>
      </c>
      <c r="C2484" s="22" t="inlineStr">
        <is>
          <t>AZGÜN YAPI</t>
        </is>
      </c>
      <c r="D2484" s="21" t="inlineStr">
        <is>
          <t>34 MKT 859</t>
        </is>
      </c>
      <c r="E2484" s="21" t="inlineStr">
        <is>
          <t>HASAN ALTUN</t>
        </is>
      </c>
      <c r="F2484" s="23" t="n">
        <v>35459</v>
      </c>
      <c r="G2484" s="138" t="n"/>
      <c r="H2484" s="138" t="n">
        <v>545</v>
      </c>
      <c r="I2484" s="138">
        <f>+I2483+(G2484-H2484)</f>
        <v/>
      </c>
      <c r="J2484" s="139" t="n">
        <v>39.488</v>
      </c>
      <c r="K2484" s="140" t="n"/>
      <c r="L2484" s="140">
        <f>+H2484*J2484</f>
        <v/>
      </c>
      <c r="M2484" s="141">
        <f>SUM(M2483+K2484-L2484)</f>
        <v/>
      </c>
    </row>
    <row r="2485">
      <c r="A2485" s="20" t="n">
        <v>45798</v>
      </c>
      <c r="B2485" s="21" t="n">
        <v>10388</v>
      </c>
      <c r="C2485" s="22" t="inlineStr">
        <is>
          <t>SELİM İNŞAAT</t>
        </is>
      </c>
      <c r="D2485" s="21" t="inlineStr">
        <is>
          <t>34 DRU 690</t>
        </is>
      </c>
      <c r="E2485" s="21" t="inlineStr">
        <is>
          <t>MURAT DEMİRBAŞ</t>
        </is>
      </c>
      <c r="F2485" s="23" t="n">
        <v>411420</v>
      </c>
      <c r="G2485" s="138" t="n"/>
      <c r="H2485" s="138" t="n">
        <v>400</v>
      </c>
      <c r="I2485" s="138">
        <f>+I2484+(G2485-H2485)</f>
        <v/>
      </c>
      <c r="J2485" s="139" t="n">
        <v>39.488</v>
      </c>
      <c r="K2485" s="140" t="n"/>
      <c r="L2485" s="140">
        <f>+H2485*J2485</f>
        <v/>
      </c>
      <c r="M2485" s="141">
        <f>SUM(M2484+K2485-L2485)</f>
        <v/>
      </c>
    </row>
    <row r="2486">
      <c r="A2486" s="20" t="n">
        <v>45798</v>
      </c>
      <c r="B2486" s="1" t="n">
        <v>15779</v>
      </c>
      <c r="C2486" s="2" t="inlineStr">
        <is>
          <t>HASALTUN</t>
        </is>
      </c>
      <c r="D2486" s="1" t="inlineStr">
        <is>
          <t>MNT 2260</t>
        </is>
      </c>
      <c r="E2486" s="1" t="inlineStr">
        <is>
          <t>MUHAMMED KANTAR</t>
        </is>
      </c>
      <c r="F2486" s="3" t="n"/>
      <c r="G2486" s="143" t="n"/>
      <c r="H2486" s="143" t="n">
        <v>95</v>
      </c>
      <c r="I2486" s="143">
        <f>+I2485+(G2486-H2486)</f>
        <v/>
      </c>
      <c r="J2486" s="144" t="n">
        <v>39.488</v>
      </c>
      <c r="K2486" s="145" t="n"/>
      <c r="L2486" s="140">
        <f>+H2486*J2486</f>
        <v/>
      </c>
      <c r="M2486" s="141">
        <f>SUM(M2485+K2486-L2486)</f>
        <v/>
      </c>
    </row>
    <row r="2487">
      <c r="A2487" s="20" t="n">
        <v>45798</v>
      </c>
      <c r="B2487" s="1" t="n">
        <v>15780</v>
      </c>
      <c r="C2487" s="2" t="inlineStr">
        <is>
          <t>VARLIK</t>
        </is>
      </c>
      <c r="D2487" s="1" t="inlineStr">
        <is>
          <t>SM 370</t>
        </is>
      </c>
      <c r="E2487" s="1" t="inlineStr">
        <is>
          <t>TEKİN ŞEYLAN</t>
        </is>
      </c>
      <c r="F2487" s="3" t="n"/>
      <c r="G2487" s="143" t="n"/>
      <c r="H2487" s="143" t="n">
        <v>278</v>
      </c>
      <c r="I2487" s="143">
        <f>+I2486+(G2487-H2487)</f>
        <v/>
      </c>
      <c r="J2487" s="144" t="n">
        <v>39.488</v>
      </c>
      <c r="K2487" s="145" t="n"/>
      <c r="L2487" s="140">
        <f>+H2487*J2487</f>
        <v/>
      </c>
      <c r="M2487" s="141">
        <f>SUM(M2486+K2487-L2487)</f>
        <v/>
      </c>
    </row>
    <row r="2488">
      <c r="A2488" s="20" t="n">
        <v>45798</v>
      </c>
      <c r="B2488" s="1" t="n">
        <v>15781</v>
      </c>
      <c r="C2488" s="2" t="inlineStr">
        <is>
          <t>VARLIK</t>
        </is>
      </c>
      <c r="D2488" s="1" t="inlineStr">
        <is>
          <t>SM 300</t>
        </is>
      </c>
      <c r="E2488" s="1" t="inlineStr">
        <is>
          <t>TURGUT SANCAK</t>
        </is>
      </c>
      <c r="F2488" s="3" t="n"/>
      <c r="G2488" s="143" t="n"/>
      <c r="H2488" s="143" t="n">
        <v>206</v>
      </c>
      <c r="I2488" s="143">
        <f>+I2487+(G2488-H2488)</f>
        <v/>
      </c>
      <c r="J2488" s="144" t="n">
        <v>39.488</v>
      </c>
      <c r="K2488" s="145" t="n"/>
      <c r="L2488" s="140">
        <f>+H2488*J2488</f>
        <v/>
      </c>
      <c r="M2488" s="141">
        <f>SUM(M2487+K2488-L2488)</f>
        <v/>
      </c>
    </row>
    <row r="2489">
      <c r="A2489" s="20" t="n">
        <v>45798</v>
      </c>
      <c r="B2489" s="1" t="n">
        <v>15782</v>
      </c>
      <c r="C2489" s="2" t="inlineStr">
        <is>
          <t>VARLIK</t>
        </is>
      </c>
      <c r="D2489" s="1" t="inlineStr">
        <is>
          <t>SM 350</t>
        </is>
      </c>
      <c r="E2489" s="1" t="inlineStr">
        <is>
          <t>BAYRAM SANCAK</t>
        </is>
      </c>
      <c r="F2489" s="3" t="n"/>
      <c r="G2489" s="143" t="n"/>
      <c r="H2489" s="143" t="n">
        <v>278</v>
      </c>
      <c r="I2489" s="143">
        <f>+I2488+(G2489-H2489)</f>
        <v/>
      </c>
      <c r="J2489" s="144" t="n">
        <v>39.488</v>
      </c>
      <c r="K2489" s="145" t="n"/>
      <c r="L2489" s="140">
        <f>+H2489*J2489</f>
        <v/>
      </c>
      <c r="M2489" s="141">
        <f>SUM(M2488+K2489-L2489)</f>
        <v/>
      </c>
    </row>
    <row r="2490">
      <c r="A2490" s="20" t="n">
        <v>45799</v>
      </c>
      <c r="B2490" s="21" t="n">
        <v>10093</v>
      </c>
      <c r="C2490" s="22" t="inlineStr">
        <is>
          <t>SELİM İNŞAAT</t>
        </is>
      </c>
      <c r="D2490" s="21" t="inlineStr">
        <is>
          <t>34 FBR 771</t>
        </is>
      </c>
      <c r="E2490" s="21" t="inlineStr">
        <is>
          <t>HÜSEYİN AKÇİN</t>
        </is>
      </c>
      <c r="F2490" s="23" t="n">
        <v>314576</v>
      </c>
      <c r="G2490" s="138" t="n"/>
      <c r="H2490" s="138" t="n">
        <v>378</v>
      </c>
      <c r="I2490" s="138">
        <f>+I2489+(G2490-H2490)</f>
        <v/>
      </c>
      <c r="J2490" s="139" t="n">
        <v>39.488</v>
      </c>
      <c r="K2490" s="140" t="n"/>
      <c r="L2490" s="140">
        <f>+H2490*J2490</f>
        <v/>
      </c>
      <c r="M2490" s="141">
        <f>SUM(M2489+K2490-L2490)</f>
        <v/>
      </c>
    </row>
    <row r="2491">
      <c r="A2491" s="20" t="n">
        <v>45799</v>
      </c>
      <c r="B2491" s="21" t="n">
        <v>14480</v>
      </c>
      <c r="C2491" s="22" t="inlineStr">
        <is>
          <t>SELİM İNŞAAT</t>
        </is>
      </c>
      <c r="D2491" s="21" t="inlineStr">
        <is>
          <t>34 GUS 848</t>
        </is>
      </c>
      <c r="E2491" s="21" t="inlineStr">
        <is>
          <t>SERDAR BOZKURT</t>
        </is>
      </c>
      <c r="F2491" s="23" t="n">
        <v>188386</v>
      </c>
      <c r="G2491" s="138" t="n"/>
      <c r="H2491" s="138" t="n">
        <v>481</v>
      </c>
      <c r="I2491" s="138">
        <f>+I2490+(G2491-H2491)</f>
        <v/>
      </c>
      <c r="J2491" s="139" t="n">
        <v>39.488</v>
      </c>
      <c r="K2491" s="140" t="n"/>
      <c r="L2491" s="140">
        <f>+H2491*J2491</f>
        <v/>
      </c>
      <c r="M2491" s="141">
        <f>SUM(M2490+K2491-L2491)</f>
        <v/>
      </c>
    </row>
    <row r="2492">
      <c r="A2492" s="20" t="n">
        <v>45799</v>
      </c>
      <c r="B2492" s="21" t="n">
        <v>10543</v>
      </c>
      <c r="C2492" s="22" t="inlineStr">
        <is>
          <t>SELİM İNŞAAT</t>
        </is>
      </c>
      <c r="D2492" s="21" t="inlineStr">
        <is>
          <t>34 EDB 922</t>
        </is>
      </c>
      <c r="E2492" s="21" t="inlineStr">
        <is>
          <t>AHMET TOPÇU</t>
        </is>
      </c>
      <c r="F2492" s="23" t="n">
        <v>357419</v>
      </c>
      <c r="G2492" s="138" t="n"/>
      <c r="H2492" s="138" t="n">
        <v>336</v>
      </c>
      <c r="I2492" s="138">
        <f>+I2491+(G2492-H2492)</f>
        <v/>
      </c>
      <c r="J2492" s="139" t="n">
        <v>39.488</v>
      </c>
      <c r="K2492" s="140" t="n"/>
      <c r="L2492" s="140">
        <f>+H2492*J2492</f>
        <v/>
      </c>
      <c r="M2492" s="141">
        <f>SUM(M2491+K2492-L2492)</f>
        <v/>
      </c>
    </row>
    <row r="2493">
      <c r="A2493" s="20" t="n">
        <v>45799</v>
      </c>
      <c r="B2493" s="21" t="n">
        <v>11150</v>
      </c>
      <c r="C2493" s="22" t="inlineStr">
        <is>
          <t>SELİM İNŞAAT</t>
        </is>
      </c>
      <c r="D2493" s="21" t="inlineStr">
        <is>
          <t>34 DTV 409</t>
        </is>
      </c>
      <c r="E2493" s="21" t="inlineStr">
        <is>
          <t>ONUR CANLI</t>
        </is>
      </c>
      <c r="F2493" s="23" t="n">
        <v>413980</v>
      </c>
      <c r="G2493" s="138" t="n"/>
      <c r="H2493" s="138" t="n">
        <v>381</v>
      </c>
      <c r="I2493" s="138">
        <f>+I2492+(G2493-H2493)</f>
        <v/>
      </c>
      <c r="J2493" s="139" t="n">
        <v>39.488</v>
      </c>
      <c r="K2493" s="140" t="n"/>
      <c r="L2493" s="140">
        <f>+H2493*J2493</f>
        <v/>
      </c>
      <c r="M2493" s="141">
        <f>SUM(M2492+K2493-L2493)</f>
        <v/>
      </c>
    </row>
    <row r="2494">
      <c r="A2494" s="20" t="n">
        <v>45799</v>
      </c>
      <c r="B2494" s="21" t="n">
        <v>14128</v>
      </c>
      <c r="C2494" s="22" t="inlineStr">
        <is>
          <t>SELİM İNŞAAT</t>
        </is>
      </c>
      <c r="D2494" s="21" t="inlineStr">
        <is>
          <t>34 DSN 536</t>
        </is>
      </c>
      <c r="E2494" s="21" t="inlineStr">
        <is>
          <t>DURSUN ALİ GÜREK</t>
        </is>
      </c>
      <c r="F2494" s="23" t="n">
        <v>401108</v>
      </c>
      <c r="G2494" s="138" t="n"/>
      <c r="H2494" s="138" t="n">
        <v>475</v>
      </c>
      <c r="I2494" s="138">
        <f>+I2493+(G2494-H2494)</f>
        <v/>
      </c>
      <c r="J2494" s="139" t="n">
        <v>39.488</v>
      </c>
      <c r="K2494" s="140" t="n"/>
      <c r="L2494" s="140">
        <f>+H2494*J2494</f>
        <v/>
      </c>
      <c r="M2494" s="141">
        <f>SUM(M2493+K2494-L2494)</f>
        <v/>
      </c>
    </row>
    <row r="2495">
      <c r="A2495" s="20" t="n">
        <v>45799</v>
      </c>
      <c r="B2495" s="21" t="n">
        <v>10795</v>
      </c>
      <c r="C2495" s="22" t="inlineStr">
        <is>
          <t>SELİM İNŞAAT</t>
        </is>
      </c>
      <c r="D2495" s="21" t="inlineStr">
        <is>
          <t>34 FBR 705</t>
        </is>
      </c>
      <c r="E2495" s="21" t="inlineStr">
        <is>
          <t>MESUT GÜRLER</t>
        </is>
      </c>
      <c r="F2495" s="23" t="n">
        <v>311537</v>
      </c>
      <c r="G2495" s="138" t="n"/>
      <c r="H2495" s="138" t="n">
        <v>371</v>
      </c>
      <c r="I2495" s="138">
        <f>+I2494+(G2495-H2495)</f>
        <v/>
      </c>
      <c r="J2495" s="139" t="n">
        <v>39.488</v>
      </c>
      <c r="K2495" s="140" t="n"/>
      <c r="L2495" s="140">
        <f>+H2495*J2495</f>
        <v/>
      </c>
      <c r="M2495" s="141">
        <f>SUM(M2494+K2495-L2495)</f>
        <v/>
      </c>
    </row>
    <row r="2496">
      <c r="A2496" s="20" t="n">
        <v>45799</v>
      </c>
      <c r="B2496" s="21" t="n">
        <v>10232</v>
      </c>
      <c r="C2496" s="22" t="inlineStr">
        <is>
          <t>SELİM İNŞAAT</t>
        </is>
      </c>
      <c r="D2496" s="21" t="inlineStr">
        <is>
          <t>34 DSN 621</t>
        </is>
      </c>
      <c r="E2496" s="21" t="inlineStr">
        <is>
          <t>MUSTAFA KAYA</t>
        </is>
      </c>
      <c r="F2496" s="23" t="n">
        <v>406733</v>
      </c>
      <c r="G2496" s="138" t="n"/>
      <c r="H2496" s="138" t="n">
        <v>401</v>
      </c>
      <c r="I2496" s="138">
        <f>+I2495+(G2496-H2496)</f>
        <v/>
      </c>
      <c r="J2496" s="139" t="n">
        <v>39.488</v>
      </c>
      <c r="K2496" s="140" t="n"/>
      <c r="L2496" s="140">
        <f>+H2496*J2496</f>
        <v/>
      </c>
      <c r="M2496" s="141">
        <f>SUM(M2495+K2496-L2496)</f>
        <v/>
      </c>
    </row>
    <row r="2497">
      <c r="A2497" s="20" t="n">
        <v>45799</v>
      </c>
      <c r="B2497" s="21" t="n">
        <v>15206</v>
      </c>
      <c r="C2497" s="22" t="inlineStr">
        <is>
          <t>SELİM İNŞAAT</t>
        </is>
      </c>
      <c r="D2497" s="21" t="inlineStr">
        <is>
          <t>34 DSN 565</t>
        </is>
      </c>
      <c r="E2497" s="21" t="inlineStr">
        <is>
          <t>FUAT AYKUL</t>
        </is>
      </c>
      <c r="F2497" s="23" t="n">
        <v>399680</v>
      </c>
      <c r="G2497" s="138" t="n"/>
      <c r="H2497" s="138" t="n">
        <v>451</v>
      </c>
      <c r="I2497" s="138">
        <f>+I2496+(G2497-H2497)</f>
        <v/>
      </c>
      <c r="J2497" s="139" t="n">
        <v>39.488</v>
      </c>
      <c r="K2497" s="140" t="n"/>
      <c r="L2497" s="140">
        <f>+H2497*J2497</f>
        <v/>
      </c>
      <c r="M2497" s="141">
        <f>SUM(M2496+K2497-L2497)</f>
        <v/>
      </c>
    </row>
    <row r="2498">
      <c r="A2498" s="20" t="n">
        <v>45799</v>
      </c>
      <c r="B2498" s="21" t="n">
        <v>10650</v>
      </c>
      <c r="C2498" s="22" t="inlineStr">
        <is>
          <t>SELİM İNŞAAT</t>
        </is>
      </c>
      <c r="D2498" s="21" t="inlineStr">
        <is>
          <t>34 EDB 754</t>
        </is>
      </c>
      <c r="E2498" s="21" t="inlineStr">
        <is>
          <t>EMİN PARLAKKILIÇ</t>
        </is>
      </c>
      <c r="F2498" s="23" t="n">
        <v>317655</v>
      </c>
      <c r="G2498" s="138" t="n"/>
      <c r="H2498" s="138" t="n">
        <v>501</v>
      </c>
      <c r="I2498" s="138">
        <f>+I2497+(G2498-H2498)</f>
        <v/>
      </c>
      <c r="J2498" s="139" t="n">
        <v>39.488</v>
      </c>
      <c r="K2498" s="140" t="n"/>
      <c r="L2498" s="140">
        <f>+H2498*J2498</f>
        <v/>
      </c>
      <c r="M2498" s="141">
        <f>SUM(M2497+K2498-L2498)</f>
        <v/>
      </c>
    </row>
    <row r="2499">
      <c r="A2499" s="20" t="n">
        <v>45799</v>
      </c>
      <c r="B2499" s="21" t="n">
        <v>14755</v>
      </c>
      <c r="C2499" s="22" t="inlineStr">
        <is>
          <t>SELİM İNŞAAT</t>
        </is>
      </c>
      <c r="D2499" s="21" t="inlineStr">
        <is>
          <t>34 GYZ 635</t>
        </is>
      </c>
      <c r="E2499" s="21" t="inlineStr">
        <is>
          <t>ENGİN DEMİR</t>
        </is>
      </c>
      <c r="F2499" s="23" t="n">
        <v>168585</v>
      </c>
      <c r="G2499" s="138" t="n"/>
      <c r="H2499" s="138" t="n">
        <v>435</v>
      </c>
      <c r="I2499" s="138">
        <f>+I2498+(G2499-H2499)</f>
        <v/>
      </c>
      <c r="J2499" s="139" t="n">
        <v>39.488</v>
      </c>
      <c r="K2499" s="140" t="n"/>
      <c r="L2499" s="140">
        <f>+H2499*J2499</f>
        <v/>
      </c>
      <c r="M2499" s="141">
        <f>SUM(M2498+K2499-L2499)</f>
        <v/>
      </c>
    </row>
    <row r="2500">
      <c r="A2500" s="20" t="n">
        <v>45799</v>
      </c>
      <c r="B2500" s="21" t="n">
        <v>11835</v>
      </c>
      <c r="C2500" s="22" t="inlineStr">
        <is>
          <t>SELİM İNŞAAT</t>
        </is>
      </c>
      <c r="D2500" s="21" t="inlineStr">
        <is>
          <t>34 FSG 229</t>
        </is>
      </c>
      <c r="E2500" s="21" t="inlineStr">
        <is>
          <t>SİNAN TANRIVERDİ</t>
        </is>
      </c>
      <c r="F2500" s="23" t="n">
        <v>253832</v>
      </c>
      <c r="G2500" s="138" t="n"/>
      <c r="H2500" s="138" t="n">
        <v>451</v>
      </c>
      <c r="I2500" s="138">
        <f>+I2499+(G2500-H2500)</f>
        <v/>
      </c>
      <c r="J2500" s="139" t="n">
        <v>39.488</v>
      </c>
      <c r="K2500" s="140" t="n"/>
      <c r="L2500" s="140">
        <f>+H2500*J2500</f>
        <v/>
      </c>
      <c r="M2500" s="141">
        <f>SUM(M2499+K2500-L2500)</f>
        <v/>
      </c>
    </row>
    <row r="2501">
      <c r="A2501" s="20" t="n">
        <v>45799</v>
      </c>
      <c r="B2501" s="21" t="n">
        <v>21622</v>
      </c>
      <c r="C2501" s="22" t="inlineStr">
        <is>
          <t>SELİM İNŞAAT</t>
        </is>
      </c>
      <c r="D2501" s="21" t="inlineStr">
        <is>
          <t>34 DHC 467</t>
        </is>
      </c>
      <c r="E2501" s="21" t="inlineStr">
        <is>
          <t>ERSEL DERVİŞ</t>
        </is>
      </c>
      <c r="F2501" s="23" t="n">
        <v>400658</v>
      </c>
      <c r="G2501" s="138" t="n"/>
      <c r="H2501" s="138" t="n">
        <v>423</v>
      </c>
      <c r="I2501" s="138">
        <f>+I2500+(G2501-H2501)</f>
        <v/>
      </c>
      <c r="J2501" s="139" t="n">
        <v>39.488</v>
      </c>
      <c r="K2501" s="140" t="n"/>
      <c r="L2501" s="140">
        <f>+H2501*J2501</f>
        <v/>
      </c>
      <c r="M2501" s="141">
        <f>SUM(M2500+K2501-L2501)</f>
        <v/>
      </c>
    </row>
    <row r="2502">
      <c r="A2502" s="20" t="n">
        <v>45799</v>
      </c>
      <c r="B2502" s="21" t="n">
        <v>14335</v>
      </c>
      <c r="C2502" s="22" t="inlineStr">
        <is>
          <t>SELİM İNŞAAT</t>
        </is>
      </c>
      <c r="D2502" s="21" t="inlineStr">
        <is>
          <t>34 DKL 866</t>
        </is>
      </c>
      <c r="E2502" s="21" t="inlineStr">
        <is>
          <t>SELİM CAN ÖNVER</t>
        </is>
      </c>
      <c r="F2502" s="23" t="n">
        <v>65153</v>
      </c>
      <c r="G2502" s="138" t="n"/>
      <c r="H2502" s="138" t="n">
        <v>141</v>
      </c>
      <c r="I2502" s="138">
        <f>+I2501+(G2502-H2502)</f>
        <v/>
      </c>
      <c r="J2502" s="139" t="n">
        <v>39.488</v>
      </c>
      <c r="K2502" s="140" t="n"/>
      <c r="L2502" s="140">
        <f>+H2502*J2502</f>
        <v/>
      </c>
      <c r="M2502" s="141">
        <f>SUM(M2501+K2502-L2502)</f>
        <v/>
      </c>
    </row>
    <row r="2503">
      <c r="A2503" s="20" t="n">
        <v>45799</v>
      </c>
      <c r="B2503" s="21" t="n">
        <v>21324</v>
      </c>
      <c r="C2503" s="22" t="inlineStr">
        <is>
          <t>SELİM İNŞAAT</t>
        </is>
      </c>
      <c r="D2503" s="21" t="inlineStr">
        <is>
          <t>34 FEM 934</t>
        </is>
      </c>
      <c r="E2503" s="21" t="inlineStr">
        <is>
          <t>MUSTAFA ALBAYRAK</t>
        </is>
      </c>
      <c r="F2503" s="23" t="n">
        <v>307911</v>
      </c>
      <c r="G2503" s="138" t="n"/>
      <c r="H2503" s="138" t="n">
        <v>79</v>
      </c>
      <c r="I2503" s="138">
        <f>+I2502+(G2503-H2503)</f>
        <v/>
      </c>
      <c r="J2503" s="139" t="n">
        <v>39.488</v>
      </c>
      <c r="K2503" s="140" t="n"/>
      <c r="L2503" s="140">
        <f>+H2503*J2503</f>
        <v/>
      </c>
      <c r="M2503" s="141">
        <f>SUM(M2502+K2503-L2503)</f>
        <v/>
      </c>
    </row>
    <row r="2504">
      <c r="A2504" s="20" t="n">
        <v>45799</v>
      </c>
      <c r="B2504" s="21" t="n">
        <v>14375</v>
      </c>
      <c r="C2504" s="22" t="inlineStr">
        <is>
          <t>SELİM İNŞAAT</t>
        </is>
      </c>
      <c r="D2504" s="21" t="inlineStr">
        <is>
          <t>34 DKL 798</t>
        </is>
      </c>
      <c r="E2504" s="21" t="inlineStr">
        <is>
          <t>VOLKAN YANAR</t>
        </is>
      </c>
      <c r="F2504" s="23" t="n">
        <v>65162</v>
      </c>
      <c r="G2504" s="138" t="n"/>
      <c r="H2504" s="138" t="n">
        <v>175</v>
      </c>
      <c r="I2504" s="138">
        <f>+I2503+(G2504-H2504)</f>
        <v/>
      </c>
      <c r="J2504" s="139" t="n">
        <v>39.488</v>
      </c>
      <c r="K2504" s="140" t="n"/>
      <c r="L2504" s="140">
        <f>+H2504*J2504</f>
        <v/>
      </c>
      <c r="M2504" s="141">
        <f>SUM(M2503+K2504-L2504)</f>
        <v/>
      </c>
    </row>
    <row r="2505">
      <c r="A2505" s="20" t="n">
        <v>45799</v>
      </c>
      <c r="B2505" s="21" t="n">
        <v>15151</v>
      </c>
      <c r="C2505" s="22" t="inlineStr">
        <is>
          <t>SELİM İNŞAAT</t>
        </is>
      </c>
      <c r="D2505" s="21" t="inlineStr">
        <is>
          <t>34 DP 4161</t>
        </is>
      </c>
      <c r="E2505" s="21" t="inlineStr">
        <is>
          <t>RIFAT KARATAY</t>
        </is>
      </c>
      <c r="F2505" s="23" t="n">
        <v>285142</v>
      </c>
      <c r="G2505" s="138" t="n"/>
      <c r="H2505" s="138" t="n">
        <v>252</v>
      </c>
      <c r="I2505" s="138">
        <f>+I2504+(G2505-H2505)</f>
        <v/>
      </c>
      <c r="J2505" s="139" t="n">
        <v>39.488</v>
      </c>
      <c r="K2505" s="140" t="n"/>
      <c r="L2505" s="140">
        <f>+H2505*J2505</f>
        <v/>
      </c>
      <c r="M2505" s="141">
        <f>SUM(M2504+K2505-L2505)</f>
        <v/>
      </c>
    </row>
    <row r="2506">
      <c r="A2506" s="20" t="n">
        <v>45799</v>
      </c>
      <c r="B2506" s="21" t="n">
        <v>14688</v>
      </c>
      <c r="C2506" s="22" t="inlineStr">
        <is>
          <t>AHMET SELİM TEMHA</t>
        </is>
      </c>
      <c r="D2506" s="21" t="inlineStr">
        <is>
          <t>BİDON</t>
        </is>
      </c>
      <c r="E2506" s="21" t="inlineStr">
        <is>
          <t>OĞUZHAN AYDINLI</t>
        </is>
      </c>
      <c r="F2506" s="23" t="n"/>
      <c r="G2506" s="138" t="n"/>
      <c r="H2506" s="138" t="n">
        <v>22</v>
      </c>
      <c r="I2506" s="138">
        <f>+I2505+(G2506-H2506)</f>
        <v/>
      </c>
      <c r="J2506" s="139" t="n">
        <v>39.488</v>
      </c>
      <c r="K2506" s="140" t="n"/>
      <c r="L2506" s="140">
        <f>+H2506*J2506</f>
        <v/>
      </c>
      <c r="M2506" s="141">
        <f>SUM(M2505+K2506-L2506)</f>
        <v/>
      </c>
    </row>
    <row r="2507">
      <c r="A2507" s="20" t="n">
        <v>45799</v>
      </c>
      <c r="B2507" s="21" t="n">
        <v>14689</v>
      </c>
      <c r="C2507" s="22" t="inlineStr">
        <is>
          <t>AHMET SELİM TEMHA</t>
        </is>
      </c>
      <c r="D2507" s="21" t="inlineStr">
        <is>
          <t>FOKLİFT</t>
        </is>
      </c>
      <c r="E2507" s="21" t="inlineStr">
        <is>
          <t>CENGİZHAN AYDINLI</t>
        </is>
      </c>
      <c r="F2507" s="23" t="n"/>
      <c r="G2507" s="138" t="n"/>
      <c r="H2507" s="138" t="n">
        <v>88</v>
      </c>
      <c r="I2507" s="138">
        <f>+I2506+(G2507-H2507)</f>
        <v/>
      </c>
      <c r="J2507" s="139" t="n">
        <v>39.488</v>
      </c>
      <c r="K2507" s="140" t="n"/>
      <c r="L2507" s="140">
        <f>+H2507*J2507</f>
        <v/>
      </c>
      <c r="M2507" s="141">
        <f>SUM(M2506+K2507-L2507)</f>
        <v/>
      </c>
    </row>
    <row r="2508">
      <c r="A2508" s="20" t="n">
        <v>45799</v>
      </c>
      <c r="B2508" s="21" t="n">
        <v>14180</v>
      </c>
      <c r="C2508" s="22" t="inlineStr">
        <is>
          <t>AZGÜN YAPI</t>
        </is>
      </c>
      <c r="D2508" s="21" t="inlineStr">
        <is>
          <t>34 DTV 263</t>
        </is>
      </c>
      <c r="E2508" s="21" t="inlineStr">
        <is>
          <t>EDİP TORLAK</t>
        </is>
      </c>
      <c r="F2508" s="23" t="n">
        <v>379049</v>
      </c>
      <c r="G2508" s="138" t="n"/>
      <c r="H2508" s="138" t="n">
        <v>369</v>
      </c>
      <c r="I2508" s="138">
        <f>+I2507+(G2508-H2508)</f>
        <v/>
      </c>
      <c r="J2508" s="139" t="n">
        <v>39.488</v>
      </c>
      <c r="K2508" s="140" t="n"/>
      <c r="L2508" s="140">
        <f>+H2508*J2508</f>
        <v/>
      </c>
      <c r="M2508" s="141">
        <f>SUM(M2507+K2508-L2508)</f>
        <v/>
      </c>
    </row>
    <row r="2509">
      <c r="A2509" s="20" t="n">
        <v>45799</v>
      </c>
      <c r="B2509" s="21" t="n">
        <v>10451</v>
      </c>
      <c r="C2509" s="22" t="inlineStr">
        <is>
          <t>SELİM İNŞAAT</t>
        </is>
      </c>
      <c r="D2509" s="21" t="inlineStr">
        <is>
          <t>34 FBR 781</t>
        </is>
      </c>
      <c r="E2509" s="21" t="inlineStr">
        <is>
          <t>MEVLÜT POLAT</t>
        </is>
      </c>
      <c r="F2509" s="23" t="n">
        <v>298139</v>
      </c>
      <c r="G2509" s="138" t="n"/>
      <c r="H2509" s="138" t="n">
        <v>431</v>
      </c>
      <c r="I2509" s="138">
        <f>+I2508+(G2509-H2509)</f>
        <v/>
      </c>
      <c r="J2509" s="139" t="n">
        <v>39.488</v>
      </c>
      <c r="K2509" s="140" t="n"/>
      <c r="L2509" s="140">
        <f>+H2509*J2509</f>
        <v/>
      </c>
      <c r="M2509" s="141">
        <f>SUM(M2508+K2509-L2509)</f>
        <v/>
      </c>
    </row>
    <row r="2510">
      <c r="A2510" s="20" t="n">
        <v>45799</v>
      </c>
      <c r="B2510" s="1" t="n">
        <v>15783</v>
      </c>
      <c r="C2510" s="2" t="inlineStr">
        <is>
          <t>GÜRSES</t>
        </is>
      </c>
      <c r="D2510" s="1" t="inlineStr">
        <is>
          <t>SM 350</t>
        </is>
      </c>
      <c r="E2510" s="1" t="inlineStr">
        <is>
          <t>TEVFİK ÖZTÜRK</t>
        </is>
      </c>
      <c r="F2510" s="3" t="n"/>
      <c r="G2510" s="143" t="n"/>
      <c r="H2510" s="143" t="n">
        <v>396</v>
      </c>
      <c r="I2510" s="143">
        <f>+I2509+(G2510-H2510)</f>
        <v/>
      </c>
      <c r="J2510" s="144" t="n">
        <v>39.488</v>
      </c>
      <c r="K2510" s="145" t="n"/>
      <c r="L2510" s="140">
        <f>+H2510*J2510</f>
        <v/>
      </c>
      <c r="M2510" s="141">
        <f>SUM(M2509+K2510-L2510)</f>
        <v/>
      </c>
    </row>
    <row r="2511">
      <c r="A2511" s="20" t="n">
        <v>45799</v>
      </c>
      <c r="B2511" s="1" t="n">
        <v>15784</v>
      </c>
      <c r="C2511" s="2" t="inlineStr">
        <is>
          <t>VARLIK</t>
        </is>
      </c>
      <c r="D2511" s="1" t="inlineStr">
        <is>
          <t>SM 370</t>
        </is>
      </c>
      <c r="E2511" s="1" t="inlineStr">
        <is>
          <t>TEKİN ŞEYLAN</t>
        </is>
      </c>
      <c r="F2511" s="3" t="n"/>
      <c r="G2511" s="143" t="n"/>
      <c r="H2511" s="143" t="n">
        <v>348</v>
      </c>
      <c r="I2511" s="143">
        <f>+I2510+(G2511-H2511)</f>
        <v/>
      </c>
      <c r="J2511" s="144" t="n">
        <v>39.488</v>
      </c>
      <c r="K2511" s="145" t="n"/>
      <c r="L2511" s="140">
        <f>+H2511*J2511</f>
        <v/>
      </c>
      <c r="M2511" s="141">
        <f>SUM(M2510+K2511-L2511)</f>
        <v/>
      </c>
    </row>
    <row r="2512">
      <c r="A2512" s="20" t="n">
        <v>45799</v>
      </c>
      <c r="B2512" s="1" t="n">
        <v>15785</v>
      </c>
      <c r="C2512" s="2" t="inlineStr">
        <is>
          <t>VARLIK</t>
        </is>
      </c>
      <c r="D2512" s="1" t="inlineStr">
        <is>
          <t>SM 300</t>
        </is>
      </c>
      <c r="E2512" s="1" t="inlineStr">
        <is>
          <t>TURGUT SANCAK</t>
        </is>
      </c>
      <c r="F2512" s="3" t="n"/>
      <c r="G2512" s="143" t="n"/>
      <c r="H2512" s="143" t="n">
        <v>274</v>
      </c>
      <c r="I2512" s="143">
        <f>+I2511+(G2512-H2512)</f>
        <v/>
      </c>
      <c r="J2512" s="144" t="n">
        <v>39.488</v>
      </c>
      <c r="K2512" s="145" t="n"/>
      <c r="L2512" s="140">
        <f>+H2512*J2512</f>
        <v/>
      </c>
      <c r="M2512" s="141">
        <f>SUM(M2511+K2512-L2512)</f>
        <v/>
      </c>
    </row>
    <row r="2513">
      <c r="A2513" s="20" t="n">
        <v>45799</v>
      </c>
      <c r="B2513" s="1" t="n">
        <v>15786</v>
      </c>
      <c r="C2513" s="2" t="inlineStr">
        <is>
          <t>VARLIK</t>
        </is>
      </c>
      <c r="D2513" s="1" t="inlineStr">
        <is>
          <t>SM 350</t>
        </is>
      </c>
      <c r="E2513" s="1" t="inlineStr">
        <is>
          <t>RAMAZAN KAYA</t>
        </is>
      </c>
      <c r="F2513" s="3" t="n"/>
      <c r="G2513" s="143" t="n"/>
      <c r="H2513" s="143" t="n">
        <v>286</v>
      </c>
      <c r="I2513" s="143">
        <f>+I2512+(G2513-H2513)</f>
        <v/>
      </c>
      <c r="J2513" s="144" t="n">
        <v>39.488</v>
      </c>
      <c r="K2513" s="145" t="n"/>
      <c r="L2513" s="140">
        <f>+H2513*J2513</f>
        <v/>
      </c>
      <c r="M2513" s="141">
        <f>SUM(M2512+K2513-L2513)</f>
        <v/>
      </c>
    </row>
    <row r="2514">
      <c r="A2514" s="20" t="n">
        <v>45799</v>
      </c>
      <c r="B2514" s="1" t="n">
        <v>15787</v>
      </c>
      <c r="C2514" s="2" t="inlineStr">
        <is>
          <t>VARLIK</t>
        </is>
      </c>
      <c r="D2514" s="1" t="inlineStr">
        <is>
          <t>KAVAZAKİ</t>
        </is>
      </c>
      <c r="E2514" s="1" t="inlineStr">
        <is>
          <t>UFUK SEVAL</t>
        </is>
      </c>
      <c r="F2514" s="3" t="n"/>
      <c r="G2514" s="143" t="n"/>
      <c r="H2514" s="143" t="n">
        <v>236</v>
      </c>
      <c r="I2514" s="143">
        <f>+I2513+(G2514-H2514)</f>
        <v/>
      </c>
      <c r="J2514" s="144" t="n">
        <v>39.488</v>
      </c>
      <c r="K2514" s="145" t="n"/>
      <c r="L2514" s="140">
        <f>+H2514*J2514</f>
        <v/>
      </c>
      <c r="M2514" s="141">
        <f>SUM(M2513+K2514-L2514)</f>
        <v/>
      </c>
    </row>
    <row r="2515">
      <c r="A2515" s="20" t="n">
        <v>45800</v>
      </c>
      <c r="B2515" s="21" t="n">
        <v>11221</v>
      </c>
      <c r="C2515" s="22" t="inlineStr">
        <is>
          <t>SELİM İNŞAAT</t>
        </is>
      </c>
      <c r="D2515" s="21" t="inlineStr">
        <is>
          <t>34 DSN 636</t>
        </is>
      </c>
      <c r="E2515" s="21" t="inlineStr">
        <is>
          <t>İLHAN YÜRÜK</t>
        </is>
      </c>
      <c r="F2515" s="23" t="n">
        <v>386672</v>
      </c>
      <c r="G2515" s="138" t="n"/>
      <c r="H2515" s="138" t="n">
        <v>594</v>
      </c>
      <c r="I2515" s="138">
        <f>+I2514+(G2515-H2515)</f>
        <v/>
      </c>
      <c r="J2515" s="139" t="n">
        <v>39.488</v>
      </c>
      <c r="K2515" s="140" t="n"/>
      <c r="L2515" s="140">
        <f>+H2515*J2515</f>
        <v/>
      </c>
      <c r="M2515" s="141">
        <f>SUM(M2514+K2515-L2515)</f>
        <v/>
      </c>
    </row>
    <row r="2516">
      <c r="A2516" s="20" t="n">
        <v>45800</v>
      </c>
      <c r="B2516" s="21" t="n">
        <v>15565</v>
      </c>
      <c r="C2516" s="22" t="inlineStr">
        <is>
          <t>SELİM İNŞAAT</t>
        </is>
      </c>
      <c r="D2516" s="21" t="inlineStr">
        <is>
          <t>34 GVZ 745</t>
        </is>
      </c>
      <c r="E2516" s="21" t="inlineStr">
        <is>
          <t>MUHAMMED YİĞİT</t>
        </is>
      </c>
      <c r="F2516" s="23" t="n">
        <v>183800</v>
      </c>
      <c r="G2516" s="138" t="n"/>
      <c r="H2516" s="138" t="n">
        <v>486</v>
      </c>
      <c r="I2516" s="138">
        <f>+I2515+(G2516-H2516)</f>
        <v/>
      </c>
      <c r="J2516" s="139" t="n">
        <v>39.488</v>
      </c>
      <c r="K2516" s="140" t="n"/>
      <c r="L2516" s="140">
        <f>+H2516*J2516</f>
        <v/>
      </c>
      <c r="M2516" s="141">
        <f>SUM(M2515+K2516-L2516)</f>
        <v/>
      </c>
    </row>
    <row r="2517">
      <c r="A2517" s="20" t="n">
        <v>45800</v>
      </c>
      <c r="B2517" s="21" t="n">
        <v>15511</v>
      </c>
      <c r="C2517" s="22" t="inlineStr">
        <is>
          <t>SELİM İNŞAAT</t>
        </is>
      </c>
      <c r="D2517" s="21" t="inlineStr">
        <is>
          <t>34 EDC 086</t>
        </is>
      </c>
      <c r="E2517" s="21" t="inlineStr">
        <is>
          <t>ÖMER AĞAYAR</t>
        </is>
      </c>
      <c r="F2517" s="23" t="n">
        <v>322532</v>
      </c>
      <c r="G2517" s="138" t="n"/>
      <c r="H2517" s="138" t="n">
        <v>311</v>
      </c>
      <c r="I2517" s="138">
        <f>+I2516+(G2517-H2517)</f>
        <v/>
      </c>
      <c r="J2517" s="139" t="n">
        <v>39.488</v>
      </c>
      <c r="K2517" s="140" t="n"/>
      <c r="L2517" s="140">
        <f>+H2517*J2517</f>
        <v/>
      </c>
      <c r="M2517" s="141">
        <f>SUM(M2516+K2517-L2517)</f>
        <v/>
      </c>
    </row>
    <row r="2518">
      <c r="A2518" s="20" t="n">
        <v>45800</v>
      </c>
      <c r="B2518" s="21" t="n">
        <v>10299</v>
      </c>
      <c r="C2518" s="22" t="inlineStr">
        <is>
          <t>SELİM İNŞAAT</t>
        </is>
      </c>
      <c r="D2518" s="21" t="inlineStr">
        <is>
          <t>34 FBR 748</t>
        </is>
      </c>
      <c r="E2518" s="21" t="inlineStr">
        <is>
          <t>YAŞAR ÖZKAYA</t>
        </is>
      </c>
      <c r="F2518" s="23" t="n">
        <v>276543</v>
      </c>
      <c r="G2518" s="138" t="n"/>
      <c r="H2518" s="138" t="n">
        <v>506</v>
      </c>
      <c r="I2518" s="138">
        <f>+I2517+(G2518-H2518)</f>
        <v/>
      </c>
      <c r="J2518" s="139" t="n">
        <v>39.488</v>
      </c>
      <c r="K2518" s="140" t="n"/>
      <c r="L2518" s="140">
        <f>+H2518*J2518</f>
        <v/>
      </c>
      <c r="M2518" s="141">
        <f>SUM(M2517+K2518-L2518)</f>
        <v/>
      </c>
    </row>
    <row r="2519">
      <c r="A2519" s="20" t="n">
        <v>45800</v>
      </c>
      <c r="B2519" s="21" t="n">
        <v>15107</v>
      </c>
      <c r="C2519" s="22" t="inlineStr">
        <is>
          <t>SELİM İNŞAAT</t>
        </is>
      </c>
      <c r="D2519" s="21" t="inlineStr">
        <is>
          <t>34 DTV 599</t>
        </is>
      </c>
      <c r="E2519" s="21" t="inlineStr">
        <is>
          <t>FERHAT GÜRLER</t>
        </is>
      </c>
      <c r="F2519" s="23" t="n">
        <v>427964</v>
      </c>
      <c r="G2519" s="138" t="n"/>
      <c r="H2519" s="138" t="n">
        <v>385</v>
      </c>
      <c r="I2519" s="138">
        <f>+I2518+(G2519-H2519)</f>
        <v/>
      </c>
      <c r="J2519" s="139" t="n">
        <v>39.488</v>
      </c>
      <c r="K2519" s="140" t="n"/>
      <c r="L2519" s="140">
        <f>+H2519*J2519</f>
        <v/>
      </c>
      <c r="M2519" s="141">
        <f>SUM(M2518+K2519-L2519)</f>
        <v/>
      </c>
    </row>
    <row r="2520">
      <c r="A2520" s="20" t="n">
        <v>45800</v>
      </c>
      <c r="B2520" s="21" t="n">
        <v>15306</v>
      </c>
      <c r="C2520" s="22" t="inlineStr">
        <is>
          <t>SELİM İNŞAAT</t>
        </is>
      </c>
      <c r="D2520" s="21" t="inlineStr">
        <is>
          <t>34 EDC 162</t>
        </is>
      </c>
      <c r="E2520" s="21" t="inlineStr">
        <is>
          <t xml:space="preserve">YAKUP GÜNER </t>
        </is>
      </c>
      <c r="F2520" s="23" t="n">
        <v>365880</v>
      </c>
      <c r="G2520" s="138" t="n"/>
      <c r="H2520" s="138" t="n">
        <v>376</v>
      </c>
      <c r="I2520" s="138">
        <f>+I2519+(G2520-H2520)</f>
        <v/>
      </c>
      <c r="J2520" s="139" t="n">
        <v>39.488</v>
      </c>
      <c r="K2520" s="140" t="n"/>
      <c r="L2520" s="140">
        <f>+H2520*J2520</f>
        <v/>
      </c>
      <c r="M2520" s="141">
        <f>SUM(M2519+K2520-L2520)</f>
        <v/>
      </c>
    </row>
    <row r="2521">
      <c r="A2521" s="20" t="n">
        <v>45800</v>
      </c>
      <c r="B2521" s="21" t="n">
        <v>15251</v>
      </c>
      <c r="C2521" s="22" t="inlineStr">
        <is>
          <t>SELİM İNŞAAT</t>
        </is>
      </c>
      <c r="D2521" s="21" t="inlineStr">
        <is>
          <t>34 DTV 447</t>
        </is>
      </c>
      <c r="E2521" s="21" t="inlineStr">
        <is>
          <t>EBUBEKİR KOLDAŞ</t>
        </is>
      </c>
      <c r="F2521" s="23" t="n">
        <v>426221</v>
      </c>
      <c r="G2521" s="138" t="n"/>
      <c r="H2521" s="138" t="n">
        <v>397</v>
      </c>
      <c r="I2521" s="138">
        <f>+I2520+(G2521-H2521)</f>
        <v/>
      </c>
      <c r="J2521" s="139" t="n">
        <v>39.488</v>
      </c>
      <c r="K2521" s="140" t="n"/>
      <c r="L2521" s="140">
        <f>+H2521*J2521</f>
        <v/>
      </c>
      <c r="M2521" s="141">
        <f>SUM(M2520+K2521-L2521)</f>
        <v/>
      </c>
    </row>
    <row r="2522">
      <c r="A2522" s="20" t="n">
        <v>45800</v>
      </c>
      <c r="B2522" s="21" t="n">
        <v>14081</v>
      </c>
      <c r="C2522" s="22" t="inlineStr">
        <is>
          <t>SELİM İNŞAAT</t>
        </is>
      </c>
      <c r="D2522" s="21" t="inlineStr">
        <is>
          <t>34 EDB 659</t>
        </is>
      </c>
      <c r="E2522" s="21" t="inlineStr">
        <is>
          <t>MEHMET SAİT ANIK</t>
        </is>
      </c>
      <c r="F2522" s="23" t="n">
        <v>336000</v>
      </c>
      <c r="G2522" s="138" t="n"/>
      <c r="H2522" s="138" t="n">
        <v>435</v>
      </c>
      <c r="I2522" s="138">
        <f>+I2521+(G2522-H2522)</f>
        <v/>
      </c>
      <c r="J2522" s="139" t="n">
        <v>39.488</v>
      </c>
      <c r="K2522" s="140" t="n"/>
      <c r="L2522" s="140">
        <f>+H2522*J2522</f>
        <v/>
      </c>
      <c r="M2522" s="141">
        <f>SUM(M2521+K2522-L2522)</f>
        <v/>
      </c>
    </row>
    <row r="2523">
      <c r="A2523" s="20" t="n">
        <v>45800</v>
      </c>
      <c r="B2523" s="21" t="n">
        <v>11643</v>
      </c>
      <c r="C2523" s="22" t="inlineStr">
        <is>
          <t>SELİM İNŞAAT</t>
        </is>
      </c>
      <c r="D2523" s="21" t="inlineStr">
        <is>
          <t>34 DTV 352</t>
        </is>
      </c>
      <c r="E2523" s="21" t="inlineStr">
        <is>
          <t>RASİM BARTU</t>
        </is>
      </c>
      <c r="F2523" s="23" t="n">
        <v>429276</v>
      </c>
      <c r="G2523" s="138" t="n"/>
      <c r="H2523" s="138" t="n">
        <v>486</v>
      </c>
      <c r="I2523" s="138">
        <f>+I2522+(G2523-H2523)</f>
        <v/>
      </c>
      <c r="J2523" s="139" t="n">
        <v>39.488</v>
      </c>
      <c r="K2523" s="140" t="n"/>
      <c r="L2523" s="140">
        <f>+H2523*J2523</f>
        <v/>
      </c>
      <c r="M2523" s="141">
        <f>SUM(M2522+K2523-L2523)</f>
        <v/>
      </c>
    </row>
    <row r="2524">
      <c r="A2524" s="20" t="n">
        <v>45800</v>
      </c>
      <c r="B2524" s="21" t="n">
        <v>10348</v>
      </c>
      <c r="C2524" s="22" t="inlineStr">
        <is>
          <t>SELİM İNŞAAT</t>
        </is>
      </c>
      <c r="D2524" s="21" t="inlineStr">
        <is>
          <t>34 EDB 829</t>
        </is>
      </c>
      <c r="E2524" s="21" t="inlineStr">
        <is>
          <t>İSMET BAYRAM</t>
        </is>
      </c>
      <c r="F2524" s="23" t="n">
        <v>314881</v>
      </c>
      <c r="G2524" s="138" t="n"/>
      <c r="H2524" s="138" t="n">
        <v>292</v>
      </c>
      <c r="I2524" s="138">
        <f>+I2523+(G2524-H2524)</f>
        <v/>
      </c>
      <c r="J2524" s="139" t="n">
        <v>39.488</v>
      </c>
      <c r="K2524" s="140" t="n"/>
      <c r="L2524" s="140">
        <f>+H2524*J2524</f>
        <v/>
      </c>
      <c r="M2524" s="141">
        <f>SUM(M2523+K2524-L2524)</f>
        <v/>
      </c>
    </row>
    <row r="2525">
      <c r="A2525" s="20" t="n">
        <v>45800</v>
      </c>
      <c r="B2525" s="21" t="n">
        <v>11739</v>
      </c>
      <c r="C2525" s="22" t="inlineStr">
        <is>
          <t>SELİM İNŞAAT</t>
        </is>
      </c>
      <c r="D2525" s="21" t="inlineStr">
        <is>
          <t>34 EDB 559</t>
        </is>
      </c>
      <c r="E2525" s="21" t="inlineStr">
        <is>
          <t>İBRAHİM GÜLLÜK</t>
        </is>
      </c>
      <c r="F2525" s="23" t="n">
        <v>319391</v>
      </c>
      <c r="G2525" s="138" t="n"/>
      <c r="H2525" s="138" t="n">
        <v>402</v>
      </c>
      <c r="I2525" s="138">
        <f>+I2524+(G2525-H2525)</f>
        <v/>
      </c>
      <c r="J2525" s="139" t="n">
        <v>39.488</v>
      </c>
      <c r="K2525" s="140" t="n"/>
      <c r="L2525" s="140">
        <f>+H2525*J2525</f>
        <v/>
      </c>
      <c r="M2525" s="141">
        <f>SUM(M2524+K2525-L2525)</f>
        <v/>
      </c>
    </row>
    <row r="2526">
      <c r="A2526" s="20" t="n">
        <v>45800</v>
      </c>
      <c r="B2526" s="21" t="n">
        <v>11484</v>
      </c>
      <c r="C2526" s="22" t="inlineStr">
        <is>
          <t>SELİM İNŞAAT</t>
        </is>
      </c>
      <c r="D2526" s="21" t="inlineStr">
        <is>
          <t>34 EGR 922</t>
        </is>
      </c>
      <c r="E2526" s="21" t="inlineStr">
        <is>
          <t>FARUK ÖZEN</t>
        </is>
      </c>
      <c r="F2526" s="23" t="n">
        <v>450799</v>
      </c>
      <c r="G2526" s="138" t="n"/>
      <c r="H2526" s="138" t="n">
        <v>388</v>
      </c>
      <c r="I2526" s="138">
        <f>+I2525+(G2526-H2526)</f>
        <v/>
      </c>
      <c r="J2526" s="139" t="n">
        <v>39.488</v>
      </c>
      <c r="K2526" s="140" t="n"/>
      <c r="L2526" s="140">
        <f>+H2526*J2526</f>
        <v/>
      </c>
      <c r="M2526" s="141">
        <f>SUM(M2525+K2526-L2526)</f>
        <v/>
      </c>
    </row>
    <row r="2527">
      <c r="A2527" s="20" t="n">
        <v>45800</v>
      </c>
      <c r="B2527" s="21" t="n">
        <v>14423</v>
      </c>
      <c r="C2527" s="22" t="inlineStr">
        <is>
          <t>SELİM İNŞAAT</t>
        </is>
      </c>
      <c r="D2527" s="21" t="inlineStr">
        <is>
          <t>34 EGR 737</t>
        </is>
      </c>
      <c r="E2527" s="21" t="inlineStr">
        <is>
          <t>CEM MUHTAR</t>
        </is>
      </c>
      <c r="F2527" s="23" t="n">
        <v>409769</v>
      </c>
      <c r="G2527" s="138" t="n"/>
      <c r="H2527" s="138" t="n">
        <v>242</v>
      </c>
      <c r="I2527" s="138">
        <f>+I2526+(G2527-H2527)</f>
        <v/>
      </c>
      <c r="J2527" s="139" t="n">
        <v>39.488</v>
      </c>
      <c r="K2527" s="140" t="n"/>
      <c r="L2527" s="140">
        <f>+H2527*J2527</f>
        <v/>
      </c>
      <c r="M2527" s="141">
        <f>SUM(M2526+K2527-L2527)</f>
        <v/>
      </c>
    </row>
    <row r="2528">
      <c r="A2528" s="20" t="n">
        <v>45800</v>
      </c>
      <c r="B2528" s="21" t="n">
        <v>14818</v>
      </c>
      <c r="C2528" s="22" t="inlineStr">
        <is>
          <t>SELİM İNŞAAT</t>
        </is>
      </c>
      <c r="D2528" s="21" t="inlineStr">
        <is>
          <t>34 GVZ 268</t>
        </is>
      </c>
      <c r="E2528" s="21" t="inlineStr">
        <is>
          <t>KERİM KARAMAN</t>
        </is>
      </c>
      <c r="F2528" s="23" t="n">
        <v>189034</v>
      </c>
      <c r="G2528" s="138" t="n"/>
      <c r="H2528" s="138" t="n">
        <v>452</v>
      </c>
      <c r="I2528" s="138">
        <f>+I2527+(G2528-H2528)</f>
        <v/>
      </c>
      <c r="J2528" s="139" t="n">
        <v>39.488</v>
      </c>
      <c r="K2528" s="140" t="n"/>
      <c r="L2528" s="140">
        <f>+H2528*J2528</f>
        <v/>
      </c>
      <c r="M2528" s="141">
        <f>SUM(M2527+K2528-L2528)</f>
        <v/>
      </c>
    </row>
    <row r="2529">
      <c r="A2529" s="20" t="n">
        <v>45800</v>
      </c>
      <c r="B2529" s="21" t="n">
        <v>11942</v>
      </c>
      <c r="C2529" s="22" t="inlineStr">
        <is>
          <t>SELİM İNŞAAT</t>
        </is>
      </c>
      <c r="D2529" s="21" t="inlineStr">
        <is>
          <t>34 FBR 742</t>
        </is>
      </c>
      <c r="E2529" s="21" t="inlineStr">
        <is>
          <t>MİKAİL BAYILMAZ</t>
        </is>
      </c>
      <c r="F2529" s="23" t="n">
        <v>314525</v>
      </c>
      <c r="G2529" s="138" t="n"/>
      <c r="H2529" s="138" t="n">
        <v>446</v>
      </c>
      <c r="I2529" s="138">
        <f>+I2528+(G2529-H2529)</f>
        <v/>
      </c>
      <c r="J2529" s="139" t="n">
        <v>39.488</v>
      </c>
      <c r="K2529" s="140" t="n"/>
      <c r="L2529" s="140">
        <f>+H2529*J2529</f>
        <v/>
      </c>
      <c r="M2529" s="141">
        <f>SUM(M2528+K2529-L2529)</f>
        <v/>
      </c>
    </row>
    <row r="2530">
      <c r="A2530" s="20" t="n">
        <v>45800</v>
      </c>
      <c r="B2530" s="21" t="n">
        <v>14231</v>
      </c>
      <c r="C2530" s="22" t="inlineStr">
        <is>
          <t>SELİM İNŞAAT</t>
        </is>
      </c>
      <c r="D2530" s="21" t="inlineStr">
        <is>
          <t xml:space="preserve">34 GUS 938 </t>
        </is>
      </c>
      <c r="E2530" s="21" t="inlineStr">
        <is>
          <t>MEHMET KAYA</t>
        </is>
      </c>
      <c r="F2530" s="23" t="n">
        <v>182543</v>
      </c>
      <c r="G2530" s="138" t="n"/>
      <c r="H2530" s="138" t="n">
        <v>463</v>
      </c>
      <c r="I2530" s="138">
        <f>+I2529+(G2530-H2530)</f>
        <v/>
      </c>
      <c r="J2530" s="139" t="n">
        <v>39.488</v>
      </c>
      <c r="K2530" s="140" t="n"/>
      <c r="L2530" s="140">
        <f>+H2530*J2530</f>
        <v/>
      </c>
      <c r="M2530" s="141">
        <f>SUM(M2529+K2530-L2530)</f>
        <v/>
      </c>
    </row>
    <row r="2531">
      <c r="A2531" s="20" t="n">
        <v>45800</v>
      </c>
      <c r="B2531" s="21" t="n">
        <v>14032</v>
      </c>
      <c r="C2531" s="22" t="inlineStr">
        <is>
          <t>SELİM İNŞAAT</t>
        </is>
      </c>
      <c r="D2531" s="21" t="inlineStr">
        <is>
          <t>34 GVZ 310</t>
        </is>
      </c>
      <c r="E2531" s="21" t="inlineStr">
        <is>
          <t>CELAL YÜZBAŞI</t>
        </is>
      </c>
      <c r="F2531" s="23" t="n">
        <v>193843</v>
      </c>
      <c r="G2531" s="138" t="n"/>
      <c r="H2531" s="138" t="n">
        <v>406</v>
      </c>
      <c r="I2531" s="138">
        <f>+I2530+(G2531-H2531)</f>
        <v/>
      </c>
      <c r="J2531" s="139" t="n">
        <v>39.488</v>
      </c>
      <c r="K2531" s="140" t="n"/>
      <c r="L2531" s="140">
        <f>+H2531*J2531</f>
        <v/>
      </c>
      <c r="M2531" s="141">
        <f>SUM(M2530+K2531-L2531)</f>
        <v/>
      </c>
    </row>
    <row r="2532">
      <c r="A2532" s="20" t="n">
        <v>45800</v>
      </c>
      <c r="B2532" s="21" t="n">
        <v>21623</v>
      </c>
      <c r="C2532" s="22" t="inlineStr">
        <is>
          <t>SELİM İNŞAAT</t>
        </is>
      </c>
      <c r="D2532" s="21" t="inlineStr">
        <is>
          <t>34 DHC 467</t>
        </is>
      </c>
      <c r="E2532" s="21" t="inlineStr">
        <is>
          <t>ERSEL DERVİŞ</t>
        </is>
      </c>
      <c r="F2532" s="23" t="n">
        <v>401127</v>
      </c>
      <c r="G2532" s="138" t="n"/>
      <c r="H2532" s="138" t="n">
        <v>240</v>
      </c>
      <c r="I2532" s="138">
        <f>+I2531+(G2532-H2532)</f>
        <v/>
      </c>
      <c r="J2532" s="139" t="n">
        <v>39.488</v>
      </c>
      <c r="K2532" s="140" t="n"/>
      <c r="L2532" s="140">
        <f>+H2532*J2532</f>
        <v/>
      </c>
      <c r="M2532" s="141">
        <f>SUM(M2531+K2532-L2532)</f>
        <v/>
      </c>
    </row>
    <row r="2533">
      <c r="A2533" s="20" t="n">
        <v>45800</v>
      </c>
      <c r="B2533" s="21" t="n">
        <v>15913</v>
      </c>
      <c r="C2533" s="22" t="inlineStr">
        <is>
          <t>SELİM İNŞAAT</t>
        </is>
      </c>
      <c r="D2533" s="21" t="inlineStr">
        <is>
          <t>34 DFE 454</t>
        </is>
      </c>
      <c r="E2533" s="21" t="inlineStr">
        <is>
          <t>METİN KALKAN</t>
        </is>
      </c>
      <c r="F2533" s="23" t="n">
        <v>158828</v>
      </c>
      <c r="G2533" s="138" t="n"/>
      <c r="H2533" s="138" t="n">
        <v>131</v>
      </c>
      <c r="I2533" s="138">
        <f>+I2532+(G2533-H2533)</f>
        <v/>
      </c>
      <c r="J2533" s="139" t="n">
        <v>39.488</v>
      </c>
      <c r="K2533" s="140" t="n"/>
      <c r="L2533" s="140">
        <f>+H2533*J2533</f>
        <v/>
      </c>
      <c r="M2533" s="141">
        <f>SUM(M2532+K2533-L2533)</f>
        <v/>
      </c>
    </row>
    <row r="2534">
      <c r="A2534" s="20" t="n">
        <v>45800</v>
      </c>
      <c r="B2534" s="21" t="n">
        <v>14526</v>
      </c>
      <c r="C2534" s="22" t="inlineStr">
        <is>
          <t>SELİM İNŞAAT</t>
        </is>
      </c>
      <c r="D2534" s="21" t="inlineStr">
        <is>
          <t>34 GER 028</t>
        </is>
      </c>
      <c r="E2534" s="21" t="inlineStr">
        <is>
          <t>A.KERİM ERGEN</t>
        </is>
      </c>
      <c r="F2534" s="23" t="n">
        <v>43666</v>
      </c>
      <c r="G2534" s="138" t="n"/>
      <c r="H2534" s="138" t="n">
        <v>247</v>
      </c>
      <c r="I2534" s="138">
        <f>+I2533+(G2534-H2534)</f>
        <v/>
      </c>
      <c r="J2534" s="139" t="n">
        <v>39.488</v>
      </c>
      <c r="K2534" s="140" t="n"/>
      <c r="L2534" s="140">
        <f>+H2534*J2534</f>
        <v/>
      </c>
      <c r="M2534" s="141">
        <f>SUM(M2533+K2534-L2534)</f>
        <v/>
      </c>
    </row>
    <row r="2535">
      <c r="A2535" s="20" t="n">
        <v>45800</v>
      </c>
      <c r="B2535" s="21" t="n">
        <v>15656</v>
      </c>
      <c r="C2535" s="22" t="inlineStr">
        <is>
          <t>METİN ERYİĞİT</t>
        </is>
      </c>
      <c r="D2535" s="21" t="inlineStr">
        <is>
          <t>34 EGR 814</t>
        </is>
      </c>
      <c r="E2535" s="21" t="inlineStr">
        <is>
          <t>GÜRAY KOYUNCU</t>
        </is>
      </c>
      <c r="F2535" s="23" t="n">
        <v>537119</v>
      </c>
      <c r="G2535" s="138" t="n"/>
      <c r="H2535" s="138" t="n">
        <v>491</v>
      </c>
      <c r="I2535" s="138">
        <f>+I2534+(G2535-H2535)</f>
        <v/>
      </c>
      <c r="J2535" s="139" t="n">
        <v>39.488</v>
      </c>
      <c r="K2535" s="140" t="n"/>
      <c r="L2535" s="140">
        <f>+H2535*J2535</f>
        <v/>
      </c>
      <c r="M2535" s="141">
        <f>SUM(M2534+K2535-L2535)</f>
        <v/>
      </c>
    </row>
    <row r="2536">
      <c r="A2536" s="20" t="n">
        <v>45800</v>
      </c>
      <c r="B2536" s="21" t="n">
        <v>14730</v>
      </c>
      <c r="C2536" s="22" t="inlineStr">
        <is>
          <t>METİN ERYİĞİT</t>
        </is>
      </c>
      <c r="D2536" s="21" t="inlineStr">
        <is>
          <t>34 GBL 998</t>
        </is>
      </c>
      <c r="E2536" s="21" t="inlineStr">
        <is>
          <t>ALİ KESKİN</t>
        </is>
      </c>
      <c r="F2536" s="23" t="n">
        <v>263192</v>
      </c>
      <c r="G2536" s="138" t="n"/>
      <c r="H2536" s="138" t="n">
        <v>445</v>
      </c>
      <c r="I2536" s="138">
        <f>+I2535+(G2536-H2536)</f>
        <v/>
      </c>
      <c r="J2536" s="139" t="n">
        <v>39.488</v>
      </c>
      <c r="K2536" s="140" t="n"/>
      <c r="L2536" s="140">
        <f>+H2536*J2536</f>
        <v/>
      </c>
      <c r="M2536" s="141">
        <f>SUM(M2535+K2536-L2536)</f>
        <v/>
      </c>
    </row>
    <row r="2537">
      <c r="A2537" s="20" t="n">
        <v>45800</v>
      </c>
      <c r="B2537" s="21" t="n">
        <v>15602</v>
      </c>
      <c r="C2537" s="22" t="inlineStr">
        <is>
          <t>METİN ERYİĞİT</t>
        </is>
      </c>
      <c r="D2537" s="21" t="inlineStr">
        <is>
          <t>34 EGS 013</t>
        </is>
      </c>
      <c r="E2537" s="21" t="inlineStr">
        <is>
          <t xml:space="preserve">UĞUR DUMAN </t>
        </is>
      </c>
      <c r="F2537" s="23" t="n">
        <v>484072</v>
      </c>
      <c r="G2537" s="138" t="n"/>
      <c r="H2537" s="138" t="n">
        <v>447</v>
      </c>
      <c r="I2537" s="138">
        <f>+I2536+(G2537-H2537)</f>
        <v/>
      </c>
      <c r="J2537" s="139" t="n">
        <v>39.488</v>
      </c>
      <c r="K2537" s="140" t="n"/>
      <c r="L2537" s="140">
        <f>+H2537*J2537</f>
        <v/>
      </c>
      <c r="M2537" s="141">
        <f>SUM(M2536+K2537-L2537)</f>
        <v/>
      </c>
    </row>
    <row r="2538">
      <c r="A2538" s="20" t="n">
        <v>45800</v>
      </c>
      <c r="B2538" s="21" t="n">
        <v>14690</v>
      </c>
      <c r="C2538" s="22" t="inlineStr">
        <is>
          <t>AHMET SELİM TEMHA</t>
        </is>
      </c>
      <c r="D2538" s="21" t="inlineStr">
        <is>
          <t>34 DGE 422</t>
        </is>
      </c>
      <c r="E2538" s="21" t="inlineStr">
        <is>
          <t xml:space="preserve">ERSOY SIĞINMAZ </t>
        </is>
      </c>
      <c r="F2538" s="23" t="n"/>
      <c r="G2538" s="138" t="n"/>
      <c r="H2538" s="138" t="n">
        <v>56</v>
      </c>
      <c r="I2538" s="138">
        <f>+I2537+(G2538-H2538)</f>
        <v/>
      </c>
      <c r="J2538" s="139" t="n">
        <v>39.488</v>
      </c>
      <c r="K2538" s="140" t="n"/>
      <c r="L2538" s="140">
        <f>+H2538*J2538</f>
        <v/>
      </c>
      <c r="M2538" s="141">
        <f>SUM(M2537+K2538-L2538)</f>
        <v/>
      </c>
    </row>
    <row r="2539">
      <c r="A2539" s="20" t="n">
        <v>45800</v>
      </c>
      <c r="B2539" s="21" t="n">
        <v>10389</v>
      </c>
      <c r="C2539" s="22" t="inlineStr">
        <is>
          <t>SELİM İNŞAAT</t>
        </is>
      </c>
      <c r="D2539" s="21" t="inlineStr">
        <is>
          <t>34 DRU 690</t>
        </is>
      </c>
      <c r="E2539" s="21" t="inlineStr">
        <is>
          <t>MURAT DEMİRBAŞ</t>
        </is>
      </c>
      <c r="F2539" s="23" t="n">
        <v>412032</v>
      </c>
      <c r="G2539" s="138" t="n"/>
      <c r="H2539" s="138" t="n">
        <v>352</v>
      </c>
      <c r="I2539" s="138">
        <f>+I2538+(G2539-H2539)</f>
        <v/>
      </c>
      <c r="J2539" s="139" t="n">
        <v>39.488</v>
      </c>
      <c r="K2539" s="140" t="n"/>
      <c r="L2539" s="140">
        <f>+H2539*J2539</f>
        <v/>
      </c>
      <c r="M2539" s="141">
        <f>SUM(M2538+K2539-L2539)</f>
        <v/>
      </c>
    </row>
    <row r="2540">
      <c r="A2540" s="20" t="n">
        <v>45800</v>
      </c>
      <c r="B2540" s="1" t="n">
        <v>15788</v>
      </c>
      <c r="C2540" s="2" t="inlineStr">
        <is>
          <t>EVKUR</t>
        </is>
      </c>
      <c r="D2540" s="1" t="inlineStr">
        <is>
          <t>RT 650 SARI VİNÇ</t>
        </is>
      </c>
      <c r="E2540" s="1" t="inlineStr">
        <is>
          <t>ALİHAN DUMAN</t>
        </is>
      </c>
      <c r="F2540" s="3" t="n"/>
      <c r="G2540" s="143" t="n"/>
      <c r="H2540" s="143" t="n">
        <v>205</v>
      </c>
      <c r="I2540" s="143">
        <f>+I2539+(G2540-H2540)</f>
        <v/>
      </c>
      <c r="J2540" s="144" t="n">
        <v>39.488</v>
      </c>
      <c r="K2540" s="145" t="n"/>
      <c r="L2540" s="140">
        <f>+H2540*J2540</f>
        <v/>
      </c>
      <c r="M2540" s="141">
        <f>SUM(M2539+K2540-L2540)</f>
        <v/>
      </c>
    </row>
    <row r="2541">
      <c r="A2541" s="20" t="n">
        <v>45800</v>
      </c>
      <c r="B2541" s="21" t="n">
        <v>15789</v>
      </c>
      <c r="C2541" s="22" t="inlineStr">
        <is>
          <t>VARLIK</t>
        </is>
      </c>
      <c r="D2541" s="21" t="inlineStr">
        <is>
          <t>FOKLİFT</t>
        </is>
      </c>
      <c r="E2541" s="21" t="inlineStr">
        <is>
          <t>FAHRİ KALFA</t>
        </is>
      </c>
      <c r="F2541" s="23" t="n"/>
      <c r="G2541" s="138" t="n"/>
      <c r="H2541" s="138" t="n">
        <v>35</v>
      </c>
      <c r="I2541" s="138">
        <f>+I2540+(G2541-H2541)</f>
        <v/>
      </c>
      <c r="J2541" s="139" t="n">
        <v>39.488</v>
      </c>
      <c r="K2541" s="140" t="n"/>
      <c r="L2541" s="140">
        <f>+H2541*J2541</f>
        <v/>
      </c>
      <c r="M2541" s="141">
        <f>SUM(M2540+K2541-L2541)</f>
        <v/>
      </c>
    </row>
    <row r="2542">
      <c r="A2542" s="20" t="n">
        <v>45800</v>
      </c>
      <c r="B2542" s="1" t="n">
        <v>15790</v>
      </c>
      <c r="C2542" s="2" t="inlineStr">
        <is>
          <t>GÜRSES</t>
        </is>
      </c>
      <c r="D2542" s="1" t="inlineStr">
        <is>
          <t>SM 350</t>
        </is>
      </c>
      <c r="E2542" s="1" t="inlineStr">
        <is>
          <t>TEVFİK ÖZTÜRK</t>
        </is>
      </c>
      <c r="F2542" s="3" t="n"/>
      <c r="G2542" s="143" t="n"/>
      <c r="H2542" s="143" t="n">
        <v>358</v>
      </c>
      <c r="I2542" s="143">
        <f>+I2541+(G2542-H2542)</f>
        <v/>
      </c>
      <c r="J2542" s="144" t="n">
        <v>39.488</v>
      </c>
      <c r="K2542" s="145" t="n"/>
      <c r="L2542" s="140">
        <f>+H2542*J2542</f>
        <v/>
      </c>
      <c r="M2542" s="141">
        <f>SUM(M2541+K2542-L2542)</f>
        <v/>
      </c>
    </row>
    <row r="2543">
      <c r="A2543" s="20" t="n">
        <v>45800</v>
      </c>
      <c r="B2543" s="1" t="n">
        <v>15791</v>
      </c>
      <c r="C2543" s="2" t="inlineStr">
        <is>
          <t>VARLIK</t>
        </is>
      </c>
      <c r="D2543" s="1" t="inlineStr">
        <is>
          <t>KAZIK MAKİNASI</t>
        </is>
      </c>
      <c r="E2543" s="1" t="inlineStr">
        <is>
          <t>BURAK BEY' İN TALİMATIYLA</t>
        </is>
      </c>
      <c r="F2543" s="3" t="n"/>
      <c r="G2543" s="143" t="n"/>
      <c r="H2543" s="143" t="n">
        <v>239</v>
      </c>
      <c r="I2543" s="143">
        <f>+I2542+(G2543-H2543)</f>
        <v/>
      </c>
      <c r="J2543" s="144" t="n">
        <v>39.488</v>
      </c>
      <c r="K2543" s="145" t="n"/>
      <c r="L2543" s="140">
        <f>+H2543*J2543</f>
        <v/>
      </c>
      <c r="M2543" s="141">
        <f>SUM(M2542+K2543-L2543)</f>
        <v/>
      </c>
    </row>
    <row r="2544">
      <c r="A2544" s="20" t="n">
        <v>45800</v>
      </c>
      <c r="B2544" s="1" t="n">
        <v>15792</v>
      </c>
      <c r="C2544" s="2" t="inlineStr">
        <is>
          <t>VARLIK</t>
        </is>
      </c>
      <c r="D2544" s="1" t="inlineStr">
        <is>
          <t>KAVAZAKİ</t>
        </is>
      </c>
      <c r="E2544" s="1" t="inlineStr">
        <is>
          <t>UFUK SEVAL</t>
        </is>
      </c>
      <c r="F2544" s="3" t="n"/>
      <c r="G2544" s="143" t="n"/>
      <c r="H2544" s="143" t="n">
        <v>208</v>
      </c>
      <c r="I2544" s="143">
        <f>+I2543+(G2544-H2544)</f>
        <v/>
      </c>
      <c r="J2544" s="144" t="n">
        <v>39.488</v>
      </c>
      <c r="K2544" s="145" t="n"/>
      <c r="L2544" s="140">
        <f>+H2544*J2544</f>
        <v/>
      </c>
      <c r="M2544" s="141">
        <f>SUM(M2543+K2544-L2544)</f>
        <v/>
      </c>
    </row>
    <row r="2545">
      <c r="A2545" s="20" t="n">
        <v>45800</v>
      </c>
      <c r="B2545" s="1" t="n">
        <v>15793</v>
      </c>
      <c r="C2545" s="2" t="inlineStr">
        <is>
          <t>VARLIK</t>
        </is>
      </c>
      <c r="D2545" s="1" t="inlineStr">
        <is>
          <t>SM 370</t>
        </is>
      </c>
      <c r="E2545" s="1" t="inlineStr">
        <is>
          <t>TEKİN ŞEYLAN</t>
        </is>
      </c>
      <c r="F2545" s="3" t="n"/>
      <c r="G2545" s="143" t="n"/>
      <c r="H2545" s="143" t="n">
        <v>340</v>
      </c>
      <c r="I2545" s="143">
        <f>+I2544+(G2545-H2545)</f>
        <v/>
      </c>
      <c r="J2545" s="144" t="n">
        <v>39.488</v>
      </c>
      <c r="K2545" s="145" t="n"/>
      <c r="L2545" s="140">
        <f>+H2545*J2545</f>
        <v/>
      </c>
      <c r="M2545" s="141">
        <f>SUM(M2544+K2545-L2545)</f>
        <v/>
      </c>
    </row>
    <row r="2546">
      <c r="A2546" s="20" t="n">
        <v>45800</v>
      </c>
      <c r="B2546" s="1" t="n">
        <v>15794</v>
      </c>
      <c r="C2546" s="2" t="inlineStr">
        <is>
          <t>VARLIK</t>
        </is>
      </c>
      <c r="D2546" s="1" t="inlineStr">
        <is>
          <t>SM 350</t>
        </is>
      </c>
      <c r="E2546" s="1" t="inlineStr">
        <is>
          <t>BAYRAM SANCAK</t>
        </is>
      </c>
      <c r="F2546" s="3" t="n"/>
      <c r="G2546" s="143" t="n"/>
      <c r="H2546" s="143" t="n">
        <v>375</v>
      </c>
      <c r="I2546" s="143">
        <f>+I2545+(G2546-H2546)</f>
        <v/>
      </c>
      <c r="J2546" s="144" t="n">
        <v>39.488</v>
      </c>
      <c r="K2546" s="145" t="n"/>
      <c r="L2546" s="140">
        <f>+H2546*J2546</f>
        <v/>
      </c>
      <c r="M2546" s="141">
        <f>SUM(M2545+K2546-L2546)</f>
        <v/>
      </c>
    </row>
    <row r="2547">
      <c r="A2547" s="20" t="n">
        <v>45800</v>
      </c>
      <c r="B2547" s="1" t="n">
        <v>15795</v>
      </c>
      <c r="C2547" s="2" t="inlineStr">
        <is>
          <t>VARLIK</t>
        </is>
      </c>
      <c r="D2547" s="1" t="inlineStr">
        <is>
          <t>SM 300</t>
        </is>
      </c>
      <c r="E2547" s="1" t="inlineStr">
        <is>
          <t>TURGUT SANCAK</t>
        </is>
      </c>
      <c r="F2547" s="3" t="n"/>
      <c r="G2547" s="143" t="n"/>
      <c r="H2547" s="143" t="n">
        <v>330</v>
      </c>
      <c r="I2547" s="143">
        <f>+I2546+(G2547-H2547)</f>
        <v/>
      </c>
      <c r="J2547" s="144" t="n">
        <v>39.488</v>
      </c>
      <c r="K2547" s="145" t="n"/>
      <c r="L2547" s="140">
        <f>+H2547*J2547</f>
        <v/>
      </c>
      <c r="M2547" s="141">
        <f>SUM(M2546+K2547-L2547)</f>
        <v/>
      </c>
    </row>
    <row r="2548">
      <c r="A2548" s="20" t="n">
        <v>45801</v>
      </c>
      <c r="B2548" s="21" t="n">
        <v>104</v>
      </c>
      <c r="C2548" s="22" t="inlineStr">
        <is>
          <t>MİRBE PETROL SANAYİ VE TİCARET ANONİM ŞİRKETİ</t>
        </is>
      </c>
      <c r="D2548" s="21" t="n"/>
      <c r="E2548" s="21" t="n"/>
      <c r="F2548" s="23" t="n"/>
      <c r="G2548" s="138" t="n">
        <v>24345</v>
      </c>
      <c r="H2548" s="138" t="n"/>
      <c r="I2548" s="138">
        <f>+I2547+(G2548-H2548)</f>
        <v/>
      </c>
      <c r="J2548" s="139">
        <f>+K2548/G2548</f>
        <v/>
      </c>
      <c r="K2548" s="140" t="n">
        <v>990078.9399999999</v>
      </c>
      <c r="L2548" s="140">
        <f>+H2548*J2548</f>
        <v/>
      </c>
      <c r="M2548" s="141">
        <f>SUM(M2547+K2548-L2548)</f>
        <v/>
      </c>
    </row>
    <row r="2549">
      <c r="A2549" s="20" t="n">
        <v>45801</v>
      </c>
      <c r="B2549" s="21" t="n">
        <v>10200</v>
      </c>
      <c r="C2549" s="22" t="inlineStr">
        <is>
          <t>SELİM İNŞAAT</t>
        </is>
      </c>
      <c r="D2549" s="21" t="inlineStr">
        <is>
          <t>34 EGR 736</t>
        </is>
      </c>
      <c r="E2549" s="21" t="inlineStr">
        <is>
          <t>HAKAN ÇAVUŞOĞLU</t>
        </is>
      </c>
      <c r="F2549" s="23" t="n">
        <v>386248</v>
      </c>
      <c r="G2549" s="138" t="n"/>
      <c r="H2549" s="138" t="n">
        <v>532</v>
      </c>
      <c r="I2549" s="138">
        <f>+I2548+(G2549-H2549)</f>
        <v/>
      </c>
      <c r="J2549" s="139" t="n">
        <v>40.669</v>
      </c>
      <c r="K2549" s="140" t="n"/>
      <c r="L2549" s="140">
        <f>+H2549*J2549</f>
        <v/>
      </c>
      <c r="M2549" s="141">
        <f>SUM(M2548+K2549-L2549)</f>
        <v/>
      </c>
    </row>
    <row r="2550">
      <c r="A2550" s="20" t="n">
        <v>45801</v>
      </c>
      <c r="B2550" s="21" t="n">
        <v>10094</v>
      </c>
      <c r="C2550" s="22" t="inlineStr">
        <is>
          <t>SELİM İNŞAAT</t>
        </is>
      </c>
      <c r="D2550" s="21" t="inlineStr">
        <is>
          <t>34 FBR 771</t>
        </is>
      </c>
      <c r="E2550" s="21" t="inlineStr">
        <is>
          <t>HÜSEYİN AKÇİN</t>
        </is>
      </c>
      <c r="F2550" s="23" t="n">
        <v>315156</v>
      </c>
      <c r="G2550" s="138" t="n"/>
      <c r="H2550" s="138" t="n">
        <v>320</v>
      </c>
      <c r="I2550" s="138">
        <f>+I2549+(G2550-H2550)</f>
        <v/>
      </c>
      <c r="J2550" s="139" t="n">
        <v>40.669</v>
      </c>
      <c r="K2550" s="140" t="n"/>
      <c r="L2550" s="140">
        <f>+H2550*J2550</f>
        <v/>
      </c>
      <c r="M2550" s="141">
        <f>SUM(M2549+K2550-L2550)</f>
        <v/>
      </c>
    </row>
    <row r="2551">
      <c r="A2551" s="20" t="n">
        <v>45801</v>
      </c>
      <c r="B2551" s="21" t="n">
        <v>14082</v>
      </c>
      <c r="C2551" s="22" t="inlineStr">
        <is>
          <t>SELİM İNŞAAT</t>
        </is>
      </c>
      <c r="D2551" s="21" t="inlineStr">
        <is>
          <t>34 EDB 659</t>
        </is>
      </c>
      <c r="E2551" s="21" t="inlineStr">
        <is>
          <t>MEHMET SAİT ANIK</t>
        </is>
      </c>
      <c r="F2551" s="23" t="n">
        <v>336430</v>
      </c>
      <c r="G2551" s="138" t="n"/>
      <c r="H2551" s="138" t="n">
        <v>325</v>
      </c>
      <c r="I2551" s="138">
        <f>+I2550+(G2551-H2551)</f>
        <v/>
      </c>
      <c r="J2551" s="139" t="n">
        <v>40.669</v>
      </c>
      <c r="K2551" s="140" t="n"/>
      <c r="L2551" s="140">
        <f>+H2551*J2551</f>
        <v/>
      </c>
      <c r="M2551" s="141">
        <f>SUM(M2550+K2551-L2551)</f>
        <v/>
      </c>
    </row>
    <row r="2552">
      <c r="A2552" s="20" t="n">
        <v>45801</v>
      </c>
      <c r="B2552" s="21" t="n">
        <v>10544</v>
      </c>
      <c r="C2552" s="22" t="inlineStr">
        <is>
          <t>SELİM İNŞAAT</t>
        </is>
      </c>
      <c r="D2552" s="21" t="inlineStr">
        <is>
          <t>34 EDB 922</t>
        </is>
      </c>
      <c r="E2552" s="21" t="inlineStr">
        <is>
          <t>AHMET TOPÇU</t>
        </is>
      </c>
      <c r="F2552" s="23" t="n">
        <v>358192</v>
      </c>
      <c r="G2552" s="138" t="n"/>
      <c r="H2552" s="138" t="n">
        <v>394</v>
      </c>
      <c r="I2552" s="138">
        <f>+I2551+(G2552-H2552)</f>
        <v/>
      </c>
      <c r="J2552" s="139" t="n">
        <v>40.669</v>
      </c>
      <c r="K2552" s="140" t="n"/>
      <c r="L2552" s="140">
        <f>+H2552*J2552</f>
        <v/>
      </c>
      <c r="M2552" s="141">
        <f>SUM(M2551+K2552-L2552)</f>
        <v/>
      </c>
    </row>
    <row r="2553">
      <c r="A2553" s="20" t="n">
        <v>45801</v>
      </c>
      <c r="B2553" s="21" t="n">
        <v>14129</v>
      </c>
      <c r="C2553" s="22" t="inlineStr">
        <is>
          <t>SELİM İNŞAAT</t>
        </is>
      </c>
      <c r="D2553" s="21" t="inlineStr">
        <is>
          <t>34 DSN 536</t>
        </is>
      </c>
      <c r="E2553" s="21" t="inlineStr">
        <is>
          <t>DURSUN ALİ GÜREK</t>
        </is>
      </c>
      <c r="F2553" s="23" t="n">
        <v>401874</v>
      </c>
      <c r="G2553" s="138" t="n"/>
      <c r="H2553" s="138" t="n">
        <v>392</v>
      </c>
      <c r="I2553" s="138">
        <f>+I2552+(G2553-H2553)</f>
        <v/>
      </c>
      <c r="J2553" s="139" t="n">
        <v>40.669</v>
      </c>
      <c r="K2553" s="140" t="n"/>
      <c r="L2553" s="140">
        <f>+H2553*J2553</f>
        <v/>
      </c>
      <c r="M2553" s="141">
        <f>SUM(M2552+K2553-L2553)</f>
        <v/>
      </c>
    </row>
    <row r="2554">
      <c r="A2554" s="20" t="n">
        <v>45801</v>
      </c>
      <c r="B2554" s="21" t="n">
        <v>10233</v>
      </c>
      <c r="C2554" s="22" t="inlineStr">
        <is>
          <t>SELİM İNŞAAT</t>
        </is>
      </c>
      <c r="D2554" s="21" t="inlineStr">
        <is>
          <t>34 DSN 621</t>
        </is>
      </c>
      <c r="E2554" s="21" t="inlineStr">
        <is>
          <t>MUSTAFA KAYA</t>
        </is>
      </c>
      <c r="F2554" s="23" t="n">
        <v>407353</v>
      </c>
      <c r="G2554" s="138" t="n"/>
      <c r="H2554" s="138" t="n">
        <v>297</v>
      </c>
      <c r="I2554" s="138">
        <f>+I2553+(G2554-H2554)</f>
        <v/>
      </c>
      <c r="J2554" s="139" t="n">
        <v>40.669</v>
      </c>
      <c r="K2554" s="140" t="n"/>
      <c r="L2554" s="140">
        <f>+H2554*J2554</f>
        <v/>
      </c>
      <c r="M2554" s="141">
        <f>SUM(M2553+K2554-L2554)</f>
        <v/>
      </c>
    </row>
    <row r="2555">
      <c r="A2555" s="20" t="n">
        <v>45801</v>
      </c>
      <c r="B2555" s="21" t="n">
        <v>15851</v>
      </c>
      <c r="C2555" s="22" t="inlineStr">
        <is>
          <t>SELİM İNŞAAT</t>
        </is>
      </c>
      <c r="D2555" s="21" t="inlineStr">
        <is>
          <t>34 EDB 754</t>
        </is>
      </c>
      <c r="E2555" s="21" t="inlineStr">
        <is>
          <t>EMİN PARLAKKILIÇ</t>
        </is>
      </c>
      <c r="F2555" s="23" t="n">
        <v>318329</v>
      </c>
      <c r="G2555" s="138" t="n"/>
      <c r="H2555" s="138" t="n">
        <v>379</v>
      </c>
      <c r="I2555" s="138">
        <f>+I2554+(G2555-H2555)</f>
        <v/>
      </c>
      <c r="J2555" s="139" t="n">
        <v>40.669</v>
      </c>
      <c r="K2555" s="140" t="n"/>
      <c r="L2555" s="140">
        <f>+H2555*J2555</f>
        <v/>
      </c>
      <c r="M2555" s="141">
        <f>SUM(M2554+K2555-L2555)</f>
        <v/>
      </c>
    </row>
    <row r="2556">
      <c r="A2556" s="20" t="n">
        <v>45801</v>
      </c>
      <c r="B2556" s="21" t="n">
        <v>15016</v>
      </c>
      <c r="C2556" s="22" t="inlineStr">
        <is>
          <t>SELİM İNŞAAT</t>
        </is>
      </c>
      <c r="D2556" s="21" t="inlineStr">
        <is>
          <t>34 GVZ 199</t>
        </is>
      </c>
      <c r="E2556" s="21" t="inlineStr">
        <is>
          <t>VAHDET GÜRLER</t>
        </is>
      </c>
      <c r="F2556" s="23" t="n">
        <v>176945</v>
      </c>
      <c r="G2556" s="138" t="n"/>
      <c r="H2556" s="138" t="n">
        <v>464</v>
      </c>
      <c r="I2556" s="138">
        <f>+I2555+(G2556-H2556)</f>
        <v/>
      </c>
      <c r="J2556" s="139" t="n">
        <v>40.669</v>
      </c>
      <c r="K2556" s="140" t="n"/>
      <c r="L2556" s="140">
        <f>+H2556*J2556</f>
        <v/>
      </c>
      <c r="M2556" s="141">
        <f>SUM(M2555+K2556-L2556)</f>
        <v/>
      </c>
    </row>
    <row r="2557">
      <c r="A2557" s="20" t="n">
        <v>45801</v>
      </c>
      <c r="B2557" s="21" t="n">
        <v>11836</v>
      </c>
      <c r="C2557" s="22" t="inlineStr">
        <is>
          <t>SELİM İNŞAAT</t>
        </is>
      </c>
      <c r="D2557" s="21" t="inlineStr">
        <is>
          <t>34 FSG 229</t>
        </is>
      </c>
      <c r="E2557" s="21" t="inlineStr">
        <is>
          <t>SİNAN TANRIVERDİ</t>
        </is>
      </c>
      <c r="F2557" s="23" t="n">
        <v>254643</v>
      </c>
      <c r="G2557" s="138" t="n"/>
      <c r="H2557" s="138" t="n">
        <v>423</v>
      </c>
      <c r="I2557" s="138">
        <f>+I2556+(G2557-H2557)</f>
        <v/>
      </c>
      <c r="J2557" s="139" t="n">
        <v>40.669</v>
      </c>
      <c r="K2557" s="140" t="n"/>
      <c r="L2557" s="140">
        <f>+H2557*J2557</f>
        <v/>
      </c>
      <c r="M2557" s="141">
        <f>SUM(M2556+K2557-L2557)</f>
        <v/>
      </c>
    </row>
    <row r="2558">
      <c r="A2558" s="20" t="n">
        <v>45801</v>
      </c>
      <c r="B2558" s="21" t="n">
        <v>14336</v>
      </c>
      <c r="C2558" s="22" t="inlineStr">
        <is>
          <t>SELİM İNŞAAT</t>
        </is>
      </c>
      <c r="D2558" s="21" t="inlineStr">
        <is>
          <t>34 DKL 866</t>
        </is>
      </c>
      <c r="E2558" s="21" t="inlineStr">
        <is>
          <t>SELİM CAN ÖNVER</t>
        </is>
      </c>
      <c r="F2558" s="23" t="n">
        <v>65244</v>
      </c>
      <c r="G2558" s="138" t="n"/>
      <c r="H2558" s="138" t="n">
        <v>103</v>
      </c>
      <c r="I2558" s="138">
        <f>+I2557+(G2558-H2558)</f>
        <v/>
      </c>
      <c r="J2558" s="139" t="n">
        <v>40.669</v>
      </c>
      <c r="K2558" s="140" t="n"/>
      <c r="L2558" s="140">
        <f>+H2558*J2558</f>
        <v/>
      </c>
      <c r="M2558" s="141">
        <f>SUM(M2557+K2558-L2558)</f>
        <v/>
      </c>
    </row>
    <row r="2559">
      <c r="A2559" s="20" t="n">
        <v>45801</v>
      </c>
      <c r="B2559" s="21" t="n">
        <v>16739</v>
      </c>
      <c r="C2559" s="22" t="inlineStr">
        <is>
          <t>SELİM İNŞAAT</t>
        </is>
      </c>
      <c r="D2559" s="21" t="inlineStr">
        <is>
          <t>34 JBA 25</t>
        </is>
      </c>
      <c r="E2559" s="21" t="inlineStr">
        <is>
          <t>ABDURRAHMAN SERDAN</t>
        </is>
      </c>
      <c r="F2559" s="23" t="n">
        <v>334138</v>
      </c>
      <c r="G2559" s="138" t="n"/>
      <c r="H2559" s="138" t="n">
        <v>68</v>
      </c>
      <c r="I2559" s="138">
        <f>+I2558+(G2559-H2559)</f>
        <v/>
      </c>
      <c r="J2559" s="139" t="n">
        <v>40.669</v>
      </c>
      <c r="K2559" s="140" t="n"/>
      <c r="L2559" s="140">
        <f>+H2559*J2559</f>
        <v/>
      </c>
      <c r="M2559" s="141">
        <f>SUM(M2558+K2559-L2559)</f>
        <v/>
      </c>
    </row>
    <row r="2560">
      <c r="A2560" s="20" t="n">
        <v>45801</v>
      </c>
      <c r="B2560" s="21" t="n">
        <v>15152</v>
      </c>
      <c r="C2560" s="22" t="inlineStr">
        <is>
          <t>SELİM İNŞAAT</t>
        </is>
      </c>
      <c r="D2560" s="21" t="inlineStr">
        <is>
          <t>34 DP 4161</t>
        </is>
      </c>
      <c r="E2560" s="21" t="inlineStr">
        <is>
          <t>RIFAT KARATAY</t>
        </is>
      </c>
      <c r="F2560" s="23" t="n">
        <v>285336</v>
      </c>
      <c r="G2560" s="138" t="n"/>
      <c r="H2560" s="138" t="n">
        <v>192</v>
      </c>
      <c r="I2560" s="138">
        <f>+I2559+(G2560-H2560)</f>
        <v/>
      </c>
      <c r="J2560" s="139" t="n">
        <v>40.669</v>
      </c>
      <c r="K2560" s="140" t="n"/>
      <c r="L2560" s="140">
        <f>+H2560*J2560</f>
        <v/>
      </c>
      <c r="M2560" s="141">
        <f>SUM(M2559+K2560-L2560)</f>
        <v/>
      </c>
    </row>
    <row r="2561">
      <c r="A2561" s="20" t="n">
        <v>45801</v>
      </c>
      <c r="B2561" s="21" t="n">
        <v>14691</v>
      </c>
      <c r="C2561" s="22" t="inlineStr">
        <is>
          <t>SELİM İNŞAAT</t>
        </is>
      </c>
      <c r="D2561" s="29" t="inlineStr">
        <is>
          <t>34 FVU 827</t>
        </is>
      </c>
      <c r="E2561" s="21" t="inlineStr">
        <is>
          <t>YILMAZ ÇELEBİ</t>
        </is>
      </c>
      <c r="F2561" s="23" t="n"/>
      <c r="G2561" s="138" t="n"/>
      <c r="H2561" s="138" t="n">
        <v>26</v>
      </c>
      <c r="I2561" s="138">
        <f>+I2560+(G2561-H2561)</f>
        <v/>
      </c>
      <c r="J2561" s="139" t="n">
        <v>40.669</v>
      </c>
      <c r="K2561" s="140" t="n"/>
      <c r="L2561" s="140">
        <f>+H2561*J2561</f>
        <v/>
      </c>
      <c r="M2561" s="141">
        <f>SUM(M2560+K2561-L2561)</f>
        <v/>
      </c>
    </row>
    <row r="2562">
      <c r="A2562" s="20" t="n">
        <v>45801</v>
      </c>
      <c r="B2562" s="21" t="n">
        <v>14181</v>
      </c>
      <c r="C2562" s="22" t="inlineStr">
        <is>
          <t>AZGÜN YAPI</t>
        </is>
      </c>
      <c r="D2562" s="21" t="inlineStr">
        <is>
          <t>34 DTV 263</t>
        </is>
      </c>
      <c r="E2562" s="21" t="inlineStr">
        <is>
          <t>EDİP TORLAK</t>
        </is>
      </c>
      <c r="F2562" s="23" t="n">
        <v>378679</v>
      </c>
      <c r="G2562" s="138" t="n"/>
      <c r="H2562" s="138" t="n">
        <v>393</v>
      </c>
      <c r="I2562" s="138">
        <f>+I2561+(G2562-H2562)</f>
        <v/>
      </c>
      <c r="J2562" s="139" t="n">
        <v>40.669</v>
      </c>
      <c r="K2562" s="140" t="n"/>
      <c r="L2562" s="140">
        <f>+H2562*J2562</f>
        <v/>
      </c>
      <c r="M2562" s="141">
        <f>SUM(M2561+K2562-L2562)</f>
        <v/>
      </c>
    </row>
    <row r="2563">
      <c r="A2563" s="20" t="n">
        <v>45801</v>
      </c>
      <c r="B2563" s="21" t="n">
        <v>10390</v>
      </c>
      <c r="C2563" s="22" t="inlineStr">
        <is>
          <t>SELİM İNŞAAT</t>
        </is>
      </c>
      <c r="D2563" s="21" t="inlineStr">
        <is>
          <t>34 DRU 690</t>
        </is>
      </c>
      <c r="E2563" s="21" t="inlineStr">
        <is>
          <t>MURAT DEMİRBAŞ</t>
        </is>
      </c>
      <c r="F2563" s="23" t="n">
        <v>412610</v>
      </c>
      <c r="G2563" s="138" t="n"/>
      <c r="H2563" s="138" t="n">
        <v>312</v>
      </c>
      <c r="I2563" s="138">
        <f>+I2562+(G2563-H2563)</f>
        <v/>
      </c>
      <c r="J2563" s="139" t="n">
        <v>40.669</v>
      </c>
      <c r="K2563" s="140" t="n"/>
      <c r="L2563" s="140">
        <f>+H2563*J2563</f>
        <v/>
      </c>
      <c r="M2563" s="141">
        <f>SUM(M2562+K2563-L2563)</f>
        <v/>
      </c>
    </row>
    <row r="2564">
      <c r="A2564" s="20" t="n">
        <v>45801</v>
      </c>
      <c r="B2564" s="21" t="n">
        <v>10452</v>
      </c>
      <c r="C2564" s="22" t="inlineStr">
        <is>
          <t>SELİM İNŞAAT</t>
        </is>
      </c>
      <c r="D2564" s="21" t="inlineStr">
        <is>
          <t>34 FBR 781</t>
        </is>
      </c>
      <c r="E2564" s="21" t="inlineStr">
        <is>
          <t>MEVLÜT POLAT</t>
        </is>
      </c>
      <c r="F2564" s="23" t="n">
        <v>299032</v>
      </c>
      <c r="G2564" s="138" t="n"/>
      <c r="H2564" s="138" t="n">
        <v>451</v>
      </c>
      <c r="I2564" s="138">
        <f>+I2563+(G2564-H2564)</f>
        <v/>
      </c>
      <c r="J2564" s="139" t="n">
        <v>40.669</v>
      </c>
      <c r="K2564" s="140" t="n"/>
      <c r="L2564" s="140">
        <f>+H2564*J2564</f>
        <v/>
      </c>
      <c r="M2564" s="141">
        <f>SUM(M2563+K2564-L2564)</f>
        <v/>
      </c>
    </row>
    <row r="2565">
      <c r="A2565" s="20" t="n">
        <v>45801</v>
      </c>
      <c r="B2565" s="21" t="n">
        <v>15796</v>
      </c>
      <c r="C2565" s="22" t="inlineStr">
        <is>
          <t>VARLIK</t>
        </is>
      </c>
      <c r="D2565" s="21" t="inlineStr">
        <is>
          <t>FOKLİFT</t>
        </is>
      </c>
      <c r="E2565" s="21" t="inlineStr">
        <is>
          <t>FAHRİ KALFA</t>
        </is>
      </c>
      <c r="F2565" s="23" t="n"/>
      <c r="G2565" s="138" t="n"/>
      <c r="H2565" s="138" t="n">
        <v>44</v>
      </c>
      <c r="I2565" s="138">
        <f>+I2564+(G2565-H2565)</f>
        <v/>
      </c>
      <c r="J2565" s="139" t="n">
        <v>40.669</v>
      </c>
      <c r="K2565" s="140" t="n"/>
      <c r="L2565" s="140">
        <f>+H2565*J2565</f>
        <v/>
      </c>
      <c r="M2565" s="141">
        <f>SUM(M2564+K2565-L2565)</f>
        <v/>
      </c>
    </row>
    <row r="2566">
      <c r="A2566" s="20" t="n">
        <v>45801</v>
      </c>
      <c r="B2566" s="1" t="n">
        <v>15797</v>
      </c>
      <c r="C2566" s="2" t="inlineStr">
        <is>
          <t>EVKUR</t>
        </is>
      </c>
      <c r="D2566" s="1" t="inlineStr">
        <is>
          <t>KİRALIK KATO</t>
        </is>
      </c>
      <c r="E2566" s="1" t="inlineStr">
        <is>
          <t>BURAK BEY' İN TALİMATIYLA</t>
        </is>
      </c>
      <c r="F2566" s="3" t="n"/>
      <c r="G2566" s="143" t="n"/>
      <c r="H2566" s="143" t="n">
        <v>60</v>
      </c>
      <c r="I2566" s="143">
        <f>+I2565+(G2566-H2566)</f>
        <v/>
      </c>
      <c r="J2566" s="144" t="n">
        <v>40.669</v>
      </c>
      <c r="K2566" s="145" t="n"/>
      <c r="L2566" s="140">
        <f>+H2566*J2566</f>
        <v/>
      </c>
      <c r="M2566" s="141">
        <f>SUM(M2565+K2566-L2566)</f>
        <v/>
      </c>
    </row>
    <row r="2567">
      <c r="A2567" s="20" t="n">
        <v>45801</v>
      </c>
      <c r="B2567" s="1" t="n">
        <v>15798</v>
      </c>
      <c r="C2567" s="2" t="inlineStr">
        <is>
          <t>VARLIK</t>
        </is>
      </c>
      <c r="D2567" s="1" t="inlineStr">
        <is>
          <t>SM 350</t>
        </is>
      </c>
      <c r="E2567" s="1" t="inlineStr">
        <is>
          <t>BAYRAM SANCAK</t>
        </is>
      </c>
      <c r="F2567" s="3" t="n"/>
      <c r="G2567" s="143" t="n"/>
      <c r="H2567" s="143" t="n">
        <v>258</v>
      </c>
      <c r="I2567" s="143">
        <f>+I2566+(G2567-H2567)</f>
        <v/>
      </c>
      <c r="J2567" s="144" t="n">
        <v>40.669</v>
      </c>
      <c r="K2567" s="145" t="n"/>
      <c r="L2567" s="140">
        <f>+H2567*J2567</f>
        <v/>
      </c>
      <c r="M2567" s="141">
        <f>SUM(M2566+K2567-L2567)</f>
        <v/>
      </c>
    </row>
    <row r="2568">
      <c r="A2568" s="20" t="n">
        <v>45801</v>
      </c>
      <c r="B2568" s="1" t="n">
        <v>15799</v>
      </c>
      <c r="C2568" s="2" t="inlineStr">
        <is>
          <t>VARLIK</t>
        </is>
      </c>
      <c r="D2568" s="1" t="inlineStr">
        <is>
          <t>SM 300</t>
        </is>
      </c>
      <c r="E2568" s="1" t="inlineStr">
        <is>
          <t>TURGUT SANCAK</t>
        </is>
      </c>
      <c r="F2568" s="3" t="n"/>
      <c r="G2568" s="143" t="n"/>
      <c r="H2568" s="143" t="n">
        <v>286</v>
      </c>
      <c r="I2568" s="143">
        <f>+I2567+(G2568-H2568)</f>
        <v/>
      </c>
      <c r="J2568" s="144" t="n">
        <v>40.669</v>
      </c>
      <c r="K2568" s="145" t="n"/>
      <c r="L2568" s="140">
        <f>+H2568*J2568</f>
        <v/>
      </c>
      <c r="M2568" s="141">
        <f>SUM(M2567+K2568-L2568)</f>
        <v/>
      </c>
    </row>
    <row r="2569">
      <c r="A2569" s="20" t="n">
        <v>45801</v>
      </c>
      <c r="B2569" s="1" t="n">
        <v>15800</v>
      </c>
      <c r="C2569" s="2" t="inlineStr">
        <is>
          <t>GÜRSES</t>
        </is>
      </c>
      <c r="D2569" s="1" t="inlineStr">
        <is>
          <t>SM 350</t>
        </is>
      </c>
      <c r="E2569" s="1" t="inlineStr">
        <is>
          <t>TEVFİK ÖZTÜRK</t>
        </is>
      </c>
      <c r="F2569" s="3" t="n"/>
      <c r="G2569" s="143" t="n"/>
      <c r="H2569" s="143" t="n">
        <v>383</v>
      </c>
      <c r="I2569" s="143">
        <f>+I2568+(G2569-H2569)</f>
        <v/>
      </c>
      <c r="J2569" s="144" t="n">
        <v>40.669</v>
      </c>
      <c r="K2569" s="145" t="n"/>
      <c r="L2569" s="140">
        <f>+H2569*J2569</f>
        <v/>
      </c>
      <c r="M2569" s="141">
        <f>SUM(M2568+K2569-L2569)</f>
        <v/>
      </c>
    </row>
    <row r="2570">
      <c r="A2570" s="20" t="n">
        <v>45801</v>
      </c>
      <c r="B2570" s="1" t="n">
        <v>15801</v>
      </c>
      <c r="C2570" s="2" t="inlineStr">
        <is>
          <t>HASALTUN</t>
        </is>
      </c>
      <c r="D2570" s="1" t="inlineStr">
        <is>
          <t>SM 370</t>
        </is>
      </c>
      <c r="E2570" s="1" t="inlineStr">
        <is>
          <t>TEKİN ŞEYLAN</t>
        </is>
      </c>
      <c r="F2570" s="3" t="n"/>
      <c r="G2570" s="143" t="n"/>
      <c r="H2570" s="143" t="n">
        <v>489</v>
      </c>
      <c r="I2570" s="143">
        <f>+I2569+(G2570-H2570)</f>
        <v/>
      </c>
      <c r="J2570" s="144" t="n">
        <v>40.669</v>
      </c>
      <c r="K2570" s="145" t="n"/>
      <c r="L2570" s="140">
        <f>+H2570*J2570</f>
        <v/>
      </c>
      <c r="M2570" s="141">
        <f>SUM(M2569+K2570-L2570)</f>
        <v/>
      </c>
    </row>
    <row r="2571">
      <c r="A2571" s="20" t="n">
        <v>45802</v>
      </c>
      <c r="B2571" s="21" t="n">
        <v>11222</v>
      </c>
      <c r="C2571" s="22" t="inlineStr">
        <is>
          <t>SELİM İNŞAAT</t>
        </is>
      </c>
      <c r="D2571" s="21" t="inlineStr">
        <is>
          <t>34 DSN 636</t>
        </is>
      </c>
      <c r="E2571" s="21" t="inlineStr">
        <is>
          <t>İLHAN YÜRÜK</t>
        </is>
      </c>
      <c r="F2571" s="23" t="n">
        <v>387275</v>
      </c>
      <c r="G2571" s="138" t="n"/>
      <c r="H2571" s="138" t="n">
        <v>318</v>
      </c>
      <c r="I2571" s="138">
        <f>+I2570+(G2571-H2571)</f>
        <v/>
      </c>
      <c r="J2571" s="139" t="n">
        <v>40.669</v>
      </c>
      <c r="K2571" s="140" t="n"/>
      <c r="L2571" s="140">
        <f>+H2571*J2571</f>
        <v/>
      </c>
      <c r="M2571" s="141">
        <f>SUM(M2570+K2571-L2571)</f>
        <v/>
      </c>
    </row>
    <row r="2572">
      <c r="A2572" s="20" t="n">
        <v>45802</v>
      </c>
      <c r="B2572" s="21" t="n">
        <v>15051</v>
      </c>
      <c r="C2572" s="22" t="inlineStr">
        <is>
          <t>SELİM İNŞAAT</t>
        </is>
      </c>
      <c r="D2572" s="21" t="inlineStr">
        <is>
          <t>34 EGR 736</t>
        </is>
      </c>
      <c r="E2572" s="21" t="inlineStr">
        <is>
          <t>HAKAN ÇAVUŞOĞLU</t>
        </is>
      </c>
      <c r="F2572" s="23" t="n">
        <v>386824</v>
      </c>
      <c r="G2572" s="138" t="n"/>
      <c r="H2572" s="138" t="n">
        <v>330</v>
      </c>
      <c r="I2572" s="138">
        <f>+I2571+(G2572-H2572)</f>
        <v/>
      </c>
      <c r="J2572" s="139" t="n">
        <v>40.669</v>
      </c>
      <c r="K2572" s="140" t="n"/>
      <c r="L2572" s="140">
        <f>+H2572*J2572</f>
        <v/>
      </c>
      <c r="M2572" s="141">
        <f>SUM(M2571+K2572-L2572)</f>
        <v/>
      </c>
    </row>
    <row r="2573">
      <c r="A2573" s="20" t="n">
        <v>45802</v>
      </c>
      <c r="B2573" s="21" t="n">
        <v>10095</v>
      </c>
      <c r="C2573" s="22" t="inlineStr">
        <is>
          <t>SELİM İNŞAAT</t>
        </is>
      </c>
      <c r="D2573" s="21" t="inlineStr">
        <is>
          <t>34 FBR 771</t>
        </is>
      </c>
      <c r="E2573" s="21" t="inlineStr">
        <is>
          <t>HÜSEYİN AKÇİN</t>
        </is>
      </c>
      <c r="F2573" s="23" t="n">
        <v>315702</v>
      </c>
      <c r="G2573" s="138" t="n"/>
      <c r="H2573" s="138" t="n">
        <v>327</v>
      </c>
      <c r="I2573" s="138">
        <f>+I2572+(G2573-H2573)</f>
        <v/>
      </c>
      <c r="J2573" s="139" t="n">
        <v>40.669</v>
      </c>
      <c r="K2573" s="140" t="n"/>
      <c r="L2573" s="140">
        <f>+H2573*J2573</f>
        <v/>
      </c>
      <c r="M2573" s="141">
        <f>SUM(M2572+K2573-L2573)</f>
        <v/>
      </c>
    </row>
    <row r="2574">
      <c r="A2574" s="20" t="n">
        <v>45802</v>
      </c>
      <c r="B2574" s="21" t="n">
        <v>15512</v>
      </c>
      <c r="C2574" s="22" t="inlineStr">
        <is>
          <t>SELİM İNŞAAT</t>
        </is>
      </c>
      <c r="D2574" s="21" t="inlineStr">
        <is>
          <t>34 EDC 086</t>
        </is>
      </c>
      <c r="E2574" s="21" t="inlineStr">
        <is>
          <t>ÖMER AĞAYAR</t>
        </is>
      </c>
      <c r="F2574" s="23" t="n">
        <v>323022</v>
      </c>
      <c r="G2574" s="138" t="n"/>
      <c r="H2574" s="138" t="n">
        <v>315</v>
      </c>
      <c r="I2574" s="138">
        <f>+I2573+(G2574-H2574)</f>
        <v/>
      </c>
      <c r="J2574" s="139" t="n">
        <v>40.669</v>
      </c>
      <c r="K2574" s="140" t="n"/>
      <c r="L2574" s="140">
        <f>+H2574*J2574</f>
        <v/>
      </c>
      <c r="M2574" s="141">
        <f>SUM(M2573+K2574-L2574)</f>
        <v/>
      </c>
    </row>
    <row r="2575">
      <c r="A2575" s="20" t="n">
        <v>45802</v>
      </c>
      <c r="B2575" s="21" t="n">
        <v>15307</v>
      </c>
      <c r="C2575" s="22" t="inlineStr">
        <is>
          <t>SELİM İNŞAAT</t>
        </is>
      </c>
      <c r="D2575" s="21" t="inlineStr">
        <is>
          <t>34 EDC 162</t>
        </is>
      </c>
      <c r="E2575" s="21" t="inlineStr">
        <is>
          <t xml:space="preserve">YAKUP GÜNER </t>
        </is>
      </c>
      <c r="F2575" s="23" t="n">
        <v>366467</v>
      </c>
      <c r="G2575" s="138" t="n"/>
      <c r="H2575" s="138" t="n">
        <v>281</v>
      </c>
      <c r="I2575" s="138">
        <f>+I2574+(G2575-H2575)</f>
        <v/>
      </c>
      <c r="J2575" s="139" t="n">
        <v>40.669</v>
      </c>
      <c r="K2575" s="140" t="n"/>
      <c r="L2575" s="140">
        <f>+H2575*J2575</f>
        <v/>
      </c>
      <c r="M2575" s="141">
        <f>SUM(M2574+K2575-L2575)</f>
        <v/>
      </c>
    </row>
    <row r="2576">
      <c r="A2576" s="20" t="n">
        <v>45802</v>
      </c>
      <c r="B2576" s="21" t="n">
        <v>14481</v>
      </c>
      <c r="C2576" s="22" t="inlineStr">
        <is>
          <t>SELİM İNŞAAT</t>
        </is>
      </c>
      <c r="D2576" s="21" t="inlineStr">
        <is>
          <t>34 GUS 848</t>
        </is>
      </c>
      <c r="E2576" s="21" t="inlineStr">
        <is>
          <t>SERDAR BOZKURT</t>
        </is>
      </c>
      <c r="F2576" s="23" t="n">
        <v>189220</v>
      </c>
      <c r="G2576" s="138" t="n"/>
      <c r="H2576" s="138" t="n">
        <v>438</v>
      </c>
      <c r="I2576" s="138">
        <f>+I2575+(G2576-H2576)</f>
        <v/>
      </c>
      <c r="J2576" s="139" t="n">
        <v>40.669</v>
      </c>
      <c r="K2576" s="140" t="n"/>
      <c r="L2576" s="140">
        <f>+H2576*J2576</f>
        <v/>
      </c>
      <c r="M2576" s="141">
        <f>SUM(M2575+K2576-L2576)</f>
        <v/>
      </c>
    </row>
    <row r="2577">
      <c r="A2577" s="20" t="n">
        <v>45802</v>
      </c>
      <c r="B2577" s="21" t="n">
        <v>15252</v>
      </c>
      <c r="C2577" s="22" t="inlineStr">
        <is>
          <t>SELİM İNŞAAT</t>
        </is>
      </c>
      <c r="D2577" s="21" t="inlineStr">
        <is>
          <t>34 DTV 447</t>
        </is>
      </c>
      <c r="E2577" s="21" t="inlineStr">
        <is>
          <t>EBUBEKİR KOLDAŞ</t>
        </is>
      </c>
      <c r="F2577" s="23" t="n">
        <v>427057</v>
      </c>
      <c r="G2577" s="138" t="n"/>
      <c r="H2577" s="138" t="n">
        <v>438</v>
      </c>
      <c r="I2577" s="138">
        <f>+I2576+(G2577-H2577)</f>
        <v/>
      </c>
      <c r="J2577" s="139" t="n">
        <v>40.669</v>
      </c>
      <c r="K2577" s="140" t="n"/>
      <c r="L2577" s="140">
        <f>+H2577*J2577</f>
        <v/>
      </c>
      <c r="M2577" s="141">
        <f>SUM(M2576+K2577-L2577)</f>
        <v/>
      </c>
    </row>
    <row r="2578">
      <c r="A2578" s="20" t="n">
        <v>45802</v>
      </c>
      <c r="B2578" s="21" t="n">
        <v>10349</v>
      </c>
      <c r="C2578" s="22" t="inlineStr">
        <is>
          <t>SELİM İNŞAAT</t>
        </is>
      </c>
      <c r="D2578" s="21" t="inlineStr">
        <is>
          <t>34 EDB 829</t>
        </is>
      </c>
      <c r="E2578" s="21" t="inlineStr">
        <is>
          <t>İSMET BAYRAM</t>
        </is>
      </c>
      <c r="F2578" s="23" t="n">
        <v>315626</v>
      </c>
      <c r="G2578" s="138" t="n"/>
      <c r="H2578" s="138" t="n">
        <v>393</v>
      </c>
      <c r="I2578" s="138">
        <f>+I2577+(G2578-H2578)</f>
        <v/>
      </c>
      <c r="J2578" s="139" t="n">
        <v>40.669</v>
      </c>
      <c r="K2578" s="140" t="n"/>
      <c r="L2578" s="140">
        <f>+H2578*J2578</f>
        <v/>
      </c>
      <c r="M2578" s="141">
        <f>SUM(M2577+K2578-L2578)</f>
        <v/>
      </c>
    </row>
    <row r="2579">
      <c r="A2579" s="20" t="n">
        <v>45802</v>
      </c>
      <c r="B2579" s="21" t="n">
        <v>11740</v>
      </c>
      <c r="C2579" s="22" t="inlineStr">
        <is>
          <t>SELİM İNŞAAT</t>
        </is>
      </c>
      <c r="D2579" s="21" t="inlineStr">
        <is>
          <t>34 EDB 559</t>
        </is>
      </c>
      <c r="E2579" s="21" t="inlineStr">
        <is>
          <t>İBRAHİM GÜLLÜK</t>
        </is>
      </c>
      <c r="F2579" s="23" t="n">
        <v>320012</v>
      </c>
      <c r="G2579" s="138" t="n"/>
      <c r="H2579" s="138" t="n">
        <v>338</v>
      </c>
      <c r="I2579" s="138">
        <f>+I2578+(G2579-H2579)</f>
        <v/>
      </c>
      <c r="J2579" s="139" t="n">
        <v>40.669</v>
      </c>
      <c r="K2579" s="140" t="n"/>
      <c r="L2579" s="140">
        <f>+H2579*J2579</f>
        <v/>
      </c>
      <c r="M2579" s="141">
        <f>SUM(M2578+K2579-L2579)</f>
        <v/>
      </c>
    </row>
    <row r="2580">
      <c r="A2580" s="20" t="n">
        <v>45802</v>
      </c>
      <c r="B2580" s="21" t="n">
        <v>10796</v>
      </c>
      <c r="C2580" s="22" t="inlineStr">
        <is>
          <t>SELİM İNŞAAT</t>
        </is>
      </c>
      <c r="D2580" s="21" t="inlineStr">
        <is>
          <t>34 FBR 705</t>
        </is>
      </c>
      <c r="E2580" s="21" t="inlineStr">
        <is>
          <t>MESUT GÜRLER</t>
        </is>
      </c>
      <c r="F2580" s="23" t="n">
        <v>312361</v>
      </c>
      <c r="G2580" s="138" t="n"/>
      <c r="H2580" s="138" t="n">
        <v>468</v>
      </c>
      <c r="I2580" s="138">
        <f>+I2579+(G2580-H2580)</f>
        <v/>
      </c>
      <c r="J2580" s="139" t="n">
        <v>40.669</v>
      </c>
      <c r="K2580" s="140" t="n"/>
      <c r="L2580" s="140">
        <f>+H2580*J2580</f>
        <v/>
      </c>
      <c r="M2580" s="141">
        <f>SUM(M2579+K2580-L2580)</f>
        <v/>
      </c>
    </row>
    <row r="2581">
      <c r="A2581" s="20" t="n">
        <v>45802</v>
      </c>
      <c r="B2581" s="21" t="n">
        <v>11485</v>
      </c>
      <c r="C2581" s="22" t="inlineStr">
        <is>
          <t>SELİM İNŞAAT</t>
        </is>
      </c>
      <c r="D2581" s="21" t="inlineStr">
        <is>
          <t>34 EGR 922</t>
        </is>
      </c>
      <c r="E2581" s="21" t="inlineStr">
        <is>
          <t>FARUK ÖZEN</t>
        </is>
      </c>
      <c r="F2581" s="23" t="n">
        <v>451774</v>
      </c>
      <c r="G2581" s="138" t="n"/>
      <c r="H2581" s="138" t="n">
        <v>515</v>
      </c>
      <c r="I2581" s="138">
        <f>+I2580+(G2581-H2581)</f>
        <v/>
      </c>
      <c r="J2581" s="139" t="n">
        <v>40.669</v>
      </c>
      <c r="K2581" s="140" t="n"/>
      <c r="L2581" s="140">
        <f>+H2581*J2581</f>
        <v/>
      </c>
      <c r="M2581" s="141">
        <f>SUM(M2580+K2581-L2581)</f>
        <v/>
      </c>
    </row>
    <row r="2582">
      <c r="A2582" s="20" t="n">
        <v>45802</v>
      </c>
      <c r="B2582" s="21" t="n">
        <v>14424</v>
      </c>
      <c r="C2582" s="22" t="inlineStr">
        <is>
          <t>SELİM İNŞAAT</t>
        </is>
      </c>
      <c r="D2582" s="21" t="inlineStr">
        <is>
          <t>34 EGR 737</t>
        </is>
      </c>
      <c r="E2582" s="21" t="inlineStr">
        <is>
          <t>CEM MUHTAR</t>
        </is>
      </c>
      <c r="F2582" s="23" t="n">
        <v>410229</v>
      </c>
      <c r="G2582" s="138" t="n"/>
      <c r="H2582" s="138" t="n">
        <v>276</v>
      </c>
      <c r="I2582" s="138">
        <f>+I2581+(G2582-H2582)</f>
        <v/>
      </c>
      <c r="J2582" s="139" t="n">
        <v>40.669</v>
      </c>
      <c r="K2582" s="140" t="n"/>
      <c r="L2582" s="140">
        <f>+H2582*J2582</f>
        <v/>
      </c>
      <c r="M2582" s="141">
        <f>SUM(M2581+K2582-L2582)</f>
        <v/>
      </c>
    </row>
    <row r="2583">
      <c r="A2583" s="20" t="n">
        <v>45802</v>
      </c>
      <c r="B2583" s="21" t="n">
        <v>11943</v>
      </c>
      <c r="C2583" s="22" t="inlineStr">
        <is>
          <t>SELİM İNŞAAT</t>
        </is>
      </c>
      <c r="D2583" s="21" t="inlineStr">
        <is>
          <t>34 FBR 742</t>
        </is>
      </c>
      <c r="E2583" s="21" t="inlineStr">
        <is>
          <t>MİKAİL BAYILMAZ</t>
        </is>
      </c>
      <c r="F2583" s="23" t="n">
        <v>315253</v>
      </c>
      <c r="G2583" s="138" t="n"/>
      <c r="H2583" s="138" t="n">
        <v>169</v>
      </c>
      <c r="I2583" s="138">
        <f>+I2582+(G2583-H2583)</f>
        <v/>
      </c>
      <c r="J2583" s="139" t="n">
        <v>40.669</v>
      </c>
      <c r="K2583" s="140" t="n"/>
      <c r="L2583" s="140">
        <f>+H2583*J2583</f>
        <v/>
      </c>
      <c r="M2583" s="141">
        <f>SUM(M2582+K2583-L2583)</f>
        <v/>
      </c>
    </row>
    <row r="2584">
      <c r="A2584" s="20" t="n">
        <v>45802</v>
      </c>
      <c r="B2584" s="21" t="n">
        <v>14756</v>
      </c>
      <c r="C2584" s="22" t="inlineStr">
        <is>
          <t>SELİM İNŞAAT</t>
        </is>
      </c>
      <c r="D2584" s="21" t="inlineStr">
        <is>
          <t>34 GYZ 635</t>
        </is>
      </c>
      <c r="E2584" s="21" t="inlineStr">
        <is>
          <t>ENGİN DEMİR</t>
        </is>
      </c>
      <c r="F2584" s="23" t="n">
        <v>169247</v>
      </c>
      <c r="G2584" s="138" t="n"/>
      <c r="H2584" s="138" t="n">
        <v>351</v>
      </c>
      <c r="I2584" s="138">
        <f>+I2583+(G2584-H2584)</f>
        <v/>
      </c>
      <c r="J2584" s="139" t="n">
        <v>40.669</v>
      </c>
      <c r="K2584" s="140" t="n"/>
      <c r="L2584" s="140">
        <f>+H2584*J2584</f>
        <v/>
      </c>
      <c r="M2584" s="141">
        <f>SUM(M2583+K2584-L2584)</f>
        <v/>
      </c>
    </row>
    <row r="2585">
      <c r="A2585" s="20" t="n">
        <v>45802</v>
      </c>
      <c r="B2585" s="21" t="n">
        <v>15017</v>
      </c>
      <c r="C2585" s="22" t="inlineStr">
        <is>
          <t>SELİM İNŞAAT</t>
        </is>
      </c>
      <c r="D2585" s="21" t="inlineStr">
        <is>
          <t>34 GVZ 199</t>
        </is>
      </c>
      <c r="E2585" s="21" t="inlineStr">
        <is>
          <t>VAHDET GÜRLER</t>
        </is>
      </c>
      <c r="F2585" s="23" t="n">
        <v>177725</v>
      </c>
      <c r="G2585" s="138" t="n"/>
      <c r="H2585" s="138" t="n">
        <v>399</v>
      </c>
      <c r="I2585" s="138">
        <f>+I2584+(G2585-H2585)</f>
        <v/>
      </c>
      <c r="J2585" s="139" t="n">
        <v>40.669</v>
      </c>
      <c r="K2585" s="140" t="n"/>
      <c r="L2585" s="140">
        <f>+H2585*J2585</f>
        <v/>
      </c>
      <c r="M2585" s="141">
        <f>SUM(M2584+K2585-L2585)</f>
        <v/>
      </c>
    </row>
    <row r="2586">
      <c r="A2586" s="20" t="n">
        <v>45802</v>
      </c>
      <c r="B2586" s="21" t="n">
        <v>14033</v>
      </c>
      <c r="C2586" s="22" t="inlineStr">
        <is>
          <t>SELİM İNŞAAT</t>
        </is>
      </c>
      <c r="D2586" s="21" t="inlineStr">
        <is>
          <t>34 GVZ 310</t>
        </is>
      </c>
      <c r="E2586" s="21" t="inlineStr">
        <is>
          <t>CELAL YÜZBAŞI</t>
        </is>
      </c>
      <c r="F2586" s="23" t="n">
        <v>194491</v>
      </c>
      <c r="G2586" s="138" t="n"/>
      <c r="H2586" s="138" t="n">
        <v>320</v>
      </c>
      <c r="I2586" s="138">
        <f>+I2585+(G2586-H2586)</f>
        <v/>
      </c>
      <c r="J2586" s="139" t="n">
        <v>40.669</v>
      </c>
      <c r="K2586" s="140" t="n"/>
      <c r="L2586" s="140">
        <f>+H2586*J2586</f>
        <v/>
      </c>
      <c r="M2586" s="141">
        <f>SUM(M2585+K2586-L2586)</f>
        <v/>
      </c>
    </row>
    <row r="2587">
      <c r="A2587" s="20" t="n">
        <v>45802</v>
      </c>
      <c r="B2587" s="21" t="n">
        <v>21624</v>
      </c>
      <c r="C2587" s="22" t="inlineStr">
        <is>
          <t>SELİM İNŞAAT</t>
        </is>
      </c>
      <c r="D2587" s="21" t="inlineStr">
        <is>
          <t>34 DHC 467</t>
        </is>
      </c>
      <c r="E2587" s="21" t="inlineStr">
        <is>
          <t>ERSEL DERVİŞ</t>
        </is>
      </c>
      <c r="F2587" s="23" t="n">
        <v>401628</v>
      </c>
      <c r="G2587" s="138" t="n"/>
      <c r="H2587" s="138" t="n">
        <v>285</v>
      </c>
      <c r="I2587" s="138">
        <f>+I2586+(G2587-H2587)</f>
        <v/>
      </c>
      <c r="J2587" s="139" t="n">
        <v>40.669</v>
      </c>
      <c r="K2587" s="140" t="n"/>
      <c r="L2587" s="140">
        <f>+H2587*J2587</f>
        <v/>
      </c>
      <c r="M2587" s="141">
        <f>SUM(M2586+K2587-L2587)</f>
        <v/>
      </c>
    </row>
    <row r="2588">
      <c r="A2588" s="20" t="n">
        <v>45802</v>
      </c>
      <c r="B2588" s="21" t="n">
        <v>21147</v>
      </c>
      <c r="C2588" s="22" t="inlineStr">
        <is>
          <t>SELİM İNŞAAT</t>
        </is>
      </c>
      <c r="D2588" s="21" t="inlineStr">
        <is>
          <t>34 TG 7869</t>
        </is>
      </c>
      <c r="E2588" s="21" t="inlineStr">
        <is>
          <t>GÖRKEM KARAYEL</t>
        </is>
      </c>
      <c r="F2588" s="23" t="n">
        <v>182185</v>
      </c>
      <c r="G2588" s="138" t="n"/>
      <c r="H2588" s="138" t="n">
        <v>310</v>
      </c>
      <c r="I2588" s="138">
        <f>+I2587+(G2588-H2588)</f>
        <v/>
      </c>
      <c r="J2588" s="139" t="n">
        <v>40.669</v>
      </c>
      <c r="K2588" s="140" t="n"/>
      <c r="L2588" s="140">
        <f>+H2588*J2588</f>
        <v/>
      </c>
      <c r="M2588" s="141">
        <f>SUM(M2587+K2588-L2588)</f>
        <v/>
      </c>
    </row>
    <row r="2589">
      <c r="A2589" s="20" t="n">
        <v>45802</v>
      </c>
      <c r="B2589" s="21" t="n">
        <v>10578</v>
      </c>
      <c r="C2589" s="22" t="inlineStr">
        <is>
          <t>SELİM İNŞAAT</t>
        </is>
      </c>
      <c r="D2589" s="21" t="inlineStr">
        <is>
          <t>34 GU 945</t>
        </is>
      </c>
      <c r="E2589" s="21" t="inlineStr">
        <is>
          <t>TURAN SEVİNDİK</t>
        </is>
      </c>
      <c r="F2589" s="23" t="n">
        <v>446195</v>
      </c>
      <c r="G2589" s="138" t="n"/>
      <c r="H2589" s="138" t="n">
        <v>58</v>
      </c>
      <c r="I2589" s="138">
        <f>+I2588+(G2589-H2589)</f>
        <v/>
      </c>
      <c r="J2589" s="139" t="n">
        <v>40.669</v>
      </c>
      <c r="K2589" s="140" t="n"/>
      <c r="L2589" s="140">
        <f>+H2589*J2589</f>
        <v/>
      </c>
      <c r="M2589" s="141">
        <f>SUM(M2588+K2589-L2589)</f>
        <v/>
      </c>
    </row>
    <row r="2590">
      <c r="A2590" s="20" t="n">
        <v>45802</v>
      </c>
      <c r="B2590" s="21" t="n">
        <v>20541</v>
      </c>
      <c r="C2590" s="22" t="inlineStr">
        <is>
          <t>SELİM İNŞAAT</t>
        </is>
      </c>
      <c r="D2590" s="21" t="inlineStr">
        <is>
          <t>34 VF 2620</t>
        </is>
      </c>
      <c r="E2590" s="21" t="inlineStr">
        <is>
          <t>RECEP SELİM</t>
        </is>
      </c>
      <c r="F2590" s="23" t="n">
        <v>186002</v>
      </c>
      <c r="G2590" s="138" t="n"/>
      <c r="H2590" s="138" t="n">
        <v>53</v>
      </c>
      <c r="I2590" s="138">
        <f>+I2589+(G2590-H2590)</f>
        <v/>
      </c>
      <c r="J2590" s="139" t="n">
        <v>40.669</v>
      </c>
      <c r="K2590" s="140" t="n"/>
      <c r="L2590" s="140">
        <f>+H2590*J2590</f>
        <v/>
      </c>
      <c r="M2590" s="141">
        <f>SUM(M2589+K2590-L2590)</f>
        <v/>
      </c>
    </row>
    <row r="2591">
      <c r="A2591" s="20" t="n">
        <v>45802</v>
      </c>
      <c r="B2591" s="21" t="n">
        <v>10885</v>
      </c>
      <c r="C2591" s="22" t="inlineStr">
        <is>
          <t>SELİM İNŞAAT</t>
        </is>
      </c>
      <c r="D2591" s="21" t="inlineStr">
        <is>
          <t>34 AR 7743</t>
        </is>
      </c>
      <c r="E2591" s="21" t="inlineStr">
        <is>
          <t>MEHMET SELİM</t>
        </is>
      </c>
      <c r="F2591" s="23" t="n">
        <v>356107</v>
      </c>
      <c r="G2591" s="138" t="n"/>
      <c r="H2591" s="138" t="n">
        <v>61</v>
      </c>
      <c r="I2591" s="138">
        <f>+I2590+(G2591-H2591)</f>
        <v/>
      </c>
      <c r="J2591" s="139" t="n">
        <v>40.669</v>
      </c>
      <c r="K2591" s="140" t="n"/>
      <c r="L2591" s="140">
        <f>+H2591*J2591</f>
        <v/>
      </c>
      <c r="M2591" s="141">
        <f>SUM(M2590+K2591-L2591)</f>
        <v/>
      </c>
    </row>
    <row r="2592">
      <c r="A2592" s="20" t="n">
        <v>45802</v>
      </c>
      <c r="B2592" s="21" t="n">
        <v>15657</v>
      </c>
      <c r="C2592" s="22" t="inlineStr">
        <is>
          <t>METİN ERYİĞİT</t>
        </is>
      </c>
      <c r="D2592" s="21" t="inlineStr">
        <is>
          <t>34 EGR 814</t>
        </is>
      </c>
      <c r="E2592" s="21" t="inlineStr">
        <is>
          <t>GÜRAY KOYUNCU</t>
        </is>
      </c>
      <c r="F2592" s="23" t="n">
        <v>537917</v>
      </c>
      <c r="G2592" s="138" t="n"/>
      <c r="H2592" s="138" t="n">
        <v>469</v>
      </c>
      <c r="I2592" s="138">
        <f>+I2591+(G2592-H2592)</f>
        <v/>
      </c>
      <c r="J2592" s="139" t="n">
        <v>40.669</v>
      </c>
      <c r="K2592" s="140" t="n"/>
      <c r="L2592" s="140">
        <f>+H2592*J2592</f>
        <v/>
      </c>
      <c r="M2592" s="141">
        <f>SUM(M2591+K2592-L2592)</f>
        <v/>
      </c>
    </row>
    <row r="2593">
      <c r="A2593" s="20" t="n">
        <v>45802</v>
      </c>
      <c r="B2593" s="21" t="n">
        <v>14731</v>
      </c>
      <c r="C2593" s="22" t="inlineStr">
        <is>
          <t>METİN ERYİĞİT</t>
        </is>
      </c>
      <c r="D2593" s="21" t="inlineStr">
        <is>
          <t>34 GBL 998</t>
        </is>
      </c>
      <c r="E2593" s="21" t="inlineStr">
        <is>
          <t>ALİ KESKİN</t>
        </is>
      </c>
      <c r="F2593" s="23" t="n">
        <v>264024</v>
      </c>
      <c r="G2593" s="138" t="n"/>
      <c r="H2593" s="138" t="n">
        <v>457</v>
      </c>
      <c r="I2593" s="138">
        <f>+I2592+(G2593-H2593)</f>
        <v/>
      </c>
      <c r="J2593" s="139" t="n">
        <v>40.669</v>
      </c>
      <c r="K2593" s="140" t="n"/>
      <c r="L2593" s="140">
        <f>+H2593*J2593</f>
        <v/>
      </c>
      <c r="M2593" s="141">
        <f>SUM(M2592+K2593-L2593)</f>
        <v/>
      </c>
    </row>
    <row r="2594">
      <c r="A2594" s="20" t="n">
        <v>45802</v>
      </c>
      <c r="B2594" s="21" t="n">
        <v>15603</v>
      </c>
      <c r="C2594" s="22" t="inlineStr">
        <is>
          <t>METİN ERYİĞİT</t>
        </is>
      </c>
      <c r="D2594" s="21" t="inlineStr">
        <is>
          <t>34 EGS 013</t>
        </is>
      </c>
      <c r="E2594" s="21" t="inlineStr">
        <is>
          <t xml:space="preserve">UĞUR DUMAN </t>
        </is>
      </c>
      <c r="F2594" s="23" t="n">
        <v>484792</v>
      </c>
      <c r="G2594" s="138" t="n"/>
      <c r="H2594" s="138" t="n">
        <v>460</v>
      </c>
      <c r="I2594" s="138">
        <f>+I2593+(G2594-H2594)</f>
        <v/>
      </c>
      <c r="J2594" s="139" t="n">
        <v>40.669</v>
      </c>
      <c r="K2594" s="140" t="n"/>
      <c r="L2594" s="140">
        <f>+H2594*J2594</f>
        <v/>
      </c>
      <c r="M2594" s="141">
        <f>SUM(M2593+K2594-L2594)</f>
        <v/>
      </c>
    </row>
    <row r="2595">
      <c r="A2595" s="20" t="n">
        <v>45802</v>
      </c>
      <c r="B2595" s="21" t="n">
        <v>10391</v>
      </c>
      <c r="C2595" s="22" t="inlineStr">
        <is>
          <t>SELİM İNŞAAT</t>
        </is>
      </c>
      <c r="D2595" s="21" t="inlineStr">
        <is>
          <t>34 DRU 690</t>
        </is>
      </c>
      <c r="E2595" s="21" t="inlineStr">
        <is>
          <t>MURAT DEMİRBAŞ</t>
        </is>
      </c>
      <c r="F2595" s="23" t="n">
        <v>413002</v>
      </c>
      <c r="G2595" s="138" t="n"/>
      <c r="H2595" s="138" t="n">
        <v>244</v>
      </c>
      <c r="I2595" s="138">
        <f>+I2594+(G2595-H2595)</f>
        <v/>
      </c>
      <c r="J2595" s="139" t="n">
        <v>40.669</v>
      </c>
      <c r="K2595" s="140" t="n"/>
      <c r="L2595" s="140">
        <f>+H2595*J2595</f>
        <v/>
      </c>
      <c r="M2595" s="141">
        <f>SUM(M2594+K2595-L2595)</f>
        <v/>
      </c>
    </row>
    <row r="2596">
      <c r="A2596" s="20" t="n">
        <v>45802</v>
      </c>
      <c r="B2596" s="1" t="n">
        <v>15802</v>
      </c>
      <c r="C2596" s="2" t="inlineStr">
        <is>
          <t>VARLIK</t>
        </is>
      </c>
      <c r="D2596" s="1" t="inlineStr">
        <is>
          <t>SM 350</t>
        </is>
      </c>
      <c r="E2596" s="1" t="inlineStr">
        <is>
          <t>BAYRAM SANCAK</t>
        </is>
      </c>
      <c r="F2596" s="3" t="n"/>
      <c r="G2596" s="143" t="n"/>
      <c r="H2596" s="143" t="n">
        <v>280</v>
      </c>
      <c r="I2596" s="143">
        <f>+I2595+(G2596-H2596)</f>
        <v/>
      </c>
      <c r="J2596" s="144" t="n">
        <v>40.669</v>
      </c>
      <c r="K2596" s="145" t="n"/>
      <c r="L2596" s="140">
        <f>+H2596*J2596</f>
        <v/>
      </c>
      <c r="M2596" s="141">
        <f>SUM(M2595+K2596-L2596)</f>
        <v/>
      </c>
    </row>
    <row r="2597">
      <c r="A2597" s="20" t="n">
        <v>45802</v>
      </c>
      <c r="B2597" s="1" t="n">
        <v>15803</v>
      </c>
      <c r="C2597" s="2" t="inlineStr">
        <is>
          <t>VARLIK</t>
        </is>
      </c>
      <c r="D2597" s="1" t="inlineStr">
        <is>
          <t>SM 300</t>
        </is>
      </c>
      <c r="E2597" s="1" t="inlineStr">
        <is>
          <t>TURGUT SANCAK</t>
        </is>
      </c>
      <c r="F2597" s="3" t="n"/>
      <c r="G2597" s="143" t="n"/>
      <c r="H2597" s="143" t="n">
        <v>202</v>
      </c>
      <c r="I2597" s="143">
        <f>+I2596+(G2597-H2597)</f>
        <v/>
      </c>
      <c r="J2597" s="144" t="n">
        <v>40.669</v>
      </c>
      <c r="K2597" s="145" t="n"/>
      <c r="L2597" s="140">
        <f>+H2597*J2597</f>
        <v/>
      </c>
      <c r="M2597" s="141">
        <f>SUM(M2596+K2597-L2597)</f>
        <v/>
      </c>
    </row>
    <row r="2598">
      <c r="A2598" s="20" t="n">
        <v>45802</v>
      </c>
      <c r="B2598" s="1" t="n">
        <v>15804</v>
      </c>
      <c r="C2598" s="2" t="inlineStr">
        <is>
          <t>GÜRSES</t>
        </is>
      </c>
      <c r="D2598" s="1" t="inlineStr">
        <is>
          <t>SM 350</t>
        </is>
      </c>
      <c r="E2598" s="1" t="inlineStr">
        <is>
          <t>TEVFİK ÖZTÜRK</t>
        </is>
      </c>
      <c r="F2598" s="3" t="n"/>
      <c r="G2598" s="143" t="n"/>
      <c r="H2598" s="143" t="n">
        <v>212</v>
      </c>
      <c r="I2598" s="143">
        <f>+I2597+(G2598-H2598)</f>
        <v/>
      </c>
      <c r="J2598" s="144" t="n">
        <v>40.669</v>
      </c>
      <c r="K2598" s="145" t="n"/>
      <c r="L2598" s="140">
        <f>+H2598*J2598</f>
        <v/>
      </c>
      <c r="M2598" s="141">
        <f>SUM(M2597+K2598-L2598)</f>
        <v/>
      </c>
    </row>
    <row r="2599">
      <c r="A2599" s="20" t="n">
        <v>45802</v>
      </c>
      <c r="B2599" s="1" t="n">
        <v>15805</v>
      </c>
      <c r="C2599" s="2" t="inlineStr">
        <is>
          <t>GÜRSES</t>
        </is>
      </c>
      <c r="D2599" s="1" t="inlineStr">
        <is>
          <t>KAVAZAKİ</t>
        </is>
      </c>
      <c r="E2599" s="1" t="inlineStr">
        <is>
          <t>RAMAZAN KAYA</t>
        </is>
      </c>
      <c r="F2599" s="3" t="n"/>
      <c r="G2599" s="143" t="n"/>
      <c r="H2599" s="143" t="n">
        <v>305</v>
      </c>
      <c r="I2599" s="143">
        <f>+I2598+(G2599-H2599)</f>
        <v/>
      </c>
      <c r="J2599" s="144" t="n">
        <v>40.669</v>
      </c>
      <c r="K2599" s="145" t="n"/>
      <c r="L2599" s="140">
        <f>+H2599*J2599</f>
        <v/>
      </c>
      <c r="M2599" s="141">
        <f>SUM(M2598+K2599-L2599)</f>
        <v/>
      </c>
    </row>
    <row r="2600">
      <c r="A2600" s="20" t="n">
        <v>45802</v>
      </c>
      <c r="B2600" s="1" t="n">
        <v>15806</v>
      </c>
      <c r="C2600" s="2" t="inlineStr">
        <is>
          <t>VARLIK</t>
        </is>
      </c>
      <c r="D2600" s="1" t="inlineStr">
        <is>
          <t>SM 370</t>
        </is>
      </c>
      <c r="E2600" s="1" t="inlineStr">
        <is>
          <t>TEKİN ŞEYLAN</t>
        </is>
      </c>
      <c r="F2600" s="3" t="n"/>
      <c r="G2600" s="143" t="n"/>
      <c r="H2600" s="143" t="n">
        <v>348</v>
      </c>
      <c r="I2600" s="143">
        <f>+I2599+(G2600-H2600)</f>
        <v/>
      </c>
      <c r="J2600" s="144" t="n">
        <v>40.669</v>
      </c>
      <c r="K2600" s="145" t="n"/>
      <c r="L2600" s="140">
        <f>+H2600*J2600</f>
        <v/>
      </c>
      <c r="M2600" s="141">
        <f>SUM(M2599+K2600-L2600)</f>
        <v/>
      </c>
    </row>
    <row r="2601">
      <c r="A2601" s="20" t="n">
        <v>45804</v>
      </c>
      <c r="B2601" s="21" t="n">
        <v>20198</v>
      </c>
      <c r="C2601" s="22" t="inlineStr">
        <is>
          <t>SELİM İNŞAAT</t>
        </is>
      </c>
      <c r="D2601" s="21" t="inlineStr">
        <is>
          <t>34 JGR 15</t>
        </is>
      </c>
      <c r="E2601" s="21" t="inlineStr">
        <is>
          <t>TEKİN ŞEYLAN</t>
        </is>
      </c>
      <c r="F2601" s="23" t="n">
        <v>309568</v>
      </c>
      <c r="G2601" s="138" t="n"/>
      <c r="H2601" s="138" t="n">
        <v>76</v>
      </c>
      <c r="I2601" s="138">
        <f>+I2600+(G2601-H2601)</f>
        <v/>
      </c>
      <c r="J2601" s="139" t="n">
        <v>40.669</v>
      </c>
      <c r="K2601" s="140" t="n"/>
      <c r="L2601" s="140">
        <f>+H2601*J2601</f>
        <v/>
      </c>
      <c r="M2601" s="141">
        <f>SUM(M2600+K2601-L2601)</f>
        <v/>
      </c>
    </row>
    <row r="2602">
      <c r="A2602" s="20" t="n">
        <v>45804</v>
      </c>
      <c r="B2602" s="21" t="n">
        <v>10300</v>
      </c>
      <c r="C2602" s="22" t="inlineStr">
        <is>
          <t>SELİM İNŞAAT</t>
        </is>
      </c>
      <c r="D2602" s="21" t="inlineStr">
        <is>
          <t>34 FBR 748</t>
        </is>
      </c>
      <c r="E2602" s="21" t="inlineStr">
        <is>
          <t>YAŞAR ÖZKAYA</t>
        </is>
      </c>
      <c r="F2602" s="23" t="n">
        <v>277174</v>
      </c>
      <c r="G2602" s="138" t="n"/>
      <c r="H2602" s="138" t="n">
        <v>355</v>
      </c>
      <c r="I2602" s="138">
        <f>+I2601+(G2602-H2602)</f>
        <v/>
      </c>
      <c r="J2602" s="139" t="n">
        <v>40.669</v>
      </c>
      <c r="K2602" s="140" t="n"/>
      <c r="L2602" s="140">
        <f>+H2602*J2602</f>
        <v/>
      </c>
      <c r="M2602" s="141">
        <f>SUM(M2601+K2602-L2602)</f>
        <v/>
      </c>
    </row>
    <row r="2603">
      <c r="A2603" s="20" t="n">
        <v>45804</v>
      </c>
      <c r="B2603" s="21" t="n">
        <v>15108</v>
      </c>
      <c r="C2603" s="22" t="inlineStr">
        <is>
          <t>SELİM İNŞAAT</t>
        </is>
      </c>
      <c r="D2603" s="21" t="inlineStr">
        <is>
          <t>34 DTV 599</t>
        </is>
      </c>
      <c r="E2603" s="21" t="inlineStr">
        <is>
          <t>FERHAT GÜRLER</t>
        </is>
      </c>
      <c r="F2603" s="23" t="n">
        <v>428846</v>
      </c>
      <c r="G2603" s="138" t="n"/>
      <c r="H2603" s="138" t="n">
        <v>445</v>
      </c>
      <c r="I2603" s="138">
        <f>+I2602+(G2603-H2603)</f>
        <v/>
      </c>
      <c r="J2603" s="139" t="n">
        <v>40.669</v>
      </c>
      <c r="K2603" s="140" t="n"/>
      <c r="L2603" s="140">
        <f>+H2603*J2603</f>
        <v/>
      </c>
      <c r="M2603" s="141">
        <f>SUM(M2602+K2603-L2603)</f>
        <v/>
      </c>
    </row>
    <row r="2604">
      <c r="A2604" s="20" t="n">
        <v>45804</v>
      </c>
      <c r="B2604" s="21" t="n">
        <v>15351</v>
      </c>
      <c r="C2604" s="22" t="inlineStr">
        <is>
          <t>SELİM İNŞAAT</t>
        </is>
      </c>
      <c r="D2604" s="21" t="inlineStr">
        <is>
          <t>34 DTV 409</t>
        </is>
      </c>
      <c r="E2604" s="21" t="inlineStr">
        <is>
          <t>ONUR CANLI</t>
        </is>
      </c>
      <c r="F2604" s="23" t="n">
        <v>414552</v>
      </c>
      <c r="G2604" s="138" t="n"/>
      <c r="H2604" s="138" t="n">
        <v>390</v>
      </c>
      <c r="I2604" s="138">
        <f>+I2603+(G2604-H2604)</f>
        <v/>
      </c>
      <c r="J2604" s="139" t="n">
        <v>40.669</v>
      </c>
      <c r="K2604" s="140" t="n"/>
      <c r="L2604" s="140">
        <f>+H2604*J2604</f>
        <v/>
      </c>
      <c r="M2604" s="141">
        <f>SUM(M2603+K2604-L2604)</f>
        <v/>
      </c>
    </row>
    <row r="2605">
      <c r="A2605" s="20" t="n">
        <v>45804</v>
      </c>
      <c r="B2605" s="21" t="n">
        <v>11644</v>
      </c>
      <c r="C2605" s="22" t="inlineStr">
        <is>
          <t>SELİM İNŞAAT</t>
        </is>
      </c>
      <c r="D2605" s="21" t="inlineStr">
        <is>
          <t>34 DTV 352</t>
        </is>
      </c>
      <c r="E2605" s="21" t="inlineStr">
        <is>
          <t>RASİM BARTU</t>
        </is>
      </c>
      <c r="F2605" s="23" t="n">
        <v>430186</v>
      </c>
      <c r="G2605" s="138" t="n"/>
      <c r="H2605" s="138" t="n">
        <v>127</v>
      </c>
      <c r="I2605" s="138">
        <f>+I2604+(G2605-H2605)</f>
        <v/>
      </c>
      <c r="J2605" s="139" t="n">
        <v>40.669</v>
      </c>
      <c r="K2605" s="140" t="n"/>
      <c r="L2605" s="140">
        <f>+H2605*J2605</f>
        <v/>
      </c>
      <c r="M2605" s="141">
        <f>SUM(M2604+K2605-L2605)</f>
        <v/>
      </c>
    </row>
    <row r="2606">
      <c r="A2606" s="20" t="n">
        <v>45804</v>
      </c>
      <c r="B2606" s="21" t="n">
        <v>10234</v>
      </c>
      <c r="C2606" s="22" t="inlineStr">
        <is>
          <t>SELİM İNŞAAT</t>
        </is>
      </c>
      <c r="D2606" s="21" t="inlineStr">
        <is>
          <t>34 DSN 621</t>
        </is>
      </c>
      <c r="E2606" s="21" t="inlineStr">
        <is>
          <t>MUSTAFA KAYA</t>
        </is>
      </c>
      <c r="F2606" s="23" t="n">
        <v>407890</v>
      </c>
      <c r="G2606" s="138" t="n"/>
      <c r="H2606" s="138" t="n">
        <v>300</v>
      </c>
      <c r="I2606" s="138">
        <f>+I2605+(G2606-H2606)</f>
        <v/>
      </c>
      <c r="J2606" s="139" t="n">
        <v>40.669</v>
      </c>
      <c r="K2606" s="140" t="n"/>
      <c r="L2606" s="140">
        <f>+H2606*J2606</f>
        <v/>
      </c>
      <c r="M2606" s="141">
        <f>SUM(M2605+K2606-L2606)</f>
        <v/>
      </c>
    </row>
    <row r="2607">
      <c r="A2607" s="20" t="n">
        <v>45804</v>
      </c>
      <c r="B2607" s="21" t="n">
        <v>14425</v>
      </c>
      <c r="C2607" s="22" t="inlineStr">
        <is>
          <t>SELİM İNŞAAT</t>
        </is>
      </c>
      <c r="D2607" s="21" t="inlineStr">
        <is>
          <t>34 EGR 737</t>
        </is>
      </c>
      <c r="E2607" s="21" t="inlineStr">
        <is>
          <t>CEM MUHTAR</t>
        </is>
      </c>
      <c r="F2607" s="23" t="n">
        <v>410720</v>
      </c>
      <c r="G2607" s="138" t="n"/>
      <c r="H2607" s="138" t="n">
        <v>323</v>
      </c>
      <c r="I2607" s="138">
        <f>+I2606+(G2607-H2607)</f>
        <v/>
      </c>
      <c r="J2607" s="139" t="n">
        <v>40.669</v>
      </c>
      <c r="K2607" s="140" t="n"/>
      <c r="L2607" s="140">
        <f>+H2607*J2607</f>
        <v/>
      </c>
      <c r="M2607" s="141">
        <f>SUM(M2606+K2607-L2607)</f>
        <v/>
      </c>
    </row>
    <row r="2608">
      <c r="A2608" s="20" t="n">
        <v>45804</v>
      </c>
      <c r="B2608" s="21" t="n">
        <v>11944</v>
      </c>
      <c r="C2608" s="22" t="inlineStr">
        <is>
          <t>SELİM İNŞAAT</t>
        </is>
      </c>
      <c r="D2608" s="21" t="inlineStr">
        <is>
          <t>34 FBR 742</t>
        </is>
      </c>
      <c r="E2608" s="21" t="inlineStr">
        <is>
          <t>MİKAİL BAYILMAZ</t>
        </is>
      </c>
      <c r="F2608" s="23" t="n">
        <v>315495</v>
      </c>
      <c r="G2608" s="138" t="n"/>
      <c r="H2608" s="138" t="n">
        <v>423</v>
      </c>
      <c r="I2608" s="138">
        <f>+I2607+(G2608-H2608)</f>
        <v/>
      </c>
      <c r="J2608" s="139" t="n">
        <v>40.669</v>
      </c>
      <c r="K2608" s="140" t="n"/>
      <c r="L2608" s="140">
        <f>+H2608*J2608</f>
        <v/>
      </c>
      <c r="M2608" s="141">
        <f>SUM(M2607+K2608-L2608)</f>
        <v/>
      </c>
    </row>
    <row r="2609">
      <c r="A2609" s="20" t="n">
        <v>45804</v>
      </c>
      <c r="B2609" s="21" t="n">
        <v>21325</v>
      </c>
      <c r="C2609" s="22" t="inlineStr">
        <is>
          <t>SELİM İNŞAAT</t>
        </is>
      </c>
      <c r="D2609" s="21" t="inlineStr">
        <is>
          <t>34 FEM 934</t>
        </is>
      </c>
      <c r="E2609" s="21" t="inlineStr">
        <is>
          <t>MUSTAFA ALBAYRAK</t>
        </is>
      </c>
      <c r="F2609" s="23" t="n">
        <v>308365</v>
      </c>
      <c r="G2609" s="138" t="n"/>
      <c r="H2609" s="138" t="n">
        <v>81</v>
      </c>
      <c r="I2609" s="138">
        <f>+I2608+(G2609-H2609)</f>
        <v/>
      </c>
      <c r="J2609" s="139" t="n">
        <v>40.669</v>
      </c>
      <c r="K2609" s="140" t="n"/>
      <c r="L2609" s="140">
        <f>+H2609*J2609</f>
        <v/>
      </c>
      <c r="M2609" s="141">
        <f>SUM(M2608+K2609-L2609)</f>
        <v/>
      </c>
    </row>
    <row r="2610">
      <c r="A2610" s="20" t="n">
        <v>45804</v>
      </c>
      <c r="B2610" s="21" t="n">
        <v>14376</v>
      </c>
      <c r="C2610" s="22" t="inlineStr">
        <is>
          <t>SELİM İNŞAAT</t>
        </is>
      </c>
      <c r="D2610" s="21" t="inlineStr">
        <is>
          <t>34 DKL 798</t>
        </is>
      </c>
      <c r="E2610" s="21" t="inlineStr">
        <is>
          <t>VOLKAN YANAR</t>
        </is>
      </c>
      <c r="F2610" s="23" t="n">
        <v>65348</v>
      </c>
      <c r="G2610" s="138" t="n"/>
      <c r="H2610" s="138" t="n">
        <v>219</v>
      </c>
      <c r="I2610" s="138">
        <f>+I2609+(G2610-H2610)</f>
        <v/>
      </c>
      <c r="J2610" s="139" t="n">
        <v>40.669</v>
      </c>
      <c r="K2610" s="140" t="n"/>
      <c r="L2610" s="140">
        <f>+H2610*J2610</f>
        <v/>
      </c>
      <c r="M2610" s="141">
        <f>SUM(M2609+K2610-L2610)</f>
        <v/>
      </c>
    </row>
    <row r="2611">
      <c r="A2611" s="20" t="n">
        <v>45804</v>
      </c>
      <c r="B2611" s="21" t="n">
        <v>15153</v>
      </c>
      <c r="C2611" s="22" t="inlineStr">
        <is>
          <t>SELİM İNŞAAT</t>
        </is>
      </c>
      <c r="D2611" s="21" t="inlineStr">
        <is>
          <t>34 DP 4161</t>
        </is>
      </c>
      <c r="E2611" s="21" t="inlineStr">
        <is>
          <t>RIFAT KARATAY</t>
        </is>
      </c>
      <c r="F2611" s="23" t="n">
        <v>285567</v>
      </c>
      <c r="G2611" s="138" t="n"/>
      <c r="H2611" s="138" t="n">
        <v>212</v>
      </c>
      <c r="I2611" s="138">
        <f>+I2610+(G2611-H2611)</f>
        <v/>
      </c>
      <c r="J2611" s="139" t="n">
        <v>40.669</v>
      </c>
      <c r="K2611" s="140" t="n"/>
      <c r="L2611" s="140">
        <f>+H2611*J2611</f>
        <v/>
      </c>
      <c r="M2611" s="141">
        <f>SUM(M2610+K2611-L2611)</f>
        <v/>
      </c>
    </row>
    <row r="2612">
      <c r="A2612" s="20" t="n">
        <v>45804</v>
      </c>
      <c r="B2612" s="21" t="n">
        <v>15914</v>
      </c>
      <c r="C2612" s="22" t="inlineStr">
        <is>
          <t>SELİM İNŞAAT</t>
        </is>
      </c>
      <c r="D2612" s="21" t="inlineStr">
        <is>
          <t>34 DFE 454</t>
        </is>
      </c>
      <c r="E2612" s="21" t="inlineStr">
        <is>
          <t>METİN KALKAN</t>
        </is>
      </c>
      <c r="F2612" s="23" t="n">
        <v>159115</v>
      </c>
      <c r="G2612" s="138" t="n"/>
      <c r="H2612" s="138" t="n">
        <v>231</v>
      </c>
      <c r="I2612" s="138">
        <f>+I2611+(G2612-H2612)</f>
        <v/>
      </c>
      <c r="J2612" s="139" t="n">
        <v>40.669</v>
      </c>
      <c r="K2612" s="140" t="n"/>
      <c r="L2612" s="140">
        <f>+H2612*J2612</f>
        <v/>
      </c>
      <c r="M2612" s="141">
        <f>SUM(M2611+K2612-L2612)</f>
        <v/>
      </c>
    </row>
    <row r="2613">
      <c r="A2613" s="20" t="n">
        <v>45804</v>
      </c>
      <c r="B2613" s="21" t="n">
        <v>15604</v>
      </c>
      <c r="C2613" s="22" t="inlineStr">
        <is>
          <t>METİN ERYİĞİT</t>
        </is>
      </c>
      <c r="D2613" s="21" t="inlineStr">
        <is>
          <t>34 EGS 013</t>
        </is>
      </c>
      <c r="E2613" s="21" t="inlineStr">
        <is>
          <t xml:space="preserve">UĞUR DUMAN </t>
        </is>
      </c>
      <c r="F2613" s="23" t="n">
        <v>485472</v>
      </c>
      <c r="G2613" s="138" t="n"/>
      <c r="H2613" s="138" t="n">
        <v>156</v>
      </c>
      <c r="I2613" s="138">
        <f>+I2612+(G2613-H2613)</f>
        <v/>
      </c>
      <c r="J2613" s="139" t="n">
        <v>40.669</v>
      </c>
      <c r="K2613" s="140" t="n"/>
      <c r="L2613" s="140">
        <f>+H2613*J2613</f>
        <v/>
      </c>
      <c r="M2613" s="141">
        <f>SUM(M2612+K2613-L2613)</f>
        <v/>
      </c>
    </row>
    <row r="2614">
      <c r="A2614" s="20" t="n">
        <v>45804</v>
      </c>
      <c r="B2614" s="21" t="n">
        <v>11327</v>
      </c>
      <c r="C2614" s="22" t="inlineStr">
        <is>
          <t>AZGÜN YAPI</t>
        </is>
      </c>
      <c r="D2614" s="21" t="inlineStr">
        <is>
          <t>34 MKT 859</t>
        </is>
      </c>
      <c r="E2614" s="21" t="inlineStr">
        <is>
          <t>HASAN ALTUN</t>
        </is>
      </c>
      <c r="F2614" s="23" t="n">
        <v>37252</v>
      </c>
      <c r="G2614" s="138" t="n"/>
      <c r="H2614" s="138" t="n">
        <v>911</v>
      </c>
      <c r="I2614" s="138">
        <f>+I2613+(G2614-H2614)</f>
        <v/>
      </c>
      <c r="J2614" s="139" t="n">
        <v>40.669</v>
      </c>
      <c r="K2614" s="140" t="n"/>
      <c r="L2614" s="140">
        <f>+H2614*J2614</f>
        <v/>
      </c>
      <c r="M2614" s="141">
        <f>SUM(M2613+K2614-L2614)</f>
        <v/>
      </c>
    </row>
    <row r="2615">
      <c r="A2615" s="20" t="n">
        <v>45804</v>
      </c>
      <c r="B2615" s="1" t="n">
        <v>15807</v>
      </c>
      <c r="C2615" s="2" t="inlineStr">
        <is>
          <t>GÜRSES</t>
        </is>
      </c>
      <c r="D2615" s="1" t="inlineStr">
        <is>
          <t>KAVAZAKİ</t>
        </is>
      </c>
      <c r="E2615" s="1" t="inlineStr">
        <is>
          <t>RAMAZAN KAYA</t>
        </is>
      </c>
      <c r="F2615" s="3" t="n"/>
      <c r="G2615" s="143" t="n"/>
      <c r="H2615" s="143" t="n">
        <v>264</v>
      </c>
      <c r="I2615" s="143">
        <f>+I2614+(G2615-H2615)</f>
        <v/>
      </c>
      <c r="J2615" s="144" t="n">
        <v>40.669</v>
      </c>
      <c r="K2615" s="145" t="n"/>
      <c r="L2615" s="140">
        <f>+H2615*J2615</f>
        <v/>
      </c>
      <c r="M2615" s="141">
        <f>SUM(M2614+K2615-L2615)</f>
        <v/>
      </c>
    </row>
    <row r="2616">
      <c r="A2616" s="20" t="n">
        <v>45804</v>
      </c>
      <c r="B2616" s="1" t="n">
        <v>15808</v>
      </c>
      <c r="C2616" s="2" t="inlineStr">
        <is>
          <t>EVKUR</t>
        </is>
      </c>
      <c r="D2616" s="1" t="inlineStr">
        <is>
          <t>SİLİNDİR</t>
        </is>
      </c>
      <c r="E2616" s="1" t="inlineStr">
        <is>
          <t>EMİRCAN ÖZTÜRK</t>
        </is>
      </c>
      <c r="F2616" s="3" t="n"/>
      <c r="G2616" s="143" t="n"/>
      <c r="H2616" s="143" t="n">
        <v>331</v>
      </c>
      <c r="I2616" s="143">
        <f>+I2615+(G2616-H2616)</f>
        <v/>
      </c>
      <c r="J2616" s="144" t="n">
        <v>40.669</v>
      </c>
      <c r="K2616" s="145" t="n"/>
      <c r="L2616" s="140">
        <f>+H2616*J2616</f>
        <v/>
      </c>
      <c r="M2616" s="141">
        <f>SUM(M2615+K2616-L2616)</f>
        <v/>
      </c>
    </row>
    <row r="2617">
      <c r="A2617" s="20" t="n">
        <v>45805</v>
      </c>
      <c r="B2617" s="21" t="n">
        <v>686</v>
      </c>
      <c r="C2617" s="22" t="inlineStr">
        <is>
          <t>ÜNSOY TURİZM İNŞ.SAN.VE TİC.A.Ş.</t>
        </is>
      </c>
      <c r="D2617" s="21" t="n"/>
      <c r="E2617" s="21" t="n"/>
      <c r="F2617" s="23" t="n"/>
      <c r="G2617" s="138" t="n">
        <v>32412</v>
      </c>
      <c r="H2617" s="138" t="n"/>
      <c r="I2617" s="138">
        <f>+I2616+(G2617-H2617)</f>
        <v/>
      </c>
      <c r="J2617" s="139">
        <f>+K2617/G2617</f>
        <v/>
      </c>
      <c r="K2617" s="140" t="n">
        <v>1279878.58</v>
      </c>
      <c r="L2617" s="140">
        <f>+H2617*J2617</f>
        <v/>
      </c>
      <c r="M2617" s="141">
        <f>SUM(M2616+K2617-L2617)</f>
        <v/>
      </c>
    </row>
    <row r="2618">
      <c r="A2618" s="20" t="n">
        <v>45805</v>
      </c>
      <c r="B2618" s="21" t="n">
        <v>15308</v>
      </c>
      <c r="C2618" s="22" t="inlineStr">
        <is>
          <t>SELİM İNŞAAT</t>
        </is>
      </c>
      <c r="D2618" s="21" t="inlineStr">
        <is>
          <t>34 EDC 162</t>
        </is>
      </c>
      <c r="E2618" s="21" t="inlineStr">
        <is>
          <t xml:space="preserve">YAKUP GÜNER </t>
        </is>
      </c>
      <c r="F2618" s="23" t="n">
        <v>367167</v>
      </c>
      <c r="G2618" s="138" t="n"/>
      <c r="H2618" s="138" t="n">
        <v>382</v>
      </c>
      <c r="I2618" s="138">
        <f>+I2617+(G2618-H2618)</f>
        <v/>
      </c>
      <c r="J2618" s="139" t="n">
        <v>39.488</v>
      </c>
      <c r="K2618" s="140" t="n"/>
      <c r="L2618" s="140">
        <f>+H2618*J2618</f>
        <v/>
      </c>
      <c r="M2618" s="141">
        <f>SUM(M2617+K2618-L2618)</f>
        <v/>
      </c>
    </row>
    <row r="2619">
      <c r="A2619" s="20" t="n">
        <v>45805</v>
      </c>
      <c r="B2619" s="21" t="n">
        <v>14083</v>
      </c>
      <c r="C2619" s="22" t="inlineStr">
        <is>
          <t>SELİM İNŞAAT</t>
        </is>
      </c>
      <c r="D2619" s="21" t="inlineStr">
        <is>
          <t>34 EDB 659</t>
        </is>
      </c>
      <c r="E2619" s="21" t="inlineStr">
        <is>
          <t>MEHMET SAİT ANIK</t>
        </is>
      </c>
      <c r="F2619" s="23" t="n">
        <v>337406</v>
      </c>
      <c r="G2619" s="138" t="n"/>
      <c r="H2619" s="138" t="n">
        <v>459</v>
      </c>
      <c r="I2619" s="138">
        <f>+I2618+(G2619-H2619)</f>
        <v/>
      </c>
      <c r="J2619" s="139" t="n">
        <v>39.488</v>
      </c>
      <c r="K2619" s="140" t="n"/>
      <c r="L2619" s="140">
        <f>+H2619*J2619</f>
        <v/>
      </c>
      <c r="M2619" s="141">
        <f>SUM(M2618+K2619-L2619)</f>
        <v/>
      </c>
    </row>
    <row r="2620">
      <c r="A2620" s="20" t="n">
        <v>45805</v>
      </c>
      <c r="B2620" s="21" t="n">
        <v>10545</v>
      </c>
      <c r="C2620" s="22" t="inlineStr">
        <is>
          <t>SELİM İNŞAAT</t>
        </is>
      </c>
      <c r="D2620" s="21" t="inlineStr">
        <is>
          <t>34 EDB 922</t>
        </is>
      </c>
      <c r="E2620" s="21" t="inlineStr">
        <is>
          <t>AHMET TOPÇU</t>
        </is>
      </c>
      <c r="F2620" s="23" t="n">
        <v>358960</v>
      </c>
      <c r="G2620" s="138" t="n"/>
      <c r="H2620" s="138" t="n">
        <v>424</v>
      </c>
      <c r="I2620" s="138">
        <f>+I2619+(G2620-H2620)</f>
        <v/>
      </c>
      <c r="J2620" s="139" t="n">
        <v>39.488</v>
      </c>
      <c r="K2620" s="140" t="n"/>
      <c r="L2620" s="140">
        <f>+H2620*J2620</f>
        <v/>
      </c>
      <c r="M2620" s="141">
        <f>SUM(M2619+K2620-L2620)</f>
        <v/>
      </c>
    </row>
    <row r="2621">
      <c r="A2621" s="20" t="n">
        <v>45805</v>
      </c>
      <c r="B2621" s="21" t="n">
        <v>11645</v>
      </c>
      <c r="C2621" s="22" t="inlineStr">
        <is>
          <t>SELİM İNŞAAT</t>
        </is>
      </c>
      <c r="D2621" s="21" t="inlineStr">
        <is>
          <t>34 DTV 352</t>
        </is>
      </c>
      <c r="E2621" s="21" t="inlineStr">
        <is>
          <t>RASİM BARTU</t>
        </is>
      </c>
      <c r="F2621" s="23" t="n">
        <v>430514</v>
      </c>
      <c r="G2621" s="138" t="n"/>
      <c r="H2621" s="138" t="n">
        <v>508</v>
      </c>
      <c r="I2621" s="138">
        <f>+I2620+(G2621-H2621)</f>
        <v/>
      </c>
      <c r="J2621" s="139" t="n">
        <v>39.488</v>
      </c>
      <c r="K2621" s="140" t="n"/>
      <c r="L2621" s="140">
        <f>+H2621*J2621</f>
        <v/>
      </c>
      <c r="M2621" s="141">
        <f>SUM(M2620+K2621-L2621)</f>
        <v/>
      </c>
    </row>
    <row r="2622">
      <c r="A2622" s="20" t="n">
        <v>45805</v>
      </c>
      <c r="B2622" s="21" t="n">
        <v>10350</v>
      </c>
      <c r="C2622" s="22" t="inlineStr">
        <is>
          <t>SELİM İNŞAAT</t>
        </is>
      </c>
      <c r="D2622" s="21" t="inlineStr">
        <is>
          <t>34 EDB 829</t>
        </is>
      </c>
      <c r="E2622" s="21" t="inlineStr">
        <is>
          <t>İSMET BAYRAM</t>
        </is>
      </c>
      <c r="F2622" s="23" t="n">
        <v>316201</v>
      </c>
      <c r="G2622" s="138" t="n"/>
      <c r="H2622" s="138" t="n">
        <v>321</v>
      </c>
      <c r="I2622" s="138">
        <f>+I2621+(G2622-H2622)</f>
        <v/>
      </c>
      <c r="J2622" s="139" t="n">
        <v>39.488</v>
      </c>
      <c r="K2622" s="140" t="n"/>
      <c r="L2622" s="140">
        <f>+H2622*J2622</f>
        <v/>
      </c>
      <c r="M2622" s="141">
        <f>SUM(M2621+K2622-L2622)</f>
        <v/>
      </c>
    </row>
    <row r="2623">
      <c r="A2623" s="20" t="n">
        <v>45805</v>
      </c>
      <c r="B2623" s="21" t="n">
        <v>14130</v>
      </c>
      <c r="C2623" s="22" t="inlineStr">
        <is>
          <t>SELİM İNŞAAT</t>
        </is>
      </c>
      <c r="D2623" s="21" t="inlineStr">
        <is>
          <t>34 DSN 536</t>
        </is>
      </c>
      <c r="E2623" s="21" t="inlineStr">
        <is>
          <t>KERİM KARAMAN</t>
        </is>
      </c>
      <c r="F2623" s="23" t="n">
        <v>402557</v>
      </c>
      <c r="G2623" s="138" t="n"/>
      <c r="H2623" s="138" t="n">
        <v>384</v>
      </c>
      <c r="I2623" s="138">
        <f>+I2622+(G2623-H2623)</f>
        <v/>
      </c>
      <c r="J2623" s="139" t="n">
        <v>39.488</v>
      </c>
      <c r="K2623" s="140" t="n"/>
      <c r="L2623" s="140">
        <f>+H2623*J2623</f>
        <v/>
      </c>
      <c r="M2623" s="141">
        <f>SUM(M2622+K2623-L2623)</f>
        <v/>
      </c>
    </row>
    <row r="2624">
      <c r="A2624" s="20" t="n">
        <v>45805</v>
      </c>
      <c r="B2624" s="21" t="n">
        <v>14819</v>
      </c>
      <c r="C2624" s="22" t="inlineStr">
        <is>
          <t>SELİM İNŞAAT</t>
        </is>
      </c>
      <c r="D2624" s="21" t="inlineStr">
        <is>
          <t>34 GVZ 268</t>
        </is>
      </c>
      <c r="E2624" s="21" t="inlineStr">
        <is>
          <t>KERİM KARAMAN</t>
        </is>
      </c>
      <c r="F2624" s="23" t="n">
        <v>190235</v>
      </c>
      <c r="G2624" s="138" t="n"/>
      <c r="H2624" s="138" t="n">
        <v>655</v>
      </c>
      <c r="I2624" s="138">
        <f>+I2623+(G2624-H2624)</f>
        <v/>
      </c>
      <c r="J2624" s="139" t="n">
        <v>39.488</v>
      </c>
      <c r="K2624" s="140" t="n"/>
      <c r="L2624" s="140">
        <f>+H2624*J2624</f>
        <v/>
      </c>
      <c r="M2624" s="141">
        <f>SUM(M2623+K2624-L2624)</f>
        <v/>
      </c>
    </row>
    <row r="2625">
      <c r="A2625" s="20" t="n">
        <v>45805</v>
      </c>
      <c r="B2625" s="21" t="n">
        <v>14232</v>
      </c>
      <c r="C2625" s="22" t="inlineStr">
        <is>
          <t>SELİM İNŞAAT</t>
        </is>
      </c>
      <c r="D2625" s="21" t="inlineStr">
        <is>
          <t xml:space="preserve">34 GUS 938 </t>
        </is>
      </c>
      <c r="E2625" s="21" t="inlineStr">
        <is>
          <t>MEHMET KAYA</t>
        </is>
      </c>
      <c r="F2625" s="23" t="n">
        <v>183291</v>
      </c>
      <c r="G2625" s="138" t="n"/>
      <c r="H2625" s="138" t="n">
        <v>481</v>
      </c>
      <c r="I2625" s="138">
        <f>+I2624+(G2625-H2625)</f>
        <v/>
      </c>
      <c r="J2625" s="139" t="n">
        <v>39.488</v>
      </c>
      <c r="K2625" s="140" t="n"/>
      <c r="L2625" s="140">
        <f>+H2625*J2625</f>
        <v/>
      </c>
      <c r="M2625" s="141">
        <f>SUM(M2624+K2625-L2625)</f>
        <v/>
      </c>
    </row>
    <row r="2626">
      <c r="A2626" s="20" t="n">
        <v>45805</v>
      </c>
      <c r="B2626" s="21" t="n">
        <v>15852</v>
      </c>
      <c r="C2626" s="22" t="inlineStr">
        <is>
          <t>SELİM İNŞAAT</t>
        </is>
      </c>
      <c r="D2626" s="21" t="inlineStr">
        <is>
          <t>34 EDB 754</t>
        </is>
      </c>
      <c r="E2626" s="21" t="inlineStr">
        <is>
          <t>EMİN PARLAKKILIÇ</t>
        </is>
      </c>
      <c r="F2626" s="23" t="n">
        <v>319114</v>
      </c>
      <c r="G2626" s="138" t="n"/>
      <c r="H2626" s="138" t="n">
        <v>493</v>
      </c>
      <c r="I2626" s="138">
        <f>+I2625+(G2626-H2626)</f>
        <v/>
      </c>
      <c r="J2626" s="139" t="n">
        <v>39.488</v>
      </c>
      <c r="K2626" s="140" t="n"/>
      <c r="L2626" s="140">
        <f>+H2626*J2626</f>
        <v/>
      </c>
      <c r="M2626" s="141">
        <f>SUM(M2625+K2626-L2626)</f>
        <v/>
      </c>
    </row>
    <row r="2627">
      <c r="A2627" s="20" t="n">
        <v>45805</v>
      </c>
      <c r="B2627" s="21" t="n">
        <v>14757</v>
      </c>
      <c r="C2627" s="22" t="inlineStr">
        <is>
          <t>SELİM İNŞAAT</t>
        </is>
      </c>
      <c r="D2627" s="21" t="inlineStr">
        <is>
          <t>34 GYZ 635</t>
        </is>
      </c>
      <c r="E2627" s="21" t="inlineStr">
        <is>
          <t>ENGİN DEMİR</t>
        </is>
      </c>
      <c r="F2627" s="23" t="n">
        <v>170078</v>
      </c>
      <c r="G2627" s="138" t="n"/>
      <c r="H2627" s="138" t="n">
        <v>406</v>
      </c>
      <c r="I2627" s="138">
        <f>+I2626+(G2627-H2627)</f>
        <v/>
      </c>
      <c r="J2627" s="139" t="n">
        <v>39.488</v>
      </c>
      <c r="K2627" s="140" t="n"/>
      <c r="L2627" s="140">
        <f>+H2627*J2627</f>
        <v/>
      </c>
      <c r="M2627" s="141">
        <f>SUM(M2626+K2627-L2627)</f>
        <v/>
      </c>
    </row>
    <row r="2628">
      <c r="A2628" s="20" t="n">
        <v>45805</v>
      </c>
      <c r="B2628" s="21" t="n">
        <v>11837</v>
      </c>
      <c r="C2628" s="22" t="inlineStr">
        <is>
          <t>SELİM İNŞAAT</t>
        </is>
      </c>
      <c r="D2628" s="21" t="inlineStr">
        <is>
          <t>34 FSG 229</t>
        </is>
      </c>
      <c r="E2628" s="21" t="inlineStr">
        <is>
          <t>SİNAN TANRIVERDİ</t>
        </is>
      </c>
      <c r="F2628" s="23" t="n">
        <v>255451</v>
      </c>
      <c r="G2628" s="138" t="n"/>
      <c r="H2628" s="138" t="n">
        <v>462</v>
      </c>
      <c r="I2628" s="138">
        <f>+I2627+(G2628-H2628)</f>
        <v/>
      </c>
      <c r="J2628" s="139" t="n">
        <v>39.488</v>
      </c>
      <c r="K2628" s="140" t="n"/>
      <c r="L2628" s="140">
        <f>+H2628*J2628</f>
        <v/>
      </c>
      <c r="M2628" s="141">
        <f>SUM(M2627+K2628-L2628)</f>
        <v/>
      </c>
    </row>
    <row r="2629">
      <c r="A2629" s="20" t="n">
        <v>45805</v>
      </c>
      <c r="B2629" s="21" t="n">
        <v>14337</v>
      </c>
      <c r="C2629" s="22" t="inlineStr">
        <is>
          <t>SELİM İNŞAAT</t>
        </is>
      </c>
      <c r="D2629" s="21" t="inlineStr">
        <is>
          <t>34 DKL 866</t>
        </is>
      </c>
      <c r="E2629" s="21" t="inlineStr">
        <is>
          <t>SELİM CAN ÖNVER</t>
        </is>
      </c>
      <c r="F2629" s="23" t="n">
        <v>65345</v>
      </c>
      <c r="G2629" s="138" t="n"/>
      <c r="H2629" s="138" t="n">
        <v>124</v>
      </c>
      <c r="I2629" s="138">
        <f>+I2628+(G2629-H2629)</f>
        <v/>
      </c>
      <c r="J2629" s="139" t="n">
        <v>39.488</v>
      </c>
      <c r="K2629" s="140" t="n"/>
      <c r="L2629" s="140">
        <f>+H2629*J2629</f>
        <v/>
      </c>
      <c r="M2629" s="141">
        <f>SUM(M2628+K2629-L2629)</f>
        <v/>
      </c>
    </row>
    <row r="2630">
      <c r="A2630" s="20" t="n">
        <v>45805</v>
      </c>
      <c r="B2630" s="21" t="n">
        <v>10579</v>
      </c>
      <c r="C2630" s="22" t="inlineStr">
        <is>
          <t>SELİM İNŞAAT</t>
        </is>
      </c>
      <c r="D2630" s="21" t="inlineStr">
        <is>
          <t>34 GU 945</t>
        </is>
      </c>
      <c r="E2630" s="21" t="inlineStr">
        <is>
          <t>TURAN SEVİNDİK</t>
        </is>
      </c>
      <c r="F2630" s="23" t="n">
        <v>446502</v>
      </c>
      <c r="G2630" s="138" t="n"/>
      <c r="H2630" s="138" t="n">
        <v>63</v>
      </c>
      <c r="I2630" s="138">
        <f>+I2629+(G2630-H2630)</f>
        <v/>
      </c>
      <c r="J2630" s="139" t="n">
        <v>39.488</v>
      </c>
      <c r="K2630" s="140" t="n"/>
      <c r="L2630" s="140">
        <f>+H2630*J2630</f>
        <v/>
      </c>
      <c r="M2630" s="141">
        <f>SUM(M2629+K2630-L2630)</f>
        <v/>
      </c>
    </row>
    <row r="2631">
      <c r="A2631" s="20" t="n">
        <v>45805</v>
      </c>
      <c r="B2631" s="21" t="n">
        <v>10886</v>
      </c>
      <c r="C2631" s="22" t="inlineStr">
        <is>
          <t>SELİM İNŞAAT</t>
        </is>
      </c>
      <c r="D2631" s="21" t="inlineStr">
        <is>
          <t>34 AR 7743</t>
        </is>
      </c>
      <c r="E2631" s="21" t="inlineStr">
        <is>
          <t>MEHMET SELİM</t>
        </is>
      </c>
      <c r="F2631" s="23" t="n">
        <v>356386</v>
      </c>
      <c r="G2631" s="138" t="n"/>
      <c r="H2631" s="138" t="n">
        <v>66</v>
      </c>
      <c r="I2631" s="138">
        <f>+I2630+(G2631-H2631)</f>
        <v/>
      </c>
      <c r="J2631" s="139" t="n">
        <v>39.488</v>
      </c>
      <c r="K2631" s="140" t="n"/>
      <c r="L2631" s="140">
        <f>+H2631*J2631</f>
        <v/>
      </c>
      <c r="M2631" s="141">
        <f>SUM(M2630+K2631-L2631)</f>
        <v/>
      </c>
    </row>
    <row r="2632">
      <c r="A2632" s="20" t="n">
        <v>45805</v>
      </c>
      <c r="B2632" s="21" t="n">
        <v>14527</v>
      </c>
      <c r="C2632" s="22" t="inlineStr">
        <is>
          <t>SELİM İNŞAAT</t>
        </is>
      </c>
      <c r="D2632" s="21" t="inlineStr">
        <is>
          <t>34 GER 028</t>
        </is>
      </c>
      <c r="E2632" s="21" t="inlineStr">
        <is>
          <t>A.KERİM ERGEN</t>
        </is>
      </c>
      <c r="F2632" s="23" t="n">
        <v>43832</v>
      </c>
      <c r="G2632" s="138" t="n"/>
      <c r="H2632" s="138" t="n">
        <v>201</v>
      </c>
      <c r="I2632" s="138">
        <f>+I2631+(G2632-H2632)</f>
        <v/>
      </c>
      <c r="J2632" s="139" t="n">
        <v>39.488</v>
      </c>
      <c r="K2632" s="140" t="n"/>
      <c r="L2632" s="140">
        <f>+H2632*J2632</f>
        <v/>
      </c>
      <c r="M2632" s="141">
        <f>SUM(M2631+K2632-L2632)</f>
        <v/>
      </c>
    </row>
    <row r="2633">
      <c r="A2633" s="20" t="n">
        <v>45805</v>
      </c>
      <c r="B2633" s="21" t="n">
        <v>14630</v>
      </c>
      <c r="C2633" s="22" t="inlineStr">
        <is>
          <t>SELİM İNŞAAT</t>
        </is>
      </c>
      <c r="D2633" s="21" t="inlineStr">
        <is>
          <t>34 GER 445</t>
        </is>
      </c>
      <c r="E2633" s="21" t="inlineStr">
        <is>
          <t>HASAN BAYCAN</t>
        </is>
      </c>
      <c r="F2633" s="23" t="n">
        <v>42093</v>
      </c>
      <c r="G2633" s="138" t="n"/>
      <c r="H2633" s="138" t="n">
        <v>207</v>
      </c>
      <c r="I2633" s="138">
        <f>+I2632+(G2633-H2633)</f>
        <v/>
      </c>
      <c r="J2633" s="139" t="n">
        <v>39.488</v>
      </c>
      <c r="K2633" s="140" t="n"/>
      <c r="L2633" s="140">
        <f>+H2633*J2633</f>
        <v/>
      </c>
      <c r="M2633" s="141">
        <f>SUM(M2632+K2633-L2633)</f>
        <v/>
      </c>
    </row>
    <row r="2634">
      <c r="A2634" s="20" t="n">
        <v>45805</v>
      </c>
      <c r="B2634" s="21" t="n">
        <v>15658</v>
      </c>
      <c r="C2634" s="22" t="inlineStr">
        <is>
          <t>METİN ERYİĞİT</t>
        </is>
      </c>
      <c r="D2634" s="21" t="inlineStr">
        <is>
          <t>34 EGR 814</t>
        </is>
      </c>
      <c r="E2634" s="21" t="inlineStr">
        <is>
          <t>GÜRAY KOYUNCU</t>
        </is>
      </c>
      <c r="F2634" s="23" t="n">
        <v>538540</v>
      </c>
      <c r="G2634" s="138" t="n"/>
      <c r="H2634" s="138" t="n">
        <v>363</v>
      </c>
      <c r="I2634" s="138">
        <f>+I2633+(G2634-H2634)</f>
        <v/>
      </c>
      <c r="J2634" s="139" t="n">
        <v>39.488</v>
      </c>
      <c r="K2634" s="140" t="n"/>
      <c r="L2634" s="140">
        <f>+H2634*J2634</f>
        <v/>
      </c>
      <c r="M2634" s="141">
        <f>SUM(M2633+K2634-L2634)</f>
        <v/>
      </c>
    </row>
    <row r="2635">
      <c r="A2635" s="20" t="n">
        <v>45805</v>
      </c>
      <c r="B2635" s="21" t="n">
        <v>14732</v>
      </c>
      <c r="C2635" s="22" t="inlineStr">
        <is>
          <t>METİN ERYİĞİT</t>
        </is>
      </c>
      <c r="D2635" s="21" t="inlineStr">
        <is>
          <t>34 GBL 998</t>
        </is>
      </c>
      <c r="E2635" s="21" t="inlineStr">
        <is>
          <t>ALİ KESKİN</t>
        </is>
      </c>
      <c r="F2635" s="23" t="n">
        <v>264405</v>
      </c>
      <c r="G2635" s="138" t="n"/>
      <c r="H2635" s="138" t="n">
        <v>241</v>
      </c>
      <c r="I2635" s="138">
        <f>+I2634+(G2635-H2635)</f>
        <v/>
      </c>
      <c r="J2635" s="139" t="n">
        <v>39.488</v>
      </c>
      <c r="K2635" s="140" t="n"/>
      <c r="L2635" s="140">
        <f>+H2635*J2635</f>
        <v/>
      </c>
      <c r="M2635" s="141">
        <f>SUM(M2634+K2635-L2635)</f>
        <v/>
      </c>
    </row>
    <row r="2636">
      <c r="A2636" s="20" t="n">
        <v>45805</v>
      </c>
      <c r="B2636" s="21" t="n">
        <v>14692</v>
      </c>
      <c r="C2636" s="22" t="inlineStr">
        <is>
          <t>MAHMUT VİNÇ</t>
        </is>
      </c>
      <c r="D2636" s="21" t="inlineStr">
        <is>
          <t>34 AH 5401</t>
        </is>
      </c>
      <c r="E2636" s="21" t="inlineStr">
        <is>
          <t>YASİN DEMİR</t>
        </is>
      </c>
      <c r="F2636" s="23" t="n"/>
      <c r="G2636" s="138" t="n"/>
      <c r="H2636" s="138" t="n">
        <v>136</v>
      </c>
      <c r="I2636" s="138">
        <f>+I2635+(G2636-H2636)</f>
        <v/>
      </c>
      <c r="J2636" s="139" t="n">
        <v>39.488</v>
      </c>
      <c r="K2636" s="140" t="n"/>
      <c r="L2636" s="140">
        <f>+H2636*J2636</f>
        <v/>
      </c>
      <c r="M2636" s="141">
        <f>SUM(M2635+K2636-L2636)</f>
        <v/>
      </c>
    </row>
    <row r="2637">
      <c r="A2637" s="20" t="n">
        <v>45805</v>
      </c>
      <c r="B2637" s="21" t="n">
        <v>14693</v>
      </c>
      <c r="C2637" s="22" t="inlineStr">
        <is>
          <t>RECEP SELİM OTO KURTARICI</t>
        </is>
      </c>
      <c r="D2637" s="21" t="inlineStr">
        <is>
          <t>34 GC 8658</t>
        </is>
      </c>
      <c r="E2637" s="21" t="inlineStr">
        <is>
          <t>RECEP SELİM</t>
        </is>
      </c>
      <c r="F2637" s="23" t="n"/>
      <c r="G2637" s="138" t="n"/>
      <c r="H2637" s="138" t="n">
        <v>73</v>
      </c>
      <c r="I2637" s="138">
        <f>+I2636+(G2637-H2637)</f>
        <v/>
      </c>
      <c r="J2637" s="139" t="n">
        <v>39.488</v>
      </c>
      <c r="K2637" s="140" t="n"/>
      <c r="L2637" s="140">
        <f>+H2637*J2637</f>
        <v/>
      </c>
      <c r="M2637" s="141">
        <f>SUM(M2636+K2637-L2637)</f>
        <v/>
      </c>
    </row>
    <row r="2638">
      <c r="A2638" s="20" t="n">
        <v>45805</v>
      </c>
      <c r="B2638" s="21" t="n">
        <v>14694</v>
      </c>
      <c r="C2638" s="22" t="inlineStr">
        <is>
          <t>SELİM İNŞAAT</t>
        </is>
      </c>
      <c r="D2638" s="1" t="inlineStr">
        <is>
          <t>34 AZ 2191 VİNÇ</t>
        </is>
      </c>
      <c r="E2638" s="21" t="inlineStr">
        <is>
          <t>NUMAN KABİL</t>
        </is>
      </c>
      <c r="F2638" s="23" t="n"/>
      <c r="G2638" s="138" t="n"/>
      <c r="H2638" s="138" t="n">
        <v>71</v>
      </c>
      <c r="I2638" s="138">
        <f>+I2637+(G2638-H2638)</f>
        <v/>
      </c>
      <c r="J2638" s="139" t="n">
        <v>39.488</v>
      </c>
      <c r="K2638" s="140" t="n"/>
      <c r="L2638" s="140">
        <f>+H2638*J2638</f>
        <v/>
      </c>
      <c r="M2638" s="141">
        <f>SUM(M2637+K2638-L2638)</f>
        <v/>
      </c>
    </row>
    <row r="2639">
      <c r="A2639" s="20" t="n">
        <v>45805</v>
      </c>
      <c r="B2639" s="21" t="n">
        <v>11160</v>
      </c>
      <c r="C2639" s="22" t="inlineStr">
        <is>
          <t>SELİM İNŞAAT</t>
        </is>
      </c>
      <c r="D2639" s="21" t="inlineStr">
        <is>
          <t>34 HZ 1663</t>
        </is>
      </c>
      <c r="E2639" s="21" t="inlineStr">
        <is>
          <t>ÖNER DÜNDAR</t>
        </is>
      </c>
      <c r="F2639" s="23" t="n">
        <v>521178</v>
      </c>
      <c r="G2639" s="138" t="n"/>
      <c r="H2639" s="138" t="n">
        <v>159</v>
      </c>
      <c r="I2639" s="138">
        <f>+I2638+(G2639-H2639)</f>
        <v/>
      </c>
      <c r="J2639" s="139" t="n">
        <v>39.488</v>
      </c>
      <c r="K2639" s="140" t="n"/>
      <c r="L2639" s="140">
        <f>+H2639*J2639</f>
        <v/>
      </c>
      <c r="M2639" s="141">
        <f>SUM(M2638+K2639-L2639)</f>
        <v/>
      </c>
    </row>
    <row r="2640">
      <c r="A2640" s="20" t="n">
        <v>45805</v>
      </c>
      <c r="B2640" s="21" t="n">
        <v>10453</v>
      </c>
      <c r="C2640" s="22" t="inlineStr">
        <is>
          <t>SELİM İNŞAAT</t>
        </is>
      </c>
      <c r="D2640" s="21" t="inlineStr">
        <is>
          <t>34 FBR 781</t>
        </is>
      </c>
      <c r="E2640" s="21" t="inlineStr">
        <is>
          <t>MEVLÜT POLAT</t>
        </is>
      </c>
      <c r="F2640" s="23" t="n">
        <v>299746</v>
      </c>
      <c r="G2640" s="138" t="n"/>
      <c r="H2640" s="138" t="n">
        <v>381</v>
      </c>
      <c r="I2640" s="138">
        <f>+I2639+(G2640-H2640)</f>
        <v/>
      </c>
      <c r="J2640" s="139" t="n">
        <v>39.488</v>
      </c>
      <c r="K2640" s="140" t="n"/>
      <c r="L2640" s="140">
        <f>+H2640*J2640</f>
        <v/>
      </c>
      <c r="M2640" s="141">
        <f>SUM(M2639+K2640-L2640)</f>
        <v/>
      </c>
    </row>
    <row r="2641">
      <c r="A2641" s="20" t="n">
        <v>45805</v>
      </c>
      <c r="B2641" s="21" t="n">
        <v>15809</v>
      </c>
      <c r="C2641" s="22" t="inlineStr">
        <is>
          <t>VARLIK</t>
        </is>
      </c>
      <c r="D2641" s="21" t="inlineStr">
        <is>
          <t>FOKLİFT</t>
        </is>
      </c>
      <c r="E2641" s="21" t="inlineStr">
        <is>
          <t>FAHRİ KALFA</t>
        </is>
      </c>
      <c r="F2641" s="23" t="n"/>
      <c r="G2641" s="138" t="n"/>
      <c r="H2641" s="138" t="n">
        <v>41</v>
      </c>
      <c r="I2641" s="138">
        <f>+I2640+(G2641-H2641)</f>
        <v/>
      </c>
      <c r="J2641" s="139" t="n">
        <v>39.488</v>
      </c>
      <c r="K2641" s="140" t="n"/>
      <c r="L2641" s="140">
        <f>+H2641*J2641</f>
        <v/>
      </c>
      <c r="M2641" s="141">
        <f>SUM(M2640+K2641-L2641)</f>
        <v/>
      </c>
    </row>
    <row r="2642">
      <c r="A2642" s="20" t="n">
        <v>45805</v>
      </c>
      <c r="B2642" s="1" t="n">
        <v>15810</v>
      </c>
      <c r="C2642" s="2" t="inlineStr">
        <is>
          <t>HASALTUN</t>
        </is>
      </c>
      <c r="D2642" s="1" t="inlineStr">
        <is>
          <t>SM 370</t>
        </is>
      </c>
      <c r="E2642" s="1" t="inlineStr">
        <is>
          <t>TEKİN ŞEYLAN</t>
        </is>
      </c>
      <c r="F2642" s="3" t="n"/>
      <c r="G2642" s="143" t="n"/>
      <c r="H2642" s="143" t="n">
        <v>388</v>
      </c>
      <c r="I2642" s="143">
        <f>+I2641+(G2642-H2642)</f>
        <v/>
      </c>
      <c r="J2642" s="144" t="n">
        <v>39.488</v>
      </c>
      <c r="K2642" s="145" t="n"/>
      <c r="L2642" s="140">
        <f>+H2642*J2642</f>
        <v/>
      </c>
      <c r="M2642" s="141">
        <f>SUM(M2641+K2642-L2642)</f>
        <v/>
      </c>
    </row>
    <row r="2643">
      <c r="A2643" s="20" t="n">
        <v>45805</v>
      </c>
      <c r="B2643" s="1" t="n">
        <v>15811</v>
      </c>
      <c r="C2643" s="2" t="inlineStr">
        <is>
          <t>HASALTUN</t>
        </is>
      </c>
      <c r="D2643" s="1" t="inlineStr">
        <is>
          <t>KAVAZAKİ</t>
        </is>
      </c>
      <c r="E2643" s="1" t="inlineStr">
        <is>
          <t>UFUK SEVAL</t>
        </is>
      </c>
      <c r="F2643" s="3" t="n"/>
      <c r="G2643" s="143" t="n"/>
      <c r="H2643" s="143" t="n">
        <v>285</v>
      </c>
      <c r="I2643" s="143">
        <f>+I2642+(G2643-H2643)</f>
        <v/>
      </c>
      <c r="J2643" s="144" t="n">
        <v>39.488</v>
      </c>
      <c r="K2643" s="145" t="n"/>
      <c r="L2643" s="140">
        <f>+H2643*J2643</f>
        <v/>
      </c>
      <c r="M2643" s="141">
        <f>SUM(M2642+K2643-L2643)</f>
        <v/>
      </c>
    </row>
    <row r="2644">
      <c r="A2644" s="20" t="n">
        <v>45805</v>
      </c>
      <c r="B2644" s="1" t="n">
        <v>15812</v>
      </c>
      <c r="C2644" s="2" t="inlineStr">
        <is>
          <t>EVKUR</t>
        </is>
      </c>
      <c r="D2644" s="1" t="inlineStr">
        <is>
          <t>RT 650 SARI VİNÇ</t>
        </is>
      </c>
      <c r="E2644" s="1" t="inlineStr">
        <is>
          <t>ALİHAN ÖZTÜRK</t>
        </is>
      </c>
      <c r="F2644" s="3" t="n"/>
      <c r="G2644" s="143" t="n"/>
      <c r="H2644" s="143" t="n">
        <v>189</v>
      </c>
      <c r="I2644" s="143">
        <f>+I2643+(G2644-H2644)</f>
        <v/>
      </c>
      <c r="J2644" s="144" t="n">
        <v>39.488</v>
      </c>
      <c r="K2644" s="145" t="n"/>
      <c r="L2644" s="140">
        <f>+H2644*J2644</f>
        <v/>
      </c>
      <c r="M2644" s="141">
        <f>SUM(M2643+K2644-L2644)</f>
        <v/>
      </c>
    </row>
    <row r="2645">
      <c r="A2645" s="20" t="n">
        <v>45805</v>
      </c>
      <c r="B2645" s="1" t="n">
        <v>15813</v>
      </c>
      <c r="C2645" s="2" t="inlineStr">
        <is>
          <t>VARLIK</t>
        </is>
      </c>
      <c r="D2645" s="1" t="inlineStr">
        <is>
          <t>SM 350</t>
        </is>
      </c>
      <c r="E2645" s="1" t="inlineStr">
        <is>
          <t>BAYRAM SANCAK</t>
        </is>
      </c>
      <c r="F2645" s="3" t="n"/>
      <c r="G2645" s="143" t="n"/>
      <c r="H2645" s="143" t="n">
        <v>357</v>
      </c>
      <c r="I2645" s="143">
        <f>+I2644+(G2645-H2645)</f>
        <v/>
      </c>
      <c r="J2645" s="144" t="n">
        <v>39.488</v>
      </c>
      <c r="K2645" s="145" t="n"/>
      <c r="L2645" s="140">
        <f>+H2645*J2645</f>
        <v/>
      </c>
      <c r="M2645" s="141">
        <f>SUM(M2644+K2645-L2645)</f>
        <v/>
      </c>
    </row>
    <row r="2646">
      <c r="A2646" s="20" t="n">
        <v>45805</v>
      </c>
      <c r="B2646" s="1" t="n">
        <v>15814</v>
      </c>
      <c r="C2646" s="2" t="inlineStr">
        <is>
          <t>VARLIK</t>
        </is>
      </c>
      <c r="D2646" s="1" t="inlineStr">
        <is>
          <t>SM 300</t>
        </is>
      </c>
      <c r="E2646" s="1" t="inlineStr">
        <is>
          <t>TURGUT SANCAK</t>
        </is>
      </c>
      <c r="F2646" s="3" t="n"/>
      <c r="G2646" s="143" t="n"/>
      <c r="H2646" s="143" t="n">
        <v>359</v>
      </c>
      <c r="I2646" s="143">
        <f>+I2645+(G2646-H2646)</f>
        <v/>
      </c>
      <c r="J2646" s="144" t="n">
        <v>39.488</v>
      </c>
      <c r="K2646" s="145" t="n"/>
      <c r="L2646" s="140">
        <f>+H2646*J2646</f>
        <v/>
      </c>
      <c r="M2646" s="141">
        <f>SUM(M2645+K2646-L2646)</f>
        <v/>
      </c>
    </row>
    <row r="2647">
      <c r="A2647" s="20" t="n">
        <v>45805</v>
      </c>
      <c r="B2647" s="1" t="n">
        <v>15815</v>
      </c>
      <c r="C2647" s="2" t="inlineStr">
        <is>
          <t>VARLIK</t>
        </is>
      </c>
      <c r="D2647" s="1" t="inlineStr">
        <is>
          <t>MNT 2260</t>
        </is>
      </c>
      <c r="E2647" s="1" t="inlineStr">
        <is>
          <t>MUHAMMED KANTAR</t>
        </is>
      </c>
      <c r="F2647" s="3" t="n"/>
      <c r="G2647" s="143" t="n"/>
      <c r="H2647" s="143" t="n">
        <v>182</v>
      </c>
      <c r="I2647" s="143">
        <f>+I2646+(G2647-H2647)</f>
        <v/>
      </c>
      <c r="J2647" s="144" t="n">
        <v>39.488</v>
      </c>
      <c r="K2647" s="145" t="n"/>
      <c r="L2647" s="140">
        <f>+H2647*J2647</f>
        <v/>
      </c>
      <c r="M2647" s="141">
        <f>SUM(M2646+K2647-L2647)</f>
        <v/>
      </c>
    </row>
    <row r="2648">
      <c r="A2648" s="20" t="n">
        <v>45805</v>
      </c>
      <c r="B2648" s="1" t="n">
        <v>15816</v>
      </c>
      <c r="C2648" s="2" t="inlineStr">
        <is>
          <t>GÜRSES</t>
        </is>
      </c>
      <c r="D2648" s="1" t="inlineStr">
        <is>
          <t>SM 350</t>
        </is>
      </c>
      <c r="E2648" s="1" t="inlineStr">
        <is>
          <t>TEVFİK ÖZTÜRK</t>
        </is>
      </c>
      <c r="F2648" s="3" t="n"/>
      <c r="G2648" s="143" t="n"/>
      <c r="H2648" s="143" t="n">
        <v>435</v>
      </c>
      <c r="I2648" s="143">
        <f>+I2647+(G2648-H2648)</f>
        <v/>
      </c>
      <c r="J2648" s="144" t="n">
        <v>39.488</v>
      </c>
      <c r="K2648" s="145" t="n"/>
      <c r="L2648" s="140">
        <f>+H2648*J2648</f>
        <v/>
      </c>
      <c r="M2648" s="141">
        <f>SUM(M2647+K2648-L2648)</f>
        <v/>
      </c>
    </row>
    <row r="2649">
      <c r="A2649" s="20" t="n">
        <v>45806</v>
      </c>
      <c r="B2649" s="21" t="n">
        <v>11741</v>
      </c>
      <c r="C2649" s="22" t="inlineStr">
        <is>
          <t>SELİM İNŞAAT</t>
        </is>
      </c>
      <c r="D2649" s="21" t="inlineStr">
        <is>
          <t>34 EDB 559</t>
        </is>
      </c>
      <c r="E2649" s="21" t="inlineStr">
        <is>
          <t>RECEP SELİM (DEPO DELİNDİ)</t>
        </is>
      </c>
      <c r="F2649" s="23" t="n"/>
      <c r="G2649" s="138" t="n"/>
      <c r="H2649" s="138" t="n">
        <v>112</v>
      </c>
      <c r="I2649" s="138">
        <f>+I2648+(G2649-H2649)</f>
        <v/>
      </c>
      <c r="J2649" s="139" t="n">
        <v>39.488</v>
      </c>
      <c r="K2649" s="140" t="n"/>
      <c r="L2649" s="140">
        <f>+H2649*J2649</f>
        <v/>
      </c>
      <c r="M2649" s="141">
        <f>SUM(M2648+K2649-L2649)</f>
        <v/>
      </c>
    </row>
    <row r="2650">
      <c r="A2650" s="20" t="n">
        <v>45806</v>
      </c>
      <c r="B2650" s="21" t="n">
        <v>11223</v>
      </c>
      <c r="C2650" s="22" t="inlineStr">
        <is>
          <t>SELİM İNŞAAT</t>
        </is>
      </c>
      <c r="D2650" s="21" t="inlineStr">
        <is>
          <t>34 DSN 636</t>
        </is>
      </c>
      <c r="E2650" s="21" t="inlineStr">
        <is>
          <t>İLHAN YÜRÜK</t>
        </is>
      </c>
      <c r="F2650" s="23" t="n">
        <v>387983</v>
      </c>
      <c r="G2650" s="138" t="n"/>
      <c r="H2650" s="138" t="n">
        <v>381</v>
      </c>
      <c r="I2650" s="138">
        <f>+I2649+(G2650-H2650)</f>
        <v/>
      </c>
      <c r="J2650" s="139" t="n">
        <v>39.488</v>
      </c>
      <c r="K2650" s="140" t="n"/>
      <c r="L2650" s="140">
        <f>+H2650*J2650</f>
        <v/>
      </c>
      <c r="M2650" s="141">
        <f>SUM(M2649+K2650-L2650)</f>
        <v/>
      </c>
    </row>
    <row r="2651">
      <c r="A2651" s="20" t="n">
        <v>45806</v>
      </c>
      <c r="B2651" s="21" t="n">
        <v>15052</v>
      </c>
      <c r="C2651" s="22" t="inlineStr">
        <is>
          <t>SELİM İNŞAAT</t>
        </is>
      </c>
      <c r="D2651" s="21" t="inlineStr">
        <is>
          <t>34 EGR 736</t>
        </is>
      </c>
      <c r="E2651" s="21" t="inlineStr">
        <is>
          <t>HAKAN ÇAVUŞOĞLU</t>
        </is>
      </c>
      <c r="F2651" s="23" t="n">
        <v>387541</v>
      </c>
      <c r="G2651" s="138" t="n"/>
      <c r="H2651" s="138" t="n">
        <v>443</v>
      </c>
      <c r="I2651" s="138">
        <f>+I2650+(G2651-H2651)</f>
        <v/>
      </c>
      <c r="J2651" s="139" t="n">
        <v>39.488</v>
      </c>
      <c r="K2651" s="140" t="n"/>
      <c r="L2651" s="140">
        <f>+H2651*J2651</f>
        <v/>
      </c>
      <c r="M2651" s="141">
        <f>SUM(M2650+K2651-L2651)</f>
        <v/>
      </c>
    </row>
    <row r="2652">
      <c r="A2652" s="20" t="n">
        <v>45806</v>
      </c>
      <c r="B2652" s="21" t="n">
        <v>10096</v>
      </c>
      <c r="C2652" s="22" t="inlineStr">
        <is>
          <t>SELİM İNŞAAT</t>
        </is>
      </c>
      <c r="D2652" s="21" t="inlineStr">
        <is>
          <t>34 FBR 771</t>
        </is>
      </c>
      <c r="E2652" s="21" t="inlineStr">
        <is>
          <t>HÜSEYİN AKÇİN</t>
        </is>
      </c>
      <c r="F2652" s="23" t="n">
        <v>316397</v>
      </c>
      <c r="G2652" s="138" t="n"/>
      <c r="H2652" s="138" t="n">
        <v>414</v>
      </c>
      <c r="I2652" s="138">
        <f>+I2651+(G2652-H2652)</f>
        <v/>
      </c>
      <c r="J2652" s="139" t="n">
        <v>39.488</v>
      </c>
      <c r="K2652" s="140" t="n"/>
      <c r="L2652" s="140">
        <f>+H2652*J2652</f>
        <v/>
      </c>
      <c r="M2652" s="141">
        <f>SUM(M2651+K2652-L2652)</f>
        <v/>
      </c>
    </row>
    <row r="2653">
      <c r="A2653" s="20" t="n">
        <v>45806</v>
      </c>
      <c r="B2653" s="21" t="n">
        <v>14482</v>
      </c>
      <c r="C2653" s="22" t="inlineStr">
        <is>
          <t>SELİM İNŞAAT</t>
        </is>
      </c>
      <c r="D2653" s="21" t="inlineStr">
        <is>
          <t>34 GUS 848</t>
        </is>
      </c>
      <c r="E2653" s="21" t="inlineStr">
        <is>
          <t>SERDAR BOZKURT</t>
        </is>
      </c>
      <c r="F2653" s="23" t="n">
        <v>190096</v>
      </c>
      <c r="G2653" s="138" t="n"/>
      <c r="H2653" s="138" t="n">
        <v>484</v>
      </c>
      <c r="I2653" s="138">
        <f>+I2652+(G2653-H2653)</f>
        <v/>
      </c>
      <c r="J2653" s="139" t="n">
        <v>39.488</v>
      </c>
      <c r="K2653" s="140" t="n"/>
      <c r="L2653" s="140">
        <f>+H2653*J2653</f>
        <v/>
      </c>
      <c r="M2653" s="141">
        <f>SUM(M2652+K2653-L2653)</f>
        <v/>
      </c>
    </row>
    <row r="2654">
      <c r="A2654" s="20" t="n">
        <v>45806</v>
      </c>
      <c r="B2654" s="21" t="n">
        <v>15253</v>
      </c>
      <c r="C2654" s="22" t="inlineStr">
        <is>
          <t>SELİM İNŞAAT</t>
        </is>
      </c>
      <c r="D2654" s="21" t="inlineStr">
        <is>
          <t>34 DTV 447</t>
        </is>
      </c>
      <c r="E2654" s="21" t="inlineStr">
        <is>
          <t>EBUBEKİR KOLDAŞ</t>
        </is>
      </c>
      <c r="F2654" s="23" t="n">
        <v>427840</v>
      </c>
      <c r="G2654" s="138" t="n"/>
      <c r="H2654" s="138" t="n">
        <v>468</v>
      </c>
      <c r="I2654" s="138">
        <f>+I2653+(G2654-H2654)</f>
        <v/>
      </c>
      <c r="J2654" s="139" t="n">
        <v>39.488</v>
      </c>
      <c r="K2654" s="140" t="n"/>
      <c r="L2654" s="140">
        <f>+H2654*J2654</f>
        <v/>
      </c>
      <c r="M2654" s="141">
        <f>SUM(M2653+K2654-L2654)</f>
        <v/>
      </c>
    </row>
    <row r="2655">
      <c r="A2655" s="20" t="n">
        <v>45806</v>
      </c>
      <c r="B2655" s="21" t="n">
        <v>15018</v>
      </c>
      <c r="C2655" s="22" t="inlineStr">
        <is>
          <t>SELİM İNŞAAT</t>
        </is>
      </c>
      <c r="D2655" s="21" t="inlineStr">
        <is>
          <t>34 GVZ 199</t>
        </is>
      </c>
      <c r="E2655" s="21" t="inlineStr">
        <is>
          <t>VAHDET GÜRLER</t>
        </is>
      </c>
      <c r="F2655" s="23" t="n">
        <v>178578</v>
      </c>
      <c r="G2655" s="138" t="n"/>
      <c r="H2655" s="138" t="n">
        <v>515</v>
      </c>
      <c r="I2655" s="138">
        <f>+I2654+(G2655-H2655)</f>
        <v/>
      </c>
      <c r="J2655" s="139" t="n">
        <v>39.488</v>
      </c>
      <c r="K2655" s="140" t="n"/>
      <c r="L2655" s="140">
        <f>+H2655*J2655</f>
        <v/>
      </c>
      <c r="M2655" s="141">
        <f>SUM(M2654+K2655-L2655)</f>
        <v/>
      </c>
    </row>
    <row r="2656">
      <c r="A2656" s="20" t="n">
        <v>45806</v>
      </c>
      <c r="B2656" s="21" t="n">
        <v>14034</v>
      </c>
      <c r="C2656" s="22" t="inlineStr">
        <is>
          <t>SELİM İNŞAAT</t>
        </is>
      </c>
      <c r="D2656" s="21" t="inlineStr">
        <is>
          <t>34 GVZ 310</t>
        </is>
      </c>
      <c r="E2656" s="21" t="inlineStr">
        <is>
          <t>CELAL YÜZBAŞI</t>
        </is>
      </c>
      <c r="F2656" s="23" t="n">
        <v>195307</v>
      </c>
      <c r="G2656" s="138" t="n"/>
      <c r="H2656" s="138" t="n">
        <v>465</v>
      </c>
      <c r="I2656" s="138">
        <f>+I2655+(G2656-H2656)</f>
        <v/>
      </c>
      <c r="J2656" s="139" t="n">
        <v>39.488</v>
      </c>
      <c r="K2656" s="140" t="n"/>
      <c r="L2656" s="140">
        <f>+H2656*J2656</f>
        <v/>
      </c>
      <c r="M2656" s="141">
        <f>SUM(M2655+K2656-L2656)</f>
        <v/>
      </c>
    </row>
    <row r="2657">
      <c r="A2657" s="20" t="n">
        <v>45806</v>
      </c>
      <c r="B2657" s="21" t="n">
        <v>21625</v>
      </c>
      <c r="C2657" s="22" t="inlineStr">
        <is>
          <t>SELİM İNŞAAT</t>
        </is>
      </c>
      <c r="D2657" s="21" t="inlineStr">
        <is>
          <t>34 DHC 467</t>
        </is>
      </c>
      <c r="E2657" s="21" t="inlineStr">
        <is>
          <t>ERSEL DERVİŞ</t>
        </is>
      </c>
      <c r="F2657" s="23" t="n">
        <v>402341</v>
      </c>
      <c r="G2657" s="138" t="n"/>
      <c r="H2657" s="138" t="n">
        <v>424</v>
      </c>
      <c r="I2657" s="138">
        <f>+I2656+(G2657-H2657)</f>
        <v/>
      </c>
      <c r="J2657" s="139" t="n">
        <v>39.488</v>
      </c>
      <c r="K2657" s="140" t="n"/>
      <c r="L2657" s="140">
        <f>+H2657*J2657</f>
        <v/>
      </c>
      <c r="M2657" s="141">
        <f>SUM(M2656+K2657-L2657)</f>
        <v/>
      </c>
    </row>
    <row r="2658">
      <c r="A2658" s="20" t="n">
        <v>45806</v>
      </c>
      <c r="B2658" s="21" t="n">
        <v>21326</v>
      </c>
      <c r="C2658" s="22" t="inlineStr">
        <is>
          <t>SELİM İNŞAAT</t>
        </is>
      </c>
      <c r="D2658" s="21" t="inlineStr">
        <is>
          <t>34 FEM 934</t>
        </is>
      </c>
      <c r="E2658" s="21" t="inlineStr">
        <is>
          <t>MUSTAFA ALBAYRAK</t>
        </is>
      </c>
      <c r="F2658" s="23" t="n">
        <v>309026</v>
      </c>
      <c r="G2658" s="138" t="n"/>
      <c r="H2658" s="138" t="n">
        <v>78</v>
      </c>
      <c r="I2658" s="138">
        <f>+I2657+(G2658-H2658)</f>
        <v/>
      </c>
      <c r="J2658" s="139" t="n">
        <v>39.488</v>
      </c>
      <c r="K2658" s="140" t="n"/>
      <c r="L2658" s="140">
        <f>+H2658*J2658</f>
        <v/>
      </c>
      <c r="M2658" s="141">
        <f>SUM(M2657+K2658-L2658)</f>
        <v/>
      </c>
    </row>
    <row r="2659">
      <c r="A2659" s="20" t="n">
        <v>45806</v>
      </c>
      <c r="B2659" s="21" t="n">
        <v>14377</v>
      </c>
      <c r="C2659" s="22" t="inlineStr">
        <is>
          <t>SELİM İNŞAAT</t>
        </is>
      </c>
      <c r="D2659" s="21" t="inlineStr">
        <is>
          <t>34 DKL 798</t>
        </is>
      </c>
      <c r="E2659" s="21" t="inlineStr">
        <is>
          <t>VOLKAN YANAR</t>
        </is>
      </c>
      <c r="F2659" s="23" t="n">
        <v>65398</v>
      </c>
      <c r="G2659" s="138" t="n"/>
      <c r="H2659" s="138" t="n">
        <v>69</v>
      </c>
      <c r="I2659" s="138">
        <f>+I2658+(G2659-H2659)</f>
        <v/>
      </c>
      <c r="J2659" s="139" t="n">
        <v>39.488</v>
      </c>
      <c r="K2659" s="140" t="n"/>
      <c r="L2659" s="140">
        <f>+H2659*J2659</f>
        <v/>
      </c>
      <c r="M2659" s="141">
        <f>SUM(M2658+K2659-L2659)</f>
        <v/>
      </c>
    </row>
    <row r="2660">
      <c r="A2660" s="20" t="n">
        <v>45806</v>
      </c>
      <c r="B2660" s="21" t="n">
        <v>15915</v>
      </c>
      <c r="C2660" s="22" t="inlineStr">
        <is>
          <t>SELİM İNŞAAT</t>
        </is>
      </c>
      <c r="D2660" s="21" t="inlineStr">
        <is>
          <t>34 DFE 454</t>
        </is>
      </c>
      <c r="E2660" s="21" t="inlineStr">
        <is>
          <t>METİN KALKAN</t>
        </is>
      </c>
      <c r="F2660" s="23" t="n">
        <v>159264</v>
      </c>
      <c r="G2660" s="138" t="n"/>
      <c r="H2660" s="138" t="n">
        <v>57</v>
      </c>
      <c r="I2660" s="138">
        <f>+I2659+(G2660-H2660)</f>
        <v/>
      </c>
      <c r="J2660" s="139" t="n">
        <v>39.488</v>
      </c>
      <c r="K2660" s="140" t="n"/>
      <c r="L2660" s="140">
        <f>+H2660*J2660</f>
        <v/>
      </c>
      <c r="M2660" s="141">
        <f>SUM(M2659+K2660-L2660)</f>
        <v/>
      </c>
    </row>
    <row r="2661">
      <c r="A2661" s="20" t="n">
        <v>45806</v>
      </c>
      <c r="B2661" s="21" t="n">
        <v>14733</v>
      </c>
      <c r="C2661" s="22" t="inlineStr">
        <is>
          <t>METİN ERYİĞİT</t>
        </is>
      </c>
      <c r="D2661" s="21" t="inlineStr">
        <is>
          <t>34 GBL 998</t>
        </is>
      </c>
      <c r="E2661" s="21" t="inlineStr">
        <is>
          <t>ALİ KESKİN</t>
        </is>
      </c>
      <c r="F2661" s="23" t="n">
        <v>265025</v>
      </c>
      <c r="G2661" s="138" t="n"/>
      <c r="H2661" s="138" t="n">
        <v>319</v>
      </c>
      <c r="I2661" s="138">
        <f>+I2660+(G2661-H2661)</f>
        <v/>
      </c>
      <c r="J2661" s="139" t="n">
        <v>39.488</v>
      </c>
      <c r="K2661" s="140" t="n"/>
      <c r="L2661" s="140">
        <f>+H2661*J2661</f>
        <v/>
      </c>
      <c r="M2661" s="141">
        <f>SUM(M2660+K2661-L2661)</f>
        <v/>
      </c>
    </row>
    <row r="2662">
      <c r="A2662" s="20" t="n">
        <v>45806</v>
      </c>
      <c r="B2662" s="21" t="n">
        <v>15605</v>
      </c>
      <c r="C2662" s="22" t="inlineStr">
        <is>
          <t>METİN ERYİĞİT</t>
        </is>
      </c>
      <c r="D2662" s="21" t="inlineStr">
        <is>
          <t>34 EGS 013</t>
        </is>
      </c>
      <c r="E2662" s="21" t="inlineStr">
        <is>
          <t xml:space="preserve">UĞUR DUMAN </t>
        </is>
      </c>
      <c r="F2662" s="23" t="n">
        <v>485857</v>
      </c>
      <c r="G2662" s="138" t="n"/>
      <c r="H2662" s="138" t="n">
        <v>452</v>
      </c>
      <c r="I2662" s="138">
        <f>+I2661+(G2662-H2662)</f>
        <v/>
      </c>
      <c r="J2662" s="139" t="n">
        <v>39.488</v>
      </c>
      <c r="K2662" s="140" t="n"/>
      <c r="L2662" s="140">
        <f>+H2662*J2662</f>
        <v/>
      </c>
      <c r="M2662" s="141">
        <f>SUM(M2661+K2662-L2662)</f>
        <v/>
      </c>
    </row>
    <row r="2663">
      <c r="A2663" s="20" t="n">
        <v>45806</v>
      </c>
      <c r="B2663" s="21" t="n">
        <v>10392</v>
      </c>
      <c r="C2663" s="22" t="inlineStr">
        <is>
          <t>SELİM İNŞAAT</t>
        </is>
      </c>
      <c r="D2663" s="21" t="inlineStr">
        <is>
          <t>34 DRU 690</t>
        </is>
      </c>
      <c r="E2663" s="21" t="inlineStr">
        <is>
          <t>MURAT DEMİRBAŞ</t>
        </is>
      </c>
      <c r="F2663" s="23" t="n">
        <v>413839</v>
      </c>
      <c r="G2663" s="138" t="n"/>
      <c r="H2663" s="138" t="n">
        <v>532</v>
      </c>
      <c r="I2663" s="138">
        <f>+I2662+(G2663-H2663)</f>
        <v/>
      </c>
      <c r="J2663" s="139" t="n">
        <v>39.488</v>
      </c>
      <c r="K2663" s="140" t="n"/>
      <c r="L2663" s="140">
        <f>+H2663*J2663</f>
        <v/>
      </c>
      <c r="M2663" s="141">
        <f>SUM(M2662+K2663-L2663)</f>
        <v/>
      </c>
    </row>
    <row r="2664">
      <c r="A2664" s="20" t="n">
        <v>45806</v>
      </c>
      <c r="B2664" s="1" t="n">
        <v>15817</v>
      </c>
      <c r="C2664" s="2" t="inlineStr">
        <is>
          <t>VARLIK</t>
        </is>
      </c>
      <c r="D2664" s="1" t="inlineStr">
        <is>
          <t>SM 300</t>
        </is>
      </c>
      <c r="E2664" s="1" t="inlineStr">
        <is>
          <t>TURGUT SANCAK</t>
        </is>
      </c>
      <c r="F2664" s="3" t="n"/>
      <c r="G2664" s="143" t="n"/>
      <c r="H2664" s="143" t="n">
        <v>233</v>
      </c>
      <c r="I2664" s="143">
        <f>+I2663+(G2664-H2664)</f>
        <v/>
      </c>
      <c r="J2664" s="144" t="n">
        <v>39.488</v>
      </c>
      <c r="K2664" s="145" t="n"/>
      <c r="L2664" s="140">
        <f>+H2664*J2664</f>
        <v/>
      </c>
      <c r="M2664" s="141">
        <f>SUM(M2663+K2664-L2664)</f>
        <v/>
      </c>
    </row>
    <row r="2665">
      <c r="A2665" s="20" t="n">
        <v>45806</v>
      </c>
      <c r="B2665" s="1" t="n">
        <v>15818</v>
      </c>
      <c r="C2665" s="2" t="inlineStr">
        <is>
          <t>VARLIK</t>
        </is>
      </c>
      <c r="D2665" s="1" t="inlineStr">
        <is>
          <t>SM 350</t>
        </is>
      </c>
      <c r="E2665" s="1" t="inlineStr">
        <is>
          <t>BAYRAM SANCAK</t>
        </is>
      </c>
      <c r="F2665" s="3" t="n"/>
      <c r="G2665" s="143" t="n"/>
      <c r="H2665" s="143" t="n">
        <v>263</v>
      </c>
      <c r="I2665" s="143">
        <f>+I2664+(G2665-H2665)</f>
        <v/>
      </c>
      <c r="J2665" s="144" t="n">
        <v>39.488</v>
      </c>
      <c r="K2665" s="145" t="n"/>
      <c r="L2665" s="140">
        <f>+H2665*J2665</f>
        <v/>
      </c>
      <c r="M2665" s="141">
        <f>SUM(M2664+K2665-L2665)</f>
        <v/>
      </c>
    </row>
    <row r="2666">
      <c r="A2666" s="20" t="n">
        <v>45806</v>
      </c>
      <c r="B2666" s="1" t="n">
        <v>15819</v>
      </c>
      <c r="C2666" s="2" t="inlineStr">
        <is>
          <t>VARLIK</t>
        </is>
      </c>
      <c r="D2666" s="1" t="inlineStr">
        <is>
          <t>KAVAZAKİ</t>
        </is>
      </c>
      <c r="E2666" s="1" t="inlineStr">
        <is>
          <t>UFUK SEVAL</t>
        </is>
      </c>
      <c r="F2666" s="3" t="n"/>
      <c r="G2666" s="143" t="n"/>
      <c r="H2666" s="143" t="n">
        <v>153</v>
      </c>
      <c r="I2666" s="143">
        <f>+I2665+(G2666-H2666)</f>
        <v/>
      </c>
      <c r="J2666" s="144" t="n">
        <v>39.488</v>
      </c>
      <c r="K2666" s="145" t="n"/>
      <c r="L2666" s="140">
        <f>+H2666*J2666</f>
        <v/>
      </c>
      <c r="M2666" s="141">
        <f>SUM(M2665+K2666-L2666)</f>
        <v/>
      </c>
    </row>
    <row r="2667">
      <c r="A2667" s="20" t="n">
        <v>45806</v>
      </c>
      <c r="B2667" s="1" t="n">
        <v>15820</v>
      </c>
      <c r="C2667" s="2" t="inlineStr">
        <is>
          <t>HASALTUN</t>
        </is>
      </c>
      <c r="D2667" s="1" t="inlineStr">
        <is>
          <t>SM 370</t>
        </is>
      </c>
      <c r="E2667" s="1" t="inlineStr">
        <is>
          <t>TEKİN ŞEYLAN</t>
        </is>
      </c>
      <c r="F2667" s="3" t="n"/>
      <c r="G2667" s="143" t="n"/>
      <c r="H2667" s="143" t="n">
        <v>410</v>
      </c>
      <c r="I2667" s="143">
        <f>+I2666+(G2667-H2667)</f>
        <v/>
      </c>
      <c r="J2667" s="144" t="n">
        <v>39.488</v>
      </c>
      <c r="K2667" s="145" t="n"/>
      <c r="L2667" s="140">
        <f>+H2667*J2667</f>
        <v/>
      </c>
      <c r="M2667" s="141">
        <f>SUM(M2666+K2667-L2667)</f>
        <v/>
      </c>
    </row>
    <row r="2668">
      <c r="A2668" s="20" t="n">
        <v>45806</v>
      </c>
      <c r="B2668" s="21" t="n">
        <v>1</v>
      </c>
      <c r="C2668" s="22" t="inlineStr">
        <is>
          <t>SELİM İNŞAAT</t>
        </is>
      </c>
      <c r="D2668" s="21" t="inlineStr">
        <is>
          <t>34 FBR 748</t>
        </is>
      </c>
      <c r="E2668" s="21" t="inlineStr">
        <is>
          <t>YAŞAR ÖZKAYA</t>
        </is>
      </c>
      <c r="F2668" s="23" t="n">
        <v>277873</v>
      </c>
      <c r="G2668" s="138" t="n"/>
      <c r="H2668" s="138" t="n">
        <v>433</v>
      </c>
      <c r="I2668" s="138">
        <f>+I2667+(G2668-H2668)</f>
        <v/>
      </c>
      <c r="J2668" s="139" t="n">
        <v>39.488</v>
      </c>
      <c r="K2668" s="140" t="n"/>
      <c r="L2668" s="140">
        <f>+H2668*J2668</f>
        <v/>
      </c>
      <c r="M2668" s="141">
        <f>SUM(M2667+K2668-L2668)</f>
        <v/>
      </c>
    </row>
    <row r="2669">
      <c r="A2669" s="20" t="n">
        <v>45807</v>
      </c>
      <c r="B2669" s="21" t="n">
        <v>14233</v>
      </c>
      <c r="C2669" s="22" t="inlineStr">
        <is>
          <t>SELİM İNŞAAT</t>
        </is>
      </c>
      <c r="D2669" s="21" t="inlineStr">
        <is>
          <t xml:space="preserve">34 GUS 938 </t>
        </is>
      </c>
      <c r="E2669" s="21" t="inlineStr">
        <is>
          <t>MEHMET KAYA</t>
        </is>
      </c>
      <c r="F2669" s="23" t="n">
        <v>184406</v>
      </c>
      <c r="G2669" s="138" t="n"/>
      <c r="H2669" s="138" t="n">
        <v>506</v>
      </c>
      <c r="I2669" s="138">
        <f>+I2668+(G2669-H2669)</f>
        <v/>
      </c>
      <c r="J2669" s="139" t="n">
        <v>39.488</v>
      </c>
      <c r="K2669" s="140" t="n"/>
      <c r="L2669" s="140">
        <f>+H2669*J2669</f>
        <v/>
      </c>
      <c r="M2669" s="141">
        <f>SUM(M2668+K2669-L2669)</f>
        <v/>
      </c>
    </row>
    <row r="2670">
      <c r="A2670" s="20" t="n">
        <v>45807</v>
      </c>
      <c r="B2670" s="21" t="n">
        <v>11742</v>
      </c>
      <c r="C2670" s="22" t="inlineStr">
        <is>
          <t>SELİM İNŞAAT</t>
        </is>
      </c>
      <c r="D2670" s="21" t="inlineStr">
        <is>
          <t>34 EDB 559</t>
        </is>
      </c>
      <c r="E2670" s="21" t="inlineStr">
        <is>
          <t>İBRAHİM GÜLLÜK</t>
        </is>
      </c>
      <c r="F2670" s="23" t="n">
        <v>320776</v>
      </c>
      <c r="G2670" s="138" t="n"/>
      <c r="H2670" s="138" t="n">
        <v>373</v>
      </c>
      <c r="I2670" s="138">
        <f>+I2669+(G2670-H2670)</f>
        <v/>
      </c>
      <c r="J2670" s="139" t="n">
        <v>39.488</v>
      </c>
      <c r="K2670" s="140" t="n"/>
      <c r="L2670" s="140">
        <f>+H2670*J2670</f>
        <v/>
      </c>
      <c r="M2670" s="141">
        <f>SUM(M2669+K2670-L2670)</f>
        <v/>
      </c>
    </row>
    <row r="2671">
      <c r="A2671" s="20" t="n">
        <v>45807</v>
      </c>
      <c r="B2671" s="21" t="n">
        <v>15513</v>
      </c>
      <c r="C2671" s="22" t="inlineStr">
        <is>
          <t>SELİM İNŞAAT</t>
        </is>
      </c>
      <c r="D2671" s="21" t="inlineStr">
        <is>
          <t>34 EDC 086</t>
        </is>
      </c>
      <c r="E2671" s="21" t="inlineStr">
        <is>
          <t>ÖMER AĞAYAR</t>
        </is>
      </c>
      <c r="F2671" s="23" t="n">
        <v>323779</v>
      </c>
      <c r="G2671" s="138" t="n"/>
      <c r="H2671" s="138" t="n">
        <v>433</v>
      </c>
      <c r="I2671" s="138">
        <f>+I2670+(G2671-H2671)</f>
        <v/>
      </c>
      <c r="J2671" s="139" t="n">
        <v>39.488</v>
      </c>
      <c r="K2671" s="140" t="n"/>
      <c r="L2671" s="140">
        <f>+H2671*J2671</f>
        <v/>
      </c>
      <c r="M2671" s="141">
        <f>SUM(M2670+K2671-L2671)</f>
        <v/>
      </c>
    </row>
    <row r="2672">
      <c r="A2672" s="20" t="n">
        <v>45807</v>
      </c>
      <c r="B2672" s="21" t="n">
        <v>14131</v>
      </c>
      <c r="C2672" s="22" t="inlineStr">
        <is>
          <t>SELİM İNŞAAT</t>
        </is>
      </c>
      <c r="D2672" s="21" t="inlineStr">
        <is>
          <t>34 DSN 536</t>
        </is>
      </c>
      <c r="E2672" s="21" t="inlineStr">
        <is>
          <t>DURSUN ALİ GÜREK</t>
        </is>
      </c>
      <c r="F2672" s="23" t="n">
        <v>403305</v>
      </c>
      <c r="G2672" s="138" t="n"/>
      <c r="H2672" s="138" t="n">
        <v>390</v>
      </c>
      <c r="I2672" s="138">
        <f>+I2671+(G2672-H2672)</f>
        <v/>
      </c>
      <c r="J2672" s="139" t="n">
        <v>39.488</v>
      </c>
      <c r="K2672" s="140" t="n"/>
      <c r="L2672" s="140">
        <f>+H2672*J2672</f>
        <v/>
      </c>
      <c r="M2672" s="141">
        <f>SUM(M2671+K2672-L2672)</f>
        <v/>
      </c>
    </row>
    <row r="2673">
      <c r="A2673" s="20" t="n">
        <v>45807</v>
      </c>
      <c r="B2673" s="21" t="n">
        <v>11486</v>
      </c>
      <c r="C2673" s="22" t="inlineStr">
        <is>
          <t>SELİM İNŞAAT</t>
        </is>
      </c>
      <c r="D2673" s="21" t="inlineStr">
        <is>
          <t>34 EGR 922</t>
        </is>
      </c>
      <c r="E2673" s="21" t="inlineStr">
        <is>
          <t>FARUK ÖZEN</t>
        </is>
      </c>
      <c r="F2673" s="23" t="n">
        <v>452572</v>
      </c>
      <c r="G2673" s="138" t="n"/>
      <c r="H2673" s="138" t="n">
        <v>454</v>
      </c>
      <c r="I2673" s="138">
        <f>+I2672+(G2673-H2673)</f>
        <v/>
      </c>
      <c r="J2673" s="139" t="n">
        <v>39.488</v>
      </c>
      <c r="K2673" s="140" t="n"/>
      <c r="L2673" s="140">
        <f>+H2673*J2673</f>
        <v/>
      </c>
      <c r="M2673" s="141">
        <f>SUM(M2672+K2673-L2673)</f>
        <v/>
      </c>
    </row>
    <row r="2674">
      <c r="A2674" s="20" t="n">
        <v>45807</v>
      </c>
      <c r="B2674" s="21" t="n">
        <v>10235</v>
      </c>
      <c r="C2674" s="22" t="inlineStr">
        <is>
          <t>SELİM İNŞAAT</t>
        </is>
      </c>
      <c r="D2674" s="21" t="inlineStr">
        <is>
          <t>34 DSN 621</t>
        </is>
      </c>
      <c r="E2674" s="21" t="inlineStr">
        <is>
          <t>MUSTAFA KAYA</t>
        </is>
      </c>
      <c r="F2674" s="23" t="n">
        <v>408546</v>
      </c>
      <c r="G2674" s="138" t="n"/>
      <c r="H2674" s="138" t="n">
        <v>357</v>
      </c>
      <c r="I2674" s="138">
        <f>+I2673+(G2674-H2674)</f>
        <v/>
      </c>
      <c r="J2674" s="139" t="n">
        <v>39.488</v>
      </c>
      <c r="K2674" s="140" t="n"/>
      <c r="L2674" s="140">
        <f>+H2674*J2674</f>
        <v/>
      </c>
      <c r="M2674" s="141">
        <f>SUM(M2673+K2674-L2674)</f>
        <v/>
      </c>
    </row>
    <row r="2675">
      <c r="A2675" s="20" t="n">
        <v>45807</v>
      </c>
      <c r="B2675" s="21" t="n">
        <v>14426</v>
      </c>
      <c r="C2675" s="22" t="inlineStr">
        <is>
          <t>SELİM İNŞAAT</t>
        </is>
      </c>
      <c r="D2675" s="21" t="inlineStr">
        <is>
          <t>34 EGR 737</t>
        </is>
      </c>
      <c r="E2675" s="21" t="inlineStr">
        <is>
          <t>CEM MUHTAR</t>
        </is>
      </c>
      <c r="F2675" s="23" t="n">
        <v>411406</v>
      </c>
      <c r="G2675" s="138" t="n"/>
      <c r="H2675" s="138" t="n">
        <v>438</v>
      </c>
      <c r="I2675" s="138">
        <f>+I2674+(G2675-H2675)</f>
        <v/>
      </c>
      <c r="J2675" s="139" t="n">
        <v>39.488</v>
      </c>
      <c r="K2675" s="140" t="n"/>
      <c r="L2675" s="140">
        <f>+H2675*J2675</f>
        <v/>
      </c>
      <c r="M2675" s="141">
        <f>SUM(M2674+K2675-L2675)</f>
        <v/>
      </c>
    </row>
    <row r="2676">
      <c r="A2676" s="20" t="n">
        <v>45807</v>
      </c>
      <c r="B2676" s="21" t="n">
        <v>14820</v>
      </c>
      <c r="C2676" s="22" t="inlineStr">
        <is>
          <t>SELİM İNŞAAT</t>
        </is>
      </c>
      <c r="D2676" s="21" t="inlineStr">
        <is>
          <t>34 GVZ 268</t>
        </is>
      </c>
      <c r="E2676" s="21" t="inlineStr">
        <is>
          <t>KERİM KARAMAN</t>
        </is>
      </c>
      <c r="F2676" s="23" t="n">
        <v>190851</v>
      </c>
      <c r="G2676" s="138" t="n"/>
      <c r="H2676" s="138" t="n">
        <v>324</v>
      </c>
      <c r="I2676" s="138">
        <f>+I2675+(G2676-H2676)</f>
        <v/>
      </c>
      <c r="J2676" s="139" t="n">
        <v>39.488</v>
      </c>
      <c r="K2676" s="140" t="n"/>
      <c r="L2676" s="140">
        <f>+H2676*J2676</f>
        <v/>
      </c>
      <c r="M2676" s="141">
        <f>SUM(M2675+K2676-L2676)</f>
        <v/>
      </c>
    </row>
    <row r="2677">
      <c r="A2677" s="20" t="n">
        <v>45807</v>
      </c>
      <c r="B2677" s="21" t="n">
        <v>15207</v>
      </c>
      <c r="C2677" s="22" t="inlineStr">
        <is>
          <t>SELİM İNŞAAT</t>
        </is>
      </c>
      <c r="D2677" s="21" t="inlineStr">
        <is>
          <t>34 DSN 565</t>
        </is>
      </c>
      <c r="E2677" s="21" t="inlineStr">
        <is>
          <t>FUAT AYKUL</t>
        </is>
      </c>
      <c r="F2677" s="23" t="n">
        <v>400735</v>
      </c>
      <c r="G2677" s="138" t="n"/>
      <c r="H2677" s="138" t="n">
        <v>539</v>
      </c>
      <c r="I2677" s="138">
        <f>+I2676+(G2677-H2677)</f>
        <v/>
      </c>
      <c r="J2677" s="139" t="n">
        <v>39.488</v>
      </c>
      <c r="K2677" s="140" t="n"/>
      <c r="L2677" s="140">
        <f>+H2677*J2677</f>
        <v/>
      </c>
      <c r="M2677" s="141">
        <f>SUM(M2676+K2677-L2677)</f>
        <v/>
      </c>
    </row>
    <row r="2678">
      <c r="A2678" s="20" t="n">
        <v>45807</v>
      </c>
      <c r="B2678" s="21" t="n">
        <v>11945</v>
      </c>
      <c r="C2678" s="22" t="inlineStr">
        <is>
          <t>SELİM İNŞAAT</t>
        </is>
      </c>
      <c r="D2678" s="21" t="inlineStr">
        <is>
          <t>34 FBR 742</t>
        </is>
      </c>
      <c r="E2678" s="21" t="inlineStr">
        <is>
          <t>MİKAİL BAYILMAZ</t>
        </is>
      </c>
      <c r="F2678" s="23" t="n">
        <v>316455</v>
      </c>
      <c r="G2678" s="138" t="n"/>
      <c r="H2678" s="138" t="n">
        <v>490</v>
      </c>
      <c r="I2678" s="138">
        <f>+I2677+(G2678-H2678)</f>
        <v/>
      </c>
      <c r="J2678" s="139" t="n">
        <v>39.488</v>
      </c>
      <c r="K2678" s="140" t="n"/>
      <c r="L2678" s="140">
        <f>+H2678*J2678</f>
        <v/>
      </c>
      <c r="M2678" s="141">
        <f>SUM(M2677+K2678-L2678)</f>
        <v/>
      </c>
    </row>
    <row r="2679">
      <c r="A2679" s="20" t="n">
        <v>45807</v>
      </c>
      <c r="B2679" s="21" t="n">
        <v>16740</v>
      </c>
      <c r="C2679" s="22" t="inlineStr">
        <is>
          <t>SELİM İNŞAAT</t>
        </is>
      </c>
      <c r="D2679" s="21" t="inlineStr">
        <is>
          <t>34 JBA 25</t>
        </is>
      </c>
      <c r="E2679" s="21" t="inlineStr">
        <is>
          <t>ABDURRAHMAN SERDAN</t>
        </is>
      </c>
      <c r="F2679" s="23" t="n">
        <v>334584</v>
      </c>
      <c r="G2679" s="138" t="n"/>
      <c r="H2679" s="138" t="n">
        <v>67</v>
      </c>
      <c r="I2679" s="138">
        <f>+I2678+(G2679-H2679)</f>
        <v/>
      </c>
      <c r="J2679" s="139" t="n">
        <v>39.488</v>
      </c>
      <c r="K2679" s="140" t="n"/>
      <c r="L2679" s="140">
        <f>+H2679*J2679</f>
        <v/>
      </c>
      <c r="M2679" s="141">
        <f>SUM(M2678+K2679-L2679)</f>
        <v/>
      </c>
    </row>
    <row r="2680">
      <c r="A2680" s="20" t="n">
        <v>45807</v>
      </c>
      <c r="B2680" s="21" t="n">
        <v>15154</v>
      </c>
      <c r="C2680" s="22" t="inlineStr">
        <is>
          <t>SELİM İNŞAAT</t>
        </is>
      </c>
      <c r="D2680" s="21" t="inlineStr">
        <is>
          <t>34 DP 4161</t>
        </is>
      </c>
      <c r="E2680" s="21" t="inlineStr">
        <is>
          <t>RIFAT KARATAY</t>
        </is>
      </c>
      <c r="F2680" s="23" t="n">
        <v>285834</v>
      </c>
      <c r="G2680" s="138" t="n"/>
      <c r="H2680" s="138" t="n">
        <v>198</v>
      </c>
      <c r="I2680" s="138">
        <f>+I2679+(G2680-H2680)</f>
        <v/>
      </c>
      <c r="J2680" s="139" t="n">
        <v>39.488</v>
      </c>
      <c r="K2680" s="140" t="n"/>
      <c r="L2680" s="140">
        <f>+H2680*J2680</f>
        <v/>
      </c>
      <c r="M2680" s="141">
        <f>SUM(M2679+K2680-L2680)</f>
        <v/>
      </c>
    </row>
    <row r="2681">
      <c r="A2681" s="20" t="n">
        <v>45807</v>
      </c>
      <c r="B2681" s="21" t="n">
        <v>10580</v>
      </c>
      <c r="C2681" s="22" t="inlineStr">
        <is>
          <t>SELİM İNŞAAT</t>
        </is>
      </c>
      <c r="D2681" s="21" t="inlineStr">
        <is>
          <t>34 GU 945</t>
        </is>
      </c>
      <c r="E2681" s="21" t="inlineStr">
        <is>
          <t>TURAN SEVİNDİK</t>
        </is>
      </c>
      <c r="F2681" s="23" t="n">
        <v>446834</v>
      </c>
      <c r="G2681" s="138" t="n"/>
      <c r="H2681" s="138" t="n">
        <v>69</v>
      </c>
      <c r="I2681" s="138">
        <f>+I2680+(G2681-H2681)</f>
        <v/>
      </c>
      <c r="J2681" s="139" t="n">
        <v>39.488</v>
      </c>
      <c r="K2681" s="140" t="n"/>
      <c r="L2681" s="140">
        <f>+H2681*J2681</f>
        <v/>
      </c>
      <c r="M2681" s="141">
        <f>SUM(M2680+K2681-L2681)</f>
        <v/>
      </c>
    </row>
    <row r="2682">
      <c r="A2682" s="20" t="n">
        <v>45807</v>
      </c>
      <c r="B2682" s="21" t="n">
        <v>10887</v>
      </c>
      <c r="C2682" s="22" t="inlineStr">
        <is>
          <t>SELİM İNŞAAT</t>
        </is>
      </c>
      <c r="D2682" s="21" t="inlineStr">
        <is>
          <t>34 AR 7743</t>
        </is>
      </c>
      <c r="E2682" s="21" t="inlineStr">
        <is>
          <t>MEHMET SELİM</t>
        </is>
      </c>
      <c r="F2682" s="23" t="n">
        <v>356607</v>
      </c>
      <c r="G2682" s="138" t="n"/>
      <c r="H2682" s="138" t="n">
        <v>52</v>
      </c>
      <c r="I2682" s="138">
        <f>+I2681+(G2682-H2682)</f>
        <v/>
      </c>
      <c r="J2682" s="139" t="n">
        <v>39.488</v>
      </c>
      <c r="K2682" s="140" t="n"/>
      <c r="L2682" s="140">
        <f>+H2682*J2682</f>
        <v/>
      </c>
      <c r="M2682" s="141">
        <f>SUM(M2681+K2682-L2682)</f>
        <v/>
      </c>
    </row>
    <row r="2683">
      <c r="A2683" s="20" t="n">
        <v>45807</v>
      </c>
      <c r="B2683" s="21" t="n">
        <v>14631</v>
      </c>
      <c r="C2683" s="22" t="inlineStr">
        <is>
          <t>SELİM İNŞAAT</t>
        </is>
      </c>
      <c r="D2683" s="21" t="inlineStr">
        <is>
          <t>34 GER 445</t>
        </is>
      </c>
      <c r="E2683" s="21" t="inlineStr">
        <is>
          <t>HASAN BAYCAN</t>
        </is>
      </c>
      <c r="F2683" s="23" t="n">
        <v>42226</v>
      </c>
      <c r="G2683" s="138" t="n"/>
      <c r="H2683" s="138" t="n">
        <v>198</v>
      </c>
      <c r="I2683" s="138">
        <f>+I2682+(G2683-H2683)</f>
        <v/>
      </c>
      <c r="J2683" s="139" t="n">
        <v>39.488</v>
      </c>
      <c r="K2683" s="140" t="n"/>
      <c r="L2683" s="140">
        <f>+H2683*J2683</f>
        <v/>
      </c>
      <c r="M2683" s="141">
        <f>SUM(M2682+K2683-L2683)</f>
        <v/>
      </c>
    </row>
    <row r="2684">
      <c r="A2684" s="20" t="n">
        <v>45807</v>
      </c>
      <c r="B2684" s="21" t="n">
        <v>15659</v>
      </c>
      <c r="C2684" s="22" t="inlineStr">
        <is>
          <t>METİN ERYİĞİT</t>
        </is>
      </c>
      <c r="D2684" s="21" t="inlineStr">
        <is>
          <t>34 EGR 814</t>
        </is>
      </c>
      <c r="E2684" s="21" t="inlineStr">
        <is>
          <t>GÜRAY KOYUNCU</t>
        </is>
      </c>
      <c r="F2684" s="23" t="n">
        <v>539345</v>
      </c>
      <c r="G2684" s="138" t="n"/>
      <c r="H2684" s="138" t="n">
        <v>484</v>
      </c>
      <c r="I2684" s="138">
        <f>+I2683+(G2684-H2684)</f>
        <v/>
      </c>
      <c r="J2684" s="139" t="n">
        <v>39.488</v>
      </c>
      <c r="K2684" s="140" t="n"/>
      <c r="L2684" s="140">
        <f>+H2684*J2684</f>
        <v/>
      </c>
      <c r="M2684" s="141">
        <f>SUM(M2683+K2684-L2684)</f>
        <v/>
      </c>
    </row>
    <row r="2685">
      <c r="A2685" s="20" t="n">
        <v>45807</v>
      </c>
      <c r="B2685" s="21" t="n">
        <v>14695</v>
      </c>
      <c r="C2685" s="22" t="inlineStr">
        <is>
          <t>EVKUR</t>
        </is>
      </c>
      <c r="D2685" s="21" t="inlineStr">
        <is>
          <t>FOKLİFT</t>
        </is>
      </c>
      <c r="E2685" s="21" t="inlineStr">
        <is>
          <t>FAHRİ KALFA</t>
        </is>
      </c>
      <c r="F2685" s="23" t="n"/>
      <c r="G2685" s="138" t="n"/>
      <c r="H2685" s="138" t="n">
        <v>30</v>
      </c>
      <c r="I2685" s="138">
        <f>+I2684+(G2685-H2685)</f>
        <v/>
      </c>
      <c r="J2685" s="139" t="n">
        <v>39.488</v>
      </c>
      <c r="K2685" s="140" t="n"/>
      <c r="L2685" s="140">
        <f>+H2685*J2685</f>
        <v/>
      </c>
      <c r="M2685" s="141">
        <f>SUM(M2684+K2685-L2685)</f>
        <v/>
      </c>
    </row>
    <row r="2686">
      <c r="A2686" s="20" t="n">
        <v>45807</v>
      </c>
      <c r="B2686" s="21" t="n">
        <v>14696</v>
      </c>
      <c r="C2686" s="22" t="inlineStr">
        <is>
          <t>AHMET SELİM TEMHA</t>
        </is>
      </c>
      <c r="D2686" s="21" t="inlineStr">
        <is>
          <t>34 DGE 422</t>
        </is>
      </c>
      <c r="E2686" s="21" t="inlineStr">
        <is>
          <t xml:space="preserve">ERSOY SIĞINMAZ </t>
        </is>
      </c>
      <c r="F2686" s="23" t="n"/>
      <c r="G2686" s="138" t="n"/>
      <c r="H2686" s="138" t="n">
        <v>61</v>
      </c>
      <c r="I2686" s="138">
        <f>+I2685+(G2686-H2686)</f>
        <v/>
      </c>
      <c r="J2686" s="139" t="n">
        <v>39.488</v>
      </c>
      <c r="K2686" s="140" t="n"/>
      <c r="L2686" s="140">
        <f>+H2686*J2686</f>
        <v/>
      </c>
      <c r="M2686" s="141">
        <f>SUM(M2685+K2686-L2686)</f>
        <v/>
      </c>
    </row>
    <row r="2687">
      <c r="A2687" s="20" t="n">
        <v>45807</v>
      </c>
      <c r="B2687" s="21" t="n">
        <v>10454</v>
      </c>
      <c r="C2687" s="22" t="inlineStr">
        <is>
          <t>SELİM İNŞAAT</t>
        </is>
      </c>
      <c r="D2687" s="21" t="inlineStr">
        <is>
          <t>34 FBR 781</t>
        </is>
      </c>
      <c r="E2687" s="21" t="inlineStr">
        <is>
          <t>MEVLÜT POLAT</t>
        </is>
      </c>
      <c r="F2687" s="23" t="n">
        <v>300575</v>
      </c>
      <c r="G2687" s="138" t="n"/>
      <c r="H2687" s="138" t="n">
        <v>461</v>
      </c>
      <c r="I2687" s="138">
        <f>+I2686+(G2687-H2687)</f>
        <v/>
      </c>
      <c r="J2687" s="139" t="n">
        <v>39.488</v>
      </c>
      <c r="K2687" s="140" t="n"/>
      <c r="L2687" s="140">
        <f>+H2687*J2687</f>
        <v/>
      </c>
      <c r="M2687" s="141">
        <f>SUM(M2686+K2687-L2687)</f>
        <v/>
      </c>
    </row>
    <row r="2688">
      <c r="A2688" s="20" t="n">
        <v>45807</v>
      </c>
      <c r="B2688" s="1" t="n">
        <v>15821</v>
      </c>
      <c r="C2688" s="2" t="inlineStr">
        <is>
          <t>EVKUR</t>
        </is>
      </c>
      <c r="D2688" s="1" t="inlineStr">
        <is>
          <t>KİRALIK KATO</t>
        </is>
      </c>
      <c r="E2688" s="1" t="inlineStr">
        <is>
          <t>BURAK BEY' İN TALİMATIYLA</t>
        </is>
      </c>
      <c r="F2688" s="3" t="n"/>
      <c r="G2688" s="143" t="n"/>
      <c r="H2688" s="143" t="n">
        <v>66</v>
      </c>
      <c r="I2688" s="143">
        <f>+I2687+(G2688-H2688)</f>
        <v/>
      </c>
      <c r="J2688" s="144" t="n">
        <v>39.488</v>
      </c>
      <c r="K2688" s="145" t="n"/>
      <c r="L2688" s="140">
        <f>+H2688*J2688</f>
        <v/>
      </c>
      <c r="M2688" s="141">
        <f>SUM(M2687+K2688-L2688)</f>
        <v/>
      </c>
    </row>
    <row r="2689">
      <c r="A2689" s="20" t="n">
        <v>45807</v>
      </c>
      <c r="B2689" s="21" t="n">
        <v>15822</v>
      </c>
      <c r="C2689" s="22" t="inlineStr">
        <is>
          <t>ENES SELİM</t>
        </is>
      </c>
      <c r="D2689" s="21" t="inlineStr">
        <is>
          <t>TB 926 VİNÇ</t>
        </is>
      </c>
      <c r="E2689" s="21" t="inlineStr">
        <is>
          <t>ENES SELİM</t>
        </is>
      </c>
      <c r="F2689" s="23" t="n"/>
      <c r="G2689" s="138" t="n"/>
      <c r="H2689" s="138" t="n">
        <v>226</v>
      </c>
      <c r="I2689" s="138">
        <f>+I2688+(G2689-H2689)</f>
        <v/>
      </c>
      <c r="J2689" s="139" t="n">
        <v>39.488</v>
      </c>
      <c r="K2689" s="140" t="n"/>
      <c r="L2689" s="140">
        <f>+H2689*J2689</f>
        <v/>
      </c>
      <c r="M2689" s="141">
        <f>SUM(M2688+K2689-L2689)</f>
        <v/>
      </c>
    </row>
    <row r="2690">
      <c r="A2690" s="20" t="n">
        <v>45807</v>
      </c>
      <c r="B2690" s="1" t="n">
        <v>15823</v>
      </c>
      <c r="C2690" s="2" t="inlineStr">
        <is>
          <t>GÜRSES</t>
        </is>
      </c>
      <c r="D2690" s="1" t="inlineStr">
        <is>
          <t>SM 350</t>
        </is>
      </c>
      <c r="E2690" s="1" t="inlineStr">
        <is>
          <t>TEVFİK ÖZTÜRK</t>
        </is>
      </c>
      <c r="F2690" s="3" t="n"/>
      <c r="G2690" s="143" t="n"/>
      <c r="H2690" s="143" t="n">
        <v>404</v>
      </c>
      <c r="I2690" s="143">
        <f>+I2689+(G2690-H2690)</f>
        <v/>
      </c>
      <c r="J2690" s="144" t="n">
        <v>39.488</v>
      </c>
      <c r="K2690" s="145" t="n"/>
      <c r="L2690" s="140">
        <f>+H2690*J2690</f>
        <v/>
      </c>
      <c r="M2690" s="141">
        <f>SUM(M2689+K2690-L2690)</f>
        <v/>
      </c>
    </row>
    <row r="2691">
      <c r="A2691" s="20" t="n">
        <v>45807</v>
      </c>
      <c r="B2691" s="1" t="n">
        <v>15824</v>
      </c>
      <c r="C2691" s="2" t="inlineStr">
        <is>
          <t>CEVİZ MOBİLYA</t>
        </is>
      </c>
      <c r="D2691" s="1" t="inlineStr">
        <is>
          <t>SM 300</t>
        </is>
      </c>
      <c r="E2691" s="1" t="inlineStr">
        <is>
          <t>TURGUT SANCAK</t>
        </is>
      </c>
      <c r="F2691" s="3" t="n"/>
      <c r="G2691" s="143" t="n"/>
      <c r="H2691" s="143" t="n">
        <v>306</v>
      </c>
      <c r="I2691" s="143">
        <f>+I2690+(G2691-H2691)</f>
        <v/>
      </c>
      <c r="J2691" s="144" t="n">
        <v>39.488</v>
      </c>
      <c r="K2691" s="145" t="n"/>
      <c r="L2691" s="140">
        <f>+H2691*J2691</f>
        <v/>
      </c>
      <c r="M2691" s="141">
        <f>SUM(M2690+K2691-L2691)</f>
        <v/>
      </c>
    </row>
    <row r="2692">
      <c r="A2692" s="20" t="n">
        <v>45807</v>
      </c>
      <c r="B2692" s="1" t="n">
        <v>15825</v>
      </c>
      <c r="C2692" s="2" t="inlineStr">
        <is>
          <t>VARLIK</t>
        </is>
      </c>
      <c r="D2692" s="1" t="inlineStr">
        <is>
          <t>SM 350</t>
        </is>
      </c>
      <c r="E2692" s="1" t="inlineStr">
        <is>
          <t>BAYRAM SANCAK</t>
        </is>
      </c>
      <c r="F2692" s="3" t="n"/>
      <c r="G2692" s="143" t="n"/>
      <c r="H2692" s="143" t="n">
        <v>296</v>
      </c>
      <c r="I2692" s="143">
        <f>+I2691+(G2692-H2692)</f>
        <v/>
      </c>
      <c r="J2692" s="144" t="n">
        <v>39.488</v>
      </c>
      <c r="K2692" s="145" t="n"/>
      <c r="L2692" s="140">
        <f>+H2692*J2692</f>
        <v/>
      </c>
      <c r="M2692" s="141">
        <f>SUM(M2691+K2692-L2692)</f>
        <v/>
      </c>
    </row>
    <row r="2693">
      <c r="A2693" s="20" t="n">
        <v>45807</v>
      </c>
      <c r="B2693" s="1" t="n">
        <v>15826</v>
      </c>
      <c r="C2693" s="2" t="inlineStr">
        <is>
          <t>VARLIK</t>
        </is>
      </c>
      <c r="D2693" s="1" t="inlineStr">
        <is>
          <t>KAVAZAKİ</t>
        </is>
      </c>
      <c r="E2693" s="1" t="inlineStr">
        <is>
          <t>UFUK SEVAL</t>
        </is>
      </c>
      <c r="F2693" s="3" t="n"/>
      <c r="G2693" s="143" t="n"/>
      <c r="H2693" s="143" t="n">
        <v>121</v>
      </c>
      <c r="I2693" s="143">
        <f>+I2692+(G2693-H2693)</f>
        <v/>
      </c>
      <c r="J2693" s="144" t="n">
        <v>39.488</v>
      </c>
      <c r="K2693" s="145" t="n"/>
      <c r="L2693" s="140">
        <f>+H2693*J2693</f>
        <v/>
      </c>
      <c r="M2693" s="141">
        <f>SUM(M2692+K2693-L2693)</f>
        <v/>
      </c>
    </row>
    <row r="2694">
      <c r="A2694" s="20" t="n">
        <v>45807</v>
      </c>
      <c r="B2694" s="1" t="n">
        <v>15827</v>
      </c>
      <c r="C2694" s="2" t="inlineStr">
        <is>
          <t>VARLIK</t>
        </is>
      </c>
      <c r="D2694" s="1" t="inlineStr">
        <is>
          <t>SM 370</t>
        </is>
      </c>
      <c r="E2694" s="1" t="inlineStr">
        <is>
          <t>TEKİN ŞEYLAN</t>
        </is>
      </c>
      <c r="F2694" s="3" t="n"/>
      <c r="G2694" s="143" t="n"/>
      <c r="H2694" s="143" t="n">
        <v>266</v>
      </c>
      <c r="I2694" s="143">
        <f>+I2693+(G2694-H2694)</f>
        <v/>
      </c>
      <c r="J2694" s="144" t="n">
        <v>39.488</v>
      </c>
      <c r="K2694" s="145" t="n"/>
      <c r="L2694" s="140">
        <f>+H2694*J2694</f>
        <v/>
      </c>
      <c r="M2694" s="141">
        <f>SUM(M2693+K2694-L2694)</f>
        <v/>
      </c>
    </row>
    <row r="2695">
      <c r="A2695" s="20" t="n">
        <v>45808</v>
      </c>
      <c r="B2695" s="21" t="n">
        <v>106</v>
      </c>
      <c r="C2695" s="22" t="inlineStr">
        <is>
          <t>MİRBE PETROL SANAYİ VE TİCARET ANONİM ŞİRKETİ</t>
        </is>
      </c>
      <c r="D2695" s="21" t="n"/>
      <c r="E2695" s="21" t="n"/>
      <c r="F2695" s="23" t="n"/>
      <c r="G2695" s="138" t="n">
        <v>24594</v>
      </c>
      <c r="H2695" s="138" t="n"/>
      <c r="I2695" s="138">
        <f>+I2694+(G2695-H2695)</f>
        <v/>
      </c>
      <c r="J2695" s="139">
        <f>+K2695/G2695</f>
        <v/>
      </c>
      <c r="K2695" s="140" t="n">
        <v>1000171.08</v>
      </c>
      <c r="L2695" s="140">
        <f>+H2695*J2695</f>
        <v/>
      </c>
      <c r="M2695" s="141">
        <f>SUM(M2694+K2695-L2695)</f>
        <v/>
      </c>
    </row>
    <row r="2696">
      <c r="A2696" s="20" t="n">
        <v>45808</v>
      </c>
      <c r="B2696" s="1" t="n">
        <v>15828</v>
      </c>
      <c r="C2696" s="2" t="inlineStr">
        <is>
          <t>VARLIK</t>
        </is>
      </c>
      <c r="D2696" s="1" t="inlineStr">
        <is>
          <t>SM 370</t>
        </is>
      </c>
      <c r="E2696" s="1" t="inlineStr">
        <is>
          <t>TEKİN ŞEYLAN</t>
        </is>
      </c>
      <c r="F2696" s="3" t="n"/>
      <c r="G2696" s="143" t="n"/>
      <c r="H2696" s="143" t="n">
        <v>214</v>
      </c>
      <c r="I2696" s="143">
        <f>+I2695+(G2696-H2696)</f>
        <v/>
      </c>
      <c r="J2696" s="144" t="n">
        <v>40.667</v>
      </c>
      <c r="K2696" s="145" t="n"/>
      <c r="L2696" s="140">
        <f>+H2696*J2696</f>
        <v/>
      </c>
      <c r="M2696" s="141">
        <f>SUM(M2695+K2696-L2696)</f>
        <v/>
      </c>
    </row>
    <row r="2697">
      <c r="A2697" s="20" t="n">
        <v>45808</v>
      </c>
      <c r="B2697" s="1" t="n">
        <v>15829</v>
      </c>
      <c r="C2697" s="2" t="inlineStr">
        <is>
          <t>VARLIK</t>
        </is>
      </c>
      <c r="D2697" s="1" t="inlineStr">
        <is>
          <t>SM 300</t>
        </is>
      </c>
      <c r="E2697" s="1" t="inlineStr">
        <is>
          <t>TURGUT SANCAK</t>
        </is>
      </c>
      <c r="F2697" s="3" t="n"/>
      <c r="G2697" s="143" t="n"/>
      <c r="H2697" s="143" t="n">
        <v>239</v>
      </c>
      <c r="I2697" s="143">
        <f>+I2696+(G2697-H2697)</f>
        <v/>
      </c>
      <c r="J2697" s="144" t="n">
        <v>40.667</v>
      </c>
      <c r="K2697" s="145" t="n"/>
      <c r="L2697" s="140">
        <f>+H2697*J2697</f>
        <v/>
      </c>
      <c r="M2697" s="141">
        <f>SUM(M2696+K2697-L2697)</f>
        <v/>
      </c>
    </row>
    <row r="2698">
      <c r="A2698" s="20" t="n">
        <v>45808</v>
      </c>
      <c r="B2698" s="21" t="n">
        <v>11328</v>
      </c>
      <c r="C2698" s="22" t="inlineStr">
        <is>
          <t>AZGÜN YAPI</t>
        </is>
      </c>
      <c r="D2698" s="21" t="inlineStr">
        <is>
          <t>34 MKT 859</t>
        </is>
      </c>
      <c r="E2698" s="21" t="inlineStr">
        <is>
          <t>HASAN ALTUN</t>
        </is>
      </c>
      <c r="F2698" s="23" t="n">
        <v>38597</v>
      </c>
      <c r="G2698" s="138" t="n"/>
      <c r="H2698" s="138" t="n">
        <v>588</v>
      </c>
      <c r="I2698" s="138">
        <f>+I2697+(G2698-H2698)</f>
        <v/>
      </c>
      <c r="J2698" s="139" t="n">
        <v>40.667</v>
      </c>
      <c r="K2698" s="140" t="n"/>
      <c r="L2698" s="140">
        <f>+H2698*J2698</f>
        <v/>
      </c>
      <c r="M2698" s="141">
        <f>SUM(M2697+K2698-L2698)</f>
        <v/>
      </c>
    </row>
    <row r="2699">
      <c r="A2699" s="20" t="n">
        <v>45808</v>
      </c>
      <c r="B2699" s="21" t="n">
        <v>14338</v>
      </c>
      <c r="C2699" s="22" t="inlineStr">
        <is>
          <t>SELİM İNŞAAT</t>
        </is>
      </c>
      <c r="D2699" s="21" t="inlineStr">
        <is>
          <t>34 DKL 866</t>
        </is>
      </c>
      <c r="E2699" s="21" t="inlineStr">
        <is>
          <t>SELİM CAN ÖNVER</t>
        </is>
      </c>
      <c r="F2699" s="23" t="n">
        <v>65470</v>
      </c>
      <c r="G2699" s="138" t="n"/>
      <c r="H2699" s="138" t="n">
        <v>148</v>
      </c>
      <c r="I2699" s="138">
        <f>+I2698+(G2699-H2699)</f>
        <v/>
      </c>
      <c r="J2699" s="139" t="n">
        <v>40.667</v>
      </c>
      <c r="K2699" s="140" t="n"/>
      <c r="L2699" s="140">
        <f>+H2699*J2699</f>
        <v/>
      </c>
      <c r="M2699" s="141">
        <f>SUM(M2698+K2699-L2699)</f>
        <v/>
      </c>
    </row>
    <row r="2700">
      <c r="A2700" s="20" t="n">
        <v>45808</v>
      </c>
      <c r="B2700" s="21" t="n">
        <v>21148</v>
      </c>
      <c r="C2700" s="22" t="inlineStr">
        <is>
          <t>SELİM İNŞAAT</t>
        </is>
      </c>
      <c r="D2700" s="21" t="inlineStr">
        <is>
          <t>34 TG 7869</t>
        </is>
      </c>
      <c r="E2700" s="21" t="inlineStr">
        <is>
          <t>GÖRKEM KARAYEL</t>
        </is>
      </c>
      <c r="F2700" s="23" t="n">
        <v>182339</v>
      </c>
      <c r="G2700" s="138" t="n"/>
      <c r="H2700" s="138" t="n">
        <v>218</v>
      </c>
      <c r="I2700" s="138">
        <f>+I2699+(G2700-H2700)</f>
        <v/>
      </c>
      <c r="J2700" s="139" t="n">
        <v>40.667</v>
      </c>
      <c r="K2700" s="140" t="n"/>
      <c r="L2700" s="140">
        <f>+H2700*J2700</f>
        <v/>
      </c>
      <c r="M2700" s="141">
        <f>SUM(M2699+K2700-L2700)</f>
        <v/>
      </c>
    </row>
    <row r="2701">
      <c r="A2701" s="20" t="n">
        <v>45808</v>
      </c>
      <c r="B2701" s="21" t="n">
        <v>20542</v>
      </c>
      <c r="C2701" s="22" t="inlineStr">
        <is>
          <t>SELİM İNŞAAT</t>
        </is>
      </c>
      <c r="D2701" s="21" t="inlineStr">
        <is>
          <t>34 VF 2620</t>
        </is>
      </c>
      <c r="E2701" s="21" t="inlineStr">
        <is>
          <t>RECEP SELİM</t>
        </is>
      </c>
      <c r="F2701" s="23" t="n">
        <v>186327</v>
      </c>
      <c r="G2701" s="138" t="n"/>
      <c r="H2701" s="138" t="n">
        <v>71</v>
      </c>
      <c r="I2701" s="138">
        <f>+I2700+(G2701-H2701)</f>
        <v/>
      </c>
      <c r="J2701" s="139" t="n">
        <v>40.667</v>
      </c>
      <c r="K2701" s="140" t="n"/>
      <c r="L2701" s="140">
        <f>+H2701*J2701</f>
        <v/>
      </c>
      <c r="M2701" s="141">
        <f>SUM(M2700+K2701-L2701)</f>
        <v/>
      </c>
    </row>
    <row r="2702">
      <c r="A2702" s="20" t="n">
        <v>45808</v>
      </c>
      <c r="B2702" s="21" t="n">
        <v>14427</v>
      </c>
      <c r="C2702" s="22" t="inlineStr">
        <is>
          <t>SELİM İNŞAAT</t>
        </is>
      </c>
      <c r="D2702" s="21" t="inlineStr">
        <is>
          <t>34 EGR 737</t>
        </is>
      </c>
      <c r="E2702" s="21" t="inlineStr">
        <is>
          <t>CEM MUHTAR</t>
        </is>
      </c>
      <c r="F2702" s="23" t="n">
        <v>411805</v>
      </c>
      <c r="G2702" s="138" t="n"/>
      <c r="H2702" s="138" t="n">
        <v>230</v>
      </c>
      <c r="I2702" s="138">
        <f>+I2701+(G2702-H2702)</f>
        <v/>
      </c>
      <c r="J2702" s="139" t="n">
        <v>40.667</v>
      </c>
      <c r="K2702" s="140" t="n"/>
      <c r="L2702" s="140">
        <f>+H2702*J2702</f>
        <v/>
      </c>
      <c r="M2702" s="141">
        <f>SUM(M2701+K2702-L2702)</f>
        <v/>
      </c>
    </row>
    <row r="2703">
      <c r="A2703" s="20" t="n">
        <v>45808</v>
      </c>
      <c r="B2703" s="21" t="n">
        <v>11224</v>
      </c>
      <c r="C2703" s="22" t="inlineStr">
        <is>
          <t>SELİM İNŞAAT</t>
        </is>
      </c>
      <c r="D2703" s="21" t="inlineStr">
        <is>
          <t>34 DSN 636</t>
        </is>
      </c>
      <c r="E2703" s="21" t="inlineStr">
        <is>
          <t>İLHAN YÜRÜK</t>
        </is>
      </c>
      <c r="F2703" s="23" t="n">
        <v>388500</v>
      </c>
      <c r="G2703" s="138" t="n"/>
      <c r="H2703" s="138" t="n">
        <v>331</v>
      </c>
      <c r="I2703" s="138">
        <f>+I2702+(G2703-H2703)</f>
        <v/>
      </c>
      <c r="J2703" s="139" t="n">
        <v>40.667</v>
      </c>
      <c r="K2703" s="140" t="n"/>
      <c r="L2703" s="140">
        <f>+H2703*J2703</f>
        <v/>
      </c>
      <c r="M2703" s="141">
        <f>SUM(M2702+K2703-L2703)</f>
        <v/>
      </c>
    </row>
    <row r="2704">
      <c r="A2704" s="20" t="n">
        <v>45808</v>
      </c>
      <c r="B2704" s="21" t="n">
        <v>11838</v>
      </c>
      <c r="C2704" s="22" t="inlineStr">
        <is>
          <t>SELİM İNŞAAT</t>
        </is>
      </c>
      <c r="D2704" s="21" t="inlineStr">
        <is>
          <t>34 FSG 229</t>
        </is>
      </c>
      <c r="E2704" s="21" t="inlineStr">
        <is>
          <t>SİNAN TANRIVERDİ</t>
        </is>
      </c>
      <c r="F2704" s="23" t="n">
        <v>256241</v>
      </c>
      <c r="G2704" s="138" t="n"/>
      <c r="H2704" s="138" t="n">
        <v>486</v>
      </c>
      <c r="I2704" s="138">
        <f>+I2703+(G2704-H2704)</f>
        <v/>
      </c>
      <c r="J2704" s="139" t="n">
        <v>40.667</v>
      </c>
      <c r="K2704" s="140" t="n"/>
      <c r="L2704" s="140">
        <f>+H2704*J2704</f>
        <v/>
      </c>
      <c r="M2704" s="141">
        <f>SUM(M2703+K2704-L2704)</f>
        <v/>
      </c>
    </row>
    <row r="2705">
      <c r="A2705" s="20" t="n">
        <v>45808</v>
      </c>
      <c r="B2705" s="21" t="n">
        <v>10546</v>
      </c>
      <c r="C2705" s="22" t="inlineStr">
        <is>
          <t>SELİM İNŞAAT</t>
        </is>
      </c>
      <c r="D2705" s="21" t="inlineStr">
        <is>
          <t>34 EDB 922</t>
        </is>
      </c>
      <c r="E2705" s="21" t="inlineStr">
        <is>
          <t>AHMET TOPÇU</t>
        </is>
      </c>
      <c r="F2705" s="23" t="n">
        <v>359904</v>
      </c>
      <c r="G2705" s="138" t="n"/>
      <c r="H2705" s="138" t="n">
        <v>499</v>
      </c>
      <c r="I2705" s="138">
        <f>+I2704+(G2705-H2705)</f>
        <v/>
      </c>
      <c r="J2705" s="139" t="n">
        <v>40.667</v>
      </c>
      <c r="K2705" s="140" t="n"/>
      <c r="L2705" s="140">
        <f>+H2705*J2705</f>
        <v/>
      </c>
      <c r="M2705" s="141">
        <f>SUM(M2704+K2705-L2705)</f>
        <v/>
      </c>
    </row>
    <row r="2706">
      <c r="A2706" s="20" t="n">
        <v>45808</v>
      </c>
      <c r="B2706" s="21" t="n">
        <v>14483</v>
      </c>
      <c r="C2706" s="22" t="inlineStr">
        <is>
          <t>SELİM İNŞAAT</t>
        </is>
      </c>
      <c r="D2706" s="21" t="inlineStr">
        <is>
          <t>34 GUS 848</t>
        </is>
      </c>
      <c r="E2706" s="21" t="inlineStr">
        <is>
          <t>SERDAR BOZKURT</t>
        </is>
      </c>
      <c r="F2706" s="23" t="n">
        <v>190841</v>
      </c>
      <c r="G2706" s="138" t="n"/>
      <c r="H2706" s="138" t="n">
        <v>421</v>
      </c>
      <c r="I2706" s="138">
        <f>+I2705+(G2706-H2706)</f>
        <v/>
      </c>
      <c r="J2706" s="139" t="n">
        <v>40.667</v>
      </c>
      <c r="K2706" s="140" t="n"/>
      <c r="L2706" s="140">
        <f>+H2706*J2706</f>
        <v/>
      </c>
      <c r="M2706" s="141">
        <f>SUM(M2705+K2706-L2706)</f>
        <v/>
      </c>
    </row>
    <row r="2707">
      <c r="A2707" s="20" t="n">
        <v>45808</v>
      </c>
      <c r="B2707" s="21" t="n">
        <v>15309</v>
      </c>
      <c r="C2707" s="22" t="inlineStr">
        <is>
          <t>SELİM İNŞAAT</t>
        </is>
      </c>
      <c r="D2707" s="21" t="inlineStr">
        <is>
          <t>34 EDC 162</t>
        </is>
      </c>
      <c r="E2707" s="21" t="inlineStr">
        <is>
          <t xml:space="preserve">YAKUP GÜNER </t>
        </is>
      </c>
      <c r="F2707" s="23" t="n">
        <v>367968</v>
      </c>
      <c r="G2707" s="138" t="n"/>
      <c r="H2707" s="138" t="n">
        <v>439</v>
      </c>
      <c r="I2707" s="138">
        <f>+I2706+(G2707-H2707)</f>
        <v/>
      </c>
      <c r="J2707" s="139" t="n">
        <v>40.667</v>
      </c>
      <c r="K2707" s="140" t="n"/>
      <c r="L2707" s="140">
        <f>+H2707*J2707</f>
        <v/>
      </c>
      <c r="M2707" s="141">
        <f>SUM(M2706+K2707-L2707)</f>
        <v/>
      </c>
    </row>
    <row r="2708">
      <c r="A2708" s="20" t="n">
        <v>45808</v>
      </c>
      <c r="B2708" s="21" t="n">
        <v>15109</v>
      </c>
      <c r="C2708" s="22" t="inlineStr">
        <is>
          <t>SELİM İNŞAAT</t>
        </is>
      </c>
      <c r="D2708" s="21" t="inlineStr">
        <is>
          <t>34 DTV 599</t>
        </is>
      </c>
      <c r="E2708" s="21" t="inlineStr">
        <is>
          <t>FERHAT GÜRLER</t>
        </is>
      </c>
      <c r="F2708" s="23" t="n">
        <v>429845</v>
      </c>
      <c r="G2708" s="138" t="n"/>
      <c r="H2708" s="138" t="n">
        <v>572</v>
      </c>
      <c r="I2708" s="138">
        <f>+I2707+(G2708-H2708)</f>
        <v/>
      </c>
      <c r="J2708" s="139" t="n">
        <v>40.667</v>
      </c>
      <c r="K2708" s="140" t="n"/>
      <c r="L2708" s="140">
        <f>+H2708*J2708</f>
        <v/>
      </c>
      <c r="M2708" s="141">
        <f>SUM(M2707+K2708-L2708)</f>
        <v/>
      </c>
    </row>
    <row r="2709">
      <c r="A2709" s="20" t="n">
        <v>45808</v>
      </c>
      <c r="B2709" s="21" t="n">
        <v>10097</v>
      </c>
      <c r="C2709" s="22" t="inlineStr">
        <is>
          <t>SELİM İNŞAAT</t>
        </is>
      </c>
      <c r="D2709" s="21" t="inlineStr">
        <is>
          <t>34 FBR 771</t>
        </is>
      </c>
      <c r="E2709" s="21" t="inlineStr">
        <is>
          <t>HÜSEYİN AKÇİN</t>
        </is>
      </c>
      <c r="F2709" s="23" t="n">
        <v>317496</v>
      </c>
      <c r="G2709" s="138" t="n"/>
      <c r="H2709" s="138" t="n">
        <v>500</v>
      </c>
      <c r="I2709" s="138">
        <f>+I2708+(G2709-H2709)</f>
        <v/>
      </c>
      <c r="J2709" s="139" t="n">
        <v>40.667</v>
      </c>
      <c r="K2709" s="140" t="n"/>
      <c r="L2709" s="140">
        <f>+H2709*J2709</f>
        <v/>
      </c>
      <c r="M2709" s="141">
        <f>SUM(M2708+K2709-L2709)</f>
        <v/>
      </c>
    </row>
    <row r="2710">
      <c r="A2710" s="20" t="n">
        <v>45808</v>
      </c>
      <c r="B2710" s="21" t="n">
        <v>11743</v>
      </c>
      <c r="C2710" s="22" t="inlineStr">
        <is>
          <t>SELİM İNŞAAT</t>
        </is>
      </c>
      <c r="D2710" s="21" t="inlineStr">
        <is>
          <t>34 EDB 559</t>
        </is>
      </c>
      <c r="E2710" s="21" t="inlineStr">
        <is>
          <t>FUAT AYKUL</t>
        </is>
      </c>
      <c r="F2710" s="23" t="n">
        <v>320970</v>
      </c>
      <c r="G2710" s="138" t="n"/>
      <c r="H2710" s="138" t="n">
        <v>388</v>
      </c>
      <c r="I2710" s="138">
        <f>+I2709+(G2710-H2710)</f>
        <v/>
      </c>
      <c r="J2710" s="139" t="n">
        <v>40.667</v>
      </c>
      <c r="K2710" s="140" t="n"/>
      <c r="L2710" s="140">
        <f>+H2710*J2710</f>
        <v/>
      </c>
      <c r="M2710" s="141">
        <f>SUM(M2709+K2710-L2710)</f>
        <v/>
      </c>
    </row>
    <row r="2711">
      <c r="A2711" s="20" t="n">
        <v>45808</v>
      </c>
      <c r="B2711" s="21" t="n">
        <v>15566</v>
      </c>
      <c r="C2711" s="22" t="inlineStr">
        <is>
          <t>SELİM İNŞAAT</t>
        </is>
      </c>
      <c r="D2711" s="21" t="inlineStr">
        <is>
          <t>34 GVZ 745</t>
        </is>
      </c>
      <c r="E2711" s="21" t="inlineStr">
        <is>
          <t>MUHAMMED YİĞİT</t>
        </is>
      </c>
      <c r="F2711" s="23" t="n">
        <v>184548</v>
      </c>
      <c r="G2711" s="138" t="n"/>
      <c r="H2711" s="138" t="n">
        <v>395</v>
      </c>
      <c r="I2711" s="138">
        <f>+I2710+(G2711-H2711)</f>
        <v/>
      </c>
      <c r="J2711" s="139" t="n">
        <v>40.667</v>
      </c>
      <c r="K2711" s="140" t="n"/>
      <c r="L2711" s="140">
        <f>+H2711*J2711</f>
        <v/>
      </c>
      <c r="M2711" s="141">
        <f>SUM(M2710+K2711-L2711)</f>
        <v/>
      </c>
    </row>
    <row r="2712">
      <c r="A2712" s="20" t="n">
        <v>45808</v>
      </c>
      <c r="B2712" s="21" t="n">
        <v>10797</v>
      </c>
      <c r="C2712" s="22" t="inlineStr">
        <is>
          <t>SELİM İNŞAAT</t>
        </is>
      </c>
      <c r="D2712" s="21" t="inlineStr">
        <is>
          <t>34 FBR 705</t>
        </is>
      </c>
      <c r="E2712" s="21" t="inlineStr">
        <is>
          <t>MESUT GÜRLER</t>
        </is>
      </c>
      <c r="F2712" s="23" t="n">
        <v>313217</v>
      </c>
      <c r="G2712" s="138" t="n"/>
      <c r="H2712" s="138" t="n">
        <v>413</v>
      </c>
      <c r="I2712" s="138">
        <f>+I2711+(G2712-H2712)</f>
        <v/>
      </c>
      <c r="J2712" s="139" t="n">
        <v>40.667</v>
      </c>
      <c r="K2712" s="140" t="n"/>
      <c r="L2712" s="140">
        <f>+H2712*J2712</f>
        <v/>
      </c>
      <c r="M2712" s="141">
        <f>SUM(M2711+K2712-L2712)</f>
        <v/>
      </c>
    </row>
    <row r="2713">
      <c r="A2713" s="20" t="n">
        <v>45808</v>
      </c>
      <c r="B2713" s="21" t="n">
        <v>301</v>
      </c>
      <c r="C2713" s="22" t="inlineStr">
        <is>
          <t>SELİM İNŞAAT</t>
        </is>
      </c>
      <c r="D2713" s="21" t="inlineStr">
        <is>
          <t>34 EDB 829</t>
        </is>
      </c>
      <c r="E2713" s="21" t="inlineStr">
        <is>
          <t>İSMET BAYRAM</t>
        </is>
      </c>
      <c r="F2713" s="23" t="n">
        <v>317011</v>
      </c>
      <c r="G2713" s="138" t="n"/>
      <c r="H2713" s="138" t="n">
        <v>468</v>
      </c>
      <c r="I2713" s="138">
        <f>+I2712+(G2713-H2713)</f>
        <v/>
      </c>
      <c r="J2713" s="139" t="n">
        <v>40.667</v>
      </c>
      <c r="K2713" s="140" t="n"/>
      <c r="L2713" s="140">
        <f>+H2713*J2713</f>
        <v/>
      </c>
      <c r="M2713" s="141">
        <f>SUM(M2712+K2713-L2713)</f>
        <v/>
      </c>
    </row>
    <row r="2714">
      <c r="A2714" s="20" t="n">
        <v>45808</v>
      </c>
      <c r="B2714" s="21" t="n">
        <v>2</v>
      </c>
      <c r="C2714" s="22" t="inlineStr">
        <is>
          <t>SELİM İNŞAAT</t>
        </is>
      </c>
      <c r="D2714" s="21" t="inlineStr">
        <is>
          <t>34 FBR 748</t>
        </is>
      </c>
      <c r="E2714" s="21" t="inlineStr">
        <is>
          <t>YAŞAR ÖZKAYA</t>
        </is>
      </c>
      <c r="F2714" s="23" t="n">
        <v>278442</v>
      </c>
      <c r="G2714" s="138" t="n"/>
      <c r="H2714" s="138" t="n">
        <v>345</v>
      </c>
      <c r="I2714" s="138">
        <f>+I2713+(G2714-H2714)</f>
        <v/>
      </c>
      <c r="J2714" s="139" t="n">
        <v>40.667</v>
      </c>
      <c r="K2714" s="140" t="n"/>
      <c r="L2714" s="140">
        <f>+H2714*J2714</f>
        <v/>
      </c>
      <c r="M2714" s="141">
        <f>SUM(M2713+K2714-L2714)</f>
        <v/>
      </c>
    </row>
    <row r="2715">
      <c r="A2715" s="20" t="n">
        <v>45808</v>
      </c>
      <c r="B2715" s="21" t="n">
        <v>10393</v>
      </c>
      <c r="C2715" s="22" t="inlineStr">
        <is>
          <t>SELİM İNŞAAT</t>
        </is>
      </c>
      <c r="D2715" s="21" t="inlineStr">
        <is>
          <t>34 DRU 690</t>
        </is>
      </c>
      <c r="E2715" s="21" t="inlineStr">
        <is>
          <t>MURAT DEMİRBAŞ</t>
        </is>
      </c>
      <c r="F2715" s="23" t="n">
        <v>414421</v>
      </c>
      <c r="G2715" s="138" t="n"/>
      <c r="H2715" s="138" t="n">
        <v>376</v>
      </c>
      <c r="I2715" s="138">
        <f>+I2714+(G2715-H2715)</f>
        <v/>
      </c>
      <c r="J2715" s="139" t="n">
        <v>40.667</v>
      </c>
      <c r="K2715" s="140" t="n"/>
      <c r="L2715" s="140">
        <f>+H2715*J2715</f>
        <v/>
      </c>
      <c r="M2715" s="141">
        <f>SUM(M2714+K2715-L2715)</f>
        <v/>
      </c>
    </row>
    <row r="2716">
      <c r="A2716" s="20" t="n">
        <v>45809</v>
      </c>
      <c r="B2716" s="21" t="n">
        <v>15830</v>
      </c>
      <c r="C2716" s="22" t="inlineStr">
        <is>
          <t>EVKUR</t>
        </is>
      </c>
      <c r="D2716" s="21" t="inlineStr">
        <is>
          <t>FOKLİFT</t>
        </is>
      </c>
      <c r="E2716" s="21" t="inlineStr">
        <is>
          <t>FAHRİ KALFA</t>
        </is>
      </c>
      <c r="F2716" s="23" t="n"/>
      <c r="G2716" s="138" t="n"/>
      <c r="H2716" s="138" t="n">
        <v>50</v>
      </c>
      <c r="I2716" s="138">
        <f>+I2715+(G2716-H2716)</f>
        <v/>
      </c>
      <c r="J2716" s="139" t="n">
        <v>40.667</v>
      </c>
      <c r="K2716" s="140" t="n"/>
      <c r="L2716" s="140">
        <f>+H2716*J2716</f>
        <v/>
      </c>
      <c r="M2716" s="141">
        <f>SUM(M2715+K2716-L2716)</f>
        <v/>
      </c>
    </row>
    <row r="2717">
      <c r="A2717" s="20" t="n">
        <v>45809</v>
      </c>
      <c r="B2717" s="1" t="n">
        <v>15831</v>
      </c>
      <c r="C2717" s="2" t="inlineStr">
        <is>
          <t>EVKUR - HASALTUN</t>
        </is>
      </c>
      <c r="D2717" s="1" t="inlineStr">
        <is>
          <t>RT 650 SARI VİNÇ</t>
        </is>
      </c>
      <c r="E2717" s="1" t="inlineStr">
        <is>
          <t>ALİHAN DUMAN</t>
        </is>
      </c>
      <c r="F2717" s="3" t="n"/>
      <c r="G2717" s="143" t="n"/>
      <c r="H2717" s="143" t="n">
        <v>148</v>
      </c>
      <c r="I2717" s="143">
        <f>+I2716+(G2717-H2717)</f>
        <v/>
      </c>
      <c r="J2717" s="144" t="n">
        <v>40.667</v>
      </c>
      <c r="K2717" s="145" t="n"/>
      <c r="L2717" s="140">
        <f>+H2717*J2717</f>
        <v/>
      </c>
      <c r="M2717" s="141">
        <f>SUM(M2716+K2717-L2717)</f>
        <v/>
      </c>
    </row>
    <row r="2718">
      <c r="A2718" s="20" t="n">
        <v>45809</v>
      </c>
      <c r="B2718" s="1" t="n">
        <v>15832</v>
      </c>
      <c r="C2718" s="2" t="inlineStr">
        <is>
          <t>VARLIK</t>
        </is>
      </c>
      <c r="D2718" s="1" t="inlineStr">
        <is>
          <t>SM 350</t>
        </is>
      </c>
      <c r="E2718" s="1" t="inlineStr">
        <is>
          <t>BAYRAM SANCAK</t>
        </is>
      </c>
      <c r="F2718" s="3" t="n"/>
      <c r="G2718" s="143" t="n"/>
      <c r="H2718" s="143" t="n">
        <v>330</v>
      </c>
      <c r="I2718" s="143">
        <f>+I2717+(G2718-H2718)</f>
        <v/>
      </c>
      <c r="J2718" s="144" t="n">
        <v>40.667</v>
      </c>
      <c r="K2718" s="145" t="n"/>
      <c r="L2718" s="140">
        <f>+H2718*J2718</f>
        <v/>
      </c>
      <c r="M2718" s="141">
        <f>SUM(M2717+K2718-L2718)</f>
        <v/>
      </c>
    </row>
    <row r="2719">
      <c r="A2719" s="20" t="n">
        <v>45809</v>
      </c>
      <c r="B2719" s="1" t="n">
        <v>15833</v>
      </c>
      <c r="C2719" s="2" t="inlineStr">
        <is>
          <t>VARLIK</t>
        </is>
      </c>
      <c r="D2719" s="1" t="inlineStr">
        <is>
          <t>KAVAZAKİ</t>
        </is>
      </c>
      <c r="E2719" s="1" t="inlineStr">
        <is>
          <t>UFUK SEVAL</t>
        </is>
      </c>
      <c r="F2719" s="3" t="n"/>
      <c r="G2719" s="143" t="n"/>
      <c r="H2719" s="143" t="n">
        <v>129</v>
      </c>
      <c r="I2719" s="143">
        <f>+I2718+(G2719-H2719)</f>
        <v/>
      </c>
      <c r="J2719" s="144" t="n">
        <v>40.667</v>
      </c>
      <c r="K2719" s="145" t="n"/>
      <c r="L2719" s="140">
        <f>+H2719*J2719</f>
        <v/>
      </c>
      <c r="M2719" s="141">
        <f>SUM(M2718+K2719-L2719)</f>
        <v/>
      </c>
    </row>
    <row r="2720">
      <c r="A2720" s="20" t="n">
        <v>45809</v>
      </c>
      <c r="B2720" s="1" t="n">
        <v>15834</v>
      </c>
      <c r="C2720" s="2" t="inlineStr">
        <is>
          <t>CEVİZ MOBİLYA</t>
        </is>
      </c>
      <c r="D2720" s="1" t="inlineStr">
        <is>
          <t>SM 350</t>
        </is>
      </c>
      <c r="E2720" s="1" t="inlineStr">
        <is>
          <t>TEVFİK ÖZTÜRK</t>
        </is>
      </c>
      <c r="F2720" s="3" t="n"/>
      <c r="G2720" s="143" t="n"/>
      <c r="H2720" s="143" t="n">
        <v>438</v>
      </c>
      <c r="I2720" s="143">
        <f>+I2719+(G2720-H2720)</f>
        <v/>
      </c>
      <c r="J2720" s="144" t="n">
        <v>40.667</v>
      </c>
      <c r="K2720" s="145" t="n"/>
      <c r="L2720" s="140">
        <f>+H2720*J2720</f>
        <v/>
      </c>
      <c r="M2720" s="141">
        <f>SUM(M2719+K2720-L2720)</f>
        <v/>
      </c>
    </row>
    <row r="2721">
      <c r="A2721" s="20" t="n">
        <v>45809</v>
      </c>
      <c r="B2721" s="21" t="n">
        <v>15606</v>
      </c>
      <c r="C2721" s="22" t="inlineStr">
        <is>
          <t>METİN ERYİĞİT</t>
        </is>
      </c>
      <c r="D2721" s="21" t="inlineStr">
        <is>
          <t>34 EGS 013</t>
        </is>
      </c>
      <c r="E2721" s="21" t="inlineStr">
        <is>
          <t xml:space="preserve">UĞUR DUMAN </t>
        </is>
      </c>
      <c r="F2721" s="23" t="n">
        <v>486606</v>
      </c>
      <c r="G2721" s="138" t="n"/>
      <c r="H2721" s="138" t="n">
        <v>398</v>
      </c>
      <c r="I2721" s="138">
        <f>+I2720+(G2721-H2721)</f>
        <v/>
      </c>
      <c r="J2721" s="139" t="n">
        <v>40.667</v>
      </c>
      <c r="K2721" s="140" t="n"/>
      <c r="L2721" s="140">
        <f>+H2721*J2721</f>
        <v/>
      </c>
      <c r="M2721" s="141">
        <f>SUM(M2720+K2721-L2721)</f>
        <v/>
      </c>
    </row>
    <row r="2722">
      <c r="A2722" s="20" t="n">
        <v>45809</v>
      </c>
      <c r="B2722" s="21" t="n">
        <v>15660</v>
      </c>
      <c r="C2722" s="22" t="inlineStr">
        <is>
          <t>METİN ERYİĞİT</t>
        </is>
      </c>
      <c r="D2722" s="21" t="inlineStr">
        <is>
          <t>34 EGR 814</t>
        </is>
      </c>
      <c r="E2722" s="21" t="inlineStr">
        <is>
          <t>GÜRAY KOYUNCU</t>
        </is>
      </c>
      <c r="F2722" s="23" t="n">
        <v>540113</v>
      </c>
      <c r="G2722" s="138" t="n"/>
      <c r="H2722" s="138" t="n">
        <v>445</v>
      </c>
      <c r="I2722" s="138">
        <f>+I2721+(G2722-H2722)</f>
        <v/>
      </c>
      <c r="J2722" s="139" t="n">
        <v>40.667</v>
      </c>
      <c r="K2722" s="140" t="n"/>
      <c r="L2722" s="140">
        <f>+H2722*J2722</f>
        <v/>
      </c>
      <c r="M2722" s="141">
        <f>SUM(M2721+K2722-L2722)</f>
        <v/>
      </c>
    </row>
    <row r="2723">
      <c r="A2723" s="20" t="n">
        <v>45809</v>
      </c>
      <c r="B2723" s="21" t="n">
        <v>14734</v>
      </c>
      <c r="C2723" s="22" t="inlineStr">
        <is>
          <t>METİN ERYİĞİT</t>
        </is>
      </c>
      <c r="D2723" s="21" t="inlineStr">
        <is>
          <t>34 GBL 998</t>
        </is>
      </c>
      <c r="E2723" s="21" t="inlineStr">
        <is>
          <t>ALİ KESKİN</t>
        </is>
      </c>
      <c r="F2723" s="23" t="n">
        <v>266169</v>
      </c>
      <c r="G2723" s="138" t="n"/>
      <c r="H2723" s="138" t="n">
        <v>684</v>
      </c>
      <c r="I2723" s="138">
        <f>+I2722+(G2723-H2723)</f>
        <v/>
      </c>
      <c r="J2723" s="139" t="n">
        <v>40.667</v>
      </c>
      <c r="K2723" s="140" t="n"/>
      <c r="L2723" s="140">
        <f>+H2723*J2723</f>
        <v/>
      </c>
      <c r="M2723" s="141">
        <f>SUM(M2722+K2723-L2723)</f>
        <v/>
      </c>
    </row>
    <row r="2724">
      <c r="A2724" s="20" t="n">
        <v>45809</v>
      </c>
      <c r="B2724" s="21" t="n">
        <v>14378</v>
      </c>
      <c r="C2724" s="22" t="inlineStr">
        <is>
          <t>SELİM İNŞAAT</t>
        </is>
      </c>
      <c r="D2724" s="21" t="inlineStr">
        <is>
          <t>34 DKL 798</t>
        </is>
      </c>
      <c r="E2724" s="21" t="inlineStr">
        <is>
          <t>VOLKAN YANAR</t>
        </is>
      </c>
      <c r="F2724" s="23" t="n">
        <v>65625</v>
      </c>
      <c r="G2724" s="138" t="n"/>
      <c r="H2724" s="138" t="n">
        <v>158</v>
      </c>
      <c r="I2724" s="138">
        <f>+I2723+(G2724-H2724)</f>
        <v/>
      </c>
      <c r="J2724" s="139" t="n">
        <v>40.667</v>
      </c>
      <c r="K2724" s="140" t="n"/>
      <c r="L2724" s="140">
        <f>+H2724*J2724</f>
        <v/>
      </c>
      <c r="M2724" s="141">
        <f>SUM(M2723+K2724-L2724)</f>
        <v/>
      </c>
    </row>
    <row r="2725">
      <c r="A2725" s="20" t="n">
        <v>45809</v>
      </c>
      <c r="B2725" s="21" t="n">
        <v>15916</v>
      </c>
      <c r="C2725" s="22" t="inlineStr">
        <is>
          <t>SELİM İNŞAAT</t>
        </is>
      </c>
      <c r="D2725" s="21" t="inlineStr">
        <is>
          <t>34 DFE 454</t>
        </is>
      </c>
      <c r="E2725" s="21" t="inlineStr">
        <is>
          <t>METİN KALKAN</t>
        </is>
      </c>
      <c r="F2725" s="23" t="n">
        <v>159288</v>
      </c>
      <c r="G2725" s="138" t="n"/>
      <c r="H2725" s="138" t="n">
        <v>172</v>
      </c>
      <c r="I2725" s="138">
        <f>+I2724+(G2725-H2725)</f>
        <v/>
      </c>
      <c r="J2725" s="139" t="n">
        <v>40.667</v>
      </c>
      <c r="K2725" s="140" t="n"/>
      <c r="L2725" s="140">
        <f>+H2725*J2725</f>
        <v/>
      </c>
      <c r="M2725" s="141">
        <f>SUM(M2724+K2725-L2725)</f>
        <v/>
      </c>
    </row>
    <row r="2726">
      <c r="A2726" s="20" t="n">
        <v>45809</v>
      </c>
      <c r="B2726" s="21" t="n">
        <v>10236</v>
      </c>
      <c r="C2726" s="22" t="inlineStr">
        <is>
          <t>SELİM İNŞAAT</t>
        </is>
      </c>
      <c r="D2726" s="21" t="inlineStr">
        <is>
          <t>34 DSN 621</t>
        </is>
      </c>
      <c r="E2726" s="21" t="inlineStr">
        <is>
          <t>MUSTAFA KAYA</t>
        </is>
      </c>
      <c r="F2726" s="23" t="n">
        <v>409162</v>
      </c>
      <c r="G2726" s="138" t="n"/>
      <c r="H2726" s="138" t="n">
        <v>349</v>
      </c>
      <c r="I2726" s="138">
        <f>+I2725+(G2726-H2726)</f>
        <v/>
      </c>
      <c r="J2726" s="139" t="n">
        <v>40.667</v>
      </c>
      <c r="K2726" s="140" t="n"/>
      <c r="L2726" s="140">
        <f>+H2726*J2726</f>
        <v/>
      </c>
      <c r="M2726" s="141">
        <f>SUM(M2725+K2726-L2726)</f>
        <v/>
      </c>
    </row>
    <row r="2727">
      <c r="A2727" s="20" t="n">
        <v>45809</v>
      </c>
      <c r="B2727" s="21" t="n">
        <v>14821</v>
      </c>
      <c r="C2727" s="22" t="inlineStr">
        <is>
          <t>SELİM İNŞAAT</t>
        </is>
      </c>
      <c r="D2727" s="21" t="inlineStr">
        <is>
          <t>34 GVZ 268</t>
        </is>
      </c>
      <c r="E2727" s="21" t="inlineStr">
        <is>
          <t>KERİM KARAMAN</t>
        </is>
      </c>
      <c r="F2727" s="23" t="n">
        <v>171591</v>
      </c>
      <c r="G2727" s="138" t="n"/>
      <c r="H2727" s="138" t="n">
        <v>425</v>
      </c>
      <c r="I2727" s="138">
        <f>+I2726+(G2727-H2727)</f>
        <v/>
      </c>
      <c r="J2727" s="139" t="n">
        <v>40.667</v>
      </c>
      <c r="K2727" s="140" t="n"/>
      <c r="L2727" s="140">
        <f>+H2727*J2727</f>
        <v/>
      </c>
      <c r="M2727" s="141">
        <f>SUM(M2726+K2727-L2727)</f>
        <v/>
      </c>
    </row>
    <row r="2728">
      <c r="A2728" s="20" t="n">
        <v>45809</v>
      </c>
      <c r="B2728" s="21" t="n">
        <v>11946</v>
      </c>
      <c r="C2728" s="22" t="inlineStr">
        <is>
          <t>SELİM İNŞAAT</t>
        </is>
      </c>
      <c r="D2728" s="21" t="inlineStr">
        <is>
          <t>34 FBR 742</t>
        </is>
      </c>
      <c r="E2728" s="21" t="inlineStr">
        <is>
          <t>MİKAİL BAYILMAZ</t>
        </is>
      </c>
      <c r="F2728" s="23" t="n">
        <v>317080</v>
      </c>
      <c r="G2728" s="138" t="n"/>
      <c r="H2728" s="138" t="n">
        <v>364</v>
      </c>
      <c r="I2728" s="138">
        <f>+I2727+(G2728-H2728)</f>
        <v/>
      </c>
      <c r="J2728" s="139" t="n">
        <v>40.667</v>
      </c>
      <c r="K2728" s="140" t="n"/>
      <c r="L2728" s="140">
        <f>+H2728*J2728</f>
        <v/>
      </c>
      <c r="M2728" s="141">
        <f>SUM(M2727+K2728-L2728)</f>
        <v/>
      </c>
    </row>
    <row r="2729">
      <c r="A2729" s="20" t="n">
        <v>45809</v>
      </c>
      <c r="B2729" s="21" t="n">
        <v>14758</v>
      </c>
      <c r="C2729" s="22" t="inlineStr">
        <is>
          <t>SELİM İNŞAAT</t>
        </is>
      </c>
      <c r="D2729" s="21" t="inlineStr">
        <is>
          <t>34 GYZ 635</t>
        </is>
      </c>
      <c r="E2729" s="21" t="inlineStr">
        <is>
          <t>MURAT DEMİRBAŞ</t>
        </is>
      </c>
      <c r="F2729" s="23" t="n">
        <v>170797</v>
      </c>
      <c r="G2729" s="138" t="n"/>
      <c r="H2729" s="138" t="n">
        <v>428</v>
      </c>
      <c r="I2729" s="138">
        <f>+I2728+(G2729-H2729)</f>
        <v/>
      </c>
      <c r="J2729" s="139" t="n">
        <v>40.667</v>
      </c>
      <c r="K2729" s="140" t="n"/>
      <c r="L2729" s="140">
        <f>+H2729*J2729</f>
        <v/>
      </c>
      <c r="M2729" s="141">
        <f>SUM(M2728+K2729-L2729)</f>
        <v/>
      </c>
    </row>
    <row r="2730">
      <c r="A2730" s="20" t="n">
        <v>45809</v>
      </c>
      <c r="B2730" s="21" t="n">
        <v>14132</v>
      </c>
      <c r="C2730" s="22" t="inlineStr">
        <is>
          <t>SELİM İNŞAAT</t>
        </is>
      </c>
      <c r="D2730" s="21" t="inlineStr">
        <is>
          <t>34 DSN 536</t>
        </is>
      </c>
      <c r="E2730" s="21" t="inlineStr">
        <is>
          <t>DURSUN ALİ GÜREK</t>
        </is>
      </c>
      <c r="F2730" s="23" t="n">
        <v>403819</v>
      </c>
      <c r="G2730" s="138" t="n"/>
      <c r="H2730" s="138" t="n">
        <v>282</v>
      </c>
      <c r="I2730" s="138">
        <f>+I2729+(G2730-H2730)</f>
        <v/>
      </c>
      <c r="J2730" s="139" t="n">
        <v>40.667</v>
      </c>
      <c r="K2730" s="140" t="n"/>
      <c r="L2730" s="140">
        <f>+H2730*J2730</f>
        <v/>
      </c>
      <c r="M2730" s="141">
        <f>SUM(M2729+K2730-L2730)</f>
        <v/>
      </c>
    </row>
    <row r="2731">
      <c r="A2731" s="20" t="n">
        <v>45809</v>
      </c>
      <c r="B2731" s="21" t="n">
        <v>14234</v>
      </c>
      <c r="C2731" s="22" t="inlineStr">
        <is>
          <t>SELİM İNŞAAT</t>
        </is>
      </c>
      <c r="D2731" s="21" t="inlineStr">
        <is>
          <t xml:space="preserve">34 GUS 938 </t>
        </is>
      </c>
      <c r="E2731" s="21" t="inlineStr">
        <is>
          <t>MEHMET KAYA</t>
        </is>
      </c>
      <c r="F2731" s="23" t="n">
        <v>266196</v>
      </c>
      <c r="G2731" s="138" t="n"/>
      <c r="H2731" s="138" t="n">
        <v>316</v>
      </c>
      <c r="I2731" s="138">
        <f>+I2730+(G2731-H2731)</f>
        <v/>
      </c>
      <c r="J2731" s="139" t="n">
        <v>40.667</v>
      </c>
      <c r="K2731" s="140" t="n"/>
      <c r="L2731" s="140">
        <f>+H2731*J2731</f>
        <v/>
      </c>
      <c r="M2731" s="141">
        <f>SUM(M2730+K2731-L2731)</f>
        <v/>
      </c>
    </row>
    <row r="2732">
      <c r="A2732" s="20" t="n">
        <v>45809</v>
      </c>
      <c r="B2732" s="21" t="n">
        <v>15019</v>
      </c>
      <c r="C2732" s="22" t="inlineStr">
        <is>
          <t>SELİM İNŞAAT</t>
        </is>
      </c>
      <c r="D2732" s="21" t="inlineStr">
        <is>
          <t>34 GVZ 199</t>
        </is>
      </c>
      <c r="E2732" s="21" t="inlineStr">
        <is>
          <t>HAKAN ÇAVUŞOĞLU</t>
        </is>
      </c>
      <c r="F2732" s="23" t="n">
        <v>179333</v>
      </c>
      <c r="G2732" s="138" t="n"/>
      <c r="H2732" s="138" t="n">
        <v>464</v>
      </c>
      <c r="I2732" s="138">
        <f>+I2731+(G2732-H2732)</f>
        <v/>
      </c>
      <c r="J2732" s="139" t="n">
        <v>40.667</v>
      </c>
      <c r="K2732" s="140" t="n"/>
      <c r="L2732" s="140">
        <f>+H2732*J2732</f>
        <v/>
      </c>
      <c r="M2732" s="141">
        <f>SUM(M2731+K2732-L2732)</f>
        <v/>
      </c>
    </row>
    <row r="2733">
      <c r="A2733" s="20" t="n">
        <v>45809</v>
      </c>
      <c r="B2733" s="21" t="n">
        <v>15853</v>
      </c>
      <c r="C2733" s="22" t="inlineStr">
        <is>
          <t>SELİM İNŞAAT</t>
        </is>
      </c>
      <c r="D2733" s="21" t="inlineStr">
        <is>
          <t>34 EDB 754</t>
        </is>
      </c>
      <c r="E2733" s="21" t="inlineStr">
        <is>
          <t>EMİN PARLAKKILIÇ</t>
        </is>
      </c>
      <c r="F2733" s="23" t="n">
        <v>319869</v>
      </c>
      <c r="G2733" s="138" t="n"/>
      <c r="H2733" s="138" t="n">
        <v>469</v>
      </c>
      <c r="I2733" s="138">
        <f>+I2732+(G2733-H2733)</f>
        <v/>
      </c>
      <c r="J2733" s="139" t="n">
        <v>40.667</v>
      </c>
      <c r="K2733" s="140" t="n"/>
      <c r="L2733" s="140">
        <f>+H2733*J2733</f>
        <v/>
      </c>
      <c r="M2733" s="141">
        <f>SUM(M2732+K2733-L2733)</f>
        <v/>
      </c>
    </row>
    <row r="2734">
      <c r="A2734" s="20" t="n">
        <v>45809</v>
      </c>
      <c r="B2734" s="21" t="n">
        <v>11161</v>
      </c>
      <c r="C2734" s="22" t="inlineStr">
        <is>
          <t>SELİM İNŞAAT</t>
        </is>
      </c>
      <c r="D2734" s="21" t="inlineStr">
        <is>
          <t>34 HZ 1663</t>
        </is>
      </c>
      <c r="E2734" s="21" t="inlineStr">
        <is>
          <t>ÖNER DÜNDAR</t>
        </is>
      </c>
      <c r="F2734" s="23" t="n">
        <v>521252</v>
      </c>
      <c r="G2734" s="138" t="n"/>
      <c r="H2734" s="138" t="n">
        <v>326</v>
      </c>
      <c r="I2734" s="138">
        <f>+I2733+(G2734-H2734)</f>
        <v/>
      </c>
      <c r="J2734" s="139" t="n">
        <v>40.667</v>
      </c>
      <c r="K2734" s="140" t="n"/>
      <c r="L2734" s="140">
        <f>+H2734*J2734</f>
        <v/>
      </c>
      <c r="M2734" s="141">
        <f>SUM(M2733+K2734-L2734)</f>
        <v/>
      </c>
    </row>
    <row r="2735">
      <c r="A2735" s="20" t="n">
        <v>45809</v>
      </c>
      <c r="B2735" s="21" t="n">
        <v>21626</v>
      </c>
      <c r="C2735" s="22" t="inlineStr">
        <is>
          <t>SELİM İNŞAAT</t>
        </is>
      </c>
      <c r="D2735" s="21" t="inlineStr">
        <is>
          <t>34 DHC 467</t>
        </is>
      </c>
      <c r="E2735" s="21" t="inlineStr">
        <is>
          <t>ERSEL DERVİŞ</t>
        </is>
      </c>
      <c r="F2735" s="23" t="n">
        <v>403018</v>
      </c>
      <c r="G2735" s="138" t="n"/>
      <c r="H2735" s="138" t="n">
        <v>159</v>
      </c>
      <c r="I2735" s="138">
        <f>+I2734+(G2735-H2735)</f>
        <v/>
      </c>
      <c r="J2735" s="139" t="n">
        <v>40.667</v>
      </c>
      <c r="K2735" s="140" t="n"/>
      <c r="L2735" s="140">
        <f>+H2735*J2735</f>
        <v/>
      </c>
      <c r="M2735" s="141">
        <f>SUM(M2734+K2735-L2735)</f>
        <v/>
      </c>
    </row>
    <row r="2736">
      <c r="A2736" s="20" t="n">
        <v>45809</v>
      </c>
      <c r="B2736" s="21" t="n">
        <v>14035</v>
      </c>
      <c r="C2736" s="22" t="inlineStr">
        <is>
          <t>SELİM İNŞAAT</t>
        </is>
      </c>
      <c r="D2736" s="21" t="inlineStr">
        <is>
          <t>34 GVZ 310</t>
        </is>
      </c>
      <c r="E2736" s="21" t="inlineStr">
        <is>
          <t>HÜSEYİN AKÇİN</t>
        </is>
      </c>
      <c r="F2736" s="23" t="n">
        <v>190067</v>
      </c>
      <c r="G2736" s="138" t="n"/>
      <c r="H2736" s="138" t="n">
        <v>424</v>
      </c>
      <c r="I2736" s="138">
        <f>+I2735+(G2736-H2736)</f>
        <v/>
      </c>
      <c r="J2736" s="139" t="n">
        <v>40.667</v>
      </c>
      <c r="K2736" s="140" t="n"/>
      <c r="L2736" s="140">
        <f>+H2736*J2736</f>
        <v/>
      </c>
      <c r="M2736" s="141">
        <f>SUM(M2735+K2736-L2736)</f>
        <v/>
      </c>
    </row>
    <row r="2737">
      <c r="A2737" s="20" t="n">
        <v>45809</v>
      </c>
      <c r="B2737" s="21" t="n">
        <v>15352</v>
      </c>
      <c r="C2737" s="22" t="inlineStr">
        <is>
          <t>SELİM İNŞAAT</t>
        </is>
      </c>
      <c r="D2737" s="21" t="inlineStr">
        <is>
          <t>34 DTV 409</t>
        </is>
      </c>
      <c r="E2737" s="21" t="inlineStr">
        <is>
          <t>MUHAMMED YİĞİT</t>
        </is>
      </c>
      <c r="F2737" s="23" t="n">
        <v>415352</v>
      </c>
      <c r="G2737" s="138" t="n"/>
      <c r="H2737" s="138" t="n">
        <v>447</v>
      </c>
      <c r="I2737" s="138">
        <f>+I2736+(G2737-H2737)</f>
        <v/>
      </c>
      <c r="J2737" s="139" t="n">
        <v>40.667</v>
      </c>
      <c r="K2737" s="140" t="n"/>
      <c r="L2737" s="140">
        <f>+H2737*J2737</f>
        <v/>
      </c>
      <c r="M2737" s="141">
        <f>SUM(M2736+K2737-L2737)</f>
        <v/>
      </c>
    </row>
    <row r="2738">
      <c r="A2738" s="20" t="n">
        <v>45809</v>
      </c>
      <c r="B2738" s="21" t="n">
        <v>15955</v>
      </c>
      <c r="C2738" s="22" t="inlineStr">
        <is>
          <t>SELİM İNŞAAT</t>
        </is>
      </c>
      <c r="D2738" s="21" t="inlineStr">
        <is>
          <t>34 FBR 781</t>
        </is>
      </c>
      <c r="E2738" s="21" t="inlineStr">
        <is>
          <t>MEVLÜT POLAT</t>
        </is>
      </c>
      <c r="F2738" s="23" t="n">
        <v>301304</v>
      </c>
      <c r="G2738" s="138" t="n"/>
      <c r="H2738" s="138" t="n">
        <v>403</v>
      </c>
      <c r="I2738" s="138">
        <f>+I2737+(G2738-H2738)</f>
        <v/>
      </c>
      <c r="J2738" s="139" t="n">
        <v>40.667</v>
      </c>
      <c r="K2738" s="140" t="n"/>
      <c r="L2738" s="140">
        <f>+H2738*J2738</f>
        <v/>
      </c>
      <c r="M2738" s="141">
        <f>SUM(M2737+K2738-L2738)</f>
        <v/>
      </c>
    </row>
    <row r="2739">
      <c r="A2739" s="20" t="n">
        <v>45809</v>
      </c>
      <c r="B2739" s="21" t="n">
        <v>14084</v>
      </c>
      <c r="C2739" s="22" t="inlineStr">
        <is>
          <t>SELİM İNŞAAT</t>
        </is>
      </c>
      <c r="D2739" s="21" t="inlineStr">
        <is>
          <t>34 EDB 659</t>
        </is>
      </c>
      <c r="E2739" s="21" t="inlineStr">
        <is>
          <t>MEHMET SAİT ANIK</t>
        </is>
      </c>
      <c r="F2739" s="23" t="n">
        <v>338310</v>
      </c>
      <c r="G2739" s="138" t="n"/>
      <c r="H2739" s="138" t="n">
        <v>515</v>
      </c>
      <c r="I2739" s="138">
        <f>+I2738+(G2739-H2739)</f>
        <v/>
      </c>
      <c r="J2739" s="139" t="n">
        <v>40.667</v>
      </c>
      <c r="K2739" s="140" t="n"/>
      <c r="L2739" s="140">
        <f>+H2739*J2739</f>
        <v/>
      </c>
      <c r="M2739" s="141">
        <f>SUM(M2738+K2739-L2739)</f>
        <v/>
      </c>
    </row>
    <row r="2740">
      <c r="A2740" s="20" t="n">
        <v>45810</v>
      </c>
      <c r="B2740" s="21" t="n">
        <v>15155</v>
      </c>
      <c r="C2740" s="22" t="inlineStr">
        <is>
          <t>SELİM İNŞAAT</t>
        </is>
      </c>
      <c r="D2740" s="21" t="inlineStr">
        <is>
          <t>34 DP 4161</t>
        </is>
      </c>
      <c r="E2740" s="21" t="inlineStr">
        <is>
          <t>RIFAT KARATAY</t>
        </is>
      </c>
      <c r="F2740" s="23" t="n">
        <v>286131</v>
      </c>
      <c r="G2740" s="138" t="n"/>
      <c r="H2740" s="138" t="n">
        <v>228</v>
      </c>
      <c r="I2740" s="138">
        <f>+I2739+(G2740-H2740)</f>
        <v/>
      </c>
      <c r="J2740" s="139" t="n">
        <v>40.667</v>
      </c>
      <c r="K2740" s="140" t="n"/>
      <c r="L2740" s="140">
        <f>+H2740*J2740</f>
        <v/>
      </c>
      <c r="M2740" s="141">
        <f>SUM(M2739+K2740-L2740)</f>
        <v/>
      </c>
    </row>
    <row r="2741">
      <c r="A2741" s="20" t="n">
        <v>45810</v>
      </c>
      <c r="B2741" s="21" t="n">
        <v>302</v>
      </c>
      <c r="C2741" s="22" t="inlineStr">
        <is>
          <t>SELİM İNŞAAT</t>
        </is>
      </c>
      <c r="D2741" s="21" t="inlineStr">
        <is>
          <t>34 EDB 829</t>
        </is>
      </c>
      <c r="E2741" s="21" t="inlineStr">
        <is>
          <t>İSMET BAYRAM</t>
        </is>
      </c>
      <c r="F2741" s="23" t="n">
        <v>317465</v>
      </c>
      <c r="G2741" s="138" t="n"/>
      <c r="H2741" s="138" t="n">
        <v>245</v>
      </c>
      <c r="I2741" s="138">
        <f>+I2740+(G2741-H2741)</f>
        <v/>
      </c>
      <c r="J2741" s="139" t="n">
        <v>40.667</v>
      </c>
      <c r="K2741" s="140" t="n"/>
      <c r="L2741" s="140">
        <f>+H2741*J2741</f>
        <v/>
      </c>
      <c r="M2741" s="141">
        <f>SUM(M2740+K2741-L2741)</f>
        <v/>
      </c>
    </row>
    <row r="2742">
      <c r="A2742" s="20" t="n">
        <v>45810</v>
      </c>
      <c r="B2742" s="21" t="n">
        <v>11646</v>
      </c>
      <c r="C2742" s="22" t="inlineStr">
        <is>
          <t>SELİM İNŞAAT</t>
        </is>
      </c>
      <c r="D2742" s="21" t="inlineStr">
        <is>
          <t>34 DTV 352</t>
        </is>
      </c>
      <c r="E2742" s="21" t="inlineStr">
        <is>
          <t>RASİM BARTU</t>
        </is>
      </c>
      <c r="F2742" s="23" t="n">
        <v>431435</v>
      </c>
      <c r="G2742" s="138" t="n"/>
      <c r="H2742" s="138" t="n">
        <v>220</v>
      </c>
      <c r="I2742" s="138">
        <f>+I2741+(G2742-H2742)</f>
        <v/>
      </c>
      <c r="J2742" s="139" t="n">
        <v>40.667</v>
      </c>
      <c r="K2742" s="140" t="n"/>
      <c r="L2742" s="140">
        <f>+H2742*J2742</f>
        <v/>
      </c>
      <c r="M2742" s="141">
        <f>SUM(M2741+K2742-L2742)</f>
        <v/>
      </c>
    </row>
    <row r="2743">
      <c r="A2743" s="20" t="n">
        <v>45810</v>
      </c>
      <c r="B2743" s="21" t="n">
        <v>15208</v>
      </c>
      <c r="C2743" s="22" t="inlineStr">
        <is>
          <t>SELİM İNŞAAT</t>
        </is>
      </c>
      <c r="D2743" s="21" t="inlineStr">
        <is>
          <t>34 DSN 565</t>
        </is>
      </c>
      <c r="E2743" s="21" t="inlineStr">
        <is>
          <t>FUAT AYKUL</t>
        </is>
      </c>
      <c r="F2743" s="23" t="n">
        <v>401645</v>
      </c>
      <c r="G2743" s="138" t="n"/>
      <c r="H2743" s="138" t="n">
        <v>420</v>
      </c>
      <c r="I2743" s="138">
        <f>+I2742+(G2743-H2743)</f>
        <v/>
      </c>
      <c r="J2743" s="139" t="n">
        <v>40.667</v>
      </c>
      <c r="K2743" s="140" t="n"/>
      <c r="L2743" s="140">
        <f>+H2743*J2743</f>
        <v/>
      </c>
      <c r="M2743" s="141">
        <f>SUM(M2742+K2743-L2743)</f>
        <v/>
      </c>
    </row>
    <row r="2744">
      <c r="A2744" s="20" t="n">
        <v>45810</v>
      </c>
      <c r="B2744" s="21" t="n">
        <v>14528</v>
      </c>
      <c r="C2744" s="22" t="inlineStr">
        <is>
          <t>SELİM İNŞAAT</t>
        </is>
      </c>
      <c r="D2744" s="21" t="inlineStr">
        <is>
          <t>34 GER 028</t>
        </is>
      </c>
      <c r="E2744" s="21" t="inlineStr">
        <is>
          <t>A.KERİM ERGEN</t>
        </is>
      </c>
      <c r="F2744" s="23" t="n">
        <v>44022</v>
      </c>
      <c r="G2744" s="138" t="n"/>
      <c r="H2744" s="138" t="n">
        <v>205</v>
      </c>
      <c r="I2744" s="138">
        <f>+I2743+(G2744-H2744)</f>
        <v/>
      </c>
      <c r="J2744" s="139" t="n">
        <v>40.667</v>
      </c>
      <c r="K2744" s="140" t="n"/>
      <c r="L2744" s="140">
        <f>+H2744*J2744</f>
        <v/>
      </c>
      <c r="M2744" s="141">
        <f>SUM(M2743+K2744-L2744)</f>
        <v/>
      </c>
    </row>
    <row r="2745">
      <c r="A2745" s="20" t="n">
        <v>45810</v>
      </c>
      <c r="B2745" s="21" t="n">
        <v>10888</v>
      </c>
      <c r="C2745" s="22" t="inlineStr">
        <is>
          <t>SELİM İNŞAAT</t>
        </is>
      </c>
      <c r="D2745" s="21" t="inlineStr">
        <is>
          <t>34 AR 7743</t>
        </is>
      </c>
      <c r="E2745" s="21" t="inlineStr">
        <is>
          <t>MEHMET SELİM</t>
        </is>
      </c>
      <c r="F2745" s="23" t="n">
        <v>356608</v>
      </c>
      <c r="G2745" s="138" t="n"/>
      <c r="H2745" s="138" t="n">
        <v>64</v>
      </c>
      <c r="I2745" s="138">
        <f>+I2744+(G2745-H2745)</f>
        <v/>
      </c>
      <c r="J2745" s="139" t="n">
        <v>40.667</v>
      </c>
      <c r="K2745" s="140" t="n"/>
      <c r="L2745" s="140">
        <f>+H2745*J2745</f>
        <v/>
      </c>
      <c r="M2745" s="141">
        <f>SUM(M2744+K2745-L2745)</f>
        <v/>
      </c>
    </row>
    <row r="2746">
      <c r="A2746" s="20" t="n">
        <v>45810</v>
      </c>
      <c r="B2746" s="1" t="n">
        <v>15835</v>
      </c>
      <c r="C2746" s="2" t="inlineStr">
        <is>
          <t>VARLIK</t>
        </is>
      </c>
      <c r="D2746" s="1" t="inlineStr">
        <is>
          <t>SM 350</t>
        </is>
      </c>
      <c r="E2746" s="1" t="inlineStr">
        <is>
          <t>BAYRAM SANCAK</t>
        </is>
      </c>
      <c r="F2746" s="3" t="n"/>
      <c r="G2746" s="143" t="n"/>
      <c r="H2746" s="143" t="n">
        <v>249</v>
      </c>
      <c r="I2746" s="143">
        <f>+I2745+(G2746-H2746)</f>
        <v/>
      </c>
      <c r="J2746" s="144" t="n">
        <v>40.667</v>
      </c>
      <c r="K2746" s="145" t="n"/>
      <c r="L2746" s="140">
        <f>+H2746*J2746</f>
        <v/>
      </c>
      <c r="M2746" s="141">
        <f>SUM(M2745+K2746-L2746)</f>
        <v/>
      </c>
    </row>
    <row r="2747">
      <c r="A2747" s="20" t="n">
        <v>45810</v>
      </c>
      <c r="B2747" s="1" t="n">
        <v>15836</v>
      </c>
      <c r="C2747" s="2" t="inlineStr">
        <is>
          <t>VARLIK</t>
        </is>
      </c>
      <c r="D2747" s="1" t="inlineStr">
        <is>
          <t>SM 370</t>
        </is>
      </c>
      <c r="E2747" s="1" t="inlineStr">
        <is>
          <t>TEKİN ŞEYLAN</t>
        </is>
      </c>
      <c r="F2747" s="3" t="n"/>
      <c r="G2747" s="143" t="n"/>
      <c r="H2747" s="143" t="n">
        <v>566</v>
      </c>
      <c r="I2747" s="143">
        <f>+I2746+(G2747-H2747)</f>
        <v/>
      </c>
      <c r="J2747" s="144" t="n">
        <v>40.667</v>
      </c>
      <c r="K2747" s="145" t="n"/>
      <c r="L2747" s="140">
        <f>+H2747*J2747</f>
        <v/>
      </c>
      <c r="M2747" s="141">
        <f>SUM(M2746+K2747-L2747)</f>
        <v/>
      </c>
    </row>
    <row r="2748">
      <c r="A2748" s="20" t="n">
        <v>45810</v>
      </c>
      <c r="B2748" s="1" t="n">
        <v>15837</v>
      </c>
      <c r="C2748" s="2" t="inlineStr">
        <is>
          <t>VARLIK</t>
        </is>
      </c>
      <c r="D2748" s="1" t="inlineStr">
        <is>
          <t>SM 300</t>
        </is>
      </c>
      <c r="E2748" s="1" t="inlineStr">
        <is>
          <t>TURGUT SANCAK</t>
        </is>
      </c>
      <c r="F2748" s="3" t="n"/>
      <c r="G2748" s="143" t="n"/>
      <c r="H2748" s="143" t="n">
        <v>395</v>
      </c>
      <c r="I2748" s="143">
        <f>+I2747+(G2748-H2748)</f>
        <v/>
      </c>
      <c r="J2748" s="144" t="n">
        <v>40.667</v>
      </c>
      <c r="K2748" s="145" t="n"/>
      <c r="L2748" s="140">
        <f>+H2748*J2748</f>
        <v/>
      </c>
      <c r="M2748" s="141">
        <f>SUM(M2747+K2748-L2748)</f>
        <v/>
      </c>
    </row>
    <row r="2749">
      <c r="A2749" s="20" t="n">
        <v>45810</v>
      </c>
      <c r="B2749" s="1" t="n">
        <v>15838</v>
      </c>
      <c r="C2749" s="2" t="inlineStr">
        <is>
          <t>CEVİZ MOBİLYA</t>
        </is>
      </c>
      <c r="D2749" s="1" t="inlineStr">
        <is>
          <t>SM 350</t>
        </is>
      </c>
      <c r="E2749" s="1" t="inlineStr">
        <is>
          <t>TEVFİK ÖZTÜRK</t>
        </is>
      </c>
      <c r="F2749" s="3" t="n"/>
      <c r="G2749" s="143" t="n"/>
      <c r="H2749" s="143" t="n">
        <v>316</v>
      </c>
      <c r="I2749" s="143">
        <f>+I2748+(G2749-H2749)</f>
        <v/>
      </c>
      <c r="J2749" s="144" t="n">
        <v>40.667</v>
      </c>
      <c r="K2749" s="145" t="n"/>
      <c r="L2749" s="140">
        <f>+H2749*J2749</f>
        <v/>
      </c>
      <c r="M2749" s="141">
        <f>SUM(M2748+K2749-L2749)</f>
        <v/>
      </c>
    </row>
    <row r="2750">
      <c r="A2750" s="20" t="n">
        <v>45811</v>
      </c>
      <c r="B2750" s="21" t="n">
        <v>716</v>
      </c>
      <c r="C2750" s="22" t="inlineStr">
        <is>
          <t>ÜNSOY TURİZM İNŞ.SAN.VE TİC.A.Ş.</t>
        </is>
      </c>
      <c r="D2750" s="21" t="n"/>
      <c r="E2750" s="21" t="n"/>
      <c r="F2750" s="23" t="n"/>
      <c r="G2750" s="138" t="n">
        <v>32376</v>
      </c>
      <c r="H2750" s="138" t="n"/>
      <c r="I2750" s="138">
        <f>+I2749+(G2750-H2750)</f>
        <v/>
      </c>
      <c r="J2750" s="139">
        <f>+K2750/G2750</f>
        <v/>
      </c>
      <c r="K2750" s="140" t="n">
        <v>1282717.69</v>
      </c>
      <c r="L2750" s="140">
        <f>+H2750*J2750</f>
        <v/>
      </c>
      <c r="M2750" s="141">
        <f>SUM(M2749+K2750-L2750)</f>
        <v/>
      </c>
    </row>
    <row r="2751">
      <c r="A2751" s="20" t="n">
        <v>45811</v>
      </c>
      <c r="B2751" s="21" t="n">
        <v>3</v>
      </c>
      <c r="C2751" s="22" t="inlineStr">
        <is>
          <t>SELİM İNŞAAT</t>
        </is>
      </c>
      <c r="D2751" s="21" t="inlineStr">
        <is>
          <t>34 FBR 748</t>
        </is>
      </c>
      <c r="E2751" s="21" t="inlineStr">
        <is>
          <t>YAŞAR ÖZKAYA</t>
        </is>
      </c>
      <c r="F2751" s="23" t="n">
        <v>279073</v>
      </c>
      <c r="G2751" s="138" t="n"/>
      <c r="H2751" s="138" t="n">
        <v>410</v>
      </c>
      <c r="I2751" s="138">
        <f>+I2750+(G2751-H2751)</f>
        <v/>
      </c>
      <c r="J2751" s="139" t="n">
        <v>39.619</v>
      </c>
      <c r="K2751" s="140" t="n"/>
      <c r="L2751" s="140">
        <f>+H2751*J2751</f>
        <v/>
      </c>
      <c r="M2751" s="141">
        <f>SUM(M2750+K2751-L2751)</f>
        <v/>
      </c>
    </row>
    <row r="2752">
      <c r="A2752" s="20" t="n">
        <v>45811</v>
      </c>
      <c r="B2752" s="21" t="n">
        <v>10798</v>
      </c>
      <c r="C2752" s="22" t="inlineStr">
        <is>
          <t>SELİM İNŞAAT</t>
        </is>
      </c>
      <c r="D2752" s="21" t="inlineStr">
        <is>
          <t>34 FBR 705</t>
        </is>
      </c>
      <c r="E2752" s="21" t="inlineStr">
        <is>
          <t>MESUT GÜRLER</t>
        </is>
      </c>
      <c r="F2752" s="23" t="n">
        <v>313913</v>
      </c>
      <c r="G2752" s="138" t="n"/>
      <c r="H2752" s="138" t="n">
        <v>405</v>
      </c>
      <c r="I2752" s="138">
        <f>+I2751+(G2752-H2752)</f>
        <v/>
      </c>
      <c r="J2752" s="139" t="n">
        <v>39.619</v>
      </c>
      <c r="K2752" s="140" t="n"/>
      <c r="L2752" s="140">
        <f>+H2752*J2752</f>
        <v/>
      </c>
      <c r="M2752" s="141">
        <f>SUM(M2751+K2752-L2752)</f>
        <v/>
      </c>
    </row>
    <row r="2753">
      <c r="A2753" s="20" t="n">
        <v>45811</v>
      </c>
      <c r="B2753" s="21" t="n">
        <v>14085</v>
      </c>
      <c r="C2753" s="22" t="inlineStr">
        <is>
          <t>SELİM İNŞAAT</t>
        </is>
      </c>
      <c r="D2753" s="21" t="inlineStr">
        <is>
          <t>34 EDB 659</t>
        </is>
      </c>
      <c r="E2753" s="21" t="inlineStr">
        <is>
          <t>MEHMET SAİT ANIK</t>
        </is>
      </c>
      <c r="F2753" s="23" t="n">
        <v>339045</v>
      </c>
      <c r="G2753" s="138" t="n"/>
      <c r="H2753" s="138" t="n">
        <v>332</v>
      </c>
      <c r="I2753" s="138">
        <f>+I2752+(G2753-H2753)</f>
        <v/>
      </c>
      <c r="J2753" s="139" t="n">
        <v>39.619</v>
      </c>
      <c r="K2753" s="140" t="n"/>
      <c r="L2753" s="140">
        <f>+H2753*J2753</f>
        <v/>
      </c>
      <c r="M2753" s="141">
        <f>SUM(M2752+K2753-L2753)</f>
        <v/>
      </c>
    </row>
    <row r="2754">
      <c r="A2754" s="20" t="n">
        <v>45811</v>
      </c>
      <c r="B2754" s="21" t="n">
        <v>14484</v>
      </c>
      <c r="C2754" s="22" t="inlineStr">
        <is>
          <t>SELİM İNŞAAT</t>
        </is>
      </c>
      <c r="D2754" s="21" t="inlineStr">
        <is>
          <t>34 GUS 848</t>
        </is>
      </c>
      <c r="E2754" s="21" t="inlineStr">
        <is>
          <t>SERDAR BOZKURT</t>
        </is>
      </c>
      <c r="F2754" s="23" t="n">
        <v>191495</v>
      </c>
      <c r="G2754" s="138" t="n"/>
      <c r="H2754" s="138" t="n">
        <v>386</v>
      </c>
      <c r="I2754" s="138">
        <f>+I2753+(G2754-H2754)</f>
        <v/>
      </c>
      <c r="J2754" s="139" t="n">
        <v>39.619</v>
      </c>
      <c r="K2754" s="140" t="n"/>
      <c r="L2754" s="140">
        <f>+H2754*J2754</f>
        <v/>
      </c>
      <c r="M2754" s="141">
        <f>SUM(M2753+K2754-L2754)</f>
        <v/>
      </c>
    </row>
    <row r="2755">
      <c r="A2755" s="20" t="n">
        <v>45811</v>
      </c>
      <c r="B2755" s="21" t="n">
        <v>11647</v>
      </c>
      <c r="C2755" s="22" t="inlineStr">
        <is>
          <t>SELİM İNŞAAT</t>
        </is>
      </c>
      <c r="D2755" s="21" t="inlineStr">
        <is>
          <t>34 DTV 352</t>
        </is>
      </c>
      <c r="E2755" s="21" t="inlineStr">
        <is>
          <t>RASİM BARTU</t>
        </is>
      </c>
      <c r="F2755" s="23" t="n">
        <v>431603</v>
      </c>
      <c r="G2755" s="138" t="n"/>
      <c r="H2755" s="138" t="n">
        <v>419</v>
      </c>
      <c r="I2755" s="138">
        <f>+I2754+(G2755-H2755)</f>
        <v/>
      </c>
      <c r="J2755" s="139" t="n">
        <v>39.619</v>
      </c>
      <c r="K2755" s="140" t="n"/>
      <c r="L2755" s="140">
        <f>+H2755*J2755</f>
        <v/>
      </c>
      <c r="M2755" s="141">
        <f>SUM(M2754+K2755-L2755)</f>
        <v/>
      </c>
    </row>
    <row r="2756">
      <c r="A2756" s="20" t="n">
        <v>45811</v>
      </c>
      <c r="B2756" s="21" t="n">
        <v>21627</v>
      </c>
      <c r="C2756" s="22" t="inlineStr">
        <is>
          <t>SELİM İNŞAAT</t>
        </is>
      </c>
      <c r="D2756" s="21" t="inlineStr">
        <is>
          <t>34 DHC 467</t>
        </is>
      </c>
      <c r="E2756" s="21" t="inlineStr">
        <is>
          <t>ERSEL DERVİŞ</t>
        </is>
      </c>
      <c r="F2756" s="23" t="n">
        <v>403684</v>
      </c>
      <c r="G2756" s="138" t="n"/>
      <c r="H2756" s="138" t="n">
        <v>456</v>
      </c>
      <c r="I2756" s="138">
        <f>+I2755+(G2756-H2756)</f>
        <v/>
      </c>
      <c r="J2756" s="139" t="n">
        <v>39.619</v>
      </c>
      <c r="K2756" s="140" t="n"/>
      <c r="L2756" s="140">
        <f>+H2756*J2756</f>
        <v/>
      </c>
      <c r="M2756" s="141">
        <f>SUM(M2755+K2756-L2756)</f>
        <v/>
      </c>
    </row>
    <row r="2757">
      <c r="A2757" s="20" t="n">
        <v>45811</v>
      </c>
      <c r="B2757" s="21" t="n">
        <v>14428</v>
      </c>
      <c r="C2757" s="22" t="inlineStr">
        <is>
          <t>SELİM İNŞAAT</t>
        </is>
      </c>
      <c r="D2757" s="21" t="inlineStr">
        <is>
          <t>34 EGR 737</t>
        </is>
      </c>
      <c r="E2757" s="21" t="inlineStr">
        <is>
          <t>CEM MUHTAR</t>
        </is>
      </c>
      <c r="F2757" s="23" t="n">
        <v>412517</v>
      </c>
      <c r="G2757" s="138" t="n"/>
      <c r="H2757" s="138" t="n">
        <v>483</v>
      </c>
      <c r="I2757" s="138">
        <f>+I2756+(G2757-H2757)</f>
        <v/>
      </c>
      <c r="J2757" s="139" t="n">
        <v>39.619</v>
      </c>
      <c r="K2757" s="140" t="n"/>
      <c r="L2757" s="140">
        <f>+H2757*J2757</f>
        <v/>
      </c>
      <c r="M2757" s="141">
        <f>SUM(M2756+K2757-L2757)</f>
        <v/>
      </c>
    </row>
    <row r="2758">
      <c r="A2758" s="20" t="n">
        <v>45811</v>
      </c>
      <c r="B2758" s="21" t="n">
        <v>10433</v>
      </c>
      <c r="C2758" s="22" t="inlineStr">
        <is>
          <t>SELİM İNŞAAT</t>
        </is>
      </c>
      <c r="D2758" s="21" t="inlineStr">
        <is>
          <t>34 DSN 536</t>
        </is>
      </c>
      <c r="E2758" s="21" t="inlineStr">
        <is>
          <t>DURSUN ALİ GÜREK</t>
        </is>
      </c>
      <c r="F2758" s="23" t="n">
        <v>404432</v>
      </c>
      <c r="G2758" s="138" t="n"/>
      <c r="H2758" s="138" t="n">
        <v>372</v>
      </c>
      <c r="I2758" s="138">
        <f>+I2757+(G2758-H2758)</f>
        <v/>
      </c>
      <c r="J2758" s="139" t="n">
        <v>39.619</v>
      </c>
      <c r="K2758" s="140" t="n"/>
      <c r="L2758" s="140">
        <f>+H2758*J2758</f>
        <v/>
      </c>
      <c r="M2758" s="141">
        <f>SUM(M2757+K2758-L2758)</f>
        <v/>
      </c>
    </row>
    <row r="2759">
      <c r="A2759" s="20" t="n">
        <v>45811</v>
      </c>
      <c r="B2759" s="21" t="n">
        <v>15053</v>
      </c>
      <c r="C2759" s="22" t="inlineStr">
        <is>
          <t>SELİM İNŞAAT</t>
        </is>
      </c>
      <c r="D2759" s="21" t="inlineStr">
        <is>
          <t>34 EGR 736</t>
        </is>
      </c>
      <c r="E2759" s="21" t="inlineStr">
        <is>
          <t>HAKAN ÇAVUŞOĞLU</t>
        </is>
      </c>
      <c r="F2759" s="23" t="n">
        <v>388458</v>
      </c>
      <c r="G2759" s="138" t="n"/>
      <c r="H2759" s="138" t="n">
        <v>545</v>
      </c>
      <c r="I2759" s="138">
        <f>+I2758+(G2759-H2759)</f>
        <v/>
      </c>
      <c r="J2759" s="139" t="n">
        <v>39.619</v>
      </c>
      <c r="K2759" s="140" t="n"/>
      <c r="L2759" s="140">
        <f>+H2759*J2759</f>
        <v/>
      </c>
      <c r="M2759" s="141">
        <f>SUM(M2758+K2759-L2759)</f>
        <v/>
      </c>
    </row>
    <row r="2760">
      <c r="A2760" s="20" t="n">
        <v>45811</v>
      </c>
      <c r="B2760" s="21" t="n">
        <v>10547</v>
      </c>
      <c r="C2760" s="22" t="inlineStr">
        <is>
          <t>SELİM İNŞAAT</t>
        </is>
      </c>
      <c r="D2760" s="21" t="inlineStr">
        <is>
          <t>34 EDB 922</t>
        </is>
      </c>
      <c r="E2760" s="21" t="inlineStr">
        <is>
          <t>AHMET TOPÇU</t>
        </is>
      </c>
      <c r="F2760" s="23" t="n">
        <v>360685</v>
      </c>
      <c r="G2760" s="138" t="n"/>
      <c r="H2760" s="138" t="n">
        <v>332</v>
      </c>
      <c r="I2760" s="138">
        <f>+I2759+(G2760-H2760)</f>
        <v/>
      </c>
      <c r="J2760" s="139" t="n">
        <v>39.619</v>
      </c>
      <c r="K2760" s="140" t="n"/>
      <c r="L2760" s="140">
        <f>+H2760*J2760</f>
        <v/>
      </c>
      <c r="M2760" s="141">
        <f>SUM(M2759+K2760-L2760)</f>
        <v/>
      </c>
    </row>
    <row r="2761">
      <c r="A2761" s="20" t="n">
        <v>45811</v>
      </c>
      <c r="B2761" s="21" t="n">
        <v>11744</v>
      </c>
      <c r="C2761" s="22" t="inlineStr">
        <is>
          <t>SELİM İNŞAAT</t>
        </is>
      </c>
      <c r="D2761" s="21" t="inlineStr">
        <is>
          <t>34 EDB 559</t>
        </is>
      </c>
      <c r="E2761" s="21" t="inlineStr">
        <is>
          <t>FUAT AYKUL</t>
        </is>
      </c>
      <c r="F2761" s="23" t="n">
        <v>321705</v>
      </c>
      <c r="G2761" s="138" t="n"/>
      <c r="H2761" s="138" t="n">
        <v>426</v>
      </c>
      <c r="I2761" s="138">
        <f>+I2760+(G2761-H2761)</f>
        <v/>
      </c>
      <c r="J2761" s="139" t="n">
        <v>39.619</v>
      </c>
      <c r="K2761" s="140" t="n"/>
      <c r="L2761" s="140">
        <f>+H2761*J2761</f>
        <v/>
      </c>
      <c r="M2761" s="141">
        <f>SUM(M2760+K2761-L2761)</f>
        <v/>
      </c>
    </row>
    <row r="2762">
      <c r="A2762" s="20" t="n">
        <v>45811</v>
      </c>
      <c r="B2762" s="21" t="n">
        <v>14036</v>
      </c>
      <c r="C2762" s="22" t="inlineStr">
        <is>
          <t>SELİM İNŞAAT</t>
        </is>
      </c>
      <c r="D2762" s="21" t="inlineStr">
        <is>
          <t>34 GUS 310</t>
        </is>
      </c>
      <c r="E2762" s="21" t="inlineStr">
        <is>
          <t>CELAL YÜZBAŞI</t>
        </is>
      </c>
      <c r="F2762" s="23" t="n">
        <v>196670</v>
      </c>
      <c r="G2762" s="138" t="n"/>
      <c r="H2762" s="138" t="n">
        <v>310</v>
      </c>
      <c r="I2762" s="138">
        <f>+I2761+(G2762-H2762)</f>
        <v/>
      </c>
      <c r="J2762" s="139" t="n">
        <v>39.619</v>
      </c>
      <c r="K2762" s="140" t="n"/>
      <c r="L2762" s="140">
        <f>+H2762*J2762</f>
        <v/>
      </c>
      <c r="M2762" s="141">
        <f>SUM(M2761+K2762-L2762)</f>
        <v/>
      </c>
    </row>
    <row r="2763">
      <c r="A2763" s="20" t="n">
        <v>45811</v>
      </c>
      <c r="B2763" s="21" t="n">
        <v>11487</v>
      </c>
      <c r="C2763" s="22" t="inlineStr">
        <is>
          <t>SELİM İNŞAAT</t>
        </is>
      </c>
      <c r="D2763" s="21" t="inlineStr">
        <is>
          <t>34 EGR 922</t>
        </is>
      </c>
      <c r="E2763" s="21" t="inlineStr">
        <is>
          <t>FARUK ÖZEN</t>
        </is>
      </c>
      <c r="F2763" s="23" t="n">
        <v>453532</v>
      </c>
      <c r="G2763" s="138" t="n"/>
      <c r="H2763" s="138" t="n">
        <v>549</v>
      </c>
      <c r="I2763" s="138">
        <f>+I2762+(G2763-H2763)</f>
        <v/>
      </c>
      <c r="J2763" s="139" t="n">
        <v>39.619</v>
      </c>
      <c r="K2763" s="140" t="n"/>
      <c r="L2763" s="140">
        <f>+H2763*J2763</f>
        <v/>
      </c>
      <c r="M2763" s="141">
        <f>SUM(M2762+K2763-L2763)</f>
        <v/>
      </c>
    </row>
    <row r="2764">
      <c r="A2764" s="20" t="n">
        <v>45811</v>
      </c>
      <c r="B2764" s="21" t="n">
        <v>14632</v>
      </c>
      <c r="C2764" s="22" t="inlineStr">
        <is>
          <t>SELİM İNŞAAT</t>
        </is>
      </c>
      <c r="D2764" s="21" t="inlineStr">
        <is>
          <t>34 GER 445</t>
        </is>
      </c>
      <c r="E2764" s="21" t="inlineStr">
        <is>
          <t>HASAN BAYCAN</t>
        </is>
      </c>
      <c r="F2764" s="23" t="n">
        <v>42429</v>
      </c>
      <c r="G2764" s="138" t="n"/>
      <c r="H2764" s="138" t="n">
        <v>217</v>
      </c>
      <c r="I2764" s="138">
        <f>+I2763+(G2764-H2764)</f>
        <v/>
      </c>
      <c r="J2764" s="139" t="n">
        <v>39.619</v>
      </c>
      <c r="K2764" s="140" t="n"/>
      <c r="L2764" s="140">
        <f>+H2764*J2764</f>
        <v/>
      </c>
      <c r="M2764" s="141">
        <f>SUM(M2763+K2764-L2764)</f>
        <v/>
      </c>
    </row>
    <row r="2765">
      <c r="A2765" s="20" t="n">
        <v>45811</v>
      </c>
      <c r="B2765" s="21" t="n">
        <v>21327</v>
      </c>
      <c r="C2765" s="22" t="inlineStr">
        <is>
          <t>SELİM İNŞAAT</t>
        </is>
      </c>
      <c r="D2765" s="21" t="inlineStr">
        <is>
          <t>34 FEM 934</t>
        </is>
      </c>
      <c r="E2765" s="21" t="inlineStr">
        <is>
          <t>TURAN SEVİNDİK</t>
        </is>
      </c>
      <c r="F2765" s="23" t="n">
        <v>309480</v>
      </c>
      <c r="G2765" s="138" t="n"/>
      <c r="H2765" s="138" t="n">
        <v>79</v>
      </c>
      <c r="I2765" s="138">
        <f>+I2764+(G2765-H2765)</f>
        <v/>
      </c>
      <c r="J2765" s="139" t="n">
        <v>39.619</v>
      </c>
      <c r="K2765" s="140" t="n"/>
      <c r="L2765" s="140">
        <f>+H2765*J2765</f>
        <v/>
      </c>
      <c r="M2765" s="141">
        <f>SUM(M2764+K2765-L2765)</f>
        <v/>
      </c>
    </row>
    <row r="2766">
      <c r="A2766" s="20" t="n">
        <v>45811</v>
      </c>
      <c r="B2766" s="21" t="n">
        <v>105581</v>
      </c>
      <c r="C2766" s="22" t="inlineStr">
        <is>
          <t>SELİM İNŞAAT</t>
        </is>
      </c>
      <c r="D2766" s="21" t="inlineStr">
        <is>
          <t>34 GU 945</t>
        </is>
      </c>
      <c r="E2766" s="21" t="inlineStr">
        <is>
          <t>ŞERİF KARTAL</t>
        </is>
      </c>
      <c r="F2766" s="23" t="n">
        <v>447149</v>
      </c>
      <c r="G2766" s="138" t="n"/>
      <c r="H2766" s="138" t="n">
        <v>65</v>
      </c>
      <c r="I2766" s="138">
        <f>+I2765+(G2766-H2766)</f>
        <v/>
      </c>
      <c r="J2766" s="139" t="n">
        <v>39.619</v>
      </c>
      <c r="K2766" s="140" t="n"/>
      <c r="L2766" s="140">
        <f>+H2766*J2766</f>
        <v/>
      </c>
      <c r="M2766" s="141">
        <f>SUM(M2765+K2766-L2766)</f>
        <v/>
      </c>
    </row>
    <row r="2767">
      <c r="A2767" s="20" t="n">
        <v>45811</v>
      </c>
      <c r="B2767" s="21" t="n">
        <v>14735</v>
      </c>
      <c r="C2767" s="22" t="inlineStr">
        <is>
          <t>METİN ERYİĞİT</t>
        </is>
      </c>
      <c r="D2767" s="21" t="inlineStr">
        <is>
          <t>34 GBL 998</t>
        </is>
      </c>
      <c r="E2767" s="21" t="inlineStr">
        <is>
          <t>ALİ KESKİN</t>
        </is>
      </c>
      <c r="F2767" s="23" t="n">
        <v>266933</v>
      </c>
      <c r="G2767" s="138" t="n"/>
      <c r="H2767" s="138" t="n">
        <v>344</v>
      </c>
      <c r="I2767" s="138">
        <f>+I2766+(G2767-H2767)</f>
        <v/>
      </c>
      <c r="J2767" s="139" t="n">
        <v>39.619</v>
      </c>
      <c r="K2767" s="140" t="n"/>
      <c r="L2767" s="140">
        <f>+H2767*J2767</f>
        <v/>
      </c>
      <c r="M2767" s="141">
        <f>SUM(M2766+K2767-L2767)</f>
        <v/>
      </c>
    </row>
    <row r="2768">
      <c r="A2768" s="20" t="n">
        <v>45811</v>
      </c>
      <c r="B2768" s="21" t="n">
        <v>15661</v>
      </c>
      <c r="C2768" s="22" t="inlineStr">
        <is>
          <t>METİN ERYİĞİT</t>
        </is>
      </c>
      <c r="D2768" s="21" t="inlineStr">
        <is>
          <t>34 EGR 814</t>
        </is>
      </c>
      <c r="E2768" s="21" t="inlineStr">
        <is>
          <t>GÜRAY KOYUNCU</t>
        </is>
      </c>
      <c r="F2768" s="23" t="n">
        <v>540803</v>
      </c>
      <c r="G2768" s="138" t="n"/>
      <c r="H2768" s="138" t="n">
        <v>408</v>
      </c>
      <c r="I2768" s="138">
        <f>+I2767+(G2768-H2768)</f>
        <v/>
      </c>
      <c r="J2768" s="139" t="n">
        <v>39.619</v>
      </c>
      <c r="K2768" s="140" t="n"/>
      <c r="L2768" s="140">
        <f>+H2768*J2768</f>
        <v/>
      </c>
      <c r="M2768" s="141">
        <f>SUM(M2767+K2768-L2768)</f>
        <v/>
      </c>
    </row>
    <row r="2769">
      <c r="A2769" s="20" t="n">
        <v>45811</v>
      </c>
      <c r="B2769" s="21" t="n">
        <v>14697</v>
      </c>
      <c r="C2769" s="22" t="inlineStr">
        <is>
          <t>AHMET SELİM TEMHA</t>
        </is>
      </c>
      <c r="D2769" s="21" t="inlineStr">
        <is>
          <t>FOKLİFT</t>
        </is>
      </c>
      <c r="E2769" s="21" t="inlineStr">
        <is>
          <t>OĞUZHAN AYDINLI</t>
        </is>
      </c>
      <c r="F2769" s="23" t="n"/>
      <c r="G2769" s="138" t="n"/>
      <c r="H2769" s="138" t="n">
        <v>29</v>
      </c>
      <c r="I2769" s="138">
        <f>+I2768+(G2769-H2769)</f>
        <v/>
      </c>
      <c r="J2769" s="139" t="n">
        <v>39.619</v>
      </c>
      <c r="K2769" s="140" t="n"/>
      <c r="L2769" s="140">
        <f>+H2769*J2769</f>
        <v/>
      </c>
      <c r="M2769" s="141">
        <f>SUM(M2768+K2769-L2769)</f>
        <v/>
      </c>
    </row>
    <row r="2770">
      <c r="A2770" s="20" t="n">
        <v>45811</v>
      </c>
      <c r="B2770" s="21" t="n">
        <v>14698</v>
      </c>
      <c r="C2770" s="22" t="inlineStr">
        <is>
          <t>SELİM İNŞAAT</t>
        </is>
      </c>
      <c r="D2770" s="21" t="inlineStr">
        <is>
          <t>34 FVU 827</t>
        </is>
      </c>
      <c r="E2770" s="21" t="inlineStr">
        <is>
          <t>YILMAZ ÇELEBİ</t>
        </is>
      </c>
      <c r="F2770" s="23" t="n"/>
      <c r="G2770" s="138" t="n"/>
      <c r="H2770" s="138" t="n">
        <v>40</v>
      </c>
      <c r="I2770" s="138">
        <f>+I2769+(G2770-H2770)</f>
        <v/>
      </c>
      <c r="J2770" s="139" t="n">
        <v>39.619</v>
      </c>
      <c r="K2770" s="140" t="n"/>
      <c r="L2770" s="140">
        <f>+H2770*J2770</f>
        <v/>
      </c>
      <c r="M2770" s="141">
        <f>SUM(M2769+K2770-L2770)</f>
        <v/>
      </c>
    </row>
    <row r="2771">
      <c r="A2771" s="20" t="n">
        <v>45811</v>
      </c>
      <c r="B2771" s="21" t="n">
        <v>8864</v>
      </c>
      <c r="C2771" s="22" t="inlineStr">
        <is>
          <t>MAHMUT VİNÇ</t>
        </is>
      </c>
      <c r="D2771" s="21" t="inlineStr">
        <is>
          <t>34 AH 5401</t>
        </is>
      </c>
      <c r="E2771" s="21" t="inlineStr">
        <is>
          <t>YASİN DEMİR</t>
        </is>
      </c>
      <c r="F2771" s="23" t="n"/>
      <c r="G2771" s="138" t="n"/>
      <c r="H2771" s="138" t="n">
        <v>86</v>
      </c>
      <c r="I2771" s="138">
        <f>+I2770+(G2771-H2771)</f>
        <v/>
      </c>
      <c r="J2771" s="139" t="n">
        <v>39.619</v>
      </c>
      <c r="K2771" s="140" t="n"/>
      <c r="L2771" s="140">
        <f>+H2771*J2771</f>
        <v/>
      </c>
      <c r="M2771" s="141">
        <f>SUM(M2770+K2771-L2771)</f>
        <v/>
      </c>
    </row>
    <row r="2772">
      <c r="A2772" s="20" t="n">
        <v>45811</v>
      </c>
      <c r="B2772" s="1" t="n">
        <v>15839</v>
      </c>
      <c r="C2772" s="2" t="inlineStr">
        <is>
          <t>VARLIK</t>
        </is>
      </c>
      <c r="D2772" s="1" t="inlineStr">
        <is>
          <t>KAVAZAKİ</t>
        </is>
      </c>
      <c r="E2772" s="1" t="inlineStr">
        <is>
          <t>UFUK SEVAL</t>
        </is>
      </c>
      <c r="F2772" s="3" t="n"/>
      <c r="G2772" s="143" t="n"/>
      <c r="H2772" s="143" t="n">
        <v>200</v>
      </c>
      <c r="I2772" s="143">
        <f>+I2771+(G2772-H2772)</f>
        <v/>
      </c>
      <c r="J2772" s="144" t="n">
        <v>39.619</v>
      </c>
      <c r="K2772" s="145" t="n"/>
      <c r="L2772" s="140">
        <f>+H2772*J2772</f>
        <v/>
      </c>
      <c r="M2772" s="141">
        <f>SUM(M2771+K2772-L2772)</f>
        <v/>
      </c>
    </row>
    <row r="2773">
      <c r="A2773" s="20" t="n">
        <v>45811</v>
      </c>
      <c r="B2773" s="1" t="n">
        <v>15840</v>
      </c>
      <c r="C2773" s="2" t="inlineStr">
        <is>
          <t>CEVİZ MOBİLYA</t>
        </is>
      </c>
      <c r="D2773" s="1" t="inlineStr">
        <is>
          <t>SM 350</t>
        </is>
      </c>
      <c r="E2773" s="1" t="inlineStr">
        <is>
          <t>TEVFİK ÖZTÜRK</t>
        </is>
      </c>
      <c r="F2773" s="3" t="n"/>
      <c r="G2773" s="143" t="n"/>
      <c r="H2773" s="143" t="n">
        <v>268</v>
      </c>
      <c r="I2773" s="143">
        <f>+I2772+(G2773-H2773)</f>
        <v/>
      </c>
      <c r="J2773" s="144" t="n">
        <v>39.619</v>
      </c>
      <c r="K2773" s="145" t="n"/>
      <c r="L2773" s="140">
        <f>+H2773*J2773</f>
        <v/>
      </c>
      <c r="M2773" s="141">
        <f>SUM(M2772+K2773-L2773)</f>
        <v/>
      </c>
    </row>
    <row r="2774">
      <c r="A2774" s="20" t="n">
        <v>45818</v>
      </c>
      <c r="B2774" s="21" t="n">
        <v>21328</v>
      </c>
      <c r="C2774" s="22" t="inlineStr">
        <is>
          <t>SELİM İNŞAAT</t>
        </is>
      </c>
      <c r="D2774" s="21" t="inlineStr">
        <is>
          <t>34 FEM 934</t>
        </is>
      </c>
      <c r="E2774" s="21" t="inlineStr">
        <is>
          <t>TURAN SEVİNDİK</t>
        </is>
      </c>
      <c r="F2774" s="23" t="n">
        <v>309957</v>
      </c>
      <c r="G2774" s="138" t="n"/>
      <c r="H2774" s="138" t="n">
        <v>68</v>
      </c>
      <c r="I2774" s="138">
        <f>+I2773+(G2774-H2774)</f>
        <v/>
      </c>
      <c r="J2774" s="139" t="n">
        <v>39.619</v>
      </c>
      <c r="K2774" s="140" t="n"/>
      <c r="L2774" s="140">
        <f>+H2774*J2774</f>
        <v/>
      </c>
      <c r="M2774" s="141">
        <f>SUM(M2773+K2774-L2774)</f>
        <v/>
      </c>
    </row>
    <row r="2775">
      <c r="A2775" s="20" t="n">
        <v>45819</v>
      </c>
      <c r="B2775" s="21" t="n">
        <v>740</v>
      </c>
      <c r="C2775" s="22" t="inlineStr">
        <is>
          <t>ÜNSOY TURİZM İNŞ.SAN.VE TİC.A.Ş.</t>
        </is>
      </c>
      <c r="D2775" s="21" t="n"/>
      <c r="E2775" s="21" t="n"/>
      <c r="F2775" s="23" t="n"/>
      <c r="G2775" s="138" t="n">
        <v>31326</v>
      </c>
      <c r="H2775" s="138" t="n"/>
      <c r="I2775" s="138">
        <f>+I2774+(G2775-H2775)</f>
        <v/>
      </c>
      <c r="J2775" s="139">
        <f>+K2775/G2775</f>
        <v/>
      </c>
      <c r="K2775" s="140" t="n">
        <v>1236962.87</v>
      </c>
      <c r="L2775" s="140">
        <f>+H2775*J2775</f>
        <v/>
      </c>
      <c r="M2775" s="141">
        <f>SUM(M2774+K2775-L2775)</f>
        <v/>
      </c>
    </row>
    <row r="2776">
      <c r="A2776" s="20" t="n">
        <v>45819</v>
      </c>
      <c r="B2776" s="21" t="n">
        <v>10098</v>
      </c>
      <c r="C2776" s="22" t="inlineStr">
        <is>
          <t>SELİM İNŞAAT</t>
        </is>
      </c>
      <c r="D2776" s="21" t="inlineStr">
        <is>
          <t>34 FBR 771</t>
        </is>
      </c>
      <c r="E2776" s="21" t="inlineStr">
        <is>
          <t>HÜSEYİN AKÇİN</t>
        </is>
      </c>
      <c r="F2776" s="23" t="n">
        <v>317770</v>
      </c>
      <c r="G2776" s="138" t="n"/>
      <c r="H2776" s="138" t="n">
        <v>440</v>
      </c>
      <c r="I2776" s="138">
        <f>+I2775+(G2776-H2776)</f>
        <v/>
      </c>
      <c r="J2776" s="139" t="n">
        <v>39.487</v>
      </c>
      <c r="K2776" s="140" t="n"/>
      <c r="L2776" s="140">
        <f>+H2776*J2776</f>
        <v/>
      </c>
      <c r="M2776" s="141">
        <f>SUM(M2775+K2776-L2776)</f>
        <v/>
      </c>
    </row>
    <row r="2777">
      <c r="A2777" s="20" t="n">
        <v>45819</v>
      </c>
      <c r="B2777" s="21" t="n">
        <v>15020</v>
      </c>
      <c r="C2777" s="22" t="inlineStr">
        <is>
          <t>SELİM İNŞAAT</t>
        </is>
      </c>
      <c r="D2777" s="21" t="inlineStr">
        <is>
          <t>34 GVZ 199</t>
        </is>
      </c>
      <c r="E2777" s="21" t="inlineStr">
        <is>
          <t>VAHDET GÜRLER</t>
        </is>
      </c>
      <c r="F2777" s="23" t="n">
        <v>180046</v>
      </c>
      <c r="G2777" s="138" t="n"/>
      <c r="H2777" s="138" t="n">
        <v>394</v>
      </c>
      <c r="I2777" s="138">
        <f>+I2776+(G2777-H2777)</f>
        <v/>
      </c>
      <c r="J2777" s="139" t="n">
        <v>39.487</v>
      </c>
      <c r="K2777" s="140" t="n"/>
      <c r="L2777" s="140">
        <f>+H2777*J2777</f>
        <v/>
      </c>
      <c r="M2777" s="141">
        <f>SUM(M2776+K2777-L2777)</f>
        <v/>
      </c>
    </row>
    <row r="2778">
      <c r="A2778" s="20" t="n">
        <v>45819</v>
      </c>
      <c r="B2778" s="21" t="n">
        <v>15514</v>
      </c>
      <c r="C2778" s="22" t="inlineStr">
        <is>
          <t>SELİM İNŞAAT</t>
        </is>
      </c>
      <c r="D2778" s="21" t="inlineStr">
        <is>
          <t>34 EDC 086</t>
        </is>
      </c>
      <c r="E2778" s="21" t="inlineStr">
        <is>
          <t>ÖMER AĞAYAR</t>
        </is>
      </c>
      <c r="F2778" s="23" t="n">
        <v>324450</v>
      </c>
      <c r="G2778" s="138" t="n"/>
      <c r="H2778" s="138" t="n">
        <v>480</v>
      </c>
      <c r="I2778" s="138">
        <f>+I2777+(G2778-H2778)</f>
        <v/>
      </c>
      <c r="J2778" s="139" t="n">
        <v>39.487</v>
      </c>
      <c r="K2778" s="140" t="n"/>
      <c r="L2778" s="140">
        <f>+H2778*J2778</f>
        <v/>
      </c>
      <c r="M2778" s="141">
        <f>SUM(M2777+K2778-L2778)</f>
        <v/>
      </c>
    </row>
    <row r="2779">
      <c r="A2779" s="20" t="n">
        <v>45819</v>
      </c>
      <c r="B2779" s="21" t="n">
        <v>11225</v>
      </c>
      <c r="C2779" s="22" t="inlineStr">
        <is>
          <t>SELİM İNŞAAT</t>
        </is>
      </c>
      <c r="D2779" s="21" t="inlineStr">
        <is>
          <t>34 DSN 636</t>
        </is>
      </c>
      <c r="E2779" s="21" t="inlineStr">
        <is>
          <t>İLHAN YÜRÜK</t>
        </is>
      </c>
      <c r="F2779" s="23" t="n">
        <v>389245</v>
      </c>
      <c r="G2779" s="138" t="n"/>
      <c r="H2779" s="138" t="n">
        <v>545</v>
      </c>
      <c r="I2779" s="138">
        <f>+I2778+(G2779-H2779)</f>
        <v/>
      </c>
      <c r="J2779" s="139" t="n">
        <v>39.487</v>
      </c>
      <c r="K2779" s="140" t="n"/>
      <c r="L2779" s="140">
        <f>+H2779*J2779</f>
        <v/>
      </c>
      <c r="M2779" s="141">
        <f>SUM(M2778+K2779-L2779)</f>
        <v/>
      </c>
    </row>
    <row r="2780">
      <c r="A2780" s="20" t="n">
        <v>45819</v>
      </c>
      <c r="B2780" s="21" t="n">
        <v>15310</v>
      </c>
      <c r="C2780" s="22" t="inlineStr">
        <is>
          <t>SELİM İNŞAAT</t>
        </is>
      </c>
      <c r="D2780" s="21" t="inlineStr">
        <is>
          <t>34 EDC 162</t>
        </is>
      </c>
      <c r="E2780" s="21" t="inlineStr">
        <is>
          <t xml:space="preserve">YAKUP GÜNER </t>
        </is>
      </c>
      <c r="F2780" s="23" t="n">
        <v>368560</v>
      </c>
      <c r="G2780" s="138" t="n"/>
      <c r="H2780" s="138" t="n">
        <v>366</v>
      </c>
      <c r="I2780" s="138">
        <f>+I2779+(G2780-H2780)</f>
        <v/>
      </c>
      <c r="J2780" s="139" t="n">
        <v>39.487</v>
      </c>
      <c r="K2780" s="140" t="n"/>
      <c r="L2780" s="140">
        <f>+H2780*J2780</f>
        <v/>
      </c>
      <c r="M2780" s="141">
        <f>SUM(M2779+K2780-L2780)</f>
        <v/>
      </c>
    </row>
    <row r="2781">
      <c r="A2781" s="20" t="n">
        <v>45819</v>
      </c>
      <c r="B2781" s="21" t="n">
        <v>15353</v>
      </c>
      <c r="C2781" s="22" t="inlineStr">
        <is>
          <t>SELİM İNŞAAT</t>
        </is>
      </c>
      <c r="D2781" s="21" t="inlineStr">
        <is>
          <t>34 DTV 409</t>
        </is>
      </c>
      <c r="E2781" s="21" t="inlineStr">
        <is>
          <t>ONUR CANLI</t>
        </is>
      </c>
      <c r="F2781" s="23" t="n">
        <v>416054</v>
      </c>
      <c r="G2781" s="138" t="n"/>
      <c r="H2781" s="138" t="n">
        <v>440</v>
      </c>
      <c r="I2781" s="138">
        <f>+I2780+(G2781-H2781)</f>
        <v/>
      </c>
      <c r="J2781" s="139" t="n">
        <v>39.487</v>
      </c>
      <c r="K2781" s="140" t="n"/>
      <c r="L2781" s="140">
        <f>+H2781*J2781</f>
        <v/>
      </c>
      <c r="M2781" s="141">
        <f>SUM(M2780+K2781-L2781)</f>
        <v/>
      </c>
    </row>
    <row r="2782">
      <c r="A2782" s="20" t="n">
        <v>45819</v>
      </c>
      <c r="B2782" s="21" t="n">
        <v>14429</v>
      </c>
      <c r="C2782" s="22" t="inlineStr">
        <is>
          <t>SELİM İNŞAAT</t>
        </is>
      </c>
      <c r="D2782" s="21" t="inlineStr">
        <is>
          <t>34 EGR 737</t>
        </is>
      </c>
      <c r="E2782" s="21" t="inlineStr">
        <is>
          <t>CEM MUHTAR</t>
        </is>
      </c>
      <c r="F2782" s="23" t="n">
        <v>413</v>
      </c>
      <c r="G2782" s="138" t="n"/>
      <c r="H2782" s="138" t="n">
        <v>317</v>
      </c>
      <c r="I2782" s="138">
        <f>+I2781+(G2782-H2782)</f>
        <v/>
      </c>
      <c r="J2782" s="139" t="n">
        <v>39.487</v>
      </c>
      <c r="K2782" s="140" t="n"/>
      <c r="L2782" s="140">
        <f>+H2782*J2782</f>
        <v/>
      </c>
      <c r="M2782" s="141">
        <f>SUM(M2781+K2782-L2782)</f>
        <v/>
      </c>
    </row>
    <row r="2783">
      <c r="A2783" s="20" t="n">
        <v>45819</v>
      </c>
      <c r="B2783" s="21" t="n">
        <v>14822</v>
      </c>
      <c r="C2783" s="22" t="inlineStr">
        <is>
          <t>SELİM İNŞAAT</t>
        </is>
      </c>
      <c r="D2783" s="21" t="inlineStr">
        <is>
          <t>34 GVZ 268</t>
        </is>
      </c>
      <c r="E2783" s="21" t="inlineStr">
        <is>
          <t>KERİM KARAMAN</t>
        </is>
      </c>
      <c r="F2783" s="23" t="n">
        <v>192350</v>
      </c>
      <c r="G2783" s="138" t="n"/>
      <c r="H2783" s="138" t="n">
        <v>454</v>
      </c>
      <c r="I2783" s="138">
        <f>+I2782+(G2783-H2783)</f>
        <v/>
      </c>
      <c r="J2783" s="139" t="n">
        <v>39.487</v>
      </c>
      <c r="K2783" s="140" t="n"/>
      <c r="L2783" s="140">
        <f>+H2783*J2783</f>
        <v/>
      </c>
      <c r="M2783" s="141">
        <f>SUM(M2782+K2783-L2783)</f>
        <v/>
      </c>
    </row>
    <row r="2784">
      <c r="A2784" s="20" t="n">
        <v>45819</v>
      </c>
      <c r="B2784" s="21" t="n">
        <v>14235</v>
      </c>
      <c r="C2784" s="22" t="inlineStr">
        <is>
          <t>SELİM İNŞAAT</t>
        </is>
      </c>
      <c r="D2784" s="21" t="inlineStr">
        <is>
          <t xml:space="preserve">34 GUS 938 </t>
        </is>
      </c>
      <c r="E2784" s="21" t="inlineStr">
        <is>
          <t>MEHMET KAYA</t>
        </is>
      </c>
      <c r="F2784" s="23" t="n">
        <v>185568</v>
      </c>
      <c r="G2784" s="138" t="n"/>
      <c r="H2784" s="138" t="n">
        <v>356</v>
      </c>
      <c r="I2784" s="138">
        <f>+I2783+(G2784-H2784)</f>
        <v/>
      </c>
      <c r="J2784" s="139" t="n">
        <v>39.487</v>
      </c>
      <c r="K2784" s="140" t="n"/>
      <c r="L2784" s="140">
        <f>+H2784*J2784</f>
        <v/>
      </c>
      <c r="M2784" s="141">
        <f>SUM(M2783+K2784-L2784)</f>
        <v/>
      </c>
    </row>
    <row r="2785">
      <c r="A2785" s="20" t="n">
        <v>45819</v>
      </c>
      <c r="B2785" s="21" t="n">
        <v>10394</v>
      </c>
      <c r="C2785" s="22" t="inlineStr">
        <is>
          <t>SELİM İNŞAAT</t>
        </is>
      </c>
      <c r="D2785" s="21" t="inlineStr">
        <is>
          <t>34 DRU 690</t>
        </is>
      </c>
      <c r="E2785" s="21" t="inlineStr">
        <is>
          <t>MURAT DEMİRBAŞ</t>
        </is>
      </c>
      <c r="F2785" s="23" t="n">
        <v>415138</v>
      </c>
      <c r="G2785" s="138" t="n"/>
      <c r="H2785" s="138" t="n">
        <v>393</v>
      </c>
      <c r="I2785" s="138">
        <f>+I2784+(G2785-H2785)</f>
        <v/>
      </c>
      <c r="J2785" s="139" t="n">
        <v>39.487</v>
      </c>
      <c r="K2785" s="140" t="n"/>
      <c r="L2785" s="140">
        <f>+H2785*J2785</f>
        <v/>
      </c>
      <c r="M2785" s="141">
        <f>SUM(M2784+K2785-L2785)</f>
        <v/>
      </c>
    </row>
    <row r="2786">
      <c r="A2786" s="20" t="n">
        <v>45819</v>
      </c>
      <c r="B2786" s="21" t="n">
        <v>11839</v>
      </c>
      <c r="C2786" s="22" t="inlineStr">
        <is>
          <t>SELİM İNŞAAT</t>
        </is>
      </c>
      <c r="D2786" s="21" t="inlineStr">
        <is>
          <t>34 FSG 229</t>
        </is>
      </c>
      <c r="E2786" s="21" t="inlineStr">
        <is>
          <t>SİNAN TANRIVERDİ</t>
        </is>
      </c>
      <c r="F2786" s="23" t="n">
        <v>257008</v>
      </c>
      <c r="G2786" s="138" t="n"/>
      <c r="H2786" s="138" t="n">
        <v>483</v>
      </c>
      <c r="I2786" s="138">
        <f>+I2785+(G2786-H2786)</f>
        <v/>
      </c>
      <c r="J2786" s="139" t="n">
        <v>39.487</v>
      </c>
      <c r="K2786" s="140" t="n"/>
      <c r="L2786" s="140">
        <f>+H2786*J2786</f>
        <v/>
      </c>
      <c r="M2786" s="141">
        <f>SUM(M2785+K2786-L2786)</f>
        <v/>
      </c>
    </row>
    <row r="2787">
      <c r="A2787" s="20" t="n">
        <v>45819</v>
      </c>
      <c r="B2787" s="21" t="n">
        <v>14759</v>
      </c>
      <c r="C2787" s="22" t="inlineStr">
        <is>
          <t>SELİM İNŞAAT</t>
        </is>
      </c>
      <c r="D2787" s="21" t="inlineStr">
        <is>
          <t>34 GYZ 635</t>
        </is>
      </c>
      <c r="E2787" s="21" t="inlineStr">
        <is>
          <t>MURAT DEMİRBAŞ</t>
        </is>
      </c>
      <c r="F2787" s="23" t="n">
        <v>171514</v>
      </c>
      <c r="G2787" s="138" t="n"/>
      <c r="H2787" s="138" t="n">
        <v>444</v>
      </c>
      <c r="I2787" s="138">
        <f>+I2786+(G2787-H2787)</f>
        <v/>
      </c>
      <c r="J2787" s="139" t="n">
        <v>39.487</v>
      </c>
      <c r="K2787" s="140" t="n"/>
      <c r="L2787" s="140">
        <f>+H2787*J2787</f>
        <v/>
      </c>
      <c r="M2787" s="141">
        <f>SUM(M2786+K2787-L2787)</f>
        <v/>
      </c>
    </row>
    <row r="2788">
      <c r="A2788" s="20" t="n">
        <v>45819</v>
      </c>
      <c r="B2788" s="21" t="n">
        <v>15156</v>
      </c>
      <c r="C2788" s="22" t="inlineStr">
        <is>
          <t>SELİM İNŞAAT</t>
        </is>
      </c>
      <c r="D2788" s="21" t="inlineStr">
        <is>
          <t>34 DP 4161</t>
        </is>
      </c>
      <c r="E2788" s="21" t="inlineStr">
        <is>
          <t>RIFAT KARATAY</t>
        </is>
      </c>
      <c r="F2788" s="23" t="n">
        <v>286306</v>
      </c>
      <c r="G2788" s="138" t="n"/>
      <c r="H2788" s="138" t="n">
        <v>221</v>
      </c>
      <c r="I2788" s="138">
        <f>+I2787+(G2788-H2788)</f>
        <v/>
      </c>
      <c r="J2788" s="139" t="n">
        <v>39.487</v>
      </c>
      <c r="K2788" s="140" t="n"/>
      <c r="L2788" s="140">
        <f>+H2788*J2788</f>
        <v/>
      </c>
      <c r="M2788" s="141">
        <f>SUM(M2787+K2788-L2788)</f>
        <v/>
      </c>
    </row>
    <row r="2789">
      <c r="A2789" s="20" t="n">
        <v>45819</v>
      </c>
      <c r="B2789" s="21" t="n">
        <v>14529</v>
      </c>
      <c r="C2789" s="22" t="inlineStr">
        <is>
          <t>SELİM İNŞAAT</t>
        </is>
      </c>
      <c r="D2789" s="21" t="inlineStr">
        <is>
          <t>34 GER 028</t>
        </is>
      </c>
      <c r="E2789" s="21" t="inlineStr">
        <is>
          <t>A.KERİM ERGEN</t>
        </is>
      </c>
      <c r="F2789" s="23" t="n">
        <v>44218</v>
      </c>
      <c r="G2789" s="138" t="n"/>
      <c r="H2789" s="138" t="n">
        <v>165</v>
      </c>
      <c r="I2789" s="138">
        <f>+I2788+(G2789-H2789)</f>
        <v/>
      </c>
      <c r="J2789" s="139" t="n">
        <v>39.487</v>
      </c>
      <c r="K2789" s="140" t="n"/>
      <c r="L2789" s="140">
        <f>+H2789*J2789</f>
        <v/>
      </c>
      <c r="M2789" s="141">
        <f>SUM(M2788+K2789-L2789)</f>
        <v/>
      </c>
    </row>
    <row r="2790">
      <c r="A2790" s="20" t="n">
        <v>45819</v>
      </c>
      <c r="B2790" s="21" t="n">
        <v>21149</v>
      </c>
      <c r="C2790" s="22" t="inlineStr">
        <is>
          <t>SELİM İNŞAAT</t>
        </is>
      </c>
      <c r="D2790" s="21" t="inlineStr">
        <is>
          <t>34 TG 7869</t>
        </is>
      </c>
      <c r="E2790" s="21" t="inlineStr">
        <is>
          <t>GÖRKEM KARAYEL</t>
        </is>
      </c>
      <c r="F2790" s="23" t="n">
        <v>182527</v>
      </c>
      <c r="G2790" s="138" t="n"/>
      <c r="H2790" s="138" t="n">
        <v>318</v>
      </c>
      <c r="I2790" s="138">
        <f>+I2789+(G2790-H2790)</f>
        <v/>
      </c>
      <c r="J2790" s="139" t="n">
        <v>39.487</v>
      </c>
      <c r="K2790" s="140" t="n"/>
      <c r="L2790" s="140">
        <f>+H2790*J2790</f>
        <v/>
      </c>
      <c r="M2790" s="141">
        <f>SUM(M2789+K2790-L2790)</f>
        <v/>
      </c>
    </row>
    <row r="2791">
      <c r="A2791" s="20" t="n">
        <v>45819</v>
      </c>
      <c r="B2791" s="21" t="n">
        <v>14339</v>
      </c>
      <c r="C2791" s="22" t="inlineStr">
        <is>
          <t>SELİM İNŞAAT</t>
        </is>
      </c>
      <c r="D2791" s="21" t="inlineStr">
        <is>
          <t>34 DKL 866</t>
        </is>
      </c>
      <c r="E2791" s="21" t="inlineStr">
        <is>
          <t>SELİM CAN ÖNVER</t>
        </is>
      </c>
      <c r="F2791" s="23" t="n">
        <v>65679</v>
      </c>
      <c r="G2791" s="138" t="n"/>
      <c r="H2791" s="138" t="n">
        <v>276</v>
      </c>
      <c r="I2791" s="138">
        <f>+I2790+(G2791-H2791)</f>
        <v/>
      </c>
      <c r="J2791" s="139" t="n">
        <v>39.487</v>
      </c>
      <c r="K2791" s="140" t="n"/>
      <c r="L2791" s="140">
        <f>+H2791*J2791</f>
        <v/>
      </c>
      <c r="M2791" s="141">
        <f>SUM(M2790+K2791-L2791)</f>
        <v/>
      </c>
    </row>
    <row r="2792">
      <c r="A2792" s="20" t="n">
        <v>45819</v>
      </c>
      <c r="B2792" s="21" t="n">
        <v>14379</v>
      </c>
      <c r="C2792" s="22" t="inlineStr">
        <is>
          <t>SELİM İNŞAAT</t>
        </is>
      </c>
      <c r="D2792" s="21" t="inlineStr">
        <is>
          <t>34 DKL 798</t>
        </is>
      </c>
      <c r="E2792" s="21" t="inlineStr">
        <is>
          <t>VOLKAN YANAR</t>
        </is>
      </c>
      <c r="F2792" s="23" t="n">
        <v>65676</v>
      </c>
      <c r="G2792" s="138" t="n"/>
      <c r="H2792" s="138" t="n">
        <v>182</v>
      </c>
      <c r="I2792" s="138">
        <f>+I2791+(G2792-H2792)</f>
        <v/>
      </c>
      <c r="J2792" s="139" t="n">
        <v>39.487</v>
      </c>
      <c r="K2792" s="140" t="n"/>
      <c r="L2792" s="140">
        <f>+H2792*J2792</f>
        <v/>
      </c>
      <c r="M2792" s="141">
        <f>SUM(M2791+K2792-L2792)</f>
        <v/>
      </c>
    </row>
    <row r="2793">
      <c r="A2793" s="20" t="n">
        <v>45819</v>
      </c>
      <c r="B2793" s="21" t="n">
        <v>16741</v>
      </c>
      <c r="C2793" s="22" t="inlineStr">
        <is>
          <t>SELİM İNŞAAT</t>
        </is>
      </c>
      <c r="D2793" s="21" t="inlineStr">
        <is>
          <t>34 JBA 25</t>
        </is>
      </c>
      <c r="E2793" s="21" t="inlineStr">
        <is>
          <t>ABDURRAHMAN SERDAN</t>
        </is>
      </c>
      <c r="F2793" s="23" t="n">
        <v>334772</v>
      </c>
      <c r="G2793" s="138" t="n"/>
      <c r="H2793" s="138" t="n">
        <v>25</v>
      </c>
      <c r="I2793" s="138">
        <f>+I2792+(G2793-H2793)</f>
        <v/>
      </c>
      <c r="J2793" s="139" t="n">
        <v>39.487</v>
      </c>
      <c r="K2793" s="140" t="n"/>
      <c r="L2793" s="140">
        <f>+H2793*J2793</f>
        <v/>
      </c>
      <c r="M2793" s="141">
        <f>SUM(M2792+K2793-L2793)</f>
        <v/>
      </c>
    </row>
    <row r="2794">
      <c r="A2794" s="20" t="n">
        <v>45819</v>
      </c>
      <c r="B2794" s="21" t="n">
        <v>11372</v>
      </c>
      <c r="C2794" s="22" t="inlineStr">
        <is>
          <t>AZGÜN YAPI</t>
        </is>
      </c>
      <c r="D2794" s="21" t="inlineStr">
        <is>
          <t>34 MKT 593</t>
        </is>
      </c>
      <c r="E2794" s="21" t="inlineStr">
        <is>
          <t>İBRAHİM GÜLLÜK</t>
        </is>
      </c>
      <c r="F2794" s="23" t="n">
        <v>28840</v>
      </c>
      <c r="G2794" s="138" t="n"/>
      <c r="H2794" s="138" t="n">
        <v>992</v>
      </c>
      <c r="I2794" s="138">
        <f>+I2793+(G2794-H2794)</f>
        <v/>
      </c>
      <c r="J2794" s="139" t="n">
        <v>39.487</v>
      </c>
      <c r="K2794" s="140" t="n"/>
      <c r="L2794" s="140">
        <f>+H2794*J2794</f>
        <v/>
      </c>
      <c r="M2794" s="141">
        <f>SUM(M2793+K2794-L2794)</f>
        <v/>
      </c>
    </row>
    <row r="2795">
      <c r="A2795" s="20" t="n">
        <v>45819</v>
      </c>
      <c r="B2795" s="21" t="n">
        <v>15607</v>
      </c>
      <c r="C2795" s="22" t="inlineStr">
        <is>
          <t>METİN ERYİĞİT</t>
        </is>
      </c>
      <c r="D2795" s="21" t="inlineStr">
        <is>
          <t>34 EGS 013</t>
        </is>
      </c>
      <c r="E2795" s="21" t="inlineStr">
        <is>
          <t xml:space="preserve">UĞUR DUMAN </t>
        </is>
      </c>
      <c r="F2795" s="23" t="n">
        <v>487227</v>
      </c>
      <c r="G2795" s="138" t="n"/>
      <c r="H2795" s="138" t="n">
        <v>374</v>
      </c>
      <c r="I2795" s="138">
        <f>+I2794+(G2795-H2795)</f>
        <v/>
      </c>
      <c r="J2795" s="139" t="n">
        <v>39.487</v>
      </c>
      <c r="K2795" s="140" t="n"/>
      <c r="L2795" s="140">
        <f>+H2795*J2795</f>
        <v/>
      </c>
      <c r="M2795" s="141">
        <f>SUM(M2794+K2795-L2795)</f>
        <v/>
      </c>
    </row>
    <row r="2796">
      <c r="A2796" s="20" t="n">
        <v>45819</v>
      </c>
      <c r="B2796" s="21" t="n">
        <v>14736</v>
      </c>
      <c r="C2796" s="22" t="inlineStr">
        <is>
          <t>METİN ERYİĞİT</t>
        </is>
      </c>
      <c r="D2796" s="21" t="inlineStr">
        <is>
          <t>34 GBL 998</t>
        </is>
      </c>
      <c r="E2796" s="21" t="inlineStr">
        <is>
          <t>ALİ KESKİN</t>
        </is>
      </c>
      <c r="F2796" s="23" t="n">
        <v>267049</v>
      </c>
      <c r="G2796" s="138" t="n"/>
      <c r="H2796" s="138" t="n">
        <v>123</v>
      </c>
      <c r="I2796" s="138">
        <f>+I2795+(G2796-H2796)</f>
        <v/>
      </c>
      <c r="J2796" s="139" t="n">
        <v>39.487</v>
      </c>
      <c r="K2796" s="140" t="n"/>
      <c r="L2796" s="140">
        <f>+H2796*J2796</f>
        <v/>
      </c>
      <c r="M2796" s="141">
        <f>SUM(M2795+K2796-L2796)</f>
        <v/>
      </c>
    </row>
    <row r="2797">
      <c r="A2797" s="20" t="n">
        <v>45819</v>
      </c>
      <c r="B2797" s="1" t="n">
        <v>15841</v>
      </c>
      <c r="C2797" s="2" t="inlineStr">
        <is>
          <t>VARLIK</t>
        </is>
      </c>
      <c r="D2797" s="1" t="inlineStr">
        <is>
          <t xml:space="preserve">SM 370 </t>
        </is>
      </c>
      <c r="E2797" s="1" t="inlineStr">
        <is>
          <t>RAMAZAN KAYA</t>
        </is>
      </c>
      <c r="F2797" s="3" t="n"/>
      <c r="G2797" s="143" t="n"/>
      <c r="H2797" s="143" t="n">
        <v>485</v>
      </c>
      <c r="I2797" s="143">
        <f>+I2796+(G2797-H2797)</f>
        <v/>
      </c>
      <c r="J2797" s="144" t="n">
        <v>39.487</v>
      </c>
      <c r="K2797" s="145" t="n"/>
      <c r="L2797" s="140">
        <f>+H2797*J2797</f>
        <v/>
      </c>
      <c r="M2797" s="141">
        <f>SUM(M2796+K2797-L2797)</f>
        <v/>
      </c>
    </row>
    <row r="2798">
      <c r="A2798" s="20" t="n">
        <v>45819</v>
      </c>
      <c r="B2798" s="1" t="n">
        <v>15842</v>
      </c>
      <c r="C2798" s="2" t="inlineStr">
        <is>
          <t>VARLIK</t>
        </is>
      </c>
      <c r="D2798" s="1" t="inlineStr">
        <is>
          <t>SM 350</t>
        </is>
      </c>
      <c r="E2798" s="1" t="inlineStr">
        <is>
          <t>BAYRAM SANCAK</t>
        </is>
      </c>
      <c r="F2798" s="3" t="n"/>
      <c r="G2798" s="143" t="n"/>
      <c r="H2798" s="143" t="n">
        <v>515</v>
      </c>
      <c r="I2798" s="143">
        <f>+I2797+(G2798-H2798)</f>
        <v/>
      </c>
      <c r="J2798" s="144" t="n">
        <v>39.487</v>
      </c>
      <c r="K2798" s="145" t="n"/>
      <c r="L2798" s="140">
        <f>+H2798*J2798</f>
        <v/>
      </c>
      <c r="M2798" s="141">
        <f>SUM(M2797+K2798-L2798)</f>
        <v/>
      </c>
    </row>
    <row r="2799">
      <c r="A2799" s="20" t="n">
        <v>45819</v>
      </c>
      <c r="B2799" s="1" t="n">
        <v>15843</v>
      </c>
      <c r="C2799" s="2" t="inlineStr">
        <is>
          <t>VARLIK</t>
        </is>
      </c>
      <c r="D2799" s="1" t="inlineStr">
        <is>
          <t>SM 300</t>
        </is>
      </c>
      <c r="E2799" s="1" t="inlineStr">
        <is>
          <t>EMİRCAN ÖZTÜRK</t>
        </is>
      </c>
      <c r="F2799" s="3" t="n"/>
      <c r="G2799" s="143" t="n"/>
      <c r="H2799" s="143" t="n">
        <v>350</v>
      </c>
      <c r="I2799" s="143">
        <f>+I2798+(G2799-H2799)</f>
        <v/>
      </c>
      <c r="J2799" s="144" t="n">
        <v>39.487</v>
      </c>
      <c r="K2799" s="145" t="n"/>
      <c r="L2799" s="140">
        <f>+H2799*J2799</f>
        <v/>
      </c>
      <c r="M2799" s="141">
        <f>SUM(M2798+K2799-L2799)</f>
        <v/>
      </c>
    </row>
    <row r="2800">
      <c r="A2800" s="20" t="n">
        <v>45819</v>
      </c>
      <c r="B2800" s="1" t="n">
        <v>15844</v>
      </c>
      <c r="C2800" s="2" t="inlineStr">
        <is>
          <t>VARLIK</t>
        </is>
      </c>
      <c r="D2800" s="1" t="inlineStr">
        <is>
          <t>KAVAZAKİ</t>
        </is>
      </c>
      <c r="E2800" s="1" t="inlineStr">
        <is>
          <t>UFUK SEVAL</t>
        </is>
      </c>
      <c r="F2800" s="3" t="n"/>
      <c r="G2800" s="143" t="n"/>
      <c r="H2800" s="143" t="n">
        <v>160</v>
      </c>
      <c r="I2800" s="143">
        <f>+I2799+(G2800-H2800)</f>
        <v/>
      </c>
      <c r="J2800" s="144" t="n">
        <v>39.487</v>
      </c>
      <c r="K2800" s="145" t="n"/>
      <c r="L2800" s="140">
        <f>+H2800*J2800</f>
        <v/>
      </c>
      <c r="M2800" s="141">
        <f>SUM(M2799+K2800-L2800)</f>
        <v/>
      </c>
    </row>
    <row r="2801">
      <c r="A2801" s="20" t="n">
        <v>45819</v>
      </c>
      <c r="B2801" s="1" t="n">
        <v>15845</v>
      </c>
      <c r="C2801" s="2" t="inlineStr">
        <is>
          <t>CEVİZ MOBİLYA</t>
        </is>
      </c>
      <c r="D2801" s="1" t="inlineStr">
        <is>
          <t xml:space="preserve">SM 350 </t>
        </is>
      </c>
      <c r="E2801" s="1" t="inlineStr">
        <is>
          <t>TEVFİK ÖZTÜRK</t>
        </is>
      </c>
      <c r="F2801" s="3" t="n"/>
      <c r="G2801" s="143" t="n"/>
      <c r="H2801" s="143" t="n">
        <v>521</v>
      </c>
      <c r="I2801" s="143">
        <f>+I2800+(G2801-H2801)</f>
        <v/>
      </c>
      <c r="J2801" s="144" t="n">
        <v>39.487</v>
      </c>
      <c r="K2801" s="145" t="n"/>
      <c r="L2801" s="140">
        <f>+H2801*J2801</f>
        <v/>
      </c>
      <c r="M2801" s="141">
        <f>SUM(M2800+K2801-L2801)</f>
        <v/>
      </c>
    </row>
    <row r="2802">
      <c r="A2802" s="20" t="n">
        <v>45820</v>
      </c>
      <c r="B2802" s="21" t="n">
        <v>303</v>
      </c>
      <c r="C2802" s="22" t="inlineStr">
        <is>
          <t>SELİM İNŞAAT</t>
        </is>
      </c>
      <c r="D2802" s="21" t="inlineStr">
        <is>
          <t>34 EDB 829</t>
        </is>
      </c>
      <c r="E2802" s="21" t="inlineStr">
        <is>
          <t>İSMET BAYRAM</t>
        </is>
      </c>
      <c r="F2802" s="23" t="n">
        <v>318325</v>
      </c>
      <c r="G2802" s="138" t="n"/>
      <c r="H2802" s="138" t="n">
        <v>385</v>
      </c>
      <c r="I2802" s="138">
        <f>+I2801+(G2802-H2802)</f>
        <v/>
      </c>
      <c r="J2802" s="139" t="n">
        <v>39.487</v>
      </c>
      <c r="K2802" s="140" t="n"/>
      <c r="L2802" s="140">
        <f>+H2802*J2802</f>
        <v/>
      </c>
      <c r="M2802" s="141">
        <f>SUM(M2801+K2802-L2802)</f>
        <v/>
      </c>
    </row>
    <row r="2803">
      <c r="A2803" s="20" t="n">
        <v>45820</v>
      </c>
      <c r="B2803" s="21" t="n">
        <v>4</v>
      </c>
      <c r="C2803" s="22" t="inlineStr">
        <is>
          <t>SELİM İNŞAAT</t>
        </is>
      </c>
      <c r="D2803" s="21" t="inlineStr">
        <is>
          <t>34 FBR 748</t>
        </is>
      </c>
      <c r="E2803" s="21" t="inlineStr">
        <is>
          <t>YAŞAR ÖZKAYA</t>
        </is>
      </c>
      <c r="F2803" s="23" t="n">
        <v>279808</v>
      </c>
      <c r="G2803" s="138" t="n"/>
      <c r="H2803" s="138" t="n">
        <v>444</v>
      </c>
      <c r="I2803" s="138">
        <f>+I2802+(G2803-H2803)</f>
        <v/>
      </c>
      <c r="J2803" s="139" t="n">
        <v>39.487</v>
      </c>
      <c r="K2803" s="140" t="n"/>
      <c r="L2803" s="140">
        <f>+H2803*J2803</f>
        <v/>
      </c>
      <c r="M2803" s="141">
        <f>SUM(M2802+K2803-L2803)</f>
        <v/>
      </c>
    </row>
    <row r="2804">
      <c r="A2804" s="20" t="n">
        <v>45820</v>
      </c>
      <c r="B2804" s="21" t="n">
        <v>10099</v>
      </c>
      <c r="C2804" s="22" t="inlineStr">
        <is>
          <t>SELİM İNŞAAT</t>
        </is>
      </c>
      <c r="D2804" s="21" t="inlineStr">
        <is>
          <t>34 FBR 771</t>
        </is>
      </c>
      <c r="E2804" s="21" t="inlineStr">
        <is>
          <t>HÜSEYİN AKÇİN</t>
        </is>
      </c>
      <c r="F2804" s="23" t="n">
        <v>318283</v>
      </c>
      <c r="G2804" s="138" t="n"/>
      <c r="H2804" s="138" t="n">
        <v>310</v>
      </c>
      <c r="I2804" s="138">
        <f>+I2803+(G2804-H2804)</f>
        <v/>
      </c>
      <c r="J2804" s="139" t="n">
        <v>39.487</v>
      </c>
      <c r="K2804" s="140" t="n"/>
      <c r="L2804" s="140">
        <f>+H2804*J2804</f>
        <v/>
      </c>
      <c r="M2804" s="141">
        <f>SUM(M2803+K2804-L2804)</f>
        <v/>
      </c>
    </row>
    <row r="2805">
      <c r="A2805" s="20" t="n">
        <v>45820</v>
      </c>
      <c r="B2805" s="21" t="n">
        <v>14086</v>
      </c>
      <c r="C2805" s="22" t="inlineStr">
        <is>
          <t>SELİM İNŞAAT</t>
        </is>
      </c>
      <c r="D2805" s="21" t="inlineStr">
        <is>
          <t>34 EDB 659</t>
        </is>
      </c>
      <c r="E2805" s="21" t="inlineStr">
        <is>
          <t>MEHMET SAİT ANIK</t>
        </is>
      </c>
      <c r="F2805" s="23" t="n">
        <v>339434</v>
      </c>
      <c r="G2805" s="138" t="n"/>
      <c r="H2805" s="138" t="n">
        <v>337</v>
      </c>
      <c r="I2805" s="138">
        <f>+I2804+(G2805-H2805)</f>
        <v/>
      </c>
      <c r="J2805" s="139" t="n">
        <v>39.487</v>
      </c>
      <c r="K2805" s="140" t="n"/>
      <c r="L2805" s="140">
        <f>+H2805*J2805</f>
        <v/>
      </c>
      <c r="M2805" s="141">
        <f>SUM(M2804+K2805-L2805)</f>
        <v/>
      </c>
    </row>
    <row r="2806">
      <c r="A2806" s="20" t="n">
        <v>45820</v>
      </c>
      <c r="B2806" s="21" t="n">
        <v>11947</v>
      </c>
      <c r="C2806" s="22" t="inlineStr">
        <is>
          <t>SELİM İNŞAAT</t>
        </is>
      </c>
      <c r="D2806" s="21" t="inlineStr">
        <is>
          <t>34 FBR 742</t>
        </is>
      </c>
      <c r="E2806" s="21" t="inlineStr">
        <is>
          <t>MİKAİL BAYILMAZ</t>
        </is>
      </c>
      <c r="F2806" s="23" t="n">
        <v>317908</v>
      </c>
      <c r="G2806" s="138" t="n"/>
      <c r="H2806" s="138" t="n">
        <v>475</v>
      </c>
      <c r="I2806" s="138">
        <f>+I2805+(G2806-H2806)</f>
        <v/>
      </c>
      <c r="J2806" s="139" t="n">
        <v>39.487</v>
      </c>
      <c r="K2806" s="140" t="n"/>
      <c r="L2806" s="140">
        <f>+H2806*J2806</f>
        <v/>
      </c>
      <c r="M2806" s="141">
        <f>SUM(M2805+K2806-L2806)</f>
        <v/>
      </c>
    </row>
    <row r="2807">
      <c r="A2807" s="20" t="n">
        <v>45820</v>
      </c>
      <c r="B2807" s="21" t="n">
        <v>14485</v>
      </c>
      <c r="C2807" s="22" t="inlineStr">
        <is>
          <t>SELİM İNŞAAT</t>
        </is>
      </c>
      <c r="D2807" s="21" t="inlineStr">
        <is>
          <t>34 GUS 848</t>
        </is>
      </c>
      <c r="E2807" s="21" t="inlineStr">
        <is>
          <t>SERDAR BOZKURT</t>
        </is>
      </c>
      <c r="F2807" s="23" t="n">
        <v>192009</v>
      </c>
      <c r="G2807" s="138" t="n"/>
      <c r="H2807" s="138" t="n">
        <v>326</v>
      </c>
      <c r="I2807" s="138">
        <f>+I2806+(G2807-H2807)</f>
        <v/>
      </c>
      <c r="J2807" s="139" t="n">
        <v>39.487</v>
      </c>
      <c r="K2807" s="140" t="n"/>
      <c r="L2807" s="140">
        <f>+H2807*J2807</f>
        <v/>
      </c>
      <c r="M2807" s="141">
        <f>SUM(M2806+K2807-L2807)</f>
        <v/>
      </c>
    </row>
    <row r="2808">
      <c r="A2808" s="20" t="n">
        <v>45820</v>
      </c>
      <c r="B2808" s="21" t="n">
        <v>15567</v>
      </c>
      <c r="C2808" s="22" t="inlineStr">
        <is>
          <t>SELİM İNŞAAT</t>
        </is>
      </c>
      <c r="D2808" s="21" t="inlineStr">
        <is>
          <t>34 GUS 745</t>
        </is>
      </c>
      <c r="E2808" s="21" t="inlineStr">
        <is>
          <t>MUHAMMED YİĞİT</t>
        </is>
      </c>
      <c r="F2808" s="23" t="n">
        <v>185363</v>
      </c>
      <c r="G2808" s="138" t="n"/>
      <c r="H2808" s="138" t="n">
        <v>468</v>
      </c>
      <c r="I2808" s="138">
        <f>+I2807+(G2808-H2808)</f>
        <v/>
      </c>
      <c r="J2808" s="139" t="n">
        <v>39.487</v>
      </c>
      <c r="K2808" s="140" t="n"/>
      <c r="L2808" s="140">
        <f>+H2808*J2808</f>
        <v/>
      </c>
      <c r="M2808" s="141">
        <f>SUM(M2807+K2808-L2808)</f>
        <v/>
      </c>
    </row>
    <row r="2809">
      <c r="A2809" s="20" t="n">
        <v>45820</v>
      </c>
      <c r="B2809" s="21" t="n">
        <v>21628</v>
      </c>
      <c r="C2809" s="22" t="inlineStr">
        <is>
          <t>SELİM İNŞAAT</t>
        </is>
      </c>
      <c r="D2809" s="21" t="inlineStr">
        <is>
          <t>34 DHC 467</t>
        </is>
      </c>
      <c r="E2809" s="21" t="inlineStr">
        <is>
          <t>ERSEL DERVİŞ</t>
        </is>
      </c>
      <c r="F2809" s="23" t="n">
        <v>404386</v>
      </c>
      <c r="G2809" s="138" t="n"/>
      <c r="H2809" s="138" t="n">
        <v>522</v>
      </c>
      <c r="I2809" s="138">
        <f>+I2808+(G2809-H2809)</f>
        <v/>
      </c>
      <c r="J2809" s="139" t="n">
        <v>39.487</v>
      </c>
      <c r="K2809" s="140" t="n"/>
      <c r="L2809" s="140">
        <f>+H2809*J2809</f>
        <v/>
      </c>
      <c r="M2809" s="141">
        <f>SUM(M2808+K2809-L2809)</f>
        <v/>
      </c>
    </row>
    <row r="2810">
      <c r="A2810" s="20" t="n">
        <v>45820</v>
      </c>
      <c r="B2810" s="21" t="n">
        <v>15956</v>
      </c>
      <c r="C2810" s="22" t="inlineStr">
        <is>
          <t>SELİM İNŞAAT</t>
        </is>
      </c>
      <c r="D2810" s="21" t="inlineStr">
        <is>
          <t>34 FBR 781</t>
        </is>
      </c>
      <c r="E2810" s="21" t="inlineStr">
        <is>
          <t>MEVLÜT POLAT</t>
        </is>
      </c>
      <c r="F2810" s="23" t="n">
        <v>302272</v>
      </c>
      <c r="G2810" s="138" t="n"/>
      <c r="H2810" s="138" t="n">
        <v>378</v>
      </c>
      <c r="I2810" s="138">
        <f>+I2809+(G2810-H2810)</f>
        <v/>
      </c>
      <c r="J2810" s="139" t="n">
        <v>39.487</v>
      </c>
      <c r="K2810" s="140" t="n"/>
      <c r="L2810" s="140">
        <f>+H2810*J2810</f>
        <v/>
      </c>
      <c r="M2810" s="141">
        <f>SUM(M2809+K2810-L2810)</f>
        <v/>
      </c>
    </row>
    <row r="2811">
      <c r="A2811" s="20" t="n">
        <v>45820</v>
      </c>
      <c r="B2811" s="21" t="n">
        <v>14236</v>
      </c>
      <c r="C2811" s="22" t="inlineStr">
        <is>
          <t>SELİM İNŞAAT</t>
        </is>
      </c>
      <c r="D2811" s="21" t="inlineStr">
        <is>
          <t xml:space="preserve">34 GUS 938 </t>
        </is>
      </c>
      <c r="E2811" s="21" t="inlineStr">
        <is>
          <t>MEHMET KAYA</t>
        </is>
      </c>
      <c r="F2811" s="23" t="n">
        <v>185984</v>
      </c>
      <c r="G2811" s="138" t="n"/>
      <c r="H2811" s="138" t="n">
        <v>310</v>
      </c>
      <c r="I2811" s="138">
        <f>+I2810+(G2811-H2811)</f>
        <v/>
      </c>
      <c r="J2811" s="139" t="n">
        <v>39.487</v>
      </c>
      <c r="K2811" s="140" t="n"/>
      <c r="L2811" s="140">
        <f>+H2811*J2811</f>
        <v/>
      </c>
      <c r="M2811" s="141">
        <f>SUM(M2810+K2811-L2811)</f>
        <v/>
      </c>
    </row>
    <row r="2812">
      <c r="A2812" s="20" t="n">
        <v>45820</v>
      </c>
      <c r="B2812" s="21" t="n">
        <v>10434</v>
      </c>
      <c r="C2812" s="22" t="inlineStr">
        <is>
          <t>SELİM İNŞAAT</t>
        </is>
      </c>
      <c r="D2812" s="21" t="inlineStr">
        <is>
          <t>34 DSN 536</t>
        </is>
      </c>
      <c r="E2812" s="21" t="inlineStr">
        <is>
          <t>DURSUN ALİ GÜREK</t>
        </is>
      </c>
      <c r="F2812" s="23" t="n">
        <v>404814</v>
      </c>
      <c r="G2812" s="138" t="n"/>
      <c r="H2812" s="138" t="n">
        <v>281</v>
      </c>
      <c r="I2812" s="138">
        <f>+I2811+(G2812-H2812)</f>
        <v/>
      </c>
      <c r="J2812" s="139" t="n">
        <v>39.487</v>
      </c>
      <c r="K2812" s="140" t="n"/>
      <c r="L2812" s="140">
        <f>+H2812*J2812</f>
        <v/>
      </c>
      <c r="M2812" s="141">
        <f>SUM(M2811+K2812-L2812)</f>
        <v/>
      </c>
    </row>
    <row r="2813">
      <c r="A2813" s="20" t="n">
        <v>45820</v>
      </c>
      <c r="B2813" s="21" t="n">
        <v>15054</v>
      </c>
      <c r="C2813" s="22" t="inlineStr">
        <is>
          <t>SELİM İNŞAAT</t>
        </is>
      </c>
      <c r="D2813" s="21" t="inlineStr">
        <is>
          <t>34 EGR 736</t>
        </is>
      </c>
      <c r="E2813" s="21" t="inlineStr">
        <is>
          <t>HAKAN ÇAVUŞOĞLU</t>
        </is>
      </c>
      <c r="F2813" s="23" t="n">
        <v>389133</v>
      </c>
      <c r="G2813" s="138" t="n"/>
      <c r="H2813" s="138" t="n">
        <v>450</v>
      </c>
      <c r="I2813" s="138">
        <f>+I2812+(G2813-H2813)</f>
        <v/>
      </c>
      <c r="J2813" s="139" t="n">
        <v>39.487</v>
      </c>
      <c r="K2813" s="140" t="n"/>
      <c r="L2813" s="140">
        <f>+H2813*J2813</f>
        <v/>
      </c>
      <c r="M2813" s="141">
        <f>SUM(M2812+K2813-L2813)</f>
        <v/>
      </c>
    </row>
    <row r="2814">
      <c r="A2814" s="20" t="n">
        <v>45820</v>
      </c>
      <c r="B2814" s="21" t="n">
        <v>10548</v>
      </c>
      <c r="C2814" s="22" t="inlineStr">
        <is>
          <t>SELİM İNŞAAT</t>
        </is>
      </c>
      <c r="D2814" s="21" t="inlineStr">
        <is>
          <t>34 EDB 922</t>
        </is>
      </c>
      <c r="E2814" s="21" t="inlineStr">
        <is>
          <t>AHMET TOPÇU</t>
        </is>
      </c>
      <c r="F2814" s="23" t="n">
        <v>361170</v>
      </c>
      <c r="G2814" s="138" t="n"/>
      <c r="H2814" s="138" t="n">
        <v>154</v>
      </c>
      <c r="I2814" s="138">
        <f>+I2813+(G2814-H2814)</f>
        <v/>
      </c>
      <c r="J2814" s="139" t="n">
        <v>39.487</v>
      </c>
      <c r="K2814" s="140" t="n"/>
      <c r="L2814" s="140">
        <f>+H2814*J2814</f>
        <v/>
      </c>
      <c r="M2814" s="141">
        <f>SUM(M2813+K2814-L2814)</f>
        <v/>
      </c>
    </row>
    <row r="2815">
      <c r="A2815" s="20" t="n">
        <v>45820</v>
      </c>
      <c r="B2815" s="21" t="n">
        <v>11745</v>
      </c>
      <c r="C2815" s="22" t="inlineStr">
        <is>
          <t>SELİM İNŞAAT</t>
        </is>
      </c>
      <c r="D2815" s="21" t="inlineStr">
        <is>
          <t>34 EDB 559</t>
        </is>
      </c>
      <c r="E2815" s="21" t="inlineStr">
        <is>
          <t>FUAT AYKUL</t>
        </is>
      </c>
      <c r="F2815" s="23" t="n">
        <v>322390</v>
      </c>
      <c r="G2815" s="138" t="n"/>
      <c r="H2815" s="138" t="n">
        <v>132</v>
      </c>
      <c r="I2815" s="138">
        <f>+I2814+(G2815-H2815)</f>
        <v/>
      </c>
      <c r="J2815" s="139" t="n">
        <v>39.487</v>
      </c>
      <c r="K2815" s="140" t="n"/>
      <c r="L2815" s="140">
        <f>+H2815*J2815</f>
        <v/>
      </c>
      <c r="M2815" s="141">
        <f>SUM(M2814+K2815-L2815)</f>
        <v/>
      </c>
    </row>
    <row r="2816">
      <c r="A2816" s="20" t="n">
        <v>45820</v>
      </c>
      <c r="B2816" s="21" t="n">
        <v>14037</v>
      </c>
      <c r="C2816" s="22" t="inlineStr">
        <is>
          <t>SELİM İNŞAAT</t>
        </is>
      </c>
      <c r="D2816" s="21" t="inlineStr">
        <is>
          <t>34 GUS 310</t>
        </is>
      </c>
      <c r="E2816" s="21" t="inlineStr">
        <is>
          <t>CELAL YÜZBAŞI</t>
        </is>
      </c>
      <c r="F2816" s="23" t="n">
        <v>197223</v>
      </c>
      <c r="G2816" s="138" t="n"/>
      <c r="H2816" s="138" t="n">
        <v>347</v>
      </c>
      <c r="I2816" s="138">
        <f>+I2815+(G2816-H2816)</f>
        <v/>
      </c>
      <c r="J2816" s="139" t="n">
        <v>39.487</v>
      </c>
      <c r="K2816" s="140" t="n"/>
      <c r="L2816" s="140">
        <f>+H2816*J2816</f>
        <v/>
      </c>
      <c r="M2816" s="141">
        <f>SUM(M2815+K2816-L2816)</f>
        <v/>
      </c>
    </row>
    <row r="2817">
      <c r="A2817" s="20" t="n">
        <v>45820</v>
      </c>
      <c r="B2817" s="21" t="n">
        <v>11488</v>
      </c>
      <c r="C2817" s="22" t="inlineStr">
        <is>
          <t>SELİM İNŞAAT</t>
        </is>
      </c>
      <c r="D2817" s="21" t="inlineStr">
        <is>
          <t>34 EGR 922</t>
        </is>
      </c>
      <c r="E2817" s="21" t="inlineStr">
        <is>
          <t>FARUK ÖZEN</t>
        </is>
      </c>
      <c r="F2817" s="23" t="n">
        <v>453961</v>
      </c>
      <c r="G2817" s="138" t="n"/>
      <c r="H2817" s="138" t="n">
        <v>257</v>
      </c>
      <c r="I2817" s="138">
        <f>+I2816+(G2817-H2817)</f>
        <v/>
      </c>
      <c r="J2817" s="139" t="n">
        <v>39.487</v>
      </c>
      <c r="K2817" s="140" t="n"/>
      <c r="L2817" s="140">
        <f>+H2817*J2817</f>
        <v/>
      </c>
      <c r="M2817" s="141">
        <f>SUM(M2816+K2817-L2817)</f>
        <v/>
      </c>
    </row>
    <row r="2818">
      <c r="A2818" s="20" t="n">
        <v>45820</v>
      </c>
      <c r="B2818" s="21" t="n">
        <v>20199</v>
      </c>
      <c r="C2818" s="22" t="inlineStr">
        <is>
          <t>SELİM İNŞAAT</t>
        </is>
      </c>
      <c r="D2818" s="21" t="inlineStr">
        <is>
          <t>34 JGR 15</t>
        </is>
      </c>
      <c r="E2818" s="21" t="inlineStr">
        <is>
          <t>ŞERİF KARTAL</t>
        </is>
      </c>
      <c r="F2818" s="23" t="n">
        <v>310004</v>
      </c>
      <c r="G2818" s="138" t="n"/>
      <c r="H2818" s="138" t="n">
        <v>70</v>
      </c>
      <c r="I2818" s="138">
        <f>+I2817+(G2818-H2818)</f>
        <v/>
      </c>
      <c r="J2818" s="139" t="n">
        <v>39.487</v>
      </c>
      <c r="K2818" s="140" t="n"/>
      <c r="L2818" s="140">
        <f>+H2818*J2818</f>
        <v/>
      </c>
      <c r="M2818" s="141">
        <f>SUM(M2817+K2818-L2818)</f>
        <v/>
      </c>
    </row>
    <row r="2819">
      <c r="A2819" s="20" t="n">
        <v>45820</v>
      </c>
      <c r="B2819" s="21" t="n">
        <v>14633</v>
      </c>
      <c r="C2819" s="22" t="inlineStr">
        <is>
          <t>SELİM İNŞAAT</t>
        </is>
      </c>
      <c r="D2819" s="21" t="inlineStr">
        <is>
          <t>34 GER 445</t>
        </is>
      </c>
      <c r="E2819" s="21" t="inlineStr">
        <is>
          <t>HASAN BAYCAN</t>
        </is>
      </c>
      <c r="F2819" s="23" t="n">
        <v>42582</v>
      </c>
      <c r="G2819" s="138" t="n"/>
      <c r="H2819" s="138" t="n">
        <v>183</v>
      </c>
      <c r="I2819" s="138">
        <f>+I2818+(G2819-H2819)</f>
        <v/>
      </c>
      <c r="J2819" s="139" t="n">
        <v>39.487</v>
      </c>
      <c r="K2819" s="140" t="n"/>
      <c r="L2819" s="140">
        <f>+H2819*J2819</f>
        <v/>
      </c>
      <c r="M2819" s="141">
        <f>SUM(M2818+K2819-L2819)</f>
        <v/>
      </c>
    </row>
    <row r="2820">
      <c r="A2820" s="20" t="n">
        <v>45820</v>
      </c>
      <c r="B2820" s="21" t="n">
        <v>15917</v>
      </c>
      <c r="C2820" s="22" t="inlineStr">
        <is>
          <t>SELİM İNŞAAT</t>
        </is>
      </c>
      <c r="D2820" s="21" t="inlineStr">
        <is>
          <t>34 DFE 454</t>
        </is>
      </c>
      <c r="E2820" s="21" t="inlineStr">
        <is>
          <t>METİN KALKAN</t>
        </is>
      </c>
      <c r="F2820" s="23" t="n">
        <v>159389</v>
      </c>
      <c r="G2820" s="138" t="n"/>
      <c r="H2820" s="138" t="n">
        <v>155</v>
      </c>
      <c r="I2820" s="138">
        <f>+I2819+(G2820-H2820)</f>
        <v/>
      </c>
      <c r="J2820" s="139" t="n">
        <v>39.487</v>
      </c>
      <c r="K2820" s="140" t="n"/>
      <c r="L2820" s="140">
        <f>+H2820*J2820</f>
        <v/>
      </c>
      <c r="M2820" s="141">
        <f>SUM(M2819+K2820-L2820)</f>
        <v/>
      </c>
    </row>
    <row r="2821">
      <c r="A2821" s="20" t="n">
        <v>45820</v>
      </c>
      <c r="B2821" s="21" t="n">
        <v>10889</v>
      </c>
      <c r="C2821" s="22" t="inlineStr">
        <is>
          <t>SELİM İNŞAAT</t>
        </is>
      </c>
      <c r="D2821" s="21" t="inlineStr">
        <is>
          <t>34 AR 7743</t>
        </is>
      </c>
      <c r="E2821" s="21" t="inlineStr">
        <is>
          <t>MEHMET SELİM</t>
        </is>
      </c>
      <c r="F2821" s="23" t="n">
        <v>356608</v>
      </c>
      <c r="G2821" s="138" t="n"/>
      <c r="H2821" s="138" t="n">
        <v>51</v>
      </c>
      <c r="I2821" s="138">
        <f>+I2820+(G2821-H2821)</f>
        <v/>
      </c>
      <c r="J2821" s="139" t="n">
        <v>39.487</v>
      </c>
      <c r="K2821" s="140" t="n"/>
      <c r="L2821" s="140">
        <f>+H2821*J2821</f>
        <v/>
      </c>
      <c r="M2821" s="141">
        <f>SUM(M2820+K2821-L2821)</f>
        <v/>
      </c>
    </row>
    <row r="2822">
      <c r="A2822" s="20" t="n">
        <v>45820</v>
      </c>
      <c r="B2822" s="21" t="n">
        <v>20543</v>
      </c>
      <c r="C2822" s="22" t="inlineStr">
        <is>
          <t>SELİM İNŞAAT</t>
        </is>
      </c>
      <c r="D2822" s="21" t="inlineStr">
        <is>
          <t>34 VF 2620</t>
        </is>
      </c>
      <c r="E2822" s="21" t="inlineStr">
        <is>
          <t>RECEP SELİM</t>
        </is>
      </c>
      <c r="F2822" s="23" t="n">
        <v>186720</v>
      </c>
      <c r="G2822" s="138" t="n"/>
      <c r="H2822" s="138" t="n">
        <v>74</v>
      </c>
      <c r="I2822" s="138">
        <f>+I2821+(G2822-H2822)</f>
        <v/>
      </c>
      <c r="J2822" s="139" t="n">
        <v>39.487</v>
      </c>
      <c r="K2822" s="140" t="n"/>
      <c r="L2822" s="140">
        <f>+H2822*J2822</f>
        <v/>
      </c>
      <c r="M2822" s="141">
        <f>SUM(M2821+K2822-L2822)</f>
        <v/>
      </c>
    </row>
    <row r="2823">
      <c r="A2823" s="20" t="n">
        <v>45820</v>
      </c>
      <c r="B2823" s="21" t="n">
        <v>105582</v>
      </c>
      <c r="C2823" s="22" t="inlineStr">
        <is>
          <t>SELİM İNŞAAT</t>
        </is>
      </c>
      <c r="D2823" s="21" t="inlineStr">
        <is>
          <t>34 GU 945</t>
        </is>
      </c>
      <c r="E2823" s="21" t="inlineStr">
        <is>
          <t>ŞERİF KARTAL</t>
        </is>
      </c>
      <c r="F2823" s="23" t="n">
        <v>447543</v>
      </c>
      <c r="G2823" s="138" t="n"/>
      <c r="H2823" s="138" t="n">
        <v>78</v>
      </c>
      <c r="I2823" s="138">
        <f>+I2822+(G2823-H2823)</f>
        <v/>
      </c>
      <c r="J2823" s="139" t="n">
        <v>39.487</v>
      </c>
      <c r="K2823" s="140" t="n"/>
      <c r="L2823" s="140">
        <f>+H2823*J2823</f>
        <v/>
      </c>
      <c r="M2823" s="141">
        <f>SUM(M2822+K2823-L2823)</f>
        <v/>
      </c>
    </row>
    <row r="2824">
      <c r="A2824" s="20" t="n">
        <v>45820</v>
      </c>
      <c r="B2824" s="21" t="n">
        <v>11373</v>
      </c>
      <c r="C2824" s="22" t="inlineStr">
        <is>
          <t>AZGÜN YAPI</t>
        </is>
      </c>
      <c r="D2824" s="21" t="inlineStr">
        <is>
          <t>34 MKT 593</t>
        </is>
      </c>
      <c r="E2824" s="21" t="inlineStr">
        <is>
          <t>İBRAHİM GÜLLÜK</t>
        </is>
      </c>
      <c r="F2824" s="23" t="n">
        <v>29160</v>
      </c>
      <c r="G2824" s="138" t="n"/>
      <c r="H2824" s="138" t="n">
        <v>129</v>
      </c>
      <c r="I2824" s="138">
        <f>+I2823+(G2824-H2824)</f>
        <v/>
      </c>
      <c r="J2824" s="139" t="n">
        <v>39.487</v>
      </c>
      <c r="K2824" s="140" t="n"/>
      <c r="L2824" s="140">
        <f>+H2824*J2824</f>
        <v/>
      </c>
      <c r="M2824" s="141">
        <f>SUM(M2823+K2824-L2824)</f>
        <v/>
      </c>
    </row>
    <row r="2825">
      <c r="A2825" s="20" t="n">
        <v>45820</v>
      </c>
      <c r="B2825" s="21" t="n">
        <v>14699</v>
      </c>
      <c r="C2825" s="22" t="inlineStr">
        <is>
          <t>EVKUR</t>
        </is>
      </c>
      <c r="D2825" s="21" t="inlineStr">
        <is>
          <t>FOKLİFT</t>
        </is>
      </c>
      <c r="E2825" s="21" t="inlineStr">
        <is>
          <t>FAHRİ KALFA</t>
        </is>
      </c>
      <c r="F2825" s="23" t="n"/>
      <c r="G2825" s="138" t="n"/>
      <c r="H2825" s="138" t="n">
        <v>20</v>
      </c>
      <c r="I2825" s="138">
        <f>+I2824+(G2825-H2825)</f>
        <v/>
      </c>
      <c r="J2825" s="139" t="n">
        <v>39.487</v>
      </c>
      <c r="K2825" s="140" t="n"/>
      <c r="L2825" s="140">
        <f>+H2825*J2825</f>
        <v/>
      </c>
      <c r="M2825" s="141">
        <f>SUM(M2824+K2825-L2825)</f>
        <v/>
      </c>
    </row>
    <row r="2826">
      <c r="A2826" s="20" t="n">
        <v>45820</v>
      </c>
      <c r="B2826" s="21" t="n">
        <v>14700</v>
      </c>
      <c r="C2826" s="22" t="inlineStr">
        <is>
          <t>AHMET SELİM TEMHA</t>
        </is>
      </c>
      <c r="D2826" s="21" t="inlineStr">
        <is>
          <t>34 DGE 422</t>
        </is>
      </c>
      <c r="E2826" s="21" t="inlineStr">
        <is>
          <t xml:space="preserve">ERSOY SIĞINMAZ </t>
        </is>
      </c>
      <c r="F2826" s="23" t="n"/>
      <c r="G2826" s="138" t="n"/>
      <c r="H2826" s="138" t="n">
        <v>52</v>
      </c>
      <c r="I2826" s="138">
        <f>+I2825+(G2826-H2826)</f>
        <v/>
      </c>
      <c r="J2826" s="139" t="n">
        <v>39.487</v>
      </c>
      <c r="K2826" s="140" t="n"/>
      <c r="L2826" s="140">
        <f>+H2826*J2826</f>
        <v/>
      </c>
      <c r="M2826" s="141">
        <f>SUM(M2825+K2826-L2826)</f>
        <v/>
      </c>
    </row>
    <row r="2827">
      <c r="A2827" s="20" t="n">
        <v>45820</v>
      </c>
      <c r="B2827" s="1" t="n">
        <v>15846</v>
      </c>
      <c r="C2827" s="2" t="inlineStr">
        <is>
          <t>VARLIK</t>
        </is>
      </c>
      <c r="D2827" s="1" t="inlineStr">
        <is>
          <t>KAVAZAKİ</t>
        </is>
      </c>
      <c r="E2827" s="1" t="inlineStr">
        <is>
          <t>UFUK SEVAL</t>
        </is>
      </c>
      <c r="F2827" s="3" t="n"/>
      <c r="G2827" s="143" t="n"/>
      <c r="H2827" s="143" t="n">
        <v>372</v>
      </c>
      <c r="I2827" s="143">
        <f>+I2826+(G2827-H2827)</f>
        <v/>
      </c>
      <c r="J2827" s="144" t="n">
        <v>39.487</v>
      </c>
      <c r="K2827" s="145" t="n"/>
      <c r="L2827" s="140">
        <f>+H2827*J2827</f>
        <v/>
      </c>
      <c r="M2827" s="141">
        <f>SUM(M2826+K2827-L2827)</f>
        <v/>
      </c>
    </row>
    <row r="2828">
      <c r="A2828" s="20" t="n">
        <v>45820</v>
      </c>
      <c r="B2828" s="1" t="n">
        <v>15847</v>
      </c>
      <c r="C2828" s="2" t="inlineStr">
        <is>
          <t>VARLIK</t>
        </is>
      </c>
      <c r="D2828" s="1" t="inlineStr">
        <is>
          <t>SM 350</t>
        </is>
      </c>
      <c r="E2828" s="1" t="inlineStr">
        <is>
          <t>BAYRAM SANCAK</t>
        </is>
      </c>
      <c r="F2828" s="3" t="n"/>
      <c r="G2828" s="143" t="n"/>
      <c r="H2828" s="143" t="n">
        <v>357</v>
      </c>
      <c r="I2828" s="143">
        <f>+I2827+(G2828-H2828)</f>
        <v/>
      </c>
      <c r="J2828" s="144" t="n">
        <v>39.487</v>
      </c>
      <c r="K2828" s="145" t="n"/>
      <c r="L2828" s="140">
        <f>+H2828*J2828</f>
        <v/>
      </c>
      <c r="M2828" s="141">
        <f>SUM(M2827+K2828-L2828)</f>
        <v/>
      </c>
    </row>
    <row r="2829">
      <c r="A2829" s="20" t="n">
        <v>45820</v>
      </c>
      <c r="B2829" s="1" t="n">
        <v>15848</v>
      </c>
      <c r="C2829" s="2" t="inlineStr">
        <is>
          <t>VARLIK</t>
        </is>
      </c>
      <c r="D2829" s="1" t="inlineStr">
        <is>
          <t>SM 300</t>
        </is>
      </c>
      <c r="E2829" s="1" t="inlineStr">
        <is>
          <t>TURGUT SANCAK</t>
        </is>
      </c>
      <c r="F2829" s="3" t="n"/>
      <c r="G2829" s="143" t="n"/>
      <c r="H2829" s="143" t="n">
        <v>336</v>
      </c>
      <c r="I2829" s="143">
        <f>+I2828+(G2829-H2829)</f>
        <v/>
      </c>
      <c r="J2829" s="144" t="n">
        <v>39.487</v>
      </c>
      <c r="K2829" s="145" t="n"/>
      <c r="L2829" s="140">
        <f>+H2829*J2829</f>
        <v/>
      </c>
      <c r="M2829" s="141">
        <f>SUM(M2828+K2829-L2829)</f>
        <v/>
      </c>
    </row>
    <row r="2830">
      <c r="A2830" s="20" t="n">
        <v>45820</v>
      </c>
      <c r="B2830" s="1" t="n">
        <v>15849</v>
      </c>
      <c r="C2830" s="2" t="inlineStr">
        <is>
          <t>CEVİZ MOBİLYA</t>
        </is>
      </c>
      <c r="D2830" s="1" t="inlineStr">
        <is>
          <t xml:space="preserve">SM 370 </t>
        </is>
      </c>
      <c r="E2830" s="1" t="inlineStr">
        <is>
          <t>RAMAZAN KAYA</t>
        </is>
      </c>
      <c r="F2830" s="3" t="n"/>
      <c r="G2830" s="143" t="n"/>
      <c r="H2830" s="143" t="n">
        <v>425</v>
      </c>
      <c r="I2830" s="143">
        <f>+I2829+(G2830-H2830)</f>
        <v/>
      </c>
      <c r="J2830" s="144" t="n">
        <v>39.487</v>
      </c>
      <c r="K2830" s="145" t="n"/>
      <c r="L2830" s="140">
        <f>+H2830*J2830</f>
        <v/>
      </c>
      <c r="M2830" s="141">
        <f>SUM(M2829+K2830-L2830)</f>
        <v/>
      </c>
    </row>
    <row r="2831">
      <c r="A2831" s="20" t="n">
        <v>45820</v>
      </c>
      <c r="B2831" s="1" t="n">
        <v>11014</v>
      </c>
      <c r="C2831" s="2" t="inlineStr">
        <is>
          <t>VARLIK</t>
        </is>
      </c>
      <c r="D2831" s="1" t="inlineStr">
        <is>
          <t>MNT 2260</t>
        </is>
      </c>
      <c r="E2831" s="1" t="inlineStr">
        <is>
          <t>MUHAMMED KANTAR</t>
        </is>
      </c>
      <c r="F2831" s="3" t="n"/>
      <c r="G2831" s="143" t="n"/>
      <c r="H2831" s="143" t="n">
        <v>298</v>
      </c>
      <c r="I2831" s="143">
        <f>+I2830+(G2831-H2831)</f>
        <v/>
      </c>
      <c r="J2831" s="144" t="n">
        <v>39.487</v>
      </c>
      <c r="K2831" s="145" t="n"/>
      <c r="L2831" s="140">
        <f>+H2831*J2831</f>
        <v/>
      </c>
      <c r="M2831" s="141">
        <f>SUM(M2830+K2831-L2831)</f>
        <v/>
      </c>
    </row>
    <row r="2832">
      <c r="A2832" s="20" t="n">
        <v>45820</v>
      </c>
      <c r="B2832" s="21" t="n">
        <v>15854</v>
      </c>
      <c r="C2832" s="22" t="inlineStr">
        <is>
          <t>SELİM İNŞAAT</t>
        </is>
      </c>
      <c r="D2832" s="21" t="inlineStr">
        <is>
          <t>34 EDB 754</t>
        </is>
      </c>
      <c r="E2832" s="21" t="inlineStr">
        <is>
          <t>EMİN PARLAKKILIÇ</t>
        </is>
      </c>
      <c r="F2832" s="23" t="n">
        <v>320877</v>
      </c>
      <c r="G2832" s="138" t="n"/>
      <c r="H2832" s="138" t="n">
        <v>540</v>
      </c>
      <c r="I2832" s="138">
        <f>+I2831+(G2832-H2832)</f>
        <v/>
      </c>
      <c r="J2832" s="139" t="n"/>
      <c r="K2832" s="140" t="n"/>
      <c r="L2832" s="140">
        <f>+H2832*J2832</f>
        <v/>
      </c>
      <c r="M2832" s="141">
        <f>SUM(M2831+K2832-L2832)</f>
        <v/>
      </c>
    </row>
    <row r="2833">
      <c r="A2833" s="20" t="n">
        <v>45821</v>
      </c>
      <c r="B2833" s="21" t="n">
        <v>767</v>
      </c>
      <c r="C2833" s="22" t="inlineStr">
        <is>
          <t>ÜNSOY TURİZM İNŞ.SAN.VE TİC.A.Ş.</t>
        </is>
      </c>
      <c r="D2833" s="21" t="n"/>
      <c r="E2833" s="21" t="n"/>
      <c r="F2833" s="23" t="n"/>
      <c r="G2833" s="138" t="n">
        <v>32334</v>
      </c>
      <c r="H2833" s="138" t="n"/>
      <c r="I2833" s="138">
        <f>+I2832+(G2833-H2833)</f>
        <v/>
      </c>
      <c r="J2833" s="139">
        <f>+K2833/G2833</f>
        <v/>
      </c>
      <c r="K2833" s="140" t="n">
        <v>1296593.4</v>
      </c>
      <c r="L2833" s="140">
        <f>+H2833*J2833</f>
        <v/>
      </c>
      <c r="M2833" s="141">
        <f>SUM(M2832+K2833-L2833)</f>
        <v/>
      </c>
    </row>
    <row r="2834">
      <c r="A2834" s="20" t="n">
        <v>45821</v>
      </c>
      <c r="B2834" s="21" t="n">
        <v>10799</v>
      </c>
      <c r="C2834" s="22" t="inlineStr">
        <is>
          <t>SELİM İNŞAAT</t>
        </is>
      </c>
      <c r="D2834" s="21" t="inlineStr">
        <is>
          <t>34 FBR 705</t>
        </is>
      </c>
      <c r="E2834" s="21" t="inlineStr">
        <is>
          <t>MESUT GÜRLER</t>
        </is>
      </c>
      <c r="F2834" s="23" t="n">
        <v>314698</v>
      </c>
      <c r="G2834" s="138" t="n"/>
      <c r="H2834" s="138" t="n">
        <v>466</v>
      </c>
      <c r="I2834" s="138">
        <f>+I2833+(G2834-H2834)</f>
        <v/>
      </c>
      <c r="J2834" s="139" t="n">
        <v>40.1</v>
      </c>
      <c r="K2834" s="140" t="n"/>
      <c r="L2834" s="140">
        <f>+H2834*J2834</f>
        <v/>
      </c>
      <c r="M2834" s="141">
        <f>SUM(M2833+K2834-L2834)</f>
        <v/>
      </c>
    </row>
    <row r="2835">
      <c r="A2835" s="20" t="n">
        <v>45821</v>
      </c>
      <c r="B2835" s="21" t="n">
        <v>15254</v>
      </c>
      <c r="C2835" s="22" t="inlineStr">
        <is>
          <t>SELİM İNŞAAT</t>
        </is>
      </c>
      <c r="D2835" s="21" t="inlineStr">
        <is>
          <t>34 DTV 447</t>
        </is>
      </c>
      <c r="E2835" s="21" t="inlineStr">
        <is>
          <t>EBUBEKİR KOLDAŞ</t>
        </is>
      </c>
      <c r="F2835" s="23" t="n">
        <v>428928</v>
      </c>
      <c r="G2835" s="138" t="n"/>
      <c r="H2835" s="138" t="n">
        <v>420</v>
      </c>
      <c r="I2835" s="138">
        <f>+I2834+(G2835-H2835)</f>
        <v/>
      </c>
      <c r="J2835" s="139" t="n">
        <v>40.1</v>
      </c>
      <c r="K2835" s="140" t="n"/>
      <c r="L2835" s="140">
        <f>+H2835*J2835</f>
        <v/>
      </c>
      <c r="M2835" s="141">
        <f>SUM(M2834+K2835-L2835)</f>
        <v/>
      </c>
    </row>
    <row r="2836">
      <c r="A2836" s="20" t="n">
        <v>45821</v>
      </c>
      <c r="B2836" s="21" t="n">
        <v>15021</v>
      </c>
      <c r="C2836" s="22" t="inlineStr">
        <is>
          <t>SELİM İNŞAAT</t>
        </is>
      </c>
      <c r="D2836" s="21" t="inlineStr">
        <is>
          <t>34 GVZ 199</t>
        </is>
      </c>
      <c r="E2836" s="21" t="inlineStr">
        <is>
          <t>VAHDET GÜRLER</t>
        </is>
      </c>
      <c r="F2836" s="23" t="n">
        <v>180436</v>
      </c>
      <c r="G2836" s="138" t="n"/>
      <c r="H2836" s="138" t="n">
        <v>246</v>
      </c>
      <c r="I2836" s="138">
        <f>+I2835+(G2836-H2836)</f>
        <v/>
      </c>
      <c r="J2836" s="139" t="n">
        <v>40.1</v>
      </c>
      <c r="K2836" s="140" t="n"/>
      <c r="L2836" s="140">
        <f>+H2836*J2836</f>
        <v/>
      </c>
      <c r="M2836" s="141">
        <f>SUM(M2835+K2836-L2836)</f>
        <v/>
      </c>
    </row>
    <row r="2837">
      <c r="A2837" s="20" t="n">
        <v>45821</v>
      </c>
      <c r="B2837" s="21" t="n">
        <v>14087</v>
      </c>
      <c r="C2837" s="22" t="inlineStr">
        <is>
          <t>SELİM İNŞAAT</t>
        </is>
      </c>
      <c r="D2837" s="21" t="inlineStr">
        <is>
          <t>34 EDB 659</t>
        </is>
      </c>
      <c r="E2837" s="21" t="inlineStr">
        <is>
          <t>MEHMET SAİT ANIK</t>
        </is>
      </c>
      <c r="F2837" s="23" t="n">
        <v>339622</v>
      </c>
      <c r="G2837" s="138" t="n"/>
      <c r="H2837" s="138" t="n">
        <v>158</v>
      </c>
      <c r="I2837" s="138">
        <f>+I2836+(G2837-H2837)</f>
        <v/>
      </c>
      <c r="J2837" s="139" t="n">
        <v>40.1</v>
      </c>
      <c r="K2837" s="140" t="n"/>
      <c r="L2837" s="140">
        <f>+H2837*J2837</f>
        <v/>
      </c>
      <c r="M2837" s="141">
        <f>SUM(M2836+K2837-L2837)</f>
        <v/>
      </c>
    </row>
    <row r="2838">
      <c r="A2838" s="20" t="n">
        <v>45821</v>
      </c>
      <c r="B2838" s="21" t="n">
        <v>11948</v>
      </c>
      <c r="C2838" s="22" t="inlineStr">
        <is>
          <t>SELİM İNŞAAT</t>
        </is>
      </c>
      <c r="D2838" s="21" t="inlineStr">
        <is>
          <t>34 FBR 742</t>
        </is>
      </c>
      <c r="E2838" s="21" t="inlineStr">
        <is>
          <t>MİKAİL BAYILMAZ</t>
        </is>
      </c>
      <c r="F2838" s="23" t="n">
        <v>318162</v>
      </c>
      <c r="G2838" s="138" t="n"/>
      <c r="H2838" s="138" t="n">
        <v>230</v>
      </c>
      <c r="I2838" s="138">
        <f>+I2837+(G2838-H2838)</f>
        <v/>
      </c>
      <c r="J2838" s="139" t="n">
        <v>40.1</v>
      </c>
      <c r="K2838" s="140" t="n"/>
      <c r="L2838" s="140">
        <f>+H2838*J2838</f>
        <v/>
      </c>
      <c r="M2838" s="141">
        <f>SUM(M2837+K2838-L2838)</f>
        <v/>
      </c>
    </row>
    <row r="2839">
      <c r="A2839" s="20" t="n">
        <v>45821</v>
      </c>
      <c r="B2839" s="21" t="n">
        <v>14486</v>
      </c>
      <c r="C2839" s="22" t="inlineStr">
        <is>
          <t>SELİM İNŞAAT</t>
        </is>
      </c>
      <c r="D2839" s="21" t="inlineStr">
        <is>
          <t>34 GUS 848</t>
        </is>
      </c>
      <c r="E2839" s="21" t="inlineStr">
        <is>
          <t>SERDAR BOZKURT</t>
        </is>
      </c>
      <c r="F2839" s="23" t="n">
        <v>192146</v>
      </c>
      <c r="G2839" s="138" t="n"/>
      <c r="H2839" s="138" t="n">
        <v>148</v>
      </c>
      <c r="I2839" s="138">
        <f>+I2838+(G2839-H2839)</f>
        <v/>
      </c>
      <c r="J2839" s="139" t="n">
        <v>40.1</v>
      </c>
      <c r="K2839" s="140" t="n"/>
      <c r="L2839" s="140">
        <f>+H2839*J2839</f>
        <v/>
      </c>
      <c r="M2839" s="141">
        <f>SUM(M2838+K2839-L2839)</f>
        <v/>
      </c>
    </row>
    <row r="2840">
      <c r="A2840" s="20" t="n">
        <v>45821</v>
      </c>
      <c r="B2840" s="21" t="n">
        <v>11648</v>
      </c>
      <c r="C2840" s="22" t="inlineStr">
        <is>
          <t>SELİM İNŞAAT</t>
        </is>
      </c>
      <c r="D2840" s="21" t="inlineStr">
        <is>
          <t>34 DTV 352</t>
        </is>
      </c>
      <c r="E2840" s="21" t="inlineStr">
        <is>
          <t>RASİM BARTU</t>
        </is>
      </c>
      <c r="F2840" s="23" t="n">
        <v>432450</v>
      </c>
      <c r="G2840" s="138" t="n"/>
      <c r="H2840" s="138" t="n">
        <v>534</v>
      </c>
      <c r="I2840" s="138">
        <f>+I2839+(G2840-H2840)</f>
        <v/>
      </c>
      <c r="J2840" s="139" t="n">
        <v>40.1</v>
      </c>
      <c r="K2840" s="140" t="n"/>
      <c r="L2840" s="140">
        <f>+H2840*J2840</f>
        <v/>
      </c>
      <c r="M2840" s="141">
        <f>SUM(M2839+K2840-L2840)</f>
        <v/>
      </c>
    </row>
    <row r="2841">
      <c r="A2841" s="20" t="n">
        <v>45821</v>
      </c>
      <c r="B2841" s="21" t="n">
        <v>15515</v>
      </c>
      <c r="C2841" s="22" t="inlineStr">
        <is>
          <t>SELİM İNŞAAT</t>
        </is>
      </c>
      <c r="D2841" s="21" t="inlineStr">
        <is>
          <t>34 EDC 086</t>
        </is>
      </c>
      <c r="E2841" s="21" t="inlineStr">
        <is>
          <t>ÖMER AĞAYAR</t>
        </is>
      </c>
      <c r="F2841" s="23" t="n">
        <v>325073</v>
      </c>
      <c r="G2841" s="138" t="n"/>
      <c r="H2841" s="138" t="n">
        <v>472</v>
      </c>
      <c r="I2841" s="138">
        <f>+I2840+(G2841-H2841)</f>
        <v/>
      </c>
      <c r="J2841" s="139" t="n">
        <v>40.1</v>
      </c>
      <c r="K2841" s="140" t="n"/>
      <c r="L2841" s="140">
        <f>+H2841*J2841</f>
        <v/>
      </c>
      <c r="M2841" s="141">
        <f>SUM(M2840+K2841-L2841)</f>
        <v/>
      </c>
    </row>
    <row r="2842">
      <c r="A2842" s="20" t="n">
        <v>45821</v>
      </c>
      <c r="B2842" s="21" t="n">
        <v>11226</v>
      </c>
      <c r="C2842" s="22" t="inlineStr">
        <is>
          <t>SELİM İNŞAAT</t>
        </is>
      </c>
      <c r="D2842" s="21" t="inlineStr">
        <is>
          <t>34 DSN 636</t>
        </is>
      </c>
      <c r="E2842" s="21" t="inlineStr">
        <is>
          <t>İLHAN YÜRÜK</t>
        </is>
      </c>
      <c r="F2842" s="23" t="n">
        <v>389658</v>
      </c>
      <c r="G2842" s="138" t="n"/>
      <c r="H2842" s="138" t="n">
        <v>287</v>
      </c>
      <c r="I2842" s="138">
        <f>+I2841+(G2842-H2842)</f>
        <v/>
      </c>
      <c r="J2842" s="139" t="n">
        <v>40.1</v>
      </c>
      <c r="K2842" s="140" t="n"/>
      <c r="L2842" s="140">
        <f>+H2842*J2842</f>
        <v/>
      </c>
      <c r="M2842" s="141">
        <f>SUM(M2841+K2842-L2842)</f>
        <v/>
      </c>
    </row>
    <row r="2843">
      <c r="A2843" s="20" t="n">
        <v>45821</v>
      </c>
      <c r="B2843" s="21" t="n">
        <v>15311</v>
      </c>
      <c r="C2843" s="22" t="inlineStr">
        <is>
          <t>SELİM İNŞAAT</t>
        </is>
      </c>
      <c r="D2843" s="21" t="inlineStr">
        <is>
          <t>34 EDC 162</t>
        </is>
      </c>
      <c r="E2843" s="21" t="inlineStr">
        <is>
          <t xml:space="preserve">YAKUP GÜNER </t>
        </is>
      </c>
      <c r="F2843" s="23" t="n">
        <v>369293</v>
      </c>
      <c r="G2843" s="138" t="n"/>
      <c r="H2843" s="138" t="n">
        <v>361</v>
      </c>
      <c r="I2843" s="138">
        <f>+I2842+(G2843-H2843)</f>
        <v/>
      </c>
      <c r="J2843" s="139" t="n">
        <v>40.1</v>
      </c>
      <c r="K2843" s="140" t="n"/>
      <c r="L2843" s="140">
        <f>+H2843*J2843</f>
        <v/>
      </c>
      <c r="M2843" s="141">
        <f>SUM(M2842+K2843-L2843)</f>
        <v/>
      </c>
    </row>
    <row r="2844">
      <c r="A2844" s="20" t="n">
        <v>45821</v>
      </c>
      <c r="B2844" s="21" t="n">
        <v>15110</v>
      </c>
      <c r="C2844" s="22" t="inlineStr">
        <is>
          <t>SELİM İNŞAAT</t>
        </is>
      </c>
      <c r="D2844" s="21" t="inlineStr">
        <is>
          <t>34 DTV 599</t>
        </is>
      </c>
      <c r="E2844" s="21" t="inlineStr">
        <is>
          <t>FERHAT GÜRLER</t>
        </is>
      </c>
      <c r="F2844" s="23" t="n">
        <v>431022</v>
      </c>
      <c r="G2844" s="138" t="n"/>
      <c r="H2844" s="138" t="n">
        <v>579</v>
      </c>
      <c r="I2844" s="138">
        <f>+I2843+(G2844-H2844)</f>
        <v/>
      </c>
      <c r="J2844" s="139" t="n">
        <v>40.1</v>
      </c>
      <c r="K2844" s="140" t="n"/>
      <c r="L2844" s="140">
        <f>+H2844*J2844</f>
        <v/>
      </c>
      <c r="M2844" s="141">
        <f>SUM(M2843+K2844-L2844)</f>
        <v/>
      </c>
    </row>
    <row r="2845">
      <c r="A2845" s="20" t="n">
        <v>45821</v>
      </c>
      <c r="B2845" s="21" t="n">
        <v>10395</v>
      </c>
      <c r="C2845" s="22" t="inlineStr">
        <is>
          <t>SELİM İNŞAAT</t>
        </is>
      </c>
      <c r="D2845" s="21" t="inlineStr">
        <is>
          <t>34 DRU 690</t>
        </is>
      </c>
      <c r="E2845" s="21" t="inlineStr">
        <is>
          <t>MURAT DEMİRBAŞ</t>
        </is>
      </c>
      <c r="F2845" s="23" t="n">
        <v>415755</v>
      </c>
      <c r="G2845" s="138" t="n"/>
      <c r="H2845" s="138" t="n">
        <v>345</v>
      </c>
      <c r="I2845" s="138">
        <f>+I2844+(G2845-H2845)</f>
        <v/>
      </c>
      <c r="J2845" s="139" t="n">
        <v>40.1</v>
      </c>
      <c r="K2845" s="140" t="n"/>
      <c r="L2845" s="140">
        <f>+H2845*J2845</f>
        <v/>
      </c>
      <c r="M2845" s="141">
        <f>SUM(M2844+K2845-L2845)</f>
        <v/>
      </c>
    </row>
    <row r="2846">
      <c r="A2846" s="20" t="n">
        <v>45821</v>
      </c>
      <c r="B2846" s="21" t="n">
        <v>11840</v>
      </c>
      <c r="C2846" s="22" t="inlineStr">
        <is>
          <t>SELİM İNŞAAT</t>
        </is>
      </c>
      <c r="D2846" s="21" t="inlineStr">
        <is>
          <t>34 FSG 229</t>
        </is>
      </c>
      <c r="E2846" s="21" t="inlineStr">
        <is>
          <t>SİNAN TANRIVERDİ</t>
        </is>
      </c>
      <c r="F2846" s="23" t="n">
        <v>257646</v>
      </c>
      <c r="G2846" s="138" t="n"/>
      <c r="H2846" s="138" t="n">
        <v>333</v>
      </c>
      <c r="I2846" s="138">
        <f>+I2845+(G2846-H2846)</f>
        <v/>
      </c>
      <c r="J2846" s="139" t="n">
        <v>40.1</v>
      </c>
      <c r="K2846" s="140" t="n"/>
      <c r="L2846" s="140">
        <f>+H2846*J2846</f>
        <v/>
      </c>
      <c r="M2846" s="141">
        <f>SUM(M2845+K2846-L2846)</f>
        <v/>
      </c>
    </row>
    <row r="2847">
      <c r="A2847" s="20" t="n">
        <v>45821</v>
      </c>
      <c r="B2847" s="21" t="n">
        <v>15209</v>
      </c>
      <c r="C2847" s="22" t="inlineStr">
        <is>
          <t>SELİM İNŞAAT</t>
        </is>
      </c>
      <c r="D2847" s="21" t="inlineStr">
        <is>
          <t>34 DSN 565</t>
        </is>
      </c>
      <c r="E2847" s="21" t="inlineStr">
        <is>
          <t>FUAT AYKUL</t>
        </is>
      </c>
      <c r="F2847" s="23" t="n">
        <v>401833</v>
      </c>
      <c r="G2847" s="138" t="n"/>
      <c r="H2847" s="138" t="n">
        <v>251</v>
      </c>
      <c r="I2847" s="138">
        <f>+I2846+(G2847-H2847)</f>
        <v/>
      </c>
      <c r="J2847" s="139" t="n">
        <v>40.1</v>
      </c>
      <c r="K2847" s="140" t="n"/>
      <c r="L2847" s="140">
        <f>+H2847*J2847</f>
        <v/>
      </c>
      <c r="M2847" s="141">
        <f>SUM(M2846+K2847-L2847)</f>
        <v/>
      </c>
    </row>
    <row r="2848">
      <c r="A2848" s="20" t="n">
        <v>45821</v>
      </c>
      <c r="B2848" s="21" t="n">
        <v>10549</v>
      </c>
      <c r="C2848" s="22" t="inlineStr">
        <is>
          <t>SELİM İNŞAAT</t>
        </is>
      </c>
      <c r="D2848" s="21" t="inlineStr">
        <is>
          <t>34 EDB 922</t>
        </is>
      </c>
      <c r="E2848" s="21" t="inlineStr">
        <is>
          <t>AHMET TOPÇU</t>
        </is>
      </c>
      <c r="F2848" s="23" t="n">
        <v>361588</v>
      </c>
      <c r="G2848" s="138" t="n"/>
      <c r="H2848" s="138" t="n">
        <v>358</v>
      </c>
      <c r="I2848" s="138">
        <f>+I2847+(G2848-H2848)</f>
        <v/>
      </c>
      <c r="J2848" s="139" t="n">
        <v>40.1</v>
      </c>
      <c r="K2848" s="140" t="n"/>
      <c r="L2848" s="140">
        <f>+H2848*J2848</f>
        <v/>
      </c>
      <c r="M2848" s="141">
        <f>SUM(M2847+K2848-L2848)</f>
        <v/>
      </c>
    </row>
    <row r="2849">
      <c r="A2849" s="20" t="n">
        <v>45821</v>
      </c>
      <c r="B2849" s="21" t="n">
        <v>11746</v>
      </c>
      <c r="C2849" s="22" t="inlineStr">
        <is>
          <t>SELİM İNŞAAT</t>
        </is>
      </c>
      <c r="D2849" s="21" t="inlineStr">
        <is>
          <t>34 EDB 559</t>
        </is>
      </c>
      <c r="E2849" s="21" t="inlineStr">
        <is>
          <t>FUAT AYKUL</t>
        </is>
      </c>
      <c r="F2849" s="23" t="n">
        <v>322620</v>
      </c>
      <c r="G2849" s="138" t="n"/>
      <c r="H2849" s="138" t="n">
        <v>421</v>
      </c>
      <c r="I2849" s="138">
        <f>+I2848+(G2849-H2849)</f>
        <v/>
      </c>
      <c r="J2849" s="139" t="n">
        <v>40.1</v>
      </c>
      <c r="K2849" s="140" t="n"/>
      <c r="L2849" s="140">
        <f>+H2849*J2849</f>
        <v/>
      </c>
      <c r="M2849" s="141">
        <f>SUM(M2848+K2849-L2849)</f>
        <v/>
      </c>
    </row>
    <row r="2850">
      <c r="A2850" s="20" t="n">
        <v>45821</v>
      </c>
      <c r="B2850" s="21" t="n">
        <v>14760</v>
      </c>
      <c r="C2850" s="22" t="inlineStr">
        <is>
          <t>SELİM İNŞAAT</t>
        </is>
      </c>
      <c r="D2850" s="21" t="inlineStr">
        <is>
          <t>34 GYZ 635</t>
        </is>
      </c>
      <c r="E2850" s="21" t="inlineStr">
        <is>
          <t>MURAT DEMİRBAŞ</t>
        </is>
      </c>
      <c r="F2850" s="23" t="n">
        <v>171881</v>
      </c>
      <c r="G2850" s="138" t="n"/>
      <c r="H2850" s="138" t="n">
        <v>242</v>
      </c>
      <c r="I2850" s="138">
        <f>+I2849+(G2850-H2850)</f>
        <v/>
      </c>
      <c r="J2850" s="139" t="n">
        <v>40.1</v>
      </c>
      <c r="K2850" s="140" t="n"/>
      <c r="L2850" s="140">
        <f>+H2850*J2850</f>
        <v/>
      </c>
      <c r="M2850" s="141">
        <f>SUM(M2849+K2850-L2850)</f>
        <v/>
      </c>
    </row>
    <row r="2851">
      <c r="A2851" s="20" t="n">
        <v>45821</v>
      </c>
      <c r="B2851" s="21" t="n">
        <v>14340</v>
      </c>
      <c r="C2851" s="22" t="inlineStr">
        <is>
          <t>SELİM İNŞAAT</t>
        </is>
      </c>
      <c r="D2851" s="21" t="inlineStr">
        <is>
          <t>34 DKL 866</t>
        </is>
      </c>
      <c r="E2851" s="21" t="inlineStr">
        <is>
          <t>SELİM CAN ÖNVER</t>
        </is>
      </c>
      <c r="F2851" s="23" t="n">
        <v>65780</v>
      </c>
      <c r="G2851" s="138" t="n"/>
      <c r="H2851" s="138" t="n">
        <v>134</v>
      </c>
      <c r="I2851" s="138">
        <f>+I2850+(G2851-H2851)</f>
        <v/>
      </c>
      <c r="J2851" s="139" t="n">
        <v>40.1</v>
      </c>
      <c r="K2851" s="140" t="n"/>
      <c r="L2851" s="140">
        <f>+H2851*J2851</f>
        <v/>
      </c>
      <c r="M2851" s="141">
        <f>SUM(M2850+K2851-L2851)</f>
        <v/>
      </c>
    </row>
    <row r="2852">
      <c r="A2852" s="20" t="n">
        <v>45821</v>
      </c>
      <c r="B2852" s="21" t="n">
        <v>14737</v>
      </c>
      <c r="C2852" s="22" t="inlineStr">
        <is>
          <t>METİN ERYİĞİT</t>
        </is>
      </c>
      <c r="D2852" s="21" t="inlineStr">
        <is>
          <t>34 GBL 998</t>
        </is>
      </c>
      <c r="E2852" s="21" t="inlineStr">
        <is>
          <t>ALİ KESKİN</t>
        </is>
      </c>
      <c r="F2852" s="23" t="n">
        <v>267572</v>
      </c>
      <c r="G2852" s="138" t="n"/>
      <c r="H2852" s="138" t="n">
        <v>150</v>
      </c>
      <c r="I2852" s="138">
        <f>+I2851+(G2852-H2852)</f>
        <v/>
      </c>
      <c r="J2852" s="139" t="n">
        <v>40.1</v>
      </c>
      <c r="K2852" s="140" t="n"/>
      <c r="L2852" s="140">
        <f>+H2852*J2852</f>
        <v/>
      </c>
      <c r="M2852" s="141">
        <f>SUM(M2851+K2852-L2852)</f>
        <v/>
      </c>
    </row>
    <row r="2853">
      <c r="A2853" s="20" t="n">
        <v>45821</v>
      </c>
      <c r="B2853" s="21" t="n">
        <v>15662</v>
      </c>
      <c r="C2853" s="22" t="inlineStr">
        <is>
          <t>METİN ERYİĞİT</t>
        </is>
      </c>
      <c r="D2853" s="21" t="inlineStr">
        <is>
          <t>34 EGR 814</t>
        </is>
      </c>
      <c r="E2853" s="21" t="inlineStr">
        <is>
          <t>GÜRAY KOYUNCU</t>
        </is>
      </c>
      <c r="F2853" s="23" t="n">
        <v>541413</v>
      </c>
      <c r="G2853" s="138" t="n"/>
      <c r="H2853" s="138" t="n">
        <v>376</v>
      </c>
      <c r="I2853" s="138">
        <f>+I2852+(G2853-H2853)</f>
        <v/>
      </c>
      <c r="J2853" s="139" t="n">
        <v>40.1</v>
      </c>
      <c r="K2853" s="140" t="n"/>
      <c r="L2853" s="140">
        <f>+H2853*J2853</f>
        <v/>
      </c>
      <c r="M2853" s="141">
        <f>SUM(M2852+K2853-L2853)</f>
        <v/>
      </c>
    </row>
    <row r="2854">
      <c r="A2854" s="20" t="n">
        <v>45821</v>
      </c>
      <c r="B2854" s="21" t="n">
        <v>8862</v>
      </c>
      <c r="C2854" s="22" t="inlineStr">
        <is>
          <t>MAHMUT VİNÇ</t>
        </is>
      </c>
      <c r="D2854" s="21" t="inlineStr">
        <is>
          <t>34 AH 5401</t>
        </is>
      </c>
      <c r="E2854" s="21" t="inlineStr">
        <is>
          <t>MAHMUT YAKUPOĞLU</t>
        </is>
      </c>
      <c r="F2854" s="23" t="n"/>
      <c r="G2854" s="138" t="n"/>
      <c r="H2854" s="138" t="n">
        <v>74</v>
      </c>
      <c r="I2854" s="138">
        <f>+I2853+(G2854-H2854)</f>
        <v/>
      </c>
      <c r="J2854" s="139" t="n">
        <v>40.1</v>
      </c>
      <c r="K2854" s="140" t="n"/>
      <c r="L2854" s="140">
        <f>+H2854*J2854</f>
        <v/>
      </c>
      <c r="M2854" s="141">
        <f>SUM(M2853+K2854-L2854)</f>
        <v/>
      </c>
    </row>
    <row r="2855">
      <c r="A2855" s="20" t="n">
        <v>45821</v>
      </c>
      <c r="B2855" s="21" t="n">
        <v>8863</v>
      </c>
      <c r="C2855" s="22" t="inlineStr">
        <is>
          <t>SELİM İNŞAAT</t>
        </is>
      </c>
      <c r="D2855" s="21" t="inlineStr">
        <is>
          <t>34 FVU 827</t>
        </is>
      </c>
      <c r="E2855" s="21" t="inlineStr">
        <is>
          <t>YILMAZ ÇELEBİ</t>
        </is>
      </c>
      <c r="F2855" s="23" t="n"/>
      <c r="G2855" s="138" t="n"/>
      <c r="H2855" s="138" t="n">
        <v>49</v>
      </c>
      <c r="I2855" s="138">
        <f>+I2854+(G2855-H2855)</f>
        <v/>
      </c>
      <c r="J2855" s="139" t="n">
        <v>40.1</v>
      </c>
      <c r="K2855" s="140" t="n"/>
      <c r="L2855" s="140">
        <f>+H2855*J2855</f>
        <v/>
      </c>
      <c r="M2855" s="141">
        <f>SUM(M2854+K2855-L2855)</f>
        <v/>
      </c>
    </row>
    <row r="2856">
      <c r="A2856" s="20" t="n">
        <v>45821</v>
      </c>
      <c r="B2856" s="1" t="n">
        <v>15850</v>
      </c>
      <c r="C2856" s="2" t="inlineStr">
        <is>
          <t>CEVİZ MOBİLYA</t>
        </is>
      </c>
      <c r="D2856" s="1" t="inlineStr">
        <is>
          <t>SM 350</t>
        </is>
      </c>
      <c r="E2856" s="1" t="inlineStr">
        <is>
          <t>TEVFİK ÖZTÜRK</t>
        </is>
      </c>
      <c r="F2856" s="3" t="n"/>
      <c r="G2856" s="143" t="n"/>
      <c r="H2856" s="143" t="n">
        <v>410</v>
      </c>
      <c r="I2856" s="143">
        <f>+I2855+(G2856-H2856)</f>
        <v/>
      </c>
      <c r="J2856" s="144" t="n">
        <v>40.1</v>
      </c>
      <c r="K2856" s="145" t="n"/>
      <c r="L2856" s="140">
        <f>+H2856*J2856</f>
        <v/>
      </c>
      <c r="M2856" s="141">
        <f>SUM(M2855+K2856-L2856)</f>
        <v/>
      </c>
    </row>
    <row r="2857">
      <c r="A2857" s="20" t="n">
        <v>45821</v>
      </c>
      <c r="B2857" s="1" t="n">
        <v>11011</v>
      </c>
      <c r="C2857" s="2" t="inlineStr">
        <is>
          <t>VARLIK</t>
        </is>
      </c>
      <c r="D2857" s="1" t="inlineStr">
        <is>
          <t>SM 350</t>
        </is>
      </c>
      <c r="E2857" s="1" t="inlineStr">
        <is>
          <t>BAYRAM SANCAK</t>
        </is>
      </c>
      <c r="F2857" s="3" t="n"/>
      <c r="G2857" s="143" t="n"/>
      <c r="H2857" s="143" t="n">
        <v>241</v>
      </c>
      <c r="I2857" s="143">
        <f>+I2856+(G2857-H2857)</f>
        <v/>
      </c>
      <c r="J2857" s="144" t="n">
        <v>40.1</v>
      </c>
      <c r="K2857" s="145" t="n"/>
      <c r="L2857" s="140">
        <f>+H2857*J2857</f>
        <v/>
      </c>
      <c r="M2857" s="141">
        <f>SUM(M2856+K2857-L2857)</f>
        <v/>
      </c>
    </row>
    <row r="2858">
      <c r="A2858" s="20" t="n">
        <v>45821</v>
      </c>
      <c r="B2858" s="1" t="n">
        <v>11012</v>
      </c>
      <c r="C2858" s="2" t="inlineStr">
        <is>
          <t>VARLIK</t>
        </is>
      </c>
      <c r="D2858" s="1" t="inlineStr">
        <is>
          <t>SM 300</t>
        </is>
      </c>
      <c r="E2858" s="1" t="inlineStr">
        <is>
          <t>TURGUT SANCAK</t>
        </is>
      </c>
      <c r="F2858" s="3" t="n"/>
      <c r="G2858" s="143" t="n"/>
      <c r="H2858" s="143" t="n">
        <v>232</v>
      </c>
      <c r="I2858" s="143">
        <f>+I2857+(G2858-H2858)</f>
        <v/>
      </c>
      <c r="J2858" s="144" t="n">
        <v>40.1</v>
      </c>
      <c r="K2858" s="145" t="n"/>
      <c r="L2858" s="140">
        <f>+H2858*J2858</f>
        <v/>
      </c>
      <c r="M2858" s="141">
        <f>SUM(M2857+K2858-L2858)</f>
        <v/>
      </c>
    </row>
    <row r="2859">
      <c r="A2859" s="20" t="n">
        <v>45821</v>
      </c>
      <c r="B2859" s="1" t="n">
        <v>11013</v>
      </c>
      <c r="C2859" s="2" t="inlineStr">
        <is>
          <t>VARLIK</t>
        </is>
      </c>
      <c r="D2859" s="1" t="inlineStr">
        <is>
          <t>KAVAZAKİ</t>
        </is>
      </c>
      <c r="E2859" s="1" t="inlineStr">
        <is>
          <t>RAMAZAN KAYA</t>
        </is>
      </c>
      <c r="F2859" s="3" t="n"/>
      <c r="G2859" s="143" t="n"/>
      <c r="H2859" s="143" t="n">
        <v>227</v>
      </c>
      <c r="I2859" s="143">
        <f>+I2858+(G2859-H2859)</f>
        <v/>
      </c>
      <c r="J2859" s="144" t="n">
        <v>40.1</v>
      </c>
      <c r="K2859" s="145" t="n"/>
      <c r="L2859" s="140">
        <f>+H2859*J2859</f>
        <v/>
      </c>
      <c r="M2859" s="141">
        <f>SUM(M2858+K2859-L2859)</f>
        <v/>
      </c>
    </row>
    <row r="2860">
      <c r="A2860" s="20" t="n">
        <v>45821</v>
      </c>
      <c r="B2860" s="1" t="n">
        <v>11015</v>
      </c>
      <c r="C2860" s="2" t="inlineStr">
        <is>
          <t>CEVİZ MOBİLYA</t>
        </is>
      </c>
      <c r="D2860" s="1" t="inlineStr">
        <is>
          <t xml:space="preserve">SM 350 </t>
        </is>
      </c>
      <c r="E2860" s="1" t="inlineStr">
        <is>
          <t>TEVFİK ÖZTÜRK</t>
        </is>
      </c>
      <c r="F2860" s="3" t="n"/>
      <c r="G2860" s="143" t="n"/>
      <c r="H2860" s="143" t="n">
        <v>321</v>
      </c>
      <c r="I2860" s="143">
        <f>+I2859+(G2860-H2860)</f>
        <v/>
      </c>
      <c r="J2860" s="144" t="n">
        <v>40.1</v>
      </c>
      <c r="K2860" s="145" t="n"/>
      <c r="L2860" s="140">
        <f>+H2860*J2860</f>
        <v/>
      </c>
      <c r="M2860" s="141">
        <f>SUM(M2859+K2860-L2860)</f>
        <v/>
      </c>
    </row>
    <row r="2861">
      <c r="A2861" s="20" t="n">
        <v>45821</v>
      </c>
      <c r="B2861" s="1" t="n">
        <v>11016</v>
      </c>
      <c r="C2861" s="2" t="inlineStr">
        <is>
          <t>CEVİZ MOBİLYA</t>
        </is>
      </c>
      <c r="D2861" s="1" t="inlineStr">
        <is>
          <t>SM 370</t>
        </is>
      </c>
      <c r="E2861" s="1" t="inlineStr">
        <is>
          <t>TEKİN ŞEYLAN</t>
        </is>
      </c>
      <c r="F2861" s="3" t="n"/>
      <c r="G2861" s="143" t="n"/>
      <c r="H2861" s="143" t="n">
        <v>449</v>
      </c>
      <c r="I2861" s="143">
        <f>+I2860+(G2861-H2861)</f>
        <v/>
      </c>
      <c r="J2861" s="144" t="n">
        <v>40.1</v>
      </c>
      <c r="K2861" s="145" t="n"/>
      <c r="L2861" s="140">
        <f>+H2861*J2861</f>
        <v/>
      </c>
      <c r="M2861" s="141">
        <f>SUM(M2860+K2861-L2861)</f>
        <v/>
      </c>
    </row>
    <row r="2862">
      <c r="A2862" s="20" t="n">
        <v>45821</v>
      </c>
      <c r="B2862" s="1" t="n">
        <v>11017</v>
      </c>
      <c r="C2862" s="2" t="inlineStr">
        <is>
          <t>VARLIK</t>
        </is>
      </c>
      <c r="D2862" s="1" t="inlineStr">
        <is>
          <t xml:space="preserve">YENİ VİNÇ </t>
        </is>
      </c>
      <c r="E2862" s="1" t="inlineStr">
        <is>
          <t>BEYTULLAH SELİM</t>
        </is>
      </c>
      <c r="F2862" s="3" t="n"/>
      <c r="G2862" s="143" t="n"/>
      <c r="H2862" s="143" t="n">
        <v>351</v>
      </c>
      <c r="I2862" s="143">
        <f>+I2861+(G2862-H2862)</f>
        <v/>
      </c>
      <c r="J2862" s="144" t="n">
        <v>40.1</v>
      </c>
      <c r="K2862" s="145" t="n"/>
      <c r="L2862" s="140">
        <f>+H2862*J2862</f>
        <v/>
      </c>
      <c r="M2862" s="141">
        <f>SUM(M2861+K2862-L2862)</f>
        <v/>
      </c>
    </row>
    <row r="2863">
      <c r="A2863" s="20" t="n">
        <v>45821</v>
      </c>
      <c r="B2863" s="21" t="n">
        <v>14182</v>
      </c>
      <c r="C2863" s="22" t="inlineStr">
        <is>
          <t>AZGÜN YAPI</t>
        </is>
      </c>
      <c r="D2863" s="21" t="inlineStr">
        <is>
          <t>34 DTV 263</t>
        </is>
      </c>
      <c r="E2863" s="21" t="inlineStr">
        <is>
          <t>İBRAHİM GÜLLÜK</t>
        </is>
      </c>
      <c r="F2863" s="23" t="n"/>
      <c r="G2863" s="138" t="n"/>
      <c r="H2863" s="138" t="n">
        <v>320</v>
      </c>
      <c r="I2863" s="138">
        <f>+I2862+(G2863-H2863)</f>
        <v/>
      </c>
      <c r="J2863" s="139" t="n"/>
      <c r="K2863" s="140" t="n"/>
      <c r="L2863" s="140">
        <f>+H2863*J2863</f>
        <v/>
      </c>
      <c r="M2863" s="141">
        <f>SUM(M2862+K2863-L2863)</f>
        <v/>
      </c>
    </row>
    <row r="2864">
      <c r="A2864" s="20" t="n">
        <v>45822</v>
      </c>
      <c r="B2864" s="21" t="n">
        <v>15568</v>
      </c>
      <c r="C2864" s="22" t="inlineStr">
        <is>
          <t>SELİM İNŞAAT</t>
        </is>
      </c>
      <c r="D2864" s="21" t="inlineStr">
        <is>
          <t>34 GUS 745</t>
        </is>
      </c>
      <c r="E2864" s="21" t="inlineStr">
        <is>
          <t>MUHAMMED YİĞİT</t>
        </is>
      </c>
      <c r="F2864" s="23" t="n">
        <v>185842</v>
      </c>
      <c r="G2864" s="138" t="n"/>
      <c r="H2864" s="138" t="n">
        <v>316</v>
      </c>
      <c r="I2864" s="138">
        <f>+I2863+(G2864-H2864)</f>
        <v/>
      </c>
      <c r="J2864" s="139" t="n">
        <v>40.1</v>
      </c>
      <c r="K2864" s="140" t="n"/>
      <c r="L2864" s="140">
        <f>+H2864*J2864</f>
        <v/>
      </c>
      <c r="M2864" s="141">
        <f>SUM(M2863+K2864-L2864)</f>
        <v/>
      </c>
    </row>
    <row r="2865">
      <c r="A2865" s="20" t="n">
        <v>45822</v>
      </c>
      <c r="B2865" s="21" t="n">
        <v>14038</v>
      </c>
      <c r="C2865" s="22" t="inlineStr">
        <is>
          <t>SELİM İNŞAAT</t>
        </is>
      </c>
      <c r="D2865" s="21" t="inlineStr">
        <is>
          <t>34 GUS 310</t>
        </is>
      </c>
      <c r="E2865" s="21" t="inlineStr">
        <is>
          <t>CELAL YÜZBAŞI</t>
        </is>
      </c>
      <c r="F2865" s="23" t="n">
        <v>197486</v>
      </c>
      <c r="G2865" s="138" t="n"/>
      <c r="H2865" s="138" t="n">
        <v>178</v>
      </c>
      <c r="I2865" s="138">
        <f>+I2864+(G2865-H2865)</f>
        <v/>
      </c>
      <c r="J2865" s="139" t="n">
        <v>40.1</v>
      </c>
      <c r="K2865" s="140" t="n"/>
      <c r="L2865" s="140">
        <f>+H2865*J2865</f>
        <v/>
      </c>
      <c r="M2865" s="141">
        <f>SUM(M2864+K2865-L2865)</f>
        <v/>
      </c>
    </row>
    <row r="2866">
      <c r="A2866" s="20" t="n">
        <v>45822</v>
      </c>
      <c r="B2866" s="21" t="n">
        <v>15157</v>
      </c>
      <c r="C2866" s="22" t="inlineStr">
        <is>
          <t>SELİM İNŞAAT</t>
        </is>
      </c>
      <c r="D2866" s="21" t="inlineStr">
        <is>
          <t>34 DP 4161</t>
        </is>
      </c>
      <c r="E2866" s="21" t="inlineStr">
        <is>
          <t>RIFAT KARATAY</t>
        </is>
      </c>
      <c r="F2866" s="23" t="n">
        <v>286535</v>
      </c>
      <c r="G2866" s="138" t="n"/>
      <c r="H2866" s="138" t="n">
        <v>263</v>
      </c>
      <c r="I2866" s="138">
        <f>+I2865+(G2866-H2866)</f>
        <v/>
      </c>
      <c r="J2866" s="139" t="n">
        <v>40.1</v>
      </c>
      <c r="K2866" s="140" t="n"/>
      <c r="L2866" s="140">
        <f>+H2866*J2866</f>
        <v/>
      </c>
      <c r="M2866" s="141">
        <f>SUM(M2865+K2866-L2866)</f>
        <v/>
      </c>
    </row>
    <row r="2867">
      <c r="A2867" s="20" t="n">
        <v>45822</v>
      </c>
      <c r="B2867" s="21" t="n">
        <v>14530</v>
      </c>
      <c r="C2867" s="22" t="inlineStr">
        <is>
          <t>SELİM İNŞAAT</t>
        </is>
      </c>
      <c r="D2867" s="21" t="inlineStr">
        <is>
          <t>34 GER 028</t>
        </is>
      </c>
      <c r="E2867" s="21" t="inlineStr">
        <is>
          <t>A.KERİM ERGEN</t>
        </is>
      </c>
      <c r="F2867" s="23" t="n">
        <v>44374</v>
      </c>
      <c r="G2867" s="138" t="n"/>
      <c r="H2867" s="138" t="n">
        <v>200</v>
      </c>
      <c r="I2867" s="138">
        <f>+I2866+(G2867-H2867)</f>
        <v/>
      </c>
      <c r="J2867" s="139" t="n">
        <v>40.1</v>
      </c>
      <c r="K2867" s="140" t="n"/>
      <c r="L2867" s="140">
        <f>+H2867*J2867</f>
        <v/>
      </c>
      <c r="M2867" s="141">
        <f>SUM(M2866+K2867-L2867)</f>
        <v/>
      </c>
    </row>
    <row r="2868">
      <c r="A2868" s="20" t="n">
        <v>45822</v>
      </c>
      <c r="B2868" s="21" t="n">
        <v>21150</v>
      </c>
      <c r="C2868" s="22" t="inlineStr">
        <is>
          <t>SELİM İNŞAAT</t>
        </is>
      </c>
      <c r="D2868" s="21" t="inlineStr">
        <is>
          <t>34 TG 7869</t>
        </is>
      </c>
      <c r="E2868" s="21" t="inlineStr">
        <is>
          <t>GÖRKEM KARAYEL</t>
        </is>
      </c>
      <c r="F2868" s="23" t="n">
        <v>182750</v>
      </c>
      <c r="G2868" s="138" t="n"/>
      <c r="H2868" s="138" t="n">
        <v>295</v>
      </c>
      <c r="I2868" s="138">
        <f>+I2867+(G2868-H2868)</f>
        <v/>
      </c>
      <c r="J2868" s="139" t="n">
        <v>40.1</v>
      </c>
      <c r="K2868" s="140" t="n"/>
      <c r="L2868" s="140">
        <f>+H2868*J2868</f>
        <v/>
      </c>
      <c r="M2868" s="141">
        <f>SUM(M2867+K2868-L2868)</f>
        <v/>
      </c>
    </row>
    <row r="2869">
      <c r="A2869" s="20" t="n">
        <v>45822</v>
      </c>
      <c r="B2869" s="21" t="n">
        <v>14634</v>
      </c>
      <c r="C2869" s="22" t="inlineStr">
        <is>
          <t>SELİM İNŞAAT</t>
        </is>
      </c>
      <c r="D2869" s="21" t="inlineStr">
        <is>
          <t>34 GER 445</t>
        </is>
      </c>
      <c r="E2869" s="21" t="inlineStr">
        <is>
          <t>HASAN BAYCAN</t>
        </is>
      </c>
      <c r="F2869" s="23" t="n">
        <v>42687</v>
      </c>
      <c r="G2869" s="138" t="n"/>
      <c r="H2869" s="138" t="n">
        <v>113</v>
      </c>
      <c r="I2869" s="138">
        <f>+I2868+(G2869-H2869)</f>
        <v/>
      </c>
      <c r="J2869" s="139" t="n">
        <v>40.1</v>
      </c>
      <c r="K2869" s="140" t="n"/>
      <c r="L2869" s="140">
        <f>+H2869*J2869</f>
        <v/>
      </c>
      <c r="M2869" s="141">
        <f>SUM(M2868+K2869-L2869)</f>
        <v/>
      </c>
    </row>
    <row r="2870">
      <c r="A2870" s="20" t="n">
        <v>45822</v>
      </c>
      <c r="B2870" s="21" t="n">
        <v>14380</v>
      </c>
      <c r="C2870" s="22" t="inlineStr">
        <is>
          <t>SELİM İNŞAAT</t>
        </is>
      </c>
      <c r="D2870" s="21" t="inlineStr">
        <is>
          <t>34 DKL 798</t>
        </is>
      </c>
      <c r="E2870" s="21" t="inlineStr">
        <is>
          <t>VOLKAN YANAR</t>
        </is>
      </c>
      <c r="F2870" s="23" t="n">
        <v>65858</v>
      </c>
      <c r="G2870" s="138" t="n"/>
      <c r="H2870" s="138" t="n">
        <v>222</v>
      </c>
      <c r="I2870" s="138">
        <f>+I2869+(G2870-H2870)</f>
        <v/>
      </c>
      <c r="J2870" s="139" t="n">
        <v>40.1</v>
      </c>
      <c r="K2870" s="140" t="n"/>
      <c r="L2870" s="140">
        <f>+H2870*J2870</f>
        <v/>
      </c>
      <c r="M2870" s="141">
        <f>SUM(M2869+K2870-L2870)</f>
        <v/>
      </c>
    </row>
    <row r="2871">
      <c r="A2871" s="20" t="n">
        <v>45822</v>
      </c>
      <c r="B2871" s="21" t="n">
        <v>21329</v>
      </c>
      <c r="C2871" s="22" t="inlineStr">
        <is>
          <t>SELİM İNŞAAT</t>
        </is>
      </c>
      <c r="D2871" s="21" t="inlineStr">
        <is>
          <t>34 FEM 934</t>
        </is>
      </c>
      <c r="E2871" s="21" t="inlineStr">
        <is>
          <t>TURAN SEVİNDİK</t>
        </is>
      </c>
      <c r="F2871" s="23" t="n">
        <v>310409</v>
      </c>
      <c r="G2871" s="138" t="n"/>
      <c r="H2871" s="138" t="n">
        <v>85</v>
      </c>
      <c r="I2871" s="138">
        <f>+I2870+(G2871-H2871)</f>
        <v/>
      </c>
      <c r="J2871" s="139" t="n">
        <v>40.1</v>
      </c>
      <c r="K2871" s="140" t="n"/>
      <c r="L2871" s="140">
        <f>+H2871*J2871</f>
        <v/>
      </c>
      <c r="M2871" s="141">
        <f>SUM(M2870+K2871-L2871)</f>
        <v/>
      </c>
    </row>
    <row r="2872">
      <c r="A2872" s="20" t="n">
        <v>45822</v>
      </c>
      <c r="B2872" s="21" t="n">
        <v>16742</v>
      </c>
      <c r="C2872" s="22" t="inlineStr">
        <is>
          <t>SELİM İNŞAAT</t>
        </is>
      </c>
      <c r="D2872" s="21" t="inlineStr">
        <is>
          <t>34 JBA 25</t>
        </is>
      </c>
      <c r="E2872" s="21" t="inlineStr">
        <is>
          <t>ABDURRAHMAN SERDAN</t>
        </is>
      </c>
      <c r="F2872" s="23" t="n">
        <v>335233</v>
      </c>
      <c r="G2872" s="138" t="n"/>
      <c r="H2872" s="138" t="n">
        <v>79</v>
      </c>
      <c r="I2872" s="138">
        <f>+I2871+(G2872-H2872)</f>
        <v/>
      </c>
      <c r="J2872" s="139" t="n">
        <v>40.1</v>
      </c>
      <c r="K2872" s="140" t="n"/>
      <c r="L2872" s="140">
        <f>+H2872*J2872</f>
        <v/>
      </c>
      <c r="M2872" s="141">
        <f>SUM(M2871+K2872-L2872)</f>
        <v/>
      </c>
    </row>
    <row r="2873">
      <c r="A2873" s="20" t="n">
        <v>45822</v>
      </c>
      <c r="B2873" s="21" t="n">
        <v>11374</v>
      </c>
      <c r="C2873" s="22" t="inlineStr">
        <is>
          <t>AZGÜN YAPI</t>
        </is>
      </c>
      <c r="D2873" s="21" t="inlineStr">
        <is>
          <t>34 MKT 859</t>
        </is>
      </c>
      <c r="E2873" s="21" t="inlineStr">
        <is>
          <t>HASAN ALTUN</t>
        </is>
      </c>
      <c r="F2873" s="23" t="n">
        <v>40042</v>
      </c>
      <c r="G2873" s="138" t="n"/>
      <c r="H2873" s="138" t="n">
        <v>822</v>
      </c>
      <c r="I2873" s="138">
        <f>+I2872+(G2873-H2873)</f>
        <v/>
      </c>
      <c r="J2873" s="139" t="n">
        <v>40.1</v>
      </c>
      <c r="K2873" s="140" t="n"/>
      <c r="L2873" s="140">
        <f>+H2873*J2873</f>
        <v/>
      </c>
      <c r="M2873" s="141">
        <f>SUM(M2872+K2873-L2873)</f>
        <v/>
      </c>
    </row>
    <row r="2874">
      <c r="A2874" s="20" t="n">
        <v>45822</v>
      </c>
      <c r="B2874" s="21" t="n">
        <v>15608</v>
      </c>
      <c r="C2874" s="22" t="inlineStr">
        <is>
          <t>METİN ERYİĞİT</t>
        </is>
      </c>
      <c r="D2874" s="21" t="inlineStr">
        <is>
          <t>34 EGS 013</t>
        </is>
      </c>
      <c r="E2874" s="21" t="inlineStr">
        <is>
          <t xml:space="preserve">UĞUR DUMAN </t>
        </is>
      </c>
      <c r="F2874" s="23" t="n">
        <v>488029</v>
      </c>
      <c r="G2874" s="138" t="n"/>
      <c r="H2874" s="138" t="n">
        <v>468</v>
      </c>
      <c r="I2874" s="138">
        <f>+I2873+(G2874-H2874)</f>
        <v/>
      </c>
      <c r="J2874" s="139" t="n">
        <v>40.1</v>
      </c>
      <c r="K2874" s="140" t="n"/>
      <c r="L2874" s="140">
        <f>+H2874*J2874</f>
        <v/>
      </c>
      <c r="M2874" s="141">
        <f>SUM(M2873+K2874-L2874)</f>
        <v/>
      </c>
    </row>
    <row r="2875">
      <c r="A2875" s="20" t="n">
        <v>45822</v>
      </c>
      <c r="B2875" s="1" t="n">
        <v>11018</v>
      </c>
      <c r="C2875" s="2" t="inlineStr">
        <is>
          <t>EVKUR</t>
        </is>
      </c>
      <c r="D2875" s="1" t="inlineStr">
        <is>
          <t xml:space="preserve">SM 350 </t>
        </is>
      </c>
      <c r="E2875" s="1" t="inlineStr">
        <is>
          <t>BAYRAM SANCAK</t>
        </is>
      </c>
      <c r="F2875" s="3" t="n"/>
      <c r="G2875" s="143" t="n"/>
      <c r="H2875" s="143" t="n">
        <v>471</v>
      </c>
      <c r="I2875" s="143">
        <f>+I2874+(G2875-H2875)</f>
        <v/>
      </c>
      <c r="J2875" s="144" t="n">
        <v>40.1</v>
      </c>
      <c r="K2875" s="145" t="n"/>
      <c r="L2875" s="140">
        <f>+H2875*J2875</f>
        <v/>
      </c>
      <c r="M2875" s="141">
        <f>SUM(M2874+K2875-L2875)</f>
        <v/>
      </c>
    </row>
    <row r="2876">
      <c r="A2876" s="20" t="n">
        <v>45822</v>
      </c>
      <c r="B2876" s="1" t="n">
        <v>11019</v>
      </c>
      <c r="C2876" s="2" t="inlineStr">
        <is>
          <t>VARLIK</t>
        </is>
      </c>
      <c r="D2876" s="1" t="inlineStr">
        <is>
          <t>KAVAZAKİ</t>
        </is>
      </c>
      <c r="E2876" s="1" t="inlineStr">
        <is>
          <t>UFUK SEVAL</t>
        </is>
      </c>
      <c r="F2876" s="3" t="n"/>
      <c r="G2876" s="143" t="n"/>
      <c r="H2876" s="143" t="n">
        <v>197</v>
      </c>
      <c r="I2876" s="143">
        <f>+I2875+(G2876-H2876)</f>
        <v/>
      </c>
      <c r="J2876" s="144" t="n">
        <v>40.1</v>
      </c>
      <c r="K2876" s="145" t="n"/>
      <c r="L2876" s="140">
        <f>+H2876*J2876</f>
        <v/>
      </c>
      <c r="M2876" s="141">
        <f>SUM(M2875+K2876-L2876)</f>
        <v/>
      </c>
    </row>
    <row r="2877">
      <c r="A2877" s="20" t="n">
        <v>45822</v>
      </c>
      <c r="B2877" s="1" t="n">
        <v>11020</v>
      </c>
      <c r="C2877" s="2" t="inlineStr">
        <is>
          <t>VARLIK</t>
        </is>
      </c>
      <c r="D2877" s="1" t="inlineStr">
        <is>
          <t>SM 300</t>
        </is>
      </c>
      <c r="E2877" s="1" t="inlineStr">
        <is>
          <t>TURGUT SANCAK</t>
        </is>
      </c>
      <c r="F2877" s="3" t="n"/>
      <c r="G2877" s="143" t="n"/>
      <c r="H2877" s="143" t="n">
        <v>353</v>
      </c>
      <c r="I2877" s="143">
        <f>+I2876+(G2877-H2877)</f>
        <v/>
      </c>
      <c r="J2877" s="144" t="n">
        <v>40.1</v>
      </c>
      <c r="K2877" s="145" t="n"/>
      <c r="L2877" s="140">
        <f>+H2877*J2877</f>
        <v/>
      </c>
      <c r="M2877" s="141">
        <f>SUM(M2876+K2877-L2877)</f>
        <v/>
      </c>
    </row>
    <row r="2878">
      <c r="A2878" s="20" t="n">
        <v>45822</v>
      </c>
      <c r="B2878" s="1" t="n">
        <v>11021</v>
      </c>
      <c r="C2878" s="2" t="inlineStr">
        <is>
          <t>CEVİZ MOBİLYA</t>
        </is>
      </c>
      <c r="D2878" s="1" t="inlineStr">
        <is>
          <t>SM 350</t>
        </is>
      </c>
      <c r="E2878" s="1" t="inlineStr">
        <is>
          <t>TEVFİK ÖZTÜRK</t>
        </is>
      </c>
      <c r="F2878" s="3" t="n"/>
      <c r="G2878" s="143" t="n"/>
      <c r="H2878" s="143" t="n">
        <v>460</v>
      </c>
      <c r="I2878" s="143">
        <f>+I2877+(G2878-H2878)</f>
        <v/>
      </c>
      <c r="J2878" s="144" t="n">
        <v>40.1</v>
      </c>
      <c r="K2878" s="145" t="n"/>
      <c r="L2878" s="140">
        <f>+H2878*J2878</f>
        <v/>
      </c>
      <c r="M2878" s="141">
        <f>SUM(M2877+K2878-L2878)</f>
        <v/>
      </c>
    </row>
    <row r="2879">
      <c r="A2879" s="20" t="n">
        <v>45822</v>
      </c>
      <c r="B2879" s="1" t="n">
        <v>11022</v>
      </c>
      <c r="C2879" s="2" t="inlineStr">
        <is>
          <t>CEVİZ MOBİLYA</t>
        </is>
      </c>
      <c r="D2879" s="1" t="inlineStr">
        <is>
          <t>SM 370</t>
        </is>
      </c>
      <c r="E2879" s="1" t="inlineStr">
        <is>
          <t>TEKİN ŞEYLAN</t>
        </is>
      </c>
      <c r="F2879" s="3" t="n"/>
      <c r="G2879" s="143" t="n"/>
      <c r="H2879" s="143" t="n">
        <v>432</v>
      </c>
      <c r="I2879" s="143">
        <f>+I2878+(G2879-H2879)</f>
        <v/>
      </c>
      <c r="J2879" s="144" t="n">
        <v>40.1</v>
      </c>
      <c r="K2879" s="145" t="n"/>
      <c r="L2879" s="140">
        <f>+H2879*J2879</f>
        <v/>
      </c>
      <c r="M2879" s="141">
        <f>SUM(M2878+K2879-L2879)</f>
        <v/>
      </c>
    </row>
    <row r="2880">
      <c r="A2880" s="20" t="n">
        <v>45822</v>
      </c>
      <c r="B2880" s="21" t="n">
        <v>10237</v>
      </c>
      <c r="C2880" s="22" t="inlineStr">
        <is>
          <t>SELİM İNŞAAT</t>
        </is>
      </c>
      <c r="D2880" s="21" t="inlineStr">
        <is>
          <t>34 DSN 621</t>
        </is>
      </c>
      <c r="E2880" s="21" t="inlineStr">
        <is>
          <t>MUSTAFA KAYA</t>
        </is>
      </c>
      <c r="F2880" s="23" t="n">
        <v>409949</v>
      </c>
      <c r="G2880" s="138" t="n"/>
      <c r="H2880" s="138" t="n">
        <v>498</v>
      </c>
      <c r="I2880" s="138">
        <f>+I2879+(G2880-H2880)</f>
        <v/>
      </c>
      <c r="J2880" s="139" t="n"/>
      <c r="K2880" s="140" t="n"/>
      <c r="L2880" s="140">
        <f>+H2880*J2880</f>
        <v/>
      </c>
      <c r="M2880" s="141">
        <f>SUM(M2879+K2880-L2880)</f>
        <v/>
      </c>
    </row>
    <row r="2881">
      <c r="A2881" s="20" t="n">
        <v>45823</v>
      </c>
      <c r="B2881" s="21" t="n">
        <v>10800</v>
      </c>
      <c r="C2881" s="22" t="inlineStr">
        <is>
          <t>SELİM İNŞAAT</t>
        </is>
      </c>
      <c r="D2881" s="21" t="inlineStr">
        <is>
          <t>34 FBR 705</t>
        </is>
      </c>
      <c r="E2881" s="21" t="inlineStr">
        <is>
          <t>MESUT GÜRLER</t>
        </is>
      </c>
      <c r="F2881" s="23" t="n">
        <v>314985</v>
      </c>
      <c r="G2881" s="138" t="n"/>
      <c r="H2881" s="138" t="n">
        <v>235</v>
      </c>
      <c r="I2881" s="138">
        <f>+I2880+(G2881-H2881)</f>
        <v/>
      </c>
      <c r="J2881" s="139" t="n">
        <v>40.1</v>
      </c>
      <c r="K2881" s="140" t="n"/>
      <c r="L2881" s="140">
        <f>+H2881*J2881</f>
        <v/>
      </c>
      <c r="M2881" s="141">
        <f>SUM(M2880+K2881-L2881)</f>
        <v/>
      </c>
    </row>
    <row r="2882">
      <c r="A2882" s="20" t="n">
        <v>45823</v>
      </c>
      <c r="B2882" s="21" t="n">
        <v>10100</v>
      </c>
      <c r="C2882" s="22" t="inlineStr">
        <is>
          <t>SELİM İNŞAAT</t>
        </is>
      </c>
      <c r="D2882" s="21" t="inlineStr">
        <is>
          <t>34 FBR 771</t>
        </is>
      </c>
      <c r="E2882" s="21" t="inlineStr">
        <is>
          <t>HÜSEYİN AKÇİN</t>
        </is>
      </c>
      <c r="F2882" s="23" t="n">
        <v>318603</v>
      </c>
      <c r="G2882" s="138" t="n"/>
      <c r="H2882" s="138" t="n">
        <v>335</v>
      </c>
      <c r="I2882" s="138">
        <f>+I2881+(G2882-H2882)</f>
        <v/>
      </c>
      <c r="J2882" s="139" t="n">
        <v>40.1</v>
      </c>
      <c r="K2882" s="140" t="n"/>
      <c r="L2882" s="140">
        <f>+H2882*J2882</f>
        <v/>
      </c>
      <c r="M2882" s="141">
        <f>SUM(M2881+K2882-L2882)</f>
        <v/>
      </c>
    </row>
    <row r="2883">
      <c r="A2883" s="20" t="n">
        <v>45823</v>
      </c>
      <c r="B2883" s="21" t="n">
        <v>15255</v>
      </c>
      <c r="C2883" s="22" t="inlineStr">
        <is>
          <t>SELİM İNŞAAT</t>
        </is>
      </c>
      <c r="D2883" s="21" t="inlineStr">
        <is>
          <t>34 DTV 447</t>
        </is>
      </c>
      <c r="E2883" s="21" t="inlineStr">
        <is>
          <t>EBUBEKİR KOLDAŞ</t>
        </is>
      </c>
      <c r="F2883" s="23" t="n">
        <v>429198</v>
      </c>
      <c r="G2883" s="138" t="n"/>
      <c r="H2883" s="138" t="n">
        <v>218</v>
      </c>
      <c r="I2883" s="138">
        <f>+I2882+(G2883-H2883)</f>
        <v/>
      </c>
      <c r="J2883" s="139" t="n">
        <v>40.1</v>
      </c>
      <c r="K2883" s="140" t="n"/>
      <c r="L2883" s="140">
        <f>+H2883*J2883</f>
        <v/>
      </c>
      <c r="M2883" s="141">
        <f>SUM(M2882+K2883-L2883)</f>
        <v/>
      </c>
    </row>
    <row r="2884">
      <c r="A2884" s="20" t="n">
        <v>45823</v>
      </c>
      <c r="B2884" s="21" t="n">
        <v>15022</v>
      </c>
      <c r="C2884" s="22" t="inlineStr">
        <is>
          <t>SELİM İNŞAAT</t>
        </is>
      </c>
      <c r="D2884" s="21" t="inlineStr">
        <is>
          <t>34 GVZ 199</t>
        </is>
      </c>
      <c r="E2884" s="21" t="inlineStr">
        <is>
          <t>VAHDET GÜRLER</t>
        </is>
      </c>
      <c r="F2884" s="23" t="n">
        <v>180663</v>
      </c>
      <c r="G2884" s="138" t="n"/>
      <c r="H2884" s="138" t="n">
        <v>208</v>
      </c>
      <c r="I2884" s="138">
        <f>+I2883+(G2884-H2884)</f>
        <v/>
      </c>
      <c r="J2884" s="139" t="n">
        <v>40.1</v>
      </c>
      <c r="K2884" s="140" t="n"/>
      <c r="L2884" s="140">
        <f>+H2884*J2884</f>
        <v/>
      </c>
      <c r="M2884" s="141">
        <f>SUM(M2883+K2884-L2884)</f>
        <v/>
      </c>
    </row>
    <row r="2885">
      <c r="A2885" s="20" t="n">
        <v>45823</v>
      </c>
      <c r="B2885" s="21" t="n">
        <v>14088</v>
      </c>
      <c r="C2885" s="22" t="inlineStr">
        <is>
          <t>SELİM İNŞAAT</t>
        </is>
      </c>
      <c r="D2885" s="21" t="inlineStr">
        <is>
          <t>34 EDB 659</t>
        </is>
      </c>
      <c r="E2885" s="21" t="inlineStr">
        <is>
          <t>MEHMET SAİT ANIK</t>
        </is>
      </c>
      <c r="F2885" s="23" t="n">
        <v>339839</v>
      </c>
      <c r="G2885" s="138" t="n"/>
      <c r="H2885" s="138" t="n">
        <v>162</v>
      </c>
      <c r="I2885" s="138">
        <f>+I2884+(G2885-H2885)</f>
        <v/>
      </c>
      <c r="J2885" s="139" t="n">
        <v>40.1</v>
      </c>
      <c r="K2885" s="140" t="n"/>
      <c r="L2885" s="140">
        <f>+H2885*J2885</f>
        <v/>
      </c>
      <c r="M2885" s="141">
        <f>SUM(M2884+K2885-L2885)</f>
        <v/>
      </c>
    </row>
    <row r="2886">
      <c r="A2886" s="20" t="n">
        <v>45823</v>
      </c>
      <c r="B2886" s="21" t="n">
        <v>11949</v>
      </c>
      <c r="C2886" s="22" t="inlineStr">
        <is>
          <t>SELİM İNŞAAT</t>
        </is>
      </c>
      <c r="D2886" s="21" t="inlineStr">
        <is>
          <t>34 FBR 742</t>
        </is>
      </c>
      <c r="E2886" s="21" t="inlineStr">
        <is>
          <t>MİKAİL BAYILMAZ</t>
        </is>
      </c>
      <c r="F2886" s="23" t="n">
        <v>318949</v>
      </c>
      <c r="G2886" s="138" t="n"/>
      <c r="H2886" s="138" t="n">
        <v>395</v>
      </c>
      <c r="I2886" s="138">
        <f>+I2885+(G2886-H2886)</f>
        <v/>
      </c>
      <c r="J2886" s="139" t="n">
        <v>40.1</v>
      </c>
      <c r="K2886" s="140" t="n"/>
      <c r="L2886" s="140">
        <f>+H2886*J2886</f>
        <v/>
      </c>
      <c r="M2886" s="141">
        <f>SUM(M2885+K2886-L2886)</f>
        <v/>
      </c>
    </row>
    <row r="2887">
      <c r="A2887" s="20" t="n">
        <v>45823</v>
      </c>
      <c r="B2887" s="21" t="n">
        <v>14487</v>
      </c>
      <c r="C2887" s="22" t="inlineStr">
        <is>
          <t>SELİM İNŞAAT</t>
        </is>
      </c>
      <c r="D2887" s="21" t="inlineStr">
        <is>
          <t>34 GUS 848</t>
        </is>
      </c>
      <c r="E2887" s="21" t="inlineStr">
        <is>
          <t>SERDAR BOZKURT</t>
        </is>
      </c>
      <c r="F2887" s="23" t="n">
        <v>192457</v>
      </c>
      <c r="G2887" s="138" t="n"/>
      <c r="H2887" s="138" t="n">
        <v>267</v>
      </c>
      <c r="I2887" s="138">
        <f>+I2886+(G2887-H2887)</f>
        <v/>
      </c>
      <c r="J2887" s="139" t="n">
        <v>40.1</v>
      </c>
      <c r="K2887" s="140" t="n"/>
      <c r="L2887" s="140">
        <f>+H2887*J2887</f>
        <v/>
      </c>
      <c r="M2887" s="141">
        <f>SUM(M2886+K2887-L2887)</f>
        <v/>
      </c>
    </row>
    <row r="2888">
      <c r="A2888" s="20" t="n">
        <v>45823</v>
      </c>
      <c r="B2888" s="21" t="n">
        <v>15111</v>
      </c>
      <c r="C2888" s="22" t="inlineStr">
        <is>
          <t>SELİM İNŞAAT</t>
        </is>
      </c>
      <c r="D2888" s="21" t="inlineStr">
        <is>
          <t>34 DTV 599</t>
        </is>
      </c>
      <c r="E2888" s="21" t="inlineStr">
        <is>
          <t>FERHAT GÜRLER</t>
        </is>
      </c>
      <c r="F2888" s="23" t="n">
        <v>431490</v>
      </c>
      <c r="G2888" s="138" t="n"/>
      <c r="H2888" s="138" t="n">
        <v>287</v>
      </c>
      <c r="I2888" s="138">
        <f>+I2887+(G2888-H2888)</f>
        <v/>
      </c>
      <c r="J2888" s="139" t="n">
        <v>40.1</v>
      </c>
      <c r="K2888" s="140" t="n"/>
      <c r="L2888" s="140">
        <f>+H2888*J2888</f>
        <v/>
      </c>
      <c r="M2888" s="141">
        <f>SUM(M2887+K2888-L2888)</f>
        <v/>
      </c>
    </row>
    <row r="2889">
      <c r="A2889" s="20" t="n">
        <v>45823</v>
      </c>
      <c r="B2889" s="21" t="n">
        <v>15957</v>
      </c>
      <c r="C2889" s="22" t="inlineStr">
        <is>
          <t>SELİM İNŞAAT</t>
        </is>
      </c>
      <c r="D2889" s="21" t="inlineStr">
        <is>
          <t>34 FBR 781</t>
        </is>
      </c>
      <c r="E2889" s="21" t="inlineStr">
        <is>
          <t>MEVLÜT POLAT</t>
        </is>
      </c>
      <c r="F2889" s="23" t="n">
        <v>302857</v>
      </c>
      <c r="G2889" s="138" t="n"/>
      <c r="H2889" s="138" t="n">
        <v>343</v>
      </c>
      <c r="I2889" s="138">
        <f>+I2888+(G2889-H2889)</f>
        <v/>
      </c>
      <c r="J2889" s="139" t="n">
        <v>40.1</v>
      </c>
      <c r="K2889" s="140" t="n"/>
      <c r="L2889" s="140">
        <f>+H2889*J2889</f>
        <v/>
      </c>
      <c r="M2889" s="141">
        <f>SUM(M2888+K2889-L2889)</f>
        <v/>
      </c>
    </row>
    <row r="2890">
      <c r="A2890" s="20" t="n">
        <v>45823</v>
      </c>
      <c r="B2890" s="21" t="n">
        <v>14823</v>
      </c>
      <c r="C2890" s="22" t="inlineStr">
        <is>
          <t>SELİM İNŞAAT</t>
        </is>
      </c>
      <c r="D2890" s="21" t="inlineStr">
        <is>
          <t>34 GVZ 268</t>
        </is>
      </c>
      <c r="E2890" s="21" t="inlineStr">
        <is>
          <t>KERİM KARAMAN</t>
        </is>
      </c>
      <c r="F2890" s="23" t="n">
        <v>192898</v>
      </c>
      <c r="G2890" s="138" t="n"/>
      <c r="H2890" s="138" t="n">
        <v>393</v>
      </c>
      <c r="I2890" s="138">
        <f>+I2889+(G2890-H2890)</f>
        <v/>
      </c>
      <c r="J2890" s="139" t="n">
        <v>40.1</v>
      </c>
      <c r="K2890" s="140" t="n"/>
      <c r="L2890" s="140">
        <f>+H2890*J2890</f>
        <v/>
      </c>
      <c r="M2890" s="141">
        <f>SUM(M2889+K2890-L2890)</f>
        <v/>
      </c>
    </row>
    <row r="2891">
      <c r="A2891" s="20" t="n">
        <v>45823</v>
      </c>
      <c r="B2891" s="21" t="n">
        <v>14237</v>
      </c>
      <c r="C2891" s="22" t="inlineStr">
        <is>
          <t>SELİM İNŞAAT</t>
        </is>
      </c>
      <c r="D2891" s="21" t="inlineStr">
        <is>
          <t xml:space="preserve">34 GUS 938 </t>
        </is>
      </c>
      <c r="E2891" s="21" t="inlineStr">
        <is>
          <t>MEHMET KAYA</t>
        </is>
      </c>
      <c r="F2891" s="23" t="n">
        <v>186303</v>
      </c>
      <c r="G2891" s="138" t="n"/>
      <c r="H2891" s="138" t="n">
        <v>249</v>
      </c>
      <c r="I2891" s="138">
        <f>+I2890+(G2891-H2891)</f>
        <v/>
      </c>
      <c r="J2891" s="139" t="n">
        <v>40.1</v>
      </c>
      <c r="K2891" s="140" t="n"/>
      <c r="L2891" s="140">
        <f>+H2891*J2891</f>
        <v/>
      </c>
      <c r="M2891" s="141">
        <f>SUM(M2890+K2891-L2891)</f>
        <v/>
      </c>
    </row>
    <row r="2892">
      <c r="A2892" s="20" t="n">
        <v>45823</v>
      </c>
      <c r="B2892" s="21" t="n">
        <v>14635</v>
      </c>
      <c r="C2892" s="22" t="inlineStr">
        <is>
          <t>SELİM İNŞAAT</t>
        </is>
      </c>
      <c r="D2892" s="21" t="inlineStr">
        <is>
          <t>34 GER 445</t>
        </is>
      </c>
      <c r="E2892" s="21" t="inlineStr">
        <is>
          <t>HASAN BAYCAN</t>
        </is>
      </c>
      <c r="F2892" s="23" t="n">
        <v>42795</v>
      </c>
      <c r="G2892" s="138" t="n"/>
      <c r="H2892" s="138" t="n">
        <v>117</v>
      </c>
      <c r="I2892" s="138">
        <f>+I2891+(G2892-H2892)</f>
        <v/>
      </c>
      <c r="J2892" s="139" t="n">
        <v>40.1</v>
      </c>
      <c r="K2892" s="140" t="n"/>
      <c r="L2892" s="140">
        <f>+H2892*J2892</f>
        <v/>
      </c>
      <c r="M2892" s="141">
        <f>SUM(M2891+K2892-L2892)</f>
        <v/>
      </c>
    </row>
    <row r="2893">
      <c r="A2893" s="20" t="n">
        <v>45823</v>
      </c>
      <c r="B2893" s="21" t="n">
        <v>15978</v>
      </c>
      <c r="C2893" s="22" t="inlineStr">
        <is>
          <t>SELİM İNŞAAT</t>
        </is>
      </c>
      <c r="D2893" s="21" t="inlineStr">
        <is>
          <t>34 DFE 454</t>
        </is>
      </c>
      <c r="E2893" s="21" t="inlineStr">
        <is>
          <t>METİN KALKAN</t>
        </is>
      </c>
      <c r="F2893" s="23" t="n">
        <v>159560</v>
      </c>
      <c r="G2893" s="138" t="n"/>
      <c r="H2893" s="138" t="n">
        <v>181</v>
      </c>
      <c r="I2893" s="138">
        <f>+I2892+(G2893-H2893)</f>
        <v/>
      </c>
      <c r="J2893" s="139" t="n">
        <v>40.1</v>
      </c>
      <c r="K2893" s="140" t="n"/>
      <c r="L2893" s="140">
        <f>+H2893*J2893</f>
        <v/>
      </c>
      <c r="M2893" s="141">
        <f>SUM(M2892+K2893-L2893)</f>
        <v/>
      </c>
    </row>
    <row r="2894">
      <c r="A2894" s="20" t="n">
        <v>45823</v>
      </c>
      <c r="B2894" s="21" t="n">
        <v>10890</v>
      </c>
      <c r="C2894" s="22" t="inlineStr">
        <is>
          <t>SELİM İNŞAAT</t>
        </is>
      </c>
      <c r="D2894" s="21" t="inlineStr">
        <is>
          <t>34 AR 7743</t>
        </is>
      </c>
      <c r="E2894" s="21" t="inlineStr">
        <is>
          <t>MEHMET SELİM</t>
        </is>
      </c>
      <c r="F2894" s="23" t="n">
        <v>356608</v>
      </c>
      <c r="G2894" s="138" t="n"/>
      <c r="H2894" s="138" t="n">
        <v>68</v>
      </c>
      <c r="I2894" s="138">
        <f>+I2893+(G2894-H2894)</f>
        <v/>
      </c>
      <c r="J2894" s="139" t="n">
        <v>40.1</v>
      </c>
      <c r="K2894" s="140" t="n"/>
      <c r="L2894" s="140">
        <f>+H2894*J2894</f>
        <v/>
      </c>
      <c r="M2894" s="141">
        <f>SUM(M2893+K2894-L2894)</f>
        <v/>
      </c>
    </row>
    <row r="2895">
      <c r="A2895" s="20" t="n">
        <v>45823</v>
      </c>
      <c r="B2895" s="21" t="n">
        <v>105583</v>
      </c>
      <c r="C2895" s="22" t="inlineStr">
        <is>
          <t>SELİM İNŞAAT</t>
        </is>
      </c>
      <c r="D2895" s="21" t="inlineStr">
        <is>
          <t>34 GU 945</t>
        </is>
      </c>
      <c r="E2895" s="21" t="inlineStr">
        <is>
          <t>ŞERİF KARTAL</t>
        </is>
      </c>
      <c r="F2895" s="23" t="n">
        <v>447854</v>
      </c>
      <c r="G2895" s="138" t="n"/>
      <c r="H2895" s="138" t="n">
        <v>63</v>
      </c>
      <c r="I2895" s="138">
        <f>+I2894+(G2895-H2895)</f>
        <v/>
      </c>
      <c r="J2895" s="139" t="n">
        <v>40.1</v>
      </c>
      <c r="K2895" s="140" t="n"/>
      <c r="L2895" s="140">
        <f>+H2895*J2895</f>
        <v/>
      </c>
      <c r="M2895" s="141">
        <f>SUM(M2894+K2895-L2895)</f>
        <v/>
      </c>
    </row>
    <row r="2896">
      <c r="A2896" s="20" t="n">
        <v>45823</v>
      </c>
      <c r="B2896" s="21" t="n">
        <v>14738</v>
      </c>
      <c r="C2896" s="22" t="inlineStr">
        <is>
          <t>METİN ERYİĞİT</t>
        </is>
      </c>
      <c r="D2896" s="21" t="inlineStr">
        <is>
          <t>34 GBL 998</t>
        </is>
      </c>
      <c r="E2896" s="21" t="inlineStr">
        <is>
          <t>ALİ KESKİN</t>
        </is>
      </c>
      <c r="F2896" s="23" t="n">
        <v>267913</v>
      </c>
      <c r="G2896" s="138" t="n"/>
      <c r="H2896" s="138" t="n">
        <v>150</v>
      </c>
      <c r="I2896" s="138">
        <f>+I2895+(G2896-H2896)</f>
        <v/>
      </c>
      <c r="J2896" s="139" t="n">
        <v>40.1</v>
      </c>
      <c r="K2896" s="140" t="n"/>
      <c r="L2896" s="140">
        <f>+H2896*J2896</f>
        <v/>
      </c>
      <c r="M2896" s="141">
        <f>SUM(M2895+K2896-L2896)</f>
        <v/>
      </c>
    </row>
    <row r="2897">
      <c r="A2897" s="20" t="n">
        <v>45823</v>
      </c>
      <c r="B2897" s="1" t="n">
        <v>11023</v>
      </c>
      <c r="C2897" s="2" t="inlineStr">
        <is>
          <t>CEVİZ MOBİLYA</t>
        </is>
      </c>
      <c r="D2897" s="1" t="inlineStr">
        <is>
          <t>SM 350</t>
        </is>
      </c>
      <c r="E2897" s="1" t="inlineStr">
        <is>
          <t>TEVFİK ÖZTÜRK</t>
        </is>
      </c>
      <c r="F2897" s="3" t="n"/>
      <c r="G2897" s="143" t="n"/>
      <c r="H2897" s="143" t="n">
        <v>547</v>
      </c>
      <c r="I2897" s="143">
        <f>+I2896+(G2897-H2897)</f>
        <v/>
      </c>
      <c r="J2897" s="144" t="n">
        <v>40.1</v>
      </c>
      <c r="K2897" s="145" t="n"/>
      <c r="L2897" s="140">
        <f>+H2897*J2897</f>
        <v/>
      </c>
      <c r="M2897" s="141">
        <f>SUM(M2896+K2897-L2897)</f>
        <v/>
      </c>
    </row>
    <row r="2898">
      <c r="A2898" s="20" t="n">
        <v>45823</v>
      </c>
      <c r="B2898" s="1" t="n">
        <v>11024</v>
      </c>
      <c r="C2898" s="2" t="inlineStr">
        <is>
          <t>CEVİZ MOBİLYA</t>
        </is>
      </c>
      <c r="D2898" s="1" t="inlineStr">
        <is>
          <t>SM 370</t>
        </is>
      </c>
      <c r="E2898" s="1" t="inlineStr">
        <is>
          <t>TEKİN ŞEYLAN</t>
        </is>
      </c>
      <c r="F2898" s="3" t="n"/>
      <c r="G2898" s="143" t="n"/>
      <c r="H2898" s="143" t="n">
        <v>450</v>
      </c>
      <c r="I2898" s="143">
        <f>+I2897+(G2898-H2898)</f>
        <v/>
      </c>
      <c r="J2898" s="144" t="n">
        <v>40.1</v>
      </c>
      <c r="K2898" s="145" t="n"/>
      <c r="L2898" s="140">
        <f>+H2898*J2898</f>
        <v/>
      </c>
      <c r="M2898" s="141">
        <f>SUM(M2897+K2898-L2898)</f>
        <v/>
      </c>
    </row>
    <row r="2899">
      <c r="A2899" s="20" t="n">
        <v>45823</v>
      </c>
      <c r="B2899" s="1" t="n">
        <v>11025</v>
      </c>
      <c r="C2899" s="2" t="inlineStr">
        <is>
          <t>VARLIK</t>
        </is>
      </c>
      <c r="D2899" s="1" t="inlineStr">
        <is>
          <t>SM 300</t>
        </is>
      </c>
      <c r="E2899" s="1" t="inlineStr">
        <is>
          <t>TURGUT SANCAK</t>
        </is>
      </c>
      <c r="F2899" s="3" t="n"/>
      <c r="G2899" s="143" t="n"/>
      <c r="H2899" s="143" t="n">
        <v>365</v>
      </c>
      <c r="I2899" s="143">
        <f>+I2898+(G2899-H2899)</f>
        <v/>
      </c>
      <c r="J2899" s="144" t="n">
        <v>40.1</v>
      </c>
      <c r="K2899" s="145" t="n"/>
      <c r="L2899" s="140">
        <f>+H2899*J2899</f>
        <v/>
      </c>
      <c r="M2899" s="141">
        <f>SUM(M2898+K2899-L2899)</f>
        <v/>
      </c>
    </row>
    <row r="2900">
      <c r="A2900" s="20" t="n">
        <v>45823</v>
      </c>
      <c r="B2900" s="1" t="n">
        <v>11026</v>
      </c>
      <c r="C2900" s="2" t="inlineStr">
        <is>
          <t>VARLIK</t>
        </is>
      </c>
      <c r="D2900" s="1" t="inlineStr">
        <is>
          <t>SM 350</t>
        </is>
      </c>
      <c r="E2900" s="1" t="inlineStr">
        <is>
          <t>BAYRAM SANCAK</t>
        </is>
      </c>
      <c r="F2900" s="3" t="n"/>
      <c r="G2900" s="143" t="n"/>
      <c r="H2900" s="143" t="n">
        <v>280</v>
      </c>
      <c r="I2900" s="143">
        <f>+I2899+(G2900-H2900)</f>
        <v/>
      </c>
      <c r="J2900" s="144" t="n">
        <v>40.1</v>
      </c>
      <c r="K2900" s="145" t="n"/>
      <c r="L2900" s="140">
        <f>+H2900*J2900</f>
        <v/>
      </c>
      <c r="M2900" s="141">
        <f>SUM(M2899+K2900-L2900)</f>
        <v/>
      </c>
    </row>
    <row r="2901">
      <c r="A2901" s="20" t="n">
        <v>45823</v>
      </c>
      <c r="B2901" s="1" t="n">
        <v>11027</v>
      </c>
      <c r="C2901" s="2" t="inlineStr">
        <is>
          <t>VARLIK</t>
        </is>
      </c>
      <c r="D2901" s="1" t="inlineStr">
        <is>
          <t>KAVAZAKİ</t>
        </is>
      </c>
      <c r="E2901" s="1" t="inlineStr">
        <is>
          <t>UFUK SEVAL</t>
        </is>
      </c>
      <c r="F2901" s="3" t="n"/>
      <c r="G2901" s="143" t="n"/>
      <c r="H2901" s="143" t="n">
        <v>272</v>
      </c>
      <c r="I2901" s="143">
        <f>+I2900+(G2901-H2901)</f>
        <v/>
      </c>
      <c r="J2901" s="144" t="n">
        <v>40.1</v>
      </c>
      <c r="K2901" s="145" t="n"/>
      <c r="L2901" s="140">
        <f>+H2901*J2901</f>
        <v/>
      </c>
      <c r="M2901" s="141">
        <f>SUM(M2900+K2901-L2901)</f>
        <v/>
      </c>
    </row>
    <row r="2902">
      <c r="A2902" s="20" t="n">
        <v>45823</v>
      </c>
      <c r="B2902" s="21" t="n">
        <v>11028</v>
      </c>
      <c r="C2902" s="22" t="inlineStr">
        <is>
          <t>ENES SELİM</t>
        </is>
      </c>
      <c r="D2902" s="21" t="inlineStr">
        <is>
          <t>TB 926 VİNÇ</t>
        </is>
      </c>
      <c r="E2902" s="21" t="inlineStr">
        <is>
          <t>ENES SELİM</t>
        </is>
      </c>
      <c r="F2902" s="23" t="n"/>
      <c r="G2902" s="138" t="n"/>
      <c r="H2902" s="138" t="n">
        <v>323</v>
      </c>
      <c r="I2902" s="138">
        <f>+I2901+(G2902-H2902)</f>
        <v/>
      </c>
      <c r="J2902" s="139" t="n">
        <v>40.1</v>
      </c>
      <c r="K2902" s="140" t="n"/>
      <c r="L2902" s="140">
        <f>+H2902*J2902</f>
        <v/>
      </c>
      <c r="M2902" s="141">
        <f>SUM(M2901+K2902-L2902)</f>
        <v/>
      </c>
    </row>
    <row r="2903">
      <c r="A2903" s="20" t="n">
        <v>45823</v>
      </c>
      <c r="B2903" s="21" t="n">
        <v>14183</v>
      </c>
      <c r="C2903" s="22" t="inlineStr">
        <is>
          <t>AZGÜN YAPI</t>
        </is>
      </c>
      <c r="D2903" s="21" t="inlineStr">
        <is>
          <t>34 DTV 263</t>
        </is>
      </c>
      <c r="E2903" s="21" t="inlineStr">
        <is>
          <t>İBRAHİM GÜLLÜK</t>
        </is>
      </c>
      <c r="F2903" s="23" t="n"/>
      <c r="G2903" s="138" t="n"/>
      <c r="H2903" s="138" t="n">
        <v>239</v>
      </c>
      <c r="I2903" s="138">
        <f>+I2902+(G2903-H2903)</f>
        <v/>
      </c>
      <c r="J2903" s="139" t="n">
        <v>40.1</v>
      </c>
      <c r="K2903" s="140" t="n"/>
      <c r="L2903" s="140">
        <f>+H2903*J2903</f>
        <v/>
      </c>
      <c r="M2903" s="141">
        <f>SUM(M2902+K2903-L2903)</f>
        <v/>
      </c>
    </row>
    <row r="2904">
      <c r="A2904" s="20" t="n">
        <v>45824</v>
      </c>
      <c r="B2904" s="21" t="n">
        <v>304</v>
      </c>
      <c r="C2904" s="22" t="inlineStr">
        <is>
          <t>SELİM İNŞAAT</t>
        </is>
      </c>
      <c r="D2904" s="21" t="inlineStr">
        <is>
          <t>34 EDB 829</t>
        </is>
      </c>
      <c r="E2904" s="21" t="inlineStr">
        <is>
          <t>İSMET BAYRAM</t>
        </is>
      </c>
      <c r="F2904" s="23" t="n">
        <v>318965</v>
      </c>
      <c r="G2904" s="138" t="n"/>
      <c r="H2904" s="138" t="n">
        <v>391</v>
      </c>
      <c r="I2904" s="138">
        <f>+I2903+(G2904-H2904)</f>
        <v/>
      </c>
      <c r="J2904" s="139" t="n">
        <v>40.1</v>
      </c>
      <c r="K2904" s="140" t="n"/>
      <c r="L2904" s="140">
        <f>+H2904*J2904</f>
        <v/>
      </c>
      <c r="M2904" s="141">
        <f>SUM(M2903+K2904-L2904)</f>
        <v/>
      </c>
    </row>
    <row r="2905">
      <c r="A2905" s="20" t="n">
        <v>45824</v>
      </c>
      <c r="B2905" s="21" t="n">
        <v>15312</v>
      </c>
      <c r="C2905" s="22" t="inlineStr">
        <is>
          <t>SELİM İNŞAAT</t>
        </is>
      </c>
      <c r="D2905" s="21" t="inlineStr">
        <is>
          <t>34 EDC 162</t>
        </is>
      </c>
      <c r="E2905" s="21" t="inlineStr">
        <is>
          <t xml:space="preserve">YAKUP GÜNER </t>
        </is>
      </c>
      <c r="F2905" s="23" t="n">
        <v>369851</v>
      </c>
      <c r="G2905" s="138" t="n"/>
      <c r="H2905" s="138" t="n">
        <v>418</v>
      </c>
      <c r="I2905" s="138">
        <f>+I2904+(G2905-H2905)</f>
        <v/>
      </c>
      <c r="J2905" s="139" t="n">
        <v>40.1</v>
      </c>
      <c r="K2905" s="140" t="n"/>
      <c r="L2905" s="140">
        <f>+H2905*J2905</f>
        <v/>
      </c>
      <c r="M2905" s="141">
        <f>SUM(M2904+K2905-L2905)</f>
        <v/>
      </c>
    </row>
    <row r="2906">
      <c r="A2906" s="20" t="n">
        <v>45824</v>
      </c>
      <c r="B2906" s="21" t="n">
        <v>10435</v>
      </c>
      <c r="C2906" s="22" t="inlineStr">
        <is>
          <t>SELİM İNŞAAT</t>
        </is>
      </c>
      <c r="D2906" s="21" t="inlineStr">
        <is>
          <t>34 DSN 536</t>
        </is>
      </c>
      <c r="E2906" s="21" t="inlineStr">
        <is>
          <t>DURSUN ALİ GÜREK</t>
        </is>
      </c>
      <c r="F2906" s="23" t="n">
        <v>405188</v>
      </c>
      <c r="G2906" s="138" t="n"/>
      <c r="H2906" s="138" t="n">
        <v>257</v>
      </c>
      <c r="I2906" s="138">
        <f>+I2905+(G2906-H2906)</f>
        <v/>
      </c>
      <c r="J2906" s="139" t="n">
        <v>40.1</v>
      </c>
      <c r="K2906" s="140" t="n"/>
      <c r="L2906" s="140">
        <f>+H2906*J2906</f>
        <v/>
      </c>
      <c r="M2906" s="141">
        <f>SUM(M2905+K2906-L2906)</f>
        <v/>
      </c>
    </row>
    <row r="2907">
      <c r="A2907" s="20" t="n">
        <v>45824</v>
      </c>
      <c r="B2907" s="21" t="n">
        <v>14531</v>
      </c>
      <c r="C2907" s="22" t="inlineStr">
        <is>
          <t>SELİM İNŞAAT</t>
        </is>
      </c>
      <c r="D2907" s="21" t="inlineStr">
        <is>
          <t>34 GER 028</t>
        </is>
      </c>
      <c r="E2907" s="21" t="inlineStr">
        <is>
          <t>A.KERİM ERGEN</t>
        </is>
      </c>
      <c r="F2907" s="23" t="n">
        <v>44586</v>
      </c>
      <c r="G2907" s="138" t="n"/>
      <c r="H2907" s="138" t="n">
        <v>174</v>
      </c>
      <c r="I2907" s="138">
        <f>+I2906+(G2907-H2907)</f>
        <v/>
      </c>
      <c r="J2907" s="139" t="n">
        <v>40.1</v>
      </c>
      <c r="K2907" s="140" t="n"/>
      <c r="L2907" s="140">
        <f>+H2907*J2907</f>
        <v/>
      </c>
      <c r="M2907" s="141">
        <f>SUM(M2906+K2907-L2907)</f>
        <v/>
      </c>
    </row>
    <row r="2908">
      <c r="A2908" s="20" t="n">
        <v>45824</v>
      </c>
      <c r="B2908" s="21" t="n">
        <v>14341</v>
      </c>
      <c r="C2908" s="22" t="inlineStr">
        <is>
          <t>SELİM İNŞAAT</t>
        </is>
      </c>
      <c r="D2908" s="21" t="inlineStr">
        <is>
          <t>34 DKL 866</t>
        </is>
      </c>
      <c r="E2908" s="21" t="inlineStr">
        <is>
          <t>SELİM CAN ÖNVER</t>
        </is>
      </c>
      <c r="F2908" s="23" t="n">
        <v>65942</v>
      </c>
      <c r="G2908" s="138" t="n"/>
      <c r="H2908" s="138" t="n">
        <v>172</v>
      </c>
      <c r="I2908" s="138">
        <f>+I2907+(G2908-H2908)</f>
        <v/>
      </c>
      <c r="J2908" s="139" t="n">
        <v>40.1</v>
      </c>
      <c r="K2908" s="140" t="n"/>
      <c r="L2908" s="140">
        <f>+H2908*J2908</f>
        <v/>
      </c>
      <c r="M2908" s="141">
        <f>SUM(M2907+K2908-L2908)</f>
        <v/>
      </c>
    </row>
    <row r="2909">
      <c r="A2909" s="20" t="n">
        <v>45824</v>
      </c>
      <c r="B2909" s="21" t="n">
        <v>15609</v>
      </c>
      <c r="C2909" s="22" t="inlineStr">
        <is>
          <t>METİN ERYİĞİT</t>
        </is>
      </c>
      <c r="D2909" s="21" t="inlineStr">
        <is>
          <t>34 EGS 013</t>
        </is>
      </c>
      <c r="E2909" s="21" t="inlineStr">
        <is>
          <t xml:space="preserve">UĞUR DUMAN </t>
        </is>
      </c>
      <c r="F2909" s="23" t="n">
        <v>488716</v>
      </c>
      <c r="G2909" s="138" t="n"/>
      <c r="H2909" s="138" t="n">
        <v>300</v>
      </c>
      <c r="I2909" s="138">
        <f>+I2908+(G2909-H2909)</f>
        <v/>
      </c>
      <c r="J2909" s="139" t="n">
        <v>40.1</v>
      </c>
      <c r="K2909" s="140" t="n"/>
      <c r="L2909" s="140">
        <f>+H2909*J2909</f>
        <v/>
      </c>
      <c r="M2909" s="141">
        <f>SUM(M2908+K2909-L2909)</f>
        <v/>
      </c>
    </row>
    <row r="2910">
      <c r="A2910" s="20" t="n">
        <v>45824</v>
      </c>
      <c r="B2910" s="21" t="n">
        <v>14739</v>
      </c>
      <c r="C2910" s="22" t="inlineStr">
        <is>
          <t>METİN ERYİĞİT</t>
        </is>
      </c>
      <c r="D2910" s="21" t="inlineStr">
        <is>
          <t>34 GBL 998</t>
        </is>
      </c>
      <c r="E2910" s="21" t="inlineStr">
        <is>
          <t>ALİ KESKİN</t>
        </is>
      </c>
      <c r="F2910" s="23" t="n">
        <v>268283</v>
      </c>
      <c r="G2910" s="138" t="n"/>
      <c r="H2910" s="138" t="n">
        <v>449</v>
      </c>
      <c r="I2910" s="138">
        <f>+I2909+(G2910-H2910)</f>
        <v/>
      </c>
      <c r="J2910" s="139" t="n">
        <v>40.1</v>
      </c>
      <c r="K2910" s="140" t="n"/>
      <c r="L2910" s="140">
        <f>+H2910*J2910</f>
        <v/>
      </c>
      <c r="M2910" s="141">
        <f>SUM(M2909+K2910-L2910)</f>
        <v/>
      </c>
    </row>
    <row r="2911">
      <c r="A2911" s="20" t="n">
        <v>45824</v>
      </c>
      <c r="B2911" s="21" t="n">
        <v>15663</v>
      </c>
      <c r="C2911" s="22" t="inlineStr">
        <is>
          <t>METİN ERYİĞİT</t>
        </is>
      </c>
      <c r="D2911" s="21" t="inlineStr">
        <is>
          <t>34 EGR 814</t>
        </is>
      </c>
      <c r="E2911" s="21" t="inlineStr">
        <is>
          <t>GÜRAY KOYUNCU</t>
        </is>
      </c>
      <c r="F2911" s="23" t="n">
        <v>542069</v>
      </c>
      <c r="G2911" s="138" t="n"/>
      <c r="H2911" s="138" t="n">
        <v>369</v>
      </c>
      <c r="I2911" s="138">
        <f>+I2910+(G2911-H2911)</f>
        <v/>
      </c>
      <c r="J2911" s="139" t="n">
        <v>40.1</v>
      </c>
      <c r="K2911" s="140" t="n"/>
      <c r="L2911" s="140">
        <f>+H2911*J2911</f>
        <v/>
      </c>
      <c r="M2911" s="141">
        <f>SUM(M2910+K2911-L2911)</f>
        <v/>
      </c>
    </row>
    <row r="2912">
      <c r="A2912" s="20" t="n">
        <v>45824</v>
      </c>
      <c r="B2912" s="21" t="n">
        <v>11029</v>
      </c>
      <c r="C2912" s="22" t="inlineStr">
        <is>
          <t>VARLIK</t>
        </is>
      </c>
      <c r="D2912" s="21" t="inlineStr">
        <is>
          <t>MANİTO</t>
        </is>
      </c>
      <c r="E2912" s="21" t="inlineStr">
        <is>
          <t>FAHRİ KALFA</t>
        </is>
      </c>
      <c r="F2912" s="23" t="n"/>
      <c r="G2912" s="138" t="n"/>
      <c r="H2912" s="138" t="n">
        <v>95</v>
      </c>
      <c r="I2912" s="138">
        <f>+I2911+(G2912-H2912)</f>
        <v/>
      </c>
      <c r="J2912" s="139" t="n">
        <v>40.1</v>
      </c>
      <c r="K2912" s="140" t="n"/>
      <c r="L2912" s="140">
        <f>+H2912*J2912</f>
        <v/>
      </c>
      <c r="M2912" s="141">
        <f>SUM(M2911+K2912-L2912)</f>
        <v/>
      </c>
    </row>
    <row r="2913">
      <c r="A2913" s="20" t="n">
        <v>45824</v>
      </c>
      <c r="B2913" s="21" t="n">
        <v>11030</v>
      </c>
      <c r="C2913" s="22" t="inlineStr">
        <is>
          <t>EVKUR</t>
        </is>
      </c>
      <c r="D2913" s="21" t="inlineStr">
        <is>
          <t>FOKLİFT</t>
        </is>
      </c>
      <c r="E2913" s="21" t="inlineStr">
        <is>
          <t>FAHRİ KALFA</t>
        </is>
      </c>
      <c r="F2913" s="23" t="n"/>
      <c r="G2913" s="138" t="n"/>
      <c r="H2913" s="138" t="n">
        <v>80</v>
      </c>
      <c r="I2913" s="138">
        <f>+I2912+(G2913-H2913)</f>
        <v/>
      </c>
      <c r="J2913" s="139" t="n">
        <v>40.1</v>
      </c>
      <c r="K2913" s="140" t="n"/>
      <c r="L2913" s="140">
        <f>+H2913*J2913</f>
        <v/>
      </c>
      <c r="M2913" s="141">
        <f>SUM(M2912+K2913-L2913)</f>
        <v/>
      </c>
    </row>
    <row r="2914">
      <c r="A2914" s="20" t="n">
        <v>45824</v>
      </c>
      <c r="B2914" s="21" t="n">
        <v>151</v>
      </c>
      <c r="C2914" s="22" t="inlineStr">
        <is>
          <t>SELİM İNŞAAT</t>
        </is>
      </c>
      <c r="D2914" s="21" t="inlineStr">
        <is>
          <t>34 TG 7869</t>
        </is>
      </c>
      <c r="E2914" s="21" t="inlineStr">
        <is>
          <t>GÖRKEM KARAYEL</t>
        </is>
      </c>
      <c r="F2914" s="23" t="n">
        <v>182963</v>
      </c>
      <c r="G2914" s="138" t="n"/>
      <c r="H2914" s="138" t="n">
        <v>274</v>
      </c>
      <c r="I2914" s="138">
        <f>+I2913+(G2914-H2914)</f>
        <v/>
      </c>
      <c r="J2914" s="139" t="n">
        <v>40.1</v>
      </c>
      <c r="K2914" s="140" t="n"/>
      <c r="L2914" s="140">
        <f>+H2914*J2914</f>
        <v/>
      </c>
      <c r="M2914" s="141">
        <f>SUM(M2913+K2914-L2914)</f>
        <v/>
      </c>
    </row>
    <row r="2915">
      <c r="A2915" s="20" t="n">
        <v>45824</v>
      </c>
      <c r="B2915" s="21" t="n">
        <v>15516</v>
      </c>
      <c r="C2915" s="22" t="inlineStr">
        <is>
          <t>SELİM İNŞAAT</t>
        </is>
      </c>
      <c r="D2915" s="21" t="inlineStr">
        <is>
          <t>34 EDC 086</t>
        </is>
      </c>
      <c r="E2915" s="21" t="inlineStr">
        <is>
          <t>ÖMER AĞAYAR</t>
        </is>
      </c>
      <c r="F2915" s="23" t="n">
        <v>325300</v>
      </c>
      <c r="G2915" s="138" t="n"/>
      <c r="H2915" s="138" t="n">
        <v>231</v>
      </c>
      <c r="I2915" s="138">
        <f>+I2914+(G2915-H2915)</f>
        <v/>
      </c>
      <c r="J2915" s="139" t="n">
        <v>40.1</v>
      </c>
      <c r="K2915" s="140" t="n"/>
      <c r="L2915" s="140">
        <f>+H2915*J2915</f>
        <v/>
      </c>
      <c r="M2915" s="141">
        <f>SUM(M2914+K2915-L2915)</f>
        <v/>
      </c>
    </row>
    <row r="2916">
      <c r="A2916" s="20" t="n">
        <v>45824</v>
      </c>
      <c r="B2916" s="21" t="n">
        <v>21629</v>
      </c>
      <c r="C2916" s="22" t="inlineStr">
        <is>
          <t>SELİM İNŞAAT</t>
        </is>
      </c>
      <c r="D2916" s="21" t="inlineStr">
        <is>
          <t>34 DHC 467</t>
        </is>
      </c>
      <c r="E2916" s="21" t="inlineStr">
        <is>
          <t>EDİP TORLAK</t>
        </is>
      </c>
      <c r="F2916" s="23" t="n">
        <v>404882</v>
      </c>
      <c r="G2916" s="138" t="n"/>
      <c r="H2916" s="138" t="n">
        <v>436</v>
      </c>
      <c r="I2916" s="138">
        <f>+I2915+(G2916-H2916)</f>
        <v/>
      </c>
      <c r="J2916" s="139" t="n">
        <v>40.1</v>
      </c>
      <c r="K2916" s="140" t="n"/>
      <c r="L2916" s="140">
        <f>+H2916*J2916</f>
        <v/>
      </c>
      <c r="M2916" s="141">
        <f>SUM(M2915+K2916-L2916)</f>
        <v/>
      </c>
    </row>
    <row r="2917">
      <c r="A2917" s="20" t="n">
        <v>45824</v>
      </c>
      <c r="B2917" s="21" t="n">
        <v>14430</v>
      </c>
      <c r="C2917" s="22" t="inlineStr">
        <is>
          <t>SELİM İNŞAAT</t>
        </is>
      </c>
      <c r="D2917" s="21" t="inlineStr">
        <is>
          <t xml:space="preserve"> 34 EGR 737</t>
        </is>
      </c>
      <c r="E2917" s="21" t="inlineStr">
        <is>
          <t>CEM MUHTAR</t>
        </is>
      </c>
      <c r="F2917" s="23" t="n">
        <v>413681</v>
      </c>
      <c r="G2917" s="138" t="n"/>
      <c r="H2917" s="138" t="n">
        <v>473</v>
      </c>
      <c r="I2917" s="138">
        <f>+I2916+(G2917-H2917)</f>
        <v/>
      </c>
      <c r="J2917" s="139" t="n">
        <v>40.1</v>
      </c>
      <c r="K2917" s="140" t="n"/>
      <c r="L2917" s="140">
        <f>+H2917*J2917</f>
        <v/>
      </c>
      <c r="M2917" s="141">
        <f>SUM(M2916+K2917-L2917)</f>
        <v/>
      </c>
    </row>
    <row r="2918">
      <c r="A2918" s="20" t="n">
        <v>45824</v>
      </c>
      <c r="B2918" s="21" t="n">
        <v>15210</v>
      </c>
      <c r="C2918" s="22" t="inlineStr">
        <is>
          <t>SELİM İNŞAAT</t>
        </is>
      </c>
      <c r="D2918" s="21" t="inlineStr">
        <is>
          <t>34 DSN 565</t>
        </is>
      </c>
      <c r="E2918" s="21" t="inlineStr">
        <is>
          <t>ONUR CANLI</t>
        </is>
      </c>
      <c r="F2918" s="23" t="n">
        <v>402144</v>
      </c>
      <c r="G2918" s="138" t="n"/>
      <c r="H2918" s="138" t="n">
        <v>212</v>
      </c>
      <c r="I2918" s="138">
        <f>+I2917+(G2918-H2918)</f>
        <v/>
      </c>
      <c r="J2918" s="139" t="n">
        <v>40.1</v>
      </c>
      <c r="K2918" s="140" t="n"/>
      <c r="L2918" s="140">
        <f>+H2918*J2918</f>
        <v/>
      </c>
      <c r="M2918" s="141">
        <f>SUM(M2917+K2918-L2918)</f>
        <v/>
      </c>
    </row>
    <row r="2919">
      <c r="A2919" s="20" t="n">
        <v>45824</v>
      </c>
      <c r="B2919" s="21" t="n">
        <v>11747</v>
      </c>
      <c r="C2919" s="22" t="inlineStr">
        <is>
          <t>SELİM İNŞAAT</t>
        </is>
      </c>
      <c r="D2919" s="21" t="inlineStr">
        <is>
          <t>34 EDB 559</t>
        </is>
      </c>
      <c r="E2919" s="21" t="inlineStr">
        <is>
          <t>FUAT AYKUL</t>
        </is>
      </c>
      <c r="F2919" s="23" t="n">
        <v>322886</v>
      </c>
      <c r="G2919" s="138" t="n"/>
      <c r="H2919" s="138" t="n">
        <v>303</v>
      </c>
      <c r="I2919" s="138">
        <f>+I2918+(G2919-H2919)</f>
        <v/>
      </c>
      <c r="J2919" s="139" t="n">
        <v>40.1</v>
      </c>
      <c r="K2919" s="140" t="n"/>
      <c r="L2919" s="140">
        <f>+H2919*J2919</f>
        <v/>
      </c>
      <c r="M2919" s="141">
        <f>SUM(M2918+K2919-L2919)</f>
        <v/>
      </c>
    </row>
    <row r="2920">
      <c r="A2920" s="20" t="n">
        <v>45824</v>
      </c>
      <c r="B2920" s="21" t="n">
        <v>11031</v>
      </c>
      <c r="C2920" s="22" t="inlineStr">
        <is>
          <t>SELİM İNŞAAT</t>
        </is>
      </c>
      <c r="D2920" s="21" t="inlineStr">
        <is>
          <t>SİLİNDİR</t>
        </is>
      </c>
      <c r="E2920" s="21" t="inlineStr">
        <is>
          <t>HASAN BAYCAN</t>
        </is>
      </c>
      <c r="F2920" s="23" t="n"/>
      <c r="G2920" s="138" t="n"/>
      <c r="H2920" s="138" t="n">
        <v>274</v>
      </c>
      <c r="I2920" s="138">
        <f>+I2919+(G2920-H2920)</f>
        <v/>
      </c>
      <c r="J2920" s="139" t="n">
        <v>40.1</v>
      </c>
      <c r="K2920" s="140" t="n"/>
      <c r="L2920" s="140">
        <f>+H2920*J2920</f>
        <v/>
      </c>
      <c r="M2920" s="141">
        <f>SUM(M2919+K2920-L2920)</f>
        <v/>
      </c>
    </row>
    <row r="2921">
      <c r="A2921" s="20" t="n">
        <v>45824</v>
      </c>
      <c r="B2921" s="1" t="n">
        <v>11032</v>
      </c>
      <c r="C2921" s="2" t="inlineStr">
        <is>
          <t>CEVİZ MOBİLYA</t>
        </is>
      </c>
      <c r="D2921" s="1" t="inlineStr">
        <is>
          <t xml:space="preserve">SM 350 </t>
        </is>
      </c>
      <c r="E2921" s="1" t="inlineStr">
        <is>
          <t>TEVFİK ÖZTÜRK</t>
        </is>
      </c>
      <c r="F2921" s="3" t="n"/>
      <c r="G2921" s="143" t="n"/>
      <c r="H2921" s="143" t="n">
        <v>470</v>
      </c>
      <c r="I2921" s="143">
        <f>+I2920+(G2921-H2921)</f>
        <v/>
      </c>
      <c r="J2921" s="144" t="n">
        <v>40.1</v>
      </c>
      <c r="K2921" s="145" t="n"/>
      <c r="L2921" s="140">
        <f>+H2921*J2921</f>
        <v/>
      </c>
      <c r="M2921" s="141">
        <f>SUM(M2920+K2921-L2921)</f>
        <v/>
      </c>
    </row>
    <row r="2922">
      <c r="A2922" s="20" t="n">
        <v>45824</v>
      </c>
      <c r="B2922" s="1" t="n">
        <v>11033</v>
      </c>
      <c r="C2922" s="2" t="inlineStr">
        <is>
          <t>CEVİZ MOBİLYA</t>
        </is>
      </c>
      <c r="D2922" s="1" t="inlineStr">
        <is>
          <t>SM 370</t>
        </is>
      </c>
      <c r="E2922" s="1" t="inlineStr">
        <is>
          <t>RAMAZAN KAYA</t>
        </is>
      </c>
      <c r="F2922" s="3" t="n"/>
      <c r="G2922" s="143" t="n"/>
      <c r="H2922" s="143" t="n">
        <v>550</v>
      </c>
      <c r="I2922" s="143">
        <f>+I2921+(G2922-H2922)</f>
        <v/>
      </c>
      <c r="J2922" s="144" t="n">
        <v>40.1</v>
      </c>
      <c r="K2922" s="145" t="n"/>
      <c r="L2922" s="140">
        <f>+H2922*J2922</f>
        <v/>
      </c>
      <c r="M2922" s="141">
        <f>SUM(M2921+K2922-L2922)</f>
        <v/>
      </c>
    </row>
    <row r="2923">
      <c r="A2923" s="20" t="n">
        <v>45824</v>
      </c>
      <c r="B2923" s="1" t="n">
        <v>11034</v>
      </c>
      <c r="C2923" s="2" t="inlineStr">
        <is>
          <t>VARLIK</t>
        </is>
      </c>
      <c r="D2923" s="1" t="inlineStr">
        <is>
          <t>SM 350</t>
        </is>
      </c>
      <c r="E2923" s="1" t="inlineStr">
        <is>
          <t>BAYRAM SANCAK</t>
        </is>
      </c>
      <c r="F2923" s="3" t="n"/>
      <c r="G2923" s="143" t="n"/>
      <c r="H2923" s="143" t="n">
        <v>456</v>
      </c>
      <c r="I2923" s="143">
        <f>+I2922+(G2923-H2923)</f>
        <v/>
      </c>
      <c r="J2923" s="144" t="n">
        <v>40.1</v>
      </c>
      <c r="K2923" s="145" t="n"/>
      <c r="L2923" s="140">
        <f>+H2923*J2923</f>
        <v/>
      </c>
      <c r="M2923" s="141">
        <f>SUM(M2922+K2923-L2923)</f>
        <v/>
      </c>
    </row>
    <row r="2924">
      <c r="A2924" s="20" t="n">
        <v>45824</v>
      </c>
      <c r="B2924" s="1" t="n">
        <v>11035</v>
      </c>
      <c r="C2924" s="2" t="inlineStr">
        <is>
          <t>VARLIK</t>
        </is>
      </c>
      <c r="D2924" s="1" t="inlineStr">
        <is>
          <t>SM 300</t>
        </is>
      </c>
      <c r="E2924" s="1" t="inlineStr">
        <is>
          <t>TURGUT SANCAK</t>
        </is>
      </c>
      <c r="F2924" s="3" t="n"/>
      <c r="G2924" s="143" t="n"/>
      <c r="H2924" s="143" t="n">
        <v>391</v>
      </c>
      <c r="I2924" s="143">
        <f>+I2923+(G2924-H2924)</f>
        <v/>
      </c>
      <c r="J2924" s="144" t="n">
        <v>40.1</v>
      </c>
      <c r="K2924" s="145" t="n"/>
      <c r="L2924" s="140">
        <f>+H2924*J2924</f>
        <v/>
      </c>
      <c r="M2924" s="141">
        <f>SUM(M2923+K2924-L2924)</f>
        <v/>
      </c>
    </row>
    <row r="2925">
      <c r="A2925" s="20" t="n">
        <v>45824</v>
      </c>
      <c r="B2925" s="1" t="n">
        <v>11036</v>
      </c>
      <c r="C2925" s="2" t="inlineStr">
        <is>
          <t>EVKUR</t>
        </is>
      </c>
      <c r="D2925" s="1" t="inlineStr">
        <is>
          <t>KAVAZAKİ</t>
        </is>
      </c>
      <c r="E2925" s="1" t="inlineStr">
        <is>
          <t>UFUK SEVAL</t>
        </is>
      </c>
      <c r="F2925" s="3" t="n"/>
      <c r="G2925" s="143" t="n"/>
      <c r="H2925" s="143" t="n">
        <v>262</v>
      </c>
      <c r="I2925" s="143">
        <f>+I2924+(G2925-H2925)</f>
        <v/>
      </c>
      <c r="J2925" s="144" t="n">
        <v>40.1</v>
      </c>
      <c r="K2925" s="145" t="n"/>
      <c r="L2925" s="140">
        <f>+H2925*J2925</f>
        <v/>
      </c>
      <c r="M2925" s="141">
        <f>SUM(M2924+K2925-L2925)</f>
        <v/>
      </c>
    </row>
    <row r="2926">
      <c r="A2926" s="20" t="n">
        <v>45824</v>
      </c>
      <c r="B2926" s="21" t="n">
        <v>15855</v>
      </c>
      <c r="C2926" s="22" t="inlineStr">
        <is>
          <t>SELİM İNŞAAT</t>
        </is>
      </c>
      <c r="D2926" s="21" t="inlineStr">
        <is>
          <t>34 EDB 754</t>
        </is>
      </c>
      <c r="E2926" s="21" t="inlineStr">
        <is>
          <t>EMİN PARLAKKILIÇ</t>
        </is>
      </c>
      <c r="F2926" s="23" t="n">
        <v>321434</v>
      </c>
      <c r="G2926" s="138" t="n"/>
      <c r="H2926" s="138" t="n">
        <v>373</v>
      </c>
      <c r="I2926" s="138">
        <f>+I2925+(G2926-H2926)</f>
        <v/>
      </c>
      <c r="J2926" s="139" t="n">
        <v>40.1</v>
      </c>
      <c r="K2926" s="140" t="n"/>
      <c r="L2926" s="140">
        <f>+H2926*J2926</f>
        <v/>
      </c>
      <c r="M2926" s="141">
        <f>SUM(M2925+K2926-L2926)</f>
        <v/>
      </c>
    </row>
    <row r="2927">
      <c r="A2927" s="20" t="n">
        <v>45824</v>
      </c>
      <c r="B2927" s="21" t="n">
        <v>11227</v>
      </c>
      <c r="C2927" s="22" t="inlineStr">
        <is>
          <t>SELİM İNŞAAT</t>
        </is>
      </c>
      <c r="D2927" s="21" t="inlineStr">
        <is>
          <t>34 DSN 636</t>
        </is>
      </c>
      <c r="E2927" s="21" t="inlineStr">
        <is>
          <t>İLHAN YÜRÜK</t>
        </is>
      </c>
      <c r="F2927" s="23" t="n">
        <v>389913</v>
      </c>
      <c r="G2927" s="138" t="n"/>
      <c r="H2927" s="138" t="n">
        <v>188</v>
      </c>
      <c r="I2927" s="138">
        <f>+I2926+(G2927-H2927)</f>
        <v/>
      </c>
      <c r="J2927" s="139" t="n">
        <v>40.1</v>
      </c>
      <c r="K2927" s="140" t="n"/>
      <c r="L2927" s="140">
        <f>+H2927*J2927</f>
        <v/>
      </c>
      <c r="M2927" s="141">
        <f>SUM(M2926+K2927-L2927)</f>
        <v/>
      </c>
    </row>
    <row r="2928">
      <c r="A2928" s="20" t="n">
        <v>45825</v>
      </c>
      <c r="B2928" s="21" t="n">
        <v>15256</v>
      </c>
      <c r="C2928" s="22" t="inlineStr">
        <is>
          <t>SELİM İNŞAAT</t>
        </is>
      </c>
      <c r="D2928" s="21" t="inlineStr">
        <is>
          <t>34 DTV 447</t>
        </is>
      </c>
      <c r="E2928" s="21" t="inlineStr">
        <is>
          <t>EBUBEKİR KOLDAŞ</t>
        </is>
      </c>
      <c r="F2928" s="23" t="n">
        <v>429597</v>
      </c>
      <c r="G2928" s="138" t="n"/>
      <c r="H2928" s="138" t="n">
        <v>254</v>
      </c>
      <c r="I2928" s="138">
        <f>+I2927+(G2928-H2928)</f>
        <v/>
      </c>
      <c r="J2928" s="139" t="n">
        <v>40.1</v>
      </c>
      <c r="K2928" s="140" t="n"/>
      <c r="L2928" s="140">
        <f>+H2928*J2928</f>
        <v/>
      </c>
      <c r="M2928" s="141">
        <f>SUM(M2927+K2928-L2928)</f>
        <v/>
      </c>
    </row>
    <row r="2929">
      <c r="A2929" s="20" t="n">
        <v>45825</v>
      </c>
      <c r="B2929" s="21" t="n">
        <v>11649</v>
      </c>
      <c r="C2929" s="22" t="inlineStr">
        <is>
          <t>SELİM İNŞAAT</t>
        </is>
      </c>
      <c r="D2929" s="21" t="inlineStr">
        <is>
          <t>34 DTV 352</t>
        </is>
      </c>
      <c r="E2929" s="21" t="inlineStr">
        <is>
          <t>RASİM BARTU</t>
        </is>
      </c>
      <c r="F2929" s="23" t="n">
        <v>433341</v>
      </c>
      <c r="G2929" s="138" t="n"/>
      <c r="H2929" s="138" t="n">
        <v>492</v>
      </c>
      <c r="I2929" s="138">
        <f>+I2928+(G2929-H2929)</f>
        <v/>
      </c>
      <c r="J2929" s="139" t="n">
        <v>40.1</v>
      </c>
      <c r="K2929" s="140" t="n"/>
      <c r="L2929" s="140">
        <f>+H2929*J2929</f>
        <v/>
      </c>
      <c r="M2929" s="141">
        <f>SUM(M2928+K2929-L2929)</f>
        <v/>
      </c>
    </row>
    <row r="2930">
      <c r="A2930" s="20" t="n">
        <v>45825</v>
      </c>
      <c r="B2930" s="21" t="n">
        <v>15354</v>
      </c>
      <c r="C2930" s="22" t="inlineStr">
        <is>
          <t>SELİM İNŞAAT</t>
        </is>
      </c>
      <c r="D2930" s="21" t="inlineStr">
        <is>
          <t>34 DTV 409</t>
        </is>
      </c>
      <c r="E2930" s="21" t="inlineStr">
        <is>
          <t>ONUR CANLI</t>
        </is>
      </c>
      <c r="F2930" s="23" t="n">
        <v>416709</v>
      </c>
      <c r="G2930" s="138" t="n"/>
      <c r="H2930" s="138" t="n">
        <v>428</v>
      </c>
      <c r="I2930" s="138">
        <f>+I2929+(G2930-H2930)</f>
        <v/>
      </c>
      <c r="J2930" s="139" t="n">
        <v>40.1</v>
      </c>
      <c r="K2930" s="140" t="n"/>
      <c r="L2930" s="140">
        <f>+H2930*J2930</f>
        <v/>
      </c>
      <c r="M2930" s="141">
        <f>SUM(M2929+K2930-L2930)</f>
        <v/>
      </c>
    </row>
    <row r="2931">
      <c r="A2931" s="20" t="n">
        <v>45825</v>
      </c>
      <c r="B2931" s="21" t="n">
        <v>15158</v>
      </c>
      <c r="C2931" s="22" t="inlineStr">
        <is>
          <t>SELİM İNŞAAT</t>
        </is>
      </c>
      <c r="D2931" s="21" t="inlineStr">
        <is>
          <t>34 DP 4161</t>
        </is>
      </c>
      <c r="E2931" s="21" t="inlineStr">
        <is>
          <t>RIFAT KARATAY</t>
        </is>
      </c>
      <c r="F2931" s="23" t="n">
        <v>286802</v>
      </c>
      <c r="G2931" s="138" t="n"/>
      <c r="H2931" s="138" t="n">
        <v>234</v>
      </c>
      <c r="I2931" s="138">
        <f>+I2930+(G2931-H2931)</f>
        <v/>
      </c>
      <c r="J2931" s="139" t="n">
        <v>40.1</v>
      </c>
      <c r="K2931" s="140" t="n"/>
      <c r="L2931" s="140">
        <f>+H2931*J2931</f>
        <v/>
      </c>
      <c r="M2931" s="141">
        <f>SUM(M2930+K2931-L2931)</f>
        <v/>
      </c>
    </row>
    <row r="2932">
      <c r="A2932" s="20" t="n">
        <v>45825</v>
      </c>
      <c r="B2932" s="21" t="n">
        <v>14381</v>
      </c>
      <c r="C2932" s="22" t="inlineStr">
        <is>
          <t>SELİM İNŞAAT</t>
        </is>
      </c>
      <c r="D2932" s="21" t="inlineStr">
        <is>
          <t>34 DKL 798</t>
        </is>
      </c>
      <c r="E2932" s="21" t="inlineStr">
        <is>
          <t>VOLKAN YANAR</t>
        </is>
      </c>
      <c r="F2932" s="23" t="n">
        <v>66061</v>
      </c>
      <c r="G2932" s="138" t="n"/>
      <c r="H2932" s="138" t="n">
        <v>112</v>
      </c>
      <c r="I2932" s="138">
        <f>+I2931+(G2932-H2932)</f>
        <v/>
      </c>
      <c r="J2932" s="139" t="n">
        <v>40.1</v>
      </c>
      <c r="K2932" s="140" t="n"/>
      <c r="L2932" s="140">
        <f>+H2932*J2932</f>
        <v/>
      </c>
      <c r="M2932" s="141">
        <f>SUM(M2931+K2932-L2932)</f>
        <v/>
      </c>
    </row>
    <row r="2933">
      <c r="A2933" s="20" t="n">
        <v>45825</v>
      </c>
      <c r="B2933" s="21" t="n">
        <v>20544</v>
      </c>
      <c r="C2933" s="22" t="inlineStr">
        <is>
          <t>SELİM İNŞAAT</t>
        </is>
      </c>
      <c r="D2933" s="21" t="inlineStr">
        <is>
          <t>34 VF 2620</t>
        </is>
      </c>
      <c r="E2933" s="21" t="inlineStr">
        <is>
          <t>RECEP SELİM</t>
        </is>
      </c>
      <c r="F2933" s="23" t="n">
        <v>187167</v>
      </c>
      <c r="G2933" s="138" t="n"/>
      <c r="H2933" s="138" t="n">
        <v>82</v>
      </c>
      <c r="I2933" s="138">
        <f>+I2932+(G2933-H2933)</f>
        <v/>
      </c>
      <c r="J2933" s="139" t="n">
        <v>40.1</v>
      </c>
      <c r="K2933" s="140" t="n"/>
      <c r="L2933" s="140">
        <f>+H2933*J2933</f>
        <v/>
      </c>
      <c r="M2933" s="141">
        <f>SUM(M2932+K2933-L2933)</f>
        <v/>
      </c>
    </row>
    <row r="2934">
      <c r="A2934" s="20" t="n">
        <v>45825</v>
      </c>
      <c r="B2934" s="21" t="n">
        <v>105584</v>
      </c>
      <c r="C2934" s="22" t="inlineStr">
        <is>
          <t>SELİM İNŞAAT</t>
        </is>
      </c>
      <c r="D2934" s="21" t="inlineStr">
        <is>
          <t>34 GU 945</t>
        </is>
      </c>
      <c r="E2934" s="21" t="inlineStr">
        <is>
          <t>ŞERİF KARTAL</t>
        </is>
      </c>
      <c r="F2934" s="23" t="n">
        <v>448276</v>
      </c>
      <c r="G2934" s="138" t="n"/>
      <c r="H2934" s="138" t="n">
        <v>84</v>
      </c>
      <c r="I2934" s="138">
        <f>+I2933+(G2934-H2934)</f>
        <v/>
      </c>
      <c r="J2934" s="139" t="n">
        <v>40.1</v>
      </c>
      <c r="K2934" s="140" t="n"/>
      <c r="L2934" s="140">
        <f>+H2934*J2934</f>
        <v/>
      </c>
      <c r="M2934" s="141">
        <f>SUM(M2933+K2934-L2934)</f>
        <v/>
      </c>
    </row>
    <row r="2935">
      <c r="A2935" s="20" t="n">
        <v>45825</v>
      </c>
      <c r="B2935" s="21" t="n">
        <v>15664</v>
      </c>
      <c r="C2935" s="22" t="inlineStr">
        <is>
          <t>METİN ERYİĞİT</t>
        </is>
      </c>
      <c r="D2935" s="21" t="inlineStr">
        <is>
          <t>34 EGR 814</t>
        </is>
      </c>
      <c r="E2935" s="21" t="inlineStr">
        <is>
          <t>GÜRAY KOYUNCU</t>
        </is>
      </c>
      <c r="F2935" s="23" t="n">
        <v>542837</v>
      </c>
      <c r="G2935" s="138" t="n"/>
      <c r="H2935" s="138" t="n">
        <v>250</v>
      </c>
      <c r="I2935" s="138">
        <f>+I2934+(G2935-H2935)</f>
        <v/>
      </c>
      <c r="J2935" s="139" t="n">
        <v>40.1</v>
      </c>
      <c r="K2935" s="140" t="n"/>
      <c r="L2935" s="140">
        <f>+H2935*J2935</f>
        <v/>
      </c>
      <c r="M2935" s="141">
        <f>SUM(M2934+K2935-L2935)</f>
        <v/>
      </c>
    </row>
    <row r="2936">
      <c r="A2936" s="20" t="n">
        <v>45825</v>
      </c>
      <c r="B2936" s="21" t="n">
        <v>14184</v>
      </c>
      <c r="C2936" s="22" t="inlineStr">
        <is>
          <t>AZGÜN YAPI</t>
        </is>
      </c>
      <c r="D2936" s="21" t="inlineStr">
        <is>
          <t>34 DTV 263</t>
        </is>
      </c>
      <c r="E2936" s="21" t="inlineStr">
        <is>
          <t>İBRAHİM GÜLLÜK</t>
        </is>
      </c>
      <c r="F2936" s="23" t="n"/>
      <c r="G2936" s="138" t="n"/>
      <c r="H2936" s="138" t="n">
        <v>399</v>
      </c>
      <c r="I2936" s="138">
        <f>+I2935+(G2936-H2936)</f>
        <v/>
      </c>
      <c r="J2936" s="139" t="n">
        <v>40.1</v>
      </c>
      <c r="K2936" s="140" t="n"/>
      <c r="L2936" s="140">
        <f>+H2936*J2936</f>
        <v/>
      </c>
      <c r="M2936" s="141">
        <f>SUM(M2935+K2936-L2936)</f>
        <v/>
      </c>
    </row>
    <row r="2937">
      <c r="A2937" s="20" t="n">
        <v>45825</v>
      </c>
      <c r="B2937" s="21" t="n">
        <v>15055</v>
      </c>
      <c r="C2937" s="22" t="inlineStr">
        <is>
          <t>SELİM İNŞAAT</t>
        </is>
      </c>
      <c r="D2937" s="21" t="inlineStr">
        <is>
          <t>34 EGR 736</t>
        </is>
      </c>
      <c r="E2937" s="21" t="inlineStr">
        <is>
          <t>HAKAN ÇAVUŞOĞLU</t>
        </is>
      </c>
      <c r="F2937" s="23" t="n">
        <v>389747</v>
      </c>
      <c r="G2937" s="138" t="n"/>
      <c r="H2937" s="138" t="n">
        <v>393</v>
      </c>
      <c r="I2937" s="138">
        <f>+I2936+(G2937-H2937)</f>
        <v/>
      </c>
      <c r="J2937" s="139" t="n">
        <v>40.1</v>
      </c>
      <c r="K2937" s="140" t="n"/>
      <c r="L2937" s="140">
        <f>+H2937*J2937</f>
        <v/>
      </c>
      <c r="M2937" s="141">
        <f>SUM(M2936+K2937-L2937)</f>
        <v/>
      </c>
    </row>
    <row r="2938">
      <c r="A2938" s="20" t="n">
        <v>45825</v>
      </c>
      <c r="B2938" s="21" t="n">
        <v>14488</v>
      </c>
      <c r="C2938" s="22" t="inlineStr">
        <is>
          <t>SELİM İNŞAAT</t>
        </is>
      </c>
      <c r="D2938" s="21" t="inlineStr">
        <is>
          <t>34 GVZ 848</t>
        </is>
      </c>
      <c r="E2938" s="21" t="inlineStr">
        <is>
          <t>SERDAR BOZKURT</t>
        </is>
      </c>
      <c r="F2938" s="23" t="n">
        <v>192804</v>
      </c>
      <c r="G2938" s="138" t="n"/>
      <c r="H2938" s="138" t="n">
        <v>316</v>
      </c>
      <c r="I2938" s="138">
        <f>+I2937+(G2938-H2938)</f>
        <v/>
      </c>
      <c r="J2938" s="139" t="n">
        <v>40.1</v>
      </c>
      <c r="K2938" s="140" t="n"/>
      <c r="L2938" s="140">
        <f>+H2938*J2938</f>
        <v/>
      </c>
      <c r="M2938" s="141">
        <f>SUM(M2937+K2938-L2938)</f>
        <v/>
      </c>
    </row>
    <row r="2939">
      <c r="A2939" s="20" t="n">
        <v>45825</v>
      </c>
      <c r="B2939" s="21" t="n">
        <v>10550</v>
      </c>
      <c r="C2939" s="22" t="inlineStr">
        <is>
          <t>SELİM İNŞAAT</t>
        </is>
      </c>
      <c r="D2939" s="21" t="inlineStr">
        <is>
          <t>34 EDB 922</t>
        </is>
      </c>
      <c r="E2939" s="21" t="inlineStr">
        <is>
          <t>AHMET TOPÇU</t>
        </is>
      </c>
      <c r="F2939" s="23" t="n">
        <v>362249</v>
      </c>
      <c r="G2939" s="138" t="n"/>
      <c r="H2939" s="138" t="n">
        <v>428</v>
      </c>
      <c r="I2939" s="138">
        <f>+I2938+(G2939-H2939)</f>
        <v/>
      </c>
      <c r="J2939" s="139" t="n">
        <v>40.1</v>
      </c>
      <c r="K2939" s="140" t="n"/>
      <c r="L2939" s="140">
        <f>+H2939*J2939</f>
        <v/>
      </c>
      <c r="M2939" s="141">
        <f>SUM(M2938+K2939-L2939)</f>
        <v/>
      </c>
    </row>
    <row r="2940">
      <c r="A2940" s="20" t="n">
        <v>45825</v>
      </c>
      <c r="B2940" s="21" t="n">
        <v>11037</v>
      </c>
      <c r="C2940" s="22" t="inlineStr">
        <is>
          <t>EVKUR</t>
        </is>
      </c>
      <c r="D2940" s="21" t="inlineStr">
        <is>
          <t>MANİTO</t>
        </is>
      </c>
      <c r="E2940" s="21" t="inlineStr">
        <is>
          <t>FAHRİ KALFA</t>
        </is>
      </c>
      <c r="F2940" s="23" t="n"/>
      <c r="G2940" s="138" t="n"/>
      <c r="H2940" s="138" t="n">
        <v>81</v>
      </c>
      <c r="I2940" s="138">
        <f>+I2939+(G2940-H2940)</f>
        <v/>
      </c>
      <c r="J2940" s="139" t="n">
        <v>40.1</v>
      </c>
      <c r="K2940" s="140" t="n"/>
      <c r="L2940" s="140">
        <f>+H2940*J2940</f>
        <v/>
      </c>
      <c r="M2940" s="141">
        <f>SUM(M2939+K2940-L2940)</f>
        <v/>
      </c>
    </row>
    <row r="2941">
      <c r="A2941" s="20" t="n">
        <v>45825</v>
      </c>
      <c r="B2941" s="1" t="n">
        <v>11038</v>
      </c>
      <c r="C2941" s="2" t="inlineStr">
        <is>
          <t>VARLIK</t>
        </is>
      </c>
      <c r="D2941" s="1" t="inlineStr">
        <is>
          <t>SM 350</t>
        </is>
      </c>
      <c r="E2941" s="1" t="inlineStr">
        <is>
          <t>BAYRAM SANCAK</t>
        </is>
      </c>
      <c r="F2941" s="3" t="n"/>
      <c r="G2941" s="143" t="n"/>
      <c r="H2941" s="143" t="n">
        <v>543</v>
      </c>
      <c r="I2941" s="143">
        <f>+I2940+(G2941-H2941)</f>
        <v/>
      </c>
      <c r="J2941" s="144" t="n">
        <v>40.1</v>
      </c>
      <c r="K2941" s="145" t="n"/>
      <c r="L2941" s="140">
        <f>+H2941*J2941</f>
        <v/>
      </c>
      <c r="M2941" s="141">
        <f>SUM(M2940+K2941-L2941)</f>
        <v/>
      </c>
    </row>
    <row r="2942">
      <c r="A2942" s="20" t="n">
        <v>45825</v>
      </c>
      <c r="B2942" s="1" t="n">
        <v>11039</v>
      </c>
      <c r="C2942" s="2" t="inlineStr">
        <is>
          <t>VARLIK</t>
        </is>
      </c>
      <c r="D2942" s="1" t="inlineStr">
        <is>
          <t>SM 300</t>
        </is>
      </c>
      <c r="E2942" s="1" t="inlineStr">
        <is>
          <t>TURGUT SANCAK</t>
        </is>
      </c>
      <c r="F2942" s="3" t="n"/>
      <c r="G2942" s="143" t="n"/>
      <c r="H2942" s="143" t="n">
        <v>394</v>
      </c>
      <c r="I2942" s="143">
        <f>+I2941+(G2942-H2942)</f>
        <v/>
      </c>
      <c r="J2942" s="144" t="n">
        <v>40.1</v>
      </c>
      <c r="K2942" s="145" t="n"/>
      <c r="L2942" s="140">
        <f>+H2942*J2942</f>
        <v/>
      </c>
      <c r="M2942" s="141">
        <f>SUM(M2941+K2942-L2942)</f>
        <v/>
      </c>
    </row>
    <row r="2943">
      <c r="A2943" s="20" t="n">
        <v>45825</v>
      </c>
      <c r="B2943" s="1" t="n">
        <v>11040</v>
      </c>
      <c r="C2943" s="2" t="inlineStr">
        <is>
          <t>CEVİZ MOBİLYA</t>
        </is>
      </c>
      <c r="D2943" s="1" t="inlineStr">
        <is>
          <t>SM 370</t>
        </is>
      </c>
      <c r="E2943" s="1" t="inlineStr">
        <is>
          <t>TEKİN ŞEYLAN</t>
        </is>
      </c>
      <c r="F2943" s="3" t="n"/>
      <c r="G2943" s="143" t="n"/>
      <c r="H2943" s="143" t="n">
        <v>452</v>
      </c>
      <c r="I2943" s="143">
        <f>+I2942+(G2943-H2943)</f>
        <v/>
      </c>
      <c r="J2943" s="144" t="n">
        <v>40.1</v>
      </c>
      <c r="K2943" s="145" t="n"/>
      <c r="L2943" s="140">
        <f>+H2943*J2943</f>
        <v/>
      </c>
      <c r="M2943" s="141">
        <f>SUM(M2942+K2943-L2943)</f>
        <v/>
      </c>
    </row>
    <row r="2944">
      <c r="A2944" s="20" t="n">
        <v>45825</v>
      </c>
      <c r="B2944" s="1" t="n">
        <v>11041</v>
      </c>
      <c r="C2944" s="2" t="inlineStr">
        <is>
          <t>CEVİZ MOBİLYA</t>
        </is>
      </c>
      <c r="D2944" s="1" t="inlineStr">
        <is>
          <t>SM 350</t>
        </is>
      </c>
      <c r="E2944" s="1" t="inlineStr">
        <is>
          <t>TEVFİK ÖZTÜRK</t>
        </is>
      </c>
      <c r="F2944" s="3" t="n"/>
      <c r="G2944" s="143" t="n"/>
      <c r="H2944" s="143" t="n">
        <v>420</v>
      </c>
      <c r="I2944" s="143">
        <f>+I2943+(G2944-H2944)</f>
        <v/>
      </c>
      <c r="J2944" s="144" t="n">
        <v>40.1</v>
      </c>
      <c r="K2944" s="145" t="n"/>
      <c r="L2944" s="140">
        <f>+H2944*J2944</f>
        <v/>
      </c>
      <c r="M2944" s="141">
        <f>SUM(M2943+K2944-L2944)</f>
        <v/>
      </c>
    </row>
    <row r="2945">
      <c r="A2945" s="20" t="n">
        <v>45825</v>
      </c>
      <c r="B2945" s="1" t="n">
        <v>11042</v>
      </c>
      <c r="C2945" s="2" t="inlineStr">
        <is>
          <t>CEVİZ MOBİLYA</t>
        </is>
      </c>
      <c r="D2945" s="1" t="inlineStr">
        <is>
          <t>SM 370</t>
        </is>
      </c>
      <c r="E2945" s="1" t="inlineStr">
        <is>
          <t>RAMAZAN KAYA</t>
        </is>
      </c>
      <c r="F2945" s="3" t="n"/>
      <c r="G2945" s="143" t="n"/>
      <c r="H2945" s="143" t="n">
        <v>550</v>
      </c>
      <c r="I2945" s="143">
        <f>+I2944+(G2945-H2945)</f>
        <v/>
      </c>
      <c r="J2945" s="144" t="n">
        <v>40.1</v>
      </c>
      <c r="K2945" s="145" t="n"/>
      <c r="L2945" s="140">
        <f>+H2945*J2945</f>
        <v/>
      </c>
      <c r="M2945" s="141">
        <f>SUM(M2944+K2945-L2945)</f>
        <v/>
      </c>
    </row>
    <row r="2946">
      <c r="A2946" s="20" t="n">
        <v>45825</v>
      </c>
      <c r="B2946" s="21" t="n">
        <v>14761</v>
      </c>
      <c r="C2946" s="22" t="inlineStr">
        <is>
          <t>SELİM İNŞAAT</t>
        </is>
      </c>
      <c r="D2946" s="21" t="inlineStr">
        <is>
          <t>34 GYZ 635</t>
        </is>
      </c>
      <c r="E2946" s="21" t="inlineStr">
        <is>
          <t>ENGİN DEMİR</t>
        </is>
      </c>
      <c r="F2946" s="23" t="n">
        <v>172523</v>
      </c>
      <c r="G2946" s="138" t="n"/>
      <c r="H2946" s="138" t="n">
        <v>398</v>
      </c>
      <c r="I2946" s="138">
        <f>+I2945+(G2946-H2946)</f>
        <v/>
      </c>
      <c r="J2946" s="139" t="n">
        <v>40.1</v>
      </c>
      <c r="K2946" s="140" t="n"/>
      <c r="L2946" s="140">
        <f>+H2946*J2946</f>
        <v/>
      </c>
      <c r="M2946" s="141">
        <f>SUM(M2945+K2946-L2946)</f>
        <v/>
      </c>
    </row>
    <row r="2947">
      <c r="A2947" s="20" t="n">
        <v>45825</v>
      </c>
      <c r="B2947" s="21" t="n">
        <v>14824</v>
      </c>
      <c r="C2947" s="22" t="inlineStr">
        <is>
          <t>SELİM İNŞAAT</t>
        </is>
      </c>
      <c r="D2947" s="21" t="inlineStr">
        <is>
          <t>34 GVZ 268</t>
        </is>
      </c>
      <c r="E2947" s="21" t="inlineStr">
        <is>
          <t>KERİM KARAMAN</t>
        </is>
      </c>
      <c r="F2947" s="23" t="n">
        <v>193233</v>
      </c>
      <c r="G2947" s="138" t="n"/>
      <c r="H2947" s="138" t="n">
        <v>226</v>
      </c>
      <c r="I2947" s="138">
        <f>+I2946+(G2947-H2947)</f>
        <v/>
      </c>
      <c r="J2947" s="139" t="n">
        <v>40.1</v>
      </c>
      <c r="K2947" s="140" t="n"/>
      <c r="L2947" s="140">
        <f>+H2947*J2947</f>
        <v/>
      </c>
      <c r="M2947" s="141">
        <f>SUM(M2946+K2947-L2947)</f>
        <v/>
      </c>
    </row>
    <row r="2948">
      <c r="A2948" s="20" t="n">
        <v>45825</v>
      </c>
      <c r="B2948" s="21" t="n">
        <v>11841</v>
      </c>
      <c r="C2948" s="22" t="inlineStr">
        <is>
          <t>SELİM İNŞAAT</t>
        </is>
      </c>
      <c r="D2948" s="21" t="inlineStr">
        <is>
          <t>34 FSG 229</t>
        </is>
      </c>
      <c r="E2948" s="21" t="inlineStr">
        <is>
          <t>SİNAN TANRIVERDİ</t>
        </is>
      </c>
      <c r="F2948" s="23" t="n">
        <v>257856</v>
      </c>
      <c r="G2948" s="138" t="n"/>
      <c r="H2948" s="138" t="n">
        <v>313</v>
      </c>
      <c r="I2948" s="138">
        <f>+I2947+(G2948-H2948)</f>
        <v/>
      </c>
      <c r="J2948" s="139" t="n">
        <v>40.1</v>
      </c>
      <c r="K2948" s="140" t="n"/>
      <c r="L2948" s="140">
        <f>+H2948*J2948</f>
        <v/>
      </c>
      <c r="M2948" s="141">
        <f>SUM(M2947+K2948-L2948)</f>
        <v/>
      </c>
    </row>
    <row r="2949">
      <c r="A2949" s="20" t="n">
        <v>45826</v>
      </c>
      <c r="B2949" s="21" t="n">
        <v>5</v>
      </c>
      <c r="C2949" s="22" t="inlineStr">
        <is>
          <t>SELİM İNŞAAT</t>
        </is>
      </c>
      <c r="D2949" s="21" t="inlineStr">
        <is>
          <t>34 FBR 748</t>
        </is>
      </c>
      <c r="E2949" s="21" t="inlineStr">
        <is>
          <t>YAŞAR ÖZKAYA</t>
        </is>
      </c>
      <c r="F2949" s="23" t="n">
        <v>280736</v>
      </c>
      <c r="G2949" s="138" t="n"/>
      <c r="H2949" s="138" t="n">
        <v>469</v>
      </c>
      <c r="I2949" s="138">
        <f>+I2948+(G2949-H2949)</f>
        <v/>
      </c>
      <c r="J2949" s="139" t="n">
        <v>40.1</v>
      </c>
      <c r="K2949" s="140" t="n"/>
      <c r="L2949" s="140">
        <f>+H2949*J2949</f>
        <v/>
      </c>
      <c r="M2949" s="141">
        <f>SUM(M2948+K2949-L2949)</f>
        <v/>
      </c>
    </row>
    <row r="2950">
      <c r="A2950" s="20" t="n">
        <v>45826</v>
      </c>
      <c r="B2950" s="21" t="n">
        <v>14636</v>
      </c>
      <c r="C2950" s="22" t="inlineStr">
        <is>
          <t>SELİM İNŞAAT</t>
        </is>
      </c>
      <c r="D2950" s="21" t="inlineStr">
        <is>
          <t>34 GER 445</t>
        </is>
      </c>
      <c r="E2950" s="21" t="inlineStr">
        <is>
          <t>HASAN BAYCAN</t>
        </is>
      </c>
      <c r="F2950" s="23" t="n">
        <v>43065</v>
      </c>
      <c r="G2950" s="138" t="n"/>
      <c r="H2950" s="138" t="n">
        <v>239</v>
      </c>
      <c r="I2950" s="138">
        <f>+I2949+(G2950-H2950)</f>
        <v/>
      </c>
      <c r="J2950" s="139" t="n">
        <v>40.1</v>
      </c>
      <c r="K2950" s="140" t="n"/>
      <c r="L2950" s="140">
        <f>+H2950*J2950</f>
        <v/>
      </c>
      <c r="M2950" s="141">
        <f>SUM(M2949+K2950-L2950)</f>
        <v/>
      </c>
    </row>
    <row r="2951">
      <c r="A2951" s="20" t="n">
        <v>45826</v>
      </c>
      <c r="B2951" s="21" t="n">
        <v>11375</v>
      </c>
      <c r="C2951" s="22" t="inlineStr">
        <is>
          <t>AZGÜN YAPI</t>
        </is>
      </c>
      <c r="D2951" s="21" t="inlineStr">
        <is>
          <t>34 MKT 859</t>
        </is>
      </c>
      <c r="E2951" s="21" t="inlineStr">
        <is>
          <t>HASAN ALTUN</t>
        </is>
      </c>
      <c r="F2951" s="23" t="n">
        <v>41763</v>
      </c>
      <c r="G2951" s="138" t="n"/>
      <c r="H2951" s="138" t="n">
        <v>916</v>
      </c>
      <c r="I2951" s="138">
        <f>+I2950+(G2951-H2951)</f>
        <v/>
      </c>
      <c r="J2951" s="139" t="n">
        <v>40.1</v>
      </c>
      <c r="K2951" s="140" t="n"/>
      <c r="L2951" s="140">
        <f>+H2951*J2951</f>
        <v/>
      </c>
      <c r="M2951" s="141">
        <f>SUM(M2950+K2951-L2951)</f>
        <v/>
      </c>
    </row>
    <row r="2952">
      <c r="A2952" s="20" t="n">
        <v>45826</v>
      </c>
      <c r="B2952" s="21" t="n">
        <v>15610</v>
      </c>
      <c r="C2952" s="22" t="inlineStr">
        <is>
          <t>METİN ERYİĞİT</t>
        </is>
      </c>
      <c r="D2952" s="21" t="inlineStr">
        <is>
          <t>34 EGS 013</t>
        </is>
      </c>
      <c r="E2952" s="21" t="inlineStr">
        <is>
          <t xml:space="preserve">UĞUR DUMAN </t>
        </is>
      </c>
      <c r="F2952" s="23" t="n">
        <v>488962</v>
      </c>
      <c r="G2952" s="138" t="n"/>
      <c r="H2952" s="138" t="n">
        <v>261</v>
      </c>
      <c r="I2952" s="138">
        <f>+I2951+(G2952-H2952)</f>
        <v/>
      </c>
      <c r="J2952" s="139" t="n">
        <v>40.1</v>
      </c>
      <c r="K2952" s="140" t="n"/>
      <c r="L2952" s="140">
        <f>+H2952*J2952</f>
        <v/>
      </c>
      <c r="M2952" s="141">
        <f>SUM(M2951+K2952-L2952)</f>
        <v/>
      </c>
    </row>
    <row r="2953">
      <c r="A2953" s="20" t="n">
        <v>45826</v>
      </c>
      <c r="B2953" s="21" t="n">
        <v>152</v>
      </c>
      <c r="C2953" s="22" t="inlineStr">
        <is>
          <t>SELİM İNŞAAT</t>
        </is>
      </c>
      <c r="D2953" s="21" t="inlineStr">
        <is>
          <t>34 TG 7869</t>
        </is>
      </c>
      <c r="E2953" s="21" t="inlineStr">
        <is>
          <t>GÖRKEM KARAYEL</t>
        </is>
      </c>
      <c r="F2953" s="23" t="n">
        <v>183242</v>
      </c>
      <c r="G2953" s="138" t="n"/>
      <c r="H2953" s="138" t="n">
        <v>336</v>
      </c>
      <c r="I2953" s="138">
        <f>+I2952+(G2953-H2953)</f>
        <v/>
      </c>
      <c r="J2953" s="139" t="n">
        <v>40.1</v>
      </c>
      <c r="K2953" s="140" t="n"/>
      <c r="L2953" s="140">
        <f>+H2953*J2953</f>
        <v/>
      </c>
      <c r="M2953" s="141">
        <f>SUM(M2952+K2953-L2953)</f>
        <v/>
      </c>
    </row>
    <row r="2954">
      <c r="A2954" s="20" t="n">
        <v>45826</v>
      </c>
      <c r="B2954" s="21" t="n">
        <v>14532</v>
      </c>
      <c r="C2954" s="22" t="inlineStr">
        <is>
          <t>SELİM İNŞAAT</t>
        </is>
      </c>
      <c r="D2954" s="21" t="inlineStr">
        <is>
          <t>34 GER 028</t>
        </is>
      </c>
      <c r="E2954" s="21" t="inlineStr">
        <is>
          <t>A.KERİM ERGEN</t>
        </is>
      </c>
      <c r="F2954" s="23" t="n">
        <v>44800</v>
      </c>
      <c r="G2954" s="138" t="n"/>
      <c r="H2954" s="138" t="n">
        <v>194</v>
      </c>
      <c r="I2954" s="138">
        <f>+I2953+(G2954-H2954)</f>
        <v/>
      </c>
      <c r="J2954" s="139" t="n">
        <v>40.1</v>
      </c>
      <c r="K2954" s="140" t="n"/>
      <c r="L2954" s="140">
        <f>+H2954*J2954</f>
        <v/>
      </c>
      <c r="M2954" s="141">
        <f>SUM(M2953+K2954-L2954)</f>
        <v/>
      </c>
    </row>
    <row r="2955">
      <c r="A2955" s="20" t="n">
        <v>45826</v>
      </c>
      <c r="B2955" s="21" t="n">
        <v>14382</v>
      </c>
      <c r="C2955" s="22" t="inlineStr">
        <is>
          <t>SELİM İNŞAAT</t>
        </is>
      </c>
      <c r="D2955" s="21" t="inlineStr">
        <is>
          <t>34 DKL 798</t>
        </is>
      </c>
      <c r="E2955" s="21" t="inlineStr">
        <is>
          <t>VOLKAN YANAR</t>
        </is>
      </c>
      <c r="F2955" s="23" t="n">
        <v>66175</v>
      </c>
      <c r="G2955" s="138" t="n"/>
      <c r="H2955" s="138" t="n">
        <v>112</v>
      </c>
      <c r="I2955" s="138">
        <f>+I2954+(G2955-H2955)</f>
        <v/>
      </c>
      <c r="J2955" s="139" t="n">
        <v>40.1</v>
      </c>
      <c r="K2955" s="140" t="n"/>
      <c r="L2955" s="140">
        <f>+H2955*J2955</f>
        <v/>
      </c>
      <c r="M2955" s="141">
        <f>SUM(M2954+K2955-L2955)</f>
        <v/>
      </c>
    </row>
    <row r="2956">
      <c r="A2956" s="20" t="n">
        <v>45826</v>
      </c>
      <c r="B2956" s="21" t="n">
        <v>15919</v>
      </c>
      <c r="C2956" s="22" t="inlineStr">
        <is>
          <t>SELİM İNŞAAT</t>
        </is>
      </c>
      <c r="D2956" s="21" t="inlineStr">
        <is>
          <t>34 DFE 454</t>
        </is>
      </c>
      <c r="E2956" s="21" t="inlineStr">
        <is>
          <t>METİN KALKAN</t>
        </is>
      </c>
      <c r="F2956" s="23" t="n">
        <v>159808</v>
      </c>
      <c r="G2956" s="138" t="n"/>
      <c r="H2956" s="138" t="n">
        <v>114</v>
      </c>
      <c r="I2956" s="138">
        <f>+I2955+(G2956-H2956)</f>
        <v/>
      </c>
      <c r="J2956" s="139" t="n">
        <v>40.1</v>
      </c>
      <c r="K2956" s="140" t="n"/>
      <c r="L2956" s="140">
        <f>+H2956*J2956</f>
        <v/>
      </c>
      <c r="M2956" s="141">
        <f>SUM(M2955+K2956-L2956)</f>
        <v/>
      </c>
    </row>
    <row r="2957">
      <c r="A2957" s="20" t="n">
        <v>45826</v>
      </c>
      <c r="B2957" s="21" t="n">
        <v>14342</v>
      </c>
      <c r="C2957" s="22" t="inlineStr">
        <is>
          <t>SELİM İNŞAAT</t>
        </is>
      </c>
      <c r="D2957" s="21" t="inlineStr">
        <is>
          <t>34 DKL 866</t>
        </is>
      </c>
      <c r="E2957" s="21" t="inlineStr">
        <is>
          <t>SELİM CAN ÖNVER</t>
        </is>
      </c>
      <c r="F2957" s="23" t="n">
        <v>66172</v>
      </c>
      <c r="G2957" s="138" t="n"/>
      <c r="H2957" s="138" t="n">
        <v>174</v>
      </c>
      <c r="I2957" s="138">
        <f>+I2956+(G2957-H2957)</f>
        <v/>
      </c>
      <c r="J2957" s="139" t="n">
        <v>40.1</v>
      </c>
      <c r="K2957" s="140" t="n"/>
      <c r="L2957" s="140">
        <f>+H2957*J2957</f>
        <v/>
      </c>
      <c r="M2957" s="141">
        <f>SUM(M2956+K2957-L2957)</f>
        <v/>
      </c>
    </row>
    <row r="2958">
      <c r="A2958" s="20" t="n">
        <v>45826</v>
      </c>
      <c r="B2958" s="21" t="n">
        <v>10891</v>
      </c>
      <c r="C2958" s="22" t="inlineStr">
        <is>
          <t>SELİM İNŞAAT</t>
        </is>
      </c>
      <c r="D2958" s="21" t="inlineStr">
        <is>
          <t>34 AR 7743</t>
        </is>
      </c>
      <c r="E2958" s="21" t="inlineStr">
        <is>
          <t>MEHMET SELİM</t>
        </is>
      </c>
      <c r="F2958" s="23" t="n"/>
      <c r="G2958" s="138" t="n"/>
      <c r="H2958" s="138" t="n">
        <v>54</v>
      </c>
      <c r="I2958" s="138">
        <f>+I2957+(G2958-H2958)</f>
        <v/>
      </c>
      <c r="J2958" s="139" t="n">
        <v>40.1</v>
      </c>
      <c r="K2958" s="140" t="n"/>
      <c r="L2958" s="140">
        <f>+H2958*J2958</f>
        <v/>
      </c>
      <c r="M2958" s="141">
        <f>SUM(M2957+K2958-L2958)</f>
        <v/>
      </c>
    </row>
    <row r="2959">
      <c r="A2959" s="20" t="n">
        <v>45826</v>
      </c>
      <c r="B2959" s="21" t="n">
        <v>14740</v>
      </c>
      <c r="C2959" s="22" t="inlineStr">
        <is>
          <t>METİN ERYİĞİT</t>
        </is>
      </c>
      <c r="D2959" s="21" t="inlineStr">
        <is>
          <t>34 GBL 998</t>
        </is>
      </c>
      <c r="E2959" s="21" t="inlineStr">
        <is>
          <t>ALİ KESKİN</t>
        </is>
      </c>
      <c r="F2959" s="23" t="n">
        <v>269356</v>
      </c>
      <c r="G2959" s="138" t="n"/>
      <c r="H2959" s="138" t="n">
        <v>465</v>
      </c>
      <c r="I2959" s="138">
        <f>+I2958+(G2959-H2959)</f>
        <v/>
      </c>
      <c r="J2959" s="139" t="n">
        <v>40.1</v>
      </c>
      <c r="K2959" s="140" t="n"/>
      <c r="L2959" s="140">
        <f>+H2959*J2959</f>
        <v/>
      </c>
      <c r="M2959" s="141">
        <f>SUM(M2958+K2959-L2959)</f>
        <v/>
      </c>
    </row>
    <row r="2960">
      <c r="A2960" s="20" t="n">
        <v>45826</v>
      </c>
      <c r="B2960" s="21" t="n">
        <v>15313</v>
      </c>
      <c r="C2960" s="22" t="inlineStr">
        <is>
          <t>SELİM İNŞAAT</t>
        </is>
      </c>
      <c r="D2960" s="21" t="inlineStr">
        <is>
          <t>34 EDC 162</t>
        </is>
      </c>
      <c r="E2960" s="21" t="inlineStr">
        <is>
          <t xml:space="preserve">YAKUP GÜNER </t>
        </is>
      </c>
      <c r="F2960" s="23" t="n">
        <v>370455</v>
      </c>
      <c r="G2960" s="138" t="n"/>
      <c r="H2960" s="138" t="n">
        <v>436</v>
      </c>
      <c r="I2960" s="138">
        <f>+I2959+(G2960-H2960)</f>
        <v/>
      </c>
      <c r="J2960" s="139" t="n">
        <v>40.1</v>
      </c>
      <c r="K2960" s="140" t="n"/>
      <c r="L2960" s="140">
        <f>+H2960*J2960</f>
        <v/>
      </c>
      <c r="M2960" s="141">
        <f>SUM(M2959+K2960-L2960)</f>
        <v/>
      </c>
    </row>
    <row r="2961">
      <c r="A2961" s="20" t="n">
        <v>45826</v>
      </c>
      <c r="B2961" s="21" t="n">
        <v>14039</v>
      </c>
      <c r="C2961" s="22" t="inlineStr">
        <is>
          <t>SELİM İNŞAAT</t>
        </is>
      </c>
      <c r="D2961" s="21" t="inlineStr">
        <is>
          <t>34 GVZ 310</t>
        </is>
      </c>
      <c r="E2961" s="21" t="inlineStr">
        <is>
          <t>CELAL YÜZBAŞI</t>
        </is>
      </c>
      <c r="F2961" s="23" t="n">
        <v>198115</v>
      </c>
      <c r="G2961" s="138" t="n"/>
      <c r="H2961" s="138" t="n">
        <v>467</v>
      </c>
      <c r="I2961" s="138">
        <f>+I2960+(G2961-H2961)</f>
        <v/>
      </c>
      <c r="J2961" s="139" t="n">
        <v>40.1</v>
      </c>
      <c r="K2961" s="140" t="n"/>
      <c r="L2961" s="140">
        <f>+H2961*J2961</f>
        <v/>
      </c>
      <c r="M2961" s="141">
        <f>SUM(M2960+K2961-L2961)</f>
        <v/>
      </c>
    </row>
    <row r="2962">
      <c r="A2962" s="20" t="n">
        <v>45826</v>
      </c>
      <c r="B2962" s="21" t="n">
        <v>11489</v>
      </c>
      <c r="C2962" s="22" t="inlineStr">
        <is>
          <t>SELİM İNŞAAT</t>
        </is>
      </c>
      <c r="D2962" s="21" t="inlineStr">
        <is>
          <t>34 EGR 922</t>
        </is>
      </c>
      <c r="E2962" s="21" t="inlineStr">
        <is>
          <t>FARUK ÖZEN</t>
        </is>
      </c>
      <c r="F2962" s="23" t="n">
        <v>454811</v>
      </c>
      <c r="G2962" s="138" t="n"/>
      <c r="H2962" s="138" t="n">
        <v>527</v>
      </c>
      <c r="I2962" s="138">
        <f>+I2961+(G2962-H2962)</f>
        <v/>
      </c>
      <c r="J2962" s="139" t="n">
        <v>40.1</v>
      </c>
      <c r="K2962" s="140" t="n"/>
      <c r="L2962" s="140">
        <f>+H2962*J2962</f>
        <v/>
      </c>
      <c r="M2962" s="141">
        <f>SUM(M2961+K2962-L2962)</f>
        <v/>
      </c>
    </row>
    <row r="2963">
      <c r="A2963" s="20" t="n">
        <v>45826</v>
      </c>
      <c r="B2963" s="21" t="n">
        <v>10436</v>
      </c>
      <c r="C2963" s="22" t="inlineStr">
        <is>
          <t>SELİM İNŞAAT</t>
        </is>
      </c>
      <c r="D2963" s="21" t="inlineStr">
        <is>
          <t>34 DSN 536</t>
        </is>
      </c>
      <c r="E2963" s="21" t="inlineStr">
        <is>
          <t>DURSUN ALİ GÜREK</t>
        </is>
      </c>
      <c r="F2963" s="23" t="n">
        <v>405933</v>
      </c>
      <c r="G2963" s="138" t="n"/>
      <c r="H2963" s="138" t="n">
        <v>478</v>
      </c>
      <c r="I2963" s="138">
        <f>+I2962+(G2963-H2963)</f>
        <v/>
      </c>
      <c r="J2963" s="139" t="n">
        <v>40.1</v>
      </c>
      <c r="K2963" s="140" t="n"/>
      <c r="L2963" s="140">
        <f>+H2963*J2963</f>
        <v/>
      </c>
      <c r="M2963" s="141">
        <f>SUM(M2962+K2963-L2963)</f>
        <v/>
      </c>
    </row>
    <row r="2964">
      <c r="A2964" s="20" t="n">
        <v>45826</v>
      </c>
      <c r="B2964" s="21" t="n">
        <v>801</v>
      </c>
      <c r="C2964" s="22" t="inlineStr">
        <is>
          <t>SELİM İNŞAAT</t>
        </is>
      </c>
      <c r="D2964" s="21" t="inlineStr">
        <is>
          <t>34 FBR 705</t>
        </is>
      </c>
      <c r="E2964" s="21" t="inlineStr">
        <is>
          <t>MESUT GÜRLER</t>
        </is>
      </c>
      <c r="F2964" s="23" t="n">
        <v>315800</v>
      </c>
      <c r="G2964" s="138" t="n"/>
      <c r="H2964" s="138" t="n">
        <v>476</v>
      </c>
      <c r="I2964" s="138">
        <f>+I2963+(G2964-H2964)</f>
        <v/>
      </c>
      <c r="J2964" s="139" t="n">
        <v>40.1</v>
      </c>
      <c r="K2964" s="140" t="n"/>
      <c r="L2964" s="140">
        <f>+H2964*J2964</f>
        <v/>
      </c>
      <c r="M2964" s="141">
        <f>SUM(M2963+K2964-L2964)</f>
        <v/>
      </c>
    </row>
    <row r="2965">
      <c r="A2965" s="20" t="n">
        <v>45826</v>
      </c>
      <c r="B2965" s="21" t="n">
        <v>101</v>
      </c>
      <c r="C2965" s="22" t="inlineStr">
        <is>
          <t>SELİM İNŞAAT</t>
        </is>
      </c>
      <c r="D2965" s="21" t="inlineStr">
        <is>
          <t>34 FBR 771</t>
        </is>
      </c>
      <c r="E2965" s="21" t="inlineStr">
        <is>
          <t>HÜSEYİN AKÇİN</t>
        </is>
      </c>
      <c r="F2965" s="23" t="n">
        <v>319469</v>
      </c>
      <c r="G2965" s="138" t="n"/>
      <c r="H2965" s="138" t="n">
        <v>531</v>
      </c>
      <c r="I2965" s="138">
        <f>+I2964+(G2965-H2965)</f>
        <v/>
      </c>
      <c r="J2965" s="139" t="n">
        <v>40.1</v>
      </c>
      <c r="K2965" s="140" t="n"/>
      <c r="L2965" s="140">
        <f>+H2965*J2965</f>
        <v/>
      </c>
      <c r="M2965" s="141">
        <f>SUM(M2964+K2965-L2965)</f>
        <v/>
      </c>
    </row>
    <row r="2966">
      <c r="A2966" s="20" t="n">
        <v>45826</v>
      </c>
      <c r="B2966" s="1" t="n">
        <v>11043</v>
      </c>
      <c r="C2966" s="2" t="inlineStr">
        <is>
          <t>CEVİZ MOBİLYA</t>
        </is>
      </c>
      <c r="D2966" s="1" t="inlineStr">
        <is>
          <t>SM 350</t>
        </is>
      </c>
      <c r="E2966" s="1" t="inlineStr">
        <is>
          <t>TEVFİK ÖZTÜRK</t>
        </is>
      </c>
      <c r="F2966" s="3" t="n"/>
      <c r="G2966" s="143" t="n"/>
      <c r="H2966" s="143" t="n">
        <v>560</v>
      </c>
      <c r="I2966" s="143">
        <f>+I2965+(G2966-H2966)</f>
        <v/>
      </c>
      <c r="J2966" s="144" t="n">
        <v>40.1</v>
      </c>
      <c r="K2966" s="145" t="n"/>
      <c r="L2966" s="140">
        <f>+H2966*J2966</f>
        <v/>
      </c>
      <c r="M2966" s="141">
        <f>SUM(M2965+K2966-L2966)</f>
        <v/>
      </c>
    </row>
    <row r="2967">
      <c r="A2967" s="20" t="n">
        <v>45826</v>
      </c>
      <c r="B2967" s="1" t="n">
        <v>11044</v>
      </c>
      <c r="C2967" s="2" t="inlineStr">
        <is>
          <t>VARLIK</t>
        </is>
      </c>
      <c r="D2967" s="1" t="inlineStr">
        <is>
          <t>SM 300</t>
        </is>
      </c>
      <c r="E2967" s="1" t="inlineStr">
        <is>
          <t>TURGUT SANCAK</t>
        </is>
      </c>
      <c r="F2967" s="3" t="n"/>
      <c r="G2967" s="143" t="n"/>
      <c r="H2967" s="143" t="n">
        <v>406</v>
      </c>
      <c r="I2967" s="143">
        <f>+I2966+(G2967-H2967)</f>
        <v/>
      </c>
      <c r="J2967" s="144" t="n">
        <v>40.1</v>
      </c>
      <c r="K2967" s="145" t="n"/>
      <c r="L2967" s="140">
        <f>+H2967*J2967</f>
        <v/>
      </c>
      <c r="M2967" s="141">
        <f>SUM(M2966+K2967-L2967)</f>
        <v/>
      </c>
    </row>
    <row r="2968">
      <c r="A2968" s="20" t="n">
        <v>45826</v>
      </c>
      <c r="B2968" s="1" t="n">
        <v>11045</v>
      </c>
      <c r="C2968" s="2" t="inlineStr">
        <is>
          <t>HASALTUN</t>
        </is>
      </c>
      <c r="D2968" s="1" t="inlineStr">
        <is>
          <t>RT 650 SARI VİNÇ</t>
        </is>
      </c>
      <c r="E2968" s="1" t="inlineStr">
        <is>
          <t>ALİHAN DUMAN</t>
        </is>
      </c>
      <c r="F2968" s="3" t="n"/>
      <c r="G2968" s="143" t="n"/>
      <c r="H2968" s="143" t="n">
        <v>288</v>
      </c>
      <c r="I2968" s="143">
        <f>+I2967+(G2968-H2968)</f>
        <v/>
      </c>
      <c r="J2968" s="144" t="n">
        <v>40.1</v>
      </c>
      <c r="K2968" s="145" t="n"/>
      <c r="L2968" s="140">
        <f>+H2968*J2968</f>
        <v/>
      </c>
      <c r="M2968" s="141">
        <f>SUM(M2967+K2968-L2968)</f>
        <v/>
      </c>
    </row>
    <row r="2969">
      <c r="A2969" s="20" t="n">
        <v>45826</v>
      </c>
      <c r="B2969" s="1" t="n">
        <v>11046</v>
      </c>
      <c r="C2969" s="2" t="inlineStr">
        <is>
          <t>EVKUR</t>
        </is>
      </c>
      <c r="D2969" s="1" t="inlineStr">
        <is>
          <t>SM 350</t>
        </is>
      </c>
      <c r="E2969" s="1" t="inlineStr">
        <is>
          <t>BAYRAM SANCAK</t>
        </is>
      </c>
      <c r="F2969" s="3" t="n"/>
      <c r="G2969" s="143" t="n"/>
      <c r="H2969" s="143" t="n">
        <v>388</v>
      </c>
      <c r="I2969" s="143">
        <f>+I2968+(G2969-H2969)</f>
        <v/>
      </c>
      <c r="J2969" s="144" t="n">
        <v>40.1</v>
      </c>
      <c r="K2969" s="145" t="n"/>
      <c r="L2969" s="140">
        <f>+H2969*J2969</f>
        <v/>
      </c>
      <c r="M2969" s="141">
        <f>SUM(M2968+K2969-L2969)</f>
        <v/>
      </c>
    </row>
    <row r="2970">
      <c r="A2970" s="20" t="n">
        <v>45826</v>
      </c>
      <c r="B2970" s="21" t="n">
        <v>11047</v>
      </c>
      <c r="C2970" s="22" t="inlineStr">
        <is>
          <t>EVKUR</t>
        </is>
      </c>
      <c r="D2970" s="21" t="inlineStr">
        <is>
          <t>MANİTO</t>
        </is>
      </c>
      <c r="E2970" s="21" t="inlineStr">
        <is>
          <t>FAHRİ KALFA</t>
        </is>
      </c>
      <c r="F2970" s="23" t="n"/>
      <c r="G2970" s="138" t="n"/>
      <c r="H2970" s="138" t="n">
        <v>78</v>
      </c>
      <c r="I2970" s="138">
        <f>+I2969+(G2970-H2970)</f>
        <v/>
      </c>
      <c r="J2970" s="139" t="n">
        <v>40.1</v>
      </c>
      <c r="K2970" s="140" t="n"/>
      <c r="L2970" s="140">
        <f>+H2970*J2970</f>
        <v/>
      </c>
      <c r="M2970" s="141">
        <f>SUM(M2969+K2970-L2970)</f>
        <v/>
      </c>
    </row>
    <row r="2971">
      <c r="A2971" s="20" t="n">
        <v>45826</v>
      </c>
      <c r="B2971" s="21" t="n">
        <v>11048</v>
      </c>
      <c r="C2971" s="22" t="inlineStr">
        <is>
          <t>EVKUR</t>
        </is>
      </c>
      <c r="D2971" s="21" t="inlineStr">
        <is>
          <t>FOKLİFT</t>
        </is>
      </c>
      <c r="E2971" s="21" t="inlineStr">
        <is>
          <t>FAHRİ KALFA</t>
        </is>
      </c>
      <c r="F2971" s="23" t="n"/>
      <c r="G2971" s="138" t="n"/>
      <c r="H2971" s="138" t="n">
        <v>47</v>
      </c>
      <c r="I2971" s="138">
        <f>+I2970+(G2971-H2971)</f>
        <v/>
      </c>
      <c r="J2971" s="139" t="n">
        <v>40.1</v>
      </c>
      <c r="K2971" s="140" t="n"/>
      <c r="L2971" s="140">
        <f>+H2971*J2971</f>
        <v/>
      </c>
      <c r="M2971" s="141">
        <f>SUM(M2970+K2971-L2971)</f>
        <v/>
      </c>
    </row>
    <row r="2972">
      <c r="A2972" s="20" t="n">
        <v>45826</v>
      </c>
      <c r="B2972" s="1" t="n">
        <v>11049</v>
      </c>
      <c r="C2972" s="2" t="inlineStr">
        <is>
          <t>EVKUR</t>
        </is>
      </c>
      <c r="D2972" s="1" t="inlineStr">
        <is>
          <t>SİLİNDİR</t>
        </is>
      </c>
      <c r="E2972" s="1" t="inlineStr">
        <is>
          <t>EMİRCAN ÖZTÜRK</t>
        </is>
      </c>
      <c r="F2972" s="3" t="n"/>
      <c r="G2972" s="143" t="n"/>
      <c r="H2972" s="143" t="n">
        <v>175</v>
      </c>
      <c r="I2972" s="143">
        <f>+I2971+(G2972-H2972)</f>
        <v/>
      </c>
      <c r="J2972" s="144" t="n">
        <v>40.1</v>
      </c>
      <c r="K2972" s="145" t="n"/>
      <c r="L2972" s="140">
        <f>+H2972*J2972</f>
        <v/>
      </c>
      <c r="M2972" s="141">
        <f>SUM(M2971+K2972-L2972)</f>
        <v/>
      </c>
    </row>
    <row r="2973">
      <c r="A2973" s="20" t="n">
        <v>45826</v>
      </c>
      <c r="B2973" s="21" t="n">
        <v>14238</v>
      </c>
      <c r="C2973" s="22" t="inlineStr">
        <is>
          <t>SELİM İNŞAAT</t>
        </is>
      </c>
      <c r="D2973" s="21" t="inlineStr">
        <is>
          <t xml:space="preserve">34 GUS 938 </t>
        </is>
      </c>
      <c r="E2973" s="21" t="inlineStr">
        <is>
          <t>MEHMET KAYA</t>
        </is>
      </c>
      <c r="F2973" s="23" t="n">
        <v>187111</v>
      </c>
      <c r="G2973" s="138" t="n"/>
      <c r="H2973" s="138" t="n">
        <v>491</v>
      </c>
      <c r="I2973" s="138">
        <f>+I2972+(G2973-H2973)</f>
        <v/>
      </c>
      <c r="J2973" s="139" t="n">
        <v>40.1</v>
      </c>
      <c r="K2973" s="140" t="n"/>
      <c r="L2973" s="140">
        <f>+H2973*J2973</f>
        <v/>
      </c>
      <c r="M2973" s="141">
        <f>SUM(M2972+K2973-L2973)</f>
        <v/>
      </c>
    </row>
    <row r="2974">
      <c r="A2974" s="20" t="n">
        <v>45826</v>
      </c>
      <c r="B2974" s="21" t="n">
        <v>10396</v>
      </c>
      <c r="C2974" s="22" t="inlineStr">
        <is>
          <t>SELİM İNŞAAT</t>
        </is>
      </c>
      <c r="D2974" s="21" t="inlineStr">
        <is>
          <t>34 DRU 690</t>
        </is>
      </c>
      <c r="E2974" s="21" t="inlineStr">
        <is>
          <t>MURAT DEMİRBAŞ</t>
        </is>
      </c>
      <c r="F2974" s="23" t="n">
        <v>416154</v>
      </c>
      <c r="G2974" s="138" t="n"/>
      <c r="H2974" s="138" t="n">
        <v>279</v>
      </c>
      <c r="I2974" s="138">
        <f>+I2973+(G2974-H2974)</f>
        <v/>
      </c>
      <c r="J2974" s="139" t="n">
        <v>40.1</v>
      </c>
      <c r="K2974" s="140" t="n"/>
      <c r="L2974" s="140">
        <f>+H2974*J2974</f>
        <v/>
      </c>
      <c r="M2974" s="141">
        <f>SUM(M2973+K2974-L2974)</f>
        <v/>
      </c>
    </row>
    <row r="2975">
      <c r="A2975" s="20" t="n">
        <v>45826</v>
      </c>
      <c r="B2975" s="21" t="n">
        <v>10512</v>
      </c>
      <c r="C2975" s="22" t="inlineStr">
        <is>
          <t>SELİM İNŞAAT</t>
        </is>
      </c>
      <c r="D2975" s="21" t="inlineStr">
        <is>
          <t>34 DTV 599</t>
        </is>
      </c>
      <c r="E2975" s="21" t="inlineStr">
        <is>
          <t>FERHAT GÜRLER</t>
        </is>
      </c>
      <c r="F2975" s="23" t="n">
        <v>432155</v>
      </c>
      <c r="G2975" s="138" t="n"/>
      <c r="H2975" s="138" t="n">
        <v>337</v>
      </c>
      <c r="I2975" s="138">
        <f>+I2974+(G2975-H2975)</f>
        <v/>
      </c>
      <c r="J2975" s="139" t="n">
        <v>40.1</v>
      </c>
      <c r="K2975" s="140" t="n"/>
      <c r="L2975" s="140">
        <f>+H2975*J2975</f>
        <v/>
      </c>
      <c r="M2975" s="141">
        <f>SUM(M2974+K2975-L2975)</f>
        <v/>
      </c>
    </row>
    <row r="2976">
      <c r="A2976" s="20" t="n">
        <v>45826</v>
      </c>
      <c r="B2976" s="21" t="n">
        <v>305</v>
      </c>
      <c r="C2976" s="22" t="inlineStr">
        <is>
          <t>SELİM İNŞAAT</t>
        </is>
      </c>
      <c r="D2976" s="21" t="inlineStr">
        <is>
          <t>34 EDB 829</t>
        </is>
      </c>
      <c r="E2976" s="21" t="inlineStr">
        <is>
          <t>İSMET BAYRAM</t>
        </is>
      </c>
      <c r="F2976" s="23" t="n">
        <v>319441</v>
      </c>
      <c r="G2976" s="138" t="n"/>
      <c r="H2976" s="138" t="n">
        <v>291</v>
      </c>
      <c r="I2976" s="138">
        <f>+I2975+(G2976-H2976)</f>
        <v/>
      </c>
      <c r="J2976" s="139" t="n">
        <v>40.1</v>
      </c>
      <c r="K2976" s="140" t="n"/>
      <c r="L2976" s="140">
        <f>+H2976*J2976</f>
        <v/>
      </c>
      <c r="M2976" s="141">
        <f>SUM(M2975+K2976-L2976)</f>
        <v/>
      </c>
    </row>
    <row r="2977">
      <c r="A2977" s="20" t="n">
        <v>45826</v>
      </c>
      <c r="B2977" s="21" t="n">
        <v>15958</v>
      </c>
      <c r="C2977" s="22" t="inlineStr">
        <is>
          <t>SELİM İNŞAAT</t>
        </is>
      </c>
      <c r="D2977" s="21" t="inlineStr">
        <is>
          <t>34 FBR 781</t>
        </is>
      </c>
      <c r="E2977" s="21" t="inlineStr">
        <is>
          <t>MEVLÜT POLAT</t>
        </is>
      </c>
      <c r="F2977" s="23" t="n">
        <v>303535</v>
      </c>
      <c r="G2977" s="138" t="n"/>
      <c r="H2977" s="138" t="n">
        <v>446</v>
      </c>
      <c r="I2977" s="138">
        <f>+I2976+(G2977-H2977)</f>
        <v/>
      </c>
      <c r="J2977" s="139" t="n">
        <v>40.1</v>
      </c>
      <c r="K2977" s="140" t="n"/>
      <c r="L2977" s="140">
        <f>+H2977*J2977</f>
        <v/>
      </c>
      <c r="M2977" s="141">
        <f>SUM(M2976+K2977-L2977)</f>
        <v/>
      </c>
    </row>
    <row r="2978">
      <c r="A2978" s="20" t="n">
        <v>45826</v>
      </c>
      <c r="B2978" s="21" t="n">
        <v>11228</v>
      </c>
      <c r="C2978" s="22" t="inlineStr">
        <is>
          <t>SELİM İNŞAAT</t>
        </is>
      </c>
      <c r="D2978" s="21" t="inlineStr">
        <is>
          <t>34 DSN 636</t>
        </is>
      </c>
      <c r="E2978" s="21" t="inlineStr">
        <is>
          <t>İLHAN YÜRÜK</t>
        </is>
      </c>
      <c r="F2978" s="23" t="n">
        <v>390382</v>
      </c>
      <c r="G2978" s="138" t="n"/>
      <c r="H2978" s="138" t="n">
        <v>328</v>
      </c>
      <c r="I2978" s="138">
        <f>+I2977+(G2978-H2978)</f>
        <v/>
      </c>
      <c r="J2978" s="139" t="n">
        <v>40.1</v>
      </c>
      <c r="K2978" s="140" t="n"/>
      <c r="L2978" s="140">
        <f>+H2978*J2978</f>
        <v/>
      </c>
      <c r="M2978" s="141">
        <f>SUM(M2977+K2978-L2978)</f>
        <v/>
      </c>
    </row>
    <row r="2979">
      <c r="A2979" s="20" t="n">
        <v>45827</v>
      </c>
      <c r="B2979" s="21" t="n">
        <v>803</v>
      </c>
      <c r="C2979" s="22" t="inlineStr">
        <is>
          <t>ÜNSOY TURİZM İNŞ.SAN.VE TİC.A.Ş.</t>
        </is>
      </c>
      <c r="D2979" s="21" t="n"/>
      <c r="E2979" s="21" t="n"/>
      <c r="F2979" s="23" t="n"/>
      <c r="G2979" s="138" t="n">
        <v>31253</v>
      </c>
      <c r="H2979" s="138" t="n"/>
      <c r="I2979" s="138">
        <f>+I2978+(G2979-H2979)</f>
        <v/>
      </c>
      <c r="J2979" s="139">
        <f>+K2979/G2979</f>
        <v/>
      </c>
      <c r="K2979" s="140" t="n">
        <v>1157949.69</v>
      </c>
      <c r="L2979" s="140">
        <f>+H2979*J2979</f>
        <v/>
      </c>
      <c r="M2979" s="141">
        <f>SUM(M2978+K2979-L2979)</f>
        <v/>
      </c>
    </row>
    <row r="2980">
      <c r="A2980" s="20" t="n">
        <v>45827</v>
      </c>
      <c r="B2980" s="21" t="n">
        <v>15159</v>
      </c>
      <c r="C2980" s="22" t="inlineStr">
        <is>
          <t>SELİM İNŞAAT</t>
        </is>
      </c>
      <c r="D2980" s="21" t="inlineStr">
        <is>
          <t>34 DP 4161</t>
        </is>
      </c>
      <c r="E2980" s="21" t="inlineStr">
        <is>
          <t>RIFAT KARATAY</t>
        </is>
      </c>
      <c r="F2980" s="23" t="n">
        <v>287007</v>
      </c>
      <c r="G2980" s="138" t="n"/>
      <c r="H2980" s="138" t="n">
        <v>191</v>
      </c>
      <c r="I2980" s="138">
        <f>+I2979+(G2980-H2980)</f>
        <v/>
      </c>
      <c r="J2980" s="139" t="n">
        <v>37.051</v>
      </c>
      <c r="K2980" s="140" t="n"/>
      <c r="L2980" s="140">
        <f>+H2980*J2980</f>
        <v/>
      </c>
      <c r="M2980" s="141">
        <f>SUM(M2979+K2980-L2980)</f>
        <v/>
      </c>
    </row>
    <row r="2981">
      <c r="A2981" s="20" t="n">
        <v>45827</v>
      </c>
      <c r="B2981" s="21" t="n">
        <v>14383</v>
      </c>
      <c r="C2981" s="22" t="inlineStr">
        <is>
          <t>SELİM İNŞAAT</t>
        </is>
      </c>
      <c r="D2981" s="21" t="inlineStr">
        <is>
          <t>34 DKL 798</t>
        </is>
      </c>
      <c r="E2981" s="21" t="inlineStr">
        <is>
          <t>VOLKAN YANAR</t>
        </is>
      </c>
      <c r="F2981" s="23" t="n">
        <v>66282</v>
      </c>
      <c r="G2981" s="138" t="n"/>
      <c r="H2981" s="138" t="n">
        <v>198</v>
      </c>
      <c r="I2981" s="138">
        <f>+I2980+(G2981-H2981)</f>
        <v/>
      </c>
      <c r="J2981" s="139" t="n">
        <v>37.051</v>
      </c>
      <c r="K2981" s="140" t="n"/>
      <c r="L2981" s="140">
        <f>+H2981*J2981</f>
        <v/>
      </c>
      <c r="M2981" s="141">
        <f>SUM(M2980+K2981-L2981)</f>
        <v/>
      </c>
    </row>
    <row r="2982">
      <c r="A2982" s="20" t="n">
        <v>45827</v>
      </c>
      <c r="B2982" s="21" t="n">
        <v>14637</v>
      </c>
      <c r="C2982" s="22" t="inlineStr">
        <is>
          <t>SELİM İNŞAAT</t>
        </is>
      </c>
      <c r="D2982" s="21" t="inlineStr">
        <is>
          <t>34 GER 445</t>
        </is>
      </c>
      <c r="E2982" s="21" t="inlineStr">
        <is>
          <t>HASAN BAYCAN</t>
        </is>
      </c>
      <c r="F2982" s="23" t="n">
        <v>43177</v>
      </c>
      <c r="G2982" s="138" t="n"/>
      <c r="H2982" s="138" t="n">
        <v>119</v>
      </c>
      <c r="I2982" s="138">
        <f>+I2981+(G2982-H2982)</f>
        <v/>
      </c>
      <c r="J2982" s="139" t="n">
        <v>37.051</v>
      </c>
      <c r="K2982" s="140" t="n"/>
      <c r="L2982" s="140">
        <f>+H2982*J2982</f>
        <v/>
      </c>
      <c r="M2982" s="141">
        <f>SUM(M2981+K2982-L2982)</f>
        <v/>
      </c>
    </row>
    <row r="2983">
      <c r="A2983" s="20" t="n">
        <v>45827</v>
      </c>
      <c r="B2983" s="21" t="n">
        <v>21330</v>
      </c>
      <c r="C2983" s="22" t="inlineStr">
        <is>
          <t>SELİM İNŞAAT</t>
        </is>
      </c>
      <c r="D2983" s="21" t="inlineStr">
        <is>
          <t>34 FEM 934</t>
        </is>
      </c>
      <c r="E2983" s="21" t="inlineStr">
        <is>
          <t>ÖNER DÜNDAR</t>
        </is>
      </c>
      <c r="F2983" s="23" t="n">
        <v>310765</v>
      </c>
      <c r="G2983" s="138" t="n"/>
      <c r="H2983" s="138" t="n">
        <v>79</v>
      </c>
      <c r="I2983" s="138">
        <f>+I2982+(G2983-H2983)</f>
        <v/>
      </c>
      <c r="J2983" s="139" t="n">
        <v>37.051</v>
      </c>
      <c r="K2983" s="140" t="n"/>
      <c r="L2983" s="140">
        <f>+H2983*J2983</f>
        <v/>
      </c>
      <c r="M2983" s="141">
        <f>SUM(M2982+K2983-L2983)</f>
        <v/>
      </c>
    </row>
    <row r="2984">
      <c r="A2984" s="20" t="n">
        <v>45827</v>
      </c>
      <c r="B2984" s="21" t="n">
        <v>20545</v>
      </c>
      <c r="C2984" s="22" t="inlineStr">
        <is>
          <t>SELİM İNŞAAT</t>
        </is>
      </c>
      <c r="D2984" s="21" t="inlineStr">
        <is>
          <t>34 VF 2620</t>
        </is>
      </c>
      <c r="E2984" s="21" t="inlineStr">
        <is>
          <t>RECEP SELİM</t>
        </is>
      </c>
      <c r="F2984" s="23" t="n">
        <v>187290</v>
      </c>
      <c r="G2984" s="138" t="n"/>
      <c r="H2984" s="138" t="n">
        <v>26</v>
      </c>
      <c r="I2984" s="138">
        <f>+I2983+(G2984-H2984)</f>
        <v/>
      </c>
      <c r="J2984" s="139" t="n">
        <v>37.051</v>
      </c>
      <c r="K2984" s="140" t="n"/>
      <c r="L2984" s="140">
        <f>+H2984*J2984</f>
        <v/>
      </c>
      <c r="M2984" s="141">
        <f>SUM(M2983+K2984-L2984)</f>
        <v/>
      </c>
    </row>
    <row r="2985">
      <c r="A2985" s="20" t="n">
        <v>45827</v>
      </c>
      <c r="B2985" s="21" t="n">
        <v>15665</v>
      </c>
      <c r="C2985" s="22" t="inlineStr">
        <is>
          <t>METİN ERYİĞİT</t>
        </is>
      </c>
      <c r="D2985" s="21" t="inlineStr">
        <is>
          <t>34 EGR 814</t>
        </is>
      </c>
      <c r="E2985" s="21" t="inlineStr">
        <is>
          <t>GÜRAY KOYUNCU</t>
        </is>
      </c>
      <c r="F2985" s="23" t="n">
        <v>543062</v>
      </c>
      <c r="G2985" s="138" t="n"/>
      <c r="H2985" s="138" t="n">
        <v>396</v>
      </c>
      <c r="I2985" s="138">
        <f>+I2984+(G2985-H2985)</f>
        <v/>
      </c>
      <c r="J2985" s="139" t="n">
        <v>37.051</v>
      </c>
      <c r="K2985" s="140" t="n"/>
      <c r="L2985" s="140">
        <f>+H2985*J2985</f>
        <v/>
      </c>
      <c r="M2985" s="141">
        <f>SUM(M2984+K2985-L2985)</f>
        <v/>
      </c>
    </row>
    <row r="2986">
      <c r="A2986" s="20" t="n">
        <v>45827</v>
      </c>
      <c r="B2986" s="21" t="n">
        <v>14185</v>
      </c>
      <c r="C2986" s="22" t="inlineStr">
        <is>
          <t>AZGÜN YAPI</t>
        </is>
      </c>
      <c r="D2986" s="21" t="inlineStr">
        <is>
          <t>34 DTV 263</t>
        </is>
      </c>
      <c r="E2986" s="21" t="inlineStr">
        <is>
          <t>İBRAHİM GÜLLÜK</t>
        </is>
      </c>
      <c r="F2986" s="23" t="n"/>
      <c r="G2986" s="138" t="n"/>
      <c r="H2986" s="138" t="n">
        <v>342</v>
      </c>
      <c r="I2986" s="138">
        <f>+I2985+(G2986-H2986)</f>
        <v/>
      </c>
      <c r="J2986" s="139" t="n">
        <v>37.051</v>
      </c>
      <c r="K2986" s="140" t="n"/>
      <c r="L2986" s="140">
        <f>+H2986*J2986</f>
        <v/>
      </c>
      <c r="M2986" s="141">
        <f>SUM(M2985+K2986-L2986)</f>
        <v/>
      </c>
    </row>
    <row r="2987">
      <c r="A2987" s="20" t="n">
        <v>45827</v>
      </c>
      <c r="B2987" s="21" t="n">
        <v>15517</v>
      </c>
      <c r="C2987" s="22" t="inlineStr">
        <is>
          <t>SELİM İNŞAAT</t>
        </is>
      </c>
      <c r="D2987" s="21" t="inlineStr">
        <is>
          <t>34 EDC 086</t>
        </is>
      </c>
      <c r="E2987" s="21" t="inlineStr">
        <is>
          <t>ÖMER AĞAYAR</t>
        </is>
      </c>
      <c r="F2987" s="23" t="n">
        <v>325993</v>
      </c>
      <c r="G2987" s="138" t="n"/>
      <c r="H2987" s="138" t="n">
        <v>474</v>
      </c>
      <c r="I2987" s="138">
        <f>+I2986+(G2987-H2987)</f>
        <v/>
      </c>
      <c r="J2987" s="139" t="n">
        <v>37.051</v>
      </c>
      <c r="K2987" s="140" t="n"/>
      <c r="L2987" s="140">
        <f>+H2987*J2987</f>
        <v/>
      </c>
      <c r="M2987" s="141">
        <f>SUM(M2986+K2987-L2987)</f>
        <v/>
      </c>
    </row>
    <row r="2988">
      <c r="A2988" s="20" t="n">
        <v>45827</v>
      </c>
      <c r="B2988" s="21" t="n">
        <v>21630</v>
      </c>
      <c r="C2988" s="22" t="inlineStr">
        <is>
          <t>SELİM İNŞAAT</t>
        </is>
      </c>
      <c r="D2988" s="21" t="inlineStr">
        <is>
          <t>34 DHC 467</t>
        </is>
      </c>
      <c r="E2988" s="21" t="inlineStr">
        <is>
          <t>EDİP TORLAK</t>
        </is>
      </c>
      <c r="F2988" s="23" t="n">
        <v>405291</v>
      </c>
      <c r="G2988" s="138" t="n"/>
      <c r="H2988" s="138" t="n">
        <v>474</v>
      </c>
      <c r="I2988" s="138">
        <f>+I2987+(G2988-H2988)</f>
        <v/>
      </c>
      <c r="J2988" s="139" t="n">
        <v>37.051</v>
      </c>
      <c r="K2988" s="140" t="n"/>
      <c r="L2988" s="140">
        <f>+H2988*J2988</f>
        <v/>
      </c>
      <c r="M2988" s="141">
        <f>SUM(M2987+K2988-L2988)</f>
        <v/>
      </c>
    </row>
    <row r="2989">
      <c r="A2989" s="20" t="n">
        <v>45827</v>
      </c>
      <c r="B2989" s="21" t="n">
        <v>11950</v>
      </c>
      <c r="C2989" s="22" t="inlineStr">
        <is>
          <t>SELİM İNŞAAT</t>
        </is>
      </c>
      <c r="D2989" s="21" t="inlineStr">
        <is>
          <t>34 FBR 742</t>
        </is>
      </c>
      <c r="E2989" s="21" t="inlineStr">
        <is>
          <t>MİKAİL BAYILMAZ</t>
        </is>
      </c>
      <c r="F2989" s="23" t="n">
        <v>319639</v>
      </c>
      <c r="G2989" s="138" t="n"/>
      <c r="H2989" s="138" t="n">
        <v>441</v>
      </c>
      <c r="I2989" s="138">
        <f>+I2988+(G2989-H2989)</f>
        <v/>
      </c>
      <c r="J2989" s="139" t="n">
        <v>37.051</v>
      </c>
      <c r="K2989" s="140" t="n"/>
      <c r="L2989" s="140">
        <f>+H2989*J2989</f>
        <v/>
      </c>
      <c r="M2989" s="141">
        <f>SUM(M2988+K2989-L2989)</f>
        <v/>
      </c>
    </row>
    <row r="2990">
      <c r="A2990" s="20" t="n">
        <v>45827</v>
      </c>
      <c r="B2990" s="21" t="n">
        <v>14431</v>
      </c>
      <c r="C2990" s="22" t="inlineStr">
        <is>
          <t>SELİM İNŞAAT</t>
        </is>
      </c>
      <c r="D2990" s="21" t="inlineStr">
        <is>
          <t xml:space="preserve"> 34 EGR 737</t>
        </is>
      </c>
      <c r="E2990" s="21" t="inlineStr">
        <is>
          <t>CEM MUHTAR</t>
        </is>
      </c>
      <c r="F2990" s="23" t="n">
        <v>414476</v>
      </c>
      <c r="G2990" s="138" t="n"/>
      <c r="H2990" s="138" t="n">
        <v>494</v>
      </c>
      <c r="I2990" s="138">
        <f>+I2989+(G2990-H2990)</f>
        <v/>
      </c>
      <c r="J2990" s="139" t="n">
        <v>37.051</v>
      </c>
      <c r="K2990" s="140" t="n"/>
      <c r="L2990" s="140">
        <f>+H2990*J2990</f>
        <v/>
      </c>
      <c r="M2990" s="141">
        <f>SUM(M2989+K2990-L2990)</f>
        <v/>
      </c>
    </row>
    <row r="2991">
      <c r="A2991" s="20" t="n">
        <v>45827</v>
      </c>
      <c r="B2991" s="21" t="n">
        <v>11748</v>
      </c>
      <c r="C2991" s="22" t="inlineStr">
        <is>
          <t>SELİM İNŞAAT</t>
        </is>
      </c>
      <c r="D2991" s="21" t="inlineStr">
        <is>
          <t>34 EDB 559</t>
        </is>
      </c>
      <c r="E2991" s="21" t="inlineStr">
        <is>
          <t>FUAT AYKUL</t>
        </is>
      </c>
      <c r="F2991" s="23" t="n">
        <v>323846</v>
      </c>
      <c r="G2991" s="138" t="n"/>
      <c r="H2991" s="138" t="n">
        <v>512</v>
      </c>
      <c r="I2991" s="138">
        <f>+I2990+(G2991-H2991)</f>
        <v/>
      </c>
      <c r="J2991" s="139" t="n">
        <v>37.051</v>
      </c>
      <c r="K2991" s="140" t="n"/>
      <c r="L2991" s="140">
        <f>+H2991*J2991</f>
        <v/>
      </c>
      <c r="M2991" s="141">
        <f>SUM(M2990+K2991-L2991)</f>
        <v/>
      </c>
    </row>
    <row r="2992">
      <c r="A2992" s="20" t="n">
        <v>45827</v>
      </c>
      <c r="B2992" s="21" t="n">
        <v>15023</v>
      </c>
      <c r="C2992" s="22" t="inlineStr">
        <is>
          <t>SELİM İNŞAAT</t>
        </is>
      </c>
      <c r="D2992" s="21" t="inlineStr">
        <is>
          <t>34 GVZ 199</t>
        </is>
      </c>
      <c r="E2992" s="21" t="inlineStr">
        <is>
          <t>VAHDET GÜRLER</t>
        </is>
      </c>
      <c r="F2992" s="23" t="n">
        <v>181498</v>
      </c>
      <c r="G2992" s="138" t="n"/>
      <c r="H2992" s="138" t="n">
        <v>529</v>
      </c>
      <c r="I2992" s="138">
        <f>+I2991+(G2992-H2992)</f>
        <v/>
      </c>
      <c r="J2992" s="139" t="n">
        <v>37.051</v>
      </c>
      <c r="K2992" s="140" t="n"/>
      <c r="L2992" s="140">
        <f>+H2992*J2992</f>
        <v/>
      </c>
      <c r="M2992" s="141">
        <f>SUM(M2991+K2992-L2992)</f>
        <v/>
      </c>
    </row>
    <row r="2993">
      <c r="A2993" s="20" t="n">
        <v>45827</v>
      </c>
      <c r="B2993" s="1" t="n">
        <v>11050</v>
      </c>
      <c r="C2993" s="2" t="inlineStr">
        <is>
          <t>CEVİZ MOBİLYA</t>
        </is>
      </c>
      <c r="D2993" s="1" t="inlineStr">
        <is>
          <t>SM 370</t>
        </is>
      </c>
      <c r="E2993" s="1" t="inlineStr">
        <is>
          <t>RAMAZAN KAYA</t>
        </is>
      </c>
      <c r="F2993" s="3" t="n"/>
      <c r="G2993" s="143" t="n"/>
      <c r="H2993" s="143" t="n">
        <v>598</v>
      </c>
      <c r="I2993" s="143">
        <f>+I2992+(G2993-H2993)</f>
        <v/>
      </c>
      <c r="J2993" s="144" t="n">
        <v>37.051</v>
      </c>
      <c r="K2993" s="145" t="n"/>
      <c r="L2993" s="140">
        <f>+H2993*J2993</f>
        <v/>
      </c>
      <c r="M2993" s="141">
        <f>SUM(M2992+K2993-L2993)</f>
        <v/>
      </c>
    </row>
    <row r="2994">
      <c r="A2994" s="20" t="n">
        <v>45827</v>
      </c>
      <c r="B2994" s="1" t="n">
        <v>51</v>
      </c>
      <c r="C2994" s="2" t="inlineStr">
        <is>
          <t>CEVİZ MOBİLYA</t>
        </is>
      </c>
      <c r="D2994" s="1" t="inlineStr">
        <is>
          <t>SM 350</t>
        </is>
      </c>
      <c r="E2994" s="1" t="inlineStr">
        <is>
          <t>TEVFİK ÖZTÜRK</t>
        </is>
      </c>
      <c r="F2994" s="3" t="n"/>
      <c r="G2994" s="143" t="n"/>
      <c r="H2994" s="143" t="n">
        <v>543</v>
      </c>
      <c r="I2994" s="143">
        <f>+I2993+(G2994-H2994)</f>
        <v/>
      </c>
      <c r="J2994" s="144" t="n">
        <v>37.051</v>
      </c>
      <c r="K2994" s="145" t="n"/>
      <c r="L2994" s="140">
        <f>+H2994*J2994</f>
        <v/>
      </c>
      <c r="M2994" s="141">
        <f>SUM(M2993+K2994-L2994)</f>
        <v/>
      </c>
    </row>
    <row r="2995">
      <c r="A2995" s="20" t="n">
        <v>45827</v>
      </c>
      <c r="B2995" s="1" t="n">
        <v>52</v>
      </c>
      <c r="C2995" s="2" t="inlineStr">
        <is>
          <t>VARLIK</t>
        </is>
      </c>
      <c r="D2995" s="1" t="inlineStr">
        <is>
          <t>SM 300</t>
        </is>
      </c>
      <c r="E2995" s="1" t="inlineStr">
        <is>
          <t>TURGUT SANCAK</t>
        </is>
      </c>
      <c r="F2995" s="3" t="n"/>
      <c r="G2995" s="143" t="n"/>
      <c r="H2995" s="143" t="n">
        <v>284</v>
      </c>
      <c r="I2995" s="143">
        <f>+I2994+(G2995-H2995)</f>
        <v/>
      </c>
      <c r="J2995" s="144" t="n">
        <v>37.051</v>
      </c>
      <c r="K2995" s="145" t="n"/>
      <c r="L2995" s="140">
        <f>+H2995*J2995</f>
        <v/>
      </c>
      <c r="M2995" s="141">
        <f>SUM(M2994+K2995-L2995)</f>
        <v/>
      </c>
    </row>
    <row r="2996">
      <c r="A2996" s="20" t="n">
        <v>45827</v>
      </c>
      <c r="B2996" s="21" t="n">
        <v>53</v>
      </c>
      <c r="C2996" s="22" t="inlineStr">
        <is>
          <t>EVKUR</t>
        </is>
      </c>
      <c r="D2996" s="21" t="inlineStr">
        <is>
          <t>FOKLİFT</t>
        </is>
      </c>
      <c r="E2996" s="21" t="inlineStr">
        <is>
          <t>FAHRİ KALFA</t>
        </is>
      </c>
      <c r="F2996" s="23" t="n"/>
      <c r="G2996" s="138" t="n"/>
      <c r="H2996" s="138" t="n">
        <v>25</v>
      </c>
      <c r="I2996" s="138">
        <f>+I2995+(G2996-H2996)</f>
        <v/>
      </c>
      <c r="J2996" s="139" t="n">
        <v>37.051</v>
      </c>
      <c r="K2996" s="140" t="n"/>
      <c r="L2996" s="140">
        <f>+H2996*J2996</f>
        <v/>
      </c>
      <c r="M2996" s="141">
        <f>SUM(M2995+K2996-L2996)</f>
        <v/>
      </c>
    </row>
    <row r="2997">
      <c r="A2997" s="20" t="n">
        <v>45827</v>
      </c>
      <c r="B2997" s="1" t="n">
        <v>54</v>
      </c>
      <c r="C2997" s="2" t="inlineStr">
        <is>
          <t>EVKUR</t>
        </is>
      </c>
      <c r="D2997" s="1" t="inlineStr">
        <is>
          <t>SİLİNDİR</t>
        </is>
      </c>
      <c r="E2997" s="1" t="inlineStr">
        <is>
          <t>HASAN BAYCAN</t>
        </is>
      </c>
      <c r="F2997" s="3" t="n"/>
      <c r="G2997" s="143" t="n"/>
      <c r="H2997" s="143" t="n">
        <v>32</v>
      </c>
      <c r="I2997" s="143">
        <f>+I2996+(G2997-H2997)</f>
        <v/>
      </c>
      <c r="J2997" s="144" t="n">
        <v>37.051</v>
      </c>
      <c r="K2997" s="145" t="n"/>
      <c r="L2997" s="140">
        <f>+H2997*J2997</f>
        <v/>
      </c>
      <c r="M2997" s="141">
        <f>SUM(M2996+K2997-L2997)</f>
        <v/>
      </c>
    </row>
    <row r="2998">
      <c r="A2998" s="20" t="n">
        <v>45827</v>
      </c>
      <c r="B2998" s="1" t="n">
        <v>55</v>
      </c>
      <c r="C2998" s="2" t="inlineStr">
        <is>
          <t>VARLIK</t>
        </is>
      </c>
      <c r="D2998" s="1" t="inlineStr">
        <is>
          <t>MNT 2260</t>
        </is>
      </c>
      <c r="E2998" s="1" t="inlineStr">
        <is>
          <t>MUHAMMED KANTAR</t>
        </is>
      </c>
      <c r="F2998" s="3" t="n"/>
      <c r="G2998" s="143" t="n"/>
      <c r="H2998" s="143" t="n">
        <v>290</v>
      </c>
      <c r="I2998" s="143">
        <f>+I2997+(G2998-H2998)</f>
        <v/>
      </c>
      <c r="J2998" s="144" t="n">
        <v>37.051</v>
      </c>
      <c r="K2998" s="145" t="n"/>
      <c r="L2998" s="140">
        <f>+H2998*J2998</f>
        <v/>
      </c>
      <c r="M2998" s="141">
        <f>SUM(M2997+K2998-L2998)</f>
        <v/>
      </c>
    </row>
    <row r="2999">
      <c r="A2999" s="20" t="n">
        <v>45827</v>
      </c>
      <c r="B2999" s="21" t="n">
        <v>8865</v>
      </c>
      <c r="C2999" s="22" t="inlineStr">
        <is>
          <t>AHMET SELİM TEMHA</t>
        </is>
      </c>
      <c r="D2999" s="21" t="inlineStr">
        <is>
          <t>34 DGE 422</t>
        </is>
      </c>
      <c r="E2999" s="21" t="inlineStr">
        <is>
          <t xml:space="preserve">ERSOY SIĞINMAZ </t>
        </is>
      </c>
      <c r="F2999" s="23" t="n"/>
      <c r="G2999" s="138" t="n"/>
      <c r="H2999" s="138" t="n">
        <v>65</v>
      </c>
      <c r="I2999" s="138">
        <f>+I2998+(G2999-H2999)</f>
        <v/>
      </c>
      <c r="J2999" s="139" t="n">
        <v>37.051</v>
      </c>
      <c r="K2999" s="140" t="n"/>
      <c r="L2999" s="140">
        <f>+H2999*J2999</f>
        <v/>
      </c>
      <c r="M2999" s="141">
        <f>SUM(M2998+K2999-L2999)</f>
        <v/>
      </c>
    </row>
    <row r="3000">
      <c r="A3000" s="20" t="n">
        <v>45827</v>
      </c>
      <c r="B3000" s="21" t="n">
        <v>8866</v>
      </c>
      <c r="C3000" s="22" t="inlineStr">
        <is>
          <t>SELİM İNŞAAT</t>
        </is>
      </c>
      <c r="D3000" s="21" t="inlineStr">
        <is>
          <t>34 FVU 827</t>
        </is>
      </c>
      <c r="E3000" s="21" t="inlineStr">
        <is>
          <t>YILMAZ ÇELEBİ</t>
        </is>
      </c>
      <c r="F3000" s="23" t="n"/>
      <c r="G3000" s="138" t="n"/>
      <c r="H3000" s="138" t="n">
        <v>40</v>
      </c>
      <c r="I3000" s="138">
        <f>+I2999+(G3000-H3000)</f>
        <v/>
      </c>
      <c r="J3000" s="139" t="n">
        <v>37.051</v>
      </c>
      <c r="K3000" s="140" t="n"/>
      <c r="L3000" s="140">
        <f>+H3000*J3000</f>
        <v/>
      </c>
      <c r="M3000" s="141">
        <f>SUM(M2999+K3000-L3000)</f>
        <v/>
      </c>
    </row>
    <row r="3001">
      <c r="A3001" s="20" t="n">
        <v>45827</v>
      </c>
      <c r="B3001" s="21" t="n">
        <v>15569</v>
      </c>
      <c r="C3001" s="22" t="inlineStr">
        <is>
          <t>SELİM İNŞAAT</t>
        </is>
      </c>
      <c r="D3001" s="21" t="inlineStr">
        <is>
          <t>34 GVZ 745</t>
        </is>
      </c>
      <c r="E3001" s="21" t="inlineStr">
        <is>
          <t>MUHAMMED YİĞİT</t>
        </is>
      </c>
      <c r="F3001" s="23" t="n">
        <v>189429</v>
      </c>
      <c r="G3001" s="138" t="n"/>
      <c r="H3001" s="138" t="n">
        <v>301</v>
      </c>
      <c r="I3001" s="138">
        <f>+I3000+(G3001-H3001)</f>
        <v/>
      </c>
      <c r="J3001" s="139" t="n">
        <v>37.051</v>
      </c>
      <c r="K3001" s="140" t="n"/>
      <c r="L3001" s="140">
        <f>+H3001*J3001</f>
        <v/>
      </c>
      <c r="M3001" s="141">
        <f>SUM(M3000+K3001-L3001)</f>
        <v/>
      </c>
    </row>
    <row r="3002">
      <c r="A3002" s="20" t="n">
        <v>45827</v>
      </c>
      <c r="B3002" s="21" t="n">
        <v>14762</v>
      </c>
      <c r="C3002" s="22" t="inlineStr">
        <is>
          <t>SELİM İNŞAAT</t>
        </is>
      </c>
      <c r="D3002" s="21" t="inlineStr">
        <is>
          <t>34 GYZ 635</t>
        </is>
      </c>
      <c r="E3002" s="21" t="inlineStr">
        <is>
          <t>ENGİN DEMİR</t>
        </is>
      </c>
      <c r="F3002" s="23" t="n">
        <v>173115</v>
      </c>
      <c r="G3002" s="138" t="n"/>
      <c r="H3002" s="138" t="n">
        <v>345</v>
      </c>
      <c r="I3002" s="138">
        <f>+I3001+(G3002-H3002)</f>
        <v/>
      </c>
      <c r="J3002" s="139" t="n">
        <v>37.051</v>
      </c>
      <c r="K3002" s="140" t="n"/>
      <c r="L3002" s="140">
        <f>+H3002*J3002</f>
        <v/>
      </c>
      <c r="M3002" s="141">
        <f>SUM(M3001+K3002-L3002)</f>
        <v/>
      </c>
    </row>
    <row r="3003">
      <c r="A3003" s="20" t="n">
        <v>45827</v>
      </c>
      <c r="B3003" s="21" t="n">
        <v>14825</v>
      </c>
      <c r="C3003" s="22" t="inlineStr">
        <is>
          <t>SELİM İNŞAAT</t>
        </is>
      </c>
      <c r="D3003" s="21" t="inlineStr">
        <is>
          <t>34 GVZ 268</t>
        </is>
      </c>
      <c r="E3003" s="21" t="inlineStr">
        <is>
          <t>KERİM KARAMAN</t>
        </is>
      </c>
      <c r="F3003" s="23" t="n">
        <v>194020</v>
      </c>
      <c r="G3003" s="138" t="n"/>
      <c r="H3003" s="138" t="n">
        <v>417</v>
      </c>
      <c r="I3003" s="138">
        <f>+I3002+(G3003-H3003)</f>
        <v/>
      </c>
      <c r="J3003" s="139" t="n">
        <v>37.051</v>
      </c>
      <c r="K3003" s="140" t="n"/>
      <c r="L3003" s="140">
        <f>+H3003*J3003</f>
        <v/>
      </c>
      <c r="M3003" s="141">
        <f>SUM(M3002+K3003-L3003)</f>
        <v/>
      </c>
    </row>
    <row r="3004">
      <c r="A3004" s="20" t="n">
        <v>45827</v>
      </c>
      <c r="B3004" s="21" t="n">
        <v>15856</v>
      </c>
      <c r="C3004" s="22" t="inlineStr">
        <is>
          <t>SELİM İNŞAAT</t>
        </is>
      </c>
      <c r="D3004" s="21" t="inlineStr">
        <is>
          <t>34 EDB 754</t>
        </is>
      </c>
      <c r="E3004" s="21" t="inlineStr">
        <is>
          <t>EMİN PARLAKKILIÇ</t>
        </is>
      </c>
      <c r="F3004" s="23" t="n">
        <v>322161</v>
      </c>
      <c r="G3004" s="138" t="n"/>
      <c r="H3004" s="138" t="n">
        <v>469</v>
      </c>
      <c r="I3004" s="138">
        <f>+I3003+(G3004-H3004)</f>
        <v/>
      </c>
      <c r="J3004" s="139" t="n">
        <v>37.051</v>
      </c>
      <c r="K3004" s="140" t="n"/>
      <c r="L3004" s="140">
        <f>+H3004*J3004</f>
        <v/>
      </c>
      <c r="M3004" s="141">
        <f>SUM(M3003+K3004-L3004)</f>
        <v/>
      </c>
    </row>
    <row r="3005">
      <c r="A3005" s="20" t="n">
        <v>45827</v>
      </c>
      <c r="B3005" s="21" t="n">
        <v>14089</v>
      </c>
      <c r="C3005" s="22" t="inlineStr">
        <is>
          <t>SELİM İNŞAAT</t>
        </is>
      </c>
      <c r="D3005" s="21" t="inlineStr">
        <is>
          <t>34 EDB 659</t>
        </is>
      </c>
      <c r="E3005" s="21" t="inlineStr">
        <is>
          <t>MEHMET SAİT ANIK</t>
        </is>
      </c>
      <c r="F3005" s="23" t="n">
        <v>340642</v>
      </c>
      <c r="G3005" s="138" t="n"/>
      <c r="H3005" s="138" t="n">
        <v>462</v>
      </c>
      <c r="I3005" s="138">
        <f>+I3004+(G3005-H3005)</f>
        <v/>
      </c>
      <c r="J3005" s="139" t="n">
        <v>37.051</v>
      </c>
      <c r="K3005" s="140" t="n"/>
      <c r="L3005" s="140">
        <f>+H3005*J3005</f>
        <v/>
      </c>
      <c r="M3005" s="141">
        <f>SUM(M3004+K3005-L3005)</f>
        <v/>
      </c>
    </row>
    <row r="3006">
      <c r="A3006" s="20" t="n">
        <v>45827</v>
      </c>
      <c r="B3006" s="21" t="n">
        <v>10238</v>
      </c>
      <c r="C3006" s="22" t="inlineStr">
        <is>
          <t>SELİM İNŞAAT</t>
        </is>
      </c>
      <c r="D3006" s="21" t="inlineStr">
        <is>
          <t>34 DSN 621</t>
        </is>
      </c>
      <c r="E3006" s="21" t="inlineStr">
        <is>
          <t>MUSTAFA KAYA</t>
        </is>
      </c>
      <c r="F3006" s="23" t="n">
        <v>410798</v>
      </c>
      <c r="G3006" s="138" t="n"/>
      <c r="H3006" s="138" t="n">
        <v>442</v>
      </c>
      <c r="I3006" s="138">
        <f>+I3005+(G3006-H3006)</f>
        <v/>
      </c>
      <c r="J3006" s="139" t="n">
        <v>37.051</v>
      </c>
      <c r="K3006" s="140" t="n"/>
      <c r="L3006" s="140">
        <f>+H3006*J3006</f>
        <v/>
      </c>
      <c r="M3006" s="141">
        <f>SUM(M3005+K3006-L3006)</f>
        <v/>
      </c>
    </row>
    <row r="3007">
      <c r="A3007" s="20" t="n">
        <v>45828</v>
      </c>
      <c r="B3007" s="21" t="n">
        <v>15920</v>
      </c>
      <c r="C3007" s="22" t="inlineStr">
        <is>
          <t>SELİM İNŞAAT</t>
        </is>
      </c>
      <c r="D3007" s="21" t="inlineStr">
        <is>
          <t>34 DFE 454</t>
        </is>
      </c>
      <c r="E3007" s="21" t="inlineStr">
        <is>
          <t>METİN KALKAN</t>
        </is>
      </c>
      <c r="F3007" s="23" t="n">
        <v>159943</v>
      </c>
      <c r="G3007" s="138" t="n"/>
      <c r="H3007" s="138" t="n">
        <v>241</v>
      </c>
      <c r="I3007" s="138">
        <f>+I3006+(G3007-H3007)</f>
        <v/>
      </c>
      <c r="J3007" s="139" t="n">
        <v>37.051</v>
      </c>
      <c r="K3007" s="140" t="n"/>
      <c r="L3007" s="140">
        <f>+H3007*J3007</f>
        <v/>
      </c>
      <c r="M3007" s="141">
        <f>SUM(M3006+K3007-L3007)</f>
        <v/>
      </c>
    </row>
    <row r="3008">
      <c r="A3008" s="20" t="n">
        <v>45828</v>
      </c>
      <c r="B3008" s="21" t="n">
        <v>14638</v>
      </c>
      <c r="C3008" s="22" t="inlineStr">
        <is>
          <t>SELİM İNŞAAT</t>
        </is>
      </c>
      <c r="D3008" s="21" t="inlineStr">
        <is>
          <t>34 GER 445</t>
        </is>
      </c>
      <c r="E3008" s="21" t="inlineStr">
        <is>
          <t>HASAN BAYCAN</t>
        </is>
      </c>
      <c r="F3008" s="23" t="n">
        <v>43405</v>
      </c>
      <c r="G3008" s="138" t="n"/>
      <c r="H3008" s="138" t="n">
        <v>194</v>
      </c>
      <c r="I3008" s="138">
        <f>+I3007+(G3008-H3008)</f>
        <v/>
      </c>
      <c r="J3008" s="139" t="n">
        <v>37.051</v>
      </c>
      <c r="K3008" s="140" t="n"/>
      <c r="L3008" s="140">
        <f>+H3008*J3008</f>
        <v/>
      </c>
      <c r="M3008" s="141">
        <f>SUM(M3007+K3008-L3008)</f>
        <v/>
      </c>
    </row>
    <row r="3009">
      <c r="A3009" s="20" t="n">
        <v>45828</v>
      </c>
      <c r="B3009" s="21" t="n">
        <v>14343</v>
      </c>
      <c r="C3009" s="22" t="inlineStr">
        <is>
          <t>SELİM İNŞAAT</t>
        </is>
      </c>
      <c r="D3009" s="21" t="inlineStr">
        <is>
          <t>34 DKL 866</t>
        </is>
      </c>
      <c r="E3009" s="21" t="inlineStr">
        <is>
          <t>SELİM CAN ÖNVER</t>
        </is>
      </c>
      <c r="F3009" s="23" t="n">
        <v>66394</v>
      </c>
      <c r="G3009" s="138" t="n"/>
      <c r="H3009" s="138" t="n">
        <v>254</v>
      </c>
      <c r="I3009" s="138">
        <f>+I3008+(G3009-H3009)</f>
        <v/>
      </c>
      <c r="J3009" s="139" t="n">
        <v>37.051</v>
      </c>
      <c r="K3009" s="140" t="n"/>
      <c r="L3009" s="140">
        <f>+H3009*J3009</f>
        <v/>
      </c>
      <c r="M3009" s="141">
        <f>SUM(M3008+K3009-L3009)</f>
        <v/>
      </c>
    </row>
    <row r="3010">
      <c r="A3010" s="20" t="n">
        <v>45828</v>
      </c>
      <c r="B3010" s="21" t="n">
        <v>15611</v>
      </c>
      <c r="C3010" s="22" t="inlineStr">
        <is>
          <t>METİN ERYİĞİT</t>
        </is>
      </c>
      <c r="D3010" s="21" t="inlineStr">
        <is>
          <t>34 EGS 013</t>
        </is>
      </c>
      <c r="E3010" s="21" t="inlineStr">
        <is>
          <t xml:space="preserve">UĞUR DUMAN </t>
        </is>
      </c>
      <c r="F3010" s="23" t="n">
        <v>489788</v>
      </c>
      <c r="G3010" s="138" t="n"/>
      <c r="H3010" s="138" t="n">
        <v>457</v>
      </c>
      <c r="I3010" s="138">
        <f>+I3009+(G3010-H3010)</f>
        <v/>
      </c>
      <c r="J3010" s="139" t="n">
        <v>37.051</v>
      </c>
      <c r="K3010" s="140" t="n"/>
      <c r="L3010" s="140">
        <f>+H3010*J3010</f>
        <v/>
      </c>
      <c r="M3010" s="141">
        <f>SUM(M3009+K3010-L3010)</f>
        <v/>
      </c>
    </row>
    <row r="3011">
      <c r="A3011" s="20" t="n">
        <v>45828</v>
      </c>
      <c r="B3011" s="21" t="n">
        <v>15314</v>
      </c>
      <c r="C3011" s="22" t="inlineStr">
        <is>
          <t>SELİM İNŞAAT</t>
        </is>
      </c>
      <c r="D3011" s="21" t="inlineStr">
        <is>
          <t>34 EDC 162</t>
        </is>
      </c>
      <c r="E3011" s="21" t="inlineStr">
        <is>
          <t xml:space="preserve">YAKUP GÜNER </t>
        </is>
      </c>
      <c r="F3011" s="23" t="n">
        <v>371091</v>
      </c>
      <c r="G3011" s="138" t="n"/>
      <c r="H3011" s="138" t="n">
        <v>358</v>
      </c>
      <c r="I3011" s="138">
        <f>+I3010+(G3011-H3011)</f>
        <v/>
      </c>
      <c r="J3011" s="139" t="n">
        <v>37.051</v>
      </c>
      <c r="K3011" s="140" t="n"/>
      <c r="L3011" s="140">
        <f>+H3011*J3011</f>
        <v/>
      </c>
      <c r="M3011" s="141">
        <f>SUM(M3010+K3011-L3011)</f>
        <v/>
      </c>
    </row>
    <row r="3012">
      <c r="A3012" s="20" t="n">
        <v>45828</v>
      </c>
      <c r="B3012" s="21" t="n">
        <v>15056</v>
      </c>
      <c r="C3012" s="22" t="inlineStr">
        <is>
          <t>SELİM İNŞAAT</t>
        </is>
      </c>
      <c r="D3012" s="21" t="inlineStr">
        <is>
          <t>34 EGR 736</t>
        </is>
      </c>
      <c r="E3012" s="21" t="inlineStr">
        <is>
          <t>HAKAN ÇAVUŞOĞLU</t>
        </is>
      </c>
      <c r="F3012" s="23" t="n">
        <v>390421</v>
      </c>
      <c r="G3012" s="138" t="n"/>
      <c r="H3012" s="138" t="n">
        <v>445</v>
      </c>
      <c r="I3012" s="138">
        <f>+I3011+(G3012-H3012)</f>
        <v/>
      </c>
      <c r="J3012" s="139" t="n">
        <v>37.051</v>
      </c>
      <c r="K3012" s="140" t="n"/>
      <c r="L3012" s="140">
        <f>+H3012*J3012</f>
        <v/>
      </c>
      <c r="M3012" s="141">
        <f>SUM(M3011+K3012-L3012)</f>
        <v/>
      </c>
    </row>
    <row r="3013">
      <c r="A3013" s="20" t="n">
        <v>45828</v>
      </c>
      <c r="B3013" s="21" t="n">
        <v>14489</v>
      </c>
      <c r="C3013" s="22" t="inlineStr">
        <is>
          <t>SELİM İNŞAAT</t>
        </is>
      </c>
      <c r="D3013" s="21" t="inlineStr">
        <is>
          <t>34 GVZ 848</t>
        </is>
      </c>
      <c r="E3013" s="21" t="inlineStr">
        <is>
          <t>SERDAR BOZKURT</t>
        </is>
      </c>
      <c r="F3013" s="23" t="n">
        <v>193280</v>
      </c>
      <c r="G3013" s="138" t="n"/>
      <c r="H3013" s="138" t="n">
        <v>388</v>
      </c>
      <c r="I3013" s="138">
        <f>+I3012+(G3013-H3013)</f>
        <v/>
      </c>
      <c r="J3013" s="139" t="n">
        <v>37.051</v>
      </c>
      <c r="K3013" s="140" t="n"/>
      <c r="L3013" s="140">
        <f>+H3013*J3013</f>
        <v/>
      </c>
      <c r="M3013" s="141">
        <f>SUM(M3012+K3013-L3013)</f>
        <v/>
      </c>
    </row>
    <row r="3014">
      <c r="A3014" s="20" t="n">
        <v>45828</v>
      </c>
      <c r="B3014" s="1" t="n">
        <v>56</v>
      </c>
      <c r="C3014" s="2" t="inlineStr">
        <is>
          <t>VARLIK</t>
        </is>
      </c>
      <c r="D3014" s="1" t="inlineStr">
        <is>
          <t>SM 350</t>
        </is>
      </c>
      <c r="E3014" s="1" t="inlineStr">
        <is>
          <t>BAYRAM SANCAK</t>
        </is>
      </c>
      <c r="F3014" s="3" t="n"/>
      <c r="G3014" s="143" t="n"/>
      <c r="H3014" s="143" t="n">
        <v>383</v>
      </c>
      <c r="I3014" s="143">
        <f>+I3013+(G3014-H3014)</f>
        <v/>
      </c>
      <c r="J3014" s="144" t="n">
        <v>37.051</v>
      </c>
      <c r="K3014" s="145" t="n"/>
      <c r="L3014" s="140">
        <f>+H3014*J3014</f>
        <v/>
      </c>
      <c r="M3014" s="141">
        <f>SUM(M3013+K3014-L3014)</f>
        <v/>
      </c>
    </row>
    <row r="3015">
      <c r="A3015" s="20" t="n">
        <v>45828</v>
      </c>
      <c r="B3015" s="1" t="n">
        <v>57</v>
      </c>
      <c r="C3015" s="2" t="inlineStr">
        <is>
          <t>VARLIK</t>
        </is>
      </c>
      <c r="D3015" s="1" t="inlineStr">
        <is>
          <t xml:space="preserve">YENİ VİNÇ </t>
        </is>
      </c>
      <c r="E3015" s="1" t="inlineStr">
        <is>
          <t>SALİH ŞOLAN</t>
        </is>
      </c>
      <c r="F3015" s="3" t="n"/>
      <c r="G3015" s="143" t="n"/>
      <c r="H3015" s="143" t="n">
        <v>228</v>
      </c>
      <c r="I3015" s="143">
        <f>+I3014+(G3015-H3015)</f>
        <v/>
      </c>
      <c r="J3015" s="144" t="n">
        <v>37.051</v>
      </c>
      <c r="K3015" s="145" t="n"/>
      <c r="L3015" s="140">
        <f>+H3015*J3015</f>
        <v/>
      </c>
      <c r="M3015" s="141">
        <f>SUM(M3014+K3015-L3015)</f>
        <v/>
      </c>
    </row>
    <row r="3016">
      <c r="A3016" s="20" t="n">
        <v>45828</v>
      </c>
      <c r="B3016" s="1" t="n">
        <v>58</v>
      </c>
      <c r="C3016" s="2" t="inlineStr">
        <is>
          <t>VARLIK</t>
        </is>
      </c>
      <c r="D3016" s="1" t="inlineStr">
        <is>
          <t>SM 300</t>
        </is>
      </c>
      <c r="E3016" s="1" t="inlineStr">
        <is>
          <t>TURGUT SANCAK</t>
        </is>
      </c>
      <c r="F3016" s="3" t="n"/>
      <c r="G3016" s="143" t="n"/>
      <c r="H3016" s="143" t="n">
        <v>394</v>
      </c>
      <c r="I3016" s="143">
        <f>+I3015+(G3016-H3016)</f>
        <v/>
      </c>
      <c r="J3016" s="144" t="n">
        <v>37.051</v>
      </c>
      <c r="K3016" s="145" t="n"/>
      <c r="L3016" s="140">
        <f>+H3016*J3016</f>
        <v/>
      </c>
      <c r="M3016" s="141">
        <f>SUM(M3015+K3016-L3016)</f>
        <v/>
      </c>
    </row>
    <row r="3017">
      <c r="A3017" s="20" t="n">
        <v>45828</v>
      </c>
      <c r="B3017" s="1" t="n">
        <v>59</v>
      </c>
      <c r="C3017" s="2" t="inlineStr">
        <is>
          <t>CEVİZ MOBİLYA</t>
        </is>
      </c>
      <c r="D3017" s="1" t="inlineStr">
        <is>
          <t>SM 350</t>
        </is>
      </c>
      <c r="E3017" s="1" t="inlineStr">
        <is>
          <t>TEVFİK ÖZTÜRK</t>
        </is>
      </c>
      <c r="F3017" s="3" t="n"/>
      <c r="G3017" s="143" t="n"/>
      <c r="H3017" s="143" t="n">
        <v>408</v>
      </c>
      <c r="I3017" s="143">
        <f>+I3016+(G3017-H3017)</f>
        <v/>
      </c>
      <c r="J3017" s="144" t="n">
        <v>37.051</v>
      </c>
      <c r="K3017" s="145" t="n"/>
      <c r="L3017" s="140">
        <f>+H3017*J3017</f>
        <v/>
      </c>
      <c r="M3017" s="141">
        <f>SUM(M3016+K3017-L3017)</f>
        <v/>
      </c>
    </row>
    <row r="3018">
      <c r="A3018" s="20" t="n">
        <v>45828</v>
      </c>
      <c r="B3018" s="1" t="n">
        <v>60</v>
      </c>
      <c r="C3018" s="2" t="inlineStr">
        <is>
          <t>CEVİZ MOBİLYA</t>
        </is>
      </c>
      <c r="D3018" s="1" t="inlineStr">
        <is>
          <t>SM 370</t>
        </is>
      </c>
      <c r="E3018" s="1" t="inlineStr">
        <is>
          <t>RAMAZAN KAYA</t>
        </is>
      </c>
      <c r="F3018" s="3" t="n"/>
      <c r="G3018" s="143" t="n"/>
      <c r="H3018" s="143" t="n">
        <v>429</v>
      </c>
      <c r="I3018" s="143">
        <f>+I3017+(G3018-H3018)</f>
        <v/>
      </c>
      <c r="J3018" s="144" t="n">
        <v>37.051</v>
      </c>
      <c r="K3018" s="145" t="n"/>
      <c r="L3018" s="140">
        <f>+H3018*J3018</f>
        <v/>
      </c>
      <c r="M3018" s="141">
        <f>SUM(M3017+K3018-L3018)</f>
        <v/>
      </c>
    </row>
    <row r="3019">
      <c r="A3019" s="20" t="n">
        <v>45828</v>
      </c>
      <c r="B3019" s="21" t="n">
        <v>11162</v>
      </c>
      <c r="C3019" s="22" t="inlineStr">
        <is>
          <t>SELİM İNŞAAT</t>
        </is>
      </c>
      <c r="D3019" s="21" t="inlineStr">
        <is>
          <t>34 HZ 1663</t>
        </is>
      </c>
      <c r="E3019" s="21" t="inlineStr">
        <is>
          <t>ÖNER DÜNDAR</t>
        </is>
      </c>
      <c r="F3019" s="23" t="n">
        <v>521706</v>
      </c>
      <c r="G3019" s="138" t="n"/>
      <c r="H3019" s="138" t="n">
        <v>494</v>
      </c>
      <c r="I3019" s="138">
        <f>+I3018+(G3019-H3019)</f>
        <v/>
      </c>
      <c r="J3019" s="139" t="n">
        <v>37.051</v>
      </c>
      <c r="K3019" s="140" t="n"/>
      <c r="L3019" s="140">
        <f>+H3019*J3019</f>
        <v/>
      </c>
      <c r="M3019" s="141">
        <f>SUM(M3018+K3019-L3019)</f>
        <v/>
      </c>
    </row>
    <row r="3020">
      <c r="A3020" s="20" t="n">
        <v>45828</v>
      </c>
      <c r="B3020" s="21" t="n">
        <v>15355</v>
      </c>
      <c r="C3020" s="22" t="inlineStr">
        <is>
          <t>SELİM İNŞAAT</t>
        </is>
      </c>
      <c r="D3020" s="21" t="inlineStr">
        <is>
          <t>34 DTV 409</t>
        </is>
      </c>
      <c r="E3020" s="21" t="inlineStr">
        <is>
          <t>ONUR CANLI</t>
        </is>
      </c>
      <c r="F3020" s="23" t="n">
        <v>417382</v>
      </c>
      <c r="G3020" s="138" t="n"/>
      <c r="H3020" s="138" t="n">
        <v>431</v>
      </c>
      <c r="I3020" s="138">
        <f>+I3019+(G3020-H3020)</f>
        <v/>
      </c>
      <c r="J3020" s="139" t="n">
        <v>37.051</v>
      </c>
      <c r="K3020" s="140" t="n"/>
      <c r="L3020" s="140">
        <f>+H3020*J3020</f>
        <v/>
      </c>
      <c r="M3020" s="141">
        <f>SUM(M3019+K3020-L3020)</f>
        <v/>
      </c>
    </row>
    <row r="3021">
      <c r="A3021" s="20" t="n">
        <v>45828</v>
      </c>
      <c r="B3021" s="21" t="n">
        <v>306</v>
      </c>
      <c r="C3021" s="22" t="inlineStr">
        <is>
          <t>SELİM İNŞAAT</t>
        </is>
      </c>
      <c r="D3021" s="21" t="inlineStr">
        <is>
          <t>34 EDB 829</t>
        </is>
      </c>
      <c r="E3021" s="21" t="inlineStr">
        <is>
          <t>İSMET BAYRAM</t>
        </is>
      </c>
      <c r="F3021" s="23" t="n">
        <v>320054</v>
      </c>
      <c r="G3021" s="138" t="n"/>
      <c r="H3021" s="138" t="n">
        <v>354</v>
      </c>
      <c r="I3021" s="138">
        <f>+I3020+(G3021-H3021)</f>
        <v/>
      </c>
      <c r="J3021" s="139" t="n">
        <v>37.051</v>
      </c>
      <c r="K3021" s="140" t="n"/>
      <c r="L3021" s="140">
        <f>+H3021*J3021</f>
        <v/>
      </c>
      <c r="M3021" s="141">
        <f>SUM(M3020+K3021-L3021)</f>
        <v/>
      </c>
    </row>
    <row r="3022">
      <c r="A3022" s="20" t="n">
        <v>45828</v>
      </c>
      <c r="B3022" s="21" t="n">
        <v>15959</v>
      </c>
      <c r="C3022" s="22" t="inlineStr">
        <is>
          <t>SELİM İNŞAAT</t>
        </is>
      </c>
      <c r="D3022" s="21" t="inlineStr">
        <is>
          <t>34 FBR 781</t>
        </is>
      </c>
      <c r="E3022" s="21" t="inlineStr">
        <is>
          <t>MEVLÜT POLAT</t>
        </is>
      </c>
      <c r="F3022" s="23" t="n">
        <v>304277</v>
      </c>
      <c r="G3022" s="138" t="n"/>
      <c r="H3022" s="138" t="n">
        <v>450</v>
      </c>
      <c r="I3022" s="138">
        <f>+I3021+(G3022-H3022)</f>
        <v/>
      </c>
      <c r="J3022" s="139" t="n">
        <v>37.051</v>
      </c>
      <c r="K3022" s="140" t="n"/>
      <c r="L3022" s="140">
        <f>+H3022*J3022</f>
        <v/>
      </c>
      <c r="M3022" s="141">
        <f>SUM(M3021+K3022-L3022)</f>
        <v/>
      </c>
    </row>
    <row r="3023">
      <c r="A3023" s="20" t="n">
        <v>45828</v>
      </c>
      <c r="B3023" s="21" t="n">
        <v>11842</v>
      </c>
      <c r="C3023" s="22" t="inlineStr">
        <is>
          <t>SELİM İNŞAAT</t>
        </is>
      </c>
      <c r="D3023" s="21" t="inlineStr">
        <is>
          <t>34 FSG 229</t>
        </is>
      </c>
      <c r="E3023" s="21" t="inlineStr">
        <is>
          <t>SİNAN TANRIVERDİ</t>
        </is>
      </c>
      <c r="F3023" s="23" t="n">
        <v>258239</v>
      </c>
      <c r="G3023" s="138" t="n"/>
      <c r="H3023" s="138" t="n">
        <v>279</v>
      </c>
      <c r="I3023" s="138">
        <f>+I3022+(G3023-H3023)</f>
        <v/>
      </c>
      <c r="J3023" s="139" t="n">
        <v>37.051</v>
      </c>
      <c r="K3023" s="140" t="n"/>
      <c r="L3023" s="140">
        <f>+H3023*J3023</f>
        <v/>
      </c>
      <c r="M3023" s="141">
        <f>SUM(M3022+K3023-L3023)</f>
        <v/>
      </c>
    </row>
    <row r="3024">
      <c r="A3024" s="20" t="n">
        <v>45829</v>
      </c>
      <c r="B3024" s="21" t="n">
        <v>153</v>
      </c>
      <c r="C3024" s="22" t="inlineStr">
        <is>
          <t>SELİM İNŞAAT</t>
        </is>
      </c>
      <c r="D3024" s="21" t="inlineStr">
        <is>
          <t>34 TG 7869</t>
        </is>
      </c>
      <c r="E3024" s="21" t="inlineStr">
        <is>
          <t>GÖRKEM KARAYEL</t>
        </is>
      </c>
      <c r="F3024" s="23" t="n">
        <v>183508</v>
      </c>
      <c r="G3024" s="138" t="n"/>
      <c r="H3024" s="138" t="n">
        <v>348</v>
      </c>
      <c r="I3024" s="138">
        <f>+I3023+(G3024-H3024)</f>
        <v/>
      </c>
      <c r="J3024" s="139" t="n">
        <v>37.051</v>
      </c>
      <c r="K3024" s="140" t="n"/>
      <c r="L3024" s="140">
        <f>+H3024*J3024</f>
        <v/>
      </c>
      <c r="M3024" s="141">
        <f>SUM(M3023+K3024-L3024)</f>
        <v/>
      </c>
    </row>
    <row r="3025">
      <c r="A3025" s="20" t="n">
        <v>45829</v>
      </c>
      <c r="B3025" s="21" t="n">
        <v>14533</v>
      </c>
      <c r="C3025" s="22" t="inlineStr">
        <is>
          <t>SELİM İNŞAAT</t>
        </is>
      </c>
      <c r="D3025" s="21" t="inlineStr">
        <is>
          <t>34 GER 028</t>
        </is>
      </c>
      <c r="E3025" s="21" t="inlineStr">
        <is>
          <t>A.KERİM ERGEN</t>
        </is>
      </c>
      <c r="F3025" s="23" t="n">
        <v>45055</v>
      </c>
      <c r="G3025" s="138" t="n"/>
      <c r="H3025" s="138" t="n">
        <v>220</v>
      </c>
      <c r="I3025" s="138">
        <f>+I3024+(G3025-H3025)</f>
        <v/>
      </c>
      <c r="J3025" s="139" t="n">
        <v>37.051</v>
      </c>
      <c r="K3025" s="140" t="n"/>
      <c r="L3025" s="140">
        <f>+H3025*J3025</f>
        <v/>
      </c>
      <c r="M3025" s="141">
        <f>SUM(M3024+K3025-L3025)</f>
        <v/>
      </c>
    </row>
    <row r="3026">
      <c r="A3026" s="20" t="n">
        <v>45829</v>
      </c>
      <c r="B3026" s="21" t="n">
        <v>15160</v>
      </c>
      <c r="C3026" s="22" t="inlineStr">
        <is>
          <t>SELİM İNŞAAT</t>
        </is>
      </c>
      <c r="D3026" s="21" t="inlineStr">
        <is>
          <t>34 DP 4161</t>
        </is>
      </c>
      <c r="E3026" s="21" t="inlineStr">
        <is>
          <t>RIFAT KARATAY</t>
        </is>
      </c>
      <c r="F3026" s="23" t="n">
        <v>287297</v>
      </c>
      <c r="G3026" s="138" t="n"/>
      <c r="H3026" s="138" t="n">
        <v>241</v>
      </c>
      <c r="I3026" s="138">
        <f>+I3025+(G3026-H3026)</f>
        <v/>
      </c>
      <c r="J3026" s="139" t="n">
        <v>37.051</v>
      </c>
      <c r="K3026" s="140" t="n"/>
      <c r="L3026" s="140">
        <f>+H3026*J3026</f>
        <v/>
      </c>
      <c r="M3026" s="141">
        <f>SUM(M3025+K3026-L3026)</f>
        <v/>
      </c>
    </row>
    <row r="3027">
      <c r="A3027" s="20" t="n">
        <v>45829</v>
      </c>
      <c r="B3027" s="21" t="n">
        <v>14384</v>
      </c>
      <c r="C3027" s="22" t="inlineStr">
        <is>
          <t>SELİM İNŞAAT</t>
        </is>
      </c>
      <c r="D3027" s="21" t="inlineStr">
        <is>
          <t>34 DKL 798</t>
        </is>
      </c>
      <c r="E3027" s="21" t="inlineStr">
        <is>
          <t>VOLKAN YANAR</t>
        </is>
      </c>
      <c r="F3027" s="23" t="n">
        <v>66450</v>
      </c>
      <c r="G3027" s="138" t="n"/>
      <c r="H3027" s="138" t="n">
        <v>152</v>
      </c>
      <c r="I3027" s="138">
        <f>+I3026+(G3027-H3027)</f>
        <v/>
      </c>
      <c r="J3027" s="139" t="n">
        <v>37.051</v>
      </c>
      <c r="K3027" s="140" t="n"/>
      <c r="L3027" s="140">
        <f>+H3027*J3027</f>
        <v/>
      </c>
      <c r="M3027" s="141">
        <f>SUM(M3026+K3027-L3027)</f>
        <v/>
      </c>
    </row>
    <row r="3028">
      <c r="A3028" s="20" t="n">
        <v>45829</v>
      </c>
      <c r="B3028" s="21" t="n">
        <v>16743</v>
      </c>
      <c r="C3028" s="22" t="inlineStr">
        <is>
          <t>SELİM İNŞAAT</t>
        </is>
      </c>
      <c r="D3028" s="21" t="inlineStr">
        <is>
          <t>34 JBA 25</t>
        </is>
      </c>
      <c r="E3028" s="21" t="inlineStr">
        <is>
          <t>MUSTAFA ALBAYRAK</t>
        </is>
      </c>
      <c r="F3028" s="23" t="n">
        <v>335598</v>
      </c>
      <c r="G3028" s="138" t="n"/>
      <c r="H3028" s="138" t="n">
        <v>56</v>
      </c>
      <c r="I3028" s="138">
        <f>+I3027+(G3028-H3028)</f>
        <v/>
      </c>
      <c r="J3028" s="139" t="n">
        <v>37.051</v>
      </c>
      <c r="K3028" s="140" t="n"/>
      <c r="L3028" s="140">
        <f>+H3028*J3028</f>
        <v/>
      </c>
      <c r="M3028" s="141">
        <f>SUM(M3027+K3028-L3028)</f>
        <v/>
      </c>
    </row>
    <row r="3029">
      <c r="A3029" s="20" t="n">
        <v>45829</v>
      </c>
      <c r="B3029" s="21" t="n">
        <v>14639</v>
      </c>
      <c r="C3029" s="22" t="inlineStr">
        <is>
          <t>SELİM İNŞAAT</t>
        </is>
      </c>
      <c r="D3029" s="21" t="inlineStr">
        <is>
          <t>34 GER 445</t>
        </is>
      </c>
      <c r="E3029" s="21" t="inlineStr">
        <is>
          <t>HASAN BAYCAN</t>
        </is>
      </c>
      <c r="F3029" s="23" t="n">
        <v>43489</v>
      </c>
      <c r="G3029" s="138" t="n"/>
      <c r="H3029" s="138" t="n">
        <v>101</v>
      </c>
      <c r="I3029" s="138">
        <f>+I3028+(G3029-H3029)</f>
        <v/>
      </c>
      <c r="J3029" s="139" t="n">
        <v>37.051</v>
      </c>
      <c r="K3029" s="140" t="n"/>
      <c r="L3029" s="140">
        <f>+H3029*J3029</f>
        <v/>
      </c>
      <c r="M3029" s="141">
        <f>SUM(M3028+K3029-L3029)</f>
        <v/>
      </c>
    </row>
    <row r="3030">
      <c r="A3030" s="20" t="n">
        <v>45829</v>
      </c>
      <c r="B3030" s="21" t="n">
        <v>10892</v>
      </c>
      <c r="C3030" s="22" t="inlineStr">
        <is>
          <t>SELİM İNŞAAT</t>
        </is>
      </c>
      <c r="D3030" s="21" t="inlineStr">
        <is>
          <t>34 AR 7743</t>
        </is>
      </c>
      <c r="E3030" s="21" t="inlineStr">
        <is>
          <t>MEHMET SELİM</t>
        </is>
      </c>
      <c r="F3030" s="23" t="n"/>
      <c r="G3030" s="138" t="n"/>
      <c r="H3030" s="138" t="n">
        <v>56</v>
      </c>
      <c r="I3030" s="138">
        <f>+I3029+(G3030-H3030)</f>
        <v/>
      </c>
      <c r="J3030" s="139" t="n">
        <v>37.051</v>
      </c>
      <c r="K3030" s="140" t="n"/>
      <c r="L3030" s="140">
        <f>+H3030*J3030</f>
        <v/>
      </c>
      <c r="M3030" s="141">
        <f>SUM(M3029+K3030-L3030)</f>
        <v/>
      </c>
    </row>
    <row r="3031">
      <c r="A3031" s="20" t="n">
        <v>45829</v>
      </c>
      <c r="B3031" s="21" t="n">
        <v>15666</v>
      </c>
      <c r="C3031" s="22" t="inlineStr">
        <is>
          <t>METİN ERYİĞİT</t>
        </is>
      </c>
      <c r="D3031" s="21" t="inlineStr">
        <is>
          <t>34 EGR 814</t>
        </is>
      </c>
      <c r="E3031" s="21" t="inlineStr">
        <is>
          <t>GÜRAY KOYUNCU</t>
        </is>
      </c>
      <c r="F3031" s="23" t="n">
        <v>543584</v>
      </c>
      <c r="G3031" s="138" t="n"/>
      <c r="H3031" s="138" t="n">
        <v>397</v>
      </c>
      <c r="I3031" s="138">
        <f>+I3030+(G3031-H3031)</f>
        <v/>
      </c>
      <c r="J3031" s="139" t="n">
        <v>37.051</v>
      </c>
      <c r="K3031" s="140" t="n"/>
      <c r="L3031" s="140">
        <f>+H3031*J3031</f>
        <v/>
      </c>
      <c r="M3031" s="141">
        <f>SUM(M3030+K3031-L3031)</f>
        <v/>
      </c>
    </row>
    <row r="3032">
      <c r="A3032" s="20" t="n">
        <v>45829</v>
      </c>
      <c r="B3032" s="21" t="n">
        <v>14741</v>
      </c>
      <c r="C3032" s="22" t="inlineStr">
        <is>
          <t>METİN ERYİĞİT</t>
        </is>
      </c>
      <c r="D3032" s="21" t="inlineStr">
        <is>
          <t>34 GBL 998</t>
        </is>
      </c>
      <c r="E3032" s="21" t="inlineStr">
        <is>
          <t>ALİ KESKİN</t>
        </is>
      </c>
      <c r="F3032" s="23" t="n">
        <v>269716</v>
      </c>
      <c r="G3032" s="138" t="n"/>
      <c r="H3032" s="138" t="n">
        <v>341</v>
      </c>
      <c r="I3032" s="138">
        <f>+I3031+(G3032-H3032)</f>
        <v/>
      </c>
      <c r="J3032" s="139" t="n">
        <v>37.051</v>
      </c>
      <c r="K3032" s="140" t="n"/>
      <c r="L3032" s="140">
        <f>+H3032*J3032</f>
        <v/>
      </c>
      <c r="M3032" s="141">
        <f>SUM(M3031+K3032-L3032)</f>
        <v/>
      </c>
    </row>
    <row r="3033">
      <c r="A3033" s="20" t="n">
        <v>45829</v>
      </c>
      <c r="B3033" s="21" t="n">
        <v>15315</v>
      </c>
      <c r="C3033" s="22" t="inlineStr">
        <is>
          <t>SELİM İNŞAAT</t>
        </is>
      </c>
      <c r="D3033" s="21" t="inlineStr">
        <is>
          <t>34 EDC 162</t>
        </is>
      </c>
      <c r="E3033" s="21" t="inlineStr">
        <is>
          <t xml:space="preserve">YAKUP GÜNER </t>
        </is>
      </c>
      <c r="F3033" s="23" t="n">
        <v>371300</v>
      </c>
      <c r="G3033" s="138" t="n"/>
      <c r="H3033" s="138" t="n">
        <v>129</v>
      </c>
      <c r="I3033" s="138">
        <f>+I3032+(G3033-H3033)</f>
        <v/>
      </c>
      <c r="J3033" s="139" t="n">
        <v>37.051</v>
      </c>
      <c r="K3033" s="140" t="n"/>
      <c r="L3033" s="140">
        <f>+H3033*J3033</f>
        <v/>
      </c>
      <c r="M3033" s="141">
        <f>SUM(M3032+K3033-L3033)</f>
        <v/>
      </c>
    </row>
    <row r="3034">
      <c r="A3034" s="20" t="n">
        <v>45829</v>
      </c>
      <c r="B3034" s="21" t="n">
        <v>15518</v>
      </c>
      <c r="C3034" s="22" t="inlineStr">
        <is>
          <t>SELİM İNŞAAT</t>
        </is>
      </c>
      <c r="D3034" s="21" t="inlineStr">
        <is>
          <t>34 EDC 086</t>
        </is>
      </c>
      <c r="E3034" s="21" t="inlineStr">
        <is>
          <t>ÖMER AĞAYAR</t>
        </is>
      </c>
      <c r="F3034" s="23" t="n">
        <v>326514</v>
      </c>
      <c r="G3034" s="138" t="n"/>
      <c r="H3034" s="138" t="n">
        <v>347</v>
      </c>
      <c r="I3034" s="138">
        <f>+I3033+(G3034-H3034)</f>
        <v/>
      </c>
      <c r="J3034" s="139" t="n">
        <v>37.051</v>
      </c>
      <c r="K3034" s="140" t="n"/>
      <c r="L3034" s="140">
        <f>+H3034*J3034</f>
        <v/>
      </c>
      <c r="M3034" s="141">
        <f>SUM(M3033+K3034-L3034)</f>
        <v/>
      </c>
    </row>
    <row r="3035">
      <c r="A3035" s="20" t="n">
        <v>45829</v>
      </c>
      <c r="B3035" s="21" t="n">
        <v>21631</v>
      </c>
      <c r="C3035" s="22" t="inlineStr">
        <is>
          <t>SELİM İNŞAAT</t>
        </is>
      </c>
      <c r="D3035" s="21" t="inlineStr">
        <is>
          <t>34 DHC 467</t>
        </is>
      </c>
      <c r="E3035" s="21" t="inlineStr">
        <is>
          <t>EDİP TORLAK</t>
        </is>
      </c>
      <c r="F3035" s="23" t="n">
        <v>405955</v>
      </c>
      <c r="G3035" s="138" t="n"/>
      <c r="H3035" s="138" t="n">
        <v>353</v>
      </c>
      <c r="I3035" s="138">
        <f>+I3034+(G3035-H3035)</f>
        <v/>
      </c>
      <c r="J3035" s="139" t="n">
        <v>37.051</v>
      </c>
      <c r="K3035" s="140" t="n"/>
      <c r="L3035" s="140">
        <f>+H3035*J3035</f>
        <v/>
      </c>
      <c r="M3035" s="141">
        <f>SUM(M3034+K3035-L3035)</f>
        <v/>
      </c>
    </row>
    <row r="3036">
      <c r="A3036" s="20" t="n">
        <v>45829</v>
      </c>
      <c r="B3036" s="21" t="n">
        <v>14040</v>
      </c>
      <c r="C3036" s="22" t="inlineStr">
        <is>
          <t>SELİM İNŞAAT</t>
        </is>
      </c>
      <c r="D3036" s="21" t="inlineStr">
        <is>
          <t>34 GVZ 310</t>
        </is>
      </c>
      <c r="E3036" s="21" t="inlineStr">
        <is>
          <t>CELAL YÜZBAŞI</t>
        </is>
      </c>
      <c r="F3036" s="23" t="n">
        <v>198813</v>
      </c>
      <c r="G3036" s="138" t="n"/>
      <c r="H3036" s="138" t="n">
        <v>392</v>
      </c>
      <c r="I3036" s="138">
        <f>+I3035+(G3036-H3036)</f>
        <v/>
      </c>
      <c r="J3036" s="139" t="n">
        <v>37.051</v>
      </c>
      <c r="K3036" s="140" t="n"/>
      <c r="L3036" s="140">
        <f>+H3036*J3036</f>
        <v/>
      </c>
      <c r="M3036" s="141">
        <f>SUM(M3035+K3036-L3036)</f>
        <v/>
      </c>
    </row>
    <row r="3037">
      <c r="A3037" s="20" t="n">
        <v>45829</v>
      </c>
      <c r="B3037" s="21" t="n">
        <v>951</v>
      </c>
      <c r="C3037" s="22" t="inlineStr">
        <is>
          <t>SELİM İNŞAAT</t>
        </is>
      </c>
      <c r="D3037" s="21" t="inlineStr">
        <is>
          <t>34 FBR 742</t>
        </is>
      </c>
      <c r="E3037" s="21" t="inlineStr">
        <is>
          <t>MİKAİL BAYILMAZ</t>
        </is>
      </c>
      <c r="F3037" s="23" t="n">
        <v>319976</v>
      </c>
      <c r="G3037" s="138" t="n"/>
      <c r="H3037" s="138" t="n">
        <v>476</v>
      </c>
      <c r="I3037" s="138">
        <f>+I3036+(G3037-H3037)</f>
        <v/>
      </c>
      <c r="J3037" s="139" t="n">
        <v>37.051</v>
      </c>
      <c r="K3037" s="140" t="n"/>
      <c r="L3037" s="140">
        <f>+H3037*J3037</f>
        <v/>
      </c>
      <c r="M3037" s="141">
        <f>SUM(M3036+K3037-L3037)</f>
        <v/>
      </c>
    </row>
    <row r="3038">
      <c r="A3038" s="20" t="n">
        <v>45829</v>
      </c>
      <c r="B3038" s="21" t="n">
        <v>11490</v>
      </c>
      <c r="C3038" s="22" t="inlineStr">
        <is>
          <t>SELİM İNŞAAT</t>
        </is>
      </c>
      <c r="D3038" s="21" t="inlineStr">
        <is>
          <t>34 EGR 922</t>
        </is>
      </c>
      <c r="E3038" s="21" t="inlineStr">
        <is>
          <t>FARUK ÖZEN</t>
        </is>
      </c>
      <c r="F3038" s="23" t="n">
        <v>455447</v>
      </c>
      <c r="G3038" s="138" t="n"/>
      <c r="H3038" s="138" t="n">
        <v>415</v>
      </c>
      <c r="I3038" s="138">
        <f>+I3037+(G3038-H3038)</f>
        <v/>
      </c>
      <c r="J3038" s="139" t="n">
        <v>37.051</v>
      </c>
      <c r="K3038" s="140" t="n"/>
      <c r="L3038" s="140">
        <f>+H3038*J3038</f>
        <v/>
      </c>
      <c r="M3038" s="141">
        <f>SUM(M3037+K3038-L3038)</f>
        <v/>
      </c>
    </row>
    <row r="3039">
      <c r="A3039" s="20" t="n">
        <v>45829</v>
      </c>
      <c r="B3039" s="21" t="n">
        <v>10437</v>
      </c>
      <c r="C3039" s="22" t="inlineStr">
        <is>
          <t>SELİM İNŞAAT</t>
        </is>
      </c>
      <c r="D3039" s="21" t="inlineStr">
        <is>
          <t>34 DSN 536</t>
        </is>
      </c>
      <c r="E3039" s="21" t="inlineStr">
        <is>
          <t>DURSUN ALİ GÜREK</t>
        </is>
      </c>
      <c r="F3039" s="23" t="n">
        <v>406547</v>
      </c>
      <c r="G3039" s="138" t="n"/>
      <c r="H3039" s="138" t="n">
        <v>392</v>
      </c>
      <c r="I3039" s="138">
        <f>+I3038+(G3039-H3039)</f>
        <v/>
      </c>
      <c r="J3039" s="139" t="n">
        <v>37.051</v>
      </c>
      <c r="K3039" s="140" t="n"/>
      <c r="L3039" s="140">
        <f>+H3039*J3039</f>
        <v/>
      </c>
      <c r="M3039" s="141">
        <f>SUM(M3038+K3039-L3039)</f>
        <v/>
      </c>
    </row>
    <row r="3040">
      <c r="A3040" s="20" t="n">
        <v>45829</v>
      </c>
      <c r="B3040" s="21" t="n">
        <v>802</v>
      </c>
      <c r="C3040" s="22" t="inlineStr">
        <is>
          <t>SELİM İNŞAAT</t>
        </is>
      </c>
      <c r="D3040" s="21" t="inlineStr">
        <is>
          <t>34 FBR 705</t>
        </is>
      </c>
      <c r="E3040" s="21" t="inlineStr">
        <is>
          <t>MESUT GÜRLER</t>
        </is>
      </c>
      <c r="F3040" s="23" t="n">
        <v>316490</v>
      </c>
      <c r="G3040" s="138" t="n"/>
      <c r="H3040" s="138" t="n">
        <v>410</v>
      </c>
      <c r="I3040" s="138">
        <f>+I3039+(G3040-H3040)</f>
        <v/>
      </c>
      <c r="J3040" s="139" t="n">
        <v>37.051</v>
      </c>
      <c r="K3040" s="140" t="n"/>
      <c r="L3040" s="140">
        <f>+H3040*J3040</f>
        <v/>
      </c>
      <c r="M3040" s="141">
        <f>SUM(M3039+K3040-L3040)</f>
        <v/>
      </c>
    </row>
    <row r="3041">
      <c r="A3041" s="20" t="n">
        <v>45829</v>
      </c>
      <c r="B3041" s="21" t="n">
        <v>102</v>
      </c>
      <c r="C3041" s="22" t="inlineStr">
        <is>
          <t>SELİM İNŞAAT</t>
        </is>
      </c>
      <c r="D3041" s="21" t="inlineStr">
        <is>
          <t>34 FBR 771</t>
        </is>
      </c>
      <c r="E3041" s="21" t="inlineStr">
        <is>
          <t>HÜSEYİN AKÇİN</t>
        </is>
      </c>
      <c r="F3041" s="23" t="n">
        <v>320065</v>
      </c>
      <c r="G3041" s="138" t="n"/>
      <c r="H3041" s="138" t="n">
        <v>413</v>
      </c>
      <c r="I3041" s="138">
        <f>+I3040+(G3041-H3041)</f>
        <v/>
      </c>
      <c r="J3041" s="139" t="n">
        <v>37.051</v>
      </c>
      <c r="K3041" s="140" t="n"/>
      <c r="L3041" s="140">
        <f>+H3041*J3041</f>
        <v/>
      </c>
      <c r="M3041" s="141">
        <f>SUM(M3040+K3041-L3041)</f>
        <v/>
      </c>
    </row>
    <row r="3042">
      <c r="A3042" s="20" t="n">
        <v>45829</v>
      </c>
      <c r="B3042" s="21" t="n">
        <v>15211</v>
      </c>
      <c r="C3042" s="22" t="inlineStr">
        <is>
          <t>SELİM İNŞAAT</t>
        </is>
      </c>
      <c r="D3042" s="21" t="inlineStr">
        <is>
          <t>34 DSN 565</t>
        </is>
      </c>
      <c r="E3042" s="21" t="inlineStr">
        <is>
          <t>ONUR CANLI</t>
        </is>
      </c>
      <c r="F3042" s="23" t="n">
        <v>402721</v>
      </c>
      <c r="G3042" s="138" t="n"/>
      <c r="H3042" s="138" t="n">
        <v>348</v>
      </c>
      <c r="I3042" s="138">
        <f>+I3041+(G3042-H3042)</f>
        <v/>
      </c>
      <c r="J3042" s="139" t="n">
        <v>37.051</v>
      </c>
      <c r="K3042" s="140" t="n"/>
      <c r="L3042" s="140">
        <f>+H3042*J3042</f>
        <v/>
      </c>
      <c r="M3042" s="141">
        <f>SUM(M3041+K3042-L3042)</f>
        <v/>
      </c>
    </row>
    <row r="3043">
      <c r="A3043" s="20" t="n">
        <v>45829</v>
      </c>
      <c r="B3043" s="21" t="n">
        <v>11749</v>
      </c>
      <c r="C3043" s="22" t="inlineStr">
        <is>
          <t>SELİM İNŞAAT</t>
        </is>
      </c>
      <c r="D3043" s="21" t="inlineStr">
        <is>
          <t>34 EDB 559</t>
        </is>
      </c>
      <c r="E3043" s="21" t="inlineStr">
        <is>
          <t>FUAT AYKUL</t>
        </is>
      </c>
      <c r="F3043" s="23" t="n">
        <v>324686</v>
      </c>
      <c r="G3043" s="138" t="n"/>
      <c r="H3043" s="138" t="n">
        <v>454</v>
      </c>
      <c r="I3043" s="138">
        <f>+I3042+(G3043-H3043)</f>
        <v/>
      </c>
      <c r="J3043" s="139" t="n">
        <v>37.051</v>
      </c>
      <c r="K3043" s="140" t="n"/>
      <c r="L3043" s="140">
        <f>+H3043*J3043</f>
        <v/>
      </c>
      <c r="M3043" s="141">
        <f>SUM(M3042+K3043-L3043)</f>
        <v/>
      </c>
    </row>
    <row r="3044">
      <c r="A3044" s="20" t="n">
        <v>45829</v>
      </c>
      <c r="B3044" s="21" t="n">
        <v>15024</v>
      </c>
      <c r="C3044" s="22" t="inlineStr">
        <is>
          <t>SELİM İNŞAAT</t>
        </is>
      </c>
      <c r="D3044" s="21" t="inlineStr">
        <is>
          <t>34 GVZ 199</t>
        </is>
      </c>
      <c r="E3044" s="21" t="inlineStr">
        <is>
          <t>VAHDET GÜRLER</t>
        </is>
      </c>
      <c r="F3044" s="23" t="n">
        <v>182272</v>
      </c>
      <c r="G3044" s="138" t="n"/>
      <c r="H3044" s="138" t="n">
        <v>379</v>
      </c>
      <c r="I3044" s="138">
        <f>+I3043+(G3044-H3044)</f>
        <v/>
      </c>
      <c r="J3044" s="139" t="n">
        <v>37.051</v>
      </c>
      <c r="K3044" s="140" t="n"/>
      <c r="L3044" s="140">
        <f>+H3044*J3044</f>
        <v/>
      </c>
      <c r="M3044" s="141">
        <f>SUM(M3043+K3044-L3044)</f>
        <v/>
      </c>
    </row>
    <row r="3045">
      <c r="A3045" s="20" t="n">
        <v>45829</v>
      </c>
      <c r="B3045" s="21" t="n">
        <v>551</v>
      </c>
      <c r="C3045" s="22" t="inlineStr">
        <is>
          <t>SELİM İNŞAAT</t>
        </is>
      </c>
      <c r="D3045" s="21" t="inlineStr">
        <is>
          <t>34 EDB 922</t>
        </is>
      </c>
      <c r="E3045" s="21" t="inlineStr">
        <is>
          <t>AHMET TOPÇU</t>
        </is>
      </c>
      <c r="F3045" s="23" t="n">
        <v>362842</v>
      </c>
      <c r="G3045" s="138" t="n"/>
      <c r="H3045" s="138" t="n">
        <v>410</v>
      </c>
      <c r="I3045" s="138">
        <f>+I3044+(G3045-H3045)</f>
        <v/>
      </c>
      <c r="J3045" s="139" t="n">
        <v>37.051</v>
      </c>
      <c r="K3045" s="140" t="n"/>
      <c r="L3045" s="140">
        <f>+H3045*J3045</f>
        <v/>
      </c>
      <c r="M3045" s="141">
        <f>SUM(M3044+K3045-L3045)</f>
        <v/>
      </c>
    </row>
    <row r="3046">
      <c r="A3046" s="20" t="n">
        <v>45829</v>
      </c>
      <c r="B3046" s="1" t="n">
        <v>61</v>
      </c>
      <c r="C3046" s="2" t="inlineStr">
        <is>
          <t>VARLIK</t>
        </is>
      </c>
      <c r="D3046" s="1" t="inlineStr">
        <is>
          <t>SM 350</t>
        </is>
      </c>
      <c r="E3046" s="1" t="inlineStr">
        <is>
          <t>BAYRAM SANCAK</t>
        </is>
      </c>
      <c r="F3046" s="3" t="n"/>
      <c r="G3046" s="143" t="n"/>
      <c r="H3046" s="143" t="n">
        <v>387</v>
      </c>
      <c r="I3046" s="143">
        <f>+I3045+(G3046-H3046)</f>
        <v/>
      </c>
      <c r="J3046" s="144" t="n">
        <v>37.051</v>
      </c>
      <c r="K3046" s="145" t="n"/>
      <c r="L3046" s="140">
        <f>+H3046*J3046</f>
        <v/>
      </c>
      <c r="M3046" s="141">
        <f>SUM(M3045+K3046-L3046)</f>
        <v/>
      </c>
    </row>
    <row r="3047">
      <c r="A3047" s="20" t="n">
        <v>45829</v>
      </c>
      <c r="B3047" s="21" t="n">
        <v>62</v>
      </c>
      <c r="C3047" s="22" t="inlineStr">
        <is>
          <t>EVKUR</t>
        </is>
      </c>
      <c r="D3047" s="21" t="inlineStr">
        <is>
          <t>FOKLİFT</t>
        </is>
      </c>
      <c r="E3047" s="21" t="inlineStr">
        <is>
          <t>FAHRİ KALFA</t>
        </is>
      </c>
      <c r="F3047" s="23" t="n"/>
      <c r="G3047" s="138" t="n"/>
      <c r="H3047" s="138" t="n">
        <v>34</v>
      </c>
      <c r="I3047" s="138">
        <f>+I3046+(G3047-H3047)</f>
        <v/>
      </c>
      <c r="J3047" s="139" t="n">
        <v>37.051</v>
      </c>
      <c r="K3047" s="140" t="n"/>
      <c r="L3047" s="140">
        <f>+H3047*J3047</f>
        <v/>
      </c>
      <c r="M3047" s="141">
        <f>SUM(M3046+K3047-L3047)</f>
        <v/>
      </c>
    </row>
    <row r="3048">
      <c r="A3048" s="20" t="n">
        <v>45829</v>
      </c>
      <c r="B3048" s="1" t="n">
        <v>63</v>
      </c>
      <c r="C3048" s="2" t="inlineStr">
        <is>
          <t>VARLIK</t>
        </is>
      </c>
      <c r="D3048" s="1" t="inlineStr">
        <is>
          <t>SM 300</t>
        </is>
      </c>
      <c r="E3048" s="1" t="inlineStr">
        <is>
          <t>TURGUT SANCAK</t>
        </is>
      </c>
      <c r="F3048" s="3" t="n"/>
      <c r="G3048" s="143" t="n"/>
      <c r="H3048" s="143" t="n">
        <v>418</v>
      </c>
      <c r="I3048" s="143">
        <f>+I3047+(G3048-H3048)</f>
        <v/>
      </c>
      <c r="J3048" s="144" t="n">
        <v>37.051</v>
      </c>
      <c r="K3048" s="145" t="n"/>
      <c r="L3048" s="140">
        <f>+H3048*J3048</f>
        <v/>
      </c>
      <c r="M3048" s="141">
        <f>SUM(M3047+K3048-L3048)</f>
        <v/>
      </c>
    </row>
    <row r="3049">
      <c r="A3049" s="20" t="n">
        <v>45829</v>
      </c>
      <c r="B3049" s="1" t="n">
        <v>64</v>
      </c>
      <c r="C3049" s="2" t="inlineStr">
        <is>
          <t>CEVİZ MOBİLYA</t>
        </is>
      </c>
      <c r="D3049" s="1" t="inlineStr">
        <is>
          <t>SM 350</t>
        </is>
      </c>
      <c r="E3049" s="1" t="inlineStr">
        <is>
          <t>TEVFİK ÖZTÜRK</t>
        </is>
      </c>
      <c r="F3049" s="3" t="n"/>
      <c r="G3049" s="143" t="n"/>
      <c r="H3049" s="143" t="n">
        <v>283</v>
      </c>
      <c r="I3049" s="143">
        <f>+I3048+(G3049-H3049)</f>
        <v/>
      </c>
      <c r="J3049" s="144" t="n">
        <v>37.051</v>
      </c>
      <c r="K3049" s="145" t="n"/>
      <c r="L3049" s="140">
        <f>+H3049*J3049</f>
        <v/>
      </c>
      <c r="M3049" s="141">
        <f>SUM(M3048+K3049-L3049)</f>
        <v/>
      </c>
    </row>
    <row r="3050">
      <c r="A3050" s="20" t="n">
        <v>45829</v>
      </c>
      <c r="B3050" s="1" t="n">
        <v>65</v>
      </c>
      <c r="C3050" s="2" t="inlineStr">
        <is>
          <t>CEVİZ MOBİLYA</t>
        </is>
      </c>
      <c r="D3050" s="1" t="inlineStr">
        <is>
          <t>SM 370</t>
        </is>
      </c>
      <c r="E3050" s="1" t="inlineStr">
        <is>
          <t>RAMAZAN KAYA</t>
        </is>
      </c>
      <c r="F3050" s="3" t="n"/>
      <c r="G3050" s="143" t="n"/>
      <c r="H3050" s="143" t="n">
        <v>290</v>
      </c>
      <c r="I3050" s="143">
        <f>+I3049+(G3050-H3050)</f>
        <v/>
      </c>
      <c r="J3050" s="144" t="n">
        <v>37.051</v>
      </c>
      <c r="K3050" s="145" t="n"/>
      <c r="L3050" s="140">
        <f>+H3050*J3050</f>
        <v/>
      </c>
      <c r="M3050" s="141">
        <f>SUM(M3049+K3050-L3050)</f>
        <v/>
      </c>
    </row>
    <row r="3051">
      <c r="A3051" s="20" t="n">
        <v>45829</v>
      </c>
      <c r="B3051" s="21" t="n">
        <v>8867</v>
      </c>
      <c r="C3051" s="22" t="inlineStr">
        <is>
          <t>RECEP SELİM OTO KURTARICI</t>
        </is>
      </c>
      <c r="D3051" s="21" t="inlineStr">
        <is>
          <t>34 GC 8658</t>
        </is>
      </c>
      <c r="E3051" s="21" t="inlineStr">
        <is>
          <t>RECEP SELİM</t>
        </is>
      </c>
      <c r="F3051" s="23" t="n"/>
      <c r="G3051" s="138" t="n"/>
      <c r="H3051" s="138" t="n">
        <v>65</v>
      </c>
      <c r="I3051" s="138">
        <f>+I3050+(G3051-H3051)</f>
        <v/>
      </c>
      <c r="J3051" s="139" t="n">
        <v>37.051</v>
      </c>
      <c r="K3051" s="140" t="n"/>
      <c r="L3051" s="140">
        <f>+H3051*J3051</f>
        <v/>
      </c>
      <c r="M3051" s="141">
        <f>SUM(M3050+K3051-L3051)</f>
        <v/>
      </c>
    </row>
    <row r="3052">
      <c r="A3052" s="20" t="n">
        <v>45829</v>
      </c>
      <c r="B3052" s="21" t="n">
        <v>8868</v>
      </c>
      <c r="C3052" s="22" t="inlineStr">
        <is>
          <t>AHMET SELİM TEMHA</t>
        </is>
      </c>
      <c r="D3052" s="21" t="inlineStr">
        <is>
          <t>34 BP 9369</t>
        </is>
      </c>
      <c r="E3052" s="21" t="inlineStr">
        <is>
          <t>MEHMET KÖSE</t>
        </is>
      </c>
      <c r="F3052" s="23" t="n"/>
      <c r="G3052" s="138" t="n"/>
      <c r="H3052" s="138" t="n">
        <v>85</v>
      </c>
      <c r="I3052" s="138">
        <f>+I3051+(G3052-H3052)</f>
        <v/>
      </c>
      <c r="J3052" s="139" t="n">
        <v>37.051</v>
      </c>
      <c r="K3052" s="140" t="n"/>
      <c r="L3052" s="140">
        <f>+H3052*J3052</f>
        <v/>
      </c>
      <c r="M3052" s="141">
        <f>SUM(M3051+K3052-L3052)</f>
        <v/>
      </c>
    </row>
    <row r="3053">
      <c r="A3053" s="20" t="n">
        <v>45829</v>
      </c>
      <c r="B3053" s="21" t="n">
        <v>6</v>
      </c>
      <c r="C3053" s="22" t="inlineStr">
        <is>
          <t>SELİM İNŞAAT</t>
        </is>
      </c>
      <c r="D3053" s="21" t="inlineStr">
        <is>
          <t>34 FBR 748</t>
        </is>
      </c>
      <c r="E3053" s="21" t="inlineStr">
        <is>
          <t>YAŞAR ÖZKAYA</t>
        </is>
      </c>
      <c r="F3053" s="23" t="n">
        <v>281481</v>
      </c>
      <c r="G3053" s="138" t="n"/>
      <c r="H3053" s="138" t="n">
        <v>518</v>
      </c>
      <c r="I3053" s="138">
        <f>+I3052+(G3053-H3053)</f>
        <v/>
      </c>
      <c r="J3053" s="139" t="n">
        <v>37.051</v>
      </c>
      <c r="K3053" s="140" t="n"/>
      <c r="L3053" s="140">
        <f>+H3053*J3053</f>
        <v/>
      </c>
      <c r="M3053" s="141">
        <f>SUM(M3052+K3053-L3053)</f>
        <v/>
      </c>
    </row>
    <row r="3054">
      <c r="A3054" s="20" t="n">
        <v>45829</v>
      </c>
      <c r="B3054" s="21" t="n">
        <v>15257</v>
      </c>
      <c r="C3054" s="22" t="inlineStr">
        <is>
          <t>SELİM İNŞAAT</t>
        </is>
      </c>
      <c r="D3054" s="21" t="inlineStr">
        <is>
          <t>34 DTV 447</t>
        </is>
      </c>
      <c r="E3054" s="21" t="inlineStr">
        <is>
          <t>EBUBEKİR KOLDAŞ</t>
        </is>
      </c>
      <c r="F3054" s="23" t="n">
        <v>430316</v>
      </c>
      <c r="G3054" s="138" t="n"/>
      <c r="H3054" s="138" t="n">
        <v>421</v>
      </c>
      <c r="I3054" s="138">
        <f>+I3053+(G3054-H3054)</f>
        <v/>
      </c>
      <c r="J3054" s="139" t="n">
        <v>37.051</v>
      </c>
      <c r="K3054" s="140" t="n"/>
      <c r="L3054" s="140">
        <f>+H3054*J3054</f>
        <v/>
      </c>
      <c r="M3054" s="141">
        <f>SUM(M3053+K3054-L3054)</f>
        <v/>
      </c>
    </row>
    <row r="3055">
      <c r="A3055" s="20" t="n">
        <v>45829</v>
      </c>
      <c r="B3055" s="21" t="n">
        <v>14763</v>
      </c>
      <c r="C3055" s="22" t="inlineStr">
        <is>
          <t>SELİM İNŞAAT</t>
        </is>
      </c>
      <c r="D3055" s="21" t="inlineStr">
        <is>
          <t>34 GYZ 635</t>
        </is>
      </c>
      <c r="E3055" s="21" t="inlineStr">
        <is>
          <t>ENGİN DEMİR</t>
        </is>
      </c>
      <c r="F3055" s="23" t="n">
        <v>173788</v>
      </c>
      <c r="G3055" s="138" t="n"/>
      <c r="H3055" s="138" t="n">
        <v>326</v>
      </c>
      <c r="I3055" s="138">
        <f>+I3054+(G3055-H3055)</f>
        <v/>
      </c>
      <c r="J3055" s="139" t="n">
        <v>37.051</v>
      </c>
      <c r="K3055" s="140" t="n"/>
      <c r="L3055" s="140">
        <f>+H3055*J3055</f>
        <v/>
      </c>
      <c r="M3055" s="141">
        <f>SUM(M3054+K3055-L3055)</f>
        <v/>
      </c>
    </row>
    <row r="3056">
      <c r="A3056" s="20" t="n">
        <v>45829</v>
      </c>
      <c r="B3056" s="21" t="n">
        <v>15857</v>
      </c>
      <c r="C3056" s="22" t="inlineStr">
        <is>
          <t>SELİM İNŞAAT</t>
        </is>
      </c>
      <c r="D3056" s="21" t="inlineStr">
        <is>
          <t>34 EDB 754</t>
        </is>
      </c>
      <c r="E3056" s="21" t="inlineStr">
        <is>
          <t>EMİN PARLAKKILIÇ</t>
        </is>
      </c>
      <c r="F3056" s="23" t="n">
        <v>322954</v>
      </c>
      <c r="G3056" s="138" t="n"/>
      <c r="H3056" s="138" t="n">
        <v>431</v>
      </c>
      <c r="I3056" s="138">
        <f>+I3055+(G3056-H3056)</f>
        <v/>
      </c>
      <c r="J3056" s="139" t="n">
        <v>37.051</v>
      </c>
      <c r="K3056" s="140" t="n"/>
      <c r="L3056" s="140">
        <f>+H3056*J3056</f>
        <v/>
      </c>
      <c r="M3056" s="141">
        <f>SUM(M3055+K3056-L3056)</f>
        <v/>
      </c>
    </row>
    <row r="3057">
      <c r="A3057" s="20" t="n">
        <v>45829</v>
      </c>
      <c r="B3057" s="21" t="n">
        <v>14090</v>
      </c>
      <c r="C3057" s="22" t="inlineStr">
        <is>
          <t>SELİM İNŞAAT</t>
        </is>
      </c>
      <c r="D3057" s="21" t="inlineStr">
        <is>
          <t>34 EDB 659</t>
        </is>
      </c>
      <c r="E3057" s="21" t="inlineStr">
        <is>
          <t>MEHMET SAİT ANIK</t>
        </is>
      </c>
      <c r="F3057" s="23" t="n">
        <v>341133</v>
      </c>
      <c r="G3057" s="138" t="n"/>
      <c r="H3057" s="138" t="n">
        <v>269</v>
      </c>
      <c r="I3057" s="138">
        <f>+I3056+(G3057-H3057)</f>
        <v/>
      </c>
      <c r="J3057" s="139" t="n">
        <v>37.051</v>
      </c>
      <c r="K3057" s="140" t="n"/>
      <c r="L3057" s="140">
        <f>+H3057*J3057</f>
        <v/>
      </c>
      <c r="M3057" s="141">
        <f>SUM(M3056+K3057-L3057)</f>
        <v/>
      </c>
    </row>
    <row r="3058">
      <c r="A3058" s="20" t="n">
        <v>45829</v>
      </c>
      <c r="B3058" s="21" t="n">
        <v>11843</v>
      </c>
      <c r="C3058" s="22" t="inlineStr">
        <is>
          <t>SELİM İNŞAAT</t>
        </is>
      </c>
      <c r="D3058" s="21" t="inlineStr">
        <is>
          <t>34 FSG 229</t>
        </is>
      </c>
      <c r="E3058" s="21" t="inlineStr">
        <is>
          <t>SİNAN TANRIVERDİ</t>
        </is>
      </c>
      <c r="F3058" s="23" t="n">
        <v>259222</v>
      </c>
      <c r="G3058" s="138" t="n"/>
      <c r="H3058" s="138" t="n">
        <v>437</v>
      </c>
      <c r="I3058" s="138">
        <f>+I3057+(G3058-H3058)</f>
        <v/>
      </c>
      <c r="J3058" s="139" t="n">
        <v>37.051</v>
      </c>
      <c r="K3058" s="140" t="n"/>
      <c r="L3058" s="140">
        <f>+H3058*J3058</f>
        <v/>
      </c>
      <c r="M3058" s="141">
        <f>SUM(M3057+K3058-L3058)</f>
        <v/>
      </c>
    </row>
    <row r="3059">
      <c r="A3059" s="20" t="n">
        <v>45829</v>
      </c>
      <c r="B3059" s="21" t="n">
        <v>10239</v>
      </c>
      <c r="C3059" s="22" t="inlineStr">
        <is>
          <t>SELİM İNŞAAT</t>
        </is>
      </c>
      <c r="D3059" s="21" t="inlineStr">
        <is>
          <t>34 DSN 621</t>
        </is>
      </c>
      <c r="E3059" s="21" t="inlineStr">
        <is>
          <t>MUSTAFA KAYA</t>
        </is>
      </c>
      <c r="F3059" s="23" t="n">
        <v>411660</v>
      </c>
      <c r="G3059" s="138" t="n"/>
      <c r="H3059" s="138" t="n">
        <v>462</v>
      </c>
      <c r="I3059" s="138">
        <f>+I3058+(G3059-H3059)</f>
        <v/>
      </c>
      <c r="J3059" s="139" t="n">
        <v>37.051</v>
      </c>
      <c r="K3059" s="140" t="n"/>
      <c r="L3059" s="140">
        <f>+H3059*J3059</f>
        <v/>
      </c>
      <c r="M3059" s="141">
        <f>SUM(M3058+K3059-L3059)</f>
        <v/>
      </c>
    </row>
    <row r="3060">
      <c r="A3060" s="20" t="n">
        <v>45829</v>
      </c>
      <c r="B3060" s="21" t="n">
        <v>11229</v>
      </c>
      <c r="C3060" s="22" t="inlineStr">
        <is>
          <t>SELİM İNŞAAT</t>
        </is>
      </c>
      <c r="D3060" s="21" t="inlineStr">
        <is>
          <t>34 DSN 636</t>
        </is>
      </c>
      <c r="E3060" s="21" t="inlineStr">
        <is>
          <t>İLHAN YÜRÜK</t>
        </is>
      </c>
      <c r="F3060" s="23" t="n">
        <v>391072</v>
      </c>
      <c r="G3060" s="138" t="n"/>
      <c r="H3060" s="138" t="n">
        <v>412</v>
      </c>
      <c r="I3060" s="138">
        <f>+I3059+(G3060-H3060)</f>
        <v/>
      </c>
      <c r="J3060" s="139" t="n">
        <v>37.051</v>
      </c>
      <c r="K3060" s="140" t="n"/>
      <c r="L3060" s="140">
        <f>+H3060*J3060</f>
        <v/>
      </c>
      <c r="M3060" s="141">
        <f>SUM(M3059+K3060-L3060)</f>
        <v/>
      </c>
    </row>
    <row r="3061">
      <c r="A3061" s="20" t="n">
        <v>45829</v>
      </c>
      <c r="B3061" s="21" t="n">
        <v>10585</v>
      </c>
      <c r="C3061" s="22" t="inlineStr">
        <is>
          <t>SELİM İNŞAAT</t>
        </is>
      </c>
      <c r="D3061" s="21" t="inlineStr">
        <is>
          <t>34 GU 945</t>
        </is>
      </c>
      <c r="E3061" s="21" t="inlineStr">
        <is>
          <t>ŞERİF KARTAL</t>
        </is>
      </c>
      <c r="F3061" s="23" t="n">
        <v>448631</v>
      </c>
      <c r="G3061" s="138" t="n"/>
      <c r="H3061" s="138" t="n">
        <v>64</v>
      </c>
      <c r="I3061" s="138">
        <f>+I3060+(G3061-H3061)</f>
        <v/>
      </c>
      <c r="J3061" s="139" t="n"/>
      <c r="K3061" s="140" t="n"/>
      <c r="L3061" s="140">
        <f>+H3061*J3061</f>
        <v/>
      </c>
      <c r="M3061" s="141">
        <f>SUM(M3060+K3061-L3061)</f>
        <v/>
      </c>
    </row>
    <row r="3062">
      <c r="A3062" s="20" t="n">
        <v>45830</v>
      </c>
      <c r="B3062" s="21" t="n">
        <v>14742</v>
      </c>
      <c r="C3062" s="22" t="inlineStr">
        <is>
          <t>METİN ERYİĞİT</t>
        </is>
      </c>
      <c r="D3062" s="21" t="inlineStr">
        <is>
          <t>34 GBL 998</t>
        </is>
      </c>
      <c r="E3062" s="21" t="inlineStr">
        <is>
          <t>ALİ KESKİN</t>
        </is>
      </c>
      <c r="F3062" s="23" t="n">
        <v>269960</v>
      </c>
      <c r="G3062" s="138" t="n"/>
      <c r="H3062" s="138" t="n">
        <v>262</v>
      </c>
      <c r="I3062" s="138">
        <f>+I3061+(G3062-H3062)</f>
        <v/>
      </c>
      <c r="J3062" s="139" t="n">
        <v>37.051</v>
      </c>
      <c r="K3062" s="140" t="n"/>
      <c r="L3062" s="140">
        <f>+H3062*J3062</f>
        <v/>
      </c>
      <c r="M3062" s="141">
        <f>SUM(M3061+K3062-L3062)</f>
        <v/>
      </c>
    </row>
    <row r="3063">
      <c r="A3063" s="20" t="n">
        <v>45830</v>
      </c>
      <c r="B3063" s="21" t="n">
        <v>66</v>
      </c>
      <c r="C3063" s="22" t="inlineStr">
        <is>
          <t>EVKUR</t>
        </is>
      </c>
      <c r="D3063" s="21" t="inlineStr">
        <is>
          <t>MANİTO</t>
        </is>
      </c>
      <c r="E3063" s="21" t="inlineStr">
        <is>
          <t>FAHRİ KALFA</t>
        </is>
      </c>
      <c r="F3063" s="23" t="n"/>
      <c r="G3063" s="138" t="n"/>
      <c r="H3063" s="138" t="n">
        <v>92</v>
      </c>
      <c r="I3063" s="138">
        <f>+I3062+(G3063-H3063)</f>
        <v/>
      </c>
      <c r="J3063" s="139" t="n">
        <v>37.051</v>
      </c>
      <c r="K3063" s="140" t="n"/>
      <c r="L3063" s="140">
        <f>+H3063*J3063</f>
        <v/>
      </c>
      <c r="M3063" s="141">
        <f>SUM(M3062+K3063-L3063)</f>
        <v/>
      </c>
    </row>
    <row r="3064">
      <c r="A3064" s="20" t="n">
        <v>45830</v>
      </c>
      <c r="B3064" s="1" t="n">
        <v>67</v>
      </c>
      <c r="C3064" s="2" t="inlineStr">
        <is>
          <t>VARLIK</t>
        </is>
      </c>
      <c r="D3064" s="1" t="inlineStr">
        <is>
          <t xml:space="preserve">SM 350 </t>
        </is>
      </c>
      <c r="E3064" s="1" t="inlineStr">
        <is>
          <t>BAYRAM SANCAK</t>
        </is>
      </c>
      <c r="F3064" s="3" t="n"/>
      <c r="G3064" s="143" t="n"/>
      <c r="H3064" s="143" t="n">
        <v>489</v>
      </c>
      <c r="I3064" s="143">
        <f>+I3063+(G3064-H3064)</f>
        <v/>
      </c>
      <c r="J3064" s="144" t="n">
        <v>37.051</v>
      </c>
      <c r="K3064" s="145" t="n"/>
      <c r="L3064" s="140">
        <f>+H3064*J3064</f>
        <v/>
      </c>
      <c r="M3064" s="141">
        <f>SUM(M3063+K3064-L3064)</f>
        <v/>
      </c>
    </row>
    <row r="3065">
      <c r="A3065" s="20" t="n">
        <v>45830</v>
      </c>
      <c r="B3065" s="21" t="n">
        <v>68</v>
      </c>
      <c r="C3065" s="22" t="inlineStr">
        <is>
          <t>EVKUR</t>
        </is>
      </c>
      <c r="D3065" s="21" t="inlineStr">
        <is>
          <t>FOKLİFT</t>
        </is>
      </c>
      <c r="E3065" s="21" t="inlineStr">
        <is>
          <t>FAHRİ KALFA</t>
        </is>
      </c>
      <c r="F3065" s="23" t="n"/>
      <c r="G3065" s="138" t="n"/>
      <c r="H3065" s="138" t="n">
        <v>55</v>
      </c>
      <c r="I3065" s="138">
        <f>+I3064+(G3065-H3065)</f>
        <v/>
      </c>
      <c r="J3065" s="139" t="n">
        <v>37.051</v>
      </c>
      <c r="K3065" s="140" t="n"/>
      <c r="L3065" s="140">
        <f>+H3065*J3065</f>
        <v/>
      </c>
      <c r="M3065" s="141">
        <f>SUM(M3064+K3065-L3065)</f>
        <v/>
      </c>
    </row>
    <row r="3066">
      <c r="A3066" s="20" t="n">
        <v>45830</v>
      </c>
      <c r="B3066" s="21" t="n">
        <v>8869</v>
      </c>
      <c r="C3066" s="22" t="inlineStr">
        <is>
          <t>MAHMUT VİNÇ</t>
        </is>
      </c>
      <c r="D3066" s="21" t="inlineStr">
        <is>
          <t>34 AH 5401</t>
        </is>
      </c>
      <c r="E3066" s="21" t="inlineStr">
        <is>
          <t>MAHMUT YAKUPOĞLU</t>
        </is>
      </c>
      <c r="F3066" s="23" t="n"/>
      <c r="G3066" s="138" t="n"/>
      <c r="H3066" s="138" t="n">
        <v>133</v>
      </c>
      <c r="I3066" s="138">
        <f>+I3065+(G3066-H3066)</f>
        <v/>
      </c>
      <c r="J3066" s="139" t="n">
        <v>37.051</v>
      </c>
      <c r="K3066" s="140" t="n"/>
      <c r="L3066" s="140">
        <f>+H3066*J3066</f>
        <v/>
      </c>
      <c r="M3066" s="141">
        <f>SUM(M3065+K3066-L3066)</f>
        <v/>
      </c>
    </row>
    <row r="3067">
      <c r="A3067" s="20" t="n">
        <v>45831</v>
      </c>
      <c r="B3067" s="21" t="n">
        <v>154</v>
      </c>
      <c r="C3067" s="22" t="inlineStr">
        <is>
          <t>SELİM İNŞAAT</t>
        </is>
      </c>
      <c r="D3067" s="21" t="inlineStr">
        <is>
          <t>34 TG 7869</t>
        </is>
      </c>
      <c r="E3067" s="21" t="inlineStr">
        <is>
          <t>GÖRKEM KARAYEL</t>
        </is>
      </c>
      <c r="F3067" s="23" t="n">
        <v>183681</v>
      </c>
      <c r="G3067" s="138" t="n"/>
      <c r="H3067" s="138" t="n">
        <v>195</v>
      </c>
      <c r="I3067" s="138">
        <f>+I3066+(G3067-H3067)</f>
        <v/>
      </c>
      <c r="J3067" s="139" t="n">
        <v>37.051</v>
      </c>
      <c r="K3067" s="140" t="n"/>
      <c r="L3067" s="140">
        <f>+H3067*J3067</f>
        <v/>
      </c>
      <c r="M3067" s="141">
        <f>SUM(M3066+K3067-L3067)</f>
        <v/>
      </c>
    </row>
    <row r="3068">
      <c r="A3068" s="20" t="n">
        <v>45831</v>
      </c>
      <c r="B3068" s="21" t="n">
        <v>14534</v>
      </c>
      <c r="C3068" s="22" t="inlineStr">
        <is>
          <t>SELİM İNŞAAT</t>
        </is>
      </c>
      <c r="D3068" s="21" t="inlineStr">
        <is>
          <t>34 GER 028</t>
        </is>
      </c>
      <c r="E3068" s="21" t="inlineStr">
        <is>
          <t>A.KERİM ERGEN</t>
        </is>
      </c>
      <c r="F3068" s="23" t="n">
        <v>45332</v>
      </c>
      <c r="G3068" s="138" t="n"/>
      <c r="H3068" s="138" t="n">
        <v>238</v>
      </c>
      <c r="I3068" s="138">
        <f>+I3067+(G3068-H3068)</f>
        <v/>
      </c>
      <c r="J3068" s="139" t="n">
        <v>37.051</v>
      </c>
      <c r="K3068" s="140" t="n"/>
      <c r="L3068" s="140">
        <f>+H3068*J3068</f>
        <v/>
      </c>
      <c r="M3068" s="141">
        <f>SUM(M3067+K3068-L3068)</f>
        <v/>
      </c>
    </row>
    <row r="3069" ht="17.25" customHeight="1">
      <c r="A3069" s="20" t="n">
        <v>45831</v>
      </c>
      <c r="B3069" s="21" t="n">
        <v>15161</v>
      </c>
      <c r="C3069" s="22" t="inlineStr">
        <is>
          <t>SELİM İNŞAAT</t>
        </is>
      </c>
      <c r="D3069" s="21" t="inlineStr">
        <is>
          <t>34 DP 4161</t>
        </is>
      </c>
      <c r="E3069" s="21" t="inlineStr">
        <is>
          <t>RIFAT KARATAY</t>
        </is>
      </c>
      <c r="F3069" s="23" t="n">
        <v>287454</v>
      </c>
      <c r="G3069" s="138" t="n"/>
      <c r="H3069" s="138" t="n">
        <v>161</v>
      </c>
      <c r="I3069" s="138">
        <f>+I3068+(G3069-H3069)</f>
        <v/>
      </c>
      <c r="J3069" s="139" t="n">
        <v>37.051</v>
      </c>
      <c r="K3069" s="140" t="n"/>
      <c r="L3069" s="140">
        <f>+H3069*J3069</f>
        <v/>
      </c>
      <c r="M3069" s="141">
        <f>SUM(M3068+K3069-L3069)</f>
        <v/>
      </c>
    </row>
    <row r="3070">
      <c r="A3070" s="20" t="n">
        <v>45831</v>
      </c>
      <c r="B3070" s="21" t="n">
        <v>14385</v>
      </c>
      <c r="C3070" s="22" t="inlineStr">
        <is>
          <t>SELİM İNŞAAT</t>
        </is>
      </c>
      <c r="D3070" s="21" t="inlineStr">
        <is>
          <t>34 DKL 798</t>
        </is>
      </c>
      <c r="E3070" s="21" t="inlineStr">
        <is>
          <t>VOLKAN YANAR</t>
        </is>
      </c>
      <c r="F3070" s="23" t="n">
        <v>66652</v>
      </c>
      <c r="G3070" s="138" t="n"/>
      <c r="H3070" s="138" t="n">
        <v>199</v>
      </c>
      <c r="I3070" s="138">
        <f>+I3069+(G3070-H3070)</f>
        <v/>
      </c>
      <c r="J3070" s="139" t="n">
        <v>37.051</v>
      </c>
      <c r="K3070" s="140" t="n"/>
      <c r="L3070" s="140">
        <f>+H3070*J3070</f>
        <v/>
      </c>
      <c r="M3070" s="141">
        <f>SUM(M3069+K3070-L3070)</f>
        <v/>
      </c>
    </row>
    <row r="3071">
      <c r="A3071" s="20" t="n">
        <v>45831</v>
      </c>
      <c r="B3071" s="21" t="n">
        <v>15921</v>
      </c>
      <c r="C3071" s="22" t="inlineStr">
        <is>
          <t>SELİM İNŞAAT</t>
        </is>
      </c>
      <c r="D3071" s="21" t="inlineStr">
        <is>
          <t>34 DFE 454</t>
        </is>
      </c>
      <c r="E3071" s="21" t="inlineStr">
        <is>
          <t>METİN KALKAN</t>
        </is>
      </c>
      <c r="F3071" s="23" t="n">
        <v>160147</v>
      </c>
      <c r="G3071" s="138" t="n"/>
      <c r="H3071" s="138" t="n">
        <v>210</v>
      </c>
      <c r="I3071" s="138">
        <f>+I3070+(G3071-H3071)</f>
        <v/>
      </c>
      <c r="J3071" s="139" t="n">
        <v>37.051</v>
      </c>
      <c r="K3071" s="140" t="n"/>
      <c r="L3071" s="140">
        <f>+H3071*J3071</f>
        <v/>
      </c>
      <c r="M3071" s="141">
        <f>SUM(M3070+K3071-L3071)</f>
        <v/>
      </c>
    </row>
    <row r="3072">
      <c r="A3072" s="20" t="n">
        <v>45831</v>
      </c>
      <c r="B3072" s="21" t="n">
        <v>14640</v>
      </c>
      <c r="C3072" s="22" t="inlineStr">
        <is>
          <t>SELİM İNŞAAT</t>
        </is>
      </c>
      <c r="D3072" s="21" t="inlineStr">
        <is>
          <t>34 GER 445</t>
        </is>
      </c>
      <c r="E3072" s="21" t="inlineStr">
        <is>
          <t>HASAN BAYCAN</t>
        </is>
      </c>
      <c r="F3072" s="23" t="n">
        <v>43639</v>
      </c>
      <c r="G3072" s="138" t="n"/>
      <c r="H3072" s="138" t="n">
        <v>164</v>
      </c>
      <c r="I3072" s="138">
        <f>+I3071+(G3072-H3072)</f>
        <v/>
      </c>
      <c r="J3072" s="139" t="n">
        <v>37.051</v>
      </c>
      <c r="K3072" s="140" t="n"/>
      <c r="L3072" s="140">
        <f>+H3072*J3072</f>
        <v/>
      </c>
      <c r="M3072" s="141">
        <f>SUM(M3071+K3072-L3072)</f>
        <v/>
      </c>
    </row>
    <row r="3073">
      <c r="A3073" s="20" t="n">
        <v>45831</v>
      </c>
      <c r="B3073" s="21" t="n">
        <v>14344</v>
      </c>
      <c r="C3073" s="22" t="inlineStr">
        <is>
          <t>SELİM İNŞAAT</t>
        </is>
      </c>
      <c r="D3073" s="21" t="inlineStr">
        <is>
          <t>34 DKL 866</t>
        </is>
      </c>
      <c r="E3073" s="21" t="inlineStr">
        <is>
          <t>SELİM CAN ÖNVER</t>
        </is>
      </c>
      <c r="F3073" s="23" t="n">
        <v>66537</v>
      </c>
      <c r="G3073" s="138" t="n"/>
      <c r="H3073" s="138" t="n">
        <v>167</v>
      </c>
      <c r="I3073" s="138">
        <f>+I3072+(G3073-H3073)</f>
        <v/>
      </c>
      <c r="J3073" s="139" t="n">
        <v>37.051</v>
      </c>
      <c r="K3073" s="140" t="n"/>
      <c r="L3073" s="140">
        <f>+H3073*J3073</f>
        <v/>
      </c>
      <c r="M3073" s="141">
        <f>SUM(M3072+K3073-L3073)</f>
        <v/>
      </c>
    </row>
    <row r="3074">
      <c r="A3074" s="20" t="n">
        <v>45831</v>
      </c>
      <c r="B3074" s="21" t="n">
        <v>21331</v>
      </c>
      <c r="C3074" s="22" t="inlineStr">
        <is>
          <t>SELİM İNŞAAT</t>
        </is>
      </c>
      <c r="D3074" s="21" t="inlineStr">
        <is>
          <t>34 FEM 934</t>
        </is>
      </c>
      <c r="E3074" s="21" t="inlineStr">
        <is>
          <t>ÖNER DÜNDAR</t>
        </is>
      </c>
      <c r="F3074" s="23" t="n">
        <v>311167</v>
      </c>
      <c r="G3074" s="138" t="n"/>
      <c r="H3074" s="138" t="n">
        <v>74</v>
      </c>
      <c r="I3074" s="138">
        <f>+I3073+(G3074-H3074)</f>
        <v/>
      </c>
      <c r="J3074" s="139" t="n">
        <v>37.051</v>
      </c>
      <c r="K3074" s="140" t="n"/>
      <c r="L3074" s="140">
        <f>+H3074*J3074</f>
        <v/>
      </c>
      <c r="M3074" s="141">
        <f>SUM(M3073+K3074-L3074)</f>
        <v/>
      </c>
    </row>
    <row r="3075">
      <c r="A3075" s="20" t="n">
        <v>45831</v>
      </c>
      <c r="B3075" s="21" t="n">
        <v>15612</v>
      </c>
      <c r="C3075" s="22" t="inlineStr">
        <is>
          <t>METİN ERYİĞİT</t>
        </is>
      </c>
      <c r="D3075" s="21" t="inlineStr">
        <is>
          <t>34 EGS 013</t>
        </is>
      </c>
      <c r="E3075" s="21" t="inlineStr">
        <is>
          <t xml:space="preserve">UĞUR DUMAN </t>
        </is>
      </c>
      <c r="F3075" s="23" t="n">
        <v>490434</v>
      </c>
      <c r="G3075" s="138" t="n"/>
      <c r="H3075" s="138" t="n">
        <v>391</v>
      </c>
      <c r="I3075" s="138">
        <f>+I3074+(G3075-H3075)</f>
        <v/>
      </c>
      <c r="J3075" s="139" t="n">
        <v>37.051</v>
      </c>
      <c r="K3075" s="140" t="n"/>
      <c r="L3075" s="140">
        <f>+H3075*J3075</f>
        <v/>
      </c>
      <c r="M3075" s="141">
        <f>SUM(M3074+K3075-L3075)</f>
        <v/>
      </c>
    </row>
    <row r="3076">
      <c r="A3076" s="20" t="n">
        <v>45831</v>
      </c>
      <c r="B3076" s="21" t="n">
        <v>14743</v>
      </c>
      <c r="C3076" s="22" t="inlineStr">
        <is>
          <t>METİN ERYİĞİT</t>
        </is>
      </c>
      <c r="D3076" s="21" t="inlineStr">
        <is>
          <t>34 GBL 998</t>
        </is>
      </c>
      <c r="E3076" s="21" t="inlineStr">
        <is>
          <t>ALİ KESKİN</t>
        </is>
      </c>
      <c r="F3076" s="23" t="n">
        <v>270514</v>
      </c>
      <c r="G3076" s="138" t="n"/>
      <c r="H3076" s="138" t="n">
        <v>323</v>
      </c>
      <c r="I3076" s="138">
        <f>+I3075+(G3076-H3076)</f>
        <v/>
      </c>
      <c r="J3076" s="139" t="n">
        <v>37.051</v>
      </c>
      <c r="K3076" s="140" t="n"/>
      <c r="L3076" s="140">
        <f>+H3076*J3076</f>
        <v/>
      </c>
      <c r="M3076" s="141">
        <f>SUM(M3075+K3076-L3076)</f>
        <v/>
      </c>
    </row>
    <row r="3077">
      <c r="A3077" s="20" t="n">
        <v>45831</v>
      </c>
      <c r="B3077" s="21" t="n">
        <v>14041</v>
      </c>
      <c r="C3077" s="22" t="inlineStr">
        <is>
          <t>SELİM İNŞAAT</t>
        </is>
      </c>
      <c r="D3077" s="21" t="inlineStr">
        <is>
          <t>34 GVZ 310</t>
        </is>
      </c>
      <c r="E3077" s="21" t="inlineStr">
        <is>
          <t>CELAL YÜZBAŞI</t>
        </is>
      </c>
      <c r="F3077" s="23" t="n">
        <v>199388</v>
      </c>
      <c r="G3077" s="138" t="n"/>
      <c r="H3077" s="138" t="n">
        <v>266</v>
      </c>
      <c r="I3077" s="138">
        <f>+I3076+(G3077-H3077)</f>
        <v/>
      </c>
      <c r="J3077" s="139" t="n">
        <v>37.051</v>
      </c>
      <c r="K3077" s="140" t="n"/>
      <c r="L3077" s="140">
        <f>+H3077*J3077</f>
        <v/>
      </c>
      <c r="M3077" s="141">
        <f>SUM(M3076+K3077-L3077)</f>
        <v/>
      </c>
    </row>
    <row r="3078">
      <c r="A3078" s="20" t="n">
        <v>45831</v>
      </c>
      <c r="B3078" s="21" t="n">
        <v>103</v>
      </c>
      <c r="C3078" s="22" t="inlineStr">
        <is>
          <t>SELİM İNŞAAT</t>
        </is>
      </c>
      <c r="D3078" s="21" t="inlineStr">
        <is>
          <t>34 FBR 771</t>
        </is>
      </c>
      <c r="E3078" s="21" t="inlineStr">
        <is>
          <t>HÜSEYİN AKÇİN</t>
        </is>
      </c>
      <c r="F3078" s="23" t="n">
        <v>320410</v>
      </c>
      <c r="G3078" s="138" t="n"/>
      <c r="H3078" s="138" t="n">
        <v>193</v>
      </c>
      <c r="I3078" s="138">
        <f>+I3077+(G3078-H3078)</f>
        <v/>
      </c>
      <c r="J3078" s="139" t="n">
        <v>37.051</v>
      </c>
      <c r="K3078" s="140" t="n"/>
      <c r="L3078" s="140">
        <f>+H3078*J3078</f>
        <v/>
      </c>
      <c r="M3078" s="141">
        <f>SUM(M3077+K3078-L3078)</f>
        <v/>
      </c>
    </row>
    <row r="3079">
      <c r="A3079" s="20" t="n">
        <v>45831</v>
      </c>
      <c r="B3079" s="21" t="n">
        <v>14432</v>
      </c>
      <c r="C3079" s="22" t="inlineStr">
        <is>
          <t>SELİM İNŞAAT</t>
        </is>
      </c>
      <c r="D3079" s="21" t="inlineStr">
        <is>
          <t xml:space="preserve"> 34 EGR 737</t>
        </is>
      </c>
      <c r="E3079" s="21" t="inlineStr">
        <is>
          <t>CEM MUHTAR</t>
        </is>
      </c>
      <c r="F3079" s="23" t="n">
        <v>415200</v>
      </c>
      <c r="G3079" s="138" t="n"/>
      <c r="H3079" s="138" t="n">
        <v>389</v>
      </c>
      <c r="I3079" s="138">
        <f>+I3078+(G3079-H3079)</f>
        <v/>
      </c>
      <c r="J3079" s="139" t="n">
        <v>37.051</v>
      </c>
      <c r="K3079" s="140" t="n"/>
      <c r="L3079" s="140">
        <f>+H3079*J3079</f>
        <v/>
      </c>
      <c r="M3079" s="141">
        <f>SUM(M3078+K3079-L3079)</f>
        <v/>
      </c>
    </row>
    <row r="3080">
      <c r="A3080" s="20" t="n">
        <v>45831</v>
      </c>
      <c r="B3080" s="1" t="n">
        <v>69</v>
      </c>
      <c r="C3080" s="2" t="inlineStr">
        <is>
          <t>VARLIK</t>
        </is>
      </c>
      <c r="D3080" s="1" t="inlineStr">
        <is>
          <t>KAVAZAKİ</t>
        </is>
      </c>
      <c r="E3080" s="1" t="inlineStr">
        <is>
          <t>RAMAZAN KAYA</t>
        </is>
      </c>
      <c r="F3080" s="3" t="n"/>
      <c r="G3080" s="143" t="n"/>
      <c r="H3080" s="143" t="n">
        <v>267</v>
      </c>
      <c r="I3080" s="143">
        <f>+I3079+(G3080-H3080)</f>
        <v/>
      </c>
      <c r="J3080" s="144" t="n">
        <v>37.051</v>
      </c>
      <c r="K3080" s="145" t="n"/>
      <c r="L3080" s="140">
        <f>+H3080*J3080</f>
        <v/>
      </c>
      <c r="M3080" s="141">
        <f>SUM(M3079+K3080-L3080)</f>
        <v/>
      </c>
    </row>
    <row r="3081">
      <c r="A3081" s="20" t="n">
        <v>45831</v>
      </c>
      <c r="B3081" s="1" t="n">
        <v>70</v>
      </c>
      <c r="C3081" s="2" t="inlineStr">
        <is>
          <t>VARLIK</t>
        </is>
      </c>
      <c r="D3081" s="1" t="inlineStr">
        <is>
          <t>SM 350</t>
        </is>
      </c>
      <c r="E3081" s="1" t="inlineStr">
        <is>
          <t>BAYRAM SANCAK</t>
        </is>
      </c>
      <c r="F3081" s="3" t="n"/>
      <c r="G3081" s="143" t="n"/>
      <c r="H3081" s="143" t="n">
        <v>256</v>
      </c>
      <c r="I3081" s="143">
        <f>+I3080+(G3081-H3081)</f>
        <v/>
      </c>
      <c r="J3081" s="144" t="n">
        <v>37.051</v>
      </c>
      <c r="K3081" s="145" t="n"/>
      <c r="L3081" s="140">
        <f>+H3081*J3081</f>
        <v/>
      </c>
      <c r="M3081" s="141">
        <f>SUM(M3080+K3081-L3081)</f>
        <v/>
      </c>
    </row>
    <row r="3082">
      <c r="A3082" s="20" t="n">
        <v>45831</v>
      </c>
      <c r="B3082" s="1" t="n">
        <v>71</v>
      </c>
      <c r="C3082" s="2" t="inlineStr">
        <is>
          <t>CEVİZ MOBİLYA</t>
        </is>
      </c>
      <c r="D3082" s="1" t="inlineStr">
        <is>
          <t>SM 350</t>
        </is>
      </c>
      <c r="E3082" s="1" t="inlineStr">
        <is>
          <t>TEVFİK ÖZTÜRK</t>
        </is>
      </c>
      <c r="F3082" s="3" t="n"/>
      <c r="G3082" s="143" t="n"/>
      <c r="H3082" s="143" t="n">
        <v>409</v>
      </c>
      <c r="I3082" s="143">
        <f>+I3081+(G3082-H3082)</f>
        <v/>
      </c>
      <c r="J3082" s="144" t="n">
        <v>37.051</v>
      </c>
      <c r="K3082" s="145" t="n"/>
      <c r="L3082" s="140">
        <f>+H3082*J3082</f>
        <v/>
      </c>
      <c r="M3082" s="141">
        <f>SUM(M3081+K3082-L3082)</f>
        <v/>
      </c>
    </row>
    <row r="3083">
      <c r="A3083" s="20" t="n">
        <v>45831</v>
      </c>
      <c r="B3083" s="21" t="n">
        <v>14239</v>
      </c>
      <c r="C3083" s="22" t="inlineStr">
        <is>
          <t>SELİM İNŞAAT</t>
        </is>
      </c>
      <c r="D3083" s="21" t="inlineStr">
        <is>
          <t xml:space="preserve">34 GUS 938 </t>
        </is>
      </c>
      <c r="E3083" s="21" t="inlineStr">
        <is>
          <t>MEHMET KAYA</t>
        </is>
      </c>
      <c r="F3083" s="23" t="n">
        <v>188158</v>
      </c>
      <c r="G3083" s="138" t="n"/>
      <c r="H3083" s="138" t="n">
        <v>535</v>
      </c>
      <c r="I3083" s="138">
        <f>+I3082+(G3083-H3083)</f>
        <v/>
      </c>
      <c r="J3083" s="139" t="n">
        <v>37.051</v>
      </c>
      <c r="K3083" s="140" t="n"/>
      <c r="L3083" s="140">
        <f>+H3083*J3083</f>
        <v/>
      </c>
      <c r="M3083" s="141">
        <f>SUM(M3082+K3083-L3083)</f>
        <v/>
      </c>
    </row>
    <row r="3084">
      <c r="A3084" s="20" t="n">
        <v>45831</v>
      </c>
      <c r="B3084" s="21" t="n">
        <v>10397</v>
      </c>
      <c r="C3084" s="22" t="inlineStr">
        <is>
          <t>SELİM İNŞAAT</t>
        </is>
      </c>
      <c r="D3084" s="21" t="inlineStr">
        <is>
          <t>34 DRU 690</t>
        </is>
      </c>
      <c r="E3084" s="21" t="inlineStr">
        <is>
          <t>MURAT DEMİRBAŞ</t>
        </is>
      </c>
      <c r="F3084" s="23" t="n">
        <v>416850</v>
      </c>
      <c r="G3084" s="138" t="n"/>
      <c r="H3084" s="138" t="n">
        <v>190</v>
      </c>
      <c r="I3084" s="138">
        <f>+I3083+(G3084-H3084)</f>
        <v/>
      </c>
      <c r="J3084" s="139" t="n">
        <v>37.051</v>
      </c>
      <c r="K3084" s="140" t="n"/>
      <c r="L3084" s="140">
        <f>+H3084*J3084</f>
        <v/>
      </c>
      <c r="M3084" s="141">
        <f>SUM(M3083+K3084-L3084)</f>
        <v/>
      </c>
    </row>
    <row r="3085">
      <c r="A3085" s="20" t="n">
        <v>45831</v>
      </c>
      <c r="B3085" s="21" t="n">
        <v>15356</v>
      </c>
      <c r="C3085" s="22" t="inlineStr">
        <is>
          <t>SELİM İNŞAAT</t>
        </is>
      </c>
      <c r="D3085" s="21" t="inlineStr">
        <is>
          <t>34 DTV 409</t>
        </is>
      </c>
      <c r="E3085" s="21" t="inlineStr">
        <is>
          <t>ONUR CANLI</t>
        </is>
      </c>
      <c r="F3085" s="23" t="n">
        <v>418386</v>
      </c>
      <c r="G3085" s="138" t="n"/>
      <c r="H3085" s="138" t="n">
        <v>495</v>
      </c>
      <c r="I3085" s="138">
        <f>+I3084+(G3085-H3085)</f>
        <v/>
      </c>
      <c r="J3085" s="139" t="n">
        <v>37.051</v>
      </c>
      <c r="K3085" s="140" t="n"/>
      <c r="L3085" s="140">
        <f>+H3085*J3085</f>
        <v/>
      </c>
      <c r="M3085" s="141">
        <f>SUM(M3084+K3085-L3085)</f>
        <v/>
      </c>
    </row>
    <row r="3086">
      <c r="A3086" s="20" t="n">
        <v>45831</v>
      </c>
      <c r="B3086" s="21" t="n">
        <v>11650</v>
      </c>
      <c r="C3086" s="22" t="inlineStr">
        <is>
          <t>SELİM İNŞAAT</t>
        </is>
      </c>
      <c r="D3086" s="21" t="inlineStr">
        <is>
          <t>34 DTV 352</t>
        </is>
      </c>
      <c r="E3086" s="21" t="inlineStr">
        <is>
          <t>RASİM BARTU</t>
        </is>
      </c>
      <c r="F3086" s="23" t="n">
        <v>434338</v>
      </c>
      <c r="G3086" s="138" t="n"/>
      <c r="H3086" s="138" t="n">
        <v>479</v>
      </c>
      <c r="I3086" s="138">
        <f>+I3085+(G3086-H3086)</f>
        <v/>
      </c>
      <c r="J3086" s="139" t="n">
        <v>37.051</v>
      </c>
      <c r="K3086" s="140" t="n"/>
      <c r="L3086" s="140">
        <f>+H3086*J3086</f>
        <v/>
      </c>
      <c r="M3086" s="141">
        <f>SUM(M3085+K3086-L3086)</f>
        <v/>
      </c>
    </row>
    <row r="3087">
      <c r="A3087" s="20" t="n">
        <v>45831</v>
      </c>
      <c r="B3087" s="21" t="n">
        <v>10513</v>
      </c>
      <c r="C3087" s="22" t="inlineStr">
        <is>
          <t>SELİM İNŞAAT</t>
        </is>
      </c>
      <c r="D3087" s="21" t="inlineStr">
        <is>
          <t>34 DTV 599</t>
        </is>
      </c>
      <c r="E3087" s="21" t="inlineStr">
        <is>
          <t>FERHAT GÜRLER</t>
        </is>
      </c>
      <c r="F3087" s="23" t="n">
        <v>432963</v>
      </c>
      <c r="G3087" s="138" t="n"/>
      <c r="H3087" s="138" t="n">
        <v>427</v>
      </c>
      <c r="I3087" s="138">
        <f>+I3086+(G3087-H3087)</f>
        <v/>
      </c>
      <c r="J3087" s="139" t="n">
        <v>37.051</v>
      </c>
      <c r="K3087" s="140" t="n"/>
      <c r="L3087" s="140">
        <f>+H3087*J3087</f>
        <v/>
      </c>
      <c r="M3087" s="141">
        <f>SUM(M3086+K3087-L3087)</f>
        <v/>
      </c>
    </row>
    <row r="3088">
      <c r="A3088" s="20" t="n">
        <v>45831</v>
      </c>
      <c r="B3088" s="21" t="n">
        <v>15570</v>
      </c>
      <c r="C3088" s="22" t="inlineStr">
        <is>
          <t>SELİM İNŞAAT</t>
        </is>
      </c>
      <c r="D3088" s="21" t="inlineStr">
        <is>
          <t>34 GVZ 745</t>
        </is>
      </c>
      <c r="E3088" s="21" t="inlineStr">
        <is>
          <t>MUHAMMED YİĞİT</t>
        </is>
      </c>
      <c r="F3088" s="23" t="n">
        <v>187016</v>
      </c>
      <c r="G3088" s="138" t="n"/>
      <c r="H3088" s="138" t="n">
        <v>387</v>
      </c>
      <c r="I3088" s="138">
        <f>+I3087+(G3088-H3088)</f>
        <v/>
      </c>
      <c r="J3088" s="139" t="n">
        <v>37.051</v>
      </c>
      <c r="K3088" s="140" t="n"/>
      <c r="L3088" s="140">
        <f>+H3088*J3088</f>
        <v/>
      </c>
      <c r="M3088" s="141">
        <f>SUM(M3087+K3088-L3088)</f>
        <v/>
      </c>
    </row>
    <row r="3089">
      <c r="A3089" s="20" t="n">
        <v>45831</v>
      </c>
      <c r="B3089" s="21" t="n">
        <v>15960</v>
      </c>
      <c r="C3089" s="22" t="inlineStr">
        <is>
          <t>SELİM İNŞAAT</t>
        </is>
      </c>
      <c r="D3089" s="21" t="inlineStr">
        <is>
          <t>34 FBR 781</t>
        </is>
      </c>
      <c r="E3089" s="21" t="inlineStr">
        <is>
          <t>MEVLÜT POLAT</t>
        </is>
      </c>
      <c r="F3089" s="23" t="n">
        <v>304797</v>
      </c>
      <c r="G3089" s="138" t="n"/>
      <c r="H3089" s="138" t="n">
        <v>267</v>
      </c>
      <c r="I3089" s="138">
        <f>+I3088+(G3089-H3089)</f>
        <v/>
      </c>
      <c r="J3089" s="139" t="n">
        <v>37.051</v>
      </c>
      <c r="K3089" s="140" t="n"/>
      <c r="L3089" s="140">
        <f>+H3089*J3089</f>
        <v/>
      </c>
      <c r="M3089" s="141">
        <f>SUM(M3088+K3089-L3089)</f>
        <v/>
      </c>
    </row>
    <row r="3090">
      <c r="A3090" s="20" t="n">
        <v>45831</v>
      </c>
      <c r="B3090" s="21" t="n">
        <v>11230</v>
      </c>
      <c r="C3090" s="22" t="inlineStr">
        <is>
          <t>SELİM İNŞAAT</t>
        </is>
      </c>
      <c r="D3090" s="21" t="inlineStr">
        <is>
          <t>34 DSN 636</t>
        </is>
      </c>
      <c r="E3090" s="21" t="inlineStr">
        <is>
          <t>İLHAN YÜRÜK</t>
        </is>
      </c>
      <c r="F3090" s="23" t="n">
        <v>391796</v>
      </c>
      <c r="G3090" s="138" t="n"/>
      <c r="H3090" s="138" t="n">
        <v>356</v>
      </c>
      <c r="I3090" s="138">
        <f>+I3089+(G3090-H3090)</f>
        <v/>
      </c>
      <c r="J3090" s="139" t="n">
        <v>37.051</v>
      </c>
      <c r="K3090" s="140" t="n"/>
      <c r="L3090" s="140">
        <f>+H3090*J3090</f>
        <v/>
      </c>
      <c r="M3090" s="141">
        <f>SUM(M3089+K3090-L3090)</f>
        <v/>
      </c>
    </row>
    <row r="3091">
      <c r="A3091" s="20" t="n">
        <v>45832</v>
      </c>
      <c r="B3091" s="21" t="n">
        <v>10398</v>
      </c>
      <c r="C3091" s="22" t="inlineStr">
        <is>
          <t>SELİM İNŞAAT</t>
        </is>
      </c>
      <c r="D3091" s="21" t="inlineStr">
        <is>
          <t>34 DRU 690</t>
        </is>
      </c>
      <c r="E3091" s="21" t="inlineStr">
        <is>
          <t>MURAT DEMİRBAŞ</t>
        </is>
      </c>
      <c r="F3091" s="23" t="n">
        <v>417230</v>
      </c>
      <c r="G3091" s="138" t="n"/>
      <c r="H3091" s="138" t="n">
        <v>454</v>
      </c>
      <c r="I3091" s="138">
        <f>+I3090+(G3091-H3091)</f>
        <v/>
      </c>
      <c r="J3091" s="139" t="n">
        <v>37.051</v>
      </c>
      <c r="K3091" s="140" t="n"/>
      <c r="L3091" s="140">
        <f>+H3091*J3091</f>
        <v/>
      </c>
      <c r="M3091" s="141">
        <f>SUM(M3090+K3091-L3091)</f>
        <v/>
      </c>
    </row>
    <row r="3092">
      <c r="A3092" s="20" t="n">
        <v>45832</v>
      </c>
      <c r="B3092" s="21" t="n">
        <v>8870</v>
      </c>
      <c r="C3092" s="22" t="inlineStr">
        <is>
          <t>AHMET SELİM TEMHA</t>
        </is>
      </c>
      <c r="D3092" s="21" t="inlineStr">
        <is>
          <t>34 DGE 422</t>
        </is>
      </c>
      <c r="E3092" s="21" t="inlineStr">
        <is>
          <t xml:space="preserve">ERSOY SIĞINMAZ </t>
        </is>
      </c>
      <c r="F3092" s="23" t="n"/>
      <c r="G3092" s="138" t="n"/>
      <c r="H3092" s="138" t="n">
        <v>53</v>
      </c>
      <c r="I3092" s="138">
        <f>+I3091+(G3092-H3092)</f>
        <v/>
      </c>
      <c r="J3092" s="139" t="n">
        <v>37.051</v>
      </c>
      <c r="K3092" s="140" t="n"/>
      <c r="L3092" s="140">
        <f>+H3092*J3092</f>
        <v/>
      </c>
      <c r="M3092" s="141">
        <f>SUM(M3091+K3092-L3092)</f>
        <v/>
      </c>
    </row>
    <row r="3093">
      <c r="A3093" s="20" t="n">
        <v>45832</v>
      </c>
      <c r="B3093" s="1" t="n">
        <v>72</v>
      </c>
      <c r="C3093" s="2" t="inlineStr">
        <is>
          <t>VARLIK</t>
        </is>
      </c>
      <c r="D3093" s="1" t="inlineStr">
        <is>
          <t>SM 350</t>
        </is>
      </c>
      <c r="E3093" s="1" t="inlineStr">
        <is>
          <t>BAYRAM SANCAK</t>
        </is>
      </c>
      <c r="F3093" s="3" t="n"/>
      <c r="G3093" s="143" t="n"/>
      <c r="H3093" s="143" t="n">
        <v>389</v>
      </c>
      <c r="I3093" s="143">
        <f>+I3092+(G3093-H3093)</f>
        <v/>
      </c>
      <c r="J3093" s="144" t="n">
        <v>37.051</v>
      </c>
      <c r="K3093" s="145" t="n"/>
      <c r="L3093" s="140">
        <f>+H3093*J3093</f>
        <v/>
      </c>
      <c r="M3093" s="141">
        <f>SUM(M3092+K3093-L3093)</f>
        <v/>
      </c>
    </row>
    <row r="3094">
      <c r="A3094" s="20" t="n">
        <v>45832</v>
      </c>
      <c r="B3094" s="1" t="n">
        <v>73</v>
      </c>
      <c r="C3094" s="2" t="inlineStr">
        <is>
          <t>CEVİZ MOBİLYA</t>
        </is>
      </c>
      <c r="D3094" s="1" t="inlineStr">
        <is>
          <t>SM 350</t>
        </is>
      </c>
      <c r="E3094" s="1" t="inlineStr">
        <is>
          <t>TEVFİK ÖZTÜRK</t>
        </is>
      </c>
      <c r="F3094" s="3" t="n"/>
      <c r="G3094" s="143" t="n"/>
      <c r="H3094" s="143" t="n">
        <v>370</v>
      </c>
      <c r="I3094" s="143">
        <f>+I3093+(G3094-H3094)</f>
        <v/>
      </c>
      <c r="J3094" s="144" t="n">
        <v>37.051</v>
      </c>
      <c r="K3094" s="145" t="n"/>
      <c r="L3094" s="140">
        <f>+H3094*J3094</f>
        <v/>
      </c>
      <c r="M3094" s="141">
        <f>SUM(M3093+K3094-L3094)</f>
        <v/>
      </c>
    </row>
    <row r="3095">
      <c r="A3095" s="20" t="n">
        <v>45832</v>
      </c>
      <c r="B3095" s="1" t="n">
        <v>74</v>
      </c>
      <c r="C3095" s="2" t="inlineStr">
        <is>
          <t>VARLIK</t>
        </is>
      </c>
      <c r="D3095" s="1" t="inlineStr">
        <is>
          <t>SM 300</t>
        </is>
      </c>
      <c r="E3095" s="1" t="inlineStr">
        <is>
          <t>TURGUT SANCAK</t>
        </is>
      </c>
      <c r="F3095" s="3" t="n"/>
      <c r="G3095" s="143" t="n"/>
      <c r="H3095" s="143" t="n">
        <v>495</v>
      </c>
      <c r="I3095" s="143">
        <f>+I3094+(G3095-H3095)</f>
        <v/>
      </c>
      <c r="J3095" s="144" t="n">
        <v>37.051</v>
      </c>
      <c r="K3095" s="145" t="n"/>
      <c r="L3095" s="140">
        <f>+H3095*J3095</f>
        <v/>
      </c>
      <c r="M3095" s="141">
        <f>SUM(M3094+K3095-L3095)</f>
        <v/>
      </c>
    </row>
    <row r="3096">
      <c r="A3096" s="20" t="n">
        <v>45832</v>
      </c>
      <c r="B3096" s="21" t="n">
        <v>15057</v>
      </c>
      <c r="C3096" s="22" t="inlineStr">
        <is>
          <t>SELİM İNŞAAT</t>
        </is>
      </c>
      <c r="D3096" s="21" t="inlineStr">
        <is>
          <t>34 EGR 736</t>
        </is>
      </c>
      <c r="E3096" s="21" t="inlineStr">
        <is>
          <t>HAKAN ÇAVUŞOĞLU</t>
        </is>
      </c>
      <c r="F3096" s="23" t="n">
        <v>391432</v>
      </c>
      <c r="G3096" s="138" t="n"/>
      <c r="H3096" s="138" t="n">
        <v>449</v>
      </c>
      <c r="I3096" s="138">
        <f>+I3095+(G3096-H3096)</f>
        <v/>
      </c>
      <c r="J3096" s="139" t="n">
        <v>37.051</v>
      </c>
      <c r="K3096" s="140" t="n"/>
      <c r="L3096" s="140">
        <f>+H3096*J3096</f>
        <v/>
      </c>
      <c r="M3096" s="141">
        <f>SUM(M3095+K3096-L3096)</f>
        <v/>
      </c>
    </row>
    <row r="3097">
      <c r="A3097" s="20" t="n">
        <v>45832</v>
      </c>
      <c r="B3097" s="21" t="n">
        <v>15858</v>
      </c>
      <c r="C3097" s="22" t="inlineStr">
        <is>
          <t>SELİM İNŞAAT</t>
        </is>
      </c>
      <c r="D3097" s="21" t="inlineStr">
        <is>
          <t>34 EDB 754</t>
        </is>
      </c>
      <c r="E3097" s="21" t="inlineStr">
        <is>
          <t>EMİN PARLAKKILIÇ</t>
        </is>
      </c>
      <c r="F3097" s="23" t="n">
        <v>323795</v>
      </c>
      <c r="G3097" s="138" t="n"/>
      <c r="H3097" s="138" t="n">
        <v>192</v>
      </c>
      <c r="I3097" s="138">
        <f>+I3096+(G3097-H3097)</f>
        <v/>
      </c>
      <c r="J3097" s="139" t="n">
        <v>37.051</v>
      </c>
      <c r="K3097" s="140" t="n"/>
      <c r="L3097" s="140">
        <f>+H3097*J3097</f>
        <v/>
      </c>
      <c r="M3097" s="141">
        <f>SUM(M3096+K3097-L3097)</f>
        <v/>
      </c>
    </row>
    <row r="3098">
      <c r="A3098" s="20" t="n">
        <v>45832</v>
      </c>
      <c r="B3098" s="21" t="n">
        <v>552</v>
      </c>
      <c r="C3098" s="22" t="inlineStr">
        <is>
          <t>SELİM İNŞAAT</t>
        </is>
      </c>
      <c r="D3098" s="21" t="inlineStr">
        <is>
          <t>34 EDB 922</t>
        </is>
      </c>
      <c r="E3098" s="21" t="inlineStr">
        <is>
          <t>AHMET TOPÇU</t>
        </is>
      </c>
      <c r="F3098" s="23" t="n">
        <v>363587</v>
      </c>
      <c r="G3098" s="138" t="n"/>
      <c r="H3098" s="138" t="n">
        <v>434</v>
      </c>
      <c r="I3098" s="138">
        <f>+I3097+(G3098-H3098)</f>
        <v/>
      </c>
      <c r="J3098" s="139" t="n">
        <v>37.051</v>
      </c>
      <c r="K3098" s="140" t="n"/>
      <c r="L3098" s="140">
        <f>+H3098*J3098</f>
        <v/>
      </c>
      <c r="M3098" s="141">
        <f>SUM(M3097+K3098-L3098)</f>
        <v/>
      </c>
    </row>
    <row r="3099">
      <c r="A3099" s="20" t="n">
        <v>45832</v>
      </c>
      <c r="B3099" s="21" t="n">
        <v>14138</v>
      </c>
      <c r="C3099" s="22" t="inlineStr">
        <is>
          <t>SELİM İNŞAAT</t>
        </is>
      </c>
      <c r="D3099" s="21" t="inlineStr">
        <is>
          <t>34 DSN 536</t>
        </is>
      </c>
      <c r="E3099" s="21" t="inlineStr">
        <is>
          <t>DURSUN ALİ GÜREK</t>
        </is>
      </c>
      <c r="F3099" s="23" t="n">
        <v>407283</v>
      </c>
      <c r="G3099" s="138" t="n"/>
      <c r="H3099" s="138" t="n">
        <v>423</v>
      </c>
      <c r="I3099" s="138">
        <f>+I3098+(G3099-H3099)</f>
        <v/>
      </c>
      <c r="J3099" s="139" t="n">
        <v>37.051</v>
      </c>
      <c r="K3099" s="140" t="n"/>
      <c r="L3099" s="140">
        <f>+H3099*J3099</f>
        <v/>
      </c>
      <c r="M3099" s="141">
        <f>SUM(M3098+K3099-L3099)</f>
        <v/>
      </c>
    </row>
    <row r="3100">
      <c r="A3100" s="20" t="n">
        <v>45832</v>
      </c>
      <c r="B3100" s="21" t="n">
        <v>7</v>
      </c>
      <c r="C3100" s="22" t="inlineStr">
        <is>
          <t>SELİM İNŞAAT</t>
        </is>
      </c>
      <c r="D3100" s="21" t="inlineStr">
        <is>
          <t>34 FBR 748</t>
        </is>
      </c>
      <c r="E3100" s="21" t="inlineStr">
        <is>
          <t>YAŞAR ÖZKAYA</t>
        </is>
      </c>
      <c r="F3100" s="23" t="n">
        <v>282312</v>
      </c>
      <c r="G3100" s="138" t="n"/>
      <c r="H3100" s="138" t="n">
        <v>190</v>
      </c>
      <c r="I3100" s="138">
        <f>+I3099+(G3100-H3100)</f>
        <v/>
      </c>
      <c r="J3100" s="139" t="n">
        <v>37.051</v>
      </c>
      <c r="K3100" s="140" t="n"/>
      <c r="L3100" s="140">
        <f>+H3100*J3100</f>
        <v/>
      </c>
      <c r="M3100" s="141">
        <f>SUM(M3099+K3100-L3100)</f>
        <v/>
      </c>
    </row>
    <row r="3101">
      <c r="A3101" s="20" t="n">
        <v>45832</v>
      </c>
      <c r="B3101" s="21" t="n">
        <v>20200</v>
      </c>
      <c r="C3101" s="22" t="inlineStr">
        <is>
          <t>SELİM İNŞAAT</t>
        </is>
      </c>
      <c r="D3101" s="21" t="inlineStr">
        <is>
          <t>34 JGR 15</t>
        </is>
      </c>
      <c r="E3101" s="21" t="inlineStr">
        <is>
          <t>TEKİN ŞEYLAN</t>
        </is>
      </c>
      <c r="F3101" s="23" t="n">
        <v>310484</v>
      </c>
      <c r="G3101" s="138" t="n"/>
      <c r="H3101" s="138" t="n">
        <v>71</v>
      </c>
      <c r="I3101" s="138">
        <f>+I3100+(G3101-H3101)</f>
        <v/>
      </c>
      <c r="J3101" s="139" t="n">
        <v>37.051</v>
      </c>
      <c r="K3101" s="140" t="n"/>
      <c r="L3101" s="140">
        <f>+H3101*J3101</f>
        <v/>
      </c>
      <c r="M3101" s="141">
        <f>SUM(M3100+K3101-L3101)</f>
        <v/>
      </c>
    </row>
    <row r="3102">
      <c r="A3102" s="20" t="n">
        <v>45832</v>
      </c>
      <c r="B3102" s="21" t="n">
        <v>14186</v>
      </c>
      <c r="C3102" s="22" t="inlineStr">
        <is>
          <t>AZGÜN YAPI</t>
        </is>
      </c>
      <c r="D3102" s="21" t="inlineStr">
        <is>
          <t>34 DTV 263</t>
        </is>
      </c>
      <c r="E3102" s="21" t="inlineStr">
        <is>
          <t>OZAN ÇOŞĞUN</t>
        </is>
      </c>
      <c r="F3102" s="23" t="n"/>
      <c r="G3102" s="138" t="n"/>
      <c r="H3102" s="138" t="n">
        <v>480</v>
      </c>
      <c r="I3102" s="138">
        <f>+I3101+(G3102-H3102)</f>
        <v/>
      </c>
      <c r="J3102" s="139" t="n">
        <v>37.051</v>
      </c>
      <c r="K3102" s="140" t="n"/>
      <c r="L3102" s="140">
        <f>+H3102*J3102</f>
        <v/>
      </c>
      <c r="M3102" s="141">
        <f>SUM(M3101+K3102-L3102)</f>
        <v/>
      </c>
    </row>
    <row r="3103">
      <c r="A3103" s="20" t="n">
        <v>45832</v>
      </c>
      <c r="B3103" s="21" t="n">
        <v>15667</v>
      </c>
      <c r="C3103" s="22" t="inlineStr">
        <is>
          <t>METİN ERYİĞİT</t>
        </is>
      </c>
      <c r="D3103" s="21" t="inlineStr">
        <is>
          <t>34 EGR 814</t>
        </is>
      </c>
      <c r="E3103" s="21" t="inlineStr">
        <is>
          <t>GÜRAY KOYUNCU</t>
        </is>
      </c>
      <c r="F3103" s="23" t="n">
        <v>544263</v>
      </c>
      <c r="G3103" s="138" t="n"/>
      <c r="H3103" s="138" t="n">
        <v>377</v>
      </c>
      <c r="I3103" s="138">
        <f>+I3102+(G3103-H3103)</f>
        <v/>
      </c>
      <c r="J3103" s="139" t="n">
        <v>37.051</v>
      </c>
      <c r="K3103" s="140" t="n"/>
      <c r="L3103" s="140">
        <f>+H3103*J3103</f>
        <v/>
      </c>
      <c r="M3103" s="141">
        <f>SUM(M3102+K3103-L3103)</f>
        <v/>
      </c>
    </row>
    <row r="3104">
      <c r="A3104" s="20" t="n">
        <v>45833</v>
      </c>
      <c r="B3104" s="1" t="n">
        <v>75</v>
      </c>
      <c r="C3104" s="2" t="inlineStr">
        <is>
          <t>EVKUR</t>
        </is>
      </c>
      <c r="D3104" s="1" t="inlineStr">
        <is>
          <t>RT 650 SARI VİNÇ</t>
        </is>
      </c>
      <c r="E3104" s="1" t="inlineStr">
        <is>
          <t>NUMAN KABİL</t>
        </is>
      </c>
      <c r="F3104" s="3" t="n"/>
      <c r="G3104" s="143" t="n"/>
      <c r="H3104" s="143" t="n">
        <v>282</v>
      </c>
      <c r="I3104" s="143">
        <f>+I3103+(G3104-H3104)</f>
        <v/>
      </c>
      <c r="J3104" s="144" t="n">
        <v>37.051</v>
      </c>
      <c r="K3104" s="145" t="n"/>
      <c r="L3104" s="140">
        <f>+H3104*J3104</f>
        <v/>
      </c>
      <c r="M3104" s="141">
        <f>SUM(M3103+K3104-L3104)</f>
        <v/>
      </c>
    </row>
    <row r="3105">
      <c r="A3105" s="20" t="n">
        <v>45833</v>
      </c>
      <c r="B3105" s="1" t="n">
        <v>76</v>
      </c>
      <c r="C3105" s="2" t="inlineStr">
        <is>
          <t>VARLIK</t>
        </is>
      </c>
      <c r="D3105" s="1" t="inlineStr">
        <is>
          <t>KAVAZAKİ</t>
        </is>
      </c>
      <c r="E3105" s="1" t="inlineStr">
        <is>
          <t>RAMAZAN KAYA</t>
        </is>
      </c>
      <c r="F3105" s="3" t="n"/>
      <c r="G3105" s="143" t="n"/>
      <c r="H3105" s="143" t="n">
        <v>295</v>
      </c>
      <c r="I3105" s="143">
        <f>+I3104+(G3105-H3105)</f>
        <v/>
      </c>
      <c r="J3105" s="144" t="n">
        <v>37.051</v>
      </c>
      <c r="K3105" s="145" t="n"/>
      <c r="L3105" s="140">
        <f>+H3105*J3105</f>
        <v/>
      </c>
      <c r="M3105" s="141">
        <f>SUM(M3104+K3105-L3105)</f>
        <v/>
      </c>
    </row>
    <row r="3106">
      <c r="A3106" s="20" t="n">
        <v>45833</v>
      </c>
      <c r="B3106" s="1" t="n">
        <v>77</v>
      </c>
      <c r="C3106" s="2" t="inlineStr">
        <is>
          <t>VARLIK</t>
        </is>
      </c>
      <c r="D3106" s="1" t="inlineStr">
        <is>
          <t>SM 350</t>
        </is>
      </c>
      <c r="E3106" s="1" t="inlineStr">
        <is>
          <t>BAYRAM SANCAK</t>
        </is>
      </c>
      <c r="F3106" s="3" t="n"/>
      <c r="G3106" s="143" t="n"/>
      <c r="H3106" s="143" t="n">
        <v>410</v>
      </c>
      <c r="I3106" s="143">
        <f>+I3105+(G3106-H3106)</f>
        <v/>
      </c>
      <c r="J3106" s="144" t="n">
        <v>37.051</v>
      </c>
      <c r="K3106" s="145" t="n"/>
      <c r="L3106" s="140">
        <f>+H3106*J3106</f>
        <v/>
      </c>
      <c r="M3106" s="141">
        <f>SUM(M3105+K3106-L3106)</f>
        <v/>
      </c>
    </row>
    <row r="3107">
      <c r="A3107" s="20" t="n">
        <v>45833</v>
      </c>
      <c r="B3107" s="21" t="n">
        <v>11844</v>
      </c>
      <c r="C3107" s="22" t="inlineStr">
        <is>
          <t>SELİM İNŞAAT</t>
        </is>
      </c>
      <c r="D3107" s="21" t="inlineStr">
        <is>
          <t>34 FSG 229</t>
        </is>
      </c>
      <c r="E3107" s="21" t="inlineStr">
        <is>
          <t>SİNAN TANRIVERDİ</t>
        </is>
      </c>
      <c r="F3107" s="23" t="n">
        <v>259906</v>
      </c>
      <c r="G3107" s="138" t="n"/>
      <c r="H3107" s="138" t="n">
        <v>547</v>
      </c>
      <c r="I3107" s="138">
        <f>+I3106+(G3107-H3107)</f>
        <v/>
      </c>
      <c r="J3107" s="139" t="n">
        <v>37.051</v>
      </c>
      <c r="K3107" s="140" t="n"/>
      <c r="L3107" s="140">
        <f>+H3107*J3107</f>
        <v/>
      </c>
      <c r="M3107" s="141">
        <f>SUM(M3106+K3107-L3107)</f>
        <v/>
      </c>
    </row>
    <row r="3108">
      <c r="A3108" s="20" t="n">
        <v>45833</v>
      </c>
      <c r="B3108" s="21" t="n">
        <v>15571</v>
      </c>
      <c r="C3108" s="22" t="inlineStr">
        <is>
          <t>SELİM İNŞAAT</t>
        </is>
      </c>
      <c r="D3108" s="21" t="inlineStr">
        <is>
          <t>34 GVZ 745</t>
        </is>
      </c>
      <c r="E3108" s="21" t="inlineStr">
        <is>
          <t>MUHAMMED YİĞİT</t>
        </is>
      </c>
      <c r="F3108" s="23" t="n">
        <v>187912</v>
      </c>
      <c r="G3108" s="138" t="n"/>
      <c r="H3108" s="138" t="n">
        <v>420</v>
      </c>
      <c r="I3108" s="138">
        <f>+I3107+(G3108-H3108)</f>
        <v/>
      </c>
      <c r="J3108" s="139" t="n">
        <v>37.051</v>
      </c>
      <c r="K3108" s="140" t="n"/>
      <c r="L3108" s="140">
        <f>+H3108*J3108</f>
        <v/>
      </c>
      <c r="M3108" s="141">
        <f>SUM(M3107+K3108-L3108)</f>
        <v/>
      </c>
    </row>
    <row r="3109">
      <c r="A3109" s="20" t="n">
        <v>45833</v>
      </c>
      <c r="B3109" s="21" t="n">
        <v>14433</v>
      </c>
      <c r="C3109" s="22" t="inlineStr">
        <is>
          <t>SELİM İNŞAAT</t>
        </is>
      </c>
      <c r="D3109" s="21" t="inlineStr">
        <is>
          <t>34 EGE 737</t>
        </is>
      </c>
      <c r="E3109" s="21" t="inlineStr">
        <is>
          <t>CEM MUHTAR</t>
        </is>
      </c>
      <c r="F3109" s="23" t="n">
        <v>416041</v>
      </c>
      <c r="G3109" s="138" t="n"/>
      <c r="H3109" s="138" t="n">
        <v>419</v>
      </c>
      <c r="I3109" s="138">
        <f>+I3108+(G3109-H3109)</f>
        <v/>
      </c>
      <c r="J3109" s="139" t="n">
        <v>37.051</v>
      </c>
      <c r="K3109" s="140" t="n"/>
      <c r="L3109" s="140">
        <f>+H3109*J3109</f>
        <v/>
      </c>
      <c r="M3109" s="141">
        <f>SUM(M3108+K3109-L3109)</f>
        <v/>
      </c>
    </row>
    <row r="3110">
      <c r="A3110" s="20" t="n">
        <v>45833</v>
      </c>
      <c r="B3110" s="21" t="n">
        <v>15961</v>
      </c>
      <c r="C3110" s="22" t="inlineStr">
        <is>
          <t>SELİM İNŞAAT</t>
        </is>
      </c>
      <c r="D3110" s="21" t="inlineStr">
        <is>
          <t>34 FBR 781</t>
        </is>
      </c>
      <c r="E3110" s="21" t="inlineStr">
        <is>
          <t>MEVLÜT POLAT</t>
        </is>
      </c>
      <c r="F3110" s="23" t="n">
        <v>305447</v>
      </c>
      <c r="G3110" s="138" t="n"/>
      <c r="H3110" s="138" t="n">
        <v>412</v>
      </c>
      <c r="I3110" s="138">
        <f>+I3109+(G3110-H3110)</f>
        <v/>
      </c>
      <c r="J3110" s="139" t="n">
        <v>37.051</v>
      </c>
      <c r="K3110" s="140" t="n"/>
      <c r="L3110" s="140">
        <f>+H3110*J3110</f>
        <v/>
      </c>
      <c r="M3110" s="141">
        <f>SUM(M3109+K3110-L3110)</f>
        <v/>
      </c>
    </row>
    <row r="3111">
      <c r="A3111" s="20" t="n">
        <v>45833</v>
      </c>
      <c r="B3111" s="21" t="n">
        <v>15058</v>
      </c>
      <c r="C3111" s="22" t="inlineStr">
        <is>
          <t>SELİM İNŞAAT</t>
        </is>
      </c>
      <c r="D3111" s="21" t="inlineStr">
        <is>
          <t>34 EGR 736</t>
        </is>
      </c>
      <c r="E3111" s="21" t="inlineStr">
        <is>
          <t>HAKAN ÇAVUŞOĞLU</t>
        </is>
      </c>
      <c r="F3111" s="23" t="n">
        <v>391236</v>
      </c>
      <c r="G3111" s="138" t="n"/>
      <c r="H3111" s="138" t="n">
        <v>172</v>
      </c>
      <c r="I3111" s="138">
        <f>+I3110+(G3111-H3111)</f>
        <v/>
      </c>
      <c r="J3111" s="139" t="n">
        <v>37.051</v>
      </c>
      <c r="K3111" s="140" t="n"/>
      <c r="L3111" s="140">
        <f>+H3111*J3111</f>
        <v/>
      </c>
      <c r="M3111" s="141">
        <f>SUM(M3110+K3111-L3111)</f>
        <v/>
      </c>
    </row>
    <row r="3112">
      <c r="A3112" s="20" t="n">
        <v>45833</v>
      </c>
      <c r="B3112" s="21" t="n">
        <v>15859</v>
      </c>
      <c r="C3112" s="22" t="inlineStr">
        <is>
          <t>SELİM İNŞAAT</t>
        </is>
      </c>
      <c r="D3112" s="21" t="inlineStr">
        <is>
          <t>34 EDB 754</t>
        </is>
      </c>
      <c r="E3112" s="21" t="inlineStr">
        <is>
          <t>EMİN PARLAKKILIÇ</t>
        </is>
      </c>
      <c r="F3112" s="23" t="n">
        <v>324129</v>
      </c>
      <c r="G3112" s="138" t="n"/>
      <c r="H3112" s="138" t="n">
        <v>523</v>
      </c>
      <c r="I3112" s="138">
        <f>+I3111+(G3112-H3112)</f>
        <v/>
      </c>
      <c r="J3112" s="139" t="n">
        <v>37.051</v>
      </c>
      <c r="K3112" s="140" t="n"/>
      <c r="L3112" s="140">
        <f>+H3112*J3112</f>
        <v/>
      </c>
      <c r="M3112" s="141">
        <f>SUM(M3111+K3112-L3112)</f>
        <v/>
      </c>
    </row>
    <row r="3113">
      <c r="A3113" s="20" t="n">
        <v>45833</v>
      </c>
      <c r="B3113" s="21" t="n">
        <v>14240</v>
      </c>
      <c r="C3113" s="22" t="inlineStr">
        <is>
          <t>SELİM İNŞAAT</t>
        </is>
      </c>
      <c r="D3113" s="21" t="inlineStr">
        <is>
          <t xml:space="preserve">34 GUS 938 </t>
        </is>
      </c>
      <c r="E3113" s="21" t="inlineStr">
        <is>
          <t>MEHMET KAYA</t>
        </is>
      </c>
      <c r="F3113" s="23" t="n">
        <v>188730</v>
      </c>
      <c r="G3113" s="138" t="n"/>
      <c r="H3113" s="138" t="n">
        <v>294</v>
      </c>
      <c r="I3113" s="138">
        <f>+I3112+(G3113-H3113)</f>
        <v/>
      </c>
      <c r="J3113" s="139" t="n">
        <v>37.051</v>
      </c>
      <c r="K3113" s="140" t="n"/>
      <c r="L3113" s="140">
        <f>+H3113*J3113</f>
        <v/>
      </c>
      <c r="M3113" s="141">
        <f>SUM(M3112+K3113-L3113)</f>
        <v/>
      </c>
    </row>
    <row r="3114">
      <c r="A3114" s="20" t="n">
        <v>45833</v>
      </c>
      <c r="B3114" s="21" t="n">
        <v>15025</v>
      </c>
      <c r="C3114" s="22" t="inlineStr">
        <is>
          <t>SELİM İNŞAAT</t>
        </is>
      </c>
      <c r="D3114" s="21" t="inlineStr">
        <is>
          <t>34 GVZ 199</t>
        </is>
      </c>
      <c r="E3114" s="21" t="inlineStr">
        <is>
          <t>VAHDET GÜRLER</t>
        </is>
      </c>
      <c r="F3114" s="23" t="n">
        <v>182780</v>
      </c>
      <c r="G3114" s="138" t="n"/>
      <c r="H3114" s="138" t="n">
        <v>194</v>
      </c>
      <c r="I3114" s="138">
        <f>+I3113+(G3114-H3114)</f>
        <v/>
      </c>
      <c r="J3114" s="139" t="n">
        <v>37.051</v>
      </c>
      <c r="K3114" s="140" t="n"/>
      <c r="L3114" s="140">
        <f>+H3114*J3114</f>
        <v/>
      </c>
      <c r="M3114" s="141">
        <f>SUM(M3113+K3114-L3114)</f>
        <v/>
      </c>
    </row>
    <row r="3115">
      <c r="A3115" s="20" t="n">
        <v>45833</v>
      </c>
      <c r="B3115" s="21" t="n">
        <v>14490</v>
      </c>
      <c r="C3115" s="22" t="inlineStr">
        <is>
          <t>SELİM İNŞAAT</t>
        </is>
      </c>
      <c r="D3115" s="21" t="inlineStr">
        <is>
          <t>34 GUS 848</t>
        </is>
      </c>
      <c r="E3115" s="21" t="inlineStr">
        <is>
          <t>SERDAR BOZKURT</t>
        </is>
      </c>
      <c r="F3115" s="23" t="n">
        <v>193910</v>
      </c>
      <c r="G3115" s="138" t="n"/>
      <c r="H3115" s="138" t="n">
        <v>333</v>
      </c>
      <c r="I3115" s="138">
        <f>+I3114+(G3115-H3115)</f>
        <v/>
      </c>
      <c r="J3115" s="139" t="n">
        <v>37.051</v>
      </c>
      <c r="K3115" s="140" t="n"/>
      <c r="L3115" s="140">
        <f>+H3115*J3115</f>
        <v/>
      </c>
      <c r="M3115" s="141">
        <f>SUM(M3114+K3115-L3115)</f>
        <v/>
      </c>
    </row>
    <row r="3116">
      <c r="A3116" s="20" t="n">
        <v>45833</v>
      </c>
      <c r="B3116" s="21" t="n">
        <v>104</v>
      </c>
      <c r="C3116" s="22" t="inlineStr">
        <is>
          <t>SELİM İNŞAAT</t>
        </is>
      </c>
      <c r="D3116" s="21" t="inlineStr">
        <is>
          <t>34 FBR 771</t>
        </is>
      </c>
      <c r="E3116" s="21" t="inlineStr">
        <is>
          <t>HÜSEYİN AKÇİN</t>
        </is>
      </c>
      <c r="F3116" s="23" t="n">
        <v>320998</v>
      </c>
      <c r="G3116" s="138" t="n"/>
      <c r="H3116" s="138" t="n">
        <v>410</v>
      </c>
      <c r="I3116" s="138">
        <f>+I3115+(G3116-H3116)</f>
        <v/>
      </c>
      <c r="J3116" s="139" t="n">
        <v>37.051</v>
      </c>
      <c r="K3116" s="140" t="n"/>
      <c r="L3116" s="140">
        <f>+H3116*J3116</f>
        <v/>
      </c>
      <c r="M3116" s="141">
        <f>SUM(M3115+K3116-L3116)</f>
        <v/>
      </c>
    </row>
    <row r="3117">
      <c r="A3117" s="20" t="n">
        <v>45833</v>
      </c>
      <c r="B3117" s="21" t="n">
        <v>307</v>
      </c>
      <c r="C3117" s="22" t="inlineStr">
        <is>
          <t>SELİM İNŞAAT</t>
        </is>
      </c>
      <c r="D3117" s="21" t="inlineStr">
        <is>
          <t>34 EDB 829</t>
        </is>
      </c>
      <c r="E3117" s="21" t="inlineStr">
        <is>
          <t>İSMET BAYRAM</t>
        </is>
      </c>
      <c r="F3117" s="23" t="n">
        <v>321093</v>
      </c>
      <c r="G3117" s="138" t="n"/>
      <c r="H3117" s="138" t="n">
        <v>493</v>
      </c>
      <c r="I3117" s="138">
        <f>+I3116+(G3117-H3117)</f>
        <v/>
      </c>
      <c r="J3117" s="139" t="n">
        <v>37.051</v>
      </c>
      <c r="K3117" s="140" t="n"/>
      <c r="L3117" s="140">
        <f>+H3117*J3117</f>
        <v/>
      </c>
      <c r="M3117" s="141">
        <f>SUM(M3116+K3117-L3117)</f>
        <v/>
      </c>
    </row>
    <row r="3118">
      <c r="A3118" s="20" t="n">
        <v>45833</v>
      </c>
      <c r="B3118" s="21" t="n">
        <v>10399</v>
      </c>
      <c r="C3118" s="22" t="inlineStr">
        <is>
          <t>SELİM İNŞAAT</t>
        </is>
      </c>
      <c r="D3118" s="21" t="inlineStr">
        <is>
          <t>34 DRU 690</t>
        </is>
      </c>
      <c r="E3118" s="21" t="inlineStr">
        <is>
          <t>MURAT DEMİRBAŞ</t>
        </is>
      </c>
      <c r="F3118" s="23" t="n">
        <v>417958</v>
      </c>
      <c r="G3118" s="138" t="n"/>
      <c r="H3118" s="138" t="n">
        <v>421</v>
      </c>
      <c r="I3118" s="138">
        <f>+I3117+(G3118-H3118)</f>
        <v/>
      </c>
      <c r="J3118" s="139" t="n">
        <v>37.051</v>
      </c>
      <c r="K3118" s="140" t="n"/>
      <c r="L3118" s="140">
        <f>+H3118*J3118</f>
        <v/>
      </c>
      <c r="M3118" s="141">
        <f>SUM(M3117+K3118-L3118)</f>
        <v/>
      </c>
    </row>
    <row r="3119">
      <c r="A3119" s="20" t="n">
        <v>45833</v>
      </c>
      <c r="B3119" s="21" t="n">
        <v>8</v>
      </c>
      <c r="C3119" s="22" t="inlineStr">
        <is>
          <t>SELİM İNŞAAT</t>
        </is>
      </c>
      <c r="D3119" s="21" t="inlineStr">
        <is>
          <t>34 FBR 748</t>
        </is>
      </c>
      <c r="E3119" s="21" t="inlineStr">
        <is>
          <t>YAŞAR ÖZKAYA</t>
        </is>
      </c>
      <c r="F3119" s="23" t="n">
        <v>282723</v>
      </c>
      <c r="G3119" s="138" t="n"/>
      <c r="H3119" s="138" t="n">
        <v>514</v>
      </c>
      <c r="I3119" s="138">
        <f>+I3118+(G3119-H3119)</f>
        <v/>
      </c>
      <c r="J3119" s="139" t="n">
        <v>37.051</v>
      </c>
      <c r="K3119" s="140" t="n"/>
      <c r="L3119" s="140">
        <f>+H3119*J3119</f>
        <v/>
      </c>
      <c r="M3119" s="141">
        <f>SUM(M3118+K3119-L3119)</f>
        <v/>
      </c>
    </row>
    <row r="3120">
      <c r="A3120" s="20" t="n">
        <v>45833</v>
      </c>
      <c r="B3120" s="21" t="n">
        <v>14764</v>
      </c>
      <c r="C3120" s="22" t="inlineStr">
        <is>
          <t>SELİM İNŞAAT</t>
        </is>
      </c>
      <c r="D3120" s="21" t="inlineStr">
        <is>
          <t>34 GYZ 635</t>
        </is>
      </c>
      <c r="E3120" s="21" t="inlineStr">
        <is>
          <t>ENGİN DEMİR</t>
        </is>
      </c>
      <c r="F3120" s="23" t="n">
        <v>174580</v>
      </c>
      <c r="G3120" s="138" t="n"/>
      <c r="H3120" s="138" t="n">
        <v>471</v>
      </c>
      <c r="I3120" s="138">
        <f>+I3119+(G3120-H3120)</f>
        <v/>
      </c>
      <c r="J3120" s="139" t="n">
        <v>37.051</v>
      </c>
      <c r="K3120" s="140" t="n"/>
      <c r="L3120" s="140">
        <f>+H3120*J3120</f>
        <v/>
      </c>
      <c r="M3120" s="141">
        <f>SUM(M3119+K3120-L3120)</f>
        <v/>
      </c>
    </row>
    <row r="3121">
      <c r="A3121" s="20" t="n">
        <v>45833</v>
      </c>
      <c r="B3121" s="21" t="n">
        <v>10240</v>
      </c>
      <c r="C3121" s="22" t="inlineStr">
        <is>
          <t>SELİM İNŞAAT</t>
        </is>
      </c>
      <c r="D3121" s="21" t="inlineStr">
        <is>
          <t>34 DSN 621</t>
        </is>
      </c>
      <c r="E3121" s="21" t="inlineStr">
        <is>
          <t>MUSTAFA KAYA</t>
        </is>
      </c>
      <c r="F3121" s="23" t="n">
        <v>412203</v>
      </c>
      <c r="G3121" s="138" t="n"/>
      <c r="H3121" s="138" t="n">
        <v>194</v>
      </c>
      <c r="I3121" s="138">
        <f>+I3120+(G3121-H3121)</f>
        <v/>
      </c>
      <c r="J3121" s="139" t="n">
        <v>37.051</v>
      </c>
      <c r="K3121" s="140" t="n"/>
      <c r="L3121" s="140">
        <f>+H3121*J3121</f>
        <v/>
      </c>
      <c r="M3121" s="141">
        <f>SUM(M3120+K3121-L3121)</f>
        <v/>
      </c>
    </row>
    <row r="3122">
      <c r="A3122" s="20" t="n">
        <v>45833</v>
      </c>
      <c r="B3122" s="21" t="n">
        <v>952</v>
      </c>
      <c r="C3122" s="22" t="inlineStr">
        <is>
          <t>SELİM İNŞAAT</t>
        </is>
      </c>
      <c r="D3122" s="21" t="inlineStr">
        <is>
          <t>34 FBR 742</t>
        </is>
      </c>
      <c r="E3122" s="21" t="inlineStr">
        <is>
          <t>MİKAİL BAYILMAZ</t>
        </is>
      </c>
      <c r="F3122" s="23" t="n">
        <v>320814</v>
      </c>
      <c r="G3122" s="138" t="n"/>
      <c r="H3122" s="138" t="n">
        <v>476</v>
      </c>
      <c r="I3122" s="138">
        <f>+I3121+(G3122-H3122)</f>
        <v/>
      </c>
      <c r="J3122" s="139" t="n">
        <v>37.051</v>
      </c>
      <c r="K3122" s="140" t="n"/>
      <c r="L3122" s="140">
        <f>+H3122*J3122</f>
        <v/>
      </c>
      <c r="M3122" s="141">
        <f>SUM(M3121+K3122-L3122)</f>
        <v/>
      </c>
    </row>
    <row r="3123">
      <c r="A3123" s="20" t="n">
        <v>45833</v>
      </c>
      <c r="B3123" s="30" t="n">
        <v>15357</v>
      </c>
      <c r="C3123" s="22" t="inlineStr">
        <is>
          <t>SELİM İNŞAAT</t>
        </is>
      </c>
      <c r="D3123" s="21" t="inlineStr">
        <is>
          <t>34 DTV 409</t>
        </is>
      </c>
      <c r="E3123" s="21" t="inlineStr">
        <is>
          <t>ONUR CANLI</t>
        </is>
      </c>
      <c r="F3123" s="23" t="n">
        <v>419111</v>
      </c>
      <c r="G3123" s="138" t="n"/>
      <c r="H3123" s="138" t="n">
        <v>440</v>
      </c>
      <c r="I3123" s="138">
        <f>+I3122+(G3123-H3123)</f>
        <v/>
      </c>
      <c r="J3123" s="139" t="n">
        <v>37.051</v>
      </c>
      <c r="K3123" s="140" t="n"/>
      <c r="L3123" s="140">
        <f>+H3123*J3123</f>
        <v/>
      </c>
      <c r="M3123" s="141">
        <f>SUM(M3122+K3123-L3123)</f>
        <v/>
      </c>
    </row>
    <row r="3124">
      <c r="A3124" s="20" t="n">
        <v>45833</v>
      </c>
      <c r="B3124" s="21" t="n">
        <v>15258</v>
      </c>
      <c r="C3124" s="22" t="inlineStr">
        <is>
          <t>SELİM İNŞAAT</t>
        </is>
      </c>
      <c r="D3124" s="21" t="inlineStr">
        <is>
          <t>34 DTV 447</t>
        </is>
      </c>
      <c r="E3124" s="21" t="inlineStr">
        <is>
          <t>EBUBEKİR KOLDAŞ</t>
        </is>
      </c>
      <c r="F3124" s="23" t="n">
        <v>430953</v>
      </c>
      <c r="G3124" s="138" t="n"/>
      <c r="H3124" s="138" t="n">
        <v>347</v>
      </c>
      <c r="I3124" s="138">
        <f>+I3123+(G3124-H3124)</f>
        <v/>
      </c>
      <c r="J3124" s="139" t="n">
        <v>37.051</v>
      </c>
      <c r="K3124" s="140" t="n"/>
      <c r="L3124" s="140">
        <f>+H3124*J3124</f>
        <v/>
      </c>
      <c r="M3124" s="141">
        <f>SUM(M3123+K3124-L3124)</f>
        <v/>
      </c>
    </row>
    <row r="3125">
      <c r="A3125" s="20" t="n">
        <v>45833</v>
      </c>
      <c r="B3125" s="21" t="n">
        <v>11750</v>
      </c>
      <c r="C3125" s="22" t="inlineStr">
        <is>
          <t>SELİM İNŞAAT</t>
        </is>
      </c>
      <c r="D3125" s="21" t="inlineStr">
        <is>
          <t>34 EDB 559</t>
        </is>
      </c>
      <c r="E3125" s="21" t="inlineStr">
        <is>
          <t>KERİM KARAMAN</t>
        </is>
      </c>
      <c r="F3125" s="23" t="n">
        <v>325513</v>
      </c>
      <c r="G3125" s="138" t="n"/>
      <c r="H3125" s="138" t="n">
        <v>211</v>
      </c>
      <c r="I3125" s="138">
        <f>+I3124+(G3125-H3125)</f>
        <v/>
      </c>
      <c r="J3125" s="139" t="n">
        <v>37.051</v>
      </c>
      <c r="K3125" s="140" t="n"/>
      <c r="L3125" s="140">
        <f>+H3125*J3125</f>
        <v/>
      </c>
      <c r="M3125" s="141">
        <f>SUM(M3124+K3125-L3125)</f>
        <v/>
      </c>
    </row>
    <row r="3126">
      <c r="A3126" s="20" t="n">
        <v>45833</v>
      </c>
      <c r="B3126" s="21" t="n">
        <v>14091</v>
      </c>
      <c r="C3126" s="22" t="inlineStr">
        <is>
          <t>SELİM İNŞAAT</t>
        </is>
      </c>
      <c r="D3126" s="21" t="inlineStr">
        <is>
          <t>34 EDB 659</t>
        </is>
      </c>
      <c r="E3126" s="21" t="inlineStr">
        <is>
          <t>MEHMET SAİT ANIK</t>
        </is>
      </c>
      <c r="F3126" s="23" t="n">
        <v>342144</v>
      </c>
      <c r="G3126" s="138" t="n"/>
      <c r="H3126" s="138" t="n">
        <v>399</v>
      </c>
      <c r="I3126" s="138">
        <f>+I3125+(G3126-H3126)</f>
        <v/>
      </c>
      <c r="J3126" s="139" t="n">
        <v>37.051</v>
      </c>
      <c r="K3126" s="140" t="n"/>
      <c r="L3126" s="140">
        <f>+H3126*J3126</f>
        <v/>
      </c>
      <c r="M3126" s="141">
        <f>SUM(M3125+K3126-L3126)</f>
        <v/>
      </c>
    </row>
    <row r="3127">
      <c r="A3127" s="20" t="n">
        <v>45833</v>
      </c>
      <c r="B3127" s="21" t="n">
        <v>15519</v>
      </c>
      <c r="C3127" s="22" t="inlineStr">
        <is>
          <t>SELİM İNŞAAT</t>
        </is>
      </c>
      <c r="D3127" s="21" t="inlineStr">
        <is>
          <t>34 EDC 086</t>
        </is>
      </c>
      <c r="E3127" s="21" t="inlineStr">
        <is>
          <t>ÖMER AĞAYAR</t>
        </is>
      </c>
      <c r="F3127" s="23" t="n">
        <v>327354</v>
      </c>
      <c r="G3127" s="138" t="n"/>
      <c r="H3127" s="138" t="n">
        <v>478</v>
      </c>
      <c r="I3127" s="138">
        <f>+I3126+(G3127-H3127)</f>
        <v/>
      </c>
      <c r="J3127" s="139" t="n">
        <v>37.051</v>
      </c>
      <c r="K3127" s="140" t="n"/>
      <c r="L3127" s="140">
        <f>+H3127*J3127</f>
        <v/>
      </c>
      <c r="M3127" s="141">
        <f>SUM(M3126+K3127-L3127)</f>
        <v/>
      </c>
    </row>
    <row r="3128">
      <c r="A3128" s="20" t="n">
        <v>45833</v>
      </c>
      <c r="B3128" s="21" t="n">
        <v>803</v>
      </c>
      <c r="C3128" s="22" t="inlineStr">
        <is>
          <t>SELİM İNŞAAT</t>
        </is>
      </c>
      <c r="D3128" s="21" t="inlineStr">
        <is>
          <t>34 FBR 705</t>
        </is>
      </c>
      <c r="E3128" s="21" t="inlineStr">
        <is>
          <t>MESUT GÜRLER</t>
        </is>
      </c>
      <c r="F3128" s="23" t="n">
        <v>317340</v>
      </c>
      <c r="G3128" s="138" t="n"/>
      <c r="H3128" s="138" t="n">
        <v>290</v>
      </c>
      <c r="I3128" s="138">
        <f>+I3127+(G3128-H3128)</f>
        <v/>
      </c>
      <c r="J3128" s="139" t="n">
        <v>37.051</v>
      </c>
      <c r="K3128" s="140" t="n"/>
      <c r="L3128" s="140">
        <f>+H3128*J3128</f>
        <v/>
      </c>
      <c r="M3128" s="141">
        <f>SUM(M3127+K3128-L3128)</f>
        <v/>
      </c>
    </row>
    <row r="3129">
      <c r="A3129" s="20" t="n">
        <v>45833</v>
      </c>
      <c r="B3129" s="21" t="n">
        <v>15316</v>
      </c>
      <c r="C3129" s="22" t="inlineStr">
        <is>
          <t>SELİM İNŞAAT</t>
        </is>
      </c>
      <c r="D3129" s="21" t="inlineStr">
        <is>
          <t>34 EDC 162</t>
        </is>
      </c>
      <c r="E3129" s="21" t="inlineStr">
        <is>
          <t xml:space="preserve">YAKUP GÜNER </t>
        </is>
      </c>
      <c r="F3129" s="23" t="n">
        <v>372366</v>
      </c>
      <c r="G3129" s="138" t="n"/>
      <c r="H3129" s="138" t="n">
        <v>544</v>
      </c>
      <c r="I3129" s="138">
        <f>+I3128+(G3129-H3129)</f>
        <v/>
      </c>
      <c r="J3129" s="139" t="n">
        <v>37.051</v>
      </c>
      <c r="K3129" s="140" t="n"/>
      <c r="L3129" s="140">
        <f>+H3129*J3129</f>
        <v/>
      </c>
      <c r="M3129" s="141">
        <f>SUM(M3128+K3129-L3129)</f>
        <v/>
      </c>
    </row>
    <row r="3130">
      <c r="A3130" s="20" t="n">
        <v>45833</v>
      </c>
      <c r="B3130" s="21" t="n">
        <v>10893</v>
      </c>
      <c r="C3130" s="22" t="inlineStr">
        <is>
          <t>SELİM İNŞAAT</t>
        </is>
      </c>
      <c r="D3130" s="21" t="inlineStr">
        <is>
          <t>34 AR 7743</t>
        </is>
      </c>
      <c r="E3130" s="21" t="inlineStr">
        <is>
          <t>MEHMET SELİM</t>
        </is>
      </c>
      <c r="F3130" s="23" t="n"/>
      <c r="G3130" s="138" t="n"/>
      <c r="H3130" s="138" t="n">
        <v>61</v>
      </c>
      <c r="I3130" s="138">
        <f>+I3129+(G3130-H3130)</f>
        <v/>
      </c>
      <c r="J3130" s="139" t="n">
        <v>37.051</v>
      </c>
      <c r="K3130" s="140" t="n"/>
      <c r="L3130" s="140">
        <f>+H3130*J3130</f>
        <v/>
      </c>
      <c r="M3130" s="141">
        <f>SUM(M3129+K3130-L3130)</f>
        <v/>
      </c>
    </row>
    <row r="3131">
      <c r="A3131" s="20" t="n">
        <v>45833</v>
      </c>
      <c r="B3131" s="21" t="n">
        <v>20546</v>
      </c>
      <c r="C3131" s="22" t="inlineStr">
        <is>
          <t>SELİM İNŞAAT</t>
        </is>
      </c>
      <c r="D3131" s="21" t="inlineStr">
        <is>
          <t>34 VF 2620</t>
        </is>
      </c>
      <c r="E3131" s="21" t="inlineStr">
        <is>
          <t>RECEP SELİM</t>
        </is>
      </c>
      <c r="F3131" s="23" t="n">
        <v>187770</v>
      </c>
      <c r="G3131" s="138" t="n"/>
      <c r="H3131" s="138" t="n">
        <v>76</v>
      </c>
      <c r="I3131" s="138">
        <f>+I3130+(G3131-H3131)</f>
        <v/>
      </c>
      <c r="J3131" s="139" t="n">
        <v>37.051</v>
      </c>
      <c r="K3131" s="140" t="n"/>
      <c r="L3131" s="140">
        <f>+H3131*J3131</f>
        <v/>
      </c>
      <c r="M3131" s="141">
        <f>SUM(M3130+K3131-L3131)</f>
        <v/>
      </c>
    </row>
    <row r="3132">
      <c r="A3132" s="20" t="n">
        <v>45833</v>
      </c>
      <c r="B3132" s="21" t="n">
        <v>14535</v>
      </c>
      <c r="C3132" s="22" t="inlineStr">
        <is>
          <t>SELİM İNŞAAT</t>
        </is>
      </c>
      <c r="D3132" s="21" t="inlineStr">
        <is>
          <t>34 GER 028</t>
        </is>
      </c>
      <c r="E3132" s="21" t="inlineStr">
        <is>
          <t>A.KERİM ERGEN</t>
        </is>
      </c>
      <c r="F3132" s="23" t="n">
        <v>45526</v>
      </c>
      <c r="G3132" s="138" t="n"/>
      <c r="H3132" s="138" t="n">
        <v>195</v>
      </c>
      <c r="I3132" s="138">
        <f>+I3131+(G3132-H3132)</f>
        <v/>
      </c>
      <c r="J3132" s="139" t="n">
        <v>37.051</v>
      </c>
      <c r="K3132" s="140" t="n"/>
      <c r="L3132" s="140">
        <f>+H3132*J3132</f>
        <v/>
      </c>
      <c r="M3132" s="141">
        <f>SUM(M3131+K3132-L3132)</f>
        <v/>
      </c>
    </row>
    <row r="3133">
      <c r="A3133" s="20" t="n">
        <v>45833</v>
      </c>
      <c r="B3133" s="21" t="n">
        <v>14641</v>
      </c>
      <c r="C3133" s="22" t="inlineStr">
        <is>
          <t>SELİM İNŞAAT</t>
        </is>
      </c>
      <c r="D3133" s="21" t="inlineStr">
        <is>
          <t>34 GER 445</t>
        </is>
      </c>
      <c r="E3133" s="21" t="inlineStr">
        <is>
          <t>HASAN BAYCAN</t>
        </is>
      </c>
      <c r="F3133" s="23" t="n">
        <v>43828</v>
      </c>
      <c r="G3133" s="138" t="n"/>
      <c r="H3133" s="138" t="n">
        <v>170</v>
      </c>
      <c r="I3133" s="138">
        <f>+I3132+(G3133-H3133)</f>
        <v/>
      </c>
      <c r="J3133" s="139" t="n">
        <v>37.051</v>
      </c>
      <c r="K3133" s="140" t="n"/>
      <c r="L3133" s="140">
        <f>+H3133*J3133</f>
        <v/>
      </c>
      <c r="M3133" s="141">
        <f>SUM(M3132+K3133-L3133)</f>
        <v/>
      </c>
    </row>
    <row r="3134">
      <c r="A3134" s="20" t="n">
        <v>45833</v>
      </c>
      <c r="B3134" s="21" t="n">
        <v>14345</v>
      </c>
      <c r="C3134" s="22" t="inlineStr">
        <is>
          <t>SELİM İNŞAAT</t>
        </is>
      </c>
      <c r="D3134" s="21" t="inlineStr">
        <is>
          <t>34 DKL 866</t>
        </is>
      </c>
      <c r="E3134" s="21" t="inlineStr">
        <is>
          <t>SELİM CAN ÖNVER</t>
        </is>
      </c>
      <c r="F3134" s="23" t="n">
        <v>66748</v>
      </c>
      <c r="G3134" s="138" t="n"/>
      <c r="H3134" s="138" t="n">
        <v>205</v>
      </c>
      <c r="I3134" s="138">
        <f>+I3133+(G3134-H3134)</f>
        <v/>
      </c>
      <c r="J3134" s="139" t="n">
        <v>37.051</v>
      </c>
      <c r="K3134" s="140" t="n"/>
      <c r="L3134" s="140">
        <f>+H3134*J3134</f>
        <v/>
      </c>
      <c r="M3134" s="141">
        <f>SUM(M3133+K3134-L3134)</f>
        <v/>
      </c>
    </row>
    <row r="3135">
      <c r="A3135" s="20" t="n">
        <v>45833</v>
      </c>
      <c r="B3135" s="21" t="n">
        <v>11374</v>
      </c>
      <c r="C3135" s="22" t="inlineStr">
        <is>
          <t>AZGÜN YAPI</t>
        </is>
      </c>
      <c r="D3135" s="21" t="inlineStr">
        <is>
          <t>34 MKT 593</t>
        </is>
      </c>
      <c r="E3135" s="21" t="inlineStr">
        <is>
          <t>İBRAHİM GÜLLÜK</t>
        </is>
      </c>
      <c r="F3135" s="23" t="n"/>
      <c r="G3135" s="138" t="n"/>
      <c r="H3135" s="138" t="n">
        <v>367</v>
      </c>
      <c r="I3135" s="138">
        <f>+I3134+(G3135-H3135)</f>
        <v/>
      </c>
      <c r="J3135" s="139" t="n">
        <v>37.051</v>
      </c>
      <c r="K3135" s="140" t="n"/>
      <c r="L3135" s="140">
        <f>+H3135*J3135</f>
        <v/>
      </c>
      <c r="M3135" s="141">
        <f>SUM(M3134+K3135-L3135)</f>
        <v/>
      </c>
    </row>
    <row r="3136">
      <c r="A3136" s="20" t="n">
        <v>45833</v>
      </c>
      <c r="B3136" s="21" t="n">
        <v>11331</v>
      </c>
      <c r="C3136" s="22" t="inlineStr">
        <is>
          <t>AZGÜN YAPI</t>
        </is>
      </c>
      <c r="D3136" s="21" t="inlineStr">
        <is>
          <t>34 MKT 859</t>
        </is>
      </c>
      <c r="E3136" s="21" t="inlineStr">
        <is>
          <t>HASAN ALTUN</t>
        </is>
      </c>
      <c r="F3136" s="23" t="n"/>
      <c r="G3136" s="138" t="n"/>
      <c r="H3136" s="138" t="n">
        <v>378</v>
      </c>
      <c r="I3136" s="138">
        <f>+I3135+(G3136-H3136)</f>
        <v/>
      </c>
      <c r="J3136" s="139" t="n">
        <v>37.051</v>
      </c>
      <c r="K3136" s="140" t="n"/>
      <c r="L3136" s="140">
        <f>+H3136*J3136</f>
        <v/>
      </c>
      <c r="M3136" s="141">
        <f>SUM(M3135+K3136-L3136)</f>
        <v/>
      </c>
    </row>
    <row r="3137">
      <c r="A3137" s="20" t="n">
        <v>45833</v>
      </c>
      <c r="B3137" s="21" t="n">
        <v>14744</v>
      </c>
      <c r="C3137" s="22" t="inlineStr">
        <is>
          <t>METİN ERYİĞİT</t>
        </is>
      </c>
      <c r="D3137" s="21" t="inlineStr">
        <is>
          <t>34 GBL 998</t>
        </is>
      </c>
      <c r="E3137" s="21" t="inlineStr">
        <is>
          <t>ALİ KESKİN</t>
        </is>
      </c>
      <c r="F3137" s="23" t="n">
        <v>271272</v>
      </c>
      <c r="G3137" s="138" t="n"/>
      <c r="H3137" s="138" t="n">
        <v>148</v>
      </c>
      <c r="I3137" s="138">
        <f>+I3136+(G3137-H3137)</f>
        <v/>
      </c>
      <c r="J3137" s="139" t="n">
        <v>37.051</v>
      </c>
      <c r="K3137" s="140" t="n"/>
      <c r="L3137" s="140">
        <f>+H3137*J3137</f>
        <v/>
      </c>
      <c r="M3137" s="141">
        <f>SUM(M3136+K3137-L3137)</f>
        <v/>
      </c>
    </row>
    <row r="3138">
      <c r="A3138" s="20" t="n">
        <v>45833</v>
      </c>
      <c r="B3138" s="21" t="n">
        <v>15613</v>
      </c>
      <c r="C3138" s="22" t="inlineStr">
        <is>
          <t>METİN ERYİĞİT</t>
        </is>
      </c>
      <c r="D3138" s="21" t="inlineStr">
        <is>
          <t>34 EGS 013</t>
        </is>
      </c>
      <c r="E3138" s="21" t="inlineStr">
        <is>
          <t xml:space="preserve">UĞUR DUMAN </t>
        </is>
      </c>
      <c r="F3138" s="23" t="n">
        <v>491209</v>
      </c>
      <c r="G3138" s="138" t="n"/>
      <c r="H3138" s="138" t="n">
        <v>410</v>
      </c>
      <c r="I3138" s="138">
        <f>+I3137+(G3138-H3138)</f>
        <v/>
      </c>
      <c r="J3138" s="139" t="n">
        <v>37.051</v>
      </c>
      <c r="K3138" s="140" t="n"/>
      <c r="L3138" s="140">
        <f>+H3138*J3138</f>
        <v/>
      </c>
      <c r="M3138" s="141">
        <f>SUM(M3137+K3138-L3138)</f>
        <v/>
      </c>
    </row>
    <row r="3139">
      <c r="A3139" s="20" t="n">
        <v>45833</v>
      </c>
      <c r="B3139" s="21" t="n">
        <v>15668</v>
      </c>
      <c r="C3139" s="22" t="inlineStr">
        <is>
          <t>METİN ERYİĞİT</t>
        </is>
      </c>
      <c r="D3139" s="21" t="inlineStr">
        <is>
          <t>34 EGR 814</t>
        </is>
      </c>
      <c r="E3139" s="21" t="inlineStr">
        <is>
          <t>GÜRAY KOYUNCU</t>
        </is>
      </c>
      <c r="F3139" s="23" t="n">
        <v>544671</v>
      </c>
      <c r="G3139" s="138" t="n"/>
      <c r="H3139" s="138" t="n">
        <v>255</v>
      </c>
      <c r="I3139" s="138">
        <f>+I3138+(G3139-H3139)</f>
        <v/>
      </c>
      <c r="J3139" s="139" t="n">
        <v>37.051</v>
      </c>
      <c r="K3139" s="140" t="n"/>
      <c r="L3139" s="140">
        <f>+H3139*J3139</f>
        <v/>
      </c>
      <c r="M3139" s="141">
        <f>SUM(M3138+K3139-L3139)</f>
        <v/>
      </c>
    </row>
    <row r="3140">
      <c r="A3140" s="20" t="n">
        <v>45834</v>
      </c>
      <c r="B3140" s="21" t="n">
        <v>8872</v>
      </c>
      <c r="C3140" s="22" t="inlineStr">
        <is>
          <t>AHMET SELİM TEMHA</t>
        </is>
      </c>
      <c r="D3140" s="21" t="inlineStr">
        <is>
          <t>FOKLİFT</t>
        </is>
      </c>
      <c r="E3140" s="21" t="inlineStr">
        <is>
          <t>OĞUZHAN AYDINLI</t>
        </is>
      </c>
      <c r="F3140" s="23" t="n"/>
      <c r="G3140" s="138" t="n"/>
      <c r="H3140" s="138" t="n">
        <v>43</v>
      </c>
      <c r="I3140" s="138">
        <f>+I3139+(G3140-H3140)</f>
        <v/>
      </c>
      <c r="J3140" s="139" t="n">
        <v>37.051</v>
      </c>
      <c r="K3140" s="140" t="n"/>
      <c r="L3140" s="140">
        <f>+H3140*J3140</f>
        <v/>
      </c>
      <c r="M3140" s="141">
        <f>SUM(M3139+K3140-L3140)</f>
        <v/>
      </c>
    </row>
    <row r="3141">
      <c r="A3141" s="20" t="n">
        <v>45834</v>
      </c>
      <c r="B3141" s="21" t="n">
        <v>8871</v>
      </c>
      <c r="C3141" s="22" t="inlineStr">
        <is>
          <t>AHMET SELİM TEMHA</t>
        </is>
      </c>
      <c r="D3141" s="21" t="inlineStr">
        <is>
          <t>TB 926 VİNÇ</t>
        </is>
      </c>
      <c r="E3141" s="21" t="inlineStr">
        <is>
          <t>ENES SELİM</t>
        </is>
      </c>
      <c r="F3141" s="23" t="n"/>
      <c r="G3141" s="138" t="n"/>
      <c r="H3141" s="138" t="n">
        <v>223</v>
      </c>
      <c r="I3141" s="138">
        <f>+I3140+(G3141-H3141)</f>
        <v/>
      </c>
      <c r="J3141" s="139" t="n">
        <v>37.051</v>
      </c>
      <c r="K3141" s="140" t="n"/>
      <c r="L3141" s="140">
        <f>+H3141*J3141</f>
        <v/>
      </c>
      <c r="M3141" s="141">
        <f>SUM(M3140+K3141-L3141)</f>
        <v/>
      </c>
    </row>
    <row r="3142">
      <c r="A3142" s="20" t="n">
        <v>45834</v>
      </c>
      <c r="B3142" s="1" t="n">
        <v>78</v>
      </c>
      <c r="C3142" s="2" t="inlineStr">
        <is>
          <t>MEGA VALIK</t>
        </is>
      </c>
      <c r="D3142" s="1" t="inlineStr">
        <is>
          <t>SM 300</t>
        </is>
      </c>
      <c r="E3142" s="1" t="inlineStr">
        <is>
          <t>TURGUT SANCAK</t>
        </is>
      </c>
      <c r="F3142" s="3" t="n"/>
      <c r="G3142" s="143" t="n"/>
      <c r="H3142" s="143" t="n">
        <v>358</v>
      </c>
      <c r="I3142" s="143">
        <f>+I3141+(G3142-H3142)</f>
        <v/>
      </c>
      <c r="J3142" s="144" t="n">
        <v>37.051</v>
      </c>
      <c r="K3142" s="145" t="n"/>
      <c r="L3142" s="140">
        <f>+H3142*J3142</f>
        <v/>
      </c>
      <c r="M3142" s="141">
        <f>SUM(M3141+K3142-L3142)</f>
        <v/>
      </c>
    </row>
    <row r="3143">
      <c r="A3143" s="20" t="n">
        <v>45834</v>
      </c>
      <c r="B3143" s="1" t="n">
        <v>79</v>
      </c>
      <c r="C3143" s="2" t="inlineStr">
        <is>
          <t>CEVİZ MOBİLYA</t>
        </is>
      </c>
      <c r="D3143" s="1" t="inlineStr">
        <is>
          <t xml:space="preserve">SM 350 </t>
        </is>
      </c>
      <c r="E3143" s="1" t="inlineStr">
        <is>
          <t>TEVFİK ÖZTÜRK</t>
        </is>
      </c>
      <c r="F3143" s="3" t="n"/>
      <c r="G3143" s="143" t="n"/>
      <c r="H3143" s="143" t="n">
        <v>483</v>
      </c>
      <c r="I3143" s="143">
        <f>+I3142+(G3143-H3143)</f>
        <v/>
      </c>
      <c r="J3143" s="144" t="n">
        <v>37.051</v>
      </c>
      <c r="K3143" s="145" t="n"/>
      <c r="L3143" s="140">
        <f>+H3143*J3143</f>
        <v/>
      </c>
      <c r="M3143" s="141">
        <f>SUM(M3142+K3143-L3143)</f>
        <v/>
      </c>
    </row>
    <row r="3144">
      <c r="A3144" s="20" t="n">
        <v>45834</v>
      </c>
      <c r="B3144" s="1" t="n">
        <v>80</v>
      </c>
      <c r="C3144" s="2" t="inlineStr">
        <is>
          <t>VARLIK</t>
        </is>
      </c>
      <c r="D3144" s="1" t="inlineStr">
        <is>
          <t xml:space="preserve">YENİ VİNÇ </t>
        </is>
      </c>
      <c r="E3144" s="1" t="inlineStr">
        <is>
          <t>SALİH ŞOLAN</t>
        </is>
      </c>
      <c r="F3144" s="3" t="n"/>
      <c r="G3144" s="143" t="n"/>
      <c r="H3144" s="143" t="n">
        <v>290</v>
      </c>
      <c r="I3144" s="143">
        <f>+I3143+(G3144-H3144)</f>
        <v/>
      </c>
      <c r="J3144" s="144" t="n">
        <v>37.051</v>
      </c>
      <c r="K3144" s="145" t="n"/>
      <c r="L3144" s="140">
        <f>+H3144*J3144</f>
        <v/>
      </c>
      <c r="M3144" s="141">
        <f>SUM(M3143+K3144-L3144)</f>
        <v/>
      </c>
    </row>
    <row r="3145">
      <c r="A3145" s="20" t="n">
        <v>45834</v>
      </c>
      <c r="B3145" s="1" t="n">
        <v>81</v>
      </c>
      <c r="C3145" s="2" t="inlineStr">
        <is>
          <t>VARLIK</t>
        </is>
      </c>
      <c r="D3145" s="1" t="inlineStr">
        <is>
          <t>SM 350</t>
        </is>
      </c>
      <c r="E3145" s="1" t="inlineStr">
        <is>
          <t>BAYRAM SANCAK</t>
        </is>
      </c>
      <c r="F3145" s="3" t="n"/>
      <c r="G3145" s="143" t="n"/>
      <c r="H3145" s="143" t="n">
        <v>410</v>
      </c>
      <c r="I3145" s="143">
        <f>+I3144+(G3145-H3145)</f>
        <v/>
      </c>
      <c r="J3145" s="144" t="n">
        <v>37.051</v>
      </c>
      <c r="K3145" s="145" t="n"/>
      <c r="L3145" s="140">
        <f>+H3145*J3145</f>
        <v/>
      </c>
      <c r="M3145" s="141">
        <f>SUM(M3144+K3145-L3145)</f>
        <v/>
      </c>
    </row>
    <row r="3146">
      <c r="A3146" s="20" t="n">
        <v>45834</v>
      </c>
      <c r="B3146" s="1" t="n">
        <v>82</v>
      </c>
      <c r="C3146" s="2" t="inlineStr">
        <is>
          <t>CEVİZ MOBİLYA</t>
        </is>
      </c>
      <c r="D3146" s="1" t="inlineStr">
        <is>
          <t>SM 370</t>
        </is>
      </c>
      <c r="E3146" s="1" t="inlineStr">
        <is>
          <t>TEKİN ŞEYLAN</t>
        </is>
      </c>
      <c r="F3146" s="3" t="n"/>
      <c r="G3146" s="143" t="n"/>
      <c r="H3146" s="143" t="n">
        <v>570</v>
      </c>
      <c r="I3146" s="143">
        <f>+I3145+(G3146-H3146)</f>
        <v/>
      </c>
      <c r="J3146" s="144" t="n">
        <v>37.051</v>
      </c>
      <c r="K3146" s="145" t="n"/>
      <c r="L3146" s="140">
        <f>+H3146*J3146</f>
        <v/>
      </c>
      <c r="M3146" s="141">
        <f>SUM(M3145+K3146-L3146)</f>
        <v/>
      </c>
    </row>
    <row r="3147">
      <c r="A3147" s="20" t="n">
        <v>45834</v>
      </c>
      <c r="B3147" s="1" t="n">
        <v>83</v>
      </c>
      <c r="C3147" s="2" t="inlineStr">
        <is>
          <t>EVKUR</t>
        </is>
      </c>
      <c r="D3147" s="1" t="inlineStr">
        <is>
          <t>MNT 2265</t>
        </is>
      </c>
      <c r="E3147" s="1" t="inlineStr">
        <is>
          <t>MUHAMMED KANTAR</t>
        </is>
      </c>
      <c r="F3147" s="3" t="n"/>
      <c r="G3147" s="143" t="n"/>
      <c r="H3147" s="143" t="n">
        <v>220</v>
      </c>
      <c r="I3147" s="143">
        <f>+I3146+(G3147-H3147)</f>
        <v/>
      </c>
      <c r="J3147" s="144" t="n">
        <v>37.051</v>
      </c>
      <c r="K3147" s="145" t="n"/>
      <c r="L3147" s="140">
        <f>+H3147*J3147</f>
        <v/>
      </c>
      <c r="M3147" s="141">
        <f>SUM(M3146+K3147-L3147)</f>
        <v/>
      </c>
    </row>
    <row r="3148">
      <c r="A3148" s="20" t="n">
        <v>45834</v>
      </c>
      <c r="B3148" s="1" t="n">
        <v>84</v>
      </c>
      <c r="C3148" s="2" t="inlineStr">
        <is>
          <t>CEVİZ MOBİLYA</t>
        </is>
      </c>
      <c r="D3148" s="1" t="inlineStr">
        <is>
          <t>SM 350</t>
        </is>
      </c>
      <c r="E3148" s="1" t="inlineStr">
        <is>
          <t>TEVFİK ÖZTÜRK</t>
        </is>
      </c>
      <c r="F3148" s="3" t="n"/>
      <c r="G3148" s="143" t="n"/>
      <c r="H3148" s="143" t="n">
        <v>390</v>
      </c>
      <c r="I3148" s="143">
        <f>+I3147+(G3148-H3148)</f>
        <v/>
      </c>
      <c r="J3148" s="144" t="n">
        <v>37.051</v>
      </c>
      <c r="K3148" s="145" t="n"/>
      <c r="L3148" s="140">
        <f>+H3148*J3148</f>
        <v/>
      </c>
      <c r="M3148" s="141">
        <f>SUM(M3147+K3148-L3148)</f>
        <v/>
      </c>
    </row>
    <row r="3149">
      <c r="A3149" s="20" t="n">
        <v>45834</v>
      </c>
      <c r="B3149" s="21" t="n">
        <v>14434</v>
      </c>
      <c r="C3149" s="22" t="inlineStr">
        <is>
          <t>SELİM İNŞAAT</t>
        </is>
      </c>
      <c r="D3149" s="21" t="inlineStr">
        <is>
          <t>34 EGE 737</t>
        </is>
      </c>
      <c r="E3149" s="21" t="inlineStr">
        <is>
          <t>CEM MUHTAR</t>
        </is>
      </c>
      <c r="F3149" s="23" t="n">
        <v>416718</v>
      </c>
      <c r="G3149" s="138" t="n"/>
      <c r="H3149" s="138" t="n">
        <v>441</v>
      </c>
      <c r="I3149" s="138">
        <f>+I3148+(G3149-H3149)</f>
        <v/>
      </c>
      <c r="J3149" s="139" t="n">
        <v>37.051</v>
      </c>
      <c r="K3149" s="140" t="n"/>
      <c r="L3149" s="140">
        <f>+H3149*J3149</f>
        <v/>
      </c>
      <c r="M3149" s="141">
        <f>SUM(M3148+K3149-L3149)</f>
        <v/>
      </c>
    </row>
    <row r="3150">
      <c r="A3150" s="20" t="n">
        <v>45834</v>
      </c>
      <c r="B3150" s="21" t="n">
        <v>15962</v>
      </c>
      <c r="C3150" s="22" t="inlineStr">
        <is>
          <t>SELİM İNŞAAT</t>
        </is>
      </c>
      <c r="D3150" s="21" t="inlineStr">
        <is>
          <t>34 FBR 781</t>
        </is>
      </c>
      <c r="E3150" s="21" t="inlineStr">
        <is>
          <t>MEVLÜT POLAT</t>
        </is>
      </c>
      <c r="F3150" s="23" t="n">
        <v>305971</v>
      </c>
      <c r="G3150" s="138" t="n"/>
      <c r="H3150" s="138" t="n">
        <v>297</v>
      </c>
      <c r="I3150" s="138">
        <f>+I3149+(G3150-H3150)</f>
        <v/>
      </c>
      <c r="J3150" s="139" t="n">
        <v>37.051</v>
      </c>
      <c r="K3150" s="140" t="n"/>
      <c r="L3150" s="140">
        <f>+H3150*J3150</f>
        <v/>
      </c>
      <c r="M3150" s="141">
        <f>SUM(M3149+K3150-L3150)</f>
        <v/>
      </c>
    </row>
    <row r="3151">
      <c r="A3151" s="20" t="n">
        <v>45834</v>
      </c>
      <c r="B3151" s="21" t="n">
        <v>15059</v>
      </c>
      <c r="C3151" s="22" t="inlineStr">
        <is>
          <t>SELİM İNŞAAT</t>
        </is>
      </c>
      <c r="D3151" s="21" t="inlineStr">
        <is>
          <t>34 EGR 736</t>
        </is>
      </c>
      <c r="E3151" s="21" t="inlineStr">
        <is>
          <t>HAKAN ÇAVUŞOĞLU</t>
        </is>
      </c>
      <c r="F3151" s="23" t="n">
        <v>392161</v>
      </c>
      <c r="G3151" s="138" t="n"/>
      <c r="H3151" s="138" t="n">
        <v>422</v>
      </c>
      <c r="I3151" s="138">
        <f>+I3150+(G3151-H3151)</f>
        <v/>
      </c>
      <c r="J3151" s="139" t="n">
        <v>37.051</v>
      </c>
      <c r="K3151" s="140" t="n"/>
      <c r="L3151" s="140">
        <f>+H3151*J3151</f>
        <v/>
      </c>
      <c r="M3151" s="141">
        <f>SUM(M3150+K3151-L3151)</f>
        <v/>
      </c>
    </row>
    <row r="3152">
      <c r="A3152" s="20" t="n">
        <v>45834</v>
      </c>
      <c r="B3152" s="21" t="n">
        <v>15860</v>
      </c>
      <c r="C3152" s="22" t="inlineStr">
        <is>
          <t>SELİM İNŞAAT</t>
        </is>
      </c>
      <c r="D3152" s="21" t="inlineStr">
        <is>
          <t>34 EDB 754</t>
        </is>
      </c>
      <c r="E3152" s="21" t="inlineStr">
        <is>
          <t>EMİN PARLAKKILIÇ</t>
        </is>
      </c>
      <c r="F3152" s="23" t="n">
        <v>324519</v>
      </c>
      <c r="G3152" s="138" t="n"/>
      <c r="H3152" s="138" t="n">
        <v>227</v>
      </c>
      <c r="I3152" s="138">
        <f>+I3151+(G3152-H3152)</f>
        <v/>
      </c>
      <c r="J3152" s="139" t="n">
        <v>37.051</v>
      </c>
      <c r="K3152" s="140" t="n"/>
      <c r="L3152" s="140">
        <f>+H3152*J3152</f>
        <v/>
      </c>
      <c r="M3152" s="141">
        <f>SUM(M3151+K3152-L3152)</f>
        <v/>
      </c>
    </row>
    <row r="3153">
      <c r="A3153" s="20" t="n">
        <v>45834</v>
      </c>
      <c r="B3153" s="21" t="n">
        <v>15212</v>
      </c>
      <c r="C3153" s="22" t="inlineStr">
        <is>
          <t>SELİM İNŞAAT</t>
        </is>
      </c>
      <c r="D3153" s="21" t="inlineStr">
        <is>
          <t>34 DSN 565</t>
        </is>
      </c>
      <c r="E3153" s="21" t="inlineStr">
        <is>
          <t>FARUK ÖZEN</t>
        </is>
      </c>
      <c r="F3153" s="23" t="n">
        <v>403608</v>
      </c>
      <c r="G3153" s="138" t="n"/>
      <c r="H3153" s="138" t="n">
        <v>434</v>
      </c>
      <c r="I3153" s="138">
        <f>+I3152+(G3153-H3153)</f>
        <v/>
      </c>
      <c r="J3153" s="139" t="n">
        <v>37.051</v>
      </c>
      <c r="K3153" s="140" t="n"/>
      <c r="L3153" s="140">
        <f>+H3153*J3153</f>
        <v/>
      </c>
      <c r="M3153" s="141">
        <f>SUM(M3152+K3153-L3153)</f>
        <v/>
      </c>
    </row>
    <row r="3154">
      <c r="A3154" s="20" t="n">
        <v>45834</v>
      </c>
      <c r="B3154" s="21" t="n">
        <v>553</v>
      </c>
      <c r="C3154" s="22" t="inlineStr">
        <is>
          <t>SELİM İNŞAAT</t>
        </is>
      </c>
      <c r="D3154" s="21" t="inlineStr">
        <is>
          <t>34 EDB 922</t>
        </is>
      </c>
      <c r="E3154" s="21" t="inlineStr">
        <is>
          <t>AHMET TOPÇU</t>
        </is>
      </c>
      <c r="F3154" s="23" t="n">
        <v>364507</v>
      </c>
      <c r="G3154" s="138" t="n"/>
      <c r="H3154" s="138" t="n">
        <v>422</v>
      </c>
      <c r="I3154" s="138">
        <f>+I3153+(G3154-H3154)</f>
        <v/>
      </c>
      <c r="J3154" s="139" t="n">
        <v>37.051</v>
      </c>
      <c r="K3154" s="140" t="n"/>
      <c r="L3154" s="140">
        <f>+H3154*J3154</f>
        <v/>
      </c>
      <c r="M3154" s="141">
        <f>SUM(M3153+K3154-L3154)</f>
        <v/>
      </c>
    </row>
    <row r="3155">
      <c r="A3155" s="20" t="n">
        <v>45834</v>
      </c>
      <c r="B3155" s="21" t="n">
        <v>15026</v>
      </c>
      <c r="C3155" s="22" t="inlineStr">
        <is>
          <t>SELİM İNŞAAT</t>
        </is>
      </c>
      <c r="D3155" s="21" t="inlineStr">
        <is>
          <t>34 GVZ 199</t>
        </is>
      </c>
      <c r="E3155" s="21" t="inlineStr">
        <is>
          <t>VAHDET GÜRLER</t>
        </is>
      </c>
      <c r="F3155" s="23" t="n">
        <v>183371</v>
      </c>
      <c r="G3155" s="138" t="n"/>
      <c r="H3155" s="138" t="n">
        <v>423</v>
      </c>
      <c r="I3155" s="138">
        <f>+I3154+(G3155-H3155)</f>
        <v/>
      </c>
      <c r="J3155" s="139" t="n">
        <v>37.051</v>
      </c>
      <c r="K3155" s="140" t="n"/>
      <c r="L3155" s="140">
        <f>+H3155*J3155</f>
        <v/>
      </c>
      <c r="M3155" s="141">
        <f>SUM(M3154+K3155-L3155)</f>
        <v/>
      </c>
    </row>
    <row r="3156">
      <c r="A3156" s="20" t="n">
        <v>45834</v>
      </c>
      <c r="B3156" s="21" t="n">
        <v>14042</v>
      </c>
      <c r="C3156" s="22" t="inlineStr">
        <is>
          <t>SELİM İNŞAAT</t>
        </is>
      </c>
      <c r="D3156" s="21" t="inlineStr">
        <is>
          <t>34 GVZ 310</t>
        </is>
      </c>
      <c r="E3156" s="21" t="inlineStr">
        <is>
          <t>CELAL YÜZBAŞI</t>
        </is>
      </c>
      <c r="F3156" s="23" t="n">
        <v>200313</v>
      </c>
      <c r="G3156" s="138" t="n"/>
      <c r="H3156" s="138" t="n">
        <v>472</v>
      </c>
      <c r="I3156" s="138">
        <f>+I3155+(G3156-H3156)</f>
        <v/>
      </c>
      <c r="J3156" s="139" t="n">
        <v>37.051</v>
      </c>
      <c r="K3156" s="140" t="n"/>
      <c r="L3156" s="140">
        <f>+H3156*J3156</f>
        <v/>
      </c>
      <c r="M3156" s="141">
        <f>SUM(M3155+K3156-L3156)</f>
        <v/>
      </c>
    </row>
    <row r="3157">
      <c r="A3157" s="20" t="n">
        <v>45834</v>
      </c>
      <c r="B3157" s="21" t="n">
        <v>14491</v>
      </c>
      <c r="C3157" s="22" t="inlineStr">
        <is>
          <t>SELİM İNŞAAT</t>
        </is>
      </c>
      <c r="D3157" s="21" t="inlineStr">
        <is>
          <t>34 GUS 848</t>
        </is>
      </c>
      <c r="E3157" s="21" t="inlineStr">
        <is>
          <t>SERDAR BOZKURT</t>
        </is>
      </c>
      <c r="F3157" s="23" t="n">
        <v>194448</v>
      </c>
      <c r="G3157" s="138" t="n"/>
      <c r="H3157" s="138" t="n">
        <v>421</v>
      </c>
      <c r="I3157" s="138">
        <f>+I3156+(G3157-H3157)</f>
        <v/>
      </c>
      <c r="J3157" s="139" t="n">
        <v>37.051</v>
      </c>
      <c r="K3157" s="140" t="n"/>
      <c r="L3157" s="140">
        <f>+H3157*J3157</f>
        <v/>
      </c>
      <c r="M3157" s="141">
        <f>SUM(M3156+K3157-L3157)</f>
        <v/>
      </c>
    </row>
    <row r="3158">
      <c r="A3158" s="20" t="n">
        <v>45834</v>
      </c>
      <c r="B3158" s="21" t="n">
        <v>14139</v>
      </c>
      <c r="C3158" s="22" t="inlineStr">
        <is>
          <t>SELİM İNŞAAT</t>
        </is>
      </c>
      <c r="D3158" s="21" t="inlineStr">
        <is>
          <t>34 DSN 536</t>
        </is>
      </c>
      <c r="E3158" s="21" t="inlineStr">
        <is>
          <t>DURSUN ALİ GÜREK</t>
        </is>
      </c>
      <c r="F3158" s="23" t="n">
        <v>408002</v>
      </c>
      <c r="G3158" s="138" t="n"/>
      <c r="H3158" s="138" t="n">
        <v>411</v>
      </c>
      <c r="I3158" s="138">
        <f>+I3157+(G3158-H3158)</f>
        <v/>
      </c>
      <c r="J3158" s="139" t="n">
        <v>37.051</v>
      </c>
      <c r="K3158" s="140" t="n"/>
      <c r="L3158" s="140">
        <f>+H3158*J3158</f>
        <v/>
      </c>
      <c r="M3158" s="141">
        <f>SUM(M3157+K3158-L3158)</f>
        <v/>
      </c>
    </row>
    <row r="3159">
      <c r="A3159" s="20" t="n">
        <v>45834</v>
      </c>
      <c r="B3159" s="21" t="n">
        <v>10241</v>
      </c>
      <c r="C3159" s="22" t="inlineStr">
        <is>
          <t>SELİM İNŞAAT</t>
        </is>
      </c>
      <c r="D3159" s="21" t="inlineStr">
        <is>
          <t>34 DSN 621</t>
        </is>
      </c>
      <c r="E3159" s="21" t="inlineStr">
        <is>
          <t>MUSTAFA KAYA</t>
        </is>
      </c>
      <c r="F3159" s="23" t="n">
        <v>412852</v>
      </c>
      <c r="G3159" s="138" t="n"/>
      <c r="H3159" s="138" t="n">
        <v>470</v>
      </c>
      <c r="I3159" s="138">
        <f>+I3158+(G3159-H3159)</f>
        <v/>
      </c>
      <c r="J3159" s="139" t="n">
        <v>37.051</v>
      </c>
      <c r="K3159" s="140" t="n"/>
      <c r="L3159" s="140">
        <f>+H3159*J3159</f>
        <v/>
      </c>
      <c r="M3159" s="141">
        <f>SUM(M3158+K3159-L3159)</f>
        <v/>
      </c>
    </row>
    <row r="3160">
      <c r="A3160" s="20" t="n">
        <v>45834</v>
      </c>
      <c r="B3160" s="21" t="n">
        <v>21632</v>
      </c>
      <c r="C3160" s="22" t="inlineStr">
        <is>
          <t>SELİM İNŞAAT</t>
        </is>
      </c>
      <c r="D3160" s="21" t="inlineStr">
        <is>
          <t xml:space="preserve">34 DHC 467 </t>
        </is>
      </c>
      <c r="E3160" s="21" t="inlineStr">
        <is>
          <t>EDİP TORLAK</t>
        </is>
      </c>
      <c r="F3160" s="23" t="n">
        <v>406640</v>
      </c>
      <c r="G3160" s="138" t="n"/>
      <c r="H3160" s="138" t="n">
        <v>432</v>
      </c>
      <c r="I3160" s="138">
        <f>+I3159+(G3160-H3160)</f>
        <v/>
      </c>
      <c r="J3160" s="139" t="n">
        <v>37.051</v>
      </c>
      <c r="K3160" s="140" t="n"/>
      <c r="L3160" s="140">
        <f>+H3160*J3160</f>
        <v/>
      </c>
      <c r="M3160" s="141">
        <f>SUM(M3159+K3160-L3160)</f>
        <v/>
      </c>
    </row>
    <row r="3161">
      <c r="A3161" s="20" t="n">
        <v>45834</v>
      </c>
      <c r="B3161" s="21" t="n">
        <v>751</v>
      </c>
      <c r="C3161" s="22" t="inlineStr">
        <is>
          <t>SELİM İNŞAAT</t>
        </is>
      </c>
      <c r="D3161" s="21" t="inlineStr">
        <is>
          <t>34 EDB 559</t>
        </is>
      </c>
      <c r="E3161" s="21" t="inlineStr">
        <is>
          <t>KERİM KARAMAN</t>
        </is>
      </c>
      <c r="F3161" s="23" t="n">
        <v>325765</v>
      </c>
      <c r="G3161" s="138" t="n"/>
      <c r="H3161" s="138" t="n">
        <v>379</v>
      </c>
      <c r="I3161" s="138">
        <f>+I3160+(G3161-H3161)</f>
        <v/>
      </c>
      <c r="J3161" s="139" t="n">
        <v>37.051</v>
      </c>
      <c r="K3161" s="140" t="n"/>
      <c r="L3161" s="140">
        <f>+H3161*J3161</f>
        <v/>
      </c>
      <c r="M3161" s="141">
        <f>SUM(M3160+K3161-L3161)</f>
        <v/>
      </c>
    </row>
    <row r="3162">
      <c r="A3162" s="20" t="n">
        <v>45834</v>
      </c>
      <c r="B3162" s="21" t="n">
        <v>14092</v>
      </c>
      <c r="C3162" s="22" t="inlineStr">
        <is>
          <t>SELİM İNŞAAT</t>
        </is>
      </c>
      <c r="D3162" s="21" t="inlineStr">
        <is>
          <t>34 EDB 659</t>
        </is>
      </c>
      <c r="E3162" s="21" t="inlineStr">
        <is>
          <t>MEHMET SAİT ANIK</t>
        </is>
      </c>
      <c r="F3162" s="23" t="n">
        <v>342640</v>
      </c>
      <c r="G3162" s="138" t="n"/>
      <c r="H3162" s="138" t="n">
        <v>385</v>
      </c>
      <c r="I3162" s="138">
        <f>+I3161+(G3162-H3162)</f>
        <v/>
      </c>
      <c r="J3162" s="139" t="n">
        <v>37.051</v>
      </c>
      <c r="K3162" s="140" t="n"/>
      <c r="L3162" s="140">
        <f>+H3162*J3162</f>
        <v/>
      </c>
      <c r="M3162" s="141">
        <f>SUM(M3161+K3162-L3162)</f>
        <v/>
      </c>
    </row>
    <row r="3163">
      <c r="A3163" s="20" t="n">
        <v>45834</v>
      </c>
      <c r="B3163" s="21" t="n">
        <v>651</v>
      </c>
      <c r="C3163" s="22" t="inlineStr">
        <is>
          <t>SELİM İNŞAAT</t>
        </is>
      </c>
      <c r="D3163" s="21" t="inlineStr">
        <is>
          <t>34 DTV 352</t>
        </is>
      </c>
      <c r="E3163" s="21" t="inlineStr">
        <is>
          <t>ADEM DENİZ</t>
        </is>
      </c>
      <c r="F3163" s="23" t="n">
        <v>435300</v>
      </c>
      <c r="G3163" s="138" t="n"/>
      <c r="H3163" s="138" t="n">
        <v>490</v>
      </c>
      <c r="I3163" s="138">
        <f>+I3162+(G3163-H3163)</f>
        <v/>
      </c>
      <c r="J3163" s="139" t="n">
        <v>37.051</v>
      </c>
      <c r="K3163" s="140" t="n"/>
      <c r="L3163" s="140">
        <f>+H3163*J3163</f>
        <v/>
      </c>
      <c r="M3163" s="141">
        <f>SUM(M3162+K3163-L3163)</f>
        <v/>
      </c>
    </row>
    <row r="3164">
      <c r="A3164" s="20" t="n">
        <v>45834</v>
      </c>
      <c r="B3164" s="21" t="n">
        <v>15114</v>
      </c>
      <c r="C3164" s="22" t="inlineStr">
        <is>
          <t>SELİM İNŞAAT</t>
        </is>
      </c>
      <c r="D3164" s="21" t="inlineStr">
        <is>
          <t>34 DTV 599</t>
        </is>
      </c>
      <c r="E3164" s="21" t="inlineStr">
        <is>
          <t>FERHAT GÜRLER</t>
        </is>
      </c>
      <c r="F3164" s="23" t="n">
        <v>433784</v>
      </c>
      <c r="G3164" s="138" t="n"/>
      <c r="H3164" s="138" t="n">
        <v>492</v>
      </c>
      <c r="I3164" s="138">
        <f>+I3163+(G3164-H3164)</f>
        <v/>
      </c>
      <c r="J3164" s="139" t="n">
        <v>37.051</v>
      </c>
      <c r="K3164" s="140" t="n"/>
      <c r="L3164" s="140">
        <f>+H3164*J3164</f>
        <v/>
      </c>
      <c r="M3164" s="141">
        <f>SUM(M3163+K3164-L3164)</f>
        <v/>
      </c>
    </row>
    <row r="3165">
      <c r="A3165" s="20" t="n">
        <v>45834</v>
      </c>
      <c r="B3165" s="21" t="n">
        <v>804</v>
      </c>
      <c r="C3165" s="22" t="inlineStr">
        <is>
          <t>SELİM İNŞAAT</t>
        </is>
      </c>
      <c r="D3165" s="21" t="inlineStr">
        <is>
          <t>34 FBR 705</t>
        </is>
      </c>
      <c r="E3165" s="21" t="inlineStr">
        <is>
          <t>MESUT GÜRLER</t>
        </is>
      </c>
      <c r="F3165" s="23" t="n">
        <v>317858</v>
      </c>
      <c r="G3165" s="138" t="n"/>
      <c r="H3165" s="138" t="n">
        <v>523</v>
      </c>
      <c r="I3165" s="138">
        <f>+I3164+(G3165-H3165)</f>
        <v/>
      </c>
      <c r="J3165" s="139" t="n">
        <v>37.051</v>
      </c>
      <c r="K3165" s="140" t="n"/>
      <c r="L3165" s="140">
        <f>+H3165*J3165</f>
        <v/>
      </c>
      <c r="M3165" s="141">
        <f>SUM(M3164+K3165-L3165)</f>
        <v/>
      </c>
    </row>
    <row r="3166">
      <c r="A3166" s="20" t="n">
        <v>45834</v>
      </c>
      <c r="B3166" s="21" t="n">
        <v>21332</v>
      </c>
      <c r="C3166" s="22" t="inlineStr">
        <is>
          <t>SELİM İNŞAAT</t>
        </is>
      </c>
      <c r="D3166" s="21" t="inlineStr">
        <is>
          <t>34 FEM 934</t>
        </is>
      </c>
      <c r="E3166" s="21" t="inlineStr">
        <is>
          <t>TURAN SEVİNDİK</t>
        </is>
      </c>
      <c r="F3166" s="23" t="n">
        <v>311452</v>
      </c>
      <c r="G3166" s="138" t="n"/>
      <c r="H3166" s="138" t="n">
        <v>50</v>
      </c>
      <c r="I3166" s="138">
        <f>+I3165+(G3166-H3166)</f>
        <v/>
      </c>
      <c r="J3166" s="139" t="n">
        <v>37.051</v>
      </c>
      <c r="K3166" s="140" t="n"/>
      <c r="L3166" s="140">
        <f>+H3166*J3166</f>
        <v/>
      </c>
      <c r="M3166" s="141">
        <f>SUM(M3165+K3166-L3166)</f>
        <v/>
      </c>
    </row>
    <row r="3167">
      <c r="A3167" s="20" t="n">
        <v>45834</v>
      </c>
      <c r="B3167" s="21" t="n">
        <v>16744</v>
      </c>
      <c r="C3167" s="22" t="inlineStr">
        <is>
          <t>SELİM İNŞAAT</t>
        </is>
      </c>
      <c r="D3167" s="21" t="inlineStr">
        <is>
          <t>34 JBA 25</t>
        </is>
      </c>
      <c r="E3167" s="21" t="inlineStr">
        <is>
          <t>ABDURAHMAN SERDAN</t>
        </is>
      </c>
      <c r="F3167" s="23" t="n">
        <v>336025</v>
      </c>
      <c r="G3167" s="138" t="n"/>
      <c r="H3167" s="138" t="n">
        <v>67</v>
      </c>
      <c r="I3167" s="138">
        <f>+I3166+(G3167-H3167)</f>
        <v/>
      </c>
      <c r="J3167" s="139" t="n">
        <v>37.051</v>
      </c>
      <c r="K3167" s="140" t="n"/>
      <c r="L3167" s="140">
        <f>+H3167*J3167</f>
        <v/>
      </c>
      <c r="M3167" s="141">
        <f>SUM(M3166+K3167-L3167)</f>
        <v/>
      </c>
    </row>
    <row r="3168">
      <c r="A3168" s="20" t="n">
        <v>45834</v>
      </c>
      <c r="B3168" s="21" t="n">
        <v>15162</v>
      </c>
      <c r="C3168" s="22" t="inlineStr">
        <is>
          <t>SELİM İNŞAAT</t>
        </is>
      </c>
      <c r="D3168" s="21" t="inlineStr">
        <is>
          <t>34 DP 4161</t>
        </is>
      </c>
      <c r="E3168" s="21" t="inlineStr">
        <is>
          <t>RIFAT KARATAY</t>
        </is>
      </c>
      <c r="F3168" s="23" t="n">
        <v>287668</v>
      </c>
      <c r="G3168" s="138" t="n"/>
      <c r="H3168" s="138" t="n">
        <v>219</v>
      </c>
      <c r="I3168" s="138">
        <f>+I3167+(G3168-H3168)</f>
        <v/>
      </c>
      <c r="J3168" s="139" t="n">
        <v>37.051</v>
      </c>
      <c r="K3168" s="140" t="n"/>
      <c r="L3168" s="140">
        <f>+H3168*J3168</f>
        <v/>
      </c>
      <c r="M3168" s="141">
        <f>SUM(M3167+K3168-L3168)</f>
        <v/>
      </c>
    </row>
    <row r="3169">
      <c r="A3169" s="20" t="n">
        <v>45834</v>
      </c>
      <c r="B3169" s="21" t="n">
        <v>155</v>
      </c>
      <c r="C3169" s="22" t="inlineStr">
        <is>
          <t>SELİM İNŞAAT</t>
        </is>
      </c>
      <c r="D3169" s="21" t="inlineStr">
        <is>
          <t>34 TG 7869</t>
        </is>
      </c>
      <c r="E3169" s="21" t="inlineStr">
        <is>
          <t>GÖRKEM KARAYEL</t>
        </is>
      </c>
      <c r="F3169" s="23" t="n">
        <v>183892</v>
      </c>
      <c r="G3169" s="138" t="n"/>
      <c r="H3169" s="138" t="n">
        <v>249</v>
      </c>
      <c r="I3169" s="138">
        <f>+I3168+(G3169-H3169)</f>
        <v/>
      </c>
      <c r="J3169" s="139" t="n">
        <v>37.051</v>
      </c>
      <c r="K3169" s="140" t="n"/>
      <c r="L3169" s="140">
        <f>+H3169*J3169</f>
        <v/>
      </c>
      <c r="M3169" s="141">
        <f>SUM(M3168+K3169-L3169)</f>
        <v/>
      </c>
    </row>
    <row r="3170">
      <c r="A3170" s="20" t="n">
        <v>45834</v>
      </c>
      <c r="B3170" s="21" t="n">
        <v>10586</v>
      </c>
      <c r="C3170" s="22" t="inlineStr">
        <is>
          <t>SELİM İNŞAAT</t>
        </is>
      </c>
      <c r="D3170" s="21" t="inlineStr">
        <is>
          <t>34 GU 945</t>
        </is>
      </c>
      <c r="E3170" s="21" t="inlineStr">
        <is>
          <t>ŞERİF KARTAL</t>
        </is>
      </c>
      <c r="F3170" s="23" t="n">
        <v>448967</v>
      </c>
      <c r="G3170" s="138" t="n"/>
      <c r="H3170" s="138" t="n">
        <v>58</v>
      </c>
      <c r="I3170" s="138">
        <f>+I3169+(G3170-H3170)</f>
        <v/>
      </c>
      <c r="J3170" s="139" t="n">
        <v>37.051</v>
      </c>
      <c r="K3170" s="140" t="n"/>
      <c r="L3170" s="140">
        <f>+H3170*J3170</f>
        <v/>
      </c>
      <c r="M3170" s="141">
        <f>SUM(M3169+K3170-L3170)</f>
        <v/>
      </c>
    </row>
    <row r="3171">
      <c r="A3171" s="20" t="n">
        <v>45834</v>
      </c>
      <c r="B3171" s="21" t="n">
        <v>15922</v>
      </c>
      <c r="C3171" s="22" t="inlineStr">
        <is>
          <t>SELİM İNŞAAT</t>
        </is>
      </c>
      <c r="D3171" s="21" t="inlineStr">
        <is>
          <t>34 DFE 454</t>
        </is>
      </c>
      <c r="E3171" s="21" t="inlineStr">
        <is>
          <t>METİN KALKAN</t>
        </is>
      </c>
      <c r="F3171" s="23" t="n">
        <v>160362</v>
      </c>
      <c r="G3171" s="138" t="n"/>
      <c r="H3171" s="138" t="n">
        <v>227</v>
      </c>
      <c r="I3171" s="138">
        <f>+I3170+(G3171-H3171)</f>
        <v/>
      </c>
      <c r="J3171" s="139" t="n">
        <v>37.051</v>
      </c>
      <c r="K3171" s="140" t="n"/>
      <c r="L3171" s="140">
        <f>+H3171*J3171</f>
        <v/>
      </c>
      <c r="M3171" s="141">
        <f>SUM(M3170+K3171-L3171)</f>
        <v/>
      </c>
    </row>
    <row r="3172">
      <c r="A3172" s="20" t="n">
        <v>45834</v>
      </c>
      <c r="B3172" s="21" t="n">
        <v>11375</v>
      </c>
      <c r="C3172" s="22" t="inlineStr">
        <is>
          <t>AZGÜN YAPI</t>
        </is>
      </c>
      <c r="D3172" s="21" t="inlineStr">
        <is>
          <t>34 MKT 593</t>
        </is>
      </c>
      <c r="E3172" s="21" t="inlineStr">
        <is>
          <t>İBRAHİM GÜLLÜK</t>
        </is>
      </c>
      <c r="F3172" s="23" t="n"/>
      <c r="G3172" s="138" t="n"/>
      <c r="H3172" s="138" t="n">
        <v>657</v>
      </c>
      <c r="I3172" s="138">
        <f>+I3171+(G3172-H3172)</f>
        <v/>
      </c>
      <c r="J3172" s="139" t="n">
        <v>37.051</v>
      </c>
      <c r="K3172" s="140" t="n"/>
      <c r="L3172" s="140">
        <f>+H3172*J3172</f>
        <v/>
      </c>
      <c r="M3172" s="141">
        <f>SUM(M3171+K3172-L3172)</f>
        <v/>
      </c>
    </row>
    <row r="3173">
      <c r="A3173" s="20" t="n">
        <v>45834</v>
      </c>
      <c r="B3173" s="21" t="n">
        <v>14745</v>
      </c>
      <c r="C3173" s="22" t="inlineStr">
        <is>
          <t>METİN ERYİĞİT</t>
        </is>
      </c>
      <c r="D3173" s="21" t="inlineStr">
        <is>
          <t>34 GBL 998</t>
        </is>
      </c>
      <c r="E3173" s="21" t="inlineStr">
        <is>
          <t>ALİ KESKİN</t>
        </is>
      </c>
      <c r="F3173" s="23" t="n">
        <v>271631</v>
      </c>
      <c r="G3173" s="138" t="n"/>
      <c r="H3173" s="138" t="n">
        <v>480</v>
      </c>
      <c r="I3173" s="138">
        <f>+I3172+(G3173-H3173)</f>
        <v/>
      </c>
      <c r="J3173" s="139" t="n">
        <v>37.051</v>
      </c>
      <c r="K3173" s="140" t="n"/>
      <c r="L3173" s="140">
        <f>+H3173*J3173</f>
        <v/>
      </c>
      <c r="M3173" s="141">
        <f>SUM(M3172+K3173-L3173)</f>
        <v/>
      </c>
    </row>
    <row r="3174">
      <c r="A3174" s="20" t="n">
        <v>45834</v>
      </c>
      <c r="B3174" s="21" t="n">
        <v>15669</v>
      </c>
      <c r="C3174" s="22" t="inlineStr">
        <is>
          <t>METİN ERYİĞİT</t>
        </is>
      </c>
      <c r="D3174" s="21" t="inlineStr">
        <is>
          <t>34 EGR 814</t>
        </is>
      </c>
      <c r="E3174" s="21" t="inlineStr">
        <is>
          <t>GÜRAY KOYUNCU</t>
        </is>
      </c>
      <c r="F3174" s="23" t="n">
        <v>545083</v>
      </c>
      <c r="G3174" s="138" t="n"/>
      <c r="H3174" s="138" t="n">
        <v>257</v>
      </c>
      <c r="I3174" s="138">
        <f>+I3173+(G3174-H3174)</f>
        <v/>
      </c>
      <c r="J3174" s="139" t="n">
        <v>37.051</v>
      </c>
      <c r="K3174" s="140" t="n"/>
      <c r="L3174" s="140">
        <f>+H3174*J3174</f>
        <v/>
      </c>
      <c r="M3174" s="141">
        <f>SUM(M3173+K3174-L3174)</f>
        <v/>
      </c>
    </row>
    <row r="3175">
      <c r="A3175" s="20" t="n">
        <v>45835</v>
      </c>
      <c r="B3175" s="21" t="n">
        <v>841</v>
      </c>
      <c r="C3175" s="22" t="inlineStr">
        <is>
          <t>ÜNSOY TURİZM İNŞ.SAN.VE TİC.A.Ş.</t>
        </is>
      </c>
      <c r="D3175" s="21" t="n"/>
      <c r="E3175" s="21" t="n"/>
      <c r="F3175" s="23" t="n"/>
      <c r="G3175" s="138" t="n">
        <v>32160</v>
      </c>
      <c r="H3175" s="138" t="n"/>
      <c r="I3175" s="138">
        <f>+I3174+(G3175-H3175)</f>
        <v/>
      </c>
      <c r="J3175" s="139">
        <f>+K3175/G3175</f>
        <v/>
      </c>
      <c r="K3175" s="140" t="n">
        <v>1352109.31</v>
      </c>
      <c r="L3175" s="140">
        <f>+H3175*J3175</f>
        <v/>
      </c>
      <c r="M3175" s="141">
        <f>SUM(M3174+K3175-L3175)</f>
        <v/>
      </c>
    </row>
    <row r="3176">
      <c r="A3176" s="20" t="n">
        <v>45835</v>
      </c>
      <c r="B3176" s="1" t="n">
        <v>85</v>
      </c>
      <c r="C3176" s="2" t="inlineStr">
        <is>
          <t>MEGA VALIK</t>
        </is>
      </c>
      <c r="D3176" s="1" t="inlineStr">
        <is>
          <t>SM 300</t>
        </is>
      </c>
      <c r="E3176" s="1" t="inlineStr">
        <is>
          <t>TURGUT SANCAK</t>
        </is>
      </c>
      <c r="F3176" s="3" t="n"/>
      <c r="G3176" s="143" t="n"/>
      <c r="H3176" s="143" t="n">
        <v>405</v>
      </c>
      <c r="I3176" s="143">
        <f>+I3175+(G3176-H3176)</f>
        <v/>
      </c>
      <c r="J3176" s="144" t="n">
        <v>42.043</v>
      </c>
      <c r="K3176" s="145" t="n"/>
      <c r="L3176" s="140">
        <f>+H3176*J3176</f>
        <v/>
      </c>
      <c r="M3176" s="141">
        <f>SUM(M3175+K3176-L3176)</f>
        <v/>
      </c>
    </row>
    <row r="3177">
      <c r="A3177" s="20" t="n">
        <v>45835</v>
      </c>
      <c r="B3177" s="1" t="n">
        <v>86</v>
      </c>
      <c r="C3177" s="2" t="inlineStr">
        <is>
          <t>EVKUR</t>
        </is>
      </c>
      <c r="D3177" s="1" t="inlineStr">
        <is>
          <t>JCB KİRALIK KATO</t>
        </is>
      </c>
      <c r="E3177" s="1" t="inlineStr">
        <is>
          <t>BURAK BEY TALİMATI</t>
        </is>
      </c>
      <c r="F3177" s="3" t="n"/>
      <c r="G3177" s="143" t="n"/>
      <c r="H3177" s="143" t="n">
        <v>199</v>
      </c>
      <c r="I3177" s="143">
        <f>+I3176+(G3177-H3177)</f>
        <v/>
      </c>
      <c r="J3177" s="144" t="n">
        <v>42.043</v>
      </c>
      <c r="K3177" s="145" t="n"/>
      <c r="L3177" s="140">
        <f>+H3177*J3177</f>
        <v/>
      </c>
      <c r="M3177" s="141">
        <f>SUM(M3176+K3177-L3177)</f>
        <v/>
      </c>
    </row>
    <row r="3178">
      <c r="A3178" s="20" t="n">
        <v>45835</v>
      </c>
      <c r="B3178" s="21" t="n">
        <v>87</v>
      </c>
      <c r="C3178" s="22" t="inlineStr">
        <is>
          <t>EVKUR</t>
        </is>
      </c>
      <c r="D3178" s="21" t="inlineStr">
        <is>
          <t>FOKLİFT</t>
        </is>
      </c>
      <c r="E3178" s="21" t="inlineStr">
        <is>
          <t>FAHRİ KALFA</t>
        </is>
      </c>
      <c r="F3178" s="23" t="n"/>
      <c r="G3178" s="138" t="n"/>
      <c r="H3178" s="138" t="n">
        <v>81</v>
      </c>
      <c r="I3178" s="138">
        <f>+I3177+(G3178-H3178)</f>
        <v/>
      </c>
      <c r="J3178" s="139" t="n">
        <v>42.043</v>
      </c>
      <c r="K3178" s="140" t="n"/>
      <c r="L3178" s="140">
        <f>+H3178*J3178</f>
        <v/>
      </c>
      <c r="M3178" s="141">
        <f>SUM(M3177+K3178-L3178)</f>
        <v/>
      </c>
    </row>
    <row r="3179">
      <c r="A3179" s="20" t="n">
        <v>45835</v>
      </c>
      <c r="B3179" s="21" t="n">
        <v>88</v>
      </c>
      <c r="C3179" s="22" t="inlineStr">
        <is>
          <t>EVKUR</t>
        </is>
      </c>
      <c r="D3179" s="21" t="inlineStr">
        <is>
          <t>MANİTO</t>
        </is>
      </c>
      <c r="E3179" s="21" t="inlineStr">
        <is>
          <t>FAHRİ KALFA</t>
        </is>
      </c>
      <c r="F3179" s="23" t="n"/>
      <c r="G3179" s="138" t="n"/>
      <c r="H3179" s="138" t="n">
        <v>88</v>
      </c>
      <c r="I3179" s="138">
        <f>+I3178+(G3179-H3179)</f>
        <v/>
      </c>
      <c r="J3179" s="139" t="n">
        <v>42.043</v>
      </c>
      <c r="K3179" s="140" t="n"/>
      <c r="L3179" s="140">
        <f>+H3179*J3179</f>
        <v/>
      </c>
      <c r="M3179" s="141">
        <f>SUM(M3178+K3179-L3179)</f>
        <v/>
      </c>
    </row>
    <row r="3180">
      <c r="A3180" s="20" t="n">
        <v>45835</v>
      </c>
      <c r="B3180" s="1" t="n">
        <v>89</v>
      </c>
      <c r="C3180" s="2" t="inlineStr">
        <is>
          <t>MEGA VALIK</t>
        </is>
      </c>
      <c r="D3180" s="1" t="inlineStr">
        <is>
          <t>KAVAZAKİ</t>
        </is>
      </c>
      <c r="E3180" s="1" t="inlineStr">
        <is>
          <t>RAMAZAN KAYA</t>
        </is>
      </c>
      <c r="F3180" s="3" t="n"/>
      <c r="G3180" s="143" t="n"/>
      <c r="H3180" s="143" t="n">
        <v>294</v>
      </c>
      <c r="I3180" s="143">
        <f>+I3179+(G3180-H3180)</f>
        <v/>
      </c>
      <c r="J3180" s="144" t="n">
        <v>42.043</v>
      </c>
      <c r="K3180" s="145" t="n"/>
      <c r="L3180" s="140">
        <f>+H3180*J3180</f>
        <v/>
      </c>
      <c r="M3180" s="141">
        <f>SUM(M3179+K3180-L3180)</f>
        <v/>
      </c>
    </row>
    <row r="3181">
      <c r="A3181" s="20" t="n">
        <v>45835</v>
      </c>
      <c r="B3181" s="21" t="n">
        <v>15213</v>
      </c>
      <c r="C3181" s="22" t="inlineStr">
        <is>
          <t>SELİM İNŞAAT</t>
        </is>
      </c>
      <c r="D3181" s="21" t="inlineStr">
        <is>
          <t>34 DSN 565</t>
        </is>
      </c>
      <c r="E3181" s="21" t="inlineStr">
        <is>
          <t>FARUK ÖZEN</t>
        </is>
      </c>
      <c r="F3181" s="23" t="n">
        <v>403979</v>
      </c>
      <c r="G3181" s="138" t="n"/>
      <c r="H3181" s="138" t="n">
        <v>173</v>
      </c>
      <c r="I3181" s="138">
        <f>+I3180+(G3181-H3181)</f>
        <v/>
      </c>
      <c r="J3181" s="139" t="n">
        <v>42.043</v>
      </c>
      <c r="K3181" s="140" t="n"/>
      <c r="L3181" s="140">
        <f>+H3181*J3181</f>
        <v/>
      </c>
      <c r="M3181" s="141">
        <f>SUM(M3180+K3181-L3181)</f>
        <v/>
      </c>
    </row>
    <row r="3182">
      <c r="A3182" s="20" t="n">
        <v>45835</v>
      </c>
      <c r="B3182" s="21" t="n">
        <v>14241</v>
      </c>
      <c r="C3182" s="22" t="inlineStr">
        <is>
          <t>SELİM İNŞAAT</t>
        </is>
      </c>
      <c r="D3182" s="21" t="inlineStr">
        <is>
          <t xml:space="preserve">34 GUS 938 </t>
        </is>
      </c>
      <c r="E3182" s="21" t="inlineStr">
        <is>
          <t>MEHMET KAYA</t>
        </is>
      </c>
      <c r="F3182" s="23" t="n">
        <v>189479</v>
      </c>
      <c r="G3182" s="138" t="n"/>
      <c r="H3182" s="138" t="n">
        <v>433</v>
      </c>
      <c r="I3182" s="138">
        <f>+I3181+(G3182-H3182)</f>
        <v/>
      </c>
      <c r="J3182" s="139" t="n">
        <v>42.043</v>
      </c>
      <c r="K3182" s="140" t="n"/>
      <c r="L3182" s="140">
        <f>+H3182*J3182</f>
        <v/>
      </c>
      <c r="M3182" s="141">
        <f>SUM(M3181+K3182-L3182)</f>
        <v/>
      </c>
    </row>
    <row r="3183">
      <c r="A3183" s="20" t="n">
        <v>45835</v>
      </c>
      <c r="B3183" s="21" t="n">
        <v>105</v>
      </c>
      <c r="C3183" s="22" t="inlineStr">
        <is>
          <t>SELİM İNŞAAT</t>
        </is>
      </c>
      <c r="D3183" s="21" t="inlineStr">
        <is>
          <t>34 FBR 771</t>
        </is>
      </c>
      <c r="E3183" s="21" t="inlineStr">
        <is>
          <t>HÜSEYİN AKÇİN</t>
        </is>
      </c>
      <c r="F3183" s="23" t="n">
        <v>321874</v>
      </c>
      <c r="G3183" s="138" t="n"/>
      <c r="H3183" s="138" t="n">
        <v>478</v>
      </c>
      <c r="I3183" s="138">
        <f>+I3182+(G3183-H3183)</f>
        <v/>
      </c>
      <c r="J3183" s="139" t="n">
        <v>42.043</v>
      </c>
      <c r="K3183" s="140" t="n"/>
      <c r="L3183" s="140">
        <f>+H3183*J3183</f>
        <v/>
      </c>
      <c r="M3183" s="141">
        <f>SUM(M3182+K3183-L3183)</f>
        <v/>
      </c>
    </row>
    <row r="3184">
      <c r="A3184" s="20" t="n">
        <v>45835</v>
      </c>
      <c r="B3184" s="21" t="n">
        <v>308</v>
      </c>
      <c r="C3184" s="22" t="inlineStr">
        <is>
          <t>SELİM İNŞAAT</t>
        </is>
      </c>
      <c r="D3184" s="21" t="inlineStr">
        <is>
          <t>34 EDB 829</t>
        </is>
      </c>
      <c r="E3184" s="21" t="inlineStr">
        <is>
          <t>İSMET BAYRAM</t>
        </is>
      </c>
      <c r="F3184" s="23" t="n">
        <v>321952</v>
      </c>
      <c r="G3184" s="138" t="n"/>
      <c r="H3184" s="138" t="n">
        <v>512</v>
      </c>
      <c r="I3184" s="138">
        <f>+I3183+(G3184-H3184)</f>
        <v/>
      </c>
      <c r="J3184" s="139" t="n">
        <v>42.043</v>
      </c>
      <c r="K3184" s="140" t="n"/>
      <c r="L3184" s="140">
        <f>+H3184*J3184</f>
        <v/>
      </c>
      <c r="M3184" s="141">
        <f>SUM(M3183+K3184-L3184)</f>
        <v/>
      </c>
    </row>
    <row r="3185">
      <c r="A3185" s="20" t="n">
        <v>45835</v>
      </c>
      <c r="B3185" s="21" t="n">
        <v>10400</v>
      </c>
      <c r="C3185" s="22" t="inlineStr">
        <is>
          <t>SELİM İNŞAAT</t>
        </is>
      </c>
      <c r="D3185" s="21" t="inlineStr">
        <is>
          <t>34 DRU 690</t>
        </is>
      </c>
      <c r="E3185" s="21" t="inlineStr">
        <is>
          <t>MURAT DEMİRBAŞ</t>
        </is>
      </c>
      <c r="F3185" s="23" t="n">
        <v>418622</v>
      </c>
      <c r="G3185" s="138" t="n"/>
      <c r="H3185" s="138" t="n">
        <v>330</v>
      </c>
      <c r="I3185" s="138">
        <f>+I3184+(G3185-H3185)</f>
        <v/>
      </c>
      <c r="J3185" s="139" t="n">
        <v>42.043</v>
      </c>
      <c r="K3185" s="140" t="n"/>
      <c r="L3185" s="140">
        <f>+H3185*J3185</f>
        <v/>
      </c>
      <c r="M3185" s="141">
        <f>SUM(M3184+K3185-L3185)</f>
        <v/>
      </c>
    </row>
    <row r="3186">
      <c r="A3186" s="20" t="n">
        <v>45835</v>
      </c>
      <c r="B3186" s="21" t="n">
        <v>14765</v>
      </c>
      <c r="C3186" s="22" t="inlineStr">
        <is>
          <t>SELİM İNŞAAT</t>
        </is>
      </c>
      <c r="D3186" s="21" t="inlineStr">
        <is>
          <t>34 GYZ 635</t>
        </is>
      </c>
      <c r="E3186" s="21" t="inlineStr">
        <is>
          <t>ENGİN DEMİR</t>
        </is>
      </c>
      <c r="F3186" s="23" t="n">
        <v>175217</v>
      </c>
      <c r="G3186" s="138" t="n"/>
      <c r="H3186" s="138" t="n">
        <v>348</v>
      </c>
      <c r="I3186" s="138">
        <f>+I3185+(G3186-H3186)</f>
        <v/>
      </c>
      <c r="J3186" s="139" t="n">
        <v>42.043</v>
      </c>
      <c r="K3186" s="140" t="n"/>
      <c r="L3186" s="140">
        <f>+H3186*J3186</f>
        <v/>
      </c>
      <c r="M3186" s="141">
        <f>SUM(M3185+K3186-L3186)</f>
        <v/>
      </c>
    </row>
    <row r="3187">
      <c r="A3187" s="20" t="n">
        <v>45835</v>
      </c>
      <c r="B3187" s="21" t="n">
        <v>10242</v>
      </c>
      <c r="C3187" s="22" t="inlineStr">
        <is>
          <t>SELİM İNŞAAT</t>
        </is>
      </c>
      <c r="D3187" s="21" t="inlineStr">
        <is>
          <t>34 DSN 621</t>
        </is>
      </c>
      <c r="E3187" s="21" t="inlineStr">
        <is>
          <t>MUSTAFA KAYA</t>
        </is>
      </c>
      <c r="F3187" s="23" t="n">
        <v>413412</v>
      </c>
      <c r="G3187" s="138" t="n"/>
      <c r="H3187" s="138" t="n">
        <v>293</v>
      </c>
      <c r="I3187" s="138">
        <f>+I3186+(G3187-H3187)</f>
        <v/>
      </c>
      <c r="J3187" s="139" t="n">
        <v>42.043</v>
      </c>
      <c r="K3187" s="140" t="n"/>
      <c r="L3187" s="140">
        <f>+H3187*J3187</f>
        <v/>
      </c>
      <c r="M3187" s="141">
        <f>SUM(M3186+K3187-L3187)</f>
        <v/>
      </c>
    </row>
    <row r="3188">
      <c r="A3188" s="20" t="n">
        <v>45835</v>
      </c>
      <c r="B3188" s="21" t="n">
        <v>953</v>
      </c>
      <c r="C3188" s="22" t="inlineStr">
        <is>
          <t>SELİM İNŞAAT</t>
        </is>
      </c>
      <c r="D3188" s="21" t="inlineStr">
        <is>
          <t>34 FBR 742</t>
        </is>
      </c>
      <c r="E3188" s="21" t="inlineStr">
        <is>
          <t>MİKAİL BAYILMAZ</t>
        </is>
      </c>
      <c r="F3188" s="23" t="n">
        <v>321459</v>
      </c>
      <c r="G3188" s="138" t="n"/>
      <c r="H3188" s="138" t="n">
        <v>359</v>
      </c>
      <c r="I3188" s="138">
        <f>+I3187+(G3188-H3188)</f>
        <v/>
      </c>
      <c r="J3188" s="139" t="n">
        <v>42.043</v>
      </c>
      <c r="K3188" s="140" t="n"/>
      <c r="L3188" s="140">
        <f>+H3188*J3188</f>
        <v/>
      </c>
      <c r="M3188" s="141">
        <f>SUM(M3187+K3188-L3188)</f>
        <v/>
      </c>
    </row>
    <row r="3189">
      <c r="A3189" s="20" t="n">
        <v>45835</v>
      </c>
      <c r="B3189" s="21" t="n">
        <v>15259</v>
      </c>
      <c r="C3189" s="22" t="inlineStr">
        <is>
          <t>SELİM İNŞAAT</t>
        </is>
      </c>
      <c r="D3189" s="21" t="inlineStr">
        <is>
          <t>34 DTV 447</t>
        </is>
      </c>
      <c r="E3189" s="21" t="inlineStr">
        <is>
          <t>EBUBEKİR KOLDAŞ</t>
        </is>
      </c>
      <c r="F3189" s="23" t="n">
        <v>431623</v>
      </c>
      <c r="G3189" s="138" t="n"/>
      <c r="H3189" s="138" t="n">
        <v>372</v>
      </c>
      <c r="I3189" s="138">
        <f>+I3188+(G3189-H3189)</f>
        <v/>
      </c>
      <c r="J3189" s="139" t="n">
        <v>42.043</v>
      </c>
      <c r="K3189" s="140" t="n"/>
      <c r="L3189" s="140">
        <f>+H3189*J3189</f>
        <v/>
      </c>
      <c r="M3189" s="141">
        <f>SUM(M3188+K3189-L3189)</f>
        <v/>
      </c>
    </row>
    <row r="3190">
      <c r="A3190" s="20" t="n">
        <v>45835</v>
      </c>
      <c r="B3190" s="21" t="n">
        <v>11491</v>
      </c>
      <c r="C3190" s="22" t="inlineStr">
        <is>
          <t>SELİM İNŞAAT</t>
        </is>
      </c>
      <c r="D3190" s="21" t="inlineStr">
        <is>
          <t>34 EGR 922</t>
        </is>
      </c>
      <c r="E3190" s="21" t="inlineStr">
        <is>
          <t>FARUK ÖZEN</t>
        </is>
      </c>
      <c r="F3190" s="23" t="n">
        <v>456225</v>
      </c>
      <c r="G3190" s="138" t="n"/>
      <c r="H3190" s="138" t="n">
        <v>223</v>
      </c>
      <c r="I3190" s="138">
        <f>+I3189+(G3190-H3190)</f>
        <v/>
      </c>
      <c r="J3190" s="139" t="n">
        <v>42.043</v>
      </c>
      <c r="K3190" s="140" t="n"/>
      <c r="L3190" s="140">
        <f>+H3190*J3190</f>
        <v/>
      </c>
      <c r="M3190" s="141">
        <f>SUM(M3189+K3190-L3190)</f>
        <v/>
      </c>
    </row>
    <row r="3191">
      <c r="A3191" s="20" t="n">
        <v>45835</v>
      </c>
      <c r="B3191" s="21" t="n">
        <v>752</v>
      </c>
      <c r="C3191" s="22" t="inlineStr">
        <is>
          <t>SELİM İNŞAAT</t>
        </is>
      </c>
      <c r="D3191" s="21" t="inlineStr">
        <is>
          <t>34 EDB 559</t>
        </is>
      </c>
      <c r="E3191" s="21" t="inlineStr">
        <is>
          <t>KERİM KARAMAN</t>
        </is>
      </c>
      <c r="F3191" s="23" t="n">
        <v>326600</v>
      </c>
      <c r="G3191" s="138" t="n"/>
      <c r="H3191" s="138" t="n">
        <v>422</v>
      </c>
      <c r="I3191" s="138">
        <f>+I3190+(G3191-H3191)</f>
        <v/>
      </c>
      <c r="J3191" s="139" t="n">
        <v>42.043</v>
      </c>
      <c r="K3191" s="140" t="n"/>
      <c r="L3191" s="140">
        <f>+H3191*J3191</f>
        <v/>
      </c>
      <c r="M3191" s="141">
        <f>SUM(M3190+K3191-L3191)</f>
        <v/>
      </c>
    </row>
    <row r="3192">
      <c r="A3192" s="20" t="n">
        <v>45835</v>
      </c>
      <c r="B3192" s="21" t="n">
        <v>11231</v>
      </c>
      <c r="C3192" s="22" t="inlineStr">
        <is>
          <t>SELİM İNŞAAT</t>
        </is>
      </c>
      <c r="D3192" s="21" t="inlineStr">
        <is>
          <t>34 DSN 636</t>
        </is>
      </c>
      <c r="E3192" s="21" t="inlineStr">
        <is>
          <t>İLHAN YÜRÜK</t>
        </is>
      </c>
      <c r="F3192" s="23" t="n">
        <v>392705</v>
      </c>
      <c r="G3192" s="138" t="n"/>
      <c r="H3192" s="138" t="n">
        <v>489</v>
      </c>
      <c r="I3192" s="138">
        <f>+I3191+(G3192-H3192)</f>
        <v/>
      </c>
      <c r="J3192" s="139" t="n">
        <v>42.043</v>
      </c>
      <c r="K3192" s="140" t="n"/>
      <c r="L3192" s="140">
        <f>+H3192*J3192</f>
        <v/>
      </c>
      <c r="M3192" s="141">
        <f>SUM(M3191+K3192-L3192)</f>
        <v/>
      </c>
    </row>
    <row r="3193">
      <c r="A3193" s="20" t="n">
        <v>45835</v>
      </c>
      <c r="B3193" s="21" t="n">
        <v>15520</v>
      </c>
      <c r="C3193" s="22" t="inlineStr">
        <is>
          <t>SELİM İNŞAAT</t>
        </is>
      </c>
      <c r="D3193" s="21" t="inlineStr">
        <is>
          <t>34 EDC 086</t>
        </is>
      </c>
      <c r="E3193" s="21" t="inlineStr">
        <is>
          <t>ÖMER AĞAYAR</t>
        </is>
      </c>
      <c r="F3193" s="23" t="n">
        <v>328249</v>
      </c>
      <c r="G3193" s="138" t="n"/>
      <c r="H3193" s="138" t="n">
        <v>491</v>
      </c>
      <c r="I3193" s="138">
        <f>+I3192+(G3193-H3193)</f>
        <v/>
      </c>
      <c r="J3193" s="139" t="n">
        <v>42.043</v>
      </c>
      <c r="K3193" s="140" t="n"/>
      <c r="L3193" s="140">
        <f>+H3193*J3193</f>
        <v/>
      </c>
      <c r="M3193" s="141">
        <f>SUM(M3192+K3193-L3193)</f>
        <v/>
      </c>
    </row>
    <row r="3194">
      <c r="A3194" s="20" t="n">
        <v>45835</v>
      </c>
      <c r="B3194" s="21" t="n">
        <v>15317</v>
      </c>
      <c r="C3194" s="22" t="inlineStr">
        <is>
          <t>SELİM İNŞAAT</t>
        </is>
      </c>
      <c r="D3194" s="21" t="inlineStr">
        <is>
          <t>34 EDC 162</t>
        </is>
      </c>
      <c r="E3194" s="21" t="inlineStr">
        <is>
          <t xml:space="preserve">YAKUP GÜNER </t>
        </is>
      </c>
      <c r="F3194" s="23" t="n">
        <v>373025</v>
      </c>
      <c r="G3194" s="138" t="n"/>
      <c r="H3194" s="138" t="n">
        <v>391</v>
      </c>
      <c r="I3194" s="138">
        <f>+I3193+(G3194-H3194)</f>
        <v/>
      </c>
      <c r="J3194" s="139" t="n">
        <v>42.043</v>
      </c>
      <c r="K3194" s="140" t="n"/>
      <c r="L3194" s="140">
        <f>+H3194*J3194</f>
        <v/>
      </c>
      <c r="M3194" s="141">
        <f>SUM(M3193+K3194-L3194)</f>
        <v/>
      </c>
    </row>
    <row r="3195">
      <c r="A3195" s="20" t="n">
        <v>45835</v>
      </c>
      <c r="B3195" s="21" t="n">
        <v>14386</v>
      </c>
      <c r="C3195" s="22" t="inlineStr">
        <is>
          <t>SELİM İNŞAAT</t>
        </is>
      </c>
      <c r="D3195" s="21" t="inlineStr">
        <is>
          <t xml:space="preserve">34 DKL 798 </t>
        </is>
      </c>
      <c r="E3195" s="21" t="inlineStr">
        <is>
          <t>EMİRCAN ÖZTÜRK</t>
        </is>
      </c>
      <c r="F3195" s="23" t="n">
        <v>66769</v>
      </c>
      <c r="G3195" s="138" t="n"/>
      <c r="H3195" s="138" t="n">
        <v>210</v>
      </c>
      <c r="I3195" s="138">
        <f>+I3194+(G3195-H3195)</f>
        <v/>
      </c>
      <c r="J3195" s="139" t="n">
        <v>42.043</v>
      </c>
      <c r="K3195" s="140" t="n"/>
      <c r="L3195" s="140">
        <f>+H3195*J3195</f>
        <v/>
      </c>
      <c r="M3195" s="141">
        <f>SUM(M3194+K3195-L3195)</f>
        <v/>
      </c>
    </row>
    <row r="3196">
      <c r="A3196" s="20" t="n">
        <v>45835</v>
      </c>
      <c r="B3196" s="21" t="n">
        <v>10894</v>
      </c>
      <c r="C3196" s="22" t="inlineStr">
        <is>
          <t>SELİM İNŞAAT</t>
        </is>
      </c>
      <c r="D3196" s="21" t="inlineStr">
        <is>
          <t>34 AR 7743</t>
        </is>
      </c>
      <c r="E3196" s="21" t="inlineStr">
        <is>
          <t>MEHMET SELİM</t>
        </is>
      </c>
      <c r="F3196" s="23" t="n"/>
      <c r="G3196" s="138" t="n"/>
      <c r="H3196" s="23" t="n">
        <v>55</v>
      </c>
      <c r="I3196" s="138">
        <f>+I3195+(G3196-H3196)</f>
        <v/>
      </c>
      <c r="J3196" s="139" t="n">
        <v>42.043</v>
      </c>
      <c r="K3196" s="140" t="n"/>
      <c r="L3196" s="140">
        <f>+H3196*J3196</f>
        <v/>
      </c>
      <c r="M3196" s="141">
        <f>SUM(M3195+K3196-L3196)</f>
        <v/>
      </c>
    </row>
    <row r="3197">
      <c r="A3197" s="20" t="n">
        <v>45835</v>
      </c>
      <c r="B3197" s="21" t="n">
        <v>14346</v>
      </c>
      <c r="C3197" s="22" t="inlineStr">
        <is>
          <t>SELİM İNŞAAT</t>
        </is>
      </c>
      <c r="D3197" s="21" t="inlineStr">
        <is>
          <t>34 DKL 866</t>
        </is>
      </c>
      <c r="E3197" s="21" t="inlineStr">
        <is>
          <t>SELİM CAN ÖNVER</t>
        </is>
      </c>
      <c r="F3197" s="23" t="n">
        <v>66925</v>
      </c>
      <c r="G3197" s="138" t="n"/>
      <c r="H3197" s="138" t="n">
        <v>198</v>
      </c>
      <c r="I3197" s="138">
        <f>+I3196+(G3197-H3197)</f>
        <v/>
      </c>
      <c r="J3197" s="139" t="n">
        <v>42.043</v>
      </c>
      <c r="K3197" s="140" t="n"/>
      <c r="L3197" s="140">
        <f>+H3197*J3197</f>
        <v/>
      </c>
      <c r="M3197" s="141">
        <f>SUM(M3196+K3197-L3197)</f>
        <v/>
      </c>
    </row>
    <row r="3198">
      <c r="A3198" s="20" t="n">
        <v>45835</v>
      </c>
      <c r="B3198" s="21" t="n">
        <v>14187</v>
      </c>
      <c r="C3198" s="22" t="inlineStr">
        <is>
          <t>AZGÜN YAPI</t>
        </is>
      </c>
      <c r="D3198" s="21" t="inlineStr">
        <is>
          <t>34 DTV 263</t>
        </is>
      </c>
      <c r="E3198" s="21" t="inlineStr">
        <is>
          <t>OZAN ÇOŞĞUN</t>
        </is>
      </c>
      <c r="F3198" s="23" t="n"/>
      <c r="G3198" s="138" t="n"/>
      <c r="H3198" s="138" t="n">
        <v>389</v>
      </c>
      <c r="I3198" s="138">
        <f>+I3197+(G3198-H3198)</f>
        <v/>
      </c>
      <c r="J3198" s="139" t="n">
        <v>42.043</v>
      </c>
      <c r="K3198" s="140" t="n"/>
      <c r="L3198" s="140">
        <f>+H3198*J3198</f>
        <v/>
      </c>
      <c r="M3198" s="141">
        <f>SUM(M3197+K3198-L3198)</f>
        <v/>
      </c>
    </row>
    <row r="3199">
      <c r="A3199" s="20" t="n">
        <v>45835</v>
      </c>
      <c r="B3199" s="21" t="n">
        <v>14746</v>
      </c>
      <c r="C3199" s="22" t="inlineStr">
        <is>
          <t>METİN ERYİĞİT</t>
        </is>
      </c>
      <c r="D3199" s="21" t="inlineStr">
        <is>
          <t>34 GBL 998</t>
        </is>
      </c>
      <c r="E3199" s="21" t="inlineStr">
        <is>
          <t>ALİ KESKİN</t>
        </is>
      </c>
      <c r="F3199" s="23" t="n">
        <v>272442</v>
      </c>
      <c r="G3199" s="138" t="n"/>
      <c r="H3199" s="138" t="n">
        <v>190</v>
      </c>
      <c r="I3199" s="138">
        <f>+I3198+(G3199-H3199)</f>
        <v/>
      </c>
      <c r="J3199" s="139" t="n">
        <v>42.043</v>
      </c>
      <c r="K3199" s="140" t="n"/>
      <c r="L3199" s="140">
        <f>+H3199*J3199</f>
        <v/>
      </c>
      <c r="M3199" s="141">
        <f>SUM(M3198+K3199-L3199)</f>
        <v/>
      </c>
    </row>
    <row r="3200">
      <c r="A3200" s="20" t="n">
        <v>45836</v>
      </c>
      <c r="B3200" s="21" t="n">
        <v>8873</v>
      </c>
      <c r="C3200" s="22" t="inlineStr">
        <is>
          <t>AHMET SELİM TEMHA</t>
        </is>
      </c>
      <c r="D3200" s="21" t="inlineStr">
        <is>
          <t>34 DGE 422</t>
        </is>
      </c>
      <c r="E3200" s="21" t="inlineStr">
        <is>
          <t xml:space="preserve">ERSOY SIĞINMAZ </t>
        </is>
      </c>
      <c r="F3200" s="23" t="n"/>
      <c r="G3200" s="138" t="n"/>
      <c r="H3200" s="138" t="n">
        <v>59</v>
      </c>
      <c r="I3200" s="138">
        <f>+I3199+(G3200-H3200)</f>
        <v/>
      </c>
      <c r="J3200" s="139" t="n">
        <v>42.043</v>
      </c>
      <c r="K3200" s="140" t="n"/>
      <c r="L3200" s="140">
        <f>+H3200*J3200</f>
        <v/>
      </c>
      <c r="M3200" s="141">
        <f>SUM(M3199+K3200-L3200)</f>
        <v/>
      </c>
    </row>
    <row r="3201">
      <c r="A3201" s="20" t="n">
        <v>45836</v>
      </c>
      <c r="B3201" s="1" t="n">
        <v>90</v>
      </c>
      <c r="C3201" s="2" t="inlineStr">
        <is>
          <t>VARLIK</t>
        </is>
      </c>
      <c r="D3201" s="1" t="inlineStr">
        <is>
          <t>SİLİNDİR</t>
        </is>
      </c>
      <c r="E3201" s="1" t="inlineStr">
        <is>
          <t>ÖMER DÜNDAR</t>
        </is>
      </c>
      <c r="F3201" s="3" t="n"/>
      <c r="G3201" s="143" t="n"/>
      <c r="H3201" s="143" t="n">
        <v>290</v>
      </c>
      <c r="I3201" s="143">
        <f>+I3200+(G3201-H3201)</f>
        <v/>
      </c>
      <c r="J3201" s="144" t="n">
        <v>42.043</v>
      </c>
      <c r="K3201" s="145" t="n"/>
      <c r="L3201" s="140">
        <f>+H3201*J3201</f>
        <v/>
      </c>
      <c r="M3201" s="141">
        <f>SUM(M3200+K3201-L3201)</f>
        <v/>
      </c>
    </row>
    <row r="3202">
      <c r="A3202" s="20" t="n">
        <v>45836</v>
      </c>
      <c r="B3202" s="21" t="n">
        <v>91</v>
      </c>
      <c r="C3202" s="22" t="inlineStr">
        <is>
          <t>EVKUR</t>
        </is>
      </c>
      <c r="D3202" s="21" t="inlineStr">
        <is>
          <t>FOKLİFT</t>
        </is>
      </c>
      <c r="E3202" s="21" t="inlineStr">
        <is>
          <t>FAHRİ KALFA</t>
        </is>
      </c>
      <c r="F3202" s="23" t="n"/>
      <c r="G3202" s="138" t="n"/>
      <c r="H3202" s="138" t="n">
        <v>73</v>
      </c>
      <c r="I3202" s="138">
        <f>+I3201+(G3202-H3202)</f>
        <v/>
      </c>
      <c r="J3202" s="139" t="n">
        <v>42.043</v>
      </c>
      <c r="K3202" s="140" t="n"/>
      <c r="L3202" s="140">
        <f>+H3202*J3202</f>
        <v/>
      </c>
      <c r="M3202" s="141">
        <f>SUM(M3201+K3202-L3202)</f>
        <v/>
      </c>
    </row>
    <row r="3203">
      <c r="A3203" s="20" t="n">
        <v>45836</v>
      </c>
      <c r="B3203" s="1" t="n">
        <v>92</v>
      </c>
      <c r="C3203" s="2" t="inlineStr">
        <is>
          <t>VARLIK</t>
        </is>
      </c>
      <c r="D3203" s="1" t="inlineStr">
        <is>
          <t xml:space="preserve">SM 350 </t>
        </is>
      </c>
      <c r="E3203" s="1" t="inlineStr">
        <is>
          <t>BAYRAM SANCAK</t>
        </is>
      </c>
      <c r="F3203" s="3" t="n"/>
      <c r="G3203" s="143" t="n"/>
      <c r="H3203" s="143" t="n">
        <v>351</v>
      </c>
      <c r="I3203" s="143">
        <f>+I3202+(G3203-H3203)</f>
        <v/>
      </c>
      <c r="J3203" s="144" t="n">
        <v>42.043</v>
      </c>
      <c r="K3203" s="145" t="n"/>
      <c r="L3203" s="140">
        <f>+H3203*J3203</f>
        <v/>
      </c>
      <c r="M3203" s="141">
        <f>SUM(M3202+K3203-L3203)</f>
        <v/>
      </c>
    </row>
    <row r="3204">
      <c r="A3204" s="20" t="n">
        <v>45836</v>
      </c>
      <c r="B3204" s="1" t="n">
        <v>93</v>
      </c>
      <c r="C3204" s="2" t="inlineStr">
        <is>
          <t>GÜRSES</t>
        </is>
      </c>
      <c r="D3204" s="1" t="inlineStr">
        <is>
          <t>SM 370</t>
        </is>
      </c>
      <c r="E3204" s="1" t="inlineStr">
        <is>
          <t>TEKİN ŞEYLAN</t>
        </is>
      </c>
      <c r="F3204" s="3" t="n"/>
      <c r="G3204" s="143" t="n"/>
      <c r="H3204" s="143" t="n">
        <v>470</v>
      </c>
      <c r="I3204" s="143">
        <f>+I3203+(G3204-H3204)</f>
        <v/>
      </c>
      <c r="J3204" s="144" t="n">
        <v>42.043</v>
      </c>
      <c r="K3204" s="145" t="n"/>
      <c r="L3204" s="140">
        <f>+H3204*J3204</f>
        <v/>
      </c>
      <c r="M3204" s="141">
        <f>SUM(M3203+K3204-L3204)</f>
        <v/>
      </c>
    </row>
    <row r="3205">
      <c r="A3205" s="20" t="n">
        <v>45836</v>
      </c>
      <c r="B3205" s="1" t="n">
        <v>94</v>
      </c>
      <c r="C3205" s="2" t="inlineStr">
        <is>
          <t>MEGA VALIK</t>
        </is>
      </c>
      <c r="D3205" s="1" t="inlineStr">
        <is>
          <t>SM 300</t>
        </is>
      </c>
      <c r="E3205" s="1" t="inlineStr">
        <is>
          <t>TURGUT SANCAK</t>
        </is>
      </c>
      <c r="F3205" s="3" t="n"/>
      <c r="G3205" s="143" t="n"/>
      <c r="H3205" s="143" t="n">
        <v>278</v>
      </c>
      <c r="I3205" s="143">
        <f>+I3204+(G3205-H3205)</f>
        <v/>
      </c>
      <c r="J3205" s="144" t="n">
        <v>42.043</v>
      </c>
      <c r="K3205" s="145" t="n"/>
      <c r="L3205" s="140">
        <f>+H3205*J3205</f>
        <v/>
      </c>
      <c r="M3205" s="141">
        <f>SUM(M3204+K3205-L3205)</f>
        <v/>
      </c>
    </row>
    <row r="3206">
      <c r="A3206" s="20" t="n">
        <v>45836</v>
      </c>
      <c r="B3206" s="21" t="n">
        <v>11845</v>
      </c>
      <c r="C3206" s="22" t="inlineStr">
        <is>
          <t>SELİM İNŞAAT</t>
        </is>
      </c>
      <c r="D3206" s="21" t="inlineStr">
        <is>
          <t>34 FSG 229</t>
        </is>
      </c>
      <c r="E3206" s="21" t="inlineStr">
        <is>
          <t>SİNAN TANRIVERDİ</t>
        </is>
      </c>
      <c r="F3206" s="23" t="n">
        <v>260624</v>
      </c>
      <c r="G3206" s="138" t="n"/>
      <c r="H3206" s="138" t="n">
        <v>110</v>
      </c>
      <c r="I3206" s="138">
        <f>+I3205+(G3206-H3206)</f>
        <v/>
      </c>
      <c r="J3206" s="139" t="n">
        <v>42.043</v>
      </c>
      <c r="K3206" s="140" t="n"/>
      <c r="L3206" s="140">
        <f>+H3206*J3206</f>
        <v/>
      </c>
      <c r="M3206" s="141">
        <f>SUM(M3205+K3206-L3206)</f>
        <v/>
      </c>
    </row>
    <row r="3207">
      <c r="A3207" s="20" t="n">
        <v>45836</v>
      </c>
      <c r="B3207" s="21" t="n">
        <v>11846</v>
      </c>
      <c r="C3207" s="22" t="inlineStr">
        <is>
          <t>SELİM İNŞAAT</t>
        </is>
      </c>
      <c r="D3207" s="21" t="inlineStr">
        <is>
          <t>34 FSG 229</t>
        </is>
      </c>
      <c r="E3207" s="21" t="inlineStr">
        <is>
          <t>SİNAN TANRIVERDİ</t>
        </is>
      </c>
      <c r="F3207" s="23" t="n">
        <v>260936</v>
      </c>
      <c r="G3207" s="138" t="n"/>
      <c r="H3207" s="138" t="n">
        <v>470</v>
      </c>
      <c r="I3207" s="138">
        <f>+I3206+(G3207-H3207)</f>
        <v/>
      </c>
      <c r="J3207" s="139" t="n">
        <v>42.043</v>
      </c>
      <c r="K3207" s="140" t="n"/>
      <c r="L3207" s="140">
        <f>+H3207*J3207</f>
        <v/>
      </c>
      <c r="M3207" s="141">
        <f>SUM(M3206+K3207-L3207)</f>
        <v/>
      </c>
    </row>
    <row r="3208">
      <c r="A3208" s="20" t="n">
        <v>45836</v>
      </c>
      <c r="B3208" s="21" t="n">
        <v>15572</v>
      </c>
      <c r="C3208" s="22" t="inlineStr">
        <is>
          <t>SELİM İNŞAAT</t>
        </is>
      </c>
      <c r="D3208" s="21" t="inlineStr">
        <is>
          <t>34 GVZ 745</t>
        </is>
      </c>
      <c r="E3208" s="21" t="inlineStr">
        <is>
          <t>MUHAMMED YİĞİT</t>
        </is>
      </c>
      <c r="F3208" s="23" t="n">
        <v>188550</v>
      </c>
      <c r="G3208" s="138" t="n"/>
      <c r="H3208" s="138" t="n">
        <v>373</v>
      </c>
      <c r="I3208" s="138">
        <f>+I3207+(G3208-H3208)</f>
        <v/>
      </c>
      <c r="J3208" s="139" t="n">
        <v>42.043</v>
      </c>
      <c r="K3208" s="140" t="n"/>
      <c r="L3208" s="140">
        <f>+H3208*J3208</f>
        <v/>
      </c>
      <c r="M3208" s="141">
        <f>SUM(M3207+K3208-L3208)</f>
        <v/>
      </c>
    </row>
    <row r="3209">
      <c r="A3209" s="20" t="n">
        <v>45836</v>
      </c>
      <c r="B3209" s="21" t="n">
        <v>15963</v>
      </c>
      <c r="C3209" s="22" t="inlineStr">
        <is>
          <t>SELİM İNŞAAT</t>
        </is>
      </c>
      <c r="D3209" s="21" t="inlineStr">
        <is>
          <t>34 FBR 781</t>
        </is>
      </c>
      <c r="E3209" s="21" t="inlineStr">
        <is>
          <t>MEVLÜT POLAT</t>
        </is>
      </c>
      <c r="F3209" s="23" t="n">
        <v>306752</v>
      </c>
      <c r="G3209" s="138" t="n"/>
      <c r="H3209" s="138" t="n">
        <v>496</v>
      </c>
      <c r="I3209" s="138">
        <f>+I3208+(G3209-H3209)</f>
        <v/>
      </c>
      <c r="J3209" s="139" t="n">
        <v>42.043</v>
      </c>
      <c r="K3209" s="140" t="n"/>
      <c r="L3209" s="140">
        <f>+H3209*J3209</f>
        <v/>
      </c>
      <c r="M3209" s="141">
        <f>SUM(M3208+K3209-L3209)</f>
        <v/>
      </c>
    </row>
    <row r="3210">
      <c r="A3210" s="20" t="n">
        <v>45836</v>
      </c>
      <c r="B3210" s="21" t="n">
        <v>15861</v>
      </c>
      <c r="C3210" s="22" t="inlineStr">
        <is>
          <t>SELİM İNŞAAT</t>
        </is>
      </c>
      <c r="D3210" s="21" t="inlineStr">
        <is>
          <t>34 EDB 754</t>
        </is>
      </c>
      <c r="E3210" s="21" t="inlineStr">
        <is>
          <t>EMİN PARLAKKILIÇ</t>
        </is>
      </c>
      <c r="F3210" s="23" t="n">
        <v>325114</v>
      </c>
      <c r="G3210" s="138" t="n"/>
      <c r="H3210" s="138" t="n">
        <v>345</v>
      </c>
      <c r="I3210" s="138">
        <f>+I3209+(G3210-H3210)</f>
        <v/>
      </c>
      <c r="J3210" s="139" t="n">
        <v>42.043</v>
      </c>
      <c r="K3210" s="140" t="n"/>
      <c r="L3210" s="140">
        <f>+H3210*J3210</f>
        <v/>
      </c>
      <c r="M3210" s="141">
        <f>SUM(M3209+K3210-L3210)</f>
        <v/>
      </c>
    </row>
    <row r="3211">
      <c r="A3211" s="20" t="n">
        <v>45836</v>
      </c>
      <c r="B3211" s="21" t="n">
        <v>554</v>
      </c>
      <c r="C3211" s="22" t="inlineStr">
        <is>
          <t>SELİM İNŞAAT</t>
        </is>
      </c>
      <c r="D3211" s="21" t="inlineStr">
        <is>
          <t>34 EDB 922</t>
        </is>
      </c>
      <c r="E3211" s="21" t="inlineStr">
        <is>
          <t>AHMET TOPÇU</t>
        </is>
      </c>
      <c r="F3211" s="23" t="n">
        <v>365174</v>
      </c>
      <c r="G3211" s="138" t="n"/>
      <c r="H3211" s="138" t="n">
        <v>295</v>
      </c>
      <c r="I3211" s="138">
        <f>+I3210+(G3211-H3211)</f>
        <v/>
      </c>
      <c r="J3211" s="139" t="n">
        <v>42.043</v>
      </c>
      <c r="K3211" s="140" t="n"/>
      <c r="L3211" s="140">
        <f>+H3211*J3211</f>
        <v/>
      </c>
      <c r="M3211" s="141">
        <f>SUM(M3210+K3211-L3211)</f>
        <v/>
      </c>
    </row>
    <row r="3212">
      <c r="A3212" s="20" t="n">
        <v>45836</v>
      </c>
      <c r="B3212" s="21" t="n">
        <v>14043</v>
      </c>
      <c r="C3212" s="22" t="inlineStr">
        <is>
          <t>SELİM İNŞAAT</t>
        </is>
      </c>
      <c r="D3212" s="21" t="inlineStr">
        <is>
          <t>34 GVZ 310</t>
        </is>
      </c>
      <c r="E3212" s="21" t="inlineStr">
        <is>
          <t>CELAL YÜZBAŞI</t>
        </is>
      </c>
      <c r="F3212" s="23" t="n">
        <v>201090</v>
      </c>
      <c r="G3212" s="138" t="n"/>
      <c r="H3212" s="138" t="n">
        <v>442</v>
      </c>
      <c r="I3212" s="138">
        <f>+I3211+(G3212-H3212)</f>
        <v/>
      </c>
      <c r="J3212" s="139" t="n">
        <v>42.043</v>
      </c>
      <c r="K3212" s="140" t="n"/>
      <c r="L3212" s="140">
        <f>+H3212*J3212</f>
        <v/>
      </c>
      <c r="M3212" s="141">
        <f>SUM(M3211+K3212-L3212)</f>
        <v/>
      </c>
    </row>
    <row r="3213">
      <c r="A3213" s="20" t="n">
        <v>45836</v>
      </c>
      <c r="B3213" s="21" t="n">
        <v>309</v>
      </c>
      <c r="C3213" s="22" t="inlineStr">
        <is>
          <t>SELİM İNŞAAT</t>
        </is>
      </c>
      <c r="D3213" s="21" t="inlineStr">
        <is>
          <t>34 EDB 829</t>
        </is>
      </c>
      <c r="E3213" s="21" t="inlineStr">
        <is>
          <t>İSMET BAYRAM</t>
        </is>
      </c>
      <c r="F3213" s="23" t="n">
        <v>322339</v>
      </c>
      <c r="G3213" s="138" t="n"/>
      <c r="H3213" s="138" t="n">
        <v>234</v>
      </c>
      <c r="I3213" s="138">
        <f>+I3212+(G3213-H3213)</f>
        <v/>
      </c>
      <c r="J3213" s="139" t="n">
        <v>42.043</v>
      </c>
      <c r="K3213" s="140" t="n"/>
      <c r="L3213" s="140">
        <f>+H3213*J3213</f>
        <v/>
      </c>
      <c r="M3213" s="141">
        <f>SUM(M3212+K3213-L3213)</f>
        <v/>
      </c>
    </row>
    <row r="3214">
      <c r="A3214" s="20" t="n">
        <v>45836</v>
      </c>
      <c r="B3214" s="21" t="n">
        <v>14140</v>
      </c>
      <c r="C3214" s="22" t="inlineStr">
        <is>
          <t>SELİM İNŞAAT</t>
        </is>
      </c>
      <c r="D3214" s="21" t="inlineStr">
        <is>
          <t>34 DSN 536</t>
        </is>
      </c>
      <c r="E3214" s="21" t="inlineStr">
        <is>
          <t>DURSUN ALİ GÜREK</t>
        </is>
      </c>
      <c r="F3214" s="23" t="n">
        <v>408583</v>
      </c>
      <c r="G3214" s="138" t="n"/>
      <c r="H3214" s="138" t="n">
        <v>299</v>
      </c>
      <c r="I3214" s="138">
        <f>+I3213+(G3214-H3214)</f>
        <v/>
      </c>
      <c r="J3214" s="139" t="n">
        <v>42.043</v>
      </c>
      <c r="K3214" s="140" t="n"/>
      <c r="L3214" s="140">
        <f>+H3214*J3214</f>
        <v/>
      </c>
      <c r="M3214" s="141">
        <f>SUM(M3213+K3214-L3214)</f>
        <v/>
      </c>
    </row>
    <row r="3215">
      <c r="A3215" s="20" t="n">
        <v>45836</v>
      </c>
      <c r="B3215" s="21" t="n">
        <v>401</v>
      </c>
      <c r="C3215" s="22" t="inlineStr">
        <is>
          <t>SELİM İNŞAAT</t>
        </is>
      </c>
      <c r="D3215" s="21" t="inlineStr">
        <is>
          <t>34 DRU 690</t>
        </is>
      </c>
      <c r="E3215" s="21" t="inlineStr">
        <is>
          <t>MURAT DEMİRBAŞ</t>
        </is>
      </c>
      <c r="F3215" s="23" t="n">
        <v>419122</v>
      </c>
      <c r="G3215" s="138" t="n"/>
      <c r="H3215" s="138" t="n">
        <v>240</v>
      </c>
      <c r="I3215" s="138">
        <f>+I3214+(G3215-H3215)</f>
        <v/>
      </c>
      <c r="J3215" s="139" t="n">
        <v>42.043</v>
      </c>
      <c r="K3215" s="140" t="n"/>
      <c r="L3215" s="140">
        <f>+H3215*J3215</f>
        <v/>
      </c>
      <c r="M3215" s="141">
        <f>SUM(M3214+K3215-L3215)</f>
        <v/>
      </c>
    </row>
    <row r="3216">
      <c r="A3216" s="20" t="n">
        <v>45836</v>
      </c>
      <c r="B3216" s="21" t="n">
        <v>9</v>
      </c>
      <c r="C3216" s="22" t="inlineStr">
        <is>
          <t>SELİM İNŞAAT</t>
        </is>
      </c>
      <c r="D3216" s="21" t="inlineStr">
        <is>
          <t>34 FBR 748</t>
        </is>
      </c>
      <c r="E3216" s="21" t="inlineStr">
        <is>
          <t>YAŞAR ÖZKAYA</t>
        </is>
      </c>
      <c r="F3216" s="23" t="n">
        <v>283780</v>
      </c>
      <c r="G3216" s="138" t="n"/>
      <c r="H3216" s="138" t="n">
        <v>523</v>
      </c>
      <c r="I3216" s="138">
        <f>+I3215+(G3216-H3216)</f>
        <v/>
      </c>
      <c r="J3216" s="139" t="n">
        <v>42.043</v>
      </c>
      <c r="K3216" s="140" t="n"/>
      <c r="L3216" s="140">
        <f>+H3216*J3216</f>
        <v/>
      </c>
      <c r="M3216" s="141">
        <f>SUM(M3215+K3216-L3216)</f>
        <v/>
      </c>
    </row>
    <row r="3217">
      <c r="A3217" s="20" t="n">
        <v>45836</v>
      </c>
      <c r="B3217" s="21" t="n">
        <v>15358</v>
      </c>
      <c r="C3217" s="22" t="inlineStr">
        <is>
          <t>SELİM İNŞAAT</t>
        </is>
      </c>
      <c r="D3217" s="21" t="inlineStr">
        <is>
          <t>34 DTV 409</t>
        </is>
      </c>
      <c r="E3217" s="21" t="inlineStr">
        <is>
          <t>ONUR CANLI</t>
        </is>
      </c>
      <c r="F3217" s="23" t="n">
        <v>419763</v>
      </c>
      <c r="G3217" s="138" t="n"/>
      <c r="H3217" s="138" t="n">
        <v>369</v>
      </c>
      <c r="I3217" s="138">
        <f>+I3216+(G3217-H3217)</f>
        <v/>
      </c>
      <c r="J3217" s="139" t="n">
        <v>42.043</v>
      </c>
      <c r="K3217" s="140" t="n"/>
      <c r="L3217" s="140">
        <f>+H3217*J3217</f>
        <v/>
      </c>
      <c r="M3217" s="141">
        <f>SUM(M3216+K3217-L3217)</f>
        <v/>
      </c>
    </row>
    <row r="3218">
      <c r="A3218" s="20" t="n">
        <v>45836</v>
      </c>
      <c r="B3218" s="21" t="n">
        <v>11492</v>
      </c>
      <c r="C3218" s="22" t="inlineStr">
        <is>
          <t>SELİM İNŞAAT</t>
        </is>
      </c>
      <c r="D3218" s="21" t="inlineStr">
        <is>
          <t>34 EGR 922</t>
        </is>
      </c>
      <c r="E3218" s="21" t="inlineStr">
        <is>
          <t>FARUK ÖZEN</t>
        </is>
      </c>
      <c r="F3218" s="23" t="n">
        <v>456648</v>
      </c>
      <c r="G3218" s="138" t="n"/>
      <c r="H3218" s="138" t="n">
        <v>498</v>
      </c>
      <c r="I3218" s="138">
        <f>+I3217+(G3218-H3218)</f>
        <v/>
      </c>
      <c r="J3218" s="139" t="n">
        <v>42.043</v>
      </c>
      <c r="K3218" s="140" t="n"/>
      <c r="L3218" s="140">
        <f>+H3218*J3218</f>
        <v/>
      </c>
      <c r="M3218" s="141">
        <f>SUM(M3217+K3218-L3218)</f>
        <v/>
      </c>
    </row>
    <row r="3219">
      <c r="A3219" s="20" t="n">
        <v>45836</v>
      </c>
      <c r="B3219" s="21" t="n">
        <v>753</v>
      </c>
      <c r="C3219" s="22" t="inlineStr">
        <is>
          <t>SELİM İNŞAAT</t>
        </is>
      </c>
      <c r="D3219" s="21" t="inlineStr">
        <is>
          <t>34 EDB 559</t>
        </is>
      </c>
      <c r="E3219" s="21" t="inlineStr">
        <is>
          <t>KERİM KARAMAN</t>
        </is>
      </c>
      <c r="F3219" s="23" t="n">
        <v>326948</v>
      </c>
      <c r="G3219" s="138" t="n"/>
      <c r="H3219" s="138" t="n">
        <v>210</v>
      </c>
      <c r="I3219" s="138">
        <f>+I3218+(G3219-H3219)</f>
        <v/>
      </c>
      <c r="J3219" s="139" t="n">
        <v>42.043</v>
      </c>
      <c r="K3219" s="140" t="n"/>
      <c r="L3219" s="140">
        <f>+H3219*J3219</f>
        <v/>
      </c>
      <c r="M3219" s="141">
        <f>SUM(M3218+K3219-L3219)</f>
        <v/>
      </c>
    </row>
    <row r="3220">
      <c r="A3220" s="20" t="n">
        <v>45836</v>
      </c>
      <c r="B3220" s="21" t="n">
        <v>14093</v>
      </c>
      <c r="C3220" s="22" t="inlineStr">
        <is>
          <t>SELİM İNŞAAT</t>
        </is>
      </c>
      <c r="D3220" s="21" t="inlineStr">
        <is>
          <t>34 EDB 659</t>
        </is>
      </c>
      <c r="E3220" s="21" t="inlineStr">
        <is>
          <t>MEHMET SAİT ANIK</t>
        </is>
      </c>
      <c r="F3220" s="23" t="n">
        <v>343600</v>
      </c>
      <c r="G3220" s="138" t="n"/>
      <c r="H3220" s="138" t="n">
        <v>522</v>
      </c>
      <c r="I3220" s="138">
        <f>+I3219+(G3220-H3220)</f>
        <v/>
      </c>
      <c r="J3220" s="139" t="n">
        <v>42.043</v>
      </c>
      <c r="K3220" s="140" t="n"/>
      <c r="L3220" s="140">
        <f>+H3220*J3220</f>
        <v/>
      </c>
      <c r="M3220" s="141">
        <f>SUM(M3219+K3220-L3220)</f>
        <v/>
      </c>
    </row>
    <row r="3221">
      <c r="A3221" s="20" t="n">
        <v>45836</v>
      </c>
      <c r="B3221" s="21" t="n">
        <v>11232</v>
      </c>
      <c r="C3221" s="22" t="inlineStr">
        <is>
          <t>SELİM İNŞAAT</t>
        </is>
      </c>
      <c r="D3221" s="21" t="inlineStr">
        <is>
          <t>34 DSN 636</t>
        </is>
      </c>
      <c r="E3221" s="21" t="inlineStr">
        <is>
          <t>İLHAN YÜRÜK</t>
        </is>
      </c>
      <c r="F3221" s="23" t="n">
        <v>393380</v>
      </c>
      <c r="G3221" s="138" t="n"/>
      <c r="H3221" s="138" t="n">
        <v>344</v>
      </c>
      <c r="I3221" s="138">
        <f>+I3220+(G3221-H3221)</f>
        <v/>
      </c>
      <c r="J3221" s="139" t="n">
        <v>42.043</v>
      </c>
      <c r="K3221" s="140" t="n"/>
      <c r="L3221" s="140">
        <f>+H3221*J3221</f>
        <v/>
      </c>
      <c r="M3221" s="141">
        <f>SUM(M3220+K3221-L3221)</f>
        <v/>
      </c>
    </row>
    <row r="3222">
      <c r="A3222" s="20" t="n">
        <v>45836</v>
      </c>
      <c r="B3222" s="21" t="n">
        <v>805</v>
      </c>
      <c r="C3222" s="22" t="inlineStr">
        <is>
          <t>SELİM İNŞAAT</t>
        </is>
      </c>
      <c r="D3222" s="21" t="inlineStr">
        <is>
          <t>34 FBR 705</t>
        </is>
      </c>
      <c r="E3222" s="21" t="inlineStr">
        <is>
          <t>MESUT GÜRLER</t>
        </is>
      </c>
      <c r="F3222" s="23" t="n">
        <v>318680</v>
      </c>
      <c r="G3222" s="138" t="n"/>
      <c r="H3222" s="138" t="n">
        <v>175</v>
      </c>
      <c r="I3222" s="138">
        <f>+I3221+(G3222-H3222)</f>
        <v/>
      </c>
      <c r="J3222" s="139" t="n">
        <v>42.043</v>
      </c>
      <c r="K3222" s="140" t="n"/>
      <c r="L3222" s="140">
        <f>+H3222*J3222</f>
        <v/>
      </c>
      <c r="M3222" s="141">
        <f>SUM(M3221+K3222-L3222)</f>
        <v/>
      </c>
    </row>
    <row r="3223">
      <c r="A3223" s="20" t="n">
        <v>45836</v>
      </c>
      <c r="B3223" s="21" t="n">
        <v>15163</v>
      </c>
      <c r="C3223" s="22" t="inlineStr">
        <is>
          <t>SELİM İNŞAAT</t>
        </is>
      </c>
      <c r="D3223" s="21" t="inlineStr">
        <is>
          <t>34 DP 4161</t>
        </is>
      </c>
      <c r="E3223" s="21" t="inlineStr">
        <is>
          <t>RIFAT KARATAY</t>
        </is>
      </c>
      <c r="F3223" s="23" t="n">
        <v>287883</v>
      </c>
      <c r="G3223" s="138" t="n"/>
      <c r="H3223" s="138" t="n">
        <v>195</v>
      </c>
      <c r="I3223" s="138">
        <f>+I3222+(G3223-H3223)</f>
        <v/>
      </c>
      <c r="J3223" s="139" t="n">
        <v>42.043</v>
      </c>
      <c r="K3223" s="140" t="n"/>
      <c r="L3223" s="140">
        <f>+H3223*J3223</f>
        <v/>
      </c>
      <c r="M3223" s="141">
        <f>SUM(M3222+K3223-L3223)</f>
        <v/>
      </c>
    </row>
    <row r="3224">
      <c r="A3224" s="20" t="n">
        <v>45836</v>
      </c>
      <c r="B3224" s="21" t="n">
        <v>14536</v>
      </c>
      <c r="C3224" s="22" t="inlineStr">
        <is>
          <t>SELİM İNŞAAT</t>
        </is>
      </c>
      <c r="D3224" s="21" t="inlineStr">
        <is>
          <t>34 GER 028</t>
        </is>
      </c>
      <c r="E3224" s="21" t="inlineStr">
        <is>
          <t>A.KERİM ERGEN</t>
        </is>
      </c>
      <c r="F3224" s="23" t="n">
        <v>45705</v>
      </c>
      <c r="G3224" s="138" t="n"/>
      <c r="H3224" s="138" t="n">
        <v>120</v>
      </c>
      <c r="I3224" s="138">
        <f>+I3223+(G3224-H3224)</f>
        <v/>
      </c>
      <c r="J3224" s="139" t="n">
        <v>42.043</v>
      </c>
      <c r="K3224" s="140" t="n"/>
      <c r="L3224" s="140">
        <f>+H3224*J3224</f>
        <v/>
      </c>
      <c r="M3224" s="141">
        <f>SUM(M3223+K3224-L3224)</f>
        <v/>
      </c>
    </row>
    <row r="3225">
      <c r="A3225" s="20" t="n">
        <v>45836</v>
      </c>
      <c r="B3225" s="21" t="n">
        <v>14642</v>
      </c>
      <c r="C3225" s="22" t="inlineStr">
        <is>
          <t>SELİM İNŞAAT</t>
        </is>
      </c>
      <c r="D3225" s="21" t="inlineStr">
        <is>
          <t>34 GER 445</t>
        </is>
      </c>
      <c r="E3225" s="21" t="inlineStr">
        <is>
          <t>HASAN BAYCAN</t>
        </is>
      </c>
      <c r="F3225" s="23" t="n">
        <v>44049</v>
      </c>
      <c r="G3225" s="138" t="n"/>
      <c r="H3225" s="138" t="n">
        <v>239</v>
      </c>
      <c r="I3225" s="138">
        <f>+I3224+(G3225-H3225)</f>
        <v/>
      </c>
      <c r="J3225" s="139" t="n">
        <v>42.043</v>
      </c>
      <c r="K3225" s="140" t="n"/>
      <c r="L3225" s="140">
        <f>+H3225*J3225</f>
        <v/>
      </c>
      <c r="M3225" s="141">
        <f>SUM(M3224+K3225-L3225)</f>
        <v/>
      </c>
    </row>
    <row r="3226">
      <c r="A3226" s="20" t="n">
        <v>45836</v>
      </c>
      <c r="B3226" s="21" t="n">
        <v>156</v>
      </c>
      <c r="C3226" s="22" t="inlineStr">
        <is>
          <t>SELİM İNŞAAT</t>
        </is>
      </c>
      <c r="D3226" s="21" t="inlineStr">
        <is>
          <t>34 TG 7869</t>
        </is>
      </c>
      <c r="E3226" s="21" t="inlineStr">
        <is>
          <t>GÖRKEM KARAYEL</t>
        </is>
      </c>
      <c r="F3226" s="23" t="n">
        <v>184044</v>
      </c>
      <c r="G3226" s="138" t="n"/>
      <c r="H3226" s="138" t="n">
        <v>194</v>
      </c>
      <c r="I3226" s="138">
        <f>+I3225+(G3226-H3226)</f>
        <v/>
      </c>
      <c r="J3226" s="139" t="n">
        <v>42.043</v>
      </c>
      <c r="K3226" s="140" t="n"/>
      <c r="L3226" s="140">
        <f>+H3226*J3226</f>
        <v/>
      </c>
      <c r="M3226" s="141">
        <f>SUM(M3225+K3226-L3226)</f>
        <v/>
      </c>
    </row>
    <row r="3227">
      <c r="A3227" s="20" t="n">
        <v>45836</v>
      </c>
      <c r="B3227" s="21" t="n">
        <v>10587</v>
      </c>
      <c r="C3227" s="22" t="inlineStr">
        <is>
          <t>SELİM İNŞAAT</t>
        </is>
      </c>
      <c r="D3227" s="21" t="inlineStr">
        <is>
          <t>34 GU 945</t>
        </is>
      </c>
      <c r="E3227" s="21" t="inlineStr">
        <is>
          <t>ŞERİF KARTAL</t>
        </is>
      </c>
      <c r="F3227" s="23" t="n">
        <v>449322</v>
      </c>
      <c r="G3227" s="138" t="n"/>
      <c r="H3227" s="138" t="n">
        <v>60</v>
      </c>
      <c r="I3227" s="138">
        <f>+I3226+(G3227-H3227)</f>
        <v/>
      </c>
      <c r="J3227" s="139" t="n">
        <v>42.043</v>
      </c>
      <c r="K3227" s="140" t="n"/>
      <c r="L3227" s="140">
        <f>+H3227*J3227</f>
        <v/>
      </c>
      <c r="M3227" s="141">
        <f>SUM(M3226+K3227-L3227)</f>
        <v/>
      </c>
    </row>
    <row r="3228">
      <c r="A3228" s="20" t="n">
        <v>45836</v>
      </c>
      <c r="B3228" s="21" t="n">
        <v>11332</v>
      </c>
      <c r="C3228" s="22" t="inlineStr">
        <is>
          <t>AZGÜN YAPI</t>
        </is>
      </c>
      <c r="D3228" s="21" t="inlineStr">
        <is>
          <t>34 MKT 859</t>
        </is>
      </c>
      <c r="E3228" s="21" t="inlineStr">
        <is>
          <t>HASAN ALTUN</t>
        </is>
      </c>
      <c r="F3228" s="23" t="n"/>
      <c r="G3228" s="138" t="n"/>
      <c r="H3228" s="138" t="n">
        <v>1056</v>
      </c>
      <c r="I3228" s="138">
        <f>+I3227+(G3228-H3228)</f>
        <v/>
      </c>
      <c r="J3228" s="139" t="n">
        <v>42.043</v>
      </c>
      <c r="K3228" s="140" t="n"/>
      <c r="L3228" s="140">
        <f>+H3228*J3228</f>
        <v/>
      </c>
      <c r="M3228" s="141">
        <f>SUM(M3227+K3228-L3228)</f>
        <v/>
      </c>
    </row>
    <row r="3229">
      <c r="A3229" s="20" t="n">
        <v>45836</v>
      </c>
      <c r="B3229" s="21" t="n">
        <v>15614</v>
      </c>
      <c r="C3229" s="22" t="inlineStr">
        <is>
          <t>METİN ERYİĞİT</t>
        </is>
      </c>
      <c r="D3229" s="21" t="inlineStr">
        <is>
          <t>34 EGS 013</t>
        </is>
      </c>
      <c r="E3229" s="21" t="inlineStr">
        <is>
          <t xml:space="preserve">UĞUR DUMAN </t>
        </is>
      </c>
      <c r="F3229" s="23" t="n">
        <v>491606</v>
      </c>
      <c r="G3229" s="138" t="n"/>
      <c r="H3229" s="138" t="n">
        <v>251</v>
      </c>
      <c r="I3229" s="138">
        <f>+I3228+(G3229-H3229)</f>
        <v/>
      </c>
      <c r="J3229" s="139" t="n">
        <v>42.043</v>
      </c>
      <c r="K3229" s="140" t="n"/>
      <c r="L3229" s="140">
        <f>+H3229*J3229</f>
        <v/>
      </c>
      <c r="M3229" s="141">
        <f>SUM(M3228+K3229-L3229)</f>
        <v/>
      </c>
    </row>
    <row r="3230">
      <c r="A3230" s="20" t="n">
        <v>45836</v>
      </c>
      <c r="B3230" s="21" t="n">
        <v>15670</v>
      </c>
      <c r="C3230" s="22" t="inlineStr">
        <is>
          <t>METİN ERYİĞİT</t>
        </is>
      </c>
      <c r="D3230" s="21" t="inlineStr">
        <is>
          <t>34 EGR 814</t>
        </is>
      </c>
      <c r="E3230" s="21" t="inlineStr">
        <is>
          <t>GÜRAY KOYUNCU</t>
        </is>
      </c>
      <c r="F3230" s="23" t="n">
        <v>545845</v>
      </c>
      <c r="G3230" s="138" t="n"/>
      <c r="H3230" s="138" t="n">
        <v>426</v>
      </c>
      <c r="I3230" s="138">
        <f>+I3229+(G3230-H3230)</f>
        <v/>
      </c>
      <c r="J3230" s="139" t="n">
        <v>42.043</v>
      </c>
      <c r="K3230" s="140" t="n"/>
      <c r="L3230" s="140">
        <f>+H3230*J3230</f>
        <v/>
      </c>
      <c r="M3230" s="141">
        <f>SUM(M3229+K3230-L3230)</f>
        <v/>
      </c>
    </row>
    <row r="3231">
      <c r="A3231" s="20" t="n">
        <v>45838</v>
      </c>
      <c r="B3231" s="21" t="n">
        <v>125</v>
      </c>
      <c r="C3231" s="22" t="inlineStr">
        <is>
          <t>MİRBE PETROL SANAYİ VE TİCARET ANONİM ŞİRKETİ</t>
        </is>
      </c>
      <c r="D3231" s="21" t="n"/>
      <c r="E3231" s="21" t="n"/>
      <c r="F3231" s="23" t="n"/>
      <c r="G3231" s="138" t="n">
        <v>24555</v>
      </c>
      <c r="H3231" s="138" t="n"/>
      <c r="I3231" s="138">
        <f>+I3230+(G3231-H3231)</f>
        <v/>
      </c>
      <c r="J3231" s="139">
        <f>+K3231/G3231</f>
        <v/>
      </c>
      <c r="K3231" s="140" t="n">
        <v>1093934.09</v>
      </c>
      <c r="L3231" s="140">
        <f>+H3231*J3231</f>
        <v/>
      </c>
      <c r="M3231" s="141">
        <f>SUM(M3230+K3231-L3231)</f>
        <v/>
      </c>
    </row>
    <row r="3232">
      <c r="A3232" s="20" t="n">
        <v>45838</v>
      </c>
      <c r="B3232" s="21" t="n">
        <v>8874</v>
      </c>
      <c r="C3232" s="22" t="inlineStr">
        <is>
          <t>AHMET SELİM TEMHA</t>
        </is>
      </c>
      <c r="D3232" s="21" t="inlineStr">
        <is>
          <t>FOKLİFT</t>
        </is>
      </c>
      <c r="E3232" s="21" t="inlineStr">
        <is>
          <t>ÖMER DUMAN</t>
        </is>
      </c>
      <c r="F3232" s="23" t="n"/>
      <c r="G3232" s="138" t="n"/>
      <c r="H3232" s="138" t="n">
        <v>30</v>
      </c>
      <c r="I3232" s="138">
        <f>+I3231+(G3232-H3232)</f>
        <v/>
      </c>
      <c r="J3232" s="139" t="n">
        <v>44.55</v>
      </c>
      <c r="K3232" s="140" t="n"/>
      <c r="L3232" s="140">
        <f>+H3232*J3232</f>
        <v/>
      </c>
      <c r="M3232" s="141">
        <f>SUM(M3231+K3232-L3232)</f>
        <v/>
      </c>
    </row>
    <row r="3233">
      <c r="A3233" s="20" t="n">
        <v>45838</v>
      </c>
      <c r="B3233" s="1" t="n">
        <v>95</v>
      </c>
      <c r="C3233" s="2" t="inlineStr">
        <is>
          <t>MEGA VALIK</t>
        </is>
      </c>
      <c r="D3233" s="1" t="inlineStr">
        <is>
          <t>SM 300</t>
        </is>
      </c>
      <c r="E3233" s="1" t="inlineStr">
        <is>
          <t>TURGUT SANCAK</t>
        </is>
      </c>
      <c r="F3233" s="3" t="n"/>
      <c r="G3233" s="143" t="n"/>
      <c r="H3233" s="143" t="n">
        <v>310</v>
      </c>
      <c r="I3233" s="143">
        <f>+I3232+(G3233-H3233)</f>
        <v/>
      </c>
      <c r="J3233" s="144" t="n">
        <v>44.55</v>
      </c>
      <c r="K3233" s="145" t="n"/>
      <c r="L3233" s="140">
        <f>+H3233*J3233</f>
        <v/>
      </c>
      <c r="M3233" s="141">
        <f>SUM(M3232+K3233-L3233)</f>
        <v/>
      </c>
    </row>
    <row r="3234">
      <c r="A3234" s="20" t="n">
        <v>45838</v>
      </c>
      <c r="B3234" s="1" t="n">
        <v>96</v>
      </c>
      <c r="C3234" s="2" t="inlineStr">
        <is>
          <t>MEGA VALIK</t>
        </is>
      </c>
      <c r="D3234" s="1" t="inlineStr">
        <is>
          <t>SM 370</t>
        </is>
      </c>
      <c r="E3234" s="1" t="inlineStr">
        <is>
          <t>TEKİN ŞEYLAN</t>
        </is>
      </c>
      <c r="F3234" s="3" t="n"/>
      <c r="G3234" s="143" t="n"/>
      <c r="H3234" s="143" t="n">
        <v>450</v>
      </c>
      <c r="I3234" s="143">
        <f>+I3233+(G3234-H3234)</f>
        <v/>
      </c>
      <c r="J3234" s="144" t="n">
        <v>44.55</v>
      </c>
      <c r="K3234" s="145" t="n"/>
      <c r="L3234" s="140">
        <f>+H3234*J3234</f>
        <v/>
      </c>
      <c r="M3234" s="141">
        <f>SUM(M3233+K3234-L3234)</f>
        <v/>
      </c>
    </row>
    <row r="3235">
      <c r="A3235" s="20" t="n">
        <v>45838</v>
      </c>
      <c r="B3235" s="1" t="n">
        <v>97</v>
      </c>
      <c r="C3235" s="2" t="inlineStr">
        <is>
          <t>CEVİZ MOBİLYA</t>
        </is>
      </c>
      <c r="D3235" s="1" t="inlineStr">
        <is>
          <t>SM 350</t>
        </is>
      </c>
      <c r="E3235" s="1" t="inlineStr">
        <is>
          <t>TEVFİK ÖZTÜRK</t>
        </is>
      </c>
      <c r="F3235" s="3" t="n"/>
      <c r="G3235" s="143" t="n"/>
      <c r="H3235" s="143" t="n">
        <v>415</v>
      </c>
      <c r="I3235" s="143">
        <f>+I3234+(G3235-H3235)</f>
        <v/>
      </c>
      <c r="J3235" s="144" t="n">
        <v>44.55</v>
      </c>
      <c r="K3235" s="145" t="n"/>
      <c r="L3235" s="140">
        <f>+H3235*J3235</f>
        <v/>
      </c>
      <c r="M3235" s="141">
        <f>SUM(M3234+K3235-L3235)</f>
        <v/>
      </c>
    </row>
    <row r="3236">
      <c r="A3236" s="20" t="n">
        <v>45838</v>
      </c>
      <c r="B3236" s="1" t="n">
        <v>98</v>
      </c>
      <c r="C3236" s="2" t="inlineStr">
        <is>
          <t>EVKUR</t>
        </is>
      </c>
      <c r="D3236" s="1" t="inlineStr">
        <is>
          <t>KAVAZAKİ</t>
        </is>
      </c>
      <c r="E3236" s="1" t="inlineStr">
        <is>
          <t>RAMAZAN KAYA</t>
        </is>
      </c>
      <c r="F3236" s="3" t="n"/>
      <c r="G3236" s="143" t="n"/>
      <c r="H3236" s="143" t="n">
        <v>230</v>
      </c>
      <c r="I3236" s="143">
        <f>+I3235+(G3236-H3236)</f>
        <v/>
      </c>
      <c r="J3236" s="144" t="n">
        <v>44.55</v>
      </c>
      <c r="K3236" s="145" t="n"/>
      <c r="L3236" s="140">
        <f>+H3236*J3236</f>
        <v/>
      </c>
      <c r="M3236" s="141">
        <f>SUM(M3235+K3236-L3236)</f>
        <v/>
      </c>
    </row>
    <row r="3237">
      <c r="A3237" s="20" t="n">
        <v>45838</v>
      </c>
      <c r="B3237" s="1" t="n">
        <v>99</v>
      </c>
      <c r="C3237" s="2" t="inlineStr">
        <is>
          <t>EVKUR</t>
        </is>
      </c>
      <c r="D3237" s="1" t="inlineStr">
        <is>
          <t>JCB KİRALIK KATO</t>
        </is>
      </c>
      <c r="E3237" s="1" t="inlineStr">
        <is>
          <t>BURAK BEY TALİMATI</t>
        </is>
      </c>
      <c r="F3237" s="3" t="n"/>
      <c r="G3237" s="143" t="n"/>
      <c r="H3237" s="143" t="n">
        <v>47</v>
      </c>
      <c r="I3237" s="143">
        <f>+I3236+(G3237-H3237)</f>
        <v/>
      </c>
      <c r="J3237" s="144" t="n">
        <v>44.55</v>
      </c>
      <c r="K3237" s="145" t="n"/>
      <c r="L3237" s="140">
        <f>+H3237*J3237</f>
        <v/>
      </c>
      <c r="M3237" s="141">
        <f>SUM(M3236+K3237-L3237)</f>
        <v/>
      </c>
    </row>
    <row r="3238">
      <c r="A3238" s="20" t="n">
        <v>45838</v>
      </c>
      <c r="B3238" s="1" t="n">
        <v>100</v>
      </c>
      <c r="C3238" s="2" t="inlineStr">
        <is>
          <t>HASALTUN</t>
        </is>
      </c>
      <c r="D3238" s="1" t="inlineStr">
        <is>
          <t xml:space="preserve">SM 350 </t>
        </is>
      </c>
      <c r="E3238" s="1" t="inlineStr">
        <is>
          <t>BAYRAM SANCAK</t>
        </is>
      </c>
      <c r="F3238" s="3" t="n"/>
      <c r="G3238" s="143" t="n"/>
      <c r="H3238" s="143" t="n">
        <v>480</v>
      </c>
      <c r="I3238" s="143">
        <f>+I3237+(G3238-H3238)</f>
        <v/>
      </c>
      <c r="J3238" s="144" t="n">
        <v>44.55</v>
      </c>
      <c r="K3238" s="145" t="n"/>
      <c r="L3238" s="140">
        <f>+H3238*J3238</f>
        <v/>
      </c>
      <c r="M3238" s="141">
        <f>SUM(M3237+K3238-L3238)</f>
        <v/>
      </c>
    </row>
    <row r="3239">
      <c r="A3239" s="20" t="n">
        <v>45838</v>
      </c>
      <c r="B3239" s="21" t="n">
        <v>15060</v>
      </c>
      <c r="C3239" s="22" t="inlineStr">
        <is>
          <t>SELİM İNŞAAT</t>
        </is>
      </c>
      <c r="D3239" s="21" t="inlineStr">
        <is>
          <t>34 EGR 736</t>
        </is>
      </c>
      <c r="E3239" s="21" t="inlineStr">
        <is>
          <t>HAKAN ÇAVUŞOĞLU</t>
        </is>
      </c>
      <c r="F3239" s="23" t="n">
        <v>393236</v>
      </c>
      <c r="G3239" s="138" t="n"/>
      <c r="H3239" s="138" t="n">
        <v>510</v>
      </c>
      <c r="I3239" s="138">
        <f>+I3238+(G3239-H3239)</f>
        <v/>
      </c>
      <c r="J3239" s="139" t="n">
        <v>44.55</v>
      </c>
      <c r="K3239" s="140" t="n"/>
      <c r="L3239" s="140">
        <f>+H3239*J3239</f>
        <v/>
      </c>
      <c r="M3239" s="141">
        <f>SUM(M3238+K3239-L3239)</f>
        <v/>
      </c>
    </row>
    <row r="3240">
      <c r="A3240" s="20" t="n">
        <v>45838</v>
      </c>
      <c r="B3240" s="21" t="n">
        <v>14242</v>
      </c>
      <c r="C3240" s="22" t="inlineStr">
        <is>
          <t>SELİM İNŞAAT</t>
        </is>
      </c>
      <c r="D3240" s="21" t="inlineStr">
        <is>
          <t xml:space="preserve">34 GUS 938 </t>
        </is>
      </c>
      <c r="E3240" s="21" t="inlineStr">
        <is>
          <t>MEHMET KAYA</t>
        </is>
      </c>
      <c r="F3240" s="23" t="n">
        <v>190222</v>
      </c>
      <c r="G3240" s="138" t="n"/>
      <c r="H3240" s="138" t="n">
        <v>314</v>
      </c>
      <c r="I3240" s="138">
        <f>+I3239+(G3240-H3240)</f>
        <v/>
      </c>
      <c r="J3240" s="139" t="n">
        <v>44.55</v>
      </c>
      <c r="K3240" s="140" t="n"/>
      <c r="L3240" s="140">
        <f>+H3240*J3240</f>
        <v/>
      </c>
      <c r="M3240" s="141">
        <f>SUM(M3239+K3240-L3240)</f>
        <v/>
      </c>
    </row>
    <row r="3241">
      <c r="A3241" s="20" t="n">
        <v>45838</v>
      </c>
      <c r="B3241" s="21" t="n">
        <v>555</v>
      </c>
      <c r="C3241" s="22" t="inlineStr">
        <is>
          <t>SELİM İNŞAAT</t>
        </is>
      </c>
      <c r="D3241" s="21" t="inlineStr">
        <is>
          <t>34 EDB 922</t>
        </is>
      </c>
      <c r="E3241" s="21" t="inlineStr">
        <is>
          <t>AHMET TOPÇU</t>
        </is>
      </c>
      <c r="F3241" s="23" t="n">
        <v>365595</v>
      </c>
      <c r="G3241" s="138" t="n"/>
      <c r="H3241" s="138" t="n">
        <v>274</v>
      </c>
      <c r="I3241" s="138">
        <f>+I3240+(G3241-H3241)</f>
        <v/>
      </c>
      <c r="J3241" s="139" t="n">
        <v>44.55</v>
      </c>
      <c r="K3241" s="140" t="n"/>
      <c r="L3241" s="140">
        <f>+H3241*J3241</f>
        <v/>
      </c>
      <c r="M3241" s="141">
        <f>SUM(M3240+K3241-L3241)</f>
        <v/>
      </c>
    </row>
    <row r="3242">
      <c r="A3242" s="20" t="n">
        <v>45838</v>
      </c>
      <c r="B3242" s="21" t="n">
        <v>15027</v>
      </c>
      <c r="C3242" s="22" t="inlineStr">
        <is>
          <t>SELİM İNŞAAT</t>
        </is>
      </c>
      <c r="D3242" s="21" t="inlineStr">
        <is>
          <t>34 GVZ 199</t>
        </is>
      </c>
      <c r="E3242" s="21" t="inlineStr">
        <is>
          <t>VAHDET GÜRLER</t>
        </is>
      </c>
      <c r="F3242" s="23" t="n">
        <v>183928</v>
      </c>
      <c r="G3242" s="138" t="n"/>
      <c r="H3242" s="138" t="n">
        <v>347</v>
      </c>
      <c r="I3242" s="138">
        <f>+I3241+(G3242-H3242)</f>
        <v/>
      </c>
      <c r="J3242" s="139" t="n">
        <v>44.55</v>
      </c>
      <c r="K3242" s="140" t="n"/>
      <c r="L3242" s="140">
        <f>+H3242*J3242</f>
        <v/>
      </c>
      <c r="M3242" s="141">
        <f>SUM(M3241+K3242-L3242)</f>
        <v/>
      </c>
    </row>
    <row r="3243">
      <c r="A3243" s="20" t="n">
        <v>45838</v>
      </c>
      <c r="B3243" s="21" t="n">
        <v>14044</v>
      </c>
      <c r="C3243" s="22" t="inlineStr">
        <is>
          <t>SELİM İNŞAAT</t>
        </is>
      </c>
      <c r="D3243" s="21" t="inlineStr">
        <is>
          <t>34 GVZ 310</t>
        </is>
      </c>
      <c r="E3243" s="21" t="inlineStr">
        <is>
          <t>CELAL YÜZBAŞI</t>
        </is>
      </c>
      <c r="F3243" s="23" t="n">
        <v>201358</v>
      </c>
      <c r="G3243" s="138" t="n"/>
      <c r="H3243" s="138" t="n">
        <v>172</v>
      </c>
      <c r="I3243" s="138">
        <f>+I3242+(G3243-H3243)</f>
        <v/>
      </c>
      <c r="J3243" s="139" t="n">
        <v>44.55</v>
      </c>
      <c r="K3243" s="140" t="n"/>
      <c r="L3243" s="140">
        <f>+H3243*J3243</f>
        <v/>
      </c>
      <c r="M3243" s="141">
        <f>SUM(M3242+K3243-L3243)</f>
        <v/>
      </c>
    </row>
    <row r="3244">
      <c r="A3244" s="20" t="n">
        <v>45838</v>
      </c>
      <c r="B3244" s="21" t="n">
        <v>14492</v>
      </c>
      <c r="C3244" s="22" t="inlineStr">
        <is>
          <t>SELİM İNŞAAT</t>
        </is>
      </c>
      <c r="D3244" s="21" t="inlineStr">
        <is>
          <t>34 GUS 848</t>
        </is>
      </c>
      <c r="E3244" s="21" t="inlineStr">
        <is>
          <t>SERDAR BOZKURT</t>
        </is>
      </c>
      <c r="F3244" s="23" t="n">
        <v>195048</v>
      </c>
      <c r="G3244" s="138" t="n"/>
      <c r="H3244" s="138" t="n">
        <v>448</v>
      </c>
      <c r="I3244" s="138">
        <f>+I3243+(G3244-H3244)</f>
        <v/>
      </c>
      <c r="J3244" s="139" t="n">
        <v>44.55</v>
      </c>
      <c r="K3244" s="140" t="n"/>
      <c r="L3244" s="140">
        <f>+H3244*J3244</f>
        <v/>
      </c>
      <c r="M3244" s="141">
        <f>SUM(M3243+K3244-L3244)</f>
        <v/>
      </c>
    </row>
    <row r="3245">
      <c r="A3245" s="20" t="n">
        <v>45838</v>
      </c>
      <c r="B3245" s="21" t="n">
        <v>106</v>
      </c>
      <c r="C3245" s="22" t="inlineStr">
        <is>
          <t>SELİM İNŞAAT</t>
        </is>
      </c>
      <c r="D3245" s="21" t="inlineStr">
        <is>
          <t>34 FBR 771</t>
        </is>
      </c>
      <c r="E3245" s="21" t="inlineStr">
        <is>
          <t>HÜSEYİN AKÇİN</t>
        </is>
      </c>
      <c r="F3245" s="23" t="n">
        <v>322449</v>
      </c>
      <c r="G3245" s="138" t="n"/>
      <c r="H3245" s="138" t="n">
        <v>318</v>
      </c>
      <c r="I3245" s="138">
        <f>+I3244+(G3245-H3245)</f>
        <v/>
      </c>
      <c r="J3245" s="139" t="n">
        <v>44.55</v>
      </c>
      <c r="K3245" s="140" t="n"/>
      <c r="L3245" s="140">
        <f>+H3245*J3245</f>
        <v/>
      </c>
      <c r="M3245" s="141">
        <f>SUM(M3244+K3245-L3245)</f>
        <v/>
      </c>
    </row>
    <row r="3246">
      <c r="A3246" s="20" t="n">
        <v>45838</v>
      </c>
      <c r="B3246" s="21" t="n">
        <v>402</v>
      </c>
      <c r="C3246" s="22" t="inlineStr">
        <is>
          <t>SELİM İNŞAAT</t>
        </is>
      </c>
      <c r="D3246" s="21" t="inlineStr">
        <is>
          <t>34 DRU 690</t>
        </is>
      </c>
      <c r="E3246" s="21" t="inlineStr">
        <is>
          <t>MURAT DEMİRBAŞ</t>
        </is>
      </c>
      <c r="F3246" s="23" t="n">
        <v>419846</v>
      </c>
      <c r="G3246" s="138" t="n"/>
      <c r="H3246" s="138" t="n">
        <v>379</v>
      </c>
      <c r="I3246" s="138">
        <f>+I3245+(G3246-H3246)</f>
        <v/>
      </c>
      <c r="J3246" s="139" t="n">
        <v>44.55</v>
      </c>
      <c r="K3246" s="140" t="n"/>
      <c r="L3246" s="140">
        <f>+H3246*J3246</f>
        <v/>
      </c>
      <c r="M3246" s="141">
        <f>SUM(M3245+K3246-L3246)</f>
        <v/>
      </c>
    </row>
    <row r="3247">
      <c r="A3247" s="20" t="n">
        <v>45838</v>
      </c>
      <c r="B3247" s="21" t="n">
        <v>10</v>
      </c>
      <c r="C3247" s="22" t="inlineStr">
        <is>
          <t>SELİM İNŞAAT</t>
        </is>
      </c>
      <c r="D3247" s="21" t="inlineStr">
        <is>
          <t>34 FBR 748</t>
        </is>
      </c>
      <c r="E3247" s="21" t="inlineStr">
        <is>
          <t>YAŞAR ÖZKAYA</t>
        </is>
      </c>
      <c r="F3247" s="23" t="n">
        <v>284225</v>
      </c>
      <c r="G3247" s="138" t="n"/>
      <c r="H3247" s="138" t="n">
        <v>293</v>
      </c>
      <c r="I3247" s="138">
        <f>+I3246+(G3247-H3247)</f>
        <v/>
      </c>
      <c r="J3247" s="139" t="n">
        <v>44.55</v>
      </c>
      <c r="K3247" s="140" t="n"/>
      <c r="L3247" s="140">
        <f>+H3247*J3247</f>
        <v/>
      </c>
      <c r="M3247" s="141">
        <f>SUM(M3246+K3247-L3247)</f>
        <v/>
      </c>
    </row>
    <row r="3248">
      <c r="A3248" s="20" t="n">
        <v>45838</v>
      </c>
      <c r="B3248" s="21" t="n">
        <v>14766</v>
      </c>
      <c r="C3248" s="22" t="inlineStr">
        <is>
          <t>SELİM İNŞAAT</t>
        </is>
      </c>
      <c r="D3248" s="21" t="inlineStr">
        <is>
          <t>34 GYZ 635</t>
        </is>
      </c>
      <c r="E3248" s="21" t="inlineStr">
        <is>
          <t>ENGİN DEMİR</t>
        </is>
      </c>
      <c r="F3248" s="23" t="n">
        <v>185981</v>
      </c>
      <c r="G3248" s="138" t="n"/>
      <c r="H3248" s="138" t="n">
        <v>442</v>
      </c>
      <c r="I3248" s="138">
        <f>+I3247+(G3248-H3248)</f>
        <v/>
      </c>
      <c r="J3248" s="139" t="n">
        <v>44.55</v>
      </c>
      <c r="K3248" s="140" t="n"/>
      <c r="L3248" s="140">
        <f>+H3248*J3248</f>
        <v/>
      </c>
      <c r="M3248" s="141">
        <f>SUM(M3247+K3248-L3248)</f>
        <v/>
      </c>
    </row>
    <row r="3249">
      <c r="A3249" s="20" t="n">
        <v>45838</v>
      </c>
      <c r="B3249" s="21" t="n">
        <v>10243</v>
      </c>
      <c r="C3249" s="22" t="inlineStr">
        <is>
          <t>SELİM İNŞAAT</t>
        </is>
      </c>
      <c r="D3249" s="21" t="inlineStr">
        <is>
          <t>34 DSN 621</t>
        </is>
      </c>
      <c r="E3249" s="21" t="inlineStr">
        <is>
          <t>MUSTAFA KAYA</t>
        </is>
      </c>
      <c r="F3249" s="23" t="n">
        <v>414125</v>
      </c>
      <c r="G3249" s="138" t="n"/>
      <c r="H3249" s="138" t="n">
        <v>394</v>
      </c>
      <c r="I3249" s="138">
        <f>+I3248+(G3249-H3249)</f>
        <v/>
      </c>
      <c r="J3249" s="139" t="n">
        <v>44.55</v>
      </c>
      <c r="K3249" s="140" t="n"/>
      <c r="L3249" s="140">
        <f>+H3249*J3249</f>
        <v/>
      </c>
      <c r="M3249" s="141">
        <f>SUM(M3248+K3249-L3249)</f>
        <v/>
      </c>
    </row>
    <row r="3250">
      <c r="A3250" s="20" t="n">
        <v>45838</v>
      </c>
      <c r="B3250" s="21" t="n">
        <v>954</v>
      </c>
      <c r="C3250" s="22" t="inlineStr">
        <is>
          <t>SELİM İNŞAAT</t>
        </is>
      </c>
      <c r="D3250" s="21" t="inlineStr">
        <is>
          <t>34 FBR 742</t>
        </is>
      </c>
      <c r="E3250" s="21" t="inlineStr">
        <is>
          <t>MİKAİL BAYILMAZ</t>
        </is>
      </c>
      <c r="F3250" s="23" t="n">
        <v>322037</v>
      </c>
      <c r="G3250" s="138" t="n"/>
      <c r="H3250" s="138" t="n">
        <v>371</v>
      </c>
      <c r="I3250" s="138">
        <f>+I3249+(G3250-H3250)</f>
        <v/>
      </c>
      <c r="J3250" s="139" t="n">
        <v>44.55</v>
      </c>
      <c r="K3250" s="140" t="n"/>
      <c r="L3250" s="140">
        <f>+H3250*J3250</f>
        <v/>
      </c>
      <c r="M3250" s="141">
        <f>SUM(M3249+K3250-L3250)</f>
        <v/>
      </c>
    </row>
    <row r="3251">
      <c r="A3251" s="20" t="n">
        <v>45838</v>
      </c>
      <c r="B3251" s="21" t="n">
        <v>11493</v>
      </c>
      <c r="C3251" s="22" t="inlineStr">
        <is>
          <t>SELİM İNŞAAT</t>
        </is>
      </c>
      <c r="D3251" s="21" t="inlineStr">
        <is>
          <t>34 EGR 922</t>
        </is>
      </c>
      <c r="E3251" s="21" t="inlineStr">
        <is>
          <t>FARUK ÖZEN</t>
        </is>
      </c>
      <c r="F3251" s="23" t="n">
        <v>457160</v>
      </c>
      <c r="G3251" s="138" t="n"/>
      <c r="H3251" s="138" t="n">
        <v>345</v>
      </c>
      <c r="I3251" s="138">
        <f>+I3250+(G3251-H3251)</f>
        <v/>
      </c>
      <c r="J3251" s="139" t="n">
        <v>44.55</v>
      </c>
      <c r="K3251" s="140" t="n"/>
      <c r="L3251" s="140">
        <f>+H3251*J3251</f>
        <v/>
      </c>
      <c r="M3251" s="141">
        <f>SUM(M3250+K3251-L3251)</f>
        <v/>
      </c>
    </row>
    <row r="3252">
      <c r="A3252" s="20" t="n">
        <v>45838</v>
      </c>
      <c r="B3252" s="21" t="n">
        <v>652</v>
      </c>
      <c r="C3252" s="22" t="inlineStr">
        <is>
          <t>SELİM İNŞAAT</t>
        </is>
      </c>
      <c r="D3252" s="21" t="inlineStr">
        <is>
          <t>34 DTV 352</t>
        </is>
      </c>
      <c r="E3252" s="21" t="inlineStr">
        <is>
          <t>ADEM DENİZ</t>
        </is>
      </c>
      <c r="F3252" s="23" t="n">
        <v>346068</v>
      </c>
      <c r="G3252" s="138" t="n"/>
      <c r="H3252" s="138" t="n">
        <v>541</v>
      </c>
      <c r="I3252" s="138">
        <f>+I3251+(G3252-H3252)</f>
        <v/>
      </c>
      <c r="J3252" s="139" t="n">
        <v>44.55</v>
      </c>
      <c r="K3252" s="140" t="n"/>
      <c r="L3252" s="140">
        <f>+H3252*J3252</f>
        <v/>
      </c>
      <c r="M3252" s="141">
        <f>SUM(M3251+K3252-L3252)</f>
        <v/>
      </c>
    </row>
    <row r="3253">
      <c r="A3253" s="20" t="n">
        <v>45838</v>
      </c>
      <c r="B3253" s="21" t="n">
        <v>15155</v>
      </c>
      <c r="C3253" s="22" t="inlineStr">
        <is>
          <t>SELİM İNŞAAT</t>
        </is>
      </c>
      <c r="D3253" s="21" t="inlineStr">
        <is>
          <t>34 DTV 599</t>
        </is>
      </c>
      <c r="E3253" s="21" t="inlineStr">
        <is>
          <t>FERHAT GÜRLER</t>
        </is>
      </c>
      <c r="F3253" s="23" t="n">
        <v>434448</v>
      </c>
      <c r="G3253" s="138" t="n"/>
      <c r="H3253" s="138" t="n">
        <v>374</v>
      </c>
      <c r="I3253" s="138">
        <f>+I3252+(G3253-H3253)</f>
        <v/>
      </c>
      <c r="J3253" s="139" t="n">
        <v>44.55</v>
      </c>
      <c r="K3253" s="140" t="n"/>
      <c r="L3253" s="140">
        <f>+H3253*J3253</f>
        <v/>
      </c>
      <c r="M3253" s="141">
        <f>SUM(M3252+K3253-L3253)</f>
        <v/>
      </c>
    </row>
    <row r="3254">
      <c r="A3254" s="20" t="n">
        <v>45838</v>
      </c>
      <c r="B3254" s="21" t="n">
        <v>15521</v>
      </c>
      <c r="C3254" s="22" t="inlineStr">
        <is>
          <t>SELİM İNŞAAT</t>
        </is>
      </c>
      <c r="D3254" s="21" t="inlineStr">
        <is>
          <t>34 EDC 086</t>
        </is>
      </c>
      <c r="E3254" s="21" t="inlineStr">
        <is>
          <t>ÖMER AĞAYAR</t>
        </is>
      </c>
      <c r="F3254" s="23" t="n">
        <v>328928</v>
      </c>
      <c r="G3254" s="138" t="n"/>
      <c r="H3254" s="138" t="n">
        <v>395</v>
      </c>
      <c r="I3254" s="138">
        <f>+I3253+(G3254-H3254)</f>
        <v/>
      </c>
      <c r="J3254" s="139" t="n">
        <v>44.55</v>
      </c>
      <c r="K3254" s="140" t="n"/>
      <c r="L3254" s="140">
        <f>+H3254*J3254</f>
        <v/>
      </c>
      <c r="M3254" s="141">
        <f>SUM(M3253+K3254-L3254)</f>
        <v/>
      </c>
    </row>
    <row r="3255">
      <c r="A3255" s="20" t="n">
        <v>45838</v>
      </c>
      <c r="B3255" s="31" t="n">
        <v>15318</v>
      </c>
      <c r="C3255" s="22" t="inlineStr">
        <is>
          <t>SELİM İNŞAAT</t>
        </is>
      </c>
      <c r="D3255" s="21" t="inlineStr">
        <is>
          <t>34 EDC 162</t>
        </is>
      </c>
      <c r="E3255" s="21" t="inlineStr">
        <is>
          <t xml:space="preserve">YAKUP GÜNER </t>
        </is>
      </c>
      <c r="F3255" s="23" t="n">
        <v>373588</v>
      </c>
      <c r="G3255" s="138" t="n"/>
      <c r="H3255" s="138" t="n">
        <v>295</v>
      </c>
      <c r="I3255" s="138">
        <f>+I3254+(G3255-H3255)</f>
        <v/>
      </c>
      <c r="J3255" s="139" t="n">
        <v>44.55</v>
      </c>
      <c r="K3255" s="140" t="n"/>
      <c r="L3255" s="140">
        <f>+H3255*J3255</f>
        <v/>
      </c>
      <c r="M3255" s="141">
        <f>SUM(M3254+K3255-L3255)</f>
        <v/>
      </c>
    </row>
    <row r="3256">
      <c r="A3256" s="20" t="n">
        <v>45838</v>
      </c>
      <c r="B3256" s="21" t="n">
        <v>14387</v>
      </c>
      <c r="C3256" s="22" t="inlineStr">
        <is>
          <t>SELİM İNŞAAT</t>
        </is>
      </c>
      <c r="D3256" s="21" t="inlineStr">
        <is>
          <t xml:space="preserve">34 DKL 798 </t>
        </is>
      </c>
      <c r="E3256" s="21" t="inlineStr">
        <is>
          <t>EMİRCAN ÖZTÜRK</t>
        </is>
      </c>
      <c r="F3256" s="23" t="n">
        <v>66973</v>
      </c>
      <c r="G3256" s="138" t="n"/>
      <c r="H3256" s="138" t="n">
        <v>224</v>
      </c>
      <c r="I3256" s="138">
        <f>+I3255+(G3256-H3256)</f>
        <v/>
      </c>
      <c r="J3256" s="139" t="n">
        <v>44.55</v>
      </c>
      <c r="K3256" s="140" t="n"/>
      <c r="L3256" s="140">
        <f>+H3256*J3256</f>
        <v/>
      </c>
      <c r="M3256" s="141">
        <f>SUM(M3255+K3256-L3256)</f>
        <v/>
      </c>
    </row>
    <row r="3257">
      <c r="A3257" s="20" t="n">
        <v>45838</v>
      </c>
      <c r="B3257" s="21" t="n">
        <v>10895</v>
      </c>
      <c r="C3257" s="22" t="inlineStr">
        <is>
          <t>SELİM İNŞAAT</t>
        </is>
      </c>
      <c r="D3257" s="21" t="inlineStr">
        <is>
          <t>34 AR 7743</t>
        </is>
      </c>
      <c r="E3257" s="21" t="inlineStr">
        <is>
          <t>MEHMET SELİM</t>
        </is>
      </c>
      <c r="F3257" s="23" t="n"/>
      <c r="G3257" s="138" t="n"/>
      <c r="H3257" s="23" t="n">
        <v>52</v>
      </c>
      <c r="I3257" s="138">
        <f>+I3256+(G3257-H3257)</f>
        <v/>
      </c>
      <c r="J3257" s="139" t="n">
        <v>44.55</v>
      </c>
      <c r="K3257" s="140" t="n"/>
      <c r="L3257" s="140">
        <f>+H3257*J3257</f>
        <v/>
      </c>
      <c r="M3257" s="141">
        <f>SUM(M3256+K3257-L3257)</f>
        <v/>
      </c>
    </row>
    <row r="3258">
      <c r="A3258" s="20" t="n">
        <v>45838</v>
      </c>
      <c r="B3258" s="21" t="n">
        <v>15164</v>
      </c>
      <c r="C3258" s="22" t="inlineStr">
        <is>
          <t>SELİM İNŞAAT</t>
        </is>
      </c>
      <c r="D3258" s="21" t="inlineStr">
        <is>
          <t>34 DP 4161</t>
        </is>
      </c>
      <c r="E3258" s="21" t="inlineStr">
        <is>
          <t>RIFAT KARATAY</t>
        </is>
      </c>
      <c r="F3258" s="23" t="n">
        <v>288153</v>
      </c>
      <c r="G3258" s="138" t="n"/>
      <c r="H3258" s="138" t="n">
        <v>210</v>
      </c>
      <c r="I3258" s="138">
        <f>+I3257+(G3258-H3258)</f>
        <v/>
      </c>
      <c r="J3258" s="139" t="n">
        <v>44.55</v>
      </c>
      <c r="K3258" s="140" t="n"/>
      <c r="L3258" s="140">
        <f>+H3258*J3258</f>
        <v/>
      </c>
      <c r="M3258" s="141">
        <f>SUM(M3257+K3258-L3258)</f>
        <v/>
      </c>
    </row>
    <row r="3259">
      <c r="A3259" s="20" t="n">
        <v>45838</v>
      </c>
      <c r="B3259" s="21" t="n">
        <v>14643</v>
      </c>
      <c r="C3259" s="22" t="inlineStr">
        <is>
          <t>SELİM İNŞAAT</t>
        </is>
      </c>
      <c r="D3259" s="21" t="inlineStr">
        <is>
          <t>34 GER 445</t>
        </is>
      </c>
      <c r="E3259" s="21" t="inlineStr">
        <is>
          <t>HASAN BAYCAN</t>
        </is>
      </c>
      <c r="F3259" s="23" t="n">
        <v>44161</v>
      </c>
      <c r="G3259" s="138" t="n"/>
      <c r="H3259" s="138" t="n">
        <v>120</v>
      </c>
      <c r="I3259" s="138">
        <f>+I3258+(G3259-H3259)</f>
        <v/>
      </c>
      <c r="J3259" s="139" t="n">
        <v>44.55</v>
      </c>
      <c r="K3259" s="140" t="n"/>
      <c r="L3259" s="140">
        <f>+H3259*J3259</f>
        <v/>
      </c>
      <c r="M3259" s="141">
        <f>SUM(M3258+K3259-L3259)</f>
        <v/>
      </c>
    </row>
    <row r="3260">
      <c r="A3260" s="20" t="n">
        <v>45838</v>
      </c>
      <c r="B3260" s="21" t="n">
        <v>15923</v>
      </c>
      <c r="C3260" s="22" t="inlineStr">
        <is>
          <t>SELİM İNŞAAT</t>
        </is>
      </c>
      <c r="D3260" s="21" t="inlineStr">
        <is>
          <t>34 DFE 454</t>
        </is>
      </c>
      <c r="E3260" s="21" t="inlineStr">
        <is>
          <t>METİN KALKAN</t>
        </is>
      </c>
      <c r="F3260" s="23" t="n">
        <v>160608</v>
      </c>
      <c r="G3260" s="138" t="n"/>
      <c r="H3260" s="138" t="n">
        <v>235</v>
      </c>
      <c r="I3260" s="138">
        <f>+I3259+(G3260-H3260)</f>
        <v/>
      </c>
      <c r="J3260" s="139" t="n">
        <v>44.55</v>
      </c>
      <c r="K3260" s="140" t="n"/>
      <c r="L3260" s="140">
        <f>+H3260*J3260</f>
        <v/>
      </c>
      <c r="M3260" s="141">
        <f>SUM(M3259+K3260-L3260)</f>
        <v/>
      </c>
    </row>
    <row r="3261">
      <c r="A3261" s="20" t="n">
        <v>45838</v>
      </c>
      <c r="B3261" s="21" t="n">
        <v>14347</v>
      </c>
      <c r="C3261" s="22" t="inlineStr">
        <is>
          <t>SELİM İNŞAAT</t>
        </is>
      </c>
      <c r="D3261" s="21" t="inlineStr">
        <is>
          <t>34 DKL 866</t>
        </is>
      </c>
      <c r="E3261" s="21" t="inlineStr">
        <is>
          <t>SELİM CAN ÖNVER</t>
        </is>
      </c>
      <c r="F3261" s="23" t="n">
        <v>67126</v>
      </c>
      <c r="G3261" s="138" t="n"/>
      <c r="H3261" s="138" t="n">
        <v>195</v>
      </c>
      <c r="I3261" s="138">
        <f>+I3260+(G3261-H3261)</f>
        <v/>
      </c>
      <c r="J3261" s="139" t="n">
        <v>44.55</v>
      </c>
      <c r="K3261" s="140" t="n"/>
      <c r="L3261" s="140">
        <f>+H3261*J3261</f>
        <v/>
      </c>
      <c r="M3261" s="141">
        <f>SUM(M3260+K3261-L3261)</f>
        <v/>
      </c>
    </row>
    <row r="3262">
      <c r="A3262" s="20" t="n">
        <v>45838</v>
      </c>
      <c r="B3262" s="21" t="n">
        <v>14747</v>
      </c>
      <c r="C3262" s="22" t="inlineStr">
        <is>
          <t>METİN ERYİĞİT</t>
        </is>
      </c>
      <c r="D3262" s="21" t="inlineStr">
        <is>
          <t>34 GBL 998</t>
        </is>
      </c>
      <c r="E3262" s="21" t="inlineStr">
        <is>
          <t>ALİ KESKİN</t>
        </is>
      </c>
      <c r="F3262" s="23" t="n">
        <v>272845</v>
      </c>
      <c r="G3262" s="138" t="n"/>
      <c r="H3262" s="138" t="n">
        <v>453</v>
      </c>
      <c r="I3262" s="138">
        <f>+I3261+(G3262-H3262)</f>
        <v/>
      </c>
      <c r="J3262" s="139" t="n">
        <v>44.55</v>
      </c>
      <c r="K3262" s="140" t="n"/>
      <c r="L3262" s="140">
        <f>+H3262*J3262</f>
        <v/>
      </c>
      <c r="M3262" s="141">
        <f>SUM(M3261+K3262-L3262)</f>
        <v/>
      </c>
    </row>
    <row r="3263">
      <c r="A3263" s="20" t="n">
        <v>45840</v>
      </c>
      <c r="B3263" s="21" t="n">
        <v>860</v>
      </c>
      <c r="C3263" s="22" t="inlineStr">
        <is>
          <t>ÜNSOY TURİZM İNŞ.SAN.VE TİC.A.Ş.</t>
        </is>
      </c>
      <c r="D3263" s="21" t="n"/>
      <c r="E3263" s="21" t="n"/>
      <c r="F3263" s="23" t="n"/>
      <c r="G3263" s="138" t="n">
        <v>32219</v>
      </c>
      <c r="H3263" s="138" t="n"/>
      <c r="I3263" s="138">
        <f>+I3262+(G3263-H3263)</f>
        <v/>
      </c>
      <c r="J3263" s="139">
        <f>+K3263/G3263</f>
        <v/>
      </c>
      <c r="K3263" s="140" t="n">
        <v>1399145.52</v>
      </c>
      <c r="L3263" s="140">
        <f>+H3263*J3263</f>
        <v/>
      </c>
      <c r="M3263" s="141">
        <f>SUM(M3262+K3263-L3263)</f>
        <v/>
      </c>
    </row>
    <row r="3264">
      <c r="A3264" s="20" t="n">
        <v>45841</v>
      </c>
      <c r="B3264" s="21" t="n">
        <v>11376</v>
      </c>
      <c r="C3264" s="22" t="inlineStr">
        <is>
          <t>AZGÜN YAPI</t>
        </is>
      </c>
      <c r="D3264" s="21" t="inlineStr">
        <is>
          <t>34 MKT 593</t>
        </is>
      </c>
      <c r="E3264" s="21" t="inlineStr">
        <is>
          <t>İBRAHİM GÜLLÜK</t>
        </is>
      </c>
      <c r="F3264" s="23" t="n"/>
      <c r="G3264" s="138" t="n"/>
      <c r="H3264" s="138" t="n">
        <v>855</v>
      </c>
      <c r="I3264" s="138">
        <f>+I3263+(G3264-H3264)</f>
        <v/>
      </c>
      <c r="J3264" s="139" t="n">
        <v>43.426</v>
      </c>
      <c r="K3264" s="140" t="n"/>
      <c r="L3264" s="140">
        <f>+H3264*J3264</f>
        <v/>
      </c>
      <c r="M3264" s="141">
        <f>SUM(M3263+K3264-L3264)</f>
        <v/>
      </c>
    </row>
    <row r="3265">
      <c r="A3265" s="20" t="n">
        <v>45841</v>
      </c>
      <c r="B3265" s="1" t="n"/>
      <c r="C3265" s="2" t="inlineStr">
        <is>
          <t>SELİM İNŞAAT</t>
        </is>
      </c>
      <c r="D3265" s="1" t="inlineStr">
        <is>
          <t>34 DTV 352</t>
        </is>
      </c>
      <c r="E3265" s="1" t="inlineStr">
        <is>
          <t>ADEM DENİZ</t>
        </is>
      </c>
      <c r="F3265" s="3" t="n">
        <v>436842</v>
      </c>
      <c r="G3265" s="143" t="n"/>
      <c r="H3265" s="143" t="n">
        <v>489</v>
      </c>
      <c r="I3265" s="143">
        <f>+I3264+(G3265-H3265)</f>
        <v/>
      </c>
      <c r="J3265" s="144" t="n">
        <v>43.426</v>
      </c>
      <c r="K3265" s="145" t="n"/>
      <c r="L3265" s="140">
        <f>+H3265*J3265</f>
        <v/>
      </c>
      <c r="M3265" s="141">
        <f>SUM(M3264+K3265-L3265)</f>
        <v/>
      </c>
    </row>
    <row r="3266">
      <c r="A3266" s="20" t="n">
        <v>45845</v>
      </c>
      <c r="B3266" s="1" t="n">
        <v>917</v>
      </c>
      <c r="C3266" s="2" t="inlineStr">
        <is>
          <t>MEGA VALIK</t>
        </is>
      </c>
      <c r="D3266" s="1" t="inlineStr">
        <is>
          <t>SM 300</t>
        </is>
      </c>
      <c r="E3266" s="1" t="inlineStr">
        <is>
          <t>TURGUT SANCAK</t>
        </is>
      </c>
      <c r="F3266" s="3" t="n"/>
      <c r="G3266" s="143" t="n"/>
      <c r="H3266" s="143" t="n">
        <v>387</v>
      </c>
      <c r="I3266" s="143">
        <f>+I3265+(G3266-H3266)</f>
        <v/>
      </c>
      <c r="J3266" s="144" t="n">
        <v>43.426</v>
      </c>
      <c r="K3266" s="145" t="n"/>
      <c r="L3266" s="140">
        <f>+H3266*J3266</f>
        <v/>
      </c>
      <c r="M3266" s="141">
        <f>SUM(M3265+K3266-L3266)</f>
        <v/>
      </c>
    </row>
    <row r="3267">
      <c r="A3267" s="20" t="n">
        <v>45846</v>
      </c>
      <c r="B3267" s="21" t="n">
        <v>898</v>
      </c>
      <c r="C3267" s="22" t="inlineStr">
        <is>
          <t>ÜNSOY TURİZM İNŞ.SAN.VE TİC.A.Ş.</t>
        </is>
      </c>
      <c r="D3267" s="21" t="n"/>
      <c r="E3267" s="21" t="n"/>
      <c r="F3267" s="23" t="n"/>
      <c r="G3267" s="138" t="n">
        <v>28735</v>
      </c>
      <c r="H3267" s="138" t="n"/>
      <c r="I3267" s="138">
        <f>+I3266+(G3267-H3267)</f>
        <v/>
      </c>
      <c r="J3267" s="139">
        <f>+K3267/G3267</f>
        <v/>
      </c>
      <c r="K3267" s="140" t="n">
        <v>1329568.45</v>
      </c>
      <c r="L3267" s="140">
        <f>+H3267*J3267</f>
        <v/>
      </c>
      <c r="M3267" s="141">
        <f>SUM(M3266+K3267-L3267)</f>
        <v/>
      </c>
    </row>
    <row r="3268">
      <c r="A3268" s="20" t="n">
        <v>45846</v>
      </c>
      <c r="B3268" s="1" t="n">
        <v>918</v>
      </c>
      <c r="C3268" s="2" t="inlineStr">
        <is>
          <t>CEVİZ MOBİLYA</t>
        </is>
      </c>
      <c r="D3268" s="1" t="inlineStr">
        <is>
          <t>SM 350</t>
        </is>
      </c>
      <c r="E3268" s="1" t="inlineStr">
        <is>
          <t>TEVFİK ÖZTÜRK</t>
        </is>
      </c>
      <c r="F3268" s="3" t="n"/>
      <c r="G3268" s="143" t="n"/>
      <c r="H3268" s="143" t="n">
        <v>390</v>
      </c>
      <c r="I3268" s="143">
        <f>+I3267+(G3268-H3268)</f>
        <v/>
      </c>
      <c r="J3268" s="144" t="n">
        <v>46.27</v>
      </c>
      <c r="K3268" s="145" t="n"/>
      <c r="L3268" s="140">
        <f>+H3268*J3268</f>
        <v/>
      </c>
      <c r="M3268" s="141">
        <f>SUM(M3267+K3268-L3268)</f>
        <v/>
      </c>
    </row>
    <row r="3269">
      <c r="A3269" s="20" t="n">
        <v>45846</v>
      </c>
      <c r="B3269" s="21" t="n">
        <v>701</v>
      </c>
      <c r="C3269" s="22" t="inlineStr">
        <is>
          <t>METİN ERYİĞİT</t>
        </is>
      </c>
      <c r="D3269" s="21" t="inlineStr">
        <is>
          <t>34 GBL 998</t>
        </is>
      </c>
      <c r="E3269" s="21" t="inlineStr">
        <is>
          <t>ALİ KESKİN</t>
        </is>
      </c>
      <c r="F3269" s="23" t="n">
        <v>275461</v>
      </c>
      <c r="G3269" s="138" t="n"/>
      <c r="H3269" s="138" t="n">
        <v>200</v>
      </c>
      <c r="I3269" s="138">
        <f>+I3268+(G3269-H3269)</f>
        <v/>
      </c>
      <c r="J3269" s="139" t="n">
        <v>46.27</v>
      </c>
      <c r="K3269" s="140" t="n"/>
      <c r="L3269" s="140">
        <f>+H3269*J3269</f>
        <v/>
      </c>
      <c r="M3269" s="141">
        <f>SUM(M3268+K3269-L3269)</f>
        <v/>
      </c>
    </row>
    <row r="3270">
      <c r="A3270" s="20" t="n">
        <v>45846</v>
      </c>
      <c r="B3270" s="21" t="n">
        <v>15618</v>
      </c>
      <c r="C3270" s="22" t="inlineStr">
        <is>
          <t>METİN ERYİĞİT</t>
        </is>
      </c>
      <c r="D3270" s="21" t="inlineStr">
        <is>
          <t>34 EGS 013</t>
        </is>
      </c>
      <c r="E3270" s="21" t="inlineStr">
        <is>
          <t xml:space="preserve">UĞUR DUMAN </t>
        </is>
      </c>
      <c r="F3270" s="23" t="n">
        <v>494668</v>
      </c>
      <c r="G3270" s="138" t="n"/>
      <c r="H3270" s="138" t="n">
        <v>432</v>
      </c>
      <c r="I3270" s="138">
        <f>+I3269+(G3270-H3270)</f>
        <v/>
      </c>
      <c r="J3270" s="139" t="n">
        <v>46.27</v>
      </c>
      <c r="K3270" s="140" t="n"/>
      <c r="L3270" s="140">
        <f>+H3270*J3270</f>
        <v/>
      </c>
      <c r="M3270" s="141">
        <f>SUM(M3269+K3270-L3270)</f>
        <v/>
      </c>
    </row>
    <row r="3271">
      <c r="A3271" s="20" t="n">
        <v>45846</v>
      </c>
      <c r="B3271" s="21" t="n">
        <v>15673</v>
      </c>
      <c r="C3271" s="22" t="inlineStr">
        <is>
          <t>METİN ERYİĞİT</t>
        </is>
      </c>
      <c r="D3271" s="21" t="inlineStr">
        <is>
          <t>34 EGR 814</t>
        </is>
      </c>
      <c r="E3271" s="21" t="inlineStr">
        <is>
          <t>GÜRAY KOYUNCU</t>
        </is>
      </c>
      <c r="F3271" s="23" t="n">
        <v>548624</v>
      </c>
      <c r="G3271" s="138" t="n"/>
      <c r="H3271" s="138" t="n">
        <v>279</v>
      </c>
      <c r="I3271" s="138">
        <f>+I3270+(G3271-H3271)</f>
        <v/>
      </c>
      <c r="J3271" s="139" t="n">
        <v>46.27</v>
      </c>
      <c r="K3271" s="140" t="n"/>
      <c r="L3271" s="140">
        <f>+H3271*J3271</f>
        <v/>
      </c>
      <c r="M3271" s="141">
        <f>SUM(M3270+K3271-L3271)</f>
        <v/>
      </c>
    </row>
    <row r="3272">
      <c r="A3272" s="20" t="n">
        <v>45846</v>
      </c>
      <c r="B3272" s="1" t="n">
        <v>15363</v>
      </c>
      <c r="C3272" s="2" t="inlineStr">
        <is>
          <t>SELİM İNŞAAT</t>
        </is>
      </c>
      <c r="D3272" s="1" t="inlineStr">
        <is>
          <t>34 DTV 409</t>
        </is>
      </c>
      <c r="E3272" s="1" t="inlineStr">
        <is>
          <t>ONUR CANLI</t>
        </is>
      </c>
      <c r="F3272" s="3" t="n">
        <v>422665</v>
      </c>
      <c r="G3272" s="143" t="n"/>
      <c r="H3272" s="143" t="n">
        <v>384</v>
      </c>
      <c r="I3272" s="143">
        <f>+I3271+(G3272-H3272)</f>
        <v/>
      </c>
      <c r="J3272" s="144" t="n">
        <v>46.27</v>
      </c>
      <c r="K3272" s="145" t="n"/>
      <c r="L3272" s="140">
        <f>+H3272*J3272</f>
        <v/>
      </c>
      <c r="M3272" s="141">
        <f>SUM(M3271+K3272-L3272)</f>
        <v/>
      </c>
    </row>
    <row r="3273">
      <c r="A3273" s="20" t="n">
        <v>45846</v>
      </c>
      <c r="B3273" s="1" t="n">
        <v>10590</v>
      </c>
      <c r="C3273" s="2" t="inlineStr">
        <is>
          <t>SELİM İNŞAAT</t>
        </is>
      </c>
      <c r="D3273" s="1" t="inlineStr">
        <is>
          <t>34 GU 945</t>
        </is>
      </c>
      <c r="E3273" s="1" t="inlineStr">
        <is>
          <t>ŞERİF KARTAL</t>
        </is>
      </c>
      <c r="F3273" s="3" t="n">
        <v>450287</v>
      </c>
      <c r="G3273" s="143" t="n"/>
      <c r="H3273" s="143" t="n">
        <v>69</v>
      </c>
      <c r="I3273" s="143">
        <f>+I3272+(G3273-H3273)</f>
        <v/>
      </c>
      <c r="J3273" s="144" t="n">
        <v>46.27</v>
      </c>
      <c r="K3273" s="145" t="n"/>
      <c r="L3273" s="140">
        <f>+H3273*J3273</f>
        <v/>
      </c>
      <c r="M3273" s="141">
        <f>SUM(M3272+K3273-L3273)</f>
        <v/>
      </c>
    </row>
    <row r="3274">
      <c r="A3274" s="20" t="n">
        <v>45846</v>
      </c>
      <c r="B3274" s="1" t="n">
        <v>201</v>
      </c>
      <c r="C3274" s="2" t="inlineStr">
        <is>
          <t>SELİM İNŞAAT</t>
        </is>
      </c>
      <c r="D3274" s="1" t="inlineStr">
        <is>
          <t>34 JGR 15</t>
        </is>
      </c>
      <c r="E3274" s="1" t="inlineStr">
        <is>
          <t>MUSTAFA ALBAYRAK</t>
        </is>
      </c>
      <c r="F3274" s="3" t="n">
        <v>311070</v>
      </c>
      <c r="G3274" s="143" t="n"/>
      <c r="H3274" s="143" t="n">
        <v>77</v>
      </c>
      <c r="I3274" s="143">
        <f>+I3273+(G3274-H3274)</f>
        <v/>
      </c>
      <c r="J3274" s="144" t="n">
        <v>46.27</v>
      </c>
      <c r="K3274" s="145" t="n"/>
      <c r="L3274" s="140">
        <f>+H3274*J3274</f>
        <v/>
      </c>
      <c r="M3274" s="141">
        <f>SUM(M3273+K3274-L3274)</f>
        <v/>
      </c>
    </row>
    <row r="3275">
      <c r="A3275" s="20" t="n">
        <v>45846</v>
      </c>
      <c r="B3275" s="1" t="n">
        <v>20548</v>
      </c>
      <c r="C3275" s="2" t="inlineStr">
        <is>
          <t>SELİM İNŞAAT</t>
        </is>
      </c>
      <c r="D3275" s="1" t="inlineStr">
        <is>
          <t>34 VF 2620</t>
        </is>
      </c>
      <c r="E3275" s="1" t="inlineStr">
        <is>
          <t>RECEP SELİM</t>
        </is>
      </c>
      <c r="F3275" s="3" t="n">
        <v>188627</v>
      </c>
      <c r="G3275" s="143" t="n"/>
      <c r="H3275" s="143" t="n">
        <v>77</v>
      </c>
      <c r="I3275" s="143">
        <f>+I3274+(G3275-H3275)</f>
        <v/>
      </c>
      <c r="J3275" s="144" t="n">
        <v>46.27</v>
      </c>
      <c r="K3275" s="145" t="n"/>
      <c r="L3275" s="140">
        <f>+H3275*J3275</f>
        <v/>
      </c>
      <c r="M3275" s="141">
        <f>SUM(M3274+K3275-L3275)</f>
        <v/>
      </c>
    </row>
    <row r="3276">
      <c r="A3276" s="20" t="n">
        <v>45846</v>
      </c>
      <c r="B3276" s="1" t="n">
        <v>21335</v>
      </c>
      <c r="C3276" s="2" t="inlineStr">
        <is>
          <t>SELİM İNŞAAT</t>
        </is>
      </c>
      <c r="D3276" s="1" t="inlineStr">
        <is>
          <t>34 FEM 934</t>
        </is>
      </c>
      <c r="E3276" s="1" t="inlineStr">
        <is>
          <t>MUSTAFA ALBAYRAK</t>
        </is>
      </c>
      <c r="F3276" s="3" t="n">
        <v>312532</v>
      </c>
      <c r="G3276" s="143" t="n"/>
      <c r="H3276" s="143" t="n">
        <v>76</v>
      </c>
      <c r="I3276" s="143">
        <f>+I3275+(G3276-H3276)</f>
        <v/>
      </c>
      <c r="J3276" s="144" t="n">
        <v>46.27</v>
      </c>
      <c r="K3276" s="145" t="n"/>
      <c r="L3276" s="140">
        <f>+H3276*J3276</f>
        <v/>
      </c>
      <c r="M3276" s="141">
        <f>SUM(M3275+K3276-L3276)</f>
        <v/>
      </c>
    </row>
    <row r="3277">
      <c r="A3277" s="20" t="n">
        <v>45847</v>
      </c>
      <c r="B3277" s="1" t="n">
        <v>533</v>
      </c>
      <c r="C3277" s="2" t="inlineStr">
        <is>
          <t>EVKUR</t>
        </is>
      </c>
      <c r="D3277" s="1" t="inlineStr">
        <is>
          <t>SM 350</t>
        </is>
      </c>
      <c r="E3277" s="1" t="inlineStr">
        <is>
          <t>BAYRAM SANCAK</t>
        </is>
      </c>
      <c r="F3277" s="3" t="n"/>
      <c r="G3277" s="143" t="n"/>
      <c r="H3277" s="143" t="n">
        <v>445</v>
      </c>
      <c r="I3277" s="143">
        <f>+I3276+(G3277-H3277)</f>
        <v/>
      </c>
      <c r="J3277" s="144" t="n">
        <v>46.27</v>
      </c>
      <c r="K3277" s="145" t="n"/>
      <c r="L3277" s="140">
        <f>+H3277*J3277</f>
        <v/>
      </c>
      <c r="M3277" s="141">
        <f>SUM(M3276+K3277-L3277)</f>
        <v/>
      </c>
    </row>
    <row r="3278">
      <c r="A3278" s="20" t="n">
        <v>45847</v>
      </c>
      <c r="B3278" s="1" t="n">
        <v>534</v>
      </c>
      <c r="C3278" s="2" t="inlineStr">
        <is>
          <t>EVKUR</t>
        </is>
      </c>
      <c r="D3278" s="1" t="inlineStr">
        <is>
          <t>SİLİNDİR</t>
        </is>
      </c>
      <c r="E3278" s="1" t="inlineStr">
        <is>
          <t>RAMAZAN KAYA</t>
        </is>
      </c>
      <c r="F3278" s="3" t="n"/>
      <c r="G3278" s="143" t="n"/>
      <c r="H3278" s="143" t="n">
        <v>157</v>
      </c>
      <c r="I3278" s="143">
        <f>+I3277+(G3278-H3278)</f>
        <v/>
      </c>
      <c r="J3278" s="144" t="n">
        <v>46.27</v>
      </c>
      <c r="K3278" s="145" t="n"/>
      <c r="L3278" s="140">
        <f>+H3278*J3278</f>
        <v/>
      </c>
      <c r="M3278" s="141">
        <f>SUM(M3277+K3278-L3278)</f>
        <v/>
      </c>
    </row>
    <row r="3279">
      <c r="A3279" s="20" t="n">
        <v>45847</v>
      </c>
      <c r="B3279" s="1" t="n">
        <v>535</v>
      </c>
      <c r="C3279" s="2" t="inlineStr">
        <is>
          <t>MEGA VALIK</t>
        </is>
      </c>
      <c r="D3279" s="1" t="inlineStr">
        <is>
          <t xml:space="preserve">SM 300 </t>
        </is>
      </c>
      <c r="E3279" s="1" t="inlineStr">
        <is>
          <t>TURGUT SANCAK</t>
        </is>
      </c>
      <c r="F3279" s="3" t="n"/>
      <c r="G3279" s="143" t="n"/>
      <c r="H3279" s="143" t="n">
        <v>307</v>
      </c>
      <c r="I3279" s="143">
        <f>+I3278+(G3279-H3279)</f>
        <v/>
      </c>
      <c r="J3279" s="144" t="n">
        <v>46.27</v>
      </c>
      <c r="K3279" s="145" t="n"/>
      <c r="L3279" s="140">
        <f>+H3279*J3279</f>
        <v/>
      </c>
      <c r="M3279" s="141">
        <f>SUM(M3278+K3279-L3279)</f>
        <v/>
      </c>
    </row>
    <row r="3280">
      <c r="A3280" s="20" t="n">
        <v>45847</v>
      </c>
      <c r="B3280" s="1" t="n">
        <v>536</v>
      </c>
      <c r="C3280" s="2" t="inlineStr">
        <is>
          <t>MEGA VALIK</t>
        </is>
      </c>
      <c r="D3280" s="1" t="inlineStr">
        <is>
          <t xml:space="preserve">SM 370 </t>
        </is>
      </c>
      <c r="E3280" s="1" t="inlineStr">
        <is>
          <t>TEKİN ŞEYLAN</t>
        </is>
      </c>
      <c r="F3280" s="3" t="n"/>
      <c r="G3280" s="143" t="n"/>
      <c r="H3280" s="143" t="n">
        <v>324</v>
      </c>
      <c r="I3280" s="143">
        <f>+I3279+(G3280-H3280)</f>
        <v/>
      </c>
      <c r="J3280" s="144" t="n">
        <v>46.27</v>
      </c>
      <c r="K3280" s="145" t="n"/>
      <c r="L3280" s="140">
        <f>+H3280*J3280</f>
        <v/>
      </c>
      <c r="M3280" s="141">
        <f>SUM(M3279+K3280-L3280)</f>
        <v/>
      </c>
    </row>
    <row r="3281">
      <c r="A3281" s="20" t="n">
        <v>45847</v>
      </c>
      <c r="B3281" s="1" t="n">
        <v>537</v>
      </c>
      <c r="C3281" s="2" t="inlineStr">
        <is>
          <t>CEVİZ MOBİLYA</t>
        </is>
      </c>
      <c r="D3281" s="1" t="inlineStr">
        <is>
          <t xml:space="preserve">SM 350 </t>
        </is>
      </c>
      <c r="E3281" s="1" t="inlineStr">
        <is>
          <t>TEVFİK ÖZTÜRK</t>
        </is>
      </c>
      <c r="F3281" s="3" t="n"/>
      <c r="G3281" s="143" t="n"/>
      <c r="H3281" s="143" t="n">
        <v>420</v>
      </c>
      <c r="I3281" s="143">
        <f>+I3280+(G3281-H3281)</f>
        <v/>
      </c>
      <c r="J3281" s="144" t="n">
        <v>46.27</v>
      </c>
      <c r="K3281" s="145" t="n"/>
      <c r="L3281" s="140">
        <f>+H3281*J3281</f>
        <v/>
      </c>
      <c r="M3281" s="141">
        <f>SUM(M3280+K3281-L3281)</f>
        <v/>
      </c>
    </row>
    <row r="3282">
      <c r="A3282" s="20" t="n">
        <v>45847</v>
      </c>
      <c r="B3282" s="21" t="n">
        <v>702</v>
      </c>
      <c r="C3282" s="22" t="inlineStr">
        <is>
          <t>METİN ERYİĞİT</t>
        </is>
      </c>
      <c r="D3282" s="21" t="inlineStr">
        <is>
          <t>34 GBL 998</t>
        </is>
      </c>
      <c r="E3282" s="21" t="inlineStr">
        <is>
          <t>ALİ KESKİN</t>
        </is>
      </c>
      <c r="F3282" s="23" t="n">
        <v>275891</v>
      </c>
      <c r="G3282" s="138" t="n"/>
      <c r="H3282" s="138" t="n">
        <v>200</v>
      </c>
      <c r="I3282" s="138">
        <f>+I3281+(G3282-H3282)</f>
        <v/>
      </c>
      <c r="J3282" s="139" t="n">
        <v>46.27</v>
      </c>
      <c r="K3282" s="140" t="n"/>
      <c r="L3282" s="140">
        <f>+H3282*J3282</f>
        <v/>
      </c>
      <c r="M3282" s="141">
        <f>SUM(M3281+K3282-L3282)</f>
        <v/>
      </c>
    </row>
    <row r="3283">
      <c r="A3283" s="20" t="n">
        <v>45847</v>
      </c>
      <c r="B3283" s="1" t="n">
        <v>757</v>
      </c>
      <c r="C3283" s="2" t="inlineStr">
        <is>
          <t>SELİM İNŞAAT</t>
        </is>
      </c>
      <c r="D3283" s="1" t="inlineStr">
        <is>
          <t>34 EDB 559</t>
        </is>
      </c>
      <c r="E3283" s="1" t="inlineStr">
        <is>
          <t>ADNAN KOÇ</t>
        </is>
      </c>
      <c r="F3283" s="3" t="n">
        <v>328880</v>
      </c>
      <c r="G3283" s="143" t="n"/>
      <c r="H3283" s="143" t="n">
        <v>198</v>
      </c>
      <c r="I3283" s="143">
        <f>+I3282+(G3283-H3283)</f>
        <v/>
      </c>
      <c r="J3283" s="144" t="n">
        <v>46.27</v>
      </c>
      <c r="K3283" s="145" t="n"/>
      <c r="L3283" s="140">
        <f>+H3283*J3283</f>
        <v/>
      </c>
      <c r="M3283" s="141">
        <f>SUM(M3282+K3283-L3283)</f>
        <v/>
      </c>
    </row>
    <row r="3284">
      <c r="A3284" s="20" t="n">
        <v>45847</v>
      </c>
      <c r="B3284" s="1" t="n">
        <v>313</v>
      </c>
      <c r="C3284" s="2" t="inlineStr">
        <is>
          <t>SELİM İNŞAAT</t>
        </is>
      </c>
      <c r="D3284" s="1" t="inlineStr">
        <is>
          <t>34 EDB 829</t>
        </is>
      </c>
      <c r="E3284" s="1" t="inlineStr">
        <is>
          <t>İSMET BAYRAM</t>
        </is>
      </c>
      <c r="F3284" s="3" t="n">
        <v>325422</v>
      </c>
      <c r="G3284" s="143" t="n"/>
      <c r="H3284" s="143" t="n">
        <v>440</v>
      </c>
      <c r="I3284" s="143">
        <f>+I3283+(G3284-H3284)</f>
        <v/>
      </c>
      <c r="J3284" s="144" t="n">
        <v>46.27</v>
      </c>
      <c r="K3284" s="145" t="n"/>
      <c r="L3284" s="140">
        <f>+H3284*J3284</f>
        <v/>
      </c>
      <c r="M3284" s="141">
        <f>SUM(M3283+K3284-L3284)</f>
        <v/>
      </c>
    </row>
    <row r="3285">
      <c r="A3285" s="20" t="n">
        <v>45847</v>
      </c>
      <c r="B3285" s="1" t="n">
        <v>956</v>
      </c>
      <c r="C3285" s="2" t="inlineStr">
        <is>
          <t>SELİM İNŞAAT</t>
        </is>
      </c>
      <c r="D3285" s="1" t="inlineStr">
        <is>
          <t>34 FBR 742</t>
        </is>
      </c>
      <c r="E3285" s="1" t="inlineStr">
        <is>
          <t>MİKAİL BAYILMAZ</t>
        </is>
      </c>
      <c r="F3285" s="3" t="n">
        <v>323368</v>
      </c>
      <c r="G3285" s="143" t="n"/>
      <c r="H3285" s="143" t="n">
        <v>390</v>
      </c>
      <c r="I3285" s="143">
        <f>+I3284+(G3285-H3285)</f>
        <v/>
      </c>
      <c r="J3285" s="144" t="n">
        <v>46.27</v>
      </c>
      <c r="K3285" s="145" t="n"/>
      <c r="L3285" s="140">
        <f>+H3285*J3285</f>
        <v/>
      </c>
      <c r="M3285" s="141">
        <f>SUM(M3284+K3285-L3285)</f>
        <v/>
      </c>
    </row>
    <row r="3286">
      <c r="A3286" s="20" t="n">
        <v>45847</v>
      </c>
      <c r="B3286" s="1" t="n">
        <v>15968</v>
      </c>
      <c r="C3286" s="2" t="inlineStr">
        <is>
          <t>SELİM İNŞAAT</t>
        </is>
      </c>
      <c r="D3286" s="1" t="inlineStr">
        <is>
          <t>34 FBR 781</t>
        </is>
      </c>
      <c r="E3286" s="1" t="inlineStr">
        <is>
          <t>MEVLÜT POLAT</t>
        </is>
      </c>
      <c r="F3286" s="3" t="n">
        <v>310203</v>
      </c>
      <c r="G3286" s="143" t="n"/>
      <c r="H3286" s="143" t="n">
        <v>236</v>
      </c>
      <c r="I3286" s="143">
        <f>+I3285+(G3286-H3286)</f>
        <v/>
      </c>
      <c r="J3286" s="144" t="n">
        <v>46.27</v>
      </c>
      <c r="K3286" s="145" t="n"/>
      <c r="L3286" s="140">
        <f>+H3286*J3286</f>
        <v/>
      </c>
      <c r="M3286" s="141">
        <f>SUM(M3285+K3286-L3286)</f>
        <v/>
      </c>
    </row>
    <row r="3287">
      <c r="A3287" s="20" t="n">
        <v>45847</v>
      </c>
      <c r="B3287" s="1" t="n">
        <v>14098</v>
      </c>
      <c r="C3287" s="2" t="inlineStr">
        <is>
          <t>SELİM İNŞAAT</t>
        </is>
      </c>
      <c r="D3287" s="1" t="inlineStr">
        <is>
          <t>34 EDB 659</t>
        </is>
      </c>
      <c r="E3287" s="1" t="inlineStr">
        <is>
          <t>MEHMET SAİT ANIK</t>
        </is>
      </c>
      <c r="F3287" s="3" t="n">
        <v>346443</v>
      </c>
      <c r="G3287" s="143" t="n"/>
      <c r="H3287" s="143" t="n">
        <v>440</v>
      </c>
      <c r="I3287" s="143">
        <f>+I3286+(G3287-H3287)</f>
        <v/>
      </c>
      <c r="J3287" s="144" t="n">
        <v>46.27</v>
      </c>
      <c r="K3287" s="145" t="n"/>
      <c r="L3287" s="140">
        <f>+H3287*J3287</f>
        <v/>
      </c>
      <c r="M3287" s="141">
        <f>SUM(M3286+K3287-L3287)</f>
        <v/>
      </c>
    </row>
    <row r="3288">
      <c r="A3288" s="20" t="n">
        <v>45847</v>
      </c>
      <c r="B3288" s="1" t="n">
        <v>14769</v>
      </c>
      <c r="C3288" s="2" t="inlineStr">
        <is>
          <t>SELİM İNŞAAT</t>
        </is>
      </c>
      <c r="D3288" s="1" t="inlineStr">
        <is>
          <t>34 GYZ 635</t>
        </is>
      </c>
      <c r="E3288" s="1" t="inlineStr">
        <is>
          <t>ENGİN DEMİR</t>
        </is>
      </c>
      <c r="F3288" s="3" t="n">
        <v>178588</v>
      </c>
      <c r="G3288" s="143" t="n"/>
      <c r="H3288" s="143" t="n">
        <v>474</v>
      </c>
      <c r="I3288" s="143">
        <f>+I3287+(G3288-H3288)</f>
        <v/>
      </c>
      <c r="J3288" s="144" t="n">
        <v>46.27</v>
      </c>
      <c r="K3288" s="145" t="n"/>
      <c r="L3288" s="140">
        <f>+H3288*J3288</f>
        <v/>
      </c>
      <c r="M3288" s="141">
        <f>SUM(M3287+K3288-L3288)</f>
        <v/>
      </c>
    </row>
    <row r="3289">
      <c r="A3289" s="20" t="n">
        <v>45847</v>
      </c>
      <c r="B3289" s="1" t="n">
        <v>14439</v>
      </c>
      <c r="C3289" s="2" t="inlineStr">
        <is>
          <t>SELİM İNŞAAT</t>
        </is>
      </c>
      <c r="D3289" s="1" t="inlineStr">
        <is>
          <t>34 EGR 737</t>
        </is>
      </c>
      <c r="E3289" s="1" t="inlineStr">
        <is>
          <t>CEM MUHTAR</t>
        </is>
      </c>
      <c r="F3289" s="3" t="n">
        <v>419562</v>
      </c>
      <c r="G3289" s="143" t="n"/>
      <c r="H3289" s="143" t="n">
        <v>430</v>
      </c>
      <c r="I3289" s="143">
        <f>+I3288+(G3289-H3289)</f>
        <v/>
      </c>
      <c r="J3289" s="144" t="n">
        <v>46.27</v>
      </c>
      <c r="K3289" s="145" t="n"/>
      <c r="L3289" s="140">
        <f>+H3289*J3289</f>
        <v/>
      </c>
      <c r="M3289" s="141">
        <f>SUM(M3288+K3289-L3289)</f>
        <v/>
      </c>
    </row>
    <row r="3290">
      <c r="A3290" s="20" t="n">
        <v>45847</v>
      </c>
      <c r="B3290" s="1" t="n">
        <v>15118</v>
      </c>
      <c r="C3290" s="2" t="inlineStr">
        <is>
          <t>SELİM İNŞAAT</t>
        </is>
      </c>
      <c r="D3290" s="1" t="inlineStr">
        <is>
          <t>34 DTV 599</t>
        </is>
      </c>
      <c r="E3290" s="1" t="inlineStr">
        <is>
          <t>FERHAT GÜRLER</t>
        </is>
      </c>
      <c r="F3290" s="3" t="n">
        <v>436987</v>
      </c>
      <c r="G3290" s="143" t="n"/>
      <c r="H3290" s="143" t="n">
        <v>476</v>
      </c>
      <c r="I3290" s="143">
        <f>+I3289+(G3290-H3290)</f>
        <v/>
      </c>
      <c r="J3290" s="144" t="n">
        <v>46.27</v>
      </c>
      <c r="K3290" s="145" t="n"/>
      <c r="L3290" s="140">
        <f>+H3290*J3290</f>
        <v/>
      </c>
      <c r="M3290" s="141">
        <f>SUM(M3289+K3290-L3290)</f>
        <v/>
      </c>
    </row>
    <row r="3291">
      <c r="A3291" s="20" t="n">
        <v>45847</v>
      </c>
      <c r="B3291" s="1" t="n">
        <v>811</v>
      </c>
      <c r="C3291" s="2" t="inlineStr">
        <is>
          <t>SELİM İNŞAAT</t>
        </is>
      </c>
      <c r="D3291" s="1" t="inlineStr">
        <is>
          <t>34 FBR 705</t>
        </is>
      </c>
      <c r="E3291" s="1" t="inlineStr">
        <is>
          <t>MESUT GÜRLER</t>
        </is>
      </c>
      <c r="F3291" s="3" t="n">
        <v>321735</v>
      </c>
      <c r="G3291" s="143" t="n"/>
      <c r="H3291" s="143" t="n">
        <v>338</v>
      </c>
      <c r="I3291" s="143">
        <f>+I3290+(G3291-H3291)</f>
        <v/>
      </c>
      <c r="J3291" s="144" t="n">
        <v>46.27</v>
      </c>
      <c r="K3291" s="145" t="n"/>
      <c r="L3291" s="140">
        <f>+H3291*J3291</f>
        <v/>
      </c>
      <c r="M3291" s="141">
        <f>SUM(M3290+K3291-L3291)</f>
        <v/>
      </c>
    </row>
    <row r="3292">
      <c r="A3292" s="20" t="n">
        <v>45847</v>
      </c>
      <c r="B3292" s="1" t="n">
        <v>15322</v>
      </c>
      <c r="C3292" s="2" t="inlineStr">
        <is>
          <t>SELİM İNŞAAT</t>
        </is>
      </c>
      <c r="D3292" s="1" t="inlineStr">
        <is>
          <t>34 EDC 162</t>
        </is>
      </c>
      <c r="E3292" s="1" t="inlineStr">
        <is>
          <t xml:space="preserve">YAKUP GÜNER </t>
        </is>
      </c>
      <c r="F3292" s="3" t="n">
        <v>376139</v>
      </c>
      <c r="G3292" s="143" t="n"/>
      <c r="H3292" s="143" t="n">
        <v>343</v>
      </c>
      <c r="I3292" s="143">
        <f>+I3291+(G3292-H3292)</f>
        <v/>
      </c>
      <c r="J3292" s="144" t="n">
        <v>46.27</v>
      </c>
      <c r="K3292" s="145" t="n"/>
      <c r="L3292" s="140">
        <f>+H3292*J3292</f>
        <v/>
      </c>
      <c r="M3292" s="141">
        <f>SUM(M3291+K3292-L3292)</f>
        <v/>
      </c>
    </row>
    <row r="3293">
      <c r="A3293" s="20" t="n">
        <v>45847</v>
      </c>
      <c r="B3293" s="1" t="n">
        <v>10247</v>
      </c>
      <c r="C3293" s="2" t="inlineStr">
        <is>
          <t>SELİM İNŞAAT</t>
        </is>
      </c>
      <c r="D3293" s="1" t="inlineStr">
        <is>
          <t>34 DSN 621</t>
        </is>
      </c>
      <c r="E3293" s="1" t="inlineStr">
        <is>
          <t>MUSTAFA KAYA</t>
        </is>
      </c>
      <c r="F3293" s="3" t="n">
        <v>416065</v>
      </c>
      <c r="G3293" s="143" t="n"/>
      <c r="H3293" s="143" t="n">
        <v>328</v>
      </c>
      <c r="I3293" s="143">
        <f>+I3292+(G3293-H3293)</f>
        <v/>
      </c>
      <c r="J3293" s="144" t="n">
        <v>46.27</v>
      </c>
      <c r="K3293" s="145" t="n"/>
      <c r="L3293" s="140">
        <f>+H3293*J3293</f>
        <v/>
      </c>
      <c r="M3293" s="141">
        <f>SUM(M3292+K3293-L3293)</f>
        <v/>
      </c>
    </row>
    <row r="3294">
      <c r="A3294" s="20" t="n">
        <v>45847</v>
      </c>
      <c r="B3294" s="1" t="n">
        <v>14496</v>
      </c>
      <c r="C3294" s="2" t="inlineStr">
        <is>
          <t>SELİM İNŞAAT</t>
        </is>
      </c>
      <c r="D3294" s="1" t="inlineStr">
        <is>
          <t>34 GUS 848</t>
        </is>
      </c>
      <c r="E3294" s="1" t="inlineStr">
        <is>
          <t>SERDAR BOZKURT</t>
        </is>
      </c>
      <c r="F3294" s="3" t="n">
        <v>196995</v>
      </c>
      <c r="G3294" s="143" t="n"/>
      <c r="H3294" s="143" t="n">
        <v>379</v>
      </c>
      <c r="I3294" s="143">
        <f>+I3293+(G3294-H3294)</f>
        <v/>
      </c>
      <c r="J3294" s="144" t="n">
        <v>46.27</v>
      </c>
      <c r="K3294" s="145" t="n"/>
      <c r="L3294" s="140">
        <f>+H3294*J3294</f>
        <v/>
      </c>
      <c r="M3294" s="141">
        <f>SUM(M3293+K3294-L3294)</f>
        <v/>
      </c>
    </row>
    <row r="3295">
      <c r="A3295" s="20" t="n">
        <v>45847</v>
      </c>
      <c r="B3295" s="1" t="n">
        <v>14048</v>
      </c>
      <c r="C3295" s="2" t="inlineStr">
        <is>
          <t>SELİM İNŞAAT</t>
        </is>
      </c>
      <c r="D3295" s="1" t="inlineStr">
        <is>
          <t>34 GVZ 310</t>
        </is>
      </c>
      <c r="E3295" s="1" t="inlineStr">
        <is>
          <t>CELAL YÜZBAŞI</t>
        </is>
      </c>
      <c r="F3295" s="3" t="n">
        <v>203930</v>
      </c>
      <c r="G3295" s="143" t="n"/>
      <c r="H3295" s="143" t="n">
        <v>241</v>
      </c>
      <c r="I3295" s="143">
        <f>+I3294+(G3295-H3295)</f>
        <v/>
      </c>
      <c r="J3295" s="144" t="n">
        <v>46.27</v>
      </c>
      <c r="K3295" s="145" t="n"/>
      <c r="L3295" s="140">
        <f>+H3295*J3295</f>
        <v/>
      </c>
      <c r="M3295" s="141">
        <f>SUM(M3294+K3295-L3295)</f>
        <v/>
      </c>
    </row>
    <row r="3296">
      <c r="A3296" s="20" t="n">
        <v>45847</v>
      </c>
      <c r="B3296" s="1" t="n">
        <v>10591</v>
      </c>
      <c r="C3296" s="2" t="inlineStr">
        <is>
          <t>SELİM İNŞAAT</t>
        </is>
      </c>
      <c r="D3296" s="1" t="inlineStr">
        <is>
          <t>34 GU 945</t>
        </is>
      </c>
      <c r="E3296" s="1" t="inlineStr">
        <is>
          <t>ŞERİF KARTAL</t>
        </is>
      </c>
      <c r="F3296" s="3" t="n">
        <v>450764</v>
      </c>
      <c r="G3296" s="143" t="n"/>
      <c r="H3296" s="143" t="n">
        <v>67</v>
      </c>
      <c r="I3296" s="143">
        <f>+I3295+(G3296-H3296)</f>
        <v/>
      </c>
      <c r="J3296" s="144" t="n">
        <v>46.27</v>
      </c>
      <c r="K3296" s="145" t="n"/>
      <c r="L3296" s="140">
        <f>+H3296*J3296</f>
        <v/>
      </c>
      <c r="M3296" s="141">
        <f>SUM(M3295+K3296-L3296)</f>
        <v/>
      </c>
    </row>
    <row r="3297">
      <c r="A3297" s="20" t="n">
        <v>45847</v>
      </c>
      <c r="B3297" s="1" t="n">
        <v>14392</v>
      </c>
      <c r="C3297" s="2" t="inlineStr">
        <is>
          <t>SELİM İNŞAAT</t>
        </is>
      </c>
      <c r="D3297" s="1" t="inlineStr">
        <is>
          <t>34 DKL 798</t>
        </is>
      </c>
      <c r="E3297" s="1" t="inlineStr">
        <is>
          <t>EMİRCAN ÖZTÜRK</t>
        </is>
      </c>
      <c r="F3297" s="3" t="n">
        <v>67737</v>
      </c>
      <c r="G3297" s="143" t="n"/>
      <c r="H3297" s="143" t="n">
        <v>249</v>
      </c>
      <c r="I3297" s="143">
        <f>+I3296+(G3297-H3297)</f>
        <v/>
      </c>
      <c r="J3297" s="144" t="n">
        <v>46.27</v>
      </c>
      <c r="K3297" s="145" t="n"/>
      <c r="L3297" s="140">
        <f>+H3297*J3297</f>
        <v/>
      </c>
      <c r="M3297" s="141">
        <f>SUM(M3296+K3297-L3297)</f>
        <v/>
      </c>
    </row>
    <row r="3298">
      <c r="A3298" s="20" t="n">
        <v>45847</v>
      </c>
      <c r="B3298" s="1" t="n">
        <v>15928</v>
      </c>
      <c r="C3298" s="2" t="inlineStr">
        <is>
          <t>SELİM İNŞAAT</t>
        </is>
      </c>
      <c r="D3298" s="1" t="inlineStr">
        <is>
          <t>34 DFE 454</t>
        </is>
      </c>
      <c r="E3298" s="1" t="inlineStr">
        <is>
          <t>METİN KALKAN</t>
        </is>
      </c>
      <c r="F3298" s="3" t="n">
        <v>161607</v>
      </c>
      <c r="G3298" s="143" t="n"/>
      <c r="H3298" s="143" t="n">
        <v>188</v>
      </c>
      <c r="I3298" s="143">
        <f>+I3297+(G3298-H3298)</f>
        <v/>
      </c>
      <c r="J3298" s="144" t="n">
        <v>46.27</v>
      </c>
      <c r="K3298" s="145" t="n"/>
      <c r="L3298" s="140">
        <f>+H3298*J3298</f>
        <v/>
      </c>
      <c r="M3298" s="141">
        <f>SUM(M3297+K3298-L3298)</f>
        <v/>
      </c>
    </row>
    <row r="3299">
      <c r="A3299" s="20" t="n">
        <v>45847</v>
      </c>
      <c r="B3299" s="1" t="n">
        <v>14648</v>
      </c>
      <c r="C3299" s="2" t="inlineStr">
        <is>
          <t>SELİM İNŞAAT</t>
        </is>
      </c>
      <c r="D3299" s="1" t="inlineStr">
        <is>
          <t>34 GER 445</t>
        </is>
      </c>
      <c r="E3299" s="1" t="inlineStr">
        <is>
          <t>HASAN BAYCAN</t>
        </is>
      </c>
      <c r="F3299" s="3" t="n">
        <v>45051</v>
      </c>
      <c r="G3299" s="143" t="n"/>
      <c r="H3299" s="143" t="n">
        <v>243</v>
      </c>
      <c r="I3299" s="143">
        <f>+I3298+(G3299-H3299)</f>
        <v/>
      </c>
      <c r="J3299" s="144" t="n">
        <v>46.27</v>
      </c>
      <c r="K3299" s="145" t="n"/>
      <c r="L3299" s="140">
        <f>+H3299*J3299</f>
        <v/>
      </c>
      <c r="M3299" s="141">
        <f>SUM(M3298+K3299-L3299)</f>
        <v/>
      </c>
    </row>
    <row r="3300">
      <c r="A3300" s="20" t="n">
        <v>45847</v>
      </c>
      <c r="B3300" s="1" t="n">
        <v>14540</v>
      </c>
      <c r="C3300" s="2" t="inlineStr">
        <is>
          <t>SELİM İNŞAAT</t>
        </is>
      </c>
      <c r="D3300" s="1" t="inlineStr">
        <is>
          <t>34 GER 028</t>
        </is>
      </c>
      <c r="E3300" s="1" t="inlineStr">
        <is>
          <t>A.KERİM ERGEN</t>
        </is>
      </c>
      <c r="F3300" s="3" t="n">
        <v>46570</v>
      </c>
      <c r="G3300" s="143" t="n"/>
      <c r="H3300" s="143" t="n">
        <v>150</v>
      </c>
      <c r="I3300" s="143">
        <f>+I3299+(G3300-H3300)</f>
        <v/>
      </c>
      <c r="J3300" s="144" t="n">
        <v>46.27</v>
      </c>
      <c r="K3300" s="145" t="n"/>
      <c r="L3300" s="140">
        <f>+H3300*J3300</f>
        <v/>
      </c>
      <c r="M3300" s="141">
        <f>SUM(M3299+K3300-L3300)</f>
        <v/>
      </c>
    </row>
    <row r="3301">
      <c r="A3301" s="20" t="n">
        <v>45847</v>
      </c>
      <c r="B3301" s="1" t="n">
        <v>159</v>
      </c>
      <c r="C3301" s="2" t="inlineStr">
        <is>
          <t>SELİM İNŞAAT</t>
        </is>
      </c>
      <c r="D3301" s="1" t="inlineStr">
        <is>
          <t>34 TG 7869</t>
        </is>
      </c>
      <c r="E3301" s="1" t="inlineStr">
        <is>
          <t>GÖRKEM KARAYEL</t>
        </is>
      </c>
      <c r="F3301" s="3" t="n">
        <v>184586</v>
      </c>
      <c r="G3301" s="143" t="n"/>
      <c r="H3301" s="143" t="n">
        <v>264</v>
      </c>
      <c r="I3301" s="143">
        <f>+I3300+(G3301-H3301)</f>
        <v/>
      </c>
      <c r="J3301" s="144" t="n">
        <v>46.27</v>
      </c>
      <c r="K3301" s="145" t="n"/>
      <c r="L3301" s="140">
        <f>+H3301*J3301</f>
        <v/>
      </c>
      <c r="M3301" s="141">
        <f>SUM(M3300+K3301-L3301)</f>
        <v/>
      </c>
    </row>
    <row r="3302">
      <c r="A3302" s="20" t="n">
        <v>45848</v>
      </c>
      <c r="B3302" s="1" t="n">
        <v>538</v>
      </c>
      <c r="C3302" s="2" t="inlineStr">
        <is>
          <t>HASALTUN</t>
        </is>
      </c>
      <c r="D3302" s="1" t="inlineStr">
        <is>
          <t>RT 650 SARI VİNÇ</t>
        </is>
      </c>
      <c r="E3302" s="1" t="inlineStr">
        <is>
          <t>ALİHAN DUMAN</t>
        </is>
      </c>
      <c r="F3302" s="3" t="n"/>
      <c r="G3302" s="143" t="n"/>
      <c r="H3302" s="143" t="n">
        <v>210</v>
      </c>
      <c r="I3302" s="143">
        <f>+I3301+(G3302-H3302)</f>
        <v/>
      </c>
      <c r="J3302" s="144" t="n">
        <v>46.27</v>
      </c>
      <c r="K3302" s="145" t="n"/>
      <c r="L3302" s="140">
        <f>+H3302*J3302</f>
        <v/>
      </c>
      <c r="M3302" s="141">
        <f>SUM(M3301+K3302-L3302)</f>
        <v/>
      </c>
    </row>
    <row r="3303">
      <c r="A3303" s="20" t="n">
        <v>45848</v>
      </c>
      <c r="B3303" s="1" t="n">
        <v>539</v>
      </c>
      <c r="C3303" s="2" t="inlineStr">
        <is>
          <t>VARLIK</t>
        </is>
      </c>
      <c r="D3303" s="1" t="inlineStr">
        <is>
          <t xml:space="preserve">YENİ VİNÇ </t>
        </is>
      </c>
      <c r="E3303" s="1" t="inlineStr">
        <is>
          <t>SALİH ŞOLAN</t>
        </is>
      </c>
      <c r="F3303" s="3" t="n"/>
      <c r="G3303" s="143" t="n"/>
      <c r="H3303" s="143" t="n">
        <v>276</v>
      </c>
      <c r="I3303" s="143">
        <f>+I3302+(G3303-H3303)</f>
        <v/>
      </c>
      <c r="J3303" s="144" t="n">
        <v>46.27</v>
      </c>
      <c r="K3303" s="145" t="n"/>
      <c r="L3303" s="140">
        <f>+H3303*J3303</f>
        <v/>
      </c>
      <c r="M3303" s="141">
        <f>SUM(M3302+K3303-L3303)</f>
        <v/>
      </c>
    </row>
    <row r="3304">
      <c r="A3304" s="20" t="n">
        <v>45848</v>
      </c>
      <c r="B3304" s="1" t="n">
        <v>540</v>
      </c>
      <c r="C3304" s="2" t="inlineStr">
        <is>
          <t>EVKUR</t>
        </is>
      </c>
      <c r="D3304" s="1" t="inlineStr">
        <is>
          <t xml:space="preserve">SM 350 </t>
        </is>
      </c>
      <c r="E3304" s="1" t="inlineStr">
        <is>
          <t>BAYRAM SANCAK</t>
        </is>
      </c>
      <c r="F3304" s="3" t="n"/>
      <c r="G3304" s="143" t="n"/>
      <c r="H3304" s="143" t="n">
        <v>291</v>
      </c>
      <c r="I3304" s="143">
        <f>+I3303+(G3304-H3304)</f>
        <v/>
      </c>
      <c r="J3304" s="144" t="n">
        <v>46.27</v>
      </c>
      <c r="K3304" s="145" t="n"/>
      <c r="L3304" s="140">
        <f>+H3304*J3304</f>
        <v/>
      </c>
      <c r="M3304" s="141">
        <f>SUM(M3303+K3304-L3304)</f>
        <v/>
      </c>
    </row>
    <row r="3305">
      <c r="A3305" s="20" t="n">
        <v>45848</v>
      </c>
      <c r="B3305" s="1" t="n">
        <v>541</v>
      </c>
      <c r="C3305" s="2" t="inlineStr">
        <is>
          <t>MEGA VALIK</t>
        </is>
      </c>
      <c r="D3305" s="1" t="inlineStr">
        <is>
          <t xml:space="preserve">SM 300 </t>
        </is>
      </c>
      <c r="E3305" s="1" t="inlineStr">
        <is>
          <t>TURGUT SANCAK</t>
        </is>
      </c>
      <c r="F3305" s="3" t="n"/>
      <c r="G3305" s="143" t="n"/>
      <c r="H3305" s="143" t="n">
        <v>470</v>
      </c>
      <c r="I3305" s="143">
        <f>+I3304+(G3305-H3305)</f>
        <v/>
      </c>
      <c r="J3305" s="144" t="n">
        <v>46.27</v>
      </c>
      <c r="K3305" s="145" t="n"/>
      <c r="L3305" s="140">
        <f>+H3305*J3305</f>
        <v/>
      </c>
      <c r="M3305" s="141">
        <f>SUM(M3304+K3305-L3305)</f>
        <v/>
      </c>
    </row>
    <row r="3306">
      <c r="A3306" s="20" t="n">
        <v>45848</v>
      </c>
      <c r="B3306" s="21" t="n">
        <v>542</v>
      </c>
      <c r="C3306" s="22" t="inlineStr">
        <is>
          <t>EVKUR</t>
        </is>
      </c>
      <c r="D3306" s="21" t="inlineStr">
        <is>
          <t>FOKLİFT</t>
        </is>
      </c>
      <c r="E3306" s="21" t="inlineStr">
        <is>
          <t>FAHRİ KALFA</t>
        </is>
      </c>
      <c r="F3306" s="23" t="n"/>
      <c r="G3306" s="138" t="n"/>
      <c r="H3306" s="138" t="n">
        <v>78</v>
      </c>
      <c r="I3306" s="138">
        <f>+I3305+(G3306-H3306)</f>
        <v/>
      </c>
      <c r="J3306" s="139" t="n">
        <v>46.27</v>
      </c>
      <c r="K3306" s="140" t="n"/>
      <c r="L3306" s="140">
        <f>+H3306*J3306</f>
        <v/>
      </c>
      <c r="M3306" s="141">
        <f>SUM(M3305+K3306-L3306)</f>
        <v/>
      </c>
    </row>
    <row r="3307">
      <c r="A3307" s="20" t="n">
        <v>45848</v>
      </c>
      <c r="B3307" s="1" t="n">
        <v>543</v>
      </c>
      <c r="C3307" s="2" t="inlineStr">
        <is>
          <t>EVKUR</t>
        </is>
      </c>
      <c r="D3307" s="1" t="inlineStr">
        <is>
          <t>KAVAZAKİ</t>
        </is>
      </c>
      <c r="E3307" s="1" t="inlineStr">
        <is>
          <t>RAMAZAN KAYA</t>
        </is>
      </c>
      <c r="F3307" s="3" t="n"/>
      <c r="G3307" s="143" t="n"/>
      <c r="H3307" s="143" t="n">
        <v>248</v>
      </c>
      <c r="I3307" s="143">
        <f>+I3306+(G3307-H3307)</f>
        <v/>
      </c>
      <c r="J3307" s="144" t="n">
        <v>46.27</v>
      </c>
      <c r="K3307" s="145" t="n"/>
      <c r="L3307" s="140">
        <f>+H3307*J3307</f>
        <v/>
      </c>
      <c r="M3307" s="141">
        <f>SUM(M3306+K3307-L3307)</f>
        <v/>
      </c>
    </row>
    <row r="3308">
      <c r="A3308" s="20" t="n">
        <v>45848</v>
      </c>
      <c r="B3308" s="21" t="n">
        <v>15619</v>
      </c>
      <c r="C3308" s="22" t="inlineStr">
        <is>
          <t>METİN ERYİĞİT</t>
        </is>
      </c>
      <c r="D3308" s="21" t="inlineStr">
        <is>
          <t>34 EGS 013</t>
        </is>
      </c>
      <c r="E3308" s="21" t="inlineStr">
        <is>
          <t xml:space="preserve">UĞUR DUMAN </t>
        </is>
      </c>
      <c r="F3308" s="23" t="n">
        <v>495420</v>
      </c>
      <c r="G3308" s="138" t="n"/>
      <c r="H3308" s="138" t="n">
        <v>424</v>
      </c>
      <c r="I3308" s="138">
        <f>+I3307+(G3308-H3308)</f>
        <v/>
      </c>
      <c r="J3308" s="139" t="n">
        <v>46.27</v>
      </c>
      <c r="K3308" s="140" t="n"/>
      <c r="L3308" s="140">
        <f>+H3308*J3308</f>
        <v/>
      </c>
      <c r="M3308" s="141">
        <f>SUM(M3307+K3308-L3308)</f>
        <v/>
      </c>
    </row>
    <row r="3309">
      <c r="A3309" s="20" t="n">
        <v>45848</v>
      </c>
      <c r="B3309" s="21" t="n">
        <v>15674</v>
      </c>
      <c r="C3309" s="22" t="inlineStr">
        <is>
          <t>METİN ERYİĞİT</t>
        </is>
      </c>
      <c r="D3309" s="21" t="inlineStr">
        <is>
          <t>34 EGR 814</t>
        </is>
      </c>
      <c r="E3309" s="21" t="inlineStr">
        <is>
          <t>GÜRAY KOYUNCU</t>
        </is>
      </c>
      <c r="F3309" s="23" t="n">
        <v>549454</v>
      </c>
      <c r="G3309" s="138" t="n"/>
      <c r="H3309" s="138" t="n">
        <v>521</v>
      </c>
      <c r="I3309" s="138">
        <f>+I3308+(G3309-H3309)</f>
        <v/>
      </c>
      <c r="J3309" s="139" t="n">
        <v>46.27</v>
      </c>
      <c r="K3309" s="140" t="n"/>
      <c r="L3309" s="140">
        <f>+H3309*J3309</f>
        <v/>
      </c>
      <c r="M3309" s="141">
        <f>SUM(M3308+K3309-L3309)</f>
        <v/>
      </c>
    </row>
    <row r="3310">
      <c r="A3310" s="20" t="n">
        <v>45848</v>
      </c>
      <c r="B3310" s="21" t="n">
        <v>10491</v>
      </c>
      <c r="C3310" s="22" t="inlineStr">
        <is>
          <t>AZGÜN YAPI</t>
        </is>
      </c>
      <c r="D3310" s="21" t="inlineStr">
        <is>
          <t>34 DTV 263</t>
        </is>
      </c>
      <c r="E3310" s="21" t="inlineStr">
        <is>
          <t>OZAN ÇOŞĞUN</t>
        </is>
      </c>
      <c r="F3310" s="23" t="n"/>
      <c r="G3310" s="138" t="n"/>
      <c r="H3310" s="138" t="n">
        <v>431</v>
      </c>
      <c r="I3310" s="138">
        <f>+I3309+(G3310-H3310)</f>
        <v/>
      </c>
      <c r="J3310" s="139" t="n">
        <v>46.27</v>
      </c>
      <c r="K3310" s="140" t="n"/>
      <c r="L3310" s="140">
        <f>+H3310*J3310</f>
        <v/>
      </c>
      <c r="M3310" s="141">
        <f>SUM(M3309+K3310-L3310)</f>
        <v/>
      </c>
    </row>
    <row r="3311">
      <c r="A3311" s="20" t="n">
        <v>45848</v>
      </c>
      <c r="B3311" s="21" t="n">
        <v>11377</v>
      </c>
      <c r="C3311" s="22" t="inlineStr">
        <is>
          <t>AZGÜN YAPI</t>
        </is>
      </c>
      <c r="D3311" s="21" t="inlineStr">
        <is>
          <t>34 MKT 593</t>
        </is>
      </c>
      <c r="E3311" s="21" t="inlineStr">
        <is>
          <t>İBRAHİM GÜLLÜK</t>
        </is>
      </c>
      <c r="F3311" s="23" t="n"/>
      <c r="G3311" s="138" t="n"/>
      <c r="H3311" s="138" t="n">
        <v>1010</v>
      </c>
      <c r="I3311" s="138">
        <f>+I3310+(G3311-H3311)</f>
        <v/>
      </c>
      <c r="J3311" s="139" t="n">
        <v>46.27</v>
      </c>
      <c r="K3311" s="140" t="n"/>
      <c r="L3311" s="140">
        <f>+H3311*J3311</f>
        <v/>
      </c>
      <c r="M3311" s="141">
        <f>SUM(M3310+K3311-L3311)</f>
        <v/>
      </c>
    </row>
    <row r="3312">
      <c r="A3312" s="20" t="n">
        <v>45848</v>
      </c>
      <c r="B3312" s="21" t="n">
        <v>8881</v>
      </c>
      <c r="C3312" s="22" t="inlineStr">
        <is>
          <t>MAHMUT VİNÇ</t>
        </is>
      </c>
      <c r="D3312" s="21" t="inlineStr">
        <is>
          <t>34 AH 5401</t>
        </is>
      </c>
      <c r="E3312" s="21" t="inlineStr">
        <is>
          <t>YASİN DEMİR</t>
        </is>
      </c>
      <c r="F3312" s="23" t="n"/>
      <c r="G3312" s="138" t="n"/>
      <c r="H3312" s="138" t="n">
        <v>170</v>
      </c>
      <c r="I3312" s="138">
        <f>+I3311+(G3312-H3312)</f>
        <v/>
      </c>
      <c r="J3312" s="139" t="n">
        <v>46.27</v>
      </c>
      <c r="K3312" s="140" t="n"/>
      <c r="L3312" s="140">
        <f>+H3312*J3312</f>
        <v/>
      </c>
      <c r="M3312" s="141">
        <f>SUM(M3311+K3312-L3312)</f>
        <v/>
      </c>
    </row>
    <row r="3313">
      <c r="A3313" s="20" t="n">
        <v>45848</v>
      </c>
      <c r="B3313" s="21" t="n">
        <v>8882</v>
      </c>
      <c r="C3313" s="22" t="inlineStr">
        <is>
          <t>AHMET SELİM TEMHA</t>
        </is>
      </c>
      <c r="D3313" s="21" t="inlineStr">
        <is>
          <t>34 TB 926 VİNÇ</t>
        </is>
      </c>
      <c r="E3313" s="21" t="inlineStr">
        <is>
          <t>ENES SELİM</t>
        </is>
      </c>
      <c r="F3313" s="23" t="n"/>
      <c r="G3313" s="138" t="n"/>
      <c r="H3313" s="138" t="n">
        <v>235</v>
      </c>
      <c r="I3313" s="138">
        <f>+I3312+(G3313-H3313)</f>
        <v/>
      </c>
      <c r="J3313" s="139" t="n">
        <v>46.27</v>
      </c>
      <c r="K3313" s="140" t="n"/>
      <c r="L3313" s="140">
        <f>+H3313*J3313</f>
        <v/>
      </c>
      <c r="M3313" s="141">
        <f>SUM(M3312+K3313-L3313)</f>
        <v/>
      </c>
    </row>
    <row r="3314">
      <c r="A3314" s="20" t="n">
        <v>45848</v>
      </c>
      <c r="B3314" s="21" t="n">
        <v>8883</v>
      </c>
      <c r="C3314" s="22" t="inlineStr">
        <is>
          <t>AHMET SELİM TEMHA</t>
        </is>
      </c>
      <c r="D3314" s="21" t="inlineStr">
        <is>
          <t>34 BP 9369</t>
        </is>
      </c>
      <c r="E3314" s="21" t="inlineStr">
        <is>
          <t>MEHMET KÖSE</t>
        </is>
      </c>
      <c r="F3314" s="23" t="n"/>
      <c r="G3314" s="138" t="n"/>
      <c r="H3314" s="138" t="n">
        <v>74</v>
      </c>
      <c r="I3314" s="138">
        <f>+I3313+(G3314-H3314)</f>
        <v/>
      </c>
      <c r="J3314" s="139" t="n">
        <v>46.27</v>
      </c>
      <c r="K3314" s="140" t="n"/>
      <c r="L3314" s="140">
        <f>+H3314*J3314</f>
        <v/>
      </c>
      <c r="M3314" s="141">
        <f>SUM(M3313+K3314-L3314)</f>
        <v/>
      </c>
    </row>
    <row r="3315">
      <c r="A3315" s="20" t="n">
        <v>45848</v>
      </c>
      <c r="B3315" s="1" t="n">
        <v>11236</v>
      </c>
      <c r="C3315" s="2" t="inlineStr">
        <is>
          <t>SELİM İNŞAAT</t>
        </is>
      </c>
      <c r="D3315" s="1" t="inlineStr">
        <is>
          <t>34 DSN 636</t>
        </is>
      </c>
      <c r="E3315" s="1" t="inlineStr">
        <is>
          <t>İLHAN YÜRÜK</t>
        </is>
      </c>
      <c r="F3315" s="3" t="n">
        <v>396667</v>
      </c>
      <c r="G3315" s="143" t="n"/>
      <c r="H3315" s="143" t="n">
        <v>526</v>
      </c>
      <c r="I3315" s="143">
        <f>+I3314+(G3315-H3315)</f>
        <v/>
      </c>
      <c r="J3315" s="144" t="n">
        <v>46.27</v>
      </c>
      <c r="K3315" s="145" t="n"/>
      <c r="L3315" s="140">
        <f>+H3315*J3315</f>
        <v/>
      </c>
      <c r="M3315" s="141">
        <f>SUM(M3314+K3315-L3315)</f>
        <v/>
      </c>
    </row>
    <row r="3316">
      <c r="A3316" s="20" t="n">
        <v>45848</v>
      </c>
      <c r="B3316" s="1" t="n">
        <v>314</v>
      </c>
      <c r="C3316" s="2" t="inlineStr">
        <is>
          <t>SELİM İNŞAAT</t>
        </is>
      </c>
      <c r="D3316" s="1" t="inlineStr">
        <is>
          <t>34 EDB 829</t>
        </is>
      </c>
      <c r="E3316" s="1" t="inlineStr">
        <is>
          <t>İSMET BAYRAM</t>
        </is>
      </c>
      <c r="F3316" s="3" t="n">
        <v>325981</v>
      </c>
      <c r="G3316" s="143" t="n"/>
      <c r="H3316" s="143" t="n">
        <v>379</v>
      </c>
      <c r="I3316" s="143">
        <f>+I3315+(G3316-H3316)</f>
        <v/>
      </c>
      <c r="J3316" s="144" t="n">
        <v>46.27</v>
      </c>
      <c r="K3316" s="145" t="n"/>
      <c r="L3316" s="140">
        <f>+H3316*J3316</f>
        <v/>
      </c>
      <c r="M3316" s="141">
        <f>SUM(M3315+K3316-L3316)</f>
        <v/>
      </c>
    </row>
    <row r="3317">
      <c r="A3317" s="20" t="n">
        <v>45848</v>
      </c>
      <c r="B3317" s="1" t="n">
        <v>11850</v>
      </c>
      <c r="C3317" s="2" t="inlineStr">
        <is>
          <t>SELİM İNŞAAT</t>
        </is>
      </c>
      <c r="D3317" s="1" t="inlineStr">
        <is>
          <t>34 FSG 229</t>
        </is>
      </c>
      <c r="E3317" s="1" t="inlineStr">
        <is>
          <t>SİNAN TANRIVERDİ</t>
        </is>
      </c>
      <c r="F3317" s="3" t="n">
        <v>263149</v>
      </c>
      <c r="G3317" s="143" t="n"/>
      <c r="H3317" s="143" t="n">
        <v>391</v>
      </c>
      <c r="I3317" s="143">
        <f>+I3316+(G3317-H3317)</f>
        <v/>
      </c>
      <c r="J3317" s="144" t="n">
        <v>46.27</v>
      </c>
      <c r="K3317" s="145" t="n"/>
      <c r="L3317" s="140">
        <f>+H3317*J3317</f>
        <v/>
      </c>
      <c r="M3317" s="141">
        <f>SUM(M3316+K3317-L3317)</f>
        <v/>
      </c>
    </row>
    <row r="3318">
      <c r="A3318" s="20" t="n">
        <v>45848</v>
      </c>
      <c r="B3318" s="1" t="n">
        <v>15575</v>
      </c>
      <c r="C3318" s="2" t="inlineStr">
        <is>
          <t>SELİM İNŞAAT</t>
        </is>
      </c>
      <c r="D3318" s="1" t="inlineStr">
        <is>
          <t>34 GVZ 745</t>
        </is>
      </c>
      <c r="E3318" s="1" t="inlineStr">
        <is>
          <t>MUHAMMED YİĞİT</t>
        </is>
      </c>
      <c r="F3318" s="3" t="n">
        <v>191196</v>
      </c>
      <c r="G3318" s="143" t="n"/>
      <c r="H3318" s="143" t="n">
        <v>310</v>
      </c>
      <c r="I3318" s="143">
        <f>+I3317+(G3318-H3318)</f>
        <v/>
      </c>
      <c r="J3318" s="144" t="n">
        <v>46.27</v>
      </c>
      <c r="K3318" s="145" t="n"/>
      <c r="L3318" s="140">
        <f>+H3318*J3318</f>
        <v/>
      </c>
      <c r="M3318" s="141">
        <f>SUM(M3317+K3318-L3318)</f>
        <v/>
      </c>
    </row>
    <row r="3319">
      <c r="A3319" s="20" t="n">
        <v>45848</v>
      </c>
      <c r="B3319" s="1" t="n">
        <v>560</v>
      </c>
      <c r="C3319" s="2" t="inlineStr">
        <is>
          <t>SELİM İNŞAAT</t>
        </is>
      </c>
      <c r="D3319" s="1" t="inlineStr">
        <is>
          <t>34 EDB 922</t>
        </is>
      </c>
      <c r="E3319" s="1" t="inlineStr">
        <is>
          <t>AHMET TOPÇU</t>
        </is>
      </c>
      <c r="F3319" s="3" t="n">
        <v>369052</v>
      </c>
      <c r="G3319" s="143" t="n"/>
      <c r="H3319" s="143" t="n">
        <v>443</v>
      </c>
      <c r="I3319" s="143">
        <f>+I3318+(G3319-H3319)</f>
        <v/>
      </c>
      <c r="J3319" s="144" t="n">
        <v>46.27</v>
      </c>
      <c r="K3319" s="145" t="n"/>
      <c r="L3319" s="140">
        <f>+H3319*J3319</f>
        <v/>
      </c>
      <c r="M3319" s="141">
        <f>SUM(M3318+K3319-L3319)</f>
        <v/>
      </c>
    </row>
    <row r="3320">
      <c r="A3320" s="20" t="n">
        <v>45848</v>
      </c>
      <c r="B3320" s="1" t="n">
        <v>14830</v>
      </c>
      <c r="C3320" s="2" t="inlineStr">
        <is>
          <t>SELİM İNŞAAT</t>
        </is>
      </c>
      <c r="D3320" s="1" t="inlineStr">
        <is>
          <t>34 GVZ 268</t>
        </is>
      </c>
      <c r="E3320" s="1" t="inlineStr">
        <is>
          <t xml:space="preserve">KERİM KARAMAN </t>
        </is>
      </c>
      <c r="F3320" s="3" t="n">
        <v>197480</v>
      </c>
      <c r="G3320" s="143" t="n"/>
      <c r="H3320" s="143" t="n">
        <v>490</v>
      </c>
      <c r="I3320" s="143">
        <f>+I3319+(G3320-H3320)</f>
        <v/>
      </c>
      <c r="J3320" s="144" t="n">
        <v>46.27</v>
      </c>
      <c r="K3320" s="145" t="n"/>
      <c r="L3320" s="140">
        <f>+H3320*J3320</f>
        <v/>
      </c>
      <c r="M3320" s="141">
        <f>SUM(M3319+K3320-L3320)</f>
        <v/>
      </c>
    </row>
    <row r="3321">
      <c r="A3321" s="20" t="n">
        <v>45848</v>
      </c>
      <c r="B3321" s="1" t="n">
        <v>14440</v>
      </c>
      <c r="C3321" s="2" t="inlineStr">
        <is>
          <t>SELİM İNŞAAT</t>
        </is>
      </c>
      <c r="D3321" s="1" t="inlineStr">
        <is>
          <t>34 EGR 737</t>
        </is>
      </c>
      <c r="E3321" s="1" t="inlineStr">
        <is>
          <t>CEM MUHTAR</t>
        </is>
      </c>
      <c r="F3321" s="3" t="n">
        <v>419980</v>
      </c>
      <c r="G3321" s="143" t="n"/>
      <c r="H3321" s="143" t="n">
        <v>277</v>
      </c>
      <c r="I3321" s="143">
        <f>+I3320+(G3321-H3321)</f>
        <v/>
      </c>
      <c r="J3321" s="144" t="n">
        <v>46.27</v>
      </c>
      <c r="K3321" s="145" t="n"/>
      <c r="L3321" s="140">
        <f>+H3321*J3321</f>
        <v/>
      </c>
      <c r="M3321" s="141">
        <f>SUM(M3320+K3321-L3321)</f>
        <v/>
      </c>
    </row>
    <row r="3322">
      <c r="A3322" s="20" t="n">
        <v>45848</v>
      </c>
      <c r="B3322" s="1" t="n">
        <v>407</v>
      </c>
      <c r="C3322" s="2" t="inlineStr">
        <is>
          <t>SELİM İNŞAAT</t>
        </is>
      </c>
      <c r="D3322" s="1" t="inlineStr">
        <is>
          <t>34 DRU 690</t>
        </is>
      </c>
      <c r="E3322" s="1" t="inlineStr">
        <is>
          <t>MURAT DEMİRBAŞ</t>
        </is>
      </c>
      <c r="F3322" s="3" t="n">
        <v>422898</v>
      </c>
      <c r="G3322" s="143" t="n"/>
      <c r="H3322" s="143" t="n">
        <v>424</v>
      </c>
      <c r="I3322" s="143">
        <f>+I3321+(G3322-H3322)</f>
        <v/>
      </c>
      <c r="J3322" s="144" t="n">
        <v>46.27</v>
      </c>
      <c r="K3322" s="145" t="n"/>
      <c r="L3322" s="140">
        <f>+H3322*J3322</f>
        <v/>
      </c>
      <c r="M3322" s="141">
        <f>SUM(M3321+K3322-L3322)</f>
        <v/>
      </c>
    </row>
    <row r="3323">
      <c r="A3323" s="20" t="n">
        <v>45848</v>
      </c>
      <c r="B3323" s="1" t="n">
        <v>15032</v>
      </c>
      <c r="C3323" s="2" t="inlineStr">
        <is>
          <t>SELİM İNŞAAT</t>
        </is>
      </c>
      <c r="D3323" s="1" t="inlineStr">
        <is>
          <t>34 GVZ 199</t>
        </is>
      </c>
      <c r="E3323" s="1" t="inlineStr">
        <is>
          <t>VAHDET GÜRLER</t>
        </is>
      </c>
      <c r="F3323" s="3" t="n">
        <v>187390</v>
      </c>
      <c r="G3323" s="143" t="n"/>
      <c r="H3323" s="143" t="n">
        <v>379</v>
      </c>
      <c r="I3323" s="143">
        <f>+I3322+(G3323-H3323)</f>
        <v/>
      </c>
      <c r="J3323" s="144" t="n">
        <v>46.27</v>
      </c>
      <c r="K3323" s="145" t="n"/>
      <c r="L3323" s="140">
        <f>+H3323*J3323</f>
        <v/>
      </c>
      <c r="M3323" s="141">
        <f>SUM(M3322+K3323-L3323)</f>
        <v/>
      </c>
    </row>
    <row r="3324">
      <c r="A3324" s="20" t="n">
        <v>45848</v>
      </c>
      <c r="B3324" s="1" t="n">
        <v>15323</v>
      </c>
      <c r="C3324" s="2" t="inlineStr">
        <is>
          <t>SELİM İNŞAAT</t>
        </is>
      </c>
      <c r="D3324" s="1" t="inlineStr">
        <is>
          <t>34 EDC 162</t>
        </is>
      </c>
      <c r="E3324" s="1" t="inlineStr">
        <is>
          <t xml:space="preserve">YAKUP GÜNER </t>
        </is>
      </c>
      <c r="F3324" s="3" t="n">
        <v>376643</v>
      </c>
      <c r="G3324" s="143" t="n"/>
      <c r="H3324" s="143" t="n">
        <v>321</v>
      </c>
      <c r="I3324" s="143">
        <f>+I3323+(G3324-H3324)</f>
        <v/>
      </c>
      <c r="J3324" s="144" t="n">
        <v>46.27</v>
      </c>
      <c r="K3324" s="145" t="n"/>
      <c r="L3324" s="140">
        <f>+H3324*J3324</f>
        <v/>
      </c>
      <c r="M3324" s="141">
        <f>SUM(M3323+K3324-L3324)</f>
        <v/>
      </c>
    </row>
    <row r="3325">
      <c r="A3325" s="20" t="n">
        <v>45848</v>
      </c>
      <c r="B3325" s="1" t="n">
        <v>14144</v>
      </c>
      <c r="C3325" s="2" t="inlineStr">
        <is>
          <t>SELİM İNŞAAT</t>
        </is>
      </c>
      <c r="D3325" s="1" t="inlineStr">
        <is>
          <t>34 DSN 536</t>
        </is>
      </c>
      <c r="E3325" s="1" t="inlineStr">
        <is>
          <t>DURSUN ALİ GÜREK</t>
        </is>
      </c>
      <c r="F3325" s="3" t="n">
        <v>410899</v>
      </c>
      <c r="G3325" s="143" t="n"/>
      <c r="H3325" s="143" t="n">
        <v>377</v>
      </c>
      <c r="I3325" s="143">
        <f>+I3324+(G3325-H3325)</f>
        <v/>
      </c>
      <c r="J3325" s="144" t="n">
        <v>46.27</v>
      </c>
      <c r="K3325" s="145" t="n"/>
      <c r="L3325" s="140">
        <f>+H3325*J3325</f>
        <v/>
      </c>
      <c r="M3325" s="141">
        <f>SUM(M3324+K3325-L3325)</f>
        <v/>
      </c>
    </row>
    <row r="3326">
      <c r="A3326" s="20" t="n">
        <v>45848</v>
      </c>
      <c r="B3326" s="1" t="n">
        <v>21636</v>
      </c>
      <c r="C3326" s="2" t="inlineStr">
        <is>
          <t>SELİM İNŞAAT</t>
        </is>
      </c>
      <c r="D3326" s="1" t="inlineStr">
        <is>
          <t>34 DHC 467</t>
        </is>
      </c>
      <c r="E3326" s="1" t="inlineStr">
        <is>
          <t>HÜSEYİN DENİZ</t>
        </is>
      </c>
      <c r="F3326" s="3" t="n">
        <v>409804</v>
      </c>
      <c r="G3326" s="143" t="n"/>
      <c r="H3326" s="143" t="n">
        <v>514</v>
      </c>
      <c r="I3326" s="143">
        <f>+I3325+(G3326-H3326)</f>
        <v/>
      </c>
      <c r="J3326" s="144" t="n">
        <v>46.27</v>
      </c>
      <c r="K3326" s="145" t="n"/>
      <c r="L3326" s="140">
        <f>+H3326*J3326</f>
        <v/>
      </c>
      <c r="M3326" s="141">
        <f>SUM(M3325+K3326-L3326)</f>
        <v/>
      </c>
    </row>
    <row r="3327">
      <c r="A3327" s="20" t="n">
        <v>45848</v>
      </c>
      <c r="B3327" s="1" t="n">
        <v>15525</v>
      </c>
      <c r="C3327" s="2" t="inlineStr">
        <is>
          <t>SELİM İNŞAAT</t>
        </is>
      </c>
      <c r="D3327" s="1" t="inlineStr">
        <is>
          <t>34 EDC 086</t>
        </is>
      </c>
      <c r="E3327" s="1" t="inlineStr">
        <is>
          <t>ÖMER AĞAYAR</t>
        </is>
      </c>
      <c r="F3327" s="3" t="n">
        <v>331652</v>
      </c>
      <c r="G3327" s="143" t="n"/>
      <c r="H3327" s="143" t="n">
        <v>451</v>
      </c>
      <c r="I3327" s="143">
        <f>+I3326+(G3327-H3327)</f>
        <v/>
      </c>
      <c r="J3327" s="144" t="n">
        <v>46.27</v>
      </c>
      <c r="K3327" s="145" t="n"/>
      <c r="L3327" s="140">
        <f>+H3327*J3327</f>
        <v/>
      </c>
      <c r="M3327" s="141">
        <f>SUM(M3326+K3327-L3327)</f>
        <v/>
      </c>
    </row>
    <row r="3328">
      <c r="A3328" s="20" t="n">
        <v>45848</v>
      </c>
      <c r="B3328" s="1" t="n">
        <v>15866</v>
      </c>
      <c r="C3328" s="2" t="inlineStr">
        <is>
          <t>SELİM İNŞAAT</t>
        </is>
      </c>
      <c r="D3328" s="1" t="inlineStr">
        <is>
          <t>34 EDB 754</t>
        </is>
      </c>
      <c r="E3328" s="1" t="inlineStr">
        <is>
          <t>EMİN PARLAKKILIÇ</t>
        </is>
      </c>
      <c r="F3328" s="3" t="n">
        <v>328174</v>
      </c>
      <c r="G3328" s="143" t="n"/>
      <c r="H3328" s="143" t="n">
        <v>480</v>
      </c>
      <c r="I3328" s="143">
        <f>+I3327+(G3328-H3328)</f>
        <v/>
      </c>
      <c r="J3328" s="144" t="n">
        <v>46.27</v>
      </c>
      <c r="K3328" s="145" t="n"/>
      <c r="L3328" s="140">
        <f>+H3328*J3328</f>
        <v/>
      </c>
      <c r="M3328" s="141">
        <f>SUM(M3327+K3328-L3328)</f>
        <v/>
      </c>
    </row>
    <row r="3329">
      <c r="A3329" s="20" t="n">
        <v>45848</v>
      </c>
      <c r="B3329" s="1" t="n">
        <v>14</v>
      </c>
      <c r="C3329" s="2" t="inlineStr">
        <is>
          <t>SELİM İNŞAAT</t>
        </is>
      </c>
      <c r="D3329" s="1" t="inlineStr">
        <is>
          <t>34 FBR 748</t>
        </is>
      </c>
      <c r="E3329" s="1" t="inlineStr">
        <is>
          <t>YAŞAR ÖZKAYA</t>
        </is>
      </c>
      <c r="F3329" s="3" t="n">
        <v>287386</v>
      </c>
      <c r="G3329" s="143" t="n"/>
      <c r="H3329" s="143" t="n">
        <v>450</v>
      </c>
      <c r="I3329" s="143">
        <f>+I3328+(G3329-H3329)</f>
        <v/>
      </c>
      <c r="J3329" s="144" t="n">
        <v>46.27</v>
      </c>
      <c r="K3329" s="145" t="n"/>
      <c r="L3329" s="140">
        <f>+H3329*J3329</f>
        <v/>
      </c>
      <c r="M3329" s="141">
        <f>SUM(M3328+K3329-L3329)</f>
        <v/>
      </c>
    </row>
    <row r="3330">
      <c r="A3330" s="20" t="n">
        <v>45848</v>
      </c>
      <c r="B3330" s="1" t="n">
        <v>14247</v>
      </c>
      <c r="C3330" s="2" t="inlineStr">
        <is>
          <t>SELİM İNŞAAT</t>
        </is>
      </c>
      <c r="D3330" s="1" t="inlineStr">
        <is>
          <t xml:space="preserve">34 GUS 938 </t>
        </is>
      </c>
      <c r="E3330" s="1" t="inlineStr">
        <is>
          <t>MEHMET KAYA</t>
        </is>
      </c>
      <c r="F3330" s="3" t="n">
        <v>193972</v>
      </c>
      <c r="G3330" s="143" t="n"/>
      <c r="H3330" s="143" t="n">
        <v>540</v>
      </c>
      <c r="I3330" s="143">
        <f>+I3329+(G3330-H3330)</f>
        <v/>
      </c>
      <c r="J3330" s="144" t="n">
        <v>46.27</v>
      </c>
      <c r="K3330" s="145" t="n"/>
      <c r="L3330" s="140">
        <f>+H3330*J3330</f>
        <v/>
      </c>
      <c r="M3330" s="141">
        <f>SUM(M3329+K3330-L3330)</f>
        <v/>
      </c>
    </row>
    <row r="3331">
      <c r="A3331" s="20" t="n">
        <v>45848</v>
      </c>
      <c r="B3331" s="1" t="n">
        <v>14541</v>
      </c>
      <c r="C3331" s="2" t="inlineStr">
        <is>
          <t>SELİM İNŞAAT</t>
        </is>
      </c>
      <c r="D3331" s="1" t="inlineStr">
        <is>
          <t>34 GER 028</t>
        </is>
      </c>
      <c r="E3331" s="1" t="inlineStr">
        <is>
          <t>A.KERİM ERGEN</t>
        </is>
      </c>
      <c r="F3331" s="3" t="n">
        <v>46792</v>
      </c>
      <c r="G3331" s="143" t="n"/>
      <c r="H3331" s="143" t="n">
        <v>246</v>
      </c>
      <c r="I3331" s="143">
        <f>+I3330+(G3331-H3331)</f>
        <v/>
      </c>
      <c r="J3331" s="144" t="n">
        <v>46.27</v>
      </c>
      <c r="K3331" s="145" t="n"/>
      <c r="L3331" s="140">
        <f>+H3331*J3331</f>
        <v/>
      </c>
      <c r="M3331" s="141">
        <f>SUM(M3330+K3331-L3331)</f>
        <v/>
      </c>
    </row>
    <row r="3332">
      <c r="A3332" s="20" t="n">
        <v>45848</v>
      </c>
      <c r="B3332" s="1" t="n">
        <v>15170</v>
      </c>
      <c r="C3332" s="2" t="inlineStr">
        <is>
          <t>SELİM İNŞAAT</t>
        </is>
      </c>
      <c r="D3332" s="1" t="inlineStr">
        <is>
          <t>34 DP 4161</t>
        </is>
      </c>
      <c r="E3332" s="1" t="inlineStr">
        <is>
          <t>RIFAT KARATAY</t>
        </is>
      </c>
      <c r="F3332" s="3" t="n">
        <v>289594</v>
      </c>
      <c r="G3332" s="143" t="n"/>
      <c r="H3332" s="143" t="n">
        <v>297</v>
      </c>
      <c r="I3332" s="143">
        <f>+I3331+(G3332-H3332)</f>
        <v/>
      </c>
      <c r="J3332" s="144" t="n">
        <v>46.27</v>
      </c>
      <c r="K3332" s="145" t="n"/>
      <c r="L3332" s="140">
        <f>+H3332*J3332</f>
        <v/>
      </c>
      <c r="M3332" s="141">
        <f>SUM(M3331+K3332-L3332)</f>
        <v/>
      </c>
    </row>
    <row r="3333">
      <c r="A3333" s="20" t="n">
        <v>45848</v>
      </c>
      <c r="B3333" s="1" t="n">
        <v>452</v>
      </c>
      <c r="C3333" s="2" t="inlineStr">
        <is>
          <t>SELİM İNŞAAT</t>
        </is>
      </c>
      <c r="D3333" s="1" t="inlineStr">
        <is>
          <t>34 DKL 866</t>
        </is>
      </c>
      <c r="E3333" s="1" t="inlineStr">
        <is>
          <t>SELİM CAN ÖNVER</t>
        </is>
      </c>
      <c r="F3333" s="3" t="n">
        <v>68199</v>
      </c>
      <c r="G3333" s="143" t="n"/>
      <c r="H3333" s="143" t="n">
        <v>224</v>
      </c>
      <c r="I3333" s="143">
        <f>+I3332+(G3333-H3333)</f>
        <v/>
      </c>
      <c r="J3333" s="144" t="n">
        <v>46.27</v>
      </c>
      <c r="K3333" s="145" t="n"/>
      <c r="L3333" s="140">
        <f>+H3333*J3333</f>
        <v/>
      </c>
      <c r="M3333" s="141">
        <f>SUM(M3332+K3333-L3333)</f>
        <v/>
      </c>
    </row>
    <row r="3334">
      <c r="A3334" s="20" t="n">
        <v>45849</v>
      </c>
      <c r="B3334" s="1" t="n">
        <v>544</v>
      </c>
      <c r="C3334" s="2" t="inlineStr">
        <is>
          <t>MEGA VALIK</t>
        </is>
      </c>
      <c r="D3334" s="1" t="inlineStr">
        <is>
          <t>SM 370</t>
        </is>
      </c>
      <c r="E3334" s="1" t="inlineStr">
        <is>
          <t>TEKİN ŞEYLAN</t>
        </is>
      </c>
      <c r="F3334" s="3" t="n"/>
      <c r="G3334" s="143" t="n"/>
      <c r="H3334" s="143" t="n">
        <v>540</v>
      </c>
      <c r="I3334" s="143">
        <f>+I3333+(G3334-H3334)</f>
        <v/>
      </c>
      <c r="J3334" s="144" t="n">
        <v>46.27</v>
      </c>
      <c r="K3334" s="145" t="n"/>
      <c r="L3334" s="140">
        <f>+H3334*J3334</f>
        <v/>
      </c>
      <c r="M3334" s="141">
        <f>SUM(M3333+K3334-L3334)</f>
        <v/>
      </c>
    </row>
    <row r="3335">
      <c r="A3335" s="20" t="n">
        <v>45849</v>
      </c>
      <c r="B3335" s="1" t="n">
        <v>545</v>
      </c>
      <c r="C3335" s="2" t="inlineStr">
        <is>
          <t>MEGA VALIK</t>
        </is>
      </c>
      <c r="D3335" s="1" t="inlineStr">
        <is>
          <t>SM 300</t>
        </is>
      </c>
      <c r="E3335" s="1" t="inlineStr">
        <is>
          <t>TURGUT SANCAK</t>
        </is>
      </c>
      <c r="F3335" s="3" t="n"/>
      <c r="G3335" s="143" t="n"/>
      <c r="H3335" s="143" t="n">
        <v>378</v>
      </c>
      <c r="I3335" s="143">
        <f>+I3334+(G3335-H3335)</f>
        <v/>
      </c>
      <c r="J3335" s="144" t="n">
        <v>46.27</v>
      </c>
      <c r="K3335" s="145" t="n"/>
      <c r="L3335" s="140">
        <f>+H3335*J3335</f>
        <v/>
      </c>
      <c r="M3335" s="141">
        <f>SUM(M3334+K3335-L3335)</f>
        <v/>
      </c>
    </row>
    <row r="3336">
      <c r="A3336" s="20" t="n">
        <v>45849</v>
      </c>
      <c r="B3336" s="1" t="n">
        <v>546</v>
      </c>
      <c r="C3336" s="2" t="inlineStr">
        <is>
          <t>EVKUR</t>
        </is>
      </c>
      <c r="D3336" s="1" t="inlineStr">
        <is>
          <t>SİLİNDİR</t>
        </is>
      </c>
      <c r="E3336" s="1" t="inlineStr">
        <is>
          <t>ÖNER DÜNDAR</t>
        </is>
      </c>
      <c r="F3336" s="3" t="n"/>
      <c r="G3336" s="143" t="n"/>
      <c r="H3336" s="143" t="n">
        <v>152</v>
      </c>
      <c r="I3336" s="143">
        <f>+I3335+(G3336-H3336)</f>
        <v/>
      </c>
      <c r="J3336" s="144" t="n">
        <v>46.27</v>
      </c>
      <c r="K3336" s="145" t="n"/>
      <c r="L3336" s="140">
        <f>+H3336*J3336</f>
        <v/>
      </c>
      <c r="M3336" s="141">
        <f>SUM(M3335+K3336-L3336)</f>
        <v/>
      </c>
    </row>
    <row r="3337">
      <c r="A3337" s="20" t="n">
        <v>45849</v>
      </c>
      <c r="B3337" s="1" t="n">
        <v>547</v>
      </c>
      <c r="C3337" s="2" t="inlineStr">
        <is>
          <t>CEVİZ MOBİLYA</t>
        </is>
      </c>
      <c r="D3337" s="1" t="inlineStr">
        <is>
          <t>SM 350</t>
        </is>
      </c>
      <c r="E3337" s="1" t="inlineStr">
        <is>
          <t>TEVFİK ÖZTÜRK</t>
        </is>
      </c>
      <c r="F3337" s="3" t="n"/>
      <c r="G3337" s="143" t="n"/>
      <c r="H3337" s="143" t="n">
        <v>290</v>
      </c>
      <c r="I3337" s="143">
        <f>+I3336+(G3337-H3337)</f>
        <v/>
      </c>
      <c r="J3337" s="144" t="n">
        <v>46.27</v>
      </c>
      <c r="K3337" s="145" t="n"/>
      <c r="L3337" s="140">
        <f>+H3337*J3337</f>
        <v/>
      </c>
      <c r="M3337" s="141">
        <f>SUM(M3336+K3337-L3337)</f>
        <v/>
      </c>
    </row>
    <row r="3338">
      <c r="A3338" s="20" t="n">
        <v>45849</v>
      </c>
      <c r="B3338" s="1" t="n">
        <v>548</v>
      </c>
      <c r="C3338" s="2" t="inlineStr">
        <is>
          <t>EVKUR</t>
        </is>
      </c>
      <c r="D3338" s="1" t="inlineStr">
        <is>
          <t>SM 350</t>
        </is>
      </c>
      <c r="E3338" s="1" t="inlineStr">
        <is>
          <t>BAYRAM SANCAK</t>
        </is>
      </c>
      <c r="F3338" s="3" t="n"/>
      <c r="G3338" s="143" t="n"/>
      <c r="H3338" s="143" t="n">
        <v>482</v>
      </c>
      <c r="I3338" s="143">
        <f>+I3337+(G3338-H3338)</f>
        <v/>
      </c>
      <c r="J3338" s="144" t="n">
        <v>46.27</v>
      </c>
      <c r="K3338" s="145" t="n"/>
      <c r="L3338" s="140">
        <f>+H3338*J3338</f>
        <v/>
      </c>
      <c r="M3338" s="141">
        <f>SUM(M3337+K3338-L3338)</f>
        <v/>
      </c>
    </row>
    <row r="3339">
      <c r="A3339" s="20" t="n">
        <v>45849</v>
      </c>
      <c r="B3339" s="21" t="n">
        <v>703</v>
      </c>
      <c r="C3339" s="22" t="inlineStr">
        <is>
          <t>METİN ERYİĞİT</t>
        </is>
      </c>
      <c r="D3339" s="21" t="inlineStr">
        <is>
          <t>34 GBL 998</t>
        </is>
      </c>
      <c r="E3339" s="21" t="inlineStr">
        <is>
          <t>ALİ KESKİN</t>
        </is>
      </c>
      <c r="F3339" s="23" t="n">
        <v>176214</v>
      </c>
      <c r="G3339" s="138" t="n"/>
      <c r="H3339" s="138" t="n">
        <v>394</v>
      </c>
      <c r="I3339" s="138">
        <f>+I3338+(G3339-H3339)</f>
        <v/>
      </c>
      <c r="J3339" s="139" t="n">
        <v>46.27</v>
      </c>
      <c r="K3339" s="140" t="n"/>
      <c r="L3339" s="140">
        <f>+H3339*J3339</f>
        <v/>
      </c>
      <c r="M3339" s="141">
        <f>SUM(M3338+K3339-L3339)</f>
        <v/>
      </c>
    </row>
    <row r="3340">
      <c r="A3340" s="20" t="n">
        <v>45849</v>
      </c>
      <c r="B3340" s="1" t="n">
        <v>8884</v>
      </c>
      <c r="C3340" s="2" t="inlineStr">
        <is>
          <t>SELİM İNŞAAT</t>
        </is>
      </c>
      <c r="D3340" s="1" t="inlineStr">
        <is>
          <t>34 FVU 827</t>
        </is>
      </c>
      <c r="E3340" s="1" t="inlineStr">
        <is>
          <t>YILMAZ ÇELEBİ</t>
        </is>
      </c>
      <c r="F3340" s="3" t="n"/>
      <c r="G3340" s="143" t="n"/>
      <c r="H3340" s="143" t="n">
        <v>47</v>
      </c>
      <c r="I3340" s="143">
        <f>+I3339+(G3340-H3340)</f>
        <v/>
      </c>
      <c r="J3340" s="144" t="n">
        <v>46.27</v>
      </c>
      <c r="K3340" s="145" t="n"/>
      <c r="L3340" s="140">
        <f>+H3340*J3340</f>
        <v/>
      </c>
      <c r="M3340" s="141">
        <f>SUM(M3339+K3340-L3340)</f>
        <v/>
      </c>
    </row>
    <row r="3341">
      <c r="A3341" s="20" t="n">
        <v>45849</v>
      </c>
      <c r="B3341" s="1" t="n">
        <v>15263</v>
      </c>
      <c r="C3341" s="2" t="inlineStr">
        <is>
          <t>SELİM İNŞAAT</t>
        </is>
      </c>
      <c r="D3341" s="1" t="inlineStr">
        <is>
          <t>34 DTV 447</t>
        </is>
      </c>
      <c r="E3341" s="1" t="inlineStr">
        <is>
          <t>EBUBEKİR KOLDAŞ</t>
        </is>
      </c>
      <c r="F3341" s="3" t="n">
        <v>434425</v>
      </c>
      <c r="G3341" s="143" t="n"/>
      <c r="H3341" s="143" t="n">
        <v>390</v>
      </c>
      <c r="I3341" s="143">
        <f>+I3340+(G3341-H3341)</f>
        <v/>
      </c>
      <c r="J3341" s="144" t="n">
        <v>46.27</v>
      </c>
      <c r="K3341" s="145" t="n"/>
      <c r="L3341" s="140">
        <f>+H3341*J3341</f>
        <v/>
      </c>
      <c r="M3341" s="141">
        <f>SUM(M3340+K3341-L3341)</f>
        <v/>
      </c>
    </row>
    <row r="3342">
      <c r="A3342" s="20" t="n">
        <v>45849</v>
      </c>
      <c r="B3342" s="1" t="n">
        <v>14770</v>
      </c>
      <c r="C3342" s="2" t="inlineStr">
        <is>
          <t>SELİM İNŞAAT</t>
        </is>
      </c>
      <c r="D3342" s="1" t="inlineStr">
        <is>
          <t>34 GYZ 635</t>
        </is>
      </c>
      <c r="E3342" s="1" t="inlineStr">
        <is>
          <t>ENGİN DEMİR</t>
        </is>
      </c>
      <c r="F3342" s="3" t="n">
        <v>179389</v>
      </c>
      <c r="G3342" s="143" t="n"/>
      <c r="H3342" s="143" t="n">
        <v>390</v>
      </c>
      <c r="I3342" s="143">
        <f>+I3341+(G3342-H3342)</f>
        <v/>
      </c>
      <c r="J3342" s="144" t="n">
        <v>46.27</v>
      </c>
      <c r="K3342" s="145" t="n"/>
      <c r="L3342" s="140">
        <f>+H3342*J3342</f>
        <v/>
      </c>
      <c r="M3342" s="141">
        <f>SUM(M3341+K3342-L3342)</f>
        <v/>
      </c>
    </row>
    <row r="3343">
      <c r="A3343" s="20" t="n">
        <v>45849</v>
      </c>
      <c r="B3343" s="1" t="n">
        <v>812</v>
      </c>
      <c r="C3343" s="2" t="inlineStr">
        <is>
          <t>SELİM İNŞAAT</t>
        </is>
      </c>
      <c r="D3343" s="1" t="inlineStr">
        <is>
          <t>34 FBR 705</t>
        </is>
      </c>
      <c r="E3343" s="1" t="inlineStr">
        <is>
          <t>MESUT GÜRLER</t>
        </is>
      </c>
      <c r="F3343" s="3" t="n">
        <v>322590</v>
      </c>
      <c r="G3343" s="143" t="n"/>
      <c r="H3343" s="143" t="n">
        <v>479</v>
      </c>
      <c r="I3343" s="143">
        <f>+I3342+(G3343-H3343)</f>
        <v/>
      </c>
      <c r="J3343" s="144" t="n">
        <v>46.27</v>
      </c>
      <c r="K3343" s="145" t="n"/>
      <c r="L3343" s="140">
        <f>+H3343*J3343</f>
        <v/>
      </c>
      <c r="M3343" s="141">
        <f>SUM(M3342+K3343-L3343)</f>
        <v/>
      </c>
    </row>
    <row r="3344">
      <c r="A3344" s="20" t="n">
        <v>45849</v>
      </c>
      <c r="B3344" s="1" t="n">
        <v>10248</v>
      </c>
      <c r="C3344" s="2" t="inlineStr">
        <is>
          <t>SELİM İNŞAAT</t>
        </is>
      </c>
      <c r="D3344" s="1" t="inlineStr">
        <is>
          <t>34 DSN 621</t>
        </is>
      </c>
      <c r="E3344" s="1" t="inlineStr">
        <is>
          <t>MUSTAFA KAYA</t>
        </is>
      </c>
      <c r="F3344" s="3" t="n">
        <v>416614</v>
      </c>
      <c r="G3344" s="143" t="n"/>
      <c r="H3344" s="143" t="n">
        <v>360</v>
      </c>
      <c r="I3344" s="143">
        <f>+I3343+(G3344-H3344)</f>
        <v/>
      </c>
      <c r="J3344" s="144" t="n">
        <v>46.27</v>
      </c>
      <c r="K3344" s="145" t="n"/>
      <c r="L3344" s="140">
        <f>+H3344*J3344</f>
        <v/>
      </c>
      <c r="M3344" s="141">
        <f>SUM(M3343+K3344-L3344)</f>
        <v/>
      </c>
    </row>
    <row r="3345">
      <c r="A3345" s="20" t="n">
        <v>45849</v>
      </c>
      <c r="B3345" s="1" t="n">
        <v>11496</v>
      </c>
      <c r="C3345" s="2" t="inlineStr">
        <is>
          <t>SELİM İNŞAAT</t>
        </is>
      </c>
      <c r="D3345" s="1" t="inlineStr">
        <is>
          <t>34 EGR 922</t>
        </is>
      </c>
      <c r="E3345" s="1" t="inlineStr">
        <is>
          <t>FARUK ÖZEN</t>
        </is>
      </c>
      <c r="F3345" s="3" t="n">
        <v>459619</v>
      </c>
      <c r="G3345" s="143" t="n"/>
      <c r="H3345" s="143" t="n">
        <v>533</v>
      </c>
      <c r="I3345" s="143">
        <f>+I3344+(G3345-H3345)</f>
        <v/>
      </c>
      <c r="J3345" s="144" t="n">
        <v>46.27</v>
      </c>
      <c r="K3345" s="145" t="n"/>
      <c r="L3345" s="140">
        <f>+H3345*J3345</f>
        <v/>
      </c>
      <c r="M3345" s="141">
        <f>SUM(M3344+K3345-L3345)</f>
        <v/>
      </c>
    </row>
    <row r="3346">
      <c r="A3346" s="20" t="n">
        <v>45849</v>
      </c>
      <c r="B3346" s="1" t="n">
        <v>15064</v>
      </c>
      <c r="C3346" s="2" t="inlineStr">
        <is>
          <t>SELİM İNŞAAT</t>
        </is>
      </c>
      <c r="D3346" s="1" t="inlineStr">
        <is>
          <t>34 EGR 736</t>
        </is>
      </c>
      <c r="E3346" s="1" t="inlineStr">
        <is>
          <t>HAKAN ÇAVUŞOĞLU</t>
        </is>
      </c>
      <c r="F3346" s="3" t="n">
        <v>396082</v>
      </c>
      <c r="G3346" s="143" t="n"/>
      <c r="H3346" s="143" t="n">
        <v>575</v>
      </c>
      <c r="I3346" s="143">
        <f>+I3345+(G3346-H3346)</f>
        <v/>
      </c>
      <c r="J3346" s="144" t="n">
        <v>46.27</v>
      </c>
      <c r="K3346" s="145" t="n"/>
      <c r="L3346" s="140">
        <f>+H3346*J3346</f>
        <v/>
      </c>
      <c r="M3346" s="141">
        <f>SUM(M3345+K3346-L3346)</f>
        <v/>
      </c>
    </row>
    <row r="3347">
      <c r="A3347" s="20" t="n">
        <v>45849</v>
      </c>
      <c r="B3347" s="1" t="n">
        <v>14049</v>
      </c>
      <c r="C3347" s="2" t="inlineStr">
        <is>
          <t>SELİM İNŞAAT</t>
        </is>
      </c>
      <c r="D3347" s="1" t="inlineStr">
        <is>
          <t>34 GVZ 310</t>
        </is>
      </c>
      <c r="E3347" s="1" t="inlineStr">
        <is>
          <t>CELAL YÜZBAŞI</t>
        </is>
      </c>
      <c r="F3347" s="3" t="n">
        <v>204377</v>
      </c>
      <c r="G3347" s="143" t="n"/>
      <c r="H3347" s="143" t="n">
        <v>296</v>
      </c>
      <c r="I3347" s="143">
        <f>+I3346+(G3347-H3347)</f>
        <v/>
      </c>
      <c r="J3347" s="144" t="n">
        <v>46.27</v>
      </c>
      <c r="K3347" s="145" t="n"/>
      <c r="L3347" s="140">
        <f>+H3347*J3347</f>
        <v/>
      </c>
      <c r="M3347" s="141">
        <f>SUM(M3346+K3347-L3347)</f>
        <v/>
      </c>
    </row>
    <row r="3348">
      <c r="A3348" s="20" t="n">
        <v>45849</v>
      </c>
      <c r="B3348" s="1" t="n">
        <v>14393</v>
      </c>
      <c r="C3348" s="2" t="inlineStr">
        <is>
          <t>SELİM İNŞAAT</t>
        </is>
      </c>
      <c r="D3348" s="1" t="inlineStr">
        <is>
          <t>34 DKL 798</t>
        </is>
      </c>
      <c r="E3348" s="1" t="inlineStr">
        <is>
          <t>EMİRCAN ÖZTÜRK</t>
        </is>
      </c>
      <c r="F3348" s="3" t="n">
        <v>67919</v>
      </c>
      <c r="G3348" s="143" t="n"/>
      <c r="H3348" s="143" t="n">
        <v>224</v>
      </c>
      <c r="I3348" s="143">
        <f>+I3347+(G3348-H3348)</f>
        <v/>
      </c>
      <c r="J3348" s="144" t="n">
        <v>46.27</v>
      </c>
      <c r="K3348" s="145" t="n"/>
      <c r="L3348" s="140">
        <f>+H3348*J3348</f>
        <v/>
      </c>
      <c r="M3348" s="141">
        <f>SUM(M3347+K3348-L3348)</f>
        <v/>
      </c>
    </row>
    <row r="3349">
      <c r="A3349" s="20" t="n">
        <v>45849</v>
      </c>
      <c r="B3349" s="1" t="n">
        <v>15929</v>
      </c>
      <c r="C3349" s="2" t="inlineStr">
        <is>
          <t>SELİM İNŞAAT</t>
        </is>
      </c>
      <c r="D3349" s="1" t="inlineStr">
        <is>
          <t>34 DFE 454</t>
        </is>
      </c>
      <c r="E3349" s="1" t="inlineStr">
        <is>
          <t>METİN KALKAN</t>
        </is>
      </c>
      <c r="F3349" s="3" t="n">
        <v>161839</v>
      </c>
      <c r="G3349" s="143" t="n"/>
      <c r="H3349" s="143" t="n">
        <v>230</v>
      </c>
      <c r="I3349" s="143">
        <f>+I3348+(G3349-H3349)</f>
        <v/>
      </c>
      <c r="J3349" s="144" t="n">
        <v>46.27</v>
      </c>
      <c r="K3349" s="145" t="n"/>
      <c r="L3349" s="140">
        <f>+H3349*J3349</f>
        <v/>
      </c>
      <c r="M3349" s="141">
        <f>SUM(M3348+K3349-L3349)</f>
        <v/>
      </c>
    </row>
    <row r="3350">
      <c r="A3350" s="20" t="n">
        <v>45849</v>
      </c>
      <c r="B3350" s="1" t="n">
        <v>14649</v>
      </c>
      <c r="C3350" s="2" t="inlineStr">
        <is>
          <t>SELİM İNŞAAT</t>
        </is>
      </c>
      <c r="D3350" s="1" t="inlineStr">
        <is>
          <t>34 GER 445</t>
        </is>
      </c>
      <c r="E3350" s="1" t="inlineStr">
        <is>
          <t>HASAN BAYCAN</t>
        </is>
      </c>
      <c r="F3350" s="3" t="n">
        <v>45245</v>
      </c>
      <c r="G3350" s="143" t="n"/>
      <c r="H3350" s="143" t="n">
        <v>210</v>
      </c>
      <c r="I3350" s="143">
        <f>+I3349+(G3350-H3350)</f>
        <v/>
      </c>
      <c r="J3350" s="144" t="n">
        <v>46.27</v>
      </c>
      <c r="K3350" s="145" t="n"/>
      <c r="L3350" s="140">
        <f>+H3350*J3350</f>
        <v/>
      </c>
      <c r="M3350" s="141">
        <f>SUM(M3349+K3350-L3350)</f>
        <v/>
      </c>
    </row>
    <row r="3351">
      <c r="A3351" s="20" t="n">
        <v>45849</v>
      </c>
      <c r="B3351" s="1" t="n">
        <v>160</v>
      </c>
      <c r="C3351" s="2" t="inlineStr">
        <is>
          <t>SELİM İNŞAAT</t>
        </is>
      </c>
      <c r="D3351" s="1" t="inlineStr">
        <is>
          <t>34 TG 7869</t>
        </is>
      </c>
      <c r="E3351" s="1" t="inlineStr">
        <is>
          <t>GÖRKEM KARAYEL</t>
        </is>
      </c>
      <c r="F3351" s="3" t="n">
        <v>184811</v>
      </c>
      <c r="G3351" s="143" t="n"/>
      <c r="H3351" s="143" t="n">
        <v>250</v>
      </c>
      <c r="I3351" s="143">
        <f>+I3350+(G3351-H3351)</f>
        <v/>
      </c>
      <c r="J3351" s="144" t="n">
        <v>46.27</v>
      </c>
      <c r="K3351" s="145" t="n"/>
      <c r="L3351" s="140">
        <f>+H3351*J3351</f>
        <v/>
      </c>
      <c r="M3351" s="141">
        <f>SUM(M3350+K3351-L3351)</f>
        <v/>
      </c>
    </row>
    <row r="3352">
      <c r="A3352" s="20" t="n">
        <v>45850</v>
      </c>
      <c r="B3352" s="1" t="n">
        <v>549</v>
      </c>
      <c r="C3352" s="2" t="inlineStr">
        <is>
          <t>EVKUR</t>
        </is>
      </c>
      <c r="D3352" s="1" t="inlineStr">
        <is>
          <t>SM 350</t>
        </is>
      </c>
      <c r="E3352" s="1" t="inlineStr">
        <is>
          <t>BAYRAM SANCAK</t>
        </is>
      </c>
      <c r="F3352" s="3" t="n"/>
      <c r="G3352" s="143" t="n"/>
      <c r="H3352" s="143" t="n">
        <v>287</v>
      </c>
      <c r="I3352" s="143">
        <f>+I3351+(G3352-H3352)</f>
        <v/>
      </c>
      <c r="J3352" s="144" t="n">
        <v>46.27</v>
      </c>
      <c r="K3352" s="145" t="n"/>
      <c r="L3352" s="140">
        <f>+H3352*J3352</f>
        <v/>
      </c>
      <c r="M3352" s="141">
        <f>SUM(M3351+K3352-L3352)</f>
        <v/>
      </c>
    </row>
    <row r="3353">
      <c r="A3353" s="20" t="n">
        <v>45850</v>
      </c>
      <c r="B3353" s="1" t="n">
        <v>550</v>
      </c>
      <c r="C3353" s="2" t="inlineStr">
        <is>
          <t>EVKUR</t>
        </is>
      </c>
      <c r="D3353" s="1" t="inlineStr">
        <is>
          <t>KAVAZAKİ</t>
        </is>
      </c>
      <c r="E3353" s="1" t="inlineStr">
        <is>
          <t>RAMAZAN KAYA</t>
        </is>
      </c>
      <c r="F3353" s="3" t="n"/>
      <c r="G3353" s="143" t="n"/>
      <c r="H3353" s="143" t="n">
        <v>324</v>
      </c>
      <c r="I3353" s="143">
        <f>+I3352+(G3353-H3353)</f>
        <v/>
      </c>
      <c r="J3353" s="144" t="n">
        <v>46.27</v>
      </c>
      <c r="K3353" s="145" t="n"/>
      <c r="L3353" s="140">
        <f>+H3353*J3353</f>
        <v/>
      </c>
      <c r="M3353" s="141">
        <f>SUM(M3352+K3353-L3353)</f>
        <v/>
      </c>
    </row>
    <row r="3354">
      <c r="A3354" s="20" t="n">
        <v>45850</v>
      </c>
      <c r="B3354" s="1" t="n">
        <v>901</v>
      </c>
      <c r="C3354" s="2" t="inlineStr">
        <is>
          <t>EVKUR</t>
        </is>
      </c>
      <c r="D3354" s="1" t="inlineStr">
        <is>
          <t>MNT 2265</t>
        </is>
      </c>
      <c r="E3354" s="1" t="inlineStr">
        <is>
          <t>MUHAMMED KANTAR</t>
        </is>
      </c>
      <c r="F3354" s="3" t="n"/>
      <c r="G3354" s="143" t="n"/>
      <c r="H3354" s="143" t="n">
        <v>202</v>
      </c>
      <c r="I3354" s="143">
        <f>+I3353+(G3354-H3354)</f>
        <v/>
      </c>
      <c r="J3354" s="144" t="n">
        <v>46.27</v>
      </c>
      <c r="K3354" s="145" t="n"/>
      <c r="L3354" s="140">
        <f>+H3354*J3354</f>
        <v/>
      </c>
      <c r="M3354" s="141">
        <f>SUM(M3353+K3354-L3354)</f>
        <v/>
      </c>
    </row>
    <row r="3355">
      <c r="A3355" s="20" t="n">
        <v>45850</v>
      </c>
      <c r="B3355" s="21" t="n">
        <v>902</v>
      </c>
      <c r="C3355" s="22" t="inlineStr">
        <is>
          <t>EVKUR</t>
        </is>
      </c>
      <c r="D3355" s="21" t="inlineStr">
        <is>
          <t>FOKLİFT</t>
        </is>
      </c>
      <c r="E3355" s="21" t="inlineStr">
        <is>
          <t>FAHRİ KALFA</t>
        </is>
      </c>
      <c r="F3355" s="23" t="n"/>
      <c r="G3355" s="138" t="n"/>
      <c r="H3355" s="138" t="n">
        <v>36</v>
      </c>
      <c r="I3355" s="138">
        <f>+I3354+(G3355-H3355)</f>
        <v/>
      </c>
      <c r="J3355" s="139" t="n">
        <v>46.27</v>
      </c>
      <c r="K3355" s="140" t="n"/>
      <c r="L3355" s="140">
        <f>+H3355*J3355</f>
        <v/>
      </c>
      <c r="M3355" s="141">
        <f>SUM(M3354+K3355-L3355)</f>
        <v/>
      </c>
    </row>
    <row r="3356">
      <c r="A3356" s="20" t="n">
        <v>45850</v>
      </c>
      <c r="B3356" s="1" t="n">
        <v>903</v>
      </c>
      <c r="C3356" s="2" t="inlineStr">
        <is>
          <t>MEGA VALIK</t>
        </is>
      </c>
      <c r="D3356" s="1" t="inlineStr">
        <is>
          <t>SM 370</t>
        </is>
      </c>
      <c r="E3356" s="1" t="inlineStr">
        <is>
          <t>TEKİN ŞEYLAN</t>
        </is>
      </c>
      <c r="F3356" s="3" t="n"/>
      <c r="G3356" s="143" t="n"/>
      <c r="H3356" s="143" t="n">
        <v>490</v>
      </c>
      <c r="I3356" s="143">
        <f>+I3355+(G3356-H3356)</f>
        <v/>
      </c>
      <c r="J3356" s="144" t="n">
        <v>46.27</v>
      </c>
      <c r="K3356" s="145" t="n"/>
      <c r="L3356" s="140">
        <f>+H3356*J3356</f>
        <v/>
      </c>
      <c r="M3356" s="141">
        <f>SUM(M3355+K3356-L3356)</f>
        <v/>
      </c>
    </row>
    <row r="3357">
      <c r="A3357" s="20" t="n">
        <v>45850</v>
      </c>
      <c r="B3357" s="1" t="n">
        <v>904</v>
      </c>
      <c r="C3357" s="2" t="inlineStr">
        <is>
          <t>MEGA VALIK</t>
        </is>
      </c>
      <c r="D3357" s="1" t="inlineStr">
        <is>
          <t>SM 300</t>
        </is>
      </c>
      <c r="E3357" s="1" t="inlineStr">
        <is>
          <t>TURGUT SANCAK</t>
        </is>
      </c>
      <c r="F3357" s="3" t="n"/>
      <c r="G3357" s="143" t="n"/>
      <c r="H3357" s="143" t="n">
        <v>254</v>
      </c>
      <c r="I3357" s="143">
        <f>+I3356+(G3357-H3357)</f>
        <v/>
      </c>
      <c r="J3357" s="144" t="n">
        <v>46.27</v>
      </c>
      <c r="K3357" s="145" t="n"/>
      <c r="L3357" s="140">
        <f>+H3357*J3357</f>
        <v/>
      </c>
      <c r="M3357" s="141">
        <f>SUM(M3356+K3357-L3357)</f>
        <v/>
      </c>
    </row>
    <row r="3358">
      <c r="A3358" s="20" t="n">
        <v>45850</v>
      </c>
      <c r="B3358" s="21" t="n">
        <v>905</v>
      </c>
      <c r="C3358" s="22" t="n"/>
      <c r="D3358" s="1" t="inlineStr">
        <is>
          <t>34 AZ 2191 VİNÇ</t>
        </is>
      </c>
      <c r="E3358" s="21" t="inlineStr">
        <is>
          <t>NUMAN KABİL</t>
        </is>
      </c>
      <c r="F3358" s="23" t="n"/>
      <c r="G3358" s="138" t="n"/>
      <c r="H3358" s="138" t="n">
        <v>264</v>
      </c>
      <c r="I3358" s="138">
        <f>+I3357+(G3358-H3358)</f>
        <v/>
      </c>
      <c r="J3358" s="139" t="n">
        <v>46.27</v>
      </c>
      <c r="K3358" s="140" t="n"/>
      <c r="L3358" s="140">
        <f>+H3358*J3358</f>
        <v/>
      </c>
      <c r="M3358" s="141">
        <f>SUM(M3357+K3358-L3358)</f>
        <v/>
      </c>
    </row>
    <row r="3359">
      <c r="A3359" s="20" t="n">
        <v>45850</v>
      </c>
      <c r="B3359" s="21" t="n">
        <v>15620</v>
      </c>
      <c r="C3359" s="22" t="inlineStr">
        <is>
          <t>METİN ERYİĞİT</t>
        </is>
      </c>
      <c r="D3359" s="21" t="inlineStr">
        <is>
          <t>34 EGS 013</t>
        </is>
      </c>
      <c r="E3359" s="21" t="inlineStr">
        <is>
          <t xml:space="preserve">UĞUR DUMAN </t>
        </is>
      </c>
      <c r="F3359" s="23" t="n">
        <v>396071</v>
      </c>
      <c r="G3359" s="138" t="n"/>
      <c r="H3359" s="138" t="n">
        <v>375</v>
      </c>
      <c r="I3359" s="138">
        <f>+I3358+(G3359-H3359)</f>
        <v/>
      </c>
      <c r="J3359" s="139" t="n">
        <v>46.27</v>
      </c>
      <c r="K3359" s="140" t="n"/>
      <c r="L3359" s="140">
        <f>+H3359*J3359</f>
        <v/>
      </c>
      <c r="M3359" s="141">
        <f>SUM(M3358+K3359-L3359)</f>
        <v/>
      </c>
    </row>
    <row r="3360">
      <c r="A3360" s="20" t="n">
        <v>45850</v>
      </c>
      <c r="B3360" s="21" t="n">
        <v>15675</v>
      </c>
      <c r="C3360" s="22" t="inlineStr">
        <is>
          <t>METİN ERYİĞİT</t>
        </is>
      </c>
      <c r="D3360" s="21" t="inlineStr">
        <is>
          <t>34 EGR 814</t>
        </is>
      </c>
      <c r="E3360" s="21" t="inlineStr">
        <is>
          <t>GÜRAY KOYUNCU</t>
        </is>
      </c>
      <c r="F3360" s="23" t="n">
        <v>549943</v>
      </c>
      <c r="G3360" s="138" t="n"/>
      <c r="H3360" s="138" t="n">
        <v>308</v>
      </c>
      <c r="I3360" s="138">
        <f>+I3359+(G3360-H3360)</f>
        <v/>
      </c>
      <c r="J3360" s="139" t="n">
        <v>46.27</v>
      </c>
      <c r="K3360" s="140" t="n"/>
      <c r="L3360" s="140">
        <f>+H3360*J3360</f>
        <v/>
      </c>
      <c r="M3360" s="141">
        <f>SUM(M3359+K3360-L3360)</f>
        <v/>
      </c>
    </row>
    <row r="3361">
      <c r="A3361" s="20" t="n">
        <v>45850</v>
      </c>
      <c r="B3361" s="1" t="n">
        <v>758</v>
      </c>
      <c r="C3361" s="2" t="inlineStr">
        <is>
          <t>SELİM İNŞAAT</t>
        </is>
      </c>
      <c r="D3361" s="1" t="inlineStr">
        <is>
          <t>34 EDB 559</t>
        </is>
      </c>
      <c r="E3361" s="1" t="inlineStr">
        <is>
          <t>ADNAN KOÇ</t>
        </is>
      </c>
      <c r="F3361" s="3" t="n">
        <v>329725</v>
      </c>
      <c r="G3361" s="143" t="n"/>
      <c r="H3361" s="143" t="n">
        <v>447</v>
      </c>
      <c r="I3361" s="143">
        <f>+I3360+(G3361-H3361)</f>
        <v/>
      </c>
      <c r="J3361" s="144" t="n">
        <v>46.27</v>
      </c>
      <c r="K3361" s="145" t="n"/>
      <c r="L3361" s="140">
        <f>+H3361*J3361</f>
        <v/>
      </c>
      <c r="M3361" s="141">
        <f>SUM(M3360+K3361-L3361)</f>
        <v/>
      </c>
    </row>
    <row r="3362">
      <c r="A3362" s="20" t="n">
        <v>45850</v>
      </c>
      <c r="B3362" s="1" t="n">
        <v>957</v>
      </c>
      <c r="C3362" s="2" t="inlineStr">
        <is>
          <t>SELİM İNŞAAT</t>
        </is>
      </c>
      <c r="D3362" s="1" t="inlineStr">
        <is>
          <t>34 FBR 742</t>
        </is>
      </c>
      <c r="E3362" s="1" t="inlineStr">
        <is>
          <t>MİKAİL BAYILMAZ</t>
        </is>
      </c>
      <c r="F3362" s="3" t="n">
        <v>323916</v>
      </c>
      <c r="G3362" s="143" t="n"/>
      <c r="H3362" s="143" t="n">
        <v>379</v>
      </c>
      <c r="I3362" s="143">
        <f>+I3361+(G3362-H3362)</f>
        <v/>
      </c>
      <c r="J3362" s="144" t="n">
        <v>46.27</v>
      </c>
      <c r="K3362" s="145" t="n"/>
      <c r="L3362" s="140">
        <f>+H3362*J3362</f>
        <v/>
      </c>
      <c r="M3362" s="141">
        <f>SUM(M3361+K3362-L3362)</f>
        <v/>
      </c>
    </row>
    <row r="3363">
      <c r="A3363" s="20" t="n">
        <v>45850</v>
      </c>
      <c r="B3363" s="1" t="n">
        <v>15969</v>
      </c>
      <c r="C3363" s="2" t="inlineStr">
        <is>
          <t>SELİM İNŞAAT</t>
        </is>
      </c>
      <c r="D3363" s="1" t="inlineStr">
        <is>
          <t>34 FBR 781</t>
        </is>
      </c>
      <c r="E3363" s="1" t="inlineStr">
        <is>
          <t>MEVLÜT POLAT</t>
        </is>
      </c>
      <c r="F3363" s="3" t="n">
        <v>310998</v>
      </c>
      <c r="G3363" s="143" t="n"/>
      <c r="H3363" s="143" t="n">
        <v>520</v>
      </c>
      <c r="I3363" s="143">
        <f>+I3362+(G3363-H3363)</f>
        <v/>
      </c>
      <c r="J3363" s="144" t="n">
        <v>46.27</v>
      </c>
      <c r="K3363" s="145" t="n"/>
      <c r="L3363" s="140">
        <f>+H3363*J3363</f>
        <v/>
      </c>
      <c r="M3363" s="141">
        <f>SUM(M3362+K3363-L3363)</f>
        <v/>
      </c>
    </row>
    <row r="3364">
      <c r="A3364" s="20" t="n">
        <v>45850</v>
      </c>
      <c r="B3364" s="1" t="n">
        <v>11851</v>
      </c>
      <c r="C3364" s="2" t="inlineStr">
        <is>
          <t>SELİM İNŞAAT</t>
        </is>
      </c>
      <c r="D3364" s="1" t="inlineStr">
        <is>
          <t>34 FSG 229</t>
        </is>
      </c>
      <c r="E3364" s="1" t="inlineStr">
        <is>
          <t>SİNAN TANRIVERDİ</t>
        </is>
      </c>
      <c r="F3364" s="3" t="n">
        <v>263813</v>
      </c>
      <c r="G3364" s="143" t="n"/>
      <c r="H3364" s="143" t="n">
        <v>370</v>
      </c>
      <c r="I3364" s="143">
        <f>+I3363+(G3364-H3364)</f>
        <v/>
      </c>
      <c r="J3364" s="144" t="n">
        <v>46.27</v>
      </c>
      <c r="K3364" s="145" t="n"/>
      <c r="L3364" s="140">
        <f>+H3364*J3364</f>
        <v/>
      </c>
      <c r="M3364" s="141">
        <f>SUM(M3363+K3364-L3364)</f>
        <v/>
      </c>
    </row>
    <row r="3365">
      <c r="A3365" s="20" t="n">
        <v>45850</v>
      </c>
      <c r="B3365" s="1" t="n">
        <v>14099</v>
      </c>
      <c r="C3365" s="2" t="inlineStr">
        <is>
          <t>SELİM İNŞAAT</t>
        </is>
      </c>
      <c r="D3365" s="1" t="inlineStr">
        <is>
          <t>34 EDB 659</t>
        </is>
      </c>
      <c r="E3365" s="1" t="inlineStr">
        <is>
          <t>MEHMET SAİT ANIK</t>
        </is>
      </c>
      <c r="F3365" s="3" t="n">
        <v>347347</v>
      </c>
      <c r="G3365" s="143" t="n"/>
      <c r="H3365" s="143" t="n">
        <v>435</v>
      </c>
      <c r="I3365" s="143">
        <f>+I3364+(G3365-H3365)</f>
        <v/>
      </c>
      <c r="J3365" s="144" t="n">
        <v>46.27</v>
      </c>
      <c r="K3365" s="145" t="n"/>
      <c r="L3365" s="140">
        <f>+H3365*J3365</f>
        <v/>
      </c>
      <c r="M3365" s="141">
        <f>SUM(M3364+K3365-L3365)</f>
        <v/>
      </c>
    </row>
    <row r="3366">
      <c r="A3366" s="20" t="n">
        <v>45850</v>
      </c>
      <c r="B3366" s="1" t="n">
        <v>15576</v>
      </c>
      <c r="C3366" s="2" t="inlineStr">
        <is>
          <t>SELİM İNŞAAT</t>
        </is>
      </c>
      <c r="D3366" s="1" t="inlineStr">
        <is>
          <t>34 GVZ 745</t>
        </is>
      </c>
      <c r="E3366" s="1" t="inlineStr">
        <is>
          <t>MUHAMMED YİĞİT</t>
        </is>
      </c>
      <c r="F3366" s="3" t="n">
        <v>191438</v>
      </c>
      <c r="G3366" s="143" t="n"/>
      <c r="H3366" s="143" t="n">
        <v>376</v>
      </c>
      <c r="I3366" s="143">
        <f>+I3365+(G3366-H3366)</f>
        <v/>
      </c>
      <c r="J3366" s="144" t="n">
        <v>46.27</v>
      </c>
      <c r="K3366" s="145" t="n"/>
      <c r="L3366" s="140">
        <f>+H3366*J3366</f>
        <v/>
      </c>
      <c r="M3366" s="141">
        <f>SUM(M3365+K3366-L3366)</f>
        <v/>
      </c>
    </row>
    <row r="3367">
      <c r="A3367" s="20" t="n">
        <v>45850</v>
      </c>
      <c r="B3367" s="1" t="n">
        <v>561</v>
      </c>
      <c r="C3367" s="2" t="inlineStr">
        <is>
          <t>SELİM İNŞAAT</t>
        </is>
      </c>
      <c r="D3367" s="1" t="inlineStr">
        <is>
          <t>34 EDB 922</t>
        </is>
      </c>
      <c r="E3367" s="1" t="inlineStr">
        <is>
          <t>AHMET TOPÇU</t>
        </is>
      </c>
      <c r="F3367" s="3" t="n">
        <v>369609</v>
      </c>
      <c r="G3367" s="143" t="n"/>
      <c r="H3367" s="143" t="n">
        <v>320</v>
      </c>
      <c r="I3367" s="143">
        <f>+I3366+(G3367-H3367)</f>
        <v/>
      </c>
      <c r="J3367" s="144" t="n">
        <v>46.27</v>
      </c>
      <c r="K3367" s="145" t="n"/>
      <c r="L3367" s="140">
        <f>+H3367*J3367</f>
        <v/>
      </c>
      <c r="M3367" s="141">
        <f>SUM(M3366+K3367-L3367)</f>
        <v/>
      </c>
    </row>
    <row r="3368">
      <c r="A3368" s="20" t="n">
        <v>45850</v>
      </c>
      <c r="B3368" s="1" t="n">
        <v>14831</v>
      </c>
      <c r="C3368" s="2" t="inlineStr">
        <is>
          <t>SELİM İNŞAAT</t>
        </is>
      </c>
      <c r="D3368" s="1" t="inlineStr">
        <is>
          <t>34 GVZ 268</t>
        </is>
      </c>
      <c r="E3368" s="1" t="inlineStr">
        <is>
          <t xml:space="preserve">KERİM KARAMAN </t>
        </is>
      </c>
      <c r="F3368" s="3" t="n">
        <v>198138</v>
      </c>
      <c r="G3368" s="143" t="n"/>
      <c r="H3368" s="143" t="n">
        <v>420</v>
      </c>
      <c r="I3368" s="143">
        <f>+I3367+(G3368-H3368)</f>
        <v/>
      </c>
      <c r="J3368" s="144" t="n">
        <v>46.27</v>
      </c>
      <c r="K3368" s="145" t="n"/>
      <c r="L3368" s="140">
        <f>+H3368*J3368</f>
        <v/>
      </c>
      <c r="M3368" s="141">
        <f>SUM(M3367+K3368-L3368)</f>
        <v/>
      </c>
    </row>
    <row r="3369">
      <c r="A3369" s="20" t="n">
        <v>45850</v>
      </c>
      <c r="B3369" s="1" t="n">
        <v>14441</v>
      </c>
      <c r="C3369" s="2" t="inlineStr">
        <is>
          <t>SELİM İNŞAAT</t>
        </is>
      </c>
      <c r="D3369" s="1" t="inlineStr">
        <is>
          <t>34 EGR 737</t>
        </is>
      </c>
      <c r="E3369" s="1" t="inlineStr">
        <is>
          <t>CEM MUHTAR</t>
        </is>
      </c>
      <c r="F3369" s="3" t="n">
        <v>420607</v>
      </c>
      <c r="G3369" s="143" t="n"/>
      <c r="H3369" s="143" t="n">
        <v>410</v>
      </c>
      <c r="I3369" s="143">
        <f>+I3368+(G3369-H3369)</f>
        <v/>
      </c>
      <c r="J3369" s="144" t="n">
        <v>46.27</v>
      </c>
      <c r="K3369" s="145" t="n"/>
      <c r="L3369" s="140">
        <f>+H3369*J3369</f>
        <v/>
      </c>
      <c r="M3369" s="141">
        <f>SUM(M3368+K3369-L3369)</f>
        <v/>
      </c>
    </row>
    <row r="3370">
      <c r="A3370" s="20" t="n">
        <v>45850</v>
      </c>
      <c r="B3370" s="1" t="n">
        <v>15215</v>
      </c>
      <c r="C3370" s="2" t="inlineStr">
        <is>
          <t>SELİM İNŞAAT</t>
        </is>
      </c>
      <c r="D3370" s="1" t="inlineStr">
        <is>
          <t>34 DSN 565</t>
        </is>
      </c>
      <c r="E3370" s="1" t="inlineStr">
        <is>
          <t>ADNAN KOÇ</t>
        </is>
      </c>
      <c r="F3370" s="3" t="n">
        <v>405564</v>
      </c>
      <c r="G3370" s="143" t="n"/>
      <c r="H3370" s="143" t="n">
        <v>478</v>
      </c>
      <c r="I3370" s="143">
        <f>+I3369+(G3370-H3370)</f>
        <v/>
      </c>
      <c r="J3370" s="144" t="n">
        <v>46.27</v>
      </c>
      <c r="K3370" s="145" t="n"/>
      <c r="L3370" s="140">
        <f>+H3370*J3370</f>
        <v/>
      </c>
      <c r="M3370" s="141">
        <f>SUM(M3369+K3370-L3370)</f>
        <v/>
      </c>
    </row>
    <row r="3371">
      <c r="A3371" s="20" t="n">
        <v>45850</v>
      </c>
      <c r="B3371" s="1" t="n">
        <v>15033</v>
      </c>
      <c r="C3371" s="2" t="inlineStr">
        <is>
          <t>SELİM İNŞAAT</t>
        </is>
      </c>
      <c r="D3371" s="1" t="inlineStr">
        <is>
          <t>34 GVZ 199</t>
        </is>
      </c>
      <c r="E3371" s="1" t="inlineStr">
        <is>
          <t>VAHDET GÜRLER</t>
        </is>
      </c>
      <c r="F3371" s="3" t="n">
        <v>188037</v>
      </c>
      <c r="G3371" s="143" t="n"/>
      <c r="H3371" s="143" t="n">
        <v>410</v>
      </c>
      <c r="I3371" s="143">
        <f>+I3370+(G3371-H3371)</f>
        <v/>
      </c>
      <c r="J3371" s="144" t="n">
        <v>46.27</v>
      </c>
      <c r="K3371" s="145" t="n"/>
      <c r="L3371" s="140">
        <f>+H3371*J3371</f>
        <v/>
      </c>
      <c r="M3371" s="141">
        <f>SUM(M3370+K3371-L3371)</f>
        <v/>
      </c>
    </row>
    <row r="3372">
      <c r="A3372" s="20" t="n">
        <v>45850</v>
      </c>
      <c r="B3372" s="1" t="n">
        <v>15119</v>
      </c>
      <c r="C3372" s="2" t="inlineStr">
        <is>
          <t>SELİM İNŞAAT</t>
        </is>
      </c>
      <c r="D3372" s="1" t="inlineStr">
        <is>
          <t>34 DTV 599</t>
        </is>
      </c>
      <c r="E3372" s="1" t="inlineStr">
        <is>
          <t>FERHAT GÜRLER</t>
        </is>
      </c>
      <c r="F3372" s="3" t="n">
        <v>437399</v>
      </c>
      <c r="G3372" s="143" t="n"/>
      <c r="H3372" s="143" t="n">
        <v>379</v>
      </c>
      <c r="I3372" s="143">
        <f>+I3371+(G3372-H3372)</f>
        <v/>
      </c>
      <c r="J3372" s="144" t="n">
        <v>46.27</v>
      </c>
      <c r="K3372" s="145" t="n"/>
      <c r="L3372" s="140">
        <f>+H3372*J3372</f>
        <v/>
      </c>
      <c r="M3372" s="141">
        <f>SUM(M3371+K3372-L3372)</f>
        <v/>
      </c>
    </row>
    <row r="3373">
      <c r="A3373" s="20" t="n">
        <v>45850</v>
      </c>
      <c r="B3373" s="1" t="n">
        <v>15324</v>
      </c>
      <c r="C3373" s="2" t="inlineStr">
        <is>
          <t>SELİM İNŞAAT</t>
        </is>
      </c>
      <c r="D3373" s="1" t="inlineStr">
        <is>
          <t>34 EDC 162</t>
        </is>
      </c>
      <c r="E3373" s="1" t="inlineStr">
        <is>
          <t xml:space="preserve">YAKUP GÜNER </t>
        </is>
      </c>
      <c r="F3373" s="3" t="n">
        <v>377315</v>
      </c>
      <c r="G3373" s="143" t="n"/>
      <c r="H3373" s="143" t="n">
        <v>372</v>
      </c>
      <c r="I3373" s="143">
        <f>+I3372+(G3373-H3373)</f>
        <v/>
      </c>
      <c r="J3373" s="144" t="n">
        <v>46.27</v>
      </c>
      <c r="K3373" s="145" t="n"/>
      <c r="L3373" s="140">
        <f>+H3373*J3373</f>
        <v/>
      </c>
      <c r="M3373" s="141">
        <f>SUM(M3372+K3373-L3373)</f>
        <v/>
      </c>
    </row>
    <row r="3374">
      <c r="A3374" s="20" t="n">
        <v>45850</v>
      </c>
      <c r="B3374" s="1" t="n">
        <v>15364</v>
      </c>
      <c r="C3374" s="2" t="inlineStr">
        <is>
          <t>SELİM İNŞAAT</t>
        </is>
      </c>
      <c r="D3374" s="1" t="inlineStr">
        <is>
          <t>34 DTV 409</t>
        </is>
      </c>
      <c r="E3374" s="1" t="inlineStr">
        <is>
          <t>ONUR CANLI</t>
        </is>
      </c>
      <c r="F3374" s="3" t="n">
        <v>423397</v>
      </c>
      <c r="G3374" s="143" t="n"/>
      <c r="H3374" s="143" t="n">
        <v>420</v>
      </c>
      <c r="I3374" s="143">
        <f>+I3373+(G3374-H3374)</f>
        <v/>
      </c>
      <c r="J3374" s="144" t="n">
        <v>46.27</v>
      </c>
      <c r="K3374" s="145" t="n"/>
      <c r="L3374" s="140">
        <f>+H3374*J3374</f>
        <v/>
      </c>
      <c r="M3374" s="141">
        <f>SUM(M3373+K3374-L3374)</f>
        <v/>
      </c>
    </row>
    <row r="3375">
      <c r="A3375" s="20" t="n">
        <v>45850</v>
      </c>
      <c r="B3375" s="1" t="n">
        <v>14145</v>
      </c>
      <c r="C3375" s="2" t="inlineStr">
        <is>
          <t>SELİM İNŞAAT</t>
        </is>
      </c>
      <c r="D3375" s="1" t="inlineStr">
        <is>
          <t>34 DSN 536</t>
        </is>
      </c>
      <c r="E3375" s="1" t="inlineStr">
        <is>
          <t>DURSUN ALİ GÜREK</t>
        </is>
      </c>
      <c r="F3375" s="3" t="n">
        <v>411475</v>
      </c>
      <c r="G3375" s="143" t="n"/>
      <c r="H3375" s="143" t="n">
        <v>330</v>
      </c>
      <c r="I3375" s="143">
        <f>+I3374+(G3375-H3375)</f>
        <v/>
      </c>
      <c r="J3375" s="144" t="n">
        <v>46.27</v>
      </c>
      <c r="K3375" s="145" t="n"/>
      <c r="L3375" s="140">
        <f>+H3375*J3375</f>
        <v/>
      </c>
      <c r="M3375" s="141">
        <f>SUM(M3374+K3375-L3375)</f>
        <v/>
      </c>
    </row>
    <row r="3376">
      <c r="A3376" s="20" t="n">
        <v>45850</v>
      </c>
      <c r="B3376" s="1" t="n">
        <v>14497</v>
      </c>
      <c r="C3376" s="2" t="inlineStr">
        <is>
          <t>SELİM İNŞAAT</t>
        </is>
      </c>
      <c r="D3376" s="1" t="inlineStr">
        <is>
          <t>34 GUS 848</t>
        </is>
      </c>
      <c r="E3376" s="1" t="inlineStr">
        <is>
          <t>SERDAR BOZKURT</t>
        </is>
      </c>
      <c r="F3376" s="3" t="n">
        <v>197540</v>
      </c>
      <c r="G3376" s="143" t="n"/>
      <c r="H3376" s="143" t="n">
        <v>422</v>
      </c>
      <c r="I3376" s="143">
        <f>+I3375+(G3376-H3376)</f>
        <v/>
      </c>
      <c r="J3376" s="144" t="n">
        <v>46.27</v>
      </c>
      <c r="K3376" s="145" t="n"/>
      <c r="L3376" s="140">
        <f>+H3376*J3376</f>
        <v/>
      </c>
      <c r="M3376" s="141">
        <f>SUM(M3375+K3376-L3376)</f>
        <v/>
      </c>
    </row>
    <row r="3377">
      <c r="A3377" s="20" t="n">
        <v>45850</v>
      </c>
      <c r="B3377" s="1" t="n">
        <v>110</v>
      </c>
      <c r="C3377" s="2" t="inlineStr">
        <is>
          <t>SELİM İNŞAAT</t>
        </is>
      </c>
      <c r="D3377" s="1" t="inlineStr">
        <is>
          <t>34 FBR 771</t>
        </is>
      </c>
      <c r="E3377" s="1" t="inlineStr">
        <is>
          <t>HÜSEYİN AKÇİN</t>
        </is>
      </c>
      <c r="F3377" s="3" t="n">
        <v>325042</v>
      </c>
      <c r="G3377" s="143" t="n"/>
      <c r="H3377" s="143" t="n">
        <v>333</v>
      </c>
      <c r="I3377" s="143">
        <f>+I3376+(G3377-H3377)</f>
        <v/>
      </c>
      <c r="J3377" s="144" t="n">
        <v>46.27</v>
      </c>
      <c r="K3377" s="145" t="n"/>
      <c r="L3377" s="140">
        <f>+H3377*J3377</f>
        <v/>
      </c>
      <c r="M3377" s="141">
        <f>SUM(M3376+K3377-L3377)</f>
        <v/>
      </c>
    </row>
    <row r="3378">
      <c r="A3378" s="20" t="n">
        <v>45850</v>
      </c>
      <c r="B3378" s="1" t="n">
        <v>15867</v>
      </c>
      <c r="C3378" s="2" t="inlineStr">
        <is>
          <t>SELİM İNŞAAT</t>
        </is>
      </c>
      <c r="D3378" s="1" t="inlineStr">
        <is>
          <t>34 EDB 754</t>
        </is>
      </c>
      <c r="E3378" s="1" t="inlineStr">
        <is>
          <t>EMİN PARLAKKILIÇ</t>
        </is>
      </c>
      <c r="F3378" s="3" t="n">
        <v>328783</v>
      </c>
      <c r="G3378" s="143" t="n"/>
      <c r="H3378" s="143" t="n">
        <v>422</v>
      </c>
      <c r="I3378" s="143">
        <f>+I3377+(G3378-H3378)</f>
        <v/>
      </c>
      <c r="J3378" s="144" t="n">
        <v>46.27</v>
      </c>
      <c r="K3378" s="145" t="n"/>
      <c r="L3378" s="140">
        <f>+H3378*J3378</f>
        <v/>
      </c>
      <c r="M3378" s="141">
        <f>SUM(M3377+K3378-L3378)</f>
        <v/>
      </c>
    </row>
    <row r="3379">
      <c r="A3379" s="20" t="n">
        <v>45850</v>
      </c>
      <c r="B3379" s="1" t="n">
        <v>14248</v>
      </c>
      <c r="C3379" s="2" t="inlineStr">
        <is>
          <t>SELİM İNŞAAT</t>
        </is>
      </c>
      <c r="D3379" s="1" t="inlineStr">
        <is>
          <t xml:space="preserve">34 GUS 938 </t>
        </is>
      </c>
      <c r="E3379" s="1" t="inlineStr">
        <is>
          <t>MEHMET KAYA</t>
        </is>
      </c>
      <c r="F3379" s="3" t="n">
        <v>194613</v>
      </c>
      <c r="G3379" s="143" t="n"/>
      <c r="H3379" s="143" t="n">
        <v>420</v>
      </c>
      <c r="I3379" s="143">
        <f>+I3378+(G3379-H3379)</f>
        <v/>
      </c>
      <c r="J3379" s="144" t="n">
        <v>46.27</v>
      </c>
      <c r="K3379" s="145" t="n"/>
      <c r="L3379" s="140">
        <f>+H3379*J3379</f>
        <v/>
      </c>
      <c r="M3379" s="141">
        <f>SUM(M3378+K3379-L3379)</f>
        <v/>
      </c>
    </row>
    <row r="3380">
      <c r="A3380" s="20" t="n">
        <v>45850</v>
      </c>
      <c r="B3380" s="1" t="n">
        <v>10592</v>
      </c>
      <c r="C3380" s="2" t="inlineStr">
        <is>
          <t>SELİM İNŞAAT</t>
        </is>
      </c>
      <c r="D3380" s="1" t="inlineStr">
        <is>
          <t>34 GU 945</t>
        </is>
      </c>
      <c r="E3380" s="1" t="inlineStr">
        <is>
          <t>ŞERİF KARTAL</t>
        </is>
      </c>
      <c r="F3380" s="3" t="n">
        <v>451178</v>
      </c>
      <c r="G3380" s="143" t="n"/>
      <c r="H3380" s="143" t="n">
        <v>69</v>
      </c>
      <c r="I3380" s="143">
        <f>+I3379+(G3380-H3380)</f>
        <v/>
      </c>
      <c r="J3380" s="144" t="n">
        <v>46.27</v>
      </c>
      <c r="K3380" s="145" t="n"/>
      <c r="L3380" s="140">
        <f>+H3380*J3380</f>
        <v/>
      </c>
      <c r="M3380" s="141">
        <f>SUM(M3379+K3380-L3380)</f>
        <v/>
      </c>
    </row>
    <row r="3381">
      <c r="A3381" s="20" t="n">
        <v>45850</v>
      </c>
      <c r="B3381" s="1" t="n">
        <v>202</v>
      </c>
      <c r="C3381" s="2" t="inlineStr">
        <is>
          <t>SELİM İNŞAAT</t>
        </is>
      </c>
      <c r="D3381" s="1" t="inlineStr">
        <is>
          <t>34 JGR 15</t>
        </is>
      </c>
      <c r="E3381" s="1" t="inlineStr">
        <is>
          <t>MUSTAFA ALBAYRAK</t>
        </is>
      </c>
      <c r="F3381" s="3" t="n">
        <v>311428</v>
      </c>
      <c r="G3381" s="143" t="n"/>
      <c r="H3381" s="143" t="n">
        <v>55</v>
      </c>
      <c r="I3381" s="143">
        <f>+I3380+(G3381-H3381)</f>
        <v/>
      </c>
      <c r="J3381" s="144" t="n">
        <v>46.27</v>
      </c>
      <c r="K3381" s="145" t="n"/>
      <c r="L3381" s="140">
        <f>+H3381*J3381</f>
        <v/>
      </c>
      <c r="M3381" s="141">
        <f>SUM(M3380+K3381-L3381)</f>
        <v/>
      </c>
    </row>
    <row r="3382">
      <c r="A3382" s="20" t="n">
        <v>45850</v>
      </c>
      <c r="B3382" s="1" t="n">
        <v>10899</v>
      </c>
      <c r="C3382" s="2" t="inlineStr">
        <is>
          <t>SELİM İNŞAAT</t>
        </is>
      </c>
      <c r="D3382" s="1" t="inlineStr">
        <is>
          <t>34 AR 7743</t>
        </is>
      </c>
      <c r="E3382" s="1" t="inlineStr">
        <is>
          <t>MEHMET SELİM</t>
        </is>
      </c>
      <c r="F3382" s="3" t="n">
        <v>357150</v>
      </c>
      <c r="G3382" s="143" t="n"/>
      <c r="H3382" s="143" t="n">
        <v>60</v>
      </c>
      <c r="I3382" s="143">
        <f>+I3381+(G3382-H3382)</f>
        <v/>
      </c>
      <c r="J3382" s="144" t="n">
        <v>46.27</v>
      </c>
      <c r="K3382" s="145" t="n"/>
      <c r="L3382" s="140">
        <f>+H3382*J3382</f>
        <v/>
      </c>
      <c r="M3382" s="141">
        <f>SUM(M3381+K3382-L3382)</f>
        <v/>
      </c>
    </row>
    <row r="3383">
      <c r="A3383" s="20" t="n">
        <v>45850</v>
      </c>
      <c r="B3383" s="1" t="n">
        <v>14542</v>
      </c>
      <c r="C3383" s="2" t="inlineStr">
        <is>
          <t>SELİM İNŞAAT</t>
        </is>
      </c>
      <c r="D3383" s="1" t="inlineStr">
        <is>
          <t>34 GER 028</t>
        </is>
      </c>
      <c r="E3383" s="1" t="inlineStr">
        <is>
          <t>A.KERİM ERGEN</t>
        </is>
      </c>
      <c r="F3383" s="3" t="n">
        <v>47005</v>
      </c>
      <c r="G3383" s="143" t="n"/>
      <c r="H3383" s="143" t="n">
        <v>230</v>
      </c>
      <c r="I3383" s="143">
        <f>+I3382+(G3383-H3383)</f>
        <v/>
      </c>
      <c r="J3383" s="144" t="n">
        <v>46.27</v>
      </c>
      <c r="K3383" s="145" t="n"/>
      <c r="L3383" s="140">
        <f>+H3383*J3383</f>
        <v/>
      </c>
      <c r="M3383" s="141">
        <f>SUM(M3382+K3383-L3383)</f>
        <v/>
      </c>
    </row>
    <row r="3384">
      <c r="A3384" s="20" t="n">
        <v>45850</v>
      </c>
      <c r="B3384" s="1" t="n">
        <v>15171</v>
      </c>
      <c r="C3384" s="2" t="inlineStr">
        <is>
          <t>SELİM İNŞAAT</t>
        </is>
      </c>
      <c r="D3384" s="1" t="inlineStr">
        <is>
          <t>34 DP 4161</t>
        </is>
      </c>
      <c r="E3384" s="1" t="inlineStr">
        <is>
          <t>RIFAT KARATAY</t>
        </is>
      </c>
      <c r="F3384" s="3" t="n">
        <v>289939</v>
      </c>
      <c r="G3384" s="143" t="n"/>
      <c r="H3384" s="143" t="n">
        <v>247</v>
      </c>
      <c r="I3384" s="143">
        <f>+I3383+(G3384-H3384)</f>
        <v/>
      </c>
      <c r="J3384" s="144" t="n">
        <v>46.27</v>
      </c>
      <c r="K3384" s="145" t="n"/>
      <c r="L3384" s="140">
        <f>+H3384*J3384</f>
        <v/>
      </c>
      <c r="M3384" s="141">
        <f>SUM(M3383+K3384-L3384)</f>
        <v/>
      </c>
    </row>
    <row r="3385">
      <c r="A3385" s="20" t="n">
        <v>45850</v>
      </c>
      <c r="B3385" s="1" t="n">
        <v>453</v>
      </c>
      <c r="C3385" s="2" t="inlineStr">
        <is>
          <t>SELİM İNŞAAT</t>
        </is>
      </c>
      <c r="D3385" s="1" t="inlineStr">
        <is>
          <t>34 DKL 866</t>
        </is>
      </c>
      <c r="E3385" s="1" t="inlineStr">
        <is>
          <t>SELİM CAN ÖNVER</t>
        </is>
      </c>
      <c r="F3385" s="3" t="n">
        <v>68459</v>
      </c>
      <c r="G3385" s="143" t="n"/>
      <c r="H3385" s="143" t="n">
        <v>214</v>
      </c>
      <c r="I3385" s="143">
        <f>+I3384+(G3385-H3385)</f>
        <v/>
      </c>
      <c r="J3385" s="144" t="n">
        <v>46.27</v>
      </c>
      <c r="K3385" s="145" t="n"/>
      <c r="L3385" s="140">
        <f>+H3385*J3385</f>
        <v/>
      </c>
      <c r="M3385" s="141">
        <f>SUM(M3384+K3385-L3385)</f>
        <v/>
      </c>
    </row>
    <row r="3386">
      <c r="A3386" s="20" t="n">
        <v>45851</v>
      </c>
      <c r="B3386" s="21" t="n">
        <v>704</v>
      </c>
      <c r="C3386" s="22" t="inlineStr">
        <is>
          <t>METİN ERYİĞİT</t>
        </is>
      </c>
      <c r="D3386" s="21" t="inlineStr">
        <is>
          <t>34 GBL 998</t>
        </is>
      </c>
      <c r="E3386" s="21" t="inlineStr">
        <is>
          <t>ALİ KESKİN</t>
        </is>
      </c>
      <c r="F3386" s="23" t="n">
        <v>176514</v>
      </c>
      <c r="G3386" s="138" t="n"/>
      <c r="H3386" s="138" t="n">
        <v>205</v>
      </c>
      <c r="I3386" s="138">
        <f>+I3385+(G3386-H3386)</f>
        <v/>
      </c>
      <c r="J3386" s="139" t="n">
        <v>46.27</v>
      </c>
      <c r="K3386" s="140" t="n"/>
      <c r="L3386" s="140">
        <f>+H3386*J3386</f>
        <v/>
      </c>
      <c r="M3386" s="141">
        <f>SUM(M3385+K3386-L3386)</f>
        <v/>
      </c>
    </row>
    <row r="3387">
      <c r="A3387" s="20" t="n">
        <v>45851</v>
      </c>
      <c r="B3387" s="1" t="n">
        <v>11164</v>
      </c>
      <c r="C3387" s="2" t="inlineStr">
        <is>
          <t>SELİM İNŞAAT</t>
        </is>
      </c>
      <c r="D3387" s="21" t="inlineStr">
        <is>
          <t>34 HZ 1663</t>
        </is>
      </c>
      <c r="E3387" s="1" t="inlineStr">
        <is>
          <t>FATİH ÖZBOLAT</t>
        </is>
      </c>
      <c r="F3387" s="3" t="n">
        <v>522720</v>
      </c>
      <c r="G3387" s="143" t="n"/>
      <c r="H3387" s="143" t="n">
        <v>530</v>
      </c>
      <c r="I3387" s="143">
        <f>+I3386+(G3387-H3387)</f>
        <v/>
      </c>
      <c r="J3387" s="144" t="n">
        <v>46.27</v>
      </c>
      <c r="K3387" s="145" t="n"/>
      <c r="L3387" s="140">
        <f>+H3387*J3387</f>
        <v/>
      </c>
      <c r="M3387" s="141">
        <f>SUM(M3386+K3387-L3387)</f>
        <v/>
      </c>
    </row>
    <row r="3388">
      <c r="A3388" s="20" t="n">
        <v>45851</v>
      </c>
      <c r="B3388" s="1" t="n">
        <v>14650</v>
      </c>
      <c r="C3388" s="2" t="inlineStr">
        <is>
          <t>SELİM İNŞAAT</t>
        </is>
      </c>
      <c r="D3388" s="1" t="inlineStr">
        <is>
          <t>34 GER 445</t>
        </is>
      </c>
      <c r="E3388" s="1" t="inlineStr">
        <is>
          <t>HASAN BAYCAN</t>
        </is>
      </c>
      <c r="F3388" s="3" t="n">
        <v>45478</v>
      </c>
      <c r="G3388" s="143" t="n"/>
      <c r="H3388" s="143" t="n">
        <v>195</v>
      </c>
      <c r="I3388" s="143">
        <f>+I3387+(G3388-H3388)</f>
        <v/>
      </c>
      <c r="J3388" s="144" t="n">
        <v>46.27</v>
      </c>
      <c r="K3388" s="145" t="n"/>
      <c r="L3388" s="140">
        <f>+H3388*J3388</f>
        <v/>
      </c>
      <c r="M3388" s="141">
        <f>SUM(M3387+K3388-L3388)</f>
        <v/>
      </c>
    </row>
    <row r="3389">
      <c r="A3389" s="20" t="n">
        <v>45852</v>
      </c>
      <c r="B3389" s="21" t="n">
        <v>928</v>
      </c>
      <c r="C3389" s="22" t="inlineStr">
        <is>
          <t>ÜNSOY TURİZM İNŞ.SAN.VE TİC.A.Ş.</t>
        </is>
      </c>
      <c r="D3389" s="21" t="n"/>
      <c r="E3389" s="21" t="n"/>
      <c r="F3389" s="23" t="n"/>
      <c r="G3389" s="138" t="n">
        <v>31631</v>
      </c>
      <c r="H3389" s="138" t="n"/>
      <c r="I3389" s="138">
        <f>+I3388+(G3389-H3389)</f>
        <v/>
      </c>
      <c r="J3389" s="139" t="n">
        <v>46.27</v>
      </c>
      <c r="K3389" s="140" t="n">
        <v>1470841.5</v>
      </c>
      <c r="L3389" s="140">
        <f>+H3389*J3389</f>
        <v/>
      </c>
      <c r="M3389" s="141">
        <f>SUM(M3388+K3389-L3389)</f>
        <v/>
      </c>
    </row>
    <row r="3390">
      <c r="A3390" s="20" t="n">
        <v>45852</v>
      </c>
      <c r="B3390" s="21" t="n">
        <v>906</v>
      </c>
      <c r="C3390" s="22" t="inlineStr">
        <is>
          <t>EVKUR</t>
        </is>
      </c>
      <c r="D3390" s="21" t="inlineStr">
        <is>
          <t>FOKLİFT</t>
        </is>
      </c>
      <c r="E3390" s="21" t="inlineStr">
        <is>
          <t>FAHRİ KALFA</t>
        </is>
      </c>
      <c r="F3390" s="23" t="n"/>
      <c r="G3390" s="138" t="n"/>
      <c r="H3390" s="138" t="n">
        <v>53</v>
      </c>
      <c r="I3390" s="138">
        <f>+I3389+(G3390-H3390)</f>
        <v/>
      </c>
      <c r="J3390" s="139" t="n">
        <v>46.27</v>
      </c>
      <c r="K3390" s="140" t="n"/>
      <c r="L3390" s="140">
        <f>+H3390*J3390</f>
        <v/>
      </c>
      <c r="M3390" s="141">
        <f>SUM(M3389+K3390-L3390)</f>
        <v/>
      </c>
    </row>
    <row r="3391">
      <c r="A3391" s="20" t="n">
        <v>45852</v>
      </c>
      <c r="B3391" s="1" t="n">
        <v>907</v>
      </c>
      <c r="C3391" s="2" t="inlineStr">
        <is>
          <t>VARLIK</t>
        </is>
      </c>
      <c r="D3391" s="1" t="inlineStr">
        <is>
          <t>SM 350</t>
        </is>
      </c>
      <c r="E3391" s="1" t="inlineStr">
        <is>
          <t>RAMAZAN KAYA</t>
        </is>
      </c>
      <c r="F3391" s="3" t="n"/>
      <c r="G3391" s="143" t="n"/>
      <c r="H3391" s="143" t="n">
        <v>410</v>
      </c>
      <c r="I3391" s="143">
        <f>+I3390+(G3391-H3391)</f>
        <v/>
      </c>
      <c r="J3391" s="144" t="n">
        <v>46.27</v>
      </c>
      <c r="K3391" s="145" t="n"/>
      <c r="L3391" s="140">
        <f>+H3391*J3391</f>
        <v/>
      </c>
      <c r="M3391" s="141">
        <f>SUM(M3390+K3391-L3391)</f>
        <v/>
      </c>
    </row>
    <row r="3392">
      <c r="A3392" s="20" t="n">
        <v>45852</v>
      </c>
      <c r="B3392" s="1" t="n">
        <v>908</v>
      </c>
      <c r="C3392" s="2" t="inlineStr">
        <is>
          <t>CEVİZ MOBİLYA</t>
        </is>
      </c>
      <c r="D3392" s="1" t="inlineStr">
        <is>
          <t>SM 350</t>
        </is>
      </c>
      <c r="E3392" s="1" t="inlineStr">
        <is>
          <t>TEVFİK ÖZTÜRK</t>
        </is>
      </c>
      <c r="F3392" s="3" t="n"/>
      <c r="G3392" s="143" t="n"/>
      <c r="H3392" s="143" t="n">
        <v>393</v>
      </c>
      <c r="I3392" s="143">
        <f>+I3391+(G3392-H3392)</f>
        <v/>
      </c>
      <c r="J3392" s="144" t="n">
        <v>46.27</v>
      </c>
      <c r="K3392" s="145" t="n"/>
      <c r="L3392" s="140">
        <f>+H3392*J3392</f>
        <v/>
      </c>
      <c r="M3392" s="141">
        <f>SUM(M3391+K3392-L3392)</f>
        <v/>
      </c>
    </row>
    <row r="3393">
      <c r="A3393" s="20" t="n">
        <v>45852</v>
      </c>
      <c r="B3393" s="1" t="n">
        <v>909</v>
      </c>
      <c r="C3393" s="2" t="inlineStr">
        <is>
          <t>MEGA VALIK</t>
        </is>
      </c>
      <c r="D3393" s="1" t="inlineStr">
        <is>
          <t>SM 300</t>
        </is>
      </c>
      <c r="E3393" s="1" t="inlineStr">
        <is>
          <t>TURGUT SANCAK</t>
        </is>
      </c>
      <c r="F3393" s="3" t="n"/>
      <c r="G3393" s="143" t="n"/>
      <c r="H3393" s="143" t="n">
        <v>342</v>
      </c>
      <c r="I3393" s="143">
        <f>+I3392+(G3393-H3393)</f>
        <v/>
      </c>
      <c r="J3393" s="144" t="n">
        <v>46.27</v>
      </c>
      <c r="K3393" s="145" t="n"/>
      <c r="L3393" s="140">
        <f>+H3393*J3393</f>
        <v/>
      </c>
      <c r="M3393" s="141">
        <f>SUM(M3392+K3393-L3393)</f>
        <v/>
      </c>
    </row>
    <row r="3394">
      <c r="A3394" s="20" t="n">
        <v>45852</v>
      </c>
      <c r="B3394" s="21" t="n">
        <v>15676</v>
      </c>
      <c r="C3394" s="22" t="inlineStr">
        <is>
          <t>METİN ERYİĞİT</t>
        </is>
      </c>
      <c r="D3394" s="21" t="inlineStr">
        <is>
          <t>34 EGR 814</t>
        </is>
      </c>
      <c r="E3394" s="21" t="inlineStr">
        <is>
          <t>GÜRAY KOYUNCU</t>
        </is>
      </c>
      <c r="F3394" s="23" t="n">
        <v>550451</v>
      </c>
      <c r="G3394" s="138" t="n"/>
      <c r="H3394" s="138" t="n">
        <v>306</v>
      </c>
      <c r="I3394" s="138">
        <f>+I3393+(G3394-H3394)</f>
        <v/>
      </c>
      <c r="J3394" s="139" t="n">
        <v>46.27</v>
      </c>
      <c r="K3394" s="140" t="n"/>
      <c r="L3394" s="140">
        <f>+H3394*J3394</f>
        <v/>
      </c>
      <c r="M3394" s="141">
        <f>SUM(M3393+K3394-L3394)</f>
        <v/>
      </c>
    </row>
    <row r="3395">
      <c r="A3395" s="20" t="n">
        <v>45852</v>
      </c>
      <c r="B3395" s="21" t="n">
        <v>10492</v>
      </c>
      <c r="C3395" s="22" t="inlineStr">
        <is>
          <t>AZGÜN YAPI</t>
        </is>
      </c>
      <c r="D3395" s="21" t="inlineStr">
        <is>
          <t>34 DTV 263</t>
        </is>
      </c>
      <c r="E3395" s="21" t="inlineStr">
        <is>
          <t>OZAN ÇOŞĞUN</t>
        </is>
      </c>
      <c r="F3395" s="23" t="n"/>
      <c r="G3395" s="138" t="n"/>
      <c r="H3395" s="138" t="n">
        <v>490</v>
      </c>
      <c r="I3395" s="138">
        <f>+I3394+(G3395-H3395)</f>
        <v/>
      </c>
      <c r="J3395" s="139" t="n">
        <v>46.27</v>
      </c>
      <c r="K3395" s="140" t="n"/>
      <c r="L3395" s="140">
        <f>+H3395*J3395</f>
        <v/>
      </c>
      <c r="M3395" s="141">
        <f>SUM(M3394+K3395-L3395)</f>
        <v/>
      </c>
    </row>
    <row r="3396">
      <c r="A3396" s="20" t="n">
        <v>45852</v>
      </c>
      <c r="B3396" s="21" t="n">
        <v>8885</v>
      </c>
      <c r="C3396" s="22" t="inlineStr">
        <is>
          <t>AHMET SELİM TEMHA</t>
        </is>
      </c>
      <c r="D3396" s="21" t="inlineStr">
        <is>
          <t>34 DGE 422</t>
        </is>
      </c>
      <c r="E3396" s="21" t="inlineStr">
        <is>
          <t xml:space="preserve">ERSOY SIĞINMAZ </t>
        </is>
      </c>
      <c r="F3396" s="23" t="n"/>
      <c r="G3396" s="138" t="n"/>
      <c r="H3396" s="138" t="n">
        <v>55</v>
      </c>
      <c r="I3396" s="138">
        <f>+I3395+(G3396-H3396)</f>
        <v/>
      </c>
      <c r="J3396" s="139" t="n">
        <v>46.27</v>
      </c>
      <c r="K3396" s="140" t="n"/>
      <c r="L3396" s="140">
        <f>+H3396*J3396</f>
        <v/>
      </c>
      <c r="M3396" s="141">
        <f>SUM(M3395+K3396-L3396)</f>
        <v/>
      </c>
    </row>
    <row r="3397">
      <c r="A3397" s="20" t="n">
        <v>45852</v>
      </c>
      <c r="B3397" s="1" t="n">
        <v>759</v>
      </c>
      <c r="C3397" s="2" t="inlineStr">
        <is>
          <t>SELİM İNŞAAT</t>
        </is>
      </c>
      <c r="D3397" s="1" t="inlineStr">
        <is>
          <t>34 EDB 559</t>
        </is>
      </c>
      <c r="E3397" s="1" t="inlineStr">
        <is>
          <t>ADNAN KOÇ</t>
        </is>
      </c>
      <c r="F3397" s="3" t="n">
        <v>330391</v>
      </c>
      <c r="G3397" s="143" t="n"/>
      <c r="H3397" s="143" t="n">
        <v>393</v>
      </c>
      <c r="I3397" s="143">
        <f>+I3396+(G3397-H3397)</f>
        <v/>
      </c>
      <c r="J3397" s="144" t="n">
        <v>46.27</v>
      </c>
      <c r="K3397" s="145" t="n"/>
      <c r="L3397" s="140">
        <f>+H3397*J3397</f>
        <v/>
      </c>
      <c r="M3397" s="141">
        <f>SUM(M3396+K3397-L3397)</f>
        <v/>
      </c>
    </row>
    <row r="3398">
      <c r="A3398" s="20" t="n">
        <v>45852</v>
      </c>
      <c r="B3398" s="1" t="n">
        <v>11237</v>
      </c>
      <c r="C3398" s="2" t="inlineStr">
        <is>
          <t>SELİM İNŞAAT</t>
        </is>
      </c>
      <c r="D3398" s="1" t="inlineStr">
        <is>
          <t>34 DSN 636</t>
        </is>
      </c>
      <c r="E3398" s="1" t="inlineStr">
        <is>
          <t>İLHAN YÜRÜK</t>
        </is>
      </c>
      <c r="F3398" s="3" t="n">
        <v>397579</v>
      </c>
      <c r="G3398" s="143" t="n"/>
      <c r="H3398" s="143" t="n">
        <v>530</v>
      </c>
      <c r="I3398" s="143">
        <f>+I3397+(G3398-H3398)</f>
        <v/>
      </c>
      <c r="J3398" s="144" t="n">
        <v>46.27</v>
      </c>
      <c r="K3398" s="145" t="n"/>
      <c r="L3398" s="140">
        <f>+H3398*J3398</f>
        <v/>
      </c>
      <c r="M3398" s="141">
        <f>SUM(M3397+K3398-L3398)</f>
        <v/>
      </c>
    </row>
    <row r="3399">
      <c r="A3399" s="20" t="n">
        <v>45852</v>
      </c>
      <c r="B3399" s="1" t="n">
        <v>15970</v>
      </c>
      <c r="C3399" s="2" t="inlineStr">
        <is>
          <t>SELİM İNŞAAT</t>
        </is>
      </c>
      <c r="D3399" s="1" t="inlineStr">
        <is>
          <t>34 FBR 781</t>
        </is>
      </c>
      <c r="E3399" s="1" t="inlineStr">
        <is>
          <t>MEVLÜT POLAT</t>
        </is>
      </c>
      <c r="F3399" s="3" t="n">
        <v>311633</v>
      </c>
      <c r="G3399" s="143" t="n"/>
      <c r="H3399" s="143" t="n">
        <v>419</v>
      </c>
      <c r="I3399" s="143">
        <f>+I3398+(G3399-H3399)</f>
        <v/>
      </c>
      <c r="J3399" s="144" t="n">
        <v>46.27</v>
      </c>
      <c r="K3399" s="145" t="n"/>
      <c r="L3399" s="140">
        <f>+H3399*J3399</f>
        <v/>
      </c>
      <c r="M3399" s="141">
        <f>SUM(M3398+K3399-L3399)</f>
        <v/>
      </c>
    </row>
    <row r="3400">
      <c r="A3400" s="20" t="n">
        <v>45852</v>
      </c>
      <c r="B3400" s="1" t="n">
        <v>15577</v>
      </c>
      <c r="C3400" s="2" t="inlineStr">
        <is>
          <t>SELİM İNŞAAT</t>
        </is>
      </c>
      <c r="D3400" s="1" t="inlineStr">
        <is>
          <t>34 GVZ 745</t>
        </is>
      </c>
      <c r="E3400" s="1" t="inlineStr">
        <is>
          <t>MUHAMMED YİĞİT</t>
        </is>
      </c>
      <c r="F3400" s="3" t="n">
        <v>192326</v>
      </c>
      <c r="G3400" s="143" t="n"/>
      <c r="H3400" s="143" t="n">
        <v>470</v>
      </c>
      <c r="I3400" s="143">
        <f>+I3399+(G3400-H3400)</f>
        <v/>
      </c>
      <c r="J3400" s="144" t="n">
        <v>46.27</v>
      </c>
      <c r="K3400" s="145" t="n"/>
      <c r="L3400" s="140">
        <f>+H3400*J3400</f>
        <v/>
      </c>
      <c r="M3400" s="141">
        <f>SUM(M3399+K3400-L3400)</f>
        <v/>
      </c>
    </row>
    <row r="3401">
      <c r="A3401" s="20" t="n">
        <v>45852</v>
      </c>
      <c r="B3401" s="1" t="n">
        <v>14442</v>
      </c>
      <c r="C3401" s="2" t="inlineStr">
        <is>
          <t>SELİM İNŞAAT</t>
        </is>
      </c>
      <c r="D3401" s="1" t="inlineStr">
        <is>
          <t>34 EGR 737</t>
        </is>
      </c>
      <c r="E3401" s="1" t="inlineStr">
        <is>
          <t>CEM MUHTAR</t>
        </is>
      </c>
      <c r="F3401" s="3" t="n">
        <v>421088</v>
      </c>
      <c r="G3401" s="143" t="n"/>
      <c r="H3401" s="143" t="n">
        <v>325</v>
      </c>
      <c r="I3401" s="143">
        <f>+I3400+(G3401-H3401)</f>
        <v/>
      </c>
      <c r="J3401" s="144" t="n">
        <v>46.27</v>
      </c>
      <c r="K3401" s="145" t="n"/>
      <c r="L3401" s="140">
        <f>+H3401*J3401</f>
        <v/>
      </c>
      <c r="M3401" s="141">
        <f>SUM(M3400+K3401-L3401)</f>
        <v/>
      </c>
    </row>
    <row r="3402">
      <c r="A3402" s="20" t="n">
        <v>45852</v>
      </c>
      <c r="B3402" s="1" t="n">
        <v>408</v>
      </c>
      <c r="C3402" s="2" t="inlineStr">
        <is>
          <t>SELİM İNŞAAT</t>
        </is>
      </c>
      <c r="D3402" s="1" t="inlineStr">
        <is>
          <t>34 DRU 690</t>
        </is>
      </c>
      <c r="E3402" s="1" t="inlineStr">
        <is>
          <t>MURAT DEMİRBAŞ</t>
        </is>
      </c>
      <c r="F3402" s="3" t="n">
        <v>423878</v>
      </c>
      <c r="G3402" s="143" t="n"/>
      <c r="H3402" s="143" t="n">
        <v>523</v>
      </c>
      <c r="I3402" s="143">
        <f>+I3401+(G3402-H3402)</f>
        <v/>
      </c>
      <c r="J3402" s="144" t="n">
        <v>46.27</v>
      </c>
      <c r="K3402" s="145" t="n"/>
      <c r="L3402" s="140">
        <f>+H3402*J3402</f>
        <v/>
      </c>
      <c r="M3402" s="141">
        <f>SUM(M3401+K3402-L3402)</f>
        <v/>
      </c>
    </row>
    <row r="3403">
      <c r="A3403" s="20" t="n">
        <v>45852</v>
      </c>
      <c r="B3403" s="1" t="n">
        <v>813</v>
      </c>
      <c r="C3403" s="2" t="inlineStr">
        <is>
          <t>SELİM İNŞAAT</t>
        </is>
      </c>
      <c r="D3403" s="1" t="inlineStr">
        <is>
          <t>34 FBR 705</t>
        </is>
      </c>
      <c r="E3403" s="1" t="inlineStr">
        <is>
          <t>MESUT GÜRLER</t>
        </is>
      </c>
      <c r="F3403" s="3" t="n">
        <v>323286</v>
      </c>
      <c r="G3403" s="143" t="n"/>
      <c r="H3403" s="143" t="n">
        <v>447</v>
      </c>
      <c r="I3403" s="143">
        <f>+I3402+(G3403-H3403)</f>
        <v/>
      </c>
      <c r="J3403" s="144" t="n">
        <v>46.27</v>
      </c>
      <c r="K3403" s="145" t="n"/>
      <c r="L3403" s="140">
        <f>+H3403*J3403</f>
        <v/>
      </c>
      <c r="M3403" s="141">
        <f>SUM(M3402+K3403-L3403)</f>
        <v/>
      </c>
    </row>
    <row r="3404">
      <c r="A3404" s="20" t="n">
        <v>45852</v>
      </c>
      <c r="B3404" s="1" t="n">
        <v>10249</v>
      </c>
      <c r="C3404" s="2" t="inlineStr">
        <is>
          <t>SELİM İNŞAAT</t>
        </is>
      </c>
      <c r="D3404" s="1" t="inlineStr">
        <is>
          <t>34 DSN 621</t>
        </is>
      </c>
      <c r="E3404" s="1" t="inlineStr">
        <is>
          <t>MUSTAFA KAYA</t>
        </is>
      </c>
      <c r="F3404" s="3" t="n">
        <v>417191</v>
      </c>
      <c r="G3404" s="143" t="n"/>
      <c r="H3404" s="143" t="n">
        <v>344</v>
      </c>
      <c r="I3404" s="143">
        <f>+I3403+(G3404-H3404)</f>
        <v/>
      </c>
      <c r="J3404" s="144" t="n">
        <v>46.27</v>
      </c>
      <c r="K3404" s="145" t="n"/>
      <c r="L3404" s="140">
        <f>+H3404*J3404</f>
        <v/>
      </c>
      <c r="M3404" s="141">
        <f>SUM(M3403+K3404-L3404)</f>
        <v/>
      </c>
    </row>
    <row r="3405">
      <c r="A3405" s="20" t="n">
        <v>45852</v>
      </c>
      <c r="B3405" s="1" t="n">
        <v>111</v>
      </c>
      <c r="C3405" s="2" t="inlineStr">
        <is>
          <t>SELİM İNŞAAT</t>
        </is>
      </c>
      <c r="D3405" s="1" t="inlineStr">
        <is>
          <t>34 FBR 771</t>
        </is>
      </c>
      <c r="E3405" s="1" t="inlineStr">
        <is>
          <t>HÜSEYİN AKÇİN</t>
        </is>
      </c>
      <c r="F3405" s="3" t="n">
        <v>325732</v>
      </c>
      <c r="G3405" s="143" t="n"/>
      <c r="H3405" s="143" t="n">
        <v>394</v>
      </c>
      <c r="I3405" s="143">
        <f>+I3404+(G3405-H3405)</f>
        <v/>
      </c>
      <c r="J3405" s="144" t="n">
        <v>46.27</v>
      </c>
      <c r="K3405" s="145" t="n"/>
      <c r="L3405" s="140">
        <f>+H3405*J3405</f>
        <v/>
      </c>
      <c r="M3405" s="141">
        <f>SUM(M3404+K3405-L3405)</f>
        <v/>
      </c>
    </row>
    <row r="3406">
      <c r="A3406" s="20" t="n">
        <v>45852</v>
      </c>
      <c r="B3406" s="1" t="n">
        <v>15526</v>
      </c>
      <c r="C3406" s="2" t="inlineStr">
        <is>
          <t>SELİM İNŞAAT</t>
        </is>
      </c>
      <c r="D3406" s="1" t="inlineStr">
        <is>
          <t>34 EDC 086</t>
        </is>
      </c>
      <c r="E3406" s="1" t="inlineStr">
        <is>
          <t>ÖMER AĞAYAR</t>
        </is>
      </c>
      <c r="F3406" s="3" t="n">
        <v>332325</v>
      </c>
      <c r="G3406" s="143" t="n"/>
      <c r="H3406" s="143" t="n">
        <v>442</v>
      </c>
      <c r="I3406" s="143">
        <f>+I3405+(G3406-H3406)</f>
        <v/>
      </c>
      <c r="J3406" s="144" t="n">
        <v>46.27</v>
      </c>
      <c r="K3406" s="145" t="n"/>
      <c r="L3406" s="140">
        <f>+H3406*J3406</f>
        <v/>
      </c>
      <c r="M3406" s="141">
        <f>SUM(M3405+K3406-L3406)</f>
        <v/>
      </c>
    </row>
    <row r="3407">
      <c r="A3407" s="20" t="n">
        <v>45852</v>
      </c>
      <c r="B3407" s="1" t="n">
        <v>15868</v>
      </c>
      <c r="C3407" s="2" t="inlineStr">
        <is>
          <t>SELİM İNŞAAT</t>
        </is>
      </c>
      <c r="D3407" s="1" t="inlineStr">
        <is>
          <t>34 EDB 754</t>
        </is>
      </c>
      <c r="E3407" s="1" t="inlineStr">
        <is>
          <t>EMİN PARLAKKILIÇ</t>
        </is>
      </c>
      <c r="F3407" s="3" t="n">
        <v>329280</v>
      </c>
      <c r="G3407" s="143" t="n"/>
      <c r="H3407" s="143" t="n">
        <v>498</v>
      </c>
      <c r="I3407" s="143">
        <f>+I3406+(G3407-H3407)</f>
        <v/>
      </c>
      <c r="J3407" s="144" t="n">
        <v>46.27</v>
      </c>
      <c r="K3407" s="145" t="n"/>
      <c r="L3407" s="140">
        <f>+H3407*J3407</f>
        <v/>
      </c>
      <c r="M3407" s="141">
        <f>SUM(M3406+K3407-L3407)</f>
        <v/>
      </c>
    </row>
    <row r="3408">
      <c r="A3408" s="20" t="n">
        <v>45852</v>
      </c>
      <c r="B3408" s="1" t="n">
        <v>15</v>
      </c>
      <c r="C3408" s="2" t="inlineStr">
        <is>
          <t>SELİM İNŞAAT</t>
        </is>
      </c>
      <c r="D3408" s="1" t="inlineStr">
        <is>
          <t>34 FBR 748</t>
        </is>
      </c>
      <c r="E3408" s="1" t="inlineStr">
        <is>
          <t>YAŞAR ÖZKAYA</t>
        </is>
      </c>
      <c r="F3408" s="3" t="n">
        <v>288032</v>
      </c>
      <c r="G3408" s="143" t="n"/>
      <c r="H3408" s="143" t="n">
        <v>446</v>
      </c>
      <c r="I3408" s="143">
        <f>+I3407+(G3408-H3408)</f>
        <v/>
      </c>
      <c r="J3408" s="144" t="n">
        <v>46.27</v>
      </c>
      <c r="K3408" s="145" t="n"/>
      <c r="L3408" s="140">
        <f>+H3408*J3408</f>
        <v/>
      </c>
      <c r="M3408" s="141">
        <f>SUM(M3407+K3408-L3408)</f>
        <v/>
      </c>
    </row>
    <row r="3409">
      <c r="A3409" s="20" t="n">
        <v>45852</v>
      </c>
      <c r="B3409" s="1" t="n">
        <v>10593</v>
      </c>
      <c r="C3409" s="2" t="inlineStr">
        <is>
          <t>SELİM İNŞAAT</t>
        </is>
      </c>
      <c r="D3409" s="1" t="inlineStr">
        <is>
          <t>34 GU 945</t>
        </is>
      </c>
      <c r="E3409" s="1" t="inlineStr">
        <is>
          <t>ŞERİF KARTAL</t>
        </is>
      </c>
      <c r="F3409" s="3" t="n">
        <v>451524</v>
      </c>
      <c r="G3409" s="143" t="n"/>
      <c r="H3409" s="143" t="n">
        <v>65</v>
      </c>
      <c r="I3409" s="143">
        <f>+I3408+(G3409-H3409)</f>
        <v/>
      </c>
      <c r="J3409" s="144" t="n">
        <v>46.27</v>
      </c>
      <c r="K3409" s="145" t="n"/>
      <c r="L3409" s="140">
        <f>+H3409*J3409</f>
        <v/>
      </c>
      <c r="M3409" s="141">
        <f>SUM(M3408+K3409-L3409)</f>
        <v/>
      </c>
    </row>
    <row r="3410">
      <c r="A3410" s="20" t="n">
        <v>45852</v>
      </c>
      <c r="B3410" s="1" t="n">
        <v>20549</v>
      </c>
      <c r="C3410" s="2" t="inlineStr">
        <is>
          <t>SELİM İNŞAAT</t>
        </is>
      </c>
      <c r="D3410" s="1" t="inlineStr">
        <is>
          <t>34 VF 2620</t>
        </is>
      </c>
      <c r="E3410" s="1" t="inlineStr">
        <is>
          <t>RECEP SELİM</t>
        </is>
      </c>
      <c r="F3410" s="3" t="n">
        <v>189084</v>
      </c>
      <c r="G3410" s="143" t="n"/>
      <c r="H3410" s="143" t="n">
        <v>83</v>
      </c>
      <c r="I3410" s="143">
        <f>+I3409+(G3410-H3410)</f>
        <v/>
      </c>
      <c r="J3410" s="144" t="n">
        <v>46.27</v>
      </c>
      <c r="K3410" s="145" t="n"/>
      <c r="L3410" s="140">
        <f>+H3410*J3410</f>
        <v/>
      </c>
      <c r="M3410" s="141">
        <f>SUM(M3409+K3410-L3410)</f>
        <v/>
      </c>
    </row>
    <row r="3411">
      <c r="A3411" s="20" t="n">
        <v>45852</v>
      </c>
      <c r="B3411" s="1" t="n">
        <v>10900</v>
      </c>
      <c r="C3411" s="2" t="inlineStr">
        <is>
          <t>SELİM İNŞAAT</t>
        </is>
      </c>
      <c r="D3411" s="1" t="inlineStr">
        <is>
          <t>34 AR 7743</t>
        </is>
      </c>
      <c r="E3411" s="1" t="inlineStr">
        <is>
          <t>MEHMET SELİM</t>
        </is>
      </c>
      <c r="F3411" s="3" t="n">
        <v>357458</v>
      </c>
      <c r="G3411" s="143" t="n"/>
      <c r="H3411" s="143" t="n">
        <v>61</v>
      </c>
      <c r="I3411" s="143">
        <f>+I3410+(G3411-H3411)</f>
        <v/>
      </c>
      <c r="J3411" s="144" t="n">
        <v>46.27</v>
      </c>
      <c r="K3411" s="145" t="n"/>
      <c r="L3411" s="140">
        <f>+H3411*J3411</f>
        <v/>
      </c>
      <c r="M3411" s="141">
        <f>SUM(M3410+K3411-L3411)</f>
        <v/>
      </c>
    </row>
    <row r="3412">
      <c r="A3412" s="20" t="n">
        <v>45852</v>
      </c>
      <c r="B3412" s="1" t="n">
        <v>14394</v>
      </c>
      <c r="C3412" s="2" t="inlineStr">
        <is>
          <t>SELİM İNŞAAT</t>
        </is>
      </c>
      <c r="D3412" s="1" t="inlineStr">
        <is>
          <t>34 DKL 798</t>
        </is>
      </c>
      <c r="E3412" s="1" t="inlineStr">
        <is>
          <t>EMİRCAN ÖZTÜRK</t>
        </is>
      </c>
      <c r="F3412" s="3" t="n">
        <v>68223</v>
      </c>
      <c r="G3412" s="143" t="n"/>
      <c r="H3412" s="143" t="n">
        <v>267</v>
      </c>
      <c r="I3412" s="143">
        <f>+I3411+(G3412-H3412)</f>
        <v/>
      </c>
      <c r="J3412" s="144" t="n">
        <v>46.27</v>
      </c>
      <c r="K3412" s="145" t="n"/>
      <c r="L3412" s="140">
        <f>+H3412*J3412</f>
        <v/>
      </c>
      <c r="M3412" s="141">
        <f>SUM(M3411+K3412-L3412)</f>
        <v/>
      </c>
    </row>
    <row r="3413">
      <c r="A3413" s="20" t="n">
        <v>45852</v>
      </c>
      <c r="B3413" s="1" t="n">
        <v>21336</v>
      </c>
      <c r="C3413" s="2" t="inlineStr">
        <is>
          <t>SELİM İNŞAAT</t>
        </is>
      </c>
      <c r="D3413" s="1" t="inlineStr">
        <is>
          <t>34 FEM 934</t>
        </is>
      </c>
      <c r="E3413" s="1" t="inlineStr">
        <is>
          <t>MUSTAFA ALBAYRAK</t>
        </is>
      </c>
      <c r="F3413" s="3" t="n">
        <v>312876</v>
      </c>
      <c r="G3413" s="143" t="n"/>
      <c r="H3413" s="143" t="n">
        <v>74</v>
      </c>
      <c r="I3413" s="143">
        <f>+I3412+(G3413-H3413)</f>
        <v/>
      </c>
      <c r="J3413" s="144" t="n">
        <v>46.27</v>
      </c>
      <c r="K3413" s="145" t="n"/>
      <c r="L3413" s="140">
        <f>+H3413*J3413</f>
        <v/>
      </c>
      <c r="M3413" s="141">
        <f>SUM(M3412+K3413-L3413)</f>
        <v/>
      </c>
    </row>
    <row r="3414">
      <c r="A3414" s="20" t="n">
        <v>45852</v>
      </c>
      <c r="B3414" s="1" t="n">
        <v>15930</v>
      </c>
      <c r="C3414" s="2" t="inlineStr">
        <is>
          <t>SELİM İNŞAAT</t>
        </is>
      </c>
      <c r="D3414" s="1" t="inlineStr">
        <is>
          <t>34 DFE 454</t>
        </is>
      </c>
      <c r="E3414" s="1" t="inlineStr">
        <is>
          <t>METİN KALKAN</t>
        </is>
      </c>
      <c r="F3414" s="3" t="n">
        <v>162153</v>
      </c>
      <c r="G3414" s="143" t="n"/>
      <c r="H3414" s="143" t="n">
        <v>210</v>
      </c>
      <c r="I3414" s="143">
        <f>+I3413+(G3414-H3414)</f>
        <v/>
      </c>
      <c r="J3414" s="144" t="n">
        <v>46.27</v>
      </c>
      <c r="K3414" s="145" t="n"/>
      <c r="L3414" s="140">
        <f>+H3414*J3414</f>
        <v/>
      </c>
      <c r="M3414" s="141">
        <f>SUM(M3413+K3414-L3414)</f>
        <v/>
      </c>
    </row>
    <row r="3415">
      <c r="A3415" s="20" t="n">
        <v>45852</v>
      </c>
      <c r="B3415" s="1" t="n">
        <v>14543</v>
      </c>
      <c r="C3415" s="2" t="inlineStr">
        <is>
          <t>SELİM İNŞAAT</t>
        </is>
      </c>
      <c r="D3415" s="1" t="inlineStr">
        <is>
          <t>34 GER 028</t>
        </is>
      </c>
      <c r="E3415" s="1" t="inlineStr">
        <is>
          <t>A.KERİM ERGEN</t>
        </is>
      </c>
      <c r="F3415" s="3" t="n">
        <v>47210</v>
      </c>
      <c r="G3415" s="143" t="n"/>
      <c r="H3415" s="143" t="n">
        <v>190</v>
      </c>
      <c r="I3415" s="143">
        <f>+I3414+(G3415-H3415)</f>
        <v/>
      </c>
      <c r="J3415" s="144" t="n">
        <v>46.27</v>
      </c>
      <c r="K3415" s="145" t="n"/>
      <c r="L3415" s="140">
        <f>+H3415*J3415</f>
        <v/>
      </c>
      <c r="M3415" s="141">
        <f>SUM(M3414+K3415-L3415)</f>
        <v/>
      </c>
    </row>
    <row r="3416">
      <c r="A3416" s="20" t="n">
        <v>45852</v>
      </c>
      <c r="B3416" s="1" t="n">
        <v>15172</v>
      </c>
      <c r="C3416" s="2" t="inlineStr">
        <is>
          <t>SELİM İNŞAAT</t>
        </is>
      </c>
      <c r="D3416" s="1" t="inlineStr">
        <is>
          <t>34 DP 4161</t>
        </is>
      </c>
      <c r="E3416" s="1" t="inlineStr">
        <is>
          <t>RIFAT KARATAY</t>
        </is>
      </c>
      <c r="F3416" s="3" t="n">
        <v>290217</v>
      </c>
      <c r="G3416" s="143" t="n"/>
      <c r="H3416" s="143" t="n">
        <v>210</v>
      </c>
      <c r="I3416" s="143">
        <f>+I3415+(G3416-H3416)</f>
        <v/>
      </c>
      <c r="J3416" s="144" t="n">
        <v>46.27</v>
      </c>
      <c r="K3416" s="145" t="n"/>
      <c r="L3416" s="140">
        <f>+H3416*J3416</f>
        <v/>
      </c>
      <c r="M3416" s="141">
        <f>SUM(M3415+K3416-L3416)</f>
        <v/>
      </c>
    </row>
    <row r="3417">
      <c r="A3417" s="20" t="n">
        <v>45852</v>
      </c>
      <c r="B3417" s="1" t="n">
        <v>161</v>
      </c>
      <c r="C3417" s="2" t="inlineStr">
        <is>
          <t>SELİM İNŞAAT</t>
        </is>
      </c>
      <c r="D3417" s="1" t="inlineStr">
        <is>
          <t>34 TG 7869</t>
        </is>
      </c>
      <c r="E3417" s="1" t="inlineStr">
        <is>
          <t>GÖRKEM KARAYEL</t>
        </is>
      </c>
      <c r="F3417" s="3" t="n">
        <v>185062</v>
      </c>
      <c r="G3417" s="143" t="n"/>
      <c r="H3417" s="143" t="n">
        <v>293</v>
      </c>
      <c r="I3417" s="143">
        <f>+I3416+(G3417-H3417)</f>
        <v/>
      </c>
      <c r="J3417" s="144" t="n">
        <v>46.27</v>
      </c>
      <c r="K3417" s="145" t="n"/>
      <c r="L3417" s="140">
        <f>+H3417*J3417</f>
        <v/>
      </c>
      <c r="M3417" s="141">
        <f>SUM(M3416+K3417-L3417)</f>
        <v/>
      </c>
    </row>
    <row r="3418">
      <c r="A3418" s="20" t="n">
        <v>45852</v>
      </c>
      <c r="B3418" s="1" t="n">
        <v>454</v>
      </c>
      <c r="C3418" s="2" t="inlineStr">
        <is>
          <t>SELİM İNŞAAT</t>
        </is>
      </c>
      <c r="D3418" s="1" t="inlineStr">
        <is>
          <t>34 DKL 866</t>
        </is>
      </c>
      <c r="E3418" s="1" t="inlineStr">
        <is>
          <t>SELİM CAN ÖNVER</t>
        </is>
      </c>
      <c r="F3418" s="3" t="n">
        <v>68649</v>
      </c>
      <c r="G3418" s="143" t="n"/>
      <c r="H3418" s="143" t="n">
        <v>196</v>
      </c>
      <c r="I3418" s="143">
        <f>+I3417+(G3418-H3418)</f>
        <v/>
      </c>
      <c r="J3418" s="144" t="n">
        <v>46.27</v>
      </c>
      <c r="K3418" s="145" t="n"/>
      <c r="L3418" s="140">
        <f>+H3418*J3418</f>
        <v/>
      </c>
      <c r="M3418" s="141">
        <f>SUM(M3417+K3418-L3418)</f>
        <v/>
      </c>
    </row>
    <row r="3419">
      <c r="A3419" s="20" t="n">
        <v>45853</v>
      </c>
      <c r="B3419" s="1" t="n">
        <v>910</v>
      </c>
      <c r="C3419" s="2" t="inlineStr">
        <is>
          <t>MEGA VALIK</t>
        </is>
      </c>
      <c r="D3419" s="1" t="inlineStr">
        <is>
          <t>SM 370</t>
        </is>
      </c>
      <c r="E3419" s="1" t="inlineStr">
        <is>
          <t>TEKİN ŞEYLAN</t>
        </is>
      </c>
      <c r="F3419" s="3" t="n"/>
      <c r="G3419" s="143" t="n"/>
      <c r="H3419" s="143" t="n">
        <v>590</v>
      </c>
      <c r="I3419" s="143">
        <f>+I3418+(G3419-H3419)</f>
        <v/>
      </c>
      <c r="J3419" s="144" t="n">
        <v>46.27</v>
      </c>
      <c r="K3419" s="145" t="n"/>
      <c r="L3419" s="140">
        <f>+H3419*J3419</f>
        <v/>
      </c>
      <c r="M3419" s="141">
        <f>SUM(M3418+K3419-L3419)</f>
        <v/>
      </c>
    </row>
    <row r="3420">
      <c r="A3420" s="20" t="n">
        <v>45853</v>
      </c>
      <c r="B3420" s="21" t="n">
        <v>911</v>
      </c>
      <c r="C3420" s="22" t="inlineStr">
        <is>
          <t>EVKUR</t>
        </is>
      </c>
      <c r="D3420" s="21" t="inlineStr">
        <is>
          <t>FOKLİFT</t>
        </is>
      </c>
      <c r="E3420" s="21" t="inlineStr">
        <is>
          <t>FAHRİ KALFA</t>
        </is>
      </c>
      <c r="F3420" s="23" t="n"/>
      <c r="G3420" s="138" t="n"/>
      <c r="H3420" s="138" t="n">
        <v>40</v>
      </c>
      <c r="I3420" s="138">
        <f>+I3419+(G3420-H3420)</f>
        <v/>
      </c>
      <c r="J3420" s="139" t="n">
        <v>46.27</v>
      </c>
      <c r="K3420" s="140" t="n"/>
      <c r="L3420" s="140">
        <f>+H3420*J3420</f>
        <v/>
      </c>
      <c r="M3420" s="141">
        <f>SUM(M3419+K3420-L3420)</f>
        <v/>
      </c>
    </row>
    <row r="3421">
      <c r="A3421" s="20" t="n">
        <v>45853</v>
      </c>
      <c r="B3421" s="21" t="n">
        <v>705</v>
      </c>
      <c r="C3421" s="22" t="inlineStr">
        <is>
          <t>METİN ERYİĞİT</t>
        </is>
      </c>
      <c r="D3421" s="21" t="inlineStr">
        <is>
          <t>34 GBL 998</t>
        </is>
      </c>
      <c r="E3421" s="21" t="inlineStr">
        <is>
          <t>ALİ KESKİN</t>
        </is>
      </c>
      <c r="F3421" s="23" t="n">
        <v>277225</v>
      </c>
      <c r="G3421" s="138" t="n"/>
      <c r="H3421" s="138" t="n">
        <v>319</v>
      </c>
      <c r="I3421" s="138">
        <f>+I3420+(G3421-H3421)</f>
        <v/>
      </c>
      <c r="J3421" s="139" t="n">
        <v>46.27</v>
      </c>
      <c r="K3421" s="140" t="n"/>
      <c r="L3421" s="140">
        <f>+H3421*J3421</f>
        <v/>
      </c>
      <c r="M3421" s="141">
        <f>SUM(M3420+K3421-L3421)</f>
        <v/>
      </c>
    </row>
    <row r="3422">
      <c r="A3422" s="20" t="n">
        <v>45853</v>
      </c>
      <c r="B3422" s="21" t="n">
        <v>15621</v>
      </c>
      <c r="C3422" s="22" t="inlineStr">
        <is>
          <t>METİN ERYİĞİT</t>
        </is>
      </c>
      <c r="D3422" s="21" t="inlineStr">
        <is>
          <t>34 EGS 013</t>
        </is>
      </c>
      <c r="E3422" s="21" t="inlineStr">
        <is>
          <t xml:space="preserve">UĞUR DUMAN </t>
        </is>
      </c>
      <c r="F3422" s="23" t="n">
        <v>496683</v>
      </c>
      <c r="G3422" s="138" t="n"/>
      <c r="H3422" s="138" t="n">
        <v>379</v>
      </c>
      <c r="I3422" s="138">
        <f>+I3421+(G3422-H3422)</f>
        <v/>
      </c>
      <c r="J3422" s="139" t="n">
        <v>46.27</v>
      </c>
      <c r="K3422" s="140" t="n"/>
      <c r="L3422" s="140">
        <f>+H3422*J3422</f>
        <v/>
      </c>
      <c r="M3422" s="141">
        <f>SUM(M3421+K3422-L3422)</f>
        <v/>
      </c>
    </row>
    <row r="3423">
      <c r="A3423" s="20" t="n">
        <v>45853</v>
      </c>
      <c r="B3423" s="21" t="n">
        <v>11378</v>
      </c>
      <c r="C3423" s="22" t="inlineStr">
        <is>
          <t>AZGÜN YAPI</t>
        </is>
      </c>
      <c r="D3423" s="21" t="inlineStr">
        <is>
          <t>34 MKT 593</t>
        </is>
      </c>
      <c r="E3423" s="21" t="inlineStr">
        <is>
          <t>İBRAHİM GÜLLÜK</t>
        </is>
      </c>
      <c r="F3423" s="23" t="n"/>
      <c r="G3423" s="138" t="n"/>
      <c r="H3423" s="138" t="n">
        <v>605</v>
      </c>
      <c r="I3423" s="138">
        <f>+I3422+(G3423-H3423)</f>
        <v/>
      </c>
      <c r="J3423" s="139" t="n">
        <v>46.27</v>
      </c>
      <c r="K3423" s="140" t="n"/>
      <c r="L3423" s="140">
        <f>+H3423*J3423</f>
        <v/>
      </c>
      <c r="M3423" s="141">
        <f>SUM(M3422+K3423-L3423)</f>
        <v/>
      </c>
    </row>
    <row r="3424">
      <c r="A3424" s="20" t="n">
        <v>45853</v>
      </c>
      <c r="B3424" s="21" t="n">
        <v>8886</v>
      </c>
      <c r="C3424" s="22" t="inlineStr">
        <is>
          <t>AHMET SELİM TEMHA</t>
        </is>
      </c>
      <c r="D3424" s="21" t="inlineStr">
        <is>
          <t>34 DGE 422</t>
        </is>
      </c>
      <c r="E3424" s="21" t="inlineStr">
        <is>
          <t xml:space="preserve">ERSOY SIĞINMAZ </t>
        </is>
      </c>
      <c r="F3424" s="23" t="n"/>
      <c r="G3424" s="138" t="n"/>
      <c r="H3424" s="138" t="n">
        <v>95</v>
      </c>
      <c r="I3424" s="138">
        <f>+I3423+(G3424-H3424)</f>
        <v/>
      </c>
      <c r="J3424" s="139" t="n">
        <v>46.27</v>
      </c>
      <c r="K3424" s="140" t="n"/>
      <c r="L3424" s="140">
        <f>+H3424*J3424</f>
        <v/>
      </c>
      <c r="M3424" s="141">
        <f>SUM(M3423+K3424-L3424)</f>
        <v/>
      </c>
    </row>
    <row r="3425">
      <c r="A3425" s="20" t="n">
        <v>45853</v>
      </c>
      <c r="B3425" s="1" t="n">
        <v>8887</v>
      </c>
      <c r="C3425" s="2" t="inlineStr">
        <is>
          <t>SELİM İNŞAAT</t>
        </is>
      </c>
      <c r="D3425" s="1" t="inlineStr">
        <is>
          <t>34 FVU 827</t>
        </is>
      </c>
      <c r="E3425" s="1" t="inlineStr">
        <is>
          <t>YILMAZ ÇELEBİ</t>
        </is>
      </c>
      <c r="F3425" s="3" t="n"/>
      <c r="G3425" s="143" t="n"/>
      <c r="H3425" s="143" t="n">
        <v>45</v>
      </c>
      <c r="I3425" s="143">
        <f>+I3424+(G3425-H3425)</f>
        <v/>
      </c>
      <c r="J3425" s="144" t="n">
        <v>46.27</v>
      </c>
      <c r="K3425" s="145" t="n"/>
      <c r="L3425" s="140">
        <f>+H3425*J3425</f>
        <v/>
      </c>
      <c r="M3425" s="141">
        <f>SUM(M3424+K3425-L3425)</f>
        <v/>
      </c>
    </row>
    <row r="3426">
      <c r="A3426" s="20" t="n">
        <v>45853</v>
      </c>
      <c r="B3426" s="1" t="n">
        <v>958</v>
      </c>
      <c r="C3426" s="2" t="inlineStr">
        <is>
          <t>SELİM İNŞAAT</t>
        </is>
      </c>
      <c r="D3426" s="1" t="inlineStr">
        <is>
          <t>34 FBR 742</t>
        </is>
      </c>
      <c r="E3426" s="1" t="inlineStr">
        <is>
          <t>MİKAİL BAYILMAZ</t>
        </is>
      </c>
      <c r="F3426" s="3" t="n">
        <v>324674</v>
      </c>
      <c r="G3426" s="143" t="n"/>
      <c r="H3426" s="143" t="n">
        <v>420</v>
      </c>
      <c r="I3426" s="143">
        <f>+I3425+(G3426-H3426)</f>
        <v/>
      </c>
      <c r="J3426" s="144" t="n">
        <v>46.27</v>
      </c>
      <c r="K3426" s="145" t="n"/>
      <c r="L3426" s="140">
        <f>+H3426*J3426</f>
        <v/>
      </c>
      <c r="M3426" s="141">
        <f>SUM(M3425+K3426-L3426)</f>
        <v/>
      </c>
    </row>
    <row r="3427">
      <c r="A3427" s="20" t="n">
        <v>45853</v>
      </c>
      <c r="B3427" s="1" t="n">
        <v>14100</v>
      </c>
      <c r="C3427" s="2" t="inlineStr">
        <is>
          <t>SELİM İNŞAAT</t>
        </is>
      </c>
      <c r="D3427" s="1" t="inlineStr">
        <is>
          <t>34 EDB 659</t>
        </is>
      </c>
      <c r="E3427" s="1" t="inlineStr">
        <is>
          <t>MEHMET SAİT ANIK</t>
        </is>
      </c>
      <c r="F3427" s="3" t="n">
        <v>347680</v>
      </c>
      <c r="G3427" s="143" t="n"/>
      <c r="H3427" s="143" t="n">
        <v>220</v>
      </c>
      <c r="I3427" s="143">
        <f>+I3426+(G3427-H3427)</f>
        <v/>
      </c>
      <c r="J3427" s="144" t="n">
        <v>46.27</v>
      </c>
      <c r="K3427" s="145" t="n"/>
      <c r="L3427" s="140">
        <f>+H3427*J3427</f>
        <v/>
      </c>
      <c r="M3427" s="141">
        <f>SUM(M3426+K3427-L3427)</f>
        <v/>
      </c>
    </row>
    <row r="3428">
      <c r="A3428" s="20" t="n">
        <v>45853</v>
      </c>
      <c r="B3428" s="1" t="n">
        <v>14771</v>
      </c>
      <c r="C3428" s="2" t="inlineStr">
        <is>
          <t>SELİM İNŞAAT</t>
        </is>
      </c>
      <c r="D3428" s="1" t="inlineStr">
        <is>
          <t>34 GYZ 635</t>
        </is>
      </c>
      <c r="E3428" s="1" t="inlineStr">
        <is>
          <t>ENGİN DEMİR</t>
        </is>
      </c>
      <c r="F3428" s="3" t="n">
        <v>180245</v>
      </c>
      <c r="G3428" s="143" t="n"/>
      <c r="H3428" s="143" t="n">
        <v>470</v>
      </c>
      <c r="I3428" s="143">
        <f>+I3427+(G3428-H3428)</f>
        <v/>
      </c>
      <c r="J3428" s="144" t="n">
        <v>46.27</v>
      </c>
      <c r="K3428" s="145" t="n"/>
      <c r="L3428" s="140">
        <f>+H3428*J3428</f>
        <v/>
      </c>
      <c r="M3428" s="141">
        <f>SUM(M3427+K3428-L3428)</f>
        <v/>
      </c>
    </row>
    <row r="3429">
      <c r="A3429" s="20" t="n">
        <v>45853</v>
      </c>
      <c r="B3429" s="1" t="n">
        <v>562</v>
      </c>
      <c r="C3429" s="2" t="inlineStr">
        <is>
          <t>SELİM İNŞAAT</t>
        </is>
      </c>
      <c r="D3429" s="1" t="inlineStr">
        <is>
          <t>34 EDB 922</t>
        </is>
      </c>
      <c r="E3429" s="1" t="inlineStr">
        <is>
          <t>AHMET TOPÇU</t>
        </is>
      </c>
      <c r="F3429" s="3" t="n">
        <v>370469</v>
      </c>
      <c r="G3429" s="143" t="n"/>
      <c r="H3429" s="143" t="n">
        <v>430</v>
      </c>
      <c r="I3429" s="143">
        <f>+I3428+(G3429-H3429)</f>
        <v/>
      </c>
      <c r="J3429" s="144" t="n">
        <v>46.27</v>
      </c>
      <c r="K3429" s="145" t="n"/>
      <c r="L3429" s="140">
        <f>+H3429*J3429</f>
        <v/>
      </c>
      <c r="M3429" s="141">
        <f>SUM(M3428+K3429-L3429)</f>
        <v/>
      </c>
    </row>
    <row r="3430">
      <c r="A3430" s="20" t="n">
        <v>45853</v>
      </c>
      <c r="B3430" s="1" t="n">
        <v>14832</v>
      </c>
      <c r="C3430" s="2" t="inlineStr">
        <is>
          <t>SELİM İNŞAAT</t>
        </is>
      </c>
      <c r="D3430" s="1" t="inlineStr">
        <is>
          <t>34 GVZ 268</t>
        </is>
      </c>
      <c r="E3430" s="1" t="inlineStr">
        <is>
          <t xml:space="preserve">KERİM KARAMAN </t>
        </is>
      </c>
      <c r="F3430" s="3" t="n">
        <v>198985</v>
      </c>
      <c r="G3430" s="143" t="n"/>
      <c r="H3430" s="143" t="n">
        <v>465</v>
      </c>
      <c r="I3430" s="143">
        <f>+I3429+(G3430-H3430)</f>
        <v/>
      </c>
      <c r="J3430" s="144" t="n">
        <v>46.27</v>
      </c>
      <c r="K3430" s="145" t="n"/>
      <c r="L3430" s="140">
        <f>+H3430*J3430</f>
        <v/>
      </c>
      <c r="M3430" s="141">
        <f>SUM(M3429+K3430-L3430)</f>
        <v/>
      </c>
    </row>
    <row r="3431">
      <c r="A3431" s="20" t="n">
        <v>45853</v>
      </c>
      <c r="B3431" s="1" t="n">
        <v>14443</v>
      </c>
      <c r="C3431" s="2" t="inlineStr">
        <is>
          <t>SELİM İNŞAAT</t>
        </is>
      </c>
      <c r="D3431" s="1" t="inlineStr">
        <is>
          <t>34 EGR 737</t>
        </is>
      </c>
      <c r="E3431" s="1" t="inlineStr">
        <is>
          <t>CEM MUHTAR</t>
        </is>
      </c>
      <c r="F3431" s="3" t="n">
        <v>421465</v>
      </c>
      <c r="G3431" s="143" t="n"/>
      <c r="H3431" s="143" t="n">
        <v>273</v>
      </c>
      <c r="I3431" s="143">
        <f>+I3430+(G3431-H3431)</f>
        <v/>
      </c>
      <c r="J3431" s="144" t="n">
        <v>46.27</v>
      </c>
      <c r="K3431" s="145" t="n"/>
      <c r="L3431" s="140">
        <f>+H3431*J3431</f>
        <v/>
      </c>
      <c r="M3431" s="141">
        <f>SUM(M3430+K3431-L3431)</f>
        <v/>
      </c>
    </row>
    <row r="3432">
      <c r="A3432" s="20" t="n">
        <v>45853</v>
      </c>
      <c r="B3432" s="1" t="n">
        <v>15216</v>
      </c>
      <c r="C3432" s="2" t="inlineStr">
        <is>
          <t>SELİM İNŞAAT</t>
        </is>
      </c>
      <c r="D3432" s="1" t="inlineStr">
        <is>
          <t>34 DSN 565</t>
        </is>
      </c>
      <c r="E3432" s="1" t="inlineStr">
        <is>
          <t>ADNAN KOÇ</t>
        </is>
      </c>
      <c r="F3432" s="3" t="n">
        <v>405962</v>
      </c>
      <c r="G3432" s="143" t="n"/>
      <c r="H3432" s="143" t="n">
        <v>233</v>
      </c>
      <c r="I3432" s="143">
        <f>+I3431+(G3432-H3432)</f>
        <v/>
      </c>
      <c r="J3432" s="144" t="n">
        <v>46.27</v>
      </c>
      <c r="K3432" s="145" t="n"/>
      <c r="L3432" s="140">
        <f>+H3432*J3432</f>
        <v/>
      </c>
      <c r="M3432" s="141">
        <f>SUM(M3431+K3432-L3432)</f>
        <v/>
      </c>
    </row>
    <row r="3433">
      <c r="A3433" s="20" t="n">
        <v>45853</v>
      </c>
      <c r="B3433" s="1" t="n">
        <v>15325</v>
      </c>
      <c r="C3433" s="2" t="inlineStr">
        <is>
          <t>SELİM İNŞAAT</t>
        </is>
      </c>
      <c r="D3433" s="1" t="inlineStr">
        <is>
          <t>34 EDC 162</t>
        </is>
      </c>
      <c r="E3433" s="1" t="inlineStr">
        <is>
          <t xml:space="preserve">YAKUP GÜNER </t>
        </is>
      </c>
      <c r="F3433" s="3" t="n">
        <v>377668</v>
      </c>
      <c r="G3433" s="143" t="n"/>
      <c r="H3433" s="143" t="n">
        <v>244</v>
      </c>
      <c r="I3433" s="143">
        <f>+I3432+(G3433-H3433)</f>
        <v/>
      </c>
      <c r="J3433" s="144" t="n">
        <v>46.27</v>
      </c>
      <c r="K3433" s="145" t="n"/>
      <c r="L3433" s="140">
        <f>+H3433*J3433</f>
        <v/>
      </c>
      <c r="M3433" s="141">
        <f>SUM(M3432+K3433-L3433)</f>
        <v/>
      </c>
    </row>
    <row r="3434">
      <c r="A3434" s="20" t="n">
        <v>45853</v>
      </c>
      <c r="B3434" s="1" t="n">
        <v>14146</v>
      </c>
      <c r="C3434" s="2" t="inlineStr">
        <is>
          <t>SELİM İNŞAAT</t>
        </is>
      </c>
      <c r="D3434" s="1" t="inlineStr">
        <is>
          <t>34 DSN 536</t>
        </is>
      </c>
      <c r="E3434" s="1" t="inlineStr">
        <is>
          <t>DURSUN ALİ GÜREK</t>
        </is>
      </c>
      <c r="F3434" s="3" t="n">
        <v>412174</v>
      </c>
      <c r="G3434" s="143" t="n"/>
      <c r="H3434" s="143" t="n">
        <v>395</v>
      </c>
      <c r="I3434" s="143">
        <f>+I3433+(G3434-H3434)</f>
        <v/>
      </c>
      <c r="J3434" s="144" t="n">
        <v>46.27</v>
      </c>
      <c r="K3434" s="145" t="n"/>
      <c r="L3434" s="140">
        <f>+H3434*J3434</f>
        <v/>
      </c>
      <c r="M3434" s="141">
        <f>SUM(M3433+K3434-L3434)</f>
        <v/>
      </c>
    </row>
    <row r="3435">
      <c r="A3435" s="20" t="n">
        <v>45853</v>
      </c>
      <c r="B3435" s="1" t="n">
        <v>14050</v>
      </c>
      <c r="C3435" s="2" t="inlineStr">
        <is>
          <t>SELİM İNŞAAT</t>
        </is>
      </c>
      <c r="D3435" s="1" t="inlineStr">
        <is>
          <t>34 GVZ 310</t>
        </is>
      </c>
      <c r="E3435" s="1" t="inlineStr">
        <is>
          <t>CELAL YÜZBAŞI</t>
        </is>
      </c>
      <c r="F3435" s="3" t="n">
        <v>205152</v>
      </c>
      <c r="G3435" s="143" t="n"/>
      <c r="H3435" s="143" t="n">
        <v>429</v>
      </c>
      <c r="I3435" s="143">
        <f>+I3434+(G3435-H3435)</f>
        <v/>
      </c>
      <c r="J3435" s="144" t="n">
        <v>46.27</v>
      </c>
      <c r="K3435" s="145" t="n"/>
      <c r="L3435" s="140">
        <f>+H3435*J3435</f>
        <v/>
      </c>
      <c r="M3435" s="141">
        <f>SUM(M3434+K3435-L3435)</f>
        <v/>
      </c>
    </row>
    <row r="3436">
      <c r="A3436" s="20" t="n">
        <v>45853</v>
      </c>
      <c r="B3436" s="1" t="n">
        <v>14249</v>
      </c>
      <c r="C3436" s="2" t="inlineStr">
        <is>
          <t>SELİM İNŞAAT</t>
        </is>
      </c>
      <c r="D3436" s="1" t="inlineStr">
        <is>
          <t xml:space="preserve">34 GUS 938 </t>
        </is>
      </c>
      <c r="E3436" s="1" t="inlineStr">
        <is>
          <t>MEHMET KAYA</t>
        </is>
      </c>
      <c r="F3436" s="3" t="n">
        <v>194927</v>
      </c>
      <c r="G3436" s="143" t="n"/>
      <c r="H3436" s="143" t="n">
        <v>278</v>
      </c>
      <c r="I3436" s="143">
        <f>+I3435+(G3436-H3436)</f>
        <v/>
      </c>
      <c r="J3436" s="144" t="n">
        <v>46.27</v>
      </c>
      <c r="K3436" s="145" t="n"/>
      <c r="L3436" s="140">
        <f>+H3436*J3436</f>
        <v/>
      </c>
      <c r="M3436" s="141">
        <f>SUM(M3435+K3436-L3436)</f>
        <v/>
      </c>
    </row>
    <row r="3437">
      <c r="A3437" s="20" t="n">
        <v>45853</v>
      </c>
      <c r="B3437" s="1" t="n">
        <v>16746</v>
      </c>
      <c r="C3437" s="2" t="inlineStr">
        <is>
          <t>SELİM İNŞAAT</t>
        </is>
      </c>
      <c r="D3437" s="1" t="inlineStr">
        <is>
          <t>34 JBA 25</t>
        </is>
      </c>
      <c r="E3437" s="1" t="inlineStr">
        <is>
          <t>ABDURAHMAN SERDAN</t>
        </is>
      </c>
      <c r="F3437" s="3" t="n">
        <v>336835</v>
      </c>
      <c r="G3437" s="143" t="n"/>
      <c r="H3437" s="143" t="n">
        <v>70</v>
      </c>
      <c r="I3437" s="143">
        <f>+I3436+(G3437-H3437)</f>
        <v/>
      </c>
      <c r="J3437" s="144" t="n">
        <v>46.27</v>
      </c>
      <c r="K3437" s="145" t="n"/>
      <c r="L3437" s="140">
        <f>+H3437*J3437</f>
        <v/>
      </c>
      <c r="M3437" s="141">
        <f>SUM(M3436+K3437-L3437)</f>
        <v/>
      </c>
    </row>
    <row r="3438">
      <c r="A3438" s="20" t="n">
        <v>45853</v>
      </c>
      <c r="B3438" s="1" t="n">
        <v>14651</v>
      </c>
      <c r="C3438" s="2" t="inlineStr">
        <is>
          <t>SELİM İNŞAAT</t>
        </is>
      </c>
      <c r="D3438" s="1" t="inlineStr">
        <is>
          <t>34 GER 445</t>
        </is>
      </c>
      <c r="E3438" s="1" t="inlineStr">
        <is>
          <t>HASAN BAYCAN</t>
        </is>
      </c>
      <c r="F3438" s="3" t="n">
        <v>45629</v>
      </c>
      <c r="G3438" s="143" t="n"/>
      <c r="H3438" s="143" t="n">
        <v>212</v>
      </c>
      <c r="I3438" s="143">
        <f>+I3437+(G3438-H3438)</f>
        <v/>
      </c>
      <c r="J3438" s="144" t="n">
        <v>46.27</v>
      </c>
      <c r="K3438" s="145" t="n"/>
      <c r="L3438" s="140">
        <f>+H3438*J3438</f>
        <v/>
      </c>
      <c r="M3438" s="141">
        <f>SUM(M3437+K3438-L3438)</f>
        <v/>
      </c>
    </row>
    <row r="3439">
      <c r="A3439" s="20" t="n">
        <v>45853</v>
      </c>
      <c r="B3439" s="1" t="n">
        <v>455</v>
      </c>
      <c r="C3439" s="2" t="inlineStr">
        <is>
          <t>SELİM İNŞAAT</t>
        </is>
      </c>
      <c r="D3439" s="1" t="inlineStr">
        <is>
          <t>34 DKL 866</t>
        </is>
      </c>
      <c r="E3439" s="1" t="inlineStr">
        <is>
          <t>SELİM CAN ÖNVER</t>
        </is>
      </c>
      <c r="F3439" s="3" t="n">
        <v>68778</v>
      </c>
      <c r="G3439" s="143" t="n"/>
      <c r="H3439" s="143" t="n">
        <v>136</v>
      </c>
      <c r="I3439" s="143">
        <f>+I3438+(G3439-H3439)</f>
        <v/>
      </c>
      <c r="J3439" s="144" t="n">
        <v>46.27</v>
      </c>
      <c r="K3439" s="145" t="n"/>
      <c r="L3439" s="140">
        <f>+H3439*J3439</f>
        <v/>
      </c>
      <c r="M3439" s="141">
        <f>SUM(M3438+K3439-L3439)</f>
        <v/>
      </c>
    </row>
    <row r="3440">
      <c r="A3440" s="20" t="n">
        <v>45854</v>
      </c>
      <c r="B3440" s="1" t="n">
        <v>912</v>
      </c>
      <c r="C3440" s="2" t="inlineStr">
        <is>
          <t>VARLIK</t>
        </is>
      </c>
      <c r="D3440" s="1" t="inlineStr">
        <is>
          <t xml:space="preserve">SM 350 </t>
        </is>
      </c>
      <c r="E3440" s="1" t="inlineStr">
        <is>
          <t>BAYRAM SANCAK</t>
        </is>
      </c>
      <c r="F3440" s="3" t="n"/>
      <c r="G3440" s="143" t="n"/>
      <c r="H3440" s="143" t="n">
        <v>310</v>
      </c>
      <c r="I3440" s="143">
        <f>+I3439+(G3440-H3440)</f>
        <v/>
      </c>
      <c r="J3440" s="144" t="n">
        <v>46.27</v>
      </c>
      <c r="K3440" s="145" t="n"/>
      <c r="L3440" s="140">
        <f>+H3440*J3440</f>
        <v/>
      </c>
      <c r="M3440" s="141">
        <f>SUM(M3439+K3440-L3440)</f>
        <v/>
      </c>
    </row>
    <row r="3441">
      <c r="A3441" s="20" t="n">
        <v>45854</v>
      </c>
      <c r="B3441" s="1" t="n">
        <v>913</v>
      </c>
      <c r="C3441" s="2" t="inlineStr">
        <is>
          <t>HASALTUN</t>
        </is>
      </c>
      <c r="D3441" s="1" t="inlineStr">
        <is>
          <t>KAVAZAKİ</t>
        </is>
      </c>
      <c r="E3441" s="1" t="inlineStr">
        <is>
          <t>RAMAZAN KAYA</t>
        </is>
      </c>
      <c r="F3441" s="3" t="n"/>
      <c r="G3441" s="143" t="n"/>
      <c r="H3441" s="143" t="n">
        <v>343</v>
      </c>
      <c r="I3441" s="143">
        <f>+I3440+(G3441-H3441)</f>
        <v/>
      </c>
      <c r="J3441" s="144" t="n">
        <v>46.27</v>
      </c>
      <c r="K3441" s="145" t="n"/>
      <c r="L3441" s="140">
        <f>+H3441*J3441</f>
        <v/>
      </c>
      <c r="M3441" s="141">
        <f>SUM(M3440+K3441-L3441)</f>
        <v/>
      </c>
    </row>
    <row r="3442">
      <c r="A3442" s="20" t="n">
        <v>45854</v>
      </c>
      <c r="B3442" s="1" t="n">
        <v>914</v>
      </c>
      <c r="C3442" s="2" t="inlineStr">
        <is>
          <t>MEGA VALIK</t>
        </is>
      </c>
      <c r="D3442" s="1" t="inlineStr">
        <is>
          <t>SM 300</t>
        </is>
      </c>
      <c r="E3442" s="1" t="inlineStr">
        <is>
          <t>TURGUT SANCAK</t>
        </is>
      </c>
      <c r="F3442" s="3" t="n"/>
      <c r="G3442" s="143" t="n"/>
      <c r="H3442" s="143" t="n">
        <v>325</v>
      </c>
      <c r="I3442" s="143">
        <f>+I3441+(G3442-H3442)</f>
        <v/>
      </c>
      <c r="J3442" s="144" t="n">
        <v>46.27</v>
      </c>
      <c r="K3442" s="145" t="n"/>
      <c r="L3442" s="140">
        <f>+H3442*J3442</f>
        <v/>
      </c>
      <c r="M3442" s="141">
        <f>SUM(M3441+K3442-L3442)</f>
        <v/>
      </c>
    </row>
    <row r="3443">
      <c r="A3443" s="20" t="n">
        <v>45854</v>
      </c>
      <c r="B3443" s="1" t="n">
        <v>915</v>
      </c>
      <c r="C3443" s="2" t="inlineStr">
        <is>
          <t>MEGA VALIK</t>
        </is>
      </c>
      <c r="D3443" s="1" t="inlineStr">
        <is>
          <t>SM 370</t>
        </is>
      </c>
      <c r="E3443" s="1" t="inlineStr">
        <is>
          <t>TEKİN ŞEYLAN</t>
        </is>
      </c>
      <c r="F3443" s="3" t="n"/>
      <c r="G3443" s="143" t="n"/>
      <c r="H3443" s="143" t="n">
        <v>382</v>
      </c>
      <c r="I3443" s="143">
        <f>+I3442+(G3443-H3443)</f>
        <v/>
      </c>
      <c r="J3443" s="144" t="n">
        <v>46.27</v>
      </c>
      <c r="K3443" s="145" t="n"/>
      <c r="L3443" s="140">
        <f>+H3443*J3443</f>
        <v/>
      </c>
      <c r="M3443" s="141">
        <f>SUM(M3442+K3443-L3443)</f>
        <v/>
      </c>
    </row>
    <row r="3444">
      <c r="A3444" s="20" t="n">
        <v>45854</v>
      </c>
      <c r="B3444" s="21" t="n">
        <v>706</v>
      </c>
      <c r="C3444" s="22" t="inlineStr">
        <is>
          <t>METİN ERYİĞİT</t>
        </is>
      </c>
      <c r="D3444" s="21" t="inlineStr">
        <is>
          <t>34 GBL 998</t>
        </is>
      </c>
      <c r="E3444" s="21" t="inlineStr">
        <is>
          <t>ALİ KESKİN</t>
        </is>
      </c>
      <c r="F3444" s="23" t="n">
        <v>277829</v>
      </c>
      <c r="G3444" s="138" t="n"/>
      <c r="H3444" s="138" t="n">
        <v>330</v>
      </c>
      <c r="I3444" s="138">
        <f>+I3443+(G3444-H3444)</f>
        <v/>
      </c>
      <c r="J3444" s="139" t="n">
        <v>46.27</v>
      </c>
      <c r="K3444" s="140" t="n"/>
      <c r="L3444" s="140">
        <f>+H3444*J3444</f>
        <v/>
      </c>
      <c r="M3444" s="141">
        <f>SUM(M3443+K3444-L3444)</f>
        <v/>
      </c>
    </row>
    <row r="3445">
      <c r="A3445" s="20" t="n">
        <v>45854</v>
      </c>
      <c r="B3445" s="21" t="n">
        <v>15677</v>
      </c>
      <c r="C3445" s="22" t="inlineStr">
        <is>
          <t>METİN ERYİĞİT</t>
        </is>
      </c>
      <c r="D3445" s="21" t="inlineStr">
        <is>
          <t>34 EGR 814</t>
        </is>
      </c>
      <c r="E3445" s="21" t="inlineStr">
        <is>
          <t>GÜRAY KOYUNCU</t>
        </is>
      </c>
      <c r="F3445" s="23" t="n">
        <v>551214</v>
      </c>
      <c r="G3445" s="138" t="n"/>
      <c r="H3445" s="138" t="n">
        <v>435</v>
      </c>
      <c r="I3445" s="138">
        <f>+I3444+(G3445-H3445)</f>
        <v/>
      </c>
      <c r="J3445" s="139" t="n">
        <v>46.27</v>
      </c>
      <c r="K3445" s="140" t="n"/>
      <c r="L3445" s="140">
        <f>+H3445*J3445</f>
        <v/>
      </c>
      <c r="M3445" s="141">
        <f>SUM(M3444+K3445-L3445)</f>
        <v/>
      </c>
    </row>
    <row r="3446">
      <c r="A3446" s="20" t="n">
        <v>45854</v>
      </c>
      <c r="B3446" s="1" t="n">
        <v>760</v>
      </c>
      <c r="C3446" s="2" t="inlineStr">
        <is>
          <t>SELİM İNŞAAT</t>
        </is>
      </c>
      <c r="D3446" s="1" t="inlineStr">
        <is>
          <t>34 EDB 559</t>
        </is>
      </c>
      <c r="E3446" s="1" t="inlineStr">
        <is>
          <t>ADNAN KOÇ</t>
        </is>
      </c>
      <c r="F3446" s="3" t="n">
        <v>330994</v>
      </c>
      <c r="G3446" s="143" t="n"/>
      <c r="H3446" s="143" t="n">
        <v>370</v>
      </c>
      <c r="I3446" s="143">
        <f>+I3445+(G3446-H3446)</f>
        <v/>
      </c>
      <c r="J3446" s="144" t="n">
        <v>46.27</v>
      </c>
      <c r="K3446" s="145" t="n"/>
      <c r="L3446" s="140">
        <f>+H3446*J3446</f>
        <v/>
      </c>
      <c r="M3446" s="141">
        <f>SUM(M3445+K3446-L3446)</f>
        <v/>
      </c>
    </row>
    <row r="3447">
      <c r="A3447" s="20" t="n">
        <v>45854</v>
      </c>
      <c r="B3447" s="1" t="n">
        <v>11238</v>
      </c>
      <c r="C3447" s="2" t="inlineStr">
        <is>
          <t>SELİM İNŞAAT</t>
        </is>
      </c>
      <c r="D3447" s="1" t="inlineStr">
        <is>
          <t>34 DSN 636</t>
        </is>
      </c>
      <c r="E3447" s="1" t="inlineStr">
        <is>
          <t>İLHAN YÜRÜK</t>
        </is>
      </c>
      <c r="F3447" s="3" t="n">
        <v>398351</v>
      </c>
      <c r="G3447" s="143" t="n"/>
      <c r="H3447" s="143" t="n">
        <v>422</v>
      </c>
      <c r="I3447" s="143">
        <f>+I3446+(G3447-H3447)</f>
        <v/>
      </c>
      <c r="J3447" s="144" t="n">
        <v>46.27</v>
      </c>
      <c r="K3447" s="145" t="n"/>
      <c r="L3447" s="140">
        <f>+H3447*J3447</f>
        <v/>
      </c>
      <c r="M3447" s="141">
        <f>SUM(M3446+K3447-L3447)</f>
        <v/>
      </c>
    </row>
    <row r="3448">
      <c r="A3448" s="20" t="n">
        <v>45854</v>
      </c>
      <c r="B3448" s="1" t="n">
        <v>315</v>
      </c>
      <c r="C3448" s="2" t="inlineStr">
        <is>
          <t>SELİM İNŞAAT</t>
        </is>
      </c>
      <c r="D3448" s="1" t="inlineStr">
        <is>
          <t>34 EDB 829</t>
        </is>
      </c>
      <c r="E3448" s="1" t="inlineStr">
        <is>
          <t>İSMET BAYRAM</t>
        </is>
      </c>
      <c r="F3448" s="3" t="n">
        <v>326351</v>
      </c>
      <c r="G3448" s="143" t="n"/>
      <c r="H3448" s="143" t="n">
        <v>270</v>
      </c>
      <c r="I3448" s="143">
        <f>+I3447+(G3448-H3448)</f>
        <v/>
      </c>
      <c r="J3448" s="144" t="n">
        <v>46.27</v>
      </c>
      <c r="K3448" s="145" t="n"/>
      <c r="L3448" s="140">
        <f>+H3448*J3448</f>
        <v/>
      </c>
      <c r="M3448" s="141">
        <f>SUM(M3447+K3448-L3448)</f>
        <v/>
      </c>
    </row>
    <row r="3449">
      <c r="A3449" s="20" t="n">
        <v>45854</v>
      </c>
      <c r="B3449" s="1" t="n">
        <v>15264</v>
      </c>
      <c r="C3449" s="2" t="inlineStr">
        <is>
          <t>SELİM İNŞAAT</t>
        </is>
      </c>
      <c r="D3449" s="1" t="inlineStr">
        <is>
          <t>34 DTV 447</t>
        </is>
      </c>
      <c r="E3449" s="1" t="inlineStr">
        <is>
          <t>EBUBEKİR KOLDAŞ</t>
        </is>
      </c>
      <c r="F3449" s="3" t="n">
        <v>435121</v>
      </c>
      <c r="G3449" s="143" t="n"/>
      <c r="H3449" s="143" t="n">
        <v>422</v>
      </c>
      <c r="I3449" s="143">
        <f>+I3448+(G3449-H3449)</f>
        <v/>
      </c>
      <c r="J3449" s="144" t="n">
        <v>46.27</v>
      </c>
      <c r="K3449" s="145" t="n"/>
      <c r="L3449" s="140">
        <f>+H3449*J3449</f>
        <v/>
      </c>
      <c r="M3449" s="141">
        <f>SUM(M3448+K3449-L3449)</f>
        <v/>
      </c>
    </row>
    <row r="3450">
      <c r="A3450" s="20" t="n">
        <v>45854</v>
      </c>
      <c r="B3450" s="1" t="n">
        <v>15971</v>
      </c>
      <c r="C3450" s="2" t="inlineStr">
        <is>
          <t>SELİM İNŞAAT</t>
        </is>
      </c>
      <c r="D3450" s="1" t="inlineStr">
        <is>
          <t>34 FBR 781</t>
        </is>
      </c>
      <c r="E3450" s="1" t="inlineStr">
        <is>
          <t>MEVLÜT POLAT</t>
        </is>
      </c>
      <c r="F3450" s="3" t="n">
        <v>312499</v>
      </c>
      <c r="G3450" s="143" t="n"/>
      <c r="H3450" s="143" t="n">
        <v>420</v>
      </c>
      <c r="I3450" s="143">
        <f>+I3449+(G3450-H3450)</f>
        <v/>
      </c>
      <c r="J3450" s="144" t="n">
        <v>46.27</v>
      </c>
      <c r="K3450" s="145" t="n"/>
      <c r="L3450" s="140">
        <f>+H3450*J3450</f>
        <v/>
      </c>
      <c r="M3450" s="141">
        <f>SUM(M3449+K3450-L3450)</f>
        <v/>
      </c>
    </row>
    <row r="3451">
      <c r="A3451" s="20" t="n">
        <v>45854</v>
      </c>
      <c r="B3451" s="1" t="n">
        <v>11852</v>
      </c>
      <c r="C3451" s="2" t="inlineStr">
        <is>
          <t>SELİM İNŞAAT</t>
        </is>
      </c>
      <c r="D3451" s="1" t="inlineStr">
        <is>
          <t>34 FSG 229</t>
        </is>
      </c>
      <c r="E3451" s="1" t="inlineStr">
        <is>
          <t>SİNAN TANRIVERDİ</t>
        </is>
      </c>
      <c r="F3451" s="3" t="n">
        <v>264655</v>
      </c>
      <c r="G3451" s="143" t="n"/>
      <c r="H3451" s="143" t="n">
        <v>433</v>
      </c>
      <c r="I3451" s="143">
        <f>+I3450+(G3451-H3451)</f>
        <v/>
      </c>
      <c r="J3451" s="144" t="n">
        <v>46.27</v>
      </c>
      <c r="K3451" s="145" t="n"/>
      <c r="L3451" s="140">
        <f>+H3451*J3451</f>
        <v/>
      </c>
      <c r="M3451" s="141">
        <f>SUM(M3450+K3451-L3451)</f>
        <v/>
      </c>
    </row>
    <row r="3452">
      <c r="A3452" s="20" t="n">
        <v>45854</v>
      </c>
      <c r="B3452" s="1" t="n">
        <v>409</v>
      </c>
      <c r="C3452" s="2" t="inlineStr">
        <is>
          <t>SELİM İNŞAAT</t>
        </is>
      </c>
      <c r="D3452" s="1" t="inlineStr">
        <is>
          <t>34 DRU 690</t>
        </is>
      </c>
      <c r="E3452" s="1" t="inlineStr">
        <is>
          <t>MURAT DEMİRBAŞ</t>
        </is>
      </c>
      <c r="F3452" s="3" t="n">
        <v>424660</v>
      </c>
      <c r="G3452" s="143" t="n"/>
      <c r="H3452" s="143" t="n">
        <v>480</v>
      </c>
      <c r="I3452" s="143">
        <f>+I3451+(G3452-H3452)</f>
        <v/>
      </c>
      <c r="J3452" s="144" t="n">
        <v>46.27</v>
      </c>
      <c r="K3452" s="145" t="n"/>
      <c r="L3452" s="140">
        <f>+H3452*J3452</f>
        <v/>
      </c>
      <c r="M3452" s="141">
        <f>SUM(M3451+K3452-L3452)</f>
        <v/>
      </c>
    </row>
    <row r="3453">
      <c r="A3453" s="20" t="n">
        <v>45854</v>
      </c>
      <c r="B3453" s="1" t="n">
        <v>15217</v>
      </c>
      <c r="C3453" s="2" t="inlineStr">
        <is>
          <t>SELİM İNŞAAT</t>
        </is>
      </c>
      <c r="D3453" s="1" t="inlineStr">
        <is>
          <t>34 DSN 565</t>
        </is>
      </c>
      <c r="E3453" s="1" t="inlineStr">
        <is>
          <t>ADNAN KOÇ</t>
        </is>
      </c>
      <c r="F3453" s="3" t="n">
        <v>406659</v>
      </c>
      <c r="G3453" s="143" t="n"/>
      <c r="H3453" s="143" t="n">
        <v>277</v>
      </c>
      <c r="I3453" s="143">
        <f>+I3452+(G3453-H3453)</f>
        <v/>
      </c>
      <c r="J3453" s="144" t="n">
        <v>46.27</v>
      </c>
      <c r="K3453" s="145" t="n"/>
      <c r="L3453" s="140">
        <f>+H3453*J3453</f>
        <v/>
      </c>
      <c r="M3453" s="141">
        <f>SUM(M3452+K3453-L3453)</f>
        <v/>
      </c>
    </row>
    <row r="3454">
      <c r="A3454" s="20" t="n">
        <v>45854</v>
      </c>
      <c r="B3454" s="1" t="n">
        <v>15034</v>
      </c>
      <c r="C3454" s="2" t="inlineStr">
        <is>
          <t>SELİM İNŞAAT</t>
        </is>
      </c>
      <c r="D3454" s="1" t="inlineStr">
        <is>
          <t>34 GVZ 199</t>
        </is>
      </c>
      <c r="E3454" s="1" t="inlineStr">
        <is>
          <t>VAHDET GÜRLER</t>
        </is>
      </c>
      <c r="F3454" s="3" t="n">
        <v>188877</v>
      </c>
      <c r="G3454" s="143" t="n"/>
      <c r="H3454" s="143" t="n">
        <v>392</v>
      </c>
      <c r="I3454" s="143">
        <f>+I3453+(G3454-H3454)</f>
        <v/>
      </c>
      <c r="J3454" s="144" t="n">
        <v>46.27</v>
      </c>
      <c r="K3454" s="145" t="n"/>
      <c r="L3454" s="140">
        <f>+H3454*J3454</f>
        <v/>
      </c>
      <c r="M3454" s="141">
        <f>SUM(M3453+K3454-L3454)</f>
        <v/>
      </c>
    </row>
    <row r="3455">
      <c r="A3455" s="20" t="n">
        <v>45854</v>
      </c>
      <c r="B3455" s="1" t="n">
        <v>15120</v>
      </c>
      <c r="C3455" s="2" t="inlineStr">
        <is>
          <t>SELİM İNŞAAT</t>
        </is>
      </c>
      <c r="D3455" s="1" t="inlineStr">
        <is>
          <t>34 DTV 599</t>
        </is>
      </c>
      <c r="E3455" s="1" t="inlineStr">
        <is>
          <t>FERHAT GÜRLER</t>
        </is>
      </c>
      <c r="F3455" s="3" t="n">
        <v>438431</v>
      </c>
      <c r="G3455" s="143" t="n"/>
      <c r="H3455" s="143" t="n">
        <v>522</v>
      </c>
      <c r="I3455" s="143">
        <f>+I3454+(G3455-H3455)</f>
        <v/>
      </c>
      <c r="J3455" s="144" t="n">
        <v>46.27</v>
      </c>
      <c r="K3455" s="145" t="n"/>
      <c r="L3455" s="140">
        <f>+H3455*J3455</f>
        <v/>
      </c>
      <c r="M3455" s="141">
        <f>SUM(M3454+K3455-L3455)</f>
        <v/>
      </c>
    </row>
    <row r="3456">
      <c r="A3456" s="20" t="n">
        <v>45854</v>
      </c>
      <c r="B3456" s="1" t="n">
        <v>814</v>
      </c>
      <c r="C3456" s="2" t="inlineStr">
        <is>
          <t>SELİM İNŞAAT</t>
        </is>
      </c>
      <c r="D3456" s="1" t="inlineStr">
        <is>
          <t>34 FBR 705</t>
        </is>
      </c>
      <c r="E3456" s="1" t="inlineStr">
        <is>
          <t>MESUT GÜRLER</t>
        </is>
      </c>
      <c r="F3456" s="3" t="n">
        <v>324052</v>
      </c>
      <c r="G3456" s="143" t="n"/>
      <c r="H3456" s="143" t="n">
        <v>412</v>
      </c>
      <c r="I3456" s="143">
        <f>+I3455+(G3456-H3456)</f>
        <v/>
      </c>
      <c r="J3456" s="144" t="n">
        <v>46.27</v>
      </c>
      <c r="K3456" s="145" t="n"/>
      <c r="L3456" s="140">
        <f>+H3456*J3456</f>
        <v/>
      </c>
      <c r="M3456" s="141">
        <f>SUM(M3455+K3456-L3456)</f>
        <v/>
      </c>
    </row>
    <row r="3457">
      <c r="A3457" s="20" t="n">
        <v>45854</v>
      </c>
      <c r="B3457" s="1" t="n">
        <v>15326</v>
      </c>
      <c r="C3457" s="2" t="inlineStr">
        <is>
          <t>SELİM İNŞAAT</t>
        </is>
      </c>
      <c r="D3457" s="1" t="inlineStr">
        <is>
          <t>34 EDC 162</t>
        </is>
      </c>
      <c r="E3457" s="1" t="inlineStr">
        <is>
          <t xml:space="preserve">YAKUP GÜNER </t>
        </is>
      </c>
      <c r="F3457" s="3" t="n">
        <v>378528</v>
      </c>
      <c r="G3457" s="143" t="n"/>
      <c r="H3457" s="143" t="n">
        <v>433</v>
      </c>
      <c r="I3457" s="143">
        <f>+I3456+(G3457-H3457)</f>
        <v/>
      </c>
      <c r="J3457" s="144" t="n">
        <v>46.27</v>
      </c>
      <c r="K3457" s="145" t="n"/>
      <c r="L3457" s="140">
        <f>+H3457*J3457</f>
        <v/>
      </c>
      <c r="M3457" s="141">
        <f>SUM(M3456+K3457-L3457)</f>
        <v/>
      </c>
    </row>
    <row r="3458">
      <c r="A3458" s="20" t="n">
        <v>45854</v>
      </c>
      <c r="B3458" s="1" t="n">
        <v>15365</v>
      </c>
      <c r="C3458" s="2" t="inlineStr">
        <is>
          <t>SELİM İNŞAAT</t>
        </is>
      </c>
      <c r="D3458" s="1" t="inlineStr">
        <is>
          <t>34 DTV 409</t>
        </is>
      </c>
      <c r="E3458" s="1" t="inlineStr">
        <is>
          <t>ONUR CANLI</t>
        </is>
      </c>
      <c r="F3458" s="3" t="n">
        <v>424231</v>
      </c>
      <c r="G3458" s="143" t="n"/>
      <c r="H3458" s="143" t="n">
        <v>472</v>
      </c>
      <c r="I3458" s="143">
        <f>+I3457+(G3458-H3458)</f>
        <v/>
      </c>
      <c r="J3458" s="144" t="n">
        <v>46.27</v>
      </c>
      <c r="K3458" s="145" t="n"/>
      <c r="L3458" s="140">
        <f>+H3458*J3458</f>
        <v/>
      </c>
      <c r="M3458" s="141">
        <f>SUM(M3457+K3458-L3458)</f>
        <v/>
      </c>
    </row>
    <row r="3459">
      <c r="A3459" s="20" t="n">
        <v>45854</v>
      </c>
      <c r="B3459" s="1" t="n">
        <v>10250</v>
      </c>
      <c r="C3459" s="2" t="inlineStr">
        <is>
          <t>SELİM İNŞAAT</t>
        </is>
      </c>
      <c r="D3459" s="1" t="inlineStr">
        <is>
          <t>34 DSN 621</t>
        </is>
      </c>
      <c r="E3459" s="1" t="inlineStr">
        <is>
          <t>MUSTAFA KAYA</t>
        </is>
      </c>
      <c r="F3459" s="3" t="n">
        <v>418005</v>
      </c>
      <c r="G3459" s="143" t="n"/>
      <c r="H3459" s="143" t="n">
        <v>475</v>
      </c>
      <c r="I3459" s="143">
        <f>+I3458+(G3459-H3459)</f>
        <v/>
      </c>
      <c r="J3459" s="144" t="n">
        <v>46.27</v>
      </c>
      <c r="K3459" s="145" t="n"/>
      <c r="L3459" s="140">
        <f>+H3459*J3459</f>
        <v/>
      </c>
      <c r="M3459" s="141">
        <f>SUM(M3458+K3459-L3459)</f>
        <v/>
      </c>
    </row>
    <row r="3460">
      <c r="A3460" s="20" t="n">
        <v>45854</v>
      </c>
      <c r="B3460" s="1" t="n">
        <v>21637</v>
      </c>
      <c r="C3460" s="2" t="inlineStr">
        <is>
          <t>SELİM İNŞAAT</t>
        </is>
      </c>
      <c r="D3460" s="1" t="inlineStr">
        <is>
          <t>34 DHC 467</t>
        </is>
      </c>
      <c r="E3460" s="1" t="inlineStr">
        <is>
          <t>HÜSEYİN DENİZ</t>
        </is>
      </c>
      <c r="F3460" s="3" t="n">
        <v>410673</v>
      </c>
      <c r="G3460" s="143" t="n"/>
      <c r="H3460" s="143" t="n">
        <v>492</v>
      </c>
      <c r="I3460" s="143">
        <f>+I3459+(G3460-H3460)</f>
        <v/>
      </c>
      <c r="J3460" s="144" t="n">
        <v>46.27</v>
      </c>
      <c r="K3460" s="145" t="n"/>
      <c r="L3460" s="140">
        <f>+H3460*J3460</f>
        <v/>
      </c>
      <c r="M3460" s="141">
        <f>SUM(M3459+K3460-L3460)</f>
        <v/>
      </c>
    </row>
    <row r="3461">
      <c r="A3461" s="20" t="n">
        <v>45854</v>
      </c>
      <c r="B3461" s="1" t="n">
        <v>112</v>
      </c>
      <c r="C3461" s="2" t="inlineStr">
        <is>
          <t>SELİM İNŞAAT</t>
        </is>
      </c>
      <c r="D3461" s="1" t="inlineStr">
        <is>
          <t>34 FBR 771</t>
        </is>
      </c>
      <c r="E3461" s="1" t="inlineStr">
        <is>
          <t>HÜSEYİN AKÇİN</t>
        </is>
      </c>
      <c r="F3461" s="3" t="n">
        <v>326487</v>
      </c>
      <c r="G3461" s="143" t="n"/>
      <c r="H3461" s="143" t="n">
        <v>348</v>
      </c>
      <c r="I3461" s="143">
        <f>+I3460+(G3461-H3461)</f>
        <v/>
      </c>
      <c r="J3461" s="144" t="n">
        <v>46.27</v>
      </c>
      <c r="K3461" s="145" t="n"/>
      <c r="L3461" s="140">
        <f>+H3461*J3461</f>
        <v/>
      </c>
      <c r="M3461" s="141">
        <f>SUM(M3460+K3461-L3461)</f>
        <v/>
      </c>
    </row>
    <row r="3462">
      <c r="A3462" s="20" t="n">
        <v>45854</v>
      </c>
      <c r="B3462" s="1" t="n">
        <v>15527</v>
      </c>
      <c r="C3462" s="2" t="inlineStr">
        <is>
          <t>SELİM İNŞAAT</t>
        </is>
      </c>
      <c r="D3462" s="1" t="inlineStr">
        <is>
          <t>34 EDC 086</t>
        </is>
      </c>
      <c r="E3462" s="1" t="inlineStr">
        <is>
          <t>ÖMER AĞAYAR</t>
        </is>
      </c>
      <c r="F3462" s="3" t="n">
        <v>332876</v>
      </c>
      <c r="G3462" s="143" t="n"/>
      <c r="H3462" s="143" t="n">
        <v>374</v>
      </c>
      <c r="I3462" s="143">
        <f>+I3461+(G3462-H3462)</f>
        <v/>
      </c>
      <c r="J3462" s="144" t="n">
        <v>46.27</v>
      </c>
      <c r="K3462" s="145" t="n"/>
      <c r="L3462" s="140">
        <f>+H3462*J3462</f>
        <v/>
      </c>
      <c r="M3462" s="141">
        <f>SUM(M3461+K3462-L3462)</f>
        <v/>
      </c>
    </row>
    <row r="3463">
      <c r="A3463" s="20" t="n">
        <v>45854</v>
      </c>
      <c r="B3463" s="1" t="n">
        <v>15869</v>
      </c>
      <c r="C3463" s="2" t="inlineStr">
        <is>
          <t>SELİM İNŞAAT</t>
        </is>
      </c>
      <c r="D3463" s="1" t="inlineStr">
        <is>
          <t>34 EDB 754</t>
        </is>
      </c>
      <c r="E3463" s="1" t="inlineStr">
        <is>
          <t>EMİN PARLAKKILIÇ</t>
        </is>
      </c>
      <c r="F3463" s="3" t="n">
        <v>330054</v>
      </c>
      <c r="G3463" s="143" t="n"/>
      <c r="H3463" s="143" t="n">
        <v>440</v>
      </c>
      <c r="I3463" s="143">
        <f>+I3462+(G3463-H3463)</f>
        <v/>
      </c>
      <c r="J3463" s="144" t="n">
        <v>46.27</v>
      </c>
      <c r="K3463" s="145" t="n"/>
      <c r="L3463" s="140">
        <f>+H3463*J3463</f>
        <v/>
      </c>
      <c r="M3463" s="141">
        <f>SUM(M3462+K3463-L3463)</f>
        <v/>
      </c>
    </row>
    <row r="3464">
      <c r="A3464" s="20" t="n">
        <v>45854</v>
      </c>
      <c r="B3464" s="1" t="n">
        <v>15065</v>
      </c>
      <c r="C3464" s="2" t="inlineStr">
        <is>
          <t>SELİM İNŞAAT</t>
        </is>
      </c>
      <c r="D3464" s="1" t="inlineStr">
        <is>
          <t>34 EGR 736</t>
        </is>
      </c>
      <c r="E3464" s="1" t="inlineStr">
        <is>
          <t>HAKAN ÇAVUŞOĞLU</t>
        </is>
      </c>
      <c r="F3464" s="3" t="n">
        <v>397024</v>
      </c>
      <c r="G3464" s="143" t="n"/>
      <c r="H3464" s="143" t="n">
        <v>462</v>
      </c>
      <c r="I3464" s="143">
        <f>+I3463+(G3464-H3464)</f>
        <v/>
      </c>
      <c r="J3464" s="144" t="n">
        <v>46.27</v>
      </c>
      <c r="K3464" s="145" t="n"/>
      <c r="L3464" s="140">
        <f>+H3464*J3464</f>
        <v/>
      </c>
      <c r="M3464" s="141">
        <f>SUM(M3463+K3464-L3464)</f>
        <v/>
      </c>
    </row>
    <row r="3465">
      <c r="A3465" s="20" t="n">
        <v>45854</v>
      </c>
      <c r="B3465" s="1" t="n">
        <v>14250</v>
      </c>
      <c r="C3465" s="2" t="inlineStr">
        <is>
          <t>SELİM İNŞAAT</t>
        </is>
      </c>
      <c r="D3465" s="1" t="inlineStr">
        <is>
          <t xml:space="preserve">34 GUS 938 </t>
        </is>
      </c>
      <c r="E3465" s="1" t="inlineStr">
        <is>
          <t>MEHMET KAYA</t>
        </is>
      </c>
      <c r="F3465" s="3" t="n">
        <v>195573</v>
      </c>
      <c r="G3465" s="143" t="n"/>
      <c r="H3465" s="143" t="n">
        <v>348</v>
      </c>
      <c r="I3465" s="143">
        <f>+I3464+(G3465-H3465)</f>
        <v/>
      </c>
      <c r="J3465" s="144" t="n">
        <v>46.27</v>
      </c>
      <c r="K3465" s="145" t="n"/>
      <c r="L3465" s="140">
        <f>+H3465*J3465</f>
        <v/>
      </c>
      <c r="M3465" s="141">
        <f>SUM(M3464+K3465-L3465)</f>
        <v/>
      </c>
    </row>
    <row r="3466">
      <c r="A3466" s="20" t="n">
        <v>45854</v>
      </c>
      <c r="B3466" s="1" t="n">
        <v>10594</v>
      </c>
      <c r="C3466" s="2" t="inlineStr">
        <is>
          <t>SELİM İNŞAAT</t>
        </is>
      </c>
      <c r="D3466" s="1" t="inlineStr">
        <is>
          <t>34 GU 945</t>
        </is>
      </c>
      <c r="E3466" s="1" t="inlineStr">
        <is>
          <t>ŞERİF KARTAL</t>
        </is>
      </c>
      <c r="F3466" s="3" t="n">
        <v>451766</v>
      </c>
      <c r="G3466" s="143" t="n"/>
      <c r="H3466" s="143" t="n">
        <v>59</v>
      </c>
      <c r="I3466" s="143">
        <f>+I3465+(G3466-H3466)</f>
        <v/>
      </c>
      <c r="J3466" s="144" t="n">
        <v>46.27</v>
      </c>
      <c r="K3466" s="145" t="n"/>
      <c r="L3466" s="140">
        <f>+H3466*J3466</f>
        <v/>
      </c>
      <c r="M3466" s="141">
        <f>SUM(M3465+K3466-L3466)</f>
        <v/>
      </c>
    </row>
    <row r="3467">
      <c r="A3467" s="20" t="n">
        <v>45854</v>
      </c>
      <c r="B3467" s="1" t="n">
        <v>14395</v>
      </c>
      <c r="C3467" s="2" t="inlineStr">
        <is>
          <t>SELİM İNŞAAT</t>
        </is>
      </c>
      <c r="D3467" s="1" t="inlineStr">
        <is>
          <t>34 DKL 798</t>
        </is>
      </c>
      <c r="E3467" s="1" t="inlineStr">
        <is>
          <t>EMİRCAN ÖZTÜRK</t>
        </is>
      </c>
      <c r="F3467" s="3" t="n">
        <v>68423</v>
      </c>
      <c r="G3467" s="143" t="n"/>
      <c r="H3467" s="143" t="n">
        <v>247</v>
      </c>
      <c r="I3467" s="143">
        <f>+I3466+(G3467-H3467)</f>
        <v/>
      </c>
      <c r="J3467" s="144" t="n">
        <v>46.27</v>
      </c>
      <c r="K3467" s="145" t="n"/>
      <c r="L3467" s="140">
        <f>+H3467*J3467</f>
        <v/>
      </c>
      <c r="M3467" s="141">
        <f>SUM(M3466+K3467-L3467)</f>
        <v/>
      </c>
    </row>
    <row r="3468">
      <c r="A3468" s="20" t="n">
        <v>45854</v>
      </c>
      <c r="B3468" s="1" t="n">
        <v>21337</v>
      </c>
      <c r="C3468" s="2" t="inlineStr">
        <is>
          <t>SELİM İNŞAAT</t>
        </is>
      </c>
      <c r="D3468" s="1" t="inlineStr">
        <is>
          <t>34 FEM 934</t>
        </is>
      </c>
      <c r="E3468" s="1" t="inlineStr">
        <is>
          <t>MUSTAFA ALBAYRAK</t>
        </is>
      </c>
      <c r="F3468" s="3" t="n">
        <v>313261</v>
      </c>
      <c r="G3468" s="143" t="n"/>
      <c r="H3468" s="143" t="n">
        <v>62</v>
      </c>
      <c r="I3468" s="143">
        <f>+I3467+(G3468-H3468)</f>
        <v/>
      </c>
      <c r="J3468" s="144" t="n">
        <v>46.27</v>
      </c>
      <c r="K3468" s="145" t="n"/>
      <c r="L3468" s="140">
        <f>+H3468*J3468</f>
        <v/>
      </c>
      <c r="M3468" s="141">
        <f>SUM(M3467+K3468-L3468)</f>
        <v/>
      </c>
    </row>
    <row r="3469">
      <c r="A3469" s="20" t="n">
        <v>45854</v>
      </c>
      <c r="B3469" s="1" t="n">
        <v>15931</v>
      </c>
      <c r="C3469" s="2" t="inlineStr">
        <is>
          <t>SELİM İNŞAAT</t>
        </is>
      </c>
      <c r="D3469" s="1" t="inlineStr">
        <is>
          <t>34 DFE 454</t>
        </is>
      </c>
      <c r="E3469" s="1" t="inlineStr">
        <is>
          <t>METİN KALKAN</t>
        </is>
      </c>
      <c r="F3469" s="3" t="n">
        <v>162289</v>
      </c>
      <c r="G3469" s="143" t="n"/>
      <c r="H3469" s="143" t="n">
        <v>181</v>
      </c>
      <c r="I3469" s="143">
        <f>+I3468+(G3469-H3469)</f>
        <v/>
      </c>
      <c r="J3469" s="144" t="n">
        <v>46.27</v>
      </c>
      <c r="K3469" s="145" t="n"/>
      <c r="L3469" s="140">
        <f>+H3469*J3469</f>
        <v/>
      </c>
      <c r="M3469" s="141">
        <f>SUM(M3468+K3469-L3469)</f>
        <v/>
      </c>
    </row>
    <row r="3470">
      <c r="A3470" s="20" t="n">
        <v>45854</v>
      </c>
      <c r="B3470" s="1" t="n">
        <v>15173</v>
      </c>
      <c r="C3470" s="2" t="inlineStr">
        <is>
          <t>SELİM İNŞAAT</t>
        </is>
      </c>
      <c r="D3470" s="1" t="inlineStr">
        <is>
          <t>34 DP 4161</t>
        </is>
      </c>
      <c r="E3470" s="1" t="inlineStr">
        <is>
          <t>RIFAT KARATAY</t>
        </is>
      </c>
      <c r="F3470" s="3" t="n">
        <v>290501</v>
      </c>
      <c r="G3470" s="143" t="n"/>
      <c r="H3470" s="143" t="n">
        <v>215</v>
      </c>
      <c r="I3470" s="143">
        <f>+I3469+(G3470-H3470)</f>
        <v/>
      </c>
      <c r="J3470" s="144" t="n">
        <v>46.27</v>
      </c>
      <c r="K3470" s="145" t="n"/>
      <c r="L3470" s="140">
        <f>+H3470*J3470</f>
        <v/>
      </c>
      <c r="M3470" s="141">
        <f>SUM(M3469+K3470-L3470)</f>
        <v/>
      </c>
    </row>
    <row r="3471">
      <c r="A3471" s="20" t="n">
        <v>45855</v>
      </c>
      <c r="B3471" s="1" t="n">
        <v>916</v>
      </c>
      <c r="C3471" s="2" t="inlineStr">
        <is>
          <t>MEGA VALIK</t>
        </is>
      </c>
      <c r="D3471" s="1" t="inlineStr">
        <is>
          <t>SM 370</t>
        </is>
      </c>
      <c r="E3471" s="1" t="inlineStr">
        <is>
          <t>TEKİN ŞEYLAN</t>
        </is>
      </c>
      <c r="F3471" s="3" t="n"/>
      <c r="G3471" s="143" t="n"/>
      <c r="H3471" s="143" t="n">
        <v>450</v>
      </c>
      <c r="I3471" s="143">
        <f>+I3470+(G3471-H3471)</f>
        <v/>
      </c>
      <c r="J3471" s="144" t="n">
        <v>46.27</v>
      </c>
      <c r="K3471" s="145" t="n"/>
      <c r="L3471" s="140">
        <f>+H3471*J3471</f>
        <v/>
      </c>
      <c r="M3471" s="141">
        <f>SUM(M3470+K3471-L3471)</f>
        <v/>
      </c>
    </row>
    <row r="3472">
      <c r="A3472" s="20" t="n">
        <v>45855</v>
      </c>
      <c r="B3472" s="1" t="n">
        <v>919</v>
      </c>
      <c r="C3472" s="2" t="inlineStr">
        <is>
          <t>HASALTUN</t>
        </is>
      </c>
      <c r="D3472" s="1" t="inlineStr">
        <is>
          <t>GROVE VİNÇ</t>
        </is>
      </c>
      <c r="E3472" s="1" t="inlineStr">
        <is>
          <t>ALİHAN DUMAN</t>
        </is>
      </c>
      <c r="F3472" s="3" t="n"/>
      <c r="G3472" s="143" t="n"/>
      <c r="H3472" s="143" t="n">
        <v>210</v>
      </c>
      <c r="I3472" s="143">
        <f>+I3471+(G3472-H3472)</f>
        <v/>
      </c>
      <c r="J3472" s="144" t="n">
        <v>46.27</v>
      </c>
      <c r="K3472" s="145" t="n"/>
      <c r="L3472" s="140">
        <f>+H3472*J3472</f>
        <v/>
      </c>
      <c r="M3472" s="141">
        <f>SUM(M3471+K3472-L3472)</f>
        <v/>
      </c>
    </row>
    <row r="3473">
      <c r="A3473" s="20" t="n">
        <v>45855</v>
      </c>
      <c r="B3473" s="1" t="n">
        <v>920</v>
      </c>
      <c r="C3473" s="2" t="inlineStr">
        <is>
          <t>CEVİZ MOBİLYA</t>
        </is>
      </c>
      <c r="D3473" s="1" t="inlineStr">
        <is>
          <t>SM 350</t>
        </is>
      </c>
      <c r="E3473" s="1" t="inlineStr">
        <is>
          <t>TEVFİK ÖZTÜRK</t>
        </is>
      </c>
      <c r="F3473" s="3" t="n"/>
      <c r="G3473" s="143" t="n"/>
      <c r="H3473" s="143" t="n">
        <v>540</v>
      </c>
      <c r="I3473" s="143">
        <f>+I3472+(G3473-H3473)</f>
        <v/>
      </c>
      <c r="J3473" s="144" t="n">
        <v>46.27</v>
      </c>
      <c r="K3473" s="145" t="n"/>
      <c r="L3473" s="140">
        <f>+H3473*J3473</f>
        <v/>
      </c>
      <c r="M3473" s="141">
        <f>SUM(M3472+K3473-L3473)</f>
        <v/>
      </c>
    </row>
    <row r="3474">
      <c r="A3474" s="20" t="n">
        <v>45855</v>
      </c>
      <c r="B3474" s="1" t="n">
        <v>921</v>
      </c>
      <c r="C3474" s="2" t="inlineStr">
        <is>
          <t>HASALTUN</t>
        </is>
      </c>
      <c r="D3474" s="1" t="inlineStr">
        <is>
          <t xml:space="preserve">SM 350 </t>
        </is>
      </c>
      <c r="E3474" s="1" t="inlineStr">
        <is>
          <t>BAYRAM SANCAK</t>
        </is>
      </c>
      <c r="F3474" s="3" t="n"/>
      <c r="G3474" s="143" t="n"/>
      <c r="H3474" s="143" t="n">
        <v>360</v>
      </c>
      <c r="I3474" s="143">
        <f>+I3473+(G3474-H3474)</f>
        <v/>
      </c>
      <c r="J3474" s="144" t="n">
        <v>46.27</v>
      </c>
      <c r="K3474" s="145" t="n"/>
      <c r="L3474" s="140">
        <f>+H3474*J3474</f>
        <v/>
      </c>
      <c r="M3474" s="141">
        <f>SUM(M3473+K3474-L3474)</f>
        <v/>
      </c>
    </row>
    <row r="3475">
      <c r="A3475" s="20" t="n">
        <v>45855</v>
      </c>
      <c r="B3475" s="21" t="n">
        <v>922</v>
      </c>
      <c r="C3475" s="22" t="inlineStr">
        <is>
          <t>EVKUR</t>
        </is>
      </c>
      <c r="D3475" s="21" t="inlineStr">
        <is>
          <t>FOKLİFT</t>
        </is>
      </c>
      <c r="E3475" s="21" t="inlineStr">
        <is>
          <t>FAHRİ KALFA</t>
        </is>
      </c>
      <c r="F3475" s="23" t="n"/>
      <c r="G3475" s="138" t="n"/>
      <c r="H3475" s="138" t="n">
        <v>95</v>
      </c>
      <c r="I3475" s="138">
        <f>+I3474+(G3475-H3475)</f>
        <v/>
      </c>
      <c r="J3475" s="139" t="n">
        <v>46.27</v>
      </c>
      <c r="K3475" s="140" t="n"/>
      <c r="L3475" s="140">
        <f>+H3475*J3475</f>
        <v/>
      </c>
      <c r="M3475" s="141">
        <f>SUM(M3474+K3475-L3475)</f>
        <v/>
      </c>
    </row>
    <row r="3476">
      <c r="A3476" s="20" t="n">
        <v>45855</v>
      </c>
      <c r="B3476" s="1" t="n">
        <v>923</v>
      </c>
      <c r="C3476" s="2" t="inlineStr">
        <is>
          <t>HASALTUN</t>
        </is>
      </c>
      <c r="D3476" s="1" t="inlineStr">
        <is>
          <t>MNT 2265</t>
        </is>
      </c>
      <c r="E3476" s="1" t="inlineStr">
        <is>
          <t>MUHAMMED KANTAR</t>
        </is>
      </c>
      <c r="F3476" s="3" t="n"/>
      <c r="G3476" s="143" t="n"/>
      <c r="H3476" s="143" t="n">
        <v>220</v>
      </c>
      <c r="I3476" s="143">
        <f>+I3475+(G3476-H3476)</f>
        <v/>
      </c>
      <c r="J3476" s="144" t="n">
        <v>46.27</v>
      </c>
      <c r="K3476" s="145" t="n"/>
      <c r="L3476" s="140">
        <f>+H3476*J3476</f>
        <v/>
      </c>
      <c r="M3476" s="141">
        <f>SUM(M3475+K3476-L3476)</f>
        <v/>
      </c>
    </row>
    <row r="3477">
      <c r="A3477" s="20" t="n">
        <v>45855</v>
      </c>
      <c r="B3477" s="21" t="n">
        <v>15622</v>
      </c>
      <c r="C3477" s="22" t="inlineStr">
        <is>
          <t>METİN ERYİĞİT</t>
        </is>
      </c>
      <c r="D3477" s="21" t="inlineStr">
        <is>
          <t>34 EGS 013</t>
        </is>
      </c>
      <c r="E3477" s="21" t="inlineStr">
        <is>
          <t xml:space="preserve">UĞUR DUMAN </t>
        </is>
      </c>
      <c r="F3477" s="23" t="n">
        <v>497475</v>
      </c>
      <c r="G3477" s="138" t="n"/>
      <c r="H3477" s="138" t="n">
        <v>471</v>
      </c>
      <c r="I3477" s="138">
        <f>+I3476+(G3477-H3477)</f>
        <v/>
      </c>
      <c r="J3477" s="139" t="n">
        <v>46.27</v>
      </c>
      <c r="K3477" s="140" t="n"/>
      <c r="L3477" s="140">
        <f>+H3477*J3477</f>
        <v/>
      </c>
      <c r="M3477" s="141">
        <f>SUM(M3476+K3477-L3477)</f>
        <v/>
      </c>
    </row>
    <row r="3478">
      <c r="A3478" s="20" t="n">
        <v>45855</v>
      </c>
      <c r="B3478" s="21" t="n">
        <v>11335</v>
      </c>
      <c r="C3478" s="22" t="inlineStr">
        <is>
          <t>AZGÜN YAPI</t>
        </is>
      </c>
      <c r="D3478" s="21" t="inlineStr">
        <is>
          <t>34 MKT 859</t>
        </is>
      </c>
      <c r="E3478" s="21" t="inlineStr">
        <is>
          <t>HASAN ALTUN</t>
        </is>
      </c>
      <c r="F3478" s="23" t="n"/>
      <c r="G3478" s="138" t="n"/>
      <c r="H3478" s="138" t="n">
        <v>405</v>
      </c>
      <c r="I3478" s="138">
        <f>+I3477+(G3478-H3478)</f>
        <v/>
      </c>
      <c r="J3478" s="139" t="n">
        <v>46.27</v>
      </c>
      <c r="K3478" s="140" t="n"/>
      <c r="L3478" s="140">
        <f>+H3478*J3478</f>
        <v/>
      </c>
      <c r="M3478" s="141">
        <f>SUM(M3477+K3478-L3478)</f>
        <v/>
      </c>
    </row>
    <row r="3479">
      <c r="A3479" s="20" t="n">
        <v>45855</v>
      </c>
      <c r="B3479" s="21" t="n">
        <v>10493</v>
      </c>
      <c r="C3479" s="22" t="inlineStr">
        <is>
          <t>AZGÜN YAPI</t>
        </is>
      </c>
      <c r="D3479" s="21" t="inlineStr">
        <is>
          <t>34 DTV 263</t>
        </is>
      </c>
      <c r="E3479" s="21" t="inlineStr">
        <is>
          <t>OZAN ÇOŞĞUN</t>
        </is>
      </c>
      <c r="F3479" s="23" t="n"/>
      <c r="G3479" s="138" t="n"/>
      <c r="H3479" s="138" t="n">
        <v>459</v>
      </c>
      <c r="I3479" s="138">
        <f>+I3478+(G3479-H3479)</f>
        <v/>
      </c>
      <c r="J3479" s="139" t="n">
        <v>46.27</v>
      </c>
      <c r="K3479" s="140" t="n"/>
      <c r="L3479" s="140">
        <f>+H3479*J3479</f>
        <v/>
      </c>
      <c r="M3479" s="141">
        <f>SUM(M3478+K3479-L3479)</f>
        <v/>
      </c>
    </row>
    <row r="3480">
      <c r="A3480" s="20" t="n">
        <v>45855</v>
      </c>
      <c r="B3480" s="1" t="n">
        <v>14101</v>
      </c>
      <c r="C3480" s="2" t="inlineStr">
        <is>
          <t>SELİM İNŞAAT</t>
        </is>
      </c>
      <c r="D3480" s="1" t="inlineStr">
        <is>
          <t>34 EDB 659</t>
        </is>
      </c>
      <c r="E3480" s="1" t="inlineStr">
        <is>
          <t>MEHMET SAİT ANIK</t>
        </is>
      </c>
      <c r="F3480" s="3" t="n">
        <v>348700</v>
      </c>
      <c r="G3480" s="143" t="n"/>
      <c r="H3480" s="143" t="n">
        <v>510</v>
      </c>
      <c r="I3480" s="143">
        <f>+I3479+(G3480-H3480)</f>
        <v/>
      </c>
      <c r="J3480" s="144" t="n">
        <v>46.27</v>
      </c>
      <c r="K3480" s="145" t="n"/>
      <c r="L3480" s="140">
        <f>+H3480*J3480</f>
        <v/>
      </c>
      <c r="M3480" s="141">
        <f>SUM(M3479+K3480-L3480)</f>
        <v/>
      </c>
    </row>
    <row r="3481">
      <c r="A3481" s="20" t="n">
        <v>45855</v>
      </c>
      <c r="B3481" s="1" t="n">
        <v>14772</v>
      </c>
      <c r="C3481" s="2" t="inlineStr">
        <is>
          <t>SELİM İNŞAAT</t>
        </is>
      </c>
      <c r="D3481" s="1" t="inlineStr">
        <is>
          <t>34 GYZ 635</t>
        </is>
      </c>
      <c r="E3481" s="1" t="inlineStr">
        <is>
          <t>ENGİN DEMİR</t>
        </is>
      </c>
      <c r="F3481" s="3" t="n">
        <v>181279</v>
      </c>
      <c r="G3481" s="143" t="n"/>
      <c r="H3481" s="143" t="n">
        <v>510</v>
      </c>
      <c r="I3481" s="143">
        <f>+I3480+(G3481-H3481)</f>
        <v/>
      </c>
      <c r="J3481" s="144" t="n">
        <v>46.27</v>
      </c>
      <c r="K3481" s="145" t="n"/>
      <c r="L3481" s="140">
        <f>+H3481*J3481</f>
        <v/>
      </c>
      <c r="M3481" s="141">
        <f>SUM(M3480+K3481-L3481)</f>
        <v/>
      </c>
    </row>
    <row r="3482">
      <c r="A3482" s="20" t="n">
        <v>45855</v>
      </c>
      <c r="B3482" s="1" t="n">
        <v>15578</v>
      </c>
      <c r="C3482" s="2" t="inlineStr">
        <is>
          <t>SELİM İNŞAAT</t>
        </is>
      </c>
      <c r="D3482" s="1" t="inlineStr">
        <is>
          <t>34 GVZ 745</t>
        </is>
      </c>
      <c r="E3482" s="1" t="inlineStr">
        <is>
          <t>MUHAMMED YİĞİT</t>
        </is>
      </c>
      <c r="F3482" s="3" t="n">
        <v>193500</v>
      </c>
      <c r="G3482" s="143" t="n"/>
      <c r="H3482" s="143" t="n">
        <v>512</v>
      </c>
      <c r="I3482" s="143">
        <f>+I3481+(G3482-H3482)</f>
        <v/>
      </c>
      <c r="J3482" s="144" t="n">
        <v>46.27</v>
      </c>
      <c r="K3482" s="145" t="n"/>
      <c r="L3482" s="140">
        <f>+H3482*J3482</f>
        <v/>
      </c>
      <c r="M3482" s="141">
        <f>SUM(M3481+K3482-L3482)</f>
        <v/>
      </c>
    </row>
    <row r="3483">
      <c r="A3483" s="20" t="n">
        <v>45855</v>
      </c>
      <c r="B3483" s="1" t="n">
        <v>563</v>
      </c>
      <c r="C3483" s="2" t="inlineStr">
        <is>
          <t>SELİM İNŞAAT</t>
        </is>
      </c>
      <c r="D3483" s="1" t="inlineStr">
        <is>
          <t>34 EDB 922</t>
        </is>
      </c>
      <c r="E3483" s="1" t="inlineStr">
        <is>
          <t>AHMET TOPÇU</t>
        </is>
      </c>
      <c r="F3483" s="3" t="n">
        <v>371200</v>
      </c>
      <c r="G3483" s="143" t="n"/>
      <c r="H3483" s="143" t="n">
        <v>412</v>
      </c>
      <c r="I3483" s="143">
        <f>+I3482+(G3483-H3483)</f>
        <v/>
      </c>
      <c r="J3483" s="144" t="n">
        <v>46.27</v>
      </c>
      <c r="K3483" s="145" t="n"/>
      <c r="L3483" s="140">
        <f>+H3483*J3483</f>
        <v/>
      </c>
      <c r="M3483" s="141">
        <f>SUM(M3482+K3483-L3483)</f>
        <v/>
      </c>
    </row>
    <row r="3484">
      <c r="A3484" s="20" t="n">
        <v>45855</v>
      </c>
      <c r="B3484" s="1" t="n">
        <v>14833</v>
      </c>
      <c r="C3484" s="2" t="inlineStr">
        <is>
          <t>SELİM İNŞAAT</t>
        </is>
      </c>
      <c r="D3484" s="1" t="inlineStr">
        <is>
          <t>34 GVZ 268</t>
        </is>
      </c>
      <c r="E3484" s="1" t="inlineStr">
        <is>
          <t xml:space="preserve">KERİM KARAMAN </t>
        </is>
      </c>
      <c r="F3484" s="3" t="n">
        <v>199880</v>
      </c>
      <c r="G3484" s="143" t="n"/>
      <c r="H3484" s="143" t="n">
        <v>444</v>
      </c>
      <c r="I3484" s="143">
        <f>+I3483+(G3484-H3484)</f>
        <v/>
      </c>
      <c r="J3484" s="144" t="n">
        <v>46.27</v>
      </c>
      <c r="K3484" s="145" t="n"/>
      <c r="L3484" s="140">
        <f>+H3484*J3484</f>
        <v/>
      </c>
      <c r="M3484" s="141">
        <f>SUM(M3483+K3484-L3484)</f>
        <v/>
      </c>
    </row>
    <row r="3485">
      <c r="A3485" s="20" t="n">
        <v>45855</v>
      </c>
      <c r="B3485" s="1" t="n">
        <v>14444</v>
      </c>
      <c r="C3485" s="2" t="inlineStr">
        <is>
          <t>SELİM İNŞAAT</t>
        </is>
      </c>
      <c r="D3485" s="1" t="inlineStr">
        <is>
          <t>34 EGR 737</t>
        </is>
      </c>
      <c r="E3485" s="1" t="inlineStr">
        <is>
          <t>CEM MUHTAR</t>
        </is>
      </c>
      <c r="F3485" s="3" t="n">
        <v>422151</v>
      </c>
      <c r="G3485" s="143" t="n"/>
      <c r="H3485" s="143" t="n">
        <v>417</v>
      </c>
      <c r="I3485" s="143">
        <f>+I3484+(G3485-H3485)</f>
        <v/>
      </c>
      <c r="J3485" s="144" t="n">
        <v>46.27</v>
      </c>
      <c r="K3485" s="145" t="n"/>
      <c r="L3485" s="140">
        <f>+H3485*J3485</f>
        <v/>
      </c>
      <c r="M3485" s="141">
        <f>SUM(M3484+K3485-L3485)</f>
        <v/>
      </c>
    </row>
    <row r="3486">
      <c r="A3486" s="20" t="n">
        <v>45855</v>
      </c>
      <c r="B3486" s="1" t="n">
        <v>11497</v>
      </c>
      <c r="C3486" s="2" t="inlineStr">
        <is>
          <t>SELİM İNŞAAT</t>
        </is>
      </c>
      <c r="D3486" s="1" t="inlineStr">
        <is>
          <t>34 EGR 922</t>
        </is>
      </c>
      <c r="E3486" s="1" t="inlineStr">
        <is>
          <t>FARUK ÖZEN</t>
        </is>
      </c>
      <c r="F3486" s="3" t="n">
        <v>460471</v>
      </c>
      <c r="G3486" s="143" t="n"/>
      <c r="H3486" s="143" t="n">
        <v>496</v>
      </c>
      <c r="I3486" s="143">
        <f>+I3485+(G3486-H3486)</f>
        <v/>
      </c>
      <c r="J3486" s="144" t="n">
        <v>46.27</v>
      </c>
      <c r="K3486" s="145" t="n"/>
      <c r="L3486" s="140">
        <f>+H3486*J3486</f>
        <v/>
      </c>
      <c r="M3486" s="141">
        <f>SUM(M3485+K3486-L3486)</f>
        <v/>
      </c>
    </row>
    <row r="3487">
      <c r="A3487" s="20" t="n">
        <v>45855</v>
      </c>
      <c r="B3487" s="1" t="n">
        <v>14498</v>
      </c>
      <c r="C3487" s="2" t="inlineStr">
        <is>
          <t>SELİM İNŞAAT</t>
        </is>
      </c>
      <c r="D3487" s="1" t="inlineStr">
        <is>
          <t>34 GUS 848</t>
        </is>
      </c>
      <c r="E3487" s="1" t="inlineStr">
        <is>
          <t>SERDAR BOZKURT</t>
        </is>
      </c>
      <c r="F3487" s="3" t="n">
        <v>198198</v>
      </c>
      <c r="G3487" s="143" t="n"/>
      <c r="H3487" s="143" t="n">
        <v>478</v>
      </c>
      <c r="I3487" s="143">
        <f>+I3486+(G3487-H3487)</f>
        <v/>
      </c>
      <c r="J3487" s="144" t="n">
        <v>46.27</v>
      </c>
      <c r="K3487" s="145" t="n"/>
      <c r="L3487" s="140">
        <f>+H3487*J3487</f>
        <v/>
      </c>
      <c r="M3487" s="141">
        <f>SUM(M3486+K3487-L3487)</f>
        <v/>
      </c>
    </row>
    <row r="3488">
      <c r="A3488" s="20" t="n">
        <v>45855</v>
      </c>
      <c r="B3488" s="1" t="n">
        <v>113</v>
      </c>
      <c r="C3488" s="2" t="inlineStr">
        <is>
          <t>SELİM İNŞAAT</t>
        </is>
      </c>
      <c r="D3488" s="1" t="inlineStr">
        <is>
          <t>34 FBR 771</t>
        </is>
      </c>
      <c r="E3488" s="1" t="inlineStr">
        <is>
          <t>HÜSEYİN AKÇİN</t>
        </is>
      </c>
      <c r="F3488" s="3" t="n">
        <v>326800</v>
      </c>
      <c r="G3488" s="143" t="n"/>
      <c r="H3488" s="143" t="n">
        <v>297</v>
      </c>
      <c r="I3488" s="143">
        <f>+I3487+(G3488-H3488)</f>
        <v/>
      </c>
      <c r="J3488" s="144" t="n">
        <v>46.27</v>
      </c>
      <c r="K3488" s="145" t="n"/>
      <c r="L3488" s="140">
        <f>+H3488*J3488</f>
        <v/>
      </c>
      <c r="M3488" s="141">
        <f>SUM(M3487+K3488-L3488)</f>
        <v/>
      </c>
    </row>
    <row r="3489">
      <c r="A3489" s="20" t="n">
        <v>45855</v>
      </c>
      <c r="B3489" s="1" t="n">
        <v>15870</v>
      </c>
      <c r="C3489" s="2" t="inlineStr">
        <is>
          <t>SELİM İNŞAAT</t>
        </is>
      </c>
      <c r="D3489" s="1" t="inlineStr">
        <is>
          <t>34 EDB 754</t>
        </is>
      </c>
      <c r="E3489" s="1" t="inlineStr">
        <is>
          <t>EMİN PARLAKKILIÇ</t>
        </is>
      </c>
      <c r="F3489" s="3" t="n">
        <v>330464</v>
      </c>
      <c r="G3489" s="143" t="n"/>
      <c r="H3489" s="143" t="n">
        <v>271</v>
      </c>
      <c r="I3489" s="143">
        <f>+I3488+(G3489-H3489)</f>
        <v/>
      </c>
      <c r="J3489" s="144" t="n">
        <v>46.27</v>
      </c>
      <c r="K3489" s="145" t="n"/>
      <c r="L3489" s="140">
        <f>+H3489*J3489</f>
        <v/>
      </c>
      <c r="M3489" s="141">
        <f>SUM(M3488+K3489-L3489)</f>
        <v/>
      </c>
    </row>
    <row r="3490">
      <c r="A3490" s="20" t="n">
        <v>45855</v>
      </c>
      <c r="B3490" s="1" t="n">
        <v>16</v>
      </c>
      <c r="C3490" s="2" t="inlineStr">
        <is>
          <t>SELİM İNŞAAT</t>
        </is>
      </c>
      <c r="D3490" s="1" t="inlineStr">
        <is>
          <t>34 FBR 748</t>
        </is>
      </c>
      <c r="E3490" s="1" t="inlineStr">
        <is>
          <t>YAŞAR ÖZKAYA</t>
        </is>
      </c>
      <c r="F3490" s="3" t="n">
        <v>288750</v>
      </c>
      <c r="G3490" s="143" t="n"/>
      <c r="H3490" s="143" t="n">
        <v>473</v>
      </c>
      <c r="I3490" s="143">
        <f>+I3489+(G3490-H3490)</f>
        <v/>
      </c>
      <c r="J3490" s="144" t="n">
        <v>46.27</v>
      </c>
      <c r="K3490" s="145" t="n"/>
      <c r="L3490" s="140">
        <f>+H3490*J3490</f>
        <v/>
      </c>
      <c r="M3490" s="141">
        <f>SUM(M3489+K3490-L3490)</f>
        <v/>
      </c>
    </row>
    <row r="3491">
      <c r="A3491" s="20" t="n">
        <v>45855</v>
      </c>
      <c r="B3491" s="1" t="n">
        <v>14051</v>
      </c>
      <c r="C3491" s="2" t="inlineStr">
        <is>
          <t>SELİM İNŞAAT</t>
        </is>
      </c>
      <c r="D3491" s="1" t="inlineStr">
        <is>
          <t>34 GVZ 310</t>
        </is>
      </c>
      <c r="E3491" s="1" t="inlineStr">
        <is>
          <t>CELAL YÜZBAŞI</t>
        </is>
      </c>
      <c r="F3491" s="3" t="n">
        <v>206006</v>
      </c>
      <c r="G3491" s="143" t="n"/>
      <c r="H3491" s="143" t="n">
        <v>512</v>
      </c>
      <c r="I3491" s="143">
        <f>+I3490+(G3491-H3491)</f>
        <v/>
      </c>
      <c r="J3491" s="144" t="n">
        <v>46.27</v>
      </c>
      <c r="K3491" s="145" t="n"/>
      <c r="L3491" s="140">
        <f>+H3491*J3491</f>
        <v/>
      </c>
      <c r="M3491" s="141">
        <f>SUM(M3490+K3491-L3491)</f>
        <v/>
      </c>
    </row>
    <row r="3492">
      <c r="A3492" s="20" t="n">
        <v>45855</v>
      </c>
      <c r="B3492" s="1" t="n">
        <v>203</v>
      </c>
      <c r="C3492" s="2" t="inlineStr">
        <is>
          <t>SELİM İNŞAAT</t>
        </is>
      </c>
      <c r="D3492" s="1" t="inlineStr">
        <is>
          <t>34 JGR 15</t>
        </is>
      </c>
      <c r="E3492" s="1" t="inlineStr">
        <is>
          <t>MUSTAFA ALBAYRAK</t>
        </is>
      </c>
      <c r="F3492" s="3" t="n">
        <v>311796</v>
      </c>
      <c r="G3492" s="143" t="n"/>
      <c r="H3492" s="143" t="n">
        <v>60</v>
      </c>
      <c r="I3492" s="143">
        <f>+I3491+(G3492-H3492)</f>
        <v/>
      </c>
      <c r="J3492" s="144" t="n">
        <v>46.27</v>
      </c>
      <c r="K3492" s="145" t="n"/>
      <c r="L3492" s="140">
        <f>+H3492*J3492</f>
        <v/>
      </c>
      <c r="M3492" s="141">
        <f>SUM(M3491+K3492-L3492)</f>
        <v/>
      </c>
    </row>
    <row r="3493">
      <c r="A3493" s="20" t="n">
        <v>45855</v>
      </c>
      <c r="B3493" s="1" t="n">
        <v>601</v>
      </c>
      <c r="C3493" s="2" t="inlineStr">
        <is>
          <t>SELİM İNŞAAT</t>
        </is>
      </c>
      <c r="D3493" s="1" t="inlineStr">
        <is>
          <t>34 AR 7743</t>
        </is>
      </c>
      <c r="E3493" s="1" t="inlineStr">
        <is>
          <t>MEHMET SELİM</t>
        </is>
      </c>
      <c r="F3493" s="3" t="n">
        <v>357717</v>
      </c>
      <c r="G3493" s="143" t="n"/>
      <c r="H3493" s="143" t="n">
        <v>63</v>
      </c>
      <c r="I3493" s="143">
        <f>+I3492+(G3493-H3493)</f>
        <v/>
      </c>
      <c r="J3493" s="144" t="n">
        <v>46.27</v>
      </c>
      <c r="K3493" s="145" t="n"/>
      <c r="L3493" s="140">
        <f>+H3493*J3493</f>
        <v/>
      </c>
      <c r="M3493" s="141">
        <f>SUM(M3492+K3493-L3493)</f>
        <v/>
      </c>
    </row>
    <row r="3494">
      <c r="A3494" s="20" t="n">
        <v>45855</v>
      </c>
      <c r="B3494" s="1" t="n">
        <v>14544</v>
      </c>
      <c r="C3494" s="2" t="inlineStr">
        <is>
          <t>SELİM İNŞAAT</t>
        </is>
      </c>
      <c r="D3494" s="1" t="inlineStr">
        <is>
          <t>34 GER 028</t>
        </is>
      </c>
      <c r="E3494" s="1" t="inlineStr">
        <is>
          <t>A.KERİM ERGEN</t>
        </is>
      </c>
      <c r="F3494" s="3" t="n">
        <v>47432</v>
      </c>
      <c r="G3494" s="143" t="n"/>
      <c r="H3494" s="143" t="n">
        <v>221</v>
      </c>
      <c r="I3494" s="143">
        <f>+I3493+(G3494-H3494)</f>
        <v/>
      </c>
      <c r="J3494" s="144" t="n">
        <v>46.27</v>
      </c>
      <c r="K3494" s="145" t="n"/>
      <c r="L3494" s="140">
        <f>+H3494*J3494</f>
        <v/>
      </c>
      <c r="M3494" s="141">
        <f>SUM(M3493+K3494-L3494)</f>
        <v/>
      </c>
    </row>
    <row r="3495">
      <c r="A3495" s="20" t="n">
        <v>45855</v>
      </c>
      <c r="B3495" s="1" t="n">
        <v>162</v>
      </c>
      <c r="C3495" s="2" t="inlineStr">
        <is>
          <t>SELİM İNŞAAT</t>
        </is>
      </c>
      <c r="D3495" s="1" t="inlineStr">
        <is>
          <t>34 TG 7869</t>
        </is>
      </c>
      <c r="E3495" s="1" t="inlineStr">
        <is>
          <t>GÖRKEM KARAYEL</t>
        </is>
      </c>
      <c r="F3495" s="3" t="n">
        <v>185326</v>
      </c>
      <c r="G3495" s="143" t="n"/>
      <c r="H3495" s="143" t="n">
        <v>276</v>
      </c>
      <c r="I3495" s="143">
        <f>+I3494+(G3495-H3495)</f>
        <v/>
      </c>
      <c r="J3495" s="144" t="n">
        <v>46.27</v>
      </c>
      <c r="K3495" s="145" t="n"/>
      <c r="L3495" s="140">
        <f>+H3495*J3495</f>
        <v/>
      </c>
      <c r="M3495" s="141">
        <f>SUM(M3494+K3495-L3495)</f>
        <v/>
      </c>
    </row>
    <row r="3496">
      <c r="A3496" s="20" t="n">
        <v>45855</v>
      </c>
      <c r="B3496" s="1" t="n">
        <v>456</v>
      </c>
      <c r="C3496" s="2" t="inlineStr">
        <is>
          <t>SELİM İNŞAAT</t>
        </is>
      </c>
      <c r="D3496" s="1" t="inlineStr">
        <is>
          <t>34 DKL 866</t>
        </is>
      </c>
      <c r="E3496" s="1" t="inlineStr">
        <is>
          <t>SELİM CAN ÖNVER</t>
        </is>
      </c>
      <c r="F3496" s="3" t="n">
        <v>68976</v>
      </c>
      <c r="G3496" s="143" t="n"/>
      <c r="H3496" s="143" t="n">
        <v>190</v>
      </c>
      <c r="I3496" s="143">
        <f>+I3495+(G3496-H3496)</f>
        <v/>
      </c>
      <c r="J3496" s="144" t="n">
        <v>46.27</v>
      </c>
      <c r="K3496" s="145" t="n"/>
      <c r="L3496" s="140">
        <f>+H3496*J3496</f>
        <v/>
      </c>
      <c r="M3496" s="141">
        <f>SUM(M3495+K3496-L3496)</f>
        <v/>
      </c>
    </row>
    <row r="3497">
      <c r="A3497" s="20" t="n">
        <v>45855</v>
      </c>
      <c r="B3497" s="21" t="n">
        <v>953</v>
      </c>
      <c r="C3497" s="22" t="inlineStr">
        <is>
          <t>ÜNSOY TURİZM İNŞ.SAN.VE TİC.A.Ş.</t>
        </is>
      </c>
      <c r="D3497" s="21" t="n"/>
      <c r="E3497" s="21" t="n"/>
      <c r="F3497" s="23" t="n"/>
      <c r="G3497" s="138" t="n">
        <v>32163</v>
      </c>
      <c r="H3497" s="138" t="n"/>
      <c r="I3497" s="138">
        <f>+I3496+(G3497-H3497)</f>
        <v/>
      </c>
      <c r="J3497" s="139">
        <f>+K3497/G3497</f>
        <v/>
      </c>
      <c r="K3497" s="140" t="n">
        <v>1495579.5</v>
      </c>
      <c r="L3497" s="140">
        <f>+H3497*J3497</f>
        <v/>
      </c>
      <c r="M3497" s="141">
        <f>SUM(M3496+K3497-L3497)</f>
        <v/>
      </c>
    </row>
    <row r="3498">
      <c r="A3498" s="20" t="n">
        <v>45856</v>
      </c>
      <c r="B3498" s="1" t="n">
        <v>924</v>
      </c>
      <c r="C3498" s="2" t="inlineStr">
        <is>
          <t>MEGA VALIK</t>
        </is>
      </c>
      <c r="D3498" s="1" t="inlineStr">
        <is>
          <t xml:space="preserve">SM 300 </t>
        </is>
      </c>
      <c r="E3498" s="1" t="inlineStr">
        <is>
          <t>TURGUT SANCAK</t>
        </is>
      </c>
      <c r="F3498" s="3" t="n"/>
      <c r="G3498" s="143" t="n"/>
      <c r="H3498" s="143" t="n">
        <v>349</v>
      </c>
      <c r="I3498" s="143">
        <f>+I3497+(G3498-H3498)</f>
        <v/>
      </c>
      <c r="J3498" s="144" t="n">
        <v>46.27</v>
      </c>
      <c r="K3498" s="145" t="n"/>
      <c r="L3498" s="140">
        <f>+H3498*J3498</f>
        <v/>
      </c>
      <c r="M3498" s="141">
        <f>SUM(M3497+K3498-L3498)</f>
        <v/>
      </c>
    </row>
    <row r="3499">
      <c r="A3499" s="20" t="n">
        <v>45856</v>
      </c>
      <c r="B3499" s="1" t="n">
        <v>925</v>
      </c>
      <c r="C3499" s="2" t="inlineStr">
        <is>
          <t>MEGA VALIK</t>
        </is>
      </c>
      <c r="D3499" s="1" t="inlineStr">
        <is>
          <t>SM 370</t>
        </is>
      </c>
      <c r="E3499" s="1" t="inlineStr">
        <is>
          <t>TEKİN ŞEYLAN</t>
        </is>
      </c>
      <c r="F3499" s="3" t="n"/>
      <c r="G3499" s="143" t="n"/>
      <c r="H3499" s="143" t="n">
        <v>355</v>
      </c>
      <c r="I3499" s="143">
        <f>+I3498+(G3499-H3499)</f>
        <v/>
      </c>
      <c r="J3499" s="144" t="n">
        <v>46.27</v>
      </c>
      <c r="K3499" s="145" t="n"/>
      <c r="L3499" s="140">
        <f>+H3499*J3499</f>
        <v/>
      </c>
      <c r="M3499" s="141">
        <f>SUM(M3498+K3499-L3499)</f>
        <v/>
      </c>
    </row>
    <row r="3500">
      <c r="A3500" s="20" t="n">
        <v>45856</v>
      </c>
      <c r="B3500" s="1" t="n">
        <v>926</v>
      </c>
      <c r="C3500" s="2" t="inlineStr">
        <is>
          <t>MEGA VALIK</t>
        </is>
      </c>
      <c r="D3500" s="1" t="inlineStr">
        <is>
          <t xml:space="preserve">YENİ VİNÇ </t>
        </is>
      </c>
      <c r="E3500" s="1" t="inlineStr">
        <is>
          <t>SALİH ŞOLAN</t>
        </is>
      </c>
      <c r="F3500" s="3" t="n"/>
      <c r="G3500" s="143" t="n"/>
      <c r="H3500" s="143" t="n">
        <v>317</v>
      </c>
      <c r="I3500" s="143">
        <f>+I3499+(G3500-H3500)</f>
        <v/>
      </c>
      <c r="J3500" s="144" t="n">
        <v>46.27</v>
      </c>
      <c r="K3500" s="145" t="n"/>
      <c r="L3500" s="140">
        <f>+H3500*J3500</f>
        <v/>
      </c>
      <c r="M3500" s="141">
        <f>SUM(M3499+K3500-L3500)</f>
        <v/>
      </c>
    </row>
    <row r="3501">
      <c r="A3501" s="20" t="n">
        <v>45856</v>
      </c>
      <c r="B3501" s="1" t="n">
        <v>927</v>
      </c>
      <c r="C3501" s="2" t="inlineStr">
        <is>
          <t>VARLIK</t>
        </is>
      </c>
      <c r="D3501" s="1" t="inlineStr">
        <is>
          <t xml:space="preserve">SM 350 </t>
        </is>
      </c>
      <c r="E3501" s="1" t="inlineStr">
        <is>
          <t>TEVFİK ÖZTÜRK</t>
        </is>
      </c>
      <c r="F3501" s="3" t="n"/>
      <c r="G3501" s="143" t="n"/>
      <c r="H3501" s="143" t="n">
        <v>369</v>
      </c>
      <c r="I3501" s="143">
        <f>+I3500+(G3501-H3501)</f>
        <v/>
      </c>
      <c r="J3501" s="144" t="n">
        <v>46.27</v>
      </c>
      <c r="K3501" s="145" t="n"/>
      <c r="L3501" s="140">
        <f>+H3501*J3501</f>
        <v/>
      </c>
      <c r="M3501" s="141">
        <f>SUM(M3500+K3501-L3501)</f>
        <v/>
      </c>
    </row>
    <row r="3502">
      <c r="A3502" s="20" t="n">
        <v>45856</v>
      </c>
      <c r="B3502" s="21" t="n">
        <v>707</v>
      </c>
      <c r="C3502" s="22" t="inlineStr">
        <is>
          <t>METİN ERYİĞİT</t>
        </is>
      </c>
      <c r="D3502" s="21" t="inlineStr">
        <is>
          <t>34 GBL 998</t>
        </is>
      </c>
      <c r="E3502" s="21" t="inlineStr">
        <is>
          <t>ALİ KESKİN</t>
        </is>
      </c>
      <c r="F3502" s="23" t="n">
        <v>278611</v>
      </c>
      <c r="G3502" s="138" t="n"/>
      <c r="H3502" s="138" t="n">
        <v>369</v>
      </c>
      <c r="I3502" s="138">
        <f>+I3501+(G3502-H3502)</f>
        <v/>
      </c>
      <c r="J3502" s="139" t="n">
        <v>46.27</v>
      </c>
      <c r="K3502" s="140" t="n"/>
      <c r="L3502" s="140">
        <f>+H3502*J3502</f>
        <v/>
      </c>
      <c r="M3502" s="141">
        <f>SUM(M3501+K3502-L3502)</f>
        <v/>
      </c>
    </row>
    <row r="3503">
      <c r="A3503" s="20" t="n">
        <v>45856</v>
      </c>
      <c r="B3503" s="21" t="n">
        <v>15623</v>
      </c>
      <c r="C3503" s="22" t="inlineStr">
        <is>
          <t>METİN ERYİĞİT</t>
        </is>
      </c>
      <c r="D3503" s="21" t="inlineStr">
        <is>
          <t>34 EGS 013</t>
        </is>
      </c>
      <c r="E3503" s="21" t="inlineStr">
        <is>
          <t xml:space="preserve">UĞUR DUMAN </t>
        </is>
      </c>
      <c r="F3503" s="23" t="n">
        <v>498021</v>
      </c>
      <c r="G3503" s="138" t="n"/>
      <c r="H3503" s="138" t="n">
        <v>301</v>
      </c>
      <c r="I3503" s="138">
        <f>+I3502+(G3503-H3503)</f>
        <v/>
      </c>
      <c r="J3503" s="139" t="n">
        <v>46.27</v>
      </c>
      <c r="K3503" s="140" t="n"/>
      <c r="L3503" s="140">
        <f>+H3503*J3503</f>
        <v/>
      </c>
      <c r="M3503" s="141">
        <f>SUM(M3502+K3503-L3503)</f>
        <v/>
      </c>
    </row>
    <row r="3504">
      <c r="A3504" s="20" t="n">
        <v>45856</v>
      </c>
      <c r="B3504" s="21" t="n">
        <v>15678</v>
      </c>
      <c r="C3504" s="22" t="inlineStr">
        <is>
          <t>METİN ERYİĞİT</t>
        </is>
      </c>
      <c r="D3504" s="21" t="inlineStr">
        <is>
          <t>34 EGR 814</t>
        </is>
      </c>
      <c r="E3504" s="21" t="inlineStr">
        <is>
          <t>GÜRAY KOYUNCU</t>
        </is>
      </c>
      <c r="F3504" s="23" t="n">
        <v>551913</v>
      </c>
      <c r="G3504" s="138" t="n"/>
      <c r="H3504" s="138" t="n">
        <v>382</v>
      </c>
      <c r="I3504" s="138">
        <f>+I3503+(G3504-H3504)</f>
        <v/>
      </c>
      <c r="J3504" s="139" t="n">
        <v>46.27</v>
      </c>
      <c r="K3504" s="140" t="n"/>
      <c r="L3504" s="140">
        <f>+H3504*J3504</f>
        <v/>
      </c>
      <c r="M3504" s="141">
        <f>SUM(M3503+K3504-L3504)</f>
        <v/>
      </c>
    </row>
    <row r="3505">
      <c r="A3505" s="20" t="n">
        <v>45856</v>
      </c>
      <c r="B3505" s="1" t="n">
        <v>1001</v>
      </c>
      <c r="C3505" s="2" t="inlineStr">
        <is>
          <t>SELİM İNŞAAT</t>
        </is>
      </c>
      <c r="D3505" s="1" t="inlineStr">
        <is>
          <t>34 DHH 668</t>
        </is>
      </c>
      <c r="E3505" s="1" t="inlineStr">
        <is>
          <t>FATİH ÖZBOLAT</t>
        </is>
      </c>
      <c r="F3505" s="3" t="n">
        <v>391021</v>
      </c>
      <c r="G3505" s="143" t="n"/>
      <c r="H3505" s="143" t="n">
        <v>220</v>
      </c>
      <c r="I3505" s="143">
        <f>+I3504+(G3505-H3505)</f>
        <v/>
      </c>
      <c r="J3505" s="144" t="n">
        <v>46.27</v>
      </c>
      <c r="K3505" s="145" t="n"/>
      <c r="L3505" s="140">
        <f>+H3505*J3505</f>
        <v/>
      </c>
      <c r="M3505" s="141">
        <f>SUM(M3504+K3505-L3505)</f>
        <v/>
      </c>
    </row>
    <row r="3506">
      <c r="A3506" s="20" t="n">
        <v>45856</v>
      </c>
      <c r="B3506" s="21" t="n">
        <v>8888</v>
      </c>
      <c r="C3506" s="22" t="inlineStr">
        <is>
          <t>AHMET SELİM TEMHA</t>
        </is>
      </c>
      <c r="D3506" s="21" t="inlineStr">
        <is>
          <t>34 TB 926 VİNÇ</t>
        </is>
      </c>
      <c r="E3506" s="21" t="inlineStr">
        <is>
          <t>ENES SELİM</t>
        </is>
      </c>
      <c r="F3506" s="23" t="n"/>
      <c r="G3506" s="138" t="n"/>
      <c r="H3506" s="138" t="n">
        <v>202</v>
      </c>
      <c r="I3506" s="138">
        <f>+I3505+(G3506-H3506)</f>
        <v/>
      </c>
      <c r="J3506" s="139" t="n">
        <v>46.27</v>
      </c>
      <c r="K3506" s="140" t="n"/>
      <c r="L3506" s="140">
        <f>+H3506*J3506</f>
        <v/>
      </c>
      <c r="M3506" s="141">
        <f>SUM(M3505+K3506-L3506)</f>
        <v/>
      </c>
    </row>
    <row r="3507">
      <c r="A3507" s="20" t="n">
        <v>45856</v>
      </c>
      <c r="B3507" s="1" t="n"/>
      <c r="C3507" s="2" t="inlineStr">
        <is>
          <t>SELİM İNŞAAT</t>
        </is>
      </c>
      <c r="D3507" s="1" t="inlineStr">
        <is>
          <t>34 DTV 352</t>
        </is>
      </c>
      <c r="E3507" s="1" t="inlineStr">
        <is>
          <t>ADEM DENİZ</t>
        </is>
      </c>
      <c r="F3507" s="3" t="n">
        <v>437165</v>
      </c>
      <c r="G3507" s="143" t="n"/>
      <c r="H3507" s="143" t="n">
        <v>279</v>
      </c>
      <c r="I3507" s="143">
        <f>+I3506+(G3507-H3507)</f>
        <v/>
      </c>
      <c r="J3507" s="144" t="n">
        <v>46.27</v>
      </c>
      <c r="K3507" s="145" t="n"/>
      <c r="L3507" s="140">
        <f>+H3507*J3507</f>
        <v/>
      </c>
      <c r="M3507" s="141">
        <f>SUM(M3506+K3507-L3507)</f>
        <v/>
      </c>
    </row>
    <row r="3508">
      <c r="A3508" s="20" t="n">
        <v>45856</v>
      </c>
      <c r="B3508" s="1" t="n">
        <v>761</v>
      </c>
      <c r="C3508" s="2" t="inlineStr">
        <is>
          <t>SELİM İNŞAAT</t>
        </is>
      </c>
      <c r="D3508" s="1" t="inlineStr">
        <is>
          <t>34 EDB 559</t>
        </is>
      </c>
      <c r="E3508" s="1" t="inlineStr">
        <is>
          <t>ADNAN KOÇ</t>
        </is>
      </c>
      <c r="F3508" s="3" t="n">
        <v>331659</v>
      </c>
      <c r="G3508" s="143" t="n"/>
      <c r="H3508" s="143" t="n">
        <v>372</v>
      </c>
      <c r="I3508" s="143">
        <f>+I3507+(G3508-H3508)</f>
        <v/>
      </c>
      <c r="J3508" s="144" t="n">
        <v>46.27</v>
      </c>
      <c r="K3508" s="145" t="n"/>
      <c r="L3508" s="140">
        <f>+H3508*J3508</f>
        <v/>
      </c>
      <c r="M3508" s="141">
        <f>SUM(M3507+K3508-L3508)</f>
        <v/>
      </c>
    </row>
    <row r="3509">
      <c r="A3509" s="20" t="n">
        <v>45856</v>
      </c>
      <c r="B3509" s="1" t="n">
        <v>11239</v>
      </c>
      <c r="C3509" s="2" t="inlineStr">
        <is>
          <t>SELİM İNŞAAT</t>
        </is>
      </c>
      <c r="D3509" s="1" t="inlineStr">
        <is>
          <t>34 DSN 636</t>
        </is>
      </c>
      <c r="E3509" s="1" t="inlineStr">
        <is>
          <t>İLHAN YÜRÜK</t>
        </is>
      </c>
      <c r="F3509" s="3" t="n">
        <v>398923</v>
      </c>
      <c r="G3509" s="143" t="n"/>
      <c r="H3509" s="143" t="n">
        <v>310</v>
      </c>
      <c r="I3509" s="143">
        <f>+I3508+(G3509-H3509)</f>
        <v/>
      </c>
      <c r="J3509" s="144" t="n">
        <v>46.27</v>
      </c>
      <c r="K3509" s="145" t="n"/>
      <c r="L3509" s="140">
        <f>+H3509*J3509</f>
        <v/>
      </c>
      <c r="M3509" s="141">
        <f>SUM(M3508+K3509-L3509)</f>
        <v/>
      </c>
    </row>
    <row r="3510">
      <c r="A3510" s="20" t="n">
        <v>45856</v>
      </c>
      <c r="B3510" s="1" t="n">
        <v>316</v>
      </c>
      <c r="C3510" s="2" t="inlineStr">
        <is>
          <t>SELİM İNŞAAT</t>
        </is>
      </c>
      <c r="D3510" s="1" t="inlineStr">
        <is>
          <t>34 EDB 829</t>
        </is>
      </c>
      <c r="E3510" s="1" t="inlineStr">
        <is>
          <t>İSMET BAYRAM</t>
        </is>
      </c>
      <c r="F3510" s="3" t="n">
        <v>327015</v>
      </c>
      <c r="G3510" s="143" t="n"/>
      <c r="H3510" s="143" t="n">
        <v>410</v>
      </c>
      <c r="I3510" s="143">
        <f>+I3509+(G3510-H3510)</f>
        <v/>
      </c>
      <c r="J3510" s="144" t="n">
        <v>46.27</v>
      </c>
      <c r="K3510" s="145" t="n"/>
      <c r="L3510" s="140">
        <f>+H3510*J3510</f>
        <v/>
      </c>
      <c r="M3510" s="141">
        <f>SUM(M3509+K3510-L3510)</f>
        <v/>
      </c>
    </row>
    <row r="3511">
      <c r="A3511" s="20" t="n">
        <v>45856</v>
      </c>
      <c r="B3511" s="1" t="n">
        <v>959</v>
      </c>
      <c r="C3511" s="2" t="inlineStr">
        <is>
          <t>SELİM İNŞAAT</t>
        </is>
      </c>
      <c r="D3511" s="1" t="inlineStr">
        <is>
          <t>34 FBR 742</t>
        </is>
      </c>
      <c r="E3511" s="1" t="inlineStr">
        <is>
          <t>MİKAİL BAYILMAZ</t>
        </is>
      </c>
      <c r="F3511" s="3" t="n">
        <v>325289</v>
      </c>
      <c r="G3511" s="143" t="n"/>
      <c r="H3511" s="143" t="n">
        <v>448</v>
      </c>
      <c r="I3511" s="143">
        <f>+I3510+(G3511-H3511)</f>
        <v/>
      </c>
      <c r="J3511" s="144" t="n">
        <v>46.27</v>
      </c>
      <c r="K3511" s="145" t="n"/>
      <c r="L3511" s="140">
        <f>+H3511*J3511</f>
        <v/>
      </c>
      <c r="M3511" s="141">
        <f>SUM(M3510+K3511-L3511)</f>
        <v/>
      </c>
    </row>
    <row r="3512">
      <c r="A3512" s="20" t="n">
        <v>45856</v>
      </c>
      <c r="B3512" s="1" t="n">
        <v>15972</v>
      </c>
      <c r="C3512" s="2" t="inlineStr">
        <is>
          <t>SELİM İNŞAAT</t>
        </is>
      </c>
      <c r="D3512" s="1" t="inlineStr">
        <is>
          <t>34 FBR 781</t>
        </is>
      </c>
      <c r="E3512" s="1" t="inlineStr">
        <is>
          <t>MEVLÜT POLAT</t>
        </is>
      </c>
      <c r="F3512" s="3" t="n">
        <v>313226</v>
      </c>
      <c r="G3512" s="143" t="n"/>
      <c r="H3512" s="143" t="n">
        <v>444</v>
      </c>
      <c r="I3512" s="143">
        <f>+I3511+(G3512-H3512)</f>
        <v/>
      </c>
      <c r="J3512" s="144" t="n">
        <v>46.27</v>
      </c>
      <c r="K3512" s="145" t="n"/>
      <c r="L3512" s="140">
        <f>+H3512*J3512</f>
        <v/>
      </c>
      <c r="M3512" s="141">
        <f>SUM(M3511+K3512-L3512)</f>
        <v/>
      </c>
    </row>
    <row r="3513">
      <c r="A3513" s="20" t="n">
        <v>45856</v>
      </c>
      <c r="B3513" s="1" t="n">
        <v>11853</v>
      </c>
      <c r="C3513" s="2" t="inlineStr">
        <is>
          <t>SELİM İNŞAAT</t>
        </is>
      </c>
      <c r="D3513" s="1" t="inlineStr">
        <is>
          <t>34 FSG 229</t>
        </is>
      </c>
      <c r="E3513" s="1" t="inlineStr">
        <is>
          <t>SİNAN TANRIVERDİ</t>
        </is>
      </c>
      <c r="F3513" s="3" t="n">
        <v>265483</v>
      </c>
      <c r="G3513" s="143" t="n"/>
      <c r="H3513" s="143" t="n">
        <v>420</v>
      </c>
      <c r="I3513" s="143">
        <f>+I3512+(G3513-H3513)</f>
        <v/>
      </c>
      <c r="J3513" s="144" t="n">
        <v>46.27</v>
      </c>
      <c r="K3513" s="145" t="n"/>
      <c r="L3513" s="140">
        <f>+H3513*J3513</f>
        <v/>
      </c>
      <c r="M3513" s="141">
        <f>SUM(M3512+K3513-L3513)</f>
        <v/>
      </c>
    </row>
    <row r="3514">
      <c r="A3514" s="20" t="n">
        <v>45856</v>
      </c>
      <c r="B3514" s="1" t="n">
        <v>14445</v>
      </c>
      <c r="C3514" s="2" t="inlineStr">
        <is>
          <t>SELİM İNŞAAT</t>
        </is>
      </c>
      <c r="D3514" s="1" t="inlineStr">
        <is>
          <t>34 EGR 737</t>
        </is>
      </c>
      <c r="E3514" s="1" t="inlineStr">
        <is>
          <t>CEM MUHTAR</t>
        </is>
      </c>
      <c r="F3514" s="3" t="n">
        <v>422790</v>
      </c>
      <c r="G3514" s="143" t="n"/>
      <c r="H3514" s="143" t="n">
        <v>398</v>
      </c>
      <c r="I3514" s="143">
        <f>+I3513+(G3514-H3514)</f>
        <v/>
      </c>
      <c r="J3514" s="144" t="n">
        <v>46.27</v>
      </c>
      <c r="K3514" s="145" t="n"/>
      <c r="L3514" s="140">
        <f>+H3514*J3514</f>
        <v/>
      </c>
      <c r="M3514" s="141">
        <f>SUM(M3513+K3514-L3514)</f>
        <v/>
      </c>
    </row>
    <row r="3515">
      <c r="A3515" s="20" t="n">
        <v>45856</v>
      </c>
      <c r="B3515" s="1" t="n">
        <v>410</v>
      </c>
      <c r="C3515" s="2" t="inlineStr">
        <is>
          <t>SELİM İNŞAAT</t>
        </is>
      </c>
      <c r="D3515" s="1" t="inlineStr">
        <is>
          <t>34 DRU 690</t>
        </is>
      </c>
      <c r="E3515" s="1" t="inlineStr">
        <is>
          <t>MURAT DEMİRBAŞ</t>
        </is>
      </c>
      <c r="F3515" s="3" t="n">
        <v>425229</v>
      </c>
      <c r="G3515" s="143" t="n"/>
      <c r="H3515" s="143" t="n">
        <v>498</v>
      </c>
      <c r="I3515" s="143">
        <f>+I3514+(G3515-H3515)</f>
        <v/>
      </c>
      <c r="J3515" s="144" t="n">
        <v>46.27</v>
      </c>
      <c r="K3515" s="145" t="n"/>
      <c r="L3515" s="140">
        <f>+H3515*J3515</f>
        <v/>
      </c>
      <c r="M3515" s="141">
        <f>SUM(M3514+K3515-L3515)</f>
        <v/>
      </c>
    </row>
    <row r="3516">
      <c r="A3516" s="20" t="n">
        <v>45856</v>
      </c>
      <c r="B3516" s="1" t="n">
        <v>15035</v>
      </c>
      <c r="C3516" s="2" t="inlineStr">
        <is>
          <t>SELİM İNŞAAT</t>
        </is>
      </c>
      <c r="D3516" s="1" t="inlineStr">
        <is>
          <t>34 GVZ 199</t>
        </is>
      </c>
      <c r="E3516" s="1" t="inlineStr">
        <is>
          <t>VAHDET GÜRLER</t>
        </is>
      </c>
      <c r="F3516" s="3" t="n">
        <v>189661</v>
      </c>
      <c r="G3516" s="143" t="n"/>
      <c r="H3516" s="143" t="n">
        <v>375</v>
      </c>
      <c r="I3516" s="143">
        <f>+I3515+(G3516-H3516)</f>
        <v/>
      </c>
      <c r="J3516" s="144" t="n">
        <v>46.27</v>
      </c>
      <c r="K3516" s="145" t="n"/>
      <c r="L3516" s="140">
        <f>+H3516*J3516</f>
        <v/>
      </c>
      <c r="M3516" s="141">
        <f>SUM(M3515+K3516-L3516)</f>
        <v/>
      </c>
    </row>
    <row r="3517">
      <c r="A3517" s="20" t="n">
        <v>45856</v>
      </c>
      <c r="B3517" s="1" t="n">
        <v>15121</v>
      </c>
      <c r="C3517" s="2" t="inlineStr">
        <is>
          <t>SELİM İNŞAAT</t>
        </is>
      </c>
      <c r="D3517" s="1" t="inlineStr">
        <is>
          <t>34 DTV 599</t>
        </is>
      </c>
      <c r="E3517" s="1" t="inlineStr">
        <is>
          <t>FERHAT GÜRLER</t>
        </is>
      </c>
      <c r="F3517" s="3" t="n">
        <v>439228</v>
      </c>
      <c r="G3517" s="143" t="n"/>
      <c r="H3517" s="143" t="n">
        <v>390</v>
      </c>
      <c r="I3517" s="143">
        <f>+I3516+(G3517-H3517)</f>
        <v/>
      </c>
      <c r="J3517" s="144" t="n">
        <v>46.27</v>
      </c>
      <c r="K3517" s="145" t="n"/>
      <c r="L3517" s="140">
        <f>+H3517*J3517</f>
        <v/>
      </c>
      <c r="M3517" s="141">
        <f>SUM(M3516+K3517-L3517)</f>
        <v/>
      </c>
    </row>
    <row r="3518">
      <c r="A3518" s="20" t="n">
        <v>45856</v>
      </c>
      <c r="B3518" s="1" t="n">
        <v>15366</v>
      </c>
      <c r="C3518" s="2" t="inlineStr">
        <is>
          <t>SELİM İNŞAAT</t>
        </is>
      </c>
      <c r="D3518" s="1" t="inlineStr">
        <is>
          <t>34 DTV 409</t>
        </is>
      </c>
      <c r="E3518" s="1" t="inlineStr">
        <is>
          <t>ONUR CANLI</t>
        </is>
      </c>
      <c r="F3518" s="3" t="n">
        <v>424918</v>
      </c>
      <c r="G3518" s="143" t="n"/>
      <c r="H3518" s="143" t="n">
        <v>395</v>
      </c>
      <c r="I3518" s="143">
        <f>+I3517+(G3518-H3518)</f>
        <v/>
      </c>
      <c r="J3518" s="144" t="n">
        <v>46.27</v>
      </c>
      <c r="K3518" s="145" t="n"/>
      <c r="L3518" s="140">
        <f>+H3518*J3518</f>
        <v/>
      </c>
      <c r="M3518" s="141">
        <f>SUM(M3517+K3518-L3518)</f>
        <v/>
      </c>
    </row>
    <row r="3519">
      <c r="A3519" s="20" t="n">
        <v>45856</v>
      </c>
      <c r="B3519" s="1" t="n">
        <v>10251</v>
      </c>
      <c r="C3519" s="2" t="inlineStr">
        <is>
          <t>SELİM İNŞAAT</t>
        </is>
      </c>
      <c r="D3519" s="1" t="inlineStr">
        <is>
          <t>34 DSN 621</t>
        </is>
      </c>
      <c r="E3519" s="1" t="inlineStr">
        <is>
          <t>MUSTAFA KAYA</t>
        </is>
      </c>
      <c r="F3519" s="3" t="n">
        <v>418773</v>
      </c>
      <c r="G3519" s="143" t="n"/>
      <c r="H3519" s="143" t="n">
        <v>363</v>
      </c>
      <c r="I3519" s="143">
        <f>+I3518+(G3519-H3519)</f>
        <v/>
      </c>
      <c r="J3519" s="144" t="n">
        <v>46.27</v>
      </c>
      <c r="K3519" s="145" t="n"/>
      <c r="L3519" s="140">
        <f>+H3519*J3519</f>
        <v/>
      </c>
      <c r="M3519" s="141">
        <f>SUM(M3518+K3519-L3519)</f>
        <v/>
      </c>
    </row>
    <row r="3520">
      <c r="A3520" s="20" t="n">
        <v>45856</v>
      </c>
      <c r="B3520" s="1" t="n">
        <v>14147</v>
      </c>
      <c r="C3520" s="2" t="inlineStr">
        <is>
          <t>SELİM İNŞAAT</t>
        </is>
      </c>
      <c r="D3520" s="1" t="inlineStr">
        <is>
          <t>34 DSN 536</t>
        </is>
      </c>
      <c r="E3520" s="1" t="inlineStr">
        <is>
          <t>DURSUN ALİ GÜREK</t>
        </is>
      </c>
      <c r="F3520" s="3" t="n">
        <v>413048</v>
      </c>
      <c r="G3520" s="143" t="n"/>
      <c r="H3520" s="143" t="n">
        <v>474</v>
      </c>
      <c r="I3520" s="143">
        <f>+I3519+(G3520-H3520)</f>
        <v/>
      </c>
      <c r="J3520" s="144" t="n">
        <v>46.27</v>
      </c>
      <c r="K3520" s="145" t="n"/>
      <c r="L3520" s="140">
        <f>+H3520*J3520</f>
        <v/>
      </c>
      <c r="M3520" s="141">
        <f>SUM(M3519+K3520-L3520)</f>
        <v/>
      </c>
    </row>
    <row r="3521">
      <c r="A3521" s="20" t="n">
        <v>45856</v>
      </c>
      <c r="B3521" s="1" t="n">
        <v>21638</v>
      </c>
      <c r="C3521" s="2" t="inlineStr">
        <is>
          <t>SELİM İNŞAAT</t>
        </is>
      </c>
      <c r="D3521" s="1" t="inlineStr">
        <is>
          <t>34 DHC 467</t>
        </is>
      </c>
      <c r="E3521" s="1" t="inlineStr">
        <is>
          <t>HÜSEYİN DENİZ</t>
        </is>
      </c>
      <c r="F3521" s="3" t="n">
        <v>411329</v>
      </c>
      <c r="G3521" s="143" t="n"/>
      <c r="H3521" s="143" t="n">
        <v>375</v>
      </c>
      <c r="I3521" s="143">
        <f>+I3520+(G3521-H3521)</f>
        <v/>
      </c>
      <c r="J3521" s="144" t="n">
        <v>46.27</v>
      </c>
      <c r="K3521" s="145" t="n"/>
      <c r="L3521" s="140">
        <f>+H3521*J3521</f>
        <v/>
      </c>
      <c r="M3521" s="141">
        <f>SUM(M3520+K3521-L3521)</f>
        <v/>
      </c>
    </row>
    <row r="3522">
      <c r="A3522" s="20" t="n">
        <v>45856</v>
      </c>
      <c r="B3522" s="1" t="n">
        <v>15528</v>
      </c>
      <c r="C3522" s="2" t="inlineStr">
        <is>
          <t>SELİM İNŞAAT</t>
        </is>
      </c>
      <c r="D3522" s="1" t="inlineStr">
        <is>
          <t>34 EDC 086</t>
        </is>
      </c>
      <c r="E3522" s="1" t="inlineStr">
        <is>
          <t>ÖMER AĞAYAR</t>
        </is>
      </c>
      <c r="F3522" s="3" t="n">
        <v>333683</v>
      </c>
      <c r="G3522" s="143" t="n"/>
      <c r="H3522" s="143" t="n">
        <v>422</v>
      </c>
      <c r="I3522" s="143">
        <f>+I3521+(G3522-H3522)</f>
        <v/>
      </c>
      <c r="J3522" s="144" t="n">
        <v>46.27</v>
      </c>
      <c r="K3522" s="145" t="n"/>
      <c r="L3522" s="140">
        <f>+H3522*J3522</f>
        <v/>
      </c>
      <c r="M3522" s="141">
        <f>SUM(M3521+K3522-L3522)</f>
        <v/>
      </c>
    </row>
    <row r="3523">
      <c r="A3523" s="20" t="n">
        <v>45856</v>
      </c>
      <c r="B3523" s="1" t="n">
        <v>15932</v>
      </c>
      <c r="C3523" s="2" t="inlineStr">
        <is>
          <t>SELİM İNŞAAT</t>
        </is>
      </c>
      <c r="D3523" s="1" t="inlineStr">
        <is>
          <t>34 DFE 454</t>
        </is>
      </c>
      <c r="E3523" s="1" t="inlineStr">
        <is>
          <t>METİN KALKAN</t>
        </is>
      </c>
      <c r="F3523" s="3" t="n">
        <v>162605</v>
      </c>
      <c r="G3523" s="143" t="n"/>
      <c r="H3523" s="143" t="n">
        <v>220</v>
      </c>
      <c r="I3523" s="143">
        <f>+I3522+(G3523-H3523)</f>
        <v/>
      </c>
      <c r="J3523" s="144" t="n">
        <v>46.27</v>
      </c>
      <c r="K3523" s="145" t="n"/>
      <c r="L3523" s="140">
        <f>+H3523*J3523</f>
        <v/>
      </c>
      <c r="M3523" s="141">
        <f>SUM(M3522+K3523-L3523)</f>
        <v/>
      </c>
    </row>
    <row r="3524">
      <c r="A3524" s="20" t="n">
        <v>45856</v>
      </c>
      <c r="B3524" s="1" t="n">
        <v>14652</v>
      </c>
      <c r="C3524" s="2" t="inlineStr">
        <is>
          <t>SELİM İNŞAAT</t>
        </is>
      </c>
      <c r="D3524" s="1" t="inlineStr">
        <is>
          <t>34 GER 445</t>
        </is>
      </c>
      <c r="E3524" s="1" t="inlineStr">
        <is>
          <t>HASAN BAYCAN</t>
        </is>
      </c>
      <c r="F3524" s="3" t="n">
        <v>45898</v>
      </c>
      <c r="G3524" s="143" t="n"/>
      <c r="H3524" s="143" t="n">
        <v>221</v>
      </c>
      <c r="I3524" s="143">
        <f>+I3523+(G3524-H3524)</f>
        <v/>
      </c>
      <c r="J3524" s="144" t="n">
        <v>46.27</v>
      </c>
      <c r="K3524" s="145" t="n"/>
      <c r="L3524" s="140">
        <f>+H3524*J3524</f>
        <v/>
      </c>
      <c r="M3524" s="141">
        <f>SUM(M3523+K3524-L3524)</f>
        <v/>
      </c>
    </row>
    <row r="3525">
      <c r="A3525" s="20" t="n">
        <v>45856</v>
      </c>
      <c r="B3525" s="1" t="n">
        <v>15174</v>
      </c>
      <c r="C3525" s="2" t="inlineStr">
        <is>
          <t>SELİM İNŞAAT</t>
        </is>
      </c>
      <c r="D3525" s="1" t="inlineStr">
        <is>
          <t>34 DP 4161</t>
        </is>
      </c>
      <c r="E3525" s="1" t="inlineStr">
        <is>
          <t>RIFAT KARATAY</t>
        </is>
      </c>
      <c r="F3525" s="3" t="n">
        <v>290779</v>
      </c>
      <c r="G3525" s="143" t="n"/>
      <c r="H3525" s="143" t="n">
        <v>243</v>
      </c>
      <c r="I3525" s="143">
        <f>+I3524+(G3525-H3525)</f>
        <v/>
      </c>
      <c r="J3525" s="144" t="n">
        <v>46.27</v>
      </c>
      <c r="K3525" s="145" t="n"/>
      <c r="L3525" s="140">
        <f>+H3525*J3525</f>
        <v/>
      </c>
      <c r="M3525" s="141">
        <f>SUM(M3524+K3525-L3525)</f>
        <v/>
      </c>
    </row>
    <row r="3526">
      <c r="A3526" s="20" t="n">
        <v>45856</v>
      </c>
      <c r="B3526" s="1" t="n">
        <v>457</v>
      </c>
      <c r="C3526" s="2" t="inlineStr">
        <is>
          <t>SELİM İNŞAAT</t>
        </is>
      </c>
      <c r="D3526" s="1" t="inlineStr">
        <is>
          <t>34 DKL 866</t>
        </is>
      </c>
      <c r="E3526" s="1" t="inlineStr">
        <is>
          <t>SELİM CAN ÖNVER</t>
        </is>
      </c>
      <c r="F3526" s="3" t="n">
        <v>69141</v>
      </c>
      <c r="G3526" s="143" t="n"/>
      <c r="H3526" s="143" t="n">
        <v>174</v>
      </c>
      <c r="I3526" s="143">
        <f>+I3525+(G3526-H3526)</f>
        <v/>
      </c>
      <c r="J3526" s="144" t="n">
        <v>46.27</v>
      </c>
      <c r="K3526" s="145" t="n"/>
      <c r="L3526" s="140">
        <f>+H3526*J3526</f>
        <v/>
      </c>
      <c r="M3526" s="141">
        <f>SUM(M3525+K3526-L3526)</f>
        <v/>
      </c>
    </row>
    <row r="3527">
      <c r="A3527" s="20" t="n">
        <v>45856</v>
      </c>
      <c r="B3527" s="21" t="n">
        <v>144</v>
      </c>
      <c r="C3527" s="22" t="inlineStr">
        <is>
          <t>MİRBE PETROL SANAYİ VE TİCARET ANONİM ŞİRKETİ</t>
        </is>
      </c>
      <c r="D3527" s="21" t="n"/>
      <c r="E3527" s="21" t="n"/>
      <c r="F3527" s="23" t="n"/>
      <c r="G3527" s="138" t="n">
        <v>24554</v>
      </c>
      <c r="H3527" s="138" t="n"/>
      <c r="I3527" s="138">
        <f>+I3526+(G3527-H3527)</f>
        <v/>
      </c>
      <c r="J3527" s="139">
        <f>+K3527/G3527</f>
        <v/>
      </c>
      <c r="K3527" s="140" t="n">
        <v>1177127.6</v>
      </c>
      <c r="L3527" s="140">
        <f>+H3527*J3527</f>
        <v/>
      </c>
      <c r="M3527" s="141">
        <f>SUM(M3526+K3527-L3527)</f>
        <v/>
      </c>
    </row>
    <row r="3528">
      <c r="A3528" s="20" t="n">
        <v>45857</v>
      </c>
      <c r="B3528" s="1" t="n">
        <v>928</v>
      </c>
      <c r="C3528" s="2" t="inlineStr">
        <is>
          <t>CEVİZ MOBİLYA</t>
        </is>
      </c>
      <c r="D3528" s="1" t="inlineStr">
        <is>
          <t xml:space="preserve">SM 300 </t>
        </is>
      </c>
      <c r="E3528" s="1" t="inlineStr">
        <is>
          <t>TURGUT SANCAK</t>
        </is>
      </c>
      <c r="F3528" s="3" t="n"/>
      <c r="G3528" s="143" t="n"/>
      <c r="H3528" s="143" t="n">
        <v>307</v>
      </c>
      <c r="I3528" s="143">
        <f>+I3527+(G3528-H3528)</f>
        <v/>
      </c>
      <c r="J3528" s="144" t="n">
        <v>46.27</v>
      </c>
      <c r="K3528" s="145" t="n"/>
      <c r="L3528" s="140">
        <f>+H3528*J3528</f>
        <v/>
      </c>
      <c r="M3528" s="141">
        <f>SUM(M3527+K3528-L3528)</f>
        <v/>
      </c>
    </row>
    <row r="3529">
      <c r="A3529" s="20" t="n">
        <v>45857</v>
      </c>
      <c r="B3529" s="1" t="n">
        <v>929</v>
      </c>
      <c r="C3529" s="2" t="inlineStr">
        <is>
          <t>MEGA VALIK</t>
        </is>
      </c>
      <c r="D3529" s="1" t="inlineStr">
        <is>
          <t>SM 350</t>
        </is>
      </c>
      <c r="E3529" s="1" t="inlineStr">
        <is>
          <t>BAYRAM SANCAK</t>
        </is>
      </c>
      <c r="F3529" s="3" t="n"/>
      <c r="G3529" s="143" t="n"/>
      <c r="H3529" s="143" t="n">
        <v>387</v>
      </c>
      <c r="I3529" s="143">
        <f>+I3528+(G3529-H3529)</f>
        <v/>
      </c>
      <c r="J3529" s="144" t="n">
        <v>46.27</v>
      </c>
      <c r="K3529" s="145" t="n"/>
      <c r="L3529" s="140">
        <f>+H3529*J3529</f>
        <v/>
      </c>
      <c r="M3529" s="141">
        <f>SUM(M3528+K3529-L3529)</f>
        <v/>
      </c>
    </row>
    <row r="3530">
      <c r="A3530" s="20" t="n">
        <v>45857</v>
      </c>
      <c r="B3530" s="1" t="n">
        <v>930</v>
      </c>
      <c r="C3530" s="2" t="inlineStr">
        <is>
          <t>HASALTUN</t>
        </is>
      </c>
      <c r="D3530" s="1" t="inlineStr">
        <is>
          <t>KAVAZAKİ</t>
        </is>
      </c>
      <c r="E3530" s="1" t="inlineStr">
        <is>
          <t>RAMAZAN KAYA</t>
        </is>
      </c>
      <c r="F3530" s="3" t="n"/>
      <c r="G3530" s="143" t="n"/>
      <c r="H3530" s="143" t="n">
        <v>290</v>
      </c>
      <c r="I3530" s="143">
        <f>+I3529+(G3530-H3530)</f>
        <v/>
      </c>
      <c r="J3530" s="144" t="n">
        <v>46.27</v>
      </c>
      <c r="K3530" s="145" t="n"/>
      <c r="L3530" s="140">
        <f>+H3530*J3530</f>
        <v/>
      </c>
      <c r="M3530" s="141">
        <f>SUM(M3529+K3530-L3530)</f>
        <v/>
      </c>
    </row>
    <row r="3531">
      <c r="A3531" s="20" t="n">
        <v>45857</v>
      </c>
      <c r="B3531" s="1" t="n">
        <v>931</v>
      </c>
      <c r="C3531" s="2" t="inlineStr">
        <is>
          <t>HASALTUN</t>
        </is>
      </c>
      <c r="D3531" s="1" t="inlineStr">
        <is>
          <t>SM 370</t>
        </is>
      </c>
      <c r="E3531" s="1" t="inlineStr">
        <is>
          <t>TEKİN ŞEYLAN</t>
        </is>
      </c>
      <c r="F3531" s="3" t="n"/>
      <c r="G3531" s="143" t="n"/>
      <c r="H3531" s="143" t="n">
        <v>542</v>
      </c>
      <c r="I3531" s="143">
        <f>+I3530+(G3531-H3531)</f>
        <v/>
      </c>
      <c r="J3531" s="144" t="n">
        <v>46.27</v>
      </c>
      <c r="K3531" s="145" t="n"/>
      <c r="L3531" s="140">
        <f>+H3531*J3531</f>
        <v/>
      </c>
      <c r="M3531" s="141">
        <f>SUM(M3530+K3531-L3531)</f>
        <v/>
      </c>
    </row>
    <row r="3532">
      <c r="A3532" s="20" t="n">
        <v>45857</v>
      </c>
      <c r="B3532" s="1" t="n">
        <v>932</v>
      </c>
      <c r="C3532" s="2" t="inlineStr">
        <is>
          <t>MEGA VALIK</t>
        </is>
      </c>
      <c r="D3532" s="1" t="inlineStr">
        <is>
          <t>SM 300</t>
        </is>
      </c>
      <c r="E3532" s="1" t="inlineStr">
        <is>
          <t>TURGUT SANCAK</t>
        </is>
      </c>
      <c r="F3532" s="3" t="n"/>
      <c r="G3532" s="143" t="n"/>
      <c r="H3532" s="143" t="n">
        <v>284</v>
      </c>
      <c r="I3532" s="143">
        <f>+I3531+(G3532-H3532)</f>
        <v/>
      </c>
      <c r="J3532" s="144" t="n">
        <v>46.27</v>
      </c>
      <c r="K3532" s="145" t="n"/>
      <c r="L3532" s="140">
        <f>+H3532*J3532</f>
        <v/>
      </c>
      <c r="M3532" s="141">
        <f>SUM(M3531+K3532-L3532)</f>
        <v/>
      </c>
    </row>
    <row r="3533">
      <c r="A3533" s="20" t="n">
        <v>45857</v>
      </c>
      <c r="B3533" s="1" t="n"/>
      <c r="C3533" s="2" t="inlineStr">
        <is>
          <t>SELİM İNŞAAT</t>
        </is>
      </c>
      <c r="D3533" s="1" t="inlineStr">
        <is>
          <t>34 DTV 352</t>
        </is>
      </c>
      <c r="E3533" s="1" t="inlineStr">
        <is>
          <t>ADEM DENİZ</t>
        </is>
      </c>
      <c r="F3533" s="3" t="n">
        <v>437500</v>
      </c>
      <c r="G3533" s="143" t="n"/>
      <c r="H3533" s="143" t="n">
        <v>510</v>
      </c>
      <c r="I3533" s="143">
        <f>+I3532+(G3533-H3533)</f>
        <v/>
      </c>
      <c r="J3533" s="144" t="n">
        <v>46.27</v>
      </c>
      <c r="K3533" s="145" t="n"/>
      <c r="L3533" s="140">
        <f>+H3533*J3533</f>
        <v/>
      </c>
      <c r="M3533" s="141">
        <f>SUM(M3532+K3533-L3533)</f>
        <v/>
      </c>
    </row>
    <row r="3534">
      <c r="A3534" s="20" t="n">
        <v>45857</v>
      </c>
      <c r="B3534" s="1" t="n">
        <v>762</v>
      </c>
      <c r="C3534" s="2" t="inlineStr">
        <is>
          <t>SELİM İNŞAAT</t>
        </is>
      </c>
      <c r="D3534" s="1" t="inlineStr">
        <is>
          <t>34 EDB 559</t>
        </is>
      </c>
      <c r="E3534" s="1" t="inlineStr">
        <is>
          <t>ADNAN KOÇ</t>
        </is>
      </c>
      <c r="F3534" s="3" t="n">
        <v>332338</v>
      </c>
      <c r="G3534" s="143" t="n"/>
      <c r="H3534" s="143" t="n">
        <v>293</v>
      </c>
      <c r="I3534" s="143">
        <f>+I3533+(G3534-H3534)</f>
        <v/>
      </c>
      <c r="J3534" s="144" t="n">
        <v>46.27</v>
      </c>
      <c r="K3534" s="145" t="n"/>
      <c r="L3534" s="140">
        <f>+H3534*J3534</f>
        <v/>
      </c>
      <c r="M3534" s="141">
        <f>SUM(M3533+K3534-L3534)</f>
        <v/>
      </c>
    </row>
    <row r="3535">
      <c r="A3535" s="20" t="n">
        <v>45857</v>
      </c>
      <c r="B3535" s="1" t="n">
        <v>15265</v>
      </c>
      <c r="C3535" s="2" t="inlineStr">
        <is>
          <t>SELİM İNŞAAT</t>
        </is>
      </c>
      <c r="D3535" s="1" t="inlineStr">
        <is>
          <t>34 DTV 447</t>
        </is>
      </c>
      <c r="E3535" s="1" t="inlineStr">
        <is>
          <t>EBUBEKİR KOLDAŞ</t>
        </is>
      </c>
      <c r="F3535" s="3" t="n">
        <v>435763</v>
      </c>
      <c r="G3535" s="143" t="n"/>
      <c r="H3535" s="143" t="n">
        <v>410</v>
      </c>
      <c r="I3535" s="143">
        <f>+I3534+(G3535-H3535)</f>
        <v/>
      </c>
      <c r="J3535" s="144" t="n">
        <v>46.27</v>
      </c>
      <c r="K3535" s="145" t="n"/>
      <c r="L3535" s="140">
        <f>+H3535*J3535</f>
        <v/>
      </c>
      <c r="M3535" s="141">
        <f>SUM(M3534+K3535-L3535)</f>
        <v/>
      </c>
    </row>
    <row r="3536">
      <c r="A3536" s="20" t="n">
        <v>45857</v>
      </c>
      <c r="B3536" s="1" t="n">
        <v>14102</v>
      </c>
      <c r="C3536" s="2" t="inlineStr">
        <is>
          <t>SELİM İNŞAAT</t>
        </is>
      </c>
      <c r="D3536" s="1" t="inlineStr">
        <is>
          <t>34 EDB 659</t>
        </is>
      </c>
      <c r="E3536" s="1" t="inlineStr">
        <is>
          <t>MEHMET SAİT ANIK</t>
        </is>
      </c>
      <c r="F3536" s="3" t="n">
        <v>349270</v>
      </c>
      <c r="G3536" s="143" t="n"/>
      <c r="H3536" s="143" t="n">
        <v>470</v>
      </c>
      <c r="I3536" s="143">
        <f>+I3535+(G3536-H3536)</f>
        <v/>
      </c>
      <c r="J3536" s="144" t="n">
        <v>46.27</v>
      </c>
      <c r="K3536" s="145" t="n"/>
      <c r="L3536" s="140">
        <f>+H3536*J3536</f>
        <v/>
      </c>
      <c r="M3536" s="141">
        <f>SUM(M3535+K3536-L3536)</f>
        <v/>
      </c>
    </row>
    <row r="3537">
      <c r="A3537" s="20" t="n">
        <v>45857</v>
      </c>
      <c r="B3537" s="1" t="n">
        <v>14773</v>
      </c>
      <c r="C3537" s="2" t="inlineStr">
        <is>
          <t>SELİM İNŞAAT</t>
        </is>
      </c>
      <c r="D3537" s="1" t="inlineStr">
        <is>
          <t>34 GYZ 635</t>
        </is>
      </c>
      <c r="E3537" s="1" t="inlineStr">
        <is>
          <t>ENGİN DEMİR</t>
        </is>
      </c>
      <c r="F3537" s="3" t="n">
        <v>182</v>
      </c>
      <c r="G3537" s="143" t="n"/>
      <c r="H3537" s="143" t="n">
        <v>320</v>
      </c>
      <c r="I3537" s="143">
        <f>+I3536+(G3537-H3537)</f>
        <v/>
      </c>
      <c r="J3537" s="144" t="n">
        <v>46.27</v>
      </c>
      <c r="K3537" s="145" t="n"/>
      <c r="L3537" s="140">
        <f>+H3537*J3537</f>
        <v/>
      </c>
      <c r="M3537" s="141">
        <f>SUM(M3536+K3537-L3537)</f>
        <v/>
      </c>
    </row>
    <row r="3538">
      <c r="A3538" s="20" t="n">
        <v>45857</v>
      </c>
      <c r="B3538" s="1" t="n">
        <v>15579</v>
      </c>
      <c r="C3538" s="2" t="inlineStr">
        <is>
          <t>SELİM İNŞAAT</t>
        </is>
      </c>
      <c r="D3538" s="1" t="inlineStr">
        <is>
          <t>34 GVZ 745</t>
        </is>
      </c>
      <c r="E3538" s="1" t="inlineStr">
        <is>
          <t>MUHAMMED YİĞİT</t>
        </is>
      </c>
      <c r="F3538" s="3" t="n">
        <v>193930</v>
      </c>
      <c r="G3538" s="143" t="n"/>
      <c r="H3538" s="143" t="n">
        <v>355</v>
      </c>
      <c r="I3538" s="143">
        <f>+I3537+(G3538-H3538)</f>
        <v/>
      </c>
      <c r="J3538" s="144" t="n">
        <v>46.27</v>
      </c>
      <c r="K3538" s="145" t="n"/>
      <c r="L3538" s="140">
        <f>+H3538*J3538</f>
        <v/>
      </c>
      <c r="M3538" s="141">
        <f>SUM(M3537+K3538-L3538)</f>
        <v/>
      </c>
    </row>
    <row r="3539">
      <c r="A3539" s="20" t="n">
        <v>45857</v>
      </c>
      <c r="B3539" s="1" t="n">
        <v>564</v>
      </c>
      <c r="C3539" s="2" t="inlineStr">
        <is>
          <t>SELİM İNŞAAT</t>
        </is>
      </c>
      <c r="D3539" s="1" t="inlineStr">
        <is>
          <t>34 EDB 922</t>
        </is>
      </c>
      <c r="E3539" s="1" t="inlineStr">
        <is>
          <t>AHMET TOPÇU</t>
        </is>
      </c>
      <c r="F3539" s="3" t="n">
        <v>371658</v>
      </c>
      <c r="G3539" s="143" t="n"/>
      <c r="H3539" s="143" t="n">
        <v>276</v>
      </c>
      <c r="I3539" s="143">
        <f>+I3538+(G3539-H3539)</f>
        <v/>
      </c>
      <c r="J3539" s="144" t="n">
        <v>46.27</v>
      </c>
      <c r="K3539" s="145" t="n"/>
      <c r="L3539" s="140">
        <f>+H3539*J3539</f>
        <v/>
      </c>
      <c r="M3539" s="141">
        <f>SUM(M3538+K3539-L3539)</f>
        <v/>
      </c>
    </row>
    <row r="3540">
      <c r="A3540" s="20" t="n">
        <v>45857</v>
      </c>
      <c r="B3540" s="1" t="n">
        <v>14834</v>
      </c>
      <c r="C3540" s="2" t="inlineStr">
        <is>
          <t>SELİM İNŞAAT</t>
        </is>
      </c>
      <c r="D3540" s="1" t="inlineStr">
        <is>
          <t>34 GVZ 268</t>
        </is>
      </c>
      <c r="E3540" s="1" t="inlineStr">
        <is>
          <t xml:space="preserve">KERİM KARAMAN </t>
        </is>
      </c>
      <c r="F3540" s="3" t="n">
        <v>200485</v>
      </c>
      <c r="G3540" s="143" t="n"/>
      <c r="H3540" s="143" t="n">
        <v>375</v>
      </c>
      <c r="I3540" s="143">
        <f>+I3539+(G3540-H3540)</f>
        <v/>
      </c>
      <c r="J3540" s="144" t="n">
        <v>46.27</v>
      </c>
      <c r="K3540" s="145" t="n"/>
      <c r="L3540" s="140">
        <f>+H3540*J3540</f>
        <v/>
      </c>
      <c r="M3540" s="141">
        <f>SUM(M3539+K3540-L3540)</f>
        <v/>
      </c>
    </row>
    <row r="3541">
      <c r="A3541" s="20" t="n">
        <v>45857</v>
      </c>
      <c r="B3541" s="1" t="n">
        <v>14446</v>
      </c>
      <c r="C3541" s="2" t="inlineStr">
        <is>
          <t>SELİM İNŞAAT</t>
        </is>
      </c>
      <c r="D3541" s="1" t="inlineStr">
        <is>
          <t>34 EGR 737</t>
        </is>
      </c>
      <c r="E3541" s="1" t="inlineStr">
        <is>
          <t>CEM MUHTAR</t>
        </is>
      </c>
      <c r="F3541" s="3" t="n">
        <v>423123</v>
      </c>
      <c r="G3541" s="143" t="n"/>
      <c r="H3541" s="143" t="n">
        <v>235</v>
      </c>
      <c r="I3541" s="143">
        <f>+I3540+(G3541-H3541)</f>
        <v/>
      </c>
      <c r="J3541" s="144" t="n">
        <v>46.27</v>
      </c>
      <c r="K3541" s="145" t="n"/>
      <c r="L3541" s="140">
        <f>+H3541*J3541</f>
        <v/>
      </c>
      <c r="M3541" s="141">
        <f>SUM(M3540+K3541-L3541)</f>
        <v/>
      </c>
    </row>
    <row r="3542">
      <c r="A3542" s="20" t="n">
        <v>45857</v>
      </c>
      <c r="B3542" s="1" t="n">
        <v>15218</v>
      </c>
      <c r="C3542" s="2" t="inlineStr">
        <is>
          <t>SELİM İNŞAAT</t>
        </is>
      </c>
      <c r="D3542" s="1" t="inlineStr">
        <is>
          <t>34 DSN 565</t>
        </is>
      </c>
      <c r="E3542" s="1" t="inlineStr">
        <is>
          <t>ADNAN KOÇ</t>
        </is>
      </c>
      <c r="F3542" s="3" t="n">
        <v>407467</v>
      </c>
      <c r="G3542" s="143" t="n"/>
      <c r="H3542" s="143" t="n">
        <v>512</v>
      </c>
      <c r="I3542" s="143">
        <f>+I3541+(G3542-H3542)</f>
        <v/>
      </c>
      <c r="J3542" s="144" t="n">
        <v>46.27</v>
      </c>
      <c r="K3542" s="145" t="n"/>
      <c r="L3542" s="140">
        <f>+H3542*J3542</f>
        <v/>
      </c>
      <c r="M3542" s="141">
        <f>SUM(M3541+K3542-L3542)</f>
        <v/>
      </c>
    </row>
    <row r="3543">
      <c r="A3543" s="20" t="n">
        <v>45857</v>
      </c>
      <c r="B3543" s="1" t="n">
        <v>815</v>
      </c>
      <c r="C3543" s="2" t="inlineStr">
        <is>
          <t>SELİM İNŞAAT</t>
        </is>
      </c>
      <c r="D3543" s="1" t="inlineStr">
        <is>
          <t>34 FBR 705</t>
        </is>
      </c>
      <c r="E3543" s="1" t="inlineStr">
        <is>
          <t>MESUT GÜRLER</t>
        </is>
      </c>
      <c r="F3543" s="3" t="n">
        <v>324812</v>
      </c>
      <c r="G3543" s="143" t="n"/>
      <c r="H3543" s="143" t="n">
        <v>445</v>
      </c>
      <c r="I3543" s="143">
        <f>+I3542+(G3543-H3543)</f>
        <v/>
      </c>
      <c r="J3543" s="144" t="n">
        <v>46.27</v>
      </c>
      <c r="K3543" s="145" t="n"/>
      <c r="L3543" s="140">
        <f>+H3543*J3543</f>
        <v/>
      </c>
      <c r="M3543" s="141">
        <f>SUM(M3542+K3543-L3543)</f>
        <v/>
      </c>
    </row>
    <row r="3544">
      <c r="A3544" s="20" t="n">
        <v>45857</v>
      </c>
      <c r="B3544" s="1" t="n">
        <v>15367</v>
      </c>
      <c r="C3544" s="2" t="inlineStr">
        <is>
          <t>SELİM İNŞAAT</t>
        </is>
      </c>
      <c r="D3544" s="1" t="inlineStr">
        <is>
          <t>34 DTV 409</t>
        </is>
      </c>
      <c r="E3544" s="1" t="inlineStr">
        <is>
          <t>ONUR CANLI</t>
        </is>
      </c>
      <c r="F3544" s="3" t="n">
        <v>425073</v>
      </c>
      <c r="G3544" s="143" t="n"/>
      <c r="H3544" s="143" t="n">
        <v>110</v>
      </c>
      <c r="I3544" s="143">
        <f>+I3543+(G3544-H3544)</f>
        <v/>
      </c>
      <c r="J3544" s="144" t="n">
        <v>46.27</v>
      </c>
      <c r="K3544" s="145" t="n"/>
      <c r="L3544" s="140">
        <f>+H3544*J3544</f>
        <v/>
      </c>
      <c r="M3544" s="141">
        <f>SUM(M3543+K3544-L3544)</f>
        <v/>
      </c>
    </row>
    <row r="3545">
      <c r="A3545" s="20" t="n">
        <v>45857</v>
      </c>
      <c r="B3545" s="1" t="n">
        <v>11498</v>
      </c>
      <c r="C3545" s="2" t="inlineStr">
        <is>
          <t>SELİM İNŞAAT</t>
        </is>
      </c>
      <c r="D3545" s="1" t="inlineStr">
        <is>
          <t>34 EGR 922</t>
        </is>
      </c>
      <c r="E3545" s="1" t="inlineStr">
        <is>
          <t>FARUK ÖZEN</t>
        </is>
      </c>
      <c r="F3545" s="3" t="n">
        <v>461429</v>
      </c>
      <c r="G3545" s="143" t="n"/>
      <c r="H3545" s="143" t="n">
        <v>488</v>
      </c>
      <c r="I3545" s="143">
        <f>+I3544+(G3545-H3545)</f>
        <v/>
      </c>
      <c r="J3545" s="144" t="n">
        <v>46.27</v>
      </c>
      <c r="K3545" s="145" t="n"/>
      <c r="L3545" s="140">
        <f>+H3545*J3545</f>
        <v/>
      </c>
      <c r="M3545" s="141">
        <f>SUM(M3544+K3545-L3545)</f>
        <v/>
      </c>
    </row>
    <row r="3546">
      <c r="A3546" s="20" t="n">
        <v>45857</v>
      </c>
      <c r="B3546" s="1" t="n">
        <v>14499</v>
      </c>
      <c r="C3546" s="2" t="inlineStr">
        <is>
          <t>SELİM İNŞAAT</t>
        </is>
      </c>
      <c r="D3546" s="1" t="inlineStr">
        <is>
          <t>34 GUS 848</t>
        </is>
      </c>
      <c r="E3546" s="1" t="inlineStr">
        <is>
          <t>SERDAR BOZKURT</t>
        </is>
      </c>
      <c r="F3546" s="3" t="n">
        <v>198745</v>
      </c>
      <c r="G3546" s="143" t="n"/>
      <c r="H3546" s="143" t="n">
        <v>250</v>
      </c>
      <c r="I3546" s="143">
        <f>+I3545+(G3546-H3546)</f>
        <v/>
      </c>
      <c r="J3546" s="144" t="n">
        <v>46.27</v>
      </c>
      <c r="K3546" s="145" t="n"/>
      <c r="L3546" s="140">
        <f>+H3546*J3546</f>
        <v/>
      </c>
      <c r="M3546" s="141">
        <f>SUM(M3545+K3546-L3546)</f>
        <v/>
      </c>
    </row>
    <row r="3547">
      <c r="A3547" s="20" t="n">
        <v>45857</v>
      </c>
      <c r="B3547" s="1" t="n">
        <v>21639</v>
      </c>
      <c r="C3547" s="2" t="inlineStr">
        <is>
          <t>SELİM İNŞAAT</t>
        </is>
      </c>
      <c r="D3547" s="1" t="inlineStr">
        <is>
          <t>34 DHC 467</t>
        </is>
      </c>
      <c r="E3547" s="1" t="inlineStr">
        <is>
          <t>HÜSEYİN DENİZ</t>
        </is>
      </c>
      <c r="F3547" s="3" t="n">
        <v>411763</v>
      </c>
      <c r="G3547" s="143" t="n"/>
      <c r="H3547" s="143" t="n">
        <v>260</v>
      </c>
      <c r="I3547" s="143">
        <f>+I3546+(G3547-H3547)</f>
        <v/>
      </c>
      <c r="J3547" s="144" t="n">
        <v>46.27</v>
      </c>
      <c r="K3547" s="145" t="n"/>
      <c r="L3547" s="140">
        <f>+H3547*J3547</f>
        <v/>
      </c>
      <c r="M3547" s="141">
        <f>SUM(M3546+K3547-L3547)</f>
        <v/>
      </c>
    </row>
    <row r="3548">
      <c r="A3548" s="20" t="n">
        <v>45857</v>
      </c>
      <c r="B3548" s="1" t="n">
        <v>114</v>
      </c>
      <c r="C3548" s="2" t="inlineStr">
        <is>
          <t>SELİM İNŞAAT</t>
        </is>
      </c>
      <c r="D3548" s="1" t="inlineStr">
        <is>
          <t>34 FBR 771</t>
        </is>
      </c>
      <c r="E3548" s="1" t="inlineStr">
        <is>
          <t>HÜSEYİN AKÇİN</t>
        </is>
      </c>
      <c r="F3548" s="3" t="n">
        <v>327623</v>
      </c>
      <c r="G3548" s="143" t="n"/>
      <c r="H3548" s="143" t="n">
        <v>389</v>
      </c>
      <c r="I3548" s="143">
        <f>+I3547+(G3548-H3548)</f>
        <v/>
      </c>
      <c r="J3548" s="144" t="n">
        <v>46.27</v>
      </c>
      <c r="K3548" s="145" t="n"/>
      <c r="L3548" s="140">
        <f>+H3548*J3548</f>
        <v/>
      </c>
      <c r="M3548" s="141">
        <f>SUM(M3547+K3548-L3548)</f>
        <v/>
      </c>
    </row>
    <row r="3549">
      <c r="A3549" s="20" t="n">
        <v>45857</v>
      </c>
      <c r="B3549" s="1" t="n">
        <v>15529</v>
      </c>
      <c r="C3549" s="2" t="inlineStr">
        <is>
          <t>SELİM İNŞAAT</t>
        </is>
      </c>
      <c r="D3549" s="1" t="inlineStr">
        <is>
          <t>34 EDC 086</t>
        </is>
      </c>
      <c r="E3549" s="1" t="inlineStr">
        <is>
          <t>ÖMER AĞAYAR</t>
        </is>
      </c>
      <c r="F3549" s="3" t="n">
        <v>334226</v>
      </c>
      <c r="G3549" s="143" t="n"/>
      <c r="H3549" s="143" t="n">
        <v>343</v>
      </c>
      <c r="I3549" s="143">
        <f>+I3548+(G3549-H3549)</f>
        <v/>
      </c>
      <c r="J3549" s="144" t="n">
        <v>46.27</v>
      </c>
      <c r="K3549" s="145" t="n"/>
      <c r="L3549" s="140">
        <f>+H3549*J3549</f>
        <v/>
      </c>
      <c r="M3549" s="141">
        <f>SUM(M3548+K3549-L3549)</f>
        <v/>
      </c>
    </row>
    <row r="3550">
      <c r="A3550" s="20" t="n">
        <v>45857</v>
      </c>
      <c r="B3550" s="1" t="n">
        <v>15871</v>
      </c>
      <c r="C3550" s="2" t="inlineStr">
        <is>
          <t>SELİM İNŞAAT</t>
        </is>
      </c>
      <c r="D3550" s="1" t="inlineStr">
        <is>
          <t>34 EDB 754</t>
        </is>
      </c>
      <c r="E3550" s="1" t="inlineStr">
        <is>
          <t>EMİN PARLAKKILIÇ</t>
        </is>
      </c>
      <c r="F3550" s="3" t="n">
        <v>330997</v>
      </c>
      <c r="G3550" s="143" t="n"/>
      <c r="H3550" s="143" t="n">
        <v>313</v>
      </c>
      <c r="I3550" s="143">
        <f>+I3549+(G3550-H3550)</f>
        <v/>
      </c>
      <c r="J3550" s="144" t="n">
        <v>46.27</v>
      </c>
      <c r="K3550" s="145" t="n"/>
      <c r="L3550" s="140">
        <f>+H3550*J3550</f>
        <v/>
      </c>
      <c r="M3550" s="141">
        <f>SUM(M3549+K3550-L3550)</f>
        <v/>
      </c>
    </row>
    <row r="3551">
      <c r="A3551" s="20" t="n">
        <v>45857</v>
      </c>
      <c r="B3551" s="1" t="n">
        <v>17</v>
      </c>
      <c r="C3551" s="2" t="inlineStr">
        <is>
          <t>SELİM İNŞAAT</t>
        </is>
      </c>
      <c r="D3551" s="1" t="inlineStr">
        <is>
          <t>34 FBR 748</t>
        </is>
      </c>
      <c r="E3551" s="1" t="inlineStr">
        <is>
          <t>YAŞAR ÖZKAYA</t>
        </is>
      </c>
      <c r="F3551" s="3" t="n">
        <v>289569</v>
      </c>
      <c r="G3551" s="143" t="n"/>
      <c r="H3551" s="143" t="n">
        <v>498</v>
      </c>
      <c r="I3551" s="143">
        <f>+I3550+(G3551-H3551)</f>
        <v/>
      </c>
      <c r="J3551" s="144" t="n">
        <v>46.27</v>
      </c>
      <c r="K3551" s="145" t="n"/>
      <c r="L3551" s="140">
        <f>+H3551*J3551</f>
        <v/>
      </c>
      <c r="M3551" s="141">
        <f>SUM(M3550+K3551-L3551)</f>
        <v/>
      </c>
    </row>
    <row r="3552">
      <c r="A3552" s="20" t="n">
        <v>45857</v>
      </c>
      <c r="B3552" s="1" t="n">
        <v>15066</v>
      </c>
      <c r="C3552" s="2" t="inlineStr">
        <is>
          <t>SELİM İNŞAAT</t>
        </is>
      </c>
      <c r="D3552" s="1" t="inlineStr">
        <is>
          <t>34 EGR 736</t>
        </is>
      </c>
      <c r="E3552" s="1" t="inlineStr">
        <is>
          <t>HAKAN ÇAVUŞOĞLU</t>
        </is>
      </c>
      <c r="F3552" s="3" t="n">
        <v>397845</v>
      </c>
      <c r="G3552" s="143" t="n"/>
      <c r="H3552" s="143" t="n">
        <v>490</v>
      </c>
      <c r="I3552" s="143">
        <f>+I3551+(G3552-H3552)</f>
        <v/>
      </c>
      <c r="J3552" s="144" t="n">
        <v>46.27</v>
      </c>
      <c r="K3552" s="145" t="n"/>
      <c r="L3552" s="140">
        <f>+H3552*J3552</f>
        <v/>
      </c>
      <c r="M3552" s="141">
        <f>SUM(M3551+K3552-L3552)</f>
        <v/>
      </c>
    </row>
    <row r="3553">
      <c r="A3553" s="20" t="n">
        <v>45857</v>
      </c>
      <c r="B3553" s="1" t="n">
        <v>14251</v>
      </c>
      <c r="C3553" s="2" t="inlineStr">
        <is>
          <t>SELİM İNŞAAT</t>
        </is>
      </c>
      <c r="D3553" s="1" t="inlineStr">
        <is>
          <t xml:space="preserve">34 GUS 938 </t>
        </is>
      </c>
      <c r="E3553" s="1" t="inlineStr">
        <is>
          <t>MEHMET KAYA</t>
        </is>
      </c>
      <c r="F3553" s="3" t="n">
        <v>196572</v>
      </c>
      <c r="G3553" s="143" t="n"/>
      <c r="H3553" s="143" t="n">
        <v>481</v>
      </c>
      <c r="I3553" s="143">
        <f>+I3552+(G3553-H3553)</f>
        <v/>
      </c>
      <c r="J3553" s="144" t="n">
        <v>46.27</v>
      </c>
      <c r="K3553" s="145" t="n"/>
      <c r="L3553" s="140">
        <f>+H3553*J3553</f>
        <v/>
      </c>
      <c r="M3553" s="141">
        <f>SUM(M3552+K3553-L3553)</f>
        <v/>
      </c>
    </row>
    <row r="3554">
      <c r="A3554" s="20" t="n">
        <v>45857</v>
      </c>
      <c r="B3554" s="1" t="n">
        <v>14396</v>
      </c>
      <c r="C3554" s="2" t="inlineStr">
        <is>
          <t>SELİM İNŞAAT</t>
        </is>
      </c>
      <c r="D3554" s="1" t="inlineStr">
        <is>
          <t>34 DKL 798</t>
        </is>
      </c>
      <c r="E3554" s="1" t="inlineStr">
        <is>
          <t>EMİRCAN ÖZTÜRK</t>
        </is>
      </c>
      <c r="F3554" s="3" t="n">
        <v>68624</v>
      </c>
      <c r="G3554" s="143" t="n"/>
      <c r="H3554" s="143" t="n">
        <v>211</v>
      </c>
      <c r="I3554" s="143">
        <f>+I3553+(G3554-H3554)</f>
        <v/>
      </c>
      <c r="J3554" s="144" t="n">
        <v>46.27</v>
      </c>
      <c r="K3554" s="145" t="n"/>
      <c r="L3554" s="140">
        <f>+H3554*J3554</f>
        <v/>
      </c>
      <c r="M3554" s="141">
        <f>SUM(M3553+K3554-L3554)</f>
        <v/>
      </c>
    </row>
    <row r="3555">
      <c r="A3555" s="20" t="n">
        <v>45857</v>
      </c>
      <c r="B3555" s="1" t="n">
        <v>14545</v>
      </c>
      <c r="C3555" s="2" t="inlineStr">
        <is>
          <t>SELİM İNŞAAT</t>
        </is>
      </c>
      <c r="D3555" s="1" t="inlineStr">
        <is>
          <t>34 GER 028</t>
        </is>
      </c>
      <c r="E3555" s="1" t="inlineStr">
        <is>
          <t>A.KERİM ERGEN</t>
        </is>
      </c>
      <c r="F3555" s="3" t="n">
        <v>47653</v>
      </c>
      <c r="G3555" s="143" t="n"/>
      <c r="H3555" s="143" t="n">
        <v>240</v>
      </c>
      <c r="I3555" s="143">
        <f>+I3554+(G3555-H3555)</f>
        <v/>
      </c>
      <c r="J3555" s="144" t="n">
        <v>46.27</v>
      </c>
      <c r="K3555" s="145" t="n"/>
      <c r="L3555" s="140">
        <f>+H3555*J3555</f>
        <v/>
      </c>
      <c r="M3555" s="141">
        <f>SUM(M3554+K3555-L3555)</f>
        <v/>
      </c>
    </row>
    <row r="3556">
      <c r="A3556" s="20" t="n">
        <v>45858</v>
      </c>
      <c r="B3556" s="1" t="n">
        <v>933</v>
      </c>
      <c r="C3556" s="2" t="inlineStr">
        <is>
          <t>GARAJ</t>
        </is>
      </c>
      <c r="D3556" s="21" t="inlineStr">
        <is>
          <t>FOKLİFT</t>
        </is>
      </c>
      <c r="E3556" s="1" t="inlineStr">
        <is>
          <t>GARAJ</t>
        </is>
      </c>
      <c r="F3556" s="3" t="n"/>
      <c r="G3556" s="143" t="n"/>
      <c r="H3556" s="143" t="n">
        <v>17</v>
      </c>
      <c r="I3556" s="143">
        <f>+I3555+(G3556-H3556)</f>
        <v/>
      </c>
      <c r="J3556" s="144" t="n">
        <v>46.27</v>
      </c>
      <c r="K3556" s="145" t="n"/>
      <c r="L3556" s="140">
        <f>+H3556*J3556</f>
        <v/>
      </c>
      <c r="M3556" s="141">
        <f>SUM(M3555+K3556-L3556)</f>
        <v/>
      </c>
    </row>
    <row r="3557">
      <c r="A3557" s="20" t="n">
        <v>45858</v>
      </c>
      <c r="B3557" s="21" t="n">
        <v>15624</v>
      </c>
      <c r="C3557" s="22" t="inlineStr">
        <is>
          <t>METİN ERYİĞİT</t>
        </is>
      </c>
      <c r="D3557" s="21" t="inlineStr">
        <is>
          <t>34 EGS 013</t>
        </is>
      </c>
      <c r="E3557" s="21" t="inlineStr">
        <is>
          <t xml:space="preserve">UĞUR DUMAN </t>
        </is>
      </c>
      <c r="F3557" s="23" t="n">
        <v>498585</v>
      </c>
      <c r="G3557" s="138" t="n"/>
      <c r="H3557" s="138" t="n">
        <v>340</v>
      </c>
      <c r="I3557" s="138">
        <f>+I3556+(G3557-H3557)</f>
        <v/>
      </c>
      <c r="J3557" s="139" t="n">
        <v>46.27</v>
      </c>
      <c r="K3557" s="140" t="n"/>
      <c r="L3557" s="140">
        <f>+H3557*J3557</f>
        <v/>
      </c>
      <c r="M3557" s="141">
        <f>SUM(M3556+K3557-L3557)</f>
        <v/>
      </c>
    </row>
    <row r="3558">
      <c r="A3558" s="20" t="n">
        <v>45858</v>
      </c>
      <c r="B3558" s="21" t="n">
        <v>15679</v>
      </c>
      <c r="C3558" s="22" t="inlineStr">
        <is>
          <t>METİN ERYİĞİT</t>
        </is>
      </c>
      <c r="D3558" s="21" t="inlineStr">
        <is>
          <t>34 EGR 814</t>
        </is>
      </c>
      <c r="E3558" s="21" t="inlineStr">
        <is>
          <t>GÜRAY KOYUNCU</t>
        </is>
      </c>
      <c r="F3558" s="23" t="n">
        <v>552484</v>
      </c>
      <c r="G3558" s="138" t="n"/>
      <c r="H3558" s="138" t="n">
        <v>342</v>
      </c>
      <c r="I3558" s="138">
        <f>+I3557+(G3558-H3558)</f>
        <v/>
      </c>
      <c r="J3558" s="139" t="n">
        <v>46.27</v>
      </c>
      <c r="K3558" s="140" t="n"/>
      <c r="L3558" s="140">
        <f>+H3558*J3558</f>
        <v/>
      </c>
      <c r="M3558" s="141">
        <f>SUM(M3557+K3558-L3558)</f>
        <v/>
      </c>
    </row>
    <row r="3559">
      <c r="A3559" s="20" t="n">
        <v>45858</v>
      </c>
      <c r="B3559" s="1" t="n">
        <v>8889</v>
      </c>
      <c r="C3559" s="2" t="inlineStr">
        <is>
          <t>SELİM İNŞAAT</t>
        </is>
      </c>
      <c r="D3559" s="1" t="inlineStr">
        <is>
          <t>34 AZ 2191 VİNÇ</t>
        </is>
      </c>
      <c r="E3559" s="1" t="inlineStr">
        <is>
          <t>NUMAN KABİL</t>
        </is>
      </c>
      <c r="F3559" s="3" t="n"/>
      <c r="G3559" s="143" t="n"/>
      <c r="H3559" s="143" t="n">
        <v>220</v>
      </c>
      <c r="I3559" s="143">
        <f>+I3558+(G3559-H3559)</f>
        <v/>
      </c>
      <c r="J3559" s="144" t="n">
        <v>46.27</v>
      </c>
      <c r="K3559" s="145" t="n"/>
      <c r="L3559" s="140">
        <f>+H3559*J3559</f>
        <v/>
      </c>
      <c r="M3559" s="141">
        <f>SUM(M3558+K3559-L3559)</f>
        <v/>
      </c>
    </row>
    <row r="3560">
      <c r="A3560" s="20" t="n">
        <v>45858</v>
      </c>
      <c r="B3560" s="1" t="n"/>
      <c r="C3560" s="2" t="inlineStr">
        <is>
          <t>SELİM İNŞAAT</t>
        </is>
      </c>
      <c r="D3560" s="1" t="inlineStr">
        <is>
          <t>34 DTV 352</t>
        </is>
      </c>
      <c r="E3560" s="1" t="inlineStr">
        <is>
          <t>ADEM DENİZ</t>
        </is>
      </c>
      <c r="F3560" s="3" t="inlineStr">
        <is>
          <t>SULU MAZOT DEĞİŞTİ</t>
        </is>
      </c>
      <c r="G3560" s="143" t="n"/>
      <c r="H3560" s="143" t="n">
        <v>300</v>
      </c>
      <c r="I3560" s="143">
        <f>+I3559+(G3560-H3560)</f>
        <v/>
      </c>
      <c r="J3560" s="144" t="n">
        <v>46.27</v>
      </c>
      <c r="K3560" s="145" t="n"/>
      <c r="L3560" s="140">
        <f>+H3560*J3560</f>
        <v/>
      </c>
      <c r="M3560" s="141">
        <f>SUM(M3559+K3560-L3560)</f>
        <v/>
      </c>
    </row>
    <row r="3561">
      <c r="A3561" s="20" t="n">
        <v>45858</v>
      </c>
      <c r="B3561" s="1" t="n">
        <v>14252</v>
      </c>
      <c r="C3561" s="2" t="inlineStr">
        <is>
          <t>SELİM İNŞAAT</t>
        </is>
      </c>
      <c r="D3561" s="1" t="inlineStr">
        <is>
          <t xml:space="preserve">34 GUS 938 </t>
        </is>
      </c>
      <c r="E3561" s="1" t="inlineStr">
        <is>
          <t>MEHMET KAYA</t>
        </is>
      </c>
      <c r="F3561" s="3" t="n">
        <v>196832</v>
      </c>
      <c r="G3561" s="143" t="n"/>
      <c r="H3561" s="143" t="n">
        <v>248</v>
      </c>
      <c r="I3561" s="143">
        <f>+I3560+(G3561-H3561)</f>
        <v/>
      </c>
      <c r="J3561" s="144" t="n">
        <v>46.27</v>
      </c>
      <c r="K3561" s="145" t="n"/>
      <c r="L3561" s="140">
        <f>+H3561*J3561</f>
        <v/>
      </c>
      <c r="M3561" s="141">
        <f>SUM(M3560+K3561-L3561)</f>
        <v/>
      </c>
    </row>
    <row r="3562">
      <c r="A3562" s="20" t="n">
        <v>45858</v>
      </c>
      <c r="B3562" s="1" t="n">
        <v>21338</v>
      </c>
      <c r="C3562" s="2" t="inlineStr">
        <is>
          <t>SELİM İNŞAAT</t>
        </is>
      </c>
      <c r="D3562" s="1" t="inlineStr">
        <is>
          <t>34 FEM 934</t>
        </is>
      </c>
      <c r="E3562" s="1" t="inlineStr">
        <is>
          <t>MUSTAFA ALBAYRAK</t>
        </is>
      </c>
      <c r="F3562" s="3" t="n">
        <v>313981</v>
      </c>
      <c r="G3562" s="143" t="n"/>
      <c r="H3562" s="143" t="n">
        <v>108</v>
      </c>
      <c r="I3562" s="143">
        <f>+I3561+(G3562-H3562)</f>
        <v/>
      </c>
      <c r="J3562" s="144" t="n">
        <v>46.27</v>
      </c>
      <c r="K3562" s="145" t="n"/>
      <c r="L3562" s="140">
        <f>+H3562*J3562</f>
        <v/>
      </c>
      <c r="M3562" s="141">
        <f>SUM(M3561+K3562-L3562)</f>
        <v/>
      </c>
    </row>
    <row r="3563">
      <c r="A3563" s="20" t="n">
        <v>45858</v>
      </c>
      <c r="B3563" s="1" t="n">
        <v>15175</v>
      </c>
      <c r="C3563" s="2" t="inlineStr">
        <is>
          <t>SELİM İNŞAAT</t>
        </is>
      </c>
      <c r="D3563" s="1" t="inlineStr">
        <is>
          <t>34 DP 4161</t>
        </is>
      </c>
      <c r="E3563" s="1" t="inlineStr">
        <is>
          <t>RIFAT KARATAY</t>
        </is>
      </c>
      <c r="F3563" s="3" t="n">
        <v>291102</v>
      </c>
      <c r="G3563" s="143" t="n"/>
      <c r="H3563" s="143" t="n">
        <v>245</v>
      </c>
      <c r="I3563" s="143">
        <f>+I3562+(G3563-H3563)</f>
        <v/>
      </c>
      <c r="J3563" s="144" t="n">
        <v>46.27</v>
      </c>
      <c r="K3563" s="145" t="n"/>
      <c r="L3563" s="140">
        <f>+H3563*J3563</f>
        <v/>
      </c>
      <c r="M3563" s="141">
        <f>SUM(M3562+K3563-L3563)</f>
        <v/>
      </c>
    </row>
    <row r="3564">
      <c r="A3564" s="20" t="n">
        <v>45858</v>
      </c>
      <c r="B3564" s="1" t="n">
        <v>163</v>
      </c>
      <c r="C3564" s="2" t="inlineStr">
        <is>
          <t>SELİM İNŞAAT</t>
        </is>
      </c>
      <c r="D3564" s="1" t="inlineStr">
        <is>
          <t>34 TG 7869</t>
        </is>
      </c>
      <c r="E3564" s="1" t="inlineStr">
        <is>
          <t>GÖRKEM KARAYEL</t>
        </is>
      </c>
      <c r="F3564" s="3" t="n">
        <v>185531</v>
      </c>
      <c r="G3564" s="143" t="n"/>
      <c r="H3564" s="143" t="n">
        <v>242</v>
      </c>
      <c r="I3564" s="143">
        <f>+I3563+(G3564-H3564)</f>
        <v/>
      </c>
      <c r="J3564" s="144" t="n">
        <v>46.27</v>
      </c>
      <c r="K3564" s="145" t="n"/>
      <c r="L3564" s="140">
        <f>+H3564*J3564</f>
        <v/>
      </c>
      <c r="M3564" s="141">
        <f>SUM(M3563+K3564-L3564)</f>
        <v/>
      </c>
    </row>
    <row r="3565">
      <c r="A3565" s="20" t="n">
        <v>45858</v>
      </c>
      <c r="B3565" s="1" t="n">
        <v>458</v>
      </c>
      <c r="C3565" s="2" t="inlineStr">
        <is>
          <t>SELİM İNŞAAT</t>
        </is>
      </c>
      <c r="D3565" s="1" t="inlineStr">
        <is>
          <t>34 DKL 866</t>
        </is>
      </c>
      <c r="E3565" s="1" t="inlineStr">
        <is>
          <t>SELİM CAN ÖNVER</t>
        </is>
      </c>
      <c r="F3565" s="3" t="n">
        <v>69350</v>
      </c>
      <c r="G3565" s="143" t="n"/>
      <c r="H3565" s="143" t="n">
        <v>173</v>
      </c>
      <c r="I3565" s="143">
        <f>+I3564+(G3565-H3565)</f>
        <v/>
      </c>
      <c r="J3565" s="144" t="n">
        <v>46.27</v>
      </c>
      <c r="K3565" s="145" t="n"/>
      <c r="L3565" s="140">
        <f>+H3565*J3565</f>
        <v/>
      </c>
      <c r="M3565" s="141">
        <f>SUM(M3564+K3565-L3565)</f>
        <v/>
      </c>
    </row>
    <row r="3566">
      <c r="A3566" s="20" t="n">
        <v>45858</v>
      </c>
      <c r="B3566" s="1" t="n">
        <v>14447</v>
      </c>
      <c r="C3566" s="2" t="inlineStr">
        <is>
          <t>SELİM İNŞAAT</t>
        </is>
      </c>
      <c r="D3566" s="1" t="inlineStr">
        <is>
          <t>34 EGR 737</t>
        </is>
      </c>
      <c r="E3566" s="1" t="inlineStr">
        <is>
          <t>CEM MUHTAR</t>
        </is>
      </c>
      <c r="F3566" s="3" t="n">
        <v>423497</v>
      </c>
      <c r="G3566" s="143" t="n"/>
      <c r="H3566" s="143" t="n">
        <v>277</v>
      </c>
      <c r="I3566" s="143">
        <f>+I3565+(G3566-H3566)</f>
        <v/>
      </c>
      <c r="J3566" s="144" t="n">
        <v>46.27</v>
      </c>
      <c r="K3566" s="145" t="n"/>
      <c r="L3566" s="140">
        <f>+H3566*J3566</f>
        <v/>
      </c>
      <c r="M3566" s="141">
        <f>SUM(M3565+K3566-L3566)</f>
        <v/>
      </c>
    </row>
    <row r="3567">
      <c r="A3567" s="20" t="n">
        <v>45858</v>
      </c>
      <c r="B3567" s="1" t="n">
        <v>1252</v>
      </c>
      <c r="C3567" s="2" t="inlineStr">
        <is>
          <t>SELİM İNŞAAT</t>
        </is>
      </c>
      <c r="D3567" s="1" t="inlineStr">
        <is>
          <t>34 DSN 621</t>
        </is>
      </c>
      <c r="E3567" s="1" t="inlineStr">
        <is>
          <t>MUSTAFA KAYA</t>
        </is>
      </c>
      <c r="F3567" s="3" t="n">
        <v>419217</v>
      </c>
      <c r="G3567" s="143" t="n"/>
      <c r="H3567" s="143" t="n">
        <v>356</v>
      </c>
      <c r="I3567" s="143">
        <f>+I3566+(G3567-H3567)</f>
        <v/>
      </c>
      <c r="J3567" s="144" t="n">
        <v>46.27</v>
      </c>
      <c r="K3567" s="145" t="n"/>
      <c r="L3567" s="140">
        <f>+H3567*J3567</f>
        <v/>
      </c>
      <c r="M3567" s="141">
        <f>SUM(M3566+K3567-L3567)</f>
        <v/>
      </c>
    </row>
    <row r="3568">
      <c r="A3568" s="20" t="n">
        <v>45858</v>
      </c>
      <c r="B3568" s="1" t="n">
        <v>960</v>
      </c>
      <c r="C3568" s="2" t="inlineStr">
        <is>
          <t>SELİM İNŞAAT</t>
        </is>
      </c>
      <c r="D3568" s="1" t="inlineStr">
        <is>
          <t>34 FBR 742</t>
        </is>
      </c>
      <c r="E3568" s="1" t="inlineStr">
        <is>
          <t>MİKAİL BAYILMAZ</t>
        </is>
      </c>
      <c r="F3568" s="3" t="n">
        <v>325951</v>
      </c>
      <c r="G3568" s="143" t="n"/>
      <c r="H3568" s="143" t="n">
        <v>458</v>
      </c>
      <c r="I3568" s="143">
        <f>+I3567+(G3568-H3568)</f>
        <v/>
      </c>
      <c r="J3568" s="144" t="n">
        <v>46.27</v>
      </c>
      <c r="K3568" s="145" t="n"/>
      <c r="L3568" s="140">
        <f>+H3568*J3568</f>
        <v/>
      </c>
      <c r="M3568" s="141">
        <f>SUM(M3567+K3568-L3568)</f>
        <v/>
      </c>
    </row>
    <row r="3569">
      <c r="A3569" s="20" t="n">
        <v>45858</v>
      </c>
      <c r="B3569" s="1" t="n">
        <v>1701</v>
      </c>
      <c r="C3569" s="2" t="inlineStr">
        <is>
          <t>SELİM İNŞAAT</t>
        </is>
      </c>
      <c r="D3569" s="21" t="inlineStr">
        <is>
          <t>34 DGP 137</t>
        </is>
      </c>
      <c r="E3569" s="1" t="inlineStr">
        <is>
          <t>A.KERİM ERGEN</t>
        </is>
      </c>
      <c r="F3569" s="3" t="n">
        <v>432689</v>
      </c>
      <c r="G3569" s="143" t="n"/>
      <c r="H3569" s="143" t="n">
        <v>300</v>
      </c>
      <c r="I3569" s="143">
        <f>+I3568+(G3569-H3569)</f>
        <v/>
      </c>
      <c r="J3569" s="144" t="n">
        <v>46.27</v>
      </c>
      <c r="K3569" s="145" t="n"/>
      <c r="L3569" s="140">
        <f>+H3569*J3569</f>
        <v/>
      </c>
      <c r="M3569" s="141">
        <f>SUM(M3568+K3569-L3569)</f>
        <v/>
      </c>
    </row>
    <row r="3570">
      <c r="A3570" s="20" t="n">
        <v>45858</v>
      </c>
      <c r="B3570" s="1" t="n">
        <v>15872</v>
      </c>
      <c r="C3570" s="2" t="inlineStr">
        <is>
          <t>SELİM İNŞAAT</t>
        </is>
      </c>
      <c r="D3570" s="1" t="inlineStr">
        <is>
          <t>34 EDB 754</t>
        </is>
      </c>
      <c r="E3570" s="1" t="inlineStr">
        <is>
          <t>EMİN PARLAKKILIÇ</t>
        </is>
      </c>
      <c r="F3570" s="3" t="n">
        <v>331537</v>
      </c>
      <c r="G3570" s="143" t="n"/>
      <c r="H3570" s="143" t="n">
        <v>380</v>
      </c>
      <c r="I3570" s="143">
        <f>+I3569+(G3570-H3570)</f>
        <v/>
      </c>
      <c r="J3570" s="144" t="n">
        <v>46.27</v>
      </c>
      <c r="K3570" s="145" t="n"/>
      <c r="L3570" s="140">
        <f>+H3570*J3570</f>
        <v/>
      </c>
      <c r="M3570" s="141">
        <f>SUM(M3569+K3570-L3570)</f>
        <v/>
      </c>
    </row>
    <row r="3571">
      <c r="A3571" s="20" t="n">
        <v>45858</v>
      </c>
      <c r="B3571" s="1" t="n">
        <v>15580</v>
      </c>
      <c r="C3571" s="2" t="inlineStr">
        <is>
          <t>SELİM İNŞAAT</t>
        </is>
      </c>
      <c r="D3571" s="1" t="inlineStr">
        <is>
          <t>34 GVZ 745</t>
        </is>
      </c>
      <c r="E3571" s="1" t="inlineStr">
        <is>
          <t>MUHAMMED YİĞİT</t>
        </is>
      </c>
      <c r="F3571" s="3" t="n">
        <v>194423</v>
      </c>
      <c r="G3571" s="143" t="n"/>
      <c r="H3571" s="143" t="n">
        <v>338</v>
      </c>
      <c r="I3571" s="143">
        <f>+I3570+(G3571-H3571)</f>
        <v/>
      </c>
      <c r="J3571" s="144" t="n">
        <v>46.27</v>
      </c>
      <c r="K3571" s="145" t="n"/>
      <c r="L3571" s="140">
        <f>+H3571*J3571</f>
        <v/>
      </c>
      <c r="M3571" s="141">
        <f>SUM(M3570+K3571-L3571)</f>
        <v/>
      </c>
    </row>
    <row r="3572">
      <c r="A3572" s="20" t="n">
        <v>45858</v>
      </c>
      <c r="B3572" s="1" t="n">
        <v>1002</v>
      </c>
      <c r="C3572" s="2" t="inlineStr">
        <is>
          <t>SELİM İNŞAAT</t>
        </is>
      </c>
      <c r="D3572" s="1" t="inlineStr">
        <is>
          <t>34 DHH 668</t>
        </is>
      </c>
      <c r="E3572" s="1" t="inlineStr">
        <is>
          <t>ADNAN KOÇ</t>
        </is>
      </c>
      <c r="F3572" s="3" t="n">
        <v>391213</v>
      </c>
      <c r="G3572" s="143" t="n"/>
      <c r="H3572" s="143" t="n">
        <v>300</v>
      </c>
      <c r="I3572" s="143">
        <f>+I3571+(G3572-H3572)</f>
        <v/>
      </c>
      <c r="J3572" s="144" t="n">
        <v>46.27</v>
      </c>
      <c r="K3572" s="145" t="n"/>
      <c r="L3572" s="140">
        <f>+H3572*J3572</f>
        <v/>
      </c>
      <c r="M3572" s="141">
        <f>SUM(M3571+K3572-L3572)</f>
        <v/>
      </c>
    </row>
    <row r="3573">
      <c r="A3573" s="20" t="n">
        <v>45858</v>
      </c>
      <c r="B3573" s="1" t="n">
        <v>1201</v>
      </c>
      <c r="C3573" s="2" t="inlineStr">
        <is>
          <t>SELİM İNŞAAT</t>
        </is>
      </c>
      <c r="D3573" s="1" t="inlineStr">
        <is>
          <t>34 DHC 393</t>
        </is>
      </c>
      <c r="E3573" s="1" t="inlineStr">
        <is>
          <t>MUHAMMED BULUT</t>
        </is>
      </c>
      <c r="F3573" s="3" t="n">
        <v>429253</v>
      </c>
      <c r="G3573" s="143" t="n"/>
      <c r="H3573" s="143" t="n">
        <v>300</v>
      </c>
      <c r="I3573" s="143">
        <f>+I3572+(G3573-H3573)</f>
        <v/>
      </c>
      <c r="J3573" s="144" t="n">
        <v>46.27</v>
      </c>
      <c r="K3573" s="145" t="n"/>
      <c r="L3573" s="140">
        <f>+H3573*J3573</f>
        <v/>
      </c>
      <c r="M3573" s="141">
        <f>SUM(M3572+K3573-L3573)</f>
        <v/>
      </c>
    </row>
    <row r="3574">
      <c r="A3574" s="20" t="n">
        <v>45858</v>
      </c>
      <c r="B3574" s="1" t="n">
        <v>15067</v>
      </c>
      <c r="C3574" s="2" t="inlineStr">
        <is>
          <t>SELİM İNŞAAT</t>
        </is>
      </c>
      <c r="D3574" s="1" t="inlineStr">
        <is>
          <t>34 EGR 736</t>
        </is>
      </c>
      <c r="E3574" s="1" t="inlineStr">
        <is>
          <t>HAKAN ÇAVUŞOĞLU</t>
        </is>
      </c>
      <c r="F3574" s="3" t="n">
        <v>398545</v>
      </c>
      <c r="G3574" s="143" t="n"/>
      <c r="H3574" s="143" t="n">
        <v>403</v>
      </c>
      <c r="I3574" s="143">
        <f>+I3573+(G3574-H3574)</f>
        <v/>
      </c>
      <c r="J3574" s="144" t="n">
        <v>46.27</v>
      </c>
      <c r="K3574" s="145" t="n"/>
      <c r="L3574" s="140">
        <f>+H3574*J3574</f>
        <v/>
      </c>
      <c r="M3574" s="141">
        <f>SUM(M3573+K3574-L3574)</f>
        <v/>
      </c>
    </row>
    <row r="3575">
      <c r="A3575" s="20" t="n">
        <v>45858</v>
      </c>
      <c r="B3575" s="1" t="n">
        <v>1052</v>
      </c>
      <c r="C3575" s="2" t="inlineStr">
        <is>
          <t>SELİM İNŞAAT</t>
        </is>
      </c>
      <c r="D3575" s="1" t="inlineStr">
        <is>
          <t>34 GVZ 310</t>
        </is>
      </c>
      <c r="E3575" s="1" t="inlineStr">
        <is>
          <t>CELAL YÜZBAŞI</t>
        </is>
      </c>
      <c r="F3575" s="3" t="n">
        <v>207064</v>
      </c>
      <c r="G3575" s="143" t="n"/>
      <c r="H3575" s="143" t="n">
        <v>538</v>
      </c>
      <c r="I3575" s="143">
        <f>+I3574+(G3575-H3575)</f>
        <v/>
      </c>
      <c r="J3575" s="144" t="n">
        <v>46.27</v>
      </c>
      <c r="K3575" s="145" t="n"/>
      <c r="L3575" s="140">
        <f>+H3575*J3575</f>
        <v/>
      </c>
      <c r="M3575" s="141">
        <f>SUM(M3574+K3575-L3575)</f>
        <v/>
      </c>
    </row>
    <row r="3576">
      <c r="A3576" s="20" t="n">
        <v>45858</v>
      </c>
      <c r="B3576" s="1" t="n">
        <v>411</v>
      </c>
      <c r="C3576" s="2" t="inlineStr">
        <is>
          <t>SELİM İNŞAAT</t>
        </is>
      </c>
      <c r="D3576" s="1" t="inlineStr">
        <is>
          <t>34 DRU 690</t>
        </is>
      </c>
      <c r="E3576" s="1" t="inlineStr">
        <is>
          <t>MURAT DEMİRBAŞ</t>
        </is>
      </c>
      <c r="F3576" s="3" t="n">
        <v>425837</v>
      </c>
      <c r="G3576" s="143" t="n"/>
      <c r="H3576" s="143" t="n">
        <v>405</v>
      </c>
      <c r="I3576" s="143">
        <f>+I3575+(G3576-H3576)</f>
        <v/>
      </c>
      <c r="J3576" s="144" t="n">
        <v>46.27</v>
      </c>
      <c r="K3576" s="145" t="n"/>
      <c r="L3576" s="140">
        <f>+H3576*J3576</f>
        <v/>
      </c>
      <c r="M3576" s="141">
        <f>SUM(M3575+K3576-L3576)</f>
        <v/>
      </c>
    </row>
    <row r="3577">
      <c r="A3577" s="20" t="n">
        <v>45858</v>
      </c>
      <c r="B3577" s="1" t="n">
        <v>15973</v>
      </c>
      <c r="C3577" s="2" t="inlineStr">
        <is>
          <t>SELİM İNŞAAT</t>
        </is>
      </c>
      <c r="D3577" s="1" t="inlineStr">
        <is>
          <t>34 FBR 781</t>
        </is>
      </c>
      <c r="E3577" s="1" t="inlineStr">
        <is>
          <t>MEVLÜT POLAT</t>
        </is>
      </c>
      <c r="F3577" s="3" t="n">
        <v>314129</v>
      </c>
      <c r="G3577" s="143" t="n"/>
      <c r="H3577" s="143" t="n">
        <v>533</v>
      </c>
      <c r="I3577" s="143">
        <f>+I3576+(G3577-H3577)</f>
        <v/>
      </c>
      <c r="J3577" s="144" t="n">
        <v>46.27</v>
      </c>
      <c r="K3577" s="145" t="n"/>
      <c r="L3577" s="140">
        <f>+H3577*J3577</f>
        <v/>
      </c>
      <c r="M3577" s="141">
        <f>SUM(M3576+K3577-L3577)</f>
        <v/>
      </c>
    </row>
    <row r="3578">
      <c r="A3578" s="20" t="n">
        <v>45858</v>
      </c>
      <c r="B3578" s="1" t="n">
        <v>15036</v>
      </c>
      <c r="C3578" s="2" t="inlineStr">
        <is>
          <t>SELİM İNŞAAT</t>
        </is>
      </c>
      <c r="D3578" s="1" t="inlineStr">
        <is>
          <t>34 GVZ 199</t>
        </is>
      </c>
      <c r="E3578" s="1" t="inlineStr">
        <is>
          <t>VAHDET GÜRLER</t>
        </is>
      </c>
      <c r="F3578" s="3" t="n">
        <v>190372</v>
      </c>
      <c r="G3578" s="143" t="n"/>
      <c r="H3578" s="143" t="n">
        <v>387</v>
      </c>
      <c r="I3578" s="143">
        <f>+I3577+(G3578-H3578)</f>
        <v/>
      </c>
      <c r="J3578" s="144" t="n">
        <v>46.27</v>
      </c>
      <c r="K3578" s="145" t="n"/>
      <c r="L3578" s="140">
        <f>+H3578*J3578</f>
        <v/>
      </c>
      <c r="M3578" s="141">
        <f>SUM(M3577+K3578-L3578)</f>
        <v/>
      </c>
    </row>
    <row r="3579">
      <c r="A3579" s="20" t="n">
        <v>45858</v>
      </c>
      <c r="B3579" s="1" t="n">
        <v>816</v>
      </c>
      <c r="C3579" s="2" t="inlineStr">
        <is>
          <t>SELİM İNŞAAT</t>
        </is>
      </c>
      <c r="D3579" s="1" t="inlineStr">
        <is>
          <t>34 FBR 705</t>
        </is>
      </c>
      <c r="E3579" s="1" t="inlineStr">
        <is>
          <t>MESUT GÜRLER</t>
        </is>
      </c>
      <c r="F3579" s="3" t="n">
        <v>325303</v>
      </c>
      <c r="G3579" s="143" t="n"/>
      <c r="H3579" s="143" t="n">
        <v>358</v>
      </c>
      <c r="I3579" s="143">
        <f>+I3578+(G3579-H3579)</f>
        <v/>
      </c>
      <c r="J3579" s="144" t="n">
        <v>46.27</v>
      </c>
      <c r="K3579" s="145" t="n"/>
      <c r="L3579" s="140">
        <f>+H3579*J3579</f>
        <v/>
      </c>
      <c r="M3579" s="141">
        <f>SUM(M3578+K3579-L3579)</f>
        <v/>
      </c>
    </row>
    <row r="3580">
      <c r="A3580" s="20" t="n">
        <v>45858</v>
      </c>
      <c r="B3580" s="1" t="n">
        <v>11240</v>
      </c>
      <c r="C3580" s="2" t="inlineStr">
        <is>
          <t>SELİM İNŞAAT</t>
        </is>
      </c>
      <c r="D3580" s="1" t="inlineStr">
        <is>
          <t>34 DSN 636</t>
        </is>
      </c>
      <c r="E3580" s="1" t="inlineStr">
        <is>
          <t>İLHAN YÜRÜK</t>
        </is>
      </c>
      <c r="F3580" s="3" t="n">
        <v>399558</v>
      </c>
      <c r="G3580" s="143" t="n"/>
      <c r="H3580" s="143" t="n">
        <v>448</v>
      </c>
      <c r="I3580" s="143">
        <f>+I3579+(G3580-H3580)</f>
        <v/>
      </c>
      <c r="J3580" s="144" t="n">
        <v>46.27</v>
      </c>
      <c r="K3580" s="145" t="n"/>
      <c r="L3580" s="140">
        <f>+H3580*J3580</f>
        <v/>
      </c>
      <c r="M3580" s="141">
        <f>SUM(M3579+K3580-L3580)</f>
        <v/>
      </c>
    </row>
    <row r="3581">
      <c r="A3581" s="20" t="n">
        <v>45858</v>
      </c>
      <c r="B3581" s="1" t="n">
        <v>253</v>
      </c>
      <c r="C3581" s="2" t="inlineStr">
        <is>
          <t>SELİM İNŞAAT</t>
        </is>
      </c>
      <c r="D3581" s="1" t="inlineStr">
        <is>
          <t>34 GER 445</t>
        </is>
      </c>
      <c r="E3581" s="1" t="inlineStr">
        <is>
          <t>HASAN BAYCAN</t>
        </is>
      </c>
      <c r="F3581" s="3" t="n">
        <v>46193</v>
      </c>
      <c r="G3581" s="143" t="n"/>
      <c r="H3581" s="143" t="n">
        <v>241</v>
      </c>
      <c r="I3581" s="143">
        <f>+I3580+(G3581-H3581)</f>
        <v/>
      </c>
      <c r="J3581" s="144" t="n">
        <v>46.27</v>
      </c>
      <c r="K3581" s="145" t="n"/>
      <c r="L3581" s="140">
        <f>+H3581*J3581</f>
        <v/>
      </c>
      <c r="M3581" s="141">
        <f>SUM(M3580+K3581-L3581)</f>
        <v/>
      </c>
    </row>
    <row r="3582">
      <c r="A3582" s="20" t="n">
        <v>45858</v>
      </c>
      <c r="B3582" s="1" t="n">
        <v>16747</v>
      </c>
      <c r="C3582" s="2" t="inlineStr">
        <is>
          <t>SELİM İNŞAAT</t>
        </is>
      </c>
      <c r="D3582" s="1" t="inlineStr">
        <is>
          <t>34 JBA 25</t>
        </is>
      </c>
      <c r="E3582" s="1" t="inlineStr">
        <is>
          <t>TURAN SEVİNDİK</t>
        </is>
      </c>
      <c r="F3582" s="3" t="n">
        <v>337128</v>
      </c>
      <c r="G3582" s="143" t="n"/>
      <c r="H3582" s="143" t="n">
        <v>47</v>
      </c>
      <c r="I3582" s="143">
        <f>+I3581+(G3582-H3582)</f>
        <v/>
      </c>
      <c r="J3582" s="144" t="n">
        <v>46.27</v>
      </c>
      <c r="K3582" s="145" t="n"/>
      <c r="L3582" s="140">
        <f>+H3582*J3582</f>
        <v/>
      </c>
      <c r="M3582" s="141">
        <f>SUM(M3581+K3582-L3582)</f>
        <v/>
      </c>
    </row>
    <row r="3583">
      <c r="A3583" s="20" t="n">
        <v>45858</v>
      </c>
      <c r="B3583" s="1" t="n">
        <v>20550</v>
      </c>
      <c r="C3583" s="2" t="inlineStr">
        <is>
          <t>SELİM İNŞAAT</t>
        </is>
      </c>
      <c r="D3583" s="1" t="inlineStr">
        <is>
          <t>34 VF 2620</t>
        </is>
      </c>
      <c r="E3583" s="1" t="inlineStr">
        <is>
          <t>RECEP SELİM</t>
        </is>
      </c>
      <c r="F3583" s="3" t="n">
        <v>189617</v>
      </c>
      <c r="G3583" s="143" t="n"/>
      <c r="H3583" s="143" t="n">
        <v>94</v>
      </c>
      <c r="I3583" s="143">
        <f>+I3582+(G3583-H3583)</f>
        <v/>
      </c>
      <c r="J3583" s="144" t="n">
        <v>46.27</v>
      </c>
      <c r="K3583" s="145" t="n"/>
      <c r="L3583" s="140">
        <f>+H3583*J3583</f>
        <v/>
      </c>
      <c r="M3583" s="141">
        <f>SUM(M3582+K3583-L3583)</f>
        <v/>
      </c>
    </row>
    <row r="3584">
      <c r="A3584" s="20" t="n">
        <v>45858</v>
      </c>
      <c r="B3584" s="1" t="n">
        <v>10595</v>
      </c>
      <c r="C3584" s="2" t="inlineStr">
        <is>
          <t>SELİM İNŞAAT</t>
        </is>
      </c>
      <c r="D3584" s="1" t="inlineStr">
        <is>
          <t>34 GU 945</t>
        </is>
      </c>
      <c r="E3584" s="1" t="inlineStr">
        <is>
          <t>TURAN SEVİNDİK</t>
        </is>
      </c>
      <c r="F3584" s="3" t="n">
        <v>452156</v>
      </c>
      <c r="G3584" s="143" t="n"/>
      <c r="H3584" s="143" t="n">
        <v>69</v>
      </c>
      <c r="I3584" s="143">
        <f>+I3583+(G3584-H3584)</f>
        <v/>
      </c>
      <c r="J3584" s="144" t="n">
        <v>46.27</v>
      </c>
      <c r="K3584" s="145" t="n"/>
      <c r="L3584" s="140">
        <f>+H3584*J3584</f>
        <v/>
      </c>
      <c r="M3584" s="141">
        <f>SUM(M3583+K3584-L3584)</f>
        <v/>
      </c>
    </row>
    <row r="3585">
      <c r="A3585" s="20" t="n">
        <v>45859</v>
      </c>
      <c r="B3585" s="1" t="n">
        <v>14500</v>
      </c>
      <c r="C3585" s="2" t="inlineStr">
        <is>
          <t>SELİM İNŞAAT</t>
        </is>
      </c>
      <c r="D3585" s="1" t="inlineStr">
        <is>
          <t>34 GUS 848</t>
        </is>
      </c>
      <c r="E3585" s="1" t="inlineStr">
        <is>
          <t>SERDAR BOZKURT</t>
        </is>
      </c>
      <c r="F3585" s="3" t="n">
        <v>198892</v>
      </c>
      <c r="G3585" s="143" t="n"/>
      <c r="H3585" s="143" t="n">
        <v>445</v>
      </c>
      <c r="I3585" s="143">
        <f>+I3584+(G3585-H3585)</f>
        <v/>
      </c>
      <c r="J3585" s="144" t="n">
        <v>46.27</v>
      </c>
      <c r="K3585" s="145" t="n"/>
      <c r="L3585" s="140">
        <f>+H3585*J3585</f>
        <v/>
      </c>
      <c r="M3585" s="141">
        <f>SUM(M3584+K3585-L3585)</f>
        <v/>
      </c>
    </row>
    <row r="3586">
      <c r="A3586" s="20" t="n">
        <v>45859</v>
      </c>
      <c r="B3586" s="1" t="n">
        <v>934</v>
      </c>
      <c r="C3586" s="2" t="inlineStr">
        <is>
          <t>HASALTUN</t>
        </is>
      </c>
      <c r="D3586" s="1" t="inlineStr">
        <is>
          <t>SM 350</t>
        </is>
      </c>
      <c r="E3586" s="1" t="inlineStr">
        <is>
          <t>BAYRAM SANCAK</t>
        </is>
      </c>
      <c r="F3586" s="3" t="n"/>
      <c r="G3586" s="143" t="n"/>
      <c r="H3586" s="143" t="n">
        <v>336</v>
      </c>
      <c r="I3586" s="143">
        <f>+I3585+(G3586-H3586)</f>
        <v/>
      </c>
      <c r="J3586" s="144" t="n">
        <v>46.27</v>
      </c>
      <c r="K3586" s="145" t="n"/>
      <c r="L3586" s="140">
        <f>+H3586*J3586</f>
        <v/>
      </c>
      <c r="M3586" s="141">
        <f>SUM(M3585+K3586-L3586)</f>
        <v/>
      </c>
    </row>
    <row r="3587">
      <c r="A3587" s="20" t="n">
        <v>45859</v>
      </c>
      <c r="B3587" s="21" t="n">
        <v>935</v>
      </c>
      <c r="C3587" s="22" t="inlineStr">
        <is>
          <t>EVKUR</t>
        </is>
      </c>
      <c r="D3587" s="21" t="inlineStr">
        <is>
          <t>FOKLİFT</t>
        </is>
      </c>
      <c r="E3587" s="21" t="inlineStr">
        <is>
          <t>FAHRİ KALFA</t>
        </is>
      </c>
      <c r="F3587" s="23" t="n"/>
      <c r="G3587" s="138" t="n"/>
      <c r="H3587" s="138" t="n">
        <v>41</v>
      </c>
      <c r="I3587" s="138">
        <f>+I3586+(G3587-H3587)</f>
        <v/>
      </c>
      <c r="J3587" s="139" t="n">
        <v>46.27</v>
      </c>
      <c r="K3587" s="140" t="n"/>
      <c r="L3587" s="140">
        <f>+H3587*J3587</f>
        <v/>
      </c>
      <c r="M3587" s="141">
        <f>SUM(M3586+K3587-L3587)</f>
        <v/>
      </c>
    </row>
    <row r="3588">
      <c r="A3588" s="20" t="n">
        <v>45859</v>
      </c>
      <c r="B3588" s="1" t="n">
        <v>936</v>
      </c>
      <c r="C3588" s="2" t="inlineStr">
        <is>
          <t>CEVİZ MOBİLYA</t>
        </is>
      </c>
      <c r="D3588" s="1" t="inlineStr">
        <is>
          <t>SM 350</t>
        </is>
      </c>
      <c r="E3588" s="1" t="inlineStr">
        <is>
          <t>TEVFİK ÖZTÜRK</t>
        </is>
      </c>
      <c r="F3588" s="3" t="n"/>
      <c r="G3588" s="143" t="n"/>
      <c r="H3588" s="143" t="n">
        <v>576</v>
      </c>
      <c r="I3588" s="143">
        <f>+I3587+(G3588-H3588)</f>
        <v/>
      </c>
      <c r="J3588" s="144" t="n">
        <v>46.27</v>
      </c>
      <c r="K3588" s="145" t="n"/>
      <c r="L3588" s="140">
        <f>+H3588*J3588</f>
        <v/>
      </c>
      <c r="M3588" s="141">
        <f>SUM(M3587+K3588-L3588)</f>
        <v/>
      </c>
    </row>
    <row r="3589">
      <c r="A3589" s="20" t="n">
        <v>45859</v>
      </c>
      <c r="B3589" s="1" t="n">
        <v>937</v>
      </c>
      <c r="C3589" s="2" t="inlineStr">
        <is>
          <t>EVKUR</t>
        </is>
      </c>
      <c r="D3589" s="1" t="inlineStr">
        <is>
          <t>JENERATÖR</t>
        </is>
      </c>
      <c r="E3589" s="1" t="n"/>
      <c r="F3589" s="3" t="n"/>
      <c r="G3589" s="143" t="n"/>
      <c r="H3589" s="143" t="n">
        <v>77</v>
      </c>
      <c r="I3589" s="143">
        <f>+I3588+(G3589-H3589)</f>
        <v/>
      </c>
      <c r="J3589" s="144" t="n">
        <v>46.27</v>
      </c>
      <c r="K3589" s="145" t="n"/>
      <c r="L3589" s="140">
        <f>+H3589*J3589</f>
        <v/>
      </c>
      <c r="M3589" s="141">
        <f>SUM(M3588+K3589-L3589)</f>
        <v/>
      </c>
    </row>
    <row r="3590">
      <c r="A3590" s="20" t="n">
        <v>45859</v>
      </c>
      <c r="B3590" s="1" t="n">
        <v>938</v>
      </c>
      <c r="C3590" s="2" t="inlineStr">
        <is>
          <t>MEGA VALIK</t>
        </is>
      </c>
      <c r="D3590" s="1" t="inlineStr">
        <is>
          <t>SM 300</t>
        </is>
      </c>
      <c r="E3590" s="1" t="inlineStr">
        <is>
          <t>TURGUT SANCAK</t>
        </is>
      </c>
      <c r="F3590" s="3" t="n"/>
      <c r="G3590" s="143" t="n"/>
      <c r="H3590" s="143" t="n">
        <v>388</v>
      </c>
      <c r="I3590" s="143">
        <f>+I3589+(G3590-H3590)</f>
        <v/>
      </c>
      <c r="J3590" s="144" t="n">
        <v>46.27</v>
      </c>
      <c r="K3590" s="145" t="n"/>
      <c r="L3590" s="140">
        <f>+H3590*J3590</f>
        <v/>
      </c>
      <c r="M3590" s="141">
        <f>SUM(M3589+K3590-L3590)</f>
        <v/>
      </c>
    </row>
    <row r="3591">
      <c r="A3591" s="20" t="n">
        <v>45859</v>
      </c>
      <c r="B3591" s="1" t="n">
        <v>939</v>
      </c>
      <c r="C3591" s="2" t="inlineStr">
        <is>
          <t>MEGA VALIK</t>
        </is>
      </c>
      <c r="D3591" s="1" t="inlineStr">
        <is>
          <t>SM 370</t>
        </is>
      </c>
      <c r="E3591" s="1" t="inlineStr">
        <is>
          <t>TEKİN ŞEYLAN</t>
        </is>
      </c>
      <c r="F3591" s="3" t="n"/>
      <c r="G3591" s="143" t="n"/>
      <c r="H3591" s="143" t="n">
        <v>304</v>
      </c>
      <c r="I3591" s="143">
        <f>+I3590+(G3591-H3591)</f>
        <v/>
      </c>
      <c r="J3591" s="144" t="n">
        <v>46.27</v>
      </c>
      <c r="K3591" s="145" t="n"/>
      <c r="L3591" s="140">
        <f>+H3591*J3591</f>
        <v/>
      </c>
      <c r="M3591" s="141">
        <f>SUM(M3590+K3591-L3591)</f>
        <v/>
      </c>
    </row>
    <row r="3592">
      <c r="A3592" s="20" t="n">
        <v>45859</v>
      </c>
      <c r="B3592" s="1" t="n">
        <v>15933</v>
      </c>
      <c r="C3592" s="2" t="inlineStr">
        <is>
          <t>SELİM İNŞAAT</t>
        </is>
      </c>
      <c r="D3592" s="1" t="inlineStr">
        <is>
          <t>34 DFE 454</t>
        </is>
      </c>
      <c r="E3592" s="1" t="inlineStr">
        <is>
          <t>METİN KALKAN</t>
        </is>
      </c>
      <c r="F3592" s="3" t="n">
        <v>162826</v>
      </c>
      <c r="G3592" s="143" t="n"/>
      <c r="H3592" s="143" t="n">
        <v>191</v>
      </c>
      <c r="I3592" s="143">
        <f>+I3591+(G3592-H3592)</f>
        <v/>
      </c>
      <c r="J3592" s="144" t="n">
        <v>46.27</v>
      </c>
      <c r="K3592" s="145" t="n"/>
      <c r="L3592" s="140">
        <f>+H3592*J3592</f>
        <v/>
      </c>
      <c r="M3592" s="141">
        <f>SUM(M3591+K3592-L3592)</f>
        <v/>
      </c>
    </row>
    <row r="3593">
      <c r="A3593" s="20" t="n">
        <v>45859</v>
      </c>
      <c r="B3593" s="1" t="n">
        <v>602</v>
      </c>
      <c r="C3593" s="2" t="inlineStr">
        <is>
          <t>SELİM İNŞAAT</t>
        </is>
      </c>
      <c r="D3593" s="1" t="inlineStr">
        <is>
          <t>34 AR 7743</t>
        </is>
      </c>
      <c r="E3593" s="1" t="inlineStr">
        <is>
          <t>MEHMET SELİM</t>
        </is>
      </c>
      <c r="F3593" s="3" t="n">
        <v>358013</v>
      </c>
      <c r="G3593" s="143" t="n"/>
      <c r="H3593" s="143" t="n">
        <v>68</v>
      </c>
      <c r="I3593" s="143">
        <f>+I3592+(G3593-H3593)</f>
        <v/>
      </c>
      <c r="J3593" s="144" t="n">
        <v>46.27</v>
      </c>
      <c r="K3593" s="145" t="n"/>
      <c r="L3593" s="140">
        <f>+H3593*J3593</f>
        <v/>
      </c>
      <c r="M3593" s="141">
        <f>SUM(M3592+K3593-L3593)</f>
        <v/>
      </c>
    </row>
    <row r="3594">
      <c r="A3594" s="20" t="n">
        <v>45859</v>
      </c>
      <c r="B3594" s="21" t="n">
        <v>11336</v>
      </c>
      <c r="C3594" s="22" t="inlineStr">
        <is>
          <t>AZGÜN YAPI</t>
        </is>
      </c>
      <c r="D3594" s="21" t="inlineStr">
        <is>
          <t>34 MKT 859</t>
        </is>
      </c>
      <c r="E3594" s="21" t="inlineStr">
        <is>
          <t>HASAN ALTUN</t>
        </is>
      </c>
      <c r="F3594" s="23" t="n"/>
      <c r="G3594" s="138" t="n"/>
      <c r="H3594" s="138" t="n">
        <v>489</v>
      </c>
      <c r="I3594" s="138">
        <f>+I3593+(G3594-H3594)</f>
        <v/>
      </c>
      <c r="J3594" s="139" t="n">
        <v>46.27</v>
      </c>
      <c r="K3594" s="140" t="n"/>
      <c r="L3594" s="140">
        <f>+H3594*J3594</f>
        <v/>
      </c>
      <c r="M3594" s="141">
        <f>SUM(M3593+K3594-L3594)</f>
        <v/>
      </c>
    </row>
    <row r="3595">
      <c r="A3595" s="20" t="n">
        <v>45859</v>
      </c>
      <c r="B3595" s="21" t="n">
        <v>14194</v>
      </c>
      <c r="C3595" s="22" t="inlineStr">
        <is>
          <t>AZGÜN YAPI</t>
        </is>
      </c>
      <c r="D3595" s="21" t="inlineStr">
        <is>
          <t>34 DTV 263</t>
        </is>
      </c>
      <c r="E3595" s="21" t="inlineStr">
        <is>
          <t>OZAN ÇOŞĞUN</t>
        </is>
      </c>
      <c r="F3595" s="23" t="n"/>
      <c r="G3595" s="138" t="n"/>
      <c r="H3595" s="138" t="n">
        <v>404</v>
      </c>
      <c r="I3595" s="138">
        <f>+I3594+(G3595-H3595)</f>
        <v/>
      </c>
      <c r="J3595" s="139" t="n">
        <v>46.27</v>
      </c>
      <c r="K3595" s="140" t="n"/>
      <c r="L3595" s="140">
        <f>+H3595*J3595</f>
        <v/>
      </c>
      <c r="M3595" s="141">
        <f>SUM(M3594+K3595-L3595)</f>
        <v/>
      </c>
    </row>
    <row r="3596">
      <c r="A3596" s="20" t="n">
        <v>45859</v>
      </c>
      <c r="B3596" s="21" t="n">
        <v>8890</v>
      </c>
      <c r="C3596" s="22" t="inlineStr">
        <is>
          <t>AHMET SELİM TEMHA</t>
        </is>
      </c>
      <c r="D3596" s="21" t="inlineStr">
        <is>
          <t>34 DGE 422</t>
        </is>
      </c>
      <c r="E3596" s="21" t="inlineStr">
        <is>
          <t xml:space="preserve">ERSOY SIĞINMAZ </t>
        </is>
      </c>
      <c r="F3596" s="23" t="n"/>
      <c r="G3596" s="138" t="n"/>
      <c r="H3596" s="138" t="n">
        <v>59</v>
      </c>
      <c r="I3596" s="138">
        <f>+I3595+(G3596-H3596)</f>
        <v/>
      </c>
      <c r="J3596" s="139" t="n">
        <v>46.27</v>
      </c>
      <c r="K3596" s="140" t="n"/>
      <c r="L3596" s="140">
        <f>+H3596*J3596</f>
        <v/>
      </c>
      <c r="M3596" s="141">
        <f>SUM(M3595+K3596-L3596)</f>
        <v/>
      </c>
    </row>
    <row r="3597">
      <c r="A3597" s="20" t="n">
        <v>45859</v>
      </c>
      <c r="B3597" s="21" t="n">
        <v>8891</v>
      </c>
      <c r="C3597" s="22" t="inlineStr">
        <is>
          <t>MAHMUT VİNÇ</t>
        </is>
      </c>
      <c r="D3597" s="21" t="inlineStr">
        <is>
          <t>34 AH 5401</t>
        </is>
      </c>
      <c r="E3597" s="21" t="inlineStr">
        <is>
          <t>MAHMUT YAKUPOĞLU</t>
        </is>
      </c>
      <c r="F3597" s="23" t="n"/>
      <c r="G3597" s="138" t="n"/>
      <c r="H3597" s="138" t="n">
        <v>70</v>
      </c>
      <c r="I3597" s="138">
        <f>+I3596+(G3597-H3597)</f>
        <v/>
      </c>
      <c r="J3597" s="139" t="n">
        <v>46.27</v>
      </c>
      <c r="K3597" s="140" t="n"/>
      <c r="L3597" s="140">
        <f>+H3597*J3597</f>
        <v/>
      </c>
      <c r="M3597" s="141">
        <f>SUM(M3596+K3597-L3597)</f>
        <v/>
      </c>
    </row>
    <row r="3598">
      <c r="A3598" s="20" t="n">
        <v>45859</v>
      </c>
      <c r="B3598" s="21" t="n">
        <v>708</v>
      </c>
      <c r="C3598" s="22" t="inlineStr">
        <is>
          <t>METİN ERYİĞİT</t>
        </is>
      </c>
      <c r="D3598" s="21" t="inlineStr">
        <is>
          <t>34 GBL 998</t>
        </is>
      </c>
      <c r="E3598" s="21" t="inlineStr">
        <is>
          <t>ALİ KESKİN</t>
        </is>
      </c>
      <c r="F3598" s="23" t="n">
        <v>279296</v>
      </c>
      <c r="G3598" s="138" t="n"/>
      <c r="H3598" s="138" t="n">
        <v>399</v>
      </c>
      <c r="I3598" s="138">
        <f>+I3597+(G3598-H3598)</f>
        <v/>
      </c>
      <c r="J3598" s="139" t="n">
        <v>46.27</v>
      </c>
      <c r="K3598" s="140" t="n"/>
      <c r="L3598" s="140">
        <f>+H3598*J3598</f>
        <v/>
      </c>
      <c r="M3598" s="141">
        <f>SUM(M3597+K3598-L3598)</f>
        <v/>
      </c>
    </row>
    <row r="3599">
      <c r="A3599" s="20" t="n">
        <v>45859</v>
      </c>
      <c r="B3599" s="1" t="n">
        <v>14397</v>
      </c>
      <c r="C3599" s="2" t="inlineStr">
        <is>
          <t>SELİM İNŞAAT</t>
        </is>
      </c>
      <c r="D3599" s="1" t="inlineStr">
        <is>
          <t>34 DKL 798</t>
        </is>
      </c>
      <c r="E3599" s="1" t="inlineStr">
        <is>
          <t>EMİRCAN ÖZTÜRK</t>
        </is>
      </c>
      <c r="F3599" s="3" t="n">
        <v>68827</v>
      </c>
      <c r="G3599" s="143" t="n"/>
      <c r="H3599" s="143" t="n">
        <v>195</v>
      </c>
      <c r="I3599" s="143">
        <f>+I3598+(G3599-H3599)</f>
        <v/>
      </c>
      <c r="J3599" s="144" t="n">
        <v>46.27</v>
      </c>
      <c r="K3599" s="145" t="n"/>
      <c r="L3599" s="140">
        <f>+H3599*J3599</f>
        <v/>
      </c>
      <c r="M3599" s="141">
        <f>SUM(M3598+K3599-L3599)</f>
        <v/>
      </c>
    </row>
    <row r="3600">
      <c r="A3600" s="20" t="n">
        <v>45860</v>
      </c>
      <c r="B3600" s="1" t="n">
        <v>15219</v>
      </c>
      <c r="C3600" s="2" t="inlineStr">
        <is>
          <t>SELİM İNŞAAT</t>
        </is>
      </c>
      <c r="D3600" s="1" t="inlineStr">
        <is>
          <t>34 DSN 565</t>
        </is>
      </c>
      <c r="E3600" s="1" t="inlineStr">
        <is>
          <t>HÜSEYİN DENİZ</t>
        </is>
      </c>
      <c r="F3600" s="3" t="n">
        <v>408043</v>
      </c>
      <c r="G3600" s="143" t="n"/>
      <c r="H3600" s="143" t="n">
        <v>463</v>
      </c>
      <c r="I3600" s="143">
        <f>+I3599+(G3600-H3600)</f>
        <v/>
      </c>
      <c r="J3600" s="144" t="n">
        <v>46.27</v>
      </c>
      <c r="K3600" s="145" t="n"/>
      <c r="L3600" s="140">
        <f>+H3600*J3600</f>
        <v/>
      </c>
      <c r="M3600" s="141">
        <f>SUM(M3599+K3600-L3600)</f>
        <v/>
      </c>
    </row>
    <row r="3601">
      <c r="A3601" s="20" t="n">
        <v>45860</v>
      </c>
      <c r="B3601" s="1" t="n">
        <v>854</v>
      </c>
      <c r="C3601" s="2" t="inlineStr">
        <is>
          <t>SELİM İNŞAAT</t>
        </is>
      </c>
      <c r="D3601" s="1" t="inlineStr">
        <is>
          <t>34 FSG 229</t>
        </is>
      </c>
      <c r="E3601" s="1" t="inlineStr">
        <is>
          <t>SİNAN TANRIVERDİ</t>
        </is>
      </c>
      <c r="F3601" s="3" t="n">
        <v>266276</v>
      </c>
      <c r="G3601" s="143" t="n"/>
      <c r="H3601" s="143" t="n">
        <v>522</v>
      </c>
      <c r="I3601" s="143">
        <f>+I3600+(G3601-H3601)</f>
        <v/>
      </c>
      <c r="J3601" s="144" t="n">
        <v>46.27</v>
      </c>
      <c r="K3601" s="145" t="n"/>
      <c r="L3601" s="140">
        <f>+H3601*J3601</f>
        <v/>
      </c>
      <c r="M3601" s="141">
        <f>SUM(M3600+K3601-L3601)</f>
        <v/>
      </c>
    </row>
    <row r="3602">
      <c r="A3602" s="20" t="n">
        <v>45860</v>
      </c>
      <c r="B3602" s="1" t="n">
        <v>15122</v>
      </c>
      <c r="C3602" s="2" t="inlineStr">
        <is>
          <t>SELİM İNŞAAT</t>
        </is>
      </c>
      <c r="D3602" s="1" t="inlineStr">
        <is>
          <t>34 DTV 599</t>
        </is>
      </c>
      <c r="E3602" s="1" t="inlineStr">
        <is>
          <t>FERHAT GÜRLER</t>
        </is>
      </c>
      <c r="F3602" s="3" t="n">
        <v>439932</v>
      </c>
      <c r="G3602" s="143" t="n"/>
      <c r="H3602" s="143" t="n">
        <v>454</v>
      </c>
      <c r="I3602" s="143">
        <f>+I3601+(G3602-H3602)</f>
        <v/>
      </c>
      <c r="J3602" s="144" t="n">
        <v>46.27</v>
      </c>
      <c r="K3602" s="145" t="n"/>
      <c r="L3602" s="140">
        <f>+H3602*J3602</f>
        <v/>
      </c>
      <c r="M3602" s="141">
        <f>SUM(M3601+K3602-L3602)</f>
        <v/>
      </c>
    </row>
    <row r="3603">
      <c r="A3603" s="20" t="n">
        <v>45860</v>
      </c>
      <c r="B3603" s="1" t="n">
        <v>18</v>
      </c>
      <c r="C3603" s="2" t="inlineStr">
        <is>
          <t>SELİM İNŞAAT</t>
        </is>
      </c>
      <c r="D3603" s="1" t="inlineStr">
        <is>
          <t>34 FBR 748</t>
        </is>
      </c>
      <c r="E3603" s="1" t="inlineStr">
        <is>
          <t>YAŞAR ÖZKAYA</t>
        </is>
      </c>
      <c r="F3603" s="3" t="n">
        <v>290133</v>
      </c>
      <c r="G3603" s="143" t="n"/>
      <c r="H3603" s="143" t="n">
        <v>447</v>
      </c>
      <c r="I3603" s="143">
        <f>+I3602+(G3603-H3603)</f>
        <v/>
      </c>
      <c r="J3603" s="144" t="n">
        <v>46.27</v>
      </c>
      <c r="K3603" s="145" t="n"/>
      <c r="L3603" s="140">
        <f>+H3603*J3603</f>
        <v/>
      </c>
      <c r="M3603" s="141">
        <f>SUM(M3602+K3603-L3603)</f>
        <v/>
      </c>
    </row>
    <row r="3604">
      <c r="A3604" s="20" t="n">
        <v>45860</v>
      </c>
      <c r="B3604" s="1" t="n">
        <v>21640</v>
      </c>
      <c r="C3604" s="2" t="inlineStr">
        <is>
          <t>SELİM İNŞAAT</t>
        </is>
      </c>
      <c r="D3604" s="1" t="inlineStr">
        <is>
          <t>34 DHC 467</t>
        </is>
      </c>
      <c r="E3604" s="1" t="inlineStr">
        <is>
          <t>HÜSEYİN DENİZ</t>
        </is>
      </c>
      <c r="F3604" s="3" t="n">
        <v>412100</v>
      </c>
      <c r="G3604" s="143" t="n"/>
      <c r="H3604" s="143" t="n">
        <v>337</v>
      </c>
      <c r="I3604" s="143">
        <f>+I3603+(G3604-H3604)</f>
        <v/>
      </c>
      <c r="J3604" s="144" t="n">
        <v>46.27</v>
      </c>
      <c r="K3604" s="145" t="n"/>
      <c r="L3604" s="140">
        <f>+H3604*J3604</f>
        <v/>
      </c>
      <c r="M3604" s="141">
        <f>SUM(M3603+K3604-L3604)</f>
        <v/>
      </c>
    </row>
    <row r="3605">
      <c r="A3605" s="20" t="n">
        <v>45860</v>
      </c>
      <c r="B3605" s="1" t="n">
        <v>15368</v>
      </c>
      <c r="C3605" s="2" t="inlineStr">
        <is>
          <t>SELİM İNŞAAT</t>
        </is>
      </c>
      <c r="D3605" s="1" t="inlineStr">
        <is>
          <t>34 DTV 409</t>
        </is>
      </c>
      <c r="E3605" s="1" t="inlineStr">
        <is>
          <t>ONUR CANLI</t>
        </is>
      </c>
      <c r="F3605" s="3" t="n">
        <v>425534</v>
      </c>
      <c r="G3605" s="143" t="n"/>
      <c r="H3605" s="143" t="n">
        <v>370</v>
      </c>
      <c r="I3605" s="143">
        <f>+I3604+(G3605-H3605)</f>
        <v/>
      </c>
      <c r="J3605" s="144" t="n">
        <v>46.27</v>
      </c>
      <c r="K3605" s="145" t="n"/>
      <c r="L3605" s="140">
        <f>+H3605*J3605</f>
        <v/>
      </c>
      <c r="M3605" s="141">
        <f>SUM(M3604+K3605-L3605)</f>
        <v/>
      </c>
    </row>
    <row r="3606">
      <c r="A3606" s="20" t="n">
        <v>45860</v>
      </c>
      <c r="B3606" s="1" t="n">
        <v>763</v>
      </c>
      <c r="C3606" s="2" t="inlineStr">
        <is>
          <t>SELİM İNŞAAT</t>
        </is>
      </c>
      <c r="D3606" s="1" t="inlineStr">
        <is>
          <t>34 EDB 559</t>
        </is>
      </c>
      <c r="E3606" s="1" t="inlineStr">
        <is>
          <t>MUHAMMED BULUT</t>
        </is>
      </c>
      <c r="F3606" s="3" t="n">
        <v>332967</v>
      </c>
      <c r="G3606" s="143" t="n"/>
      <c r="H3606" s="143" t="n">
        <v>391</v>
      </c>
      <c r="I3606" s="143">
        <f>+I3605+(G3606-H3606)</f>
        <v/>
      </c>
      <c r="J3606" s="144" t="n">
        <v>46.27</v>
      </c>
      <c r="K3606" s="145" t="n"/>
      <c r="L3606" s="140">
        <f>+H3606*J3606</f>
        <v/>
      </c>
      <c r="M3606" s="141">
        <f>SUM(M3605+K3606-L3606)</f>
        <v/>
      </c>
    </row>
    <row r="3607">
      <c r="A3607" s="20" t="n">
        <v>45860</v>
      </c>
      <c r="B3607" s="1" t="n">
        <v>14148</v>
      </c>
      <c r="C3607" s="2" t="inlineStr">
        <is>
          <t>SELİM İNŞAAT</t>
        </is>
      </c>
      <c r="D3607" s="1" t="inlineStr">
        <is>
          <t>34 DSN 536</t>
        </is>
      </c>
      <c r="E3607" s="1" t="inlineStr">
        <is>
          <t>DURSUN ALİ GÜREK</t>
        </is>
      </c>
      <c r="F3607" s="3" t="n">
        <v>413573</v>
      </c>
      <c r="G3607" s="143" t="n"/>
      <c r="H3607" s="143" t="n">
        <v>446</v>
      </c>
      <c r="I3607" s="143">
        <f>+I3606+(G3607-H3607)</f>
        <v/>
      </c>
      <c r="J3607" s="144" t="n">
        <v>46.27</v>
      </c>
      <c r="K3607" s="145" t="n"/>
      <c r="L3607" s="140">
        <f>+H3607*J3607</f>
        <v/>
      </c>
      <c r="M3607" s="141">
        <f>SUM(M3606+K3607-L3607)</f>
        <v/>
      </c>
    </row>
    <row r="3608">
      <c r="A3608" s="20" t="n">
        <v>45860</v>
      </c>
      <c r="B3608" s="1" t="n">
        <v>14835</v>
      </c>
      <c r="C3608" s="2" t="inlineStr">
        <is>
          <t>SELİM İNŞAAT</t>
        </is>
      </c>
      <c r="D3608" s="1" t="inlineStr">
        <is>
          <t>34 GVZ 268</t>
        </is>
      </c>
      <c r="E3608" s="1" t="inlineStr">
        <is>
          <t xml:space="preserve">KERİM KARAMAN </t>
        </is>
      </c>
      <c r="F3608" s="3" t="n">
        <v>201072</v>
      </c>
      <c r="G3608" s="143" t="n"/>
      <c r="H3608" s="143" t="n">
        <v>437</v>
      </c>
      <c r="I3608" s="143">
        <f>+I3607+(G3608-H3608)</f>
        <v/>
      </c>
      <c r="J3608" s="144" t="n">
        <v>46.27</v>
      </c>
      <c r="K3608" s="145" t="n"/>
      <c r="L3608" s="140">
        <f>+H3608*J3608</f>
        <v/>
      </c>
      <c r="M3608" s="141">
        <f>SUM(M3607+K3608-L3608)</f>
        <v/>
      </c>
    </row>
    <row r="3609">
      <c r="A3609" s="20" t="n">
        <v>45860</v>
      </c>
      <c r="B3609" s="1" t="n">
        <v>565</v>
      </c>
      <c r="C3609" s="2" t="inlineStr">
        <is>
          <t>SELİM İNŞAAT</t>
        </is>
      </c>
      <c r="D3609" s="1" t="inlineStr">
        <is>
          <t>34 EDB 922</t>
        </is>
      </c>
      <c r="E3609" s="1" t="inlineStr">
        <is>
          <t>AHMET TOPÇU</t>
        </is>
      </c>
      <c r="F3609" s="3" t="n">
        <v>372175</v>
      </c>
      <c r="G3609" s="143" t="n"/>
      <c r="H3609" s="143" t="n">
        <v>373</v>
      </c>
      <c r="I3609" s="143">
        <f>+I3608+(G3609-H3609)</f>
        <v/>
      </c>
      <c r="J3609" s="144" t="n">
        <v>46.27</v>
      </c>
      <c r="K3609" s="145" t="n"/>
      <c r="L3609" s="140">
        <f>+H3609*J3609</f>
        <v/>
      </c>
      <c r="M3609" s="141">
        <f>SUM(M3608+K3609-L3609)</f>
        <v/>
      </c>
    </row>
    <row r="3610">
      <c r="A3610" s="20" t="n">
        <v>45860</v>
      </c>
      <c r="B3610" s="1" t="n">
        <v>940</v>
      </c>
      <c r="C3610" s="2" t="inlineStr">
        <is>
          <t>HASALTUN</t>
        </is>
      </c>
      <c r="D3610" s="1" t="inlineStr">
        <is>
          <t xml:space="preserve">SM 350 </t>
        </is>
      </c>
      <c r="E3610" s="1" t="inlineStr">
        <is>
          <t>BAYRAM SANCAK</t>
        </is>
      </c>
      <c r="F3610" s="3" t="n"/>
      <c r="G3610" s="143" t="n"/>
      <c r="H3610" s="143" t="n">
        <v>411</v>
      </c>
      <c r="I3610" s="143">
        <f>+I3609+(G3610-H3610)</f>
        <v/>
      </c>
      <c r="J3610" s="144" t="n">
        <v>46.27</v>
      </c>
      <c r="K3610" s="145" t="n"/>
      <c r="L3610" s="140">
        <f>+H3610*J3610</f>
        <v/>
      </c>
      <c r="M3610" s="141">
        <f>SUM(M3609+K3610-L3610)</f>
        <v/>
      </c>
    </row>
    <row r="3611">
      <c r="A3611" s="20" t="n">
        <v>45860</v>
      </c>
      <c r="B3611" s="1" t="n">
        <v>941</v>
      </c>
      <c r="C3611" s="2" t="inlineStr">
        <is>
          <t>EVKUR</t>
        </is>
      </c>
      <c r="D3611" s="1" t="inlineStr">
        <is>
          <t>KAVAZAKİ</t>
        </is>
      </c>
      <c r="E3611" s="1" t="inlineStr">
        <is>
          <t>RAMAZAN KAYA</t>
        </is>
      </c>
      <c r="F3611" s="3" t="n"/>
      <c r="G3611" s="143" t="n"/>
      <c r="H3611" s="143" t="n">
        <v>318</v>
      </c>
      <c r="I3611" s="143">
        <f>+I3610+(G3611-H3611)</f>
        <v/>
      </c>
      <c r="J3611" s="144" t="n">
        <v>46.27</v>
      </c>
      <c r="K3611" s="145" t="n"/>
      <c r="L3611" s="140">
        <f>+H3611*J3611</f>
        <v/>
      </c>
      <c r="M3611" s="141">
        <f>SUM(M3610+K3611-L3611)</f>
        <v/>
      </c>
    </row>
    <row r="3612">
      <c r="A3612" s="20" t="n">
        <v>45860</v>
      </c>
      <c r="B3612" s="1" t="n">
        <v>942</v>
      </c>
      <c r="C3612" s="2" t="inlineStr">
        <is>
          <t>MEGA VALIK</t>
        </is>
      </c>
      <c r="D3612" s="1" t="inlineStr">
        <is>
          <t>SM 370</t>
        </is>
      </c>
      <c r="E3612" s="1" t="inlineStr">
        <is>
          <t>TEKİN ŞEYLAN</t>
        </is>
      </c>
      <c r="F3612" s="3" t="n"/>
      <c r="G3612" s="143" t="n"/>
      <c r="H3612" s="143" t="n">
        <v>385</v>
      </c>
      <c r="I3612" s="143">
        <f>+I3611+(G3612-H3612)</f>
        <v/>
      </c>
      <c r="J3612" s="144" t="n">
        <v>46.27</v>
      </c>
      <c r="K3612" s="145" t="n"/>
      <c r="L3612" s="140">
        <f>+H3612*J3612</f>
        <v/>
      </c>
      <c r="M3612" s="141">
        <f>SUM(M3611+K3612-L3612)</f>
        <v/>
      </c>
    </row>
    <row r="3613">
      <c r="A3613" s="20" t="n">
        <v>45860</v>
      </c>
      <c r="B3613" s="1" t="n">
        <v>943</v>
      </c>
      <c r="C3613" s="2" t="inlineStr">
        <is>
          <t>MEGA VALIK</t>
        </is>
      </c>
      <c r="D3613" s="1" t="inlineStr">
        <is>
          <t>SM 300</t>
        </is>
      </c>
      <c r="E3613" s="1" t="inlineStr">
        <is>
          <t>TURGUT SANCAK</t>
        </is>
      </c>
      <c r="F3613" s="3" t="n"/>
      <c r="G3613" s="143" t="n"/>
      <c r="H3613" s="143" t="n">
        <v>314</v>
      </c>
      <c r="I3613" s="143">
        <f>+I3612+(G3613-H3613)</f>
        <v/>
      </c>
      <c r="J3613" s="144" t="n">
        <v>46.27</v>
      </c>
      <c r="K3613" s="145" t="n"/>
      <c r="L3613" s="140">
        <f>+H3613*J3613</f>
        <v/>
      </c>
      <c r="M3613" s="141">
        <f>SUM(M3612+K3613-L3613)</f>
        <v/>
      </c>
    </row>
    <row r="3614">
      <c r="A3614" s="20" t="n">
        <v>45860</v>
      </c>
      <c r="B3614" s="1" t="n">
        <v>14546</v>
      </c>
      <c r="C3614" s="2" t="inlineStr">
        <is>
          <t>SELİM İNŞAAT</t>
        </is>
      </c>
      <c r="D3614" s="1" t="inlineStr">
        <is>
          <t>34 GER 028</t>
        </is>
      </c>
      <c r="E3614" s="1" t="inlineStr">
        <is>
          <t>A.KERİM ERGEN</t>
        </is>
      </c>
      <c r="F3614" s="3" t="n">
        <v>47902</v>
      </c>
      <c r="G3614" s="143" t="n"/>
      <c r="H3614" s="143" t="n">
        <v>232</v>
      </c>
      <c r="I3614" s="143">
        <f>+I3613+(G3614-H3614)</f>
        <v/>
      </c>
      <c r="J3614" s="144" t="n">
        <v>46.27</v>
      </c>
      <c r="K3614" s="145" t="n"/>
      <c r="L3614" s="140">
        <f>+H3614*J3614</f>
        <v/>
      </c>
      <c r="M3614" s="141">
        <f>SUM(M3613+K3614-L3614)</f>
        <v/>
      </c>
    </row>
    <row r="3615">
      <c r="A3615" s="20" t="n">
        <v>45860</v>
      </c>
      <c r="B3615" s="21" t="n">
        <v>11379</v>
      </c>
      <c r="C3615" s="22" t="inlineStr">
        <is>
          <t>AZGÜN YAPI</t>
        </is>
      </c>
      <c r="D3615" s="21" t="inlineStr">
        <is>
          <t>34 MKT 593</t>
        </is>
      </c>
      <c r="E3615" s="21" t="inlineStr">
        <is>
          <t>İBRAHİM GÜLLÜK</t>
        </is>
      </c>
      <c r="F3615" s="23" t="n"/>
      <c r="G3615" s="138" t="n"/>
      <c r="H3615" s="138" t="n">
        <v>407</v>
      </c>
      <c r="I3615" s="138">
        <f>+I3614+(G3615-H3615)</f>
        <v/>
      </c>
      <c r="J3615" s="139" t="n">
        <v>46.27</v>
      </c>
      <c r="K3615" s="140" t="n"/>
      <c r="L3615" s="140">
        <f>+H3615*J3615</f>
        <v/>
      </c>
      <c r="M3615" s="141">
        <f>SUM(M3614+K3615-L3615)</f>
        <v/>
      </c>
    </row>
    <row r="3616">
      <c r="A3616" s="20" t="n">
        <v>45860</v>
      </c>
      <c r="B3616" s="1" t="n">
        <v>8893</v>
      </c>
      <c r="C3616" s="2" t="inlineStr">
        <is>
          <t>SELİM İNŞAAT</t>
        </is>
      </c>
      <c r="D3616" s="1" t="inlineStr">
        <is>
          <t>34 FVU 827</t>
        </is>
      </c>
      <c r="E3616" s="1" t="inlineStr">
        <is>
          <t>YILMAZ ÇELEBİ</t>
        </is>
      </c>
      <c r="F3616" s="3" t="n"/>
      <c r="G3616" s="143" t="n"/>
      <c r="H3616" s="143" t="n">
        <v>40</v>
      </c>
      <c r="I3616" s="143">
        <f>+I3615+(G3616-H3616)</f>
        <v/>
      </c>
      <c r="J3616" s="144" t="n">
        <v>46.27</v>
      </c>
      <c r="K3616" s="145" t="n"/>
      <c r="L3616" s="140">
        <f>+H3616*J3616</f>
        <v/>
      </c>
      <c r="M3616" s="141">
        <f>SUM(M3615+K3616-L3616)</f>
        <v/>
      </c>
    </row>
    <row r="3617">
      <c r="A3617" s="20" t="n">
        <v>45860</v>
      </c>
      <c r="B3617" s="21" t="n">
        <v>15680</v>
      </c>
      <c r="C3617" s="22" t="inlineStr">
        <is>
          <t>METİN ERYİĞİT</t>
        </is>
      </c>
      <c r="D3617" s="21" t="inlineStr">
        <is>
          <t>34 EGR 814</t>
        </is>
      </c>
      <c r="E3617" s="21" t="inlineStr">
        <is>
          <t>GÜRAY KOYUNCU</t>
        </is>
      </c>
      <c r="F3617" s="23" t="n">
        <v>553287</v>
      </c>
      <c r="G3617" s="138" t="n"/>
      <c r="H3617" s="138" t="n">
        <v>402</v>
      </c>
      <c r="I3617" s="138">
        <f>+I3616+(G3617-H3617)</f>
        <v/>
      </c>
      <c r="J3617" s="139" t="n">
        <v>46.27</v>
      </c>
      <c r="K3617" s="140" t="n"/>
      <c r="L3617" s="140">
        <f>+H3617*J3617</f>
        <v/>
      </c>
      <c r="M3617" s="141">
        <f>SUM(M3616+K3617-L3617)</f>
        <v/>
      </c>
    </row>
    <row r="3618">
      <c r="A3618" s="20" t="n">
        <v>45860</v>
      </c>
      <c r="B3618" s="21" t="n">
        <v>15625</v>
      </c>
      <c r="C3618" s="22" t="inlineStr">
        <is>
          <t>METİN ERYİĞİT</t>
        </is>
      </c>
      <c r="D3618" s="21" t="inlineStr">
        <is>
          <t>34 EGS 013</t>
        </is>
      </c>
      <c r="E3618" s="21" t="inlineStr">
        <is>
          <t xml:space="preserve">UĞUR DUMAN </t>
        </is>
      </c>
      <c r="F3618" s="23" t="n">
        <v>499040</v>
      </c>
      <c r="G3618" s="138" t="n"/>
      <c r="H3618" s="138" t="n">
        <v>200</v>
      </c>
      <c r="I3618" s="138">
        <f>+I3617+(G3618-H3618)</f>
        <v/>
      </c>
      <c r="J3618" s="139" t="n">
        <v>46.27</v>
      </c>
      <c r="K3618" s="140" t="n"/>
      <c r="L3618" s="140">
        <f>+H3618*J3618</f>
        <v/>
      </c>
      <c r="M3618" s="141">
        <f>SUM(M3617+K3618-L3618)</f>
        <v/>
      </c>
    </row>
    <row r="3619">
      <c r="A3619" s="20" t="n">
        <v>45860</v>
      </c>
      <c r="B3619" s="1" t="n">
        <v>204</v>
      </c>
      <c r="C3619" s="2" t="inlineStr">
        <is>
          <t>SELİM İNŞAAT</t>
        </is>
      </c>
      <c r="D3619" s="1" t="inlineStr">
        <is>
          <t>34 JGR 15</t>
        </is>
      </c>
      <c r="E3619" s="1" t="inlineStr">
        <is>
          <t>MUSTAFA ALBAYRAK</t>
        </is>
      </c>
      <c r="F3619" s="3" t="n">
        <v>312178</v>
      </c>
      <c r="G3619" s="143" t="n"/>
      <c r="H3619" s="143" t="n">
        <v>76</v>
      </c>
      <c r="I3619" s="143">
        <f>+I3618+(G3619-H3619)</f>
        <v/>
      </c>
      <c r="J3619" s="144" t="n">
        <v>46.27</v>
      </c>
      <c r="K3619" s="145" t="n"/>
      <c r="L3619" s="140">
        <f>+H3619*J3619</f>
        <v/>
      </c>
      <c r="M3619" s="141">
        <f>SUM(M3618+K3619-L3619)</f>
        <v/>
      </c>
    </row>
    <row r="3620">
      <c r="A3620" s="20" t="n">
        <v>45860</v>
      </c>
      <c r="B3620" s="1" t="n">
        <v>15176</v>
      </c>
      <c r="C3620" s="2" t="inlineStr">
        <is>
          <t>SELİM İNŞAAT</t>
        </is>
      </c>
      <c r="D3620" s="1" t="inlineStr">
        <is>
          <t xml:space="preserve">34 DP 4161 </t>
        </is>
      </c>
      <c r="E3620" s="1" t="inlineStr">
        <is>
          <t>RIFAT KARATAY</t>
        </is>
      </c>
      <c r="F3620" s="3" t="n">
        <v>291456</v>
      </c>
      <c r="G3620" s="143" t="n"/>
      <c r="H3620" s="143" t="n">
        <v>247</v>
      </c>
      <c r="I3620" s="143">
        <f>+I3619+(G3620-H3620)</f>
        <v/>
      </c>
      <c r="J3620" s="144" t="n">
        <v>46.27</v>
      </c>
      <c r="K3620" s="145" t="n"/>
      <c r="L3620" s="140">
        <f>+H3620*J3620</f>
        <v/>
      </c>
      <c r="M3620" s="141">
        <f>SUM(M3619+K3620-L3620)</f>
        <v/>
      </c>
    </row>
    <row r="3621">
      <c r="A3621" s="20" t="n">
        <v>45861</v>
      </c>
      <c r="B3621" s="1" t="n">
        <v>14448</v>
      </c>
      <c r="C3621" s="2" t="inlineStr">
        <is>
          <t>SELİM İNŞAAT</t>
        </is>
      </c>
      <c r="D3621" s="1" t="inlineStr">
        <is>
          <t>34 EGR 737</t>
        </is>
      </c>
      <c r="E3621" s="1" t="inlineStr">
        <is>
          <t>CEM MUHTAR</t>
        </is>
      </c>
      <c r="F3621" s="3" t="n">
        <v>423899</v>
      </c>
      <c r="G3621" s="143" t="n"/>
      <c r="H3621" s="143" t="n">
        <v>338</v>
      </c>
      <c r="I3621" s="143">
        <f>+I3620+(G3621-H3621)</f>
        <v/>
      </c>
      <c r="J3621" s="144" t="n">
        <v>46.27</v>
      </c>
      <c r="K3621" s="145" t="n"/>
      <c r="L3621" s="140">
        <f>+H3621*J3621</f>
        <v/>
      </c>
      <c r="M3621" s="141">
        <f>SUM(M3620+K3621-L3621)</f>
        <v/>
      </c>
    </row>
    <row r="3622">
      <c r="A3622" s="20" t="n">
        <v>45861</v>
      </c>
      <c r="B3622" s="1" t="n">
        <v>1253</v>
      </c>
      <c r="C3622" s="2" t="inlineStr">
        <is>
          <t>SELİM İNŞAAT</t>
        </is>
      </c>
      <c r="D3622" s="1" t="inlineStr">
        <is>
          <t>34 DSN 621</t>
        </is>
      </c>
      <c r="E3622" s="1" t="inlineStr">
        <is>
          <t>MUSTAFA KAYA</t>
        </is>
      </c>
      <c r="F3622" s="3" t="n">
        <v>419898</v>
      </c>
      <c r="G3622" s="143" t="n"/>
      <c r="H3622" s="143" t="n">
        <v>394</v>
      </c>
      <c r="I3622" s="143">
        <f>+I3621+(G3622-H3622)</f>
        <v/>
      </c>
      <c r="J3622" s="144" t="n">
        <v>46.27</v>
      </c>
      <c r="K3622" s="145" t="n"/>
      <c r="L3622" s="140">
        <f>+H3622*J3622</f>
        <v/>
      </c>
      <c r="M3622" s="141">
        <f>SUM(M3621+K3622-L3622)</f>
        <v/>
      </c>
    </row>
    <row r="3623">
      <c r="A3623" s="20" t="n">
        <v>45861</v>
      </c>
      <c r="B3623" s="1" t="n">
        <v>15530</v>
      </c>
      <c r="C3623" s="2" t="inlineStr">
        <is>
          <t>SELİM İNŞAAT</t>
        </is>
      </c>
      <c r="D3623" s="1" t="inlineStr">
        <is>
          <t>34 EDC 086</t>
        </is>
      </c>
      <c r="E3623" s="1" t="inlineStr">
        <is>
          <t>ÖMER AĞAYAR</t>
        </is>
      </c>
      <c r="F3623" s="3" t="n">
        <v>334891</v>
      </c>
      <c r="G3623" s="143" t="n"/>
      <c r="H3623" s="143" t="n">
        <v>415</v>
      </c>
      <c r="I3623" s="143">
        <f>+I3622+(G3623-H3623)</f>
        <v/>
      </c>
      <c r="J3623" s="144" t="n">
        <v>46.27</v>
      </c>
      <c r="K3623" s="145" t="n"/>
      <c r="L3623" s="140">
        <f>+H3623*J3623</f>
        <v/>
      </c>
      <c r="M3623" s="141">
        <f>SUM(M3622+K3623-L3623)</f>
        <v/>
      </c>
    </row>
    <row r="3624">
      <c r="A3624" s="20" t="n">
        <v>45861</v>
      </c>
      <c r="B3624" s="1" t="n">
        <v>115</v>
      </c>
      <c r="C3624" s="2" t="inlineStr">
        <is>
          <t>SELİM İNŞAAT</t>
        </is>
      </c>
      <c r="D3624" s="1" t="inlineStr">
        <is>
          <t>34 FBR 771</t>
        </is>
      </c>
      <c r="E3624" s="1" t="inlineStr">
        <is>
          <t>HÜSEYİN AKÇİN</t>
        </is>
      </c>
      <c r="F3624" s="3" t="n">
        <v>328440</v>
      </c>
      <c r="G3624" s="143" t="n"/>
      <c r="H3624" s="143" t="n">
        <v>543</v>
      </c>
      <c r="I3624" s="143">
        <f>+I3623+(G3624-H3624)</f>
        <v/>
      </c>
      <c r="J3624" s="144" t="n">
        <v>46.27</v>
      </c>
      <c r="K3624" s="145" t="n"/>
      <c r="L3624" s="140">
        <f>+H3624*J3624</f>
        <v/>
      </c>
      <c r="M3624" s="141">
        <f>SUM(M3623+K3624-L3624)</f>
        <v/>
      </c>
    </row>
    <row r="3625">
      <c r="A3625" s="20" t="n">
        <v>45861</v>
      </c>
      <c r="B3625" s="1" t="n">
        <v>15581</v>
      </c>
      <c r="C3625" s="2" t="inlineStr">
        <is>
          <t>SELİM İNŞAAT</t>
        </is>
      </c>
      <c r="D3625" s="1" t="inlineStr">
        <is>
          <t>34 GVZ 745</t>
        </is>
      </c>
      <c r="E3625" s="1" t="inlineStr">
        <is>
          <t>MUHAMMED YİĞİT</t>
        </is>
      </c>
      <c r="F3625" s="3" t="n">
        <v>194908</v>
      </c>
      <c r="G3625" s="143" t="n"/>
      <c r="H3625" s="143" t="n">
        <v>294</v>
      </c>
      <c r="I3625" s="143">
        <f>+I3624+(G3625-H3625)</f>
        <v/>
      </c>
      <c r="J3625" s="144" t="n">
        <v>46.27</v>
      </c>
      <c r="K3625" s="145" t="n"/>
      <c r="L3625" s="140">
        <f>+H3625*J3625</f>
        <v/>
      </c>
      <c r="M3625" s="141">
        <f>SUM(M3624+K3625-L3625)</f>
        <v/>
      </c>
    </row>
    <row r="3626">
      <c r="A3626" s="20" t="n">
        <v>45861</v>
      </c>
      <c r="B3626" s="1" t="n">
        <v>1103</v>
      </c>
      <c r="C3626" s="2" t="inlineStr">
        <is>
          <t>SELİM İNŞAAT</t>
        </is>
      </c>
      <c r="D3626" s="1" t="inlineStr">
        <is>
          <t>34 EDB 659</t>
        </is>
      </c>
      <c r="E3626" s="1" t="inlineStr">
        <is>
          <t>MEHMET SAİT ANIK</t>
        </is>
      </c>
      <c r="F3626" s="3" t="n">
        <v>350000</v>
      </c>
      <c r="G3626" s="143" t="n"/>
      <c r="H3626" s="143" t="n">
        <v>519</v>
      </c>
      <c r="I3626" s="143">
        <f>+I3625+(G3626-H3626)</f>
        <v/>
      </c>
      <c r="J3626" s="144" t="n">
        <v>46.27</v>
      </c>
      <c r="K3626" s="145" t="n"/>
      <c r="L3626" s="140">
        <f>+H3626*J3626</f>
        <v/>
      </c>
      <c r="M3626" s="141">
        <f>SUM(M3625+K3626-L3626)</f>
        <v/>
      </c>
    </row>
    <row r="3627">
      <c r="A3627" s="20" t="n">
        <v>45861</v>
      </c>
      <c r="B3627" s="1" t="n">
        <v>1202</v>
      </c>
      <c r="C3627" s="2" t="inlineStr">
        <is>
          <t>SELİM İNŞAAT</t>
        </is>
      </c>
      <c r="D3627" s="1" t="inlineStr">
        <is>
          <t>34 DHC 393</t>
        </is>
      </c>
      <c r="E3627" s="1" t="inlineStr">
        <is>
          <t>MUHAMMED BULUT</t>
        </is>
      </c>
      <c r="F3627" s="3" t="n">
        <v>429447</v>
      </c>
      <c r="G3627" s="143" t="n"/>
      <c r="H3627" s="143" t="n">
        <v>444</v>
      </c>
      <c r="I3627" s="143">
        <f>+I3626+(G3627-H3627)</f>
        <v/>
      </c>
      <c r="J3627" s="144" t="n">
        <v>46.27</v>
      </c>
      <c r="K3627" s="145" t="n"/>
      <c r="L3627" s="140">
        <f>+H3627*J3627</f>
        <v/>
      </c>
      <c r="M3627" s="141">
        <f>SUM(M3626+K3627-L3627)</f>
        <v/>
      </c>
    </row>
    <row r="3628">
      <c r="A3628" s="20" t="n">
        <v>45861</v>
      </c>
      <c r="B3628" s="1" t="n">
        <v>11499</v>
      </c>
      <c r="C3628" s="2" t="inlineStr">
        <is>
          <t>SELİM İNŞAAT</t>
        </is>
      </c>
      <c r="D3628" s="1" t="inlineStr">
        <is>
          <t>34 EGR 922</t>
        </is>
      </c>
      <c r="E3628" s="1" t="inlineStr">
        <is>
          <t>FARUK ÖZEN</t>
        </is>
      </c>
      <c r="F3628" s="3" t="n">
        <v>462410</v>
      </c>
      <c r="G3628" s="143" t="n"/>
      <c r="H3628" s="143" t="n">
        <v>538</v>
      </c>
      <c r="I3628" s="143">
        <f>+I3627+(G3628-H3628)</f>
        <v/>
      </c>
      <c r="J3628" s="144" t="n">
        <v>46.27</v>
      </c>
      <c r="K3628" s="145" t="n"/>
      <c r="L3628" s="140">
        <f>+H3628*J3628</f>
        <v/>
      </c>
      <c r="M3628" s="141">
        <f>SUM(M3627+K3628-L3628)</f>
        <v/>
      </c>
    </row>
    <row r="3629">
      <c r="A3629" s="20" t="n">
        <v>45861</v>
      </c>
      <c r="B3629" s="1" t="n">
        <v>1053</v>
      </c>
      <c r="C3629" s="2" t="inlineStr">
        <is>
          <t>SELİM İNŞAAT</t>
        </is>
      </c>
      <c r="D3629" s="1" t="inlineStr">
        <is>
          <t>34 GVZ 310</t>
        </is>
      </c>
      <c r="E3629" s="1" t="inlineStr">
        <is>
          <t>CELAL YÜZBAŞI</t>
        </is>
      </c>
      <c r="F3629" s="3" t="n">
        <v>207549</v>
      </c>
      <c r="G3629" s="143" t="n"/>
      <c r="H3629" s="143" t="n">
        <v>295</v>
      </c>
      <c r="I3629" s="143">
        <f>+I3628+(G3629-H3629)</f>
        <v/>
      </c>
      <c r="J3629" s="144" t="n">
        <v>46.27</v>
      </c>
      <c r="K3629" s="145" t="n"/>
      <c r="L3629" s="140">
        <f>+H3629*J3629</f>
        <v/>
      </c>
      <c r="M3629" s="141">
        <f>SUM(M3628+K3629-L3629)</f>
        <v/>
      </c>
    </row>
    <row r="3630">
      <c r="A3630" s="20" t="n">
        <v>45861</v>
      </c>
      <c r="B3630" s="1" t="n">
        <v>317</v>
      </c>
      <c r="C3630" s="2" t="inlineStr">
        <is>
          <t>SELİM İNŞAAT</t>
        </is>
      </c>
      <c r="D3630" s="1" t="inlineStr">
        <is>
          <t>34 EDB 829</t>
        </is>
      </c>
      <c r="E3630" s="1" t="inlineStr">
        <is>
          <t>İSMET BAYRAM</t>
        </is>
      </c>
      <c r="F3630" s="3" t="n">
        <v>327863</v>
      </c>
      <c r="G3630" s="143" t="n"/>
      <c r="H3630" s="143" t="n">
        <v>530</v>
      </c>
      <c r="I3630" s="143">
        <f>+I3629+(G3630-H3630)</f>
        <v/>
      </c>
      <c r="J3630" s="144" t="n">
        <v>46.27</v>
      </c>
      <c r="K3630" s="145" t="n"/>
      <c r="L3630" s="140">
        <f>+H3630*J3630</f>
        <v/>
      </c>
      <c r="M3630" s="141">
        <f>SUM(M3629+K3630-L3630)</f>
        <v/>
      </c>
    </row>
    <row r="3631">
      <c r="A3631" s="20" t="n">
        <v>45861</v>
      </c>
      <c r="B3631" s="1" t="n">
        <v>15266</v>
      </c>
      <c r="C3631" s="2" t="inlineStr">
        <is>
          <t>SELİM İNŞAAT</t>
        </is>
      </c>
      <c r="D3631" s="1" t="inlineStr">
        <is>
          <t>34 DTV 447</t>
        </is>
      </c>
      <c r="E3631" s="1" t="inlineStr">
        <is>
          <t>EBUBEKİR KOLDAŞ</t>
        </is>
      </c>
      <c r="F3631" s="3" t="n">
        <v>436591</v>
      </c>
      <c r="G3631" s="143" t="n"/>
      <c r="H3631" s="143" t="n">
        <v>530</v>
      </c>
      <c r="I3631" s="143">
        <f>+I3630+(G3631-H3631)</f>
        <v/>
      </c>
      <c r="J3631" s="144" t="n">
        <v>46.27</v>
      </c>
      <c r="K3631" s="145" t="n"/>
      <c r="L3631" s="140">
        <f>+H3631*J3631</f>
        <v/>
      </c>
      <c r="M3631" s="141">
        <f>SUM(M3630+K3631-L3631)</f>
        <v/>
      </c>
    </row>
    <row r="3632">
      <c r="A3632" s="20" t="n">
        <v>45861</v>
      </c>
      <c r="B3632" s="1" t="n">
        <v>15037</v>
      </c>
      <c r="C3632" s="2" t="inlineStr">
        <is>
          <t>SELİM İNŞAAT</t>
        </is>
      </c>
      <c r="D3632" s="1" t="inlineStr">
        <is>
          <t>34 GVZ 199</t>
        </is>
      </c>
      <c r="E3632" s="1" t="inlineStr">
        <is>
          <t>VAHDET GÜRLER</t>
        </is>
      </c>
      <c r="F3632" s="3" t="n">
        <v>190934</v>
      </c>
      <c r="G3632" s="143" t="n"/>
      <c r="H3632" s="143" t="n">
        <v>272</v>
      </c>
      <c r="I3632" s="143">
        <f>+I3631+(G3632-H3632)</f>
        <v/>
      </c>
      <c r="J3632" s="144" t="n">
        <v>46.27</v>
      </c>
      <c r="K3632" s="145" t="n"/>
      <c r="L3632" s="140">
        <f>+H3632*J3632</f>
        <v/>
      </c>
      <c r="M3632" s="141">
        <f>SUM(M3631+K3632-L3632)</f>
        <v/>
      </c>
    </row>
    <row r="3633">
      <c r="A3633" s="20" t="n">
        <v>45861</v>
      </c>
      <c r="B3633" s="1" t="n">
        <v>1501</v>
      </c>
      <c r="C3633" s="2" t="inlineStr">
        <is>
          <t>SELİM İNŞAAT</t>
        </is>
      </c>
      <c r="D3633" s="1" t="inlineStr">
        <is>
          <t>34 GUS 848</t>
        </is>
      </c>
      <c r="E3633" s="1" t="inlineStr">
        <is>
          <t>SERDAR BOZKURT</t>
        </is>
      </c>
      <c r="F3633" s="3" t="n">
        <v>199395</v>
      </c>
      <c r="G3633" s="143" t="n"/>
      <c r="H3633" s="143" t="n">
        <v>294</v>
      </c>
      <c r="I3633" s="143">
        <f>+I3632+(G3633-H3633)</f>
        <v/>
      </c>
      <c r="J3633" s="144" t="n">
        <v>46.27</v>
      </c>
      <c r="K3633" s="145" t="n"/>
      <c r="L3633" s="140">
        <f>+H3633*J3633</f>
        <v/>
      </c>
      <c r="M3633" s="141">
        <f>SUM(M3632+K3633-L3633)</f>
        <v/>
      </c>
    </row>
    <row r="3634">
      <c r="A3634" s="20" t="n">
        <v>45861</v>
      </c>
      <c r="B3634" s="1" t="n">
        <v>14774</v>
      </c>
      <c r="C3634" s="2" t="inlineStr">
        <is>
          <t>SELİM İNŞAAT</t>
        </is>
      </c>
      <c r="D3634" s="1" t="inlineStr">
        <is>
          <t>34 GYZ 635</t>
        </is>
      </c>
      <c r="E3634" s="1" t="inlineStr">
        <is>
          <t>ENGİN DEMİR</t>
        </is>
      </c>
      <c r="F3634" s="3" t="n">
        <v>182956</v>
      </c>
      <c r="G3634" s="143" t="n"/>
      <c r="H3634" s="143" t="n">
        <v>538</v>
      </c>
      <c r="I3634" s="143">
        <f>+I3633+(G3634-H3634)</f>
        <v/>
      </c>
      <c r="J3634" s="144" t="n">
        <v>46.27</v>
      </c>
      <c r="K3634" s="145" t="n"/>
      <c r="L3634" s="140">
        <f>+H3634*J3634</f>
        <v/>
      </c>
      <c r="M3634" s="141">
        <f>SUM(M3633+K3634-L3634)</f>
        <v/>
      </c>
    </row>
    <row r="3635">
      <c r="A3635" s="20" t="n">
        <v>45861</v>
      </c>
      <c r="B3635" s="1" t="n">
        <v>656</v>
      </c>
      <c r="C3635" s="2" t="inlineStr">
        <is>
          <t>SELİM İNŞAAT</t>
        </is>
      </c>
      <c r="D3635" s="1" t="inlineStr">
        <is>
          <t>34 DTV 352</t>
        </is>
      </c>
      <c r="E3635" s="1" t="inlineStr">
        <is>
          <t>AHMET DENİZ</t>
        </is>
      </c>
      <c r="F3635" s="3" t="n">
        <v>438370</v>
      </c>
      <c r="G3635" s="143" t="n"/>
      <c r="H3635" s="143" t="n">
        <v>463</v>
      </c>
      <c r="I3635" s="143">
        <f>+I3634+(G3635-H3635)</f>
        <v/>
      </c>
      <c r="J3635" s="144" t="n">
        <v>46.27</v>
      </c>
      <c r="K3635" s="145" t="n"/>
      <c r="L3635" s="140">
        <f>+H3635*J3635</f>
        <v/>
      </c>
      <c r="M3635" s="141">
        <f>SUM(M3634+K3635-L3635)</f>
        <v/>
      </c>
    </row>
    <row r="3636">
      <c r="A3636" s="20" t="n">
        <v>45861</v>
      </c>
      <c r="B3636" s="1" t="n">
        <v>944</v>
      </c>
      <c r="C3636" s="2" t="inlineStr">
        <is>
          <t>CEVİZ MOBİLYA</t>
        </is>
      </c>
      <c r="D3636" s="1" t="inlineStr">
        <is>
          <t>SM 350</t>
        </is>
      </c>
      <c r="E3636" s="1" t="inlineStr">
        <is>
          <t>TEVFİK ÖZTÜRK</t>
        </is>
      </c>
      <c r="F3636" s="3" t="n"/>
      <c r="G3636" s="143" t="n"/>
      <c r="H3636" s="143" t="n">
        <v>545</v>
      </c>
      <c r="I3636" s="143">
        <f>+I3635+(G3636-H3636)</f>
        <v/>
      </c>
      <c r="J3636" s="144" t="n">
        <v>46.27</v>
      </c>
      <c r="K3636" s="145" t="n"/>
      <c r="L3636" s="140">
        <f>+H3636*J3636</f>
        <v/>
      </c>
      <c r="M3636" s="141">
        <f>SUM(M3635+K3636-L3636)</f>
        <v/>
      </c>
    </row>
    <row r="3637">
      <c r="A3637" s="20" t="n">
        <v>45861</v>
      </c>
      <c r="B3637" s="1" t="n">
        <v>945</v>
      </c>
      <c r="C3637" s="2" t="inlineStr">
        <is>
          <t>GARAJ</t>
        </is>
      </c>
      <c r="D3637" s="21" t="inlineStr">
        <is>
          <t>FOKLİFT</t>
        </is>
      </c>
      <c r="E3637" s="1" t="n"/>
      <c r="F3637" s="3" t="n"/>
      <c r="G3637" s="143" t="n"/>
      <c r="H3637" s="143" t="n">
        <v>46</v>
      </c>
      <c r="I3637" s="143">
        <f>+I3636+(G3637-H3637)</f>
        <v/>
      </c>
      <c r="J3637" s="144" t="n">
        <v>46.27</v>
      </c>
      <c r="K3637" s="145" t="n"/>
      <c r="L3637" s="140">
        <f>+H3637*J3637</f>
        <v/>
      </c>
      <c r="M3637" s="141">
        <f>SUM(M3636+K3637-L3637)</f>
        <v/>
      </c>
    </row>
    <row r="3638">
      <c r="A3638" s="20" t="n">
        <v>45861</v>
      </c>
      <c r="B3638" s="1" t="n">
        <v>946</v>
      </c>
      <c r="C3638" s="2" t="inlineStr">
        <is>
          <t>MEGA VALIK</t>
        </is>
      </c>
      <c r="D3638" s="1" t="inlineStr">
        <is>
          <t>SM 300</t>
        </is>
      </c>
      <c r="E3638" s="1" t="inlineStr">
        <is>
          <t>TURGUT SANCAK</t>
        </is>
      </c>
      <c r="F3638" s="3" t="n"/>
      <c r="G3638" s="143" t="n"/>
      <c r="H3638" s="143" t="n">
        <v>271</v>
      </c>
      <c r="I3638" s="143">
        <f>+I3637+(G3638-H3638)</f>
        <v/>
      </c>
      <c r="J3638" s="144" t="n">
        <v>46.27</v>
      </c>
      <c r="K3638" s="145" t="n"/>
      <c r="L3638" s="140">
        <f>+H3638*J3638</f>
        <v/>
      </c>
      <c r="M3638" s="141">
        <f>SUM(M3637+K3638-L3638)</f>
        <v/>
      </c>
    </row>
    <row r="3639">
      <c r="A3639" s="20" t="n">
        <v>45861</v>
      </c>
      <c r="B3639" s="1" t="n">
        <v>1553</v>
      </c>
      <c r="C3639" s="2" t="inlineStr">
        <is>
          <t>SELİM İNŞAAT</t>
        </is>
      </c>
      <c r="D3639" s="1" t="inlineStr">
        <is>
          <t>34 GVZ 938</t>
        </is>
      </c>
      <c r="E3639" s="1" t="inlineStr">
        <is>
          <t>MEHMET KAYA</t>
        </is>
      </c>
      <c r="F3639" s="3" t="n">
        <v>197824</v>
      </c>
      <c r="G3639" s="143" t="n"/>
      <c r="H3639" s="143" t="n">
        <v>530</v>
      </c>
      <c r="I3639" s="143">
        <f>+I3638+(G3639-H3639)</f>
        <v/>
      </c>
      <c r="J3639" s="144" t="n">
        <v>46.27</v>
      </c>
      <c r="K3639" s="145" t="n"/>
      <c r="L3639" s="140">
        <f>+H3639*J3639</f>
        <v/>
      </c>
      <c r="M3639" s="141">
        <f>SUM(M3638+K3639-L3639)</f>
        <v/>
      </c>
    </row>
    <row r="3640">
      <c r="A3640" s="20" t="n">
        <v>45861</v>
      </c>
      <c r="B3640" s="1" t="n">
        <v>459</v>
      </c>
      <c r="C3640" s="2" t="inlineStr">
        <is>
          <t>SELİM İNŞAAT</t>
        </is>
      </c>
      <c r="D3640" s="1" t="inlineStr">
        <is>
          <t>34 DKL 866</t>
        </is>
      </c>
      <c r="E3640" s="1" t="inlineStr">
        <is>
          <t>SELİM CAN ÖNVER</t>
        </is>
      </c>
      <c r="F3640" s="3" t="n">
        <v>69553</v>
      </c>
      <c r="G3640" s="143" t="n"/>
      <c r="H3640" s="143" t="n">
        <v>198</v>
      </c>
      <c r="I3640" s="143">
        <f>+I3639+(G3640-H3640)</f>
        <v/>
      </c>
      <c r="J3640" s="144" t="n">
        <v>46.27</v>
      </c>
      <c r="K3640" s="145" t="n"/>
      <c r="L3640" s="140">
        <f>+H3640*J3640</f>
        <v/>
      </c>
      <c r="M3640" s="141">
        <f>SUM(M3639+K3640-L3640)</f>
        <v/>
      </c>
    </row>
    <row r="3641">
      <c r="A3641" s="20" t="n">
        <v>45861</v>
      </c>
      <c r="B3641" s="21" t="n">
        <v>11337</v>
      </c>
      <c r="C3641" s="22" t="inlineStr">
        <is>
          <t>AZGÜN YAPI</t>
        </is>
      </c>
      <c r="D3641" s="21" t="inlineStr">
        <is>
          <t>34 MKT 859</t>
        </is>
      </c>
      <c r="E3641" s="21" t="inlineStr">
        <is>
          <t>HASAN ALTUN</t>
        </is>
      </c>
      <c r="F3641" s="23" t="n"/>
      <c r="G3641" s="138" t="n"/>
      <c r="H3641" s="138" t="n">
        <v>371</v>
      </c>
      <c r="I3641" s="138">
        <f>+I3640+(G3641-H3641)</f>
        <v/>
      </c>
      <c r="J3641" s="139" t="n">
        <v>46.27</v>
      </c>
      <c r="K3641" s="140" t="n"/>
      <c r="L3641" s="140">
        <f>+H3641*J3641</f>
        <v/>
      </c>
      <c r="M3641" s="141">
        <f>SUM(M3640+K3641-L3641)</f>
        <v/>
      </c>
    </row>
    <row r="3642">
      <c r="A3642" s="20" t="n">
        <v>45861</v>
      </c>
      <c r="B3642" s="21" t="n">
        <v>15626</v>
      </c>
      <c r="C3642" s="22" t="inlineStr">
        <is>
          <t>METİN ERYİĞİT</t>
        </is>
      </c>
      <c r="D3642" s="21" t="inlineStr">
        <is>
          <t>34 EGS 013</t>
        </is>
      </c>
      <c r="E3642" s="21" t="inlineStr">
        <is>
          <t xml:space="preserve">UĞUR DUMAN </t>
        </is>
      </c>
      <c r="F3642" s="23" t="n">
        <v>499794</v>
      </c>
      <c r="G3642" s="138" t="n"/>
      <c r="H3642" s="138" t="n">
        <v>351</v>
      </c>
      <c r="I3642" s="138">
        <f>+I3641+(G3642-H3642)</f>
        <v/>
      </c>
      <c r="J3642" s="139" t="n">
        <v>46.27</v>
      </c>
      <c r="K3642" s="140" t="n"/>
      <c r="L3642" s="140">
        <f>+H3642*J3642</f>
        <v/>
      </c>
      <c r="M3642" s="141">
        <f>SUM(M3641+K3642-L3642)</f>
        <v/>
      </c>
    </row>
    <row r="3643">
      <c r="A3643" s="20" t="n">
        <v>45861</v>
      </c>
      <c r="B3643" s="21" t="n">
        <v>709</v>
      </c>
      <c r="C3643" s="22" t="inlineStr">
        <is>
          <t>METİN ERYİĞİT</t>
        </is>
      </c>
      <c r="D3643" s="21" t="inlineStr">
        <is>
          <t>34 GBL 998</t>
        </is>
      </c>
      <c r="E3643" s="21" t="inlineStr">
        <is>
          <t>ALİ KESKİN</t>
        </is>
      </c>
      <c r="F3643" s="23" t="n">
        <v>280301</v>
      </c>
      <c r="G3643" s="138" t="n"/>
      <c r="H3643" s="138" t="n">
        <v>496</v>
      </c>
      <c r="I3643" s="138">
        <f>+I3642+(G3643-H3643)</f>
        <v/>
      </c>
      <c r="J3643" s="139" t="n">
        <v>46.27</v>
      </c>
      <c r="K3643" s="140" t="n"/>
      <c r="L3643" s="140">
        <f>+H3643*J3643</f>
        <v/>
      </c>
      <c r="M3643" s="141">
        <f>SUM(M3642+K3643-L3643)</f>
        <v/>
      </c>
    </row>
    <row r="3644">
      <c r="A3644" s="20" t="n">
        <v>45861</v>
      </c>
      <c r="B3644" s="1" t="n">
        <v>164</v>
      </c>
      <c r="C3644" s="2" t="inlineStr">
        <is>
          <t>SELİM İNŞAAT</t>
        </is>
      </c>
      <c r="D3644" s="1" t="inlineStr">
        <is>
          <t>34 TG 7869</t>
        </is>
      </c>
      <c r="E3644" s="1" t="inlineStr">
        <is>
          <t>GÖRKEM KARAYEL</t>
        </is>
      </c>
      <c r="F3644" s="3" t="n">
        <v>185756</v>
      </c>
      <c r="G3644" s="143" t="n"/>
      <c r="H3644" s="143" t="n">
        <v>271</v>
      </c>
      <c r="I3644" s="143">
        <f>+I3643+(G3644-H3644)</f>
        <v/>
      </c>
      <c r="J3644" s="144" t="n">
        <v>46.27</v>
      </c>
      <c r="K3644" s="145" t="n"/>
      <c r="L3644" s="140">
        <f>+H3644*J3644</f>
        <v/>
      </c>
      <c r="M3644" s="141">
        <f>SUM(M3643+K3644-L3644)</f>
        <v/>
      </c>
    </row>
    <row r="3645">
      <c r="A3645" s="20" t="n">
        <v>45861</v>
      </c>
      <c r="B3645" s="21" t="n">
        <v>986</v>
      </c>
      <c r="C3645" s="22" t="inlineStr">
        <is>
          <t>ÜNSOY TURİZM İNŞ.SAN.VE TİC.A.Ş.</t>
        </is>
      </c>
      <c r="D3645" s="21" t="n"/>
      <c r="E3645" s="21" t="n"/>
      <c r="F3645" s="23" t="n"/>
      <c r="G3645" s="138" t="n">
        <v>31885</v>
      </c>
      <c r="H3645" s="138" t="n"/>
      <c r="I3645" s="138">
        <f>+I3644+(G3645-H3645)</f>
        <v/>
      </c>
      <c r="J3645" s="139">
        <f>+K3645/G3645</f>
        <v/>
      </c>
      <c r="K3645" s="140" t="n">
        <v>1482652.5</v>
      </c>
      <c r="L3645" s="140">
        <f>+H3645*J3645</f>
        <v/>
      </c>
      <c r="M3645" s="141">
        <f>SUM(M3644+K3645-L3645)</f>
        <v/>
      </c>
    </row>
    <row r="3646">
      <c r="A3646" s="20" t="n">
        <v>45862</v>
      </c>
      <c r="B3646" s="1" t="n">
        <v>961</v>
      </c>
      <c r="C3646" s="2" t="inlineStr">
        <is>
          <t>SELİM İNŞAAT</t>
        </is>
      </c>
      <c r="D3646" s="1" t="inlineStr">
        <is>
          <t>34 FBR 742</t>
        </is>
      </c>
      <c r="E3646" s="1" t="inlineStr">
        <is>
          <t>MİKAİL BAYILMAZ</t>
        </is>
      </c>
      <c r="F3646" s="3" t="n">
        <v>326602</v>
      </c>
      <c r="G3646" s="143" t="n"/>
      <c r="H3646" s="143" t="n">
        <v>429</v>
      </c>
      <c r="I3646" s="143">
        <f>+I3645+(G3646-H3646)</f>
        <v/>
      </c>
      <c r="J3646" s="144" t="n">
        <v>46.5</v>
      </c>
      <c r="K3646" s="145" t="n"/>
      <c r="L3646" s="140">
        <f>+H3646*J3646</f>
        <v/>
      </c>
      <c r="M3646" s="141">
        <f>SUM(M3645+K3646-L3646)</f>
        <v/>
      </c>
    </row>
    <row r="3647">
      <c r="A3647" s="20" t="n">
        <v>45862</v>
      </c>
      <c r="B3647" s="1" t="n">
        <v>855</v>
      </c>
      <c r="C3647" s="2" t="inlineStr">
        <is>
          <t>SELİM İNŞAAT</t>
        </is>
      </c>
      <c r="D3647" s="1" t="inlineStr">
        <is>
          <t>34 FSG 229</t>
        </is>
      </c>
      <c r="E3647" s="1" t="inlineStr">
        <is>
          <t>SİNAN TANRIVERDİ</t>
        </is>
      </c>
      <c r="F3647" s="3" t="n">
        <v>266676</v>
      </c>
      <c r="G3647" s="143" t="n"/>
      <c r="H3647" s="143" t="n">
        <v>275</v>
      </c>
      <c r="I3647" s="143">
        <f>+I3646+(G3647-H3647)</f>
        <v/>
      </c>
      <c r="J3647" s="144" t="n">
        <v>46.5</v>
      </c>
      <c r="K3647" s="145" t="n"/>
      <c r="L3647" s="140">
        <f>+H3647*J3647</f>
        <v/>
      </c>
      <c r="M3647" s="141">
        <f>SUM(M3646+K3647-L3647)</f>
        <v/>
      </c>
    </row>
    <row r="3648">
      <c r="A3648" s="20" t="n">
        <v>45862</v>
      </c>
      <c r="B3648" s="1" t="n">
        <v>15873</v>
      </c>
      <c r="C3648" s="2" t="inlineStr">
        <is>
          <t>SELİM İNŞAAT</t>
        </is>
      </c>
      <c r="D3648" s="1" t="inlineStr">
        <is>
          <t>34 EDB 754</t>
        </is>
      </c>
      <c r="E3648" s="1" t="inlineStr">
        <is>
          <t>EMİN PARLAKKILIÇ</t>
        </is>
      </c>
      <c r="F3648" s="3" t="n">
        <v>332306</v>
      </c>
      <c r="G3648" s="143" t="n"/>
      <c r="H3648" s="143" t="n">
        <v>447</v>
      </c>
      <c r="I3648" s="143">
        <f>+I3647+(G3648-H3648)</f>
        <v/>
      </c>
      <c r="J3648" s="144" t="n">
        <v>46.5</v>
      </c>
      <c r="K3648" s="145" t="n"/>
      <c r="L3648" s="140">
        <f>+H3648*J3648</f>
        <v/>
      </c>
      <c r="M3648" s="141">
        <f>SUM(M3647+K3648-L3648)</f>
        <v/>
      </c>
    </row>
    <row r="3649">
      <c r="A3649" s="20" t="n">
        <v>45862</v>
      </c>
      <c r="B3649" s="1" t="n">
        <v>1004</v>
      </c>
      <c r="C3649" s="2" t="inlineStr">
        <is>
          <t>SELİM İNŞAAT</t>
        </is>
      </c>
      <c r="D3649" s="1" t="inlineStr">
        <is>
          <t>34 EDB 659</t>
        </is>
      </c>
      <c r="E3649" s="1" t="inlineStr">
        <is>
          <t>MEHMET SAİT ANIK</t>
        </is>
      </c>
      <c r="F3649" s="3" t="n">
        <v>350249</v>
      </c>
      <c r="G3649" s="143" t="n"/>
      <c r="H3649" s="143" t="n">
        <v>194</v>
      </c>
      <c r="I3649" s="143">
        <f>+I3648+(G3649-H3649)</f>
        <v/>
      </c>
      <c r="J3649" s="144" t="n">
        <v>46.5</v>
      </c>
      <c r="K3649" s="145" t="n"/>
      <c r="L3649" s="140">
        <f>+H3649*J3649</f>
        <v/>
      </c>
      <c r="M3649" s="141">
        <f>SUM(M3648+K3649-L3649)</f>
        <v/>
      </c>
    </row>
    <row r="3650">
      <c r="A3650" s="20" t="n">
        <v>45862</v>
      </c>
      <c r="B3650" s="1" t="n">
        <v>15068</v>
      </c>
      <c r="C3650" s="2" t="inlineStr">
        <is>
          <t>SELİM İNŞAAT</t>
        </is>
      </c>
      <c r="D3650" s="1" t="inlineStr">
        <is>
          <t>34 EGR 736</t>
        </is>
      </c>
      <c r="E3650" s="1" t="inlineStr">
        <is>
          <t>HAKAN ÇAVUŞOĞLU</t>
        </is>
      </c>
      <c r="F3650" s="3" t="n">
        <v>399560</v>
      </c>
      <c r="G3650" s="143" t="n"/>
      <c r="H3650" s="143" t="n">
        <v>548</v>
      </c>
      <c r="I3650" s="143">
        <f>+I3649+(G3650-H3650)</f>
        <v/>
      </c>
      <c r="J3650" s="144" t="n">
        <v>46.5</v>
      </c>
      <c r="K3650" s="145" t="n"/>
      <c r="L3650" s="140">
        <f>+H3650*J3650</f>
        <v/>
      </c>
      <c r="M3650" s="141">
        <f>SUM(M3649+K3650-L3650)</f>
        <v/>
      </c>
    </row>
    <row r="3651">
      <c r="A3651" s="20" t="n">
        <v>45862</v>
      </c>
      <c r="B3651" s="1" t="n">
        <v>21641</v>
      </c>
      <c r="C3651" s="2" t="inlineStr">
        <is>
          <t>SELİM İNŞAAT</t>
        </is>
      </c>
      <c r="D3651" s="1" t="inlineStr">
        <is>
          <t>34 DHC 467</t>
        </is>
      </c>
      <c r="E3651" s="1" t="inlineStr">
        <is>
          <t>HÜSEYİN DENİZ</t>
        </is>
      </c>
      <c r="F3651" s="3" t="n">
        <v>412619</v>
      </c>
      <c r="G3651" s="143" t="n"/>
      <c r="H3651" s="143" t="n">
        <v>395</v>
      </c>
      <c r="I3651" s="143">
        <f>+I3650+(G3651-H3651)</f>
        <v/>
      </c>
      <c r="J3651" s="144" t="n">
        <v>46.5</v>
      </c>
      <c r="K3651" s="145" t="n"/>
      <c r="L3651" s="140">
        <f>+H3651*J3651</f>
        <v/>
      </c>
      <c r="M3651" s="141">
        <f>SUM(M3650+K3651-L3651)</f>
        <v/>
      </c>
    </row>
    <row r="3652">
      <c r="A3652" s="20" t="n">
        <v>45862</v>
      </c>
      <c r="B3652" s="1" t="n">
        <v>318</v>
      </c>
      <c r="C3652" s="2" t="inlineStr">
        <is>
          <t>SELİM İNŞAAT</t>
        </is>
      </c>
      <c r="D3652" s="1" t="inlineStr">
        <is>
          <t>34 EDB 829</t>
        </is>
      </c>
      <c r="E3652" s="1" t="inlineStr">
        <is>
          <t>İSMET BAYRAM</t>
        </is>
      </c>
      <c r="F3652" s="3" t="n">
        <v>328451</v>
      </c>
      <c r="G3652" s="143" t="n"/>
      <c r="H3652" s="143" t="n">
        <v>379</v>
      </c>
      <c r="I3652" s="143">
        <f>+I3651+(G3652-H3652)</f>
        <v/>
      </c>
      <c r="J3652" s="144" t="n">
        <v>46.5</v>
      </c>
      <c r="K3652" s="145" t="n"/>
      <c r="L3652" s="140">
        <f>+H3652*J3652</f>
        <v/>
      </c>
      <c r="M3652" s="141">
        <f>SUM(M3651+K3652-L3652)</f>
        <v/>
      </c>
    </row>
    <row r="3653">
      <c r="A3653" s="20" t="n">
        <v>45862</v>
      </c>
      <c r="B3653" s="1" t="n">
        <v>412</v>
      </c>
      <c r="C3653" s="2" t="inlineStr">
        <is>
          <t>SELİM İNŞAAT</t>
        </is>
      </c>
      <c r="D3653" s="1" t="inlineStr">
        <is>
          <t>34 DRU 690</t>
        </is>
      </c>
      <c r="E3653" s="1" t="inlineStr">
        <is>
          <t>MURAT DEMİRBAŞ</t>
        </is>
      </c>
      <c r="F3653" s="3" t="n">
        <v>426694</v>
      </c>
      <c r="G3653" s="143" t="n"/>
      <c r="H3653" s="143" t="n">
        <v>527</v>
      </c>
      <c r="I3653" s="143">
        <f>+I3652+(G3653-H3653)</f>
        <v/>
      </c>
      <c r="J3653" s="144" t="n">
        <v>46.5</v>
      </c>
      <c r="K3653" s="145" t="n"/>
      <c r="L3653" s="140">
        <f>+H3653*J3653</f>
        <v/>
      </c>
      <c r="M3653" s="141">
        <f>SUM(M3652+K3653-L3653)</f>
        <v/>
      </c>
    </row>
    <row r="3654">
      <c r="A3654" s="20" t="n">
        <v>45862</v>
      </c>
      <c r="B3654" s="1" t="n">
        <v>15974</v>
      </c>
      <c r="C3654" s="2" t="inlineStr">
        <is>
          <t>SELİM İNŞAAT</t>
        </is>
      </c>
      <c r="D3654" s="1" t="inlineStr">
        <is>
          <t>34 FBR 781</t>
        </is>
      </c>
      <c r="E3654" s="1" t="inlineStr">
        <is>
          <t>MEVLÜT POLAT</t>
        </is>
      </c>
      <c r="F3654" s="3" t="n">
        <v>314736</v>
      </c>
      <c r="G3654" s="143" t="n"/>
      <c r="H3654" s="143" t="n">
        <v>422</v>
      </c>
      <c r="I3654" s="143">
        <f>+I3653+(G3654-H3654)</f>
        <v/>
      </c>
      <c r="J3654" s="144" t="n">
        <v>46.5</v>
      </c>
      <c r="K3654" s="145" t="n"/>
      <c r="L3654" s="140">
        <f>+H3654*J3654</f>
        <v/>
      </c>
      <c r="M3654" s="141">
        <f>SUM(M3653+K3654-L3654)</f>
        <v/>
      </c>
    </row>
    <row r="3655">
      <c r="A3655" s="20" t="n">
        <v>45862</v>
      </c>
      <c r="B3655" s="1" t="n">
        <v>817</v>
      </c>
      <c r="C3655" s="2" t="inlineStr">
        <is>
          <t>SELİM İNŞAAT</t>
        </is>
      </c>
      <c r="D3655" s="1" t="inlineStr">
        <is>
          <t>34 FBR 705</t>
        </is>
      </c>
      <c r="E3655" s="1" t="inlineStr">
        <is>
          <t>MESUT GÜRLER</t>
        </is>
      </c>
      <c r="F3655" s="3" t="n">
        <v>325951</v>
      </c>
      <c r="G3655" s="143" t="n"/>
      <c r="H3655" s="143" t="n">
        <v>372</v>
      </c>
      <c r="I3655" s="143">
        <f>+I3654+(G3655-H3655)</f>
        <v/>
      </c>
      <c r="J3655" s="144" t="n">
        <v>46.5</v>
      </c>
      <c r="K3655" s="145" t="n"/>
      <c r="L3655" s="140">
        <f>+H3655*J3655</f>
        <v/>
      </c>
      <c r="M3655" s="141">
        <f>SUM(M3654+K3655-L3655)</f>
        <v/>
      </c>
    </row>
    <row r="3656">
      <c r="A3656" s="20" t="n">
        <v>45862</v>
      </c>
      <c r="B3656" s="1" t="n">
        <v>11241</v>
      </c>
      <c r="C3656" s="2" t="inlineStr">
        <is>
          <t>SELİM İNŞAAT</t>
        </is>
      </c>
      <c r="D3656" s="1" t="inlineStr">
        <is>
          <t>34 DSN 636</t>
        </is>
      </c>
      <c r="E3656" s="1" t="inlineStr">
        <is>
          <t>İLHAN YÜRÜK</t>
        </is>
      </c>
      <c r="F3656" s="3" t="n">
        <v>400398</v>
      </c>
      <c r="G3656" s="143" t="n"/>
      <c r="H3656" s="143" t="n">
        <v>520</v>
      </c>
      <c r="I3656" s="143">
        <f>+I3655+(G3656-H3656)</f>
        <v/>
      </c>
      <c r="J3656" s="144" t="n">
        <v>46.5</v>
      </c>
      <c r="K3656" s="145" t="n"/>
      <c r="L3656" s="140">
        <f>+H3656*J3656</f>
        <v/>
      </c>
      <c r="M3656" s="141">
        <f>SUM(M3655+K3656-L3656)</f>
        <v/>
      </c>
    </row>
    <row r="3657">
      <c r="A3657" s="20" t="n">
        <v>45862</v>
      </c>
      <c r="B3657" s="1" t="n">
        <v>14836</v>
      </c>
      <c r="C3657" s="2" t="inlineStr">
        <is>
          <t>SELİM İNŞAAT</t>
        </is>
      </c>
      <c r="D3657" s="1" t="inlineStr">
        <is>
          <t>34 GVZ 268</t>
        </is>
      </c>
      <c r="E3657" s="1" t="inlineStr">
        <is>
          <t xml:space="preserve">KERİM KARAMAN </t>
        </is>
      </c>
      <c r="F3657" s="3" t="n">
        <v>201848</v>
      </c>
      <c r="G3657" s="143" t="n"/>
      <c r="H3657" s="143" t="n">
        <v>440</v>
      </c>
      <c r="I3657" s="143">
        <f>+I3656+(G3657-H3657)</f>
        <v/>
      </c>
      <c r="J3657" s="144" t="n">
        <v>46.5</v>
      </c>
      <c r="K3657" s="145" t="n"/>
      <c r="L3657" s="140">
        <f>+H3657*J3657</f>
        <v/>
      </c>
      <c r="M3657" s="141">
        <f>SUM(M3656+K3657-L3657)</f>
        <v/>
      </c>
    </row>
    <row r="3658">
      <c r="A3658" s="20" t="n">
        <v>45862</v>
      </c>
      <c r="B3658" s="1" t="n">
        <v>947</v>
      </c>
      <c r="C3658" s="2" t="inlineStr">
        <is>
          <t>MEGA VALIK</t>
        </is>
      </c>
      <c r="D3658" s="1" t="inlineStr">
        <is>
          <t>SM 300</t>
        </is>
      </c>
      <c r="E3658" s="1" t="inlineStr">
        <is>
          <t>TURGUT SANCAK</t>
        </is>
      </c>
      <c r="F3658" s="3" t="n"/>
      <c r="G3658" s="143" t="n"/>
      <c r="H3658" s="143" t="n">
        <v>268</v>
      </c>
      <c r="I3658" s="143">
        <f>+I3657+(G3658-H3658)</f>
        <v/>
      </c>
      <c r="J3658" s="144" t="n">
        <v>46.5</v>
      </c>
      <c r="K3658" s="145" t="n"/>
      <c r="L3658" s="140">
        <f>+H3658*J3658</f>
        <v/>
      </c>
      <c r="M3658" s="141">
        <f>SUM(M3657+K3658-L3658)</f>
        <v/>
      </c>
    </row>
    <row r="3659">
      <c r="A3659" s="20" t="n">
        <v>45862</v>
      </c>
      <c r="B3659" s="1" t="n">
        <v>948</v>
      </c>
      <c r="C3659" s="2" t="inlineStr">
        <is>
          <t>MEGA VALIK</t>
        </is>
      </c>
      <c r="D3659" s="1" t="inlineStr">
        <is>
          <t>SM 370</t>
        </is>
      </c>
      <c r="E3659" s="1" t="inlineStr">
        <is>
          <t>TEKİN ŞEYLAN</t>
        </is>
      </c>
      <c r="F3659" s="3" t="n"/>
      <c r="G3659" s="143" t="n"/>
      <c r="H3659" s="143" t="n">
        <v>609</v>
      </c>
      <c r="I3659" s="143">
        <f>+I3658+(G3659-H3659)</f>
        <v/>
      </c>
      <c r="J3659" s="144" t="n">
        <v>46.5</v>
      </c>
      <c r="K3659" s="145" t="n"/>
      <c r="L3659" s="140">
        <f>+H3659*J3659</f>
        <v/>
      </c>
      <c r="M3659" s="141">
        <f>SUM(M3658+K3659-L3659)</f>
        <v/>
      </c>
    </row>
    <row r="3660">
      <c r="A3660" s="20" t="n">
        <v>45862</v>
      </c>
      <c r="B3660" s="21" t="n">
        <v>949</v>
      </c>
      <c r="C3660" s="22" t="inlineStr">
        <is>
          <t>EVKUR</t>
        </is>
      </c>
      <c r="D3660" s="21" t="inlineStr">
        <is>
          <t>FOKLİFT</t>
        </is>
      </c>
      <c r="E3660" s="21" t="inlineStr">
        <is>
          <t>FAHRİ KALFA</t>
        </is>
      </c>
      <c r="F3660" s="23" t="n"/>
      <c r="G3660" s="138" t="n"/>
      <c r="H3660" s="138" t="n">
        <v>34</v>
      </c>
      <c r="I3660" s="138">
        <f>+I3659+(G3660-H3660)</f>
        <v/>
      </c>
      <c r="J3660" s="139" t="n">
        <v>46.5</v>
      </c>
      <c r="K3660" s="140" t="n"/>
      <c r="L3660" s="140">
        <f>+H3660*J3660</f>
        <v/>
      </c>
      <c r="M3660" s="141">
        <f>SUM(M3659+K3660-L3660)</f>
        <v/>
      </c>
    </row>
    <row r="3661">
      <c r="A3661" s="20" t="n">
        <v>45862</v>
      </c>
      <c r="B3661" s="1" t="n">
        <v>950</v>
      </c>
      <c r="C3661" s="2" t="inlineStr">
        <is>
          <t>EVKUR</t>
        </is>
      </c>
      <c r="D3661" s="1" t="inlineStr">
        <is>
          <t>KAVAZAKİ</t>
        </is>
      </c>
      <c r="E3661" s="1" t="inlineStr">
        <is>
          <t>RAMAZAN KAYA</t>
        </is>
      </c>
      <c r="F3661" s="3" t="n"/>
      <c r="G3661" s="143" t="n"/>
      <c r="H3661" s="143" t="n">
        <v>304</v>
      </c>
      <c r="I3661" s="143">
        <f>+I3660+(G3661-H3661)</f>
        <v/>
      </c>
      <c r="J3661" s="144" t="n">
        <v>46.5</v>
      </c>
      <c r="K3661" s="145" t="n"/>
      <c r="L3661" s="140">
        <f>+H3661*J3661</f>
        <v/>
      </c>
      <c r="M3661" s="141">
        <f>SUM(M3660+K3661-L3661)</f>
        <v/>
      </c>
    </row>
    <row r="3662">
      <c r="A3662" s="20" t="n">
        <v>45862</v>
      </c>
      <c r="B3662" s="1" t="n">
        <v>1951</v>
      </c>
      <c r="C3662" s="2" t="inlineStr">
        <is>
          <t>CEVİZ MOBİLYA</t>
        </is>
      </c>
      <c r="D3662" s="1" t="inlineStr">
        <is>
          <t>SM 350</t>
        </is>
      </c>
      <c r="E3662" s="1" t="inlineStr">
        <is>
          <t>TEVFİK ÖZTÜRK</t>
        </is>
      </c>
      <c r="F3662" s="3" t="n"/>
      <c r="G3662" s="143" t="n"/>
      <c r="H3662" s="143" t="n">
        <v>464</v>
      </c>
      <c r="I3662" s="143">
        <f>+I3661+(G3662-H3662)</f>
        <v/>
      </c>
      <c r="J3662" s="144" t="n">
        <v>46.5</v>
      </c>
      <c r="K3662" s="145" t="n"/>
      <c r="L3662" s="140">
        <f>+H3662*J3662</f>
        <v/>
      </c>
      <c r="M3662" s="141">
        <f>SUM(M3661+K3662-L3662)</f>
        <v/>
      </c>
    </row>
    <row r="3663">
      <c r="A3663" s="20" t="n">
        <v>45862</v>
      </c>
      <c r="B3663" s="1" t="n">
        <v>15934</v>
      </c>
      <c r="C3663" s="2" t="inlineStr">
        <is>
          <t>SELİM İNŞAAT</t>
        </is>
      </c>
      <c r="D3663" s="1" t="inlineStr">
        <is>
          <t>34 DFE 454</t>
        </is>
      </c>
      <c r="E3663" s="1" t="inlineStr">
        <is>
          <t>METİN KALKAN</t>
        </is>
      </c>
      <c r="F3663" s="3" t="n">
        <v>163112</v>
      </c>
      <c r="G3663" s="143" t="n"/>
      <c r="H3663" s="143" t="n">
        <v>243</v>
      </c>
      <c r="I3663" s="143">
        <f>+I3662+(G3663-H3663)</f>
        <v/>
      </c>
      <c r="J3663" s="144" t="n">
        <v>46.5</v>
      </c>
      <c r="K3663" s="145" t="n"/>
      <c r="L3663" s="140">
        <f>+H3663*J3663</f>
        <v/>
      </c>
      <c r="M3663" s="141">
        <f>SUM(M3662+K3663-L3663)</f>
        <v/>
      </c>
    </row>
    <row r="3664">
      <c r="A3664" s="20" t="n">
        <v>45862</v>
      </c>
      <c r="B3664" s="1" t="n">
        <v>254</v>
      </c>
      <c r="C3664" s="2" t="inlineStr">
        <is>
          <t>SELİM İNŞAAT</t>
        </is>
      </c>
      <c r="D3664" s="1" t="inlineStr">
        <is>
          <t>34 GER 445</t>
        </is>
      </c>
      <c r="E3664" s="1" t="inlineStr">
        <is>
          <t>HASAN BAYCAN</t>
        </is>
      </c>
      <c r="F3664" s="3" t="n">
        <v>46500</v>
      </c>
      <c r="G3664" s="143" t="n"/>
      <c r="H3664" s="143" t="n">
        <v>263</v>
      </c>
      <c r="I3664" s="143">
        <f>+I3663+(G3664-H3664)</f>
        <v/>
      </c>
      <c r="J3664" s="144" t="n">
        <v>46.5</v>
      </c>
      <c r="K3664" s="145" t="n"/>
      <c r="L3664" s="140">
        <f>+H3664*J3664</f>
        <v/>
      </c>
      <c r="M3664" s="141">
        <f>SUM(M3663+K3664-L3664)</f>
        <v/>
      </c>
    </row>
    <row r="3665">
      <c r="A3665" s="20" t="n">
        <v>45862</v>
      </c>
      <c r="B3665" s="1" t="n">
        <v>603</v>
      </c>
      <c r="C3665" s="2" t="inlineStr">
        <is>
          <t>SELİM İNŞAAT</t>
        </is>
      </c>
      <c r="D3665" s="1" t="inlineStr">
        <is>
          <t>34 AR 7743</t>
        </is>
      </c>
      <c r="E3665" s="1" t="inlineStr">
        <is>
          <t>MEHMET SELİM</t>
        </is>
      </c>
      <c r="F3665" s="3" t="n">
        <v>358313</v>
      </c>
      <c r="G3665" s="143" t="n"/>
      <c r="H3665" s="143" t="n">
        <v>66</v>
      </c>
      <c r="I3665" s="143">
        <f>+I3664+(G3665-H3665)</f>
        <v/>
      </c>
      <c r="J3665" s="144" t="n">
        <v>46.5</v>
      </c>
      <c r="K3665" s="145" t="n"/>
      <c r="L3665" s="140">
        <f>+H3665*J3665</f>
        <v/>
      </c>
      <c r="M3665" s="141">
        <f>SUM(M3664+K3665-L3665)</f>
        <v/>
      </c>
    </row>
    <row r="3666">
      <c r="A3666" s="20" t="n">
        <v>45862</v>
      </c>
      <c r="B3666" s="1" t="n">
        <v>16748</v>
      </c>
      <c r="C3666" s="2" t="inlineStr">
        <is>
          <t>SELİM İNŞAAT</t>
        </is>
      </c>
      <c r="D3666" s="1" t="inlineStr">
        <is>
          <t>34 JBA 25</t>
        </is>
      </c>
      <c r="E3666" s="1" t="inlineStr">
        <is>
          <t>TURAN SEVİNDİK</t>
        </is>
      </c>
      <c r="F3666" s="3" t="n">
        <v>337615</v>
      </c>
      <c r="G3666" s="143" t="n"/>
      <c r="H3666" s="143" t="n">
        <v>70</v>
      </c>
      <c r="I3666" s="143">
        <f>+I3665+(G3666-H3666)</f>
        <v/>
      </c>
      <c r="J3666" s="144" t="n">
        <v>46.5</v>
      </c>
      <c r="K3666" s="145" t="n"/>
      <c r="L3666" s="140">
        <f>+H3666*J3666</f>
        <v/>
      </c>
      <c r="M3666" s="141">
        <f>SUM(M3665+K3666-L3666)</f>
        <v/>
      </c>
    </row>
    <row r="3667">
      <c r="A3667" s="20" t="n">
        <v>45862</v>
      </c>
      <c r="B3667" s="21" t="n">
        <v>14195</v>
      </c>
      <c r="C3667" s="22" t="inlineStr">
        <is>
          <t>AZGÜN YAPI</t>
        </is>
      </c>
      <c r="D3667" s="21" t="inlineStr">
        <is>
          <t>34 DTV 263</t>
        </is>
      </c>
      <c r="E3667" s="21" t="inlineStr">
        <is>
          <t>OZAN ÇOŞĞUN</t>
        </is>
      </c>
      <c r="F3667" s="23" t="n"/>
      <c r="G3667" s="138" t="n"/>
      <c r="H3667" s="138" t="n">
        <v>476</v>
      </c>
      <c r="I3667" s="138">
        <f>+I3666+(G3667-H3667)</f>
        <v/>
      </c>
      <c r="J3667" s="139" t="n">
        <v>46.5</v>
      </c>
      <c r="K3667" s="140" t="n"/>
      <c r="L3667" s="140">
        <f>+H3667*J3667</f>
        <v/>
      </c>
      <c r="M3667" s="141">
        <f>SUM(M3666+K3667-L3667)</f>
        <v/>
      </c>
    </row>
    <row r="3668">
      <c r="A3668" s="20" t="n">
        <v>45862</v>
      </c>
      <c r="B3668" s="21" t="n">
        <v>8892</v>
      </c>
      <c r="C3668" s="22" t="inlineStr">
        <is>
          <t>MAHMUT VİNÇ</t>
        </is>
      </c>
      <c r="D3668" s="21" t="inlineStr">
        <is>
          <t>34 AH 5401</t>
        </is>
      </c>
      <c r="E3668" s="21" t="inlineStr">
        <is>
          <t>MAHMUT YAKUPOĞLU</t>
        </is>
      </c>
      <c r="F3668" s="23" t="n"/>
      <c r="G3668" s="138" t="n"/>
      <c r="H3668" s="138" t="n">
        <v>32</v>
      </c>
      <c r="I3668" s="138">
        <f>+I3667+(G3668-H3668)</f>
        <v/>
      </c>
      <c r="J3668" s="139" t="n">
        <v>46.5</v>
      </c>
      <c r="K3668" s="140" t="n"/>
      <c r="L3668" s="140">
        <f>+H3668*J3668</f>
        <v/>
      </c>
      <c r="M3668" s="141">
        <f>SUM(M3667+K3668-L3668)</f>
        <v/>
      </c>
    </row>
    <row r="3669">
      <c r="A3669" s="20" t="n">
        <v>45862</v>
      </c>
      <c r="B3669" s="21" t="n">
        <v>15681</v>
      </c>
      <c r="C3669" s="22" t="inlineStr">
        <is>
          <t>METİN ERYİĞİT</t>
        </is>
      </c>
      <c r="D3669" s="21" t="inlineStr">
        <is>
          <t>34 EGR 814</t>
        </is>
      </c>
      <c r="E3669" s="21" t="inlineStr">
        <is>
          <t>GÜRAY KOYUNCU</t>
        </is>
      </c>
      <c r="F3669" s="23" t="n">
        <v>553878</v>
      </c>
      <c r="G3669" s="138" t="n"/>
      <c r="H3669" s="138" t="n">
        <v>359</v>
      </c>
      <c r="I3669" s="138">
        <f>+I3668+(G3669-H3669)</f>
        <v/>
      </c>
      <c r="J3669" s="139" t="n">
        <v>46.5</v>
      </c>
      <c r="K3669" s="140" t="n"/>
      <c r="L3669" s="140">
        <f>+H3669*J3669</f>
        <v/>
      </c>
      <c r="M3669" s="141">
        <f>SUM(M3668+K3669-L3669)</f>
        <v/>
      </c>
    </row>
    <row r="3670">
      <c r="A3670" s="20" t="n">
        <v>45862</v>
      </c>
      <c r="B3670" s="1" t="n">
        <v>10596</v>
      </c>
      <c r="C3670" s="2" t="inlineStr">
        <is>
          <t>SELİM İNŞAAT</t>
        </is>
      </c>
      <c r="D3670" s="1" t="inlineStr">
        <is>
          <t>34 GU 945</t>
        </is>
      </c>
      <c r="E3670" s="1" t="inlineStr">
        <is>
          <t>ŞERİF KARTAL</t>
        </is>
      </c>
      <c r="F3670" s="3" t="n">
        <v>452538</v>
      </c>
      <c r="G3670" s="143" t="n"/>
      <c r="H3670" s="143" t="n">
        <v>67</v>
      </c>
      <c r="I3670" s="143">
        <f>+I3669+(G3670-H3670)</f>
        <v/>
      </c>
      <c r="J3670" s="144" t="n">
        <v>46.5</v>
      </c>
      <c r="K3670" s="145" t="n"/>
      <c r="L3670" s="140">
        <f>+H3670*J3670</f>
        <v/>
      </c>
      <c r="M3670" s="141">
        <f>SUM(M3669+K3670-L3670)</f>
        <v/>
      </c>
    </row>
    <row r="3671">
      <c r="A3671" s="20" t="n">
        <v>45863</v>
      </c>
      <c r="B3671" s="1" t="n">
        <v>14449</v>
      </c>
      <c r="C3671" s="2" t="inlineStr">
        <is>
          <t>SELİM İNŞAAT</t>
        </is>
      </c>
      <c r="D3671" s="1" t="inlineStr">
        <is>
          <t>34 EGR 737</t>
        </is>
      </c>
      <c r="E3671" s="1" t="inlineStr">
        <is>
          <t>CEM MUHTAR</t>
        </is>
      </c>
      <c r="F3671" s="3" t="n">
        <v>424586</v>
      </c>
      <c r="G3671" s="143" t="n"/>
      <c r="H3671" s="143" t="n">
        <v>415</v>
      </c>
      <c r="I3671" s="143">
        <f>+I3670+(G3671-H3671)</f>
        <v/>
      </c>
      <c r="J3671" s="144" t="n">
        <v>46.5</v>
      </c>
      <c r="K3671" s="145" t="n"/>
      <c r="L3671" s="140">
        <f>+H3671*J3671</f>
        <v/>
      </c>
      <c r="M3671" s="141">
        <f>SUM(M3670+K3671-L3671)</f>
        <v/>
      </c>
    </row>
    <row r="3672">
      <c r="A3672" s="20" t="n">
        <v>45863</v>
      </c>
      <c r="B3672" s="1" t="n">
        <v>15220</v>
      </c>
      <c r="C3672" s="2" t="inlineStr">
        <is>
          <t>SELİM İNŞAAT</t>
        </is>
      </c>
      <c r="D3672" s="1" t="inlineStr">
        <is>
          <t>34 DSN 565</t>
        </is>
      </c>
      <c r="E3672" s="1" t="inlineStr">
        <is>
          <t>HÜSEYİN DENİZ</t>
        </is>
      </c>
      <c r="F3672" s="3" t="n">
        <v>408761</v>
      </c>
      <c r="G3672" s="143" t="n"/>
      <c r="H3672" s="143" t="n">
        <v>422</v>
      </c>
      <c r="I3672" s="143">
        <f>+I3671+(G3672-H3672)</f>
        <v/>
      </c>
      <c r="J3672" s="144" t="n">
        <v>46.5</v>
      </c>
      <c r="K3672" s="145" t="n"/>
      <c r="L3672" s="140">
        <f>+H3672*J3672</f>
        <v/>
      </c>
      <c r="M3672" s="141">
        <f>SUM(M3671+K3672-L3672)</f>
        <v/>
      </c>
    </row>
    <row r="3673">
      <c r="A3673" s="20" t="n">
        <v>45863</v>
      </c>
      <c r="B3673" s="1" t="n">
        <v>1254</v>
      </c>
      <c r="C3673" s="2" t="inlineStr">
        <is>
          <t>SELİM İNŞAAT</t>
        </is>
      </c>
      <c r="D3673" s="1" t="inlineStr">
        <is>
          <t>34 DSN 621</t>
        </is>
      </c>
      <c r="E3673" s="1" t="inlineStr">
        <is>
          <t>MUSTAFA KAYA</t>
        </is>
      </c>
      <c r="F3673" s="3" t="n">
        <v>420622</v>
      </c>
      <c r="G3673" s="143" t="n"/>
      <c r="H3673" s="143" t="n">
        <v>426</v>
      </c>
      <c r="I3673" s="143">
        <f>+I3672+(G3673-H3673)</f>
        <v/>
      </c>
      <c r="J3673" s="144" t="n">
        <v>46.5</v>
      </c>
      <c r="K3673" s="145" t="n"/>
      <c r="L3673" s="140">
        <f>+H3673*J3673</f>
        <v/>
      </c>
      <c r="M3673" s="141">
        <f>SUM(M3672+K3673-L3673)</f>
        <v/>
      </c>
    </row>
    <row r="3674">
      <c r="A3674" s="20" t="n">
        <v>45863</v>
      </c>
      <c r="B3674" s="1" t="n">
        <v>1702</v>
      </c>
      <c r="C3674" s="2" t="inlineStr">
        <is>
          <t>SELİM İNŞAAT</t>
        </is>
      </c>
      <c r="D3674" s="21" t="inlineStr">
        <is>
          <t>34 DGP 137</t>
        </is>
      </c>
      <c r="E3674" s="1" t="inlineStr">
        <is>
          <t>MUHAMMED BULUT</t>
        </is>
      </c>
      <c r="F3674" s="3" t="n">
        <v>433033</v>
      </c>
      <c r="G3674" s="143" t="n"/>
      <c r="H3674" s="143" t="n">
        <v>220</v>
      </c>
      <c r="I3674" s="143">
        <f>+I3673+(G3674-H3674)</f>
        <v/>
      </c>
      <c r="J3674" s="144" t="n">
        <v>46.5</v>
      </c>
      <c r="K3674" s="145" t="n"/>
      <c r="L3674" s="140">
        <f>+H3674*J3674</f>
        <v/>
      </c>
      <c r="M3674" s="141">
        <f>SUM(M3673+K3674-L3674)</f>
        <v/>
      </c>
    </row>
    <row r="3675">
      <c r="A3675" s="20" t="n">
        <v>45863</v>
      </c>
      <c r="B3675" s="1" t="n">
        <v>15531</v>
      </c>
      <c r="C3675" s="2" t="inlineStr">
        <is>
          <t>SELİM İNŞAAT</t>
        </is>
      </c>
      <c r="D3675" s="1" t="inlineStr">
        <is>
          <t>34 EDC 086</t>
        </is>
      </c>
      <c r="E3675" s="1" t="inlineStr">
        <is>
          <t>ÖMER AĞAYAR</t>
        </is>
      </c>
      <c r="F3675" s="3" t="n">
        <v>335732</v>
      </c>
      <c r="G3675" s="143" t="n"/>
      <c r="H3675" s="143" t="n">
        <v>512</v>
      </c>
      <c r="I3675" s="143">
        <f>+I3674+(G3675-H3675)</f>
        <v/>
      </c>
      <c r="J3675" s="144" t="n">
        <v>46.5</v>
      </c>
      <c r="K3675" s="145" t="n"/>
      <c r="L3675" s="140">
        <f>+H3675*J3675</f>
        <v/>
      </c>
      <c r="M3675" s="141">
        <f>SUM(M3674+K3675-L3675)</f>
        <v/>
      </c>
    </row>
    <row r="3676">
      <c r="A3676" s="20" t="n">
        <v>45863</v>
      </c>
      <c r="B3676" s="1" t="n">
        <v>15582</v>
      </c>
      <c r="C3676" s="2" t="inlineStr">
        <is>
          <t>SELİM İNŞAAT</t>
        </is>
      </c>
      <c r="D3676" s="1" t="inlineStr">
        <is>
          <t>34 GVZ 745</t>
        </is>
      </c>
      <c r="E3676" s="1" t="inlineStr">
        <is>
          <t>MUHAMMED YİĞİT</t>
        </is>
      </c>
      <c r="F3676" s="3" t="n">
        <v>195547</v>
      </c>
      <c r="G3676" s="143" t="n"/>
      <c r="H3676" s="143" t="n">
        <v>358</v>
      </c>
      <c r="I3676" s="143">
        <f>+I3675+(G3676-H3676)</f>
        <v/>
      </c>
      <c r="J3676" s="144" t="n">
        <v>46.5</v>
      </c>
      <c r="K3676" s="145" t="n"/>
      <c r="L3676" s="140">
        <f>+H3676*J3676</f>
        <v/>
      </c>
      <c r="M3676" s="141">
        <f>SUM(M3675+K3676-L3676)</f>
        <v/>
      </c>
    </row>
    <row r="3677">
      <c r="A3677" s="20" t="n">
        <v>45863</v>
      </c>
      <c r="B3677" s="1" t="n">
        <v>1003</v>
      </c>
      <c r="C3677" s="2" t="inlineStr">
        <is>
          <t>SELİM İNŞAAT</t>
        </is>
      </c>
      <c r="D3677" s="1" t="inlineStr">
        <is>
          <t>34 DHH 668</t>
        </is>
      </c>
      <c r="E3677" s="1" t="inlineStr">
        <is>
          <t>ADNAN KOÇ</t>
        </is>
      </c>
      <c r="F3677" s="3" t="n">
        <v>391311</v>
      </c>
      <c r="G3677" s="143" t="n"/>
      <c r="H3677" s="143" t="n">
        <v>346</v>
      </c>
      <c r="I3677" s="143">
        <f>+I3676+(G3677-H3677)</f>
        <v/>
      </c>
      <c r="J3677" s="144" t="n">
        <v>46.5</v>
      </c>
      <c r="K3677" s="145" t="n"/>
      <c r="L3677" s="140">
        <f>+H3677*J3677</f>
        <v/>
      </c>
      <c r="M3677" s="141">
        <f>SUM(M3676+K3677-L3677)</f>
        <v/>
      </c>
    </row>
    <row r="3678">
      <c r="A3678" s="20" t="n">
        <v>45863</v>
      </c>
      <c r="B3678" s="1" t="n">
        <v>1203</v>
      </c>
      <c r="C3678" s="2" t="inlineStr">
        <is>
          <t>SELİM İNŞAAT</t>
        </is>
      </c>
      <c r="D3678" s="1" t="inlineStr">
        <is>
          <t>34 DHC 393</t>
        </is>
      </c>
      <c r="E3678" s="1" t="inlineStr">
        <is>
          <t>MUHAMMED BULUT</t>
        </is>
      </c>
      <c r="F3678" s="3" t="n">
        <v>430049</v>
      </c>
      <c r="G3678" s="143" t="n"/>
      <c r="H3678" s="143" t="n">
        <v>398</v>
      </c>
      <c r="I3678" s="143">
        <f>+I3677+(G3678-H3678)</f>
        <v/>
      </c>
      <c r="J3678" s="144" t="n">
        <v>46.5</v>
      </c>
      <c r="K3678" s="145" t="n"/>
      <c r="L3678" s="140">
        <f>+H3678*J3678</f>
        <v/>
      </c>
      <c r="M3678" s="141">
        <f>SUM(M3677+K3678-L3678)</f>
        <v/>
      </c>
    </row>
    <row r="3679">
      <c r="A3679" s="20" t="n">
        <v>45863</v>
      </c>
      <c r="B3679" s="1" t="n">
        <v>15123</v>
      </c>
      <c r="C3679" s="2" t="inlineStr">
        <is>
          <t>SELİM İNŞAAT</t>
        </is>
      </c>
      <c r="D3679" s="1" t="inlineStr">
        <is>
          <t>34 DTV 599</t>
        </is>
      </c>
      <c r="E3679" s="1" t="inlineStr">
        <is>
          <t>FERHAT GÜRLER</t>
        </is>
      </c>
      <c r="F3679" s="3" t="n">
        <v>440885</v>
      </c>
      <c r="G3679" s="143" t="n"/>
      <c r="H3679" s="143" t="n">
        <v>526</v>
      </c>
      <c r="I3679" s="143">
        <f>+I3678+(G3679-H3679)</f>
        <v/>
      </c>
      <c r="J3679" s="144" t="n">
        <v>46.5</v>
      </c>
      <c r="K3679" s="145" t="n"/>
      <c r="L3679" s="140">
        <f>+H3679*J3679</f>
        <v/>
      </c>
      <c r="M3679" s="141">
        <f>SUM(M3678+K3679-L3679)</f>
        <v/>
      </c>
    </row>
    <row r="3680">
      <c r="A3680" s="20" t="n">
        <v>45863</v>
      </c>
      <c r="B3680" s="1" t="n">
        <v>19</v>
      </c>
      <c r="C3680" s="2" t="inlineStr">
        <is>
          <t>SELİM İNŞAAT</t>
        </is>
      </c>
      <c r="D3680" s="1" t="inlineStr">
        <is>
          <t>34 FBR 748</t>
        </is>
      </c>
      <c r="E3680" s="1" t="inlineStr">
        <is>
          <t>YAŞAR ÖZKAYA</t>
        </is>
      </c>
      <c r="F3680" s="3" t="n">
        <v>290861</v>
      </c>
      <c r="G3680" s="143" t="n"/>
      <c r="H3680" s="143" t="n">
        <v>427</v>
      </c>
      <c r="I3680" s="143">
        <f>+I3679+(G3680-H3680)</f>
        <v/>
      </c>
      <c r="J3680" s="144" t="n">
        <v>46.5</v>
      </c>
      <c r="K3680" s="145" t="n"/>
      <c r="L3680" s="140">
        <f>+H3680*J3680</f>
        <v/>
      </c>
      <c r="M3680" s="141">
        <f>SUM(M3679+K3680-L3680)</f>
        <v/>
      </c>
    </row>
    <row r="3681">
      <c r="A3681" s="20" t="n">
        <v>45863</v>
      </c>
      <c r="B3681" s="1" t="n">
        <v>15369</v>
      </c>
      <c r="C3681" s="2" t="inlineStr">
        <is>
          <t>SELİM İNŞAAT</t>
        </is>
      </c>
      <c r="D3681" s="1" t="inlineStr">
        <is>
          <t>34 DTV 409</t>
        </is>
      </c>
      <c r="E3681" s="1" t="inlineStr">
        <is>
          <t>ONUR CANLI</t>
        </is>
      </c>
      <c r="F3681" s="3" t="n">
        <v>425959</v>
      </c>
      <c r="G3681" s="143" t="n"/>
      <c r="H3681" s="143" t="n">
        <v>319</v>
      </c>
      <c r="I3681" s="143">
        <f>+I3680+(G3681-H3681)</f>
        <v/>
      </c>
      <c r="J3681" s="144" t="n">
        <v>46.5</v>
      </c>
      <c r="K3681" s="145" t="n"/>
      <c r="L3681" s="140">
        <f>+H3681*J3681</f>
        <v/>
      </c>
      <c r="M3681" s="141">
        <f>SUM(M3680+K3681-L3681)</f>
        <v/>
      </c>
    </row>
    <row r="3682">
      <c r="A3682" s="20" t="n">
        <v>45863</v>
      </c>
      <c r="B3682" s="1" t="n">
        <v>15038</v>
      </c>
      <c r="C3682" s="2" t="inlineStr">
        <is>
          <t>SELİM İNŞAAT</t>
        </is>
      </c>
      <c r="D3682" s="1" t="inlineStr">
        <is>
          <t>34 GVZ 199</t>
        </is>
      </c>
      <c r="E3682" s="1" t="inlineStr">
        <is>
          <t>VAHDET GÜRLER</t>
        </is>
      </c>
      <c r="F3682" s="3" t="n">
        <v>191522</v>
      </c>
      <c r="G3682" s="143" t="n"/>
      <c r="H3682" s="143" t="n">
        <v>294</v>
      </c>
      <c r="I3682" s="143">
        <f>+I3681+(G3682-H3682)</f>
        <v/>
      </c>
      <c r="J3682" s="144" t="n">
        <v>46.5</v>
      </c>
      <c r="K3682" s="145" t="n"/>
      <c r="L3682" s="140">
        <f>+H3682*J3682</f>
        <v/>
      </c>
      <c r="M3682" s="141">
        <f>SUM(M3681+K3682-L3682)</f>
        <v/>
      </c>
    </row>
    <row r="3683">
      <c r="A3683" s="20" t="n">
        <v>45863</v>
      </c>
      <c r="B3683" s="1" t="n">
        <v>1502</v>
      </c>
      <c r="C3683" s="2" t="inlineStr">
        <is>
          <t>SELİM İNŞAAT</t>
        </is>
      </c>
      <c r="D3683" s="1" t="inlineStr">
        <is>
          <t>34 GUS 848</t>
        </is>
      </c>
      <c r="E3683" s="1" t="inlineStr">
        <is>
          <t>SERDAR BOZKURT</t>
        </is>
      </c>
      <c r="F3683" s="3" t="n">
        <v>199811</v>
      </c>
      <c r="G3683" s="143" t="n"/>
      <c r="H3683" s="143" t="n">
        <v>475</v>
      </c>
      <c r="I3683" s="143">
        <f>+I3682+(G3683-H3683)</f>
        <v/>
      </c>
      <c r="J3683" s="144" t="n">
        <v>46.5</v>
      </c>
      <c r="K3683" s="145" t="n"/>
      <c r="L3683" s="140">
        <f>+H3683*J3683</f>
        <v/>
      </c>
      <c r="M3683" s="141">
        <f>SUM(M3682+K3683-L3683)</f>
        <v/>
      </c>
    </row>
    <row r="3684">
      <c r="A3684" s="20" t="n">
        <v>45863</v>
      </c>
      <c r="B3684" s="1" t="n">
        <v>14149</v>
      </c>
      <c r="C3684" s="2" t="inlineStr">
        <is>
          <t>SELİM İNŞAAT</t>
        </is>
      </c>
      <c r="D3684" s="1" t="inlineStr">
        <is>
          <t>34 DSN 536</t>
        </is>
      </c>
      <c r="E3684" s="1" t="inlineStr">
        <is>
          <t>DURSUN ALİ GÜREK</t>
        </is>
      </c>
      <c r="F3684" s="3" t="n">
        <v>414166</v>
      </c>
      <c r="G3684" s="143" t="n"/>
      <c r="H3684" s="143" t="n">
        <v>441</v>
      </c>
      <c r="I3684" s="143">
        <f>+I3683+(G3684-H3684)</f>
        <v/>
      </c>
      <c r="J3684" s="144" t="n">
        <v>46.5</v>
      </c>
      <c r="K3684" s="145" t="n"/>
      <c r="L3684" s="140">
        <f>+H3684*J3684</f>
        <v/>
      </c>
      <c r="M3684" s="141">
        <f>SUM(M3683+K3684-L3684)</f>
        <v/>
      </c>
    </row>
    <row r="3685">
      <c r="A3685" s="20" t="n">
        <v>45863</v>
      </c>
      <c r="B3685" s="1" t="n">
        <v>14775</v>
      </c>
      <c r="C3685" s="2" t="inlineStr">
        <is>
          <t>SELİM İNŞAAT</t>
        </is>
      </c>
      <c r="D3685" s="1" t="inlineStr">
        <is>
          <t>34 GYZ 635</t>
        </is>
      </c>
      <c r="E3685" s="1" t="inlineStr">
        <is>
          <t>ENGİN DEMİR</t>
        </is>
      </c>
      <c r="F3685" s="3" t="n">
        <v>183613</v>
      </c>
      <c r="G3685" s="143" t="n"/>
      <c r="H3685" s="143" t="n">
        <v>397</v>
      </c>
      <c r="I3685" s="143">
        <f>+I3684+(G3685-H3685)</f>
        <v/>
      </c>
      <c r="J3685" s="144" t="n">
        <v>46.5</v>
      </c>
      <c r="K3685" s="145" t="n"/>
      <c r="L3685" s="140">
        <f>+H3685*J3685</f>
        <v/>
      </c>
      <c r="M3685" s="141">
        <f>SUM(M3684+K3685-L3685)</f>
        <v/>
      </c>
    </row>
    <row r="3686">
      <c r="A3686" s="20" t="n">
        <v>45863</v>
      </c>
      <c r="B3686" s="1" t="n">
        <v>566</v>
      </c>
      <c r="C3686" s="2" t="inlineStr">
        <is>
          <t>SELİM İNŞAAT</t>
        </is>
      </c>
      <c r="D3686" s="1" t="inlineStr">
        <is>
          <t>34 EDB 922</t>
        </is>
      </c>
      <c r="E3686" s="1" t="inlineStr">
        <is>
          <t>AHMET TOPÇU</t>
        </is>
      </c>
      <c r="F3686" s="3" t="n">
        <v>372921</v>
      </c>
      <c r="G3686" s="143" t="n"/>
      <c r="H3686" s="143" t="n">
        <v>433</v>
      </c>
      <c r="I3686" s="143">
        <f>+I3685+(G3686-H3686)</f>
        <v/>
      </c>
      <c r="J3686" s="144" t="n">
        <v>46.5</v>
      </c>
      <c r="K3686" s="145" t="n"/>
      <c r="L3686" s="140">
        <f>+H3686*J3686</f>
        <v/>
      </c>
      <c r="M3686" s="141">
        <f>SUM(M3685+K3686-L3686)</f>
        <v/>
      </c>
    </row>
    <row r="3687">
      <c r="A3687" s="20" t="n">
        <v>45863</v>
      </c>
      <c r="B3687" s="1" t="n">
        <v>1952</v>
      </c>
      <c r="C3687" s="2" t="inlineStr">
        <is>
          <t>EVKUR</t>
        </is>
      </c>
      <c r="D3687" s="1" t="inlineStr">
        <is>
          <t>JCB KİRALIK KATO</t>
        </is>
      </c>
      <c r="E3687" s="1" t="inlineStr">
        <is>
          <t>BURAK BEY TALİMATI</t>
        </is>
      </c>
      <c r="F3687" s="3" t="n"/>
      <c r="G3687" s="143" t="n"/>
      <c r="H3687" s="143" t="n">
        <v>70</v>
      </c>
      <c r="I3687" s="143">
        <f>+I3686+(G3687-H3687)</f>
        <v/>
      </c>
      <c r="J3687" s="144" t="n">
        <v>46.5</v>
      </c>
      <c r="K3687" s="145" t="n"/>
      <c r="L3687" s="140">
        <f>+H3687*J3687</f>
        <v/>
      </c>
      <c r="M3687" s="141">
        <f>SUM(M3686+K3687-L3687)</f>
        <v/>
      </c>
    </row>
    <row r="3688">
      <c r="A3688" s="20" t="n">
        <v>45863</v>
      </c>
      <c r="B3688" s="1" t="n">
        <v>1953</v>
      </c>
      <c r="C3688" s="2" t="inlineStr">
        <is>
          <t>GÜRSES</t>
        </is>
      </c>
      <c r="D3688" s="1" t="inlineStr">
        <is>
          <t>MNT 2265</t>
        </is>
      </c>
      <c r="E3688" s="1" t="inlineStr">
        <is>
          <t>MUHAMMED KANTAR</t>
        </is>
      </c>
      <c r="F3688" s="3" t="n"/>
      <c r="G3688" s="143" t="n"/>
      <c r="H3688" s="143" t="n">
        <v>292</v>
      </c>
      <c r="I3688" s="143">
        <f>+I3687+(G3688-H3688)</f>
        <v/>
      </c>
      <c r="J3688" s="144" t="n">
        <v>46.5</v>
      </c>
      <c r="K3688" s="145" t="n"/>
      <c r="L3688" s="140">
        <f>+H3688*J3688</f>
        <v/>
      </c>
      <c r="M3688" s="141">
        <f>SUM(M3687+K3688-L3688)</f>
        <v/>
      </c>
    </row>
    <row r="3689">
      <c r="A3689" s="20" t="n">
        <v>45863</v>
      </c>
      <c r="B3689" s="1" t="n">
        <v>1954</v>
      </c>
      <c r="C3689" s="2" t="inlineStr">
        <is>
          <t>GÜRSES</t>
        </is>
      </c>
      <c r="D3689" s="1" t="inlineStr">
        <is>
          <t xml:space="preserve">YENİ VİNÇ </t>
        </is>
      </c>
      <c r="E3689" s="1" t="inlineStr">
        <is>
          <t>SALİH ŞOLAN</t>
        </is>
      </c>
      <c r="F3689" s="3" t="n"/>
      <c r="G3689" s="143" t="n"/>
      <c r="H3689" s="143" t="n">
        <v>304</v>
      </c>
      <c r="I3689" s="143">
        <f>+I3688+(G3689-H3689)</f>
        <v/>
      </c>
      <c r="J3689" s="144" t="n">
        <v>46.5</v>
      </c>
      <c r="K3689" s="145" t="n"/>
      <c r="L3689" s="140">
        <f>+H3689*J3689</f>
        <v/>
      </c>
      <c r="M3689" s="141">
        <f>SUM(M3688+K3689-L3689)</f>
        <v/>
      </c>
    </row>
    <row r="3690">
      <c r="A3690" s="20" t="n">
        <v>45863</v>
      </c>
      <c r="B3690" s="1" t="n">
        <v>1955</v>
      </c>
      <c r="C3690" s="2" t="inlineStr">
        <is>
          <t>CEVİZ MOBİLYA</t>
        </is>
      </c>
      <c r="D3690" s="1" t="inlineStr">
        <is>
          <t>SM 370</t>
        </is>
      </c>
      <c r="E3690" s="1" t="inlineStr">
        <is>
          <t>TEKİN ŞEYLAN</t>
        </is>
      </c>
      <c r="F3690" s="3" t="n"/>
      <c r="G3690" s="143" t="n"/>
      <c r="H3690" s="143" t="n">
        <v>461</v>
      </c>
      <c r="I3690" s="143">
        <f>+I3689+(G3690-H3690)</f>
        <v/>
      </c>
      <c r="J3690" s="144" t="n">
        <v>46.5</v>
      </c>
      <c r="K3690" s="145" t="n"/>
      <c r="L3690" s="140">
        <f>+H3690*J3690</f>
        <v/>
      </c>
      <c r="M3690" s="141">
        <f>SUM(M3689+K3690-L3690)</f>
        <v/>
      </c>
    </row>
    <row r="3691">
      <c r="A3691" s="20" t="n">
        <v>45863</v>
      </c>
      <c r="B3691" s="1" t="n">
        <v>1956</v>
      </c>
      <c r="C3691" s="2" t="inlineStr">
        <is>
          <t>VARLIK</t>
        </is>
      </c>
      <c r="D3691" s="1" t="inlineStr">
        <is>
          <t>SM 350</t>
        </is>
      </c>
      <c r="E3691" s="1" t="inlineStr">
        <is>
          <t>BAYRAM SANCAK</t>
        </is>
      </c>
      <c r="F3691" s="3" t="n"/>
      <c r="G3691" s="143" t="n"/>
      <c r="H3691" s="143" t="n">
        <v>490</v>
      </c>
      <c r="I3691" s="143">
        <f>+I3690+(G3691-H3691)</f>
        <v/>
      </c>
      <c r="J3691" s="144" t="n">
        <v>46.5</v>
      </c>
      <c r="K3691" s="145" t="n"/>
      <c r="L3691" s="140">
        <f>+H3691*J3691</f>
        <v/>
      </c>
      <c r="M3691" s="141">
        <f>SUM(M3690+K3691-L3691)</f>
        <v/>
      </c>
    </row>
    <row r="3692">
      <c r="A3692" s="20" t="n">
        <v>45863</v>
      </c>
      <c r="B3692" s="21" t="n">
        <v>1957</v>
      </c>
      <c r="C3692" s="22" t="inlineStr">
        <is>
          <t>EVKUR</t>
        </is>
      </c>
      <c r="D3692" s="21" t="inlineStr">
        <is>
          <t>FOKLİFT</t>
        </is>
      </c>
      <c r="E3692" s="21" t="inlineStr">
        <is>
          <t>FAHRİ KALFA</t>
        </is>
      </c>
      <c r="F3692" s="23" t="n"/>
      <c r="G3692" s="138" t="n"/>
      <c r="H3692" s="138" t="n">
        <v>63</v>
      </c>
      <c r="I3692" s="138">
        <f>+I3691+(G3692-H3692)</f>
        <v/>
      </c>
      <c r="J3692" s="139" t="n">
        <v>46.5</v>
      </c>
      <c r="K3692" s="140" t="n"/>
      <c r="L3692" s="140">
        <f>+H3692*J3692</f>
        <v/>
      </c>
      <c r="M3692" s="141">
        <f>SUM(M3691+K3692-L3692)</f>
        <v/>
      </c>
    </row>
    <row r="3693">
      <c r="A3693" s="20" t="n">
        <v>45863</v>
      </c>
      <c r="B3693" s="1" t="n">
        <v>1554</v>
      </c>
      <c r="C3693" s="2" t="inlineStr">
        <is>
          <t>SELİM İNŞAAT</t>
        </is>
      </c>
      <c r="D3693" s="1" t="inlineStr">
        <is>
          <t>34 GVZ 938</t>
        </is>
      </c>
      <c r="E3693" s="1" t="inlineStr">
        <is>
          <t>MEHMET KAYA</t>
        </is>
      </c>
      <c r="F3693" s="3" t="n">
        <v>198418</v>
      </c>
      <c r="G3693" s="143" t="n"/>
      <c r="H3693" s="143" t="n">
        <v>392</v>
      </c>
      <c r="I3693" s="143">
        <f>+I3692+(G3693-H3693)</f>
        <v/>
      </c>
      <c r="J3693" s="144" t="n">
        <v>46.5</v>
      </c>
      <c r="K3693" s="145" t="n"/>
      <c r="L3693" s="140">
        <f>+H3693*J3693</f>
        <v/>
      </c>
      <c r="M3693" s="141">
        <f>SUM(M3692+K3693-L3693)</f>
        <v/>
      </c>
    </row>
    <row r="3694">
      <c r="A3694" s="20" t="n">
        <v>45863</v>
      </c>
      <c r="B3694" s="1" t="n">
        <v>14547</v>
      </c>
      <c r="C3694" s="2" t="inlineStr">
        <is>
          <t>SELİM İNŞAAT</t>
        </is>
      </c>
      <c r="D3694" s="1" t="inlineStr">
        <is>
          <t>34 GER 028</t>
        </is>
      </c>
      <c r="E3694" s="1" t="inlineStr">
        <is>
          <t>A.KERİM ERGEN</t>
        </is>
      </c>
      <c r="F3694" s="3" t="n">
        <v>48285</v>
      </c>
      <c r="G3694" s="143" t="n"/>
      <c r="H3694" s="143" t="n">
        <v>299</v>
      </c>
      <c r="I3694" s="143">
        <f>+I3693+(G3694-H3694)</f>
        <v/>
      </c>
      <c r="J3694" s="144" t="n">
        <v>46.5</v>
      </c>
      <c r="K3694" s="145" t="n"/>
      <c r="L3694" s="140">
        <f>+H3694*J3694</f>
        <v/>
      </c>
      <c r="M3694" s="141">
        <f>SUM(M3693+K3694-L3694)</f>
        <v/>
      </c>
    </row>
    <row r="3695">
      <c r="A3695" s="20" t="n">
        <v>45863</v>
      </c>
      <c r="B3695" s="1" t="n">
        <v>15935</v>
      </c>
      <c r="C3695" s="2" t="inlineStr">
        <is>
          <t>SELİM İNŞAAT</t>
        </is>
      </c>
      <c r="D3695" s="1" t="inlineStr">
        <is>
          <t>34 DFE 454</t>
        </is>
      </c>
      <c r="E3695" s="1" t="inlineStr">
        <is>
          <t>METİN KALKAN</t>
        </is>
      </c>
      <c r="F3695" s="3" t="n">
        <v>163280</v>
      </c>
      <c r="G3695" s="143" t="n"/>
      <c r="H3695" s="143" t="n">
        <v>164</v>
      </c>
      <c r="I3695" s="143">
        <f>+I3694+(G3695-H3695)</f>
        <v/>
      </c>
      <c r="J3695" s="144" t="n">
        <v>46.5</v>
      </c>
      <c r="K3695" s="145" t="n"/>
      <c r="L3695" s="140">
        <f>+H3695*J3695</f>
        <v/>
      </c>
      <c r="M3695" s="141">
        <f>SUM(M3694+K3695-L3695)</f>
        <v/>
      </c>
    </row>
    <row r="3696">
      <c r="A3696" s="20" t="n">
        <v>45863</v>
      </c>
      <c r="B3696" s="1" t="n">
        <v>460</v>
      </c>
      <c r="C3696" s="2" t="inlineStr">
        <is>
          <t>SELİM İNŞAAT</t>
        </is>
      </c>
      <c r="D3696" s="1" t="inlineStr">
        <is>
          <t>34 DKL 866</t>
        </is>
      </c>
      <c r="E3696" s="1" t="inlineStr">
        <is>
          <t>SELİM CAN ÖNVER</t>
        </is>
      </c>
      <c r="F3696" s="3" t="n">
        <v>69836</v>
      </c>
      <c r="G3696" s="143" t="n"/>
      <c r="H3696" s="143" t="n">
        <v>247</v>
      </c>
      <c r="I3696" s="143">
        <f>+I3695+(G3696-H3696)</f>
        <v/>
      </c>
      <c r="J3696" s="144" t="n">
        <v>46.5</v>
      </c>
      <c r="K3696" s="145" t="n"/>
      <c r="L3696" s="140">
        <f>+H3696*J3696</f>
        <v/>
      </c>
      <c r="M3696" s="141">
        <f>SUM(M3695+K3696-L3696)</f>
        <v/>
      </c>
    </row>
    <row r="3697">
      <c r="A3697" s="20" t="n">
        <v>45863</v>
      </c>
      <c r="B3697" s="21" t="n">
        <v>11380</v>
      </c>
      <c r="C3697" s="22" t="inlineStr">
        <is>
          <t>AZGÜN YAPI</t>
        </is>
      </c>
      <c r="D3697" s="21" t="inlineStr">
        <is>
          <t>34 MKT 593</t>
        </is>
      </c>
      <c r="E3697" s="21" t="inlineStr">
        <is>
          <t>İBRAHİM GÜLLÜK</t>
        </is>
      </c>
      <c r="F3697" s="23" t="n"/>
      <c r="G3697" s="138" t="n"/>
      <c r="H3697" s="138" t="n">
        <v>464</v>
      </c>
      <c r="I3697" s="138">
        <f>+I3696+(G3697-H3697)</f>
        <v/>
      </c>
      <c r="J3697" s="139" t="n">
        <v>46.5</v>
      </c>
      <c r="K3697" s="140" t="n"/>
      <c r="L3697" s="140">
        <f>+H3697*J3697</f>
        <v/>
      </c>
      <c r="M3697" s="141">
        <f>SUM(M3696+K3697-L3697)</f>
        <v/>
      </c>
    </row>
    <row r="3698">
      <c r="A3698" s="20" t="n">
        <v>45863</v>
      </c>
      <c r="B3698" s="21" t="n">
        <v>11338</v>
      </c>
      <c r="C3698" s="22" t="inlineStr">
        <is>
          <t>AZGÜN YAPI</t>
        </is>
      </c>
      <c r="D3698" s="21" t="inlineStr">
        <is>
          <t>34 MKT 859</t>
        </is>
      </c>
      <c r="E3698" s="21" t="inlineStr">
        <is>
          <t>HASAN ALTUN</t>
        </is>
      </c>
      <c r="F3698" s="23" t="n"/>
      <c r="G3698" s="138" t="n"/>
      <c r="H3698" s="138" t="n">
        <v>365</v>
      </c>
      <c r="I3698" s="138">
        <f>+I3697+(G3698-H3698)</f>
        <v/>
      </c>
      <c r="J3698" s="139" t="n">
        <v>46.5</v>
      </c>
      <c r="K3698" s="140" t="n"/>
      <c r="L3698" s="140">
        <f>+H3698*J3698</f>
        <v/>
      </c>
      <c r="M3698" s="141">
        <f>SUM(M3697+K3698-L3698)</f>
        <v/>
      </c>
    </row>
    <row r="3699">
      <c r="A3699" s="20" t="n">
        <v>45863</v>
      </c>
      <c r="B3699" s="1" t="n">
        <v>8894</v>
      </c>
      <c r="C3699" s="2" t="inlineStr">
        <is>
          <t>SELİM İNŞAAT</t>
        </is>
      </c>
      <c r="D3699" s="1" t="inlineStr">
        <is>
          <t>34 FVU 827</t>
        </is>
      </c>
      <c r="E3699" s="1" t="inlineStr">
        <is>
          <t>YILMAZ ÇELEBİ</t>
        </is>
      </c>
      <c r="F3699" s="3" t="n"/>
      <c r="G3699" s="143" t="n"/>
      <c r="H3699" s="143" t="n">
        <v>44</v>
      </c>
      <c r="I3699" s="143">
        <f>+I3698+(G3699-H3699)</f>
        <v/>
      </c>
      <c r="J3699" s="144" t="n">
        <v>46.5</v>
      </c>
      <c r="K3699" s="145" t="n"/>
      <c r="L3699" s="140">
        <f>+H3699*J3699</f>
        <v/>
      </c>
      <c r="M3699" s="141">
        <f>SUM(M3698+K3699-L3699)</f>
        <v/>
      </c>
    </row>
    <row r="3700">
      <c r="A3700" s="20" t="n">
        <v>45863</v>
      </c>
      <c r="B3700" s="21" t="n">
        <v>8895</v>
      </c>
      <c r="C3700" s="22" t="inlineStr">
        <is>
          <t>RECEP SELİM OTO KURTARICI</t>
        </is>
      </c>
      <c r="D3700" s="21" t="inlineStr">
        <is>
          <t>34 GC 8658</t>
        </is>
      </c>
      <c r="E3700" s="21" t="inlineStr">
        <is>
          <t>RECEP SELİM</t>
        </is>
      </c>
      <c r="F3700" s="23" t="n"/>
      <c r="G3700" s="138" t="n"/>
      <c r="H3700" s="138" t="n">
        <v>60</v>
      </c>
      <c r="I3700" s="138">
        <f>+I3699+(G3700-H3700)</f>
        <v/>
      </c>
      <c r="J3700" s="139" t="n">
        <v>46.5</v>
      </c>
      <c r="K3700" s="140" t="n"/>
      <c r="L3700" s="140">
        <f>+H3700*J3700</f>
        <v/>
      </c>
      <c r="M3700" s="141">
        <f>SUM(M3699+K3700-L3700)</f>
        <v/>
      </c>
    </row>
    <row r="3701">
      <c r="A3701" s="20" t="n">
        <v>45863</v>
      </c>
      <c r="B3701" s="21" t="n">
        <v>15682</v>
      </c>
      <c r="C3701" s="22" t="inlineStr">
        <is>
          <t>METİN ERYİĞİT</t>
        </is>
      </c>
      <c r="D3701" s="21" t="inlineStr">
        <is>
          <t>34 EGR 814</t>
        </is>
      </c>
      <c r="E3701" s="21" t="inlineStr">
        <is>
          <t>GÜRAY KOYUNCU</t>
        </is>
      </c>
      <c r="F3701" s="23" t="n">
        <v>554375</v>
      </c>
      <c r="G3701" s="138" t="n"/>
      <c r="H3701" s="138" t="n">
        <v>295</v>
      </c>
      <c r="I3701" s="138">
        <f>+I3700+(G3701-H3701)</f>
        <v/>
      </c>
      <c r="J3701" s="139" t="n">
        <v>46.5</v>
      </c>
      <c r="K3701" s="140" t="n"/>
      <c r="L3701" s="140">
        <f>+H3701*J3701</f>
        <v/>
      </c>
      <c r="M3701" s="141">
        <f>SUM(M3700+K3701-L3701)</f>
        <v/>
      </c>
    </row>
    <row r="3702">
      <c r="A3702" s="20" t="n">
        <v>45863</v>
      </c>
      <c r="B3702" s="21" t="n">
        <v>15627</v>
      </c>
      <c r="C3702" s="22" t="inlineStr">
        <is>
          <t>METİN ERYİĞİT</t>
        </is>
      </c>
      <c r="D3702" s="21" t="inlineStr">
        <is>
          <t>34 EGS 013</t>
        </is>
      </c>
      <c r="E3702" s="21" t="inlineStr">
        <is>
          <t xml:space="preserve">UĞUR DUMAN </t>
        </is>
      </c>
      <c r="F3702" s="23" t="n">
        <v>500406</v>
      </c>
      <c r="G3702" s="138" t="n"/>
      <c r="H3702" s="138" t="n">
        <v>403</v>
      </c>
      <c r="I3702" s="138">
        <f>+I3701+(G3702-H3702)</f>
        <v/>
      </c>
      <c r="J3702" s="139" t="n">
        <v>46.5</v>
      </c>
      <c r="K3702" s="140" t="n"/>
      <c r="L3702" s="140">
        <f>+H3702*J3702</f>
        <v/>
      </c>
      <c r="M3702" s="141">
        <f>SUM(M3701+K3702-L3702)</f>
        <v/>
      </c>
    </row>
    <row r="3703">
      <c r="A3703" s="20" t="n">
        <v>45863</v>
      </c>
      <c r="B3703" s="21" t="n">
        <v>710</v>
      </c>
      <c r="C3703" s="22" t="inlineStr">
        <is>
          <t>METİN ERYİĞİT</t>
        </is>
      </c>
      <c r="D3703" s="21" t="inlineStr">
        <is>
          <t>34 GBL 998</t>
        </is>
      </c>
      <c r="E3703" s="21" t="inlineStr">
        <is>
          <t>ALİ KESKİN</t>
        </is>
      </c>
      <c r="F3703" s="23" t="n">
        <v>280909</v>
      </c>
      <c r="G3703" s="138" t="n"/>
      <c r="H3703" s="138" t="n">
        <v>368</v>
      </c>
      <c r="I3703" s="138">
        <f>+I3702+(G3703-H3703)</f>
        <v/>
      </c>
      <c r="J3703" s="139" t="n">
        <v>46.5</v>
      </c>
      <c r="K3703" s="140" t="n"/>
      <c r="L3703" s="140">
        <f>+H3703*J3703</f>
        <v/>
      </c>
      <c r="M3703" s="141">
        <f>SUM(M3702+K3703-L3703)</f>
        <v/>
      </c>
    </row>
    <row r="3704">
      <c r="A3704" s="20" t="n">
        <v>45863</v>
      </c>
      <c r="B3704" s="1" t="n">
        <v>1601</v>
      </c>
      <c r="C3704" s="2" t="inlineStr">
        <is>
          <t>SELİM İNŞAAT</t>
        </is>
      </c>
      <c r="D3704" s="1" t="inlineStr">
        <is>
          <t>34 VF 2620</t>
        </is>
      </c>
      <c r="E3704" s="1" t="inlineStr">
        <is>
          <t>RECEP SELİM</t>
        </is>
      </c>
      <c r="F3704" s="3" t="n">
        <v>190100</v>
      </c>
      <c r="G3704" s="143" t="n"/>
      <c r="H3704" s="143" t="n">
        <v>82</v>
      </c>
      <c r="I3704" s="143">
        <f>+I3703+(G3704-H3704)</f>
        <v/>
      </c>
      <c r="J3704" s="144" t="n">
        <v>46.5</v>
      </c>
      <c r="K3704" s="145" t="n"/>
      <c r="L3704" s="140">
        <f>+H3704*J3704</f>
        <v/>
      </c>
      <c r="M3704" s="141">
        <f>SUM(M3703+K3704-L3704)</f>
        <v/>
      </c>
    </row>
    <row r="3705">
      <c r="A3705" s="20" t="n">
        <v>45863</v>
      </c>
      <c r="B3705" s="1" t="n">
        <v>14398</v>
      </c>
      <c r="C3705" s="2" t="inlineStr">
        <is>
          <t>SELİM İNŞAAT</t>
        </is>
      </c>
      <c r="D3705" s="1" t="inlineStr">
        <is>
          <t>34 DKL 798</t>
        </is>
      </c>
      <c r="E3705" s="1" t="inlineStr">
        <is>
          <t>EMİRCAN ÖZTÜRK</t>
        </is>
      </c>
      <c r="F3705" s="3" t="n">
        <v>69103</v>
      </c>
      <c r="G3705" s="143" t="n"/>
      <c r="H3705" s="143" t="n">
        <v>242</v>
      </c>
      <c r="I3705" s="143">
        <f>+I3704+(G3705-H3705)</f>
        <v/>
      </c>
      <c r="J3705" s="144" t="n">
        <v>46.5</v>
      </c>
      <c r="K3705" s="145" t="n"/>
      <c r="L3705" s="140">
        <f>+H3705*J3705</f>
        <v/>
      </c>
      <c r="M3705" s="141">
        <f>SUM(M3704+K3705-L3705)</f>
        <v/>
      </c>
    </row>
    <row r="3706">
      <c r="A3706" s="20" t="n">
        <v>45863</v>
      </c>
      <c r="B3706" s="1" t="n">
        <v>15177</v>
      </c>
      <c r="C3706" s="2" t="inlineStr">
        <is>
          <t>SELİM İNŞAAT</t>
        </is>
      </c>
      <c r="D3706" s="1" t="inlineStr">
        <is>
          <t xml:space="preserve">34 DP 4161 </t>
        </is>
      </c>
      <c r="E3706" s="1" t="inlineStr">
        <is>
          <t>RIFAT KARATAY</t>
        </is>
      </c>
      <c r="F3706" s="3" t="n">
        <v>291822</v>
      </c>
      <c r="G3706" s="143" t="n"/>
      <c r="H3706" s="143" t="n">
        <v>250</v>
      </c>
      <c r="I3706" s="143">
        <f>+I3705+(G3706-H3706)</f>
        <v/>
      </c>
      <c r="J3706" s="144" t="n">
        <v>46.5</v>
      </c>
      <c r="K3706" s="145" t="n"/>
      <c r="L3706" s="140">
        <f>+H3706*J3706</f>
        <v/>
      </c>
      <c r="M3706" s="141">
        <f>SUM(M3705+K3706-L3706)</f>
        <v/>
      </c>
    </row>
    <row r="3707">
      <c r="A3707" s="20" t="n">
        <v>45864</v>
      </c>
      <c r="B3707" s="1" t="n">
        <v>116</v>
      </c>
      <c r="C3707" s="2" t="inlineStr">
        <is>
          <t>SELİM İNŞAAT</t>
        </is>
      </c>
      <c r="D3707" s="1" t="inlineStr">
        <is>
          <t>34 FBR 771</t>
        </is>
      </c>
      <c r="E3707" s="1" t="inlineStr">
        <is>
          <t>HÜSEYİN AKÇİN</t>
        </is>
      </c>
      <c r="F3707" s="3" t="n">
        <v>329086</v>
      </c>
      <c r="G3707" s="143" t="n"/>
      <c r="H3707" s="143" t="n">
        <v>429</v>
      </c>
      <c r="I3707" s="143">
        <f>+I3706+(G3707-H3707)</f>
        <v/>
      </c>
      <c r="J3707" s="144" t="n">
        <v>46.5</v>
      </c>
      <c r="K3707" s="145" t="n"/>
      <c r="L3707" s="140">
        <f>+H3707*J3707</f>
        <v/>
      </c>
      <c r="M3707" s="141">
        <f>SUM(M3706+K3707-L3707)</f>
        <v/>
      </c>
    </row>
    <row r="3708">
      <c r="A3708" s="20" t="n">
        <v>45864</v>
      </c>
      <c r="B3708" s="1" t="n">
        <v>1004</v>
      </c>
      <c r="C3708" s="2" t="inlineStr">
        <is>
          <t>SELİM İNŞAAT</t>
        </is>
      </c>
      <c r="D3708" s="1" t="inlineStr">
        <is>
          <t>34 DHH 668</t>
        </is>
      </c>
      <c r="E3708" s="1" t="inlineStr">
        <is>
          <t>ADNAN KOÇ</t>
        </is>
      </c>
      <c r="F3708" s="3" t="n">
        <v>391579</v>
      </c>
      <c r="G3708" s="143" t="n"/>
      <c r="H3708" s="143" t="n">
        <v>178</v>
      </c>
      <c r="I3708" s="143">
        <f>+I3707+(G3708-H3708)</f>
        <v/>
      </c>
      <c r="J3708" s="144" t="n">
        <v>46.5</v>
      </c>
      <c r="K3708" s="145" t="n"/>
      <c r="L3708" s="140">
        <f>+H3708*J3708</f>
        <v/>
      </c>
      <c r="M3708" s="141">
        <f>SUM(M3707+K3708-L3708)</f>
        <v/>
      </c>
    </row>
    <row r="3709">
      <c r="A3709" s="20" t="n">
        <v>45864</v>
      </c>
      <c r="B3709" s="1" t="n">
        <v>905</v>
      </c>
      <c r="C3709" s="2" t="inlineStr">
        <is>
          <t>SELİM İNŞAAT</t>
        </is>
      </c>
      <c r="D3709" s="1" t="inlineStr">
        <is>
          <t>34 EDB 659</t>
        </is>
      </c>
      <c r="E3709" s="1" t="inlineStr">
        <is>
          <t>MEHMET SAİT ANIK</t>
        </is>
      </c>
      <c r="F3709" s="3" t="n">
        <v>350900</v>
      </c>
      <c r="G3709" s="143" t="n"/>
      <c r="H3709" s="143" t="n">
        <v>374</v>
      </c>
      <c r="I3709" s="143">
        <f>+I3708+(G3709-H3709)</f>
        <v/>
      </c>
      <c r="J3709" s="144" t="n">
        <v>46.5</v>
      </c>
      <c r="K3709" s="145" t="n"/>
      <c r="L3709" s="140">
        <f>+H3709*J3709</f>
        <v/>
      </c>
      <c r="M3709" s="141">
        <f>SUM(M3708+K3709-L3709)</f>
        <v/>
      </c>
    </row>
    <row r="3710">
      <c r="A3710" s="20" t="n">
        <v>45864</v>
      </c>
      <c r="B3710" s="1" t="n">
        <v>21642</v>
      </c>
      <c r="C3710" s="2" t="inlineStr">
        <is>
          <t>SELİM İNŞAAT</t>
        </is>
      </c>
      <c r="D3710" s="1" t="inlineStr">
        <is>
          <t>34 DHC 467</t>
        </is>
      </c>
      <c r="E3710" s="1" t="inlineStr">
        <is>
          <t>HÜSEYİN DENİZ</t>
        </is>
      </c>
      <c r="F3710" s="3" t="n">
        <v>413220</v>
      </c>
      <c r="G3710" s="143" t="n"/>
      <c r="H3710" s="143" t="n">
        <v>345</v>
      </c>
      <c r="I3710" s="143">
        <f>+I3709+(G3710-H3710)</f>
        <v/>
      </c>
      <c r="J3710" s="144" t="n">
        <v>46.5</v>
      </c>
      <c r="K3710" s="145" t="n"/>
      <c r="L3710" s="140">
        <f>+H3710*J3710</f>
        <v/>
      </c>
      <c r="M3710" s="141">
        <f>SUM(M3709+K3710-L3710)</f>
        <v/>
      </c>
    </row>
    <row r="3711">
      <c r="A3711" s="20" t="n">
        <v>45864</v>
      </c>
      <c r="B3711" s="1" t="n">
        <v>1054</v>
      </c>
      <c r="C3711" s="2" t="inlineStr">
        <is>
          <t>SELİM İNŞAAT</t>
        </is>
      </c>
      <c r="D3711" s="1" t="inlineStr">
        <is>
          <t>34 GVZ 310</t>
        </is>
      </c>
      <c r="E3711" s="1" t="inlineStr">
        <is>
          <t>CELAL YÜZBAŞI</t>
        </is>
      </c>
      <c r="F3711" s="3" t="n">
        <v>208418</v>
      </c>
      <c r="G3711" s="143" t="n"/>
      <c r="H3711" s="143" t="n">
        <v>475</v>
      </c>
      <c r="I3711" s="143">
        <f>+I3710+(G3711-H3711)</f>
        <v/>
      </c>
      <c r="J3711" s="144" t="n">
        <v>46.5</v>
      </c>
      <c r="K3711" s="145" t="n"/>
      <c r="L3711" s="140">
        <f>+H3711*J3711</f>
        <v/>
      </c>
      <c r="M3711" s="141">
        <f>SUM(M3710+K3711-L3711)</f>
        <v/>
      </c>
    </row>
    <row r="3712">
      <c r="A3712" s="20" t="n">
        <v>45864</v>
      </c>
      <c r="B3712" s="1" t="n">
        <v>15975</v>
      </c>
      <c r="C3712" s="2" t="inlineStr">
        <is>
          <t>SELİM İNŞAAT</t>
        </is>
      </c>
      <c r="D3712" s="1" t="inlineStr">
        <is>
          <t>34 FBR 781</t>
        </is>
      </c>
      <c r="E3712" s="1" t="inlineStr">
        <is>
          <t>MEVLÜT POLAT</t>
        </is>
      </c>
      <c r="F3712" s="3" t="n">
        <v>315577</v>
      </c>
      <c r="G3712" s="143" t="n"/>
      <c r="H3712" s="143" t="n">
        <v>490</v>
      </c>
      <c r="I3712" s="143">
        <f>+I3711+(G3712-H3712)</f>
        <v/>
      </c>
      <c r="J3712" s="144" t="n">
        <v>46.5</v>
      </c>
      <c r="K3712" s="145" t="n"/>
      <c r="L3712" s="140">
        <f>+H3712*J3712</f>
        <v/>
      </c>
      <c r="M3712" s="141">
        <f>SUM(M3711+K3712-L3712)</f>
        <v/>
      </c>
    </row>
    <row r="3713">
      <c r="A3713" s="20" t="n">
        <v>45864</v>
      </c>
      <c r="B3713" s="1" t="n">
        <v>15267</v>
      </c>
      <c r="C3713" s="2" t="inlineStr">
        <is>
          <t>SELİM İNŞAAT</t>
        </is>
      </c>
      <c r="D3713" s="1" t="inlineStr">
        <is>
          <t>34 DTV 447</t>
        </is>
      </c>
      <c r="E3713" s="1" t="inlineStr">
        <is>
          <t>EBUBEKİR KOLDAŞ</t>
        </is>
      </c>
      <c r="F3713" s="3" t="n">
        <v>437283</v>
      </c>
      <c r="G3713" s="143" t="n"/>
      <c r="H3713" s="143" t="n">
        <v>421</v>
      </c>
      <c r="I3713" s="143">
        <f>+I3712+(G3713-H3713)</f>
        <v/>
      </c>
      <c r="J3713" s="144" t="n">
        <v>46.5</v>
      </c>
      <c r="K3713" s="145" t="n"/>
      <c r="L3713" s="140">
        <f>+H3713*J3713</f>
        <v/>
      </c>
      <c r="M3713" s="141">
        <f>SUM(M3712+K3713-L3713)</f>
        <v/>
      </c>
    </row>
    <row r="3714">
      <c r="A3714" s="20" t="n">
        <v>45864</v>
      </c>
      <c r="B3714" s="1" t="n">
        <v>818</v>
      </c>
      <c r="C3714" s="2" t="inlineStr">
        <is>
          <t>SELİM İNŞAAT</t>
        </is>
      </c>
      <c r="D3714" s="1" t="inlineStr">
        <is>
          <t>34 FBR 705</t>
        </is>
      </c>
      <c r="E3714" s="1" t="inlineStr">
        <is>
          <t>MESUT GÜRLER</t>
        </is>
      </c>
      <c r="F3714" s="3" t="n">
        <v>326734</v>
      </c>
      <c r="G3714" s="143" t="n"/>
      <c r="H3714" s="143" t="n">
        <v>510</v>
      </c>
      <c r="I3714" s="143">
        <f>+I3713+(G3714-H3714)</f>
        <v/>
      </c>
      <c r="J3714" s="144" t="n">
        <v>46.5</v>
      </c>
      <c r="K3714" s="145" t="n"/>
      <c r="L3714" s="140">
        <f>+H3714*J3714</f>
        <v/>
      </c>
      <c r="M3714" s="141">
        <f>SUM(M3713+K3714-L3714)</f>
        <v/>
      </c>
    </row>
    <row r="3715">
      <c r="A3715" s="20" t="n">
        <v>45864</v>
      </c>
      <c r="B3715" s="1" t="n">
        <v>11242</v>
      </c>
      <c r="C3715" s="2" t="inlineStr">
        <is>
          <t>SELİM İNŞAAT</t>
        </is>
      </c>
      <c r="D3715" s="1" t="inlineStr">
        <is>
          <t>34 DSN 636</t>
        </is>
      </c>
      <c r="E3715" s="1" t="inlineStr">
        <is>
          <t>İLHAN YÜRÜK</t>
        </is>
      </c>
      <c r="F3715" s="3" t="n">
        <v>400796</v>
      </c>
      <c r="G3715" s="143" t="n"/>
      <c r="H3715" s="143" t="n">
        <v>279</v>
      </c>
      <c r="I3715" s="143">
        <f>+I3714+(G3715-H3715)</f>
        <v/>
      </c>
      <c r="J3715" s="144" t="n">
        <v>46.5</v>
      </c>
      <c r="K3715" s="145" t="n"/>
      <c r="L3715" s="140">
        <f>+H3715*J3715</f>
        <v/>
      </c>
      <c r="M3715" s="141">
        <f>SUM(M3714+K3715-L3715)</f>
        <v/>
      </c>
    </row>
    <row r="3716">
      <c r="A3716" s="20" t="n">
        <v>45864</v>
      </c>
      <c r="B3716" s="1" t="n">
        <v>1958</v>
      </c>
      <c r="C3716" s="2" t="inlineStr">
        <is>
          <t>CEVİZ MOBİLYA</t>
        </is>
      </c>
      <c r="D3716" s="1" t="inlineStr">
        <is>
          <t>SM 350</t>
        </is>
      </c>
      <c r="E3716" s="1" t="inlineStr">
        <is>
          <t>TEVFİK ÖZTÜRK</t>
        </is>
      </c>
      <c r="F3716" s="3" t="n"/>
      <c r="G3716" s="143" t="n"/>
      <c r="H3716" s="143" t="n">
        <v>550</v>
      </c>
      <c r="I3716" s="143">
        <f>+I3715+(G3716-H3716)</f>
        <v/>
      </c>
      <c r="J3716" s="144" t="n">
        <v>46.5</v>
      </c>
      <c r="K3716" s="145" t="n"/>
      <c r="L3716" s="140">
        <f>+H3716*J3716</f>
        <v/>
      </c>
      <c r="M3716" s="141">
        <f>SUM(M3715+K3716-L3716)</f>
        <v/>
      </c>
    </row>
    <row r="3717">
      <c r="A3717" s="20" t="n">
        <v>45864</v>
      </c>
      <c r="B3717" s="1" t="n">
        <v>1959</v>
      </c>
      <c r="C3717" s="2" t="inlineStr">
        <is>
          <t>HASALTUN</t>
        </is>
      </c>
      <c r="D3717" s="1" t="inlineStr">
        <is>
          <t>KAVAZAKİ</t>
        </is>
      </c>
      <c r="E3717" s="1" t="inlineStr">
        <is>
          <t>RAMAZAN KAYA</t>
        </is>
      </c>
      <c r="F3717" s="3" t="n"/>
      <c r="G3717" s="143" t="n"/>
      <c r="H3717" s="143" t="n">
        <v>235</v>
      </c>
      <c r="I3717" s="143">
        <f>+I3716+(G3717-H3717)</f>
        <v/>
      </c>
      <c r="J3717" s="144" t="n">
        <v>46.5</v>
      </c>
      <c r="K3717" s="145" t="n"/>
      <c r="L3717" s="140">
        <f>+H3717*J3717</f>
        <v/>
      </c>
      <c r="M3717" s="141">
        <f>SUM(M3716+K3717-L3717)</f>
        <v/>
      </c>
    </row>
    <row r="3718">
      <c r="A3718" s="20" t="n">
        <v>45864</v>
      </c>
      <c r="B3718" s="1" t="n">
        <v>1960</v>
      </c>
      <c r="C3718" s="2" t="inlineStr">
        <is>
          <t>HASALTUN</t>
        </is>
      </c>
      <c r="D3718" s="1" t="inlineStr">
        <is>
          <t>RT 650 SARI VİNÇ</t>
        </is>
      </c>
      <c r="E3718" s="1" t="inlineStr">
        <is>
          <t>ALİHAN DUMAN</t>
        </is>
      </c>
      <c r="F3718" s="3" t="n"/>
      <c r="G3718" s="143" t="n"/>
      <c r="H3718" s="143" t="n">
        <v>243</v>
      </c>
      <c r="I3718" s="143">
        <f>+I3717+(G3718-H3718)</f>
        <v/>
      </c>
      <c r="J3718" s="144" t="n">
        <v>46.5</v>
      </c>
      <c r="K3718" s="145" t="n"/>
      <c r="L3718" s="140">
        <f>+H3718*J3718</f>
        <v/>
      </c>
      <c r="M3718" s="141">
        <f>SUM(M3717+K3718-L3718)</f>
        <v/>
      </c>
    </row>
    <row r="3719">
      <c r="A3719" s="20" t="n">
        <v>45864</v>
      </c>
      <c r="B3719" s="1" t="n">
        <v>1961</v>
      </c>
      <c r="C3719" s="2" t="inlineStr">
        <is>
          <t>MEGA VALIK</t>
        </is>
      </c>
      <c r="D3719" s="1" t="inlineStr">
        <is>
          <t>SM 300</t>
        </is>
      </c>
      <c r="E3719" s="1" t="inlineStr">
        <is>
          <t>TURGUT SANCAK</t>
        </is>
      </c>
      <c r="F3719" s="3" t="n"/>
      <c r="G3719" s="143" t="n"/>
      <c r="H3719" s="143" t="n">
        <v>397</v>
      </c>
      <c r="I3719" s="143">
        <f>+I3718+(G3719-H3719)</f>
        <v/>
      </c>
      <c r="J3719" s="144" t="n">
        <v>46.5</v>
      </c>
      <c r="K3719" s="145" t="n"/>
      <c r="L3719" s="140">
        <f>+H3719*J3719</f>
        <v/>
      </c>
      <c r="M3719" s="141">
        <f>SUM(M3718+K3719-L3719)</f>
        <v/>
      </c>
    </row>
    <row r="3720">
      <c r="A3720" s="20" t="n">
        <v>45864</v>
      </c>
      <c r="B3720" s="1" t="n">
        <v>1962</v>
      </c>
      <c r="C3720" s="2" t="inlineStr">
        <is>
          <t>MEGA VALIK</t>
        </is>
      </c>
      <c r="D3720" s="1" t="inlineStr">
        <is>
          <t>SM 370</t>
        </is>
      </c>
      <c r="E3720" s="1" t="inlineStr">
        <is>
          <t>TEKİN ŞEYLAN</t>
        </is>
      </c>
      <c r="F3720" s="3" t="n"/>
      <c r="G3720" s="143" t="n"/>
      <c r="H3720" s="143" t="n">
        <v>420</v>
      </c>
      <c r="I3720" s="143">
        <f>+I3719+(G3720-H3720)</f>
        <v/>
      </c>
      <c r="J3720" s="144" t="n">
        <v>46.5</v>
      </c>
      <c r="K3720" s="145" t="n"/>
      <c r="L3720" s="140">
        <f>+H3720*J3720</f>
        <v/>
      </c>
      <c r="M3720" s="141">
        <f>SUM(M3719+K3720-L3720)</f>
        <v/>
      </c>
    </row>
    <row r="3721">
      <c r="A3721" s="20" t="n">
        <v>45864</v>
      </c>
      <c r="B3721" s="1" t="n">
        <v>1963</v>
      </c>
      <c r="C3721" s="2" t="inlineStr">
        <is>
          <t>GARAJ</t>
        </is>
      </c>
      <c r="D3721" s="21" t="inlineStr">
        <is>
          <t>FOKLİFT</t>
        </is>
      </c>
      <c r="E3721" s="1" t="n"/>
      <c r="F3721" s="3" t="n"/>
      <c r="G3721" s="143" t="n"/>
      <c r="H3721" s="143" t="n">
        <v>32</v>
      </c>
      <c r="I3721" s="143">
        <f>+I3720+(G3721-H3721)</f>
        <v/>
      </c>
      <c r="J3721" s="144" t="n">
        <v>46.5</v>
      </c>
      <c r="K3721" s="145" t="n"/>
      <c r="L3721" s="140">
        <f>+H3721*J3721</f>
        <v/>
      </c>
      <c r="M3721" s="141">
        <f>SUM(M3720+K3721-L3721)</f>
        <v/>
      </c>
    </row>
    <row r="3722">
      <c r="A3722" s="20" t="n">
        <v>45864</v>
      </c>
      <c r="B3722" s="1" t="n">
        <v>1964</v>
      </c>
      <c r="C3722" s="2" t="inlineStr">
        <is>
          <t>HASALTUN</t>
        </is>
      </c>
      <c r="D3722" s="1" t="inlineStr">
        <is>
          <t>SM 350</t>
        </is>
      </c>
      <c r="E3722" s="1" t="inlineStr">
        <is>
          <t>BAYRAM SANCAK</t>
        </is>
      </c>
      <c r="F3722" s="3" t="n"/>
      <c r="G3722" s="143" t="n"/>
      <c r="H3722" s="143" t="n">
        <v>368</v>
      </c>
      <c r="I3722" s="143">
        <f>+I3721+(G3722-H3722)</f>
        <v/>
      </c>
      <c r="J3722" s="144" t="n">
        <v>46.5</v>
      </c>
      <c r="K3722" s="145" t="n"/>
      <c r="L3722" s="140">
        <f>+H3722*J3722</f>
        <v/>
      </c>
      <c r="M3722" s="141">
        <f>SUM(M3721+K3722-L3722)</f>
        <v/>
      </c>
    </row>
    <row r="3723">
      <c r="A3723" s="20" t="n">
        <v>45864</v>
      </c>
      <c r="B3723" s="21" t="n">
        <v>1965</v>
      </c>
      <c r="C3723" s="22" t="inlineStr">
        <is>
          <t>EVKUR</t>
        </is>
      </c>
      <c r="D3723" s="21" t="inlineStr">
        <is>
          <t>FOKLİFT</t>
        </is>
      </c>
      <c r="E3723" s="21" t="inlineStr">
        <is>
          <t>FAHRİ KALFA</t>
        </is>
      </c>
      <c r="F3723" s="23" t="n"/>
      <c r="G3723" s="138" t="n"/>
      <c r="H3723" s="138" t="n">
        <v>36</v>
      </c>
      <c r="I3723" s="138">
        <f>+I3722+(G3723-H3723)</f>
        <v/>
      </c>
      <c r="J3723" s="139" t="n">
        <v>46.5</v>
      </c>
      <c r="K3723" s="140" t="n"/>
      <c r="L3723" s="140">
        <f>+H3723*J3723</f>
        <v/>
      </c>
      <c r="M3723" s="141">
        <f>SUM(M3722+K3723-L3723)</f>
        <v/>
      </c>
    </row>
    <row r="3724">
      <c r="A3724" s="20" t="n">
        <v>45864</v>
      </c>
      <c r="B3724" s="1" t="n">
        <v>1555</v>
      </c>
      <c r="C3724" s="2" t="inlineStr">
        <is>
          <t>SELİM İNŞAAT</t>
        </is>
      </c>
      <c r="D3724" s="1" t="inlineStr">
        <is>
          <t>34 GVZ 938</t>
        </is>
      </c>
      <c r="E3724" s="1" t="inlineStr">
        <is>
          <t>MEHMET KAYA</t>
        </is>
      </c>
      <c r="F3724" s="3" t="n">
        <v>198781</v>
      </c>
      <c r="G3724" s="143" t="n"/>
      <c r="H3724" s="143" t="n">
        <v>241</v>
      </c>
      <c r="I3724" s="143">
        <f>+I3723+(G3724-H3724)</f>
        <v/>
      </c>
      <c r="J3724" s="144" t="n">
        <v>46.5</v>
      </c>
      <c r="K3724" s="145" t="n"/>
      <c r="L3724" s="140">
        <f>+H3724*J3724</f>
        <v/>
      </c>
      <c r="M3724" s="141">
        <f>SUM(M3723+K3724-L3724)</f>
        <v/>
      </c>
    </row>
    <row r="3725">
      <c r="A3725" s="20" t="n">
        <v>45864</v>
      </c>
      <c r="B3725" s="1" t="n">
        <v>604</v>
      </c>
      <c r="C3725" s="2" t="inlineStr">
        <is>
          <t>SELİM İNŞAAT</t>
        </is>
      </c>
      <c r="D3725" s="1" t="inlineStr">
        <is>
          <t>34 AR 7743</t>
        </is>
      </c>
      <c r="E3725" s="1" t="inlineStr">
        <is>
          <t>MEHMET SELİM</t>
        </is>
      </c>
      <c r="F3725" s="3" t="n">
        <v>358576</v>
      </c>
      <c r="G3725" s="143" t="n"/>
      <c r="H3725" s="143" t="n">
        <v>62</v>
      </c>
      <c r="I3725" s="143">
        <f>+I3724+(G3725-H3725)</f>
        <v/>
      </c>
      <c r="J3725" s="144" t="n">
        <v>46.5</v>
      </c>
      <c r="K3725" s="145" t="n"/>
      <c r="L3725" s="140">
        <f>+H3725*J3725</f>
        <v/>
      </c>
      <c r="M3725" s="141">
        <f>SUM(M3724+K3725-L3725)</f>
        <v/>
      </c>
    </row>
    <row r="3726">
      <c r="A3726" s="20" t="n">
        <v>45864</v>
      </c>
      <c r="B3726" s="21" t="n">
        <v>14196</v>
      </c>
      <c r="C3726" s="22" t="inlineStr">
        <is>
          <t>AZGÜN YAPI</t>
        </is>
      </c>
      <c r="D3726" s="21" t="inlineStr">
        <is>
          <t>34 DTV 263</t>
        </is>
      </c>
      <c r="E3726" s="21" t="inlineStr">
        <is>
          <t>MUHAMMED BULUT</t>
        </is>
      </c>
      <c r="F3726" s="23" t="n"/>
      <c r="G3726" s="138" t="n"/>
      <c r="H3726" s="138" t="n">
        <v>195</v>
      </c>
      <c r="I3726" s="138">
        <f>+I3725+(G3726-H3726)</f>
        <v/>
      </c>
      <c r="J3726" s="139" t="n">
        <v>46.5</v>
      </c>
      <c r="K3726" s="140" t="n"/>
      <c r="L3726" s="140">
        <f>+H3726*J3726</f>
        <v/>
      </c>
      <c r="M3726" s="141">
        <f>SUM(M3725+K3726-L3726)</f>
        <v/>
      </c>
    </row>
    <row r="3727">
      <c r="A3727" s="20" t="n">
        <v>45864</v>
      </c>
      <c r="B3727" s="21" t="n">
        <v>711</v>
      </c>
      <c r="C3727" s="22" t="inlineStr">
        <is>
          <t>METİN ERYİĞİT</t>
        </is>
      </c>
      <c r="D3727" s="21" t="inlineStr">
        <is>
          <t>34 GBL 998</t>
        </is>
      </c>
      <c r="E3727" s="21" t="inlineStr">
        <is>
          <t>ALİ KESKİN</t>
        </is>
      </c>
      <c r="F3727" s="23" t="n">
        <v>281209</v>
      </c>
      <c r="G3727" s="138" t="n"/>
      <c r="H3727" s="138" t="n">
        <v>190</v>
      </c>
      <c r="I3727" s="138">
        <f>+I3726+(G3727-H3727)</f>
        <v/>
      </c>
      <c r="J3727" s="139" t="n">
        <v>46.5</v>
      </c>
      <c r="K3727" s="140" t="n"/>
      <c r="L3727" s="140">
        <f>+H3727*J3727</f>
        <v/>
      </c>
      <c r="M3727" s="141">
        <f>SUM(M3726+K3727-L3727)</f>
        <v/>
      </c>
    </row>
    <row r="3728">
      <c r="A3728" s="20" t="n">
        <v>45864</v>
      </c>
      <c r="B3728" s="1" t="n">
        <v>205</v>
      </c>
      <c r="C3728" s="2" t="inlineStr">
        <is>
          <t>SELİM İNŞAAT</t>
        </is>
      </c>
      <c r="D3728" s="1" t="inlineStr">
        <is>
          <t>34 JGR 15</t>
        </is>
      </c>
      <c r="E3728" s="1" t="inlineStr">
        <is>
          <t>ENGİN DEMİR</t>
        </is>
      </c>
      <c r="F3728" s="3" t="n">
        <v>312589</v>
      </c>
      <c r="G3728" s="143" t="n"/>
      <c r="H3728" s="143" t="n">
        <v>65</v>
      </c>
      <c r="I3728" s="143">
        <f>+I3727+(G3728-H3728)</f>
        <v/>
      </c>
      <c r="J3728" s="144" t="n">
        <v>46.5</v>
      </c>
      <c r="K3728" s="145" t="n"/>
      <c r="L3728" s="140">
        <f>+H3728*J3728</f>
        <v/>
      </c>
      <c r="M3728" s="141">
        <f>SUM(M3727+K3728-L3728)</f>
        <v/>
      </c>
    </row>
    <row r="3729">
      <c r="A3729" s="20" t="n">
        <v>45864</v>
      </c>
      <c r="B3729" s="1" t="n">
        <v>21339</v>
      </c>
      <c r="C3729" s="2" t="inlineStr">
        <is>
          <t>SELİM İNŞAAT</t>
        </is>
      </c>
      <c r="D3729" s="1" t="inlineStr">
        <is>
          <t>34 FEM 934</t>
        </is>
      </c>
      <c r="E3729" s="1" t="inlineStr">
        <is>
          <t>MUSTAFA ALBAYRAK</t>
        </is>
      </c>
      <c r="F3729" s="3" t="n">
        <v>314452</v>
      </c>
      <c r="G3729" s="143" t="n"/>
      <c r="H3729" s="143" t="n">
        <v>74</v>
      </c>
      <c r="I3729" s="143">
        <f>+I3728+(G3729-H3729)</f>
        <v/>
      </c>
      <c r="J3729" s="144" t="n">
        <v>46.5</v>
      </c>
      <c r="K3729" s="145" t="n"/>
      <c r="L3729" s="140">
        <f>+H3729*J3729</f>
        <v/>
      </c>
      <c r="M3729" s="141">
        <f>SUM(M3728+K3729-L3729)</f>
        <v/>
      </c>
    </row>
    <row r="3730">
      <c r="A3730" s="20" t="n">
        <v>45864</v>
      </c>
      <c r="B3730" s="1" t="n">
        <v>165</v>
      </c>
      <c r="C3730" s="2" t="inlineStr">
        <is>
          <t>SELİM İNŞAAT</t>
        </is>
      </c>
      <c r="D3730" s="1" t="inlineStr">
        <is>
          <t>34 TG 7869</t>
        </is>
      </c>
      <c r="E3730" s="1" t="inlineStr">
        <is>
          <t>GÖRKEM KARAYEL</t>
        </is>
      </c>
      <c r="F3730" s="3" t="n">
        <v>186030</v>
      </c>
      <c r="G3730" s="143" t="n"/>
      <c r="H3730" s="143" t="n">
        <v>289</v>
      </c>
      <c r="I3730" s="143">
        <f>+I3729+(G3730-H3730)</f>
        <v/>
      </c>
      <c r="J3730" s="144" t="n">
        <v>46.5</v>
      </c>
      <c r="K3730" s="145" t="n"/>
      <c r="L3730" s="140">
        <f>+H3730*J3730</f>
        <v/>
      </c>
      <c r="M3730" s="141">
        <f>SUM(M3729+K3730-L3730)</f>
        <v/>
      </c>
    </row>
    <row r="3731">
      <c r="A3731" s="20" t="n">
        <v>45865</v>
      </c>
      <c r="B3731" s="1" t="n">
        <v>1651</v>
      </c>
      <c r="C3731" s="2" t="inlineStr">
        <is>
          <t>SELİM İNŞAAT</t>
        </is>
      </c>
      <c r="D3731" s="1" t="inlineStr">
        <is>
          <t>34 DHH 570</t>
        </is>
      </c>
      <c r="E3731" s="1" t="inlineStr">
        <is>
          <t>TURAN SEVİNDİK</t>
        </is>
      </c>
      <c r="F3731" s="3" t="n">
        <v>445891</v>
      </c>
      <c r="G3731" s="143" t="n"/>
      <c r="H3731" s="143" t="n">
        <v>442</v>
      </c>
      <c r="I3731" s="143">
        <f>+I3730+(G3731-H3731)</f>
        <v/>
      </c>
      <c r="J3731" s="144" t="n">
        <v>46.5</v>
      </c>
      <c r="K3731" s="145" t="n"/>
      <c r="L3731" s="140">
        <f>+H3731*J3731</f>
        <v/>
      </c>
      <c r="M3731" s="141">
        <f>SUM(M3730+K3731-L3731)</f>
        <v/>
      </c>
    </row>
    <row r="3732">
      <c r="A3732" s="20" t="n">
        <v>45865</v>
      </c>
      <c r="B3732" s="1" t="n">
        <v>14450</v>
      </c>
      <c r="C3732" s="2" t="inlineStr">
        <is>
          <t>SELİM İNŞAAT</t>
        </is>
      </c>
      <c r="D3732" s="1" t="inlineStr">
        <is>
          <t>34 EGR 737</t>
        </is>
      </c>
      <c r="E3732" s="1" t="inlineStr">
        <is>
          <t>CEM MUHTAR</t>
        </is>
      </c>
      <c r="F3732" s="3" t="n">
        <v>425209</v>
      </c>
      <c r="G3732" s="143" t="n"/>
      <c r="H3732" s="143" t="n">
        <v>448</v>
      </c>
      <c r="I3732" s="143">
        <f>+I3731+(G3732-H3732)</f>
        <v/>
      </c>
      <c r="J3732" s="144" t="n">
        <v>46.5</v>
      </c>
      <c r="K3732" s="145" t="n"/>
      <c r="L3732" s="140">
        <f>+H3732*J3732</f>
        <v/>
      </c>
      <c r="M3732" s="141">
        <f>SUM(M3731+K3732-L3732)</f>
        <v/>
      </c>
    </row>
    <row r="3733">
      <c r="A3733" s="20" t="n">
        <v>45865</v>
      </c>
      <c r="B3733" s="1" t="n">
        <v>15221</v>
      </c>
      <c r="C3733" s="2" t="inlineStr">
        <is>
          <t>SELİM İNŞAAT</t>
        </is>
      </c>
      <c r="D3733" s="1" t="inlineStr">
        <is>
          <t>34 DSN 565</t>
        </is>
      </c>
      <c r="E3733" s="1" t="inlineStr">
        <is>
          <t>HÜSEYİN DENİZ</t>
        </is>
      </c>
      <c r="F3733" s="3" t="n">
        <v>409376</v>
      </c>
      <c r="G3733" s="143" t="n"/>
      <c r="H3733" s="143" t="n">
        <v>318</v>
      </c>
      <c r="I3733" s="143">
        <f>+I3732+(G3733-H3733)</f>
        <v/>
      </c>
      <c r="J3733" s="144" t="n">
        <v>46.5</v>
      </c>
      <c r="K3733" s="145" t="n"/>
      <c r="L3733" s="140">
        <f>+H3733*J3733</f>
        <v/>
      </c>
      <c r="M3733" s="141">
        <f>SUM(M3732+K3733-L3733)</f>
        <v/>
      </c>
    </row>
    <row r="3734">
      <c r="A3734" s="20" t="n">
        <v>45865</v>
      </c>
      <c r="B3734" s="1" t="n">
        <v>1255</v>
      </c>
      <c r="C3734" s="2" t="inlineStr">
        <is>
          <t>SELİM İNŞAAT</t>
        </is>
      </c>
      <c r="D3734" s="1" t="inlineStr">
        <is>
          <t>34 DSN 621</t>
        </is>
      </c>
      <c r="E3734" s="1" t="inlineStr">
        <is>
          <t>MUSTAFA KAYA</t>
        </is>
      </c>
      <c r="F3734" s="3" t="n">
        <v>421216</v>
      </c>
      <c r="G3734" s="143" t="n"/>
      <c r="H3734" s="143" t="n">
        <v>338</v>
      </c>
      <c r="I3734" s="143">
        <f>+I3733+(G3734-H3734)</f>
        <v/>
      </c>
      <c r="J3734" s="144" t="n">
        <v>46.5</v>
      </c>
      <c r="K3734" s="145" t="n"/>
      <c r="L3734" s="140">
        <f>+H3734*J3734</f>
        <v/>
      </c>
      <c r="M3734" s="141">
        <f>SUM(M3733+K3734-L3734)</f>
        <v/>
      </c>
    </row>
    <row r="3735">
      <c r="A3735" s="20" t="n">
        <v>45865</v>
      </c>
      <c r="B3735" s="1" t="n">
        <v>962</v>
      </c>
      <c r="C3735" s="2" t="inlineStr">
        <is>
          <t>SELİM İNŞAAT</t>
        </is>
      </c>
      <c r="D3735" s="1" t="inlineStr">
        <is>
          <t>34 FBR 742</t>
        </is>
      </c>
      <c r="E3735" s="1" t="inlineStr">
        <is>
          <t>MİKAİL BAYILMAZ</t>
        </is>
      </c>
      <c r="F3735" s="3" t="n">
        <v>327196</v>
      </c>
      <c r="G3735" s="143" t="n"/>
      <c r="H3735" s="143" t="n">
        <v>374</v>
      </c>
      <c r="I3735" s="143">
        <f>+I3734+(G3735-H3735)</f>
        <v/>
      </c>
      <c r="J3735" s="144" t="n">
        <v>46.5</v>
      </c>
      <c r="K3735" s="145" t="n"/>
      <c r="L3735" s="140">
        <f>+H3735*J3735</f>
        <v/>
      </c>
      <c r="M3735" s="141">
        <f>SUM(M3734+K3735-L3735)</f>
        <v/>
      </c>
    </row>
    <row r="3736">
      <c r="A3736" s="20" t="n">
        <v>45865</v>
      </c>
      <c r="B3736" s="1" t="n">
        <v>15327</v>
      </c>
      <c r="C3736" s="2" t="inlineStr">
        <is>
          <t>SELİM İNŞAAT</t>
        </is>
      </c>
      <c r="D3736" s="1" t="inlineStr">
        <is>
          <t>34 EDC 162</t>
        </is>
      </c>
      <c r="E3736" s="1" t="inlineStr">
        <is>
          <t xml:space="preserve">YAKUP GÜNER </t>
        </is>
      </c>
      <c r="F3736" s="3" t="n">
        <v>378994</v>
      </c>
      <c r="G3736" s="143" t="n"/>
      <c r="H3736" s="143" t="n">
        <v>434</v>
      </c>
      <c r="I3736" s="143">
        <f>+I3735+(G3736-H3736)</f>
        <v/>
      </c>
      <c r="J3736" s="144" t="n">
        <v>46.5</v>
      </c>
      <c r="K3736" s="145" t="n"/>
      <c r="L3736" s="140">
        <f>+H3736*J3736</f>
        <v/>
      </c>
      <c r="M3736" s="141">
        <f>SUM(M3735+K3736-L3736)</f>
        <v/>
      </c>
    </row>
    <row r="3737">
      <c r="A3737" s="20" t="n">
        <v>45865</v>
      </c>
      <c r="B3737" s="1" t="n">
        <v>15532</v>
      </c>
      <c r="C3737" s="2" t="inlineStr">
        <is>
          <t>SELİM İNŞAAT</t>
        </is>
      </c>
      <c r="D3737" s="1" t="inlineStr">
        <is>
          <t>34 EDC 086</t>
        </is>
      </c>
      <c r="E3737" s="1" t="inlineStr">
        <is>
          <t>ÖMER AĞAYAR</t>
        </is>
      </c>
      <c r="F3737" s="3" t="n">
        <v>336372</v>
      </c>
      <c r="G3737" s="143" t="n"/>
      <c r="H3737" s="143" t="n">
        <v>385</v>
      </c>
      <c r="I3737" s="143">
        <f>+I3736+(G3737-H3737)</f>
        <v/>
      </c>
      <c r="J3737" s="144" t="n">
        <v>46.5</v>
      </c>
      <c r="K3737" s="145" t="n"/>
      <c r="L3737" s="140">
        <f>+H3737*J3737</f>
        <v/>
      </c>
      <c r="M3737" s="141">
        <f>SUM(M3736+K3737-L3737)</f>
        <v/>
      </c>
    </row>
    <row r="3738">
      <c r="A3738" s="20" t="n">
        <v>45865</v>
      </c>
      <c r="B3738" s="1" t="n">
        <v>856</v>
      </c>
      <c r="C3738" s="2" t="inlineStr">
        <is>
          <t>SELİM İNŞAAT</t>
        </is>
      </c>
      <c r="D3738" s="1" t="inlineStr">
        <is>
          <t>34 FSG 229</t>
        </is>
      </c>
      <c r="E3738" s="1" t="inlineStr">
        <is>
          <t>SİNAN TANRIVERDİ</t>
        </is>
      </c>
      <c r="F3738" s="3" t="n">
        <v>267117</v>
      </c>
      <c r="G3738" s="143" t="n"/>
      <c r="H3738" s="143" t="n">
        <v>291</v>
      </c>
      <c r="I3738" s="143">
        <f>+I3737+(G3738-H3738)</f>
        <v/>
      </c>
      <c r="J3738" s="144" t="n">
        <v>46.5</v>
      </c>
      <c r="K3738" s="145" t="n"/>
      <c r="L3738" s="140">
        <f>+H3738*J3738</f>
        <v/>
      </c>
      <c r="M3738" s="141">
        <f>SUM(M3737+K3738-L3738)</f>
        <v/>
      </c>
    </row>
    <row r="3739">
      <c r="A3739" s="20" t="n">
        <v>45865</v>
      </c>
      <c r="B3739" s="1" t="n">
        <v>15874</v>
      </c>
      <c r="C3739" s="2" t="inlineStr">
        <is>
          <t>SELİM İNŞAAT</t>
        </is>
      </c>
      <c r="D3739" s="1" t="inlineStr">
        <is>
          <t>34 EDB 754</t>
        </is>
      </c>
      <c r="E3739" s="1" t="inlineStr">
        <is>
          <t>EMİN PARLAKKILIÇ</t>
        </is>
      </c>
      <c r="F3739" s="3" t="n">
        <v>332984</v>
      </c>
      <c r="G3739" s="143" t="n"/>
      <c r="H3739" s="143" t="n">
        <v>425</v>
      </c>
      <c r="I3739" s="143">
        <f>+I3738+(G3739-H3739)</f>
        <v/>
      </c>
      <c r="J3739" s="144" t="n">
        <v>46.5</v>
      </c>
      <c r="K3739" s="145" t="n"/>
      <c r="L3739" s="140">
        <f>+H3739*J3739</f>
        <v/>
      </c>
      <c r="M3739" s="141">
        <f>SUM(M3738+K3739-L3739)</f>
        <v/>
      </c>
    </row>
    <row r="3740">
      <c r="A3740" s="20" t="n">
        <v>45865</v>
      </c>
      <c r="B3740" s="1" t="n">
        <v>117</v>
      </c>
      <c r="C3740" s="2" t="inlineStr">
        <is>
          <t>SELİM İNŞAAT</t>
        </is>
      </c>
      <c r="D3740" s="1" t="inlineStr">
        <is>
          <t>34 FBR 771</t>
        </is>
      </c>
      <c r="E3740" s="1" t="inlineStr">
        <is>
          <t>HÜSEYİN AKÇİN</t>
        </is>
      </c>
      <c r="F3740" s="3" t="n">
        <v>329852</v>
      </c>
      <c r="G3740" s="143" t="n"/>
      <c r="H3740" s="143" t="n">
        <v>398</v>
      </c>
      <c r="I3740" s="143">
        <f>+I3739+(G3740-H3740)</f>
        <v/>
      </c>
      <c r="J3740" s="144" t="n">
        <v>46.5</v>
      </c>
      <c r="K3740" s="145" t="n"/>
      <c r="L3740" s="140">
        <f>+H3740*J3740</f>
        <v/>
      </c>
      <c r="M3740" s="141">
        <f>SUM(M3739+K3740-L3740)</f>
        <v/>
      </c>
    </row>
    <row r="3741">
      <c r="A3741" s="20" t="n">
        <v>45865</v>
      </c>
      <c r="B3741" s="1" t="n">
        <v>15583</v>
      </c>
      <c r="C3741" s="2" t="inlineStr">
        <is>
          <t>SELİM İNŞAAT</t>
        </is>
      </c>
      <c r="D3741" s="1" t="inlineStr">
        <is>
          <t>34 GVZ 745</t>
        </is>
      </c>
      <c r="E3741" s="1" t="inlineStr">
        <is>
          <t>MUHAMMED YİĞİT</t>
        </is>
      </c>
      <c r="F3741" s="3" t="n">
        <v>196266</v>
      </c>
      <c r="G3741" s="143" t="n"/>
      <c r="H3741" s="143" t="n">
        <v>377</v>
      </c>
      <c r="I3741" s="143">
        <f>+I3740+(G3741-H3741)</f>
        <v/>
      </c>
      <c r="J3741" s="144" t="n">
        <v>46.5</v>
      </c>
      <c r="K3741" s="145" t="n"/>
      <c r="L3741" s="140">
        <f>+H3741*J3741</f>
        <v/>
      </c>
      <c r="M3741" s="141">
        <f>SUM(M3740+K3741-L3741)</f>
        <v/>
      </c>
    </row>
    <row r="3742">
      <c r="A3742" s="20" t="n">
        <v>45865</v>
      </c>
      <c r="B3742" s="1" t="n">
        <v>1005</v>
      </c>
      <c r="C3742" s="2" t="inlineStr">
        <is>
          <t>SELİM İNŞAAT</t>
        </is>
      </c>
      <c r="D3742" s="1" t="inlineStr">
        <is>
          <t>34 DHH 668</t>
        </is>
      </c>
      <c r="E3742" s="1" t="inlineStr">
        <is>
          <t>ADNAN KOÇ</t>
        </is>
      </c>
      <c r="F3742" s="3" t="n">
        <v>392264</v>
      </c>
      <c r="G3742" s="143" t="n"/>
      <c r="H3742" s="143" t="n">
        <v>396</v>
      </c>
      <c r="I3742" s="143">
        <f>+I3741+(G3742-H3742)</f>
        <v/>
      </c>
      <c r="J3742" s="144" t="n">
        <v>46.5</v>
      </c>
      <c r="K3742" s="145" t="n"/>
      <c r="L3742" s="140">
        <f>+H3742*J3742</f>
        <v/>
      </c>
      <c r="M3742" s="141">
        <f>SUM(M3741+K3742-L3742)</f>
        <v/>
      </c>
    </row>
    <row r="3743">
      <c r="A3743" s="20" t="n">
        <v>45865</v>
      </c>
      <c r="B3743" s="1" t="n">
        <v>1204</v>
      </c>
      <c r="C3743" s="2" t="inlineStr">
        <is>
          <t>SELİM İNŞAAT</t>
        </is>
      </c>
      <c r="D3743" s="1" t="inlineStr">
        <is>
          <t>34 DHC 393</t>
        </is>
      </c>
      <c r="E3743" s="1" t="inlineStr">
        <is>
          <t>MUHAMMED BULUT</t>
        </is>
      </c>
      <c r="F3743" s="3" t="n">
        <v>430598</v>
      </c>
      <c r="G3743" s="143" t="n"/>
      <c r="H3743" s="143" t="n">
        <v>316</v>
      </c>
      <c r="I3743" s="143">
        <f>+I3742+(G3743-H3743)</f>
        <v/>
      </c>
      <c r="J3743" s="144" t="n">
        <v>46.5</v>
      </c>
      <c r="K3743" s="145" t="n"/>
      <c r="L3743" s="140">
        <f>+H3743*J3743</f>
        <v/>
      </c>
      <c r="M3743" s="141">
        <f>SUM(M3742+K3743-L3743)</f>
        <v/>
      </c>
    </row>
    <row r="3744">
      <c r="A3744" s="20" t="n">
        <v>45865</v>
      </c>
      <c r="B3744" s="1" t="n">
        <v>11500</v>
      </c>
      <c r="C3744" s="2" t="inlineStr">
        <is>
          <t>SELİM İNŞAAT</t>
        </is>
      </c>
      <c r="D3744" s="1" t="inlineStr">
        <is>
          <t>34 EGR 922</t>
        </is>
      </c>
      <c r="E3744" s="1" t="inlineStr">
        <is>
          <t>FARUK ÖZEN</t>
        </is>
      </c>
      <c r="F3744" s="3" t="n">
        <v>463363</v>
      </c>
      <c r="G3744" s="143" t="n"/>
      <c r="H3744" s="143" t="n">
        <v>492</v>
      </c>
      <c r="I3744" s="143">
        <f>+I3743+(G3744-H3744)</f>
        <v/>
      </c>
      <c r="J3744" s="144" t="n">
        <v>46.5</v>
      </c>
      <c r="K3744" s="145" t="n"/>
      <c r="L3744" s="140">
        <f>+H3744*J3744</f>
        <v/>
      </c>
      <c r="M3744" s="141">
        <f>SUM(M3743+K3744-L3744)</f>
        <v/>
      </c>
    </row>
    <row r="3745">
      <c r="A3745" s="20" t="n">
        <v>45865</v>
      </c>
      <c r="B3745" s="1" t="n">
        <v>20</v>
      </c>
      <c r="C3745" s="2" t="inlineStr">
        <is>
          <t>SELİM İNŞAAT</t>
        </is>
      </c>
      <c r="D3745" s="1" t="inlineStr">
        <is>
          <t>34 FBR 748</t>
        </is>
      </c>
      <c r="E3745" s="1" t="inlineStr">
        <is>
          <t>YAŞAR ÖZKAYA</t>
        </is>
      </c>
      <c r="F3745" s="3" t="n">
        <v>291637</v>
      </c>
      <c r="G3745" s="143" t="n"/>
      <c r="H3745" s="143" t="n">
        <v>512</v>
      </c>
      <c r="I3745" s="143">
        <f>+I3744+(G3745-H3745)</f>
        <v/>
      </c>
      <c r="J3745" s="144" t="n">
        <v>46.5</v>
      </c>
      <c r="K3745" s="145" t="n"/>
      <c r="L3745" s="140">
        <f>+H3745*J3745</f>
        <v/>
      </c>
      <c r="M3745" s="141">
        <f>SUM(M3744+K3745-L3745)</f>
        <v/>
      </c>
    </row>
    <row r="3746">
      <c r="A3746" s="20" t="n">
        <v>45865</v>
      </c>
      <c r="B3746" s="1" t="n">
        <v>15069</v>
      </c>
      <c r="C3746" s="2" t="inlineStr">
        <is>
          <t>SELİM İNŞAAT</t>
        </is>
      </c>
      <c r="D3746" s="1" t="inlineStr">
        <is>
          <t>34 EGR 736</t>
        </is>
      </c>
      <c r="E3746" s="1" t="inlineStr">
        <is>
          <t>HAKAN ÇAVUŞOĞLU</t>
        </is>
      </c>
      <c r="F3746" s="3" t="n">
        <v>400395</v>
      </c>
      <c r="G3746" s="143" t="n"/>
      <c r="H3746" s="143" t="n">
        <v>426</v>
      </c>
      <c r="I3746" s="143">
        <f>+I3745+(G3746-H3746)</f>
        <v/>
      </c>
      <c r="J3746" s="144" t="n">
        <v>46.5</v>
      </c>
      <c r="K3746" s="145" t="n"/>
      <c r="L3746" s="140">
        <f>+H3746*J3746</f>
        <v/>
      </c>
      <c r="M3746" s="141">
        <f>SUM(M3745+K3746-L3746)</f>
        <v/>
      </c>
    </row>
    <row r="3747">
      <c r="A3747" s="20" t="n">
        <v>45865</v>
      </c>
      <c r="B3747" s="1" t="n">
        <v>1055</v>
      </c>
      <c r="C3747" s="2" t="inlineStr">
        <is>
          <t>SELİM İNŞAAT</t>
        </is>
      </c>
      <c r="D3747" s="1" t="inlineStr">
        <is>
          <t>34 GVZ 310</t>
        </is>
      </c>
      <c r="E3747" s="1" t="inlineStr">
        <is>
          <t>CELAL YÜZBAŞI</t>
        </is>
      </c>
      <c r="F3747" s="3" t="n">
        <v>208923</v>
      </c>
      <c r="G3747" s="143" t="n"/>
      <c r="H3747" s="143" t="n">
        <v>225</v>
      </c>
      <c r="I3747" s="143">
        <f>+I3746+(G3747-H3747)</f>
        <v/>
      </c>
      <c r="J3747" s="144" t="n">
        <v>46.5</v>
      </c>
      <c r="K3747" s="145" t="n"/>
      <c r="L3747" s="140">
        <f>+H3747*J3747</f>
        <v/>
      </c>
      <c r="M3747" s="141">
        <f>SUM(M3746+K3747-L3747)</f>
        <v/>
      </c>
    </row>
    <row r="3748">
      <c r="A3748" s="20" t="n">
        <v>45865</v>
      </c>
      <c r="B3748" s="1" t="n">
        <v>15039</v>
      </c>
      <c r="C3748" s="2" t="inlineStr">
        <is>
          <t>SELİM İNŞAAT</t>
        </is>
      </c>
      <c r="D3748" s="1" t="inlineStr">
        <is>
          <t>34 GVZ 199</t>
        </is>
      </c>
      <c r="E3748" s="1" t="inlineStr">
        <is>
          <t>VAHDET GÜRLER</t>
        </is>
      </c>
      <c r="F3748" s="3" t="n">
        <v>191881</v>
      </c>
      <c r="G3748" s="143" t="n"/>
      <c r="H3748" s="143" t="n">
        <v>325</v>
      </c>
      <c r="I3748" s="143">
        <f>+I3747+(G3748-H3748)</f>
        <v/>
      </c>
      <c r="J3748" s="144" t="n">
        <v>46.5</v>
      </c>
      <c r="K3748" s="145" t="n"/>
      <c r="L3748" s="140">
        <f>+H3748*J3748</f>
        <v/>
      </c>
      <c r="M3748" s="141">
        <f>SUM(M3747+K3748-L3748)</f>
        <v/>
      </c>
    </row>
    <row r="3749">
      <c r="A3749" s="20" t="n">
        <v>45865</v>
      </c>
      <c r="B3749" s="1" t="n">
        <v>14150</v>
      </c>
      <c r="C3749" s="2" t="inlineStr">
        <is>
          <t>SELİM İNŞAAT</t>
        </is>
      </c>
      <c r="D3749" s="1" t="inlineStr">
        <is>
          <t>34 DSN 536</t>
        </is>
      </c>
      <c r="E3749" s="1" t="inlineStr">
        <is>
          <t>DURSUN ALİ GÜREK</t>
        </is>
      </c>
      <c r="F3749" s="3" t="n">
        <v>414664</v>
      </c>
      <c r="G3749" s="143" t="n"/>
      <c r="H3749" s="143" t="n">
        <v>276</v>
      </c>
      <c r="I3749" s="143">
        <f>+I3748+(G3749-H3749)</f>
        <v/>
      </c>
      <c r="J3749" s="144" t="n">
        <v>46.5</v>
      </c>
      <c r="K3749" s="145" t="n"/>
      <c r="L3749" s="140">
        <f>+H3749*J3749</f>
        <v/>
      </c>
      <c r="M3749" s="141">
        <f>SUM(M3748+K3749-L3749)</f>
        <v/>
      </c>
    </row>
    <row r="3750">
      <c r="A3750" s="20" t="n">
        <v>45865</v>
      </c>
      <c r="B3750" s="1" t="n">
        <v>14837</v>
      </c>
      <c r="C3750" s="2" t="inlineStr">
        <is>
          <t>SELİM İNŞAAT</t>
        </is>
      </c>
      <c r="D3750" s="1" t="inlineStr">
        <is>
          <t>34 GVZ 268</t>
        </is>
      </c>
      <c r="E3750" s="1" t="inlineStr">
        <is>
          <t xml:space="preserve">KERİM KARAMAN </t>
        </is>
      </c>
      <c r="F3750" s="3" t="n">
        <v>202673</v>
      </c>
      <c r="G3750" s="143" t="n"/>
      <c r="H3750" s="143" t="n">
        <v>490</v>
      </c>
      <c r="I3750" s="143">
        <f>+I3749+(G3750-H3750)</f>
        <v/>
      </c>
      <c r="J3750" s="144" t="n">
        <v>46.5</v>
      </c>
      <c r="K3750" s="145" t="n"/>
      <c r="L3750" s="140">
        <f>+H3750*J3750</f>
        <v/>
      </c>
      <c r="M3750" s="141">
        <f>SUM(M3749+K3750-L3750)</f>
        <v/>
      </c>
    </row>
    <row r="3751">
      <c r="A3751" s="20" t="n">
        <v>45865</v>
      </c>
      <c r="B3751" s="1" t="n">
        <v>14776</v>
      </c>
      <c r="C3751" s="2" t="inlineStr">
        <is>
          <t>SELİM İNŞAAT</t>
        </is>
      </c>
      <c r="D3751" s="1" t="inlineStr">
        <is>
          <t>34 GYZ 635</t>
        </is>
      </c>
      <c r="E3751" s="1" t="inlineStr">
        <is>
          <t>ENGİN DEMİR</t>
        </is>
      </c>
      <c r="F3751" s="3" t="n">
        <v>184105</v>
      </c>
      <c r="G3751" s="143" t="n"/>
      <c r="H3751" s="143" t="n">
        <v>290</v>
      </c>
      <c r="I3751" s="143">
        <f>+I3750+(G3751-H3751)</f>
        <v/>
      </c>
      <c r="J3751" s="144" t="n">
        <v>46.5</v>
      </c>
      <c r="K3751" s="145" t="n"/>
      <c r="L3751" s="140">
        <f>+H3751*J3751</f>
        <v/>
      </c>
      <c r="M3751" s="141">
        <f>SUM(M3750+K3751-L3751)</f>
        <v/>
      </c>
    </row>
    <row r="3752">
      <c r="A3752" s="20" t="n">
        <v>45865</v>
      </c>
      <c r="B3752" s="1" t="n">
        <v>567</v>
      </c>
      <c r="C3752" s="2" t="inlineStr">
        <is>
          <t>SELİM İNŞAAT</t>
        </is>
      </c>
      <c r="D3752" s="1" t="inlineStr">
        <is>
          <t>34 EDB 922</t>
        </is>
      </c>
      <c r="E3752" s="1" t="inlineStr">
        <is>
          <t>AHMET TOPÇU</t>
        </is>
      </c>
      <c r="F3752" s="3" t="n">
        <v>373518</v>
      </c>
      <c r="G3752" s="143" t="n"/>
      <c r="H3752" s="143" t="n">
        <v>312</v>
      </c>
      <c r="I3752" s="143">
        <f>+I3751+(G3752-H3752)</f>
        <v/>
      </c>
      <c r="J3752" s="144" t="n">
        <v>46.5</v>
      </c>
      <c r="K3752" s="145" t="n"/>
      <c r="L3752" s="140">
        <f>+H3752*J3752</f>
        <v/>
      </c>
      <c r="M3752" s="141">
        <f>SUM(M3751+K3752-L3752)</f>
        <v/>
      </c>
    </row>
    <row r="3753">
      <c r="A3753" s="20" t="n">
        <v>45865</v>
      </c>
      <c r="B3753" s="1" t="n">
        <v>1967</v>
      </c>
      <c r="C3753" s="2" t="inlineStr">
        <is>
          <t>MEGA VALIK</t>
        </is>
      </c>
      <c r="D3753" s="1" t="inlineStr">
        <is>
          <t>SM 300</t>
        </is>
      </c>
      <c r="E3753" s="1" t="inlineStr">
        <is>
          <t>TURGUT SANCAK</t>
        </is>
      </c>
      <c r="F3753" s="3" t="n"/>
      <c r="G3753" s="143" t="n"/>
      <c r="H3753" s="143" t="n">
        <v>317</v>
      </c>
      <c r="I3753" s="143">
        <f>+I3752+(G3753-H3753)</f>
        <v/>
      </c>
      <c r="J3753" s="144" t="n">
        <v>46.5</v>
      </c>
      <c r="K3753" s="145" t="n"/>
      <c r="L3753" s="140">
        <f>+H3753*J3753</f>
        <v/>
      </c>
      <c r="M3753" s="141">
        <f>SUM(M3752+K3753-L3753)</f>
        <v/>
      </c>
    </row>
    <row r="3754">
      <c r="A3754" s="20" t="n">
        <v>45865</v>
      </c>
      <c r="B3754" s="1" t="n">
        <v>15936</v>
      </c>
      <c r="C3754" s="2" t="inlineStr">
        <is>
          <t>SELİM İNŞAAT</t>
        </is>
      </c>
      <c r="D3754" s="1" t="inlineStr">
        <is>
          <t>34 DFE 454</t>
        </is>
      </c>
      <c r="E3754" s="1" t="inlineStr">
        <is>
          <t>METİN KALKAN</t>
        </is>
      </c>
      <c r="F3754" s="3" t="n">
        <v>163479</v>
      </c>
      <c r="G3754" s="143" t="n"/>
      <c r="H3754" s="143" t="n">
        <v>172</v>
      </c>
      <c r="I3754" s="143">
        <f>+I3753+(G3754-H3754)</f>
        <v/>
      </c>
      <c r="J3754" s="144" t="n">
        <v>46.5</v>
      </c>
      <c r="K3754" s="145" t="n"/>
      <c r="L3754" s="140">
        <f>+H3754*J3754</f>
        <v/>
      </c>
      <c r="M3754" s="141">
        <f>SUM(M3753+K3754-L3754)</f>
        <v/>
      </c>
    </row>
    <row r="3755">
      <c r="A3755" s="20" t="n">
        <v>45865</v>
      </c>
      <c r="B3755" s="1" t="n">
        <v>255</v>
      </c>
      <c r="C3755" s="2" t="inlineStr">
        <is>
          <t>SELİM İNŞAAT</t>
        </is>
      </c>
      <c r="D3755" s="1" t="inlineStr">
        <is>
          <t>34 GER 445</t>
        </is>
      </c>
      <c r="E3755" s="1" t="inlineStr">
        <is>
          <t>HASAN BAYCAN</t>
        </is>
      </c>
      <c r="F3755" s="3" t="n">
        <v>46814</v>
      </c>
      <c r="G3755" s="143" t="n"/>
      <c r="H3755" s="143" t="n">
        <v>268</v>
      </c>
      <c r="I3755" s="143">
        <f>+I3754+(G3755-H3755)</f>
        <v/>
      </c>
      <c r="J3755" s="144" t="n">
        <v>46.5</v>
      </c>
      <c r="K3755" s="145" t="n"/>
      <c r="L3755" s="140">
        <f>+H3755*J3755</f>
        <v/>
      </c>
      <c r="M3755" s="141">
        <f>SUM(M3754+K3755-L3755)</f>
        <v/>
      </c>
    </row>
    <row r="3756">
      <c r="A3756" s="20" t="n">
        <v>45865</v>
      </c>
      <c r="B3756" s="1" t="n">
        <v>461</v>
      </c>
      <c r="C3756" s="2" t="inlineStr">
        <is>
          <t>SELİM İNŞAAT</t>
        </is>
      </c>
      <c r="D3756" s="1" t="inlineStr">
        <is>
          <t>34 DKL 866</t>
        </is>
      </c>
      <c r="E3756" s="1" t="inlineStr">
        <is>
          <t>SELİM CAN ÖNVER</t>
        </is>
      </c>
      <c r="F3756" s="3" t="n">
        <v>70035</v>
      </c>
      <c r="G3756" s="143" t="n"/>
      <c r="H3756" s="143" t="n">
        <v>194</v>
      </c>
      <c r="I3756" s="143">
        <f>+I3755+(G3756-H3756)</f>
        <v/>
      </c>
      <c r="J3756" s="144" t="n">
        <v>46.5</v>
      </c>
      <c r="K3756" s="145" t="n"/>
      <c r="L3756" s="140">
        <f>+H3756*J3756</f>
        <v/>
      </c>
      <c r="M3756" s="141">
        <f>SUM(M3755+K3756-L3756)</f>
        <v/>
      </c>
    </row>
    <row r="3757">
      <c r="A3757" s="20" t="n">
        <v>45865</v>
      </c>
      <c r="B3757" s="21" t="n">
        <v>11339</v>
      </c>
      <c r="C3757" s="22" t="inlineStr">
        <is>
          <t>AZGÜN YAPI</t>
        </is>
      </c>
      <c r="D3757" s="21" t="inlineStr">
        <is>
          <t>34 MKT 859</t>
        </is>
      </c>
      <c r="E3757" s="21" t="inlineStr">
        <is>
          <t>HASAN ALTUN</t>
        </is>
      </c>
      <c r="F3757" s="23" t="n"/>
      <c r="G3757" s="138" t="n"/>
      <c r="H3757" s="138" t="n">
        <v>332</v>
      </c>
      <c r="I3757" s="138">
        <f>+I3756+(G3757-H3757)</f>
        <v/>
      </c>
      <c r="J3757" s="139" t="n">
        <v>46.5</v>
      </c>
      <c r="K3757" s="140" t="n"/>
      <c r="L3757" s="140">
        <f>+H3757*J3757</f>
        <v/>
      </c>
      <c r="M3757" s="141">
        <f>SUM(M3756+K3757-L3757)</f>
        <v/>
      </c>
    </row>
    <row r="3758">
      <c r="A3758" s="20" t="n">
        <v>45865</v>
      </c>
      <c r="B3758" s="21" t="n">
        <v>14197</v>
      </c>
      <c r="C3758" s="22" t="inlineStr">
        <is>
          <t>AZGÜN YAPI</t>
        </is>
      </c>
      <c r="D3758" s="21" t="inlineStr">
        <is>
          <t>34 DTV 263</t>
        </is>
      </c>
      <c r="E3758" s="21" t="inlineStr">
        <is>
          <t>MUHAMMED BULUT</t>
        </is>
      </c>
      <c r="F3758" s="23" t="n"/>
      <c r="G3758" s="138" t="n"/>
      <c r="H3758" s="138" t="n">
        <v>309</v>
      </c>
      <c r="I3758" s="138">
        <f>+I3757+(G3758-H3758)</f>
        <v/>
      </c>
      <c r="J3758" s="139" t="n">
        <v>46.5</v>
      </c>
      <c r="K3758" s="140" t="n"/>
      <c r="L3758" s="140">
        <f>+H3758*J3758</f>
        <v/>
      </c>
      <c r="M3758" s="141">
        <f>SUM(M3757+K3758-L3758)</f>
        <v/>
      </c>
    </row>
    <row r="3759">
      <c r="A3759" s="20" t="n">
        <v>45865</v>
      </c>
      <c r="B3759" s="21" t="n">
        <v>8896</v>
      </c>
      <c r="C3759" s="22" t="inlineStr">
        <is>
          <t>AHMET SELİM TEMHA</t>
        </is>
      </c>
      <c r="D3759" s="21" t="inlineStr">
        <is>
          <t>TB 926 VİNÇ</t>
        </is>
      </c>
      <c r="E3759" s="21" t="inlineStr">
        <is>
          <t>ENES SELİM</t>
        </is>
      </c>
      <c r="F3759" s="23" t="n"/>
      <c r="G3759" s="138" t="n"/>
      <c r="H3759" s="138" t="n">
        <v>221</v>
      </c>
      <c r="I3759" s="138">
        <f>+I3758+(G3759-H3759)</f>
        <v/>
      </c>
      <c r="J3759" s="139" t="n">
        <v>46.5</v>
      </c>
      <c r="K3759" s="140" t="n"/>
      <c r="L3759" s="140">
        <f>+H3759*J3759</f>
        <v/>
      </c>
      <c r="M3759" s="141">
        <f>SUM(M3758+K3759-L3759)</f>
        <v/>
      </c>
    </row>
    <row r="3760">
      <c r="A3760" s="20" t="n">
        <v>45865</v>
      </c>
      <c r="B3760" s="21" t="n">
        <v>15628</v>
      </c>
      <c r="C3760" s="22" t="inlineStr">
        <is>
          <t>METİN ERYİĞİT</t>
        </is>
      </c>
      <c r="D3760" s="21" t="inlineStr">
        <is>
          <t>34 EGS 013</t>
        </is>
      </c>
      <c r="E3760" s="21" t="inlineStr">
        <is>
          <t xml:space="preserve">UĞUR DUMAN </t>
        </is>
      </c>
      <c r="F3760" s="23" t="n">
        <v>500952</v>
      </c>
      <c r="G3760" s="138" t="n"/>
      <c r="H3760" s="138" t="n">
        <v>356</v>
      </c>
      <c r="I3760" s="138">
        <f>+I3759+(G3760-H3760)</f>
        <v/>
      </c>
      <c r="J3760" s="139" t="n">
        <v>46.5</v>
      </c>
      <c r="K3760" s="140" t="n"/>
      <c r="L3760" s="140">
        <f>+H3760*J3760</f>
        <v/>
      </c>
      <c r="M3760" s="141">
        <f>SUM(M3759+K3760-L3760)</f>
        <v/>
      </c>
    </row>
    <row r="3761">
      <c r="A3761" s="20" t="n">
        <v>45865</v>
      </c>
      <c r="B3761" s="1" t="n">
        <v>10597</v>
      </c>
      <c r="C3761" s="2" t="inlineStr">
        <is>
          <t>SELİM İNŞAAT</t>
        </is>
      </c>
      <c r="D3761" s="1" t="inlineStr">
        <is>
          <t>34 GU 945</t>
        </is>
      </c>
      <c r="E3761" s="1" t="inlineStr">
        <is>
          <t>YAKUP URUCU</t>
        </is>
      </c>
      <c r="F3761" s="3" t="n">
        <v>452910</v>
      </c>
      <c r="G3761" s="143" t="n"/>
      <c r="H3761" s="143" t="n">
        <v>67</v>
      </c>
      <c r="I3761" s="143">
        <f>+I3760+(G3761-H3761)</f>
        <v/>
      </c>
      <c r="J3761" s="144" t="n">
        <v>46.5</v>
      </c>
      <c r="K3761" s="145" t="n"/>
      <c r="L3761" s="140">
        <f>+H3761*J3761</f>
        <v/>
      </c>
      <c r="M3761" s="141">
        <f>SUM(M3760+K3761-L3761)</f>
        <v/>
      </c>
    </row>
    <row r="3762">
      <c r="A3762" s="20" t="n">
        <v>45865</v>
      </c>
      <c r="B3762" s="1" t="n">
        <v>15178</v>
      </c>
      <c r="C3762" s="2" t="inlineStr">
        <is>
          <t>SELİM İNŞAAT</t>
        </is>
      </c>
      <c r="D3762" s="1" t="inlineStr">
        <is>
          <t xml:space="preserve">34 DP 4161 </t>
        </is>
      </c>
      <c r="E3762" s="1" t="inlineStr">
        <is>
          <t>RIFAT KARATAY</t>
        </is>
      </c>
      <c r="F3762" s="3" t="n">
        <v>292147</v>
      </c>
      <c r="G3762" s="143" t="n"/>
      <c r="H3762" s="143" t="n">
        <v>244</v>
      </c>
      <c r="I3762" s="143">
        <f>+I3761+(G3762-H3762)</f>
        <v/>
      </c>
      <c r="J3762" s="144" t="n">
        <v>46.5</v>
      </c>
      <c r="K3762" s="145" t="n"/>
      <c r="L3762" s="140">
        <f>+H3762*J3762</f>
        <v/>
      </c>
      <c r="M3762" s="141">
        <f>SUM(M3761+K3762-L3762)</f>
        <v/>
      </c>
    </row>
    <row r="3763">
      <c r="A3763" s="20" t="n">
        <v>45866</v>
      </c>
      <c r="B3763" s="1" t="n">
        <v>14451</v>
      </c>
      <c r="C3763" s="2" t="inlineStr">
        <is>
          <t>SELİM İNŞAAT</t>
        </is>
      </c>
      <c r="D3763" s="1" t="inlineStr">
        <is>
          <t>34 EGR 737</t>
        </is>
      </c>
      <c r="E3763" s="1" t="inlineStr">
        <is>
          <t>CEM MUHTAR</t>
        </is>
      </c>
      <c r="F3763" s="3" t="n">
        <v>425654</v>
      </c>
      <c r="G3763" s="143" t="n"/>
      <c r="H3763" s="143" t="n">
        <v>326</v>
      </c>
      <c r="I3763" s="143">
        <f>+I3762+(G3763-H3763)</f>
        <v/>
      </c>
      <c r="J3763" s="144" t="n">
        <v>46.5</v>
      </c>
      <c r="K3763" s="145" t="n"/>
      <c r="L3763" s="140">
        <f>+H3763*J3763</f>
        <v/>
      </c>
      <c r="M3763" s="141">
        <f>SUM(M3762+K3763-L3763)</f>
        <v/>
      </c>
    </row>
    <row r="3764">
      <c r="A3764" s="20" t="n">
        <v>45866</v>
      </c>
      <c r="B3764" s="1" t="n">
        <v>1703</v>
      </c>
      <c r="C3764" s="2" t="inlineStr">
        <is>
          <t>SELİM İNŞAAT</t>
        </is>
      </c>
      <c r="D3764" s="21" t="inlineStr">
        <is>
          <t>34 DGP 137</t>
        </is>
      </c>
      <c r="E3764" s="1" t="inlineStr">
        <is>
          <t>MUHAMMED BULUT</t>
        </is>
      </c>
      <c r="F3764" s="3" t="n">
        <v>433151</v>
      </c>
      <c r="G3764" s="143" t="n"/>
      <c r="H3764" s="143" t="n">
        <v>397</v>
      </c>
      <c r="I3764" s="143">
        <f>+I3763+(G3764-H3764)</f>
        <v/>
      </c>
      <c r="J3764" s="144" t="n">
        <v>46.5</v>
      </c>
      <c r="K3764" s="145" t="n"/>
      <c r="L3764" s="140">
        <f>+H3764*J3764</f>
        <v/>
      </c>
      <c r="M3764" s="141">
        <f>SUM(M3763+K3764-L3764)</f>
        <v/>
      </c>
    </row>
    <row r="3765">
      <c r="A3765" s="20" t="n">
        <v>45866</v>
      </c>
      <c r="B3765" s="1" t="n">
        <v>15328</v>
      </c>
      <c r="C3765" s="2" t="inlineStr">
        <is>
          <t>SELİM İNŞAAT</t>
        </is>
      </c>
      <c r="D3765" s="1" t="inlineStr">
        <is>
          <t>34 EDC 162</t>
        </is>
      </c>
      <c r="E3765" s="1" t="inlineStr">
        <is>
          <t xml:space="preserve">YAKUP GÜNER </t>
        </is>
      </c>
      <c r="F3765" s="3" t="n">
        <v>379538</v>
      </c>
      <c r="G3765" s="143" t="n"/>
      <c r="H3765" s="143" t="n">
        <v>295</v>
      </c>
      <c r="I3765" s="143">
        <f>+I3764+(G3765-H3765)</f>
        <v/>
      </c>
      <c r="J3765" s="144" t="n">
        <v>46.5</v>
      </c>
      <c r="K3765" s="145" t="n"/>
      <c r="L3765" s="140">
        <f>+H3765*J3765</f>
        <v/>
      </c>
      <c r="M3765" s="141">
        <f>SUM(M3764+K3765-L3765)</f>
        <v/>
      </c>
    </row>
    <row r="3766">
      <c r="A3766" s="20" t="n">
        <v>45866</v>
      </c>
      <c r="B3766" s="1" t="n">
        <v>15875</v>
      </c>
      <c r="C3766" s="2" t="inlineStr">
        <is>
          <t>SELİM İNŞAAT</t>
        </is>
      </c>
      <c r="D3766" s="1" t="inlineStr">
        <is>
          <t>34 EDB 754</t>
        </is>
      </c>
      <c r="E3766" s="1" t="inlineStr">
        <is>
          <t>EMİN PARLAKKILIÇ</t>
        </is>
      </c>
      <c r="F3766" s="3" t="n">
        <v>333674</v>
      </c>
      <c r="G3766" s="143" t="n"/>
      <c r="H3766" s="143" t="n">
        <v>393</v>
      </c>
      <c r="I3766" s="143">
        <f>+I3765+(G3766-H3766)</f>
        <v/>
      </c>
      <c r="J3766" s="144" t="n">
        <v>46.5</v>
      </c>
      <c r="K3766" s="145" t="n"/>
      <c r="L3766" s="140">
        <f>+H3766*J3766</f>
        <v/>
      </c>
      <c r="M3766" s="141">
        <f>SUM(M3765+K3766-L3766)</f>
        <v/>
      </c>
    </row>
    <row r="3767">
      <c r="A3767" s="20" t="n">
        <v>45866</v>
      </c>
      <c r="B3767" s="1" t="n">
        <v>15124</v>
      </c>
      <c r="C3767" s="2" t="inlineStr">
        <is>
          <t>SELİM İNŞAAT</t>
        </is>
      </c>
      <c r="D3767" s="1" t="inlineStr">
        <is>
          <t>34 DTV 599</t>
        </is>
      </c>
      <c r="E3767" s="1" t="inlineStr">
        <is>
          <t>FERHAT GÜRLER</t>
        </is>
      </c>
      <c r="F3767" s="3" t="n">
        <v>441590</v>
      </c>
      <c r="G3767" s="143" t="n"/>
      <c r="H3767" s="143" t="n">
        <v>399</v>
      </c>
      <c r="I3767" s="143">
        <f>+I3766+(G3767-H3767)</f>
        <v/>
      </c>
      <c r="J3767" s="144" t="n">
        <v>46.5</v>
      </c>
      <c r="K3767" s="145" t="n"/>
      <c r="L3767" s="140">
        <f>+H3767*J3767</f>
        <v/>
      </c>
      <c r="M3767" s="141">
        <f>SUM(M3766+K3767-L3767)</f>
        <v/>
      </c>
    </row>
    <row r="3768">
      <c r="A3768" s="20" t="n">
        <v>45866</v>
      </c>
      <c r="B3768" s="1" t="n">
        <v>15370</v>
      </c>
      <c r="C3768" s="2" t="inlineStr">
        <is>
          <t>SELİM İNŞAAT</t>
        </is>
      </c>
      <c r="D3768" s="1" t="inlineStr">
        <is>
          <t>34 DTV 409</t>
        </is>
      </c>
      <c r="E3768" s="1" t="inlineStr">
        <is>
          <t>ONUR CANLI</t>
        </is>
      </c>
      <c r="F3768" s="3" t="n">
        <v>426578</v>
      </c>
      <c r="G3768" s="143" t="n"/>
      <c r="H3768" s="143" t="n">
        <v>240</v>
      </c>
      <c r="I3768" s="143">
        <f>+I3767+(G3768-H3768)</f>
        <v/>
      </c>
      <c r="J3768" s="144" t="n">
        <v>46.5</v>
      </c>
      <c r="K3768" s="145" t="n"/>
      <c r="L3768" s="140">
        <f>+H3768*J3768</f>
        <v/>
      </c>
      <c r="M3768" s="141">
        <f>SUM(M3767+K3768-L3768)</f>
        <v/>
      </c>
    </row>
    <row r="3769">
      <c r="A3769" s="20" t="n">
        <v>45866</v>
      </c>
      <c r="B3769" s="1" t="n">
        <v>413</v>
      </c>
      <c r="C3769" s="2" t="inlineStr">
        <is>
          <t>SELİM İNŞAAT</t>
        </is>
      </c>
      <c r="D3769" s="1" t="inlineStr">
        <is>
          <t>34 DRU 690</t>
        </is>
      </c>
      <c r="E3769" s="1" t="inlineStr">
        <is>
          <t>MURAT DEMİRBAŞ</t>
        </is>
      </c>
      <c r="F3769" s="3" t="n">
        <v>427259</v>
      </c>
      <c r="G3769" s="143" t="n"/>
      <c r="H3769" s="143" t="n">
        <v>399</v>
      </c>
      <c r="I3769" s="143">
        <f>+I3768+(G3769-H3769)</f>
        <v/>
      </c>
      <c r="J3769" s="144" t="n">
        <v>46.5</v>
      </c>
      <c r="K3769" s="145" t="n"/>
      <c r="L3769" s="140">
        <f>+H3769*J3769</f>
        <v/>
      </c>
      <c r="M3769" s="141">
        <f>SUM(M3768+K3769-L3769)</f>
        <v/>
      </c>
    </row>
    <row r="3770">
      <c r="A3770" s="20" t="n">
        <v>45866</v>
      </c>
      <c r="B3770" s="1" t="n">
        <v>15976</v>
      </c>
      <c r="C3770" s="2" t="inlineStr">
        <is>
          <t>SELİM İNŞAAT</t>
        </is>
      </c>
      <c r="D3770" s="1" t="inlineStr">
        <is>
          <t>34 FBR 781</t>
        </is>
      </c>
      <c r="E3770" s="1" t="inlineStr">
        <is>
          <t>MEVLÜT POLAT</t>
        </is>
      </c>
      <c r="F3770" s="3" t="n">
        <v>316201</v>
      </c>
      <c r="G3770" s="143" t="n"/>
      <c r="H3770" s="143" t="n">
        <v>365</v>
      </c>
      <c r="I3770" s="143">
        <f>+I3769+(G3770-H3770)</f>
        <v/>
      </c>
      <c r="J3770" s="144" t="n">
        <v>46.5</v>
      </c>
      <c r="K3770" s="145" t="n"/>
      <c r="L3770" s="140">
        <f>+H3770*J3770</f>
        <v/>
      </c>
      <c r="M3770" s="141">
        <f>SUM(M3769+K3770-L3770)</f>
        <v/>
      </c>
    </row>
    <row r="3771">
      <c r="A3771" s="20" t="n">
        <v>45866</v>
      </c>
      <c r="B3771" s="1" t="n">
        <v>14151</v>
      </c>
      <c r="C3771" s="2" t="inlineStr">
        <is>
          <t>SELİM İNŞAAT</t>
        </is>
      </c>
      <c r="D3771" s="1" t="inlineStr">
        <is>
          <t>34 DSN 536</t>
        </is>
      </c>
      <c r="E3771" s="1" t="inlineStr">
        <is>
          <t>DURSUN ALİ GÜREK</t>
        </is>
      </c>
      <c r="F3771" s="3" t="n">
        <v>415316</v>
      </c>
      <c r="G3771" s="143" t="n"/>
      <c r="H3771" s="143" t="n">
        <v>378</v>
      </c>
      <c r="I3771" s="143">
        <f>+I3770+(G3771-H3771)</f>
        <v/>
      </c>
      <c r="J3771" s="144" t="n">
        <v>46.5</v>
      </c>
      <c r="K3771" s="145" t="n"/>
      <c r="L3771" s="140">
        <f>+H3771*J3771</f>
        <v/>
      </c>
      <c r="M3771" s="141">
        <f>SUM(M3770+K3771-L3771)</f>
        <v/>
      </c>
    </row>
    <row r="3772">
      <c r="A3772" s="20" t="n">
        <v>45866</v>
      </c>
      <c r="B3772" s="1" t="n">
        <v>14838</v>
      </c>
      <c r="C3772" s="2" t="inlineStr">
        <is>
          <t>SELİM İNŞAAT</t>
        </is>
      </c>
      <c r="D3772" s="1" t="inlineStr">
        <is>
          <t>34 GVZ 268</t>
        </is>
      </c>
      <c r="E3772" s="1" t="inlineStr">
        <is>
          <t xml:space="preserve">KERİM KARAMAN </t>
        </is>
      </c>
      <c r="F3772" s="3" t="n">
        <v>203040</v>
      </c>
      <c r="G3772" s="143" t="n"/>
      <c r="H3772" s="143" t="n">
        <v>273</v>
      </c>
      <c r="I3772" s="143">
        <f>+I3771+(G3772-H3772)</f>
        <v/>
      </c>
      <c r="J3772" s="144" t="n">
        <v>46.5</v>
      </c>
      <c r="K3772" s="145" t="n"/>
      <c r="L3772" s="140">
        <f>+H3772*J3772</f>
        <v/>
      </c>
      <c r="M3772" s="141">
        <f>SUM(M3771+K3772-L3772)</f>
        <v/>
      </c>
    </row>
    <row r="3773">
      <c r="A3773" s="20" t="n">
        <v>45866</v>
      </c>
      <c r="B3773" s="1" t="n">
        <v>657</v>
      </c>
      <c r="C3773" s="2" t="inlineStr">
        <is>
          <t>SELİM İNŞAAT</t>
        </is>
      </c>
      <c r="D3773" s="1" t="inlineStr">
        <is>
          <t>34 DTV 352</t>
        </is>
      </c>
      <c r="E3773" s="1" t="inlineStr">
        <is>
          <t>AHMET DENİZ</t>
        </is>
      </c>
      <c r="F3773" s="3" t="n">
        <v>438887</v>
      </c>
      <c r="G3773" s="143" t="n"/>
      <c r="H3773" s="143" t="n">
        <v>220</v>
      </c>
      <c r="I3773" s="143">
        <f>+I3772+(G3773-H3773)</f>
        <v/>
      </c>
      <c r="J3773" s="144" t="n">
        <v>46.5</v>
      </c>
      <c r="K3773" s="145" t="n"/>
      <c r="L3773" s="140">
        <f>+H3773*J3773</f>
        <v/>
      </c>
      <c r="M3773" s="141">
        <f>SUM(M3772+K3773-L3773)</f>
        <v/>
      </c>
    </row>
    <row r="3774">
      <c r="A3774" s="20" t="n">
        <v>45866</v>
      </c>
      <c r="B3774" s="1" t="n">
        <v>1966</v>
      </c>
      <c r="C3774" s="2" t="inlineStr">
        <is>
          <t>CEVİZ MOBİLYA</t>
        </is>
      </c>
      <c r="D3774" s="1" t="inlineStr">
        <is>
          <t>SM 350</t>
        </is>
      </c>
      <c r="E3774" s="1" t="inlineStr">
        <is>
          <t>TEVFİK ÖZTÜRK</t>
        </is>
      </c>
      <c r="F3774" s="3" t="n"/>
      <c r="G3774" s="143" t="n"/>
      <c r="H3774" s="143" t="n">
        <v>568</v>
      </c>
      <c r="I3774" s="143">
        <f>+I3773+(G3774-H3774)</f>
        <v/>
      </c>
      <c r="J3774" s="144" t="n">
        <v>46.5</v>
      </c>
      <c r="K3774" s="145" t="n"/>
      <c r="L3774" s="140">
        <f>+H3774*J3774</f>
        <v/>
      </c>
      <c r="M3774" s="141">
        <f>SUM(M3773+K3774-L3774)</f>
        <v/>
      </c>
    </row>
    <row r="3775">
      <c r="A3775" s="20" t="n">
        <v>45866</v>
      </c>
      <c r="B3775" s="1" t="n">
        <v>1968</v>
      </c>
      <c r="C3775" s="2" t="inlineStr">
        <is>
          <t>VARLIK</t>
        </is>
      </c>
      <c r="D3775" s="1" t="inlineStr">
        <is>
          <t>SM 350</t>
        </is>
      </c>
      <c r="E3775" s="1" t="inlineStr">
        <is>
          <t>BAYRAM SANCAK</t>
        </is>
      </c>
      <c r="F3775" s="3" t="n"/>
      <c r="G3775" s="143" t="n"/>
      <c r="H3775" s="143" t="n">
        <v>352</v>
      </c>
      <c r="I3775" s="143">
        <f>+I3774+(G3775-H3775)</f>
        <v/>
      </c>
      <c r="J3775" s="144" t="n">
        <v>46.5</v>
      </c>
      <c r="K3775" s="145" t="n"/>
      <c r="L3775" s="140">
        <f>+H3775*J3775</f>
        <v/>
      </c>
      <c r="M3775" s="141">
        <f>SUM(M3774+K3775-L3775)</f>
        <v/>
      </c>
    </row>
    <row r="3776">
      <c r="A3776" s="20" t="n">
        <v>45866</v>
      </c>
      <c r="B3776" s="1" t="n">
        <v>1969</v>
      </c>
      <c r="C3776" s="2" t="inlineStr">
        <is>
          <t>EVKUR</t>
        </is>
      </c>
      <c r="D3776" s="1" t="inlineStr">
        <is>
          <t>KAVAZAKİ</t>
        </is>
      </c>
      <c r="E3776" s="1" t="inlineStr">
        <is>
          <t>RAMAZAN KAYA</t>
        </is>
      </c>
      <c r="F3776" s="3" t="n"/>
      <c r="G3776" s="143" t="n"/>
      <c r="H3776" s="143" t="n">
        <v>237</v>
      </c>
      <c r="I3776" s="143">
        <f>+I3775+(G3776-H3776)</f>
        <v/>
      </c>
      <c r="J3776" s="144" t="n">
        <v>46.5</v>
      </c>
      <c r="K3776" s="145" t="n"/>
      <c r="L3776" s="140">
        <f>+H3776*J3776</f>
        <v/>
      </c>
      <c r="M3776" s="141">
        <f>SUM(M3775+K3776-L3776)</f>
        <v/>
      </c>
    </row>
    <row r="3777">
      <c r="A3777" s="20" t="n">
        <v>45866</v>
      </c>
      <c r="B3777" s="1" t="n">
        <v>1970</v>
      </c>
      <c r="C3777" s="2" t="inlineStr">
        <is>
          <t>CEVİZ MOBİLYA</t>
        </is>
      </c>
      <c r="D3777" s="1" t="inlineStr">
        <is>
          <t>SİLİNDİR</t>
        </is>
      </c>
      <c r="E3777" s="1" t="inlineStr">
        <is>
          <t>TEVFİK ÖZTÜRK</t>
        </is>
      </c>
      <c r="F3777" s="3" t="n"/>
      <c r="G3777" s="143" t="n"/>
      <c r="H3777" s="143" t="n">
        <v>233</v>
      </c>
      <c r="I3777" s="143">
        <f>+I3776+(G3777-H3777)</f>
        <v/>
      </c>
      <c r="J3777" s="144" t="n">
        <v>46.5</v>
      </c>
      <c r="K3777" s="145" t="n"/>
      <c r="L3777" s="140">
        <f>+H3777*J3777</f>
        <v/>
      </c>
      <c r="M3777" s="141">
        <f>SUM(M3776+K3777-L3777)</f>
        <v/>
      </c>
    </row>
    <row r="3778">
      <c r="A3778" s="20" t="n">
        <v>45866</v>
      </c>
      <c r="B3778" s="1" t="n">
        <v>1971</v>
      </c>
      <c r="C3778" s="2" t="inlineStr">
        <is>
          <t>MEGA VALIK</t>
        </is>
      </c>
      <c r="D3778" s="1" t="inlineStr">
        <is>
          <t xml:space="preserve">SM 370 </t>
        </is>
      </c>
      <c r="E3778" s="1" t="inlineStr">
        <is>
          <t>TEKİN ŞEYLAN</t>
        </is>
      </c>
      <c r="F3778" s="3" t="n"/>
      <c r="G3778" s="143" t="n"/>
      <c r="H3778" s="143" t="n">
        <v>584</v>
      </c>
      <c r="I3778" s="143">
        <f>+I3777+(G3778-H3778)</f>
        <v/>
      </c>
      <c r="J3778" s="144" t="n">
        <v>46.5</v>
      </c>
      <c r="K3778" s="145" t="n"/>
      <c r="L3778" s="140">
        <f>+H3778*J3778</f>
        <v/>
      </c>
      <c r="M3778" s="141">
        <f>SUM(M3777+K3778-L3778)</f>
        <v/>
      </c>
    </row>
    <row r="3779">
      <c r="A3779" s="20" t="n">
        <v>45866</v>
      </c>
      <c r="B3779" s="1" t="n">
        <v>1972</v>
      </c>
      <c r="C3779" s="2" t="inlineStr">
        <is>
          <t>MEGA VALIK</t>
        </is>
      </c>
      <c r="D3779" s="1" t="inlineStr">
        <is>
          <t>SM 300</t>
        </is>
      </c>
      <c r="E3779" s="1" t="inlineStr">
        <is>
          <t>TURGUT SANCAK</t>
        </is>
      </c>
      <c r="F3779" s="3" t="n"/>
      <c r="G3779" s="143" t="n"/>
      <c r="H3779" s="143" t="n">
        <v>437</v>
      </c>
      <c r="I3779" s="143">
        <f>+I3778+(G3779-H3779)</f>
        <v/>
      </c>
      <c r="J3779" s="144" t="n">
        <v>46.5</v>
      </c>
      <c r="K3779" s="145" t="n"/>
      <c r="L3779" s="140">
        <f>+H3779*J3779</f>
        <v/>
      </c>
      <c r="M3779" s="141">
        <f>SUM(M3778+K3779-L3779)</f>
        <v/>
      </c>
    </row>
    <row r="3780">
      <c r="A3780" s="20" t="n">
        <v>45866</v>
      </c>
      <c r="B3780" s="1" t="n">
        <v>1556</v>
      </c>
      <c r="C3780" s="2" t="inlineStr">
        <is>
          <t>SELİM İNŞAAT</t>
        </is>
      </c>
      <c r="D3780" s="1" t="inlineStr">
        <is>
          <t>34 GVZ 938</t>
        </is>
      </c>
      <c r="E3780" s="1" t="inlineStr">
        <is>
          <t>MEHMET KAYA</t>
        </is>
      </c>
      <c r="F3780" s="3" t="n">
        <v>199150</v>
      </c>
      <c r="G3780" s="143" t="n"/>
      <c r="H3780" s="143" t="n">
        <v>267</v>
      </c>
      <c r="I3780" s="143">
        <f>+I3779+(G3780-H3780)</f>
        <v/>
      </c>
      <c r="J3780" s="144" t="n">
        <v>46.5</v>
      </c>
      <c r="K3780" s="145" t="n"/>
      <c r="L3780" s="140">
        <f>+H3780*J3780</f>
        <v/>
      </c>
      <c r="M3780" s="141">
        <f>SUM(M3779+K3780-L3780)</f>
        <v/>
      </c>
    </row>
    <row r="3781">
      <c r="A3781" s="20" t="n">
        <v>45866</v>
      </c>
      <c r="B3781" s="1" t="n">
        <v>14548</v>
      </c>
      <c r="C3781" s="2" t="inlineStr">
        <is>
          <t>SELİM İNŞAAT</t>
        </is>
      </c>
      <c r="D3781" s="1" t="inlineStr">
        <is>
          <t>34 GER 028</t>
        </is>
      </c>
      <c r="E3781" s="1" t="inlineStr">
        <is>
          <t>A.KERİM ERGEN</t>
        </is>
      </c>
      <c r="F3781" s="3" t="n">
        <v>48578</v>
      </c>
      <c r="G3781" s="143" t="n"/>
      <c r="H3781" s="143" t="n">
        <v>241</v>
      </c>
      <c r="I3781" s="143">
        <f>+I3780+(G3781-H3781)</f>
        <v/>
      </c>
      <c r="J3781" s="144" t="n">
        <v>46.5</v>
      </c>
      <c r="K3781" s="145" t="n"/>
      <c r="L3781" s="140">
        <f>+H3781*J3781</f>
        <v/>
      </c>
      <c r="M3781" s="141">
        <f>SUM(M3780+K3781-L3781)</f>
        <v/>
      </c>
    </row>
    <row r="3782">
      <c r="A3782" s="20" t="n">
        <v>45866</v>
      </c>
      <c r="B3782" s="21" t="n">
        <v>11381</v>
      </c>
      <c r="C3782" s="22" t="inlineStr">
        <is>
          <t>AZGÜN YAPI</t>
        </is>
      </c>
      <c r="D3782" s="21" t="inlineStr">
        <is>
          <t>34 MKT 593</t>
        </is>
      </c>
      <c r="E3782" s="21" t="inlineStr">
        <is>
          <t>İBRAHİM GÜLLÜK</t>
        </is>
      </c>
      <c r="F3782" s="23" t="n"/>
      <c r="G3782" s="138" t="n"/>
      <c r="H3782" s="138" t="n">
        <v>382</v>
      </c>
      <c r="I3782" s="138">
        <f>+I3781+(G3782-H3782)</f>
        <v/>
      </c>
      <c r="J3782" s="139" t="n">
        <v>46.5</v>
      </c>
      <c r="K3782" s="140" t="n"/>
      <c r="L3782" s="140">
        <f>+H3782*J3782</f>
        <v/>
      </c>
      <c r="M3782" s="141">
        <f>SUM(M3781+K3782-L3782)</f>
        <v/>
      </c>
    </row>
    <row r="3783">
      <c r="A3783" s="20" t="n">
        <v>45866</v>
      </c>
      <c r="B3783" s="21" t="n">
        <v>8897</v>
      </c>
      <c r="C3783" s="22" t="inlineStr">
        <is>
          <t>AHMET SELİM TEMHA</t>
        </is>
      </c>
      <c r="D3783" s="21" t="inlineStr">
        <is>
          <t>34 DGE 422</t>
        </is>
      </c>
      <c r="E3783" s="21" t="inlineStr">
        <is>
          <t xml:space="preserve">ERSOY SIĞINMAZ </t>
        </is>
      </c>
      <c r="F3783" s="23" t="n"/>
      <c r="G3783" s="138" t="n"/>
      <c r="H3783" s="138" t="n">
        <v>65</v>
      </c>
      <c r="I3783" s="138">
        <f>+I3782+(G3783-H3783)</f>
        <v/>
      </c>
      <c r="J3783" s="139" t="n">
        <v>46.5</v>
      </c>
      <c r="K3783" s="140" t="n"/>
      <c r="L3783" s="140">
        <f>+H3783*J3783</f>
        <v/>
      </c>
      <c r="M3783" s="141">
        <f>SUM(M3782+K3783-L3783)</f>
        <v/>
      </c>
    </row>
    <row r="3784">
      <c r="A3784" s="20" t="n">
        <v>45866</v>
      </c>
      <c r="B3784" s="21" t="n">
        <v>15683</v>
      </c>
      <c r="C3784" s="22" t="inlineStr">
        <is>
          <t>METİN ERYİĞİT</t>
        </is>
      </c>
      <c r="D3784" s="21" t="inlineStr">
        <is>
          <t>34 EGR 814</t>
        </is>
      </c>
      <c r="E3784" s="21" t="inlineStr">
        <is>
          <t>GÜRAY KOYUNCU</t>
        </is>
      </c>
      <c r="F3784" s="23" t="n">
        <v>554977</v>
      </c>
      <c r="G3784" s="138" t="n"/>
      <c r="H3784" s="138" t="n">
        <v>375</v>
      </c>
      <c r="I3784" s="138">
        <f>+I3783+(G3784-H3784)</f>
        <v/>
      </c>
      <c r="J3784" s="139" t="n">
        <v>46.5</v>
      </c>
      <c r="K3784" s="140" t="n"/>
      <c r="L3784" s="140">
        <f>+H3784*J3784</f>
        <v/>
      </c>
      <c r="M3784" s="141">
        <f>SUM(M3783+K3784-L3784)</f>
        <v/>
      </c>
    </row>
    <row r="3785">
      <c r="A3785" s="20" t="n">
        <v>45866</v>
      </c>
      <c r="B3785" s="21" t="n">
        <v>712</v>
      </c>
      <c r="C3785" s="22" t="inlineStr">
        <is>
          <t>METİN ERYİĞİT</t>
        </is>
      </c>
      <c r="D3785" s="21" t="inlineStr">
        <is>
          <t>34 GBL 998</t>
        </is>
      </c>
      <c r="E3785" s="21" t="inlineStr">
        <is>
          <t>ALİ KESKİN</t>
        </is>
      </c>
      <c r="F3785" s="23" t="n">
        <v>281740</v>
      </c>
      <c r="G3785" s="138" t="n"/>
      <c r="H3785" s="138" t="n">
        <v>322</v>
      </c>
      <c r="I3785" s="138">
        <f>+I3784+(G3785-H3785)</f>
        <v/>
      </c>
      <c r="J3785" s="139" t="n">
        <v>46.5</v>
      </c>
      <c r="K3785" s="140" t="n"/>
      <c r="L3785" s="140">
        <f>+H3785*J3785</f>
        <v/>
      </c>
      <c r="M3785" s="141">
        <f>SUM(M3784+K3785-L3785)</f>
        <v/>
      </c>
    </row>
    <row r="3786">
      <c r="A3786" s="20" t="n">
        <v>45866</v>
      </c>
      <c r="B3786" s="1" t="n">
        <v>14399</v>
      </c>
      <c r="C3786" s="2" t="inlineStr">
        <is>
          <t>SELİM İNŞAAT</t>
        </is>
      </c>
      <c r="D3786" s="1" t="inlineStr">
        <is>
          <t>34 DKL 798</t>
        </is>
      </c>
      <c r="E3786" s="1" t="inlineStr">
        <is>
          <t>EMİRCAN ÖZTÜRK</t>
        </is>
      </c>
      <c r="F3786" s="3" t="n">
        <v>69342</v>
      </c>
      <c r="G3786" s="143" t="n"/>
      <c r="H3786" s="143" t="n">
        <v>190</v>
      </c>
      <c r="I3786" s="143">
        <f>+I3785+(G3786-H3786)</f>
        <v/>
      </c>
      <c r="J3786" s="144" t="n">
        <v>46.5</v>
      </c>
      <c r="K3786" s="145" t="n"/>
      <c r="L3786" s="140">
        <f>+H3786*J3786</f>
        <v/>
      </c>
      <c r="M3786" s="141">
        <f>SUM(M3785+K3786-L3786)</f>
        <v/>
      </c>
    </row>
    <row r="3787">
      <c r="A3787" s="20" t="n">
        <v>45866</v>
      </c>
      <c r="B3787" s="21" t="n">
        <v>998</v>
      </c>
      <c r="C3787" s="22" t="inlineStr">
        <is>
          <t>ÜNSOY TURİZM İNŞ.SAN.VE TİC.A.Ş.</t>
        </is>
      </c>
      <c r="D3787" s="21" t="n"/>
      <c r="E3787" s="21" t="n"/>
      <c r="F3787" s="23" t="n"/>
      <c r="G3787" s="138" t="n">
        <v>31883</v>
      </c>
      <c r="H3787" s="138" t="n"/>
      <c r="I3787" s="138">
        <f>+I3786+(G3787-H3787)</f>
        <v/>
      </c>
      <c r="J3787" s="139">
        <f>+K3787/G3787</f>
        <v/>
      </c>
      <c r="K3787" s="140" t="n">
        <v>1482559.5</v>
      </c>
      <c r="L3787" s="140">
        <f>+H3787*J3787</f>
        <v/>
      </c>
      <c r="M3787" s="141">
        <f>SUM(M3786+K3787-L3787)</f>
        <v/>
      </c>
    </row>
    <row r="3788">
      <c r="A3788" s="20" t="n">
        <v>45867</v>
      </c>
      <c r="B3788" s="1" t="n">
        <v>1256</v>
      </c>
      <c r="C3788" s="2" t="inlineStr">
        <is>
          <t>SELİM İNŞAAT</t>
        </is>
      </c>
      <c r="D3788" s="1" t="inlineStr">
        <is>
          <t>34 DSN 621</t>
        </is>
      </c>
      <c r="E3788" s="1" t="inlineStr">
        <is>
          <t>MUSTAFA KAYA</t>
        </is>
      </c>
      <c r="F3788" s="3" t="n">
        <v>421710</v>
      </c>
      <c r="G3788" s="143" t="n"/>
      <c r="H3788" s="143" t="n">
        <v>298</v>
      </c>
      <c r="I3788" s="143">
        <f>+I3787+(G3788-H3788)</f>
        <v/>
      </c>
      <c r="J3788" s="144" t="n">
        <v>46.5</v>
      </c>
      <c r="K3788" s="145" t="n"/>
      <c r="L3788" s="140">
        <f>+H3788*J3788</f>
        <v/>
      </c>
      <c r="M3788" s="141">
        <f>SUM(M3787+K3788-L3788)</f>
        <v/>
      </c>
    </row>
    <row r="3789">
      <c r="A3789" s="20" t="n">
        <v>45867</v>
      </c>
      <c r="B3789" s="1" t="n">
        <v>963</v>
      </c>
      <c r="C3789" s="2" t="inlineStr">
        <is>
          <t>SELİM İNŞAAT</t>
        </is>
      </c>
      <c r="D3789" s="1" t="inlineStr">
        <is>
          <t>34 FBR 742</t>
        </is>
      </c>
      <c r="E3789" s="1" t="inlineStr">
        <is>
          <t>MİKAİL BAYILMAZ</t>
        </is>
      </c>
      <c r="F3789" s="3" t="n">
        <v>327801</v>
      </c>
      <c r="G3789" s="143" t="n"/>
      <c r="H3789" s="143" t="n">
        <v>348</v>
      </c>
      <c r="I3789" s="143">
        <f>+I3788+(G3789-H3789)</f>
        <v/>
      </c>
      <c r="J3789" s="144" t="n">
        <v>46.5</v>
      </c>
      <c r="K3789" s="145" t="n"/>
      <c r="L3789" s="140">
        <f>+H3789*J3789</f>
        <v/>
      </c>
      <c r="M3789" s="141">
        <f>SUM(M3788+K3789-L3789)</f>
        <v/>
      </c>
    </row>
    <row r="3790">
      <c r="A3790" s="20" t="n">
        <v>45867</v>
      </c>
      <c r="B3790" s="1" t="n">
        <v>15329</v>
      </c>
      <c r="C3790" s="2" t="inlineStr">
        <is>
          <t>SELİM İNŞAAT</t>
        </is>
      </c>
      <c r="D3790" s="1" t="inlineStr">
        <is>
          <t>34 EDC 162</t>
        </is>
      </c>
      <c r="E3790" s="1" t="inlineStr">
        <is>
          <t xml:space="preserve">YAKUP GÜNER </t>
        </is>
      </c>
      <c r="F3790" s="3" t="n">
        <v>379910</v>
      </c>
      <c r="G3790" s="143" t="n"/>
      <c r="H3790" s="143" t="n">
        <v>240</v>
      </c>
      <c r="I3790" s="143">
        <f>+I3789+(G3790-H3790)</f>
        <v/>
      </c>
      <c r="J3790" s="144" t="n">
        <v>46.5</v>
      </c>
      <c r="K3790" s="145" t="n"/>
      <c r="L3790" s="140">
        <f>+H3790*J3790</f>
        <v/>
      </c>
      <c r="M3790" s="141">
        <f>SUM(M3789+K3790-L3790)</f>
        <v/>
      </c>
    </row>
    <row r="3791">
      <c r="A3791" s="20" t="n">
        <v>45867</v>
      </c>
      <c r="B3791" s="1" t="n">
        <v>15533</v>
      </c>
      <c r="C3791" s="2" t="inlineStr">
        <is>
          <t>SELİM İNŞAAT</t>
        </is>
      </c>
      <c r="D3791" s="1" t="inlineStr">
        <is>
          <t>34 EDC 086</t>
        </is>
      </c>
      <c r="E3791" s="1" t="inlineStr">
        <is>
          <t>ÖMER AĞAYAR</t>
        </is>
      </c>
      <c r="F3791" s="3" t="n">
        <v>337071</v>
      </c>
      <c r="G3791" s="143" t="n"/>
      <c r="H3791" s="143" t="n">
        <v>402</v>
      </c>
      <c r="I3791" s="143">
        <f>+I3790+(G3791-H3791)</f>
        <v/>
      </c>
      <c r="J3791" s="144" t="n">
        <v>46.5</v>
      </c>
      <c r="K3791" s="145" t="n"/>
      <c r="L3791" s="140">
        <f>+H3791*J3791</f>
        <v/>
      </c>
      <c r="M3791" s="141">
        <f>SUM(M3790+K3791-L3791)</f>
        <v/>
      </c>
    </row>
    <row r="3792">
      <c r="A3792" s="20" t="n">
        <v>45867</v>
      </c>
      <c r="B3792" s="1" t="n">
        <v>15876</v>
      </c>
      <c r="C3792" s="2" t="inlineStr">
        <is>
          <t>SELİM İNŞAAT</t>
        </is>
      </c>
      <c r="D3792" s="1" t="inlineStr">
        <is>
          <t>34 EDB 754</t>
        </is>
      </c>
      <c r="E3792" s="1" t="inlineStr">
        <is>
          <t>EMİN PARLAKKILIÇ</t>
        </is>
      </c>
      <c r="F3792" s="3" t="n">
        <v>334088</v>
      </c>
      <c r="G3792" s="143" t="n"/>
      <c r="H3792" s="143" t="n">
        <v>247</v>
      </c>
      <c r="I3792" s="143">
        <f>+I3791+(G3792-H3792)</f>
        <v/>
      </c>
      <c r="J3792" s="144" t="n">
        <v>46.5</v>
      </c>
      <c r="K3792" s="145" t="n"/>
      <c r="L3792" s="140">
        <f>+H3792*J3792</f>
        <v/>
      </c>
      <c r="M3792" s="141">
        <f>SUM(M3791+K3792-L3792)</f>
        <v/>
      </c>
    </row>
    <row r="3793">
      <c r="A3793" s="20" t="n">
        <v>45867</v>
      </c>
      <c r="B3793" s="1" t="n">
        <v>118</v>
      </c>
      <c r="C3793" s="2" t="inlineStr">
        <is>
          <t>SELİM İNŞAAT</t>
        </is>
      </c>
      <c r="D3793" s="1" t="inlineStr">
        <is>
          <t>34 FBR 771</t>
        </is>
      </c>
      <c r="E3793" s="1" t="inlineStr">
        <is>
          <t>HÜSEYİN AKÇİN</t>
        </is>
      </c>
      <c r="F3793" s="3" t="n">
        <v>330486</v>
      </c>
      <c r="G3793" s="143" t="n"/>
      <c r="H3793" s="143" t="n">
        <v>347</v>
      </c>
      <c r="I3793" s="143">
        <f>+I3792+(G3793-H3793)</f>
        <v/>
      </c>
      <c r="J3793" s="144" t="n">
        <v>46.5</v>
      </c>
      <c r="K3793" s="145" t="n"/>
      <c r="L3793" s="140">
        <f>+H3793*J3793</f>
        <v/>
      </c>
      <c r="M3793" s="141">
        <f>SUM(M3792+K3793-L3793)</f>
        <v/>
      </c>
    </row>
    <row r="3794">
      <c r="A3794" s="20" t="n">
        <v>45867</v>
      </c>
      <c r="B3794" s="1" t="n">
        <v>15584</v>
      </c>
      <c r="C3794" s="2" t="inlineStr">
        <is>
          <t>SELİM İNŞAAT</t>
        </is>
      </c>
      <c r="D3794" s="1" t="inlineStr">
        <is>
          <t>34 GVZ 745</t>
        </is>
      </c>
      <c r="E3794" s="1" t="inlineStr">
        <is>
          <t>MUHAMMED YİĞİT</t>
        </is>
      </c>
      <c r="F3794" s="3" t="n">
        <v>196900</v>
      </c>
      <c r="G3794" s="143" t="n"/>
      <c r="H3794" s="143" t="n">
        <v>325</v>
      </c>
      <c r="I3794" s="143">
        <f>+I3793+(G3794-H3794)</f>
        <v/>
      </c>
      <c r="J3794" s="144" t="n">
        <v>46.5</v>
      </c>
      <c r="K3794" s="145" t="n"/>
      <c r="L3794" s="140">
        <f>+H3794*J3794</f>
        <v/>
      </c>
      <c r="M3794" s="141">
        <f>SUM(M3793+K3794-L3794)</f>
        <v/>
      </c>
    </row>
    <row r="3795">
      <c r="A3795" s="20" t="n">
        <v>45867</v>
      </c>
      <c r="B3795" s="1" t="n">
        <v>1006</v>
      </c>
      <c r="C3795" s="2" t="inlineStr">
        <is>
          <t>SELİM İNŞAAT</t>
        </is>
      </c>
      <c r="D3795" s="1" t="inlineStr">
        <is>
          <t>34 DHH 668</t>
        </is>
      </c>
      <c r="E3795" s="1" t="inlineStr">
        <is>
          <t>ADNAN KOÇ</t>
        </is>
      </c>
      <c r="F3795" s="3" t="n">
        <v>393031</v>
      </c>
      <c r="G3795" s="143" t="n"/>
      <c r="H3795" s="143" t="n">
        <v>426</v>
      </c>
      <c r="I3795" s="143">
        <f>+I3794+(G3795-H3795)</f>
        <v/>
      </c>
      <c r="J3795" s="144" t="n">
        <v>46.5</v>
      </c>
      <c r="K3795" s="145" t="n"/>
      <c r="L3795" s="140">
        <f>+H3795*J3795</f>
        <v/>
      </c>
      <c r="M3795" s="141">
        <f>SUM(M3794+K3795-L3795)</f>
        <v/>
      </c>
    </row>
    <row r="3796">
      <c r="A3796" s="20" t="n">
        <v>45867</v>
      </c>
      <c r="B3796" s="1" t="n">
        <v>806</v>
      </c>
      <c r="C3796" s="2" t="inlineStr">
        <is>
          <t>SELİM İNŞAAT</t>
        </is>
      </c>
      <c r="D3796" s="1" t="inlineStr">
        <is>
          <t>34 EDB 659</t>
        </is>
      </c>
      <c r="E3796" s="1" t="inlineStr">
        <is>
          <t>MEHMET SAİT ANIK</t>
        </is>
      </c>
      <c r="F3796" s="3" t="n">
        <v>351641</v>
      </c>
      <c r="G3796" s="143" t="n"/>
      <c r="H3796" s="143" t="n">
        <v>417</v>
      </c>
      <c r="I3796" s="143">
        <f>+I3795+(G3796-H3796)</f>
        <v/>
      </c>
      <c r="J3796" s="144" t="n">
        <v>46.5</v>
      </c>
      <c r="K3796" s="145" t="n"/>
      <c r="L3796" s="140">
        <f>+H3796*J3796</f>
        <v/>
      </c>
      <c r="M3796" s="141">
        <f>SUM(M3795+K3796-L3796)</f>
        <v/>
      </c>
    </row>
    <row r="3797">
      <c r="A3797" s="20" t="n">
        <v>45867</v>
      </c>
      <c r="B3797" s="1" t="n">
        <v>1205</v>
      </c>
      <c r="C3797" s="2" t="inlineStr">
        <is>
          <t>SELİM İNŞAAT</t>
        </is>
      </c>
      <c r="D3797" s="1" t="inlineStr">
        <is>
          <t>34 DHC 393</t>
        </is>
      </c>
      <c r="E3797" s="1" t="inlineStr">
        <is>
          <t>MUHAMMED BULUT</t>
        </is>
      </c>
      <c r="F3797" s="3" t="n">
        <v>431294</v>
      </c>
      <c r="G3797" s="143" t="n"/>
      <c r="H3797" s="143" t="n">
        <v>396</v>
      </c>
      <c r="I3797" s="143">
        <f>+I3796+(G3797-H3797)</f>
        <v/>
      </c>
      <c r="J3797" s="144" t="n">
        <v>46.5</v>
      </c>
      <c r="K3797" s="145" t="n"/>
      <c r="L3797" s="140">
        <f>+H3797*J3797</f>
        <v/>
      </c>
      <c r="M3797" s="141">
        <f>SUM(M3796+K3797-L3797)</f>
        <v/>
      </c>
    </row>
    <row r="3798">
      <c r="A3798" s="20" t="n">
        <v>45867</v>
      </c>
      <c r="B3798" s="1" t="n">
        <v>1801</v>
      </c>
      <c r="C3798" s="2" t="inlineStr">
        <is>
          <t>SELİM İNŞAAT</t>
        </is>
      </c>
      <c r="D3798" s="1" t="inlineStr">
        <is>
          <t>34 EGR 922</t>
        </is>
      </c>
      <c r="E3798" s="1" t="inlineStr">
        <is>
          <t>FARUK ÖZEN</t>
        </is>
      </c>
      <c r="F3798" s="3" t="n">
        <v>464279</v>
      </c>
      <c r="G3798" s="143" t="n"/>
      <c r="H3798" s="143" t="n">
        <v>475</v>
      </c>
      <c r="I3798" s="143">
        <f>+I3797+(G3798-H3798)</f>
        <v/>
      </c>
      <c r="J3798" s="144" t="n">
        <v>46.5</v>
      </c>
      <c r="K3798" s="145" t="n"/>
      <c r="L3798" s="140">
        <f>+H3798*J3798</f>
        <v/>
      </c>
      <c r="M3798" s="141">
        <f>SUM(M3797+K3798-L3798)</f>
        <v/>
      </c>
    </row>
    <row r="3799">
      <c r="A3799" s="20" t="n">
        <v>45867</v>
      </c>
      <c r="B3799" s="1" t="n">
        <v>21</v>
      </c>
      <c r="C3799" s="2" t="inlineStr">
        <is>
          <t>SELİM İNŞAAT</t>
        </is>
      </c>
      <c r="D3799" s="1" t="inlineStr">
        <is>
          <t>34 FBR 748</t>
        </is>
      </c>
      <c r="E3799" s="1" t="inlineStr">
        <is>
          <t>YAŞAR ÖZKAYA</t>
        </is>
      </c>
      <c r="F3799" s="3" t="n">
        <v>292531</v>
      </c>
      <c r="G3799" s="143" t="n"/>
      <c r="H3799" s="143" t="n">
        <v>534</v>
      </c>
      <c r="I3799" s="143">
        <f>+I3798+(G3799-H3799)</f>
        <v/>
      </c>
      <c r="J3799" s="144" t="n">
        <v>46.5</v>
      </c>
      <c r="K3799" s="145" t="n"/>
      <c r="L3799" s="140">
        <f>+H3799*J3799</f>
        <v/>
      </c>
      <c r="M3799" s="141">
        <f>SUM(M3798+K3799-L3799)</f>
        <v/>
      </c>
    </row>
    <row r="3800">
      <c r="A3800" s="20" t="n">
        <v>45867</v>
      </c>
      <c r="B3800" s="1" t="n">
        <v>1056</v>
      </c>
      <c r="C3800" s="2" t="inlineStr">
        <is>
          <t>SELİM İNŞAAT</t>
        </is>
      </c>
      <c r="D3800" s="1" t="inlineStr">
        <is>
          <t>34 GVZ 310</t>
        </is>
      </c>
      <c r="E3800" s="1" t="inlineStr">
        <is>
          <t>CELAL YÜZBAŞI</t>
        </is>
      </c>
      <c r="F3800" s="3" t="n">
        <v>209433</v>
      </c>
      <c r="G3800" s="143" t="n"/>
      <c r="H3800" s="143" t="n">
        <v>297</v>
      </c>
      <c r="I3800" s="143">
        <f>+I3799+(G3800-H3800)</f>
        <v/>
      </c>
      <c r="J3800" s="144" t="n">
        <v>46.5</v>
      </c>
      <c r="K3800" s="145" t="n"/>
      <c r="L3800" s="140">
        <f>+H3800*J3800</f>
        <v/>
      </c>
      <c r="M3800" s="141">
        <f>SUM(M3799+K3800-L3800)</f>
        <v/>
      </c>
    </row>
    <row r="3801">
      <c r="A3801" s="20" t="n">
        <v>45867</v>
      </c>
      <c r="B3801" s="1" t="n">
        <v>15371</v>
      </c>
      <c r="C3801" s="2" t="inlineStr">
        <is>
          <t>SELİM İNŞAAT</t>
        </is>
      </c>
      <c r="D3801" s="1" t="inlineStr">
        <is>
          <t>34 DTV 409</t>
        </is>
      </c>
      <c r="E3801" s="1" t="inlineStr">
        <is>
          <t>ONUR CANLI</t>
        </is>
      </c>
      <c r="F3801" s="3" t="n">
        <v>426881</v>
      </c>
      <c r="G3801" s="143" t="n"/>
      <c r="H3801" s="143" t="n">
        <v>392</v>
      </c>
      <c r="I3801" s="143">
        <f>+I3800+(G3801-H3801)</f>
        <v/>
      </c>
      <c r="J3801" s="144" t="n">
        <v>46.5</v>
      </c>
      <c r="K3801" s="145" t="n"/>
      <c r="L3801" s="140">
        <f>+H3801*J3801</f>
        <v/>
      </c>
      <c r="M3801" s="141">
        <f>SUM(M3800+K3801-L3801)</f>
        <v/>
      </c>
    </row>
    <row r="3802">
      <c r="A3802" s="20" t="n">
        <v>45867</v>
      </c>
      <c r="B3802" s="1" t="n">
        <v>764</v>
      </c>
      <c r="C3802" s="2" t="inlineStr">
        <is>
          <t>SELİM İNŞAAT</t>
        </is>
      </c>
      <c r="D3802" s="1" t="inlineStr">
        <is>
          <t>34 EDB 559</t>
        </is>
      </c>
      <c r="E3802" s="1" t="inlineStr">
        <is>
          <t>MUHAMMED BULUT</t>
        </is>
      </c>
      <c r="F3802" s="3" t="n">
        <v>333663</v>
      </c>
      <c r="G3802" s="143" t="n"/>
      <c r="H3802" s="143" t="n">
        <v>425</v>
      </c>
      <c r="I3802" s="143">
        <f>+I3801+(G3802-H3802)</f>
        <v/>
      </c>
      <c r="J3802" s="144" t="n">
        <v>46.5</v>
      </c>
      <c r="K3802" s="145" t="n"/>
      <c r="L3802" s="140">
        <f>+H3802*J3802</f>
        <v/>
      </c>
      <c r="M3802" s="141">
        <f>SUM(M3801+K3802-L3802)</f>
        <v/>
      </c>
    </row>
    <row r="3803">
      <c r="A3803" s="20" t="n">
        <v>45867</v>
      </c>
      <c r="B3803" s="1" t="n">
        <v>15977</v>
      </c>
      <c r="C3803" s="2" t="inlineStr">
        <is>
          <t>SELİM İNŞAAT</t>
        </is>
      </c>
      <c r="D3803" s="1" t="inlineStr">
        <is>
          <t>34 FBR 781</t>
        </is>
      </c>
      <c r="E3803" s="1" t="inlineStr">
        <is>
          <t>MEVLÜT POLAT</t>
        </is>
      </c>
      <c r="F3803" s="3" t="n">
        <v>316709</v>
      </c>
      <c r="G3803" s="143" t="n"/>
      <c r="H3803" s="143" t="n">
        <v>310</v>
      </c>
      <c r="I3803" s="143">
        <f>+I3802+(G3803-H3803)</f>
        <v/>
      </c>
      <c r="J3803" s="144" t="n">
        <v>46.5</v>
      </c>
      <c r="K3803" s="145" t="n"/>
      <c r="L3803" s="140">
        <f>+H3803*J3803</f>
        <v/>
      </c>
      <c r="M3803" s="141">
        <f>SUM(M3802+K3803-L3803)</f>
        <v/>
      </c>
    </row>
    <row r="3804">
      <c r="A3804" s="20" t="n">
        <v>45867</v>
      </c>
      <c r="B3804" s="1" t="n">
        <v>15268</v>
      </c>
      <c r="C3804" s="2" t="inlineStr">
        <is>
          <t>SELİM İNŞAAT</t>
        </is>
      </c>
      <c r="D3804" s="1" t="inlineStr">
        <is>
          <t>34 DTV 447</t>
        </is>
      </c>
      <c r="E3804" s="1" t="inlineStr">
        <is>
          <t>EBUBEKİR KOLDAŞ</t>
        </is>
      </c>
      <c r="F3804" s="3" t="n">
        <v>438094</v>
      </c>
      <c r="G3804" s="143" t="n"/>
      <c r="H3804" s="143" t="n">
        <v>437</v>
      </c>
      <c r="I3804" s="143">
        <f>+I3803+(G3804-H3804)</f>
        <v/>
      </c>
      <c r="J3804" s="144" t="n">
        <v>46.5</v>
      </c>
      <c r="K3804" s="145" t="n"/>
      <c r="L3804" s="140">
        <f>+H3804*J3804</f>
        <v/>
      </c>
      <c r="M3804" s="141">
        <f>SUM(M3803+K3804-L3804)</f>
        <v/>
      </c>
    </row>
    <row r="3805">
      <c r="A3805" s="20" t="n">
        <v>45867</v>
      </c>
      <c r="B3805" s="1" t="n">
        <v>15040</v>
      </c>
      <c r="C3805" s="2" t="inlineStr">
        <is>
          <t>SELİM İNŞAAT</t>
        </is>
      </c>
      <c r="D3805" s="1" t="inlineStr">
        <is>
          <t>34 GVZ 199</t>
        </is>
      </c>
      <c r="E3805" s="1" t="inlineStr">
        <is>
          <t>VAHDET GÜRLER</t>
        </is>
      </c>
      <c r="F3805" s="3" t="n">
        <v>192477</v>
      </c>
      <c r="G3805" s="143" t="n"/>
      <c r="H3805" s="143" t="n">
        <v>312</v>
      </c>
      <c r="I3805" s="143">
        <f>+I3804+(G3805-H3805)</f>
        <v/>
      </c>
      <c r="J3805" s="144" t="n">
        <v>46.5</v>
      </c>
      <c r="K3805" s="145" t="n"/>
      <c r="L3805" s="140">
        <f>+H3805*J3805</f>
        <v/>
      </c>
      <c r="M3805" s="141">
        <f>SUM(M3804+K3805-L3805)</f>
        <v/>
      </c>
    </row>
    <row r="3806">
      <c r="A3806" s="20" t="n">
        <v>45867</v>
      </c>
      <c r="B3806" s="1" t="n">
        <v>1503</v>
      </c>
      <c r="C3806" s="2" t="inlineStr">
        <is>
          <t>SELİM İNŞAAT</t>
        </is>
      </c>
      <c r="D3806" s="1" t="inlineStr">
        <is>
          <t>34 GUS 848</t>
        </is>
      </c>
      <c r="E3806" s="1" t="inlineStr">
        <is>
          <t>SERDAR BOZKURT</t>
        </is>
      </c>
      <c r="F3806" s="3" t="n">
        <v>200314</v>
      </c>
      <c r="G3806" s="143" t="n"/>
      <c r="H3806" s="143" t="n">
        <v>422</v>
      </c>
      <c r="I3806" s="143">
        <f>+I3805+(G3806-H3806)</f>
        <v/>
      </c>
      <c r="J3806" s="144" t="n">
        <v>46.5</v>
      </c>
      <c r="K3806" s="145" t="n"/>
      <c r="L3806" s="140">
        <f>+H3806*J3806</f>
        <v/>
      </c>
      <c r="M3806" s="141">
        <f>SUM(M3805+K3806-L3806)</f>
        <v/>
      </c>
    </row>
    <row r="3807">
      <c r="A3807" s="20" t="n">
        <v>45867</v>
      </c>
      <c r="B3807" s="1" t="n">
        <v>819</v>
      </c>
      <c r="C3807" s="2" t="inlineStr">
        <is>
          <t>SELİM İNŞAAT</t>
        </is>
      </c>
      <c r="D3807" s="1" t="inlineStr">
        <is>
          <t>34 FBR 705</t>
        </is>
      </c>
      <c r="E3807" s="1" t="inlineStr">
        <is>
          <t>MESUT GÜRLER</t>
        </is>
      </c>
      <c r="F3807" s="3" t="n">
        <v>327514</v>
      </c>
      <c r="G3807" s="143" t="n"/>
      <c r="H3807" s="143" t="n">
        <v>460</v>
      </c>
      <c r="I3807" s="143">
        <f>+I3806+(G3807-H3807)</f>
        <v/>
      </c>
      <c r="J3807" s="144" t="n">
        <v>46.5</v>
      </c>
      <c r="K3807" s="145" t="n"/>
      <c r="L3807" s="140">
        <f>+H3807*J3807</f>
        <v/>
      </c>
      <c r="M3807" s="141">
        <f>SUM(M3806+K3807-L3807)</f>
        <v/>
      </c>
    </row>
    <row r="3808">
      <c r="A3808" s="20" t="n">
        <v>45867</v>
      </c>
      <c r="B3808" s="1" t="n">
        <v>11243</v>
      </c>
      <c r="C3808" s="2" t="inlineStr">
        <is>
          <t>SELİM İNŞAAT</t>
        </is>
      </c>
      <c r="D3808" s="1" t="inlineStr">
        <is>
          <t>34 DSN 636</t>
        </is>
      </c>
      <c r="E3808" s="1" t="inlineStr">
        <is>
          <t>İLHAN YÜRÜK</t>
        </is>
      </c>
      <c r="F3808" s="3" t="n">
        <v>401525</v>
      </c>
      <c r="G3808" s="143" t="n"/>
      <c r="H3808" s="143" t="n">
        <v>410</v>
      </c>
      <c r="I3808" s="143">
        <f>+I3807+(G3808-H3808)</f>
        <v/>
      </c>
      <c r="J3808" s="144" t="n">
        <v>46.5</v>
      </c>
      <c r="K3808" s="145" t="n"/>
      <c r="L3808" s="140">
        <f>+H3808*J3808</f>
        <v/>
      </c>
      <c r="M3808" s="141">
        <f>SUM(M3807+K3808-L3808)</f>
        <v/>
      </c>
    </row>
    <row r="3809">
      <c r="A3809" s="20" t="n">
        <v>45867</v>
      </c>
      <c r="B3809" s="1" t="n">
        <v>14777</v>
      </c>
      <c r="C3809" s="2" t="inlineStr">
        <is>
          <t>SELİM İNŞAAT</t>
        </is>
      </c>
      <c r="D3809" s="1" t="inlineStr">
        <is>
          <t>34 GYZ 635</t>
        </is>
      </c>
      <c r="E3809" s="1" t="inlineStr">
        <is>
          <t>ENGİN DEMİR</t>
        </is>
      </c>
      <c r="F3809" s="3" t="n">
        <v>184742</v>
      </c>
      <c r="G3809" s="143" t="n"/>
      <c r="H3809" s="143" t="n">
        <v>348</v>
      </c>
      <c r="I3809" s="143">
        <f>+I3808+(G3809-H3809)</f>
        <v/>
      </c>
      <c r="J3809" s="144" t="n">
        <v>46.5</v>
      </c>
      <c r="K3809" s="145" t="n"/>
      <c r="L3809" s="140">
        <f>+H3809*J3809</f>
        <v/>
      </c>
      <c r="M3809" s="141">
        <f>SUM(M3808+K3809-L3809)</f>
        <v/>
      </c>
    </row>
    <row r="3810">
      <c r="A3810" s="20" t="n">
        <v>45867</v>
      </c>
      <c r="B3810" s="1" t="n">
        <v>658</v>
      </c>
      <c r="C3810" s="2" t="inlineStr">
        <is>
          <t>SELİM İNŞAAT</t>
        </is>
      </c>
      <c r="D3810" s="1" t="inlineStr">
        <is>
          <t>34 DTV 352</t>
        </is>
      </c>
      <c r="E3810" s="1" t="inlineStr">
        <is>
          <t>AHMET DENİZ</t>
        </is>
      </c>
      <c r="F3810" s="3" t="n">
        <v>439378</v>
      </c>
      <c r="G3810" s="143" t="n"/>
      <c r="H3810" s="143" t="n">
        <v>373</v>
      </c>
      <c r="I3810" s="143">
        <f>+I3809+(G3810-H3810)</f>
        <v/>
      </c>
      <c r="J3810" s="144" t="n">
        <v>46.5</v>
      </c>
      <c r="K3810" s="145" t="n"/>
      <c r="L3810" s="140">
        <f>+H3810*J3810</f>
        <v/>
      </c>
      <c r="M3810" s="141">
        <f>SUM(M3809+K3810-L3810)</f>
        <v/>
      </c>
    </row>
    <row r="3811">
      <c r="A3811" s="20" t="n">
        <v>45867</v>
      </c>
      <c r="B3811" s="1" t="n">
        <v>568</v>
      </c>
      <c r="C3811" s="2" t="inlineStr">
        <is>
          <t>SELİM İNŞAAT</t>
        </is>
      </c>
      <c r="D3811" s="1" t="inlineStr">
        <is>
          <t>34 EDB 922</t>
        </is>
      </c>
      <c r="E3811" s="1" t="inlineStr">
        <is>
          <t>AHMET TOPÇU</t>
        </is>
      </c>
      <c r="F3811" s="3" t="n">
        <v>374166</v>
      </c>
      <c r="G3811" s="143" t="n"/>
      <c r="H3811" s="143" t="n">
        <v>346</v>
      </c>
      <c r="I3811" s="143">
        <f>+I3810+(G3811-H3811)</f>
        <v/>
      </c>
      <c r="J3811" s="144" t="n">
        <v>46.5</v>
      </c>
      <c r="K3811" s="145" t="n"/>
      <c r="L3811" s="140">
        <f>+H3811*J3811</f>
        <v/>
      </c>
      <c r="M3811" s="141">
        <f>SUM(M3810+K3811-L3811)</f>
        <v/>
      </c>
    </row>
    <row r="3812">
      <c r="A3812" s="20" t="n">
        <v>45867</v>
      </c>
      <c r="B3812" s="1" t="n">
        <v>1973</v>
      </c>
      <c r="C3812" s="2" t="inlineStr">
        <is>
          <t>MEGA VALIK</t>
        </is>
      </c>
      <c r="D3812" s="1" t="inlineStr">
        <is>
          <t>SM 370</t>
        </is>
      </c>
      <c r="E3812" s="1" t="inlineStr">
        <is>
          <t>TEKİN ŞEYLAN</t>
        </is>
      </c>
      <c r="F3812" s="3" t="n"/>
      <c r="G3812" s="143" t="n"/>
      <c r="H3812" s="143" t="n">
        <v>388</v>
      </c>
      <c r="I3812" s="143">
        <f>+I3811+(G3812-H3812)</f>
        <v/>
      </c>
      <c r="J3812" s="144" t="n">
        <v>46.5</v>
      </c>
      <c r="K3812" s="145" t="n"/>
      <c r="L3812" s="140">
        <f>+H3812*J3812</f>
        <v/>
      </c>
      <c r="M3812" s="141">
        <f>SUM(M3811+K3812-L3812)</f>
        <v/>
      </c>
    </row>
    <row r="3813">
      <c r="A3813" s="20" t="n">
        <v>45867</v>
      </c>
      <c r="B3813" s="1" t="n">
        <v>1974</v>
      </c>
      <c r="C3813" s="2" t="inlineStr">
        <is>
          <t>MEGA VALIK</t>
        </is>
      </c>
      <c r="D3813" s="1" t="inlineStr">
        <is>
          <t>SM 300</t>
        </is>
      </c>
      <c r="E3813" s="1" t="inlineStr">
        <is>
          <t>TURGUT SANCAK</t>
        </is>
      </c>
      <c r="F3813" s="3" t="n"/>
      <c r="G3813" s="143" t="n"/>
      <c r="H3813" s="143" t="n">
        <v>276</v>
      </c>
      <c r="I3813" s="143">
        <f>+I3812+(G3813-H3813)</f>
        <v/>
      </c>
      <c r="J3813" s="144" t="n">
        <v>46.5</v>
      </c>
      <c r="K3813" s="145" t="n"/>
      <c r="L3813" s="140">
        <f>+H3813*J3813</f>
        <v/>
      </c>
      <c r="M3813" s="141">
        <f>SUM(M3812+K3813-L3813)</f>
        <v/>
      </c>
    </row>
    <row r="3814">
      <c r="A3814" s="20" t="n">
        <v>45867</v>
      </c>
      <c r="B3814" s="21" t="n">
        <v>1975</v>
      </c>
      <c r="C3814" s="22" t="inlineStr">
        <is>
          <t>EVKUR</t>
        </is>
      </c>
      <c r="D3814" s="21" t="inlineStr">
        <is>
          <t>FOKLİFT</t>
        </is>
      </c>
      <c r="E3814" s="21" t="inlineStr">
        <is>
          <t>FAHRİ KALFA</t>
        </is>
      </c>
      <c r="F3814" s="23" t="n"/>
      <c r="G3814" s="138" t="n"/>
      <c r="H3814" s="138" t="n">
        <v>23</v>
      </c>
      <c r="I3814" s="138">
        <f>+I3813+(G3814-H3814)</f>
        <v/>
      </c>
      <c r="J3814" s="139" t="n">
        <v>46.5</v>
      </c>
      <c r="K3814" s="140" t="n"/>
      <c r="L3814" s="140">
        <f>+H3814*J3814</f>
        <v/>
      </c>
      <c r="M3814" s="141">
        <f>SUM(M3813+K3814-L3814)</f>
        <v/>
      </c>
    </row>
    <row r="3815">
      <c r="A3815" s="20" t="n">
        <v>45867</v>
      </c>
      <c r="B3815" s="1" t="n">
        <v>256</v>
      </c>
      <c r="C3815" s="2" t="inlineStr">
        <is>
          <t>SELİM İNŞAAT</t>
        </is>
      </c>
      <c r="D3815" s="1" t="inlineStr">
        <is>
          <t>34 GER 445</t>
        </is>
      </c>
      <c r="E3815" s="1" t="inlineStr">
        <is>
          <t>HASAN BAYCAN</t>
        </is>
      </c>
      <c r="F3815" s="3" t="n">
        <v>47052</v>
      </c>
      <c r="G3815" s="143" t="n"/>
      <c r="H3815" s="143" t="n">
        <v>240</v>
      </c>
      <c r="I3815" s="143">
        <f>+I3814+(G3815-H3815)</f>
        <v/>
      </c>
      <c r="J3815" s="144" t="n">
        <v>46.5</v>
      </c>
      <c r="K3815" s="145" t="n"/>
      <c r="L3815" s="140">
        <f>+H3815*J3815</f>
        <v/>
      </c>
      <c r="M3815" s="141">
        <f>SUM(M3814+K3815-L3815)</f>
        <v/>
      </c>
    </row>
    <row r="3816">
      <c r="A3816" s="20" t="n">
        <v>45867</v>
      </c>
      <c r="B3816" s="1" t="n">
        <v>462</v>
      </c>
      <c r="C3816" s="2" t="inlineStr">
        <is>
          <t>SELİM İNŞAAT</t>
        </is>
      </c>
      <c r="D3816" s="1" t="inlineStr">
        <is>
          <t>34 DKL 866</t>
        </is>
      </c>
      <c r="E3816" s="1" t="inlineStr">
        <is>
          <t>SELİM CAN ÖNVER</t>
        </is>
      </c>
      <c r="F3816" s="3" t="n">
        <v>70294</v>
      </c>
      <c r="G3816" s="143" t="n"/>
      <c r="H3816" s="143" t="n">
        <v>246</v>
      </c>
      <c r="I3816" s="143">
        <f>+I3815+(G3816-H3816)</f>
        <v/>
      </c>
      <c r="J3816" s="144" t="n">
        <v>46.5</v>
      </c>
      <c r="K3816" s="145" t="n"/>
      <c r="L3816" s="140">
        <f>+H3816*J3816</f>
        <v/>
      </c>
      <c r="M3816" s="141">
        <f>SUM(M3815+K3816-L3816)</f>
        <v/>
      </c>
    </row>
    <row r="3817">
      <c r="A3817" s="20" t="n">
        <v>45867</v>
      </c>
      <c r="B3817" s="1" t="n">
        <v>605</v>
      </c>
      <c r="C3817" s="2" t="inlineStr">
        <is>
          <t>SELİM İNŞAAT</t>
        </is>
      </c>
      <c r="D3817" s="1" t="inlineStr">
        <is>
          <t>34 AR 7743</t>
        </is>
      </c>
      <c r="E3817" s="1" t="inlineStr">
        <is>
          <t>MEHMET SELİM</t>
        </is>
      </c>
      <c r="F3817" s="3" t="n">
        <v>358817</v>
      </c>
      <c r="G3817" s="143" t="n"/>
      <c r="H3817" s="143" t="n">
        <v>59</v>
      </c>
      <c r="I3817" s="143">
        <f>+I3816+(G3817-H3817)</f>
        <v/>
      </c>
      <c r="J3817" s="144" t="n">
        <v>46.5</v>
      </c>
      <c r="K3817" s="145" t="n"/>
      <c r="L3817" s="140">
        <f>+H3817*J3817</f>
        <v/>
      </c>
      <c r="M3817" s="141">
        <f>SUM(M3816+K3817-L3817)</f>
        <v/>
      </c>
    </row>
    <row r="3818">
      <c r="A3818" s="20" t="n">
        <v>45867</v>
      </c>
      <c r="B3818" s="21" t="n">
        <v>11340</v>
      </c>
      <c r="C3818" s="22" t="inlineStr">
        <is>
          <t>AZGÜN YAPI</t>
        </is>
      </c>
      <c r="D3818" s="21" t="inlineStr">
        <is>
          <t>34 MKT 859</t>
        </is>
      </c>
      <c r="E3818" s="21" t="inlineStr">
        <is>
          <t>HASAN ALTUN</t>
        </is>
      </c>
      <c r="F3818" s="23" t="n"/>
      <c r="G3818" s="138" t="n"/>
      <c r="H3818" s="138" t="n">
        <v>355</v>
      </c>
      <c r="I3818" s="138">
        <f>+I3817+(G3818-H3818)</f>
        <v/>
      </c>
      <c r="J3818" s="139" t="n">
        <v>46.5</v>
      </c>
      <c r="K3818" s="140" t="n"/>
      <c r="L3818" s="140">
        <f>+H3818*J3818</f>
        <v/>
      </c>
      <c r="M3818" s="141">
        <f>SUM(M3817+K3818-L3818)</f>
        <v/>
      </c>
    </row>
    <row r="3819">
      <c r="A3819" s="20" t="n">
        <v>45867</v>
      </c>
      <c r="B3819" s="21" t="n">
        <v>15684</v>
      </c>
      <c r="C3819" s="22" t="inlineStr">
        <is>
          <t>METİN ERYİĞİT</t>
        </is>
      </c>
      <c r="D3819" s="21" t="inlineStr">
        <is>
          <t>34 EGR 814</t>
        </is>
      </c>
      <c r="E3819" s="21" t="inlineStr">
        <is>
          <t>GÜRAY KOYUNCU</t>
        </is>
      </c>
      <c r="F3819" s="23" t="n">
        <v>555362</v>
      </c>
      <c r="G3819" s="138" t="n"/>
      <c r="H3819" s="138" t="n">
        <v>247</v>
      </c>
      <c r="I3819" s="138">
        <f>+I3818+(G3819-H3819)</f>
        <v/>
      </c>
      <c r="J3819" s="139" t="n">
        <v>46.5</v>
      </c>
      <c r="K3819" s="140" t="n"/>
      <c r="L3819" s="140">
        <f>+H3819*J3819</f>
        <v/>
      </c>
      <c r="M3819" s="141">
        <f>SUM(M3818+K3819-L3819)</f>
        <v/>
      </c>
    </row>
    <row r="3820">
      <c r="A3820" s="20" t="n">
        <v>45867</v>
      </c>
      <c r="B3820" s="21" t="n">
        <v>15629</v>
      </c>
      <c r="C3820" s="22" t="inlineStr">
        <is>
          <t>METİN ERYİĞİT</t>
        </is>
      </c>
      <c r="D3820" s="21" t="inlineStr">
        <is>
          <t>34 EGS 013</t>
        </is>
      </c>
      <c r="E3820" s="21" t="inlineStr">
        <is>
          <t xml:space="preserve">UĞUR DUMAN </t>
        </is>
      </c>
      <c r="F3820" s="23" t="n">
        <v>501510</v>
      </c>
      <c r="G3820" s="138" t="n"/>
      <c r="H3820" s="138" t="n">
        <v>403</v>
      </c>
      <c r="I3820" s="138">
        <f>+I3819+(G3820-H3820)</f>
        <v/>
      </c>
      <c r="J3820" s="139" t="n">
        <v>46.5</v>
      </c>
      <c r="K3820" s="140" t="n"/>
      <c r="L3820" s="140">
        <f>+H3820*J3820</f>
        <v/>
      </c>
      <c r="M3820" s="141">
        <f>SUM(M3819+K3820-L3820)</f>
        <v/>
      </c>
    </row>
    <row r="3821">
      <c r="A3821" s="20" t="n">
        <v>45867</v>
      </c>
      <c r="B3821" s="1" t="n">
        <v>1602</v>
      </c>
      <c r="C3821" s="2" t="inlineStr">
        <is>
          <t>SELİM İNŞAAT</t>
        </is>
      </c>
      <c r="D3821" s="1" t="inlineStr">
        <is>
          <t>34 VF 2620</t>
        </is>
      </c>
      <c r="E3821" s="1" t="inlineStr">
        <is>
          <t>RECEP SELİM</t>
        </is>
      </c>
      <c r="F3821" s="3" t="n">
        <v>190621</v>
      </c>
      <c r="G3821" s="143" t="n"/>
      <c r="H3821" s="143" t="n">
        <v>85</v>
      </c>
      <c r="I3821" s="143">
        <f>+I3820+(G3821-H3821)</f>
        <v/>
      </c>
      <c r="J3821" s="144" t="n">
        <v>46.5</v>
      </c>
      <c r="K3821" s="145" t="n"/>
      <c r="L3821" s="140">
        <f>+H3821*J3821</f>
        <v/>
      </c>
      <c r="M3821" s="141">
        <f>SUM(M3820+K3821-L3821)</f>
        <v/>
      </c>
    </row>
    <row r="3822">
      <c r="A3822" s="20" t="n">
        <v>45867</v>
      </c>
      <c r="B3822" s="1" t="n">
        <v>206</v>
      </c>
      <c r="C3822" s="2" t="inlineStr">
        <is>
          <t>SELİM İNŞAAT</t>
        </is>
      </c>
      <c r="D3822" s="1" t="inlineStr">
        <is>
          <t>34 JGR 15</t>
        </is>
      </c>
      <c r="E3822" s="1" t="inlineStr">
        <is>
          <t>ENGİN DEMİR</t>
        </is>
      </c>
      <c r="F3822" s="3" t="n">
        <v>312954</v>
      </c>
      <c r="G3822" s="143" t="n"/>
      <c r="H3822" s="143" t="n">
        <v>80</v>
      </c>
      <c r="I3822" s="143">
        <f>+I3821+(G3822-H3822)</f>
        <v/>
      </c>
      <c r="J3822" s="144" t="n">
        <v>46.5</v>
      </c>
      <c r="K3822" s="145" t="n"/>
      <c r="L3822" s="140">
        <f>+H3822*J3822</f>
        <v/>
      </c>
      <c r="M3822" s="141">
        <f>SUM(M3821+K3822-L3822)</f>
        <v/>
      </c>
    </row>
    <row r="3823">
      <c r="A3823" s="20" t="n">
        <v>45867</v>
      </c>
      <c r="B3823" s="1" t="n">
        <v>166</v>
      </c>
      <c r="C3823" s="2" t="inlineStr">
        <is>
          <t>SELİM İNŞAAT</t>
        </is>
      </c>
      <c r="D3823" s="1" t="inlineStr">
        <is>
          <t>34 TG 7869</t>
        </is>
      </c>
      <c r="E3823" s="1" t="inlineStr">
        <is>
          <t>GÖRKEM KARAYEL</t>
        </is>
      </c>
      <c r="F3823" s="3" t="n">
        <v>186233</v>
      </c>
      <c r="G3823" s="143" t="n"/>
      <c r="H3823" s="143" t="n">
        <v>276</v>
      </c>
      <c r="I3823" s="143">
        <f>+I3822+(G3823-H3823)</f>
        <v/>
      </c>
      <c r="J3823" s="144" t="n">
        <v>46.5</v>
      </c>
      <c r="K3823" s="145" t="n"/>
      <c r="L3823" s="140">
        <f>+H3823*J3823</f>
        <v/>
      </c>
      <c r="M3823" s="141">
        <f>SUM(M3822+K3823-L3823)</f>
        <v/>
      </c>
    </row>
    <row r="3824">
      <c r="A3824" s="20" t="n">
        <v>45868</v>
      </c>
      <c r="B3824" s="1" t="n">
        <v>11165</v>
      </c>
      <c r="C3824" s="2" t="inlineStr">
        <is>
          <t>SELİM İNŞAAT</t>
        </is>
      </c>
      <c r="D3824" s="21" t="inlineStr">
        <is>
          <t>34 HZ 1663</t>
        </is>
      </c>
      <c r="E3824" s="1" t="inlineStr">
        <is>
          <t>FATİH ÖZBOLAT</t>
        </is>
      </c>
      <c r="F3824" s="3" t="n">
        <v>523428</v>
      </c>
      <c r="G3824" s="143" t="n"/>
      <c r="H3824" s="143" t="n">
        <v>550</v>
      </c>
      <c r="I3824" s="143">
        <f>+I3823+(G3824-H3824)</f>
        <v/>
      </c>
      <c r="J3824" s="144" t="n">
        <v>46.5</v>
      </c>
      <c r="K3824" s="145" t="n"/>
      <c r="L3824" s="140">
        <f>+H3824*J3824</f>
        <v/>
      </c>
      <c r="M3824" s="141">
        <f>SUM(M3823+K3824-L3824)</f>
        <v/>
      </c>
    </row>
    <row r="3825">
      <c r="A3825" s="20" t="n">
        <v>45868</v>
      </c>
      <c r="B3825" s="1" t="n">
        <v>14452</v>
      </c>
      <c r="C3825" s="2" t="inlineStr">
        <is>
          <t>SELİM İNŞAAT</t>
        </is>
      </c>
      <c r="D3825" s="1" t="inlineStr">
        <is>
          <t>34 EGR 737</t>
        </is>
      </c>
      <c r="E3825" s="1" t="inlineStr">
        <is>
          <t>CEM MUHTAR</t>
        </is>
      </c>
      <c r="F3825" s="3" t="n">
        <v>426303</v>
      </c>
      <c r="G3825" s="143" t="n"/>
      <c r="H3825" s="143" t="n">
        <v>395</v>
      </c>
      <c r="I3825" s="143">
        <f>+I3824+(G3825-H3825)</f>
        <v/>
      </c>
      <c r="J3825" s="144" t="n">
        <v>46.5</v>
      </c>
      <c r="K3825" s="145" t="n"/>
      <c r="L3825" s="140">
        <f>+H3825*J3825</f>
        <v/>
      </c>
      <c r="M3825" s="141">
        <f>SUM(M3824+K3825-L3825)</f>
        <v/>
      </c>
    </row>
    <row r="3826">
      <c r="A3826" s="20" t="n">
        <v>45868</v>
      </c>
      <c r="B3826" s="1" t="n">
        <v>15222</v>
      </c>
      <c r="C3826" s="2" t="inlineStr">
        <is>
          <t>SELİM İNŞAAT</t>
        </is>
      </c>
      <c r="D3826" s="1" t="inlineStr">
        <is>
          <t>34 DSN 565</t>
        </is>
      </c>
      <c r="E3826" s="1" t="inlineStr">
        <is>
          <t>HÜSEYİN DENİZ</t>
        </is>
      </c>
      <c r="F3826" s="3" t="n">
        <v>410110</v>
      </c>
      <c r="G3826" s="143" t="n"/>
      <c r="H3826" s="143" t="n">
        <v>429</v>
      </c>
      <c r="I3826" s="143">
        <f>+I3825+(G3826-H3826)</f>
        <v/>
      </c>
      <c r="J3826" s="144" t="n">
        <v>46.5</v>
      </c>
      <c r="K3826" s="145" t="n"/>
      <c r="L3826" s="140">
        <f>+H3826*J3826</f>
        <v/>
      </c>
      <c r="M3826" s="141">
        <f>SUM(M3825+K3826-L3826)</f>
        <v/>
      </c>
    </row>
    <row r="3827">
      <c r="A3827" s="20" t="n">
        <v>45868</v>
      </c>
      <c r="B3827" s="1" t="n">
        <v>1257</v>
      </c>
      <c r="C3827" s="2" t="inlineStr">
        <is>
          <t>SELİM İNŞAAT</t>
        </is>
      </c>
      <c r="D3827" s="1" t="inlineStr">
        <is>
          <t>34 DSN 621</t>
        </is>
      </c>
      <c r="E3827" s="1" t="inlineStr">
        <is>
          <t>MUSTAFA KAYA</t>
        </is>
      </c>
      <c r="F3827" s="3" t="n">
        <v>422328</v>
      </c>
      <c r="G3827" s="143" t="n"/>
      <c r="H3827" s="143" t="n">
        <v>446</v>
      </c>
      <c r="I3827" s="143">
        <f>+I3826+(G3827-H3827)</f>
        <v/>
      </c>
      <c r="J3827" s="144" t="n">
        <v>46.5</v>
      </c>
      <c r="K3827" s="145" t="n"/>
      <c r="L3827" s="140">
        <f>+H3827*J3827</f>
        <v/>
      </c>
      <c r="M3827" s="141">
        <f>SUM(M3826+K3827-L3827)</f>
        <v/>
      </c>
    </row>
    <row r="3828">
      <c r="A3828" s="20" t="n">
        <v>45868</v>
      </c>
      <c r="B3828" s="1" t="n">
        <v>964</v>
      </c>
      <c r="C3828" s="2" t="inlineStr">
        <is>
          <t>SELİM İNŞAAT</t>
        </is>
      </c>
      <c r="D3828" s="1" t="inlineStr">
        <is>
          <t>34 FBR 742</t>
        </is>
      </c>
      <c r="E3828" s="1" t="inlineStr">
        <is>
          <t>MİKAİL BAYILMAZ</t>
        </is>
      </c>
      <c r="F3828" s="3" t="n">
        <v>328304</v>
      </c>
      <c r="G3828" s="143" t="n"/>
      <c r="H3828" s="143" t="n">
        <v>292</v>
      </c>
      <c r="I3828" s="143">
        <f>+I3827+(G3828-H3828)</f>
        <v/>
      </c>
      <c r="J3828" s="144" t="n">
        <v>46.5</v>
      </c>
      <c r="K3828" s="145" t="n"/>
      <c r="L3828" s="140">
        <f>+H3828*J3828</f>
        <v/>
      </c>
      <c r="M3828" s="141">
        <f>SUM(M3827+K3828-L3828)</f>
        <v/>
      </c>
    </row>
    <row r="3829">
      <c r="A3829" s="20" t="n">
        <v>45868</v>
      </c>
      <c r="B3829" s="1" t="n">
        <v>15534</v>
      </c>
      <c r="C3829" s="2" t="inlineStr">
        <is>
          <t>SELİM İNŞAAT</t>
        </is>
      </c>
      <c r="D3829" s="1" t="inlineStr">
        <is>
          <t>34 EDC 086</t>
        </is>
      </c>
      <c r="E3829" s="1" t="inlineStr">
        <is>
          <t>ÖMER AĞAYAR</t>
        </is>
      </c>
      <c r="F3829" s="3" t="n">
        <v>337500</v>
      </c>
      <c r="G3829" s="143" t="n"/>
      <c r="H3829" s="143" t="n">
        <v>272</v>
      </c>
      <c r="I3829" s="143">
        <f>+I3828+(G3829-H3829)</f>
        <v/>
      </c>
      <c r="J3829" s="144" t="n">
        <v>46.5</v>
      </c>
      <c r="K3829" s="145" t="n"/>
      <c r="L3829" s="140">
        <f>+H3829*J3829</f>
        <v/>
      </c>
      <c r="M3829" s="141">
        <f>SUM(M3828+K3829-L3829)</f>
        <v/>
      </c>
    </row>
    <row r="3830">
      <c r="A3830" s="20" t="n">
        <v>45868</v>
      </c>
      <c r="B3830" s="1" t="n">
        <v>857</v>
      </c>
      <c r="C3830" s="2" t="inlineStr">
        <is>
          <t>SELİM İNŞAAT</t>
        </is>
      </c>
      <c r="D3830" s="1" t="inlineStr">
        <is>
          <t>34 FSG 229</t>
        </is>
      </c>
      <c r="E3830" s="1" t="inlineStr">
        <is>
          <t>SİNAN TANRIVERDİ</t>
        </is>
      </c>
      <c r="F3830" s="3" t="n">
        <v>267857</v>
      </c>
      <c r="G3830" s="143" t="n"/>
      <c r="H3830" s="143" t="n">
        <v>449</v>
      </c>
      <c r="I3830" s="143">
        <f>+I3829+(G3830-H3830)</f>
        <v/>
      </c>
      <c r="J3830" s="144" t="n">
        <v>46.5</v>
      </c>
      <c r="K3830" s="145" t="n"/>
      <c r="L3830" s="140">
        <f>+H3830*J3830</f>
        <v/>
      </c>
      <c r="M3830" s="141">
        <f>SUM(M3829+K3830-L3830)</f>
        <v/>
      </c>
    </row>
    <row r="3831">
      <c r="A3831" s="20" t="n">
        <v>45868</v>
      </c>
      <c r="B3831" s="1" t="n">
        <v>15877</v>
      </c>
      <c r="C3831" s="2" t="inlineStr">
        <is>
          <t>SELİM İNŞAAT</t>
        </is>
      </c>
      <c r="D3831" s="1" t="inlineStr">
        <is>
          <t>34 EDB 754</t>
        </is>
      </c>
      <c r="E3831" s="1" t="inlineStr">
        <is>
          <t>EMİN PARLAKKILIÇ</t>
        </is>
      </c>
      <c r="F3831" s="3" t="n">
        <v>334582</v>
      </c>
      <c r="G3831" s="143" t="n"/>
      <c r="H3831" s="143" t="n">
        <v>294</v>
      </c>
      <c r="I3831" s="143">
        <f>+I3830+(G3831-H3831)</f>
        <v/>
      </c>
      <c r="J3831" s="144" t="n">
        <v>46.5</v>
      </c>
      <c r="K3831" s="145" t="n"/>
      <c r="L3831" s="140">
        <f>+H3831*J3831</f>
        <v/>
      </c>
      <c r="M3831" s="141">
        <f>SUM(M3830+K3831-L3831)</f>
        <v/>
      </c>
    </row>
    <row r="3832">
      <c r="A3832" s="20" t="n">
        <v>45868</v>
      </c>
      <c r="B3832" s="1" t="n">
        <v>119</v>
      </c>
      <c r="C3832" s="2" t="inlineStr">
        <is>
          <t>SELİM İNŞAAT</t>
        </is>
      </c>
      <c r="D3832" s="1" t="inlineStr">
        <is>
          <t>34 FBR 771</t>
        </is>
      </c>
      <c r="E3832" s="1" t="inlineStr">
        <is>
          <t>HÜSEYİN AKÇİN</t>
        </is>
      </c>
      <c r="F3832" s="3" t="n">
        <v>331124</v>
      </c>
      <c r="G3832" s="143" t="n"/>
      <c r="H3832" s="143" t="n">
        <v>395</v>
      </c>
      <c r="I3832" s="143">
        <f>+I3831+(G3832-H3832)</f>
        <v/>
      </c>
      <c r="J3832" s="144" t="n">
        <v>46.5</v>
      </c>
      <c r="K3832" s="145" t="n"/>
      <c r="L3832" s="140">
        <f>+H3832*J3832</f>
        <v/>
      </c>
      <c r="M3832" s="141">
        <f>SUM(M3831+K3832-L3832)</f>
        <v/>
      </c>
    </row>
    <row r="3833">
      <c r="A3833" s="20" t="n">
        <v>45868</v>
      </c>
      <c r="B3833" s="1" t="n">
        <v>15585</v>
      </c>
      <c r="C3833" s="2" t="inlineStr">
        <is>
          <t>SELİM İNŞAAT</t>
        </is>
      </c>
      <c r="D3833" s="1" t="inlineStr">
        <is>
          <t>34 GVZ 745</t>
        </is>
      </c>
      <c r="E3833" s="1" t="inlineStr">
        <is>
          <t>MUHAMMED YİĞİT</t>
        </is>
      </c>
      <c r="F3833" s="3" t="n">
        <v>197617</v>
      </c>
      <c r="G3833" s="143" t="n"/>
      <c r="H3833" s="143" t="n">
        <v>391</v>
      </c>
      <c r="I3833" s="143">
        <f>+I3832+(G3833-H3833)</f>
        <v/>
      </c>
      <c r="J3833" s="144" t="n">
        <v>46.5</v>
      </c>
      <c r="K3833" s="145" t="n"/>
      <c r="L3833" s="140">
        <f>+H3833*J3833</f>
        <v/>
      </c>
      <c r="M3833" s="141">
        <f>SUM(M3832+K3833-L3833)</f>
        <v/>
      </c>
    </row>
    <row r="3834">
      <c r="A3834" s="20" t="n">
        <v>45868</v>
      </c>
      <c r="B3834" s="1" t="n">
        <v>1007</v>
      </c>
      <c r="C3834" s="2" t="inlineStr">
        <is>
          <t>SELİM İNŞAAT</t>
        </is>
      </c>
      <c r="D3834" s="1" t="inlineStr">
        <is>
          <t>34 DHH 668</t>
        </is>
      </c>
      <c r="E3834" s="1" t="inlineStr">
        <is>
          <t>ADNAN KOÇ</t>
        </is>
      </c>
      <c r="F3834" s="3" t="n">
        <v>393470</v>
      </c>
      <c r="G3834" s="143" t="n"/>
      <c r="H3834" s="143" t="n">
        <v>246</v>
      </c>
      <c r="I3834" s="143">
        <f>+I3833+(G3834-H3834)</f>
        <v/>
      </c>
      <c r="J3834" s="144" t="n">
        <v>46.5</v>
      </c>
      <c r="K3834" s="145" t="n"/>
      <c r="L3834" s="140">
        <f>+H3834*J3834</f>
        <v/>
      </c>
      <c r="M3834" s="141">
        <f>SUM(M3833+K3834-L3834)</f>
        <v/>
      </c>
    </row>
    <row r="3835">
      <c r="A3835" s="20" t="n">
        <v>45868</v>
      </c>
      <c r="B3835" s="1" t="n">
        <v>707</v>
      </c>
      <c r="C3835" s="2" t="inlineStr">
        <is>
          <t>SELİM İNŞAAT</t>
        </is>
      </c>
      <c r="D3835" s="1" t="inlineStr">
        <is>
          <t>34 EDB 659</t>
        </is>
      </c>
      <c r="E3835" s="1" t="inlineStr">
        <is>
          <t>MEHMET SAİT ANIK</t>
        </is>
      </c>
      <c r="F3835" s="3" t="n">
        <v>352122</v>
      </c>
      <c r="G3835" s="143" t="n"/>
      <c r="H3835" s="143" t="n">
        <v>271</v>
      </c>
      <c r="I3835" s="143">
        <f>+I3834+(G3835-H3835)</f>
        <v/>
      </c>
      <c r="J3835" s="144" t="n">
        <v>46.5</v>
      </c>
      <c r="K3835" s="145" t="n"/>
      <c r="L3835" s="140">
        <f>+H3835*J3835</f>
        <v/>
      </c>
      <c r="M3835" s="141">
        <f>SUM(M3834+K3835-L3835)</f>
        <v/>
      </c>
    </row>
    <row r="3836">
      <c r="A3836" s="20" t="n">
        <v>45868</v>
      </c>
      <c r="B3836" s="1" t="n">
        <v>21643</v>
      </c>
      <c r="C3836" s="2" t="inlineStr">
        <is>
          <t>SELİM İNŞAAT</t>
        </is>
      </c>
      <c r="D3836" s="1" t="inlineStr">
        <is>
          <t>34 DHC 467</t>
        </is>
      </c>
      <c r="E3836" s="1" t="inlineStr">
        <is>
          <t>HÜSEYİN DENİZ</t>
        </is>
      </c>
      <c r="F3836" s="3" t="n">
        <v>413504</v>
      </c>
      <c r="G3836" s="143" t="n"/>
      <c r="H3836" s="143" t="n">
        <v>165</v>
      </c>
      <c r="I3836" s="143">
        <f>+I3835+(G3836-H3836)</f>
        <v/>
      </c>
      <c r="J3836" s="144" t="n">
        <v>46.5</v>
      </c>
      <c r="K3836" s="145" t="n"/>
      <c r="L3836" s="140">
        <f>+H3836*J3836</f>
        <v/>
      </c>
      <c r="M3836" s="141">
        <f>SUM(M3835+K3836-L3836)</f>
        <v/>
      </c>
    </row>
    <row r="3837">
      <c r="A3837" s="20" t="n">
        <v>45868</v>
      </c>
      <c r="B3837" s="1" t="n">
        <v>1057</v>
      </c>
      <c r="C3837" s="2" t="inlineStr">
        <is>
          <t>SELİM İNŞAAT</t>
        </is>
      </c>
      <c r="D3837" s="1" t="inlineStr">
        <is>
          <t>34 GVZ 310</t>
        </is>
      </c>
      <c r="E3837" s="1" t="inlineStr">
        <is>
          <t>CELAL YÜZBAŞI</t>
        </is>
      </c>
      <c r="F3837" s="3" t="n">
        <v>210008</v>
      </c>
      <c r="G3837" s="143" t="n"/>
      <c r="H3837" s="143" t="n">
        <v>333</v>
      </c>
      <c r="I3837" s="143">
        <f>+I3836+(G3837-H3837)</f>
        <v/>
      </c>
      <c r="J3837" s="144" t="n">
        <v>46.5</v>
      </c>
      <c r="K3837" s="145" t="n"/>
      <c r="L3837" s="140">
        <f>+H3837*J3837</f>
        <v/>
      </c>
      <c r="M3837" s="141">
        <f>SUM(M3836+K3837-L3837)</f>
        <v/>
      </c>
    </row>
    <row r="3838">
      <c r="A3838" s="20" t="n">
        <v>45868</v>
      </c>
      <c r="B3838" s="1" t="n">
        <v>14152</v>
      </c>
      <c r="C3838" s="2" t="inlineStr">
        <is>
          <t>SELİM İNŞAAT</t>
        </is>
      </c>
      <c r="D3838" s="1" t="inlineStr">
        <is>
          <t>34 DSN 536</t>
        </is>
      </c>
      <c r="E3838" s="1" t="inlineStr">
        <is>
          <t>DURSUN ALİ GÜREK</t>
        </is>
      </c>
      <c r="F3838" s="3" t="n">
        <v>415765</v>
      </c>
      <c r="G3838" s="143" t="n"/>
      <c r="H3838" s="143" t="n">
        <v>263</v>
      </c>
      <c r="I3838" s="143">
        <f>+I3837+(G3838-H3838)</f>
        <v/>
      </c>
      <c r="J3838" s="144" t="n">
        <v>46.5</v>
      </c>
      <c r="K3838" s="145" t="n"/>
      <c r="L3838" s="140">
        <f>+H3838*J3838</f>
        <v/>
      </c>
      <c r="M3838" s="141">
        <f>SUM(M3837+K3838-L3838)</f>
        <v/>
      </c>
    </row>
    <row r="3839">
      <c r="A3839" s="20" t="n">
        <v>45868</v>
      </c>
      <c r="B3839" s="1" t="n">
        <v>820</v>
      </c>
      <c r="C3839" s="2" t="inlineStr">
        <is>
          <t>SELİM İNŞAAT</t>
        </is>
      </c>
      <c r="D3839" s="1" t="inlineStr">
        <is>
          <t>34 FBR 705</t>
        </is>
      </c>
      <c r="E3839" s="1" t="inlineStr">
        <is>
          <t>MESUT GÜRLER</t>
        </is>
      </c>
      <c r="F3839" s="3" t="n">
        <v>328375</v>
      </c>
      <c r="G3839" s="143" t="n"/>
      <c r="H3839" s="143" t="n">
        <v>447</v>
      </c>
      <c r="I3839" s="143">
        <f>+I3838+(G3839-H3839)</f>
        <v/>
      </c>
      <c r="J3839" s="144" t="n">
        <v>46.5</v>
      </c>
      <c r="K3839" s="145" t="n"/>
      <c r="L3839" s="140">
        <f>+H3839*J3839</f>
        <v/>
      </c>
      <c r="M3839" s="141">
        <f>SUM(M3838+K3839-L3839)</f>
        <v/>
      </c>
    </row>
    <row r="3840">
      <c r="A3840" s="20" t="n">
        <v>45868</v>
      </c>
      <c r="B3840" s="1" t="n">
        <v>14839</v>
      </c>
      <c r="C3840" s="2" t="inlineStr">
        <is>
          <t>SELİM İNŞAAT</t>
        </is>
      </c>
      <c r="D3840" s="1" t="inlineStr">
        <is>
          <t>34 GVZ 268</t>
        </is>
      </c>
      <c r="E3840" s="1" t="inlineStr">
        <is>
          <t xml:space="preserve">KERİM KARAMAN </t>
        </is>
      </c>
      <c r="F3840" s="3" t="n">
        <v>203781</v>
      </c>
      <c r="G3840" s="143" t="n"/>
      <c r="H3840" s="143" t="n">
        <v>394</v>
      </c>
      <c r="I3840" s="143">
        <f>+I3839+(G3840-H3840)</f>
        <v/>
      </c>
      <c r="J3840" s="144" t="n">
        <v>46.5</v>
      </c>
      <c r="K3840" s="145" t="n"/>
      <c r="L3840" s="140">
        <f>+H3840*J3840</f>
        <v/>
      </c>
      <c r="M3840" s="141">
        <f>SUM(M3839+K3840-L3840)</f>
        <v/>
      </c>
    </row>
    <row r="3841">
      <c r="A3841" s="20" t="n">
        <v>45868</v>
      </c>
      <c r="B3841" s="1" t="n">
        <v>1976</v>
      </c>
      <c r="C3841" s="2" t="inlineStr">
        <is>
          <t>EVKUR</t>
        </is>
      </c>
      <c r="D3841" s="1" t="inlineStr">
        <is>
          <t>SM 350</t>
        </is>
      </c>
      <c r="E3841" s="1" t="inlineStr">
        <is>
          <t>BAYRAM SANCAK</t>
        </is>
      </c>
      <c r="F3841" s="3" t="n"/>
      <c r="G3841" s="143" t="n"/>
      <c r="H3841" s="143" t="n">
        <v>516</v>
      </c>
      <c r="I3841" s="143">
        <f>+I3840+(G3841-H3841)</f>
        <v/>
      </c>
      <c r="J3841" s="144" t="n">
        <v>46.5</v>
      </c>
      <c r="K3841" s="145" t="n"/>
      <c r="L3841" s="140">
        <f>+H3841*J3841</f>
        <v/>
      </c>
      <c r="M3841" s="141">
        <f>SUM(M3840+K3841-L3841)</f>
        <v/>
      </c>
    </row>
    <row r="3842">
      <c r="A3842" s="20" t="n">
        <v>45868</v>
      </c>
      <c r="B3842" s="1" t="n">
        <v>1977</v>
      </c>
      <c r="C3842" s="2" t="inlineStr">
        <is>
          <t>EVKUR</t>
        </is>
      </c>
      <c r="D3842" s="1" t="inlineStr">
        <is>
          <t>KAVAZAKİ</t>
        </is>
      </c>
      <c r="E3842" s="1" t="inlineStr">
        <is>
          <t>RAMAZAN KAYA</t>
        </is>
      </c>
      <c r="F3842" s="3" t="n"/>
      <c r="G3842" s="143" t="n"/>
      <c r="H3842" s="143" t="n">
        <v>274</v>
      </c>
      <c r="I3842" s="143">
        <f>+I3841+(G3842-H3842)</f>
        <v/>
      </c>
      <c r="J3842" s="144" t="n">
        <v>46.5</v>
      </c>
      <c r="K3842" s="145" t="n"/>
      <c r="L3842" s="140">
        <f>+H3842*J3842</f>
        <v/>
      </c>
      <c r="M3842" s="141">
        <f>SUM(M3841+K3842-L3842)</f>
        <v/>
      </c>
    </row>
    <row r="3843">
      <c r="A3843" s="20" t="n">
        <v>45868</v>
      </c>
      <c r="B3843" s="1" t="n">
        <v>1978</v>
      </c>
      <c r="C3843" s="2" t="inlineStr">
        <is>
          <t>MEGA VALIK</t>
        </is>
      </c>
      <c r="D3843" s="1" t="inlineStr">
        <is>
          <t>SM 350</t>
        </is>
      </c>
      <c r="E3843" s="1" t="inlineStr">
        <is>
          <t>EMİRCAN ÖZTÜRK</t>
        </is>
      </c>
      <c r="F3843" s="3" t="n"/>
      <c r="G3843" s="143" t="n"/>
      <c r="H3843" s="143" t="n">
        <v>490</v>
      </c>
      <c r="I3843" s="143">
        <f>+I3842+(G3843-H3843)</f>
        <v/>
      </c>
      <c r="J3843" s="144" t="n">
        <v>46.5</v>
      </c>
      <c r="K3843" s="145" t="n"/>
      <c r="L3843" s="140">
        <f>+H3843*J3843</f>
        <v/>
      </c>
      <c r="M3843" s="141">
        <f>SUM(M3842+K3843-L3843)</f>
        <v/>
      </c>
    </row>
    <row r="3844">
      <c r="A3844" s="20" t="n">
        <v>45868</v>
      </c>
      <c r="B3844" s="1" t="n">
        <v>1979</v>
      </c>
      <c r="C3844" s="2" t="inlineStr">
        <is>
          <t>MEGA VALIK</t>
        </is>
      </c>
      <c r="D3844" s="1" t="inlineStr">
        <is>
          <t>SM 350</t>
        </is>
      </c>
      <c r="E3844" s="1" t="inlineStr">
        <is>
          <t>TEKİN ŞEYLAN</t>
        </is>
      </c>
      <c r="F3844" s="3" t="n"/>
      <c r="G3844" s="143" t="n"/>
      <c r="H3844" s="143" t="n">
        <v>313</v>
      </c>
      <c r="I3844" s="143">
        <f>+I3843+(G3844-H3844)</f>
        <v/>
      </c>
      <c r="J3844" s="144" t="n">
        <v>46.5</v>
      </c>
      <c r="K3844" s="145" t="n"/>
      <c r="L3844" s="140">
        <f>+H3844*J3844</f>
        <v/>
      </c>
      <c r="M3844" s="141">
        <f>SUM(M3843+K3844-L3844)</f>
        <v/>
      </c>
    </row>
    <row r="3845">
      <c r="A3845" s="20" t="n">
        <v>45868</v>
      </c>
      <c r="B3845" s="1" t="n">
        <v>1980</v>
      </c>
      <c r="C3845" s="2" t="inlineStr">
        <is>
          <t>MEGA VALIK</t>
        </is>
      </c>
      <c r="D3845" s="1" t="inlineStr">
        <is>
          <t>SM 300</t>
        </is>
      </c>
      <c r="E3845" s="1" t="inlineStr">
        <is>
          <t>TURGUT SANCAK</t>
        </is>
      </c>
      <c r="F3845" s="3" t="n"/>
      <c r="G3845" s="143" t="n"/>
      <c r="H3845" s="143" t="n">
        <v>204</v>
      </c>
      <c r="I3845" s="143">
        <f>+I3844+(G3845-H3845)</f>
        <v/>
      </c>
      <c r="J3845" s="144" t="n">
        <v>46.5</v>
      </c>
      <c r="K3845" s="145" t="n"/>
      <c r="L3845" s="140">
        <f>+H3845*J3845</f>
        <v/>
      </c>
      <c r="M3845" s="141">
        <f>SUM(M3844+K3845-L3845)</f>
        <v/>
      </c>
    </row>
    <row r="3846">
      <c r="A3846" s="20" t="n">
        <v>45868</v>
      </c>
      <c r="B3846" s="1" t="n">
        <v>1557</v>
      </c>
      <c r="C3846" s="2" t="inlineStr">
        <is>
          <t>SELİM İNŞAAT</t>
        </is>
      </c>
      <c r="D3846" s="1" t="inlineStr">
        <is>
          <t>34 GVZ 938</t>
        </is>
      </c>
      <c r="E3846" s="1" t="inlineStr">
        <is>
          <t>MEHMET KAYA</t>
        </is>
      </c>
      <c r="F3846" s="3" t="n">
        <v>199612</v>
      </c>
      <c r="G3846" s="143" t="n"/>
      <c r="H3846" s="143" t="n">
        <v>261</v>
      </c>
      <c r="I3846" s="143">
        <f>+I3845+(G3846-H3846)</f>
        <v/>
      </c>
      <c r="J3846" s="144" t="n">
        <v>46.5</v>
      </c>
      <c r="K3846" s="145" t="n"/>
      <c r="L3846" s="140">
        <f>+H3846*J3846</f>
        <v/>
      </c>
      <c r="M3846" s="141">
        <f>SUM(M3845+K3846-L3846)</f>
        <v/>
      </c>
    </row>
    <row r="3847">
      <c r="A3847" s="20" t="n">
        <v>45868</v>
      </c>
      <c r="B3847" s="1" t="n">
        <v>14549</v>
      </c>
      <c r="C3847" s="2" t="inlineStr">
        <is>
          <t>SELİM İNŞAAT</t>
        </is>
      </c>
      <c r="D3847" s="1" t="inlineStr">
        <is>
          <t>34 GER 028</t>
        </is>
      </c>
      <c r="E3847" s="1" t="inlineStr">
        <is>
          <t>A.KERİM ERGEN</t>
        </is>
      </c>
      <c r="F3847" s="3" t="n">
        <v>48825</v>
      </c>
      <c r="G3847" s="143" t="n"/>
      <c r="H3847" s="143" t="n">
        <v>260</v>
      </c>
      <c r="I3847" s="143">
        <f>+I3846+(G3847-H3847)</f>
        <v/>
      </c>
      <c r="J3847" s="144" t="n">
        <v>46.5</v>
      </c>
      <c r="K3847" s="145" t="n"/>
      <c r="L3847" s="140">
        <f>+H3847*J3847</f>
        <v/>
      </c>
      <c r="M3847" s="141">
        <f>SUM(M3846+K3847-L3847)</f>
        <v/>
      </c>
    </row>
    <row r="3848">
      <c r="A3848" s="20" t="n">
        <v>45868</v>
      </c>
      <c r="B3848" s="21" t="n">
        <v>11382</v>
      </c>
      <c r="C3848" s="22" t="inlineStr">
        <is>
          <t>AZGÜN YAPI</t>
        </is>
      </c>
      <c r="D3848" s="21" t="inlineStr">
        <is>
          <t>34 MKT 593</t>
        </is>
      </c>
      <c r="E3848" s="21" t="inlineStr">
        <is>
          <t>İBRAHİM GÜLLÜK</t>
        </is>
      </c>
      <c r="F3848" s="23" t="n"/>
      <c r="G3848" s="138" t="n"/>
      <c r="H3848" s="138" t="n">
        <v>522</v>
      </c>
      <c r="I3848" s="138">
        <f>+I3847+(G3848-H3848)</f>
        <v/>
      </c>
      <c r="J3848" s="139" t="n">
        <v>46.5</v>
      </c>
      <c r="K3848" s="140" t="n"/>
      <c r="L3848" s="140">
        <f>+H3848*J3848</f>
        <v/>
      </c>
      <c r="M3848" s="141">
        <f>SUM(M3847+K3848-L3848)</f>
        <v/>
      </c>
    </row>
    <row r="3849">
      <c r="A3849" s="20" t="n">
        <v>45868</v>
      </c>
      <c r="B3849" s="21" t="n">
        <v>8898</v>
      </c>
      <c r="C3849" s="22" t="inlineStr">
        <is>
          <t>MAHMUT VİNÇ</t>
        </is>
      </c>
      <c r="D3849" s="21" t="inlineStr">
        <is>
          <t>34 AH 5401</t>
        </is>
      </c>
      <c r="E3849" s="21" t="inlineStr">
        <is>
          <t>MAHMUT YAKUPOĞLU</t>
        </is>
      </c>
      <c r="F3849" s="23" t="n"/>
      <c r="G3849" s="138" t="n"/>
      <c r="H3849" s="138" t="n">
        <v>67</v>
      </c>
      <c r="I3849" s="138">
        <f>+I3848+(G3849-H3849)</f>
        <v/>
      </c>
      <c r="J3849" s="139" t="n">
        <v>46.5</v>
      </c>
      <c r="K3849" s="140" t="n"/>
      <c r="L3849" s="140">
        <f>+H3849*J3849</f>
        <v/>
      </c>
      <c r="M3849" s="141">
        <f>SUM(M3848+K3849-L3849)</f>
        <v/>
      </c>
    </row>
    <row r="3850">
      <c r="A3850" s="20" t="n">
        <v>45868</v>
      </c>
      <c r="B3850" s="21" t="n">
        <v>713</v>
      </c>
      <c r="C3850" s="22" t="inlineStr">
        <is>
          <t>METİN ERYİĞİT</t>
        </is>
      </c>
      <c r="D3850" s="21" t="inlineStr">
        <is>
          <t>34 GBL 998</t>
        </is>
      </c>
      <c r="E3850" s="21" t="inlineStr">
        <is>
          <t>ALİ KESKİN</t>
        </is>
      </c>
      <c r="F3850" s="23" t="n">
        <v>282305</v>
      </c>
      <c r="G3850" s="138" t="n"/>
      <c r="H3850" s="138" t="n">
        <v>351</v>
      </c>
      <c r="I3850" s="138">
        <f>+I3849+(G3850-H3850)</f>
        <v/>
      </c>
      <c r="J3850" s="139" t="n">
        <v>46.5</v>
      </c>
      <c r="K3850" s="140" t="n"/>
      <c r="L3850" s="140">
        <f>+H3850*J3850</f>
        <v/>
      </c>
      <c r="M3850" s="141">
        <f>SUM(M3849+K3850-L3850)</f>
        <v/>
      </c>
    </row>
    <row r="3851">
      <c r="A3851" s="20" t="n">
        <v>45868</v>
      </c>
      <c r="B3851" s="1" t="n">
        <v>10598</v>
      </c>
      <c r="C3851" s="2" t="inlineStr">
        <is>
          <t>SELİM İNŞAAT</t>
        </is>
      </c>
      <c r="D3851" s="1" t="inlineStr">
        <is>
          <t>34 GU 945</t>
        </is>
      </c>
      <c r="E3851" s="1" t="inlineStr">
        <is>
          <t>TURAN SEVİNDİK</t>
        </is>
      </c>
      <c r="F3851" s="3" t="n">
        <v>453301</v>
      </c>
      <c r="G3851" s="143" t="n"/>
      <c r="H3851" s="143" t="n">
        <v>65</v>
      </c>
      <c r="I3851" s="143">
        <f>+I3850+(G3851-H3851)</f>
        <v/>
      </c>
      <c r="J3851" s="144" t="n">
        <v>46.5</v>
      </c>
      <c r="K3851" s="145" t="n"/>
      <c r="L3851" s="140">
        <f>+H3851*J3851</f>
        <v/>
      </c>
      <c r="M3851" s="141">
        <f>SUM(M3850+K3851-L3851)</f>
        <v/>
      </c>
    </row>
    <row r="3852">
      <c r="A3852" s="20" t="n">
        <v>45868</v>
      </c>
      <c r="B3852" s="1" t="n">
        <v>21340</v>
      </c>
      <c r="C3852" s="2" t="inlineStr">
        <is>
          <t>SELİM İNŞAAT</t>
        </is>
      </c>
      <c r="D3852" s="1" t="inlineStr">
        <is>
          <t>34 FEM 934</t>
        </is>
      </c>
      <c r="E3852" s="1" t="inlineStr">
        <is>
          <t>YAKUP URUCU</t>
        </is>
      </c>
      <c r="F3852" s="3" t="n">
        <v>314923</v>
      </c>
      <c r="G3852" s="143" t="n"/>
      <c r="H3852" s="143" t="n">
        <v>76</v>
      </c>
      <c r="I3852" s="143">
        <f>+I3851+(G3852-H3852)</f>
        <v/>
      </c>
      <c r="J3852" s="144" t="n">
        <v>46.5</v>
      </c>
      <c r="K3852" s="145" t="n"/>
      <c r="L3852" s="140">
        <f>+H3852*J3852</f>
        <v/>
      </c>
      <c r="M3852" s="141">
        <f>SUM(M3851+K3852-L3852)</f>
        <v/>
      </c>
    </row>
    <row r="3853">
      <c r="A3853" s="20" t="n">
        <v>45868</v>
      </c>
      <c r="B3853" s="1" t="n">
        <v>15179</v>
      </c>
      <c r="C3853" s="2" t="inlineStr">
        <is>
          <t>SELİM İNŞAAT</t>
        </is>
      </c>
      <c r="D3853" s="1" t="inlineStr">
        <is>
          <t xml:space="preserve">34 DP 4161 </t>
        </is>
      </c>
      <c r="E3853" s="1" t="inlineStr">
        <is>
          <t>RIFAT KARATAY</t>
        </is>
      </c>
      <c r="F3853" s="3" t="n">
        <v>292507</v>
      </c>
      <c r="G3853" s="143" t="n"/>
      <c r="H3853" s="143" t="n">
        <v>267</v>
      </c>
      <c r="I3853" s="143">
        <f>+I3852+(G3853-H3853)</f>
        <v/>
      </c>
      <c r="J3853" s="144" t="n">
        <v>46.5</v>
      </c>
      <c r="K3853" s="145" t="n"/>
      <c r="L3853" s="140">
        <f>+H3853*J3853</f>
        <v/>
      </c>
      <c r="M3853" s="141">
        <f>SUM(M3852+K3853-L3853)</f>
        <v/>
      </c>
    </row>
    <row r="3854">
      <c r="A3854" s="20" t="n">
        <v>45869</v>
      </c>
      <c r="B3854" s="1" t="n">
        <v>1704</v>
      </c>
      <c r="C3854" s="2" t="inlineStr">
        <is>
          <t>SELİM İNŞAAT</t>
        </is>
      </c>
      <c r="D3854" s="21" t="inlineStr">
        <is>
          <t>34 DGP 137</t>
        </is>
      </c>
      <c r="E3854" s="1" t="inlineStr">
        <is>
          <t>MUHAMMED BULUT</t>
        </is>
      </c>
      <c r="F3854" s="3" t="n">
        <v>433515</v>
      </c>
      <c r="G3854" s="143" t="n"/>
      <c r="H3854" s="143" t="n">
        <v>345</v>
      </c>
      <c r="I3854" s="143">
        <f>+I3853+(G3854-H3854)</f>
        <v/>
      </c>
      <c r="J3854" s="144" t="n">
        <v>46.5</v>
      </c>
      <c r="K3854" s="145" t="n"/>
      <c r="L3854" s="140">
        <f>+H3854*J3854</f>
        <v/>
      </c>
      <c r="M3854" s="141">
        <f>SUM(M3853+K3854-L3854)</f>
        <v/>
      </c>
    </row>
    <row r="3855">
      <c r="A3855" s="20" t="n">
        <v>45869</v>
      </c>
      <c r="B3855" s="1" t="n">
        <v>15330</v>
      </c>
      <c r="C3855" s="2" t="inlineStr">
        <is>
          <t>SELİM İNŞAAT</t>
        </is>
      </c>
      <c r="D3855" s="1" t="inlineStr">
        <is>
          <t>34 EDC 162</t>
        </is>
      </c>
      <c r="E3855" s="1" t="inlineStr">
        <is>
          <t xml:space="preserve">YAKUP GÜNER </t>
        </is>
      </c>
      <c r="F3855" s="3" t="n">
        <v>380572</v>
      </c>
      <c r="G3855" s="143" t="n"/>
      <c r="H3855" s="143" t="n">
        <v>356</v>
      </c>
      <c r="I3855" s="143">
        <f>+I3854+(G3855-H3855)</f>
        <v/>
      </c>
      <c r="J3855" s="144" t="n">
        <v>46.5</v>
      </c>
      <c r="K3855" s="145" t="n"/>
      <c r="L3855" s="140">
        <f>+H3855*J3855</f>
        <v/>
      </c>
      <c r="M3855" s="141">
        <f>SUM(M3854+K3855-L3855)</f>
        <v/>
      </c>
    </row>
    <row r="3856">
      <c r="A3856" s="20" t="n">
        <v>45869</v>
      </c>
      <c r="B3856" s="1" t="n">
        <v>1206</v>
      </c>
      <c r="C3856" s="2" t="inlineStr">
        <is>
          <t>SELİM İNŞAAT</t>
        </is>
      </c>
      <c r="D3856" s="1" t="inlineStr">
        <is>
          <t>34 DHC 393</t>
        </is>
      </c>
      <c r="E3856" s="1" t="inlineStr">
        <is>
          <t>MUHAMMED BULUT</t>
        </is>
      </c>
      <c r="F3856" s="3" t="n">
        <v>431723</v>
      </c>
      <c r="G3856" s="143" t="n"/>
      <c r="H3856" s="143" t="n">
        <v>278</v>
      </c>
      <c r="I3856" s="143">
        <f>+I3855+(G3856-H3856)</f>
        <v/>
      </c>
      <c r="J3856" s="144" t="n">
        <v>46.5</v>
      </c>
      <c r="K3856" s="145" t="n"/>
      <c r="L3856" s="140">
        <f>+H3856*J3856</f>
        <v/>
      </c>
      <c r="M3856" s="141">
        <f>SUM(M3855+K3856-L3856)</f>
        <v/>
      </c>
    </row>
    <row r="3857">
      <c r="A3857" s="20" t="n">
        <v>45869</v>
      </c>
      <c r="B3857" s="1" t="n">
        <v>15125</v>
      </c>
      <c r="C3857" s="2" t="inlineStr">
        <is>
          <t>SELİM İNŞAAT</t>
        </is>
      </c>
      <c r="D3857" s="1" t="inlineStr">
        <is>
          <t>34 DTV 599</t>
        </is>
      </c>
      <c r="E3857" s="1" t="inlineStr">
        <is>
          <t>FERHAT GÜRLER</t>
        </is>
      </c>
      <c r="F3857" s="3" t="n">
        <v>442449</v>
      </c>
      <c r="G3857" s="143" t="n"/>
      <c r="H3857" s="143" t="n">
        <v>515</v>
      </c>
      <c r="I3857" s="143">
        <f>+I3856+(G3857-H3857)</f>
        <v/>
      </c>
      <c r="J3857" s="144" t="n">
        <v>46.5</v>
      </c>
      <c r="K3857" s="145" t="n"/>
      <c r="L3857" s="140">
        <f>+H3857*J3857</f>
        <v/>
      </c>
      <c r="M3857" s="141">
        <f>SUM(M3856+K3857-L3857)</f>
        <v/>
      </c>
    </row>
    <row r="3858">
      <c r="A3858" s="20" t="n">
        <v>45869</v>
      </c>
      <c r="B3858" s="1" t="n">
        <v>1802</v>
      </c>
      <c r="C3858" s="2" t="inlineStr">
        <is>
          <t>SELİM İNŞAAT</t>
        </is>
      </c>
      <c r="D3858" s="1" t="inlineStr">
        <is>
          <t>34 EGR 922</t>
        </is>
      </c>
      <c r="E3858" s="1" t="inlineStr">
        <is>
          <t>FARUK ÖZEN</t>
        </is>
      </c>
      <c r="F3858" s="3" t="n">
        <v>465189</v>
      </c>
      <c r="G3858" s="143" t="n"/>
      <c r="H3858" s="143" t="n">
        <v>463</v>
      </c>
      <c r="I3858" s="143">
        <f>+I3857+(G3858-H3858)</f>
        <v/>
      </c>
      <c r="J3858" s="144" t="n">
        <v>46.5</v>
      </c>
      <c r="K3858" s="145" t="n"/>
      <c r="L3858" s="140">
        <f>+H3858*J3858</f>
        <v/>
      </c>
      <c r="M3858" s="141">
        <f>SUM(M3857+K3858-L3858)</f>
        <v/>
      </c>
    </row>
    <row r="3859">
      <c r="A3859" s="20" t="n">
        <v>45869</v>
      </c>
      <c r="B3859" s="1" t="n">
        <v>22</v>
      </c>
      <c r="C3859" s="2" t="inlineStr">
        <is>
          <t>SELİM İNŞAAT</t>
        </is>
      </c>
      <c r="D3859" s="1" t="inlineStr">
        <is>
          <t>34 FBR 748</t>
        </is>
      </c>
      <c r="E3859" s="1" t="inlineStr">
        <is>
          <t>YAŞAR ÖZKAYA</t>
        </is>
      </c>
      <c r="F3859" s="3" t="n">
        <v>293201</v>
      </c>
      <c r="G3859" s="143" t="n"/>
      <c r="H3859" s="143" t="n">
        <v>397</v>
      </c>
      <c r="I3859" s="143">
        <f>+I3858+(G3859-H3859)</f>
        <v/>
      </c>
      <c r="J3859" s="144" t="n">
        <v>46.5</v>
      </c>
      <c r="K3859" s="145" t="n"/>
      <c r="L3859" s="140">
        <f>+H3859*J3859</f>
        <v/>
      </c>
      <c r="M3859" s="141">
        <f>SUM(M3858+K3859-L3859)</f>
        <v/>
      </c>
    </row>
    <row r="3860">
      <c r="A3860" s="20" t="n">
        <v>45869</v>
      </c>
      <c r="B3860" s="1" t="n">
        <v>15070</v>
      </c>
      <c r="C3860" s="2" t="inlineStr">
        <is>
          <t>SELİM İNŞAAT</t>
        </is>
      </c>
      <c r="D3860" s="1" t="inlineStr">
        <is>
          <t>34 EGR 736</t>
        </is>
      </c>
      <c r="E3860" s="1" t="inlineStr">
        <is>
          <t>HAKAN ÇAVUŞOĞLU</t>
        </is>
      </c>
      <c r="F3860" s="3" t="n">
        <v>401217</v>
      </c>
      <c r="G3860" s="143" t="n"/>
      <c r="H3860" s="143" t="n">
        <v>479</v>
      </c>
      <c r="I3860" s="143">
        <f>+I3859+(G3860-H3860)</f>
        <v/>
      </c>
      <c r="J3860" s="144" t="n">
        <v>46.5</v>
      </c>
      <c r="K3860" s="145" t="n"/>
      <c r="L3860" s="140">
        <f>+H3860*J3860</f>
        <v/>
      </c>
      <c r="M3860" s="141">
        <f>SUM(M3859+K3860-L3860)</f>
        <v/>
      </c>
    </row>
    <row r="3861">
      <c r="A3861" s="20" t="n">
        <v>45869</v>
      </c>
      <c r="B3861" s="1" t="n">
        <v>21644</v>
      </c>
      <c r="C3861" s="2" t="inlineStr">
        <is>
          <t>SELİM İNŞAAT</t>
        </is>
      </c>
      <c r="D3861" s="1" t="inlineStr">
        <is>
          <t>34 DHC 467</t>
        </is>
      </c>
      <c r="E3861" s="1" t="inlineStr">
        <is>
          <t>HÜSEYİN DENİZ</t>
        </is>
      </c>
      <c r="F3861" s="3" t="n">
        <v>413969</v>
      </c>
      <c r="G3861" s="143" t="n"/>
      <c r="H3861" s="143" t="n">
        <v>277</v>
      </c>
      <c r="I3861" s="143">
        <f>+I3860+(G3861-H3861)</f>
        <v/>
      </c>
      <c r="J3861" s="144" t="n">
        <v>46.5</v>
      </c>
      <c r="K3861" s="145" t="n"/>
      <c r="L3861" s="140">
        <f>+H3861*J3861</f>
        <v/>
      </c>
      <c r="M3861" s="141">
        <f>SUM(M3860+K3861-L3861)</f>
        <v/>
      </c>
    </row>
    <row r="3862">
      <c r="A3862" s="20" t="n">
        <v>45869</v>
      </c>
      <c r="B3862" s="1" t="n">
        <v>1058</v>
      </c>
      <c r="C3862" s="2" t="inlineStr">
        <is>
          <t>SELİM İNŞAAT</t>
        </is>
      </c>
      <c r="D3862" s="1" t="inlineStr">
        <is>
          <t>34 GVZ 310</t>
        </is>
      </c>
      <c r="E3862" s="1" t="inlineStr">
        <is>
          <t>CELAL YÜZBAŞI</t>
        </is>
      </c>
      <c r="F3862" s="3" t="n">
        <v>210027</v>
      </c>
      <c r="G3862" s="143" t="n"/>
      <c r="H3862" s="143" t="n">
        <v>179</v>
      </c>
      <c r="I3862" s="143">
        <f>+I3861+(G3862-H3862)</f>
        <v/>
      </c>
      <c r="J3862" s="144" t="n">
        <v>46.5</v>
      </c>
      <c r="K3862" s="145" t="n"/>
      <c r="L3862" s="140">
        <f>+H3862*J3862</f>
        <v/>
      </c>
      <c r="M3862" s="141">
        <f>SUM(M3861+K3862-L3862)</f>
        <v/>
      </c>
    </row>
    <row r="3863">
      <c r="A3863" s="20" t="n">
        <v>45869</v>
      </c>
      <c r="B3863" s="1" t="n">
        <v>14840</v>
      </c>
      <c r="C3863" s="2" t="inlineStr">
        <is>
          <t>SELİM İNŞAAT</t>
        </is>
      </c>
      <c r="D3863" s="1" t="inlineStr">
        <is>
          <t>34 GVZ 268</t>
        </is>
      </c>
      <c r="E3863" s="1" t="inlineStr">
        <is>
          <t xml:space="preserve">KERİM KARAMAN </t>
        </is>
      </c>
      <c r="F3863" s="3" t="n">
        <v>204533</v>
      </c>
      <c r="G3863" s="143" t="n"/>
      <c r="H3863" s="143" t="n">
        <v>425</v>
      </c>
      <c r="I3863" s="143">
        <f>+I3862+(G3863-H3863)</f>
        <v/>
      </c>
      <c r="J3863" s="144" t="n">
        <v>46.5</v>
      </c>
      <c r="K3863" s="145" t="n"/>
      <c r="L3863" s="140">
        <f>+H3863*J3863</f>
        <v/>
      </c>
      <c r="M3863" s="141">
        <f>SUM(M3862+K3863-L3863)</f>
        <v/>
      </c>
    </row>
    <row r="3864">
      <c r="A3864" s="20" t="n">
        <v>45869</v>
      </c>
      <c r="B3864" s="1" t="n">
        <v>14778</v>
      </c>
      <c r="C3864" s="2" t="inlineStr">
        <is>
          <t>SELİM İNŞAAT</t>
        </is>
      </c>
      <c r="D3864" s="1" t="inlineStr">
        <is>
          <t>34 GYZ 635</t>
        </is>
      </c>
      <c r="E3864" s="1" t="inlineStr">
        <is>
          <t>ENGİN DEMİR</t>
        </is>
      </c>
      <c r="F3864" s="3" t="n">
        <v>185518</v>
      </c>
      <c r="G3864" s="143" t="n"/>
      <c r="H3864" s="143" t="n">
        <v>412</v>
      </c>
      <c r="I3864" s="143">
        <f>+I3863+(G3864-H3864)</f>
        <v/>
      </c>
      <c r="J3864" s="144" t="n">
        <v>46.5</v>
      </c>
      <c r="K3864" s="145" t="n"/>
      <c r="L3864" s="140">
        <f>+H3864*J3864</f>
        <v/>
      </c>
      <c r="M3864" s="141">
        <f>SUM(M3863+K3864-L3864)</f>
        <v/>
      </c>
    </row>
    <row r="3865">
      <c r="A3865" s="20" t="n">
        <v>45869</v>
      </c>
      <c r="B3865" s="1" t="n">
        <v>659</v>
      </c>
      <c r="C3865" s="2" t="inlineStr">
        <is>
          <t>SELİM İNŞAAT</t>
        </is>
      </c>
      <c r="D3865" s="1" t="inlineStr">
        <is>
          <t>34 DTV 352</t>
        </is>
      </c>
      <c r="E3865" s="1" t="inlineStr">
        <is>
          <t>AHMET DENİZ</t>
        </is>
      </c>
      <c r="F3865" s="3" t="n">
        <v>440176</v>
      </c>
      <c r="G3865" s="143" t="n"/>
      <c r="H3865" s="143" t="n">
        <v>518</v>
      </c>
      <c r="I3865" s="143">
        <f>+I3864+(G3865-H3865)</f>
        <v/>
      </c>
      <c r="J3865" s="144" t="n">
        <v>46.5</v>
      </c>
      <c r="K3865" s="145" t="n"/>
      <c r="L3865" s="140">
        <f>+H3865*J3865</f>
        <v/>
      </c>
      <c r="M3865" s="141">
        <f>SUM(M3864+K3865-L3865)</f>
        <v/>
      </c>
    </row>
    <row r="3866">
      <c r="A3866" s="20" t="n">
        <v>45869</v>
      </c>
      <c r="B3866" s="1" t="n">
        <v>569</v>
      </c>
      <c r="C3866" s="2" t="inlineStr">
        <is>
          <t>SELİM İNŞAAT</t>
        </is>
      </c>
      <c r="D3866" s="1" t="inlineStr">
        <is>
          <t>34 EDB 922</t>
        </is>
      </c>
      <c r="E3866" s="1" t="inlineStr">
        <is>
          <t>AHMET TOPÇU</t>
        </is>
      </c>
      <c r="F3866" s="3" t="n">
        <v>374944</v>
      </c>
      <c r="G3866" s="143" t="n"/>
      <c r="H3866" s="143" t="n">
        <v>378</v>
      </c>
      <c r="I3866" s="143">
        <f>+I3865+(G3866-H3866)</f>
        <v/>
      </c>
      <c r="J3866" s="144" t="n">
        <v>46.5</v>
      </c>
      <c r="K3866" s="145" t="n"/>
      <c r="L3866" s="140">
        <f>+H3866*J3866</f>
        <v/>
      </c>
      <c r="M3866" s="141">
        <f>SUM(M3865+K3866-L3866)</f>
        <v/>
      </c>
    </row>
    <row r="3867">
      <c r="A3867" s="20" t="n">
        <v>45869</v>
      </c>
      <c r="B3867" s="21" t="n">
        <v>1981</v>
      </c>
      <c r="C3867" s="22" t="inlineStr">
        <is>
          <t>EVKUR</t>
        </is>
      </c>
      <c r="D3867" s="21" t="inlineStr">
        <is>
          <t>FOKLİFT</t>
        </is>
      </c>
      <c r="E3867" s="21" t="inlineStr">
        <is>
          <t>FAHRİ KALFA</t>
        </is>
      </c>
      <c r="F3867" s="23" t="n"/>
      <c r="G3867" s="138" t="n"/>
      <c r="H3867" s="138" t="n">
        <v>32</v>
      </c>
      <c r="I3867" s="138">
        <f>+I3866+(G3867-H3867)</f>
        <v/>
      </c>
      <c r="J3867" s="139" t="n">
        <v>46.5</v>
      </c>
      <c r="K3867" s="140" t="n"/>
      <c r="L3867" s="140">
        <f>+H3867*J3867</f>
        <v/>
      </c>
      <c r="M3867" s="141">
        <f>SUM(M3866+K3867-L3867)</f>
        <v/>
      </c>
    </row>
    <row r="3868">
      <c r="A3868" s="20" t="n">
        <v>45869</v>
      </c>
      <c r="B3868" s="1" t="n">
        <v>1982</v>
      </c>
      <c r="C3868" s="2" t="inlineStr">
        <is>
          <t>MEGA VALIK</t>
        </is>
      </c>
      <c r="D3868" s="1" t="inlineStr">
        <is>
          <t>SM 370</t>
        </is>
      </c>
      <c r="E3868" s="1" t="inlineStr">
        <is>
          <t>TEKİN ŞEYLAN</t>
        </is>
      </c>
      <c r="F3868" s="3" t="n"/>
      <c r="G3868" s="143" t="n"/>
      <c r="H3868" s="143" t="n">
        <v>212</v>
      </c>
      <c r="I3868" s="143">
        <f>+I3867+(G3868-H3868)</f>
        <v/>
      </c>
      <c r="J3868" s="144" t="n">
        <v>46.5</v>
      </c>
      <c r="K3868" s="145" t="n"/>
      <c r="L3868" s="140">
        <f>+H3868*J3868</f>
        <v/>
      </c>
      <c r="M3868" s="141">
        <f>SUM(M3867+K3868-L3868)</f>
        <v/>
      </c>
    </row>
    <row r="3869">
      <c r="A3869" s="20" t="n">
        <v>45869</v>
      </c>
      <c r="B3869" s="1" t="n">
        <v>1983</v>
      </c>
      <c r="C3869" s="2" t="inlineStr">
        <is>
          <t>MEGA VALIK</t>
        </is>
      </c>
      <c r="D3869" s="1" t="inlineStr">
        <is>
          <t>SM 300</t>
        </is>
      </c>
      <c r="E3869" s="1" t="inlineStr">
        <is>
          <t>TURGUT SANCAK</t>
        </is>
      </c>
      <c r="F3869" s="3" t="n"/>
      <c r="G3869" s="143" t="n"/>
      <c r="H3869" s="143" t="n">
        <v>346</v>
      </c>
      <c r="I3869" s="143">
        <f>+I3868+(G3869-H3869)</f>
        <v/>
      </c>
      <c r="J3869" s="144" t="n">
        <v>46.5</v>
      </c>
      <c r="K3869" s="145" t="n"/>
      <c r="L3869" s="140">
        <f>+H3869*J3869</f>
        <v/>
      </c>
      <c r="M3869" s="141">
        <f>SUM(M3868+K3869-L3869)</f>
        <v/>
      </c>
    </row>
    <row r="3870">
      <c r="A3870" s="20" t="n">
        <v>45869</v>
      </c>
      <c r="B3870" s="1" t="n">
        <v>1984</v>
      </c>
      <c r="C3870" s="2" t="inlineStr">
        <is>
          <t>MEGA VALIK</t>
        </is>
      </c>
      <c r="D3870" s="1" t="inlineStr">
        <is>
          <t>SM 350</t>
        </is>
      </c>
      <c r="E3870" s="1" t="inlineStr">
        <is>
          <t>EMİRCAN ÖZTÜRK</t>
        </is>
      </c>
      <c r="F3870" s="3" t="n"/>
      <c r="G3870" s="143" t="n"/>
      <c r="H3870" s="143" t="n">
        <v>408</v>
      </c>
      <c r="I3870" s="143">
        <f>+I3869+(G3870-H3870)</f>
        <v/>
      </c>
      <c r="J3870" s="144" t="n">
        <v>46.5</v>
      </c>
      <c r="K3870" s="145" t="n"/>
      <c r="L3870" s="140">
        <f>+H3870*J3870</f>
        <v/>
      </c>
      <c r="M3870" s="141">
        <f>SUM(M3869+K3870-L3870)</f>
        <v/>
      </c>
    </row>
    <row r="3871">
      <c r="A3871" s="20" t="n">
        <v>45869</v>
      </c>
      <c r="B3871" s="1" t="n">
        <v>1558</v>
      </c>
      <c r="C3871" s="2" t="inlineStr">
        <is>
          <t>SELİM İNŞAAT</t>
        </is>
      </c>
      <c r="D3871" s="1" t="inlineStr">
        <is>
          <t>34 GVZ 938</t>
        </is>
      </c>
      <c r="E3871" s="1" t="inlineStr">
        <is>
          <t>MEHMET KAYA</t>
        </is>
      </c>
      <c r="F3871" s="3" t="n">
        <v>200359</v>
      </c>
      <c r="G3871" s="143" t="n"/>
      <c r="H3871" s="143" t="n">
        <v>394</v>
      </c>
      <c r="I3871" s="143">
        <f>+I3870+(G3871-H3871)</f>
        <v/>
      </c>
      <c r="J3871" s="144" t="n">
        <v>46.5</v>
      </c>
      <c r="K3871" s="145" t="n"/>
      <c r="L3871" s="140">
        <f>+H3871*J3871</f>
        <v/>
      </c>
      <c r="M3871" s="141">
        <f>SUM(M3870+K3871-L3871)</f>
        <v/>
      </c>
    </row>
    <row r="3872">
      <c r="A3872" s="20" t="n">
        <v>45869</v>
      </c>
      <c r="B3872" s="1" t="n">
        <v>463</v>
      </c>
      <c r="C3872" s="2" t="inlineStr">
        <is>
          <t>SELİM İNŞAAT</t>
        </is>
      </c>
      <c r="D3872" s="1" t="inlineStr">
        <is>
          <t>34 DKL 866</t>
        </is>
      </c>
      <c r="E3872" s="1" t="inlineStr">
        <is>
          <t>SELİM CAN ÖNVER</t>
        </is>
      </c>
      <c r="F3872" s="3" t="n">
        <v>70448</v>
      </c>
      <c r="G3872" s="143" t="n"/>
      <c r="H3872" s="143" t="n">
        <v>160</v>
      </c>
      <c r="I3872" s="143">
        <f>+I3871+(G3872-H3872)</f>
        <v/>
      </c>
      <c r="J3872" s="144" t="n">
        <v>46.5</v>
      </c>
      <c r="K3872" s="145" t="n"/>
      <c r="L3872" s="140">
        <f>+H3872*J3872</f>
        <v/>
      </c>
      <c r="M3872" s="141">
        <f>SUM(M3871+K3872-L3872)</f>
        <v/>
      </c>
    </row>
    <row r="3873">
      <c r="A3873" s="20" t="n">
        <v>45869</v>
      </c>
      <c r="B3873" s="1" t="n">
        <v>606</v>
      </c>
      <c r="C3873" s="2" t="inlineStr">
        <is>
          <t>SELİM İNŞAAT</t>
        </is>
      </c>
      <c r="D3873" s="1" t="inlineStr">
        <is>
          <t>34 AR 7743</t>
        </is>
      </c>
      <c r="E3873" s="1" t="inlineStr">
        <is>
          <t>MEHMET SELİM</t>
        </is>
      </c>
      <c r="F3873" s="3" t="n">
        <v>359068</v>
      </c>
      <c r="G3873" s="143" t="n"/>
      <c r="H3873" s="143" t="n">
        <v>57</v>
      </c>
      <c r="I3873" s="143">
        <f>+I3872+(G3873-H3873)</f>
        <v/>
      </c>
      <c r="J3873" s="144" t="n">
        <v>46.5</v>
      </c>
      <c r="K3873" s="145" t="n"/>
      <c r="L3873" s="140">
        <f>+H3873*J3873</f>
        <v/>
      </c>
      <c r="M3873" s="141">
        <f>SUM(M3872+K3873-L3873)</f>
        <v/>
      </c>
    </row>
    <row r="3874">
      <c r="A3874" s="20" t="n">
        <v>45869</v>
      </c>
      <c r="B3874" s="21" t="n">
        <v>15685</v>
      </c>
      <c r="C3874" s="22" t="inlineStr">
        <is>
          <t>METİN ERYİĞİT</t>
        </is>
      </c>
      <c r="D3874" s="21" t="inlineStr">
        <is>
          <t>34 EGR 814</t>
        </is>
      </c>
      <c r="E3874" s="21" t="inlineStr">
        <is>
          <t>GÜRAY KOYUNCU</t>
        </is>
      </c>
      <c r="F3874" s="23" t="n">
        <v>555903</v>
      </c>
      <c r="G3874" s="138" t="n"/>
      <c r="H3874" s="138" t="n">
        <v>340</v>
      </c>
      <c r="I3874" s="138">
        <f>+I3873+(G3874-H3874)</f>
        <v/>
      </c>
      <c r="J3874" s="139" t="n">
        <v>46.5</v>
      </c>
      <c r="K3874" s="140" t="n"/>
      <c r="L3874" s="140">
        <f>+H3874*J3874</f>
        <v/>
      </c>
      <c r="M3874" s="141">
        <f>SUM(M3873+K3874-L3874)</f>
        <v/>
      </c>
    </row>
    <row r="3875">
      <c r="A3875" s="20" t="n">
        <v>45869</v>
      </c>
      <c r="B3875" s="1" t="n">
        <v>14400</v>
      </c>
      <c r="C3875" s="2" t="inlineStr">
        <is>
          <t>SELİM İNŞAAT</t>
        </is>
      </c>
      <c r="D3875" s="1" t="inlineStr">
        <is>
          <t>34 DKL 798</t>
        </is>
      </c>
      <c r="E3875" s="1" t="inlineStr">
        <is>
          <t>EMİRCAN ÖZTÜRK</t>
        </is>
      </c>
      <c r="F3875" s="3" t="n">
        <v>69546</v>
      </c>
      <c r="G3875" s="143" t="n"/>
      <c r="H3875" s="143" t="n">
        <v>215</v>
      </c>
      <c r="I3875" s="143">
        <f>+I3874+(G3875-H3875)</f>
        <v/>
      </c>
      <c r="J3875" s="144" t="n">
        <v>46.5</v>
      </c>
      <c r="K3875" s="145" t="n"/>
      <c r="L3875" s="140">
        <f>+H3875*J3875</f>
        <v/>
      </c>
      <c r="M3875" s="141">
        <f>SUM(M3874+K3875-L3875)</f>
        <v/>
      </c>
    </row>
    <row r="3876">
      <c r="A3876" s="20" t="n">
        <v>45869</v>
      </c>
      <c r="B3876" s="1" t="n">
        <v>167</v>
      </c>
      <c r="C3876" s="2" t="inlineStr">
        <is>
          <t>SELİM İNŞAAT</t>
        </is>
      </c>
      <c r="D3876" s="1" t="inlineStr">
        <is>
          <t>34 TG 7869</t>
        </is>
      </c>
      <c r="E3876" s="1" t="inlineStr">
        <is>
          <t>GÖRKEM KARAYEL</t>
        </is>
      </c>
      <c r="F3876" s="3" t="n">
        <v>186484</v>
      </c>
      <c r="G3876" s="143" t="n"/>
      <c r="H3876" s="143" t="n">
        <v>290</v>
      </c>
      <c r="I3876" s="143">
        <f>+I3875+(G3876-H3876)</f>
        <v/>
      </c>
      <c r="J3876" s="144" t="n">
        <v>46.5</v>
      </c>
      <c r="K3876" s="145" t="n"/>
      <c r="L3876" s="140">
        <f>+H3876*J3876</f>
        <v/>
      </c>
      <c r="M3876" s="141">
        <f>SUM(M3875+K3876-L3876)</f>
        <v/>
      </c>
    </row>
    <row r="3877">
      <c r="A3877" s="20" t="n">
        <v>45870</v>
      </c>
      <c r="B3877" s="1" t="n">
        <v>1985</v>
      </c>
      <c r="C3877" s="2" t="inlineStr">
        <is>
          <t>GÜRSES</t>
        </is>
      </c>
      <c r="D3877" s="1" t="inlineStr">
        <is>
          <t xml:space="preserve">YENİ VİNÇ </t>
        </is>
      </c>
      <c r="E3877" s="1" t="inlineStr">
        <is>
          <t>SALİH ŞOLAN</t>
        </is>
      </c>
      <c r="F3877" s="3" t="n"/>
      <c r="G3877" s="143" t="n"/>
      <c r="H3877" s="143" t="n">
        <v>360</v>
      </c>
      <c r="I3877" s="143">
        <f>+I3876+(G3877-H3877)</f>
        <v/>
      </c>
      <c r="J3877" s="144" t="n">
        <v>46.5</v>
      </c>
      <c r="K3877" s="145" t="n"/>
      <c r="L3877" s="140">
        <f>+H3877*J3877</f>
        <v/>
      </c>
      <c r="M3877" s="141">
        <f>SUM(M3876+K3877-L3877)</f>
        <v/>
      </c>
    </row>
    <row r="3878">
      <c r="A3878" s="20" t="n">
        <v>45870</v>
      </c>
      <c r="B3878" s="1" t="n">
        <v>1986</v>
      </c>
      <c r="C3878" s="2" t="inlineStr">
        <is>
          <t>GÜRSES</t>
        </is>
      </c>
      <c r="D3878" s="1" t="inlineStr">
        <is>
          <t>2260 MNT</t>
        </is>
      </c>
      <c r="E3878" s="1" t="inlineStr">
        <is>
          <t>MUHAMMET KANTAR</t>
        </is>
      </c>
      <c r="F3878" s="3" t="n"/>
      <c r="G3878" s="143" t="n"/>
      <c r="H3878" s="143" t="n">
        <v>198</v>
      </c>
      <c r="I3878" s="143">
        <f>+I3877+(G3878-H3878)</f>
        <v/>
      </c>
      <c r="J3878" s="144" t="n">
        <v>46.5</v>
      </c>
      <c r="K3878" s="145" t="n"/>
      <c r="L3878" s="140">
        <f>+H3878*J3878</f>
        <v/>
      </c>
      <c r="M3878" s="141">
        <f>SUM(M3877+K3878-L3878)</f>
        <v/>
      </c>
    </row>
    <row r="3879">
      <c r="A3879" s="20" t="n">
        <v>45870</v>
      </c>
      <c r="B3879" s="1" t="n">
        <v>1987</v>
      </c>
      <c r="C3879" s="2" t="inlineStr">
        <is>
          <t>EVKUR</t>
        </is>
      </c>
      <c r="D3879" s="1" t="inlineStr">
        <is>
          <t xml:space="preserve">SM 350 </t>
        </is>
      </c>
      <c r="E3879" s="1" t="inlineStr">
        <is>
          <t>BAYRAM SANCAK</t>
        </is>
      </c>
      <c r="F3879" s="3" t="n"/>
      <c r="G3879" s="143" t="n"/>
      <c r="H3879" s="143" t="n">
        <v>507</v>
      </c>
      <c r="I3879" s="143">
        <f>+I3878+(G3879-H3879)</f>
        <v/>
      </c>
      <c r="J3879" s="144" t="n">
        <v>46.5</v>
      </c>
      <c r="K3879" s="145" t="n"/>
      <c r="L3879" s="140">
        <f>+H3879*J3879</f>
        <v/>
      </c>
      <c r="M3879" s="141">
        <f>SUM(M3878+K3879-L3879)</f>
        <v/>
      </c>
    </row>
    <row r="3880">
      <c r="A3880" s="20" t="n">
        <v>45870</v>
      </c>
      <c r="B3880" s="21" t="n">
        <v>1988</v>
      </c>
      <c r="C3880" s="22" t="inlineStr">
        <is>
          <t>EVKUR</t>
        </is>
      </c>
      <c r="D3880" s="21" t="inlineStr">
        <is>
          <t>FOKLİFT</t>
        </is>
      </c>
      <c r="E3880" s="21" t="inlineStr">
        <is>
          <t>FAHRİ KALFA</t>
        </is>
      </c>
      <c r="F3880" s="23" t="n"/>
      <c r="G3880" s="138" t="n"/>
      <c r="H3880" s="138" t="n">
        <v>20</v>
      </c>
      <c r="I3880" s="138">
        <f>+I3879+(G3880-H3880)</f>
        <v/>
      </c>
      <c r="J3880" s="139" t="n">
        <v>46.5</v>
      </c>
      <c r="K3880" s="140" t="n"/>
      <c r="L3880" s="140">
        <f>+H3880*J3880</f>
        <v/>
      </c>
      <c r="M3880" s="141">
        <f>SUM(M3879+K3880-L3880)</f>
        <v/>
      </c>
    </row>
    <row r="3881">
      <c r="A3881" s="20" t="n">
        <v>45870</v>
      </c>
      <c r="B3881" s="1" t="n">
        <v>1989</v>
      </c>
      <c r="C3881" s="2" t="inlineStr">
        <is>
          <t>EVKUR</t>
        </is>
      </c>
      <c r="D3881" s="1" t="inlineStr">
        <is>
          <t>KAVAZAKİ</t>
        </is>
      </c>
      <c r="E3881" s="1" t="inlineStr">
        <is>
          <t>RAMAZAN KAYA</t>
        </is>
      </c>
      <c r="F3881" s="3" t="n"/>
      <c r="G3881" s="143" t="n"/>
      <c r="H3881" s="143" t="n">
        <v>360</v>
      </c>
      <c r="I3881" s="143">
        <f>+I3880+(G3881-H3881)</f>
        <v/>
      </c>
      <c r="J3881" s="144" t="n">
        <v>46.5</v>
      </c>
      <c r="K3881" s="145" t="n"/>
      <c r="L3881" s="140">
        <f>+H3881*J3881</f>
        <v/>
      </c>
      <c r="M3881" s="141">
        <f>SUM(M3880+K3881-L3881)</f>
        <v/>
      </c>
    </row>
    <row r="3882">
      <c r="A3882" s="20" t="n">
        <v>45870</v>
      </c>
      <c r="B3882" s="1" t="n">
        <v>1990</v>
      </c>
      <c r="C3882" s="2" t="inlineStr">
        <is>
          <t>MEGA VALIK</t>
        </is>
      </c>
      <c r="D3882" s="1" t="inlineStr">
        <is>
          <t xml:space="preserve">SM 350 </t>
        </is>
      </c>
      <c r="E3882" s="1" t="inlineStr">
        <is>
          <t>TEVFİK ÖZTÜRK</t>
        </is>
      </c>
      <c r="F3882" s="3" t="n"/>
      <c r="G3882" s="143" t="n"/>
      <c r="H3882" s="143" t="n">
        <v>366</v>
      </c>
      <c r="I3882" s="143">
        <f>+I3881+(G3882-H3882)</f>
        <v/>
      </c>
      <c r="J3882" s="144" t="n">
        <v>46.5</v>
      </c>
      <c r="K3882" s="145" t="n"/>
      <c r="L3882" s="140">
        <f>+H3882*J3882</f>
        <v/>
      </c>
      <c r="M3882" s="141">
        <f>SUM(M3881+K3882-L3882)</f>
        <v/>
      </c>
    </row>
    <row r="3883">
      <c r="A3883" s="20" t="n">
        <v>45870</v>
      </c>
      <c r="B3883" s="1" t="n">
        <v>1991</v>
      </c>
      <c r="C3883" s="2" t="inlineStr">
        <is>
          <t>MEGA VALIK</t>
        </is>
      </c>
      <c r="D3883" s="1" t="inlineStr">
        <is>
          <t>SM 300</t>
        </is>
      </c>
      <c r="E3883" s="1" t="inlineStr">
        <is>
          <t>TURGUT SANCAK</t>
        </is>
      </c>
      <c r="F3883" s="3" t="n"/>
      <c r="G3883" s="143" t="n"/>
      <c r="H3883" s="143" t="n">
        <v>350</v>
      </c>
      <c r="I3883" s="143">
        <f>+I3882+(G3883-H3883)</f>
        <v/>
      </c>
      <c r="J3883" s="144" t="n">
        <v>46.5</v>
      </c>
      <c r="K3883" s="145" t="n"/>
      <c r="L3883" s="140">
        <f>+H3883*J3883</f>
        <v/>
      </c>
      <c r="M3883" s="141">
        <f>SUM(M3882+K3883-L3883)</f>
        <v/>
      </c>
    </row>
    <row r="3884">
      <c r="A3884" s="20" t="n">
        <v>45870</v>
      </c>
      <c r="B3884" s="1" t="n">
        <v>15041</v>
      </c>
      <c r="C3884" s="2" t="inlineStr">
        <is>
          <t>SELİM İNŞAAT</t>
        </is>
      </c>
      <c r="D3884" s="1" t="inlineStr">
        <is>
          <t xml:space="preserve"> 34 GVZ 199</t>
        </is>
      </c>
      <c r="E3884" s="1" t="inlineStr">
        <is>
          <t>VAHDET GÜRLER</t>
        </is>
      </c>
      <c r="F3884" s="3" t="n">
        <v>193360</v>
      </c>
      <c r="G3884" s="143" t="n"/>
      <c r="H3884" s="143" t="n">
        <v>542</v>
      </c>
      <c r="I3884" s="143">
        <f>+I3883+(G3884-H3884)</f>
        <v/>
      </c>
      <c r="J3884" s="144" t="n">
        <v>46.5</v>
      </c>
      <c r="K3884" s="145" t="n"/>
      <c r="L3884" s="140">
        <f>+H3884*J3884</f>
        <v/>
      </c>
      <c r="M3884" s="141">
        <f>SUM(M3883+K3884-L3884)</f>
        <v/>
      </c>
    </row>
    <row r="3885">
      <c r="A3885" s="20" t="n">
        <v>45870</v>
      </c>
      <c r="B3885" s="1" t="n">
        <v>1504</v>
      </c>
      <c r="C3885" s="2" t="inlineStr">
        <is>
          <t>SELİM İNŞAAT</t>
        </is>
      </c>
      <c r="D3885" s="1" t="inlineStr">
        <is>
          <t>34 GUS 848</t>
        </is>
      </c>
      <c r="E3885" s="1" t="inlineStr">
        <is>
          <t>SERDAR BOZKURT</t>
        </is>
      </c>
      <c r="F3885" s="3" t="n">
        <v>200908</v>
      </c>
      <c r="G3885" s="143" t="n"/>
      <c r="H3885" s="143" t="n">
        <v>233</v>
      </c>
      <c r="I3885" s="143">
        <f>+I3884+(G3885-H3885)</f>
        <v/>
      </c>
      <c r="J3885" s="144" t="n">
        <v>46.5</v>
      </c>
      <c r="K3885" s="145" t="n"/>
      <c r="L3885" s="140">
        <f>+H3885*J3885</f>
        <v/>
      </c>
      <c r="M3885" s="141">
        <f>SUM(M3884+K3885-L3885)</f>
        <v/>
      </c>
    </row>
    <row r="3886">
      <c r="A3886" s="20" t="n">
        <v>45870</v>
      </c>
      <c r="B3886" s="1" t="n">
        <v>1008</v>
      </c>
      <c r="C3886" s="2" t="inlineStr">
        <is>
          <t>SELİM İNŞAAT</t>
        </is>
      </c>
      <c r="D3886" s="1" t="inlineStr">
        <is>
          <t>34 DHH 668</t>
        </is>
      </c>
      <c r="E3886" s="1" t="inlineStr">
        <is>
          <t xml:space="preserve">ADNAN KOÇ </t>
        </is>
      </c>
      <c r="F3886" s="3" t="n">
        <v>394027</v>
      </c>
      <c r="G3886" s="143" t="n"/>
      <c r="H3886" s="143" t="n">
        <v>445</v>
      </c>
      <c r="I3886" s="143">
        <f>+I3885+(G3886-H3886)</f>
        <v/>
      </c>
      <c r="J3886" s="144" t="n">
        <v>46.5</v>
      </c>
      <c r="K3886" s="145" t="n"/>
      <c r="L3886" s="140">
        <f>+H3886*J3886</f>
        <v/>
      </c>
      <c r="M3886" s="141">
        <f>SUM(M3885+K3886-L3886)</f>
        <v/>
      </c>
    </row>
    <row r="3887">
      <c r="A3887" s="20" t="n">
        <v>45870</v>
      </c>
      <c r="B3887" s="1" t="n">
        <v>15372</v>
      </c>
      <c r="C3887" s="2" t="inlineStr">
        <is>
          <t>SELİM İNŞAAT</t>
        </is>
      </c>
      <c r="D3887" s="1" t="inlineStr">
        <is>
          <t>34 DTV 409</t>
        </is>
      </c>
      <c r="E3887" s="1" t="inlineStr">
        <is>
          <t>ONUR CANLI</t>
        </is>
      </c>
      <c r="F3887" s="3" t="n">
        <v>427488</v>
      </c>
      <c r="G3887" s="143" t="n"/>
      <c r="H3887" s="143" t="n">
        <v>446</v>
      </c>
      <c r="I3887" s="143">
        <f>+I3886+(G3887-H3887)</f>
        <v/>
      </c>
      <c r="J3887" s="144" t="n">
        <v>46.5</v>
      </c>
      <c r="K3887" s="145" t="n"/>
      <c r="L3887" s="140">
        <f>+H3887*J3887</f>
        <v/>
      </c>
      <c r="M3887" s="141">
        <f>SUM(M3886+K3887-L3887)</f>
        <v/>
      </c>
    </row>
    <row r="3888">
      <c r="A3888" s="20" t="n">
        <v>45870</v>
      </c>
      <c r="B3888" s="1" t="n">
        <v>858</v>
      </c>
      <c r="C3888" s="2" t="inlineStr">
        <is>
          <t>SELİM İNŞAAT</t>
        </is>
      </c>
      <c r="D3888" s="1" t="inlineStr">
        <is>
          <t>34 FSG 229</t>
        </is>
      </c>
      <c r="E3888" s="1" t="inlineStr">
        <is>
          <t>SİNAN TANRIVERDİ</t>
        </is>
      </c>
      <c r="F3888" s="3" t="n">
        <v>268536</v>
      </c>
      <c r="G3888" s="143" t="n"/>
      <c r="H3888" s="143" t="n">
        <v>533</v>
      </c>
      <c r="I3888" s="143">
        <f>+I3887+(G3888-H3888)</f>
        <v/>
      </c>
      <c r="J3888" s="144" t="n">
        <v>46.5</v>
      </c>
      <c r="K3888" s="145" t="n"/>
      <c r="L3888" s="140">
        <f>+H3888*J3888</f>
        <v/>
      </c>
      <c r="M3888" s="141">
        <f>SUM(M3887+K3888-L3888)</f>
        <v/>
      </c>
    </row>
    <row r="3889">
      <c r="A3889" s="20" t="n">
        <v>45870</v>
      </c>
      <c r="B3889" s="1" t="n">
        <v>15331</v>
      </c>
      <c r="C3889" s="2" t="inlineStr">
        <is>
          <t>SELİM İNŞAAT</t>
        </is>
      </c>
      <c r="D3889" s="1" t="inlineStr">
        <is>
          <t>34 EDC 162</t>
        </is>
      </c>
      <c r="E3889" s="1" t="inlineStr">
        <is>
          <t xml:space="preserve">YAKUP GÜNER </t>
        </is>
      </c>
      <c r="F3889" s="3" t="n">
        <v>380982</v>
      </c>
      <c r="G3889" s="143" t="n"/>
      <c r="H3889" s="143" t="n">
        <v>352</v>
      </c>
      <c r="I3889" s="143">
        <f>+I3888+(G3889-H3889)</f>
        <v/>
      </c>
      <c r="J3889" s="144" t="n">
        <v>46.5</v>
      </c>
      <c r="K3889" s="145" t="n"/>
      <c r="L3889" s="140">
        <f>+H3889*J3889</f>
        <v/>
      </c>
      <c r="M3889" s="141">
        <f>SUM(M3888+K3889-L3889)</f>
        <v/>
      </c>
    </row>
    <row r="3890">
      <c r="A3890" s="20" t="n">
        <v>45870</v>
      </c>
      <c r="B3890" s="1" t="n">
        <v>1207</v>
      </c>
      <c r="C3890" s="2" t="inlineStr">
        <is>
          <t>SELİM İNŞAAT</t>
        </is>
      </c>
      <c r="D3890" s="1" t="inlineStr">
        <is>
          <t>34 DHC 393</t>
        </is>
      </c>
      <c r="E3890" s="1" t="inlineStr">
        <is>
          <t>İSMET BAYRAM</t>
        </is>
      </c>
      <c r="F3890" s="3" t="n">
        <v>432347</v>
      </c>
      <c r="G3890" s="143" t="n"/>
      <c r="H3890" s="143" t="n">
        <v>457</v>
      </c>
      <c r="I3890" s="143">
        <f>+I3889+(G3890-H3890)</f>
        <v/>
      </c>
      <c r="J3890" s="144" t="n">
        <v>46.5</v>
      </c>
      <c r="K3890" s="145" t="n"/>
      <c r="L3890" s="140">
        <f>+H3890*J3890</f>
        <v/>
      </c>
      <c r="M3890" s="141">
        <f>SUM(M3889+K3890-L3890)</f>
        <v/>
      </c>
    </row>
    <row r="3891">
      <c r="A3891" s="20" t="n">
        <v>45870</v>
      </c>
      <c r="B3891" s="1" t="n">
        <v>821</v>
      </c>
      <c r="C3891" s="2" t="inlineStr">
        <is>
          <t>SELİM İNŞAAT</t>
        </is>
      </c>
      <c r="D3891" s="1" t="inlineStr">
        <is>
          <t>34 FBR 705</t>
        </is>
      </c>
      <c r="E3891" s="1" t="inlineStr">
        <is>
          <t>MESUT GÜRLER</t>
        </is>
      </c>
      <c r="F3891" s="3" t="n">
        <v>328944</v>
      </c>
      <c r="G3891" s="143" t="n"/>
      <c r="H3891" s="143" t="n">
        <v>419</v>
      </c>
      <c r="I3891" s="143">
        <f>+I3890+(G3891-H3891)</f>
        <v/>
      </c>
      <c r="J3891" s="144" t="n">
        <v>46.5</v>
      </c>
      <c r="K3891" s="145" t="n"/>
      <c r="L3891" s="140">
        <f>+H3891*J3891</f>
        <v/>
      </c>
      <c r="M3891" s="141">
        <f>SUM(M3890+K3891-L3891)</f>
        <v/>
      </c>
    </row>
    <row r="3892">
      <c r="A3892" s="20" t="n">
        <v>45870</v>
      </c>
      <c r="B3892" s="1" t="n">
        <v>1453</v>
      </c>
      <c r="C3892" s="2" t="inlineStr">
        <is>
          <t>SELİM İNŞAAT</t>
        </is>
      </c>
      <c r="D3892" s="1" t="inlineStr">
        <is>
          <t>34 EGR 737</t>
        </is>
      </c>
      <c r="E3892" s="1" t="inlineStr">
        <is>
          <t>CEM MUHTAR</t>
        </is>
      </c>
      <c r="F3892" s="3" t="n">
        <v>427048</v>
      </c>
      <c r="G3892" s="143" t="n"/>
      <c r="H3892" s="143" t="n">
        <v>526</v>
      </c>
      <c r="I3892" s="143">
        <f>+I3891+(G3892-H3892)</f>
        <v/>
      </c>
      <c r="J3892" s="144" t="n">
        <v>46.5</v>
      </c>
      <c r="K3892" s="145" t="n"/>
      <c r="L3892" s="140">
        <f>+H3892*J3892</f>
        <v/>
      </c>
      <c r="M3892" s="141">
        <f>SUM(M3891+K3892-L3892)</f>
        <v/>
      </c>
    </row>
    <row r="3893">
      <c r="A3893" s="20" t="n">
        <v>45870</v>
      </c>
      <c r="B3893" s="1" t="n">
        <v>15269</v>
      </c>
      <c r="C3893" s="2" t="inlineStr">
        <is>
          <t>SELİM İNŞAAT</t>
        </is>
      </c>
      <c r="D3893" s="1" t="inlineStr">
        <is>
          <t>34 DTV 447</t>
        </is>
      </c>
      <c r="E3893" s="1" t="inlineStr">
        <is>
          <t>EBUBEKİR KOLDAŞ</t>
        </is>
      </c>
      <c r="F3893" s="3" t="n">
        <v>438593</v>
      </c>
      <c r="G3893" s="143" t="n"/>
      <c r="H3893" s="143" t="n">
        <v>425</v>
      </c>
      <c r="I3893" s="143">
        <f>+I3892+(G3893-H3893)</f>
        <v/>
      </c>
      <c r="J3893" s="144" t="n">
        <v>46.5</v>
      </c>
      <c r="K3893" s="145" t="n"/>
      <c r="L3893" s="140">
        <f>+H3893*J3893</f>
        <v/>
      </c>
      <c r="M3893" s="141">
        <f>SUM(M3892+K3893-L3893)</f>
        <v/>
      </c>
    </row>
    <row r="3894">
      <c r="A3894" s="20" t="n">
        <v>45870</v>
      </c>
      <c r="B3894" s="1" t="n">
        <v>1108</v>
      </c>
      <c r="C3894" s="2" t="inlineStr">
        <is>
          <t>SELİM İNŞAAT</t>
        </is>
      </c>
      <c r="D3894" s="1" t="inlineStr">
        <is>
          <t>34 EDB 659</t>
        </is>
      </c>
      <c r="E3894" s="1" t="inlineStr">
        <is>
          <t>MEHMET SAİT ANIK</t>
        </is>
      </c>
      <c r="F3894" s="3" t="n">
        <v>352932</v>
      </c>
      <c r="G3894" s="143" t="n"/>
      <c r="H3894" s="143" t="n">
        <v>501</v>
      </c>
      <c r="I3894" s="143">
        <f>+I3893+(G3894-H3894)</f>
        <v/>
      </c>
      <c r="J3894" s="144" t="n">
        <v>46.5</v>
      </c>
      <c r="K3894" s="145" t="n"/>
      <c r="L3894" s="140">
        <f>+H3894*J3894</f>
        <v/>
      </c>
      <c r="M3894" s="141">
        <f>SUM(M3893+K3894-L3894)</f>
        <v/>
      </c>
    </row>
    <row r="3895">
      <c r="A3895" s="20" t="n">
        <v>45870</v>
      </c>
      <c r="B3895" s="1" t="n">
        <v>1059</v>
      </c>
      <c r="C3895" s="2" t="inlineStr">
        <is>
          <t>SELİM İNŞAAT</t>
        </is>
      </c>
      <c r="D3895" s="1" t="inlineStr">
        <is>
          <t>34 GVZ 310</t>
        </is>
      </c>
      <c r="E3895" s="1" t="inlineStr">
        <is>
          <t>CELAL YÜZBAŞI</t>
        </is>
      </c>
      <c r="F3895" s="3" t="n">
        <v>210498</v>
      </c>
      <c r="G3895" s="143" t="n"/>
      <c r="H3895" s="143" t="n">
        <v>250</v>
      </c>
      <c r="I3895" s="143">
        <f>+I3894+(G3895-H3895)</f>
        <v/>
      </c>
      <c r="J3895" s="144" t="n">
        <v>46.5</v>
      </c>
      <c r="K3895" s="145" t="n"/>
      <c r="L3895" s="140">
        <f>+H3895*J3895</f>
        <v/>
      </c>
      <c r="M3895" s="141">
        <f>SUM(M3894+K3895-L3895)</f>
        <v/>
      </c>
    </row>
    <row r="3896">
      <c r="A3896" s="20" t="n">
        <v>45870</v>
      </c>
      <c r="B3896" s="1" t="n">
        <v>21645</v>
      </c>
      <c r="C3896" s="2" t="inlineStr">
        <is>
          <t>SELİM İNŞAAT</t>
        </is>
      </c>
      <c r="D3896" s="1" t="inlineStr">
        <is>
          <t>34 DHC 467</t>
        </is>
      </c>
      <c r="E3896" s="1" t="inlineStr">
        <is>
          <t>NAZIM KARATAŞ</t>
        </is>
      </c>
      <c r="F3896" s="3" t="n">
        <v>414361</v>
      </c>
      <c r="G3896" s="143" t="n"/>
      <c r="H3896" s="143" t="n">
        <v>302</v>
      </c>
      <c r="I3896" s="143">
        <f>+I3895+(G3896-H3896)</f>
        <v/>
      </c>
      <c r="J3896" s="144" t="n">
        <v>46.5</v>
      </c>
      <c r="K3896" s="145" t="n"/>
      <c r="L3896" s="140">
        <f>+H3896*J3896</f>
        <v/>
      </c>
      <c r="M3896" s="141">
        <f>SUM(M3895+K3896-L3896)</f>
        <v/>
      </c>
    </row>
    <row r="3897">
      <c r="A3897" s="20" t="n">
        <v>45870</v>
      </c>
      <c r="B3897" s="1" t="n">
        <v>15071</v>
      </c>
      <c r="C3897" s="2" t="inlineStr">
        <is>
          <t>SELİM İNŞAAT</t>
        </is>
      </c>
      <c r="D3897" s="1" t="inlineStr">
        <is>
          <t>34 EGR736</t>
        </is>
      </c>
      <c r="E3897" s="1" t="inlineStr">
        <is>
          <t>HAKAN ÇAVUŞOĞLU</t>
        </is>
      </c>
      <c r="F3897" s="3" t="n">
        <v>401664</v>
      </c>
      <c r="G3897" s="143" t="n"/>
      <c r="H3897" s="143" t="n">
        <v>314</v>
      </c>
      <c r="I3897" s="143">
        <f>+I3896+(G3897-H3897)</f>
        <v/>
      </c>
      <c r="J3897" s="144" t="n">
        <v>46.5</v>
      </c>
      <c r="K3897" s="145" t="n"/>
      <c r="L3897" s="140">
        <f>+H3897*J3897</f>
        <v/>
      </c>
      <c r="M3897" s="141">
        <f>SUM(M3896+K3897-L3897)</f>
        <v/>
      </c>
    </row>
    <row r="3898">
      <c r="A3898" s="20" t="n">
        <v>45870</v>
      </c>
      <c r="B3898" s="21" t="n">
        <v>15630</v>
      </c>
      <c r="C3898" s="22" t="inlineStr">
        <is>
          <t>METİN ERYİĞİT</t>
        </is>
      </c>
      <c r="D3898" s="21" t="inlineStr">
        <is>
          <t>34 EGS 013</t>
        </is>
      </c>
      <c r="E3898" s="21" t="inlineStr">
        <is>
          <t>UĞUR DUMAN</t>
        </is>
      </c>
      <c r="F3898" s="23" t="n">
        <v>502380</v>
      </c>
      <c r="G3898" s="138" t="n"/>
      <c r="H3898" s="138" t="n">
        <v>509</v>
      </c>
      <c r="I3898" s="138">
        <f>+I3897+(G3898-H3898)</f>
        <v/>
      </c>
      <c r="J3898" s="139" t="n">
        <v>46.5</v>
      </c>
      <c r="K3898" s="140" t="n"/>
      <c r="L3898" s="140">
        <f>+H3898*J3898</f>
        <v/>
      </c>
      <c r="M3898" s="141">
        <f>SUM(M3897+K3898-L3898)</f>
        <v/>
      </c>
    </row>
    <row r="3899">
      <c r="A3899" s="20" t="n">
        <v>45870</v>
      </c>
      <c r="B3899" s="21" t="n">
        <v>714</v>
      </c>
      <c r="C3899" s="22" t="inlineStr">
        <is>
          <t>METİN ERYİĞİT</t>
        </is>
      </c>
      <c r="D3899" s="21" t="inlineStr">
        <is>
          <t>34 GBL 998</t>
        </is>
      </c>
      <c r="E3899" s="21" t="inlineStr">
        <is>
          <t>M.ALİ KESKİN</t>
        </is>
      </c>
      <c r="F3899" s="23" t="n">
        <v>282954</v>
      </c>
      <c r="G3899" s="138" t="n"/>
      <c r="H3899" s="138" t="n">
        <v>340</v>
      </c>
      <c r="I3899" s="138">
        <f>+I3898+(G3899-H3899)</f>
        <v/>
      </c>
      <c r="J3899" s="139" t="n">
        <v>46.5</v>
      </c>
      <c r="K3899" s="140" t="n"/>
      <c r="L3899" s="140">
        <f>+H3899*J3899</f>
        <v/>
      </c>
      <c r="M3899" s="141">
        <f>SUM(M3898+K3899-L3899)</f>
        <v/>
      </c>
    </row>
    <row r="3900">
      <c r="A3900" s="20" t="n">
        <v>45870</v>
      </c>
      <c r="B3900" s="21" t="n">
        <v>11383</v>
      </c>
      <c r="C3900" s="22" t="inlineStr">
        <is>
          <t>AZGÜN YAPI</t>
        </is>
      </c>
      <c r="D3900" s="21" t="inlineStr">
        <is>
          <t>34 MKT 593</t>
        </is>
      </c>
      <c r="E3900" s="21" t="inlineStr">
        <is>
          <t>İBRAHİM GÜLLÜK</t>
        </is>
      </c>
      <c r="F3900" s="23" t="n"/>
      <c r="G3900" s="138" t="n"/>
      <c r="H3900" s="138" t="n">
        <v>295</v>
      </c>
      <c r="I3900" s="138">
        <f>+I3899+(G3900-H3900)</f>
        <v/>
      </c>
      <c r="J3900" s="139" t="n">
        <v>46.5</v>
      </c>
      <c r="K3900" s="140" t="n"/>
      <c r="L3900" s="140">
        <f>+H3900*J3900</f>
        <v/>
      </c>
      <c r="M3900" s="141">
        <f>SUM(M3899+K3900-L3900)</f>
        <v/>
      </c>
    </row>
    <row r="3901">
      <c r="A3901" s="20" t="n">
        <v>45870</v>
      </c>
      <c r="B3901" s="21" t="n">
        <v>14198</v>
      </c>
      <c r="C3901" s="22" t="inlineStr">
        <is>
          <t>AZGÜN YAPI</t>
        </is>
      </c>
      <c r="D3901" s="21" t="inlineStr">
        <is>
          <t>34 DTV 263</t>
        </is>
      </c>
      <c r="E3901" s="21" t="inlineStr">
        <is>
          <t>MUHAMMED BULUT</t>
        </is>
      </c>
      <c r="F3901" s="23" t="n"/>
      <c r="G3901" s="138" t="n"/>
      <c r="H3901" s="138" t="n">
        <v>402</v>
      </c>
      <c r="I3901" s="138">
        <f>+I3900+(G3901-H3901)</f>
        <v/>
      </c>
      <c r="J3901" s="139" t="n">
        <v>46.5</v>
      </c>
      <c r="K3901" s="140" t="n"/>
      <c r="L3901" s="140">
        <f>+H3901*J3901</f>
        <v/>
      </c>
      <c r="M3901" s="141">
        <f>SUM(M3900+K3901-L3901)</f>
        <v/>
      </c>
    </row>
    <row r="3902">
      <c r="A3902" s="20" t="n">
        <v>45870</v>
      </c>
      <c r="B3902" s="21" t="n">
        <v>11341</v>
      </c>
      <c r="C3902" s="22" t="inlineStr">
        <is>
          <t>AZGÜN YAPI</t>
        </is>
      </c>
      <c r="D3902" s="21" t="inlineStr">
        <is>
          <t>34 MKT 859</t>
        </is>
      </c>
      <c r="E3902" s="21" t="inlineStr">
        <is>
          <t>HASAN ALTUN</t>
        </is>
      </c>
      <c r="F3902" s="23" t="n"/>
      <c r="G3902" s="138" t="n"/>
      <c r="H3902" s="138" t="n">
        <v>430</v>
      </c>
      <c r="I3902" s="138">
        <f>+I3901+(G3902-H3902)</f>
        <v/>
      </c>
      <c r="J3902" s="139" t="n">
        <v>46.5</v>
      </c>
      <c r="K3902" s="140" t="n"/>
      <c r="L3902" s="140">
        <f>+H3902*J3902</f>
        <v/>
      </c>
      <c r="M3902" s="141">
        <f>SUM(M3901+K3902-L3902)</f>
        <v/>
      </c>
    </row>
    <row r="3903">
      <c r="A3903" s="20" t="n">
        <v>45870</v>
      </c>
      <c r="B3903" s="1" t="n">
        <v>14550</v>
      </c>
      <c r="C3903" s="2" t="inlineStr">
        <is>
          <t>SELİM İNŞAAT</t>
        </is>
      </c>
      <c r="D3903" s="1" t="inlineStr">
        <is>
          <t>34 GER 028</t>
        </is>
      </c>
      <c r="E3903" s="1" t="inlineStr">
        <is>
          <t>A.KERİM ERGEN</t>
        </is>
      </c>
      <c r="F3903" s="3" t="n">
        <v>49054</v>
      </c>
      <c r="G3903" s="143" t="n"/>
      <c r="H3903" s="143" t="n">
        <v>270</v>
      </c>
      <c r="I3903" s="143">
        <f>+I3902+(G3903-H3903)</f>
        <v/>
      </c>
      <c r="J3903" s="144" t="n">
        <v>46.5</v>
      </c>
      <c r="K3903" s="145" t="n"/>
      <c r="L3903" s="140">
        <f>+H3903*J3903</f>
        <v/>
      </c>
      <c r="M3903" s="141">
        <f>SUM(M3902+K3903-L3903)</f>
        <v/>
      </c>
    </row>
    <row r="3904">
      <c r="A3904" s="20" t="n">
        <v>45870</v>
      </c>
      <c r="B3904" s="1" t="n">
        <v>464</v>
      </c>
      <c r="C3904" s="2" t="inlineStr">
        <is>
          <t>SELİM İNŞAAT</t>
        </is>
      </c>
      <c r="D3904" s="1" t="inlineStr">
        <is>
          <t>34 DKL 866</t>
        </is>
      </c>
      <c r="E3904" s="1" t="inlineStr">
        <is>
          <t>SELİM CAN ÖNVER</t>
        </is>
      </c>
      <c r="F3904" s="3" t="n">
        <v>70562</v>
      </c>
      <c r="G3904" s="143" t="n"/>
      <c r="H3904" s="143" t="n">
        <v>202</v>
      </c>
      <c r="I3904" s="143">
        <f>+I3903+(G3904-H3904)</f>
        <v/>
      </c>
      <c r="J3904" s="144" t="n">
        <v>46.5</v>
      </c>
      <c r="K3904" s="145" t="n"/>
      <c r="L3904" s="140">
        <f>+H3904*J3904</f>
        <v/>
      </c>
      <c r="M3904" s="141">
        <f>SUM(M3903+K3904-L3904)</f>
        <v/>
      </c>
    </row>
    <row r="3905">
      <c r="A3905" s="20" t="n">
        <v>45870</v>
      </c>
      <c r="B3905" s="1" t="n">
        <v>15937</v>
      </c>
      <c r="C3905" s="2" t="inlineStr">
        <is>
          <t>SELİM İNŞAAT</t>
        </is>
      </c>
      <c r="D3905" s="1" t="inlineStr">
        <is>
          <t>34 DFE 454</t>
        </is>
      </c>
      <c r="E3905" s="1" t="inlineStr">
        <is>
          <t>TURAN SEVİNDİK</t>
        </is>
      </c>
      <c r="F3905" s="3" t="n">
        <v>163881</v>
      </c>
      <c r="G3905" s="143" t="n"/>
      <c r="H3905" s="143" t="n">
        <v>201</v>
      </c>
      <c r="I3905" s="143">
        <f>+I3904+(G3905-H3905)</f>
        <v/>
      </c>
      <c r="J3905" s="144" t="n">
        <v>46.5</v>
      </c>
      <c r="K3905" s="145" t="n"/>
      <c r="L3905" s="140">
        <f>+H3905*J3905</f>
        <v/>
      </c>
      <c r="M3905" s="141">
        <f>SUM(M3904+K3905-L3905)</f>
        <v/>
      </c>
    </row>
    <row r="3906">
      <c r="A3906" s="20" t="n">
        <v>45870</v>
      </c>
      <c r="B3906" s="1" t="n">
        <v>257</v>
      </c>
      <c r="C3906" s="2" t="inlineStr">
        <is>
          <t>SELİM İNŞAAT</t>
        </is>
      </c>
      <c r="D3906" s="1" t="inlineStr">
        <is>
          <t>34 GER 445</t>
        </is>
      </c>
      <c r="E3906" s="1" t="inlineStr">
        <is>
          <t>HASAN BAYCAN</t>
        </is>
      </c>
      <c r="F3906" s="3" t="n">
        <v>47273</v>
      </c>
      <c r="G3906" s="143" t="n"/>
      <c r="H3906" s="143" t="n">
        <v>246</v>
      </c>
      <c r="I3906" s="143">
        <f>+I3905+(G3906-H3906)</f>
        <v/>
      </c>
      <c r="J3906" s="144" t="n">
        <v>46.5</v>
      </c>
      <c r="K3906" s="145" t="n"/>
      <c r="L3906" s="140">
        <f>+H3906*J3906</f>
        <v/>
      </c>
      <c r="M3906" s="141">
        <f>SUM(M3905+K3906-L3906)</f>
        <v/>
      </c>
    </row>
    <row r="3907">
      <c r="A3907" s="20" t="n">
        <v>45870</v>
      </c>
      <c r="B3907" s="1" t="n">
        <v>15180</v>
      </c>
      <c r="C3907" s="2" t="inlineStr">
        <is>
          <t>SELİM İNŞAAT</t>
        </is>
      </c>
      <c r="D3907" s="1" t="inlineStr">
        <is>
          <t xml:space="preserve">34 DP 4161 </t>
        </is>
      </c>
      <c r="E3907" s="1" t="inlineStr">
        <is>
          <t>RIFAT KARATAY</t>
        </is>
      </c>
      <c r="F3907" s="3" t="n">
        <v>292842</v>
      </c>
      <c r="G3907" s="143" t="n"/>
      <c r="H3907" s="143" t="n">
        <v>298</v>
      </c>
      <c r="I3907" s="143">
        <f>+I3906+(G3907-H3907)</f>
        <v/>
      </c>
      <c r="J3907" s="144" t="n">
        <v>46.5</v>
      </c>
      <c r="K3907" s="145" t="n"/>
      <c r="L3907" s="140">
        <f>+H3907*J3907</f>
        <v/>
      </c>
      <c r="M3907" s="141">
        <f>SUM(M3906+K3907-L3907)</f>
        <v/>
      </c>
    </row>
    <row r="3908">
      <c r="A3908" s="20" t="n">
        <v>45870</v>
      </c>
      <c r="B3908" s="1" t="n">
        <v>8889</v>
      </c>
      <c r="C3908" s="2" t="inlineStr">
        <is>
          <t>SELİM İNŞAAT</t>
        </is>
      </c>
      <c r="D3908" s="1" t="inlineStr">
        <is>
          <t>AZ 2191 VİNÇ</t>
        </is>
      </c>
      <c r="E3908" s="1" t="inlineStr">
        <is>
          <t>NUMAN KABİL</t>
        </is>
      </c>
      <c r="F3908" s="3" t="n"/>
      <c r="G3908" s="143" t="n"/>
      <c r="H3908" s="143" t="n">
        <v>200</v>
      </c>
      <c r="I3908" s="143">
        <f>+I3907+(G3908-H3908)</f>
        <v/>
      </c>
      <c r="J3908" s="144" t="n">
        <v>46.5</v>
      </c>
      <c r="K3908" s="145" t="n"/>
      <c r="L3908" s="140">
        <f>+H3908*J3908</f>
        <v/>
      </c>
      <c r="M3908" s="141">
        <f>SUM(M3907+K3908-L3908)</f>
        <v/>
      </c>
    </row>
    <row r="3909">
      <c r="A3909" s="20" t="n">
        <v>45871</v>
      </c>
      <c r="B3909" s="1" t="n">
        <v>1992</v>
      </c>
      <c r="C3909" s="2" t="inlineStr">
        <is>
          <t>VARLIK</t>
        </is>
      </c>
      <c r="D3909" s="1" t="inlineStr">
        <is>
          <t>KAVAZAKİ</t>
        </is>
      </c>
      <c r="E3909" s="1" t="inlineStr">
        <is>
          <t>RAMAZAN KAYA</t>
        </is>
      </c>
      <c r="F3909" s="3" t="n"/>
      <c r="G3909" s="143" t="n"/>
      <c r="H3909" s="143" t="n">
        <v>228</v>
      </c>
      <c r="I3909" s="143">
        <f>+I3908+(G3909-H3909)</f>
        <v/>
      </c>
      <c r="J3909" s="144" t="n">
        <v>46.5</v>
      </c>
      <c r="K3909" s="145" t="n"/>
      <c r="L3909" s="140">
        <f>+H3909*J3909</f>
        <v/>
      </c>
      <c r="M3909" s="141">
        <f>SUM(M3908+K3909-L3909)</f>
        <v/>
      </c>
    </row>
    <row r="3910">
      <c r="A3910" s="20" t="n">
        <v>45871</v>
      </c>
      <c r="B3910" s="1" t="n">
        <v>1993</v>
      </c>
      <c r="C3910" s="2" t="inlineStr">
        <is>
          <t>VARLIK</t>
        </is>
      </c>
      <c r="D3910" s="1" t="inlineStr">
        <is>
          <t>SİLİNDİR</t>
        </is>
      </c>
      <c r="E3910" s="1" t="inlineStr">
        <is>
          <t>ÖNER DÜNDAR</t>
        </is>
      </c>
      <c r="F3910" s="3" t="n"/>
      <c r="G3910" s="143" t="n"/>
      <c r="H3910" s="143" t="n">
        <v>330</v>
      </c>
      <c r="I3910" s="143">
        <f>+I3909+(G3910-H3910)</f>
        <v/>
      </c>
      <c r="J3910" s="144" t="n">
        <v>46.5</v>
      </c>
      <c r="K3910" s="145" t="n"/>
      <c r="L3910" s="140">
        <f>+H3910*J3910</f>
        <v/>
      </c>
      <c r="M3910" s="141">
        <f>SUM(M3909+K3910-L3910)</f>
        <v/>
      </c>
    </row>
    <row r="3911">
      <c r="A3911" s="20" t="n">
        <v>45871</v>
      </c>
      <c r="B3911" s="1" t="n">
        <v>1994</v>
      </c>
      <c r="C3911" s="2" t="inlineStr">
        <is>
          <t>MEGA VALIK</t>
        </is>
      </c>
      <c r="D3911" s="1" t="inlineStr">
        <is>
          <t>SM 300</t>
        </is>
      </c>
      <c r="E3911" s="1" t="inlineStr">
        <is>
          <t>TURGUT SANCAK</t>
        </is>
      </c>
      <c r="F3911" s="3" t="n"/>
      <c r="G3911" s="143" t="n"/>
      <c r="H3911" s="143" t="n">
        <v>293</v>
      </c>
      <c r="I3911" s="143">
        <f>+I3910+(G3911-H3911)</f>
        <v/>
      </c>
      <c r="J3911" s="144" t="n">
        <v>46.5</v>
      </c>
      <c r="K3911" s="145" t="n"/>
      <c r="L3911" s="140">
        <f>+H3911*J3911</f>
        <v/>
      </c>
      <c r="M3911" s="141">
        <f>SUM(M3910+K3911-L3911)</f>
        <v/>
      </c>
    </row>
    <row r="3912">
      <c r="A3912" s="20" t="n">
        <v>45871</v>
      </c>
      <c r="B3912" s="1" t="n">
        <v>1995</v>
      </c>
      <c r="C3912" s="2" t="inlineStr">
        <is>
          <t>MEGA VALIK</t>
        </is>
      </c>
      <c r="D3912" s="1" t="inlineStr">
        <is>
          <t>SM 370</t>
        </is>
      </c>
      <c r="E3912" s="1" t="inlineStr">
        <is>
          <t>TEKİN ŞEYLAN</t>
        </is>
      </c>
      <c r="F3912" s="3" t="n"/>
      <c r="G3912" s="143" t="n"/>
      <c r="H3912" s="143" t="n">
        <v>562</v>
      </c>
      <c r="I3912" s="143">
        <f>+I3911+(G3912-H3912)</f>
        <v/>
      </c>
      <c r="J3912" s="144" t="n">
        <v>46.5</v>
      </c>
      <c r="K3912" s="145" t="n"/>
      <c r="L3912" s="140">
        <f>+H3912*J3912</f>
        <v/>
      </c>
      <c r="M3912" s="141">
        <f>SUM(M3911+K3912-L3912)</f>
        <v/>
      </c>
    </row>
    <row r="3913">
      <c r="A3913" s="20" t="n">
        <v>45871</v>
      </c>
      <c r="B3913" s="1" t="n">
        <v>1559</v>
      </c>
      <c r="C3913" s="2" t="inlineStr">
        <is>
          <t>SELİM İNŞAAT</t>
        </is>
      </c>
      <c r="D3913" s="1" t="inlineStr">
        <is>
          <t>34 GUS 938</t>
        </is>
      </c>
      <c r="E3913" s="1" t="inlineStr">
        <is>
          <t>MEHMET KAYA</t>
        </is>
      </c>
      <c r="F3913" s="3" t="n">
        <v>200861</v>
      </c>
      <c r="G3913" s="143" t="n"/>
      <c r="H3913" s="143" t="n">
        <v>422</v>
      </c>
      <c r="I3913" s="143">
        <f>+I3912+(G3913-H3913)</f>
        <v/>
      </c>
      <c r="J3913" s="144" t="n">
        <v>46.5</v>
      </c>
      <c r="K3913" s="145" t="n"/>
      <c r="L3913" s="140">
        <f>+H3913*J3913</f>
        <v/>
      </c>
      <c r="M3913" s="141">
        <f>SUM(M3912+K3913-L3913)</f>
        <v/>
      </c>
    </row>
    <row r="3914">
      <c r="A3914" s="20" t="n">
        <v>45871</v>
      </c>
      <c r="B3914" s="1" t="n">
        <v>1505</v>
      </c>
      <c r="C3914" s="2" t="inlineStr">
        <is>
          <t>SELİM İNŞAAT</t>
        </is>
      </c>
      <c r="D3914" s="1" t="inlineStr">
        <is>
          <t>34 GUS 848</t>
        </is>
      </c>
      <c r="E3914" s="1" t="inlineStr">
        <is>
          <t>SERDAR BOZKURT</t>
        </is>
      </c>
      <c r="F3914" s="3" t="n">
        <v>201204</v>
      </c>
      <c r="G3914" s="143" t="n"/>
      <c r="H3914" s="143" t="n">
        <v>522</v>
      </c>
      <c r="I3914" s="143">
        <f>+I3913+(G3914-H3914)</f>
        <v/>
      </c>
      <c r="J3914" s="144" t="n">
        <v>46.5</v>
      </c>
      <c r="K3914" s="145" t="n"/>
      <c r="L3914" s="140">
        <f>+H3914*J3914</f>
        <v/>
      </c>
      <c r="M3914" s="141">
        <f>SUM(M3913+K3914-L3914)</f>
        <v/>
      </c>
    </row>
    <row r="3915">
      <c r="A3915" s="20" t="n">
        <v>45871</v>
      </c>
      <c r="B3915" s="1" t="n">
        <v>570</v>
      </c>
      <c r="C3915" s="2" t="inlineStr">
        <is>
          <t>SELİM İNŞAAT</t>
        </is>
      </c>
      <c r="D3915" s="1" t="inlineStr">
        <is>
          <t>34 EDB 922</t>
        </is>
      </c>
      <c r="E3915" s="1" t="inlineStr">
        <is>
          <t>AHMET TOPÇU</t>
        </is>
      </c>
      <c r="F3915" s="3" t="n">
        <v>375470</v>
      </c>
      <c r="G3915" s="143" t="n"/>
      <c r="H3915" s="143" t="n">
        <v>380</v>
      </c>
      <c r="I3915" s="143">
        <f>+I3914+(G3915-H3915)</f>
        <v/>
      </c>
      <c r="J3915" s="144" t="n">
        <v>46.5</v>
      </c>
      <c r="K3915" s="145" t="n"/>
      <c r="L3915" s="140">
        <f>+H3915*J3915</f>
        <v/>
      </c>
      <c r="M3915" s="141">
        <f>SUM(M3914+K3915-L3915)</f>
        <v/>
      </c>
    </row>
    <row r="3916">
      <c r="A3916" s="20" t="n">
        <v>45871</v>
      </c>
      <c r="B3916" s="1" t="n">
        <v>14841</v>
      </c>
      <c r="C3916" s="2" t="inlineStr">
        <is>
          <t>SELİM İNŞAAT</t>
        </is>
      </c>
      <c r="D3916" s="1" t="inlineStr">
        <is>
          <t>34 GVZ 268</t>
        </is>
      </c>
      <c r="E3916" s="1" t="inlineStr">
        <is>
          <t xml:space="preserve">KERİM KARAMAN </t>
        </is>
      </c>
      <c r="F3916" s="3" t="n">
        <v>205064</v>
      </c>
      <c r="G3916" s="143" t="n"/>
      <c r="H3916" s="143" t="n">
        <v>435</v>
      </c>
      <c r="I3916" s="143">
        <f>+I3915+(G3916-H3916)</f>
        <v/>
      </c>
      <c r="J3916" s="144" t="n">
        <v>46.5</v>
      </c>
      <c r="K3916" s="145" t="n"/>
      <c r="L3916" s="140">
        <f>+H3916*J3916</f>
        <v/>
      </c>
      <c r="M3916" s="141">
        <f>SUM(M3915+K3916-L3916)</f>
        <v/>
      </c>
    </row>
    <row r="3917">
      <c r="A3917" s="20" t="n">
        <v>45871</v>
      </c>
      <c r="B3917" s="1" t="n">
        <v>14779</v>
      </c>
      <c r="C3917" s="2" t="inlineStr">
        <is>
          <t>SELİM İNŞAAT</t>
        </is>
      </c>
      <c r="D3917" s="1" t="inlineStr">
        <is>
          <t>34 GYZ 635</t>
        </is>
      </c>
      <c r="E3917" s="1" t="inlineStr">
        <is>
          <t>ENGİN DEMİR</t>
        </is>
      </c>
      <c r="F3917" s="3" t="n">
        <v>186040</v>
      </c>
      <c r="G3917" s="143" t="n"/>
      <c r="H3917" s="143" t="n">
        <v>403</v>
      </c>
      <c r="I3917" s="143">
        <f>+I3916+(G3917-H3917)</f>
        <v/>
      </c>
      <c r="J3917" s="144" t="n">
        <v>46.5</v>
      </c>
      <c r="K3917" s="145" t="n"/>
      <c r="L3917" s="140">
        <f>+H3917*J3917</f>
        <v/>
      </c>
      <c r="M3917" s="141">
        <f>SUM(M3916+K3917-L3917)</f>
        <v/>
      </c>
    </row>
    <row r="3918">
      <c r="A3918" s="20" t="n">
        <v>45871</v>
      </c>
      <c r="B3918" s="1" t="n">
        <v>152223</v>
      </c>
      <c r="C3918" s="2" t="inlineStr">
        <is>
          <t>SELİM İNŞAAT</t>
        </is>
      </c>
      <c r="D3918" s="1" t="inlineStr">
        <is>
          <t>34 DSN 565</t>
        </is>
      </c>
      <c r="E3918" s="1" t="inlineStr">
        <is>
          <t>HÜSEYİN DENİZ</t>
        </is>
      </c>
      <c r="F3918" s="3" t="n">
        <v>410662</v>
      </c>
      <c r="G3918" s="143" t="n"/>
      <c r="H3918" s="143" t="n">
        <v>468</v>
      </c>
      <c r="I3918" s="143">
        <f>+I3917+(G3918-H3918)</f>
        <v/>
      </c>
      <c r="J3918" s="144" t="n">
        <v>46.5</v>
      </c>
      <c r="K3918" s="145" t="n"/>
      <c r="L3918" s="140">
        <f>+H3918*J3918</f>
        <v/>
      </c>
      <c r="M3918" s="141">
        <f>SUM(M3917+K3918-L3918)</f>
        <v/>
      </c>
    </row>
    <row r="3919">
      <c r="A3919" s="20" t="n">
        <v>45871</v>
      </c>
      <c r="B3919" s="1" t="n">
        <v>1258</v>
      </c>
      <c r="C3919" s="2" t="inlineStr">
        <is>
          <t>SELİM İNŞAAT</t>
        </is>
      </c>
      <c r="D3919" s="1" t="inlineStr">
        <is>
          <t>34 DSN 621</t>
        </is>
      </c>
      <c r="E3919" s="1" t="inlineStr">
        <is>
          <t>MUSTAFA KAYA</t>
        </is>
      </c>
      <c r="F3919" s="3" t="n">
        <v>423018</v>
      </c>
      <c r="G3919" s="143" t="n"/>
      <c r="H3919" s="143" t="n">
        <v>491</v>
      </c>
      <c r="I3919" s="143">
        <f>+I3918+(G3919-H3919)</f>
        <v/>
      </c>
      <c r="J3919" s="144" t="n">
        <v>46.5</v>
      </c>
      <c r="K3919" s="145" t="n"/>
      <c r="L3919" s="140">
        <f>+H3919*J3919</f>
        <v/>
      </c>
      <c r="M3919" s="141">
        <f>SUM(M3918+K3919-L3919)</f>
        <v/>
      </c>
    </row>
    <row r="3920">
      <c r="A3920" s="20" t="n">
        <v>45871</v>
      </c>
      <c r="B3920" s="1" t="n">
        <v>15535</v>
      </c>
      <c r="C3920" s="2" t="inlineStr">
        <is>
          <t>SELİM İNŞAAT</t>
        </is>
      </c>
      <c r="D3920" s="1" t="inlineStr">
        <is>
          <t>34 EDC 086</t>
        </is>
      </c>
      <c r="E3920" s="1" t="inlineStr">
        <is>
          <t>ÖMER AĞAYAR</t>
        </is>
      </c>
      <c r="F3920" s="3" t="n">
        <v>338339</v>
      </c>
      <c r="G3920" s="143" t="n"/>
      <c r="H3920" s="143" t="n">
        <v>517</v>
      </c>
      <c r="I3920" s="143">
        <f>+I3919+(G3920-H3920)</f>
        <v/>
      </c>
      <c r="J3920" s="144" t="n">
        <v>46.5</v>
      </c>
      <c r="K3920" s="145" t="n"/>
      <c r="L3920" s="140">
        <f>+H3920*J3920</f>
        <v/>
      </c>
      <c r="M3920" s="141">
        <f>SUM(M3919+K3920-L3920)</f>
        <v/>
      </c>
    </row>
    <row r="3921">
      <c r="A3921" s="20" t="n">
        <v>45871</v>
      </c>
      <c r="B3921" s="1" t="n">
        <v>15978</v>
      </c>
      <c r="C3921" s="2" t="inlineStr">
        <is>
          <t>SELİM İNŞAAT</t>
        </is>
      </c>
      <c r="D3921" s="1" t="inlineStr">
        <is>
          <t>34 FBR 781</t>
        </is>
      </c>
      <c r="E3921" s="1" t="inlineStr">
        <is>
          <t>MEVLÜT POLAT</t>
        </is>
      </c>
      <c r="F3921" s="3" t="n">
        <v>317484</v>
      </c>
      <c r="G3921" s="143" t="n"/>
      <c r="H3921" s="143" t="n">
        <v>442</v>
      </c>
      <c r="I3921" s="143">
        <f>+I3920+(G3921-H3921)</f>
        <v/>
      </c>
      <c r="J3921" s="144" t="n">
        <v>46.5</v>
      </c>
      <c r="K3921" s="145" t="n"/>
      <c r="L3921" s="140">
        <f>+H3921*J3921</f>
        <v/>
      </c>
      <c r="M3921" s="141">
        <f>SUM(M3920+K3921-L3921)</f>
        <v/>
      </c>
    </row>
    <row r="3922">
      <c r="A3922" s="20" t="n">
        <v>45871</v>
      </c>
      <c r="B3922" s="1" t="n">
        <v>15586</v>
      </c>
      <c r="C3922" s="2" t="inlineStr">
        <is>
          <t>SELİM İNŞAAT</t>
        </is>
      </c>
      <c r="D3922" s="1" t="inlineStr">
        <is>
          <t>34 GVZ 745</t>
        </is>
      </c>
      <c r="E3922" s="1" t="inlineStr">
        <is>
          <t>MURAT DEMİRBAŞ</t>
        </is>
      </c>
      <c r="F3922" s="3" t="n">
        <v>198460</v>
      </c>
      <c r="G3922" s="143" t="n"/>
      <c r="H3922" s="143" t="n">
        <v>507</v>
      </c>
      <c r="I3922" s="143">
        <f>+I3921+(G3922-H3922)</f>
        <v/>
      </c>
      <c r="J3922" s="144" t="n">
        <v>46.5</v>
      </c>
      <c r="K3922" s="145" t="n"/>
      <c r="L3922" s="140">
        <f>+H3922*J3922</f>
        <v/>
      </c>
      <c r="M3922" s="141">
        <f>SUM(M3921+K3922-L3922)</f>
        <v/>
      </c>
    </row>
    <row r="3923">
      <c r="A3923" s="20" t="n">
        <v>45871</v>
      </c>
      <c r="B3923" s="1" t="n">
        <v>1803</v>
      </c>
      <c r="C3923" s="2" t="inlineStr">
        <is>
          <t>SELİM İNŞAAT</t>
        </is>
      </c>
      <c r="D3923" s="1" t="inlineStr">
        <is>
          <t>34 EGR 922</t>
        </is>
      </c>
      <c r="E3923" s="1" t="inlineStr">
        <is>
          <t>FARUK ÖZEN</t>
        </is>
      </c>
      <c r="F3923" s="3" t="n">
        <v>465975</v>
      </c>
      <c r="G3923" s="143" t="n"/>
      <c r="H3923" s="143" t="n">
        <v>528</v>
      </c>
      <c r="I3923" s="143">
        <f>+I3922+(G3923-H3923)</f>
        <v/>
      </c>
      <c r="J3923" s="144" t="n">
        <v>46.5</v>
      </c>
      <c r="K3923" s="145" t="n"/>
      <c r="L3923" s="140">
        <f>+H3923*J3923</f>
        <v/>
      </c>
      <c r="M3923" s="141">
        <f>SUM(M3922+K3923-L3923)</f>
        <v/>
      </c>
    </row>
    <row r="3924">
      <c r="A3924" s="20" t="n">
        <v>45871</v>
      </c>
      <c r="B3924" s="1" t="n">
        <v>15878</v>
      </c>
      <c r="C3924" s="2" t="inlineStr">
        <is>
          <t>SELİM İNŞAAT</t>
        </is>
      </c>
      <c r="D3924" s="1" t="inlineStr">
        <is>
          <t>34 EDB 754</t>
        </is>
      </c>
      <c r="E3924" s="1" t="inlineStr">
        <is>
          <t>EMİN PARLAKKILIÇ</t>
        </is>
      </c>
      <c r="F3924" s="3" t="n">
        <v>335279</v>
      </c>
      <c r="G3924" s="143" t="n"/>
      <c r="H3924" s="143" t="n">
        <v>481</v>
      </c>
      <c r="I3924" s="143">
        <f>+I3923+(G3924-H3924)</f>
        <v/>
      </c>
      <c r="J3924" s="144" t="n">
        <v>46.5</v>
      </c>
      <c r="K3924" s="145" t="n"/>
      <c r="L3924" s="140">
        <f>+H3924*J3924</f>
        <v/>
      </c>
      <c r="M3924" s="141">
        <f>SUM(M3923+K3924-L3924)</f>
        <v/>
      </c>
    </row>
    <row r="3925">
      <c r="A3925" s="20" t="n">
        <v>45871</v>
      </c>
      <c r="B3925" s="1" t="n">
        <v>1705</v>
      </c>
      <c r="C3925" s="2" t="inlineStr">
        <is>
          <t>SELİM İNŞAAT</t>
        </is>
      </c>
      <c r="D3925" s="21" t="inlineStr">
        <is>
          <t>34 DGP 137</t>
        </is>
      </c>
      <c r="E3925" s="1" t="inlineStr">
        <is>
          <t>MURAT DEMİRBAŞ</t>
        </is>
      </c>
      <c r="F3925" s="3" t="n">
        <v>434053</v>
      </c>
      <c r="G3925" s="143" t="n"/>
      <c r="H3925" s="143" t="n">
        <v>392</v>
      </c>
      <c r="I3925" s="143">
        <f>+I3924+(G3925-H3925)</f>
        <v/>
      </c>
      <c r="J3925" s="144" t="n">
        <v>46.5</v>
      </c>
      <c r="K3925" s="145" t="n"/>
      <c r="L3925" s="140">
        <f>+H3925*J3925</f>
        <v/>
      </c>
      <c r="M3925" s="141">
        <f>SUM(M3924+K3925-L3925)</f>
        <v/>
      </c>
    </row>
    <row r="3926">
      <c r="A3926" s="20" t="n">
        <v>45871</v>
      </c>
      <c r="B3926" s="21" t="n">
        <v>15686</v>
      </c>
      <c r="C3926" s="22" t="inlineStr">
        <is>
          <t>METİN ERYİĞİT</t>
        </is>
      </c>
      <c r="D3926" s="21" t="inlineStr">
        <is>
          <t>34 EGR 814</t>
        </is>
      </c>
      <c r="E3926" s="21" t="inlineStr">
        <is>
          <t>MUHAMMET YİĞİT</t>
        </is>
      </c>
      <c r="F3926" s="23" t="n">
        <v>556639</v>
      </c>
      <c r="G3926" s="138" t="n"/>
      <c r="H3926" s="138" t="n">
        <v>383</v>
      </c>
      <c r="I3926" s="138">
        <f>+I3925+(G3926-H3926)</f>
        <v/>
      </c>
      <c r="J3926" s="139" t="n">
        <v>46.5</v>
      </c>
      <c r="K3926" s="140" t="n"/>
      <c r="L3926" s="140">
        <f>+H3926*J3926</f>
        <v/>
      </c>
      <c r="M3926" s="141">
        <f>SUM(M3925+K3926-L3926)</f>
        <v/>
      </c>
    </row>
    <row r="3927">
      <c r="A3927" s="20" t="n">
        <v>45871</v>
      </c>
      <c r="B3927" s="1" t="n">
        <v>1401</v>
      </c>
      <c r="C3927" s="2" t="inlineStr">
        <is>
          <t>SELİM İNŞAAT</t>
        </is>
      </c>
      <c r="D3927" s="1" t="inlineStr">
        <is>
          <t>34 DKL 798</t>
        </is>
      </c>
      <c r="E3927" s="1" t="inlineStr">
        <is>
          <t>METİN KALKAN</t>
        </is>
      </c>
      <c r="F3927" s="3" t="n">
        <v>69770</v>
      </c>
      <c r="G3927" s="143" t="n"/>
      <c r="H3927" s="143" t="n">
        <v>293</v>
      </c>
      <c r="I3927" s="143">
        <f>+I3926+(G3927-H3927)</f>
        <v/>
      </c>
      <c r="J3927" s="144" t="n">
        <v>46.5</v>
      </c>
      <c r="K3927" s="145" t="n"/>
      <c r="L3927" s="140">
        <f>+H3927*J3927</f>
        <v/>
      </c>
      <c r="M3927" s="141">
        <f>SUM(M3926+K3927-L3927)</f>
        <v/>
      </c>
    </row>
    <row r="3928">
      <c r="A3928" s="20" t="n">
        <v>45871</v>
      </c>
      <c r="B3928" s="21" t="n">
        <v>8900</v>
      </c>
      <c r="C3928" s="22" t="inlineStr">
        <is>
          <t>AHMET SELİM TEMHA</t>
        </is>
      </c>
      <c r="D3928" s="21" t="inlineStr">
        <is>
          <t>34 DGE 422</t>
        </is>
      </c>
      <c r="E3928" s="21" t="inlineStr">
        <is>
          <t>ERSOY SIĞINMAZ</t>
        </is>
      </c>
      <c r="F3928" s="23" t="n"/>
      <c r="G3928" s="138" t="n"/>
      <c r="H3928" s="138" t="n">
        <v>120</v>
      </c>
      <c r="I3928" s="138">
        <f>+I3927+(G3928-H3928)</f>
        <v/>
      </c>
      <c r="J3928" s="139" t="n">
        <v>46.5</v>
      </c>
      <c r="K3928" s="140" t="n"/>
      <c r="L3928" s="140">
        <f>+H3928*J3928</f>
        <v/>
      </c>
      <c r="M3928" s="141">
        <f>SUM(M3927+K3928-L3928)</f>
        <v/>
      </c>
    </row>
    <row r="3929">
      <c r="A3929" s="20" t="n">
        <v>45872</v>
      </c>
      <c r="B3929" s="1" t="n">
        <v>1996</v>
      </c>
      <c r="C3929" s="2" t="inlineStr">
        <is>
          <t>GARAJ</t>
        </is>
      </c>
      <c r="D3929" s="21" t="inlineStr">
        <is>
          <t>FOKLİFT</t>
        </is>
      </c>
      <c r="E3929" s="1" t="inlineStr">
        <is>
          <t>GARAJ</t>
        </is>
      </c>
      <c r="F3929" s="3" t="n"/>
      <c r="G3929" s="143" t="n"/>
      <c r="H3929" s="143" t="n">
        <v>45</v>
      </c>
      <c r="I3929" s="143">
        <f>+I3928+(G3929-H3929)</f>
        <v/>
      </c>
      <c r="J3929" s="144" t="n">
        <v>46.5</v>
      </c>
      <c r="K3929" s="145" t="n"/>
      <c r="L3929" s="140">
        <f>+H3929*J3929</f>
        <v/>
      </c>
      <c r="M3929" s="141">
        <f>SUM(M3928+K3929-L3929)</f>
        <v/>
      </c>
    </row>
    <row r="3930">
      <c r="A3930" s="20" t="n">
        <v>45872</v>
      </c>
      <c r="B3930" s="1" t="n">
        <v>1997</v>
      </c>
      <c r="C3930" s="2" t="inlineStr">
        <is>
          <t>EVKUR</t>
        </is>
      </c>
      <c r="D3930" s="1" t="inlineStr">
        <is>
          <t>MNT 2260</t>
        </is>
      </c>
      <c r="E3930" s="1" t="inlineStr">
        <is>
          <t>MUHAMMET KANTAR</t>
        </is>
      </c>
      <c r="F3930" s="3" t="n"/>
      <c r="G3930" s="143" t="n"/>
      <c r="H3930" s="143" t="n">
        <v>305</v>
      </c>
      <c r="I3930" s="143">
        <f>+I3929+(G3930-H3930)</f>
        <v/>
      </c>
      <c r="J3930" s="144" t="n">
        <v>46.5</v>
      </c>
      <c r="K3930" s="145" t="n"/>
      <c r="L3930" s="140">
        <f>+H3930*J3930</f>
        <v/>
      </c>
      <c r="M3930" s="141">
        <f>SUM(M3929+K3930-L3930)</f>
        <v/>
      </c>
    </row>
    <row r="3931">
      <c r="A3931" s="20" t="n">
        <v>45872</v>
      </c>
      <c r="B3931" s="1" t="n">
        <v>1998</v>
      </c>
      <c r="C3931" s="2" t="inlineStr">
        <is>
          <t>EVKUR</t>
        </is>
      </c>
      <c r="D3931" s="1" t="inlineStr">
        <is>
          <t xml:space="preserve">SM 350 </t>
        </is>
      </c>
      <c r="E3931" s="1" t="inlineStr">
        <is>
          <t>BAYRAM SANCAK</t>
        </is>
      </c>
      <c r="F3931" s="3" t="n"/>
      <c r="G3931" s="143" t="n"/>
      <c r="H3931" s="143" t="n">
        <v>490</v>
      </c>
      <c r="I3931" s="143">
        <f>+I3930+(G3931-H3931)</f>
        <v/>
      </c>
      <c r="J3931" s="144" t="n">
        <v>46.5</v>
      </c>
      <c r="K3931" s="145" t="n"/>
      <c r="L3931" s="140">
        <f>+H3931*J3931</f>
        <v/>
      </c>
      <c r="M3931" s="141">
        <f>SUM(M3930+K3931-L3931)</f>
        <v/>
      </c>
    </row>
    <row r="3932">
      <c r="A3932" s="20" t="n">
        <v>45872</v>
      </c>
      <c r="B3932" s="1" t="n">
        <v>1999</v>
      </c>
      <c r="C3932" s="2" t="inlineStr">
        <is>
          <t>MEGA VALIK</t>
        </is>
      </c>
      <c r="D3932" s="1" t="inlineStr">
        <is>
          <t>SM 350</t>
        </is>
      </c>
      <c r="E3932" s="1" t="inlineStr">
        <is>
          <t>TEVFİK ÖZTÜRK</t>
        </is>
      </c>
      <c r="F3932" s="3" t="n"/>
      <c r="G3932" s="143" t="n"/>
      <c r="H3932" s="143" t="n">
        <v>645</v>
      </c>
      <c r="I3932" s="143">
        <f>+I3931+(G3932-H3932)</f>
        <v/>
      </c>
      <c r="J3932" s="144" t="n">
        <v>46.5</v>
      </c>
      <c r="K3932" s="145" t="n"/>
      <c r="L3932" s="140">
        <f>+H3932*J3932</f>
        <v/>
      </c>
      <c r="M3932" s="141">
        <f>SUM(M3931+K3932-L3932)</f>
        <v/>
      </c>
    </row>
    <row r="3933">
      <c r="A3933" s="20" t="n">
        <v>45872</v>
      </c>
      <c r="B3933" s="1" t="n">
        <v>1560</v>
      </c>
      <c r="C3933" s="2" t="inlineStr">
        <is>
          <t>SELİM İNŞAAT</t>
        </is>
      </c>
      <c r="D3933" s="1" t="inlineStr">
        <is>
          <t>34 GUS 938</t>
        </is>
      </c>
      <c r="E3933" s="1" t="inlineStr">
        <is>
          <t>MEHMET KAYA</t>
        </is>
      </c>
      <c r="F3933" s="3" t="n">
        <v>201057</v>
      </c>
      <c r="G3933" s="143" t="n"/>
      <c r="H3933" s="143" t="n">
        <v>230</v>
      </c>
      <c r="I3933" s="143">
        <f>+I3932+(G3933-H3933)</f>
        <v/>
      </c>
      <c r="J3933" s="144" t="n">
        <v>46.5</v>
      </c>
      <c r="K3933" s="145" t="n"/>
      <c r="L3933" s="140">
        <f>+H3933*J3933</f>
        <v/>
      </c>
      <c r="M3933" s="141">
        <f>SUM(M3932+K3933-L3933)</f>
        <v/>
      </c>
    </row>
    <row r="3934">
      <c r="A3934" s="20" t="n">
        <v>45872</v>
      </c>
      <c r="B3934" s="1" t="n">
        <v>1009</v>
      </c>
      <c r="C3934" s="2" t="inlineStr">
        <is>
          <t>SELİM İNŞAAT</t>
        </is>
      </c>
      <c r="D3934" s="1" t="inlineStr">
        <is>
          <t>34 DHH 668</t>
        </is>
      </c>
      <c r="E3934" s="1" t="inlineStr">
        <is>
          <t xml:space="preserve">ADNAN KOÇ </t>
        </is>
      </c>
      <c r="F3934" s="3" t="n">
        <v>394544</v>
      </c>
      <c r="G3934" s="143" t="n"/>
      <c r="H3934" s="143" t="n">
        <v>344</v>
      </c>
      <c r="I3934" s="143">
        <f>+I3933+(G3934-H3934)</f>
        <v/>
      </c>
      <c r="J3934" s="144" t="n">
        <v>46.5</v>
      </c>
      <c r="K3934" s="145" t="n"/>
      <c r="L3934" s="140">
        <f>+H3934*J3934</f>
        <v/>
      </c>
      <c r="M3934" s="141">
        <f>SUM(M3933+K3934-L3934)</f>
        <v/>
      </c>
    </row>
    <row r="3935">
      <c r="A3935" s="20" t="n">
        <v>45872</v>
      </c>
      <c r="B3935" s="1" t="n">
        <v>23</v>
      </c>
      <c r="C3935" s="2" t="inlineStr">
        <is>
          <t>SELİM İNŞAAT</t>
        </is>
      </c>
      <c r="D3935" s="1" t="inlineStr">
        <is>
          <t>34 FBR 748</t>
        </is>
      </c>
      <c r="E3935" s="1" t="inlineStr">
        <is>
          <t>YAŞAR ÖZKAYA</t>
        </is>
      </c>
      <c r="F3935" s="3" t="n">
        <v>293894</v>
      </c>
      <c r="G3935" s="143" t="n"/>
      <c r="H3935" s="143" t="n">
        <v>554</v>
      </c>
      <c r="I3935" s="143">
        <f>+I3934+(G3935-H3935)</f>
        <v/>
      </c>
      <c r="J3935" s="144" t="n">
        <v>46.5</v>
      </c>
      <c r="K3935" s="145" t="n"/>
      <c r="L3935" s="140">
        <f>+H3935*J3935</f>
        <v/>
      </c>
      <c r="M3935" s="141">
        <f>SUM(M3934+K3935-L3935)</f>
        <v/>
      </c>
    </row>
    <row r="3936">
      <c r="A3936" s="20" t="n">
        <v>45872</v>
      </c>
      <c r="B3936" s="1" t="n">
        <v>14780</v>
      </c>
      <c r="C3936" s="2" t="inlineStr">
        <is>
          <t>SELİM İNŞAAT</t>
        </is>
      </c>
      <c r="D3936" s="1" t="inlineStr">
        <is>
          <t>34 GYZ 635</t>
        </is>
      </c>
      <c r="E3936" s="1" t="inlineStr">
        <is>
          <t>ENGİN DEMİR</t>
        </is>
      </c>
      <c r="F3936" s="3" t="n">
        <v>186382</v>
      </c>
      <c r="G3936" s="143" t="n"/>
      <c r="H3936" s="143" t="n">
        <v>326</v>
      </c>
      <c r="I3936" s="143">
        <f>+I3935+(G3936-H3936)</f>
        <v/>
      </c>
      <c r="J3936" s="144" t="n">
        <v>46.5</v>
      </c>
      <c r="K3936" s="145" t="n"/>
      <c r="L3936" s="140">
        <f>+H3936*J3936</f>
        <v/>
      </c>
      <c r="M3936" s="141">
        <f>SUM(M3935+K3936-L3936)</f>
        <v/>
      </c>
    </row>
    <row r="3937">
      <c r="A3937" s="20" t="n">
        <v>45872</v>
      </c>
      <c r="B3937" s="1" t="n">
        <v>1208</v>
      </c>
      <c r="C3937" s="2" t="inlineStr">
        <is>
          <t>SELİM İNŞAAT</t>
        </is>
      </c>
      <c r="D3937" s="1" t="inlineStr">
        <is>
          <t>34 DHC 393</t>
        </is>
      </c>
      <c r="E3937" s="1" t="inlineStr">
        <is>
          <t>İSMET BAYRAM</t>
        </is>
      </c>
      <c r="F3937" s="3" t="n">
        <v>432841</v>
      </c>
      <c r="G3937" s="143" t="n"/>
      <c r="H3937" s="143" t="n">
        <v>410</v>
      </c>
      <c r="I3937" s="143">
        <f>+I3936+(G3937-H3937)</f>
        <v/>
      </c>
      <c r="J3937" s="144" t="n">
        <v>46.5</v>
      </c>
      <c r="K3937" s="145" t="n"/>
      <c r="L3937" s="140">
        <f>+H3937*J3937</f>
        <v/>
      </c>
      <c r="M3937" s="141">
        <f>SUM(M3936+K3937-L3937)</f>
        <v/>
      </c>
    </row>
    <row r="3938">
      <c r="A3938" s="20" t="n">
        <v>45872</v>
      </c>
      <c r="B3938" s="1" t="n">
        <v>15587</v>
      </c>
      <c r="C3938" s="2" t="inlineStr">
        <is>
          <t>SELİM İNŞAAT</t>
        </is>
      </c>
      <c r="D3938" s="1" t="inlineStr">
        <is>
          <t>34 GVZ 745</t>
        </is>
      </c>
      <c r="E3938" s="1" t="inlineStr">
        <is>
          <t>MURAT DEMİRBAŞ</t>
        </is>
      </c>
      <c r="F3938" s="3" t="n">
        <v>198732</v>
      </c>
      <c r="G3938" s="143" t="n"/>
      <c r="H3938" s="143" t="n">
        <v>278</v>
      </c>
      <c r="I3938" s="143">
        <f>+I3937+(G3938-H3938)</f>
        <v/>
      </c>
      <c r="J3938" s="144" t="n">
        <v>46.5</v>
      </c>
      <c r="K3938" s="145" t="n"/>
      <c r="L3938" s="140">
        <f>+H3938*J3938</f>
        <v/>
      </c>
      <c r="M3938" s="141">
        <f>SUM(M3937+K3938-L3938)</f>
        <v/>
      </c>
    </row>
    <row r="3939">
      <c r="A3939" s="20" t="n">
        <v>45872</v>
      </c>
      <c r="B3939" s="1" t="n">
        <v>822</v>
      </c>
      <c r="C3939" s="2" t="inlineStr">
        <is>
          <t>SELİM İNŞAAT</t>
        </is>
      </c>
      <c r="D3939" s="1" t="inlineStr">
        <is>
          <t>34 FBR 705</t>
        </is>
      </c>
      <c r="E3939" s="1" t="inlineStr">
        <is>
          <t>MESUT GÜRLER</t>
        </is>
      </c>
      <c r="F3939" s="3" t="n">
        <v>329487</v>
      </c>
      <c r="G3939" s="143" t="n"/>
      <c r="H3939" s="143" t="n">
        <v>421</v>
      </c>
      <c r="I3939" s="143">
        <f>+I3938+(G3939-H3939)</f>
        <v/>
      </c>
      <c r="J3939" s="144" t="n">
        <v>46.5</v>
      </c>
      <c r="K3939" s="145" t="n"/>
      <c r="L3939" s="140">
        <f>+H3939*J3939</f>
        <v/>
      </c>
      <c r="M3939" s="141">
        <f>SUM(M3938+K3939-L3939)</f>
        <v/>
      </c>
    </row>
    <row r="3940">
      <c r="A3940" s="20" t="n">
        <v>45872</v>
      </c>
      <c r="B3940" s="1" t="n">
        <v>1454</v>
      </c>
      <c r="C3940" s="2" t="inlineStr">
        <is>
          <t>SELİM İNŞAAT</t>
        </is>
      </c>
      <c r="D3940" s="1" t="inlineStr">
        <is>
          <t>34 EGR 737</t>
        </is>
      </c>
      <c r="E3940" s="1" t="inlineStr">
        <is>
          <t>CEM MUHTAR</t>
        </is>
      </c>
      <c r="F3940" s="3" t="n">
        <v>427636</v>
      </c>
      <c r="G3940" s="143" t="n"/>
      <c r="H3940" s="143" t="n">
        <v>474</v>
      </c>
      <c r="I3940" s="143">
        <f>+I3939+(G3940-H3940)</f>
        <v/>
      </c>
      <c r="J3940" s="144" t="n">
        <v>46.5</v>
      </c>
      <c r="K3940" s="145" t="n"/>
      <c r="L3940" s="140">
        <f>+H3940*J3940</f>
        <v/>
      </c>
      <c r="M3940" s="141">
        <f>SUM(M3939+K3940-L3940)</f>
        <v/>
      </c>
    </row>
    <row r="3941">
      <c r="A3941" s="20" t="n">
        <v>45872</v>
      </c>
      <c r="B3941" s="1" t="n">
        <v>15126</v>
      </c>
      <c r="C3941" s="2" t="inlineStr">
        <is>
          <t>SELİM İNŞAAT</t>
        </is>
      </c>
      <c r="D3941" s="1" t="inlineStr">
        <is>
          <t>34 DTV 599</t>
        </is>
      </c>
      <c r="E3941" s="1" t="inlineStr">
        <is>
          <t>FERHAT GÜRLER</t>
        </is>
      </c>
      <c r="F3941" s="3" t="n">
        <v>443148</v>
      </c>
      <c r="G3941" s="143" t="n"/>
      <c r="H3941" s="143" t="n">
        <v>491</v>
      </c>
      <c r="I3941" s="143">
        <f>+I3940+(G3941-H3941)</f>
        <v/>
      </c>
      <c r="J3941" s="144" t="n">
        <v>46.5</v>
      </c>
      <c r="K3941" s="145" t="n"/>
      <c r="L3941" s="140">
        <f>+H3941*J3941</f>
        <v/>
      </c>
      <c r="M3941" s="141">
        <f>SUM(M3940+K3941-L3941)</f>
        <v/>
      </c>
    </row>
    <row r="3942">
      <c r="A3942" s="20" t="n">
        <v>45872</v>
      </c>
      <c r="B3942" s="1" t="n">
        <v>21646</v>
      </c>
      <c r="C3942" s="2" t="inlineStr">
        <is>
          <t>SELİM İNŞAAT</t>
        </is>
      </c>
      <c r="D3942" s="1" t="inlineStr">
        <is>
          <t>34 DHC 467</t>
        </is>
      </c>
      <c r="E3942" s="1" t="inlineStr">
        <is>
          <t>NAZIM KARATAŞ</t>
        </is>
      </c>
      <c r="F3942" s="3" t="n">
        <v>414848</v>
      </c>
      <c r="G3942" s="143" t="n"/>
      <c r="H3942" s="143" t="n">
        <v>292</v>
      </c>
      <c r="I3942" s="143">
        <f>+I3941+(G3942-H3942)</f>
        <v/>
      </c>
      <c r="J3942" s="144" t="n">
        <v>46.5</v>
      </c>
      <c r="K3942" s="145" t="n"/>
      <c r="L3942" s="140">
        <f>+H3942*J3942</f>
        <v/>
      </c>
      <c r="M3942" s="141">
        <f>SUM(M3941+K3942-L3942)</f>
        <v/>
      </c>
    </row>
    <row r="3943">
      <c r="A3943" s="20" t="n">
        <v>45872</v>
      </c>
      <c r="B3943" s="1" t="n">
        <v>660</v>
      </c>
      <c r="C3943" s="2" t="inlineStr">
        <is>
          <t>SELİM İNŞAAT</t>
        </is>
      </c>
      <c r="D3943" s="1" t="inlineStr">
        <is>
          <t>34 DTV 352</t>
        </is>
      </c>
      <c r="E3943" s="1" t="inlineStr">
        <is>
          <t>AHMET DENİZ</t>
        </is>
      </c>
      <c r="F3943" s="3" t="n">
        <v>440878</v>
      </c>
      <c r="G3943" s="143" t="n"/>
      <c r="H3943" s="143" t="n">
        <v>480</v>
      </c>
      <c r="I3943" s="143">
        <f>+I3942+(G3943-H3943)</f>
        <v/>
      </c>
      <c r="J3943" s="144" t="n">
        <v>46.5</v>
      </c>
      <c r="K3943" s="145" t="n"/>
      <c r="L3943" s="140">
        <f>+H3943*J3943</f>
        <v/>
      </c>
      <c r="M3943" s="141">
        <f>SUM(M3942+K3943-L3943)</f>
        <v/>
      </c>
    </row>
    <row r="3944">
      <c r="A3944" s="20" t="n">
        <v>45872</v>
      </c>
      <c r="B3944" s="1" t="n">
        <v>15072</v>
      </c>
      <c r="C3944" s="2" t="inlineStr">
        <is>
          <t>SELİM İNŞAAT</t>
        </is>
      </c>
      <c r="D3944" s="1" t="inlineStr">
        <is>
          <t>34 EGR736</t>
        </is>
      </c>
      <c r="E3944" s="1" t="inlineStr">
        <is>
          <t>HAKAN ÇAVUŞOĞLU</t>
        </is>
      </c>
      <c r="F3944" s="3" t="n">
        <v>402071</v>
      </c>
      <c r="G3944" s="143" t="n"/>
      <c r="H3944" s="143" t="n">
        <v>372</v>
      </c>
      <c r="I3944" s="143">
        <f>+I3943+(G3944-H3944)</f>
        <v/>
      </c>
      <c r="J3944" s="144" t="n">
        <v>46.5</v>
      </c>
      <c r="K3944" s="145" t="n"/>
      <c r="L3944" s="140">
        <f>+H3944*J3944</f>
        <v/>
      </c>
      <c r="M3944" s="141">
        <f>SUM(M3943+K3944-L3944)</f>
        <v/>
      </c>
    </row>
    <row r="3945">
      <c r="A3945" s="20" t="n">
        <v>45872</v>
      </c>
      <c r="B3945" s="1" t="n">
        <v>965</v>
      </c>
      <c r="C3945" s="2" t="inlineStr">
        <is>
          <t>SELİM İNŞAAT</t>
        </is>
      </c>
      <c r="D3945" s="1" t="inlineStr">
        <is>
          <t>34 FBR 742</t>
        </is>
      </c>
      <c r="E3945" s="1" t="inlineStr">
        <is>
          <t>MİKAİL BAYILMAZ</t>
        </is>
      </c>
      <c r="F3945" s="3" t="n">
        <v>328812</v>
      </c>
      <c r="G3945" s="143" t="n"/>
      <c r="H3945" s="143" t="n">
        <v>423</v>
      </c>
      <c r="I3945" s="143">
        <f>+I3944+(G3945-H3945)</f>
        <v/>
      </c>
      <c r="J3945" s="144" t="n">
        <v>46.5</v>
      </c>
      <c r="K3945" s="145" t="n"/>
      <c r="L3945" s="140">
        <f>+H3945*J3945</f>
        <v/>
      </c>
      <c r="M3945" s="141">
        <f>SUM(M3944+K3945-L3945)</f>
        <v/>
      </c>
    </row>
    <row r="3946">
      <c r="A3946" s="20" t="n">
        <v>45872</v>
      </c>
      <c r="B3946" s="21" t="n">
        <v>15631</v>
      </c>
      <c r="C3946" s="22" t="inlineStr">
        <is>
          <t>METİN ERYİĞİT</t>
        </is>
      </c>
      <c r="D3946" s="21" t="inlineStr">
        <is>
          <t>34 EGS 013</t>
        </is>
      </c>
      <c r="E3946" s="21" t="inlineStr">
        <is>
          <t>UĞUR DUMAN</t>
        </is>
      </c>
      <c r="F3946" s="23" t="n">
        <v>503109</v>
      </c>
      <c r="G3946" s="138" t="n"/>
      <c r="H3946" s="138" t="n">
        <v>410</v>
      </c>
      <c r="I3946" s="138">
        <f>+I3945+(G3946-H3946)</f>
        <v/>
      </c>
      <c r="J3946" s="139" t="n">
        <v>46.5</v>
      </c>
      <c r="K3946" s="140" t="n"/>
      <c r="L3946" s="140">
        <f>+H3946*J3946</f>
        <v/>
      </c>
      <c r="M3946" s="141">
        <f>SUM(M3945+K3946-L3946)</f>
        <v/>
      </c>
    </row>
    <row r="3947">
      <c r="A3947" s="20" t="n">
        <v>45872</v>
      </c>
      <c r="B3947" s="21" t="n">
        <v>15687</v>
      </c>
      <c r="C3947" s="22" t="inlineStr">
        <is>
          <t>METİN ERYİĞİT</t>
        </is>
      </c>
      <c r="D3947" s="21" t="inlineStr">
        <is>
          <t>34 EGR 814</t>
        </is>
      </c>
      <c r="E3947" s="21" t="inlineStr">
        <is>
          <t>MUHAMMET YİĞİT</t>
        </is>
      </c>
      <c r="F3947" s="23" t="n">
        <v>557136</v>
      </c>
      <c r="G3947" s="138" t="n"/>
      <c r="H3947" s="138" t="n">
        <v>282</v>
      </c>
      <c r="I3947" s="138">
        <f>+I3946+(G3947-H3947)</f>
        <v/>
      </c>
      <c r="J3947" s="139" t="n">
        <v>46.5</v>
      </c>
      <c r="K3947" s="140" t="n"/>
      <c r="L3947" s="140">
        <f>+H3947*J3947</f>
        <v/>
      </c>
      <c r="M3947" s="141">
        <f>SUM(M3946+K3947-L3947)</f>
        <v/>
      </c>
    </row>
    <row r="3948">
      <c r="A3948" s="20" t="n">
        <v>45872</v>
      </c>
      <c r="B3948" s="21" t="n">
        <v>715</v>
      </c>
      <c r="C3948" s="22" t="inlineStr">
        <is>
          <t>METİN ERYİĞİT</t>
        </is>
      </c>
      <c r="D3948" s="21" t="inlineStr">
        <is>
          <t>34 GBL 998</t>
        </is>
      </c>
      <c r="E3948" s="21" t="inlineStr">
        <is>
          <t>M.ALİ KESKİN</t>
        </is>
      </c>
      <c r="F3948" s="23" t="n">
        <v>283751</v>
      </c>
      <c r="G3948" s="138" t="n"/>
      <c r="H3948" s="138" t="n">
        <v>449</v>
      </c>
      <c r="I3948" s="138">
        <f>+I3947+(G3948-H3948)</f>
        <v/>
      </c>
      <c r="J3948" s="139" t="n">
        <v>46.5</v>
      </c>
      <c r="K3948" s="140" t="n"/>
      <c r="L3948" s="140">
        <f>+H3948*J3948</f>
        <v/>
      </c>
      <c r="M3948" s="141">
        <f>SUM(M3947+K3948-L3948)</f>
        <v/>
      </c>
    </row>
    <row r="3949">
      <c r="A3949" s="20" t="n">
        <v>45872</v>
      </c>
      <c r="B3949" s="21" t="n">
        <v>11384</v>
      </c>
      <c r="C3949" s="22" t="inlineStr">
        <is>
          <t>AZGÜN YAPI</t>
        </is>
      </c>
      <c r="D3949" s="21" t="inlineStr">
        <is>
          <t>34 MKT 593</t>
        </is>
      </c>
      <c r="E3949" s="21" t="inlineStr">
        <is>
          <t>İBRAHİM GÜLLÜK</t>
        </is>
      </c>
      <c r="F3949" s="23" t="n"/>
      <c r="G3949" s="138" t="n"/>
      <c r="H3949" s="138" t="n">
        <v>340</v>
      </c>
      <c r="I3949" s="138">
        <f>+I3948+(G3949-H3949)</f>
        <v/>
      </c>
      <c r="J3949" s="139" t="n">
        <v>46.5</v>
      </c>
      <c r="K3949" s="140" t="n"/>
      <c r="L3949" s="140">
        <f>+H3949*J3949</f>
        <v/>
      </c>
      <c r="M3949" s="141">
        <f>SUM(M3948+K3949-L3949)</f>
        <v/>
      </c>
    </row>
    <row r="3950">
      <c r="A3950" s="20" t="n">
        <v>45872</v>
      </c>
      <c r="B3950" s="21" t="n">
        <v>14199</v>
      </c>
      <c r="C3950" s="22" t="inlineStr">
        <is>
          <t>AZGÜN YAPI</t>
        </is>
      </c>
      <c r="D3950" s="21" t="inlineStr">
        <is>
          <t>34 DTV 263</t>
        </is>
      </c>
      <c r="E3950" s="21" t="inlineStr">
        <is>
          <t>MUHAMMED BULUT</t>
        </is>
      </c>
      <c r="F3950" s="23" t="n"/>
      <c r="G3950" s="138" t="n"/>
      <c r="H3950" s="138" t="n">
        <v>332</v>
      </c>
      <c r="I3950" s="138">
        <f>+I3949+(G3950-H3950)</f>
        <v/>
      </c>
      <c r="J3950" s="139" t="n">
        <v>46.5</v>
      </c>
      <c r="K3950" s="140" t="n"/>
      <c r="L3950" s="140">
        <f>+H3950*J3950</f>
        <v/>
      </c>
      <c r="M3950" s="141">
        <f>SUM(M3949+K3950-L3950)</f>
        <v/>
      </c>
    </row>
    <row r="3951">
      <c r="A3951" s="20" t="n">
        <v>45872</v>
      </c>
      <c r="B3951" s="21" t="n">
        <v>11342</v>
      </c>
      <c r="C3951" s="22" t="inlineStr">
        <is>
          <t>AZGÜN YAPI</t>
        </is>
      </c>
      <c r="D3951" s="21" t="inlineStr">
        <is>
          <t>34 MKT 859</t>
        </is>
      </c>
      <c r="E3951" s="21" t="inlineStr">
        <is>
          <t>HASAN ALTUN</t>
        </is>
      </c>
      <c r="F3951" s="23" t="n"/>
      <c r="G3951" s="138" t="n"/>
      <c r="H3951" s="138" t="n">
        <v>341</v>
      </c>
      <c r="I3951" s="138">
        <f>+I3950+(G3951-H3951)</f>
        <v/>
      </c>
      <c r="J3951" s="139" t="n">
        <v>46.5</v>
      </c>
      <c r="K3951" s="140" t="n"/>
      <c r="L3951" s="140">
        <f>+H3951*J3951</f>
        <v/>
      </c>
      <c r="M3951" s="141">
        <f>SUM(M3950+K3951-L3951)</f>
        <v/>
      </c>
    </row>
    <row r="3952">
      <c r="A3952" s="20" t="n">
        <v>45872</v>
      </c>
      <c r="B3952" s="1" t="n">
        <v>207</v>
      </c>
      <c r="C3952" s="2" t="inlineStr">
        <is>
          <t>SELİM İNŞAAT</t>
        </is>
      </c>
      <c r="D3952" s="1" t="inlineStr">
        <is>
          <t>34 JGR 15</t>
        </is>
      </c>
      <c r="E3952" s="1" t="inlineStr">
        <is>
          <t>ENGİN DEMİR</t>
        </is>
      </c>
      <c r="F3952" s="3" t="n">
        <v>313397</v>
      </c>
      <c r="G3952" s="143" t="n"/>
      <c r="H3952" s="143" t="n">
        <v>77</v>
      </c>
      <c r="I3952" s="143">
        <f>+I3951+(G3952-H3952)</f>
        <v/>
      </c>
      <c r="J3952" s="144" t="n">
        <v>46.5</v>
      </c>
      <c r="K3952" s="145" t="n"/>
      <c r="L3952" s="140">
        <f>+H3952*J3952</f>
        <v/>
      </c>
      <c r="M3952" s="141">
        <f>SUM(M3951+K3952-L3952)</f>
        <v/>
      </c>
    </row>
    <row r="3953">
      <c r="A3953" s="20" t="n">
        <v>45872</v>
      </c>
      <c r="B3953" s="1" t="n">
        <v>607</v>
      </c>
      <c r="C3953" s="2" t="inlineStr">
        <is>
          <t>SELİM İNŞAAT</t>
        </is>
      </c>
      <c r="D3953" s="1" t="inlineStr">
        <is>
          <t>34 AR 7743</t>
        </is>
      </c>
      <c r="E3953" s="1" t="inlineStr">
        <is>
          <t>MEHMET SELİM</t>
        </is>
      </c>
      <c r="F3953" s="3" t="n">
        <v>359277</v>
      </c>
      <c r="G3953" s="143" t="n"/>
      <c r="H3953" s="143" t="n">
        <v>44</v>
      </c>
      <c r="I3953" s="143">
        <f>+I3952+(G3953-H3953)</f>
        <v/>
      </c>
      <c r="J3953" s="144" t="n">
        <v>46.5</v>
      </c>
      <c r="K3953" s="145" t="n"/>
      <c r="L3953" s="140">
        <f>+H3953*J3953</f>
        <v/>
      </c>
      <c r="M3953" s="141">
        <f>SUM(M3952+K3953-L3953)</f>
        <v/>
      </c>
    </row>
    <row r="3954">
      <c r="A3954" s="20" t="n">
        <v>45872</v>
      </c>
      <c r="B3954" s="1" t="n">
        <v>15181</v>
      </c>
      <c r="C3954" s="2" t="inlineStr">
        <is>
          <t>SELİM İNŞAAT</t>
        </is>
      </c>
      <c r="D3954" s="1" t="inlineStr">
        <is>
          <t xml:space="preserve">34 DP 4161 </t>
        </is>
      </c>
      <c r="E3954" s="1" t="inlineStr">
        <is>
          <t>RIFAT KARATAY</t>
        </is>
      </c>
      <c r="F3954" s="3" t="n">
        <v>293175</v>
      </c>
      <c r="G3954" s="143" t="n"/>
      <c r="H3954" s="143" t="n">
        <v>278</v>
      </c>
      <c r="I3954" s="143">
        <f>+I3953+(G3954-H3954)</f>
        <v/>
      </c>
      <c r="J3954" s="144" t="n">
        <v>46.5</v>
      </c>
      <c r="K3954" s="145" t="n"/>
      <c r="L3954" s="140">
        <f>+H3954*J3954</f>
        <v/>
      </c>
      <c r="M3954" s="141">
        <f>SUM(M3953+K3954-L3954)</f>
        <v/>
      </c>
    </row>
    <row r="3955">
      <c r="A3955" s="20" t="n">
        <v>45872</v>
      </c>
      <c r="B3955" s="1" t="n">
        <v>21341</v>
      </c>
      <c r="C3955" s="2" t="inlineStr">
        <is>
          <t>SELİM İNŞAAT</t>
        </is>
      </c>
      <c r="D3955" s="1" t="inlineStr">
        <is>
          <t>34 FEM 934</t>
        </is>
      </c>
      <c r="E3955" s="1" t="inlineStr">
        <is>
          <t>MUSTAFA ALBAYRAK</t>
        </is>
      </c>
      <c r="F3955" s="3" t="n">
        <v>315246</v>
      </c>
      <c r="G3955" s="143" t="n"/>
      <c r="H3955" s="143" t="n">
        <v>65</v>
      </c>
      <c r="I3955" s="143">
        <f>+I3954+(G3955-H3955)</f>
        <v/>
      </c>
      <c r="J3955" s="144" t="n">
        <v>46.5</v>
      </c>
      <c r="K3955" s="145" t="n"/>
      <c r="L3955" s="140">
        <f>+H3955*J3955</f>
        <v/>
      </c>
      <c r="M3955" s="141">
        <f>SUM(M3954+K3955-L3955)</f>
        <v/>
      </c>
    </row>
    <row r="3956">
      <c r="A3956" s="20" t="n">
        <v>45872</v>
      </c>
      <c r="B3956" s="21" t="n">
        <v>1901</v>
      </c>
      <c r="C3956" s="22" t="inlineStr">
        <is>
          <t>METİN ERYİĞİT</t>
        </is>
      </c>
      <c r="D3956" s="21" t="inlineStr">
        <is>
          <t>34 AGA 254</t>
        </is>
      </c>
      <c r="E3956" s="21" t="inlineStr">
        <is>
          <t>METİN ERYİĞİT</t>
        </is>
      </c>
      <c r="F3956" s="23" t="n"/>
      <c r="G3956" s="138" t="n"/>
      <c r="H3956" s="138" t="n">
        <v>54</v>
      </c>
      <c r="I3956" s="138">
        <f>+I3955+(G3956-H3956)</f>
        <v/>
      </c>
      <c r="J3956" s="139" t="n">
        <v>46.5</v>
      </c>
      <c r="K3956" s="140" t="n"/>
      <c r="L3956" s="140">
        <f>+H3956*J3956</f>
        <v/>
      </c>
      <c r="M3956" s="141">
        <f>SUM(M3955+K3956-L3956)</f>
        <v/>
      </c>
    </row>
    <row r="3957">
      <c r="A3957" s="20" t="n">
        <v>45872</v>
      </c>
      <c r="B3957" s="1" t="n">
        <v>1603</v>
      </c>
      <c r="C3957" s="2" t="inlineStr">
        <is>
          <t>SELİM İNŞAAT</t>
        </is>
      </c>
      <c r="D3957" s="1" t="inlineStr">
        <is>
          <t>34 VF 2620</t>
        </is>
      </c>
      <c r="E3957" s="1" t="inlineStr">
        <is>
          <t>MUSTAFA ALBAYRAK</t>
        </is>
      </c>
      <c r="F3957" s="3" t="n">
        <v>191118</v>
      </c>
      <c r="G3957" s="143" t="n"/>
      <c r="H3957" s="143" t="n">
        <v>78</v>
      </c>
      <c r="I3957" s="143">
        <f>+I3956+(G3957-H3957)</f>
        <v/>
      </c>
      <c r="J3957" s="144" t="n">
        <v>46.5</v>
      </c>
      <c r="K3957" s="145" t="n"/>
      <c r="L3957" s="140">
        <f>+H3957*J3957</f>
        <v/>
      </c>
      <c r="M3957" s="141">
        <f>SUM(M3956+K3957-L3957)</f>
        <v/>
      </c>
    </row>
    <row r="3958">
      <c r="A3958" s="20" t="n">
        <v>45873</v>
      </c>
      <c r="B3958" s="21" t="n">
        <v>1027</v>
      </c>
      <c r="C3958" s="22" t="inlineStr">
        <is>
          <t>ÜNSOY TURİZM İNŞ.SAN.VE TİC.A.Ş.</t>
        </is>
      </c>
      <c r="D3958" s="21" t="n"/>
      <c r="E3958" s="21" t="n"/>
      <c r="F3958" s="23" t="n"/>
      <c r="G3958" s="138" t="n">
        <v>31929</v>
      </c>
      <c r="H3958" s="138" t="n"/>
      <c r="I3958" s="138">
        <f>+I3957+(G3958-H3958)</f>
        <v/>
      </c>
      <c r="J3958" s="139">
        <f>+K3958/G3958</f>
        <v/>
      </c>
      <c r="K3958" s="140" t="n">
        <v>1484698.5</v>
      </c>
      <c r="L3958" s="140">
        <f>+H3958*J3958</f>
        <v/>
      </c>
      <c r="M3958" s="141">
        <f>SUM(M3957+K3958-L3958)</f>
        <v/>
      </c>
    </row>
    <row r="3959">
      <c r="A3959" s="20" t="n">
        <v>45873</v>
      </c>
      <c r="B3959" s="1" t="n">
        <v>2000</v>
      </c>
      <c r="C3959" s="2" t="inlineStr">
        <is>
          <t>MEGA VALIK</t>
        </is>
      </c>
      <c r="D3959" s="1" t="inlineStr">
        <is>
          <t>SM 300</t>
        </is>
      </c>
      <c r="E3959" s="1" t="inlineStr">
        <is>
          <t>TURGUT SANCAK</t>
        </is>
      </c>
      <c r="F3959" s="3" t="n"/>
      <c r="G3959" s="143" t="n"/>
      <c r="H3959" s="143" t="n">
        <v>347</v>
      </c>
      <c r="I3959" s="143">
        <f>+I3958+(G3959-H3959)</f>
        <v/>
      </c>
      <c r="J3959" s="144" t="n">
        <v>46.5</v>
      </c>
      <c r="K3959" s="145" t="n"/>
      <c r="L3959" s="140">
        <f>+H3959*J3959</f>
        <v/>
      </c>
      <c r="M3959" s="141">
        <f>SUM(M3958+K3959-L3959)</f>
        <v/>
      </c>
    </row>
    <row r="3960">
      <c r="A3960" s="20" t="n">
        <v>45873</v>
      </c>
      <c r="B3960" s="1" t="n">
        <v>2001</v>
      </c>
      <c r="C3960" s="2" t="inlineStr">
        <is>
          <t>MEGA VALIK</t>
        </is>
      </c>
      <c r="D3960" s="1" t="inlineStr">
        <is>
          <t>SM 370</t>
        </is>
      </c>
      <c r="E3960" s="1" t="inlineStr">
        <is>
          <t>TEKİN ŞEYLAN</t>
        </is>
      </c>
      <c r="F3960" s="3" t="n"/>
      <c r="G3960" s="143" t="n"/>
      <c r="H3960" s="143" t="n">
        <v>418</v>
      </c>
      <c r="I3960" s="143">
        <f>+I3959+(G3960-H3960)</f>
        <v/>
      </c>
      <c r="J3960" s="144" t="n">
        <v>46.5</v>
      </c>
      <c r="K3960" s="145" t="n"/>
      <c r="L3960" s="140">
        <f>+H3960*J3960</f>
        <v/>
      </c>
      <c r="M3960" s="141">
        <f>SUM(M3959+K3960-L3960)</f>
        <v/>
      </c>
    </row>
    <row r="3961">
      <c r="A3961" s="20" t="n">
        <v>45873</v>
      </c>
      <c r="B3961" s="1" t="n">
        <v>2002</v>
      </c>
      <c r="C3961" s="2" t="inlineStr">
        <is>
          <t>MEGA VALIK</t>
        </is>
      </c>
      <c r="D3961" s="1" t="inlineStr">
        <is>
          <t>SM 370</t>
        </is>
      </c>
      <c r="E3961" s="1" t="inlineStr">
        <is>
          <t>TEKİN ŞEYLAN</t>
        </is>
      </c>
      <c r="F3961" s="3" t="n"/>
      <c r="G3961" s="143" t="n"/>
      <c r="H3961" s="143" t="n">
        <v>336</v>
      </c>
      <c r="I3961" s="143">
        <f>+I3960+(G3961-H3961)</f>
        <v/>
      </c>
      <c r="J3961" s="144" t="n">
        <v>46.5</v>
      </c>
      <c r="K3961" s="145" t="n"/>
      <c r="L3961" s="140">
        <f>+H3961*J3961</f>
        <v/>
      </c>
      <c r="M3961" s="141">
        <f>SUM(M3960+K3961-L3961)</f>
        <v/>
      </c>
    </row>
    <row r="3962">
      <c r="A3962" s="20" t="n">
        <v>45873</v>
      </c>
      <c r="B3962" s="1" t="n">
        <v>2003</v>
      </c>
      <c r="C3962" s="2" t="inlineStr">
        <is>
          <t>HASALTUN</t>
        </is>
      </c>
      <c r="D3962" s="1" t="inlineStr">
        <is>
          <t>RT 650 SARI VİNÇ</t>
        </is>
      </c>
      <c r="E3962" s="1" t="inlineStr">
        <is>
          <t>ALİHAN DUMAN</t>
        </is>
      </c>
      <c r="F3962" s="3" t="n"/>
      <c r="G3962" s="143" t="n"/>
      <c r="H3962" s="143" t="n">
        <v>279</v>
      </c>
      <c r="I3962" s="143">
        <f>+I3961+(G3962-H3962)</f>
        <v/>
      </c>
      <c r="J3962" s="144" t="n">
        <v>46.5</v>
      </c>
      <c r="K3962" s="145" t="n"/>
      <c r="L3962" s="140">
        <f>+H3962*J3962</f>
        <v/>
      </c>
      <c r="M3962" s="141">
        <f>SUM(M3961+K3962-L3962)</f>
        <v/>
      </c>
    </row>
    <row r="3963">
      <c r="A3963" s="20" t="n">
        <v>45873</v>
      </c>
      <c r="B3963" s="1" t="n">
        <v>2004</v>
      </c>
      <c r="C3963" s="2" t="inlineStr">
        <is>
          <t>EVKUR</t>
        </is>
      </c>
      <c r="D3963" s="1" t="inlineStr">
        <is>
          <t>KAVAZAKİ</t>
        </is>
      </c>
      <c r="E3963" s="1" t="inlineStr">
        <is>
          <t>RAMAZAN KAYA</t>
        </is>
      </c>
      <c r="F3963" s="3" t="n"/>
      <c r="G3963" s="143" t="n"/>
      <c r="H3963" s="143" t="n">
        <v>288</v>
      </c>
      <c r="I3963" s="143">
        <f>+I3962+(G3963-H3963)</f>
        <v/>
      </c>
      <c r="J3963" s="144" t="n">
        <v>46.5</v>
      </c>
      <c r="K3963" s="145" t="n"/>
      <c r="L3963" s="140">
        <f>+H3963*J3963</f>
        <v/>
      </c>
      <c r="M3963" s="141">
        <f>SUM(M3962+K3963-L3963)</f>
        <v/>
      </c>
    </row>
    <row r="3964">
      <c r="A3964" s="20" t="n">
        <v>45873</v>
      </c>
      <c r="B3964" s="1" t="n">
        <v>2005</v>
      </c>
      <c r="C3964" s="2" t="inlineStr">
        <is>
          <t>MEGA VALIK</t>
        </is>
      </c>
      <c r="D3964" s="1" t="inlineStr">
        <is>
          <t xml:space="preserve">SM 300 </t>
        </is>
      </c>
      <c r="E3964" s="1" t="inlineStr">
        <is>
          <t>TURGUT SANCAK</t>
        </is>
      </c>
      <c r="F3964" s="3" t="n"/>
      <c r="G3964" s="143" t="n"/>
      <c r="H3964" s="143" t="n">
        <v>297</v>
      </c>
      <c r="I3964" s="143">
        <f>+I3963+(G3964-H3964)</f>
        <v/>
      </c>
      <c r="J3964" s="144" t="n">
        <v>46.5</v>
      </c>
      <c r="K3964" s="145" t="n"/>
      <c r="L3964" s="140">
        <f>+H3964*J3964</f>
        <v/>
      </c>
      <c r="M3964" s="141">
        <f>SUM(M3963+K3964-L3964)</f>
        <v/>
      </c>
    </row>
    <row r="3965">
      <c r="A3965" s="20" t="n">
        <v>45873</v>
      </c>
      <c r="B3965" s="1" t="n">
        <v>2006</v>
      </c>
      <c r="C3965" s="2" t="inlineStr">
        <is>
          <t>MEGA VALIK</t>
        </is>
      </c>
      <c r="D3965" s="1" t="inlineStr">
        <is>
          <t>SM 350</t>
        </is>
      </c>
      <c r="E3965" s="1" t="inlineStr">
        <is>
          <t>BAYRAM SANCAK</t>
        </is>
      </c>
      <c r="F3965" s="3" t="n"/>
      <c r="G3965" s="143" t="n"/>
      <c r="H3965" s="143" t="n">
        <v>469</v>
      </c>
      <c r="I3965" s="143">
        <f>+I3964+(G3965-H3965)</f>
        <v/>
      </c>
      <c r="J3965" s="144" t="n">
        <v>46.5</v>
      </c>
      <c r="K3965" s="145" t="n"/>
      <c r="L3965" s="140">
        <f>+H3965*J3965</f>
        <v/>
      </c>
      <c r="M3965" s="141">
        <f>SUM(M3964+K3965-L3965)</f>
        <v/>
      </c>
    </row>
    <row r="3966">
      <c r="A3966" s="20" t="n">
        <v>45873</v>
      </c>
      <c r="B3966" s="1" t="n">
        <v>15042</v>
      </c>
      <c r="C3966" s="2" t="inlineStr">
        <is>
          <t>SELİM İNŞAAT</t>
        </is>
      </c>
      <c r="D3966" s="1" t="inlineStr">
        <is>
          <t xml:space="preserve"> 34 GVZ 199</t>
        </is>
      </c>
      <c r="E3966" s="1" t="inlineStr">
        <is>
          <t>VAHDET GÜRLER</t>
        </is>
      </c>
      <c r="F3966" s="3" t="n">
        <v>194240</v>
      </c>
      <c r="G3966" s="143" t="n"/>
      <c r="H3966" s="143" t="n">
        <v>453</v>
      </c>
      <c r="I3966" s="143">
        <f>+I3965+(G3966-H3966)</f>
        <v/>
      </c>
      <c r="J3966" s="144" t="n">
        <v>46.5</v>
      </c>
      <c r="K3966" s="145" t="n"/>
      <c r="L3966" s="140">
        <f>+H3966*J3966</f>
        <v/>
      </c>
      <c r="M3966" s="141">
        <f>SUM(M3965+K3966-L3966)</f>
        <v/>
      </c>
    </row>
    <row r="3967">
      <c r="A3967" s="20" t="n">
        <v>45873</v>
      </c>
      <c r="B3967" s="1" t="n">
        <v>14842</v>
      </c>
      <c r="C3967" s="2" t="inlineStr">
        <is>
          <t>SELİM İNŞAAT</t>
        </is>
      </c>
      <c r="D3967" s="1" t="inlineStr">
        <is>
          <t>34 GVZ 268</t>
        </is>
      </c>
      <c r="E3967" s="1" t="inlineStr">
        <is>
          <t xml:space="preserve">KERİM KARAMAN </t>
        </is>
      </c>
      <c r="F3967" s="3" t="n">
        <v>205460</v>
      </c>
      <c r="G3967" s="143" t="n"/>
      <c r="H3967" s="143" t="n">
        <v>292</v>
      </c>
      <c r="I3967" s="143">
        <f>+I3966+(G3967-H3967)</f>
        <v/>
      </c>
      <c r="J3967" s="144" t="n">
        <v>46.5</v>
      </c>
      <c r="K3967" s="145" t="n"/>
      <c r="L3967" s="140">
        <f>+H3967*J3967</f>
        <v/>
      </c>
      <c r="M3967" s="141">
        <f>SUM(M3966+K3967-L3967)</f>
        <v/>
      </c>
    </row>
    <row r="3968">
      <c r="A3968" s="20" t="n">
        <v>45873</v>
      </c>
      <c r="B3968" s="1" t="n">
        <v>15373</v>
      </c>
      <c r="C3968" s="2" t="inlineStr">
        <is>
          <t>SELİM İNŞAAT</t>
        </is>
      </c>
      <c r="D3968" s="1" t="inlineStr">
        <is>
          <t>34 DTV 409</t>
        </is>
      </c>
      <c r="E3968" s="1" t="inlineStr">
        <is>
          <t>ONUR CANLI</t>
        </is>
      </c>
      <c r="F3968" s="3" t="n">
        <v>428004</v>
      </c>
      <c r="G3968" s="143" t="n"/>
      <c r="H3968" s="143" t="n">
        <v>372</v>
      </c>
      <c r="I3968" s="143">
        <f>+I3967+(G3968-H3968)</f>
        <v/>
      </c>
      <c r="J3968" s="144" t="n">
        <v>46.5</v>
      </c>
      <c r="K3968" s="145" t="n"/>
      <c r="L3968" s="140">
        <f>+H3968*J3968</f>
        <v/>
      </c>
      <c r="M3968" s="141">
        <f>SUM(M3967+K3968-L3968)</f>
        <v/>
      </c>
    </row>
    <row r="3969">
      <c r="A3969" s="20" t="n">
        <v>45873</v>
      </c>
      <c r="B3969" s="1" t="n">
        <v>859</v>
      </c>
      <c r="C3969" s="2" t="inlineStr">
        <is>
          <t>SELİM İNŞAAT</t>
        </is>
      </c>
      <c r="D3969" s="1" t="inlineStr">
        <is>
          <t>34 FSG 229</t>
        </is>
      </c>
      <c r="E3969" s="1" t="inlineStr">
        <is>
          <t>SİNAN TANRIVERDİ</t>
        </is>
      </c>
      <c r="F3969" s="3" t="n">
        <v>269112</v>
      </c>
      <c r="G3969" s="143" t="n"/>
      <c r="H3969" s="143" t="n">
        <v>398</v>
      </c>
      <c r="I3969" s="143">
        <f>+I3968+(G3969-H3969)</f>
        <v/>
      </c>
      <c r="J3969" s="144" t="n">
        <v>46.5</v>
      </c>
      <c r="K3969" s="145" t="n"/>
      <c r="L3969" s="140">
        <f>+H3969*J3969</f>
        <v/>
      </c>
      <c r="M3969" s="141">
        <f>SUM(M3968+K3969-L3969)</f>
        <v/>
      </c>
    </row>
    <row r="3970">
      <c r="A3970" s="20" t="n">
        <v>45873</v>
      </c>
      <c r="B3970" s="1" t="n">
        <v>15332</v>
      </c>
      <c r="C3970" s="2" t="inlineStr">
        <is>
          <t>SELİM İNŞAAT</t>
        </is>
      </c>
      <c r="D3970" s="1" t="inlineStr">
        <is>
          <t>34 EDC 162</t>
        </is>
      </c>
      <c r="E3970" s="1" t="inlineStr">
        <is>
          <t xml:space="preserve">YAKUP GÜNER </t>
        </is>
      </c>
      <c r="F3970" s="3" t="n">
        <v>381425</v>
      </c>
      <c r="G3970" s="143" t="n"/>
      <c r="H3970" s="143" t="n">
        <v>297</v>
      </c>
      <c r="I3970" s="143">
        <f>+I3969+(G3970-H3970)</f>
        <v/>
      </c>
      <c r="J3970" s="144" t="n">
        <v>46.5</v>
      </c>
      <c r="K3970" s="145" t="n"/>
      <c r="L3970" s="140">
        <f>+H3970*J3970</f>
        <v/>
      </c>
      <c r="M3970" s="141">
        <f>SUM(M3969+K3970-L3970)</f>
        <v/>
      </c>
    </row>
    <row r="3971">
      <c r="A3971" s="20" t="n">
        <v>45873</v>
      </c>
      <c r="B3971" s="1" t="n">
        <v>15536</v>
      </c>
      <c r="C3971" s="2" t="inlineStr">
        <is>
          <t>SELİM İNŞAAT</t>
        </is>
      </c>
      <c r="D3971" s="1" t="inlineStr">
        <is>
          <t>34 EDC 086</t>
        </is>
      </c>
      <c r="E3971" s="1" t="inlineStr">
        <is>
          <t>ÖMER AĞAYAR</t>
        </is>
      </c>
      <c r="F3971" s="3" t="n">
        <v>339043</v>
      </c>
      <c r="G3971" s="143" t="n"/>
      <c r="H3971" s="143" t="n">
        <v>478</v>
      </c>
      <c r="I3971" s="143">
        <f>+I3970+(G3971-H3971)</f>
        <v/>
      </c>
      <c r="J3971" s="144" t="n">
        <v>46.5</v>
      </c>
      <c r="K3971" s="145" t="n"/>
      <c r="L3971" s="140">
        <f>+H3971*J3971</f>
        <v/>
      </c>
      <c r="M3971" s="141">
        <f>SUM(M3970+K3971-L3971)</f>
        <v/>
      </c>
    </row>
    <row r="3972">
      <c r="A3972" s="20" t="n">
        <v>45873</v>
      </c>
      <c r="B3972" s="1" t="n">
        <v>15979</v>
      </c>
      <c r="C3972" s="2" t="inlineStr">
        <is>
          <t>SELİM İNŞAAT</t>
        </is>
      </c>
      <c r="D3972" s="1" t="inlineStr">
        <is>
          <t>34 FBR 781</t>
        </is>
      </c>
      <c r="E3972" s="1" t="inlineStr">
        <is>
          <t>MEVLÜT POLAT</t>
        </is>
      </c>
      <c r="F3972" s="3" t="n">
        <v>318107</v>
      </c>
      <c r="G3972" s="143" t="n"/>
      <c r="H3972" s="143" t="n">
        <v>394</v>
      </c>
      <c r="I3972" s="143">
        <f>+I3971+(G3972-H3972)</f>
        <v/>
      </c>
      <c r="J3972" s="144" t="n">
        <v>46.5</v>
      </c>
      <c r="K3972" s="145" t="n"/>
      <c r="L3972" s="140">
        <f>+H3972*J3972</f>
        <v/>
      </c>
      <c r="M3972" s="141">
        <f>SUM(M3971+K3972-L3972)</f>
        <v/>
      </c>
    </row>
    <row r="3973">
      <c r="A3973" s="20" t="n">
        <v>45873</v>
      </c>
      <c r="B3973" s="1" t="n">
        <v>1804</v>
      </c>
      <c r="C3973" s="2" t="inlineStr">
        <is>
          <t>SELİM İNŞAAT</t>
        </is>
      </c>
      <c r="D3973" s="1" t="inlineStr">
        <is>
          <t>34 EGR 922</t>
        </is>
      </c>
      <c r="E3973" s="1" t="inlineStr">
        <is>
          <t>FARUK ÖZEN</t>
        </is>
      </c>
      <c r="F3973" s="3" t="n">
        <v>466659</v>
      </c>
      <c r="G3973" s="143" t="n"/>
      <c r="H3973" s="143" t="n">
        <v>466</v>
      </c>
      <c r="I3973" s="143">
        <f>+I3972+(G3973-H3973)</f>
        <v/>
      </c>
      <c r="J3973" s="144" t="n">
        <v>46.5</v>
      </c>
      <c r="K3973" s="145" t="n"/>
      <c r="L3973" s="140">
        <f>+H3973*J3973</f>
        <v/>
      </c>
      <c r="M3973" s="141">
        <f>SUM(M3972+K3973-L3973)</f>
        <v/>
      </c>
    </row>
    <row r="3974">
      <c r="A3974" s="20" t="n">
        <v>45873</v>
      </c>
      <c r="B3974" s="1" t="n">
        <v>1109</v>
      </c>
      <c r="C3974" s="2" t="inlineStr">
        <is>
          <t>SELİM İNŞAAT</t>
        </is>
      </c>
      <c r="D3974" s="1" t="inlineStr">
        <is>
          <t>34 EDB 659</t>
        </is>
      </c>
      <c r="E3974" s="1" t="inlineStr">
        <is>
          <t>MEHMET SAİT ANIK</t>
        </is>
      </c>
      <c r="F3974" s="3" t="n">
        <v>353596</v>
      </c>
      <c r="G3974" s="143" t="n"/>
      <c r="H3974" s="143" t="n">
        <v>445</v>
      </c>
      <c r="I3974" s="143">
        <f>+I3973+(G3974-H3974)</f>
        <v/>
      </c>
      <c r="J3974" s="144" t="n">
        <v>46.5</v>
      </c>
      <c r="K3974" s="145" t="n"/>
      <c r="L3974" s="140">
        <f>+H3974*J3974</f>
        <v/>
      </c>
      <c r="M3974" s="141">
        <f>SUM(M3973+K3974-L3974)</f>
        <v/>
      </c>
    </row>
    <row r="3975">
      <c r="A3975" s="20" t="n">
        <v>45873</v>
      </c>
      <c r="B3975" s="1" t="n">
        <v>1060</v>
      </c>
      <c r="C3975" s="2" t="inlineStr">
        <is>
          <t>SELİM İNŞAAT</t>
        </is>
      </c>
      <c r="D3975" s="1" t="inlineStr">
        <is>
          <t>34 GVZ 310</t>
        </is>
      </c>
      <c r="E3975" s="1" t="inlineStr">
        <is>
          <t>CELAL YÜZBAŞI</t>
        </is>
      </c>
      <c r="F3975" s="3" t="n">
        <v>211066</v>
      </c>
      <c r="G3975" s="143" t="n"/>
      <c r="H3975" s="143" t="n">
        <v>366</v>
      </c>
      <c r="I3975" s="143">
        <f>+I3974+(G3975-H3975)</f>
        <v/>
      </c>
      <c r="J3975" s="144" t="n">
        <v>46.5</v>
      </c>
      <c r="K3975" s="145" t="n"/>
      <c r="L3975" s="140">
        <f>+H3975*J3975</f>
        <v/>
      </c>
      <c r="M3975" s="141">
        <f>SUM(M3974+K3975-L3975)</f>
        <v/>
      </c>
    </row>
    <row r="3976">
      <c r="A3976" s="20" t="n">
        <v>45873</v>
      </c>
      <c r="B3976" s="1" t="n">
        <v>465</v>
      </c>
      <c r="C3976" s="2" t="inlineStr">
        <is>
          <t>SELİM İNŞAAT</t>
        </is>
      </c>
      <c r="D3976" s="1" t="inlineStr">
        <is>
          <t>34 DKL 866</t>
        </is>
      </c>
      <c r="E3976" s="1" t="inlineStr">
        <is>
          <t>SELİM CAN ÖNVER</t>
        </is>
      </c>
      <c r="F3976" s="3" t="n">
        <v>70747</v>
      </c>
      <c r="G3976" s="143" t="n"/>
      <c r="H3976" s="143" t="n">
        <v>167</v>
      </c>
      <c r="I3976" s="143">
        <f>+I3975+(G3976-H3976)</f>
        <v/>
      </c>
      <c r="J3976" s="144" t="n">
        <v>46.5</v>
      </c>
      <c r="K3976" s="145" t="n"/>
      <c r="L3976" s="140">
        <f>+H3976*J3976</f>
        <v/>
      </c>
      <c r="M3976" s="141">
        <f>SUM(M3975+K3976-L3976)</f>
        <v/>
      </c>
    </row>
    <row r="3977">
      <c r="A3977" s="20" t="n">
        <v>45873</v>
      </c>
      <c r="B3977" s="1" t="n">
        <v>15938</v>
      </c>
      <c r="C3977" s="2" t="inlineStr">
        <is>
          <t>SELİM İNŞAAT</t>
        </is>
      </c>
      <c r="D3977" s="1" t="inlineStr">
        <is>
          <t>34 DFE 454</t>
        </is>
      </c>
      <c r="E3977" s="1" t="inlineStr">
        <is>
          <t>TURAN SEVİNDİK</t>
        </is>
      </c>
      <c r="F3977" s="3" t="n">
        <v>164010</v>
      </c>
      <c r="G3977" s="143" t="n"/>
      <c r="H3977" s="143" t="n">
        <v>278</v>
      </c>
      <c r="I3977" s="143">
        <f>+I3976+(G3977-H3977)</f>
        <v/>
      </c>
      <c r="J3977" s="144" t="n">
        <v>46.5</v>
      </c>
      <c r="K3977" s="145" t="n"/>
      <c r="L3977" s="140">
        <f>+H3977*J3977</f>
        <v/>
      </c>
      <c r="M3977" s="141">
        <f>SUM(M3976+K3977-L3977)</f>
        <v/>
      </c>
    </row>
    <row r="3978">
      <c r="A3978" s="20" t="n">
        <v>45873</v>
      </c>
      <c r="B3978" s="1" t="n">
        <v>10599</v>
      </c>
      <c r="C3978" s="2" t="inlineStr">
        <is>
          <t>SELİM İNŞAAT</t>
        </is>
      </c>
      <c r="D3978" s="1" t="inlineStr">
        <is>
          <t>34 GU 945</t>
        </is>
      </c>
      <c r="E3978" s="1" t="inlineStr">
        <is>
          <t>YAKUP URUCU</t>
        </is>
      </c>
      <c r="F3978" s="3" t="n">
        <v>453638</v>
      </c>
      <c r="G3978" s="143" t="n"/>
      <c r="H3978" s="143" t="n">
        <v>65</v>
      </c>
      <c r="I3978" s="143">
        <f>+I3977+(G3978-H3978)</f>
        <v/>
      </c>
      <c r="J3978" s="144" t="n">
        <v>46.5</v>
      </c>
      <c r="K3978" s="145" t="n"/>
      <c r="L3978" s="140">
        <f>+H3978*J3978</f>
        <v/>
      </c>
      <c r="M3978" s="141">
        <f>SUM(M3977+K3978-L3978)</f>
        <v/>
      </c>
    </row>
    <row r="3979">
      <c r="A3979" s="20" t="n">
        <v>45873</v>
      </c>
      <c r="B3979" s="1" t="n">
        <v>168</v>
      </c>
      <c r="C3979" s="2" t="inlineStr">
        <is>
          <t>SELİM İNŞAAT</t>
        </is>
      </c>
      <c r="D3979" s="1" t="inlineStr">
        <is>
          <t>34 TG 7869</t>
        </is>
      </c>
      <c r="E3979" s="1" t="inlineStr">
        <is>
          <t>DURSUN ALİ GÜREK</t>
        </is>
      </c>
      <c r="F3979" s="3" t="n">
        <v>186640</v>
      </c>
      <c r="G3979" s="143" t="n"/>
      <c r="H3979" s="143" t="n">
        <v>257</v>
      </c>
      <c r="I3979" s="143">
        <f>+I3978+(G3979-H3979)</f>
        <v/>
      </c>
      <c r="J3979" s="144" t="n">
        <v>46.5</v>
      </c>
      <c r="K3979" s="145" t="n"/>
      <c r="L3979" s="140">
        <f>+H3979*J3979</f>
        <v/>
      </c>
      <c r="M3979" s="141">
        <f>SUM(M3978+K3979-L3979)</f>
        <v/>
      </c>
    </row>
    <row r="3980">
      <c r="A3980" s="20" t="n">
        <v>45874</v>
      </c>
      <c r="B3980" s="21" t="n">
        <v>1036</v>
      </c>
      <c r="C3980" s="22" t="inlineStr">
        <is>
          <t>ÜNSOY TURİZM İNŞ.SAN.VE TİC.A.Ş.</t>
        </is>
      </c>
      <c r="D3980" s="21" t="n"/>
      <c r="E3980" s="21" t="n"/>
      <c r="F3980" s="23" t="n"/>
      <c r="G3980" s="138" t="n">
        <v>31942</v>
      </c>
      <c r="H3980" s="138" t="n"/>
      <c r="I3980" s="138">
        <f>+I3979+(G3980-H3980)</f>
        <v/>
      </c>
      <c r="J3980" s="139">
        <f>+K3980/G3980</f>
        <v/>
      </c>
      <c r="K3980" s="140" t="n">
        <v>1485303</v>
      </c>
      <c r="L3980" s="140">
        <f>+H3980*J3980</f>
        <v/>
      </c>
      <c r="M3980" s="141">
        <f>SUM(M3979+K3980-L3980)</f>
        <v/>
      </c>
    </row>
    <row r="3981">
      <c r="A3981" s="20" t="n">
        <v>45874</v>
      </c>
      <c r="B3981" s="1" t="n">
        <v>2007</v>
      </c>
      <c r="C3981" s="2" t="inlineStr">
        <is>
          <t>EVKUR</t>
        </is>
      </c>
      <c r="D3981" s="1" t="inlineStr">
        <is>
          <t>SM 350</t>
        </is>
      </c>
      <c r="E3981" s="1" t="inlineStr">
        <is>
          <t>TEVFİK ÖZTÜRK</t>
        </is>
      </c>
      <c r="F3981" s="3" t="n"/>
      <c r="G3981" s="143" t="n"/>
      <c r="H3981" s="143" t="n">
        <v>465</v>
      </c>
      <c r="I3981" s="143">
        <f>+I3980+(G3981-H3981)</f>
        <v/>
      </c>
      <c r="J3981" s="144" t="n">
        <v>46.5</v>
      </c>
      <c r="K3981" s="145" t="n"/>
      <c r="L3981" s="140">
        <f>+H3981*J3981</f>
        <v/>
      </c>
      <c r="M3981" s="141">
        <f>SUM(M3980+K3981-L3981)</f>
        <v/>
      </c>
    </row>
    <row r="3982">
      <c r="A3982" s="20" t="n">
        <v>45874</v>
      </c>
      <c r="B3982" s="1" t="n">
        <v>2008</v>
      </c>
      <c r="C3982" s="2" t="inlineStr">
        <is>
          <t>MEGA VALIK</t>
        </is>
      </c>
      <c r="D3982" s="1" t="inlineStr">
        <is>
          <t>SM 370</t>
        </is>
      </c>
      <c r="E3982" s="1" t="inlineStr">
        <is>
          <t>TEKİN ŞEYLAN</t>
        </is>
      </c>
      <c r="F3982" s="3" t="n"/>
      <c r="G3982" s="143" t="n"/>
      <c r="H3982" s="143" t="n">
        <v>355</v>
      </c>
      <c r="I3982" s="143">
        <f>+I3981+(G3982-H3982)</f>
        <v/>
      </c>
      <c r="J3982" s="144" t="n">
        <v>46.5</v>
      </c>
      <c r="K3982" s="145" t="n"/>
      <c r="L3982" s="140">
        <f>+H3982*J3982</f>
        <v/>
      </c>
      <c r="M3982" s="141">
        <f>SUM(M3981+K3982-L3982)</f>
        <v/>
      </c>
    </row>
    <row r="3983">
      <c r="A3983" s="20" t="n">
        <v>45874</v>
      </c>
      <c r="B3983" s="1" t="n">
        <v>1561</v>
      </c>
      <c r="C3983" s="2" t="inlineStr">
        <is>
          <t>SELİM İNŞAAT</t>
        </is>
      </c>
      <c r="D3983" s="1" t="inlineStr">
        <is>
          <t>34 GUS 938</t>
        </is>
      </c>
      <c r="E3983" s="1" t="inlineStr">
        <is>
          <t>MEHMET KAYA</t>
        </is>
      </c>
      <c r="F3983" s="3" t="n">
        <v>201660</v>
      </c>
      <c r="G3983" s="143" t="n"/>
      <c r="H3983" s="143" t="n">
        <v>394</v>
      </c>
      <c r="I3983" s="143">
        <f>+I3982+(G3983-H3983)</f>
        <v/>
      </c>
      <c r="J3983" s="144" t="n">
        <v>46.5</v>
      </c>
      <c r="K3983" s="145" t="n"/>
      <c r="L3983" s="140">
        <f>+H3983*J3983</f>
        <v/>
      </c>
      <c r="M3983" s="141">
        <f>SUM(M3982+K3983-L3983)</f>
        <v/>
      </c>
    </row>
    <row r="3984">
      <c r="A3984" s="20" t="n">
        <v>45874</v>
      </c>
      <c r="B3984" s="1" t="n">
        <v>1506</v>
      </c>
      <c r="C3984" s="2" t="inlineStr">
        <is>
          <t>SELİM İNŞAAT</t>
        </is>
      </c>
      <c r="D3984" s="1" t="inlineStr">
        <is>
          <t>34 GUS 848</t>
        </is>
      </c>
      <c r="E3984" s="1" t="inlineStr">
        <is>
          <t>SERDAR BOZKURT</t>
        </is>
      </c>
      <c r="F3984" s="3" t="n">
        <v>201777</v>
      </c>
      <c r="G3984" s="143" t="n"/>
      <c r="H3984" s="143" t="n">
        <v>420</v>
      </c>
      <c r="I3984" s="143">
        <f>+I3983+(G3984-H3984)</f>
        <v/>
      </c>
      <c r="J3984" s="144" t="n">
        <v>46.5</v>
      </c>
      <c r="K3984" s="145" t="n"/>
      <c r="L3984" s="140">
        <f>+H3984*J3984</f>
        <v/>
      </c>
      <c r="M3984" s="141">
        <f>SUM(M3983+K3984-L3984)</f>
        <v/>
      </c>
    </row>
    <row r="3985">
      <c r="A3985" s="20" t="n">
        <v>45874</v>
      </c>
      <c r="B3985" s="1" t="n">
        <v>571</v>
      </c>
      <c r="C3985" s="2" t="inlineStr">
        <is>
          <t>SELİM İNŞAAT</t>
        </is>
      </c>
      <c r="D3985" s="1" t="inlineStr">
        <is>
          <t>34 EDB 922</t>
        </is>
      </c>
      <c r="E3985" s="1" t="inlineStr">
        <is>
          <t>AHMET TOPÇU</t>
        </is>
      </c>
      <c r="F3985" s="3" t="n">
        <v>376148</v>
      </c>
      <c r="G3985" s="143" t="n"/>
      <c r="H3985" s="143" t="n">
        <v>378</v>
      </c>
      <c r="I3985" s="143">
        <f>+I3984+(G3985-H3985)</f>
        <v/>
      </c>
      <c r="J3985" s="144" t="n">
        <v>46.5</v>
      </c>
      <c r="K3985" s="145" t="n"/>
      <c r="L3985" s="140">
        <f>+H3985*J3985</f>
        <v/>
      </c>
      <c r="M3985" s="141">
        <f>SUM(M3984+K3985-L3985)</f>
        <v/>
      </c>
    </row>
    <row r="3986">
      <c r="A3986" s="20" t="n">
        <v>45874</v>
      </c>
      <c r="B3986" s="1" t="n">
        <v>1010</v>
      </c>
      <c r="C3986" s="2" t="inlineStr">
        <is>
          <t>SELİM İNŞAAT</t>
        </is>
      </c>
      <c r="D3986" s="1" t="inlineStr">
        <is>
          <t>34 DHH 668</t>
        </is>
      </c>
      <c r="E3986" s="1" t="inlineStr">
        <is>
          <t xml:space="preserve">ADNAN KOÇ </t>
        </is>
      </c>
      <c r="F3986" s="3" t="n">
        <v>395137</v>
      </c>
      <c r="G3986" s="143" t="n"/>
      <c r="H3986" s="143" t="n">
        <v>456</v>
      </c>
      <c r="I3986" s="143">
        <f>+I3985+(G3986-H3986)</f>
        <v/>
      </c>
      <c r="J3986" s="144" t="n">
        <v>46.5</v>
      </c>
      <c r="K3986" s="145" t="n"/>
      <c r="L3986" s="140">
        <f>+H3986*J3986</f>
        <v/>
      </c>
      <c r="M3986" s="141">
        <f>SUM(M3985+K3986-L3986)</f>
        <v/>
      </c>
    </row>
    <row r="3987">
      <c r="A3987" s="20" t="n">
        <v>45874</v>
      </c>
      <c r="B3987" s="1" t="n">
        <v>24</v>
      </c>
      <c r="C3987" s="2" t="inlineStr">
        <is>
          <t>SELİM İNŞAAT</t>
        </is>
      </c>
      <c r="D3987" s="1" t="inlineStr">
        <is>
          <t>34 FBR 748</t>
        </is>
      </c>
      <c r="E3987" s="1" t="inlineStr">
        <is>
          <t>YAŞAR ÖZKAYA</t>
        </is>
      </c>
      <c r="F3987" s="3" t="n">
        <v>294711</v>
      </c>
      <c r="G3987" s="143" t="n"/>
      <c r="H3987" s="143" t="n">
        <v>472</v>
      </c>
      <c r="I3987" s="143">
        <f>+I3986+(G3987-H3987)</f>
        <v/>
      </c>
      <c r="J3987" s="144" t="n">
        <v>46.5</v>
      </c>
      <c r="K3987" s="145" t="n"/>
      <c r="L3987" s="140">
        <f>+H3987*J3987</f>
        <v/>
      </c>
      <c r="M3987" s="141">
        <f>SUM(M3986+K3987-L3987)</f>
        <v/>
      </c>
    </row>
    <row r="3988">
      <c r="A3988" s="20" t="n">
        <v>45874</v>
      </c>
      <c r="B3988" s="1" t="n">
        <v>14843</v>
      </c>
      <c r="C3988" s="2" t="inlineStr">
        <is>
          <t>SELİM İNŞAAT</t>
        </is>
      </c>
      <c r="D3988" s="1" t="inlineStr">
        <is>
          <t>34 GVZ 268</t>
        </is>
      </c>
      <c r="E3988" s="1" t="inlineStr">
        <is>
          <t xml:space="preserve">KERİM KARAMAN </t>
        </is>
      </c>
      <c r="F3988" s="3" t="n">
        <v>205933</v>
      </c>
      <c r="G3988" s="143" t="n"/>
      <c r="H3988" s="143" t="n">
        <v>298</v>
      </c>
      <c r="I3988" s="143">
        <f>+I3987+(G3988-H3988)</f>
        <v/>
      </c>
      <c r="J3988" s="144" t="n">
        <v>46.5</v>
      </c>
      <c r="K3988" s="145" t="n"/>
      <c r="L3988" s="140">
        <f>+H3988*J3988</f>
        <v/>
      </c>
      <c r="M3988" s="141">
        <f>SUM(M3987+K3988-L3988)</f>
        <v/>
      </c>
    </row>
    <row r="3989">
      <c r="A3989" s="20" t="n">
        <v>45874</v>
      </c>
      <c r="B3989" s="1" t="n">
        <v>765</v>
      </c>
      <c r="C3989" s="2" t="inlineStr">
        <is>
          <t>SELİM İNŞAAT</t>
        </is>
      </c>
      <c r="D3989" s="1" t="inlineStr">
        <is>
          <t>34 EDB 559</t>
        </is>
      </c>
      <c r="E3989" s="1" t="inlineStr">
        <is>
          <t>MUHAMMED BULUT</t>
        </is>
      </c>
      <c r="F3989" s="3" t="n">
        <v>334483</v>
      </c>
      <c r="G3989" s="143" t="n"/>
      <c r="H3989" s="143" t="n">
        <v>300</v>
      </c>
      <c r="I3989" s="143">
        <f>+I3988+(G3989-H3989)</f>
        <v/>
      </c>
      <c r="J3989" s="144" t="n">
        <v>46.5</v>
      </c>
      <c r="K3989" s="145" t="n"/>
      <c r="L3989" s="140">
        <f>+H3989*J3989</f>
        <v/>
      </c>
      <c r="M3989" s="141">
        <f>SUM(M3988+K3989-L3989)</f>
        <v/>
      </c>
    </row>
    <row r="3990">
      <c r="A3990" s="20" t="n">
        <v>45874</v>
      </c>
      <c r="B3990" s="1" t="n">
        <v>152224</v>
      </c>
      <c r="C3990" s="2" t="inlineStr">
        <is>
          <t>SELİM İNŞAAT</t>
        </is>
      </c>
      <c r="D3990" s="1" t="inlineStr">
        <is>
          <t>34 DSN 565</t>
        </is>
      </c>
      <c r="E3990" s="1" t="inlineStr">
        <is>
          <t>HÜSEYİN DENİZ</t>
        </is>
      </c>
      <c r="F3990" s="3" t="n">
        <v>411478</v>
      </c>
      <c r="G3990" s="143" t="n"/>
      <c r="H3990" s="143" t="n">
        <v>523</v>
      </c>
      <c r="I3990" s="143">
        <f>+I3989+(G3990-H3990)</f>
        <v/>
      </c>
      <c r="J3990" s="144" t="n">
        <v>46.5</v>
      </c>
      <c r="K3990" s="145" t="n"/>
      <c r="L3990" s="140">
        <f>+H3990*J3990</f>
        <v/>
      </c>
      <c r="M3990" s="141">
        <f>SUM(M3989+K3990-L3990)</f>
        <v/>
      </c>
    </row>
    <row r="3991">
      <c r="A3991" s="20" t="n">
        <v>45874</v>
      </c>
      <c r="B3991" s="1" t="n">
        <v>1259</v>
      </c>
      <c r="C3991" s="2" t="inlineStr">
        <is>
          <t>SELİM İNŞAAT</t>
        </is>
      </c>
      <c r="D3991" s="1" t="inlineStr">
        <is>
          <t>34 DSN 621</t>
        </is>
      </c>
      <c r="E3991" s="1" t="inlineStr">
        <is>
          <t>MUSTAFA KAYA</t>
        </is>
      </c>
      <c r="F3991" s="3" t="n">
        <v>423365</v>
      </c>
      <c r="G3991" s="143" t="n"/>
      <c r="H3991" s="143" t="n">
        <v>330</v>
      </c>
      <c r="I3991" s="143">
        <f>+I3990+(G3991-H3991)</f>
        <v/>
      </c>
      <c r="J3991" s="144" t="n">
        <v>46.5</v>
      </c>
      <c r="K3991" s="145" t="n"/>
      <c r="L3991" s="140">
        <f>+H3991*J3991</f>
        <v/>
      </c>
      <c r="M3991" s="141">
        <f>SUM(M3990+K3991-L3991)</f>
        <v/>
      </c>
    </row>
    <row r="3992">
      <c r="A3992" s="20" t="n">
        <v>45874</v>
      </c>
      <c r="B3992" s="1" t="n">
        <v>15588</v>
      </c>
      <c r="C3992" s="2" t="inlineStr">
        <is>
          <t>SELİM İNŞAAT</t>
        </is>
      </c>
      <c r="D3992" s="1" t="inlineStr">
        <is>
          <t>34 GVZ 745</t>
        </is>
      </c>
      <c r="E3992" s="1" t="inlineStr">
        <is>
          <t>MURAT DEMİRBAŞ</t>
        </is>
      </c>
      <c r="F3992" s="3" t="n">
        <v>199377</v>
      </c>
      <c r="G3992" s="143" t="n"/>
      <c r="H3992" s="143" t="n">
        <v>396</v>
      </c>
      <c r="I3992" s="143">
        <f>+I3991+(G3992-H3992)</f>
        <v/>
      </c>
      <c r="J3992" s="144" t="n">
        <v>46.5</v>
      </c>
      <c r="K3992" s="145" t="n"/>
      <c r="L3992" s="140">
        <f>+H3992*J3992</f>
        <v/>
      </c>
      <c r="M3992" s="141">
        <f>SUM(M3991+K3992-L3992)</f>
        <v/>
      </c>
    </row>
    <row r="3993">
      <c r="A3993" s="20" t="n">
        <v>45874</v>
      </c>
      <c r="B3993" s="1" t="n">
        <v>823</v>
      </c>
      <c r="C3993" s="2" t="inlineStr">
        <is>
          <t>SELİM İNŞAAT</t>
        </is>
      </c>
      <c r="D3993" s="1" t="inlineStr">
        <is>
          <t>34 FBR 705</t>
        </is>
      </c>
      <c r="E3993" s="1" t="inlineStr">
        <is>
          <t>MESUT GÜRLER</t>
        </is>
      </c>
      <c r="F3993" s="3" t="n">
        <v>330107</v>
      </c>
      <c r="G3993" s="143" t="n"/>
      <c r="H3993" s="143" t="n">
        <v>391</v>
      </c>
      <c r="I3993" s="143">
        <f>+I3992+(G3993-H3993)</f>
        <v/>
      </c>
      <c r="J3993" s="144" t="n">
        <v>46.5</v>
      </c>
      <c r="K3993" s="145" t="n"/>
      <c r="L3993" s="140">
        <f>+H3993*J3993</f>
        <v/>
      </c>
      <c r="M3993" s="141">
        <f>SUM(M3992+K3993-L3993)</f>
        <v/>
      </c>
    </row>
    <row r="3994">
      <c r="A3994" s="20" t="n">
        <v>45874</v>
      </c>
      <c r="B3994" s="1" t="n">
        <v>1455</v>
      </c>
      <c r="C3994" s="2" t="inlineStr">
        <is>
          <t>SELİM İNŞAAT</t>
        </is>
      </c>
      <c r="D3994" s="1" t="inlineStr">
        <is>
          <t>34 EGR 737</t>
        </is>
      </c>
      <c r="E3994" s="1" t="inlineStr">
        <is>
          <t>CEM MUHTAR</t>
        </is>
      </c>
      <c r="F3994" s="3" t="n">
        <v>428289</v>
      </c>
      <c r="G3994" s="143" t="n"/>
      <c r="H3994" s="143" t="n">
        <v>463</v>
      </c>
      <c r="I3994" s="143">
        <f>+I3993+(G3994-H3994)</f>
        <v/>
      </c>
      <c r="J3994" s="144" t="n">
        <v>46.5</v>
      </c>
      <c r="K3994" s="145" t="n"/>
      <c r="L3994" s="140">
        <f>+H3994*J3994</f>
        <v/>
      </c>
      <c r="M3994" s="141">
        <f>SUM(M3993+K3994-L3994)</f>
        <v/>
      </c>
    </row>
    <row r="3995">
      <c r="A3995" s="20" t="n">
        <v>45874</v>
      </c>
      <c r="B3995" s="1" t="n">
        <v>15879</v>
      </c>
      <c r="C3995" s="2" t="inlineStr">
        <is>
          <t>SELİM İNŞAAT</t>
        </is>
      </c>
      <c r="D3995" s="1" t="inlineStr">
        <is>
          <t>34 EDB 754</t>
        </is>
      </c>
      <c r="E3995" s="1" t="inlineStr">
        <is>
          <t>EMİN PARLAKKILIÇ</t>
        </is>
      </c>
      <c r="F3995" s="3" t="n">
        <v>335642</v>
      </c>
      <c r="G3995" s="143" t="n"/>
      <c r="H3995" s="143" t="n">
        <v>279</v>
      </c>
      <c r="I3995" s="143">
        <f>+I3994+(G3995-H3995)</f>
        <v/>
      </c>
      <c r="J3995" s="144" t="n">
        <v>46.5</v>
      </c>
      <c r="K3995" s="145" t="n"/>
      <c r="L3995" s="140">
        <f>+H3995*J3995</f>
        <v/>
      </c>
      <c r="M3995" s="141">
        <f>SUM(M3994+K3995-L3995)</f>
        <v/>
      </c>
    </row>
    <row r="3996">
      <c r="A3996" s="20" t="n">
        <v>45874</v>
      </c>
      <c r="B3996" s="1" t="n">
        <v>15270</v>
      </c>
      <c r="C3996" s="2" t="inlineStr">
        <is>
          <t>SELİM İNŞAAT</t>
        </is>
      </c>
      <c r="D3996" s="1" t="inlineStr">
        <is>
          <t>34 DTV 447</t>
        </is>
      </c>
      <c r="E3996" s="1" t="inlineStr">
        <is>
          <t>EBUBEKİR KOLDAŞ</t>
        </is>
      </c>
      <c r="F3996" s="3" t="n">
        <v>439248</v>
      </c>
      <c r="G3996" s="143" t="n"/>
      <c r="H3996" s="143" t="n">
        <v>397</v>
      </c>
      <c r="I3996" s="143">
        <f>+I3995+(G3996-H3996)</f>
        <v/>
      </c>
      <c r="J3996" s="144" t="n">
        <v>46.5</v>
      </c>
      <c r="K3996" s="145" t="n"/>
      <c r="L3996" s="140">
        <f>+H3996*J3996</f>
        <v/>
      </c>
      <c r="M3996" s="141">
        <f>SUM(M3995+K3996-L3996)</f>
        <v/>
      </c>
    </row>
    <row r="3997">
      <c r="A3997" s="20" t="n">
        <v>45874</v>
      </c>
      <c r="B3997" s="1" t="n">
        <v>21647</v>
      </c>
      <c r="C3997" s="2" t="inlineStr">
        <is>
          <t>SELİM İNŞAAT</t>
        </is>
      </c>
      <c r="D3997" s="1" t="inlineStr">
        <is>
          <t>34 DHC 467</t>
        </is>
      </c>
      <c r="E3997" s="1" t="inlineStr">
        <is>
          <t>NAZIM KARATAŞ</t>
        </is>
      </c>
      <c r="F3997" s="3" t="n">
        <v>415180</v>
      </c>
      <c r="G3997" s="143" t="n"/>
      <c r="H3997" s="143" t="n">
        <v>297</v>
      </c>
      <c r="I3997" s="143">
        <f>+I3996+(G3997-H3997)</f>
        <v/>
      </c>
      <c r="J3997" s="144" t="n">
        <v>46.5</v>
      </c>
      <c r="K3997" s="145" t="n"/>
      <c r="L3997" s="140">
        <f>+H3997*J3997</f>
        <v/>
      </c>
      <c r="M3997" s="141">
        <f>SUM(M3996+K3997-L3997)</f>
        <v/>
      </c>
    </row>
    <row r="3998">
      <c r="A3998" s="20" t="n">
        <v>45874</v>
      </c>
      <c r="B3998" s="1" t="n">
        <v>1706</v>
      </c>
      <c r="C3998" s="2" t="inlineStr">
        <is>
          <t>SELİM İNŞAAT</t>
        </is>
      </c>
      <c r="D3998" s="21" t="inlineStr">
        <is>
          <t>34 DGP 137</t>
        </is>
      </c>
      <c r="E3998" s="1" t="inlineStr">
        <is>
          <t>MURAT DEMİRBAŞ</t>
        </is>
      </c>
      <c r="F3998" s="3" t="n">
        <v>434784</v>
      </c>
      <c r="G3998" s="143" t="n"/>
      <c r="H3998" s="143" t="n">
        <v>422</v>
      </c>
      <c r="I3998" s="143">
        <f>+I3997+(G3998-H3998)</f>
        <v/>
      </c>
      <c r="J3998" s="144" t="n">
        <v>46.5</v>
      </c>
      <c r="K3998" s="145" t="n"/>
      <c r="L3998" s="140">
        <f>+H3998*J3998</f>
        <v/>
      </c>
      <c r="M3998" s="141">
        <f>SUM(M3997+K3998-L3998)</f>
        <v/>
      </c>
    </row>
    <row r="3999">
      <c r="A3999" s="20" t="n">
        <v>45874</v>
      </c>
      <c r="B3999" s="21" t="n">
        <v>15688</v>
      </c>
      <c r="C3999" s="22" t="inlineStr">
        <is>
          <t>METİN ERYİĞİT</t>
        </is>
      </c>
      <c r="D3999" s="21" t="inlineStr">
        <is>
          <t>34 EGR 814</t>
        </is>
      </c>
      <c r="E3999" s="21" t="inlineStr">
        <is>
          <t>MUHAMMET YİĞİT</t>
        </is>
      </c>
      <c r="F3999" s="23" t="n">
        <v>557790</v>
      </c>
      <c r="G3999" s="138" t="n"/>
      <c r="H3999" s="138" t="n">
        <v>400</v>
      </c>
      <c r="I3999" s="138">
        <f>+I3998+(G3999-H3999)</f>
        <v/>
      </c>
      <c r="J3999" s="139" t="n">
        <v>46.5</v>
      </c>
      <c r="K3999" s="140" t="n"/>
      <c r="L3999" s="140">
        <f>+H3999*J3999</f>
        <v/>
      </c>
      <c r="M3999" s="141">
        <f>SUM(M3998+K3999-L3999)</f>
        <v/>
      </c>
    </row>
    <row r="4000">
      <c r="A4000" s="20" t="n">
        <v>45874</v>
      </c>
      <c r="B4000" s="21" t="n">
        <v>716</v>
      </c>
      <c r="C4000" s="22" t="inlineStr">
        <is>
          <t>METİN ERYİĞİT</t>
        </is>
      </c>
      <c r="D4000" s="21" t="inlineStr">
        <is>
          <t>34 GBL 998</t>
        </is>
      </c>
      <c r="E4000" s="21" t="inlineStr">
        <is>
          <t>M.ALİ KESKİN</t>
        </is>
      </c>
      <c r="F4000" s="23" t="n">
        <v>284257</v>
      </c>
      <c r="G4000" s="138" t="n"/>
      <c r="H4000" s="138" t="n">
        <v>304</v>
      </c>
      <c r="I4000" s="138">
        <f>+I3999+(G4000-H4000)</f>
        <v/>
      </c>
      <c r="J4000" s="139" t="n">
        <v>46.5</v>
      </c>
      <c r="K4000" s="140" t="n"/>
      <c r="L4000" s="140">
        <f>+H4000*J4000</f>
        <v/>
      </c>
      <c r="M4000" s="141">
        <f>SUM(M3999+K4000-L4000)</f>
        <v/>
      </c>
    </row>
    <row r="4001">
      <c r="A4001" s="20" t="n">
        <v>45874</v>
      </c>
      <c r="B4001" s="21" t="n">
        <v>11385</v>
      </c>
      <c r="C4001" s="22" t="inlineStr">
        <is>
          <t>AZGÜN YAPI</t>
        </is>
      </c>
      <c r="D4001" s="21" t="inlineStr">
        <is>
          <t>34 MKT 593</t>
        </is>
      </c>
      <c r="E4001" s="21" t="inlineStr">
        <is>
          <t>İBRAHİM GÜLLÜK</t>
        </is>
      </c>
      <c r="F4001" s="23" t="n"/>
      <c r="G4001" s="138" t="n"/>
      <c r="H4001" s="138" t="n">
        <v>259</v>
      </c>
      <c r="I4001" s="138">
        <f>+I4000+(G4001-H4001)</f>
        <v/>
      </c>
      <c r="J4001" s="139" t="n">
        <v>46.5</v>
      </c>
      <c r="K4001" s="140" t="n"/>
      <c r="L4001" s="140">
        <f>+H4001*J4001</f>
        <v/>
      </c>
      <c r="M4001" s="141">
        <f>SUM(M4000+K4001-L4001)</f>
        <v/>
      </c>
    </row>
    <row r="4002">
      <c r="A4002" s="20" t="n">
        <v>45874</v>
      </c>
      <c r="B4002" s="21" t="n">
        <v>11343</v>
      </c>
      <c r="C4002" s="22" t="inlineStr">
        <is>
          <t>AZGÜN YAPI</t>
        </is>
      </c>
      <c r="D4002" s="21" t="inlineStr">
        <is>
          <t>34 MKT 859</t>
        </is>
      </c>
      <c r="E4002" s="21" t="inlineStr">
        <is>
          <t>HASAN ALTUN</t>
        </is>
      </c>
      <c r="F4002" s="23" t="n"/>
      <c r="G4002" s="138" t="n"/>
      <c r="H4002" s="138" t="n">
        <v>462</v>
      </c>
      <c r="I4002" s="138">
        <f>+I4001+(G4002-H4002)</f>
        <v/>
      </c>
      <c r="J4002" s="139" t="n">
        <v>46.5</v>
      </c>
      <c r="K4002" s="140" t="n"/>
      <c r="L4002" s="140">
        <f>+H4002*J4002</f>
        <v/>
      </c>
      <c r="M4002" s="141">
        <f>SUM(M4001+K4002-L4002)</f>
        <v/>
      </c>
    </row>
    <row r="4003">
      <c r="A4003" s="20" t="n">
        <v>45874</v>
      </c>
      <c r="B4003" s="1" t="n">
        <v>14551</v>
      </c>
      <c r="C4003" s="2" t="inlineStr">
        <is>
          <t>SELİM İNŞAAT</t>
        </is>
      </c>
      <c r="D4003" s="1" t="inlineStr">
        <is>
          <t>34 GER 028</t>
        </is>
      </c>
      <c r="E4003" s="1" t="inlineStr">
        <is>
          <t>A.KERİM ERGEN</t>
        </is>
      </c>
      <c r="F4003" s="3" t="n">
        <v>49330</v>
      </c>
      <c r="G4003" s="143" t="n"/>
      <c r="H4003" s="143" t="n">
        <v>245</v>
      </c>
      <c r="I4003" s="143">
        <f>+I4002+(G4003-H4003)</f>
        <v/>
      </c>
      <c r="J4003" s="144" t="n">
        <v>46.5</v>
      </c>
      <c r="K4003" s="145" t="n"/>
      <c r="L4003" s="140">
        <f>+H4003*J4003</f>
        <v/>
      </c>
      <c r="M4003" s="141">
        <f>SUM(M4002+K4003-L4003)</f>
        <v/>
      </c>
    </row>
    <row r="4004">
      <c r="A4004" s="20" t="n">
        <v>45874</v>
      </c>
      <c r="B4004" s="1" t="n">
        <v>466</v>
      </c>
      <c r="C4004" s="2" t="inlineStr">
        <is>
          <t>SELİM İNŞAAT</t>
        </is>
      </c>
      <c r="D4004" s="1" t="inlineStr">
        <is>
          <t>34 DKL 866</t>
        </is>
      </c>
      <c r="E4004" s="1" t="inlineStr">
        <is>
          <t>SELİM CAN ÖNVER</t>
        </is>
      </c>
      <c r="F4004" s="3" t="n">
        <v>70875</v>
      </c>
      <c r="G4004" s="143" t="n"/>
      <c r="H4004" s="143" t="n">
        <v>187</v>
      </c>
      <c r="I4004" s="143">
        <f>+I4003+(G4004-H4004)</f>
        <v/>
      </c>
      <c r="J4004" s="144" t="n">
        <v>46.5</v>
      </c>
      <c r="K4004" s="145" t="n"/>
      <c r="L4004" s="140">
        <f>+H4004*J4004</f>
        <v/>
      </c>
      <c r="M4004" s="141">
        <f>SUM(M4003+K4004-L4004)</f>
        <v/>
      </c>
    </row>
    <row r="4005">
      <c r="A4005" s="20" t="n">
        <v>45874</v>
      </c>
      <c r="B4005" s="1" t="n">
        <v>1402</v>
      </c>
      <c r="C4005" s="2" t="inlineStr">
        <is>
          <t>SELİM İNŞAAT</t>
        </is>
      </c>
      <c r="D4005" s="1" t="inlineStr">
        <is>
          <t>34 DKL 798</t>
        </is>
      </c>
      <c r="E4005" s="1" t="inlineStr">
        <is>
          <t>METİN KALKAN</t>
        </is>
      </c>
      <c r="F4005" s="3" t="n">
        <v>69965</v>
      </c>
      <c r="G4005" s="143" t="n"/>
      <c r="H4005" s="143" t="n">
        <v>258</v>
      </c>
      <c r="I4005" s="143">
        <f>+I4004+(G4005-H4005)</f>
        <v/>
      </c>
      <c r="J4005" s="144" t="n">
        <v>46.5</v>
      </c>
      <c r="K4005" s="145" t="n"/>
      <c r="L4005" s="140">
        <f>+H4005*J4005</f>
        <v/>
      </c>
      <c r="M4005" s="141">
        <f>SUM(M4004+K4005-L4005)</f>
        <v/>
      </c>
    </row>
    <row r="4006">
      <c r="A4006" s="20" t="n">
        <v>45874</v>
      </c>
      <c r="B4006" s="1" t="n">
        <v>258</v>
      </c>
      <c r="C4006" s="2" t="inlineStr">
        <is>
          <t>SELİM İNŞAAT</t>
        </is>
      </c>
      <c r="D4006" s="1" t="inlineStr">
        <is>
          <t>34 GER 445</t>
        </is>
      </c>
      <c r="E4006" s="1" t="inlineStr">
        <is>
          <t>HASAN BAYCAN</t>
        </is>
      </c>
      <c r="F4006" s="3" t="n">
        <v>47502</v>
      </c>
      <c r="G4006" s="143" t="n"/>
      <c r="H4006" s="143" t="n">
        <v>227</v>
      </c>
      <c r="I4006" s="143">
        <f>+I4005+(G4006-H4006)</f>
        <v/>
      </c>
      <c r="J4006" s="144" t="n">
        <v>46.5</v>
      </c>
      <c r="K4006" s="145" t="n"/>
      <c r="L4006" s="140">
        <f>+H4006*J4006</f>
        <v/>
      </c>
      <c r="M4006" s="141">
        <f>SUM(M4005+K4006-L4006)</f>
        <v/>
      </c>
    </row>
    <row r="4007">
      <c r="A4007" s="20" t="n">
        <v>45874</v>
      </c>
      <c r="B4007" s="1" t="n">
        <v>15182</v>
      </c>
      <c r="C4007" s="2" t="inlineStr">
        <is>
          <t>SELİM İNŞAAT</t>
        </is>
      </c>
      <c r="D4007" s="1" t="inlineStr">
        <is>
          <t xml:space="preserve">34 DP 4161 </t>
        </is>
      </c>
      <c r="E4007" s="1" t="inlineStr">
        <is>
          <t>RIFAT KARATAY</t>
        </is>
      </c>
      <c r="F4007" s="3" t="n">
        <v>293505</v>
      </c>
      <c r="G4007" s="143" t="n"/>
      <c r="H4007" s="143" t="n">
        <v>274</v>
      </c>
      <c r="I4007" s="143">
        <f>+I4006+(G4007-H4007)</f>
        <v/>
      </c>
      <c r="J4007" s="144" t="n">
        <v>46.5</v>
      </c>
      <c r="K4007" s="145" t="n"/>
      <c r="L4007" s="140">
        <f>+H4007*J4007</f>
        <v/>
      </c>
      <c r="M4007" s="141">
        <f>SUM(M4006+K4007-L4007)</f>
        <v/>
      </c>
    </row>
    <row r="4008">
      <c r="A4008" s="20" t="n">
        <v>45874</v>
      </c>
      <c r="B4008" s="1" t="n">
        <v>21342</v>
      </c>
      <c r="C4008" s="2" t="inlineStr">
        <is>
          <t>SELİM İNŞAAT</t>
        </is>
      </c>
      <c r="D4008" s="1" t="inlineStr">
        <is>
          <t>34 FEM 934</t>
        </is>
      </c>
      <c r="E4008" s="1" t="inlineStr">
        <is>
          <t>MUSTAFA ALBAYRAK</t>
        </is>
      </c>
      <c r="F4008" s="3" t="n">
        <v>315701</v>
      </c>
      <c r="G4008" s="143" t="n"/>
      <c r="H4008" s="143" t="n">
        <v>75</v>
      </c>
      <c r="I4008" s="143">
        <f>+I4007+(G4008-H4008)</f>
        <v/>
      </c>
      <c r="J4008" s="144" t="n">
        <v>46.5</v>
      </c>
      <c r="K4008" s="145" t="n"/>
      <c r="L4008" s="140">
        <f>+H4008*J4008</f>
        <v/>
      </c>
      <c r="M4008" s="141">
        <f>SUM(M4007+K4008-L4008)</f>
        <v/>
      </c>
    </row>
    <row r="4009">
      <c r="A4009" s="20" t="n">
        <v>45874</v>
      </c>
      <c r="B4009" s="21" t="n">
        <v>1902</v>
      </c>
      <c r="C4009" s="22" t="inlineStr">
        <is>
          <t xml:space="preserve">SELİM OTO KURTARICI </t>
        </is>
      </c>
      <c r="D4009" s="21" t="inlineStr">
        <is>
          <t>34 GC 8658</t>
        </is>
      </c>
      <c r="E4009" s="21" t="inlineStr">
        <is>
          <t>RECEP SELİM</t>
        </is>
      </c>
      <c r="F4009" s="23" t="n"/>
      <c r="G4009" s="138" t="n"/>
      <c r="H4009" s="138" t="n">
        <v>75</v>
      </c>
      <c r="I4009" s="138">
        <f>+I4008+(G4009-H4009)</f>
        <v/>
      </c>
      <c r="J4009" s="139" t="n">
        <v>46.5</v>
      </c>
      <c r="K4009" s="140" t="n"/>
      <c r="L4009" s="140">
        <f>+H4009*J4009</f>
        <v/>
      </c>
      <c r="M4009" s="141">
        <f>SUM(M4008+K4009-L4009)</f>
        <v/>
      </c>
    </row>
    <row r="4010">
      <c r="A4010" s="20" t="n">
        <v>45875</v>
      </c>
      <c r="B4010" s="1" t="n">
        <v>2009</v>
      </c>
      <c r="C4010" s="2" t="inlineStr">
        <is>
          <t>EVKUR</t>
        </is>
      </c>
      <c r="D4010" s="1" t="inlineStr">
        <is>
          <t>SİLİNDİR</t>
        </is>
      </c>
      <c r="E4010" s="1" t="inlineStr">
        <is>
          <t>EMİRCAN ÖZTÜRK</t>
        </is>
      </c>
      <c r="F4010" s="3" t="n"/>
      <c r="G4010" s="143" t="n"/>
      <c r="H4010" s="143" t="n">
        <v>291</v>
      </c>
      <c r="I4010" s="143">
        <f>+I4009+(G4010-H4010)</f>
        <v/>
      </c>
      <c r="J4010" s="144" t="n">
        <v>46.5</v>
      </c>
      <c r="K4010" s="145" t="n"/>
      <c r="L4010" s="140">
        <f>+H4010*J4010</f>
        <v/>
      </c>
      <c r="M4010" s="141">
        <f>SUM(M4009+K4010-L4010)</f>
        <v/>
      </c>
    </row>
    <row r="4011">
      <c r="A4011" s="20" t="n">
        <v>45875</v>
      </c>
      <c r="B4011" s="21" t="n">
        <v>2010</v>
      </c>
      <c r="C4011" s="22" t="inlineStr">
        <is>
          <t>EVKUR</t>
        </is>
      </c>
      <c r="D4011" s="21" t="inlineStr">
        <is>
          <t>FOKLİFT</t>
        </is>
      </c>
      <c r="E4011" s="21" t="inlineStr">
        <is>
          <t>FAHRİ KALFA</t>
        </is>
      </c>
      <c r="F4011" s="23" t="n"/>
      <c r="G4011" s="138" t="n"/>
      <c r="H4011" s="138" t="n">
        <v>73</v>
      </c>
      <c r="I4011" s="138">
        <f>+I4010+(G4011-H4011)</f>
        <v/>
      </c>
      <c r="J4011" s="139" t="n">
        <v>46.5</v>
      </c>
      <c r="K4011" s="140" t="n"/>
      <c r="L4011" s="140">
        <f>+H4011*J4011</f>
        <v/>
      </c>
      <c r="M4011" s="141">
        <f>SUM(M4010+K4011-L4011)</f>
        <v/>
      </c>
    </row>
    <row r="4012">
      <c r="A4012" s="20" t="n">
        <v>45875</v>
      </c>
      <c r="B4012" s="1" t="n">
        <v>2011</v>
      </c>
      <c r="C4012" s="2" t="inlineStr">
        <is>
          <t>EVKUR</t>
        </is>
      </c>
      <c r="D4012" s="1" t="inlineStr">
        <is>
          <t>KAVAZAKİ</t>
        </is>
      </c>
      <c r="E4012" s="1" t="inlineStr">
        <is>
          <t>RAMAZAN KAYA</t>
        </is>
      </c>
      <c r="F4012" s="3" t="n"/>
      <c r="G4012" s="143" t="n"/>
      <c r="H4012" s="143" t="n">
        <v>242</v>
      </c>
      <c r="I4012" s="143">
        <f>+I4011+(G4012-H4012)</f>
        <v/>
      </c>
      <c r="J4012" s="144" t="n">
        <v>46.5</v>
      </c>
      <c r="K4012" s="145" t="n"/>
      <c r="L4012" s="140">
        <f>+H4012*J4012</f>
        <v/>
      </c>
      <c r="M4012" s="141">
        <f>SUM(M4011+K4012-L4012)</f>
        <v/>
      </c>
    </row>
    <row r="4013">
      <c r="A4013" s="20" t="n">
        <v>45875</v>
      </c>
      <c r="B4013" s="1" t="n">
        <v>2012</v>
      </c>
      <c r="C4013" s="2" t="inlineStr">
        <is>
          <t>MEGA VALIK</t>
        </is>
      </c>
      <c r="D4013" s="1" t="inlineStr">
        <is>
          <t>SM 370</t>
        </is>
      </c>
      <c r="E4013" s="1" t="inlineStr">
        <is>
          <t>TEKİN ŞEYLAN</t>
        </is>
      </c>
      <c r="F4013" s="3" t="n"/>
      <c r="G4013" s="143" t="n"/>
      <c r="H4013" s="143" t="n">
        <v>443</v>
      </c>
      <c r="I4013" s="143">
        <f>+I4012+(G4013-H4013)</f>
        <v/>
      </c>
      <c r="J4013" s="144" t="n">
        <v>46.5</v>
      </c>
      <c r="K4013" s="145" t="n"/>
      <c r="L4013" s="140">
        <f>+H4013*J4013</f>
        <v/>
      </c>
      <c r="M4013" s="141">
        <f>SUM(M4012+K4013-L4013)</f>
        <v/>
      </c>
    </row>
    <row r="4014">
      <c r="A4014" s="20" t="n">
        <v>45875</v>
      </c>
      <c r="B4014" s="1" t="n">
        <v>2013</v>
      </c>
      <c r="C4014" s="2" t="inlineStr">
        <is>
          <t>EVKUR</t>
        </is>
      </c>
      <c r="D4014" s="1" t="inlineStr">
        <is>
          <t>SM 350</t>
        </is>
      </c>
      <c r="E4014" s="1" t="inlineStr">
        <is>
          <t>TEVFİK ÖZTÜRK</t>
        </is>
      </c>
      <c r="F4014" s="3" t="n"/>
      <c r="G4014" s="143" t="n"/>
      <c r="H4014" s="143" t="n">
        <v>456</v>
      </c>
      <c r="I4014" s="143">
        <f>+I4013+(G4014-H4014)</f>
        <v/>
      </c>
      <c r="J4014" s="144" t="n">
        <v>46.5</v>
      </c>
      <c r="K4014" s="145" t="n"/>
      <c r="L4014" s="140">
        <f>+H4014*J4014</f>
        <v/>
      </c>
      <c r="M4014" s="141">
        <f>SUM(M4013+K4014-L4014)</f>
        <v/>
      </c>
    </row>
    <row r="4015">
      <c r="A4015" s="20" t="n">
        <v>45875</v>
      </c>
      <c r="B4015" s="1" t="n">
        <v>2014</v>
      </c>
      <c r="C4015" s="2" t="inlineStr">
        <is>
          <t>MEGA VALIK</t>
        </is>
      </c>
      <c r="D4015" s="1" t="inlineStr">
        <is>
          <t>SM 300</t>
        </is>
      </c>
      <c r="E4015" s="1" t="inlineStr">
        <is>
          <t>TURGUT SANCAK</t>
        </is>
      </c>
      <c r="F4015" s="3" t="n"/>
      <c r="G4015" s="143" t="n"/>
      <c r="H4015" s="143" t="n">
        <v>558</v>
      </c>
      <c r="I4015" s="143">
        <f>+I4014+(G4015-H4015)</f>
        <v/>
      </c>
      <c r="J4015" s="144" t="n">
        <v>46.5</v>
      </c>
      <c r="K4015" s="145" t="n"/>
      <c r="L4015" s="140">
        <f>+H4015*J4015</f>
        <v/>
      </c>
      <c r="M4015" s="141">
        <f>SUM(M4014+K4015-L4015)</f>
        <v/>
      </c>
    </row>
    <row r="4016">
      <c r="A4016" s="20" t="n">
        <v>45875</v>
      </c>
      <c r="B4016" s="1" t="n">
        <v>2015</v>
      </c>
      <c r="C4016" s="2" t="inlineStr">
        <is>
          <t>MEGA VALIK</t>
        </is>
      </c>
      <c r="D4016" s="1" t="inlineStr">
        <is>
          <t>SM 350</t>
        </is>
      </c>
      <c r="E4016" s="1" t="inlineStr">
        <is>
          <t xml:space="preserve"> AHMET AKGÜL</t>
        </is>
      </c>
      <c r="F4016" s="3" t="n"/>
      <c r="G4016" s="143" t="n"/>
      <c r="H4016" s="143" t="n">
        <v>659</v>
      </c>
      <c r="I4016" s="143">
        <f>+I4015+(G4016-H4016)</f>
        <v/>
      </c>
      <c r="J4016" s="144" t="n">
        <v>46.5</v>
      </c>
      <c r="K4016" s="145" t="n"/>
      <c r="L4016" s="140">
        <f>+H4016*J4016</f>
        <v/>
      </c>
      <c r="M4016" s="141">
        <f>SUM(M4015+K4016-L4016)</f>
        <v/>
      </c>
    </row>
    <row r="4017">
      <c r="A4017" s="20" t="n">
        <v>45875</v>
      </c>
      <c r="B4017" s="1" t="n">
        <v>15043</v>
      </c>
      <c r="C4017" s="2" t="inlineStr">
        <is>
          <t>SELİM İNŞAAT</t>
        </is>
      </c>
      <c r="D4017" s="1" t="inlineStr">
        <is>
          <t xml:space="preserve"> 34 GVZ 199</t>
        </is>
      </c>
      <c r="E4017" s="1" t="inlineStr">
        <is>
          <t>VAHDET GÜRLER</t>
        </is>
      </c>
      <c r="F4017" s="3" t="n">
        <v>194512</v>
      </c>
      <c r="G4017" s="143" t="n"/>
      <c r="H4017" s="143" t="n">
        <v>279</v>
      </c>
      <c r="I4017" s="143">
        <f>+I4016+(G4017-H4017)</f>
        <v/>
      </c>
      <c r="J4017" s="144" t="n">
        <v>46.5</v>
      </c>
      <c r="K4017" s="145" t="n"/>
      <c r="L4017" s="140">
        <f>+H4017*J4017</f>
        <v/>
      </c>
      <c r="M4017" s="141">
        <f>SUM(M4016+K4017-L4017)</f>
        <v/>
      </c>
    </row>
    <row r="4018">
      <c r="A4018" s="20" t="n">
        <v>45875</v>
      </c>
      <c r="B4018" s="1" t="n">
        <v>572</v>
      </c>
      <c r="C4018" s="2" t="inlineStr">
        <is>
          <t>SELİM İNŞAAT</t>
        </is>
      </c>
      <c r="D4018" s="1" t="inlineStr">
        <is>
          <t>34 EDB 922</t>
        </is>
      </c>
      <c r="E4018" s="1" t="inlineStr">
        <is>
          <t>AHMET TOPÇU</t>
        </is>
      </c>
      <c r="F4018" s="3" t="n">
        <v>376714</v>
      </c>
      <c r="G4018" s="143" t="n"/>
      <c r="H4018" s="143" t="n">
        <v>341</v>
      </c>
      <c r="I4018" s="143">
        <f>+I4017+(G4018-H4018)</f>
        <v/>
      </c>
      <c r="J4018" s="144" t="n">
        <v>46.5</v>
      </c>
      <c r="K4018" s="145" t="n"/>
      <c r="L4018" s="140">
        <f>+H4018*J4018</f>
        <v/>
      </c>
      <c r="M4018" s="141">
        <f>SUM(M4017+K4018-L4018)</f>
        <v/>
      </c>
    </row>
    <row r="4019">
      <c r="A4019" s="20" t="n">
        <v>45875</v>
      </c>
      <c r="B4019" s="1" t="n">
        <v>15374</v>
      </c>
      <c r="C4019" s="2" t="inlineStr">
        <is>
          <t>SELİM İNŞAAT</t>
        </is>
      </c>
      <c r="D4019" s="1" t="inlineStr">
        <is>
          <t>34 DTV 409</t>
        </is>
      </c>
      <c r="E4019" s="1" t="inlineStr">
        <is>
          <t>ONUR CANLI</t>
        </is>
      </c>
      <c r="F4019" s="3" t="n">
        <v>428601</v>
      </c>
      <c r="G4019" s="143" t="n"/>
      <c r="H4019" s="143" t="n">
        <v>348</v>
      </c>
      <c r="I4019" s="143">
        <f>+I4018+(G4019-H4019)</f>
        <v/>
      </c>
      <c r="J4019" s="144" t="n">
        <v>46.5</v>
      </c>
      <c r="K4019" s="145" t="n"/>
      <c r="L4019" s="140">
        <f>+H4019*J4019</f>
        <v/>
      </c>
      <c r="M4019" s="141">
        <f>SUM(M4018+K4019-L4019)</f>
        <v/>
      </c>
    </row>
    <row r="4020">
      <c r="A4020" s="20" t="n">
        <v>45875</v>
      </c>
      <c r="B4020" s="1" t="n">
        <v>766</v>
      </c>
      <c r="C4020" s="2" t="inlineStr">
        <is>
          <t>SELİM İNŞAAT</t>
        </is>
      </c>
      <c r="D4020" s="1" t="inlineStr">
        <is>
          <t>34 EDB 559</t>
        </is>
      </c>
      <c r="E4020" s="1" t="inlineStr">
        <is>
          <t>MUHAMMED BULUT</t>
        </is>
      </c>
      <c r="F4020" s="3" t="n">
        <v>334786</v>
      </c>
      <c r="G4020" s="143" t="n"/>
      <c r="H4020" s="143" t="n">
        <v>395</v>
      </c>
      <c r="I4020" s="143">
        <f>+I4019+(G4020-H4020)</f>
        <v/>
      </c>
      <c r="J4020" s="144" t="n">
        <v>46.5</v>
      </c>
      <c r="K4020" s="145" t="n"/>
      <c r="L4020" s="140">
        <f>+H4020*J4020</f>
        <v/>
      </c>
      <c r="M4020" s="141">
        <f>SUM(M4019+K4020-L4020)</f>
        <v/>
      </c>
    </row>
    <row r="4021">
      <c r="A4021" s="20" t="n">
        <v>45875</v>
      </c>
      <c r="B4021" s="1" t="n">
        <v>15333</v>
      </c>
      <c r="C4021" s="2" t="inlineStr">
        <is>
          <t>SELİM İNŞAAT</t>
        </is>
      </c>
      <c r="D4021" s="1" t="inlineStr">
        <is>
          <t>34 EDC 162</t>
        </is>
      </c>
      <c r="E4021" s="1" t="inlineStr">
        <is>
          <t xml:space="preserve">YAKUP GÜNER </t>
        </is>
      </c>
      <c r="F4021" s="3" t="n">
        <v>382028</v>
      </c>
      <c r="G4021" s="143" t="n"/>
      <c r="H4021" s="143" t="n">
        <v>378</v>
      </c>
      <c r="I4021" s="143">
        <f>+I4020+(G4021-H4021)</f>
        <v/>
      </c>
      <c r="J4021" s="144" t="n">
        <v>46.5</v>
      </c>
      <c r="K4021" s="145" t="n"/>
      <c r="L4021" s="140">
        <f>+H4021*J4021</f>
        <v/>
      </c>
      <c r="M4021" s="141">
        <f>SUM(M4020+K4021-L4021)</f>
        <v/>
      </c>
    </row>
    <row r="4022">
      <c r="A4022" s="20" t="n">
        <v>45875</v>
      </c>
      <c r="B4022" s="1" t="n">
        <v>14781</v>
      </c>
      <c r="C4022" s="2" t="inlineStr">
        <is>
          <t>SELİM İNŞAAT</t>
        </is>
      </c>
      <c r="D4022" s="1" t="inlineStr">
        <is>
          <t>34 GYZ 635</t>
        </is>
      </c>
      <c r="E4022" s="1" t="inlineStr">
        <is>
          <t>ENGİN DEMİR</t>
        </is>
      </c>
      <c r="F4022" s="3" t="n">
        <v>186918</v>
      </c>
      <c r="G4022" s="143" t="n"/>
      <c r="H4022" s="143" t="n">
        <v>294</v>
      </c>
      <c r="I4022" s="143">
        <f>+I4021+(G4022-H4022)</f>
        <v/>
      </c>
      <c r="J4022" s="144" t="n">
        <v>46.5</v>
      </c>
      <c r="K4022" s="145" t="n"/>
      <c r="L4022" s="140">
        <f>+H4022*J4022</f>
        <v/>
      </c>
      <c r="M4022" s="141">
        <f>SUM(M4021+K4022-L4022)</f>
        <v/>
      </c>
    </row>
    <row r="4023">
      <c r="A4023" s="20" t="n">
        <v>45875</v>
      </c>
      <c r="B4023" s="1" t="n">
        <v>1209</v>
      </c>
      <c r="C4023" s="2" t="inlineStr">
        <is>
          <t>SELİM İNŞAAT</t>
        </is>
      </c>
      <c r="D4023" s="1" t="inlineStr">
        <is>
          <t>34 DHC 393</t>
        </is>
      </c>
      <c r="E4023" s="1" t="inlineStr">
        <is>
          <t>İSMET BAYRAM</t>
        </is>
      </c>
      <c r="F4023" s="3" t="n">
        <v>433477</v>
      </c>
      <c r="G4023" s="143" t="n"/>
      <c r="H4023" s="143" t="n">
        <v>440</v>
      </c>
      <c r="I4023" s="143">
        <f>+I4022+(G4023-H4023)</f>
        <v/>
      </c>
      <c r="J4023" s="144" t="n">
        <v>46.5</v>
      </c>
      <c r="K4023" s="145" t="n"/>
      <c r="L4023" s="140">
        <f>+H4023*J4023</f>
        <v/>
      </c>
      <c r="M4023" s="141">
        <f>SUM(M4022+K4023-L4023)</f>
        <v/>
      </c>
    </row>
    <row r="4024">
      <c r="A4024" s="20" t="n">
        <v>45875</v>
      </c>
      <c r="B4024" s="1" t="n">
        <v>15980</v>
      </c>
      <c r="C4024" s="2" t="inlineStr">
        <is>
          <t>SELİM İNŞAAT</t>
        </is>
      </c>
      <c r="D4024" s="1" t="inlineStr">
        <is>
          <t>34 FBR 781</t>
        </is>
      </c>
      <c r="E4024" s="1" t="inlineStr">
        <is>
          <t>MEVLÜT POLAT</t>
        </is>
      </c>
      <c r="F4024" s="3" t="n">
        <v>318831</v>
      </c>
      <c r="G4024" s="143" t="n"/>
      <c r="H4024" s="143" t="n">
        <v>479</v>
      </c>
      <c r="I4024" s="143">
        <f>+I4023+(G4024-H4024)</f>
        <v/>
      </c>
      <c r="J4024" s="144" t="n">
        <v>46.5</v>
      </c>
      <c r="K4024" s="145" t="n"/>
      <c r="L4024" s="140">
        <f>+H4024*J4024</f>
        <v/>
      </c>
      <c r="M4024" s="141">
        <f>SUM(M4023+K4024-L4024)</f>
        <v/>
      </c>
    </row>
    <row r="4025">
      <c r="A4025" s="20" t="n">
        <v>45875</v>
      </c>
      <c r="B4025" s="1" t="n">
        <v>1456</v>
      </c>
      <c r="C4025" s="2" t="inlineStr">
        <is>
          <t>SELİM İNŞAAT</t>
        </is>
      </c>
      <c r="D4025" s="1" t="inlineStr">
        <is>
          <t>34 EGR 737</t>
        </is>
      </c>
      <c r="E4025" s="1" t="inlineStr">
        <is>
          <t>CEM MUHTAR</t>
        </is>
      </c>
      <c r="F4025" s="3" t="n">
        <v>428500</v>
      </c>
      <c r="G4025" s="143" t="n"/>
      <c r="H4025" s="143" t="n">
        <v>275</v>
      </c>
      <c r="I4025" s="143">
        <f>+I4024+(G4025-H4025)</f>
        <v/>
      </c>
      <c r="J4025" s="144" t="n">
        <v>46.5</v>
      </c>
      <c r="K4025" s="145" t="n"/>
      <c r="L4025" s="140">
        <f>+H4025*J4025</f>
        <v/>
      </c>
      <c r="M4025" s="141">
        <f>SUM(M4024+K4025-L4025)</f>
        <v/>
      </c>
    </row>
    <row r="4026">
      <c r="A4026" s="20" t="n">
        <v>45875</v>
      </c>
      <c r="B4026" s="1" t="n">
        <v>1061</v>
      </c>
      <c r="C4026" s="2" t="inlineStr">
        <is>
          <t>SELİM İNŞAAT</t>
        </is>
      </c>
      <c r="D4026" s="1" t="inlineStr">
        <is>
          <t>34 GVZ 310</t>
        </is>
      </c>
      <c r="E4026" s="1" t="inlineStr">
        <is>
          <t>CELAL YÜZBAŞI</t>
        </is>
      </c>
      <c r="F4026" s="3" t="n">
        <v>211487</v>
      </c>
      <c r="G4026" s="143" t="n"/>
      <c r="H4026" s="143" t="n">
        <v>294</v>
      </c>
      <c r="I4026" s="143">
        <f>+I4025+(G4026-H4026)</f>
        <v/>
      </c>
      <c r="J4026" s="144" t="n">
        <v>46.5</v>
      </c>
      <c r="K4026" s="145" t="n"/>
      <c r="L4026" s="140">
        <f>+H4026*J4026</f>
        <v/>
      </c>
      <c r="M4026" s="141">
        <f>SUM(M4025+K4026-L4026)</f>
        <v/>
      </c>
    </row>
    <row r="4027">
      <c r="A4027" s="20" t="n">
        <v>45875</v>
      </c>
      <c r="B4027" s="1" t="n">
        <v>15127</v>
      </c>
      <c r="C4027" s="2" t="inlineStr">
        <is>
          <t>SELİM İNŞAAT</t>
        </is>
      </c>
      <c r="D4027" s="1" t="inlineStr">
        <is>
          <t>34 DTV 599</t>
        </is>
      </c>
      <c r="E4027" s="1" t="inlineStr">
        <is>
          <t>FERHAT GÜRLER</t>
        </is>
      </c>
      <c r="F4027" s="3" t="n">
        <v>443849</v>
      </c>
      <c r="G4027" s="143" t="n"/>
      <c r="H4027" s="143" t="n">
        <v>448</v>
      </c>
      <c r="I4027" s="143">
        <f>+I4026+(G4027-H4027)</f>
        <v/>
      </c>
      <c r="J4027" s="144" t="n">
        <v>46.5</v>
      </c>
      <c r="K4027" s="145" t="n"/>
      <c r="L4027" s="140">
        <f>+H4027*J4027</f>
        <v/>
      </c>
      <c r="M4027" s="141">
        <f>SUM(M4026+K4027-L4027)</f>
        <v/>
      </c>
    </row>
    <row r="4028">
      <c r="A4028" s="20" t="n">
        <v>45875</v>
      </c>
      <c r="B4028" s="1" t="n">
        <v>661</v>
      </c>
      <c r="C4028" s="2" t="inlineStr">
        <is>
          <t>SELİM İNŞAAT</t>
        </is>
      </c>
      <c r="D4028" s="1" t="inlineStr">
        <is>
          <t>34 DTV 352</t>
        </is>
      </c>
      <c r="E4028" s="1" t="inlineStr">
        <is>
          <t>AHMET DENİZ</t>
        </is>
      </c>
      <c r="F4028" s="3" t="n">
        <v>441594</v>
      </c>
      <c r="G4028" s="143" t="n"/>
      <c r="H4028" s="143" t="n">
        <v>512</v>
      </c>
      <c r="I4028" s="143">
        <f>+I4027+(G4028-H4028)</f>
        <v/>
      </c>
      <c r="J4028" s="144" t="n">
        <v>46.5</v>
      </c>
      <c r="K4028" s="145" t="n"/>
      <c r="L4028" s="140">
        <f>+H4028*J4028</f>
        <v/>
      </c>
      <c r="M4028" s="141">
        <f>SUM(M4027+K4028-L4028)</f>
        <v/>
      </c>
    </row>
    <row r="4029">
      <c r="A4029" s="20" t="n">
        <v>45875</v>
      </c>
      <c r="B4029" s="1" t="n">
        <v>15073</v>
      </c>
      <c r="C4029" s="2" t="inlineStr">
        <is>
          <t>SELİM İNŞAAT</t>
        </is>
      </c>
      <c r="D4029" s="1" t="inlineStr">
        <is>
          <t>34 EGR736</t>
        </is>
      </c>
      <c r="E4029" s="1" t="inlineStr">
        <is>
          <t>HAKAN ÇAVUŞOĞLU</t>
        </is>
      </c>
      <c r="F4029" s="3" t="n">
        <v>403133</v>
      </c>
      <c r="G4029" s="143" t="n"/>
      <c r="H4029" s="143" t="n">
        <v>523</v>
      </c>
      <c r="I4029" s="143">
        <f>+I4028+(G4029-H4029)</f>
        <v/>
      </c>
      <c r="J4029" s="144" t="n">
        <v>46.5</v>
      </c>
      <c r="K4029" s="145" t="n"/>
      <c r="L4029" s="140">
        <f>+H4029*J4029</f>
        <v/>
      </c>
      <c r="M4029" s="141">
        <f>SUM(M4028+K4029-L4029)</f>
        <v/>
      </c>
    </row>
    <row r="4030">
      <c r="A4030" s="20" t="n">
        <v>45875</v>
      </c>
      <c r="B4030" s="21" t="n">
        <v>15632</v>
      </c>
      <c r="C4030" s="22" t="inlineStr">
        <is>
          <t>METİN ERYİĞİT</t>
        </is>
      </c>
      <c r="D4030" s="21" t="inlineStr">
        <is>
          <t>34 EGS 013</t>
        </is>
      </c>
      <c r="E4030" s="21" t="inlineStr">
        <is>
          <t>UĞUR DUMAN</t>
        </is>
      </c>
      <c r="F4030" s="23" t="n">
        <v>503908</v>
      </c>
      <c r="G4030" s="138" t="n"/>
      <c r="H4030" s="138" t="n">
        <v>540</v>
      </c>
      <c r="I4030" s="138">
        <f>+I4029+(G4030-H4030)</f>
        <v/>
      </c>
      <c r="J4030" s="139" t="n">
        <v>46.5</v>
      </c>
      <c r="K4030" s="140" t="n"/>
      <c r="L4030" s="140">
        <f>+H4030*J4030</f>
        <v/>
      </c>
      <c r="M4030" s="141">
        <f>SUM(M4029+K4030-L4030)</f>
        <v/>
      </c>
    </row>
    <row r="4031">
      <c r="A4031" s="20" t="n">
        <v>45875</v>
      </c>
      <c r="B4031" s="21" t="n">
        <v>14200</v>
      </c>
      <c r="C4031" s="22" t="inlineStr">
        <is>
          <t>AZGÜN YAPI</t>
        </is>
      </c>
      <c r="D4031" s="21" t="inlineStr">
        <is>
          <t>34 DTV 263</t>
        </is>
      </c>
      <c r="E4031" s="21" t="inlineStr">
        <is>
          <t>MUHAMMED BULUT</t>
        </is>
      </c>
      <c r="F4031" s="23" t="n"/>
      <c r="G4031" s="138" t="n"/>
      <c r="H4031" s="138" t="n">
        <v>396</v>
      </c>
      <c r="I4031" s="138">
        <f>+I4030+(G4031-H4031)</f>
        <v/>
      </c>
      <c r="J4031" s="139" t="n">
        <v>46.5</v>
      </c>
      <c r="K4031" s="140" t="n"/>
      <c r="L4031" s="140">
        <f>+H4031*J4031</f>
        <v/>
      </c>
      <c r="M4031" s="141">
        <f>SUM(M4030+K4031-L4031)</f>
        <v/>
      </c>
    </row>
    <row r="4032">
      <c r="A4032" s="20" t="n">
        <v>45875</v>
      </c>
      <c r="B4032" s="1" t="n">
        <v>467</v>
      </c>
      <c r="C4032" s="2" t="inlineStr">
        <is>
          <t>SELİM İNŞAAT</t>
        </is>
      </c>
      <c r="D4032" s="1" t="inlineStr">
        <is>
          <t>34 DKL 866</t>
        </is>
      </c>
      <c r="E4032" s="1" t="inlineStr">
        <is>
          <t>SELİM CAN ÖNVER</t>
        </is>
      </c>
      <c r="F4032" s="3" t="n">
        <v>71018</v>
      </c>
      <c r="G4032" s="143" t="n"/>
      <c r="H4032" s="143" t="n">
        <v>175</v>
      </c>
      <c r="I4032" s="143">
        <f>+I4031+(G4032-H4032)</f>
        <v/>
      </c>
      <c r="J4032" s="144" t="n">
        <v>46.5</v>
      </c>
      <c r="K4032" s="145" t="n"/>
      <c r="L4032" s="140">
        <f>+H4032*J4032</f>
        <v/>
      </c>
      <c r="M4032" s="141">
        <f>SUM(M4031+K4032-L4032)</f>
        <v/>
      </c>
    </row>
    <row r="4033">
      <c r="A4033" s="20" t="n">
        <v>45875</v>
      </c>
      <c r="B4033" s="1" t="n">
        <v>15939</v>
      </c>
      <c r="C4033" s="2" t="inlineStr">
        <is>
          <t>SELİM İNŞAAT</t>
        </is>
      </c>
      <c r="D4033" s="1" t="inlineStr">
        <is>
          <t>34 DFE 454</t>
        </is>
      </c>
      <c r="E4033" s="1" t="inlineStr">
        <is>
          <t>TURAN SEVİNDİK</t>
        </is>
      </c>
      <c r="F4033" s="3" t="n">
        <v>164156</v>
      </c>
      <c r="G4033" s="143" t="n"/>
      <c r="H4033" s="143" t="n">
        <v>173</v>
      </c>
      <c r="I4033" s="143">
        <f>+I4032+(G4033-H4033)</f>
        <v/>
      </c>
      <c r="J4033" s="144" t="n">
        <v>46.5</v>
      </c>
      <c r="K4033" s="145" t="n"/>
      <c r="L4033" s="140">
        <f>+H4033*J4033</f>
        <v/>
      </c>
      <c r="M4033" s="141">
        <f>SUM(M4032+K4033-L4033)</f>
        <v/>
      </c>
    </row>
    <row r="4034">
      <c r="A4034" s="20" t="n">
        <v>45875</v>
      </c>
      <c r="B4034" s="1" t="n">
        <v>1403</v>
      </c>
      <c r="C4034" s="2" t="inlineStr">
        <is>
          <t>SELİM İNŞAAT</t>
        </is>
      </c>
      <c r="D4034" s="1" t="inlineStr">
        <is>
          <t>34 DKL 798</t>
        </is>
      </c>
      <c r="E4034" s="1" t="inlineStr">
        <is>
          <t>METİN KALKAN</t>
        </is>
      </c>
      <c r="F4034" s="3" t="n">
        <v>70184</v>
      </c>
      <c r="G4034" s="143" t="n"/>
      <c r="H4034" s="143" t="n">
        <v>196</v>
      </c>
      <c r="I4034" s="143">
        <f>+I4033+(G4034-H4034)</f>
        <v/>
      </c>
      <c r="J4034" s="144" t="n">
        <v>46.5</v>
      </c>
      <c r="K4034" s="145" t="n"/>
      <c r="L4034" s="140">
        <f>+H4034*J4034</f>
        <v/>
      </c>
      <c r="M4034" s="141">
        <f>SUM(M4033+K4034-L4034)</f>
        <v/>
      </c>
    </row>
    <row r="4035">
      <c r="A4035" s="20" t="n">
        <v>45875</v>
      </c>
      <c r="B4035" s="1" t="n">
        <v>608</v>
      </c>
      <c r="C4035" s="2" t="inlineStr">
        <is>
          <t>SELİM İNŞAAT</t>
        </is>
      </c>
      <c r="D4035" s="1" t="inlineStr">
        <is>
          <t>34 AR 7743</t>
        </is>
      </c>
      <c r="E4035" s="1" t="inlineStr">
        <is>
          <t>MEHMET SELİM</t>
        </is>
      </c>
      <c r="F4035" s="3" t="n">
        <v>359557</v>
      </c>
      <c r="G4035" s="143" t="n"/>
      <c r="H4035" s="143" t="n">
        <v>60</v>
      </c>
      <c r="I4035" s="143">
        <f>+I4034+(G4035-H4035)</f>
        <v/>
      </c>
      <c r="J4035" s="144" t="n">
        <v>46.5</v>
      </c>
      <c r="K4035" s="145" t="n"/>
      <c r="L4035" s="140">
        <f>+H4035*J4035</f>
        <v/>
      </c>
      <c r="M4035" s="141">
        <f>SUM(M4034+K4035-L4035)</f>
        <v/>
      </c>
    </row>
    <row r="4036">
      <c r="A4036" s="20" t="n">
        <v>45875</v>
      </c>
      <c r="B4036" s="1" t="n">
        <v>10600</v>
      </c>
      <c r="C4036" s="2" t="inlineStr">
        <is>
          <t>SELİM İNŞAAT</t>
        </is>
      </c>
      <c r="D4036" s="1" t="inlineStr">
        <is>
          <t>34 GU 945</t>
        </is>
      </c>
      <c r="E4036" s="1" t="inlineStr">
        <is>
          <t>YAKUP URUCU</t>
        </is>
      </c>
      <c r="F4036" s="3" t="n">
        <v>453974</v>
      </c>
      <c r="G4036" s="143" t="n"/>
      <c r="H4036" s="143" t="n">
        <v>64</v>
      </c>
      <c r="I4036" s="143">
        <f>+I4035+(G4036-H4036)</f>
        <v/>
      </c>
      <c r="J4036" s="144" t="n">
        <v>46.5</v>
      </c>
      <c r="K4036" s="145" t="n"/>
      <c r="L4036" s="140">
        <f>+H4036*J4036</f>
        <v/>
      </c>
      <c r="M4036" s="141">
        <f>SUM(M4035+K4036-L4036)</f>
        <v/>
      </c>
    </row>
    <row r="4037">
      <c r="A4037" s="20" t="n">
        <v>45876</v>
      </c>
      <c r="B4037" s="1" t="n">
        <v>2016</v>
      </c>
      <c r="C4037" s="2" t="inlineStr">
        <is>
          <t>MEGA VALIK</t>
        </is>
      </c>
      <c r="D4037" s="1" t="inlineStr">
        <is>
          <t>SM 370</t>
        </is>
      </c>
      <c r="E4037" s="1" t="inlineStr">
        <is>
          <t>TEKİN ŞEYLAN</t>
        </is>
      </c>
      <c r="F4037" s="3" t="n"/>
      <c r="G4037" s="143" t="n"/>
      <c r="H4037" s="143" t="n">
        <v>459</v>
      </c>
      <c r="I4037" s="143">
        <f>+I4036+(G4037-H4037)</f>
        <v/>
      </c>
      <c r="J4037" s="144" t="n">
        <v>46.5</v>
      </c>
      <c r="K4037" s="145" t="n"/>
      <c r="L4037" s="140">
        <f>+H4037*J4037</f>
        <v/>
      </c>
      <c r="M4037" s="141">
        <f>SUM(M4036+K4037-L4037)</f>
        <v/>
      </c>
    </row>
    <row r="4038">
      <c r="A4038" s="20" t="n">
        <v>45876</v>
      </c>
      <c r="B4038" s="1" t="n">
        <v>2017</v>
      </c>
      <c r="C4038" s="2" t="inlineStr">
        <is>
          <t>EVKUR</t>
        </is>
      </c>
      <c r="D4038" s="1" t="inlineStr">
        <is>
          <t>KAVAZAKİ</t>
        </is>
      </c>
      <c r="E4038" s="1" t="inlineStr">
        <is>
          <t>RAMAZAN KAYA</t>
        </is>
      </c>
      <c r="F4038" s="3" t="n"/>
      <c r="G4038" s="143" t="n"/>
      <c r="H4038" s="143" t="n">
        <v>264</v>
      </c>
      <c r="I4038" s="143">
        <f>+I4037+(G4038-H4038)</f>
        <v/>
      </c>
      <c r="J4038" s="144" t="n">
        <v>46.5</v>
      </c>
      <c r="K4038" s="145" t="n"/>
      <c r="L4038" s="140">
        <f>+H4038*J4038</f>
        <v/>
      </c>
      <c r="M4038" s="141">
        <f>SUM(M4037+K4038-L4038)</f>
        <v/>
      </c>
    </row>
    <row r="4039">
      <c r="A4039" s="20" t="n">
        <v>45876</v>
      </c>
      <c r="B4039" s="1" t="n">
        <v>2018</v>
      </c>
      <c r="C4039" s="2" t="inlineStr">
        <is>
          <t>EVKUR</t>
        </is>
      </c>
      <c r="D4039" s="1" t="inlineStr">
        <is>
          <t>SİLİNDİR</t>
        </is>
      </c>
      <c r="E4039" s="1" t="inlineStr">
        <is>
          <t>EMİRCAN ÖZTÜRK</t>
        </is>
      </c>
      <c r="F4039" s="3" t="n"/>
      <c r="G4039" s="143" t="n"/>
      <c r="H4039" s="143" t="n">
        <v>131</v>
      </c>
      <c r="I4039" s="143">
        <f>+I4038+(G4039-H4039)</f>
        <v/>
      </c>
      <c r="J4039" s="144" t="n">
        <v>46.5</v>
      </c>
      <c r="K4039" s="145" t="n"/>
      <c r="L4039" s="140">
        <f>+H4039*J4039</f>
        <v/>
      </c>
      <c r="M4039" s="141">
        <f>SUM(M4038+K4039-L4039)</f>
        <v/>
      </c>
    </row>
    <row r="4040">
      <c r="A4040" s="20" t="n">
        <v>45876</v>
      </c>
      <c r="B4040" s="1" t="n">
        <v>2019</v>
      </c>
      <c r="C4040" s="2" t="inlineStr">
        <is>
          <t>EVKUR</t>
        </is>
      </c>
      <c r="D4040" s="1" t="inlineStr">
        <is>
          <t xml:space="preserve">SM 350 </t>
        </is>
      </c>
      <c r="E4040" s="1" t="inlineStr">
        <is>
          <t>TEVFİK ÖZTÜRK</t>
        </is>
      </c>
      <c r="F4040" s="3" t="n"/>
      <c r="G4040" s="143" t="n"/>
      <c r="H4040" s="143" t="n">
        <v>428</v>
      </c>
      <c r="I4040" s="143">
        <f>+I4039+(G4040-H4040)</f>
        <v/>
      </c>
      <c r="J4040" s="144" t="n">
        <v>46.5</v>
      </c>
      <c r="K4040" s="145" t="n"/>
      <c r="L4040" s="140">
        <f>+H4040*J4040</f>
        <v/>
      </c>
      <c r="M4040" s="141">
        <f>SUM(M4039+K4040-L4040)</f>
        <v/>
      </c>
    </row>
    <row r="4041">
      <c r="A4041" s="20" t="n">
        <v>45876</v>
      </c>
      <c r="B4041" s="1" t="n">
        <v>2020</v>
      </c>
      <c r="C4041" s="2" t="inlineStr">
        <is>
          <t>MEGA VALIK</t>
        </is>
      </c>
      <c r="D4041" s="1" t="inlineStr">
        <is>
          <t>SM 350</t>
        </is>
      </c>
      <c r="E4041" s="1" t="inlineStr">
        <is>
          <t>MEHMET ALİ SANCAK</t>
        </is>
      </c>
      <c r="F4041" s="3" t="n"/>
      <c r="G4041" s="143" t="n"/>
      <c r="H4041" s="143" t="n">
        <v>280</v>
      </c>
      <c r="I4041" s="143">
        <f>+I4040+(G4041-H4041)</f>
        <v/>
      </c>
      <c r="J4041" s="144" t="n">
        <v>46.5</v>
      </c>
      <c r="K4041" s="145" t="n"/>
      <c r="L4041" s="140">
        <f>+H4041*J4041</f>
        <v/>
      </c>
      <c r="M4041" s="141">
        <f>SUM(M4040+K4041-L4041)</f>
        <v/>
      </c>
    </row>
    <row r="4042">
      <c r="A4042" s="20" t="n">
        <v>45876</v>
      </c>
      <c r="B4042" s="1" t="n">
        <v>2021</v>
      </c>
      <c r="C4042" s="2" t="inlineStr">
        <is>
          <t>MEGA VALIK</t>
        </is>
      </c>
      <c r="D4042" s="1" t="inlineStr">
        <is>
          <t xml:space="preserve">SM 300 </t>
        </is>
      </c>
      <c r="E4042" s="1" t="inlineStr">
        <is>
          <t>TURGUT SANCAK</t>
        </is>
      </c>
      <c r="F4042" s="3" t="n"/>
      <c r="G4042" s="143" t="n"/>
      <c r="H4042" s="143" t="n">
        <v>233</v>
      </c>
      <c r="I4042" s="143">
        <f>+I4041+(G4042-H4042)</f>
        <v/>
      </c>
      <c r="J4042" s="144" t="n">
        <v>46.5</v>
      </c>
      <c r="K4042" s="145" t="n"/>
      <c r="L4042" s="140">
        <f>+H4042*J4042</f>
        <v/>
      </c>
      <c r="M4042" s="141">
        <f>SUM(M4041+K4042-L4042)</f>
        <v/>
      </c>
    </row>
    <row r="4043">
      <c r="A4043" s="20" t="n">
        <v>45876</v>
      </c>
      <c r="B4043" s="1" t="n">
        <v>1562</v>
      </c>
      <c r="C4043" s="2" t="inlineStr">
        <is>
          <t>SELİM İNŞAAT</t>
        </is>
      </c>
      <c r="D4043" s="1" t="inlineStr">
        <is>
          <t>34 GUS 938</t>
        </is>
      </c>
      <c r="E4043" s="1" t="inlineStr">
        <is>
          <t>MEHMET KAYA</t>
        </is>
      </c>
      <c r="F4043" s="3" t="n">
        <v>202197</v>
      </c>
      <c r="G4043" s="143" t="n"/>
      <c r="H4043" s="143" t="n">
        <v>330</v>
      </c>
      <c r="I4043" s="143">
        <f>+I4042+(G4043-H4043)</f>
        <v/>
      </c>
      <c r="J4043" s="144" t="n">
        <v>46.5</v>
      </c>
      <c r="K4043" s="145" t="n"/>
      <c r="L4043" s="140">
        <f>+H4043*J4043</f>
        <v/>
      </c>
      <c r="M4043" s="141">
        <f>SUM(M4042+K4043-L4043)</f>
        <v/>
      </c>
    </row>
    <row r="4044">
      <c r="A4044" s="20" t="n">
        <v>45876</v>
      </c>
      <c r="B4044" s="1" t="n">
        <v>152225</v>
      </c>
      <c r="C4044" s="2" t="inlineStr">
        <is>
          <t>SELİM İNŞAAT</t>
        </is>
      </c>
      <c r="D4044" s="1" t="inlineStr">
        <is>
          <t>34 DSN 565</t>
        </is>
      </c>
      <c r="E4044" s="1" t="inlineStr">
        <is>
          <t>HÜSEYİN DENİZ</t>
        </is>
      </c>
      <c r="F4044" s="3" t="n">
        <v>412027</v>
      </c>
      <c r="G4044" s="143" t="n"/>
      <c r="H4044" s="143" t="n">
        <v>297</v>
      </c>
      <c r="I4044" s="143">
        <f>+I4043+(G4044-H4044)</f>
        <v/>
      </c>
      <c r="J4044" s="144" t="n">
        <v>46.5</v>
      </c>
      <c r="K4044" s="145" t="n"/>
      <c r="L4044" s="140">
        <f>+H4044*J4044</f>
        <v/>
      </c>
      <c r="M4044" s="141">
        <f>SUM(M4043+K4044-L4044)</f>
        <v/>
      </c>
    </row>
    <row r="4045">
      <c r="A4045" s="20" t="n">
        <v>45876</v>
      </c>
      <c r="B4045" s="1" t="n">
        <v>1260</v>
      </c>
      <c r="C4045" s="2" t="inlineStr">
        <is>
          <t>SELİM İNŞAAT</t>
        </is>
      </c>
      <c r="D4045" s="1" t="inlineStr">
        <is>
          <t>34 DSN 621</t>
        </is>
      </c>
      <c r="E4045" s="1" t="inlineStr">
        <is>
          <t>MUSTAFA KAYA</t>
        </is>
      </c>
      <c r="F4045" s="3" t="n">
        <v>424050</v>
      </c>
      <c r="G4045" s="143" t="n"/>
      <c r="H4045" s="143" t="n">
        <v>395</v>
      </c>
      <c r="I4045" s="143">
        <f>+I4044+(G4045-H4045)</f>
        <v/>
      </c>
      <c r="J4045" s="144" t="n">
        <v>46.5</v>
      </c>
      <c r="K4045" s="145" t="n"/>
      <c r="L4045" s="140">
        <f>+H4045*J4045</f>
        <v/>
      </c>
      <c r="M4045" s="141">
        <f>SUM(M4044+K4045-L4045)</f>
        <v/>
      </c>
    </row>
    <row r="4046">
      <c r="A4046" s="20" t="n">
        <v>45876</v>
      </c>
      <c r="B4046" s="1" t="n">
        <v>15538</v>
      </c>
      <c r="C4046" s="2" t="inlineStr">
        <is>
          <t>SELİM İNŞAAT</t>
        </is>
      </c>
      <c r="D4046" s="1" t="inlineStr">
        <is>
          <t>34 EDC 086</t>
        </is>
      </c>
      <c r="E4046" s="1" t="inlineStr">
        <is>
          <t>ÖMER AĞAYAR</t>
        </is>
      </c>
      <c r="F4046" s="3" t="n">
        <v>339735</v>
      </c>
      <c r="G4046" s="143" t="n"/>
      <c r="H4046" s="143" t="n">
        <v>455</v>
      </c>
      <c r="I4046" s="143">
        <f>+I4045+(G4046-H4046)</f>
        <v/>
      </c>
      <c r="J4046" s="144" t="n">
        <v>46.5</v>
      </c>
      <c r="K4046" s="145" t="n"/>
      <c r="L4046" s="140">
        <f>+H4046*J4046</f>
        <v/>
      </c>
      <c r="M4046" s="141">
        <f>SUM(M4045+K4046-L4046)</f>
        <v/>
      </c>
    </row>
    <row r="4047">
      <c r="A4047" s="20" t="n">
        <v>45876</v>
      </c>
      <c r="B4047" s="1" t="n">
        <v>1210</v>
      </c>
      <c r="C4047" s="2" t="inlineStr">
        <is>
          <t>SELİM İNŞAAT</t>
        </is>
      </c>
      <c r="D4047" s="1" t="inlineStr">
        <is>
          <t>34 DHC 393</t>
        </is>
      </c>
      <c r="E4047" s="1" t="inlineStr">
        <is>
          <t>İSMET BAYRAM</t>
        </is>
      </c>
      <c r="F4047" s="3" t="n">
        <v>433909</v>
      </c>
      <c r="G4047" s="143" t="n"/>
      <c r="H4047" s="143" t="n">
        <v>294</v>
      </c>
      <c r="I4047" s="143">
        <f>+I4046+(G4047-H4047)</f>
        <v/>
      </c>
      <c r="J4047" s="144" t="n">
        <v>46.5</v>
      </c>
      <c r="K4047" s="145" t="n"/>
      <c r="L4047" s="140">
        <f>+H4047*J4047</f>
        <v/>
      </c>
      <c r="M4047" s="141">
        <f>SUM(M4046+K4047-L4047)</f>
        <v/>
      </c>
    </row>
    <row r="4048">
      <c r="A4048" s="20" t="n">
        <v>45876</v>
      </c>
      <c r="B4048" s="1" t="n">
        <v>824</v>
      </c>
      <c r="C4048" s="2" t="inlineStr">
        <is>
          <t>SELİM İNŞAAT</t>
        </is>
      </c>
      <c r="D4048" s="1" t="inlineStr">
        <is>
          <t>34 FBR 705</t>
        </is>
      </c>
      <c r="E4048" s="1" t="inlineStr">
        <is>
          <t>MESUT GÜRLER</t>
        </is>
      </c>
      <c r="F4048" s="3" t="n">
        <v>330820</v>
      </c>
      <c r="G4048" s="143" t="n"/>
      <c r="H4048" s="143" t="n">
        <v>428</v>
      </c>
      <c r="I4048" s="143">
        <f>+I4047+(G4048-H4048)</f>
        <v/>
      </c>
      <c r="J4048" s="144" t="n">
        <v>46.5</v>
      </c>
      <c r="K4048" s="145" t="n"/>
      <c r="L4048" s="140">
        <f>+H4048*J4048</f>
        <v/>
      </c>
      <c r="M4048" s="141">
        <f>SUM(M4047+K4048-L4048)</f>
        <v/>
      </c>
    </row>
    <row r="4049">
      <c r="A4049" s="20" t="n">
        <v>45876</v>
      </c>
      <c r="B4049" s="1" t="n">
        <v>1805</v>
      </c>
      <c r="C4049" s="2" t="inlineStr">
        <is>
          <t>SELİM İNŞAAT</t>
        </is>
      </c>
      <c r="D4049" s="1" t="inlineStr">
        <is>
          <t>34 EGR 922</t>
        </is>
      </c>
      <c r="E4049" s="1" t="inlineStr">
        <is>
          <t>FARUK ÖZEN</t>
        </is>
      </c>
      <c r="F4049" s="3" t="n">
        <v>467370</v>
      </c>
      <c r="G4049" s="143" t="n"/>
      <c r="H4049" s="143" t="n">
        <v>445</v>
      </c>
      <c r="I4049" s="143">
        <f>+I4048+(G4049-H4049)</f>
        <v/>
      </c>
      <c r="J4049" s="144" t="n">
        <v>46.5</v>
      </c>
      <c r="K4049" s="145" t="n"/>
      <c r="L4049" s="140">
        <f>+H4049*J4049</f>
        <v/>
      </c>
      <c r="M4049" s="141">
        <f>SUM(M4048+K4049-L4049)</f>
        <v/>
      </c>
    </row>
    <row r="4050">
      <c r="A4050" s="20" t="n">
        <v>45876</v>
      </c>
      <c r="B4050" s="1" t="n">
        <v>15880</v>
      </c>
      <c r="C4050" s="2" t="inlineStr">
        <is>
          <t>SELİM İNŞAAT</t>
        </is>
      </c>
      <c r="D4050" s="1" t="inlineStr">
        <is>
          <t>34 EDB 754</t>
        </is>
      </c>
      <c r="E4050" s="1" t="inlineStr">
        <is>
          <t>EMİN PARLAKKILIÇ</t>
        </is>
      </c>
      <c r="F4050" s="3" t="n">
        <v>336084</v>
      </c>
      <c r="G4050" s="143" t="n"/>
      <c r="H4050" s="143" t="n">
        <v>333</v>
      </c>
      <c r="I4050" s="143">
        <f>+I4049+(G4050-H4050)</f>
        <v/>
      </c>
      <c r="J4050" s="144" t="n">
        <v>46.5</v>
      </c>
      <c r="K4050" s="145" t="n"/>
      <c r="L4050" s="140">
        <f>+H4050*J4050</f>
        <v/>
      </c>
      <c r="M4050" s="141">
        <f>SUM(M4049+K4050-L4050)</f>
        <v/>
      </c>
    </row>
    <row r="4051">
      <c r="A4051" s="20" t="n">
        <v>45876</v>
      </c>
      <c r="B4051" s="1" t="n">
        <v>1110</v>
      </c>
      <c r="C4051" s="2" t="inlineStr">
        <is>
          <t>SELİM İNŞAAT</t>
        </is>
      </c>
      <c r="D4051" s="1" t="inlineStr">
        <is>
          <t>34 EDB 659</t>
        </is>
      </c>
      <c r="E4051" s="1" t="inlineStr">
        <is>
          <t>MEHMET SAİT ANIK</t>
        </is>
      </c>
      <c r="F4051" s="3" t="n">
        <v>354263</v>
      </c>
      <c r="G4051" s="143" t="n"/>
      <c r="H4051" s="143" t="n">
        <v>479</v>
      </c>
      <c r="I4051" s="143">
        <f>+I4050+(G4051-H4051)</f>
        <v/>
      </c>
      <c r="J4051" s="144" t="n">
        <v>46.5</v>
      </c>
      <c r="K4051" s="145" t="n"/>
      <c r="L4051" s="140">
        <f>+H4051*J4051</f>
        <v/>
      </c>
      <c r="M4051" s="141">
        <f>SUM(M4050+K4051-L4051)</f>
        <v/>
      </c>
    </row>
    <row r="4052">
      <c r="A4052" s="20" t="n">
        <v>45876</v>
      </c>
      <c r="B4052" s="1" t="n">
        <v>1062</v>
      </c>
      <c r="C4052" s="2" t="inlineStr">
        <is>
          <t>SELİM İNŞAAT</t>
        </is>
      </c>
      <c r="D4052" s="1" t="inlineStr">
        <is>
          <t>34 GVZ 310</t>
        </is>
      </c>
      <c r="E4052" s="1" t="inlineStr">
        <is>
          <t>CELAL YÜZBAŞI</t>
        </is>
      </c>
      <c r="F4052" s="3" t="n">
        <v>212062</v>
      </c>
      <c r="G4052" s="143" t="n"/>
      <c r="H4052" s="143" t="n">
        <v>322</v>
      </c>
      <c r="I4052" s="143">
        <f>+I4051+(G4052-H4052)</f>
        <v/>
      </c>
      <c r="J4052" s="144" t="n">
        <v>46.5</v>
      </c>
      <c r="K4052" s="145" t="n"/>
      <c r="L4052" s="140">
        <f>+H4052*J4052</f>
        <v/>
      </c>
      <c r="M4052" s="141">
        <f>SUM(M4051+K4052-L4052)</f>
        <v/>
      </c>
    </row>
    <row r="4053">
      <c r="A4053" s="20" t="n">
        <v>45876</v>
      </c>
      <c r="B4053" s="1" t="n">
        <v>15074</v>
      </c>
      <c r="C4053" s="2" t="inlineStr">
        <is>
          <t>SELİM İNŞAAT</t>
        </is>
      </c>
      <c r="D4053" s="1" t="inlineStr">
        <is>
          <t>34 EGR736</t>
        </is>
      </c>
      <c r="E4053" s="1" t="inlineStr">
        <is>
          <t>HAKAN ÇAVUŞOĞLU</t>
        </is>
      </c>
      <c r="F4053" s="3" t="n">
        <v>403580</v>
      </c>
      <c r="G4053" s="143" t="n"/>
      <c r="H4053" s="143" t="n">
        <v>315</v>
      </c>
      <c r="I4053" s="143">
        <f>+I4052+(G4053-H4053)</f>
        <v/>
      </c>
      <c r="J4053" s="144" t="n">
        <v>46.5</v>
      </c>
      <c r="K4053" s="145" t="n"/>
      <c r="L4053" s="140">
        <f>+H4053*J4053</f>
        <v/>
      </c>
      <c r="M4053" s="141">
        <f>SUM(M4052+K4053-L4053)</f>
        <v/>
      </c>
    </row>
    <row r="4054">
      <c r="A4054" s="20" t="n">
        <v>45876</v>
      </c>
      <c r="B4054" s="1" t="n">
        <v>1707</v>
      </c>
      <c r="C4054" s="2" t="inlineStr">
        <is>
          <t>SELİM İNŞAAT</t>
        </is>
      </c>
      <c r="D4054" s="21" t="inlineStr">
        <is>
          <t>34 DGP 137</t>
        </is>
      </c>
      <c r="E4054" s="1" t="inlineStr">
        <is>
          <t>MURAT DEMİRBAŞ</t>
        </is>
      </c>
      <c r="F4054" s="3" t="n">
        <v>435383</v>
      </c>
      <c r="G4054" s="143" t="n"/>
      <c r="H4054" s="143" t="n">
        <v>395</v>
      </c>
      <c r="I4054" s="143">
        <f>+I4053+(G4054-H4054)</f>
        <v/>
      </c>
      <c r="J4054" s="144" t="n">
        <v>46.5</v>
      </c>
      <c r="K4054" s="145" t="n"/>
      <c r="L4054" s="140">
        <f>+H4054*J4054</f>
        <v/>
      </c>
      <c r="M4054" s="141">
        <f>SUM(M4053+K4054-L4054)</f>
        <v/>
      </c>
    </row>
    <row r="4055">
      <c r="A4055" s="20" t="n">
        <v>45876</v>
      </c>
      <c r="B4055" s="1" t="n">
        <v>319</v>
      </c>
      <c r="C4055" s="2" t="inlineStr">
        <is>
          <t>SELİM İNŞAAT</t>
        </is>
      </c>
      <c r="D4055" s="1" t="inlineStr">
        <is>
          <t>34 EDB 829</t>
        </is>
      </c>
      <c r="E4055" s="1" t="inlineStr">
        <is>
          <t>İRFAN DAĞLAR</t>
        </is>
      </c>
      <c r="F4055" s="3" t="n">
        <v>328957</v>
      </c>
      <c r="G4055" s="143" t="n"/>
      <c r="H4055" s="143" t="n">
        <v>542</v>
      </c>
      <c r="I4055" s="143">
        <f>+I4054+(G4055-H4055)</f>
        <v/>
      </c>
      <c r="J4055" s="144" t="n">
        <v>46.5</v>
      </c>
      <c r="K4055" s="145" t="n"/>
      <c r="L4055" s="140">
        <f>+H4055*J4055</f>
        <v/>
      </c>
      <c r="M4055" s="141">
        <f>SUM(M4054+K4055-L4055)</f>
        <v/>
      </c>
    </row>
    <row r="4056">
      <c r="A4056" s="20" t="n">
        <v>45876</v>
      </c>
      <c r="B4056" s="1" t="n">
        <v>966</v>
      </c>
      <c r="C4056" s="2" t="inlineStr">
        <is>
          <t>SELİM İNŞAAT</t>
        </is>
      </c>
      <c r="D4056" s="1" t="inlineStr">
        <is>
          <t>34 FBR 742</t>
        </is>
      </c>
      <c r="E4056" s="1" t="inlineStr">
        <is>
          <t>MİKAİL BAYILMAZ</t>
        </is>
      </c>
      <c r="F4056" s="3" t="n">
        <v>329344</v>
      </c>
      <c r="G4056" s="143" t="n"/>
      <c r="H4056" s="143" t="n">
        <v>446</v>
      </c>
      <c r="I4056" s="143">
        <f>+I4055+(G4056-H4056)</f>
        <v/>
      </c>
      <c r="J4056" s="144" t="n">
        <v>46.5</v>
      </c>
      <c r="K4056" s="145" t="n"/>
      <c r="L4056" s="140">
        <f>+H4056*J4056</f>
        <v/>
      </c>
      <c r="M4056" s="141">
        <f>SUM(M4055+K4056-L4056)</f>
        <v/>
      </c>
    </row>
    <row r="4057">
      <c r="A4057" s="20" t="n">
        <v>45876</v>
      </c>
      <c r="B4057" s="21" t="n">
        <v>15633</v>
      </c>
      <c r="C4057" s="22" t="inlineStr">
        <is>
          <t>METİN ERYİĞİT</t>
        </is>
      </c>
      <c r="D4057" s="21" t="inlineStr">
        <is>
          <t>34 EGS 013</t>
        </is>
      </c>
      <c r="E4057" s="21" t="inlineStr">
        <is>
          <t>UĞUR DUMAN</t>
        </is>
      </c>
      <c r="F4057" s="23" t="n">
        <v>504364</v>
      </c>
      <c r="G4057" s="138" t="n"/>
      <c r="H4057" s="138" t="n">
        <v>312</v>
      </c>
      <c r="I4057" s="138">
        <f>+I4056+(G4057-H4057)</f>
        <v/>
      </c>
      <c r="J4057" s="139" t="n">
        <v>46.5</v>
      </c>
      <c r="K4057" s="140" t="n"/>
      <c r="L4057" s="140">
        <f>+H4057*J4057</f>
        <v/>
      </c>
      <c r="M4057" s="141">
        <f>SUM(M4056+K4057-L4057)</f>
        <v/>
      </c>
    </row>
    <row r="4058">
      <c r="A4058" s="20" t="n">
        <v>45876</v>
      </c>
      <c r="B4058" s="21" t="n">
        <v>15689</v>
      </c>
      <c r="C4058" s="22" t="inlineStr">
        <is>
          <t>METİN ERYİĞİT</t>
        </is>
      </c>
      <c r="D4058" s="21" t="inlineStr">
        <is>
          <t>34 EGR 814</t>
        </is>
      </c>
      <c r="E4058" s="21" t="inlineStr">
        <is>
          <t>MUHAMMET YİĞİT</t>
        </is>
      </c>
      <c r="F4058" s="23" t="n">
        <v>558346</v>
      </c>
      <c r="G4058" s="138" t="n"/>
      <c r="H4058" s="138" t="n">
        <v>356</v>
      </c>
      <c r="I4058" s="138">
        <f>+I4057+(G4058-H4058)</f>
        <v/>
      </c>
      <c r="J4058" s="139" t="n">
        <v>46.5</v>
      </c>
      <c r="K4058" s="140" t="n"/>
      <c r="L4058" s="140">
        <f>+H4058*J4058</f>
        <v/>
      </c>
      <c r="M4058" s="141">
        <f>SUM(M4057+K4058-L4058)</f>
        <v/>
      </c>
    </row>
    <row r="4059">
      <c r="A4059" s="20" t="n">
        <v>45876</v>
      </c>
      <c r="B4059" s="21" t="n">
        <v>717</v>
      </c>
      <c r="C4059" s="22" t="inlineStr">
        <is>
          <t>METİN ERYİĞİT</t>
        </is>
      </c>
      <c r="D4059" s="21" t="inlineStr">
        <is>
          <t>34 GBL 998</t>
        </is>
      </c>
      <c r="E4059" s="21" t="inlineStr">
        <is>
          <t>M.ALİ KESKİN</t>
        </is>
      </c>
      <c r="F4059" s="23" t="n">
        <v>284815</v>
      </c>
      <c r="G4059" s="138" t="n"/>
      <c r="H4059" s="138" t="n">
        <v>380</v>
      </c>
      <c r="I4059" s="138">
        <f>+I4058+(G4059-H4059)</f>
        <v/>
      </c>
      <c r="J4059" s="139" t="n">
        <v>46.5</v>
      </c>
      <c r="K4059" s="140" t="n"/>
      <c r="L4059" s="140">
        <f>+H4059*J4059</f>
        <v/>
      </c>
      <c r="M4059" s="141">
        <f>SUM(M4058+K4059-L4059)</f>
        <v/>
      </c>
    </row>
    <row r="4060">
      <c r="A4060" s="20" t="n">
        <v>45876</v>
      </c>
      <c r="B4060" s="21" t="n">
        <v>14201</v>
      </c>
      <c r="C4060" s="22" t="inlineStr">
        <is>
          <t>AZGÜN YAPI</t>
        </is>
      </c>
      <c r="D4060" s="21" t="inlineStr">
        <is>
          <t>34 DTV 263</t>
        </is>
      </c>
      <c r="E4060" s="21" t="inlineStr">
        <is>
          <t>MUHAMMED BULUT</t>
        </is>
      </c>
      <c r="F4060" s="23" t="n"/>
      <c r="G4060" s="138" t="n"/>
      <c r="H4060" s="138" t="n">
        <v>342</v>
      </c>
      <c r="I4060" s="138">
        <f>+I4059+(G4060-H4060)</f>
        <v/>
      </c>
      <c r="J4060" s="139" t="n">
        <v>46.5</v>
      </c>
      <c r="K4060" s="140" t="n"/>
      <c r="L4060" s="140">
        <f>+H4060*J4060</f>
        <v/>
      </c>
      <c r="M4060" s="141">
        <f>SUM(M4059+K4060-L4060)</f>
        <v/>
      </c>
    </row>
    <row r="4061">
      <c r="A4061" s="20" t="n">
        <v>45876</v>
      </c>
      <c r="B4061" s="21" t="n">
        <v>11344</v>
      </c>
      <c r="C4061" s="22" t="inlineStr">
        <is>
          <t>AZGÜN YAPI</t>
        </is>
      </c>
      <c r="D4061" s="21" t="inlineStr">
        <is>
          <t>34 MKT 859</t>
        </is>
      </c>
      <c r="E4061" s="21" t="inlineStr">
        <is>
          <t>HASAN ALTUN</t>
        </is>
      </c>
      <c r="F4061" s="23" t="n"/>
      <c r="G4061" s="138" t="n"/>
      <c r="H4061" s="138" t="n">
        <v>347</v>
      </c>
      <c r="I4061" s="138">
        <f>+I4060+(G4061-H4061)</f>
        <v/>
      </c>
      <c r="J4061" s="139" t="n">
        <v>46.5</v>
      </c>
      <c r="K4061" s="140" t="n"/>
      <c r="L4061" s="140">
        <f>+H4061*J4061</f>
        <v/>
      </c>
      <c r="M4061" s="141">
        <f>SUM(M4060+K4061-L4061)</f>
        <v/>
      </c>
    </row>
    <row r="4062">
      <c r="A4062" s="20" t="n">
        <v>45876</v>
      </c>
      <c r="B4062" s="1" t="n">
        <v>259</v>
      </c>
      <c r="C4062" s="2" t="inlineStr">
        <is>
          <t>SELİM İNŞAAT</t>
        </is>
      </c>
      <c r="D4062" s="1" t="inlineStr">
        <is>
          <t>34 GER 445</t>
        </is>
      </c>
      <c r="E4062" s="1" t="inlineStr">
        <is>
          <t>HASAN BAYCAN</t>
        </is>
      </c>
      <c r="F4062" s="3" t="n">
        <v>47735</v>
      </c>
      <c r="G4062" s="143" t="n"/>
      <c r="H4062" s="143" t="n">
        <v>273</v>
      </c>
      <c r="I4062" s="143">
        <f>+I4061+(G4062-H4062)</f>
        <v/>
      </c>
      <c r="J4062" s="144" t="n">
        <v>46.5</v>
      </c>
      <c r="K4062" s="145" t="n"/>
      <c r="L4062" s="140">
        <f>+H4062*J4062</f>
        <v/>
      </c>
      <c r="M4062" s="141">
        <f>SUM(M4061+K4062-L4062)</f>
        <v/>
      </c>
    </row>
    <row r="4063">
      <c r="A4063" s="20" t="n">
        <v>45876</v>
      </c>
      <c r="B4063" s="1" t="n">
        <v>15183</v>
      </c>
      <c r="C4063" s="2" t="inlineStr">
        <is>
          <t>SELİM İNŞAAT</t>
        </is>
      </c>
      <c r="D4063" s="1" t="inlineStr">
        <is>
          <t xml:space="preserve">34 DP 4161 </t>
        </is>
      </c>
      <c r="E4063" s="1" t="inlineStr">
        <is>
          <t>RIFAT KARATAY</t>
        </is>
      </c>
      <c r="F4063" s="3" t="n">
        <v>294839</v>
      </c>
      <c r="G4063" s="143" t="n"/>
      <c r="H4063" s="143" t="n">
        <v>264</v>
      </c>
      <c r="I4063" s="143">
        <f>+I4062+(G4063-H4063)</f>
        <v/>
      </c>
      <c r="J4063" s="144" t="n">
        <v>46.5</v>
      </c>
      <c r="K4063" s="145" t="n"/>
      <c r="L4063" s="140">
        <f>+H4063*J4063</f>
        <v/>
      </c>
      <c r="M4063" s="141">
        <f>SUM(M4062+K4063-L4063)</f>
        <v/>
      </c>
    </row>
    <row r="4064">
      <c r="A4064" s="20" t="n">
        <v>45876</v>
      </c>
      <c r="B4064" s="1" t="n">
        <v>169</v>
      </c>
      <c r="C4064" s="2" t="inlineStr">
        <is>
          <t>SELİM İNŞAAT</t>
        </is>
      </c>
      <c r="D4064" s="1" t="inlineStr">
        <is>
          <t>34 TG 7869</t>
        </is>
      </c>
      <c r="E4064" s="1" t="inlineStr">
        <is>
          <t>DURSUN ALİ GÜREK</t>
        </is>
      </c>
      <c r="F4064" s="3" t="n">
        <v>186850</v>
      </c>
      <c r="G4064" s="143" t="n"/>
      <c r="H4064" s="143" t="n">
        <v>279</v>
      </c>
      <c r="I4064" s="143">
        <f>+I4063+(G4064-H4064)</f>
        <v/>
      </c>
      <c r="J4064" s="144" t="n">
        <v>46.5</v>
      </c>
      <c r="K4064" s="145" t="n"/>
      <c r="L4064" s="140">
        <f>+H4064*J4064</f>
        <v/>
      </c>
      <c r="M4064" s="141">
        <f>SUM(M4063+K4064-L4064)</f>
        <v/>
      </c>
    </row>
    <row r="4065">
      <c r="A4065" s="20" t="n">
        <v>45876</v>
      </c>
      <c r="B4065" s="21" t="n">
        <v>1903</v>
      </c>
      <c r="C4065" s="22" t="inlineStr">
        <is>
          <t>MAHMUT VİNÇ</t>
        </is>
      </c>
      <c r="D4065" s="21" t="inlineStr">
        <is>
          <t>34 AH 5401</t>
        </is>
      </c>
      <c r="E4065" s="21" t="inlineStr">
        <is>
          <t>MAHMUT YAKUPOĞLU</t>
        </is>
      </c>
      <c r="F4065" s="23" t="n"/>
      <c r="G4065" s="138" t="n"/>
      <c r="H4065" s="138" t="n">
        <v>70</v>
      </c>
      <c r="I4065" s="138">
        <f>+I4064+(G4065-H4065)</f>
        <v/>
      </c>
      <c r="J4065" s="139" t="n">
        <v>46.5</v>
      </c>
      <c r="K4065" s="140" t="n"/>
      <c r="L4065" s="140">
        <f>+H4065*J4065</f>
        <v/>
      </c>
      <c r="M4065" s="141">
        <f>SUM(M4064+K4065-L4065)</f>
        <v/>
      </c>
    </row>
    <row r="4066">
      <c r="A4066" s="20" t="n">
        <v>45877</v>
      </c>
      <c r="B4066" s="21" t="n">
        <v>1072</v>
      </c>
      <c r="C4066" s="22" t="inlineStr">
        <is>
          <t>ÜNSOY TURİZM İNŞ.SAN.VE TİC.A.Ş.</t>
        </is>
      </c>
      <c r="D4066" s="21" t="n"/>
      <c r="E4066" s="21" t="n"/>
      <c r="F4066" s="23" t="n"/>
      <c r="G4066" s="138" t="n">
        <v>31915</v>
      </c>
      <c r="H4066" s="138" t="n"/>
      <c r="I4066" s="138">
        <f>+I4065+(G4066-H4066)</f>
        <v/>
      </c>
      <c r="J4066" s="139">
        <f>+K4066/G4066</f>
        <v/>
      </c>
      <c r="K4066" s="140" t="n">
        <v>1429792</v>
      </c>
      <c r="L4066" s="140">
        <f>+H4066*J4066</f>
        <v/>
      </c>
      <c r="M4066" s="141">
        <f>SUM(M4065+K4066-L4066)</f>
        <v/>
      </c>
    </row>
    <row r="4067">
      <c r="A4067" s="20" t="n">
        <v>45877</v>
      </c>
      <c r="B4067" s="1" t="n">
        <v>2022</v>
      </c>
      <c r="C4067" s="2" t="inlineStr">
        <is>
          <t>EVKUR</t>
        </is>
      </c>
      <c r="D4067" s="1" t="inlineStr">
        <is>
          <t>AZ 2191 VİNÇ</t>
        </is>
      </c>
      <c r="E4067" s="1" t="inlineStr">
        <is>
          <t>NUMAN KABİL</t>
        </is>
      </c>
      <c r="F4067" s="3" t="n"/>
      <c r="G4067" s="143" t="n"/>
      <c r="H4067" s="143" t="n">
        <v>356</v>
      </c>
      <c r="I4067" s="143">
        <f>+I4066+(G4067-H4067)</f>
        <v/>
      </c>
      <c r="J4067" s="144" t="n">
        <v>44.8</v>
      </c>
      <c r="K4067" s="145" t="n"/>
      <c r="L4067" s="140">
        <f>+H4067*J4067</f>
        <v/>
      </c>
      <c r="M4067" s="141">
        <f>SUM(M4066+K4067-L4067)</f>
        <v/>
      </c>
    </row>
    <row r="4068">
      <c r="A4068" s="20" t="n">
        <v>45877</v>
      </c>
      <c r="B4068" s="1" t="n">
        <v>2023</v>
      </c>
      <c r="C4068" s="2" t="inlineStr">
        <is>
          <t>EVKUR</t>
        </is>
      </c>
      <c r="D4068" s="1" t="inlineStr">
        <is>
          <t xml:space="preserve">SM 350 </t>
        </is>
      </c>
      <c r="E4068" s="1" t="inlineStr">
        <is>
          <t>TEVFİK ÖZTÜRK</t>
        </is>
      </c>
      <c r="F4068" s="3" t="n"/>
      <c r="G4068" s="143" t="n"/>
      <c r="H4068" s="143" t="n">
        <v>331</v>
      </c>
      <c r="I4068" s="143">
        <f>+I4067+(G4068-H4068)</f>
        <v/>
      </c>
      <c r="J4068" s="144" t="n">
        <v>44.8</v>
      </c>
      <c r="K4068" s="145" t="n"/>
      <c r="L4068" s="140">
        <f>+H4068*J4068</f>
        <v/>
      </c>
      <c r="M4068" s="141">
        <f>SUM(M4067+K4068-L4068)</f>
        <v/>
      </c>
    </row>
    <row r="4069">
      <c r="A4069" s="20" t="n">
        <v>45877</v>
      </c>
      <c r="B4069" s="1" t="n">
        <v>2024</v>
      </c>
      <c r="C4069" s="2" t="inlineStr">
        <is>
          <t>EVKUR</t>
        </is>
      </c>
      <c r="D4069" s="1" t="inlineStr">
        <is>
          <t>MNT 2260</t>
        </is>
      </c>
      <c r="E4069" s="1" t="inlineStr">
        <is>
          <t>MUHAMMET KANTAR</t>
        </is>
      </c>
      <c r="F4069" s="3" t="n"/>
      <c r="G4069" s="143" t="n"/>
      <c r="H4069" s="143" t="n">
        <v>248</v>
      </c>
      <c r="I4069" s="143">
        <f>+I4068+(G4069-H4069)</f>
        <v/>
      </c>
      <c r="J4069" s="144" t="n">
        <v>44.8</v>
      </c>
      <c r="K4069" s="145" t="n"/>
      <c r="L4069" s="140">
        <f>+H4069*J4069</f>
        <v/>
      </c>
      <c r="M4069" s="141">
        <f>SUM(M4068+K4069-L4069)</f>
        <v/>
      </c>
    </row>
    <row r="4070">
      <c r="A4070" s="20" t="n">
        <v>45877</v>
      </c>
      <c r="B4070" s="1" t="n">
        <v>2025</v>
      </c>
      <c r="C4070" s="2" t="inlineStr">
        <is>
          <t>MEGA VALIK</t>
        </is>
      </c>
      <c r="D4070" s="1" t="inlineStr">
        <is>
          <t>SM 370</t>
        </is>
      </c>
      <c r="E4070" s="1" t="inlineStr">
        <is>
          <t>TEKİN ŞEYLAN</t>
        </is>
      </c>
      <c r="F4070" s="3" t="n"/>
      <c r="G4070" s="143" t="n"/>
      <c r="H4070" s="143" t="n">
        <v>392</v>
      </c>
      <c r="I4070" s="143">
        <f>+I4069+(G4070-H4070)</f>
        <v/>
      </c>
      <c r="J4070" s="144" t="n">
        <v>44.8</v>
      </c>
      <c r="K4070" s="145" t="n"/>
      <c r="L4070" s="140">
        <f>+H4070*J4070</f>
        <v/>
      </c>
      <c r="M4070" s="141">
        <f>SUM(M4069+K4070-L4070)</f>
        <v/>
      </c>
    </row>
    <row r="4071">
      <c r="A4071" s="20" t="n">
        <v>45877</v>
      </c>
      <c r="B4071" s="1" t="n">
        <v>2026</v>
      </c>
      <c r="C4071" s="2" t="inlineStr">
        <is>
          <t>MEGA VALIK</t>
        </is>
      </c>
      <c r="D4071" s="1" t="inlineStr">
        <is>
          <t>SM 300</t>
        </is>
      </c>
      <c r="E4071" s="1" t="inlineStr">
        <is>
          <t>TURGUT SANCAK</t>
        </is>
      </c>
      <c r="F4071" s="3" t="n"/>
      <c r="G4071" s="143" t="n"/>
      <c r="H4071" s="143" t="n">
        <v>444</v>
      </c>
      <c r="I4071" s="143">
        <f>+I4070+(G4071-H4071)</f>
        <v/>
      </c>
      <c r="J4071" s="144" t="n">
        <v>44.8</v>
      </c>
      <c r="K4071" s="145" t="n"/>
      <c r="L4071" s="140">
        <f>+H4071*J4071</f>
        <v/>
      </c>
      <c r="M4071" s="141">
        <f>SUM(M4070+K4071-L4071)</f>
        <v/>
      </c>
    </row>
    <row r="4072">
      <c r="A4072" s="20" t="n">
        <v>45877</v>
      </c>
      <c r="B4072" s="1" t="n">
        <v>414</v>
      </c>
      <c r="C4072" s="2" t="inlineStr">
        <is>
          <t>SELİM İNŞAAT</t>
        </is>
      </c>
      <c r="D4072" s="1" t="inlineStr">
        <is>
          <t>34 DRU 690</t>
        </is>
      </c>
      <c r="E4072" s="1" t="inlineStr">
        <is>
          <t>AHMET TOPÇU</t>
        </is>
      </c>
      <c r="F4072" s="3" t="n">
        <v>427824</v>
      </c>
      <c r="G4072" s="143" t="n"/>
      <c r="H4072" s="143" t="n">
        <v>447</v>
      </c>
      <c r="I4072" s="143">
        <f>+I4071+(G4072-H4072)</f>
        <v/>
      </c>
      <c r="J4072" s="144" t="n">
        <v>44.8</v>
      </c>
      <c r="K4072" s="145" t="n"/>
      <c r="L4072" s="140">
        <f>+H4072*J4072</f>
        <v/>
      </c>
      <c r="M4072" s="141">
        <f>SUM(M4071+K4072-L4072)</f>
        <v/>
      </c>
    </row>
    <row r="4073">
      <c r="A4073" s="20" t="n">
        <v>45877</v>
      </c>
      <c r="B4073" s="1" t="n">
        <v>1507</v>
      </c>
      <c r="C4073" s="2" t="inlineStr">
        <is>
          <t>SELİM İNŞAAT</t>
        </is>
      </c>
      <c r="D4073" s="1" t="inlineStr">
        <is>
          <t>34 GUS 848</t>
        </is>
      </c>
      <c r="E4073" s="1" t="inlineStr">
        <is>
          <t>SERDAR BOZKURT</t>
        </is>
      </c>
      <c r="F4073" s="3" t="n">
        <v>202472</v>
      </c>
      <c r="G4073" s="143" t="n"/>
      <c r="H4073" s="143" t="n">
        <v>495</v>
      </c>
      <c r="I4073" s="143">
        <f>+I4072+(G4073-H4073)</f>
        <v/>
      </c>
      <c r="J4073" s="144" t="n">
        <v>44.8</v>
      </c>
      <c r="K4073" s="145" t="n"/>
      <c r="L4073" s="140">
        <f>+H4073*J4073</f>
        <v/>
      </c>
      <c r="M4073" s="141">
        <f>SUM(M4072+K4073-L4073)</f>
        <v/>
      </c>
    </row>
    <row r="4074">
      <c r="A4074" s="20" t="n">
        <v>45877</v>
      </c>
      <c r="B4074" s="1" t="n">
        <v>573</v>
      </c>
      <c r="C4074" s="2" t="inlineStr">
        <is>
          <t>SELİM İNŞAAT</t>
        </is>
      </c>
      <c r="D4074" s="1" t="inlineStr">
        <is>
          <t>34 EDB 922</t>
        </is>
      </c>
      <c r="E4074" s="1" t="inlineStr">
        <is>
          <t>AHMET TOPÇU</t>
        </is>
      </c>
      <c r="F4074" s="3" t="n">
        <v>377278</v>
      </c>
      <c r="G4074" s="143" t="n"/>
      <c r="H4074" s="143" t="n">
        <v>293</v>
      </c>
      <c r="I4074" s="143">
        <f>+I4073+(G4074-H4074)</f>
        <v/>
      </c>
      <c r="J4074" s="144" t="n">
        <v>44.8</v>
      </c>
      <c r="K4074" s="145" t="n"/>
      <c r="L4074" s="140">
        <f>+H4074*J4074</f>
        <v/>
      </c>
      <c r="M4074" s="141">
        <f>SUM(M4073+K4074-L4074)</f>
        <v/>
      </c>
    </row>
    <row r="4075">
      <c r="A4075" s="20" t="n">
        <v>45877</v>
      </c>
      <c r="B4075" s="1" t="n">
        <v>1011</v>
      </c>
      <c r="C4075" s="2" t="inlineStr">
        <is>
          <t>SELİM İNŞAAT</t>
        </is>
      </c>
      <c r="D4075" s="1" t="inlineStr">
        <is>
          <t>34 DHH 668</t>
        </is>
      </c>
      <c r="E4075" s="1" t="inlineStr">
        <is>
          <t xml:space="preserve">ADNAN KOÇ </t>
        </is>
      </c>
      <c r="F4075" s="3" t="n">
        <v>395967</v>
      </c>
      <c r="G4075" s="143" t="n"/>
      <c r="H4075" s="143" t="n">
        <v>498</v>
      </c>
      <c r="I4075" s="143">
        <f>+I4074+(G4075-H4075)</f>
        <v/>
      </c>
      <c r="J4075" s="144" t="n">
        <v>44.8</v>
      </c>
      <c r="K4075" s="145" t="n"/>
      <c r="L4075" s="140">
        <f>+H4075*J4075</f>
        <v/>
      </c>
      <c r="M4075" s="141">
        <f>SUM(M4074+K4075-L4075)</f>
        <v/>
      </c>
    </row>
    <row r="4076">
      <c r="A4076" s="20" t="n">
        <v>45877</v>
      </c>
      <c r="B4076" s="1" t="n">
        <v>25</v>
      </c>
      <c r="C4076" s="2" t="inlineStr">
        <is>
          <t>SELİM İNŞAAT</t>
        </is>
      </c>
      <c r="D4076" s="1" t="inlineStr">
        <is>
          <t>34 FBR 748</t>
        </is>
      </c>
      <c r="E4076" s="1" t="inlineStr">
        <is>
          <t>YAŞAR ÖZKAYA</t>
        </is>
      </c>
      <c r="F4076" s="3" t="n">
        <v>295157</v>
      </c>
      <c r="G4076" s="143" t="n"/>
      <c r="H4076" s="143" t="n">
        <v>362</v>
      </c>
      <c r="I4076" s="143">
        <f>+I4075+(G4076-H4076)</f>
        <v/>
      </c>
      <c r="J4076" s="144" t="n">
        <v>44.8</v>
      </c>
      <c r="K4076" s="145" t="n"/>
      <c r="L4076" s="140">
        <f>+H4076*J4076</f>
        <v/>
      </c>
      <c r="M4076" s="141">
        <f>SUM(M4075+K4076-L4076)</f>
        <v/>
      </c>
    </row>
    <row r="4077">
      <c r="A4077" s="20" t="n">
        <v>45877</v>
      </c>
      <c r="B4077" s="1" t="n">
        <v>14844</v>
      </c>
      <c r="C4077" s="2" t="inlineStr">
        <is>
          <t>SELİM İNŞAAT</t>
        </is>
      </c>
      <c r="D4077" s="1" t="inlineStr">
        <is>
          <t>34 GVZ 268</t>
        </is>
      </c>
      <c r="E4077" s="1" t="inlineStr">
        <is>
          <t xml:space="preserve">KERİM KARAMAN </t>
        </is>
      </c>
      <c r="F4077" s="3" t="n">
        <v>206836</v>
      </c>
      <c r="G4077" s="143" t="n"/>
      <c r="H4077" s="143" t="n">
        <v>496</v>
      </c>
      <c r="I4077" s="143">
        <f>+I4076+(G4077-H4077)</f>
        <v/>
      </c>
      <c r="J4077" s="144" t="n">
        <v>44.8</v>
      </c>
      <c r="K4077" s="145" t="n"/>
      <c r="L4077" s="140">
        <f>+H4077*J4077</f>
        <v/>
      </c>
      <c r="M4077" s="141">
        <f>SUM(M4076+K4077-L4077)</f>
        <v/>
      </c>
    </row>
    <row r="4078">
      <c r="A4078" s="20" t="n">
        <v>45877</v>
      </c>
      <c r="B4078" s="1" t="n">
        <v>15375</v>
      </c>
      <c r="C4078" s="2" t="inlineStr">
        <is>
          <t>SELİM İNŞAAT</t>
        </is>
      </c>
      <c r="D4078" s="1" t="inlineStr">
        <is>
          <t>34 DTV 409</t>
        </is>
      </c>
      <c r="E4078" s="1" t="inlineStr">
        <is>
          <t>ONUR CANLI</t>
        </is>
      </c>
      <c r="F4078" s="3" t="n">
        <v>429215</v>
      </c>
      <c r="G4078" s="143" t="n"/>
      <c r="H4078" s="143" t="n">
        <v>394</v>
      </c>
      <c r="I4078" s="143">
        <f>+I4077+(G4078-H4078)</f>
        <v/>
      </c>
      <c r="J4078" s="144" t="n">
        <v>44.8</v>
      </c>
      <c r="K4078" s="145" t="n"/>
      <c r="L4078" s="140">
        <f>+H4078*J4078</f>
        <v/>
      </c>
      <c r="M4078" s="141">
        <f>SUM(M4077+K4078-L4078)</f>
        <v/>
      </c>
    </row>
    <row r="4079">
      <c r="A4079" s="20" t="n">
        <v>45877</v>
      </c>
      <c r="B4079" s="1" t="n">
        <v>767</v>
      </c>
      <c r="C4079" s="2" t="inlineStr">
        <is>
          <t>SELİM İNŞAAT</t>
        </is>
      </c>
      <c r="D4079" s="1" t="inlineStr">
        <is>
          <t>34 EDB 559</t>
        </is>
      </c>
      <c r="E4079" s="1" t="inlineStr">
        <is>
          <t>MUHAMMED BULUT</t>
        </is>
      </c>
      <c r="F4079" s="3" t="n">
        <v>335439</v>
      </c>
      <c r="G4079" s="143" t="n"/>
      <c r="H4079" s="143" t="n">
        <v>376</v>
      </c>
      <c r="I4079" s="143">
        <f>+I4078+(G4079-H4079)</f>
        <v/>
      </c>
      <c r="J4079" s="144" t="n">
        <v>44.8</v>
      </c>
      <c r="K4079" s="145" t="n"/>
      <c r="L4079" s="140">
        <f>+H4079*J4079</f>
        <v/>
      </c>
      <c r="M4079" s="141">
        <f>SUM(M4078+K4079-L4079)</f>
        <v/>
      </c>
    </row>
    <row r="4080">
      <c r="A4080" s="20" t="n">
        <v>45877</v>
      </c>
      <c r="B4080" s="1" t="n">
        <v>860</v>
      </c>
      <c r="C4080" s="2" t="inlineStr">
        <is>
          <t>SELİM İNŞAAT</t>
        </is>
      </c>
      <c r="D4080" s="1" t="inlineStr">
        <is>
          <t>34 FSG 229</t>
        </is>
      </c>
      <c r="E4080" s="1" t="inlineStr">
        <is>
          <t>SİNAN TANRIVERDİ</t>
        </is>
      </c>
      <c r="F4080" s="3" t="n">
        <v>269969</v>
      </c>
      <c r="G4080" s="143" t="n"/>
      <c r="H4080" s="143" t="n">
        <v>476</v>
      </c>
      <c r="I4080" s="143">
        <f>+I4079+(G4080-H4080)</f>
        <v/>
      </c>
      <c r="J4080" s="144" t="n">
        <v>44.8</v>
      </c>
      <c r="K4080" s="145" t="n"/>
      <c r="L4080" s="140">
        <f>+H4080*J4080</f>
        <v/>
      </c>
      <c r="M4080" s="141">
        <f>SUM(M4079+K4080-L4080)</f>
        <v/>
      </c>
    </row>
    <row r="4081">
      <c r="A4081" s="20" t="n">
        <v>45877</v>
      </c>
      <c r="B4081" s="1" t="n">
        <v>15334</v>
      </c>
      <c r="C4081" s="2" t="inlineStr">
        <is>
          <t>SELİM İNŞAAT</t>
        </is>
      </c>
      <c r="D4081" s="1" t="inlineStr">
        <is>
          <t>34 EDC 162</t>
        </is>
      </c>
      <c r="E4081" s="1" t="inlineStr">
        <is>
          <t xml:space="preserve">YAKUP GÜNER </t>
        </is>
      </c>
      <c r="F4081" s="3" t="n">
        <v>382733</v>
      </c>
      <c r="G4081" s="143" t="n"/>
      <c r="H4081" s="143" t="n">
        <v>368</v>
      </c>
      <c r="I4081" s="143">
        <f>+I4080+(G4081-H4081)</f>
        <v/>
      </c>
      <c r="J4081" s="144" t="n">
        <v>44.8</v>
      </c>
      <c r="K4081" s="145" t="n"/>
      <c r="L4081" s="140">
        <f>+H4081*J4081</f>
        <v/>
      </c>
      <c r="M4081" s="141">
        <f>SUM(M4080+K4081-L4081)</f>
        <v/>
      </c>
    </row>
    <row r="4082">
      <c r="A4082" s="20" t="n">
        <v>45877</v>
      </c>
      <c r="B4082" s="1" t="n">
        <v>15981</v>
      </c>
      <c r="C4082" s="2" t="inlineStr">
        <is>
          <t>SELİM İNŞAAT</t>
        </is>
      </c>
      <c r="D4082" s="1" t="inlineStr">
        <is>
          <t>34 FBR 781</t>
        </is>
      </c>
      <c r="E4082" s="1" t="inlineStr">
        <is>
          <t>MEVLÜT POLAT</t>
        </is>
      </c>
      <c r="F4082" s="3" t="n">
        <v>319462</v>
      </c>
      <c r="G4082" s="143" t="n"/>
      <c r="H4082" s="143" t="n">
        <v>396</v>
      </c>
      <c r="I4082" s="143">
        <f>+I4081+(G4082-H4082)</f>
        <v/>
      </c>
      <c r="J4082" s="144" t="n">
        <v>44.8</v>
      </c>
      <c r="K4082" s="145" t="n"/>
      <c r="L4082" s="140">
        <f>+H4082*J4082</f>
        <v/>
      </c>
      <c r="M4082" s="141">
        <f>SUM(M4081+K4082-L4082)</f>
        <v/>
      </c>
    </row>
    <row r="4083">
      <c r="A4083" s="20" t="n">
        <v>45877</v>
      </c>
      <c r="B4083" s="1" t="n">
        <v>15589</v>
      </c>
      <c r="C4083" s="2" t="inlineStr">
        <is>
          <t>SELİM İNŞAAT</t>
        </is>
      </c>
      <c r="D4083" s="1" t="inlineStr">
        <is>
          <t>34 GVZ 745</t>
        </is>
      </c>
      <c r="E4083" s="1" t="inlineStr">
        <is>
          <t>MURAT DEMİRBAŞ</t>
        </is>
      </c>
      <c r="F4083" s="3" t="n">
        <v>200241</v>
      </c>
      <c r="G4083" s="143" t="n"/>
      <c r="H4083" s="143" t="n">
        <v>498</v>
      </c>
      <c r="I4083" s="143">
        <f>+I4082+(G4083-H4083)</f>
        <v/>
      </c>
      <c r="J4083" s="144" t="n">
        <v>44.8</v>
      </c>
      <c r="K4083" s="145" t="n"/>
      <c r="L4083" s="140">
        <f>+H4083*J4083</f>
        <v/>
      </c>
      <c r="M4083" s="141">
        <f>SUM(M4082+K4083-L4083)</f>
        <v/>
      </c>
    </row>
    <row r="4084">
      <c r="A4084" s="20" t="n">
        <v>45877</v>
      </c>
      <c r="B4084" s="1" t="n">
        <v>1457</v>
      </c>
      <c r="C4084" s="2" t="inlineStr">
        <is>
          <t>SELİM İNŞAAT</t>
        </is>
      </c>
      <c r="D4084" s="1" t="inlineStr">
        <is>
          <t>34 EGR 737</t>
        </is>
      </c>
      <c r="E4084" s="1" t="inlineStr">
        <is>
          <t>CEM MUHTAR</t>
        </is>
      </c>
      <c r="F4084" s="3" t="n">
        <v>429102</v>
      </c>
      <c r="G4084" s="143" t="n"/>
      <c r="H4084" s="143" t="n">
        <v>498</v>
      </c>
      <c r="I4084" s="143">
        <f>+I4083+(G4084-H4084)</f>
        <v/>
      </c>
      <c r="J4084" s="144" t="n">
        <v>44.8</v>
      </c>
      <c r="K4084" s="145" t="n"/>
      <c r="L4084" s="140">
        <f>+H4084*J4084</f>
        <v/>
      </c>
      <c r="M4084" s="141">
        <f>SUM(M4083+K4084-L4084)</f>
        <v/>
      </c>
    </row>
    <row r="4085">
      <c r="A4085" s="20" t="n">
        <v>45877</v>
      </c>
      <c r="B4085" s="1" t="n">
        <v>1063</v>
      </c>
      <c r="C4085" s="2" t="inlineStr">
        <is>
          <t>SELİM İNŞAAT</t>
        </is>
      </c>
      <c r="D4085" s="1" t="inlineStr">
        <is>
          <t>34 GVZ 310</t>
        </is>
      </c>
      <c r="E4085" s="1" t="inlineStr">
        <is>
          <t>CELAL YÜZBAŞI</t>
        </is>
      </c>
      <c r="F4085" s="3" t="n">
        <v>212423</v>
      </c>
      <c r="G4085" s="143" t="n"/>
      <c r="H4085" s="143" t="n">
        <v>279</v>
      </c>
      <c r="I4085" s="143">
        <f>+I4084+(G4085-H4085)</f>
        <v/>
      </c>
      <c r="J4085" s="144" t="n">
        <v>44.8</v>
      </c>
      <c r="K4085" s="145" t="n"/>
      <c r="L4085" s="140">
        <f>+H4085*J4085</f>
        <v/>
      </c>
      <c r="M4085" s="141">
        <f>SUM(M4084+K4085-L4085)</f>
        <v/>
      </c>
    </row>
    <row r="4086">
      <c r="A4086" s="20" t="n">
        <v>45877</v>
      </c>
      <c r="B4086" s="1" t="n">
        <v>21648</v>
      </c>
      <c r="C4086" s="2" t="inlineStr">
        <is>
          <t>SELİM İNŞAAT</t>
        </is>
      </c>
      <c r="D4086" s="1" t="inlineStr">
        <is>
          <t>34 DHC 467</t>
        </is>
      </c>
      <c r="E4086" s="1" t="inlineStr">
        <is>
          <t>NAZIM KARATAŞ</t>
        </is>
      </c>
      <c r="F4086" s="3" t="n">
        <v>415694</v>
      </c>
      <c r="G4086" s="143" t="n"/>
      <c r="H4086" s="143" t="n">
        <v>344</v>
      </c>
      <c r="I4086" s="143">
        <f>+I4085+(G4086-H4086)</f>
        <v/>
      </c>
      <c r="J4086" s="144" t="n">
        <v>44.8</v>
      </c>
      <c r="K4086" s="145" t="n"/>
      <c r="L4086" s="140">
        <f>+H4086*J4086</f>
        <v/>
      </c>
      <c r="M4086" s="141">
        <f>SUM(M4085+K4086-L4086)</f>
        <v/>
      </c>
    </row>
    <row r="4087">
      <c r="A4087" s="20" t="n">
        <v>45877</v>
      </c>
      <c r="B4087" s="1" t="n">
        <v>662</v>
      </c>
      <c r="C4087" s="2" t="inlineStr">
        <is>
          <t>SELİM İNŞAAT</t>
        </is>
      </c>
      <c r="D4087" s="1" t="inlineStr">
        <is>
          <t>34 DTV 352</t>
        </is>
      </c>
      <c r="E4087" s="1" t="inlineStr">
        <is>
          <t>AHMET DENİZ</t>
        </is>
      </c>
      <c r="F4087" s="3" t="n">
        <v>442125</v>
      </c>
      <c r="G4087" s="143" t="n"/>
      <c r="H4087" s="143" t="n">
        <v>429</v>
      </c>
      <c r="I4087" s="143">
        <f>+I4086+(G4087-H4087)</f>
        <v/>
      </c>
      <c r="J4087" s="144" t="n">
        <v>44.8</v>
      </c>
      <c r="K4087" s="145" t="n"/>
      <c r="L4087" s="140">
        <f>+H4087*J4087</f>
        <v/>
      </c>
      <c r="M4087" s="141">
        <f>SUM(M4086+K4087-L4087)</f>
        <v/>
      </c>
    </row>
    <row r="4088">
      <c r="A4088" s="20" t="n">
        <v>45877</v>
      </c>
      <c r="B4088" s="1" t="n">
        <v>11244</v>
      </c>
      <c r="C4088" s="2" t="inlineStr">
        <is>
          <t>SELİM İNŞAAT</t>
        </is>
      </c>
      <c r="D4088" s="1" t="inlineStr">
        <is>
          <t>34 DSN 636</t>
        </is>
      </c>
      <c r="E4088" s="1" t="inlineStr">
        <is>
          <t>MASUM GÜVEN</t>
        </is>
      </c>
      <c r="F4088" s="3" t="n">
        <v>402198</v>
      </c>
      <c r="G4088" s="143" t="n"/>
      <c r="H4088" s="143" t="n">
        <v>545</v>
      </c>
      <c r="I4088" s="143">
        <f>+I4087+(G4088-H4088)</f>
        <v/>
      </c>
      <c r="J4088" s="144" t="n">
        <v>44.8</v>
      </c>
      <c r="K4088" s="145" t="n"/>
      <c r="L4088" s="140">
        <f>+H4088*J4088</f>
        <v/>
      </c>
      <c r="M4088" s="141">
        <f>SUM(M4087+K4088-L4088)</f>
        <v/>
      </c>
    </row>
    <row r="4089">
      <c r="A4089" s="20" t="n">
        <v>45877</v>
      </c>
      <c r="B4089" s="21" t="n">
        <v>11386</v>
      </c>
      <c r="C4089" s="22" t="inlineStr">
        <is>
          <t>AZGÜN YAPI</t>
        </is>
      </c>
      <c r="D4089" s="21" t="inlineStr">
        <is>
          <t>34 MKT 593</t>
        </is>
      </c>
      <c r="E4089" s="21" t="inlineStr">
        <is>
          <t>İBRAHİM GÜLLÜK</t>
        </is>
      </c>
      <c r="F4089" s="23" t="n"/>
      <c r="G4089" s="138" t="n"/>
      <c r="H4089" s="138" t="n">
        <v>421</v>
      </c>
      <c r="I4089" s="138">
        <f>+I4088+(G4089-H4089)</f>
        <v/>
      </c>
      <c r="J4089" s="139" t="n">
        <v>44.8</v>
      </c>
      <c r="K4089" s="140" t="n"/>
      <c r="L4089" s="140">
        <f>+H4089*J4089</f>
        <v/>
      </c>
      <c r="M4089" s="141">
        <f>SUM(M4088+K4089-L4089)</f>
        <v/>
      </c>
    </row>
    <row r="4090">
      <c r="A4090" s="20" t="n">
        <v>45877</v>
      </c>
      <c r="B4090" s="21" t="n">
        <v>14202</v>
      </c>
      <c r="C4090" s="22" t="inlineStr">
        <is>
          <t>AZGÜN YAPI</t>
        </is>
      </c>
      <c r="D4090" s="21" t="inlineStr">
        <is>
          <t>34 DTV 263</t>
        </is>
      </c>
      <c r="E4090" s="21" t="inlineStr">
        <is>
          <t>MUHAMMED BULUT</t>
        </is>
      </c>
      <c r="F4090" s="23" t="n"/>
      <c r="G4090" s="138" t="n"/>
      <c r="H4090" s="138" t="n">
        <v>170</v>
      </c>
      <c r="I4090" s="138">
        <f>+I4089+(G4090-H4090)</f>
        <v/>
      </c>
      <c r="J4090" s="139" t="n">
        <v>44.8</v>
      </c>
      <c r="K4090" s="140" t="n"/>
      <c r="L4090" s="140">
        <f>+H4090*J4090</f>
        <v/>
      </c>
      <c r="M4090" s="141">
        <f>SUM(M4089+K4090-L4090)</f>
        <v/>
      </c>
    </row>
    <row r="4091">
      <c r="A4091" s="20" t="n">
        <v>45877</v>
      </c>
      <c r="B4091" s="1" t="n">
        <v>14552</v>
      </c>
      <c r="C4091" s="2" t="inlineStr">
        <is>
          <t>SELİM İNŞAAT</t>
        </is>
      </c>
      <c r="D4091" s="1" t="inlineStr">
        <is>
          <t>34 GER 028</t>
        </is>
      </c>
      <c r="E4091" s="1" t="inlineStr">
        <is>
          <t>A.KERİM ERGEN</t>
        </is>
      </c>
      <c r="F4091" s="3" t="n">
        <v>49597</v>
      </c>
      <c r="G4091" s="143" t="n"/>
      <c r="H4091" s="143" t="n">
        <v>237</v>
      </c>
      <c r="I4091" s="143">
        <f>+I4090+(G4091-H4091)</f>
        <v/>
      </c>
      <c r="J4091" s="144" t="n">
        <v>44.8</v>
      </c>
      <c r="K4091" s="145" t="n"/>
      <c r="L4091" s="140">
        <f>+H4091*J4091</f>
        <v/>
      </c>
      <c r="M4091" s="141">
        <f>SUM(M4090+K4091-L4091)</f>
        <v/>
      </c>
    </row>
    <row r="4092">
      <c r="A4092" s="20" t="n">
        <v>45877</v>
      </c>
      <c r="B4092" s="1" t="n">
        <v>468</v>
      </c>
      <c r="C4092" s="2" t="inlineStr">
        <is>
          <t>SELİM İNŞAAT</t>
        </is>
      </c>
      <c r="D4092" s="1" t="inlineStr">
        <is>
          <t>34 DKL 866</t>
        </is>
      </c>
      <c r="E4092" s="1" t="inlineStr">
        <is>
          <t>SELİM CAN ÖNVER</t>
        </is>
      </c>
      <c r="F4092" s="3" t="n">
        <v>71169</v>
      </c>
      <c r="G4092" s="143" t="n"/>
      <c r="H4092" s="143" t="n">
        <v>197</v>
      </c>
      <c r="I4092" s="143">
        <f>+I4091+(G4092-H4092)</f>
        <v/>
      </c>
      <c r="J4092" s="144" t="n">
        <v>44.8</v>
      </c>
      <c r="K4092" s="145" t="n"/>
      <c r="L4092" s="140">
        <f>+H4092*J4092</f>
        <v/>
      </c>
      <c r="M4092" s="141">
        <f>SUM(M4091+K4092-L4092)</f>
        <v/>
      </c>
    </row>
    <row r="4093">
      <c r="A4093" s="20" t="n">
        <v>45877</v>
      </c>
      <c r="B4093" s="1" t="n">
        <v>208</v>
      </c>
      <c r="C4093" s="2" t="inlineStr">
        <is>
          <t>SELİM İNŞAAT</t>
        </is>
      </c>
      <c r="D4093" s="1" t="inlineStr">
        <is>
          <t>34 JGR 15</t>
        </is>
      </c>
      <c r="E4093" s="1" t="inlineStr">
        <is>
          <t>ENGİN DEMİR</t>
        </is>
      </c>
      <c r="F4093" s="3" t="n">
        <v>313904</v>
      </c>
      <c r="G4093" s="143" t="n"/>
      <c r="H4093" s="143" t="n">
        <v>74</v>
      </c>
      <c r="I4093" s="143">
        <f>+I4092+(G4093-H4093)</f>
        <v/>
      </c>
      <c r="J4093" s="144" t="n">
        <v>44.8</v>
      </c>
      <c r="K4093" s="145" t="n"/>
      <c r="L4093" s="140">
        <f>+H4093*J4093</f>
        <v/>
      </c>
      <c r="M4093" s="141">
        <f>SUM(M4092+K4093-L4093)</f>
        <v/>
      </c>
    </row>
    <row r="4094">
      <c r="A4094" s="20" t="n">
        <v>45877</v>
      </c>
      <c r="B4094" s="1" t="n">
        <v>10601</v>
      </c>
      <c r="C4094" s="2" t="inlineStr">
        <is>
          <t>SELİM İNŞAAT</t>
        </is>
      </c>
      <c r="D4094" s="1" t="inlineStr">
        <is>
          <t>34 GU 945</t>
        </is>
      </c>
      <c r="E4094" s="1" t="inlineStr">
        <is>
          <t>YAKUP URUCU</t>
        </is>
      </c>
      <c r="F4094" s="3" t="n">
        <v>454318</v>
      </c>
      <c r="G4094" s="143" t="n"/>
      <c r="H4094" s="143" t="n">
        <v>62</v>
      </c>
      <c r="I4094" s="143">
        <f>+I4093+(G4094-H4094)</f>
        <v/>
      </c>
      <c r="J4094" s="144" t="n">
        <v>44.8</v>
      </c>
      <c r="K4094" s="145" t="n"/>
      <c r="L4094" s="140">
        <f>+H4094*J4094</f>
        <v/>
      </c>
      <c r="M4094" s="141">
        <f>SUM(M4093+K4094-L4094)</f>
        <v/>
      </c>
    </row>
    <row r="4095">
      <c r="A4095" s="20" t="n">
        <v>45877</v>
      </c>
      <c r="B4095" s="21" t="n">
        <v>1904</v>
      </c>
      <c r="C4095" s="22" t="inlineStr">
        <is>
          <t>AHMET SELİM TEMHA</t>
        </is>
      </c>
      <c r="D4095" s="21" t="inlineStr">
        <is>
          <t>34 DGE 422</t>
        </is>
      </c>
      <c r="E4095" s="21" t="inlineStr">
        <is>
          <t>ERSOY SIĞINMAZ</t>
        </is>
      </c>
      <c r="F4095" s="23" t="n"/>
      <c r="G4095" s="138" t="n"/>
      <c r="H4095" s="138" t="n">
        <v>52</v>
      </c>
      <c r="I4095" s="138">
        <f>+I4094+(G4095-H4095)</f>
        <v/>
      </c>
      <c r="J4095" s="139" t="n">
        <v>44.8</v>
      </c>
      <c r="K4095" s="140" t="n"/>
      <c r="L4095" s="140">
        <f>+H4095*J4095</f>
        <v/>
      </c>
      <c r="M4095" s="141">
        <f>SUM(M4094+K4095-L4095)</f>
        <v/>
      </c>
    </row>
    <row r="4096">
      <c r="A4096" s="20" t="n">
        <v>45878</v>
      </c>
      <c r="B4096" s="21" t="n">
        <v>156</v>
      </c>
      <c r="C4096" s="22" t="inlineStr">
        <is>
          <t>MİRBE PETROL SANAYİ VE TİCARET ANONİM ŞİRKETİ</t>
        </is>
      </c>
      <c r="D4096" s="21" t="n"/>
      <c r="E4096" s="21" t="n"/>
      <c r="F4096" s="23" t="n"/>
      <c r="G4096" s="138" t="n">
        <v>24676</v>
      </c>
      <c r="H4096" s="138" t="n"/>
      <c r="I4096" s="138">
        <f>+I4095+(G4096-H4096)</f>
        <v/>
      </c>
      <c r="J4096" s="139">
        <f>+K4096/G4096</f>
        <v/>
      </c>
      <c r="K4096" s="140" t="n">
        <v>1140359.88</v>
      </c>
      <c r="L4096" s="140">
        <f>+H4096*J4096</f>
        <v/>
      </c>
      <c r="M4096" s="141">
        <f>SUM(M4095+K4096-L4096)</f>
        <v/>
      </c>
    </row>
    <row r="4097">
      <c r="A4097" s="20" t="n">
        <v>45878</v>
      </c>
      <c r="B4097" s="1" t="n">
        <v>2027</v>
      </c>
      <c r="C4097" s="2" t="inlineStr">
        <is>
          <t>MEGA VALIK</t>
        </is>
      </c>
      <c r="D4097" s="1" t="inlineStr">
        <is>
          <t>SM 370</t>
        </is>
      </c>
      <c r="E4097" s="1" t="inlineStr">
        <is>
          <t>TEKİN ŞEYLAN</t>
        </is>
      </c>
      <c r="F4097" s="3" t="n"/>
      <c r="G4097" s="143" t="n"/>
      <c r="H4097" s="143" t="n">
        <v>541</v>
      </c>
      <c r="I4097" s="143">
        <f>+I4096+(G4097-H4097)</f>
        <v/>
      </c>
      <c r="J4097" s="144" t="n">
        <v>46.213</v>
      </c>
      <c r="K4097" s="145" t="n"/>
      <c r="L4097" s="140">
        <f>+H4097*J4097</f>
        <v/>
      </c>
      <c r="M4097" s="141">
        <f>SUM(M4096+K4097-L4097)</f>
        <v/>
      </c>
    </row>
    <row r="4098">
      <c r="A4098" s="20" t="n">
        <v>45878</v>
      </c>
      <c r="B4098" s="1" t="n">
        <v>2028</v>
      </c>
      <c r="C4098" s="2" t="inlineStr">
        <is>
          <t>MEGA VALIK</t>
        </is>
      </c>
      <c r="D4098" s="1" t="inlineStr">
        <is>
          <t>SM 350</t>
        </is>
      </c>
      <c r="E4098" s="1" t="inlineStr">
        <is>
          <t>AHMET AKGÜL</t>
        </is>
      </c>
      <c r="F4098" s="3" t="n"/>
      <c r="G4098" s="143" t="n"/>
      <c r="H4098" s="143" t="n">
        <v>461</v>
      </c>
      <c r="I4098" s="143">
        <f>+I4097+(G4098-H4098)</f>
        <v/>
      </c>
      <c r="J4098" s="144" t="n">
        <v>46.213</v>
      </c>
      <c r="K4098" s="145" t="n"/>
      <c r="L4098" s="140">
        <f>+H4098*J4098</f>
        <v/>
      </c>
      <c r="M4098" s="141">
        <f>SUM(M4097+K4098-L4098)</f>
        <v/>
      </c>
    </row>
    <row r="4099">
      <c r="A4099" s="20" t="n">
        <v>45878</v>
      </c>
      <c r="B4099" s="1" t="n">
        <v>2029</v>
      </c>
      <c r="C4099" s="2" t="inlineStr">
        <is>
          <t>MEGA VALIK</t>
        </is>
      </c>
      <c r="D4099" s="1" t="inlineStr">
        <is>
          <t>SM 300</t>
        </is>
      </c>
      <c r="E4099" s="1" t="inlineStr">
        <is>
          <t>TURGUT SANCAK</t>
        </is>
      </c>
      <c r="F4099" s="3" t="n"/>
      <c r="G4099" s="143" t="n"/>
      <c r="H4099" s="143" t="n">
        <v>348</v>
      </c>
      <c r="I4099" s="143">
        <f>+I4098+(G4099-H4099)</f>
        <v/>
      </c>
      <c r="J4099" s="144" t="n">
        <v>46.213</v>
      </c>
      <c r="K4099" s="145" t="n"/>
      <c r="L4099" s="140">
        <f>+H4099*J4099</f>
        <v/>
      </c>
      <c r="M4099" s="141">
        <f>SUM(M4098+K4099-L4099)</f>
        <v/>
      </c>
    </row>
    <row r="4100">
      <c r="A4100" s="20" t="n">
        <v>45878</v>
      </c>
      <c r="B4100" s="21" t="n">
        <v>2030</v>
      </c>
      <c r="C4100" s="22" t="inlineStr">
        <is>
          <t>EVKUR</t>
        </is>
      </c>
      <c r="D4100" s="21" t="inlineStr">
        <is>
          <t>FOKLİFT</t>
        </is>
      </c>
      <c r="E4100" s="21" t="inlineStr">
        <is>
          <t>FAHRİ KALFA</t>
        </is>
      </c>
      <c r="F4100" s="23" t="n"/>
      <c r="G4100" s="138" t="n"/>
      <c r="H4100" s="138" t="n">
        <v>74</v>
      </c>
      <c r="I4100" s="138">
        <f>+I4099+(G4100-H4100)</f>
        <v/>
      </c>
      <c r="J4100" s="139" t="n">
        <v>46.213</v>
      </c>
      <c r="K4100" s="140" t="n"/>
      <c r="L4100" s="140">
        <f>+H4100*J4100</f>
        <v/>
      </c>
      <c r="M4100" s="141">
        <f>SUM(M4099+K4100-L4100)</f>
        <v/>
      </c>
    </row>
    <row r="4101">
      <c r="A4101" s="20" t="n">
        <v>45878</v>
      </c>
      <c r="B4101" s="1" t="n">
        <v>2031</v>
      </c>
      <c r="C4101" s="2" t="inlineStr">
        <is>
          <t>JUNİOR VARLIK</t>
        </is>
      </c>
      <c r="D4101" s="1" t="inlineStr">
        <is>
          <t xml:space="preserve">YENİ VİNÇ </t>
        </is>
      </c>
      <c r="E4101" s="1" t="inlineStr">
        <is>
          <t>SALİH ŞOLAN</t>
        </is>
      </c>
      <c r="F4101" s="3" t="n"/>
      <c r="G4101" s="143" t="n"/>
      <c r="H4101" s="143" t="n">
        <v>317</v>
      </c>
      <c r="I4101" s="143">
        <f>+I4100+(G4101-H4101)</f>
        <v/>
      </c>
      <c r="J4101" s="144" t="n">
        <v>46.213</v>
      </c>
      <c r="K4101" s="145" t="n"/>
      <c r="L4101" s="140">
        <f>+H4101*J4101</f>
        <v/>
      </c>
      <c r="M4101" s="141">
        <f>SUM(M4100+K4101-L4101)</f>
        <v/>
      </c>
    </row>
    <row r="4102">
      <c r="A4102" s="20" t="n">
        <v>45878</v>
      </c>
      <c r="B4102" s="1" t="n">
        <v>2032</v>
      </c>
      <c r="C4102" s="2" t="inlineStr">
        <is>
          <t>EVKUR</t>
        </is>
      </c>
      <c r="D4102" s="1" t="inlineStr">
        <is>
          <t xml:space="preserve">SM 350 </t>
        </is>
      </c>
      <c r="E4102" s="1" t="inlineStr">
        <is>
          <t>TEVFİK ÖZTÜRK</t>
        </is>
      </c>
      <c r="F4102" s="3" t="n"/>
      <c r="G4102" s="143" t="n"/>
      <c r="H4102" s="143" t="n">
        <v>389</v>
      </c>
      <c r="I4102" s="143">
        <f>+I4101+(G4102-H4102)</f>
        <v/>
      </c>
      <c r="J4102" s="144" t="n">
        <v>46.213</v>
      </c>
      <c r="K4102" s="145" t="n"/>
      <c r="L4102" s="140">
        <f>+H4102*J4102</f>
        <v/>
      </c>
      <c r="M4102" s="141">
        <f>SUM(M4101+K4102-L4102)</f>
        <v/>
      </c>
    </row>
    <row r="4103">
      <c r="A4103" s="20" t="n">
        <v>45878</v>
      </c>
      <c r="B4103" s="1" t="n">
        <v>152226</v>
      </c>
      <c r="C4103" s="2" t="inlineStr">
        <is>
          <t>SELİM İNŞAAT</t>
        </is>
      </c>
      <c r="D4103" s="1" t="inlineStr">
        <is>
          <t>34 DSN 565</t>
        </is>
      </c>
      <c r="E4103" s="1" t="inlineStr">
        <is>
          <t>HÜSEYİN DENİZ</t>
        </is>
      </c>
      <c r="F4103" s="3" t="n">
        <v>412666</v>
      </c>
      <c r="G4103" s="143" t="n"/>
      <c r="H4103" s="143" t="n">
        <v>391</v>
      </c>
      <c r="I4103" s="143">
        <f>+I4102+(G4103-H4103)</f>
        <v/>
      </c>
      <c r="J4103" s="144" t="n">
        <v>46.213</v>
      </c>
      <c r="K4103" s="145" t="n"/>
      <c r="L4103" s="140">
        <f>+H4103*J4103</f>
        <v/>
      </c>
      <c r="M4103" s="141">
        <f>SUM(M4102+K4103-L4103)</f>
        <v/>
      </c>
    </row>
    <row r="4104">
      <c r="A4104" s="20" t="n">
        <v>45878</v>
      </c>
      <c r="B4104" s="1" t="n">
        <v>1261</v>
      </c>
      <c r="C4104" s="2" t="inlineStr">
        <is>
          <t>SELİM İNŞAAT</t>
        </is>
      </c>
      <c r="D4104" s="1" t="inlineStr">
        <is>
          <t>34 DSN 621</t>
        </is>
      </c>
      <c r="E4104" s="1" t="inlineStr">
        <is>
          <t>MUSTAFA KAYA</t>
        </is>
      </c>
      <c r="F4104" s="3" t="n">
        <v>424516</v>
      </c>
      <c r="G4104" s="143" t="n"/>
      <c r="H4104" s="143" t="n">
        <v>322</v>
      </c>
      <c r="I4104" s="143">
        <f>+I4103+(G4104-H4104)</f>
        <v/>
      </c>
      <c r="J4104" s="144" t="n">
        <v>46.213</v>
      </c>
      <c r="K4104" s="145" t="n"/>
      <c r="L4104" s="140">
        <f>+H4104*J4104</f>
        <v/>
      </c>
      <c r="M4104" s="141">
        <f>SUM(M4103+K4104-L4104)</f>
        <v/>
      </c>
    </row>
    <row r="4105">
      <c r="A4105" s="20" t="n">
        <v>45878</v>
      </c>
      <c r="B4105" s="1" t="n">
        <v>15539</v>
      </c>
      <c r="C4105" s="2" t="inlineStr">
        <is>
          <t>SELİM İNŞAAT</t>
        </is>
      </c>
      <c r="D4105" s="1" t="inlineStr">
        <is>
          <t>34 EDC 086</t>
        </is>
      </c>
      <c r="E4105" s="1" t="inlineStr">
        <is>
          <t>ÖMER AĞAYAR</t>
        </is>
      </c>
      <c r="F4105" s="3" t="n">
        <v>340197</v>
      </c>
      <c r="G4105" s="143" t="n"/>
      <c r="H4105" s="143" t="n">
        <v>293</v>
      </c>
      <c r="I4105" s="143">
        <f>+I4104+(G4105-H4105)</f>
        <v/>
      </c>
      <c r="J4105" s="144" t="n">
        <v>46.213</v>
      </c>
      <c r="K4105" s="145" t="n"/>
      <c r="L4105" s="140">
        <f>+H4105*J4105</f>
        <v/>
      </c>
      <c r="M4105" s="141">
        <f>SUM(M4104+K4105-L4105)</f>
        <v/>
      </c>
    </row>
    <row r="4106">
      <c r="A4106" s="20" t="n">
        <v>45878</v>
      </c>
      <c r="B4106" s="1" t="n">
        <v>1211</v>
      </c>
      <c r="C4106" s="2" t="inlineStr">
        <is>
          <t>SELİM İNŞAAT</t>
        </is>
      </c>
      <c r="D4106" s="1" t="inlineStr">
        <is>
          <t>34 DHC 393</t>
        </is>
      </c>
      <c r="E4106" s="1" t="inlineStr">
        <is>
          <t>İSMET BAYRAM</t>
        </is>
      </c>
      <c r="F4106" s="3" t="n">
        <v>434435</v>
      </c>
      <c r="G4106" s="143" t="n"/>
      <c r="H4106" s="143" t="n">
        <v>396</v>
      </c>
      <c r="I4106" s="143">
        <f>+I4105+(G4106-H4106)</f>
        <v/>
      </c>
      <c r="J4106" s="144" t="n">
        <v>46.213</v>
      </c>
      <c r="K4106" s="145" t="n"/>
      <c r="L4106" s="140">
        <f>+H4106*J4106</f>
        <v/>
      </c>
      <c r="M4106" s="141">
        <f>SUM(M4105+K4106-L4106)</f>
        <v/>
      </c>
    </row>
    <row r="4107">
      <c r="A4107" s="20" t="n">
        <v>45878</v>
      </c>
      <c r="B4107" s="1" t="n">
        <v>15881</v>
      </c>
      <c r="C4107" s="2" t="inlineStr">
        <is>
          <t>SELİM İNŞAAT</t>
        </is>
      </c>
      <c r="D4107" s="1" t="inlineStr">
        <is>
          <t>34 EDB 754</t>
        </is>
      </c>
      <c r="E4107" s="1" t="inlineStr">
        <is>
          <t>EMİN PARLAKKILIÇ</t>
        </is>
      </c>
      <c r="F4107" s="3" t="n">
        <v>336565</v>
      </c>
      <c r="G4107" s="143" t="n"/>
      <c r="H4107" s="143" t="n">
        <v>345</v>
      </c>
      <c r="I4107" s="143">
        <f>+I4106+(G4107-H4107)</f>
        <v/>
      </c>
      <c r="J4107" s="144" t="n">
        <v>46.213</v>
      </c>
      <c r="K4107" s="145" t="n"/>
      <c r="L4107" s="140">
        <f>+H4107*J4107</f>
        <v/>
      </c>
      <c r="M4107" s="141">
        <f>SUM(M4106+K4107-L4107)</f>
        <v/>
      </c>
    </row>
    <row r="4108">
      <c r="A4108" s="20" t="n">
        <v>45878</v>
      </c>
      <c r="B4108" s="1" t="n">
        <v>15271</v>
      </c>
      <c r="C4108" s="2" t="inlineStr">
        <is>
          <t>SELİM İNŞAAT</t>
        </is>
      </c>
      <c r="D4108" s="1" t="inlineStr">
        <is>
          <t>34 DTV 447</t>
        </is>
      </c>
      <c r="E4108" s="1" t="inlineStr">
        <is>
          <t>EBUBEKİR KOLDAŞ</t>
        </is>
      </c>
      <c r="F4108" s="3" t="n">
        <v>440011</v>
      </c>
      <c r="G4108" s="143" t="n"/>
      <c r="H4108" s="143" t="n">
        <v>478</v>
      </c>
      <c r="I4108" s="143">
        <f>+I4107+(G4108-H4108)</f>
        <v/>
      </c>
      <c r="J4108" s="144" t="n">
        <v>46.213</v>
      </c>
      <c r="K4108" s="145" t="n"/>
      <c r="L4108" s="140">
        <f>+H4108*J4108</f>
        <v/>
      </c>
      <c r="M4108" s="141">
        <f>SUM(M4107+K4108-L4108)</f>
        <v/>
      </c>
    </row>
    <row r="4109">
      <c r="A4109" s="20" t="n">
        <v>45878</v>
      </c>
      <c r="B4109" s="1" t="n">
        <v>1111</v>
      </c>
      <c r="C4109" s="2" t="inlineStr">
        <is>
          <t>SELİM İNŞAAT</t>
        </is>
      </c>
      <c r="D4109" s="1" t="inlineStr">
        <is>
          <t>34 EDB 659</t>
        </is>
      </c>
      <c r="E4109" s="1" t="inlineStr">
        <is>
          <t>MEHMET SAİT ANIK</t>
        </is>
      </c>
      <c r="F4109" s="3" t="n">
        <v>354741</v>
      </c>
      <c r="G4109" s="143" t="n"/>
      <c r="H4109" s="143" t="n">
        <v>297</v>
      </c>
      <c r="I4109" s="143">
        <f>+I4108+(G4109-H4109)</f>
        <v/>
      </c>
      <c r="J4109" s="144" t="n">
        <v>46.213</v>
      </c>
      <c r="K4109" s="145" t="n"/>
      <c r="L4109" s="140">
        <f>+H4109*J4109</f>
        <v/>
      </c>
      <c r="M4109" s="141">
        <f>SUM(M4108+K4109-L4109)</f>
        <v/>
      </c>
    </row>
    <row r="4110">
      <c r="A4110" s="20" t="n">
        <v>45878</v>
      </c>
      <c r="B4110" s="1" t="n">
        <v>1064</v>
      </c>
      <c r="C4110" s="2" t="inlineStr">
        <is>
          <t>SELİM İNŞAAT</t>
        </is>
      </c>
      <c r="D4110" s="1" t="inlineStr">
        <is>
          <t>34 GVZ 310</t>
        </is>
      </c>
      <c r="E4110" s="1" t="inlineStr">
        <is>
          <t>CELAL YÜZBAŞI</t>
        </is>
      </c>
      <c r="F4110" s="3" t="n">
        <v>212644</v>
      </c>
      <c r="G4110" s="143" t="n"/>
      <c r="H4110" s="143" t="n">
        <v>235</v>
      </c>
      <c r="I4110" s="143">
        <f>+I4109+(G4110-H4110)</f>
        <v/>
      </c>
      <c r="J4110" s="144" t="n">
        <v>46.213</v>
      </c>
      <c r="K4110" s="145" t="n"/>
      <c r="L4110" s="140">
        <f>+H4110*J4110</f>
        <v/>
      </c>
      <c r="M4110" s="141">
        <f>SUM(M4109+K4110-L4110)</f>
        <v/>
      </c>
    </row>
    <row r="4111">
      <c r="A4111" s="20" t="n">
        <v>45878</v>
      </c>
      <c r="B4111" s="1" t="n">
        <v>15128</v>
      </c>
      <c r="C4111" s="2" t="inlineStr">
        <is>
          <t>SELİM İNŞAAT</t>
        </is>
      </c>
      <c r="D4111" s="1" t="inlineStr">
        <is>
          <t>34 DTV 599</t>
        </is>
      </c>
      <c r="E4111" s="1" t="inlineStr">
        <is>
          <t>FERHAT GÜRLER</t>
        </is>
      </c>
      <c r="F4111" s="3" t="n">
        <v>444752</v>
      </c>
      <c r="G4111" s="143" t="n"/>
      <c r="H4111" s="143" t="n">
        <v>512</v>
      </c>
      <c r="I4111" s="143">
        <f>+I4110+(G4111-H4111)</f>
        <v/>
      </c>
      <c r="J4111" s="144" t="n">
        <v>46.213</v>
      </c>
      <c r="K4111" s="145" t="n"/>
      <c r="L4111" s="140">
        <f>+H4111*J4111</f>
        <v/>
      </c>
      <c r="M4111" s="141">
        <f>SUM(M4110+K4111-L4111)</f>
        <v/>
      </c>
    </row>
    <row r="4112">
      <c r="A4112" s="20" t="n">
        <v>45878</v>
      </c>
      <c r="B4112" s="1" t="n">
        <v>21649</v>
      </c>
      <c r="C4112" s="2" t="inlineStr">
        <is>
          <t>SELİM İNŞAAT</t>
        </is>
      </c>
      <c r="D4112" s="1" t="inlineStr">
        <is>
          <t>34 DHC 467</t>
        </is>
      </c>
      <c r="E4112" s="1" t="inlineStr">
        <is>
          <t>NAZIM KARATAŞ</t>
        </is>
      </c>
      <c r="F4112" s="3" t="n">
        <v>416300</v>
      </c>
      <c r="G4112" s="143" t="n"/>
      <c r="H4112" s="143" t="n">
        <v>312</v>
      </c>
      <c r="I4112" s="143">
        <f>+I4111+(G4112-H4112)</f>
        <v/>
      </c>
      <c r="J4112" s="144" t="n">
        <v>46.213</v>
      </c>
      <c r="K4112" s="145" t="n"/>
      <c r="L4112" s="140">
        <f>+H4112*J4112</f>
        <v/>
      </c>
      <c r="M4112" s="141">
        <f>SUM(M4111+K4112-L4112)</f>
        <v/>
      </c>
    </row>
    <row r="4113">
      <c r="A4113" s="20" t="n">
        <v>45878</v>
      </c>
      <c r="B4113" s="1" t="n">
        <v>15075</v>
      </c>
      <c r="C4113" s="2" t="inlineStr">
        <is>
          <t>SELİM İNŞAAT</t>
        </is>
      </c>
      <c r="D4113" s="1" t="inlineStr">
        <is>
          <t>34 EGR736</t>
        </is>
      </c>
      <c r="E4113" s="1" t="inlineStr">
        <is>
          <t>HAKAN ÇAVUŞOĞLU</t>
        </is>
      </c>
      <c r="F4113" s="3" t="n">
        <v>404210</v>
      </c>
      <c r="G4113" s="143" t="n"/>
      <c r="H4113" s="143" t="n">
        <v>394</v>
      </c>
      <c r="I4113" s="143">
        <f>+I4112+(G4113-H4113)</f>
        <v/>
      </c>
      <c r="J4113" s="144" t="n">
        <v>46.213</v>
      </c>
      <c r="K4113" s="145" t="n"/>
      <c r="L4113" s="140">
        <f>+H4113*J4113</f>
        <v/>
      </c>
      <c r="M4113" s="141">
        <f>SUM(M4112+K4113-L4113)</f>
        <v/>
      </c>
    </row>
    <row r="4114">
      <c r="A4114" s="20" t="n">
        <v>45878</v>
      </c>
      <c r="B4114" s="1" t="n">
        <v>1708</v>
      </c>
      <c r="C4114" s="2" t="inlineStr">
        <is>
          <t>SELİM İNŞAAT</t>
        </is>
      </c>
      <c r="D4114" s="21" t="inlineStr">
        <is>
          <t>34 DGP 137</t>
        </is>
      </c>
      <c r="E4114" s="1" t="inlineStr">
        <is>
          <t>MURAT DEMİRBAŞ</t>
        </is>
      </c>
      <c r="F4114" s="3" t="n">
        <v>436055</v>
      </c>
      <c r="G4114" s="143" t="n"/>
      <c r="H4114" s="143" t="n">
        <v>440</v>
      </c>
      <c r="I4114" s="143">
        <f>+I4113+(G4114-H4114)</f>
        <v/>
      </c>
      <c r="J4114" s="144" t="n">
        <v>46.213</v>
      </c>
      <c r="K4114" s="145" t="n"/>
      <c r="L4114" s="140">
        <f>+H4114*J4114</f>
        <v/>
      </c>
      <c r="M4114" s="141">
        <f>SUM(M4113+K4114-L4114)</f>
        <v/>
      </c>
    </row>
    <row r="4115">
      <c r="A4115" s="20" t="n">
        <v>45878</v>
      </c>
      <c r="B4115" s="1" t="n">
        <v>320</v>
      </c>
      <c r="C4115" s="2" t="inlineStr">
        <is>
          <t>SELİM İNŞAAT</t>
        </is>
      </c>
      <c r="D4115" s="1" t="inlineStr">
        <is>
          <t>34 EDB 829</t>
        </is>
      </c>
      <c r="E4115" s="1" t="inlineStr">
        <is>
          <t>İRFAN DAĞLAR</t>
        </is>
      </c>
      <c r="F4115" s="3" t="n">
        <v>329692</v>
      </c>
      <c r="G4115" s="143" t="n"/>
      <c r="H4115" s="143" t="n">
        <v>525</v>
      </c>
      <c r="I4115" s="143">
        <f>+I4114+(G4115-H4115)</f>
        <v/>
      </c>
      <c r="J4115" s="144" t="n">
        <v>46.213</v>
      </c>
      <c r="K4115" s="145" t="n"/>
      <c r="L4115" s="140">
        <f>+H4115*J4115</f>
        <v/>
      </c>
      <c r="M4115" s="141">
        <f>SUM(M4114+K4115-L4115)</f>
        <v/>
      </c>
    </row>
    <row r="4116">
      <c r="A4116" s="20" t="n">
        <v>45878</v>
      </c>
      <c r="B4116" s="1" t="n">
        <v>967</v>
      </c>
      <c r="C4116" s="2" t="inlineStr">
        <is>
          <t>SELİM İNŞAAT</t>
        </is>
      </c>
      <c r="D4116" s="1" t="inlineStr">
        <is>
          <t>34 FBR 742</t>
        </is>
      </c>
      <c r="E4116" s="1" t="inlineStr">
        <is>
          <t>MİKAİL BAYILMAZ</t>
        </is>
      </c>
      <c r="F4116" s="3" t="n">
        <v>329756</v>
      </c>
      <c r="G4116" s="143" t="n"/>
      <c r="H4116" s="143" t="n">
        <v>273</v>
      </c>
      <c r="I4116" s="143">
        <f>+I4115+(G4116-H4116)</f>
        <v/>
      </c>
      <c r="J4116" s="144" t="n">
        <v>46.213</v>
      </c>
      <c r="K4116" s="145" t="n"/>
      <c r="L4116" s="140">
        <f>+H4116*J4116</f>
        <v/>
      </c>
      <c r="M4116" s="141">
        <f>SUM(M4115+K4116-L4116)</f>
        <v/>
      </c>
    </row>
    <row r="4117">
      <c r="A4117" s="20" t="n">
        <v>45878</v>
      </c>
      <c r="B4117" s="1" t="n">
        <v>11245</v>
      </c>
      <c r="C4117" s="2" t="inlineStr">
        <is>
          <t>SELİM İNŞAAT</t>
        </is>
      </c>
      <c r="D4117" s="1" t="inlineStr">
        <is>
          <t>34 DSN 636</t>
        </is>
      </c>
      <c r="E4117" s="1" t="inlineStr">
        <is>
          <t>MASUM GÜVEN</t>
        </is>
      </c>
      <c r="F4117" s="3" t="n">
        <v>402815</v>
      </c>
      <c r="G4117" s="143" t="n"/>
      <c r="H4117" s="143" t="n">
        <v>396</v>
      </c>
      <c r="I4117" s="143">
        <f>+I4116+(G4117-H4117)</f>
        <v/>
      </c>
      <c r="J4117" s="144" t="n">
        <v>46.213</v>
      </c>
      <c r="K4117" s="145" t="n"/>
      <c r="L4117" s="140">
        <f>+H4117*J4117</f>
        <v/>
      </c>
      <c r="M4117" s="141">
        <f>SUM(M4116+K4117-L4117)</f>
        <v/>
      </c>
    </row>
    <row r="4118">
      <c r="A4118" s="20" t="n">
        <v>45878</v>
      </c>
      <c r="B4118" s="21" t="n">
        <v>15634</v>
      </c>
      <c r="C4118" s="22" t="inlineStr">
        <is>
          <t>METİN ERYİĞİT</t>
        </is>
      </c>
      <c r="D4118" s="21" t="inlineStr">
        <is>
          <t>34 EGS 013</t>
        </is>
      </c>
      <c r="E4118" s="21" t="inlineStr">
        <is>
          <t>UĞUR DUMAN</t>
        </is>
      </c>
      <c r="F4118" s="23" t="n">
        <v>504770</v>
      </c>
      <c r="G4118" s="138" t="n"/>
      <c r="H4118" s="138" t="n">
        <v>314</v>
      </c>
      <c r="I4118" s="138">
        <f>+I4117+(G4118-H4118)</f>
        <v/>
      </c>
      <c r="J4118" s="139" t="n">
        <v>46.213</v>
      </c>
      <c r="K4118" s="140" t="n"/>
      <c r="L4118" s="140">
        <f>+H4118*J4118</f>
        <v/>
      </c>
      <c r="M4118" s="141">
        <f>SUM(M4117+K4118-L4118)</f>
        <v/>
      </c>
    </row>
    <row r="4119">
      <c r="A4119" s="20" t="n">
        <v>45878</v>
      </c>
      <c r="B4119" s="21" t="n">
        <v>15690</v>
      </c>
      <c r="C4119" s="22" t="inlineStr">
        <is>
          <t>METİN ERYİĞİT</t>
        </is>
      </c>
      <c r="D4119" s="21" t="inlineStr">
        <is>
          <t>34 EGR 814</t>
        </is>
      </c>
      <c r="E4119" s="21" t="inlineStr">
        <is>
          <t>MUHAMMET YİĞİT</t>
        </is>
      </c>
      <c r="F4119" s="23" t="n">
        <v>558804</v>
      </c>
      <c r="G4119" s="138" t="n"/>
      <c r="H4119" s="138" t="n">
        <v>299</v>
      </c>
      <c r="I4119" s="138">
        <f>+I4118+(G4119-H4119)</f>
        <v/>
      </c>
      <c r="J4119" s="139" t="n">
        <v>46.213</v>
      </c>
      <c r="K4119" s="140" t="n"/>
      <c r="L4119" s="140">
        <f>+H4119*J4119</f>
        <v/>
      </c>
      <c r="M4119" s="141">
        <f>SUM(M4118+K4119-L4119)</f>
        <v/>
      </c>
    </row>
    <row r="4120">
      <c r="A4120" s="20" t="n">
        <v>45878</v>
      </c>
      <c r="B4120" s="21" t="n">
        <v>718</v>
      </c>
      <c r="C4120" s="22" t="inlineStr">
        <is>
          <t>METİN ERYİĞİT</t>
        </is>
      </c>
      <c r="D4120" s="21" t="inlineStr">
        <is>
          <t>34 GBL 998</t>
        </is>
      </c>
      <c r="E4120" s="21" t="inlineStr">
        <is>
          <t>M.ALİ KESKİN</t>
        </is>
      </c>
      <c r="F4120" s="23" t="n">
        <v>285361</v>
      </c>
      <c r="G4120" s="138" t="n"/>
      <c r="H4120" s="138" t="n">
        <v>345</v>
      </c>
      <c r="I4120" s="138">
        <f>+I4119+(G4120-H4120)</f>
        <v/>
      </c>
      <c r="J4120" s="139" t="n">
        <v>46.213</v>
      </c>
      <c r="K4120" s="140" t="n"/>
      <c r="L4120" s="140">
        <f>+H4120*J4120</f>
        <v/>
      </c>
      <c r="M4120" s="141">
        <f>SUM(M4119+K4120-L4120)</f>
        <v/>
      </c>
    </row>
    <row r="4121">
      <c r="A4121" s="20" t="n">
        <v>45878</v>
      </c>
      <c r="B4121" s="21" t="n">
        <v>11345</v>
      </c>
      <c r="C4121" s="22" t="inlineStr">
        <is>
          <t>AZGÜN YAPI</t>
        </is>
      </c>
      <c r="D4121" s="21" t="inlineStr">
        <is>
          <t>34 MKT 859</t>
        </is>
      </c>
      <c r="E4121" s="21" t="inlineStr">
        <is>
          <t>HASAN ALTUN</t>
        </is>
      </c>
      <c r="F4121" s="23" t="n"/>
      <c r="G4121" s="138" t="n"/>
      <c r="H4121" s="138" t="n">
        <v>318</v>
      </c>
      <c r="I4121" s="138">
        <f>+I4120+(G4121-H4121)</f>
        <v/>
      </c>
      <c r="J4121" s="139" t="n">
        <v>46.213</v>
      </c>
      <c r="K4121" s="140" t="n"/>
      <c r="L4121" s="140">
        <f>+H4121*J4121</f>
        <v/>
      </c>
      <c r="M4121" s="141">
        <f>SUM(M4120+K4121-L4121)</f>
        <v/>
      </c>
    </row>
    <row r="4122">
      <c r="A4122" s="20" t="n">
        <v>45878</v>
      </c>
      <c r="B4122" s="1" t="n">
        <v>469</v>
      </c>
      <c r="C4122" s="2" t="inlineStr">
        <is>
          <t>SELİM İNŞAAT</t>
        </is>
      </c>
      <c r="D4122" s="1" t="inlineStr">
        <is>
          <t>34 DKL 866</t>
        </is>
      </c>
      <c r="E4122" s="1" t="inlineStr">
        <is>
          <t>SELİM CAN ÖNVER</t>
        </is>
      </c>
      <c r="F4122" s="3" t="n">
        <v>71297</v>
      </c>
      <c r="G4122" s="143" t="n"/>
      <c r="H4122" s="143" t="n">
        <v>174</v>
      </c>
      <c r="I4122" s="143">
        <f>+I4121+(G4122-H4122)</f>
        <v/>
      </c>
      <c r="J4122" s="144" t="n">
        <v>46.213</v>
      </c>
      <c r="K4122" s="145" t="n"/>
      <c r="L4122" s="140">
        <f>+H4122*J4122</f>
        <v/>
      </c>
      <c r="M4122" s="141">
        <f>SUM(M4121+K4122-L4122)</f>
        <v/>
      </c>
    </row>
    <row r="4123">
      <c r="A4123" s="20" t="n">
        <v>45878</v>
      </c>
      <c r="B4123" s="1" t="n">
        <v>15940</v>
      </c>
      <c r="C4123" s="2" t="inlineStr">
        <is>
          <t>SELİM İNŞAAT</t>
        </is>
      </c>
      <c r="D4123" s="1" t="inlineStr">
        <is>
          <t>34 DFE 454</t>
        </is>
      </c>
      <c r="E4123" s="1" t="inlineStr">
        <is>
          <t>TURAN SEVİNDİK</t>
        </is>
      </c>
      <c r="F4123" s="3" t="n">
        <v>164389</v>
      </c>
      <c r="G4123" s="143" t="n"/>
      <c r="H4123" s="143" t="n">
        <v>249</v>
      </c>
      <c r="I4123" s="143">
        <f>+I4122+(G4123-H4123)</f>
        <v/>
      </c>
      <c r="J4123" s="144" t="n">
        <v>46.213</v>
      </c>
      <c r="K4123" s="145" t="n"/>
      <c r="L4123" s="140">
        <f>+H4123*J4123</f>
        <v/>
      </c>
      <c r="M4123" s="141">
        <f>SUM(M4122+K4123-L4123)</f>
        <v/>
      </c>
    </row>
    <row r="4124">
      <c r="A4124" s="20" t="n">
        <v>45878</v>
      </c>
      <c r="B4124" s="1" t="n">
        <v>1404</v>
      </c>
      <c r="C4124" s="2" t="inlineStr">
        <is>
          <t>SELİM İNŞAAT</t>
        </is>
      </c>
      <c r="D4124" s="1" t="inlineStr">
        <is>
          <t>34 DKL 798</t>
        </is>
      </c>
      <c r="E4124" s="1" t="inlineStr">
        <is>
          <t>METİN KALKAN</t>
        </is>
      </c>
      <c r="F4124" s="3" t="n">
        <v>70397</v>
      </c>
      <c r="G4124" s="143" t="n"/>
      <c r="H4124" s="143" t="n">
        <v>222</v>
      </c>
      <c r="I4124" s="143">
        <f>+I4123+(G4124-H4124)</f>
        <v/>
      </c>
      <c r="J4124" s="144" t="n">
        <v>46.213</v>
      </c>
      <c r="K4124" s="145" t="n"/>
      <c r="L4124" s="140">
        <f>+H4124*J4124</f>
        <v/>
      </c>
      <c r="M4124" s="141">
        <f>SUM(M4123+K4124-L4124)</f>
        <v/>
      </c>
    </row>
    <row r="4125">
      <c r="A4125" s="20" t="n">
        <v>45878</v>
      </c>
      <c r="B4125" s="1" t="n">
        <v>260</v>
      </c>
      <c r="C4125" s="2" t="inlineStr">
        <is>
          <t>SELİM İNŞAAT</t>
        </is>
      </c>
      <c r="D4125" s="1" t="inlineStr">
        <is>
          <t>34 GER 445</t>
        </is>
      </c>
      <c r="E4125" s="1" t="inlineStr">
        <is>
          <t>HASAN BAYCAN</t>
        </is>
      </c>
      <c r="F4125" s="3" t="n">
        <v>47990</v>
      </c>
      <c r="G4125" s="143" t="n"/>
      <c r="H4125" s="143" t="n">
        <v>264</v>
      </c>
      <c r="I4125" s="143">
        <f>+I4124+(G4125-H4125)</f>
        <v/>
      </c>
      <c r="J4125" s="144" t="n">
        <v>46.213</v>
      </c>
      <c r="K4125" s="145" t="n"/>
      <c r="L4125" s="140">
        <f>+H4125*J4125</f>
        <v/>
      </c>
      <c r="M4125" s="141">
        <f>SUM(M4124+K4125-L4125)</f>
        <v/>
      </c>
    </row>
    <row r="4126">
      <c r="A4126" s="20" t="n">
        <v>45878</v>
      </c>
      <c r="B4126" s="1" t="n">
        <v>609</v>
      </c>
      <c r="C4126" s="2" t="inlineStr">
        <is>
          <t>SELİM İNŞAAT</t>
        </is>
      </c>
      <c r="D4126" s="1" t="inlineStr">
        <is>
          <t>34 AR 7743</t>
        </is>
      </c>
      <c r="E4126" s="1" t="inlineStr">
        <is>
          <t>MEHMET SELİM</t>
        </is>
      </c>
      <c r="F4126" s="3" t="n">
        <v>359822</v>
      </c>
      <c r="G4126" s="143" t="n"/>
      <c r="H4126" s="143" t="n">
        <v>55</v>
      </c>
      <c r="I4126" s="143">
        <f>+I4125+(G4126-H4126)</f>
        <v/>
      </c>
      <c r="J4126" s="144" t="n">
        <v>46.213</v>
      </c>
      <c r="K4126" s="145" t="n"/>
      <c r="L4126" s="140">
        <f>+H4126*J4126</f>
        <v/>
      </c>
      <c r="M4126" s="141">
        <f>SUM(M4125+K4126-L4126)</f>
        <v/>
      </c>
    </row>
    <row r="4127">
      <c r="A4127" s="20" t="n">
        <v>45878</v>
      </c>
      <c r="B4127" s="1" t="n">
        <v>15184</v>
      </c>
      <c r="C4127" s="2" t="inlineStr">
        <is>
          <t>SELİM İNŞAAT</t>
        </is>
      </c>
      <c r="D4127" s="1" t="inlineStr">
        <is>
          <t xml:space="preserve">34 DP 4161 </t>
        </is>
      </c>
      <c r="E4127" s="1" t="inlineStr">
        <is>
          <t>RIFAT KARATAY</t>
        </is>
      </c>
      <c r="F4127" s="3" t="n">
        <v>295186</v>
      </c>
      <c r="G4127" s="143" t="n"/>
      <c r="H4127" s="143" t="n">
        <v>260</v>
      </c>
      <c r="I4127" s="143">
        <f>+I4126+(G4127-H4127)</f>
        <v/>
      </c>
      <c r="J4127" s="144" t="n">
        <v>46.213</v>
      </c>
      <c r="K4127" s="145" t="n"/>
      <c r="L4127" s="140">
        <f>+H4127*J4127</f>
        <v/>
      </c>
      <c r="M4127" s="141">
        <f>SUM(M4126+K4127-L4127)</f>
        <v/>
      </c>
    </row>
    <row r="4128">
      <c r="A4128" s="20" t="n">
        <v>45878</v>
      </c>
      <c r="B4128" s="1" t="n">
        <v>21343</v>
      </c>
      <c r="C4128" s="2" t="inlineStr">
        <is>
          <t>SELİM İNŞAAT</t>
        </is>
      </c>
      <c r="D4128" s="1" t="inlineStr">
        <is>
          <t>34 FEM 934</t>
        </is>
      </c>
      <c r="E4128" s="1" t="inlineStr">
        <is>
          <t>MUSTAFA ALBAYRAK</t>
        </is>
      </c>
      <c r="F4128" s="3" t="n">
        <v>316970</v>
      </c>
      <c r="G4128" s="143" t="n"/>
      <c r="H4128" s="143" t="n">
        <v>71</v>
      </c>
      <c r="I4128" s="143">
        <f>+I4127+(G4128-H4128)</f>
        <v/>
      </c>
      <c r="J4128" s="144" t="n">
        <v>46.213</v>
      </c>
      <c r="K4128" s="145" t="n"/>
      <c r="L4128" s="140">
        <f>+H4128*J4128</f>
        <v/>
      </c>
      <c r="M4128" s="141">
        <f>SUM(M4127+K4128-L4128)</f>
        <v/>
      </c>
    </row>
    <row r="4129">
      <c r="A4129" s="20" t="n">
        <v>45878</v>
      </c>
      <c r="B4129" s="21" t="n">
        <v>1905</v>
      </c>
      <c r="C4129" s="22" t="inlineStr">
        <is>
          <t>ENES SELİM</t>
        </is>
      </c>
      <c r="D4129" s="21" t="inlineStr">
        <is>
          <t>34 TB 926 VİNÇ</t>
        </is>
      </c>
      <c r="E4129" s="21" t="inlineStr">
        <is>
          <t>ENES SELİM</t>
        </is>
      </c>
      <c r="F4129" s="23" t="n"/>
      <c r="G4129" s="138" t="n"/>
      <c r="H4129" s="138" t="n">
        <v>212</v>
      </c>
      <c r="I4129" s="138">
        <f>+I4128+(G4129-H4129)</f>
        <v/>
      </c>
      <c r="J4129" s="139" t="n">
        <v>46.213</v>
      </c>
      <c r="K4129" s="140" t="n"/>
      <c r="L4129" s="140">
        <f>+H4129*J4129</f>
        <v/>
      </c>
      <c r="M4129" s="141">
        <f>SUM(M4128+K4129-L4129)</f>
        <v/>
      </c>
    </row>
    <row r="4130">
      <c r="A4130" s="20" t="n">
        <v>45878</v>
      </c>
      <c r="B4130" s="1" t="n">
        <v>16749</v>
      </c>
      <c r="C4130" s="2" t="inlineStr">
        <is>
          <t>SELİM İNŞAAT</t>
        </is>
      </c>
      <c r="D4130" s="1" t="inlineStr">
        <is>
          <t>34 JBA 25</t>
        </is>
      </c>
      <c r="E4130" s="1" t="inlineStr">
        <is>
          <t>SELİM CAN ÖNVER</t>
        </is>
      </c>
      <c r="F4130" s="3" t="n">
        <v>338017</v>
      </c>
      <c r="G4130" s="143" t="n"/>
      <c r="H4130" s="143" t="n">
        <v>70</v>
      </c>
      <c r="I4130" s="143">
        <f>+I4129+(G4130-H4130)</f>
        <v/>
      </c>
      <c r="J4130" s="144" t="n">
        <v>46.213</v>
      </c>
      <c r="K4130" s="145" t="n"/>
      <c r="L4130" s="140">
        <f>+H4130*J4130</f>
        <v/>
      </c>
      <c r="M4130" s="141">
        <f>SUM(M4129+K4130-L4130)</f>
        <v/>
      </c>
    </row>
    <row r="4131">
      <c r="A4131" s="20" t="n">
        <v>45879</v>
      </c>
      <c r="B4131" s="1" t="n">
        <v>2033</v>
      </c>
      <c r="C4131" s="2" t="inlineStr">
        <is>
          <t>GARAJ</t>
        </is>
      </c>
      <c r="D4131" s="21" t="inlineStr">
        <is>
          <t>FOKLİFT</t>
        </is>
      </c>
      <c r="E4131" s="1" t="inlineStr">
        <is>
          <t>MEHMET SELİM</t>
        </is>
      </c>
      <c r="F4131" s="3" t="n"/>
      <c r="G4131" s="143" t="n"/>
      <c r="H4131" s="143" t="n">
        <v>23</v>
      </c>
      <c r="I4131" s="143">
        <f>+I4130+(G4131-H4131)</f>
        <v/>
      </c>
      <c r="J4131" s="144" t="n">
        <v>46.213</v>
      </c>
      <c r="K4131" s="145" t="n"/>
      <c r="L4131" s="140">
        <f>+H4131*J4131</f>
        <v/>
      </c>
      <c r="M4131" s="141">
        <f>SUM(M4130+K4131-L4131)</f>
        <v/>
      </c>
    </row>
    <row r="4132">
      <c r="A4132" s="20" t="n">
        <v>45879</v>
      </c>
      <c r="B4132" s="1" t="n">
        <v>1604</v>
      </c>
      <c r="C4132" s="2" t="inlineStr">
        <is>
          <t>SELİM İNŞAAT</t>
        </is>
      </c>
      <c r="D4132" s="1" t="inlineStr">
        <is>
          <t>34 VF 2620</t>
        </is>
      </c>
      <c r="E4132" s="1" t="inlineStr">
        <is>
          <t>RECEP SELİM</t>
        </is>
      </c>
      <c r="F4132" s="3" t="n">
        <v>191534</v>
      </c>
      <c r="G4132" s="143" t="n"/>
      <c r="H4132" s="143" t="n">
        <v>79</v>
      </c>
      <c r="I4132" s="143">
        <f>+I4131+(G4132-H4132)</f>
        <v/>
      </c>
      <c r="J4132" s="144" t="n">
        <v>46.213</v>
      </c>
      <c r="K4132" s="145" t="n"/>
      <c r="L4132" s="140">
        <f>+H4132*J4132</f>
        <v/>
      </c>
      <c r="M4132" s="141">
        <f>SUM(M4131+K4132-L4132)</f>
        <v/>
      </c>
    </row>
    <row r="4133">
      <c r="A4133" s="20" t="n">
        <v>45880</v>
      </c>
      <c r="B4133" s="21" t="n">
        <v>11387</v>
      </c>
      <c r="C4133" s="22" t="inlineStr">
        <is>
          <t>AZGÜN YAPI</t>
        </is>
      </c>
      <c r="D4133" s="21" t="inlineStr">
        <is>
          <t>34 MKT 593</t>
        </is>
      </c>
      <c r="E4133" s="21" t="inlineStr">
        <is>
          <t>POYRAZ MADENBAŞ</t>
        </is>
      </c>
      <c r="F4133" s="23" t="n"/>
      <c r="G4133" s="138" t="n"/>
      <c r="H4133" s="138" t="n">
        <v>262</v>
      </c>
      <c r="I4133" s="138">
        <f>+I4132+(G4133-H4133)</f>
        <v/>
      </c>
      <c r="J4133" s="139" t="n">
        <v>46.213</v>
      </c>
      <c r="K4133" s="140" t="n"/>
      <c r="L4133" s="140">
        <f>+H4133*J4133</f>
        <v/>
      </c>
      <c r="M4133" s="141">
        <f>SUM(M4132+K4133-L4133)</f>
        <v/>
      </c>
    </row>
    <row r="4134">
      <c r="A4134" s="20" t="n">
        <v>45880</v>
      </c>
      <c r="B4134" s="21" t="n">
        <v>2203</v>
      </c>
      <c r="C4134" s="22" t="inlineStr">
        <is>
          <t>AZGÜN YAPI</t>
        </is>
      </c>
      <c r="D4134" s="21" t="inlineStr">
        <is>
          <t>34 DTV 263</t>
        </is>
      </c>
      <c r="E4134" s="21" t="inlineStr">
        <is>
          <t>MUHAMMED BULUT</t>
        </is>
      </c>
      <c r="F4134" s="23" t="n"/>
      <c r="G4134" s="138" t="n"/>
      <c r="H4134" s="138" t="n">
        <v>239</v>
      </c>
      <c r="I4134" s="138">
        <f>+I4133+(G4134-H4134)</f>
        <v/>
      </c>
      <c r="J4134" s="139" t="n">
        <v>46.213</v>
      </c>
      <c r="K4134" s="140" t="n"/>
      <c r="L4134" s="140">
        <f>+H4134*J4134</f>
        <v/>
      </c>
      <c r="M4134" s="141">
        <f>SUM(M4133+K4134-L4134)</f>
        <v/>
      </c>
    </row>
    <row r="4135">
      <c r="A4135" s="20" t="n">
        <v>45880</v>
      </c>
      <c r="B4135" s="1" t="n">
        <v>2034</v>
      </c>
      <c r="C4135" s="2" t="inlineStr">
        <is>
          <t>EVKUR</t>
        </is>
      </c>
      <c r="D4135" s="1" t="inlineStr">
        <is>
          <t>SM 350</t>
        </is>
      </c>
      <c r="E4135" s="1" t="inlineStr">
        <is>
          <t>TEVFİK ÖZTÜRK</t>
        </is>
      </c>
      <c r="F4135" s="3" t="n"/>
      <c r="G4135" s="143" t="n"/>
      <c r="H4135" s="143" t="n">
        <v>440</v>
      </c>
      <c r="I4135" s="143">
        <f>+I4134+(G4135-H4135)</f>
        <v/>
      </c>
      <c r="J4135" s="144" t="n">
        <v>46.213</v>
      </c>
      <c r="K4135" s="145" t="n"/>
      <c r="L4135" s="140">
        <f>+H4135*J4135</f>
        <v/>
      </c>
      <c r="M4135" s="141">
        <f>SUM(M4134+K4135-L4135)</f>
        <v/>
      </c>
    </row>
    <row r="4136">
      <c r="A4136" s="20" t="n">
        <v>45880</v>
      </c>
      <c r="B4136" s="1" t="n">
        <v>2035</v>
      </c>
      <c r="C4136" s="2" t="inlineStr">
        <is>
          <t>MEGA VARLIK</t>
        </is>
      </c>
      <c r="D4136" s="1" t="inlineStr">
        <is>
          <t>SM 370</t>
        </is>
      </c>
      <c r="E4136" s="1" t="inlineStr">
        <is>
          <t>TEKİN ŞEYLAN</t>
        </is>
      </c>
      <c r="F4136" s="3" t="n"/>
      <c r="G4136" s="143" t="n"/>
      <c r="H4136" s="143" t="n">
        <v>560</v>
      </c>
      <c r="I4136" s="143">
        <f>+I4135+(G4136-H4136)</f>
        <v/>
      </c>
      <c r="J4136" s="144" t="n">
        <v>46.213</v>
      </c>
      <c r="K4136" s="145" t="n"/>
      <c r="L4136" s="140">
        <f>+H4136*J4136</f>
        <v/>
      </c>
      <c r="M4136" s="141">
        <f>SUM(M4135+K4136-L4136)</f>
        <v/>
      </c>
    </row>
    <row r="4137">
      <c r="A4137" s="20" t="n">
        <v>45880</v>
      </c>
      <c r="B4137" s="1" t="n">
        <v>2036</v>
      </c>
      <c r="C4137" s="2" t="inlineStr">
        <is>
          <t>MEGA VARLIK</t>
        </is>
      </c>
      <c r="D4137" s="1" t="inlineStr">
        <is>
          <t xml:space="preserve">SM 350 </t>
        </is>
      </c>
      <c r="E4137" s="1" t="inlineStr">
        <is>
          <t>AHMET AKGÜL</t>
        </is>
      </c>
      <c r="F4137" s="3" t="n"/>
      <c r="G4137" s="143" t="n"/>
      <c r="H4137" s="143" t="n">
        <v>425</v>
      </c>
      <c r="I4137" s="143">
        <f>+I4136+(G4137-H4137)</f>
        <v/>
      </c>
      <c r="J4137" s="144" t="n">
        <v>46.213</v>
      </c>
      <c r="K4137" s="145" t="n"/>
      <c r="L4137" s="140">
        <f>+H4137*J4137</f>
        <v/>
      </c>
      <c r="M4137" s="141">
        <f>SUM(M4136+K4137-L4137)</f>
        <v/>
      </c>
    </row>
    <row r="4138">
      <c r="A4138" s="20" t="n">
        <v>45880</v>
      </c>
      <c r="B4138" s="1" t="n">
        <v>170</v>
      </c>
      <c r="C4138" s="2" t="inlineStr">
        <is>
          <t>SELİM İNŞAAT</t>
        </is>
      </c>
      <c r="D4138" s="1" t="inlineStr">
        <is>
          <t>34 TG 7869</t>
        </is>
      </c>
      <c r="E4138" s="1" t="inlineStr">
        <is>
          <t>DURSUN ALİ GÜREK</t>
        </is>
      </c>
      <c r="F4138" s="3" t="n">
        <v>187123</v>
      </c>
      <c r="G4138" s="143" t="n"/>
      <c r="H4138" s="143" t="n">
        <v>294</v>
      </c>
      <c r="I4138" s="143">
        <f>+I4137+(G4138-H4138)</f>
        <v/>
      </c>
      <c r="J4138" s="144" t="n">
        <v>46.213</v>
      </c>
      <c r="K4138" s="145" t="n"/>
      <c r="L4138" s="140">
        <f>+H4138*J4138</f>
        <v/>
      </c>
      <c r="M4138" s="141">
        <f>SUM(M4137+K4138-L4138)</f>
        <v/>
      </c>
    </row>
    <row r="4139">
      <c r="A4139" s="20" t="n">
        <v>45880</v>
      </c>
      <c r="B4139" s="1" t="n">
        <v>1405</v>
      </c>
      <c r="C4139" s="2" t="inlineStr">
        <is>
          <t>SELİM İNŞAAT</t>
        </is>
      </c>
      <c r="D4139" s="1" t="inlineStr">
        <is>
          <t>34 DKL 798</t>
        </is>
      </c>
      <c r="E4139" s="1" t="inlineStr">
        <is>
          <t>METİN KALKAN</t>
        </is>
      </c>
      <c r="F4139" s="3" t="n">
        <v>70596</v>
      </c>
      <c r="G4139" s="143" t="n"/>
      <c r="H4139" s="143" t="n">
        <v>275</v>
      </c>
      <c r="I4139" s="143">
        <f>+I4138+(G4139-H4139)</f>
        <v/>
      </c>
      <c r="J4139" s="144" t="n">
        <v>46.213</v>
      </c>
      <c r="K4139" s="145" t="n"/>
      <c r="L4139" s="140">
        <f>+H4139*J4139</f>
        <v/>
      </c>
      <c r="M4139" s="141">
        <f>SUM(M4138+K4139-L4139)</f>
        <v/>
      </c>
    </row>
    <row r="4140">
      <c r="A4140" s="20" t="n">
        <v>45880</v>
      </c>
      <c r="B4140" s="1" t="n">
        <v>15185</v>
      </c>
      <c r="C4140" s="2" t="inlineStr">
        <is>
          <t>SELİM İNŞAAT</t>
        </is>
      </c>
      <c r="D4140" s="1" t="inlineStr">
        <is>
          <t xml:space="preserve">34 DP 4161 </t>
        </is>
      </c>
      <c r="E4140" s="1" t="inlineStr">
        <is>
          <t>RIFAT KARATAY</t>
        </is>
      </c>
      <c r="F4140" s="3" t="n">
        <v>294486</v>
      </c>
      <c r="G4140" s="143" t="n"/>
      <c r="H4140" s="143" t="n">
        <v>288</v>
      </c>
      <c r="I4140" s="143">
        <f>+I4139+(G4140-H4140)</f>
        <v/>
      </c>
      <c r="J4140" s="144" t="n">
        <v>46.213</v>
      </c>
      <c r="K4140" s="145" t="n"/>
      <c r="L4140" s="140">
        <f>+H4140*J4140</f>
        <v/>
      </c>
      <c r="M4140" s="141">
        <f>SUM(M4139+K4140-L4140)</f>
        <v/>
      </c>
    </row>
    <row r="4141">
      <c r="A4141" s="20" t="n">
        <v>45880</v>
      </c>
      <c r="B4141" s="1" t="n">
        <v>610</v>
      </c>
      <c r="C4141" s="2" t="inlineStr">
        <is>
          <t>SELİM İNŞAAT</t>
        </is>
      </c>
      <c r="D4141" s="1" t="inlineStr">
        <is>
          <t>34 AR 7743</t>
        </is>
      </c>
      <c r="E4141" s="1" t="inlineStr">
        <is>
          <t>MEHMET SELİM</t>
        </is>
      </c>
      <c r="F4141" s="3" t="n">
        <v>360085</v>
      </c>
      <c r="G4141" s="143" t="n"/>
      <c r="H4141" s="143" t="n">
        <v>56</v>
      </c>
      <c r="I4141" s="143">
        <f>+I4140+(G4141-H4141)</f>
        <v/>
      </c>
      <c r="J4141" s="144" t="n">
        <v>46.213</v>
      </c>
      <c r="K4141" s="145" t="n"/>
      <c r="L4141" s="140">
        <f>+H4141*J4141</f>
        <v/>
      </c>
      <c r="M4141" s="141">
        <f>SUM(M4140+K4141-L4141)</f>
        <v/>
      </c>
    </row>
    <row r="4142">
      <c r="A4142" s="20" t="n">
        <v>45880</v>
      </c>
      <c r="B4142" s="1" t="n">
        <v>1563</v>
      </c>
      <c r="C4142" s="2" t="inlineStr">
        <is>
          <t>SELİM İNŞAAT</t>
        </is>
      </c>
      <c r="D4142" s="1" t="inlineStr">
        <is>
          <t>34 GUS 938</t>
        </is>
      </c>
      <c r="E4142" s="1" t="inlineStr">
        <is>
          <t>MEHMET KAYA</t>
        </is>
      </c>
      <c r="F4142" s="3" t="n">
        <v>202292</v>
      </c>
      <c r="G4142" s="143" t="n"/>
      <c r="H4142" s="143" t="n">
        <v>547</v>
      </c>
      <c r="I4142" s="143">
        <f>+I4141+(G4142-H4142)</f>
        <v/>
      </c>
      <c r="J4142" s="144" t="n">
        <v>46.213</v>
      </c>
      <c r="K4142" s="145" t="n"/>
      <c r="L4142" s="140">
        <f>+H4142*J4142</f>
        <v/>
      </c>
      <c r="M4142" s="141">
        <f>SUM(M4141+K4142-L4142)</f>
        <v/>
      </c>
    </row>
    <row r="4143">
      <c r="A4143" s="20" t="n">
        <v>45880</v>
      </c>
      <c r="B4143" s="1" t="n">
        <v>15335</v>
      </c>
      <c r="C4143" s="2" t="inlineStr">
        <is>
          <t>SELİM İNŞAAT</t>
        </is>
      </c>
      <c r="D4143" s="1" t="inlineStr">
        <is>
          <t>34 EDC 162</t>
        </is>
      </c>
      <c r="E4143" s="1" t="inlineStr">
        <is>
          <t>YAKUP GÜNER</t>
        </is>
      </c>
      <c r="F4143" s="3" t="n">
        <v>383267</v>
      </c>
      <c r="G4143" s="143" t="n"/>
      <c r="H4143" s="143" t="n">
        <v>375</v>
      </c>
      <c r="I4143" s="143">
        <f>+I4142+(G4143-H4143)</f>
        <v/>
      </c>
      <c r="J4143" s="144" t="n">
        <v>46.213</v>
      </c>
      <c r="K4143" s="145" t="n"/>
      <c r="L4143" s="140">
        <f>+H4143*J4143</f>
        <v/>
      </c>
      <c r="M4143" s="141">
        <f>SUM(M4142+K4143-L4143)</f>
        <v/>
      </c>
    </row>
    <row r="4144">
      <c r="A4144" s="20" t="n">
        <v>45880</v>
      </c>
      <c r="B4144" s="1" t="n">
        <v>14845</v>
      </c>
      <c r="C4144" s="2" t="inlineStr">
        <is>
          <t>SELİM İNŞAAT</t>
        </is>
      </c>
      <c r="D4144" s="1" t="inlineStr">
        <is>
          <t>34 GVZ 268</t>
        </is>
      </c>
      <c r="E4144" s="1" t="inlineStr">
        <is>
          <t>KERİM KARAMAN</t>
        </is>
      </c>
      <c r="F4144" s="3" t="n">
        <v>207401</v>
      </c>
      <c r="G4144" s="143" t="n"/>
      <c r="H4144" s="143" t="n">
        <v>428</v>
      </c>
      <c r="I4144" s="143">
        <f>+I4143+(G4144-H4144)</f>
        <v/>
      </c>
      <c r="J4144" s="144" t="n">
        <v>46.213</v>
      </c>
      <c r="K4144" s="145" t="n"/>
      <c r="L4144" s="140">
        <f>+H4144*J4144</f>
        <v/>
      </c>
      <c r="M4144" s="141">
        <f>SUM(M4143+K4144-L4144)</f>
        <v/>
      </c>
    </row>
    <row r="4145">
      <c r="A4145" s="20" t="n">
        <v>45880</v>
      </c>
      <c r="B4145" s="1" t="n">
        <v>1012</v>
      </c>
      <c r="C4145" s="2" t="inlineStr">
        <is>
          <t>SELİM İNŞAAT</t>
        </is>
      </c>
      <c r="D4145" s="1" t="inlineStr">
        <is>
          <t>34 DHH 668</t>
        </is>
      </c>
      <c r="E4145" s="1" t="inlineStr">
        <is>
          <t xml:space="preserve">ADNAN KOÇ </t>
        </is>
      </c>
      <c r="F4145" s="3" t="n">
        <v>396358</v>
      </c>
      <c r="G4145" s="143" t="n"/>
      <c r="H4145" s="143" t="n">
        <v>328</v>
      </c>
      <c r="I4145" s="143">
        <f>+I4144+(G4145-H4145)</f>
        <v/>
      </c>
      <c r="J4145" s="144" t="n">
        <v>46.213</v>
      </c>
      <c r="K4145" s="145" t="n"/>
      <c r="L4145" s="140">
        <f>+H4145*J4145</f>
        <v/>
      </c>
      <c r="M4145" s="141">
        <f>SUM(M4144+K4145-L4145)</f>
        <v/>
      </c>
    </row>
    <row r="4146">
      <c r="A4146" s="20" t="n">
        <v>45880</v>
      </c>
      <c r="B4146" s="1" t="n">
        <v>15590</v>
      </c>
      <c r="C4146" s="2" t="inlineStr">
        <is>
          <t>SELİM İNŞAAT</t>
        </is>
      </c>
      <c r="D4146" s="1" t="inlineStr">
        <is>
          <t>34 GVZ 745</t>
        </is>
      </c>
      <c r="E4146" s="1" t="inlineStr">
        <is>
          <t>MURAT DEMİŞBAŞ</t>
        </is>
      </c>
      <c r="F4146" s="3" t="n">
        <v>200788</v>
      </c>
      <c r="G4146" s="143" t="n"/>
      <c r="H4146" s="143" t="n">
        <v>440</v>
      </c>
      <c r="I4146" s="143">
        <f>+I4145+(G4146-H4146)</f>
        <v/>
      </c>
      <c r="J4146" s="144" t="n">
        <v>46.213</v>
      </c>
      <c r="K4146" s="145" t="n"/>
      <c r="L4146" s="140">
        <f>+H4146*J4146</f>
        <v/>
      </c>
      <c r="M4146" s="141">
        <f>SUM(M4145+K4146-L4146)</f>
        <v/>
      </c>
    </row>
    <row r="4147">
      <c r="A4147" s="20" t="n">
        <v>45880</v>
      </c>
      <c r="B4147" s="1" t="n">
        <v>26</v>
      </c>
      <c r="C4147" s="2" t="inlineStr">
        <is>
          <t>SELİM İNŞAAT</t>
        </is>
      </c>
      <c r="D4147" s="1" t="inlineStr">
        <is>
          <t>34 FBR 748</t>
        </is>
      </c>
      <c r="E4147" s="1" t="inlineStr">
        <is>
          <t>YAŞAR ÖZKAYA</t>
        </is>
      </c>
      <c r="F4147" s="3" t="n">
        <v>295523</v>
      </c>
      <c r="G4147" s="143" t="n"/>
      <c r="H4147" s="143" t="n">
        <v>548</v>
      </c>
      <c r="I4147" s="143">
        <f>+I4146+(G4147-H4147)</f>
        <v/>
      </c>
      <c r="J4147" s="144" t="n">
        <v>46.213</v>
      </c>
      <c r="K4147" s="145" t="n"/>
      <c r="L4147" s="140">
        <f>+H4147*J4147</f>
        <v/>
      </c>
      <c r="M4147" s="141">
        <f>SUM(M4146+K4147-L4147)</f>
        <v/>
      </c>
    </row>
    <row r="4148">
      <c r="A4148" s="20" t="n">
        <v>45880</v>
      </c>
      <c r="B4148" s="1" t="n">
        <v>15044</v>
      </c>
      <c r="C4148" s="2" t="inlineStr">
        <is>
          <t>SELİM İNŞAAT</t>
        </is>
      </c>
      <c r="D4148" s="1" t="inlineStr">
        <is>
          <t>34 GVZ 199</t>
        </is>
      </c>
      <c r="E4148" s="1" t="inlineStr">
        <is>
          <t>MESUT GÜRLER</t>
        </is>
      </c>
      <c r="F4148" s="3" t="n">
        <v>195149</v>
      </c>
      <c r="G4148" s="143" t="n"/>
      <c r="H4148" s="143" t="n">
        <v>504</v>
      </c>
      <c r="I4148" s="143">
        <f>+I4147+(G4148-H4148)</f>
        <v/>
      </c>
      <c r="J4148" s="144" t="n">
        <v>46.213</v>
      </c>
      <c r="K4148" s="145" t="n"/>
      <c r="L4148" s="140">
        <f>+H4148*J4148</f>
        <v/>
      </c>
      <c r="M4148" s="141">
        <f>SUM(M4147+K4148-L4148)</f>
        <v/>
      </c>
    </row>
    <row r="4149">
      <c r="A4149" s="20" t="n">
        <v>45880</v>
      </c>
      <c r="B4149" s="1" t="n">
        <v>1458</v>
      </c>
      <c r="C4149" s="2" t="inlineStr">
        <is>
          <t>SELİM İNŞAAT</t>
        </is>
      </c>
      <c r="D4149" s="1" t="inlineStr">
        <is>
          <t>34 EGR 737</t>
        </is>
      </c>
      <c r="E4149" s="1" t="inlineStr">
        <is>
          <t>CEM MUHTAR</t>
        </is>
      </c>
      <c r="F4149" s="3" t="n">
        <v>429614</v>
      </c>
      <c r="G4149" s="143" t="n"/>
      <c r="H4149" s="143" t="n">
        <v>455</v>
      </c>
      <c r="I4149" s="143">
        <f>+I4148+(G4149-H4149)</f>
        <v/>
      </c>
      <c r="J4149" s="144" t="n">
        <v>46.213</v>
      </c>
      <c r="K4149" s="145" t="n"/>
      <c r="L4149" s="140">
        <f>+H4149*J4149</f>
        <v/>
      </c>
      <c r="M4149" s="141">
        <f>SUM(M4148+K4149-L4149)</f>
        <v/>
      </c>
    </row>
    <row r="4150">
      <c r="A4150" s="20" t="n">
        <v>45880</v>
      </c>
      <c r="B4150" s="1" t="n">
        <v>1806</v>
      </c>
      <c r="C4150" s="2" t="inlineStr">
        <is>
          <t>SELİM İNŞAAT</t>
        </is>
      </c>
      <c r="D4150" s="1" t="inlineStr">
        <is>
          <t>34 EGR 922</t>
        </is>
      </c>
      <c r="E4150" s="1" t="inlineStr">
        <is>
          <t xml:space="preserve">FARUK ÖZEN </t>
        </is>
      </c>
      <c r="F4150" s="3" t="n">
        <v>468102</v>
      </c>
      <c r="G4150" s="143" t="n"/>
      <c r="H4150" s="143" t="n">
        <v>528</v>
      </c>
      <c r="I4150" s="143">
        <f>+I4149+(G4150-H4150)</f>
        <v/>
      </c>
      <c r="J4150" s="144" t="n">
        <v>46.213</v>
      </c>
      <c r="K4150" s="145" t="n"/>
      <c r="L4150" s="140">
        <f>+H4150*J4150</f>
        <v/>
      </c>
      <c r="M4150" s="141">
        <f>SUM(M4149+K4150-L4150)</f>
        <v/>
      </c>
    </row>
    <row r="4151">
      <c r="A4151" s="20" t="n">
        <v>45881</v>
      </c>
      <c r="B4151" s="21" t="n">
        <v>11346</v>
      </c>
      <c r="C4151" s="22" t="inlineStr">
        <is>
          <t>AZGÜN YAPI</t>
        </is>
      </c>
      <c r="D4151" s="21" t="inlineStr">
        <is>
          <t>34 MKT 859</t>
        </is>
      </c>
      <c r="E4151" s="21" t="inlineStr">
        <is>
          <t>ONUR CANLI</t>
        </is>
      </c>
      <c r="F4151" s="23" t="n"/>
      <c r="G4151" s="138" t="n"/>
      <c r="H4151" s="138" t="n">
        <v>418</v>
      </c>
      <c r="I4151" s="138">
        <f>+I4150+(G4151-H4151)</f>
        <v/>
      </c>
      <c r="J4151" s="139" t="n">
        <v>46.213</v>
      </c>
      <c r="K4151" s="140" t="n"/>
      <c r="L4151" s="140">
        <f>+H4151*J4151</f>
        <v/>
      </c>
      <c r="M4151" s="141">
        <f>SUM(M4150+K4151-L4151)</f>
        <v/>
      </c>
    </row>
    <row r="4152">
      <c r="A4152" s="20" t="n">
        <v>45881</v>
      </c>
      <c r="B4152" s="21" t="n">
        <v>2204</v>
      </c>
      <c r="C4152" s="22" t="inlineStr">
        <is>
          <t>AZGÜN YAPI</t>
        </is>
      </c>
      <c r="D4152" s="21" t="inlineStr">
        <is>
          <t>34 DTV 263</t>
        </is>
      </c>
      <c r="E4152" s="21" t="inlineStr">
        <is>
          <t>MUHAMMED BULUT</t>
        </is>
      </c>
      <c r="F4152" s="23" t="n"/>
      <c r="G4152" s="138" t="n"/>
      <c r="H4152" s="138" t="n">
        <v>295</v>
      </c>
      <c r="I4152" s="138">
        <f>+I4151+(G4152-H4152)</f>
        <v/>
      </c>
      <c r="J4152" s="139" t="n">
        <v>46.213</v>
      </c>
      <c r="K4152" s="140" t="n"/>
      <c r="L4152" s="140">
        <f>+H4152*J4152</f>
        <v/>
      </c>
      <c r="M4152" s="141">
        <f>SUM(M4151+K4152-L4152)</f>
        <v/>
      </c>
    </row>
    <row r="4153">
      <c r="A4153" s="20" t="n">
        <v>45881</v>
      </c>
      <c r="B4153" s="21" t="n">
        <v>719</v>
      </c>
      <c r="C4153" s="22" t="inlineStr">
        <is>
          <t>METİN ERYİĞİT</t>
        </is>
      </c>
      <c r="D4153" s="21" t="inlineStr">
        <is>
          <t>34 GBL 998</t>
        </is>
      </c>
      <c r="E4153" s="21" t="inlineStr">
        <is>
          <t>M.ALİ KESKİN</t>
        </is>
      </c>
      <c r="F4153" s="23" t="n">
        <v>286204</v>
      </c>
      <c r="G4153" s="138" t="n"/>
      <c r="H4153" s="138" t="n">
        <v>465</v>
      </c>
      <c r="I4153" s="138">
        <f>+I4152+(G4153-H4153)</f>
        <v/>
      </c>
      <c r="J4153" s="139" t="n">
        <v>46.213</v>
      </c>
      <c r="K4153" s="140" t="n"/>
      <c r="L4153" s="140">
        <f>+H4153*J4153</f>
        <v/>
      </c>
      <c r="M4153" s="141">
        <f>SUM(M4152+K4153-L4153)</f>
        <v/>
      </c>
    </row>
    <row r="4154">
      <c r="A4154" s="20" t="n">
        <v>45881</v>
      </c>
      <c r="B4154" s="21" t="n">
        <v>15691</v>
      </c>
      <c r="C4154" s="22" t="inlineStr">
        <is>
          <t>METİN ERYİĞİT</t>
        </is>
      </c>
      <c r="D4154" s="21" t="inlineStr">
        <is>
          <t>34 EGR 814</t>
        </is>
      </c>
      <c r="E4154" s="21" t="inlineStr">
        <is>
          <t>MUHAMMET YİĞİT</t>
        </is>
      </c>
      <c r="F4154" s="23" t="n">
        <v>559382</v>
      </c>
      <c r="G4154" s="138" t="n"/>
      <c r="H4154" s="138" t="n">
        <v>334</v>
      </c>
      <c r="I4154" s="138">
        <f>+I4153+(G4154-H4154)</f>
        <v/>
      </c>
      <c r="J4154" s="139" t="n">
        <v>46.213</v>
      </c>
      <c r="K4154" s="140" t="n"/>
      <c r="L4154" s="140">
        <f>+H4154*J4154</f>
        <v/>
      </c>
      <c r="M4154" s="141">
        <f>SUM(M4153+K4154-L4154)</f>
        <v/>
      </c>
    </row>
    <row r="4155">
      <c r="A4155" s="20" t="n">
        <v>45881</v>
      </c>
      <c r="B4155" s="21" t="n">
        <v>15635</v>
      </c>
      <c r="C4155" s="22" t="inlineStr">
        <is>
          <t>METİN ERYİĞİT</t>
        </is>
      </c>
      <c r="D4155" s="21" t="inlineStr">
        <is>
          <t>34 EGS 013</t>
        </is>
      </c>
      <c r="E4155" s="21" t="inlineStr">
        <is>
          <t>UĞUR DUMAN</t>
        </is>
      </c>
      <c r="F4155" s="23" t="n">
        <v>505569</v>
      </c>
      <c r="G4155" s="138" t="n"/>
      <c r="H4155" s="138" t="n">
        <v>470</v>
      </c>
      <c r="I4155" s="138">
        <f>+I4154+(G4155-H4155)</f>
        <v/>
      </c>
      <c r="J4155" s="139" t="n">
        <v>46.213</v>
      </c>
      <c r="K4155" s="140" t="n"/>
      <c r="L4155" s="140">
        <f>+H4155*J4155</f>
        <v/>
      </c>
      <c r="M4155" s="141">
        <f>SUM(M4154+K4155-L4155)</f>
        <v/>
      </c>
    </row>
    <row r="4156">
      <c r="A4156" s="20" t="n">
        <v>45881</v>
      </c>
      <c r="B4156" s="1" t="n">
        <v>2037</v>
      </c>
      <c r="C4156" s="2" t="inlineStr">
        <is>
          <t>EVKUR</t>
        </is>
      </c>
      <c r="D4156" s="1" t="inlineStr">
        <is>
          <t>SM 350</t>
        </is>
      </c>
      <c r="E4156" s="1" t="inlineStr">
        <is>
          <t>TEVFİK ÖZTÜRK</t>
        </is>
      </c>
      <c r="F4156" s="3" t="n"/>
      <c r="G4156" s="143" t="n"/>
      <c r="H4156" s="143" t="n">
        <v>511</v>
      </c>
      <c r="I4156" s="143">
        <f>+I4155+(G4156-H4156)</f>
        <v/>
      </c>
      <c r="J4156" s="144" t="n">
        <v>46.213</v>
      </c>
      <c r="K4156" s="145" t="n"/>
      <c r="L4156" s="140">
        <f>+H4156*J4156</f>
        <v/>
      </c>
      <c r="M4156" s="141">
        <f>SUM(M4155+K4156-L4156)</f>
        <v/>
      </c>
    </row>
    <row r="4157">
      <c r="A4157" s="20" t="n">
        <v>45881</v>
      </c>
      <c r="B4157" s="1" t="n">
        <v>2038</v>
      </c>
      <c r="C4157" s="2" t="inlineStr">
        <is>
          <t>EVKUR</t>
        </is>
      </c>
      <c r="D4157" s="1" t="inlineStr">
        <is>
          <t>KAVAZAKİ</t>
        </is>
      </c>
      <c r="E4157" s="1" t="inlineStr">
        <is>
          <t>RAMAZAN KAYA</t>
        </is>
      </c>
      <c r="F4157" s="3" t="n"/>
      <c r="G4157" s="143" t="n"/>
      <c r="H4157" s="143" t="n">
        <v>326</v>
      </c>
      <c r="I4157" s="143">
        <f>+I4156+(G4157-H4157)</f>
        <v/>
      </c>
      <c r="J4157" s="144" t="n">
        <v>46.213</v>
      </c>
      <c r="K4157" s="145" t="n"/>
      <c r="L4157" s="140">
        <f>+H4157*J4157</f>
        <v/>
      </c>
      <c r="M4157" s="141">
        <f>SUM(M4156+K4157-L4157)</f>
        <v/>
      </c>
    </row>
    <row r="4158">
      <c r="A4158" s="20" t="n">
        <v>45881</v>
      </c>
      <c r="B4158" s="1" t="n">
        <v>2039</v>
      </c>
      <c r="C4158" s="2" t="inlineStr">
        <is>
          <t>HASALTUN</t>
        </is>
      </c>
      <c r="D4158" s="1" t="inlineStr">
        <is>
          <t>RT 650 SARI VİNÇ</t>
        </is>
      </c>
      <c r="E4158" s="1" t="inlineStr">
        <is>
          <t>ALİHAN DUMAN</t>
        </is>
      </c>
      <c r="F4158" s="3" t="n"/>
      <c r="G4158" s="143" t="n"/>
      <c r="H4158" s="143" t="n">
        <v>265</v>
      </c>
      <c r="I4158" s="143">
        <f>+I4157+(G4158-H4158)</f>
        <v/>
      </c>
      <c r="J4158" s="144" t="n">
        <v>46.213</v>
      </c>
      <c r="K4158" s="145" t="n"/>
      <c r="L4158" s="140">
        <f>+H4158*J4158</f>
        <v/>
      </c>
      <c r="M4158" s="141">
        <f>SUM(M4157+K4158-L4158)</f>
        <v/>
      </c>
    </row>
    <row r="4159">
      <c r="A4159" s="20" t="n">
        <v>45881</v>
      </c>
      <c r="B4159" s="21" t="n">
        <v>2040</v>
      </c>
      <c r="C4159" s="22" t="inlineStr">
        <is>
          <t>EVKUR</t>
        </is>
      </c>
      <c r="D4159" s="21" t="inlineStr">
        <is>
          <t>FOKLİFT</t>
        </is>
      </c>
      <c r="E4159" s="21" t="inlineStr">
        <is>
          <t>FAHRİ KALFA</t>
        </is>
      </c>
      <c r="F4159" s="23" t="n"/>
      <c r="G4159" s="138" t="n"/>
      <c r="H4159" s="138" t="n">
        <v>81</v>
      </c>
      <c r="I4159" s="138">
        <f>+I4158+(G4159-H4159)</f>
        <v/>
      </c>
      <c r="J4159" s="139" t="n">
        <v>46.213</v>
      </c>
      <c r="K4159" s="140" t="n"/>
      <c r="L4159" s="140">
        <f>+H4159*J4159</f>
        <v/>
      </c>
      <c r="M4159" s="141">
        <f>SUM(M4158+K4159-L4159)</f>
        <v/>
      </c>
    </row>
    <row r="4160">
      <c r="A4160" s="20" t="n">
        <v>45881</v>
      </c>
      <c r="B4160" s="1" t="n">
        <v>2041</v>
      </c>
      <c r="C4160" s="2" t="inlineStr">
        <is>
          <t>MEGA VARLIK</t>
        </is>
      </c>
      <c r="D4160" s="1" t="inlineStr">
        <is>
          <t>SM 370</t>
        </is>
      </c>
      <c r="E4160" s="1" t="inlineStr">
        <is>
          <t>TEKİN ŞEYLAN</t>
        </is>
      </c>
      <c r="F4160" s="3" t="n"/>
      <c r="G4160" s="143" t="n"/>
      <c r="H4160" s="143" t="n">
        <v>541</v>
      </c>
      <c r="I4160" s="143">
        <f>+I4159+(G4160-H4160)</f>
        <v/>
      </c>
      <c r="J4160" s="144" t="n">
        <v>46.213</v>
      </c>
      <c r="K4160" s="145" t="n"/>
      <c r="L4160" s="140">
        <f>+H4160*J4160</f>
        <v/>
      </c>
      <c r="M4160" s="141">
        <f>SUM(M4159+K4160-L4160)</f>
        <v/>
      </c>
    </row>
    <row r="4161">
      <c r="A4161" s="20" t="n">
        <v>45881</v>
      </c>
      <c r="B4161" s="1" t="n">
        <v>2042</v>
      </c>
      <c r="C4161" s="2" t="inlineStr">
        <is>
          <t>MEGA VARLIK</t>
        </is>
      </c>
      <c r="D4161" s="1" t="inlineStr">
        <is>
          <t>SM 300</t>
        </is>
      </c>
      <c r="E4161" s="1" t="inlineStr">
        <is>
          <t>TURGUT SANCAK</t>
        </is>
      </c>
      <c r="F4161" s="3" t="n"/>
      <c r="G4161" s="143" t="n"/>
      <c r="H4161" s="143" t="n">
        <v>517</v>
      </c>
      <c r="I4161" s="143">
        <f>+I4160+(G4161-H4161)</f>
        <v/>
      </c>
      <c r="J4161" s="144" t="n">
        <v>46.213</v>
      </c>
      <c r="K4161" s="145" t="n"/>
      <c r="L4161" s="140">
        <f>+H4161*J4161</f>
        <v/>
      </c>
      <c r="M4161" s="141">
        <f>SUM(M4160+K4161-L4161)</f>
        <v/>
      </c>
    </row>
    <row r="4162">
      <c r="A4162" s="20" t="n">
        <v>45881</v>
      </c>
      <c r="B4162" s="1" t="n">
        <v>2043</v>
      </c>
      <c r="C4162" s="2" t="inlineStr">
        <is>
          <t>MEGA VARLIK</t>
        </is>
      </c>
      <c r="D4162" s="1" t="inlineStr">
        <is>
          <t>SM 350</t>
        </is>
      </c>
      <c r="E4162" s="1" t="inlineStr">
        <is>
          <t>AHMET AKGÜL</t>
        </is>
      </c>
      <c r="F4162" s="3" t="n"/>
      <c r="G4162" s="143" t="n"/>
      <c r="H4162" s="143" t="n">
        <v>416</v>
      </c>
      <c r="I4162" s="143">
        <f>+I4161+(G4162-H4162)</f>
        <v/>
      </c>
      <c r="J4162" s="144" t="n">
        <v>46.213</v>
      </c>
      <c r="K4162" s="145" t="n"/>
      <c r="L4162" s="140">
        <f>+H4162*J4162</f>
        <v/>
      </c>
      <c r="M4162" s="141">
        <f>SUM(M4161+K4162-L4162)</f>
        <v/>
      </c>
    </row>
    <row r="4163">
      <c r="A4163" s="20" t="n">
        <v>45881</v>
      </c>
      <c r="B4163" s="1" t="n">
        <v>2553</v>
      </c>
      <c r="C4163" s="2" t="inlineStr">
        <is>
          <t>SELİM İNŞAAT</t>
        </is>
      </c>
      <c r="D4163" s="1" t="inlineStr">
        <is>
          <t>34 GER 028</t>
        </is>
      </c>
      <c r="E4163" s="1" t="inlineStr">
        <is>
          <t>A.KERİM ERGEN</t>
        </is>
      </c>
      <c r="F4163" s="3" t="n">
        <v>49880</v>
      </c>
      <c r="G4163" s="143" t="n"/>
      <c r="H4163" s="143" t="n">
        <v>318</v>
      </c>
      <c r="I4163" s="143">
        <f>+I4162+(G4163-H4163)</f>
        <v/>
      </c>
      <c r="J4163" s="144" t="n">
        <v>46.213</v>
      </c>
      <c r="K4163" s="145" t="n"/>
      <c r="L4163" s="140">
        <f>+H4163*J4163</f>
        <v/>
      </c>
      <c r="M4163" s="141">
        <f>SUM(M4162+K4163-L4163)</f>
        <v/>
      </c>
    </row>
    <row r="4164">
      <c r="A4164" s="20" t="n">
        <v>45881</v>
      </c>
      <c r="B4164" s="1" t="n">
        <v>15941</v>
      </c>
      <c r="C4164" s="2" t="inlineStr">
        <is>
          <t>SELİM İNŞAAT</t>
        </is>
      </c>
      <c r="D4164" s="1" t="inlineStr">
        <is>
          <t>34 DFE 454</t>
        </is>
      </c>
      <c r="E4164" s="1" t="inlineStr">
        <is>
          <t>GÖRKEM KARAYEL</t>
        </is>
      </c>
      <c r="F4164" s="3" t="n">
        <v>164609</v>
      </c>
      <c r="G4164" s="143" t="n"/>
      <c r="H4164" s="143" t="n">
        <v>281</v>
      </c>
      <c r="I4164" s="143">
        <f>+I4163+(G4164-H4164)</f>
        <v/>
      </c>
      <c r="J4164" s="144" t="n">
        <v>46.213</v>
      </c>
      <c r="K4164" s="145" t="n"/>
      <c r="L4164" s="140">
        <f>+H4164*J4164</f>
        <v/>
      </c>
      <c r="M4164" s="141">
        <f>SUM(M4163+K4164-L4164)</f>
        <v/>
      </c>
    </row>
    <row r="4165">
      <c r="A4165" s="20" t="n">
        <v>45881</v>
      </c>
      <c r="B4165" s="1" t="n">
        <v>470</v>
      </c>
      <c r="C4165" s="2" t="inlineStr">
        <is>
          <t>SELİM İNŞAAT</t>
        </is>
      </c>
      <c r="D4165" s="1" t="inlineStr">
        <is>
          <t>34 DKL 866</t>
        </is>
      </c>
      <c r="E4165" s="1" t="inlineStr">
        <is>
          <t>SELİM CAN ÖNVER</t>
        </is>
      </c>
      <c r="F4165" s="3" t="n">
        <v>71481</v>
      </c>
      <c r="G4165" s="143" t="n"/>
      <c r="H4165" s="143" t="n">
        <v>265</v>
      </c>
      <c r="I4165" s="143">
        <f>+I4164+(G4165-H4165)</f>
        <v/>
      </c>
      <c r="J4165" s="144" t="n">
        <v>46.213</v>
      </c>
      <c r="K4165" s="145" t="n"/>
      <c r="L4165" s="140">
        <f>+H4165*J4165</f>
        <v/>
      </c>
      <c r="M4165" s="141">
        <f>SUM(M4164+K4165-L4165)</f>
        <v/>
      </c>
    </row>
    <row r="4166">
      <c r="A4166" s="20" t="n">
        <v>45881</v>
      </c>
      <c r="B4166" s="1" t="n">
        <v>2602</v>
      </c>
      <c r="C4166" s="2" t="inlineStr">
        <is>
          <t>SELİM İNŞAAT</t>
        </is>
      </c>
      <c r="D4166" s="1" t="inlineStr">
        <is>
          <t>34 GU 945</t>
        </is>
      </c>
      <c r="E4166" s="1" t="inlineStr">
        <is>
          <t>YAKUP URUCU</t>
        </is>
      </c>
      <c r="F4166" s="3" t="n">
        <v>454600</v>
      </c>
      <c r="G4166" s="143" t="n"/>
      <c r="H4166" s="143" t="n">
        <v>57</v>
      </c>
      <c r="I4166" s="143">
        <f>+I4165+(G4166-H4166)</f>
        <v/>
      </c>
      <c r="J4166" s="144" t="n">
        <v>46.213</v>
      </c>
      <c r="K4166" s="145" t="n"/>
      <c r="L4166" s="140">
        <f>+H4166*J4166</f>
        <v/>
      </c>
      <c r="M4166" s="141">
        <f>SUM(M4165+K4166-L4166)</f>
        <v/>
      </c>
    </row>
    <row r="4167">
      <c r="A4167" s="20" t="n">
        <v>45881</v>
      </c>
      <c r="B4167" s="1" t="n">
        <v>663</v>
      </c>
      <c r="C4167" s="2" t="inlineStr">
        <is>
          <t>SELİM İNŞAAT</t>
        </is>
      </c>
      <c r="D4167" s="1" t="inlineStr">
        <is>
          <t>34 DTV 352</t>
        </is>
      </c>
      <c r="E4167" s="1" t="inlineStr">
        <is>
          <t>AHMET DENİZ</t>
        </is>
      </c>
      <c r="F4167" s="3" t="n">
        <v>442583</v>
      </c>
      <c r="G4167" s="143" t="n"/>
      <c r="H4167" s="143" t="n">
        <v>396</v>
      </c>
      <c r="I4167" s="143">
        <f>+I4166+(G4167-H4167)</f>
        <v/>
      </c>
      <c r="J4167" s="144" t="n">
        <v>46.213</v>
      </c>
      <c r="K4167" s="145" t="n"/>
      <c r="L4167" s="140">
        <f>+H4167*J4167</f>
        <v/>
      </c>
      <c r="M4167" s="141">
        <f>SUM(M4166+K4167-L4167)</f>
        <v/>
      </c>
    </row>
    <row r="4168">
      <c r="A4168" s="20" t="n">
        <v>45881</v>
      </c>
      <c r="B4168" s="1" t="n">
        <v>1508</v>
      </c>
      <c r="C4168" s="2" t="inlineStr">
        <is>
          <t>SELİM İNŞAAT</t>
        </is>
      </c>
      <c r="D4168" s="1" t="inlineStr">
        <is>
          <t>34 GUS 848</t>
        </is>
      </c>
      <c r="E4168" s="1" t="inlineStr">
        <is>
          <t>SERDAR BOZKURT</t>
        </is>
      </c>
      <c r="F4168" s="3" t="n">
        <v>202898</v>
      </c>
      <c r="G4168" s="143" t="n"/>
      <c r="H4168" s="143" t="n">
        <v>394</v>
      </c>
      <c r="I4168" s="143">
        <f>+I4167+(G4168-H4168)</f>
        <v/>
      </c>
      <c r="J4168" s="144" t="n">
        <v>46.213</v>
      </c>
      <c r="K4168" s="145" t="n"/>
      <c r="L4168" s="140">
        <f>+H4168*J4168</f>
        <v/>
      </c>
      <c r="M4168" s="141">
        <f>SUM(M4167+K4168-L4168)</f>
        <v/>
      </c>
    </row>
    <row r="4169">
      <c r="A4169" s="20" t="n">
        <v>45881</v>
      </c>
      <c r="B4169" s="1" t="n">
        <v>415</v>
      </c>
      <c r="C4169" s="2" t="inlineStr">
        <is>
          <t>SELİM İNŞAAT</t>
        </is>
      </c>
      <c r="D4169" s="1" t="inlineStr">
        <is>
          <t>34 DRU 690</t>
        </is>
      </c>
      <c r="E4169" s="1" t="inlineStr">
        <is>
          <t>HÜSEYİN AKÇİN</t>
        </is>
      </c>
      <c r="F4169" s="3" t="n">
        <v>428192</v>
      </c>
      <c r="G4169" s="143" t="n"/>
      <c r="H4169" s="143" t="n">
        <v>359</v>
      </c>
      <c r="I4169" s="143">
        <f>+I4168+(G4169-H4169)</f>
        <v/>
      </c>
      <c r="J4169" s="144" t="n">
        <v>46.213</v>
      </c>
      <c r="K4169" s="145" t="n"/>
      <c r="L4169" s="140">
        <f>+H4169*J4169</f>
        <v/>
      </c>
      <c r="M4169" s="141">
        <f>SUM(M4168+K4169-L4169)</f>
        <v/>
      </c>
    </row>
    <row r="4170">
      <c r="A4170" s="20" t="n">
        <v>45881</v>
      </c>
      <c r="B4170" s="1" t="n">
        <v>15076</v>
      </c>
      <c r="C4170" s="2" t="inlineStr">
        <is>
          <t>SELİM İNŞAAT</t>
        </is>
      </c>
      <c r="D4170" s="1" t="inlineStr">
        <is>
          <t>34 EGR 736</t>
        </is>
      </c>
      <c r="E4170" s="1" t="inlineStr">
        <is>
          <t>HAKAN ÇAVUŞOĞLU</t>
        </is>
      </c>
      <c r="F4170" s="3" t="n">
        <v>404817</v>
      </c>
      <c r="G4170" s="143" t="n"/>
      <c r="H4170" s="143" t="n">
        <v>452</v>
      </c>
      <c r="I4170" s="143">
        <f>+I4169+(G4170-H4170)</f>
        <v/>
      </c>
      <c r="J4170" s="144" t="n">
        <v>46.213</v>
      </c>
      <c r="K4170" s="145" t="n"/>
      <c r="L4170" s="140">
        <f>+H4170*J4170</f>
        <v/>
      </c>
      <c r="M4170" s="141">
        <f>SUM(M4169+K4170-L4170)</f>
        <v/>
      </c>
    </row>
    <row r="4171">
      <c r="A4171" s="20" t="n">
        <v>45881</v>
      </c>
      <c r="B4171" s="1" t="n">
        <v>861</v>
      </c>
      <c r="C4171" s="2" t="inlineStr">
        <is>
          <t>SELİM İNŞAAT</t>
        </is>
      </c>
      <c r="D4171" s="1" t="inlineStr">
        <is>
          <t>34 FSG 229</t>
        </is>
      </c>
      <c r="E4171" s="1" t="inlineStr">
        <is>
          <t>SİNAN TANRIVERDİ</t>
        </is>
      </c>
      <c r="F4171" s="3" t="n">
        <v>270680</v>
      </c>
      <c r="G4171" s="143" t="n"/>
      <c r="H4171" s="143" t="n">
        <v>505</v>
      </c>
      <c r="I4171" s="143">
        <f>+I4170+(G4171-H4171)</f>
        <v/>
      </c>
      <c r="J4171" s="144" t="n">
        <v>46.213</v>
      </c>
      <c r="K4171" s="145" t="n"/>
      <c r="L4171" s="140">
        <f>+H4171*J4171</f>
        <v/>
      </c>
      <c r="M4171" s="141">
        <f>SUM(M4170+K4171-L4171)</f>
        <v/>
      </c>
    </row>
    <row r="4172">
      <c r="A4172" s="20" t="n">
        <v>45881</v>
      </c>
      <c r="B4172" s="1" t="n">
        <v>15376</v>
      </c>
      <c r="C4172" s="2" t="inlineStr">
        <is>
          <t>SELİM İNŞAAT</t>
        </is>
      </c>
      <c r="D4172" s="1" t="inlineStr">
        <is>
          <t>34 DTV 409</t>
        </is>
      </c>
      <c r="E4172" s="1" t="inlineStr">
        <is>
          <t>ONUR CANLI</t>
        </is>
      </c>
      <c r="F4172" s="3" t="n">
        <v>429823</v>
      </c>
      <c r="G4172" s="143" t="n"/>
      <c r="H4172" s="143" t="n">
        <v>485</v>
      </c>
      <c r="I4172" s="143">
        <f>+I4171+(G4172-H4172)</f>
        <v/>
      </c>
      <c r="J4172" s="144" t="n">
        <v>46.213</v>
      </c>
      <c r="K4172" s="145" t="n"/>
      <c r="L4172" s="140">
        <f>+H4172*J4172</f>
        <v/>
      </c>
      <c r="M4172" s="141">
        <f>SUM(M4171+K4172-L4172)</f>
        <v/>
      </c>
    </row>
    <row r="4173">
      <c r="A4173" s="20" t="n">
        <v>45881</v>
      </c>
      <c r="B4173" s="1" t="n">
        <v>15539</v>
      </c>
      <c r="C4173" s="2" t="inlineStr">
        <is>
          <t>SELİM İNŞAAT</t>
        </is>
      </c>
      <c r="D4173" s="1" t="inlineStr">
        <is>
          <t>34 EDC 086</t>
        </is>
      </c>
      <c r="E4173" s="1" t="inlineStr">
        <is>
          <t>ÖMER AĞAYAR</t>
        </is>
      </c>
      <c r="F4173" s="3" t="n">
        <v>340626</v>
      </c>
      <c r="G4173" s="143" t="n"/>
      <c r="H4173" s="143" t="n">
        <v>400</v>
      </c>
      <c r="I4173" s="143">
        <f>+I4172+(G4173-H4173)</f>
        <v/>
      </c>
      <c r="J4173" s="144" t="n">
        <v>46.213</v>
      </c>
      <c r="K4173" s="145" t="n"/>
      <c r="L4173" s="140">
        <f>+H4173*J4173</f>
        <v/>
      </c>
      <c r="M4173" s="141">
        <f>SUM(M4172+K4173-L4173)</f>
        <v/>
      </c>
    </row>
    <row r="4174">
      <c r="A4174" s="20" t="n">
        <v>45881</v>
      </c>
      <c r="B4174" s="1" t="n">
        <v>1065</v>
      </c>
      <c r="C4174" s="2" t="inlineStr">
        <is>
          <t>SELİM İNŞAAT</t>
        </is>
      </c>
      <c r="D4174" s="1" t="inlineStr">
        <is>
          <t>34 GVZ 310</t>
        </is>
      </c>
      <c r="E4174" s="1" t="inlineStr">
        <is>
          <t>CELAL YÜZBAŞI</t>
        </is>
      </c>
      <c r="F4174" s="3" t="n">
        <v>213116</v>
      </c>
      <c r="G4174" s="143" t="n"/>
      <c r="H4174" s="143" t="n">
        <v>386</v>
      </c>
      <c r="I4174" s="143">
        <f>+I4173+(G4174-H4174)</f>
        <v/>
      </c>
      <c r="J4174" s="144" t="n">
        <v>46.213</v>
      </c>
      <c r="K4174" s="145" t="n"/>
      <c r="L4174" s="140">
        <f>+H4174*J4174</f>
        <v/>
      </c>
      <c r="M4174" s="141">
        <f>SUM(M4173+K4174-L4174)</f>
        <v/>
      </c>
    </row>
    <row r="4175">
      <c r="A4175" s="20" t="n">
        <v>45881</v>
      </c>
      <c r="B4175" s="1" t="n">
        <v>768</v>
      </c>
      <c r="C4175" s="2" t="inlineStr">
        <is>
          <t>SELİM İNŞAAT</t>
        </is>
      </c>
      <c r="D4175" s="1" t="inlineStr">
        <is>
          <t>34 EDB 559</t>
        </is>
      </c>
      <c r="E4175" s="1" t="inlineStr">
        <is>
          <t>ATA KIZMAZ</t>
        </is>
      </c>
      <c r="F4175" s="3" t="n">
        <v>336071</v>
      </c>
      <c r="G4175" s="143" t="n"/>
      <c r="H4175" s="143" t="n">
        <v>478</v>
      </c>
      <c r="I4175" s="143">
        <f>+I4174+(G4175-H4175)</f>
        <v/>
      </c>
      <c r="J4175" s="144" t="n">
        <v>46.213</v>
      </c>
      <c r="K4175" s="145" t="n"/>
      <c r="L4175" s="140">
        <f>+H4175*J4175</f>
        <v/>
      </c>
      <c r="M4175" s="141">
        <f>SUM(M4174+K4175-L4175)</f>
        <v/>
      </c>
    </row>
    <row r="4176">
      <c r="A4176" s="20" t="n">
        <v>45881</v>
      </c>
      <c r="B4176" s="1" t="n">
        <v>574</v>
      </c>
      <c r="C4176" s="2" t="inlineStr">
        <is>
          <t>SELİM İNŞAAT</t>
        </is>
      </c>
      <c r="D4176" s="1" t="inlineStr">
        <is>
          <t>34 EDB 922</t>
        </is>
      </c>
      <c r="E4176" s="1" t="inlineStr">
        <is>
          <t>AHMET TOPÇU</t>
        </is>
      </c>
      <c r="F4176" s="3" t="n">
        <v>377826</v>
      </c>
      <c r="G4176" s="143" t="n"/>
      <c r="H4176" s="143" t="n">
        <v>468</v>
      </c>
      <c r="I4176" s="143">
        <f>+I4175+(G4176-H4176)</f>
        <v/>
      </c>
      <c r="J4176" s="144" t="n">
        <v>46.213</v>
      </c>
      <c r="K4176" s="145" t="n"/>
      <c r="L4176" s="140">
        <f>+H4176*J4176</f>
        <v/>
      </c>
      <c r="M4176" s="141">
        <f>SUM(M4175+K4176-L4176)</f>
        <v/>
      </c>
    </row>
    <row r="4177">
      <c r="A4177" s="20" t="n">
        <v>45881</v>
      </c>
      <c r="B4177" s="1" t="n">
        <v>21650</v>
      </c>
      <c r="C4177" s="2" t="inlineStr">
        <is>
          <t>SELİM İNŞAAT</t>
        </is>
      </c>
      <c r="D4177" s="1" t="inlineStr">
        <is>
          <t>34 DHC 467</t>
        </is>
      </c>
      <c r="E4177" s="1" t="inlineStr">
        <is>
          <t>NAZIM KARATAŞ</t>
        </is>
      </c>
      <c r="F4177" s="3" t="n">
        <v>416721</v>
      </c>
      <c r="G4177" s="143" t="n"/>
      <c r="H4177" s="143" t="n">
        <v>338</v>
      </c>
      <c r="I4177" s="143">
        <f>+I4176+(G4177-H4177)</f>
        <v/>
      </c>
      <c r="J4177" s="144" t="n">
        <v>46.213</v>
      </c>
      <c r="K4177" s="145" t="n"/>
      <c r="L4177" s="140">
        <f>+H4177*J4177</f>
        <v/>
      </c>
      <c r="M4177" s="141">
        <f>SUM(M4176+K4177-L4177)</f>
        <v/>
      </c>
    </row>
    <row r="4178">
      <c r="A4178" s="20" t="n">
        <v>45881</v>
      </c>
      <c r="B4178" s="1" t="n">
        <v>1262</v>
      </c>
      <c r="C4178" s="2" t="inlineStr">
        <is>
          <t>SELİM İNŞAAT</t>
        </is>
      </c>
      <c r="D4178" s="1" t="inlineStr">
        <is>
          <t>34 DSN 621</t>
        </is>
      </c>
      <c r="E4178" s="1" t="inlineStr">
        <is>
          <t>MUSTAFA KAYA</t>
        </is>
      </c>
      <c r="F4178" s="3" t="n">
        <v>424928</v>
      </c>
      <c r="G4178" s="143" t="n"/>
      <c r="H4178" s="143" t="n">
        <v>394</v>
      </c>
      <c r="I4178" s="143">
        <f>+I4177+(G4178-H4178)</f>
        <v/>
      </c>
      <c r="J4178" s="144" t="n">
        <v>46.213</v>
      </c>
      <c r="K4178" s="145" t="n"/>
      <c r="L4178" s="140">
        <f>+H4178*J4178</f>
        <v/>
      </c>
      <c r="M4178" s="141">
        <f>SUM(M4177+K4178-L4178)</f>
        <v/>
      </c>
    </row>
    <row r="4179">
      <c r="A4179" s="20" t="n">
        <v>45881</v>
      </c>
      <c r="B4179" s="1" t="n">
        <v>15982</v>
      </c>
      <c r="C4179" s="2" t="inlineStr">
        <is>
          <t>SELİM İNŞAAT</t>
        </is>
      </c>
      <c r="D4179" s="1" t="inlineStr">
        <is>
          <t>34 FBR 781</t>
        </is>
      </c>
      <c r="E4179" s="1" t="inlineStr">
        <is>
          <t>MEVLÜT POLAT</t>
        </is>
      </c>
      <c r="F4179" s="3" t="n">
        <v>320089</v>
      </c>
      <c r="G4179" s="143" t="n"/>
      <c r="H4179" s="143" t="n">
        <v>477</v>
      </c>
      <c r="I4179" s="143">
        <f>+I4178+(G4179-H4179)</f>
        <v/>
      </c>
      <c r="J4179" s="144" t="n">
        <v>46.213</v>
      </c>
      <c r="K4179" s="145" t="n"/>
      <c r="L4179" s="140">
        <f>+H4179*J4179</f>
        <v/>
      </c>
      <c r="M4179" s="141">
        <f>SUM(M4178+K4179-L4179)</f>
        <v/>
      </c>
    </row>
    <row r="4180">
      <c r="A4180" s="20" t="n">
        <v>45882</v>
      </c>
      <c r="B4180" s="21" t="n">
        <v>2205</v>
      </c>
      <c r="C4180" s="22" t="inlineStr">
        <is>
          <t>AZGÜN YAPI</t>
        </is>
      </c>
      <c r="D4180" s="21" t="inlineStr">
        <is>
          <t>34 DTV 263</t>
        </is>
      </c>
      <c r="E4180" s="21" t="inlineStr">
        <is>
          <t>MUHAMMED BULUT</t>
        </is>
      </c>
      <c r="F4180" s="23" t="n"/>
      <c r="G4180" s="138" t="n"/>
      <c r="H4180" s="138" t="n">
        <v>211</v>
      </c>
      <c r="I4180" s="138">
        <f>+I4179+(G4180-H4180)</f>
        <v/>
      </c>
      <c r="J4180" s="139" t="n">
        <v>46.213</v>
      </c>
      <c r="K4180" s="140" t="n"/>
      <c r="L4180" s="140">
        <f>+H4180*J4180</f>
        <v/>
      </c>
      <c r="M4180" s="141">
        <f>SUM(M4179+K4180-L4180)</f>
        <v/>
      </c>
    </row>
    <row r="4181">
      <c r="A4181" s="20" t="n">
        <v>45882</v>
      </c>
      <c r="B4181" s="1" t="n">
        <v>2044</v>
      </c>
      <c r="C4181" s="2" t="inlineStr">
        <is>
          <t>CEVİZ MOBİLYA</t>
        </is>
      </c>
      <c r="D4181" s="1" t="inlineStr">
        <is>
          <t>YENİ VİNÇ</t>
        </is>
      </c>
      <c r="E4181" s="1" t="inlineStr">
        <is>
          <t>SALİH ŞOLAN</t>
        </is>
      </c>
      <c r="F4181" s="3" t="n"/>
      <c r="G4181" s="143" t="n"/>
      <c r="H4181" s="143" t="n">
        <v>287</v>
      </c>
      <c r="I4181" s="143">
        <f>+I4180+(G4181-H4181)</f>
        <v/>
      </c>
      <c r="J4181" s="144" t="n">
        <v>46.213</v>
      </c>
      <c r="K4181" s="145" t="n"/>
      <c r="L4181" s="140">
        <f>+H4181*J4181</f>
        <v/>
      </c>
      <c r="M4181" s="141">
        <f>SUM(M4180+K4181-L4181)</f>
        <v/>
      </c>
    </row>
    <row r="4182">
      <c r="A4182" s="20" t="n">
        <v>45882</v>
      </c>
      <c r="B4182" s="1" t="n">
        <v>2045</v>
      </c>
      <c r="C4182" s="2" t="inlineStr">
        <is>
          <t>MEGA VARLIK</t>
        </is>
      </c>
      <c r="D4182" s="1" t="inlineStr">
        <is>
          <t>SM 350</t>
        </is>
      </c>
      <c r="E4182" s="1" t="inlineStr">
        <is>
          <t>AHMET AKGÜL</t>
        </is>
      </c>
      <c r="F4182" s="3" t="n"/>
      <c r="G4182" s="143" t="n"/>
      <c r="H4182" s="143" t="n">
        <v>472</v>
      </c>
      <c r="I4182" s="143">
        <f>+I4181+(G4182-H4182)</f>
        <v/>
      </c>
      <c r="J4182" s="144" t="n">
        <v>46.213</v>
      </c>
      <c r="K4182" s="145" t="n"/>
      <c r="L4182" s="140">
        <f>+H4182*J4182</f>
        <v/>
      </c>
      <c r="M4182" s="141">
        <f>SUM(M4181+K4182-L4182)</f>
        <v/>
      </c>
    </row>
    <row r="4183">
      <c r="A4183" s="20" t="n">
        <v>45882</v>
      </c>
      <c r="B4183" s="1" t="n">
        <v>2046</v>
      </c>
      <c r="C4183" s="2" t="inlineStr">
        <is>
          <t>MEGA VARLIK</t>
        </is>
      </c>
      <c r="D4183" s="1" t="inlineStr">
        <is>
          <t>SM 370</t>
        </is>
      </c>
      <c r="E4183" s="1" t="inlineStr">
        <is>
          <t>TEKİN ŞEYLAN</t>
        </is>
      </c>
      <c r="F4183" s="3" t="n"/>
      <c r="G4183" s="143" t="n"/>
      <c r="H4183" s="143" t="n">
        <v>570</v>
      </c>
      <c r="I4183" s="143">
        <f>+I4182+(G4183-H4183)</f>
        <v/>
      </c>
      <c r="J4183" s="144" t="n">
        <v>46.213</v>
      </c>
      <c r="K4183" s="145" t="n"/>
      <c r="L4183" s="140">
        <f>+H4183*J4183</f>
        <v/>
      </c>
      <c r="M4183" s="141">
        <f>SUM(M4182+K4183-L4183)</f>
        <v/>
      </c>
    </row>
    <row r="4184">
      <c r="A4184" s="20" t="n">
        <v>45882</v>
      </c>
      <c r="B4184" s="1" t="n">
        <v>261</v>
      </c>
      <c r="C4184" s="2" t="inlineStr">
        <is>
          <t>SELİM İNŞAAT</t>
        </is>
      </c>
      <c r="D4184" s="1" t="inlineStr">
        <is>
          <t>34 GER 445</t>
        </is>
      </c>
      <c r="E4184" s="1" t="inlineStr">
        <is>
          <t>HASAN BAYCAN</t>
        </is>
      </c>
      <c r="F4184" s="3" t="n">
        <v>48213</v>
      </c>
      <c r="G4184" s="143" t="n"/>
      <c r="H4184" s="143" t="n">
        <v>290</v>
      </c>
      <c r="I4184" s="143">
        <f>+I4183+(G4184-H4184)</f>
        <v/>
      </c>
      <c r="J4184" s="144" t="n">
        <v>46.213</v>
      </c>
      <c r="K4184" s="145" t="n"/>
      <c r="L4184" s="140">
        <f>+H4184*J4184</f>
        <v/>
      </c>
      <c r="M4184" s="141">
        <f>SUM(M4183+K4184-L4184)</f>
        <v/>
      </c>
    </row>
    <row r="4185">
      <c r="A4185" s="20" t="n">
        <v>45882</v>
      </c>
      <c r="B4185" s="1" t="n">
        <v>15186</v>
      </c>
      <c r="C4185" s="2" t="inlineStr">
        <is>
          <t>SELİM İNŞAAT</t>
        </is>
      </c>
      <c r="D4185" s="1" t="inlineStr">
        <is>
          <t xml:space="preserve">34 DP 4161 </t>
        </is>
      </c>
      <c r="E4185" s="1" t="inlineStr">
        <is>
          <t>RIFAT KARATAY</t>
        </is>
      </c>
      <c r="F4185" s="3" t="n">
        <v>294820</v>
      </c>
      <c r="G4185" s="143" t="n"/>
      <c r="H4185" s="143" t="n">
        <v>271</v>
      </c>
      <c r="I4185" s="143">
        <f>+I4184+(G4185-H4185)</f>
        <v/>
      </c>
      <c r="J4185" s="144" t="n">
        <v>46.213</v>
      </c>
      <c r="K4185" s="145" t="n"/>
      <c r="L4185" s="140">
        <f>+H4185*J4185</f>
        <v/>
      </c>
      <c r="M4185" s="141">
        <f>SUM(M4184+K4185-L4185)</f>
        <v/>
      </c>
    </row>
    <row r="4186">
      <c r="A4186" s="20" t="n">
        <v>45882</v>
      </c>
      <c r="B4186" s="1" t="n">
        <v>2603</v>
      </c>
      <c r="C4186" s="2" t="inlineStr">
        <is>
          <t>SELİM İNŞAAT</t>
        </is>
      </c>
      <c r="D4186" s="1" t="inlineStr">
        <is>
          <t>34 GU 945</t>
        </is>
      </c>
      <c r="E4186" s="1" t="inlineStr">
        <is>
          <t>YAKUP URUCU</t>
        </is>
      </c>
      <c r="F4186" s="3" t="n">
        <v>454861</v>
      </c>
      <c r="G4186" s="143" t="n"/>
      <c r="H4186" s="143" t="n">
        <v>45</v>
      </c>
      <c r="I4186" s="143">
        <f>+I4185+(G4186-H4186)</f>
        <v/>
      </c>
      <c r="J4186" s="144" t="n">
        <v>46.213</v>
      </c>
      <c r="K4186" s="145" t="n"/>
      <c r="L4186" s="140">
        <f>+H4186*J4186</f>
        <v/>
      </c>
      <c r="M4186" s="141">
        <f>SUM(M4185+K4186-L4186)</f>
        <v/>
      </c>
    </row>
    <row r="4187">
      <c r="A4187" s="20" t="n">
        <v>45882</v>
      </c>
      <c r="B4187" s="1" t="n">
        <v>21344</v>
      </c>
      <c r="C4187" s="2" t="inlineStr">
        <is>
          <t>SELİM İNŞAAT</t>
        </is>
      </c>
      <c r="D4187" s="1" t="inlineStr">
        <is>
          <t>34 FEM 934</t>
        </is>
      </c>
      <c r="E4187" s="1" t="inlineStr">
        <is>
          <t>SELİM CAN ÖNVER</t>
        </is>
      </c>
      <c r="F4187" s="3" t="n">
        <v>316249</v>
      </c>
      <c r="G4187" s="143" t="n"/>
      <c r="H4187" s="143" t="n">
        <v>74</v>
      </c>
      <c r="I4187" s="143">
        <f>+I4186+(G4187-H4187)</f>
        <v/>
      </c>
      <c r="J4187" s="144" t="n">
        <v>46.213</v>
      </c>
      <c r="K4187" s="145" t="n"/>
      <c r="L4187" s="140">
        <f>+H4187*J4187</f>
        <v/>
      </c>
      <c r="M4187" s="141">
        <f>SUM(M4186+K4187-L4187)</f>
        <v/>
      </c>
    </row>
    <row r="4188">
      <c r="A4188" s="20" t="n">
        <v>45882</v>
      </c>
      <c r="B4188" s="1" t="n">
        <v>1564</v>
      </c>
      <c r="C4188" s="2" t="inlineStr">
        <is>
          <t>SELİM İNŞAAT</t>
        </is>
      </c>
      <c r="D4188" s="1" t="inlineStr">
        <is>
          <t>34 GUS 938</t>
        </is>
      </c>
      <c r="E4188" s="1" t="inlineStr">
        <is>
          <t>MEHMET KAYA</t>
        </is>
      </c>
      <c r="F4188" s="3" t="n">
        <v>203508</v>
      </c>
      <c r="G4188" s="143" t="n"/>
      <c r="H4188" s="143" t="n">
        <v>325</v>
      </c>
      <c r="I4188" s="143">
        <f>+I4187+(G4188-H4188)</f>
        <v/>
      </c>
      <c r="J4188" s="144" t="n">
        <v>46.213</v>
      </c>
      <c r="K4188" s="145" t="n"/>
      <c r="L4188" s="140">
        <f>+H4188*J4188</f>
        <v/>
      </c>
      <c r="M4188" s="141">
        <f>SUM(M4187+K4188-L4188)</f>
        <v/>
      </c>
    </row>
    <row r="4189">
      <c r="A4189" s="20" t="n">
        <v>45882</v>
      </c>
      <c r="B4189" s="1" t="n">
        <v>10529</v>
      </c>
      <c r="C4189" s="2" t="inlineStr">
        <is>
          <t>SELİM İNŞAAT</t>
        </is>
      </c>
      <c r="D4189" s="1" t="inlineStr">
        <is>
          <t>34 DTV 599</t>
        </is>
      </c>
      <c r="E4189" s="1" t="inlineStr">
        <is>
          <t>FERHAT GÜRLER</t>
        </is>
      </c>
      <c r="F4189" s="3" t="n">
        <v>445532</v>
      </c>
      <c r="G4189" s="143" t="n"/>
      <c r="H4189" s="143" t="n">
        <v>533</v>
      </c>
      <c r="I4189" s="143">
        <f>+I4188+(G4189-H4189)</f>
        <v/>
      </c>
      <c r="J4189" s="144" t="n">
        <v>46.213</v>
      </c>
      <c r="K4189" s="145" t="n"/>
      <c r="L4189" s="140">
        <f>+H4189*J4189</f>
        <v/>
      </c>
      <c r="M4189" s="141">
        <f>SUM(M4188+K4189-L4189)</f>
        <v/>
      </c>
    </row>
    <row r="4190">
      <c r="A4190" s="20" t="n">
        <v>45882</v>
      </c>
      <c r="B4190" s="1" t="n">
        <v>15336</v>
      </c>
      <c r="C4190" s="2" t="inlineStr">
        <is>
          <t>SELİM İNŞAAT</t>
        </is>
      </c>
      <c r="D4190" s="1" t="inlineStr">
        <is>
          <t>34 EDC 162</t>
        </is>
      </c>
      <c r="E4190" s="1" t="inlineStr">
        <is>
          <t>YAKUP GÜNER</t>
        </is>
      </c>
      <c r="F4190" s="3" t="n">
        <v>383675</v>
      </c>
      <c r="G4190" s="143" t="n"/>
      <c r="H4190" s="143" t="n">
        <v>320</v>
      </c>
      <c r="I4190" s="143">
        <f>+I4189+(G4190-H4190)</f>
        <v/>
      </c>
      <c r="J4190" s="144" t="n">
        <v>46.213</v>
      </c>
      <c r="K4190" s="145" t="n"/>
      <c r="L4190" s="140">
        <f>+H4190*J4190</f>
        <v/>
      </c>
      <c r="M4190" s="141">
        <f>SUM(M4189+K4190-L4190)</f>
        <v/>
      </c>
    </row>
    <row r="4191">
      <c r="A4191" s="20" t="n">
        <v>45882</v>
      </c>
      <c r="B4191" s="1" t="n">
        <v>14846</v>
      </c>
      <c r="C4191" s="2" t="inlineStr">
        <is>
          <t>SELİM İNŞAAT</t>
        </is>
      </c>
      <c r="D4191" s="1" t="inlineStr">
        <is>
          <t>34 GVZ 268</t>
        </is>
      </c>
      <c r="E4191" s="1" t="inlineStr">
        <is>
          <t>KERİM KARAMAN</t>
        </is>
      </c>
      <c r="F4191" s="3" t="n">
        <v>208040</v>
      </c>
      <c r="G4191" s="143" t="n"/>
      <c r="H4191" s="143" t="n">
        <v>392</v>
      </c>
      <c r="I4191" s="143">
        <f>+I4190+(G4191-H4191)</f>
        <v/>
      </c>
      <c r="J4191" s="144" t="n">
        <v>46.213</v>
      </c>
      <c r="K4191" s="145" t="n"/>
      <c r="L4191" s="140">
        <f>+H4191*J4191</f>
        <v/>
      </c>
      <c r="M4191" s="141">
        <f>SUM(M4190+K4191-L4191)</f>
        <v/>
      </c>
    </row>
    <row r="4192">
      <c r="A4192" s="20" t="n">
        <v>45882</v>
      </c>
      <c r="B4192" s="1" t="n">
        <v>15272</v>
      </c>
      <c r="C4192" s="2" t="inlineStr">
        <is>
          <t>SELİM İNŞAAT</t>
        </is>
      </c>
      <c r="D4192" s="1" t="inlineStr">
        <is>
          <t>34 DTV 447</t>
        </is>
      </c>
      <c r="E4192" s="1" t="inlineStr">
        <is>
          <t>EBUBEKİR KOLDAŞ</t>
        </is>
      </c>
      <c r="F4192" s="3" t="n">
        <v>440641</v>
      </c>
      <c r="G4192" s="143" t="n"/>
      <c r="H4192" s="143" t="n">
        <v>427</v>
      </c>
      <c r="I4192" s="143">
        <f>+I4191+(G4192-H4192)</f>
        <v/>
      </c>
      <c r="J4192" s="144" t="n">
        <v>46.213</v>
      </c>
      <c r="K4192" s="145" t="n"/>
      <c r="L4192" s="140">
        <f>+H4192*J4192</f>
        <v/>
      </c>
      <c r="M4192" s="141">
        <f>SUM(M4191+K4192-L4192)</f>
        <v/>
      </c>
    </row>
    <row r="4193">
      <c r="A4193" s="20" t="n">
        <v>45882</v>
      </c>
      <c r="B4193" s="1" t="n">
        <v>321</v>
      </c>
      <c r="C4193" s="2" t="inlineStr">
        <is>
          <t>SELİM İNŞAAT</t>
        </is>
      </c>
      <c r="D4193" s="1" t="inlineStr">
        <is>
          <t>34 EDB 829</t>
        </is>
      </c>
      <c r="E4193" s="1" t="inlineStr">
        <is>
          <t>İRFAN DAĞLAR</t>
        </is>
      </c>
      <c r="F4193" s="3" t="n">
        <v>330344</v>
      </c>
      <c r="G4193" s="143" t="n"/>
      <c r="H4193" s="143" t="n">
        <v>474</v>
      </c>
      <c r="I4193" s="143">
        <f>+I4192+(G4193-H4193)</f>
        <v/>
      </c>
      <c r="J4193" s="144" t="n">
        <v>46.213</v>
      </c>
      <c r="K4193" s="145" t="n"/>
      <c r="L4193" s="140">
        <f>+H4193*J4193</f>
        <v/>
      </c>
      <c r="M4193" s="141">
        <f>SUM(M4192+K4193-L4193)</f>
        <v/>
      </c>
    </row>
    <row r="4194">
      <c r="A4194" s="20" t="n">
        <v>45882</v>
      </c>
      <c r="B4194" s="1" t="n">
        <v>14783</v>
      </c>
      <c r="C4194" s="2" t="inlineStr">
        <is>
          <t>SELİM İNŞAAT</t>
        </is>
      </c>
      <c r="D4194" s="1" t="inlineStr">
        <is>
          <t>34 GYZ 635</t>
        </is>
      </c>
      <c r="E4194" s="1" t="inlineStr">
        <is>
          <t>ENGİN DEMİR</t>
        </is>
      </c>
      <c r="F4194" s="3" t="n">
        <v>188358</v>
      </c>
      <c r="G4194" s="143" t="n"/>
      <c r="H4194" s="143" t="n">
        <v>486</v>
      </c>
      <c r="I4194" s="143">
        <f>+I4193+(G4194-H4194)</f>
        <v/>
      </c>
      <c r="J4194" s="144" t="n">
        <v>46.213</v>
      </c>
      <c r="K4194" s="145" t="n"/>
      <c r="L4194" s="140">
        <f>+H4194*J4194</f>
        <v/>
      </c>
      <c r="M4194" s="141">
        <f>SUM(M4193+K4194-L4194)</f>
        <v/>
      </c>
    </row>
    <row r="4195">
      <c r="A4195" s="20" t="n">
        <v>45882</v>
      </c>
      <c r="B4195" s="1" t="n">
        <v>968</v>
      </c>
      <c r="C4195" s="2" t="inlineStr">
        <is>
          <t>SELİM İNŞAAT</t>
        </is>
      </c>
      <c r="D4195" s="1" t="inlineStr">
        <is>
          <t>34 FBR 742</t>
        </is>
      </c>
      <c r="E4195" s="1" t="inlineStr">
        <is>
          <t>MİKAİL BAYILMAZ</t>
        </is>
      </c>
      <c r="F4195" s="3" t="n">
        <v>330310</v>
      </c>
      <c r="G4195" s="143" t="n"/>
      <c r="H4195" s="143" t="n">
        <v>393</v>
      </c>
      <c r="I4195" s="143">
        <f>+I4194+(G4195-H4195)</f>
        <v/>
      </c>
      <c r="J4195" s="144" t="n">
        <v>46.213</v>
      </c>
      <c r="K4195" s="145" t="n"/>
      <c r="L4195" s="140">
        <f>+H4195*J4195</f>
        <v/>
      </c>
      <c r="M4195" s="141">
        <f>SUM(M4194+K4195-L4195)</f>
        <v/>
      </c>
    </row>
    <row r="4196">
      <c r="A4196" s="20" t="n">
        <v>45882</v>
      </c>
      <c r="B4196" s="1" t="n">
        <v>1013</v>
      </c>
      <c r="C4196" s="2" t="inlineStr">
        <is>
          <t>SELİM İNŞAAT</t>
        </is>
      </c>
      <c r="D4196" s="1" t="inlineStr">
        <is>
          <t>34 DHH 668</t>
        </is>
      </c>
      <c r="E4196" s="1" t="inlineStr">
        <is>
          <t xml:space="preserve">ADNAN KOÇ </t>
        </is>
      </c>
      <c r="F4196" s="3" t="n">
        <v>396962</v>
      </c>
      <c r="G4196" s="143" t="n"/>
      <c r="H4196" s="143" t="n">
        <v>394</v>
      </c>
      <c r="I4196" s="143">
        <f>+I4195+(G4196-H4196)</f>
        <v/>
      </c>
      <c r="J4196" s="144" t="n">
        <v>46.213</v>
      </c>
      <c r="K4196" s="145" t="n"/>
      <c r="L4196" s="140">
        <f>+H4196*J4196</f>
        <v/>
      </c>
      <c r="M4196" s="141">
        <f>SUM(M4195+K4196-L4196)</f>
        <v/>
      </c>
    </row>
    <row r="4197">
      <c r="A4197" s="20" t="n">
        <v>45882</v>
      </c>
      <c r="B4197" s="1" t="n">
        <v>1709</v>
      </c>
      <c r="C4197" s="2" t="inlineStr">
        <is>
          <t>SELİM İNŞAAT</t>
        </is>
      </c>
      <c r="D4197" s="21" t="inlineStr">
        <is>
          <t>34 DGP 137</t>
        </is>
      </c>
      <c r="E4197" s="1" t="inlineStr">
        <is>
          <t>GÜRAY KOYUNCU</t>
        </is>
      </c>
      <c r="F4197" s="3" t="n">
        <v>436804</v>
      </c>
      <c r="G4197" s="143" t="n"/>
      <c r="H4197" s="143" t="n">
        <v>546</v>
      </c>
      <c r="I4197" s="143">
        <f>+I4196+(G4197-H4197)</f>
        <v/>
      </c>
      <c r="J4197" s="144" t="n">
        <v>46.213</v>
      </c>
      <c r="K4197" s="145" t="n"/>
      <c r="L4197" s="140">
        <f>+H4197*J4197</f>
        <v/>
      </c>
      <c r="M4197" s="141">
        <f>SUM(M4196+K4197-L4197)</f>
        <v/>
      </c>
    </row>
    <row r="4198">
      <c r="A4198" s="20" t="n">
        <v>45882</v>
      </c>
      <c r="B4198" s="1" t="n">
        <v>15591</v>
      </c>
      <c r="C4198" s="2" t="inlineStr">
        <is>
          <t>SELİM İNŞAAT</t>
        </is>
      </c>
      <c r="D4198" s="1" t="inlineStr">
        <is>
          <t>34 GVZ 745</t>
        </is>
      </c>
      <c r="E4198" s="1" t="inlineStr">
        <is>
          <t>MURAT DEMİŞBAŞ</t>
        </is>
      </c>
      <c r="F4198" s="3" t="n">
        <v>201192</v>
      </c>
      <c r="G4198" s="143" t="n"/>
      <c r="H4198" s="143" t="n">
        <v>392</v>
      </c>
      <c r="I4198" s="143">
        <f>+I4197+(G4198-H4198)</f>
        <v/>
      </c>
      <c r="J4198" s="144" t="n">
        <v>46.213</v>
      </c>
      <c r="K4198" s="145" t="n"/>
      <c r="L4198" s="140">
        <f>+H4198*J4198</f>
        <v/>
      </c>
      <c r="M4198" s="141">
        <f>SUM(M4197+K4198-L4198)</f>
        <v/>
      </c>
    </row>
    <row r="4199">
      <c r="A4199" s="20" t="n">
        <v>45882</v>
      </c>
      <c r="B4199" s="1" t="n">
        <v>1212</v>
      </c>
      <c r="C4199" s="2" t="inlineStr">
        <is>
          <t>SELİM İNŞAAT</t>
        </is>
      </c>
      <c r="D4199" s="1" t="inlineStr">
        <is>
          <t>34 DHC 393</t>
        </is>
      </c>
      <c r="E4199" s="1" t="inlineStr">
        <is>
          <t>İSMET BAYRAM</t>
        </is>
      </c>
      <c r="F4199" s="3" t="n">
        <v>434900</v>
      </c>
      <c r="G4199" s="143" t="n"/>
      <c r="H4199" s="143" t="n">
        <v>420</v>
      </c>
      <c r="I4199" s="143">
        <f>+I4198+(G4199-H4199)</f>
        <v/>
      </c>
      <c r="J4199" s="144" t="n">
        <v>46.213</v>
      </c>
      <c r="K4199" s="145" t="n"/>
      <c r="L4199" s="140">
        <f>+H4199*J4199</f>
        <v/>
      </c>
      <c r="M4199" s="141">
        <f>SUM(M4198+K4199-L4199)</f>
        <v/>
      </c>
    </row>
    <row r="4200">
      <c r="A4200" s="20" t="n">
        <v>45882</v>
      </c>
      <c r="B4200" s="1" t="n">
        <v>15227</v>
      </c>
      <c r="C4200" s="2" t="inlineStr">
        <is>
          <t>SELİM İNŞAAT</t>
        </is>
      </c>
      <c r="D4200" s="1" t="inlineStr">
        <is>
          <t>34 DSN 565</t>
        </is>
      </c>
      <c r="E4200" s="1" t="inlineStr">
        <is>
          <t>HÜSEYİN DENİZ</t>
        </is>
      </c>
      <c r="F4200" s="3" t="n">
        <v>413266</v>
      </c>
      <c r="G4200" s="143" t="n"/>
      <c r="H4200" s="143" t="n">
        <v>440</v>
      </c>
      <c r="I4200" s="143">
        <f>+I4199+(G4200-H4200)</f>
        <v/>
      </c>
      <c r="J4200" s="144" t="n">
        <v>46.213</v>
      </c>
      <c r="K4200" s="145" t="n"/>
      <c r="L4200" s="140">
        <f>+H4200*J4200</f>
        <v/>
      </c>
      <c r="M4200" s="141">
        <f>SUM(M4199+K4200-L4200)</f>
        <v/>
      </c>
    </row>
    <row r="4201">
      <c r="A4201" s="20" t="n">
        <v>45882</v>
      </c>
      <c r="B4201" s="1" t="n">
        <v>27</v>
      </c>
      <c r="C4201" s="2" t="inlineStr">
        <is>
          <t>SELİM İNŞAAT</t>
        </is>
      </c>
      <c r="D4201" s="1" t="inlineStr">
        <is>
          <t>34 FBR 748</t>
        </is>
      </c>
      <c r="E4201" s="1" t="inlineStr">
        <is>
          <t>YAŞAR ÖZKAYA</t>
        </is>
      </c>
      <c r="F4201" s="3" t="n">
        <v>296439</v>
      </c>
      <c r="G4201" s="143" t="n"/>
      <c r="H4201" s="143" t="n">
        <v>374</v>
      </c>
      <c r="I4201" s="143">
        <f>+I4200+(G4201-H4201)</f>
        <v/>
      </c>
      <c r="J4201" s="144" t="n">
        <v>46.213</v>
      </c>
      <c r="K4201" s="145" t="n"/>
      <c r="L4201" s="140">
        <f>+H4201*J4201</f>
        <v/>
      </c>
      <c r="M4201" s="141">
        <f>SUM(M4200+K4201-L4201)</f>
        <v/>
      </c>
    </row>
    <row r="4202">
      <c r="A4202" s="20" t="n">
        <v>45882</v>
      </c>
      <c r="B4202" s="1" t="n">
        <v>120</v>
      </c>
      <c r="C4202" s="2" t="inlineStr">
        <is>
          <t>SELİM İNŞAAT</t>
        </is>
      </c>
      <c r="D4202" s="1" t="inlineStr">
        <is>
          <t>34 FBR 771</t>
        </is>
      </c>
      <c r="E4202" s="1" t="inlineStr">
        <is>
          <t>HÜSEYİN AKÇİN</t>
        </is>
      </c>
      <c r="F4202" s="3" t="n">
        <v>331794</v>
      </c>
      <c r="G4202" s="143" t="n"/>
      <c r="H4202" s="143" t="n">
        <v>498</v>
      </c>
      <c r="I4202" s="143">
        <f>+I4201+(G4202-H4202)</f>
        <v/>
      </c>
      <c r="J4202" s="144" t="n">
        <v>46.213</v>
      </c>
      <c r="K4202" s="145" t="n"/>
      <c r="L4202" s="140">
        <f>+H4202*J4202</f>
        <v/>
      </c>
      <c r="M4202" s="141">
        <f>SUM(M4201+K4202-L4202)</f>
        <v/>
      </c>
    </row>
    <row r="4203">
      <c r="A4203" s="20" t="n">
        <v>45882</v>
      </c>
      <c r="B4203" s="1" t="n">
        <v>1459</v>
      </c>
      <c r="C4203" s="2" t="inlineStr">
        <is>
          <t>SELİM İNŞAAT</t>
        </is>
      </c>
      <c r="D4203" s="1" t="inlineStr">
        <is>
          <t>34 EGR 737</t>
        </is>
      </c>
      <c r="E4203" s="1" t="inlineStr">
        <is>
          <t>CEM MUHTAR</t>
        </is>
      </c>
      <c r="F4203" s="3" t="n">
        <v>430284</v>
      </c>
      <c r="G4203" s="143" t="n"/>
      <c r="H4203" s="143" t="n">
        <v>478</v>
      </c>
      <c r="I4203" s="143">
        <f>+I4202+(G4203-H4203)</f>
        <v/>
      </c>
      <c r="J4203" s="144" t="n">
        <v>46.213</v>
      </c>
      <c r="K4203" s="145" t="n"/>
      <c r="L4203" s="140">
        <f>+H4203*J4203</f>
        <v/>
      </c>
      <c r="M4203" s="141">
        <f>SUM(M4202+K4203-L4203)</f>
        <v/>
      </c>
    </row>
    <row r="4204">
      <c r="A4204" s="20" t="n">
        <v>45882</v>
      </c>
      <c r="B4204" s="1" t="n">
        <v>21651</v>
      </c>
      <c r="C4204" s="2" t="inlineStr">
        <is>
          <t>SELİM İNŞAAT</t>
        </is>
      </c>
      <c r="D4204" s="1" t="inlineStr">
        <is>
          <t>34 DHC 467</t>
        </is>
      </c>
      <c r="E4204" s="1" t="inlineStr">
        <is>
          <t>NAZIM KARATAŞ</t>
        </is>
      </c>
      <c r="F4204" s="3" t="n">
        <v>417017</v>
      </c>
      <c r="G4204" s="143" t="n"/>
      <c r="H4204" s="143" t="n">
        <v>285</v>
      </c>
      <c r="I4204" s="143">
        <f>+I4203+(G4204-H4204)</f>
        <v/>
      </c>
      <c r="J4204" s="144" t="n">
        <v>46.213</v>
      </c>
      <c r="K4204" s="145" t="n"/>
      <c r="L4204" s="140">
        <f>+H4204*J4204</f>
        <v/>
      </c>
      <c r="M4204" s="141">
        <f>SUM(M4203+K4204-L4204)</f>
        <v/>
      </c>
    </row>
    <row r="4205">
      <c r="A4205" s="20" t="n">
        <v>45882</v>
      </c>
      <c r="B4205" s="1" t="n">
        <v>1153</v>
      </c>
      <c r="C4205" s="2" t="inlineStr">
        <is>
          <t>SELİM İNŞAAT</t>
        </is>
      </c>
      <c r="D4205" s="1" t="inlineStr">
        <is>
          <t>34 DSN 536</t>
        </is>
      </c>
      <c r="E4205" s="1" t="inlineStr">
        <is>
          <t>SİNAN TANRIVERDİ</t>
        </is>
      </c>
      <c r="F4205" s="3" t="n">
        <v>416421</v>
      </c>
      <c r="G4205" s="143" t="n"/>
      <c r="H4205" s="143" t="n">
        <v>522</v>
      </c>
      <c r="I4205" s="143">
        <f>+I4204+(G4205-H4205)</f>
        <v/>
      </c>
      <c r="J4205" s="144" t="n">
        <v>46.213</v>
      </c>
      <c r="K4205" s="145" t="n"/>
      <c r="L4205" s="140">
        <f>+H4205*J4205</f>
        <v/>
      </c>
      <c r="M4205" s="141">
        <f>SUM(M4204+K4205-L4205)</f>
        <v/>
      </c>
    </row>
    <row r="4206">
      <c r="A4206" s="20" t="n">
        <v>45882</v>
      </c>
      <c r="B4206" s="1" t="n">
        <v>11246</v>
      </c>
      <c r="C4206" s="2" t="inlineStr">
        <is>
          <t>SELİM İNŞAAT</t>
        </is>
      </c>
      <c r="D4206" s="1" t="inlineStr">
        <is>
          <t>34 DSN 636</t>
        </is>
      </c>
      <c r="E4206" s="1" t="inlineStr">
        <is>
          <t>MASUM GÜVEN</t>
        </is>
      </c>
      <c r="F4206" s="3" t="n">
        <v>403487</v>
      </c>
      <c r="G4206" s="143" t="n"/>
      <c r="H4206" s="143" t="n">
        <v>493</v>
      </c>
      <c r="I4206" s="143">
        <f>+I4205+(G4206-H4206)</f>
        <v/>
      </c>
      <c r="J4206" s="144" t="n">
        <v>46.213</v>
      </c>
      <c r="K4206" s="145" t="n"/>
      <c r="L4206" s="140">
        <f>+H4206*J4206</f>
        <v/>
      </c>
      <c r="M4206" s="141">
        <f>SUM(M4205+K4206-L4206)</f>
        <v/>
      </c>
    </row>
    <row r="4207">
      <c r="A4207" s="20" t="n">
        <v>45882</v>
      </c>
      <c r="B4207" s="1" t="n">
        <v>15983</v>
      </c>
      <c r="C4207" s="2" t="inlineStr">
        <is>
          <t>SELİM İNŞAAT</t>
        </is>
      </c>
      <c r="D4207" s="1" t="inlineStr">
        <is>
          <t>34 FBR 781</t>
        </is>
      </c>
      <c r="E4207" s="1" t="inlineStr">
        <is>
          <t>MEVLÜT POLAT</t>
        </is>
      </c>
      <c r="F4207" s="3" t="n">
        <v>320507</v>
      </c>
      <c r="G4207" s="143" t="n"/>
      <c r="H4207" s="143" t="n">
        <v>332</v>
      </c>
      <c r="I4207" s="143">
        <f>+I4206+(G4207-H4207)</f>
        <v/>
      </c>
      <c r="J4207" s="144" t="n">
        <v>46.213</v>
      </c>
      <c r="K4207" s="145" t="n"/>
      <c r="L4207" s="140">
        <f>+H4207*J4207</f>
        <v/>
      </c>
      <c r="M4207" s="141">
        <f>SUM(M4206+K4207-L4207)</f>
        <v/>
      </c>
    </row>
    <row r="4208">
      <c r="A4208" s="20" t="n">
        <v>45883</v>
      </c>
      <c r="B4208" s="21" t="n">
        <v>720</v>
      </c>
      <c r="C4208" s="22" t="inlineStr">
        <is>
          <t>METİN ERYİĞİT</t>
        </is>
      </c>
      <c r="D4208" s="21" t="inlineStr">
        <is>
          <t>34 GBL 998</t>
        </is>
      </c>
      <c r="E4208" s="21" t="inlineStr">
        <is>
          <t>M.ALİ KESKİN</t>
        </is>
      </c>
      <c r="F4208" s="23" t="n">
        <v>286725</v>
      </c>
      <c r="G4208" s="138" t="n"/>
      <c r="H4208" s="138" t="n">
        <v>309</v>
      </c>
      <c r="I4208" s="138">
        <f>+I4207+(G4208-H4208)</f>
        <v/>
      </c>
      <c r="J4208" s="139" t="n">
        <v>46.213</v>
      </c>
      <c r="K4208" s="140" t="n"/>
      <c r="L4208" s="140">
        <f>+H4208*J4208</f>
        <v/>
      </c>
      <c r="M4208" s="141">
        <f>SUM(M4207+K4208-L4208)</f>
        <v/>
      </c>
    </row>
    <row r="4209">
      <c r="A4209" s="20" t="n">
        <v>45883</v>
      </c>
      <c r="B4209" s="21" t="n">
        <v>15692</v>
      </c>
      <c r="C4209" s="22" t="inlineStr">
        <is>
          <t>METİN ERYİĞİT</t>
        </is>
      </c>
      <c r="D4209" s="21" t="inlineStr">
        <is>
          <t>34 EGR 814</t>
        </is>
      </c>
      <c r="E4209" s="21" t="inlineStr">
        <is>
          <t>MUHAMMET YİĞİT</t>
        </is>
      </c>
      <c r="F4209" s="23" t="n">
        <v>560043</v>
      </c>
      <c r="G4209" s="138" t="n"/>
      <c r="H4209" s="138" t="n">
        <v>362</v>
      </c>
      <c r="I4209" s="138">
        <f>+I4208+(G4209-H4209)</f>
        <v/>
      </c>
      <c r="J4209" s="139" t="n">
        <v>46.213</v>
      </c>
      <c r="K4209" s="140" t="n"/>
      <c r="L4209" s="140">
        <f>+H4209*J4209</f>
        <v/>
      </c>
      <c r="M4209" s="141">
        <f>SUM(M4208+K4209-L4209)</f>
        <v/>
      </c>
    </row>
    <row r="4210">
      <c r="A4210" s="20" t="n">
        <v>45883</v>
      </c>
      <c r="B4210" s="21" t="n">
        <v>15636</v>
      </c>
      <c r="C4210" s="22" t="inlineStr">
        <is>
          <t>METİN ERYİĞİT</t>
        </is>
      </c>
      <c r="D4210" s="21" t="inlineStr">
        <is>
          <t>34 EGS 013</t>
        </is>
      </c>
      <c r="E4210" s="21" t="inlineStr">
        <is>
          <t>UĞUR DUMAN</t>
        </is>
      </c>
      <c r="F4210" s="23" t="n">
        <v>506057</v>
      </c>
      <c r="G4210" s="138" t="n"/>
      <c r="H4210" s="138" t="n">
        <v>320</v>
      </c>
      <c r="I4210" s="138">
        <f>+I4209+(G4210-H4210)</f>
        <v/>
      </c>
      <c r="J4210" s="139" t="n">
        <v>46.213</v>
      </c>
      <c r="K4210" s="140" t="n"/>
      <c r="L4210" s="140">
        <f>+H4210*J4210</f>
        <v/>
      </c>
      <c r="M4210" s="141">
        <f>SUM(M4209+K4210-L4210)</f>
        <v/>
      </c>
    </row>
    <row r="4211">
      <c r="A4211" s="20" t="n">
        <v>45883</v>
      </c>
      <c r="B4211" s="1" t="n">
        <v>2047</v>
      </c>
      <c r="C4211" s="2" t="inlineStr">
        <is>
          <t>MEGA VARLIK</t>
        </is>
      </c>
      <c r="D4211" s="1" t="inlineStr">
        <is>
          <t>SM 300</t>
        </is>
      </c>
      <c r="E4211" s="1" t="inlineStr">
        <is>
          <t>TURGUT SANCAK</t>
        </is>
      </c>
      <c r="F4211" s="3" t="n"/>
      <c r="G4211" s="143" t="n"/>
      <c r="H4211" s="143" t="n">
        <v>437</v>
      </c>
      <c r="I4211" s="143">
        <f>+I4210+(G4211-H4211)</f>
        <v/>
      </c>
      <c r="J4211" s="144" t="n">
        <v>46.213</v>
      </c>
      <c r="K4211" s="145" t="n"/>
      <c r="L4211" s="140">
        <f>+H4211*J4211</f>
        <v/>
      </c>
      <c r="M4211" s="141">
        <f>SUM(M4210+K4211-L4211)</f>
        <v/>
      </c>
    </row>
    <row r="4212">
      <c r="A4212" s="20" t="n">
        <v>45883</v>
      </c>
      <c r="B4212" s="1" t="n">
        <v>2048</v>
      </c>
      <c r="C4212" s="2" t="inlineStr">
        <is>
          <t>MEGA VARLIK</t>
        </is>
      </c>
      <c r="D4212" s="1" t="inlineStr">
        <is>
          <t>SM 350</t>
        </is>
      </c>
      <c r="E4212" s="1" t="inlineStr">
        <is>
          <t>AHMET AKGÜL</t>
        </is>
      </c>
      <c r="F4212" s="3" t="n"/>
      <c r="G4212" s="143" t="n"/>
      <c r="H4212" s="143" t="n">
        <v>422</v>
      </c>
      <c r="I4212" s="143">
        <f>+I4211+(G4212-H4212)</f>
        <v/>
      </c>
      <c r="J4212" s="144" t="n">
        <v>46.213</v>
      </c>
      <c r="K4212" s="145" t="n"/>
      <c r="L4212" s="140">
        <f>+H4212*J4212</f>
        <v/>
      </c>
      <c r="M4212" s="141">
        <f>SUM(M4211+K4212-L4212)</f>
        <v/>
      </c>
    </row>
    <row r="4213">
      <c r="A4213" s="20" t="n">
        <v>45883</v>
      </c>
      <c r="B4213" s="1" t="n">
        <v>2049</v>
      </c>
      <c r="C4213" s="2" t="inlineStr">
        <is>
          <t>MEGA VARLIK</t>
        </is>
      </c>
      <c r="D4213" s="1" t="inlineStr">
        <is>
          <t>SM 370</t>
        </is>
      </c>
      <c r="E4213" s="1" t="inlineStr">
        <is>
          <t>TEKİN ŞEYLAN</t>
        </is>
      </c>
      <c r="F4213" s="3" t="n"/>
      <c r="G4213" s="143" t="n"/>
      <c r="H4213" s="143" t="n">
        <v>596</v>
      </c>
      <c r="I4213" s="143">
        <f>+I4212+(G4213-H4213)</f>
        <v/>
      </c>
      <c r="J4213" s="144" t="n">
        <v>46.213</v>
      </c>
      <c r="K4213" s="145" t="n"/>
      <c r="L4213" s="140">
        <f>+H4213*J4213</f>
        <v/>
      </c>
      <c r="M4213" s="141">
        <f>SUM(M4212+K4213-L4213)</f>
        <v/>
      </c>
    </row>
    <row r="4214">
      <c r="A4214" s="20" t="n">
        <v>45883</v>
      </c>
      <c r="B4214" s="1" t="n">
        <v>2050</v>
      </c>
      <c r="C4214" s="2" t="inlineStr">
        <is>
          <t>MEGA VARLIK</t>
        </is>
      </c>
      <c r="D4214" s="1" t="inlineStr">
        <is>
          <t>SM 350</t>
        </is>
      </c>
      <c r="E4214" s="1" t="inlineStr">
        <is>
          <t>TEVFİK ÖZTÜRK</t>
        </is>
      </c>
      <c r="F4214" s="3" t="n"/>
      <c r="G4214" s="143" t="n"/>
      <c r="H4214" s="143" t="n">
        <v>540</v>
      </c>
      <c r="I4214" s="143">
        <f>+I4213+(G4214-H4214)</f>
        <v/>
      </c>
      <c r="J4214" s="144" t="n">
        <v>46.213</v>
      </c>
      <c r="K4214" s="145" t="n"/>
      <c r="L4214" s="140">
        <f>+H4214*J4214</f>
        <v/>
      </c>
      <c r="M4214" s="141">
        <f>SUM(M4213+K4214-L4214)</f>
        <v/>
      </c>
    </row>
    <row r="4215">
      <c r="A4215" s="20" t="n">
        <v>45883</v>
      </c>
      <c r="B4215" s="1" t="n">
        <v>2051</v>
      </c>
      <c r="C4215" s="2" t="inlineStr">
        <is>
          <t>EVKUR</t>
        </is>
      </c>
      <c r="D4215" s="1" t="inlineStr">
        <is>
          <t>SİLİNDİR</t>
        </is>
      </c>
      <c r="E4215" s="1" t="inlineStr">
        <is>
          <t>ÖNER DÜNDAR</t>
        </is>
      </c>
      <c r="F4215" s="3" t="n"/>
      <c r="G4215" s="143" t="n"/>
      <c r="H4215" s="143" t="n">
        <v>324</v>
      </c>
      <c r="I4215" s="143">
        <f>+I4214+(G4215-H4215)</f>
        <v/>
      </c>
      <c r="J4215" s="144" t="n">
        <v>46.213</v>
      </c>
      <c r="K4215" s="145" t="n"/>
      <c r="L4215" s="140">
        <f>+H4215*J4215</f>
        <v/>
      </c>
      <c r="M4215" s="141">
        <f>SUM(M4214+K4215-L4215)</f>
        <v/>
      </c>
    </row>
    <row r="4216">
      <c r="A4216" s="20" t="n">
        <v>45883</v>
      </c>
      <c r="B4216" s="1" t="n">
        <v>2052</v>
      </c>
      <c r="C4216" s="2" t="inlineStr">
        <is>
          <t>EVKUR</t>
        </is>
      </c>
      <c r="D4216" s="1" t="inlineStr">
        <is>
          <t>MNT 2260</t>
        </is>
      </c>
      <c r="E4216" s="1" t="inlineStr">
        <is>
          <t>MUHAMMET KANTAR</t>
        </is>
      </c>
      <c r="F4216" s="3" t="n"/>
      <c r="G4216" s="143" t="n"/>
      <c r="H4216" s="143" t="n">
        <v>294</v>
      </c>
      <c r="I4216" s="143">
        <f>+I4215+(G4216-H4216)</f>
        <v/>
      </c>
      <c r="J4216" s="144" t="n">
        <v>46.213</v>
      </c>
      <c r="K4216" s="145" t="n"/>
      <c r="L4216" s="140">
        <f>+H4216*J4216</f>
        <v/>
      </c>
      <c r="M4216" s="141">
        <f>SUM(M4215+K4216-L4216)</f>
        <v/>
      </c>
    </row>
    <row r="4217">
      <c r="A4217" s="20" t="n">
        <v>45883</v>
      </c>
      <c r="B4217" s="1" t="n">
        <v>1406</v>
      </c>
      <c r="C4217" s="2" t="inlineStr">
        <is>
          <t>SELİM İNŞAAT</t>
        </is>
      </c>
      <c r="D4217" s="1" t="inlineStr">
        <is>
          <t>34 DKL 798</t>
        </is>
      </c>
      <c r="E4217" s="1" t="inlineStr">
        <is>
          <t>METİN KALKAN</t>
        </is>
      </c>
      <c r="F4217" s="3" t="n">
        <v>70816</v>
      </c>
      <c r="G4217" s="143" t="n"/>
      <c r="H4217" s="143" t="n">
        <v>223</v>
      </c>
      <c r="I4217" s="143">
        <f>+I4216+(G4217-H4217)</f>
        <v/>
      </c>
      <c r="J4217" s="144" t="n">
        <v>46.213</v>
      </c>
      <c r="K4217" s="145" t="n"/>
      <c r="L4217" s="140">
        <f>+H4217*J4217</f>
        <v/>
      </c>
      <c r="M4217" s="141">
        <f>SUM(M4216+K4217-L4217)</f>
        <v/>
      </c>
    </row>
    <row r="4218">
      <c r="A4218" s="20" t="n">
        <v>45883</v>
      </c>
      <c r="B4218" s="1" t="n">
        <v>15942</v>
      </c>
      <c r="C4218" s="2" t="inlineStr">
        <is>
          <t>SELİM İNŞAAT</t>
        </is>
      </c>
      <c r="D4218" s="1" t="inlineStr">
        <is>
          <t>34 DFE 454</t>
        </is>
      </c>
      <c r="E4218" s="1" t="inlineStr">
        <is>
          <t>GÖRKEM KARAYEL</t>
        </is>
      </c>
      <c r="F4218" s="3" t="n">
        <v>164837</v>
      </c>
      <c r="G4218" s="143" t="n"/>
      <c r="H4218" s="143" t="n">
        <v>274</v>
      </c>
      <c r="I4218" s="143">
        <f>+I4217+(G4218-H4218)</f>
        <v/>
      </c>
      <c r="J4218" s="144" t="n">
        <v>46.213</v>
      </c>
      <c r="K4218" s="145" t="n"/>
      <c r="L4218" s="140">
        <f>+H4218*J4218</f>
        <v/>
      </c>
      <c r="M4218" s="141">
        <f>SUM(M4217+K4218-L4218)</f>
        <v/>
      </c>
    </row>
    <row r="4219">
      <c r="A4219" s="20" t="n">
        <v>45883</v>
      </c>
      <c r="B4219" s="1" t="n">
        <v>471</v>
      </c>
      <c r="C4219" s="2" t="inlineStr">
        <is>
          <t>SELİM İNŞAAT</t>
        </is>
      </c>
      <c r="D4219" s="1" t="inlineStr">
        <is>
          <t>34 DKL 866</t>
        </is>
      </c>
      <c r="E4219" s="1" t="inlineStr">
        <is>
          <t>SELİM CAN ÖNVER</t>
        </is>
      </c>
      <c r="F4219" s="3" t="n">
        <v>71718</v>
      </c>
      <c r="G4219" s="143" t="n"/>
      <c r="H4219" s="143" t="n">
        <v>243</v>
      </c>
      <c r="I4219" s="143">
        <f>+I4218+(G4219-H4219)</f>
        <v/>
      </c>
      <c r="J4219" s="144" t="n">
        <v>46.213</v>
      </c>
      <c r="K4219" s="145" t="n"/>
      <c r="L4219" s="140">
        <f>+H4219*J4219</f>
        <v/>
      </c>
      <c r="M4219" s="141">
        <f>SUM(M4218+K4219-L4219)</f>
        <v/>
      </c>
    </row>
    <row r="4220">
      <c r="A4220" s="20" t="n">
        <v>45883</v>
      </c>
      <c r="B4220" s="1" t="n">
        <v>611</v>
      </c>
      <c r="C4220" s="2" t="inlineStr">
        <is>
          <t>SELİM İNŞAAT</t>
        </is>
      </c>
      <c r="D4220" s="1" t="inlineStr">
        <is>
          <t>34 AR 7743</t>
        </is>
      </c>
      <c r="E4220" s="1" t="inlineStr">
        <is>
          <t>MEHMET SELİM</t>
        </is>
      </c>
      <c r="F4220" s="3" t="n">
        <v>360350</v>
      </c>
      <c r="G4220" s="143" t="n"/>
      <c r="H4220" s="143" t="n">
        <v>61</v>
      </c>
      <c r="I4220" s="143">
        <f>+I4219+(G4220-H4220)</f>
        <v/>
      </c>
      <c r="J4220" s="144" t="n">
        <v>46.213</v>
      </c>
      <c r="K4220" s="145" t="n"/>
      <c r="L4220" s="140">
        <f>+H4220*J4220</f>
        <v/>
      </c>
      <c r="M4220" s="141">
        <f>SUM(M4219+K4220-L4220)</f>
        <v/>
      </c>
    </row>
    <row r="4221">
      <c r="A4221" s="20" t="n">
        <v>45883</v>
      </c>
      <c r="B4221" s="1" t="n">
        <v>209</v>
      </c>
      <c r="C4221" s="2" t="inlineStr">
        <is>
          <t>SELİM İNŞAAT</t>
        </is>
      </c>
      <c r="D4221" s="1" t="inlineStr">
        <is>
          <t>34 JGR 15</t>
        </is>
      </c>
      <c r="E4221" s="1" t="inlineStr">
        <is>
          <t>SELİM CAN ÖNVER</t>
        </is>
      </c>
      <c r="F4221" s="3" t="n">
        <v>314394</v>
      </c>
      <c r="G4221" s="143" t="n"/>
      <c r="H4221" s="143" t="n">
        <v>71</v>
      </c>
      <c r="I4221" s="143">
        <f>+I4220+(G4221-H4221)</f>
        <v/>
      </c>
      <c r="J4221" s="144" t="n">
        <v>46.213</v>
      </c>
      <c r="K4221" s="145" t="n"/>
      <c r="L4221" s="140">
        <f>+H4221*J4221</f>
        <v/>
      </c>
      <c r="M4221" s="141">
        <f>SUM(M4220+K4221-L4221)</f>
        <v/>
      </c>
    </row>
    <row r="4222">
      <c r="A4222" s="20" t="n">
        <v>45883</v>
      </c>
      <c r="B4222" s="1" t="n">
        <v>664</v>
      </c>
      <c r="C4222" s="2" t="inlineStr">
        <is>
          <t>SELİM İNŞAAT</t>
        </is>
      </c>
      <c r="D4222" s="1" t="inlineStr">
        <is>
          <t>34 DTV 352</t>
        </is>
      </c>
      <c r="E4222" s="1" t="inlineStr">
        <is>
          <t>AHMET DENİZ</t>
        </is>
      </c>
      <c r="F4222" s="3" t="n">
        <v>443204</v>
      </c>
      <c r="G4222" s="143" t="n"/>
      <c r="H4222" s="143" t="n">
        <v>412</v>
      </c>
      <c r="I4222" s="143">
        <f>+I4221+(G4222-H4222)</f>
        <v/>
      </c>
      <c r="J4222" s="144" t="n">
        <v>46.213</v>
      </c>
      <c r="K4222" s="145" t="n"/>
      <c r="L4222" s="140">
        <f>+H4222*J4222</f>
        <v/>
      </c>
      <c r="M4222" s="141">
        <f>SUM(M4221+K4222-L4222)</f>
        <v/>
      </c>
    </row>
    <row r="4223">
      <c r="A4223" s="20" t="n">
        <v>45883</v>
      </c>
      <c r="B4223" s="1" t="n">
        <v>1509</v>
      </c>
      <c r="C4223" s="2" t="inlineStr">
        <is>
          <t>SELİM İNŞAAT</t>
        </is>
      </c>
      <c r="D4223" s="1" t="inlineStr">
        <is>
          <t>34 GUS 848</t>
        </is>
      </c>
      <c r="E4223" s="1" t="inlineStr">
        <is>
          <t>SERDAR BOZKURT</t>
        </is>
      </c>
      <c r="F4223" s="3" t="n">
        <v>203188</v>
      </c>
      <c r="G4223" s="143" t="n"/>
      <c r="H4223" s="143" t="n">
        <v>241</v>
      </c>
      <c r="I4223" s="143">
        <f>+I4222+(G4223-H4223)</f>
        <v/>
      </c>
      <c r="J4223" s="144" t="n">
        <v>46.213</v>
      </c>
      <c r="K4223" s="145" t="n"/>
      <c r="L4223" s="140">
        <f>+H4223*J4223</f>
        <v/>
      </c>
      <c r="M4223" s="141">
        <f>SUM(M4222+K4223-L4223)</f>
        <v/>
      </c>
    </row>
    <row r="4224">
      <c r="A4224" s="20" t="n">
        <v>45883</v>
      </c>
      <c r="B4224" s="1" t="n">
        <v>15337</v>
      </c>
      <c r="C4224" s="2" t="inlineStr">
        <is>
          <t>SELİM İNŞAAT</t>
        </is>
      </c>
      <c r="D4224" s="1" t="inlineStr">
        <is>
          <t>34 EDC 162</t>
        </is>
      </c>
      <c r="E4224" s="1" t="inlineStr">
        <is>
          <t>YAKUP GÜNER</t>
        </is>
      </c>
      <c r="F4224" s="3" t="n">
        <v>384318</v>
      </c>
      <c r="G4224" s="143" t="n"/>
      <c r="H4224" s="143" t="n">
        <v>391</v>
      </c>
      <c r="I4224" s="143">
        <f>+I4223+(G4224-H4224)</f>
        <v/>
      </c>
      <c r="J4224" s="144" t="n">
        <v>46.213</v>
      </c>
      <c r="K4224" s="145" t="n"/>
      <c r="L4224" s="140">
        <f>+H4224*J4224</f>
        <v/>
      </c>
      <c r="M4224" s="141">
        <f>SUM(M4223+K4224-L4224)</f>
        <v/>
      </c>
    </row>
    <row r="4225">
      <c r="A4225" s="20" t="n">
        <v>45883</v>
      </c>
      <c r="B4225" s="1" t="n">
        <v>322</v>
      </c>
      <c r="C4225" s="2" t="inlineStr">
        <is>
          <t>SELİM İNŞAAT</t>
        </is>
      </c>
      <c r="D4225" s="1" t="inlineStr">
        <is>
          <t>34 EDB 829</t>
        </is>
      </c>
      <c r="E4225" s="1" t="inlineStr">
        <is>
          <t>İRFAN DAĞLAR</t>
        </is>
      </c>
      <c r="F4225" s="3" t="n">
        <v>330790</v>
      </c>
      <c r="G4225" s="143" t="n"/>
      <c r="H4225" s="143" t="n">
        <v>297</v>
      </c>
      <c r="I4225" s="143">
        <f>+I4224+(G4225-H4225)</f>
        <v/>
      </c>
      <c r="J4225" s="144" t="n">
        <v>46.213</v>
      </c>
      <c r="K4225" s="145" t="n"/>
      <c r="L4225" s="140">
        <f>+H4225*J4225</f>
        <v/>
      </c>
      <c r="M4225" s="141">
        <f>SUM(M4224+K4225-L4225)</f>
        <v/>
      </c>
    </row>
    <row r="4226">
      <c r="A4226" s="20" t="n">
        <v>45883</v>
      </c>
      <c r="B4226" s="1" t="n">
        <v>825</v>
      </c>
      <c r="C4226" s="2" t="inlineStr">
        <is>
          <t>SELİM İNŞAAT</t>
        </is>
      </c>
      <c r="D4226" s="1" t="inlineStr">
        <is>
          <t>34 FBR 705</t>
        </is>
      </c>
      <c r="E4226" s="1" t="inlineStr">
        <is>
          <t>MESUT GÜRLER</t>
        </is>
      </c>
      <c r="F4226" s="3" t="n">
        <v>331481</v>
      </c>
      <c r="G4226" s="143" t="n"/>
      <c r="H4226" s="143" t="n">
        <v>484</v>
      </c>
      <c r="I4226" s="143">
        <f>+I4225+(G4226-H4226)</f>
        <v/>
      </c>
      <c r="J4226" s="144" t="n">
        <v>46.213</v>
      </c>
      <c r="K4226" s="145" t="n"/>
      <c r="L4226" s="140">
        <f>+H4226*J4226</f>
        <v/>
      </c>
      <c r="M4226" s="141">
        <f>SUM(M4225+K4226-L4226)</f>
        <v/>
      </c>
    </row>
    <row r="4227">
      <c r="A4227" s="20" t="n">
        <v>45883</v>
      </c>
      <c r="B4227" s="1" t="n">
        <v>15592</v>
      </c>
      <c r="C4227" s="2" t="inlineStr">
        <is>
          <t>SELİM İNŞAAT</t>
        </is>
      </c>
      <c r="D4227" s="1" t="inlineStr">
        <is>
          <t>34 GVZ 745</t>
        </is>
      </c>
      <c r="E4227" s="1" t="inlineStr">
        <is>
          <t>MURAT DEMİŞBAŞ</t>
        </is>
      </c>
      <c r="F4227" s="3" t="n">
        <v>201729</v>
      </c>
      <c r="G4227" s="143" t="n"/>
      <c r="H4227" s="143" t="n">
        <v>346</v>
      </c>
      <c r="I4227" s="143">
        <f>+I4226+(G4227-H4227)</f>
        <v/>
      </c>
      <c r="J4227" s="144" t="n">
        <v>46.213</v>
      </c>
      <c r="K4227" s="145" t="n"/>
      <c r="L4227" s="140">
        <f>+H4227*J4227</f>
        <v/>
      </c>
      <c r="M4227" s="141">
        <f>SUM(M4226+K4227-L4227)</f>
        <v/>
      </c>
    </row>
    <row r="4228">
      <c r="A4228" s="20" t="n">
        <v>45883</v>
      </c>
      <c r="B4228" s="1" t="n">
        <v>1213</v>
      </c>
      <c r="C4228" s="2" t="inlineStr">
        <is>
          <t>SELİM İNŞAAT</t>
        </is>
      </c>
      <c r="D4228" s="1" t="inlineStr">
        <is>
          <t>34 DHC 393</t>
        </is>
      </c>
      <c r="E4228" s="1" t="inlineStr">
        <is>
          <t>İSMET BAYRAM</t>
        </is>
      </c>
      <c r="F4228" s="3" t="n">
        <v>435626</v>
      </c>
      <c r="G4228" s="143" t="n"/>
      <c r="H4228" s="143" t="n">
        <v>468</v>
      </c>
      <c r="I4228" s="143">
        <f>+I4227+(G4228-H4228)</f>
        <v/>
      </c>
      <c r="J4228" s="144" t="n">
        <v>46.213</v>
      </c>
      <c r="K4228" s="145" t="n"/>
      <c r="L4228" s="140">
        <f>+H4228*J4228</f>
        <v/>
      </c>
      <c r="M4228" s="141">
        <f>SUM(M4227+K4228-L4228)</f>
        <v/>
      </c>
    </row>
    <row r="4229">
      <c r="A4229" s="20" t="n">
        <v>45883</v>
      </c>
      <c r="B4229" s="1" t="n">
        <v>15540</v>
      </c>
      <c r="C4229" s="2" t="inlineStr">
        <is>
          <t>SELİM İNŞAAT</t>
        </is>
      </c>
      <c r="D4229" s="1" t="inlineStr">
        <is>
          <t>34 EDC 086</t>
        </is>
      </c>
      <c r="E4229" s="1" t="inlineStr">
        <is>
          <t>ÖMER AĞAYAR</t>
        </is>
      </c>
      <c r="F4229" s="3" t="n">
        <v>341466</v>
      </c>
      <c r="G4229" s="143" t="n"/>
      <c r="H4229" s="143" t="n">
        <v>502</v>
      </c>
      <c r="I4229" s="143">
        <f>+I4228+(G4229-H4229)</f>
        <v/>
      </c>
      <c r="J4229" s="144" t="n">
        <v>46.213</v>
      </c>
      <c r="K4229" s="145" t="n"/>
      <c r="L4229" s="140">
        <f>+H4229*J4229</f>
        <v/>
      </c>
      <c r="M4229" s="141">
        <f>SUM(M4228+K4229-L4229)</f>
        <v/>
      </c>
    </row>
    <row r="4230">
      <c r="A4230" s="20" t="n">
        <v>45883</v>
      </c>
      <c r="B4230" s="1" t="n">
        <v>1066</v>
      </c>
      <c r="C4230" s="2" t="inlineStr">
        <is>
          <t>SELİM İNŞAAT</t>
        </is>
      </c>
      <c r="D4230" s="1" t="inlineStr">
        <is>
          <t>34 GVZ 310</t>
        </is>
      </c>
      <c r="E4230" s="1" t="inlineStr">
        <is>
          <t>CELAL YÜZBAŞI</t>
        </is>
      </c>
      <c r="F4230" s="3" t="n">
        <v>214018</v>
      </c>
      <c r="G4230" s="143" t="n"/>
      <c r="H4230" s="143" t="n">
        <v>530</v>
      </c>
      <c r="I4230" s="143">
        <f>+I4229+(G4230-H4230)</f>
        <v/>
      </c>
      <c r="J4230" s="144" t="n">
        <v>46.213</v>
      </c>
      <c r="K4230" s="145" t="n"/>
      <c r="L4230" s="140">
        <f>+H4230*J4230</f>
        <v/>
      </c>
      <c r="M4230" s="141">
        <f>SUM(M4229+K4230-L4230)</f>
        <v/>
      </c>
    </row>
    <row r="4231">
      <c r="A4231" s="20" t="n">
        <v>45883</v>
      </c>
      <c r="B4231" s="1" t="n">
        <v>769</v>
      </c>
      <c r="C4231" s="2" t="inlineStr">
        <is>
          <t>SELİM İNŞAAT</t>
        </is>
      </c>
      <c r="D4231" s="1" t="inlineStr">
        <is>
          <t>34 EDB 559</t>
        </is>
      </c>
      <c r="E4231" s="1" t="inlineStr">
        <is>
          <t>ATA KIZMAZ</t>
        </is>
      </c>
      <c r="F4231" s="3" t="n">
        <v>336878</v>
      </c>
      <c r="G4231" s="143" t="n"/>
      <c r="H4231" s="143" t="n">
        <v>443</v>
      </c>
      <c r="I4231" s="143">
        <f>+I4230+(G4231-H4231)</f>
        <v/>
      </c>
      <c r="J4231" s="144" t="n">
        <v>46.213</v>
      </c>
      <c r="K4231" s="145" t="n"/>
      <c r="L4231" s="140">
        <f>+H4231*J4231</f>
        <v/>
      </c>
      <c r="M4231" s="141">
        <f>SUM(M4230+K4231-L4231)</f>
        <v/>
      </c>
    </row>
    <row r="4232">
      <c r="A4232" s="20" t="n">
        <v>45883</v>
      </c>
      <c r="B4232" s="1" t="n">
        <v>15882</v>
      </c>
      <c r="C4232" s="2" t="inlineStr">
        <is>
          <t>SELİM İNŞAAT</t>
        </is>
      </c>
      <c r="D4232" s="1" t="inlineStr">
        <is>
          <t>34 EDB 754</t>
        </is>
      </c>
      <c r="E4232" s="1" t="inlineStr">
        <is>
          <t>EMİN PARLAKKILIÇ</t>
        </is>
      </c>
      <c r="F4232" s="3" t="n">
        <v>337061</v>
      </c>
      <c r="G4232" s="143" t="n"/>
      <c r="H4232" s="143" t="n">
        <v>438</v>
      </c>
      <c r="I4232" s="143">
        <f>+I4231+(G4232-H4232)</f>
        <v/>
      </c>
      <c r="J4232" s="144" t="n">
        <v>46.213</v>
      </c>
      <c r="K4232" s="145" t="n"/>
      <c r="L4232" s="140">
        <f>+H4232*J4232</f>
        <v/>
      </c>
      <c r="M4232" s="141">
        <f>SUM(M4231+K4232-L4232)</f>
        <v/>
      </c>
    </row>
    <row r="4233">
      <c r="A4233" s="20" t="n">
        <v>45883</v>
      </c>
      <c r="B4233" s="1" t="n">
        <v>575</v>
      </c>
      <c r="C4233" s="2" t="inlineStr">
        <is>
          <t>SELİM İNŞAAT</t>
        </is>
      </c>
      <c r="D4233" s="1" t="inlineStr">
        <is>
          <t>34 EDB 922</t>
        </is>
      </c>
      <c r="E4233" s="1" t="inlineStr">
        <is>
          <t>AHMET TOPÇU</t>
        </is>
      </c>
      <c r="F4233" s="3" t="n">
        <v>378649</v>
      </c>
      <c r="G4233" s="143" t="n"/>
      <c r="H4233" s="143" t="n">
        <v>435</v>
      </c>
      <c r="I4233" s="143">
        <f>+I4232+(G4233-H4233)</f>
        <v/>
      </c>
      <c r="J4233" s="144" t="n">
        <v>46.213</v>
      </c>
      <c r="K4233" s="145" t="n"/>
      <c r="L4233" s="140">
        <f>+H4233*J4233</f>
        <v/>
      </c>
      <c r="M4233" s="141">
        <f>SUM(M4232+K4233-L4233)</f>
        <v/>
      </c>
    </row>
    <row r="4234">
      <c r="A4234" s="20" t="n">
        <v>45883</v>
      </c>
      <c r="B4234" s="1" t="n">
        <v>15045</v>
      </c>
      <c r="C4234" s="2" t="inlineStr">
        <is>
          <t>SELİM İNŞAAT</t>
        </is>
      </c>
      <c r="D4234" s="1" t="inlineStr">
        <is>
          <t>34 GVZ 199</t>
        </is>
      </c>
      <c r="E4234" s="1" t="inlineStr">
        <is>
          <t>MESUT GÜRLER</t>
        </is>
      </c>
      <c r="F4234" s="3" t="n">
        <v>195787</v>
      </c>
      <c r="G4234" s="143" t="n"/>
      <c r="H4234" s="143" t="n">
        <v>444</v>
      </c>
      <c r="I4234" s="143">
        <f>+I4233+(G4234-H4234)</f>
        <v/>
      </c>
      <c r="J4234" s="144" t="n">
        <v>46.213</v>
      </c>
      <c r="K4234" s="145" t="n"/>
      <c r="L4234" s="140">
        <f>+H4234*J4234</f>
        <v/>
      </c>
      <c r="M4234" s="141">
        <f>SUM(M4233+K4234-L4234)</f>
        <v/>
      </c>
    </row>
    <row r="4235">
      <c r="A4235" s="20" t="n">
        <v>45883</v>
      </c>
      <c r="B4235" s="1" t="n">
        <v>1263</v>
      </c>
      <c r="C4235" s="2" t="inlineStr">
        <is>
          <t>SELİM İNŞAAT</t>
        </is>
      </c>
      <c r="D4235" s="1" t="inlineStr">
        <is>
          <t>34 DSN 621</t>
        </is>
      </c>
      <c r="E4235" s="1" t="inlineStr">
        <is>
          <t>MUSTAFA KAYA</t>
        </is>
      </c>
      <c r="F4235" s="3" t="n">
        <v>425758</v>
      </c>
      <c r="G4235" s="143" t="n"/>
      <c r="H4235" s="143" t="n">
        <v>479</v>
      </c>
      <c r="I4235" s="143">
        <f>+I4234+(G4235-H4235)</f>
        <v/>
      </c>
      <c r="J4235" s="144" t="n">
        <v>46.213</v>
      </c>
      <c r="K4235" s="145" t="n"/>
      <c r="L4235" s="140">
        <f>+H4235*J4235</f>
        <v/>
      </c>
      <c r="M4235" s="141">
        <f>SUM(M4234+K4235-L4235)</f>
        <v/>
      </c>
    </row>
    <row r="4236">
      <c r="A4236" s="20" t="n">
        <v>45883</v>
      </c>
      <c r="B4236" s="1" t="n">
        <v>1112</v>
      </c>
      <c r="C4236" s="2" t="inlineStr">
        <is>
          <t>SELİM İNŞAAT</t>
        </is>
      </c>
      <c r="D4236" s="1" t="inlineStr">
        <is>
          <t>34 EDB 659</t>
        </is>
      </c>
      <c r="E4236" s="1" t="inlineStr">
        <is>
          <t>MEHMET SAİT ANIK</t>
        </is>
      </c>
      <c r="F4236" s="3" t="n">
        <v>355345</v>
      </c>
      <c r="G4236" s="143" t="n"/>
      <c r="H4236" s="143" t="n">
        <v>455</v>
      </c>
      <c r="I4236" s="143">
        <f>+I4235+(G4236-H4236)</f>
        <v/>
      </c>
      <c r="J4236" s="144" t="n">
        <v>46.213</v>
      </c>
      <c r="K4236" s="145" t="n"/>
      <c r="L4236" s="140">
        <f>+H4236*J4236</f>
        <v/>
      </c>
      <c r="M4236" s="141">
        <f>SUM(M4235+K4236-L4236)</f>
        <v/>
      </c>
    </row>
    <row r="4237">
      <c r="A4237" s="20" t="n">
        <v>45883</v>
      </c>
      <c r="B4237" s="1" t="n">
        <v>1807</v>
      </c>
      <c r="C4237" s="2" t="inlineStr">
        <is>
          <t>SELİM İNŞAAT</t>
        </is>
      </c>
      <c r="D4237" s="1" t="inlineStr">
        <is>
          <t>34 EGR 922</t>
        </is>
      </c>
      <c r="E4237" s="1" t="inlineStr">
        <is>
          <t xml:space="preserve">FARUK ÖZEN </t>
        </is>
      </c>
      <c r="F4237" s="3" t="n">
        <v>468944</v>
      </c>
      <c r="G4237" s="143" t="n"/>
      <c r="H4237" s="143" t="n">
        <v>530</v>
      </c>
      <c r="I4237" s="143">
        <f>+I4236+(G4237-H4237)</f>
        <v/>
      </c>
      <c r="J4237" s="144" t="n">
        <v>46.213</v>
      </c>
      <c r="K4237" s="145" t="n"/>
      <c r="L4237" s="140">
        <f>+H4237*J4237</f>
        <v/>
      </c>
      <c r="M4237" s="141">
        <f>SUM(M4236+K4237-L4237)</f>
        <v/>
      </c>
    </row>
    <row r="4238">
      <c r="A4238" s="20" t="n">
        <v>45883</v>
      </c>
      <c r="B4238" s="21" t="n">
        <v>1100</v>
      </c>
      <c r="C4238" s="22" t="inlineStr">
        <is>
          <t>ÜNSOY TURİZM İNŞ.SAN.VE TİC.A.Ş.</t>
        </is>
      </c>
      <c r="D4238" s="21" t="n"/>
      <c r="E4238" s="21" t="n"/>
      <c r="F4238" s="23" t="n"/>
      <c r="G4238" s="138" t="n">
        <v>31963</v>
      </c>
      <c r="H4238" s="138" t="n"/>
      <c r="I4238" s="138">
        <f>+I4237+(G4238-H4238)</f>
        <v/>
      </c>
      <c r="J4238" s="139">
        <f>+K4238/G4238</f>
        <v/>
      </c>
      <c r="K4238" s="140" t="n">
        <v>1431942.38</v>
      </c>
      <c r="L4238" s="140">
        <f>+H4238*J4238</f>
        <v/>
      </c>
      <c r="M4238" s="141">
        <f>SUM(M4237+K4238-L4238)</f>
        <v/>
      </c>
    </row>
    <row r="4239">
      <c r="A4239" s="20" t="n">
        <v>45884</v>
      </c>
      <c r="B4239" s="21" t="n">
        <v>11388</v>
      </c>
      <c r="C4239" s="22" t="inlineStr">
        <is>
          <t>AZGÜN YAPI</t>
        </is>
      </c>
      <c r="D4239" s="21" t="inlineStr">
        <is>
          <t>34 MKT 593</t>
        </is>
      </c>
      <c r="E4239" s="21" t="inlineStr">
        <is>
          <t>POYRAZ MADENBAŞ</t>
        </is>
      </c>
      <c r="F4239" s="23" t="n"/>
      <c r="G4239" s="138" t="n"/>
      <c r="H4239" s="138" t="n">
        <v>358</v>
      </c>
      <c r="I4239" s="138">
        <f>+I4238+(G4239-H4239)</f>
        <v/>
      </c>
      <c r="J4239" s="139" t="n">
        <v>44.8</v>
      </c>
      <c r="K4239" s="140" t="n"/>
      <c r="L4239" s="140">
        <f>+H4239*J4239</f>
        <v/>
      </c>
      <c r="M4239" s="141">
        <f>SUM(M4238+K4239-L4239)</f>
        <v/>
      </c>
    </row>
    <row r="4240">
      <c r="A4240" s="20" t="n">
        <v>45884</v>
      </c>
      <c r="B4240" s="21" t="n">
        <v>11347</v>
      </c>
      <c r="C4240" s="22" t="inlineStr">
        <is>
          <t>AZGÜN YAPI</t>
        </is>
      </c>
      <c r="D4240" s="21" t="inlineStr">
        <is>
          <t>34 MKT 859</t>
        </is>
      </c>
      <c r="E4240" s="21" t="inlineStr">
        <is>
          <t>ONUR CANLI</t>
        </is>
      </c>
      <c r="F4240" s="23" t="n"/>
      <c r="G4240" s="138" t="n"/>
      <c r="H4240" s="138" t="n">
        <v>442</v>
      </c>
      <c r="I4240" s="138">
        <f>+I4239+(G4240-H4240)</f>
        <v/>
      </c>
      <c r="J4240" s="139" t="n">
        <v>44.8</v>
      </c>
      <c r="K4240" s="140" t="n"/>
      <c r="L4240" s="140">
        <f>+H4240*J4240</f>
        <v/>
      </c>
      <c r="M4240" s="141">
        <f>SUM(M4239+K4240-L4240)</f>
        <v/>
      </c>
    </row>
    <row r="4241">
      <c r="A4241" s="20" t="n">
        <v>45884</v>
      </c>
      <c r="B4241" s="21" t="n">
        <v>2206</v>
      </c>
      <c r="C4241" s="22" t="inlineStr">
        <is>
          <t>AZGÜN YAPI</t>
        </is>
      </c>
      <c r="D4241" s="21" t="inlineStr">
        <is>
          <t>34 DTV 263</t>
        </is>
      </c>
      <c r="E4241" s="21" t="inlineStr">
        <is>
          <t>MUHAMMED BULUT</t>
        </is>
      </c>
      <c r="F4241" s="23" t="n"/>
      <c r="G4241" s="138" t="n"/>
      <c r="H4241" s="138" t="n">
        <v>342</v>
      </c>
      <c r="I4241" s="138">
        <f>+I4240+(G4241-H4241)</f>
        <v/>
      </c>
      <c r="J4241" s="139" t="n">
        <v>44.8</v>
      </c>
      <c r="K4241" s="140" t="n"/>
      <c r="L4241" s="140">
        <f>+H4241*J4241</f>
        <v/>
      </c>
      <c r="M4241" s="141">
        <f>SUM(M4240+K4241-L4241)</f>
        <v/>
      </c>
    </row>
    <row r="4242">
      <c r="A4242" s="20" t="n">
        <v>45884</v>
      </c>
      <c r="B4242" s="1" t="n">
        <v>1906</v>
      </c>
      <c r="C4242" s="2" t="inlineStr">
        <is>
          <t>SELİM İNŞAAT</t>
        </is>
      </c>
      <c r="D4242" s="1" t="inlineStr">
        <is>
          <t>34 FVU 827</t>
        </is>
      </c>
      <c r="E4242" s="1" t="inlineStr">
        <is>
          <t>YILMAZ ÇELEBİ</t>
        </is>
      </c>
      <c r="F4242" s="3" t="n"/>
      <c r="G4242" s="143" t="n"/>
      <c r="H4242" s="143" t="n">
        <v>22</v>
      </c>
      <c r="I4242" s="143">
        <f>+I4241+(G4242-H4242)</f>
        <v/>
      </c>
      <c r="J4242" s="144" t="n">
        <v>44.8</v>
      </c>
      <c r="K4242" s="145" t="n"/>
      <c r="L4242" s="140">
        <f>+H4242*J4242</f>
        <v/>
      </c>
      <c r="M4242" s="141">
        <f>SUM(M4241+K4242-L4242)</f>
        <v/>
      </c>
    </row>
    <row r="4243">
      <c r="A4243" s="20" t="n">
        <v>45884</v>
      </c>
      <c r="B4243" s="1" t="n">
        <v>2053</v>
      </c>
      <c r="C4243" s="2" t="inlineStr">
        <is>
          <t>EVKUR</t>
        </is>
      </c>
      <c r="D4243" s="1" t="inlineStr">
        <is>
          <t>KAVAZAKİ</t>
        </is>
      </c>
      <c r="E4243" s="1" t="inlineStr">
        <is>
          <t>RAMAZAN KAYA</t>
        </is>
      </c>
      <c r="F4243" s="3" t="n"/>
      <c r="G4243" s="143" t="n"/>
      <c r="H4243" s="143" t="n">
        <v>352</v>
      </c>
      <c r="I4243" s="143">
        <f>+I4242+(G4243-H4243)</f>
        <v/>
      </c>
      <c r="J4243" s="144" t="n">
        <v>44.8</v>
      </c>
      <c r="K4243" s="145" t="n"/>
      <c r="L4243" s="140">
        <f>+H4243*J4243</f>
        <v/>
      </c>
      <c r="M4243" s="141">
        <f>SUM(M4242+K4243-L4243)</f>
        <v/>
      </c>
    </row>
    <row r="4244">
      <c r="A4244" s="20" t="n">
        <v>45884</v>
      </c>
      <c r="B4244" s="1" t="n">
        <v>2054</v>
      </c>
      <c r="C4244" s="2" t="inlineStr">
        <is>
          <t>VARLIK</t>
        </is>
      </c>
      <c r="D4244" s="1" t="inlineStr">
        <is>
          <t>SM 350</t>
        </is>
      </c>
      <c r="E4244" s="1" t="inlineStr">
        <is>
          <t>TEVFİK ÖZTÜRK</t>
        </is>
      </c>
      <c r="F4244" s="3" t="n"/>
      <c r="G4244" s="143" t="n"/>
      <c r="H4244" s="143" t="n">
        <v>430</v>
      </c>
      <c r="I4244" s="143">
        <f>+I4243+(G4244-H4244)</f>
        <v/>
      </c>
      <c r="J4244" s="144" t="n">
        <v>44.8</v>
      </c>
      <c r="K4244" s="145" t="n"/>
      <c r="L4244" s="140">
        <f>+H4244*J4244</f>
        <v/>
      </c>
      <c r="M4244" s="141">
        <f>SUM(M4243+K4244-L4244)</f>
        <v/>
      </c>
    </row>
    <row r="4245">
      <c r="A4245" s="20" t="n">
        <v>45884</v>
      </c>
      <c r="B4245" s="1" t="n">
        <v>2055</v>
      </c>
      <c r="C4245" s="2" t="inlineStr">
        <is>
          <t>EVKUR</t>
        </is>
      </c>
      <c r="D4245" s="1" t="inlineStr">
        <is>
          <t>SM 300</t>
        </is>
      </c>
      <c r="E4245" s="1" t="inlineStr">
        <is>
          <t>TURGUT SANCAK</t>
        </is>
      </c>
      <c r="F4245" s="3" t="n"/>
      <c r="G4245" s="143" t="n"/>
      <c r="H4245" s="143" t="n">
        <v>358</v>
      </c>
      <c r="I4245" s="143">
        <f>+I4244+(G4245-H4245)</f>
        <v/>
      </c>
      <c r="J4245" s="144" t="n">
        <v>44.8</v>
      </c>
      <c r="K4245" s="145" t="n"/>
      <c r="L4245" s="140">
        <f>+H4245*J4245</f>
        <v/>
      </c>
      <c r="M4245" s="141">
        <f>SUM(M4244+K4245-L4245)</f>
        <v/>
      </c>
    </row>
    <row r="4246">
      <c r="A4246" s="20" t="n">
        <v>45884</v>
      </c>
      <c r="B4246" s="1" t="n">
        <v>2056</v>
      </c>
      <c r="C4246" s="2" t="inlineStr">
        <is>
          <t>MEGA VARLIK</t>
        </is>
      </c>
      <c r="D4246" s="1" t="inlineStr">
        <is>
          <t>SM 370</t>
        </is>
      </c>
      <c r="E4246" s="1" t="inlineStr">
        <is>
          <t>TEKİN ŞEYLAN</t>
        </is>
      </c>
      <c r="F4246" s="3" t="n"/>
      <c r="G4246" s="143" t="n"/>
      <c r="H4246" s="143" t="n">
        <v>567</v>
      </c>
      <c r="I4246" s="143">
        <f>+I4245+(G4246-H4246)</f>
        <v/>
      </c>
      <c r="J4246" s="144" t="n">
        <v>44.8</v>
      </c>
      <c r="K4246" s="145" t="n"/>
      <c r="L4246" s="140">
        <f>+H4246*J4246</f>
        <v/>
      </c>
      <c r="M4246" s="141">
        <f>SUM(M4245+K4246-L4246)</f>
        <v/>
      </c>
    </row>
    <row r="4247">
      <c r="A4247" s="20" t="n">
        <v>45884</v>
      </c>
      <c r="B4247" s="1" t="n">
        <v>2057</v>
      </c>
      <c r="C4247" s="2" t="inlineStr">
        <is>
          <t>MEGA VARLIK</t>
        </is>
      </c>
      <c r="D4247" s="1" t="inlineStr">
        <is>
          <t>SM 300</t>
        </is>
      </c>
      <c r="E4247" s="1" t="inlineStr">
        <is>
          <t>TURGUT SANCAK</t>
        </is>
      </c>
      <c r="F4247" s="3" t="n"/>
      <c r="G4247" s="143" t="n"/>
      <c r="H4247" s="143" t="n">
        <v>255</v>
      </c>
      <c r="I4247" s="143">
        <f>+I4246+(G4247-H4247)</f>
        <v/>
      </c>
      <c r="J4247" s="144" t="n">
        <v>44.8</v>
      </c>
      <c r="K4247" s="145" t="n"/>
      <c r="L4247" s="140">
        <f>+H4247*J4247</f>
        <v/>
      </c>
      <c r="M4247" s="141">
        <f>SUM(M4246+K4247-L4247)</f>
        <v/>
      </c>
    </row>
    <row r="4248">
      <c r="A4248" s="20" t="n">
        <v>45884</v>
      </c>
      <c r="B4248" s="1" t="n">
        <v>2058</v>
      </c>
      <c r="C4248" s="2" t="inlineStr">
        <is>
          <t>MEGA VARLIK</t>
        </is>
      </c>
      <c r="D4248" s="1" t="inlineStr">
        <is>
          <t>SM 350</t>
        </is>
      </c>
      <c r="E4248" s="1" t="inlineStr">
        <is>
          <t>AHMET AKGÜL</t>
        </is>
      </c>
      <c r="F4248" s="3" t="n"/>
      <c r="G4248" s="143" t="n"/>
      <c r="H4248" s="143" t="n">
        <v>422</v>
      </c>
      <c r="I4248" s="143">
        <f>+I4247+(G4248-H4248)</f>
        <v/>
      </c>
      <c r="J4248" s="144" t="n">
        <v>44.8</v>
      </c>
      <c r="K4248" s="145" t="n"/>
      <c r="L4248" s="140">
        <f>+H4248*J4248</f>
        <v/>
      </c>
      <c r="M4248" s="141">
        <f>SUM(M4247+K4248-L4248)</f>
        <v/>
      </c>
    </row>
    <row r="4249">
      <c r="A4249" s="20" t="n">
        <v>45884</v>
      </c>
      <c r="B4249" s="1" t="n">
        <v>2554</v>
      </c>
      <c r="C4249" s="2" t="inlineStr">
        <is>
          <t>SELİM İNŞAAT</t>
        </is>
      </c>
      <c r="D4249" s="1" t="inlineStr">
        <is>
          <t>34 GER 028</t>
        </is>
      </c>
      <c r="E4249" s="1" t="inlineStr">
        <is>
          <t>A.KERİM ERGEN</t>
        </is>
      </c>
      <c r="F4249" s="3" t="n">
        <v>50171</v>
      </c>
      <c r="G4249" s="143" t="n"/>
      <c r="H4249" s="143" t="n">
        <v>272</v>
      </c>
      <c r="I4249" s="143">
        <f>+I4248+(G4249-H4249)</f>
        <v/>
      </c>
      <c r="J4249" s="144" t="n">
        <v>44.8</v>
      </c>
      <c r="K4249" s="145" t="n"/>
      <c r="L4249" s="140">
        <f>+H4249*J4249</f>
        <v/>
      </c>
      <c r="M4249" s="141">
        <f>SUM(M4248+K4249-L4249)</f>
        <v/>
      </c>
    </row>
    <row r="4250">
      <c r="A4250" s="20" t="n">
        <v>45884</v>
      </c>
      <c r="B4250" s="1" t="n">
        <v>262</v>
      </c>
      <c r="C4250" s="2" t="inlineStr">
        <is>
          <t>SELİM İNŞAAT</t>
        </is>
      </c>
      <c r="D4250" s="1" t="inlineStr">
        <is>
          <t>34 GER 445</t>
        </is>
      </c>
      <c r="E4250" s="1" t="inlineStr">
        <is>
          <t>HASAN BAYCAN</t>
        </is>
      </c>
      <c r="F4250" s="3" t="n">
        <v>48479</v>
      </c>
      <c r="G4250" s="143" t="n"/>
      <c r="H4250" s="143" t="n">
        <v>274</v>
      </c>
      <c r="I4250" s="143">
        <f>+I4249+(G4250-H4250)</f>
        <v/>
      </c>
      <c r="J4250" s="144" t="n">
        <v>44.8</v>
      </c>
      <c r="K4250" s="145" t="n"/>
      <c r="L4250" s="140">
        <f>+H4250*J4250</f>
        <v/>
      </c>
      <c r="M4250" s="141">
        <f>SUM(M4249+K4250-L4250)</f>
        <v/>
      </c>
    </row>
    <row r="4251">
      <c r="A4251" s="20" t="n">
        <v>45884</v>
      </c>
      <c r="B4251" s="1" t="n">
        <v>171</v>
      </c>
      <c r="C4251" s="2" t="inlineStr">
        <is>
          <t>SELİM İNŞAAT</t>
        </is>
      </c>
      <c r="D4251" s="1" t="inlineStr">
        <is>
          <t>34 TG 7869</t>
        </is>
      </c>
      <c r="E4251" s="1" t="inlineStr">
        <is>
          <t>DURSUN ALİ GÜREK</t>
        </is>
      </c>
      <c r="F4251" s="3" t="n">
        <v>187445</v>
      </c>
      <c r="G4251" s="143" t="n"/>
      <c r="H4251" s="143" t="n">
        <v>290</v>
      </c>
      <c r="I4251" s="143">
        <f>+I4250+(G4251-H4251)</f>
        <v/>
      </c>
      <c r="J4251" s="144" t="n">
        <v>44.8</v>
      </c>
      <c r="K4251" s="145" t="n"/>
      <c r="L4251" s="140">
        <f>+H4251*J4251</f>
        <v/>
      </c>
      <c r="M4251" s="141">
        <f>SUM(M4250+K4251-L4251)</f>
        <v/>
      </c>
    </row>
    <row r="4252">
      <c r="A4252" s="20" t="n">
        <v>45884</v>
      </c>
      <c r="B4252" s="1" t="n">
        <v>15187</v>
      </c>
      <c r="C4252" s="2" t="inlineStr">
        <is>
          <t>SELİM İNŞAAT</t>
        </is>
      </c>
      <c r="D4252" s="1" t="inlineStr">
        <is>
          <t xml:space="preserve">34 DP 4161 </t>
        </is>
      </c>
      <c r="E4252" s="1" t="inlineStr">
        <is>
          <t>RIFAT KARATAY</t>
        </is>
      </c>
      <c r="F4252" s="3" t="n">
        <v>295155</v>
      </c>
      <c r="G4252" s="143" t="n"/>
      <c r="H4252" s="143" t="n">
        <v>268</v>
      </c>
      <c r="I4252" s="143">
        <f>+I4251+(G4252-H4252)</f>
        <v/>
      </c>
      <c r="J4252" s="144" t="n">
        <v>44.8</v>
      </c>
      <c r="K4252" s="145" t="n"/>
      <c r="L4252" s="140">
        <f>+H4252*J4252</f>
        <v/>
      </c>
      <c r="M4252" s="141">
        <f>SUM(M4251+K4252-L4252)</f>
        <v/>
      </c>
    </row>
    <row r="4253">
      <c r="A4253" s="20" t="n">
        <v>45884</v>
      </c>
      <c r="B4253" s="1" t="n">
        <v>2404</v>
      </c>
      <c r="C4253" s="2" t="inlineStr">
        <is>
          <t>SELİM İNŞAAT</t>
        </is>
      </c>
      <c r="D4253" s="1" t="inlineStr">
        <is>
          <t>34 GU 945</t>
        </is>
      </c>
      <c r="E4253" s="1" t="inlineStr">
        <is>
          <t>ŞERİF KARTAL</t>
        </is>
      </c>
      <c r="F4253" s="3" t="n">
        <v>455329</v>
      </c>
      <c r="G4253" s="143" t="n"/>
      <c r="H4253" s="143" t="n">
        <v>70</v>
      </c>
      <c r="I4253" s="143">
        <f>+I4252+(G4253-H4253)</f>
        <v/>
      </c>
      <c r="J4253" s="144" t="n">
        <v>44.8</v>
      </c>
      <c r="K4253" s="145" t="n"/>
      <c r="L4253" s="140">
        <f>+H4253*J4253</f>
        <v/>
      </c>
      <c r="M4253" s="141">
        <f>SUM(M4252+K4253-L4253)</f>
        <v/>
      </c>
    </row>
    <row r="4254">
      <c r="A4254" s="20" t="n">
        <v>45884</v>
      </c>
      <c r="B4254" s="1" t="n">
        <v>1565</v>
      </c>
      <c r="C4254" s="2" t="inlineStr">
        <is>
          <t>SELİM İNŞAAT</t>
        </is>
      </c>
      <c r="D4254" s="1" t="inlineStr">
        <is>
          <t>34 GUS 938</t>
        </is>
      </c>
      <c r="E4254" s="1" t="inlineStr">
        <is>
          <t>MEHMET KAYA</t>
        </is>
      </c>
      <c r="F4254" s="3" t="n">
        <v>204303</v>
      </c>
      <c r="G4254" s="143" t="n"/>
      <c r="H4254" s="143" t="n">
        <v>436</v>
      </c>
      <c r="I4254" s="143">
        <f>+I4253+(G4254-H4254)</f>
        <v/>
      </c>
      <c r="J4254" s="144" t="n">
        <v>44.8</v>
      </c>
      <c r="K4254" s="145" t="n"/>
      <c r="L4254" s="140">
        <f>+H4254*J4254</f>
        <v/>
      </c>
      <c r="M4254" s="141">
        <f>SUM(M4253+K4254-L4254)</f>
        <v/>
      </c>
    </row>
    <row r="4255">
      <c r="A4255" s="20" t="n">
        <v>45884</v>
      </c>
      <c r="B4255" s="1" t="n">
        <v>1510</v>
      </c>
      <c r="C4255" s="2" t="inlineStr">
        <is>
          <t>SELİM İNŞAAT</t>
        </is>
      </c>
      <c r="D4255" s="1" t="inlineStr">
        <is>
          <t>34 GUS 848</t>
        </is>
      </c>
      <c r="E4255" s="1" t="inlineStr">
        <is>
          <t>SERDAR BOZKURT</t>
        </is>
      </c>
      <c r="F4255" s="3" t="n">
        <v>203472</v>
      </c>
      <c r="G4255" s="143" t="n"/>
      <c r="H4255" s="143" t="n">
        <v>285</v>
      </c>
      <c r="I4255" s="143">
        <f>+I4254+(G4255-H4255)</f>
        <v/>
      </c>
      <c r="J4255" s="144" t="n">
        <v>44.8</v>
      </c>
      <c r="K4255" s="145" t="n"/>
      <c r="L4255" s="140">
        <f>+H4255*J4255</f>
        <v/>
      </c>
      <c r="M4255" s="141">
        <f>SUM(M4254+K4255-L4255)</f>
        <v/>
      </c>
    </row>
    <row r="4256">
      <c r="A4256" s="20" t="n">
        <v>45884</v>
      </c>
      <c r="B4256" s="1" t="n">
        <v>14817</v>
      </c>
      <c r="C4256" s="2" t="inlineStr">
        <is>
          <t>SELİM İNŞAAT</t>
        </is>
      </c>
      <c r="D4256" s="1" t="inlineStr">
        <is>
          <t>34 GVZ 268</t>
        </is>
      </c>
      <c r="E4256" s="1" t="inlineStr">
        <is>
          <t>KERİM KARAMAN</t>
        </is>
      </c>
      <c r="F4256" s="3" t="n">
        <v>208667</v>
      </c>
      <c r="G4256" s="143" t="n"/>
      <c r="H4256" s="143" t="n">
        <v>374</v>
      </c>
      <c r="I4256" s="143">
        <f>+I4255+(G4256-H4256)</f>
        <v/>
      </c>
      <c r="J4256" s="144" t="n">
        <v>44.8</v>
      </c>
      <c r="K4256" s="145" t="n"/>
      <c r="L4256" s="140">
        <f>+H4256*J4256</f>
        <v/>
      </c>
      <c r="M4256" s="141">
        <f>SUM(M4255+K4256-L4256)</f>
        <v/>
      </c>
    </row>
    <row r="4257">
      <c r="A4257" s="20" t="n">
        <v>45884</v>
      </c>
      <c r="B4257" s="1" t="n">
        <v>416</v>
      </c>
      <c r="C4257" s="2" t="inlineStr">
        <is>
          <t>SELİM İNŞAAT</t>
        </is>
      </c>
      <c r="D4257" s="1" t="inlineStr">
        <is>
          <t>34 DRU 690</t>
        </is>
      </c>
      <c r="E4257" s="1" t="inlineStr">
        <is>
          <t>HÜSEYİN AKÇİN</t>
        </is>
      </c>
      <c r="F4257" s="3" t="n">
        <v>428773</v>
      </c>
      <c r="G4257" s="143" t="n"/>
      <c r="H4257" s="143" t="n">
        <v>373</v>
      </c>
      <c r="I4257" s="143">
        <f>+I4256+(G4257-H4257)</f>
        <v/>
      </c>
      <c r="J4257" s="144" t="n">
        <v>44.8</v>
      </c>
      <c r="K4257" s="145" t="n"/>
      <c r="L4257" s="140">
        <f>+H4257*J4257</f>
        <v/>
      </c>
      <c r="M4257" s="141">
        <f>SUM(M4256+K4257-L4257)</f>
        <v/>
      </c>
    </row>
    <row r="4258">
      <c r="A4258" s="20" t="n">
        <v>45884</v>
      </c>
      <c r="B4258" s="1" t="n">
        <v>14784</v>
      </c>
      <c r="C4258" s="2" t="inlineStr">
        <is>
          <t>SELİM İNŞAAT</t>
        </is>
      </c>
      <c r="D4258" s="1" t="inlineStr">
        <is>
          <t>34 GYZ 635</t>
        </is>
      </c>
      <c r="E4258" s="1" t="inlineStr">
        <is>
          <t>ENGİN DEMİR</t>
        </is>
      </c>
      <c r="F4258" s="3" t="n">
        <v>189177</v>
      </c>
      <c r="G4258" s="143" t="n"/>
      <c r="H4258" s="143" t="n">
        <v>422</v>
      </c>
      <c r="I4258" s="143">
        <f>+I4257+(G4258-H4258)</f>
        <v/>
      </c>
      <c r="J4258" s="144" t="n">
        <v>44.8</v>
      </c>
      <c r="K4258" s="145" t="n"/>
      <c r="L4258" s="140">
        <f>+H4258*J4258</f>
        <v/>
      </c>
      <c r="M4258" s="141">
        <f>SUM(M4257+K4258-L4258)</f>
        <v/>
      </c>
    </row>
    <row r="4259">
      <c r="A4259" s="20" t="n">
        <v>45884</v>
      </c>
      <c r="B4259" s="1" t="n">
        <v>969</v>
      </c>
      <c r="C4259" s="2" t="inlineStr">
        <is>
          <t>SELİM İNŞAAT</t>
        </is>
      </c>
      <c r="D4259" s="1" t="inlineStr">
        <is>
          <t>34 FBR 742</t>
        </is>
      </c>
      <c r="E4259" s="1" t="inlineStr">
        <is>
          <t>MİKAİL BAYILMAZ</t>
        </is>
      </c>
      <c r="F4259" s="3" t="n">
        <v>330793</v>
      </c>
      <c r="G4259" s="143" t="n"/>
      <c r="H4259" s="143" t="n">
        <v>341</v>
      </c>
      <c r="I4259" s="143">
        <f>+I4258+(G4259-H4259)</f>
        <v/>
      </c>
      <c r="J4259" s="144" t="n">
        <v>44.8</v>
      </c>
      <c r="K4259" s="145" t="n"/>
      <c r="L4259" s="140">
        <f>+H4259*J4259</f>
        <v/>
      </c>
      <c r="M4259" s="141">
        <f>SUM(M4258+K4259-L4259)</f>
        <v/>
      </c>
    </row>
    <row r="4260">
      <c r="A4260" s="20" t="n">
        <v>45884</v>
      </c>
      <c r="B4260" s="1" t="n">
        <v>1014</v>
      </c>
      <c r="C4260" s="2" t="inlineStr">
        <is>
          <t>SELİM İNŞAAT</t>
        </is>
      </c>
      <c r="D4260" s="1" t="inlineStr">
        <is>
          <t>34 DHH 668</t>
        </is>
      </c>
      <c r="E4260" s="1" t="inlineStr">
        <is>
          <t xml:space="preserve">ADNAN KOÇ </t>
        </is>
      </c>
      <c r="F4260" s="3" t="n">
        <v>397688</v>
      </c>
      <c r="G4260" s="143" t="n"/>
      <c r="H4260" s="143" t="n">
        <v>491</v>
      </c>
      <c r="I4260" s="143">
        <f>+I4259+(G4260-H4260)</f>
        <v/>
      </c>
      <c r="J4260" s="144" t="n">
        <v>44.8</v>
      </c>
      <c r="K4260" s="145" t="n"/>
      <c r="L4260" s="140">
        <f>+H4260*J4260</f>
        <v/>
      </c>
      <c r="M4260" s="141">
        <f>SUM(M4259+K4260-L4260)</f>
        <v/>
      </c>
    </row>
    <row r="4261">
      <c r="A4261" s="20" t="n">
        <v>45884</v>
      </c>
      <c r="B4261" s="1" t="n">
        <v>1710</v>
      </c>
      <c r="C4261" s="2" t="inlineStr">
        <is>
          <t>SELİM İNŞAAT</t>
        </is>
      </c>
      <c r="D4261" s="21" t="inlineStr">
        <is>
          <t>34 DGP 137</t>
        </is>
      </c>
      <c r="E4261" s="1" t="inlineStr">
        <is>
          <t>GÜRAY KOYUNCU</t>
        </is>
      </c>
      <c r="F4261" s="3" t="n">
        <v>437644</v>
      </c>
      <c r="G4261" s="143" t="n"/>
      <c r="H4261" s="143" t="n">
        <v>530</v>
      </c>
      <c r="I4261" s="143">
        <f>+I4260+(G4261-H4261)</f>
        <v/>
      </c>
      <c r="J4261" s="144" t="n">
        <v>44.8</v>
      </c>
      <c r="K4261" s="145" t="n"/>
      <c r="L4261" s="140">
        <f>+H4261*J4261</f>
        <v/>
      </c>
      <c r="M4261" s="141">
        <f>SUM(M4260+K4261-L4261)</f>
        <v/>
      </c>
    </row>
    <row r="4262">
      <c r="A4262" s="20" t="n">
        <v>45884</v>
      </c>
      <c r="B4262" s="1" t="n">
        <v>15077</v>
      </c>
      <c r="C4262" s="2" t="inlineStr">
        <is>
          <t>SELİM İNŞAAT</t>
        </is>
      </c>
      <c r="D4262" s="1" t="inlineStr">
        <is>
          <t>34 EGR 736</t>
        </is>
      </c>
      <c r="E4262" s="1" t="inlineStr">
        <is>
          <t>HAKAN ÇAVUŞOĞLU</t>
        </is>
      </c>
      <c r="F4262" s="3" t="n">
        <v>405667</v>
      </c>
      <c r="G4262" s="143" t="n"/>
      <c r="H4262" s="143" t="n">
        <v>543</v>
      </c>
      <c r="I4262" s="143">
        <f>+I4261+(G4262-H4262)</f>
        <v/>
      </c>
      <c r="J4262" s="144" t="n">
        <v>44.8</v>
      </c>
      <c r="K4262" s="145" t="n"/>
      <c r="L4262" s="140">
        <f>+H4262*J4262</f>
        <v/>
      </c>
      <c r="M4262" s="141">
        <f>SUM(M4261+K4262-L4262)</f>
        <v/>
      </c>
    </row>
    <row r="4263">
      <c r="A4263" s="20" t="n">
        <v>45884</v>
      </c>
      <c r="B4263" s="1" t="n">
        <v>15228</v>
      </c>
      <c r="C4263" s="2" t="inlineStr">
        <is>
          <t>SELİM İNŞAAT</t>
        </is>
      </c>
      <c r="D4263" s="1" t="inlineStr">
        <is>
          <t>34 DSN 565</t>
        </is>
      </c>
      <c r="E4263" s="1" t="inlineStr">
        <is>
          <t>HÜSEYİN DENİZ</t>
        </is>
      </c>
      <c r="F4263" s="3" t="n">
        <v>413952</v>
      </c>
      <c r="G4263" s="143" t="n"/>
      <c r="H4263" s="143" t="n">
        <v>394</v>
      </c>
      <c r="I4263" s="143">
        <f>+I4262+(G4263-H4263)</f>
        <v/>
      </c>
      <c r="J4263" s="144" t="n">
        <v>44.8</v>
      </c>
      <c r="K4263" s="145" t="n"/>
      <c r="L4263" s="140">
        <f>+H4263*J4263</f>
        <v/>
      </c>
      <c r="M4263" s="141">
        <f>SUM(M4262+K4263-L4263)</f>
        <v/>
      </c>
    </row>
    <row r="4264">
      <c r="A4264" s="20" t="n">
        <v>45884</v>
      </c>
      <c r="B4264" s="1" t="n">
        <v>28</v>
      </c>
      <c r="C4264" s="2" t="inlineStr">
        <is>
          <t>SELİM İNŞAAT</t>
        </is>
      </c>
      <c r="D4264" s="1" t="inlineStr">
        <is>
          <t>34 FBR 748</t>
        </is>
      </c>
      <c r="E4264" s="1" t="inlineStr">
        <is>
          <t>YAŞAR ÖZKAYA</t>
        </is>
      </c>
      <c r="F4264" s="3" t="n">
        <v>297123</v>
      </c>
      <c r="G4264" s="143" t="n"/>
      <c r="H4264" s="143" t="n">
        <v>440</v>
      </c>
      <c r="I4264" s="143">
        <f>+I4263+(G4264-H4264)</f>
        <v/>
      </c>
      <c r="J4264" s="144" t="n">
        <v>44.8</v>
      </c>
      <c r="K4264" s="145" t="n"/>
      <c r="L4264" s="140">
        <f>+H4264*J4264</f>
        <v/>
      </c>
      <c r="M4264" s="141">
        <f>SUM(M4263+K4264-L4264)</f>
        <v/>
      </c>
    </row>
    <row r="4265">
      <c r="A4265" s="20" t="n">
        <v>45884</v>
      </c>
      <c r="B4265" s="1" t="n">
        <v>121</v>
      </c>
      <c r="C4265" s="2" t="inlineStr">
        <is>
          <t>SELİM İNŞAAT</t>
        </is>
      </c>
      <c r="D4265" s="1" t="inlineStr">
        <is>
          <t>34 FBR 771</t>
        </is>
      </c>
      <c r="E4265" s="1" t="inlineStr">
        <is>
          <t>HÜSEYİN AKÇİN</t>
        </is>
      </c>
      <c r="F4265" s="3" t="n">
        <v>332215</v>
      </c>
      <c r="G4265" s="143" t="n"/>
      <c r="H4265" s="143" t="n">
        <v>379</v>
      </c>
      <c r="I4265" s="143">
        <f>+I4264+(G4265-H4265)</f>
        <v/>
      </c>
      <c r="J4265" s="144" t="n">
        <v>44.8</v>
      </c>
      <c r="K4265" s="145" t="n"/>
      <c r="L4265" s="140">
        <f>+H4265*J4265</f>
        <v/>
      </c>
      <c r="M4265" s="141">
        <f>SUM(M4264+K4265-L4265)</f>
        <v/>
      </c>
    </row>
    <row r="4266">
      <c r="A4266" s="20" t="n">
        <v>45884</v>
      </c>
      <c r="B4266" s="1" t="n">
        <v>1460</v>
      </c>
      <c r="C4266" s="2" t="inlineStr">
        <is>
          <t>SELİM İNŞAAT</t>
        </is>
      </c>
      <c r="D4266" s="1" t="inlineStr">
        <is>
          <t>34 EGR 737</t>
        </is>
      </c>
      <c r="E4266" s="1" t="inlineStr">
        <is>
          <t>CEM MUHTAR</t>
        </is>
      </c>
      <c r="F4266" s="3" t="n">
        <v>430825</v>
      </c>
      <c r="G4266" s="143" t="n"/>
      <c r="H4266" s="143" t="n">
        <v>395</v>
      </c>
      <c r="I4266" s="143">
        <f>+I4265+(G4266-H4266)</f>
        <v/>
      </c>
      <c r="J4266" s="144" t="n">
        <v>44.8</v>
      </c>
      <c r="K4266" s="145" t="n"/>
      <c r="L4266" s="140">
        <f>+H4266*J4266</f>
        <v/>
      </c>
      <c r="M4266" s="141">
        <f>SUM(M4265+K4266-L4266)</f>
        <v/>
      </c>
    </row>
    <row r="4267">
      <c r="A4267" s="20" t="n">
        <v>45884</v>
      </c>
      <c r="B4267" s="1" t="n">
        <v>11247</v>
      </c>
      <c r="C4267" s="2" t="inlineStr">
        <is>
          <t>SELİM İNŞAAT</t>
        </is>
      </c>
      <c r="D4267" s="1" t="inlineStr">
        <is>
          <t>34 DSN 636</t>
        </is>
      </c>
      <c r="E4267" s="1" t="inlineStr">
        <is>
          <t>MASUM GÜVEN</t>
        </is>
      </c>
      <c r="F4267" s="3" t="n">
        <v>404063</v>
      </c>
      <c r="G4267" s="143" t="n"/>
      <c r="H4267" s="143" t="n">
        <v>464</v>
      </c>
      <c r="I4267" s="143">
        <f>+I4266+(G4267-H4267)</f>
        <v/>
      </c>
      <c r="J4267" s="144" t="n">
        <v>44.8</v>
      </c>
      <c r="K4267" s="145" t="n"/>
      <c r="L4267" s="140">
        <f>+H4267*J4267</f>
        <v/>
      </c>
      <c r="M4267" s="141">
        <f>SUM(M4266+K4267-L4267)</f>
        <v/>
      </c>
    </row>
    <row r="4268">
      <c r="A4268" s="20" t="n">
        <v>45884</v>
      </c>
      <c r="B4268" s="1" t="n">
        <v>1113</v>
      </c>
      <c r="C4268" s="2" t="inlineStr">
        <is>
          <t>SELİM İNŞAAT</t>
        </is>
      </c>
      <c r="D4268" s="1" t="inlineStr">
        <is>
          <t>34 EDB 659</t>
        </is>
      </c>
      <c r="E4268" s="1" t="inlineStr">
        <is>
          <t>MEHMET SAİT ANIK</t>
        </is>
      </c>
      <c r="F4268" s="3" t="n">
        <v>355931</v>
      </c>
      <c r="G4268" s="143" t="n"/>
      <c r="H4268" s="143" t="n">
        <v>367</v>
      </c>
      <c r="I4268" s="143">
        <f>+I4267+(G4268-H4268)</f>
        <v/>
      </c>
      <c r="J4268" s="144" t="n">
        <v>44.8</v>
      </c>
      <c r="K4268" s="145" t="n"/>
      <c r="L4268" s="140">
        <f>+H4268*J4268</f>
        <v/>
      </c>
      <c r="M4268" s="141">
        <f>SUM(M4267+K4268-L4268)</f>
        <v/>
      </c>
    </row>
    <row r="4269">
      <c r="A4269" s="20" t="n">
        <v>45884</v>
      </c>
      <c r="B4269" s="1" t="n">
        <v>15984</v>
      </c>
      <c r="C4269" s="2" t="inlineStr">
        <is>
          <t>SELİM İNŞAAT</t>
        </is>
      </c>
      <c r="D4269" s="1" t="inlineStr">
        <is>
          <t>34 FBR 781</t>
        </is>
      </c>
      <c r="E4269" s="1" t="inlineStr">
        <is>
          <t>MEVLÜT POLAT</t>
        </is>
      </c>
      <c r="F4269" s="3" t="n">
        <v>321119</v>
      </c>
      <c r="G4269" s="143" t="n"/>
      <c r="H4269" s="143" t="n">
        <v>395</v>
      </c>
      <c r="I4269" s="143">
        <f>+I4268+(G4269-H4269)</f>
        <v/>
      </c>
      <c r="J4269" s="144" t="n">
        <v>44.8</v>
      </c>
      <c r="K4269" s="145" t="n"/>
      <c r="L4269" s="140">
        <f>+H4269*J4269</f>
        <v/>
      </c>
      <c r="M4269" s="141">
        <f>SUM(M4268+K4269-L4269)</f>
        <v/>
      </c>
    </row>
    <row r="4270">
      <c r="A4270" s="20" t="n">
        <v>45884</v>
      </c>
      <c r="B4270" s="21" t="n">
        <v>159</v>
      </c>
      <c r="C4270" s="22" t="inlineStr">
        <is>
          <t>MİRBE PETROL SANAYİ VE TİCARET ANONİM ŞİRKETİ</t>
        </is>
      </c>
      <c r="D4270" s="21" t="n"/>
      <c r="E4270" s="21" t="n"/>
      <c r="F4270" s="23" t="n"/>
      <c r="G4270" s="138" t="n">
        <v>24671</v>
      </c>
      <c r="H4270" s="138" t="n"/>
      <c r="I4270" s="138">
        <f>+I4269+(G4270-H4270)</f>
        <v/>
      </c>
      <c r="J4270" s="139">
        <f>+K4270/G4270</f>
        <v/>
      </c>
      <c r="K4270" s="140" t="n">
        <v>1140871.91</v>
      </c>
      <c r="L4270" s="140">
        <f>+H4270*J4270</f>
        <v/>
      </c>
      <c r="M4270" s="141">
        <f>SUM(M4269+K4270-L4270)</f>
        <v/>
      </c>
    </row>
    <row r="4271">
      <c r="A4271" s="20" t="n">
        <v>45885</v>
      </c>
      <c r="B4271" s="1" t="n">
        <v>1407</v>
      </c>
      <c r="C4271" s="2" t="inlineStr">
        <is>
          <t>SELİM İNŞAAT</t>
        </is>
      </c>
      <c r="D4271" s="1" t="inlineStr">
        <is>
          <t>34 DKL 798</t>
        </is>
      </c>
      <c r="E4271" s="1" t="inlineStr">
        <is>
          <t>METİN KALKAN</t>
        </is>
      </c>
      <c r="F4271" s="3" t="n">
        <v>71023</v>
      </c>
      <c r="G4271" s="143" t="n"/>
      <c r="H4271" s="143" t="n">
        <v>272</v>
      </c>
      <c r="I4271" s="143">
        <f>+I4270+(G4271-H4271)</f>
        <v/>
      </c>
      <c r="J4271" s="144" t="n">
        <v>46.243</v>
      </c>
      <c r="K4271" s="145" t="n"/>
      <c r="L4271" s="140">
        <f>+H4271*J4271</f>
        <v/>
      </c>
      <c r="M4271" s="141">
        <f>SUM(M4270+K4271-L4271)</f>
        <v/>
      </c>
    </row>
    <row r="4272">
      <c r="A4272" s="20" t="n">
        <v>45885</v>
      </c>
      <c r="B4272" s="1" t="n">
        <v>15943</v>
      </c>
      <c r="C4272" s="2" t="inlineStr">
        <is>
          <t>SELİM İNŞAAT</t>
        </is>
      </c>
      <c r="D4272" s="1" t="inlineStr">
        <is>
          <t>34 DFE 454</t>
        </is>
      </c>
      <c r="E4272" s="1" t="inlineStr">
        <is>
          <t>GÖRKEM KARAYEL</t>
        </is>
      </c>
      <c r="F4272" s="3" t="n">
        <v>165047</v>
      </c>
      <c r="G4272" s="143" t="n"/>
      <c r="H4272" s="143" t="n">
        <v>224</v>
      </c>
      <c r="I4272" s="143">
        <f>+I4271+(G4272-H4272)</f>
        <v/>
      </c>
      <c r="J4272" s="144" t="n">
        <v>46.243</v>
      </c>
      <c r="K4272" s="145" t="n"/>
      <c r="L4272" s="140">
        <f>+H4272*J4272</f>
        <v/>
      </c>
      <c r="M4272" s="141">
        <f>SUM(M4271+K4272-L4272)</f>
        <v/>
      </c>
    </row>
    <row r="4273">
      <c r="A4273" s="20" t="n">
        <v>45885</v>
      </c>
      <c r="B4273" s="1" t="n">
        <v>472</v>
      </c>
      <c r="C4273" s="2" t="inlineStr">
        <is>
          <t>SELİM İNŞAAT</t>
        </is>
      </c>
      <c r="D4273" s="1" t="inlineStr">
        <is>
          <t>34 DKL 866</t>
        </is>
      </c>
      <c r="E4273" s="1" t="inlineStr">
        <is>
          <t>SELİM CAN ÖNVER</t>
        </is>
      </c>
      <c r="F4273" s="3" t="n">
        <v>71878</v>
      </c>
      <c r="G4273" s="143" t="n"/>
      <c r="H4273" s="143" t="n">
        <v>232</v>
      </c>
      <c r="I4273" s="143">
        <f>+I4272+(G4273-H4273)</f>
        <v/>
      </c>
      <c r="J4273" s="144" t="n">
        <v>46.243</v>
      </c>
      <c r="K4273" s="145" t="n"/>
      <c r="L4273" s="140">
        <f>+H4273*J4273</f>
        <v/>
      </c>
      <c r="M4273" s="141">
        <f>SUM(M4272+K4273-L4273)</f>
        <v/>
      </c>
    </row>
    <row r="4274">
      <c r="A4274" s="20" t="n">
        <v>45885</v>
      </c>
      <c r="B4274" s="1" t="n">
        <v>323</v>
      </c>
      <c r="C4274" s="2" t="inlineStr">
        <is>
          <t>SELİM İNŞAAT</t>
        </is>
      </c>
      <c r="D4274" s="1" t="inlineStr">
        <is>
          <t>34 EDB 829</t>
        </is>
      </c>
      <c r="E4274" s="1" t="inlineStr">
        <is>
          <t>İRFAN DAĞLAR</t>
        </is>
      </c>
      <c r="F4274" s="3" t="n">
        <v>331390</v>
      </c>
      <c r="G4274" s="143" t="n"/>
      <c r="H4274" s="143" t="n">
        <v>394</v>
      </c>
      <c r="I4274" s="143">
        <f>+I4273+(G4274-H4274)</f>
        <v/>
      </c>
      <c r="J4274" s="144" t="n">
        <v>46.243</v>
      </c>
      <c r="K4274" s="145" t="n"/>
      <c r="L4274" s="140">
        <f>+H4274*J4274</f>
        <v/>
      </c>
      <c r="M4274" s="141">
        <f>SUM(M4273+K4274-L4274)</f>
        <v/>
      </c>
    </row>
    <row r="4275">
      <c r="A4275" s="20" t="n">
        <v>45885</v>
      </c>
      <c r="B4275" s="1" t="n">
        <v>1154</v>
      </c>
      <c r="C4275" s="2" t="inlineStr">
        <is>
          <t>SELİM İNŞAAT</t>
        </is>
      </c>
      <c r="D4275" s="1" t="inlineStr">
        <is>
          <t>34 DSN 536</t>
        </is>
      </c>
      <c r="E4275" s="1" t="inlineStr">
        <is>
          <t>NAZIM KARATAŞ</t>
        </is>
      </c>
      <c r="F4275" s="3" t="n">
        <v>416759</v>
      </c>
      <c r="G4275" s="143" t="n"/>
      <c r="H4275" s="143" t="n">
        <v>351</v>
      </c>
      <c r="I4275" s="143">
        <f>+I4274+(G4275-H4275)</f>
        <v/>
      </c>
      <c r="J4275" s="144" t="n">
        <v>46.243</v>
      </c>
      <c r="K4275" s="145" t="n"/>
      <c r="L4275" s="140">
        <f>+H4275*J4275</f>
        <v/>
      </c>
      <c r="M4275" s="141">
        <f>SUM(M4274+K4275-L4275)</f>
        <v/>
      </c>
    </row>
    <row r="4276">
      <c r="A4276" s="20" t="n">
        <v>45885</v>
      </c>
      <c r="B4276" s="21" t="n">
        <v>15693</v>
      </c>
      <c r="C4276" s="22" t="inlineStr">
        <is>
          <t>METİN ERYİĞİT</t>
        </is>
      </c>
      <c r="D4276" s="21" t="inlineStr">
        <is>
          <t>34 EGR 814</t>
        </is>
      </c>
      <c r="E4276" s="21" t="inlineStr">
        <is>
          <t>MUHAMMED YİĞİT</t>
        </is>
      </c>
      <c r="F4276" s="23" t="n">
        <v>560623</v>
      </c>
      <c r="G4276" s="138" t="n"/>
      <c r="H4276" s="138" t="n">
        <v>362</v>
      </c>
      <c r="I4276" s="138">
        <f>+I4275+(G4276-H4276)</f>
        <v/>
      </c>
      <c r="J4276" s="139" t="n">
        <v>46.243</v>
      </c>
      <c r="K4276" s="140" t="n"/>
      <c r="L4276" s="140">
        <f>+H4276*J4276</f>
        <v/>
      </c>
      <c r="M4276" s="141">
        <f>SUM(M4275+K4276-L4276)</f>
        <v/>
      </c>
    </row>
    <row r="4277">
      <c r="A4277" s="20" t="n">
        <v>45885</v>
      </c>
      <c r="B4277" s="21" t="n">
        <v>15637</v>
      </c>
      <c r="C4277" s="22" t="inlineStr">
        <is>
          <t>METİN ERYİĞİT</t>
        </is>
      </c>
      <c r="D4277" s="21" t="inlineStr">
        <is>
          <t>34 EGS 013</t>
        </is>
      </c>
      <c r="E4277" s="21" t="inlineStr">
        <is>
          <t>UĞUR DUMAN</t>
        </is>
      </c>
      <c r="F4277" s="23" t="n">
        <v>506600</v>
      </c>
      <c r="G4277" s="138" t="n"/>
      <c r="H4277" s="138" t="n">
        <v>353</v>
      </c>
      <c r="I4277" s="138">
        <f>+I4276+(G4277-H4277)</f>
        <v/>
      </c>
      <c r="J4277" s="139" t="n">
        <v>46.243</v>
      </c>
      <c r="K4277" s="140" t="n"/>
      <c r="L4277" s="140">
        <f>+H4277*J4277</f>
        <v/>
      </c>
      <c r="M4277" s="141">
        <f>SUM(M4276+K4277-L4277)</f>
        <v/>
      </c>
    </row>
    <row r="4278">
      <c r="A4278" s="20" t="n">
        <v>45885</v>
      </c>
      <c r="B4278" s="21" t="n">
        <v>721</v>
      </c>
      <c r="C4278" s="22" t="inlineStr">
        <is>
          <t>METİN ERYİĞİT</t>
        </is>
      </c>
      <c r="D4278" s="21" t="inlineStr">
        <is>
          <t>34 GBL 998</t>
        </is>
      </c>
      <c r="E4278" s="21" t="inlineStr">
        <is>
          <t>M.ALİ KESKİN</t>
        </is>
      </c>
      <c r="F4278" s="23" t="n">
        <v>287212</v>
      </c>
      <c r="G4278" s="138" t="n"/>
      <c r="H4278" s="138" t="n">
        <v>283</v>
      </c>
      <c r="I4278" s="138">
        <f>+I4277+(G4278-H4278)</f>
        <v/>
      </c>
      <c r="J4278" s="139" t="n">
        <v>46.243</v>
      </c>
      <c r="K4278" s="140" t="n"/>
      <c r="L4278" s="140">
        <f>+H4278*J4278</f>
        <v/>
      </c>
      <c r="M4278" s="141">
        <f>SUM(M4277+K4278-L4278)</f>
        <v/>
      </c>
    </row>
    <row r="4279">
      <c r="A4279" s="20" t="n">
        <v>45885</v>
      </c>
      <c r="B4279" s="21" t="n">
        <v>2207</v>
      </c>
      <c r="C4279" s="22" t="inlineStr">
        <is>
          <t>AZGÜN YAPI</t>
        </is>
      </c>
      <c r="D4279" s="21" t="inlineStr">
        <is>
          <t>34 DTV 263</t>
        </is>
      </c>
      <c r="E4279" s="21" t="inlineStr">
        <is>
          <t>MUHAMMED BULUT</t>
        </is>
      </c>
      <c r="F4279" s="23" t="n"/>
      <c r="G4279" s="138" t="n"/>
      <c r="H4279" s="138" t="n">
        <v>200</v>
      </c>
      <c r="I4279" s="138">
        <f>+I4278+(G4279-H4279)</f>
        <v/>
      </c>
      <c r="J4279" s="139" t="n">
        <v>46.243</v>
      </c>
      <c r="K4279" s="140" t="n"/>
      <c r="L4279" s="140">
        <f>+H4279*J4279</f>
        <v/>
      </c>
      <c r="M4279" s="141">
        <f>SUM(M4278+K4279-L4279)</f>
        <v/>
      </c>
    </row>
    <row r="4280">
      <c r="A4280" s="20" t="n">
        <v>45885</v>
      </c>
      <c r="B4280" s="21" t="n">
        <v>1907</v>
      </c>
      <c r="C4280" s="22" t="inlineStr">
        <is>
          <t>AHMET SELİM TEMHA</t>
        </is>
      </c>
      <c r="D4280" s="21" t="inlineStr">
        <is>
          <t>34 DGE 422</t>
        </is>
      </c>
      <c r="E4280" s="21" t="inlineStr">
        <is>
          <t>ERSOY SIĞINMAZ</t>
        </is>
      </c>
      <c r="F4280" s="23" t="n"/>
      <c r="G4280" s="138" t="n"/>
      <c r="H4280" s="138" t="n">
        <v>79</v>
      </c>
      <c r="I4280" s="138">
        <f>+I4279+(G4280-H4280)</f>
        <v/>
      </c>
      <c r="J4280" s="139" t="n">
        <v>46.243</v>
      </c>
      <c r="K4280" s="140" t="n"/>
      <c r="L4280" s="140">
        <f>+H4280*J4280</f>
        <v/>
      </c>
      <c r="M4280" s="141">
        <f>SUM(M4279+K4280-L4280)</f>
        <v/>
      </c>
    </row>
    <row r="4281">
      <c r="A4281" s="20" t="n">
        <v>45885</v>
      </c>
      <c r="B4281" s="1" t="n">
        <v>2059</v>
      </c>
      <c r="C4281" s="2" t="inlineStr">
        <is>
          <t>HASALTUN</t>
        </is>
      </c>
      <c r="D4281" s="1" t="inlineStr">
        <is>
          <t>KAVAZAKİ</t>
        </is>
      </c>
      <c r="E4281" s="1" t="inlineStr">
        <is>
          <t>RAMAZAN KAYA</t>
        </is>
      </c>
      <c r="F4281" s="3" t="n"/>
      <c r="G4281" s="143" t="n"/>
      <c r="H4281" s="143" t="n">
        <v>221</v>
      </c>
      <c r="I4281" s="143">
        <f>+I4280+(G4281-H4281)</f>
        <v/>
      </c>
      <c r="J4281" s="144" t="n">
        <v>46.243</v>
      </c>
      <c r="K4281" s="145" t="n"/>
      <c r="L4281" s="140">
        <f>+H4281*J4281</f>
        <v/>
      </c>
      <c r="M4281" s="141">
        <f>SUM(M4280+K4281-L4281)</f>
        <v/>
      </c>
    </row>
    <row r="4282">
      <c r="A4282" s="20" t="n">
        <v>45885</v>
      </c>
      <c r="B4282" s="1" t="n">
        <v>2060</v>
      </c>
      <c r="C4282" s="2" t="inlineStr">
        <is>
          <t>EVKUR</t>
        </is>
      </c>
      <c r="D4282" s="1" t="inlineStr">
        <is>
          <t>SM 350</t>
        </is>
      </c>
      <c r="E4282" s="1" t="inlineStr">
        <is>
          <t>TEVFİK ÖZTÜRK</t>
        </is>
      </c>
      <c r="F4282" s="3" t="n"/>
      <c r="G4282" s="143" t="n"/>
      <c r="H4282" s="143" t="n">
        <v>312</v>
      </c>
      <c r="I4282" s="143">
        <f>+I4281+(G4282-H4282)</f>
        <v/>
      </c>
      <c r="J4282" s="144" t="n">
        <v>46.243</v>
      </c>
      <c r="K4282" s="145" t="n"/>
      <c r="L4282" s="140">
        <f>+H4282*J4282</f>
        <v/>
      </c>
      <c r="M4282" s="141">
        <f>SUM(M4281+K4282-L4282)</f>
        <v/>
      </c>
    </row>
    <row r="4283">
      <c r="A4283" s="20" t="n">
        <v>45885</v>
      </c>
      <c r="B4283" s="1" t="n">
        <v>2061</v>
      </c>
      <c r="C4283" s="2" t="inlineStr">
        <is>
          <t>EVKUR</t>
        </is>
      </c>
      <c r="D4283" s="1" t="inlineStr">
        <is>
          <t>SİLİNDİR</t>
        </is>
      </c>
      <c r="E4283" s="1" t="inlineStr">
        <is>
          <t>ÖNER DÜNDAR</t>
        </is>
      </c>
      <c r="F4283" s="3" t="n"/>
      <c r="G4283" s="143" t="n"/>
      <c r="H4283" s="143" t="n">
        <v>189</v>
      </c>
      <c r="I4283" s="143">
        <f>+I4282+(G4283-H4283)</f>
        <v/>
      </c>
      <c r="J4283" s="144" t="n">
        <v>46.243</v>
      </c>
      <c r="K4283" s="145" t="n"/>
      <c r="L4283" s="140">
        <f>+H4283*J4283</f>
        <v/>
      </c>
      <c r="M4283" s="141">
        <f>SUM(M4282+K4283-L4283)</f>
        <v/>
      </c>
    </row>
    <row r="4284">
      <c r="A4284" s="20" t="n">
        <v>45885</v>
      </c>
      <c r="B4284" s="1" t="n">
        <v>2062</v>
      </c>
      <c r="C4284" s="2" t="inlineStr">
        <is>
          <t>MEGA VARLIK</t>
        </is>
      </c>
      <c r="D4284" s="1" t="inlineStr">
        <is>
          <t>SM 300</t>
        </is>
      </c>
      <c r="E4284" s="1" t="inlineStr">
        <is>
          <t>TURGUT SANCAK</t>
        </is>
      </c>
      <c r="F4284" s="3" t="n"/>
      <c r="G4284" s="143" t="n"/>
      <c r="H4284" s="143" t="n">
        <v>322</v>
      </c>
      <c r="I4284" s="143">
        <f>+I4283+(G4284-H4284)</f>
        <v/>
      </c>
      <c r="J4284" s="144" t="n">
        <v>46.243</v>
      </c>
      <c r="K4284" s="145" t="n"/>
      <c r="L4284" s="140">
        <f>+H4284*J4284</f>
        <v/>
      </c>
      <c r="M4284" s="141">
        <f>SUM(M4283+K4284-L4284)</f>
        <v/>
      </c>
    </row>
    <row r="4285">
      <c r="A4285" s="20" t="n">
        <v>45885</v>
      </c>
      <c r="B4285" s="1" t="n">
        <v>2063</v>
      </c>
      <c r="C4285" s="2" t="inlineStr">
        <is>
          <t>MEGA VARLIK</t>
        </is>
      </c>
      <c r="D4285" s="1" t="inlineStr">
        <is>
          <t>SM 350</t>
        </is>
      </c>
      <c r="E4285" s="1" t="inlineStr">
        <is>
          <t>AHMET AKGÜL</t>
        </is>
      </c>
      <c r="F4285" s="3" t="n"/>
      <c r="G4285" s="143" t="n"/>
      <c r="H4285" s="143" t="n">
        <v>377</v>
      </c>
      <c r="I4285" s="143">
        <f>+I4284+(G4285-H4285)</f>
        <v/>
      </c>
      <c r="J4285" s="144" t="n">
        <v>46.243</v>
      </c>
      <c r="K4285" s="145" t="n"/>
      <c r="L4285" s="140">
        <f>+H4285*J4285</f>
        <v/>
      </c>
      <c r="M4285" s="141">
        <f>SUM(M4284+K4285-L4285)</f>
        <v/>
      </c>
    </row>
    <row r="4286">
      <c r="A4286" s="20" t="n">
        <v>45885</v>
      </c>
      <c r="B4286" s="1" t="n">
        <v>2064</v>
      </c>
      <c r="C4286" s="2" t="inlineStr">
        <is>
          <t>MEGA VARLIK</t>
        </is>
      </c>
      <c r="D4286" s="1" t="inlineStr">
        <is>
          <t>SM 370</t>
        </is>
      </c>
      <c r="E4286" s="1" t="inlineStr">
        <is>
          <t>TEKİN ŞEYLAN</t>
        </is>
      </c>
      <c r="F4286" s="3" t="n"/>
      <c r="G4286" s="143" t="n"/>
      <c r="H4286" s="143" t="n">
        <v>514</v>
      </c>
      <c r="I4286" s="143">
        <f>+I4285+(G4286-H4286)</f>
        <v/>
      </c>
      <c r="J4286" s="144" t="n">
        <v>46.243</v>
      </c>
      <c r="K4286" s="145" t="n"/>
      <c r="L4286" s="140">
        <f>+H4286*J4286</f>
        <v/>
      </c>
      <c r="M4286" s="141">
        <f>SUM(M4285+K4286-L4286)</f>
        <v/>
      </c>
    </row>
    <row r="4287">
      <c r="A4287" s="20" t="n">
        <v>45885</v>
      </c>
      <c r="B4287" s="1" t="n">
        <v>826</v>
      </c>
      <c r="C4287" s="2" t="inlineStr">
        <is>
          <t>SELİM İNŞAAT</t>
        </is>
      </c>
      <c r="D4287" s="1" t="inlineStr">
        <is>
          <t>34 FBR 705</t>
        </is>
      </c>
      <c r="E4287" s="1" t="inlineStr">
        <is>
          <t>MESUT GÜRLER</t>
        </is>
      </c>
      <c r="F4287" s="3" t="n">
        <v>332028</v>
      </c>
      <c r="G4287" s="143" t="n"/>
      <c r="H4287" s="143" t="n">
        <v>403</v>
      </c>
      <c r="I4287" s="143">
        <f>+I4286+(G4287-H4287)</f>
        <v/>
      </c>
      <c r="J4287" s="144" t="n">
        <v>46.243</v>
      </c>
      <c r="K4287" s="145" t="n"/>
      <c r="L4287" s="140">
        <f>+H4287*J4287</f>
        <v/>
      </c>
      <c r="M4287" s="141">
        <f>SUM(M4286+K4287-L4287)</f>
        <v/>
      </c>
    </row>
    <row r="4288">
      <c r="A4288" s="20" t="n">
        <v>45885</v>
      </c>
      <c r="B4288" s="1" t="n">
        <v>1264</v>
      </c>
      <c r="C4288" s="2" t="inlineStr">
        <is>
          <t>SELİM İNŞAAT</t>
        </is>
      </c>
      <c r="D4288" s="1" t="inlineStr">
        <is>
          <t>34 DSN 621</t>
        </is>
      </c>
      <c r="E4288" s="1" t="inlineStr">
        <is>
          <t>MUSTAFA KAYA</t>
        </is>
      </c>
      <c r="F4288" s="3" t="n">
        <v>426460</v>
      </c>
      <c r="G4288" s="143" t="n"/>
      <c r="H4288" s="143" t="n">
        <v>487</v>
      </c>
      <c r="I4288" s="143">
        <f>+I4287+(G4288-H4288)</f>
        <v/>
      </c>
      <c r="J4288" s="144" t="n">
        <v>46.243</v>
      </c>
      <c r="K4288" s="145" t="n"/>
      <c r="L4288" s="140">
        <f>+H4288*J4288</f>
        <v/>
      </c>
      <c r="M4288" s="141">
        <f>SUM(M4287+K4288-L4288)</f>
        <v/>
      </c>
    </row>
    <row r="4289">
      <c r="A4289" s="20" t="n">
        <v>45885</v>
      </c>
      <c r="B4289" s="1" t="n">
        <v>1461</v>
      </c>
      <c r="C4289" s="2" t="inlineStr">
        <is>
          <t>SELİM İNŞAAT</t>
        </is>
      </c>
      <c r="D4289" s="1" t="inlineStr">
        <is>
          <t>34 EGR 737</t>
        </is>
      </c>
      <c r="E4289" s="1" t="inlineStr">
        <is>
          <t>CEM MUHTAR</t>
        </is>
      </c>
      <c r="F4289" s="3" t="n">
        <v>431236</v>
      </c>
      <c r="G4289" s="143" t="n"/>
      <c r="H4289" s="143" t="n">
        <v>478</v>
      </c>
      <c r="I4289" s="143">
        <f>+I4288+(G4289-H4289)</f>
        <v/>
      </c>
      <c r="J4289" s="144" t="n">
        <v>46.243</v>
      </c>
      <c r="K4289" s="145" t="n"/>
      <c r="L4289" s="140">
        <f>+H4289*J4289</f>
        <v/>
      </c>
      <c r="M4289" s="141">
        <f>SUM(M4288+K4289-L4289)</f>
        <v/>
      </c>
    </row>
    <row r="4290">
      <c r="A4290" s="20" t="n">
        <v>45885</v>
      </c>
      <c r="B4290" s="1" t="n">
        <v>15377</v>
      </c>
      <c r="C4290" s="2" t="inlineStr">
        <is>
          <t>SELİM İNŞAAT</t>
        </is>
      </c>
      <c r="D4290" s="1" t="inlineStr">
        <is>
          <t>34 DTV 409</t>
        </is>
      </c>
      <c r="E4290" s="1" t="inlineStr">
        <is>
          <t>SİNAN TANRIKULU</t>
        </is>
      </c>
      <c r="F4290" s="3" t="n">
        <v>430591</v>
      </c>
      <c r="G4290" s="143" t="n"/>
      <c r="H4290" s="143" t="n">
        <v>541</v>
      </c>
      <c r="I4290" s="143">
        <f>+I4289+(G4290-H4290)</f>
        <v/>
      </c>
      <c r="J4290" s="144" t="n">
        <v>46.243</v>
      </c>
      <c r="K4290" s="145" t="n"/>
      <c r="L4290" s="140">
        <f>+H4290*J4290</f>
        <v/>
      </c>
      <c r="M4290" s="141">
        <f>SUM(M4289+K4290-L4290)</f>
        <v/>
      </c>
    </row>
    <row r="4291">
      <c r="A4291" s="20" t="n">
        <v>45885</v>
      </c>
      <c r="B4291" s="1" t="n">
        <v>15046</v>
      </c>
      <c r="C4291" s="2" t="inlineStr">
        <is>
          <t>SELİM İNŞAAT</t>
        </is>
      </c>
      <c r="D4291" s="1" t="inlineStr">
        <is>
          <t>34 GVZ 199</t>
        </is>
      </c>
      <c r="E4291" s="1" t="inlineStr">
        <is>
          <t>AHMET TOPÇU</t>
        </is>
      </c>
      <c r="F4291" s="3" t="n">
        <v>196322</v>
      </c>
      <c r="G4291" s="143" t="n"/>
      <c r="H4291" s="143" t="n">
        <v>358</v>
      </c>
      <c r="I4291" s="143">
        <f>+I4290+(G4291-H4291)</f>
        <v/>
      </c>
      <c r="J4291" s="144" t="n">
        <v>46.243</v>
      </c>
      <c r="K4291" s="145" t="n"/>
      <c r="L4291" s="140">
        <f>+H4291*J4291</f>
        <v/>
      </c>
      <c r="M4291" s="141">
        <f>SUM(M4290+K4291-L4291)</f>
        <v/>
      </c>
    </row>
    <row r="4292">
      <c r="A4292" s="20" t="n">
        <v>45885</v>
      </c>
      <c r="B4292" s="1" t="n">
        <v>1214</v>
      </c>
      <c r="C4292" s="2" t="inlineStr">
        <is>
          <t>SELİM İNŞAAT</t>
        </is>
      </c>
      <c r="D4292" s="1" t="inlineStr">
        <is>
          <t>34 DHC 393</t>
        </is>
      </c>
      <c r="E4292" s="1" t="inlineStr">
        <is>
          <t>İSMET BAYRAM</t>
        </is>
      </c>
      <c r="F4292" s="3" t="n">
        <v>436296</v>
      </c>
      <c r="G4292" s="143" t="n"/>
      <c r="H4292" s="143" t="n">
        <v>531</v>
      </c>
      <c r="I4292" s="143">
        <f>+I4291+(G4292-H4292)</f>
        <v/>
      </c>
      <c r="J4292" s="144" t="n">
        <v>46.243</v>
      </c>
      <c r="K4292" s="145" t="n"/>
      <c r="L4292" s="140">
        <f>+H4292*J4292</f>
        <v/>
      </c>
      <c r="M4292" s="141">
        <f>SUM(M4291+K4292-L4292)</f>
        <v/>
      </c>
    </row>
    <row r="4293">
      <c r="A4293" s="20" t="n">
        <v>45885</v>
      </c>
      <c r="B4293" s="1" t="n">
        <v>417</v>
      </c>
      <c r="C4293" s="2" t="inlineStr">
        <is>
          <t>SELİM İNŞAAT</t>
        </is>
      </c>
      <c r="D4293" s="1" t="inlineStr">
        <is>
          <t>34 DRU 690</t>
        </is>
      </c>
      <c r="E4293" s="1" t="inlineStr">
        <is>
          <t>MURAT DEMİRBAŞ</t>
        </is>
      </c>
      <c r="F4293" s="3" t="n">
        <v>429516</v>
      </c>
      <c r="G4293" s="143" t="n"/>
      <c r="H4293" s="143" t="n">
        <v>482</v>
      </c>
      <c r="I4293" s="143">
        <f>+I4292+(G4293-H4293)</f>
        <v/>
      </c>
      <c r="J4293" s="144" t="n">
        <v>46.243</v>
      </c>
      <c r="K4293" s="145" t="n"/>
      <c r="L4293" s="140">
        <f>+H4293*J4293</f>
        <v/>
      </c>
      <c r="M4293" s="141">
        <f>SUM(M4292+K4293-L4293)</f>
        <v/>
      </c>
    </row>
    <row r="4294">
      <c r="A4294" s="20" t="n">
        <v>45885</v>
      </c>
      <c r="B4294" s="1" t="n">
        <v>1808</v>
      </c>
      <c r="C4294" s="2" t="inlineStr">
        <is>
          <t>SELİM İNŞAAT</t>
        </is>
      </c>
      <c r="D4294" s="1" t="inlineStr">
        <is>
          <t>34 EGR 922</t>
        </is>
      </c>
      <c r="E4294" s="1" t="inlineStr">
        <is>
          <t>FARUK ÖZEN</t>
        </is>
      </c>
      <c r="F4294" s="3" t="n">
        <v>469823</v>
      </c>
      <c r="G4294" s="143" t="n"/>
      <c r="H4294" s="143" t="n">
        <v>539</v>
      </c>
      <c r="I4294" s="143">
        <f>+I4293+(G4294-H4294)</f>
        <v/>
      </c>
      <c r="J4294" s="144" t="n">
        <v>46.243</v>
      </c>
      <c r="K4294" s="145" t="n"/>
      <c r="L4294" s="140">
        <f>+H4294*J4294</f>
        <v/>
      </c>
      <c r="M4294" s="141">
        <f>SUM(M4293+K4294-L4294)</f>
        <v/>
      </c>
    </row>
    <row r="4295">
      <c r="A4295" s="20" t="n">
        <v>45885</v>
      </c>
      <c r="B4295" s="1" t="n">
        <v>770</v>
      </c>
      <c r="C4295" s="2" t="inlineStr">
        <is>
          <t>SELİM İNŞAAT</t>
        </is>
      </c>
      <c r="D4295" s="1" t="inlineStr">
        <is>
          <t>34 EDB 559</t>
        </is>
      </c>
      <c r="E4295" s="1" t="inlineStr">
        <is>
          <t>ATA KIZMAZ</t>
        </is>
      </c>
      <c r="F4295" s="3" t="n">
        <v>337680</v>
      </c>
      <c r="G4295" s="143" t="n"/>
      <c r="H4295" s="143" t="n">
        <v>490</v>
      </c>
      <c r="I4295" s="143">
        <f>+I4294+(G4295-H4295)</f>
        <v/>
      </c>
      <c r="J4295" s="144" t="n">
        <v>46.243</v>
      </c>
      <c r="K4295" s="145" t="n"/>
      <c r="L4295" s="140">
        <f>+H4295*J4295</f>
        <v/>
      </c>
      <c r="M4295" s="141">
        <f>SUM(M4294+K4295-L4295)</f>
        <v/>
      </c>
    </row>
    <row r="4296">
      <c r="A4296" s="20" t="n">
        <v>45885</v>
      </c>
      <c r="B4296" s="1" t="n">
        <v>15541</v>
      </c>
      <c r="C4296" s="2" t="inlineStr">
        <is>
          <t>SELİM İNŞAAT</t>
        </is>
      </c>
      <c r="D4296" s="1" t="inlineStr">
        <is>
          <t>34 EDC 086</t>
        </is>
      </c>
      <c r="E4296" s="1" t="inlineStr">
        <is>
          <t>ÖMER AĞAYAR</t>
        </is>
      </c>
      <c r="F4296" s="3" t="n">
        <v>342131</v>
      </c>
      <c r="G4296" s="143" t="n"/>
      <c r="H4296" s="143" t="n">
        <v>368</v>
      </c>
      <c r="I4296" s="143">
        <f>+I4295+(G4296-H4296)</f>
        <v/>
      </c>
      <c r="J4296" s="144" t="n">
        <v>46.243</v>
      </c>
      <c r="K4296" s="145" t="n"/>
      <c r="L4296" s="140">
        <f>+H4296*J4296</f>
        <v/>
      </c>
      <c r="M4296" s="141">
        <f>SUM(M4295+K4296-L4296)</f>
        <v/>
      </c>
    </row>
    <row r="4297">
      <c r="A4297" s="20" t="n">
        <v>45885</v>
      </c>
      <c r="B4297" s="1" t="n">
        <v>1067</v>
      </c>
      <c r="C4297" s="2" t="inlineStr">
        <is>
          <t>SELİM İNŞAAT</t>
        </is>
      </c>
      <c r="D4297" s="1" t="inlineStr">
        <is>
          <t>34 GVZ 310</t>
        </is>
      </c>
      <c r="E4297" s="1" t="inlineStr">
        <is>
          <t>CELAL YÜZBASI</t>
        </is>
      </c>
      <c r="F4297" s="3" t="n">
        <v>214552</v>
      </c>
      <c r="G4297" s="143" t="n"/>
      <c r="H4297" s="143" t="n">
        <v>372</v>
      </c>
      <c r="I4297" s="143">
        <f>+I4296+(G4297-H4297)</f>
        <v/>
      </c>
      <c r="J4297" s="144" t="n">
        <v>46.243</v>
      </c>
      <c r="K4297" s="145" t="n"/>
      <c r="L4297" s="140">
        <f>+H4297*J4297</f>
        <v/>
      </c>
      <c r="M4297" s="141">
        <f>SUM(M4296+K4297-L4297)</f>
        <v/>
      </c>
    </row>
    <row r="4298">
      <c r="A4298" s="20" t="n">
        <v>45885</v>
      </c>
      <c r="B4298" s="1" t="n">
        <v>15883</v>
      </c>
      <c r="C4298" s="2" t="inlineStr">
        <is>
          <t>SELİM İNŞAAT</t>
        </is>
      </c>
      <c r="D4298" s="1" t="inlineStr">
        <is>
          <t>34 EDB 754</t>
        </is>
      </c>
      <c r="E4298" s="1" t="inlineStr">
        <is>
          <t>EMİN PARLAKKILIÇ</t>
        </is>
      </c>
      <c r="F4298" s="3" t="n">
        <v>337722</v>
      </c>
      <c r="G4298" s="143" t="n"/>
      <c r="H4298" s="143" t="n">
        <v>464</v>
      </c>
      <c r="I4298" s="143">
        <f>+I4297+(G4298-H4298)</f>
        <v/>
      </c>
      <c r="J4298" s="144" t="n">
        <v>46.243</v>
      </c>
      <c r="K4298" s="145" t="n"/>
      <c r="L4298" s="140">
        <f>+H4298*J4298</f>
        <v/>
      </c>
      <c r="M4298" s="141">
        <f>SUM(M4297+K4298-L4298)</f>
        <v/>
      </c>
    </row>
    <row r="4299">
      <c r="A4299" s="20" t="n">
        <v>45885</v>
      </c>
      <c r="B4299" s="1" t="n">
        <v>16750</v>
      </c>
      <c r="C4299" s="2" t="inlineStr">
        <is>
          <t>SELİM İNŞAAT</t>
        </is>
      </c>
      <c r="D4299" s="1" t="inlineStr">
        <is>
          <t>34 JBA 25</t>
        </is>
      </c>
      <c r="E4299" s="1" t="inlineStr">
        <is>
          <t>ABDURRAHMAN SERDAR</t>
        </is>
      </c>
      <c r="F4299" s="3" t="n">
        <v>338507</v>
      </c>
      <c r="G4299" s="143" t="n"/>
      <c r="H4299" s="143" t="n">
        <v>73</v>
      </c>
      <c r="I4299" s="143">
        <f>+I4298+(G4299-H4299)</f>
        <v/>
      </c>
      <c r="J4299" s="144" t="n">
        <v>46.243</v>
      </c>
      <c r="K4299" s="145" t="n"/>
      <c r="L4299" s="140">
        <f>+H4299*J4299</f>
        <v/>
      </c>
      <c r="M4299" s="141">
        <f>SUM(M4298+K4299-L4299)</f>
        <v/>
      </c>
    </row>
    <row r="4300">
      <c r="A4300" s="20" t="n">
        <v>45887</v>
      </c>
      <c r="B4300" s="1" t="n">
        <v>1908</v>
      </c>
      <c r="C4300" s="2" t="inlineStr">
        <is>
          <t>SELİM İNŞAAT</t>
        </is>
      </c>
      <c r="D4300" s="1" t="inlineStr">
        <is>
          <t>34 FVU 827</t>
        </is>
      </c>
      <c r="E4300" s="1" t="inlineStr">
        <is>
          <t>YILMAZ ÇELEBİ</t>
        </is>
      </c>
      <c r="F4300" s="3" t="n"/>
      <c r="G4300" s="143" t="n"/>
      <c r="H4300" s="143" t="n">
        <v>50</v>
      </c>
      <c r="I4300" s="143">
        <f>+I4299+(G4300-H4300)</f>
        <v/>
      </c>
      <c r="J4300" s="144" t="n">
        <v>46.243</v>
      </c>
      <c r="K4300" s="145" t="n"/>
      <c r="L4300" s="140">
        <f>+H4300*J4300</f>
        <v/>
      </c>
      <c r="M4300" s="141">
        <f>SUM(M4299+K4300-L4300)</f>
        <v/>
      </c>
    </row>
    <row r="4301">
      <c r="A4301" s="20" t="n">
        <v>45887</v>
      </c>
      <c r="B4301" s="21" t="n">
        <v>1909</v>
      </c>
      <c r="C4301" s="22" t="inlineStr">
        <is>
          <t>MAHMUT VİNÇ</t>
        </is>
      </c>
      <c r="D4301" s="21" t="inlineStr">
        <is>
          <t>34 AH 5401</t>
        </is>
      </c>
      <c r="E4301" s="21" t="inlineStr">
        <is>
          <t>MAHMUT YAKUPOĞLU</t>
        </is>
      </c>
      <c r="F4301" s="23" t="n"/>
      <c r="G4301" s="138" t="n"/>
      <c r="H4301" s="138" t="n">
        <v>70</v>
      </c>
      <c r="I4301" s="138">
        <f>+I4300+(G4301-H4301)</f>
        <v/>
      </c>
      <c r="J4301" s="139" t="n">
        <v>46.243</v>
      </c>
      <c r="K4301" s="140" t="n"/>
      <c r="L4301" s="140">
        <f>+H4301*J4301</f>
        <v/>
      </c>
      <c r="M4301" s="141">
        <f>SUM(M4300+K4301-L4301)</f>
        <v/>
      </c>
    </row>
    <row r="4302">
      <c r="A4302" s="20" t="n">
        <v>45887</v>
      </c>
      <c r="B4302" s="21" t="n">
        <v>2065</v>
      </c>
      <c r="C4302" s="22" t="inlineStr">
        <is>
          <t>EVKUR</t>
        </is>
      </c>
      <c r="D4302" s="21" t="inlineStr">
        <is>
          <t>FOKLİFT</t>
        </is>
      </c>
      <c r="E4302" s="21" t="inlineStr">
        <is>
          <t>FAHRİ KALFA</t>
        </is>
      </c>
      <c r="F4302" s="23" t="n"/>
      <c r="G4302" s="138" t="n"/>
      <c r="H4302" s="138" t="n">
        <v>88</v>
      </c>
      <c r="I4302" s="138">
        <f>+I4301+(G4302-H4302)</f>
        <v/>
      </c>
      <c r="J4302" s="139" t="n">
        <v>46.243</v>
      </c>
      <c r="K4302" s="140" t="n"/>
      <c r="L4302" s="140">
        <f>+H4302*J4302</f>
        <v/>
      </c>
      <c r="M4302" s="141">
        <f>SUM(M4301+K4302-L4302)</f>
        <v/>
      </c>
    </row>
    <row r="4303">
      <c r="A4303" s="20" t="n">
        <v>45887</v>
      </c>
      <c r="B4303" s="1" t="n">
        <v>2066</v>
      </c>
      <c r="C4303" s="2" t="inlineStr">
        <is>
          <t>EVKUR</t>
        </is>
      </c>
      <c r="D4303" s="1" t="inlineStr">
        <is>
          <t>34 AZ 2191 VİNÇ</t>
        </is>
      </c>
      <c r="E4303" s="1" t="inlineStr">
        <is>
          <t>NUMAN KABİL</t>
        </is>
      </c>
      <c r="F4303" s="3" t="n"/>
      <c r="G4303" s="143" t="n"/>
      <c r="H4303" s="143" t="n">
        <v>221</v>
      </c>
      <c r="I4303" s="143">
        <f>+I4302+(G4303-H4303)</f>
        <v/>
      </c>
      <c r="J4303" s="144" t="n">
        <v>46.243</v>
      </c>
      <c r="K4303" s="145" t="n"/>
      <c r="L4303" s="140">
        <f>+H4303*J4303</f>
        <v/>
      </c>
      <c r="M4303" s="141">
        <f>SUM(M4302+K4303-L4303)</f>
        <v/>
      </c>
    </row>
    <row r="4304">
      <c r="A4304" s="20" t="n">
        <v>45887</v>
      </c>
      <c r="B4304" s="1" t="n">
        <v>2067</v>
      </c>
      <c r="C4304" s="2" t="inlineStr">
        <is>
          <t>EVKUR</t>
        </is>
      </c>
      <c r="D4304" s="1" t="inlineStr">
        <is>
          <t>SM 350</t>
        </is>
      </c>
      <c r="E4304" s="1" t="inlineStr">
        <is>
          <t>TEVFİK ÖZTÜRK</t>
        </is>
      </c>
      <c r="F4304" s="3" t="n"/>
      <c r="G4304" s="143" t="n"/>
      <c r="H4304" s="143" t="n">
        <v>456</v>
      </c>
      <c r="I4304" s="143">
        <f>+I4303+(G4304-H4304)</f>
        <v/>
      </c>
      <c r="J4304" s="144" t="n">
        <v>46.243</v>
      </c>
      <c r="K4304" s="145" t="n"/>
      <c r="L4304" s="140">
        <f>+H4304*J4304</f>
        <v/>
      </c>
      <c r="M4304" s="141">
        <f>SUM(M4303+K4304-L4304)</f>
        <v/>
      </c>
    </row>
    <row r="4305">
      <c r="A4305" s="20" t="n">
        <v>45887</v>
      </c>
      <c r="B4305" s="1" t="n">
        <v>2068</v>
      </c>
      <c r="C4305" s="2" t="inlineStr">
        <is>
          <t>MEGA VARLIK</t>
        </is>
      </c>
      <c r="D4305" s="1" t="inlineStr">
        <is>
          <t>SM 350</t>
        </is>
      </c>
      <c r="E4305" s="1" t="inlineStr">
        <is>
          <t>AHMET AKGÜL</t>
        </is>
      </c>
      <c r="F4305" s="3" t="n"/>
      <c r="G4305" s="143" t="n"/>
      <c r="H4305" s="143" t="n">
        <v>292</v>
      </c>
      <c r="I4305" s="143">
        <f>+I4304+(G4305-H4305)</f>
        <v/>
      </c>
      <c r="J4305" s="144" t="n">
        <v>46.243</v>
      </c>
      <c r="K4305" s="145" t="n"/>
      <c r="L4305" s="140">
        <f>+H4305*J4305</f>
        <v/>
      </c>
      <c r="M4305" s="141">
        <f>SUM(M4304+K4305-L4305)</f>
        <v/>
      </c>
    </row>
    <row r="4306">
      <c r="A4306" s="20" t="n">
        <v>45887</v>
      </c>
      <c r="B4306" s="1" t="n">
        <v>2069</v>
      </c>
      <c r="C4306" s="2" t="inlineStr">
        <is>
          <t>MEGA VARLIK</t>
        </is>
      </c>
      <c r="D4306" s="1" t="inlineStr">
        <is>
          <t>SM 370</t>
        </is>
      </c>
      <c r="E4306" s="1" t="inlineStr">
        <is>
          <t>TEKİN ŞEYLAN</t>
        </is>
      </c>
      <c r="F4306" s="3" t="n"/>
      <c r="G4306" s="143" t="n"/>
      <c r="H4306" s="143" t="n">
        <v>306</v>
      </c>
      <c r="I4306" s="143">
        <f>+I4305+(G4306-H4306)</f>
        <v/>
      </c>
      <c r="J4306" s="144" t="n">
        <v>46.243</v>
      </c>
      <c r="K4306" s="145" t="n"/>
      <c r="L4306" s="140">
        <f>+H4306*J4306</f>
        <v/>
      </c>
      <c r="M4306" s="141">
        <f>SUM(M4305+K4306-L4306)</f>
        <v/>
      </c>
    </row>
    <row r="4307">
      <c r="A4307" s="20" t="n">
        <v>45887</v>
      </c>
      <c r="B4307" s="1" t="n">
        <v>2070</v>
      </c>
      <c r="C4307" s="2" t="inlineStr">
        <is>
          <t>MEGA VARLIK</t>
        </is>
      </c>
      <c r="D4307" s="1" t="inlineStr">
        <is>
          <t>SM 300</t>
        </is>
      </c>
      <c r="E4307" s="1" t="inlineStr">
        <is>
          <t>TURGUT SANCAK</t>
        </is>
      </c>
      <c r="F4307" s="3" t="n"/>
      <c r="G4307" s="143" t="n"/>
      <c r="H4307" s="143" t="n">
        <v>286</v>
      </c>
      <c r="I4307" s="143">
        <f>+I4306+(G4307-H4307)</f>
        <v/>
      </c>
      <c r="J4307" s="144" t="n">
        <v>46.243</v>
      </c>
      <c r="K4307" s="145" t="n"/>
      <c r="L4307" s="140">
        <f>+H4307*J4307</f>
        <v/>
      </c>
      <c r="M4307" s="141">
        <f>SUM(M4306+K4307-L4307)</f>
        <v/>
      </c>
    </row>
    <row r="4308">
      <c r="A4308" s="20" t="n">
        <v>45887</v>
      </c>
      <c r="B4308" s="1" t="n">
        <v>14848</v>
      </c>
      <c r="C4308" s="2" t="inlineStr">
        <is>
          <t>SELİM İNŞAAT</t>
        </is>
      </c>
      <c r="D4308" s="1" t="inlineStr">
        <is>
          <t>34 GVZ 268</t>
        </is>
      </c>
      <c r="E4308" s="1" t="inlineStr">
        <is>
          <t>KERİM KARAMAN</t>
        </is>
      </c>
      <c r="F4308" s="3" t="n">
        <v>209566</v>
      </c>
      <c r="G4308" s="143" t="n"/>
      <c r="H4308" s="143" t="n">
        <v>534</v>
      </c>
      <c r="I4308" s="143">
        <f>+I4307+(G4308-H4308)</f>
        <v/>
      </c>
      <c r="J4308" s="144" t="n">
        <v>46.243</v>
      </c>
      <c r="K4308" s="145" t="n"/>
      <c r="L4308" s="140">
        <f>+H4308*J4308</f>
        <v/>
      </c>
      <c r="M4308" s="141">
        <f>SUM(M4307+K4308-L4308)</f>
        <v/>
      </c>
    </row>
    <row r="4309">
      <c r="A4309" s="20" t="n">
        <v>45887</v>
      </c>
      <c r="B4309" s="1" t="n">
        <v>29</v>
      </c>
      <c r="C4309" s="2" t="inlineStr">
        <is>
          <t>SELİM İNŞAAT</t>
        </is>
      </c>
      <c r="D4309" s="1" t="inlineStr">
        <is>
          <t>34 FBR 748</t>
        </is>
      </c>
      <c r="E4309" s="1" t="inlineStr">
        <is>
          <t>YAŞAR ÖZKAYA</t>
        </is>
      </c>
      <c r="F4309" s="3" t="n">
        <v>297546</v>
      </c>
      <c r="G4309" s="143" t="n"/>
      <c r="H4309" s="143" t="n">
        <v>447</v>
      </c>
      <c r="I4309" s="143">
        <f>+I4308+(G4309-H4309)</f>
        <v/>
      </c>
      <c r="J4309" s="144" t="n">
        <v>46.243</v>
      </c>
      <c r="K4309" s="145" t="n"/>
      <c r="L4309" s="140">
        <f>+H4309*J4309</f>
        <v/>
      </c>
      <c r="M4309" s="141">
        <f>SUM(M4308+K4309-L4309)</f>
        <v/>
      </c>
    </row>
    <row r="4310">
      <c r="A4310" s="20" t="n">
        <v>45887</v>
      </c>
      <c r="B4310" s="1" t="n">
        <v>1015</v>
      </c>
      <c r="C4310" s="2" t="inlineStr">
        <is>
          <t>SELİM İNŞAAT</t>
        </is>
      </c>
      <c r="D4310" s="1" t="inlineStr">
        <is>
          <t>34 DHH 668</t>
        </is>
      </c>
      <c r="E4310" s="1" t="inlineStr">
        <is>
          <t>ADNAN KOÇ</t>
        </is>
      </c>
      <c r="F4310" s="3" t="n">
        <v>398586</v>
      </c>
      <c r="G4310" s="143" t="n"/>
      <c r="H4310" s="143" t="n">
        <v>510</v>
      </c>
      <c r="I4310" s="143">
        <f>+I4309+(G4310-H4310)</f>
        <v/>
      </c>
      <c r="J4310" s="144" t="n">
        <v>46.243</v>
      </c>
      <c r="K4310" s="145" t="n"/>
      <c r="L4310" s="140">
        <f>+H4310*J4310</f>
        <v/>
      </c>
      <c r="M4310" s="141">
        <f>SUM(M4309+K4310-L4310)</f>
        <v/>
      </c>
    </row>
    <row r="4311">
      <c r="A4311" s="20" t="n">
        <v>45887</v>
      </c>
      <c r="B4311" s="1" t="n">
        <v>1462</v>
      </c>
      <c r="C4311" s="2" t="inlineStr">
        <is>
          <t>SELİM İNŞAAT</t>
        </is>
      </c>
      <c r="D4311" s="1" t="inlineStr">
        <is>
          <t>34 EGR 737</t>
        </is>
      </c>
      <c r="E4311" s="1" t="inlineStr">
        <is>
          <t>CEM MUHTAR</t>
        </is>
      </c>
      <c r="F4311" s="3" t="n">
        <v>431717</v>
      </c>
      <c r="G4311" s="143" t="n"/>
      <c r="H4311" s="143" t="n">
        <v>271</v>
      </c>
      <c r="I4311" s="143">
        <f>+I4310+(G4311-H4311)</f>
        <v/>
      </c>
      <c r="J4311" s="144" t="n">
        <v>46.243</v>
      </c>
      <c r="K4311" s="145" t="n"/>
      <c r="L4311" s="140">
        <f>+H4311*J4311</f>
        <v/>
      </c>
      <c r="M4311" s="141">
        <f>SUM(M4310+K4311-L4311)</f>
        <v/>
      </c>
    </row>
    <row r="4312">
      <c r="A4312" s="20" t="n">
        <v>45887</v>
      </c>
      <c r="B4312" s="1" t="n">
        <v>1711</v>
      </c>
      <c r="C4312" s="2" t="inlineStr">
        <is>
          <t>SELİM İNŞAAT</t>
        </is>
      </c>
      <c r="D4312" s="21" t="inlineStr">
        <is>
          <t>34 DGP 137</t>
        </is>
      </c>
      <c r="E4312" s="1" t="inlineStr">
        <is>
          <t>GÜRAY KOYUNCU</t>
        </is>
      </c>
      <c r="F4312" s="3" t="n">
        <v>438416</v>
      </c>
      <c r="G4312" s="143" t="n"/>
      <c r="H4312" s="143" t="n">
        <v>540</v>
      </c>
      <c r="I4312" s="143">
        <f>+I4311+(G4312-H4312)</f>
        <v/>
      </c>
      <c r="J4312" s="144" t="n">
        <v>46.243</v>
      </c>
      <c r="K4312" s="145" t="n"/>
      <c r="L4312" s="140">
        <f>+H4312*J4312</f>
        <v/>
      </c>
      <c r="M4312" s="141">
        <f>SUM(M4311+K4312-L4312)</f>
        <v/>
      </c>
    </row>
    <row r="4313">
      <c r="A4313" s="20" t="n">
        <v>45887</v>
      </c>
      <c r="B4313" s="1" t="n">
        <v>15130</v>
      </c>
      <c r="C4313" s="2" t="inlineStr">
        <is>
          <t>SELİM İNŞAAT</t>
        </is>
      </c>
      <c r="D4313" s="1" t="inlineStr">
        <is>
          <t>34 DTV 599</t>
        </is>
      </c>
      <c r="E4313" s="1" t="inlineStr">
        <is>
          <t>FERHAT GÜRLER</t>
        </is>
      </c>
      <c r="F4313" s="3" t="n">
        <v>446403</v>
      </c>
      <c r="G4313" s="143" t="n"/>
      <c r="H4313" s="143" t="n">
        <v>534</v>
      </c>
      <c r="I4313" s="143">
        <f>+I4312+(G4313-H4313)</f>
        <v/>
      </c>
      <c r="J4313" s="144" t="n">
        <v>46.243</v>
      </c>
      <c r="K4313" s="145" t="n"/>
      <c r="L4313" s="140">
        <f>+H4313*J4313</f>
        <v/>
      </c>
      <c r="M4313" s="141">
        <f>SUM(M4312+K4313-L4313)</f>
        <v/>
      </c>
    </row>
    <row r="4314">
      <c r="A4314" s="20" t="n">
        <v>45887</v>
      </c>
      <c r="B4314" s="1" t="n">
        <v>1652</v>
      </c>
      <c r="C4314" s="2" t="inlineStr">
        <is>
          <t>SELİM İNŞAAT</t>
        </is>
      </c>
      <c r="D4314" s="1" t="inlineStr">
        <is>
          <t>34 DHH 570</t>
        </is>
      </c>
      <c r="E4314" s="1" t="inlineStr">
        <is>
          <t>EBUBEKİR KOLDAŞ</t>
        </is>
      </c>
      <c r="F4314" s="3" t="n">
        <v>446574</v>
      </c>
      <c r="G4314" s="143" t="n"/>
      <c r="H4314" s="143" t="n">
        <v>533</v>
      </c>
      <c r="I4314" s="143">
        <f>+I4313+(G4314-H4314)</f>
        <v/>
      </c>
      <c r="J4314" s="144" t="n">
        <v>46.243</v>
      </c>
      <c r="K4314" s="145" t="n"/>
      <c r="L4314" s="140">
        <f>+H4314*J4314</f>
        <v/>
      </c>
      <c r="M4314" s="141">
        <f>SUM(M4313+K4314-L4314)</f>
        <v/>
      </c>
    </row>
    <row r="4315">
      <c r="A4315" s="20" t="n">
        <v>45887</v>
      </c>
      <c r="B4315" s="1" t="n">
        <v>15047</v>
      </c>
      <c r="C4315" s="2" t="inlineStr">
        <is>
          <t>SELİM İNŞAAT</t>
        </is>
      </c>
      <c r="D4315" s="1" t="inlineStr">
        <is>
          <t>34 GVZ 199</t>
        </is>
      </c>
      <c r="E4315" s="1" t="inlineStr">
        <is>
          <t>AHMET TOPÇU</t>
        </is>
      </c>
      <c r="F4315" s="3" t="n">
        <v>196964</v>
      </c>
      <c r="G4315" s="143" t="n"/>
      <c r="H4315" s="143" t="n">
        <v>368</v>
      </c>
      <c r="I4315" s="143">
        <f>+I4314+(G4315-H4315)</f>
        <v/>
      </c>
      <c r="J4315" s="144" t="n">
        <v>46.243</v>
      </c>
      <c r="K4315" s="145" t="n"/>
      <c r="L4315" s="140">
        <f>+H4315*J4315</f>
        <v/>
      </c>
      <c r="M4315" s="141">
        <f>SUM(M4314+K4315-L4315)</f>
        <v/>
      </c>
    </row>
    <row r="4316">
      <c r="A4316" s="20" t="n">
        <v>45887</v>
      </c>
      <c r="B4316" s="1" t="n">
        <v>122</v>
      </c>
      <c r="C4316" s="2" t="inlineStr">
        <is>
          <t>SELİM İNŞAAT</t>
        </is>
      </c>
      <c r="D4316" s="1" t="inlineStr">
        <is>
          <t>34 FBR 771</t>
        </is>
      </c>
      <c r="E4316" s="1" t="inlineStr">
        <is>
          <t>HÜSEYİN AKÇİN</t>
        </is>
      </c>
      <c r="F4316" s="3" t="n">
        <v>333051</v>
      </c>
      <c r="G4316" s="143" t="n"/>
      <c r="H4316" s="143" t="n">
        <v>504</v>
      </c>
      <c r="I4316" s="143">
        <f>+I4315+(G4316-H4316)</f>
        <v/>
      </c>
      <c r="J4316" s="144" t="n">
        <v>46.243</v>
      </c>
      <c r="K4316" s="145" t="n"/>
      <c r="L4316" s="140">
        <f>+H4316*J4316</f>
        <v/>
      </c>
      <c r="M4316" s="141">
        <f>SUM(M4315+K4316-L4316)</f>
        <v/>
      </c>
    </row>
    <row r="4317">
      <c r="A4317" s="20" t="n">
        <v>45887</v>
      </c>
      <c r="B4317" s="1" t="n">
        <v>11248</v>
      </c>
      <c r="C4317" s="2" t="inlineStr">
        <is>
          <t>SELİM İNŞAAT</t>
        </is>
      </c>
      <c r="D4317" s="1" t="inlineStr">
        <is>
          <t>34 DSN 636</t>
        </is>
      </c>
      <c r="E4317" s="1" t="inlineStr">
        <is>
          <t>MAHSUM GÜVEN</t>
        </is>
      </c>
      <c r="F4317" s="3" t="n">
        <v>404694</v>
      </c>
      <c r="G4317" s="143" t="n"/>
      <c r="H4317" s="143" t="n">
        <v>423</v>
      </c>
      <c r="I4317" s="143">
        <f>+I4316+(G4317-H4317)</f>
        <v/>
      </c>
      <c r="J4317" s="144" t="n">
        <v>46.243</v>
      </c>
      <c r="K4317" s="145" t="n"/>
      <c r="L4317" s="140">
        <f>+H4317*J4317</f>
        <v/>
      </c>
      <c r="M4317" s="141">
        <f>SUM(M4316+K4317-L4317)</f>
        <v/>
      </c>
    </row>
    <row r="4318">
      <c r="A4318" s="20" t="n">
        <v>45887</v>
      </c>
      <c r="B4318" s="1" t="n">
        <v>1566</v>
      </c>
      <c r="C4318" s="2" t="inlineStr">
        <is>
          <t>SELİM İNŞAAT</t>
        </is>
      </c>
      <c r="D4318" s="1" t="inlineStr">
        <is>
          <t>34 GUS 938</t>
        </is>
      </c>
      <c r="E4318" s="1" t="inlineStr">
        <is>
          <t>MEHMET KAYA</t>
        </is>
      </c>
      <c r="F4318" s="3" t="n">
        <v>205181</v>
      </c>
      <c r="G4318" s="143" t="n"/>
      <c r="H4318" s="143" t="n">
        <v>500</v>
      </c>
      <c r="I4318" s="143">
        <f>+I4317+(G4318-H4318)</f>
        <v/>
      </c>
      <c r="J4318" s="144" t="n">
        <v>46.243</v>
      </c>
      <c r="K4318" s="145" t="n"/>
      <c r="L4318" s="140">
        <f>+H4318*J4318</f>
        <v/>
      </c>
      <c r="M4318" s="141">
        <f>SUM(M4317+K4318-L4318)</f>
        <v/>
      </c>
    </row>
    <row r="4319">
      <c r="A4319" s="20" t="n">
        <v>45887</v>
      </c>
      <c r="B4319" s="1" t="n">
        <v>665</v>
      </c>
      <c r="C4319" s="2" t="inlineStr">
        <is>
          <t>SELİM İNŞAAT</t>
        </is>
      </c>
      <c r="D4319" s="1" t="inlineStr">
        <is>
          <t>34 DTV 352</t>
        </is>
      </c>
      <c r="E4319" s="1" t="inlineStr">
        <is>
          <t>AHMET DENİZ</t>
        </is>
      </c>
      <c r="F4319" s="3" t="n">
        <v>443696</v>
      </c>
      <c r="G4319" s="143" t="n"/>
      <c r="H4319" s="143" t="n">
        <v>449</v>
      </c>
      <c r="I4319" s="143">
        <f>+I4318+(G4319-H4319)</f>
        <v/>
      </c>
      <c r="J4319" s="144" t="n">
        <v>46.243</v>
      </c>
      <c r="K4319" s="145" t="n"/>
      <c r="L4319" s="140">
        <f>+H4319*J4319</f>
        <v/>
      </c>
      <c r="M4319" s="141">
        <f>SUM(M4318+K4319-L4319)</f>
        <v/>
      </c>
    </row>
    <row r="4320">
      <c r="A4320" s="20" t="n">
        <v>45887</v>
      </c>
      <c r="B4320" s="1" t="n">
        <v>15985</v>
      </c>
      <c r="C4320" s="2" t="inlineStr">
        <is>
          <t>SELİM İNŞAAT</t>
        </is>
      </c>
      <c r="D4320" s="1" t="inlineStr">
        <is>
          <t>34 FBR 781</t>
        </is>
      </c>
      <c r="E4320" s="1" t="inlineStr">
        <is>
          <t>MEVLÜT POLAT</t>
        </is>
      </c>
      <c r="F4320" s="3" t="n">
        <v>321785</v>
      </c>
      <c r="G4320" s="143" t="n"/>
      <c r="H4320" s="143" t="n">
        <v>455</v>
      </c>
      <c r="I4320" s="143">
        <f>+I4319+(G4320-H4320)</f>
        <v/>
      </c>
      <c r="J4320" s="144" t="n">
        <v>46.243</v>
      </c>
      <c r="K4320" s="145" t="n"/>
      <c r="L4320" s="140">
        <f>+H4320*J4320</f>
        <v/>
      </c>
      <c r="M4320" s="141">
        <f>SUM(M4319+K4320-L4320)</f>
        <v/>
      </c>
    </row>
    <row r="4321">
      <c r="A4321" s="20" t="n">
        <v>45887</v>
      </c>
      <c r="B4321" s="1" t="n">
        <v>1155</v>
      </c>
      <c r="C4321" s="2" t="inlineStr">
        <is>
          <t>SELİM İNŞAAT</t>
        </is>
      </c>
      <c r="D4321" s="1" t="inlineStr">
        <is>
          <t>34 DSN 536</t>
        </is>
      </c>
      <c r="E4321" s="1" t="inlineStr">
        <is>
          <t>NAZIM KARATAŞ</t>
        </is>
      </c>
      <c r="F4321" s="3" t="n">
        <v>417371</v>
      </c>
      <c r="G4321" s="143" t="n"/>
      <c r="H4321" s="143" t="n">
        <v>383</v>
      </c>
      <c r="I4321" s="143">
        <f>+I4320+(G4321-H4321)</f>
        <v/>
      </c>
      <c r="J4321" s="144" t="n">
        <v>46.243</v>
      </c>
      <c r="K4321" s="145" t="n"/>
      <c r="L4321" s="140">
        <f>+H4321*J4321</f>
        <v/>
      </c>
      <c r="M4321" s="141">
        <f>SUM(M4320+K4321-L4321)</f>
        <v/>
      </c>
    </row>
    <row r="4322">
      <c r="A4322" s="20" t="n">
        <v>45887</v>
      </c>
      <c r="B4322" s="1" t="n">
        <v>15593</v>
      </c>
      <c r="C4322" s="2" t="inlineStr">
        <is>
          <t>SELİM İNŞAAT</t>
        </is>
      </c>
      <c r="D4322" s="1" t="inlineStr">
        <is>
          <t>34 GVZ 745</t>
        </is>
      </c>
      <c r="E4322" s="1" t="inlineStr">
        <is>
          <t>MURAT DEMİRBAŞ</t>
        </is>
      </c>
      <c r="F4322" s="3" t="n">
        <v>202608</v>
      </c>
      <c r="G4322" s="143" t="n"/>
      <c r="H4322" s="143" t="n">
        <v>511</v>
      </c>
      <c r="I4322" s="143">
        <f>+I4321+(G4322-H4322)</f>
        <v/>
      </c>
      <c r="J4322" s="144" t="n">
        <v>46.243</v>
      </c>
      <c r="K4322" s="145" t="n"/>
      <c r="L4322" s="140">
        <f>+H4322*J4322</f>
        <v/>
      </c>
      <c r="M4322" s="141">
        <f>SUM(M4321+K4322-L4322)</f>
        <v/>
      </c>
    </row>
    <row r="4323">
      <c r="A4323" s="20" t="n">
        <v>45887</v>
      </c>
      <c r="B4323" s="1" t="n">
        <v>15229</v>
      </c>
      <c r="C4323" s="2" t="inlineStr">
        <is>
          <t>SELİM İNŞAAT</t>
        </is>
      </c>
      <c r="D4323" s="1" t="inlineStr">
        <is>
          <t>34 DSN 565</t>
        </is>
      </c>
      <c r="E4323" s="1" t="inlineStr">
        <is>
          <t>HÜSEYİN DENİZ</t>
        </is>
      </c>
      <c r="F4323" s="3" t="n">
        <v>414502</v>
      </c>
      <c r="G4323" s="143" t="n"/>
      <c r="H4323" s="143" t="n">
        <v>389</v>
      </c>
      <c r="I4323" s="143">
        <f>+I4322+(G4323-H4323)</f>
        <v/>
      </c>
      <c r="J4323" s="144" t="n">
        <v>46.243</v>
      </c>
      <c r="K4323" s="145" t="n"/>
      <c r="L4323" s="140">
        <f>+H4323*J4323</f>
        <v/>
      </c>
      <c r="M4323" s="141">
        <f>SUM(M4322+K4323-L4323)</f>
        <v/>
      </c>
    </row>
    <row r="4324">
      <c r="A4324" s="20" t="n">
        <v>45887</v>
      </c>
      <c r="B4324" s="1" t="n">
        <v>15273</v>
      </c>
      <c r="C4324" s="2" t="inlineStr">
        <is>
          <t>SELİM İNŞAAT</t>
        </is>
      </c>
      <c r="D4324" s="1" t="inlineStr">
        <is>
          <t>34 DTV 447</t>
        </is>
      </c>
      <c r="E4324" s="1" t="inlineStr">
        <is>
          <t>EBUBEKİR KOLDAŞ</t>
        </is>
      </c>
      <c r="F4324" s="3" t="n">
        <v>441223</v>
      </c>
      <c r="G4324" s="143" t="n"/>
      <c r="H4324" s="143" t="n">
        <v>464</v>
      </c>
      <c r="I4324" s="143">
        <f>+I4323+(G4324-H4324)</f>
        <v/>
      </c>
      <c r="J4324" s="144" t="n">
        <v>46.243</v>
      </c>
      <c r="K4324" s="145" t="n"/>
      <c r="L4324" s="140">
        <f>+H4324*J4324</f>
        <v/>
      </c>
      <c r="M4324" s="141">
        <f>SUM(M4323+K4324-L4324)</f>
        <v/>
      </c>
    </row>
    <row r="4325">
      <c r="A4325" s="20" t="n">
        <v>45887</v>
      </c>
      <c r="B4325" s="1" t="n">
        <v>1114</v>
      </c>
      <c r="C4325" s="2" t="inlineStr">
        <is>
          <t>SELİM İNŞAAT</t>
        </is>
      </c>
      <c r="D4325" s="1" t="inlineStr">
        <is>
          <t>34 EDB 659</t>
        </is>
      </c>
      <c r="E4325" s="1" t="inlineStr">
        <is>
          <t>MEHMET SAİT ANIK</t>
        </is>
      </c>
      <c r="F4325" s="3" t="n">
        <v>356729</v>
      </c>
      <c r="G4325" s="143" t="n"/>
      <c r="H4325" s="143" t="n">
        <v>498</v>
      </c>
      <c r="I4325" s="143">
        <f>+I4324+(G4325-H4325)</f>
        <v/>
      </c>
      <c r="J4325" s="144" t="n">
        <v>46.243</v>
      </c>
      <c r="K4325" s="145" t="n"/>
      <c r="L4325" s="140">
        <f>+H4325*J4325</f>
        <v/>
      </c>
      <c r="M4325" s="141">
        <f>SUM(M4324+K4325-L4325)</f>
        <v/>
      </c>
    </row>
    <row r="4326">
      <c r="A4326" s="20" t="n">
        <v>45887</v>
      </c>
      <c r="B4326" s="1" t="n">
        <v>1068</v>
      </c>
      <c r="C4326" s="2" t="inlineStr">
        <is>
          <t>SELİM İNŞAAT</t>
        </is>
      </c>
      <c r="D4326" s="1" t="inlineStr">
        <is>
          <t>34 GVZ 310</t>
        </is>
      </c>
      <c r="E4326" s="1" t="inlineStr">
        <is>
          <t>CELAL YÜZBASI</t>
        </is>
      </c>
      <c r="F4326" s="3" t="n">
        <v>215503</v>
      </c>
      <c r="G4326" s="143" t="n"/>
      <c r="H4326" s="143" t="n">
        <v>381</v>
      </c>
      <c r="I4326" s="143">
        <f>+I4325+(G4326-H4326)</f>
        <v/>
      </c>
      <c r="J4326" s="144" t="n">
        <v>46.243</v>
      </c>
      <c r="K4326" s="145" t="n"/>
      <c r="L4326" s="140">
        <f>+H4326*J4326</f>
        <v/>
      </c>
      <c r="M4326" s="141">
        <f>SUM(M4325+K4326-L4326)</f>
        <v/>
      </c>
    </row>
    <row r="4327">
      <c r="A4327" s="20" t="n">
        <v>45887</v>
      </c>
      <c r="B4327" s="1" t="n">
        <v>324</v>
      </c>
      <c r="C4327" s="2" t="inlineStr">
        <is>
          <t>SELİM İNŞAAT</t>
        </is>
      </c>
      <c r="D4327" s="1" t="inlineStr">
        <is>
          <t>34 EDB 829</t>
        </is>
      </c>
      <c r="E4327" s="1" t="inlineStr">
        <is>
          <t xml:space="preserve">İRFAN DAĞLAR </t>
        </is>
      </c>
      <c r="F4327" s="3" t="n">
        <v>331995</v>
      </c>
      <c r="G4327" s="143" t="n"/>
      <c r="H4327" s="143" t="n">
        <v>412</v>
      </c>
      <c r="I4327" s="143">
        <f>+I4326+(G4327-H4327)</f>
        <v/>
      </c>
      <c r="J4327" s="144" t="n">
        <v>46.243</v>
      </c>
      <c r="K4327" s="145" t="n"/>
      <c r="L4327" s="140">
        <f>+H4327*J4327</f>
        <v/>
      </c>
      <c r="M4327" s="141">
        <f>SUM(M4326+K4327-L4327)</f>
        <v/>
      </c>
    </row>
    <row r="4328">
      <c r="A4328" s="20" t="n">
        <v>45887</v>
      </c>
      <c r="B4328" s="1" t="n">
        <v>15188</v>
      </c>
      <c r="C4328" s="2" t="inlineStr">
        <is>
          <t>SELİM İNŞAAT</t>
        </is>
      </c>
      <c r="D4328" s="1" t="inlineStr">
        <is>
          <t>34 DP 4161</t>
        </is>
      </c>
      <c r="E4328" s="1" t="inlineStr">
        <is>
          <t>RIFAT KARATAY</t>
        </is>
      </c>
      <c r="F4328" s="3" t="n">
        <v>295458</v>
      </c>
      <c r="G4328" s="143" t="n"/>
      <c r="H4328" s="143" t="n">
        <v>297</v>
      </c>
      <c r="I4328" s="143">
        <f>+I4327+(G4328-H4328)</f>
        <v/>
      </c>
      <c r="J4328" s="144" t="n">
        <v>46.243</v>
      </c>
      <c r="K4328" s="145" t="n"/>
      <c r="L4328" s="140">
        <f>+H4328*J4328</f>
        <v/>
      </c>
      <c r="M4328" s="141">
        <f>SUM(M4327+K4328-L4328)</f>
        <v/>
      </c>
    </row>
    <row r="4329">
      <c r="A4329" s="20" t="n">
        <v>45887</v>
      </c>
      <c r="B4329" s="1" t="n">
        <v>2605</v>
      </c>
      <c r="C4329" s="2" t="inlineStr">
        <is>
          <t>SELİM İNŞAAT</t>
        </is>
      </c>
      <c r="D4329" s="1" t="inlineStr">
        <is>
          <t>34 GU 945</t>
        </is>
      </c>
      <c r="E4329" s="1" t="inlineStr">
        <is>
          <t>ŞERİF KARTAL</t>
        </is>
      </c>
      <c r="F4329" s="3" t="n">
        <v>455719</v>
      </c>
      <c r="G4329" s="143" t="n"/>
      <c r="H4329" s="143" t="n">
        <v>66</v>
      </c>
      <c r="I4329" s="143">
        <f>+I4328+(G4329-H4329)</f>
        <v/>
      </c>
      <c r="J4329" s="144" t="n">
        <v>46.243</v>
      </c>
      <c r="K4329" s="145" t="n"/>
      <c r="L4329" s="140">
        <f>+H4329*J4329</f>
        <v/>
      </c>
      <c r="M4329" s="141">
        <f>SUM(M4328+K4329-L4329)</f>
        <v/>
      </c>
    </row>
    <row r="4330">
      <c r="A4330" s="20" t="n">
        <v>45887</v>
      </c>
      <c r="B4330" s="1" t="n">
        <v>21345</v>
      </c>
      <c r="C4330" s="2" t="inlineStr">
        <is>
          <t>SELİM İNŞAAT</t>
        </is>
      </c>
      <c r="D4330" s="1" t="inlineStr">
        <is>
          <t>34 FEM 934</t>
        </is>
      </c>
      <c r="E4330" s="1" t="inlineStr">
        <is>
          <t>SELİM CAN ÖNVER</t>
        </is>
      </c>
      <c r="F4330" s="3" t="n">
        <v>316670</v>
      </c>
      <c r="G4330" s="143" t="n"/>
      <c r="H4330" s="143" t="n">
        <v>74</v>
      </c>
      <c r="I4330" s="143">
        <f>+I4329+(G4330-H4330)</f>
        <v/>
      </c>
      <c r="J4330" s="144" t="n">
        <v>46.243</v>
      </c>
      <c r="K4330" s="145" t="n"/>
      <c r="L4330" s="140">
        <f>+H4330*J4330</f>
        <v/>
      </c>
      <c r="M4330" s="141">
        <f>SUM(M4329+K4330-L4330)</f>
        <v/>
      </c>
    </row>
    <row r="4331">
      <c r="A4331" s="20" t="n">
        <v>45887</v>
      </c>
      <c r="B4331" s="1" t="n">
        <v>1605</v>
      </c>
      <c r="C4331" s="2" t="inlineStr">
        <is>
          <t>SELİM İNŞAAT</t>
        </is>
      </c>
      <c r="D4331" s="1" t="inlineStr">
        <is>
          <t>34 VF 2620</t>
        </is>
      </c>
      <c r="E4331" s="1" t="inlineStr">
        <is>
          <t>RECEP SELİM</t>
        </is>
      </c>
      <c r="F4331" s="3" t="n">
        <v>192133</v>
      </c>
      <c r="G4331" s="143" t="n"/>
      <c r="H4331" s="143" t="n">
        <v>74</v>
      </c>
      <c r="I4331" s="143">
        <f>+I4330+(G4331-H4331)</f>
        <v/>
      </c>
      <c r="J4331" s="144" t="n">
        <v>46.243</v>
      </c>
      <c r="K4331" s="145" t="n"/>
      <c r="L4331" s="140">
        <f>+H4331*J4331</f>
        <v/>
      </c>
      <c r="M4331" s="141">
        <f>SUM(M4330+K4331-L4331)</f>
        <v/>
      </c>
    </row>
    <row r="4332">
      <c r="A4332" s="20" t="n">
        <v>45888</v>
      </c>
      <c r="B4332" s="21" t="n">
        <v>15694</v>
      </c>
      <c r="C4332" s="22" t="inlineStr">
        <is>
          <t>METİN ERYİĞİT</t>
        </is>
      </c>
      <c r="D4332" s="21" t="inlineStr">
        <is>
          <t>34 EGR 814</t>
        </is>
      </c>
      <c r="E4332" s="21" t="inlineStr">
        <is>
          <t>MUHAMMED YİĞİT</t>
        </is>
      </c>
      <c r="F4332" s="23" t="n">
        <v>561325</v>
      </c>
      <c r="G4332" s="138" t="n"/>
      <c r="H4332" s="138" t="n">
        <v>420</v>
      </c>
      <c r="I4332" s="138">
        <f>+I4331+(G4332-H4332)</f>
        <v/>
      </c>
      <c r="J4332" s="139" t="n">
        <v>46.243</v>
      </c>
      <c r="K4332" s="140" t="n"/>
      <c r="L4332" s="140">
        <f>+H4332*J4332</f>
        <v/>
      </c>
      <c r="M4332" s="141">
        <f>SUM(M4331+K4332-L4332)</f>
        <v/>
      </c>
    </row>
    <row r="4333">
      <c r="A4333" s="20" t="n">
        <v>45888</v>
      </c>
      <c r="B4333" s="21" t="n">
        <v>15638</v>
      </c>
      <c r="C4333" s="22" t="inlineStr">
        <is>
          <t>METİN ERYİĞİT</t>
        </is>
      </c>
      <c r="D4333" s="21" t="inlineStr">
        <is>
          <t>34 EGS 013</t>
        </is>
      </c>
      <c r="E4333" s="21" t="inlineStr">
        <is>
          <t>UĞUR DUMAN</t>
        </is>
      </c>
      <c r="F4333" s="23" t="n">
        <v>507204</v>
      </c>
      <c r="G4333" s="138" t="n"/>
      <c r="H4333" s="138" t="n">
        <v>410</v>
      </c>
      <c r="I4333" s="138">
        <f>+I4332+(G4333-H4333)</f>
        <v/>
      </c>
      <c r="J4333" s="139" t="n">
        <v>46.243</v>
      </c>
      <c r="K4333" s="140" t="n"/>
      <c r="L4333" s="140">
        <f>+H4333*J4333</f>
        <v/>
      </c>
      <c r="M4333" s="141">
        <f>SUM(M4332+K4333-L4333)</f>
        <v/>
      </c>
    </row>
    <row r="4334">
      <c r="A4334" s="20" t="n">
        <v>45888</v>
      </c>
      <c r="B4334" s="21" t="n">
        <v>722</v>
      </c>
      <c r="C4334" s="22" t="inlineStr">
        <is>
          <t>METİN ERYİĞİT</t>
        </is>
      </c>
      <c r="D4334" s="21" t="inlineStr">
        <is>
          <t>34 GBL 998</t>
        </is>
      </c>
      <c r="E4334" s="21" t="inlineStr">
        <is>
          <t>M.ALİ KESKİN</t>
        </is>
      </c>
      <c r="F4334" s="23" t="n">
        <v>288001</v>
      </c>
      <c r="G4334" s="138" t="n"/>
      <c r="H4334" s="138" t="n">
        <v>484</v>
      </c>
      <c r="I4334" s="138">
        <f>+I4333+(G4334-H4334)</f>
        <v/>
      </c>
      <c r="J4334" s="139" t="n">
        <v>46.243</v>
      </c>
      <c r="K4334" s="140" t="n"/>
      <c r="L4334" s="140">
        <f>+H4334*J4334</f>
        <v/>
      </c>
      <c r="M4334" s="141">
        <f>SUM(M4333+K4334-L4334)</f>
        <v/>
      </c>
    </row>
    <row r="4335">
      <c r="A4335" s="20" t="n">
        <v>45888</v>
      </c>
      <c r="B4335" s="21" t="n">
        <v>2208</v>
      </c>
      <c r="C4335" s="22" t="inlineStr">
        <is>
          <t>AZGÜN YAPI</t>
        </is>
      </c>
      <c r="D4335" s="21" t="inlineStr">
        <is>
          <t>34 DTV 263</t>
        </is>
      </c>
      <c r="E4335" s="21" t="inlineStr">
        <is>
          <t>MUHAMMED BULUT</t>
        </is>
      </c>
      <c r="F4335" s="23" t="n"/>
      <c r="G4335" s="138" t="n"/>
      <c r="H4335" s="138" t="n">
        <v>311</v>
      </c>
      <c r="I4335" s="138">
        <f>+I4334+(G4335-H4335)</f>
        <v/>
      </c>
      <c r="J4335" s="139" t="n">
        <v>46.243</v>
      </c>
      <c r="K4335" s="140" t="n"/>
      <c r="L4335" s="140">
        <f>+H4335*J4335</f>
        <v/>
      </c>
      <c r="M4335" s="141">
        <f>SUM(M4334+K4335-L4335)</f>
        <v/>
      </c>
    </row>
    <row r="4336">
      <c r="A4336" s="20" t="n">
        <v>45888</v>
      </c>
      <c r="B4336" s="21" t="n">
        <v>1910</v>
      </c>
      <c r="C4336" s="22" t="inlineStr">
        <is>
          <t>AHMET SELİM TEMHA</t>
        </is>
      </c>
      <c r="D4336" s="21" t="inlineStr">
        <is>
          <t>34 TB 926 VİNÇ</t>
        </is>
      </c>
      <c r="E4336" s="21" t="inlineStr">
        <is>
          <t>ENES SELİM</t>
        </is>
      </c>
      <c r="F4336" s="23" t="n"/>
      <c r="G4336" s="138" t="n"/>
      <c r="H4336" s="138" t="n">
        <v>178</v>
      </c>
      <c r="I4336" s="138">
        <f>+I4335+(G4336-H4336)</f>
        <v/>
      </c>
      <c r="J4336" s="139" t="n">
        <v>46.243</v>
      </c>
      <c r="K4336" s="140" t="n"/>
      <c r="L4336" s="140">
        <f>+H4336*J4336</f>
        <v/>
      </c>
      <c r="M4336" s="141">
        <f>SUM(M4335+K4336-L4336)</f>
        <v/>
      </c>
    </row>
    <row r="4337">
      <c r="A4337" s="20" t="n">
        <v>45888</v>
      </c>
      <c r="B4337" s="1" t="n">
        <v>2071</v>
      </c>
      <c r="C4337" s="2" t="inlineStr">
        <is>
          <t>VARLIK</t>
        </is>
      </c>
      <c r="D4337" s="1" t="inlineStr">
        <is>
          <t>KAVAZAKİ</t>
        </is>
      </c>
      <c r="E4337" s="1" t="inlineStr">
        <is>
          <t>RAMAZAN KAYA</t>
        </is>
      </c>
      <c r="F4337" s="3" t="n"/>
      <c r="G4337" s="143" t="n"/>
      <c r="H4337" s="143" t="n">
        <v>231</v>
      </c>
      <c r="I4337" s="143">
        <f>+I4336+(G4337-H4337)</f>
        <v/>
      </c>
      <c r="J4337" s="144" t="n">
        <v>46.243</v>
      </c>
      <c r="K4337" s="145" t="n"/>
      <c r="L4337" s="140">
        <f>+H4337*J4337</f>
        <v/>
      </c>
      <c r="M4337" s="141">
        <f>SUM(M4336+K4337-L4337)</f>
        <v/>
      </c>
    </row>
    <row r="4338">
      <c r="A4338" s="20" t="n">
        <v>45888</v>
      </c>
      <c r="B4338" s="1" t="n">
        <v>2072</v>
      </c>
      <c r="C4338" s="2" t="inlineStr">
        <is>
          <t>VARLIK</t>
        </is>
      </c>
      <c r="D4338" s="1" t="inlineStr">
        <is>
          <t>MNT 2260</t>
        </is>
      </c>
      <c r="E4338" s="1" t="inlineStr">
        <is>
          <t>MUHAMMET KANTAR</t>
        </is>
      </c>
      <c r="F4338" s="3" t="n"/>
      <c r="G4338" s="143" t="n"/>
      <c r="H4338" s="143" t="n">
        <v>306</v>
      </c>
      <c r="I4338" s="143">
        <f>+I4337+(G4338-H4338)</f>
        <v/>
      </c>
      <c r="J4338" s="144" t="n">
        <v>46.243</v>
      </c>
      <c r="K4338" s="145" t="n"/>
      <c r="L4338" s="140">
        <f>+H4338*J4338</f>
        <v/>
      </c>
      <c r="M4338" s="141">
        <f>SUM(M4337+K4338-L4338)</f>
        <v/>
      </c>
    </row>
    <row r="4339">
      <c r="A4339" s="20" t="n">
        <v>45888</v>
      </c>
      <c r="B4339" s="1" t="n">
        <v>2073</v>
      </c>
      <c r="C4339" s="2" t="inlineStr">
        <is>
          <t>VARLIK</t>
        </is>
      </c>
      <c r="D4339" s="1" t="inlineStr">
        <is>
          <t>ZOMLİON</t>
        </is>
      </c>
      <c r="E4339" s="1" t="inlineStr">
        <is>
          <t>SALİH ŞOLAN</t>
        </is>
      </c>
      <c r="F4339" s="3" t="n"/>
      <c r="G4339" s="143" t="n"/>
      <c r="H4339" s="143" t="n">
        <v>198</v>
      </c>
      <c r="I4339" s="143">
        <f>+I4338+(G4339-H4339)</f>
        <v/>
      </c>
      <c r="J4339" s="144" t="n">
        <v>46.243</v>
      </c>
      <c r="K4339" s="145" t="n"/>
      <c r="L4339" s="140">
        <f>+H4339*J4339</f>
        <v/>
      </c>
      <c r="M4339" s="141">
        <f>SUM(M4338+K4339-L4339)</f>
        <v/>
      </c>
    </row>
    <row r="4340">
      <c r="A4340" s="20" t="n">
        <v>45888</v>
      </c>
      <c r="B4340" s="1" t="n">
        <v>2074</v>
      </c>
      <c r="C4340" s="2" t="inlineStr">
        <is>
          <t>EVKUR</t>
        </is>
      </c>
      <c r="D4340" s="1" t="inlineStr">
        <is>
          <t>HİTACİ</t>
        </is>
      </c>
      <c r="E4340" s="1" t="inlineStr">
        <is>
          <t>EMİRCAN ÖZTÜRK</t>
        </is>
      </c>
      <c r="F4340" s="3" t="n"/>
      <c r="G4340" s="143" t="n"/>
      <c r="H4340" s="143" t="n">
        <v>516</v>
      </c>
      <c r="I4340" s="143">
        <f>+I4339+(G4340-H4340)</f>
        <v/>
      </c>
      <c r="J4340" s="144" t="n">
        <v>46.243</v>
      </c>
      <c r="K4340" s="145" t="n"/>
      <c r="L4340" s="140">
        <f>+H4340*J4340</f>
        <v/>
      </c>
      <c r="M4340" s="141">
        <f>SUM(M4339+K4340-L4340)</f>
        <v/>
      </c>
    </row>
    <row r="4341">
      <c r="A4341" s="20" t="n">
        <v>45888</v>
      </c>
      <c r="B4341" s="1" t="n">
        <v>2075</v>
      </c>
      <c r="C4341" s="2" t="inlineStr">
        <is>
          <t>EVKUR</t>
        </is>
      </c>
      <c r="D4341" s="1" t="inlineStr">
        <is>
          <t>KİRALIK JCB</t>
        </is>
      </c>
      <c r="E4341" s="1" t="inlineStr">
        <is>
          <t>MELİH SELİM 'İN TALİMATIYLA</t>
        </is>
      </c>
      <c r="F4341" s="3" t="n"/>
      <c r="G4341" s="143" t="n"/>
      <c r="H4341" s="143" t="n">
        <v>65</v>
      </c>
      <c r="I4341" s="143">
        <f>+I4340+(G4341-H4341)</f>
        <v/>
      </c>
      <c r="J4341" s="144" t="n">
        <v>46.243</v>
      </c>
      <c r="K4341" s="145" t="n"/>
      <c r="L4341" s="140">
        <f>+H4341*J4341</f>
        <v/>
      </c>
      <c r="M4341" s="141">
        <f>SUM(M4340+K4341-L4341)</f>
        <v/>
      </c>
    </row>
    <row r="4342">
      <c r="A4342" s="20" t="n">
        <v>45888</v>
      </c>
      <c r="B4342" s="1" t="n">
        <v>2076</v>
      </c>
      <c r="C4342" s="2" t="inlineStr">
        <is>
          <t>MEGA VARLIK</t>
        </is>
      </c>
      <c r="D4342" s="1" t="inlineStr">
        <is>
          <t>SM 350</t>
        </is>
      </c>
      <c r="E4342" s="1" t="inlineStr">
        <is>
          <t>TEVFİK ÖZTÜRK</t>
        </is>
      </c>
      <c r="F4342" s="3" t="n"/>
      <c r="G4342" s="143" t="n"/>
      <c r="H4342" s="143" t="n">
        <v>258</v>
      </c>
      <c r="I4342" s="143">
        <f>+I4341+(G4342-H4342)</f>
        <v/>
      </c>
      <c r="J4342" s="144" t="n">
        <v>46.243</v>
      </c>
      <c r="K4342" s="145" t="n"/>
      <c r="L4342" s="140">
        <f>+H4342*J4342</f>
        <v/>
      </c>
      <c r="M4342" s="141">
        <f>SUM(M4341+K4342-L4342)</f>
        <v/>
      </c>
    </row>
    <row r="4343">
      <c r="A4343" s="20" t="n">
        <v>45888</v>
      </c>
      <c r="B4343" s="1" t="n">
        <v>2077</v>
      </c>
      <c r="C4343" s="2" t="inlineStr">
        <is>
          <t>MEGA VARLIK</t>
        </is>
      </c>
      <c r="D4343" s="1" t="inlineStr">
        <is>
          <t>SM 350</t>
        </is>
      </c>
      <c r="E4343" s="1" t="inlineStr">
        <is>
          <t>AHMET AKGÜL</t>
        </is>
      </c>
      <c r="F4343" s="3" t="n"/>
      <c r="G4343" s="143" t="n"/>
      <c r="H4343" s="143" t="n">
        <v>408</v>
      </c>
      <c r="I4343" s="143">
        <f>+I4342+(G4343-H4343)</f>
        <v/>
      </c>
      <c r="J4343" s="144" t="n">
        <v>46.243</v>
      </c>
      <c r="K4343" s="145" t="n"/>
      <c r="L4343" s="140">
        <f>+H4343*J4343</f>
        <v/>
      </c>
      <c r="M4343" s="141">
        <f>SUM(M4342+K4343-L4343)</f>
        <v/>
      </c>
    </row>
    <row r="4344">
      <c r="A4344" s="20" t="n">
        <v>45888</v>
      </c>
      <c r="B4344" s="1" t="n">
        <v>2078</v>
      </c>
      <c r="C4344" s="2" t="inlineStr">
        <is>
          <t>MEGA VARLIK</t>
        </is>
      </c>
      <c r="D4344" s="1" t="inlineStr">
        <is>
          <t>SM 370</t>
        </is>
      </c>
      <c r="E4344" s="1" t="inlineStr">
        <is>
          <t>TEKİN ŞEYLAN</t>
        </is>
      </c>
      <c r="F4344" s="3" t="n"/>
      <c r="G4344" s="143" t="n"/>
      <c r="H4344" s="143" t="n">
        <v>216</v>
      </c>
      <c r="I4344" s="143">
        <f>+I4343+(G4344-H4344)</f>
        <v/>
      </c>
      <c r="J4344" s="144" t="n">
        <v>46.243</v>
      </c>
      <c r="K4344" s="145" t="n"/>
      <c r="L4344" s="140">
        <f>+H4344*J4344</f>
        <v/>
      </c>
      <c r="M4344" s="141">
        <f>SUM(M4343+K4344-L4344)</f>
        <v/>
      </c>
    </row>
    <row r="4345">
      <c r="A4345" s="20" t="n">
        <v>45888</v>
      </c>
      <c r="B4345" s="1" t="n">
        <v>827</v>
      </c>
      <c r="C4345" s="2" t="inlineStr">
        <is>
          <t>SELİM İNŞAAT</t>
        </is>
      </c>
      <c r="D4345" s="1" t="inlineStr">
        <is>
          <t>34 FBR 705</t>
        </is>
      </c>
      <c r="E4345" s="1" t="inlineStr">
        <is>
          <t>MESUT GÜRLER</t>
        </is>
      </c>
      <c r="F4345" s="3" t="n">
        <v>332821</v>
      </c>
      <c r="G4345" s="143" t="n"/>
      <c r="H4345" s="143" t="n">
        <v>440</v>
      </c>
      <c r="I4345" s="143">
        <f>+I4344+(G4345-H4345)</f>
        <v/>
      </c>
      <c r="J4345" s="144" t="n">
        <v>46.243</v>
      </c>
      <c r="K4345" s="145" t="n"/>
      <c r="L4345" s="140">
        <f>+H4345*J4345</f>
        <v/>
      </c>
      <c r="M4345" s="141">
        <f>SUM(M4344+K4345-L4345)</f>
        <v/>
      </c>
    </row>
    <row r="4346">
      <c r="A4346" s="20" t="n">
        <v>45888</v>
      </c>
      <c r="B4346" s="1" t="n">
        <v>1265</v>
      </c>
      <c r="C4346" s="2" t="inlineStr">
        <is>
          <t>SELİM İNŞAAT</t>
        </is>
      </c>
      <c r="D4346" s="1" t="inlineStr">
        <is>
          <t>34 DSN 621</t>
        </is>
      </c>
      <c r="E4346" s="1" t="inlineStr">
        <is>
          <t>MUSTAFA KAYA</t>
        </is>
      </c>
      <c r="F4346" s="3" t="n">
        <v>427150</v>
      </c>
      <c r="G4346" s="143" t="n"/>
      <c r="H4346" s="143" t="n">
        <v>373</v>
      </c>
      <c r="I4346" s="143">
        <f>+I4345+(G4346-H4346)</f>
        <v/>
      </c>
      <c r="J4346" s="144" t="n">
        <v>46.243</v>
      </c>
      <c r="K4346" s="145" t="n"/>
      <c r="L4346" s="140">
        <f>+H4346*J4346</f>
        <v/>
      </c>
      <c r="M4346" s="141">
        <f>SUM(M4345+K4346-L4346)</f>
        <v/>
      </c>
    </row>
    <row r="4347">
      <c r="A4347" s="20" t="n">
        <v>45888</v>
      </c>
      <c r="B4347" s="1" t="n">
        <v>970</v>
      </c>
      <c r="C4347" s="2" t="inlineStr">
        <is>
          <t>SELİM İNŞAAT</t>
        </is>
      </c>
      <c r="D4347" s="1" t="inlineStr">
        <is>
          <t>34 FBR 742</t>
        </is>
      </c>
      <c r="E4347" s="1" t="inlineStr">
        <is>
          <t>MİKAİL BAYILMAZ</t>
        </is>
      </c>
      <c r="F4347" s="3" t="n">
        <v>331436</v>
      </c>
      <c r="G4347" s="143" t="n"/>
      <c r="H4347" s="143" t="n">
        <v>408</v>
      </c>
      <c r="I4347" s="143">
        <f>+I4346+(G4347-H4347)</f>
        <v/>
      </c>
      <c r="J4347" s="144" t="n">
        <v>46.243</v>
      </c>
      <c r="K4347" s="145" t="n"/>
      <c r="L4347" s="140">
        <f>+H4347*J4347</f>
        <v/>
      </c>
      <c r="M4347" s="141">
        <f>SUM(M4346+K4347-L4347)</f>
        <v/>
      </c>
    </row>
    <row r="4348">
      <c r="A4348" s="20" t="n">
        <v>45888</v>
      </c>
      <c r="B4348" s="1" t="n">
        <v>15078</v>
      </c>
      <c r="C4348" s="2" t="inlineStr">
        <is>
          <t>SELİM İNŞAAT</t>
        </is>
      </c>
      <c r="D4348" s="1" t="inlineStr">
        <is>
          <t>34 EGR 736</t>
        </is>
      </c>
      <c r="E4348" s="1" t="inlineStr">
        <is>
          <t>HAKAN ÇAVUŞOĞLU</t>
        </is>
      </c>
      <c r="F4348" s="3" t="n">
        <v>406792</v>
      </c>
      <c r="G4348" s="143" t="n"/>
      <c r="H4348" s="143" t="n">
        <v>538</v>
      </c>
      <c r="I4348" s="143">
        <f>+I4347+(G4348-H4348)</f>
        <v/>
      </c>
      <c r="J4348" s="144" t="n">
        <v>46.243</v>
      </c>
      <c r="K4348" s="145" t="n"/>
      <c r="L4348" s="140">
        <f>+H4348*J4348</f>
        <v/>
      </c>
      <c r="M4348" s="141">
        <f>SUM(M4347+K4348-L4348)</f>
        <v/>
      </c>
    </row>
    <row r="4349">
      <c r="A4349" s="20" t="n">
        <v>45888</v>
      </c>
      <c r="B4349" s="1" t="n">
        <v>1016</v>
      </c>
      <c r="C4349" s="2" t="inlineStr">
        <is>
          <t>SELİM İNŞAAT</t>
        </is>
      </c>
      <c r="D4349" s="1" t="inlineStr">
        <is>
          <t>34 DHH 668</t>
        </is>
      </c>
      <c r="E4349" s="1" t="inlineStr">
        <is>
          <t>ADNAN KOÇ</t>
        </is>
      </c>
      <c r="F4349" s="3" t="n">
        <v>399004</v>
      </c>
      <c r="G4349" s="143" t="n"/>
      <c r="H4349" s="143" t="n">
        <v>273</v>
      </c>
      <c r="I4349" s="143">
        <f>+I4348+(G4349-H4349)</f>
        <v/>
      </c>
      <c r="J4349" s="144" t="n">
        <v>46.243</v>
      </c>
      <c r="K4349" s="145" t="n"/>
      <c r="L4349" s="140">
        <f>+H4349*J4349</f>
        <v/>
      </c>
      <c r="M4349" s="141">
        <f>SUM(M4348+K4349-L4349)</f>
        <v/>
      </c>
    </row>
    <row r="4350">
      <c r="A4350" s="20" t="n">
        <v>45888</v>
      </c>
      <c r="B4350" s="1" t="n">
        <v>1215</v>
      </c>
      <c r="C4350" s="2" t="inlineStr">
        <is>
          <t>SELİM İNŞAAT</t>
        </is>
      </c>
      <c r="D4350" s="1" t="inlineStr">
        <is>
          <t>34 DHC 393</t>
        </is>
      </c>
      <c r="E4350" s="1" t="inlineStr">
        <is>
          <t>İSMET BAYRAM</t>
        </is>
      </c>
      <c r="F4350" s="3" t="n">
        <v>436888</v>
      </c>
      <c r="G4350" s="143" t="n"/>
      <c r="H4350" s="143" t="n">
        <v>375</v>
      </c>
      <c r="I4350" s="143">
        <f>+I4349+(G4350-H4350)</f>
        <v/>
      </c>
      <c r="J4350" s="144" t="n">
        <v>46.243</v>
      </c>
      <c r="K4350" s="145" t="n"/>
      <c r="L4350" s="140">
        <f>+H4350*J4350</f>
        <v/>
      </c>
      <c r="M4350" s="141">
        <f>SUM(M4349+K4350-L4350)</f>
        <v/>
      </c>
    </row>
    <row r="4351">
      <c r="A4351" s="20" t="n">
        <v>45888</v>
      </c>
      <c r="B4351" s="1" t="n">
        <v>418</v>
      </c>
      <c r="C4351" s="2" t="inlineStr">
        <is>
          <t>SELİM İNŞAAT</t>
        </is>
      </c>
      <c r="D4351" s="1" t="inlineStr">
        <is>
          <t>34 DRU 690</t>
        </is>
      </c>
      <c r="E4351" s="1" t="inlineStr">
        <is>
          <t>MURAT DEMİRBAŞ</t>
        </is>
      </c>
      <c r="F4351" s="3" t="n">
        <v>430354</v>
      </c>
      <c r="G4351" s="143" t="n"/>
      <c r="H4351" s="143" t="n">
        <v>445</v>
      </c>
      <c r="I4351" s="143">
        <f>+I4350+(G4351-H4351)</f>
        <v/>
      </c>
      <c r="J4351" s="144" t="n">
        <v>46.243</v>
      </c>
      <c r="K4351" s="145" t="n"/>
      <c r="L4351" s="140">
        <f>+H4351*J4351</f>
        <v/>
      </c>
      <c r="M4351" s="141">
        <f>SUM(M4350+K4351-L4351)</f>
        <v/>
      </c>
    </row>
    <row r="4352">
      <c r="A4352" s="20" t="n">
        <v>45888</v>
      </c>
      <c r="B4352" s="1" t="n">
        <v>1809</v>
      </c>
      <c r="C4352" s="2" t="inlineStr">
        <is>
          <t>SELİM İNŞAAT</t>
        </is>
      </c>
      <c r="D4352" s="1" t="inlineStr">
        <is>
          <t>34 EGR 922</t>
        </is>
      </c>
      <c r="E4352" s="1" t="inlineStr">
        <is>
          <t>FARUK ÖZEN</t>
        </is>
      </c>
      <c r="F4352" s="3" t="n">
        <v>470664</v>
      </c>
      <c r="G4352" s="143" t="n"/>
      <c r="H4352" s="143" t="n">
        <v>442</v>
      </c>
      <c r="I4352" s="143">
        <f>+I4351+(G4352-H4352)</f>
        <v/>
      </c>
      <c r="J4352" s="144" t="n">
        <v>46.243</v>
      </c>
      <c r="K4352" s="145" t="n"/>
      <c r="L4352" s="140">
        <f>+H4352*J4352</f>
        <v/>
      </c>
      <c r="M4352" s="141">
        <f>SUM(M4351+K4352-L4352)</f>
        <v/>
      </c>
    </row>
    <row r="4353">
      <c r="A4353" s="20" t="n">
        <v>45888</v>
      </c>
      <c r="B4353" s="1" t="n">
        <v>771</v>
      </c>
      <c r="C4353" s="2" t="inlineStr">
        <is>
          <t>SELİM İNŞAAT</t>
        </is>
      </c>
      <c r="D4353" s="1" t="inlineStr">
        <is>
          <t>34 EDB 559</t>
        </is>
      </c>
      <c r="E4353" s="1" t="inlineStr">
        <is>
          <t>ATA KIZMAZ</t>
        </is>
      </c>
      <c r="F4353" s="3" t="n">
        <v>338438</v>
      </c>
      <c r="G4353" s="143" t="n"/>
      <c r="H4353" s="143" t="n">
        <v>394</v>
      </c>
      <c r="I4353" s="143">
        <f>+I4352+(G4353-H4353)</f>
        <v/>
      </c>
      <c r="J4353" s="144" t="n">
        <v>46.243</v>
      </c>
      <c r="K4353" s="145" t="n"/>
      <c r="L4353" s="140">
        <f>+H4353*J4353</f>
        <v/>
      </c>
      <c r="M4353" s="141">
        <f>SUM(M4352+K4353-L4353)</f>
        <v/>
      </c>
    </row>
    <row r="4354">
      <c r="A4354" s="20" t="n">
        <v>45888</v>
      </c>
      <c r="B4354" s="1" t="n">
        <v>862</v>
      </c>
      <c r="C4354" s="2" t="inlineStr">
        <is>
          <t>SELİM İNŞAAT</t>
        </is>
      </c>
      <c r="D4354" s="1" t="inlineStr">
        <is>
          <t>34 FSG 229</t>
        </is>
      </c>
      <c r="E4354" s="1" t="inlineStr">
        <is>
          <t>SİNAN TANRIVERDİ</t>
        </is>
      </c>
      <c r="F4354" s="3" t="n">
        <v>271377</v>
      </c>
      <c r="G4354" s="143" t="n"/>
      <c r="H4354" s="143" t="n">
        <v>541</v>
      </c>
      <c r="I4354" s="143">
        <f>+I4353+(G4354-H4354)</f>
        <v/>
      </c>
      <c r="J4354" s="144" t="n">
        <v>46.243</v>
      </c>
      <c r="K4354" s="145" t="n"/>
      <c r="L4354" s="140">
        <f>+H4354*J4354</f>
        <v/>
      </c>
      <c r="M4354" s="141">
        <f>SUM(M4353+K4354-L4354)</f>
        <v/>
      </c>
    </row>
    <row r="4355">
      <c r="A4355" s="20" t="n">
        <v>45888</v>
      </c>
      <c r="B4355" s="1" t="n">
        <v>666</v>
      </c>
      <c r="C4355" s="2" t="inlineStr">
        <is>
          <t>SELİM İNŞAAT</t>
        </is>
      </c>
      <c r="D4355" s="1" t="inlineStr">
        <is>
          <t>34 DTV 352</t>
        </is>
      </c>
      <c r="E4355" s="1" t="inlineStr">
        <is>
          <t>AHMET DENİZ</t>
        </is>
      </c>
      <c r="F4355" s="3" t="n">
        <v>444500</v>
      </c>
      <c r="G4355" s="143" t="n"/>
      <c r="H4355" s="143" t="n">
        <v>397</v>
      </c>
      <c r="I4355" s="143">
        <f>+I4354+(G4355-H4355)</f>
        <v/>
      </c>
      <c r="J4355" s="144" t="n">
        <v>46.243</v>
      </c>
      <c r="K4355" s="145" t="n"/>
      <c r="L4355" s="140">
        <f>+H4355*J4355</f>
        <v/>
      </c>
      <c r="M4355" s="141">
        <f>SUM(M4354+K4355-L4355)</f>
        <v/>
      </c>
    </row>
    <row r="4356">
      <c r="A4356" s="20" t="n">
        <v>45888</v>
      </c>
      <c r="B4356" s="1" t="n">
        <v>15542</v>
      </c>
      <c r="C4356" s="2" t="inlineStr">
        <is>
          <t>SELİM İNŞAAT</t>
        </is>
      </c>
      <c r="D4356" s="1" t="inlineStr">
        <is>
          <t>34 EDC 086</t>
        </is>
      </c>
      <c r="E4356" s="1" t="inlineStr">
        <is>
          <t>ÖMER AĞAYAR</t>
        </is>
      </c>
      <c r="F4356" s="3" t="n">
        <v>342956</v>
      </c>
      <c r="G4356" s="143" t="n"/>
      <c r="H4356" s="143" t="n">
        <v>487</v>
      </c>
      <c r="I4356" s="143">
        <f>+I4355+(G4356-H4356)</f>
        <v/>
      </c>
      <c r="J4356" s="144" t="n">
        <v>46.243</v>
      </c>
      <c r="K4356" s="145" t="n"/>
      <c r="L4356" s="140">
        <f>+H4356*J4356</f>
        <v/>
      </c>
      <c r="M4356" s="141">
        <f>SUM(M4355+K4356-L4356)</f>
        <v/>
      </c>
    </row>
    <row r="4357">
      <c r="A4357" s="20" t="n">
        <v>45888</v>
      </c>
      <c r="B4357" s="1" t="n">
        <v>15594</v>
      </c>
      <c r="C4357" s="2" t="inlineStr">
        <is>
          <t>SELİM İNŞAAT</t>
        </is>
      </c>
      <c r="D4357" s="1" t="inlineStr">
        <is>
          <t>34 GVZ 745</t>
        </is>
      </c>
      <c r="E4357" s="1" t="inlineStr">
        <is>
          <t>MURAT DEMİRBAŞ</t>
        </is>
      </c>
      <c r="F4357" s="3" t="n">
        <v>202917</v>
      </c>
      <c r="G4357" s="143" t="n"/>
      <c r="H4357" s="143" t="n">
        <v>215</v>
      </c>
      <c r="I4357" s="143">
        <f>+I4356+(G4357-H4357)</f>
        <v/>
      </c>
      <c r="J4357" s="144" t="n">
        <v>46.243</v>
      </c>
      <c r="K4357" s="145" t="n"/>
      <c r="L4357" s="140">
        <f>+H4357*J4357</f>
        <v/>
      </c>
      <c r="M4357" s="141">
        <f>SUM(M4356+K4357-L4357)</f>
        <v/>
      </c>
    </row>
    <row r="4358">
      <c r="A4358" s="20" t="n">
        <v>45888</v>
      </c>
      <c r="B4358" s="1" t="n">
        <v>14785</v>
      </c>
      <c r="C4358" s="2" t="inlineStr">
        <is>
          <t>SELİM İNŞAAT</t>
        </is>
      </c>
      <c r="D4358" s="1" t="inlineStr">
        <is>
          <t>34 GYZ 635</t>
        </is>
      </c>
      <c r="E4358" s="1" t="inlineStr">
        <is>
          <t>ENGİN DEMİR</t>
        </is>
      </c>
      <c r="F4358" s="3" t="n">
        <v>190030</v>
      </c>
      <c r="G4358" s="143" t="n"/>
      <c r="H4358" s="143" t="n">
        <v>516</v>
      </c>
      <c r="I4358" s="143">
        <f>+I4357+(G4358-H4358)</f>
        <v/>
      </c>
      <c r="J4358" s="144" t="n">
        <v>46.243</v>
      </c>
      <c r="K4358" s="145" t="n"/>
      <c r="L4358" s="140">
        <f>+H4358*J4358</f>
        <v/>
      </c>
      <c r="M4358" s="141">
        <f>SUM(M4357+K4358-L4358)</f>
        <v/>
      </c>
    </row>
    <row r="4359">
      <c r="A4359" s="20" t="n">
        <v>45888</v>
      </c>
      <c r="B4359" s="1" t="n">
        <v>15884</v>
      </c>
      <c r="C4359" s="2" t="inlineStr">
        <is>
          <t>SELİM İNŞAAT</t>
        </is>
      </c>
      <c r="D4359" s="1" t="inlineStr">
        <is>
          <t>34 EDB 754</t>
        </is>
      </c>
      <c r="E4359" s="1" t="inlineStr">
        <is>
          <t>EMİN PARLAKKILIÇ</t>
        </is>
      </c>
      <c r="F4359" s="3" t="n">
        <v>338327</v>
      </c>
      <c r="G4359" s="143" t="n"/>
      <c r="H4359" s="143" t="n">
        <v>293</v>
      </c>
      <c r="I4359" s="143">
        <f>+I4358+(G4359-H4359)</f>
        <v/>
      </c>
      <c r="J4359" s="144" t="n">
        <v>46.243</v>
      </c>
      <c r="K4359" s="145" t="n"/>
      <c r="L4359" s="140">
        <f>+H4359*J4359</f>
        <v/>
      </c>
      <c r="M4359" s="141">
        <f>SUM(M4358+K4359-L4359)</f>
        <v/>
      </c>
    </row>
    <row r="4360">
      <c r="A4360" s="20" t="n">
        <v>45888</v>
      </c>
      <c r="B4360" s="1" t="n">
        <v>1408</v>
      </c>
      <c r="C4360" s="2" t="inlineStr">
        <is>
          <t>SELİM İNŞAAT</t>
        </is>
      </c>
      <c r="D4360" s="1" t="inlineStr">
        <is>
          <t>34 DKL 798</t>
        </is>
      </c>
      <c r="E4360" s="1" t="inlineStr">
        <is>
          <t>GÖRKEM KARAYEL</t>
        </is>
      </c>
      <c r="F4360" s="3" t="n">
        <v>70257</v>
      </c>
      <c r="G4360" s="143" t="n"/>
      <c r="H4360" s="143" t="n">
        <v>290</v>
      </c>
      <c r="I4360" s="143">
        <f>+I4359+(G4360-H4360)</f>
        <v/>
      </c>
      <c r="J4360" s="144" t="n">
        <v>46.243</v>
      </c>
      <c r="K4360" s="145" t="n"/>
      <c r="L4360" s="140">
        <f>+H4360*J4360</f>
        <v/>
      </c>
      <c r="M4360" s="141">
        <f>SUM(M4359+K4360-L4360)</f>
        <v/>
      </c>
    </row>
    <row r="4361">
      <c r="A4361" s="20" t="n">
        <v>45888</v>
      </c>
      <c r="B4361" s="1" t="n">
        <v>2555</v>
      </c>
      <c r="C4361" s="2" t="inlineStr">
        <is>
          <t>SELİM İNŞAAT</t>
        </is>
      </c>
      <c r="D4361" s="1" t="inlineStr">
        <is>
          <t>34 GER 028</t>
        </is>
      </c>
      <c r="E4361" s="1" t="inlineStr">
        <is>
          <t>A.KERİM ERGEN</t>
        </is>
      </c>
      <c r="F4361" s="3" t="n">
        <v>50465</v>
      </c>
      <c r="G4361" s="143" t="n"/>
      <c r="H4361" s="143" t="n">
        <v>249</v>
      </c>
      <c r="I4361" s="143">
        <f>+I4360+(G4361-H4361)</f>
        <v/>
      </c>
      <c r="J4361" s="144" t="n">
        <v>46.243</v>
      </c>
      <c r="K4361" s="145" t="n"/>
      <c r="L4361" s="140">
        <f>+H4361*J4361</f>
        <v/>
      </c>
      <c r="M4361" s="141">
        <f>SUM(M4360+K4361-L4361)</f>
        <v/>
      </c>
    </row>
    <row r="4362">
      <c r="A4362" s="20" t="n">
        <v>45888</v>
      </c>
      <c r="B4362" s="1" t="n">
        <v>473</v>
      </c>
      <c r="C4362" s="2" t="inlineStr">
        <is>
          <t>SELİM İNŞAAT</t>
        </is>
      </c>
      <c r="D4362" s="1" t="inlineStr">
        <is>
          <t>34 DKL 866</t>
        </is>
      </c>
      <c r="E4362" s="1" t="inlineStr">
        <is>
          <t>SELİM CAN ÖNVER</t>
        </is>
      </c>
      <c r="F4362" s="3" t="n">
        <v>72100</v>
      </c>
      <c r="G4362" s="143" t="n"/>
      <c r="H4362" s="143" t="n">
        <v>291</v>
      </c>
      <c r="I4362" s="143">
        <f>+I4361+(G4362-H4362)</f>
        <v/>
      </c>
      <c r="J4362" s="144" t="n">
        <v>46.243</v>
      </c>
      <c r="K4362" s="145" t="n"/>
      <c r="L4362" s="140">
        <f>+H4362*J4362</f>
        <v/>
      </c>
      <c r="M4362" s="141">
        <f>SUM(M4361+K4362-L4362)</f>
        <v/>
      </c>
    </row>
    <row r="4363">
      <c r="A4363" s="20" t="n">
        <v>45888</v>
      </c>
      <c r="B4363" s="1" t="n">
        <v>15944</v>
      </c>
      <c r="C4363" s="2" t="inlineStr">
        <is>
          <t>SELİM İNŞAAT</t>
        </is>
      </c>
      <c r="D4363" s="1" t="inlineStr">
        <is>
          <t>34 DFE 454</t>
        </is>
      </c>
      <c r="E4363" s="1" t="inlineStr">
        <is>
          <t>GÖRKEM KARAYEL</t>
        </is>
      </c>
      <c r="F4363" s="3" t="n">
        <v>165273</v>
      </c>
      <c r="G4363" s="143" t="n"/>
      <c r="H4363" s="143" t="n">
        <v>288</v>
      </c>
      <c r="I4363" s="143">
        <f>+I4362+(G4363-H4363)</f>
        <v/>
      </c>
      <c r="J4363" s="144" t="n">
        <v>46.243</v>
      </c>
      <c r="K4363" s="145" t="n"/>
      <c r="L4363" s="140">
        <f>+H4363*J4363</f>
        <v/>
      </c>
      <c r="M4363" s="141">
        <f>SUM(M4362+K4363-L4363)</f>
        <v/>
      </c>
    </row>
    <row r="4364">
      <c r="A4364" s="20" t="n">
        <v>45889</v>
      </c>
      <c r="B4364" s="21" t="n">
        <v>1129</v>
      </c>
      <c r="C4364" s="22" t="inlineStr">
        <is>
          <t>ÜNSOY TURİZM İNŞ.SAN.VE TİC.A.Ş.</t>
        </is>
      </c>
      <c r="D4364" s="21" t="n"/>
      <c r="E4364" s="21" t="n"/>
      <c r="F4364" s="23" t="n"/>
      <c r="G4364" s="138" t="n">
        <v>31636</v>
      </c>
      <c r="H4364" s="138" t="n"/>
      <c r="I4364" s="138">
        <f>+I4363+(G4364-H4364)</f>
        <v/>
      </c>
      <c r="J4364" s="139">
        <f>+K4364/G4364</f>
        <v/>
      </c>
      <c r="K4364" s="140" t="n">
        <v>1417292.8</v>
      </c>
      <c r="L4364" s="140">
        <f>+H4364*J4364</f>
        <v/>
      </c>
      <c r="M4364" s="141">
        <f>SUM(M4363+K4364-L4364)</f>
        <v/>
      </c>
    </row>
    <row r="4365">
      <c r="A4365" s="20" t="n">
        <v>45889</v>
      </c>
      <c r="B4365" s="21" t="n">
        <v>2209</v>
      </c>
      <c r="C4365" s="22" t="inlineStr">
        <is>
          <t>AZGÜN YAPI</t>
        </is>
      </c>
      <c r="D4365" s="21" t="inlineStr">
        <is>
          <t>34 DTV 263</t>
        </is>
      </c>
      <c r="E4365" s="21" t="inlineStr">
        <is>
          <t>MUHAMMED BULUT</t>
        </is>
      </c>
      <c r="F4365" s="23" t="n"/>
      <c r="G4365" s="138" t="n"/>
      <c r="H4365" s="138" t="n">
        <v>302</v>
      </c>
      <c r="I4365" s="138">
        <f>+I4364+(G4365-H4365)</f>
        <v/>
      </c>
      <c r="J4365" s="139" t="n">
        <v>44.8</v>
      </c>
      <c r="K4365" s="140" t="n"/>
      <c r="L4365" s="140">
        <f>+H4365*J4365</f>
        <v/>
      </c>
      <c r="M4365" s="141">
        <f>SUM(M4364+K4365-L4365)</f>
        <v/>
      </c>
    </row>
    <row r="4366">
      <c r="A4366" s="20" t="n">
        <v>45889</v>
      </c>
      <c r="B4366" s="1" t="n">
        <v>2079</v>
      </c>
      <c r="C4366" s="2" t="inlineStr">
        <is>
          <t>HASALTUN</t>
        </is>
      </c>
      <c r="D4366" s="1" t="inlineStr">
        <is>
          <t>RT 650 SARI VİNÇ</t>
        </is>
      </c>
      <c r="E4366" s="1" t="inlineStr">
        <is>
          <t>ALİHAN DUMAN</t>
        </is>
      </c>
      <c r="F4366" s="3" t="n"/>
      <c r="G4366" s="143" t="n"/>
      <c r="H4366" s="143" t="n">
        <v>167</v>
      </c>
      <c r="I4366" s="143">
        <f>+I4365+(G4366-H4366)</f>
        <v/>
      </c>
      <c r="J4366" s="144" t="n">
        <v>44.8</v>
      </c>
      <c r="K4366" s="145" t="n"/>
      <c r="L4366" s="140">
        <f>+H4366*J4366</f>
        <v/>
      </c>
      <c r="M4366" s="141">
        <f>SUM(M4365+K4366-L4366)</f>
        <v/>
      </c>
    </row>
    <row r="4367">
      <c r="A4367" s="20" t="n">
        <v>45889</v>
      </c>
      <c r="B4367" s="21" t="n">
        <v>2080</v>
      </c>
      <c r="C4367" s="22" t="inlineStr">
        <is>
          <t>EVKUR</t>
        </is>
      </c>
      <c r="D4367" s="21" t="inlineStr">
        <is>
          <t>FOKLİFT</t>
        </is>
      </c>
      <c r="E4367" s="21" t="inlineStr">
        <is>
          <t>FAHRİ KALFA</t>
        </is>
      </c>
      <c r="F4367" s="23" t="n"/>
      <c r="G4367" s="138" t="n"/>
      <c r="H4367" s="138" t="n">
        <v>91</v>
      </c>
      <c r="I4367" s="138">
        <f>+I4366+(G4367-H4367)</f>
        <v/>
      </c>
      <c r="J4367" s="139" t="n">
        <v>44.8</v>
      </c>
      <c r="K4367" s="140" t="n"/>
      <c r="L4367" s="140">
        <f>+H4367*J4367</f>
        <v/>
      </c>
      <c r="M4367" s="141">
        <f>SUM(M4366+K4367-L4367)</f>
        <v/>
      </c>
    </row>
    <row r="4368">
      <c r="A4368" s="20" t="n">
        <v>45889</v>
      </c>
      <c r="B4368" s="1" t="n">
        <v>2081</v>
      </c>
      <c r="C4368" s="2" t="inlineStr">
        <is>
          <t>HASALTUN</t>
        </is>
      </c>
      <c r="D4368" s="1" t="inlineStr">
        <is>
          <t>HİTACİ</t>
        </is>
      </c>
      <c r="E4368" s="1" t="inlineStr">
        <is>
          <t>TURGUT SANCAK</t>
        </is>
      </c>
      <c r="F4368" s="3" t="n"/>
      <c r="G4368" s="143" t="n"/>
      <c r="H4368" s="143" t="n">
        <v>298</v>
      </c>
      <c r="I4368" s="143">
        <f>+I4367+(G4368-H4368)</f>
        <v/>
      </c>
      <c r="J4368" s="144" t="n">
        <v>44.8</v>
      </c>
      <c r="K4368" s="145" t="n"/>
      <c r="L4368" s="140">
        <f>+H4368*J4368</f>
        <v/>
      </c>
      <c r="M4368" s="141">
        <f>SUM(M4367+K4368-L4368)</f>
        <v/>
      </c>
    </row>
    <row r="4369">
      <c r="A4369" s="20" t="n">
        <v>45889</v>
      </c>
      <c r="B4369" s="1" t="n">
        <v>2082</v>
      </c>
      <c r="C4369" s="2" t="inlineStr">
        <is>
          <t>MEGA VARLIK</t>
        </is>
      </c>
      <c r="D4369" s="1" t="inlineStr">
        <is>
          <t>SM 300</t>
        </is>
      </c>
      <c r="E4369" s="1" t="inlineStr">
        <is>
          <t>MEHMET ALİ SANCAK</t>
        </is>
      </c>
      <c r="F4369" s="3" t="n"/>
      <c r="G4369" s="143" t="n"/>
      <c r="H4369" s="143" t="n">
        <v>432</v>
      </c>
      <c r="I4369" s="143">
        <f>+I4368+(G4369-H4369)</f>
        <v/>
      </c>
      <c r="J4369" s="144" t="n">
        <v>44.8</v>
      </c>
      <c r="K4369" s="145" t="n"/>
      <c r="L4369" s="140">
        <f>+H4369*J4369</f>
        <v/>
      </c>
      <c r="M4369" s="141">
        <f>SUM(M4368+K4369-L4369)</f>
        <v/>
      </c>
    </row>
    <row r="4370">
      <c r="A4370" s="20" t="n">
        <v>45889</v>
      </c>
      <c r="B4370" s="1" t="n">
        <v>2083</v>
      </c>
      <c r="C4370" s="2" t="inlineStr">
        <is>
          <t>EVKUR</t>
        </is>
      </c>
      <c r="D4370" s="1" t="inlineStr">
        <is>
          <t>SİLİNDİR</t>
        </is>
      </c>
      <c r="E4370" s="1" t="inlineStr">
        <is>
          <t>ÖNER DÜNDAR</t>
        </is>
      </c>
      <c r="F4370" s="3" t="n"/>
      <c r="G4370" s="143" t="n"/>
      <c r="H4370" s="143" t="n">
        <v>143</v>
      </c>
      <c r="I4370" s="143">
        <f>+I4369+(G4370-H4370)</f>
        <v/>
      </c>
      <c r="J4370" s="144" t="n">
        <v>44.8</v>
      </c>
      <c r="K4370" s="145" t="n"/>
      <c r="L4370" s="140">
        <f>+H4370*J4370</f>
        <v/>
      </c>
      <c r="M4370" s="141">
        <f>SUM(M4369+K4370-L4370)</f>
        <v/>
      </c>
    </row>
    <row r="4371">
      <c r="A4371" s="20" t="n">
        <v>45889</v>
      </c>
      <c r="B4371" s="1" t="n">
        <v>2084</v>
      </c>
      <c r="C4371" s="2" t="inlineStr">
        <is>
          <t>MEGA VARLIK</t>
        </is>
      </c>
      <c r="D4371" s="1" t="inlineStr">
        <is>
          <t>SM 350</t>
        </is>
      </c>
      <c r="E4371" s="1" t="inlineStr">
        <is>
          <t>TEVFİK ÖZTÜRK</t>
        </is>
      </c>
      <c r="F4371" s="3" t="n"/>
      <c r="G4371" s="143" t="n"/>
      <c r="H4371" s="143" t="n">
        <v>348</v>
      </c>
      <c r="I4371" s="143">
        <f>+I4370+(G4371-H4371)</f>
        <v/>
      </c>
      <c r="J4371" s="144" t="n">
        <v>44.8</v>
      </c>
      <c r="K4371" s="145" t="n"/>
      <c r="L4371" s="140">
        <f>+H4371*J4371</f>
        <v/>
      </c>
      <c r="M4371" s="141">
        <f>SUM(M4370+K4371-L4371)</f>
        <v/>
      </c>
    </row>
    <row r="4372">
      <c r="A4372" s="20" t="n">
        <v>45889</v>
      </c>
      <c r="B4372" s="1" t="n">
        <v>2085</v>
      </c>
      <c r="C4372" s="2" t="inlineStr">
        <is>
          <t>MEGA VARLIK</t>
        </is>
      </c>
      <c r="D4372" s="1" t="inlineStr">
        <is>
          <t>SM 370</t>
        </is>
      </c>
      <c r="E4372" s="1" t="inlineStr">
        <is>
          <t>TEKİN ŞEYLAN</t>
        </is>
      </c>
      <c r="F4372" s="3" t="n"/>
      <c r="G4372" s="143" t="n"/>
      <c r="H4372" s="143" t="n">
        <v>415</v>
      </c>
      <c r="I4372" s="143">
        <f>+I4371+(G4372-H4372)</f>
        <v/>
      </c>
      <c r="J4372" s="144" t="n">
        <v>44.8</v>
      </c>
      <c r="K4372" s="145" t="n"/>
      <c r="L4372" s="140">
        <f>+H4372*J4372</f>
        <v/>
      </c>
      <c r="M4372" s="141">
        <f>SUM(M4371+K4372-L4372)</f>
        <v/>
      </c>
    </row>
    <row r="4373">
      <c r="A4373" s="20" t="n">
        <v>45889</v>
      </c>
      <c r="B4373" s="1" t="n">
        <v>11166</v>
      </c>
      <c r="C4373" s="2" t="inlineStr">
        <is>
          <t>SELİM İNŞAAT</t>
        </is>
      </c>
      <c r="D4373" s="21" t="inlineStr">
        <is>
          <t>34 HZ 1663</t>
        </is>
      </c>
      <c r="E4373" s="1" t="inlineStr">
        <is>
          <t>FATİH ÖZBOLAT</t>
        </is>
      </c>
      <c r="F4373" s="3" t="n">
        <v>523941</v>
      </c>
      <c r="G4373" s="143" t="n"/>
      <c r="H4373" s="143" t="n">
        <v>151</v>
      </c>
      <c r="I4373" s="143">
        <f>+I4372+(G4373-H4373)</f>
        <v/>
      </c>
      <c r="J4373" s="144" t="n">
        <v>44.8</v>
      </c>
      <c r="K4373" s="145" t="n"/>
      <c r="L4373" s="140">
        <f>+H4373*J4373</f>
        <v/>
      </c>
      <c r="M4373" s="141">
        <f>SUM(M4372+K4373-L4373)</f>
        <v/>
      </c>
    </row>
    <row r="4374">
      <c r="A4374" s="20" t="n">
        <v>45889</v>
      </c>
      <c r="B4374" s="1" t="n">
        <v>30</v>
      </c>
      <c r="C4374" s="2" t="inlineStr">
        <is>
          <t>SELİM İNŞAAT</t>
        </is>
      </c>
      <c r="D4374" s="1" t="inlineStr">
        <is>
          <t>34 FBR 748</t>
        </is>
      </c>
      <c r="E4374" s="1" t="inlineStr">
        <is>
          <t>YAŞAR ÖZKAYA</t>
        </is>
      </c>
      <c r="F4374" s="3" t="n">
        <v>298381</v>
      </c>
      <c r="G4374" s="143" t="n"/>
      <c r="H4374" s="143" t="n">
        <v>492</v>
      </c>
      <c r="I4374" s="143">
        <f>+I4373+(G4374-H4374)</f>
        <v/>
      </c>
      <c r="J4374" s="144" t="n">
        <v>44.8</v>
      </c>
      <c r="K4374" s="145" t="n"/>
      <c r="L4374" s="140">
        <f>+H4374*J4374</f>
        <v/>
      </c>
      <c r="M4374" s="141">
        <f>SUM(M4373+K4374-L4374)</f>
        <v/>
      </c>
    </row>
    <row r="4375">
      <c r="A4375" s="20" t="n">
        <v>45889</v>
      </c>
      <c r="B4375" s="1" t="n">
        <v>1017</v>
      </c>
      <c r="C4375" s="2" t="inlineStr">
        <is>
          <t>SELİM İNŞAAT</t>
        </is>
      </c>
      <c r="D4375" s="1" t="inlineStr">
        <is>
          <t>34 DHH 668</t>
        </is>
      </c>
      <c r="E4375" s="1" t="inlineStr">
        <is>
          <t>ADNAN KOÇ</t>
        </is>
      </c>
      <c r="F4375" s="3" t="n">
        <v>399354</v>
      </c>
      <c r="G4375" s="143" t="n"/>
      <c r="H4375" s="143" t="n">
        <v>199</v>
      </c>
      <c r="I4375" s="143">
        <f>+I4374+(G4375-H4375)</f>
        <v/>
      </c>
      <c r="J4375" s="144" t="n">
        <v>44.8</v>
      </c>
      <c r="K4375" s="145" t="n"/>
      <c r="L4375" s="140">
        <f>+H4375*J4375</f>
        <v/>
      </c>
      <c r="M4375" s="141">
        <f>SUM(M4374+K4375-L4375)</f>
        <v/>
      </c>
    </row>
    <row r="4376">
      <c r="A4376" s="20" t="n">
        <v>45889</v>
      </c>
      <c r="B4376" s="1" t="n">
        <v>1463</v>
      </c>
      <c r="C4376" s="2" t="inlineStr">
        <is>
          <t>SELİM İNŞAAT</t>
        </is>
      </c>
      <c r="D4376" s="1" t="inlineStr">
        <is>
          <t>34 EGR 737</t>
        </is>
      </c>
      <c r="E4376" s="1" t="inlineStr">
        <is>
          <t>CEM MUHTAR</t>
        </is>
      </c>
      <c r="F4376" s="3" t="n">
        <v>432148</v>
      </c>
      <c r="G4376" s="143" t="n"/>
      <c r="H4376" s="143" t="n">
        <v>338</v>
      </c>
      <c r="I4376" s="143">
        <f>+I4375+(G4376-H4376)</f>
        <v/>
      </c>
      <c r="J4376" s="144" t="n">
        <v>44.8</v>
      </c>
      <c r="K4376" s="145" t="n"/>
      <c r="L4376" s="140">
        <f>+H4376*J4376</f>
        <v/>
      </c>
      <c r="M4376" s="141">
        <f>SUM(M4375+K4376-L4376)</f>
        <v/>
      </c>
    </row>
    <row r="4377">
      <c r="A4377" s="20" t="n">
        <v>45889</v>
      </c>
      <c r="B4377" s="1" t="n">
        <v>1712</v>
      </c>
      <c r="C4377" s="2" t="inlineStr">
        <is>
          <t>SELİM İNŞAAT</t>
        </is>
      </c>
      <c r="D4377" s="21" t="inlineStr">
        <is>
          <t>34 DGP 137</t>
        </is>
      </c>
      <c r="E4377" s="1" t="inlineStr">
        <is>
          <t>GÜRAY KOYUNCU</t>
        </is>
      </c>
      <c r="F4377" s="3" t="n">
        <v>439196</v>
      </c>
      <c r="G4377" s="143" t="n"/>
      <c r="H4377" s="143" t="n">
        <v>417</v>
      </c>
      <c r="I4377" s="143">
        <f>+I4376+(G4377-H4377)</f>
        <v/>
      </c>
      <c r="J4377" s="144" t="n">
        <v>44.8</v>
      </c>
      <c r="K4377" s="145" t="n"/>
      <c r="L4377" s="140">
        <f>+H4377*J4377</f>
        <v/>
      </c>
      <c r="M4377" s="141">
        <f>SUM(M4376+K4377-L4377)</f>
        <v/>
      </c>
    </row>
    <row r="4378">
      <c r="A4378" s="20" t="n">
        <v>45889</v>
      </c>
      <c r="B4378" s="1" t="n">
        <v>15378</v>
      </c>
      <c r="C4378" s="2" t="inlineStr">
        <is>
          <t>SELİM İNŞAAT</t>
        </is>
      </c>
      <c r="D4378" s="1" t="inlineStr">
        <is>
          <t>34 DTV 409</t>
        </is>
      </c>
      <c r="E4378" s="1" t="inlineStr">
        <is>
          <t>SİNAN TANRIKULU</t>
        </is>
      </c>
      <c r="F4378" s="3" t="n">
        <v>431293</v>
      </c>
      <c r="G4378" s="143" t="n"/>
      <c r="H4378" s="143" t="n">
        <v>437</v>
      </c>
      <c r="I4378" s="143">
        <f>+I4377+(G4378-H4378)</f>
        <v/>
      </c>
      <c r="J4378" s="144" t="n">
        <v>44.8</v>
      </c>
      <c r="K4378" s="145" t="n"/>
      <c r="L4378" s="140">
        <f>+H4378*J4378</f>
        <v/>
      </c>
      <c r="M4378" s="141">
        <f>SUM(M4377+K4378-L4378)</f>
        <v/>
      </c>
    </row>
    <row r="4379">
      <c r="A4379" s="20" t="n">
        <v>45889</v>
      </c>
      <c r="B4379" s="1" t="n">
        <v>15131</v>
      </c>
      <c r="C4379" s="2" t="inlineStr">
        <is>
          <t>SELİM İNŞAAT</t>
        </is>
      </c>
      <c r="D4379" s="1" t="inlineStr">
        <is>
          <t>34 DTV 599</t>
        </is>
      </c>
      <c r="E4379" s="1" t="inlineStr">
        <is>
          <t>FERHAT GÜRLER</t>
        </is>
      </c>
      <c r="F4379" s="3" t="n">
        <v>447403</v>
      </c>
      <c r="G4379" s="143" t="n"/>
      <c r="H4379" s="143" t="n">
        <v>496</v>
      </c>
      <c r="I4379" s="143">
        <f>+I4378+(G4379-H4379)</f>
        <v/>
      </c>
      <c r="J4379" s="144" t="n">
        <v>44.8</v>
      </c>
      <c r="K4379" s="145" t="n"/>
      <c r="L4379" s="140">
        <f>+H4379*J4379</f>
        <v/>
      </c>
      <c r="M4379" s="141">
        <f>SUM(M4378+K4379-L4379)</f>
        <v/>
      </c>
    </row>
    <row r="4380">
      <c r="A4380" s="20" t="n">
        <v>45889</v>
      </c>
      <c r="B4380" s="1" t="n">
        <v>123</v>
      </c>
      <c r="C4380" s="2" t="inlineStr">
        <is>
          <t>SELİM İNŞAAT</t>
        </is>
      </c>
      <c r="D4380" s="1" t="inlineStr">
        <is>
          <t>34 FBR 771</t>
        </is>
      </c>
      <c r="E4380" s="1" t="inlineStr">
        <is>
          <t>HÜSEYİN AKÇİN</t>
        </is>
      </c>
      <c r="F4380" s="3" t="n">
        <v>333501</v>
      </c>
      <c r="G4380" s="143" t="n"/>
      <c r="H4380" s="143" t="n">
        <v>358</v>
      </c>
      <c r="I4380" s="143">
        <f>+I4379+(G4380-H4380)</f>
        <v/>
      </c>
      <c r="J4380" s="144" t="n">
        <v>44.8</v>
      </c>
      <c r="K4380" s="145" t="n"/>
      <c r="L4380" s="140">
        <f>+H4380*J4380</f>
        <v/>
      </c>
      <c r="M4380" s="141">
        <f>SUM(M4379+K4380-L4380)</f>
        <v/>
      </c>
    </row>
    <row r="4381">
      <c r="A4381" s="20" t="n">
        <v>45889</v>
      </c>
      <c r="B4381" s="1" t="n">
        <v>863</v>
      </c>
      <c r="C4381" s="2" t="inlineStr">
        <is>
          <t>SELİM İNŞAAT</t>
        </is>
      </c>
      <c r="D4381" s="1" t="inlineStr">
        <is>
          <t>34 FSG 229</t>
        </is>
      </c>
      <c r="E4381" s="1" t="inlineStr">
        <is>
          <t>SİNAN TANRIVERDİ</t>
        </is>
      </c>
      <c r="F4381" s="3" t="n">
        <v>272052</v>
      </c>
      <c r="G4381" s="143" t="n"/>
      <c r="H4381" s="143" t="n">
        <v>390</v>
      </c>
      <c r="I4381" s="143">
        <f>+I4380+(G4381-H4381)</f>
        <v/>
      </c>
      <c r="J4381" s="144" t="n">
        <v>44.8</v>
      </c>
      <c r="K4381" s="145" t="n"/>
      <c r="L4381" s="140">
        <f>+H4381*J4381</f>
        <v/>
      </c>
      <c r="M4381" s="141">
        <f>SUM(M4380+K4381-L4381)</f>
        <v/>
      </c>
    </row>
    <row r="4382">
      <c r="A4382" s="20" t="n">
        <v>45889</v>
      </c>
      <c r="B4382" s="1" t="n">
        <v>1567</v>
      </c>
      <c r="C4382" s="2" t="inlineStr">
        <is>
          <t>SELİM İNŞAAT</t>
        </is>
      </c>
      <c r="D4382" s="1" t="inlineStr">
        <is>
          <t>34 GUS 938</t>
        </is>
      </c>
      <c r="E4382" s="1" t="inlineStr">
        <is>
          <t>MEHMET KAYA</t>
        </is>
      </c>
      <c r="F4382" s="3" t="n">
        <v>205710</v>
      </c>
      <c r="G4382" s="143" t="n"/>
      <c r="H4382" s="143" t="n">
        <v>326</v>
      </c>
      <c r="I4382" s="143">
        <f>+I4381+(G4382-H4382)</f>
        <v/>
      </c>
      <c r="J4382" s="144" t="n">
        <v>44.8</v>
      </c>
      <c r="K4382" s="145" t="n"/>
      <c r="L4382" s="140">
        <f>+H4382*J4382</f>
        <v/>
      </c>
      <c r="M4382" s="141">
        <f>SUM(M4381+K4382-L4382)</f>
        <v/>
      </c>
    </row>
    <row r="4383">
      <c r="A4383" s="20" t="n">
        <v>45889</v>
      </c>
      <c r="B4383" s="1" t="n">
        <v>576</v>
      </c>
      <c r="C4383" s="2" t="inlineStr">
        <is>
          <t>SELİM İNŞAAT</t>
        </is>
      </c>
      <c r="D4383" s="1" t="inlineStr">
        <is>
          <t>34 EDB 922</t>
        </is>
      </c>
      <c r="E4383" s="1" t="inlineStr">
        <is>
          <t>AHMET TOPÇU</t>
        </is>
      </c>
      <c r="F4383" s="3" t="n">
        <v>378857</v>
      </c>
      <c r="G4383" s="143" t="n"/>
      <c r="H4383" s="143" t="n">
        <v>284</v>
      </c>
      <c r="I4383" s="143">
        <f>+I4382+(G4383-H4383)</f>
        <v/>
      </c>
      <c r="J4383" s="144" t="n">
        <v>44.8</v>
      </c>
      <c r="K4383" s="145" t="n"/>
      <c r="L4383" s="140">
        <f>+H4383*J4383</f>
        <v/>
      </c>
      <c r="M4383" s="141">
        <f>SUM(M4382+K4383-L4383)</f>
        <v/>
      </c>
    </row>
    <row r="4384">
      <c r="A4384" s="20" t="n">
        <v>45889</v>
      </c>
      <c r="B4384" s="1" t="n">
        <v>15986</v>
      </c>
      <c r="C4384" s="2" t="inlineStr">
        <is>
          <t>SELİM İNŞAAT</t>
        </is>
      </c>
      <c r="D4384" s="1" t="inlineStr">
        <is>
          <t>34 FBR 781</t>
        </is>
      </c>
      <c r="E4384" s="1" t="inlineStr">
        <is>
          <t>MEVLÜT POLAT</t>
        </is>
      </c>
      <c r="F4384" s="3" t="n">
        <v>322451</v>
      </c>
      <c r="G4384" s="143" t="n"/>
      <c r="H4384" s="143" t="n">
        <v>395</v>
      </c>
      <c r="I4384" s="143">
        <f>+I4383+(G4384-H4384)</f>
        <v/>
      </c>
      <c r="J4384" s="144" t="n">
        <v>44.8</v>
      </c>
      <c r="K4384" s="145" t="n"/>
      <c r="L4384" s="140">
        <f>+H4384*J4384</f>
        <v/>
      </c>
      <c r="M4384" s="141">
        <f>SUM(M4383+K4384-L4384)</f>
        <v/>
      </c>
    </row>
    <row r="4385">
      <c r="A4385" s="20" t="n">
        <v>45889</v>
      </c>
      <c r="B4385" s="1" t="n">
        <v>1156</v>
      </c>
      <c r="C4385" s="2" t="inlineStr">
        <is>
          <t>SELİM İNŞAAT</t>
        </is>
      </c>
      <c r="D4385" s="1" t="inlineStr">
        <is>
          <t>34 DSN 536</t>
        </is>
      </c>
      <c r="E4385" s="1" t="inlineStr">
        <is>
          <t>NAZIM KARATAŞ</t>
        </is>
      </c>
      <c r="F4385" s="3" t="n">
        <v>418156</v>
      </c>
      <c r="G4385" s="143" t="n"/>
      <c r="H4385" s="143" t="n">
        <v>391</v>
      </c>
      <c r="I4385" s="143">
        <f>+I4384+(G4385-H4385)</f>
        <v/>
      </c>
      <c r="J4385" s="144" t="n">
        <v>44.8</v>
      </c>
      <c r="K4385" s="145" t="n"/>
      <c r="L4385" s="140">
        <f>+H4385*J4385</f>
        <v/>
      </c>
      <c r="M4385" s="141">
        <f>SUM(M4384+K4385-L4385)</f>
        <v/>
      </c>
    </row>
    <row r="4386">
      <c r="A4386" s="20" t="n">
        <v>45889</v>
      </c>
      <c r="B4386" s="1" t="n">
        <v>15595</v>
      </c>
      <c r="C4386" s="2" t="inlineStr">
        <is>
          <t>SELİM İNŞAAT</t>
        </is>
      </c>
      <c r="D4386" s="1" t="inlineStr">
        <is>
          <t>34 GVZ 745</t>
        </is>
      </c>
      <c r="E4386" s="1" t="inlineStr">
        <is>
          <t>MURAT DEMİRBAŞ</t>
        </is>
      </c>
      <c r="F4386" s="3" t="n">
        <v>203281</v>
      </c>
      <c r="G4386" s="143" t="n"/>
      <c r="H4386" s="143" t="n">
        <v>193</v>
      </c>
      <c r="I4386" s="143">
        <f>+I4385+(G4386-H4386)</f>
        <v/>
      </c>
      <c r="J4386" s="144" t="n">
        <v>44.8</v>
      </c>
      <c r="K4386" s="145" t="n"/>
      <c r="L4386" s="140">
        <f>+H4386*J4386</f>
        <v/>
      </c>
      <c r="M4386" s="141">
        <f>SUM(M4385+K4386-L4386)</f>
        <v/>
      </c>
    </row>
    <row r="4387">
      <c r="A4387" s="20" t="n">
        <v>45889</v>
      </c>
      <c r="B4387" s="1" t="n">
        <v>14786</v>
      </c>
      <c r="C4387" s="2" t="inlineStr">
        <is>
          <t>SELİM İNŞAAT</t>
        </is>
      </c>
      <c r="D4387" s="1" t="inlineStr">
        <is>
          <t>34 GYZ 635</t>
        </is>
      </c>
      <c r="E4387" s="1" t="inlineStr">
        <is>
          <t>ENGİN DEMİR</t>
        </is>
      </c>
      <c r="F4387" s="3" t="n">
        <v>190680</v>
      </c>
      <c r="G4387" s="143" t="n"/>
      <c r="H4387" s="143" t="n">
        <v>366</v>
      </c>
      <c r="I4387" s="143">
        <f>+I4386+(G4387-H4387)</f>
        <v/>
      </c>
      <c r="J4387" s="144" t="n">
        <v>44.8</v>
      </c>
      <c r="K4387" s="145" t="n"/>
      <c r="L4387" s="140">
        <f>+H4387*J4387</f>
        <v/>
      </c>
      <c r="M4387" s="141">
        <f>SUM(M4386+K4387-L4387)</f>
        <v/>
      </c>
    </row>
    <row r="4388">
      <c r="A4388" s="20" t="n">
        <v>45889</v>
      </c>
      <c r="B4388" s="1" t="n">
        <v>15230</v>
      </c>
      <c r="C4388" s="2" t="inlineStr">
        <is>
          <t>SELİM İNŞAAT</t>
        </is>
      </c>
      <c r="D4388" s="1" t="inlineStr">
        <is>
          <t>34 DSN 565</t>
        </is>
      </c>
      <c r="E4388" s="1" t="inlineStr">
        <is>
          <t>HÜSEYİN DENİZ</t>
        </is>
      </c>
      <c r="F4388" s="3" t="n">
        <v>415273</v>
      </c>
      <c r="G4388" s="143" t="n"/>
      <c r="H4388" s="143" t="n">
        <v>396</v>
      </c>
      <c r="I4388" s="143">
        <f>+I4387+(G4388-H4388)</f>
        <v/>
      </c>
      <c r="J4388" s="144" t="n">
        <v>44.8</v>
      </c>
      <c r="K4388" s="145" t="n"/>
      <c r="L4388" s="140">
        <f>+H4388*J4388</f>
        <v/>
      </c>
      <c r="M4388" s="141">
        <f>SUM(M4387+K4388-L4388)</f>
        <v/>
      </c>
    </row>
    <row r="4389">
      <c r="A4389" s="20" t="n">
        <v>45889</v>
      </c>
      <c r="B4389" s="1" t="n">
        <v>1115</v>
      </c>
      <c r="C4389" s="2" t="inlineStr">
        <is>
          <t>SELİM İNŞAAT</t>
        </is>
      </c>
      <c r="D4389" s="1" t="inlineStr">
        <is>
          <t>34 EDB 659</t>
        </is>
      </c>
      <c r="E4389" s="1" t="inlineStr">
        <is>
          <t>MEHMET SAİT ANIK</t>
        </is>
      </c>
      <c r="F4389" s="3" t="n">
        <v>357286</v>
      </c>
      <c r="G4389" s="143" t="n"/>
      <c r="H4389" s="143" t="n">
        <v>275</v>
      </c>
      <c r="I4389" s="143">
        <f>+I4388+(G4389-H4389)</f>
        <v/>
      </c>
      <c r="J4389" s="144" t="n">
        <v>44.8</v>
      </c>
      <c r="K4389" s="145" t="n"/>
      <c r="L4389" s="140">
        <f>+H4389*J4389</f>
        <v/>
      </c>
      <c r="M4389" s="141">
        <f>SUM(M4388+K4389-L4389)</f>
        <v/>
      </c>
    </row>
    <row r="4390">
      <c r="A4390" s="20" t="n">
        <v>45889</v>
      </c>
      <c r="B4390" s="1" t="n">
        <v>1069</v>
      </c>
      <c r="C4390" s="2" t="inlineStr">
        <is>
          <t>SELİM İNŞAAT</t>
        </is>
      </c>
      <c r="D4390" s="1" t="inlineStr">
        <is>
          <t>34 GVZ 310</t>
        </is>
      </c>
      <c r="E4390" s="1" t="inlineStr">
        <is>
          <t>CELAL YÜZBASI</t>
        </is>
      </c>
      <c r="F4390" s="3" t="n">
        <v>215670</v>
      </c>
      <c r="G4390" s="143" t="n"/>
      <c r="H4390" s="143" t="n">
        <v>296</v>
      </c>
      <c r="I4390" s="143">
        <f>+I4389+(G4390-H4390)</f>
        <v/>
      </c>
      <c r="J4390" s="144" t="n">
        <v>44.8</v>
      </c>
      <c r="K4390" s="145" t="n"/>
      <c r="L4390" s="140">
        <f>+H4390*J4390</f>
        <v/>
      </c>
      <c r="M4390" s="141">
        <f>SUM(M4389+K4390-L4390)</f>
        <v/>
      </c>
    </row>
    <row r="4391">
      <c r="A4391" s="20" t="n">
        <v>45889</v>
      </c>
      <c r="B4391" s="1" t="n">
        <v>1511</v>
      </c>
      <c r="C4391" s="2" t="inlineStr">
        <is>
          <t>SELİM İNŞAAT</t>
        </is>
      </c>
      <c r="D4391" s="1" t="inlineStr">
        <is>
          <t>34 GUS 848</t>
        </is>
      </c>
      <c r="E4391" s="1" t="inlineStr">
        <is>
          <t>SERDAR BOZKURT</t>
        </is>
      </c>
      <c r="F4391" s="3" t="n">
        <v>204086</v>
      </c>
      <c r="G4391" s="143" t="n"/>
      <c r="H4391" s="143" t="n">
        <v>446</v>
      </c>
      <c r="I4391" s="143">
        <f>+I4390+(G4391-H4391)</f>
        <v/>
      </c>
      <c r="J4391" s="144" t="n">
        <v>44.8</v>
      </c>
      <c r="K4391" s="145" t="n"/>
      <c r="L4391" s="140">
        <f>+H4391*J4391</f>
        <v/>
      </c>
      <c r="M4391" s="141">
        <f>SUM(M4390+K4391-L4391)</f>
        <v/>
      </c>
    </row>
    <row r="4392">
      <c r="A4392" s="20" t="n">
        <v>45889</v>
      </c>
      <c r="B4392" s="1" t="n">
        <v>325</v>
      </c>
      <c r="C4392" s="2" t="inlineStr">
        <is>
          <t>SELİM İNŞAAT</t>
        </is>
      </c>
      <c r="D4392" s="1" t="inlineStr">
        <is>
          <t>34 EDB 829</t>
        </is>
      </c>
      <c r="E4392" s="1" t="inlineStr">
        <is>
          <t xml:space="preserve">İRFAN DAĞLAR </t>
        </is>
      </c>
      <c r="F4392" s="3" t="n">
        <v>332774</v>
      </c>
      <c r="G4392" s="143" t="n"/>
      <c r="H4392" s="143" t="n">
        <v>385</v>
      </c>
      <c r="I4392" s="143">
        <f>+I4391+(G4392-H4392)</f>
        <v/>
      </c>
      <c r="J4392" s="144" t="n">
        <v>44.8</v>
      </c>
      <c r="K4392" s="145" t="n"/>
      <c r="L4392" s="140">
        <f>+H4392*J4392</f>
        <v/>
      </c>
      <c r="M4392" s="141">
        <f>SUM(M4391+K4392-L4392)</f>
        <v/>
      </c>
    </row>
    <row r="4393">
      <c r="A4393" s="20" t="n">
        <v>45889</v>
      </c>
      <c r="B4393" s="1" t="n">
        <v>263</v>
      </c>
      <c r="C4393" s="2" t="inlineStr">
        <is>
          <t>SELİM İNŞAAT</t>
        </is>
      </c>
      <c r="D4393" s="1" t="inlineStr">
        <is>
          <t>34 GER 445</t>
        </is>
      </c>
      <c r="E4393" s="1" t="inlineStr">
        <is>
          <t>ÖNER DÜNDAR</t>
        </is>
      </c>
      <c r="F4393" s="3" t="n">
        <v>48717</v>
      </c>
      <c r="G4393" s="143" t="n"/>
      <c r="H4393" s="143" t="n">
        <v>283</v>
      </c>
      <c r="I4393" s="143">
        <f>+I4392+(G4393-H4393)</f>
        <v/>
      </c>
      <c r="J4393" s="144" t="n">
        <v>44.8</v>
      </c>
      <c r="K4393" s="145" t="n"/>
      <c r="L4393" s="140">
        <f>+H4393*J4393</f>
        <v/>
      </c>
      <c r="M4393" s="141">
        <f>SUM(M4392+K4393-L4393)</f>
        <v/>
      </c>
    </row>
    <row r="4394">
      <c r="A4394" s="20" t="n">
        <v>45889</v>
      </c>
      <c r="B4394" s="1" t="n">
        <v>15189</v>
      </c>
      <c r="C4394" s="2" t="inlineStr">
        <is>
          <t>SELİM İNŞAAT</t>
        </is>
      </c>
      <c r="D4394" s="1" t="inlineStr">
        <is>
          <t>34 DP 4161</t>
        </is>
      </c>
      <c r="E4394" s="1" t="inlineStr">
        <is>
          <t>RIFAT KARATAY</t>
        </is>
      </c>
      <c r="F4394" s="3" t="n">
        <v>295809</v>
      </c>
      <c r="G4394" s="143" t="n"/>
      <c r="H4394" s="143" t="n">
        <v>217</v>
      </c>
      <c r="I4394" s="143">
        <f>+I4393+(G4394-H4394)</f>
        <v/>
      </c>
      <c r="J4394" s="144" t="n">
        <v>44.8</v>
      </c>
      <c r="K4394" s="145" t="n"/>
      <c r="L4394" s="140">
        <f>+H4394*J4394</f>
        <v/>
      </c>
      <c r="M4394" s="141">
        <f>SUM(M4393+K4394-L4394)</f>
        <v/>
      </c>
    </row>
    <row r="4395">
      <c r="A4395" s="20" t="n">
        <v>45889</v>
      </c>
      <c r="B4395" s="1" t="n">
        <v>210</v>
      </c>
      <c r="C4395" s="2" t="inlineStr">
        <is>
          <t>SELİM İNŞAAT</t>
        </is>
      </c>
      <c r="D4395" s="1" t="inlineStr">
        <is>
          <t>34 JGR 15</t>
        </is>
      </c>
      <c r="E4395" s="1" t="inlineStr">
        <is>
          <t>BAYRAM SANCAK</t>
        </is>
      </c>
      <c r="F4395" s="3" t="n">
        <v>314797</v>
      </c>
      <c r="G4395" s="143" t="n"/>
      <c r="H4395" s="143" t="n">
        <v>73</v>
      </c>
      <c r="I4395" s="143">
        <f>+I4394+(G4395-H4395)</f>
        <v/>
      </c>
      <c r="J4395" s="144" t="n">
        <v>44.8</v>
      </c>
      <c r="K4395" s="145" t="n"/>
      <c r="L4395" s="140">
        <f>+H4395*J4395</f>
        <v/>
      </c>
      <c r="M4395" s="141">
        <f>SUM(M4394+K4395-L4395)</f>
        <v/>
      </c>
    </row>
    <row r="4396">
      <c r="A4396" s="20" t="n">
        <v>45889</v>
      </c>
      <c r="B4396" s="1" t="n">
        <v>612</v>
      </c>
      <c r="C4396" s="2" t="inlineStr">
        <is>
          <t>SELİM İNŞAAT</t>
        </is>
      </c>
      <c r="D4396" s="1" t="inlineStr">
        <is>
          <t>34 AR 7743</t>
        </is>
      </c>
      <c r="E4396" s="1" t="inlineStr">
        <is>
          <t xml:space="preserve">MEHMET SELİM </t>
        </is>
      </c>
      <c r="F4396" s="3" t="n">
        <v>368887</v>
      </c>
      <c r="G4396" s="143" t="n"/>
      <c r="H4396" s="143" t="n">
        <v>102</v>
      </c>
      <c r="I4396" s="143">
        <f>+I4395+(G4396-H4396)</f>
        <v/>
      </c>
      <c r="J4396" s="144" t="n">
        <v>44.8</v>
      </c>
      <c r="K4396" s="145" t="n"/>
      <c r="L4396" s="140">
        <f>+H4396*J4396</f>
        <v/>
      </c>
      <c r="M4396" s="141">
        <f>SUM(M4395+K4396-L4396)</f>
        <v/>
      </c>
    </row>
    <row r="4397">
      <c r="A4397" s="20" t="n">
        <v>45890</v>
      </c>
      <c r="B4397" s="21" t="n">
        <v>15695</v>
      </c>
      <c r="C4397" s="22" t="inlineStr">
        <is>
          <t>METİN ERYİĞİT</t>
        </is>
      </c>
      <c r="D4397" s="21" t="inlineStr">
        <is>
          <t>34 EGR 814</t>
        </is>
      </c>
      <c r="E4397" s="21" t="inlineStr">
        <is>
          <t>MUHAMMED YİĞİT</t>
        </is>
      </c>
      <c r="F4397" s="23" t="n">
        <v>562116</v>
      </c>
      <c r="G4397" s="138" t="n"/>
      <c r="H4397" s="138" t="n">
        <v>433</v>
      </c>
      <c r="I4397" s="138">
        <f>+I4396+(G4397-H4397)</f>
        <v/>
      </c>
      <c r="J4397" s="139" t="n">
        <v>44.8</v>
      </c>
      <c r="K4397" s="140" t="n"/>
      <c r="L4397" s="140">
        <f>+H4397*J4397</f>
        <v/>
      </c>
      <c r="M4397" s="141">
        <f>SUM(M4396+K4397-L4397)</f>
        <v/>
      </c>
    </row>
    <row r="4398">
      <c r="A4398" s="20" t="n">
        <v>45890</v>
      </c>
      <c r="B4398" s="21" t="n">
        <v>15639</v>
      </c>
      <c r="C4398" s="22" t="inlineStr">
        <is>
          <t>METİN ERYİĞİT</t>
        </is>
      </c>
      <c r="D4398" s="21" t="inlineStr">
        <is>
          <t>34 EGS 013</t>
        </is>
      </c>
      <c r="E4398" s="21" t="inlineStr">
        <is>
          <t>UĞUR DUMAN</t>
        </is>
      </c>
      <c r="F4398" s="23" t="n">
        <v>507860</v>
      </c>
      <c r="G4398" s="138" t="n"/>
      <c r="H4398" s="138" t="n">
        <v>417</v>
      </c>
      <c r="I4398" s="138">
        <f>+I4397+(G4398-H4398)</f>
        <v/>
      </c>
      <c r="J4398" s="139" t="n">
        <v>44.8</v>
      </c>
      <c r="K4398" s="140" t="n"/>
      <c r="L4398" s="140">
        <f>+H4398*J4398</f>
        <v/>
      </c>
      <c r="M4398" s="141">
        <f>SUM(M4397+K4398-L4398)</f>
        <v/>
      </c>
    </row>
    <row r="4399">
      <c r="A4399" s="20" t="n">
        <v>45890</v>
      </c>
      <c r="B4399" s="21" t="n">
        <v>723</v>
      </c>
      <c r="C4399" s="22" t="inlineStr">
        <is>
          <t>METİN ERYİĞİT</t>
        </is>
      </c>
      <c r="D4399" s="21" t="inlineStr">
        <is>
          <t>34 GBL 998</t>
        </is>
      </c>
      <c r="E4399" s="21" t="inlineStr">
        <is>
          <t>M.ALİ KESKİN</t>
        </is>
      </c>
      <c r="F4399" s="23" t="n">
        <v>288566</v>
      </c>
      <c r="G4399" s="138" t="n"/>
      <c r="H4399" s="138" t="n">
        <v>299</v>
      </c>
      <c r="I4399" s="138">
        <f>+I4398+(G4399-H4399)</f>
        <v/>
      </c>
      <c r="J4399" s="139" t="n">
        <v>44.8</v>
      </c>
      <c r="K4399" s="140" t="n"/>
      <c r="L4399" s="140">
        <f>+H4399*J4399</f>
        <v/>
      </c>
      <c r="M4399" s="141">
        <f>SUM(M4398+K4399-L4399)</f>
        <v/>
      </c>
    </row>
    <row r="4400">
      <c r="A4400" s="20" t="n">
        <v>45890</v>
      </c>
      <c r="B4400" s="21" t="n">
        <v>11389</v>
      </c>
      <c r="C4400" s="22" t="inlineStr">
        <is>
          <t>AZGÜN YAPI</t>
        </is>
      </c>
      <c r="D4400" s="21" t="inlineStr">
        <is>
          <t>34 MKT 593</t>
        </is>
      </c>
      <c r="E4400" s="21" t="inlineStr">
        <is>
          <t>MESUT GÜRLER</t>
        </is>
      </c>
      <c r="F4400" s="23" t="n"/>
      <c r="G4400" s="138" t="n"/>
      <c r="H4400" s="138" t="n">
        <v>507</v>
      </c>
      <c r="I4400" s="138">
        <f>+I4399+(G4400-H4400)</f>
        <v/>
      </c>
      <c r="J4400" s="139" t="n">
        <v>44.8</v>
      </c>
      <c r="K4400" s="140" t="n"/>
      <c r="L4400" s="140">
        <f>+H4400*J4400</f>
        <v/>
      </c>
      <c r="M4400" s="141">
        <f>SUM(M4399+K4400-L4400)</f>
        <v/>
      </c>
    </row>
    <row r="4401">
      <c r="A4401" s="20" t="n">
        <v>45890</v>
      </c>
      <c r="B4401" s="21" t="n">
        <v>11348</v>
      </c>
      <c r="C4401" s="22" t="inlineStr">
        <is>
          <t>AZGÜN YAPI</t>
        </is>
      </c>
      <c r="D4401" s="21" t="inlineStr">
        <is>
          <t>34 MKT 859</t>
        </is>
      </c>
      <c r="E4401" s="21" t="inlineStr">
        <is>
          <t>ONUR CANLI</t>
        </is>
      </c>
      <c r="F4401" s="23" t="n"/>
      <c r="G4401" s="138" t="n"/>
      <c r="H4401" s="138" t="n">
        <v>394</v>
      </c>
      <c r="I4401" s="138">
        <f>+I4400+(G4401-H4401)</f>
        <v/>
      </c>
      <c r="J4401" s="139" t="n">
        <v>44.8</v>
      </c>
      <c r="K4401" s="140" t="n"/>
      <c r="L4401" s="140">
        <f>+H4401*J4401</f>
        <v/>
      </c>
      <c r="M4401" s="141">
        <f>SUM(M4400+K4401-L4401)</f>
        <v/>
      </c>
    </row>
    <row r="4402">
      <c r="A4402" s="20" t="n">
        <v>45890</v>
      </c>
      <c r="B4402" s="1" t="n">
        <v>2086</v>
      </c>
      <c r="C4402" s="2" t="inlineStr">
        <is>
          <t>HASALTUN</t>
        </is>
      </c>
      <c r="D4402" s="1" t="inlineStr">
        <is>
          <t>HİTACİ</t>
        </is>
      </c>
      <c r="E4402" s="1" t="inlineStr">
        <is>
          <t>TURGUT SANCAK</t>
        </is>
      </c>
      <c r="F4402" s="3" t="n"/>
      <c r="G4402" s="143" t="n"/>
      <c r="H4402" s="143" t="n">
        <v>338</v>
      </c>
      <c r="I4402" s="143">
        <f>+I4401+(G4402-H4402)</f>
        <v/>
      </c>
      <c r="J4402" s="144" t="n">
        <v>44.8</v>
      </c>
      <c r="K4402" s="145" t="n"/>
      <c r="L4402" s="140">
        <f>+H4402*J4402</f>
        <v/>
      </c>
      <c r="M4402" s="141">
        <f>SUM(M4401+K4402-L4402)</f>
        <v/>
      </c>
    </row>
    <row r="4403">
      <c r="A4403" s="20" t="n">
        <v>45890</v>
      </c>
      <c r="B4403" s="1" t="n">
        <v>2087</v>
      </c>
      <c r="C4403" s="2" t="inlineStr">
        <is>
          <t>MEGA VARLIK</t>
        </is>
      </c>
      <c r="D4403" s="1" t="inlineStr">
        <is>
          <t>SM 350</t>
        </is>
      </c>
      <c r="E4403" s="1" t="inlineStr">
        <is>
          <t>AHMET AKGÜL</t>
        </is>
      </c>
      <c r="F4403" s="3" t="n"/>
      <c r="G4403" s="143" t="n"/>
      <c r="H4403" s="143" t="n">
        <v>490</v>
      </c>
      <c r="I4403" s="143">
        <f>+I4402+(G4403-H4403)</f>
        <v/>
      </c>
      <c r="J4403" s="144" t="n">
        <v>44.8</v>
      </c>
      <c r="K4403" s="145" t="n"/>
      <c r="L4403" s="140">
        <f>+H4403*J4403</f>
        <v/>
      </c>
      <c r="M4403" s="141">
        <f>SUM(M4402+K4403-L4403)</f>
        <v/>
      </c>
    </row>
    <row r="4404">
      <c r="A4404" s="20" t="n">
        <v>45890</v>
      </c>
      <c r="B4404" s="1" t="n">
        <v>971</v>
      </c>
      <c r="C4404" s="2" t="inlineStr">
        <is>
          <t>SELİM İNŞAAT</t>
        </is>
      </c>
      <c r="D4404" s="1" t="inlineStr">
        <is>
          <t>34 FBR 742</t>
        </is>
      </c>
      <c r="E4404" s="1" t="inlineStr">
        <is>
          <t>MİKAİL BAYILMAZ</t>
        </is>
      </c>
      <c r="F4404" s="3" t="n">
        <v>332032</v>
      </c>
      <c r="G4404" s="143" t="n"/>
      <c r="H4404" s="143" t="n">
        <v>330</v>
      </c>
      <c r="I4404" s="143">
        <f>+I4403+(G4404-H4404)</f>
        <v/>
      </c>
      <c r="J4404" s="144" t="n">
        <v>44.8</v>
      </c>
      <c r="K4404" s="145" t="n"/>
      <c r="L4404" s="140">
        <f>+H4404*J4404</f>
        <v/>
      </c>
      <c r="M4404" s="141">
        <f>SUM(M4403+K4404-L4404)</f>
        <v/>
      </c>
    </row>
    <row r="4405">
      <c r="A4405" s="20" t="n">
        <v>45890</v>
      </c>
      <c r="B4405" s="1" t="n">
        <v>1018</v>
      </c>
      <c r="C4405" s="2" t="inlineStr">
        <is>
          <t>SELİM İNŞAAT</t>
        </is>
      </c>
      <c r="D4405" s="1" t="inlineStr">
        <is>
          <t>34 DHH 668</t>
        </is>
      </c>
      <c r="E4405" s="1" t="inlineStr">
        <is>
          <t>ADNAN KOÇ</t>
        </is>
      </c>
      <c r="F4405" s="3" t="n">
        <v>399767</v>
      </c>
      <c r="G4405" s="143" t="n"/>
      <c r="H4405" s="143" t="n">
        <v>244</v>
      </c>
      <c r="I4405" s="143">
        <f>+I4404+(G4405-H4405)</f>
        <v/>
      </c>
      <c r="J4405" s="144" t="n">
        <v>44.8</v>
      </c>
      <c r="K4405" s="145" t="n"/>
      <c r="L4405" s="140">
        <f>+H4405*J4405</f>
        <v/>
      </c>
      <c r="M4405" s="141">
        <f>SUM(M4404+K4405-L4405)</f>
        <v/>
      </c>
    </row>
    <row r="4406">
      <c r="A4406" s="20" t="n">
        <v>45890</v>
      </c>
      <c r="B4406" s="1" t="n">
        <v>1713</v>
      </c>
      <c r="C4406" s="2" t="inlineStr">
        <is>
          <t>SELİM İNŞAAT</t>
        </is>
      </c>
      <c r="D4406" s="21" t="inlineStr">
        <is>
          <t>34 DGP 137</t>
        </is>
      </c>
      <c r="E4406" s="1" t="inlineStr">
        <is>
          <t>GÜRAY KOYUNCU</t>
        </is>
      </c>
      <c r="F4406" s="3" t="n">
        <v>439878</v>
      </c>
      <c r="G4406" s="143" t="n"/>
      <c r="H4406" s="143" t="n">
        <v>372</v>
      </c>
      <c r="I4406" s="143">
        <f>+I4405+(G4406-H4406)</f>
        <v/>
      </c>
      <c r="J4406" s="144" t="n">
        <v>44.8</v>
      </c>
      <c r="K4406" s="145" t="n"/>
      <c r="L4406" s="140">
        <f>+H4406*J4406</f>
        <v/>
      </c>
      <c r="M4406" s="141">
        <f>SUM(M4405+K4406-L4406)</f>
        <v/>
      </c>
    </row>
    <row r="4407">
      <c r="A4407" s="20" t="n">
        <v>45890</v>
      </c>
      <c r="B4407" s="1" t="n">
        <v>15379</v>
      </c>
      <c r="C4407" s="2" t="inlineStr">
        <is>
          <t>SELİM İNŞAAT</t>
        </is>
      </c>
      <c r="D4407" s="1" t="inlineStr">
        <is>
          <t>34 DTV 409</t>
        </is>
      </c>
      <c r="E4407" s="1" t="inlineStr">
        <is>
          <t>SİNAN TANRIKULU</t>
        </is>
      </c>
      <c r="F4407" s="3" t="n">
        <v>432047</v>
      </c>
      <c r="G4407" s="143" t="n"/>
      <c r="H4407" s="143" t="n">
        <v>393</v>
      </c>
      <c r="I4407" s="143">
        <f>+I4406+(G4407-H4407)</f>
        <v/>
      </c>
      <c r="J4407" s="144" t="n">
        <v>44.8</v>
      </c>
      <c r="K4407" s="145" t="n"/>
      <c r="L4407" s="140">
        <f>+H4407*J4407</f>
        <v/>
      </c>
      <c r="M4407" s="141">
        <f>SUM(M4406+K4407-L4407)</f>
        <v/>
      </c>
    </row>
    <row r="4408">
      <c r="A4408" s="20" t="n">
        <v>45890</v>
      </c>
      <c r="B4408" s="1" t="n">
        <v>15048</v>
      </c>
      <c r="C4408" s="2" t="inlineStr">
        <is>
          <t>SELİM İNŞAAT</t>
        </is>
      </c>
      <c r="D4408" s="1" t="inlineStr">
        <is>
          <t>34 GVZ 199</t>
        </is>
      </c>
      <c r="E4408" s="1" t="inlineStr">
        <is>
          <t>AHMET TOPÇU</t>
        </is>
      </c>
      <c r="F4408" s="3" t="n">
        <v>197804</v>
      </c>
      <c r="G4408" s="143" t="n"/>
      <c r="H4408" s="143" t="n">
        <v>470</v>
      </c>
      <c r="I4408" s="143">
        <f>+I4407+(G4408-H4408)</f>
        <v/>
      </c>
      <c r="J4408" s="144" t="n">
        <v>44.8</v>
      </c>
      <c r="K4408" s="145" t="n"/>
      <c r="L4408" s="140">
        <f>+H4408*J4408</f>
        <v/>
      </c>
      <c r="M4408" s="141">
        <f>SUM(M4407+K4408-L4408)</f>
        <v/>
      </c>
    </row>
    <row r="4409">
      <c r="A4409" s="20" t="n">
        <v>45890</v>
      </c>
      <c r="B4409" s="1" t="n">
        <v>1216</v>
      </c>
      <c r="C4409" s="2" t="inlineStr">
        <is>
          <t>SELİM İNŞAAT</t>
        </is>
      </c>
      <c r="D4409" s="1" t="inlineStr">
        <is>
          <t>34 DHC 393</t>
        </is>
      </c>
      <c r="E4409" s="1" t="inlineStr">
        <is>
          <t>İSMET BAYRAM</t>
        </is>
      </c>
      <c r="F4409" s="3" t="n">
        <v>437648</v>
      </c>
      <c r="G4409" s="143" t="n"/>
      <c r="H4409" s="143" t="n">
        <v>391</v>
      </c>
      <c r="I4409" s="143">
        <f>+I4408+(G4409-H4409)</f>
        <v/>
      </c>
      <c r="J4409" s="144" t="n">
        <v>44.8</v>
      </c>
      <c r="K4409" s="145" t="n"/>
      <c r="L4409" s="140">
        <f>+H4409*J4409</f>
        <v/>
      </c>
      <c r="M4409" s="141">
        <f>SUM(M4408+K4409-L4409)</f>
        <v/>
      </c>
    </row>
    <row r="4410">
      <c r="A4410" s="20" t="n">
        <v>45890</v>
      </c>
      <c r="B4410" s="1" t="n">
        <v>124</v>
      </c>
      <c r="C4410" s="2" t="inlineStr">
        <is>
          <t>SELİM İNŞAAT</t>
        </is>
      </c>
      <c r="D4410" s="1" t="inlineStr">
        <is>
          <t>34 FBR 771</t>
        </is>
      </c>
      <c r="E4410" s="1" t="inlineStr">
        <is>
          <t>HÜSEYİN AKÇİN</t>
        </is>
      </c>
      <c r="F4410" s="3" t="n">
        <v>334162</v>
      </c>
      <c r="G4410" s="143" t="n"/>
      <c r="H4410" s="143" t="n">
        <v>334</v>
      </c>
      <c r="I4410" s="143">
        <f>+I4409+(G4410-H4410)</f>
        <v/>
      </c>
      <c r="J4410" s="144" t="n">
        <v>44.8</v>
      </c>
      <c r="K4410" s="145" t="n"/>
      <c r="L4410" s="140">
        <f>+H4410*J4410</f>
        <v/>
      </c>
      <c r="M4410" s="141">
        <f>SUM(M4409+K4410-L4410)</f>
        <v/>
      </c>
    </row>
    <row r="4411">
      <c r="A4411" s="20" t="n">
        <v>45890</v>
      </c>
      <c r="B4411" s="1" t="n">
        <v>772</v>
      </c>
      <c r="C4411" s="2" t="inlineStr">
        <is>
          <t>SELİM İNŞAAT</t>
        </is>
      </c>
      <c r="D4411" s="1" t="inlineStr">
        <is>
          <t>34 EDB 559</t>
        </is>
      </c>
      <c r="E4411" s="1" t="inlineStr">
        <is>
          <t>ATA KIZMAZ</t>
        </is>
      </c>
      <c r="F4411" s="3" t="n">
        <v>339107</v>
      </c>
      <c r="G4411" s="143" t="n"/>
      <c r="H4411" s="143" t="n">
        <v>378</v>
      </c>
      <c r="I4411" s="143">
        <f>+I4410+(G4411-H4411)</f>
        <v/>
      </c>
      <c r="J4411" s="144" t="n">
        <v>44.8</v>
      </c>
      <c r="K4411" s="145" t="n"/>
      <c r="L4411" s="140">
        <f>+H4411*J4411</f>
        <v/>
      </c>
      <c r="M4411" s="141">
        <f>SUM(M4410+K4411-L4411)</f>
        <v/>
      </c>
    </row>
    <row r="4412">
      <c r="A4412" s="20" t="n">
        <v>45890</v>
      </c>
      <c r="B4412" s="1" t="n">
        <v>667</v>
      </c>
      <c r="C4412" s="2" t="inlineStr">
        <is>
          <t>SELİM İNŞAAT</t>
        </is>
      </c>
      <c r="D4412" s="1" t="inlineStr">
        <is>
          <t>34 DTV 352</t>
        </is>
      </c>
      <c r="E4412" s="1" t="inlineStr">
        <is>
          <t>AHMET DENİZ</t>
        </is>
      </c>
      <c r="F4412" s="3" t="n">
        <v>445541</v>
      </c>
      <c r="G4412" s="143" t="n"/>
      <c r="H4412" s="143" t="n">
        <v>390</v>
      </c>
      <c r="I4412" s="143">
        <f>+I4411+(G4412-H4412)</f>
        <v/>
      </c>
      <c r="J4412" s="144" t="n">
        <v>44.8</v>
      </c>
      <c r="K4412" s="145" t="n"/>
      <c r="L4412" s="140">
        <f>+H4412*J4412</f>
        <v/>
      </c>
      <c r="M4412" s="141">
        <f>SUM(M4411+K4412-L4412)</f>
        <v/>
      </c>
    </row>
    <row r="4413">
      <c r="A4413" s="20" t="n">
        <v>45890</v>
      </c>
      <c r="B4413" s="1" t="n">
        <v>326</v>
      </c>
      <c r="C4413" s="2" t="inlineStr">
        <is>
          <t>SELİM İNŞAAT</t>
        </is>
      </c>
      <c r="D4413" s="1" t="inlineStr">
        <is>
          <t>34 EDB 829</t>
        </is>
      </c>
      <c r="E4413" s="1" t="inlineStr">
        <is>
          <t xml:space="preserve">İRFAN DAĞLAR </t>
        </is>
      </c>
      <c r="F4413" s="3" t="n">
        <v>333265</v>
      </c>
      <c r="G4413" s="143" t="n"/>
      <c r="H4413" s="143" t="n">
        <v>274</v>
      </c>
      <c r="I4413" s="143">
        <f>+I4412+(G4413-H4413)</f>
        <v/>
      </c>
      <c r="J4413" s="144" t="n">
        <v>44.8</v>
      </c>
      <c r="K4413" s="145" t="n"/>
      <c r="L4413" s="140">
        <f>+H4413*J4413</f>
        <v/>
      </c>
      <c r="M4413" s="141">
        <f>SUM(M4412+K4413-L4413)</f>
        <v/>
      </c>
    </row>
    <row r="4414">
      <c r="A4414" s="20" t="n">
        <v>45890</v>
      </c>
      <c r="B4414" s="1" t="n">
        <v>15885</v>
      </c>
      <c r="C4414" s="2" t="inlineStr">
        <is>
          <t>SELİM İNŞAAT</t>
        </is>
      </c>
      <c r="D4414" s="1" t="inlineStr">
        <is>
          <t>34 EDB 754</t>
        </is>
      </c>
      <c r="E4414" s="1" t="inlineStr">
        <is>
          <t>EMİN PARLAKKILIÇ</t>
        </is>
      </c>
      <c r="F4414" s="3" t="n">
        <v>338970</v>
      </c>
      <c r="G4414" s="143" t="n"/>
      <c r="H4414" s="143" t="n">
        <v>391</v>
      </c>
      <c r="I4414" s="143">
        <f>+I4413+(G4414-H4414)</f>
        <v/>
      </c>
      <c r="J4414" s="144" t="n">
        <v>44.8</v>
      </c>
      <c r="K4414" s="145" t="n"/>
      <c r="L4414" s="140">
        <f>+H4414*J4414</f>
        <v/>
      </c>
      <c r="M4414" s="141">
        <f>SUM(M4413+K4414-L4414)</f>
        <v/>
      </c>
    </row>
    <row r="4415">
      <c r="A4415" s="20" t="n">
        <v>45890</v>
      </c>
      <c r="B4415" s="1" t="n">
        <v>1409</v>
      </c>
      <c r="C4415" s="2" t="inlineStr">
        <is>
          <t>SELİM İNŞAAT</t>
        </is>
      </c>
      <c r="D4415" s="1" t="inlineStr">
        <is>
          <t>34 DKL 798</t>
        </is>
      </c>
      <c r="E4415" s="1" t="inlineStr">
        <is>
          <t>GÖRKEM KARAYEL</t>
        </is>
      </c>
      <c r="F4415" s="3" t="n">
        <v>71431</v>
      </c>
      <c r="G4415" s="143" t="n"/>
      <c r="H4415" s="143" t="n">
        <v>253</v>
      </c>
      <c r="I4415" s="143">
        <f>+I4414+(G4415-H4415)</f>
        <v/>
      </c>
      <c r="J4415" s="144" t="n">
        <v>44.8</v>
      </c>
      <c r="K4415" s="145" t="n"/>
      <c r="L4415" s="140">
        <f>+H4415*J4415</f>
        <v/>
      </c>
      <c r="M4415" s="141">
        <f>SUM(M4414+K4415-L4415)</f>
        <v/>
      </c>
    </row>
    <row r="4416">
      <c r="A4416" s="20" t="n">
        <v>45890</v>
      </c>
      <c r="B4416" s="1" t="n">
        <v>172</v>
      </c>
      <c r="C4416" s="2" t="inlineStr">
        <is>
          <t>SELİM İNŞAAT</t>
        </is>
      </c>
      <c r="D4416" s="1" t="inlineStr">
        <is>
          <t>34 TG 7869</t>
        </is>
      </c>
      <c r="E4416" s="1" t="inlineStr">
        <is>
          <t>DURSUN ALİ GÜREK</t>
        </is>
      </c>
      <c r="F4416" s="3" t="n">
        <v>187684</v>
      </c>
      <c r="G4416" s="143" t="n"/>
      <c r="H4416" s="143" t="n">
        <v>293</v>
      </c>
      <c r="I4416" s="143">
        <f>+I4415+(G4416-H4416)</f>
        <v/>
      </c>
      <c r="J4416" s="144" t="n">
        <v>44.8</v>
      </c>
      <c r="K4416" s="145" t="n"/>
      <c r="L4416" s="140">
        <f>+H4416*J4416</f>
        <v/>
      </c>
      <c r="M4416" s="141">
        <f>SUM(M4415+K4416-L4416)</f>
        <v/>
      </c>
    </row>
    <row r="4417">
      <c r="A4417" s="20" t="n">
        <v>45890</v>
      </c>
      <c r="B4417" s="1" t="n">
        <v>474</v>
      </c>
      <c r="C4417" s="2" t="inlineStr">
        <is>
          <t>SELİM İNŞAAT</t>
        </is>
      </c>
      <c r="D4417" s="1" t="inlineStr">
        <is>
          <t>34 DKL 866</t>
        </is>
      </c>
      <c r="E4417" s="1" t="inlineStr">
        <is>
          <t>SELİM CAN ÖNVER</t>
        </is>
      </c>
      <c r="F4417" s="3" t="n">
        <v>72380</v>
      </c>
      <c r="G4417" s="143" t="n"/>
      <c r="H4417" s="143" t="n">
        <v>260</v>
      </c>
      <c r="I4417" s="143">
        <f>+I4416+(G4417-H4417)</f>
        <v/>
      </c>
      <c r="J4417" s="144" t="n">
        <v>44.8</v>
      </c>
      <c r="K4417" s="145" t="n"/>
      <c r="L4417" s="140">
        <f>+H4417*J4417</f>
        <v/>
      </c>
      <c r="M4417" s="141">
        <f>SUM(M4416+K4417-L4417)</f>
        <v/>
      </c>
    </row>
    <row r="4418">
      <c r="A4418" s="20" t="n">
        <v>45891</v>
      </c>
      <c r="B4418" s="21" t="n">
        <v>164</v>
      </c>
      <c r="C4418" s="22" t="inlineStr">
        <is>
          <t>MİRBE PETROL SANAYİ VE TİCARET ANONİM ŞİRKETİ</t>
        </is>
      </c>
      <c r="D4418" s="21" t="n"/>
      <c r="E4418" s="21" t="n"/>
      <c r="F4418" s="23" t="n"/>
      <c r="G4418" s="138" t="n">
        <v>24301</v>
      </c>
      <c r="H4418" s="138" t="n"/>
      <c r="I4418" s="138">
        <f>+I4417+(G4418-H4418)</f>
        <v/>
      </c>
      <c r="J4418" s="139">
        <f>+K4418/G4418</f>
        <v/>
      </c>
      <c r="K4418" s="140" t="n">
        <v>1123137.78</v>
      </c>
      <c r="L4418" s="140">
        <f>+H4418*J4418</f>
        <v/>
      </c>
      <c r="M4418" s="141">
        <f>SUM(M4417+K4418-L4418)</f>
        <v/>
      </c>
    </row>
    <row r="4419">
      <c r="A4419" s="20" t="n">
        <v>45891</v>
      </c>
      <c r="B4419" s="21" t="n">
        <v>2210</v>
      </c>
      <c r="C4419" s="22" t="inlineStr">
        <is>
          <t>AZGÜN YAPI</t>
        </is>
      </c>
      <c r="D4419" s="21" t="inlineStr">
        <is>
          <t>34 DTV 263</t>
        </is>
      </c>
      <c r="E4419" s="21" t="inlineStr">
        <is>
          <t>MUHAMMED BULUT</t>
        </is>
      </c>
      <c r="F4419" s="23" t="n"/>
      <c r="G4419" s="138" t="n"/>
      <c r="H4419" s="138" t="n">
        <v>293</v>
      </c>
      <c r="I4419" s="138">
        <f>+I4418+(G4419-H4419)</f>
        <v/>
      </c>
      <c r="J4419" s="139" t="n">
        <v>46.218</v>
      </c>
      <c r="K4419" s="140" t="n"/>
      <c r="L4419" s="140">
        <f>+H4419*J4419</f>
        <v/>
      </c>
      <c r="M4419" s="141">
        <f>SUM(M4418+K4419-L4419)</f>
        <v/>
      </c>
    </row>
    <row r="4420">
      <c r="A4420" s="20" t="n">
        <v>45891</v>
      </c>
      <c r="B4420" s="21" t="n">
        <v>1911</v>
      </c>
      <c r="C4420" s="22" t="inlineStr">
        <is>
          <t>AHMET SELİM TEMHA</t>
        </is>
      </c>
      <c r="D4420" s="21" t="inlineStr">
        <is>
          <t>34 DGE 422</t>
        </is>
      </c>
      <c r="E4420" s="21" t="inlineStr">
        <is>
          <t>ERSOY SIĞINMAZ</t>
        </is>
      </c>
      <c r="F4420" s="23" t="n"/>
      <c r="G4420" s="138" t="n"/>
      <c r="H4420" s="138" t="n">
        <v>78</v>
      </c>
      <c r="I4420" s="138">
        <f>+I4419+(G4420-H4420)</f>
        <v/>
      </c>
      <c r="J4420" s="139" t="n">
        <v>46.218</v>
      </c>
      <c r="K4420" s="140" t="n"/>
      <c r="L4420" s="140">
        <f>+H4420*J4420</f>
        <v/>
      </c>
      <c r="M4420" s="141">
        <f>SUM(M4419+K4420-L4420)</f>
        <v/>
      </c>
    </row>
    <row r="4421">
      <c r="A4421" s="20" t="n">
        <v>45891</v>
      </c>
      <c r="B4421" s="1" t="n">
        <v>2088</v>
      </c>
      <c r="C4421" s="2" t="inlineStr">
        <is>
          <t>MEGA VARLIK</t>
        </is>
      </c>
      <c r="D4421" s="1" t="inlineStr">
        <is>
          <t>SM 300</t>
        </is>
      </c>
      <c r="E4421" s="1" t="inlineStr">
        <is>
          <t>MEHMET ALİ SANCAK</t>
        </is>
      </c>
      <c r="F4421" s="3" t="n"/>
      <c r="G4421" s="143" t="n"/>
      <c r="H4421" s="143" t="n">
        <v>446</v>
      </c>
      <c r="I4421" s="143">
        <f>+I4420+(G4421-H4421)</f>
        <v/>
      </c>
      <c r="J4421" s="144" t="n">
        <v>46.218</v>
      </c>
      <c r="K4421" s="145" t="n"/>
      <c r="L4421" s="140">
        <f>+H4421*J4421</f>
        <v/>
      </c>
      <c r="M4421" s="141">
        <f>SUM(M4420+K4421-L4421)</f>
        <v/>
      </c>
    </row>
    <row r="4422">
      <c r="A4422" s="20" t="n">
        <v>45891</v>
      </c>
      <c r="B4422" s="1" t="n">
        <v>2089</v>
      </c>
      <c r="C4422" s="2" t="inlineStr">
        <is>
          <t>MEGA VARLIK</t>
        </is>
      </c>
      <c r="D4422" s="1" t="inlineStr">
        <is>
          <t>SM 350</t>
        </is>
      </c>
      <c r="E4422" s="1" t="inlineStr">
        <is>
          <t>TEVFİK ÖZTÜRK</t>
        </is>
      </c>
      <c r="F4422" s="3" t="n"/>
      <c r="G4422" s="143" t="n"/>
      <c r="H4422" s="143" t="n">
        <v>433</v>
      </c>
      <c r="I4422" s="143">
        <f>+I4421+(G4422-H4422)</f>
        <v/>
      </c>
      <c r="J4422" s="144" t="n">
        <v>46.218</v>
      </c>
      <c r="K4422" s="145" t="n"/>
      <c r="L4422" s="140">
        <f>+H4422*J4422</f>
        <v/>
      </c>
      <c r="M4422" s="141">
        <f>SUM(M4421+K4422-L4422)</f>
        <v/>
      </c>
    </row>
    <row r="4423">
      <c r="A4423" s="20" t="n">
        <v>45891</v>
      </c>
      <c r="B4423" s="1" t="n">
        <v>2090</v>
      </c>
      <c r="C4423" s="2" t="inlineStr">
        <is>
          <t>MEGA VARLIK</t>
        </is>
      </c>
      <c r="D4423" s="1" t="inlineStr">
        <is>
          <t>SM 350</t>
        </is>
      </c>
      <c r="E4423" s="1" t="inlineStr">
        <is>
          <t>AHMET AKGÜL</t>
        </is>
      </c>
      <c r="F4423" s="3" t="n"/>
      <c r="G4423" s="143" t="n"/>
      <c r="H4423" s="143" t="n">
        <v>303</v>
      </c>
      <c r="I4423" s="143">
        <f>+I4422+(G4423-H4423)</f>
        <v/>
      </c>
      <c r="J4423" s="144" t="n">
        <v>46.218</v>
      </c>
      <c r="K4423" s="145" t="n"/>
      <c r="L4423" s="140">
        <f>+H4423*J4423</f>
        <v/>
      </c>
      <c r="M4423" s="141">
        <f>SUM(M4422+K4423-L4423)</f>
        <v/>
      </c>
    </row>
    <row r="4424">
      <c r="A4424" s="20" t="n">
        <v>45891</v>
      </c>
      <c r="B4424" s="1" t="n">
        <v>31</v>
      </c>
      <c r="C4424" s="2" t="inlineStr">
        <is>
          <t>SELİM İNŞAAT</t>
        </is>
      </c>
      <c r="D4424" s="1" t="inlineStr">
        <is>
          <t>34 FBR 748</t>
        </is>
      </c>
      <c r="E4424" s="1" t="inlineStr">
        <is>
          <t>YAŞAR ÖZKAYA</t>
        </is>
      </c>
      <c r="F4424" s="3" t="n">
        <v>299148</v>
      </c>
      <c r="G4424" s="143" t="n"/>
      <c r="H4424" s="143" t="n">
        <v>423</v>
      </c>
      <c r="I4424" s="143">
        <f>+I4423+(G4424-H4424)</f>
        <v/>
      </c>
      <c r="J4424" s="144" t="n">
        <v>46.218</v>
      </c>
      <c r="K4424" s="145" t="n"/>
      <c r="L4424" s="140">
        <f>+H4424*J4424</f>
        <v/>
      </c>
      <c r="M4424" s="141">
        <f>SUM(M4423+K4424-L4424)</f>
        <v/>
      </c>
    </row>
    <row r="4425">
      <c r="A4425" s="20" t="n">
        <v>45891</v>
      </c>
      <c r="B4425" s="1" t="n">
        <v>15079</v>
      </c>
      <c r="C4425" s="2" t="inlineStr">
        <is>
          <t>SELİM İNŞAAT</t>
        </is>
      </c>
      <c r="D4425" s="1" t="inlineStr">
        <is>
          <t>34 EGR 736</t>
        </is>
      </c>
      <c r="E4425" s="1" t="inlineStr">
        <is>
          <t>HAKAN ÇAVUŞOĞLU</t>
        </is>
      </c>
      <c r="F4425" s="3" t="n">
        <v>407548</v>
      </c>
      <c r="G4425" s="143" t="n"/>
      <c r="H4425" s="143" t="n">
        <v>433</v>
      </c>
      <c r="I4425" s="143">
        <f>+I4424+(G4425-H4425)</f>
        <v/>
      </c>
      <c r="J4425" s="144" t="n">
        <v>46.218</v>
      </c>
      <c r="K4425" s="145" t="n"/>
      <c r="L4425" s="140">
        <f>+H4425*J4425</f>
        <v/>
      </c>
      <c r="M4425" s="141">
        <f>SUM(M4424+K4425-L4425)</f>
        <v/>
      </c>
    </row>
    <row r="4426">
      <c r="A4426" s="20" t="n">
        <v>45891</v>
      </c>
      <c r="B4426" s="1" t="n">
        <v>419</v>
      </c>
      <c r="C4426" s="2" t="inlineStr">
        <is>
          <t>SELİM İNŞAAT</t>
        </is>
      </c>
      <c r="D4426" s="1" t="inlineStr">
        <is>
          <t>34 DRU 690</t>
        </is>
      </c>
      <c r="E4426" s="1" t="inlineStr">
        <is>
          <t>MURAT DEMİRBAŞ</t>
        </is>
      </c>
      <c r="F4426" s="3" t="n">
        <v>431116</v>
      </c>
      <c r="G4426" s="143" t="n"/>
      <c r="H4426" s="143" t="n">
        <v>398</v>
      </c>
      <c r="I4426" s="143">
        <f>+I4425+(G4426-H4426)</f>
        <v/>
      </c>
      <c r="J4426" s="144" t="n">
        <v>46.218</v>
      </c>
      <c r="K4426" s="145" t="n"/>
      <c r="L4426" s="140">
        <f>+H4426*J4426</f>
        <v/>
      </c>
      <c r="M4426" s="141">
        <f>SUM(M4425+K4426-L4426)</f>
        <v/>
      </c>
    </row>
    <row r="4427">
      <c r="A4427" s="20" t="n">
        <v>45891</v>
      </c>
      <c r="B4427" s="1" t="n">
        <v>1568</v>
      </c>
      <c r="C4427" s="2" t="inlineStr">
        <is>
          <t>SELİM İNŞAAT</t>
        </is>
      </c>
      <c r="D4427" s="1" t="inlineStr">
        <is>
          <t>34 GUS 938</t>
        </is>
      </c>
      <c r="E4427" s="1" t="inlineStr">
        <is>
          <t>MEHMET KAYA</t>
        </is>
      </c>
      <c r="F4427" s="3" t="n">
        <v>206256</v>
      </c>
      <c r="G4427" s="143" t="n"/>
      <c r="H4427" s="143" t="n">
        <v>295</v>
      </c>
      <c r="I4427" s="143">
        <f>+I4426+(G4427-H4427)</f>
        <v/>
      </c>
      <c r="J4427" s="144" t="n">
        <v>46.218</v>
      </c>
      <c r="K4427" s="145" t="n"/>
      <c r="L4427" s="140">
        <f>+H4427*J4427</f>
        <v/>
      </c>
      <c r="M4427" s="141">
        <f>SUM(M4426+K4427-L4427)</f>
        <v/>
      </c>
    </row>
    <row r="4428">
      <c r="A4428" s="20" t="n">
        <v>45891</v>
      </c>
      <c r="B4428" s="1" t="n">
        <v>15543</v>
      </c>
      <c r="C4428" s="2" t="inlineStr">
        <is>
          <t>SELİM İNŞAAT</t>
        </is>
      </c>
      <c r="D4428" s="1" t="inlineStr">
        <is>
          <t>34 EDC 086</t>
        </is>
      </c>
      <c r="E4428" s="1" t="inlineStr">
        <is>
          <t>ÖMER AĞAYAR</t>
        </is>
      </c>
      <c r="F4428" s="3" t="n">
        <v>343711</v>
      </c>
      <c r="G4428" s="143" t="n"/>
      <c r="H4428" s="143" t="n">
        <v>457</v>
      </c>
      <c r="I4428" s="143">
        <f>+I4427+(G4428-H4428)</f>
        <v/>
      </c>
      <c r="J4428" s="144" t="n">
        <v>46.218</v>
      </c>
      <c r="K4428" s="145" t="n"/>
      <c r="L4428" s="140">
        <f>+H4428*J4428</f>
        <v/>
      </c>
      <c r="M4428" s="141">
        <f>SUM(M4427+K4428-L4428)</f>
        <v/>
      </c>
    </row>
    <row r="4429">
      <c r="A4429" s="20" t="n">
        <v>45891</v>
      </c>
      <c r="B4429" s="1" t="n">
        <v>577</v>
      </c>
      <c r="C4429" s="2" t="inlineStr">
        <is>
          <t>SELİM İNŞAAT</t>
        </is>
      </c>
      <c r="D4429" s="1" t="inlineStr">
        <is>
          <t>34 EDB 922</t>
        </is>
      </c>
      <c r="E4429" s="1" t="inlineStr">
        <is>
          <t>AHMET TOPÇU</t>
        </is>
      </c>
      <c r="F4429" s="3" t="n">
        <v>379443</v>
      </c>
      <c r="G4429" s="143" t="n"/>
      <c r="H4429" s="143" t="n">
        <v>292</v>
      </c>
      <c r="I4429" s="143">
        <f>+I4428+(G4429-H4429)</f>
        <v/>
      </c>
      <c r="J4429" s="144" t="n">
        <v>46.218</v>
      </c>
      <c r="K4429" s="145" t="n"/>
      <c r="L4429" s="140">
        <f>+H4429*J4429</f>
        <v/>
      </c>
      <c r="M4429" s="141">
        <f>SUM(M4428+K4429-L4429)</f>
        <v/>
      </c>
    </row>
    <row r="4430">
      <c r="A4430" s="20" t="n">
        <v>45891</v>
      </c>
      <c r="B4430" s="1" t="n">
        <v>1157</v>
      </c>
      <c r="C4430" s="2" t="inlineStr">
        <is>
          <t>SELİM İNŞAAT</t>
        </is>
      </c>
      <c r="D4430" s="1" t="inlineStr">
        <is>
          <t>34 DSN 536</t>
        </is>
      </c>
      <c r="E4430" s="1" t="inlineStr">
        <is>
          <t>NAZIM KARATAŞ</t>
        </is>
      </c>
      <c r="F4430" s="3" t="n">
        <v>418800</v>
      </c>
      <c r="G4430" s="143" t="n"/>
      <c r="H4430" s="143" t="n">
        <v>318</v>
      </c>
      <c r="I4430" s="143">
        <f>+I4429+(G4430-H4430)</f>
        <v/>
      </c>
      <c r="J4430" s="144" t="n">
        <v>46.218</v>
      </c>
      <c r="K4430" s="145" t="n"/>
      <c r="L4430" s="140">
        <f>+H4430*J4430</f>
        <v/>
      </c>
      <c r="M4430" s="141">
        <f>SUM(M4429+K4430-L4430)</f>
        <v/>
      </c>
    </row>
    <row r="4431">
      <c r="A4431" s="20" t="n">
        <v>45891</v>
      </c>
      <c r="B4431" s="1" t="n">
        <v>15596</v>
      </c>
      <c r="C4431" s="2" t="inlineStr">
        <is>
          <t>SELİM İNŞAAT</t>
        </is>
      </c>
      <c r="D4431" s="1" t="inlineStr">
        <is>
          <t>34 GVZ 745</t>
        </is>
      </c>
      <c r="E4431" s="1" t="inlineStr">
        <is>
          <t>MURAT DEMİRBAŞ</t>
        </is>
      </c>
      <c r="F4431" s="3" t="n">
        <v>203532</v>
      </c>
      <c r="G4431" s="143" t="n"/>
      <c r="H4431" s="143" t="n">
        <v>198</v>
      </c>
      <c r="I4431" s="143">
        <f>+I4430+(G4431-H4431)</f>
        <v/>
      </c>
      <c r="J4431" s="144" t="n">
        <v>46.218</v>
      </c>
      <c r="K4431" s="145" t="n"/>
      <c r="L4431" s="140">
        <f>+H4431*J4431</f>
        <v/>
      </c>
      <c r="M4431" s="141">
        <f>SUM(M4430+K4431-L4431)</f>
        <v/>
      </c>
    </row>
    <row r="4432">
      <c r="A4432" s="20" t="n">
        <v>45891</v>
      </c>
      <c r="B4432" s="1" t="n">
        <v>15231</v>
      </c>
      <c r="C4432" s="2" t="inlineStr">
        <is>
          <t>SELİM İNŞAAT</t>
        </is>
      </c>
      <c r="D4432" s="1" t="inlineStr">
        <is>
          <t>34 DSN 565</t>
        </is>
      </c>
      <c r="E4432" s="1" t="inlineStr">
        <is>
          <t>HÜSEYİN DENİZ</t>
        </is>
      </c>
      <c r="F4432" s="3" t="n">
        <v>416029</v>
      </c>
      <c r="G4432" s="143" t="n"/>
      <c r="H4432" s="143" t="n">
        <v>347</v>
      </c>
      <c r="I4432" s="143">
        <f>+I4431+(G4432-H4432)</f>
        <v/>
      </c>
      <c r="J4432" s="144" t="n">
        <v>46.218</v>
      </c>
      <c r="K4432" s="145" t="n"/>
      <c r="L4432" s="140">
        <f>+H4432*J4432</f>
        <v/>
      </c>
      <c r="M4432" s="141">
        <f>SUM(M4431+K4432-L4432)</f>
        <v/>
      </c>
    </row>
    <row r="4433">
      <c r="A4433" s="20" t="n">
        <v>45891</v>
      </c>
      <c r="B4433" s="1" t="n">
        <v>15274</v>
      </c>
      <c r="C4433" s="2" t="inlineStr">
        <is>
          <t>SELİM İNŞAAT</t>
        </is>
      </c>
      <c r="D4433" s="1" t="inlineStr">
        <is>
          <t>34 DTV 447</t>
        </is>
      </c>
      <c r="E4433" s="1" t="inlineStr">
        <is>
          <t>EBUBEKİR KOLDAŞ</t>
        </is>
      </c>
      <c r="F4433" s="3" t="n">
        <v>441815</v>
      </c>
      <c r="G4433" s="143" t="n"/>
      <c r="H4433" s="143" t="n">
        <v>371</v>
      </c>
      <c r="I4433" s="143">
        <f>+I4432+(G4433-H4433)</f>
        <v/>
      </c>
      <c r="J4433" s="144" t="n">
        <v>46.218</v>
      </c>
      <c r="K4433" s="145" t="n"/>
      <c r="L4433" s="140">
        <f>+H4433*J4433</f>
        <v/>
      </c>
      <c r="M4433" s="141">
        <f>SUM(M4432+K4433-L4433)</f>
        <v/>
      </c>
    </row>
    <row r="4434">
      <c r="A4434" s="20" t="n">
        <v>45891</v>
      </c>
      <c r="B4434" s="1" t="n">
        <v>1116</v>
      </c>
      <c r="C4434" s="2" t="inlineStr">
        <is>
          <t>SELİM İNŞAAT</t>
        </is>
      </c>
      <c r="D4434" s="1" t="inlineStr">
        <is>
          <t>34 EDB 659</t>
        </is>
      </c>
      <c r="E4434" s="1" t="inlineStr">
        <is>
          <t>MEHMET SAİT ANIK</t>
        </is>
      </c>
      <c r="F4434" s="3" t="n">
        <v>358013</v>
      </c>
      <c r="G4434" s="143" t="n"/>
      <c r="H4434" s="143" t="n">
        <v>390</v>
      </c>
      <c r="I4434" s="143">
        <f>+I4433+(G4434-H4434)</f>
        <v/>
      </c>
      <c r="J4434" s="144" t="n">
        <v>46.218</v>
      </c>
      <c r="K4434" s="145" t="n"/>
      <c r="L4434" s="140">
        <f>+H4434*J4434</f>
        <v/>
      </c>
      <c r="M4434" s="141">
        <f>SUM(M4433+K4434-L4434)</f>
        <v/>
      </c>
    </row>
    <row r="4435">
      <c r="A4435" s="20" t="n">
        <v>45891</v>
      </c>
      <c r="B4435" s="1" t="n">
        <v>1070</v>
      </c>
      <c r="C4435" s="2" t="inlineStr">
        <is>
          <t>SELİM İNŞAAT</t>
        </is>
      </c>
      <c r="D4435" s="1" t="inlineStr">
        <is>
          <t>34 GVZ 310</t>
        </is>
      </c>
      <c r="E4435" s="1" t="inlineStr">
        <is>
          <t>CELAL YÜZBASI</t>
        </is>
      </c>
      <c r="F4435" s="3" t="n">
        <v>216283</v>
      </c>
      <c r="G4435" s="143" t="n"/>
      <c r="H4435" s="143" t="n">
        <v>299</v>
      </c>
      <c r="I4435" s="143">
        <f>+I4434+(G4435-H4435)</f>
        <v/>
      </c>
      <c r="J4435" s="144" t="n">
        <v>46.218</v>
      </c>
      <c r="K4435" s="145" t="n"/>
      <c r="L4435" s="140">
        <f>+H4435*J4435</f>
        <v/>
      </c>
      <c r="M4435" s="141">
        <f>SUM(M4434+K4435-L4435)</f>
        <v/>
      </c>
    </row>
    <row r="4436">
      <c r="A4436" s="20" t="n">
        <v>45891</v>
      </c>
      <c r="B4436" s="1" t="n">
        <v>1512</v>
      </c>
      <c r="C4436" s="2" t="inlineStr">
        <is>
          <t>SELİM İNŞAAT</t>
        </is>
      </c>
      <c r="D4436" s="1" t="inlineStr">
        <is>
          <t>34 GUS 848</t>
        </is>
      </c>
      <c r="E4436" s="1" t="inlineStr">
        <is>
          <t>SERDAR BOZKURT</t>
        </is>
      </c>
      <c r="F4436" s="3" t="n">
        <v>204718</v>
      </c>
      <c r="G4436" s="143" t="n"/>
      <c r="H4436" s="143" t="n">
        <v>405</v>
      </c>
      <c r="I4436" s="143">
        <f>+I4435+(G4436-H4436)</f>
        <v/>
      </c>
      <c r="J4436" s="144" t="n">
        <v>46.218</v>
      </c>
      <c r="K4436" s="145" t="n"/>
      <c r="L4436" s="140">
        <f>+H4436*J4436</f>
        <v/>
      </c>
      <c r="M4436" s="141">
        <f>SUM(M4435+K4436-L4436)</f>
        <v/>
      </c>
    </row>
    <row r="4437">
      <c r="A4437" s="20" t="n">
        <v>45891</v>
      </c>
      <c r="B4437" s="1" t="n">
        <v>264</v>
      </c>
      <c r="C4437" s="2" t="inlineStr">
        <is>
          <t>SELİM İNŞAAT</t>
        </is>
      </c>
      <c r="D4437" s="1" t="inlineStr">
        <is>
          <t>34 GER 445</t>
        </is>
      </c>
      <c r="E4437" s="1" t="inlineStr">
        <is>
          <t>ÖNER DÜNDAR</t>
        </is>
      </c>
      <c r="F4437" s="3" t="n">
        <v>48970</v>
      </c>
      <c r="G4437" s="143" t="n"/>
      <c r="H4437" s="143" t="n">
        <v>223</v>
      </c>
      <c r="I4437" s="143">
        <f>+I4436+(G4437-H4437)</f>
        <v/>
      </c>
      <c r="J4437" s="144" t="n">
        <v>46.218</v>
      </c>
      <c r="K4437" s="145" t="n"/>
      <c r="L4437" s="140">
        <f>+H4437*J4437</f>
        <v/>
      </c>
      <c r="M4437" s="141">
        <f>SUM(M4436+K4437-L4437)</f>
        <v/>
      </c>
    </row>
    <row r="4438">
      <c r="A4438" s="20" t="n">
        <v>45891</v>
      </c>
      <c r="B4438" s="1" t="n">
        <v>2556</v>
      </c>
      <c r="C4438" s="2" t="inlineStr">
        <is>
          <t>SELİM İNŞAAT</t>
        </is>
      </c>
      <c r="D4438" s="1" t="inlineStr">
        <is>
          <t>34 GER 028</t>
        </is>
      </c>
      <c r="E4438" s="1" t="inlineStr">
        <is>
          <t>A.KERİM ERGEN</t>
        </is>
      </c>
      <c r="F4438" s="3" t="n">
        <v>50760</v>
      </c>
      <c r="G4438" s="143" t="n"/>
      <c r="H4438" s="143" t="n">
        <v>279</v>
      </c>
      <c r="I4438" s="143">
        <f>+I4437+(G4438-H4438)</f>
        <v/>
      </c>
      <c r="J4438" s="144" t="n">
        <v>46.218</v>
      </c>
      <c r="K4438" s="145" t="n"/>
      <c r="L4438" s="140">
        <f>+H4438*J4438</f>
        <v/>
      </c>
      <c r="M4438" s="141">
        <f>SUM(M4437+K4438-L4438)</f>
        <v/>
      </c>
    </row>
    <row r="4439">
      <c r="A4439" s="20" t="n">
        <v>45891</v>
      </c>
      <c r="B4439" s="1" t="n">
        <v>15190</v>
      </c>
      <c r="C4439" s="2" t="inlineStr">
        <is>
          <t>SELİM İNŞAAT</t>
        </is>
      </c>
      <c r="D4439" s="1" t="inlineStr">
        <is>
          <t>34 DP 4161</t>
        </is>
      </c>
      <c r="E4439" s="1" t="inlineStr">
        <is>
          <t>RIFAT KARATAY</t>
        </is>
      </c>
      <c r="F4439" s="3" t="n">
        <v>296138</v>
      </c>
      <c r="G4439" s="143" t="n"/>
      <c r="H4439" s="143" t="n">
        <v>244</v>
      </c>
      <c r="I4439" s="143">
        <f>+I4438+(G4439-H4439)</f>
        <v/>
      </c>
      <c r="J4439" s="144" t="n">
        <v>46.218</v>
      </c>
      <c r="K4439" s="145" t="n"/>
      <c r="L4439" s="140">
        <f>+H4439*J4439</f>
        <v/>
      </c>
      <c r="M4439" s="141">
        <f>SUM(M4438+K4439-L4439)</f>
        <v/>
      </c>
    </row>
    <row r="4440">
      <c r="A4440" s="20" t="n">
        <v>45891</v>
      </c>
      <c r="B4440" s="1" t="n">
        <v>15945</v>
      </c>
      <c r="C4440" s="2" t="inlineStr">
        <is>
          <t>SELİM İNŞAAT</t>
        </is>
      </c>
      <c r="D4440" s="1" t="inlineStr">
        <is>
          <t>34 DFE 454</t>
        </is>
      </c>
      <c r="E4440" s="1" t="inlineStr">
        <is>
          <t>GÖRKEM KARAYEL</t>
        </is>
      </c>
      <c r="F4440" s="3" t="n">
        <v>165499</v>
      </c>
      <c r="G4440" s="143" t="n"/>
      <c r="H4440" s="143" t="n">
        <v>193</v>
      </c>
      <c r="I4440" s="143">
        <f>+I4439+(G4440-H4440)</f>
        <v/>
      </c>
      <c r="J4440" s="144" t="n">
        <v>46.218</v>
      </c>
      <c r="K4440" s="145" t="n"/>
      <c r="L4440" s="140">
        <f>+H4440*J4440</f>
        <v/>
      </c>
      <c r="M4440" s="141">
        <f>SUM(M4439+K4440-L4440)</f>
        <v/>
      </c>
    </row>
    <row r="4441">
      <c r="A4441" s="20" t="n">
        <v>45891</v>
      </c>
      <c r="B4441" s="1" t="n">
        <v>2606</v>
      </c>
      <c r="C4441" s="2" t="inlineStr">
        <is>
          <t>SELİM İNŞAAT</t>
        </is>
      </c>
      <c r="D4441" s="1" t="inlineStr">
        <is>
          <t>34 GU 945</t>
        </is>
      </c>
      <c r="E4441" s="1" t="inlineStr">
        <is>
          <t>ŞERİF KARTAL</t>
        </is>
      </c>
      <c r="F4441" s="3" t="n">
        <v>456103</v>
      </c>
      <c r="G4441" s="143" t="n"/>
      <c r="H4441" s="143" t="n">
        <v>59</v>
      </c>
      <c r="I4441" s="143">
        <f>+I4440+(G4441-H4441)</f>
        <v/>
      </c>
      <c r="J4441" s="144" t="n">
        <v>46.218</v>
      </c>
      <c r="K4441" s="145" t="n"/>
      <c r="L4441" s="140">
        <f>+H4441*J4441</f>
        <v/>
      </c>
      <c r="M4441" s="141">
        <f>SUM(M4440+K4441-L4441)</f>
        <v/>
      </c>
    </row>
    <row r="4442">
      <c r="A4442" s="20" t="n">
        <v>45892</v>
      </c>
      <c r="B4442" s="21" t="n">
        <v>15696</v>
      </c>
      <c r="C4442" s="22" t="inlineStr">
        <is>
          <t>METİN ERYİĞİT</t>
        </is>
      </c>
      <c r="D4442" s="21" t="inlineStr">
        <is>
          <t>34 EGR 814</t>
        </is>
      </c>
      <c r="E4442" s="21" t="inlineStr">
        <is>
          <t>MUHAMMED YİĞİT</t>
        </is>
      </c>
      <c r="F4442" s="23" t="n">
        <v>562890</v>
      </c>
      <c r="G4442" s="138" t="n"/>
      <c r="H4442" s="138" t="n">
        <v>413</v>
      </c>
      <c r="I4442" s="138">
        <f>+I4441+(G4442-H4442)</f>
        <v/>
      </c>
      <c r="J4442" s="139" t="n">
        <v>46.218</v>
      </c>
      <c r="K4442" s="140" t="n"/>
      <c r="L4442" s="140">
        <f>+H4442*J4442</f>
        <v/>
      </c>
      <c r="M4442" s="141">
        <f>SUM(M4441+K4442-L4442)</f>
        <v/>
      </c>
    </row>
    <row r="4443">
      <c r="A4443" s="20" t="n">
        <v>45892</v>
      </c>
      <c r="B4443" s="21" t="n">
        <v>15640</v>
      </c>
      <c r="C4443" s="22" t="inlineStr">
        <is>
          <t>METİN ERYİĞİT</t>
        </is>
      </c>
      <c r="D4443" s="21" t="inlineStr">
        <is>
          <t>34 EGS 013</t>
        </is>
      </c>
      <c r="E4443" s="21" t="inlineStr">
        <is>
          <t>UĞUR DUMAN</t>
        </is>
      </c>
      <c r="F4443" s="23" t="n">
        <v>508488</v>
      </c>
      <c r="G4443" s="138" t="n"/>
      <c r="H4443" s="138" t="n">
        <v>377</v>
      </c>
      <c r="I4443" s="138">
        <f>+I4442+(G4443-H4443)</f>
        <v/>
      </c>
      <c r="J4443" s="139" t="n">
        <v>46.218</v>
      </c>
      <c r="K4443" s="140" t="n"/>
      <c r="L4443" s="140">
        <f>+H4443*J4443</f>
        <v/>
      </c>
      <c r="M4443" s="141">
        <f>SUM(M4442+K4443-L4443)</f>
        <v/>
      </c>
    </row>
    <row r="4444">
      <c r="A4444" s="20" t="n">
        <v>45892</v>
      </c>
      <c r="B4444" s="21" t="n">
        <v>724</v>
      </c>
      <c r="C4444" s="22" t="inlineStr">
        <is>
          <t>METİN ERYİĞİT</t>
        </is>
      </c>
      <c r="D4444" s="21" t="inlineStr">
        <is>
          <t>34 GBL 998</t>
        </is>
      </c>
      <c r="E4444" s="21" t="inlineStr">
        <is>
          <t>M.ALİ KESKİN</t>
        </is>
      </c>
      <c r="F4444" s="23" t="n">
        <v>289247</v>
      </c>
      <c r="G4444" s="138" t="n"/>
      <c r="H4444" s="138" t="n">
        <v>371</v>
      </c>
      <c r="I4444" s="138">
        <f>+I4443+(G4444-H4444)</f>
        <v/>
      </c>
      <c r="J4444" s="139" t="n">
        <v>46.218</v>
      </c>
      <c r="K4444" s="140" t="n"/>
      <c r="L4444" s="140">
        <f>+H4444*J4444</f>
        <v/>
      </c>
      <c r="M4444" s="141">
        <f>SUM(M4443+K4444-L4444)</f>
        <v/>
      </c>
    </row>
    <row r="4445">
      <c r="A4445" s="20" t="n">
        <v>45892</v>
      </c>
      <c r="B4445" s="21" t="n">
        <v>2211</v>
      </c>
      <c r="C4445" s="22" t="inlineStr">
        <is>
          <t>AZGÜN YAPI</t>
        </is>
      </c>
      <c r="D4445" s="21" t="inlineStr">
        <is>
          <t>34 DTV 263</t>
        </is>
      </c>
      <c r="E4445" s="21" t="inlineStr">
        <is>
          <t>MUHAMMED BULUT</t>
        </is>
      </c>
      <c r="F4445" s="23" t="n"/>
      <c r="G4445" s="138" t="n"/>
      <c r="H4445" s="138" t="n">
        <v>194</v>
      </c>
      <c r="I4445" s="138">
        <f>+I4444+(G4445-H4445)</f>
        <v/>
      </c>
      <c r="J4445" s="139" t="n">
        <v>46.218</v>
      </c>
      <c r="K4445" s="140" t="n"/>
      <c r="L4445" s="140">
        <f>+H4445*J4445</f>
        <v/>
      </c>
      <c r="M4445" s="141">
        <f>SUM(M4444+K4445-L4445)</f>
        <v/>
      </c>
    </row>
    <row r="4446">
      <c r="A4446" s="20" t="n">
        <v>45892</v>
      </c>
      <c r="B4446" s="21" t="n">
        <v>1912</v>
      </c>
      <c r="C4446" s="22" t="inlineStr">
        <is>
          <t>AHMET SELİM TEMHA</t>
        </is>
      </c>
      <c r="D4446" s="21" t="inlineStr">
        <is>
          <t>34 DGE 422</t>
        </is>
      </c>
      <c r="E4446" s="21" t="inlineStr">
        <is>
          <t>ERSOY SIĞINMAZ</t>
        </is>
      </c>
      <c r="F4446" s="23" t="n"/>
      <c r="G4446" s="138" t="n"/>
      <c r="H4446" s="138" t="n">
        <v>30</v>
      </c>
      <c r="I4446" s="138">
        <f>+I4445+(G4446-H4446)</f>
        <v/>
      </c>
      <c r="J4446" s="139" t="n">
        <v>46.218</v>
      </c>
      <c r="K4446" s="140" t="n"/>
      <c r="L4446" s="140">
        <f>+H4446*J4446</f>
        <v/>
      </c>
      <c r="M4446" s="141">
        <f>SUM(M4445+K4446-L4446)</f>
        <v/>
      </c>
    </row>
    <row r="4447">
      <c r="A4447" s="20" t="n">
        <v>45892</v>
      </c>
      <c r="B4447" s="21" t="n">
        <v>2091</v>
      </c>
      <c r="C4447" s="22" t="n"/>
      <c r="D4447" s="1" t="inlineStr">
        <is>
          <t>34 AZ 2191 VİNÇ</t>
        </is>
      </c>
      <c r="E4447" s="21" t="inlineStr">
        <is>
          <t>NUMAN KABİL</t>
        </is>
      </c>
      <c r="F4447" s="23" t="n"/>
      <c r="G4447" s="138" t="n"/>
      <c r="H4447" s="138" t="n">
        <v>265</v>
      </c>
      <c r="I4447" s="138">
        <f>+I4446+(G4447-H4447)</f>
        <v/>
      </c>
      <c r="J4447" s="139" t="n">
        <v>46.218</v>
      </c>
      <c r="K4447" s="140" t="n"/>
      <c r="L4447" s="140">
        <f>+H4447*J4447</f>
        <v/>
      </c>
      <c r="M4447" s="141">
        <f>SUM(M4446+K4447-L4447)</f>
        <v/>
      </c>
    </row>
    <row r="4448">
      <c r="A4448" s="20" t="n">
        <v>45892</v>
      </c>
      <c r="B4448" s="1" t="n">
        <v>2092</v>
      </c>
      <c r="C4448" s="2" t="inlineStr">
        <is>
          <t>EVKUR</t>
        </is>
      </c>
      <c r="D4448" s="1" t="inlineStr">
        <is>
          <t>HİTACİ</t>
        </is>
      </c>
      <c r="E4448" s="1" t="inlineStr">
        <is>
          <t>TURGUT SANCAK</t>
        </is>
      </c>
      <c r="F4448" s="3" t="n"/>
      <c r="G4448" s="143" t="n"/>
      <c r="H4448" s="143" t="n">
        <v>392</v>
      </c>
      <c r="I4448" s="143">
        <f>+I4447+(G4448-H4448)</f>
        <v/>
      </c>
      <c r="J4448" s="144" t="n">
        <v>46.218</v>
      </c>
      <c r="K4448" s="145" t="n"/>
      <c r="L4448" s="140">
        <f>+H4448*J4448</f>
        <v/>
      </c>
      <c r="M4448" s="141">
        <f>SUM(M4447+K4448-L4448)</f>
        <v/>
      </c>
    </row>
    <row r="4449">
      <c r="A4449" s="20" t="n">
        <v>45892</v>
      </c>
      <c r="B4449" s="21" t="n">
        <v>2093</v>
      </c>
      <c r="C4449" s="22" t="inlineStr">
        <is>
          <t>EVKUR</t>
        </is>
      </c>
      <c r="D4449" s="21" t="inlineStr">
        <is>
          <t>FOKLİFT</t>
        </is>
      </c>
      <c r="E4449" s="21" t="inlineStr">
        <is>
          <t>FAHRİ KALFA</t>
        </is>
      </c>
      <c r="F4449" s="23" t="n"/>
      <c r="G4449" s="138" t="n"/>
      <c r="H4449" s="138" t="n">
        <v>26</v>
      </c>
      <c r="I4449" s="138">
        <f>+I4448+(G4449-H4449)</f>
        <v/>
      </c>
      <c r="J4449" s="139" t="n">
        <v>46.218</v>
      </c>
      <c r="K4449" s="140" t="n"/>
      <c r="L4449" s="140">
        <f>+H4449*J4449</f>
        <v/>
      </c>
      <c r="M4449" s="141">
        <f>SUM(M4448+K4449-L4449)</f>
        <v/>
      </c>
    </row>
    <row r="4450">
      <c r="A4450" s="20" t="n">
        <v>45892</v>
      </c>
      <c r="B4450" s="1" t="n">
        <v>2094</v>
      </c>
      <c r="C4450" s="2" t="inlineStr">
        <is>
          <t>EVKUR</t>
        </is>
      </c>
      <c r="D4450" s="1" t="inlineStr">
        <is>
          <t>KAVAZAKİ</t>
        </is>
      </c>
      <c r="E4450" s="1" t="inlineStr">
        <is>
          <t>RAMAZAN KAYA</t>
        </is>
      </c>
      <c r="F4450" s="3" t="n"/>
      <c r="G4450" s="143" t="n"/>
      <c r="H4450" s="143" t="n">
        <v>393</v>
      </c>
      <c r="I4450" s="143">
        <f>+I4449+(G4450-H4450)</f>
        <v/>
      </c>
      <c r="J4450" s="144" t="n">
        <v>46.218</v>
      </c>
      <c r="K4450" s="145" t="n"/>
      <c r="L4450" s="140">
        <f>+H4450*J4450</f>
        <v/>
      </c>
      <c r="M4450" s="141">
        <f>SUM(M4449+K4450-L4450)</f>
        <v/>
      </c>
    </row>
    <row r="4451">
      <c r="A4451" s="20" t="n">
        <v>45892</v>
      </c>
      <c r="B4451" s="1" t="n">
        <v>2095</v>
      </c>
      <c r="C4451" s="2" t="inlineStr">
        <is>
          <t>CEVİZ MOBİLYA</t>
        </is>
      </c>
      <c r="D4451" s="1" t="inlineStr">
        <is>
          <t>SM 370</t>
        </is>
      </c>
      <c r="E4451" s="1" t="inlineStr">
        <is>
          <t>TEKİN ŞEYLAN</t>
        </is>
      </c>
      <c r="F4451" s="3" t="n"/>
      <c r="G4451" s="143" t="n"/>
      <c r="H4451" s="143" t="n">
        <v>520</v>
      </c>
      <c r="I4451" s="143">
        <f>+I4450+(G4451-H4451)</f>
        <v/>
      </c>
      <c r="J4451" s="144" t="n">
        <v>46.218</v>
      </c>
      <c r="K4451" s="145" t="n"/>
      <c r="L4451" s="140">
        <f>+H4451*J4451</f>
        <v/>
      </c>
      <c r="M4451" s="141">
        <f>SUM(M4450+K4451-L4451)</f>
        <v/>
      </c>
    </row>
    <row r="4452">
      <c r="A4452" s="20" t="n">
        <v>45892</v>
      </c>
      <c r="B4452" s="1" t="n">
        <v>2096</v>
      </c>
      <c r="C4452" s="2" t="inlineStr">
        <is>
          <t>GARAJ</t>
        </is>
      </c>
      <c r="D4452" s="21" t="inlineStr">
        <is>
          <t>FOKLİFT</t>
        </is>
      </c>
      <c r="E4452" s="1" t="inlineStr">
        <is>
          <t>GARAJ</t>
        </is>
      </c>
      <c r="F4452" s="3" t="n"/>
      <c r="G4452" s="143" t="n"/>
      <c r="H4452" s="143" t="n">
        <v>25</v>
      </c>
      <c r="I4452" s="143">
        <f>+I4451+(G4452-H4452)</f>
        <v/>
      </c>
      <c r="J4452" s="144" t="n">
        <v>46.218</v>
      </c>
      <c r="K4452" s="145" t="n"/>
      <c r="L4452" s="140">
        <f>+H4452*J4452</f>
        <v/>
      </c>
      <c r="M4452" s="141">
        <f>SUM(M4451+K4452-L4452)</f>
        <v/>
      </c>
    </row>
    <row r="4453">
      <c r="A4453" s="20" t="n">
        <v>45892</v>
      </c>
      <c r="B4453" s="1" t="n">
        <v>2097</v>
      </c>
      <c r="C4453" s="2" t="inlineStr">
        <is>
          <t>MEGA VARLIK</t>
        </is>
      </c>
      <c r="D4453" s="1" t="inlineStr">
        <is>
          <t>SM 350</t>
        </is>
      </c>
      <c r="E4453" s="1" t="inlineStr">
        <is>
          <t>MEHMET ALİ SANCAK</t>
        </is>
      </c>
      <c r="F4453" s="3" t="n"/>
      <c r="G4453" s="143" t="n"/>
      <c r="H4453" s="143" t="n">
        <v>273</v>
      </c>
      <c r="I4453" s="143">
        <f>+I4452+(G4453-H4453)</f>
        <v/>
      </c>
      <c r="J4453" s="144" t="n">
        <v>46.218</v>
      </c>
      <c r="K4453" s="145" t="n"/>
      <c r="L4453" s="140">
        <f>+H4453*J4453</f>
        <v/>
      </c>
      <c r="M4453" s="141">
        <f>SUM(M4452+K4453-L4453)</f>
        <v/>
      </c>
    </row>
    <row r="4454">
      <c r="A4454" s="20" t="n">
        <v>45892</v>
      </c>
      <c r="B4454" s="1" t="n">
        <v>2098</v>
      </c>
      <c r="C4454" s="2" t="inlineStr">
        <is>
          <t>MEGA VARLIK</t>
        </is>
      </c>
      <c r="D4454" s="1" t="inlineStr">
        <is>
          <t>SM 350</t>
        </is>
      </c>
      <c r="E4454" s="1" t="inlineStr">
        <is>
          <t>AHMET AKGÜL</t>
        </is>
      </c>
      <c r="F4454" s="3" t="n"/>
      <c r="G4454" s="143" t="n"/>
      <c r="H4454" s="143" t="n">
        <v>319</v>
      </c>
      <c r="I4454" s="143">
        <f>+I4453+(G4454-H4454)</f>
        <v/>
      </c>
      <c r="J4454" s="144" t="n">
        <v>46.218</v>
      </c>
      <c r="K4454" s="145" t="n"/>
      <c r="L4454" s="140">
        <f>+H4454*J4454</f>
        <v/>
      </c>
      <c r="M4454" s="141">
        <f>SUM(M4453+K4454-L4454)</f>
        <v/>
      </c>
    </row>
    <row r="4455">
      <c r="A4455" s="20" t="n">
        <v>45892</v>
      </c>
      <c r="B4455" s="1" t="n">
        <v>1266</v>
      </c>
      <c r="C4455" s="2" t="inlineStr">
        <is>
          <t>SELİM İNŞAAT</t>
        </is>
      </c>
      <c r="D4455" s="1" t="inlineStr">
        <is>
          <t>34 DSN 621</t>
        </is>
      </c>
      <c r="E4455" s="1" t="inlineStr">
        <is>
          <t>MUSTAFA KAYA</t>
        </is>
      </c>
      <c r="F4455" s="3" t="n">
        <v>427592</v>
      </c>
      <c r="G4455" s="143" t="n"/>
      <c r="H4455" s="143" t="n">
        <v>294</v>
      </c>
      <c r="I4455" s="143">
        <f>+I4454+(G4455-H4455)</f>
        <v/>
      </c>
      <c r="J4455" s="144" t="n">
        <v>46.218</v>
      </c>
      <c r="K4455" s="145" t="n"/>
      <c r="L4455" s="140">
        <f>+H4455*J4455</f>
        <v/>
      </c>
      <c r="M4455" s="141">
        <f>SUM(M4454+K4455-L4455)</f>
        <v/>
      </c>
    </row>
    <row r="4456">
      <c r="A4456" s="20" t="n">
        <v>45892</v>
      </c>
      <c r="B4456" s="1" t="n">
        <v>972</v>
      </c>
      <c r="C4456" s="2" t="inlineStr">
        <is>
          <t>SELİM İNŞAAT</t>
        </is>
      </c>
      <c r="D4456" s="1" t="inlineStr">
        <is>
          <t>34 FBR 742</t>
        </is>
      </c>
      <c r="E4456" s="1" t="inlineStr">
        <is>
          <t>MİKAİL BAYILMAZ</t>
        </is>
      </c>
      <c r="F4456" s="3" t="n">
        <v>332550</v>
      </c>
      <c r="G4456" s="143" t="n"/>
      <c r="H4456" s="143" t="n">
        <v>294</v>
      </c>
      <c r="I4456" s="143">
        <f>+I4455+(G4456-H4456)</f>
        <v/>
      </c>
      <c r="J4456" s="144" t="n">
        <v>46.218</v>
      </c>
      <c r="K4456" s="145" t="n"/>
      <c r="L4456" s="140">
        <f>+H4456*J4456</f>
        <v/>
      </c>
      <c r="M4456" s="141">
        <f>SUM(M4455+K4456-L4456)</f>
        <v/>
      </c>
    </row>
    <row r="4457">
      <c r="A4457" s="20" t="n">
        <v>45892</v>
      </c>
      <c r="B4457" s="1" t="n">
        <v>15132</v>
      </c>
      <c r="C4457" s="2" t="inlineStr">
        <is>
          <t>SELİM İNŞAAT</t>
        </is>
      </c>
      <c r="D4457" s="1" t="inlineStr">
        <is>
          <t>34 DTV 599</t>
        </is>
      </c>
      <c r="E4457" s="1" t="inlineStr">
        <is>
          <t>FERHAT GÜRLER</t>
        </is>
      </c>
      <c r="F4457" s="3" t="n">
        <v>448255</v>
      </c>
      <c r="G4457" s="143" t="n"/>
      <c r="H4457" s="143" t="n">
        <v>485</v>
      </c>
      <c r="I4457" s="143">
        <f>+I4456+(G4457-H4457)</f>
        <v/>
      </c>
      <c r="J4457" s="144" t="n">
        <v>46.218</v>
      </c>
      <c r="K4457" s="145" t="n"/>
      <c r="L4457" s="140">
        <f>+H4457*J4457</f>
        <v/>
      </c>
      <c r="M4457" s="141">
        <f>SUM(M4456+K4457-L4457)</f>
        <v/>
      </c>
    </row>
    <row r="4458">
      <c r="A4458" s="20" t="n">
        <v>45892</v>
      </c>
      <c r="B4458" s="1" t="n">
        <v>1653</v>
      </c>
      <c r="C4458" s="2" t="inlineStr">
        <is>
          <t>SELİM İNŞAAT</t>
        </is>
      </c>
      <c r="D4458" s="1" t="inlineStr">
        <is>
          <t>34 DHH 570</t>
        </is>
      </c>
      <c r="E4458" s="1" t="inlineStr">
        <is>
          <t>EBUBEKİR KOLDAŞ</t>
        </is>
      </c>
      <c r="F4458" s="3" t="n">
        <v>447100</v>
      </c>
      <c r="G4458" s="143" t="n"/>
      <c r="H4458" s="143" t="n">
        <v>392</v>
      </c>
      <c r="I4458" s="143">
        <f>+I4457+(G4458-H4458)</f>
        <v/>
      </c>
      <c r="J4458" s="144" t="n">
        <v>46.218</v>
      </c>
      <c r="K4458" s="145" t="n"/>
      <c r="L4458" s="140">
        <f>+H4458*J4458</f>
        <v/>
      </c>
      <c r="M4458" s="141">
        <f>SUM(M4457+K4458-L4458)</f>
        <v/>
      </c>
    </row>
    <row r="4459">
      <c r="A4459" s="20" t="n">
        <v>45892</v>
      </c>
      <c r="B4459" s="1" t="n">
        <v>15049</v>
      </c>
      <c r="C4459" s="2" t="inlineStr">
        <is>
          <t>SELİM İNŞAAT</t>
        </is>
      </c>
      <c r="D4459" s="1" t="inlineStr">
        <is>
          <t>34 GVZ 199</t>
        </is>
      </c>
      <c r="E4459" s="1" t="inlineStr">
        <is>
          <t>AHMET TOPÇU</t>
        </is>
      </c>
      <c r="F4459" s="3" t="n">
        <v>198511</v>
      </c>
      <c r="G4459" s="143" t="n"/>
      <c r="H4459" s="143" t="n">
        <v>394</v>
      </c>
      <c r="I4459" s="143">
        <f>+I4458+(G4459-H4459)</f>
        <v/>
      </c>
      <c r="J4459" s="144" t="n">
        <v>46.218</v>
      </c>
      <c r="K4459" s="145" t="n"/>
      <c r="L4459" s="140">
        <f>+H4459*J4459</f>
        <v/>
      </c>
      <c r="M4459" s="141">
        <f>SUM(M4458+K4459-L4459)</f>
        <v/>
      </c>
    </row>
    <row r="4460">
      <c r="A4460" s="20" t="n">
        <v>45892</v>
      </c>
      <c r="B4460" s="1" t="n">
        <v>1217</v>
      </c>
      <c r="C4460" s="2" t="inlineStr">
        <is>
          <t>SELİM İNŞAAT</t>
        </is>
      </c>
      <c r="D4460" s="1" t="inlineStr">
        <is>
          <t>34 DHC 393</t>
        </is>
      </c>
      <c r="E4460" s="1" t="inlineStr">
        <is>
          <t>İSMET BAYRAM</t>
        </is>
      </c>
      <c r="F4460" s="3" t="n">
        <v>438138</v>
      </c>
      <c r="G4460" s="143" t="n"/>
      <c r="H4460" s="143" t="n">
        <v>276</v>
      </c>
      <c r="I4460" s="143">
        <f>+I4459+(G4460-H4460)</f>
        <v/>
      </c>
      <c r="J4460" s="144" t="n">
        <v>46.218</v>
      </c>
      <c r="K4460" s="145" t="n"/>
      <c r="L4460" s="140">
        <f>+H4460*J4460</f>
        <v/>
      </c>
      <c r="M4460" s="141">
        <f>SUM(M4459+K4460-L4460)</f>
        <v/>
      </c>
    </row>
    <row r="4461">
      <c r="A4461" s="20" t="n">
        <v>45892</v>
      </c>
      <c r="B4461" s="1" t="n">
        <v>1810</v>
      </c>
      <c r="C4461" s="2" t="inlineStr">
        <is>
          <t>SELİM İNŞAAT</t>
        </is>
      </c>
      <c r="D4461" s="1" t="inlineStr">
        <is>
          <t>34 EGR 922</t>
        </is>
      </c>
      <c r="E4461" s="1" t="inlineStr">
        <is>
          <t>FARUK ÖZEN</t>
        </is>
      </c>
      <c r="F4461" s="3" t="n">
        <v>471504</v>
      </c>
      <c r="G4461" s="143" t="n"/>
      <c r="H4461" s="143" t="n">
        <v>493</v>
      </c>
      <c r="I4461" s="143">
        <f>+I4460+(G4461-H4461)</f>
        <v/>
      </c>
      <c r="J4461" s="144" t="n">
        <v>46.218</v>
      </c>
      <c r="K4461" s="145" t="n"/>
      <c r="L4461" s="140">
        <f>+H4461*J4461</f>
        <v/>
      </c>
      <c r="M4461" s="141">
        <f>SUM(M4460+K4461-L4461)</f>
        <v/>
      </c>
    </row>
    <row r="4462">
      <c r="A4462" s="20" t="n">
        <v>45892</v>
      </c>
      <c r="B4462" s="1" t="n">
        <v>125</v>
      </c>
      <c r="C4462" s="2" t="inlineStr">
        <is>
          <t>SELİM İNŞAAT</t>
        </is>
      </c>
      <c r="D4462" s="1" t="inlineStr">
        <is>
          <t>34 FBR 771</t>
        </is>
      </c>
      <c r="E4462" s="1" t="inlineStr">
        <is>
          <t>HÜSEYİN AKÇİN</t>
        </is>
      </c>
      <c r="F4462" s="3" t="n">
        <v>334952</v>
      </c>
      <c r="G4462" s="143" t="n"/>
      <c r="H4462" s="143" t="n">
        <v>425</v>
      </c>
      <c r="I4462" s="143">
        <f>+I4461+(G4462-H4462)</f>
        <v/>
      </c>
      <c r="J4462" s="144" t="n">
        <v>46.218</v>
      </c>
      <c r="K4462" s="145" t="n"/>
      <c r="L4462" s="140">
        <f>+H4462*J4462</f>
        <v/>
      </c>
      <c r="M4462" s="141">
        <f>SUM(M4461+K4462-L4462)</f>
        <v/>
      </c>
    </row>
    <row r="4463">
      <c r="A4463" s="20" t="n">
        <v>45892</v>
      </c>
      <c r="B4463" s="1" t="n">
        <v>864</v>
      </c>
      <c r="C4463" s="2" t="inlineStr">
        <is>
          <t>SELİM İNŞAAT</t>
        </is>
      </c>
      <c r="D4463" s="1" t="inlineStr">
        <is>
          <t>34 FSG 229</t>
        </is>
      </c>
      <c r="E4463" s="1" t="inlineStr">
        <is>
          <t>SİNAN TANRIVERDİ</t>
        </is>
      </c>
      <c r="F4463" s="3" t="n">
        <v>272838</v>
      </c>
      <c r="G4463" s="143" t="n"/>
      <c r="H4463" s="143" t="n">
        <v>394</v>
      </c>
      <c r="I4463" s="143">
        <f>+I4462+(G4463-H4463)</f>
        <v/>
      </c>
      <c r="J4463" s="144" t="n">
        <v>46.218</v>
      </c>
      <c r="K4463" s="145" t="n"/>
      <c r="L4463" s="140">
        <f>+H4463*J4463</f>
        <v/>
      </c>
      <c r="M4463" s="141">
        <f>SUM(M4462+K4463-L4463)</f>
        <v/>
      </c>
    </row>
    <row r="4464">
      <c r="A4464" s="20" t="n">
        <v>45892</v>
      </c>
      <c r="B4464" s="1" t="n">
        <v>15987</v>
      </c>
      <c r="C4464" s="2" t="inlineStr">
        <is>
          <t>SELİM İNŞAAT</t>
        </is>
      </c>
      <c r="D4464" s="1" t="inlineStr">
        <is>
          <t>34 FBR 781</t>
        </is>
      </c>
      <c r="E4464" s="1" t="inlineStr">
        <is>
          <t>MEVLÜT POLAT</t>
        </is>
      </c>
      <c r="F4464" s="3" t="n">
        <v>323329</v>
      </c>
      <c r="G4464" s="143" t="n"/>
      <c r="H4464" s="143" t="n">
        <v>490</v>
      </c>
      <c r="I4464" s="143">
        <f>+I4463+(G4464-H4464)</f>
        <v/>
      </c>
      <c r="J4464" s="144" t="n">
        <v>46.218</v>
      </c>
      <c r="K4464" s="145" t="n"/>
      <c r="L4464" s="140">
        <f>+H4464*J4464</f>
        <v/>
      </c>
      <c r="M4464" s="141">
        <f>SUM(M4463+K4464-L4464)</f>
        <v/>
      </c>
    </row>
    <row r="4465">
      <c r="A4465" s="20" t="n">
        <v>45892</v>
      </c>
      <c r="B4465" s="1" t="n">
        <v>1158</v>
      </c>
      <c r="C4465" s="2" t="inlineStr">
        <is>
          <t>SELİM İNŞAAT</t>
        </is>
      </c>
      <c r="D4465" s="1" t="inlineStr">
        <is>
          <t>34 DSN 536</t>
        </is>
      </c>
      <c r="E4465" s="1" t="inlineStr">
        <is>
          <t>NAZIM KARATAŞ</t>
        </is>
      </c>
      <c r="F4465" s="3" t="n">
        <v>419375</v>
      </c>
      <c r="G4465" s="143" t="n"/>
      <c r="H4465" s="143" t="n">
        <v>315</v>
      </c>
      <c r="I4465" s="143">
        <f>+I4464+(G4465-H4465)</f>
        <v/>
      </c>
      <c r="J4465" s="144" t="n">
        <v>46.218</v>
      </c>
      <c r="K4465" s="145" t="n"/>
      <c r="L4465" s="140">
        <f>+H4465*J4465</f>
        <v/>
      </c>
      <c r="M4465" s="141">
        <f>SUM(M4464+K4465-L4465)</f>
        <v/>
      </c>
    </row>
    <row r="4466">
      <c r="A4466" s="20" t="n">
        <v>45892</v>
      </c>
      <c r="B4466" s="1" t="n">
        <v>14787</v>
      </c>
      <c r="C4466" s="2" t="inlineStr">
        <is>
          <t>SELİM İNŞAAT</t>
        </is>
      </c>
      <c r="D4466" s="1" t="inlineStr">
        <is>
          <t>34 GYZ 635</t>
        </is>
      </c>
      <c r="E4466" s="1" t="inlineStr">
        <is>
          <t>ENGİN DEMİR</t>
        </is>
      </c>
      <c r="F4466" s="3" t="n">
        <v>191494</v>
      </c>
      <c r="G4466" s="143" t="n"/>
      <c r="H4466" s="143" t="n">
        <v>426</v>
      </c>
      <c r="I4466" s="143">
        <f>+I4465+(G4466-H4466)</f>
        <v/>
      </c>
      <c r="J4466" s="144" t="n">
        <v>46.218</v>
      </c>
      <c r="K4466" s="145" t="n"/>
      <c r="L4466" s="140">
        <f>+H4466*J4466</f>
        <v/>
      </c>
      <c r="M4466" s="141">
        <f>SUM(M4465+K4466-L4466)</f>
        <v/>
      </c>
    </row>
    <row r="4467">
      <c r="A4467" s="20" t="n">
        <v>45892</v>
      </c>
      <c r="B4467" s="1" t="n">
        <v>15275</v>
      </c>
      <c r="C4467" s="2" t="inlineStr">
        <is>
          <t>SELİM İNŞAAT</t>
        </is>
      </c>
      <c r="D4467" s="1" t="inlineStr">
        <is>
          <t>34 DTV 447</t>
        </is>
      </c>
      <c r="E4467" s="1" t="inlineStr">
        <is>
          <t>EBUBEKİR KOLDAŞ</t>
        </is>
      </c>
      <c r="F4467" s="3" t="n">
        <v>442411</v>
      </c>
      <c r="G4467" s="143" t="n"/>
      <c r="H4467" s="143" t="n">
        <v>320</v>
      </c>
      <c r="I4467" s="143">
        <f>+I4466+(G4467-H4467)</f>
        <v/>
      </c>
      <c r="J4467" s="144" t="n">
        <v>46.218</v>
      </c>
      <c r="K4467" s="145" t="n"/>
      <c r="L4467" s="140">
        <f>+H4467*J4467</f>
        <v/>
      </c>
      <c r="M4467" s="141">
        <f>SUM(M4466+K4467-L4467)</f>
        <v/>
      </c>
    </row>
    <row r="4468">
      <c r="A4468" s="20" t="n">
        <v>45892</v>
      </c>
      <c r="B4468" s="1" t="n">
        <v>1117</v>
      </c>
      <c r="C4468" s="2" t="inlineStr">
        <is>
          <t>SELİM İNŞAAT</t>
        </is>
      </c>
      <c r="D4468" s="1" t="inlineStr">
        <is>
          <t>34 EDB 659</t>
        </is>
      </c>
      <c r="E4468" s="1" t="inlineStr">
        <is>
          <t>MEHMET SAİT ANIK</t>
        </is>
      </c>
      <c r="F4468" s="3" t="n">
        <v>358622</v>
      </c>
      <c r="G4468" s="143" t="n"/>
      <c r="H4468" s="143" t="n">
        <v>298</v>
      </c>
      <c r="I4468" s="143">
        <f>+I4467+(G4468-H4468)</f>
        <v/>
      </c>
      <c r="J4468" s="144" t="n">
        <v>46.218</v>
      </c>
      <c r="K4468" s="145" t="n"/>
      <c r="L4468" s="140">
        <f>+H4468*J4468</f>
        <v/>
      </c>
      <c r="M4468" s="141">
        <f>SUM(M4467+K4468-L4468)</f>
        <v/>
      </c>
    </row>
    <row r="4469">
      <c r="A4469" s="20" t="n">
        <v>45892</v>
      </c>
      <c r="B4469" s="1" t="n">
        <v>1071</v>
      </c>
      <c r="C4469" s="2" t="inlineStr">
        <is>
          <t>SELİM İNŞAAT</t>
        </is>
      </c>
      <c r="D4469" s="1" t="inlineStr">
        <is>
          <t>34 GVZ 310</t>
        </is>
      </c>
      <c r="E4469" s="1" t="inlineStr">
        <is>
          <t>CELAL YÜZBASI</t>
        </is>
      </c>
      <c r="F4469" s="3" t="n">
        <v>216861</v>
      </c>
      <c r="G4469" s="143" t="n"/>
      <c r="H4469" s="143" t="n">
        <v>379</v>
      </c>
      <c r="I4469" s="143">
        <f>+I4468+(G4469-H4469)</f>
        <v/>
      </c>
      <c r="J4469" s="144" t="n">
        <v>46.218</v>
      </c>
      <c r="K4469" s="145" t="n"/>
      <c r="L4469" s="140">
        <f>+H4469*J4469</f>
        <v/>
      </c>
      <c r="M4469" s="141">
        <f>SUM(M4468+K4469-L4469)</f>
        <v/>
      </c>
    </row>
    <row r="4470">
      <c r="A4470" s="20" t="n">
        <v>45892</v>
      </c>
      <c r="B4470" s="1" t="n">
        <v>327</v>
      </c>
      <c r="C4470" s="2" t="inlineStr">
        <is>
          <t>SELİM İNŞAAT</t>
        </is>
      </c>
      <c r="D4470" s="1" t="inlineStr">
        <is>
          <t>34 EDB 829</t>
        </is>
      </c>
      <c r="E4470" s="1" t="inlineStr">
        <is>
          <t xml:space="preserve">İRFAN DAĞLAR </t>
        </is>
      </c>
      <c r="F4470" s="3" t="n">
        <v>33742</v>
      </c>
      <c r="G4470" s="143" t="n"/>
      <c r="H4470" s="143" t="n">
        <v>295</v>
      </c>
      <c r="I4470" s="143">
        <f>+I4469+(G4470-H4470)</f>
        <v/>
      </c>
      <c r="J4470" s="144" t="n">
        <v>46.218</v>
      </c>
      <c r="K4470" s="145" t="n"/>
      <c r="L4470" s="140">
        <f>+H4470*J4470</f>
        <v/>
      </c>
      <c r="M4470" s="141">
        <f>SUM(M4469+K4470-L4470)</f>
        <v/>
      </c>
    </row>
    <row r="4471">
      <c r="A4471" s="20" t="n">
        <v>45892</v>
      </c>
      <c r="B4471" s="1" t="n">
        <v>15886</v>
      </c>
      <c r="C4471" s="2" t="inlineStr">
        <is>
          <t>SELİM İNŞAAT</t>
        </is>
      </c>
      <c r="D4471" s="1" t="inlineStr">
        <is>
          <t>34 EDB 754</t>
        </is>
      </c>
      <c r="E4471" s="1" t="inlineStr">
        <is>
          <t>EMİN PARLAKKILIÇ</t>
        </is>
      </c>
      <c r="F4471" s="3" t="n">
        <v>339813</v>
      </c>
      <c r="G4471" s="143" t="n"/>
      <c r="H4471" s="143" t="n">
        <v>437</v>
      </c>
      <c r="I4471" s="143">
        <f>+I4470+(G4471-H4471)</f>
        <v/>
      </c>
      <c r="J4471" s="144" t="n">
        <v>46.218</v>
      </c>
      <c r="K4471" s="145" t="n"/>
      <c r="L4471" s="140">
        <f>+H4471*J4471</f>
        <v/>
      </c>
      <c r="M4471" s="141">
        <f>SUM(M4470+K4471-L4471)</f>
        <v/>
      </c>
    </row>
    <row r="4472">
      <c r="A4472" s="20" t="n">
        <v>45892</v>
      </c>
      <c r="B4472" s="1" t="n">
        <v>1410</v>
      </c>
      <c r="C4472" s="2" t="inlineStr">
        <is>
          <t>SELİM İNŞAAT</t>
        </is>
      </c>
      <c r="D4472" s="1" t="inlineStr">
        <is>
          <t>34 DKL 798</t>
        </is>
      </c>
      <c r="E4472" s="1" t="inlineStr">
        <is>
          <t>GÖRKEM KARAYEL</t>
        </is>
      </c>
      <c r="F4472" s="3" t="n">
        <v>71704</v>
      </c>
      <c r="G4472" s="143" t="n"/>
      <c r="H4472" s="143" t="n">
        <v>272</v>
      </c>
      <c r="I4472" s="143">
        <f>+I4471+(G4472-H4472)</f>
        <v/>
      </c>
      <c r="J4472" s="144" t="n">
        <v>46.218</v>
      </c>
      <c r="K4472" s="145" t="n"/>
      <c r="L4472" s="140">
        <f>+H4472*J4472</f>
        <v/>
      </c>
      <c r="M4472" s="141">
        <f>SUM(M4471+K4472-L4472)</f>
        <v/>
      </c>
    </row>
    <row r="4473">
      <c r="A4473" s="20" t="n">
        <v>45892</v>
      </c>
      <c r="B4473" s="1" t="n">
        <v>173</v>
      </c>
      <c r="C4473" s="2" t="inlineStr">
        <is>
          <t>SELİM İNŞAAT</t>
        </is>
      </c>
      <c r="D4473" s="1" t="inlineStr">
        <is>
          <t>34 TG 7869</t>
        </is>
      </c>
      <c r="E4473" s="1" t="inlineStr">
        <is>
          <t>DURSUN ALİ GÜREK</t>
        </is>
      </c>
      <c r="F4473" s="3" t="n">
        <v>187925</v>
      </c>
      <c r="G4473" s="143" t="n"/>
      <c r="H4473" s="143" t="n">
        <v>265</v>
      </c>
      <c r="I4473" s="143">
        <f>+I4472+(G4473-H4473)</f>
        <v/>
      </c>
      <c r="J4473" s="144" t="n">
        <v>46.218</v>
      </c>
      <c r="K4473" s="145" t="n"/>
      <c r="L4473" s="140">
        <f>+H4473*J4473</f>
        <v/>
      </c>
      <c r="M4473" s="141">
        <f>SUM(M4472+K4473-L4473)</f>
        <v/>
      </c>
    </row>
    <row r="4474">
      <c r="A4474" s="20" t="n">
        <v>45892</v>
      </c>
      <c r="B4474" s="1" t="n">
        <v>475</v>
      </c>
      <c r="C4474" s="2" t="inlineStr">
        <is>
          <t>SELİM İNŞAAT</t>
        </is>
      </c>
      <c r="D4474" s="1" t="inlineStr">
        <is>
          <t>34 DKL 866</t>
        </is>
      </c>
      <c r="E4474" s="1" t="inlineStr">
        <is>
          <t>SELİM CAN ÖNVER</t>
        </is>
      </c>
      <c r="F4474" s="3" t="n">
        <v>72583</v>
      </c>
      <c r="G4474" s="143" t="n"/>
      <c r="H4474" s="143" t="n">
        <v>123</v>
      </c>
      <c r="I4474" s="143">
        <f>+I4473+(G4474-H4474)</f>
        <v/>
      </c>
      <c r="J4474" s="144" t="n">
        <v>46.218</v>
      </c>
      <c r="K4474" s="145" t="n"/>
      <c r="L4474" s="140">
        <f>+H4474*J4474</f>
        <v/>
      </c>
      <c r="M4474" s="141">
        <f>SUM(M4473+K4474-L4474)</f>
        <v/>
      </c>
    </row>
    <row r="4475">
      <c r="A4475" s="20" t="n">
        <v>45892</v>
      </c>
      <c r="B4475" s="1" t="n">
        <v>15191</v>
      </c>
      <c r="C4475" s="2" t="inlineStr">
        <is>
          <t>SELİM İNŞAAT</t>
        </is>
      </c>
      <c r="D4475" s="1" t="inlineStr">
        <is>
          <t>34 DP 4161</t>
        </is>
      </c>
      <c r="E4475" s="1" t="inlineStr">
        <is>
          <t>RIFAT KARATAY</t>
        </is>
      </c>
      <c r="F4475" s="3" t="n">
        <v>296353</v>
      </c>
      <c r="G4475" s="143" t="n"/>
      <c r="H4475" s="143" t="n">
        <v>198</v>
      </c>
      <c r="I4475" s="143">
        <f>+I4474+(G4475-H4475)</f>
        <v/>
      </c>
      <c r="J4475" s="144" t="n">
        <v>46.218</v>
      </c>
      <c r="K4475" s="145" t="n"/>
      <c r="L4475" s="140">
        <f>+H4475*J4475</f>
        <v/>
      </c>
      <c r="M4475" s="141">
        <f>SUM(M4474+K4475-L4475)</f>
        <v/>
      </c>
    </row>
    <row r="4476">
      <c r="A4476" s="20" t="n">
        <v>45892</v>
      </c>
      <c r="B4476" s="1" t="n">
        <v>613</v>
      </c>
      <c r="C4476" s="2" t="inlineStr">
        <is>
          <t>SELİM İNŞAAT</t>
        </is>
      </c>
      <c r="D4476" s="1" t="inlineStr">
        <is>
          <t>34 AR 7743</t>
        </is>
      </c>
      <c r="E4476" s="1" t="inlineStr">
        <is>
          <t xml:space="preserve">MEHMET SELİM </t>
        </is>
      </c>
      <c r="F4476" s="3" t="n">
        <v>361120</v>
      </c>
      <c r="G4476" s="143" t="n"/>
      <c r="H4476" s="143" t="n">
        <v>47</v>
      </c>
      <c r="I4476" s="143">
        <f>+I4475+(G4476-H4476)</f>
        <v/>
      </c>
      <c r="J4476" s="144" t="n">
        <v>46.218</v>
      </c>
      <c r="K4476" s="145" t="n"/>
      <c r="L4476" s="140">
        <f>+H4476*J4476</f>
        <v/>
      </c>
      <c r="M4476" s="141">
        <f>SUM(M4475+K4476-L4476)</f>
        <v/>
      </c>
    </row>
    <row r="4477">
      <c r="A4477" s="20" t="n">
        <v>45892</v>
      </c>
      <c r="B4477" s="1" t="n">
        <v>21346</v>
      </c>
      <c r="C4477" s="2" t="inlineStr">
        <is>
          <t>SELİM İNŞAAT</t>
        </is>
      </c>
      <c r="D4477" s="1" t="inlineStr">
        <is>
          <t>34 FEM 934</t>
        </is>
      </c>
      <c r="E4477" s="1" t="inlineStr">
        <is>
          <t>SELİM CAN ÖNVER</t>
        </is>
      </c>
      <c r="F4477" s="3" t="n">
        <v>317048</v>
      </c>
      <c r="G4477" s="143" t="n"/>
      <c r="H4477" s="143" t="n">
        <v>57</v>
      </c>
      <c r="I4477" s="143">
        <f>+I4476+(G4477-H4477)</f>
        <v/>
      </c>
      <c r="J4477" s="144" t="n">
        <v>46.218</v>
      </c>
      <c r="K4477" s="145" t="n"/>
      <c r="L4477" s="140">
        <f>+H4477*J4477</f>
        <v/>
      </c>
      <c r="M4477" s="141">
        <f>SUM(M4476+K4477-L4477)</f>
        <v/>
      </c>
    </row>
    <row r="4478">
      <c r="A4478" s="20" t="n">
        <v>45892</v>
      </c>
      <c r="B4478" s="1" t="n">
        <v>1606</v>
      </c>
      <c r="C4478" s="2" t="inlineStr">
        <is>
          <t>SELİM İNŞAAT</t>
        </is>
      </c>
      <c r="D4478" s="1" t="inlineStr">
        <is>
          <t>34 VF 2620</t>
        </is>
      </c>
      <c r="E4478" s="1" t="inlineStr">
        <is>
          <t>RECEP SELİM</t>
        </is>
      </c>
      <c r="F4478" s="3" t="n">
        <v>192514</v>
      </c>
      <c r="G4478" s="143" t="n"/>
      <c r="H4478" s="143" t="n">
        <v>61</v>
      </c>
      <c r="I4478" s="143">
        <f>+I4477+(G4478-H4478)</f>
        <v/>
      </c>
      <c r="J4478" s="144" t="n">
        <v>46.218</v>
      </c>
      <c r="K4478" s="145" t="n"/>
      <c r="L4478" s="140">
        <f>+H4478*J4478</f>
        <v/>
      </c>
      <c r="M4478" s="141">
        <f>SUM(M4477+K4478-L4478)</f>
        <v/>
      </c>
    </row>
    <row r="4479">
      <c r="A4479" s="20" t="n">
        <v>45894</v>
      </c>
      <c r="B4479" s="21" t="n">
        <v>2212</v>
      </c>
      <c r="C4479" s="22" t="inlineStr">
        <is>
          <t>AZGÜN YAPI</t>
        </is>
      </c>
      <c r="D4479" s="21" t="inlineStr">
        <is>
          <t>34 DTV 263</t>
        </is>
      </c>
      <c r="E4479" s="21" t="inlineStr">
        <is>
          <t>MUHAMMED BULUT</t>
        </is>
      </c>
      <c r="F4479" s="23" t="n"/>
      <c r="G4479" s="138" t="n"/>
      <c r="H4479" s="138" t="n">
        <v>279</v>
      </c>
      <c r="I4479" s="138">
        <f>+I4478+(G4479-H4479)</f>
        <v/>
      </c>
      <c r="J4479" s="139" t="n">
        <v>46.218</v>
      </c>
      <c r="K4479" s="140" t="n"/>
      <c r="L4479" s="140">
        <f>+H4479*J4479</f>
        <v/>
      </c>
      <c r="M4479" s="141">
        <f>SUM(M4478+K4479-L4479)</f>
        <v/>
      </c>
    </row>
    <row r="4480">
      <c r="A4480" s="20" t="n">
        <v>45894</v>
      </c>
      <c r="B4480" s="21" t="n">
        <v>11390</v>
      </c>
      <c r="C4480" s="22" t="inlineStr">
        <is>
          <t>AZGÜN YAPI</t>
        </is>
      </c>
      <c r="D4480" s="21" t="inlineStr">
        <is>
          <t>34 MKT 593</t>
        </is>
      </c>
      <c r="E4480" s="21" t="inlineStr">
        <is>
          <t>MESUT GÜRLER</t>
        </is>
      </c>
      <c r="F4480" s="23" t="n"/>
      <c r="G4480" s="138" t="n"/>
      <c r="H4480" s="138" t="n">
        <v>527</v>
      </c>
      <c r="I4480" s="138">
        <f>+I4479+(G4480-H4480)</f>
        <v/>
      </c>
      <c r="J4480" s="139" t="n">
        <v>46.218</v>
      </c>
      <c r="K4480" s="140" t="n"/>
      <c r="L4480" s="140">
        <f>+H4480*J4480</f>
        <v/>
      </c>
      <c r="M4480" s="141">
        <f>SUM(M4479+K4480-L4480)</f>
        <v/>
      </c>
    </row>
    <row r="4481">
      <c r="A4481" s="20" t="n">
        <v>45894</v>
      </c>
      <c r="B4481" s="21" t="n">
        <v>11349</v>
      </c>
      <c r="C4481" s="22" t="inlineStr">
        <is>
          <t>AZGÜN YAPI</t>
        </is>
      </c>
      <c r="D4481" s="21" t="inlineStr">
        <is>
          <t>34 MKT 859</t>
        </is>
      </c>
      <c r="E4481" s="21" t="inlineStr">
        <is>
          <t>ONUR CANLI</t>
        </is>
      </c>
      <c r="F4481" s="23" t="n"/>
      <c r="G4481" s="138" t="n"/>
      <c r="H4481" s="138" t="n">
        <v>510</v>
      </c>
      <c r="I4481" s="138">
        <f>+I4480+(G4481-H4481)</f>
        <v/>
      </c>
      <c r="J4481" s="139" t="n">
        <v>46.218</v>
      </c>
      <c r="K4481" s="140" t="n"/>
      <c r="L4481" s="140">
        <f>+H4481*J4481</f>
        <v/>
      </c>
      <c r="M4481" s="141">
        <f>SUM(M4480+K4481-L4481)</f>
        <v/>
      </c>
    </row>
    <row r="4482">
      <c r="A4482" s="20" t="n">
        <v>45894</v>
      </c>
      <c r="B4482" s="21" t="n">
        <v>1913</v>
      </c>
      <c r="C4482" s="22" t="inlineStr">
        <is>
          <t>SELİM OTO KURTARICI</t>
        </is>
      </c>
      <c r="D4482" s="21" t="inlineStr">
        <is>
          <t>34 GC 8658</t>
        </is>
      </c>
      <c r="E4482" s="21" t="inlineStr">
        <is>
          <t>RECEP SELİM</t>
        </is>
      </c>
      <c r="F4482" s="23" t="n"/>
      <c r="G4482" s="138" t="n"/>
      <c r="H4482" s="138" t="n">
        <v>69</v>
      </c>
      <c r="I4482" s="138">
        <f>+I4481+(G4482-H4482)</f>
        <v/>
      </c>
      <c r="J4482" s="139" t="n">
        <v>46.218</v>
      </c>
      <c r="K4482" s="140" t="n"/>
      <c r="L4482" s="140">
        <f>+H4482*J4482</f>
        <v/>
      </c>
      <c r="M4482" s="141">
        <f>SUM(M4481+K4482-L4482)</f>
        <v/>
      </c>
    </row>
    <row r="4483">
      <c r="A4483" s="20" t="n">
        <v>45894</v>
      </c>
      <c r="B4483" s="21" t="n">
        <v>1914</v>
      </c>
      <c r="C4483" s="22" t="inlineStr">
        <is>
          <t>MAHMUT VİNÇ</t>
        </is>
      </c>
      <c r="D4483" s="21" t="inlineStr">
        <is>
          <t>34 AH 5401</t>
        </is>
      </c>
      <c r="E4483" s="21" t="inlineStr">
        <is>
          <t>MAHMUT YAKUPOĞLU</t>
        </is>
      </c>
      <c r="F4483" s="23" t="n"/>
      <c r="G4483" s="138" t="n"/>
      <c r="H4483" s="138" t="n">
        <v>81</v>
      </c>
      <c r="I4483" s="138">
        <f>+I4482+(G4483-H4483)</f>
        <v/>
      </c>
      <c r="J4483" s="139" t="n">
        <v>46.218</v>
      </c>
      <c r="K4483" s="140" t="n"/>
      <c r="L4483" s="140">
        <f>+H4483*J4483</f>
        <v/>
      </c>
      <c r="M4483" s="141">
        <f>SUM(M4482+K4483-L4483)</f>
        <v/>
      </c>
    </row>
    <row r="4484">
      <c r="A4484" s="20" t="n">
        <v>45894</v>
      </c>
      <c r="B4484" s="21" t="n">
        <v>1915</v>
      </c>
      <c r="C4484" s="22" t="inlineStr">
        <is>
          <t>AHMET SELİM TEMHA</t>
        </is>
      </c>
      <c r="D4484" s="21" t="n"/>
      <c r="E4484" s="21" t="inlineStr">
        <is>
          <t>ERSOY SIĞINMAZ</t>
        </is>
      </c>
      <c r="F4484" s="23" t="n"/>
      <c r="G4484" s="138" t="n"/>
      <c r="H4484" s="138" t="n">
        <v>34</v>
      </c>
      <c r="I4484" s="138">
        <f>+I4483+(G4484-H4484)</f>
        <v/>
      </c>
      <c r="J4484" s="139" t="n">
        <v>46.218</v>
      </c>
      <c r="K4484" s="140" t="n"/>
      <c r="L4484" s="140">
        <f>+H4484*J4484</f>
        <v/>
      </c>
      <c r="M4484" s="141">
        <f>SUM(M4483+K4484-L4484)</f>
        <v/>
      </c>
    </row>
    <row r="4485">
      <c r="A4485" s="20" t="n">
        <v>45894</v>
      </c>
      <c r="B4485" s="21" t="n">
        <v>2099</v>
      </c>
      <c r="C4485" s="22" t="inlineStr">
        <is>
          <t>EVKUR</t>
        </is>
      </c>
      <c r="D4485" s="21" t="inlineStr">
        <is>
          <t>FOKLİFT</t>
        </is>
      </c>
      <c r="E4485" s="21" t="inlineStr">
        <is>
          <t>FAHRİ KALFA</t>
        </is>
      </c>
      <c r="F4485" s="23" t="n"/>
      <c r="G4485" s="138" t="n"/>
      <c r="H4485" s="138" t="n">
        <v>85</v>
      </c>
      <c r="I4485" s="138">
        <f>+I4484+(G4485-H4485)</f>
        <v/>
      </c>
      <c r="J4485" s="139" t="n">
        <v>46.218</v>
      </c>
      <c r="K4485" s="140" t="n"/>
      <c r="L4485" s="140">
        <f>+H4485*J4485</f>
        <v/>
      </c>
      <c r="M4485" s="141">
        <f>SUM(M4484+K4485-L4485)</f>
        <v/>
      </c>
    </row>
    <row r="4486">
      <c r="A4486" s="20" t="n">
        <v>45894</v>
      </c>
      <c r="B4486" s="1" t="n">
        <v>2100</v>
      </c>
      <c r="C4486" s="2" t="inlineStr">
        <is>
          <t>EVKUR</t>
        </is>
      </c>
      <c r="D4486" s="1" t="inlineStr">
        <is>
          <t>SİLİNDİR</t>
        </is>
      </c>
      <c r="E4486" s="1" t="inlineStr">
        <is>
          <t>ÖNER DÜNDAR</t>
        </is>
      </c>
      <c r="F4486" s="3" t="n"/>
      <c r="G4486" s="143" t="n"/>
      <c r="H4486" s="143" t="n">
        <v>326</v>
      </c>
      <c r="I4486" s="143">
        <f>+I4485+(G4486-H4486)</f>
        <v/>
      </c>
      <c r="J4486" s="144" t="n">
        <v>46.218</v>
      </c>
      <c r="K4486" s="145" t="n"/>
      <c r="L4486" s="140">
        <f>+H4486*J4486</f>
        <v/>
      </c>
      <c r="M4486" s="141">
        <f>SUM(M4485+K4486-L4486)</f>
        <v/>
      </c>
    </row>
    <row r="4487">
      <c r="A4487" s="20" t="n">
        <v>45894</v>
      </c>
      <c r="B4487" s="1" t="n">
        <v>2101</v>
      </c>
      <c r="C4487" s="2" t="inlineStr">
        <is>
          <t>HASALTUN</t>
        </is>
      </c>
      <c r="D4487" s="1" t="inlineStr">
        <is>
          <t>HİTACİ</t>
        </is>
      </c>
      <c r="E4487" s="1" t="inlineStr">
        <is>
          <t>TURGUT SANCAK</t>
        </is>
      </c>
      <c r="F4487" s="3" t="n"/>
      <c r="G4487" s="143" t="n"/>
      <c r="H4487" s="143" t="n">
        <v>275</v>
      </c>
      <c r="I4487" s="143">
        <f>+I4486+(G4487-H4487)</f>
        <v/>
      </c>
      <c r="J4487" s="144" t="n">
        <v>46.218</v>
      </c>
      <c r="K4487" s="145" t="n"/>
      <c r="L4487" s="140">
        <f>+H4487*J4487</f>
        <v/>
      </c>
      <c r="M4487" s="141">
        <f>SUM(M4486+K4487-L4487)</f>
        <v/>
      </c>
    </row>
    <row r="4488">
      <c r="A4488" s="20" t="n">
        <v>45894</v>
      </c>
      <c r="B4488" s="1" t="n">
        <v>2102</v>
      </c>
      <c r="C4488" s="2" t="inlineStr">
        <is>
          <t>VARLIK</t>
        </is>
      </c>
      <c r="D4488" s="1" t="inlineStr">
        <is>
          <t>SM 300</t>
        </is>
      </c>
      <c r="E4488" s="1" t="inlineStr">
        <is>
          <t>MEHMET ALİ SANCAK</t>
        </is>
      </c>
      <c r="F4488" s="3" t="n"/>
      <c r="G4488" s="143" t="n"/>
      <c r="H4488" s="143" t="n">
        <v>450</v>
      </c>
      <c r="I4488" s="143">
        <f>+I4487+(G4488-H4488)</f>
        <v/>
      </c>
      <c r="J4488" s="144" t="n">
        <v>46.218</v>
      </c>
      <c r="K4488" s="145" t="n"/>
      <c r="L4488" s="140">
        <f>+H4488*J4488</f>
        <v/>
      </c>
      <c r="M4488" s="141">
        <f>SUM(M4487+K4488-L4488)</f>
        <v/>
      </c>
    </row>
    <row r="4489">
      <c r="A4489" s="20" t="n">
        <v>45894</v>
      </c>
      <c r="B4489" s="1" t="n">
        <v>2103</v>
      </c>
      <c r="C4489" s="2" t="inlineStr">
        <is>
          <t>MEGA VARLIK</t>
        </is>
      </c>
      <c r="D4489" s="1" t="inlineStr">
        <is>
          <t>SM 350</t>
        </is>
      </c>
      <c r="E4489" s="1" t="inlineStr">
        <is>
          <t>AHMET AKGÜL</t>
        </is>
      </c>
      <c r="F4489" s="3" t="n"/>
      <c r="G4489" s="143" t="n"/>
      <c r="H4489" s="143" t="n">
        <v>377</v>
      </c>
      <c r="I4489" s="143">
        <f>+I4488+(G4489-H4489)</f>
        <v/>
      </c>
      <c r="J4489" s="144" t="n">
        <v>46.218</v>
      </c>
      <c r="K4489" s="145" t="n"/>
      <c r="L4489" s="140">
        <f>+H4489*J4489</f>
        <v/>
      </c>
      <c r="M4489" s="141">
        <f>SUM(M4488+K4489-L4489)</f>
        <v/>
      </c>
    </row>
    <row r="4490">
      <c r="A4490" s="20" t="n">
        <v>45894</v>
      </c>
      <c r="B4490" s="1" t="n">
        <v>2104</v>
      </c>
      <c r="C4490" s="2" t="inlineStr">
        <is>
          <t>MEGA VARLIK</t>
        </is>
      </c>
      <c r="D4490" s="1" t="inlineStr">
        <is>
          <t>SM 370</t>
        </is>
      </c>
      <c r="E4490" s="1" t="inlineStr">
        <is>
          <t>TEKİN ŞEYLAN</t>
        </is>
      </c>
      <c r="F4490" s="3" t="n"/>
      <c r="G4490" s="143" t="n"/>
      <c r="H4490" s="143" t="n">
        <v>307</v>
      </c>
      <c r="I4490" s="143">
        <f>+I4489+(G4490-H4490)</f>
        <v/>
      </c>
      <c r="J4490" s="144" t="n">
        <v>46.218</v>
      </c>
      <c r="K4490" s="145" t="n"/>
      <c r="L4490" s="140">
        <f>+H4490*J4490</f>
        <v/>
      </c>
      <c r="M4490" s="141">
        <f>SUM(M4489+K4490-L4490)</f>
        <v/>
      </c>
    </row>
    <row r="4491">
      <c r="A4491" s="20" t="n">
        <v>45894</v>
      </c>
      <c r="B4491" s="1" t="n">
        <v>2105</v>
      </c>
      <c r="C4491" s="2" t="inlineStr">
        <is>
          <t>MEGA VARLIK</t>
        </is>
      </c>
      <c r="D4491" s="1" t="inlineStr">
        <is>
          <t>SM 350</t>
        </is>
      </c>
      <c r="E4491" s="1" t="inlineStr">
        <is>
          <t>TEVFİK ÖZTÜRK</t>
        </is>
      </c>
      <c r="F4491" s="3" t="n"/>
      <c r="G4491" s="143" t="n"/>
      <c r="H4491" s="143" t="n">
        <v>440</v>
      </c>
      <c r="I4491" s="143">
        <f>+I4490+(G4491-H4491)</f>
        <v/>
      </c>
      <c r="J4491" s="144" t="n">
        <v>46.218</v>
      </c>
      <c r="K4491" s="145" t="n"/>
      <c r="L4491" s="140">
        <f>+H4491*J4491</f>
        <v/>
      </c>
      <c r="M4491" s="141">
        <f>SUM(M4490+K4491-L4491)</f>
        <v/>
      </c>
    </row>
    <row r="4492">
      <c r="A4492" s="20" t="n">
        <v>45894</v>
      </c>
      <c r="B4492" s="1" t="n">
        <v>14849</v>
      </c>
      <c r="C4492" s="2" t="inlineStr">
        <is>
          <t>SELİM İNŞAAT</t>
        </is>
      </c>
      <c r="D4492" s="1" t="inlineStr">
        <is>
          <t>34 GVZ 268</t>
        </is>
      </c>
      <c r="E4492" s="1" t="inlineStr">
        <is>
          <t>KERİM KARAMAN</t>
        </is>
      </c>
      <c r="F4492" s="3" t="n">
        <v>210401</v>
      </c>
      <c r="G4492" s="143" t="n"/>
      <c r="H4492" s="143" t="n">
        <v>490</v>
      </c>
      <c r="I4492" s="143">
        <f>+I4491+(G4492-H4492)</f>
        <v/>
      </c>
      <c r="J4492" s="144" t="n">
        <v>46.218</v>
      </c>
      <c r="K4492" s="145" t="n"/>
      <c r="L4492" s="140">
        <f>+H4492*J4492</f>
        <v/>
      </c>
      <c r="M4492" s="141">
        <f>SUM(M4491+K4492-L4492)</f>
        <v/>
      </c>
    </row>
    <row r="4493">
      <c r="A4493" s="20" t="n">
        <v>45894</v>
      </c>
      <c r="B4493" s="1" t="n">
        <v>32</v>
      </c>
      <c r="C4493" s="2" t="inlineStr">
        <is>
          <t>SELİM İNŞAAT</t>
        </is>
      </c>
      <c r="D4493" s="1" t="inlineStr">
        <is>
          <t>34 FBR 748</t>
        </is>
      </c>
      <c r="E4493" s="1" t="inlineStr">
        <is>
          <t>YAŞAR ÖZKAYA</t>
        </is>
      </c>
      <c r="F4493" s="3" t="n">
        <v>299931</v>
      </c>
      <c r="G4493" s="143" t="n"/>
      <c r="H4493" s="143" t="n">
        <v>419</v>
      </c>
      <c r="I4493" s="143">
        <f>+I4492+(G4493-H4493)</f>
        <v/>
      </c>
      <c r="J4493" s="144" t="n">
        <v>46.218</v>
      </c>
      <c r="K4493" s="145" t="n"/>
      <c r="L4493" s="140">
        <f>+H4493*J4493</f>
        <v/>
      </c>
      <c r="M4493" s="141">
        <f>SUM(M4492+K4493-L4493)</f>
        <v/>
      </c>
    </row>
    <row r="4494">
      <c r="A4494" s="20" t="n">
        <v>45894</v>
      </c>
      <c r="B4494" s="1" t="n">
        <v>15080</v>
      </c>
      <c r="C4494" s="2" t="inlineStr">
        <is>
          <t>SELİM İNŞAAT</t>
        </is>
      </c>
      <c r="D4494" s="1" t="inlineStr">
        <is>
          <t>34 EGR 736</t>
        </is>
      </c>
      <c r="E4494" s="1" t="inlineStr">
        <is>
          <t>HAKAN ÇAVUŞOĞLU</t>
        </is>
      </c>
      <c r="F4494" s="3" t="n">
        <v>408125</v>
      </c>
      <c r="G4494" s="143" t="n"/>
      <c r="H4494" s="143" t="n">
        <v>193</v>
      </c>
      <c r="I4494" s="143">
        <f>+I4493+(G4494-H4494)</f>
        <v/>
      </c>
      <c r="J4494" s="144" t="n">
        <v>46.218</v>
      </c>
      <c r="K4494" s="145" t="n"/>
      <c r="L4494" s="140">
        <f>+H4494*J4494</f>
        <v/>
      </c>
      <c r="M4494" s="141">
        <f>SUM(M4493+K4494-L4494)</f>
        <v/>
      </c>
    </row>
    <row r="4495">
      <c r="A4495" s="20" t="n">
        <v>45894</v>
      </c>
      <c r="B4495" s="1" t="n">
        <v>1714</v>
      </c>
      <c r="C4495" s="2" t="inlineStr">
        <is>
          <t>SELİM İNŞAAT</t>
        </is>
      </c>
      <c r="D4495" s="21" t="inlineStr">
        <is>
          <t>34 DGP 137</t>
        </is>
      </c>
      <c r="E4495" s="1" t="inlineStr">
        <is>
          <t>GÜRAY KOYUNCU</t>
        </is>
      </c>
      <c r="F4495" s="3" t="n">
        <v>440670</v>
      </c>
      <c r="G4495" s="143" t="n"/>
      <c r="H4495" s="143" t="n">
        <v>476</v>
      </c>
      <c r="I4495" s="143">
        <f>+I4494+(G4495-H4495)</f>
        <v/>
      </c>
      <c r="J4495" s="144" t="n">
        <v>46.218</v>
      </c>
      <c r="K4495" s="145" t="n"/>
      <c r="L4495" s="140">
        <f>+H4495*J4495</f>
        <v/>
      </c>
      <c r="M4495" s="141">
        <f>SUM(M4494+K4495-L4495)</f>
        <v/>
      </c>
    </row>
    <row r="4496">
      <c r="A4496" s="20" t="n">
        <v>45894</v>
      </c>
      <c r="B4496" s="1" t="n">
        <v>15380</v>
      </c>
      <c r="C4496" s="2" t="inlineStr">
        <is>
          <t>SELİM İNŞAAT</t>
        </is>
      </c>
      <c r="D4496" s="1" t="inlineStr">
        <is>
          <t>34 DTV 409</t>
        </is>
      </c>
      <c r="E4496" s="1" t="inlineStr">
        <is>
          <t>SİNAN TANRIKULU</t>
        </is>
      </c>
      <c r="F4496" s="3" t="n">
        <v>432638</v>
      </c>
      <c r="G4496" s="143" t="n"/>
      <c r="H4496" s="143" t="n">
        <v>370</v>
      </c>
      <c r="I4496" s="143">
        <f>+I4495+(G4496-H4496)</f>
        <v/>
      </c>
      <c r="J4496" s="144" t="n">
        <v>46.218</v>
      </c>
      <c r="K4496" s="145" t="n"/>
      <c r="L4496" s="140">
        <f>+H4496*J4496</f>
        <v/>
      </c>
      <c r="M4496" s="141">
        <f>SUM(M4495+K4496-L4496)</f>
        <v/>
      </c>
    </row>
    <row r="4497">
      <c r="A4497" s="20" t="n">
        <v>45894</v>
      </c>
      <c r="B4497" s="1" t="n">
        <v>1654</v>
      </c>
      <c r="C4497" s="2" t="inlineStr">
        <is>
          <t>SELİM İNŞAAT</t>
        </is>
      </c>
      <c r="D4497" s="1" t="inlineStr">
        <is>
          <t>34 DHH 570</t>
        </is>
      </c>
      <c r="E4497" s="1" t="inlineStr">
        <is>
          <t>EBUBEKİR KOLDAŞ</t>
        </is>
      </c>
      <c r="F4497" s="3" t="n">
        <v>447726</v>
      </c>
      <c r="G4497" s="143" t="n"/>
      <c r="H4497" s="143" t="n">
        <v>370</v>
      </c>
      <c r="I4497" s="143">
        <f>+I4496+(G4497-H4497)</f>
        <v/>
      </c>
      <c r="J4497" s="144" t="n">
        <v>46.218</v>
      </c>
      <c r="K4497" s="145" t="n"/>
      <c r="L4497" s="140">
        <f>+H4497*J4497</f>
        <v/>
      </c>
      <c r="M4497" s="141">
        <f>SUM(M4496+K4497-L4497)</f>
        <v/>
      </c>
    </row>
    <row r="4498">
      <c r="A4498" s="20" t="n">
        <v>45894</v>
      </c>
      <c r="B4498" s="1" t="n">
        <v>420</v>
      </c>
      <c r="C4498" s="2" t="inlineStr">
        <is>
          <t>SELİM İNŞAAT</t>
        </is>
      </c>
      <c r="D4498" s="1" t="inlineStr">
        <is>
          <t>34 DRU 690</t>
        </is>
      </c>
      <c r="E4498" s="1" t="inlineStr">
        <is>
          <t>MURAT DEMİRBAŞ</t>
        </is>
      </c>
      <c r="F4498" s="3" t="n">
        <v>431760</v>
      </c>
      <c r="G4498" s="143" t="n"/>
      <c r="H4498" s="143" t="n">
        <v>374</v>
      </c>
      <c r="I4498" s="143">
        <f>+I4497+(G4498-H4498)</f>
        <v/>
      </c>
      <c r="J4498" s="144" t="n">
        <v>46.218</v>
      </c>
      <c r="K4498" s="145" t="n"/>
      <c r="L4498" s="140">
        <f>+H4498*J4498</f>
        <v/>
      </c>
      <c r="M4498" s="141">
        <f>SUM(M4497+K4498-L4498)</f>
        <v/>
      </c>
    </row>
    <row r="4499">
      <c r="A4499" s="20" t="n">
        <v>45894</v>
      </c>
      <c r="B4499" s="1" t="n">
        <v>1811</v>
      </c>
      <c r="C4499" s="2" t="inlineStr">
        <is>
          <t>SELİM İNŞAAT</t>
        </is>
      </c>
      <c r="D4499" s="1" t="inlineStr">
        <is>
          <t>34 EGR 922</t>
        </is>
      </c>
      <c r="E4499" s="1" t="inlineStr">
        <is>
          <t>FARUK ÖZEN</t>
        </is>
      </c>
      <c r="F4499" s="3" t="n">
        <v>472554</v>
      </c>
      <c r="G4499" s="143" t="n"/>
      <c r="H4499" s="143" t="n">
        <v>510</v>
      </c>
      <c r="I4499" s="143">
        <f>+I4498+(G4499-H4499)</f>
        <v/>
      </c>
      <c r="J4499" s="144" t="n">
        <v>46.218</v>
      </c>
      <c r="K4499" s="145" t="n"/>
      <c r="L4499" s="140">
        <f>+H4499*J4499</f>
        <v/>
      </c>
      <c r="M4499" s="141">
        <f>SUM(M4498+K4499-L4499)</f>
        <v/>
      </c>
    </row>
    <row r="4500">
      <c r="A4500" s="20" t="n">
        <v>45894</v>
      </c>
      <c r="B4500" s="1" t="n">
        <v>773</v>
      </c>
      <c r="C4500" s="2" t="inlineStr">
        <is>
          <t>SELİM İNŞAAT</t>
        </is>
      </c>
      <c r="D4500" s="1" t="inlineStr">
        <is>
          <t>34 EDB 559</t>
        </is>
      </c>
      <c r="E4500" s="1" t="inlineStr">
        <is>
          <t>ATA KIZMAZ</t>
        </is>
      </c>
      <c r="F4500" s="3" t="n">
        <v>339798</v>
      </c>
      <c r="G4500" s="143" t="n"/>
      <c r="H4500" s="143" t="n">
        <v>393</v>
      </c>
      <c r="I4500" s="143">
        <f>+I4499+(G4500-H4500)</f>
        <v/>
      </c>
      <c r="J4500" s="144" t="n">
        <v>46.218</v>
      </c>
      <c r="K4500" s="145" t="n"/>
      <c r="L4500" s="140">
        <f>+H4500*J4500</f>
        <v/>
      </c>
      <c r="M4500" s="141">
        <f>SUM(M4499+K4500-L4500)</f>
        <v/>
      </c>
    </row>
    <row r="4501">
      <c r="A4501" s="20" t="n">
        <v>45894</v>
      </c>
      <c r="B4501" s="1" t="n">
        <v>1569</v>
      </c>
      <c r="C4501" s="2" t="inlineStr">
        <is>
          <t>SELİM İNŞAAT</t>
        </is>
      </c>
      <c r="D4501" s="1" t="inlineStr">
        <is>
          <t>34 GUS 938</t>
        </is>
      </c>
      <c r="E4501" s="1" t="inlineStr">
        <is>
          <t>MEHMET KAYA</t>
        </is>
      </c>
      <c r="F4501" s="3" t="n">
        <v>206942</v>
      </c>
      <c r="G4501" s="143" t="n"/>
      <c r="H4501" s="143" t="n">
        <v>371</v>
      </c>
      <c r="I4501" s="143">
        <f>+I4500+(G4501-H4501)</f>
        <v/>
      </c>
      <c r="J4501" s="144" t="n">
        <v>46.218</v>
      </c>
      <c r="K4501" s="145" t="n"/>
      <c r="L4501" s="140">
        <f>+H4501*J4501</f>
        <v/>
      </c>
      <c r="M4501" s="141">
        <f>SUM(M4500+K4501-L4501)</f>
        <v/>
      </c>
    </row>
    <row r="4502">
      <c r="A4502" s="20" t="n">
        <v>45894</v>
      </c>
      <c r="B4502" s="1" t="n">
        <v>15544</v>
      </c>
      <c r="C4502" s="2" t="inlineStr">
        <is>
          <t>SELİM İNŞAAT</t>
        </is>
      </c>
      <c r="D4502" s="1" t="inlineStr">
        <is>
          <t>34 EDC 086</t>
        </is>
      </c>
      <c r="E4502" s="1" t="inlineStr">
        <is>
          <t>ÖMER AĞAYAR</t>
        </is>
      </c>
      <c r="F4502" s="3" t="n">
        <v>344565</v>
      </c>
      <c r="G4502" s="143" t="n"/>
      <c r="H4502" s="143" t="n">
        <v>496</v>
      </c>
      <c r="I4502" s="143">
        <f>+I4501+(G4502-H4502)</f>
        <v/>
      </c>
      <c r="J4502" s="144" t="n">
        <v>46.218</v>
      </c>
      <c r="K4502" s="145" t="n"/>
      <c r="L4502" s="140">
        <f>+H4502*J4502</f>
        <v/>
      </c>
      <c r="M4502" s="141">
        <f>SUM(M4501+K4502-L4502)</f>
        <v/>
      </c>
    </row>
    <row r="4503">
      <c r="A4503" s="20" t="n">
        <v>45894</v>
      </c>
      <c r="B4503" s="1" t="n">
        <v>578</v>
      </c>
      <c r="C4503" s="2" t="inlineStr">
        <is>
          <t>SELİM İNŞAAT</t>
        </is>
      </c>
      <c r="D4503" s="1" t="inlineStr">
        <is>
          <t>34 EDB 922</t>
        </is>
      </c>
      <c r="E4503" s="1" t="inlineStr">
        <is>
          <t>AHMET TOPÇU</t>
        </is>
      </c>
      <c r="F4503" s="3" t="n">
        <v>380194</v>
      </c>
      <c r="G4503" s="143" t="n"/>
      <c r="H4503" s="143" t="n">
        <v>367</v>
      </c>
      <c r="I4503" s="143">
        <f>+I4502+(G4503-H4503)</f>
        <v/>
      </c>
      <c r="J4503" s="144" t="n">
        <v>46.218</v>
      </c>
      <c r="K4503" s="145" t="n"/>
      <c r="L4503" s="140">
        <f>+H4503*J4503</f>
        <v/>
      </c>
      <c r="M4503" s="141">
        <f>SUM(M4502+K4503-L4503)</f>
        <v/>
      </c>
    </row>
    <row r="4504">
      <c r="A4504" s="20" t="n">
        <v>45894</v>
      </c>
      <c r="B4504" s="1" t="n">
        <v>15597</v>
      </c>
      <c r="C4504" s="2" t="inlineStr">
        <is>
          <t>SELİM İNŞAAT</t>
        </is>
      </c>
      <c r="D4504" s="1" t="inlineStr">
        <is>
          <t>34 GVZ 745</t>
        </is>
      </c>
      <c r="E4504" s="1" t="inlineStr">
        <is>
          <t>MURAT DEMİRBAŞ</t>
        </is>
      </c>
      <c r="F4504" s="3" t="n">
        <v>204261</v>
      </c>
      <c r="G4504" s="143" t="n"/>
      <c r="H4504" s="143" t="n">
        <v>390</v>
      </c>
      <c r="I4504" s="143">
        <f>+I4503+(G4504-H4504)</f>
        <v/>
      </c>
      <c r="J4504" s="144" t="n">
        <v>46.218</v>
      </c>
      <c r="K4504" s="145" t="n"/>
      <c r="L4504" s="140">
        <f>+H4504*J4504</f>
        <v/>
      </c>
      <c r="M4504" s="141">
        <f>SUM(M4503+K4504-L4504)</f>
        <v/>
      </c>
    </row>
    <row r="4505">
      <c r="A4505" s="20" t="n">
        <v>45894</v>
      </c>
      <c r="B4505" s="1" t="n">
        <v>15338</v>
      </c>
      <c r="C4505" s="2" t="inlineStr">
        <is>
          <t>SELİM İNŞAAT</t>
        </is>
      </c>
      <c r="D4505" s="1" t="inlineStr">
        <is>
          <t>34 EDC 162</t>
        </is>
      </c>
      <c r="E4505" s="1" t="inlineStr">
        <is>
          <t>SELİM CAN ÖNVER</t>
        </is>
      </c>
      <c r="F4505" s="3" t="n">
        <v>385095</v>
      </c>
      <c r="G4505" s="143" t="n"/>
      <c r="H4505" s="143" t="n">
        <v>242</v>
      </c>
      <c r="I4505" s="143">
        <f>+I4504+(G4505-H4505)</f>
        <v/>
      </c>
      <c r="J4505" s="144" t="n">
        <v>46.218</v>
      </c>
      <c r="K4505" s="145" t="n"/>
      <c r="L4505" s="140">
        <f>+H4505*J4505</f>
        <v/>
      </c>
      <c r="M4505" s="141">
        <f>SUM(M4504+K4505-L4505)</f>
        <v/>
      </c>
    </row>
    <row r="4506">
      <c r="A4506" s="20" t="n">
        <v>45894</v>
      </c>
      <c r="B4506" s="1" t="n">
        <v>1513</v>
      </c>
      <c r="C4506" s="2" t="inlineStr">
        <is>
          <t>SELİM İNŞAAT</t>
        </is>
      </c>
      <c r="D4506" s="1" t="inlineStr">
        <is>
          <t>34 GUS 848</t>
        </is>
      </c>
      <c r="E4506" s="1" t="inlineStr">
        <is>
          <t>SERDAR BOZKURT</t>
        </is>
      </c>
      <c r="F4506" s="3" t="n">
        <v>205496</v>
      </c>
      <c r="G4506" s="143" t="n"/>
      <c r="H4506" s="143" t="n">
        <v>492</v>
      </c>
      <c r="I4506" s="143">
        <f>+I4505+(G4506-H4506)</f>
        <v/>
      </c>
      <c r="J4506" s="144" t="n">
        <v>46.218</v>
      </c>
      <c r="K4506" s="145" t="n"/>
      <c r="L4506" s="140">
        <f>+H4506*J4506</f>
        <v/>
      </c>
      <c r="M4506" s="141">
        <f>SUM(M4505+K4506-L4506)</f>
        <v/>
      </c>
    </row>
    <row r="4507">
      <c r="A4507" s="20" t="n">
        <v>45894</v>
      </c>
      <c r="B4507" s="1" t="n">
        <v>265</v>
      </c>
      <c r="C4507" s="2" t="inlineStr">
        <is>
          <t>SELİM İNŞAAT</t>
        </is>
      </c>
      <c r="D4507" s="1" t="inlineStr">
        <is>
          <t>34 GER 445</t>
        </is>
      </c>
      <c r="E4507" s="1" t="inlineStr">
        <is>
          <t>ÖNER DÜNDAR</t>
        </is>
      </c>
      <c r="F4507" s="3" t="n">
        <v>49160</v>
      </c>
      <c r="G4507" s="143" t="n"/>
      <c r="H4507" s="143" t="n">
        <v>198</v>
      </c>
      <c r="I4507" s="143">
        <f>+I4506+(G4507-H4507)</f>
        <v/>
      </c>
      <c r="J4507" s="144" t="n">
        <v>46.218</v>
      </c>
      <c r="K4507" s="145" t="n"/>
      <c r="L4507" s="140">
        <f>+H4507*J4507</f>
        <v/>
      </c>
      <c r="M4507" s="141">
        <f>SUM(M4506+K4507-L4507)</f>
        <v/>
      </c>
    </row>
    <row r="4508">
      <c r="A4508" s="20" t="n">
        <v>45894</v>
      </c>
      <c r="B4508" s="1" t="n">
        <v>476</v>
      </c>
      <c r="C4508" s="2" t="inlineStr">
        <is>
          <t>SELİM İNŞAAT</t>
        </is>
      </c>
      <c r="D4508" s="1" t="inlineStr">
        <is>
          <t>34 DKL 866</t>
        </is>
      </c>
      <c r="E4508" s="1" t="inlineStr">
        <is>
          <t>SELİM CAN ÖNVER</t>
        </is>
      </c>
      <c r="F4508" s="3" t="n">
        <v>72688</v>
      </c>
      <c r="G4508" s="143" t="n"/>
      <c r="H4508" s="143" t="n">
        <v>197</v>
      </c>
      <c r="I4508" s="143">
        <f>+I4507+(G4508-H4508)</f>
        <v/>
      </c>
      <c r="J4508" s="144" t="n">
        <v>46.218</v>
      </c>
      <c r="K4508" s="145" t="n"/>
      <c r="L4508" s="140">
        <f>+H4508*J4508</f>
        <v/>
      </c>
      <c r="M4508" s="141">
        <f>SUM(M4507+K4508-L4508)</f>
        <v/>
      </c>
    </row>
    <row r="4509">
      <c r="A4509" s="20" t="n">
        <v>45894</v>
      </c>
      <c r="B4509" s="1" t="n">
        <v>15192</v>
      </c>
      <c r="C4509" s="2" t="inlineStr">
        <is>
          <t>SELİM İNŞAAT</t>
        </is>
      </c>
      <c r="D4509" s="1" t="inlineStr">
        <is>
          <t>34 DP 4161</t>
        </is>
      </c>
      <c r="E4509" s="1" t="inlineStr">
        <is>
          <t>RIFAT KARATAY</t>
        </is>
      </c>
      <c r="F4509" s="3" t="n">
        <v>296705</v>
      </c>
      <c r="G4509" s="143" t="n"/>
      <c r="H4509" s="143" t="n">
        <v>221</v>
      </c>
      <c r="I4509" s="143">
        <f>+I4508+(G4509-H4509)</f>
        <v/>
      </c>
      <c r="J4509" s="144" t="n">
        <v>46.218</v>
      </c>
      <c r="K4509" s="145" t="n"/>
      <c r="L4509" s="140">
        <f>+H4509*J4509</f>
        <v/>
      </c>
      <c r="M4509" s="141">
        <f>SUM(M4508+K4509-L4509)</f>
        <v/>
      </c>
    </row>
    <row r="4510">
      <c r="A4510" s="20" t="n">
        <v>45894</v>
      </c>
      <c r="B4510" s="1" t="n">
        <v>211</v>
      </c>
      <c r="C4510" s="2" t="inlineStr">
        <is>
          <t>SELİM İNŞAAT</t>
        </is>
      </c>
      <c r="D4510" s="1" t="inlineStr">
        <is>
          <t>34 JGR 15</t>
        </is>
      </c>
      <c r="E4510" s="1" t="inlineStr">
        <is>
          <t>BAYRAM SANCAK</t>
        </is>
      </c>
      <c r="F4510" s="3" t="n">
        <v>315205</v>
      </c>
      <c r="G4510" s="143" t="n"/>
      <c r="H4510" s="143" t="n">
        <v>61</v>
      </c>
      <c r="I4510" s="143">
        <f>+I4509+(G4510-H4510)</f>
        <v/>
      </c>
      <c r="J4510" s="144" t="n">
        <v>46.218</v>
      </c>
      <c r="K4510" s="145" t="n"/>
      <c r="L4510" s="140">
        <f>+H4510*J4510</f>
        <v/>
      </c>
      <c r="M4510" s="141">
        <f>SUM(M4509+K4510-L4510)</f>
        <v/>
      </c>
    </row>
    <row r="4511">
      <c r="A4511" s="20" t="n">
        <v>45894</v>
      </c>
      <c r="B4511" s="1" t="n">
        <v>2607</v>
      </c>
      <c r="C4511" s="2" t="inlineStr">
        <is>
          <t>SELİM İNŞAAT</t>
        </is>
      </c>
      <c r="D4511" s="1" t="inlineStr">
        <is>
          <t>34 GU 945</t>
        </is>
      </c>
      <c r="E4511" s="1" t="inlineStr">
        <is>
          <t>ŞERİF KARTAL</t>
        </is>
      </c>
      <c r="F4511" s="3" t="n">
        <v>456396</v>
      </c>
      <c r="G4511" s="143" t="n"/>
      <c r="H4511" s="143" t="n">
        <v>49</v>
      </c>
      <c r="I4511" s="143">
        <f>+I4510+(G4511-H4511)</f>
        <v/>
      </c>
      <c r="J4511" s="144" t="n">
        <v>46.218</v>
      </c>
      <c r="K4511" s="145" t="n"/>
      <c r="L4511" s="140">
        <f>+H4511*J4511</f>
        <v/>
      </c>
      <c r="M4511" s="141">
        <f>SUM(M4510+K4511-L4511)</f>
        <v/>
      </c>
    </row>
    <row r="4512">
      <c r="A4512" s="20" t="n">
        <v>45895</v>
      </c>
      <c r="B4512" s="21" t="n">
        <v>15697</v>
      </c>
      <c r="C4512" s="22" t="inlineStr">
        <is>
          <t>METİN ERYİĞİT</t>
        </is>
      </c>
      <c r="D4512" s="21" t="inlineStr">
        <is>
          <t>34 EGR 814</t>
        </is>
      </c>
      <c r="E4512" s="21" t="inlineStr">
        <is>
          <t>MUHAMMED YİĞİT</t>
        </is>
      </c>
      <c r="F4512" s="23" t="n">
        <v>563730</v>
      </c>
      <c r="G4512" s="138" t="n"/>
      <c r="H4512" s="138" t="n">
        <v>451</v>
      </c>
      <c r="I4512" s="138">
        <f>+I4511+(G4512-H4512)</f>
        <v/>
      </c>
      <c r="J4512" s="139" t="n">
        <v>46.218</v>
      </c>
      <c r="K4512" s="140" t="n"/>
      <c r="L4512" s="140">
        <f>+H4512*J4512</f>
        <v/>
      </c>
      <c r="M4512" s="141">
        <f>SUM(M4511+K4512-L4512)</f>
        <v/>
      </c>
    </row>
    <row r="4513">
      <c r="A4513" s="20" t="n">
        <v>45895</v>
      </c>
      <c r="B4513" s="21" t="n">
        <v>15641</v>
      </c>
      <c r="C4513" s="22" t="inlineStr">
        <is>
          <t>METİN ERYİĞİT</t>
        </is>
      </c>
      <c r="D4513" s="21" t="inlineStr">
        <is>
          <t>34 EGS 013</t>
        </is>
      </c>
      <c r="E4513" s="21" t="inlineStr">
        <is>
          <t>UĞUR DUMAN</t>
        </is>
      </c>
      <c r="F4513" s="23" t="n">
        <v>509153</v>
      </c>
      <c r="G4513" s="138" t="n"/>
      <c r="H4513" s="138" t="n">
        <v>397</v>
      </c>
      <c r="I4513" s="138">
        <f>+I4512+(G4513-H4513)</f>
        <v/>
      </c>
      <c r="J4513" s="139" t="n">
        <v>46.218</v>
      </c>
      <c r="K4513" s="140" t="n"/>
      <c r="L4513" s="140">
        <f>+H4513*J4513</f>
        <v/>
      </c>
      <c r="M4513" s="141">
        <f>SUM(M4512+K4513-L4513)</f>
        <v/>
      </c>
    </row>
    <row r="4514">
      <c r="A4514" s="20" t="n">
        <v>45895</v>
      </c>
      <c r="B4514" s="21" t="n">
        <v>725</v>
      </c>
      <c r="C4514" s="22" t="inlineStr">
        <is>
          <t>METİN ERYİĞİT</t>
        </is>
      </c>
      <c r="D4514" s="21" t="inlineStr">
        <is>
          <t>34 GBL 998</t>
        </is>
      </c>
      <c r="E4514" s="21" t="inlineStr">
        <is>
          <t>M.ALİ KESKİN</t>
        </is>
      </c>
      <c r="F4514" s="23" t="n">
        <v>289966</v>
      </c>
      <c r="G4514" s="138" t="n"/>
      <c r="H4514" s="138" t="n">
        <v>409</v>
      </c>
      <c r="I4514" s="138">
        <f>+I4513+(G4514-H4514)</f>
        <v/>
      </c>
      <c r="J4514" s="139" t="n">
        <v>46.218</v>
      </c>
      <c r="K4514" s="140" t="n"/>
      <c r="L4514" s="140">
        <f>+H4514*J4514</f>
        <v/>
      </c>
      <c r="M4514" s="141">
        <f>SUM(M4513+K4514-L4514)</f>
        <v/>
      </c>
    </row>
    <row r="4515">
      <c r="A4515" s="20" t="n">
        <v>45895</v>
      </c>
      <c r="B4515" s="21" t="n">
        <v>2213</v>
      </c>
      <c r="C4515" s="22" t="inlineStr">
        <is>
          <t>AZGÜN YAPI</t>
        </is>
      </c>
      <c r="D4515" s="21" t="inlineStr">
        <is>
          <t>34 DTV 263</t>
        </is>
      </c>
      <c r="E4515" s="21" t="inlineStr">
        <is>
          <t>MUHAMMED BULUT</t>
        </is>
      </c>
      <c r="F4515" s="23" t="n"/>
      <c r="G4515" s="138" t="n"/>
      <c r="H4515" s="138" t="n">
        <v>232</v>
      </c>
      <c r="I4515" s="138">
        <f>+I4514+(G4515-H4515)</f>
        <v/>
      </c>
      <c r="J4515" s="139" t="n">
        <v>46.218</v>
      </c>
      <c r="K4515" s="140" t="n"/>
      <c r="L4515" s="140">
        <f>+H4515*J4515</f>
        <v/>
      </c>
      <c r="M4515" s="141">
        <f>SUM(M4514+K4515-L4515)</f>
        <v/>
      </c>
    </row>
    <row r="4516">
      <c r="A4516" s="20" t="n">
        <v>45895</v>
      </c>
      <c r="B4516" s="1" t="n">
        <v>2106</v>
      </c>
      <c r="C4516" s="2" t="inlineStr">
        <is>
          <t>VARLIK</t>
        </is>
      </c>
      <c r="D4516" s="1" t="inlineStr">
        <is>
          <t>ZOMLİON</t>
        </is>
      </c>
      <c r="E4516" s="1" t="inlineStr">
        <is>
          <t>SALİH ŞOLAN</t>
        </is>
      </c>
      <c r="F4516" s="3" t="n"/>
      <c r="G4516" s="143" t="n"/>
      <c r="H4516" s="143" t="n">
        <v>334</v>
      </c>
      <c r="I4516" s="143">
        <f>+I4515+(G4516-H4516)</f>
        <v/>
      </c>
      <c r="J4516" s="144" t="n">
        <v>46.218</v>
      </c>
      <c r="K4516" s="145" t="n"/>
      <c r="L4516" s="140">
        <f>+H4516*J4516</f>
        <v/>
      </c>
      <c r="M4516" s="141">
        <f>SUM(M4515+K4516-L4516)</f>
        <v/>
      </c>
    </row>
    <row r="4517">
      <c r="A4517" s="20" t="n">
        <v>45895</v>
      </c>
      <c r="B4517" s="1" t="n">
        <v>2107</v>
      </c>
      <c r="C4517" s="2" t="inlineStr">
        <is>
          <t>VARLIK</t>
        </is>
      </c>
      <c r="D4517" s="1" t="inlineStr">
        <is>
          <t>SM 300</t>
        </is>
      </c>
      <c r="E4517" s="1" t="inlineStr">
        <is>
          <t>MEHMET ALİ SANCAK</t>
        </is>
      </c>
      <c r="F4517" s="3" t="n"/>
      <c r="G4517" s="143" t="n"/>
      <c r="H4517" s="143" t="n">
        <v>356</v>
      </c>
      <c r="I4517" s="143">
        <f>+I4516+(G4517-H4517)</f>
        <v/>
      </c>
      <c r="J4517" s="144" t="n">
        <v>46.218</v>
      </c>
      <c r="K4517" s="145" t="n"/>
      <c r="L4517" s="140">
        <f>+H4517*J4517</f>
        <v/>
      </c>
      <c r="M4517" s="141">
        <f>SUM(M4516+K4517-L4517)</f>
        <v/>
      </c>
    </row>
    <row r="4518">
      <c r="A4518" s="20" t="n">
        <v>45895</v>
      </c>
      <c r="B4518" s="1" t="n">
        <v>2108</v>
      </c>
      <c r="C4518" s="2" t="inlineStr">
        <is>
          <t>HASALTUN</t>
        </is>
      </c>
      <c r="D4518" s="1" t="inlineStr">
        <is>
          <t>RT 650 SARI VİNÇ</t>
        </is>
      </c>
      <c r="E4518" s="1" t="inlineStr">
        <is>
          <t>ALİHAN DUMAN</t>
        </is>
      </c>
      <c r="F4518" s="3" t="n"/>
      <c r="G4518" s="143" t="n"/>
      <c r="H4518" s="143" t="n">
        <v>162</v>
      </c>
      <c r="I4518" s="143">
        <f>+I4517+(G4518-H4518)</f>
        <v/>
      </c>
      <c r="J4518" s="144" t="n">
        <v>46.218</v>
      </c>
      <c r="K4518" s="145" t="n"/>
      <c r="L4518" s="140">
        <f>+H4518*J4518</f>
        <v/>
      </c>
      <c r="M4518" s="141">
        <f>SUM(M4517+K4518-L4518)</f>
        <v/>
      </c>
    </row>
    <row r="4519">
      <c r="A4519" s="20" t="n">
        <v>45895</v>
      </c>
      <c r="B4519" s="1" t="n">
        <v>2109</v>
      </c>
      <c r="C4519" s="2" t="inlineStr">
        <is>
          <t>EVKUR</t>
        </is>
      </c>
      <c r="D4519" s="1" t="inlineStr">
        <is>
          <t>KAVAZAKİ</t>
        </is>
      </c>
      <c r="E4519" s="1" t="inlineStr">
        <is>
          <t>RAMAZAN KAYA</t>
        </is>
      </c>
      <c r="F4519" s="3" t="n"/>
      <c r="G4519" s="143" t="n"/>
      <c r="H4519" s="143" t="n">
        <v>268</v>
      </c>
      <c r="I4519" s="143">
        <f>+I4518+(G4519-H4519)</f>
        <v/>
      </c>
      <c r="J4519" s="144" t="n">
        <v>46.218</v>
      </c>
      <c r="K4519" s="145" t="n"/>
      <c r="L4519" s="140">
        <f>+H4519*J4519</f>
        <v/>
      </c>
      <c r="M4519" s="141">
        <f>SUM(M4518+K4519-L4519)</f>
        <v/>
      </c>
    </row>
    <row r="4520">
      <c r="A4520" s="20" t="n">
        <v>45895</v>
      </c>
      <c r="B4520" s="1" t="n">
        <v>2110</v>
      </c>
      <c r="C4520" s="2" t="inlineStr">
        <is>
          <t>MEGA VARLIK</t>
        </is>
      </c>
      <c r="D4520" s="1" t="inlineStr">
        <is>
          <t>SM 350</t>
        </is>
      </c>
      <c r="E4520" s="1" t="inlineStr">
        <is>
          <t>AHMET AKGÜL</t>
        </is>
      </c>
      <c r="F4520" s="3" t="n"/>
      <c r="G4520" s="143" t="n"/>
      <c r="H4520" s="143" t="n">
        <v>409</v>
      </c>
      <c r="I4520" s="143">
        <f>+I4519+(G4520-H4520)</f>
        <v/>
      </c>
      <c r="J4520" s="144" t="n">
        <v>46.218</v>
      </c>
      <c r="K4520" s="145" t="n"/>
      <c r="L4520" s="140">
        <f>+H4520*J4520</f>
        <v/>
      </c>
      <c r="M4520" s="141">
        <f>SUM(M4519+K4520-L4520)</f>
        <v/>
      </c>
    </row>
    <row r="4521">
      <c r="A4521" s="20" t="n">
        <v>45895</v>
      </c>
      <c r="B4521" s="1" t="n">
        <v>2111</v>
      </c>
      <c r="C4521" s="2" t="inlineStr">
        <is>
          <t>MEGA VARLIK</t>
        </is>
      </c>
      <c r="D4521" s="1" t="inlineStr">
        <is>
          <t>SM 350</t>
        </is>
      </c>
      <c r="E4521" s="1" t="inlineStr">
        <is>
          <t>TEVFİK ÖZTÜRK</t>
        </is>
      </c>
      <c r="F4521" s="3" t="n"/>
      <c r="G4521" s="143" t="n"/>
      <c r="H4521" s="143" t="n">
        <v>403</v>
      </c>
      <c r="I4521" s="143">
        <f>+I4520+(G4521-H4521)</f>
        <v/>
      </c>
      <c r="J4521" s="144" t="n">
        <v>46.218</v>
      </c>
      <c r="K4521" s="145" t="n"/>
      <c r="L4521" s="140">
        <f>+H4521*J4521</f>
        <v/>
      </c>
      <c r="M4521" s="141">
        <f>SUM(M4520+K4521-L4521)</f>
        <v/>
      </c>
    </row>
    <row r="4522">
      <c r="A4522" s="20" t="n">
        <v>45895</v>
      </c>
      <c r="B4522" s="1" t="n">
        <v>2112</v>
      </c>
      <c r="C4522" s="2" t="inlineStr">
        <is>
          <t>MEGA VARLIK</t>
        </is>
      </c>
      <c r="D4522" s="1" t="inlineStr">
        <is>
          <t>SM 370</t>
        </is>
      </c>
      <c r="E4522" s="1" t="inlineStr">
        <is>
          <t>TEKİN ŞEYLAN</t>
        </is>
      </c>
      <c r="F4522" s="3" t="n"/>
      <c r="G4522" s="143" t="n"/>
      <c r="H4522" s="143" t="n">
        <v>305</v>
      </c>
      <c r="I4522" s="143">
        <f>+I4521+(G4522-H4522)</f>
        <v/>
      </c>
      <c r="J4522" s="144" t="n">
        <v>46.218</v>
      </c>
      <c r="K4522" s="145" t="n"/>
      <c r="L4522" s="140">
        <f>+H4522*J4522</f>
        <v/>
      </c>
      <c r="M4522" s="141">
        <f>SUM(M4521+K4522-L4522)</f>
        <v/>
      </c>
    </row>
    <row r="4523">
      <c r="A4523" s="20" t="n">
        <v>45895</v>
      </c>
      <c r="B4523" s="1" t="n">
        <v>2652</v>
      </c>
      <c r="C4523" s="2" t="inlineStr">
        <is>
          <t>SELİM İNŞAAT</t>
        </is>
      </c>
      <c r="D4523" s="1" t="inlineStr">
        <is>
          <t>34 DHC 467</t>
        </is>
      </c>
      <c r="E4523" s="1" t="inlineStr">
        <is>
          <t>SEZGİN KOCAGİL</t>
        </is>
      </c>
      <c r="F4523" s="3" t="n">
        <v>417903</v>
      </c>
      <c r="G4523" s="143" t="n"/>
      <c r="H4523" s="143" t="n">
        <v>530</v>
      </c>
      <c r="I4523" s="143">
        <f>+I4522+(G4523-H4523)</f>
        <v/>
      </c>
      <c r="J4523" s="144" t="n">
        <v>46.218</v>
      </c>
      <c r="K4523" s="145" t="n"/>
      <c r="L4523" s="140">
        <f>+H4523*J4523</f>
        <v/>
      </c>
      <c r="M4523" s="141">
        <f>SUM(M4522+K4523-L4523)</f>
        <v/>
      </c>
    </row>
    <row r="4524">
      <c r="A4524" s="20" t="n">
        <v>45895</v>
      </c>
      <c r="B4524" s="1" t="n">
        <v>1267</v>
      </c>
      <c r="C4524" s="2" t="inlineStr">
        <is>
          <t>SELİM İNŞAAT</t>
        </is>
      </c>
      <c r="D4524" s="1" t="inlineStr">
        <is>
          <t>34 DSN 621</t>
        </is>
      </c>
      <c r="E4524" s="1" t="inlineStr">
        <is>
          <t>MUSTAFA KAYA</t>
        </is>
      </c>
      <c r="F4524" s="3" t="n">
        <v>428351</v>
      </c>
      <c r="G4524" s="143" t="n"/>
      <c r="H4524" s="143" t="n">
        <v>393</v>
      </c>
      <c r="I4524" s="143">
        <f>+I4523+(G4524-H4524)</f>
        <v/>
      </c>
      <c r="J4524" s="144" t="n">
        <v>46.218</v>
      </c>
      <c r="K4524" s="145" t="n"/>
      <c r="L4524" s="140">
        <f>+H4524*J4524</f>
        <v/>
      </c>
      <c r="M4524" s="141">
        <f>SUM(M4523+K4524-L4524)</f>
        <v/>
      </c>
    </row>
    <row r="4525">
      <c r="A4525" s="20" t="n">
        <v>45895</v>
      </c>
      <c r="B4525" s="1" t="n">
        <v>15081</v>
      </c>
      <c r="C4525" s="2" t="inlineStr">
        <is>
          <t>SELİM İNŞAAT</t>
        </is>
      </c>
      <c r="D4525" s="1" t="inlineStr">
        <is>
          <t>34 EGR 736</t>
        </is>
      </c>
      <c r="E4525" s="1" t="inlineStr">
        <is>
          <t>HAKAN ÇAVUŞOĞLU</t>
        </is>
      </c>
      <c r="F4525" s="3" t="n">
        <v>408722</v>
      </c>
      <c r="G4525" s="143" t="n"/>
      <c r="H4525" s="143" t="n">
        <v>471</v>
      </c>
      <c r="I4525" s="143">
        <f>+I4524+(G4525-H4525)</f>
        <v/>
      </c>
      <c r="J4525" s="144" t="n">
        <v>46.218</v>
      </c>
      <c r="K4525" s="145" t="n"/>
      <c r="L4525" s="140">
        <f>+H4525*J4525</f>
        <v/>
      </c>
      <c r="M4525" s="141">
        <f>SUM(M4524+K4525-L4525)</f>
        <v/>
      </c>
    </row>
    <row r="4526">
      <c r="A4526" s="20" t="n">
        <v>45895</v>
      </c>
      <c r="B4526" s="1" t="n">
        <v>1019</v>
      </c>
      <c r="C4526" s="2" t="inlineStr">
        <is>
          <t>SELİM İNŞAAT</t>
        </is>
      </c>
      <c r="D4526" s="1" t="inlineStr">
        <is>
          <t>34 DHH 668</t>
        </is>
      </c>
      <c r="E4526" s="1" t="inlineStr">
        <is>
          <t>ADNAN KOÇ</t>
        </is>
      </c>
      <c r="F4526" s="3" t="n">
        <v>400273</v>
      </c>
      <c r="G4526" s="143" t="n"/>
      <c r="H4526" s="143" t="n">
        <v>289</v>
      </c>
      <c r="I4526" s="143">
        <f>+I4525+(G4526-H4526)</f>
        <v/>
      </c>
      <c r="J4526" s="144" t="n">
        <v>46.218</v>
      </c>
      <c r="K4526" s="145" t="n"/>
      <c r="L4526" s="140">
        <f>+H4526*J4526</f>
        <v/>
      </c>
      <c r="M4526" s="141">
        <f>SUM(M4525+K4526-L4526)</f>
        <v/>
      </c>
    </row>
    <row r="4527">
      <c r="A4527" s="20" t="n">
        <v>45895</v>
      </c>
      <c r="B4527" s="1" t="n">
        <v>1464</v>
      </c>
      <c r="C4527" s="2" t="inlineStr">
        <is>
          <t>SELİM İNŞAAT</t>
        </is>
      </c>
      <c r="D4527" s="1" t="inlineStr">
        <is>
          <t>34 EGR 737</t>
        </is>
      </c>
      <c r="E4527" s="1" t="inlineStr">
        <is>
          <t>CEM MUHTAR</t>
        </is>
      </c>
      <c r="F4527" s="3" t="n">
        <v>432654</v>
      </c>
      <c r="G4527" s="143" t="n"/>
      <c r="H4527" s="143" t="n">
        <v>297</v>
      </c>
      <c r="I4527" s="143">
        <f>+I4526+(G4527-H4527)</f>
        <v/>
      </c>
      <c r="J4527" s="144" t="n">
        <v>46.218</v>
      </c>
      <c r="K4527" s="145" t="n"/>
      <c r="L4527" s="140">
        <f>+H4527*J4527</f>
        <v/>
      </c>
      <c r="M4527" s="141">
        <f>SUM(M4526+K4527-L4527)</f>
        <v/>
      </c>
    </row>
    <row r="4528">
      <c r="A4528" s="20" t="n">
        <v>45895</v>
      </c>
      <c r="B4528" s="1" t="n">
        <v>15381</v>
      </c>
      <c r="C4528" s="2" t="inlineStr">
        <is>
          <t>SELİM İNŞAAT</t>
        </is>
      </c>
      <c r="D4528" s="1" t="inlineStr">
        <is>
          <t>34 DTV 409</t>
        </is>
      </c>
      <c r="E4528" s="1" t="inlineStr">
        <is>
          <t>SİNAN TANRIKULU</t>
        </is>
      </c>
      <c r="F4528" s="3" t="n">
        <v>433287</v>
      </c>
      <c r="G4528" s="143" t="n"/>
      <c r="H4528" s="143" t="n">
        <v>366</v>
      </c>
      <c r="I4528" s="143">
        <f>+I4527+(G4528-H4528)</f>
        <v/>
      </c>
      <c r="J4528" s="144" t="n">
        <v>46.218</v>
      </c>
      <c r="K4528" s="145" t="n"/>
      <c r="L4528" s="140">
        <f>+H4528*J4528</f>
        <v/>
      </c>
      <c r="M4528" s="141">
        <f>SUM(M4527+K4528-L4528)</f>
        <v/>
      </c>
    </row>
    <row r="4529">
      <c r="A4529" s="20" t="n">
        <v>45895</v>
      </c>
      <c r="B4529" s="1" t="n">
        <v>15133</v>
      </c>
      <c r="C4529" s="2" t="inlineStr">
        <is>
          <t>SELİM İNŞAAT</t>
        </is>
      </c>
      <c r="D4529" s="1" t="inlineStr">
        <is>
          <t>34 DTV 599</t>
        </is>
      </c>
      <c r="E4529" s="1" t="inlineStr">
        <is>
          <t>FERHAT GÜRLER</t>
        </is>
      </c>
      <c r="F4529" s="3" t="n">
        <v>448888</v>
      </c>
      <c r="G4529" s="143" t="n"/>
      <c r="H4529" s="143" t="n">
        <v>337</v>
      </c>
      <c r="I4529" s="143">
        <f>+I4528+(G4529-H4529)</f>
        <v/>
      </c>
      <c r="J4529" s="144" t="n">
        <v>46.218</v>
      </c>
      <c r="K4529" s="145" t="n"/>
      <c r="L4529" s="140">
        <f>+H4529*J4529</f>
        <v/>
      </c>
      <c r="M4529" s="141">
        <f>SUM(M4528+K4529-L4529)</f>
        <v/>
      </c>
    </row>
    <row r="4530">
      <c r="A4530" s="20" t="n">
        <v>45895</v>
      </c>
      <c r="B4530" s="1" t="n">
        <v>15050</v>
      </c>
      <c r="C4530" s="2" t="inlineStr">
        <is>
          <t>SELİM İNŞAAT</t>
        </is>
      </c>
      <c r="D4530" s="1" t="inlineStr">
        <is>
          <t>34 GVZ 199</t>
        </is>
      </c>
      <c r="E4530" s="1" t="inlineStr">
        <is>
          <t>AHMET TOPÇU</t>
        </is>
      </c>
      <c r="F4530" s="3" t="n">
        <v>199200</v>
      </c>
      <c r="G4530" s="143" t="n"/>
      <c r="H4530" s="143" t="n">
        <v>378</v>
      </c>
      <c r="I4530" s="143">
        <f>+I4529+(G4530-H4530)</f>
        <v/>
      </c>
      <c r="J4530" s="144" t="n">
        <v>46.218</v>
      </c>
      <c r="K4530" s="145" t="n"/>
      <c r="L4530" s="140">
        <f>+H4530*J4530</f>
        <v/>
      </c>
      <c r="M4530" s="141">
        <f>SUM(M4529+K4530-L4530)</f>
        <v/>
      </c>
    </row>
    <row r="4531">
      <c r="A4531" s="20" t="n">
        <v>45895</v>
      </c>
      <c r="B4531" s="1" t="n">
        <v>126</v>
      </c>
      <c r="C4531" s="2" t="inlineStr">
        <is>
          <t>SELİM İNŞAAT</t>
        </is>
      </c>
      <c r="D4531" s="1" t="inlineStr">
        <is>
          <t>34 FBR 771</t>
        </is>
      </c>
      <c r="E4531" s="1" t="inlineStr">
        <is>
          <t>HÜSEYİN AKÇİN</t>
        </is>
      </c>
      <c r="F4531" s="3" t="n">
        <v>335801</v>
      </c>
      <c r="G4531" s="143" t="n"/>
      <c r="H4531" s="143" t="n">
        <v>492</v>
      </c>
      <c r="I4531" s="143">
        <f>+I4530+(G4531-H4531)</f>
        <v/>
      </c>
      <c r="J4531" s="144" t="n">
        <v>46.218</v>
      </c>
      <c r="K4531" s="145" t="n"/>
      <c r="L4531" s="140">
        <f>+H4531*J4531</f>
        <v/>
      </c>
      <c r="M4531" s="141">
        <f>SUM(M4530+K4531-L4531)</f>
        <v/>
      </c>
    </row>
    <row r="4532">
      <c r="A4532" s="20" t="n">
        <v>45895</v>
      </c>
      <c r="B4532" s="1" t="n">
        <v>865</v>
      </c>
      <c r="C4532" s="2" t="inlineStr">
        <is>
          <t>SELİM İNŞAAT</t>
        </is>
      </c>
      <c r="D4532" s="1" t="inlineStr">
        <is>
          <t>34 FSG 229</t>
        </is>
      </c>
      <c r="E4532" s="1" t="inlineStr">
        <is>
          <t>SİNAN TANRIVERDİ</t>
        </is>
      </c>
      <c r="F4532" s="3" t="n">
        <v>273506</v>
      </c>
      <c r="G4532" s="143" t="n"/>
      <c r="H4532" s="143" t="n">
        <v>333</v>
      </c>
      <c r="I4532" s="143">
        <f>+I4531+(G4532-H4532)</f>
        <v/>
      </c>
      <c r="J4532" s="144" t="n">
        <v>46.218</v>
      </c>
      <c r="K4532" s="145" t="n"/>
      <c r="L4532" s="140">
        <f>+H4532*J4532</f>
        <v/>
      </c>
      <c r="M4532" s="141">
        <f>SUM(M4531+K4532-L4532)</f>
        <v/>
      </c>
    </row>
    <row r="4533">
      <c r="A4533" s="20" t="n">
        <v>45895</v>
      </c>
      <c r="B4533" s="1" t="n">
        <v>668</v>
      </c>
      <c r="C4533" s="2" t="inlineStr">
        <is>
          <t>SELİM İNŞAAT</t>
        </is>
      </c>
      <c r="D4533" s="1" t="inlineStr">
        <is>
          <t>34 DTV 352</t>
        </is>
      </c>
      <c r="E4533" s="1" t="inlineStr">
        <is>
          <t>AHMET DENİZ</t>
        </is>
      </c>
      <c r="F4533" s="3" t="n">
        <v>445684</v>
      </c>
      <c r="G4533" s="143" t="n"/>
      <c r="H4533" s="143" t="n">
        <v>371</v>
      </c>
      <c r="I4533" s="143">
        <f>+I4532+(G4533-H4533)</f>
        <v/>
      </c>
      <c r="J4533" s="144" t="n">
        <v>46.218</v>
      </c>
      <c r="K4533" s="145" t="n"/>
      <c r="L4533" s="140">
        <f>+H4533*J4533</f>
        <v/>
      </c>
      <c r="M4533" s="141">
        <f>SUM(M4532+K4533-L4533)</f>
        <v/>
      </c>
    </row>
    <row r="4534">
      <c r="A4534" s="20" t="n">
        <v>45895</v>
      </c>
      <c r="B4534" s="1" t="n">
        <v>15988</v>
      </c>
      <c r="C4534" s="2" t="inlineStr">
        <is>
          <t>SELİM İNŞAAT</t>
        </is>
      </c>
      <c r="D4534" s="1" t="inlineStr">
        <is>
          <t>34 FBR 781</t>
        </is>
      </c>
      <c r="E4534" s="1" t="inlineStr">
        <is>
          <t>MEVLÜT POLAT</t>
        </is>
      </c>
      <c r="F4534" s="3" t="n">
        <v>324088</v>
      </c>
      <c r="G4534" s="143" t="n"/>
      <c r="H4534" s="143" t="n">
        <v>391</v>
      </c>
      <c r="I4534" s="143">
        <f>+I4533+(G4534-H4534)</f>
        <v/>
      </c>
      <c r="J4534" s="144" t="n">
        <v>46.218</v>
      </c>
      <c r="K4534" s="145" t="n"/>
      <c r="L4534" s="140">
        <f>+H4534*J4534</f>
        <v/>
      </c>
      <c r="M4534" s="141">
        <f>SUM(M4533+K4534-L4534)</f>
        <v/>
      </c>
    </row>
    <row r="4535">
      <c r="A4535" s="20" t="n">
        <v>45895</v>
      </c>
      <c r="B4535" s="1" t="n">
        <v>1159</v>
      </c>
      <c r="C4535" s="2" t="inlineStr">
        <is>
          <t>SELİM İNŞAAT</t>
        </is>
      </c>
      <c r="D4535" s="1" t="inlineStr">
        <is>
          <t>34 DSN 536</t>
        </is>
      </c>
      <c r="E4535" s="1" t="inlineStr">
        <is>
          <t>NAZIM KARATAŞ</t>
        </is>
      </c>
      <c r="F4535" s="3" t="n">
        <v>419865</v>
      </c>
      <c r="G4535" s="143" t="n"/>
      <c r="H4535" s="143" t="n">
        <v>273</v>
      </c>
      <c r="I4535" s="143">
        <f>+I4534+(G4535-H4535)</f>
        <v/>
      </c>
      <c r="J4535" s="144" t="n">
        <v>46.218</v>
      </c>
      <c r="K4535" s="145" t="n"/>
      <c r="L4535" s="140">
        <f>+H4535*J4535</f>
        <v/>
      </c>
      <c r="M4535" s="141">
        <f>SUM(M4534+K4535-L4535)</f>
        <v/>
      </c>
    </row>
    <row r="4536">
      <c r="A4536" s="20" t="n">
        <v>45895</v>
      </c>
      <c r="B4536" s="1" t="n">
        <v>15598</v>
      </c>
      <c r="C4536" s="2" t="inlineStr">
        <is>
          <t>SELİM İNŞAAT</t>
        </is>
      </c>
      <c r="D4536" s="1" t="inlineStr">
        <is>
          <t>34 GVZ 745</t>
        </is>
      </c>
      <c r="E4536" s="1" t="inlineStr">
        <is>
          <t>MURAT DEMİRBAŞ</t>
        </is>
      </c>
      <c r="F4536" s="3" t="n">
        <v>204678</v>
      </c>
      <c r="G4536" s="143" t="n"/>
      <c r="H4536" s="143" t="n">
        <v>293</v>
      </c>
      <c r="I4536" s="143">
        <f>+I4535+(G4536-H4536)</f>
        <v/>
      </c>
      <c r="J4536" s="144" t="n">
        <v>46.218</v>
      </c>
      <c r="K4536" s="145" t="n"/>
      <c r="L4536" s="140">
        <f>+H4536*J4536</f>
        <v/>
      </c>
      <c r="M4536" s="141">
        <f>SUM(M4535+K4536-L4536)</f>
        <v/>
      </c>
    </row>
    <row r="4537">
      <c r="A4537" s="20" t="n">
        <v>45895</v>
      </c>
      <c r="B4537" s="1" t="n">
        <v>1118</v>
      </c>
      <c r="C4537" s="2" t="inlineStr">
        <is>
          <t>SELİM İNŞAAT</t>
        </is>
      </c>
      <c r="D4537" s="1" t="inlineStr">
        <is>
          <t>34 EDB 659</t>
        </is>
      </c>
      <c r="E4537" s="1" t="inlineStr">
        <is>
          <t>MEHMET SAİT ANIK</t>
        </is>
      </c>
      <c r="F4537" s="3" t="n">
        <v>359375</v>
      </c>
      <c r="G4537" s="143" t="n"/>
      <c r="H4537" s="143" t="n">
        <v>440</v>
      </c>
      <c r="I4537" s="143">
        <f>+I4536+(G4537-H4537)</f>
        <v/>
      </c>
      <c r="J4537" s="144" t="n">
        <v>46.218</v>
      </c>
      <c r="K4537" s="145" t="n"/>
      <c r="L4537" s="140">
        <f>+H4537*J4537</f>
        <v/>
      </c>
      <c r="M4537" s="141">
        <f>SUM(M4536+K4537-L4537)</f>
        <v/>
      </c>
    </row>
    <row r="4538">
      <c r="A4538" s="20" t="n">
        <v>45895</v>
      </c>
      <c r="B4538" s="1" t="n">
        <v>1072</v>
      </c>
      <c r="C4538" s="2" t="inlineStr">
        <is>
          <t>SELİM İNŞAAT</t>
        </is>
      </c>
      <c r="D4538" s="1" t="inlineStr">
        <is>
          <t>34 GVZ 310</t>
        </is>
      </c>
      <c r="E4538" s="1" t="inlineStr">
        <is>
          <t>CELAL YÜZBASI</t>
        </is>
      </c>
      <c r="F4538" s="3" t="n">
        <v>217438</v>
      </c>
      <c r="G4538" s="143" t="n"/>
      <c r="H4538" s="143" t="n">
        <v>272</v>
      </c>
      <c r="I4538" s="143">
        <f>+I4537+(G4538-H4538)</f>
        <v/>
      </c>
      <c r="J4538" s="144" t="n">
        <v>46.218</v>
      </c>
      <c r="K4538" s="145" t="n"/>
      <c r="L4538" s="140">
        <f>+H4538*J4538</f>
        <v/>
      </c>
      <c r="M4538" s="141">
        <f>SUM(M4537+K4538-L4538)</f>
        <v/>
      </c>
    </row>
    <row r="4539">
      <c r="A4539" s="20" t="n">
        <v>45895</v>
      </c>
      <c r="B4539" s="1" t="n">
        <v>15887</v>
      </c>
      <c r="C4539" s="2" t="inlineStr">
        <is>
          <t>SELİM İNŞAAT</t>
        </is>
      </c>
      <c r="D4539" s="1" t="inlineStr">
        <is>
          <t>34 EDB 754</t>
        </is>
      </c>
      <c r="E4539" s="1" t="inlineStr">
        <is>
          <t>EMİN PARLAKKILIÇ</t>
        </is>
      </c>
      <c r="F4539" s="3" t="n">
        <v>340462</v>
      </c>
      <c r="G4539" s="143" t="n"/>
      <c r="H4539" s="143" t="n">
        <v>397</v>
      </c>
      <c r="I4539" s="143">
        <f>+I4538+(G4539-H4539)</f>
        <v/>
      </c>
      <c r="J4539" s="144" t="n">
        <v>46.218</v>
      </c>
      <c r="K4539" s="145" t="n"/>
      <c r="L4539" s="140">
        <f>+H4539*J4539</f>
        <v/>
      </c>
      <c r="M4539" s="141">
        <f>SUM(M4538+K4539-L4539)</f>
        <v/>
      </c>
    </row>
    <row r="4540">
      <c r="A4540" s="20" t="n">
        <v>45895</v>
      </c>
      <c r="B4540" s="1" t="n">
        <v>2557</v>
      </c>
      <c r="C4540" s="2" t="inlineStr">
        <is>
          <t>SELİM İNŞAAT</t>
        </is>
      </c>
      <c r="D4540" s="1" t="inlineStr">
        <is>
          <t>34 GER 028</t>
        </is>
      </c>
      <c r="E4540" s="1" t="inlineStr">
        <is>
          <t>A.KERİM ERGEN</t>
        </is>
      </c>
      <c r="F4540" s="3" t="n">
        <v>51027</v>
      </c>
      <c r="G4540" s="143" t="n"/>
      <c r="H4540" s="143" t="n">
        <v>194</v>
      </c>
      <c r="I4540" s="143">
        <f>+I4539+(G4540-H4540)</f>
        <v/>
      </c>
      <c r="J4540" s="144" t="n">
        <v>46.218</v>
      </c>
      <c r="K4540" s="145" t="n"/>
      <c r="L4540" s="140">
        <f>+H4540*J4540</f>
        <v/>
      </c>
      <c r="M4540" s="141">
        <f>SUM(M4539+K4540-L4540)</f>
        <v/>
      </c>
    </row>
    <row r="4541">
      <c r="A4541" s="20" t="n">
        <v>45895</v>
      </c>
      <c r="B4541" s="1" t="n">
        <v>15946</v>
      </c>
      <c r="C4541" s="2" t="inlineStr">
        <is>
          <t>SELİM İNŞAAT</t>
        </is>
      </c>
      <c r="D4541" s="1" t="inlineStr">
        <is>
          <t>34 DFE 454</t>
        </is>
      </c>
      <c r="E4541" s="1" t="inlineStr">
        <is>
          <t>GÖRKEM KARAYEL</t>
        </is>
      </c>
      <c r="F4541" s="3" t="n">
        <v>165765</v>
      </c>
      <c r="G4541" s="143" t="n"/>
      <c r="H4541" s="143" t="n">
        <v>196</v>
      </c>
      <c r="I4541" s="143">
        <f>+I4540+(G4541-H4541)</f>
        <v/>
      </c>
      <c r="J4541" s="144" t="n">
        <v>46.218</v>
      </c>
      <c r="K4541" s="145" t="n"/>
      <c r="L4541" s="140">
        <f>+H4541*J4541</f>
        <v/>
      </c>
      <c r="M4541" s="141">
        <f>SUM(M4540+K4541-L4541)</f>
        <v/>
      </c>
    </row>
    <row r="4542">
      <c r="A4542" s="20" t="n">
        <v>45895</v>
      </c>
      <c r="B4542" s="1" t="n">
        <v>614</v>
      </c>
      <c r="C4542" s="2" t="inlineStr">
        <is>
          <t>SELİM İNŞAAT</t>
        </is>
      </c>
      <c r="D4542" s="1" t="inlineStr">
        <is>
          <t>34 AR 7743</t>
        </is>
      </c>
      <c r="E4542" s="1" t="inlineStr">
        <is>
          <t xml:space="preserve">MEHMET SELİM </t>
        </is>
      </c>
      <c r="F4542" s="3" t="n">
        <v>361367</v>
      </c>
      <c r="G4542" s="143" t="n"/>
      <c r="H4542" s="143" t="n">
        <v>53</v>
      </c>
      <c r="I4542" s="143">
        <f>+I4541+(G4542-H4542)</f>
        <v/>
      </c>
      <c r="J4542" s="144" t="n">
        <v>46.218</v>
      </c>
      <c r="K4542" s="145" t="n"/>
      <c r="L4542" s="140">
        <f>+H4542*J4542</f>
        <v/>
      </c>
      <c r="M4542" s="141">
        <f>SUM(M4541+K4542-L4542)</f>
        <v/>
      </c>
    </row>
    <row r="4543">
      <c r="A4543" s="20" t="n">
        <v>45895</v>
      </c>
      <c r="B4543" s="21" t="n">
        <v>1165</v>
      </c>
      <c r="C4543" s="22" t="inlineStr">
        <is>
          <t>ÜNSOY TURİZM İNŞ.SAN.VE TİC.A.Ş.</t>
        </is>
      </c>
      <c r="D4543" s="21" t="n"/>
      <c r="E4543" s="21" t="n"/>
      <c r="F4543" s="23" t="n"/>
      <c r="G4543" s="138" t="n">
        <v>31907</v>
      </c>
      <c r="H4543" s="138" t="n"/>
      <c r="I4543" s="138">
        <f>+I4542+(G4543-H4543)</f>
        <v/>
      </c>
      <c r="J4543" s="139">
        <f>+K4543/G4543</f>
        <v/>
      </c>
      <c r="K4543" s="140" t="n">
        <v>1429433.6</v>
      </c>
      <c r="L4543" s="140">
        <f>+H4543*J4543</f>
        <v/>
      </c>
      <c r="M4543" s="141">
        <f>SUM(M4542+K4543-L4543)</f>
        <v/>
      </c>
    </row>
    <row r="4544">
      <c r="A4544" s="20" t="n">
        <v>45896</v>
      </c>
      <c r="B4544" s="21" t="n">
        <v>1186</v>
      </c>
      <c r="C4544" s="22" t="inlineStr">
        <is>
          <t>ÜNSOY TURİZM İNŞ.SAN.VE TİC.A.Ş.</t>
        </is>
      </c>
      <c r="D4544" s="21" t="n"/>
      <c r="E4544" s="21" t="n"/>
      <c r="F4544" s="23" t="n"/>
      <c r="G4544" s="138" t="n">
        <v>31910</v>
      </c>
      <c r="H4544" s="138" t="n"/>
      <c r="I4544" s="138">
        <f>+I4543+(G4544-H4544)</f>
        <v/>
      </c>
      <c r="J4544" s="139">
        <f>+K4544/G4544</f>
        <v/>
      </c>
      <c r="K4544" s="140" t="n">
        <v>1429568</v>
      </c>
      <c r="L4544" s="140">
        <f>+H4544*J4544</f>
        <v/>
      </c>
      <c r="M4544" s="141">
        <f>SUM(M4543+K4544-L4544)</f>
        <v/>
      </c>
    </row>
    <row r="4545">
      <c r="A4545" s="20" t="n">
        <v>45896</v>
      </c>
      <c r="B4545" s="21" t="n">
        <v>2214</v>
      </c>
      <c r="C4545" s="22" t="inlineStr">
        <is>
          <t>AZGÜN YAPI</t>
        </is>
      </c>
      <c r="D4545" s="21" t="inlineStr">
        <is>
          <t>34 DTV 263</t>
        </is>
      </c>
      <c r="E4545" s="21" t="inlineStr">
        <is>
          <t>MUHAMMED BULUT</t>
        </is>
      </c>
      <c r="F4545" s="23" t="n"/>
      <c r="G4545" s="138" t="n"/>
      <c r="H4545" s="138" t="n">
        <v>226</v>
      </c>
      <c r="I4545" s="138">
        <f>+I4544+(G4545-H4545)</f>
        <v/>
      </c>
      <c r="J4545" s="139" t="n">
        <v>44.8</v>
      </c>
      <c r="K4545" s="140" t="n"/>
      <c r="L4545" s="140">
        <f>+H4545*J4545</f>
        <v/>
      </c>
      <c r="M4545" s="141">
        <f>SUM(M4544+K4545-L4545)</f>
        <v/>
      </c>
    </row>
    <row r="4546">
      <c r="A4546" s="20" t="n">
        <v>45896</v>
      </c>
      <c r="B4546" s="21" t="n">
        <v>11350</v>
      </c>
      <c r="C4546" s="22" t="inlineStr">
        <is>
          <t>AZGÜN YAPI</t>
        </is>
      </c>
      <c r="D4546" s="21" t="inlineStr">
        <is>
          <t>34 MKT 859</t>
        </is>
      </c>
      <c r="E4546" s="21" t="inlineStr">
        <is>
          <t>ONUR CANLI</t>
        </is>
      </c>
      <c r="F4546" s="23" t="n"/>
      <c r="G4546" s="138" t="n"/>
      <c r="H4546" s="138" t="n">
        <v>432</v>
      </c>
      <c r="I4546" s="138">
        <f>+I4545+(G4546-H4546)</f>
        <v/>
      </c>
      <c r="J4546" s="139" t="n">
        <v>44.8</v>
      </c>
      <c r="K4546" s="140" t="n"/>
      <c r="L4546" s="140">
        <f>+H4546*J4546</f>
        <v/>
      </c>
      <c r="M4546" s="141">
        <f>SUM(M4545+K4546-L4546)</f>
        <v/>
      </c>
    </row>
    <row r="4547">
      <c r="A4547" s="20" t="n">
        <v>45896</v>
      </c>
      <c r="B4547" s="1" t="n">
        <v>2113</v>
      </c>
      <c r="C4547" s="2" t="inlineStr">
        <is>
          <t>HASALTUN</t>
        </is>
      </c>
      <c r="D4547" s="1" t="inlineStr">
        <is>
          <t>HİTACİ</t>
        </is>
      </c>
      <c r="E4547" s="1" t="inlineStr">
        <is>
          <t>TURGUT SANCAK</t>
        </is>
      </c>
      <c r="F4547" s="3" t="n"/>
      <c r="G4547" s="143" t="n"/>
      <c r="H4547" s="143" t="n">
        <v>475</v>
      </c>
      <c r="I4547" s="143">
        <f>+I4546+(G4547-H4547)</f>
        <v/>
      </c>
      <c r="J4547" s="144" t="n">
        <v>44.8</v>
      </c>
      <c r="K4547" s="145" t="n"/>
      <c r="L4547" s="140">
        <f>+H4547*J4547</f>
        <v/>
      </c>
      <c r="M4547" s="141">
        <f>SUM(M4546+K4547-L4547)</f>
        <v/>
      </c>
    </row>
    <row r="4548">
      <c r="A4548" s="20" t="n">
        <v>45896</v>
      </c>
      <c r="B4548" s="1" t="n">
        <v>2114</v>
      </c>
      <c r="C4548" s="2" t="inlineStr">
        <is>
          <t>HASALTUN</t>
        </is>
      </c>
      <c r="D4548" s="1" t="inlineStr">
        <is>
          <t>SİLİNDİR</t>
        </is>
      </c>
      <c r="E4548" s="1" t="inlineStr">
        <is>
          <t>ÖNER DÜNDAR</t>
        </is>
      </c>
      <c r="F4548" s="3" t="n"/>
      <c r="G4548" s="143" t="n"/>
      <c r="H4548" s="143" t="n">
        <v>225</v>
      </c>
      <c r="I4548" s="143">
        <f>+I4547+(G4548-H4548)</f>
        <v/>
      </c>
      <c r="J4548" s="144" t="n">
        <v>44.8</v>
      </c>
      <c r="K4548" s="145" t="n"/>
      <c r="L4548" s="140">
        <f>+H4548*J4548</f>
        <v/>
      </c>
      <c r="M4548" s="141">
        <f>SUM(M4547+K4548-L4548)</f>
        <v/>
      </c>
    </row>
    <row r="4549">
      <c r="A4549" s="20" t="n">
        <v>45896</v>
      </c>
      <c r="B4549" s="1" t="n">
        <v>2115</v>
      </c>
      <c r="C4549" s="2" t="inlineStr">
        <is>
          <t>EVKUR</t>
        </is>
      </c>
      <c r="D4549" s="1" t="inlineStr">
        <is>
          <t>KAVAZAKİ</t>
        </is>
      </c>
      <c r="E4549" s="1" t="inlineStr">
        <is>
          <t>RAMAZAN KAYA</t>
        </is>
      </c>
      <c r="F4549" s="3" t="n"/>
      <c r="G4549" s="143" t="n"/>
      <c r="H4549" s="143" t="n">
        <v>209</v>
      </c>
      <c r="I4549" s="143">
        <f>+I4548+(G4549-H4549)</f>
        <v/>
      </c>
      <c r="J4549" s="144" t="n">
        <v>44.8</v>
      </c>
      <c r="K4549" s="145" t="n"/>
      <c r="L4549" s="140">
        <f>+H4549*J4549</f>
        <v/>
      </c>
      <c r="M4549" s="141">
        <f>SUM(M4548+K4549-L4549)</f>
        <v/>
      </c>
    </row>
    <row r="4550">
      <c r="A4550" s="20" t="n">
        <v>45896</v>
      </c>
      <c r="B4550" s="1" t="n">
        <v>2116</v>
      </c>
      <c r="C4550" s="2" t="inlineStr">
        <is>
          <t>VARLIK</t>
        </is>
      </c>
      <c r="D4550" s="1" t="inlineStr">
        <is>
          <t>SM 300</t>
        </is>
      </c>
      <c r="E4550" s="1" t="inlineStr">
        <is>
          <t>MEHMET ALİ SANCAK</t>
        </is>
      </c>
      <c r="F4550" s="3" t="n"/>
      <c r="G4550" s="143" t="n"/>
      <c r="H4550" s="143" t="n">
        <v>285</v>
      </c>
      <c r="I4550" s="143">
        <f>+I4549+(G4550-H4550)</f>
        <v/>
      </c>
      <c r="J4550" s="144" t="n">
        <v>44.8</v>
      </c>
      <c r="K4550" s="145" t="n"/>
      <c r="L4550" s="140">
        <f>+H4550*J4550</f>
        <v/>
      </c>
      <c r="M4550" s="141">
        <f>SUM(M4549+K4550-L4550)</f>
        <v/>
      </c>
    </row>
    <row r="4551">
      <c r="A4551" s="20" t="n">
        <v>45896</v>
      </c>
      <c r="B4551" s="1" t="n">
        <v>2117</v>
      </c>
      <c r="C4551" s="2" t="inlineStr">
        <is>
          <t>MEGA VARLIK</t>
        </is>
      </c>
      <c r="D4551" s="1" t="inlineStr">
        <is>
          <t>SM 350</t>
        </is>
      </c>
      <c r="E4551" s="1" t="inlineStr">
        <is>
          <t>AHMET AKGÜL</t>
        </is>
      </c>
      <c r="F4551" s="3" t="n"/>
      <c r="G4551" s="143" t="n"/>
      <c r="H4551" s="143" t="n">
        <v>349</v>
      </c>
      <c r="I4551" s="143">
        <f>+I4550+(G4551-H4551)</f>
        <v/>
      </c>
      <c r="J4551" s="144" t="n">
        <v>44.8</v>
      </c>
      <c r="K4551" s="145" t="n"/>
      <c r="L4551" s="140">
        <f>+H4551*J4551</f>
        <v/>
      </c>
      <c r="M4551" s="141">
        <f>SUM(M4550+K4551-L4551)</f>
        <v/>
      </c>
    </row>
    <row r="4552">
      <c r="A4552" s="20" t="n">
        <v>45896</v>
      </c>
      <c r="B4552" s="1" t="n">
        <v>2118</v>
      </c>
      <c r="C4552" s="2" t="inlineStr">
        <is>
          <t>MEGA VARLIK</t>
        </is>
      </c>
      <c r="D4552" s="1" t="inlineStr">
        <is>
          <t>SM 370</t>
        </is>
      </c>
      <c r="E4552" s="1" t="inlineStr">
        <is>
          <t>TEKİN ŞEYLAN</t>
        </is>
      </c>
      <c r="F4552" s="3" t="n"/>
      <c r="G4552" s="143" t="n"/>
      <c r="H4552" s="143" t="n">
        <v>312</v>
      </c>
      <c r="I4552" s="143">
        <f>+I4551+(G4552-H4552)</f>
        <v/>
      </c>
      <c r="J4552" s="144" t="n">
        <v>44.8</v>
      </c>
      <c r="K4552" s="145" t="n"/>
      <c r="L4552" s="140">
        <f>+H4552*J4552</f>
        <v/>
      </c>
      <c r="M4552" s="141">
        <f>SUM(M4551+K4552-L4552)</f>
        <v/>
      </c>
    </row>
    <row r="4553">
      <c r="A4553" s="20" t="n">
        <v>45896</v>
      </c>
      <c r="B4553" s="1" t="n">
        <v>973</v>
      </c>
      <c r="C4553" s="2" t="inlineStr">
        <is>
          <t>SELİM İNŞAAT</t>
        </is>
      </c>
      <c r="D4553" s="1" t="inlineStr">
        <is>
          <t>34 FBR 742</t>
        </is>
      </c>
      <c r="E4553" s="1" t="inlineStr">
        <is>
          <t>MİKAİL BAYILMAZ</t>
        </is>
      </c>
      <c r="F4553" s="3" t="n">
        <v>333301</v>
      </c>
      <c r="G4553" s="143" t="n"/>
      <c r="H4553" s="143" t="n">
        <v>410</v>
      </c>
      <c r="I4553" s="143">
        <f>+I4552+(G4553-H4553)</f>
        <v/>
      </c>
      <c r="J4553" s="144" t="n">
        <v>44.8</v>
      </c>
      <c r="K4553" s="145" t="n"/>
      <c r="L4553" s="140">
        <f>+H4553*J4553</f>
        <v/>
      </c>
      <c r="M4553" s="141">
        <f>SUM(M4552+K4553-L4553)</f>
        <v/>
      </c>
    </row>
    <row r="4554">
      <c r="A4554" s="20" t="n">
        <v>45896</v>
      </c>
      <c r="B4554" s="1" t="n">
        <v>14850</v>
      </c>
      <c r="C4554" s="2" t="inlineStr">
        <is>
          <t>SELİM İNŞAAT</t>
        </is>
      </c>
      <c r="D4554" s="1" t="inlineStr">
        <is>
          <t>34 GVZ 268</t>
        </is>
      </c>
      <c r="E4554" s="1" t="inlineStr">
        <is>
          <t>KERİM KARAMAN</t>
        </is>
      </c>
      <c r="F4554" s="3" t="n">
        <v>211050</v>
      </c>
      <c r="G4554" s="143" t="n"/>
      <c r="H4554" s="143" t="n">
        <v>377</v>
      </c>
      <c r="I4554" s="143">
        <f>+I4553+(G4554-H4554)</f>
        <v/>
      </c>
      <c r="J4554" s="144" t="n">
        <v>44.8</v>
      </c>
      <c r="K4554" s="145" t="n"/>
      <c r="L4554" s="140">
        <f>+H4554*J4554</f>
        <v/>
      </c>
      <c r="M4554" s="141">
        <f>SUM(M4553+K4554-L4554)</f>
        <v/>
      </c>
    </row>
    <row r="4555">
      <c r="A4555" s="20" t="n">
        <v>45896</v>
      </c>
      <c r="B4555" s="1" t="n">
        <v>33</v>
      </c>
      <c r="C4555" s="2" t="inlineStr">
        <is>
          <t>SELİM İNŞAAT</t>
        </is>
      </c>
      <c r="D4555" s="1" t="inlineStr">
        <is>
          <t>34 FBR 748</t>
        </is>
      </c>
      <c r="E4555" s="1" t="inlineStr">
        <is>
          <t>YAŞAR ÖZKAYA</t>
        </is>
      </c>
      <c r="F4555" s="3" t="n">
        <v>300483</v>
      </c>
      <c r="G4555" s="143" t="n"/>
      <c r="H4555" s="143" t="n">
        <v>398</v>
      </c>
      <c r="I4555" s="143">
        <f>+I4554+(G4555-H4555)</f>
        <v/>
      </c>
      <c r="J4555" s="144" t="n">
        <v>44.8</v>
      </c>
      <c r="K4555" s="145" t="n"/>
      <c r="L4555" s="140">
        <f>+H4555*J4555</f>
        <v/>
      </c>
      <c r="M4555" s="141">
        <f>SUM(M4554+K4555-L4555)</f>
        <v/>
      </c>
    </row>
    <row r="4556">
      <c r="A4556" s="20" t="n">
        <v>45896</v>
      </c>
      <c r="B4556" s="1" t="n">
        <v>1020</v>
      </c>
      <c r="C4556" s="2" t="inlineStr">
        <is>
          <t>SELİM İNŞAAT</t>
        </is>
      </c>
      <c r="D4556" s="1" t="inlineStr">
        <is>
          <t>34 DHH 668</t>
        </is>
      </c>
      <c r="E4556" s="1" t="inlineStr">
        <is>
          <t>ADNAN KOÇ</t>
        </is>
      </c>
      <c r="F4556" s="3" t="n">
        <v>400690</v>
      </c>
      <c r="G4556" s="143" t="n"/>
      <c r="H4556" s="143" t="n">
        <v>272</v>
      </c>
      <c r="I4556" s="143">
        <f>+I4555+(G4556-H4556)</f>
        <v/>
      </c>
      <c r="J4556" s="144" t="n">
        <v>44.8</v>
      </c>
      <c r="K4556" s="145" t="n"/>
      <c r="L4556" s="140">
        <f>+H4556*J4556</f>
        <v/>
      </c>
      <c r="M4556" s="141">
        <f>SUM(M4555+K4556-L4556)</f>
        <v/>
      </c>
    </row>
    <row r="4557">
      <c r="A4557" s="20" t="n">
        <v>45896</v>
      </c>
      <c r="B4557" s="1" t="n">
        <v>1465</v>
      </c>
      <c r="C4557" s="2" t="inlineStr">
        <is>
          <t>SELİM İNŞAAT</t>
        </is>
      </c>
      <c r="D4557" s="1" t="inlineStr">
        <is>
          <t>34 EGR 737</t>
        </is>
      </c>
      <c r="E4557" s="1" t="inlineStr">
        <is>
          <t>CEM MUHTAR</t>
        </is>
      </c>
      <c r="F4557" s="3" t="n">
        <v>432951</v>
      </c>
      <c r="G4557" s="143" t="n"/>
      <c r="H4557" s="143" t="n">
        <v>254</v>
      </c>
      <c r="I4557" s="143">
        <f>+I4556+(G4557-H4557)</f>
        <v/>
      </c>
      <c r="J4557" s="144" t="n">
        <v>44.8</v>
      </c>
      <c r="K4557" s="145" t="n"/>
      <c r="L4557" s="140">
        <f>+H4557*J4557</f>
        <v/>
      </c>
      <c r="M4557" s="141">
        <f>SUM(M4556+K4557-L4557)</f>
        <v/>
      </c>
    </row>
    <row r="4558">
      <c r="A4558" s="20" t="n">
        <v>45896</v>
      </c>
      <c r="B4558" s="1" t="n">
        <v>1715</v>
      </c>
      <c r="C4558" s="2" t="inlineStr">
        <is>
          <t>SELİM İNŞAAT</t>
        </is>
      </c>
      <c r="D4558" s="21" t="inlineStr">
        <is>
          <t>34 DGP 137</t>
        </is>
      </c>
      <c r="E4558" s="1" t="inlineStr">
        <is>
          <t>GÜRAY KOYUNCU</t>
        </is>
      </c>
      <c r="F4558" s="3" t="n">
        <v>441356</v>
      </c>
      <c r="G4558" s="143" t="n"/>
      <c r="H4558" s="143" t="n">
        <v>442</v>
      </c>
      <c r="I4558" s="143">
        <f>+I4557+(G4558-H4558)</f>
        <v/>
      </c>
      <c r="J4558" s="144" t="n">
        <v>44.8</v>
      </c>
      <c r="K4558" s="145" t="n"/>
      <c r="L4558" s="140">
        <f>+H4558*J4558</f>
        <v/>
      </c>
      <c r="M4558" s="141">
        <f>SUM(M4557+K4558-L4558)</f>
        <v/>
      </c>
    </row>
    <row r="4559">
      <c r="A4559" s="20" t="n">
        <v>45896</v>
      </c>
      <c r="B4559" s="1" t="n">
        <v>421</v>
      </c>
      <c r="C4559" s="2" t="inlineStr">
        <is>
          <t>SELİM İNŞAAT</t>
        </is>
      </c>
      <c r="D4559" s="1" t="inlineStr">
        <is>
          <t>34 DRU 690</t>
        </is>
      </c>
      <c r="E4559" s="1" t="inlineStr">
        <is>
          <t>MURAT DEMİRBAŞ</t>
        </is>
      </c>
      <c r="F4559" s="3" t="n">
        <v>432361</v>
      </c>
      <c r="G4559" s="143" t="n"/>
      <c r="H4559" s="143" t="n">
        <v>298</v>
      </c>
      <c r="I4559" s="143">
        <f>+I4558+(G4559-H4559)</f>
        <v/>
      </c>
      <c r="J4559" s="144" t="n">
        <v>44.8</v>
      </c>
      <c r="K4559" s="145" t="n"/>
      <c r="L4559" s="140">
        <f>+H4559*J4559</f>
        <v/>
      </c>
      <c r="M4559" s="141">
        <f>SUM(M4558+K4559-L4559)</f>
        <v/>
      </c>
    </row>
    <row r="4560">
      <c r="A4560" s="20" t="n">
        <v>45896</v>
      </c>
      <c r="B4560" s="1" t="n">
        <v>1812</v>
      </c>
      <c r="C4560" s="2" t="inlineStr">
        <is>
          <t>SELİM İNŞAAT</t>
        </is>
      </c>
      <c r="D4560" s="1" t="inlineStr">
        <is>
          <t>34 EGR 922</t>
        </is>
      </c>
      <c r="E4560" s="1" t="inlineStr">
        <is>
          <t>FARUK ÖZEN</t>
        </is>
      </c>
      <c r="F4560" s="3" t="n">
        <v>473401</v>
      </c>
      <c r="G4560" s="143" t="n"/>
      <c r="H4560" s="143" t="n">
        <v>470</v>
      </c>
      <c r="I4560" s="143">
        <f>+I4559+(G4560-H4560)</f>
        <v/>
      </c>
      <c r="J4560" s="144" t="n">
        <v>44.8</v>
      </c>
      <c r="K4560" s="145" t="n"/>
      <c r="L4560" s="140">
        <f>+H4560*J4560</f>
        <v/>
      </c>
      <c r="M4560" s="141">
        <f>SUM(M4559+K4560-L4560)</f>
        <v/>
      </c>
    </row>
    <row r="4561">
      <c r="A4561" s="20" t="n">
        <v>45896</v>
      </c>
      <c r="B4561" s="1" t="n">
        <v>1570</v>
      </c>
      <c r="C4561" s="2" t="inlineStr">
        <is>
          <t>SELİM İNŞAAT</t>
        </is>
      </c>
      <c r="D4561" s="1" t="inlineStr">
        <is>
          <t>34 GUS 938</t>
        </is>
      </c>
      <c r="E4561" s="1" t="inlineStr">
        <is>
          <t>MEHMET KAYA</t>
        </is>
      </c>
      <c r="F4561" s="3" t="n">
        <v>207509</v>
      </c>
      <c r="G4561" s="143" t="n"/>
      <c r="H4561" s="143" t="n">
        <v>329</v>
      </c>
      <c r="I4561" s="143">
        <f>+I4560+(G4561-H4561)</f>
        <v/>
      </c>
      <c r="J4561" s="144" t="n">
        <v>44.8</v>
      </c>
      <c r="K4561" s="145" t="n"/>
      <c r="L4561" s="140">
        <f>+H4561*J4561</f>
        <v/>
      </c>
      <c r="M4561" s="141">
        <f>SUM(M4560+K4561-L4561)</f>
        <v/>
      </c>
    </row>
    <row r="4562">
      <c r="A4562" s="20" t="n">
        <v>45896</v>
      </c>
      <c r="B4562" s="1" t="n">
        <v>669</v>
      </c>
      <c r="C4562" s="2" t="inlineStr">
        <is>
          <t>SELİM İNŞAAT</t>
        </is>
      </c>
      <c r="D4562" s="1" t="inlineStr">
        <is>
          <t>34 DTV 352</t>
        </is>
      </c>
      <c r="E4562" s="1" t="inlineStr">
        <is>
          <t>AHMET DENİZ</t>
        </is>
      </c>
      <c r="F4562" s="3" t="n">
        <v>446077</v>
      </c>
      <c r="G4562" s="143" t="n"/>
      <c r="H4562" s="143" t="n">
        <v>260</v>
      </c>
      <c r="I4562" s="143">
        <f>+I4561+(G4562-H4562)</f>
        <v/>
      </c>
      <c r="J4562" s="144" t="n">
        <v>44.8</v>
      </c>
      <c r="K4562" s="145" t="n"/>
      <c r="L4562" s="140">
        <f>+H4562*J4562</f>
        <v/>
      </c>
      <c r="M4562" s="141">
        <f>SUM(M4561+K4562-L4562)</f>
        <v/>
      </c>
    </row>
    <row r="4563">
      <c r="A4563" s="20" t="n">
        <v>45896</v>
      </c>
      <c r="B4563" s="1" t="n">
        <v>15545</v>
      </c>
      <c r="C4563" s="2" t="inlineStr">
        <is>
          <t>SELİM İNŞAAT</t>
        </is>
      </c>
      <c r="D4563" s="1" t="inlineStr">
        <is>
          <t>34 EDC 086</t>
        </is>
      </c>
      <c r="E4563" s="1" t="inlineStr">
        <is>
          <t>ÖMER AĞAYAR</t>
        </is>
      </c>
      <c r="F4563" s="3" t="n">
        <v>345575</v>
      </c>
      <c r="G4563" s="143" t="n"/>
      <c r="H4563" s="143" t="n">
        <v>330</v>
      </c>
      <c r="I4563" s="143">
        <f>+I4562+(G4563-H4563)</f>
        <v/>
      </c>
      <c r="J4563" s="144" t="n">
        <v>44.8</v>
      </c>
      <c r="K4563" s="145" t="n"/>
      <c r="L4563" s="140">
        <f>+H4563*J4563</f>
        <v/>
      </c>
      <c r="M4563" s="141">
        <f>SUM(M4562+K4563-L4563)</f>
        <v/>
      </c>
    </row>
    <row r="4564">
      <c r="A4564" s="20" t="n">
        <v>45896</v>
      </c>
      <c r="B4564" s="1" t="n">
        <v>579</v>
      </c>
      <c r="C4564" s="2" t="inlineStr">
        <is>
          <t>SELİM İNŞAAT</t>
        </is>
      </c>
      <c r="D4564" s="1" t="inlineStr">
        <is>
          <t>34 EDB 922</t>
        </is>
      </c>
      <c r="E4564" s="1" t="inlineStr">
        <is>
          <t>AHMET TOPÇU</t>
        </is>
      </c>
      <c r="F4564" s="3" t="n">
        <v>380773</v>
      </c>
      <c r="G4564" s="143" t="n"/>
      <c r="H4564" s="143" t="n">
        <v>318</v>
      </c>
      <c r="I4564" s="143">
        <f>+I4563+(G4564-H4564)</f>
        <v/>
      </c>
      <c r="J4564" s="144" t="n">
        <v>44.8</v>
      </c>
      <c r="K4564" s="145" t="n"/>
      <c r="L4564" s="140">
        <f>+H4564*J4564</f>
        <v/>
      </c>
      <c r="M4564" s="141">
        <f>SUM(M4563+K4564-L4564)</f>
        <v/>
      </c>
    </row>
    <row r="4565">
      <c r="A4565" s="20" t="n">
        <v>45896</v>
      </c>
      <c r="B4565" s="1" t="n">
        <v>15989</v>
      </c>
      <c r="C4565" s="2" t="inlineStr">
        <is>
          <t>SELİM İNŞAAT</t>
        </is>
      </c>
      <c r="D4565" s="1" t="inlineStr">
        <is>
          <t>34 FBR 781</t>
        </is>
      </c>
      <c r="E4565" s="1" t="inlineStr">
        <is>
          <t>MEVLÜT POLAT</t>
        </is>
      </c>
      <c r="F4565" s="3" t="n">
        <v>324801</v>
      </c>
      <c r="G4565" s="143" t="n"/>
      <c r="H4565" s="143" t="n">
        <v>421</v>
      </c>
      <c r="I4565" s="143">
        <f>+I4564+(G4565-H4565)</f>
        <v/>
      </c>
      <c r="J4565" s="144" t="n">
        <v>44.8</v>
      </c>
      <c r="K4565" s="145" t="n"/>
      <c r="L4565" s="140">
        <f>+H4565*J4565</f>
        <v/>
      </c>
      <c r="M4565" s="141">
        <f>SUM(M4564+K4565-L4565)</f>
        <v/>
      </c>
    </row>
    <row r="4566">
      <c r="A4566" s="20" t="n">
        <v>45896</v>
      </c>
      <c r="B4566" s="1" t="n">
        <v>14788</v>
      </c>
      <c r="C4566" s="2" t="inlineStr">
        <is>
          <t>SELİM İNŞAAT</t>
        </is>
      </c>
      <c r="D4566" s="1" t="inlineStr">
        <is>
          <t>34 GYZ 635</t>
        </is>
      </c>
      <c r="E4566" s="1" t="inlineStr">
        <is>
          <t>ENGİN DEMİR</t>
        </is>
      </c>
      <c r="F4566" s="3" t="n">
        <v>192257</v>
      </c>
      <c r="G4566" s="143" t="n"/>
      <c r="H4566" s="143" t="n">
        <v>419</v>
      </c>
      <c r="I4566" s="143">
        <f>+I4565+(G4566-H4566)</f>
        <v/>
      </c>
      <c r="J4566" s="144" t="n">
        <v>44.8</v>
      </c>
      <c r="K4566" s="145" t="n"/>
      <c r="L4566" s="140">
        <f>+H4566*J4566</f>
        <v/>
      </c>
      <c r="M4566" s="141">
        <f>SUM(M4565+K4566-L4566)</f>
        <v/>
      </c>
    </row>
    <row r="4567">
      <c r="A4567" s="20" t="n">
        <v>45896</v>
      </c>
      <c r="B4567" s="1" t="n">
        <v>15276</v>
      </c>
      <c r="C4567" s="2" t="inlineStr">
        <is>
          <t>SELİM İNŞAAT</t>
        </is>
      </c>
      <c r="D4567" s="1" t="inlineStr">
        <is>
          <t>34 DTV 447</t>
        </is>
      </c>
      <c r="E4567" s="1" t="inlineStr">
        <is>
          <t>EBUBEKİR KOLDAŞ</t>
        </is>
      </c>
      <c r="F4567" s="3" t="n">
        <v>443063</v>
      </c>
      <c r="G4567" s="143" t="n"/>
      <c r="H4567" s="143" t="n">
        <v>395</v>
      </c>
      <c r="I4567" s="143">
        <f>+I4566+(G4567-H4567)</f>
        <v/>
      </c>
      <c r="J4567" s="144" t="n">
        <v>44.8</v>
      </c>
      <c r="K4567" s="145" t="n"/>
      <c r="L4567" s="140">
        <f>+H4567*J4567</f>
        <v/>
      </c>
      <c r="M4567" s="141">
        <f>SUM(M4566+K4567-L4567)</f>
        <v/>
      </c>
    </row>
    <row r="4568">
      <c r="A4568" s="20" t="n">
        <v>45896</v>
      </c>
      <c r="B4568" s="1" t="n">
        <v>1119</v>
      </c>
      <c r="C4568" s="2" t="inlineStr">
        <is>
          <t>SELİM İNŞAAT</t>
        </is>
      </c>
      <c r="D4568" s="1" t="inlineStr">
        <is>
          <t>34 EDB 659</t>
        </is>
      </c>
      <c r="E4568" s="1" t="inlineStr">
        <is>
          <t>MEHMET SAİT ANIK</t>
        </is>
      </c>
      <c r="F4568" s="3" t="n">
        <v>359830</v>
      </c>
      <c r="G4568" s="143" t="n"/>
      <c r="H4568" s="143" t="n">
        <v>290</v>
      </c>
      <c r="I4568" s="143">
        <f>+I4567+(G4568-H4568)</f>
        <v/>
      </c>
      <c r="J4568" s="144" t="n">
        <v>44.8</v>
      </c>
      <c r="K4568" s="145" t="n"/>
      <c r="L4568" s="140">
        <f>+H4568*J4568</f>
        <v/>
      </c>
      <c r="M4568" s="141">
        <f>SUM(M4567+K4568-L4568)</f>
        <v/>
      </c>
    </row>
    <row r="4569">
      <c r="A4569" s="20" t="n">
        <v>45896</v>
      </c>
      <c r="B4569" s="1" t="n">
        <v>328</v>
      </c>
      <c r="C4569" s="2" t="inlineStr">
        <is>
          <t>SELİM İNŞAAT</t>
        </is>
      </c>
      <c r="D4569" s="1" t="inlineStr">
        <is>
          <t>34 EDB 829</t>
        </is>
      </c>
      <c r="E4569" s="1" t="inlineStr">
        <is>
          <t xml:space="preserve">İRFAN DAĞLAR </t>
        </is>
      </c>
      <c r="F4569" s="3" t="n">
        <v>334216</v>
      </c>
      <c r="G4569" s="143" t="n"/>
      <c r="H4569" s="143" t="n">
        <v>248</v>
      </c>
      <c r="I4569" s="143">
        <f>+I4568+(G4569-H4569)</f>
        <v/>
      </c>
      <c r="J4569" s="144" t="n">
        <v>44.8</v>
      </c>
      <c r="K4569" s="145" t="n"/>
      <c r="L4569" s="140">
        <f>+H4569*J4569</f>
        <v/>
      </c>
      <c r="M4569" s="141">
        <f>SUM(M4568+K4569-L4569)</f>
        <v/>
      </c>
    </row>
    <row r="4570">
      <c r="A4570" s="20" t="n">
        <v>45896</v>
      </c>
      <c r="B4570" s="1" t="n">
        <v>1411</v>
      </c>
      <c r="C4570" s="2" t="inlineStr">
        <is>
          <t>SELİM İNŞAAT</t>
        </is>
      </c>
      <c r="D4570" s="1" t="inlineStr">
        <is>
          <t>34 DKL 798</t>
        </is>
      </c>
      <c r="E4570" s="1" t="inlineStr">
        <is>
          <t>GÖRKEM KARAYEL</t>
        </is>
      </c>
      <c r="F4570" s="3" t="n">
        <v>71923</v>
      </c>
      <c r="G4570" s="143" t="n"/>
      <c r="H4570" s="143" t="n">
        <v>188</v>
      </c>
      <c r="I4570" s="143">
        <f>+I4569+(G4570-H4570)</f>
        <v/>
      </c>
      <c r="J4570" s="144" t="n">
        <v>44.8</v>
      </c>
      <c r="K4570" s="145" t="n"/>
      <c r="L4570" s="140">
        <f>+H4570*J4570</f>
        <v/>
      </c>
      <c r="M4570" s="141">
        <f>SUM(M4569+K4570-L4570)</f>
        <v/>
      </c>
    </row>
    <row r="4571">
      <c r="A4571" s="20" t="n">
        <v>45896</v>
      </c>
      <c r="B4571" s="1" t="n">
        <v>174</v>
      </c>
      <c r="C4571" s="2" t="inlineStr">
        <is>
          <t>SELİM İNŞAAT</t>
        </is>
      </c>
      <c r="D4571" s="1" t="inlineStr">
        <is>
          <t>34 TG 7869</t>
        </is>
      </c>
      <c r="E4571" s="1" t="inlineStr">
        <is>
          <t>DURSUN ALİ GÜREK</t>
        </is>
      </c>
      <c r="F4571" s="3" t="n">
        <v>188186</v>
      </c>
      <c r="G4571" s="143" t="n"/>
      <c r="H4571" s="143" t="n">
        <v>299</v>
      </c>
      <c r="I4571" s="143">
        <f>+I4570+(G4571-H4571)</f>
        <v/>
      </c>
      <c r="J4571" s="144" t="n">
        <v>44.8</v>
      </c>
      <c r="K4571" s="145" t="n"/>
      <c r="L4571" s="140">
        <f>+H4571*J4571</f>
        <v/>
      </c>
      <c r="M4571" s="141">
        <f>SUM(M4570+K4571-L4571)</f>
        <v/>
      </c>
    </row>
    <row r="4572">
      <c r="A4572" s="20" t="n">
        <v>45896</v>
      </c>
      <c r="B4572" s="1" t="n">
        <v>477</v>
      </c>
      <c r="C4572" s="2" t="inlineStr">
        <is>
          <t>SELİM İNŞAAT</t>
        </is>
      </c>
      <c r="D4572" s="1" t="inlineStr">
        <is>
          <t>34 DKL 866</t>
        </is>
      </c>
      <c r="E4572" s="1" t="inlineStr">
        <is>
          <t>SELİM CAN ÖNVER</t>
        </is>
      </c>
      <c r="F4572" s="3" t="n">
        <v>72958</v>
      </c>
      <c r="G4572" s="143" t="n"/>
      <c r="H4572" s="143" t="n">
        <v>274</v>
      </c>
      <c r="I4572" s="143">
        <f>+I4571+(G4572-H4572)</f>
        <v/>
      </c>
      <c r="J4572" s="144" t="n">
        <v>44.8</v>
      </c>
      <c r="K4572" s="145" t="n"/>
      <c r="L4572" s="140">
        <f>+H4572*J4572</f>
        <v/>
      </c>
      <c r="M4572" s="141">
        <f>SUM(M4571+K4572-L4572)</f>
        <v/>
      </c>
    </row>
    <row r="4573">
      <c r="A4573" s="20" t="n">
        <v>45896</v>
      </c>
      <c r="B4573" s="1" t="n">
        <v>15193</v>
      </c>
      <c r="C4573" s="2" t="inlineStr">
        <is>
          <t>SELİM İNŞAAT</t>
        </is>
      </c>
      <c r="D4573" s="1" t="inlineStr">
        <is>
          <t>34 DP 4161</t>
        </is>
      </c>
      <c r="E4573" s="1" t="inlineStr">
        <is>
          <t>RIFAT KARATAY</t>
        </is>
      </c>
      <c r="F4573" s="3" t="n">
        <v>297040</v>
      </c>
      <c r="G4573" s="143" t="n"/>
      <c r="H4573" s="143" t="n">
        <v>229</v>
      </c>
      <c r="I4573" s="143">
        <f>+I4572+(G4573-H4573)</f>
        <v/>
      </c>
      <c r="J4573" s="144" t="n">
        <v>44.8</v>
      </c>
      <c r="K4573" s="145" t="n"/>
      <c r="L4573" s="140">
        <f>+H4573*J4573</f>
        <v/>
      </c>
      <c r="M4573" s="141">
        <f>SUM(M4572+K4573-L4573)</f>
        <v/>
      </c>
    </row>
    <row r="4574">
      <c r="A4574" s="20" t="n">
        <v>45896</v>
      </c>
      <c r="B4574" s="1" t="n">
        <v>2608</v>
      </c>
      <c r="C4574" s="2" t="inlineStr">
        <is>
          <t>SELİM İNŞAAT</t>
        </is>
      </c>
      <c r="D4574" s="1" t="inlineStr">
        <is>
          <t>34 GU 945</t>
        </is>
      </c>
      <c r="E4574" s="1" t="inlineStr">
        <is>
          <t>ŞERİF KARTAL</t>
        </is>
      </c>
      <c r="F4574" s="3" t="n">
        <v>456622</v>
      </c>
      <c r="G4574" s="143" t="n"/>
      <c r="H4574" s="143" t="n">
        <v>39</v>
      </c>
      <c r="I4574" s="143">
        <f>+I4573+(G4574-H4574)</f>
        <v/>
      </c>
      <c r="J4574" s="144" t="n">
        <v>44.8</v>
      </c>
      <c r="K4574" s="145" t="n"/>
      <c r="L4574" s="140">
        <f>+H4574*J4574</f>
        <v/>
      </c>
      <c r="M4574" s="141">
        <f>SUM(M4573+K4574-L4574)</f>
        <v/>
      </c>
    </row>
    <row r="4575">
      <c r="A4575" s="20" t="n">
        <v>45896</v>
      </c>
      <c r="B4575" s="1" t="n">
        <v>21347</v>
      </c>
      <c r="C4575" s="2" t="inlineStr">
        <is>
          <t>SELİM İNŞAAT</t>
        </is>
      </c>
      <c r="D4575" s="1" t="inlineStr">
        <is>
          <t>34 FEM 934</t>
        </is>
      </c>
      <c r="E4575" s="1" t="inlineStr">
        <is>
          <t>SELİM CAN ÖNVER</t>
        </is>
      </c>
      <c r="F4575" s="3" t="n">
        <v>317538</v>
      </c>
      <c r="G4575" s="143" t="n"/>
      <c r="H4575" s="143" t="n">
        <v>73</v>
      </c>
      <c r="I4575" s="143">
        <f>+I4574+(G4575-H4575)</f>
        <v/>
      </c>
      <c r="J4575" s="144" t="n">
        <v>44.8</v>
      </c>
      <c r="K4575" s="145" t="n"/>
      <c r="L4575" s="140">
        <f>+H4575*J4575</f>
        <v/>
      </c>
      <c r="M4575" s="141">
        <f>SUM(M4574+K4575-L4575)</f>
        <v/>
      </c>
    </row>
    <row r="4576">
      <c r="A4576" s="20" t="n">
        <v>45897</v>
      </c>
      <c r="B4576" s="21" t="n">
        <v>15698</v>
      </c>
      <c r="C4576" s="22" t="inlineStr">
        <is>
          <t>METİN ERYİĞİT</t>
        </is>
      </c>
      <c r="D4576" s="21" t="inlineStr">
        <is>
          <t>34 EGR 814</t>
        </is>
      </c>
      <c r="E4576" s="21" t="inlineStr">
        <is>
          <t>MUHAMMED YİĞİT</t>
        </is>
      </c>
      <c r="F4576" s="23" t="n">
        <v>564470</v>
      </c>
      <c r="G4576" s="138" t="n"/>
      <c r="H4576" s="138" t="n">
        <v>429</v>
      </c>
      <c r="I4576" s="138">
        <f>+I4575+(G4576-H4576)</f>
        <v/>
      </c>
      <c r="J4576" s="139" t="n">
        <v>44.8</v>
      </c>
      <c r="K4576" s="140" t="n"/>
      <c r="L4576" s="140">
        <f>+H4576*J4576</f>
        <v/>
      </c>
      <c r="M4576" s="141">
        <f>SUM(M4575+K4576-L4576)</f>
        <v/>
      </c>
    </row>
    <row r="4577">
      <c r="A4577" s="20" t="n">
        <v>45897</v>
      </c>
      <c r="B4577" s="21" t="n">
        <v>15642</v>
      </c>
      <c r="C4577" s="22" t="inlineStr">
        <is>
          <t>METİN ERYİĞİT</t>
        </is>
      </c>
      <c r="D4577" s="21" t="inlineStr">
        <is>
          <t>34 EGS 013</t>
        </is>
      </c>
      <c r="E4577" s="21" t="inlineStr">
        <is>
          <t>UĞUR DUMAN</t>
        </is>
      </c>
      <c r="F4577" s="23" t="n">
        <v>509789</v>
      </c>
      <c r="G4577" s="138" t="n"/>
      <c r="H4577" s="138" t="n">
        <v>406</v>
      </c>
      <c r="I4577" s="138">
        <f>+I4576+(G4577-H4577)</f>
        <v/>
      </c>
      <c r="J4577" s="139" t="n">
        <v>44.8</v>
      </c>
      <c r="K4577" s="140" t="n"/>
      <c r="L4577" s="140">
        <f>+H4577*J4577</f>
        <v/>
      </c>
      <c r="M4577" s="141">
        <f>SUM(M4576+K4577-L4577)</f>
        <v/>
      </c>
    </row>
    <row r="4578">
      <c r="A4578" s="20" t="n">
        <v>45897</v>
      </c>
      <c r="B4578" s="21" t="n">
        <v>726</v>
      </c>
      <c r="C4578" s="22" t="inlineStr">
        <is>
          <t>METİN ERYİĞİT</t>
        </is>
      </c>
      <c r="D4578" s="21" t="inlineStr">
        <is>
          <t>34 GBL 998</t>
        </is>
      </c>
      <c r="E4578" s="21" t="inlineStr">
        <is>
          <t>M.ALİ KESKİN</t>
        </is>
      </c>
      <c r="F4578" s="23" t="n">
        <v>290755</v>
      </c>
      <c r="G4578" s="138" t="n"/>
      <c r="H4578" s="138" t="n">
        <v>403</v>
      </c>
      <c r="I4578" s="138">
        <f>+I4577+(G4578-H4578)</f>
        <v/>
      </c>
      <c r="J4578" s="139" t="n">
        <v>44.8</v>
      </c>
      <c r="K4578" s="140" t="n"/>
      <c r="L4578" s="140">
        <f>+H4578*J4578</f>
        <v/>
      </c>
      <c r="M4578" s="141">
        <f>SUM(M4577+K4578-L4578)</f>
        <v/>
      </c>
    </row>
    <row r="4579">
      <c r="A4579" s="20" t="n">
        <v>45897</v>
      </c>
      <c r="B4579" s="21" t="n">
        <v>2215</v>
      </c>
      <c r="C4579" s="22" t="inlineStr">
        <is>
          <t>AZGÜN YAPI</t>
        </is>
      </c>
      <c r="D4579" s="21" t="inlineStr">
        <is>
          <t>34 DTV 263</t>
        </is>
      </c>
      <c r="E4579" s="21" t="inlineStr">
        <is>
          <t>MUHAMMED BULUT</t>
        </is>
      </c>
      <c r="F4579" s="23" t="n"/>
      <c r="G4579" s="138" t="n"/>
      <c r="H4579" s="138" t="n">
        <v>225</v>
      </c>
      <c r="I4579" s="138">
        <f>+I4578+(G4579-H4579)</f>
        <v/>
      </c>
      <c r="J4579" s="139" t="n">
        <v>44.8</v>
      </c>
      <c r="K4579" s="140" t="n"/>
      <c r="L4579" s="140">
        <f>+H4579*J4579</f>
        <v/>
      </c>
      <c r="M4579" s="141">
        <f>SUM(M4578+K4579-L4579)</f>
        <v/>
      </c>
    </row>
    <row r="4580">
      <c r="A4580" s="20" t="n">
        <v>45897</v>
      </c>
      <c r="B4580" s="21" t="n">
        <v>11391</v>
      </c>
      <c r="C4580" s="22" t="inlineStr">
        <is>
          <t>AZGÜN YAPI</t>
        </is>
      </c>
      <c r="D4580" s="21" t="inlineStr">
        <is>
          <t>34 MKT 593</t>
        </is>
      </c>
      <c r="E4580" s="21" t="inlineStr">
        <is>
          <t>MESUT GÜRLER</t>
        </is>
      </c>
      <c r="F4580" s="23" t="n"/>
      <c r="G4580" s="138" t="n"/>
      <c r="H4580" s="138" t="n">
        <v>482</v>
      </c>
      <c r="I4580" s="138">
        <f>+I4579+(G4580-H4580)</f>
        <v/>
      </c>
      <c r="J4580" s="139" t="n">
        <v>44.8</v>
      </c>
      <c r="K4580" s="140" t="n"/>
      <c r="L4580" s="140">
        <f>+H4580*J4580</f>
        <v/>
      </c>
      <c r="M4580" s="141">
        <f>SUM(M4579+K4580-L4580)</f>
        <v/>
      </c>
    </row>
    <row r="4581">
      <c r="A4581" s="20" t="n">
        <v>45897</v>
      </c>
      <c r="B4581" s="21" t="n">
        <v>1916</v>
      </c>
      <c r="C4581" s="22" t="inlineStr">
        <is>
          <t>AHMET SELİM TEMHA</t>
        </is>
      </c>
      <c r="D4581" s="21" t="inlineStr">
        <is>
          <t>34 DGE 422</t>
        </is>
      </c>
      <c r="E4581" s="21" t="inlineStr">
        <is>
          <t>ERSOY SIĞINMAZ</t>
        </is>
      </c>
      <c r="F4581" s="23" t="n"/>
      <c r="G4581" s="138" t="n"/>
      <c r="H4581" s="138" t="n">
        <v>79</v>
      </c>
      <c r="I4581" s="138">
        <f>+I4580+(G4581-H4581)</f>
        <v/>
      </c>
      <c r="J4581" s="139" t="n">
        <v>44.8</v>
      </c>
      <c r="K4581" s="140" t="n"/>
      <c r="L4581" s="140">
        <f>+H4581*J4581</f>
        <v/>
      </c>
      <c r="M4581" s="141">
        <f>SUM(M4580+K4581-L4581)</f>
        <v/>
      </c>
    </row>
    <row r="4582">
      <c r="A4582" s="20" t="n">
        <v>45897</v>
      </c>
      <c r="B4582" s="21" t="n">
        <v>1917</v>
      </c>
      <c r="C4582" s="22" t="inlineStr">
        <is>
          <t>MAHMUT VİNÇ</t>
        </is>
      </c>
      <c r="D4582" s="21" t="inlineStr">
        <is>
          <t>34 AH 5401</t>
        </is>
      </c>
      <c r="E4582" s="21" t="inlineStr">
        <is>
          <t>MAHMUT YAKUPOĞLU</t>
        </is>
      </c>
      <c r="F4582" s="23" t="n"/>
      <c r="G4582" s="138" t="n"/>
      <c r="H4582" s="138" t="n">
        <v>82</v>
      </c>
      <c r="I4582" s="138">
        <f>+I4581+(G4582-H4582)</f>
        <v/>
      </c>
      <c r="J4582" s="139" t="n">
        <v>44.8</v>
      </c>
      <c r="K4582" s="140" t="n"/>
      <c r="L4582" s="140">
        <f>+H4582*J4582</f>
        <v/>
      </c>
      <c r="M4582" s="141">
        <f>SUM(M4581+K4582-L4582)</f>
        <v/>
      </c>
    </row>
    <row r="4583">
      <c r="A4583" s="20" t="n">
        <v>45897</v>
      </c>
      <c r="B4583" s="21" t="n">
        <v>2119</v>
      </c>
      <c r="C4583" s="22" t="inlineStr">
        <is>
          <t>AHMET SELİM TEMHA</t>
        </is>
      </c>
      <c r="D4583" s="21" t="inlineStr">
        <is>
          <t>ZOMLİON</t>
        </is>
      </c>
      <c r="E4583" s="21" t="inlineStr">
        <is>
          <t>TEMHA</t>
        </is>
      </c>
      <c r="F4583" s="23" t="n"/>
      <c r="G4583" s="138" t="n"/>
      <c r="H4583" s="138" t="n">
        <v>197</v>
      </c>
      <c r="I4583" s="138">
        <f>+I4582+(G4583-H4583)</f>
        <v/>
      </c>
      <c r="J4583" s="139" t="n">
        <v>44.8</v>
      </c>
      <c r="K4583" s="140" t="n"/>
      <c r="L4583" s="140">
        <f>+H4583*J4583</f>
        <v/>
      </c>
      <c r="M4583" s="141">
        <f>SUM(M4582+K4583-L4583)</f>
        <v/>
      </c>
    </row>
    <row r="4584">
      <c r="A4584" s="20" t="n">
        <v>45897</v>
      </c>
      <c r="B4584" s="21" t="n">
        <v>2120</v>
      </c>
      <c r="C4584" s="22" t="inlineStr">
        <is>
          <t>EVKUR</t>
        </is>
      </c>
      <c r="D4584" s="21" t="inlineStr">
        <is>
          <t>FOKLİFT</t>
        </is>
      </c>
      <c r="E4584" s="21" t="inlineStr">
        <is>
          <t>FAHRİ KALFA</t>
        </is>
      </c>
      <c r="F4584" s="23" t="n"/>
      <c r="G4584" s="138" t="n"/>
      <c r="H4584" s="138" t="n">
        <v>32</v>
      </c>
      <c r="I4584" s="138">
        <f>+I4583+(G4584-H4584)</f>
        <v/>
      </c>
      <c r="J4584" s="139" t="n">
        <v>44.8</v>
      </c>
      <c r="K4584" s="140" t="n"/>
      <c r="L4584" s="140">
        <f>+H4584*J4584</f>
        <v/>
      </c>
      <c r="M4584" s="141">
        <f>SUM(M4583+K4584-L4584)</f>
        <v/>
      </c>
    </row>
    <row r="4585">
      <c r="A4585" s="20" t="n">
        <v>45897</v>
      </c>
      <c r="B4585" s="21" t="n">
        <v>2121</v>
      </c>
      <c r="C4585" s="22" t="inlineStr">
        <is>
          <t>HASALTUN</t>
        </is>
      </c>
      <c r="D4585" s="21" t="inlineStr">
        <is>
          <t>FOKLİFT</t>
        </is>
      </c>
      <c r="E4585" s="21" t="inlineStr">
        <is>
          <t>FAHRİ KALFA</t>
        </is>
      </c>
      <c r="F4585" s="23" t="n"/>
      <c r="G4585" s="138" t="n"/>
      <c r="H4585" s="138" t="n">
        <v>42</v>
      </c>
      <c r="I4585" s="138">
        <f>+I4584+(G4585-H4585)</f>
        <v/>
      </c>
      <c r="J4585" s="139" t="n">
        <v>44.8</v>
      </c>
      <c r="K4585" s="140" t="n"/>
      <c r="L4585" s="140">
        <f>+H4585*J4585</f>
        <v/>
      </c>
      <c r="M4585" s="141">
        <f>SUM(M4584+K4585-L4585)</f>
        <v/>
      </c>
    </row>
    <row r="4586">
      <c r="A4586" s="20" t="n">
        <v>45897</v>
      </c>
      <c r="B4586" s="1" t="n">
        <v>2122</v>
      </c>
      <c r="C4586" s="2" t="inlineStr">
        <is>
          <t>MEGA VARLIK</t>
        </is>
      </c>
      <c r="D4586" s="1" t="inlineStr">
        <is>
          <t>SM 350</t>
        </is>
      </c>
      <c r="E4586" s="1" t="inlineStr">
        <is>
          <t>TEVFİK ÖZTÜRK</t>
        </is>
      </c>
      <c r="F4586" s="3" t="n"/>
      <c r="G4586" s="143" t="n"/>
      <c r="H4586" s="143" t="n">
        <v>499</v>
      </c>
      <c r="I4586" s="143">
        <f>+I4585+(G4586-H4586)</f>
        <v/>
      </c>
      <c r="J4586" s="144" t="n">
        <v>44.8</v>
      </c>
      <c r="K4586" s="145" t="n"/>
      <c r="L4586" s="140">
        <f>+H4586*J4586</f>
        <v/>
      </c>
      <c r="M4586" s="141">
        <f>SUM(M4585+K4586-L4586)</f>
        <v/>
      </c>
    </row>
    <row r="4587">
      <c r="A4587" s="20" t="n">
        <v>45897</v>
      </c>
      <c r="B4587" s="1" t="n">
        <v>2123</v>
      </c>
      <c r="C4587" s="2" t="inlineStr">
        <is>
          <t>MEGA VARLIK</t>
        </is>
      </c>
      <c r="D4587" s="1" t="inlineStr">
        <is>
          <t>SM 370</t>
        </is>
      </c>
      <c r="E4587" s="1" t="inlineStr">
        <is>
          <t>TEKİN ŞEYLAN</t>
        </is>
      </c>
      <c r="F4587" s="3" t="n"/>
      <c r="G4587" s="143" t="n"/>
      <c r="H4587" s="143" t="n">
        <v>298</v>
      </c>
      <c r="I4587" s="143">
        <f>+I4586+(G4587-H4587)</f>
        <v/>
      </c>
      <c r="J4587" s="144" t="n">
        <v>44.8</v>
      </c>
      <c r="K4587" s="145" t="n"/>
      <c r="L4587" s="140">
        <f>+H4587*J4587</f>
        <v/>
      </c>
      <c r="M4587" s="141">
        <f>SUM(M4586+K4587-L4587)</f>
        <v/>
      </c>
    </row>
    <row r="4588">
      <c r="A4588" s="20" t="n">
        <v>45897</v>
      </c>
      <c r="B4588" s="1" t="n">
        <v>2653</v>
      </c>
      <c r="C4588" s="2" t="inlineStr">
        <is>
          <t>SELİM İNŞAAT</t>
        </is>
      </c>
      <c r="D4588" s="1" t="inlineStr">
        <is>
          <t>34 DHC 467</t>
        </is>
      </c>
      <c r="E4588" s="1" t="inlineStr">
        <is>
          <t>SEZGİN KOCAGİL</t>
        </is>
      </c>
      <c r="F4588" s="3" t="n">
        <v>418645</v>
      </c>
      <c r="G4588" s="143" t="n"/>
      <c r="H4588" s="143" t="n">
        <v>492</v>
      </c>
      <c r="I4588" s="143">
        <f>+I4587+(G4588-H4588)</f>
        <v/>
      </c>
      <c r="J4588" s="144" t="n">
        <v>44.8</v>
      </c>
      <c r="K4588" s="145" t="n"/>
      <c r="L4588" s="140">
        <f>+H4588*J4588</f>
        <v/>
      </c>
      <c r="M4588" s="141">
        <f>SUM(M4587+K4588-L4588)</f>
        <v/>
      </c>
    </row>
    <row r="4589">
      <c r="A4589" s="20" t="n">
        <v>45897</v>
      </c>
      <c r="B4589" s="1" t="n">
        <v>14851</v>
      </c>
      <c r="C4589" s="2" t="inlineStr">
        <is>
          <t>SELİM İNŞAAT</t>
        </is>
      </c>
      <c r="D4589" s="1" t="inlineStr">
        <is>
          <t>34 GVZ 268</t>
        </is>
      </c>
      <c r="E4589" s="1" t="inlineStr">
        <is>
          <t>KERİM KARAMAN</t>
        </is>
      </c>
      <c r="F4589" s="3" t="n">
        <v>211850</v>
      </c>
      <c r="G4589" s="143" t="n"/>
      <c r="H4589" s="143" t="n">
        <v>420</v>
      </c>
      <c r="I4589" s="143">
        <f>+I4588+(G4589-H4589)</f>
        <v/>
      </c>
      <c r="J4589" s="144" t="n">
        <v>44.8</v>
      </c>
      <c r="K4589" s="145" t="n"/>
      <c r="L4589" s="140">
        <f>+H4589*J4589</f>
        <v/>
      </c>
      <c r="M4589" s="141">
        <f>SUM(M4588+K4589-L4589)</f>
        <v/>
      </c>
    </row>
    <row r="4590">
      <c r="A4590" s="20" t="n">
        <v>45897</v>
      </c>
      <c r="B4590" s="1" t="n">
        <v>34</v>
      </c>
      <c r="C4590" s="2" t="inlineStr">
        <is>
          <t>SELİM İNŞAAT</t>
        </is>
      </c>
      <c r="D4590" s="1" t="inlineStr">
        <is>
          <t>34 FBR 748</t>
        </is>
      </c>
      <c r="E4590" s="1" t="inlineStr">
        <is>
          <t>YAŞAR ÖZKAYA</t>
        </is>
      </c>
      <c r="F4590" s="3" t="n">
        <v>300979</v>
      </c>
      <c r="G4590" s="143" t="n"/>
      <c r="H4590" s="143" t="n">
        <v>290</v>
      </c>
      <c r="I4590" s="143">
        <f>+I4589+(G4590-H4590)</f>
        <v/>
      </c>
      <c r="J4590" s="144" t="n">
        <v>44.8</v>
      </c>
      <c r="K4590" s="145" t="n"/>
      <c r="L4590" s="140">
        <f>+H4590*J4590</f>
        <v/>
      </c>
      <c r="M4590" s="141">
        <f>SUM(M4589+K4590-L4590)</f>
        <v/>
      </c>
    </row>
    <row r="4591">
      <c r="A4591" s="20" t="n">
        <v>45897</v>
      </c>
      <c r="B4591" s="1" t="n">
        <v>1466</v>
      </c>
      <c r="C4591" s="2" t="inlineStr">
        <is>
          <t>SELİM İNŞAAT</t>
        </is>
      </c>
      <c r="D4591" s="1" t="inlineStr">
        <is>
          <t>34 EGR 737</t>
        </is>
      </c>
      <c r="E4591" s="1" t="inlineStr">
        <is>
          <t>CEM MUHTAR</t>
        </is>
      </c>
      <c r="F4591" s="3" t="n">
        <v>433687</v>
      </c>
      <c r="G4591" s="143" t="n"/>
      <c r="H4591" s="143" t="n">
        <v>418</v>
      </c>
      <c r="I4591" s="143">
        <f>+I4590+(G4591-H4591)</f>
        <v/>
      </c>
      <c r="J4591" s="144" t="n">
        <v>44.8</v>
      </c>
      <c r="K4591" s="145" t="n"/>
      <c r="L4591" s="140">
        <f>+H4591*J4591</f>
        <v/>
      </c>
      <c r="M4591" s="141">
        <f>SUM(M4590+K4591-L4591)</f>
        <v/>
      </c>
    </row>
    <row r="4592">
      <c r="A4592" s="20" t="n">
        <v>45897</v>
      </c>
      <c r="B4592" s="1" t="n">
        <v>15382</v>
      </c>
      <c r="C4592" s="2" t="inlineStr">
        <is>
          <t>SELİM İNŞAAT</t>
        </is>
      </c>
      <c r="D4592" s="1" t="inlineStr">
        <is>
          <t>34 DTV 409</t>
        </is>
      </c>
      <c r="E4592" s="1" t="inlineStr">
        <is>
          <t>SİNAN TANRIKULU</t>
        </is>
      </c>
      <c r="F4592" s="3" t="n">
        <v>434052</v>
      </c>
      <c r="G4592" s="143" t="n"/>
      <c r="H4592" s="143" t="n">
        <v>496</v>
      </c>
      <c r="I4592" s="143">
        <f>+I4591+(G4592-H4592)</f>
        <v/>
      </c>
      <c r="J4592" s="144" t="n">
        <v>44.8</v>
      </c>
      <c r="K4592" s="145" t="n"/>
      <c r="L4592" s="140">
        <f>+H4592*J4592</f>
        <v/>
      </c>
      <c r="M4592" s="141">
        <f>SUM(M4591+K4592-L4592)</f>
        <v/>
      </c>
    </row>
    <row r="4593">
      <c r="A4593" s="20" t="n">
        <v>45897</v>
      </c>
      <c r="B4593" s="1" t="n">
        <v>1655</v>
      </c>
      <c r="C4593" s="2" t="inlineStr">
        <is>
          <t>SELİM İNŞAAT</t>
        </is>
      </c>
      <c r="D4593" s="1" t="inlineStr">
        <is>
          <t>34 DHH 570</t>
        </is>
      </c>
      <c r="E4593" s="1" t="inlineStr">
        <is>
          <t>EBUBEKİR KOLDAŞ</t>
        </is>
      </c>
      <c r="F4593" s="3" t="n">
        <v>448359</v>
      </c>
      <c r="G4593" s="143" t="n"/>
      <c r="H4593" s="143" t="n">
        <v>440</v>
      </c>
      <c r="I4593" s="143">
        <f>+I4592+(G4593-H4593)</f>
        <v/>
      </c>
      <c r="J4593" s="144" t="n">
        <v>44.8</v>
      </c>
      <c r="K4593" s="145" t="n"/>
      <c r="L4593" s="140">
        <f>+H4593*J4593</f>
        <v/>
      </c>
      <c r="M4593" s="141">
        <f>SUM(M4592+K4593-L4593)</f>
        <v/>
      </c>
    </row>
    <row r="4594">
      <c r="A4594" s="20" t="n">
        <v>45897</v>
      </c>
      <c r="B4594" s="1" t="n">
        <v>422</v>
      </c>
      <c r="C4594" s="2" t="inlineStr">
        <is>
          <t>SELİM İNŞAAT</t>
        </is>
      </c>
      <c r="D4594" s="1" t="inlineStr">
        <is>
          <t>34 DRU 690</t>
        </is>
      </c>
      <c r="E4594" s="1" t="inlineStr">
        <is>
          <t>MURAT DEMİRBAŞ</t>
        </is>
      </c>
      <c r="F4594" s="3" t="n">
        <v>432960</v>
      </c>
      <c r="G4594" s="143" t="n"/>
      <c r="H4594" s="143" t="n">
        <v>340</v>
      </c>
      <c r="I4594" s="143">
        <f>+I4593+(G4594-H4594)</f>
        <v/>
      </c>
      <c r="J4594" s="144" t="n">
        <v>44.8</v>
      </c>
      <c r="K4594" s="145" t="n"/>
      <c r="L4594" s="140">
        <f>+H4594*J4594</f>
        <v/>
      </c>
      <c r="M4594" s="141">
        <f>SUM(M4593+K4594-L4594)</f>
        <v/>
      </c>
    </row>
    <row r="4595">
      <c r="A4595" s="20" t="n">
        <v>45897</v>
      </c>
      <c r="B4595" s="1" t="n">
        <v>127</v>
      </c>
      <c r="C4595" s="2" t="inlineStr">
        <is>
          <t>SELİM İNŞAAT</t>
        </is>
      </c>
      <c r="D4595" s="1" t="inlineStr">
        <is>
          <t>34 FBR 771</t>
        </is>
      </c>
      <c r="E4595" s="1" t="inlineStr">
        <is>
          <t>HÜSEYİN AKÇİN</t>
        </is>
      </c>
      <c r="F4595" s="3" t="n">
        <v>336346</v>
      </c>
      <c r="G4595" s="143" t="n"/>
      <c r="H4595" s="143" t="n">
        <v>339</v>
      </c>
      <c r="I4595" s="143">
        <f>+I4594+(G4595-H4595)</f>
        <v/>
      </c>
      <c r="J4595" s="144" t="n">
        <v>44.8</v>
      </c>
      <c r="K4595" s="145" t="n"/>
      <c r="L4595" s="140">
        <f>+H4595*J4595</f>
        <v/>
      </c>
      <c r="M4595" s="141">
        <f>SUM(M4594+K4595-L4595)</f>
        <v/>
      </c>
    </row>
    <row r="4596">
      <c r="A4596" s="20" t="n">
        <v>45897</v>
      </c>
      <c r="B4596" s="1" t="n">
        <v>11249</v>
      </c>
      <c r="C4596" s="2" t="inlineStr">
        <is>
          <t>SELİM İNŞAAT</t>
        </is>
      </c>
      <c r="D4596" s="1" t="inlineStr">
        <is>
          <t>34 DSN 636</t>
        </is>
      </c>
      <c r="E4596" s="1" t="inlineStr">
        <is>
          <t>MAHSUM GÜVEN</t>
        </is>
      </c>
      <c r="F4596" s="3" t="n">
        <v>405336</v>
      </c>
      <c r="G4596" s="143" t="n"/>
      <c r="H4596" s="143" t="n">
        <v>363</v>
      </c>
      <c r="I4596" s="143">
        <f>+I4595+(G4596-H4596)</f>
        <v/>
      </c>
      <c r="J4596" s="144" t="n">
        <v>44.8</v>
      </c>
      <c r="K4596" s="145" t="n"/>
      <c r="L4596" s="140">
        <f>+H4596*J4596</f>
        <v/>
      </c>
      <c r="M4596" s="141">
        <f>SUM(M4595+K4596-L4596)</f>
        <v/>
      </c>
    </row>
    <row r="4597">
      <c r="A4597" s="20" t="n">
        <v>45897</v>
      </c>
      <c r="B4597" s="1" t="n">
        <v>866</v>
      </c>
      <c r="C4597" s="2" t="inlineStr">
        <is>
          <t>SELİM İNŞAAT</t>
        </is>
      </c>
      <c r="D4597" s="1" t="inlineStr">
        <is>
          <t>34 FSG 229</t>
        </is>
      </c>
      <c r="E4597" s="1" t="inlineStr">
        <is>
          <t>SİNAN TANRIVERDİ</t>
        </is>
      </c>
      <c r="F4597" s="3" t="n">
        <v>274322</v>
      </c>
      <c r="G4597" s="143" t="n"/>
      <c r="H4597" s="143" t="n">
        <v>421</v>
      </c>
      <c r="I4597" s="143">
        <f>+I4596+(G4597-H4597)</f>
        <v/>
      </c>
      <c r="J4597" s="144" t="n">
        <v>44.8</v>
      </c>
      <c r="K4597" s="145" t="n"/>
      <c r="L4597" s="140">
        <f>+H4597*J4597</f>
        <v/>
      </c>
      <c r="M4597" s="141">
        <f>SUM(M4596+K4597-L4597)</f>
        <v/>
      </c>
    </row>
    <row r="4598">
      <c r="A4598" s="20" t="n">
        <v>45897</v>
      </c>
      <c r="B4598" s="1" t="n">
        <v>15599</v>
      </c>
      <c r="C4598" s="2" t="inlineStr">
        <is>
          <t>SELİM İNŞAAT</t>
        </is>
      </c>
      <c r="D4598" s="1" t="inlineStr">
        <is>
          <t>34 GVZ 745</t>
        </is>
      </c>
      <c r="E4598" s="1" t="inlineStr">
        <is>
          <t>MURAT DEMİRBAŞ</t>
        </is>
      </c>
      <c r="F4598" s="3" t="n">
        <v>205513</v>
      </c>
      <c r="G4598" s="143" t="n"/>
      <c r="H4598" s="143" t="n">
        <v>457</v>
      </c>
      <c r="I4598" s="143">
        <f>+I4597+(G4598-H4598)</f>
        <v/>
      </c>
      <c r="J4598" s="144" t="n">
        <v>44.8</v>
      </c>
      <c r="K4598" s="145" t="n"/>
      <c r="L4598" s="140">
        <f>+H4598*J4598</f>
        <v/>
      </c>
      <c r="M4598" s="141">
        <f>SUM(M4597+K4598-L4598)</f>
        <v/>
      </c>
    </row>
    <row r="4599">
      <c r="A4599" s="20" t="n">
        <v>45897</v>
      </c>
      <c r="B4599" s="1" t="n">
        <v>15339</v>
      </c>
      <c r="C4599" s="2" t="inlineStr">
        <is>
          <t>SELİM İNŞAAT</t>
        </is>
      </c>
      <c r="D4599" s="1" t="inlineStr">
        <is>
          <t>34 EDC 162</t>
        </is>
      </c>
      <c r="E4599" s="1" t="inlineStr">
        <is>
          <t>SELİM CAN ÖNVER</t>
        </is>
      </c>
      <c r="F4599" s="3" t="n">
        <v>385383</v>
      </c>
      <c r="G4599" s="143" t="n"/>
      <c r="H4599" s="143" t="n">
        <v>358</v>
      </c>
      <c r="I4599" s="143">
        <f>+I4598+(G4599-H4599)</f>
        <v/>
      </c>
      <c r="J4599" s="144" t="n">
        <v>44.8</v>
      </c>
      <c r="K4599" s="145" t="n"/>
      <c r="L4599" s="140">
        <f>+H4599*J4599</f>
        <v/>
      </c>
      <c r="M4599" s="141">
        <f>SUM(M4598+K4599-L4599)</f>
        <v/>
      </c>
    </row>
    <row r="4600">
      <c r="A4600" s="20" t="n">
        <v>45897</v>
      </c>
      <c r="B4600" s="1" t="n">
        <v>1073</v>
      </c>
      <c r="C4600" s="2" t="inlineStr">
        <is>
          <t>SELİM İNŞAAT</t>
        </is>
      </c>
      <c r="D4600" s="1" t="inlineStr">
        <is>
          <t>34 GVZ 310</t>
        </is>
      </c>
      <c r="E4600" s="1" t="inlineStr">
        <is>
          <t>CELAL YÜZBASI</t>
        </is>
      </c>
      <c r="F4600" s="3" t="n">
        <v>217943</v>
      </c>
      <c r="G4600" s="143" t="n"/>
      <c r="H4600" s="143" t="n">
        <v>243</v>
      </c>
      <c r="I4600" s="143">
        <f>+I4599+(G4600-H4600)</f>
        <v/>
      </c>
      <c r="J4600" s="144" t="n">
        <v>44.8</v>
      </c>
      <c r="K4600" s="145" t="n"/>
      <c r="L4600" s="140">
        <f>+H4600*J4600</f>
        <v/>
      </c>
      <c r="M4600" s="141">
        <f>SUM(M4599+K4600-L4600)</f>
        <v/>
      </c>
    </row>
    <row r="4601">
      <c r="A4601" s="20" t="n">
        <v>45897</v>
      </c>
      <c r="B4601" s="1" t="n">
        <v>329</v>
      </c>
      <c r="C4601" s="2" t="inlineStr">
        <is>
          <t>SELİM İNŞAAT</t>
        </is>
      </c>
      <c r="D4601" s="1" t="inlineStr">
        <is>
          <t>34 EDB 829</t>
        </is>
      </c>
      <c r="E4601" s="1" t="inlineStr">
        <is>
          <t xml:space="preserve">İRFAN DAĞLAR </t>
        </is>
      </c>
      <c r="F4601" s="3" t="n">
        <v>335039</v>
      </c>
      <c r="G4601" s="143" t="n"/>
      <c r="H4601" s="143" t="n">
        <v>435</v>
      </c>
      <c r="I4601" s="143">
        <f>+I4600+(G4601-H4601)</f>
        <v/>
      </c>
      <c r="J4601" s="144" t="n">
        <v>44.8</v>
      </c>
      <c r="K4601" s="145" t="n"/>
      <c r="L4601" s="140">
        <f>+H4601*J4601</f>
        <v/>
      </c>
      <c r="M4601" s="141">
        <f>SUM(M4600+K4601-L4601)</f>
        <v/>
      </c>
    </row>
    <row r="4602">
      <c r="A4602" s="20" t="n">
        <v>45897</v>
      </c>
      <c r="B4602" s="1" t="n">
        <v>15888</v>
      </c>
      <c r="C4602" s="2" t="inlineStr">
        <is>
          <t>SELİM İNŞAAT</t>
        </is>
      </c>
      <c r="D4602" s="1" t="inlineStr">
        <is>
          <t>34 EDB 754</t>
        </is>
      </c>
      <c r="E4602" s="1" t="inlineStr">
        <is>
          <t>EMİN PARLAKKILIÇ</t>
        </is>
      </c>
      <c r="F4602" s="3" t="n">
        <v>341048</v>
      </c>
      <c r="G4602" s="143" t="n"/>
      <c r="H4602" s="143" t="n">
        <v>372</v>
      </c>
      <c r="I4602" s="143">
        <f>+I4601+(G4602-H4602)</f>
        <v/>
      </c>
      <c r="J4602" s="144" t="n">
        <v>44.8</v>
      </c>
      <c r="K4602" s="145" t="n"/>
      <c r="L4602" s="140">
        <f>+H4602*J4602</f>
        <v/>
      </c>
      <c r="M4602" s="141">
        <f>SUM(M4601+K4602-L4602)</f>
        <v/>
      </c>
    </row>
    <row r="4603">
      <c r="A4603" s="20" t="n">
        <v>45897</v>
      </c>
      <c r="B4603" s="1" t="n">
        <v>615</v>
      </c>
      <c r="C4603" s="2" t="inlineStr">
        <is>
          <t>SELİM İNŞAAT</t>
        </is>
      </c>
      <c r="D4603" s="1" t="inlineStr">
        <is>
          <t>34 AR 7743</t>
        </is>
      </c>
      <c r="E4603" s="1" t="inlineStr">
        <is>
          <t xml:space="preserve">MEHMET SELİM </t>
        </is>
      </c>
      <c r="F4603" s="3" t="n">
        <v>361527</v>
      </c>
      <c r="G4603" s="143" t="n"/>
      <c r="H4603" s="143" t="n">
        <v>54</v>
      </c>
      <c r="I4603" s="143">
        <f>+I4602+(G4603-H4603)</f>
        <v/>
      </c>
      <c r="J4603" s="144" t="n">
        <v>44.8</v>
      </c>
      <c r="K4603" s="145" t="n"/>
      <c r="L4603" s="140">
        <f>+H4603*J4603</f>
        <v/>
      </c>
      <c r="M4603" s="141">
        <f>SUM(M4602+K4603-L4603)</f>
        <v/>
      </c>
    </row>
    <row r="4604">
      <c r="A4604" s="20" t="n">
        <v>45898</v>
      </c>
      <c r="B4604" s="21" t="n">
        <v>11351</v>
      </c>
      <c r="C4604" s="22" t="inlineStr">
        <is>
          <t>AZGÜN YAPI</t>
        </is>
      </c>
      <c r="D4604" s="21" t="inlineStr">
        <is>
          <t>34 MKT 859</t>
        </is>
      </c>
      <c r="E4604" s="21" t="inlineStr">
        <is>
          <t>ONUR CANLI</t>
        </is>
      </c>
      <c r="F4604" s="23" t="n"/>
      <c r="G4604" s="138" t="n"/>
      <c r="H4604" s="138" t="n">
        <v>546</v>
      </c>
      <c r="I4604" s="138">
        <f>+I4603+(G4604-H4604)</f>
        <v/>
      </c>
      <c r="J4604" s="139" t="n">
        <v>44.8</v>
      </c>
      <c r="K4604" s="140" t="n"/>
      <c r="L4604" s="140">
        <f>+H4604*J4604</f>
        <v/>
      </c>
      <c r="M4604" s="141">
        <f>SUM(M4603+K4604-L4604)</f>
        <v/>
      </c>
    </row>
    <row r="4605">
      <c r="A4605" s="20" t="n">
        <v>45898</v>
      </c>
      <c r="B4605" s="1" t="n">
        <v>2124</v>
      </c>
      <c r="C4605" s="2" t="inlineStr">
        <is>
          <t>MEGA VARLIK</t>
        </is>
      </c>
      <c r="D4605" s="1" t="inlineStr">
        <is>
          <t>SM 350</t>
        </is>
      </c>
      <c r="E4605" s="1" t="inlineStr">
        <is>
          <t>TEVFİK ÖZTÜRK</t>
        </is>
      </c>
      <c r="F4605" s="3" t="n"/>
      <c r="G4605" s="143" t="n"/>
      <c r="H4605" s="143" t="n">
        <v>330</v>
      </c>
      <c r="I4605" s="143">
        <f>+I4604+(G4605-H4605)</f>
        <v/>
      </c>
      <c r="J4605" s="144" t="n">
        <v>44.8</v>
      </c>
      <c r="K4605" s="145" t="n"/>
      <c r="L4605" s="140">
        <f>+H4605*J4605</f>
        <v/>
      </c>
      <c r="M4605" s="141">
        <f>SUM(M4604+K4605-L4605)</f>
        <v/>
      </c>
    </row>
    <row r="4606">
      <c r="A4606" s="20" t="n">
        <v>45898</v>
      </c>
      <c r="B4606" s="1" t="n">
        <v>2125</v>
      </c>
      <c r="C4606" s="2" t="inlineStr">
        <is>
          <t>MEGA VARLIK</t>
        </is>
      </c>
      <c r="D4606" s="1" t="inlineStr">
        <is>
          <t>SM 350</t>
        </is>
      </c>
      <c r="E4606" s="1" t="inlineStr">
        <is>
          <t>AHMET AKGÜL</t>
        </is>
      </c>
      <c r="F4606" s="3" t="n"/>
      <c r="G4606" s="143" t="n"/>
      <c r="H4606" s="143" t="n">
        <v>505</v>
      </c>
      <c r="I4606" s="143">
        <f>+I4605+(G4606-H4606)</f>
        <v/>
      </c>
      <c r="J4606" s="144" t="n">
        <v>44.8</v>
      </c>
      <c r="K4606" s="145" t="n"/>
      <c r="L4606" s="140">
        <f>+H4606*J4606</f>
        <v/>
      </c>
      <c r="M4606" s="141">
        <f>SUM(M4605+K4606-L4606)</f>
        <v/>
      </c>
    </row>
    <row r="4607">
      <c r="A4607" s="20" t="n">
        <v>45898</v>
      </c>
      <c r="B4607" s="1" t="n">
        <v>2126</v>
      </c>
      <c r="C4607" s="2" t="inlineStr">
        <is>
          <t>MEGA VARLIK</t>
        </is>
      </c>
      <c r="D4607" s="1" t="inlineStr">
        <is>
          <t>SM 370</t>
        </is>
      </c>
      <c r="E4607" s="1" t="inlineStr">
        <is>
          <t>TEKİN ŞEYLAN</t>
        </is>
      </c>
      <c r="F4607" s="3" t="n"/>
      <c r="G4607" s="143" t="n"/>
      <c r="H4607" s="143" t="n">
        <v>306</v>
      </c>
      <c r="I4607" s="143">
        <f>+I4606+(G4607-H4607)</f>
        <v/>
      </c>
      <c r="J4607" s="144" t="n">
        <v>44.8</v>
      </c>
      <c r="K4607" s="145" t="n"/>
      <c r="L4607" s="140">
        <f>+H4607*J4607</f>
        <v/>
      </c>
      <c r="M4607" s="141">
        <f>SUM(M4606+K4607-L4607)</f>
        <v/>
      </c>
    </row>
    <row r="4608">
      <c r="A4608" s="20" t="n">
        <v>45898</v>
      </c>
      <c r="B4608" s="1" t="n">
        <v>2127</v>
      </c>
      <c r="C4608" s="2" t="inlineStr">
        <is>
          <t>VARLIK</t>
        </is>
      </c>
      <c r="D4608" s="1" t="inlineStr">
        <is>
          <t>SM 300</t>
        </is>
      </c>
      <c r="E4608" s="1" t="inlineStr">
        <is>
          <t>MEHMET ALİ SANCAK</t>
        </is>
      </c>
      <c r="F4608" s="3" t="n"/>
      <c r="G4608" s="143" t="n"/>
      <c r="H4608" s="143" t="n">
        <v>340</v>
      </c>
      <c r="I4608" s="143">
        <f>+I4607+(G4608-H4608)</f>
        <v/>
      </c>
      <c r="J4608" s="144" t="n">
        <v>44.8</v>
      </c>
      <c r="K4608" s="145" t="n"/>
      <c r="L4608" s="140">
        <f>+H4608*J4608</f>
        <v/>
      </c>
      <c r="M4608" s="141">
        <f>SUM(M4607+K4608-L4608)</f>
        <v/>
      </c>
    </row>
    <row r="4609">
      <c r="A4609" s="20" t="n">
        <v>45898</v>
      </c>
      <c r="B4609" s="1" t="n">
        <v>2128</v>
      </c>
      <c r="C4609" s="2" t="inlineStr">
        <is>
          <t>EVKUR</t>
        </is>
      </c>
      <c r="D4609" s="1" t="inlineStr">
        <is>
          <t>HİTACİ</t>
        </is>
      </c>
      <c r="E4609" s="1" t="inlineStr">
        <is>
          <t>TURGUT SANCAK</t>
        </is>
      </c>
      <c r="F4609" s="3" t="n"/>
      <c r="G4609" s="143" t="n"/>
      <c r="H4609" s="143" t="n">
        <v>353</v>
      </c>
      <c r="I4609" s="143">
        <f>+I4608+(G4609-H4609)</f>
        <v/>
      </c>
      <c r="J4609" s="144" t="n">
        <v>44.8</v>
      </c>
      <c r="K4609" s="145" t="n"/>
      <c r="L4609" s="140">
        <f>+H4609*J4609</f>
        <v/>
      </c>
      <c r="M4609" s="141">
        <f>SUM(M4608+K4609-L4609)</f>
        <v/>
      </c>
    </row>
    <row r="4610">
      <c r="A4610" s="20" t="n">
        <v>45898</v>
      </c>
      <c r="B4610" s="1" t="n">
        <v>2129</v>
      </c>
      <c r="C4610" s="2" t="inlineStr">
        <is>
          <t>EVKUR</t>
        </is>
      </c>
      <c r="D4610" s="1" t="inlineStr">
        <is>
          <t>KAVAZAKİ</t>
        </is>
      </c>
      <c r="E4610" s="1" t="inlineStr">
        <is>
          <t>RAMAZAN KAYA</t>
        </is>
      </c>
      <c r="F4610" s="3" t="n"/>
      <c r="G4610" s="143" t="n"/>
      <c r="H4610" s="143" t="n">
        <v>212</v>
      </c>
      <c r="I4610" s="143">
        <f>+I4609+(G4610-H4610)</f>
        <v/>
      </c>
      <c r="J4610" s="144" t="n">
        <v>44.8</v>
      </c>
      <c r="K4610" s="145" t="n"/>
      <c r="L4610" s="140">
        <f>+H4610*J4610</f>
        <v/>
      </c>
      <c r="M4610" s="141">
        <f>SUM(M4609+K4610-L4610)</f>
        <v/>
      </c>
    </row>
    <row r="4611">
      <c r="A4611" s="20" t="n">
        <v>45898</v>
      </c>
      <c r="B4611" s="1" t="n">
        <v>2130</v>
      </c>
      <c r="C4611" s="2" t="inlineStr">
        <is>
          <t>EVKUR</t>
        </is>
      </c>
      <c r="D4611" s="1" t="inlineStr">
        <is>
          <t>MNT 2260</t>
        </is>
      </c>
      <c r="E4611" s="1" t="inlineStr">
        <is>
          <t>MUHAMMET KANTAR</t>
        </is>
      </c>
      <c r="F4611" s="3" t="n"/>
      <c r="G4611" s="143" t="n"/>
      <c r="H4611" s="143" t="n">
        <v>245</v>
      </c>
      <c r="I4611" s="143">
        <f>+I4610+(G4611-H4611)</f>
        <v/>
      </c>
      <c r="J4611" s="144" t="n">
        <v>44.8</v>
      </c>
      <c r="K4611" s="145" t="n"/>
      <c r="L4611" s="140">
        <f>+H4611*J4611</f>
        <v/>
      </c>
      <c r="M4611" s="141">
        <f>SUM(M4610+K4611-L4611)</f>
        <v/>
      </c>
    </row>
    <row r="4612">
      <c r="A4612" s="20" t="n">
        <v>45898</v>
      </c>
      <c r="B4612" s="1" t="n">
        <v>2131</v>
      </c>
      <c r="C4612" s="2" t="inlineStr">
        <is>
          <t>HASALTUN</t>
        </is>
      </c>
      <c r="D4612" s="1" t="inlineStr">
        <is>
          <t>KAZIK MAKİNASI</t>
        </is>
      </c>
      <c r="E4612" s="1" t="inlineStr">
        <is>
          <t>MELİH SELİM 'İN TALİMATIYLA</t>
        </is>
      </c>
      <c r="F4612" s="3" t="n"/>
      <c r="G4612" s="143" t="n"/>
      <c r="H4612" s="143" t="n">
        <v>150</v>
      </c>
      <c r="I4612" s="143">
        <f>+I4611+(G4612-H4612)</f>
        <v/>
      </c>
      <c r="J4612" s="144" t="n">
        <v>44.8</v>
      </c>
      <c r="K4612" s="145" t="n"/>
      <c r="L4612" s="140">
        <f>+H4612*J4612</f>
        <v/>
      </c>
      <c r="M4612" s="141">
        <f>SUM(M4611+K4612-L4612)</f>
        <v/>
      </c>
    </row>
    <row r="4613">
      <c r="A4613" s="20" t="n">
        <v>45898</v>
      </c>
      <c r="B4613" s="1" t="n">
        <v>14852</v>
      </c>
      <c r="C4613" s="2" t="inlineStr">
        <is>
          <t>SELİM İNŞAAT</t>
        </is>
      </c>
      <c r="D4613" s="1" t="inlineStr">
        <is>
          <t>34 GVZ 268</t>
        </is>
      </c>
      <c r="E4613" s="1" t="inlineStr">
        <is>
          <t>KERİM KARAMAN</t>
        </is>
      </c>
      <c r="F4613" s="3" t="n">
        <v>212388</v>
      </c>
      <c r="G4613" s="143" t="n"/>
      <c r="H4613" s="143" t="n">
        <v>295</v>
      </c>
      <c r="I4613" s="143">
        <f>+I4612+(G4613-H4613)</f>
        <v/>
      </c>
      <c r="J4613" s="144" t="n">
        <v>44.8</v>
      </c>
      <c r="K4613" s="145" t="n"/>
      <c r="L4613" s="140">
        <f>+H4613*J4613</f>
        <v/>
      </c>
      <c r="M4613" s="141">
        <f>SUM(M4612+K4613-L4613)</f>
        <v/>
      </c>
    </row>
    <row r="4614">
      <c r="A4614" s="20" t="n">
        <v>45898</v>
      </c>
      <c r="B4614" s="1" t="n">
        <v>15082</v>
      </c>
      <c r="C4614" s="2" t="inlineStr">
        <is>
          <t>SELİM İNŞAAT</t>
        </is>
      </c>
      <c r="D4614" s="1" t="inlineStr">
        <is>
          <t>34 EGR 736</t>
        </is>
      </c>
      <c r="E4614" s="1" t="inlineStr">
        <is>
          <t>HAKAN ÇAVUŞOĞLU</t>
        </is>
      </c>
      <c r="F4614" s="3" t="n">
        <v>409683</v>
      </c>
      <c r="G4614" s="143" t="n"/>
      <c r="H4614" s="143" t="n">
        <v>521</v>
      </c>
      <c r="I4614" s="143">
        <f>+I4613+(G4614-H4614)</f>
        <v/>
      </c>
      <c r="J4614" s="144" t="n">
        <v>44.8</v>
      </c>
      <c r="K4614" s="145" t="n"/>
      <c r="L4614" s="140">
        <f>+H4614*J4614</f>
        <v/>
      </c>
      <c r="M4614" s="141">
        <f>SUM(M4613+K4614-L4614)</f>
        <v/>
      </c>
    </row>
    <row r="4615">
      <c r="A4615" s="20" t="n">
        <v>45898</v>
      </c>
      <c r="B4615" s="1" t="n">
        <v>1021</v>
      </c>
      <c r="C4615" s="2" t="inlineStr">
        <is>
          <t>SELİM İNŞAAT</t>
        </is>
      </c>
      <c r="D4615" s="1" t="inlineStr">
        <is>
          <t>34 DHH 668</t>
        </is>
      </c>
      <c r="E4615" s="1" t="inlineStr">
        <is>
          <t>ADNAN KOÇ</t>
        </is>
      </c>
      <c r="F4615" s="3" t="n">
        <v>401546</v>
      </c>
      <c r="G4615" s="143" t="n"/>
      <c r="H4615" s="143" t="n">
        <v>510</v>
      </c>
      <c r="I4615" s="143">
        <f>+I4614+(G4615-H4615)</f>
        <v/>
      </c>
      <c r="J4615" s="144" t="n">
        <v>44.8</v>
      </c>
      <c r="K4615" s="145" t="n"/>
      <c r="L4615" s="140">
        <f>+H4615*J4615</f>
        <v/>
      </c>
      <c r="M4615" s="141">
        <f>SUM(M4614+K4615-L4615)</f>
        <v/>
      </c>
    </row>
    <row r="4616">
      <c r="A4616" s="20" t="n">
        <v>45898</v>
      </c>
      <c r="B4616" s="1" t="n">
        <v>1716</v>
      </c>
      <c r="C4616" s="2" t="inlineStr">
        <is>
          <t>SELİM İNŞAAT</t>
        </is>
      </c>
      <c r="D4616" s="21" t="inlineStr">
        <is>
          <t>34 DGP 137</t>
        </is>
      </c>
      <c r="E4616" s="1" t="inlineStr">
        <is>
          <t>GÜRAY KOYUNCU</t>
        </is>
      </c>
      <c r="F4616" s="3" t="n">
        <v>442089</v>
      </c>
      <c r="G4616" s="143" t="n"/>
      <c r="H4616" s="143" t="n">
        <v>430</v>
      </c>
      <c r="I4616" s="143">
        <f>+I4615+(G4616-H4616)</f>
        <v/>
      </c>
      <c r="J4616" s="144" t="n">
        <v>44.8</v>
      </c>
      <c r="K4616" s="145" t="n"/>
      <c r="L4616" s="140">
        <f>+H4616*J4616</f>
        <v/>
      </c>
      <c r="M4616" s="141">
        <f>SUM(M4615+K4616-L4616)</f>
        <v/>
      </c>
    </row>
    <row r="4617">
      <c r="A4617" s="20" t="n">
        <v>45898</v>
      </c>
      <c r="B4617" s="1" t="n">
        <v>1301</v>
      </c>
      <c r="C4617" s="2" t="inlineStr">
        <is>
          <t>SELİM İNŞAAT</t>
        </is>
      </c>
      <c r="D4617" s="1" t="inlineStr">
        <is>
          <t>34 GVZ 199</t>
        </is>
      </c>
      <c r="E4617" s="1" t="inlineStr">
        <is>
          <t>AHMET TOPÇU</t>
        </is>
      </c>
      <c r="F4617" s="3" t="n">
        <v>199787</v>
      </c>
      <c r="G4617" s="143" t="n"/>
      <c r="H4617" s="143" t="n">
        <v>347</v>
      </c>
      <c r="I4617" s="143">
        <f>+I4616+(G4617-H4617)</f>
        <v/>
      </c>
      <c r="J4617" s="144" t="n">
        <v>44.8</v>
      </c>
      <c r="K4617" s="145" t="n"/>
      <c r="L4617" s="140">
        <f>+H4617*J4617</f>
        <v/>
      </c>
      <c r="M4617" s="141">
        <f>SUM(M4616+K4617-L4617)</f>
        <v/>
      </c>
    </row>
    <row r="4618">
      <c r="A4618" s="20" t="n">
        <v>45898</v>
      </c>
      <c r="B4618" s="1" t="n">
        <v>11250</v>
      </c>
      <c r="C4618" s="2" t="inlineStr">
        <is>
          <t>SELİM İNŞAAT</t>
        </is>
      </c>
      <c r="D4618" s="1" t="inlineStr">
        <is>
          <t>34 DSN 636</t>
        </is>
      </c>
      <c r="E4618" s="1" t="inlineStr">
        <is>
          <t>MAHSUM GÜVEN</t>
        </is>
      </c>
      <c r="F4618" s="3" t="n">
        <v>405875</v>
      </c>
      <c r="G4618" s="143" t="n"/>
      <c r="H4618" s="143" t="n">
        <v>323</v>
      </c>
      <c r="I4618" s="143">
        <f>+I4617+(G4618-H4618)</f>
        <v/>
      </c>
      <c r="J4618" s="144" t="n">
        <v>44.8</v>
      </c>
      <c r="K4618" s="145" t="n"/>
      <c r="L4618" s="140">
        <f>+H4618*J4618</f>
        <v/>
      </c>
      <c r="M4618" s="141">
        <f>SUM(M4617+K4618-L4618)</f>
        <v/>
      </c>
    </row>
    <row r="4619">
      <c r="A4619" s="20" t="n">
        <v>45898</v>
      </c>
      <c r="B4619" s="1" t="n">
        <v>1571</v>
      </c>
      <c r="C4619" s="2" t="inlineStr">
        <is>
          <t>SELİM İNŞAAT</t>
        </is>
      </c>
      <c r="D4619" s="1" t="inlineStr">
        <is>
          <t>34 GUS 938</t>
        </is>
      </c>
      <c r="E4619" s="1" t="inlineStr">
        <is>
          <t>MEHMET KAYA</t>
        </is>
      </c>
      <c r="F4619" s="3" t="n">
        <v>208235</v>
      </c>
      <c r="G4619" s="143" t="n"/>
      <c r="H4619" s="143" t="n">
        <v>335</v>
      </c>
      <c r="I4619" s="143">
        <f>+I4618+(G4619-H4619)</f>
        <v/>
      </c>
      <c r="J4619" s="144" t="n">
        <v>44.8</v>
      </c>
      <c r="K4619" s="145" t="n"/>
      <c r="L4619" s="140">
        <f>+H4619*J4619</f>
        <v/>
      </c>
      <c r="M4619" s="141">
        <f>SUM(M4618+K4619-L4619)</f>
        <v/>
      </c>
    </row>
    <row r="4620">
      <c r="A4620" s="20" t="n">
        <v>45898</v>
      </c>
      <c r="B4620" s="1" t="n">
        <v>670</v>
      </c>
      <c r="C4620" s="2" t="inlineStr">
        <is>
          <t>SELİM İNŞAAT</t>
        </is>
      </c>
      <c r="D4620" s="1" t="inlineStr">
        <is>
          <t>34 DTV 352</t>
        </is>
      </c>
      <c r="E4620" s="1" t="inlineStr">
        <is>
          <t>AHMET DENİZ</t>
        </is>
      </c>
      <c r="F4620" s="3" t="n">
        <v>446590</v>
      </c>
      <c r="G4620" s="143" t="n"/>
      <c r="H4620" s="143" t="n">
        <v>342</v>
      </c>
      <c r="I4620" s="143">
        <f>+I4619+(G4620-H4620)</f>
        <v/>
      </c>
      <c r="J4620" s="144" t="n">
        <v>44.8</v>
      </c>
      <c r="K4620" s="145" t="n"/>
      <c r="L4620" s="140">
        <f>+H4620*J4620</f>
        <v/>
      </c>
      <c r="M4620" s="141">
        <f>SUM(M4619+K4620-L4620)</f>
        <v/>
      </c>
    </row>
    <row r="4621">
      <c r="A4621" s="20" t="n">
        <v>45898</v>
      </c>
      <c r="B4621" s="1" t="n">
        <v>15546</v>
      </c>
      <c r="C4621" s="2" t="inlineStr">
        <is>
          <t>SELİM İNŞAAT</t>
        </is>
      </c>
      <c r="D4621" s="1" t="inlineStr">
        <is>
          <t>34 EDC 086</t>
        </is>
      </c>
      <c r="E4621" s="1" t="inlineStr">
        <is>
          <t>ÖMER AĞAYAR</t>
        </is>
      </c>
      <c r="F4621" s="3" t="n">
        <v>346006</v>
      </c>
      <c r="G4621" s="143" t="n"/>
      <c r="H4621" s="143" t="n">
        <v>497</v>
      </c>
      <c r="I4621" s="143">
        <f>+I4620+(G4621-H4621)</f>
        <v/>
      </c>
      <c r="J4621" s="144" t="n">
        <v>44.8</v>
      </c>
      <c r="K4621" s="145" t="n"/>
      <c r="L4621" s="140">
        <f>+H4621*J4621</f>
        <v/>
      </c>
      <c r="M4621" s="141">
        <f>SUM(M4620+K4621-L4621)</f>
        <v/>
      </c>
    </row>
    <row r="4622">
      <c r="A4622" s="20" t="n">
        <v>45898</v>
      </c>
      <c r="B4622" s="1" t="n">
        <v>580</v>
      </c>
      <c r="C4622" s="2" t="inlineStr">
        <is>
          <t>SELİM İNŞAAT</t>
        </is>
      </c>
      <c r="D4622" s="1" t="inlineStr">
        <is>
          <t>34 EDB 922</t>
        </is>
      </c>
      <c r="E4622" s="1" t="inlineStr">
        <is>
          <t>AHMET TOPÇU</t>
        </is>
      </c>
      <c r="F4622" s="3" t="n">
        <v>381441</v>
      </c>
      <c r="G4622" s="143" t="n"/>
      <c r="H4622" s="143" t="n">
        <v>344</v>
      </c>
      <c r="I4622" s="143">
        <f>+I4621+(G4622-H4622)</f>
        <v/>
      </c>
      <c r="J4622" s="144" t="n">
        <v>44.8</v>
      </c>
      <c r="K4622" s="145" t="n"/>
      <c r="L4622" s="140">
        <f>+H4622*J4622</f>
        <v/>
      </c>
      <c r="M4622" s="141">
        <f>SUM(M4621+K4622-L4622)</f>
        <v/>
      </c>
    </row>
    <row r="4623">
      <c r="A4623" s="20" t="n">
        <v>45898</v>
      </c>
      <c r="B4623" s="1" t="n">
        <v>15990</v>
      </c>
      <c r="C4623" s="2" t="inlineStr">
        <is>
          <t>SELİM İNŞAAT</t>
        </is>
      </c>
      <c r="D4623" s="1" t="inlineStr">
        <is>
          <t>34 FBR 781</t>
        </is>
      </c>
      <c r="E4623" s="1" t="inlineStr">
        <is>
          <t>MEVLÜT POLAT</t>
        </is>
      </c>
      <c r="F4623" s="3" t="n">
        <v>325658</v>
      </c>
      <c r="G4623" s="143" t="n"/>
      <c r="H4623" s="143" t="n">
        <v>476</v>
      </c>
      <c r="I4623" s="143">
        <f>+I4622+(G4623-H4623)</f>
        <v/>
      </c>
      <c r="J4623" s="144" t="n">
        <v>44.8</v>
      </c>
      <c r="K4623" s="145" t="n"/>
      <c r="L4623" s="140">
        <f>+H4623*J4623</f>
        <v/>
      </c>
      <c r="M4623" s="141">
        <f>SUM(M4622+K4623-L4623)</f>
        <v/>
      </c>
    </row>
    <row r="4624">
      <c r="A4624" s="20" t="n">
        <v>45898</v>
      </c>
      <c r="B4624" s="1" t="n">
        <v>1160</v>
      </c>
      <c r="C4624" s="2" t="inlineStr">
        <is>
          <t>SELİM İNŞAAT</t>
        </is>
      </c>
      <c r="D4624" s="1" t="inlineStr">
        <is>
          <t>34 DSN 536</t>
        </is>
      </c>
      <c r="E4624" s="1" t="inlineStr">
        <is>
          <t>NAZIM KARATAŞ</t>
        </is>
      </c>
      <c r="F4624" s="3" t="n">
        <v>420647</v>
      </c>
      <c r="G4624" s="143" t="n"/>
      <c r="H4624" s="143" t="n">
        <v>392</v>
      </c>
      <c r="I4624" s="143">
        <f>+I4623+(G4624-H4624)</f>
        <v/>
      </c>
      <c r="J4624" s="144" t="n">
        <v>44.8</v>
      </c>
      <c r="K4624" s="145" t="n"/>
      <c r="L4624" s="140">
        <f>+H4624*J4624</f>
        <v/>
      </c>
      <c r="M4624" s="141">
        <f>SUM(M4623+K4624-L4624)</f>
        <v/>
      </c>
    </row>
    <row r="4625">
      <c r="A4625" s="20" t="n">
        <v>45898</v>
      </c>
      <c r="B4625" s="1" t="n">
        <v>15600</v>
      </c>
      <c r="C4625" s="2" t="inlineStr">
        <is>
          <t>SELİM İNŞAAT</t>
        </is>
      </c>
      <c r="D4625" s="1" t="inlineStr">
        <is>
          <t>34 GVZ 745</t>
        </is>
      </c>
      <c r="E4625" s="1" t="inlineStr">
        <is>
          <t>MURAT DEMİRBAŞ</t>
        </is>
      </c>
      <c r="F4625" s="3" t="n">
        <v>206045</v>
      </c>
      <c r="G4625" s="143" t="n"/>
      <c r="H4625" s="143" t="n">
        <v>273</v>
      </c>
      <c r="I4625" s="143">
        <f>+I4624+(G4625-H4625)</f>
        <v/>
      </c>
      <c r="J4625" s="144" t="n">
        <v>44.8</v>
      </c>
      <c r="K4625" s="145" t="n"/>
      <c r="L4625" s="140">
        <f>+H4625*J4625</f>
        <v/>
      </c>
      <c r="M4625" s="141">
        <f>SUM(M4624+K4625-L4625)</f>
        <v/>
      </c>
    </row>
    <row r="4626">
      <c r="A4626" s="20" t="n">
        <v>45898</v>
      </c>
      <c r="B4626" s="1" t="n">
        <v>14789</v>
      </c>
      <c r="C4626" s="2" t="inlineStr">
        <is>
          <t>SELİM İNŞAAT</t>
        </is>
      </c>
      <c r="D4626" s="1" t="inlineStr">
        <is>
          <t>34 GYZ 635</t>
        </is>
      </c>
      <c r="E4626" s="1" t="inlineStr">
        <is>
          <t>ENGİN DEMİR</t>
        </is>
      </c>
      <c r="F4626" s="3" t="n">
        <v>193085</v>
      </c>
      <c r="G4626" s="143" t="n"/>
      <c r="H4626" s="143" t="n">
        <v>433</v>
      </c>
      <c r="I4626" s="143">
        <f>+I4625+(G4626-H4626)</f>
        <v/>
      </c>
      <c r="J4626" s="144" t="n">
        <v>44.8</v>
      </c>
      <c r="K4626" s="145" t="n"/>
      <c r="L4626" s="140">
        <f>+H4626*J4626</f>
        <v/>
      </c>
      <c r="M4626" s="141">
        <f>SUM(M4625+K4626-L4626)</f>
        <v/>
      </c>
    </row>
    <row r="4627">
      <c r="A4627" s="20" t="n">
        <v>45898</v>
      </c>
      <c r="B4627" s="1" t="n">
        <v>1120</v>
      </c>
      <c r="C4627" s="2" t="inlineStr">
        <is>
          <t>SELİM İNŞAAT</t>
        </is>
      </c>
      <c r="D4627" s="1" t="inlineStr">
        <is>
          <t>34 EDB 659</t>
        </is>
      </c>
      <c r="E4627" s="1" t="inlineStr">
        <is>
          <t>MEHMET SAİT ANIK</t>
        </is>
      </c>
      <c r="F4627" s="3" t="n">
        <v>360582</v>
      </c>
      <c r="G4627" s="143" t="n"/>
      <c r="H4627" s="143" t="n">
        <v>412</v>
      </c>
      <c r="I4627" s="143">
        <f>+I4626+(G4627-H4627)</f>
        <v/>
      </c>
      <c r="J4627" s="144" t="n">
        <v>44.8</v>
      </c>
      <c r="K4627" s="145" t="n"/>
      <c r="L4627" s="140">
        <f>+H4627*J4627</f>
        <v/>
      </c>
      <c r="M4627" s="141">
        <f>SUM(M4626+K4627-L4627)</f>
        <v/>
      </c>
    </row>
    <row r="4628">
      <c r="A4628" s="20" t="n">
        <v>45898</v>
      </c>
      <c r="B4628" s="1" t="n">
        <v>1514</v>
      </c>
      <c r="C4628" s="2" t="inlineStr">
        <is>
          <t>SELİM İNŞAAT</t>
        </is>
      </c>
      <c r="D4628" s="1" t="inlineStr">
        <is>
          <t>34 GUS 848</t>
        </is>
      </c>
      <c r="E4628" s="1" t="inlineStr">
        <is>
          <t>SERDAR BOZKURT</t>
        </is>
      </c>
      <c r="F4628" s="3" t="n">
        <v>206172</v>
      </c>
      <c r="G4628" s="143" t="n"/>
      <c r="H4628" s="143" t="n">
        <v>483</v>
      </c>
      <c r="I4628" s="143">
        <f>+I4627+(G4628-H4628)</f>
        <v/>
      </c>
      <c r="J4628" s="144" t="n">
        <v>44.8</v>
      </c>
      <c r="K4628" s="145" t="n"/>
      <c r="L4628" s="140">
        <f>+H4628*J4628</f>
        <v/>
      </c>
      <c r="M4628" s="141">
        <f>SUM(M4627+K4628-L4628)</f>
        <v/>
      </c>
    </row>
    <row r="4629">
      <c r="A4629" s="20" t="n">
        <v>45898</v>
      </c>
      <c r="B4629" s="1" t="n">
        <v>1412</v>
      </c>
      <c r="C4629" s="2" t="inlineStr">
        <is>
          <t>SELİM İNŞAAT</t>
        </is>
      </c>
      <c r="D4629" s="1" t="inlineStr">
        <is>
          <t>34 DKL 798</t>
        </is>
      </c>
      <c r="E4629" s="1" t="inlineStr">
        <is>
          <t>GÖRKEM KARAYEL</t>
        </is>
      </c>
      <c r="F4629" s="3" t="n">
        <v>72143</v>
      </c>
      <c r="G4629" s="143" t="n"/>
      <c r="H4629" s="143" t="n">
        <v>244</v>
      </c>
      <c r="I4629" s="143">
        <f>+I4628+(G4629-H4629)</f>
        <v/>
      </c>
      <c r="J4629" s="144" t="n">
        <v>44.8</v>
      </c>
      <c r="K4629" s="145" t="n"/>
      <c r="L4629" s="140">
        <f>+H4629*J4629</f>
        <v/>
      </c>
      <c r="M4629" s="141">
        <f>SUM(M4628+K4629-L4629)</f>
        <v/>
      </c>
    </row>
    <row r="4630">
      <c r="A4630" s="20" t="n">
        <v>45898</v>
      </c>
      <c r="B4630" s="1" t="n">
        <v>266</v>
      </c>
      <c r="C4630" s="2" t="inlineStr">
        <is>
          <t>SELİM İNŞAAT</t>
        </is>
      </c>
      <c r="D4630" s="1" t="inlineStr">
        <is>
          <t>34 GER 445</t>
        </is>
      </c>
      <c r="E4630" s="1" t="inlineStr">
        <is>
          <t>ÖNER DÜNDAR</t>
        </is>
      </c>
      <c r="F4630" s="3" t="n">
        <v>49408</v>
      </c>
      <c r="G4630" s="143" t="n"/>
      <c r="H4630" s="143" t="n">
        <v>273</v>
      </c>
      <c r="I4630" s="143">
        <f>+I4629+(G4630-H4630)</f>
        <v/>
      </c>
      <c r="J4630" s="144" t="n">
        <v>44.8</v>
      </c>
      <c r="K4630" s="145" t="n"/>
      <c r="L4630" s="140">
        <f>+H4630*J4630</f>
        <v/>
      </c>
      <c r="M4630" s="141">
        <f>SUM(M4629+K4630-L4630)</f>
        <v/>
      </c>
    </row>
    <row r="4631">
      <c r="A4631" s="20" t="n">
        <v>45898</v>
      </c>
      <c r="B4631" s="1" t="n">
        <v>2558</v>
      </c>
      <c r="C4631" s="2" t="inlineStr">
        <is>
          <t>SELİM İNŞAAT</t>
        </is>
      </c>
      <c r="D4631" s="1" t="inlineStr">
        <is>
          <t>34 GER 028</t>
        </is>
      </c>
      <c r="E4631" s="1" t="inlineStr">
        <is>
          <t>A.KERİM ERGEN</t>
        </is>
      </c>
      <c r="F4631" s="3" t="n">
        <v>51342</v>
      </c>
      <c r="G4631" s="143" t="n"/>
      <c r="H4631" s="143" t="n">
        <v>273</v>
      </c>
      <c r="I4631" s="143">
        <f>+I4630+(G4631-H4631)</f>
        <v/>
      </c>
      <c r="J4631" s="144" t="n">
        <v>44.8</v>
      </c>
      <c r="K4631" s="145" t="n"/>
      <c r="L4631" s="140">
        <f>+H4631*J4631</f>
        <v/>
      </c>
      <c r="M4631" s="141">
        <f>SUM(M4630+K4631-L4631)</f>
        <v/>
      </c>
    </row>
    <row r="4632">
      <c r="A4632" s="20" t="n">
        <v>45898</v>
      </c>
      <c r="B4632" s="1" t="n">
        <v>478</v>
      </c>
      <c r="C4632" s="2" t="inlineStr">
        <is>
          <t>SELİM İNŞAAT</t>
        </is>
      </c>
      <c r="D4632" s="1" t="inlineStr">
        <is>
          <t>34 DKL 866</t>
        </is>
      </c>
      <c r="E4632" s="1" t="inlineStr">
        <is>
          <t>SELİM CAN ÖNVER</t>
        </is>
      </c>
      <c r="F4632" s="3" t="n">
        <v>73143</v>
      </c>
      <c r="G4632" s="143" t="n"/>
      <c r="H4632" s="143" t="n">
        <v>142</v>
      </c>
      <c r="I4632" s="143">
        <f>+I4631+(G4632-H4632)</f>
        <v/>
      </c>
      <c r="J4632" s="144" t="n">
        <v>44.8</v>
      </c>
      <c r="K4632" s="145" t="n"/>
      <c r="L4632" s="140">
        <f>+H4632*J4632</f>
        <v/>
      </c>
      <c r="M4632" s="141">
        <f>SUM(M4631+K4632-L4632)</f>
        <v/>
      </c>
    </row>
    <row r="4633">
      <c r="A4633" s="20" t="n">
        <v>45898</v>
      </c>
      <c r="B4633" s="1" t="n">
        <v>15194</v>
      </c>
      <c r="C4633" s="2" t="inlineStr">
        <is>
          <t>SELİM İNŞAAT</t>
        </is>
      </c>
      <c r="D4633" s="1" t="inlineStr">
        <is>
          <t>34 DP 4161</t>
        </is>
      </c>
      <c r="E4633" s="1" t="inlineStr">
        <is>
          <t>RIFAT KARATAY</t>
        </is>
      </c>
      <c r="F4633" s="3" t="n">
        <v>297403</v>
      </c>
      <c r="G4633" s="143" t="n"/>
      <c r="H4633" s="143" t="n">
        <v>211</v>
      </c>
      <c r="I4633" s="143">
        <f>+I4632+(G4633-H4633)</f>
        <v/>
      </c>
      <c r="J4633" s="144" t="n">
        <v>44.8</v>
      </c>
      <c r="K4633" s="145" t="n"/>
      <c r="L4633" s="140">
        <f>+H4633*J4633</f>
        <v/>
      </c>
      <c r="M4633" s="141">
        <f>SUM(M4632+K4633-L4633)</f>
        <v/>
      </c>
    </row>
    <row r="4634">
      <c r="A4634" s="20" t="n">
        <v>45898</v>
      </c>
      <c r="B4634" s="1" t="n">
        <v>212</v>
      </c>
      <c r="C4634" s="2" t="inlineStr">
        <is>
          <t>SELİM İNŞAAT</t>
        </is>
      </c>
      <c r="D4634" s="1" t="inlineStr">
        <is>
          <t>34 JGR 15</t>
        </is>
      </c>
      <c r="E4634" s="1" t="inlineStr">
        <is>
          <t>BAYRAM SANCAK</t>
        </is>
      </c>
      <c r="F4634" s="3" t="n">
        <v>315597</v>
      </c>
      <c r="G4634" s="143" t="n"/>
      <c r="H4634" s="143" t="n">
        <v>58</v>
      </c>
      <c r="I4634" s="143">
        <f>+I4633+(G4634-H4634)</f>
        <v/>
      </c>
      <c r="J4634" s="144" t="n">
        <v>44.8</v>
      </c>
      <c r="K4634" s="145" t="n"/>
      <c r="L4634" s="140">
        <f>+H4634*J4634</f>
        <v/>
      </c>
      <c r="M4634" s="141">
        <f>SUM(M4633+K4634-L4634)</f>
        <v/>
      </c>
    </row>
    <row r="4635">
      <c r="A4635" s="20" t="n">
        <v>45898</v>
      </c>
      <c r="B4635" s="1" t="n">
        <v>1751</v>
      </c>
      <c r="C4635" s="2" t="inlineStr">
        <is>
          <t>SELİM İNŞAAT</t>
        </is>
      </c>
      <c r="D4635" s="1" t="inlineStr">
        <is>
          <t>34 JBA 25</t>
        </is>
      </c>
      <c r="E4635" s="1" t="inlineStr">
        <is>
          <t>ABDURRAHMAN SERDAR</t>
        </is>
      </c>
      <c r="F4635" s="3" t="n">
        <v>339016</v>
      </c>
      <c r="G4635" s="143" t="n"/>
      <c r="H4635" s="143" t="n">
        <v>74</v>
      </c>
      <c r="I4635" s="143">
        <f>+I4634+(G4635-H4635)</f>
        <v/>
      </c>
      <c r="J4635" s="144" t="n">
        <v>44.8</v>
      </c>
      <c r="K4635" s="145" t="n"/>
      <c r="L4635" s="140">
        <f>+H4635*J4635</f>
        <v/>
      </c>
      <c r="M4635" s="141">
        <f>SUM(M4634+K4635-L4635)</f>
        <v/>
      </c>
    </row>
    <row r="4636">
      <c r="A4636" s="20" t="n">
        <v>45899</v>
      </c>
      <c r="B4636" s="21" t="n">
        <v>15699</v>
      </c>
      <c r="C4636" s="22" t="inlineStr">
        <is>
          <t>METİN ERYİĞİT</t>
        </is>
      </c>
      <c r="D4636" s="21" t="inlineStr">
        <is>
          <t>34 EGR 814</t>
        </is>
      </c>
      <c r="E4636" s="21" t="inlineStr">
        <is>
          <t>MUHAMMED YİĞİT</t>
        </is>
      </c>
      <c r="F4636" s="23" t="n">
        <v>565143</v>
      </c>
      <c r="G4636" s="138" t="n"/>
      <c r="H4636" s="138" t="n">
        <v>398</v>
      </c>
      <c r="I4636" s="138">
        <f>+I4635+(G4636-H4636)</f>
        <v/>
      </c>
      <c r="J4636" s="139" t="n">
        <v>44.8</v>
      </c>
      <c r="K4636" s="140" t="n"/>
      <c r="L4636" s="140">
        <f>+H4636*J4636</f>
        <v/>
      </c>
      <c r="M4636" s="141">
        <f>SUM(M4635+K4636-L4636)</f>
        <v/>
      </c>
    </row>
    <row r="4637">
      <c r="A4637" s="20" t="n">
        <v>45899</v>
      </c>
      <c r="B4637" s="21" t="n">
        <v>15643</v>
      </c>
      <c r="C4637" s="22" t="inlineStr">
        <is>
          <t>METİN ERYİĞİT</t>
        </is>
      </c>
      <c r="D4637" s="21" t="inlineStr">
        <is>
          <t>34 EGS 013</t>
        </is>
      </c>
      <c r="E4637" s="21" t="inlineStr">
        <is>
          <t>UĞUR DUMAN</t>
        </is>
      </c>
      <c r="F4637" s="23" t="n">
        <v>510415</v>
      </c>
      <c r="G4637" s="138" t="n"/>
      <c r="H4637" s="138" t="n">
        <v>392</v>
      </c>
      <c r="I4637" s="138">
        <f>+I4636+(G4637-H4637)</f>
        <v/>
      </c>
      <c r="J4637" s="139" t="n">
        <v>44.8</v>
      </c>
      <c r="K4637" s="140" t="n"/>
      <c r="L4637" s="140">
        <f>+H4637*J4637</f>
        <v/>
      </c>
      <c r="M4637" s="141">
        <f>SUM(M4636+K4637-L4637)</f>
        <v/>
      </c>
    </row>
    <row r="4638">
      <c r="A4638" s="20" t="n">
        <v>45899</v>
      </c>
      <c r="B4638" s="21" t="n">
        <v>727</v>
      </c>
      <c r="C4638" s="22" t="inlineStr">
        <is>
          <t>METİN ERYİĞİT</t>
        </is>
      </c>
      <c r="D4638" s="21" t="inlineStr">
        <is>
          <t>34 GBL 998</t>
        </is>
      </c>
      <c r="E4638" s="21" t="inlineStr">
        <is>
          <t>M.ALİ KESKİN</t>
        </is>
      </c>
      <c r="F4638" s="23" t="n">
        <v>291291</v>
      </c>
      <c r="G4638" s="138" t="n"/>
      <c r="H4638" s="138" t="n">
        <v>348</v>
      </c>
      <c r="I4638" s="138">
        <f>+I4637+(G4638-H4638)</f>
        <v/>
      </c>
      <c r="J4638" s="139" t="n">
        <v>44.8</v>
      </c>
      <c r="K4638" s="140" t="n"/>
      <c r="L4638" s="140">
        <f>+H4638*J4638</f>
        <v/>
      </c>
      <c r="M4638" s="141">
        <f>SUM(M4637+K4638-L4638)</f>
        <v/>
      </c>
    </row>
    <row r="4639">
      <c r="A4639" s="20" t="n">
        <v>45899</v>
      </c>
      <c r="B4639" s="21" t="n">
        <v>2216</v>
      </c>
      <c r="C4639" s="22" t="inlineStr">
        <is>
          <t>AZGÜN YAPI</t>
        </is>
      </c>
      <c r="D4639" s="21" t="inlineStr">
        <is>
          <t>34 DTV 263</t>
        </is>
      </c>
      <c r="E4639" s="21" t="inlineStr">
        <is>
          <t>MUHAMMED BULUT</t>
        </is>
      </c>
      <c r="F4639" s="23" t="n"/>
      <c r="G4639" s="138" t="n"/>
      <c r="H4639" s="138" t="n">
        <v>342</v>
      </c>
      <c r="I4639" s="138">
        <f>+I4638+(G4639-H4639)</f>
        <v/>
      </c>
      <c r="J4639" s="139" t="n">
        <v>44.8</v>
      </c>
      <c r="K4639" s="140" t="n"/>
      <c r="L4639" s="140">
        <f>+H4639*J4639</f>
        <v/>
      </c>
      <c r="M4639" s="141">
        <f>SUM(M4638+K4639-L4639)</f>
        <v/>
      </c>
    </row>
    <row r="4640">
      <c r="A4640" s="20" t="n">
        <v>45899</v>
      </c>
      <c r="B4640" s="1" t="n">
        <v>1918</v>
      </c>
      <c r="C4640" s="2" t="inlineStr">
        <is>
          <t>SELİM İNŞAAT</t>
        </is>
      </c>
      <c r="D4640" s="1" t="inlineStr">
        <is>
          <t>34 FVU 827</t>
        </is>
      </c>
      <c r="E4640" s="1" t="inlineStr">
        <is>
          <t>YILMAZ ÇELEBİ</t>
        </is>
      </c>
      <c r="F4640" s="3" t="n"/>
      <c r="G4640" s="143" t="n"/>
      <c r="H4640" s="143" t="n">
        <v>45</v>
      </c>
      <c r="I4640" s="143">
        <f>+I4639+(G4640-H4640)</f>
        <v/>
      </c>
      <c r="J4640" s="144" t="n">
        <v>44.8</v>
      </c>
      <c r="K4640" s="145" t="n"/>
      <c r="L4640" s="140">
        <f>+H4640*J4640</f>
        <v/>
      </c>
      <c r="M4640" s="141">
        <f>SUM(M4639+K4640-L4640)</f>
        <v/>
      </c>
    </row>
    <row r="4641">
      <c r="A4641" s="20" t="n">
        <v>45899</v>
      </c>
      <c r="B4641" s="1" t="n">
        <v>2132</v>
      </c>
      <c r="C4641" s="2" t="inlineStr">
        <is>
          <t>VARLIK</t>
        </is>
      </c>
      <c r="D4641" s="1" t="inlineStr">
        <is>
          <t>34 AZ 2191 VİNÇ</t>
        </is>
      </c>
      <c r="E4641" s="1" t="inlineStr">
        <is>
          <t>NUMAN KABİL</t>
        </is>
      </c>
      <c r="F4641" s="3" t="n"/>
      <c r="G4641" s="143" t="n"/>
      <c r="H4641" s="143" t="n">
        <v>246</v>
      </c>
      <c r="I4641" s="143">
        <f>+I4640+(G4641-H4641)</f>
        <v/>
      </c>
      <c r="J4641" s="144" t="n">
        <v>44.8</v>
      </c>
      <c r="K4641" s="145" t="n"/>
      <c r="L4641" s="140">
        <f>+H4641*J4641</f>
        <v/>
      </c>
      <c r="M4641" s="141">
        <f>SUM(M4640+K4641-L4641)</f>
        <v/>
      </c>
    </row>
    <row r="4642">
      <c r="A4642" s="20" t="n">
        <v>45899</v>
      </c>
      <c r="B4642" s="1" t="n">
        <v>2133</v>
      </c>
      <c r="C4642" s="2" t="inlineStr">
        <is>
          <t>EVKUR</t>
        </is>
      </c>
      <c r="D4642" s="1" t="inlineStr">
        <is>
          <t>KAVAZAKİ</t>
        </is>
      </c>
      <c r="E4642" s="1" t="inlineStr">
        <is>
          <t>RAMAZAN KAYA</t>
        </is>
      </c>
      <c r="F4642" s="3" t="n"/>
      <c r="G4642" s="143" t="n"/>
      <c r="H4642" s="143" t="n">
        <v>206</v>
      </c>
      <c r="I4642" s="143">
        <f>+I4641+(G4642-H4642)</f>
        <v/>
      </c>
      <c r="J4642" s="144" t="n">
        <v>44.8</v>
      </c>
      <c r="K4642" s="145" t="n"/>
      <c r="L4642" s="140">
        <f>+H4642*J4642</f>
        <v/>
      </c>
      <c r="M4642" s="141">
        <f>SUM(M4641+K4642-L4642)</f>
        <v/>
      </c>
    </row>
    <row r="4643">
      <c r="A4643" s="20" t="n">
        <v>45899</v>
      </c>
      <c r="B4643" s="1" t="n">
        <v>2134</v>
      </c>
      <c r="C4643" s="2" t="inlineStr">
        <is>
          <t>EVKUR</t>
        </is>
      </c>
      <c r="D4643" s="1" t="inlineStr">
        <is>
          <t>HİTACİ</t>
        </is>
      </c>
      <c r="E4643" s="1" t="inlineStr">
        <is>
          <t>TURGUT SANCAK</t>
        </is>
      </c>
      <c r="F4643" s="3" t="n"/>
      <c r="G4643" s="143" t="n"/>
      <c r="H4643" s="143" t="n">
        <v>295</v>
      </c>
      <c r="I4643" s="143">
        <f>+I4642+(G4643-H4643)</f>
        <v/>
      </c>
      <c r="J4643" s="144" t="n">
        <v>44.8</v>
      </c>
      <c r="K4643" s="145" t="n"/>
      <c r="L4643" s="140">
        <f>+H4643*J4643</f>
        <v/>
      </c>
      <c r="M4643" s="141">
        <f>SUM(M4642+K4643-L4643)</f>
        <v/>
      </c>
    </row>
    <row r="4644">
      <c r="A4644" s="20" t="n">
        <v>45899</v>
      </c>
      <c r="B4644" s="1" t="n">
        <v>2135</v>
      </c>
      <c r="C4644" s="2" t="inlineStr">
        <is>
          <t>EVKUR</t>
        </is>
      </c>
      <c r="D4644" s="1" t="inlineStr">
        <is>
          <t>SİLİNDİR</t>
        </is>
      </c>
      <c r="E4644" s="1" t="inlineStr">
        <is>
          <t>MUSTAFA ALBAYRAK</t>
        </is>
      </c>
      <c r="F4644" s="3" t="n"/>
      <c r="G4644" s="143" t="n"/>
      <c r="H4644" s="143" t="n">
        <v>215</v>
      </c>
      <c r="I4644" s="143">
        <f>+I4643+(G4644-H4644)</f>
        <v/>
      </c>
      <c r="J4644" s="144" t="n">
        <v>44.8</v>
      </c>
      <c r="K4644" s="145" t="n"/>
      <c r="L4644" s="140">
        <f>+H4644*J4644</f>
        <v/>
      </c>
      <c r="M4644" s="141">
        <f>SUM(M4643+K4644-L4644)</f>
        <v/>
      </c>
    </row>
    <row r="4645">
      <c r="A4645" s="20" t="n">
        <v>45899</v>
      </c>
      <c r="B4645" s="21" t="n">
        <v>2136</v>
      </c>
      <c r="C4645" s="22" t="inlineStr">
        <is>
          <t>EVKUR</t>
        </is>
      </c>
      <c r="D4645" s="21" t="inlineStr">
        <is>
          <t>FOKLİFT</t>
        </is>
      </c>
      <c r="E4645" s="21" t="inlineStr">
        <is>
          <t>FAHRİ KALFA</t>
        </is>
      </c>
      <c r="F4645" s="23" t="n"/>
      <c r="G4645" s="138" t="n"/>
      <c r="H4645" s="138" t="n">
        <v>23</v>
      </c>
      <c r="I4645" s="138">
        <f>+I4644+(G4645-H4645)</f>
        <v/>
      </c>
      <c r="J4645" s="139" t="n">
        <v>44.8</v>
      </c>
      <c r="K4645" s="140" t="n"/>
      <c r="L4645" s="140">
        <f>+H4645*J4645</f>
        <v/>
      </c>
      <c r="M4645" s="141">
        <f>SUM(M4644+K4645-L4645)</f>
        <v/>
      </c>
    </row>
    <row r="4646">
      <c r="A4646" s="20" t="n">
        <v>45899</v>
      </c>
      <c r="B4646" s="1" t="n">
        <v>2137</v>
      </c>
      <c r="C4646" s="2" t="inlineStr">
        <is>
          <t>VARLIK</t>
        </is>
      </c>
      <c r="D4646" s="1" t="inlineStr">
        <is>
          <t>SM 300</t>
        </is>
      </c>
      <c r="E4646" s="1" t="inlineStr">
        <is>
          <t>MEHMET ALİ SANCAK</t>
        </is>
      </c>
      <c r="F4646" s="3" t="n"/>
      <c r="G4646" s="143" t="n"/>
      <c r="H4646" s="143" t="n">
        <v>250</v>
      </c>
      <c r="I4646" s="143">
        <f>+I4645+(G4646-H4646)</f>
        <v/>
      </c>
      <c r="J4646" s="144" t="n">
        <v>44.8</v>
      </c>
      <c r="K4646" s="145" t="n"/>
      <c r="L4646" s="140">
        <f>+H4646*J4646</f>
        <v/>
      </c>
      <c r="M4646" s="141">
        <f>SUM(M4645+K4646-L4646)</f>
        <v/>
      </c>
    </row>
    <row r="4647">
      <c r="A4647" s="20" t="n">
        <v>45899</v>
      </c>
      <c r="B4647" s="1" t="n">
        <v>35</v>
      </c>
      <c r="C4647" s="2" t="inlineStr">
        <is>
          <t>SELİM İNŞAAT</t>
        </is>
      </c>
      <c r="D4647" s="1" t="inlineStr">
        <is>
          <t>34 FBR 748</t>
        </is>
      </c>
      <c r="E4647" s="1" t="inlineStr">
        <is>
          <t>YAŞAR ÖZKAYA</t>
        </is>
      </c>
      <c r="F4647" s="3" t="n">
        <v>301585</v>
      </c>
      <c r="G4647" s="143" t="n"/>
      <c r="H4647" s="143" t="n">
        <v>412</v>
      </c>
      <c r="I4647" s="143">
        <f>+I4646+(G4647-H4647)</f>
        <v/>
      </c>
      <c r="J4647" s="144" t="n">
        <v>44.8</v>
      </c>
      <c r="K4647" s="145" t="n"/>
      <c r="L4647" s="140">
        <f>+H4647*J4647</f>
        <v/>
      </c>
      <c r="M4647" s="141">
        <f>SUM(M4646+K4647-L4647)</f>
        <v/>
      </c>
    </row>
    <row r="4648">
      <c r="A4648" s="20" t="n">
        <v>45899</v>
      </c>
      <c r="B4648" s="1" t="n">
        <v>1467</v>
      </c>
      <c r="C4648" s="2" t="inlineStr">
        <is>
          <t>SELİM İNŞAAT</t>
        </is>
      </c>
      <c r="D4648" s="1" t="inlineStr">
        <is>
          <t>34 EGR 737</t>
        </is>
      </c>
      <c r="E4648" s="1" t="inlineStr">
        <is>
          <t>CEM MUHTAR</t>
        </is>
      </c>
      <c r="F4648" s="3" t="n">
        <v>434327</v>
      </c>
      <c r="G4648" s="143" t="n"/>
      <c r="H4648" s="143" t="n">
        <v>440</v>
      </c>
      <c r="I4648" s="143">
        <f>+I4647+(G4648-H4648)</f>
        <v/>
      </c>
      <c r="J4648" s="144" t="n">
        <v>44.8</v>
      </c>
      <c r="K4648" s="145" t="n"/>
      <c r="L4648" s="140">
        <f>+H4648*J4648</f>
        <v/>
      </c>
      <c r="M4648" s="141">
        <f>SUM(M4647+K4648-L4648)</f>
        <v/>
      </c>
    </row>
    <row r="4649">
      <c r="A4649" s="20" t="n">
        <v>45899</v>
      </c>
      <c r="B4649" s="1" t="n">
        <v>15134</v>
      </c>
      <c r="C4649" s="2" t="inlineStr">
        <is>
          <t>SELİM İNŞAAT</t>
        </is>
      </c>
      <c r="D4649" s="1" t="inlineStr">
        <is>
          <t>34 DTV 599</t>
        </is>
      </c>
      <c r="E4649" s="1" t="inlineStr">
        <is>
          <t>FERHAT GÜRLER</t>
        </is>
      </c>
      <c r="F4649" s="3" t="n">
        <v>449478</v>
      </c>
      <c r="G4649" s="143" t="n"/>
      <c r="H4649" s="143" t="n">
        <v>322</v>
      </c>
      <c r="I4649" s="143">
        <f>+I4648+(G4649-H4649)</f>
        <v/>
      </c>
      <c r="J4649" s="144" t="n">
        <v>44.8</v>
      </c>
      <c r="K4649" s="145" t="n"/>
      <c r="L4649" s="140">
        <f>+H4649*J4649</f>
        <v/>
      </c>
      <c r="M4649" s="141">
        <f>SUM(M4648+K4649-L4649)</f>
        <v/>
      </c>
    </row>
    <row r="4650">
      <c r="A4650" s="20" t="n">
        <v>45899</v>
      </c>
      <c r="B4650" s="1" t="n">
        <v>1656</v>
      </c>
      <c r="C4650" s="2" t="inlineStr">
        <is>
          <t>SELİM İNŞAAT</t>
        </is>
      </c>
      <c r="D4650" s="1" t="inlineStr">
        <is>
          <t>34 DHH 570</t>
        </is>
      </c>
      <c r="E4650" s="1" t="inlineStr">
        <is>
          <t>EBUBEKİR KOLDAŞ</t>
        </is>
      </c>
      <c r="F4650" s="3" t="n">
        <v>449000</v>
      </c>
      <c r="G4650" s="143" t="n"/>
      <c r="H4650" s="143" t="n">
        <v>392</v>
      </c>
      <c r="I4650" s="143">
        <f>+I4649+(G4650-H4650)</f>
        <v/>
      </c>
      <c r="J4650" s="144" t="n">
        <v>44.8</v>
      </c>
      <c r="K4650" s="145" t="n"/>
      <c r="L4650" s="140">
        <f>+H4650*J4650</f>
        <v/>
      </c>
      <c r="M4650" s="141">
        <f>SUM(M4649+K4650-L4650)</f>
        <v/>
      </c>
    </row>
    <row r="4651">
      <c r="A4651" s="20" t="n">
        <v>45899</v>
      </c>
      <c r="B4651" s="1" t="n">
        <v>423</v>
      </c>
      <c r="C4651" s="2" t="inlineStr">
        <is>
          <t>SELİM İNŞAAT</t>
        </is>
      </c>
      <c r="D4651" s="1" t="inlineStr">
        <is>
          <t>34 DRU 690</t>
        </is>
      </c>
      <c r="E4651" s="1" t="inlineStr">
        <is>
          <t>MURAT DEMİRBAŞ</t>
        </is>
      </c>
      <c r="F4651" s="3" t="n">
        <v>433500</v>
      </c>
      <c r="G4651" s="143" t="n"/>
      <c r="H4651" s="143" t="n">
        <v>355</v>
      </c>
      <c r="I4651" s="143">
        <f>+I4650+(G4651-H4651)</f>
        <v/>
      </c>
      <c r="J4651" s="144" t="n">
        <v>44.8</v>
      </c>
      <c r="K4651" s="145" t="n"/>
      <c r="L4651" s="140">
        <f>+H4651*J4651</f>
        <v/>
      </c>
      <c r="M4651" s="141">
        <f>SUM(M4650+K4651-L4651)</f>
        <v/>
      </c>
    </row>
    <row r="4652">
      <c r="A4652" s="20" t="n">
        <v>45899</v>
      </c>
      <c r="B4652" s="1" t="n">
        <v>128</v>
      </c>
      <c r="C4652" s="2" t="inlineStr">
        <is>
          <t>SELİM İNŞAAT</t>
        </is>
      </c>
      <c r="D4652" s="1" t="inlineStr">
        <is>
          <t>34 FBR 771</t>
        </is>
      </c>
      <c r="E4652" s="1" t="inlineStr">
        <is>
          <t>HÜSEYİN AKÇİN</t>
        </is>
      </c>
      <c r="F4652" s="3" t="n">
        <v>336985</v>
      </c>
      <c r="G4652" s="143" t="n"/>
      <c r="H4652" s="143" t="n">
        <v>390</v>
      </c>
      <c r="I4652" s="143">
        <f>+I4651+(G4652-H4652)</f>
        <v/>
      </c>
      <c r="J4652" s="144" t="n">
        <v>44.8</v>
      </c>
      <c r="K4652" s="145" t="n"/>
      <c r="L4652" s="140">
        <f>+H4652*J4652</f>
        <v/>
      </c>
      <c r="M4652" s="141">
        <f>SUM(M4651+K4652-L4652)</f>
        <v/>
      </c>
    </row>
    <row r="4653">
      <c r="A4653" s="20" t="n">
        <v>45899</v>
      </c>
      <c r="B4653" s="1" t="n">
        <v>774</v>
      </c>
      <c r="C4653" s="2" t="inlineStr">
        <is>
          <t>SELİM İNŞAAT</t>
        </is>
      </c>
      <c r="D4653" s="1" t="inlineStr">
        <is>
          <t>34 EDB 559</t>
        </is>
      </c>
      <c r="E4653" s="1" t="inlineStr">
        <is>
          <t>ATA KIZMAZ</t>
        </is>
      </c>
      <c r="F4653" s="3" t="n">
        <v>340480</v>
      </c>
      <c r="G4653" s="143" t="n"/>
      <c r="H4653" s="143" t="n">
        <v>353</v>
      </c>
      <c r="I4653" s="143">
        <f>+I4652+(G4653-H4653)</f>
        <v/>
      </c>
      <c r="J4653" s="144" t="n">
        <v>44.8</v>
      </c>
      <c r="K4653" s="145" t="n"/>
      <c r="L4653" s="140">
        <f>+H4653*J4653</f>
        <v/>
      </c>
      <c r="M4653" s="141">
        <f>SUM(M4652+K4653-L4653)</f>
        <v/>
      </c>
    </row>
    <row r="4654">
      <c r="A4654" s="20" t="n">
        <v>45899</v>
      </c>
      <c r="B4654" s="1" t="n">
        <v>1572</v>
      </c>
      <c r="C4654" s="2" t="inlineStr">
        <is>
          <t>SELİM İNŞAAT</t>
        </is>
      </c>
      <c r="D4654" s="1" t="inlineStr">
        <is>
          <t>34 GUS 938</t>
        </is>
      </c>
      <c r="E4654" s="1" t="inlineStr">
        <is>
          <t>MEHMET KAYA</t>
        </is>
      </c>
      <c r="F4654" s="3" t="n">
        <v>208737</v>
      </c>
      <c r="G4654" s="143" t="n"/>
      <c r="H4654" s="143" t="n">
        <v>310</v>
      </c>
      <c r="I4654" s="143">
        <f>+I4653+(G4654-H4654)</f>
        <v/>
      </c>
      <c r="J4654" s="144" t="n">
        <v>44.8</v>
      </c>
      <c r="K4654" s="145" t="n"/>
      <c r="L4654" s="140">
        <f>+H4654*J4654</f>
        <v/>
      </c>
      <c r="M4654" s="141">
        <f>SUM(M4653+K4654-L4654)</f>
        <v/>
      </c>
    </row>
    <row r="4655">
      <c r="A4655" s="20" t="n">
        <v>45899</v>
      </c>
      <c r="B4655" s="1" t="n">
        <v>15601</v>
      </c>
      <c r="C4655" s="2" t="inlineStr">
        <is>
          <t>SELİM İNŞAAT</t>
        </is>
      </c>
      <c r="D4655" s="1" t="inlineStr">
        <is>
          <t>34 GVZ 745</t>
        </is>
      </c>
      <c r="E4655" s="1" t="inlineStr">
        <is>
          <t>MURAT DEMİRBAŞ</t>
        </is>
      </c>
      <c r="F4655" s="3" t="n">
        <v>206359</v>
      </c>
      <c r="G4655" s="143" t="n"/>
      <c r="H4655" s="143" t="n">
        <v>195</v>
      </c>
      <c r="I4655" s="143">
        <f>+I4654+(G4655-H4655)</f>
        <v/>
      </c>
      <c r="J4655" s="144" t="n">
        <v>44.8</v>
      </c>
      <c r="K4655" s="145" t="n"/>
      <c r="L4655" s="140">
        <f>+H4655*J4655</f>
        <v/>
      </c>
      <c r="M4655" s="141">
        <f>SUM(M4654+K4655-L4655)</f>
        <v/>
      </c>
    </row>
    <row r="4656">
      <c r="A4656" s="20" t="n">
        <v>45899</v>
      </c>
      <c r="B4656" s="1" t="n">
        <v>1121</v>
      </c>
      <c r="C4656" s="2" t="inlineStr">
        <is>
          <t>SELİM İNŞAAT</t>
        </is>
      </c>
      <c r="D4656" s="1" t="inlineStr">
        <is>
          <t>34 EDB 659</t>
        </is>
      </c>
      <c r="E4656" s="1" t="inlineStr">
        <is>
          <t>MEHMET SAİT ANIK</t>
        </is>
      </c>
      <c r="F4656" s="3" t="n">
        <v>361174</v>
      </c>
      <c r="G4656" s="143" t="n"/>
      <c r="H4656" s="143" t="n">
        <v>377</v>
      </c>
      <c r="I4656" s="143">
        <f>+I4655+(G4656-H4656)</f>
        <v/>
      </c>
      <c r="J4656" s="144" t="n">
        <v>44.8</v>
      </c>
      <c r="K4656" s="145" t="n"/>
      <c r="L4656" s="140">
        <f>+H4656*J4656</f>
        <v/>
      </c>
      <c r="M4656" s="141">
        <f>SUM(M4655+K4656-L4656)</f>
        <v/>
      </c>
    </row>
    <row r="4657">
      <c r="A4657" s="20" t="n">
        <v>45899</v>
      </c>
      <c r="B4657" s="1" t="n">
        <v>1074</v>
      </c>
      <c r="C4657" s="2" t="inlineStr">
        <is>
          <t>SELİM İNŞAAT</t>
        </is>
      </c>
      <c r="D4657" s="1" t="inlineStr">
        <is>
          <t>34 GVZ 310</t>
        </is>
      </c>
      <c r="E4657" s="1" t="inlineStr">
        <is>
          <t>CELAL YÜZBASI</t>
        </is>
      </c>
      <c r="F4657" s="3" t="n">
        <v>218791</v>
      </c>
      <c r="G4657" s="143" t="n"/>
      <c r="H4657" s="143" t="n">
        <v>442</v>
      </c>
      <c r="I4657" s="143">
        <f>+I4656+(G4657-H4657)</f>
        <v/>
      </c>
      <c r="J4657" s="144" t="n">
        <v>44.8</v>
      </c>
      <c r="K4657" s="145" t="n"/>
      <c r="L4657" s="140">
        <f>+H4657*J4657</f>
        <v/>
      </c>
      <c r="M4657" s="141">
        <f>SUM(M4656+K4657-L4657)</f>
        <v/>
      </c>
    </row>
    <row r="4658">
      <c r="A4658" s="20" t="n">
        <v>45899</v>
      </c>
      <c r="B4658" s="1" t="n">
        <v>15889</v>
      </c>
      <c r="C4658" s="2" t="inlineStr">
        <is>
          <t>SELİM İNŞAAT</t>
        </is>
      </c>
      <c r="D4658" s="1" t="inlineStr">
        <is>
          <t>34 EDB 754</t>
        </is>
      </c>
      <c r="E4658" s="1" t="inlineStr">
        <is>
          <t>EMİN PARLAKKILIÇ</t>
        </is>
      </c>
      <c r="F4658" s="3" t="n">
        <v>341560</v>
      </c>
      <c r="G4658" s="143" t="n"/>
      <c r="H4658" s="143" t="n">
        <v>288</v>
      </c>
      <c r="I4658" s="143">
        <f>+I4657+(G4658-H4658)</f>
        <v/>
      </c>
      <c r="J4658" s="144" t="n">
        <v>44.8</v>
      </c>
      <c r="K4658" s="145" t="n"/>
      <c r="L4658" s="140">
        <f>+H4658*J4658</f>
        <v/>
      </c>
      <c r="M4658" s="141">
        <f>SUM(M4657+K4658-L4658)</f>
        <v/>
      </c>
    </row>
    <row r="4659">
      <c r="A4659" s="20" t="n">
        <v>45899</v>
      </c>
      <c r="B4659" s="1" t="n">
        <v>15195</v>
      </c>
      <c r="C4659" s="2" t="inlineStr">
        <is>
          <t>SELİM İNŞAAT</t>
        </is>
      </c>
      <c r="D4659" s="1" t="inlineStr">
        <is>
          <t>34 DP 4161</t>
        </is>
      </c>
      <c r="E4659" s="1" t="inlineStr">
        <is>
          <t>RIFAT KARATAY</t>
        </is>
      </c>
      <c r="F4659" s="3" t="n">
        <v>297576</v>
      </c>
      <c r="G4659" s="143" t="n"/>
      <c r="H4659" s="143" t="n">
        <v>126</v>
      </c>
      <c r="I4659" s="143">
        <f>+I4658+(G4659-H4659)</f>
        <v/>
      </c>
      <c r="J4659" s="144" t="n">
        <v>44.8</v>
      </c>
      <c r="K4659" s="145" t="n"/>
      <c r="L4659" s="140">
        <f>+H4659*J4659</f>
        <v/>
      </c>
      <c r="M4659" s="141">
        <f>SUM(M4658+K4659-L4659)</f>
        <v/>
      </c>
    </row>
    <row r="4660">
      <c r="A4660" s="20" t="n">
        <v>45899</v>
      </c>
      <c r="B4660" s="1" t="n">
        <v>15947</v>
      </c>
      <c r="C4660" s="2" t="inlineStr">
        <is>
          <t>SELİM İNŞAAT</t>
        </is>
      </c>
      <c r="D4660" s="1" t="inlineStr">
        <is>
          <t>34 DFE 454</t>
        </is>
      </c>
      <c r="E4660" s="1" t="inlineStr">
        <is>
          <t>GÖRKEM KARAYEL</t>
        </is>
      </c>
      <c r="F4660" s="3" t="n">
        <v>166066</v>
      </c>
      <c r="G4660" s="143" t="n"/>
      <c r="H4660" s="143" t="n">
        <v>272</v>
      </c>
      <c r="I4660" s="143">
        <f>+I4659+(G4660-H4660)</f>
        <v/>
      </c>
      <c r="J4660" s="144" t="n">
        <v>44.8</v>
      </c>
      <c r="K4660" s="145" t="n"/>
      <c r="L4660" s="140">
        <f>+H4660*J4660</f>
        <v/>
      </c>
      <c r="M4660" s="141">
        <f>SUM(M4659+K4660-L4660)</f>
        <v/>
      </c>
    </row>
    <row r="4661">
      <c r="A4661" s="20" t="n">
        <v>45899</v>
      </c>
      <c r="B4661" s="1" t="n">
        <v>2609</v>
      </c>
      <c r="C4661" s="2" t="inlineStr">
        <is>
          <t>SELİM İNŞAAT</t>
        </is>
      </c>
      <c r="D4661" s="1" t="inlineStr">
        <is>
          <t>34 GU 945</t>
        </is>
      </c>
      <c r="E4661" s="1" t="inlineStr">
        <is>
          <t>ŞERİF KARTAL</t>
        </is>
      </c>
      <c r="F4661" s="3" t="n">
        <v>457042</v>
      </c>
      <c r="G4661" s="143" t="n"/>
      <c r="H4661" s="143" t="n">
        <v>61</v>
      </c>
      <c r="I4661" s="143">
        <f>+I4660+(G4661-H4661)</f>
        <v/>
      </c>
      <c r="J4661" s="144" t="n">
        <v>44.8</v>
      </c>
      <c r="K4661" s="145" t="n"/>
      <c r="L4661" s="140">
        <f>+H4661*J4661</f>
        <v/>
      </c>
      <c r="M4661" s="141">
        <f>SUM(M4660+K4661-L4661)</f>
        <v/>
      </c>
    </row>
    <row r="4662">
      <c r="A4662" s="20" t="n">
        <v>45899</v>
      </c>
      <c r="B4662" s="1" t="n">
        <v>1607</v>
      </c>
      <c r="C4662" s="2" t="inlineStr">
        <is>
          <t>SELİM İNŞAAT</t>
        </is>
      </c>
      <c r="D4662" s="1" t="inlineStr">
        <is>
          <t>34 VF 2620</t>
        </is>
      </c>
      <c r="E4662" s="1" t="inlineStr">
        <is>
          <t>RECEP SELİM</t>
        </is>
      </c>
      <c r="F4662" s="3" t="n">
        <v>192934</v>
      </c>
      <c r="G4662" s="143" t="n"/>
      <c r="H4662" s="143" t="n">
        <v>72</v>
      </c>
      <c r="I4662" s="143">
        <f>+I4661+(G4662-H4662)</f>
        <v/>
      </c>
      <c r="J4662" s="144" t="n">
        <v>44.8</v>
      </c>
      <c r="K4662" s="145" t="n"/>
      <c r="L4662" s="140">
        <f>+H4662*J4662</f>
        <v/>
      </c>
      <c r="M4662" s="141">
        <f>SUM(M4661+K4662-L4662)</f>
        <v/>
      </c>
    </row>
    <row r="4663">
      <c r="A4663" s="20" t="n">
        <v>45901</v>
      </c>
      <c r="B4663" s="21" t="n">
        <v>1853</v>
      </c>
      <c r="C4663" s="22" t="inlineStr">
        <is>
          <t>SELİM İNŞAAT</t>
        </is>
      </c>
      <c r="D4663" s="21" t="inlineStr">
        <is>
          <t>34 GVZ 268</t>
        </is>
      </c>
      <c r="E4663" s="21" t="inlineStr">
        <is>
          <t>KERİM KARAMAN</t>
        </is>
      </c>
      <c r="F4663" s="23" t="n">
        <v>213070</v>
      </c>
      <c r="G4663" s="138" t="n"/>
      <c r="H4663" s="138" t="n">
        <v>469</v>
      </c>
      <c r="I4663" s="138">
        <f>+I4662+(G4663-H4663)</f>
        <v/>
      </c>
      <c r="J4663" s="144" t="n">
        <v>44.8</v>
      </c>
      <c r="K4663" s="140" t="n"/>
      <c r="L4663" s="140">
        <f>+H4663*J4663</f>
        <v/>
      </c>
      <c r="M4663" s="141">
        <f>SUM(M4662+K4663-L4663)</f>
        <v/>
      </c>
    </row>
    <row r="4664">
      <c r="A4664" s="20" t="n">
        <v>45901</v>
      </c>
      <c r="B4664" s="21" t="n">
        <v>671</v>
      </c>
      <c r="C4664" s="22" t="inlineStr">
        <is>
          <t>SELİM İNŞAAT</t>
        </is>
      </c>
      <c r="D4664" s="21" t="inlineStr">
        <is>
          <t>34 DTV 352</t>
        </is>
      </c>
      <c r="E4664" s="21" t="inlineStr">
        <is>
          <t>ADEM DENİZ</t>
        </is>
      </c>
      <c r="F4664" s="23" t="n">
        <v>447413</v>
      </c>
      <c r="G4664" s="138" t="n"/>
      <c r="H4664" s="138" t="n">
        <v>549</v>
      </c>
      <c r="I4664" s="138">
        <f>+I4663+(G4664-H4664)</f>
        <v/>
      </c>
      <c r="J4664" s="144" t="n">
        <v>44.8</v>
      </c>
      <c r="K4664" s="140" t="n"/>
      <c r="L4664" s="140">
        <f>+H4664*J4664</f>
        <v/>
      </c>
      <c r="M4664" s="141">
        <f>SUM(M4663+K4664-L4664)</f>
        <v/>
      </c>
    </row>
    <row r="4665">
      <c r="A4665" s="20" t="n">
        <v>45901</v>
      </c>
      <c r="B4665" s="21" t="n">
        <v>974</v>
      </c>
      <c r="C4665" s="22" t="inlineStr">
        <is>
          <t>SELİM İNŞAAT</t>
        </is>
      </c>
      <c r="D4665" s="21" t="inlineStr">
        <is>
          <t>34 FBR 742</t>
        </is>
      </c>
      <c r="E4665" s="21" t="inlineStr">
        <is>
          <t>MİKAİL BAYILMAZ</t>
        </is>
      </c>
      <c r="F4665" s="23" t="n">
        <v>333867</v>
      </c>
      <c r="G4665" s="138" t="n"/>
      <c r="H4665" s="138" t="n">
        <v>459</v>
      </c>
      <c r="I4665" s="138">
        <f>+I4664+(G4665-H4665)</f>
        <v/>
      </c>
      <c r="J4665" s="144" t="n">
        <v>44.8</v>
      </c>
      <c r="K4665" s="140" t="n"/>
      <c r="L4665" s="140">
        <f>+H4665*J4665</f>
        <v/>
      </c>
      <c r="M4665" s="141">
        <f>SUM(M4664+K4665-L4665)</f>
        <v/>
      </c>
    </row>
    <row r="4666">
      <c r="A4666" s="20" t="n">
        <v>45901</v>
      </c>
      <c r="B4666" s="21" t="n">
        <v>15890</v>
      </c>
      <c r="C4666" s="22" t="inlineStr">
        <is>
          <t>SELİM İNŞAAT</t>
        </is>
      </c>
      <c r="D4666" s="21" t="inlineStr">
        <is>
          <t>34 EDB 754</t>
        </is>
      </c>
      <c r="E4666" s="21" t="inlineStr">
        <is>
          <t>MUSTAFA KAYA</t>
        </is>
      </c>
      <c r="F4666" s="23" t="n">
        <v>342163</v>
      </c>
      <c r="G4666" s="138" t="n"/>
      <c r="H4666" s="138" t="n">
        <v>405</v>
      </c>
      <c r="I4666" s="138">
        <f>+I4665+(G4666-H4666)</f>
        <v/>
      </c>
      <c r="J4666" s="144" t="n">
        <v>44.8</v>
      </c>
      <c r="K4666" s="140" t="n"/>
      <c r="L4666" s="140">
        <f>+H4666*J4666</f>
        <v/>
      </c>
      <c r="M4666" s="141">
        <f>SUM(M4665+K4666-L4666)</f>
        <v/>
      </c>
    </row>
    <row r="4667">
      <c r="A4667" s="20" t="n">
        <v>45901</v>
      </c>
      <c r="B4667" s="21" t="n">
        <v>11167</v>
      </c>
      <c r="C4667" s="22" t="inlineStr">
        <is>
          <t>SELİM İNŞAAT</t>
        </is>
      </c>
      <c r="D4667" s="21" t="inlineStr">
        <is>
          <t>34 HZ 1663</t>
        </is>
      </c>
      <c r="E4667" s="21" t="inlineStr">
        <is>
          <t>FATİH ÖZBOLAT</t>
        </is>
      </c>
      <c r="F4667" s="23" t="n">
        <v>524334</v>
      </c>
      <c r="G4667" s="138" t="n"/>
      <c r="H4667" s="138" t="n">
        <v>517</v>
      </c>
      <c r="I4667" s="138">
        <f>+I4666+(G4667-H4667)</f>
        <v/>
      </c>
      <c r="J4667" s="144" t="n">
        <v>44.8</v>
      </c>
      <c r="K4667" s="140" t="n"/>
      <c r="L4667" s="140">
        <f>+H4667*J4667</f>
        <v/>
      </c>
      <c r="M4667" s="141">
        <f>SUM(M4666+K4667-L4667)</f>
        <v/>
      </c>
    </row>
    <row r="4668">
      <c r="A4668" s="20" t="n">
        <v>45901</v>
      </c>
      <c r="B4668" s="21" t="n">
        <v>867</v>
      </c>
      <c r="C4668" s="22" t="inlineStr">
        <is>
          <t>SELİM İNŞAAT</t>
        </is>
      </c>
      <c r="D4668" s="21" t="inlineStr">
        <is>
          <t>34 FSG 229</t>
        </is>
      </c>
      <c r="E4668" s="21" t="inlineStr">
        <is>
          <t>SİNAN TANRIVERDİ</t>
        </is>
      </c>
      <c r="F4668" s="23" t="n">
        <v>274989</v>
      </c>
      <c r="G4668" s="138" t="n"/>
      <c r="H4668" s="138" t="n">
        <v>463</v>
      </c>
      <c r="I4668" s="138">
        <f>+I4667+(G4668-H4668)</f>
        <v/>
      </c>
      <c r="J4668" s="144" t="n">
        <v>44.8</v>
      </c>
      <c r="K4668" s="140" t="n"/>
      <c r="L4668" s="140">
        <f>+H4668*J4668</f>
        <v/>
      </c>
      <c r="M4668" s="141">
        <f>SUM(M4667+K4668-L4668)</f>
        <v/>
      </c>
    </row>
    <row r="4669">
      <c r="A4669" s="20" t="n">
        <v>45901</v>
      </c>
      <c r="B4669" s="21" t="n">
        <v>1161</v>
      </c>
      <c r="C4669" s="22" t="inlineStr">
        <is>
          <t>SELİM İNŞAAT</t>
        </is>
      </c>
      <c r="D4669" s="21" t="inlineStr">
        <is>
          <t>34 DSN 536</t>
        </is>
      </c>
      <c r="E4669" s="21" t="inlineStr">
        <is>
          <t xml:space="preserve">SALİH YALÇIN </t>
        </is>
      </c>
      <c r="F4669" s="23" t="n">
        <v>421289</v>
      </c>
      <c r="G4669" s="138" t="n"/>
      <c r="H4669" s="138" t="n">
        <v>420</v>
      </c>
      <c r="I4669" s="138">
        <f>+I4668+(G4669-H4669)</f>
        <v/>
      </c>
      <c r="J4669" s="144" t="n">
        <v>44.8</v>
      </c>
      <c r="K4669" s="140" t="n"/>
      <c r="L4669" s="140">
        <f>+H4669*J4669</f>
        <v/>
      </c>
      <c r="M4669" s="141">
        <f>SUM(M4668+K4669-L4669)</f>
        <v/>
      </c>
    </row>
    <row r="4670">
      <c r="A4670" s="20" t="n">
        <v>45901</v>
      </c>
      <c r="B4670" s="21" t="n">
        <v>1075</v>
      </c>
      <c r="C4670" s="22" t="inlineStr">
        <is>
          <t>SELİM İNŞAAT</t>
        </is>
      </c>
      <c r="D4670" s="21" t="inlineStr">
        <is>
          <t>34 GVZ 310</t>
        </is>
      </c>
      <c r="E4670" s="21" t="inlineStr">
        <is>
          <t>CELAL YÜZBAŞI</t>
        </is>
      </c>
      <c r="F4670" s="23" t="n">
        <v>219293</v>
      </c>
      <c r="G4670" s="138" t="n"/>
      <c r="H4670" s="138" t="n">
        <v>318</v>
      </c>
      <c r="I4670" s="138">
        <f>+I4669+(G4670-H4670)</f>
        <v/>
      </c>
      <c r="J4670" s="144" t="n">
        <v>44.8</v>
      </c>
      <c r="K4670" s="140" t="n"/>
      <c r="L4670" s="140">
        <f>+H4670*J4670</f>
        <v/>
      </c>
      <c r="M4670" s="141">
        <f>SUM(M4669+K4670-L4670)</f>
        <v/>
      </c>
    </row>
    <row r="4671">
      <c r="A4671" s="20" t="n">
        <v>45901</v>
      </c>
      <c r="B4671" s="21" t="n">
        <v>2802</v>
      </c>
      <c r="C4671" s="22" t="inlineStr">
        <is>
          <t>SELİM İNŞAAT</t>
        </is>
      </c>
      <c r="D4671" s="21" t="inlineStr">
        <is>
          <t>34 GVZ 745</t>
        </is>
      </c>
      <c r="E4671" s="21" t="inlineStr">
        <is>
          <t>MURAT DEMİRBAŞ</t>
        </is>
      </c>
      <c r="F4671" s="23" t="n">
        <v>207080</v>
      </c>
      <c r="G4671" s="138" t="n"/>
      <c r="H4671" s="138" t="n">
        <v>457</v>
      </c>
      <c r="I4671" s="138">
        <f>+I4670+(G4671-H4671)</f>
        <v/>
      </c>
      <c r="J4671" s="144" t="n">
        <v>44.8</v>
      </c>
      <c r="K4671" s="140" t="n"/>
      <c r="L4671" s="140">
        <f>+H4671*J4671</f>
        <v/>
      </c>
      <c r="M4671" s="141">
        <f>SUM(M4670+K4671-L4671)</f>
        <v/>
      </c>
    </row>
    <row r="4672">
      <c r="A4672" s="20" t="n">
        <v>45901</v>
      </c>
      <c r="B4672" s="21" t="n">
        <v>1573</v>
      </c>
      <c r="C4672" s="22" t="inlineStr">
        <is>
          <t>SELİM İNŞAAT</t>
        </is>
      </c>
      <c r="D4672" s="21" t="inlineStr">
        <is>
          <t>34 GUS 938</t>
        </is>
      </c>
      <c r="E4672" s="21" t="inlineStr">
        <is>
          <t>MEHMET KAYA</t>
        </is>
      </c>
      <c r="F4672" s="23" t="n">
        <v>209481</v>
      </c>
      <c r="G4672" s="138" t="n"/>
      <c r="H4672" s="138" t="n">
        <v>439</v>
      </c>
      <c r="I4672" s="138">
        <f>+I4671+(G4672-H4672)</f>
        <v/>
      </c>
      <c r="J4672" s="144" t="n">
        <v>44.8</v>
      </c>
      <c r="K4672" s="140" t="n"/>
      <c r="L4672" s="140">
        <f>+H4672*J4672</f>
        <v/>
      </c>
      <c r="M4672" s="141">
        <f>SUM(M4671+K4672-L4672)</f>
        <v/>
      </c>
    </row>
    <row r="4673">
      <c r="A4673" s="20" t="n">
        <v>45901</v>
      </c>
      <c r="B4673" s="21" t="n">
        <v>15340</v>
      </c>
      <c r="C4673" s="22" t="inlineStr">
        <is>
          <t>SELİM İNŞAAT</t>
        </is>
      </c>
      <c r="D4673" s="21" t="inlineStr">
        <is>
          <t>34 EDC 162</t>
        </is>
      </c>
      <c r="E4673" s="21" t="inlineStr">
        <is>
          <t>HÜSEYİN DENİZ</t>
        </is>
      </c>
      <c r="F4673" s="23" t="n">
        <v>386130</v>
      </c>
      <c r="G4673" s="138" t="n"/>
      <c r="H4673" s="138" t="n">
        <v>469</v>
      </c>
      <c r="I4673" s="138">
        <f>+I4672+(G4673-H4673)</f>
        <v/>
      </c>
      <c r="J4673" s="144" t="n">
        <v>44.8</v>
      </c>
      <c r="K4673" s="140" t="n"/>
      <c r="L4673" s="140">
        <f>+H4673*J4673</f>
        <v/>
      </c>
      <c r="M4673" s="141">
        <f>SUM(M4672+K4673-L4673)</f>
        <v/>
      </c>
    </row>
    <row r="4674">
      <c r="A4674" s="20" t="n">
        <v>45901</v>
      </c>
      <c r="B4674" s="21" t="n">
        <v>15547</v>
      </c>
      <c r="C4674" s="22" t="inlineStr">
        <is>
          <t>SELİM İNŞAAT</t>
        </is>
      </c>
      <c r="D4674" s="21" t="inlineStr">
        <is>
          <t>34 EDC 086</t>
        </is>
      </c>
      <c r="E4674" s="21" t="inlineStr">
        <is>
          <t>ÖMER AĞAYAR</t>
        </is>
      </c>
      <c r="F4674" s="23" t="n">
        <v>346603</v>
      </c>
      <c r="G4674" s="138" t="n"/>
      <c r="H4674" s="138" t="n">
        <v>419</v>
      </c>
      <c r="I4674" s="138">
        <f>+I4673+(G4674-H4674)</f>
        <v/>
      </c>
      <c r="J4674" s="144" t="n">
        <v>44.8</v>
      </c>
      <c r="K4674" s="140" t="n"/>
      <c r="L4674" s="140">
        <f>+H4674*J4674</f>
        <v/>
      </c>
      <c r="M4674" s="141">
        <f>SUM(M4673+K4674-L4674)</f>
        <v/>
      </c>
    </row>
    <row r="4675">
      <c r="A4675" s="20" t="n">
        <v>45901</v>
      </c>
      <c r="B4675" s="21" t="n">
        <v>129</v>
      </c>
      <c r="C4675" s="22" t="inlineStr">
        <is>
          <t>SELİM İNŞAAT</t>
        </is>
      </c>
      <c r="D4675" s="21" t="inlineStr">
        <is>
          <t>34 FBR 771</t>
        </is>
      </c>
      <c r="E4675" s="21" t="inlineStr">
        <is>
          <t>HÜSEYİN AKÇİN</t>
        </is>
      </c>
      <c r="F4675" s="23" t="n">
        <v>337745</v>
      </c>
      <c r="G4675" s="138" t="n"/>
      <c r="H4675" s="138" t="n">
        <v>510</v>
      </c>
      <c r="I4675" s="138">
        <f>+I4674+(G4675-H4675)</f>
        <v/>
      </c>
      <c r="J4675" s="144" t="n">
        <v>44.8</v>
      </c>
      <c r="K4675" s="140" t="n"/>
      <c r="L4675" s="140">
        <f>+H4675*J4675</f>
        <v/>
      </c>
      <c r="M4675" s="141">
        <f>SUM(M4674+K4675-L4675)</f>
        <v/>
      </c>
    </row>
    <row r="4676">
      <c r="A4676" s="20" t="n">
        <v>45901</v>
      </c>
      <c r="B4676" s="21" t="n">
        <v>1717</v>
      </c>
      <c r="C4676" s="22" t="inlineStr">
        <is>
          <t>SELİM İNŞAAT</t>
        </is>
      </c>
      <c r="D4676" s="21" t="inlineStr">
        <is>
          <t>34 DGP 137</t>
        </is>
      </c>
      <c r="E4676" s="21" t="inlineStr">
        <is>
          <t>GÜRAY KOYUNCU</t>
        </is>
      </c>
      <c r="F4676" s="23" t="n">
        <v>442718</v>
      </c>
      <c r="G4676" s="138" t="n"/>
      <c r="H4676" s="138" t="n">
        <v>462</v>
      </c>
      <c r="I4676" s="138">
        <f>+I4675+(G4676-H4676)</f>
        <v/>
      </c>
      <c r="J4676" s="144" t="n">
        <v>44.8</v>
      </c>
      <c r="K4676" s="140" t="n"/>
      <c r="L4676" s="140">
        <f>+H4676*J4676</f>
        <v/>
      </c>
      <c r="M4676" s="141">
        <f>SUM(M4675+K4676-L4676)</f>
        <v/>
      </c>
    </row>
    <row r="4677">
      <c r="A4677" s="20" t="n">
        <v>45901</v>
      </c>
      <c r="B4677" s="21" t="n">
        <v>1813</v>
      </c>
      <c r="C4677" s="22" t="inlineStr">
        <is>
          <t>SELİM İNŞAAT</t>
        </is>
      </c>
      <c r="D4677" s="21" t="inlineStr">
        <is>
          <t>34 EGR 922</t>
        </is>
      </c>
      <c r="E4677" s="21" t="inlineStr">
        <is>
          <t>FARUK ÖZEN</t>
        </is>
      </c>
      <c r="F4677" s="23" t="n">
        <v>474235</v>
      </c>
      <c r="G4677" s="138" t="n"/>
      <c r="H4677" s="138" t="n">
        <v>518</v>
      </c>
      <c r="I4677" s="138">
        <f>+I4676+(G4677-H4677)</f>
        <v/>
      </c>
      <c r="J4677" s="144" t="n">
        <v>44.8</v>
      </c>
      <c r="K4677" s="140" t="n"/>
      <c r="L4677" s="140">
        <f>+H4677*J4677</f>
        <v/>
      </c>
      <c r="M4677" s="141">
        <f>SUM(M4676+K4677-L4677)</f>
        <v/>
      </c>
    </row>
    <row r="4678">
      <c r="A4678" s="20" t="n">
        <v>45901</v>
      </c>
      <c r="B4678" s="21" t="n">
        <v>1268</v>
      </c>
      <c r="C4678" s="22" t="inlineStr">
        <is>
          <t>SELİM İNŞAAT</t>
        </is>
      </c>
      <c r="D4678" s="21" t="inlineStr">
        <is>
          <t>34 DSN 621</t>
        </is>
      </c>
      <c r="E4678" s="21" t="inlineStr">
        <is>
          <t>KORAY AK</t>
        </is>
      </c>
      <c r="F4678" s="23" t="n">
        <v>429035</v>
      </c>
      <c r="G4678" s="138" t="n"/>
      <c r="H4678" s="138" t="n">
        <v>530</v>
      </c>
      <c r="I4678" s="138">
        <f>+I4677+(G4678-H4678)</f>
        <v/>
      </c>
      <c r="J4678" s="144" t="n">
        <v>44.8</v>
      </c>
      <c r="K4678" s="140" t="n"/>
      <c r="L4678" s="140">
        <f>+H4678*J4678</f>
        <v/>
      </c>
      <c r="M4678" s="141">
        <f>SUM(M4677+K4678-L4678)</f>
        <v/>
      </c>
    </row>
    <row r="4679">
      <c r="A4679" s="20" t="n">
        <v>45901</v>
      </c>
      <c r="B4679" s="21" t="n">
        <v>1657</v>
      </c>
      <c r="C4679" s="22" t="inlineStr">
        <is>
          <t>SELİM İNŞAAT</t>
        </is>
      </c>
      <c r="D4679" s="21" t="inlineStr">
        <is>
          <t>34 DHH 570</t>
        </is>
      </c>
      <c r="E4679" s="21" t="inlineStr">
        <is>
          <t>KORAY AK</t>
        </is>
      </c>
      <c r="F4679" s="23" t="n">
        <v>449725</v>
      </c>
      <c r="G4679" s="138" t="n"/>
      <c r="H4679" s="138" t="n">
        <v>477</v>
      </c>
      <c r="I4679" s="138">
        <f>+I4678+(G4679-H4679)</f>
        <v/>
      </c>
      <c r="J4679" s="144" t="n">
        <v>44.8</v>
      </c>
      <c r="K4679" s="140" t="n"/>
      <c r="L4679" s="140">
        <f>+H4679*J4679</f>
        <v/>
      </c>
      <c r="M4679" s="141">
        <f>SUM(M4678+K4679-L4679)</f>
        <v/>
      </c>
    </row>
    <row r="4680">
      <c r="A4680" s="20" t="n">
        <v>45901</v>
      </c>
      <c r="B4680" s="21" t="n">
        <v>330</v>
      </c>
      <c r="C4680" s="22" t="inlineStr">
        <is>
          <t>SELİM İNŞAAT</t>
        </is>
      </c>
      <c r="D4680" s="21" t="inlineStr">
        <is>
          <t>34 EDB 829</t>
        </is>
      </c>
      <c r="E4680" s="21" t="inlineStr">
        <is>
          <t>İRFAN DAĞLAR</t>
        </is>
      </c>
      <c r="F4680" s="23" t="n">
        <v>335661</v>
      </c>
      <c r="G4680" s="138" t="n"/>
      <c r="H4680" s="138" t="n">
        <v>458</v>
      </c>
      <c r="I4680" s="138">
        <f>+I4679+(G4680-H4680)</f>
        <v/>
      </c>
      <c r="J4680" s="144" t="n">
        <v>44.8</v>
      </c>
      <c r="K4680" s="140" t="n"/>
      <c r="L4680" s="140">
        <f>+H4680*J4680</f>
        <v/>
      </c>
      <c r="M4680" s="141">
        <f>SUM(M4679+K4680-L4680)</f>
        <v/>
      </c>
    </row>
    <row r="4681">
      <c r="A4681" s="20" t="n">
        <v>45901</v>
      </c>
      <c r="B4681" s="21" t="n">
        <v>1302</v>
      </c>
      <c r="C4681" s="22" t="inlineStr">
        <is>
          <t>SELİM İNŞAAT</t>
        </is>
      </c>
      <c r="D4681" s="21" t="inlineStr">
        <is>
          <t>34 GVZ 199</t>
        </is>
      </c>
      <c r="E4681" s="21" t="inlineStr">
        <is>
          <t>ATA KIZMAZ</t>
        </is>
      </c>
      <c r="F4681" s="23" t="n">
        <v>200403</v>
      </c>
      <c r="G4681" s="138" t="n"/>
      <c r="H4681" s="138" t="n">
        <v>409</v>
      </c>
      <c r="I4681" s="138">
        <f>+I4680+(G4681-H4681)</f>
        <v/>
      </c>
      <c r="J4681" s="144" t="n">
        <v>44.8</v>
      </c>
      <c r="K4681" s="140" t="n"/>
      <c r="L4681" s="140">
        <f>+H4681*J4681</f>
        <v/>
      </c>
      <c r="M4681" s="141">
        <f>SUM(M4680+K4681-L4681)</f>
        <v/>
      </c>
    </row>
    <row r="4682">
      <c r="A4682" s="20" t="n">
        <v>45901</v>
      </c>
      <c r="B4682" s="21" t="n">
        <v>15196</v>
      </c>
      <c r="C4682" s="22" t="inlineStr">
        <is>
          <t>SELİM İNŞAAT</t>
        </is>
      </c>
      <c r="D4682" s="21" t="inlineStr">
        <is>
          <t>34 DP 4161</t>
        </is>
      </c>
      <c r="E4682" s="21" t="inlineStr">
        <is>
          <t>RIFAT KARATAY</t>
        </is>
      </c>
      <c r="F4682" s="23" t="n">
        <v>297967</v>
      </c>
      <c r="G4682" s="138" t="n"/>
      <c r="H4682" s="138" t="n">
        <v>247</v>
      </c>
      <c r="I4682" s="138">
        <f>+I4681+(G4682-H4682)</f>
        <v/>
      </c>
      <c r="J4682" s="144" t="n">
        <v>44.8</v>
      </c>
      <c r="K4682" s="140" t="n"/>
      <c r="L4682" s="140">
        <f>+H4682*J4682</f>
        <v/>
      </c>
      <c r="M4682" s="141">
        <f>SUM(M4681+K4682-L4682)</f>
        <v/>
      </c>
    </row>
    <row r="4683">
      <c r="A4683" s="20" t="n">
        <v>45901</v>
      </c>
      <c r="B4683" s="21" t="n">
        <v>175</v>
      </c>
      <c r="C4683" s="22" t="inlineStr">
        <is>
          <t>SELİM İNŞAAT</t>
        </is>
      </c>
      <c r="D4683" s="21" t="inlineStr">
        <is>
          <t>34 TG 7869</t>
        </is>
      </c>
      <c r="E4683" s="21" t="inlineStr">
        <is>
          <t>DURSUN ALİ GÜREK</t>
        </is>
      </c>
      <c r="F4683" s="23" t="n">
        <v>188461</v>
      </c>
      <c r="G4683" s="138" t="n"/>
      <c r="H4683" s="138" t="n">
        <v>287</v>
      </c>
      <c r="I4683" s="138">
        <f>+I4682+(G4683-H4683)</f>
        <v/>
      </c>
      <c r="J4683" s="144" t="n">
        <v>44.8</v>
      </c>
      <c r="K4683" s="140" t="n"/>
      <c r="L4683" s="140">
        <f>+H4683*J4683</f>
        <v/>
      </c>
      <c r="M4683" s="141">
        <f>SUM(M4682+K4683-L4683)</f>
        <v/>
      </c>
    </row>
    <row r="4684">
      <c r="A4684" s="20" t="n">
        <v>45901</v>
      </c>
      <c r="B4684" s="21" t="n">
        <v>616</v>
      </c>
      <c r="C4684" s="22" t="inlineStr">
        <is>
          <t>SELİM İNŞAAT</t>
        </is>
      </c>
      <c r="D4684" s="21" t="inlineStr">
        <is>
          <t>34 AR 7743</t>
        </is>
      </c>
      <c r="E4684" s="21" t="inlineStr">
        <is>
          <t>MEHMET SELİM</t>
        </is>
      </c>
      <c r="F4684" s="23" t="n">
        <v>361814</v>
      </c>
      <c r="G4684" s="138" t="n"/>
      <c r="H4684" s="138" t="n">
        <v>59</v>
      </c>
      <c r="I4684" s="138">
        <f>+I4683+(G4684-H4684)</f>
        <v/>
      </c>
      <c r="J4684" s="144" t="n">
        <v>44.8</v>
      </c>
      <c r="K4684" s="140" t="n"/>
      <c r="L4684" s="140">
        <f>+H4684*J4684</f>
        <v/>
      </c>
      <c r="M4684" s="141">
        <f>SUM(M4683+K4684-L4684)</f>
        <v/>
      </c>
    </row>
    <row r="4685">
      <c r="A4685" s="20" t="n">
        <v>45901</v>
      </c>
      <c r="B4685" s="21" t="n">
        <v>21348</v>
      </c>
      <c r="C4685" s="22" t="inlineStr">
        <is>
          <t>SELİM İNŞAAT</t>
        </is>
      </c>
      <c r="D4685" s="21" t="inlineStr">
        <is>
          <t>34 FEM 934</t>
        </is>
      </c>
      <c r="E4685" s="21" t="inlineStr">
        <is>
          <t>SELİM CAN ÖNVER</t>
        </is>
      </c>
      <c r="F4685" s="23" t="n">
        <v>317942</v>
      </c>
      <c r="G4685" s="138" t="n"/>
      <c r="H4685" s="138" t="n">
        <v>62</v>
      </c>
      <c r="I4685" s="138">
        <f>+I4684+(G4685-H4685)</f>
        <v/>
      </c>
      <c r="J4685" s="144" t="n">
        <v>44.8</v>
      </c>
      <c r="K4685" s="140" t="n"/>
      <c r="L4685" s="140">
        <f>+H4685*J4685</f>
        <v/>
      </c>
      <c r="M4685" s="141">
        <f>SUM(M4684+K4685-L4685)</f>
        <v/>
      </c>
    </row>
    <row r="4686">
      <c r="A4686" s="20" t="n">
        <v>45901</v>
      </c>
      <c r="B4686" s="21" t="n">
        <v>479</v>
      </c>
      <c r="C4686" s="22" t="inlineStr">
        <is>
          <t>SELİM İNŞAAT</t>
        </is>
      </c>
      <c r="D4686" s="21" t="inlineStr">
        <is>
          <t>34 DKL 866</t>
        </is>
      </c>
      <c r="E4686" s="21" t="inlineStr">
        <is>
          <t>SELİM CAN ÖNVER</t>
        </is>
      </c>
      <c r="F4686" s="23" t="n">
        <v>73384</v>
      </c>
      <c r="G4686" s="138" t="n"/>
      <c r="H4686" s="138" t="n">
        <v>220</v>
      </c>
      <c r="I4686" s="138">
        <f>+I4685+(G4686-H4686)</f>
        <v/>
      </c>
      <c r="J4686" s="144" t="n">
        <v>44.8</v>
      </c>
      <c r="K4686" s="140" t="n"/>
      <c r="L4686" s="140">
        <f>+H4686*J4686</f>
        <v/>
      </c>
      <c r="M4686" s="141">
        <f>SUM(M4685+K4686-L4686)</f>
        <v/>
      </c>
    </row>
    <row r="4687">
      <c r="A4687" s="20" t="n">
        <v>45901</v>
      </c>
      <c r="B4687" s="21" t="n">
        <v>11392</v>
      </c>
      <c r="C4687" s="22" t="inlineStr">
        <is>
          <t>AZGÜN YAPI</t>
        </is>
      </c>
      <c r="D4687" s="21" t="inlineStr">
        <is>
          <t>34 MKT 593</t>
        </is>
      </c>
      <c r="E4687" s="21" t="inlineStr">
        <is>
          <t>MESUT GÜRLER</t>
        </is>
      </c>
      <c r="F4687" s="23" t="n"/>
      <c r="G4687" s="138" t="n"/>
      <c r="H4687" s="138" t="n">
        <v>150</v>
      </c>
      <c r="I4687" s="138">
        <f>+I4686+(G4687-H4687)</f>
        <v/>
      </c>
      <c r="J4687" s="144" t="n">
        <v>44.8</v>
      </c>
      <c r="K4687" s="140" t="n"/>
      <c r="L4687" s="140">
        <f>+H4687*J4687</f>
        <v/>
      </c>
      <c r="M4687" s="141">
        <f>SUM(M4686+K4687-L4687)</f>
        <v/>
      </c>
    </row>
    <row r="4688">
      <c r="A4688" s="20" t="n">
        <v>45901</v>
      </c>
      <c r="B4688" s="21" t="n">
        <v>11393</v>
      </c>
      <c r="C4688" s="22" t="inlineStr">
        <is>
          <t>AZGÜN YAPI</t>
        </is>
      </c>
      <c r="D4688" s="21" t="inlineStr">
        <is>
          <t>34 MKT 593</t>
        </is>
      </c>
      <c r="E4688" s="21" t="inlineStr">
        <is>
          <t>MESUT GÜRLER</t>
        </is>
      </c>
      <c r="F4688" s="23" t="n"/>
      <c r="G4688" s="138" t="n"/>
      <c r="H4688" s="138" t="n">
        <v>513</v>
      </c>
      <c r="I4688" s="138">
        <f>+I4687+(G4688-H4688)</f>
        <v/>
      </c>
      <c r="J4688" s="144" t="n">
        <v>44.8</v>
      </c>
      <c r="K4688" s="140" t="n"/>
      <c r="L4688" s="140">
        <f>+H4688*J4688</f>
        <v/>
      </c>
      <c r="M4688" s="141">
        <f>SUM(M4687+K4688-L4688)</f>
        <v/>
      </c>
    </row>
    <row r="4689">
      <c r="A4689" s="20" t="n">
        <v>45901</v>
      </c>
      <c r="B4689" s="21" t="n">
        <v>2217</v>
      </c>
      <c r="C4689" s="22" t="inlineStr">
        <is>
          <t>AZGÜN YAPI</t>
        </is>
      </c>
      <c r="D4689" s="21" t="inlineStr">
        <is>
          <t>34 DTV 263</t>
        </is>
      </c>
      <c r="E4689" s="21" t="inlineStr">
        <is>
          <t>MUHAMMET BULUT</t>
        </is>
      </c>
      <c r="F4689" s="23" t="n"/>
      <c r="G4689" s="138" t="n"/>
      <c r="H4689" s="138" t="n">
        <v>287</v>
      </c>
      <c r="I4689" s="138">
        <f>+I4688+(G4689-H4689)</f>
        <v/>
      </c>
      <c r="J4689" s="144" t="n">
        <v>44.8</v>
      </c>
      <c r="K4689" s="140" t="n"/>
      <c r="L4689" s="140">
        <f>+H4689*J4689</f>
        <v/>
      </c>
      <c r="M4689" s="141">
        <f>SUM(M4688+K4689-L4689)</f>
        <v/>
      </c>
    </row>
    <row r="4690">
      <c r="A4690" s="20" t="n">
        <v>45901</v>
      </c>
      <c r="B4690" s="21" t="n">
        <v>15644</v>
      </c>
      <c r="C4690" s="22" t="inlineStr">
        <is>
          <t>METİN ERYİĞİT</t>
        </is>
      </c>
      <c r="D4690" s="21" t="inlineStr">
        <is>
          <t>34 EGS 013</t>
        </is>
      </c>
      <c r="E4690" s="21" t="inlineStr">
        <is>
          <t xml:space="preserve">UĞUR DUMAN </t>
        </is>
      </c>
      <c r="F4690" s="23" t="n">
        <v>511094</v>
      </c>
      <c r="G4690" s="138" t="n"/>
      <c r="H4690" s="138" t="n">
        <v>415</v>
      </c>
      <c r="I4690" s="138">
        <f>+I4689+(G4690-H4690)</f>
        <v/>
      </c>
      <c r="J4690" s="144" t="n">
        <v>44.8</v>
      </c>
      <c r="K4690" s="140" t="n"/>
      <c r="L4690" s="140">
        <f>+H4690*J4690</f>
        <v/>
      </c>
      <c r="M4690" s="141">
        <f>SUM(M4689+K4690-L4690)</f>
        <v/>
      </c>
    </row>
    <row r="4691">
      <c r="A4691" s="20" t="n">
        <v>45901</v>
      </c>
      <c r="B4691" s="21" t="n">
        <v>1919</v>
      </c>
      <c r="C4691" s="22" t="inlineStr">
        <is>
          <t>ENES SELİM</t>
        </is>
      </c>
      <c r="D4691" s="21" t="inlineStr">
        <is>
          <t>TB 926 VİNÇ</t>
        </is>
      </c>
      <c r="E4691" s="21" t="inlineStr">
        <is>
          <t>ENES SELİM</t>
        </is>
      </c>
      <c r="F4691" s="23" t="n"/>
      <c r="G4691" s="138" t="n"/>
      <c r="H4691" s="138" t="n">
        <v>152</v>
      </c>
      <c r="I4691" s="138">
        <f>+I4690+(G4691-H4691)</f>
        <v/>
      </c>
      <c r="J4691" s="144" t="n">
        <v>44.8</v>
      </c>
      <c r="K4691" s="140" t="n"/>
      <c r="L4691" s="140">
        <f>+H4691*J4691</f>
        <v/>
      </c>
      <c r="M4691" s="141">
        <f>SUM(M4690+K4691-L4691)</f>
        <v/>
      </c>
    </row>
    <row r="4692">
      <c r="A4692" s="20" t="n">
        <v>45901</v>
      </c>
      <c r="B4692" s="21" t="n">
        <v>2138</v>
      </c>
      <c r="C4692" s="22" t="inlineStr">
        <is>
          <t>MEGA VARLIK</t>
        </is>
      </c>
      <c r="D4692" s="21" t="inlineStr">
        <is>
          <t>SM 350</t>
        </is>
      </c>
      <c r="E4692" s="21" t="inlineStr">
        <is>
          <t>AHMET AKGÜL</t>
        </is>
      </c>
      <c r="F4692" s="23" t="n"/>
      <c r="G4692" s="138" t="n"/>
      <c r="H4692" s="138" t="n">
        <v>528</v>
      </c>
      <c r="I4692" s="138">
        <f>+I4691+(G4692-H4692)</f>
        <v/>
      </c>
      <c r="J4692" s="144" t="n">
        <v>44.8</v>
      </c>
      <c r="K4692" s="140" t="n"/>
      <c r="L4692" s="140">
        <f>+H4692*J4692</f>
        <v/>
      </c>
      <c r="M4692" s="141">
        <f>SUM(M4691+K4692-L4692)</f>
        <v/>
      </c>
    </row>
    <row r="4693">
      <c r="A4693" s="20" t="n">
        <v>45901</v>
      </c>
      <c r="B4693" s="21" t="n">
        <v>2139</v>
      </c>
      <c r="C4693" s="22" t="inlineStr">
        <is>
          <t>MEGA VARLIK</t>
        </is>
      </c>
      <c r="D4693" s="21" t="inlineStr">
        <is>
          <t>SM 350</t>
        </is>
      </c>
      <c r="E4693" s="21" t="inlineStr">
        <is>
          <t>TEVFİK</t>
        </is>
      </c>
      <c r="F4693" s="23" t="n"/>
      <c r="G4693" s="138" t="n"/>
      <c r="H4693" s="138" t="n">
        <v>455</v>
      </c>
      <c r="I4693" s="138">
        <f>+I4692+(G4693-H4693)</f>
        <v/>
      </c>
      <c r="J4693" s="144" t="n">
        <v>44.8</v>
      </c>
      <c r="K4693" s="140" t="n"/>
      <c r="L4693" s="140">
        <f>+H4693*J4693</f>
        <v/>
      </c>
      <c r="M4693" s="141">
        <f>SUM(M4692+K4693-L4693)</f>
        <v/>
      </c>
    </row>
    <row r="4694">
      <c r="A4694" s="20" t="n">
        <v>45901</v>
      </c>
      <c r="B4694" s="21" t="n">
        <v>2140</v>
      </c>
      <c r="C4694" s="22" t="inlineStr">
        <is>
          <t>MEGA VARLIK</t>
        </is>
      </c>
      <c r="D4694" s="21" t="inlineStr">
        <is>
          <t xml:space="preserve">SM 370 </t>
        </is>
      </c>
      <c r="E4694" s="21" t="inlineStr">
        <is>
          <t>TEKİN</t>
        </is>
      </c>
      <c r="F4694" s="23" t="n"/>
      <c r="G4694" s="138" t="n"/>
      <c r="H4694" s="138" t="n">
        <v>505</v>
      </c>
      <c r="I4694" s="138">
        <f>+I4693+(G4694-H4694)</f>
        <v/>
      </c>
      <c r="J4694" s="144" t="n">
        <v>44.8</v>
      </c>
      <c r="K4694" s="140" t="n"/>
      <c r="L4694" s="140">
        <f>+H4694*J4694</f>
        <v/>
      </c>
      <c r="M4694" s="141">
        <f>SUM(M4693+K4694-L4694)</f>
        <v/>
      </c>
    </row>
    <row r="4695">
      <c r="A4695" s="20" t="n">
        <v>45901</v>
      </c>
      <c r="B4695" s="21" t="n">
        <v>2141</v>
      </c>
      <c r="C4695" s="22" t="inlineStr">
        <is>
          <t>VARLIK</t>
        </is>
      </c>
      <c r="D4695" s="21" t="inlineStr">
        <is>
          <t>ZOMLİON</t>
        </is>
      </c>
      <c r="E4695" s="21" t="inlineStr">
        <is>
          <t>SALİH ŞOLAN</t>
        </is>
      </c>
      <c r="F4695" s="23" t="n"/>
      <c r="G4695" s="138" t="n"/>
      <c r="H4695" s="138" t="n">
        <v>242</v>
      </c>
      <c r="I4695" s="138">
        <f>+I4694+(G4695-H4695)</f>
        <v/>
      </c>
      <c r="J4695" s="144" t="n">
        <v>44.8</v>
      </c>
      <c r="K4695" s="140" t="n"/>
      <c r="L4695" s="140">
        <f>+H4695*J4695</f>
        <v/>
      </c>
      <c r="M4695" s="141">
        <f>SUM(M4694+K4695-L4695)</f>
        <v/>
      </c>
    </row>
    <row r="4696">
      <c r="A4696" s="20" t="n">
        <v>45901</v>
      </c>
      <c r="B4696" s="21" t="n">
        <v>2142</v>
      </c>
      <c r="C4696" s="22" t="inlineStr">
        <is>
          <t>VARLIK</t>
        </is>
      </c>
      <c r="D4696" s="21" t="inlineStr">
        <is>
          <t>SM 300</t>
        </is>
      </c>
      <c r="E4696" s="21" t="inlineStr">
        <is>
          <t>MEHMET ALİ</t>
        </is>
      </c>
      <c r="F4696" s="23" t="n"/>
      <c r="G4696" s="138" t="n"/>
      <c r="H4696" s="138" t="n">
        <v>282</v>
      </c>
      <c r="I4696" s="138">
        <f>+I4695+(G4696-H4696)</f>
        <v/>
      </c>
      <c r="J4696" s="144" t="n">
        <v>44.8</v>
      </c>
      <c r="K4696" s="140" t="n"/>
      <c r="L4696" s="140">
        <f>+H4696*J4696</f>
        <v/>
      </c>
      <c r="M4696" s="141">
        <f>SUM(M4695+K4696-L4696)</f>
        <v/>
      </c>
    </row>
    <row r="4697">
      <c r="A4697" s="20" t="n">
        <v>45901</v>
      </c>
      <c r="B4697" s="21" t="n">
        <v>2143</v>
      </c>
      <c r="C4697" s="22" t="inlineStr">
        <is>
          <t>HASALTUN</t>
        </is>
      </c>
      <c r="D4697" s="1" t="inlineStr">
        <is>
          <t>HİTACİ</t>
        </is>
      </c>
      <c r="E4697" s="1" t="inlineStr">
        <is>
          <t>TURGUT SANCAK</t>
        </is>
      </c>
      <c r="F4697" s="23" t="n"/>
      <c r="G4697" s="138" t="n"/>
      <c r="H4697" s="138" t="n">
        <v>357</v>
      </c>
      <c r="I4697" s="138">
        <f>+I4696+(G4697-H4697)</f>
        <v/>
      </c>
      <c r="J4697" s="144" t="n">
        <v>44.8</v>
      </c>
      <c r="K4697" s="140" t="n"/>
      <c r="L4697" s="140">
        <f>+H4697*J4697</f>
        <v/>
      </c>
      <c r="M4697" s="141">
        <f>SUM(M4696+K4697-L4697)</f>
        <v/>
      </c>
    </row>
    <row r="4698">
      <c r="A4698" s="20" t="n">
        <v>45901</v>
      </c>
      <c r="B4698" s="21" t="n">
        <v>2144</v>
      </c>
      <c r="C4698" s="22" t="inlineStr">
        <is>
          <t>HASALTUN</t>
        </is>
      </c>
      <c r="D4698" s="1" t="inlineStr">
        <is>
          <t>KAVAZAKİ</t>
        </is>
      </c>
      <c r="E4698" s="1" t="inlineStr">
        <is>
          <t>RAMAZAN KAYA</t>
        </is>
      </c>
      <c r="F4698" s="23" t="n"/>
      <c r="G4698" s="138" t="n"/>
      <c r="H4698" s="138" t="n">
        <v>209</v>
      </c>
      <c r="I4698" s="138">
        <f>+I4697+(G4698-H4698)</f>
        <v/>
      </c>
      <c r="J4698" s="144" t="n">
        <v>44.8</v>
      </c>
      <c r="K4698" s="140" t="n"/>
      <c r="L4698" s="140">
        <f>+H4698*J4698</f>
        <v/>
      </c>
      <c r="M4698" s="141">
        <f>SUM(M4697+K4698-L4698)</f>
        <v/>
      </c>
    </row>
    <row r="4699">
      <c r="A4699" s="20" t="n">
        <v>45901</v>
      </c>
      <c r="B4699" s="21" t="n">
        <v>2145</v>
      </c>
      <c r="C4699" s="22" t="inlineStr">
        <is>
          <t>HASALTUN</t>
        </is>
      </c>
      <c r="D4699" s="21" t="inlineStr">
        <is>
          <t>FOKLİFT</t>
        </is>
      </c>
      <c r="E4699" s="21" t="inlineStr">
        <is>
          <t>FAHRİ KALFA</t>
        </is>
      </c>
      <c r="F4699" s="23" t="n"/>
      <c r="G4699" s="138" t="n"/>
      <c r="H4699" s="138" t="n">
        <v>41</v>
      </c>
      <c r="I4699" s="138">
        <f>+I4698+(G4699-H4699)</f>
        <v/>
      </c>
      <c r="J4699" s="144" t="n">
        <v>44.8</v>
      </c>
      <c r="K4699" s="140" t="n"/>
      <c r="L4699" s="140">
        <f>+H4699*J4699</f>
        <v/>
      </c>
      <c r="M4699" s="141">
        <f>SUM(M4698+K4699-L4699)</f>
        <v/>
      </c>
    </row>
    <row r="4700">
      <c r="A4700" s="20" t="n">
        <v>45902</v>
      </c>
      <c r="B4700" s="21" t="n">
        <v>1208</v>
      </c>
      <c r="C4700" s="22" t="inlineStr">
        <is>
          <t>ÜNSOY TURİZM İNŞ.SAN.VE TİC.A.Ş.</t>
        </is>
      </c>
      <c r="D4700" s="21" t="n"/>
      <c r="E4700" s="21" t="n"/>
      <c r="F4700" s="23" t="n"/>
      <c r="G4700" s="138" t="n">
        <v>31777</v>
      </c>
      <c r="H4700" s="138" t="n"/>
      <c r="I4700" s="138">
        <f>+I4699+(G4700-H4700)</f>
        <v/>
      </c>
      <c r="J4700" s="139">
        <f>+K4700/G4700</f>
        <v/>
      </c>
      <c r="K4700" s="140" t="n">
        <v>1423609.6</v>
      </c>
      <c r="L4700" s="140">
        <f>+H4700*J4700</f>
        <v/>
      </c>
      <c r="M4700" s="141">
        <f>SUM(M4699+K4700-L4700)</f>
        <v/>
      </c>
    </row>
    <row r="4701">
      <c r="A4701" s="20" t="n">
        <v>45902</v>
      </c>
      <c r="B4701" s="21" t="n">
        <v>1854</v>
      </c>
      <c r="C4701" s="22" t="inlineStr">
        <is>
          <t>SELİM İNŞAAT</t>
        </is>
      </c>
      <c r="D4701" s="21" t="inlineStr">
        <is>
          <t>34 GVZ 268</t>
        </is>
      </c>
      <c r="E4701" s="21" t="inlineStr">
        <is>
          <t>KERİM KARAMAN</t>
        </is>
      </c>
      <c r="F4701" s="23" t="n">
        <v>213797</v>
      </c>
      <c r="G4701" s="138" t="n"/>
      <c r="H4701" s="138" t="n">
        <v>390</v>
      </c>
      <c r="I4701" s="138">
        <f>+I4700+(G4701-H4701)</f>
        <v/>
      </c>
      <c r="J4701" s="139" t="n">
        <v>44.8</v>
      </c>
      <c r="K4701" s="140" t="n"/>
      <c r="L4701" s="140">
        <f>+H4701*J4701</f>
        <v/>
      </c>
      <c r="M4701" s="141">
        <f>SUM(M4700+K4701-L4701)</f>
        <v/>
      </c>
    </row>
    <row r="4702">
      <c r="A4702" s="20" t="n">
        <v>45902</v>
      </c>
      <c r="B4702" s="21" t="n">
        <v>15135</v>
      </c>
      <c r="C4702" s="22" t="inlineStr">
        <is>
          <t>SELİM İNŞAAT</t>
        </is>
      </c>
      <c r="D4702" s="21" t="inlineStr">
        <is>
          <t>34 DTV 599</t>
        </is>
      </c>
      <c r="E4702" s="21" t="inlineStr">
        <is>
          <t>FERHAT GÜRLER</t>
        </is>
      </c>
      <c r="F4702" s="23" t="n">
        <v>450288</v>
      </c>
      <c r="G4702" s="138" t="n"/>
      <c r="H4702" s="138" t="n">
        <v>529</v>
      </c>
      <c r="I4702" s="138">
        <f>+I4701+(G4702-H4702)</f>
        <v/>
      </c>
      <c r="J4702" s="139" t="n">
        <v>44.8</v>
      </c>
      <c r="K4702" s="140" t="n"/>
      <c r="L4702" s="140">
        <f>+H4702*J4702</f>
        <v/>
      </c>
      <c r="M4702" s="141">
        <f>SUM(M4701+K4702-L4702)</f>
        <v/>
      </c>
    </row>
    <row r="4703">
      <c r="A4703" s="20" t="n">
        <v>45902</v>
      </c>
      <c r="B4703" s="21" t="n">
        <v>36</v>
      </c>
      <c r="C4703" s="22" t="inlineStr">
        <is>
          <t>SELİM İNŞAAT</t>
        </is>
      </c>
      <c r="D4703" s="21" t="inlineStr">
        <is>
          <t>34 FBR 748</t>
        </is>
      </c>
      <c r="E4703" s="21" t="inlineStr">
        <is>
          <t>YAŞAR ÖZKAYA</t>
        </is>
      </c>
      <c r="F4703" s="23" t="n">
        <v>302081</v>
      </c>
      <c r="G4703" s="138" t="n"/>
      <c r="H4703" s="138" t="n">
        <v>373</v>
      </c>
      <c r="I4703" s="138">
        <f>+I4702+(G4703-H4703)</f>
        <v/>
      </c>
      <c r="J4703" s="139" t="n">
        <v>44.8</v>
      </c>
      <c r="K4703" s="140" t="n"/>
      <c r="L4703" s="140">
        <f>+H4703*J4703</f>
        <v/>
      </c>
      <c r="M4703" s="141">
        <f>SUM(M4702+K4703-L4703)</f>
        <v/>
      </c>
    </row>
    <row r="4704">
      <c r="A4704" s="20" t="n">
        <v>45902</v>
      </c>
      <c r="B4704" s="21" t="n">
        <v>424</v>
      </c>
      <c r="C4704" s="22" t="inlineStr">
        <is>
          <t>SELİM İNŞAAT</t>
        </is>
      </c>
      <c r="D4704" s="21" t="inlineStr">
        <is>
          <t>34 DRU 690</t>
        </is>
      </c>
      <c r="E4704" s="21" t="inlineStr">
        <is>
          <t>MURAT SARI</t>
        </is>
      </c>
      <c r="F4704" s="23" t="n">
        <v>434085</v>
      </c>
      <c r="G4704" s="138" t="n"/>
      <c r="H4704" s="138" t="n">
        <v>409</v>
      </c>
      <c r="I4704" s="138">
        <f>+I4703+(G4704-H4704)</f>
        <v/>
      </c>
      <c r="J4704" s="139" t="n">
        <v>44.8</v>
      </c>
      <c r="K4704" s="140" t="n"/>
      <c r="L4704" s="140">
        <f>+H4704*J4704</f>
        <v/>
      </c>
      <c r="M4704" s="141">
        <f>SUM(M4703+K4704-L4704)</f>
        <v/>
      </c>
    </row>
    <row r="4705">
      <c r="A4705" s="20" t="n">
        <v>45902</v>
      </c>
      <c r="B4705" s="21" t="n">
        <v>15383</v>
      </c>
      <c r="C4705" s="22" t="inlineStr">
        <is>
          <t>SELİM İNŞAAT</t>
        </is>
      </c>
      <c r="D4705" s="21" t="inlineStr">
        <is>
          <t>34 DTV 409</t>
        </is>
      </c>
      <c r="E4705" s="21" t="inlineStr">
        <is>
          <t>EBUBEKİR KOLDAŞ</t>
        </is>
      </c>
      <c r="F4705" s="23" t="n">
        <v>434668</v>
      </c>
      <c r="G4705" s="138" t="n"/>
      <c r="H4705" s="138" t="n">
        <v>451</v>
      </c>
      <c r="I4705" s="138">
        <f>+I4704+(G4705-H4705)</f>
        <v/>
      </c>
      <c r="J4705" s="139" t="n">
        <v>44.8</v>
      </c>
      <c r="K4705" s="140" t="n"/>
      <c r="L4705" s="140">
        <f>+H4705*J4705</f>
        <v/>
      </c>
      <c r="M4705" s="141">
        <f>SUM(M4704+K4705-L4705)</f>
        <v/>
      </c>
    </row>
    <row r="4706">
      <c r="A4706" s="20" t="n">
        <v>45902</v>
      </c>
      <c r="B4706" s="21" t="n">
        <v>14790</v>
      </c>
      <c r="C4706" s="22" t="inlineStr">
        <is>
          <t>SELİM İNŞAAT</t>
        </is>
      </c>
      <c r="D4706" s="21" t="inlineStr">
        <is>
          <t>34 GYZ 635</t>
        </is>
      </c>
      <c r="E4706" s="21" t="inlineStr">
        <is>
          <t>ENGİN DEMİR</t>
        </is>
      </c>
      <c r="F4706" s="23" t="n">
        <v>193796</v>
      </c>
      <c r="G4706" s="138" t="n"/>
      <c r="H4706" s="138" t="n">
        <v>475</v>
      </c>
      <c r="I4706" s="138">
        <f>+I4705+(G4706-H4706)</f>
        <v/>
      </c>
      <c r="J4706" s="139" t="n">
        <v>44.8</v>
      </c>
      <c r="K4706" s="140" t="n"/>
      <c r="L4706" s="140">
        <f>+H4706*J4706</f>
        <v/>
      </c>
      <c r="M4706" s="141">
        <f>SUM(M4705+K4706-L4706)</f>
        <v/>
      </c>
    </row>
    <row r="4707">
      <c r="A4707" s="20" t="n">
        <v>45902</v>
      </c>
      <c r="B4707" s="21" t="n">
        <v>1022</v>
      </c>
      <c r="C4707" s="22" t="inlineStr">
        <is>
          <t>SELİM İNŞAAT</t>
        </is>
      </c>
      <c r="D4707" s="21" t="inlineStr">
        <is>
          <t>34 DHH 668</t>
        </is>
      </c>
      <c r="E4707" s="21" t="inlineStr">
        <is>
          <t>ADNAN KOÇ</t>
        </is>
      </c>
      <c r="F4707" s="23" t="n">
        <v>402414</v>
      </c>
      <c r="G4707" s="138" t="n"/>
      <c r="H4707" s="138" t="n">
        <v>456</v>
      </c>
      <c r="I4707" s="138">
        <f>+I4706+(G4707-H4707)</f>
        <v/>
      </c>
      <c r="J4707" s="139" t="n">
        <v>44.8</v>
      </c>
      <c r="K4707" s="140" t="n"/>
      <c r="L4707" s="140">
        <f>+H4707*J4707</f>
        <v/>
      </c>
      <c r="M4707" s="141">
        <f>SUM(M4706+K4707-L4707)</f>
        <v/>
      </c>
    </row>
    <row r="4708">
      <c r="A4708" s="20" t="n">
        <v>45902</v>
      </c>
      <c r="B4708" s="21" t="n">
        <v>1468</v>
      </c>
      <c r="C4708" s="22" t="inlineStr">
        <is>
          <t>SELİM İNŞAAT</t>
        </is>
      </c>
      <c r="D4708" s="21" t="inlineStr">
        <is>
          <t>34 EGR 737</t>
        </is>
      </c>
      <c r="E4708" s="21" t="inlineStr">
        <is>
          <t>CEM MUHTAR</t>
        </is>
      </c>
      <c r="F4708" s="23" t="n">
        <v>434981</v>
      </c>
      <c r="G4708" s="138" t="n"/>
      <c r="H4708" s="138" t="n">
        <v>467</v>
      </c>
      <c r="I4708" s="138">
        <f>+I4707+(G4708-H4708)</f>
        <v/>
      </c>
      <c r="J4708" s="139" t="n">
        <v>44.8</v>
      </c>
      <c r="K4708" s="140" t="n"/>
      <c r="L4708" s="140">
        <f>+H4708*J4708</f>
        <v/>
      </c>
      <c r="M4708" s="141">
        <f>SUM(M4707+K4708-L4708)</f>
        <v/>
      </c>
    </row>
    <row r="4709">
      <c r="A4709" s="20" t="n">
        <v>45902</v>
      </c>
      <c r="B4709" s="21" t="n">
        <v>1122</v>
      </c>
      <c r="C4709" s="22" t="inlineStr">
        <is>
          <t>SELİM İNŞAAT</t>
        </is>
      </c>
      <c r="D4709" s="21" t="inlineStr">
        <is>
          <t>34 EDB 659</t>
        </is>
      </c>
      <c r="E4709" s="21" t="inlineStr">
        <is>
          <t>MEHMET SAİT ANIK</t>
        </is>
      </c>
      <c r="F4709" s="23" t="n">
        <v>361871</v>
      </c>
      <c r="G4709" s="138" t="n"/>
      <c r="H4709" s="138" t="n">
        <v>477</v>
      </c>
      <c r="I4709" s="138">
        <f>+I4708+(G4709-H4709)</f>
        <v/>
      </c>
      <c r="J4709" s="139" t="n">
        <v>44.8</v>
      </c>
      <c r="K4709" s="140" t="n"/>
      <c r="L4709" s="140">
        <f>+H4709*J4709</f>
        <v/>
      </c>
      <c r="M4709" s="141">
        <f>SUM(M4708+K4709-L4709)</f>
        <v/>
      </c>
    </row>
    <row r="4710">
      <c r="A4710" s="20" t="n">
        <v>45902</v>
      </c>
      <c r="B4710" s="21" t="n">
        <v>15991</v>
      </c>
      <c r="C4710" s="22" t="inlineStr">
        <is>
          <t>SELİM İNŞAAT</t>
        </is>
      </c>
      <c r="D4710" s="21" t="inlineStr">
        <is>
          <t>34 FBR 781</t>
        </is>
      </c>
      <c r="E4710" s="21" t="inlineStr">
        <is>
          <t>MEVLÜT POLAT</t>
        </is>
      </c>
      <c r="F4710" s="23" t="n">
        <v>326494</v>
      </c>
      <c r="G4710" s="138" t="n"/>
      <c r="H4710" s="138" t="n">
        <v>417</v>
      </c>
      <c r="I4710" s="138">
        <f>+I4709+(G4710-H4710)</f>
        <v/>
      </c>
      <c r="J4710" s="139" t="n">
        <v>44.8</v>
      </c>
      <c r="K4710" s="140" t="n"/>
      <c r="L4710" s="140">
        <f>+H4710*J4710</f>
        <v/>
      </c>
      <c r="M4710" s="141">
        <f>SUM(M4709+K4710-L4710)</f>
        <v/>
      </c>
    </row>
    <row r="4711">
      <c r="A4711" s="20" t="n">
        <v>45902</v>
      </c>
      <c r="B4711" s="21" t="n">
        <v>2251</v>
      </c>
      <c r="C4711" s="22" t="inlineStr">
        <is>
          <t>SELİM İNŞAAT</t>
        </is>
      </c>
      <c r="D4711" s="21" t="inlineStr">
        <is>
          <t>34 DSN 636</t>
        </is>
      </c>
      <c r="E4711" s="21" t="inlineStr">
        <is>
          <t>MAHSUN GÜVEN</t>
        </is>
      </c>
      <c r="F4711" s="23" t="n">
        <v>406654</v>
      </c>
      <c r="G4711" s="138" t="n"/>
      <c r="H4711" s="138" t="n">
        <v>443</v>
      </c>
      <c r="I4711" s="138">
        <f>+I4710+(G4711-H4711)</f>
        <v/>
      </c>
      <c r="J4711" s="139" t="n">
        <v>44.8</v>
      </c>
      <c r="K4711" s="140" t="n"/>
      <c r="L4711" s="140">
        <f>+H4711*J4711</f>
        <v/>
      </c>
      <c r="M4711" s="141">
        <f>SUM(M4710+K4711-L4711)</f>
        <v/>
      </c>
    </row>
    <row r="4712">
      <c r="A4712" s="20" t="n">
        <v>45902</v>
      </c>
      <c r="B4712" s="21" t="n">
        <v>581</v>
      </c>
      <c r="C4712" s="22" t="inlineStr">
        <is>
          <t>SELİM İNŞAAT</t>
        </is>
      </c>
      <c r="D4712" s="21" t="inlineStr">
        <is>
          <t>34 EDB 922</t>
        </is>
      </c>
      <c r="E4712" s="21" t="inlineStr">
        <is>
          <t>AHMET TOPÇU</t>
        </is>
      </c>
      <c r="F4712" s="23" t="n">
        <v>382285</v>
      </c>
      <c r="G4712" s="138" t="n"/>
      <c r="H4712" s="138" t="n">
        <v>537</v>
      </c>
      <c r="I4712" s="138">
        <f>+I4711+(G4712-H4712)</f>
        <v/>
      </c>
      <c r="J4712" s="139" t="n">
        <v>44.8</v>
      </c>
      <c r="K4712" s="140" t="n"/>
      <c r="L4712" s="140">
        <f>+H4712*J4712</f>
        <v/>
      </c>
      <c r="M4712" s="141">
        <f>SUM(M4711+K4712-L4712)</f>
        <v/>
      </c>
    </row>
    <row r="4713">
      <c r="A4713" s="20" t="n">
        <v>45902</v>
      </c>
      <c r="B4713" s="21" t="n">
        <v>2559</v>
      </c>
      <c r="C4713" s="22" t="inlineStr">
        <is>
          <t>SELİM İNŞAAT</t>
        </is>
      </c>
      <c r="D4713" s="21" t="inlineStr">
        <is>
          <t>34 GER 028</t>
        </is>
      </c>
      <c r="E4713" s="21" t="inlineStr">
        <is>
          <t>A.KERİM ERGEN</t>
        </is>
      </c>
      <c r="F4713" s="23" t="n">
        <v>51661</v>
      </c>
      <c r="G4713" s="138" t="n"/>
      <c r="H4713" s="138" t="n">
        <v>274</v>
      </c>
      <c r="I4713" s="138">
        <f>+I4712+(G4713-H4713)</f>
        <v/>
      </c>
      <c r="J4713" s="139" t="n">
        <v>44.8</v>
      </c>
      <c r="K4713" s="140" t="n"/>
      <c r="L4713" s="140">
        <f>+H4713*J4713</f>
        <v/>
      </c>
      <c r="M4713" s="141">
        <f>SUM(M4712+K4713-L4713)</f>
        <v/>
      </c>
    </row>
    <row r="4714">
      <c r="A4714" s="20" t="n">
        <v>45902</v>
      </c>
      <c r="B4714" s="21" t="n">
        <v>1413</v>
      </c>
      <c r="C4714" s="22" t="inlineStr">
        <is>
          <t>SELİM İNŞAAT</t>
        </is>
      </c>
      <c r="D4714" s="21" t="inlineStr">
        <is>
          <t>34 DKL 798</t>
        </is>
      </c>
      <c r="E4714" s="21" t="inlineStr">
        <is>
          <t>METİN KALKAN</t>
        </is>
      </c>
      <c r="F4714" s="23" t="n">
        <v>72413</v>
      </c>
      <c r="G4714" s="138" t="n"/>
      <c r="H4714" s="138" t="n">
        <v>218</v>
      </c>
      <c r="I4714" s="138">
        <f>+I4713+(G4714-H4714)</f>
        <v/>
      </c>
      <c r="J4714" s="139" t="n">
        <v>44.8</v>
      </c>
      <c r="K4714" s="140" t="n"/>
      <c r="L4714" s="140">
        <f>+H4714*J4714</f>
        <v/>
      </c>
      <c r="M4714" s="141">
        <f>SUM(M4713+K4714-L4714)</f>
        <v/>
      </c>
    </row>
    <row r="4715">
      <c r="A4715" s="20" t="n">
        <v>45902</v>
      </c>
      <c r="B4715" s="21" t="n">
        <v>2218</v>
      </c>
      <c r="C4715" s="22" t="inlineStr">
        <is>
          <t>AZGÜN YAPI</t>
        </is>
      </c>
      <c r="D4715" s="21" t="inlineStr">
        <is>
          <t>34 DTV 263</t>
        </is>
      </c>
      <c r="E4715" s="21" t="inlineStr">
        <is>
          <t>MUHAMMET BULUT</t>
        </is>
      </c>
      <c r="F4715" s="23" t="n"/>
      <c r="G4715" s="138" t="n"/>
      <c r="H4715" s="138" t="n">
        <v>227</v>
      </c>
      <c r="I4715" s="138">
        <f>+I4714+(G4715-H4715)</f>
        <v/>
      </c>
      <c r="J4715" s="139" t="n">
        <v>44.8</v>
      </c>
      <c r="K4715" s="140" t="n"/>
      <c r="L4715" s="140">
        <f>+H4715*J4715</f>
        <v/>
      </c>
      <c r="M4715" s="141">
        <f>SUM(M4714+K4715-L4715)</f>
        <v/>
      </c>
    </row>
    <row r="4716">
      <c r="A4716" s="20" t="n">
        <v>45902</v>
      </c>
      <c r="B4716" s="21" t="n">
        <v>728</v>
      </c>
      <c r="C4716" s="22" t="inlineStr">
        <is>
          <t>METİN ERYİĞİT</t>
        </is>
      </c>
      <c r="D4716" s="21" t="inlineStr">
        <is>
          <t>34 GBL 998</t>
        </is>
      </c>
      <c r="E4716" s="21" t="inlineStr">
        <is>
          <t>ALİ KESKİN</t>
        </is>
      </c>
      <c r="F4716" s="23" t="n">
        <v>292104</v>
      </c>
      <c r="G4716" s="138" t="n"/>
      <c r="H4716" s="138" t="n">
        <v>492</v>
      </c>
      <c r="I4716" s="138">
        <f>+I4715+(G4716-H4716)</f>
        <v/>
      </c>
      <c r="J4716" s="139" t="n">
        <v>44.8</v>
      </c>
      <c r="K4716" s="140" t="n"/>
      <c r="L4716" s="140">
        <f>+H4716*J4716</f>
        <v/>
      </c>
      <c r="M4716" s="141">
        <f>SUM(M4715+K4716-L4716)</f>
        <v/>
      </c>
    </row>
    <row r="4717">
      <c r="A4717" s="20" t="n">
        <v>45902</v>
      </c>
      <c r="B4717" s="21" t="n">
        <v>15700</v>
      </c>
      <c r="C4717" s="22" t="inlineStr">
        <is>
          <t>METİN ERYİĞİT</t>
        </is>
      </c>
      <c r="D4717" s="21" t="inlineStr">
        <is>
          <t>34 EGR 814</t>
        </is>
      </c>
      <c r="E4717" s="21" t="inlineStr">
        <is>
          <t>MUHAMMET YİĞİT</t>
        </is>
      </c>
      <c r="F4717" s="23" t="n">
        <v>565953</v>
      </c>
      <c r="G4717" s="138" t="n"/>
      <c r="H4717" s="138" t="n">
        <v>480</v>
      </c>
      <c r="I4717" s="138">
        <f>+I4716+(G4717-H4717)</f>
        <v/>
      </c>
      <c r="J4717" s="139" t="n">
        <v>44.8</v>
      </c>
      <c r="K4717" s="140" t="n"/>
      <c r="L4717" s="140">
        <f>+H4717*J4717</f>
        <v/>
      </c>
      <c r="M4717" s="141">
        <f>SUM(M4716+K4717-L4717)</f>
        <v/>
      </c>
    </row>
    <row r="4718">
      <c r="A4718" s="20" t="n">
        <v>45902</v>
      </c>
      <c r="B4718" s="21" t="n">
        <v>2146</v>
      </c>
      <c r="C4718" s="22" t="inlineStr">
        <is>
          <t>MEGA VARLIK</t>
        </is>
      </c>
      <c r="D4718" s="21" t="inlineStr">
        <is>
          <t xml:space="preserve">SM 350 </t>
        </is>
      </c>
      <c r="E4718" s="21" t="inlineStr">
        <is>
          <t>AHMET AKGÜL</t>
        </is>
      </c>
      <c r="F4718" s="23" t="n"/>
      <c r="G4718" s="138" t="n"/>
      <c r="H4718" s="138" t="n">
        <v>395</v>
      </c>
      <c r="I4718" s="138">
        <f>+I4717+(G4718-H4718)</f>
        <v/>
      </c>
      <c r="J4718" s="139" t="n">
        <v>44.8</v>
      </c>
      <c r="K4718" s="140" t="n"/>
      <c r="L4718" s="140">
        <f>+H4718*J4718</f>
        <v/>
      </c>
      <c r="M4718" s="141">
        <f>SUM(M4717+K4718-L4718)</f>
        <v/>
      </c>
    </row>
    <row r="4719">
      <c r="A4719" s="20" t="n">
        <v>45902</v>
      </c>
      <c r="B4719" s="21" t="n">
        <v>2147</v>
      </c>
      <c r="C4719" s="22" t="inlineStr">
        <is>
          <t>MEGA VARLIK</t>
        </is>
      </c>
      <c r="D4719" s="21" t="inlineStr">
        <is>
          <t xml:space="preserve">SM 350 </t>
        </is>
      </c>
      <c r="E4719" s="21" t="inlineStr">
        <is>
          <t>TEKİN</t>
        </is>
      </c>
      <c r="F4719" s="23" t="n"/>
      <c r="G4719" s="138" t="n"/>
      <c r="H4719" s="138" t="n">
        <v>440</v>
      </c>
      <c r="I4719" s="138">
        <f>+I4718+(G4719-H4719)</f>
        <v/>
      </c>
      <c r="J4719" s="139" t="n">
        <v>44.8</v>
      </c>
      <c r="K4719" s="140" t="n"/>
      <c r="L4719" s="140">
        <f>+H4719*J4719</f>
        <v/>
      </c>
      <c r="M4719" s="141">
        <f>SUM(M4718+K4719-L4719)</f>
        <v/>
      </c>
    </row>
    <row r="4720">
      <c r="A4720" s="20" t="n">
        <v>45902</v>
      </c>
      <c r="B4720" s="21" t="n">
        <v>2148</v>
      </c>
      <c r="C4720" s="22" t="inlineStr">
        <is>
          <t>EVKUR</t>
        </is>
      </c>
      <c r="D4720" s="1" t="inlineStr">
        <is>
          <t>HİTACİ</t>
        </is>
      </c>
      <c r="E4720" s="1" t="inlineStr">
        <is>
          <t>TURGUT SANCAK</t>
        </is>
      </c>
      <c r="F4720" s="23" t="n"/>
      <c r="G4720" s="138" t="n"/>
      <c r="H4720" s="138" t="n">
        <v>272</v>
      </c>
      <c r="I4720" s="138">
        <f>+I4719+(G4720-H4720)</f>
        <v/>
      </c>
      <c r="J4720" s="139" t="n">
        <v>44.8</v>
      </c>
      <c r="K4720" s="140" t="n"/>
      <c r="L4720" s="140">
        <f>+H4720*J4720</f>
        <v/>
      </c>
      <c r="M4720" s="141">
        <f>SUM(M4719+K4720-L4720)</f>
        <v/>
      </c>
    </row>
    <row r="4721">
      <c r="A4721" s="20" t="n">
        <v>45902</v>
      </c>
      <c r="B4721" s="21" t="n">
        <v>2149</v>
      </c>
      <c r="C4721" s="22" t="inlineStr">
        <is>
          <t>EVKUR</t>
        </is>
      </c>
      <c r="D4721" s="1" t="inlineStr">
        <is>
          <t>GROVE VİNÇ</t>
        </is>
      </c>
      <c r="E4721" s="21" t="inlineStr">
        <is>
          <t>ALİHAN DUMAN</t>
        </is>
      </c>
      <c r="F4721" s="23" t="n"/>
      <c r="G4721" s="138" t="n"/>
      <c r="H4721" s="138" t="n">
        <v>274</v>
      </c>
      <c r="I4721" s="138">
        <f>+I4720+(G4721-H4721)</f>
        <v/>
      </c>
      <c r="J4721" s="139" t="n">
        <v>44.8</v>
      </c>
      <c r="K4721" s="140" t="n"/>
      <c r="L4721" s="140">
        <f>+H4721*J4721</f>
        <v/>
      </c>
      <c r="M4721" s="141">
        <f>SUM(M4720+K4721-L4721)</f>
        <v/>
      </c>
    </row>
    <row r="4722">
      <c r="A4722" s="20" t="n">
        <v>45902</v>
      </c>
      <c r="B4722" s="21" t="n">
        <v>2150</v>
      </c>
      <c r="C4722" s="22" t="inlineStr">
        <is>
          <t>HASALTUN</t>
        </is>
      </c>
      <c r="D4722" s="21" t="inlineStr">
        <is>
          <t xml:space="preserve">SM 370 </t>
        </is>
      </c>
      <c r="E4722" s="21" t="inlineStr">
        <is>
          <t>ÖZKAN</t>
        </is>
      </c>
      <c r="F4722" s="23" t="n"/>
      <c r="G4722" s="138" t="n"/>
      <c r="H4722" s="138" t="n">
        <v>121</v>
      </c>
      <c r="I4722" s="138">
        <f>+I4721+(G4722-H4722)</f>
        <v/>
      </c>
      <c r="J4722" s="139" t="n">
        <v>44.8</v>
      </c>
      <c r="K4722" s="140" t="n"/>
      <c r="L4722" s="140">
        <f>+H4722*J4722</f>
        <v/>
      </c>
      <c r="M4722" s="141">
        <f>SUM(M4721+K4722-L4722)</f>
        <v/>
      </c>
    </row>
    <row r="4723">
      <c r="A4723" s="20" t="n">
        <v>45903</v>
      </c>
      <c r="B4723" s="21" t="n">
        <v>15891</v>
      </c>
      <c r="C4723" s="22" t="inlineStr">
        <is>
          <t>SELİM İNŞAAT</t>
        </is>
      </c>
      <c r="D4723" s="21" t="inlineStr">
        <is>
          <t>34 EDB 754</t>
        </is>
      </c>
      <c r="E4723" s="21" t="inlineStr">
        <is>
          <t>MUSTAFA KAYA</t>
        </is>
      </c>
      <c r="F4723" s="23" t="n">
        <v>342715</v>
      </c>
      <c r="G4723" s="138" t="n"/>
      <c r="H4723" s="138" t="n">
        <v>464</v>
      </c>
      <c r="I4723" s="138">
        <f>+I4722+(G4723-H4723)</f>
        <v/>
      </c>
      <c r="J4723" s="139" t="n">
        <v>44.8</v>
      </c>
      <c r="K4723" s="140" t="n"/>
      <c r="L4723" s="140">
        <f>+H4723*J4723</f>
        <v/>
      </c>
      <c r="M4723" s="141">
        <f>SUM(M4722+K4723-L4723)</f>
        <v/>
      </c>
    </row>
    <row r="4724">
      <c r="A4724" s="20" t="n">
        <v>45903</v>
      </c>
      <c r="B4724" s="21" t="n">
        <v>1076</v>
      </c>
      <c r="C4724" s="22" t="inlineStr">
        <is>
          <t>SELİM İNŞAAT</t>
        </is>
      </c>
      <c r="D4724" s="21" t="inlineStr">
        <is>
          <t>34 GVZ 310</t>
        </is>
      </c>
      <c r="E4724" s="21" t="inlineStr">
        <is>
          <t>CELAL YÜZBAŞI</t>
        </is>
      </c>
      <c r="F4724" s="23" t="n">
        <v>219592</v>
      </c>
      <c r="G4724" s="138" t="n"/>
      <c r="H4724" s="138" t="n">
        <v>300</v>
      </c>
      <c r="I4724" s="138">
        <f>+I4723+(G4724-H4724)</f>
        <v/>
      </c>
      <c r="J4724" s="139" t="n">
        <v>44.8</v>
      </c>
      <c r="K4724" s="140" t="n"/>
      <c r="L4724" s="140">
        <f>+H4724*J4724</f>
        <v/>
      </c>
      <c r="M4724" s="141">
        <f>SUM(M4723+K4724-L4724)</f>
        <v/>
      </c>
    </row>
    <row r="4725">
      <c r="A4725" s="20" t="n">
        <v>45903</v>
      </c>
      <c r="B4725" s="21" t="n">
        <v>2803</v>
      </c>
      <c r="C4725" s="22" t="inlineStr">
        <is>
          <t>SELİM İNŞAAT</t>
        </is>
      </c>
      <c r="D4725" s="21" t="inlineStr">
        <is>
          <t>34 GVZ 745</t>
        </is>
      </c>
      <c r="E4725" s="21" t="inlineStr">
        <is>
          <t>MURAT DEMİRBAŞ</t>
        </is>
      </c>
      <c r="F4725" s="23" t="n">
        <v>207838</v>
      </c>
      <c r="G4725" s="138" t="n"/>
      <c r="H4725" s="138" t="n">
        <v>398</v>
      </c>
      <c r="I4725" s="138">
        <f>+I4724+(G4725-H4725)</f>
        <v/>
      </c>
      <c r="J4725" s="139" t="n">
        <v>44.8</v>
      </c>
      <c r="K4725" s="140" t="n"/>
      <c r="L4725" s="140">
        <f>+H4725*J4725</f>
        <v/>
      </c>
      <c r="M4725" s="141">
        <f>SUM(M4724+K4725-L4725)</f>
        <v/>
      </c>
    </row>
    <row r="4726">
      <c r="A4726" s="20" t="n">
        <v>45903</v>
      </c>
      <c r="B4726" s="21" t="n">
        <v>1574</v>
      </c>
      <c r="C4726" s="22" t="inlineStr">
        <is>
          <t>SELİM İNŞAAT</t>
        </is>
      </c>
      <c r="D4726" s="21" t="inlineStr">
        <is>
          <t>34 GUS 938</t>
        </is>
      </c>
      <c r="E4726" s="21" t="inlineStr">
        <is>
          <t>MEHMET KAYA</t>
        </is>
      </c>
      <c r="F4726" s="23" t="n">
        <v>210034</v>
      </c>
      <c r="G4726" s="138" t="n"/>
      <c r="H4726" s="138" t="n">
        <v>397</v>
      </c>
      <c r="I4726" s="138">
        <f>+I4725+(G4726-H4726)</f>
        <v/>
      </c>
      <c r="J4726" s="139" t="n">
        <v>44.8</v>
      </c>
      <c r="K4726" s="140" t="n"/>
      <c r="L4726" s="140">
        <f>+H4726*J4726</f>
        <v/>
      </c>
      <c r="M4726" s="141">
        <f>SUM(M4725+K4726-L4726)</f>
        <v/>
      </c>
    </row>
    <row r="4727">
      <c r="A4727" s="20" t="n">
        <v>45903</v>
      </c>
      <c r="B4727" s="21" t="n">
        <v>15341</v>
      </c>
      <c r="C4727" s="22" t="inlineStr">
        <is>
          <t>SELİM İNŞAAT</t>
        </is>
      </c>
      <c r="D4727" s="21" t="inlineStr">
        <is>
          <t>34 EDC 162</t>
        </is>
      </c>
      <c r="E4727" s="21" t="inlineStr">
        <is>
          <t>HÜSEYİN DENİZ</t>
        </is>
      </c>
      <c r="F4727" s="23" t="n">
        <v>386706</v>
      </c>
      <c r="G4727" s="138" t="n"/>
      <c r="H4727" s="138" t="n">
        <v>402</v>
      </c>
      <c r="I4727" s="138">
        <f>+I4726+(G4727-H4727)</f>
        <v/>
      </c>
      <c r="J4727" s="139" t="n">
        <v>44.8</v>
      </c>
      <c r="K4727" s="140" t="n"/>
      <c r="L4727" s="140">
        <f>+H4727*J4727</f>
        <v/>
      </c>
      <c r="M4727" s="141">
        <f>SUM(M4726+K4727-L4727)</f>
        <v/>
      </c>
    </row>
    <row r="4728">
      <c r="A4728" s="20" t="n">
        <v>45903</v>
      </c>
      <c r="B4728" s="21" t="n">
        <v>130</v>
      </c>
      <c r="C4728" s="22" t="inlineStr">
        <is>
          <t>SELİM İNŞAAT</t>
        </is>
      </c>
      <c r="D4728" s="21" t="inlineStr">
        <is>
          <t>34 FBR 771</t>
        </is>
      </c>
      <c r="E4728" s="21" t="inlineStr">
        <is>
          <t>HÜSEYİN AKÇİN</t>
        </is>
      </c>
      <c r="F4728" s="23" t="n">
        <v>338248</v>
      </c>
      <c r="G4728" s="138" t="n"/>
      <c r="H4728" s="138" t="n">
        <v>396</v>
      </c>
      <c r="I4728" s="138">
        <f>+I4727+(G4728-H4728)</f>
        <v/>
      </c>
      <c r="J4728" s="139" t="n">
        <v>44.8</v>
      </c>
      <c r="K4728" s="140" t="n"/>
      <c r="L4728" s="140">
        <f>+H4728*J4728</f>
        <v/>
      </c>
      <c r="M4728" s="141">
        <f>SUM(M4727+K4728-L4728)</f>
        <v/>
      </c>
    </row>
    <row r="4729">
      <c r="A4729" s="20" t="n">
        <v>45903</v>
      </c>
      <c r="B4729" s="21" t="n">
        <v>1718</v>
      </c>
      <c r="C4729" s="22" t="inlineStr">
        <is>
          <t>SELİM İNŞAAT</t>
        </is>
      </c>
      <c r="D4729" s="21" t="inlineStr">
        <is>
          <t>34 DGP 137</t>
        </is>
      </c>
      <c r="E4729" s="21" t="inlineStr">
        <is>
          <t>GÜRAY KOYUNCU</t>
        </is>
      </c>
      <c r="F4729" s="23" t="n">
        <v>443363</v>
      </c>
      <c r="G4729" s="138" t="n"/>
      <c r="H4729" s="138" t="n">
        <v>477</v>
      </c>
      <c r="I4729" s="138">
        <f>+I4728+(G4729-H4729)</f>
        <v/>
      </c>
      <c r="J4729" s="139" t="n">
        <v>44.8</v>
      </c>
      <c r="K4729" s="140" t="n"/>
      <c r="L4729" s="140">
        <f>+H4729*J4729</f>
        <v/>
      </c>
      <c r="M4729" s="141">
        <f>SUM(M4728+K4729-L4729)</f>
        <v/>
      </c>
    </row>
    <row r="4730">
      <c r="A4730" s="20" t="n">
        <v>45903</v>
      </c>
      <c r="B4730" s="21" t="n">
        <v>1814</v>
      </c>
      <c r="C4730" s="22" t="inlineStr">
        <is>
          <t>SELİM İNŞAAT</t>
        </is>
      </c>
      <c r="D4730" s="21" t="inlineStr">
        <is>
          <t>34 EGR 922</t>
        </is>
      </c>
      <c r="E4730" s="21" t="inlineStr">
        <is>
          <t>FARUK ÖZEN</t>
        </is>
      </c>
      <c r="F4730" s="23" t="n">
        <v>475066</v>
      </c>
      <c r="G4730" s="138" t="n"/>
      <c r="H4730" s="138" t="n">
        <v>544</v>
      </c>
      <c r="I4730" s="138">
        <f>+I4729+(G4730-H4730)</f>
        <v/>
      </c>
      <c r="J4730" s="139" t="n">
        <v>44.8</v>
      </c>
      <c r="K4730" s="140" t="n"/>
      <c r="L4730" s="140">
        <f>+H4730*J4730</f>
        <v/>
      </c>
      <c r="M4730" s="141">
        <f>SUM(M4729+K4730-L4730)</f>
        <v/>
      </c>
    </row>
    <row r="4731">
      <c r="A4731" s="20" t="n">
        <v>45903</v>
      </c>
      <c r="B4731" s="21" t="n">
        <v>2654</v>
      </c>
      <c r="C4731" s="22" t="inlineStr">
        <is>
          <t>SELİM İNŞAAT</t>
        </is>
      </c>
      <c r="D4731" s="21" t="inlineStr">
        <is>
          <t>34 DHC 467</t>
        </is>
      </c>
      <c r="E4731" s="21" t="inlineStr">
        <is>
          <t>SEZGİN KOCAGİL</t>
        </is>
      </c>
      <c r="F4731" s="23" t="n">
        <v>419501</v>
      </c>
      <c r="G4731" s="138" t="n"/>
      <c r="H4731" s="138" t="n">
        <v>522</v>
      </c>
      <c r="I4731" s="138">
        <f>+I4730+(G4731-H4731)</f>
        <v/>
      </c>
      <c r="J4731" s="139" t="n">
        <v>44.8</v>
      </c>
      <c r="K4731" s="140" t="n"/>
      <c r="L4731" s="140">
        <f>+H4731*J4731</f>
        <v/>
      </c>
      <c r="M4731" s="141">
        <f>SUM(M4730+K4731-L4731)</f>
        <v/>
      </c>
    </row>
    <row r="4732">
      <c r="A4732" s="20" t="n">
        <v>45903</v>
      </c>
      <c r="B4732" s="21" t="n">
        <v>582</v>
      </c>
      <c r="C4732" s="22" t="inlineStr">
        <is>
          <t>SELİM İNŞAAT</t>
        </is>
      </c>
      <c r="D4732" s="21" t="inlineStr">
        <is>
          <t>34 EDB 922</t>
        </is>
      </c>
      <c r="E4732" s="21" t="inlineStr">
        <is>
          <t>AHMET TOPÇU</t>
        </is>
      </c>
      <c r="F4732" s="23" t="n">
        <v>382681</v>
      </c>
      <c r="G4732" s="138" t="n"/>
      <c r="H4732" s="138" t="n">
        <v>338</v>
      </c>
      <c r="I4732" s="138">
        <f>+I4731+(G4732-H4732)</f>
        <v/>
      </c>
      <c r="J4732" s="139" t="n">
        <v>44.8</v>
      </c>
      <c r="K4732" s="140" t="n"/>
      <c r="L4732" s="140">
        <f>+H4732*J4732</f>
        <v/>
      </c>
      <c r="M4732" s="141">
        <f>SUM(M4731+K4732-L4732)</f>
        <v/>
      </c>
    </row>
    <row r="4733">
      <c r="A4733" s="20" t="n">
        <v>45903</v>
      </c>
      <c r="B4733" s="21" t="n">
        <v>1658</v>
      </c>
      <c r="C4733" s="22" t="inlineStr">
        <is>
          <t>SELİM İNŞAAT</t>
        </is>
      </c>
      <c r="D4733" s="21" t="inlineStr">
        <is>
          <t>34 DHH 570</t>
        </is>
      </c>
      <c r="E4733" s="21" t="inlineStr">
        <is>
          <t>KORAY AK</t>
        </is>
      </c>
      <c r="F4733" s="23" t="n">
        <v>450370</v>
      </c>
      <c r="G4733" s="138" t="n"/>
      <c r="H4733" s="138" t="n">
        <v>491</v>
      </c>
      <c r="I4733" s="138">
        <f>+I4732+(G4733-H4733)</f>
        <v/>
      </c>
      <c r="J4733" s="139" t="n">
        <v>44.8</v>
      </c>
      <c r="K4733" s="140" t="n"/>
      <c r="L4733" s="140">
        <f>+H4733*J4733</f>
        <v/>
      </c>
      <c r="M4733" s="141">
        <f>SUM(M4732+K4733-L4733)</f>
        <v/>
      </c>
    </row>
    <row r="4734">
      <c r="A4734" s="20" t="n">
        <v>45903</v>
      </c>
      <c r="B4734" s="21" t="n">
        <v>1515</v>
      </c>
      <c r="C4734" s="22" t="inlineStr">
        <is>
          <t>SELİM İNŞAAT</t>
        </is>
      </c>
      <c r="D4734" s="21" t="inlineStr">
        <is>
          <t>34 GUS 848</t>
        </is>
      </c>
      <c r="E4734" s="21" t="inlineStr">
        <is>
          <t>SERDAR BOZKURT</t>
        </is>
      </c>
      <c r="F4734" s="23" t="n">
        <v>206972</v>
      </c>
      <c r="G4734" s="138" t="n"/>
      <c r="H4734" s="138" t="n">
        <v>450</v>
      </c>
      <c r="I4734" s="138">
        <f>+I4733+(G4734-H4734)</f>
        <v/>
      </c>
      <c r="J4734" s="139" t="n">
        <v>44.8</v>
      </c>
      <c r="K4734" s="140" t="n"/>
      <c r="L4734" s="140">
        <f>+H4734*J4734</f>
        <v/>
      </c>
      <c r="M4734" s="141">
        <f>SUM(M4733+K4734-L4734)</f>
        <v/>
      </c>
    </row>
    <row r="4735">
      <c r="A4735" s="20" t="n">
        <v>45903</v>
      </c>
      <c r="B4735" s="21" t="n">
        <v>331</v>
      </c>
      <c r="C4735" s="22" t="inlineStr">
        <is>
          <t>SELİM İNŞAAT</t>
        </is>
      </c>
      <c r="D4735" s="21" t="inlineStr">
        <is>
          <t>34 EDB 829</t>
        </is>
      </c>
      <c r="E4735" s="21" t="inlineStr">
        <is>
          <t>İRFAN DAĞLAR</t>
        </is>
      </c>
      <c r="F4735" s="23" t="n">
        <v>336177</v>
      </c>
      <c r="G4735" s="138" t="n"/>
      <c r="H4735" s="138" t="n">
        <v>394</v>
      </c>
      <c r="I4735" s="138">
        <f>+I4734+(G4735-H4735)</f>
        <v/>
      </c>
      <c r="J4735" s="139" t="n">
        <v>44.8</v>
      </c>
      <c r="K4735" s="140" t="n"/>
      <c r="L4735" s="140">
        <f>+H4735*J4735</f>
        <v/>
      </c>
      <c r="M4735" s="141">
        <f>SUM(M4734+K4735-L4735)</f>
        <v/>
      </c>
    </row>
    <row r="4736">
      <c r="A4736" s="20" t="n">
        <v>45903</v>
      </c>
      <c r="B4736" s="21" t="n">
        <v>775</v>
      </c>
      <c r="C4736" s="22" t="inlineStr">
        <is>
          <t>SELİM İNŞAAT</t>
        </is>
      </c>
      <c r="D4736" s="21" t="inlineStr">
        <is>
          <t>34 EDB 559</t>
        </is>
      </c>
      <c r="E4736" s="21" t="inlineStr">
        <is>
          <t>AZİZ ORUÇ</t>
        </is>
      </c>
      <c r="F4736" s="23" t="n">
        <v>341185</v>
      </c>
      <c r="G4736" s="138" t="n"/>
      <c r="H4736" s="138" t="n">
        <v>474</v>
      </c>
      <c r="I4736" s="138">
        <f>+I4735+(G4736-H4736)</f>
        <v/>
      </c>
      <c r="J4736" s="139" t="n">
        <v>44.8</v>
      </c>
      <c r="K4736" s="140" t="n"/>
      <c r="L4736" s="140">
        <f>+H4736*J4736</f>
        <v/>
      </c>
      <c r="M4736" s="141">
        <f>SUM(M4735+K4736-L4736)</f>
        <v/>
      </c>
    </row>
    <row r="4737">
      <c r="A4737" s="20" t="n">
        <v>45903</v>
      </c>
      <c r="B4737" s="21" t="n">
        <v>1303</v>
      </c>
      <c r="C4737" s="22" t="inlineStr">
        <is>
          <t>SELİM İNŞAAT</t>
        </is>
      </c>
      <c r="D4737" s="21" t="inlineStr">
        <is>
          <t>34 GVZ 199</t>
        </is>
      </c>
      <c r="E4737" s="21" t="inlineStr">
        <is>
          <t>ATA KIZMAZ</t>
        </is>
      </c>
      <c r="F4737" s="23" t="n">
        <v>200949</v>
      </c>
      <c r="G4737" s="138" t="n"/>
      <c r="H4737" s="138" t="n">
        <v>327</v>
      </c>
      <c r="I4737" s="138">
        <f>+I4736+(G4737-H4737)</f>
        <v/>
      </c>
      <c r="J4737" s="139" t="n">
        <v>44.8</v>
      </c>
      <c r="K4737" s="140" t="n"/>
      <c r="L4737" s="140">
        <f>+H4737*J4737</f>
        <v/>
      </c>
      <c r="M4737" s="141">
        <f>SUM(M4736+K4737-L4737)</f>
        <v/>
      </c>
    </row>
    <row r="4738">
      <c r="A4738" s="20" t="n">
        <v>45903</v>
      </c>
      <c r="B4738" s="21" t="n">
        <v>15948</v>
      </c>
      <c r="C4738" s="22" t="inlineStr">
        <is>
          <t>SELİM İNŞAAT</t>
        </is>
      </c>
      <c r="D4738" s="21" t="inlineStr">
        <is>
          <t>34 DFE 454</t>
        </is>
      </c>
      <c r="E4738" s="21" t="inlineStr">
        <is>
          <t>HÜSEYİN ALIN</t>
        </is>
      </c>
      <c r="F4738" s="23" t="n">
        <v>166407</v>
      </c>
      <c r="G4738" s="138" t="n"/>
      <c r="H4738" s="138" t="n">
        <v>267</v>
      </c>
      <c r="I4738" s="138">
        <f>+I4737+(G4738-H4738)</f>
        <v/>
      </c>
      <c r="J4738" s="139" t="n">
        <v>44.8</v>
      </c>
      <c r="K4738" s="140" t="n"/>
      <c r="L4738" s="140">
        <f>+H4738*J4738</f>
        <v/>
      </c>
      <c r="M4738" s="141">
        <f>SUM(M4737+K4738-L4738)</f>
        <v/>
      </c>
    </row>
    <row r="4739">
      <c r="A4739" s="20" t="n">
        <v>45903</v>
      </c>
      <c r="B4739" s="21" t="n">
        <v>1414</v>
      </c>
      <c r="C4739" s="22" t="inlineStr">
        <is>
          <t>SELİM İNŞAAT</t>
        </is>
      </c>
      <c r="D4739" s="21" t="inlineStr">
        <is>
          <t>34 DKL 798</t>
        </is>
      </c>
      <c r="E4739" s="21" t="inlineStr">
        <is>
          <t>METİN KALKAN</t>
        </is>
      </c>
      <c r="F4739" s="23" t="n">
        <v>72495</v>
      </c>
      <c r="G4739" s="138" t="n"/>
      <c r="H4739" s="138" t="n">
        <v>90</v>
      </c>
      <c r="I4739" s="138">
        <f>+I4738+(G4739-H4739)</f>
        <v/>
      </c>
      <c r="J4739" s="139" t="n">
        <v>44.8</v>
      </c>
      <c r="K4739" s="140" t="n"/>
      <c r="L4739" s="140">
        <f>+H4739*J4739</f>
        <v/>
      </c>
      <c r="M4739" s="141">
        <f>SUM(M4738+K4739-L4739)</f>
        <v/>
      </c>
    </row>
    <row r="4740">
      <c r="A4740" s="20" t="n">
        <v>45903</v>
      </c>
      <c r="B4740" s="21" t="n">
        <v>15197</v>
      </c>
      <c r="C4740" s="22" t="inlineStr">
        <is>
          <t>SELİM İNŞAAT</t>
        </is>
      </c>
      <c r="D4740" s="21" t="inlineStr">
        <is>
          <t>34 DP 4161</t>
        </is>
      </c>
      <c r="E4740" s="21" t="inlineStr">
        <is>
          <t>RIFAT KARATAY</t>
        </is>
      </c>
      <c r="F4740" s="23" t="n">
        <v>298346</v>
      </c>
      <c r="G4740" s="138" t="n"/>
      <c r="H4740" s="138" t="n">
        <v>240</v>
      </c>
      <c r="I4740" s="138">
        <f>+I4739+(G4740-H4740)</f>
        <v/>
      </c>
      <c r="J4740" s="139" t="n">
        <v>44.8</v>
      </c>
      <c r="K4740" s="140" t="n"/>
      <c r="L4740" s="140">
        <f>+H4740*J4740</f>
        <v/>
      </c>
      <c r="M4740" s="141">
        <f>SUM(M4739+K4740-L4740)</f>
        <v/>
      </c>
    </row>
    <row r="4741">
      <c r="A4741" s="20" t="n">
        <v>45903</v>
      </c>
      <c r="B4741" s="21" t="n">
        <v>213</v>
      </c>
      <c r="C4741" s="22" t="inlineStr">
        <is>
          <t>SELİM İNŞAAT</t>
        </is>
      </c>
      <c r="D4741" s="21" t="inlineStr">
        <is>
          <t>34 JGR 15</t>
        </is>
      </c>
      <c r="E4741" s="21" t="inlineStr">
        <is>
          <t>BAYRAM SANCAK</t>
        </is>
      </c>
      <c r="F4741" s="23" t="n">
        <v>316055</v>
      </c>
      <c r="G4741" s="138" t="n"/>
      <c r="H4741" s="138" t="n">
        <v>67</v>
      </c>
      <c r="I4741" s="138">
        <f>+I4740+(G4741-H4741)</f>
        <v/>
      </c>
      <c r="J4741" s="139" t="n">
        <v>44.8</v>
      </c>
      <c r="K4741" s="140" t="n"/>
      <c r="L4741" s="140">
        <f>+H4741*J4741</f>
        <v/>
      </c>
      <c r="M4741" s="141">
        <f>SUM(M4740+K4741-L4741)</f>
        <v/>
      </c>
    </row>
    <row r="4742">
      <c r="A4742" s="20" t="n">
        <v>45903</v>
      </c>
      <c r="B4742" s="21" t="n">
        <v>1352</v>
      </c>
      <c r="C4742" s="22" t="inlineStr">
        <is>
          <t>AZGÜN YAPI</t>
        </is>
      </c>
      <c r="D4742" s="21" t="inlineStr">
        <is>
          <t>34 MKT 859</t>
        </is>
      </c>
      <c r="E4742" s="21" t="inlineStr">
        <is>
          <t>ONUR CANLI</t>
        </is>
      </c>
      <c r="F4742" s="23" t="n"/>
      <c r="G4742" s="138" t="n"/>
      <c r="H4742" s="138" t="n">
        <v>546</v>
      </c>
      <c r="I4742" s="138">
        <f>+I4741+(G4742-H4742)</f>
        <v/>
      </c>
      <c r="J4742" s="139" t="n">
        <v>44.8</v>
      </c>
      <c r="K4742" s="140" t="n"/>
      <c r="L4742" s="140">
        <f>+H4742*J4742</f>
        <v/>
      </c>
      <c r="M4742" s="141">
        <f>SUM(M4741+K4742-L4742)</f>
        <v/>
      </c>
    </row>
    <row r="4743">
      <c r="A4743" s="20" t="n">
        <v>45903</v>
      </c>
      <c r="B4743" s="21" t="n">
        <v>15645</v>
      </c>
      <c r="C4743" s="22" t="inlineStr">
        <is>
          <t>METİN ERYİĞİT</t>
        </is>
      </c>
      <c r="D4743" s="21" t="inlineStr">
        <is>
          <t>34 EGS 013</t>
        </is>
      </c>
      <c r="E4743" s="21" t="inlineStr">
        <is>
          <t xml:space="preserve">UĞUR DUMAN </t>
        </is>
      </c>
      <c r="F4743" s="23" t="n">
        <v>511723</v>
      </c>
      <c r="G4743" s="138" t="n"/>
      <c r="H4743" s="138" t="n">
        <v>427</v>
      </c>
      <c r="I4743" s="138">
        <f>+I4742+(G4743-H4743)</f>
        <v/>
      </c>
      <c r="J4743" s="139" t="n">
        <v>44.8</v>
      </c>
      <c r="K4743" s="140" t="n"/>
      <c r="L4743" s="140">
        <f>+H4743*J4743</f>
        <v/>
      </c>
      <c r="M4743" s="141">
        <f>SUM(M4742+K4743-L4743)</f>
        <v/>
      </c>
    </row>
    <row r="4744">
      <c r="A4744" s="20" t="n">
        <v>45903</v>
      </c>
      <c r="B4744" s="21" t="n">
        <v>1921</v>
      </c>
      <c r="C4744" s="22" t="inlineStr">
        <is>
          <t>AHMET SELİM TEMHA</t>
        </is>
      </c>
      <c r="D4744" s="21" t="inlineStr">
        <is>
          <t>34 DGE 422</t>
        </is>
      </c>
      <c r="E4744" s="21" t="inlineStr">
        <is>
          <t>ERSOY SIGINMAZ</t>
        </is>
      </c>
      <c r="F4744" s="23" t="n"/>
      <c r="G4744" s="138" t="n"/>
      <c r="H4744" s="138" t="n">
        <v>75</v>
      </c>
      <c r="I4744" s="138">
        <f>+I4743+(G4744-H4744)</f>
        <v/>
      </c>
      <c r="J4744" s="139" t="n">
        <v>44.8</v>
      </c>
      <c r="K4744" s="140" t="n"/>
      <c r="L4744" s="140">
        <f>+H4744*J4744</f>
        <v/>
      </c>
      <c r="M4744" s="141">
        <f>SUM(M4743+K4744-L4744)</f>
        <v/>
      </c>
    </row>
    <row r="4745">
      <c r="A4745" s="20" t="n">
        <v>45903</v>
      </c>
      <c r="B4745" s="21" t="n">
        <v>2151</v>
      </c>
      <c r="C4745" s="22" t="inlineStr">
        <is>
          <t>MEGA VARLIK</t>
        </is>
      </c>
      <c r="D4745" s="21" t="inlineStr">
        <is>
          <t>SM 350</t>
        </is>
      </c>
      <c r="E4745" s="21" t="inlineStr">
        <is>
          <t>TEVFİK</t>
        </is>
      </c>
      <c r="F4745" s="23" t="n"/>
      <c r="G4745" s="138" t="n"/>
      <c r="H4745" s="138" t="n">
        <v>518</v>
      </c>
      <c r="I4745" s="138">
        <f>+I4744+(G4745-H4745)</f>
        <v/>
      </c>
      <c r="J4745" s="139" t="n">
        <v>44.8</v>
      </c>
      <c r="K4745" s="140" t="n"/>
      <c r="L4745" s="140">
        <f>+H4745*J4745</f>
        <v/>
      </c>
      <c r="M4745" s="141">
        <f>SUM(M4744+K4745-L4745)</f>
        <v/>
      </c>
    </row>
    <row r="4746">
      <c r="A4746" s="20" t="n">
        <v>45903</v>
      </c>
      <c r="B4746" s="21" t="n">
        <v>2152</v>
      </c>
      <c r="C4746" s="22" t="inlineStr">
        <is>
          <t>MEGA VARLIK</t>
        </is>
      </c>
      <c r="D4746" s="21" t="inlineStr">
        <is>
          <t>SM 350</t>
        </is>
      </c>
      <c r="E4746" s="21" t="inlineStr">
        <is>
          <t>TEKİN</t>
        </is>
      </c>
      <c r="F4746" s="23" t="n"/>
      <c r="G4746" s="138" t="n"/>
      <c r="H4746" s="138" t="n">
        <v>367</v>
      </c>
      <c r="I4746" s="138">
        <f>+I4745+(G4746-H4746)</f>
        <v/>
      </c>
      <c r="J4746" s="139" t="n">
        <v>44.8</v>
      </c>
      <c r="K4746" s="140" t="n"/>
      <c r="L4746" s="140">
        <f>+H4746*J4746</f>
        <v/>
      </c>
      <c r="M4746" s="141">
        <f>SUM(M4745+K4746-L4746)</f>
        <v/>
      </c>
    </row>
    <row r="4747">
      <c r="A4747" s="20" t="n">
        <v>45903</v>
      </c>
      <c r="B4747" s="21" t="n">
        <v>2153</v>
      </c>
      <c r="C4747" s="22" t="inlineStr">
        <is>
          <t>MEGA VARLIK</t>
        </is>
      </c>
      <c r="D4747" s="21" t="inlineStr">
        <is>
          <t>SM 300</t>
        </is>
      </c>
      <c r="E4747" s="21" t="inlineStr">
        <is>
          <t xml:space="preserve"> MEHMET ALİ</t>
        </is>
      </c>
      <c r="F4747" s="23" t="n"/>
      <c r="G4747" s="138" t="n"/>
      <c r="H4747" s="138" t="n">
        <v>422</v>
      </c>
      <c r="I4747" s="138">
        <f>+I4746+(G4747-H4747)</f>
        <v/>
      </c>
      <c r="J4747" s="139" t="n">
        <v>44.8</v>
      </c>
      <c r="K4747" s="140" t="n"/>
      <c r="L4747" s="140">
        <f>+H4747*J4747</f>
        <v/>
      </c>
      <c r="M4747" s="141">
        <f>SUM(M4746+K4747-L4747)</f>
        <v/>
      </c>
    </row>
    <row r="4748">
      <c r="A4748" s="20" t="n">
        <v>45903</v>
      </c>
      <c r="B4748" s="21" t="n">
        <v>2154</v>
      </c>
      <c r="C4748" s="22" t="inlineStr">
        <is>
          <t>VARLIK</t>
        </is>
      </c>
      <c r="D4748" s="21" t="inlineStr">
        <is>
          <t>FOKLİFT</t>
        </is>
      </c>
      <c r="E4748" s="21" t="inlineStr">
        <is>
          <t>FAHRİ KALFA</t>
        </is>
      </c>
      <c r="F4748" s="23" t="n"/>
      <c r="G4748" s="138" t="n"/>
      <c r="H4748" s="138" t="n">
        <v>360</v>
      </c>
      <c r="I4748" s="138">
        <f>+I4747+(G4748-H4748)</f>
        <v/>
      </c>
      <c r="J4748" s="139" t="n">
        <v>44.8</v>
      </c>
      <c r="K4748" s="140" t="n"/>
      <c r="L4748" s="140">
        <f>+H4748*J4748</f>
        <v/>
      </c>
      <c r="M4748" s="141">
        <f>SUM(M4747+K4748-L4748)</f>
        <v/>
      </c>
    </row>
    <row r="4749">
      <c r="A4749" s="20" t="n">
        <v>45903</v>
      </c>
      <c r="B4749" s="21" t="n">
        <v>2155</v>
      </c>
      <c r="C4749" s="22" t="inlineStr">
        <is>
          <t>VARLIK</t>
        </is>
      </c>
      <c r="D4749" s="1" t="inlineStr">
        <is>
          <t>HİTACİ</t>
        </is>
      </c>
      <c r="E4749" s="1" t="inlineStr">
        <is>
          <t>TURGUT SANCAK</t>
        </is>
      </c>
      <c r="F4749" s="23" t="n"/>
      <c r="G4749" s="138" t="n"/>
      <c r="H4749" s="138" t="n">
        <v>32</v>
      </c>
      <c r="I4749" s="138">
        <f>+I4748+(G4749-H4749)</f>
        <v/>
      </c>
      <c r="J4749" s="139" t="n">
        <v>44.8</v>
      </c>
      <c r="K4749" s="140" t="n"/>
      <c r="L4749" s="140">
        <f>+H4749*J4749</f>
        <v/>
      </c>
      <c r="M4749" s="141">
        <f>SUM(M4748+K4749-L4749)</f>
        <v/>
      </c>
    </row>
    <row r="4750">
      <c r="A4750" s="20" t="n">
        <v>45903</v>
      </c>
      <c r="B4750" s="21" t="n">
        <v>2156</v>
      </c>
      <c r="C4750" s="22" t="inlineStr">
        <is>
          <t>HASALTUN</t>
        </is>
      </c>
      <c r="D4750" s="1" t="inlineStr">
        <is>
          <t>KAVAZAKİ</t>
        </is>
      </c>
      <c r="E4750" s="1" t="inlineStr">
        <is>
          <t>RAMAZAN KAYA</t>
        </is>
      </c>
      <c r="F4750" s="23" t="n"/>
      <c r="G4750" s="138" t="n"/>
      <c r="H4750" s="138" t="n">
        <v>303</v>
      </c>
      <c r="I4750" s="138">
        <f>+I4749+(G4750-H4750)</f>
        <v/>
      </c>
      <c r="J4750" s="139" t="n">
        <v>44.8</v>
      </c>
      <c r="K4750" s="140" t="n"/>
      <c r="L4750" s="140">
        <f>+H4750*J4750</f>
        <v/>
      </c>
      <c r="M4750" s="141">
        <f>SUM(M4749+K4750-L4750)</f>
        <v/>
      </c>
    </row>
    <row r="4751">
      <c r="A4751" s="20" t="n">
        <v>45903</v>
      </c>
      <c r="B4751" s="21" t="n">
        <v>2157</v>
      </c>
      <c r="C4751" s="22" t="inlineStr">
        <is>
          <t>HASALTUN</t>
        </is>
      </c>
      <c r="D4751" s="21" t="inlineStr">
        <is>
          <t xml:space="preserve">SİLİNDİR </t>
        </is>
      </c>
      <c r="E4751" s="21" t="inlineStr">
        <is>
          <t>ÖNER</t>
        </is>
      </c>
      <c r="F4751" s="23" t="n"/>
      <c r="G4751" s="138" t="n"/>
      <c r="H4751" s="138" t="n">
        <v>229</v>
      </c>
      <c r="I4751" s="138">
        <f>+I4750+(G4751-H4751)</f>
        <v/>
      </c>
      <c r="J4751" s="139" t="n">
        <v>44.8</v>
      </c>
      <c r="K4751" s="140" t="n"/>
      <c r="L4751" s="140">
        <f>+H4751*J4751</f>
        <v/>
      </c>
      <c r="M4751" s="141">
        <f>SUM(M4750+K4751-L4751)</f>
        <v/>
      </c>
    </row>
    <row r="4752">
      <c r="A4752" s="20" t="n">
        <v>45903</v>
      </c>
      <c r="B4752" s="21" t="n">
        <v>2158</v>
      </c>
      <c r="C4752" s="22" t="inlineStr">
        <is>
          <t>HASALTUN</t>
        </is>
      </c>
      <c r="D4752" s="21" t="inlineStr">
        <is>
          <t xml:space="preserve">SM 350 </t>
        </is>
      </c>
      <c r="E4752" s="21" t="inlineStr">
        <is>
          <t>AHMET AKGÜL</t>
        </is>
      </c>
      <c r="F4752" s="23" t="n"/>
      <c r="G4752" s="138" t="n"/>
      <c r="H4752" s="138" t="n">
        <v>295</v>
      </c>
      <c r="I4752" s="138">
        <f>+I4751+(G4752-H4752)</f>
        <v/>
      </c>
      <c r="J4752" s="139" t="n">
        <v>44.8</v>
      </c>
      <c r="K4752" s="140" t="n"/>
      <c r="L4752" s="140">
        <f>+H4752*J4752</f>
        <v/>
      </c>
      <c r="M4752" s="141">
        <f>SUM(M4751+K4752-L4752)</f>
        <v/>
      </c>
    </row>
    <row r="4753">
      <c r="A4753" s="20" t="n">
        <v>45904</v>
      </c>
      <c r="B4753" s="21" t="n">
        <v>15277</v>
      </c>
      <c r="C4753" s="22" t="inlineStr">
        <is>
          <t>SELİM İNŞAAT</t>
        </is>
      </c>
      <c r="D4753" s="21" t="inlineStr">
        <is>
          <t>34 DTV 447</t>
        </is>
      </c>
      <c r="E4753" s="21" t="inlineStr">
        <is>
          <t>SALİH YALÇIN</t>
        </is>
      </c>
      <c r="F4753" s="23" t="n">
        <v>443669</v>
      </c>
      <c r="G4753" s="138" t="n"/>
      <c r="H4753" s="138" t="n">
        <v>475</v>
      </c>
      <c r="I4753" s="138">
        <f>+I4752+(G4753-H4753)</f>
        <v/>
      </c>
      <c r="J4753" s="139" t="n">
        <v>44.8</v>
      </c>
      <c r="K4753" s="140" t="n"/>
      <c r="L4753" s="140">
        <f>+H4753*J4753</f>
        <v/>
      </c>
      <c r="M4753" s="141">
        <f>SUM(M4752+K4753-L4753)</f>
        <v/>
      </c>
    </row>
    <row r="4754">
      <c r="A4754" s="20" t="n">
        <v>45904</v>
      </c>
      <c r="B4754" s="21" t="n">
        <v>975</v>
      </c>
      <c r="C4754" s="22" t="inlineStr">
        <is>
          <t>SELİM İNŞAAT</t>
        </is>
      </c>
      <c r="D4754" s="21" t="inlineStr">
        <is>
          <t>34 FBR 742</t>
        </is>
      </c>
      <c r="E4754" s="21" t="inlineStr">
        <is>
          <t>MİKAİL BAYILMAZ</t>
        </is>
      </c>
      <c r="F4754" s="23" t="n">
        <v>334520</v>
      </c>
      <c r="G4754" s="138" t="n"/>
      <c r="H4754" s="138" t="n">
        <v>488</v>
      </c>
      <c r="I4754" s="138">
        <f>+I4753+(G4754-H4754)</f>
        <v/>
      </c>
      <c r="J4754" s="139" t="n">
        <v>44.8</v>
      </c>
      <c r="K4754" s="140" t="n"/>
      <c r="L4754" s="140">
        <f>+H4754*J4754</f>
        <v/>
      </c>
      <c r="M4754" s="141">
        <f>SUM(M4753+K4754-L4754)</f>
        <v/>
      </c>
    </row>
    <row r="4755">
      <c r="A4755" s="20" t="n">
        <v>45904</v>
      </c>
      <c r="B4755" s="21" t="n">
        <v>868</v>
      </c>
      <c r="C4755" s="22" t="inlineStr">
        <is>
          <t>SELİM İNŞAAT</t>
        </is>
      </c>
      <c r="D4755" s="21" t="inlineStr">
        <is>
          <t>34 FSG 229</t>
        </is>
      </c>
      <c r="E4755" s="21" t="inlineStr">
        <is>
          <t>SİNAN TANRIVERDİ</t>
        </is>
      </c>
      <c r="F4755" s="23" t="n">
        <v>275730</v>
      </c>
      <c r="G4755" s="138" t="n"/>
      <c r="H4755" s="138" t="n">
        <v>435</v>
      </c>
      <c r="I4755" s="138">
        <f>+I4754+(G4755-H4755)</f>
        <v/>
      </c>
      <c r="J4755" s="139" t="n">
        <v>44.8</v>
      </c>
      <c r="K4755" s="140" t="n"/>
      <c r="L4755" s="140">
        <f>+H4755*J4755</f>
        <v/>
      </c>
      <c r="M4755" s="141">
        <f>SUM(M4754+K4755-L4755)</f>
        <v/>
      </c>
    </row>
    <row r="4756">
      <c r="A4756" s="20" t="n">
        <v>45904</v>
      </c>
      <c r="B4756" s="21" t="n">
        <v>15083</v>
      </c>
      <c r="C4756" s="22" t="inlineStr">
        <is>
          <t>SELİM İNŞAAT</t>
        </is>
      </c>
      <c r="D4756" s="21" t="inlineStr">
        <is>
          <t>34 EGR 736</t>
        </is>
      </c>
      <c r="E4756" s="21" t="inlineStr">
        <is>
          <t>HAKAN ÇAVUŞOĞLU</t>
        </is>
      </c>
      <c r="F4756" s="23" t="n">
        <v>410374</v>
      </c>
      <c r="G4756" s="138" t="n"/>
      <c r="H4756" s="138" t="n">
        <v>521</v>
      </c>
      <c r="I4756" s="138">
        <f>+I4755+(G4756-H4756)</f>
        <v/>
      </c>
      <c r="J4756" s="139" t="n">
        <v>44.8</v>
      </c>
      <c r="K4756" s="140" t="n"/>
      <c r="L4756" s="140">
        <f>+H4756*J4756</f>
        <v/>
      </c>
      <c r="M4756" s="141">
        <f>SUM(M4755+K4756-L4756)</f>
        <v/>
      </c>
    </row>
    <row r="4757">
      <c r="A4757" s="20" t="n">
        <v>45904</v>
      </c>
      <c r="B4757" s="21" t="n">
        <v>37</v>
      </c>
      <c r="C4757" s="22" t="inlineStr">
        <is>
          <t>SELİM İNŞAAT</t>
        </is>
      </c>
      <c r="D4757" s="21" t="inlineStr">
        <is>
          <t>34 FBR 748</t>
        </is>
      </c>
      <c r="E4757" s="21" t="inlineStr">
        <is>
          <t>YAŞAR ÖZKAYA</t>
        </is>
      </c>
      <c r="F4757" s="23" t="n">
        <v>302746</v>
      </c>
      <c r="G4757" s="138" t="n"/>
      <c r="H4757" s="138" t="n">
        <v>497</v>
      </c>
      <c r="I4757" s="138">
        <f>+I4756+(G4757-H4757)</f>
        <v/>
      </c>
      <c r="J4757" s="139" t="n">
        <v>44.8</v>
      </c>
      <c r="K4757" s="140" t="n"/>
      <c r="L4757" s="140">
        <f>+H4757*J4757</f>
        <v/>
      </c>
      <c r="M4757" s="141">
        <f>SUM(M4756+K4757-L4757)</f>
        <v/>
      </c>
    </row>
    <row r="4758">
      <c r="A4758" s="20" t="n">
        <v>45904</v>
      </c>
      <c r="B4758" s="21" t="n">
        <v>425</v>
      </c>
      <c r="C4758" s="22" t="inlineStr">
        <is>
          <t>SELİM İNŞAAT</t>
        </is>
      </c>
      <c r="D4758" s="21" t="inlineStr">
        <is>
          <t>34 DRU 690</t>
        </is>
      </c>
      <c r="E4758" s="21" t="inlineStr">
        <is>
          <t>MURAT SARI</t>
        </is>
      </c>
      <c r="F4758" s="23" t="n">
        <v>434707</v>
      </c>
      <c r="G4758" s="138" t="n"/>
      <c r="H4758" s="138" t="n">
        <v>456</v>
      </c>
      <c r="I4758" s="138">
        <f>+I4757+(G4758-H4758)</f>
        <v/>
      </c>
      <c r="J4758" s="139" t="n">
        <v>44.8</v>
      </c>
      <c r="K4758" s="140" t="n"/>
      <c r="L4758" s="140">
        <f>+H4758*J4758</f>
        <v/>
      </c>
      <c r="M4758" s="141">
        <f>SUM(M4757+K4758-L4758)</f>
        <v/>
      </c>
    </row>
    <row r="4759">
      <c r="A4759" s="20" t="n">
        <v>45904</v>
      </c>
      <c r="B4759" s="21" t="n">
        <v>2804</v>
      </c>
      <c r="C4759" s="22" t="inlineStr">
        <is>
          <t>SELİM İNŞAAT</t>
        </is>
      </c>
      <c r="D4759" s="21" t="inlineStr">
        <is>
          <t>34 GVZ 745</t>
        </is>
      </c>
      <c r="E4759" s="21" t="inlineStr">
        <is>
          <t>MURAT DEMİRBAŞ</t>
        </is>
      </c>
      <c r="F4759" s="23" t="n">
        <v>208158</v>
      </c>
      <c r="G4759" s="138" t="n"/>
      <c r="H4759" s="138" t="n">
        <v>310</v>
      </c>
      <c r="I4759" s="138">
        <f>+I4758+(G4759-H4759)</f>
        <v/>
      </c>
      <c r="J4759" s="139" t="n">
        <v>44.8</v>
      </c>
      <c r="K4759" s="140" t="n"/>
      <c r="L4759" s="140">
        <f>+H4759*J4759</f>
        <v/>
      </c>
      <c r="M4759" s="141">
        <f>SUM(M4758+K4759-L4759)</f>
        <v/>
      </c>
    </row>
    <row r="4760">
      <c r="A4760" s="20" t="n">
        <v>45904</v>
      </c>
      <c r="B4760" s="31" t="n">
        <v>1023</v>
      </c>
      <c r="C4760" s="22" t="inlineStr">
        <is>
          <t>SELİM İNŞAAT</t>
        </is>
      </c>
      <c r="D4760" s="21" t="inlineStr">
        <is>
          <t>34 DHH 668</t>
        </is>
      </c>
      <c r="E4760" s="21" t="inlineStr">
        <is>
          <t>ADNAN KOÇ</t>
        </is>
      </c>
      <c r="F4760" s="23" t="n">
        <v>402731</v>
      </c>
      <c r="G4760" s="138" t="n"/>
      <c r="H4760" s="138" t="n">
        <v>307</v>
      </c>
      <c r="I4760" s="138">
        <f>+I4759+(G4760-H4760)</f>
        <v/>
      </c>
      <c r="J4760" s="139" t="n">
        <v>44.8</v>
      </c>
      <c r="K4760" s="140" t="n"/>
      <c r="L4760" s="140">
        <f>+H4760*J4760</f>
        <v/>
      </c>
      <c r="M4760" s="141">
        <f>SUM(M4759+K4760-L4760)</f>
        <v/>
      </c>
    </row>
    <row r="4761">
      <c r="A4761" s="20" t="n">
        <v>45904</v>
      </c>
      <c r="B4761" s="21" t="n">
        <v>1469</v>
      </c>
      <c r="C4761" s="22" t="inlineStr">
        <is>
          <t>SELİM İNŞAAT</t>
        </is>
      </c>
      <c r="D4761" s="21" t="inlineStr">
        <is>
          <t>34 EGR 737</t>
        </is>
      </c>
      <c r="E4761" s="21" t="inlineStr">
        <is>
          <t>CEM MUHTAR</t>
        </is>
      </c>
      <c r="F4761" s="23" t="n">
        <v>435545</v>
      </c>
      <c r="G4761" s="138" t="n"/>
      <c r="H4761" s="138" t="n">
        <v>423</v>
      </c>
      <c r="I4761" s="138">
        <f>+I4760+(G4761-H4761)</f>
        <v/>
      </c>
      <c r="J4761" s="139" t="n">
        <v>44.8</v>
      </c>
      <c r="K4761" s="140" t="n"/>
      <c r="L4761" s="140">
        <f>+H4761*J4761</f>
        <v/>
      </c>
      <c r="M4761" s="141">
        <f>SUM(M4760+K4761-L4761)</f>
        <v/>
      </c>
    </row>
    <row r="4762">
      <c r="A4762" s="20" t="n">
        <v>45904</v>
      </c>
      <c r="B4762" s="31" t="n">
        <v>15548</v>
      </c>
      <c r="C4762" s="22" t="inlineStr">
        <is>
          <t>SELİM İNŞAAT</t>
        </is>
      </c>
      <c r="D4762" s="21" t="inlineStr">
        <is>
          <t>34 EDC 086</t>
        </is>
      </c>
      <c r="E4762" s="21" t="inlineStr">
        <is>
          <t>ÖMER AĞAYAR</t>
        </is>
      </c>
      <c r="F4762" s="23" t="n">
        <v>347174</v>
      </c>
      <c r="G4762" s="138" t="n"/>
      <c r="H4762" s="138" t="n">
        <v>447</v>
      </c>
      <c r="I4762" s="138">
        <f>+I4761+(G4762-H4762)</f>
        <v/>
      </c>
      <c r="J4762" s="139" t="n">
        <v>44.8</v>
      </c>
      <c r="K4762" s="140" t="n"/>
      <c r="L4762" s="140">
        <f>+H4762*J4762</f>
        <v/>
      </c>
      <c r="M4762" s="141">
        <f>SUM(M4761+K4762-L4762)</f>
        <v/>
      </c>
    </row>
    <row r="4763">
      <c r="A4763" s="20" t="n">
        <v>45904</v>
      </c>
      <c r="B4763" s="21" t="n">
        <v>1719</v>
      </c>
      <c r="C4763" s="22" t="inlineStr">
        <is>
          <t>SELİM İNŞAAT</t>
        </is>
      </c>
      <c r="D4763" s="21" t="inlineStr">
        <is>
          <t>34 DGP 137</t>
        </is>
      </c>
      <c r="E4763" s="21" t="inlineStr">
        <is>
          <t>GÜRAY KOYUNCU</t>
        </is>
      </c>
      <c r="F4763" s="23" t="n">
        <v>443789</v>
      </c>
      <c r="G4763" s="138" t="n"/>
      <c r="H4763" s="138" t="n">
        <v>364</v>
      </c>
      <c r="I4763" s="138">
        <f>+I4762+(G4763-H4763)</f>
        <v/>
      </c>
      <c r="J4763" s="139" t="n">
        <v>44.8</v>
      </c>
      <c r="K4763" s="140" t="n"/>
      <c r="L4763" s="140">
        <f>+H4763*J4763</f>
        <v/>
      </c>
      <c r="M4763" s="141">
        <f>SUM(M4762+K4763-L4763)</f>
        <v/>
      </c>
    </row>
    <row r="4764">
      <c r="A4764" s="20" t="n">
        <v>45904</v>
      </c>
      <c r="B4764" s="31" t="n">
        <v>15992</v>
      </c>
      <c r="C4764" s="22" t="inlineStr">
        <is>
          <t>SELİM İNŞAAT</t>
        </is>
      </c>
      <c r="D4764" s="21" t="inlineStr">
        <is>
          <t>34 FBR 781</t>
        </is>
      </c>
      <c r="E4764" s="21" t="inlineStr">
        <is>
          <t>MEVLÜT POLAT</t>
        </is>
      </c>
      <c r="F4764" s="23" t="n">
        <v>327257</v>
      </c>
      <c r="G4764" s="138" t="n"/>
      <c r="H4764" s="138" t="n">
        <v>413</v>
      </c>
      <c r="I4764" s="138">
        <f>+I4763+(G4764-H4764)</f>
        <v/>
      </c>
      <c r="J4764" s="139" t="n">
        <v>44.8</v>
      </c>
      <c r="K4764" s="140" t="n"/>
      <c r="L4764" s="140">
        <f>+H4764*J4764</f>
        <v/>
      </c>
      <c r="M4764" s="141">
        <f>SUM(M4763+K4764-L4764)</f>
        <v/>
      </c>
    </row>
    <row r="4765">
      <c r="A4765" s="20" t="n">
        <v>45904</v>
      </c>
      <c r="B4765" s="21" t="n">
        <v>2252</v>
      </c>
      <c r="C4765" s="22" t="inlineStr">
        <is>
          <t>SELİM İNŞAAT</t>
        </is>
      </c>
      <c r="D4765" s="21" t="inlineStr">
        <is>
          <t>34 DSN 636</t>
        </is>
      </c>
      <c r="E4765" s="21" t="inlineStr">
        <is>
          <t>MAHSUN GÜVEN</t>
        </is>
      </c>
      <c r="F4765" s="32" t="n">
        <v>407034</v>
      </c>
      <c r="G4765" s="138" t="n"/>
      <c r="H4765" s="138" t="n">
        <v>485</v>
      </c>
      <c r="I4765" s="138">
        <f>+I4764+(G4765-H4765)</f>
        <v/>
      </c>
      <c r="J4765" s="139" t="n">
        <v>44.8</v>
      </c>
      <c r="K4765" s="140" t="n"/>
      <c r="L4765" s="140">
        <f>+H4765*J4765</f>
        <v/>
      </c>
      <c r="M4765" s="141">
        <f>SUM(M4764+K4765-L4765)</f>
        <v/>
      </c>
    </row>
    <row r="4766">
      <c r="A4766" s="20" t="n">
        <v>45904</v>
      </c>
      <c r="B4766" s="21" t="n">
        <v>583</v>
      </c>
      <c r="C4766" s="22" t="inlineStr">
        <is>
          <t>SELİM İNŞAAT</t>
        </is>
      </c>
      <c r="D4766" s="21" t="inlineStr">
        <is>
          <t>34 EDB 922</t>
        </is>
      </c>
      <c r="E4766" s="21" t="inlineStr">
        <is>
          <t>AHMET TOPÇU</t>
        </is>
      </c>
      <c r="F4766" s="23" t="n">
        <v>383070</v>
      </c>
      <c r="G4766" s="138" t="n"/>
      <c r="H4766" s="138" t="n">
        <v>192</v>
      </c>
      <c r="I4766" s="138">
        <f>+I4765+(G4766-H4766)</f>
        <v/>
      </c>
      <c r="J4766" s="139" t="n">
        <v>44.8</v>
      </c>
      <c r="K4766" s="140" t="n"/>
      <c r="L4766" s="140">
        <f>+H4766*J4766</f>
        <v/>
      </c>
      <c r="M4766" s="141">
        <f>SUM(M4765+K4766-L4766)</f>
        <v/>
      </c>
    </row>
    <row r="4767">
      <c r="A4767" s="20" t="n">
        <v>45904</v>
      </c>
      <c r="B4767" s="21" t="n">
        <v>1659</v>
      </c>
      <c r="C4767" s="22" t="inlineStr">
        <is>
          <t>SELİM İNŞAAT</t>
        </is>
      </c>
      <c r="D4767" s="21" t="inlineStr">
        <is>
          <t>34 DHH 570</t>
        </is>
      </c>
      <c r="E4767" s="21" t="inlineStr">
        <is>
          <t>KORAY AK</t>
        </is>
      </c>
      <c r="F4767" s="23" t="n">
        <v>450948</v>
      </c>
      <c r="G4767" s="138" t="n"/>
      <c r="H4767" s="138" t="n">
        <v>354</v>
      </c>
      <c r="I4767" s="138">
        <f>+I4766+(G4767-H4767)</f>
        <v/>
      </c>
      <c r="J4767" s="139" t="n">
        <v>44.8</v>
      </c>
      <c r="K4767" s="140" t="n"/>
      <c r="L4767" s="140">
        <f>+H4767*J4767</f>
        <v/>
      </c>
      <c r="M4767" s="141">
        <f>SUM(M4766+K4767-L4767)</f>
        <v/>
      </c>
    </row>
    <row r="4768">
      <c r="A4768" s="20" t="n">
        <v>45904</v>
      </c>
      <c r="B4768" s="21" t="n">
        <v>332</v>
      </c>
      <c r="C4768" s="22" t="inlineStr">
        <is>
          <t>SELİM İNŞAAT</t>
        </is>
      </c>
      <c r="D4768" s="21" t="inlineStr">
        <is>
          <t>34 EDB 829</t>
        </is>
      </c>
      <c r="E4768" s="21" t="inlineStr">
        <is>
          <t>İRFAN DAĞLAR</t>
        </is>
      </c>
      <c r="F4768" s="23" t="n">
        <v>336566</v>
      </c>
      <c r="G4768" s="138" t="n"/>
      <c r="H4768" s="138" t="n">
        <v>277</v>
      </c>
      <c r="I4768" s="138">
        <f>+I4767+(G4768-H4768)</f>
        <v/>
      </c>
      <c r="J4768" s="139" t="n">
        <v>44.8</v>
      </c>
      <c r="K4768" s="140" t="n"/>
      <c r="L4768" s="140">
        <f>+H4768*J4768</f>
        <v/>
      </c>
      <c r="M4768" s="141">
        <f>SUM(M4767+K4768-L4768)</f>
        <v/>
      </c>
    </row>
    <row r="4769">
      <c r="A4769" s="20" t="n">
        <v>45904</v>
      </c>
      <c r="B4769" s="21" t="n">
        <v>776</v>
      </c>
      <c r="C4769" s="22" t="inlineStr">
        <is>
          <t>SELİM İNŞAAT</t>
        </is>
      </c>
      <c r="D4769" s="21" t="inlineStr">
        <is>
          <t>34 EDB 559</t>
        </is>
      </c>
      <c r="E4769" s="21" t="inlineStr">
        <is>
          <t>AZİZ ORUÇ</t>
        </is>
      </c>
      <c r="F4769" s="23" t="n">
        <v>341700</v>
      </c>
      <c r="G4769" s="138" t="n"/>
      <c r="H4769" s="138" t="n">
        <v>406</v>
      </c>
      <c r="I4769" s="138">
        <f>+I4768+(G4769-H4769)</f>
        <v/>
      </c>
      <c r="J4769" s="139" t="n">
        <v>44.8</v>
      </c>
      <c r="K4769" s="140" t="n"/>
      <c r="L4769" s="140">
        <f>+H4769*J4769</f>
        <v/>
      </c>
      <c r="M4769" s="141">
        <f>SUM(M4768+K4769-L4769)</f>
        <v/>
      </c>
    </row>
    <row r="4770">
      <c r="A4770" s="20" t="n">
        <v>45904</v>
      </c>
      <c r="B4770" s="21" t="n">
        <v>176</v>
      </c>
      <c r="C4770" s="22" t="inlineStr">
        <is>
          <t>SELİM İNŞAAT</t>
        </is>
      </c>
      <c r="D4770" s="21" t="inlineStr">
        <is>
          <t>34 TG 7869</t>
        </is>
      </c>
      <c r="E4770" s="21" t="inlineStr">
        <is>
          <t>DURSUN ALİ GÜREK</t>
        </is>
      </c>
      <c r="F4770" s="23" t="n">
        <v>188746</v>
      </c>
      <c r="G4770" s="138" t="n"/>
      <c r="H4770" s="138" t="n">
        <v>280</v>
      </c>
      <c r="I4770" s="138">
        <f>+I4769+(G4770-H4770)</f>
        <v/>
      </c>
      <c r="J4770" s="139" t="n">
        <v>44.8</v>
      </c>
      <c r="K4770" s="140" t="n"/>
      <c r="L4770" s="140">
        <f>+H4770*J4770</f>
        <v/>
      </c>
      <c r="M4770" s="141">
        <f>SUM(M4769+K4770-L4770)</f>
        <v/>
      </c>
    </row>
    <row r="4771">
      <c r="A4771" s="20" t="n">
        <v>45904</v>
      </c>
      <c r="B4771" s="21" t="n">
        <v>267</v>
      </c>
      <c r="C4771" s="22" t="inlineStr">
        <is>
          <t>SELİM İNŞAAT</t>
        </is>
      </c>
      <c r="D4771" s="21" t="inlineStr">
        <is>
          <t>34 GER 445</t>
        </is>
      </c>
      <c r="E4771" s="21" t="inlineStr">
        <is>
          <t>HÜSEYİN ÖZKOÇAK</t>
        </is>
      </c>
      <c r="F4771" s="23" t="n">
        <v>49686</v>
      </c>
      <c r="G4771" s="138" t="n"/>
      <c r="H4771" s="138" t="n">
        <v>227</v>
      </c>
      <c r="I4771" s="138">
        <f>+I4770+(G4771-H4771)</f>
        <v/>
      </c>
      <c r="J4771" s="139" t="n">
        <v>44.8</v>
      </c>
      <c r="K4771" s="140" t="n"/>
      <c r="L4771" s="140">
        <f>+H4771*J4771</f>
        <v/>
      </c>
      <c r="M4771" s="141">
        <f>SUM(M4770+K4771-L4771)</f>
        <v/>
      </c>
    </row>
    <row r="4772">
      <c r="A4772" s="20" t="n">
        <v>45904</v>
      </c>
      <c r="B4772" s="21" t="n">
        <v>617</v>
      </c>
      <c r="C4772" s="22" t="inlineStr">
        <is>
          <t>SELİM İNŞAAT</t>
        </is>
      </c>
      <c r="D4772" s="21" t="inlineStr">
        <is>
          <t>34 AR 7743</t>
        </is>
      </c>
      <c r="E4772" s="21" t="inlineStr">
        <is>
          <t>MEHMET SELİM</t>
        </is>
      </c>
      <c r="F4772" s="23" t="n">
        <v>362044</v>
      </c>
      <c r="G4772" s="138" t="n"/>
      <c r="H4772" s="138" t="n">
        <v>51</v>
      </c>
      <c r="I4772" s="138">
        <f>+I4771+(G4772-H4772)</f>
        <v/>
      </c>
      <c r="J4772" s="139" t="n">
        <v>44.8</v>
      </c>
      <c r="K4772" s="140" t="n"/>
      <c r="L4772" s="140">
        <f>+H4772*J4772</f>
        <v/>
      </c>
      <c r="M4772" s="141">
        <f>SUM(M4771+K4772-L4772)</f>
        <v/>
      </c>
    </row>
    <row r="4773">
      <c r="A4773" s="20" t="n">
        <v>45904</v>
      </c>
      <c r="B4773" s="21" t="n">
        <v>2610</v>
      </c>
      <c r="C4773" s="22" t="inlineStr">
        <is>
          <t>SELİM İNŞAAT</t>
        </is>
      </c>
      <c r="D4773" s="21" t="inlineStr">
        <is>
          <t>34 GU 945</t>
        </is>
      </c>
      <c r="E4773" s="21" t="inlineStr">
        <is>
          <t>ŞERİF KARTAL</t>
        </is>
      </c>
      <c r="F4773" s="23" t="n">
        <v>457412</v>
      </c>
      <c r="G4773" s="138" t="n"/>
      <c r="H4773" s="138" t="n">
        <v>58</v>
      </c>
      <c r="I4773" s="138">
        <f>+I4772+(G4773-H4773)</f>
        <v/>
      </c>
      <c r="J4773" s="139" t="n">
        <v>44.8</v>
      </c>
      <c r="K4773" s="140" t="n"/>
      <c r="L4773" s="140">
        <f>+H4773*J4773</f>
        <v/>
      </c>
      <c r="M4773" s="141">
        <f>SUM(M4772+K4773-L4773)</f>
        <v/>
      </c>
    </row>
    <row r="4774">
      <c r="A4774" s="20" t="n">
        <v>45904</v>
      </c>
      <c r="B4774" s="21" t="n">
        <v>480</v>
      </c>
      <c r="C4774" s="22" t="inlineStr">
        <is>
          <t>SELİM İNŞAAT</t>
        </is>
      </c>
      <c r="D4774" s="21" t="inlineStr">
        <is>
          <t>34 DKL 866</t>
        </is>
      </c>
      <c r="E4774" s="21" t="inlineStr">
        <is>
          <t>SELİM CAN ÖNVER</t>
        </is>
      </c>
      <c r="F4774" s="23" t="n">
        <v>73658</v>
      </c>
      <c r="G4774" s="138" t="n"/>
      <c r="H4774" s="138" t="n">
        <v>246</v>
      </c>
      <c r="I4774" s="138">
        <f>+I4773+(G4774-H4774)</f>
        <v/>
      </c>
      <c r="J4774" s="139" t="n">
        <v>44.8</v>
      </c>
      <c r="K4774" s="140" t="n"/>
      <c r="L4774" s="140">
        <f>+H4774*J4774</f>
        <v/>
      </c>
      <c r="M4774" s="141">
        <f>SUM(M4773+K4774-L4774)</f>
        <v/>
      </c>
    </row>
    <row r="4775">
      <c r="A4775" s="20" t="n">
        <v>45904</v>
      </c>
      <c r="B4775" s="21" t="n">
        <v>11394</v>
      </c>
      <c r="C4775" s="22" t="inlineStr">
        <is>
          <t>AZGÜN YAPI</t>
        </is>
      </c>
      <c r="D4775" s="21" t="inlineStr">
        <is>
          <t>34 MKT 593</t>
        </is>
      </c>
      <c r="E4775" s="21" t="inlineStr">
        <is>
          <t>MESUT GÜRLER</t>
        </is>
      </c>
      <c r="F4775" s="23" t="n"/>
      <c r="G4775" s="138" t="n"/>
      <c r="H4775" s="138" t="n">
        <v>540</v>
      </c>
      <c r="I4775" s="138">
        <f>+I4774+(G4775-H4775)</f>
        <v/>
      </c>
      <c r="J4775" s="139" t="n">
        <v>44.8</v>
      </c>
      <c r="K4775" s="140" t="n"/>
      <c r="L4775" s="140">
        <f>+H4775*J4775</f>
        <v/>
      </c>
      <c r="M4775" s="141">
        <f>SUM(M4774+K4775-L4775)</f>
        <v/>
      </c>
    </row>
    <row r="4776">
      <c r="A4776" s="20" t="n">
        <v>45904</v>
      </c>
      <c r="B4776" s="21" t="n">
        <v>2219</v>
      </c>
      <c r="C4776" s="22" t="inlineStr">
        <is>
          <t>AZGÜN YAPI</t>
        </is>
      </c>
      <c r="D4776" s="21" t="inlineStr">
        <is>
          <t>34 DTV 263</t>
        </is>
      </c>
      <c r="E4776" s="21" t="inlineStr">
        <is>
          <t>MUHAMMET BULUT</t>
        </is>
      </c>
      <c r="F4776" s="23" t="n"/>
      <c r="G4776" s="138" t="n"/>
      <c r="H4776" s="138" t="n">
        <v>209</v>
      </c>
      <c r="I4776" s="138">
        <f>+I4775+(G4776-H4776)</f>
        <v/>
      </c>
      <c r="J4776" s="139" t="n">
        <v>44.8</v>
      </c>
      <c r="K4776" s="140" t="n"/>
      <c r="L4776" s="140">
        <f>+H4776*J4776</f>
        <v/>
      </c>
      <c r="M4776" s="141">
        <f>SUM(M4775+K4776-L4776)</f>
        <v/>
      </c>
    </row>
    <row r="4777">
      <c r="A4777" s="20" t="n">
        <v>45904</v>
      </c>
      <c r="B4777" s="21" t="n">
        <v>729</v>
      </c>
      <c r="C4777" s="22" t="inlineStr">
        <is>
          <t>METİN ERYİĞİT</t>
        </is>
      </c>
      <c r="D4777" s="21" t="inlineStr">
        <is>
          <t>34 GBL 998</t>
        </is>
      </c>
      <c r="E4777" s="21" t="inlineStr">
        <is>
          <t>ALİ KESKİN</t>
        </is>
      </c>
      <c r="F4777" s="23" t="n">
        <v>292752</v>
      </c>
      <c r="G4777" s="138" t="n"/>
      <c r="H4777" s="138" t="n">
        <v>379</v>
      </c>
      <c r="I4777" s="138">
        <f>+I4776+(G4777-H4777)</f>
        <v/>
      </c>
      <c r="J4777" s="139" t="n">
        <v>44.8</v>
      </c>
      <c r="K4777" s="140" t="n"/>
      <c r="L4777" s="140">
        <f>+H4777*J4777</f>
        <v/>
      </c>
      <c r="M4777" s="141">
        <f>SUM(M4776+K4777-L4777)</f>
        <v/>
      </c>
    </row>
    <row r="4778">
      <c r="A4778" s="20" t="n">
        <v>45904</v>
      </c>
      <c r="B4778" s="21" t="n">
        <v>1922</v>
      </c>
      <c r="C4778" s="22" t="inlineStr">
        <is>
          <t>AHMET SELİM TEMHA</t>
        </is>
      </c>
      <c r="D4778" s="21" t="inlineStr">
        <is>
          <t>34 DGE 422</t>
        </is>
      </c>
      <c r="E4778" s="21" t="inlineStr">
        <is>
          <t>ERSOY SIGINMAZ</t>
        </is>
      </c>
      <c r="F4778" s="23" t="n"/>
      <c r="G4778" s="138" t="n"/>
      <c r="H4778" s="138" t="n">
        <v>31</v>
      </c>
      <c r="I4778" s="138">
        <f>+I4777+(G4778-H4778)</f>
        <v/>
      </c>
      <c r="J4778" s="139" t="n">
        <v>44.8</v>
      </c>
      <c r="K4778" s="140" t="n"/>
      <c r="L4778" s="140">
        <f>+H4778*J4778</f>
        <v/>
      </c>
      <c r="M4778" s="141">
        <f>SUM(M4777+K4778-L4778)</f>
        <v/>
      </c>
    </row>
    <row r="4779">
      <c r="A4779" s="20" t="n">
        <v>45904</v>
      </c>
      <c r="B4779" s="21" t="n">
        <v>2159</v>
      </c>
      <c r="C4779" s="22" t="inlineStr">
        <is>
          <t>MEGA VARLIK</t>
        </is>
      </c>
      <c r="D4779" s="21" t="inlineStr">
        <is>
          <t xml:space="preserve">SM 300 </t>
        </is>
      </c>
      <c r="E4779" s="21" t="inlineStr">
        <is>
          <t>MEHMET ALİ</t>
        </is>
      </c>
      <c r="F4779" s="23" t="n"/>
      <c r="G4779" s="138" t="n"/>
      <c r="H4779" s="138" t="n">
        <v>454</v>
      </c>
      <c r="I4779" s="138">
        <f>+I4778+(G4779-H4779)</f>
        <v/>
      </c>
      <c r="J4779" s="139" t="n">
        <v>44.8</v>
      </c>
      <c r="K4779" s="140" t="n"/>
      <c r="L4779" s="140">
        <f>+H4779*J4779</f>
        <v/>
      </c>
      <c r="M4779" s="141">
        <f>SUM(M4778+K4779-L4779)</f>
        <v/>
      </c>
    </row>
    <row r="4780">
      <c r="A4780" s="20" t="n">
        <v>45904</v>
      </c>
      <c r="B4780" s="21" t="n">
        <v>2160</v>
      </c>
      <c r="C4780" s="22" t="inlineStr">
        <is>
          <t>VARLIK</t>
        </is>
      </c>
      <c r="D4780" s="1" t="inlineStr">
        <is>
          <t>KAVAZAKİ</t>
        </is>
      </c>
      <c r="E4780" s="1" t="inlineStr">
        <is>
          <t>RAMAZAN KAYA</t>
        </is>
      </c>
      <c r="F4780" s="23" t="n"/>
      <c r="G4780" s="138" t="n"/>
      <c r="H4780" s="138" t="n">
        <v>406</v>
      </c>
      <c r="I4780" s="138">
        <f>+I4779+(G4780-H4780)</f>
        <v/>
      </c>
      <c r="J4780" s="139" t="n">
        <v>44.8</v>
      </c>
      <c r="K4780" s="140" t="n"/>
      <c r="L4780" s="140">
        <f>+H4780*J4780</f>
        <v/>
      </c>
      <c r="M4780" s="141">
        <f>SUM(M4779+K4780-L4780)</f>
        <v/>
      </c>
    </row>
    <row r="4781">
      <c r="A4781" s="20" t="n">
        <v>45904</v>
      </c>
      <c r="B4781" s="21" t="n">
        <v>2161</v>
      </c>
      <c r="C4781" s="22" t="inlineStr">
        <is>
          <t>HASALTUN</t>
        </is>
      </c>
      <c r="D4781" s="1" t="inlineStr">
        <is>
          <t>HİTACİ</t>
        </is>
      </c>
      <c r="E4781" s="1" t="inlineStr">
        <is>
          <t>TURGUT SANCAK</t>
        </is>
      </c>
      <c r="F4781" s="23" t="n"/>
      <c r="G4781" s="138" t="n"/>
      <c r="H4781" s="138" t="n">
        <v>273</v>
      </c>
      <c r="I4781" s="138">
        <f>+I4780+(G4781-H4781)</f>
        <v/>
      </c>
      <c r="J4781" s="139" t="n">
        <v>44.8</v>
      </c>
      <c r="K4781" s="140" t="n"/>
      <c r="L4781" s="140">
        <f>+H4781*J4781</f>
        <v/>
      </c>
      <c r="M4781" s="141">
        <f>SUM(M4780+K4781-L4781)</f>
        <v/>
      </c>
    </row>
    <row r="4782">
      <c r="A4782" s="20" t="n">
        <v>45904</v>
      </c>
      <c r="B4782" s="21" t="n">
        <v>2162</v>
      </c>
      <c r="C4782" s="22" t="inlineStr">
        <is>
          <t>HASALTUN</t>
        </is>
      </c>
      <c r="D4782" s="21" t="inlineStr">
        <is>
          <t xml:space="preserve">SİLİNDİR </t>
        </is>
      </c>
      <c r="E4782" s="21" t="inlineStr">
        <is>
          <t>ÖNER</t>
        </is>
      </c>
      <c r="F4782" s="23" t="n"/>
      <c r="G4782" s="138" t="n"/>
      <c r="H4782" s="138" t="n">
        <v>397</v>
      </c>
      <c r="I4782" s="138">
        <f>+I4781+(G4782-H4782)</f>
        <v/>
      </c>
      <c r="J4782" s="139" t="n">
        <v>44.8</v>
      </c>
      <c r="K4782" s="140" t="n"/>
      <c r="L4782" s="140">
        <f>+H4782*J4782</f>
        <v/>
      </c>
      <c r="M4782" s="141">
        <f>SUM(M4781+K4782-L4782)</f>
        <v/>
      </c>
    </row>
    <row r="4783">
      <c r="A4783" s="20" t="n">
        <v>45904</v>
      </c>
      <c r="B4783" s="21" t="n">
        <v>2163</v>
      </c>
      <c r="C4783" s="22" t="inlineStr">
        <is>
          <t>HASALTUN</t>
        </is>
      </c>
      <c r="D4783" s="21" t="inlineStr">
        <is>
          <t>FOKLİFT</t>
        </is>
      </c>
      <c r="E4783" s="21" t="inlineStr">
        <is>
          <t>FAHRİ KALFA</t>
        </is>
      </c>
      <c r="F4783" s="23" t="n"/>
      <c r="G4783" s="138" t="n"/>
      <c r="H4783" s="138" t="n">
        <v>202</v>
      </c>
      <c r="I4783" s="138">
        <f>+I4782+(G4783-H4783)</f>
        <v/>
      </c>
      <c r="J4783" s="139" t="n">
        <v>44.8</v>
      </c>
      <c r="K4783" s="140" t="n"/>
      <c r="L4783" s="140">
        <f>+H4783*J4783</f>
        <v/>
      </c>
      <c r="M4783" s="141">
        <f>SUM(M4782+K4783-L4783)</f>
        <v/>
      </c>
    </row>
    <row r="4784">
      <c r="A4784" s="20" t="n">
        <v>45904</v>
      </c>
      <c r="B4784" s="21" t="n">
        <v>2164</v>
      </c>
      <c r="C4784" s="22" t="inlineStr">
        <is>
          <t>EVKUR</t>
        </is>
      </c>
      <c r="D4784" s="21" t="inlineStr">
        <is>
          <t>SM 350</t>
        </is>
      </c>
      <c r="E4784" s="21" t="inlineStr">
        <is>
          <t>TEVFİK</t>
        </is>
      </c>
      <c r="F4784" s="23" t="n"/>
      <c r="G4784" s="138" t="n"/>
      <c r="H4784" s="138" t="n">
        <v>38</v>
      </c>
      <c r="I4784" s="138">
        <f>+I4783+(G4784-H4784)</f>
        <v/>
      </c>
      <c r="J4784" s="139" t="n">
        <v>44.8</v>
      </c>
      <c r="K4784" s="140" t="n"/>
      <c r="L4784" s="140">
        <f>+H4784*J4784</f>
        <v/>
      </c>
      <c r="M4784" s="141">
        <f>SUM(M4783+K4784-L4784)</f>
        <v/>
      </c>
    </row>
    <row r="4785">
      <c r="A4785" s="20" t="n">
        <v>45904</v>
      </c>
      <c r="B4785" s="21" t="n">
        <v>2165</v>
      </c>
      <c r="C4785" s="22" t="inlineStr">
        <is>
          <t>MEGA VARLIK</t>
        </is>
      </c>
      <c r="D4785" s="21" t="inlineStr">
        <is>
          <t xml:space="preserve">SM 370 </t>
        </is>
      </c>
      <c r="E4785" s="21" t="inlineStr">
        <is>
          <t>ÖZKAN</t>
        </is>
      </c>
      <c r="F4785" s="23" t="n"/>
      <c r="G4785" s="138" t="n"/>
      <c r="H4785" s="138" t="n">
        <v>396</v>
      </c>
      <c r="I4785" s="138">
        <f>+I4784+(G4785-H4785)</f>
        <v/>
      </c>
      <c r="J4785" s="139" t="n">
        <v>44.8</v>
      </c>
      <c r="K4785" s="140" t="n"/>
      <c r="L4785" s="140">
        <f>+H4785*J4785</f>
        <v/>
      </c>
      <c r="M4785" s="141">
        <f>SUM(M4784+K4785-L4785)</f>
        <v/>
      </c>
    </row>
    <row r="4786">
      <c r="A4786" s="20" t="n">
        <v>45905</v>
      </c>
      <c r="B4786" s="21" t="n">
        <v>173</v>
      </c>
      <c r="C4786" s="22" t="inlineStr">
        <is>
          <t>MİRBE PETROL SANAYİ VE TİCARET ANONİM ŞİRKETİ</t>
        </is>
      </c>
      <c r="D4786" s="21" t="n"/>
      <c r="E4786" s="21" t="n"/>
      <c r="F4786" s="23" t="n"/>
      <c r="G4786" s="138" t="n">
        <v>24350</v>
      </c>
      <c r="H4786" s="138" t="n"/>
      <c r="I4786" s="138">
        <f>+I4785+(G4786-H4786)</f>
        <v/>
      </c>
      <c r="J4786" s="139">
        <f>+K4786/G4786</f>
        <v/>
      </c>
      <c r="K4786" s="140" t="n">
        <v>1175766.05</v>
      </c>
      <c r="L4786" s="140">
        <f>+H4786*J4786</f>
        <v/>
      </c>
      <c r="M4786" s="141">
        <f>SUM(M4785+K4786-L4786)</f>
        <v/>
      </c>
    </row>
    <row r="4787">
      <c r="A4787" s="20" t="n">
        <v>45905</v>
      </c>
      <c r="B4787" s="21" t="n">
        <v>1855</v>
      </c>
      <c r="C4787" s="22" t="inlineStr">
        <is>
          <t>SELİM İNŞAAT</t>
        </is>
      </c>
      <c r="D4787" s="21" t="inlineStr">
        <is>
          <t>34 GVZ 268</t>
        </is>
      </c>
      <c r="E4787" s="21" t="inlineStr">
        <is>
          <t>KERİM KARAMAN</t>
        </is>
      </c>
      <c r="F4787" s="23" t="n">
        <v>214603</v>
      </c>
      <c r="G4787" s="138" t="n"/>
      <c r="H4787" s="138" t="n">
        <v>491</v>
      </c>
      <c r="I4787" s="138">
        <f>+I4786+(G4787-H4787)</f>
        <v/>
      </c>
      <c r="J4787" s="139" t="n">
        <v>48.286</v>
      </c>
      <c r="K4787" s="140" t="n"/>
      <c r="L4787" s="140">
        <f>+H4787*J4787</f>
        <v/>
      </c>
      <c r="M4787" s="141">
        <f>SUM(M4786+K4787-L4787)</f>
        <v/>
      </c>
    </row>
    <row r="4788">
      <c r="A4788" s="20" t="n">
        <v>45905</v>
      </c>
      <c r="B4788" s="21" t="n">
        <v>15136</v>
      </c>
      <c r="C4788" s="22" t="inlineStr">
        <is>
          <t>SELİM İNŞAAT</t>
        </is>
      </c>
      <c r="D4788" s="21" t="inlineStr">
        <is>
          <t>34 DTV 599</t>
        </is>
      </c>
      <c r="E4788" s="21" t="inlineStr">
        <is>
          <t>FERHAT GÜRLER</t>
        </is>
      </c>
      <c r="F4788" s="23" t="n">
        <v>451015</v>
      </c>
      <c r="G4788" s="138" t="n"/>
      <c r="H4788" s="138" t="n">
        <v>476</v>
      </c>
      <c r="I4788" s="138">
        <f>+I4787+(G4788-H4788)</f>
        <v/>
      </c>
      <c r="J4788" s="139" t="n">
        <v>48.286</v>
      </c>
      <c r="K4788" s="140" t="n"/>
      <c r="L4788" s="140">
        <f>+H4788*J4788</f>
        <v/>
      </c>
      <c r="M4788" s="141">
        <f>SUM(M4787+K4788-L4788)</f>
        <v/>
      </c>
    </row>
    <row r="4789">
      <c r="A4789" s="20" t="n">
        <v>45905</v>
      </c>
      <c r="B4789" s="21" t="n">
        <v>672</v>
      </c>
      <c r="C4789" s="22" t="inlineStr">
        <is>
          <t>SELİM İNŞAAT</t>
        </is>
      </c>
      <c r="D4789" s="21" t="inlineStr">
        <is>
          <t>34 DTV 352</t>
        </is>
      </c>
      <c r="E4789" s="21" t="inlineStr">
        <is>
          <t>ADEM DENİZ</t>
        </is>
      </c>
      <c r="F4789" s="23" t="n">
        <v>448133</v>
      </c>
      <c r="G4789" s="138" t="n"/>
      <c r="H4789" s="138" t="n">
        <v>535</v>
      </c>
      <c r="I4789" s="138">
        <f>+I4788+(G4789-H4789)</f>
        <v/>
      </c>
      <c r="J4789" s="139" t="n">
        <v>48.286</v>
      </c>
      <c r="K4789" s="140" t="n"/>
      <c r="L4789" s="140">
        <f>+H4789*J4789</f>
        <v/>
      </c>
      <c r="M4789" s="141">
        <f>SUM(M4788+K4789-L4789)</f>
        <v/>
      </c>
    </row>
    <row r="4790">
      <c r="A4790" s="20" t="n">
        <v>45905</v>
      </c>
      <c r="B4790" s="21" t="n">
        <v>15892</v>
      </c>
      <c r="C4790" s="22" t="inlineStr">
        <is>
          <t>SELİM İNŞAAT</t>
        </is>
      </c>
      <c r="D4790" s="21" t="inlineStr">
        <is>
          <t>34 EDB 754</t>
        </is>
      </c>
      <c r="E4790" s="21" t="inlineStr">
        <is>
          <t>MUSTAFA KAYA</t>
        </is>
      </c>
      <c r="F4790" s="23" t="n">
        <v>343350</v>
      </c>
      <c r="G4790" s="138" t="n"/>
      <c r="H4790" s="138" t="n">
        <v>389</v>
      </c>
      <c r="I4790" s="138">
        <f>+I4789+(G4790-H4790)</f>
        <v/>
      </c>
      <c r="J4790" s="139" t="n">
        <v>48.286</v>
      </c>
      <c r="K4790" s="140" t="n"/>
      <c r="L4790" s="140">
        <f>+H4790*J4790</f>
        <v/>
      </c>
      <c r="M4790" s="141">
        <f>SUM(M4789+K4790-L4790)</f>
        <v/>
      </c>
    </row>
    <row r="4791">
      <c r="A4791" s="20" t="n">
        <v>45905</v>
      </c>
      <c r="B4791" s="21" t="n">
        <v>1162</v>
      </c>
      <c r="C4791" s="22" t="inlineStr">
        <is>
          <t>SELİM İNŞAAT</t>
        </is>
      </c>
      <c r="D4791" s="21" t="inlineStr">
        <is>
          <t>34 DSN 536</t>
        </is>
      </c>
      <c r="E4791" s="21" t="inlineStr">
        <is>
          <t xml:space="preserve">SALİH YALÇIN </t>
        </is>
      </c>
      <c r="F4791" s="23" t="n">
        <v>421753</v>
      </c>
      <c r="G4791" s="138" t="n"/>
      <c r="H4791" s="138" t="n">
        <v>383</v>
      </c>
      <c r="I4791" s="138">
        <f>+I4790+(G4791-H4791)</f>
        <v/>
      </c>
      <c r="J4791" s="139" t="n">
        <v>48.286</v>
      </c>
      <c r="K4791" s="140" t="n"/>
      <c r="L4791" s="140">
        <f>+H4791*J4791</f>
        <v/>
      </c>
      <c r="M4791" s="141">
        <f>SUM(M4790+K4791-L4791)</f>
        <v/>
      </c>
    </row>
    <row r="4792">
      <c r="A4792" s="20" t="n">
        <v>45905</v>
      </c>
      <c r="B4792" s="21" t="n">
        <v>15384</v>
      </c>
      <c r="C4792" s="22" t="inlineStr">
        <is>
          <t>SELİM İNŞAAT</t>
        </is>
      </c>
      <c r="D4792" s="21" t="inlineStr">
        <is>
          <t>34 DTV 409</t>
        </is>
      </c>
      <c r="E4792" s="21" t="inlineStr">
        <is>
          <t>EBUBEKİR KOLDAŞ</t>
        </is>
      </c>
      <c r="F4792" s="23" t="n">
        <v>435218</v>
      </c>
      <c r="G4792" s="138" t="n"/>
      <c r="H4792" s="138" t="n">
        <v>392</v>
      </c>
      <c r="I4792" s="138">
        <f>+I4791+(G4792-H4792)</f>
        <v/>
      </c>
      <c r="J4792" s="139" t="n">
        <v>48.286</v>
      </c>
      <c r="K4792" s="140" t="n"/>
      <c r="L4792" s="140">
        <f>+H4792*J4792</f>
        <v/>
      </c>
      <c r="M4792" s="141">
        <f>SUM(M4791+K4792-L4792)</f>
        <v/>
      </c>
    </row>
    <row r="4793">
      <c r="A4793" s="20" t="n">
        <v>45905</v>
      </c>
      <c r="B4793" s="21" t="n">
        <v>1077</v>
      </c>
      <c r="C4793" s="22" t="inlineStr">
        <is>
          <t>SELİM İNŞAAT</t>
        </is>
      </c>
      <c r="D4793" s="21" t="inlineStr">
        <is>
          <t>34 GVZ 310</t>
        </is>
      </c>
      <c r="E4793" s="21" t="inlineStr">
        <is>
          <t>CELAL YÜZBAŞI</t>
        </is>
      </c>
      <c r="F4793" s="23" t="n">
        <v>220110</v>
      </c>
      <c r="G4793" s="138" t="n"/>
      <c r="H4793" s="138" t="n">
        <v>298</v>
      </c>
      <c r="I4793" s="138">
        <f>+I4792+(G4793-H4793)</f>
        <v/>
      </c>
      <c r="J4793" s="139" t="n">
        <v>48.286</v>
      </c>
      <c r="K4793" s="140" t="n"/>
      <c r="L4793" s="140">
        <f>+H4793*J4793</f>
        <v/>
      </c>
      <c r="M4793" s="141">
        <f>SUM(M4792+K4793-L4793)</f>
        <v/>
      </c>
    </row>
    <row r="4794">
      <c r="A4794" s="20" t="n">
        <v>45905</v>
      </c>
      <c r="B4794" s="21" t="n">
        <v>14791</v>
      </c>
      <c r="C4794" s="22" t="inlineStr">
        <is>
          <t>SELİM İNŞAAT</t>
        </is>
      </c>
      <c r="D4794" s="21" t="inlineStr">
        <is>
          <t>34 GYZ 635</t>
        </is>
      </c>
      <c r="E4794" s="21" t="inlineStr">
        <is>
          <t>ENGİN DEMİR</t>
        </is>
      </c>
      <c r="F4794" s="23" t="n">
        <v>194536</v>
      </c>
      <c r="G4794" s="138" t="n"/>
      <c r="H4794" s="138" t="n">
        <v>444</v>
      </c>
      <c r="I4794" s="138">
        <f>+I4793+(G4794-H4794)</f>
        <v/>
      </c>
      <c r="J4794" s="139" t="n">
        <v>48.286</v>
      </c>
      <c r="K4794" s="140" t="n"/>
      <c r="L4794" s="140">
        <f>+H4794*J4794</f>
        <v/>
      </c>
      <c r="M4794" s="141">
        <f>SUM(M4793+K4794-L4794)</f>
        <v/>
      </c>
    </row>
    <row r="4795">
      <c r="A4795" s="20" t="n">
        <v>45905</v>
      </c>
      <c r="B4795" s="21" t="n">
        <v>1575</v>
      </c>
      <c r="C4795" s="22" t="inlineStr">
        <is>
          <t>SELİM İNŞAAT</t>
        </is>
      </c>
      <c r="D4795" s="21" t="inlineStr">
        <is>
          <t>34 GUS 938</t>
        </is>
      </c>
      <c r="E4795" s="21" t="inlineStr">
        <is>
          <t>MEHMET KAYA</t>
        </is>
      </c>
      <c r="F4795" s="23" t="n">
        <v>210782</v>
      </c>
      <c r="G4795" s="138" t="n"/>
      <c r="H4795" s="138" t="n">
        <v>368</v>
      </c>
      <c r="I4795" s="138">
        <f>+I4794+(G4795-H4795)</f>
        <v/>
      </c>
      <c r="J4795" s="139" t="n">
        <v>48.286</v>
      </c>
      <c r="K4795" s="140" t="n"/>
      <c r="L4795" s="140">
        <f>+H4795*J4795</f>
        <v/>
      </c>
      <c r="M4795" s="141">
        <f>SUM(M4794+K4795-L4795)</f>
        <v/>
      </c>
    </row>
    <row r="4796">
      <c r="A4796" s="20" t="n">
        <v>45905</v>
      </c>
      <c r="B4796" s="21" t="n">
        <v>1024</v>
      </c>
      <c r="C4796" s="22" t="inlineStr">
        <is>
          <t>SELİM İNŞAAT</t>
        </is>
      </c>
      <c r="D4796" s="21" t="inlineStr">
        <is>
          <t>34 DHH 668</t>
        </is>
      </c>
      <c r="E4796" s="21" t="inlineStr">
        <is>
          <t>ADNAN KOÇ</t>
        </is>
      </c>
      <c r="F4796" s="23" t="n">
        <v>403155</v>
      </c>
      <c r="G4796" s="138" t="n"/>
      <c r="H4796" s="138" t="n">
        <v>318</v>
      </c>
      <c r="I4796" s="138">
        <f>+I4795+(G4796-H4796)</f>
        <v/>
      </c>
      <c r="J4796" s="139" t="n">
        <v>48.286</v>
      </c>
      <c r="K4796" s="140" t="n"/>
      <c r="L4796" s="140">
        <f>+H4796*J4796</f>
        <v/>
      </c>
      <c r="M4796" s="141">
        <f>SUM(M4795+K4796-L4796)</f>
        <v/>
      </c>
    </row>
    <row r="4797">
      <c r="A4797" s="20" t="n">
        <v>45905</v>
      </c>
      <c r="B4797" s="21" t="n">
        <v>1470</v>
      </c>
      <c r="C4797" s="22" t="inlineStr">
        <is>
          <t>SELİM İNŞAAT</t>
        </is>
      </c>
      <c r="D4797" s="21" t="inlineStr">
        <is>
          <t>34 EGR 737</t>
        </is>
      </c>
      <c r="E4797" s="21" t="inlineStr">
        <is>
          <t>CEM MUHTAR</t>
        </is>
      </c>
      <c r="F4797" s="23" t="n">
        <v>436008</v>
      </c>
      <c r="G4797" s="138" t="n"/>
      <c r="H4797" s="138" t="n">
        <v>392</v>
      </c>
      <c r="I4797" s="138">
        <f>+I4796+(G4797-H4797)</f>
        <v/>
      </c>
      <c r="J4797" s="139" t="n">
        <v>48.286</v>
      </c>
      <c r="K4797" s="140" t="n"/>
      <c r="L4797" s="140">
        <f>+H4797*J4797</f>
        <v/>
      </c>
      <c r="M4797" s="141">
        <f>SUM(M4796+K4797-L4797)</f>
        <v/>
      </c>
    </row>
    <row r="4798">
      <c r="A4798" s="20" t="n">
        <v>45905</v>
      </c>
      <c r="B4798" s="21" t="n">
        <v>15342</v>
      </c>
      <c r="C4798" s="22" t="inlineStr">
        <is>
          <t>SELİM İNŞAAT</t>
        </is>
      </c>
      <c r="D4798" s="21" t="inlineStr">
        <is>
          <t>34 EDC 162</t>
        </is>
      </c>
      <c r="E4798" s="21" t="inlineStr">
        <is>
          <t>HÜSEYİN DENİZ</t>
        </is>
      </c>
      <c r="F4798" s="23" t="n">
        <v>387208</v>
      </c>
      <c r="G4798" s="138" t="n"/>
      <c r="H4798" s="138" t="n">
        <v>298</v>
      </c>
      <c r="I4798" s="138">
        <f>+I4797+(G4798-H4798)</f>
        <v/>
      </c>
      <c r="J4798" s="139" t="n">
        <v>48.286</v>
      </c>
      <c r="K4798" s="140" t="n"/>
      <c r="L4798" s="140">
        <f>+H4798*J4798</f>
        <v/>
      </c>
      <c r="M4798" s="141">
        <f>SUM(M4797+K4798-L4798)</f>
        <v/>
      </c>
    </row>
    <row r="4799">
      <c r="A4799" s="20" t="n">
        <v>45905</v>
      </c>
      <c r="B4799" s="21" t="n">
        <v>15549</v>
      </c>
      <c r="C4799" s="22" t="inlineStr">
        <is>
          <t>SELİM İNŞAAT</t>
        </is>
      </c>
      <c r="D4799" s="21" t="inlineStr">
        <is>
          <t>34 EDC 086</t>
        </is>
      </c>
      <c r="E4799" s="21" t="inlineStr">
        <is>
          <t>ÖMER AĞAYAR</t>
        </is>
      </c>
      <c r="F4799" s="23" t="n">
        <v>347705</v>
      </c>
      <c r="G4799" s="138" t="n"/>
      <c r="H4799" s="138" t="n">
        <v>349</v>
      </c>
      <c r="I4799" s="138">
        <f>+I4798+(G4799-H4799)</f>
        <v/>
      </c>
      <c r="J4799" s="139" t="n">
        <v>48.286</v>
      </c>
      <c r="K4799" s="140" t="n"/>
      <c r="L4799" s="140">
        <f>+H4799*J4799</f>
        <v/>
      </c>
      <c r="M4799" s="141">
        <f>SUM(M4798+K4799-L4799)</f>
        <v/>
      </c>
    </row>
    <row r="4800">
      <c r="A4800" s="20" t="n">
        <v>45905</v>
      </c>
      <c r="B4800" s="21" t="n">
        <v>131</v>
      </c>
      <c r="C4800" s="22" t="inlineStr">
        <is>
          <t>SELİM İNŞAAT</t>
        </is>
      </c>
      <c r="D4800" s="21" t="inlineStr">
        <is>
          <t>34 FBR 771</t>
        </is>
      </c>
      <c r="E4800" s="21" t="inlineStr">
        <is>
          <t>HÜSEYİN AKÇİN</t>
        </is>
      </c>
      <c r="F4800" s="23" t="n">
        <v>338769</v>
      </c>
      <c r="G4800" s="138" t="n"/>
      <c r="H4800" s="138" t="n">
        <v>393</v>
      </c>
      <c r="I4800" s="138">
        <f>+I4799+(G4800-H4800)</f>
        <v/>
      </c>
      <c r="J4800" s="139" t="n">
        <v>48.286</v>
      </c>
      <c r="K4800" s="140" t="n"/>
      <c r="L4800" s="140">
        <f>+H4800*J4800</f>
        <v/>
      </c>
      <c r="M4800" s="141">
        <f>SUM(M4799+K4800-L4800)</f>
        <v/>
      </c>
    </row>
    <row r="4801">
      <c r="A4801" s="20" t="n">
        <v>45905</v>
      </c>
      <c r="B4801" s="21" t="n">
        <v>1269</v>
      </c>
      <c r="C4801" s="22" t="inlineStr">
        <is>
          <t>SELİM İNŞAAT</t>
        </is>
      </c>
      <c r="D4801" s="21" t="inlineStr">
        <is>
          <t>34 DSN 621</t>
        </is>
      </c>
      <c r="E4801" s="21" t="inlineStr">
        <is>
          <t>KORAY AK</t>
        </is>
      </c>
      <c r="F4801" s="23" t="n">
        <v>429819</v>
      </c>
      <c r="G4801" s="138" t="n"/>
      <c r="H4801" s="138" t="n">
        <v>476</v>
      </c>
      <c r="I4801" s="138">
        <f>+I4800+(G4801-H4801)</f>
        <v/>
      </c>
      <c r="J4801" s="139" t="n">
        <v>48.286</v>
      </c>
      <c r="K4801" s="140" t="n"/>
      <c r="L4801" s="140">
        <f>+H4801*J4801</f>
        <v/>
      </c>
      <c r="M4801" s="141">
        <f>SUM(M4800+K4801-L4801)</f>
        <v/>
      </c>
    </row>
    <row r="4802">
      <c r="A4802" s="20" t="n">
        <v>45905</v>
      </c>
      <c r="B4802" s="21" t="n">
        <v>1123</v>
      </c>
      <c r="C4802" s="22" t="inlineStr">
        <is>
          <t>SELİM İNŞAAT</t>
        </is>
      </c>
      <c r="D4802" s="21" t="inlineStr">
        <is>
          <t>34 EDB 659</t>
        </is>
      </c>
      <c r="E4802" s="21" t="inlineStr">
        <is>
          <t>MEHMET SAİT ANIK</t>
        </is>
      </c>
      <c r="F4802" s="23" t="n">
        <v>362441</v>
      </c>
      <c r="G4802" s="138" t="n"/>
      <c r="H4802" s="138" t="n">
        <v>357</v>
      </c>
      <c r="I4802" s="138">
        <f>+I4801+(G4802-H4802)</f>
        <v/>
      </c>
      <c r="J4802" s="139" t="n">
        <v>48.286</v>
      </c>
      <c r="K4802" s="140" t="n"/>
      <c r="L4802" s="140">
        <f>+H4802*J4802</f>
        <v/>
      </c>
      <c r="M4802" s="141">
        <f>SUM(M4801+K4802-L4802)</f>
        <v/>
      </c>
    </row>
    <row r="4803">
      <c r="A4803" s="20" t="n">
        <v>45905</v>
      </c>
      <c r="B4803" s="21" t="n">
        <v>1218</v>
      </c>
      <c r="C4803" s="22" t="inlineStr">
        <is>
          <t>SELİM İNŞAAT</t>
        </is>
      </c>
      <c r="D4803" s="21" t="inlineStr">
        <is>
          <t>34 DHC 393</t>
        </is>
      </c>
      <c r="E4803" s="21" t="inlineStr">
        <is>
          <t>ATA KIZMAZ</t>
        </is>
      </c>
      <c r="F4803" s="23" t="n">
        <v>438690</v>
      </c>
      <c r="G4803" s="138" t="n"/>
      <c r="H4803" s="138" t="n">
        <v>455</v>
      </c>
      <c r="I4803" s="138">
        <f>+I4802+(G4803-H4803)</f>
        <v/>
      </c>
      <c r="J4803" s="139" t="n">
        <v>48.286</v>
      </c>
      <c r="K4803" s="140" t="n"/>
      <c r="L4803" s="140">
        <f>+H4803*J4803</f>
        <v/>
      </c>
      <c r="M4803" s="141">
        <f>SUM(M4802+K4803-L4803)</f>
        <v/>
      </c>
    </row>
    <row r="4804">
      <c r="A4804" s="20" t="n">
        <v>45905</v>
      </c>
      <c r="B4804" s="21" t="n">
        <v>2560</v>
      </c>
      <c r="C4804" s="22" t="inlineStr">
        <is>
          <t>SELİM İNŞAAT</t>
        </is>
      </c>
      <c r="D4804" s="21" t="inlineStr">
        <is>
          <t>34 GER 028</t>
        </is>
      </c>
      <c r="E4804" s="21" t="inlineStr">
        <is>
          <t>A.KERİM ERGEN</t>
        </is>
      </c>
      <c r="F4804" s="23" t="n">
        <v>51968</v>
      </c>
      <c r="G4804" s="138" t="n"/>
      <c r="H4804" s="138" t="n">
        <v>243</v>
      </c>
      <c r="I4804" s="138">
        <f>+I4803+(G4804-H4804)</f>
        <v/>
      </c>
      <c r="J4804" s="139" t="n">
        <v>48.286</v>
      </c>
      <c r="K4804" s="140" t="n"/>
      <c r="L4804" s="140">
        <f>+H4804*J4804</f>
        <v/>
      </c>
      <c r="M4804" s="141">
        <f>SUM(M4803+K4804-L4804)</f>
        <v/>
      </c>
    </row>
    <row r="4805">
      <c r="A4805" s="20" t="n">
        <v>45905</v>
      </c>
      <c r="B4805" s="21" t="n">
        <v>15198</v>
      </c>
      <c r="C4805" s="22" t="inlineStr">
        <is>
          <t>SELİM İNŞAAT</t>
        </is>
      </c>
      <c r="D4805" s="21" t="inlineStr">
        <is>
          <t>34 DP 4161</t>
        </is>
      </c>
      <c r="E4805" s="21" t="inlineStr">
        <is>
          <t>RIFAT KARATAY</t>
        </is>
      </c>
      <c r="F4805" s="23" t="n">
        <v>298771</v>
      </c>
      <c r="G4805" s="138" t="n"/>
      <c r="H4805" s="138" t="n">
        <v>242</v>
      </c>
      <c r="I4805" s="138">
        <f>+I4804+(G4805-H4805)</f>
        <v/>
      </c>
      <c r="J4805" s="139" t="n">
        <v>48.286</v>
      </c>
      <c r="K4805" s="140" t="n"/>
      <c r="L4805" s="140">
        <f>+H4805*J4805</f>
        <v/>
      </c>
      <c r="M4805" s="141">
        <f>SUM(M4804+K4805-L4805)</f>
        <v/>
      </c>
    </row>
    <row r="4806">
      <c r="A4806" s="20" t="n">
        <v>45905</v>
      </c>
      <c r="B4806" s="21" t="n">
        <v>1752</v>
      </c>
      <c r="C4806" s="22" t="inlineStr">
        <is>
          <t>SELİM İNŞAAT</t>
        </is>
      </c>
      <c r="D4806" s="21" t="inlineStr">
        <is>
          <t>34 JBA 25</t>
        </is>
      </c>
      <c r="E4806" s="21" t="inlineStr">
        <is>
          <t>ŞERİF KARTAL</t>
        </is>
      </c>
      <c r="F4806" s="23" t="n">
        <v>339485</v>
      </c>
      <c r="G4806" s="138" t="n"/>
      <c r="H4806" s="138" t="n">
        <v>70</v>
      </c>
      <c r="I4806" s="138">
        <f>+I4805+(G4806-H4806)</f>
        <v/>
      </c>
      <c r="J4806" s="139" t="n">
        <v>48.286</v>
      </c>
      <c r="K4806" s="140" t="n"/>
      <c r="L4806" s="140">
        <f>+H4806*J4806</f>
        <v/>
      </c>
      <c r="M4806" s="141">
        <f>SUM(M4805+K4806-L4806)</f>
        <v/>
      </c>
    </row>
    <row r="4807">
      <c r="A4807" s="20" t="n">
        <v>45905</v>
      </c>
      <c r="B4807" s="21" t="n">
        <v>1608</v>
      </c>
      <c r="C4807" s="22" t="inlineStr">
        <is>
          <t>SELİM İNŞAAT</t>
        </is>
      </c>
      <c r="D4807" s="21" t="inlineStr">
        <is>
          <t>34 VF 2620</t>
        </is>
      </c>
      <c r="E4807" s="21" t="inlineStr">
        <is>
          <t>RECEP SELİM</t>
        </is>
      </c>
      <c r="F4807" s="23" t="n">
        <v>193371</v>
      </c>
      <c r="G4807" s="138" t="n"/>
      <c r="H4807" s="138" t="n">
        <v>74</v>
      </c>
      <c r="I4807" s="138">
        <f>+I4806+(G4807-H4807)</f>
        <v/>
      </c>
      <c r="J4807" s="139" t="n">
        <v>48.286</v>
      </c>
      <c r="K4807" s="140" t="n"/>
      <c r="L4807" s="140">
        <f>+H4807*J4807</f>
        <v/>
      </c>
      <c r="M4807" s="141">
        <f>SUM(M4806+K4807-L4807)</f>
        <v/>
      </c>
    </row>
    <row r="4808">
      <c r="A4808" s="20" t="n">
        <v>45905</v>
      </c>
      <c r="B4808" s="21" t="n">
        <v>21349</v>
      </c>
      <c r="C4808" s="22" t="inlineStr">
        <is>
          <t>SELİM İNŞAAT</t>
        </is>
      </c>
      <c r="D4808" s="21" t="inlineStr">
        <is>
          <t>34 FEM 934</t>
        </is>
      </c>
      <c r="E4808" s="21" t="inlineStr">
        <is>
          <t>SELİM CAN ÖNVER</t>
        </is>
      </c>
      <c r="F4808" s="23" t="n">
        <v>318375</v>
      </c>
      <c r="G4808" s="138" t="n"/>
      <c r="H4808" s="138" t="n">
        <v>73</v>
      </c>
      <c r="I4808" s="138">
        <f>+I4807+(G4808-H4808)</f>
        <v/>
      </c>
      <c r="J4808" s="139" t="n">
        <v>48.286</v>
      </c>
      <c r="K4808" s="140" t="n"/>
      <c r="L4808" s="140">
        <f>+H4808*J4808</f>
        <v/>
      </c>
      <c r="M4808" s="141">
        <f>SUM(M4807+K4808-L4808)</f>
        <v/>
      </c>
    </row>
    <row r="4809">
      <c r="A4809" s="20" t="n">
        <v>45905</v>
      </c>
      <c r="B4809" s="21" t="n">
        <v>2220</v>
      </c>
      <c r="C4809" s="22" t="inlineStr">
        <is>
          <t>AZGÜN YAPI</t>
        </is>
      </c>
      <c r="D4809" s="21" t="inlineStr">
        <is>
          <t>34 DTV 263</t>
        </is>
      </c>
      <c r="E4809" s="21" t="inlineStr">
        <is>
          <t>MUHAMMET BULUT</t>
        </is>
      </c>
      <c r="F4809" s="23" t="n"/>
      <c r="G4809" s="138" t="n"/>
      <c r="H4809" s="138" t="n">
        <v>204</v>
      </c>
      <c r="I4809" s="138">
        <f>+I4808+(G4809-H4809)</f>
        <v/>
      </c>
      <c r="J4809" s="139" t="n">
        <v>48.286</v>
      </c>
      <c r="K4809" s="140" t="n"/>
      <c r="L4809" s="140">
        <f>+H4809*J4809</f>
        <v/>
      </c>
      <c r="M4809" s="141">
        <f>SUM(M4808+K4809-L4809)</f>
        <v/>
      </c>
    </row>
    <row r="4810">
      <c r="A4810" s="20" t="n">
        <v>45905</v>
      </c>
      <c r="B4810" s="21" t="n">
        <v>1353</v>
      </c>
      <c r="C4810" s="22" t="inlineStr">
        <is>
          <t>AZGÜN YAPI</t>
        </is>
      </c>
      <c r="D4810" s="21" t="inlineStr">
        <is>
          <t>34 MKT 859</t>
        </is>
      </c>
      <c r="E4810" s="21" t="inlineStr">
        <is>
          <t>ONUR CANLI</t>
        </is>
      </c>
      <c r="F4810" s="23" t="n"/>
      <c r="G4810" s="138" t="n"/>
      <c r="H4810" s="138" t="n">
        <v>349</v>
      </c>
      <c r="I4810" s="138">
        <f>+I4809+(G4810-H4810)</f>
        <v/>
      </c>
      <c r="J4810" s="139" t="n">
        <v>48.286</v>
      </c>
      <c r="K4810" s="140" t="n"/>
      <c r="L4810" s="140">
        <f>+H4810*J4810</f>
        <v/>
      </c>
      <c r="M4810" s="141">
        <f>SUM(M4809+K4810-L4810)</f>
        <v/>
      </c>
    </row>
    <row r="4811">
      <c r="A4811" s="20" t="n">
        <v>45905</v>
      </c>
      <c r="B4811" s="21" t="n">
        <v>15646</v>
      </c>
      <c r="C4811" s="22" t="inlineStr">
        <is>
          <t>METİN ERYİĞİT</t>
        </is>
      </c>
      <c r="D4811" s="21" t="inlineStr">
        <is>
          <t>34 EGS 013</t>
        </is>
      </c>
      <c r="E4811" s="21" t="inlineStr">
        <is>
          <t xml:space="preserve">UĞUR DUMAN </t>
        </is>
      </c>
      <c r="F4811" s="23" t="n">
        <v>512452</v>
      </c>
      <c r="G4811" s="138" t="n"/>
      <c r="H4811" s="138" t="n">
        <v>457</v>
      </c>
      <c r="I4811" s="138">
        <f>+I4810+(G4811-H4811)</f>
        <v/>
      </c>
      <c r="J4811" s="139" t="n">
        <v>48.286</v>
      </c>
      <c r="K4811" s="140" t="n"/>
      <c r="L4811" s="140">
        <f>+H4811*J4811</f>
        <v/>
      </c>
      <c r="M4811" s="141">
        <f>SUM(M4810+K4811-L4811)</f>
        <v/>
      </c>
    </row>
    <row r="4812">
      <c r="A4812" s="20" t="n">
        <v>45905</v>
      </c>
      <c r="B4812" s="21" t="n">
        <v>15701</v>
      </c>
      <c r="C4812" s="22" t="inlineStr">
        <is>
          <t>METİN ERYİĞİT</t>
        </is>
      </c>
      <c r="D4812" s="21" t="inlineStr">
        <is>
          <t>34 EGR 814</t>
        </is>
      </c>
      <c r="E4812" s="21" t="inlineStr">
        <is>
          <t>MUHAMMET YİĞİT</t>
        </is>
      </c>
      <c r="F4812" s="23" t="n">
        <v>566701</v>
      </c>
      <c r="G4812" s="138" t="n"/>
      <c r="H4812" s="138" t="n">
        <v>425</v>
      </c>
      <c r="I4812" s="138">
        <f>+I4811+(G4812-H4812)</f>
        <v/>
      </c>
      <c r="J4812" s="139" t="n">
        <v>48.286</v>
      </c>
      <c r="K4812" s="140" t="n"/>
      <c r="L4812" s="140">
        <f>+H4812*J4812</f>
        <v/>
      </c>
      <c r="M4812" s="141">
        <f>SUM(M4811+K4812-L4812)</f>
        <v/>
      </c>
    </row>
    <row r="4813">
      <c r="A4813" s="20" t="n">
        <v>45905</v>
      </c>
      <c r="B4813" s="21" t="n">
        <v>1925</v>
      </c>
      <c r="C4813" s="22" t="inlineStr">
        <is>
          <t>MAHMUT VİNÇ</t>
        </is>
      </c>
      <c r="D4813" s="21" t="inlineStr">
        <is>
          <t>34 AH 5401</t>
        </is>
      </c>
      <c r="E4813" s="21" t="inlineStr">
        <is>
          <t>YASİN DEMİR</t>
        </is>
      </c>
      <c r="F4813" s="23" t="n"/>
      <c r="G4813" s="138" t="n"/>
      <c r="H4813" s="138" t="n">
        <v>71</v>
      </c>
      <c r="I4813" s="138">
        <f>+I4812+(G4813-H4813)</f>
        <v/>
      </c>
      <c r="J4813" s="139" t="n">
        <v>48.286</v>
      </c>
      <c r="K4813" s="140" t="n"/>
      <c r="L4813" s="140">
        <f>+H4813*J4813</f>
        <v/>
      </c>
      <c r="M4813" s="141">
        <f>SUM(M4812+K4813-L4813)</f>
        <v/>
      </c>
    </row>
    <row r="4814">
      <c r="A4814" s="20" t="n">
        <v>45905</v>
      </c>
      <c r="B4814" s="21" t="n">
        <v>2166</v>
      </c>
      <c r="C4814" s="22" t="inlineStr">
        <is>
          <t>MEGA VARLIK</t>
        </is>
      </c>
      <c r="D4814" s="21" t="inlineStr">
        <is>
          <t xml:space="preserve">SM 300 </t>
        </is>
      </c>
      <c r="E4814" s="21" t="inlineStr">
        <is>
          <t>MEHMET ALİ</t>
        </is>
      </c>
      <c r="F4814" s="23" t="n"/>
      <c r="G4814" s="138" t="n"/>
      <c r="H4814" s="138" t="n">
        <v>564</v>
      </c>
      <c r="I4814" s="138">
        <f>+I4813+(G4814-H4814)</f>
        <v/>
      </c>
      <c r="J4814" s="139" t="n">
        <v>48.286</v>
      </c>
      <c r="K4814" s="140" t="n"/>
      <c r="L4814" s="140">
        <f>+H4814*J4814</f>
        <v/>
      </c>
      <c r="M4814" s="141">
        <f>SUM(M4813+K4814-L4814)</f>
        <v/>
      </c>
    </row>
    <row r="4815">
      <c r="A4815" s="20" t="n">
        <v>45905</v>
      </c>
      <c r="B4815" s="21" t="n">
        <v>2167</v>
      </c>
      <c r="C4815" s="22" t="inlineStr">
        <is>
          <t>VARLIK</t>
        </is>
      </c>
      <c r="D4815" s="1" t="inlineStr">
        <is>
          <t>HİTACİ</t>
        </is>
      </c>
      <c r="E4815" s="1" t="inlineStr">
        <is>
          <t>TURGUT SANCAK</t>
        </is>
      </c>
      <c r="F4815" s="23" t="n"/>
      <c r="G4815" s="138" t="n"/>
      <c r="H4815" s="138" t="n">
        <v>393</v>
      </c>
      <c r="I4815" s="138">
        <f>+I4814+(G4815-H4815)</f>
        <v/>
      </c>
      <c r="J4815" s="139" t="n">
        <v>48.286</v>
      </c>
      <c r="K4815" s="140" t="n"/>
      <c r="L4815" s="140">
        <f>+H4815*J4815</f>
        <v/>
      </c>
      <c r="M4815" s="141">
        <f>SUM(M4814+K4815-L4815)</f>
        <v/>
      </c>
    </row>
    <row r="4816">
      <c r="A4816" s="20" t="n">
        <v>45905</v>
      </c>
      <c r="B4816" s="21" t="n">
        <v>2168</v>
      </c>
      <c r="C4816" s="22" t="inlineStr">
        <is>
          <t>HASALTUN</t>
        </is>
      </c>
      <c r="D4816" s="21" t="inlineStr">
        <is>
          <t>SM 350</t>
        </is>
      </c>
      <c r="E4816" s="21" t="inlineStr">
        <is>
          <t>AHMET AKGÜL</t>
        </is>
      </c>
      <c r="F4816" s="23" t="n"/>
      <c r="G4816" s="138" t="n"/>
      <c r="H4816" s="138" t="n">
        <v>371</v>
      </c>
      <c r="I4816" s="138">
        <f>+I4815+(G4816-H4816)</f>
        <v/>
      </c>
      <c r="J4816" s="139" t="n">
        <v>48.286</v>
      </c>
      <c r="K4816" s="140" t="n"/>
      <c r="L4816" s="140">
        <f>+H4816*J4816</f>
        <v/>
      </c>
      <c r="M4816" s="141">
        <f>SUM(M4815+K4816-L4816)</f>
        <v/>
      </c>
    </row>
    <row r="4817">
      <c r="A4817" s="20" t="n">
        <v>45905</v>
      </c>
      <c r="B4817" s="21" t="n">
        <v>2169</v>
      </c>
      <c r="C4817" s="22" t="inlineStr">
        <is>
          <t>MEGA VARLIK</t>
        </is>
      </c>
      <c r="D4817" s="21" t="inlineStr">
        <is>
          <t xml:space="preserve">SM 370 </t>
        </is>
      </c>
      <c r="E4817" s="21" t="inlineStr">
        <is>
          <t>ÖZKAN</t>
        </is>
      </c>
      <c r="F4817" s="23" t="n"/>
      <c r="G4817" s="138" t="n"/>
      <c r="H4817" s="138" t="n">
        <v>468</v>
      </c>
      <c r="I4817" s="138">
        <f>+I4816+(G4817-H4817)</f>
        <v/>
      </c>
      <c r="J4817" s="139" t="n">
        <v>48.286</v>
      </c>
      <c r="K4817" s="140" t="n"/>
      <c r="L4817" s="140">
        <f>+H4817*J4817</f>
        <v/>
      </c>
      <c r="M4817" s="141">
        <f>SUM(M4816+K4817-L4817)</f>
        <v/>
      </c>
    </row>
    <row r="4818">
      <c r="A4818" s="20" t="n">
        <v>45906</v>
      </c>
      <c r="B4818" s="21" t="n">
        <v>15278</v>
      </c>
      <c r="C4818" s="22" t="inlineStr">
        <is>
          <t>SELİM İNŞAAT</t>
        </is>
      </c>
      <c r="D4818" s="21" t="inlineStr">
        <is>
          <t>34 DTV 447</t>
        </is>
      </c>
      <c r="E4818" s="21" t="inlineStr">
        <is>
          <t>SALİH YALÇIN</t>
        </is>
      </c>
      <c r="F4818" s="23" t="n">
        <v>444210</v>
      </c>
      <c r="G4818" s="138" t="n"/>
      <c r="H4818" s="138" t="n">
        <v>396</v>
      </c>
      <c r="I4818" s="138">
        <f>+I4817+(G4818-H4818)</f>
        <v/>
      </c>
      <c r="J4818" s="139" t="n">
        <v>48.286</v>
      </c>
      <c r="K4818" s="140" t="n"/>
      <c r="L4818" s="140">
        <f>+H4818*J4818</f>
        <v/>
      </c>
      <c r="M4818" s="141">
        <f>SUM(M4817+K4818-L4818)</f>
        <v/>
      </c>
    </row>
    <row r="4819">
      <c r="A4819" s="20" t="n">
        <v>45906</v>
      </c>
      <c r="B4819" s="21" t="n">
        <v>869</v>
      </c>
      <c r="C4819" s="22" t="inlineStr">
        <is>
          <t>SELİM İNŞAAT</t>
        </is>
      </c>
      <c r="D4819" s="21" t="inlineStr">
        <is>
          <t>34 FSG 229</t>
        </is>
      </c>
      <c r="E4819" s="21" t="inlineStr">
        <is>
          <t>SİNAN TANRIVERDİ</t>
        </is>
      </c>
      <c r="F4819" s="23" t="n">
        <v>276209</v>
      </c>
      <c r="G4819" s="138" t="n"/>
      <c r="H4819" s="138" t="n">
        <v>340</v>
      </c>
      <c r="I4819" s="138">
        <f>+I4818+(G4819-H4819)</f>
        <v/>
      </c>
      <c r="J4819" s="139" t="n">
        <v>48.286</v>
      </c>
      <c r="K4819" s="140" t="n"/>
      <c r="L4819" s="140">
        <f>+H4819*J4819</f>
        <v/>
      </c>
      <c r="M4819" s="141">
        <f>SUM(M4818+K4819-L4819)</f>
        <v/>
      </c>
    </row>
    <row r="4820">
      <c r="A4820" s="20" t="n">
        <v>45906</v>
      </c>
      <c r="B4820" s="21" t="n">
        <v>38</v>
      </c>
      <c r="C4820" s="22" t="inlineStr">
        <is>
          <t>SELİM İNŞAAT</t>
        </is>
      </c>
      <c r="D4820" s="21" t="inlineStr">
        <is>
          <t>34 FBR 748</t>
        </is>
      </c>
      <c r="E4820" s="21" t="inlineStr">
        <is>
          <t>YAŞAR ÖZKAYA</t>
        </is>
      </c>
      <c r="F4820" s="23" t="n">
        <v>303416</v>
      </c>
      <c r="G4820" s="138" t="n"/>
      <c r="H4820" s="138" t="n">
        <v>492</v>
      </c>
      <c r="I4820" s="138">
        <f>+I4819+(G4820-H4820)</f>
        <v/>
      </c>
      <c r="J4820" s="139" t="n">
        <v>48.286</v>
      </c>
      <c r="K4820" s="140" t="n"/>
      <c r="L4820" s="140">
        <f>+H4820*J4820</f>
        <v/>
      </c>
      <c r="M4820" s="141">
        <f>SUM(M4819+K4820-L4820)</f>
        <v/>
      </c>
    </row>
    <row r="4821">
      <c r="A4821" s="20" t="n">
        <v>45906</v>
      </c>
      <c r="B4821" s="21" t="n">
        <v>2805</v>
      </c>
      <c r="C4821" s="22" t="inlineStr">
        <is>
          <t>SELİM İNŞAAT</t>
        </is>
      </c>
      <c r="D4821" s="21" t="inlineStr">
        <is>
          <t>34 GVZ 745</t>
        </is>
      </c>
      <c r="E4821" s="21" t="inlineStr">
        <is>
          <t>MURAT DEMİRBAŞ</t>
        </is>
      </c>
      <c r="F4821" s="23" t="n">
        <v>208790</v>
      </c>
      <c r="G4821" s="138" t="n"/>
      <c r="H4821" s="138" t="n">
        <v>396</v>
      </c>
      <c r="I4821" s="138">
        <f>+I4820+(G4821-H4821)</f>
        <v/>
      </c>
      <c r="J4821" s="139" t="n">
        <v>48.286</v>
      </c>
      <c r="K4821" s="140" t="n"/>
      <c r="L4821" s="140">
        <f>+H4821*J4821</f>
        <v/>
      </c>
      <c r="M4821" s="141">
        <f>SUM(M4820+K4821-L4821)</f>
        <v/>
      </c>
    </row>
    <row r="4822">
      <c r="A4822" s="20" t="n">
        <v>45906</v>
      </c>
      <c r="B4822" s="21" t="n">
        <v>2655</v>
      </c>
      <c r="C4822" s="22" t="inlineStr">
        <is>
          <t>SELİM İNŞAAT</t>
        </is>
      </c>
      <c r="D4822" s="21" t="inlineStr">
        <is>
          <t>34 DHC 467</t>
        </is>
      </c>
      <c r="E4822" s="21" t="inlineStr">
        <is>
          <t>SEZGİN KOCAGİL</t>
        </is>
      </c>
      <c r="F4822" s="23" t="n">
        <v>420330</v>
      </c>
      <c r="G4822" s="138" t="n"/>
      <c r="H4822" s="138" t="n">
        <v>544</v>
      </c>
      <c r="I4822" s="138">
        <f>+I4821+(G4822-H4822)</f>
        <v/>
      </c>
      <c r="J4822" s="139" t="n">
        <v>48.286</v>
      </c>
      <c r="K4822" s="140" t="n"/>
      <c r="L4822" s="140">
        <f>+H4822*J4822</f>
        <v/>
      </c>
      <c r="M4822" s="141">
        <f>SUM(M4821+K4822-L4822)</f>
        <v/>
      </c>
    </row>
    <row r="4823">
      <c r="A4823" s="20" t="n">
        <v>45906</v>
      </c>
      <c r="B4823" s="21" t="n">
        <v>15993</v>
      </c>
      <c r="C4823" s="22" t="inlineStr">
        <is>
          <t>SELİM İNŞAAT</t>
        </is>
      </c>
      <c r="D4823" s="21" t="inlineStr">
        <is>
          <t>34 FBR 781</t>
        </is>
      </c>
      <c r="E4823" s="21" t="inlineStr">
        <is>
          <t>MEVLÜT POLAT</t>
        </is>
      </c>
      <c r="F4823" s="23" t="n">
        <v>328069</v>
      </c>
      <c r="G4823" s="138" t="n"/>
      <c r="H4823" s="138" t="n">
        <v>432</v>
      </c>
      <c r="I4823" s="138">
        <f>+I4822+(G4823-H4823)</f>
        <v/>
      </c>
      <c r="J4823" s="139" t="n">
        <v>48.286</v>
      </c>
      <c r="K4823" s="140" t="n"/>
      <c r="L4823" s="140">
        <f>+H4823*J4823</f>
        <v/>
      </c>
      <c r="M4823" s="141">
        <f>SUM(M4822+K4823-L4823)</f>
        <v/>
      </c>
    </row>
    <row r="4824">
      <c r="A4824" s="20" t="n">
        <v>45906</v>
      </c>
      <c r="B4824" s="21" t="n">
        <v>2253</v>
      </c>
      <c r="C4824" s="22" t="inlineStr">
        <is>
          <t>SELİM İNŞAAT</t>
        </is>
      </c>
      <c r="D4824" s="21" t="inlineStr">
        <is>
          <t>34 DSN 636</t>
        </is>
      </c>
      <c r="E4824" s="21" t="inlineStr">
        <is>
          <t>MAHSUN GÜVEN</t>
        </is>
      </c>
      <c r="F4824" s="23" t="n">
        <v>407688</v>
      </c>
      <c r="G4824" s="138" t="n"/>
      <c r="H4824" s="138" t="n">
        <v>338</v>
      </c>
      <c r="I4824" s="138">
        <f>+I4823+(G4824-H4824)</f>
        <v/>
      </c>
      <c r="J4824" s="139" t="n">
        <v>48.286</v>
      </c>
      <c r="K4824" s="140" t="n"/>
      <c r="L4824" s="140">
        <f>+H4824*J4824</f>
        <v/>
      </c>
      <c r="M4824" s="141">
        <f>SUM(M4823+K4824-L4824)</f>
        <v/>
      </c>
    </row>
    <row r="4825">
      <c r="A4825" s="20" t="n">
        <v>45906</v>
      </c>
      <c r="B4825" s="21" t="n">
        <v>1304</v>
      </c>
      <c r="C4825" s="22" t="inlineStr">
        <is>
          <t>SELİM İNŞAAT</t>
        </is>
      </c>
      <c r="D4825" s="21" t="inlineStr">
        <is>
          <t>34 GVZ 199</t>
        </is>
      </c>
      <c r="E4825" s="21" t="inlineStr">
        <is>
          <t>ATA KIZMAZ</t>
        </is>
      </c>
      <c r="F4825" s="23" t="n">
        <v>201577</v>
      </c>
      <c r="G4825" s="138" t="n"/>
      <c r="H4825" s="138" t="n">
        <v>455</v>
      </c>
      <c r="I4825" s="138">
        <f>+I4824+(G4825-H4825)</f>
        <v/>
      </c>
      <c r="J4825" s="139" t="n">
        <v>48.286</v>
      </c>
      <c r="K4825" s="140" t="n"/>
      <c r="L4825" s="140">
        <f>+H4825*J4825</f>
        <v/>
      </c>
      <c r="M4825" s="141">
        <f>SUM(M4824+K4825-L4825)</f>
        <v/>
      </c>
    </row>
    <row r="4826">
      <c r="A4826" s="20" t="n">
        <v>45906</v>
      </c>
      <c r="B4826" s="21" t="n">
        <v>15949</v>
      </c>
      <c r="C4826" s="22" t="inlineStr">
        <is>
          <t>SELİM İNŞAAT</t>
        </is>
      </c>
      <c r="D4826" s="21" t="inlineStr">
        <is>
          <t>34 DFE 454</t>
        </is>
      </c>
      <c r="E4826" s="21" t="inlineStr">
        <is>
          <t>HÜSEYİN ALIN</t>
        </is>
      </c>
      <c r="F4826" s="23" t="n">
        <v>166691</v>
      </c>
      <c r="G4826" s="138" t="n"/>
      <c r="H4826" s="138" t="n">
        <v>243</v>
      </c>
      <c r="I4826" s="138">
        <f>+I4825+(G4826-H4826)</f>
        <v/>
      </c>
      <c r="J4826" s="139" t="n">
        <v>48.286</v>
      </c>
      <c r="K4826" s="140" t="n"/>
      <c r="L4826" s="140">
        <f>+H4826*J4826</f>
        <v/>
      </c>
      <c r="M4826" s="141">
        <f>SUM(M4825+K4826-L4826)</f>
        <v/>
      </c>
    </row>
    <row r="4827">
      <c r="A4827" s="20" t="n">
        <v>45906</v>
      </c>
      <c r="B4827" s="21" t="n">
        <v>1415</v>
      </c>
      <c r="C4827" s="22" t="inlineStr">
        <is>
          <t>SELİM İNŞAAT</t>
        </is>
      </c>
      <c r="D4827" s="21" t="inlineStr">
        <is>
          <t>34 DKL 798</t>
        </is>
      </c>
      <c r="E4827" s="21" t="inlineStr">
        <is>
          <t>METİN KALKAN</t>
        </is>
      </c>
      <c r="F4827" s="23" t="n">
        <v>72646</v>
      </c>
      <c r="G4827" s="138" t="n"/>
      <c r="H4827" s="138" t="n">
        <v>150</v>
      </c>
      <c r="I4827" s="138">
        <f>+I4826+(G4827-H4827)</f>
        <v/>
      </c>
      <c r="J4827" s="139" t="n">
        <v>48.286</v>
      </c>
      <c r="K4827" s="140" t="n"/>
      <c r="L4827" s="140">
        <f>+H4827*J4827</f>
        <v/>
      </c>
      <c r="M4827" s="141">
        <f>SUM(M4826+K4827-L4827)</f>
        <v/>
      </c>
    </row>
    <row r="4828">
      <c r="A4828" s="20" t="n">
        <v>45906</v>
      </c>
      <c r="B4828" s="21" t="n">
        <v>268</v>
      </c>
      <c r="C4828" s="22" t="inlineStr">
        <is>
          <t>SELİM İNŞAAT</t>
        </is>
      </c>
      <c r="D4828" s="21" t="inlineStr">
        <is>
          <t>34 GER 445</t>
        </is>
      </c>
      <c r="E4828" s="21" t="inlineStr">
        <is>
          <t>HÜSEYİN ÖZKOÇAK</t>
        </is>
      </c>
      <c r="F4828" s="23" t="n">
        <v>49831</v>
      </c>
      <c r="G4828" s="138" t="n"/>
      <c r="H4828" s="138" t="n">
        <v>194</v>
      </c>
      <c r="I4828" s="138">
        <f>+I4827+(G4828-H4828)</f>
        <v/>
      </c>
      <c r="J4828" s="139" t="n">
        <v>48.286</v>
      </c>
      <c r="K4828" s="140" t="n"/>
      <c r="L4828" s="140">
        <f>+H4828*J4828</f>
        <v/>
      </c>
      <c r="M4828" s="141">
        <f>SUM(M4827+K4828-L4828)</f>
        <v/>
      </c>
    </row>
    <row r="4829">
      <c r="A4829" s="20" t="n">
        <v>45906</v>
      </c>
      <c r="B4829" s="21" t="n">
        <v>618</v>
      </c>
      <c r="C4829" s="22" t="inlineStr">
        <is>
          <t>SELİM İNŞAAT</t>
        </is>
      </c>
      <c r="D4829" s="21" t="inlineStr">
        <is>
          <t>34 AR 7743</t>
        </is>
      </c>
      <c r="E4829" s="21" t="inlineStr">
        <is>
          <t>MEHMET SELİM</t>
        </is>
      </c>
      <c r="F4829" s="23" t="n">
        <v>362310</v>
      </c>
      <c r="G4829" s="138" t="n"/>
      <c r="H4829" s="138" t="n">
        <v>59</v>
      </c>
      <c r="I4829" s="138">
        <f>+I4828+(G4829-H4829)</f>
        <v/>
      </c>
      <c r="J4829" s="139" t="n">
        <v>48.286</v>
      </c>
      <c r="K4829" s="140" t="n"/>
      <c r="L4829" s="140">
        <f>+H4829*J4829</f>
        <v/>
      </c>
      <c r="M4829" s="141">
        <f>SUM(M4828+K4829-L4829)</f>
        <v/>
      </c>
    </row>
    <row r="4830">
      <c r="A4830" s="20" t="n">
        <v>45906</v>
      </c>
      <c r="B4830" s="21" t="n">
        <v>11395</v>
      </c>
      <c r="C4830" s="22" t="inlineStr">
        <is>
          <t>AZGÜN YAPI</t>
        </is>
      </c>
      <c r="D4830" s="21" t="inlineStr">
        <is>
          <t>34 MKT 593</t>
        </is>
      </c>
      <c r="E4830" s="21" t="inlineStr">
        <is>
          <t>MESUT GÜRLER</t>
        </is>
      </c>
      <c r="F4830" s="23" t="n"/>
      <c r="G4830" s="138" t="n"/>
      <c r="H4830" s="138" t="n">
        <v>466</v>
      </c>
      <c r="I4830" s="138">
        <f>+I4829+(G4830-H4830)</f>
        <v/>
      </c>
      <c r="J4830" s="139" t="n">
        <v>48.286</v>
      </c>
      <c r="K4830" s="140" t="n"/>
      <c r="L4830" s="140">
        <f>+H4830*J4830</f>
        <v/>
      </c>
      <c r="M4830" s="141">
        <f>SUM(M4829+K4830-L4830)</f>
        <v/>
      </c>
    </row>
    <row r="4831">
      <c r="A4831" s="20" t="n">
        <v>45906</v>
      </c>
      <c r="B4831" s="21" t="n">
        <v>2221</v>
      </c>
      <c r="C4831" s="22" t="inlineStr">
        <is>
          <t>AZGÜN YAPI</t>
        </is>
      </c>
      <c r="D4831" s="21" t="inlineStr">
        <is>
          <t>34 DTV 263</t>
        </is>
      </c>
      <c r="E4831" s="21" t="inlineStr">
        <is>
          <t>MUHAMMET BULUT</t>
        </is>
      </c>
      <c r="F4831" s="23" t="n"/>
      <c r="G4831" s="138" t="n"/>
      <c r="H4831" s="138" t="n">
        <v>300</v>
      </c>
      <c r="I4831" s="138">
        <f>+I4830+(G4831-H4831)</f>
        <v/>
      </c>
      <c r="J4831" s="139" t="n">
        <v>48.286</v>
      </c>
      <c r="K4831" s="140" t="n"/>
      <c r="L4831" s="140">
        <f>+H4831*J4831</f>
        <v/>
      </c>
      <c r="M4831" s="141">
        <f>SUM(M4830+K4831-L4831)</f>
        <v/>
      </c>
    </row>
    <row r="4832">
      <c r="A4832" s="20" t="n">
        <v>45906</v>
      </c>
      <c r="B4832" s="21" t="n">
        <v>730</v>
      </c>
      <c r="C4832" s="22" t="inlineStr">
        <is>
          <t>METİN ERYİĞİT</t>
        </is>
      </c>
      <c r="D4832" s="21" t="inlineStr">
        <is>
          <t>34 GBL 998</t>
        </is>
      </c>
      <c r="E4832" s="21" t="inlineStr">
        <is>
          <t>ALİ KESKİN</t>
        </is>
      </c>
      <c r="F4832" s="23" t="n">
        <v>293304</v>
      </c>
      <c r="G4832" s="138" t="n"/>
      <c r="H4832" s="138" t="n">
        <v>383</v>
      </c>
      <c r="I4832" s="138">
        <f>+I4831+(G4832-H4832)</f>
        <v/>
      </c>
      <c r="J4832" s="139" t="n">
        <v>48.286</v>
      </c>
      <c r="K4832" s="140" t="n"/>
      <c r="L4832" s="140">
        <f>+H4832*J4832</f>
        <v/>
      </c>
      <c r="M4832" s="141">
        <f>SUM(M4831+K4832-L4832)</f>
        <v/>
      </c>
    </row>
    <row r="4833">
      <c r="A4833" s="20" t="n">
        <v>45906</v>
      </c>
      <c r="B4833" s="21" t="n">
        <v>1923</v>
      </c>
      <c r="C4833" s="22" t="inlineStr">
        <is>
          <t>SELİM OTO KURTARICI</t>
        </is>
      </c>
      <c r="D4833" s="21" t="inlineStr">
        <is>
          <t>34 GC 8658</t>
        </is>
      </c>
      <c r="E4833" s="21" t="inlineStr">
        <is>
          <t>RECEP SELİM</t>
        </is>
      </c>
      <c r="F4833" s="23" t="n"/>
      <c r="G4833" s="138" t="n"/>
      <c r="H4833" s="138" t="n">
        <v>65</v>
      </c>
      <c r="I4833" s="138">
        <f>+I4832+(G4833-H4833)</f>
        <v/>
      </c>
      <c r="J4833" s="139" t="n">
        <v>48.286</v>
      </c>
      <c r="K4833" s="140" t="n"/>
      <c r="L4833" s="140">
        <f>+H4833*J4833</f>
        <v/>
      </c>
      <c r="M4833" s="141">
        <f>SUM(M4832+K4833-L4833)</f>
        <v/>
      </c>
    </row>
    <row r="4834">
      <c r="A4834" s="20" t="n">
        <v>45906</v>
      </c>
      <c r="B4834" s="21" t="n">
        <v>2170</v>
      </c>
      <c r="C4834" s="22" t="inlineStr">
        <is>
          <t>MEGA VARLIK</t>
        </is>
      </c>
      <c r="D4834" s="21" t="inlineStr">
        <is>
          <t>SM 350</t>
        </is>
      </c>
      <c r="E4834" s="21" t="inlineStr">
        <is>
          <t>TEVFİK</t>
        </is>
      </c>
      <c r="F4834" s="23" t="n"/>
      <c r="G4834" s="138" t="n"/>
      <c r="H4834" s="138" t="n">
        <v>296</v>
      </c>
      <c r="I4834" s="138">
        <f>+I4833+(G4834-H4834)</f>
        <v/>
      </c>
      <c r="J4834" s="139" t="n">
        <v>48.286</v>
      </c>
      <c r="K4834" s="140" t="n"/>
      <c r="L4834" s="140">
        <f>+H4834*J4834</f>
        <v/>
      </c>
      <c r="M4834" s="141">
        <f>SUM(M4833+K4834-L4834)</f>
        <v/>
      </c>
    </row>
    <row r="4835">
      <c r="A4835" s="20" t="n">
        <v>45906</v>
      </c>
      <c r="B4835" s="21" t="n">
        <v>2171</v>
      </c>
      <c r="C4835" s="22" t="inlineStr">
        <is>
          <t>MEGA VARLIK</t>
        </is>
      </c>
      <c r="D4835" s="1" t="inlineStr">
        <is>
          <t>HİTACİ</t>
        </is>
      </c>
      <c r="E4835" s="1" t="inlineStr">
        <is>
          <t>TURGUT SANCAK</t>
        </is>
      </c>
      <c r="F4835" s="23" t="n"/>
      <c r="G4835" s="138" t="n"/>
      <c r="H4835" s="138" t="n">
        <v>463</v>
      </c>
      <c r="I4835" s="138">
        <f>+I4834+(G4835-H4835)</f>
        <v/>
      </c>
      <c r="J4835" s="139" t="n">
        <v>48.286</v>
      </c>
      <c r="K4835" s="140" t="n"/>
      <c r="L4835" s="140">
        <f>+H4835*J4835</f>
        <v/>
      </c>
      <c r="M4835" s="141">
        <f>SUM(M4834+K4835-L4835)</f>
        <v/>
      </c>
    </row>
    <row r="4836">
      <c r="A4836" s="20" t="n">
        <v>45906</v>
      </c>
      <c r="B4836" s="21" t="n">
        <v>2172</v>
      </c>
      <c r="C4836" s="22" t="inlineStr">
        <is>
          <t>HASALTUN</t>
        </is>
      </c>
      <c r="D4836" s="21" t="inlineStr">
        <is>
          <t>SM 350</t>
        </is>
      </c>
      <c r="E4836" s="21" t="inlineStr">
        <is>
          <t>TEKİN</t>
        </is>
      </c>
      <c r="F4836" s="23" t="n"/>
      <c r="G4836" s="138" t="n"/>
      <c r="H4836" s="138" t="n">
        <v>193</v>
      </c>
      <c r="I4836" s="138">
        <f>+I4835+(G4836-H4836)</f>
        <v/>
      </c>
      <c r="J4836" s="139" t="n">
        <v>48.286</v>
      </c>
      <c r="K4836" s="140" t="n"/>
      <c r="L4836" s="140">
        <f>+H4836*J4836</f>
        <v/>
      </c>
      <c r="M4836" s="141">
        <f>SUM(M4835+K4836-L4836)</f>
        <v/>
      </c>
    </row>
    <row r="4837">
      <c r="A4837" s="20" t="n">
        <v>45907</v>
      </c>
      <c r="B4837" s="21" t="n">
        <v>15199</v>
      </c>
      <c r="C4837" s="22" t="inlineStr">
        <is>
          <t>SELİM İNŞAAT</t>
        </is>
      </c>
      <c r="D4837" s="21" t="inlineStr">
        <is>
          <t>34 DP 4161</t>
        </is>
      </c>
      <c r="E4837" s="21" t="inlineStr">
        <is>
          <t>RIFAT KARATAY</t>
        </is>
      </c>
      <c r="F4837" s="23" t="n">
        <v>299129</v>
      </c>
      <c r="G4837" s="138" t="n"/>
      <c r="H4837" s="138" t="n">
        <v>228</v>
      </c>
      <c r="I4837" s="138">
        <f>+I4836+(G4837-H4837)</f>
        <v/>
      </c>
      <c r="J4837" s="139" t="n">
        <v>48.286</v>
      </c>
      <c r="K4837" s="140" t="n"/>
      <c r="L4837" s="140">
        <f>+H4837*J4837</f>
        <v/>
      </c>
      <c r="M4837" s="141">
        <f>SUM(M4836+K4837-L4837)</f>
        <v/>
      </c>
    </row>
    <row r="4838">
      <c r="A4838" s="20" t="n">
        <v>45908</v>
      </c>
      <c r="B4838" s="21" t="n">
        <v>1257</v>
      </c>
      <c r="C4838" s="22" t="inlineStr">
        <is>
          <t>ÜNSOY TURİZM İNŞ.SAN.VE TİC.A.Ş.</t>
        </is>
      </c>
      <c r="D4838" s="21" t="n"/>
      <c r="E4838" s="21" t="n"/>
      <c r="F4838" s="23" t="n"/>
      <c r="G4838" s="138" t="n">
        <v>32211</v>
      </c>
      <c r="H4838" s="138" t="n"/>
      <c r="I4838" s="138">
        <f>+I4837+(G4838-H4838)</f>
        <v/>
      </c>
      <c r="J4838" s="139">
        <f>+K4838/G4838</f>
        <v/>
      </c>
      <c r="K4838" s="140" t="n">
        <v>1507796.9</v>
      </c>
      <c r="L4838" s="140">
        <f>+H4838*J4838</f>
        <v/>
      </c>
      <c r="M4838" s="141">
        <f>SUM(M4837+K4838-L4838)</f>
        <v/>
      </c>
    </row>
    <row r="4839">
      <c r="A4839" s="20" t="n">
        <v>45908</v>
      </c>
      <c r="B4839" s="21" t="n">
        <v>15232</v>
      </c>
      <c r="C4839" s="22" t="inlineStr">
        <is>
          <t>SELİM İNŞAAT</t>
        </is>
      </c>
      <c r="D4839" s="21" t="inlineStr">
        <is>
          <t>34 DSN 565</t>
        </is>
      </c>
      <c r="E4839" s="21" t="inlineStr">
        <is>
          <t>HÜSEYİN DENİZ</t>
        </is>
      </c>
      <c r="F4839" s="23" t="n">
        <v>416657</v>
      </c>
      <c r="G4839" s="138" t="n"/>
      <c r="H4839" s="138" t="n">
        <v>457</v>
      </c>
      <c r="I4839" s="138">
        <f>+I4838+(G4839-H4839)</f>
        <v/>
      </c>
      <c r="J4839" s="139" t="n">
        <v>46.81</v>
      </c>
      <c r="K4839" s="140" t="n"/>
      <c r="L4839" s="140">
        <f>+H4839*J4839</f>
        <v/>
      </c>
      <c r="M4839" s="141">
        <f>SUM(M4838+K4839-L4839)</f>
        <v/>
      </c>
    </row>
    <row r="4840">
      <c r="A4840" s="20" t="n">
        <v>45908</v>
      </c>
      <c r="B4840" s="21" t="n">
        <v>1856</v>
      </c>
      <c r="C4840" s="22" t="inlineStr">
        <is>
          <t>SELİM İNŞAAT</t>
        </is>
      </c>
      <c r="D4840" s="21" t="inlineStr">
        <is>
          <t>34 GVZ 268</t>
        </is>
      </c>
      <c r="E4840" s="21" t="inlineStr">
        <is>
          <t>KERİM KARAMAN</t>
        </is>
      </c>
      <c r="F4840" s="23" t="n">
        <v>215450</v>
      </c>
      <c r="G4840" s="138" t="n"/>
      <c r="H4840" s="138" t="n">
        <v>498</v>
      </c>
      <c r="I4840" s="138">
        <f>+I4839+(G4840-H4840)</f>
        <v/>
      </c>
      <c r="J4840" s="139" t="n">
        <v>46.81</v>
      </c>
      <c r="K4840" s="140" t="n"/>
      <c r="L4840" s="140">
        <f>+H4840*J4840</f>
        <v/>
      </c>
      <c r="M4840" s="141">
        <f>SUM(M4839+K4840-L4840)</f>
        <v/>
      </c>
    </row>
    <row r="4841">
      <c r="A4841" s="20" t="n">
        <v>45908</v>
      </c>
      <c r="B4841" s="21" t="n">
        <v>15137</v>
      </c>
      <c r="C4841" s="22" t="inlineStr">
        <is>
          <t>SELİM İNŞAAT</t>
        </is>
      </c>
      <c r="D4841" s="21" t="inlineStr">
        <is>
          <t>34 DTV 599</t>
        </is>
      </c>
      <c r="E4841" s="21" t="inlineStr">
        <is>
          <t>FERHAT GÜRLER</t>
        </is>
      </c>
      <c r="F4841" s="23" t="n">
        <v>451793</v>
      </c>
      <c r="G4841" s="138" t="n"/>
      <c r="H4841" s="138" t="n">
        <v>427</v>
      </c>
      <c r="I4841" s="138">
        <f>+I4840+(G4841-H4841)</f>
        <v/>
      </c>
      <c r="J4841" s="139" t="n">
        <v>46.81</v>
      </c>
      <c r="K4841" s="140" t="n"/>
      <c r="L4841" s="140">
        <f>+H4841*J4841</f>
        <v/>
      </c>
      <c r="M4841" s="141">
        <f>SUM(M4840+K4841-L4841)</f>
        <v/>
      </c>
    </row>
    <row r="4842">
      <c r="A4842" s="20" t="n">
        <v>45908</v>
      </c>
      <c r="B4842" s="21" t="n">
        <v>673</v>
      </c>
      <c r="C4842" s="22" t="inlineStr">
        <is>
          <t>SELİM İNŞAAT</t>
        </is>
      </c>
      <c r="D4842" s="21" t="inlineStr">
        <is>
          <t>34 DTV 352</t>
        </is>
      </c>
      <c r="E4842" s="21" t="inlineStr">
        <is>
          <t>ADEM DENİZ</t>
        </is>
      </c>
      <c r="F4842" s="23" t="n">
        <v>448833</v>
      </c>
      <c r="G4842" s="138" t="n"/>
      <c r="H4842" s="138" t="n">
        <v>497</v>
      </c>
      <c r="I4842" s="138">
        <f>+I4841+(G4842-H4842)</f>
        <v/>
      </c>
      <c r="J4842" s="139" t="n">
        <v>46.81</v>
      </c>
      <c r="K4842" s="140" t="n"/>
      <c r="L4842" s="140">
        <f>+H4842*J4842</f>
        <v/>
      </c>
      <c r="M4842" s="141">
        <f>SUM(M4841+K4842-L4842)</f>
        <v/>
      </c>
    </row>
    <row r="4843">
      <c r="A4843" s="20" t="n">
        <v>45908</v>
      </c>
      <c r="B4843" s="21" t="n">
        <v>15084</v>
      </c>
      <c r="C4843" s="22" t="inlineStr">
        <is>
          <t>SELİM İNŞAAT</t>
        </is>
      </c>
      <c r="D4843" s="21" t="inlineStr">
        <is>
          <t>34 EGR 736</t>
        </is>
      </c>
      <c r="E4843" s="21" t="inlineStr">
        <is>
          <t>HAKAN ÇAVUŞOĞLU</t>
        </is>
      </c>
      <c r="F4843" s="23" t="n">
        <v>411119</v>
      </c>
      <c r="G4843" s="138" t="n"/>
      <c r="H4843" s="138" t="n">
        <v>490</v>
      </c>
      <c r="I4843" s="138">
        <f>+I4842+(G4843-H4843)</f>
        <v/>
      </c>
      <c r="J4843" s="139" t="n">
        <v>46.81</v>
      </c>
      <c r="K4843" s="140" t="n"/>
      <c r="L4843" s="140">
        <f>+H4843*J4843</f>
        <v/>
      </c>
      <c r="M4843" s="141">
        <f>SUM(M4842+K4843-L4843)</f>
        <v/>
      </c>
    </row>
    <row r="4844">
      <c r="A4844" s="20" t="n">
        <v>45908</v>
      </c>
      <c r="B4844" s="21" t="n">
        <v>426</v>
      </c>
      <c r="C4844" s="22" t="inlineStr">
        <is>
          <t>SELİM İNŞAAT</t>
        </is>
      </c>
      <c r="D4844" s="21" t="inlineStr">
        <is>
          <t>34 DRU 690</t>
        </is>
      </c>
      <c r="E4844" s="21" t="inlineStr">
        <is>
          <t>MURAT SARI</t>
        </is>
      </c>
      <c r="F4844" s="23" t="n">
        <v>435418</v>
      </c>
      <c r="G4844" s="138" t="n"/>
      <c r="H4844" s="138" t="n">
        <v>493</v>
      </c>
      <c r="I4844" s="138">
        <f>+I4843+(G4844-H4844)</f>
        <v/>
      </c>
      <c r="J4844" s="139" t="n">
        <v>46.81</v>
      </c>
      <c r="K4844" s="140" t="n"/>
      <c r="L4844" s="140">
        <f>+H4844*J4844</f>
        <v/>
      </c>
      <c r="M4844" s="141">
        <f>SUM(M4843+K4844-L4844)</f>
        <v/>
      </c>
    </row>
    <row r="4845">
      <c r="A4845" s="20" t="n">
        <v>45908</v>
      </c>
      <c r="B4845" s="21" t="n">
        <v>2806</v>
      </c>
      <c r="C4845" s="22" t="inlineStr">
        <is>
          <t>SELİM İNŞAAT</t>
        </is>
      </c>
      <c r="D4845" s="21" t="inlineStr">
        <is>
          <t>34 GVZ 745</t>
        </is>
      </c>
      <c r="E4845" s="21" t="inlineStr">
        <is>
          <t>MURAT DEMİRBAŞ</t>
        </is>
      </c>
      <c r="F4845" s="23" t="n">
        <v>209380</v>
      </c>
      <c r="G4845" s="138" t="n"/>
      <c r="H4845" s="138" t="n">
        <v>298</v>
      </c>
      <c r="I4845" s="138">
        <f>+I4844+(G4845-H4845)</f>
        <v/>
      </c>
      <c r="J4845" s="139" t="n">
        <v>46.81</v>
      </c>
      <c r="K4845" s="140" t="n"/>
      <c r="L4845" s="140">
        <f>+H4845*J4845</f>
        <v/>
      </c>
      <c r="M4845" s="141">
        <f>SUM(M4844+K4845-L4845)</f>
        <v/>
      </c>
    </row>
    <row r="4846">
      <c r="A4846" s="20" t="n">
        <v>45908</v>
      </c>
      <c r="B4846" s="21" t="n">
        <v>1576</v>
      </c>
      <c r="C4846" s="22" t="inlineStr">
        <is>
          <t>SELİM İNŞAAT</t>
        </is>
      </c>
      <c r="D4846" s="21" t="inlineStr">
        <is>
          <t>34 GUS 938</t>
        </is>
      </c>
      <c r="E4846" s="21" t="inlineStr">
        <is>
          <t>MEHMET KAYA</t>
        </is>
      </c>
      <c r="F4846" s="23" t="n">
        <v>211630</v>
      </c>
      <c r="G4846" s="138" t="n"/>
      <c r="H4846" s="138" t="n">
        <v>472</v>
      </c>
      <c r="I4846" s="138">
        <f>+I4845+(G4846-H4846)</f>
        <v/>
      </c>
      <c r="J4846" s="139" t="n">
        <v>46.81</v>
      </c>
      <c r="K4846" s="140" t="n"/>
      <c r="L4846" s="140">
        <f>+H4846*J4846</f>
        <v/>
      </c>
      <c r="M4846" s="141">
        <f>SUM(M4845+K4846-L4846)</f>
        <v/>
      </c>
    </row>
    <row r="4847">
      <c r="A4847" s="20" t="n">
        <v>45908</v>
      </c>
      <c r="B4847" s="21" t="n">
        <v>1025</v>
      </c>
      <c r="C4847" s="22" t="inlineStr">
        <is>
          <t>SELİM İNŞAAT</t>
        </is>
      </c>
      <c r="D4847" s="21" t="inlineStr">
        <is>
          <t>34 DHH 668</t>
        </is>
      </c>
      <c r="E4847" s="21" t="inlineStr">
        <is>
          <t>ADNAN KOÇ</t>
        </is>
      </c>
      <c r="F4847" s="23" t="n">
        <v>403605</v>
      </c>
      <c r="G4847" s="138" t="n"/>
      <c r="H4847" s="138" t="n">
        <v>251</v>
      </c>
      <c r="I4847" s="138">
        <f>+I4846+(G4847-H4847)</f>
        <v/>
      </c>
      <c r="J4847" s="139" t="n">
        <v>46.81</v>
      </c>
      <c r="K4847" s="140" t="n"/>
      <c r="L4847" s="140">
        <f>+H4847*J4847</f>
        <v/>
      </c>
      <c r="M4847" s="141">
        <f>SUM(M4846+K4847-L4847)</f>
        <v/>
      </c>
    </row>
    <row r="4848">
      <c r="A4848" s="20" t="n">
        <v>45908</v>
      </c>
      <c r="B4848" s="21" t="n">
        <v>1471</v>
      </c>
      <c r="C4848" s="22" t="inlineStr">
        <is>
          <t>SELİM İNŞAAT</t>
        </is>
      </c>
      <c r="D4848" s="21" t="inlineStr">
        <is>
          <t>34 EGR 737</t>
        </is>
      </c>
      <c r="E4848" s="21" t="inlineStr">
        <is>
          <t>CEM MUHTAR</t>
        </is>
      </c>
      <c r="F4848" s="23" t="n">
        <v>436564</v>
      </c>
      <c r="G4848" s="138" t="n"/>
      <c r="H4848" s="138" t="n">
        <v>473</v>
      </c>
      <c r="I4848" s="138">
        <f>+I4847+(G4848-H4848)</f>
        <v/>
      </c>
      <c r="J4848" s="139" t="n">
        <v>46.81</v>
      </c>
      <c r="K4848" s="140" t="n"/>
      <c r="L4848" s="140">
        <f>+H4848*J4848</f>
        <v/>
      </c>
      <c r="M4848" s="141">
        <f>SUM(M4847+K4848-L4848)</f>
        <v/>
      </c>
    </row>
    <row r="4849">
      <c r="A4849" s="20" t="n">
        <v>45908</v>
      </c>
      <c r="B4849" s="21" t="n">
        <v>15343</v>
      </c>
      <c r="C4849" s="22" t="inlineStr">
        <is>
          <t>SELİM İNŞAAT</t>
        </is>
      </c>
      <c r="D4849" s="21" t="inlineStr">
        <is>
          <t>34 EDC 162</t>
        </is>
      </c>
      <c r="E4849" s="21" t="inlineStr">
        <is>
          <t>HÜSEYİN DENİZ</t>
        </is>
      </c>
      <c r="F4849" s="23" t="n">
        <v>387678</v>
      </c>
      <c r="G4849" s="138" t="n"/>
      <c r="H4849" s="138" t="n">
        <v>351</v>
      </c>
      <c r="I4849" s="138">
        <f>+I4848+(G4849-H4849)</f>
        <v/>
      </c>
      <c r="J4849" s="139" t="n">
        <v>46.81</v>
      </c>
      <c r="K4849" s="140" t="n"/>
      <c r="L4849" s="140">
        <f>+H4849*J4849</f>
        <v/>
      </c>
      <c r="M4849" s="141">
        <f>SUM(M4848+K4849-L4849)</f>
        <v/>
      </c>
    </row>
    <row r="4850">
      <c r="A4850" s="20" t="n">
        <v>45908</v>
      </c>
      <c r="B4850" s="21" t="n">
        <v>132</v>
      </c>
      <c r="C4850" s="22" t="inlineStr">
        <is>
          <t>SELİM İNŞAAT</t>
        </is>
      </c>
      <c r="D4850" s="21" t="inlineStr">
        <is>
          <t>34 FBR 771</t>
        </is>
      </c>
      <c r="E4850" s="21" t="inlineStr">
        <is>
          <t>HÜSEYİN AKÇİN</t>
        </is>
      </c>
      <c r="F4850" s="23" t="n">
        <v>339319</v>
      </c>
      <c r="G4850" s="138" t="n"/>
      <c r="H4850" s="138" t="n">
        <v>455</v>
      </c>
      <c r="I4850" s="138">
        <f>+I4849+(G4850-H4850)</f>
        <v/>
      </c>
      <c r="J4850" s="139" t="n">
        <v>46.81</v>
      </c>
      <c r="K4850" s="140" t="n"/>
      <c r="L4850" s="140">
        <f>+H4850*J4850</f>
        <v/>
      </c>
      <c r="M4850" s="141">
        <f>SUM(M4849+K4850-L4850)</f>
        <v/>
      </c>
    </row>
    <row r="4851">
      <c r="A4851" s="20" t="n">
        <v>45908</v>
      </c>
      <c r="B4851" s="21" t="n">
        <v>1720</v>
      </c>
      <c r="C4851" s="22" t="inlineStr">
        <is>
          <t>SELİM İNŞAAT</t>
        </is>
      </c>
      <c r="D4851" s="21" t="inlineStr">
        <is>
          <t>34 DGP 137</t>
        </is>
      </c>
      <c r="E4851" s="21" t="inlineStr">
        <is>
          <t>GÜRAY KOYUNCU</t>
        </is>
      </c>
      <c r="F4851" s="23" t="n">
        <v>444511</v>
      </c>
      <c r="G4851" s="138" t="n"/>
      <c r="H4851" s="138" t="n">
        <v>429</v>
      </c>
      <c r="I4851" s="138">
        <f>+I4850+(G4851-H4851)</f>
        <v/>
      </c>
      <c r="J4851" s="139" t="n">
        <v>46.81</v>
      </c>
      <c r="K4851" s="140" t="n"/>
      <c r="L4851" s="140">
        <f>+H4851*J4851</f>
        <v/>
      </c>
      <c r="M4851" s="141">
        <f>SUM(M4850+K4851-L4851)</f>
        <v/>
      </c>
    </row>
    <row r="4852">
      <c r="A4852" s="20" t="n">
        <v>45908</v>
      </c>
      <c r="B4852" s="21" t="n">
        <v>1815</v>
      </c>
      <c r="C4852" s="22" t="inlineStr">
        <is>
          <t>SELİM İNŞAAT</t>
        </is>
      </c>
      <c r="D4852" s="21" t="inlineStr">
        <is>
          <t>34 EGR 922</t>
        </is>
      </c>
      <c r="E4852" s="21" t="inlineStr">
        <is>
          <t>FARUK ÖZEN</t>
        </is>
      </c>
      <c r="F4852" s="23" t="n">
        <v>475924</v>
      </c>
      <c r="G4852" s="138" t="n"/>
      <c r="H4852" s="138" t="n">
        <v>471</v>
      </c>
      <c r="I4852" s="138">
        <f>+I4851+(G4852-H4852)</f>
        <v/>
      </c>
      <c r="J4852" s="139" t="n">
        <v>46.81</v>
      </c>
      <c r="K4852" s="140" t="n"/>
      <c r="L4852" s="140">
        <f>+H4852*J4852</f>
        <v/>
      </c>
      <c r="M4852" s="141">
        <f>SUM(M4851+K4852-L4852)</f>
        <v/>
      </c>
    </row>
    <row r="4853">
      <c r="A4853" s="20" t="n">
        <v>45908</v>
      </c>
      <c r="B4853" s="21" t="n">
        <v>1270</v>
      </c>
      <c r="C4853" s="22" t="inlineStr">
        <is>
          <t>SELİM İNŞAAT</t>
        </is>
      </c>
      <c r="D4853" s="21" t="inlineStr">
        <is>
          <t>34 DSN 621</t>
        </is>
      </c>
      <c r="E4853" s="21" t="inlineStr">
        <is>
          <t>KORAY AK</t>
        </is>
      </c>
      <c r="F4853" s="23" t="n">
        <v>430373</v>
      </c>
      <c r="G4853" s="138" t="n"/>
      <c r="H4853" s="138" t="n">
        <v>405</v>
      </c>
      <c r="I4853" s="138">
        <f>+I4852+(G4853-H4853)</f>
        <v/>
      </c>
      <c r="J4853" s="139" t="n">
        <v>46.81</v>
      </c>
      <c r="K4853" s="140" t="n"/>
      <c r="L4853" s="140">
        <f>+H4853*J4853</f>
        <v/>
      </c>
      <c r="M4853" s="141">
        <f>SUM(M4852+K4853-L4853)</f>
        <v/>
      </c>
    </row>
    <row r="4854">
      <c r="A4854" s="20" t="n">
        <v>45908</v>
      </c>
      <c r="B4854" s="21" t="n">
        <v>584</v>
      </c>
      <c r="C4854" s="22" t="inlineStr">
        <is>
          <t>SELİM İNŞAAT</t>
        </is>
      </c>
      <c r="D4854" s="21" t="inlineStr">
        <is>
          <t>34 EDB 922</t>
        </is>
      </c>
      <c r="E4854" s="21" t="inlineStr">
        <is>
          <t>AHMET TOPÇU</t>
        </is>
      </c>
      <c r="F4854" s="23" t="n">
        <v>383693</v>
      </c>
      <c r="G4854" s="138" t="n"/>
      <c r="H4854" s="138" t="n">
        <v>461</v>
      </c>
      <c r="I4854" s="138">
        <f>+I4853+(G4854-H4854)</f>
        <v/>
      </c>
      <c r="J4854" s="139" t="n">
        <v>46.81</v>
      </c>
      <c r="K4854" s="140" t="n"/>
      <c r="L4854" s="140">
        <f>+H4854*J4854</f>
        <v/>
      </c>
      <c r="M4854" s="141">
        <f>SUM(M4853+K4854-L4854)</f>
        <v/>
      </c>
    </row>
    <row r="4855">
      <c r="A4855" s="20" t="n">
        <v>45908</v>
      </c>
      <c r="B4855" s="21" t="n">
        <v>1516</v>
      </c>
      <c r="C4855" s="22" t="inlineStr">
        <is>
          <t>SELİM İNŞAAT</t>
        </is>
      </c>
      <c r="D4855" s="21" t="inlineStr">
        <is>
          <t>34 GUS 848</t>
        </is>
      </c>
      <c r="E4855" s="21" t="inlineStr">
        <is>
          <t>SERDAR BOZKURT</t>
        </is>
      </c>
      <c r="F4855" s="23" t="n">
        <v>207606</v>
      </c>
      <c r="G4855" s="138" t="n"/>
      <c r="H4855" s="138" t="n">
        <v>503</v>
      </c>
      <c r="I4855" s="138">
        <f>+I4854+(G4855-H4855)</f>
        <v/>
      </c>
      <c r="J4855" s="139" t="n">
        <v>46.81</v>
      </c>
      <c r="K4855" s="140" t="n"/>
      <c r="L4855" s="140">
        <f>+H4855*J4855</f>
        <v/>
      </c>
      <c r="M4855" s="141">
        <f>SUM(M4854+K4855-L4855)</f>
        <v/>
      </c>
    </row>
    <row r="4856">
      <c r="A4856" s="20" t="n">
        <v>45908</v>
      </c>
      <c r="B4856" s="21" t="n">
        <v>333</v>
      </c>
      <c r="C4856" s="22" t="inlineStr">
        <is>
          <t>SELİM İNŞAAT</t>
        </is>
      </c>
      <c r="D4856" s="21" t="inlineStr">
        <is>
          <t>34 EDB 829</t>
        </is>
      </c>
      <c r="E4856" s="21" t="inlineStr">
        <is>
          <t>İRFAN DAĞLAR</t>
        </is>
      </c>
      <c r="F4856" s="23" t="n">
        <v>337110</v>
      </c>
      <c r="G4856" s="138" t="n"/>
      <c r="H4856" s="138" t="n">
        <v>429</v>
      </c>
      <c r="I4856" s="138">
        <f>+I4855+(G4856-H4856)</f>
        <v/>
      </c>
      <c r="J4856" s="139" t="n">
        <v>46.81</v>
      </c>
      <c r="K4856" s="140" t="n"/>
      <c r="L4856" s="140">
        <f>+H4856*J4856</f>
        <v/>
      </c>
      <c r="M4856" s="141">
        <f>SUM(M4855+K4856-L4856)</f>
        <v/>
      </c>
    </row>
    <row r="4857">
      <c r="A4857" s="20" t="n">
        <v>45908</v>
      </c>
      <c r="B4857" s="21" t="n">
        <v>777</v>
      </c>
      <c r="C4857" s="22" t="inlineStr">
        <is>
          <t>SELİM İNŞAAT</t>
        </is>
      </c>
      <c r="D4857" s="21" t="inlineStr">
        <is>
          <t>34 EDB 559</t>
        </is>
      </c>
      <c r="E4857" s="21" t="inlineStr">
        <is>
          <t>AZİZ ORUÇ</t>
        </is>
      </c>
      <c r="F4857" s="23" t="n">
        <v>342217</v>
      </c>
      <c r="G4857" s="138" t="n"/>
      <c r="H4857" s="138" t="n">
        <v>308</v>
      </c>
      <c r="I4857" s="138">
        <f>+I4856+(G4857-H4857)</f>
        <v/>
      </c>
      <c r="J4857" s="139" t="n">
        <v>46.81</v>
      </c>
      <c r="K4857" s="140" t="n"/>
      <c r="L4857" s="140">
        <f>+H4857*J4857</f>
        <v/>
      </c>
      <c r="M4857" s="141">
        <f>SUM(M4856+K4857-L4857)</f>
        <v/>
      </c>
    </row>
    <row r="4858">
      <c r="A4858" s="20" t="n">
        <v>45908</v>
      </c>
      <c r="B4858" s="21" t="n">
        <v>177</v>
      </c>
      <c r="C4858" s="22" t="inlineStr">
        <is>
          <t>SELİM İNŞAAT</t>
        </is>
      </c>
      <c r="D4858" s="21" t="inlineStr">
        <is>
          <t>34 TG 7869</t>
        </is>
      </c>
      <c r="E4858" s="21" t="inlineStr">
        <is>
          <t>DURSUN ALİ GÜREK</t>
        </is>
      </c>
      <c r="F4858" s="23" t="n">
        <v>189013</v>
      </c>
      <c r="G4858" s="138" t="n"/>
      <c r="H4858" s="138" t="n">
        <v>276</v>
      </c>
      <c r="I4858" s="138">
        <f>+I4857+(G4858-H4858)</f>
        <v/>
      </c>
      <c r="J4858" s="139" t="n">
        <v>46.81</v>
      </c>
      <c r="K4858" s="140" t="n"/>
      <c r="L4858" s="140">
        <f>+H4858*J4858</f>
        <v/>
      </c>
      <c r="M4858" s="141">
        <f>SUM(M4857+K4858-L4858)</f>
        <v/>
      </c>
    </row>
    <row r="4859">
      <c r="A4859" s="20" t="n">
        <v>45908</v>
      </c>
      <c r="B4859" s="21" t="n">
        <v>214</v>
      </c>
      <c r="C4859" s="22" t="inlineStr">
        <is>
          <t>SELİM İNŞAAT</t>
        </is>
      </c>
      <c r="D4859" s="21" t="inlineStr">
        <is>
          <t>34 JGR 15</t>
        </is>
      </c>
      <c r="E4859" s="21" t="inlineStr">
        <is>
          <t>BAYRAM SANCAK</t>
        </is>
      </c>
      <c r="F4859" s="23" t="n">
        <v>316539</v>
      </c>
      <c r="G4859" s="138" t="n"/>
      <c r="H4859" s="138" t="n">
        <v>74</v>
      </c>
      <c r="I4859" s="138">
        <f>+I4858+(G4859-H4859)</f>
        <v/>
      </c>
      <c r="J4859" s="139" t="n">
        <v>46.81</v>
      </c>
      <c r="K4859" s="140" t="n"/>
      <c r="L4859" s="140">
        <f>+H4859*J4859</f>
        <v/>
      </c>
      <c r="M4859" s="141">
        <f>SUM(M4858+K4859-L4859)</f>
        <v/>
      </c>
    </row>
    <row r="4860">
      <c r="A4860" s="20" t="n">
        <v>45908</v>
      </c>
      <c r="B4860" s="21" t="n">
        <v>481</v>
      </c>
      <c r="C4860" s="22" t="inlineStr">
        <is>
          <t>SELİM İNŞAAT</t>
        </is>
      </c>
      <c r="D4860" s="21" t="inlineStr">
        <is>
          <t>34 DKL 866</t>
        </is>
      </c>
      <c r="E4860" s="21" t="inlineStr">
        <is>
          <t>SELİM CAN ÖNVER</t>
        </is>
      </c>
      <c r="F4860" s="23" t="n">
        <v>73872</v>
      </c>
      <c r="G4860" s="138" t="n"/>
      <c r="H4860" s="138" t="n">
        <v>195</v>
      </c>
      <c r="I4860" s="138">
        <f>+I4859+(G4860-H4860)</f>
        <v/>
      </c>
      <c r="J4860" s="139" t="n">
        <v>46.81</v>
      </c>
      <c r="K4860" s="140" t="n"/>
      <c r="L4860" s="140">
        <f>+H4860*J4860</f>
        <v/>
      </c>
      <c r="M4860" s="141">
        <f>SUM(M4859+K4860-L4860)</f>
        <v/>
      </c>
    </row>
    <row r="4861">
      <c r="A4861" s="20" t="n">
        <v>45908</v>
      </c>
      <c r="B4861" s="21" t="n">
        <v>2222</v>
      </c>
      <c r="C4861" s="22" t="inlineStr">
        <is>
          <t>AZGÜN YAPI</t>
        </is>
      </c>
      <c r="D4861" s="21" t="inlineStr">
        <is>
          <t>34 DTV 263</t>
        </is>
      </c>
      <c r="E4861" s="21" t="inlineStr">
        <is>
          <t>MUHAMMET BULUT</t>
        </is>
      </c>
      <c r="F4861" s="23" t="n"/>
      <c r="G4861" s="138" t="n"/>
      <c r="H4861" s="138" t="n">
        <v>237</v>
      </c>
      <c r="I4861" s="138">
        <f>+I4860+(G4861-H4861)</f>
        <v/>
      </c>
      <c r="J4861" s="139" t="n">
        <v>46.81</v>
      </c>
      <c r="K4861" s="140" t="n"/>
      <c r="L4861" s="140">
        <f>+H4861*J4861</f>
        <v/>
      </c>
      <c r="M4861" s="141">
        <f>SUM(M4860+K4861-L4861)</f>
        <v/>
      </c>
    </row>
    <row r="4862">
      <c r="A4862" s="20" t="n">
        <v>45908</v>
      </c>
      <c r="B4862" s="21" t="n">
        <v>15702</v>
      </c>
      <c r="C4862" s="22" t="inlineStr">
        <is>
          <t>METİN ERYİĞİT</t>
        </is>
      </c>
      <c r="D4862" s="21" t="inlineStr">
        <is>
          <t>34 EGR 814</t>
        </is>
      </c>
      <c r="E4862" s="21" t="inlineStr">
        <is>
          <t>MUHAMMET YİĞİT</t>
        </is>
      </c>
      <c r="F4862" s="23" t="n">
        <v>567554</v>
      </c>
      <c r="G4862" s="138" t="n"/>
      <c r="H4862" s="138" t="n">
        <v>477</v>
      </c>
      <c r="I4862" s="138">
        <f>+I4861+(G4862-H4862)</f>
        <v/>
      </c>
      <c r="J4862" s="139" t="n">
        <v>46.81</v>
      </c>
      <c r="K4862" s="140" t="n"/>
      <c r="L4862" s="140">
        <f>+H4862*J4862</f>
        <v/>
      </c>
      <c r="M4862" s="141">
        <f>SUM(M4861+K4862-L4862)</f>
        <v/>
      </c>
    </row>
    <row r="4863">
      <c r="A4863" s="20" t="n">
        <v>45908</v>
      </c>
      <c r="B4863" s="21" t="n">
        <v>1924</v>
      </c>
      <c r="C4863" s="22" t="inlineStr">
        <is>
          <t>AHMET SELİM TEMHA</t>
        </is>
      </c>
      <c r="D4863" s="21" t="inlineStr">
        <is>
          <t>34 DGE 422</t>
        </is>
      </c>
      <c r="E4863" s="21" t="inlineStr">
        <is>
          <t>ERSOY SIGINMAZ</t>
        </is>
      </c>
      <c r="F4863" s="23" t="n"/>
      <c r="G4863" s="138" t="n"/>
      <c r="H4863" s="138" t="n">
        <v>45</v>
      </c>
      <c r="I4863" s="138">
        <f>+I4862+(G4863-H4863)</f>
        <v/>
      </c>
      <c r="J4863" s="139" t="n">
        <v>46.81</v>
      </c>
      <c r="K4863" s="140" t="n"/>
      <c r="L4863" s="140">
        <f>+H4863*J4863</f>
        <v/>
      </c>
      <c r="M4863" s="141">
        <f>SUM(M4862+K4863-L4863)</f>
        <v/>
      </c>
    </row>
    <row r="4864">
      <c r="A4864" s="20" t="n">
        <v>45908</v>
      </c>
      <c r="B4864" s="21" t="n">
        <v>2173</v>
      </c>
      <c r="C4864" s="22" t="inlineStr">
        <is>
          <t>MEGA VARLIK</t>
        </is>
      </c>
      <c r="D4864" s="21" t="inlineStr">
        <is>
          <t>FOKLİFT</t>
        </is>
      </c>
      <c r="E4864" s="21" t="inlineStr">
        <is>
          <t>FAHRİ KALFA</t>
        </is>
      </c>
      <c r="F4864" s="23" t="n"/>
      <c r="G4864" s="138" t="n"/>
      <c r="H4864" s="138" t="n">
        <v>492</v>
      </c>
      <c r="I4864" s="138">
        <f>+I4863+(G4864-H4864)</f>
        <v/>
      </c>
      <c r="J4864" s="139" t="n">
        <v>46.81</v>
      </c>
      <c r="K4864" s="140" t="n"/>
      <c r="L4864" s="140">
        <f>+H4864*J4864</f>
        <v/>
      </c>
      <c r="M4864" s="141">
        <f>SUM(M4863+K4864-L4864)</f>
        <v/>
      </c>
    </row>
    <row r="4865">
      <c r="A4865" s="20" t="n">
        <v>45908</v>
      </c>
      <c r="B4865" s="21" t="n">
        <v>2174</v>
      </c>
      <c r="C4865" s="22" t="inlineStr">
        <is>
          <t>HASALTUN</t>
        </is>
      </c>
      <c r="D4865" s="1" t="inlineStr">
        <is>
          <t>KAVAZAKİ</t>
        </is>
      </c>
      <c r="E4865" s="1" t="inlineStr">
        <is>
          <t>RAMAZAN KAYA</t>
        </is>
      </c>
      <c r="F4865" s="23" t="n"/>
      <c r="G4865" s="138" t="n"/>
      <c r="H4865" s="138" t="n">
        <v>93</v>
      </c>
      <c r="I4865" s="138">
        <f>+I4864+(G4865-H4865)</f>
        <v/>
      </c>
      <c r="J4865" s="139" t="n">
        <v>46.81</v>
      </c>
      <c r="K4865" s="140" t="n"/>
      <c r="L4865" s="140">
        <f>+H4865*J4865</f>
        <v/>
      </c>
      <c r="M4865" s="141">
        <f>SUM(M4864+K4865-L4865)</f>
        <v/>
      </c>
    </row>
    <row r="4866">
      <c r="A4866" s="20" t="n">
        <v>45908</v>
      </c>
      <c r="B4866" s="21" t="n">
        <v>2175</v>
      </c>
      <c r="C4866" s="22" t="inlineStr">
        <is>
          <t>HASALTUN</t>
        </is>
      </c>
      <c r="D4866" s="1" t="inlineStr">
        <is>
          <t>HİTACİ</t>
        </is>
      </c>
      <c r="E4866" s="1" t="inlineStr">
        <is>
          <t>TURGUT SANCAK</t>
        </is>
      </c>
      <c r="F4866" s="23" t="n"/>
      <c r="G4866" s="138" t="n"/>
      <c r="H4866" s="138" t="n">
        <v>251</v>
      </c>
      <c r="I4866" s="138">
        <f>+I4865+(G4866-H4866)</f>
        <v/>
      </c>
      <c r="J4866" s="139" t="n">
        <v>46.81</v>
      </c>
      <c r="K4866" s="140" t="n"/>
      <c r="L4866" s="140">
        <f>+H4866*J4866</f>
        <v/>
      </c>
      <c r="M4866" s="141">
        <f>SUM(M4865+K4866-L4866)</f>
        <v/>
      </c>
    </row>
    <row r="4867">
      <c r="A4867" s="20" t="n">
        <v>45908</v>
      </c>
      <c r="B4867" s="21" t="n">
        <v>2176</v>
      </c>
      <c r="C4867" s="22" t="inlineStr">
        <is>
          <t>HASALTUN</t>
        </is>
      </c>
      <c r="D4867" s="21" t="inlineStr">
        <is>
          <t>SM 300</t>
        </is>
      </c>
      <c r="E4867" s="21" t="inlineStr">
        <is>
          <t>MEHMET ALİ</t>
        </is>
      </c>
      <c r="F4867" s="23" t="n"/>
      <c r="G4867" s="138" t="n"/>
      <c r="H4867" s="138" t="n">
        <v>454</v>
      </c>
      <c r="I4867" s="138">
        <f>+I4866+(G4867-H4867)</f>
        <v/>
      </c>
      <c r="J4867" s="139" t="n">
        <v>46.81</v>
      </c>
      <c r="K4867" s="140" t="n"/>
      <c r="L4867" s="140">
        <f>+H4867*J4867</f>
        <v/>
      </c>
      <c r="M4867" s="141">
        <f>SUM(M4866+K4867-L4867)</f>
        <v/>
      </c>
    </row>
    <row r="4868">
      <c r="A4868" s="20" t="n">
        <v>45908</v>
      </c>
      <c r="B4868" s="21" t="n">
        <v>2177</v>
      </c>
      <c r="C4868" s="22" t="inlineStr">
        <is>
          <t>HASALTUN</t>
        </is>
      </c>
      <c r="D4868" s="21" t="inlineStr">
        <is>
          <t xml:space="preserve">SİLİNDİR </t>
        </is>
      </c>
      <c r="E4868" s="21" t="inlineStr">
        <is>
          <t>ÖNER</t>
        </is>
      </c>
      <c r="F4868" s="23" t="n"/>
      <c r="G4868" s="138" t="n"/>
      <c r="H4868" s="138" t="n">
        <v>423</v>
      </c>
      <c r="I4868" s="138">
        <f>+I4867+(G4868-H4868)</f>
        <v/>
      </c>
      <c r="J4868" s="139" t="n">
        <v>46.81</v>
      </c>
      <c r="K4868" s="140" t="n"/>
      <c r="L4868" s="140">
        <f>+H4868*J4868</f>
        <v/>
      </c>
      <c r="M4868" s="141">
        <f>SUM(M4867+K4868-L4868)</f>
        <v/>
      </c>
    </row>
    <row r="4869">
      <c r="A4869" s="20" t="n">
        <v>45908</v>
      </c>
      <c r="B4869" s="21" t="n">
        <v>2178</v>
      </c>
      <c r="C4869" s="22" t="inlineStr">
        <is>
          <t>EVKUR</t>
        </is>
      </c>
      <c r="D4869" s="1" t="inlineStr">
        <is>
          <t>KİRALIK KATO</t>
        </is>
      </c>
      <c r="E4869" s="21" t="inlineStr">
        <is>
          <t>GÜNEŞ BEY' İN TALİMATI</t>
        </is>
      </c>
      <c r="F4869" s="23" t="n"/>
      <c r="G4869" s="138" t="n"/>
      <c r="H4869" s="138" t="n">
        <v>295</v>
      </c>
      <c r="I4869" s="138">
        <f>+I4868+(G4869-H4869)</f>
        <v/>
      </c>
      <c r="J4869" s="139" t="n">
        <v>46.81</v>
      </c>
      <c r="K4869" s="140" t="n"/>
      <c r="L4869" s="140">
        <f>+H4869*J4869</f>
        <v/>
      </c>
      <c r="M4869" s="141">
        <f>SUM(M4868+K4869-L4869)</f>
        <v/>
      </c>
    </row>
    <row r="4870">
      <c r="A4870" s="20" t="n">
        <v>45908</v>
      </c>
      <c r="B4870" s="21" t="n">
        <v>2179</v>
      </c>
      <c r="C4870" s="22" t="inlineStr">
        <is>
          <t>EVKUR</t>
        </is>
      </c>
      <c r="D4870" s="21" t="inlineStr">
        <is>
          <t xml:space="preserve">SM 370 </t>
        </is>
      </c>
      <c r="E4870" s="21" t="inlineStr">
        <is>
          <t>ÖZKAN</t>
        </is>
      </c>
      <c r="F4870" s="23" t="n"/>
      <c r="G4870" s="138" t="n"/>
      <c r="H4870" s="138" t="n">
        <v>94</v>
      </c>
      <c r="I4870" s="138">
        <f>+I4869+(G4870-H4870)</f>
        <v/>
      </c>
      <c r="J4870" s="139" t="n">
        <v>46.81</v>
      </c>
      <c r="K4870" s="140" t="n"/>
      <c r="L4870" s="140">
        <f>+H4870*J4870</f>
        <v/>
      </c>
      <c r="M4870" s="141">
        <f>SUM(M4869+K4870-L4870)</f>
        <v/>
      </c>
    </row>
    <row r="4871">
      <c r="A4871" s="20" t="n">
        <v>45908</v>
      </c>
      <c r="B4871" s="21" t="n">
        <v>2189</v>
      </c>
      <c r="C4871" s="22" t="inlineStr">
        <is>
          <t>CEVİZ MOBİLYA</t>
        </is>
      </c>
      <c r="D4871" s="21" t="inlineStr">
        <is>
          <t>SM 350</t>
        </is>
      </c>
      <c r="E4871" s="21" t="inlineStr">
        <is>
          <t>AHMET AKGÜL</t>
        </is>
      </c>
      <c r="F4871" s="23" t="n"/>
      <c r="G4871" s="138" t="n"/>
      <c r="H4871" s="138" t="n">
        <v>248</v>
      </c>
      <c r="I4871" s="138">
        <f>+I4870+(G4871-H4871)</f>
        <v/>
      </c>
      <c r="J4871" s="139" t="n">
        <v>46.81</v>
      </c>
      <c r="K4871" s="140" t="n"/>
      <c r="L4871" s="140">
        <f>+H4871*J4871</f>
        <v/>
      </c>
      <c r="M4871" s="141">
        <f>SUM(M4870+K4871-L4871)</f>
        <v/>
      </c>
    </row>
    <row r="4872">
      <c r="A4872" s="20" t="n">
        <v>45909</v>
      </c>
      <c r="B4872" s="21" t="n">
        <v>1857</v>
      </c>
      <c r="C4872" s="22" t="inlineStr">
        <is>
          <t>SELİM İNŞAAT</t>
        </is>
      </c>
      <c r="D4872" s="21" t="inlineStr">
        <is>
          <t>34 GVZ 268</t>
        </is>
      </c>
      <c r="E4872" s="21" t="inlineStr">
        <is>
          <t>KERİM KARAMAN</t>
        </is>
      </c>
      <c r="F4872" s="23" t="n">
        <v>215910</v>
      </c>
      <c r="G4872" s="138" t="n"/>
      <c r="H4872" s="138" t="n">
        <v>320</v>
      </c>
      <c r="I4872" s="138">
        <f>+I4871+(G4872-H4872)</f>
        <v/>
      </c>
      <c r="J4872" s="139" t="n">
        <v>46.81</v>
      </c>
      <c r="K4872" s="140" t="n"/>
      <c r="L4872" s="140">
        <f>+H4872*J4872</f>
        <v/>
      </c>
      <c r="M4872" s="141">
        <f>SUM(M4871+K4872-L4872)</f>
        <v/>
      </c>
    </row>
    <row r="4873">
      <c r="A4873" s="20" t="n">
        <v>45909</v>
      </c>
      <c r="B4873" s="21" t="n">
        <v>15279</v>
      </c>
      <c r="C4873" s="22" t="inlineStr">
        <is>
          <t>SELİM İNŞAAT</t>
        </is>
      </c>
      <c r="D4873" s="21" t="inlineStr">
        <is>
          <t>34 DTV 447</t>
        </is>
      </c>
      <c r="E4873" s="21" t="inlineStr">
        <is>
          <t>SALİH YALÇIN</t>
        </is>
      </c>
      <c r="F4873" s="23" t="n">
        <v>444947</v>
      </c>
      <c r="G4873" s="138" t="n"/>
      <c r="H4873" s="138" t="n">
        <v>470</v>
      </c>
      <c r="I4873" s="138">
        <f>+I4872+(G4873-H4873)</f>
        <v/>
      </c>
      <c r="J4873" s="139" t="n">
        <v>46.81</v>
      </c>
      <c r="K4873" s="140" t="n"/>
      <c r="L4873" s="140">
        <f>+H4873*J4873</f>
        <v/>
      </c>
      <c r="M4873" s="141">
        <f>SUM(M4872+K4873-L4873)</f>
        <v/>
      </c>
    </row>
    <row r="4874">
      <c r="A4874" s="20" t="n">
        <v>45909</v>
      </c>
      <c r="B4874" s="21" t="n">
        <v>976</v>
      </c>
      <c r="C4874" s="22" t="inlineStr">
        <is>
          <t>SELİM İNŞAAT</t>
        </is>
      </c>
      <c r="D4874" s="21" t="inlineStr">
        <is>
          <t>34 FBR 742</t>
        </is>
      </c>
      <c r="E4874" s="21" t="inlineStr">
        <is>
          <t>MİKAİL BAYILMAZ</t>
        </is>
      </c>
      <c r="F4874" s="23" t="n">
        <v>335183</v>
      </c>
      <c r="G4874" s="138" t="n"/>
      <c r="H4874" s="138" t="n">
        <v>390</v>
      </c>
      <c r="I4874" s="138">
        <f>+I4873+(G4874-H4874)</f>
        <v/>
      </c>
      <c r="J4874" s="139" t="n">
        <v>46.81</v>
      </c>
      <c r="K4874" s="140" t="n"/>
      <c r="L4874" s="140">
        <f>+H4874*J4874</f>
        <v/>
      </c>
      <c r="M4874" s="141">
        <f>SUM(M4873+K4874-L4874)</f>
        <v/>
      </c>
    </row>
    <row r="4875">
      <c r="A4875" s="20" t="n">
        <v>45909</v>
      </c>
      <c r="B4875" s="21" t="n">
        <v>15893</v>
      </c>
      <c r="C4875" s="22" t="inlineStr">
        <is>
          <t>SELİM İNŞAAT</t>
        </is>
      </c>
      <c r="D4875" s="21" t="inlineStr">
        <is>
          <t>34 EDB 754</t>
        </is>
      </c>
      <c r="E4875" s="21" t="inlineStr">
        <is>
          <t>MUSTAFA KAYA</t>
        </is>
      </c>
      <c r="F4875" s="23" t="n">
        <v>344150</v>
      </c>
      <c r="G4875" s="138" t="n"/>
      <c r="H4875" s="138" t="n">
        <v>493</v>
      </c>
      <c r="I4875" s="138">
        <f>+I4874+(G4875-H4875)</f>
        <v/>
      </c>
      <c r="J4875" s="139" t="n">
        <v>46.81</v>
      </c>
      <c r="K4875" s="140" t="n"/>
      <c r="L4875" s="140">
        <f>+H4875*J4875</f>
        <v/>
      </c>
      <c r="M4875" s="141">
        <f>SUM(M4874+K4875-L4875)</f>
        <v/>
      </c>
    </row>
    <row r="4876">
      <c r="A4876" s="20" t="n">
        <v>45909</v>
      </c>
      <c r="B4876" s="21" t="n">
        <v>15085</v>
      </c>
      <c r="C4876" s="22" t="inlineStr">
        <is>
          <t>SELİM İNŞAAT</t>
        </is>
      </c>
      <c r="D4876" s="21" t="inlineStr">
        <is>
          <t>34 EGR 736</t>
        </is>
      </c>
      <c r="E4876" s="21" t="inlineStr">
        <is>
          <t>HAKAN ÇAVUŞOĞLU</t>
        </is>
      </c>
      <c r="F4876" s="23" t="n">
        <v>411777</v>
      </c>
      <c r="G4876" s="138" t="n"/>
      <c r="H4876" s="138" t="n">
        <v>386</v>
      </c>
      <c r="I4876" s="138">
        <f>+I4875+(G4876-H4876)</f>
        <v/>
      </c>
      <c r="J4876" s="139" t="n">
        <v>46.81</v>
      </c>
      <c r="K4876" s="140" t="n"/>
      <c r="L4876" s="140">
        <f>+H4876*J4876</f>
        <v/>
      </c>
      <c r="M4876" s="141">
        <f>SUM(M4875+K4876-L4876)</f>
        <v/>
      </c>
    </row>
    <row r="4877">
      <c r="A4877" s="20" t="n">
        <v>45909</v>
      </c>
      <c r="B4877" s="21" t="n">
        <v>39</v>
      </c>
      <c r="C4877" s="22" t="inlineStr">
        <is>
          <t>SELİM İNŞAAT</t>
        </is>
      </c>
      <c r="D4877" s="21" t="inlineStr">
        <is>
          <t>34 FBR 748</t>
        </is>
      </c>
      <c r="E4877" s="21" t="inlineStr">
        <is>
          <t>YAŞAR ÖZKAYA</t>
        </is>
      </c>
      <c r="F4877" s="23" t="n">
        <v>304076</v>
      </c>
      <c r="G4877" s="138" t="n"/>
      <c r="H4877" s="138" t="n">
        <v>389</v>
      </c>
      <c r="I4877" s="138">
        <f>+I4876+(G4877-H4877)</f>
        <v/>
      </c>
      <c r="J4877" s="139" t="n">
        <v>46.81</v>
      </c>
      <c r="K4877" s="140" t="n"/>
      <c r="L4877" s="140">
        <f>+H4877*J4877</f>
        <v/>
      </c>
      <c r="M4877" s="141">
        <f>SUM(M4876+K4877-L4877)</f>
        <v/>
      </c>
    </row>
    <row r="4878">
      <c r="A4878" s="20" t="n">
        <v>45909</v>
      </c>
      <c r="B4878" s="21" t="n">
        <v>427</v>
      </c>
      <c r="C4878" s="22" t="inlineStr">
        <is>
          <t>SELİM İNŞAAT</t>
        </is>
      </c>
      <c r="D4878" s="21" t="inlineStr">
        <is>
          <t>34 DRU 690</t>
        </is>
      </c>
      <c r="E4878" s="21" t="inlineStr">
        <is>
          <t>MURAT SARI</t>
        </is>
      </c>
      <c r="F4878" s="23" t="n">
        <v>436039</v>
      </c>
      <c r="G4878" s="138" t="n"/>
      <c r="H4878" s="138" t="n">
        <v>409</v>
      </c>
      <c r="I4878" s="138">
        <f>+I4877+(G4878-H4878)</f>
        <v/>
      </c>
      <c r="J4878" s="139" t="n">
        <v>46.81</v>
      </c>
      <c r="K4878" s="140" t="n"/>
      <c r="L4878" s="140">
        <f>+H4878*J4878</f>
        <v/>
      </c>
      <c r="M4878" s="141">
        <f>SUM(M4877+K4878-L4878)</f>
        <v/>
      </c>
    </row>
    <row r="4879">
      <c r="A4879" s="20" t="n">
        <v>45909</v>
      </c>
      <c r="B4879" s="21" t="n">
        <v>1163</v>
      </c>
      <c r="C4879" s="22" t="inlineStr">
        <is>
          <t>SELİM İNŞAAT</t>
        </is>
      </c>
      <c r="D4879" s="21" t="inlineStr">
        <is>
          <t>34 DSN 536</t>
        </is>
      </c>
      <c r="E4879" s="21" t="inlineStr">
        <is>
          <t xml:space="preserve">SALİH YALÇIN </t>
        </is>
      </c>
      <c r="F4879" s="23" t="n">
        <v>422176</v>
      </c>
      <c r="G4879" s="138" t="n"/>
      <c r="H4879" s="138" t="n">
        <v>277</v>
      </c>
      <c r="I4879" s="138">
        <f>+I4878+(G4879-H4879)</f>
        <v/>
      </c>
      <c r="J4879" s="139" t="n">
        <v>46.81</v>
      </c>
      <c r="K4879" s="140" t="n"/>
      <c r="L4879" s="140">
        <f>+H4879*J4879</f>
        <v/>
      </c>
      <c r="M4879" s="141">
        <f>SUM(M4878+K4879-L4879)</f>
        <v/>
      </c>
    </row>
    <row r="4880">
      <c r="A4880" s="20" t="n">
        <v>45909</v>
      </c>
      <c r="B4880" s="21" t="n">
        <v>15385</v>
      </c>
      <c r="C4880" s="22" t="inlineStr">
        <is>
          <t>SELİM İNŞAAT</t>
        </is>
      </c>
      <c r="D4880" s="21" t="inlineStr">
        <is>
          <t>34 DTV 409</t>
        </is>
      </c>
      <c r="E4880" s="21" t="inlineStr">
        <is>
          <t>EBUBEKİR KOLDAŞ</t>
        </is>
      </c>
      <c r="F4880" s="23" t="n">
        <v>435867</v>
      </c>
      <c r="G4880" s="138" t="n"/>
      <c r="H4880" s="138" t="n">
        <v>390</v>
      </c>
      <c r="I4880" s="138">
        <f>+I4879+(G4880-H4880)</f>
        <v/>
      </c>
      <c r="J4880" s="139" t="n">
        <v>46.81</v>
      </c>
      <c r="K4880" s="140" t="n"/>
      <c r="L4880" s="140">
        <f>+H4880*J4880</f>
        <v/>
      </c>
      <c r="M4880" s="141">
        <f>SUM(M4879+K4880-L4880)</f>
        <v/>
      </c>
    </row>
    <row r="4881">
      <c r="A4881" s="20" t="n">
        <v>45909</v>
      </c>
      <c r="B4881" s="21" t="n">
        <v>1078</v>
      </c>
      <c r="C4881" s="22" t="inlineStr">
        <is>
          <t>SELİM İNŞAAT</t>
        </is>
      </c>
      <c r="D4881" s="21" t="inlineStr">
        <is>
          <t>34 GVZ 310</t>
        </is>
      </c>
      <c r="E4881" s="21" t="inlineStr">
        <is>
          <t>CELAL YÜZBAŞI</t>
        </is>
      </c>
      <c r="F4881" s="23" t="n">
        <v>220808</v>
      </c>
      <c r="G4881" s="138" t="n"/>
      <c r="H4881" s="138" t="n">
        <v>476</v>
      </c>
      <c r="I4881" s="138">
        <f>+I4880+(G4881-H4881)</f>
        <v/>
      </c>
      <c r="J4881" s="139" t="n">
        <v>46.81</v>
      </c>
      <c r="K4881" s="140" t="n"/>
      <c r="L4881" s="140">
        <f>+H4881*J4881</f>
        <v/>
      </c>
      <c r="M4881" s="141">
        <f>SUM(M4880+K4881-L4881)</f>
        <v/>
      </c>
    </row>
    <row r="4882">
      <c r="A4882" s="20" t="n">
        <v>45909</v>
      </c>
      <c r="B4882" s="21" t="n">
        <v>14792</v>
      </c>
      <c r="C4882" s="22" t="inlineStr">
        <is>
          <t>SELİM İNŞAAT</t>
        </is>
      </c>
      <c r="D4882" s="21" t="inlineStr">
        <is>
          <t>34 GYZ 635</t>
        </is>
      </c>
      <c r="E4882" s="21" t="inlineStr">
        <is>
          <t>ENGİN DEMİR</t>
        </is>
      </c>
      <c r="F4882" s="23" t="n">
        <v>195261</v>
      </c>
      <c r="G4882" s="138" t="n"/>
      <c r="H4882" s="138" t="n">
        <v>496</v>
      </c>
      <c r="I4882" s="138">
        <f>+I4881+(G4882-H4882)</f>
        <v/>
      </c>
      <c r="J4882" s="139" t="n">
        <v>46.81</v>
      </c>
      <c r="K4882" s="140" t="n"/>
      <c r="L4882" s="140">
        <f>+H4882*J4882</f>
        <v/>
      </c>
      <c r="M4882" s="141">
        <f>SUM(M4881+K4882-L4882)</f>
        <v/>
      </c>
    </row>
    <row r="4883">
      <c r="A4883" s="20" t="n">
        <v>45909</v>
      </c>
      <c r="B4883" s="21" t="n">
        <v>1472</v>
      </c>
      <c r="C4883" s="22" t="inlineStr">
        <is>
          <t>SELİM İNŞAAT</t>
        </is>
      </c>
      <c r="D4883" s="21" t="inlineStr">
        <is>
          <t>34 EGR 737</t>
        </is>
      </c>
      <c r="E4883" s="21" t="inlineStr">
        <is>
          <t>CEM MUHTAR</t>
        </is>
      </c>
      <c r="F4883" s="23" t="n">
        <v>437194</v>
      </c>
      <c r="G4883" s="138" t="n"/>
      <c r="H4883" s="138" t="n">
        <v>394</v>
      </c>
      <c r="I4883" s="138">
        <f>+I4882+(G4883-H4883)</f>
        <v/>
      </c>
      <c r="J4883" s="139" t="n">
        <v>46.81</v>
      </c>
      <c r="K4883" s="140" t="n"/>
      <c r="L4883" s="140">
        <f>+H4883*J4883</f>
        <v/>
      </c>
      <c r="M4883" s="141">
        <f>SUM(M4882+K4883-L4883)</f>
        <v/>
      </c>
    </row>
    <row r="4884">
      <c r="A4884" s="20" t="n">
        <v>45909</v>
      </c>
      <c r="B4884" s="21" t="n">
        <v>15550</v>
      </c>
      <c r="C4884" s="22" t="inlineStr">
        <is>
          <t>SELİM İNŞAAT</t>
        </is>
      </c>
      <c r="D4884" s="21" t="inlineStr">
        <is>
          <t>34 EDC 086</t>
        </is>
      </c>
      <c r="E4884" s="21" t="inlineStr">
        <is>
          <t>ÖMER AĞAYAR</t>
        </is>
      </c>
      <c r="F4884" s="23" t="n">
        <v>348471</v>
      </c>
      <c r="G4884" s="138" t="n"/>
      <c r="H4884" s="138" t="n">
        <v>433</v>
      </c>
      <c r="I4884" s="138">
        <f>+I4883+(G4884-H4884)</f>
        <v/>
      </c>
      <c r="J4884" s="139" t="n">
        <v>46.81</v>
      </c>
      <c r="K4884" s="140" t="n"/>
      <c r="L4884" s="140">
        <f>+H4884*J4884</f>
        <v/>
      </c>
      <c r="M4884" s="141">
        <f>SUM(M4883+K4884-L4884)</f>
        <v/>
      </c>
    </row>
    <row r="4885">
      <c r="A4885" s="20" t="n">
        <v>45909</v>
      </c>
      <c r="B4885" s="21" t="n">
        <v>1721</v>
      </c>
      <c r="C4885" s="22" t="inlineStr">
        <is>
          <t>SELİM İNŞAAT</t>
        </is>
      </c>
      <c r="D4885" s="21" t="inlineStr">
        <is>
          <t>34 DGP 137</t>
        </is>
      </c>
      <c r="E4885" s="21" t="inlineStr">
        <is>
          <t>GÜRAY KOYUNCU</t>
        </is>
      </c>
      <c r="F4885" s="23" t="n">
        <v>445053</v>
      </c>
      <c r="G4885" s="138" t="n"/>
      <c r="H4885" s="138" t="n">
        <v>333</v>
      </c>
      <c r="I4885" s="138">
        <f>+I4884+(G4885-H4885)</f>
        <v/>
      </c>
      <c r="J4885" s="139" t="n">
        <v>46.81</v>
      </c>
      <c r="K4885" s="140" t="n"/>
      <c r="L4885" s="140">
        <f>+H4885*J4885</f>
        <v/>
      </c>
      <c r="M4885" s="141">
        <f>SUM(M4884+K4885-L4885)</f>
        <v/>
      </c>
    </row>
    <row r="4886">
      <c r="A4886" s="20" t="n">
        <v>45909</v>
      </c>
      <c r="B4886" s="21" t="n">
        <v>1124</v>
      </c>
      <c r="C4886" s="22" t="inlineStr">
        <is>
          <t>SELİM İNŞAAT</t>
        </is>
      </c>
      <c r="D4886" s="21" t="inlineStr">
        <is>
          <t>34 EDB 659</t>
        </is>
      </c>
      <c r="E4886" s="21" t="inlineStr">
        <is>
          <t>MEHMET SAİT ANIK</t>
        </is>
      </c>
      <c r="F4886" s="23" t="n">
        <v>365045</v>
      </c>
      <c r="G4886" s="138" t="n"/>
      <c r="H4886" s="138" t="n">
        <v>369</v>
      </c>
      <c r="I4886" s="138">
        <f>+I4885+(G4886-H4886)</f>
        <v/>
      </c>
      <c r="J4886" s="139" t="n">
        <v>46.81</v>
      </c>
      <c r="K4886" s="140" t="n"/>
      <c r="L4886" s="140">
        <f>+H4886*J4886</f>
        <v/>
      </c>
      <c r="M4886" s="141">
        <f>SUM(M4885+K4886-L4886)</f>
        <v/>
      </c>
    </row>
    <row r="4887">
      <c r="A4887" s="20" t="n">
        <v>45909</v>
      </c>
      <c r="B4887" s="21" t="n">
        <v>2254</v>
      </c>
      <c r="C4887" s="22" t="inlineStr">
        <is>
          <t>SELİM İNŞAAT</t>
        </is>
      </c>
      <c r="D4887" s="21" t="inlineStr">
        <is>
          <t>34 DSN 636</t>
        </is>
      </c>
      <c r="E4887" s="21" t="inlineStr">
        <is>
          <t>MAHSUN GÜVEN</t>
        </is>
      </c>
      <c r="F4887" s="23" t="n">
        <v>408374</v>
      </c>
      <c r="G4887" s="138" t="n"/>
      <c r="H4887" s="138" t="n">
        <v>477</v>
      </c>
      <c r="I4887" s="138">
        <f>+I4886+(G4887-H4887)</f>
        <v/>
      </c>
      <c r="J4887" s="139" t="n">
        <v>46.81</v>
      </c>
      <c r="K4887" s="140" t="n"/>
      <c r="L4887" s="140">
        <f>+H4887*J4887</f>
        <v/>
      </c>
      <c r="M4887" s="141">
        <f>SUM(M4886+K4887-L4887)</f>
        <v/>
      </c>
    </row>
    <row r="4888">
      <c r="A4888" s="20" t="n">
        <v>45909</v>
      </c>
      <c r="B4888" s="21" t="n">
        <v>1219</v>
      </c>
      <c r="C4888" s="22" t="inlineStr">
        <is>
          <t>SELİM İNŞAAT</t>
        </is>
      </c>
      <c r="D4888" s="21" t="inlineStr">
        <is>
          <t>34 DHC 393</t>
        </is>
      </c>
      <c r="E4888" s="21" t="inlineStr">
        <is>
          <t>ATA KIZMAZ</t>
        </is>
      </c>
      <c r="F4888" s="23" t="n">
        <v>439302</v>
      </c>
      <c r="G4888" s="138" t="n"/>
      <c r="H4888" s="138" t="n">
        <v>483</v>
      </c>
      <c r="I4888" s="138">
        <f>+I4887+(G4888-H4888)</f>
        <v/>
      </c>
      <c r="J4888" s="139" t="n">
        <v>46.81</v>
      </c>
      <c r="K4888" s="140" t="n"/>
      <c r="L4888" s="140">
        <f>+H4888*J4888</f>
        <v/>
      </c>
      <c r="M4888" s="141">
        <f>SUM(M4887+K4888-L4888)</f>
        <v/>
      </c>
    </row>
    <row r="4889">
      <c r="A4889" s="20" t="n">
        <v>45909</v>
      </c>
      <c r="B4889" s="21" t="n">
        <v>585</v>
      </c>
      <c r="C4889" s="22" t="inlineStr">
        <is>
          <t>SELİM İNŞAAT</t>
        </is>
      </c>
      <c r="D4889" s="21" t="inlineStr">
        <is>
          <t>34 EDB 922</t>
        </is>
      </c>
      <c r="E4889" s="21" t="inlineStr">
        <is>
          <t>AHMET TOPÇU</t>
        </is>
      </c>
      <c r="F4889" s="23" t="n">
        <v>384307</v>
      </c>
      <c r="G4889" s="138" t="n"/>
      <c r="H4889" s="138" t="n">
        <v>436</v>
      </c>
      <c r="I4889" s="138">
        <f>+I4888+(G4889-H4889)</f>
        <v/>
      </c>
      <c r="J4889" s="139" t="n">
        <v>46.81</v>
      </c>
      <c r="K4889" s="140" t="n"/>
      <c r="L4889" s="140">
        <f>+H4889*J4889</f>
        <v/>
      </c>
      <c r="M4889" s="141">
        <f>SUM(M4888+K4889-L4889)</f>
        <v/>
      </c>
    </row>
    <row r="4890">
      <c r="A4890" s="20" t="n">
        <v>45909</v>
      </c>
      <c r="B4890" s="21" t="n">
        <v>334</v>
      </c>
      <c r="C4890" s="22" t="inlineStr">
        <is>
          <t>SELİM İNŞAAT</t>
        </is>
      </c>
      <c r="D4890" s="21" t="inlineStr">
        <is>
          <t>34 EDB 829</t>
        </is>
      </c>
      <c r="E4890" s="21" t="inlineStr">
        <is>
          <t>İRFAN DAĞLAR</t>
        </is>
      </c>
      <c r="F4890" s="23" t="n">
        <v>337703</v>
      </c>
      <c r="G4890" s="138" t="n"/>
      <c r="H4890" s="138" t="n">
        <v>364</v>
      </c>
      <c r="I4890" s="138">
        <f>+I4889+(G4890-H4890)</f>
        <v/>
      </c>
      <c r="J4890" s="139" t="n">
        <v>46.81</v>
      </c>
      <c r="K4890" s="140" t="n"/>
      <c r="L4890" s="140">
        <f>+H4890*J4890</f>
        <v/>
      </c>
      <c r="M4890" s="141">
        <f>SUM(M4889+K4890-L4890)</f>
        <v/>
      </c>
    </row>
    <row r="4891">
      <c r="A4891" s="20" t="n">
        <v>45909</v>
      </c>
      <c r="B4891" s="21" t="n">
        <v>2561</v>
      </c>
      <c r="C4891" s="22" t="inlineStr">
        <is>
          <t>SELİM İNŞAAT</t>
        </is>
      </c>
      <c r="D4891" s="21" t="inlineStr">
        <is>
          <t>34 GER 028</t>
        </is>
      </c>
      <c r="E4891" s="21" t="inlineStr">
        <is>
          <t>A.KERİM ERGEN</t>
        </is>
      </c>
      <c r="F4891" s="23" t="n">
        <v>52189</v>
      </c>
      <c r="G4891" s="138" t="n"/>
      <c r="H4891" s="138" t="n">
        <v>205</v>
      </c>
      <c r="I4891" s="138">
        <f>+I4890+(G4891-H4891)</f>
        <v/>
      </c>
      <c r="J4891" s="139" t="n">
        <v>46.81</v>
      </c>
      <c r="K4891" s="140" t="n"/>
      <c r="L4891" s="140">
        <f>+H4891*J4891</f>
        <v/>
      </c>
      <c r="M4891" s="141">
        <f>SUM(M4890+K4891-L4891)</f>
        <v/>
      </c>
    </row>
    <row r="4892">
      <c r="A4892" s="20" t="n">
        <v>45909</v>
      </c>
      <c r="B4892" s="21" t="n">
        <v>1416</v>
      </c>
      <c r="C4892" s="22" t="inlineStr">
        <is>
          <t>SELİM İNŞAAT</t>
        </is>
      </c>
      <c r="D4892" s="21" t="inlineStr">
        <is>
          <t>34 DKL 798</t>
        </is>
      </c>
      <c r="E4892" s="21" t="inlineStr">
        <is>
          <t>METİN KALKAN</t>
        </is>
      </c>
      <c r="F4892" s="23" t="n">
        <v>72831</v>
      </c>
      <c r="G4892" s="138" t="n"/>
      <c r="H4892" s="138" t="n">
        <v>278</v>
      </c>
      <c r="I4892" s="138">
        <f>+I4891+(G4892-H4892)</f>
        <v/>
      </c>
      <c r="J4892" s="139" t="n">
        <v>46.81</v>
      </c>
      <c r="K4892" s="140" t="n"/>
      <c r="L4892" s="140">
        <f>+H4892*J4892</f>
        <v/>
      </c>
      <c r="M4892" s="141">
        <f>SUM(M4891+K4892-L4892)</f>
        <v/>
      </c>
    </row>
    <row r="4893">
      <c r="A4893" s="20" t="n">
        <v>45909</v>
      </c>
      <c r="B4893" s="21" t="n">
        <v>15200</v>
      </c>
      <c r="C4893" s="22" t="inlineStr">
        <is>
          <t>SELİM İNŞAAT</t>
        </is>
      </c>
      <c r="D4893" s="21" t="inlineStr">
        <is>
          <t>34 DP 4161</t>
        </is>
      </c>
      <c r="E4893" s="21" t="inlineStr">
        <is>
          <t>RIFAT KARATAY</t>
        </is>
      </c>
      <c r="F4893" s="23" t="n">
        <v>299434</v>
      </c>
      <c r="G4893" s="138" t="n"/>
      <c r="H4893" s="138" t="n">
        <v>230</v>
      </c>
      <c r="I4893" s="138">
        <f>+I4892+(G4893-H4893)</f>
        <v/>
      </c>
      <c r="J4893" s="139" t="n">
        <v>46.81</v>
      </c>
      <c r="K4893" s="140" t="n"/>
      <c r="L4893" s="140">
        <f>+H4893*J4893</f>
        <v/>
      </c>
      <c r="M4893" s="141">
        <f>SUM(M4892+K4893-L4893)</f>
        <v/>
      </c>
    </row>
    <row r="4894">
      <c r="A4894" s="20" t="n">
        <v>45909</v>
      </c>
      <c r="B4894" s="21" t="n">
        <v>619</v>
      </c>
      <c r="C4894" s="22" t="inlineStr">
        <is>
          <t>SELİM İNŞAAT</t>
        </is>
      </c>
      <c r="D4894" s="21" t="inlineStr">
        <is>
          <t>34 AR 7743</t>
        </is>
      </c>
      <c r="E4894" s="21" t="inlineStr">
        <is>
          <t>MEHMET SELİM</t>
        </is>
      </c>
      <c r="F4894" s="23" t="n">
        <v>362483</v>
      </c>
      <c r="G4894" s="138" t="n"/>
      <c r="H4894" s="138" t="n">
        <v>37</v>
      </c>
      <c r="I4894" s="138">
        <f>+I4893+(G4894-H4894)</f>
        <v/>
      </c>
      <c r="J4894" s="139" t="n">
        <v>46.81</v>
      </c>
      <c r="K4894" s="140" t="n"/>
      <c r="L4894" s="140">
        <f>+H4894*J4894</f>
        <v/>
      </c>
      <c r="M4894" s="141">
        <f>SUM(M4893+K4894-L4894)</f>
        <v/>
      </c>
    </row>
    <row r="4895">
      <c r="A4895" s="20" t="n">
        <v>45909</v>
      </c>
      <c r="B4895" s="21" t="n">
        <v>2611</v>
      </c>
      <c r="C4895" s="22" t="inlineStr">
        <is>
          <t>SELİM İNŞAAT</t>
        </is>
      </c>
      <c r="D4895" s="21" t="inlineStr">
        <is>
          <t>34 GU 945</t>
        </is>
      </c>
      <c r="E4895" s="21" t="inlineStr">
        <is>
          <t>ŞERİF KARTAL</t>
        </is>
      </c>
      <c r="F4895" s="23" t="n">
        <v>457779</v>
      </c>
      <c r="G4895" s="138" t="n"/>
      <c r="H4895" s="138" t="n">
        <v>58</v>
      </c>
      <c r="I4895" s="138">
        <f>+I4894+(G4895-H4895)</f>
        <v/>
      </c>
      <c r="J4895" s="139" t="n">
        <v>46.81</v>
      </c>
      <c r="K4895" s="140" t="n"/>
      <c r="L4895" s="140">
        <f>+H4895*J4895</f>
        <v/>
      </c>
      <c r="M4895" s="141">
        <f>SUM(M4894+K4895-L4895)</f>
        <v/>
      </c>
    </row>
    <row r="4896">
      <c r="A4896" s="20" t="n">
        <v>45909</v>
      </c>
      <c r="B4896" s="21" t="n">
        <v>482</v>
      </c>
      <c r="C4896" s="22" t="inlineStr">
        <is>
          <t>SELİM İNŞAAT</t>
        </is>
      </c>
      <c r="D4896" s="21" t="inlineStr">
        <is>
          <t>34 DKL 866</t>
        </is>
      </c>
      <c r="E4896" s="21" t="inlineStr">
        <is>
          <t>SELİM CAN ÖNVER</t>
        </is>
      </c>
      <c r="F4896" s="23" t="n">
        <v>74021</v>
      </c>
      <c r="G4896" s="138" t="n"/>
      <c r="H4896" s="138" t="n">
        <v>179</v>
      </c>
      <c r="I4896" s="138">
        <f>+I4895+(G4896-H4896)</f>
        <v/>
      </c>
      <c r="J4896" s="139" t="n">
        <v>46.81</v>
      </c>
      <c r="K4896" s="140" t="n"/>
      <c r="L4896" s="140">
        <f>+H4896*J4896</f>
        <v/>
      </c>
      <c r="M4896" s="141">
        <f>SUM(M4895+K4896-L4896)</f>
        <v/>
      </c>
    </row>
    <row r="4897">
      <c r="A4897" s="20" t="n">
        <v>45909</v>
      </c>
      <c r="B4897" s="21" t="n">
        <v>2223</v>
      </c>
      <c r="C4897" s="22" t="inlineStr">
        <is>
          <t>AZGÜN YAPI</t>
        </is>
      </c>
      <c r="D4897" s="21" t="inlineStr">
        <is>
          <t>34 DTV 263</t>
        </is>
      </c>
      <c r="E4897" s="21" t="inlineStr">
        <is>
          <t>MUHAMMET BULUT</t>
        </is>
      </c>
      <c r="F4897" s="23" t="n"/>
      <c r="G4897" s="138" t="n"/>
      <c r="H4897" s="138" t="n">
        <v>190</v>
      </c>
      <c r="I4897" s="138">
        <f>+I4896+(G4897-H4897)</f>
        <v/>
      </c>
      <c r="J4897" s="139" t="n">
        <v>46.81</v>
      </c>
      <c r="K4897" s="140" t="n"/>
      <c r="L4897" s="140">
        <f>+H4897*J4897</f>
        <v/>
      </c>
      <c r="M4897" s="141">
        <f>SUM(M4896+K4897-L4897)</f>
        <v/>
      </c>
    </row>
    <row r="4898">
      <c r="A4898" s="20" t="n">
        <v>45909</v>
      </c>
      <c r="B4898" s="21" t="n">
        <v>1354</v>
      </c>
      <c r="C4898" s="22" t="inlineStr">
        <is>
          <t>AZGÜN YAPI</t>
        </is>
      </c>
      <c r="D4898" s="21" t="inlineStr">
        <is>
          <t>34 MKT 859</t>
        </is>
      </c>
      <c r="E4898" s="21" t="inlineStr">
        <is>
          <t>ONUR CANLI</t>
        </is>
      </c>
      <c r="F4898" s="23" t="n"/>
      <c r="G4898" s="138" t="n"/>
      <c r="H4898" s="138" t="n">
        <v>532</v>
      </c>
      <c r="I4898" s="138">
        <f>+I4897+(G4898-H4898)</f>
        <v/>
      </c>
      <c r="J4898" s="139" t="n">
        <v>46.81</v>
      </c>
      <c r="K4898" s="140" t="n"/>
      <c r="L4898" s="140">
        <f>+H4898*J4898</f>
        <v/>
      </c>
      <c r="M4898" s="141">
        <f>SUM(M4897+K4898-L4898)</f>
        <v/>
      </c>
    </row>
    <row r="4899">
      <c r="A4899" s="20" t="n">
        <v>45909</v>
      </c>
      <c r="B4899" s="21" t="n">
        <v>15647</v>
      </c>
      <c r="C4899" s="22" t="inlineStr">
        <is>
          <t>METİN ERYİĞİT</t>
        </is>
      </c>
      <c r="D4899" s="21" t="inlineStr">
        <is>
          <t>34 EGS 013</t>
        </is>
      </c>
      <c r="E4899" s="21" t="inlineStr">
        <is>
          <t xml:space="preserve">UĞUR DUMAN </t>
        </is>
      </c>
      <c r="F4899" s="23" t="n">
        <v>513139</v>
      </c>
      <c r="G4899" s="138" t="n"/>
      <c r="H4899" s="138" t="n">
        <v>433</v>
      </c>
      <c r="I4899" s="138">
        <f>+I4898+(G4899-H4899)</f>
        <v/>
      </c>
      <c r="J4899" s="139" t="n">
        <v>46.81</v>
      </c>
      <c r="K4899" s="140" t="n"/>
      <c r="L4899" s="140">
        <f>+H4899*J4899</f>
        <v/>
      </c>
      <c r="M4899" s="141">
        <f>SUM(M4898+K4899-L4899)</f>
        <v/>
      </c>
    </row>
    <row r="4900">
      <c r="A4900" s="20" t="n">
        <v>45909</v>
      </c>
      <c r="B4900" s="21" t="n">
        <v>731</v>
      </c>
      <c r="C4900" s="22" t="inlineStr">
        <is>
          <t>METİN ERYİĞİT</t>
        </is>
      </c>
      <c r="D4900" s="21" t="inlineStr">
        <is>
          <t>34 GBL 998</t>
        </is>
      </c>
      <c r="E4900" s="21" t="inlineStr">
        <is>
          <t>ALİ KESKİN</t>
        </is>
      </c>
      <c r="F4900" s="23" t="n">
        <v>294191</v>
      </c>
      <c r="G4900" s="138" t="n"/>
      <c r="H4900" s="138" t="n">
        <v>460</v>
      </c>
      <c r="I4900" s="138">
        <f>+I4899+(G4900-H4900)</f>
        <v/>
      </c>
      <c r="J4900" s="139" t="n">
        <v>46.81</v>
      </c>
      <c r="K4900" s="140" t="n"/>
      <c r="L4900" s="140">
        <f>+H4900*J4900</f>
        <v/>
      </c>
      <c r="M4900" s="141">
        <f>SUM(M4899+K4900-L4900)</f>
        <v/>
      </c>
    </row>
    <row r="4901">
      <c r="A4901" s="20" t="n">
        <v>45909</v>
      </c>
      <c r="B4901" s="21" t="n">
        <v>2180</v>
      </c>
      <c r="C4901" s="22" t="inlineStr">
        <is>
          <t>MEGA VARLIK</t>
        </is>
      </c>
      <c r="D4901" s="21" t="inlineStr">
        <is>
          <t>SM 350</t>
        </is>
      </c>
      <c r="E4901" s="21" t="inlineStr">
        <is>
          <t>AHMET AKGÜL</t>
        </is>
      </c>
      <c r="F4901" s="23" t="n"/>
      <c r="G4901" s="138" t="n"/>
      <c r="H4901" s="138" t="n">
        <v>502</v>
      </c>
      <c r="I4901" s="138">
        <f>+I4900+(G4901-H4901)</f>
        <v/>
      </c>
      <c r="J4901" s="139" t="n">
        <v>46.81</v>
      </c>
      <c r="K4901" s="140" t="n"/>
      <c r="L4901" s="140">
        <f>+H4901*J4901</f>
        <v/>
      </c>
      <c r="M4901" s="141">
        <f>SUM(M4900+K4901-L4901)</f>
        <v/>
      </c>
    </row>
    <row r="4902">
      <c r="A4902" s="20" t="n">
        <v>45909</v>
      </c>
      <c r="B4902" s="21" t="n">
        <v>2181</v>
      </c>
      <c r="C4902" s="22" t="inlineStr">
        <is>
          <t>MEGA VARLIK</t>
        </is>
      </c>
      <c r="D4902" s="21" t="inlineStr">
        <is>
          <t>SM 350</t>
        </is>
      </c>
      <c r="E4902" s="21" t="inlineStr">
        <is>
          <t xml:space="preserve"> TEVFİK</t>
        </is>
      </c>
      <c r="F4902" s="23" t="n"/>
      <c r="G4902" s="138" t="n"/>
      <c r="H4902" s="138" t="n">
        <v>444</v>
      </c>
      <c r="I4902" s="138">
        <f>+I4901+(G4902-H4902)</f>
        <v/>
      </c>
      <c r="J4902" s="139" t="n">
        <v>46.81</v>
      </c>
      <c r="K4902" s="140" t="n"/>
      <c r="L4902" s="140">
        <f>+H4902*J4902</f>
        <v/>
      </c>
      <c r="M4902" s="141">
        <f>SUM(M4901+K4902-L4902)</f>
        <v/>
      </c>
    </row>
    <row r="4903">
      <c r="A4903" s="20" t="n">
        <v>45909</v>
      </c>
      <c r="B4903" s="21" t="n">
        <v>2182</v>
      </c>
      <c r="C4903" s="22" t="inlineStr">
        <is>
          <t>MEGA VARLIK</t>
        </is>
      </c>
      <c r="D4903" s="1" t="inlineStr">
        <is>
          <t>HİTACİ</t>
        </is>
      </c>
      <c r="E4903" s="1" t="inlineStr">
        <is>
          <t>TURGUT SANCAK</t>
        </is>
      </c>
      <c r="F4903" s="23" t="n"/>
      <c r="G4903" s="138" t="n"/>
      <c r="H4903" s="138" t="n">
        <v>414</v>
      </c>
      <c r="I4903" s="138">
        <f>+I4902+(G4903-H4903)</f>
        <v/>
      </c>
      <c r="J4903" s="139" t="n">
        <v>46.81</v>
      </c>
      <c r="K4903" s="140" t="n"/>
      <c r="L4903" s="140">
        <f>+H4903*J4903</f>
        <v/>
      </c>
      <c r="M4903" s="141">
        <f>SUM(M4902+K4903-L4903)</f>
        <v/>
      </c>
    </row>
    <row r="4904">
      <c r="A4904" s="20" t="n">
        <v>45909</v>
      </c>
      <c r="B4904" s="21" t="n">
        <v>2183</v>
      </c>
      <c r="C4904" s="22" t="inlineStr">
        <is>
          <t>HASALTUN</t>
        </is>
      </c>
      <c r="D4904" s="21" t="inlineStr">
        <is>
          <t>SM 300</t>
        </is>
      </c>
      <c r="E4904" s="21" t="inlineStr">
        <is>
          <t xml:space="preserve"> MEHMET ALİ</t>
        </is>
      </c>
      <c r="F4904" s="23" t="n"/>
      <c r="G4904" s="138" t="n"/>
      <c r="H4904" s="138" t="n">
        <v>355</v>
      </c>
      <c r="I4904" s="138">
        <f>+I4903+(G4904-H4904)</f>
        <v/>
      </c>
      <c r="J4904" s="139" t="n">
        <v>46.81</v>
      </c>
      <c r="K4904" s="140" t="n"/>
      <c r="L4904" s="140">
        <f>+H4904*J4904</f>
        <v/>
      </c>
      <c r="M4904" s="141">
        <f>SUM(M4903+K4904-L4904)</f>
        <v/>
      </c>
    </row>
    <row r="4905">
      <c r="A4905" s="20" t="n">
        <v>45909</v>
      </c>
      <c r="B4905" s="21" t="n">
        <v>2184</v>
      </c>
      <c r="C4905" s="22" t="inlineStr">
        <is>
          <t>HASALTUN</t>
        </is>
      </c>
      <c r="D4905" s="1" t="inlineStr">
        <is>
          <t>KAVAZAKİ</t>
        </is>
      </c>
      <c r="E4905" s="1" t="inlineStr">
        <is>
          <t>RAMAZAN KAYA</t>
        </is>
      </c>
      <c r="F4905" s="23" t="n"/>
      <c r="G4905" s="138" t="n"/>
      <c r="H4905" s="138" t="n">
        <v>340</v>
      </c>
      <c r="I4905" s="138">
        <f>+I4904+(G4905-H4905)</f>
        <v/>
      </c>
      <c r="J4905" s="139" t="n">
        <v>46.81</v>
      </c>
      <c r="K4905" s="140" t="n"/>
      <c r="L4905" s="140">
        <f>+H4905*J4905</f>
        <v/>
      </c>
      <c r="M4905" s="141">
        <f>SUM(M4904+K4905-L4905)</f>
        <v/>
      </c>
    </row>
    <row r="4906">
      <c r="A4906" s="20" t="n">
        <v>45909</v>
      </c>
      <c r="B4906" s="21" t="n">
        <v>2185</v>
      </c>
      <c r="C4906" s="22" t="inlineStr">
        <is>
          <t>HASALTUN</t>
        </is>
      </c>
      <c r="D4906" s="21" t="inlineStr">
        <is>
          <t xml:space="preserve">SİLİNDİR </t>
        </is>
      </c>
      <c r="E4906" s="21" t="inlineStr">
        <is>
          <t>ÖNER</t>
        </is>
      </c>
      <c r="F4906" s="23" t="n"/>
      <c r="G4906" s="138" t="n"/>
      <c r="H4906" s="138" t="n">
        <v>197</v>
      </c>
      <c r="I4906" s="138">
        <f>+I4905+(G4906-H4906)</f>
        <v/>
      </c>
      <c r="J4906" s="139" t="n">
        <v>46.81</v>
      </c>
      <c r="K4906" s="140" t="n"/>
      <c r="L4906" s="140">
        <f>+H4906*J4906</f>
        <v/>
      </c>
      <c r="M4906" s="141">
        <f>SUM(M4905+K4906-L4906)</f>
        <v/>
      </c>
    </row>
    <row r="4907">
      <c r="A4907" s="20" t="n">
        <v>45909</v>
      </c>
      <c r="B4907" s="21" t="n">
        <v>2186</v>
      </c>
      <c r="C4907" s="22" t="inlineStr">
        <is>
          <t>HASALTUN</t>
        </is>
      </c>
      <c r="D4907" s="1" t="inlineStr">
        <is>
          <t>MNT 2260</t>
        </is>
      </c>
      <c r="E4907" s="1" t="inlineStr">
        <is>
          <t>MUHAMMET KANTAR</t>
        </is>
      </c>
      <c r="F4907" s="23" t="n"/>
      <c r="G4907" s="138" t="n"/>
      <c r="H4907" s="138" t="n">
        <v>164</v>
      </c>
      <c r="I4907" s="138">
        <f>+I4906+(G4907-H4907)</f>
        <v/>
      </c>
      <c r="J4907" s="139" t="n">
        <v>46.81</v>
      </c>
      <c r="K4907" s="140" t="n"/>
      <c r="L4907" s="140">
        <f>+H4907*J4907</f>
        <v/>
      </c>
      <c r="M4907" s="141">
        <f>SUM(M4906+K4907-L4907)</f>
        <v/>
      </c>
    </row>
    <row r="4908">
      <c r="A4908" s="20" t="n">
        <v>45909</v>
      </c>
      <c r="B4908" s="21" t="n">
        <v>2187</v>
      </c>
      <c r="C4908" s="22" t="inlineStr">
        <is>
          <t>OFİS</t>
        </is>
      </c>
      <c r="D4908" s="21" t="inlineStr">
        <is>
          <t>FOKLİFT</t>
        </is>
      </c>
      <c r="E4908" s="21" t="n"/>
      <c r="F4908" s="23" t="n"/>
      <c r="G4908" s="138" t="n"/>
      <c r="H4908" s="138" t="n">
        <v>173</v>
      </c>
      <c r="I4908" s="138">
        <f>+I4907+(G4908-H4908)</f>
        <v/>
      </c>
      <c r="J4908" s="139" t="n">
        <v>46.81</v>
      </c>
      <c r="K4908" s="140" t="n"/>
      <c r="L4908" s="140">
        <f>+H4908*J4908</f>
        <v/>
      </c>
      <c r="M4908" s="141">
        <f>SUM(M4907+K4908-L4908)</f>
        <v/>
      </c>
    </row>
    <row r="4909">
      <c r="A4909" s="20" t="n">
        <v>45909</v>
      </c>
      <c r="B4909" s="21" t="n">
        <v>2188</v>
      </c>
      <c r="C4909" s="22" t="inlineStr">
        <is>
          <t>VARLIK</t>
        </is>
      </c>
      <c r="D4909" s="1" t="inlineStr">
        <is>
          <t>34 AZ 2191 VİNÇ</t>
        </is>
      </c>
      <c r="E4909" s="21" t="inlineStr">
        <is>
          <t>NUMAN</t>
        </is>
      </c>
      <c r="F4909" s="23" t="n"/>
      <c r="G4909" s="138" t="n"/>
      <c r="H4909" s="138" t="n">
        <v>38</v>
      </c>
      <c r="I4909" s="138">
        <f>+I4908+(G4909-H4909)</f>
        <v/>
      </c>
      <c r="J4909" s="139" t="n">
        <v>46.81</v>
      </c>
      <c r="K4909" s="140" t="n"/>
      <c r="L4909" s="140">
        <f>+H4909*J4909</f>
        <v/>
      </c>
      <c r="M4909" s="141">
        <f>SUM(M4908+K4909-L4909)</f>
        <v/>
      </c>
    </row>
    <row r="4910">
      <c r="A4910" s="20" t="n">
        <v>45910</v>
      </c>
      <c r="B4910" s="21" t="n">
        <v>15233</v>
      </c>
      <c r="C4910" s="22" t="inlineStr">
        <is>
          <t>SELİM İNŞAAT</t>
        </is>
      </c>
      <c r="D4910" s="21" t="inlineStr">
        <is>
          <t>34 DSN 565</t>
        </is>
      </c>
      <c r="E4910" s="21" t="inlineStr">
        <is>
          <t>HÜSEYİN DENİZ</t>
        </is>
      </c>
      <c r="F4910" s="23" t="n">
        <v>417578</v>
      </c>
      <c r="G4910" s="138" t="n"/>
      <c r="H4910" s="138" t="n">
        <v>491</v>
      </c>
      <c r="I4910" s="138">
        <f>+I4909+(G4910-H4910)</f>
        <v/>
      </c>
      <c r="J4910" s="139" t="n">
        <v>46.81</v>
      </c>
      <c r="K4910" s="140" t="n"/>
      <c r="L4910" s="140">
        <f>+H4910*J4910</f>
        <v/>
      </c>
      <c r="M4910" s="141">
        <f>SUM(M4909+K4910-L4910)</f>
        <v/>
      </c>
    </row>
    <row r="4911">
      <c r="A4911" s="20" t="n">
        <v>45910</v>
      </c>
      <c r="B4911" s="21" t="n">
        <v>15138</v>
      </c>
      <c r="C4911" s="22" t="inlineStr">
        <is>
          <t>SELİM İNŞAAT</t>
        </is>
      </c>
      <c r="D4911" s="21" t="inlineStr">
        <is>
          <t>34 DTV 599</t>
        </is>
      </c>
      <c r="E4911" s="21" t="inlineStr">
        <is>
          <t>FERHAT GÜRLER</t>
        </is>
      </c>
      <c r="F4911" s="23" t="n">
        <v>452519</v>
      </c>
      <c r="G4911" s="138" t="n"/>
      <c r="H4911" s="138" t="n">
        <v>398</v>
      </c>
      <c r="I4911" s="138">
        <f>+I4910+(G4911-H4911)</f>
        <v/>
      </c>
      <c r="J4911" s="139" t="n">
        <v>46.81</v>
      </c>
      <c r="K4911" s="140" t="n"/>
      <c r="L4911" s="140">
        <f>+H4911*J4911</f>
        <v/>
      </c>
      <c r="M4911" s="141">
        <f>SUM(M4910+K4911-L4911)</f>
        <v/>
      </c>
    </row>
    <row r="4912">
      <c r="A4912" s="20" t="n">
        <v>45910</v>
      </c>
      <c r="B4912" s="21" t="n">
        <v>870</v>
      </c>
      <c r="C4912" s="22" t="inlineStr">
        <is>
          <t>SELİM İNŞAAT</t>
        </is>
      </c>
      <c r="D4912" s="21" t="inlineStr">
        <is>
          <t>34 FSG 229</t>
        </is>
      </c>
      <c r="E4912" s="21" t="inlineStr">
        <is>
          <t>SİNAN TANRIVERDİ</t>
        </is>
      </c>
      <c r="F4912" s="23" t="n">
        <v>276873</v>
      </c>
      <c r="G4912" s="138" t="n"/>
      <c r="H4912" s="138" t="n">
        <v>397</v>
      </c>
      <c r="I4912" s="138">
        <f>+I4911+(G4912-H4912)</f>
        <v/>
      </c>
      <c r="J4912" s="139" t="n">
        <v>46.81</v>
      </c>
      <c r="K4912" s="140" t="n"/>
      <c r="L4912" s="140">
        <f>+H4912*J4912</f>
        <v/>
      </c>
      <c r="M4912" s="141">
        <f>SUM(M4911+K4912-L4912)</f>
        <v/>
      </c>
    </row>
    <row r="4913">
      <c r="A4913" s="20" t="n">
        <v>45910</v>
      </c>
      <c r="B4913" s="21" t="n">
        <v>40</v>
      </c>
      <c r="C4913" s="22" t="inlineStr">
        <is>
          <t>SELİM İNŞAAT</t>
        </is>
      </c>
      <c r="D4913" s="21" t="inlineStr">
        <is>
          <t>34 FBR 748</t>
        </is>
      </c>
      <c r="E4913" s="21" t="inlineStr">
        <is>
          <t>YAŞAR ÖZKAYA</t>
        </is>
      </c>
      <c r="F4913" s="23" t="n">
        <v>304620</v>
      </c>
      <c r="G4913" s="138" t="n"/>
      <c r="H4913" s="138" t="n">
        <v>345</v>
      </c>
      <c r="I4913" s="138">
        <f>+I4912+(G4913-H4913)</f>
        <v/>
      </c>
      <c r="J4913" s="139" t="n">
        <v>46.81</v>
      </c>
      <c r="K4913" s="140" t="n"/>
      <c r="L4913" s="140">
        <f>+H4913*J4913</f>
        <v/>
      </c>
      <c r="M4913" s="141">
        <f>SUM(M4912+K4913-L4913)</f>
        <v/>
      </c>
    </row>
    <row r="4914">
      <c r="A4914" s="20" t="n">
        <v>45910</v>
      </c>
      <c r="B4914" s="21" t="n">
        <v>428</v>
      </c>
      <c r="C4914" s="22" t="inlineStr">
        <is>
          <t>SELİM İNŞAAT</t>
        </is>
      </c>
      <c r="D4914" s="21" t="inlineStr">
        <is>
          <t>34 DRU 690</t>
        </is>
      </c>
      <c r="E4914" s="21" t="inlineStr">
        <is>
          <t>MURAT SARI</t>
        </is>
      </c>
      <c r="F4914" s="23" t="n">
        <v>436576</v>
      </c>
      <c r="G4914" s="138" t="n"/>
      <c r="H4914" s="138" t="n">
        <v>287</v>
      </c>
      <c r="I4914" s="138">
        <f>+I4913+(G4914-H4914)</f>
        <v/>
      </c>
      <c r="J4914" s="139" t="n">
        <v>46.81</v>
      </c>
      <c r="K4914" s="140" t="n"/>
      <c r="L4914" s="140">
        <f>+H4914*J4914</f>
        <v/>
      </c>
      <c r="M4914" s="141">
        <f>SUM(M4913+K4914-L4914)</f>
        <v/>
      </c>
    </row>
    <row r="4915">
      <c r="A4915" s="20" t="n">
        <v>45910</v>
      </c>
      <c r="B4915" s="21" t="n">
        <v>2807</v>
      </c>
      <c r="C4915" s="22" t="inlineStr">
        <is>
          <t>SELİM İNŞAAT</t>
        </is>
      </c>
      <c r="D4915" s="21" t="inlineStr">
        <is>
          <t>34 GVZ 745</t>
        </is>
      </c>
      <c r="E4915" s="21" t="inlineStr">
        <is>
          <t>MURAT DEMİRBAŞ</t>
        </is>
      </c>
      <c r="F4915" s="23" t="n">
        <v>210042</v>
      </c>
      <c r="G4915" s="138" t="n"/>
      <c r="H4915" s="138" t="n">
        <v>470</v>
      </c>
      <c r="I4915" s="138">
        <f>+I4914+(G4915-H4915)</f>
        <v/>
      </c>
      <c r="J4915" s="139" t="n">
        <v>46.81</v>
      </c>
      <c r="K4915" s="140" t="n"/>
      <c r="L4915" s="140">
        <f>+H4915*J4915</f>
        <v/>
      </c>
      <c r="M4915" s="141">
        <f>SUM(M4914+K4915-L4915)</f>
        <v/>
      </c>
    </row>
    <row r="4916">
      <c r="A4916" s="20" t="n">
        <v>45910</v>
      </c>
      <c r="B4916" s="21" t="n">
        <v>1577</v>
      </c>
      <c r="C4916" s="22" t="inlineStr">
        <is>
          <t>SELİM İNŞAAT</t>
        </is>
      </c>
      <c r="D4916" s="21" t="inlineStr">
        <is>
          <t>34 GUS 938</t>
        </is>
      </c>
      <c r="E4916" s="21" t="inlineStr">
        <is>
          <t>MEHMET KAYA</t>
        </is>
      </c>
      <c r="F4916" s="23" t="n">
        <v>212309</v>
      </c>
      <c r="G4916" s="138" t="n"/>
      <c r="H4916" s="138" t="n">
        <v>452</v>
      </c>
      <c r="I4916" s="138">
        <f>+I4915+(G4916-H4916)</f>
        <v/>
      </c>
      <c r="J4916" s="139" t="n">
        <v>46.81</v>
      </c>
      <c r="K4916" s="140" t="n"/>
      <c r="L4916" s="140">
        <f>+H4916*J4916</f>
        <v/>
      </c>
      <c r="M4916" s="141">
        <f>SUM(M4915+K4916-L4916)</f>
        <v/>
      </c>
    </row>
    <row r="4917">
      <c r="A4917" s="20" t="n">
        <v>45910</v>
      </c>
      <c r="B4917" s="21" t="n">
        <v>1026</v>
      </c>
      <c r="C4917" s="22" t="inlineStr">
        <is>
          <t>SELİM İNŞAAT</t>
        </is>
      </c>
      <c r="D4917" s="21" t="inlineStr">
        <is>
          <t>34 DHH 668</t>
        </is>
      </c>
      <c r="E4917" s="21" t="inlineStr">
        <is>
          <t>ADNAN KOÇ</t>
        </is>
      </c>
      <c r="F4917" s="23" t="n">
        <v>404555</v>
      </c>
      <c r="G4917" s="138" t="n"/>
      <c r="H4917" s="138" t="n">
        <v>513</v>
      </c>
      <c r="I4917" s="138">
        <f>+I4916+(G4917-H4917)</f>
        <v/>
      </c>
      <c r="J4917" s="139" t="n">
        <v>46.81</v>
      </c>
      <c r="K4917" s="140" t="n"/>
      <c r="L4917" s="140">
        <f>+H4917*J4917</f>
        <v/>
      </c>
      <c r="M4917" s="141">
        <f>SUM(M4916+K4917-L4917)</f>
        <v/>
      </c>
    </row>
    <row r="4918">
      <c r="A4918" s="20" t="n">
        <v>45910</v>
      </c>
      <c r="B4918" s="21" t="n">
        <v>15344</v>
      </c>
      <c r="C4918" s="22" t="inlineStr">
        <is>
          <t>SELİM İNŞAAT</t>
        </is>
      </c>
      <c r="D4918" s="21" t="inlineStr">
        <is>
          <t>34 EDC 162</t>
        </is>
      </c>
      <c r="E4918" s="21" t="inlineStr">
        <is>
          <t>HÜSEYİN DENİZ</t>
        </is>
      </c>
      <c r="F4918" s="23" t="n">
        <v>388411</v>
      </c>
      <c r="G4918" s="138" t="n"/>
      <c r="H4918" s="138" t="n">
        <v>417</v>
      </c>
      <c r="I4918" s="138">
        <f>+I4917+(G4918-H4918)</f>
        <v/>
      </c>
      <c r="J4918" s="139" t="n">
        <v>46.81</v>
      </c>
      <c r="K4918" s="140" t="n"/>
      <c r="L4918" s="140">
        <f>+H4918*J4918</f>
        <v/>
      </c>
      <c r="M4918" s="141">
        <f>SUM(M4917+K4918-L4918)</f>
        <v/>
      </c>
    </row>
    <row r="4919">
      <c r="A4919" s="20" t="n">
        <v>45910</v>
      </c>
      <c r="B4919" s="21" t="n">
        <v>15551</v>
      </c>
      <c r="C4919" s="22" t="inlineStr">
        <is>
          <t>SELİM İNŞAAT</t>
        </is>
      </c>
      <c r="D4919" s="21" t="inlineStr">
        <is>
          <t>34 EDC 086</t>
        </is>
      </c>
      <c r="E4919" s="21" t="inlineStr">
        <is>
          <t>ÖMER AĞAYAR</t>
        </is>
      </c>
      <c r="F4919" s="23" t="n">
        <v>349229</v>
      </c>
      <c r="G4919" s="138" t="n"/>
      <c r="H4919" s="138" t="n">
        <v>489</v>
      </c>
      <c r="I4919" s="138">
        <f>+I4918+(G4919-H4919)</f>
        <v/>
      </c>
      <c r="J4919" s="139" t="n">
        <v>46.81</v>
      </c>
      <c r="K4919" s="140" t="n"/>
      <c r="L4919" s="140">
        <f>+H4919*J4919</f>
        <v/>
      </c>
      <c r="M4919" s="141">
        <f>SUM(M4918+K4919-L4919)</f>
        <v/>
      </c>
    </row>
    <row r="4920">
      <c r="A4920" s="20" t="n">
        <v>45910</v>
      </c>
      <c r="B4920" s="21" t="n">
        <v>133</v>
      </c>
      <c r="C4920" s="22" t="inlineStr">
        <is>
          <t>SELİM İNŞAAT</t>
        </is>
      </c>
      <c r="D4920" s="21" t="inlineStr">
        <is>
          <t>34 FBR 771</t>
        </is>
      </c>
      <c r="E4920" s="21" t="inlineStr">
        <is>
          <t>HÜSEYİN AKÇİN</t>
        </is>
      </c>
      <c r="F4920" s="23" t="n">
        <v>339978</v>
      </c>
      <c r="G4920" s="138" t="n"/>
      <c r="H4920" s="138" t="n">
        <v>482</v>
      </c>
      <c r="I4920" s="138">
        <f>+I4919+(G4920-H4920)</f>
        <v/>
      </c>
      <c r="J4920" s="139" t="n">
        <v>46.81</v>
      </c>
      <c r="K4920" s="140" t="n"/>
      <c r="L4920" s="140">
        <f>+H4920*J4920</f>
        <v/>
      </c>
      <c r="M4920" s="141">
        <f>SUM(M4919+K4920-L4920)</f>
        <v/>
      </c>
    </row>
    <row r="4921">
      <c r="A4921" s="20" t="n">
        <v>45910</v>
      </c>
      <c r="B4921" s="21" t="n">
        <v>1816</v>
      </c>
      <c r="C4921" s="22" t="inlineStr">
        <is>
          <t>SELİM İNŞAAT</t>
        </is>
      </c>
      <c r="D4921" s="21" t="inlineStr">
        <is>
          <t>34 EGR 922</t>
        </is>
      </c>
      <c r="E4921" s="21" t="inlineStr">
        <is>
          <t>FARUK ÖZEN</t>
        </is>
      </c>
      <c r="F4921" s="23" t="n">
        <v>476838</v>
      </c>
      <c r="G4921" s="138" t="n"/>
      <c r="H4921" s="138" t="n">
        <v>457</v>
      </c>
      <c r="I4921" s="138">
        <f>+I4920+(G4921-H4921)</f>
        <v/>
      </c>
      <c r="J4921" s="139" t="n">
        <v>46.81</v>
      </c>
      <c r="K4921" s="140" t="n"/>
      <c r="L4921" s="140">
        <f>+H4921*J4921</f>
        <v/>
      </c>
      <c r="M4921" s="141">
        <f>SUM(M4920+K4921-L4921)</f>
        <v/>
      </c>
    </row>
    <row r="4922">
      <c r="A4922" s="20" t="n">
        <v>45910</v>
      </c>
      <c r="B4922" s="21" t="n">
        <v>1271</v>
      </c>
      <c r="C4922" s="22" t="inlineStr">
        <is>
          <t>SELİM İNŞAAT</t>
        </is>
      </c>
      <c r="D4922" s="21" t="inlineStr">
        <is>
          <t>34 DSN 621</t>
        </is>
      </c>
      <c r="E4922" s="21" t="inlineStr">
        <is>
          <t>KORAY AK</t>
        </is>
      </c>
      <c r="F4922" s="23" t="n">
        <v>430962</v>
      </c>
      <c r="G4922" s="138" t="n"/>
      <c r="H4922" s="138" t="n">
        <v>345</v>
      </c>
      <c r="I4922" s="138">
        <f>+I4921+(G4922-H4922)</f>
        <v/>
      </c>
      <c r="J4922" s="139" t="n">
        <v>46.81</v>
      </c>
      <c r="K4922" s="140" t="n"/>
      <c r="L4922" s="140">
        <f>+H4922*J4922</f>
        <v/>
      </c>
      <c r="M4922" s="141">
        <f>SUM(M4921+K4922-L4922)</f>
        <v/>
      </c>
    </row>
    <row r="4923">
      <c r="A4923" s="20" t="n">
        <v>45910</v>
      </c>
      <c r="B4923" s="21" t="n">
        <v>1125</v>
      </c>
      <c r="C4923" s="22" t="inlineStr">
        <is>
          <t>SELİM İNŞAAT</t>
        </is>
      </c>
      <c r="D4923" s="21" t="inlineStr">
        <is>
          <t>34 EDB 659</t>
        </is>
      </c>
      <c r="E4923" s="21" t="inlineStr">
        <is>
          <t>MEHMET SAİT ANIK</t>
        </is>
      </c>
      <c r="F4923" s="23" t="n">
        <v>365792</v>
      </c>
      <c r="G4923" s="138" t="n"/>
      <c r="H4923" s="138" t="n">
        <v>444</v>
      </c>
      <c r="I4923" s="138">
        <f>+I4922+(G4923-H4923)</f>
        <v/>
      </c>
      <c r="J4923" s="139" t="n">
        <v>46.81</v>
      </c>
      <c r="K4923" s="140" t="n"/>
      <c r="L4923" s="140">
        <f>+H4923*J4923</f>
        <v/>
      </c>
      <c r="M4923" s="141">
        <f>SUM(M4922+K4923-L4923)</f>
        <v/>
      </c>
    </row>
    <row r="4924">
      <c r="A4924" s="20" t="n">
        <v>45910</v>
      </c>
      <c r="B4924" s="21" t="n">
        <v>15994</v>
      </c>
      <c r="C4924" s="22" t="inlineStr">
        <is>
          <t>SELİM İNŞAAT</t>
        </is>
      </c>
      <c r="D4924" s="21" t="inlineStr">
        <is>
          <t>34 FBR 781</t>
        </is>
      </c>
      <c r="E4924" s="21" t="inlineStr">
        <is>
          <t>MEVLÜT POLAT</t>
        </is>
      </c>
      <c r="F4924" s="23" t="n">
        <v>328922</v>
      </c>
      <c r="G4924" s="138" t="n"/>
      <c r="H4924" s="138" t="n">
        <v>475</v>
      </c>
      <c r="I4924" s="138">
        <f>+I4923+(G4924-H4924)</f>
        <v/>
      </c>
      <c r="J4924" s="139" t="n">
        <v>46.81</v>
      </c>
      <c r="K4924" s="140" t="n"/>
      <c r="L4924" s="140">
        <f>+H4924*J4924</f>
        <v/>
      </c>
      <c r="M4924" s="141">
        <f>SUM(M4923+K4924-L4924)</f>
        <v/>
      </c>
    </row>
    <row r="4925">
      <c r="A4925" s="20" t="n">
        <v>45910</v>
      </c>
      <c r="B4925" s="21" t="n">
        <v>778</v>
      </c>
      <c r="C4925" s="22" t="inlineStr">
        <is>
          <t>SELİM İNŞAAT</t>
        </is>
      </c>
      <c r="D4925" s="21" t="inlineStr">
        <is>
          <t>34 EDB 559</t>
        </is>
      </c>
      <c r="E4925" s="21" t="inlineStr">
        <is>
          <t>AZİZ ORUÇ</t>
        </is>
      </c>
      <c r="F4925" s="23" t="n">
        <v>342892</v>
      </c>
      <c r="G4925" s="138" t="n"/>
      <c r="H4925" s="138" t="n">
        <v>466</v>
      </c>
      <c r="I4925" s="138">
        <f>+I4924+(G4925-H4925)</f>
        <v/>
      </c>
      <c r="J4925" s="139" t="n">
        <v>46.81</v>
      </c>
      <c r="K4925" s="140" t="n"/>
      <c r="L4925" s="140">
        <f>+H4925*J4925</f>
        <v/>
      </c>
      <c r="M4925" s="141">
        <f>SUM(M4924+K4925-L4925)</f>
        <v/>
      </c>
    </row>
    <row r="4926">
      <c r="A4926" s="20" t="n">
        <v>45910</v>
      </c>
      <c r="B4926" s="21" t="n">
        <v>1305</v>
      </c>
      <c r="C4926" s="22" t="inlineStr">
        <is>
          <t>SELİM İNŞAAT</t>
        </is>
      </c>
      <c r="D4926" s="21" t="inlineStr">
        <is>
          <t>34 GVZ 199</t>
        </is>
      </c>
      <c r="E4926" s="21" t="inlineStr">
        <is>
          <t>ATA KIZMAZ</t>
        </is>
      </c>
      <c r="F4926" s="23" t="n">
        <v>202253</v>
      </c>
      <c r="G4926" s="138" t="n"/>
      <c r="H4926" s="138" t="n">
        <v>341</v>
      </c>
      <c r="I4926" s="138">
        <f>+I4925+(G4926-H4926)</f>
        <v/>
      </c>
      <c r="J4926" s="139" t="n">
        <v>46.81</v>
      </c>
      <c r="K4926" s="140" t="n"/>
      <c r="L4926" s="140">
        <f>+H4926*J4926</f>
        <v/>
      </c>
      <c r="M4926" s="141">
        <f>SUM(M4925+K4926-L4926)</f>
        <v/>
      </c>
    </row>
    <row r="4927">
      <c r="A4927" s="20" t="n">
        <v>45910</v>
      </c>
      <c r="B4927" s="21" t="n">
        <v>15950</v>
      </c>
      <c r="C4927" s="22" t="inlineStr">
        <is>
          <t>SELİM İNŞAAT</t>
        </is>
      </c>
      <c r="D4927" s="21" t="inlineStr">
        <is>
          <t>34 DFE 454</t>
        </is>
      </c>
      <c r="E4927" s="21" t="inlineStr">
        <is>
          <t>HÜSEYİN ALIN</t>
        </is>
      </c>
      <c r="F4927" s="23" t="n">
        <v>166990</v>
      </c>
      <c r="G4927" s="138" t="n"/>
      <c r="H4927" s="138" t="n">
        <v>237</v>
      </c>
      <c r="I4927" s="138">
        <f>+I4926+(G4927-H4927)</f>
        <v/>
      </c>
      <c r="J4927" s="139" t="n">
        <v>46.81</v>
      </c>
      <c r="K4927" s="140" t="n"/>
      <c r="L4927" s="140">
        <f>+H4927*J4927</f>
        <v/>
      </c>
      <c r="M4927" s="141">
        <f>SUM(M4926+K4927-L4927)</f>
        <v/>
      </c>
    </row>
    <row r="4928">
      <c r="A4928" s="20" t="n">
        <v>45910</v>
      </c>
      <c r="B4928" s="21" t="n">
        <v>1417</v>
      </c>
      <c r="C4928" s="22" t="inlineStr">
        <is>
          <t>SELİM İNŞAAT</t>
        </is>
      </c>
      <c r="D4928" s="21" t="inlineStr">
        <is>
          <t>34 DKL 798</t>
        </is>
      </c>
      <c r="E4928" s="21" t="inlineStr">
        <is>
          <t>METİN KALKAN</t>
        </is>
      </c>
      <c r="F4928" s="23" t="n">
        <v>72982</v>
      </c>
      <c r="G4928" s="138" t="n"/>
      <c r="H4928" s="138" t="n">
        <v>192</v>
      </c>
      <c r="I4928" s="138">
        <f>+I4927+(G4928-H4928)</f>
        <v/>
      </c>
      <c r="J4928" s="139" t="n">
        <v>46.81</v>
      </c>
      <c r="K4928" s="140" t="n"/>
      <c r="L4928" s="140">
        <f>+H4928*J4928</f>
        <v/>
      </c>
      <c r="M4928" s="141">
        <f>SUM(M4927+K4928-L4928)</f>
        <v/>
      </c>
    </row>
    <row r="4929">
      <c r="A4929" s="20" t="n">
        <v>45910</v>
      </c>
      <c r="B4929" s="21" t="n">
        <v>11396</v>
      </c>
      <c r="C4929" s="22" t="inlineStr">
        <is>
          <t>AZGÜN YAPI</t>
        </is>
      </c>
      <c r="D4929" s="21" t="inlineStr">
        <is>
          <t>34 MKT 593</t>
        </is>
      </c>
      <c r="E4929" s="21" t="inlineStr">
        <is>
          <t>MESUT GÜRLER</t>
        </is>
      </c>
      <c r="F4929" s="23" t="n"/>
      <c r="G4929" s="138" t="n"/>
      <c r="H4929" s="138" t="n">
        <v>424</v>
      </c>
      <c r="I4929" s="138">
        <f>+I4928+(G4929-H4929)</f>
        <v/>
      </c>
      <c r="J4929" s="139" t="n">
        <v>46.81</v>
      </c>
      <c r="K4929" s="140" t="n"/>
      <c r="L4929" s="140">
        <f>+H4929*J4929</f>
        <v/>
      </c>
      <c r="M4929" s="141">
        <f>SUM(M4928+K4929-L4929)</f>
        <v/>
      </c>
    </row>
    <row r="4930">
      <c r="A4930" s="20" t="n">
        <v>45910</v>
      </c>
      <c r="B4930" s="21" t="n">
        <v>15703</v>
      </c>
      <c r="C4930" s="22" t="inlineStr">
        <is>
          <t>METİN ERYİĞİT</t>
        </is>
      </c>
      <c r="D4930" s="21" t="inlineStr">
        <is>
          <t>34 EGR 814</t>
        </is>
      </c>
      <c r="E4930" s="21" t="inlineStr">
        <is>
          <t>MUHAMMET YİĞİT</t>
        </is>
      </c>
      <c r="F4930" s="23" t="n">
        <v>568357</v>
      </c>
      <c r="G4930" s="138" t="n"/>
      <c r="H4930" s="138" t="n">
        <v>455</v>
      </c>
      <c r="I4930" s="138">
        <f>+I4929+(G4930-H4930)</f>
        <v/>
      </c>
      <c r="J4930" s="139" t="n">
        <v>46.81</v>
      </c>
      <c r="K4930" s="140" t="n"/>
      <c r="L4930" s="140">
        <f>+H4930*J4930</f>
        <v/>
      </c>
      <c r="M4930" s="141">
        <f>SUM(M4929+K4930-L4930)</f>
        <v/>
      </c>
    </row>
    <row r="4931">
      <c r="A4931" s="20" t="n">
        <v>45910</v>
      </c>
      <c r="B4931" s="21" t="n">
        <v>2190</v>
      </c>
      <c r="C4931" s="22" t="inlineStr">
        <is>
          <t>MEGA VARLIK</t>
        </is>
      </c>
      <c r="D4931" s="21" t="inlineStr">
        <is>
          <t>SM 350</t>
        </is>
      </c>
      <c r="E4931" s="21" t="inlineStr">
        <is>
          <t>ÖZKAN</t>
        </is>
      </c>
      <c r="F4931" s="23" t="n"/>
      <c r="G4931" s="138" t="n"/>
      <c r="H4931" s="138" t="n">
        <v>335</v>
      </c>
      <c r="I4931" s="138">
        <f>+I4930+(G4931-H4931)</f>
        <v/>
      </c>
      <c r="J4931" s="139" t="n">
        <v>46.81</v>
      </c>
      <c r="K4931" s="140" t="n"/>
      <c r="L4931" s="140">
        <f>+H4931*J4931</f>
        <v/>
      </c>
      <c r="M4931" s="141">
        <f>SUM(M4930+K4931-L4931)</f>
        <v/>
      </c>
    </row>
    <row r="4932">
      <c r="A4932" s="20" t="n">
        <v>45910</v>
      </c>
      <c r="B4932" s="21" t="n">
        <v>2191</v>
      </c>
      <c r="C4932" s="22" t="inlineStr">
        <is>
          <t>MEGA VARLIK</t>
        </is>
      </c>
      <c r="D4932" s="1" t="inlineStr">
        <is>
          <t>KAVAZAKİ</t>
        </is>
      </c>
      <c r="E4932" s="1" t="inlineStr">
        <is>
          <t>RAMAZAN KAYA</t>
        </is>
      </c>
      <c r="F4932" s="23" t="n"/>
      <c r="G4932" s="138" t="n"/>
      <c r="H4932" s="138" t="n">
        <v>445</v>
      </c>
      <c r="I4932" s="138">
        <f>+I4931+(G4932-H4932)</f>
        <v/>
      </c>
      <c r="J4932" s="139" t="n">
        <v>46.81</v>
      </c>
      <c r="K4932" s="140" t="n"/>
      <c r="L4932" s="140">
        <f>+H4932*J4932</f>
        <v/>
      </c>
      <c r="M4932" s="141">
        <f>SUM(M4931+K4932-L4932)</f>
        <v/>
      </c>
    </row>
    <row r="4933">
      <c r="A4933" s="20" t="n">
        <v>45910</v>
      </c>
      <c r="B4933" s="21" t="n">
        <v>2192</v>
      </c>
      <c r="C4933" s="22" t="inlineStr">
        <is>
          <t>HASALTUN</t>
        </is>
      </c>
      <c r="D4933" s="21" t="inlineStr">
        <is>
          <t>SM 300</t>
        </is>
      </c>
      <c r="E4933" s="21" t="inlineStr">
        <is>
          <t xml:space="preserve"> MEHMET ALİ</t>
        </is>
      </c>
      <c r="F4933" s="23" t="n"/>
      <c r="G4933" s="138" t="n"/>
      <c r="H4933" s="138" t="n">
        <v>286</v>
      </c>
      <c r="I4933" s="138">
        <f>+I4932+(G4933-H4933)</f>
        <v/>
      </c>
      <c r="J4933" s="139" t="n">
        <v>46.81</v>
      </c>
      <c r="K4933" s="140" t="n"/>
      <c r="L4933" s="140">
        <f>+H4933*J4933</f>
        <v/>
      </c>
      <c r="M4933" s="141">
        <f>SUM(M4932+K4933-L4933)</f>
        <v/>
      </c>
    </row>
    <row r="4934">
      <c r="A4934" s="20" t="n">
        <v>45910</v>
      </c>
      <c r="B4934" s="21" t="n">
        <v>2193</v>
      </c>
      <c r="C4934" s="22" t="inlineStr">
        <is>
          <t>EVKUR</t>
        </is>
      </c>
      <c r="D4934" s="21" t="inlineStr">
        <is>
          <t xml:space="preserve">SM 370 </t>
        </is>
      </c>
      <c r="E4934" s="21" t="inlineStr">
        <is>
          <t>ÖZKAN</t>
        </is>
      </c>
      <c r="F4934" s="23" t="n"/>
      <c r="G4934" s="138" t="n"/>
      <c r="H4934" s="138" t="n">
        <v>344</v>
      </c>
      <c r="I4934" s="138">
        <f>+I4933+(G4934-H4934)</f>
        <v/>
      </c>
      <c r="J4934" s="139" t="n">
        <v>46.81</v>
      </c>
      <c r="K4934" s="140" t="n"/>
      <c r="L4934" s="140">
        <f>+H4934*J4934</f>
        <v/>
      </c>
      <c r="M4934" s="141">
        <f>SUM(M4933+K4934-L4934)</f>
        <v/>
      </c>
    </row>
    <row r="4935">
      <c r="A4935" s="20" t="n">
        <v>45911</v>
      </c>
      <c r="B4935" s="21" t="n">
        <v>1266</v>
      </c>
      <c r="C4935" s="22" t="inlineStr">
        <is>
          <t>ÜNSOY TURİZM İNŞ.SAN.VE TİC.A.Ş.</t>
        </is>
      </c>
      <c r="D4935" s="21" t="n"/>
      <c r="E4935" s="21" t="n"/>
      <c r="F4935" s="23" t="n"/>
      <c r="G4935" s="138" t="n">
        <v>31914</v>
      </c>
      <c r="H4935" s="138" t="n"/>
      <c r="I4935" s="138">
        <f>+I4934+(G4935-H4935)</f>
        <v/>
      </c>
      <c r="J4935" s="139">
        <f>+K4935/G4935</f>
        <v/>
      </c>
      <c r="K4935" s="140" t="n">
        <v>1473788.52</v>
      </c>
      <c r="L4935" s="140">
        <f>+H4935*J4935</f>
        <v/>
      </c>
      <c r="M4935" s="141">
        <f>SUM(M4934+K4935-L4935)</f>
        <v/>
      </c>
    </row>
    <row r="4936">
      <c r="A4936" s="20" t="n">
        <v>45911</v>
      </c>
      <c r="B4936" s="21" t="n">
        <v>1858</v>
      </c>
      <c r="C4936" s="22" t="inlineStr">
        <is>
          <t>SELİM İNŞAAT</t>
        </is>
      </c>
      <c r="D4936" s="21" t="inlineStr">
        <is>
          <t>34 GVZ 268</t>
        </is>
      </c>
      <c r="E4936" s="21" t="inlineStr">
        <is>
          <t>KERİM KARAMAN</t>
        </is>
      </c>
      <c r="F4936" s="23" t="n">
        <v>216621</v>
      </c>
      <c r="G4936" s="138" t="n"/>
      <c r="H4936" s="138" t="n">
        <v>398</v>
      </c>
      <c r="I4936" s="138">
        <f>+I4935+(G4936-H4936)</f>
        <v/>
      </c>
      <c r="J4936" s="139" t="n">
        <v>46.18</v>
      </c>
      <c r="K4936" s="140" t="n"/>
      <c r="L4936" s="140">
        <f>+H4936*J4936</f>
        <v/>
      </c>
      <c r="M4936" s="141">
        <f>SUM(M4935+K4936-L4936)</f>
        <v/>
      </c>
    </row>
    <row r="4937">
      <c r="A4937" s="20" t="n">
        <v>45911</v>
      </c>
      <c r="B4937" s="21" t="n">
        <v>15280</v>
      </c>
      <c r="C4937" s="22" t="inlineStr">
        <is>
          <t>SELİM İNŞAAT</t>
        </is>
      </c>
      <c r="D4937" s="21" t="inlineStr">
        <is>
          <t>34 DTV 447</t>
        </is>
      </c>
      <c r="E4937" s="21" t="inlineStr">
        <is>
          <t>SALİH YALÇIN</t>
        </is>
      </c>
      <c r="F4937" s="23" t="n">
        <v>445614</v>
      </c>
      <c r="G4937" s="138" t="n"/>
      <c r="H4937" s="138" t="n">
        <v>473</v>
      </c>
      <c r="I4937" s="138">
        <f>+I4936+(G4937-H4937)</f>
        <v/>
      </c>
      <c r="J4937" s="139" t="n">
        <v>46.18</v>
      </c>
      <c r="K4937" s="140" t="n"/>
      <c r="L4937" s="140">
        <f>+H4937*J4937</f>
        <v/>
      </c>
      <c r="M4937" s="141">
        <f>SUM(M4936+K4937-L4937)</f>
        <v/>
      </c>
    </row>
    <row r="4938">
      <c r="A4938" s="20" t="n">
        <v>45911</v>
      </c>
      <c r="B4938" s="21" t="n">
        <v>674</v>
      </c>
      <c r="C4938" s="22" t="inlineStr">
        <is>
          <t>SELİM İNŞAAT</t>
        </is>
      </c>
      <c r="D4938" s="21" t="inlineStr">
        <is>
          <t>34 DTV 352</t>
        </is>
      </c>
      <c r="E4938" s="21" t="inlineStr">
        <is>
          <t>ADEM DENİZ</t>
        </is>
      </c>
      <c r="F4938" s="23" t="n">
        <v>449935</v>
      </c>
      <c r="G4938" s="138" t="n"/>
      <c r="H4938" s="138" t="n">
        <v>532</v>
      </c>
      <c r="I4938" s="138">
        <f>+I4937+(G4938-H4938)</f>
        <v/>
      </c>
      <c r="J4938" s="139" t="n">
        <v>46.18</v>
      </c>
      <c r="K4938" s="140" t="n"/>
      <c r="L4938" s="140">
        <f>+H4938*J4938</f>
        <v/>
      </c>
      <c r="M4938" s="141">
        <f>SUM(M4937+K4938-L4938)</f>
        <v/>
      </c>
    </row>
    <row r="4939">
      <c r="A4939" s="20" t="n">
        <v>45911</v>
      </c>
      <c r="B4939" s="21" t="n">
        <v>15894</v>
      </c>
      <c r="C4939" s="22" t="inlineStr">
        <is>
          <t>SELİM İNŞAAT</t>
        </is>
      </c>
      <c r="D4939" s="21" t="inlineStr">
        <is>
          <t>34 EDB 754</t>
        </is>
      </c>
      <c r="E4939" s="21" t="inlineStr">
        <is>
          <t>MUSTAFA KAYA</t>
        </is>
      </c>
      <c r="F4939" s="23" t="n">
        <v>344882</v>
      </c>
      <c r="G4939" s="138" t="n"/>
      <c r="H4939" s="138" t="n">
        <v>424</v>
      </c>
      <c r="I4939" s="138">
        <f>+I4938+(G4939-H4939)</f>
        <v/>
      </c>
      <c r="J4939" s="139" t="n">
        <v>46.18</v>
      </c>
      <c r="K4939" s="140" t="n"/>
      <c r="L4939" s="140">
        <f>+H4939*J4939</f>
        <v/>
      </c>
      <c r="M4939" s="141">
        <f>SUM(M4938+K4939-L4939)</f>
        <v/>
      </c>
    </row>
    <row r="4940">
      <c r="A4940" s="20" t="n">
        <v>45911</v>
      </c>
      <c r="B4940" s="21" t="n">
        <v>1164</v>
      </c>
      <c r="C4940" s="22" t="inlineStr">
        <is>
          <t>SELİM İNŞAAT</t>
        </is>
      </c>
      <c r="D4940" s="21" t="inlineStr">
        <is>
          <t>34 DSN 536</t>
        </is>
      </c>
      <c r="E4940" s="21" t="inlineStr">
        <is>
          <t xml:space="preserve">SALİH YALÇIN </t>
        </is>
      </c>
      <c r="F4940" s="23" t="n">
        <v>422635</v>
      </c>
      <c r="G4940" s="138" t="n"/>
      <c r="H4940" s="138" t="n">
        <v>286</v>
      </c>
      <c r="I4940" s="138">
        <f>+I4939+(G4940-H4940)</f>
        <v/>
      </c>
      <c r="J4940" s="139" t="n">
        <v>46.18</v>
      </c>
      <c r="K4940" s="140" t="n"/>
      <c r="L4940" s="140">
        <f>+H4940*J4940</f>
        <v/>
      </c>
      <c r="M4940" s="141">
        <f>SUM(M4939+K4940-L4940)</f>
        <v/>
      </c>
    </row>
    <row r="4941">
      <c r="A4941" s="20" t="n">
        <v>45911</v>
      </c>
      <c r="B4941" s="21" t="n">
        <v>1079</v>
      </c>
      <c r="C4941" s="22" t="inlineStr">
        <is>
          <t>SELİM İNŞAAT</t>
        </is>
      </c>
      <c r="D4941" s="21" t="inlineStr">
        <is>
          <t>34 GVZ 310</t>
        </is>
      </c>
      <c r="E4941" s="21" t="inlineStr">
        <is>
          <t>CELAL YÜZBAŞI</t>
        </is>
      </c>
      <c r="F4941" s="23" t="n">
        <v>221539</v>
      </c>
      <c r="G4941" s="138" t="n"/>
      <c r="H4941" s="138" t="n">
        <v>370</v>
      </c>
      <c r="I4941" s="138">
        <f>+I4940+(G4941-H4941)</f>
        <v/>
      </c>
      <c r="J4941" s="139" t="n">
        <v>46.18</v>
      </c>
      <c r="K4941" s="140" t="n"/>
      <c r="L4941" s="140">
        <f>+H4941*J4941</f>
        <v/>
      </c>
      <c r="M4941" s="141">
        <f>SUM(M4940+K4941-L4941)</f>
        <v/>
      </c>
    </row>
    <row r="4942">
      <c r="A4942" s="20" t="n">
        <v>45911</v>
      </c>
      <c r="B4942" s="21" t="n">
        <v>1027</v>
      </c>
      <c r="C4942" s="22" t="inlineStr">
        <is>
          <t>SELİM İNŞAAT</t>
        </is>
      </c>
      <c r="D4942" s="21" t="inlineStr">
        <is>
          <t>34 DHH 668</t>
        </is>
      </c>
      <c r="E4942" s="21" t="inlineStr">
        <is>
          <t>ADNAN KOÇ</t>
        </is>
      </c>
      <c r="F4942" s="23" t="n">
        <v>405051</v>
      </c>
      <c r="G4942" s="138" t="n"/>
      <c r="H4942" s="138" t="n">
        <v>370</v>
      </c>
      <c r="I4942" s="138">
        <f>+I4941+(G4942-H4942)</f>
        <v/>
      </c>
      <c r="J4942" s="139" t="n">
        <v>46.18</v>
      </c>
      <c r="K4942" s="140" t="n"/>
      <c r="L4942" s="140">
        <f>+H4942*J4942</f>
        <v/>
      </c>
      <c r="M4942" s="141">
        <f>SUM(M4941+K4942-L4942)</f>
        <v/>
      </c>
    </row>
    <row r="4943">
      <c r="A4943" s="20" t="n">
        <v>45911</v>
      </c>
      <c r="B4943" s="21" t="n">
        <v>1722</v>
      </c>
      <c r="C4943" s="22" t="inlineStr">
        <is>
          <t>SELİM İNŞAAT</t>
        </is>
      </c>
      <c r="D4943" s="21" t="inlineStr">
        <is>
          <t>34 DGP 137</t>
        </is>
      </c>
      <c r="E4943" s="21" t="inlineStr">
        <is>
          <t>GÜRAY KOYUNCU</t>
        </is>
      </c>
      <c r="F4943" s="23" t="n">
        <v>445689</v>
      </c>
      <c r="G4943" s="138" t="n"/>
      <c r="H4943" s="138" t="n">
        <v>451</v>
      </c>
      <c r="I4943" s="138">
        <f>+I4942+(G4943-H4943)</f>
        <v/>
      </c>
      <c r="J4943" s="139" t="n">
        <v>46.18</v>
      </c>
      <c r="K4943" s="140" t="n"/>
      <c r="L4943" s="140">
        <f>+H4943*J4943</f>
        <v/>
      </c>
      <c r="M4943" s="141">
        <f>SUM(M4942+K4943-L4943)</f>
        <v/>
      </c>
    </row>
    <row r="4944">
      <c r="A4944" s="20" t="n">
        <v>45911</v>
      </c>
      <c r="B4944" s="21" t="n">
        <v>2656</v>
      </c>
      <c r="C4944" s="22" t="inlineStr">
        <is>
          <t>SELİM İNŞAAT</t>
        </is>
      </c>
      <c r="D4944" s="21" t="inlineStr">
        <is>
          <t>34 DHC 467</t>
        </is>
      </c>
      <c r="E4944" s="21" t="inlineStr">
        <is>
          <t>SEZGİN KOCAGİL</t>
        </is>
      </c>
      <c r="F4944" s="23" t="n">
        <v>421080</v>
      </c>
      <c r="G4944" s="138" t="n"/>
      <c r="H4944" s="138" t="n">
        <v>523</v>
      </c>
      <c r="I4944" s="138">
        <f>+I4943+(G4944-H4944)</f>
        <v/>
      </c>
      <c r="J4944" s="139" t="n">
        <v>46.18</v>
      </c>
      <c r="K4944" s="140" t="n"/>
      <c r="L4944" s="140">
        <f>+H4944*J4944</f>
        <v/>
      </c>
      <c r="M4944" s="141">
        <f>SUM(M4943+K4944-L4944)</f>
        <v/>
      </c>
    </row>
    <row r="4945">
      <c r="A4945" s="20" t="n">
        <v>45911</v>
      </c>
      <c r="B4945" s="21" t="n">
        <v>2255</v>
      </c>
      <c r="C4945" s="22" t="inlineStr">
        <is>
          <t>SELİM İNŞAAT</t>
        </is>
      </c>
      <c r="D4945" s="21" t="inlineStr">
        <is>
          <t>34 DSN 636</t>
        </is>
      </c>
      <c r="E4945" s="21" t="inlineStr">
        <is>
          <t>MAHSUN GÜVEN</t>
        </is>
      </c>
      <c r="F4945" s="23" t="n">
        <v>408778</v>
      </c>
      <c r="G4945" s="138" t="n"/>
      <c r="H4945" s="138" t="n">
        <v>253</v>
      </c>
      <c r="I4945" s="138">
        <f>+I4944+(G4945-H4945)</f>
        <v/>
      </c>
      <c r="J4945" s="139" t="n">
        <v>46.18</v>
      </c>
      <c r="K4945" s="140" t="n"/>
      <c r="L4945" s="140">
        <f>+H4945*J4945</f>
        <v/>
      </c>
      <c r="M4945" s="141">
        <f>SUM(M4944+K4945-L4945)</f>
        <v/>
      </c>
    </row>
    <row r="4946">
      <c r="A4946" s="20" t="n">
        <v>45911</v>
      </c>
      <c r="B4946" s="21" t="n">
        <v>1220</v>
      </c>
      <c r="C4946" s="22" t="inlineStr">
        <is>
          <t>SELİM İNŞAAT</t>
        </is>
      </c>
      <c r="D4946" s="21" t="inlineStr">
        <is>
          <t>34 DHC 393</t>
        </is>
      </c>
      <c r="E4946" s="21" t="inlineStr">
        <is>
          <t>ATA KIZMAZ</t>
        </is>
      </c>
      <c r="F4946" s="23" t="n">
        <v>440014</v>
      </c>
      <c r="G4946" s="138" t="n"/>
      <c r="H4946" s="138" t="n">
        <v>396</v>
      </c>
      <c r="I4946" s="138">
        <f>+I4945+(G4946-H4946)</f>
        <v/>
      </c>
      <c r="J4946" s="139" t="n">
        <v>46.18</v>
      </c>
      <c r="K4946" s="140" t="n"/>
      <c r="L4946" s="140">
        <f>+H4946*J4946</f>
        <v/>
      </c>
      <c r="M4946" s="141">
        <f>SUM(M4945+K4946-L4946)</f>
        <v/>
      </c>
    </row>
    <row r="4947">
      <c r="A4947" s="20" t="n">
        <v>45911</v>
      </c>
      <c r="B4947" s="21" t="n">
        <v>586</v>
      </c>
      <c r="C4947" s="22" t="inlineStr">
        <is>
          <t>SELİM İNŞAAT</t>
        </is>
      </c>
      <c r="D4947" s="21" t="inlineStr">
        <is>
          <t>34 EDB 922</t>
        </is>
      </c>
      <c r="E4947" s="21" t="inlineStr">
        <is>
          <t>AHMET TOPÇU</t>
        </is>
      </c>
      <c r="F4947" s="23" t="n">
        <v>385000</v>
      </c>
      <c r="G4947" s="138" t="n"/>
      <c r="H4947" s="138" t="n">
        <v>340</v>
      </c>
      <c r="I4947" s="138">
        <f>+I4946+(G4947-H4947)</f>
        <v/>
      </c>
      <c r="J4947" s="139" t="n">
        <v>46.18</v>
      </c>
      <c r="K4947" s="140" t="n"/>
      <c r="L4947" s="140">
        <f>+H4947*J4947</f>
        <v/>
      </c>
      <c r="M4947" s="141">
        <f>SUM(M4946+K4947-L4947)</f>
        <v/>
      </c>
    </row>
    <row r="4948">
      <c r="A4948" s="20" t="n">
        <v>45911</v>
      </c>
      <c r="B4948" s="21" t="n">
        <v>1517</v>
      </c>
      <c r="C4948" s="22" t="inlineStr">
        <is>
          <t>SELİM İNŞAAT</t>
        </is>
      </c>
      <c r="D4948" s="21" t="inlineStr">
        <is>
          <t>34 GUS 848</t>
        </is>
      </c>
      <c r="E4948" s="21" t="inlineStr">
        <is>
          <t>SERDAR BOZKURT</t>
        </is>
      </c>
      <c r="F4948" s="23" t="n">
        <v>208305</v>
      </c>
      <c r="G4948" s="138" t="n"/>
      <c r="H4948" s="138" t="n">
        <v>450</v>
      </c>
      <c r="I4948" s="138">
        <f>+I4947+(G4948-H4948)</f>
        <v/>
      </c>
      <c r="J4948" s="139" t="n">
        <v>46.18</v>
      </c>
      <c r="K4948" s="140" t="n"/>
      <c r="L4948" s="140">
        <f>+H4948*J4948</f>
        <v/>
      </c>
      <c r="M4948" s="141">
        <f>SUM(M4947+K4948-L4948)</f>
        <v/>
      </c>
    </row>
    <row r="4949">
      <c r="A4949" s="20" t="n">
        <v>45911</v>
      </c>
      <c r="B4949" s="21" t="n">
        <v>335</v>
      </c>
      <c r="C4949" s="22" t="inlineStr">
        <is>
          <t>SELİM İNŞAAT</t>
        </is>
      </c>
      <c r="D4949" s="21" t="inlineStr">
        <is>
          <t>34 EDB 829</t>
        </is>
      </c>
      <c r="E4949" s="21" t="inlineStr">
        <is>
          <t>İRFAN DAĞLAR</t>
        </is>
      </c>
      <c r="F4949" s="23" t="n">
        <v>338251</v>
      </c>
      <c r="G4949" s="138" t="n"/>
      <c r="H4949" s="138" t="n">
        <v>337</v>
      </c>
      <c r="I4949" s="138">
        <f>+I4948+(G4949-H4949)</f>
        <v/>
      </c>
      <c r="J4949" s="139" t="n">
        <v>46.18</v>
      </c>
      <c r="K4949" s="140" t="n"/>
      <c r="L4949" s="140">
        <f>+H4949*J4949</f>
        <v/>
      </c>
      <c r="M4949" s="141">
        <f>SUM(M4948+K4949-L4949)</f>
        <v/>
      </c>
    </row>
    <row r="4950">
      <c r="A4950" s="20" t="n">
        <v>45911</v>
      </c>
      <c r="B4950" s="21" t="n">
        <v>2562</v>
      </c>
      <c r="C4950" s="22" t="inlineStr">
        <is>
          <t>SELİM İNŞAAT</t>
        </is>
      </c>
      <c r="D4950" s="21" t="inlineStr">
        <is>
          <t>34 GER 028</t>
        </is>
      </c>
      <c r="E4950" s="21" t="inlineStr">
        <is>
          <t>A.KERİM ERGEN</t>
        </is>
      </c>
      <c r="F4950" s="23" t="n">
        <v>52362</v>
      </c>
      <c r="G4950" s="138" t="n"/>
      <c r="H4950" s="138" t="n">
        <v>193</v>
      </c>
      <c r="I4950" s="138">
        <f>+I4949+(G4950-H4950)</f>
        <v/>
      </c>
      <c r="J4950" s="139" t="n">
        <v>46.18</v>
      </c>
      <c r="K4950" s="140" t="n"/>
      <c r="L4950" s="140">
        <f>+H4950*J4950</f>
        <v/>
      </c>
      <c r="M4950" s="141">
        <f>SUM(M4949+K4950-L4950)</f>
        <v/>
      </c>
    </row>
    <row r="4951">
      <c r="A4951" s="20" t="n">
        <v>45911</v>
      </c>
      <c r="B4951" s="21" t="n">
        <v>15201</v>
      </c>
      <c r="C4951" s="22" t="inlineStr">
        <is>
          <t>SELİM İNŞAAT</t>
        </is>
      </c>
      <c r="D4951" s="21" t="inlineStr">
        <is>
          <t>34 DP 4161</t>
        </is>
      </c>
      <c r="E4951" s="21" t="inlineStr">
        <is>
          <t>RIFAT KARATAY</t>
        </is>
      </c>
      <c r="F4951" s="23" t="n">
        <v>299842</v>
      </c>
      <c r="G4951" s="138" t="n"/>
      <c r="H4951" s="138" t="n">
        <v>234</v>
      </c>
      <c r="I4951" s="138">
        <f>+I4950+(G4951-H4951)</f>
        <v/>
      </c>
      <c r="J4951" s="139" t="n">
        <v>46.18</v>
      </c>
      <c r="K4951" s="140" t="n"/>
      <c r="L4951" s="140">
        <f>+H4951*J4951</f>
        <v/>
      </c>
      <c r="M4951" s="141">
        <f>SUM(M4950+K4951-L4951)</f>
        <v/>
      </c>
    </row>
    <row r="4952">
      <c r="A4952" s="20" t="n">
        <v>45911</v>
      </c>
      <c r="B4952" s="21" t="n">
        <v>178</v>
      </c>
      <c r="C4952" s="22" t="inlineStr">
        <is>
          <t>SELİM İNŞAAT</t>
        </is>
      </c>
      <c r="D4952" s="21" t="inlineStr">
        <is>
          <t>34 TG 7869</t>
        </is>
      </c>
      <c r="E4952" s="21" t="inlineStr">
        <is>
          <t>DURSUN ALİ GÜREK</t>
        </is>
      </c>
      <c r="F4952" s="23" t="n">
        <v>189280</v>
      </c>
      <c r="G4952" s="138" t="n"/>
      <c r="H4952" s="138" t="n">
        <v>279</v>
      </c>
      <c r="I4952" s="138">
        <f>+I4951+(G4952-H4952)</f>
        <v/>
      </c>
      <c r="J4952" s="139" t="n">
        <v>46.18</v>
      </c>
      <c r="K4952" s="140" t="n"/>
      <c r="L4952" s="140">
        <f>+H4952*J4952</f>
        <v/>
      </c>
      <c r="M4952" s="141">
        <f>SUM(M4951+K4952-L4952)</f>
        <v/>
      </c>
    </row>
    <row r="4953">
      <c r="A4953" s="20" t="n">
        <v>45911</v>
      </c>
      <c r="B4953" s="21" t="n">
        <v>269</v>
      </c>
      <c r="C4953" s="22" t="inlineStr">
        <is>
          <t>SELİM İNŞAAT</t>
        </is>
      </c>
      <c r="D4953" s="21" t="inlineStr">
        <is>
          <t>34 GER 445</t>
        </is>
      </c>
      <c r="E4953" s="21" t="inlineStr">
        <is>
          <t>HÜSEYİN ÖZKOÇAK</t>
        </is>
      </c>
      <c r="F4953" s="23" t="n">
        <v>50060</v>
      </c>
      <c r="G4953" s="138" t="n"/>
      <c r="H4953" s="138" t="n">
        <v>205</v>
      </c>
      <c r="I4953" s="138">
        <f>+I4952+(G4953-H4953)</f>
        <v/>
      </c>
      <c r="J4953" s="139" t="n">
        <v>46.18</v>
      </c>
      <c r="K4953" s="140" t="n"/>
      <c r="L4953" s="140">
        <f>+H4953*J4953</f>
        <v/>
      </c>
      <c r="M4953" s="141">
        <f>SUM(M4952+K4953-L4953)</f>
        <v/>
      </c>
    </row>
    <row r="4954">
      <c r="A4954" s="20" t="n">
        <v>45911</v>
      </c>
      <c r="B4954" s="21" t="n">
        <v>620</v>
      </c>
      <c r="C4954" s="22" t="inlineStr">
        <is>
          <t>SELİM İNŞAAT</t>
        </is>
      </c>
      <c r="D4954" s="21" t="inlineStr">
        <is>
          <t>34 AR 7743</t>
        </is>
      </c>
      <c r="E4954" s="21" t="inlineStr">
        <is>
          <t>MEHMET SELİM</t>
        </is>
      </c>
      <c r="F4954" s="23" t="n">
        <v>362759</v>
      </c>
      <c r="G4954" s="138" t="n"/>
      <c r="H4954" s="138" t="n">
        <v>50</v>
      </c>
      <c r="I4954" s="138">
        <f>+I4953+(G4954-H4954)</f>
        <v/>
      </c>
      <c r="J4954" s="139" t="n">
        <v>46.18</v>
      </c>
      <c r="K4954" s="140" t="n"/>
      <c r="L4954" s="140">
        <f>+H4954*J4954</f>
        <v/>
      </c>
      <c r="M4954" s="141">
        <f>SUM(M4953+K4954-L4954)</f>
        <v/>
      </c>
    </row>
    <row r="4955">
      <c r="A4955" s="20" t="n">
        <v>45911</v>
      </c>
      <c r="B4955" s="21" t="n">
        <v>1609</v>
      </c>
      <c r="C4955" s="22" t="inlineStr">
        <is>
          <t>SELİM İNŞAAT</t>
        </is>
      </c>
      <c r="D4955" s="21" t="inlineStr">
        <is>
          <t>34 VF 2620</t>
        </is>
      </c>
      <c r="E4955" s="21" t="inlineStr">
        <is>
          <t>RECEP SELİM</t>
        </is>
      </c>
      <c r="F4955" s="23" t="n">
        <v>193692</v>
      </c>
      <c r="G4955" s="138" t="n"/>
      <c r="H4955" s="138" t="n">
        <v>63</v>
      </c>
      <c r="I4955" s="138">
        <f>+I4954+(G4955-H4955)</f>
        <v/>
      </c>
      <c r="J4955" s="139" t="n">
        <v>46.18</v>
      </c>
      <c r="K4955" s="140" t="n"/>
      <c r="L4955" s="140">
        <f>+H4955*J4955</f>
        <v/>
      </c>
      <c r="M4955" s="141">
        <f>SUM(M4954+K4955-L4955)</f>
        <v/>
      </c>
    </row>
    <row r="4956">
      <c r="A4956" s="20" t="n">
        <v>45911</v>
      </c>
      <c r="B4956" s="21" t="n">
        <v>215</v>
      </c>
      <c r="C4956" s="22" t="inlineStr">
        <is>
          <t>SELİM İNŞAAT</t>
        </is>
      </c>
      <c r="D4956" s="21" t="inlineStr">
        <is>
          <t>34 JGR 15</t>
        </is>
      </c>
      <c r="E4956" s="21" t="inlineStr">
        <is>
          <t>BAYRAM SANCAK</t>
        </is>
      </c>
      <c r="F4956" s="23" t="n">
        <v>317037</v>
      </c>
      <c r="G4956" s="138" t="n"/>
      <c r="H4956" s="138" t="n">
        <v>69</v>
      </c>
      <c r="I4956" s="138">
        <f>+I4955+(G4956-H4956)</f>
        <v/>
      </c>
      <c r="J4956" s="139" t="n">
        <v>46.18</v>
      </c>
      <c r="K4956" s="140" t="n"/>
      <c r="L4956" s="140">
        <f>+H4956*J4956</f>
        <v/>
      </c>
      <c r="M4956" s="141">
        <f>SUM(M4955+K4956-L4956)</f>
        <v/>
      </c>
    </row>
    <row r="4957">
      <c r="A4957" s="20" t="n">
        <v>45911</v>
      </c>
      <c r="B4957" s="21" t="n">
        <v>21350</v>
      </c>
      <c r="C4957" s="22" t="inlineStr">
        <is>
          <t>SELİM İNŞAAT</t>
        </is>
      </c>
      <c r="D4957" s="21" t="inlineStr">
        <is>
          <t>34 FEM 934</t>
        </is>
      </c>
      <c r="E4957" s="21" t="inlineStr">
        <is>
          <t>SELİM CAN ÖNVER</t>
        </is>
      </c>
      <c r="F4957" s="23" t="n">
        <v>318807</v>
      </c>
      <c r="G4957" s="138" t="n"/>
      <c r="H4957" s="138" t="n">
        <v>70</v>
      </c>
      <c r="I4957" s="138">
        <f>+I4956+(G4957-H4957)</f>
        <v/>
      </c>
      <c r="J4957" s="139" t="n">
        <v>46.18</v>
      </c>
      <c r="K4957" s="140" t="n"/>
      <c r="L4957" s="140">
        <f>+H4957*J4957</f>
        <v/>
      </c>
      <c r="M4957" s="141">
        <f>SUM(M4956+K4957-L4957)</f>
        <v/>
      </c>
    </row>
    <row r="4958">
      <c r="A4958" s="20" t="n">
        <v>45911</v>
      </c>
      <c r="B4958" s="21" t="n">
        <v>483</v>
      </c>
      <c r="C4958" s="22" t="inlineStr">
        <is>
          <t>SELİM İNŞAAT</t>
        </is>
      </c>
      <c r="D4958" s="21" t="inlineStr">
        <is>
          <t>34 DKL 866</t>
        </is>
      </c>
      <c r="E4958" s="21" t="inlineStr">
        <is>
          <t>SELİM CAN ÖNVER</t>
        </is>
      </c>
      <c r="F4958" s="23" t="n">
        <v>74312</v>
      </c>
      <c r="G4958" s="138" t="n"/>
      <c r="H4958" s="138" t="n">
        <v>234</v>
      </c>
      <c r="I4958" s="138">
        <f>+I4957+(G4958-H4958)</f>
        <v/>
      </c>
      <c r="J4958" s="139" t="n">
        <v>46.18</v>
      </c>
      <c r="K4958" s="140" t="n"/>
      <c r="L4958" s="140">
        <f>+H4958*J4958</f>
        <v/>
      </c>
      <c r="M4958" s="141">
        <f>SUM(M4957+K4958-L4958)</f>
        <v/>
      </c>
    </row>
    <row r="4959">
      <c r="A4959" s="20" t="n">
        <v>45911</v>
      </c>
      <c r="B4959" s="21" t="n">
        <v>1355</v>
      </c>
      <c r="C4959" s="22" t="inlineStr">
        <is>
          <t>AZGÜN YAPI</t>
        </is>
      </c>
      <c r="D4959" s="21" t="inlineStr">
        <is>
          <t>34 MKT 859</t>
        </is>
      </c>
      <c r="E4959" s="21" t="inlineStr">
        <is>
          <t>ONUR CANLI</t>
        </is>
      </c>
      <c r="F4959" s="23" t="n"/>
      <c r="G4959" s="138" t="n"/>
      <c r="H4959" s="138" t="n">
        <v>448</v>
      </c>
      <c r="I4959" s="138">
        <f>+I4958+(G4959-H4959)</f>
        <v/>
      </c>
      <c r="J4959" s="139" t="n">
        <v>46.18</v>
      </c>
      <c r="K4959" s="140" t="n"/>
      <c r="L4959" s="140">
        <f>+H4959*J4959</f>
        <v/>
      </c>
      <c r="M4959" s="141">
        <f>SUM(M4958+K4959-L4959)</f>
        <v/>
      </c>
    </row>
    <row r="4960">
      <c r="A4960" s="20" t="n">
        <v>45911</v>
      </c>
      <c r="B4960" s="21" t="n">
        <v>15648</v>
      </c>
      <c r="C4960" s="22" t="inlineStr">
        <is>
          <t>METİN ERYİĞİT</t>
        </is>
      </c>
      <c r="D4960" s="21" t="inlineStr">
        <is>
          <t>34 EGS 013</t>
        </is>
      </c>
      <c r="E4960" s="21" t="inlineStr">
        <is>
          <t xml:space="preserve">UĞUR DUMAN </t>
        </is>
      </c>
      <c r="F4960" s="23" t="n">
        <v>513920</v>
      </c>
      <c r="G4960" s="138" t="n"/>
      <c r="H4960" s="138" t="n">
        <v>455</v>
      </c>
      <c r="I4960" s="138">
        <f>+I4959+(G4960-H4960)</f>
        <v/>
      </c>
      <c r="J4960" s="139" t="n">
        <v>46.18</v>
      </c>
      <c r="K4960" s="140" t="n"/>
      <c r="L4960" s="140">
        <f>+H4960*J4960</f>
        <v/>
      </c>
      <c r="M4960" s="141">
        <f>SUM(M4959+K4960-L4960)</f>
        <v/>
      </c>
    </row>
    <row r="4961">
      <c r="A4961" s="20" t="n">
        <v>45911</v>
      </c>
      <c r="B4961" s="21" t="n">
        <v>732</v>
      </c>
      <c r="C4961" s="22" t="inlineStr">
        <is>
          <t>METİN ERYİĞİT</t>
        </is>
      </c>
      <c r="D4961" s="21" t="inlineStr">
        <is>
          <t>34 GBL 998</t>
        </is>
      </c>
      <c r="E4961" s="21" t="inlineStr">
        <is>
          <t>ALİ KESKİN</t>
        </is>
      </c>
      <c r="F4961" s="23" t="n">
        <v>294838</v>
      </c>
      <c r="G4961" s="138" t="n"/>
      <c r="H4961" s="138" t="n">
        <v>335</v>
      </c>
      <c r="I4961" s="138">
        <f>+I4960+(G4961-H4961)</f>
        <v/>
      </c>
      <c r="J4961" s="139" t="n">
        <v>46.18</v>
      </c>
      <c r="K4961" s="140" t="n"/>
      <c r="L4961" s="140">
        <f>+H4961*J4961</f>
        <v/>
      </c>
      <c r="M4961" s="141">
        <f>SUM(M4960+K4961-L4961)</f>
        <v/>
      </c>
    </row>
    <row r="4962">
      <c r="A4962" s="20" t="n">
        <v>45911</v>
      </c>
      <c r="B4962" s="21" t="n">
        <v>1926</v>
      </c>
      <c r="C4962" s="22" t="inlineStr">
        <is>
          <t>AHMET SELİM TEMHA</t>
        </is>
      </c>
      <c r="D4962" s="21" t="inlineStr">
        <is>
          <t>34 DGE 422</t>
        </is>
      </c>
      <c r="E4962" s="21" t="inlineStr">
        <is>
          <t>ERSOY SIGINMAZ</t>
        </is>
      </c>
      <c r="F4962" s="23" t="n"/>
      <c r="G4962" s="138" t="n"/>
      <c r="H4962" s="138" t="n">
        <v>32</v>
      </c>
      <c r="I4962" s="138">
        <f>+I4961+(G4962-H4962)</f>
        <v/>
      </c>
      <c r="J4962" s="139" t="n">
        <v>46.18</v>
      </c>
      <c r="K4962" s="140" t="n"/>
      <c r="L4962" s="140">
        <f>+H4962*J4962</f>
        <v/>
      </c>
      <c r="M4962" s="141">
        <f>SUM(M4961+K4962-L4962)</f>
        <v/>
      </c>
    </row>
    <row r="4963">
      <c r="A4963" s="20" t="n">
        <v>45911</v>
      </c>
      <c r="B4963" s="21" t="n">
        <v>2194</v>
      </c>
      <c r="C4963" s="22" t="inlineStr">
        <is>
          <t>MEGA VARLIK</t>
        </is>
      </c>
      <c r="D4963" s="1" t="inlineStr">
        <is>
          <t>HİTACİ</t>
        </is>
      </c>
      <c r="E4963" s="1" t="inlineStr">
        <is>
          <t>TURGUT SANCAK</t>
        </is>
      </c>
      <c r="F4963" s="23" t="n"/>
      <c r="G4963" s="138" t="n"/>
      <c r="H4963" s="138" t="n">
        <v>380</v>
      </c>
      <c r="I4963" s="138">
        <f>+I4962+(G4963-H4963)</f>
        <v/>
      </c>
      <c r="J4963" s="139" t="n">
        <v>46.18</v>
      </c>
      <c r="K4963" s="140" t="n"/>
      <c r="L4963" s="140">
        <f>+H4963*J4963</f>
        <v/>
      </c>
      <c r="M4963" s="141">
        <f>SUM(M4962+K4963-L4963)</f>
        <v/>
      </c>
    </row>
    <row r="4964">
      <c r="A4964" s="20" t="n">
        <v>45911</v>
      </c>
      <c r="B4964" s="21" t="n">
        <v>2195</v>
      </c>
      <c r="C4964" s="22" t="inlineStr">
        <is>
          <t>HASALTUN</t>
        </is>
      </c>
      <c r="D4964" s="21" t="inlineStr">
        <is>
          <t>FOKLİFT</t>
        </is>
      </c>
      <c r="E4964" s="21" t="inlineStr">
        <is>
          <t>FAHRİ KALFA</t>
        </is>
      </c>
      <c r="F4964" s="23" t="n"/>
      <c r="G4964" s="138" t="n"/>
      <c r="H4964" s="138" t="n">
        <v>483</v>
      </c>
      <c r="I4964" s="138">
        <f>+I4963+(G4964-H4964)</f>
        <v/>
      </c>
      <c r="J4964" s="139" t="n">
        <v>46.18</v>
      </c>
      <c r="K4964" s="140" t="n"/>
      <c r="L4964" s="140">
        <f>+H4964*J4964</f>
        <v/>
      </c>
      <c r="M4964" s="141">
        <f>SUM(M4963+K4964-L4964)</f>
        <v/>
      </c>
    </row>
    <row r="4965">
      <c r="A4965" s="20" t="n">
        <v>45911</v>
      </c>
      <c r="B4965" s="21" t="n">
        <v>2196</v>
      </c>
      <c r="C4965" s="22" t="inlineStr">
        <is>
          <t>EVKUR</t>
        </is>
      </c>
      <c r="D4965" s="1" t="inlineStr">
        <is>
          <t>GROVE VİNÇ</t>
        </is>
      </c>
      <c r="E4965" s="21" t="inlineStr">
        <is>
          <t>ALİHAN DUMAN</t>
        </is>
      </c>
      <c r="F4965" s="23" t="n"/>
      <c r="G4965" s="138" t="n"/>
      <c r="H4965" s="138" t="n">
        <v>69</v>
      </c>
      <c r="I4965" s="138">
        <f>+I4964+(G4965-H4965)</f>
        <v/>
      </c>
      <c r="J4965" s="139" t="n">
        <v>46.18</v>
      </c>
      <c r="K4965" s="140" t="n"/>
      <c r="L4965" s="140">
        <f>+H4965*J4965</f>
        <v/>
      </c>
      <c r="M4965" s="141">
        <f>SUM(M4964+K4965-L4965)</f>
        <v/>
      </c>
    </row>
    <row r="4966">
      <c r="A4966" s="20" t="n">
        <v>45911</v>
      </c>
      <c r="B4966" s="21" t="n">
        <v>2197</v>
      </c>
      <c r="C4966" s="22" t="inlineStr">
        <is>
          <t>HASALTUN</t>
        </is>
      </c>
      <c r="D4966" s="21" t="inlineStr">
        <is>
          <t>SM 300</t>
        </is>
      </c>
      <c r="E4966" s="21" t="inlineStr">
        <is>
          <t>MEHMET ALİ</t>
        </is>
      </c>
      <c r="F4966" s="23" t="n"/>
      <c r="G4966" s="138" t="n"/>
      <c r="H4966" s="138" t="n">
        <v>253</v>
      </c>
      <c r="I4966" s="138">
        <f>+I4965+(G4966-H4966)</f>
        <v/>
      </c>
      <c r="J4966" s="139" t="n">
        <v>46.18</v>
      </c>
      <c r="K4966" s="140" t="n"/>
      <c r="L4966" s="140">
        <f>+H4966*J4966</f>
        <v/>
      </c>
      <c r="M4966" s="141">
        <f>SUM(M4965+K4966-L4966)</f>
        <v/>
      </c>
    </row>
    <row r="4967">
      <c r="A4967" s="20" t="n">
        <v>45911</v>
      </c>
      <c r="B4967" s="21" t="n">
        <v>2198</v>
      </c>
      <c r="C4967" s="22" t="inlineStr">
        <is>
          <t>EVKUR</t>
        </is>
      </c>
      <c r="D4967" s="21" t="inlineStr">
        <is>
          <t>SM 350</t>
        </is>
      </c>
      <c r="E4967" s="21" t="inlineStr">
        <is>
          <t>TEVFİK</t>
        </is>
      </c>
      <c r="F4967" s="23" t="n"/>
      <c r="G4967" s="138" t="n"/>
      <c r="H4967" s="138" t="n">
        <v>213</v>
      </c>
      <c r="I4967" s="138">
        <f>+I4966+(G4967-H4967)</f>
        <v/>
      </c>
      <c r="J4967" s="139" t="n">
        <v>46.18</v>
      </c>
      <c r="K4967" s="140" t="n"/>
      <c r="L4967" s="140">
        <f>+H4967*J4967</f>
        <v/>
      </c>
      <c r="M4967" s="141">
        <f>SUM(M4966+K4967-L4967)</f>
        <v/>
      </c>
    </row>
    <row r="4968">
      <c r="A4968" s="20" t="n">
        <v>45911</v>
      </c>
      <c r="B4968" s="21" t="n">
        <v>2199</v>
      </c>
      <c r="C4968" s="22" t="inlineStr">
        <is>
          <t>MEGA VARLIK</t>
        </is>
      </c>
      <c r="D4968" s="21" t="inlineStr">
        <is>
          <t>SM 350</t>
        </is>
      </c>
      <c r="E4968" s="21" t="inlineStr">
        <is>
          <t>AHMET AKGÜL</t>
        </is>
      </c>
      <c r="F4968" s="23" t="n"/>
      <c r="G4968" s="138" t="n"/>
      <c r="H4968" s="138" t="n">
        <v>481</v>
      </c>
      <c r="I4968" s="138">
        <f>+I4967+(G4968-H4968)</f>
        <v/>
      </c>
      <c r="J4968" s="139" t="n">
        <v>46.18</v>
      </c>
      <c r="K4968" s="140" t="n"/>
      <c r="L4968" s="140">
        <f>+H4968*J4968</f>
        <v/>
      </c>
      <c r="M4968" s="141">
        <f>SUM(M4967+K4968-L4968)</f>
        <v/>
      </c>
    </row>
    <row r="4969">
      <c r="A4969" s="20" t="n">
        <v>45911</v>
      </c>
      <c r="B4969" s="21" t="n">
        <v>2200</v>
      </c>
      <c r="C4969" s="22" t="inlineStr">
        <is>
          <t>MEGA VARLIK</t>
        </is>
      </c>
      <c r="D4969" s="21" t="inlineStr">
        <is>
          <t xml:space="preserve">SM 370 </t>
        </is>
      </c>
      <c r="E4969" s="21" t="inlineStr">
        <is>
          <t>ÖZKAN</t>
        </is>
      </c>
      <c r="F4969" s="23" t="n"/>
      <c r="G4969" s="138" t="n"/>
      <c r="H4969" s="138" t="n">
        <v>384</v>
      </c>
      <c r="I4969" s="138">
        <f>+I4968+(G4969-H4969)</f>
        <v/>
      </c>
      <c r="J4969" s="139" t="n">
        <v>46.18</v>
      </c>
      <c r="K4969" s="140" t="n"/>
      <c r="L4969" s="140">
        <f>+H4969*J4969</f>
        <v/>
      </c>
      <c r="M4969" s="141">
        <f>SUM(M4968+K4969-L4969)</f>
        <v/>
      </c>
    </row>
    <row r="4970">
      <c r="A4970" s="20" t="n">
        <v>45912</v>
      </c>
      <c r="B4970" s="21" t="n">
        <v>828</v>
      </c>
      <c r="C4970" s="22" t="inlineStr">
        <is>
          <t>SELİM İNŞAAT</t>
        </is>
      </c>
      <c r="D4970" s="21" t="inlineStr">
        <is>
          <t>34 FBR 705</t>
        </is>
      </c>
      <c r="E4970" s="21" t="inlineStr">
        <is>
          <t>MESUT GÜRLER</t>
        </is>
      </c>
      <c r="F4970" s="23" t="n">
        <v>333520</v>
      </c>
      <c r="G4970" s="138" t="n"/>
      <c r="H4970" s="138" t="n">
        <v>479</v>
      </c>
      <c r="I4970" s="138">
        <f>+I4969+(G4970-H4970)</f>
        <v/>
      </c>
      <c r="J4970" s="139" t="n">
        <v>46.18</v>
      </c>
      <c r="K4970" s="140" t="n"/>
      <c r="L4970" s="140">
        <f>+H4970*J4970</f>
        <v/>
      </c>
      <c r="M4970" s="141">
        <f>SUM(M4969+K4970-L4970)</f>
        <v/>
      </c>
    </row>
    <row r="4971">
      <c r="A4971" s="20" t="n">
        <v>45912</v>
      </c>
      <c r="B4971" s="21" t="n">
        <v>977</v>
      </c>
      <c r="C4971" s="22" t="inlineStr">
        <is>
          <t>SELİM İNŞAAT</t>
        </is>
      </c>
      <c r="D4971" s="21" t="inlineStr">
        <is>
          <t>34 FBR 742</t>
        </is>
      </c>
      <c r="E4971" s="21" t="inlineStr">
        <is>
          <t>MİKAİL BAYILMAZ</t>
        </is>
      </c>
      <c r="F4971" s="23" t="n">
        <v>335848</v>
      </c>
      <c r="G4971" s="138" t="n"/>
      <c r="H4971" s="138" t="n">
        <v>395</v>
      </c>
      <c r="I4971" s="138">
        <f>+I4970+(G4971-H4971)</f>
        <v/>
      </c>
      <c r="J4971" s="139" t="n">
        <v>46.18</v>
      </c>
      <c r="K4971" s="140" t="n"/>
      <c r="L4971" s="140">
        <f>+H4971*J4971</f>
        <v/>
      </c>
      <c r="M4971" s="141">
        <f>SUM(M4970+K4971-L4971)</f>
        <v/>
      </c>
    </row>
    <row r="4972">
      <c r="A4972" s="20" t="n">
        <v>45912</v>
      </c>
      <c r="B4972" s="21" t="n">
        <v>871</v>
      </c>
      <c r="C4972" s="22" t="inlineStr">
        <is>
          <t>SELİM İNŞAAT</t>
        </is>
      </c>
      <c r="D4972" s="21" t="inlineStr">
        <is>
          <t>34 FSG 229</t>
        </is>
      </c>
      <c r="E4972" s="21" t="inlineStr">
        <is>
          <t>SİNAN TANRIVERDİ</t>
        </is>
      </c>
      <c r="F4972" s="23" t="n">
        <v>277567</v>
      </c>
      <c r="G4972" s="138" t="n"/>
      <c r="H4972" s="138" t="n">
        <v>493</v>
      </c>
      <c r="I4972" s="138">
        <f>+I4971+(G4972-H4972)</f>
        <v/>
      </c>
      <c r="J4972" s="139" t="n">
        <v>46.18</v>
      </c>
      <c r="K4972" s="140" t="n"/>
      <c r="L4972" s="140">
        <f>+H4972*J4972</f>
        <v/>
      </c>
      <c r="M4972" s="141">
        <f>SUM(M4971+K4972-L4972)</f>
        <v/>
      </c>
    </row>
    <row r="4973">
      <c r="A4973" s="20" t="n">
        <v>45912</v>
      </c>
      <c r="B4973" s="21" t="n">
        <v>41</v>
      </c>
      <c r="C4973" s="22" t="inlineStr">
        <is>
          <t>SELİM İNŞAAT</t>
        </is>
      </c>
      <c r="D4973" s="21" t="inlineStr">
        <is>
          <t>34 FBR 748</t>
        </is>
      </c>
      <c r="E4973" s="21" t="inlineStr">
        <is>
          <t>YAŞAR ÖZKAYA</t>
        </is>
      </c>
      <c r="F4973" s="23" t="n">
        <v>305463</v>
      </c>
      <c r="G4973" s="138" t="n"/>
      <c r="H4973" s="138" t="n">
        <v>521</v>
      </c>
      <c r="I4973" s="138">
        <f>+I4972+(G4973-H4973)</f>
        <v/>
      </c>
      <c r="J4973" s="139" t="n">
        <v>46.18</v>
      </c>
      <c r="K4973" s="140" t="n"/>
      <c r="L4973" s="140">
        <f>+H4973*J4973</f>
        <v/>
      </c>
      <c r="M4973" s="141">
        <f>SUM(M4972+K4973-L4973)</f>
        <v/>
      </c>
    </row>
    <row r="4974">
      <c r="A4974" s="20" t="n">
        <v>45912</v>
      </c>
      <c r="B4974" s="21" t="n">
        <v>429</v>
      </c>
      <c r="C4974" s="22" t="inlineStr">
        <is>
          <t>SELİM İNŞAAT</t>
        </is>
      </c>
      <c r="D4974" s="21" t="inlineStr">
        <is>
          <t>34 DRU 690</t>
        </is>
      </c>
      <c r="E4974" s="21" t="inlineStr">
        <is>
          <t>MURAT SARI</t>
        </is>
      </c>
      <c r="F4974" s="23" t="n">
        <v>437064</v>
      </c>
      <c r="G4974" s="138" t="n"/>
      <c r="H4974" s="138" t="n">
        <v>377</v>
      </c>
      <c r="I4974" s="138">
        <f>+I4973+(G4974-H4974)</f>
        <v/>
      </c>
      <c r="J4974" s="139" t="n">
        <v>46.18</v>
      </c>
      <c r="K4974" s="140" t="n"/>
      <c r="L4974" s="140">
        <f>+H4974*J4974</f>
        <v/>
      </c>
      <c r="M4974" s="141">
        <f>SUM(M4973+K4974-L4974)</f>
        <v/>
      </c>
    </row>
    <row r="4975">
      <c r="A4975" s="20" t="n">
        <v>45912</v>
      </c>
      <c r="B4975" s="21" t="n">
        <v>1165</v>
      </c>
      <c r="C4975" s="22" t="inlineStr">
        <is>
          <t>SELİM İNŞAAT</t>
        </is>
      </c>
      <c r="D4975" s="21" t="inlineStr">
        <is>
          <t>34 DSN 536</t>
        </is>
      </c>
      <c r="E4975" s="21" t="inlineStr">
        <is>
          <t xml:space="preserve">SALİH YALÇIN </t>
        </is>
      </c>
      <c r="F4975" s="23" t="n">
        <v>423132</v>
      </c>
      <c r="G4975" s="138" t="n"/>
      <c r="H4975" s="138" t="n">
        <v>390</v>
      </c>
      <c r="I4975" s="138">
        <f>+I4974+(G4975-H4975)</f>
        <v/>
      </c>
      <c r="J4975" s="139" t="n">
        <v>46.18</v>
      </c>
      <c r="K4975" s="140" t="n"/>
      <c r="L4975" s="140">
        <f>+H4975*J4975</f>
        <v/>
      </c>
      <c r="M4975" s="141">
        <f>SUM(M4974+K4975-L4975)</f>
        <v/>
      </c>
    </row>
    <row r="4976">
      <c r="A4976" s="20" t="n">
        <v>45912</v>
      </c>
      <c r="B4976" s="21" t="n">
        <v>15386</v>
      </c>
      <c r="C4976" s="22" t="inlineStr">
        <is>
          <t>SELİM İNŞAAT</t>
        </is>
      </c>
      <c r="D4976" s="21" t="inlineStr">
        <is>
          <t>34 DTV 409</t>
        </is>
      </c>
      <c r="E4976" s="21" t="inlineStr">
        <is>
          <t>EBUBEKİR KOLDAŞ</t>
        </is>
      </c>
      <c r="F4976" s="23" t="n">
        <v>436502</v>
      </c>
      <c r="G4976" s="138" t="n"/>
      <c r="H4976" s="138" t="n">
        <v>476</v>
      </c>
      <c r="I4976" s="138">
        <f>+I4975+(G4976-H4976)</f>
        <v/>
      </c>
      <c r="J4976" s="139" t="n">
        <v>46.18</v>
      </c>
      <c r="K4976" s="140" t="n"/>
      <c r="L4976" s="140">
        <f>+H4976*J4976</f>
        <v/>
      </c>
      <c r="M4976" s="141">
        <f>SUM(M4975+K4976-L4976)</f>
        <v/>
      </c>
    </row>
    <row r="4977">
      <c r="A4977" s="20" t="n">
        <v>45912</v>
      </c>
      <c r="B4977" s="21" t="n">
        <v>1080</v>
      </c>
      <c r="C4977" s="22" t="inlineStr">
        <is>
          <t>SELİM İNŞAAT</t>
        </is>
      </c>
      <c r="D4977" s="21" t="inlineStr">
        <is>
          <t>34 GVZ 310</t>
        </is>
      </c>
      <c r="E4977" s="21" t="inlineStr">
        <is>
          <t>CELAL YÜZBAŞI</t>
        </is>
      </c>
      <c r="F4977" s="23" t="n">
        <v>221922</v>
      </c>
      <c r="G4977" s="138" t="n"/>
      <c r="H4977" s="138" t="n">
        <v>314</v>
      </c>
      <c r="I4977" s="138">
        <f>+I4976+(G4977-H4977)</f>
        <v/>
      </c>
      <c r="J4977" s="139" t="n">
        <v>46.18</v>
      </c>
      <c r="K4977" s="140" t="n"/>
      <c r="L4977" s="140">
        <f>+H4977*J4977</f>
        <v/>
      </c>
      <c r="M4977" s="141">
        <f>SUM(M4976+K4977-L4977)</f>
        <v/>
      </c>
    </row>
    <row r="4978">
      <c r="A4978" s="20" t="n">
        <v>45912</v>
      </c>
      <c r="B4978" s="21" t="n">
        <v>14793</v>
      </c>
      <c r="C4978" s="22" t="inlineStr">
        <is>
          <t>SELİM İNŞAAT</t>
        </is>
      </c>
      <c r="D4978" s="21" t="inlineStr">
        <is>
          <t>34 GYZ 635</t>
        </is>
      </c>
      <c r="E4978" s="21" t="inlineStr">
        <is>
          <t>ENGİN DEMİR</t>
        </is>
      </c>
      <c r="F4978" s="23" t="n">
        <v>195899</v>
      </c>
      <c r="G4978" s="138" t="n"/>
      <c r="H4978" s="138" t="n">
        <v>418</v>
      </c>
      <c r="I4978" s="138">
        <f>+I4977+(G4978-H4978)</f>
        <v/>
      </c>
      <c r="J4978" s="139" t="n">
        <v>46.18</v>
      </c>
      <c r="K4978" s="140" t="n"/>
      <c r="L4978" s="140">
        <f>+H4978*J4978</f>
        <v/>
      </c>
      <c r="M4978" s="141">
        <f>SUM(M4977+K4978-L4978)</f>
        <v/>
      </c>
    </row>
    <row r="4979">
      <c r="A4979" s="20" t="n">
        <v>45912</v>
      </c>
      <c r="B4979" s="21" t="n">
        <v>2808</v>
      </c>
      <c r="C4979" s="22" t="inlineStr">
        <is>
          <t>SELİM İNŞAAT</t>
        </is>
      </c>
      <c r="D4979" s="21" t="inlineStr">
        <is>
          <t>34 GVZ 745</t>
        </is>
      </c>
      <c r="E4979" s="21" t="inlineStr">
        <is>
          <t>MURAT DEMİRBAŞ</t>
        </is>
      </c>
      <c r="F4979" s="23" t="n">
        <v>210734</v>
      </c>
      <c r="G4979" s="138" t="n"/>
      <c r="H4979" s="138" t="n">
        <v>428</v>
      </c>
      <c r="I4979" s="138">
        <f>+I4978+(G4979-H4979)</f>
        <v/>
      </c>
      <c r="J4979" s="139" t="n">
        <v>46.18</v>
      </c>
      <c r="K4979" s="140" t="n"/>
      <c r="L4979" s="140">
        <f>+H4979*J4979</f>
        <v/>
      </c>
      <c r="M4979" s="141">
        <f>SUM(M4978+K4979-L4979)</f>
        <v/>
      </c>
    </row>
    <row r="4980">
      <c r="A4980" s="20" t="n">
        <v>45912</v>
      </c>
      <c r="B4980" s="21" t="n">
        <v>1578</v>
      </c>
      <c r="C4980" s="22" t="inlineStr">
        <is>
          <t>SELİM İNŞAAT</t>
        </is>
      </c>
      <c r="D4980" s="21" t="inlineStr">
        <is>
          <t>34 GUS 938</t>
        </is>
      </c>
      <c r="E4980" s="21" t="inlineStr">
        <is>
          <t>MEHMET KAYA</t>
        </is>
      </c>
      <c r="F4980" s="23" t="n">
        <v>213068</v>
      </c>
      <c r="G4980" s="138" t="n"/>
      <c r="H4980" s="138" t="n">
        <v>401</v>
      </c>
      <c r="I4980" s="138">
        <f>+I4979+(G4980-H4980)</f>
        <v/>
      </c>
      <c r="J4980" s="139" t="n">
        <v>46.18</v>
      </c>
      <c r="K4980" s="140" t="n"/>
      <c r="L4980" s="140">
        <f>+H4980*J4980</f>
        <v/>
      </c>
      <c r="M4980" s="141">
        <f>SUM(M4979+K4980-L4980)</f>
        <v/>
      </c>
    </row>
    <row r="4981">
      <c r="A4981" s="20" t="n">
        <v>45912</v>
      </c>
      <c r="B4981" s="21" t="n">
        <v>1028</v>
      </c>
      <c r="C4981" s="22" t="inlineStr">
        <is>
          <t>SELİM İNŞAAT</t>
        </is>
      </c>
      <c r="D4981" s="21" t="inlineStr">
        <is>
          <t>34 DHH 668</t>
        </is>
      </c>
      <c r="E4981" s="21" t="inlineStr">
        <is>
          <t>ADNAN KOÇ</t>
        </is>
      </c>
      <c r="F4981" s="23" t="n">
        <v>405361</v>
      </c>
      <c r="G4981" s="138" t="n"/>
      <c r="H4981" s="138" t="n">
        <v>191</v>
      </c>
      <c r="I4981" s="138">
        <f>+I4980+(G4981-H4981)</f>
        <v/>
      </c>
      <c r="J4981" s="139" t="n">
        <v>46.18</v>
      </c>
      <c r="K4981" s="140" t="n"/>
      <c r="L4981" s="140">
        <f>+H4981*J4981</f>
        <v/>
      </c>
      <c r="M4981" s="141">
        <f>SUM(M4980+K4981-L4981)</f>
        <v/>
      </c>
    </row>
    <row r="4982">
      <c r="A4982" s="20" t="n">
        <v>45912</v>
      </c>
      <c r="B4982" s="21" t="n">
        <v>1473</v>
      </c>
      <c r="C4982" s="22" t="inlineStr">
        <is>
          <t>SELİM İNŞAAT</t>
        </is>
      </c>
      <c r="D4982" s="21" t="inlineStr">
        <is>
          <t>34 EGR 737</t>
        </is>
      </c>
      <c r="E4982" s="21" t="inlineStr">
        <is>
          <t>CEM MUHTAR</t>
        </is>
      </c>
      <c r="F4982" s="23" t="n">
        <v>437809</v>
      </c>
      <c r="G4982" s="138" t="n"/>
      <c r="H4982" s="138" t="n">
        <v>408</v>
      </c>
      <c r="I4982" s="138">
        <f>+I4981+(G4982-H4982)</f>
        <v/>
      </c>
      <c r="J4982" s="139" t="n">
        <v>46.18</v>
      </c>
      <c r="K4982" s="140" t="n"/>
      <c r="L4982" s="140">
        <f>+H4982*J4982</f>
        <v/>
      </c>
      <c r="M4982" s="141">
        <f>SUM(M4981+K4982-L4982)</f>
        <v/>
      </c>
    </row>
    <row r="4983">
      <c r="A4983" s="20" t="n">
        <v>45912</v>
      </c>
      <c r="B4983" s="21" t="n">
        <v>15345</v>
      </c>
      <c r="C4983" s="22" t="inlineStr">
        <is>
          <t>SELİM İNŞAAT</t>
        </is>
      </c>
      <c r="D4983" s="21" t="inlineStr">
        <is>
          <t>34 EDC 162</t>
        </is>
      </c>
      <c r="E4983" s="21" t="inlineStr">
        <is>
          <t>HÜSEYİN DENİZ</t>
        </is>
      </c>
      <c r="F4983" s="23" t="n">
        <v>389345</v>
      </c>
      <c r="G4983" s="138" t="n"/>
      <c r="H4983" s="138" t="n">
        <v>384</v>
      </c>
      <c r="I4983" s="138">
        <f>+I4982+(G4983-H4983)</f>
        <v/>
      </c>
      <c r="J4983" s="139" t="n">
        <v>46.18</v>
      </c>
      <c r="K4983" s="140" t="n"/>
      <c r="L4983" s="140">
        <f>+H4983*J4983</f>
        <v/>
      </c>
      <c r="M4983" s="141">
        <f>SUM(M4982+K4983-L4983)</f>
        <v/>
      </c>
    </row>
    <row r="4984">
      <c r="A4984" s="20" t="n">
        <v>45912</v>
      </c>
      <c r="B4984" s="21" t="n">
        <v>15552</v>
      </c>
      <c r="C4984" s="22" t="inlineStr">
        <is>
          <t>SELİM İNŞAAT</t>
        </is>
      </c>
      <c r="D4984" s="21" t="inlineStr">
        <is>
          <t>34 EDC 086</t>
        </is>
      </c>
      <c r="E4984" s="21" t="inlineStr">
        <is>
          <t>ÖMER AĞAYAR</t>
        </is>
      </c>
      <c r="F4984" s="23" t="n">
        <v>349852</v>
      </c>
      <c r="G4984" s="138" t="n"/>
      <c r="H4984" s="138" t="n">
        <v>390</v>
      </c>
      <c r="I4984" s="138">
        <f>+I4983+(G4984-H4984)</f>
        <v/>
      </c>
      <c r="J4984" s="139" t="n">
        <v>46.18</v>
      </c>
      <c r="K4984" s="140" t="n"/>
      <c r="L4984" s="140">
        <f>+H4984*J4984</f>
        <v/>
      </c>
      <c r="M4984" s="141">
        <f>SUM(M4983+K4984-L4984)</f>
        <v/>
      </c>
    </row>
    <row r="4985">
      <c r="A4985" s="20" t="n">
        <v>45912</v>
      </c>
      <c r="B4985" s="21" t="n">
        <v>134</v>
      </c>
      <c r="C4985" s="22" t="inlineStr">
        <is>
          <t>SELİM İNŞAAT</t>
        </is>
      </c>
      <c r="D4985" s="21" t="inlineStr">
        <is>
          <t>34 FBR 771</t>
        </is>
      </c>
      <c r="E4985" s="21" t="inlineStr">
        <is>
          <t>HÜSEYİN AKÇİN</t>
        </is>
      </c>
      <c r="F4985" s="23" t="n">
        <v>340554</v>
      </c>
      <c r="G4985" s="138" t="n"/>
      <c r="H4985" s="138" t="n">
        <v>360</v>
      </c>
      <c r="I4985" s="138">
        <f>+I4984+(G4985-H4985)</f>
        <v/>
      </c>
      <c r="J4985" s="139" t="n">
        <v>46.18</v>
      </c>
      <c r="K4985" s="140" t="n"/>
      <c r="L4985" s="140">
        <f>+H4985*J4985</f>
        <v/>
      </c>
      <c r="M4985" s="141">
        <f>SUM(M4984+K4985-L4985)</f>
        <v/>
      </c>
    </row>
    <row r="4986">
      <c r="A4986" s="20" t="n">
        <v>45912</v>
      </c>
      <c r="B4986" s="21" t="n">
        <v>1272</v>
      </c>
      <c r="C4986" s="22" t="inlineStr">
        <is>
          <t>SELİM İNŞAAT</t>
        </is>
      </c>
      <c r="D4986" s="21" t="inlineStr">
        <is>
          <t>34 DSN 621</t>
        </is>
      </c>
      <c r="E4986" s="21" t="inlineStr">
        <is>
          <t>KORAY AK</t>
        </is>
      </c>
      <c r="F4986" s="23" t="n">
        <v>431610</v>
      </c>
      <c r="G4986" s="138" t="n"/>
      <c r="H4986" s="138" t="n">
        <v>490</v>
      </c>
      <c r="I4986" s="138">
        <f>+I4985+(G4986-H4986)</f>
        <v/>
      </c>
      <c r="J4986" s="139" t="n">
        <v>46.18</v>
      </c>
      <c r="K4986" s="140" t="n"/>
      <c r="L4986" s="140">
        <f>+H4986*J4986</f>
        <v/>
      </c>
      <c r="M4986" s="141">
        <f>SUM(M4985+K4986-L4986)</f>
        <v/>
      </c>
    </row>
    <row r="4987">
      <c r="A4987" s="20" t="n">
        <v>45912</v>
      </c>
      <c r="B4987" s="21" t="n">
        <v>1126</v>
      </c>
      <c r="C4987" s="22" t="inlineStr">
        <is>
          <t>SELİM İNŞAAT</t>
        </is>
      </c>
      <c r="D4987" s="21" t="inlineStr">
        <is>
          <t>34 EDB 659</t>
        </is>
      </c>
      <c r="E4987" s="21" t="inlineStr">
        <is>
          <t>MEHMET SAİT ANIK</t>
        </is>
      </c>
      <c r="F4987" s="23" t="n">
        <v>366430</v>
      </c>
      <c r="G4987" s="138" t="n"/>
      <c r="H4987" s="138" t="n">
        <v>373</v>
      </c>
      <c r="I4987" s="138">
        <f>+I4986+(G4987-H4987)</f>
        <v/>
      </c>
      <c r="J4987" s="139" t="n">
        <v>46.18</v>
      </c>
      <c r="K4987" s="140" t="n"/>
      <c r="L4987" s="140">
        <f>+H4987*J4987</f>
        <v/>
      </c>
      <c r="M4987" s="141">
        <f>SUM(M4986+K4987-L4987)</f>
        <v/>
      </c>
    </row>
    <row r="4988">
      <c r="A4988" s="20" t="n">
        <v>45912</v>
      </c>
      <c r="B4988" s="21" t="n">
        <v>15995</v>
      </c>
      <c r="C4988" s="22" t="inlineStr">
        <is>
          <t>SELİM İNŞAAT</t>
        </is>
      </c>
      <c r="D4988" s="21" t="inlineStr">
        <is>
          <t>34 FBR 781</t>
        </is>
      </c>
      <c r="E4988" s="21" t="inlineStr">
        <is>
          <t>MEVLÜT POLAT</t>
        </is>
      </c>
      <c r="F4988" s="23" t="n">
        <v>329532</v>
      </c>
      <c r="G4988" s="138" t="n"/>
      <c r="H4988" s="138" t="n">
        <v>357</v>
      </c>
      <c r="I4988" s="138">
        <f>+I4987+(G4988-H4988)</f>
        <v/>
      </c>
      <c r="J4988" s="139" t="n">
        <v>46.18</v>
      </c>
      <c r="K4988" s="140" t="n"/>
      <c r="L4988" s="140">
        <f>+H4988*J4988</f>
        <v/>
      </c>
      <c r="M4988" s="141">
        <f>SUM(M4987+K4988-L4988)</f>
        <v/>
      </c>
    </row>
    <row r="4989">
      <c r="A4989" s="20" t="n">
        <v>45912</v>
      </c>
      <c r="B4989" s="21" t="n">
        <v>1306</v>
      </c>
      <c r="C4989" s="22" t="inlineStr">
        <is>
          <t>SELİM İNŞAAT</t>
        </is>
      </c>
      <c r="D4989" s="21" t="inlineStr">
        <is>
          <t>34 GVZ 199</t>
        </is>
      </c>
      <c r="E4989" s="21" t="inlineStr">
        <is>
          <t>ATA KIZMAZ</t>
        </is>
      </c>
      <c r="F4989" s="23" t="n">
        <v>202909</v>
      </c>
      <c r="G4989" s="138" t="n"/>
      <c r="H4989" s="138" t="n">
        <v>425</v>
      </c>
      <c r="I4989" s="138">
        <f>+I4988+(G4989-H4989)</f>
        <v/>
      </c>
      <c r="J4989" s="139" t="n">
        <v>46.18</v>
      </c>
      <c r="K4989" s="140" t="n"/>
      <c r="L4989" s="140">
        <f>+H4989*J4989</f>
        <v/>
      </c>
      <c r="M4989" s="141">
        <f>SUM(M4988+K4989-L4989)</f>
        <v/>
      </c>
    </row>
    <row r="4990">
      <c r="A4990" s="20" t="n">
        <v>45912</v>
      </c>
      <c r="B4990" s="21" t="n">
        <v>1418</v>
      </c>
      <c r="C4990" s="22" t="inlineStr">
        <is>
          <t>SELİM İNŞAAT</t>
        </is>
      </c>
      <c r="D4990" s="21" t="inlineStr">
        <is>
          <t>34 DKL 798</t>
        </is>
      </c>
      <c r="E4990" s="21" t="inlineStr">
        <is>
          <t>METİN KALKAN</t>
        </is>
      </c>
      <c r="F4990" s="23" t="n">
        <v>73168</v>
      </c>
      <c r="G4990" s="138" t="n"/>
      <c r="H4990" s="138" t="n">
        <v>188</v>
      </c>
      <c r="I4990" s="138">
        <f>+I4989+(G4990-H4990)</f>
        <v/>
      </c>
      <c r="J4990" s="139" t="n">
        <v>46.18</v>
      </c>
      <c r="K4990" s="140" t="n"/>
      <c r="L4990" s="140">
        <f>+H4990*J4990</f>
        <v/>
      </c>
      <c r="M4990" s="141">
        <f>SUM(M4989+K4990-L4990)</f>
        <v/>
      </c>
    </row>
    <row r="4991">
      <c r="A4991" s="20" t="n">
        <v>45912</v>
      </c>
      <c r="B4991" s="21" t="n">
        <v>2612</v>
      </c>
      <c r="C4991" s="22" t="inlineStr">
        <is>
          <t>SELİM İNŞAAT</t>
        </is>
      </c>
      <c r="D4991" s="21" t="inlineStr">
        <is>
          <t>34 GU 945</t>
        </is>
      </c>
      <c r="E4991" s="21" t="inlineStr">
        <is>
          <t>ŞERİF KARTAL</t>
        </is>
      </c>
      <c r="F4991" s="23" t="n">
        <v>458100</v>
      </c>
      <c r="G4991" s="138" t="n"/>
      <c r="H4991" s="138" t="n">
        <v>61</v>
      </c>
      <c r="I4991" s="138">
        <f>+I4990+(G4991-H4991)</f>
        <v/>
      </c>
      <c r="J4991" s="139" t="n">
        <v>46.18</v>
      </c>
      <c r="K4991" s="140" t="n"/>
      <c r="L4991" s="140">
        <f>+H4991*J4991</f>
        <v/>
      </c>
      <c r="M4991" s="141">
        <f>SUM(M4990+K4991-L4991)</f>
        <v/>
      </c>
    </row>
    <row r="4992">
      <c r="A4992" s="20" t="n">
        <v>45912</v>
      </c>
      <c r="B4992" s="21" t="n">
        <v>1753</v>
      </c>
      <c r="C4992" s="22" t="inlineStr">
        <is>
          <t>SELİM İNŞAAT</t>
        </is>
      </c>
      <c r="D4992" s="21" t="inlineStr">
        <is>
          <t>34 JBA 25</t>
        </is>
      </c>
      <c r="E4992" s="21" t="inlineStr">
        <is>
          <t>ŞERİF KARTAL</t>
        </is>
      </c>
      <c r="F4992" s="23" t="n">
        <v>339950</v>
      </c>
      <c r="G4992" s="138" t="n"/>
      <c r="H4992" s="138" t="n">
        <v>69</v>
      </c>
      <c r="I4992" s="138">
        <f>+I4991+(G4992-H4992)</f>
        <v/>
      </c>
      <c r="J4992" s="139" t="n">
        <v>46.18</v>
      </c>
      <c r="K4992" s="140" t="n"/>
      <c r="L4992" s="140">
        <f>+H4992*J4992</f>
        <v/>
      </c>
      <c r="M4992" s="141">
        <f>SUM(M4991+K4992-L4992)</f>
        <v/>
      </c>
    </row>
    <row r="4993">
      <c r="A4993" s="20" t="n">
        <v>45912</v>
      </c>
      <c r="B4993" s="21" t="n">
        <v>2224</v>
      </c>
      <c r="C4993" s="22" t="inlineStr">
        <is>
          <t>AZGÜN YAPI</t>
        </is>
      </c>
      <c r="D4993" s="21" t="inlineStr">
        <is>
          <t>34 DTV 263</t>
        </is>
      </c>
      <c r="E4993" s="21" t="inlineStr">
        <is>
          <t>MUHAMMET BULUT</t>
        </is>
      </c>
      <c r="F4993" s="23" t="n"/>
      <c r="G4993" s="138" t="n"/>
      <c r="H4993" s="138" t="n">
        <v>375</v>
      </c>
      <c r="I4993" s="138">
        <f>+I4992+(G4993-H4993)</f>
        <v/>
      </c>
      <c r="J4993" s="139" t="n">
        <v>46.18</v>
      </c>
      <c r="K4993" s="140" t="n"/>
      <c r="L4993" s="140">
        <f>+H4993*J4993</f>
        <v/>
      </c>
      <c r="M4993" s="141">
        <f>SUM(M4992+K4993-L4993)</f>
        <v/>
      </c>
    </row>
    <row r="4994">
      <c r="A4994" s="20" t="n">
        <v>45912</v>
      </c>
      <c r="B4994" s="21" t="n">
        <v>1927</v>
      </c>
      <c r="C4994" s="22" t="inlineStr">
        <is>
          <t>AHMET SELİM TEMHA</t>
        </is>
      </c>
      <c r="D4994" s="21" t="inlineStr">
        <is>
          <t>34 DGE 422</t>
        </is>
      </c>
      <c r="E4994" s="21" t="inlineStr">
        <is>
          <t>ERSOY SIGINMAZ</t>
        </is>
      </c>
      <c r="F4994" s="23" t="n"/>
      <c r="G4994" s="138" t="n"/>
      <c r="H4994" s="138" t="n">
        <v>106</v>
      </c>
      <c r="I4994" s="138">
        <f>+I4993+(G4994-H4994)</f>
        <v/>
      </c>
      <c r="J4994" s="139" t="n">
        <v>46.18</v>
      </c>
      <c r="K4994" s="140" t="n"/>
      <c r="L4994" s="140">
        <f>+H4994*J4994</f>
        <v/>
      </c>
      <c r="M4994" s="141">
        <f>SUM(M4993+K4994-L4994)</f>
        <v/>
      </c>
    </row>
    <row r="4995">
      <c r="A4995" s="20" t="n">
        <v>45912</v>
      </c>
      <c r="B4995" s="21" t="n">
        <v>2901</v>
      </c>
      <c r="C4995" s="22" t="inlineStr">
        <is>
          <t>MEGA VARLIK</t>
        </is>
      </c>
      <c r="D4995" s="21" t="inlineStr">
        <is>
          <t>SM 350</t>
        </is>
      </c>
      <c r="E4995" s="21" t="inlineStr">
        <is>
          <t>TEVFİK</t>
        </is>
      </c>
      <c r="F4995" s="23" t="n"/>
      <c r="G4995" s="138" t="n"/>
      <c r="H4995" s="138" t="n">
        <v>238</v>
      </c>
      <c r="I4995" s="138">
        <f>+I4994+(G4995-H4995)</f>
        <v/>
      </c>
      <c r="J4995" s="139" t="n">
        <v>46.18</v>
      </c>
      <c r="K4995" s="140" t="n"/>
      <c r="L4995" s="140">
        <f>+H4995*J4995</f>
        <v/>
      </c>
      <c r="M4995" s="141">
        <f>SUM(M4994+K4995-L4995)</f>
        <v/>
      </c>
    </row>
    <row r="4996">
      <c r="A4996" s="20" t="n">
        <v>45912</v>
      </c>
      <c r="B4996" s="21" t="n">
        <v>2902</v>
      </c>
      <c r="C4996" s="22" t="inlineStr">
        <is>
          <t>MEGA VARLIK</t>
        </is>
      </c>
      <c r="D4996" s="21" t="inlineStr">
        <is>
          <t>SM 350</t>
        </is>
      </c>
      <c r="E4996" s="21" t="inlineStr">
        <is>
          <t>AHMET AKGÜL</t>
        </is>
      </c>
      <c r="F4996" s="23" t="n"/>
      <c r="G4996" s="138" t="n"/>
      <c r="H4996" s="138" t="n">
        <v>487</v>
      </c>
      <c r="I4996" s="138">
        <f>+I4995+(G4996-H4996)</f>
        <v/>
      </c>
      <c r="J4996" s="139" t="n">
        <v>46.18</v>
      </c>
      <c r="K4996" s="140" t="n"/>
      <c r="L4996" s="140">
        <f>+H4996*J4996</f>
        <v/>
      </c>
      <c r="M4996" s="141">
        <f>SUM(M4995+K4996-L4996)</f>
        <v/>
      </c>
    </row>
    <row r="4997">
      <c r="A4997" s="20" t="n">
        <v>45912</v>
      </c>
      <c r="B4997" s="21" t="n">
        <v>2903</v>
      </c>
      <c r="C4997" s="22" t="inlineStr">
        <is>
          <t>MEGA VARLIK</t>
        </is>
      </c>
      <c r="D4997" s="21" t="inlineStr">
        <is>
          <t>ZOMLİON</t>
        </is>
      </c>
      <c r="E4997" s="21" t="inlineStr">
        <is>
          <t>SALİH ŞOLAN</t>
        </is>
      </c>
      <c r="F4997" s="23" t="n"/>
      <c r="G4997" s="138" t="n"/>
      <c r="H4997" s="138" t="n">
        <v>422</v>
      </c>
      <c r="I4997" s="138">
        <f>+I4996+(G4997-H4997)</f>
        <v/>
      </c>
      <c r="J4997" s="139" t="n">
        <v>46.18</v>
      </c>
      <c r="K4997" s="140" t="n"/>
      <c r="L4997" s="140">
        <f>+H4997*J4997</f>
        <v/>
      </c>
      <c r="M4997" s="141">
        <f>SUM(M4996+K4997-L4997)</f>
        <v/>
      </c>
    </row>
    <row r="4998">
      <c r="A4998" s="20" t="n">
        <v>45912</v>
      </c>
      <c r="B4998" s="21" t="n">
        <v>2904</v>
      </c>
      <c r="C4998" s="22" t="inlineStr">
        <is>
          <t>VARLIK</t>
        </is>
      </c>
      <c r="D4998" s="21" t="inlineStr">
        <is>
          <t>FOKLİFT</t>
        </is>
      </c>
      <c r="E4998" s="21" t="inlineStr">
        <is>
          <t>FAHRİ KALFA</t>
        </is>
      </c>
      <c r="F4998" s="23" t="n"/>
      <c r="G4998" s="138" t="n"/>
      <c r="H4998" s="138" t="n">
        <v>47</v>
      </c>
      <c r="I4998" s="138">
        <f>+I4997+(G4998-H4998)</f>
        <v/>
      </c>
      <c r="J4998" s="139" t="n">
        <v>46.18</v>
      </c>
      <c r="K4998" s="140" t="n"/>
      <c r="L4998" s="140">
        <f>+H4998*J4998</f>
        <v/>
      </c>
      <c r="M4998" s="141">
        <f>SUM(M4997+K4998-L4998)</f>
        <v/>
      </c>
    </row>
    <row r="4999">
      <c r="A4999" s="20" t="n">
        <v>45912</v>
      </c>
      <c r="B4999" s="21" t="n">
        <v>2905</v>
      </c>
      <c r="C4999" s="22" t="inlineStr">
        <is>
          <t>EVKUR</t>
        </is>
      </c>
      <c r="D4999" s="1" t="inlineStr">
        <is>
          <t>KAVAZAKİ</t>
        </is>
      </c>
      <c r="E4999" s="1" t="inlineStr">
        <is>
          <t>RAMAZAN KAYA</t>
        </is>
      </c>
      <c r="F4999" s="23" t="n"/>
      <c r="G4999" s="138" t="n"/>
      <c r="H4999" s="138" t="n">
        <v>200</v>
      </c>
      <c r="I4999" s="138">
        <f>+I4998+(G4999-H4999)</f>
        <v/>
      </c>
      <c r="J4999" s="139" t="n">
        <v>46.18</v>
      </c>
      <c r="K4999" s="140" t="n"/>
      <c r="L4999" s="140">
        <f>+H4999*J4999</f>
        <v/>
      </c>
      <c r="M4999" s="141">
        <f>SUM(M4998+K4999-L4999)</f>
        <v/>
      </c>
    </row>
    <row r="5000">
      <c r="A5000" s="20" t="n">
        <v>45912</v>
      </c>
      <c r="B5000" s="21" t="n">
        <v>2906</v>
      </c>
      <c r="C5000" s="22" t="inlineStr">
        <is>
          <t>HASALTUN</t>
        </is>
      </c>
      <c r="D5000" s="1" t="inlineStr">
        <is>
          <t>HİTACİ</t>
        </is>
      </c>
      <c r="E5000" s="1" t="inlineStr">
        <is>
          <t>TURGUT SANCAK</t>
        </is>
      </c>
      <c r="F5000" s="23" t="n"/>
      <c r="G5000" s="138" t="n"/>
      <c r="H5000" s="138" t="n">
        <v>269</v>
      </c>
      <c r="I5000" s="138">
        <f>+I4999+(G5000-H5000)</f>
        <v/>
      </c>
      <c r="J5000" s="139" t="n">
        <v>46.18</v>
      </c>
      <c r="K5000" s="140" t="n"/>
      <c r="L5000" s="140">
        <f>+H5000*J5000</f>
        <v/>
      </c>
      <c r="M5000" s="141">
        <f>SUM(M4999+K5000-L5000)</f>
        <v/>
      </c>
    </row>
    <row r="5001">
      <c r="A5001" s="20" t="n">
        <v>45912</v>
      </c>
      <c r="B5001" s="21" t="n">
        <v>2907</v>
      </c>
      <c r="C5001" s="22" t="inlineStr">
        <is>
          <t>HASALTUN</t>
        </is>
      </c>
      <c r="D5001" s="21" t="inlineStr">
        <is>
          <t xml:space="preserve">SM 300 </t>
        </is>
      </c>
      <c r="E5001" s="21" t="inlineStr">
        <is>
          <t>MEHMET ALİ</t>
        </is>
      </c>
      <c r="F5001" s="23" t="n"/>
      <c r="G5001" s="138" t="n"/>
      <c r="H5001" s="138" t="n">
        <v>326</v>
      </c>
      <c r="I5001" s="138">
        <f>+I5000+(G5001-H5001)</f>
        <v/>
      </c>
      <c r="J5001" s="139" t="n">
        <v>46.18</v>
      </c>
      <c r="K5001" s="140" t="n"/>
      <c r="L5001" s="140">
        <f>+H5001*J5001</f>
        <v/>
      </c>
      <c r="M5001" s="141">
        <f>SUM(M5000+K5001-L5001)</f>
        <v/>
      </c>
    </row>
    <row r="5002">
      <c r="A5002" s="20" t="n">
        <v>45912</v>
      </c>
      <c r="B5002" s="21" t="n">
        <v>2908</v>
      </c>
      <c r="C5002" s="22" t="inlineStr">
        <is>
          <t>HASALTUN</t>
        </is>
      </c>
      <c r="D5002" s="21" t="inlineStr">
        <is>
          <t xml:space="preserve">SİLİNDİR </t>
        </is>
      </c>
      <c r="E5002" s="21" t="inlineStr">
        <is>
          <t>ÖNER</t>
        </is>
      </c>
      <c r="F5002" s="23" t="n"/>
      <c r="G5002" s="138" t="n"/>
      <c r="H5002" s="138" t="n">
        <v>251</v>
      </c>
      <c r="I5002" s="138">
        <f>+I5001+(G5002-H5002)</f>
        <v/>
      </c>
      <c r="J5002" s="139" t="n">
        <v>46.18</v>
      </c>
      <c r="K5002" s="140" t="n"/>
      <c r="L5002" s="140">
        <f>+H5002*J5002</f>
        <v/>
      </c>
      <c r="M5002" s="141">
        <f>SUM(M5001+K5002-L5002)</f>
        <v/>
      </c>
    </row>
    <row r="5003">
      <c r="A5003" s="20" t="n">
        <v>45912</v>
      </c>
      <c r="B5003" s="21" t="n">
        <v>2909</v>
      </c>
      <c r="C5003" s="22" t="inlineStr">
        <is>
          <t>HASALTUN</t>
        </is>
      </c>
      <c r="D5003" s="21" t="inlineStr">
        <is>
          <t xml:space="preserve">SM 370 </t>
        </is>
      </c>
      <c r="E5003" s="21" t="inlineStr">
        <is>
          <t>ÖZKAN</t>
        </is>
      </c>
      <c r="F5003" s="23" t="n"/>
      <c r="G5003" s="138" t="n"/>
      <c r="H5003" s="138" t="n">
        <v>327</v>
      </c>
      <c r="I5003" s="138">
        <f>+I5002+(G5003-H5003)</f>
        <v/>
      </c>
      <c r="J5003" s="139" t="n">
        <v>46.18</v>
      </c>
      <c r="K5003" s="140" t="n"/>
      <c r="L5003" s="140">
        <f>+H5003*J5003</f>
        <v/>
      </c>
      <c r="M5003" s="141">
        <f>SUM(M5002+K5003-L5003)</f>
        <v/>
      </c>
    </row>
    <row r="5004">
      <c r="A5004" s="20" t="n">
        <v>45913</v>
      </c>
      <c r="B5004" s="21" t="n">
        <v>2851</v>
      </c>
      <c r="C5004" s="22" t="inlineStr">
        <is>
          <t>MEGA VARLIK</t>
        </is>
      </c>
      <c r="D5004" s="21" t="inlineStr">
        <is>
          <t>HASAN ZEMİN KAZIKCI</t>
        </is>
      </c>
      <c r="E5004" s="21" t="n"/>
      <c r="F5004" s="23" t="n"/>
      <c r="G5004" s="138" t="n"/>
      <c r="H5004" s="138" t="n">
        <v>270</v>
      </c>
      <c r="I5004" s="138">
        <f>+I5003+(G5004-H5004)</f>
        <v/>
      </c>
      <c r="J5004" s="139" t="n">
        <v>46.18</v>
      </c>
      <c r="K5004" s="140" t="n"/>
      <c r="L5004" s="140">
        <f>+H5004*J5004</f>
        <v/>
      </c>
      <c r="M5004" s="141">
        <f>SUM(M5003+K5004-L5004)</f>
        <v/>
      </c>
    </row>
    <row r="5005">
      <c r="A5005" s="20" t="n">
        <v>45913</v>
      </c>
      <c r="B5005" s="21" t="n">
        <v>15234</v>
      </c>
      <c r="C5005" s="22" t="inlineStr">
        <is>
          <t>SELİM İNŞAAT</t>
        </is>
      </c>
      <c r="D5005" s="21" t="inlineStr">
        <is>
          <t>34 DSN 565</t>
        </is>
      </c>
      <c r="E5005" s="21" t="inlineStr">
        <is>
          <t>HÜSEYİN DENİZ</t>
        </is>
      </c>
      <c r="F5005" s="23" t="n">
        <v>418278</v>
      </c>
      <c r="G5005" s="138" t="n"/>
      <c r="H5005" s="138" t="n">
        <v>398</v>
      </c>
      <c r="I5005" s="138">
        <f>+I5004+(G5005-H5005)</f>
        <v/>
      </c>
      <c r="J5005" s="139" t="n">
        <v>46.18</v>
      </c>
      <c r="K5005" s="140" t="n"/>
      <c r="L5005" s="140">
        <f>+H5005*J5005</f>
        <v/>
      </c>
      <c r="M5005" s="141">
        <f>SUM(M5004+K5005-L5005)</f>
        <v/>
      </c>
    </row>
    <row r="5006">
      <c r="A5006" s="20" t="n">
        <v>45913</v>
      </c>
      <c r="B5006" s="21" t="n">
        <v>1859</v>
      </c>
      <c r="C5006" s="22" t="inlineStr">
        <is>
          <t>SELİM İNŞAAT</t>
        </is>
      </c>
      <c r="D5006" s="21" t="inlineStr">
        <is>
          <t>34 GVZ 268</t>
        </is>
      </c>
      <c r="E5006" s="21" t="inlineStr">
        <is>
          <t>KERİM KARAMAN</t>
        </is>
      </c>
      <c r="F5006" s="23" t="n">
        <v>217225</v>
      </c>
      <c r="G5006" s="138" t="n"/>
      <c r="H5006" s="138" t="n">
        <v>270</v>
      </c>
      <c r="I5006" s="138">
        <f>+I5005+(G5006-H5006)</f>
        <v/>
      </c>
      <c r="J5006" s="139" t="n">
        <v>46.18</v>
      </c>
      <c r="K5006" s="140" t="n"/>
      <c r="L5006" s="140">
        <f>+H5006*J5006</f>
        <v/>
      </c>
      <c r="M5006" s="141">
        <f>SUM(M5005+K5006-L5006)</f>
        <v/>
      </c>
    </row>
    <row r="5007">
      <c r="A5007" s="20" t="n">
        <v>45913</v>
      </c>
      <c r="B5007" s="21" t="n">
        <v>15139</v>
      </c>
      <c r="C5007" s="22" t="inlineStr">
        <is>
          <t>SELİM İNŞAAT</t>
        </is>
      </c>
      <c r="D5007" s="21" t="inlineStr">
        <is>
          <t>34 DTV 599</t>
        </is>
      </c>
      <c r="E5007" s="21" t="inlineStr">
        <is>
          <t>FERHAT GÜRLER</t>
        </is>
      </c>
      <c r="F5007" s="23" t="n">
        <v>453446</v>
      </c>
      <c r="G5007" s="138" t="n"/>
      <c r="H5007" s="138" t="n">
        <v>497</v>
      </c>
      <c r="I5007" s="138">
        <f>+I5006+(G5007-H5007)</f>
        <v/>
      </c>
      <c r="J5007" s="139" t="n">
        <v>46.18</v>
      </c>
      <c r="K5007" s="140" t="n"/>
      <c r="L5007" s="140">
        <f>+H5007*J5007</f>
        <v/>
      </c>
      <c r="M5007" s="141">
        <f>SUM(M5006+K5007-L5007)</f>
        <v/>
      </c>
    </row>
    <row r="5008">
      <c r="A5008" s="20" t="n">
        <v>45913</v>
      </c>
      <c r="B5008" s="21" t="n">
        <v>15895</v>
      </c>
      <c r="C5008" s="22" t="inlineStr">
        <is>
          <t>SELİM İNŞAAT</t>
        </is>
      </c>
      <c r="D5008" s="21" t="inlineStr">
        <is>
          <t>34 EDB 754</t>
        </is>
      </c>
      <c r="E5008" s="21" t="inlineStr">
        <is>
          <t>MUSTAFA KAYA</t>
        </is>
      </c>
      <c r="F5008" s="23" t="n">
        <v>345750</v>
      </c>
      <c r="G5008" s="138" t="n"/>
      <c r="H5008" s="138" t="n">
        <v>494</v>
      </c>
      <c r="I5008" s="138">
        <f>+I5007+(G5008-H5008)</f>
        <v/>
      </c>
      <c r="J5008" s="139" t="n">
        <v>46.18</v>
      </c>
      <c r="K5008" s="140" t="n"/>
      <c r="L5008" s="140">
        <f>+H5008*J5008</f>
        <v/>
      </c>
      <c r="M5008" s="141">
        <f>SUM(M5007+K5008-L5008)</f>
        <v/>
      </c>
    </row>
    <row r="5009">
      <c r="A5009" s="20" t="n">
        <v>45913</v>
      </c>
      <c r="B5009" s="21" t="n">
        <v>1081</v>
      </c>
      <c r="C5009" s="22" t="inlineStr">
        <is>
          <t>SELİM İNŞAAT</t>
        </is>
      </c>
      <c r="D5009" s="21" t="inlineStr">
        <is>
          <t>34 GVZ 310</t>
        </is>
      </c>
      <c r="E5009" s="21" t="inlineStr">
        <is>
          <t>CELAL YÜZBAŞI</t>
        </is>
      </c>
      <c r="F5009" s="23" t="n">
        <v>222273</v>
      </c>
      <c r="G5009" s="138" t="n"/>
      <c r="H5009" s="138" t="n">
        <v>225</v>
      </c>
      <c r="I5009" s="138">
        <f>+I5008+(G5009-H5009)</f>
        <v/>
      </c>
      <c r="J5009" s="139" t="n">
        <v>46.18</v>
      </c>
      <c r="K5009" s="140" t="n"/>
      <c r="L5009" s="140">
        <f>+H5009*J5009</f>
        <v/>
      </c>
      <c r="M5009" s="141">
        <f>SUM(M5008+K5009-L5009)</f>
        <v/>
      </c>
    </row>
    <row r="5010">
      <c r="A5010" s="20" t="n">
        <v>45913</v>
      </c>
      <c r="B5010" s="21" t="n">
        <v>2809</v>
      </c>
      <c r="C5010" s="22" t="inlineStr">
        <is>
          <t>SELİM İNŞAAT</t>
        </is>
      </c>
      <c r="D5010" s="21" t="inlineStr">
        <is>
          <t>34 GVZ 745</t>
        </is>
      </c>
      <c r="E5010" s="21" t="inlineStr">
        <is>
          <t>MURAT DEMİRBAŞ</t>
        </is>
      </c>
      <c r="F5010" s="23" t="n">
        <v>211071</v>
      </c>
      <c r="G5010" s="138" t="n"/>
      <c r="H5010" s="138" t="n">
        <v>271</v>
      </c>
      <c r="I5010" s="138">
        <f>+I5009+(G5010-H5010)</f>
        <v/>
      </c>
      <c r="J5010" s="139" t="n">
        <v>46.18</v>
      </c>
      <c r="K5010" s="140" t="n"/>
      <c r="L5010" s="140">
        <f>+H5010*J5010</f>
        <v/>
      </c>
      <c r="M5010" s="141">
        <f>SUM(M5009+K5010-L5010)</f>
        <v/>
      </c>
    </row>
    <row r="5011">
      <c r="A5011" s="20" t="n">
        <v>45913</v>
      </c>
      <c r="B5011" s="21" t="n">
        <v>1723</v>
      </c>
      <c r="C5011" s="22" t="inlineStr">
        <is>
          <t>SELİM İNŞAAT</t>
        </is>
      </c>
      <c r="D5011" s="21" t="inlineStr">
        <is>
          <t>34 DGP 137</t>
        </is>
      </c>
      <c r="E5011" s="21" t="inlineStr">
        <is>
          <t>GÜRAY KOYUNCU</t>
        </is>
      </c>
      <c r="F5011" s="23" t="n">
        <v>446197</v>
      </c>
      <c r="G5011" s="138" t="n"/>
      <c r="H5011" s="138" t="n">
        <v>330</v>
      </c>
      <c r="I5011" s="138">
        <f>+I5010+(G5011-H5011)</f>
        <v/>
      </c>
      <c r="J5011" s="139" t="n">
        <v>46.18</v>
      </c>
      <c r="K5011" s="140" t="n"/>
      <c r="L5011" s="140">
        <f>+H5011*J5011</f>
        <v/>
      </c>
      <c r="M5011" s="141">
        <f>SUM(M5010+K5011-L5011)</f>
        <v/>
      </c>
    </row>
    <row r="5012">
      <c r="A5012" s="20" t="n">
        <v>45913</v>
      </c>
      <c r="B5012" s="21" t="n">
        <v>1817</v>
      </c>
      <c r="C5012" s="22" t="inlineStr">
        <is>
          <t>SELİM İNŞAAT</t>
        </is>
      </c>
      <c r="D5012" s="21" t="inlineStr">
        <is>
          <t>34 EGR 922</t>
        </is>
      </c>
      <c r="E5012" s="21" t="inlineStr">
        <is>
          <t>FARUK ÖZEN</t>
        </is>
      </c>
      <c r="F5012" s="23" t="n">
        <v>477718</v>
      </c>
      <c r="G5012" s="138" t="n"/>
      <c r="H5012" s="138" t="n">
        <v>463</v>
      </c>
      <c r="I5012" s="138">
        <f>+I5011+(G5012-H5012)</f>
        <v/>
      </c>
      <c r="J5012" s="139" t="n">
        <v>46.18</v>
      </c>
      <c r="K5012" s="140" t="n"/>
      <c r="L5012" s="140">
        <f>+H5012*J5012</f>
        <v/>
      </c>
      <c r="M5012" s="141">
        <f>SUM(M5011+K5012-L5012)</f>
        <v/>
      </c>
    </row>
    <row r="5013">
      <c r="A5013" s="20" t="n">
        <v>45913</v>
      </c>
      <c r="B5013" s="21" t="n">
        <v>2657</v>
      </c>
      <c r="C5013" s="22" t="inlineStr">
        <is>
          <t>SELİM İNŞAAT</t>
        </is>
      </c>
      <c r="D5013" s="21" t="inlineStr">
        <is>
          <t>34 DHC 467</t>
        </is>
      </c>
      <c r="E5013" s="21" t="inlineStr">
        <is>
          <t>SEZGİN KOCAGİL</t>
        </is>
      </c>
      <c r="F5013" s="23" t="n">
        <v>421791</v>
      </c>
      <c r="G5013" s="138" t="n"/>
      <c r="H5013" s="138" t="n">
        <v>366</v>
      </c>
      <c r="I5013" s="138">
        <f>+I5012+(G5013-H5013)</f>
        <v/>
      </c>
      <c r="J5013" s="139" t="n">
        <v>46.18</v>
      </c>
      <c r="K5013" s="140" t="n"/>
      <c r="L5013" s="140">
        <f>+H5013*J5013</f>
        <v/>
      </c>
      <c r="M5013" s="141">
        <f>SUM(M5012+K5013-L5013)</f>
        <v/>
      </c>
    </row>
    <row r="5014">
      <c r="A5014" s="20" t="n">
        <v>45913</v>
      </c>
      <c r="B5014" s="21" t="n">
        <v>2256</v>
      </c>
      <c r="C5014" s="22" t="inlineStr">
        <is>
          <t>SELİM İNŞAAT</t>
        </is>
      </c>
      <c r="D5014" s="21" t="inlineStr">
        <is>
          <t>34 DSN 636</t>
        </is>
      </c>
      <c r="E5014" s="21" t="inlineStr">
        <is>
          <t>MAHSUN GÜVEN</t>
        </is>
      </c>
      <c r="F5014" s="23" t="n">
        <v>409204</v>
      </c>
      <c r="G5014" s="138" t="n"/>
      <c r="H5014" s="138" t="n">
        <v>381</v>
      </c>
      <c r="I5014" s="138">
        <f>+I5013+(G5014-H5014)</f>
        <v/>
      </c>
      <c r="J5014" s="139" t="n">
        <v>46.18</v>
      </c>
      <c r="K5014" s="140" t="n"/>
      <c r="L5014" s="140">
        <f>+H5014*J5014</f>
        <v/>
      </c>
      <c r="M5014" s="141">
        <f>SUM(M5013+K5014-L5014)</f>
        <v/>
      </c>
    </row>
    <row r="5015">
      <c r="A5015" s="20" t="n">
        <v>45913</v>
      </c>
      <c r="B5015" s="21" t="n">
        <v>1221</v>
      </c>
      <c r="C5015" s="22" t="inlineStr">
        <is>
          <t>SELİM İNŞAAT</t>
        </is>
      </c>
      <c r="D5015" s="21" t="inlineStr">
        <is>
          <t>34 DHC 393</t>
        </is>
      </c>
      <c r="E5015" s="21" t="inlineStr">
        <is>
          <t>ATA KIZMAZ</t>
        </is>
      </c>
      <c r="F5015" s="23" t="n">
        <v>440424</v>
      </c>
      <c r="G5015" s="138" t="n"/>
      <c r="H5015" s="138" t="n">
        <v>374</v>
      </c>
      <c r="I5015" s="138">
        <f>+I5014+(G5015-H5015)</f>
        <v/>
      </c>
      <c r="J5015" s="139" t="n">
        <v>46.18</v>
      </c>
      <c r="K5015" s="140" t="n"/>
      <c r="L5015" s="140">
        <f>+H5015*J5015</f>
        <v/>
      </c>
      <c r="M5015" s="141">
        <f>SUM(M5014+K5015-L5015)</f>
        <v/>
      </c>
    </row>
    <row r="5016">
      <c r="A5016" s="20" t="n">
        <v>45913</v>
      </c>
      <c r="B5016" s="21" t="n">
        <v>587</v>
      </c>
      <c r="C5016" s="22" t="inlineStr">
        <is>
          <t>SELİM İNŞAAT</t>
        </is>
      </c>
      <c r="D5016" s="21" t="inlineStr">
        <is>
          <t>34 EDB 922</t>
        </is>
      </c>
      <c r="E5016" s="21" t="inlineStr">
        <is>
          <t>AHMET TOPÇU</t>
        </is>
      </c>
      <c r="F5016" s="23" t="n">
        <v>385558</v>
      </c>
      <c r="G5016" s="138" t="n"/>
      <c r="H5016" s="138" t="n">
        <v>300</v>
      </c>
      <c r="I5016" s="138">
        <f>+I5015+(G5016-H5016)</f>
        <v/>
      </c>
      <c r="J5016" s="139" t="n">
        <v>46.18</v>
      </c>
      <c r="K5016" s="140" t="n"/>
      <c r="L5016" s="140">
        <f>+H5016*J5016</f>
        <v/>
      </c>
      <c r="M5016" s="141">
        <f>SUM(M5015+K5016-L5016)</f>
        <v/>
      </c>
    </row>
    <row r="5017">
      <c r="A5017" s="20" t="n">
        <v>45913</v>
      </c>
      <c r="B5017" s="21" t="n">
        <v>1307</v>
      </c>
      <c r="C5017" s="22" t="inlineStr">
        <is>
          <t>SELİM İNŞAAT</t>
        </is>
      </c>
      <c r="D5017" s="21" t="inlineStr">
        <is>
          <t>34 GVZ 199</t>
        </is>
      </c>
      <c r="E5017" s="21" t="inlineStr">
        <is>
          <t>ATA KIZMAZ</t>
        </is>
      </c>
      <c r="F5017" s="23" t="n">
        <v>203531</v>
      </c>
      <c r="G5017" s="138" t="n"/>
      <c r="H5017" s="138" t="n">
        <v>294</v>
      </c>
      <c r="I5017" s="138">
        <f>+I5016+(G5017-H5017)</f>
        <v/>
      </c>
      <c r="J5017" s="139" t="n">
        <v>46.18</v>
      </c>
      <c r="K5017" s="140" t="n"/>
      <c r="L5017" s="140">
        <f>+H5017*J5017</f>
        <v/>
      </c>
      <c r="M5017" s="141">
        <f>SUM(M5016+K5017-L5017)</f>
        <v/>
      </c>
    </row>
    <row r="5018">
      <c r="A5018" s="20" t="n">
        <v>45913</v>
      </c>
      <c r="B5018" s="21" t="n">
        <v>2563</v>
      </c>
      <c r="C5018" s="22" t="inlineStr">
        <is>
          <t>SELİM İNŞAAT</t>
        </is>
      </c>
      <c r="D5018" s="21" t="inlineStr">
        <is>
          <t>34 GER 028</t>
        </is>
      </c>
      <c r="E5018" s="21" t="inlineStr">
        <is>
          <t>A.KERİM ERGEN</t>
        </is>
      </c>
      <c r="F5018" s="23" t="n">
        <v>52667</v>
      </c>
      <c r="G5018" s="138" t="n"/>
      <c r="H5018" s="138" t="n">
        <v>237</v>
      </c>
      <c r="I5018" s="138">
        <f>+I5017+(G5018-H5018)</f>
        <v/>
      </c>
      <c r="J5018" s="139" t="n">
        <v>46.18</v>
      </c>
      <c r="K5018" s="140" t="n"/>
      <c r="L5018" s="140">
        <f>+H5018*J5018</f>
        <v/>
      </c>
      <c r="M5018" s="141">
        <f>SUM(M5017+K5018-L5018)</f>
        <v/>
      </c>
    </row>
    <row r="5019">
      <c r="A5019" s="20" t="n">
        <v>45913</v>
      </c>
      <c r="B5019" s="21" t="n">
        <v>15951</v>
      </c>
      <c r="C5019" s="22" t="inlineStr">
        <is>
          <t>SELİM İNŞAAT</t>
        </is>
      </c>
      <c r="D5019" s="21" t="inlineStr">
        <is>
          <t>34 DFE 454</t>
        </is>
      </c>
      <c r="E5019" s="21" t="inlineStr">
        <is>
          <t>HÜSEYİN ALIN</t>
        </is>
      </c>
      <c r="F5019" s="23" t="n">
        <v>167317</v>
      </c>
      <c r="G5019" s="138" t="n"/>
      <c r="H5019" s="138" t="n">
        <v>270</v>
      </c>
      <c r="I5019" s="138">
        <f>+I5018+(G5019-H5019)</f>
        <v/>
      </c>
      <c r="J5019" s="139" t="n">
        <v>46.18</v>
      </c>
      <c r="K5019" s="140" t="n"/>
      <c r="L5019" s="140">
        <f>+H5019*J5019</f>
        <v/>
      </c>
      <c r="M5019" s="141">
        <f>SUM(M5018+K5019-L5019)</f>
        <v/>
      </c>
    </row>
    <row r="5020">
      <c r="A5020" s="20" t="n">
        <v>45913</v>
      </c>
      <c r="B5020" s="21" t="n">
        <v>1419</v>
      </c>
      <c r="C5020" s="22" t="inlineStr">
        <is>
          <t>SELİM İNŞAAT</t>
        </is>
      </c>
      <c r="D5020" s="21" t="inlineStr">
        <is>
          <t>34 DKL 798</t>
        </is>
      </c>
      <c r="E5020" s="21" t="inlineStr">
        <is>
          <t>METİN KALKAN</t>
        </is>
      </c>
      <c r="F5020" s="23" t="n">
        <v>73358</v>
      </c>
      <c r="G5020" s="138" t="n"/>
      <c r="H5020" s="138" t="n">
        <v>198</v>
      </c>
      <c r="I5020" s="138">
        <f>+I5019+(G5020-H5020)</f>
        <v/>
      </c>
      <c r="J5020" s="139" t="n">
        <v>46.18</v>
      </c>
      <c r="K5020" s="140" t="n"/>
      <c r="L5020" s="140">
        <f>+H5020*J5020</f>
        <v/>
      </c>
      <c r="M5020" s="141">
        <f>SUM(M5019+K5020-L5020)</f>
        <v/>
      </c>
    </row>
    <row r="5021">
      <c r="A5021" s="20" t="n">
        <v>45913</v>
      </c>
      <c r="B5021" s="21" t="n">
        <v>15202</v>
      </c>
      <c r="C5021" s="22" t="inlineStr">
        <is>
          <t>SELİM İNŞAAT</t>
        </is>
      </c>
      <c r="D5021" s="21" t="inlineStr">
        <is>
          <t>34 DP 4161</t>
        </is>
      </c>
      <c r="E5021" s="21" t="inlineStr">
        <is>
          <t>RIFAT KARATAY</t>
        </is>
      </c>
      <c r="F5021" s="23" t="n">
        <v>300249</v>
      </c>
      <c r="G5021" s="138" t="n"/>
      <c r="H5021" s="138" t="n">
        <v>232</v>
      </c>
      <c r="I5021" s="138">
        <f>+I5020+(G5021-H5021)</f>
        <v/>
      </c>
      <c r="J5021" s="139" t="n">
        <v>46.18</v>
      </c>
      <c r="K5021" s="140" t="n"/>
      <c r="L5021" s="140">
        <f>+H5021*J5021</f>
        <v/>
      </c>
      <c r="M5021" s="141">
        <f>SUM(M5020+K5021-L5021)</f>
        <v/>
      </c>
    </row>
    <row r="5022">
      <c r="A5022" s="20" t="n">
        <v>45913</v>
      </c>
      <c r="B5022" s="21" t="n">
        <v>270</v>
      </c>
      <c r="C5022" s="22" t="inlineStr">
        <is>
          <t>SELİM İNŞAAT</t>
        </is>
      </c>
      <c r="D5022" s="21" t="inlineStr">
        <is>
          <t>34 GER 445</t>
        </is>
      </c>
      <c r="E5022" s="21" t="inlineStr">
        <is>
          <t>HÜSEYİN ÖZKOÇAK</t>
        </is>
      </c>
      <c r="F5022" s="23" t="n">
        <v>50289</v>
      </c>
      <c r="G5022" s="138" t="n"/>
      <c r="H5022" s="138" t="n">
        <v>179</v>
      </c>
      <c r="I5022" s="138">
        <f>+I5021+(G5022-H5022)</f>
        <v/>
      </c>
      <c r="J5022" s="139" t="n">
        <v>46.18</v>
      </c>
      <c r="K5022" s="140" t="n"/>
      <c r="L5022" s="140">
        <f>+H5022*J5022</f>
        <v/>
      </c>
      <c r="M5022" s="141">
        <f>SUM(M5021+K5022-L5022)</f>
        <v/>
      </c>
    </row>
    <row r="5023">
      <c r="A5023" s="20" t="n">
        <v>45913</v>
      </c>
      <c r="B5023" s="21" t="n">
        <v>621</v>
      </c>
      <c r="C5023" s="22" t="inlineStr">
        <is>
          <t>SELİM İNŞAAT</t>
        </is>
      </c>
      <c r="D5023" s="21" t="inlineStr">
        <is>
          <t>34 AR 7743</t>
        </is>
      </c>
      <c r="E5023" s="21" t="inlineStr">
        <is>
          <t>MEHMET SELİM</t>
        </is>
      </c>
      <c r="F5023" s="23" t="n">
        <v>362981</v>
      </c>
      <c r="G5023" s="138" t="n"/>
      <c r="H5023" s="138" t="n">
        <v>50</v>
      </c>
      <c r="I5023" s="138">
        <f>+I5022+(G5023-H5023)</f>
        <v/>
      </c>
      <c r="J5023" s="139" t="n">
        <v>46.18</v>
      </c>
      <c r="K5023" s="140" t="n"/>
      <c r="L5023" s="140">
        <f>+H5023*J5023</f>
        <v/>
      </c>
      <c r="M5023" s="141">
        <f>SUM(M5022+K5023-L5023)</f>
        <v/>
      </c>
    </row>
    <row r="5024">
      <c r="A5024" s="20" t="n">
        <v>45913</v>
      </c>
      <c r="B5024" s="21" t="n">
        <v>484</v>
      </c>
      <c r="C5024" s="22" t="inlineStr">
        <is>
          <t>SELİM İNŞAAT</t>
        </is>
      </c>
      <c r="D5024" s="21" t="inlineStr">
        <is>
          <t>34 DKL 866</t>
        </is>
      </c>
      <c r="E5024" s="21" t="inlineStr">
        <is>
          <t>SELİM CAN ÖNVER</t>
        </is>
      </c>
      <c r="F5024" s="23" t="n">
        <v>74561</v>
      </c>
      <c r="G5024" s="138" t="n"/>
      <c r="H5024" s="138" t="n">
        <v>230</v>
      </c>
      <c r="I5024" s="138">
        <f>+I5023+(G5024-H5024)</f>
        <v/>
      </c>
      <c r="J5024" s="139" t="n">
        <v>46.18</v>
      </c>
      <c r="K5024" s="140" t="n"/>
      <c r="L5024" s="140">
        <f>+H5024*J5024</f>
        <v/>
      </c>
      <c r="M5024" s="141">
        <f>SUM(M5023+K5024-L5024)</f>
        <v/>
      </c>
    </row>
    <row r="5025">
      <c r="A5025" s="20" t="n">
        <v>45913</v>
      </c>
      <c r="B5025" s="21" t="n">
        <v>2225</v>
      </c>
      <c r="C5025" s="22" t="inlineStr">
        <is>
          <t>AZGÜN YAPI</t>
        </is>
      </c>
      <c r="D5025" s="21" t="inlineStr">
        <is>
          <t>34 DTV 263</t>
        </is>
      </c>
      <c r="E5025" s="21" t="inlineStr">
        <is>
          <t>MUHAMMET BULUT</t>
        </is>
      </c>
      <c r="F5025" s="23" t="n"/>
      <c r="G5025" s="138" t="n"/>
      <c r="H5025" s="138" t="n">
        <v>332</v>
      </c>
      <c r="I5025" s="138">
        <f>+I5024+(G5025-H5025)</f>
        <v/>
      </c>
      <c r="J5025" s="139" t="n">
        <v>46.18</v>
      </c>
      <c r="K5025" s="140" t="n"/>
      <c r="L5025" s="140">
        <f>+H5025*J5025</f>
        <v/>
      </c>
      <c r="M5025" s="141">
        <f>SUM(M5024+K5025-L5025)</f>
        <v/>
      </c>
    </row>
    <row r="5026">
      <c r="A5026" s="20" t="n">
        <v>45913</v>
      </c>
      <c r="B5026" s="21" t="n">
        <v>15649</v>
      </c>
      <c r="C5026" s="22" t="inlineStr">
        <is>
          <t>METİN ERYİĞİT</t>
        </is>
      </c>
      <c r="D5026" s="21" t="inlineStr">
        <is>
          <t>34 EGS 013</t>
        </is>
      </c>
      <c r="E5026" s="21" t="inlineStr">
        <is>
          <t xml:space="preserve">UĞUR DUMAN </t>
        </is>
      </c>
      <c r="F5026" s="23" t="n">
        <v>514704</v>
      </c>
      <c r="G5026" s="138" t="n"/>
      <c r="H5026" s="138" t="n">
        <v>446</v>
      </c>
      <c r="I5026" s="138">
        <f>+I5025+(G5026-H5026)</f>
        <v/>
      </c>
      <c r="J5026" s="139" t="n">
        <v>46.18</v>
      </c>
      <c r="K5026" s="140" t="n"/>
      <c r="L5026" s="140">
        <f>+H5026*J5026</f>
        <v/>
      </c>
      <c r="M5026" s="141">
        <f>SUM(M5025+K5026-L5026)</f>
        <v/>
      </c>
    </row>
    <row r="5027">
      <c r="A5027" s="20" t="n">
        <v>45913</v>
      </c>
      <c r="B5027" s="21" t="n">
        <v>733</v>
      </c>
      <c r="C5027" s="22" t="inlineStr">
        <is>
          <t>METİN ERYİĞİT</t>
        </is>
      </c>
      <c r="D5027" s="21" t="inlineStr">
        <is>
          <t>34 GBL 998</t>
        </is>
      </c>
      <c r="E5027" s="21" t="inlineStr">
        <is>
          <t>ALİ KESKİN</t>
        </is>
      </c>
      <c r="F5027" s="23" t="n">
        <v>295487</v>
      </c>
      <c r="G5027" s="138" t="n"/>
      <c r="H5027" s="138" t="n">
        <v>384</v>
      </c>
      <c r="I5027" s="138">
        <f>+I5026+(G5027-H5027)</f>
        <v/>
      </c>
      <c r="J5027" s="139" t="n">
        <v>46.18</v>
      </c>
      <c r="K5027" s="140" t="n"/>
      <c r="L5027" s="140">
        <f>+H5027*J5027</f>
        <v/>
      </c>
      <c r="M5027" s="141">
        <f>SUM(M5026+K5027-L5027)</f>
        <v/>
      </c>
    </row>
    <row r="5028">
      <c r="A5028" s="20" t="n">
        <v>45913</v>
      </c>
      <c r="B5028" s="21" t="n">
        <v>15704</v>
      </c>
      <c r="C5028" s="22" t="inlineStr">
        <is>
          <t>METİN ERYİĞİT</t>
        </is>
      </c>
      <c r="D5028" s="21" t="inlineStr">
        <is>
          <t>34 EGR 814</t>
        </is>
      </c>
      <c r="E5028" s="21" t="inlineStr">
        <is>
          <t>MUHAMMET YİĞİT</t>
        </is>
      </c>
      <c r="F5028" s="23" t="n">
        <v>569097</v>
      </c>
      <c r="G5028" s="138" t="n"/>
      <c r="H5028" s="138" t="n">
        <v>416</v>
      </c>
      <c r="I5028" s="138">
        <f>+I5027+(G5028-H5028)</f>
        <v/>
      </c>
      <c r="J5028" s="139" t="n">
        <v>46.18</v>
      </c>
      <c r="K5028" s="140" t="n"/>
      <c r="L5028" s="140">
        <f>+H5028*J5028</f>
        <v/>
      </c>
      <c r="M5028" s="141">
        <f>SUM(M5027+K5028-L5028)</f>
        <v/>
      </c>
    </row>
    <row r="5029">
      <c r="A5029" s="20" t="n">
        <v>45913</v>
      </c>
      <c r="B5029" s="21" t="n">
        <v>2910</v>
      </c>
      <c r="C5029" s="22" t="inlineStr">
        <is>
          <t>MEGA VARLIK</t>
        </is>
      </c>
      <c r="D5029" s="21" t="inlineStr">
        <is>
          <t>SM 350</t>
        </is>
      </c>
      <c r="E5029" s="21" t="inlineStr">
        <is>
          <t>AHMET AKGÜL</t>
        </is>
      </c>
      <c r="F5029" s="23" t="n"/>
      <c r="G5029" s="138" t="n"/>
      <c r="H5029" s="138" t="n">
        <v>356</v>
      </c>
      <c r="I5029" s="138">
        <f>+I5028+(G5029-H5029)</f>
        <v/>
      </c>
      <c r="J5029" s="139" t="n">
        <v>46.18</v>
      </c>
      <c r="K5029" s="140" t="n"/>
      <c r="L5029" s="140">
        <f>+H5029*J5029</f>
        <v/>
      </c>
      <c r="M5029" s="141">
        <f>SUM(M5028+K5029-L5029)</f>
        <v/>
      </c>
    </row>
    <row r="5030">
      <c r="A5030" s="20" t="n">
        <v>45913</v>
      </c>
      <c r="B5030" s="21" t="n">
        <v>2911</v>
      </c>
      <c r="C5030" s="22" t="inlineStr">
        <is>
          <t>MEGA VARLIK</t>
        </is>
      </c>
      <c r="D5030" s="21" t="inlineStr">
        <is>
          <t>SM 350</t>
        </is>
      </c>
      <c r="E5030" s="21" t="inlineStr">
        <is>
          <t>TEVFİK</t>
        </is>
      </c>
      <c r="F5030" s="23" t="n"/>
      <c r="G5030" s="138" t="n"/>
      <c r="H5030" s="138" t="n">
        <v>317</v>
      </c>
      <c r="I5030" s="138">
        <f>+I5029+(G5030-H5030)</f>
        <v/>
      </c>
      <c r="J5030" s="139" t="n">
        <v>46.18</v>
      </c>
      <c r="K5030" s="140" t="n"/>
      <c r="L5030" s="140">
        <f>+H5030*J5030</f>
        <v/>
      </c>
      <c r="M5030" s="141">
        <f>SUM(M5029+K5030-L5030)</f>
        <v/>
      </c>
    </row>
    <row r="5031">
      <c r="A5031" s="20" t="n">
        <v>45913</v>
      </c>
      <c r="B5031" s="21" t="n">
        <v>2912</v>
      </c>
      <c r="C5031" s="22" t="inlineStr">
        <is>
          <t>MEGA VARLIK</t>
        </is>
      </c>
      <c r="D5031" s="1" t="inlineStr">
        <is>
          <t>KAVAZAKİ</t>
        </is>
      </c>
      <c r="E5031" s="1" t="inlineStr">
        <is>
          <t>RAMAZAN KAYA</t>
        </is>
      </c>
      <c r="F5031" s="23" t="n"/>
      <c r="G5031" s="138" t="n"/>
      <c r="H5031" s="138" t="n">
        <v>434</v>
      </c>
      <c r="I5031" s="138">
        <f>+I5030+(G5031-H5031)</f>
        <v/>
      </c>
      <c r="J5031" s="139" t="n">
        <v>46.18</v>
      </c>
      <c r="K5031" s="140" t="n"/>
      <c r="L5031" s="140">
        <f>+H5031*J5031</f>
        <v/>
      </c>
      <c r="M5031" s="141">
        <f>SUM(M5030+K5031-L5031)</f>
        <v/>
      </c>
    </row>
    <row r="5032">
      <c r="A5032" s="20" t="n">
        <v>45913</v>
      </c>
      <c r="B5032" s="21" t="n">
        <v>2913</v>
      </c>
      <c r="C5032" s="22" t="inlineStr">
        <is>
          <t>EVKUR</t>
        </is>
      </c>
      <c r="D5032" s="21" t="inlineStr">
        <is>
          <t>SM 350</t>
        </is>
      </c>
      <c r="E5032" s="21" t="inlineStr">
        <is>
          <t>MEHMET ALİ</t>
        </is>
      </c>
      <c r="F5032" s="23" t="n"/>
      <c r="G5032" s="138" t="n"/>
      <c r="H5032" s="138" t="n">
        <v>205</v>
      </c>
      <c r="I5032" s="138">
        <f>+I5031+(G5032-H5032)</f>
        <v/>
      </c>
      <c r="J5032" s="139" t="n">
        <v>46.18</v>
      </c>
      <c r="K5032" s="140" t="n"/>
      <c r="L5032" s="140">
        <f>+H5032*J5032</f>
        <v/>
      </c>
      <c r="M5032" s="141">
        <f>SUM(M5031+K5032-L5032)</f>
        <v/>
      </c>
    </row>
    <row r="5033">
      <c r="A5033" s="20" t="n">
        <v>45913</v>
      </c>
      <c r="B5033" s="21" t="n">
        <v>2914</v>
      </c>
      <c r="C5033" s="22" t="inlineStr">
        <is>
          <t>HASALTUN</t>
        </is>
      </c>
      <c r="D5033" s="21" t="inlineStr">
        <is>
          <t>SM 350</t>
        </is>
      </c>
      <c r="E5033" s="21" t="inlineStr">
        <is>
          <t>MEHMET ALİ</t>
        </is>
      </c>
      <c r="F5033" s="23" t="n"/>
      <c r="G5033" s="138" t="n"/>
      <c r="H5033" s="138" t="n">
        <v>210</v>
      </c>
      <c r="I5033" s="138">
        <f>+I5032+(G5033-H5033)</f>
        <v/>
      </c>
      <c r="J5033" s="139" t="n">
        <v>46.18</v>
      </c>
      <c r="K5033" s="140" t="n"/>
      <c r="L5033" s="140">
        <f>+H5033*J5033</f>
        <v/>
      </c>
      <c r="M5033" s="141">
        <f>SUM(M5032+K5033-L5033)</f>
        <v/>
      </c>
    </row>
    <row r="5034">
      <c r="A5034" s="20" t="n">
        <v>45913</v>
      </c>
      <c r="B5034" s="21" t="n">
        <v>2915</v>
      </c>
      <c r="C5034" s="22" t="inlineStr">
        <is>
          <t>HASALTUN</t>
        </is>
      </c>
      <c r="D5034" s="21" t="inlineStr">
        <is>
          <t>FOKLİFT</t>
        </is>
      </c>
      <c r="E5034" s="21" t="inlineStr">
        <is>
          <t>FAHRİ KALFA</t>
        </is>
      </c>
      <c r="F5034" s="23" t="n"/>
      <c r="G5034" s="138" t="n"/>
      <c r="H5034" s="138" t="n">
        <v>89</v>
      </c>
      <c r="I5034" s="138">
        <f>+I5033+(G5034-H5034)</f>
        <v/>
      </c>
      <c r="J5034" s="139" t="n">
        <v>46.18</v>
      </c>
      <c r="K5034" s="140" t="n"/>
      <c r="L5034" s="140">
        <f>+H5034*J5034</f>
        <v/>
      </c>
      <c r="M5034" s="141">
        <f>SUM(M5033+K5034-L5034)</f>
        <v/>
      </c>
    </row>
    <row r="5035">
      <c r="A5035" s="20" t="n">
        <v>45913</v>
      </c>
      <c r="B5035" s="21" t="n">
        <v>2916</v>
      </c>
      <c r="C5035" s="22" t="inlineStr">
        <is>
          <t>EVKUR</t>
        </is>
      </c>
      <c r="D5035" s="1" t="inlineStr">
        <is>
          <t>HİTACİ</t>
        </is>
      </c>
      <c r="E5035" s="1" t="inlineStr">
        <is>
          <t>TURGUT SANCAK</t>
        </is>
      </c>
      <c r="F5035" s="23" t="n"/>
      <c r="G5035" s="138" t="n"/>
      <c r="H5035" s="138" t="n">
        <v>130</v>
      </c>
      <c r="I5035" s="138">
        <f>+I5034+(G5035-H5035)</f>
        <v/>
      </c>
      <c r="J5035" s="139" t="n">
        <v>46.18</v>
      </c>
      <c r="K5035" s="140" t="n"/>
      <c r="L5035" s="140">
        <f>+H5035*J5035</f>
        <v/>
      </c>
      <c r="M5035" s="141">
        <f>SUM(M5034+K5035-L5035)</f>
        <v/>
      </c>
    </row>
    <row r="5036">
      <c r="A5036" s="20" t="n">
        <v>45913</v>
      </c>
      <c r="B5036" s="21" t="n">
        <v>2917</v>
      </c>
      <c r="C5036" s="22" t="inlineStr">
        <is>
          <t>HASALTUN</t>
        </is>
      </c>
      <c r="D5036" s="21" t="inlineStr">
        <is>
          <t>SM 300</t>
        </is>
      </c>
      <c r="E5036" s="21" t="inlineStr">
        <is>
          <t>TURGUT</t>
        </is>
      </c>
      <c r="F5036" s="23" t="n"/>
      <c r="G5036" s="138" t="n"/>
      <c r="H5036" s="138" t="n">
        <v>340</v>
      </c>
      <c r="I5036" s="138">
        <f>+I5035+(G5036-H5036)</f>
        <v/>
      </c>
      <c r="J5036" s="139" t="n">
        <v>46.18</v>
      </c>
      <c r="K5036" s="140" t="n"/>
      <c r="L5036" s="140">
        <f>+H5036*J5036</f>
        <v/>
      </c>
      <c r="M5036" s="141">
        <f>SUM(M5035+K5036-L5036)</f>
        <v/>
      </c>
    </row>
    <row r="5037">
      <c r="A5037" s="20" t="n">
        <v>45914</v>
      </c>
      <c r="B5037" s="21" t="n">
        <v>2852</v>
      </c>
      <c r="C5037" s="22" t="inlineStr">
        <is>
          <t>MEGA VARLIK</t>
        </is>
      </c>
      <c r="D5037" s="21" t="inlineStr">
        <is>
          <t>HASAN ZEMİN KAZIKCI</t>
        </is>
      </c>
      <c r="E5037" s="21" t="n"/>
      <c r="F5037" s="23" t="n"/>
      <c r="G5037" s="138" t="n"/>
      <c r="H5037" s="138" t="n">
        <v>241</v>
      </c>
      <c r="I5037" s="138">
        <f>+I5036+(G5037-H5037)</f>
        <v/>
      </c>
      <c r="J5037" s="139" t="n">
        <v>46.18</v>
      </c>
      <c r="K5037" s="140" t="n"/>
      <c r="L5037" s="140">
        <f>+H5037*J5037</f>
        <v/>
      </c>
      <c r="M5037" s="141">
        <f>SUM(M5036+K5037-L5037)</f>
        <v/>
      </c>
    </row>
    <row r="5038">
      <c r="A5038" s="20" t="n">
        <v>45915</v>
      </c>
      <c r="B5038" s="21" t="n">
        <v>11168</v>
      </c>
      <c r="C5038" s="22" t="inlineStr">
        <is>
          <t>SELİM İNŞAAT</t>
        </is>
      </c>
      <c r="D5038" s="21" t="inlineStr">
        <is>
          <t>34 HZ 1663</t>
        </is>
      </c>
      <c r="E5038" s="21" t="inlineStr">
        <is>
          <t>FATİH ÖZBOLAT</t>
        </is>
      </c>
      <c r="F5038" s="23" t="n">
        <v>524924</v>
      </c>
      <c r="G5038" s="138" t="n"/>
      <c r="H5038" s="138" t="n">
        <v>400</v>
      </c>
      <c r="I5038" s="138">
        <f>+I5037+(G5038-H5038)</f>
        <v/>
      </c>
      <c r="J5038" s="139" t="n">
        <v>46.81</v>
      </c>
      <c r="K5038" s="140" t="n"/>
      <c r="L5038" s="140">
        <f>+H5038*J5038</f>
        <v/>
      </c>
      <c r="M5038" s="141">
        <f>SUM(M5037+K5038-L5038)</f>
        <v/>
      </c>
    </row>
    <row r="5039">
      <c r="A5039" s="20" t="n">
        <v>45915</v>
      </c>
      <c r="B5039" s="21" t="n">
        <v>1920</v>
      </c>
      <c r="C5039" s="22" t="inlineStr">
        <is>
          <t>MAHMUT VİNÇ</t>
        </is>
      </c>
      <c r="D5039" s="21" t="inlineStr">
        <is>
          <t>34 AH 5401</t>
        </is>
      </c>
      <c r="E5039" s="21" t="inlineStr">
        <is>
          <t>MAHMUT YAKUPOĞLU</t>
        </is>
      </c>
      <c r="F5039" s="23" t="n"/>
      <c r="G5039" s="138" t="n"/>
      <c r="H5039" s="138" t="n">
        <v>74</v>
      </c>
      <c r="I5039" s="138">
        <f>+I5038+(G5039-H5039)</f>
        <v/>
      </c>
      <c r="J5039" s="139" t="n">
        <v>46.81</v>
      </c>
      <c r="K5039" s="140" t="n"/>
      <c r="L5039" s="140">
        <f>+H5039*J5039</f>
        <v/>
      </c>
      <c r="M5039" s="141">
        <f>SUM(M5038+K5039-L5039)</f>
        <v/>
      </c>
    </row>
    <row r="5040">
      <c r="A5040" s="20" t="n">
        <v>45915</v>
      </c>
      <c r="B5040" s="21" t="n">
        <v>1285</v>
      </c>
      <c r="C5040" s="22" t="inlineStr">
        <is>
          <t>ÜNSOY TURİZM İNŞ.SAN.VE TİC.A.Ş.</t>
        </is>
      </c>
      <c r="D5040" s="21" t="n"/>
      <c r="E5040" s="21" t="n"/>
      <c r="F5040" s="23" t="n"/>
      <c r="G5040" s="138" t="n">
        <v>31661</v>
      </c>
      <c r="H5040" s="138" t="n"/>
      <c r="I5040" s="138">
        <f>+I5039+(G5040-H5040)</f>
        <v/>
      </c>
      <c r="J5040" s="139">
        <f>+K5040/G5040</f>
        <v/>
      </c>
      <c r="K5040" s="140" t="n">
        <v>1482051.41</v>
      </c>
      <c r="L5040" s="140">
        <f>+H5040*J5040</f>
        <v/>
      </c>
      <c r="M5040" s="141">
        <f>SUM(M5039+K5040-L5040)</f>
        <v/>
      </c>
    </row>
    <row r="5041">
      <c r="A5041" s="20" t="n">
        <v>45925</v>
      </c>
      <c r="B5041" s="21" t="n">
        <v>189</v>
      </c>
      <c r="C5041" s="22" t="inlineStr">
        <is>
          <t>MİRBE PETROL SANAYİ VE TİCARET ANONİM ŞİRKETİ</t>
        </is>
      </c>
      <c r="D5041" s="21" t="n"/>
      <c r="E5041" s="21" t="n"/>
      <c r="F5041" s="23" t="n"/>
      <c r="G5041" s="138" t="n">
        <v>24356</v>
      </c>
      <c r="H5041" s="138" t="n"/>
      <c r="I5041" s="138">
        <f>+I5040+(G5041-H5041)</f>
        <v/>
      </c>
      <c r="J5041" s="139">
        <f>+K5041/G5041</f>
        <v/>
      </c>
      <c r="K5041" s="140" t="n">
        <v>1177128.41</v>
      </c>
      <c r="L5041" s="140">
        <f>+H5041*J5041</f>
        <v/>
      </c>
      <c r="M5041" s="141">
        <f>SUM(M5040+K5041-L5041)</f>
        <v/>
      </c>
    </row>
    <row r="5042">
      <c r="A5042" s="20" t="n">
        <v>45927</v>
      </c>
      <c r="B5042" s="21" t="n">
        <v>1341</v>
      </c>
      <c r="C5042" s="22" t="inlineStr">
        <is>
          <t>ÜNSOY TURİZM İNŞ.SAN.VE TİC.A.Ş.</t>
        </is>
      </c>
      <c r="D5042" s="21" t="n"/>
      <c r="E5042" s="21" t="n"/>
      <c r="F5042" s="23" t="n"/>
      <c r="G5042" s="138" t="n">
        <v>32266</v>
      </c>
      <c r="H5042" s="138" t="n"/>
      <c r="I5042" s="138">
        <f>+I5041+(G5042-H5042)</f>
        <v/>
      </c>
      <c r="J5042" s="139">
        <f>+K5042/G5042</f>
        <v/>
      </c>
      <c r="K5042" s="140" t="n">
        <v>1515211.34</v>
      </c>
      <c r="L5042" s="140">
        <f>+H5042*J5042</f>
        <v/>
      </c>
      <c r="M5042" s="141">
        <f>SUM(M5041+K5042-L5042)</f>
        <v/>
      </c>
    </row>
    <row r="5043">
      <c r="A5043" s="20" t="n"/>
      <c r="B5043" s="21" t="n"/>
      <c r="C5043" s="22" t="n"/>
      <c r="D5043" s="21" t="n"/>
      <c r="E5043" s="21" t="n"/>
      <c r="F5043" s="23" t="n"/>
      <c r="G5043" s="138" t="n"/>
      <c r="H5043" s="138" t="n"/>
      <c r="I5043" s="138">
        <f>+I5042+(G5043-H5043)</f>
        <v/>
      </c>
      <c r="J5043" s="139" t="n"/>
      <c r="K5043" s="140" t="n"/>
      <c r="L5043" s="140">
        <f>+H5043*J5043</f>
        <v/>
      </c>
      <c r="M5043" s="141">
        <f>SUM(M5042+K5043-L5043)</f>
        <v/>
      </c>
    </row>
    <row r="5044">
      <c r="A5044" s="20" t="n"/>
      <c r="B5044" s="21" t="n"/>
      <c r="C5044" s="22" t="n"/>
      <c r="D5044" s="21" t="n"/>
      <c r="E5044" s="21" t="n"/>
      <c r="F5044" s="23" t="n"/>
      <c r="G5044" s="138" t="n"/>
      <c r="H5044" s="138" t="n"/>
      <c r="I5044" s="138">
        <f>+I5043+(G5044-H5044)</f>
        <v/>
      </c>
      <c r="J5044" s="139" t="n"/>
      <c r="K5044" s="140" t="n"/>
      <c r="L5044" s="140">
        <f>+H5044*J5044</f>
        <v/>
      </c>
      <c r="M5044" s="141">
        <f>SUM(M5043+K5044-L5044)</f>
        <v/>
      </c>
    </row>
    <row r="5045">
      <c r="A5045" s="20" t="n"/>
      <c r="B5045" s="21" t="n"/>
      <c r="C5045" s="22" t="n"/>
      <c r="D5045" s="21" t="n"/>
      <c r="E5045" s="21" t="n"/>
      <c r="F5045" s="23" t="n"/>
      <c r="G5045" s="138" t="n"/>
      <c r="H5045" s="138" t="n"/>
      <c r="I5045" s="138">
        <f>+I5044+(G5045-H5045)</f>
        <v/>
      </c>
      <c r="J5045" s="139" t="n"/>
      <c r="K5045" s="140" t="n"/>
      <c r="L5045" s="140">
        <f>+H5045*J5045</f>
        <v/>
      </c>
      <c r="M5045" s="141">
        <f>SUM(M5044+K5045-L5045)</f>
        <v/>
      </c>
    </row>
    <row r="5046">
      <c r="A5046" s="20" t="n"/>
      <c r="B5046" s="21" t="n"/>
      <c r="C5046" s="22" t="n"/>
      <c r="D5046" s="21" t="n"/>
      <c r="E5046" s="21" t="n"/>
      <c r="F5046" s="23" t="n"/>
      <c r="G5046" s="138" t="n"/>
      <c r="H5046" s="138" t="n"/>
      <c r="I5046" s="138">
        <f>+I5045+(G5046-H5046)</f>
        <v/>
      </c>
      <c r="J5046" s="139" t="n"/>
      <c r="K5046" s="140" t="n"/>
      <c r="L5046" s="140">
        <f>+H5046*J5046</f>
        <v/>
      </c>
      <c r="M5046" s="141">
        <f>SUM(M5045+K5046-L5046)</f>
        <v/>
      </c>
    </row>
    <row r="5047">
      <c r="A5047" s="20" t="n"/>
      <c r="B5047" s="21" t="n"/>
      <c r="C5047" s="22" t="n"/>
      <c r="D5047" s="21" t="n"/>
      <c r="E5047" s="21" t="n"/>
      <c r="F5047" s="23" t="n"/>
      <c r="G5047" s="138" t="n"/>
      <c r="H5047" s="138" t="n"/>
      <c r="I5047" s="138">
        <f>+I5046+(G5047-H5047)</f>
        <v/>
      </c>
      <c r="J5047" s="139" t="n"/>
      <c r="K5047" s="140" t="n"/>
      <c r="L5047" s="140">
        <f>+H5047*J5047</f>
        <v/>
      </c>
      <c r="M5047" s="141">
        <f>SUM(M5046+K5047-L5047)</f>
        <v/>
      </c>
    </row>
    <row r="5048">
      <c r="A5048" s="20" t="n"/>
      <c r="B5048" s="21" t="n"/>
      <c r="C5048" s="22" t="n"/>
      <c r="D5048" s="21" t="n"/>
      <c r="E5048" s="21" t="n"/>
      <c r="F5048" s="23" t="n"/>
      <c r="G5048" s="138" t="n"/>
      <c r="H5048" s="138" t="n"/>
      <c r="I5048" s="138">
        <f>+I5047+(G5048-H5048)</f>
        <v/>
      </c>
      <c r="J5048" s="139" t="n"/>
      <c r="K5048" s="140" t="n"/>
      <c r="L5048" s="140">
        <f>+H5048*J5048</f>
        <v/>
      </c>
      <c r="M5048" s="141">
        <f>SUM(M5047+K5048-L5048)</f>
        <v/>
      </c>
    </row>
    <row r="5049">
      <c r="A5049" s="20" t="n"/>
      <c r="B5049" s="21" t="n"/>
      <c r="C5049" s="22" t="n"/>
      <c r="D5049" s="21" t="n"/>
      <c r="E5049" s="21" t="n"/>
      <c r="F5049" s="23" t="n"/>
      <c r="G5049" s="138" t="n"/>
      <c r="H5049" s="138" t="n"/>
      <c r="I5049" s="138">
        <f>+I5048+(G5049-H5049)</f>
        <v/>
      </c>
      <c r="J5049" s="139" t="n"/>
      <c r="K5049" s="140" t="n"/>
      <c r="L5049" s="140">
        <f>+H5049*J5049</f>
        <v/>
      </c>
      <c r="M5049" s="141">
        <f>SUM(M5048+K5049-L5049)</f>
        <v/>
      </c>
    </row>
    <row r="5050">
      <c r="A5050" s="20" t="n"/>
      <c r="B5050" s="21" t="n"/>
      <c r="C5050" s="22" t="n"/>
      <c r="D5050" s="21" t="n"/>
      <c r="E5050" s="21" t="n"/>
      <c r="F5050" s="23" t="n"/>
      <c r="G5050" s="138" t="n"/>
      <c r="H5050" s="138" t="n"/>
      <c r="I5050" s="138">
        <f>+I5049+(G5050-H5050)</f>
        <v/>
      </c>
      <c r="J5050" s="139" t="n"/>
      <c r="K5050" s="140" t="n"/>
      <c r="L5050" s="140">
        <f>+H5050*J5050</f>
        <v/>
      </c>
      <c r="M5050" s="141">
        <f>SUM(M5049+K5050-L5050)</f>
        <v/>
      </c>
    </row>
    <row r="5051">
      <c r="A5051" s="20" t="n"/>
      <c r="B5051" s="21" t="n"/>
      <c r="C5051" s="22" t="n"/>
      <c r="D5051" s="21" t="n"/>
      <c r="E5051" s="21" t="n"/>
      <c r="F5051" s="23" t="n"/>
      <c r="G5051" s="138" t="n"/>
      <c r="H5051" s="138" t="n"/>
      <c r="I5051" s="138">
        <f>+I5050+(G5051-H5051)</f>
        <v/>
      </c>
      <c r="J5051" s="139" t="n"/>
      <c r="K5051" s="140" t="n"/>
      <c r="L5051" s="140">
        <f>+H5051*J5051</f>
        <v/>
      </c>
      <c r="M5051" s="141">
        <f>SUM(M5050+K5051-L5051)</f>
        <v/>
      </c>
    </row>
    <row r="5052">
      <c r="A5052" s="20" t="n"/>
      <c r="B5052" s="21" t="n"/>
      <c r="C5052" s="22" t="n"/>
      <c r="D5052" s="21" t="n"/>
      <c r="E5052" s="21" t="n"/>
      <c r="F5052" s="23" t="n"/>
      <c r="G5052" s="138" t="n"/>
      <c r="H5052" s="138" t="n"/>
      <c r="I5052" s="138">
        <f>+I5051+(G5052-H5052)</f>
        <v/>
      </c>
      <c r="J5052" s="139" t="n"/>
      <c r="K5052" s="140" t="n"/>
      <c r="L5052" s="140">
        <f>+H5052*J5052</f>
        <v/>
      </c>
      <c r="M5052" s="141">
        <f>SUM(M5051+K5052-L5052)</f>
        <v/>
      </c>
    </row>
    <row r="5053">
      <c r="C5053" s="22" t="n"/>
      <c r="D5053" s="21" t="n"/>
      <c r="E5053" s="21" t="n"/>
      <c r="F5053" s="21" t="n"/>
      <c r="G5053" s="21" t="inlineStr">
        <is>
          <t>ARA TOPLAM</t>
        </is>
      </c>
      <c r="H5053" s="23" t="n"/>
      <c r="I5053" s="138">
        <f>+I5052+(G5053-H5053)</f>
        <v/>
      </c>
      <c r="J5053" s="139" t="n"/>
      <c r="K5053" s="140" t="n"/>
      <c r="L5053" s="140" t="n"/>
      <c r="M5053" s="141">
        <f>SUM(M5052+K5053-L5053)</f>
        <v/>
      </c>
      <c r="N5053" s="141" t="n"/>
      <c r="O5053" s="141" t="n"/>
    </row>
    <row r="5054">
      <c r="G5054" s="8" t="n"/>
    </row>
    <row r="5055">
      <c r="G5055" s="8" t="n"/>
    </row>
    <row r="5056">
      <c r="G5056" s="8" t="n"/>
    </row>
    <row r="5057">
      <c r="G5057" s="8" t="n"/>
    </row>
    <row r="5058">
      <c r="G5058" s="8" t="n"/>
    </row>
    <row r="5059">
      <c r="G5059" s="8" t="n"/>
    </row>
    <row r="5060">
      <c r="G5060" s="8" t="n"/>
    </row>
    <row r="5061">
      <c r="G5061" s="8" t="n"/>
    </row>
    <row r="5062">
      <c r="G5062" s="8" t="n"/>
    </row>
    <row r="5063">
      <c r="G5063" s="8" t="n"/>
    </row>
    <row r="5064">
      <c r="G5064" s="8" t="n"/>
    </row>
    <row r="5065">
      <c r="G5065" s="8" t="n"/>
    </row>
    <row r="5066">
      <c r="G5066" s="8" t="n"/>
    </row>
    <row r="5067">
      <c r="G5067" s="8" t="n"/>
    </row>
    <row r="5068">
      <c r="G5068" s="8" t="n"/>
    </row>
    <row r="5069">
      <c r="G5069" s="8" t="n"/>
    </row>
    <row r="5070">
      <c r="G5070" s="8" t="n"/>
    </row>
    <row r="5071">
      <c r="G5071" s="8" t="n"/>
    </row>
    <row r="5072">
      <c r="G5072" s="8" t="n"/>
    </row>
    <row r="5073">
      <c r="G5073" s="8" t="n"/>
    </row>
    <row r="5074">
      <c r="G5074" s="8" t="n"/>
    </row>
    <row r="5075">
      <c r="G5075" s="8" t="n"/>
    </row>
    <row r="5076">
      <c r="G5076" s="8" t="n"/>
    </row>
    <row r="5077">
      <c r="G5077" s="8" t="n"/>
    </row>
    <row r="5078">
      <c r="G5078" s="8" t="n"/>
    </row>
    <row r="5079">
      <c r="G5079" s="8" t="n"/>
    </row>
    <row r="5080">
      <c r="G5080" s="8" t="n"/>
    </row>
    <row r="5081">
      <c r="G5081" s="8" t="n"/>
    </row>
    <row r="5082">
      <c r="G5082" s="8" t="n"/>
    </row>
    <row r="5083">
      <c r="G5083" s="8" t="n"/>
    </row>
    <row r="5084">
      <c r="G5084" s="8" t="n"/>
    </row>
    <row r="5085">
      <c r="G5085" s="8" t="n"/>
    </row>
    <row r="5086">
      <c r="G5086" s="8" t="n"/>
    </row>
    <row r="5087">
      <c r="G5087" s="8" t="n"/>
    </row>
    <row r="5088">
      <c r="G5088" s="8" t="n"/>
    </row>
    <row r="5089">
      <c r="G5089" s="8" t="n"/>
    </row>
    <row r="5090">
      <c r="G5090" s="8" t="n"/>
    </row>
    <row r="5091">
      <c r="G5091" s="8" t="n"/>
    </row>
    <row r="5092">
      <c r="G5092" s="8" t="n"/>
    </row>
    <row r="5093">
      <c r="G5093" s="8" t="n"/>
    </row>
    <row r="5094">
      <c r="G5094" s="8" t="n"/>
    </row>
    <row r="5095">
      <c r="G5095" s="8" t="n"/>
    </row>
    <row r="5096">
      <c r="G5096" s="8" t="n"/>
    </row>
    <row r="5097">
      <c r="G5097" s="8" t="n"/>
    </row>
    <row r="5098">
      <c r="G5098" s="8" t="n"/>
    </row>
    <row r="5099">
      <c r="G5099" s="8" t="n"/>
    </row>
    <row r="5100">
      <c r="G5100" s="8" t="n"/>
    </row>
    <row r="5101">
      <c r="G5101" s="8" t="n"/>
    </row>
    <row r="5102">
      <c r="G5102" s="8" t="n"/>
    </row>
    <row r="5103">
      <c r="G5103" s="8" t="n"/>
    </row>
    <row r="5104">
      <c r="G5104" s="8" t="n"/>
    </row>
    <row r="5105">
      <c r="G5105" s="8" t="n"/>
    </row>
    <row r="5106">
      <c r="G5106" s="8" t="n"/>
    </row>
    <row r="5107">
      <c r="G5107" s="8" t="n"/>
    </row>
    <row r="5108">
      <c r="G5108" s="8" t="n"/>
    </row>
    <row r="5109">
      <c r="G5109" s="8" t="n"/>
    </row>
    <row r="5110">
      <c r="G5110" s="8" t="n"/>
    </row>
    <row r="5111">
      <c r="G5111" s="8" t="n"/>
    </row>
    <row r="5112">
      <c r="G5112" s="8" t="n"/>
    </row>
    <row r="5113">
      <c r="G5113" s="8" t="n"/>
    </row>
    <row r="5114">
      <c r="G5114" s="8" t="n"/>
    </row>
    <row r="5115">
      <c r="G5115" s="8" t="n"/>
    </row>
    <row r="5116">
      <c r="G5116" s="8" t="n"/>
    </row>
    <row r="5117">
      <c r="G5117" s="8" t="n"/>
    </row>
    <row r="5118">
      <c r="G5118" s="8" t="n"/>
    </row>
    <row r="5119">
      <c r="G5119" s="8" t="n"/>
    </row>
    <row r="5120">
      <c r="G5120" s="8" t="n"/>
    </row>
    <row r="5121">
      <c r="G5121" s="8" t="n"/>
    </row>
    <row r="5122">
      <c r="G5122" s="8" t="n"/>
    </row>
    <row r="5123">
      <c r="G5123" s="8" t="n"/>
    </row>
    <row r="5124">
      <c r="G5124" s="8" t="n"/>
    </row>
    <row r="5125">
      <c r="G5125" s="8" t="n"/>
    </row>
    <row r="5126">
      <c r="G5126" s="8" t="n"/>
    </row>
    <row r="5127">
      <c r="G5127" s="8" t="n"/>
    </row>
    <row r="5128">
      <c r="G5128" s="8" t="n"/>
    </row>
    <row r="5129">
      <c r="G5129" s="8" t="n"/>
    </row>
    <row r="5130">
      <c r="G5130" s="8" t="n"/>
    </row>
    <row r="5131">
      <c r="G5131" s="8" t="n"/>
    </row>
    <row r="5132">
      <c r="G5132" s="8" t="n"/>
    </row>
    <row r="5133">
      <c r="G5133" s="8" t="n"/>
    </row>
    <row r="5134">
      <c r="G5134" s="8" t="n"/>
    </row>
    <row r="5135">
      <c r="G5135" s="8" t="n"/>
    </row>
    <row r="5136">
      <c r="G5136" s="8" t="n"/>
    </row>
    <row r="5137">
      <c r="G5137" s="8" t="n"/>
    </row>
    <row r="5138">
      <c r="G5138" s="8" t="n"/>
    </row>
    <row r="5139">
      <c r="G5139" s="8" t="n"/>
    </row>
    <row r="5140">
      <c r="G5140" s="8" t="n"/>
    </row>
    <row r="5141">
      <c r="G5141" s="8" t="n"/>
    </row>
    <row r="5142">
      <c r="G5142" s="8" t="n"/>
    </row>
    <row r="5143">
      <c r="G5143" s="8" t="n"/>
    </row>
    <row r="5144">
      <c r="G5144" s="8" t="n"/>
    </row>
    <row r="5145">
      <c r="G5145" s="8" t="n"/>
    </row>
    <row r="5146">
      <c r="G5146" s="8" t="n"/>
    </row>
    <row r="5147">
      <c r="G5147" s="8" t="n"/>
    </row>
    <row r="5148">
      <c r="G5148" s="8" t="n"/>
    </row>
    <row r="5149">
      <c r="G5149" s="8" t="n"/>
    </row>
    <row r="5150">
      <c r="G5150" s="8" t="n"/>
    </row>
    <row r="5151">
      <c r="G5151" s="8" t="n"/>
    </row>
    <row r="5152">
      <c r="G5152" s="8" t="n"/>
    </row>
    <row r="5153">
      <c r="G5153" s="8" t="n"/>
    </row>
    <row r="5154">
      <c r="G5154" s="8" t="n"/>
    </row>
    <row r="5155">
      <c r="G5155" s="8" t="n"/>
    </row>
    <row r="5156">
      <c r="G5156" s="8" t="n"/>
    </row>
    <row r="5157">
      <c r="G5157" s="8" t="n"/>
    </row>
    <row r="5158">
      <c r="G5158" s="8" t="n"/>
    </row>
    <row r="5159">
      <c r="G5159" s="8" t="n"/>
    </row>
    <row r="5160">
      <c r="G5160" s="8" t="n"/>
    </row>
    <row r="5161">
      <c r="G5161" s="8" t="n"/>
    </row>
    <row r="5162">
      <c r="G5162" s="8" t="n"/>
    </row>
    <row r="5163">
      <c r="G5163" s="8" t="n"/>
    </row>
    <row r="5164">
      <c r="G5164" s="8" t="n"/>
    </row>
    <row r="5165">
      <c r="G5165" s="8" t="n"/>
    </row>
    <row r="5166">
      <c r="G5166" s="8" t="n"/>
    </row>
    <row r="5167">
      <c r="G5167" s="8" t="n"/>
    </row>
    <row r="5168">
      <c r="G5168" s="8" t="n"/>
    </row>
    <row r="5169">
      <c r="G5169" s="8" t="n"/>
    </row>
    <row r="5170">
      <c r="G5170" s="8" t="n"/>
    </row>
    <row r="5171">
      <c r="G5171" s="8" t="n"/>
    </row>
    <row r="5172">
      <c r="G5172" s="8" t="n"/>
    </row>
    <row r="5173">
      <c r="G5173" s="8" t="n"/>
    </row>
    <row r="5174">
      <c r="G5174" s="8" t="n"/>
    </row>
    <row r="5175">
      <c r="G5175" s="8" t="n"/>
    </row>
    <row r="5176">
      <c r="G5176" s="8" t="n"/>
    </row>
    <row r="5177">
      <c r="G5177" s="8" t="n"/>
    </row>
    <row r="5178">
      <c r="G5178" s="8" t="n"/>
    </row>
    <row r="5179">
      <c r="G5179" s="8" t="n"/>
    </row>
    <row r="5180">
      <c r="G5180" s="8" t="n"/>
    </row>
    <row r="5181">
      <c r="G5181" s="8" t="n"/>
    </row>
    <row r="5182">
      <c r="G5182" s="8" t="n"/>
    </row>
    <row r="5183">
      <c r="G5183" s="8" t="n"/>
    </row>
    <row r="5184">
      <c r="G5184" s="8" t="n"/>
    </row>
    <row r="5185">
      <c r="G5185" s="8" t="n"/>
    </row>
    <row r="5186">
      <c r="G5186" s="8" t="n"/>
    </row>
    <row r="5187">
      <c r="G5187" s="8" t="n"/>
    </row>
    <row r="5188">
      <c r="G5188" s="8" t="n"/>
    </row>
    <row r="5189">
      <c r="G5189" s="8" t="n"/>
    </row>
    <row r="5190">
      <c r="G5190" s="8" t="n"/>
    </row>
    <row r="5191">
      <c r="G5191" s="8" t="n"/>
    </row>
    <row r="5192">
      <c r="G5192" s="8" t="n"/>
    </row>
    <row r="5193">
      <c r="G5193" s="8" t="n"/>
    </row>
    <row r="5194">
      <c r="G5194" s="8" t="n"/>
    </row>
    <row r="5195">
      <c r="G5195" s="8" t="n"/>
    </row>
    <row r="5196">
      <c r="G5196" s="8" t="n"/>
    </row>
    <row r="5197">
      <c r="G5197" s="8" t="n"/>
    </row>
    <row r="5198">
      <c r="G5198" s="8" t="n"/>
    </row>
    <row r="5199">
      <c r="G5199" s="8" t="n"/>
    </row>
    <row r="5200">
      <c r="G5200" s="8" t="n"/>
    </row>
    <row r="5201">
      <c r="G5201" s="8" t="n"/>
    </row>
    <row r="5202">
      <c r="G5202" s="8" t="n"/>
    </row>
    <row r="5203">
      <c r="G5203" s="8" t="n"/>
    </row>
    <row r="5204">
      <c r="G5204" s="8" t="n"/>
    </row>
    <row r="5205">
      <c r="G5205" s="8" t="n"/>
    </row>
    <row r="5206">
      <c r="G5206" s="8" t="n"/>
    </row>
    <row r="5207">
      <c r="G5207" s="8" t="n"/>
    </row>
    <row r="5208">
      <c r="G5208" s="8" t="n"/>
    </row>
    <row r="5209">
      <c r="G5209" s="8" t="n"/>
    </row>
    <row r="5210">
      <c r="G5210" s="8" t="n"/>
    </row>
    <row r="5211">
      <c r="G5211" s="8" t="n"/>
    </row>
    <row r="5212">
      <c r="G5212" s="8" t="n"/>
    </row>
    <row r="5213">
      <c r="G5213" s="8" t="n"/>
    </row>
    <row r="5214">
      <c r="G5214" s="8" t="n"/>
    </row>
    <row r="5215">
      <c r="G5215" s="8" t="n"/>
    </row>
    <row r="5216">
      <c r="G5216" s="8" t="n"/>
    </row>
    <row r="5217">
      <c r="G5217" s="8" t="n"/>
    </row>
    <row r="5218">
      <c r="G5218" s="8" t="n"/>
    </row>
    <row r="5219">
      <c r="G5219" s="8" t="n"/>
    </row>
    <row r="5220">
      <c r="G5220" s="8" t="n"/>
    </row>
    <row r="5221">
      <c r="G5221" s="8" t="n"/>
    </row>
    <row r="5222">
      <c r="G5222" s="8" t="n"/>
    </row>
    <row r="5223">
      <c r="G5223" s="8" t="n"/>
    </row>
    <row r="5224">
      <c r="G5224" s="8" t="n"/>
    </row>
    <row r="5225">
      <c r="G5225" s="8" t="n"/>
    </row>
    <row r="5226">
      <c r="G5226" s="8" t="n"/>
    </row>
    <row r="5227">
      <c r="G5227" s="8" t="n"/>
    </row>
    <row r="5228">
      <c r="G5228" s="8" t="n"/>
    </row>
    <row r="5229">
      <c r="G5229" s="8" t="n"/>
    </row>
    <row r="5230">
      <c r="G5230" s="8" t="n"/>
    </row>
    <row r="5231">
      <c r="G5231" s="8" t="n"/>
    </row>
    <row r="5232">
      <c r="G5232" s="8" t="n"/>
    </row>
    <row r="5233">
      <c r="G5233" s="8" t="n"/>
    </row>
    <row r="5234">
      <c r="G5234" s="8" t="n"/>
    </row>
    <row r="5235">
      <c r="G5235" s="8" t="n"/>
    </row>
    <row r="5236">
      <c r="G5236" s="8" t="n"/>
    </row>
    <row r="5237">
      <c r="G5237" s="8" t="n"/>
    </row>
    <row r="5238">
      <c r="G5238" s="8" t="n"/>
    </row>
    <row r="5239">
      <c r="G5239" s="8" t="n"/>
    </row>
    <row r="5240">
      <c r="G5240" s="8" t="n"/>
    </row>
    <row r="5241">
      <c r="G5241" s="8" t="n"/>
    </row>
    <row r="5242">
      <c r="G5242" s="8" t="n"/>
    </row>
    <row r="5243">
      <c r="G5243" s="8" t="n"/>
    </row>
    <row r="5244">
      <c r="G5244" s="8" t="n"/>
    </row>
    <row r="5245">
      <c r="G5245" s="8" t="n"/>
    </row>
    <row r="5246">
      <c r="G5246" s="8" t="n"/>
    </row>
    <row r="5247">
      <c r="G5247" s="8" t="n"/>
    </row>
    <row r="5248">
      <c r="G5248" s="8" t="n"/>
    </row>
    <row r="5249">
      <c r="G5249" s="8" t="n"/>
    </row>
    <row r="5250">
      <c r="G5250" s="8" t="n"/>
    </row>
    <row r="5251">
      <c r="G5251" s="8" t="n"/>
    </row>
    <row r="5252">
      <c r="G5252" s="8" t="n"/>
    </row>
    <row r="5253">
      <c r="G5253" s="8" t="n"/>
    </row>
    <row r="5254">
      <c r="G5254" s="8" t="n"/>
    </row>
    <row r="5255">
      <c r="G5255" s="8" t="n"/>
    </row>
    <row r="5256">
      <c r="G5256" s="8" t="n"/>
    </row>
    <row r="5257">
      <c r="G5257" s="8" t="n"/>
    </row>
    <row r="5258">
      <c r="G5258" s="8" t="n"/>
    </row>
    <row r="5259">
      <c r="G5259" s="8" t="n"/>
    </row>
    <row r="5260">
      <c r="G5260" s="8" t="n"/>
    </row>
    <row r="5261">
      <c r="G5261" s="8" t="n"/>
    </row>
    <row r="5262">
      <c r="G5262" s="8" t="n"/>
    </row>
    <row r="5263">
      <c r="G5263" s="8" t="n"/>
    </row>
    <row r="5264">
      <c r="G5264" s="8" t="n"/>
    </row>
    <row r="5265">
      <c r="G5265" s="8" t="n"/>
    </row>
    <row r="5266">
      <c r="G5266" s="8" t="n"/>
    </row>
    <row r="5267">
      <c r="G5267" s="8" t="n"/>
    </row>
    <row r="5268">
      <c r="G5268" s="8" t="n"/>
    </row>
    <row r="5269">
      <c r="G5269" s="8" t="n"/>
    </row>
    <row r="5270">
      <c r="G5270" s="8" t="n"/>
    </row>
    <row r="5271">
      <c r="G5271" s="8" t="n"/>
    </row>
    <row r="5272">
      <c r="G5272" s="8" t="n"/>
    </row>
    <row r="5273">
      <c r="G5273" s="8" t="n"/>
    </row>
    <row r="5274">
      <c r="G5274" s="8" t="n"/>
    </row>
    <row r="5275">
      <c r="G5275" s="8" t="n"/>
    </row>
    <row r="5276">
      <c r="G5276" s="8" t="n"/>
    </row>
    <row r="5277">
      <c r="G5277" s="8" t="n"/>
    </row>
    <row r="5278">
      <c r="G5278" s="8" t="n"/>
    </row>
    <row r="5279">
      <c r="G5279" s="8" t="n"/>
    </row>
    <row r="5280">
      <c r="G5280" s="8" t="n"/>
    </row>
    <row r="5281">
      <c r="G5281" s="8" t="n"/>
    </row>
    <row r="5282">
      <c r="G5282" s="8" t="n"/>
    </row>
    <row r="5283">
      <c r="G5283" s="8" t="n"/>
    </row>
    <row r="5284">
      <c r="G5284" s="8" t="n"/>
    </row>
    <row r="5285">
      <c r="G5285" s="8" t="n"/>
    </row>
    <row r="5286">
      <c r="G5286" s="8" t="n"/>
    </row>
    <row r="5287">
      <c r="G5287" s="8" t="n"/>
    </row>
    <row r="5288">
      <c r="G5288" s="8" t="n"/>
    </row>
    <row r="5289">
      <c r="G5289" s="8" t="n"/>
    </row>
    <row r="5290">
      <c r="G5290" s="8" t="n"/>
    </row>
    <row r="5291">
      <c r="G5291" s="8" t="n"/>
    </row>
    <row r="5292">
      <c r="G5292" s="8" t="n"/>
    </row>
    <row r="5293">
      <c r="G5293" s="8" t="n"/>
    </row>
    <row r="5294">
      <c r="G5294" s="8" t="n"/>
    </row>
    <row r="5295">
      <c r="G5295" s="8" t="n"/>
    </row>
    <row r="5296">
      <c r="G5296" s="8" t="n"/>
    </row>
    <row r="5297">
      <c r="G5297" s="8" t="n"/>
    </row>
    <row r="5298">
      <c r="G5298" s="8" t="n"/>
    </row>
    <row r="5299">
      <c r="G5299" s="8" t="n"/>
    </row>
    <row r="5300">
      <c r="G5300" s="8" t="n"/>
    </row>
    <row r="5301">
      <c r="G5301" s="8" t="n"/>
    </row>
    <row r="5302">
      <c r="G5302" s="8" t="n"/>
    </row>
    <row r="5303">
      <c r="G5303" s="8" t="n"/>
    </row>
    <row r="5304">
      <c r="G5304" s="8" t="n"/>
    </row>
    <row r="5305">
      <c r="G5305" s="8" t="n"/>
    </row>
    <row r="5306">
      <c r="G5306" s="8" t="n"/>
    </row>
    <row r="5307">
      <c r="G5307" s="8" t="n"/>
    </row>
    <row r="5308">
      <c r="G5308" s="8" t="n"/>
    </row>
    <row r="5309">
      <c r="G5309" s="8" t="n"/>
    </row>
    <row r="5310">
      <c r="G5310" s="8" t="n"/>
    </row>
    <row r="5311">
      <c r="G5311" s="8" t="n"/>
    </row>
    <row r="5312">
      <c r="G5312" s="8" t="n"/>
    </row>
    <row r="5313">
      <c r="G5313" s="8" t="n"/>
    </row>
    <row r="5314">
      <c r="G5314" s="8" t="n"/>
    </row>
    <row r="5315">
      <c r="G5315" s="8" t="n"/>
    </row>
    <row r="5316">
      <c r="G5316" s="8" t="n"/>
    </row>
    <row r="5317">
      <c r="G5317" s="8" t="n"/>
    </row>
    <row r="5318">
      <c r="G5318" s="8" t="n"/>
    </row>
    <row r="5319">
      <c r="G5319" s="8" t="n"/>
    </row>
    <row r="5320">
      <c r="G5320" s="8" t="n"/>
    </row>
    <row r="5321">
      <c r="G5321" s="8" t="n"/>
    </row>
    <row r="5322">
      <c r="G5322" s="8" t="n"/>
    </row>
    <row r="5323">
      <c r="G5323" s="8" t="n"/>
    </row>
    <row r="5324">
      <c r="G5324" s="8" t="n"/>
    </row>
    <row r="5325">
      <c r="G5325" s="8" t="n"/>
    </row>
    <row r="5326">
      <c r="G5326" s="8" t="n"/>
    </row>
    <row r="5327">
      <c r="G5327" s="8" t="n"/>
    </row>
    <row r="5328">
      <c r="G5328" s="8" t="n"/>
    </row>
    <row r="5329">
      <c r="G5329" s="8" t="n"/>
    </row>
    <row r="5330">
      <c r="G5330" s="8" t="n"/>
    </row>
    <row r="5331">
      <c r="G5331" s="8" t="n"/>
    </row>
    <row r="5332">
      <c r="G5332" s="8" t="n"/>
    </row>
    <row r="5333">
      <c r="G5333" s="8" t="n"/>
    </row>
    <row r="5334">
      <c r="G5334" s="8" t="n"/>
    </row>
    <row r="5335">
      <c r="G5335" s="8" t="n"/>
    </row>
    <row r="5336">
      <c r="G5336" s="8" t="n"/>
    </row>
    <row r="5337">
      <c r="G5337" s="8" t="n"/>
    </row>
    <row r="5338">
      <c r="G5338" s="8" t="n"/>
    </row>
    <row r="5339">
      <c r="G5339" s="8" t="n"/>
    </row>
    <row r="5340">
      <c r="G5340" s="8" t="n"/>
    </row>
    <row r="5341">
      <c r="G5341" s="8" t="n"/>
    </row>
    <row r="5342">
      <c r="G5342" s="8" t="n"/>
    </row>
    <row r="5343">
      <c r="G5343" s="8" t="n"/>
    </row>
    <row r="5344">
      <c r="G5344" s="8" t="n"/>
    </row>
    <row r="5345">
      <c r="G5345" s="8" t="n"/>
    </row>
    <row r="5346">
      <c r="G5346" s="8" t="n"/>
    </row>
    <row r="5347">
      <c r="G5347" s="8" t="n"/>
    </row>
    <row r="5348">
      <c r="G5348" s="8" t="n"/>
    </row>
    <row r="5349">
      <c r="G5349" s="8" t="n"/>
    </row>
    <row r="5350">
      <c r="G5350" s="8" t="n"/>
    </row>
    <row r="5351">
      <c r="G5351" s="8" t="n"/>
    </row>
    <row r="5352">
      <c r="G5352" s="8" t="n"/>
    </row>
    <row r="5353">
      <c r="G5353" s="8" t="n"/>
    </row>
    <row r="5354">
      <c r="G5354" s="8" t="n"/>
    </row>
    <row r="5355">
      <c r="G5355" s="8" t="n"/>
    </row>
    <row r="5356">
      <c r="G5356" s="8" t="n"/>
    </row>
    <row r="5357">
      <c r="G5357" s="8" t="n"/>
    </row>
    <row r="5358">
      <c r="G5358" s="8" t="n"/>
    </row>
    <row r="5359">
      <c r="G5359" s="8" t="n"/>
    </row>
    <row r="5360">
      <c r="G5360" s="8" t="n"/>
    </row>
    <row r="5361">
      <c r="G5361" s="8" t="n"/>
    </row>
    <row r="5362">
      <c r="G5362" s="8" t="n"/>
    </row>
    <row r="5363">
      <c r="G5363" s="8" t="n"/>
    </row>
    <row r="5364">
      <c r="G5364" s="8" t="n"/>
    </row>
    <row r="5365">
      <c r="G5365" s="8" t="n"/>
    </row>
    <row r="5366">
      <c r="G5366" s="8" t="n"/>
    </row>
    <row r="5367">
      <c r="G5367" s="8" t="n"/>
    </row>
    <row r="5368">
      <c r="G5368" s="8" t="n"/>
    </row>
    <row r="5369">
      <c r="G5369" s="8" t="n"/>
    </row>
    <row r="5370">
      <c r="G5370" s="8" t="n"/>
    </row>
    <row r="5371">
      <c r="G5371" s="8" t="n"/>
    </row>
    <row r="5372">
      <c r="G5372" s="8" t="n"/>
    </row>
    <row r="5373">
      <c r="G5373" s="8" t="n"/>
    </row>
    <row r="5374">
      <c r="G5374" s="8" t="n"/>
    </row>
    <row r="5375">
      <c r="G5375" s="8" t="n"/>
    </row>
    <row r="5376">
      <c r="G5376" s="8" t="n"/>
    </row>
    <row r="5377">
      <c r="G5377" s="8" t="n"/>
    </row>
    <row r="5378">
      <c r="G5378" s="8" t="n"/>
    </row>
    <row r="5379">
      <c r="G5379" s="8" t="n"/>
    </row>
    <row r="5380">
      <c r="G5380" s="8" t="n"/>
    </row>
    <row r="5381">
      <c r="G5381" s="8" t="n"/>
    </row>
    <row r="5382">
      <c r="G5382" s="8" t="n"/>
    </row>
    <row r="5383">
      <c r="G5383" s="8" t="n"/>
    </row>
    <row r="5384">
      <c r="G5384" s="8" t="n"/>
    </row>
    <row r="5385">
      <c r="G5385" s="8" t="n"/>
    </row>
    <row r="5386">
      <c r="G5386" s="8" t="n"/>
    </row>
    <row r="5387">
      <c r="G5387" s="8" t="n"/>
    </row>
    <row r="5388">
      <c r="G5388" s="8" t="n"/>
    </row>
    <row r="5389">
      <c r="G5389" s="8" t="n"/>
    </row>
    <row r="5390">
      <c r="G5390" s="8" t="n"/>
    </row>
    <row r="5391">
      <c r="G5391" s="8" t="n"/>
    </row>
    <row r="5392">
      <c r="G5392" s="8" t="n"/>
    </row>
    <row r="5393">
      <c r="G5393" s="8" t="n"/>
    </row>
    <row r="5394">
      <c r="G5394" s="8" t="n"/>
    </row>
    <row r="5395">
      <c r="G5395" s="8" t="n"/>
    </row>
    <row r="5396">
      <c r="G5396" s="8" t="n"/>
    </row>
    <row r="5397">
      <c r="G5397" s="8" t="n"/>
    </row>
    <row r="5398">
      <c r="G5398" s="8" t="n"/>
    </row>
    <row r="5399">
      <c r="G5399" s="8" t="n"/>
    </row>
    <row r="5400">
      <c r="G5400" s="8" t="n"/>
    </row>
    <row r="5401">
      <c r="G5401" s="8" t="n"/>
    </row>
    <row r="5402">
      <c r="G5402" s="8" t="n"/>
    </row>
    <row r="5403">
      <c r="G5403" s="8" t="n"/>
    </row>
    <row r="5404">
      <c r="G5404" s="8" t="n"/>
    </row>
    <row r="5405">
      <c r="G5405" s="8" t="n"/>
    </row>
    <row r="5406">
      <c r="G5406" s="8" t="n"/>
    </row>
    <row r="5407">
      <c r="G5407" s="8" t="n"/>
    </row>
    <row r="5408">
      <c r="G5408" s="8" t="n"/>
    </row>
    <row r="5409">
      <c r="G5409" s="8" t="n"/>
    </row>
    <row r="5410">
      <c r="G5410" s="8" t="n"/>
    </row>
    <row r="5411">
      <c r="G5411" s="8" t="n"/>
    </row>
    <row r="5412">
      <c r="G5412" s="8" t="n"/>
    </row>
    <row r="5413">
      <c r="G5413" s="8" t="n"/>
    </row>
    <row r="5414">
      <c r="G5414" s="8" t="n"/>
    </row>
    <row r="5415">
      <c r="G5415" s="8" t="n"/>
    </row>
    <row r="5416">
      <c r="G5416" s="8" t="n"/>
    </row>
    <row r="5417">
      <c r="G5417" s="8" t="n"/>
    </row>
    <row r="5418">
      <c r="G5418" s="8" t="n"/>
    </row>
    <row r="5419">
      <c r="G5419" s="8" t="n"/>
    </row>
    <row r="5420">
      <c r="G5420" s="8" t="n"/>
    </row>
    <row r="5421">
      <c r="G5421" s="8" t="n"/>
    </row>
    <row r="5422">
      <c r="G5422" s="8" t="n"/>
    </row>
    <row r="5423">
      <c r="G5423" s="8" t="n"/>
    </row>
    <row r="5424">
      <c r="G5424" s="8" t="n"/>
    </row>
    <row r="5425">
      <c r="G5425" s="8" t="n"/>
    </row>
    <row r="5426">
      <c r="G5426" s="8" t="n"/>
    </row>
    <row r="5427">
      <c r="G5427" s="8" t="n"/>
    </row>
    <row r="5428">
      <c r="G5428" s="8" t="n"/>
    </row>
    <row r="5429">
      <c r="G5429" s="8" t="n"/>
    </row>
    <row r="5430">
      <c r="G5430" s="8" t="n"/>
    </row>
    <row r="5431">
      <c r="G5431" s="8" t="n"/>
    </row>
    <row r="5432">
      <c r="G5432" s="8" t="n"/>
    </row>
    <row r="5433">
      <c r="G5433" s="8" t="n"/>
    </row>
    <row r="5434">
      <c r="G5434" s="8" t="n"/>
    </row>
    <row r="5435">
      <c r="G5435" s="8" t="n"/>
    </row>
    <row r="5436">
      <c r="G5436" s="8" t="n"/>
    </row>
    <row r="5437">
      <c r="G5437" s="8" t="n"/>
    </row>
    <row r="5438">
      <c r="G5438" s="8" t="n"/>
    </row>
    <row r="5439">
      <c r="G5439" s="8" t="n"/>
    </row>
    <row r="5440">
      <c r="G5440" s="8" t="n"/>
    </row>
    <row r="5441">
      <c r="G5441" s="8" t="n"/>
    </row>
    <row r="5442">
      <c r="G5442" s="8" t="n"/>
    </row>
    <row r="5443">
      <c r="G5443" s="8" t="n"/>
    </row>
    <row r="5444">
      <c r="G5444" s="8" t="n"/>
    </row>
    <row r="5445">
      <c r="G5445" s="8" t="n"/>
    </row>
    <row r="5446">
      <c r="G5446" s="8" t="n"/>
    </row>
    <row r="5447">
      <c r="G5447" s="8" t="n"/>
    </row>
    <row r="5448">
      <c r="G5448" s="8" t="n"/>
    </row>
    <row r="5449">
      <c r="G5449" s="8" t="n"/>
    </row>
    <row r="5450">
      <c r="G5450" s="8" t="n"/>
    </row>
    <row r="5451">
      <c r="G5451" s="8" t="n"/>
    </row>
    <row r="5452">
      <c r="G5452" s="8" t="n"/>
    </row>
    <row r="5453">
      <c r="G5453" s="8" t="n"/>
    </row>
    <row r="5454">
      <c r="G5454" s="8" t="n"/>
    </row>
    <row r="5455">
      <c r="G5455" s="8" t="n"/>
    </row>
    <row r="5456">
      <c r="G5456" s="8" t="n"/>
    </row>
    <row r="5457">
      <c r="G5457" s="8" t="n"/>
    </row>
    <row r="5458">
      <c r="G5458" s="8" t="n"/>
    </row>
    <row r="5459">
      <c r="G5459" s="8" t="n"/>
    </row>
    <row r="5460">
      <c r="G5460" s="8" t="n"/>
    </row>
    <row r="5461">
      <c r="G5461" s="8" t="n"/>
    </row>
    <row r="5462">
      <c r="G5462" s="8" t="n"/>
    </row>
    <row r="5463">
      <c r="G5463" s="8" t="n"/>
    </row>
    <row r="5464">
      <c r="G5464" s="8" t="n"/>
    </row>
    <row r="5465">
      <c r="G5465" s="8" t="n"/>
    </row>
    <row r="5466">
      <c r="G5466" s="8" t="n"/>
    </row>
    <row r="5467">
      <c r="G5467" s="8" t="n"/>
    </row>
    <row r="5468">
      <c r="G5468" s="8" t="n"/>
    </row>
    <row r="5469">
      <c r="G5469" s="8" t="n"/>
    </row>
    <row r="5470">
      <c r="G5470" s="8" t="n"/>
    </row>
    <row r="5471">
      <c r="G5471" s="8" t="n"/>
    </row>
    <row r="5472">
      <c r="G5472" s="8" t="n"/>
    </row>
    <row r="5473">
      <c r="G5473" s="8" t="n"/>
    </row>
    <row r="5474">
      <c r="G5474" s="8" t="n"/>
    </row>
    <row r="5475">
      <c r="G5475" s="8" t="n"/>
    </row>
    <row r="5476">
      <c r="G5476" s="8" t="n"/>
    </row>
    <row r="5477">
      <c r="G5477" s="8" t="n"/>
    </row>
    <row r="5478">
      <c r="G5478" s="8" t="n"/>
    </row>
    <row r="5479">
      <c r="G5479" s="8" t="n"/>
    </row>
    <row r="5480">
      <c r="G5480" s="8" t="n"/>
    </row>
    <row r="5481">
      <c r="G5481" s="8" t="n"/>
    </row>
    <row r="5482">
      <c r="G5482" s="8" t="n"/>
    </row>
    <row r="5483">
      <c r="G5483" s="8" t="n"/>
    </row>
    <row r="5484">
      <c r="G5484" s="8" t="n"/>
    </row>
    <row r="5485">
      <c r="G5485" s="8" t="n"/>
    </row>
    <row r="5486">
      <c r="G5486" s="8" t="n"/>
    </row>
    <row r="5487">
      <c r="G5487" s="8" t="n"/>
    </row>
    <row r="5488">
      <c r="G5488" s="8" t="n"/>
    </row>
    <row r="5489">
      <c r="G5489" s="8" t="n"/>
    </row>
    <row r="5490">
      <c r="G5490" s="8" t="n"/>
    </row>
    <row r="5491">
      <c r="G5491" s="8" t="n"/>
    </row>
    <row r="5492">
      <c r="G5492" s="8" t="n"/>
    </row>
    <row r="5493">
      <c r="G5493" s="8" t="n"/>
    </row>
    <row r="5494">
      <c r="G5494" s="8" t="n"/>
    </row>
    <row r="5495">
      <c r="G5495" s="8" t="n"/>
    </row>
    <row r="5496">
      <c r="G5496" s="8" t="n"/>
    </row>
    <row r="5497">
      <c r="G5497" s="8" t="n"/>
    </row>
    <row r="5498">
      <c r="G5498" s="8" t="n"/>
    </row>
    <row r="5499">
      <c r="G5499" s="8" t="n"/>
    </row>
    <row r="5500">
      <c r="G5500" s="8" t="n"/>
    </row>
    <row r="5501">
      <c r="G5501" s="8" t="n"/>
    </row>
    <row r="5502">
      <c r="G5502" s="8" t="n"/>
    </row>
    <row r="5503">
      <c r="G5503" s="8" t="n"/>
    </row>
    <row r="5504">
      <c r="G5504" s="8" t="n"/>
    </row>
    <row r="5505">
      <c r="G5505" s="8" t="n"/>
    </row>
    <row r="5506">
      <c r="G5506" s="8" t="n"/>
    </row>
    <row r="5507">
      <c r="G5507" s="8" t="n"/>
    </row>
    <row r="5508">
      <c r="G5508" s="8" t="n"/>
    </row>
    <row r="5509">
      <c r="G5509" s="8" t="n"/>
    </row>
    <row r="5510">
      <c r="G5510" s="8" t="n"/>
    </row>
    <row r="5511">
      <c r="G5511" s="8" t="n"/>
    </row>
    <row r="5512">
      <c r="G5512" s="8" t="n"/>
    </row>
    <row r="5513">
      <c r="G5513" s="8" t="n"/>
    </row>
    <row r="5514">
      <c r="G5514" s="8" t="n"/>
    </row>
    <row r="5515">
      <c r="G5515" s="8" t="n"/>
    </row>
    <row r="5516">
      <c r="G5516" s="8" t="n"/>
    </row>
    <row r="5517">
      <c r="G5517" s="8" t="n"/>
    </row>
    <row r="5518">
      <c r="G5518" s="8" t="n"/>
    </row>
    <row r="5519">
      <c r="G5519" s="8" t="n"/>
    </row>
    <row r="5520">
      <c r="G5520" s="8" t="n"/>
    </row>
    <row r="5521">
      <c r="G5521" s="8" t="n"/>
    </row>
    <row r="5522">
      <c r="G5522" s="8" t="n"/>
    </row>
    <row r="5523">
      <c r="G5523" s="8" t="n"/>
    </row>
    <row r="5524">
      <c r="G5524" s="8" t="n"/>
    </row>
    <row r="5525">
      <c r="G5525" s="8" t="n"/>
    </row>
    <row r="5526">
      <c r="G5526" s="8" t="n"/>
    </row>
    <row r="5527">
      <c r="G5527" s="8" t="n"/>
    </row>
    <row r="5528">
      <c r="G5528" s="8" t="n"/>
    </row>
    <row r="5529">
      <c r="G5529" s="8" t="n"/>
    </row>
    <row r="5530">
      <c r="G5530" s="8" t="n"/>
    </row>
    <row r="5531">
      <c r="G5531" s="8" t="n"/>
    </row>
    <row r="5532">
      <c r="G5532" s="8" t="n"/>
    </row>
    <row r="5533">
      <c r="G5533" s="8" t="n"/>
    </row>
    <row r="5534">
      <c r="G5534" s="8" t="n"/>
    </row>
    <row r="5535">
      <c r="G5535" s="8" t="n"/>
    </row>
    <row r="5536">
      <c r="G5536" s="8" t="n"/>
    </row>
    <row r="5537">
      <c r="G5537" s="8" t="n"/>
    </row>
    <row r="5538">
      <c r="G5538" s="8" t="n"/>
    </row>
    <row r="5539">
      <c r="G5539" s="8" t="n"/>
    </row>
    <row r="5540">
      <c r="G5540" s="8" t="n"/>
    </row>
    <row r="5541">
      <c r="G5541" s="8" t="n"/>
    </row>
    <row r="5542">
      <c r="G5542" s="8" t="n"/>
    </row>
    <row r="5543">
      <c r="G5543" s="8" t="n"/>
    </row>
    <row r="5544">
      <c r="G5544" s="8" t="n"/>
    </row>
    <row r="5545">
      <c r="G5545" s="8" t="n"/>
    </row>
    <row r="5546">
      <c r="G5546" s="8" t="n"/>
    </row>
    <row r="5547">
      <c r="G5547" s="8" t="n"/>
    </row>
    <row r="5548">
      <c r="G5548" s="8" t="n"/>
    </row>
    <row r="5549">
      <c r="G5549" s="8" t="n"/>
    </row>
    <row r="5550">
      <c r="G5550" s="8" t="n"/>
    </row>
    <row r="5551">
      <c r="G5551" s="8" t="n"/>
    </row>
    <row r="5552">
      <c r="G5552" s="8" t="n"/>
    </row>
    <row r="5553">
      <c r="G5553" s="8" t="n"/>
    </row>
    <row r="5554">
      <c r="G5554" s="8" t="n"/>
    </row>
    <row r="5555">
      <c r="G5555" s="8" t="n"/>
    </row>
    <row r="5556">
      <c r="G5556" s="8" t="n"/>
    </row>
    <row r="5557">
      <c r="G5557" s="8" t="n"/>
    </row>
    <row r="5558">
      <c r="G5558" s="8" t="n"/>
    </row>
    <row r="5559">
      <c r="G5559" s="8" t="n"/>
    </row>
    <row r="5560">
      <c r="G5560" s="8" t="n"/>
    </row>
    <row r="5561">
      <c r="G5561" s="8" t="n"/>
    </row>
    <row r="5562">
      <c r="G5562" s="8" t="n"/>
    </row>
    <row r="5563">
      <c r="G5563" s="8" t="n"/>
    </row>
    <row r="5564">
      <c r="G5564" s="8" t="n"/>
    </row>
    <row r="5565">
      <c r="G5565" s="8" t="n"/>
    </row>
    <row r="5566">
      <c r="G5566" s="8" t="n"/>
    </row>
    <row r="5567">
      <c r="G5567" s="8" t="n"/>
    </row>
    <row r="5568">
      <c r="G5568" s="8" t="n"/>
    </row>
    <row r="5569">
      <c r="G5569" s="8" t="n"/>
    </row>
    <row r="5570">
      <c r="G5570" s="8" t="n"/>
    </row>
    <row r="5571">
      <c r="G5571" s="8" t="n"/>
    </row>
    <row r="5572">
      <c r="G5572" s="8" t="n"/>
    </row>
    <row r="5573">
      <c r="G5573" s="8" t="n"/>
    </row>
    <row r="5574">
      <c r="G5574" s="8" t="n"/>
    </row>
    <row r="5575">
      <c r="G5575" s="8" t="n"/>
    </row>
    <row r="5576">
      <c r="G5576" s="8" t="n"/>
    </row>
    <row r="5577">
      <c r="G5577" s="8" t="n"/>
    </row>
    <row r="5578">
      <c r="G5578" s="8" t="n"/>
    </row>
    <row r="5579">
      <c r="G5579" s="8" t="n"/>
    </row>
    <row r="5580">
      <c r="G5580" s="8" t="n"/>
    </row>
    <row r="5581">
      <c r="G5581" s="8" t="n"/>
    </row>
    <row r="5582">
      <c r="G5582" s="8" t="n"/>
    </row>
    <row r="5583">
      <c r="G5583" s="8" t="n"/>
    </row>
    <row r="5584">
      <c r="G5584" s="8" t="n"/>
    </row>
    <row r="5585">
      <c r="G5585" s="8" t="n"/>
    </row>
    <row r="5586">
      <c r="G5586" s="8" t="n"/>
    </row>
    <row r="5587">
      <c r="G5587" s="8" t="n"/>
    </row>
    <row r="5588">
      <c r="G5588" s="8" t="n"/>
    </row>
    <row r="5589">
      <c r="G5589" s="8" t="n"/>
    </row>
    <row r="5590">
      <c r="G5590" s="8" t="n"/>
    </row>
    <row r="5591">
      <c r="G5591" s="8" t="n"/>
    </row>
    <row r="5592">
      <c r="G5592" s="8" t="n"/>
    </row>
    <row r="5593">
      <c r="G5593" s="8" t="n"/>
    </row>
    <row r="5594">
      <c r="G5594" s="8" t="n"/>
    </row>
    <row r="5595">
      <c r="G5595" s="8" t="n"/>
    </row>
    <row r="5596">
      <c r="G5596" s="8" t="n"/>
    </row>
    <row r="5597">
      <c r="G5597" s="8" t="n"/>
    </row>
    <row r="5598">
      <c r="G5598" s="8" t="n"/>
    </row>
    <row r="5599">
      <c r="G5599" s="8" t="n"/>
    </row>
    <row r="5600">
      <c r="G5600" s="8" t="n"/>
    </row>
    <row r="5601">
      <c r="G5601" s="8" t="n"/>
    </row>
    <row r="5602">
      <c r="G5602" s="8" t="n"/>
    </row>
    <row r="5603">
      <c r="G5603" s="8" t="n"/>
    </row>
    <row r="5604">
      <c r="G5604" s="8" t="n"/>
    </row>
    <row r="5605">
      <c r="G5605" s="8" t="n"/>
    </row>
    <row r="5606">
      <c r="G5606" s="8" t="n"/>
    </row>
    <row r="5607">
      <c r="G5607" s="8" t="n"/>
    </row>
    <row r="5608">
      <c r="G5608" s="8" t="n"/>
    </row>
    <row r="5609">
      <c r="G5609" s="8" t="n"/>
    </row>
    <row r="5610">
      <c r="G5610" s="8" t="n"/>
    </row>
    <row r="5611">
      <c r="G5611" s="8" t="n"/>
    </row>
    <row r="5612">
      <c r="G5612" s="8" t="n"/>
    </row>
    <row r="5613">
      <c r="G5613" s="8" t="n"/>
    </row>
    <row r="5614">
      <c r="G5614" s="8" t="n"/>
    </row>
    <row r="5615">
      <c r="G5615" s="8" t="n"/>
    </row>
    <row r="5616">
      <c r="G5616" s="8" t="n"/>
    </row>
    <row r="5617">
      <c r="G5617" s="8" t="n"/>
    </row>
    <row r="5618">
      <c r="G5618" s="8" t="n"/>
    </row>
    <row r="5619">
      <c r="G5619" s="8" t="n"/>
    </row>
    <row r="5620">
      <c r="G5620" s="8" t="n"/>
    </row>
    <row r="5621">
      <c r="G5621" s="8" t="n"/>
    </row>
    <row r="5622">
      <c r="G5622" s="8" t="n"/>
    </row>
    <row r="5623">
      <c r="G5623" s="8" t="n"/>
    </row>
    <row r="5624">
      <c r="G5624" s="8" t="n"/>
    </row>
    <row r="5625">
      <c r="G5625" s="8" t="n"/>
    </row>
    <row r="5626">
      <c r="G5626" s="8" t="n"/>
    </row>
    <row r="5627">
      <c r="G5627" s="8" t="n"/>
    </row>
    <row r="5628">
      <c r="G5628" s="8" t="n"/>
    </row>
    <row r="5629">
      <c r="G5629" s="8" t="n"/>
    </row>
    <row r="5630">
      <c r="G5630" s="8" t="n"/>
    </row>
    <row r="5631">
      <c r="G5631" s="8" t="n"/>
    </row>
    <row r="5632">
      <c r="G5632" s="8" t="n"/>
    </row>
    <row r="5633">
      <c r="G5633" s="8" t="n"/>
    </row>
    <row r="5634">
      <c r="G5634" s="8" t="n"/>
    </row>
    <row r="5635">
      <c r="G5635" s="8" t="n"/>
    </row>
    <row r="5636">
      <c r="G5636" s="8" t="n"/>
    </row>
    <row r="5637">
      <c r="G5637" s="8" t="n"/>
    </row>
    <row r="5638">
      <c r="G5638" s="8" t="n"/>
    </row>
    <row r="5639">
      <c r="G5639" s="8" t="n"/>
    </row>
    <row r="5640">
      <c r="G5640" s="8" t="n"/>
    </row>
    <row r="5641">
      <c r="G5641" s="8" t="n"/>
    </row>
    <row r="5642">
      <c r="G5642" s="8" t="n"/>
    </row>
    <row r="5643">
      <c r="G5643" s="8" t="n"/>
    </row>
    <row r="5644">
      <c r="G5644" s="8" t="n"/>
    </row>
    <row r="5645">
      <c r="G5645" s="8" t="n"/>
    </row>
    <row r="5646">
      <c r="G5646" s="8" t="n"/>
    </row>
    <row r="5647">
      <c r="G5647" s="8" t="n"/>
    </row>
    <row r="5648">
      <c r="G5648" s="8" t="n"/>
    </row>
    <row r="5649">
      <c r="G5649" s="8" t="n"/>
    </row>
    <row r="5650">
      <c r="G5650" s="8" t="n"/>
    </row>
    <row r="5651">
      <c r="G5651" s="8" t="n"/>
    </row>
    <row r="5652">
      <c r="G5652" s="8" t="n"/>
    </row>
    <row r="5653">
      <c r="G5653" s="8" t="n"/>
    </row>
    <row r="5654">
      <c r="G5654" s="8" t="n"/>
    </row>
    <row r="5655">
      <c r="G5655" s="8" t="n"/>
    </row>
    <row r="5656">
      <c r="G5656" s="8" t="n"/>
    </row>
    <row r="5657">
      <c r="G5657" s="8" t="n"/>
    </row>
    <row r="5658">
      <c r="G5658" s="8" t="n"/>
    </row>
    <row r="5659">
      <c r="G5659" s="8" t="n"/>
    </row>
    <row r="5660">
      <c r="G5660" s="8" t="n"/>
    </row>
    <row r="5661">
      <c r="G5661" s="8" t="n"/>
    </row>
    <row r="5662">
      <c r="G5662" s="8" t="n"/>
    </row>
    <row r="5663">
      <c r="G5663" s="8" t="n"/>
    </row>
    <row r="5664">
      <c r="G5664" s="8" t="n"/>
    </row>
    <row r="5665">
      <c r="G5665" s="8" t="n"/>
    </row>
    <row r="5666">
      <c r="G5666" s="8" t="n"/>
    </row>
    <row r="5667">
      <c r="G5667" s="8" t="n"/>
    </row>
    <row r="5668">
      <c r="G5668" s="8" t="n"/>
    </row>
    <row r="5669">
      <c r="G5669" s="8" t="n"/>
    </row>
    <row r="5670">
      <c r="G5670" s="8" t="n"/>
    </row>
    <row r="5671">
      <c r="G5671" s="8" t="n"/>
    </row>
    <row r="5672">
      <c r="G5672" s="8" t="n"/>
    </row>
    <row r="5673">
      <c r="G5673" s="8" t="n"/>
    </row>
    <row r="5674">
      <c r="G5674" s="8" t="n"/>
    </row>
    <row r="5675">
      <c r="G5675" s="8" t="n"/>
    </row>
    <row r="5676">
      <c r="G5676" s="8" t="n"/>
    </row>
    <row r="5677">
      <c r="G5677" s="8" t="n"/>
    </row>
    <row r="5678">
      <c r="G5678" s="8" t="n"/>
    </row>
    <row r="5679">
      <c r="G5679" s="8" t="n"/>
    </row>
    <row r="5680">
      <c r="G5680" s="8" t="n"/>
    </row>
    <row r="5681">
      <c r="G5681" s="8" t="n"/>
    </row>
    <row r="5682">
      <c r="G5682" s="8" t="n"/>
    </row>
    <row r="5683">
      <c r="G5683" s="8" t="n"/>
    </row>
    <row r="5684">
      <c r="G5684" s="8" t="n"/>
    </row>
    <row r="5685">
      <c r="G5685" s="8" t="n"/>
    </row>
    <row r="5686">
      <c r="G5686" s="8" t="n"/>
    </row>
    <row r="5687">
      <c r="G5687" s="8" t="n"/>
    </row>
    <row r="5688">
      <c r="G5688" s="8" t="n"/>
    </row>
    <row r="5689">
      <c r="G5689" s="8" t="n"/>
    </row>
    <row r="5690">
      <c r="G5690" s="8" t="n"/>
    </row>
    <row r="5691">
      <c r="G5691" s="8" t="n"/>
    </row>
    <row r="5692">
      <c r="G5692" s="8" t="n"/>
    </row>
    <row r="5693">
      <c r="G5693" s="8" t="n"/>
    </row>
    <row r="5694">
      <c r="G5694" s="8" t="n"/>
    </row>
    <row r="5695">
      <c r="G5695" s="8" t="n"/>
    </row>
    <row r="5696">
      <c r="G5696" s="8" t="n"/>
    </row>
    <row r="5697">
      <c r="G5697" s="8" t="n"/>
    </row>
    <row r="5698">
      <c r="G5698" s="8" t="n"/>
    </row>
    <row r="5699">
      <c r="G5699" s="8" t="n"/>
    </row>
    <row r="5700">
      <c r="G5700" s="8" t="n"/>
    </row>
    <row r="5701">
      <c r="G5701" s="8" t="n"/>
    </row>
    <row r="5702">
      <c r="G5702" s="8" t="n"/>
    </row>
    <row r="5703">
      <c r="G5703" s="8" t="n"/>
    </row>
    <row r="5704">
      <c r="G5704" s="8" t="n"/>
    </row>
    <row r="5705">
      <c r="G5705" s="8" t="n"/>
    </row>
    <row r="5706">
      <c r="G5706" s="8" t="n"/>
    </row>
    <row r="5707">
      <c r="G5707" s="8" t="n"/>
    </row>
    <row r="5708">
      <c r="G5708" s="8" t="n"/>
    </row>
    <row r="5709">
      <c r="G5709" s="8" t="n"/>
    </row>
    <row r="5710">
      <c r="G5710" s="8" t="n"/>
    </row>
    <row r="5711">
      <c r="G5711" s="8" t="n"/>
    </row>
    <row r="5712">
      <c r="G5712" s="8" t="n"/>
    </row>
    <row r="5713">
      <c r="G5713" s="8" t="n"/>
    </row>
    <row r="5714">
      <c r="G5714" s="8" t="n"/>
    </row>
    <row r="5715">
      <c r="G5715" s="8" t="n"/>
    </row>
    <row r="5716">
      <c r="G5716" s="8" t="n"/>
    </row>
    <row r="5717">
      <c r="G5717" s="8" t="n"/>
    </row>
    <row r="5718">
      <c r="G5718" s="8" t="n"/>
    </row>
    <row r="5719">
      <c r="G5719" s="8" t="n"/>
    </row>
    <row r="5720">
      <c r="G5720" s="8" t="n"/>
    </row>
    <row r="5721">
      <c r="G5721" s="8" t="n"/>
    </row>
    <row r="5722">
      <c r="G5722" s="8" t="n"/>
    </row>
    <row r="5723">
      <c r="G5723" s="8" t="n"/>
    </row>
    <row r="5724">
      <c r="G5724" s="8" t="n"/>
    </row>
    <row r="5725">
      <c r="G5725" s="8" t="n"/>
    </row>
    <row r="5726">
      <c r="G5726" s="8" t="n"/>
    </row>
    <row r="5727">
      <c r="G5727" s="8" t="n"/>
    </row>
    <row r="5728">
      <c r="G5728" s="8" t="n"/>
    </row>
    <row r="5729">
      <c r="G5729" s="8" t="n"/>
    </row>
    <row r="5730">
      <c r="G5730" s="8" t="n"/>
    </row>
    <row r="5731">
      <c r="G5731" s="8" t="n"/>
    </row>
    <row r="5732">
      <c r="G5732" s="8" t="n"/>
    </row>
    <row r="5733">
      <c r="G5733" s="8" t="n"/>
    </row>
    <row r="5734">
      <c r="G5734" s="8" t="n"/>
    </row>
    <row r="5735">
      <c r="G5735" s="8" t="n"/>
    </row>
    <row r="5736">
      <c r="G5736" s="8" t="n"/>
    </row>
    <row r="5737">
      <c r="G5737" s="8" t="n"/>
    </row>
    <row r="5738">
      <c r="G5738" s="8" t="n"/>
    </row>
    <row r="5739">
      <c r="G5739" s="8" t="n"/>
    </row>
    <row r="5740">
      <c r="G5740" s="8" t="n"/>
    </row>
    <row r="5741">
      <c r="G5741" s="8" t="n"/>
    </row>
    <row r="5742">
      <c r="G5742" s="8" t="n"/>
    </row>
    <row r="5743">
      <c r="G5743" s="8" t="n"/>
    </row>
    <row r="5744">
      <c r="G5744" s="8" t="n"/>
    </row>
    <row r="5745">
      <c r="G5745" s="8" t="n"/>
    </row>
    <row r="5746">
      <c r="G5746" s="8" t="n"/>
    </row>
    <row r="5747">
      <c r="G5747" s="8" t="n"/>
    </row>
    <row r="5748">
      <c r="G5748" s="8" t="n"/>
    </row>
    <row r="5749">
      <c r="G5749" s="8" t="n"/>
    </row>
    <row r="5750">
      <c r="G5750" s="8" t="n"/>
    </row>
    <row r="5751">
      <c r="G5751" s="8" t="n"/>
    </row>
    <row r="5752">
      <c r="G5752" s="8" t="n"/>
    </row>
    <row r="5753">
      <c r="G5753" s="8" t="n"/>
    </row>
    <row r="5754">
      <c r="G5754" s="8" t="n"/>
    </row>
    <row r="5755">
      <c r="G5755" s="8" t="n"/>
    </row>
    <row r="5756">
      <c r="G5756" s="8" t="n"/>
    </row>
    <row r="5757">
      <c r="G5757" s="8" t="n"/>
    </row>
    <row r="5758">
      <c r="G5758" s="8" t="n"/>
    </row>
    <row r="5759">
      <c r="G5759" s="8" t="n"/>
    </row>
    <row r="5760">
      <c r="G5760" s="8" t="n"/>
    </row>
    <row r="5761">
      <c r="G5761" s="8" t="n"/>
    </row>
    <row r="5762">
      <c r="G5762" s="8" t="n"/>
    </row>
    <row r="5763">
      <c r="G5763" s="8" t="n"/>
    </row>
    <row r="5764">
      <c r="G5764" s="8" t="n"/>
    </row>
    <row r="5765">
      <c r="G5765" s="8" t="n"/>
    </row>
    <row r="5766">
      <c r="G5766" s="8" t="n"/>
    </row>
    <row r="5767">
      <c r="G5767" s="8" t="n"/>
    </row>
    <row r="5768">
      <c r="G5768" s="8" t="n"/>
    </row>
    <row r="5769">
      <c r="G5769" s="8" t="n"/>
    </row>
    <row r="5770">
      <c r="G5770" s="8" t="n"/>
    </row>
    <row r="5771">
      <c r="G5771" s="8" t="n"/>
    </row>
    <row r="5772">
      <c r="G5772" s="8" t="n"/>
    </row>
    <row r="5773">
      <c r="G5773" s="8" t="n"/>
    </row>
    <row r="5774">
      <c r="G5774" s="8" t="n"/>
    </row>
    <row r="5775">
      <c r="G5775" s="8" t="n"/>
    </row>
    <row r="5776">
      <c r="G5776" s="8" t="n"/>
    </row>
    <row r="5777">
      <c r="G5777" s="8" t="n"/>
    </row>
    <row r="5778">
      <c r="G5778" s="8" t="n"/>
    </row>
    <row r="5779">
      <c r="G5779" s="8" t="n"/>
    </row>
    <row r="5780">
      <c r="G5780" s="8" t="n"/>
    </row>
    <row r="5781">
      <c r="G5781" s="8" t="n"/>
    </row>
    <row r="5782">
      <c r="G5782" s="8" t="n"/>
    </row>
    <row r="5783">
      <c r="G5783" s="8" t="n"/>
    </row>
    <row r="5784">
      <c r="G5784" s="8" t="n"/>
    </row>
    <row r="5785">
      <c r="G5785" s="8" t="n"/>
    </row>
    <row r="5786">
      <c r="G5786" s="8" t="n"/>
    </row>
    <row r="5787">
      <c r="G5787" s="8" t="n"/>
    </row>
    <row r="5788">
      <c r="G5788" s="8" t="n"/>
    </row>
    <row r="5789">
      <c r="G5789" s="8" t="n"/>
    </row>
    <row r="5790">
      <c r="G5790" s="8" t="n"/>
    </row>
    <row r="5791">
      <c r="G5791" s="8" t="n"/>
    </row>
    <row r="5792">
      <c r="G5792" s="8" t="n"/>
    </row>
    <row r="5793">
      <c r="G5793" s="8" t="n"/>
    </row>
    <row r="5794">
      <c r="G5794" s="8" t="n"/>
    </row>
    <row r="5795">
      <c r="G5795" s="8" t="n"/>
    </row>
    <row r="5796">
      <c r="G5796" s="8" t="n"/>
    </row>
    <row r="5797">
      <c r="G5797" s="8" t="n"/>
    </row>
    <row r="5798">
      <c r="G5798" s="8" t="n"/>
    </row>
    <row r="5799">
      <c r="G5799" s="8" t="n"/>
    </row>
    <row r="5800">
      <c r="G5800" s="8" t="n"/>
    </row>
    <row r="5801">
      <c r="G5801" s="8" t="n"/>
    </row>
    <row r="5802">
      <c r="G5802" s="8" t="n"/>
    </row>
    <row r="5803">
      <c r="G5803" s="8" t="n"/>
    </row>
    <row r="5804">
      <c r="G5804" s="8" t="n"/>
    </row>
    <row r="5805">
      <c r="G5805" s="8" t="n"/>
    </row>
    <row r="5806">
      <c r="G5806" s="8" t="n"/>
    </row>
    <row r="5807">
      <c r="G5807" s="8" t="n"/>
    </row>
    <row r="5808">
      <c r="G5808" s="8" t="n"/>
    </row>
    <row r="5809">
      <c r="G5809" s="8" t="n"/>
    </row>
    <row r="5810">
      <c r="G5810" s="8" t="n"/>
    </row>
    <row r="5811">
      <c r="G5811" s="8" t="n"/>
    </row>
    <row r="5812">
      <c r="G5812" s="8" t="n"/>
    </row>
    <row r="5813">
      <c r="G5813" s="8" t="n"/>
    </row>
    <row r="5814">
      <c r="G5814" s="8" t="n"/>
    </row>
    <row r="5815">
      <c r="G5815" s="8" t="n"/>
    </row>
    <row r="5816">
      <c r="G5816" s="8" t="n"/>
    </row>
    <row r="5817">
      <c r="G5817" s="8" t="n"/>
    </row>
    <row r="5818">
      <c r="G5818" s="8" t="n"/>
    </row>
    <row r="5819">
      <c r="G5819" s="8" t="n"/>
    </row>
    <row r="5820">
      <c r="G5820" s="8" t="n"/>
    </row>
    <row r="5821">
      <c r="G5821" s="8" t="n"/>
    </row>
    <row r="5822">
      <c r="G5822" s="8" t="n"/>
    </row>
    <row r="5823">
      <c r="G5823" s="8" t="n"/>
    </row>
    <row r="5824">
      <c r="G5824" s="8" t="n"/>
    </row>
    <row r="5825">
      <c r="G5825" s="8" t="n"/>
    </row>
    <row r="5826">
      <c r="G5826" s="8" t="n"/>
    </row>
    <row r="5827">
      <c r="G5827" s="8" t="n"/>
    </row>
    <row r="5828">
      <c r="G5828" s="8" t="n"/>
    </row>
    <row r="5829">
      <c r="G5829" s="8" t="n"/>
    </row>
    <row r="5830">
      <c r="G5830" s="8" t="n"/>
    </row>
    <row r="5831">
      <c r="G5831" s="8" t="n"/>
    </row>
    <row r="5832">
      <c r="G5832" s="8" t="n"/>
    </row>
    <row r="5833">
      <c r="G5833" s="8" t="n"/>
    </row>
    <row r="5834">
      <c r="G5834" s="8" t="n"/>
    </row>
    <row r="5835">
      <c r="G5835" s="8" t="n"/>
    </row>
    <row r="5836">
      <c r="G5836" s="8" t="n"/>
    </row>
    <row r="5837">
      <c r="G5837" s="8" t="n"/>
    </row>
    <row r="5838">
      <c r="G5838" s="8" t="n"/>
    </row>
    <row r="5839">
      <c r="G5839" s="8" t="n"/>
    </row>
    <row r="5840">
      <c r="G5840" s="8" t="n"/>
    </row>
    <row r="5841">
      <c r="G5841" s="8" t="n"/>
    </row>
    <row r="5842">
      <c r="G5842" s="8" t="n"/>
    </row>
    <row r="5843">
      <c r="G5843" s="8" t="n"/>
    </row>
    <row r="5844">
      <c r="G5844" s="8" t="n"/>
    </row>
    <row r="5845">
      <c r="G5845" s="8" t="n"/>
    </row>
    <row r="5846">
      <c r="G5846" s="8" t="n"/>
    </row>
    <row r="5847">
      <c r="G5847" s="8" t="n"/>
    </row>
    <row r="5848">
      <c r="G5848" s="8" t="n"/>
    </row>
    <row r="5849">
      <c r="G5849" s="8" t="n"/>
    </row>
    <row r="5850">
      <c r="G5850" s="8" t="n"/>
    </row>
    <row r="5851">
      <c r="G5851" s="8" t="n"/>
    </row>
    <row r="5852">
      <c r="G5852" s="8" t="n"/>
    </row>
    <row r="5853">
      <c r="G5853" s="8" t="n"/>
    </row>
    <row r="5854">
      <c r="G5854" s="8" t="n"/>
    </row>
    <row r="5855">
      <c r="G5855" s="8" t="n"/>
    </row>
    <row r="5856">
      <c r="G5856" s="8" t="n"/>
    </row>
    <row r="5857">
      <c r="G5857" s="8" t="n"/>
    </row>
    <row r="5858">
      <c r="G5858" s="8" t="n"/>
    </row>
    <row r="5859">
      <c r="G5859" s="8" t="n"/>
    </row>
    <row r="5860">
      <c r="G5860" s="8" t="n"/>
    </row>
    <row r="5861">
      <c r="G5861" s="8" t="n"/>
    </row>
    <row r="5862">
      <c r="G5862" s="8" t="n"/>
    </row>
    <row r="5863">
      <c r="G5863" s="8" t="n"/>
    </row>
    <row r="5864">
      <c r="G5864" s="8" t="n"/>
    </row>
    <row r="5865">
      <c r="G5865" s="8" t="n"/>
    </row>
    <row r="5866">
      <c r="G5866" s="8" t="n"/>
    </row>
    <row r="5867">
      <c r="G5867" s="8" t="n"/>
    </row>
    <row r="5868">
      <c r="G5868" s="8" t="n"/>
    </row>
    <row r="5869">
      <c r="G5869" s="8" t="n"/>
    </row>
    <row r="5870">
      <c r="G5870" s="8" t="n"/>
    </row>
    <row r="5871">
      <c r="G5871" s="8" t="n"/>
    </row>
    <row r="5872">
      <c r="G5872" s="8" t="n"/>
    </row>
    <row r="5873">
      <c r="G5873" s="8" t="n"/>
    </row>
    <row r="5874">
      <c r="G5874" s="8" t="n"/>
    </row>
    <row r="5875">
      <c r="G5875" s="8" t="n"/>
    </row>
    <row r="5876">
      <c r="G5876" s="8" t="n"/>
    </row>
    <row r="5877">
      <c r="G5877" s="8" t="n"/>
    </row>
    <row r="5878">
      <c r="G5878" s="8" t="n"/>
    </row>
    <row r="5879">
      <c r="G5879" s="8" t="n"/>
    </row>
    <row r="5880">
      <c r="G5880" s="8" t="n"/>
    </row>
    <row r="5881">
      <c r="G5881" s="8" t="n"/>
    </row>
    <row r="5882">
      <c r="G5882" s="8" t="n"/>
    </row>
    <row r="5883">
      <c r="G5883" s="8" t="n"/>
    </row>
    <row r="5884">
      <c r="G5884" s="8" t="n"/>
    </row>
    <row r="5885">
      <c r="G5885" s="8" t="n"/>
    </row>
    <row r="5886">
      <c r="G5886" s="8" t="n"/>
    </row>
    <row r="5887">
      <c r="G5887" s="8" t="n"/>
    </row>
    <row r="5888">
      <c r="G5888" s="8" t="n"/>
    </row>
    <row r="5889">
      <c r="G5889" s="8" t="n"/>
    </row>
    <row r="5890">
      <c r="G5890" s="8" t="n"/>
    </row>
    <row r="5891">
      <c r="G5891" s="8" t="n"/>
    </row>
    <row r="5892">
      <c r="G5892" s="8" t="n"/>
    </row>
    <row r="5893">
      <c r="G5893" s="8" t="n"/>
    </row>
    <row r="5894">
      <c r="G5894" s="8" t="n"/>
    </row>
    <row r="5895">
      <c r="G5895" s="8" t="n"/>
    </row>
    <row r="5896">
      <c r="G5896" s="8" t="n"/>
    </row>
    <row r="5897">
      <c r="G5897" s="8" t="n"/>
    </row>
    <row r="5898">
      <c r="G5898" s="8" t="n"/>
    </row>
    <row r="5899">
      <c r="G5899" s="8" t="n"/>
    </row>
    <row r="5900">
      <c r="G5900" s="8" t="n"/>
    </row>
    <row r="5901">
      <c r="G5901" s="8" t="n"/>
    </row>
    <row r="5902">
      <c r="G5902" s="8" t="n"/>
    </row>
    <row r="5903">
      <c r="G5903" s="8" t="n"/>
    </row>
    <row r="5904">
      <c r="G5904" s="8" t="n"/>
    </row>
    <row r="5905">
      <c r="G5905" s="8" t="n"/>
    </row>
    <row r="5906">
      <c r="G5906" s="8" t="n"/>
    </row>
    <row r="5907">
      <c r="G5907" s="8" t="n"/>
    </row>
    <row r="5908">
      <c r="G5908" s="8" t="n"/>
    </row>
    <row r="5909">
      <c r="G5909" s="8" t="n"/>
    </row>
    <row r="5910">
      <c r="G5910" s="8" t="n"/>
    </row>
    <row r="5911">
      <c r="G5911" s="8" t="n"/>
    </row>
    <row r="5912">
      <c r="G5912" s="8" t="n"/>
    </row>
    <row r="5913">
      <c r="G5913" s="8" t="n"/>
    </row>
    <row r="5914">
      <c r="G5914" s="8" t="n"/>
    </row>
    <row r="5915">
      <c r="G5915" s="8" t="n"/>
    </row>
    <row r="5916">
      <c r="G5916" s="8" t="n"/>
    </row>
    <row r="5917">
      <c r="G5917" s="8" t="n"/>
    </row>
    <row r="5918">
      <c r="G5918" s="8" t="n"/>
    </row>
    <row r="5919">
      <c r="G5919" s="8" t="n"/>
    </row>
    <row r="5920">
      <c r="G5920" s="8" t="n"/>
    </row>
    <row r="5921">
      <c r="G5921" s="8" t="n"/>
    </row>
    <row r="5922">
      <c r="G5922" s="8" t="n"/>
    </row>
    <row r="5923">
      <c r="G5923" s="8" t="n"/>
    </row>
    <row r="5924">
      <c r="G5924" s="8" t="n"/>
    </row>
    <row r="5925">
      <c r="G5925" s="8" t="n"/>
    </row>
    <row r="5926">
      <c r="G5926" s="8" t="n"/>
    </row>
    <row r="5927">
      <c r="G5927" s="8" t="n"/>
    </row>
    <row r="5928">
      <c r="G5928" s="8" t="n"/>
    </row>
    <row r="5929">
      <c r="G5929" s="8" t="n"/>
    </row>
    <row r="5930">
      <c r="G5930" s="8" t="n"/>
    </row>
    <row r="5931">
      <c r="G5931" s="8" t="n"/>
    </row>
    <row r="5932">
      <c r="G5932" s="8" t="n"/>
    </row>
    <row r="5933">
      <c r="G5933" s="8" t="n"/>
    </row>
    <row r="5934">
      <c r="G5934" s="8" t="n"/>
    </row>
    <row r="5935">
      <c r="G5935" s="8" t="n"/>
    </row>
    <row r="5936">
      <c r="G5936" s="8" t="n"/>
    </row>
    <row r="5937">
      <c r="G5937" s="8" t="n"/>
    </row>
    <row r="5938">
      <c r="G5938" s="8" t="n"/>
    </row>
    <row r="5939">
      <c r="G5939" s="8" t="n"/>
    </row>
    <row r="5940">
      <c r="G5940" s="8" t="n"/>
    </row>
    <row r="5941">
      <c r="G5941" s="8" t="n"/>
    </row>
    <row r="5942">
      <c r="G5942" s="8" t="n"/>
    </row>
    <row r="5943">
      <c r="G5943" s="8" t="n"/>
    </row>
    <row r="5944">
      <c r="G5944" s="8" t="n"/>
    </row>
    <row r="5945">
      <c r="G5945" s="8" t="n"/>
    </row>
    <row r="5946">
      <c r="G5946" s="8" t="n"/>
    </row>
    <row r="5947">
      <c r="G5947" s="8" t="n"/>
    </row>
    <row r="5948">
      <c r="G5948" s="8" t="n"/>
    </row>
    <row r="5949">
      <c r="G5949" s="8" t="n"/>
    </row>
    <row r="5950">
      <c r="G5950" s="8" t="n"/>
    </row>
    <row r="5951">
      <c r="G5951" s="8" t="n"/>
    </row>
    <row r="5952">
      <c r="G5952" s="8" t="n"/>
    </row>
    <row r="5953">
      <c r="G5953" s="8" t="n"/>
    </row>
    <row r="5954">
      <c r="G5954" s="8" t="n"/>
    </row>
    <row r="5955">
      <c r="G5955" s="8" t="n"/>
    </row>
    <row r="5956">
      <c r="G5956" s="8" t="n"/>
    </row>
    <row r="5957">
      <c r="G5957" s="8" t="n"/>
    </row>
    <row r="5958">
      <c r="G5958" s="8" t="n"/>
    </row>
    <row r="5959">
      <c r="G5959" s="8" t="n"/>
    </row>
    <row r="5960">
      <c r="G5960" s="8" t="n"/>
    </row>
    <row r="5961">
      <c r="G5961" s="8" t="n"/>
    </row>
    <row r="5962">
      <c r="G5962" s="8" t="n"/>
    </row>
    <row r="5963">
      <c r="G5963" s="8" t="n"/>
    </row>
    <row r="5964">
      <c r="G5964" s="8" t="n"/>
    </row>
    <row r="5965">
      <c r="G5965" s="8" t="n"/>
    </row>
    <row r="5966">
      <c r="G5966" s="8" t="n"/>
    </row>
    <row r="5967">
      <c r="G5967" s="8" t="n"/>
    </row>
    <row r="5968">
      <c r="G5968" s="8" t="n"/>
    </row>
    <row r="5969">
      <c r="G5969" s="8" t="n"/>
    </row>
    <row r="5970">
      <c r="G5970" s="8" t="n"/>
    </row>
    <row r="5971">
      <c r="G5971" s="8" t="n"/>
    </row>
    <row r="5972">
      <c r="G5972" s="8" t="n"/>
    </row>
    <row r="5973">
      <c r="G5973" s="8" t="n"/>
    </row>
    <row r="5974">
      <c r="G5974" s="8" t="n"/>
    </row>
    <row r="5975">
      <c r="G5975" s="8" t="n"/>
    </row>
    <row r="5976">
      <c r="G5976" s="8" t="n"/>
    </row>
    <row r="5977">
      <c r="G5977" s="8" t="n"/>
    </row>
    <row r="5978">
      <c r="G5978" s="8" t="n"/>
    </row>
    <row r="5979">
      <c r="G5979" s="8" t="n"/>
    </row>
    <row r="5980">
      <c r="G5980" s="8" t="n"/>
    </row>
    <row r="5981">
      <c r="G5981" s="8" t="n"/>
    </row>
    <row r="5982">
      <c r="G5982" s="8" t="n"/>
    </row>
    <row r="5983">
      <c r="G5983" s="8" t="n"/>
    </row>
    <row r="5984">
      <c r="G5984" s="8" t="n"/>
    </row>
    <row r="5985">
      <c r="G5985" s="8" t="n"/>
    </row>
    <row r="5986">
      <c r="G5986" s="8" t="n"/>
    </row>
    <row r="5987">
      <c r="G5987" s="8" t="n"/>
    </row>
    <row r="5988">
      <c r="G5988" s="8" t="n"/>
    </row>
    <row r="5989">
      <c r="G5989" s="8" t="n"/>
    </row>
    <row r="5990">
      <c r="G5990" s="8" t="n"/>
    </row>
    <row r="5991">
      <c r="G5991" s="8" t="n"/>
    </row>
    <row r="5992">
      <c r="G5992" s="8" t="n"/>
    </row>
    <row r="5993">
      <c r="G5993" s="8" t="n"/>
    </row>
    <row r="5994">
      <c r="G5994" s="8" t="n"/>
    </row>
    <row r="5995">
      <c r="G5995" s="8" t="n"/>
    </row>
    <row r="5996">
      <c r="G5996" s="8" t="n"/>
    </row>
    <row r="5997">
      <c r="G5997" s="8" t="n"/>
    </row>
    <row r="5998">
      <c r="G5998" s="8" t="n"/>
    </row>
    <row r="5999">
      <c r="G5999" s="8" t="n"/>
    </row>
    <row r="6000">
      <c r="G6000" s="8" t="n"/>
    </row>
    <row r="6001">
      <c r="G6001" s="8" t="n"/>
    </row>
    <row r="6002">
      <c r="G6002" s="8" t="n"/>
    </row>
    <row r="6003">
      <c r="G6003" s="8" t="n"/>
    </row>
    <row r="6004">
      <c r="G6004" s="8" t="n"/>
    </row>
    <row r="6005">
      <c r="G6005" s="8" t="n"/>
    </row>
    <row r="6006">
      <c r="G6006" s="8" t="n"/>
    </row>
    <row r="6007">
      <c r="G6007" s="8" t="n"/>
    </row>
    <row r="6008">
      <c r="G6008" s="8" t="n"/>
    </row>
    <row r="6009">
      <c r="G6009" s="8" t="n"/>
    </row>
    <row r="6010">
      <c r="G6010" s="8" t="n"/>
    </row>
    <row r="6011">
      <c r="G6011" s="8" t="n"/>
    </row>
    <row r="6012">
      <c r="G6012" s="8" t="n"/>
    </row>
    <row r="6013">
      <c r="G6013" s="8" t="n"/>
    </row>
    <row r="6014">
      <c r="G6014" s="8" t="n"/>
    </row>
    <row r="6015">
      <c r="G6015" s="8" t="n"/>
    </row>
    <row r="6016">
      <c r="G6016" s="8" t="n"/>
    </row>
    <row r="6017">
      <c r="G6017" s="8" t="n"/>
    </row>
    <row r="6018">
      <c r="G6018" s="8" t="n"/>
    </row>
    <row r="6019">
      <c r="G6019" s="8" t="n"/>
    </row>
    <row r="6020">
      <c r="G6020" s="8" t="n"/>
    </row>
    <row r="6021">
      <c r="G6021" s="8" t="n"/>
    </row>
    <row r="6022">
      <c r="G6022" s="8" t="n"/>
    </row>
    <row r="6023">
      <c r="G6023" s="8" t="n"/>
    </row>
    <row r="6024">
      <c r="G6024" s="8" t="n"/>
    </row>
    <row r="6025">
      <c r="G6025" s="8" t="n"/>
    </row>
    <row r="6026">
      <c r="G6026" s="8" t="n"/>
    </row>
    <row r="6027">
      <c r="G6027" s="8" t="n"/>
    </row>
    <row r="6028">
      <c r="G6028" s="8" t="n"/>
    </row>
    <row r="6029">
      <c r="G6029" s="8" t="n"/>
    </row>
    <row r="6030">
      <c r="G6030" s="8" t="n"/>
    </row>
    <row r="6031">
      <c r="G6031" s="8" t="n"/>
    </row>
    <row r="6032">
      <c r="G6032" s="8" t="n"/>
    </row>
    <row r="6033">
      <c r="G6033" s="8" t="n"/>
    </row>
    <row r="6034">
      <c r="G6034" s="8" t="n"/>
    </row>
    <row r="6035">
      <c r="G6035" s="8" t="n"/>
    </row>
    <row r="6036">
      <c r="G6036" s="8" t="n"/>
    </row>
    <row r="6037">
      <c r="G6037" s="8" t="n"/>
    </row>
    <row r="6038">
      <c r="G6038" s="8" t="n"/>
    </row>
    <row r="6039">
      <c r="G6039" s="8" t="n"/>
    </row>
    <row r="6040">
      <c r="G6040" s="8" t="n"/>
    </row>
    <row r="6041">
      <c r="G6041" s="8" t="n"/>
    </row>
    <row r="6042">
      <c r="G6042" s="8" t="n"/>
    </row>
    <row r="6043">
      <c r="G6043" s="8" t="n"/>
    </row>
    <row r="6044">
      <c r="G6044" s="8" t="n"/>
    </row>
    <row r="6045">
      <c r="G6045" s="8" t="n"/>
    </row>
    <row r="6046">
      <c r="G6046" s="8" t="n"/>
    </row>
    <row r="6047">
      <c r="G6047" s="8" t="n"/>
    </row>
    <row r="6048">
      <c r="G6048" s="8" t="n"/>
    </row>
    <row r="6049">
      <c r="G6049" s="8" t="n"/>
    </row>
    <row r="6050">
      <c r="G6050" s="8" t="n"/>
    </row>
    <row r="6051">
      <c r="G6051" s="8" t="n"/>
    </row>
    <row r="6052">
      <c r="G6052" s="8" t="n"/>
    </row>
    <row r="6053">
      <c r="G6053" s="8" t="n"/>
    </row>
    <row r="6054">
      <c r="G6054" s="8" t="n"/>
    </row>
    <row r="6055">
      <c r="G6055" s="8" t="n"/>
    </row>
    <row r="6056">
      <c r="G6056" s="8" t="n"/>
    </row>
    <row r="6057">
      <c r="G6057" s="8" t="n"/>
    </row>
    <row r="6058">
      <c r="G6058" s="8" t="n"/>
    </row>
    <row r="6059">
      <c r="G6059" s="8" t="n"/>
    </row>
    <row r="6060">
      <c r="G6060" s="8" t="n"/>
    </row>
    <row r="6061">
      <c r="G6061" s="8" t="n"/>
    </row>
    <row r="6062">
      <c r="G6062" s="8" t="n"/>
    </row>
    <row r="6063">
      <c r="G6063" s="8" t="n"/>
    </row>
    <row r="6064">
      <c r="G6064" s="8" t="n"/>
    </row>
    <row r="6065">
      <c r="G6065" s="8" t="n"/>
    </row>
    <row r="6066">
      <c r="G6066" s="8" t="n"/>
    </row>
    <row r="6067">
      <c r="G6067" s="8" t="n"/>
    </row>
    <row r="6068">
      <c r="G6068" s="8" t="n"/>
    </row>
    <row r="6069">
      <c r="G6069" s="8" t="n"/>
    </row>
    <row r="6070">
      <c r="G6070" s="8" t="n"/>
    </row>
    <row r="6071">
      <c r="G6071" s="8" t="n"/>
    </row>
    <row r="6072">
      <c r="G6072" s="8" t="n"/>
    </row>
    <row r="6073">
      <c r="G6073" s="8" t="n"/>
    </row>
    <row r="6074">
      <c r="G6074" s="8" t="n"/>
    </row>
    <row r="6075">
      <c r="G6075" s="8" t="n"/>
    </row>
    <row r="6076">
      <c r="G6076" s="8" t="n"/>
    </row>
    <row r="6077">
      <c r="G6077" s="8" t="n"/>
    </row>
    <row r="6078">
      <c r="G6078" s="8" t="n"/>
    </row>
    <row r="6079">
      <c r="G6079" s="8" t="n"/>
    </row>
    <row r="6080">
      <c r="G6080" s="8" t="n"/>
    </row>
    <row r="6081">
      <c r="G6081" s="8" t="n"/>
    </row>
    <row r="6082">
      <c r="G6082" s="8" t="n"/>
    </row>
    <row r="6083">
      <c r="G6083" s="8" t="n"/>
    </row>
    <row r="6084">
      <c r="G6084" s="8" t="n"/>
    </row>
    <row r="6085">
      <c r="G6085" s="8" t="n"/>
    </row>
    <row r="6086">
      <c r="G6086" s="8" t="n"/>
    </row>
    <row r="6087">
      <c r="G6087" s="8" t="n"/>
    </row>
    <row r="6088">
      <c r="G6088" s="8" t="n"/>
    </row>
    <row r="6089">
      <c r="G6089" s="8" t="n"/>
    </row>
    <row r="6090">
      <c r="G6090" s="8" t="n"/>
    </row>
    <row r="6091">
      <c r="G6091" s="8" t="n"/>
    </row>
    <row r="6092">
      <c r="G6092" s="8" t="n"/>
    </row>
    <row r="6093">
      <c r="G6093" s="8" t="n"/>
    </row>
    <row r="6094">
      <c r="G6094" s="8" t="n"/>
    </row>
    <row r="6095">
      <c r="G6095" s="8" t="n"/>
    </row>
    <row r="6096">
      <c r="G6096" s="8" t="n"/>
    </row>
    <row r="6097">
      <c r="G6097" s="8" t="n"/>
    </row>
    <row r="6098">
      <c r="G6098" s="8" t="n"/>
    </row>
    <row r="6099">
      <c r="G6099" s="8" t="n"/>
    </row>
    <row r="6100">
      <c r="G6100" s="8" t="n"/>
    </row>
    <row r="6101">
      <c r="G6101" s="8" t="n"/>
    </row>
    <row r="6102">
      <c r="G6102" s="8" t="n"/>
    </row>
    <row r="6103">
      <c r="G6103" s="8" t="n"/>
    </row>
    <row r="6104">
      <c r="G6104" s="8" t="n"/>
    </row>
    <row r="6105">
      <c r="G6105" s="8" t="n"/>
    </row>
    <row r="6106">
      <c r="G6106" s="8" t="n"/>
    </row>
    <row r="6107">
      <c r="G6107" s="8" t="n"/>
    </row>
    <row r="6108">
      <c r="G6108" s="8" t="n"/>
    </row>
    <row r="6109">
      <c r="G6109" s="8" t="n"/>
    </row>
    <row r="6110">
      <c r="G6110" s="8" t="n"/>
    </row>
    <row r="6111">
      <c r="G6111" s="8" t="n"/>
    </row>
    <row r="6112">
      <c r="G6112" s="8" t="n"/>
    </row>
    <row r="6113">
      <c r="G6113" s="8" t="n"/>
    </row>
    <row r="6114">
      <c r="G6114" s="8" t="n"/>
    </row>
    <row r="6115">
      <c r="G6115" s="8" t="n"/>
    </row>
    <row r="6116">
      <c r="G6116" s="8" t="n"/>
    </row>
    <row r="6117">
      <c r="G6117" s="8" t="n"/>
    </row>
    <row r="6118">
      <c r="G6118" s="8" t="n"/>
    </row>
    <row r="6119">
      <c r="G6119" s="8" t="n"/>
    </row>
    <row r="6120">
      <c r="G6120" s="8" t="n"/>
    </row>
    <row r="6121">
      <c r="G6121" s="8" t="n"/>
    </row>
    <row r="6122">
      <c r="G6122" s="8" t="n"/>
    </row>
    <row r="6123">
      <c r="G6123" s="8" t="n"/>
    </row>
    <row r="6124">
      <c r="G6124" s="8" t="n"/>
    </row>
    <row r="6125">
      <c r="G6125" s="8" t="n"/>
    </row>
    <row r="6126">
      <c r="G6126" s="8" t="n"/>
    </row>
    <row r="6127">
      <c r="G6127" s="8" t="n"/>
    </row>
    <row r="6128">
      <c r="G6128" s="8" t="n"/>
    </row>
    <row r="6129">
      <c r="G6129" s="8" t="n"/>
    </row>
    <row r="6130">
      <c r="G6130" s="8" t="n"/>
    </row>
    <row r="6131">
      <c r="G6131" s="8" t="n"/>
    </row>
    <row r="6132">
      <c r="G6132" s="8" t="n"/>
    </row>
    <row r="6133">
      <c r="G6133" s="8" t="n"/>
    </row>
    <row r="6134">
      <c r="G6134" s="8" t="n"/>
    </row>
    <row r="6135">
      <c r="G6135" s="8" t="n"/>
    </row>
    <row r="6136">
      <c r="G6136" s="8" t="n"/>
    </row>
    <row r="6137">
      <c r="G6137" s="8" t="n"/>
    </row>
    <row r="6138">
      <c r="G6138" s="8" t="n"/>
    </row>
    <row r="6139">
      <c r="G6139" s="8" t="n"/>
    </row>
    <row r="6140">
      <c r="G6140" s="8" t="n"/>
    </row>
    <row r="6141">
      <c r="G6141" s="8" t="n"/>
    </row>
    <row r="6142">
      <c r="G6142" s="8" t="n"/>
    </row>
    <row r="6143">
      <c r="G6143" s="8" t="n"/>
    </row>
    <row r="6144">
      <c r="G6144" s="8" t="n"/>
    </row>
    <row r="6145">
      <c r="G6145" s="8" t="n"/>
    </row>
    <row r="6146">
      <c r="G6146" s="8" t="n"/>
    </row>
    <row r="6147">
      <c r="G6147" s="8" t="n"/>
    </row>
    <row r="6148">
      <c r="G6148" s="8" t="n"/>
    </row>
    <row r="6149">
      <c r="G6149" s="8" t="n"/>
    </row>
    <row r="6150">
      <c r="G6150" s="8" t="n"/>
    </row>
    <row r="6151">
      <c r="G6151" s="8" t="n"/>
    </row>
    <row r="6152">
      <c r="G6152" s="8" t="n"/>
    </row>
    <row r="6153">
      <c r="G6153" s="8" t="n"/>
    </row>
    <row r="6154">
      <c r="G6154" s="8" t="n"/>
    </row>
    <row r="6155">
      <c r="G6155" s="8" t="n"/>
    </row>
    <row r="6156">
      <c r="G6156" s="8" t="n"/>
    </row>
    <row r="6157">
      <c r="G6157" s="8" t="n"/>
    </row>
    <row r="6158">
      <c r="G6158" s="8" t="n"/>
    </row>
    <row r="6159">
      <c r="G6159" s="8" t="n"/>
    </row>
    <row r="6160">
      <c r="G6160" s="8" t="n"/>
    </row>
    <row r="6161">
      <c r="G6161" s="8" t="n"/>
    </row>
    <row r="6162">
      <c r="G6162" s="8" t="n"/>
    </row>
    <row r="6163">
      <c r="G6163" s="8" t="n"/>
    </row>
    <row r="6164">
      <c r="G6164" s="8" t="n"/>
    </row>
    <row r="6165">
      <c r="G6165" s="8" t="n"/>
    </row>
    <row r="6166">
      <c r="G6166" s="8" t="n"/>
    </row>
    <row r="6167">
      <c r="G6167" s="8" t="n"/>
    </row>
    <row r="6168">
      <c r="G6168" s="8" t="n"/>
    </row>
    <row r="6169">
      <c r="G6169" s="8" t="n"/>
    </row>
    <row r="6170">
      <c r="G6170" s="8" t="n"/>
    </row>
    <row r="6171">
      <c r="G6171" s="8" t="n"/>
    </row>
    <row r="6172">
      <c r="G6172" s="8" t="n"/>
    </row>
    <row r="6173">
      <c r="G6173" s="8" t="n"/>
    </row>
    <row r="6174">
      <c r="G6174" s="8" t="n"/>
    </row>
    <row r="6175">
      <c r="G6175" s="8" t="n"/>
    </row>
    <row r="6176">
      <c r="G6176" s="8" t="n"/>
    </row>
    <row r="6177">
      <c r="G6177" s="8" t="n"/>
    </row>
    <row r="6178">
      <c r="G6178" s="8" t="n"/>
    </row>
    <row r="6179">
      <c r="G6179" s="8" t="n"/>
    </row>
    <row r="6180">
      <c r="G6180" s="8" t="n"/>
    </row>
    <row r="6181">
      <c r="G6181" s="8" t="n"/>
    </row>
    <row r="6182">
      <c r="G6182" s="8" t="n"/>
    </row>
    <row r="6183">
      <c r="G6183" s="8" t="n"/>
    </row>
    <row r="6184">
      <c r="G6184" s="8" t="n"/>
    </row>
    <row r="6185">
      <c r="G6185" s="8" t="n"/>
    </row>
    <row r="6186">
      <c r="G6186" s="8" t="n"/>
    </row>
    <row r="6187">
      <c r="G6187" s="8" t="n"/>
    </row>
    <row r="6188">
      <c r="G6188" s="8" t="n"/>
    </row>
    <row r="6189">
      <c r="G6189" s="8" t="n"/>
    </row>
    <row r="6190">
      <c r="G6190" s="8" t="n"/>
    </row>
    <row r="6191">
      <c r="G6191" s="8" t="n"/>
    </row>
    <row r="6192">
      <c r="G6192" s="8" t="n"/>
    </row>
    <row r="6193">
      <c r="G6193" s="8" t="n"/>
    </row>
    <row r="6194">
      <c r="G6194" s="8" t="n"/>
    </row>
    <row r="6195">
      <c r="G6195" s="8" t="n"/>
    </row>
    <row r="6196">
      <c r="G6196" s="8" t="n"/>
    </row>
    <row r="6197">
      <c r="G6197" s="8" t="n"/>
    </row>
    <row r="6198">
      <c r="G6198" s="8" t="n"/>
    </row>
    <row r="6199">
      <c r="G6199" s="8" t="n"/>
    </row>
    <row r="6200">
      <c r="G6200" s="8" t="n"/>
    </row>
    <row r="6201">
      <c r="G6201" s="8" t="n"/>
    </row>
    <row r="6202">
      <c r="G6202" s="8" t="n"/>
    </row>
    <row r="6203">
      <c r="G6203" s="8" t="n"/>
    </row>
    <row r="6204">
      <c r="G6204" s="8" t="n"/>
    </row>
    <row r="6205">
      <c r="G6205" s="8" t="n"/>
    </row>
    <row r="6206">
      <c r="G6206" s="8" t="n"/>
    </row>
    <row r="6207">
      <c r="G6207" s="8" t="n"/>
    </row>
    <row r="6208">
      <c r="G6208" s="8" t="n"/>
    </row>
    <row r="6209">
      <c r="G6209" s="8" t="n"/>
    </row>
    <row r="6210">
      <c r="G6210" s="8" t="n"/>
    </row>
    <row r="6211">
      <c r="G6211" s="8" t="n"/>
    </row>
    <row r="6212">
      <c r="G6212" s="8" t="n"/>
    </row>
    <row r="6213">
      <c r="G6213" s="8" t="n"/>
    </row>
    <row r="6214">
      <c r="G6214" s="8" t="n"/>
    </row>
    <row r="6215">
      <c r="G6215" s="8" t="n"/>
    </row>
    <row r="6216">
      <c r="G6216" s="8" t="n"/>
    </row>
    <row r="6217">
      <c r="G6217" s="8" t="n"/>
    </row>
    <row r="6218">
      <c r="G6218" s="8" t="n"/>
    </row>
    <row r="6219">
      <c r="G6219" s="8" t="n"/>
    </row>
    <row r="6220">
      <c r="G6220" s="8" t="n"/>
    </row>
    <row r="6221">
      <c r="G6221" s="8" t="n"/>
    </row>
    <row r="6222">
      <c r="G6222" s="8" t="n"/>
    </row>
    <row r="6223">
      <c r="G6223" s="8" t="n"/>
    </row>
    <row r="6224">
      <c r="G6224" s="8" t="n"/>
    </row>
    <row r="6225">
      <c r="G6225" s="8" t="n"/>
    </row>
    <row r="6226">
      <c r="G6226" s="8" t="n"/>
    </row>
    <row r="6227">
      <c r="G6227" s="8" t="n"/>
    </row>
    <row r="6228">
      <c r="G6228" s="8" t="n"/>
    </row>
    <row r="6229">
      <c r="G6229" s="8" t="n"/>
    </row>
    <row r="6230">
      <c r="G6230" s="8" t="n"/>
    </row>
    <row r="6231">
      <c r="G6231" s="8" t="n"/>
    </row>
    <row r="6232">
      <c r="G6232" s="8" t="n"/>
    </row>
    <row r="6233">
      <c r="G6233" s="8" t="n"/>
    </row>
    <row r="6234">
      <c r="G6234" s="8" t="n"/>
    </row>
    <row r="6235">
      <c r="G6235" s="8" t="n"/>
    </row>
    <row r="6236">
      <c r="G6236" s="8" t="n"/>
    </row>
    <row r="6237">
      <c r="G6237" s="8" t="n"/>
    </row>
    <row r="6238">
      <c r="G6238" s="8" t="n"/>
    </row>
    <row r="6239">
      <c r="G6239" s="8" t="n"/>
    </row>
    <row r="6240">
      <c r="G6240" s="8" t="n"/>
    </row>
    <row r="6241">
      <c r="G6241" s="8" t="n"/>
    </row>
    <row r="6242">
      <c r="G6242" s="8" t="n"/>
    </row>
    <row r="6243">
      <c r="G6243" s="8" t="n"/>
    </row>
    <row r="6244">
      <c r="G6244" s="8" t="n"/>
    </row>
    <row r="6245">
      <c r="G6245" s="8" t="n"/>
    </row>
    <row r="6246">
      <c r="G6246" s="8" t="n"/>
    </row>
    <row r="6247">
      <c r="G6247" s="8" t="n"/>
    </row>
    <row r="6248">
      <c r="G6248" s="8" t="n"/>
    </row>
    <row r="6249">
      <c r="G6249" s="8" t="n"/>
    </row>
    <row r="6250">
      <c r="G6250" s="8" t="n"/>
    </row>
    <row r="6251">
      <c r="G6251" s="8" t="n"/>
    </row>
    <row r="6252">
      <c r="G6252" s="8" t="n"/>
    </row>
    <row r="6253">
      <c r="G6253" s="8" t="n"/>
    </row>
    <row r="6254">
      <c r="G6254" s="8" t="n"/>
    </row>
    <row r="6255">
      <c r="G6255" s="8" t="n"/>
    </row>
    <row r="6256">
      <c r="G6256" s="8" t="n"/>
    </row>
    <row r="6257">
      <c r="G6257" s="8" t="n"/>
    </row>
    <row r="6258">
      <c r="G6258" s="8" t="n"/>
    </row>
    <row r="6259">
      <c r="G6259" s="8" t="n"/>
    </row>
    <row r="6260">
      <c r="G6260" s="8" t="n"/>
    </row>
    <row r="6261">
      <c r="G6261" s="8" t="n"/>
    </row>
    <row r="6262">
      <c r="G6262" s="8" t="n"/>
    </row>
    <row r="6263">
      <c r="G6263" s="8" t="n"/>
    </row>
    <row r="6264">
      <c r="G6264" s="8" t="n"/>
    </row>
    <row r="6265">
      <c r="G6265" s="8" t="n"/>
    </row>
    <row r="6266">
      <c r="G6266" s="8" t="n"/>
    </row>
    <row r="6267">
      <c r="G6267" s="8" t="n"/>
    </row>
    <row r="6268">
      <c r="G6268" s="8" t="n"/>
    </row>
    <row r="6269">
      <c r="G6269" s="8" t="n"/>
    </row>
    <row r="6270">
      <c r="G6270" s="8" t="n"/>
    </row>
    <row r="6271">
      <c r="G6271" s="8" t="n"/>
    </row>
    <row r="6272">
      <c r="G6272" s="8" t="n"/>
    </row>
    <row r="6273">
      <c r="G6273" s="8" t="n"/>
    </row>
    <row r="6274">
      <c r="G6274" s="8" t="n"/>
    </row>
    <row r="6275">
      <c r="G6275" s="8" t="n"/>
    </row>
    <row r="6276">
      <c r="G6276" s="8" t="n"/>
    </row>
    <row r="6277">
      <c r="G6277" s="8" t="n"/>
    </row>
    <row r="6278">
      <c r="G6278" s="8" t="n"/>
    </row>
    <row r="6279">
      <c r="G6279" s="8" t="n"/>
    </row>
    <row r="6280">
      <c r="G6280" s="8" t="n"/>
    </row>
    <row r="6281">
      <c r="G6281" s="8" t="n"/>
    </row>
    <row r="6282">
      <c r="G6282" s="8" t="n"/>
    </row>
    <row r="6283">
      <c r="G6283" s="8" t="n"/>
    </row>
    <row r="6284">
      <c r="G6284" s="8" t="n"/>
    </row>
    <row r="6285">
      <c r="G6285" s="8" t="n"/>
    </row>
    <row r="6286">
      <c r="G6286" s="8" t="n"/>
    </row>
    <row r="6287">
      <c r="G6287" s="8" t="n"/>
    </row>
    <row r="6288">
      <c r="G6288" s="8" t="n"/>
    </row>
    <row r="6289">
      <c r="G6289" s="8" t="n"/>
    </row>
    <row r="6290">
      <c r="G6290" s="8" t="n"/>
    </row>
    <row r="6291">
      <c r="G6291" s="8" t="n"/>
    </row>
    <row r="6292">
      <c r="G6292" s="8" t="n"/>
    </row>
    <row r="6293">
      <c r="G6293" s="8" t="n"/>
    </row>
    <row r="6294">
      <c r="G6294" s="8" t="n"/>
    </row>
    <row r="6295">
      <c r="G6295" s="8" t="n"/>
    </row>
    <row r="6296">
      <c r="G6296" s="8" t="n"/>
    </row>
    <row r="6297">
      <c r="G6297" s="8" t="n"/>
    </row>
    <row r="6298">
      <c r="G6298" s="8" t="n"/>
    </row>
    <row r="6299">
      <c r="G6299" s="8" t="n"/>
    </row>
    <row r="6300">
      <c r="G6300" s="8" t="n"/>
    </row>
    <row r="6301">
      <c r="G6301" s="8" t="n"/>
    </row>
    <row r="6302">
      <c r="G6302" s="8" t="n"/>
    </row>
    <row r="6303">
      <c r="G6303" s="8" t="n"/>
    </row>
    <row r="6304">
      <c r="G6304" s="8" t="n"/>
    </row>
    <row r="6305">
      <c r="G6305" s="8" t="n"/>
    </row>
    <row r="6306">
      <c r="G6306" s="8" t="n"/>
    </row>
    <row r="6307">
      <c r="G6307" s="8" t="n"/>
    </row>
    <row r="6308">
      <c r="G6308" s="8" t="n"/>
    </row>
    <row r="6309">
      <c r="G6309" s="8" t="n"/>
    </row>
    <row r="6310">
      <c r="G6310" s="8" t="n"/>
    </row>
    <row r="6311">
      <c r="G6311" s="8" t="n"/>
    </row>
    <row r="6312">
      <c r="G6312" s="8" t="n"/>
    </row>
    <row r="6313">
      <c r="G6313" s="8" t="n"/>
    </row>
    <row r="6314">
      <c r="G6314" s="8" t="n"/>
    </row>
    <row r="6315">
      <c r="G6315" s="8" t="n"/>
    </row>
    <row r="6316">
      <c r="G6316" s="8" t="n"/>
    </row>
    <row r="6317">
      <c r="G6317" s="8" t="n"/>
    </row>
    <row r="6318">
      <c r="G6318" s="8" t="n"/>
    </row>
    <row r="6319">
      <c r="G6319" s="8" t="n"/>
    </row>
    <row r="6320">
      <c r="G6320" s="8" t="n"/>
    </row>
    <row r="6321">
      <c r="G6321" s="8" t="n"/>
    </row>
    <row r="6322">
      <c r="G6322" s="8" t="n"/>
    </row>
    <row r="6323">
      <c r="G6323" s="8" t="n"/>
    </row>
    <row r="6324">
      <c r="G6324" s="8" t="n"/>
    </row>
    <row r="6325">
      <c r="G6325" s="8" t="n"/>
    </row>
    <row r="6326">
      <c r="G6326" s="8" t="n"/>
    </row>
    <row r="6327">
      <c r="G6327" s="8" t="n"/>
    </row>
    <row r="6328">
      <c r="G6328" s="8" t="n"/>
    </row>
    <row r="6329">
      <c r="G6329" s="8" t="n"/>
    </row>
    <row r="6330">
      <c r="G6330" s="8" t="n"/>
    </row>
    <row r="6331">
      <c r="G6331" s="8" t="n"/>
    </row>
    <row r="6332">
      <c r="G6332" s="8" t="n"/>
    </row>
    <row r="6333">
      <c r="G6333" s="8" t="n"/>
    </row>
    <row r="6334">
      <c r="G6334" s="8" t="n"/>
    </row>
    <row r="6335">
      <c r="G6335" s="8" t="n"/>
    </row>
    <row r="6336">
      <c r="G6336" s="8" t="n"/>
    </row>
    <row r="6337">
      <c r="G6337" s="8" t="n"/>
    </row>
    <row r="6338">
      <c r="G6338" s="8" t="n"/>
    </row>
    <row r="6339">
      <c r="G6339" s="8" t="n"/>
    </row>
    <row r="6340">
      <c r="G6340" s="8" t="n"/>
    </row>
    <row r="6341">
      <c r="G6341" s="8" t="n"/>
    </row>
    <row r="6342">
      <c r="G6342" s="8" t="n"/>
    </row>
    <row r="6343">
      <c r="G6343" s="8" t="n"/>
    </row>
    <row r="6344">
      <c r="G6344" s="8" t="n"/>
    </row>
    <row r="6345">
      <c r="G6345" s="8" t="n"/>
    </row>
    <row r="6346">
      <c r="G6346" s="8" t="n"/>
    </row>
    <row r="6347">
      <c r="G6347" s="8" t="n"/>
    </row>
    <row r="6348">
      <c r="G6348" s="8" t="n"/>
    </row>
    <row r="6349">
      <c r="G6349" s="8" t="n"/>
    </row>
    <row r="6350">
      <c r="G6350" s="8" t="n"/>
    </row>
    <row r="6351">
      <c r="G6351" s="8" t="n"/>
    </row>
    <row r="6352">
      <c r="G6352" s="8" t="n"/>
    </row>
    <row r="6353">
      <c r="G6353" s="8" t="n"/>
    </row>
    <row r="6354">
      <c r="G6354" s="8" t="n"/>
    </row>
    <row r="6355">
      <c r="G6355" s="8" t="n"/>
    </row>
    <row r="6356">
      <c r="G6356" s="8" t="n"/>
    </row>
    <row r="6357">
      <c r="G6357" s="8" t="n"/>
    </row>
    <row r="6358">
      <c r="G6358" s="8" t="n"/>
    </row>
    <row r="6359">
      <c r="G6359" s="8" t="n"/>
    </row>
    <row r="6360">
      <c r="G6360" s="8" t="n"/>
    </row>
    <row r="6361">
      <c r="G6361" s="8" t="n"/>
    </row>
    <row r="6362">
      <c r="G6362" s="8" t="n"/>
    </row>
    <row r="6363">
      <c r="G6363" s="8" t="n"/>
    </row>
    <row r="6364">
      <c r="G6364" s="8" t="n"/>
    </row>
    <row r="6365">
      <c r="G6365" s="8" t="n"/>
    </row>
    <row r="6366">
      <c r="G6366" s="8" t="n"/>
    </row>
    <row r="6367">
      <c r="G6367" s="8" t="n"/>
    </row>
    <row r="6368">
      <c r="G6368" s="8" t="n"/>
    </row>
    <row r="6369">
      <c r="G6369" s="8" t="n"/>
    </row>
    <row r="6370">
      <c r="G6370" s="8" t="n"/>
    </row>
    <row r="6371">
      <c r="G6371" s="8" t="n"/>
    </row>
    <row r="6372">
      <c r="G6372" s="8" t="n"/>
    </row>
    <row r="6373">
      <c r="G6373" s="8" t="n"/>
    </row>
    <row r="6374">
      <c r="G6374" s="8" t="n"/>
    </row>
    <row r="6375">
      <c r="G6375" s="8" t="n"/>
    </row>
    <row r="6376">
      <c r="G6376" s="8" t="n"/>
    </row>
    <row r="6377">
      <c r="G6377" s="8" t="n"/>
    </row>
    <row r="6378">
      <c r="G6378" s="8" t="n"/>
    </row>
    <row r="6379">
      <c r="G6379" s="8" t="n"/>
    </row>
    <row r="6380">
      <c r="G6380" s="8" t="n"/>
    </row>
    <row r="6381">
      <c r="G6381" s="8" t="n"/>
    </row>
    <row r="6382">
      <c r="G6382" s="8" t="n"/>
    </row>
    <row r="6383">
      <c r="G6383" s="8" t="n"/>
    </row>
    <row r="6384">
      <c r="G6384" s="8" t="n"/>
    </row>
    <row r="6385">
      <c r="G6385" s="8" t="n"/>
    </row>
    <row r="6386">
      <c r="G6386" s="8" t="n"/>
    </row>
    <row r="6387">
      <c r="G6387" s="8" t="n"/>
    </row>
    <row r="6388">
      <c r="G6388" s="8" t="n"/>
    </row>
    <row r="6389">
      <c r="G6389" s="8" t="n"/>
    </row>
    <row r="6390">
      <c r="G6390" s="8" t="n"/>
    </row>
    <row r="6391">
      <c r="G6391" s="8" t="n"/>
    </row>
    <row r="6392">
      <c r="G6392" s="8" t="n"/>
    </row>
    <row r="6393">
      <c r="G6393" s="8" t="n"/>
    </row>
    <row r="6394">
      <c r="G6394" s="8" t="n"/>
    </row>
    <row r="6395">
      <c r="G6395" s="8" t="n"/>
    </row>
    <row r="6396">
      <c r="G6396" s="8" t="n"/>
    </row>
    <row r="6397">
      <c r="G6397" s="8" t="n"/>
    </row>
    <row r="6398">
      <c r="G6398" s="8" t="n"/>
    </row>
    <row r="6399">
      <c r="G6399" s="8" t="n"/>
    </row>
    <row r="6400">
      <c r="G6400" s="8" t="n"/>
    </row>
    <row r="6401">
      <c r="G6401" s="8" t="n"/>
    </row>
    <row r="6402">
      <c r="G6402" s="8" t="n"/>
    </row>
    <row r="6403">
      <c r="G6403" s="8" t="n"/>
    </row>
    <row r="6404">
      <c r="G6404" s="8" t="n"/>
    </row>
    <row r="6405">
      <c r="G6405" s="8" t="n"/>
    </row>
    <row r="6406">
      <c r="G6406" s="8" t="n"/>
    </row>
    <row r="6407">
      <c r="G6407" s="8" t="n"/>
    </row>
    <row r="6408">
      <c r="G6408" s="8" t="n"/>
    </row>
    <row r="6409">
      <c r="G6409" s="8" t="n"/>
    </row>
    <row r="6410">
      <c r="G6410" s="8" t="n"/>
    </row>
    <row r="6411">
      <c r="G6411" s="8" t="n"/>
    </row>
    <row r="6412">
      <c r="G6412" s="8" t="n"/>
    </row>
    <row r="6413">
      <c r="G6413" s="8" t="n"/>
    </row>
    <row r="6414">
      <c r="G6414" s="8" t="n"/>
    </row>
    <row r="6415">
      <c r="G6415" s="8" t="n"/>
    </row>
    <row r="6416">
      <c r="G6416" s="8" t="n"/>
    </row>
    <row r="6417">
      <c r="G6417" s="8" t="n"/>
    </row>
    <row r="6418">
      <c r="G6418" s="8" t="n"/>
    </row>
    <row r="6419">
      <c r="G6419" s="8" t="n"/>
    </row>
    <row r="6420">
      <c r="G6420" s="8" t="n"/>
    </row>
    <row r="6421">
      <c r="G6421" s="8" t="n"/>
    </row>
    <row r="6422">
      <c r="G6422" s="8" t="n"/>
    </row>
    <row r="6423">
      <c r="G6423" s="8" t="n"/>
    </row>
    <row r="6424">
      <c r="G6424" s="8" t="n"/>
    </row>
    <row r="6425">
      <c r="G6425" s="8" t="n"/>
    </row>
    <row r="6426">
      <c r="G6426" s="8" t="n"/>
    </row>
    <row r="6427">
      <c r="G6427" s="8" t="n"/>
    </row>
    <row r="6428">
      <c r="G6428" s="8" t="n"/>
    </row>
    <row r="6429">
      <c r="G6429" s="8" t="n"/>
    </row>
    <row r="6430">
      <c r="G6430" s="8" t="n"/>
    </row>
    <row r="6431">
      <c r="G6431" s="8" t="n"/>
    </row>
    <row r="6432">
      <c r="G6432" s="8" t="n"/>
    </row>
    <row r="6433">
      <c r="G6433" s="8" t="n"/>
    </row>
    <row r="6434">
      <c r="G6434" s="8" t="n"/>
    </row>
    <row r="6435">
      <c r="G6435" s="8" t="n"/>
    </row>
    <row r="6436">
      <c r="G6436" s="8" t="n"/>
    </row>
    <row r="6437">
      <c r="G6437" s="8" t="n"/>
    </row>
    <row r="6438">
      <c r="G6438" s="8" t="n"/>
    </row>
    <row r="6439">
      <c r="G6439" s="8" t="n"/>
    </row>
    <row r="6440">
      <c r="G6440" s="8" t="n"/>
    </row>
    <row r="6441">
      <c r="G6441" s="8" t="n"/>
    </row>
    <row r="6442">
      <c r="G6442" s="8" t="n"/>
    </row>
    <row r="6443">
      <c r="G6443" s="8" t="n"/>
    </row>
    <row r="6444">
      <c r="G6444" s="8" t="n"/>
    </row>
    <row r="6445">
      <c r="G6445" s="8" t="n"/>
    </row>
    <row r="6446">
      <c r="G6446" s="8" t="n"/>
    </row>
    <row r="6447">
      <c r="G6447" s="8" t="n"/>
    </row>
    <row r="6448">
      <c r="G6448" s="8" t="n"/>
    </row>
    <row r="6449">
      <c r="G6449" s="8" t="n"/>
    </row>
    <row r="6450">
      <c r="G6450" s="8" t="n"/>
    </row>
    <row r="6451">
      <c r="G6451" s="8" t="n"/>
    </row>
    <row r="6452">
      <c r="G6452" s="8" t="n"/>
    </row>
    <row r="6453">
      <c r="G6453" s="8" t="n"/>
    </row>
    <row r="6454">
      <c r="G6454" s="8" t="n"/>
    </row>
    <row r="6455">
      <c r="G6455" s="8" t="n"/>
    </row>
    <row r="6456">
      <c r="G6456" s="8" t="n"/>
    </row>
    <row r="6457">
      <c r="G6457" s="8" t="n"/>
    </row>
    <row r="6458">
      <c r="G6458" s="8" t="n"/>
    </row>
    <row r="6459">
      <c r="G6459" s="8" t="n"/>
    </row>
    <row r="6460">
      <c r="G6460" s="8" t="n"/>
    </row>
    <row r="6461">
      <c r="G6461" s="8" t="n"/>
    </row>
    <row r="6462">
      <c r="G6462" s="8" t="n"/>
    </row>
    <row r="6463">
      <c r="G6463" s="8" t="n"/>
    </row>
    <row r="6464">
      <c r="G6464" s="8" t="n"/>
    </row>
    <row r="6465">
      <c r="G6465" s="8" t="n"/>
    </row>
    <row r="6466">
      <c r="G6466" s="8" t="n"/>
    </row>
    <row r="6467">
      <c r="G6467" s="8" t="n"/>
    </row>
    <row r="6468">
      <c r="G6468" s="8" t="n"/>
    </row>
    <row r="6469">
      <c r="G6469" s="8" t="n"/>
    </row>
    <row r="6470">
      <c r="G6470" s="8" t="n"/>
    </row>
    <row r="6471">
      <c r="G6471" s="8" t="n"/>
    </row>
    <row r="6472">
      <c r="G6472" s="8" t="n"/>
    </row>
    <row r="6473">
      <c r="G6473" s="8" t="n"/>
    </row>
    <row r="6474">
      <c r="G6474" s="8" t="n"/>
    </row>
    <row r="6475">
      <c r="G6475" s="8" t="n"/>
    </row>
    <row r="6476">
      <c r="G6476" s="8" t="n"/>
    </row>
    <row r="6477">
      <c r="G6477" s="8" t="n"/>
    </row>
    <row r="6478">
      <c r="G6478" s="8" t="n"/>
    </row>
    <row r="6479">
      <c r="G6479" s="8" t="n"/>
    </row>
    <row r="6480">
      <c r="G6480" s="8" t="n"/>
    </row>
    <row r="6481">
      <c r="G6481" s="8" t="n"/>
    </row>
    <row r="6482">
      <c r="G6482" s="8" t="n"/>
    </row>
    <row r="6483">
      <c r="G6483" s="8" t="n"/>
    </row>
    <row r="6484">
      <c r="G6484" s="8" t="n"/>
    </row>
    <row r="6485">
      <c r="G6485" s="8" t="n"/>
    </row>
    <row r="6486">
      <c r="G6486" s="8" t="n"/>
    </row>
    <row r="6487">
      <c r="G6487" s="8" t="n"/>
    </row>
    <row r="6488">
      <c r="G6488" s="8" t="n"/>
    </row>
    <row r="6489">
      <c r="G6489" s="8" t="n"/>
    </row>
    <row r="6490">
      <c r="G6490" s="8" t="n"/>
    </row>
    <row r="6491">
      <c r="G6491" s="8" t="n"/>
    </row>
    <row r="6492">
      <c r="G6492" s="8" t="n"/>
    </row>
    <row r="6493">
      <c r="G6493" s="8" t="n"/>
    </row>
    <row r="6494">
      <c r="G6494" s="8" t="n"/>
    </row>
    <row r="6495">
      <c r="G6495" s="8" t="n"/>
    </row>
    <row r="6496">
      <c r="G6496" s="8" t="n"/>
    </row>
    <row r="6497">
      <c r="G6497" s="8" t="n"/>
    </row>
    <row r="6498">
      <c r="G6498" s="8" t="n"/>
    </row>
    <row r="6499">
      <c r="G6499" s="8" t="n"/>
    </row>
    <row r="6500">
      <c r="G6500" s="8" t="n"/>
    </row>
    <row r="6501">
      <c r="G6501" s="8" t="n"/>
    </row>
    <row r="6502">
      <c r="G6502" s="8" t="n"/>
    </row>
    <row r="6503">
      <c r="G6503" s="8" t="n"/>
    </row>
    <row r="6504">
      <c r="G6504" s="8" t="n"/>
    </row>
    <row r="6505">
      <c r="G6505" s="8" t="n"/>
    </row>
    <row r="6506">
      <c r="G6506" s="8" t="n"/>
    </row>
    <row r="6507">
      <c r="G6507" s="8" t="n"/>
    </row>
    <row r="6508">
      <c r="G6508" s="8" t="n"/>
    </row>
    <row r="6509">
      <c r="G6509" s="8" t="n"/>
    </row>
    <row r="6510">
      <c r="G6510" s="8" t="n"/>
    </row>
    <row r="6511">
      <c r="G6511" s="8" t="n"/>
    </row>
    <row r="6512">
      <c r="G6512" s="8" t="n"/>
    </row>
    <row r="6513">
      <c r="G6513" s="8" t="n"/>
    </row>
    <row r="6514">
      <c r="G6514" s="8" t="n"/>
    </row>
    <row r="6515">
      <c r="G6515" s="8" t="n"/>
    </row>
    <row r="6516">
      <c r="G6516" s="8" t="n"/>
    </row>
    <row r="6517">
      <c r="G6517" s="8" t="n"/>
    </row>
    <row r="6518">
      <c r="G6518" s="8" t="n"/>
    </row>
    <row r="6519">
      <c r="G6519" s="8" t="n"/>
    </row>
    <row r="6520">
      <c r="G6520" s="8" t="n"/>
    </row>
    <row r="6521">
      <c r="G6521" s="8" t="n"/>
    </row>
    <row r="6522">
      <c r="G6522" s="8" t="n"/>
    </row>
    <row r="6523">
      <c r="G6523" s="8" t="n"/>
    </row>
    <row r="6524">
      <c r="G6524" s="8" t="n"/>
    </row>
    <row r="6525">
      <c r="G6525" s="8" t="n"/>
    </row>
    <row r="6526">
      <c r="G6526" s="8" t="n"/>
    </row>
    <row r="6527">
      <c r="G6527" s="8" t="n"/>
    </row>
    <row r="6528">
      <c r="G6528" s="8" t="n"/>
    </row>
    <row r="6529">
      <c r="G6529" s="8" t="n"/>
    </row>
    <row r="6530">
      <c r="G6530" s="8" t="n"/>
    </row>
    <row r="6531">
      <c r="G6531" s="8" t="n"/>
    </row>
    <row r="6532">
      <c r="G6532" s="8" t="n"/>
    </row>
    <row r="6533">
      <c r="G6533" s="8" t="n"/>
    </row>
    <row r="6534">
      <c r="G6534" s="8" t="n"/>
    </row>
    <row r="6535">
      <c r="G6535" s="8" t="n"/>
    </row>
    <row r="6536">
      <c r="G6536" s="8" t="n"/>
    </row>
    <row r="6537">
      <c r="G6537" s="8" t="n"/>
    </row>
    <row r="6538">
      <c r="G6538" s="8" t="n"/>
    </row>
    <row r="6539">
      <c r="G6539" s="8" t="n"/>
    </row>
    <row r="6540">
      <c r="G6540" s="8" t="n"/>
    </row>
    <row r="6541">
      <c r="G6541" s="8" t="n"/>
    </row>
    <row r="6542">
      <c r="G6542" s="8" t="n"/>
    </row>
    <row r="6543">
      <c r="G6543" s="8" t="n"/>
    </row>
    <row r="6544">
      <c r="G6544" s="8" t="n"/>
    </row>
    <row r="6545">
      <c r="G6545" s="8" t="n"/>
    </row>
    <row r="6546">
      <c r="G6546" s="8" t="n"/>
    </row>
    <row r="6547">
      <c r="G6547" s="8" t="n"/>
    </row>
    <row r="6548">
      <c r="G6548" s="8" t="n"/>
    </row>
    <row r="6549">
      <c r="G6549" s="8" t="n"/>
    </row>
    <row r="6550">
      <c r="G6550" s="8" t="n"/>
    </row>
    <row r="6551">
      <c r="G6551" s="8" t="n"/>
    </row>
    <row r="6552">
      <c r="G6552" s="8" t="n"/>
    </row>
    <row r="6553">
      <c r="G6553" s="8" t="n"/>
    </row>
    <row r="6554">
      <c r="G6554" s="8" t="n"/>
    </row>
    <row r="6555">
      <c r="G6555" s="8" t="n"/>
    </row>
    <row r="6556">
      <c r="G6556" s="8" t="n"/>
    </row>
    <row r="6557">
      <c r="G6557" s="8" t="n"/>
    </row>
    <row r="6558">
      <c r="G6558" s="8" t="n"/>
    </row>
    <row r="6559">
      <c r="G6559" s="8" t="n"/>
    </row>
    <row r="6560">
      <c r="G6560" s="8" t="n"/>
    </row>
    <row r="6561">
      <c r="G6561" s="8" t="n"/>
    </row>
    <row r="6562">
      <c r="G6562" s="8" t="n"/>
    </row>
    <row r="6563">
      <c r="G6563" s="8" t="n"/>
    </row>
    <row r="6564">
      <c r="G6564" s="8" t="n"/>
    </row>
    <row r="6565">
      <c r="G6565" s="8" t="n"/>
    </row>
    <row r="6566">
      <c r="G6566" s="8" t="n"/>
    </row>
    <row r="6567">
      <c r="G6567" s="8" t="n"/>
    </row>
    <row r="6568">
      <c r="G6568" s="8" t="n"/>
    </row>
    <row r="6569">
      <c r="G6569" s="8" t="n"/>
    </row>
    <row r="6570">
      <c r="G6570" s="8" t="n"/>
    </row>
    <row r="6571">
      <c r="G6571" s="8" t="n"/>
    </row>
    <row r="6572">
      <c r="G6572" s="8" t="n"/>
    </row>
    <row r="6573">
      <c r="G6573" s="8" t="n"/>
    </row>
    <row r="6574">
      <c r="G6574" s="8" t="n"/>
    </row>
    <row r="6575">
      <c r="G6575" s="8" t="n"/>
    </row>
    <row r="6576">
      <c r="G6576" s="8" t="n"/>
    </row>
    <row r="6577">
      <c r="G6577" s="8" t="n"/>
    </row>
    <row r="6578">
      <c r="G6578" s="8" t="n"/>
    </row>
    <row r="6579">
      <c r="G6579" s="8" t="n"/>
    </row>
    <row r="6580">
      <c r="G6580" s="8" t="n"/>
    </row>
    <row r="6581">
      <c r="G6581" s="8" t="n"/>
    </row>
    <row r="6582">
      <c r="G6582" s="8" t="n"/>
    </row>
    <row r="6583">
      <c r="G6583" s="8" t="n"/>
    </row>
    <row r="6584">
      <c r="G6584" s="8" t="n"/>
    </row>
    <row r="6585">
      <c r="G6585" s="8" t="n"/>
    </row>
    <row r="6586">
      <c r="G6586" s="8" t="n"/>
    </row>
    <row r="6587">
      <c r="G6587" s="8" t="n"/>
    </row>
    <row r="6588">
      <c r="G6588" s="8" t="n"/>
    </row>
    <row r="6589">
      <c r="G6589" s="8" t="n"/>
    </row>
    <row r="6590">
      <c r="G6590" s="8" t="n"/>
    </row>
    <row r="6591">
      <c r="G6591" s="8" t="n"/>
    </row>
    <row r="6592">
      <c r="G6592" s="8" t="n"/>
    </row>
    <row r="6593">
      <c r="G6593" s="8" t="n"/>
    </row>
    <row r="6594">
      <c r="G6594" s="8" t="n"/>
    </row>
    <row r="6595">
      <c r="G6595" s="8" t="n"/>
    </row>
    <row r="6596">
      <c r="G6596" s="8" t="n"/>
    </row>
    <row r="6597">
      <c r="G6597" s="8" t="n"/>
    </row>
    <row r="6598">
      <c r="G6598" s="8" t="n"/>
    </row>
    <row r="6599">
      <c r="G6599" s="8" t="n"/>
    </row>
    <row r="6600">
      <c r="G6600" s="8" t="n"/>
    </row>
    <row r="6601">
      <c r="G6601" s="8" t="n"/>
    </row>
    <row r="6602">
      <c r="G6602" s="8" t="n"/>
    </row>
    <row r="6603">
      <c r="G6603" s="8" t="n"/>
    </row>
    <row r="6604">
      <c r="G6604" s="8" t="n"/>
    </row>
    <row r="6605">
      <c r="G6605" s="8" t="n"/>
    </row>
    <row r="6606">
      <c r="G6606" s="8" t="n"/>
    </row>
    <row r="6607">
      <c r="G6607" s="8" t="n"/>
    </row>
    <row r="6608">
      <c r="G6608" s="8" t="n"/>
    </row>
    <row r="6609">
      <c r="G6609" s="8" t="n"/>
    </row>
    <row r="6610">
      <c r="G6610" s="8" t="n"/>
    </row>
    <row r="6611">
      <c r="G6611" s="8" t="n"/>
    </row>
    <row r="6612">
      <c r="G6612" s="8" t="n"/>
    </row>
    <row r="6613">
      <c r="G6613" s="8" t="n"/>
    </row>
    <row r="6614">
      <c r="G6614" s="8" t="n"/>
    </row>
    <row r="6615">
      <c r="G6615" s="8" t="n"/>
    </row>
    <row r="6616">
      <c r="G6616" s="8" t="n"/>
    </row>
    <row r="6617">
      <c r="G6617" s="8" t="n"/>
    </row>
    <row r="6618">
      <c r="G6618" s="8" t="n"/>
    </row>
    <row r="6619">
      <c r="G6619" s="8" t="n"/>
    </row>
    <row r="6620">
      <c r="G6620" s="8" t="n"/>
    </row>
    <row r="6621">
      <c r="G6621" s="8" t="n"/>
    </row>
    <row r="6622">
      <c r="G6622" s="8" t="n"/>
    </row>
    <row r="6623">
      <c r="G6623" s="8" t="n"/>
    </row>
    <row r="6624">
      <c r="G6624" s="8" t="n"/>
    </row>
    <row r="6625">
      <c r="G6625" s="8" t="n"/>
    </row>
    <row r="6626">
      <c r="G6626" s="8" t="n"/>
    </row>
    <row r="6627">
      <c r="G6627" s="8" t="n"/>
    </row>
    <row r="6628">
      <c r="G6628" s="8" t="n"/>
    </row>
    <row r="6629">
      <c r="G6629" s="8" t="n"/>
    </row>
    <row r="6630">
      <c r="G6630" s="8" t="n"/>
    </row>
    <row r="6631">
      <c r="G6631" s="8" t="n"/>
    </row>
    <row r="6632">
      <c r="G6632" s="8" t="n"/>
    </row>
    <row r="6633">
      <c r="G6633" s="8" t="n"/>
    </row>
    <row r="6634">
      <c r="G6634" s="8" t="n"/>
    </row>
    <row r="6635">
      <c r="G6635" s="8" t="n"/>
    </row>
    <row r="6636">
      <c r="G6636" s="8" t="n"/>
    </row>
    <row r="6637">
      <c r="G6637" s="8" t="n"/>
    </row>
    <row r="6638">
      <c r="G6638" s="8" t="n"/>
    </row>
    <row r="6639">
      <c r="G6639" s="8" t="n"/>
    </row>
    <row r="6640">
      <c r="G6640" s="8" t="n"/>
    </row>
    <row r="6641">
      <c r="G6641" s="8" t="n"/>
    </row>
    <row r="6642">
      <c r="G6642" s="8" t="n"/>
    </row>
    <row r="6643">
      <c r="G6643" s="8" t="n"/>
    </row>
    <row r="6644">
      <c r="G6644" s="8" t="n"/>
    </row>
    <row r="6645">
      <c r="G6645" s="8" t="n"/>
    </row>
    <row r="6646">
      <c r="G6646" s="8" t="n"/>
    </row>
    <row r="6647">
      <c r="G6647" s="8" t="n"/>
    </row>
    <row r="6648">
      <c r="G6648" s="8" t="n"/>
    </row>
    <row r="6649">
      <c r="G6649" s="8" t="n"/>
    </row>
    <row r="6650">
      <c r="G6650" s="8" t="n"/>
    </row>
    <row r="6651">
      <c r="G6651" s="8" t="n"/>
    </row>
    <row r="6652">
      <c r="G6652" s="8" t="n"/>
    </row>
    <row r="6653">
      <c r="G6653" s="8" t="n"/>
    </row>
    <row r="6654">
      <c r="G6654" s="8" t="n"/>
    </row>
    <row r="6655">
      <c r="G6655" s="8" t="n"/>
    </row>
    <row r="6656">
      <c r="G6656" s="8" t="n"/>
    </row>
    <row r="6657">
      <c r="G6657" s="8" t="n"/>
    </row>
    <row r="6658">
      <c r="G6658" s="8" t="n"/>
    </row>
    <row r="6659">
      <c r="G6659" s="8" t="n"/>
    </row>
    <row r="6660">
      <c r="G6660" s="8" t="n"/>
    </row>
    <row r="6661">
      <c r="G6661" s="8" t="n"/>
    </row>
    <row r="6662">
      <c r="G6662" s="8" t="n"/>
    </row>
    <row r="6663">
      <c r="G6663" s="8" t="n"/>
    </row>
    <row r="6664">
      <c r="G6664" s="8" t="n"/>
    </row>
    <row r="6665">
      <c r="G6665" s="8" t="n"/>
    </row>
    <row r="6666">
      <c r="G6666" s="8" t="n"/>
    </row>
    <row r="6667">
      <c r="G6667" s="8" t="n"/>
    </row>
    <row r="6668">
      <c r="G6668" s="8" t="n"/>
    </row>
    <row r="6669">
      <c r="G6669" s="8" t="n"/>
    </row>
    <row r="6670">
      <c r="G6670" s="8" t="n"/>
    </row>
    <row r="6671">
      <c r="G6671" s="8" t="n"/>
    </row>
    <row r="6672">
      <c r="G6672" s="8" t="n"/>
    </row>
    <row r="6673">
      <c r="G6673" s="8" t="n"/>
    </row>
    <row r="6674">
      <c r="G6674" s="8" t="n"/>
    </row>
    <row r="6675">
      <c r="G6675" s="8" t="n"/>
    </row>
    <row r="6676">
      <c r="G6676" s="8" t="n"/>
    </row>
    <row r="6677">
      <c r="G6677" s="8" t="n"/>
    </row>
    <row r="6678">
      <c r="G6678" s="8" t="n"/>
    </row>
    <row r="6679">
      <c r="G6679" s="8" t="n"/>
    </row>
    <row r="6680">
      <c r="G6680" s="8" t="n"/>
    </row>
    <row r="6681">
      <c r="G6681" s="8" t="n"/>
    </row>
    <row r="6682">
      <c r="G6682" s="8" t="n"/>
    </row>
    <row r="6683">
      <c r="G6683" s="8" t="n"/>
    </row>
    <row r="6684">
      <c r="G6684" s="8" t="n"/>
    </row>
    <row r="6685">
      <c r="G6685" s="8" t="n"/>
    </row>
    <row r="6686">
      <c r="G6686" s="8" t="n"/>
    </row>
    <row r="6687">
      <c r="G6687" s="8" t="n"/>
    </row>
    <row r="6688">
      <c r="G6688" s="8" t="n"/>
    </row>
    <row r="6689">
      <c r="G6689" s="8" t="n"/>
    </row>
    <row r="6690">
      <c r="G6690" s="8" t="n"/>
    </row>
    <row r="6691">
      <c r="G6691" s="8" t="n"/>
    </row>
    <row r="6692">
      <c r="G6692" s="8" t="n"/>
    </row>
    <row r="6693">
      <c r="G6693" s="8" t="n"/>
    </row>
    <row r="6694">
      <c r="G6694" s="8" t="n"/>
    </row>
    <row r="6695">
      <c r="G6695" s="8" t="n"/>
    </row>
    <row r="6696">
      <c r="G6696" s="8" t="n"/>
    </row>
    <row r="6697">
      <c r="G6697" s="8" t="n"/>
    </row>
    <row r="6698">
      <c r="G6698" s="8" t="n"/>
    </row>
    <row r="6699">
      <c r="G6699" s="8" t="n"/>
    </row>
    <row r="6700">
      <c r="G6700" s="8" t="n"/>
    </row>
    <row r="6701">
      <c r="G6701" s="8" t="n"/>
    </row>
    <row r="6702">
      <c r="G6702" s="8" t="n"/>
    </row>
    <row r="6703">
      <c r="G6703" s="8" t="n"/>
    </row>
    <row r="6704">
      <c r="G6704" s="8" t="n"/>
    </row>
    <row r="6705">
      <c r="G6705" s="8" t="n"/>
    </row>
    <row r="6706">
      <c r="G6706" s="8" t="n"/>
    </row>
    <row r="6707">
      <c r="G6707" s="8" t="n"/>
    </row>
    <row r="6708">
      <c r="G6708" s="8" t="n"/>
    </row>
    <row r="6709">
      <c r="G6709" s="8" t="n"/>
    </row>
    <row r="6710">
      <c r="G6710" s="8" t="n"/>
    </row>
    <row r="6711">
      <c r="G6711" s="8" t="n"/>
    </row>
    <row r="6712">
      <c r="G6712" s="8" t="n"/>
    </row>
    <row r="6713">
      <c r="G6713" s="8" t="n"/>
    </row>
    <row r="6714">
      <c r="G6714" s="8" t="n"/>
    </row>
    <row r="6715">
      <c r="G6715" s="8" t="n"/>
    </row>
    <row r="6716">
      <c r="G6716" s="8" t="n"/>
    </row>
    <row r="6717">
      <c r="G6717" s="8" t="n"/>
    </row>
    <row r="6718">
      <c r="G6718" s="8" t="n"/>
    </row>
    <row r="6719">
      <c r="G6719" s="8" t="n"/>
    </row>
    <row r="6720">
      <c r="G6720" s="8" t="n"/>
    </row>
    <row r="6721">
      <c r="G6721" s="8" t="n"/>
    </row>
    <row r="6722">
      <c r="G6722" s="8" t="n"/>
    </row>
    <row r="6723">
      <c r="G6723" s="8" t="n"/>
    </row>
    <row r="6724">
      <c r="G6724" s="8" t="n"/>
    </row>
    <row r="6725">
      <c r="G6725" s="8" t="n"/>
    </row>
    <row r="6726">
      <c r="G6726" s="8" t="n"/>
    </row>
    <row r="6727">
      <c r="G6727" s="8" t="n"/>
    </row>
    <row r="6728">
      <c r="G6728" s="8" t="n"/>
    </row>
    <row r="6729">
      <c r="G6729" s="8" t="n"/>
    </row>
    <row r="6730">
      <c r="G6730" s="8" t="n"/>
    </row>
    <row r="6731">
      <c r="G6731" s="8" t="n"/>
    </row>
    <row r="6732">
      <c r="G6732" s="8" t="n"/>
    </row>
    <row r="6733">
      <c r="G6733" s="8" t="n"/>
    </row>
    <row r="6734">
      <c r="G6734" s="8" t="n"/>
    </row>
    <row r="6735">
      <c r="G6735" s="8" t="n"/>
    </row>
    <row r="6736">
      <c r="G6736" s="8" t="n"/>
    </row>
    <row r="6737">
      <c r="G6737" s="8" t="n"/>
    </row>
    <row r="6738">
      <c r="G6738" s="8" t="n"/>
    </row>
    <row r="6739">
      <c r="G6739" s="8" t="n"/>
    </row>
    <row r="6740">
      <c r="G6740" s="8" t="n"/>
    </row>
    <row r="6741">
      <c r="G6741" s="8" t="n"/>
    </row>
    <row r="6742">
      <c r="G6742" s="8" t="n"/>
    </row>
    <row r="6743">
      <c r="G6743" s="8" t="n"/>
    </row>
    <row r="6744">
      <c r="G6744" s="8" t="n"/>
    </row>
    <row r="6745">
      <c r="G6745" s="8" t="n"/>
    </row>
    <row r="6746">
      <c r="G6746" s="8" t="n"/>
    </row>
    <row r="6747">
      <c r="G6747" s="8" t="n"/>
    </row>
    <row r="6748">
      <c r="G6748" s="8" t="n"/>
    </row>
    <row r="6749">
      <c r="G6749" s="8" t="n"/>
    </row>
    <row r="6750">
      <c r="G6750" s="8" t="n"/>
    </row>
    <row r="6751">
      <c r="G6751" s="8" t="n"/>
    </row>
    <row r="6752">
      <c r="G6752" s="8" t="n"/>
    </row>
    <row r="6753">
      <c r="G6753" s="8" t="n"/>
    </row>
    <row r="6754">
      <c r="G6754" s="8" t="n"/>
    </row>
    <row r="6755">
      <c r="G6755" s="8" t="n"/>
    </row>
    <row r="6756">
      <c r="G6756" s="8" t="n"/>
    </row>
    <row r="6757">
      <c r="G6757" s="8" t="n"/>
    </row>
    <row r="6758">
      <c r="G6758" s="8" t="n"/>
    </row>
    <row r="6759">
      <c r="G6759" s="8" t="n"/>
    </row>
    <row r="6760">
      <c r="G6760" s="8" t="n"/>
    </row>
    <row r="6761">
      <c r="G6761" s="8" t="n"/>
    </row>
    <row r="6762">
      <c r="G6762" s="8" t="n"/>
    </row>
    <row r="6763">
      <c r="G6763" s="8" t="n"/>
    </row>
    <row r="6764">
      <c r="G6764" s="8" t="n"/>
    </row>
    <row r="6765">
      <c r="G6765" s="8" t="n"/>
    </row>
    <row r="6766">
      <c r="G6766" s="8" t="n"/>
    </row>
    <row r="6767">
      <c r="G6767" s="8" t="n"/>
    </row>
    <row r="6768">
      <c r="G6768" s="8" t="n"/>
    </row>
    <row r="6769">
      <c r="G6769" s="8" t="n"/>
    </row>
    <row r="6770">
      <c r="G6770" s="8" t="n"/>
    </row>
    <row r="6771">
      <c r="G6771" s="8" t="n"/>
    </row>
    <row r="6772">
      <c r="G6772" s="8" t="n"/>
    </row>
    <row r="6773">
      <c r="G6773" s="8" t="n"/>
    </row>
    <row r="6774">
      <c r="G6774" s="8" t="n"/>
    </row>
    <row r="6775">
      <c r="G6775" s="8" t="n"/>
    </row>
    <row r="6776">
      <c r="G6776" s="8" t="n"/>
    </row>
    <row r="6777">
      <c r="G6777" s="8" t="n"/>
    </row>
    <row r="6778">
      <c r="G6778" s="8" t="n"/>
    </row>
    <row r="6779">
      <c r="G6779" s="8" t="n"/>
    </row>
    <row r="6780">
      <c r="G6780" s="8" t="n"/>
    </row>
    <row r="6781">
      <c r="G6781" s="8" t="n"/>
    </row>
    <row r="6782">
      <c r="G6782" s="8" t="n"/>
    </row>
    <row r="6783">
      <c r="G6783" s="8" t="n"/>
    </row>
    <row r="6784">
      <c r="G6784" s="8" t="n"/>
    </row>
    <row r="6785">
      <c r="G6785" s="8" t="n"/>
    </row>
    <row r="6786">
      <c r="G6786" s="8" t="n"/>
    </row>
    <row r="6787">
      <c r="G6787" s="8" t="n"/>
    </row>
    <row r="6788">
      <c r="G6788" s="8" t="n"/>
    </row>
    <row r="6789">
      <c r="G6789" s="8" t="n"/>
    </row>
    <row r="6790">
      <c r="G6790" s="8" t="n"/>
    </row>
    <row r="6791">
      <c r="G6791" s="8" t="n"/>
    </row>
    <row r="6792">
      <c r="G6792" s="8" t="n"/>
    </row>
    <row r="6793">
      <c r="G6793" s="8" t="n"/>
    </row>
    <row r="6794">
      <c r="G6794" s="8" t="n"/>
    </row>
    <row r="6795">
      <c r="G6795" s="8" t="n"/>
    </row>
    <row r="6796">
      <c r="G6796" s="8" t="n"/>
    </row>
    <row r="6797">
      <c r="G6797" s="8" t="n"/>
    </row>
    <row r="6798">
      <c r="G6798" s="8" t="n"/>
    </row>
    <row r="6799">
      <c r="G6799" s="8" t="n"/>
    </row>
    <row r="6800">
      <c r="G6800" s="8" t="n"/>
    </row>
    <row r="6801">
      <c r="G6801" s="8" t="n"/>
    </row>
    <row r="6802">
      <c r="G6802" s="8" t="n"/>
    </row>
    <row r="6803">
      <c r="G6803" s="8" t="n"/>
    </row>
    <row r="6804">
      <c r="G6804" s="8" t="n"/>
    </row>
    <row r="6805">
      <c r="G6805" s="8" t="n"/>
    </row>
    <row r="6806">
      <c r="G6806" s="8" t="n"/>
    </row>
    <row r="6807">
      <c r="G6807" s="8" t="n"/>
    </row>
    <row r="6808">
      <c r="G6808" s="8" t="n"/>
    </row>
    <row r="6809">
      <c r="G6809" s="8" t="n"/>
    </row>
    <row r="6810">
      <c r="G6810" s="8" t="n"/>
    </row>
    <row r="6811">
      <c r="G6811" s="8" t="n"/>
    </row>
    <row r="6812">
      <c r="G6812" s="8" t="n"/>
    </row>
    <row r="6813">
      <c r="G6813" s="8" t="n"/>
    </row>
    <row r="6814">
      <c r="G6814" s="8" t="n"/>
    </row>
    <row r="6815">
      <c r="G6815" s="8" t="n"/>
    </row>
    <row r="6816">
      <c r="G6816" s="8" t="n"/>
    </row>
    <row r="6817">
      <c r="G6817" s="8" t="n"/>
    </row>
    <row r="6818">
      <c r="G6818" s="8" t="n"/>
    </row>
    <row r="6819">
      <c r="G6819" s="8" t="n"/>
    </row>
    <row r="6820">
      <c r="G6820" s="8" t="n"/>
    </row>
    <row r="6821">
      <c r="G6821" s="8" t="n"/>
    </row>
    <row r="6822">
      <c r="G6822" s="8" t="n"/>
    </row>
    <row r="6823">
      <c r="G6823" s="8" t="n"/>
    </row>
    <row r="6824">
      <c r="G6824" s="8" t="n"/>
    </row>
    <row r="6825">
      <c r="G6825" s="8" t="n"/>
    </row>
    <row r="6826">
      <c r="G6826" s="8" t="n"/>
    </row>
    <row r="6827">
      <c r="G6827" s="8" t="n"/>
    </row>
    <row r="6828">
      <c r="G6828" s="8" t="n"/>
    </row>
    <row r="6829">
      <c r="G6829" s="8" t="n"/>
    </row>
    <row r="6830">
      <c r="G6830" s="8" t="n"/>
    </row>
    <row r="6831">
      <c r="G6831" s="8" t="n"/>
    </row>
    <row r="6832">
      <c r="G6832" s="8" t="n"/>
    </row>
    <row r="6833">
      <c r="G6833" s="8" t="n"/>
    </row>
    <row r="6834">
      <c r="G6834" s="8" t="n"/>
    </row>
    <row r="6835">
      <c r="G6835" s="8" t="n"/>
    </row>
    <row r="6836">
      <c r="G6836" s="8" t="n"/>
    </row>
    <row r="6837">
      <c r="G6837" s="8" t="n"/>
    </row>
    <row r="6838">
      <c r="G6838" s="8" t="n"/>
    </row>
    <row r="6839">
      <c r="G6839" s="8" t="n"/>
    </row>
    <row r="6840">
      <c r="G6840" s="8" t="n"/>
    </row>
    <row r="6841">
      <c r="G6841" s="8" t="n"/>
    </row>
    <row r="6842">
      <c r="G6842" s="8" t="n"/>
    </row>
    <row r="6843">
      <c r="G6843" s="8" t="n"/>
    </row>
    <row r="6844">
      <c r="G6844" s="8" t="n"/>
    </row>
    <row r="6845">
      <c r="G6845" s="8" t="n"/>
    </row>
    <row r="6846">
      <c r="G6846" s="8" t="n"/>
    </row>
    <row r="6847">
      <c r="G6847" s="8" t="n"/>
    </row>
    <row r="6848">
      <c r="G6848" s="8" t="n"/>
    </row>
    <row r="6849">
      <c r="G6849" s="8" t="n"/>
    </row>
    <row r="6850">
      <c r="G6850" s="8" t="n"/>
    </row>
    <row r="6851">
      <c r="G6851" s="8" t="n"/>
    </row>
    <row r="6852">
      <c r="G6852" s="8" t="n"/>
    </row>
    <row r="6853">
      <c r="G6853" s="8" t="n"/>
    </row>
    <row r="6854">
      <c r="G6854" s="8" t="n"/>
    </row>
    <row r="6855">
      <c r="G6855" s="8" t="n"/>
    </row>
    <row r="6856">
      <c r="G6856" s="8" t="n"/>
    </row>
    <row r="6857">
      <c r="G6857" s="8" t="n"/>
    </row>
    <row r="6858">
      <c r="G6858" s="8" t="n"/>
    </row>
    <row r="6859">
      <c r="G6859" s="8" t="n"/>
    </row>
    <row r="6860">
      <c r="G6860" s="8" t="n"/>
    </row>
    <row r="6861">
      <c r="G6861" s="8" t="n"/>
    </row>
    <row r="6862">
      <c r="G6862" s="8" t="n"/>
    </row>
    <row r="6863">
      <c r="G6863" s="8" t="n"/>
    </row>
    <row r="6864">
      <c r="G6864" s="8" t="n"/>
    </row>
    <row r="6865">
      <c r="G6865" s="8" t="n"/>
    </row>
    <row r="6866">
      <c r="G6866" s="8" t="n"/>
    </row>
    <row r="6867">
      <c r="G6867" s="8" t="n"/>
    </row>
    <row r="6868">
      <c r="G6868" s="8" t="n"/>
    </row>
    <row r="6869">
      <c r="G6869" s="8" t="n"/>
    </row>
    <row r="6870">
      <c r="G6870" s="8" t="n"/>
    </row>
    <row r="6871">
      <c r="G6871" s="8" t="n"/>
    </row>
    <row r="6872">
      <c r="G6872" s="8" t="n"/>
    </row>
    <row r="6873">
      <c r="G6873" s="8" t="n"/>
    </row>
    <row r="6874">
      <c r="G6874" s="8" t="n"/>
    </row>
    <row r="6875">
      <c r="G6875" s="8" t="n"/>
    </row>
    <row r="6876">
      <c r="G6876" s="8" t="n"/>
    </row>
    <row r="6877">
      <c r="G6877" s="8" t="n"/>
    </row>
    <row r="6878">
      <c r="G6878" s="8" t="n"/>
    </row>
    <row r="6879">
      <c r="G6879" s="8" t="n"/>
    </row>
    <row r="6880">
      <c r="G6880" s="8" t="n"/>
    </row>
    <row r="6881">
      <c r="G6881" s="8" t="n"/>
    </row>
    <row r="6882">
      <c r="G6882" s="8" t="n"/>
    </row>
    <row r="6883">
      <c r="G6883" s="8" t="n"/>
    </row>
    <row r="6884">
      <c r="G6884" s="8" t="n"/>
    </row>
    <row r="6885">
      <c r="G6885" s="8" t="n"/>
    </row>
    <row r="6886">
      <c r="G6886" s="8" t="n"/>
    </row>
    <row r="6887">
      <c r="G6887" s="8" t="n"/>
    </row>
    <row r="6888">
      <c r="G6888" s="8" t="n"/>
    </row>
    <row r="6889">
      <c r="G6889" s="8" t="n"/>
    </row>
    <row r="6890">
      <c r="G6890" s="8" t="n"/>
    </row>
    <row r="6891">
      <c r="G6891" s="8" t="n"/>
    </row>
    <row r="6892">
      <c r="G6892" s="8" t="n"/>
    </row>
    <row r="6893">
      <c r="G6893" s="8" t="n"/>
    </row>
    <row r="6894">
      <c r="G6894" s="8" t="n"/>
    </row>
    <row r="6895">
      <c r="G6895" s="8" t="n"/>
    </row>
    <row r="6896">
      <c r="G6896" s="8" t="n"/>
    </row>
    <row r="6897">
      <c r="G6897" s="8" t="n"/>
    </row>
    <row r="6898">
      <c r="G6898" s="8" t="n"/>
    </row>
    <row r="6899">
      <c r="G6899" s="8" t="n"/>
    </row>
    <row r="6900">
      <c r="G6900" s="8" t="n"/>
    </row>
    <row r="6901">
      <c r="G6901" s="8" t="n"/>
    </row>
    <row r="6902">
      <c r="G6902" s="8" t="n"/>
    </row>
    <row r="6903">
      <c r="G6903" s="8" t="n"/>
    </row>
    <row r="6904">
      <c r="G6904" s="8" t="n"/>
    </row>
    <row r="6905">
      <c r="G6905" s="8" t="n"/>
    </row>
    <row r="6906">
      <c r="G6906" s="8" t="n"/>
    </row>
    <row r="6907">
      <c r="G6907" s="8" t="n"/>
    </row>
    <row r="6908">
      <c r="G6908" s="8" t="n"/>
    </row>
    <row r="6909">
      <c r="G6909" s="8" t="n"/>
    </row>
    <row r="6910">
      <c r="G6910" s="8" t="n"/>
    </row>
    <row r="6911">
      <c r="G6911" s="8" t="n"/>
    </row>
    <row r="6912">
      <c r="G6912" s="8" t="n"/>
    </row>
    <row r="6913">
      <c r="G6913" s="8" t="n"/>
    </row>
    <row r="6914">
      <c r="G6914" s="8" t="n"/>
    </row>
    <row r="6915">
      <c r="G6915" s="8" t="n"/>
    </row>
    <row r="6916">
      <c r="G6916" s="8" t="n"/>
    </row>
    <row r="6917">
      <c r="G6917" s="8" t="n"/>
    </row>
    <row r="6918">
      <c r="G6918" s="8" t="n"/>
    </row>
    <row r="6919">
      <c r="G6919" s="8" t="n"/>
    </row>
    <row r="6920">
      <c r="G6920" s="8" t="n"/>
    </row>
    <row r="6921">
      <c r="G6921" s="8" t="n"/>
    </row>
    <row r="6922">
      <c r="G6922" s="8" t="n"/>
    </row>
    <row r="6923">
      <c r="G6923" s="8" t="n"/>
    </row>
    <row r="6924">
      <c r="G6924" s="8" t="n"/>
    </row>
    <row r="6925">
      <c r="G6925" s="8" t="n"/>
    </row>
    <row r="6926">
      <c r="G6926" s="8" t="n"/>
    </row>
    <row r="6927">
      <c r="G6927" s="8" t="n"/>
    </row>
    <row r="6928">
      <c r="G6928" s="8" t="n"/>
    </row>
    <row r="6929">
      <c r="G6929" s="8" t="n"/>
    </row>
    <row r="6930">
      <c r="G6930" s="8" t="n"/>
    </row>
    <row r="6931">
      <c r="G6931" s="8" t="n"/>
    </row>
    <row r="6932">
      <c r="G6932" s="8" t="n"/>
    </row>
    <row r="6933">
      <c r="G6933" s="8" t="n"/>
    </row>
    <row r="6934">
      <c r="G6934" s="8" t="n"/>
    </row>
    <row r="6935">
      <c r="G6935" s="8" t="n"/>
    </row>
    <row r="6936">
      <c r="G6936" s="8" t="n"/>
    </row>
    <row r="6937">
      <c r="G6937" s="8" t="n"/>
    </row>
    <row r="6938">
      <c r="G6938" s="8" t="n"/>
    </row>
    <row r="6939">
      <c r="G6939" s="8" t="n"/>
    </row>
    <row r="6940">
      <c r="G6940" s="8" t="n"/>
    </row>
    <row r="6941">
      <c r="G6941" s="8" t="n"/>
    </row>
    <row r="6942">
      <c r="G6942" s="8" t="n"/>
    </row>
    <row r="6943">
      <c r="G6943" s="8" t="n"/>
    </row>
    <row r="6944">
      <c r="G6944" s="8" t="n"/>
    </row>
    <row r="6945">
      <c r="G6945" s="8" t="n"/>
    </row>
    <row r="6946">
      <c r="G6946" s="8" t="n"/>
    </row>
    <row r="6947">
      <c r="G6947" s="8" t="n"/>
    </row>
    <row r="6948">
      <c r="G6948" s="8" t="n"/>
    </row>
    <row r="6949">
      <c r="G6949" s="8" t="n"/>
    </row>
    <row r="6950">
      <c r="G6950" s="8" t="n"/>
    </row>
    <row r="6951">
      <c r="G6951" s="8" t="n"/>
    </row>
    <row r="6952">
      <c r="G6952" s="8" t="n"/>
    </row>
    <row r="6953">
      <c r="G6953" s="8" t="n"/>
    </row>
    <row r="6954">
      <c r="G6954" s="8" t="n"/>
    </row>
    <row r="6955">
      <c r="G6955" s="8" t="n"/>
    </row>
    <row r="6956">
      <c r="G6956" s="8" t="n"/>
    </row>
    <row r="6957">
      <c r="G6957" s="8" t="n"/>
    </row>
    <row r="6958">
      <c r="G6958" s="8" t="n"/>
    </row>
    <row r="6959">
      <c r="G6959" s="8" t="n"/>
    </row>
    <row r="6960">
      <c r="G6960" s="8" t="n"/>
    </row>
    <row r="6961">
      <c r="G6961" s="8" t="n"/>
    </row>
    <row r="6962">
      <c r="G6962" s="8" t="n"/>
    </row>
    <row r="6963">
      <c r="G6963" s="8" t="n"/>
    </row>
    <row r="6964">
      <c r="G6964" s="8" t="n"/>
    </row>
    <row r="6965">
      <c r="G6965" s="8" t="n"/>
    </row>
    <row r="6966">
      <c r="G6966" s="8" t="n"/>
    </row>
    <row r="6967">
      <c r="G6967" s="8" t="n"/>
    </row>
    <row r="6968">
      <c r="G6968" s="8" t="n"/>
    </row>
    <row r="6969">
      <c r="G6969" s="8" t="n"/>
    </row>
    <row r="6970">
      <c r="G6970" s="8" t="n"/>
    </row>
    <row r="6971">
      <c r="G6971" s="8" t="n"/>
    </row>
    <row r="6972">
      <c r="G6972" s="8" t="n"/>
    </row>
    <row r="6973">
      <c r="G6973" s="8" t="n"/>
    </row>
    <row r="6974">
      <c r="G6974" s="8" t="n"/>
    </row>
    <row r="6975">
      <c r="G6975" s="8" t="n"/>
    </row>
    <row r="6976">
      <c r="G6976" s="8" t="n"/>
    </row>
    <row r="6977">
      <c r="G6977" s="8" t="n"/>
    </row>
    <row r="6978">
      <c r="G6978" s="8" t="n"/>
    </row>
    <row r="6979">
      <c r="G6979" s="8" t="n"/>
    </row>
    <row r="6980">
      <c r="G6980" s="8" t="n"/>
    </row>
    <row r="6981">
      <c r="G6981" s="8" t="n"/>
    </row>
    <row r="6982">
      <c r="G6982" s="8" t="n"/>
    </row>
    <row r="6983">
      <c r="G6983" s="8" t="n"/>
    </row>
    <row r="6984">
      <c r="G6984" s="8" t="n"/>
    </row>
    <row r="6985">
      <c r="G6985" s="8" t="n"/>
    </row>
    <row r="6986">
      <c r="G6986" s="8" t="n"/>
    </row>
    <row r="6987">
      <c r="G6987" s="8" t="n"/>
    </row>
    <row r="6988">
      <c r="G6988" s="8" t="n"/>
    </row>
    <row r="6989">
      <c r="G6989" s="8" t="n"/>
    </row>
    <row r="6990">
      <c r="G6990" s="8" t="n"/>
    </row>
    <row r="6991">
      <c r="G6991" s="8" t="n"/>
    </row>
    <row r="6992">
      <c r="G6992" s="8" t="n"/>
    </row>
    <row r="6993">
      <c r="G6993" s="8" t="n"/>
    </row>
    <row r="6994">
      <c r="G6994" s="8" t="n"/>
    </row>
    <row r="6995">
      <c r="G6995" s="8" t="n"/>
    </row>
    <row r="6996">
      <c r="G6996" s="8" t="n"/>
    </row>
    <row r="6997">
      <c r="G6997" s="8" t="n"/>
    </row>
    <row r="6998">
      <c r="G6998" s="8" t="n"/>
    </row>
    <row r="6999">
      <c r="G6999" s="8" t="n"/>
    </row>
    <row r="7000">
      <c r="G7000" s="8" t="n"/>
    </row>
    <row r="7001">
      <c r="G7001" s="8" t="n"/>
    </row>
    <row r="7002">
      <c r="G7002" s="8" t="n"/>
    </row>
    <row r="7003">
      <c r="G7003" s="8" t="n"/>
    </row>
    <row r="7004">
      <c r="G7004" s="8" t="n"/>
    </row>
    <row r="7005">
      <c r="G7005" s="8" t="n"/>
    </row>
    <row r="7006">
      <c r="G7006" s="8" t="n"/>
    </row>
    <row r="7007">
      <c r="G7007" s="8" t="n"/>
    </row>
    <row r="7008">
      <c r="G7008" s="8" t="n"/>
    </row>
    <row r="7009">
      <c r="G7009" s="8" t="n"/>
    </row>
    <row r="7010">
      <c r="G7010" s="8" t="n"/>
    </row>
    <row r="7011">
      <c r="G7011" s="8" t="n"/>
    </row>
    <row r="7012">
      <c r="G7012" s="8" t="n"/>
    </row>
    <row r="7013">
      <c r="G7013" s="8" t="n"/>
    </row>
    <row r="7014">
      <c r="G7014" s="8" t="n"/>
    </row>
    <row r="7015">
      <c r="G7015" s="8" t="n"/>
    </row>
    <row r="7016">
      <c r="G7016" s="8" t="n"/>
    </row>
    <row r="7017">
      <c r="G7017" s="8" t="n"/>
    </row>
    <row r="7018">
      <c r="G7018" s="8" t="n"/>
    </row>
    <row r="7019">
      <c r="G7019" s="8" t="n"/>
    </row>
    <row r="7020">
      <c r="G7020" s="8" t="n"/>
    </row>
    <row r="7021">
      <c r="G7021" s="8" t="n"/>
    </row>
    <row r="7022">
      <c r="G7022" s="8" t="n"/>
    </row>
    <row r="7023">
      <c r="G7023" s="8" t="n"/>
    </row>
    <row r="7024">
      <c r="G7024" s="8" t="n"/>
    </row>
    <row r="7025">
      <c r="G7025" s="8" t="n"/>
    </row>
    <row r="7026">
      <c r="G7026" s="8" t="n"/>
    </row>
    <row r="7027">
      <c r="G7027" s="8" t="n"/>
    </row>
    <row r="7028">
      <c r="G7028" s="8" t="n"/>
    </row>
    <row r="7029">
      <c r="G7029" s="8" t="n"/>
    </row>
    <row r="7030">
      <c r="G7030" s="8" t="n"/>
    </row>
    <row r="7031">
      <c r="G7031" s="8" t="n"/>
    </row>
    <row r="7032">
      <c r="G7032" s="8" t="n"/>
    </row>
    <row r="7033">
      <c r="G7033" s="8" t="n"/>
    </row>
    <row r="7034">
      <c r="G7034" s="8" t="n"/>
    </row>
    <row r="7035">
      <c r="G7035" s="8" t="n"/>
    </row>
    <row r="7036">
      <c r="G7036" s="8" t="n"/>
    </row>
    <row r="7037">
      <c r="G7037" s="8" t="n"/>
    </row>
    <row r="7038">
      <c r="G7038" s="8" t="n"/>
    </row>
    <row r="7039">
      <c r="G7039" s="8" t="n"/>
    </row>
    <row r="7040">
      <c r="G7040" s="8" t="n"/>
    </row>
    <row r="7041">
      <c r="G7041" s="8" t="n"/>
    </row>
    <row r="7042">
      <c r="G7042" s="8" t="n"/>
    </row>
    <row r="7043">
      <c r="G7043" s="8" t="n"/>
    </row>
    <row r="7044">
      <c r="G7044" s="8" t="n"/>
    </row>
    <row r="7045">
      <c r="G7045" s="8" t="n"/>
    </row>
    <row r="7046">
      <c r="G7046" s="8" t="n"/>
    </row>
    <row r="7047">
      <c r="G7047" s="8" t="n"/>
    </row>
    <row r="7048">
      <c r="G7048" s="8" t="n"/>
    </row>
    <row r="7049">
      <c r="G7049" s="8" t="n"/>
    </row>
    <row r="7050">
      <c r="G7050" s="8" t="n"/>
    </row>
    <row r="7051">
      <c r="G7051" s="8" t="n"/>
    </row>
    <row r="7052">
      <c r="G7052" s="8" t="n"/>
    </row>
    <row r="7053">
      <c r="G7053" s="8" t="n"/>
    </row>
    <row r="7054">
      <c r="G7054" s="8" t="n"/>
    </row>
    <row r="7055">
      <c r="G7055" s="8" t="n"/>
    </row>
    <row r="7056">
      <c r="G7056" s="8" t="n"/>
    </row>
    <row r="7057">
      <c r="G7057" s="8" t="n"/>
    </row>
    <row r="7058">
      <c r="G7058" s="8" t="n"/>
    </row>
    <row r="7059">
      <c r="G7059" s="8" t="n"/>
    </row>
    <row r="7060">
      <c r="G7060" s="8" t="n"/>
    </row>
    <row r="7061">
      <c r="G7061" s="8" t="n"/>
    </row>
    <row r="7062">
      <c r="G7062" s="8" t="n"/>
    </row>
    <row r="7063">
      <c r="G7063" s="8" t="n"/>
    </row>
    <row r="7064">
      <c r="G7064" s="8" t="n"/>
    </row>
    <row r="7065">
      <c r="G7065" s="8" t="n"/>
    </row>
    <row r="7066">
      <c r="G7066" s="8" t="n"/>
    </row>
    <row r="7067">
      <c r="G7067" s="8" t="n"/>
    </row>
    <row r="7068">
      <c r="G7068" s="8" t="n"/>
    </row>
    <row r="7069">
      <c r="G7069" s="8" t="n"/>
    </row>
    <row r="7070">
      <c r="G7070" s="8" t="n"/>
    </row>
    <row r="7071">
      <c r="G7071" s="8" t="n"/>
    </row>
    <row r="7072">
      <c r="G7072" s="8" t="n"/>
    </row>
    <row r="7073">
      <c r="G7073" s="8" t="n"/>
    </row>
    <row r="7074">
      <c r="G7074" s="8" t="n"/>
    </row>
    <row r="7075">
      <c r="G7075" s="8" t="n"/>
    </row>
    <row r="7076">
      <c r="G7076" s="8" t="n"/>
    </row>
    <row r="7077">
      <c r="G7077" s="8" t="n"/>
    </row>
    <row r="7078">
      <c r="G7078" s="8" t="n"/>
    </row>
    <row r="7079">
      <c r="G7079" s="8" t="n"/>
    </row>
    <row r="7080">
      <c r="G7080" s="8" t="n"/>
    </row>
    <row r="7081">
      <c r="G7081" s="8" t="n"/>
    </row>
    <row r="7082">
      <c r="G7082" s="8" t="n"/>
    </row>
    <row r="7083">
      <c r="G7083" s="8" t="n"/>
    </row>
    <row r="7084">
      <c r="G7084" s="8" t="n"/>
    </row>
    <row r="7085">
      <c r="G7085" s="8" t="n"/>
    </row>
    <row r="7086">
      <c r="G7086" s="8" t="n"/>
    </row>
    <row r="7087">
      <c r="G7087" s="8" t="n"/>
    </row>
    <row r="7088">
      <c r="G7088" s="8" t="n"/>
    </row>
    <row r="7089">
      <c r="G7089" s="8" t="n"/>
    </row>
    <row r="7090">
      <c r="G7090" s="8" t="n"/>
    </row>
    <row r="7091">
      <c r="G7091" s="8" t="n"/>
    </row>
    <row r="7092">
      <c r="G7092" s="8" t="n"/>
    </row>
    <row r="7093">
      <c r="G7093" s="8" t="n"/>
    </row>
    <row r="7094">
      <c r="G7094" s="8" t="n"/>
    </row>
    <row r="7095">
      <c r="G7095" s="8" t="n"/>
    </row>
    <row r="7096">
      <c r="G7096" s="8" t="n"/>
    </row>
    <row r="7097">
      <c r="G7097" s="8" t="n"/>
    </row>
    <row r="7098">
      <c r="G7098" s="8" t="n"/>
    </row>
    <row r="7099">
      <c r="G7099" s="8" t="n"/>
    </row>
    <row r="7100">
      <c r="G7100" s="8" t="n"/>
    </row>
    <row r="7101">
      <c r="G7101" s="8" t="n"/>
    </row>
    <row r="7102">
      <c r="G7102" s="8" t="n"/>
    </row>
    <row r="7103">
      <c r="G7103" s="8" t="n"/>
    </row>
    <row r="7104">
      <c r="G7104" s="8" t="n"/>
    </row>
    <row r="7105">
      <c r="G7105" s="8" t="n"/>
    </row>
    <row r="7106">
      <c r="G7106" s="8" t="n"/>
    </row>
    <row r="7107">
      <c r="G7107" s="8" t="n"/>
    </row>
    <row r="7108">
      <c r="G7108" s="8" t="n"/>
    </row>
    <row r="7109">
      <c r="G7109" s="8" t="n"/>
    </row>
    <row r="7110">
      <c r="G7110" s="8" t="n"/>
    </row>
    <row r="7111">
      <c r="G7111" s="8" t="n"/>
    </row>
    <row r="7112">
      <c r="G7112" s="8" t="n"/>
    </row>
    <row r="7113">
      <c r="G7113" s="8" t="n"/>
    </row>
    <row r="7114">
      <c r="G7114" s="8" t="n"/>
    </row>
    <row r="7115">
      <c r="G7115" s="8" t="n"/>
    </row>
    <row r="7116">
      <c r="G7116" s="8" t="n"/>
    </row>
    <row r="7117">
      <c r="G7117" s="8" t="n"/>
    </row>
    <row r="7118">
      <c r="G7118" s="8" t="n"/>
    </row>
    <row r="7119">
      <c r="G7119" s="8" t="n"/>
    </row>
    <row r="7120">
      <c r="G7120" s="8" t="n"/>
    </row>
    <row r="7121">
      <c r="G7121" s="8" t="n"/>
    </row>
    <row r="7122">
      <c r="G7122" s="8" t="n"/>
    </row>
    <row r="7123">
      <c r="G7123" s="8" t="n"/>
    </row>
    <row r="7124">
      <c r="G7124" s="8" t="n"/>
    </row>
    <row r="7125">
      <c r="G7125" s="8" t="n"/>
    </row>
    <row r="7126">
      <c r="G7126" s="8" t="n"/>
    </row>
    <row r="7127">
      <c r="G7127" s="8" t="n"/>
    </row>
    <row r="7128">
      <c r="G7128" s="8" t="n"/>
    </row>
    <row r="7129">
      <c r="G7129" s="8" t="n"/>
    </row>
    <row r="7130">
      <c r="G7130" s="8" t="n"/>
    </row>
    <row r="7131">
      <c r="G7131" s="8" t="n"/>
    </row>
    <row r="7132">
      <c r="G7132" s="8" t="n"/>
    </row>
    <row r="7133">
      <c r="G7133" s="8" t="n"/>
    </row>
    <row r="7134">
      <c r="G7134" s="8" t="n"/>
    </row>
    <row r="7135">
      <c r="G7135" s="8" t="n"/>
    </row>
    <row r="7136">
      <c r="G7136" s="8" t="n"/>
    </row>
    <row r="7137">
      <c r="G7137" s="8" t="n"/>
    </row>
    <row r="7138">
      <c r="G7138" s="8" t="n"/>
    </row>
    <row r="7139">
      <c r="G7139" s="8" t="n"/>
    </row>
    <row r="7140">
      <c r="G7140" s="8" t="n"/>
    </row>
    <row r="7141">
      <c r="G7141" s="8" t="n"/>
    </row>
    <row r="7142">
      <c r="G7142" s="8" t="n"/>
    </row>
    <row r="7143">
      <c r="G7143" s="8" t="n"/>
    </row>
    <row r="7144">
      <c r="G7144" s="8" t="n"/>
    </row>
    <row r="7145">
      <c r="G7145" s="8" t="n"/>
    </row>
    <row r="7146">
      <c r="G7146" s="8" t="n"/>
    </row>
    <row r="7147">
      <c r="G7147" s="8" t="n"/>
    </row>
    <row r="7148">
      <c r="G7148" s="8" t="n"/>
    </row>
    <row r="7149">
      <c r="G7149" s="8" t="n"/>
    </row>
    <row r="7150">
      <c r="G7150" s="8" t="n"/>
    </row>
    <row r="7151">
      <c r="G7151" s="8" t="n"/>
    </row>
    <row r="7152">
      <c r="G7152" s="8" t="n"/>
    </row>
    <row r="7153">
      <c r="G7153" s="8" t="n"/>
    </row>
    <row r="7154">
      <c r="G7154" s="8" t="n"/>
    </row>
    <row r="7155">
      <c r="G7155" s="8" t="n"/>
    </row>
    <row r="7156">
      <c r="G7156" s="8" t="n"/>
    </row>
    <row r="7157">
      <c r="G7157" s="8" t="n"/>
    </row>
    <row r="7158">
      <c r="G7158" s="8" t="n"/>
    </row>
    <row r="7159">
      <c r="G7159" s="8" t="n"/>
    </row>
    <row r="7160">
      <c r="G7160" s="8" t="n"/>
    </row>
    <row r="7161">
      <c r="G7161" s="8" t="n"/>
    </row>
    <row r="7162">
      <c r="G7162" s="8" t="n"/>
    </row>
    <row r="7163">
      <c r="G7163" s="8" t="n"/>
    </row>
    <row r="7164">
      <c r="G7164" s="8" t="n"/>
    </row>
    <row r="7165">
      <c r="G7165" s="8" t="n"/>
    </row>
    <row r="7166">
      <c r="G7166" s="8" t="n"/>
    </row>
    <row r="7167">
      <c r="G7167" s="8" t="n"/>
    </row>
    <row r="7168">
      <c r="G7168" s="8" t="n"/>
    </row>
    <row r="7169">
      <c r="G7169" s="8" t="n"/>
    </row>
    <row r="7170">
      <c r="G7170" s="8" t="n"/>
    </row>
    <row r="7171">
      <c r="G7171" s="8" t="n"/>
    </row>
    <row r="7172">
      <c r="G7172" s="8" t="n"/>
    </row>
    <row r="7173">
      <c r="G7173" s="8" t="n"/>
    </row>
    <row r="7174">
      <c r="G7174" s="8" t="n"/>
    </row>
    <row r="7175">
      <c r="G7175" s="8" t="n"/>
    </row>
    <row r="7176">
      <c r="G7176" s="8" t="n"/>
    </row>
    <row r="7177">
      <c r="G7177" s="8" t="n"/>
    </row>
    <row r="7178">
      <c r="G7178" s="8" t="n"/>
    </row>
    <row r="7179">
      <c r="G7179" s="8" t="n"/>
    </row>
    <row r="7180">
      <c r="G7180" s="8" t="n"/>
    </row>
    <row r="7181">
      <c r="G7181" s="8" t="n"/>
    </row>
    <row r="7182">
      <c r="G7182" s="8" t="n"/>
    </row>
    <row r="7183">
      <c r="G7183" s="8" t="n"/>
    </row>
    <row r="7184">
      <c r="G7184" s="8" t="n"/>
    </row>
    <row r="7185">
      <c r="G7185" s="8" t="n"/>
    </row>
    <row r="7186">
      <c r="G7186" s="8" t="n"/>
    </row>
    <row r="7187">
      <c r="G7187" s="8" t="n"/>
    </row>
    <row r="7188">
      <c r="G7188" s="8" t="n"/>
    </row>
    <row r="7189">
      <c r="G7189" s="8" t="n"/>
    </row>
    <row r="7190">
      <c r="G7190" s="8" t="n"/>
    </row>
    <row r="7191">
      <c r="G7191" s="8" t="n"/>
    </row>
    <row r="7192">
      <c r="G7192" s="8" t="n"/>
    </row>
    <row r="7193">
      <c r="G7193" s="8" t="n"/>
    </row>
    <row r="7194">
      <c r="G7194" s="8" t="n"/>
    </row>
    <row r="7195">
      <c r="G7195" s="8" t="n"/>
    </row>
    <row r="7196">
      <c r="G7196" s="8" t="n"/>
    </row>
    <row r="7197">
      <c r="G7197" s="8" t="n"/>
    </row>
    <row r="7198">
      <c r="G7198" s="8" t="n"/>
    </row>
    <row r="7199">
      <c r="G7199" s="8" t="n"/>
    </row>
    <row r="7200">
      <c r="G7200" s="8" t="n"/>
    </row>
    <row r="7201">
      <c r="G7201" s="8" t="n"/>
    </row>
    <row r="7202">
      <c r="G7202" s="8" t="n"/>
    </row>
    <row r="7203">
      <c r="G7203" s="8" t="n"/>
    </row>
    <row r="7204">
      <c r="G7204" s="8" t="n"/>
    </row>
    <row r="7205">
      <c r="G7205" s="8" t="n"/>
    </row>
    <row r="7206">
      <c r="G7206" s="8" t="n"/>
    </row>
    <row r="7207">
      <c r="G7207" s="8" t="n"/>
    </row>
    <row r="7208">
      <c r="G7208" s="8" t="n"/>
    </row>
    <row r="7209">
      <c r="G7209" s="8" t="n"/>
    </row>
    <row r="7210">
      <c r="G7210" s="8" t="n"/>
    </row>
    <row r="7211">
      <c r="G7211" s="8" t="n"/>
    </row>
    <row r="7212">
      <c r="G7212" s="8" t="n"/>
    </row>
    <row r="7213">
      <c r="G7213" s="8" t="n"/>
    </row>
    <row r="7214">
      <c r="G7214" s="8" t="n"/>
    </row>
    <row r="7215">
      <c r="G7215" s="8" t="n"/>
    </row>
    <row r="7216">
      <c r="G7216" s="8" t="n"/>
    </row>
    <row r="7217">
      <c r="G7217" s="8" t="n"/>
    </row>
    <row r="7218">
      <c r="G7218" s="8" t="n"/>
    </row>
    <row r="7219">
      <c r="G7219" s="8" t="n"/>
    </row>
    <row r="7220">
      <c r="G7220" s="8" t="n"/>
    </row>
    <row r="7221">
      <c r="G7221" s="8" t="n"/>
    </row>
    <row r="7222">
      <c r="G7222" s="8" t="n"/>
    </row>
    <row r="7223">
      <c r="G7223" s="8" t="n"/>
    </row>
    <row r="7224">
      <c r="G7224" s="8" t="n"/>
    </row>
    <row r="7225">
      <c r="G7225" s="8" t="n"/>
    </row>
    <row r="7226">
      <c r="G7226" s="8" t="n"/>
    </row>
    <row r="7227">
      <c r="G7227" s="8" t="n"/>
    </row>
    <row r="7228">
      <c r="G7228" s="8" t="n"/>
    </row>
    <row r="7229">
      <c r="G7229" s="8" t="n"/>
    </row>
    <row r="7230">
      <c r="G7230" s="8" t="n"/>
    </row>
    <row r="7231">
      <c r="G7231" s="8" t="n"/>
    </row>
    <row r="7232">
      <c r="G7232" s="8" t="n"/>
    </row>
    <row r="7233">
      <c r="G7233" s="8" t="n"/>
    </row>
    <row r="7234">
      <c r="G7234" s="8" t="n"/>
    </row>
    <row r="7235">
      <c r="G7235" s="8" t="n"/>
    </row>
    <row r="7236">
      <c r="G7236" s="8" t="n"/>
    </row>
    <row r="7237">
      <c r="G7237" s="8" t="n"/>
    </row>
    <row r="7238">
      <c r="G7238" s="8" t="n"/>
    </row>
    <row r="7239">
      <c r="G7239" s="8" t="n"/>
    </row>
    <row r="7240">
      <c r="G7240" s="8" t="n"/>
    </row>
    <row r="7241">
      <c r="G7241" s="8" t="n"/>
    </row>
    <row r="7242">
      <c r="G7242" s="8" t="n"/>
    </row>
    <row r="7243">
      <c r="G7243" s="8" t="n"/>
    </row>
    <row r="7244">
      <c r="G7244" s="8" t="n"/>
    </row>
    <row r="7245">
      <c r="G7245" s="8" t="n"/>
    </row>
    <row r="7246">
      <c r="G7246" s="8" t="n"/>
    </row>
    <row r="7247">
      <c r="G7247" s="8" t="n"/>
    </row>
    <row r="7248">
      <c r="G7248" s="8" t="n"/>
    </row>
    <row r="7249">
      <c r="G7249" s="8" t="n"/>
    </row>
    <row r="7250">
      <c r="G7250" s="8" t="n"/>
    </row>
    <row r="7251">
      <c r="G7251" s="8" t="n"/>
    </row>
    <row r="7252">
      <c r="G7252" s="8" t="n"/>
    </row>
    <row r="7253">
      <c r="G7253" s="8" t="n"/>
    </row>
    <row r="7254">
      <c r="G7254" s="8" t="n"/>
    </row>
    <row r="7255">
      <c r="G7255" s="8" t="n"/>
    </row>
    <row r="7256">
      <c r="G7256" s="8" t="n"/>
    </row>
    <row r="7257">
      <c r="G7257" s="8" t="n"/>
    </row>
    <row r="7258">
      <c r="G7258" s="8" t="n"/>
    </row>
    <row r="7259">
      <c r="G7259" s="8" t="n"/>
    </row>
    <row r="7260">
      <c r="G7260" s="8" t="n"/>
    </row>
    <row r="7261">
      <c r="G7261" s="8" t="n"/>
    </row>
    <row r="7262">
      <c r="G7262" s="8" t="n"/>
    </row>
    <row r="7263">
      <c r="G7263" s="8" t="n"/>
    </row>
    <row r="7264">
      <c r="G7264" s="8" t="n"/>
    </row>
    <row r="7265">
      <c r="G7265" s="8" t="n"/>
    </row>
    <row r="7266">
      <c r="G7266" s="8" t="n"/>
    </row>
    <row r="7267">
      <c r="G7267" s="8" t="n"/>
    </row>
    <row r="7268">
      <c r="G7268" s="8" t="n"/>
    </row>
    <row r="7269">
      <c r="G7269" s="8" t="n"/>
    </row>
    <row r="7270">
      <c r="G7270" s="8" t="n"/>
    </row>
    <row r="7271">
      <c r="G7271" s="8" t="n"/>
    </row>
    <row r="7272">
      <c r="G7272" s="8" t="n"/>
    </row>
    <row r="7273">
      <c r="G7273" s="8" t="n"/>
    </row>
    <row r="7274">
      <c r="G7274" s="8" t="n"/>
    </row>
    <row r="7275">
      <c r="G7275" s="8" t="n"/>
    </row>
    <row r="7276">
      <c r="G7276" s="8" t="n"/>
    </row>
    <row r="7277">
      <c r="G7277" s="8" t="n"/>
    </row>
    <row r="7278">
      <c r="G7278" s="8" t="n"/>
    </row>
    <row r="7279">
      <c r="G7279" s="8" t="n"/>
    </row>
    <row r="7280">
      <c r="G7280" s="8" t="n"/>
    </row>
    <row r="7281">
      <c r="G7281" s="8" t="n"/>
    </row>
    <row r="7282">
      <c r="G7282" s="8" t="n"/>
    </row>
    <row r="7283">
      <c r="G7283" s="8" t="n"/>
    </row>
    <row r="7284">
      <c r="G7284" s="8" t="n"/>
    </row>
    <row r="7285">
      <c r="G7285" s="8" t="n"/>
    </row>
    <row r="7286">
      <c r="G7286" s="8" t="n"/>
    </row>
    <row r="7287">
      <c r="G7287" s="8" t="n"/>
    </row>
    <row r="7288">
      <c r="G7288" s="8" t="n"/>
    </row>
    <row r="7289">
      <c r="G7289" s="8" t="n"/>
    </row>
    <row r="7290">
      <c r="G7290" s="8" t="n"/>
    </row>
    <row r="7291">
      <c r="G7291" s="8" t="n"/>
    </row>
    <row r="7292">
      <c r="G7292" s="8" t="n"/>
    </row>
    <row r="7293">
      <c r="G7293" s="8" t="n"/>
    </row>
    <row r="7294">
      <c r="G7294" s="8" t="n"/>
    </row>
    <row r="7295">
      <c r="G7295" s="8" t="n"/>
    </row>
    <row r="7296">
      <c r="G7296" s="8" t="n"/>
    </row>
    <row r="7297">
      <c r="G7297" s="8" t="n"/>
    </row>
    <row r="7298">
      <c r="G7298" s="8" t="n"/>
    </row>
    <row r="7299">
      <c r="G7299" s="8" t="n"/>
    </row>
    <row r="7300">
      <c r="G7300" s="8" t="n"/>
    </row>
    <row r="7301">
      <c r="G7301" s="8" t="n"/>
    </row>
    <row r="7302">
      <c r="G7302" s="8" t="n"/>
    </row>
    <row r="7303">
      <c r="G7303" s="8" t="n"/>
    </row>
    <row r="7304">
      <c r="G7304" s="8" t="n"/>
    </row>
    <row r="7305">
      <c r="G7305" s="8" t="n"/>
    </row>
    <row r="7306">
      <c r="G7306" s="8" t="n"/>
    </row>
    <row r="7307">
      <c r="G7307" s="8" t="n"/>
    </row>
    <row r="7308">
      <c r="G7308" s="8" t="n"/>
    </row>
    <row r="7309">
      <c r="G7309" s="8" t="n"/>
    </row>
    <row r="7310">
      <c r="G7310" s="8" t="n"/>
    </row>
    <row r="7311">
      <c r="G7311" s="8" t="n"/>
    </row>
    <row r="7312">
      <c r="G7312" s="8" t="n"/>
    </row>
    <row r="7313">
      <c r="G7313" s="8" t="n"/>
    </row>
    <row r="7314">
      <c r="G7314" s="8" t="n"/>
    </row>
    <row r="7315">
      <c r="G7315" s="8" t="n"/>
    </row>
    <row r="7316">
      <c r="G7316" s="8" t="n"/>
    </row>
    <row r="7317">
      <c r="G7317" s="8" t="n"/>
    </row>
    <row r="7318">
      <c r="G7318" s="8" t="n"/>
    </row>
    <row r="7319">
      <c r="G7319" s="8" t="n"/>
    </row>
    <row r="7320">
      <c r="G7320" s="8" t="n"/>
    </row>
    <row r="7321">
      <c r="G7321" s="8" t="n"/>
    </row>
    <row r="7322">
      <c r="G7322" s="8" t="n"/>
    </row>
    <row r="7323">
      <c r="G7323" s="8" t="n"/>
    </row>
    <row r="7324">
      <c r="G7324" s="8" t="n"/>
    </row>
    <row r="7325">
      <c r="G7325" s="8" t="n"/>
    </row>
    <row r="7326">
      <c r="G7326" s="8" t="n"/>
    </row>
    <row r="7327">
      <c r="G7327" s="8" t="n"/>
    </row>
    <row r="7328">
      <c r="G7328" s="8" t="n"/>
    </row>
    <row r="7329">
      <c r="G7329" s="8" t="n"/>
    </row>
    <row r="7330">
      <c r="G7330" s="8" t="n"/>
    </row>
    <row r="7331">
      <c r="G7331" s="8" t="n"/>
    </row>
    <row r="7332">
      <c r="G7332" s="8" t="n"/>
    </row>
    <row r="7333">
      <c r="G7333" s="8" t="n"/>
    </row>
    <row r="7334">
      <c r="G7334" s="8" t="n"/>
    </row>
    <row r="7335">
      <c r="G7335" s="8" t="n"/>
    </row>
    <row r="7336">
      <c r="G7336" s="8" t="n"/>
    </row>
    <row r="7337">
      <c r="G7337" s="8" t="n"/>
    </row>
    <row r="7338">
      <c r="G7338" s="8" t="n"/>
    </row>
    <row r="7339">
      <c r="G7339" s="8" t="n"/>
    </row>
    <row r="7340">
      <c r="G7340" s="8" t="n"/>
    </row>
    <row r="7341">
      <c r="G7341" s="8" t="n"/>
    </row>
    <row r="7342">
      <c r="G7342" s="8" t="n"/>
    </row>
    <row r="7343">
      <c r="G7343" s="8" t="n"/>
    </row>
    <row r="7344">
      <c r="G7344" s="8" t="n"/>
    </row>
    <row r="7345">
      <c r="G7345" s="8" t="n"/>
    </row>
    <row r="7346">
      <c r="G7346" s="8" t="n"/>
    </row>
    <row r="7347">
      <c r="G7347" s="8" t="n"/>
    </row>
    <row r="7348">
      <c r="G7348" s="8" t="n"/>
    </row>
    <row r="7349">
      <c r="G7349" s="8" t="n"/>
    </row>
    <row r="7350">
      <c r="G7350" s="8" t="n"/>
    </row>
    <row r="7351">
      <c r="G7351" s="8" t="n"/>
    </row>
    <row r="7352">
      <c r="G7352" s="8" t="n"/>
    </row>
    <row r="7353">
      <c r="G7353" s="8" t="n"/>
    </row>
    <row r="7354">
      <c r="G7354" s="8" t="n"/>
    </row>
    <row r="7355">
      <c r="G7355" s="8" t="n"/>
    </row>
    <row r="7356">
      <c r="G7356" s="8" t="n"/>
    </row>
    <row r="7357">
      <c r="G7357" s="8" t="n"/>
    </row>
    <row r="7358">
      <c r="G7358" s="8" t="n"/>
    </row>
    <row r="7359">
      <c r="G7359" s="8" t="n"/>
    </row>
    <row r="7360">
      <c r="G7360" s="8" t="n"/>
    </row>
    <row r="7361">
      <c r="G7361" s="8" t="n"/>
    </row>
    <row r="7362">
      <c r="G7362" s="8" t="n"/>
    </row>
    <row r="7363">
      <c r="G7363" s="8" t="n"/>
    </row>
    <row r="7364">
      <c r="G7364" s="8" t="n"/>
    </row>
    <row r="7365">
      <c r="G7365" s="8" t="n"/>
    </row>
    <row r="7366">
      <c r="G7366" s="8" t="n"/>
    </row>
    <row r="7367">
      <c r="G7367" s="8" t="n"/>
    </row>
    <row r="7368">
      <c r="G7368" s="8" t="n"/>
    </row>
    <row r="7369">
      <c r="G7369" s="8" t="n"/>
    </row>
    <row r="7370">
      <c r="G7370" s="8" t="n"/>
    </row>
    <row r="7371">
      <c r="G7371" s="8" t="n"/>
    </row>
    <row r="7372">
      <c r="G7372" s="8" t="n"/>
    </row>
    <row r="7373">
      <c r="G7373" s="8" t="n"/>
    </row>
    <row r="7374">
      <c r="G7374" s="8" t="n"/>
    </row>
    <row r="7375">
      <c r="G7375" s="8" t="n"/>
    </row>
    <row r="7376">
      <c r="G7376" s="8" t="n"/>
    </row>
    <row r="7377">
      <c r="G7377" s="8" t="n"/>
    </row>
    <row r="7378">
      <c r="G7378" s="8" t="n"/>
    </row>
    <row r="7379">
      <c r="G7379" s="8" t="n"/>
    </row>
    <row r="7380">
      <c r="G7380" s="8" t="n"/>
    </row>
    <row r="7381">
      <c r="G7381" s="8" t="n"/>
    </row>
    <row r="7382">
      <c r="G7382" s="8" t="n"/>
    </row>
    <row r="7383">
      <c r="G7383" s="8" t="n"/>
    </row>
    <row r="7384">
      <c r="G7384" s="8" t="n"/>
    </row>
    <row r="7385">
      <c r="G7385" s="8" t="n"/>
    </row>
    <row r="7386">
      <c r="G7386" s="8" t="n"/>
    </row>
    <row r="7387">
      <c r="G7387" s="8" t="n"/>
    </row>
    <row r="7388">
      <c r="G7388" s="8" t="n"/>
    </row>
    <row r="7389">
      <c r="G7389" s="8" t="n"/>
    </row>
    <row r="7390">
      <c r="G7390" s="8" t="n"/>
    </row>
    <row r="7391">
      <c r="G7391" s="8" t="n"/>
    </row>
    <row r="7392">
      <c r="G7392" s="8" t="n"/>
    </row>
    <row r="7393">
      <c r="G7393" s="8" t="n"/>
    </row>
    <row r="7394">
      <c r="G7394" s="8" t="n"/>
    </row>
    <row r="7395">
      <c r="G7395" s="8" t="n"/>
    </row>
    <row r="7396">
      <c r="G7396" s="8" t="n"/>
    </row>
    <row r="7397">
      <c r="G7397" s="8" t="n"/>
    </row>
    <row r="7398">
      <c r="G7398" s="8" t="n"/>
    </row>
    <row r="7399">
      <c r="G7399" s="8" t="n"/>
    </row>
    <row r="7400">
      <c r="G7400" s="8" t="n"/>
    </row>
    <row r="7401">
      <c r="G7401" s="8" t="n"/>
    </row>
    <row r="7402">
      <c r="G7402" s="8" t="n"/>
    </row>
    <row r="7403">
      <c r="G7403" s="8" t="n"/>
    </row>
    <row r="7404">
      <c r="G7404" s="8" t="n"/>
    </row>
    <row r="7405">
      <c r="G7405" s="8" t="n"/>
    </row>
    <row r="7406">
      <c r="G7406" s="8" t="n"/>
    </row>
    <row r="7407">
      <c r="G7407" s="8" t="n"/>
    </row>
    <row r="7408">
      <c r="G7408" s="8" t="n"/>
    </row>
    <row r="7409">
      <c r="G7409" s="8" t="n"/>
    </row>
    <row r="7410">
      <c r="G7410" s="8" t="n"/>
    </row>
    <row r="7411">
      <c r="G7411" s="8" t="n"/>
    </row>
    <row r="7412">
      <c r="G7412" s="8" t="n"/>
    </row>
    <row r="7413">
      <c r="G7413" s="8" t="n"/>
    </row>
    <row r="7414">
      <c r="G7414" s="8" t="n"/>
    </row>
    <row r="7415">
      <c r="G7415" s="8" t="n"/>
    </row>
    <row r="7416">
      <c r="G7416" s="8" t="n"/>
    </row>
    <row r="7417">
      <c r="G7417" s="8" t="n"/>
    </row>
    <row r="7418">
      <c r="G7418" s="8" t="n"/>
    </row>
    <row r="7419">
      <c r="G7419" s="8" t="n"/>
    </row>
    <row r="7420">
      <c r="G7420" s="8" t="n"/>
    </row>
    <row r="7421">
      <c r="G7421" s="8" t="n"/>
    </row>
    <row r="7422">
      <c r="G7422" s="8" t="n"/>
    </row>
    <row r="7423">
      <c r="G7423" s="8" t="n"/>
    </row>
    <row r="7424">
      <c r="G7424" s="8" t="n"/>
    </row>
    <row r="7425">
      <c r="G7425" s="8" t="n"/>
    </row>
    <row r="7426">
      <c r="G7426" s="8" t="n"/>
    </row>
    <row r="7427">
      <c r="G7427" s="8" t="n"/>
    </row>
    <row r="7428">
      <c r="G7428" s="8" t="n"/>
    </row>
    <row r="7429">
      <c r="G7429" s="8" t="n"/>
    </row>
    <row r="7430">
      <c r="G7430" s="8" t="n"/>
    </row>
    <row r="7431">
      <c r="G7431" s="8" t="n"/>
    </row>
    <row r="7432">
      <c r="G7432" s="8" t="n"/>
    </row>
    <row r="7433">
      <c r="G7433" s="8" t="n"/>
    </row>
    <row r="7434">
      <c r="G7434" s="8" t="n"/>
    </row>
    <row r="7435">
      <c r="G7435" s="8" t="n"/>
    </row>
    <row r="7436">
      <c r="G7436" s="8" t="n"/>
    </row>
    <row r="7437">
      <c r="G7437" s="8" t="n"/>
    </row>
    <row r="7438">
      <c r="G7438" s="8" t="n"/>
    </row>
    <row r="7439">
      <c r="G7439" s="8" t="n"/>
    </row>
    <row r="7440">
      <c r="G7440" s="8" t="n"/>
    </row>
    <row r="7441">
      <c r="G7441" s="8" t="n"/>
    </row>
    <row r="7442">
      <c r="G7442" s="8" t="n"/>
    </row>
    <row r="7443">
      <c r="G7443" s="8" t="n"/>
    </row>
    <row r="7444">
      <c r="G7444" s="8" t="n"/>
    </row>
    <row r="7445">
      <c r="G7445" s="8" t="n"/>
    </row>
    <row r="7446">
      <c r="G7446" s="8" t="n"/>
    </row>
    <row r="7447">
      <c r="G7447" s="8" t="n"/>
    </row>
    <row r="7448">
      <c r="G7448" s="8" t="n"/>
    </row>
    <row r="7449">
      <c r="G7449" s="8" t="n"/>
    </row>
    <row r="7450">
      <c r="G7450" s="8" t="n"/>
    </row>
    <row r="7451">
      <c r="G7451" s="8" t="n"/>
    </row>
    <row r="7452">
      <c r="G7452" s="8" t="n"/>
    </row>
    <row r="7453">
      <c r="G7453" s="8" t="n"/>
    </row>
    <row r="7454">
      <c r="G7454" s="8" t="n"/>
    </row>
    <row r="7458">
      <c r="G7458" s="8" t="n"/>
    </row>
    <row r="7459">
      <c r="G7459" s="8" t="n"/>
    </row>
    <row r="7460">
      <c r="G7460" s="8" t="n"/>
    </row>
    <row r="7461">
      <c r="G7461" s="8" t="n"/>
    </row>
    <row r="7462">
      <c r="G7462" s="8" t="n"/>
    </row>
  </sheetData>
  <autoFilter ref="A1:M5053">
    <sortState ref="A2:M5053">
      <sortCondition ref="A2:A5053"/>
    </sortState>
  </autoFilter>
  <conditionalFormatting sqref="G1:G1048576 K1:K1048576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10"/>
  <sheetViews>
    <sheetView topLeftCell="A1281" workbookViewId="0">
      <selection activeCell="L14" sqref="L14"/>
    </sheetView>
  </sheetViews>
  <sheetFormatPr baseColWidth="8" defaultRowHeight="18"/>
  <cols>
    <col width="17" customWidth="1" min="1" max="1"/>
    <col width="22.44140625" customWidth="1" style="69" min="2" max="2"/>
    <col width="31.44140625" customWidth="1" style="71" min="3" max="3"/>
    <col width="20.5546875" customWidth="1" style="71" min="4" max="4"/>
    <col width="28.44140625" customWidth="1" style="71" min="5" max="5"/>
    <col width="17.88671875" customWidth="1" style="66" min="6" max="6"/>
    <col width="16" bestFit="1" customWidth="1" style="146" min="7" max="7"/>
    <col width="36.88671875" customWidth="1" min="9" max="9"/>
    <col width="16.44140625" customWidth="1" min="11" max="11"/>
    <col width="24.5546875" customWidth="1" min="12" max="12"/>
    <col width="17.5546875" customWidth="1" min="13" max="13"/>
  </cols>
  <sheetData>
    <row r="1" ht="36" customHeight="1">
      <c r="A1" s="147" t="inlineStr">
        <is>
          <t>TARİH</t>
        </is>
      </c>
      <c r="B1" s="35" t="inlineStr">
        <is>
          <t>FATURA NO</t>
        </is>
      </c>
      <c r="C1" s="35" t="inlineStr">
        <is>
          <t>FİRMA</t>
        </is>
      </c>
      <c r="D1" s="35" t="inlineStr">
        <is>
          <t>ARAÇ PLAKASI</t>
        </is>
      </c>
      <c r="E1" s="35" t="inlineStr">
        <is>
          <t>ADI SOYADI</t>
        </is>
      </c>
      <c r="F1" s="35" t="inlineStr">
        <is>
          <t xml:space="preserve">ARAÇ KM </t>
        </is>
      </c>
      <c r="G1" s="148" t="inlineStr">
        <is>
          <t>ALINAN LİTRE</t>
        </is>
      </c>
      <c r="H1" s="37" t="inlineStr">
        <is>
          <t>VERİLEN LİTRE</t>
        </is>
      </c>
      <c r="I1" s="148" t="inlineStr">
        <is>
          <t>LİTRE BAKİYE</t>
        </is>
      </c>
      <c r="J1" s="149" t="inlineStr">
        <is>
          <t>LİTRE TL</t>
        </is>
      </c>
      <c r="K1" s="39" t="inlineStr">
        <is>
          <t>FATURA GELEN MZT TL</t>
        </is>
      </c>
      <c r="L1" s="150" t="inlineStr">
        <is>
          <t>VERİLEN MZT TL</t>
        </is>
      </c>
      <c r="M1" s="150" t="inlineStr">
        <is>
          <t>TL BAKİYE</t>
        </is>
      </c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</row>
    <row r="2">
      <c r="A2" s="151" t="n">
        <v>46023</v>
      </c>
      <c r="B2" s="70" t="n">
        <v>3287</v>
      </c>
      <c r="C2" s="115" t="inlineStr">
        <is>
          <t>AZGÜN YAPI</t>
        </is>
      </c>
      <c r="D2" s="115" t="inlineStr">
        <is>
          <t xml:space="preserve">34 DTV 263 </t>
        </is>
      </c>
      <c r="E2" s="115" t="inlineStr">
        <is>
          <t>DURSUN ALİ GÜREK</t>
        </is>
      </c>
      <c r="F2" s="65" t="n"/>
      <c r="G2" s="152" t="n">
        <v>374</v>
      </c>
      <c r="H2" s="46" t="n"/>
      <c r="I2" s="153" t="n"/>
      <c r="J2" s="154" t="n"/>
      <c r="K2" s="49" t="n"/>
      <c r="L2" s="155">
        <f>+J2*H2</f>
        <v/>
      </c>
      <c r="M2" s="155" t="n">
        <v>0</v>
      </c>
      <c r="N2" s="60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  <c r="Z2" s="60" t="n"/>
    </row>
    <row r="3" ht="18.6" customHeight="1">
      <c r="A3" s="151" t="n">
        <v>46023</v>
      </c>
      <c r="B3" s="67" t="n">
        <v>4566</v>
      </c>
      <c r="C3" s="52" t="inlineStr">
        <is>
          <t>SELİM İNŞAAT</t>
        </is>
      </c>
      <c r="D3" s="51" t="inlineStr">
        <is>
          <t>34 FVU 827</t>
        </is>
      </c>
      <c r="E3" s="51" t="inlineStr">
        <is>
          <t>YILMAZ ÇELEBİ</t>
        </is>
      </c>
      <c r="F3" s="53" t="n"/>
      <c r="G3" s="156" t="n">
        <v>27</v>
      </c>
      <c r="H3" s="55" t="n"/>
      <c r="I3" s="156">
        <f>+I2+(G3-H3)</f>
        <v/>
      </c>
      <c r="J3" s="157" t="n"/>
      <c r="K3" s="57" t="n"/>
      <c r="L3" s="158">
        <f>+H3*J3</f>
        <v/>
      </c>
      <c r="M3" s="159">
        <f>SUM(M2+K3-L3)</f>
        <v/>
      </c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  <c r="Z3" s="60" t="n"/>
    </row>
    <row r="4">
      <c r="A4" s="151" t="n">
        <v>46024</v>
      </c>
      <c r="B4" s="67" t="n">
        <v>3822</v>
      </c>
      <c r="C4" s="52" t="inlineStr">
        <is>
          <t>SELİM İNŞAAT</t>
        </is>
      </c>
      <c r="D4" s="51" t="inlineStr">
        <is>
          <t>34 GYZ 635</t>
        </is>
      </c>
      <c r="E4" s="51" t="inlineStr">
        <is>
          <t>ADEM DENİZ</t>
        </is>
      </c>
      <c r="F4" s="53" t="n">
        <v>219038</v>
      </c>
      <c r="G4" s="156" t="n">
        <v>580</v>
      </c>
      <c r="H4" s="55" t="n"/>
      <c r="I4" s="156">
        <f>+I3+(G4-H4)</f>
        <v/>
      </c>
      <c r="J4" s="157" t="n"/>
      <c r="K4" s="57" t="n"/>
      <c r="L4" s="158">
        <f>+H4*J4</f>
        <v/>
      </c>
      <c r="M4" s="159">
        <f>SUM(M3+K4-L4)</f>
        <v/>
      </c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  <c r="Z4" s="60" t="n"/>
    </row>
    <row r="5">
      <c r="A5" s="151" t="n">
        <v>46024</v>
      </c>
      <c r="B5" s="67" t="n">
        <v>4567</v>
      </c>
      <c r="C5" s="52" t="inlineStr">
        <is>
          <t>AHMET SELİM TEMHA</t>
        </is>
      </c>
      <c r="D5" s="51" t="inlineStr">
        <is>
          <t>FORKLİFT</t>
        </is>
      </c>
      <c r="E5" s="51" t="inlineStr">
        <is>
          <t>ERSOY SIĞINMAZ</t>
        </is>
      </c>
      <c r="F5" s="53" t="n"/>
      <c r="G5" s="156" t="n">
        <v>60</v>
      </c>
      <c r="H5" s="55" t="n"/>
      <c r="I5" s="156">
        <f>+I4+(G5-H5)</f>
        <v/>
      </c>
      <c r="J5" s="157" t="n"/>
      <c r="K5" s="57" t="n"/>
      <c r="L5" s="158">
        <f>+H5*J5</f>
        <v/>
      </c>
      <c r="M5" s="159">
        <f>SUM(M4+K5-L5)</f>
        <v/>
      </c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  <c r="Z5" s="60" t="n"/>
    </row>
    <row r="6">
      <c r="A6" s="151" t="n">
        <v>46024</v>
      </c>
      <c r="B6" s="67" t="n">
        <v>4568</v>
      </c>
      <c r="C6" s="52" t="inlineStr">
        <is>
          <t>AHMET SELİM TEMHA</t>
        </is>
      </c>
      <c r="D6" s="51" t="inlineStr">
        <is>
          <t>ZOMLION</t>
        </is>
      </c>
      <c r="E6" s="51" t="inlineStr">
        <is>
          <t>TURGAY ÇIPLAK</t>
        </is>
      </c>
      <c r="F6" s="53" t="n"/>
      <c r="G6" s="156" t="n">
        <v>136</v>
      </c>
      <c r="H6" s="55" t="n"/>
      <c r="I6" s="156">
        <f>+I5+(G6-H6)</f>
        <v/>
      </c>
      <c r="J6" s="157" t="n"/>
      <c r="K6" s="57" t="n"/>
      <c r="L6" s="158">
        <f>+H6*J6</f>
        <v/>
      </c>
      <c r="M6" s="159">
        <f>SUM(M5+K6-L6)</f>
        <v/>
      </c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  <c r="Z6" s="60" t="n"/>
    </row>
    <row r="7">
      <c r="A7" s="151" t="n">
        <v>46024</v>
      </c>
      <c r="B7" s="67" t="n">
        <v>4201</v>
      </c>
      <c r="C7" s="52" t="inlineStr">
        <is>
          <t>EVKUR</t>
        </is>
      </c>
      <c r="D7" s="51" t="inlineStr">
        <is>
          <t>FORKLİFT</t>
        </is>
      </c>
      <c r="E7" s="51" t="inlineStr">
        <is>
          <t>CEMAL</t>
        </is>
      </c>
      <c r="F7" s="53" t="n"/>
      <c r="G7" s="156" t="n">
        <v>27</v>
      </c>
      <c r="H7" s="55" t="n"/>
      <c r="I7" s="156">
        <f>+I6+(G7-H7)</f>
        <v/>
      </c>
      <c r="J7" s="157" t="n"/>
      <c r="K7" s="57" t="n"/>
      <c r="L7" s="158">
        <f>+H7*J7</f>
        <v/>
      </c>
      <c r="M7" s="159">
        <f>SUM(M6+K7-L7)</f>
        <v/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</row>
    <row r="8">
      <c r="A8" s="151" t="n">
        <v>46024</v>
      </c>
      <c r="B8" s="67" t="n">
        <v>4208</v>
      </c>
      <c r="C8" s="52" t="inlineStr">
        <is>
          <t>MEGA VARLIK</t>
        </is>
      </c>
      <c r="D8" s="51" t="inlineStr">
        <is>
          <t xml:space="preserve">34 AZ 2191 </t>
        </is>
      </c>
      <c r="E8" s="51" t="inlineStr">
        <is>
          <t>NUMAN KABİL</t>
        </is>
      </c>
      <c r="F8" s="53" t="n"/>
      <c r="G8" s="156" t="n">
        <v>252</v>
      </c>
      <c r="H8" s="55" t="n"/>
      <c r="I8" s="156">
        <f>+I7+(G8-H8)</f>
        <v/>
      </c>
      <c r="J8" s="157" t="n"/>
      <c r="K8" s="57" t="n"/>
      <c r="L8" s="158">
        <f>+H8*J8</f>
        <v/>
      </c>
      <c r="M8" s="159">
        <f>SUM(M7+K8-L8)</f>
        <v/>
      </c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</row>
    <row r="9">
      <c r="A9" s="151" t="n">
        <v>46025</v>
      </c>
      <c r="B9" s="67" t="n">
        <v>1844</v>
      </c>
      <c r="C9" s="52" t="inlineStr">
        <is>
          <t>SELİM İNŞAAT</t>
        </is>
      </c>
      <c r="D9" s="51" t="inlineStr">
        <is>
          <t>34 EGR 922</t>
        </is>
      </c>
      <c r="E9" s="51" t="inlineStr">
        <is>
          <t>FARUK ÖZEN</t>
        </is>
      </c>
      <c r="F9" s="53" t="n">
        <v>497425</v>
      </c>
      <c r="G9" s="156" t="n">
        <v>546</v>
      </c>
      <c r="H9" s="55" t="n"/>
      <c r="I9" s="156">
        <f>+I8+(G9-H9)</f>
        <v/>
      </c>
      <c r="J9" s="157" t="n"/>
      <c r="K9" s="57" t="n"/>
      <c r="L9" s="158">
        <f>+H9*J9</f>
        <v/>
      </c>
      <c r="M9" s="159">
        <f>SUM(M8+K9-L9)</f>
        <v/>
      </c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</row>
    <row r="10">
      <c r="A10" s="151" t="n">
        <v>46025</v>
      </c>
      <c r="B10" s="67" t="n">
        <v>238</v>
      </c>
      <c r="C10" s="52" t="inlineStr">
        <is>
          <t>SELİM İNŞAAT</t>
        </is>
      </c>
      <c r="D10" s="51" t="inlineStr">
        <is>
          <t>34 JGR 15</t>
        </is>
      </c>
      <c r="E10" s="51" t="inlineStr">
        <is>
          <t>ÖNER DÜNDAR</t>
        </is>
      </c>
      <c r="F10" s="53" t="n">
        <v>326863</v>
      </c>
      <c r="G10" s="156" t="n">
        <v>65</v>
      </c>
      <c r="H10" s="60" t="n"/>
      <c r="I10" s="156">
        <f>+I9+(G10-H10)</f>
        <v/>
      </c>
      <c r="J10" s="60" t="n"/>
      <c r="K10" s="60" t="n"/>
      <c r="L10" s="158">
        <f>+H10*J10</f>
        <v/>
      </c>
      <c r="M10" s="159">
        <f>SUM(M9+K10-L10)</f>
        <v/>
      </c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</row>
    <row r="11">
      <c r="A11" s="151" t="n">
        <v>46025</v>
      </c>
      <c r="B11" s="67" t="n">
        <v>2376</v>
      </c>
      <c r="C11" s="52" t="inlineStr">
        <is>
          <t>SELİM İNŞAAT</t>
        </is>
      </c>
      <c r="D11" s="51" t="inlineStr">
        <is>
          <t>34 FEM 934</t>
        </is>
      </c>
      <c r="E11" s="51" t="inlineStr">
        <is>
          <t>YAKUP URUCU</t>
        </is>
      </c>
      <c r="F11" s="53" t="n">
        <v>328722</v>
      </c>
      <c r="G11" s="156" t="n">
        <v>49</v>
      </c>
      <c r="H11" s="60" t="n"/>
      <c r="I11" s="156">
        <f>+I10+(G11-H11)</f>
        <v/>
      </c>
      <c r="J11" s="60" t="n"/>
      <c r="K11" s="60" t="n"/>
      <c r="L11" s="158">
        <f>+H11*J11</f>
        <v/>
      </c>
      <c r="M11" s="159">
        <f>SUM(M10+K11-L11)</f>
        <v/>
      </c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</row>
    <row r="12">
      <c r="A12" s="151" t="n">
        <v>46025</v>
      </c>
      <c r="B12" s="67" t="n">
        <v>1376</v>
      </c>
      <c r="C12" s="52" t="inlineStr">
        <is>
          <t xml:space="preserve">AZGÜN YAPI </t>
        </is>
      </c>
      <c r="D12" s="51" t="inlineStr">
        <is>
          <t>34 MKT 859</t>
        </is>
      </c>
      <c r="E12" s="51" t="inlineStr">
        <is>
          <t>ONUR CANLI</t>
        </is>
      </c>
      <c r="F12" s="53" t="n">
        <v>87707</v>
      </c>
      <c r="G12" s="156" t="n">
        <v>407</v>
      </c>
      <c r="H12" s="60" t="n"/>
      <c r="I12" s="156">
        <f>+I11+(G12-H12)</f>
        <v/>
      </c>
      <c r="J12" s="60" t="n"/>
      <c r="K12" s="60" t="n"/>
      <c r="L12" s="158">
        <f>+H12*J12</f>
        <v/>
      </c>
      <c r="M12" s="159">
        <f>SUM(M11+K12-L12)</f>
        <v/>
      </c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</row>
    <row r="13">
      <c r="A13" s="151" t="n">
        <v>46025</v>
      </c>
      <c r="B13" s="67" t="n">
        <v>2525</v>
      </c>
      <c r="C13" s="52" t="inlineStr">
        <is>
          <t xml:space="preserve">AZGÜN YAPI </t>
        </is>
      </c>
      <c r="D13" s="51" t="inlineStr">
        <is>
          <t>34 MKT 493</t>
        </is>
      </c>
      <c r="E13" s="51" t="inlineStr">
        <is>
          <t>TURGUT ÇATAL</t>
        </is>
      </c>
      <c r="F13" s="53" t="n"/>
      <c r="G13" s="156" t="n">
        <v>404</v>
      </c>
      <c r="H13" s="60" t="n"/>
      <c r="I13" s="156">
        <f>+I12+(G13-H13)</f>
        <v/>
      </c>
      <c r="J13" s="60" t="n"/>
      <c r="K13" s="60" t="n"/>
      <c r="L13" s="158">
        <f>+H13*J13</f>
        <v/>
      </c>
      <c r="M13" s="159">
        <f>SUM(M12+K13-L13)</f>
        <v/>
      </c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</row>
    <row r="14">
      <c r="A14" s="151" t="n">
        <v>46025</v>
      </c>
      <c r="B14" s="67" t="n">
        <v>3271</v>
      </c>
      <c r="C14" s="52" t="inlineStr">
        <is>
          <t xml:space="preserve">AZGÜN YAPI </t>
        </is>
      </c>
      <c r="D14" s="51" t="inlineStr">
        <is>
          <t xml:space="preserve">34 DTV 263 </t>
        </is>
      </c>
      <c r="E14" s="51" t="inlineStr">
        <is>
          <t>İRFAN DAĞLAR</t>
        </is>
      </c>
      <c r="F14" s="53" t="n"/>
      <c r="G14" s="156" t="n">
        <v>488</v>
      </c>
      <c r="H14" s="60" t="n"/>
      <c r="I14" s="156">
        <f>+I13+(G14-H14)</f>
        <v/>
      </c>
      <c r="J14" s="60" t="n"/>
      <c r="K14" s="60" t="n"/>
      <c r="L14" s="158">
        <f>+H14*J14</f>
        <v/>
      </c>
      <c r="M14" s="159">
        <f>SUM(M13+K14-L14)</f>
        <v/>
      </c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</row>
    <row r="15">
      <c r="A15" s="151" t="n">
        <v>46025</v>
      </c>
      <c r="B15" s="67" t="n">
        <v>3786</v>
      </c>
      <c r="C15" s="52" t="inlineStr">
        <is>
          <t>METİN ERYİĞİT</t>
        </is>
      </c>
      <c r="D15" s="51" t="inlineStr">
        <is>
          <t>34 GBL 998</t>
        </is>
      </c>
      <c r="E15" s="51" t="inlineStr">
        <is>
          <t>ALİ KESKİN</t>
        </is>
      </c>
      <c r="F15" s="53" t="n">
        <v>328627</v>
      </c>
      <c r="G15" s="156" t="n">
        <v>490</v>
      </c>
      <c r="H15" s="60" t="n"/>
      <c r="I15" s="156">
        <f>+I14+(G15-H15)</f>
        <v/>
      </c>
      <c r="J15" s="60" t="n"/>
      <c r="K15" s="60" t="n"/>
      <c r="L15" s="158">
        <f>+H15*J15</f>
        <v/>
      </c>
      <c r="M15" s="159">
        <f>SUM(M14+K15-L15)</f>
        <v/>
      </c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</row>
    <row r="16">
      <c r="A16" s="151" t="n">
        <v>46025</v>
      </c>
      <c r="B16" s="67" t="n">
        <v>2735</v>
      </c>
      <c r="C16" s="52" t="inlineStr">
        <is>
          <t>METİN ERYİĞİT</t>
        </is>
      </c>
      <c r="D16" s="51" t="inlineStr">
        <is>
          <t>34 EGR 814</t>
        </is>
      </c>
      <c r="E16" s="51" t="inlineStr">
        <is>
          <t xml:space="preserve">ZİYA İNCE </t>
        </is>
      </c>
      <c r="F16" s="53" t="n">
        <v>592803</v>
      </c>
      <c r="G16" s="156" t="n">
        <v>492</v>
      </c>
      <c r="H16" s="60" t="n"/>
      <c r="I16" s="156">
        <f>+I15+(G16-H16)</f>
        <v/>
      </c>
      <c r="J16" s="60" t="n"/>
      <c r="K16" s="60" t="n"/>
      <c r="L16" s="158">
        <f>+H16*J16</f>
        <v/>
      </c>
      <c r="M16" s="159">
        <f>SUM(M15+K16-L16)</f>
        <v/>
      </c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</row>
    <row r="17">
      <c r="A17" s="151" t="n">
        <v>46025</v>
      </c>
      <c r="B17" s="67" t="n">
        <v>3693</v>
      </c>
      <c r="C17" s="52" t="inlineStr">
        <is>
          <t>METİN ERYİĞİT</t>
        </is>
      </c>
      <c r="D17" s="51" t="inlineStr">
        <is>
          <t>34 EGS 013</t>
        </is>
      </c>
      <c r="E17" s="51" t="inlineStr">
        <is>
          <t>UĞUR DUMAN</t>
        </is>
      </c>
      <c r="F17" s="53" t="n">
        <v>546667</v>
      </c>
      <c r="G17" s="156" t="n">
        <v>480</v>
      </c>
      <c r="H17" s="60" t="n"/>
      <c r="I17" s="156">
        <f>+I16+(G17-H17)</f>
        <v/>
      </c>
      <c r="J17" s="60" t="n"/>
      <c r="K17" s="60" t="n"/>
      <c r="L17" s="158">
        <f>+H17*J17</f>
        <v/>
      </c>
      <c r="M17" s="159">
        <f>SUM(M16+K17-L17)</f>
        <v/>
      </c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</row>
    <row r="18">
      <c r="A18" s="151" t="n">
        <v>46025</v>
      </c>
      <c r="B18" s="67" t="n">
        <v>3947</v>
      </c>
      <c r="C18" s="52" t="inlineStr">
        <is>
          <t>SELİM İNŞAAT</t>
        </is>
      </c>
      <c r="D18" s="51" t="inlineStr">
        <is>
          <t>ZOMLION</t>
        </is>
      </c>
      <c r="E18" s="51" t="inlineStr">
        <is>
          <t>SALİH ŞOLAN</t>
        </is>
      </c>
      <c r="F18" s="53" t="n"/>
      <c r="G18" s="156" t="n">
        <v>207</v>
      </c>
      <c r="H18" s="60" t="n"/>
      <c r="I18" s="156">
        <f>+I17+(G18-H18)</f>
        <v/>
      </c>
      <c r="J18" s="60" t="n"/>
      <c r="K18" s="60" t="n"/>
      <c r="L18" s="158">
        <f>+H18*J18</f>
        <v/>
      </c>
      <c r="M18" s="159">
        <f>SUM(M17+K18-L18)</f>
        <v/>
      </c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</row>
    <row r="19">
      <c r="A19" s="151" t="n">
        <v>46025</v>
      </c>
      <c r="B19" s="67" t="n">
        <v>3948</v>
      </c>
      <c r="C19" s="52" t="inlineStr">
        <is>
          <t>SELİM İNŞAAT</t>
        </is>
      </c>
      <c r="D19" s="51" t="inlineStr">
        <is>
          <t>ZOMLION</t>
        </is>
      </c>
      <c r="E19" s="51" t="inlineStr">
        <is>
          <t>ALİHAN DUMAN</t>
        </is>
      </c>
      <c r="F19" s="53" t="n"/>
      <c r="G19" s="156" t="n">
        <v>344</v>
      </c>
      <c r="H19" s="60" t="n"/>
      <c r="I19" s="156">
        <f>+I18+(G19-H19)</f>
        <v/>
      </c>
      <c r="J19" s="60" t="n"/>
      <c r="K19" s="60" t="n"/>
      <c r="L19" s="158">
        <f>+H19*J19</f>
        <v/>
      </c>
      <c r="M19" s="159">
        <f>SUM(M18+K19-L19)</f>
        <v/>
      </c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</row>
    <row r="20">
      <c r="A20" s="151" t="n">
        <v>46026</v>
      </c>
      <c r="B20" s="67" t="n">
        <v>4569</v>
      </c>
      <c r="C20" s="52" t="inlineStr">
        <is>
          <t>AHMET SELİM TEMHA</t>
        </is>
      </c>
      <c r="D20" s="51" t="inlineStr">
        <is>
          <t>FORKLİFT</t>
        </is>
      </c>
      <c r="E20" s="51" t="n"/>
      <c r="F20" s="53" t="n"/>
      <c r="G20" s="156" t="n">
        <v>30</v>
      </c>
      <c r="H20" s="60" t="n"/>
      <c r="I20" s="156">
        <f>+I19+(G20-H20)</f>
        <v/>
      </c>
      <c r="J20" s="60" t="n"/>
      <c r="K20" s="60" t="n"/>
      <c r="L20" s="158">
        <f>+H20*J20</f>
        <v/>
      </c>
      <c r="M20" s="159">
        <f>SUM(M19+K20-L20)</f>
        <v/>
      </c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</row>
    <row r="21">
      <c r="A21" s="151" t="n">
        <v>46026</v>
      </c>
      <c r="B21" s="67" t="n">
        <v>3949</v>
      </c>
      <c r="C21" s="52" t="inlineStr">
        <is>
          <t>MEGA VARLIK</t>
        </is>
      </c>
      <c r="D21" s="51" t="inlineStr">
        <is>
          <t>HITACHI</t>
        </is>
      </c>
      <c r="E21" s="51" t="inlineStr">
        <is>
          <t>TURGUT SANCAK</t>
        </is>
      </c>
      <c r="F21" s="53" t="n"/>
      <c r="G21" s="156" t="n">
        <v>510</v>
      </c>
      <c r="H21" s="60" t="n"/>
      <c r="I21" s="156">
        <f>+I20+(G21-H21)</f>
        <v/>
      </c>
      <c r="J21" s="60" t="n"/>
      <c r="K21" s="60" t="n"/>
      <c r="L21" s="158">
        <f>+H21*J21</f>
        <v/>
      </c>
      <c r="M21" s="159">
        <f>SUM(M20+K21-L21)</f>
        <v/>
      </c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  <c r="Z21" s="60" t="n"/>
    </row>
    <row r="22">
      <c r="A22" s="151" t="n">
        <v>46027</v>
      </c>
      <c r="B22" s="67" t="n">
        <v>2783</v>
      </c>
      <c r="C22" s="52" t="inlineStr">
        <is>
          <t>SELİM İNŞAAT</t>
        </is>
      </c>
      <c r="D22" s="51" t="inlineStr">
        <is>
          <t>34 EDC 086</t>
        </is>
      </c>
      <c r="E22" s="51" t="inlineStr">
        <is>
          <t>SEZGİN KOCAGİL</t>
        </is>
      </c>
      <c r="F22" s="53" t="n">
        <v>368285</v>
      </c>
      <c r="G22" s="156" t="n">
        <v>438</v>
      </c>
      <c r="H22" s="60" t="n"/>
      <c r="I22" s="156">
        <f>+I21+(G22-H22)</f>
        <v/>
      </c>
      <c r="J22" s="60" t="n"/>
      <c r="K22" s="60" t="n"/>
      <c r="L22" s="158">
        <f>+H22*J22</f>
        <v/>
      </c>
      <c r="M22" s="159">
        <f>SUM(M21+K22-L22)</f>
        <v/>
      </c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</row>
    <row r="23">
      <c r="A23" s="151" t="n">
        <v>46027</v>
      </c>
      <c r="B23" s="67" t="n">
        <v>4160</v>
      </c>
      <c r="C23" s="52" t="inlineStr">
        <is>
          <t>SELİM İNŞAAT</t>
        </is>
      </c>
      <c r="D23" s="51" t="inlineStr">
        <is>
          <t>34 FBR 748</t>
        </is>
      </c>
      <c r="E23" s="51" t="inlineStr">
        <is>
          <t>YAŞAR ÖZKAYA</t>
        </is>
      </c>
      <c r="F23" s="53" t="n">
        <v>317456</v>
      </c>
      <c r="G23" s="156" t="n">
        <v>546</v>
      </c>
      <c r="H23" s="60" t="n"/>
      <c r="I23" s="156">
        <f>+I22+(G23-H23)</f>
        <v/>
      </c>
      <c r="J23" s="60" t="n"/>
      <c r="K23" s="60" t="n"/>
      <c r="L23" s="158">
        <f>+H23*J23</f>
        <v/>
      </c>
      <c r="M23" s="159">
        <f>SUM(M22+K23-L23)</f>
        <v/>
      </c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</row>
    <row r="24">
      <c r="A24" s="151" t="n">
        <v>46027</v>
      </c>
      <c r="B24" s="67" t="n">
        <v>3477</v>
      </c>
      <c r="C24" s="52" t="inlineStr">
        <is>
          <t>SELİM İNŞAAT</t>
        </is>
      </c>
      <c r="D24" s="51" t="inlineStr">
        <is>
          <t>34 EDB 754</t>
        </is>
      </c>
      <c r="E24" s="51" t="inlineStr">
        <is>
          <t>MUSTAFA KAYA</t>
        </is>
      </c>
      <c r="F24" s="53" t="n">
        <v>364822</v>
      </c>
      <c r="G24" s="156" t="n">
        <v>462</v>
      </c>
      <c r="H24" s="60" t="n"/>
      <c r="I24" s="156">
        <f>+I23+(G24-H24)</f>
        <v/>
      </c>
      <c r="J24" s="60" t="n"/>
      <c r="K24" s="60" t="n"/>
      <c r="L24" s="158">
        <f>+H24*J24</f>
        <v/>
      </c>
      <c r="M24" s="159">
        <f>SUM(M23+K24-L24)</f>
        <v/>
      </c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</row>
    <row r="25">
      <c r="A25" s="151" t="n">
        <v>46027</v>
      </c>
      <c r="B25" s="67" t="n">
        <v>895</v>
      </c>
      <c r="C25" s="52" t="inlineStr">
        <is>
          <t>SELİM İNŞAAT</t>
        </is>
      </c>
      <c r="D25" s="51" t="inlineStr">
        <is>
          <t>34 FSG 229</t>
        </is>
      </c>
      <c r="E25" s="51" t="inlineStr">
        <is>
          <t>SİNAN TANRIVERDİ</t>
        </is>
      </c>
      <c r="F25" s="53" t="n">
        <v>292586</v>
      </c>
      <c r="G25" s="156" t="n">
        <v>547</v>
      </c>
      <c r="H25" s="60" t="n"/>
      <c r="I25" s="156">
        <f>+I24+(G25-H25)</f>
        <v/>
      </c>
      <c r="J25" s="60" t="n"/>
      <c r="K25" s="60" t="n"/>
      <c r="L25" s="158">
        <f>+H25*J25</f>
        <v/>
      </c>
      <c r="M25" s="159">
        <f>SUM(M24+K25-L25)</f>
        <v/>
      </c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</row>
    <row r="26">
      <c r="A26" s="151" t="n">
        <v>46027</v>
      </c>
      <c r="B26" s="67" t="n">
        <v>502</v>
      </c>
      <c r="C26" s="52" t="inlineStr">
        <is>
          <t>SELİM İNŞAAT</t>
        </is>
      </c>
      <c r="D26" s="51" t="inlineStr">
        <is>
          <t>34 EGR 737</t>
        </is>
      </c>
      <c r="E26" s="51" t="inlineStr">
        <is>
          <t>CEM MUHTAR</t>
        </is>
      </c>
      <c r="F26" s="53" t="n">
        <v>453142</v>
      </c>
      <c r="G26" s="156" t="n">
        <v>417</v>
      </c>
      <c r="H26" s="60" t="n"/>
      <c r="I26" s="156">
        <f>+I25+(G26-H26)</f>
        <v/>
      </c>
      <c r="J26" s="60" t="n"/>
      <c r="K26" s="60" t="n"/>
      <c r="L26" s="158">
        <f>+H26*J26</f>
        <v/>
      </c>
      <c r="M26" s="159">
        <f>SUM(M25+K26-L26)</f>
        <v/>
      </c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</row>
    <row r="27">
      <c r="A27" s="151" t="n">
        <v>46027</v>
      </c>
      <c r="B27" s="67" t="n">
        <v>1900</v>
      </c>
      <c r="C27" s="52" t="inlineStr">
        <is>
          <t>SELİM İNŞAAT</t>
        </is>
      </c>
      <c r="D27" s="51" t="inlineStr">
        <is>
          <t xml:space="preserve">34 GVZ 268 </t>
        </is>
      </c>
      <c r="E27" s="51" t="inlineStr">
        <is>
          <t>KERİM KARAMAN</t>
        </is>
      </c>
      <c r="F27" s="53" t="n">
        <v>243311</v>
      </c>
      <c r="G27" s="156" t="n">
        <v>464</v>
      </c>
      <c r="H27" s="60" t="n"/>
      <c r="I27" s="156">
        <f>+I26+(G27-H27)</f>
        <v/>
      </c>
      <c r="J27" s="60" t="n"/>
      <c r="K27" s="60" t="n"/>
      <c r="L27" s="158">
        <f>+H27*J27</f>
        <v/>
      </c>
      <c r="M27" s="159">
        <f>SUM(M26+K27-L27)</f>
        <v/>
      </c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</row>
    <row r="28">
      <c r="A28" s="151" t="n">
        <v>46027</v>
      </c>
      <c r="B28" s="67" t="n">
        <v>4862</v>
      </c>
      <c r="C28" s="52" t="inlineStr">
        <is>
          <t>SELİM İNŞAAT</t>
        </is>
      </c>
      <c r="D28" s="51" t="inlineStr">
        <is>
          <t>34 FBR 705</t>
        </is>
      </c>
      <c r="E28" s="51" t="inlineStr">
        <is>
          <t>MURAT SARI</t>
        </is>
      </c>
      <c r="F28" s="53" t="n">
        <v>354240</v>
      </c>
      <c r="G28" s="156" t="n">
        <v>350</v>
      </c>
      <c r="H28" s="60" t="n"/>
      <c r="I28" s="156">
        <f>+I27+(G28-H28)</f>
        <v/>
      </c>
      <c r="J28" s="60" t="n"/>
      <c r="K28" s="60" t="n"/>
      <c r="L28" s="158">
        <f>+H28*J28</f>
        <v/>
      </c>
      <c r="M28" s="159">
        <f>SUM(M27+K28-L28)</f>
        <v/>
      </c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</row>
    <row r="29">
      <c r="A29" s="151" t="n">
        <v>46027</v>
      </c>
      <c r="B29" s="67" t="n">
        <v>3320</v>
      </c>
      <c r="C29" s="52" t="inlineStr">
        <is>
          <t>SELİM İNŞAAT</t>
        </is>
      </c>
      <c r="D29" s="51" t="inlineStr">
        <is>
          <t>34 GUS 938</t>
        </is>
      </c>
      <c r="E29" s="51" t="inlineStr">
        <is>
          <t>MEHMET KAYA</t>
        </is>
      </c>
      <c r="F29" s="53" t="n">
        <v>239390</v>
      </c>
      <c r="G29" s="156" t="n">
        <v>332</v>
      </c>
      <c r="H29" s="60" t="n"/>
      <c r="I29" s="156">
        <f>+I28+(G29-H29)</f>
        <v/>
      </c>
      <c r="J29" s="60" t="n"/>
      <c r="K29" s="60" t="n"/>
      <c r="L29" s="158">
        <f>+H29*J29</f>
        <v/>
      </c>
      <c r="M29" s="159">
        <f>SUM(M28+K29-L29)</f>
        <v/>
      </c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</row>
    <row r="30">
      <c r="A30" s="151" t="n">
        <v>46027</v>
      </c>
      <c r="B30" s="67" t="n">
        <v>1684</v>
      </c>
      <c r="C30" s="52" t="inlineStr">
        <is>
          <t>SELİM İNŞAAT</t>
        </is>
      </c>
      <c r="D30" s="51" t="inlineStr">
        <is>
          <t>34 DHH 570</t>
        </is>
      </c>
      <c r="E30" s="51" t="inlineStr">
        <is>
          <t>YASİN ÇATAKLI</t>
        </is>
      </c>
      <c r="F30" s="53" t="n">
        <v>468801</v>
      </c>
      <c r="G30" s="156" t="n">
        <v>470</v>
      </c>
      <c r="H30" s="60" t="n"/>
      <c r="I30" s="156">
        <f>+I29+(G30-H30)</f>
        <v/>
      </c>
      <c r="J30" s="60" t="n"/>
      <c r="K30" s="60" t="n"/>
      <c r="L30" s="158">
        <f>+H30*J30</f>
        <v/>
      </c>
      <c r="M30" s="159">
        <f>SUM(M29+K30-L30)</f>
        <v/>
      </c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</row>
    <row r="31">
      <c r="A31" s="151" t="n">
        <v>46027</v>
      </c>
      <c r="B31" s="67" t="n">
        <v>4761</v>
      </c>
      <c r="C31" s="52" t="inlineStr">
        <is>
          <t>SELİM İNŞAAT</t>
        </is>
      </c>
      <c r="D31" s="51" t="inlineStr">
        <is>
          <t>34 DGP 137</t>
        </is>
      </c>
      <c r="E31" s="51" t="inlineStr">
        <is>
          <t xml:space="preserve">GÜRAY KOYUNCU </t>
        </is>
      </c>
      <c r="F31" s="53" t="n">
        <v>470209</v>
      </c>
      <c r="G31" s="156" t="n">
        <v>520</v>
      </c>
      <c r="H31" s="60" t="n"/>
      <c r="I31" s="156">
        <f>+I30+(G31-H31)</f>
        <v/>
      </c>
      <c r="J31" s="60" t="n"/>
      <c r="K31" s="60" t="n"/>
      <c r="L31" s="158">
        <f>+H31*J31</f>
        <v/>
      </c>
      <c r="M31" s="159">
        <f>SUM(M30+K31-L31)</f>
        <v/>
      </c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</row>
    <row r="32">
      <c r="A32" s="151" t="n">
        <v>46027</v>
      </c>
      <c r="B32" s="67" t="n">
        <v>4064</v>
      </c>
      <c r="C32" s="52" t="inlineStr">
        <is>
          <t>SELİM İNŞAAT</t>
        </is>
      </c>
      <c r="D32" s="51" t="inlineStr">
        <is>
          <t>34 DHH 668</t>
        </is>
      </c>
      <c r="E32" s="51" t="inlineStr">
        <is>
          <t>ADNAN KOÇ</t>
        </is>
      </c>
      <c r="F32" s="53" t="n">
        <v>421109</v>
      </c>
      <c r="G32" s="156" t="n">
        <v>406</v>
      </c>
      <c r="H32" s="60" t="n"/>
      <c r="I32" s="156">
        <f>+I31+(G32-H32)</f>
        <v/>
      </c>
      <c r="J32" s="60" t="n"/>
      <c r="K32" s="60" t="n"/>
      <c r="L32" s="158">
        <f>+H32*J32</f>
        <v/>
      </c>
      <c r="M32" s="159">
        <f>SUM(M31+K32-L32)</f>
        <v/>
      </c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</row>
    <row r="33">
      <c r="A33" s="151" t="n">
        <v>46027</v>
      </c>
      <c r="B33" s="67" t="n">
        <v>1198</v>
      </c>
      <c r="C33" s="52" t="inlineStr">
        <is>
          <t>SELİM İNŞAAT</t>
        </is>
      </c>
      <c r="D33" s="51" t="inlineStr">
        <is>
          <t>34 DSN 536</t>
        </is>
      </c>
      <c r="E33" s="51" t="inlineStr">
        <is>
          <t>SALİH YALÇIN</t>
        </is>
      </c>
      <c r="F33" s="53" t="n">
        <v>440666</v>
      </c>
      <c r="G33" s="156" t="n">
        <v>497</v>
      </c>
      <c r="H33" s="60" t="n"/>
      <c r="I33" s="156">
        <f>+I32+(G33-H33)</f>
        <v/>
      </c>
      <c r="J33" s="60" t="n"/>
      <c r="K33" s="60" t="n"/>
      <c r="L33" s="158">
        <f>+H33*J33</f>
        <v/>
      </c>
      <c r="M33" s="159">
        <f>SUM(M32+K33-L33)</f>
        <v/>
      </c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</row>
    <row r="34">
      <c r="A34" s="151" t="n">
        <v>46027</v>
      </c>
      <c r="B34" s="67" t="n">
        <v>2287</v>
      </c>
      <c r="C34" s="52" t="inlineStr">
        <is>
          <t>SELİM İNŞAAT</t>
        </is>
      </c>
      <c r="D34" s="51" t="inlineStr">
        <is>
          <t>34 DSN 636</t>
        </is>
      </c>
      <c r="E34" s="51" t="inlineStr">
        <is>
          <t>MAHSUN GÜVEN</t>
        </is>
      </c>
      <c r="F34" s="53" t="n">
        <v>426216</v>
      </c>
      <c r="G34" s="156" t="n">
        <v>488</v>
      </c>
      <c r="H34" s="60" t="n"/>
      <c r="I34" s="156">
        <f>+I33+(G34-H34)</f>
        <v/>
      </c>
      <c r="J34" s="60" t="n"/>
      <c r="K34" s="60" t="n"/>
      <c r="L34" s="158">
        <f>+H34*J34</f>
        <v/>
      </c>
      <c r="M34" s="159">
        <f>SUM(M33+K34-L34)</f>
        <v/>
      </c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</row>
    <row r="35">
      <c r="A35" s="151" t="n">
        <v>46027</v>
      </c>
      <c r="B35" s="67" t="n">
        <v>2338</v>
      </c>
      <c r="C35" s="52" t="inlineStr">
        <is>
          <t>SELİM İNŞAAT</t>
        </is>
      </c>
      <c r="D35" s="51" t="inlineStr">
        <is>
          <t>34 DP 4161</t>
        </is>
      </c>
      <c r="E35" s="51" t="inlineStr">
        <is>
          <t>RIFAT KARATAY</t>
        </is>
      </c>
      <c r="F35" s="53" t="n">
        <v>318712</v>
      </c>
      <c r="G35" s="156" t="n">
        <v>294</v>
      </c>
      <c r="H35" s="60" t="n"/>
      <c r="I35" s="156">
        <f>+I34+(G35-H35)</f>
        <v/>
      </c>
      <c r="J35" s="60" t="n"/>
      <c r="K35" s="60" t="n"/>
      <c r="L35" s="158">
        <f>+H35*J35</f>
        <v/>
      </c>
      <c r="M35" s="159">
        <f>SUM(M34+K35-L35)</f>
        <v/>
      </c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</row>
    <row r="36">
      <c r="A36" s="151" t="n">
        <v>46027</v>
      </c>
      <c r="B36" s="67" t="n">
        <v>300</v>
      </c>
      <c r="C36" s="52" t="inlineStr">
        <is>
          <t>SELİM İNŞAAT</t>
        </is>
      </c>
      <c r="D36" s="51" t="inlineStr">
        <is>
          <t>34 GER 445</t>
        </is>
      </c>
      <c r="E36" s="51" t="inlineStr">
        <is>
          <t>İRFAN DAĞLAR</t>
        </is>
      </c>
      <c r="F36" s="53" t="n">
        <v>56716</v>
      </c>
      <c r="G36" s="156" t="n">
        <v>210</v>
      </c>
      <c r="H36" s="60" t="n"/>
      <c r="I36" s="156">
        <f>+I35+(G36-H36)</f>
        <v/>
      </c>
      <c r="J36" s="60" t="n"/>
      <c r="K36" s="60" t="n"/>
      <c r="L36" s="158">
        <f>+H36*J36</f>
        <v/>
      </c>
      <c r="M36" s="159">
        <f>SUM(M35+K36-L36)</f>
        <v/>
      </c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  <c r="Z36" s="60" t="n"/>
    </row>
    <row r="37">
      <c r="A37" s="151" t="n">
        <v>46027</v>
      </c>
      <c r="B37" s="67" t="n">
        <v>3950</v>
      </c>
      <c r="C37" s="52" t="inlineStr">
        <is>
          <t xml:space="preserve">CEVİZ MOBİLYA  </t>
        </is>
      </c>
      <c r="D37" s="51" t="inlineStr">
        <is>
          <t>RT650 SARI VİNÇ</t>
        </is>
      </c>
      <c r="E37" s="51" t="inlineStr">
        <is>
          <t>ALİHAN DUMAN</t>
        </is>
      </c>
      <c r="F37" s="53" t="n"/>
      <c r="G37" s="156" t="n">
        <v>292</v>
      </c>
      <c r="H37" s="60" t="n"/>
      <c r="I37" s="156">
        <f>+I36+(G37-H37)</f>
        <v/>
      </c>
      <c r="J37" s="60" t="n"/>
      <c r="K37" s="60" t="n"/>
      <c r="L37" s="158">
        <f>+H37*J37</f>
        <v/>
      </c>
      <c r="M37" s="159">
        <f>SUM(M36+K37-L37)</f>
        <v/>
      </c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  <c r="Z37" s="60" t="n"/>
    </row>
    <row r="38">
      <c r="A38" s="151" t="n">
        <v>46027</v>
      </c>
      <c r="B38" s="67" t="n">
        <v>4202</v>
      </c>
      <c r="C38" s="52" t="inlineStr">
        <is>
          <t>EVKUR</t>
        </is>
      </c>
      <c r="D38" s="51" t="inlineStr">
        <is>
          <t>FORKLİFT</t>
        </is>
      </c>
      <c r="E38" s="51" t="inlineStr">
        <is>
          <t xml:space="preserve">FAHRİ KALFA </t>
        </is>
      </c>
      <c r="F38" s="53" t="n"/>
      <c r="G38" s="156" t="n">
        <v>50</v>
      </c>
      <c r="H38" s="60" t="n"/>
      <c r="I38" s="156">
        <f>+I37+(G38-H38)</f>
        <v/>
      </c>
      <c r="J38" s="60" t="n"/>
      <c r="K38" s="60" t="n"/>
      <c r="L38" s="158">
        <f>+H38*J38</f>
        <v/>
      </c>
      <c r="M38" s="159">
        <f>SUM(M37+K38-L38)</f>
        <v/>
      </c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  <c r="Z38" s="60" t="n"/>
    </row>
    <row r="39">
      <c r="A39" s="151" t="n">
        <v>46027</v>
      </c>
      <c r="B39" s="67" t="n">
        <v>4203</v>
      </c>
      <c r="C39" s="52" t="inlineStr">
        <is>
          <t>EVKUR</t>
        </is>
      </c>
      <c r="D39" s="51" t="inlineStr">
        <is>
          <t>KİRALIK KATO</t>
        </is>
      </c>
      <c r="E39" s="51" t="inlineStr">
        <is>
          <t>GÜNEŞ</t>
        </is>
      </c>
      <c r="F39" s="53" t="n"/>
      <c r="G39" s="156" t="n">
        <v>90</v>
      </c>
      <c r="H39" s="60" t="n"/>
      <c r="I39" s="156">
        <f>+I38+(G39-H39)</f>
        <v/>
      </c>
      <c r="J39" s="60" t="n"/>
      <c r="K39" s="60" t="n"/>
      <c r="L39" s="158">
        <f>+H39*J39</f>
        <v/>
      </c>
      <c r="M39" s="159">
        <f>SUM(M38+K39-L39)</f>
        <v/>
      </c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</row>
    <row r="40">
      <c r="A40" s="151" t="n">
        <v>46027</v>
      </c>
      <c r="B40" s="67" t="n">
        <v>4204</v>
      </c>
      <c r="C40" s="52" t="inlineStr">
        <is>
          <t>EVKUR</t>
        </is>
      </c>
      <c r="D40" s="51" t="inlineStr">
        <is>
          <t xml:space="preserve">JCB </t>
        </is>
      </c>
      <c r="E40" s="51" t="inlineStr">
        <is>
          <t>BAYRAM SANCAK</t>
        </is>
      </c>
      <c r="F40" s="53" t="n"/>
      <c r="G40" s="156" t="n">
        <v>55</v>
      </c>
      <c r="H40" s="60" t="n"/>
      <c r="I40" s="156">
        <f>+I39+(G40-H40)</f>
        <v/>
      </c>
      <c r="J40" s="60" t="n"/>
      <c r="K40" s="60" t="n"/>
      <c r="L40" s="158">
        <f>+H40*J40</f>
        <v/>
      </c>
      <c r="M40" s="159">
        <f>SUM(M39+K40-L40)</f>
        <v/>
      </c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  <c r="Z40" s="60" t="n"/>
    </row>
    <row r="41">
      <c r="A41" s="151" t="n">
        <v>46027</v>
      </c>
      <c r="B41" s="67" t="n">
        <v>4205</v>
      </c>
      <c r="C41" s="52" t="inlineStr">
        <is>
          <t>EVKUR</t>
        </is>
      </c>
      <c r="D41" s="51" t="inlineStr">
        <is>
          <t>HITACHI</t>
        </is>
      </c>
      <c r="E41" s="51" t="inlineStr">
        <is>
          <t>TURGUT SANCAK</t>
        </is>
      </c>
      <c r="F41" s="53" t="n"/>
      <c r="G41" s="156" t="n">
        <v>415</v>
      </c>
      <c r="H41" s="60" t="n"/>
      <c r="I41" s="156">
        <f>+I40+(G41-H41)</f>
        <v/>
      </c>
      <c r="J41" s="60" t="n"/>
      <c r="K41" s="60" t="n"/>
      <c r="L41" s="158">
        <f>+H41*J41</f>
        <v/>
      </c>
      <c r="M41" s="159">
        <f>SUM(M40+K41-L41)</f>
        <v/>
      </c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  <c r="Z41" s="60" t="n"/>
    </row>
    <row r="42">
      <c r="A42" s="151" t="n">
        <v>46027</v>
      </c>
      <c r="B42" s="67" t="n">
        <v>4206</v>
      </c>
      <c r="C42" s="52" t="inlineStr">
        <is>
          <t>VARLIK</t>
        </is>
      </c>
      <c r="D42" s="51" t="inlineStr">
        <is>
          <t xml:space="preserve">SILINDIR </t>
        </is>
      </c>
      <c r="E42" s="51" t="inlineStr">
        <is>
          <t xml:space="preserve">MEHMET ALİ </t>
        </is>
      </c>
      <c r="F42" s="53" t="n"/>
      <c r="G42" s="156" t="n">
        <v>252</v>
      </c>
      <c r="H42" s="60" t="n"/>
      <c r="I42" s="156">
        <f>+I41+(G42-H42)</f>
        <v/>
      </c>
      <c r="J42" s="60" t="n"/>
      <c r="K42" s="60" t="n"/>
      <c r="L42" s="158">
        <f>+H42*J42</f>
        <v/>
      </c>
      <c r="M42" s="159">
        <f>SUM(M41+K42-L42)</f>
        <v/>
      </c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</row>
    <row r="43">
      <c r="A43" s="151" t="n">
        <v>46027</v>
      </c>
      <c r="B43" s="67" t="n">
        <v>4207</v>
      </c>
      <c r="C43" s="52" t="n"/>
      <c r="D43" s="51" t="inlineStr">
        <is>
          <t>FORKLİFT</t>
        </is>
      </c>
      <c r="E43" s="51" t="inlineStr">
        <is>
          <t xml:space="preserve">FAHRİ KALFA </t>
        </is>
      </c>
      <c r="F43" s="53" t="n"/>
      <c r="G43" s="156" t="n">
        <v>63</v>
      </c>
      <c r="H43" s="60" t="n"/>
      <c r="I43" s="156">
        <f>+I42+(G43-H43)</f>
        <v/>
      </c>
      <c r="J43" s="60" t="n"/>
      <c r="K43" s="60" t="n"/>
      <c r="L43" s="158">
        <f>+H43*J43</f>
        <v/>
      </c>
      <c r="M43" s="159">
        <f>SUM(M42+K43-L43)</f>
        <v/>
      </c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</row>
    <row r="44">
      <c r="A44" s="151" t="n">
        <v>46027</v>
      </c>
      <c r="B44" s="67" t="n">
        <v>4209</v>
      </c>
      <c r="C44" s="52" t="inlineStr">
        <is>
          <t>MEGA VARLIK</t>
        </is>
      </c>
      <c r="D44" s="51" t="inlineStr">
        <is>
          <t xml:space="preserve">KAVASAKI </t>
        </is>
      </c>
      <c r="E44" s="51" t="inlineStr">
        <is>
          <t>RAMAZAN</t>
        </is>
      </c>
      <c r="F44" s="53" t="n"/>
      <c r="G44" s="156" t="n">
        <v>243</v>
      </c>
      <c r="H44" s="60" t="n"/>
      <c r="I44" s="156">
        <f>+I43+(G44-H44)</f>
        <v/>
      </c>
      <c r="J44" s="60" t="n"/>
      <c r="K44" s="60" t="n"/>
      <c r="L44" s="158">
        <f>+H44*J44</f>
        <v/>
      </c>
      <c r="M44" s="159">
        <f>SUM(M43+K44-L44)</f>
        <v/>
      </c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  <c r="Z44" s="60" t="n"/>
    </row>
    <row r="45">
      <c r="A45" s="151" t="n">
        <v>46027</v>
      </c>
      <c r="B45" s="67" t="n">
        <v>4210</v>
      </c>
      <c r="C45" s="52" t="inlineStr">
        <is>
          <t>MEGA VARLIK</t>
        </is>
      </c>
      <c r="D45" s="51" t="inlineStr">
        <is>
          <t xml:space="preserve">SM350 </t>
        </is>
      </c>
      <c r="E45" s="51" t="inlineStr">
        <is>
          <t>TEVFİK ÖZTÜRK</t>
        </is>
      </c>
      <c r="F45" s="53" t="n"/>
      <c r="G45" s="156" t="n">
        <v>478</v>
      </c>
      <c r="H45" s="60" t="n"/>
      <c r="I45" s="156">
        <f>+I44+(G45-H45)</f>
        <v/>
      </c>
      <c r="J45" s="60" t="n"/>
      <c r="K45" s="60" t="n"/>
      <c r="L45" s="158">
        <f>+H45*J45</f>
        <v/>
      </c>
      <c r="M45" s="159">
        <f>SUM(M44+K45-L45)</f>
        <v/>
      </c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</row>
    <row r="46">
      <c r="A46" s="151" t="n">
        <v>46027</v>
      </c>
      <c r="B46" s="67" t="n">
        <v>4218</v>
      </c>
      <c r="C46" s="52" t="inlineStr">
        <is>
          <t>EVKUR</t>
        </is>
      </c>
      <c r="D46" s="51" t="inlineStr">
        <is>
          <t xml:space="preserve">SM350 </t>
        </is>
      </c>
      <c r="E46" s="51" t="inlineStr">
        <is>
          <t xml:space="preserve">MİKAİL BAYILMAZ </t>
        </is>
      </c>
      <c r="F46" s="53" t="n"/>
      <c r="G46" s="156" t="n">
        <v>473</v>
      </c>
      <c r="H46" s="60" t="n"/>
      <c r="I46" s="156">
        <f>+I45+(G46-H46)</f>
        <v/>
      </c>
      <c r="J46" s="60" t="n"/>
      <c r="K46" s="60" t="n"/>
      <c r="L46" s="158">
        <f>+H46*J46</f>
        <v/>
      </c>
      <c r="M46" s="159">
        <f>SUM(M45+K46-L46)</f>
        <v/>
      </c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</row>
    <row r="47">
      <c r="A47" s="151" t="n">
        <v>46028</v>
      </c>
      <c r="B47" s="67" t="n">
        <v>4361</v>
      </c>
      <c r="C47" s="52" t="inlineStr">
        <is>
          <t>SELİM İNŞAAT</t>
        </is>
      </c>
      <c r="D47" s="51" t="inlineStr">
        <is>
          <t xml:space="preserve">34 EDB 829 </t>
        </is>
      </c>
      <c r="E47" s="51" t="inlineStr">
        <is>
          <t>ATA KIZMAZ</t>
        </is>
      </c>
      <c r="F47" s="53" t="n">
        <v>353734</v>
      </c>
      <c r="G47" s="156" t="n">
        <v>500</v>
      </c>
      <c r="H47" s="60" t="n"/>
      <c r="I47" s="156">
        <f>+I46+(G47-H47)</f>
        <v/>
      </c>
      <c r="J47" s="60" t="n"/>
      <c r="K47" s="60" t="n"/>
      <c r="L47" s="158">
        <f>+H47*J47</f>
        <v/>
      </c>
      <c r="M47" s="159">
        <f>SUM(M46+K47-L47)</f>
        <v/>
      </c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  <c r="Z47" s="60" t="n"/>
    </row>
    <row r="48">
      <c r="A48" s="151" t="n">
        <v>46028</v>
      </c>
      <c r="B48" s="67" t="n">
        <v>3215</v>
      </c>
      <c r="C48" s="52" t="inlineStr">
        <is>
          <t>SELİM İNŞAAT</t>
        </is>
      </c>
      <c r="D48" s="51" t="inlineStr">
        <is>
          <t>34 EGR 736</t>
        </is>
      </c>
      <c r="E48" s="51" t="inlineStr">
        <is>
          <t>HAKAN ÇAVUŞOĞLU</t>
        </is>
      </c>
      <c r="F48" s="53" t="n">
        <v>431625</v>
      </c>
      <c r="G48" s="156" t="n">
        <v>500</v>
      </c>
      <c r="H48" s="60" t="n"/>
      <c r="I48" s="156">
        <f>+I47+(G48-H48)</f>
        <v/>
      </c>
      <c r="J48" s="60" t="n"/>
      <c r="K48" s="60" t="n"/>
      <c r="L48" s="158">
        <f>+H48*J48</f>
        <v/>
      </c>
      <c r="M48" s="159">
        <f>SUM(M47+K48-L48)</f>
        <v/>
      </c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  <c r="Z48" s="60" t="n"/>
    </row>
    <row r="49">
      <c r="A49" s="151" t="n">
        <v>46028</v>
      </c>
      <c r="B49" s="67" t="n">
        <v>1334</v>
      </c>
      <c r="C49" s="52" t="inlineStr">
        <is>
          <t>SELİM İNŞAAT</t>
        </is>
      </c>
      <c r="D49" s="51" t="inlineStr">
        <is>
          <t>34 GVZ 199</t>
        </is>
      </c>
      <c r="E49" s="51" t="inlineStr">
        <is>
          <t>VAHDER GÜRLER</t>
        </is>
      </c>
      <c r="F49" s="53" t="n">
        <v>219673</v>
      </c>
      <c r="G49" s="156" t="n">
        <v>434</v>
      </c>
      <c r="H49" s="60" t="n"/>
      <c r="I49" s="156">
        <f>+I48+(G49-H49)</f>
        <v/>
      </c>
      <c r="J49" s="60" t="n"/>
      <c r="K49" s="60" t="n"/>
      <c r="L49" s="158">
        <f>+H49*J49</f>
        <v/>
      </c>
      <c r="M49" s="159">
        <f>SUM(M48+K49-L49)</f>
        <v/>
      </c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  <c r="Z49" s="60" t="n"/>
    </row>
    <row r="50">
      <c r="A50" s="151" t="n">
        <v>46028</v>
      </c>
      <c r="B50" s="67" t="n">
        <v>4106</v>
      </c>
      <c r="C50" s="52" t="inlineStr">
        <is>
          <t>SELİM İNŞAAT</t>
        </is>
      </c>
      <c r="D50" s="51" t="inlineStr">
        <is>
          <t>34 EDB 659</t>
        </is>
      </c>
      <c r="E50" s="51" t="inlineStr">
        <is>
          <t>MEHMET SAİT ANIK</t>
        </is>
      </c>
      <c r="F50" s="53" t="n">
        <v>382686</v>
      </c>
      <c r="G50" s="156" t="n">
        <v>412</v>
      </c>
      <c r="H50" s="60" t="n"/>
      <c r="I50" s="156">
        <f>+I49+(G50-H50)</f>
        <v/>
      </c>
      <c r="J50" s="60" t="n"/>
      <c r="K50" s="60" t="n"/>
      <c r="L50" s="158">
        <f>+H50*J50</f>
        <v/>
      </c>
      <c r="M50" s="159">
        <f>SUM(M49+K50-L50)</f>
        <v/>
      </c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  <c r="Z50" s="60" t="n"/>
    </row>
    <row r="51">
      <c r="A51" s="151" t="n">
        <v>46028</v>
      </c>
      <c r="B51" s="67" t="n">
        <v>3034</v>
      </c>
      <c r="C51" s="52" t="inlineStr">
        <is>
          <t>SELİM İNŞAAT</t>
        </is>
      </c>
      <c r="D51" s="51" t="inlineStr">
        <is>
          <t>34 FBR 781</t>
        </is>
      </c>
      <c r="E51" s="51" t="inlineStr">
        <is>
          <t>MEVLÜT POLAT</t>
        </is>
      </c>
      <c r="F51" s="53" t="n">
        <v>354535</v>
      </c>
      <c r="G51" s="156" t="n">
        <v>438</v>
      </c>
      <c r="H51" s="60" t="n"/>
      <c r="I51" s="156">
        <f>+I50+(G51-H51)</f>
        <v/>
      </c>
      <c r="J51" s="60" t="n"/>
      <c r="K51" s="60" t="n"/>
      <c r="L51" s="158">
        <f>+H51*J51</f>
        <v/>
      </c>
      <c r="M51" s="159">
        <f>SUM(M50+K51-L51)</f>
        <v/>
      </c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  <c r="Z51" s="60" t="n"/>
    </row>
    <row r="52">
      <c r="A52" s="151" t="n">
        <v>46028</v>
      </c>
      <c r="B52" s="67" t="n">
        <v>4957</v>
      </c>
      <c r="C52" s="52" t="inlineStr">
        <is>
          <t>SELİM İNŞAAT</t>
        </is>
      </c>
      <c r="D52" s="51" t="inlineStr">
        <is>
          <t>34 GVZ 745</t>
        </is>
      </c>
      <c r="E52" s="51" t="inlineStr">
        <is>
          <t>MURAT DEMİRBAŞ</t>
        </is>
      </c>
      <c r="F52" s="53" t="n">
        <v>238820</v>
      </c>
      <c r="G52" s="156" t="n">
        <v>545</v>
      </c>
      <c r="H52" s="60" t="n"/>
      <c r="I52" s="156">
        <f>+I51+(G52-H52)</f>
        <v/>
      </c>
      <c r="J52" s="60" t="n"/>
      <c r="K52" s="60" t="n"/>
      <c r="L52" s="158">
        <f>+H52*J52</f>
        <v/>
      </c>
      <c r="M52" s="159">
        <f>SUM(M51+K52-L52)</f>
        <v/>
      </c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  <c r="Z52" s="60" t="n"/>
    </row>
    <row r="53">
      <c r="A53" s="151" t="n">
        <v>46028</v>
      </c>
      <c r="B53" s="67" t="n">
        <v>3418</v>
      </c>
      <c r="C53" s="52" t="inlineStr">
        <is>
          <t>SELİM İNŞAAT</t>
        </is>
      </c>
      <c r="D53" s="51" t="inlineStr">
        <is>
          <t>34 GVZ 310</t>
        </is>
      </c>
      <c r="E53" s="51" t="inlineStr">
        <is>
          <t>CELAL YÜZBAŞI</t>
        </is>
      </c>
      <c r="F53" s="53" t="n">
        <v>240181</v>
      </c>
      <c r="G53" s="156" t="n">
        <v>382</v>
      </c>
      <c r="H53" s="60" t="n"/>
      <c r="I53" s="156">
        <f>+I52+(G53-H53)</f>
        <v/>
      </c>
      <c r="J53" s="60" t="n"/>
      <c r="K53" s="60" t="n"/>
      <c r="L53" s="158">
        <f>+H53*J53</f>
        <v/>
      </c>
      <c r="M53" s="159">
        <f>SUM(M52+K53-L53)</f>
        <v/>
      </c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  <c r="Z53" s="60" t="n"/>
    </row>
    <row r="54">
      <c r="A54" s="151" t="n">
        <v>46028</v>
      </c>
      <c r="B54" s="67" t="n">
        <v>4065</v>
      </c>
      <c r="C54" s="52" t="inlineStr">
        <is>
          <t>SELİM İNŞAAT</t>
        </is>
      </c>
      <c r="D54" s="51" t="inlineStr">
        <is>
          <t>34 DHH 668</t>
        </is>
      </c>
      <c r="E54" s="51" t="inlineStr">
        <is>
          <t>ADNAN KOÇ</t>
        </is>
      </c>
      <c r="F54" s="53" t="n">
        <v>421461</v>
      </c>
      <c r="G54" s="156" t="n">
        <v>300</v>
      </c>
      <c r="H54" s="60" t="n"/>
      <c r="I54" s="156">
        <f>+I53+(G54-H54)</f>
        <v/>
      </c>
      <c r="J54" s="60" t="n"/>
      <c r="K54" s="60" t="n"/>
      <c r="L54" s="158">
        <f>+H54*J54</f>
        <v/>
      </c>
      <c r="M54" s="159">
        <f>SUM(M53+K54-L54)</f>
        <v/>
      </c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  <c r="Z54" s="60" t="n"/>
    </row>
    <row r="55">
      <c r="A55" s="151" t="n">
        <v>46028</v>
      </c>
      <c r="B55" s="67" t="n">
        <v>4409</v>
      </c>
      <c r="C55" s="52" t="inlineStr">
        <is>
          <t>SELİM İNŞAAT</t>
        </is>
      </c>
      <c r="D55" s="51" t="inlineStr">
        <is>
          <t>34 DTV 409</t>
        </is>
      </c>
      <c r="E55" s="51" t="inlineStr">
        <is>
          <t>ADNAN KOÇ</t>
        </is>
      </c>
      <c r="F55" s="53" t="n">
        <v>448542</v>
      </c>
      <c r="G55" s="156" t="n">
        <v>441</v>
      </c>
      <c r="H55" s="60" t="n"/>
      <c r="I55" s="156">
        <f>+I54+(G55-H55)</f>
        <v/>
      </c>
      <c r="J55" s="60" t="n"/>
      <c r="K55" s="60" t="n"/>
      <c r="L55" s="158">
        <f>+H55*J55</f>
        <v/>
      </c>
      <c r="M55" s="159">
        <f>SUM(M54+K55-L55)</f>
        <v/>
      </c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  <c r="Z55" s="60" t="n"/>
    </row>
    <row r="56">
      <c r="A56" s="151" t="n">
        <v>46028</v>
      </c>
      <c r="B56" s="67" t="n">
        <v>4808</v>
      </c>
      <c r="C56" s="52" t="inlineStr">
        <is>
          <t>SELİM İNŞAAT</t>
        </is>
      </c>
      <c r="D56" s="51" t="inlineStr">
        <is>
          <t>34 EDB 559</t>
        </is>
      </c>
      <c r="E56" s="51" t="inlineStr">
        <is>
          <t>AZİZ ORUÇ</t>
        </is>
      </c>
      <c r="F56" s="53" t="n">
        <v>357411</v>
      </c>
      <c r="G56" s="156" t="n">
        <v>441</v>
      </c>
      <c r="H56" s="60" t="n"/>
      <c r="I56" s="156">
        <f>+I55+(G56-H56)</f>
        <v/>
      </c>
      <c r="J56" s="60" t="n"/>
      <c r="K56" s="60" t="n"/>
      <c r="L56" s="158">
        <f>+H56*J56</f>
        <v/>
      </c>
      <c r="M56" s="159">
        <f>SUM(M55+K56-L56)</f>
        <v/>
      </c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  <c r="Z56" s="60" t="n"/>
    </row>
    <row r="57">
      <c r="A57" s="151" t="n">
        <v>46028</v>
      </c>
      <c r="B57" s="67" t="n">
        <v>3380</v>
      </c>
      <c r="C57" s="52" t="inlineStr">
        <is>
          <t>SELİM İNŞAAT</t>
        </is>
      </c>
      <c r="D57" s="51" t="inlineStr">
        <is>
          <t>34 EDC 162</t>
        </is>
      </c>
      <c r="E57" s="51" t="inlineStr">
        <is>
          <t xml:space="preserve">YAKUP GÜNER </t>
        </is>
      </c>
      <c r="F57" s="53" t="n">
        <v>408355</v>
      </c>
      <c r="G57" s="156" t="n">
        <v>497</v>
      </c>
      <c r="H57" s="60" t="n"/>
      <c r="I57" s="156">
        <f>+I56+(G57-H57)</f>
        <v/>
      </c>
      <c r="J57" s="60" t="n"/>
      <c r="K57" s="60" t="n"/>
      <c r="L57" s="158">
        <f>+H57*J57</f>
        <v/>
      </c>
      <c r="M57" s="159">
        <f>SUM(M56+K57-L57)</f>
        <v/>
      </c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  <c r="Z57" s="60" t="n"/>
    </row>
    <row r="58">
      <c r="A58" s="151" t="n">
        <v>46028</v>
      </c>
      <c r="B58" s="67" t="n">
        <v>4503</v>
      </c>
      <c r="C58" s="52" t="inlineStr">
        <is>
          <t>SELİM İNŞAAT</t>
        </is>
      </c>
      <c r="D58" s="51" t="inlineStr">
        <is>
          <t>34 DTV 352</t>
        </is>
      </c>
      <c r="E58" s="51" t="inlineStr">
        <is>
          <t>ENGİN DENİZ</t>
        </is>
      </c>
      <c r="F58" s="53" t="n">
        <v>469043</v>
      </c>
      <c r="G58" s="156" t="n">
        <v>520</v>
      </c>
      <c r="H58" s="60" t="n"/>
      <c r="I58" s="156">
        <f>+I57+(G58-H58)</f>
        <v/>
      </c>
      <c r="J58" s="60" t="n"/>
      <c r="K58" s="60" t="n"/>
      <c r="L58" s="158">
        <f>+H58*J58</f>
        <v/>
      </c>
      <c r="M58" s="159">
        <f>SUM(M57+K58-L58)</f>
        <v/>
      </c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  <c r="Z58" s="60" t="n"/>
    </row>
    <row r="59">
      <c r="A59" s="151" t="n">
        <v>46028</v>
      </c>
      <c r="B59" s="67" t="n">
        <v>4913</v>
      </c>
      <c r="C59" s="52" t="inlineStr">
        <is>
          <t>SELİM İNŞAAT</t>
        </is>
      </c>
      <c r="D59" s="51" t="inlineStr">
        <is>
          <t>34 FBR 742</t>
        </is>
      </c>
      <c r="E59" s="51" t="inlineStr">
        <is>
          <t>ADNAN KOÇ</t>
        </is>
      </c>
      <c r="F59" s="53" t="n">
        <v>358862</v>
      </c>
      <c r="G59" s="156" t="n">
        <v>453</v>
      </c>
      <c r="H59" s="60" t="n"/>
      <c r="I59" s="156">
        <f>+I58+(G59-H59)</f>
        <v/>
      </c>
      <c r="J59" s="60" t="n"/>
      <c r="K59" s="60" t="n"/>
      <c r="L59" s="158">
        <f>+H59*J59</f>
        <v/>
      </c>
      <c r="M59" s="159">
        <f>SUM(M58+K59-L59)</f>
        <v/>
      </c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  <c r="Z59" s="60" t="n"/>
    </row>
    <row r="60">
      <c r="A60" s="151" t="n">
        <v>46028</v>
      </c>
      <c r="B60" s="67" t="n">
        <v>3164</v>
      </c>
      <c r="C60" s="52" t="inlineStr">
        <is>
          <t>SELİM İNŞAAT</t>
        </is>
      </c>
      <c r="D60" s="51" t="inlineStr">
        <is>
          <t>34 DTV 599</t>
        </is>
      </c>
      <c r="E60" s="51" t="inlineStr">
        <is>
          <t>HÜSEYİN DENİZ</t>
        </is>
      </c>
      <c r="F60" s="53" t="n">
        <v>470003</v>
      </c>
      <c r="G60" s="156" t="n">
        <v>422</v>
      </c>
      <c r="H60" s="60" t="n"/>
      <c r="I60" s="156">
        <f>+I59+(G60-H60)</f>
        <v/>
      </c>
      <c r="J60" s="60" t="n"/>
      <c r="K60" s="60" t="n"/>
      <c r="L60" s="158">
        <f>+H60*J60</f>
        <v/>
      </c>
      <c r="M60" s="159">
        <f>SUM(M59+K60-L60)</f>
        <v/>
      </c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  <c r="Z60" s="60" t="n"/>
    </row>
    <row r="61">
      <c r="A61" s="151" t="n">
        <v>46028</v>
      </c>
      <c r="B61" s="67" t="n">
        <v>4457</v>
      </c>
      <c r="C61" s="52" t="inlineStr">
        <is>
          <t>SELİM İNŞAAT</t>
        </is>
      </c>
      <c r="D61" s="51" t="inlineStr">
        <is>
          <t>34 DKL 798</t>
        </is>
      </c>
      <c r="E61" s="51" t="inlineStr">
        <is>
          <t>HASAN BAYCA</t>
        </is>
      </c>
      <c r="F61" s="53" t="n">
        <v>79842</v>
      </c>
      <c r="G61" s="156" t="n">
        <v>293</v>
      </c>
      <c r="H61" s="60" t="n"/>
      <c r="I61" s="156">
        <f>+I60+(G61-H61)</f>
        <v/>
      </c>
      <c r="J61" s="60" t="n"/>
      <c r="K61" s="60" t="n"/>
      <c r="L61" s="158">
        <f>+H61*J61</f>
        <v/>
      </c>
      <c r="M61" s="159">
        <f>SUM(M60+K61-L61)</f>
        <v/>
      </c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  <c r="Z61" s="60" t="n"/>
    </row>
    <row r="62">
      <c r="A62" s="151" t="n">
        <v>46028</v>
      </c>
      <c r="B62" s="67" t="n">
        <v>3787</v>
      </c>
      <c r="C62" s="52" t="inlineStr">
        <is>
          <t>METİN ERYİĞİT</t>
        </is>
      </c>
      <c r="D62" s="51" t="inlineStr">
        <is>
          <t>34 GBL 998</t>
        </is>
      </c>
      <c r="E62" s="51" t="inlineStr">
        <is>
          <t>ALİ KESKİN</t>
        </is>
      </c>
      <c r="F62" s="53" t="n">
        <v>329244</v>
      </c>
      <c r="G62" s="156" t="n">
        <v>360</v>
      </c>
      <c r="H62" s="60" t="n"/>
      <c r="I62" s="156">
        <f>+I61+(G62-H62)</f>
        <v/>
      </c>
      <c r="J62" s="60" t="n"/>
      <c r="K62" s="60" t="n"/>
      <c r="L62" s="158">
        <f>+H62*J62</f>
        <v/>
      </c>
      <c r="M62" s="159">
        <f>SUM(M61+K62-L62)</f>
        <v/>
      </c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  <c r="Z62" s="60" t="n"/>
    </row>
    <row r="63">
      <c r="A63" s="151" t="n">
        <v>46028</v>
      </c>
      <c r="B63" s="67" t="n">
        <v>2736</v>
      </c>
      <c r="C63" s="52" t="inlineStr">
        <is>
          <t>METİN ERYİĞİT</t>
        </is>
      </c>
      <c r="D63" s="51" t="inlineStr">
        <is>
          <t>34 EGR 814</t>
        </is>
      </c>
      <c r="E63" s="51" t="inlineStr">
        <is>
          <t xml:space="preserve">ZİYA İNCE </t>
        </is>
      </c>
      <c r="F63" s="53" t="n">
        <v>593641</v>
      </c>
      <c r="G63" s="156" t="n">
        <v>431</v>
      </c>
      <c r="H63" s="60" t="n"/>
      <c r="I63" s="156">
        <f>+I62+(G63-H63)</f>
        <v/>
      </c>
      <c r="J63" s="60" t="n"/>
      <c r="K63" s="60" t="n"/>
      <c r="L63" s="158">
        <f>+H63*J63</f>
        <v/>
      </c>
      <c r="M63" s="159">
        <f>SUM(M62+K63-L63)</f>
        <v/>
      </c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  <c r="Z63" s="60" t="n"/>
    </row>
    <row r="64">
      <c r="A64" s="151" t="n">
        <v>46028</v>
      </c>
      <c r="B64" s="67" t="n">
        <v>3694</v>
      </c>
      <c r="C64" s="52" t="inlineStr">
        <is>
          <t>METİN ERYİĞİT</t>
        </is>
      </c>
      <c r="D64" s="51" t="inlineStr">
        <is>
          <t>34 EGS 013</t>
        </is>
      </c>
      <c r="E64" s="51" t="inlineStr">
        <is>
          <t>UĞUR DUMAN</t>
        </is>
      </c>
      <c r="F64" s="53" t="n">
        <v>547328</v>
      </c>
      <c r="G64" s="156" t="n">
        <v>411</v>
      </c>
      <c r="H64" s="60" t="n"/>
      <c r="I64" s="156">
        <f>+I63+(G64-H64)</f>
        <v/>
      </c>
      <c r="J64" s="60" t="n"/>
      <c r="K64" s="60" t="n"/>
      <c r="L64" s="158">
        <f>+H64*J64</f>
        <v/>
      </c>
      <c r="M64" s="159">
        <f>SUM(M63+K64-L64)</f>
        <v/>
      </c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</row>
    <row r="65">
      <c r="A65" s="151" t="n">
        <v>46028</v>
      </c>
      <c r="B65" s="67" t="n">
        <v>4570</v>
      </c>
      <c r="C65" s="52" t="inlineStr">
        <is>
          <t>RECEP SELİM OTOKURTARICI</t>
        </is>
      </c>
      <c r="D65" s="51" t="inlineStr">
        <is>
          <t>34 GC 8658</t>
        </is>
      </c>
      <c r="E65" s="51" t="inlineStr">
        <is>
          <t>RECEP SELİM</t>
        </is>
      </c>
      <c r="F65" s="53" t="n"/>
      <c r="G65" s="156" t="n">
        <v>63</v>
      </c>
      <c r="H65" s="60" t="n"/>
      <c r="I65" s="156">
        <f>+I64+(G65-H65)</f>
        <v/>
      </c>
      <c r="J65" s="60" t="n"/>
      <c r="K65" s="60" t="n"/>
      <c r="L65" s="158">
        <f>+H65*J65</f>
        <v/>
      </c>
      <c r="M65" s="159">
        <f>SUM(M64+K65-L65)</f>
        <v/>
      </c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</row>
    <row r="66">
      <c r="A66" s="151" t="n">
        <v>46028</v>
      </c>
      <c r="B66" s="67" t="n">
        <v>4211</v>
      </c>
      <c r="C66" s="52" t="inlineStr">
        <is>
          <t>MEGA VARLIK</t>
        </is>
      </c>
      <c r="D66" s="51" t="inlineStr">
        <is>
          <t xml:space="preserve">SM350 </t>
        </is>
      </c>
      <c r="E66" s="51" t="inlineStr">
        <is>
          <t xml:space="preserve">MİKAİL BAYILMAZ </t>
        </is>
      </c>
      <c r="F66" s="53" t="n"/>
      <c r="G66" s="156" t="n">
        <v>355</v>
      </c>
      <c r="H66" s="60" t="n"/>
      <c r="I66" s="156">
        <f>+I65+(G66-H66)</f>
        <v/>
      </c>
      <c r="J66" s="60" t="n"/>
      <c r="K66" s="60" t="n"/>
      <c r="L66" s="158">
        <f>+H66*J66</f>
        <v/>
      </c>
      <c r="M66" s="159">
        <f>SUM(M65+K66-L66)</f>
        <v/>
      </c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</row>
    <row r="67">
      <c r="A67" s="151" t="n">
        <v>46029</v>
      </c>
      <c r="B67" s="67" t="n">
        <v>3615</v>
      </c>
      <c r="C67" s="52" t="inlineStr">
        <is>
          <t>SELİM İNŞAAT</t>
        </is>
      </c>
      <c r="D67" s="51" t="inlineStr">
        <is>
          <t>34 EDB 922</t>
        </is>
      </c>
      <c r="E67" s="51" t="inlineStr">
        <is>
          <t>ÇAĞDAŞ YÜCESAN</t>
        </is>
      </c>
      <c r="F67" s="53" t="n">
        <v>402491</v>
      </c>
      <c r="G67" s="156" t="n">
        <v>524</v>
      </c>
      <c r="H67" s="60" t="n"/>
      <c r="I67" s="156">
        <f>+I66+(G67-H67)</f>
        <v/>
      </c>
      <c r="J67" s="60" t="n"/>
      <c r="K67" s="60" t="n"/>
      <c r="L67" s="158">
        <f>+H67*J67</f>
        <v/>
      </c>
      <c r="M67" s="159">
        <f>SUM(M66+K67-L67)</f>
        <v/>
      </c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</row>
    <row r="68">
      <c r="A68" s="151" t="n">
        <v>46029</v>
      </c>
      <c r="B68" s="67" t="n">
        <v>2784</v>
      </c>
      <c r="C68" s="52" t="inlineStr">
        <is>
          <t>SELİM İNŞAAT</t>
        </is>
      </c>
      <c r="D68" s="51" t="inlineStr">
        <is>
          <t>34 EDC 086</t>
        </is>
      </c>
      <c r="E68" s="51" t="inlineStr">
        <is>
          <t>SEZGİN KOCAGİL</t>
        </is>
      </c>
      <c r="F68" s="53" t="n">
        <v>368995</v>
      </c>
      <c r="G68" s="156" t="n">
        <v>538</v>
      </c>
      <c r="H68" s="60" t="n"/>
      <c r="I68" s="156">
        <f>+I67+(G68-H68)</f>
        <v/>
      </c>
      <c r="J68" s="60" t="n"/>
      <c r="K68" s="60" t="n"/>
      <c r="L68" s="158">
        <f>+H68*J68</f>
        <v/>
      </c>
      <c r="M68" s="159">
        <f>SUM(M67+K68-L68)</f>
        <v/>
      </c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</row>
    <row r="69">
      <c r="A69" s="151" t="n">
        <v>46029</v>
      </c>
      <c r="B69" s="67" t="n">
        <v>1538</v>
      </c>
      <c r="C69" s="52" t="inlineStr">
        <is>
          <t>SELİM İNŞAAT</t>
        </is>
      </c>
      <c r="D69" s="51" t="inlineStr">
        <is>
          <t>34 GUS 848</t>
        </is>
      </c>
      <c r="E69" s="51" t="inlineStr">
        <is>
          <t>SERDAR BOZKURT</t>
        </is>
      </c>
      <c r="F69" s="53" t="n">
        <v>225188</v>
      </c>
      <c r="G69" s="156" t="n">
        <v>521</v>
      </c>
      <c r="H69" s="60" t="n"/>
      <c r="I69" s="156">
        <f>+I68+(G69-H69)</f>
        <v/>
      </c>
      <c r="J69" s="60" t="n"/>
      <c r="K69" s="60" t="n"/>
      <c r="L69" s="158">
        <f>+H69*J69</f>
        <v/>
      </c>
      <c r="M69" s="159">
        <f>SUM(M68+K69-L69)</f>
        <v/>
      </c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</row>
    <row r="70">
      <c r="A70" s="151" t="n">
        <v>46029</v>
      </c>
      <c r="B70" s="67" t="n">
        <v>4161</v>
      </c>
      <c r="C70" s="52" t="inlineStr">
        <is>
          <t>SELİM İNŞAAT</t>
        </is>
      </c>
      <c r="D70" s="51" t="inlineStr">
        <is>
          <t>34 FBR 748</t>
        </is>
      </c>
      <c r="E70" s="51" t="inlineStr">
        <is>
          <t>YAŞAR ÖZKAYA</t>
        </is>
      </c>
      <c r="F70" s="53" t="n">
        <v>318005</v>
      </c>
      <c r="G70" s="156" t="n">
        <v>410</v>
      </c>
      <c r="H70" s="60" t="n"/>
      <c r="I70" s="156">
        <f>+I69+(G70-H70)</f>
        <v/>
      </c>
      <c r="J70" s="60" t="n"/>
      <c r="K70" s="60" t="n"/>
      <c r="L70" s="158">
        <f>+H70*J70</f>
        <v/>
      </c>
      <c r="M70" s="159">
        <f>SUM(M69+K70-L70)</f>
        <v/>
      </c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  <c r="Z70" s="60" t="n"/>
    </row>
    <row r="71">
      <c r="A71" s="151" t="n">
        <v>46029</v>
      </c>
      <c r="B71" s="67" t="n">
        <v>503</v>
      </c>
      <c r="C71" s="52" t="inlineStr">
        <is>
          <t>SELİM İNŞAAT</t>
        </is>
      </c>
      <c r="D71" s="51" t="inlineStr">
        <is>
          <t>34 EGR 737</t>
        </is>
      </c>
      <c r="E71" s="51" t="inlineStr">
        <is>
          <t>CEM MUHTAR</t>
        </is>
      </c>
      <c r="F71" s="53" t="n">
        <v>453608</v>
      </c>
      <c r="G71" s="156" t="n">
        <v>422</v>
      </c>
      <c r="H71" s="60" t="n"/>
      <c r="I71" s="156">
        <f>+I70+(G71-H71)</f>
        <v/>
      </c>
      <c r="J71" s="60" t="n"/>
      <c r="K71" s="60" t="n"/>
      <c r="L71" s="158">
        <f>+H71*J71</f>
        <v/>
      </c>
      <c r="M71" s="159">
        <f>SUM(M70+K71-L71)</f>
        <v/>
      </c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  <c r="Z71" s="60" t="n"/>
    </row>
    <row r="72">
      <c r="A72" s="151" t="n">
        <v>46029</v>
      </c>
      <c r="B72" s="67" t="n">
        <v>1901</v>
      </c>
      <c r="C72" s="52" t="inlineStr">
        <is>
          <t>SELİM İNŞAAT</t>
        </is>
      </c>
      <c r="D72" s="51" t="inlineStr">
        <is>
          <t xml:space="preserve">34 GVZ 268 </t>
        </is>
      </c>
      <c r="E72" s="51" t="inlineStr">
        <is>
          <t>KERİM KARAMAN</t>
        </is>
      </c>
      <c r="F72" s="53" t="n">
        <v>244053</v>
      </c>
      <c r="G72" s="156" t="n">
        <v>488</v>
      </c>
      <c r="H72" s="60" t="n"/>
      <c r="I72" s="156">
        <f>+I71+(G72-H72)</f>
        <v/>
      </c>
      <c r="J72" s="60" t="n"/>
      <c r="K72" s="60" t="n"/>
      <c r="L72" s="158">
        <f>+H72*J72</f>
        <v/>
      </c>
      <c r="M72" s="159">
        <f>SUM(M71+K72-L72)</f>
        <v/>
      </c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</row>
    <row r="73">
      <c r="A73" s="151" t="n">
        <v>46029</v>
      </c>
      <c r="B73" s="67" t="n">
        <v>4863</v>
      </c>
      <c r="C73" s="52" t="inlineStr">
        <is>
          <t>SELİM İNŞAAT</t>
        </is>
      </c>
      <c r="D73" s="51" t="inlineStr">
        <is>
          <t>34 FBR 705</t>
        </is>
      </c>
      <c r="E73" s="51" t="inlineStr">
        <is>
          <t>MURAT SARI</t>
        </is>
      </c>
      <c r="F73" s="53" t="n">
        <v>354686</v>
      </c>
      <c r="G73" s="156" t="n">
        <v>354</v>
      </c>
      <c r="H73" s="60" t="n"/>
      <c r="I73" s="156">
        <f>+I72+(G73-H73)</f>
        <v/>
      </c>
      <c r="J73" s="60" t="n"/>
      <c r="K73" s="60" t="n"/>
      <c r="L73" s="158">
        <f>+H73*J73</f>
        <v/>
      </c>
      <c r="M73" s="159">
        <f>SUM(M72+K73-L73)</f>
        <v/>
      </c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  <c r="Z73" s="60" t="n"/>
    </row>
    <row r="74">
      <c r="A74" s="151" t="n">
        <v>46029</v>
      </c>
      <c r="B74" s="67" t="n">
        <v>3321</v>
      </c>
      <c r="C74" s="52" t="inlineStr">
        <is>
          <t>SELİM İNŞAAT</t>
        </is>
      </c>
      <c r="D74" s="51" t="inlineStr">
        <is>
          <t>34 GUS 938</t>
        </is>
      </c>
      <c r="E74" s="51" t="inlineStr">
        <is>
          <t>MEHMET KAYA</t>
        </is>
      </c>
      <c r="F74" s="53" t="n">
        <v>240136</v>
      </c>
      <c r="G74" s="156" t="n">
        <v>550</v>
      </c>
      <c r="H74" s="60" t="n"/>
      <c r="I74" s="156">
        <f>+I73+(G74-H74)</f>
        <v/>
      </c>
      <c r="J74" s="60" t="n"/>
      <c r="K74" s="60" t="n"/>
      <c r="L74" s="158">
        <f>+H74*J74</f>
        <v/>
      </c>
      <c r="M74" s="159">
        <f>SUM(M73+K74-L74)</f>
        <v/>
      </c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  <c r="Z74" s="60" t="n"/>
    </row>
    <row r="75">
      <c r="A75" s="151" t="n">
        <v>46029</v>
      </c>
      <c r="B75" s="67" t="n">
        <v>1685</v>
      </c>
      <c r="C75" s="52" t="inlineStr">
        <is>
          <t>SELİM İNŞAAT</t>
        </is>
      </c>
      <c r="D75" s="51" t="inlineStr">
        <is>
          <t>34 DHH 570</t>
        </is>
      </c>
      <c r="E75" s="51" t="inlineStr">
        <is>
          <t>YASİN ÇATAKLI</t>
        </is>
      </c>
      <c r="F75" s="53" t="n">
        <v>469500</v>
      </c>
      <c r="G75" s="156" t="n">
        <v>540</v>
      </c>
      <c r="H75" s="60" t="n"/>
      <c r="I75" s="156">
        <f>+I74+(G75-H75)</f>
        <v/>
      </c>
      <c r="J75" s="60" t="n"/>
      <c r="K75" s="60" t="n"/>
      <c r="L75" s="158">
        <f>+H75*J75</f>
        <v/>
      </c>
      <c r="M75" s="159">
        <f>SUM(M74+K75-L75)</f>
        <v/>
      </c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  <c r="Z75" s="60" t="n"/>
    </row>
    <row r="76">
      <c r="A76" s="151" t="n">
        <v>46029</v>
      </c>
      <c r="B76" s="67" t="n">
        <v>4302</v>
      </c>
      <c r="C76" s="52" t="inlineStr">
        <is>
          <t>SELİM İNŞAAT</t>
        </is>
      </c>
      <c r="D76" s="51" t="inlineStr">
        <is>
          <t>34 DTV 447</t>
        </is>
      </c>
      <c r="E76" s="51" t="inlineStr">
        <is>
          <t>EBUBEKİR KOLDAŞ</t>
        </is>
      </c>
      <c r="F76" s="53" t="n">
        <v>460023</v>
      </c>
      <c r="G76" s="156" t="n">
        <v>492</v>
      </c>
      <c r="H76" s="60" t="n"/>
      <c r="I76" s="156">
        <f>+I75+(G76-H76)</f>
        <v/>
      </c>
      <c r="J76" s="60" t="n"/>
      <c r="K76" s="60" t="n"/>
      <c r="L76" s="158">
        <f>+H76*J76</f>
        <v/>
      </c>
      <c r="M76" s="159">
        <f>SUM(M75+K76-L76)</f>
        <v/>
      </c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  <c r="Z76" s="60" t="n"/>
    </row>
    <row r="77">
      <c r="A77" s="151" t="n">
        <v>46029</v>
      </c>
      <c r="B77" s="67" t="n">
        <v>4762</v>
      </c>
      <c r="C77" s="52" t="inlineStr">
        <is>
          <t>SELİM İNŞAAT</t>
        </is>
      </c>
      <c r="D77" s="51" t="inlineStr">
        <is>
          <t>34 DGP 137</t>
        </is>
      </c>
      <c r="E77" s="51" t="inlineStr">
        <is>
          <t xml:space="preserve">GÜRAY KOYUNCU </t>
        </is>
      </c>
      <c r="F77" s="53" t="n">
        <v>470782</v>
      </c>
      <c r="G77" s="156" t="n">
        <v>410</v>
      </c>
      <c r="H77" s="60" t="n"/>
      <c r="I77" s="156">
        <f>+I76+(G77-H77)</f>
        <v/>
      </c>
      <c r="J77" s="60" t="n"/>
      <c r="K77" s="60" t="n"/>
      <c r="L77" s="158">
        <f>+H77*J77</f>
        <v/>
      </c>
      <c r="M77" s="159">
        <f>SUM(M76+K77-L77)</f>
        <v/>
      </c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  <c r="Z77" s="60" t="n"/>
    </row>
    <row r="78">
      <c r="A78" s="151" t="n">
        <v>46029</v>
      </c>
      <c r="B78" s="67" t="n">
        <v>4809</v>
      </c>
      <c r="C78" s="52" t="inlineStr">
        <is>
          <t>SELİM İNŞAAT</t>
        </is>
      </c>
      <c r="D78" s="51" t="inlineStr">
        <is>
          <t>34 EDB 559</t>
        </is>
      </c>
      <c r="E78" s="51" t="inlineStr">
        <is>
          <t>AZİZ ORUÇ</t>
        </is>
      </c>
      <c r="F78" s="53" t="n">
        <v>357666</v>
      </c>
      <c r="G78" s="156" t="n">
        <v>265</v>
      </c>
      <c r="H78" s="60" t="n"/>
      <c r="I78" s="156">
        <f>+I77+(G78-H78)</f>
        <v/>
      </c>
      <c r="J78" s="60" t="n"/>
      <c r="K78" s="60" t="n"/>
      <c r="L78" s="158">
        <f>+H78*J78</f>
        <v/>
      </c>
      <c r="M78" s="159">
        <f>SUM(M77+K78-L78)</f>
        <v/>
      </c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  <c r="Z78" s="60" t="n"/>
    </row>
    <row r="79">
      <c r="A79" s="151" t="n">
        <v>46029</v>
      </c>
      <c r="B79" s="67" t="n">
        <v>1199</v>
      </c>
      <c r="C79" s="52" t="inlineStr">
        <is>
          <t>SELİM İNŞAAT</t>
        </is>
      </c>
      <c r="D79" s="51" t="inlineStr">
        <is>
          <t>34 DSN 536</t>
        </is>
      </c>
      <c r="E79" s="51" t="inlineStr">
        <is>
          <t>SALİH YALÇIN</t>
        </is>
      </c>
      <c r="F79" s="53" t="n">
        <v>441130</v>
      </c>
      <c r="G79" s="156" t="n">
        <v>398</v>
      </c>
      <c r="H79" s="60" t="n"/>
      <c r="I79" s="156">
        <f>+I78+(G79-H79)</f>
        <v/>
      </c>
      <c r="J79" s="60" t="n"/>
      <c r="K79" s="60" t="n"/>
      <c r="L79" s="158">
        <f>+H79*J79</f>
        <v/>
      </c>
      <c r="M79" s="159">
        <f>SUM(M78+K79-L79)</f>
        <v/>
      </c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  <c r="Z79" s="60" t="n"/>
    </row>
    <row r="80">
      <c r="A80" s="151" t="n">
        <v>46029</v>
      </c>
      <c r="B80" s="67" t="n">
        <v>2288</v>
      </c>
      <c r="C80" s="52" t="inlineStr">
        <is>
          <t>SELİM İNŞAAT</t>
        </is>
      </c>
      <c r="D80" s="51" t="inlineStr">
        <is>
          <t>34 DSN 636</t>
        </is>
      </c>
      <c r="E80" s="51" t="inlineStr">
        <is>
          <t>MAHSUN GÜVEN</t>
        </is>
      </c>
      <c r="F80" s="53" t="n">
        <v>426711</v>
      </c>
      <c r="G80" s="156" t="n">
        <v>403</v>
      </c>
      <c r="H80" s="60" t="n"/>
      <c r="I80" s="156">
        <f>+I79+(G80-H80)</f>
        <v/>
      </c>
      <c r="J80" s="60" t="n"/>
      <c r="K80" s="60" t="n"/>
      <c r="L80" s="158">
        <f>+H80*J80</f>
        <v/>
      </c>
      <c r="M80" s="159">
        <f>SUM(M79+K80-L80)</f>
        <v/>
      </c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</row>
    <row r="81">
      <c r="A81" s="151" t="n">
        <v>46029</v>
      </c>
      <c r="B81" s="67" t="n">
        <v>2587</v>
      </c>
      <c r="C81" s="52" t="inlineStr">
        <is>
          <t>SELİM İNŞAAT</t>
        </is>
      </c>
      <c r="D81" s="51" t="inlineStr">
        <is>
          <t>34 GER 028</t>
        </is>
      </c>
      <c r="E81" s="51" t="inlineStr">
        <is>
          <t>ABDULKERİM ERGEN</t>
        </is>
      </c>
      <c r="F81" s="53" t="n">
        <v>88558</v>
      </c>
      <c r="G81" s="156" t="n">
        <v>540</v>
      </c>
      <c r="H81" s="60" t="n"/>
      <c r="I81" s="156">
        <f>+I80+(G81-H81)</f>
        <v/>
      </c>
      <c r="J81" s="60" t="n"/>
      <c r="K81" s="60" t="n"/>
      <c r="L81" s="158">
        <f>+H81*J81</f>
        <v/>
      </c>
      <c r="M81" s="159">
        <f>SUM(M80+K81-L81)</f>
        <v/>
      </c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</row>
    <row r="82">
      <c r="A82" s="151" t="n">
        <v>46029</v>
      </c>
      <c r="B82" s="67" t="n">
        <v>1626</v>
      </c>
      <c r="C82" s="52" t="inlineStr">
        <is>
          <t>SELİM İNŞAAT</t>
        </is>
      </c>
      <c r="D82" s="51" t="inlineStr">
        <is>
          <t>34 VF 2620</t>
        </is>
      </c>
      <c r="E82" s="51" t="inlineStr">
        <is>
          <t>RECEP SELİM</t>
        </is>
      </c>
      <c r="F82" s="53" t="n">
        <v>200072</v>
      </c>
      <c r="G82" s="156" t="n">
        <v>55</v>
      </c>
      <c r="H82" s="60" t="n"/>
      <c r="I82" s="156">
        <f>+I81+(G82-H82)</f>
        <v/>
      </c>
      <c r="J82" s="60" t="n"/>
      <c r="K82" s="60" t="n"/>
      <c r="L82" s="158">
        <f>+H82*J82</f>
        <v/>
      </c>
      <c r="M82" s="159">
        <f>SUM(M81+K82-L82)</f>
        <v/>
      </c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  <c r="Z82" s="60" t="n"/>
    </row>
    <row r="83">
      <c r="A83" s="151" t="n">
        <v>46029</v>
      </c>
      <c r="B83" s="67" t="n">
        <v>1377</v>
      </c>
      <c r="C83" s="52" t="inlineStr">
        <is>
          <t xml:space="preserve">AZGÜN YAPI </t>
        </is>
      </c>
      <c r="D83" s="51" t="inlineStr">
        <is>
          <t>34 MKT 859</t>
        </is>
      </c>
      <c r="E83" s="51" t="inlineStr">
        <is>
          <t>ONUR CANLI</t>
        </is>
      </c>
      <c r="F83" s="53" t="n">
        <v>88558</v>
      </c>
      <c r="G83" s="156" t="n">
        <v>440</v>
      </c>
      <c r="H83" s="60" t="n"/>
      <c r="I83" s="156">
        <f>+I82+(G83-H83)</f>
        <v/>
      </c>
      <c r="J83" s="60" t="n"/>
      <c r="K83" s="60" t="n"/>
      <c r="L83" s="158">
        <f>+H83*J83</f>
        <v/>
      </c>
      <c r="M83" s="159">
        <f>SUM(M82+K83-L83)</f>
        <v/>
      </c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  <c r="Z83" s="60" t="n"/>
    </row>
    <row r="84">
      <c r="A84" s="151" t="n">
        <v>46029</v>
      </c>
      <c r="B84" s="67" t="n">
        <v>2526</v>
      </c>
      <c r="C84" s="52" t="inlineStr">
        <is>
          <t xml:space="preserve">AZGÜN YAPI </t>
        </is>
      </c>
      <c r="D84" s="51" t="inlineStr">
        <is>
          <t>34 MKT 493</t>
        </is>
      </c>
      <c r="E84" s="51" t="inlineStr">
        <is>
          <t>TURGUT ÇATAL</t>
        </is>
      </c>
      <c r="F84" s="53" t="n"/>
      <c r="G84" s="156" t="n">
        <v>364</v>
      </c>
      <c r="H84" s="60" t="n"/>
      <c r="I84" s="156">
        <f>+I83+(G84-H84)</f>
        <v/>
      </c>
      <c r="J84" s="60" t="n"/>
      <c r="K84" s="60" t="n"/>
      <c r="L84" s="158">
        <f>+H84*J84</f>
        <v/>
      </c>
      <c r="M84" s="159">
        <f>SUM(M83+K84-L84)</f>
        <v/>
      </c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  <c r="Z84" s="60" t="n"/>
    </row>
    <row r="85">
      <c r="A85" s="151" t="n">
        <v>46029</v>
      </c>
      <c r="B85" s="67" t="n">
        <v>4571</v>
      </c>
      <c r="C85" s="52" t="inlineStr">
        <is>
          <t>AHMET SELİM TEMHA</t>
        </is>
      </c>
      <c r="D85" s="51" t="inlineStr">
        <is>
          <t>34 DG 422</t>
        </is>
      </c>
      <c r="E85" s="51" t="inlineStr">
        <is>
          <t>ERSOY SIĞINMAZ</t>
        </is>
      </c>
      <c r="F85" s="53" t="n"/>
      <c r="G85" s="156" t="n">
        <v>56</v>
      </c>
      <c r="H85" s="60" t="n"/>
      <c r="I85" s="156">
        <f>+I84+(G85-H85)</f>
        <v/>
      </c>
      <c r="J85" s="60" t="n"/>
      <c r="K85" s="60" t="n"/>
      <c r="L85" s="158">
        <f>+H85*J85</f>
        <v/>
      </c>
      <c r="M85" s="159">
        <f>SUM(M84+K85-L85)</f>
        <v/>
      </c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</row>
    <row r="86">
      <c r="A86" s="151" t="n">
        <v>46029</v>
      </c>
      <c r="B86" s="67" t="n">
        <v>4212</v>
      </c>
      <c r="C86" s="52" t="inlineStr">
        <is>
          <t>MEGA VARLIK</t>
        </is>
      </c>
      <c r="D86" s="51" t="inlineStr">
        <is>
          <t xml:space="preserve">KAVASAKI </t>
        </is>
      </c>
      <c r="E86" s="51" t="inlineStr">
        <is>
          <t>RAMAZAN</t>
        </is>
      </c>
      <c r="F86" s="53" t="n"/>
      <c r="G86" s="156" t="n">
        <v>396</v>
      </c>
      <c r="H86" s="60" t="n"/>
      <c r="I86" s="156">
        <f>+I85+(G86-H86)</f>
        <v/>
      </c>
      <c r="J86" s="60" t="n"/>
      <c r="K86" s="60" t="n"/>
      <c r="L86" s="158">
        <f>+H86*J86</f>
        <v/>
      </c>
      <c r="M86" s="159">
        <f>SUM(M85+K86-L86)</f>
        <v/>
      </c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  <c r="Z86" s="60" t="n"/>
    </row>
    <row r="87">
      <c r="A87" s="151" t="n">
        <v>46029</v>
      </c>
      <c r="B87" s="67" t="n">
        <v>4213</v>
      </c>
      <c r="C87" s="52" t="inlineStr">
        <is>
          <t>MEGA VARLIK</t>
        </is>
      </c>
      <c r="D87" s="51" t="inlineStr">
        <is>
          <t xml:space="preserve">JCB </t>
        </is>
      </c>
      <c r="E87" s="51" t="inlineStr">
        <is>
          <t>BAYRAM SANCAK</t>
        </is>
      </c>
      <c r="F87" s="53" t="n"/>
      <c r="G87" s="156" t="n">
        <v>72</v>
      </c>
      <c r="H87" s="60" t="n"/>
      <c r="I87" s="156">
        <f>+I86+(G87-H87)</f>
        <v/>
      </c>
      <c r="J87" s="60" t="n"/>
      <c r="K87" s="60" t="n"/>
      <c r="L87" s="158">
        <f>+H87*J87</f>
        <v/>
      </c>
      <c r="M87" s="159">
        <f>SUM(M86+K87-L87)</f>
        <v/>
      </c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</row>
    <row r="88">
      <c r="A88" s="151" t="n">
        <v>46029</v>
      </c>
      <c r="B88" s="67" t="n">
        <v>4214</v>
      </c>
      <c r="C88" s="52" t="inlineStr">
        <is>
          <t>HASALTUN</t>
        </is>
      </c>
      <c r="D88" s="51" t="inlineStr">
        <is>
          <t xml:space="preserve">SM350 </t>
        </is>
      </c>
      <c r="E88" s="51" t="inlineStr">
        <is>
          <t>TEVFİK ÖZTÜRK</t>
        </is>
      </c>
      <c r="F88" s="53" t="n"/>
      <c r="G88" s="156" t="n">
        <v>412</v>
      </c>
      <c r="H88" s="60" t="n"/>
      <c r="I88" s="156">
        <f>+I87+(G88-H88)</f>
        <v/>
      </c>
      <c r="J88" s="60" t="n"/>
      <c r="K88" s="60" t="n"/>
      <c r="L88" s="158">
        <f>+H88*J88</f>
        <v/>
      </c>
      <c r="M88" s="159">
        <f>SUM(M87+K88-L88)</f>
        <v/>
      </c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</row>
    <row r="89">
      <c r="A89" s="151" t="n">
        <v>46029</v>
      </c>
      <c r="B89" s="67" t="n">
        <v>4215</v>
      </c>
      <c r="C89" s="52" t="inlineStr">
        <is>
          <t>VARLIK</t>
        </is>
      </c>
      <c r="D89" s="51" t="inlineStr">
        <is>
          <t>HITACHI</t>
        </is>
      </c>
      <c r="E89" s="51" t="inlineStr">
        <is>
          <t>TURGUT</t>
        </is>
      </c>
      <c r="F89" s="53" t="n"/>
      <c r="G89" s="156" t="n">
        <v>443</v>
      </c>
      <c r="H89" s="60" t="n"/>
      <c r="I89" s="156">
        <f>+I88+(G89-H89)</f>
        <v/>
      </c>
      <c r="J89" s="60" t="n"/>
      <c r="K89" s="60" t="n"/>
      <c r="L89" s="158">
        <f>+H89*J89</f>
        <v/>
      </c>
      <c r="M89" s="159">
        <f>SUM(M88+K89-L89)</f>
        <v/>
      </c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  <c r="Z89" s="60" t="n"/>
    </row>
    <row r="90">
      <c r="A90" s="151" t="n">
        <v>46030</v>
      </c>
      <c r="B90" s="67" t="n">
        <v>3216</v>
      </c>
      <c r="C90" s="52" t="inlineStr">
        <is>
          <t>SELİM İNŞAAT</t>
        </is>
      </c>
      <c r="D90" s="51" t="inlineStr">
        <is>
          <t>34 EGR 736</t>
        </is>
      </c>
      <c r="E90" s="51" t="inlineStr">
        <is>
          <t>HAKAN ÇAVUŞOĞLU</t>
        </is>
      </c>
      <c r="F90" s="53" t="n">
        <v>432435</v>
      </c>
      <c r="G90" s="156" t="n">
        <v>523</v>
      </c>
      <c r="H90" s="60" t="n"/>
      <c r="I90" s="156">
        <f>+I89+(G90-H90)</f>
        <v/>
      </c>
      <c r="J90" s="60" t="n"/>
      <c r="K90" s="60" t="n"/>
      <c r="L90" s="158">
        <f>+H90*J90</f>
        <v/>
      </c>
      <c r="M90" s="159">
        <f>SUM(M89+K90-L90)</f>
        <v/>
      </c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</row>
    <row r="91">
      <c r="A91" s="151" t="n">
        <v>46030</v>
      </c>
      <c r="B91" s="67" t="n">
        <v>1335</v>
      </c>
      <c r="C91" s="52" t="inlineStr">
        <is>
          <t>SELİM İNŞAAT</t>
        </is>
      </c>
      <c r="D91" s="51" t="inlineStr">
        <is>
          <t>34 GVZ 199</t>
        </is>
      </c>
      <c r="E91" s="51" t="inlineStr">
        <is>
          <t>VAHDET GÜRLER</t>
        </is>
      </c>
      <c r="F91" s="53" t="n">
        <v>220279</v>
      </c>
      <c r="G91" s="156" t="n">
        <v>351</v>
      </c>
      <c r="H91" s="60" t="n"/>
      <c r="I91" s="156">
        <f>+I90+(G91-H91)</f>
        <v/>
      </c>
      <c r="J91" s="60" t="n"/>
      <c r="K91" s="60" t="n"/>
      <c r="L91" s="158">
        <f>+H91*J91</f>
        <v/>
      </c>
      <c r="M91" s="159">
        <f>SUM(M90+K91-L91)</f>
        <v/>
      </c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  <c r="Z91" s="60" t="n"/>
    </row>
    <row r="92">
      <c r="A92" s="151" t="n">
        <v>46030</v>
      </c>
      <c r="B92" s="67" t="n">
        <v>3035</v>
      </c>
      <c r="C92" s="52" t="inlineStr">
        <is>
          <t>SELİM İNŞAAT</t>
        </is>
      </c>
      <c r="D92" s="51" t="inlineStr">
        <is>
          <t>34 FBR 781</t>
        </is>
      </c>
      <c r="E92" s="51" t="inlineStr">
        <is>
          <t>MEVLÜT POLAT</t>
        </is>
      </c>
      <c r="F92" s="53" t="n">
        <v>355343</v>
      </c>
      <c r="G92" s="156" t="n">
        <v>493</v>
      </c>
      <c r="H92" s="60" t="n"/>
      <c r="I92" s="156">
        <f>+I91+(G92-H92)</f>
        <v/>
      </c>
      <c r="J92" s="60" t="n"/>
      <c r="K92" s="60" t="n"/>
      <c r="L92" s="158">
        <f>+H92*J92</f>
        <v/>
      </c>
      <c r="M92" s="159">
        <f>SUM(M91+K92-L92)</f>
        <v/>
      </c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</row>
    <row r="93">
      <c r="A93" s="151" t="n">
        <v>46030</v>
      </c>
      <c r="B93" s="67" t="n">
        <v>3478</v>
      </c>
      <c r="C93" s="52" t="inlineStr">
        <is>
          <t>SELİM İNŞAAT</t>
        </is>
      </c>
      <c r="D93" s="51" t="inlineStr">
        <is>
          <t>34 EDB 754</t>
        </is>
      </c>
      <c r="E93" s="51" t="inlineStr">
        <is>
          <t>MUSTAFA KAYA</t>
        </is>
      </c>
      <c r="F93" s="53" t="n">
        <v>365642</v>
      </c>
      <c r="G93" s="156" t="n">
        <v>518</v>
      </c>
      <c r="H93" s="60" t="n"/>
      <c r="I93" s="156">
        <f>+I92+(G93-H93)</f>
        <v/>
      </c>
      <c r="J93" s="60" t="n"/>
      <c r="K93" s="60" t="n"/>
      <c r="L93" s="158">
        <f>+H93*J93</f>
        <v/>
      </c>
      <c r="M93" s="159">
        <f>SUM(M92+K93-L93)</f>
        <v/>
      </c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</row>
    <row r="94">
      <c r="A94" s="151" t="n">
        <v>46030</v>
      </c>
      <c r="B94" s="67" t="n">
        <v>896</v>
      </c>
      <c r="C94" s="52" t="inlineStr">
        <is>
          <t>SELİM İNŞAAT</t>
        </is>
      </c>
      <c r="D94" s="51" t="inlineStr">
        <is>
          <t>34 FSG 229</t>
        </is>
      </c>
      <c r="E94" s="51" t="inlineStr">
        <is>
          <t>SİNAN TANRIVERDİ</t>
        </is>
      </c>
      <c r="F94" s="53" t="n">
        <v>293363</v>
      </c>
      <c r="G94" s="156" t="n">
        <v>500</v>
      </c>
      <c r="H94" s="60" t="n"/>
      <c r="I94" s="156">
        <f>+I93+(G94-H94)</f>
        <v/>
      </c>
      <c r="J94" s="60" t="n"/>
      <c r="K94" s="60" t="n"/>
      <c r="L94" s="158">
        <f>+H94*J94</f>
        <v/>
      </c>
      <c r="M94" s="159">
        <f>SUM(M93+K94-L94)</f>
        <v/>
      </c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  <c r="Z94" s="60" t="n"/>
    </row>
    <row r="95">
      <c r="A95" s="151" t="n">
        <v>46030</v>
      </c>
      <c r="B95" s="67" t="n">
        <v>3381</v>
      </c>
      <c r="C95" s="52" t="inlineStr">
        <is>
          <t>SELİM İNŞAAT</t>
        </is>
      </c>
      <c r="D95" s="51" t="inlineStr">
        <is>
          <t>34 EDC 162</t>
        </is>
      </c>
      <c r="E95" s="51" t="inlineStr">
        <is>
          <t xml:space="preserve">YAKUP GÜNER </t>
        </is>
      </c>
      <c r="F95" s="53" t="n">
        <v>409143</v>
      </c>
      <c r="G95" s="156" t="n">
        <v>441</v>
      </c>
      <c r="H95" s="60" t="n"/>
      <c r="I95" s="156">
        <f>+I94+(G95-H95)</f>
        <v/>
      </c>
      <c r="J95" s="60" t="n"/>
      <c r="K95" s="60" t="n"/>
      <c r="L95" s="158">
        <f>+H95*J95</f>
        <v/>
      </c>
      <c r="M95" s="159">
        <f>SUM(M94+K95-L95)</f>
        <v/>
      </c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</row>
    <row r="96">
      <c r="A96" s="151" t="n">
        <v>46030</v>
      </c>
      <c r="B96" s="67" t="n">
        <v>3165</v>
      </c>
      <c r="C96" s="52" t="inlineStr">
        <is>
          <t>SELİM İNŞAAT</t>
        </is>
      </c>
      <c r="D96" s="51" t="inlineStr">
        <is>
          <t>34 DTV 599</t>
        </is>
      </c>
      <c r="E96" s="51" t="inlineStr">
        <is>
          <t>HÜSEYİN DENİZ</t>
        </is>
      </c>
      <c r="F96" s="53" t="n">
        <v>470725</v>
      </c>
      <c r="G96" s="156" t="n">
        <v>444</v>
      </c>
      <c r="H96" s="60" t="n"/>
      <c r="I96" s="156">
        <f>+I95+(G96-H96)</f>
        <v/>
      </c>
      <c r="J96" s="60" t="n"/>
      <c r="K96" s="60" t="n"/>
      <c r="L96" s="158">
        <f>+H96*J96</f>
        <v/>
      </c>
      <c r="M96" s="159">
        <f>SUM(M95+K96-L96)</f>
        <v/>
      </c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  <c r="Z96" s="60" t="n"/>
    </row>
    <row r="97">
      <c r="A97" s="151" t="n">
        <v>46030</v>
      </c>
      <c r="B97" s="67" t="n">
        <v>1845</v>
      </c>
      <c r="C97" s="52" t="inlineStr">
        <is>
          <t>SELİM İNŞAAT</t>
        </is>
      </c>
      <c r="D97" s="51" t="inlineStr">
        <is>
          <t>34 EGR 922</t>
        </is>
      </c>
      <c r="E97" s="51" t="inlineStr">
        <is>
          <t>FARUK ÖZEN</t>
        </is>
      </c>
      <c r="F97" s="53" t="n">
        <v>498245</v>
      </c>
      <c r="G97" s="156" t="n">
        <v>521</v>
      </c>
      <c r="H97" s="60" t="n"/>
      <c r="I97" s="156">
        <f>+I96+(G97-H97)</f>
        <v/>
      </c>
      <c r="J97" s="60" t="n"/>
      <c r="K97" s="60" t="n"/>
      <c r="L97" s="158">
        <f>+H97*J97</f>
        <v/>
      </c>
      <c r="M97" s="159">
        <f>SUM(M96+K97-L97)</f>
        <v/>
      </c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  <c r="Z97" s="60" t="n"/>
    </row>
    <row r="98">
      <c r="A98" s="151" t="n">
        <v>46030</v>
      </c>
      <c r="B98" s="67" t="n">
        <v>239</v>
      </c>
      <c r="C98" s="52" t="inlineStr">
        <is>
          <t>SELİM İNŞAAT</t>
        </is>
      </c>
      <c r="D98" s="51" t="inlineStr">
        <is>
          <t>34 JGR 15</t>
        </is>
      </c>
      <c r="E98" s="51" t="inlineStr">
        <is>
          <t>ÖNER DÜNDAR</t>
        </is>
      </c>
      <c r="F98" s="53" t="n">
        <v>327277</v>
      </c>
      <c r="G98" s="156" t="n">
        <v>72</v>
      </c>
      <c r="H98" s="60" t="n"/>
      <c r="I98" s="156">
        <f>+I97+(G98-H98)</f>
        <v/>
      </c>
      <c r="J98" s="60" t="n"/>
      <c r="K98" s="60" t="n"/>
      <c r="L98" s="158">
        <f>+H98*J98</f>
        <v/>
      </c>
      <c r="M98" s="159">
        <f>SUM(M97+K98-L98)</f>
        <v/>
      </c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</row>
    <row r="99">
      <c r="A99" s="151" t="n">
        <v>46030</v>
      </c>
      <c r="B99" s="67" t="n">
        <v>3272</v>
      </c>
      <c r="C99" s="52" t="inlineStr">
        <is>
          <t xml:space="preserve">AZGÜN YAPI </t>
        </is>
      </c>
      <c r="D99" s="51" t="inlineStr">
        <is>
          <t xml:space="preserve">35 DTV 263 </t>
        </is>
      </c>
      <c r="E99" s="51" t="inlineStr">
        <is>
          <t>İRFAN DAĞLAR</t>
        </is>
      </c>
      <c r="F99" s="53" t="n"/>
      <c r="G99" s="156" t="n">
        <v>297</v>
      </c>
      <c r="H99" s="60" t="n"/>
      <c r="I99" s="156">
        <f>+I98+(G99-H99)</f>
        <v/>
      </c>
      <c r="J99" s="60" t="n"/>
      <c r="K99" s="60" t="n"/>
      <c r="L99" s="158">
        <f>+H99*J99</f>
        <v/>
      </c>
      <c r="M99" s="159">
        <f>SUM(M98+K99-L99)</f>
        <v/>
      </c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  <c r="Z99" s="60" t="n"/>
    </row>
    <row r="100">
      <c r="A100" s="151" t="n">
        <v>46030</v>
      </c>
      <c r="B100" s="67" t="n">
        <v>3788</v>
      </c>
      <c r="C100" s="52" t="inlineStr">
        <is>
          <t>METİN ERYİĞİT</t>
        </is>
      </c>
      <c r="D100" s="51" t="inlineStr">
        <is>
          <t>34 GBL 998</t>
        </is>
      </c>
      <c r="E100" s="51" t="inlineStr">
        <is>
          <t>ALİ KESKİN</t>
        </is>
      </c>
      <c r="F100" s="53" t="n">
        <v>329950</v>
      </c>
      <c r="G100" s="156" t="n">
        <v>377</v>
      </c>
      <c r="H100" s="60" t="n"/>
      <c r="I100" s="156">
        <f>+I99+(G100-H100)</f>
        <v/>
      </c>
      <c r="J100" s="60" t="n"/>
      <c r="K100" s="60" t="n"/>
      <c r="L100" s="158">
        <f>+H100*J100</f>
        <v/>
      </c>
      <c r="M100" s="159">
        <f>SUM(M99+K100-L100)</f>
        <v/>
      </c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</row>
    <row r="101">
      <c r="A101" s="151" t="n">
        <v>46030</v>
      </c>
      <c r="B101" s="67" t="n">
        <v>2737</v>
      </c>
      <c r="C101" s="52" t="inlineStr">
        <is>
          <t>METİN ERYİĞİT</t>
        </is>
      </c>
      <c r="D101" s="51" t="inlineStr">
        <is>
          <t>34 EGR 814</t>
        </is>
      </c>
      <c r="E101" s="51" t="inlineStr">
        <is>
          <t xml:space="preserve">ZİYA İNCE </t>
        </is>
      </c>
      <c r="F101" s="53" t="n"/>
      <c r="G101" s="156" t="n">
        <v>150</v>
      </c>
      <c r="H101" s="60" t="n"/>
      <c r="I101" s="156">
        <f>+I100+(G101-H101)</f>
        <v/>
      </c>
      <c r="J101" s="60" t="n"/>
      <c r="K101" s="60" t="n"/>
      <c r="L101" s="158">
        <f>+H101*J101</f>
        <v/>
      </c>
      <c r="M101" s="159">
        <f>SUM(M100+K101-L101)</f>
        <v/>
      </c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  <c r="Z101" s="60" t="n"/>
    </row>
    <row r="102">
      <c r="A102" s="151" t="n">
        <v>46030</v>
      </c>
      <c r="B102" s="67" t="n">
        <v>3695</v>
      </c>
      <c r="C102" s="52" t="inlineStr">
        <is>
          <t>METİN ERYİĞİT</t>
        </is>
      </c>
      <c r="D102" s="51" t="inlineStr">
        <is>
          <t>34 EGS 013</t>
        </is>
      </c>
      <c r="E102" s="51" t="inlineStr">
        <is>
          <t>UĞUR DUMAN</t>
        </is>
      </c>
      <c r="F102" s="53" t="n">
        <v>548220</v>
      </c>
      <c r="G102" s="156" t="n">
        <v>447</v>
      </c>
      <c r="H102" s="60" t="n"/>
      <c r="I102" s="156">
        <f>+I101+(G102-H102)</f>
        <v/>
      </c>
      <c r="J102" s="60" t="n"/>
      <c r="K102" s="60" t="n"/>
      <c r="L102" s="158">
        <f>+H102*J102</f>
        <v/>
      </c>
      <c r="M102" s="159">
        <f>SUM(M101+K102-L102)</f>
        <v/>
      </c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</row>
    <row r="103">
      <c r="A103" s="151" t="n">
        <v>46030</v>
      </c>
      <c r="B103" s="67" t="n">
        <v>2889</v>
      </c>
      <c r="C103" s="52" t="inlineStr">
        <is>
          <t>HASALTUN</t>
        </is>
      </c>
      <c r="D103" s="51" t="inlineStr">
        <is>
          <t>KAZIK MAK</t>
        </is>
      </c>
      <c r="E103" s="51" t="inlineStr">
        <is>
          <t>HASANZEMİN</t>
        </is>
      </c>
      <c r="F103" s="53" t="n"/>
      <c r="G103" s="156" t="n">
        <v>328</v>
      </c>
      <c r="H103" s="60" t="n"/>
      <c r="I103" s="156">
        <f>+I102+(G103-H103)</f>
        <v/>
      </c>
      <c r="J103" s="60" t="n"/>
      <c r="K103" s="60" t="n"/>
      <c r="L103" s="158">
        <f>+H103*J103</f>
        <v/>
      </c>
      <c r="M103" s="159">
        <f>SUM(M102+K103-L103)</f>
        <v/>
      </c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</row>
    <row r="104">
      <c r="A104" s="151" t="n">
        <v>46030</v>
      </c>
      <c r="B104" s="67" t="n">
        <v>4572</v>
      </c>
      <c r="C104" s="52" t="inlineStr">
        <is>
          <t>AHMET SELİM TEMHA</t>
        </is>
      </c>
      <c r="D104" s="51" t="inlineStr">
        <is>
          <t>34 DG 422</t>
        </is>
      </c>
      <c r="E104" s="51" t="inlineStr">
        <is>
          <t>ERSOY SIĞINMAZ</t>
        </is>
      </c>
      <c r="F104" s="53" t="n"/>
      <c r="G104" s="156" t="n">
        <v>60</v>
      </c>
      <c r="H104" s="60" t="n"/>
      <c r="I104" s="156">
        <f>+I103+(G104-H104)</f>
        <v/>
      </c>
      <c r="J104" s="60" t="n"/>
      <c r="K104" s="60" t="n"/>
      <c r="L104" s="158">
        <f>+H104*J104</f>
        <v/>
      </c>
      <c r="M104" s="159">
        <f>SUM(M103+K104-L104)</f>
        <v/>
      </c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</row>
    <row r="105">
      <c r="A105" s="151" t="n">
        <v>46030</v>
      </c>
      <c r="B105" s="67" t="n">
        <v>4216</v>
      </c>
      <c r="C105" s="52" t="inlineStr">
        <is>
          <t>HASALTUN</t>
        </is>
      </c>
      <c r="D105" s="51" t="inlineStr">
        <is>
          <t>FORKLİFT</t>
        </is>
      </c>
      <c r="E105" s="51" t="inlineStr">
        <is>
          <t xml:space="preserve">FAHRİ KALFA </t>
        </is>
      </c>
      <c r="F105" s="53" t="n"/>
      <c r="G105" s="156" t="n">
        <v>161</v>
      </c>
      <c r="H105" s="60" t="n"/>
      <c r="I105" s="156">
        <f>+I104+(G105-H105)</f>
        <v/>
      </c>
      <c r="J105" s="60" t="n"/>
      <c r="K105" s="60" t="n"/>
      <c r="L105" s="158">
        <f>+H105*J105</f>
        <v/>
      </c>
      <c r="M105" s="159">
        <f>SUM(M104+K105-L105)</f>
        <v/>
      </c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  <c r="Z105" s="60" t="n"/>
    </row>
    <row r="106">
      <c r="A106" s="151" t="n">
        <v>46030</v>
      </c>
      <c r="B106" s="67" t="n">
        <v>4217</v>
      </c>
      <c r="C106" s="52" t="inlineStr">
        <is>
          <t>MEGA VARLIK</t>
        </is>
      </c>
      <c r="D106" s="51" t="inlineStr">
        <is>
          <t>SM300</t>
        </is>
      </c>
      <c r="E106" s="51" t="inlineStr">
        <is>
          <t>MEHMET ALİ  SANCAK</t>
        </is>
      </c>
      <c r="F106" s="53" t="n"/>
      <c r="G106" s="156" t="n">
        <v>322</v>
      </c>
      <c r="H106" s="60" t="n"/>
      <c r="I106" s="156">
        <f>+I105+(G106-H106)</f>
        <v/>
      </c>
      <c r="J106" s="60" t="n"/>
      <c r="K106" s="60" t="n"/>
      <c r="L106" s="158">
        <f>+H106*J106</f>
        <v/>
      </c>
      <c r="M106" s="159">
        <f>SUM(M105+K106-L106)</f>
        <v/>
      </c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  <c r="Z106" s="60" t="n"/>
    </row>
    <row r="107">
      <c r="A107" s="151" t="n">
        <v>46031</v>
      </c>
      <c r="B107" s="67" t="n">
        <v>2785</v>
      </c>
      <c r="C107" s="52" t="inlineStr">
        <is>
          <t>SELİM İNŞAAT</t>
        </is>
      </c>
      <c r="D107" s="51" t="inlineStr">
        <is>
          <t>34 EDC 086</t>
        </is>
      </c>
      <c r="E107" s="51" t="inlineStr">
        <is>
          <t>SEZGİN KOCAGİL</t>
        </is>
      </c>
      <c r="F107" s="53" t="n">
        <v>369668</v>
      </c>
      <c r="G107" s="156" t="n">
        <v>439</v>
      </c>
      <c r="H107" s="60" t="n"/>
      <c r="I107" s="156">
        <f>+I106+(G107-H107)</f>
        <v/>
      </c>
      <c r="J107" s="60" t="n"/>
      <c r="K107" s="60" t="n"/>
      <c r="L107" s="158">
        <f>+H107*J107</f>
        <v/>
      </c>
      <c r="M107" s="159">
        <f>SUM(M106+K107-L107)</f>
        <v/>
      </c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  <c r="Z107" s="60" t="n"/>
    </row>
    <row r="108">
      <c r="A108" s="151" t="n">
        <v>46031</v>
      </c>
      <c r="B108" s="67" t="n">
        <v>252</v>
      </c>
      <c r="C108" s="52" t="inlineStr">
        <is>
          <t>SELİM İNŞAAT</t>
        </is>
      </c>
      <c r="D108" s="51" t="inlineStr">
        <is>
          <t>34 DHC 393</t>
        </is>
      </c>
      <c r="E108" s="51" t="inlineStr">
        <is>
          <t>ATA KIZMAZ</t>
        </is>
      </c>
      <c r="F108" s="53" t="n">
        <v>457872</v>
      </c>
      <c r="G108" s="156" t="n">
        <v>470</v>
      </c>
      <c r="H108" s="60" t="n"/>
      <c r="I108" s="156">
        <f>+I107+(G108-H108)</f>
        <v/>
      </c>
      <c r="J108" s="60" t="n"/>
      <c r="K108" s="60" t="n"/>
      <c r="L108" s="158">
        <f>+H108*J108</f>
        <v/>
      </c>
      <c r="M108" s="159">
        <f>SUM(M107+K108-L108)</f>
        <v/>
      </c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</row>
    <row r="109">
      <c r="A109" s="151" t="n">
        <v>46031</v>
      </c>
      <c r="B109" s="67" t="n">
        <v>3823</v>
      </c>
      <c r="C109" s="52" t="inlineStr">
        <is>
          <t>SELİM İNŞAAT</t>
        </is>
      </c>
      <c r="D109" s="51" t="inlineStr">
        <is>
          <t>34 GYZ 635</t>
        </is>
      </c>
      <c r="E109" s="51" t="inlineStr">
        <is>
          <t>ADEM DENİZ</t>
        </is>
      </c>
      <c r="F109" s="53" t="n">
        <v>220016</v>
      </c>
      <c r="G109" s="156" t="n">
        <v>561</v>
      </c>
      <c r="H109" s="60" t="n"/>
      <c r="I109" s="156">
        <f>+I108+(G109-H109)</f>
        <v/>
      </c>
      <c r="J109" s="60" t="n"/>
      <c r="K109" s="60" t="n"/>
      <c r="L109" s="158">
        <f>+H109*J109</f>
        <v/>
      </c>
      <c r="M109" s="159">
        <f>SUM(M108+K109-L109)</f>
        <v/>
      </c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  <c r="Z109" s="60" t="n"/>
    </row>
    <row r="110">
      <c r="A110" s="151" t="n">
        <v>46031</v>
      </c>
      <c r="B110" s="67" t="n">
        <v>4107</v>
      </c>
      <c r="C110" s="52" t="inlineStr">
        <is>
          <t>SELİM İNŞAAT</t>
        </is>
      </c>
      <c r="D110" s="51" t="inlineStr">
        <is>
          <t>34 EDB 659</t>
        </is>
      </c>
      <c r="E110" s="51" t="inlineStr">
        <is>
          <t>MEHMET SAİT ANIK</t>
        </is>
      </c>
      <c r="F110" s="53" t="n">
        <v>383624</v>
      </c>
      <c r="G110" s="156" t="n">
        <v>509</v>
      </c>
      <c r="H110" s="60" t="n"/>
      <c r="I110" s="156">
        <f>+I109+(G110-H110)</f>
        <v/>
      </c>
      <c r="J110" s="60" t="n"/>
      <c r="K110" s="60" t="n"/>
      <c r="L110" s="158">
        <f>+H110*J110</f>
        <v/>
      </c>
      <c r="M110" s="159">
        <f>SUM(M109+K110-L110)</f>
        <v/>
      </c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  <c r="Z110" s="60" t="n"/>
    </row>
    <row r="111">
      <c r="A111" s="151" t="n">
        <v>46031</v>
      </c>
      <c r="B111" s="67" t="n">
        <v>4162</v>
      </c>
      <c r="C111" s="52" t="inlineStr">
        <is>
          <t>SELİM İNŞAAT</t>
        </is>
      </c>
      <c r="D111" s="51" t="inlineStr">
        <is>
          <t>34 FBR 748</t>
        </is>
      </c>
      <c r="E111" s="51" t="inlineStr">
        <is>
          <t>YAŞAR ÖZKAYA</t>
        </is>
      </c>
      <c r="F111" s="53" t="n">
        <v>318827</v>
      </c>
      <c r="G111" s="156" t="n">
        <v>363</v>
      </c>
      <c r="H111" s="60" t="n"/>
      <c r="I111" s="156">
        <f>+I110+(G111-H111)</f>
        <v/>
      </c>
      <c r="J111" s="60" t="n"/>
      <c r="K111" s="60" t="n"/>
      <c r="L111" s="158">
        <f>+H111*J111</f>
        <v/>
      </c>
      <c r="M111" s="159">
        <f>SUM(M110+K111-L111)</f>
        <v/>
      </c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  <c r="Z111" s="60" t="n"/>
    </row>
    <row r="112">
      <c r="A112" s="151" t="n">
        <v>46031</v>
      </c>
      <c r="B112" s="67" t="n">
        <v>4958</v>
      </c>
      <c r="C112" s="52" t="inlineStr">
        <is>
          <t>SELİM İNŞAAT</t>
        </is>
      </c>
      <c r="D112" s="51" t="inlineStr">
        <is>
          <t>34 GVZ 745</t>
        </is>
      </c>
      <c r="E112" s="51" t="inlineStr">
        <is>
          <t>MURAT DEMİRBAŞ</t>
        </is>
      </c>
      <c r="F112" s="53" t="n">
        <v>239752</v>
      </c>
      <c r="G112" s="156" t="n">
        <v>524</v>
      </c>
      <c r="H112" s="60" t="n"/>
      <c r="I112" s="156">
        <f>+I111+(G112-H112)</f>
        <v/>
      </c>
      <c r="J112" s="60" t="n"/>
      <c r="K112" s="60" t="n"/>
      <c r="L112" s="158">
        <f>+H112*J112</f>
        <v/>
      </c>
      <c r="M112" s="159">
        <f>SUM(M111+K112-L112)</f>
        <v/>
      </c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  <c r="Z112" s="60" t="n"/>
    </row>
    <row r="113">
      <c r="A113" s="151" t="n">
        <v>46031</v>
      </c>
      <c r="B113" s="67" t="n">
        <v>4864</v>
      </c>
      <c r="C113" s="52" t="inlineStr">
        <is>
          <t>SELİM İNŞAAT</t>
        </is>
      </c>
      <c r="D113" s="51" t="inlineStr">
        <is>
          <t>34 FBR 705</t>
        </is>
      </c>
      <c r="E113" s="51" t="inlineStr">
        <is>
          <t>MURAT SARI</t>
        </is>
      </c>
      <c r="F113" s="53" t="n">
        <v>355386</v>
      </c>
      <c r="G113" s="156" t="n">
        <v>449</v>
      </c>
      <c r="H113" s="60" t="n"/>
      <c r="I113" s="156">
        <f>+I112+(G113-H113)</f>
        <v/>
      </c>
      <c r="J113" s="60" t="n"/>
      <c r="K113" s="60" t="n"/>
      <c r="L113" s="158">
        <f>+H113*J113</f>
        <v/>
      </c>
      <c r="M113" s="159">
        <f>SUM(M112+K113-L113)</f>
        <v/>
      </c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  <c r="Z113" s="60" t="n"/>
    </row>
    <row r="114">
      <c r="A114" s="151" t="n">
        <v>46031</v>
      </c>
      <c r="B114" s="67" t="n">
        <v>3322</v>
      </c>
      <c r="C114" s="52" t="inlineStr">
        <is>
          <t>SELİM İNŞAAT</t>
        </is>
      </c>
      <c r="D114" s="51" t="inlineStr">
        <is>
          <t>34 GUS 938</t>
        </is>
      </c>
      <c r="E114" s="51" t="inlineStr">
        <is>
          <t>MEHMET KAYA</t>
        </is>
      </c>
      <c r="F114" s="53" t="n">
        <v>240585</v>
      </c>
      <c r="G114" s="156" t="n">
        <v>350</v>
      </c>
      <c r="H114" s="60" t="n"/>
      <c r="I114" s="156">
        <f>+I113+(G114-H114)</f>
        <v/>
      </c>
      <c r="J114" s="60" t="n"/>
      <c r="K114" s="60" t="n"/>
      <c r="L114" s="158">
        <f>+H114*J114</f>
        <v/>
      </c>
      <c r="M114" s="159">
        <f>SUM(M113+K114-L114)</f>
        <v/>
      </c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  <c r="Z114" s="60" t="n"/>
    </row>
    <row r="115">
      <c r="A115" s="151" t="n">
        <v>46031</v>
      </c>
      <c r="B115" s="67" t="n">
        <v>3419</v>
      </c>
      <c r="C115" s="52" t="inlineStr">
        <is>
          <t>SELİM İNŞAAT</t>
        </is>
      </c>
      <c r="D115" s="51" t="inlineStr">
        <is>
          <t>34 GVZ 310</t>
        </is>
      </c>
      <c r="E115" s="51" t="inlineStr">
        <is>
          <t>CELAL YÜZBAŞI</t>
        </is>
      </c>
      <c r="F115" s="53" t="n">
        <v>241013</v>
      </c>
      <c r="G115" s="156" t="n">
        <v>519</v>
      </c>
      <c r="H115" s="60" t="n"/>
      <c r="I115" s="156">
        <f>+I114+(G115-H115)</f>
        <v/>
      </c>
      <c r="J115" s="60" t="n"/>
      <c r="K115" s="60" t="n"/>
      <c r="L115" s="158">
        <f>+H115*J115</f>
        <v/>
      </c>
      <c r="M115" s="159">
        <f>SUM(M114+K115-L115)</f>
        <v/>
      </c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  <c r="Z115" s="60" t="n"/>
    </row>
    <row r="116">
      <c r="A116" s="151" t="n">
        <v>46031</v>
      </c>
      <c r="B116" s="67" t="n">
        <v>4763</v>
      </c>
      <c r="C116" s="52" t="inlineStr">
        <is>
          <t>SELİM İNŞAAT</t>
        </is>
      </c>
      <c r="D116" s="51" t="inlineStr">
        <is>
          <t>34 DGP 137</t>
        </is>
      </c>
      <c r="E116" s="51" t="inlineStr">
        <is>
          <t xml:space="preserve">GÜRAY KOYUNCU </t>
        </is>
      </c>
      <c r="F116" s="53" t="n">
        <v>471532</v>
      </c>
      <c r="G116" s="156" t="n">
        <v>426</v>
      </c>
      <c r="H116" s="60" t="n"/>
      <c r="I116" s="156">
        <f>+I115+(G116-H116)</f>
        <v/>
      </c>
      <c r="J116" s="60" t="n"/>
      <c r="K116" s="60" t="n"/>
      <c r="L116" s="158">
        <f>+H116*J116</f>
        <v/>
      </c>
      <c r="M116" s="159">
        <f>SUM(M115+K116-L116)</f>
        <v/>
      </c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  <c r="Z116" s="60" t="n"/>
    </row>
    <row r="117">
      <c r="A117" s="151" t="n">
        <v>46031</v>
      </c>
      <c r="B117" s="67" t="n">
        <v>4410</v>
      </c>
      <c r="C117" s="52" t="inlineStr">
        <is>
          <t>SELİM İNŞAAT</t>
        </is>
      </c>
      <c r="D117" s="51" t="inlineStr">
        <is>
          <t>34 DTV 409</t>
        </is>
      </c>
      <c r="E117" s="51" t="inlineStr">
        <is>
          <t>ADNAN KOÇ</t>
        </is>
      </c>
      <c r="F117" s="53" t="n">
        <v>449390</v>
      </c>
      <c r="G117" s="156" t="n">
        <v>500</v>
      </c>
      <c r="H117" s="60" t="n"/>
      <c r="I117" s="156">
        <f>+I116+(G117-H117)</f>
        <v/>
      </c>
      <c r="J117" s="60" t="n"/>
      <c r="K117" s="60" t="n"/>
      <c r="L117" s="158">
        <f>+H117*J117</f>
        <v/>
      </c>
      <c r="M117" s="159">
        <f>SUM(M116+K117-L117)</f>
        <v/>
      </c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  <c r="Z117" s="60" t="n"/>
    </row>
    <row r="118">
      <c r="A118" s="151" t="n">
        <v>46031</v>
      </c>
      <c r="B118" s="67" t="n">
        <v>4810</v>
      </c>
      <c r="C118" s="52" t="inlineStr">
        <is>
          <t>SELİM İNŞAAT</t>
        </is>
      </c>
      <c r="D118" s="51" t="inlineStr">
        <is>
          <t>34 EDB 559</t>
        </is>
      </c>
      <c r="E118" s="51" t="inlineStr">
        <is>
          <t>AZİZ ORUÇ</t>
        </is>
      </c>
      <c r="F118" s="53" t="n">
        <v>358381</v>
      </c>
      <c r="G118" s="156" t="n">
        <v>440</v>
      </c>
      <c r="H118" s="60" t="n"/>
      <c r="I118" s="156">
        <f>+I117+(G118-H118)</f>
        <v/>
      </c>
      <c r="J118" s="60" t="n"/>
      <c r="K118" s="60" t="n"/>
      <c r="L118" s="158">
        <f>+H118*J118</f>
        <v/>
      </c>
      <c r="M118" s="159">
        <f>SUM(M117+K118-L118)</f>
        <v/>
      </c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  <c r="Z118" s="60" t="n"/>
    </row>
    <row r="119">
      <c r="A119" s="151" t="n">
        <v>46031</v>
      </c>
      <c r="B119" s="67" t="n">
        <v>4504</v>
      </c>
      <c r="C119" s="52" t="inlineStr">
        <is>
          <t>SELİM İNŞAAT</t>
        </is>
      </c>
      <c r="D119" s="51" t="inlineStr">
        <is>
          <t>34 DTV 352</t>
        </is>
      </c>
      <c r="E119" s="51" t="inlineStr">
        <is>
          <t>ENGİN DENİZ</t>
        </is>
      </c>
      <c r="F119" s="53" t="n">
        <v>470050</v>
      </c>
      <c r="G119" s="156" t="n">
        <v>548</v>
      </c>
      <c r="H119" s="60" t="n"/>
      <c r="I119" s="156">
        <f>+I118+(G119-H119)</f>
        <v/>
      </c>
      <c r="J119" s="60" t="n"/>
      <c r="K119" s="60" t="n"/>
      <c r="L119" s="158">
        <f>+H119*J119</f>
        <v/>
      </c>
      <c r="M119" s="159">
        <f>SUM(M118+K119-L119)</f>
        <v/>
      </c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  <c r="Z119" s="60" t="n"/>
    </row>
    <row r="120">
      <c r="A120" s="151" t="n">
        <v>46031</v>
      </c>
      <c r="B120" s="67" t="n">
        <v>4914</v>
      </c>
      <c r="C120" s="52" t="inlineStr">
        <is>
          <t>SELİM İNŞAAT</t>
        </is>
      </c>
      <c r="D120" s="51" t="inlineStr">
        <is>
          <t>34 FBR 742</t>
        </is>
      </c>
      <c r="E120" s="51" t="inlineStr">
        <is>
          <t>ADNAN KOÇ</t>
        </is>
      </c>
      <c r="F120" s="53" t="n">
        <v>359650</v>
      </c>
      <c r="G120" s="156" t="n">
        <v>455</v>
      </c>
      <c r="H120" s="60" t="n"/>
      <c r="I120" s="156">
        <f>+I119+(G120-H120)</f>
        <v/>
      </c>
      <c r="J120" s="60" t="n"/>
      <c r="K120" s="60" t="n"/>
      <c r="L120" s="158">
        <f>+H120*J120</f>
        <v/>
      </c>
      <c r="M120" s="159">
        <f>SUM(M119+K120-L120)</f>
        <v/>
      </c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  <c r="Z120" s="60" t="n"/>
    </row>
    <row r="121">
      <c r="A121" s="151" t="n">
        <v>46031</v>
      </c>
      <c r="B121" s="67" t="n">
        <v>2289</v>
      </c>
      <c r="C121" s="52" t="inlineStr">
        <is>
          <t>SELİM İNŞAAT</t>
        </is>
      </c>
      <c r="D121" s="51" t="inlineStr">
        <is>
          <t>34 DSN 636</t>
        </is>
      </c>
      <c r="E121" s="51" t="inlineStr">
        <is>
          <t>MAHSUN GÜVEN</t>
        </is>
      </c>
      <c r="F121" s="53" t="n">
        <v>427416</v>
      </c>
      <c r="G121" s="156" t="n">
        <v>426</v>
      </c>
      <c r="H121" s="60" t="n"/>
      <c r="I121" s="156">
        <f>+I120+(G121-H121)</f>
        <v/>
      </c>
      <c r="J121" s="60" t="n"/>
      <c r="K121" s="60" t="n"/>
      <c r="L121" s="158">
        <f>+H121*J121</f>
        <v/>
      </c>
      <c r="M121" s="159">
        <f>SUM(M120+K121-L121)</f>
        <v/>
      </c>
      <c r="N121" s="60" t="n"/>
      <c r="O121" s="60" t="n"/>
      <c r="P121" s="60" t="n"/>
      <c r="Q121" s="60" t="n"/>
      <c r="R121" s="60" t="n"/>
      <c r="S121" s="60" t="n"/>
      <c r="T121" s="60" t="n"/>
      <c r="U121" s="60" t="n"/>
      <c r="V121" s="60" t="n"/>
      <c r="W121" s="60" t="n"/>
      <c r="X121" s="60" t="n"/>
      <c r="Y121" s="60" t="n"/>
      <c r="Z121" s="60" t="n"/>
    </row>
    <row r="122">
      <c r="A122" s="151" t="n">
        <v>46031</v>
      </c>
      <c r="B122" s="67" t="n">
        <v>2641</v>
      </c>
      <c r="C122" s="52" t="inlineStr">
        <is>
          <t>SELİM İNŞAAT</t>
        </is>
      </c>
      <c r="D122" s="51" t="inlineStr">
        <is>
          <t>34 GU 945</t>
        </is>
      </c>
      <c r="E122" s="51" t="inlineStr">
        <is>
          <t>ABDULKERİM ERGEN</t>
        </is>
      </c>
      <c r="F122" s="53" t="n">
        <v>468896</v>
      </c>
      <c r="G122" s="156" t="n">
        <v>54</v>
      </c>
      <c r="H122" s="60" t="n"/>
      <c r="I122" s="156">
        <f>+I121+(G122-H122)</f>
        <v/>
      </c>
      <c r="J122" s="60" t="n"/>
      <c r="K122" s="60" t="n"/>
      <c r="L122" s="158">
        <f>+H122*J122</f>
        <v/>
      </c>
      <c r="M122" s="159">
        <f>SUM(M121+K122-L122)</f>
        <v/>
      </c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  <c r="Z122" s="60" t="n"/>
    </row>
    <row r="123">
      <c r="A123" s="151" t="n">
        <v>46031</v>
      </c>
      <c r="B123" s="67" t="n">
        <v>2377</v>
      </c>
      <c r="C123" s="52" t="inlineStr">
        <is>
          <t>SELİM İNŞAAT</t>
        </is>
      </c>
      <c r="D123" s="51" t="inlineStr">
        <is>
          <t>34 FEM 934</t>
        </is>
      </c>
      <c r="E123" s="51" t="inlineStr">
        <is>
          <t>YAKUP URUCU</t>
        </is>
      </c>
      <c r="F123" s="53" t="n">
        <v>329223</v>
      </c>
      <c r="G123" s="156" t="n">
        <v>40</v>
      </c>
      <c r="H123" s="60" t="n"/>
      <c r="I123" s="156">
        <f>+I122+(G123-H123)</f>
        <v/>
      </c>
      <c r="J123" s="60" t="n"/>
      <c r="K123" s="60" t="n"/>
      <c r="L123" s="158">
        <f>+H123*J123</f>
        <v/>
      </c>
      <c r="M123" s="159">
        <f>SUM(M122+K123-L123)</f>
        <v/>
      </c>
      <c r="N123" s="60" t="n"/>
      <c r="O123" s="60" t="n"/>
      <c r="P123" s="60" t="n"/>
      <c r="Q123" s="60" t="n"/>
      <c r="R123" s="60" t="n"/>
      <c r="S123" s="60" t="n"/>
      <c r="T123" s="60" t="n"/>
      <c r="U123" s="60" t="n"/>
      <c r="V123" s="60" t="n"/>
      <c r="W123" s="60" t="n"/>
      <c r="X123" s="60" t="n"/>
      <c r="Y123" s="60" t="n"/>
      <c r="Z123" s="60" t="n"/>
    </row>
    <row r="124">
      <c r="A124" s="151" t="n">
        <v>46031</v>
      </c>
      <c r="B124" s="67" t="n">
        <v>2527</v>
      </c>
      <c r="C124" s="52" t="inlineStr">
        <is>
          <t xml:space="preserve">AZGÜN YAPI </t>
        </is>
      </c>
      <c r="D124" s="51" t="inlineStr">
        <is>
          <t>34 MKT 493</t>
        </is>
      </c>
      <c r="E124" s="51" t="inlineStr">
        <is>
          <t>TURGUT ÇATAL</t>
        </is>
      </c>
      <c r="F124" s="53" t="n"/>
      <c r="G124" s="156" t="n">
        <v>383</v>
      </c>
      <c r="H124" s="60" t="n"/>
      <c r="I124" s="156">
        <f>+I123+(G124-H124)</f>
        <v/>
      </c>
      <c r="J124" s="60" t="n"/>
      <c r="K124" s="60" t="n"/>
      <c r="L124" s="158">
        <f>+H124*J124</f>
        <v/>
      </c>
      <c r="M124" s="159">
        <f>SUM(M123+K124-L124)</f>
        <v/>
      </c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  <c r="Z124" s="60" t="n"/>
    </row>
    <row r="125">
      <c r="A125" s="151" t="n">
        <v>46031</v>
      </c>
      <c r="B125" s="67" t="n">
        <v>3789</v>
      </c>
      <c r="C125" s="52" t="inlineStr">
        <is>
          <t>METİN ERYİĞİT</t>
        </is>
      </c>
      <c r="D125" s="51" t="inlineStr">
        <is>
          <t>34 GBL 998</t>
        </is>
      </c>
      <c r="E125" s="51" t="inlineStr">
        <is>
          <t>ALİ KESKİN</t>
        </is>
      </c>
      <c r="F125" s="53" t="n">
        <v>330532</v>
      </c>
      <c r="G125" s="156" t="n">
        <v>242</v>
      </c>
      <c r="H125" s="60" t="n"/>
      <c r="I125" s="156">
        <f>+I124+(G125-H125)</f>
        <v/>
      </c>
      <c r="J125" s="60" t="n"/>
      <c r="K125" s="60" t="n"/>
      <c r="L125" s="158">
        <f>+H125*J125</f>
        <v/>
      </c>
      <c r="M125" s="159">
        <f>SUM(M124+K125-L125)</f>
        <v/>
      </c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n"/>
      <c r="Y125" s="60" t="n"/>
      <c r="Z125" s="60" t="n"/>
    </row>
    <row r="126">
      <c r="A126" s="151" t="n">
        <v>46031</v>
      </c>
      <c r="B126" s="67" t="n">
        <v>2738</v>
      </c>
      <c r="C126" s="52" t="inlineStr">
        <is>
          <t>METİN ERYİĞİT</t>
        </is>
      </c>
      <c r="D126" s="51" t="inlineStr">
        <is>
          <t>34 EGR 814</t>
        </is>
      </c>
      <c r="E126" s="51" t="inlineStr">
        <is>
          <t xml:space="preserve">ZİYA İNCE </t>
        </is>
      </c>
      <c r="F126" s="53" t="n">
        <v>594623</v>
      </c>
      <c r="G126" s="156" t="n">
        <v>360</v>
      </c>
      <c r="H126" s="60" t="n"/>
      <c r="I126" s="156">
        <f>+I125+(G126-H126)</f>
        <v/>
      </c>
      <c r="J126" s="60" t="n"/>
      <c r="K126" s="60" t="n"/>
      <c r="L126" s="158">
        <f>+H126*J126</f>
        <v/>
      </c>
      <c r="M126" s="159">
        <f>SUM(M125+K126-L126)</f>
        <v/>
      </c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  <c r="Z126" s="60" t="n"/>
    </row>
    <row r="127">
      <c r="A127" s="151" t="n">
        <v>46031</v>
      </c>
      <c r="B127" s="67" t="n">
        <v>4573</v>
      </c>
      <c r="C127" s="52" t="inlineStr">
        <is>
          <t>MAHMUT VİNÇ</t>
        </is>
      </c>
      <c r="D127" s="51" t="inlineStr">
        <is>
          <t>34 AH 5401</t>
        </is>
      </c>
      <c r="E127" s="51" t="inlineStr">
        <is>
          <t>YASİN DEMİR</t>
        </is>
      </c>
      <c r="F127" s="53" t="n"/>
      <c r="G127" s="156" t="n">
        <v>72</v>
      </c>
      <c r="H127" s="60" t="n"/>
      <c r="I127" s="156">
        <f>+I126+(G127-H127)</f>
        <v/>
      </c>
      <c r="J127" s="60" t="n"/>
      <c r="K127" s="60" t="n"/>
      <c r="L127" s="158">
        <f>+H127*J127</f>
        <v/>
      </c>
      <c r="M127" s="159">
        <f>SUM(M126+K127-L127)</f>
        <v/>
      </c>
      <c r="N127" s="60" t="n"/>
      <c r="O127" s="60" t="n"/>
      <c r="P127" s="60" t="n"/>
      <c r="Q127" s="60" t="n"/>
      <c r="R127" s="60" t="n"/>
      <c r="S127" s="60" t="n"/>
      <c r="T127" s="60" t="n"/>
      <c r="U127" s="60" t="n"/>
      <c r="V127" s="60" t="n"/>
      <c r="W127" s="60" t="n"/>
      <c r="X127" s="60" t="n"/>
      <c r="Y127" s="60" t="n"/>
      <c r="Z127" s="60" t="n"/>
    </row>
    <row r="128">
      <c r="A128" s="151" t="n">
        <v>46032</v>
      </c>
      <c r="B128" s="67" t="n">
        <v>3616</v>
      </c>
      <c r="C128" s="52" t="inlineStr">
        <is>
          <t>SELİM İNŞAAT</t>
        </is>
      </c>
      <c r="D128" s="51" t="inlineStr">
        <is>
          <t>34 EDB 922</t>
        </is>
      </c>
      <c r="E128" s="51" t="inlineStr">
        <is>
          <t>ÇAĞDAŞ YÜCESAN</t>
        </is>
      </c>
      <c r="F128" s="53" t="n">
        <v>403344</v>
      </c>
      <c r="G128" s="156" t="n">
        <v>540</v>
      </c>
      <c r="H128" s="60" t="n"/>
      <c r="I128" s="156">
        <f>+I127+(G128-H128)</f>
        <v/>
      </c>
      <c r="J128" s="60" t="n"/>
      <c r="K128" s="60" t="n"/>
      <c r="L128" s="158">
        <f>+H128*J128</f>
        <v/>
      </c>
      <c r="M128" s="159">
        <f>SUM(M127+K128-L128)</f>
        <v/>
      </c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  <c r="Z128" s="60" t="n"/>
    </row>
    <row r="129">
      <c r="A129" s="151" t="n">
        <v>46032</v>
      </c>
      <c r="B129" s="67" t="n">
        <v>1539</v>
      </c>
      <c r="C129" s="52" t="inlineStr">
        <is>
          <t>SELİM İNŞAAT</t>
        </is>
      </c>
      <c r="D129" s="51" t="inlineStr">
        <is>
          <t>34 GUS 848</t>
        </is>
      </c>
      <c r="E129" s="51" t="inlineStr">
        <is>
          <t>SERDAR BOZKURT</t>
        </is>
      </c>
      <c r="F129" s="53" t="n">
        <v>226255</v>
      </c>
      <c r="G129" s="156" t="n">
        <v>568</v>
      </c>
      <c r="H129" s="60" t="n"/>
      <c r="I129" s="156">
        <f>+I128+(G129-H129)</f>
        <v/>
      </c>
      <c r="J129" s="60" t="n"/>
      <c r="K129" s="60" t="n"/>
      <c r="L129" s="158">
        <f>+H129*J129</f>
        <v/>
      </c>
      <c r="M129" s="159">
        <f>SUM(M128+K129-L129)</f>
        <v/>
      </c>
      <c r="N129" s="60" t="n"/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60" t="n"/>
      <c r="X129" s="60" t="n"/>
      <c r="Y129" s="60" t="n"/>
      <c r="Z129" s="60" t="n"/>
    </row>
    <row r="130">
      <c r="A130" s="151" t="n">
        <v>46032</v>
      </c>
      <c r="B130" s="67" t="n">
        <v>504</v>
      </c>
      <c r="C130" s="52" t="inlineStr">
        <is>
          <t>SELİM İNŞAAT</t>
        </is>
      </c>
      <c r="D130" s="51" t="inlineStr">
        <is>
          <t>34 EGR 737</t>
        </is>
      </c>
      <c r="E130" s="51" t="inlineStr">
        <is>
          <t>CEM MUHTAR</t>
        </is>
      </c>
      <c r="F130" s="53" t="n">
        <v>454058</v>
      </c>
      <c r="G130" s="156" t="n">
        <v>490</v>
      </c>
      <c r="H130" s="60" t="n"/>
      <c r="I130" s="156">
        <f>+I129+(G130-H130)</f>
        <v/>
      </c>
      <c r="J130" s="60" t="n"/>
      <c r="K130" s="60" t="n"/>
      <c r="L130" s="158">
        <f>+H130*J130</f>
        <v/>
      </c>
      <c r="M130" s="159">
        <f>SUM(M129+K130-L130)</f>
        <v/>
      </c>
      <c r="N130" s="60" t="n"/>
      <c r="O130" s="60" t="n"/>
      <c r="P130" s="60" t="n"/>
      <c r="Q130" s="60" t="n"/>
      <c r="R130" s="60" t="n"/>
      <c r="S130" s="60" t="n"/>
      <c r="T130" s="60" t="n"/>
      <c r="U130" s="60" t="n"/>
      <c r="V130" s="60" t="n"/>
      <c r="W130" s="60" t="n"/>
      <c r="X130" s="60" t="n"/>
      <c r="Y130" s="60" t="n"/>
      <c r="Z130" s="60" t="n"/>
    </row>
    <row r="131">
      <c r="A131" s="151" t="n">
        <v>46032</v>
      </c>
      <c r="B131" s="67" t="n">
        <v>1686</v>
      </c>
      <c r="C131" s="52" t="inlineStr">
        <is>
          <t>SELİM İNŞAAT</t>
        </is>
      </c>
      <c r="D131" s="51" t="inlineStr">
        <is>
          <t>34 DHH 570</t>
        </is>
      </c>
      <c r="E131" s="51" t="inlineStr">
        <is>
          <t>YASİN ÇATAKLI</t>
        </is>
      </c>
      <c r="F131" s="53" t="n">
        <v>470445</v>
      </c>
      <c r="G131" s="156" t="n">
        <v>524</v>
      </c>
      <c r="H131" s="60" t="n"/>
      <c r="I131" s="156">
        <f>+I130+(G131-H131)</f>
        <v/>
      </c>
      <c r="J131" s="60" t="n"/>
      <c r="K131" s="60" t="n"/>
      <c r="L131" s="158">
        <f>+H131*J131</f>
        <v/>
      </c>
      <c r="M131" s="159">
        <f>SUM(M130+K131-L131)</f>
        <v/>
      </c>
      <c r="N131" s="60" t="n"/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60" t="n"/>
      <c r="X131" s="60" t="n"/>
      <c r="Y131" s="60" t="n"/>
      <c r="Z131" s="60" t="n"/>
    </row>
    <row r="132">
      <c r="A132" s="151" t="n">
        <v>46032</v>
      </c>
      <c r="B132" s="67" t="n">
        <v>3382</v>
      </c>
      <c r="C132" s="52" t="inlineStr">
        <is>
          <t>SELİM İNŞAAT</t>
        </is>
      </c>
      <c r="D132" s="51" t="inlineStr">
        <is>
          <t>34 EDC 162</t>
        </is>
      </c>
      <c r="E132" s="51" t="inlineStr">
        <is>
          <t xml:space="preserve">YAKUP GÜNER </t>
        </is>
      </c>
      <c r="F132" s="53" t="n">
        <v>409794</v>
      </c>
      <c r="G132" s="156" t="n">
        <v>387</v>
      </c>
      <c r="H132" s="60" t="n"/>
      <c r="I132" s="156">
        <f>+I131+(G132-H132)</f>
        <v/>
      </c>
      <c r="J132" s="60" t="n"/>
      <c r="K132" s="60" t="n"/>
      <c r="L132" s="158">
        <f>+H132*J132</f>
        <v/>
      </c>
      <c r="M132" s="159">
        <f>SUM(M131+K132-L132)</f>
        <v/>
      </c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  <c r="Z132" s="60" t="n"/>
    </row>
    <row r="133">
      <c r="A133" s="151" t="n">
        <v>46032</v>
      </c>
      <c r="B133" s="67" t="n">
        <v>2378</v>
      </c>
      <c r="C133" s="52" t="inlineStr">
        <is>
          <t>SELİM İNŞAAT</t>
        </is>
      </c>
      <c r="D133" s="51" t="inlineStr">
        <is>
          <t>34 FEM 934</t>
        </is>
      </c>
      <c r="E133" s="51" t="inlineStr">
        <is>
          <t>YAKUP URUCU</t>
        </is>
      </c>
      <c r="F133" s="53" t="n">
        <v>329391</v>
      </c>
      <c r="G133" s="156" t="n">
        <v>51</v>
      </c>
      <c r="H133" s="60" t="n"/>
      <c r="I133" s="156">
        <f>+I132+(G133-H133)</f>
        <v/>
      </c>
      <c r="J133" s="60" t="n"/>
      <c r="K133" s="60" t="n"/>
      <c r="L133" s="158">
        <f>+H133*J133</f>
        <v/>
      </c>
      <c r="M133" s="159">
        <f>SUM(M132+K133-L133)</f>
        <v/>
      </c>
      <c r="N133" s="60" t="n"/>
      <c r="O133" s="60" t="n"/>
      <c r="P133" s="60" t="n"/>
      <c r="Q133" s="60" t="n"/>
      <c r="R133" s="60" t="n"/>
      <c r="S133" s="60" t="n"/>
      <c r="T133" s="60" t="n"/>
      <c r="U133" s="60" t="n"/>
      <c r="V133" s="60" t="n"/>
      <c r="W133" s="60" t="n"/>
      <c r="X133" s="60" t="n"/>
      <c r="Y133" s="60" t="n"/>
      <c r="Z133" s="60" t="n"/>
    </row>
    <row r="134">
      <c r="A134" s="151" t="n">
        <v>46032</v>
      </c>
      <c r="B134" s="67" t="n">
        <v>1378</v>
      </c>
      <c r="C134" s="52" t="inlineStr">
        <is>
          <t xml:space="preserve">AZGÜN YAPI </t>
        </is>
      </c>
      <c r="D134" s="51" t="inlineStr">
        <is>
          <t>34 MKT 859</t>
        </is>
      </c>
      <c r="E134" s="51" t="inlineStr">
        <is>
          <t>ONUR CANLI</t>
        </is>
      </c>
      <c r="F134" s="53" t="n">
        <v>89624</v>
      </c>
      <c r="G134" s="156" t="n">
        <v>448</v>
      </c>
      <c r="H134" s="60" t="n"/>
      <c r="I134" s="156">
        <f>+I133+(G134-H134)</f>
        <v/>
      </c>
      <c r="J134" s="60" t="n"/>
      <c r="K134" s="60" t="n"/>
      <c r="L134" s="158">
        <f>+H134*J134</f>
        <v/>
      </c>
      <c r="M134" s="159">
        <f>SUM(M133+K134-L134)</f>
        <v/>
      </c>
      <c r="N134" s="60" t="n"/>
      <c r="O134" s="60" t="n"/>
      <c r="P134" s="60" t="n"/>
      <c r="Q134" s="60" t="n"/>
      <c r="R134" s="60" t="n"/>
      <c r="S134" s="60" t="n"/>
      <c r="T134" s="60" t="n"/>
      <c r="U134" s="60" t="n"/>
      <c r="V134" s="60" t="n"/>
      <c r="W134" s="60" t="n"/>
      <c r="X134" s="60" t="n"/>
      <c r="Y134" s="60" t="n"/>
      <c r="Z134" s="60" t="n"/>
    </row>
    <row r="135">
      <c r="A135" s="151" t="n">
        <v>46032</v>
      </c>
      <c r="B135" s="67" t="n">
        <v>3273</v>
      </c>
      <c r="C135" s="52" t="inlineStr">
        <is>
          <t xml:space="preserve">AZGÜN YAPI </t>
        </is>
      </c>
      <c r="D135" s="51" t="inlineStr">
        <is>
          <t xml:space="preserve">36 DTV 263 </t>
        </is>
      </c>
      <c r="E135" s="51" t="inlineStr">
        <is>
          <t>İRFAN DAĞLAR</t>
        </is>
      </c>
      <c r="F135" s="53" t="n"/>
      <c r="G135" s="156" t="n">
        <v>478</v>
      </c>
      <c r="H135" s="60" t="n"/>
      <c r="I135" s="156">
        <f>+I134+(G135-H135)</f>
        <v/>
      </c>
      <c r="J135" s="60" t="n"/>
      <c r="K135" s="60" t="n"/>
      <c r="L135" s="158">
        <f>+H135*J135</f>
        <v/>
      </c>
      <c r="M135" s="159">
        <f>SUM(M134+K135-L135)</f>
        <v/>
      </c>
      <c r="N135" s="60" t="n"/>
      <c r="O135" s="60" t="n"/>
      <c r="P135" s="60" t="n"/>
      <c r="Q135" s="60" t="n"/>
      <c r="R135" s="60" t="n"/>
      <c r="S135" s="60" t="n"/>
      <c r="T135" s="60" t="n"/>
      <c r="U135" s="60" t="n"/>
      <c r="V135" s="60" t="n"/>
      <c r="W135" s="60" t="n"/>
      <c r="X135" s="60" t="n"/>
      <c r="Y135" s="60" t="n"/>
      <c r="Z135" s="60" t="n"/>
    </row>
    <row r="136">
      <c r="A136" s="151" t="n">
        <v>46032</v>
      </c>
      <c r="B136" s="67" t="n">
        <v>3790</v>
      </c>
      <c r="C136" s="52" t="inlineStr">
        <is>
          <t>METİN ERYİĞİT</t>
        </is>
      </c>
      <c r="D136" s="51" t="inlineStr">
        <is>
          <t>34 GBL 998</t>
        </is>
      </c>
      <c r="E136" s="51" t="inlineStr">
        <is>
          <t>ALİ KESKİN</t>
        </is>
      </c>
      <c r="F136" s="53" t="n">
        <v>331588</v>
      </c>
      <c r="G136" s="156" t="n">
        <v>451</v>
      </c>
      <c r="H136" s="60" t="n"/>
      <c r="I136" s="156">
        <f>+I135+(G136-H136)</f>
        <v/>
      </c>
      <c r="J136" s="60" t="n"/>
      <c r="K136" s="60" t="n"/>
      <c r="L136" s="158">
        <f>+H136*J136</f>
        <v/>
      </c>
      <c r="M136" s="159">
        <f>SUM(M135+K136-L136)</f>
        <v/>
      </c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  <c r="Z136" s="60" t="n"/>
    </row>
    <row r="137">
      <c r="A137" s="151" t="n">
        <v>46032</v>
      </c>
      <c r="B137" s="67" t="n">
        <v>2739</v>
      </c>
      <c r="C137" s="52" t="inlineStr">
        <is>
          <t>METİN ERYİĞİT</t>
        </is>
      </c>
      <c r="D137" s="51" t="inlineStr">
        <is>
          <t>34 EGR 814</t>
        </is>
      </c>
      <c r="E137" s="51" t="inlineStr">
        <is>
          <t xml:space="preserve">ZİYA İNCE </t>
        </is>
      </c>
      <c r="F137" s="53" t="n">
        <v>595243</v>
      </c>
      <c r="G137" s="156" t="n">
        <v>265</v>
      </c>
      <c r="H137" s="60" t="n"/>
      <c r="I137" s="156">
        <f>+I136+(G137-H137)</f>
        <v/>
      </c>
      <c r="J137" s="60" t="n"/>
      <c r="K137" s="60" t="n"/>
      <c r="L137" s="158">
        <f>+H137*J137</f>
        <v/>
      </c>
      <c r="M137" s="159">
        <f>SUM(M136+K137-L137)</f>
        <v/>
      </c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60" t="n"/>
      <c r="X137" s="60" t="n"/>
      <c r="Y137" s="60" t="n"/>
      <c r="Z137" s="60" t="n"/>
    </row>
    <row r="138">
      <c r="A138" s="151" t="n">
        <v>46032</v>
      </c>
      <c r="B138" s="67" t="n">
        <v>3696</v>
      </c>
      <c r="C138" s="52" t="inlineStr">
        <is>
          <t>METİN ERYİĞİT</t>
        </is>
      </c>
      <c r="D138" s="51" t="inlineStr">
        <is>
          <t>34 EGS 013</t>
        </is>
      </c>
      <c r="E138" s="51" t="inlineStr">
        <is>
          <t>UĞUR DUMAN</t>
        </is>
      </c>
      <c r="F138" s="53" t="n">
        <v>549329</v>
      </c>
      <c r="G138" s="156" t="n">
        <v>206</v>
      </c>
      <c r="H138" s="60" t="n"/>
      <c r="I138" s="156">
        <f>+I137+(G138-H138)</f>
        <v/>
      </c>
      <c r="J138" s="60" t="n"/>
      <c r="K138" s="60" t="n"/>
      <c r="L138" s="158">
        <f>+H138*J138</f>
        <v/>
      </c>
      <c r="M138" s="159">
        <f>SUM(M137+K138-L138)</f>
        <v/>
      </c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  <c r="Z138" s="60" t="n"/>
    </row>
    <row r="139">
      <c r="A139" s="151" t="n">
        <v>46032</v>
      </c>
      <c r="B139" s="67" t="n">
        <v>4575</v>
      </c>
      <c r="C139" s="52" t="inlineStr">
        <is>
          <t>EVKUR</t>
        </is>
      </c>
      <c r="D139" s="51" t="inlineStr">
        <is>
          <t>FORKLİFT</t>
        </is>
      </c>
      <c r="E139" s="51" t="inlineStr">
        <is>
          <t xml:space="preserve">FAHRİ KALFA </t>
        </is>
      </c>
      <c r="F139" s="53" t="n"/>
      <c r="G139" s="156" t="n">
        <v>15</v>
      </c>
      <c r="H139" s="60" t="n"/>
      <c r="I139" s="156">
        <f>+I138+(G139-H139)</f>
        <v/>
      </c>
      <c r="J139" s="60" t="n"/>
      <c r="K139" s="60" t="n"/>
      <c r="L139" s="158">
        <f>+H139*J139</f>
        <v/>
      </c>
      <c r="M139" s="159">
        <f>SUM(M138+K139-L139)</f>
        <v/>
      </c>
      <c r="N139" s="60" t="n"/>
      <c r="O139" s="60" t="n"/>
      <c r="P139" s="60" t="n"/>
      <c r="Q139" s="60" t="n"/>
      <c r="R139" s="60" t="n"/>
      <c r="S139" s="60" t="n"/>
      <c r="T139" s="60" t="n"/>
      <c r="U139" s="60" t="n"/>
      <c r="V139" s="60" t="n"/>
      <c r="W139" s="60" t="n"/>
      <c r="X139" s="60" t="n"/>
      <c r="Y139" s="60" t="n"/>
      <c r="Z139" s="60" t="n"/>
    </row>
    <row r="140">
      <c r="A140" s="151" t="n">
        <v>46032</v>
      </c>
      <c r="B140" s="67" t="n">
        <v>4576</v>
      </c>
      <c r="C140" s="52" t="inlineStr">
        <is>
          <t>AHMET SELİM TEMHA</t>
        </is>
      </c>
      <c r="D140" s="51" t="inlineStr">
        <is>
          <t>MANITO</t>
        </is>
      </c>
      <c r="E140" s="51" t="inlineStr">
        <is>
          <t>TURGAY ÇIPLAK</t>
        </is>
      </c>
      <c r="F140" s="53" t="n"/>
      <c r="G140" s="156" t="n">
        <v>128</v>
      </c>
      <c r="H140" s="60" t="n"/>
      <c r="I140" s="156">
        <f>+I139+(G140-H140)</f>
        <v/>
      </c>
      <c r="J140" s="60" t="n"/>
      <c r="K140" s="60" t="n"/>
      <c r="L140" s="158">
        <f>+H140*J140</f>
        <v/>
      </c>
      <c r="M140" s="159">
        <f>SUM(M139+K140-L140)</f>
        <v/>
      </c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  <c r="Z140" s="60" t="n"/>
    </row>
    <row r="141">
      <c r="A141" s="151" t="n">
        <v>46032</v>
      </c>
      <c r="B141" s="67" t="n">
        <v>4577</v>
      </c>
      <c r="C141" s="52" t="inlineStr">
        <is>
          <t>AHMET SELİM TEMHA</t>
        </is>
      </c>
      <c r="D141" s="51" t="inlineStr">
        <is>
          <t>FORKLİFT</t>
        </is>
      </c>
      <c r="E141" s="51" t="n"/>
      <c r="F141" s="53" t="n"/>
      <c r="G141" s="156" t="n">
        <v>35</v>
      </c>
      <c r="H141" s="60" t="n"/>
      <c r="I141" s="156">
        <f>+I140+(G141-H141)</f>
        <v/>
      </c>
      <c r="J141" s="60" t="n"/>
      <c r="K141" s="60" t="n"/>
      <c r="L141" s="158">
        <f>+H141*J141</f>
        <v/>
      </c>
      <c r="M141" s="159">
        <f>SUM(M140+K141-L141)</f>
        <v/>
      </c>
      <c r="N141" s="60" t="n"/>
      <c r="O141" s="60" t="n"/>
      <c r="P141" s="60" t="n"/>
      <c r="Q141" s="60" t="n"/>
      <c r="R141" s="60" t="n"/>
      <c r="S141" s="60" t="n"/>
      <c r="T141" s="60" t="n"/>
      <c r="U141" s="60" t="n"/>
      <c r="V141" s="60" t="n"/>
      <c r="W141" s="60" t="n"/>
      <c r="X141" s="60" t="n"/>
      <c r="Y141" s="60" t="n"/>
      <c r="Z141" s="60" t="n"/>
    </row>
    <row r="142">
      <c r="A142" s="151" t="n">
        <v>46032</v>
      </c>
      <c r="B142" s="67" t="n">
        <v>4219</v>
      </c>
      <c r="C142" s="52" t="inlineStr">
        <is>
          <t>VARLIK</t>
        </is>
      </c>
      <c r="D142" s="51" t="inlineStr">
        <is>
          <t>KİRALIK KATO</t>
        </is>
      </c>
      <c r="E142" s="51" t="inlineStr">
        <is>
          <t>GÜNEŞ</t>
        </is>
      </c>
      <c r="F142" s="53" t="n"/>
      <c r="G142" s="156" t="n">
        <v>46</v>
      </c>
      <c r="H142" s="60" t="n"/>
      <c r="I142" s="156">
        <f>+I141+(G142-H142)</f>
        <v/>
      </c>
      <c r="J142" s="60" t="n"/>
      <c r="K142" s="60" t="n"/>
      <c r="L142" s="158">
        <f>+H142*J142</f>
        <v/>
      </c>
      <c r="M142" s="159">
        <f>SUM(M141+K142-L142)</f>
        <v/>
      </c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  <c r="Z142" s="60" t="n"/>
    </row>
    <row r="143">
      <c r="A143" s="151" t="n">
        <v>46032</v>
      </c>
      <c r="B143" s="67" t="n">
        <v>4220</v>
      </c>
      <c r="C143" s="52" t="inlineStr">
        <is>
          <t>MEGA VARLIK</t>
        </is>
      </c>
      <c r="D143" s="51" t="inlineStr">
        <is>
          <t>FORKLİFT</t>
        </is>
      </c>
      <c r="E143" s="51" t="inlineStr">
        <is>
          <t xml:space="preserve">FAHRİ KALFA </t>
        </is>
      </c>
      <c r="F143" s="53" t="n"/>
      <c r="G143" s="156" t="n">
        <v>70</v>
      </c>
      <c r="H143" s="60" t="n"/>
      <c r="I143" s="156">
        <f>+I142+(G143-H143)</f>
        <v/>
      </c>
      <c r="J143" s="60" t="n"/>
      <c r="K143" s="60" t="n"/>
      <c r="L143" s="158">
        <f>+H143*J143</f>
        <v/>
      </c>
      <c r="M143" s="159">
        <f>SUM(M142+K143-L143)</f>
        <v/>
      </c>
      <c r="N143" s="60" t="n"/>
      <c r="O143" s="60" t="n"/>
      <c r="P143" s="60" t="n"/>
      <c r="Q143" s="60" t="n"/>
      <c r="R143" s="60" t="n"/>
      <c r="S143" s="60" t="n"/>
      <c r="T143" s="60" t="n"/>
      <c r="U143" s="60" t="n"/>
      <c r="V143" s="60" t="n"/>
      <c r="W143" s="60" t="n"/>
      <c r="X143" s="60" t="n"/>
      <c r="Y143" s="60" t="n"/>
      <c r="Z143" s="60" t="n"/>
    </row>
    <row r="144">
      <c r="A144" s="151" t="n">
        <v>46033</v>
      </c>
      <c r="B144" s="67" t="n">
        <v>4574</v>
      </c>
      <c r="C144" s="52" t="inlineStr">
        <is>
          <t>AHMET SELİM TEMHA</t>
        </is>
      </c>
      <c r="D144" s="51" t="inlineStr">
        <is>
          <t>34 PGT 251</t>
        </is>
      </c>
      <c r="E144" s="51" t="inlineStr">
        <is>
          <t>ERSOY SIĞINMAZ</t>
        </is>
      </c>
      <c r="F144" s="53" t="n"/>
      <c r="G144" s="156" t="n">
        <v>58</v>
      </c>
      <c r="H144" s="60" t="n"/>
      <c r="I144" s="156">
        <f>+I143+(G144-H144)</f>
        <v/>
      </c>
      <c r="J144" s="60" t="n"/>
      <c r="K144" s="60" t="n"/>
      <c r="L144" s="158">
        <f>+H144*J144</f>
        <v/>
      </c>
      <c r="M144" s="159">
        <f>SUM(M143+K144-L144)</f>
        <v/>
      </c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  <c r="Z144" s="60" t="n"/>
    </row>
    <row r="145">
      <c r="A145" s="151" t="n">
        <v>46033</v>
      </c>
      <c r="B145" s="67" t="n">
        <v>4578</v>
      </c>
      <c r="C145" s="52" t="inlineStr">
        <is>
          <t>ENES SELİM VİNÇ</t>
        </is>
      </c>
      <c r="D145" s="51" t="inlineStr">
        <is>
          <t>34 TB 926</t>
        </is>
      </c>
      <c r="E145" s="51" t="inlineStr">
        <is>
          <t>ENES SELİM</t>
        </is>
      </c>
      <c r="F145" s="53" t="n"/>
      <c r="G145" s="156" t="n">
        <v>193</v>
      </c>
      <c r="H145" s="60" t="n"/>
      <c r="I145" s="156">
        <f>+I144+(G145-H145)</f>
        <v/>
      </c>
      <c r="J145" s="60" t="n"/>
      <c r="K145" s="60" t="n"/>
      <c r="L145" s="158">
        <f>+H145*J145</f>
        <v/>
      </c>
      <c r="M145" s="159">
        <f>SUM(M144+K145-L145)</f>
        <v/>
      </c>
      <c r="N145" s="60" t="n"/>
      <c r="O145" s="60" t="n"/>
      <c r="P145" s="60" t="n"/>
      <c r="Q145" s="60" t="n"/>
      <c r="R145" s="60" t="n"/>
      <c r="S145" s="60" t="n"/>
      <c r="T145" s="60" t="n"/>
      <c r="U145" s="60" t="n"/>
      <c r="V145" s="60" t="n"/>
      <c r="W145" s="60" t="n"/>
      <c r="X145" s="60" t="n"/>
      <c r="Y145" s="60" t="n"/>
      <c r="Z145" s="60" t="n"/>
    </row>
    <row r="146">
      <c r="A146" s="151" t="n">
        <v>46035</v>
      </c>
      <c r="B146" s="67" t="n">
        <v>2339</v>
      </c>
      <c r="C146" s="52" t="inlineStr">
        <is>
          <t>SELİM İNŞAAT</t>
        </is>
      </c>
      <c r="D146" s="51" t="inlineStr">
        <is>
          <t>34 DP 4161</t>
        </is>
      </c>
      <c r="E146" s="51" t="inlineStr">
        <is>
          <t>RIFAT KARATAY</t>
        </is>
      </c>
      <c r="F146" s="53" t="n">
        <v>319316</v>
      </c>
      <c r="G146" s="156" t="n">
        <v>292</v>
      </c>
      <c r="H146" s="60" t="n"/>
      <c r="I146" s="156">
        <f>+I145+(G146-H146)</f>
        <v/>
      </c>
      <c r="J146" s="60" t="n"/>
      <c r="K146" s="60" t="n"/>
      <c r="L146" s="158">
        <f>+H146*J146</f>
        <v/>
      </c>
      <c r="M146" s="159">
        <f>SUM(M145+K146-L146)</f>
        <v/>
      </c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  <c r="Z146" s="60" t="n"/>
    </row>
    <row r="147">
      <c r="A147" s="151" t="n">
        <v>46036</v>
      </c>
      <c r="B147" s="67" t="n">
        <v>253</v>
      </c>
      <c r="C147" s="52" t="inlineStr">
        <is>
          <t>SELİM İNŞAAT</t>
        </is>
      </c>
      <c r="D147" s="51" t="inlineStr">
        <is>
          <t>34 DHC 393</t>
        </is>
      </c>
      <c r="E147" s="51" t="inlineStr">
        <is>
          <t>ATA KIZMAZ</t>
        </is>
      </c>
      <c r="F147" s="53" t="n">
        <v>458262</v>
      </c>
      <c r="G147" s="156" t="n">
        <v>317</v>
      </c>
      <c r="H147" s="60" t="n"/>
      <c r="I147" s="156">
        <f>+I146+(G147-H147)</f>
        <v/>
      </c>
      <c r="J147" s="60" t="n"/>
      <c r="K147" s="60" t="n"/>
      <c r="L147" s="158">
        <f>+H147*J147</f>
        <v/>
      </c>
      <c r="M147" s="159">
        <f>SUM(M146+K147-L147)</f>
        <v/>
      </c>
      <c r="N147" s="60" t="n"/>
      <c r="O147" s="60" t="n"/>
      <c r="P147" s="60" t="n"/>
      <c r="Q147" s="60" t="n"/>
      <c r="R147" s="60" t="n"/>
      <c r="S147" s="60" t="n"/>
      <c r="T147" s="60" t="n"/>
      <c r="U147" s="60" t="n"/>
      <c r="V147" s="60" t="n"/>
      <c r="W147" s="60" t="n"/>
      <c r="X147" s="60" t="n"/>
      <c r="Y147" s="60" t="n"/>
      <c r="Z147" s="60" t="n"/>
    </row>
    <row r="148">
      <c r="A148" s="151" t="n">
        <v>46036</v>
      </c>
      <c r="B148" s="67" t="n">
        <v>1200</v>
      </c>
      <c r="C148" s="52" t="inlineStr">
        <is>
          <t>SELİM İNŞAAT</t>
        </is>
      </c>
      <c r="D148" s="51" t="inlineStr">
        <is>
          <t>34 DSN 536</t>
        </is>
      </c>
      <c r="E148" s="51" t="inlineStr">
        <is>
          <t>SALİH YALÇIN</t>
        </is>
      </c>
      <c r="F148" s="53" t="n">
        <v>442016</v>
      </c>
      <c r="G148" s="156" t="n">
        <v>486</v>
      </c>
      <c r="H148" s="60" t="n"/>
      <c r="I148" s="156">
        <f>+I147+(G148-H148)</f>
        <v/>
      </c>
      <c r="J148" s="60" t="n"/>
      <c r="K148" s="60" t="n"/>
      <c r="L148" s="158">
        <f>+H148*J148</f>
        <v/>
      </c>
      <c r="M148" s="159">
        <f>SUM(M147+K148-L148)</f>
        <v/>
      </c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  <c r="Z148" s="60" t="n"/>
    </row>
    <row r="149">
      <c r="A149" s="151" t="n">
        <v>46036</v>
      </c>
      <c r="B149" s="67" t="n">
        <v>2642</v>
      </c>
      <c r="C149" s="52" t="inlineStr">
        <is>
          <t>SELİM İNŞAAT</t>
        </is>
      </c>
      <c r="D149" s="51" t="inlineStr">
        <is>
          <t>34 GU 945</t>
        </is>
      </c>
      <c r="E149" s="51" t="inlineStr">
        <is>
          <t>ABDULKERİM ERGEN</t>
        </is>
      </c>
      <c r="F149" s="53" t="n">
        <v>469339</v>
      </c>
      <c r="G149" s="156" t="n">
        <v>67</v>
      </c>
      <c r="H149" s="60" t="n"/>
      <c r="I149" s="156">
        <f>+I148+(G149-H149)</f>
        <v/>
      </c>
      <c r="J149" s="60" t="n"/>
      <c r="K149" s="60" t="n"/>
      <c r="L149" s="158">
        <f>+H149*J149</f>
        <v/>
      </c>
      <c r="M149" s="159">
        <f>SUM(M148+K149-L149)</f>
        <v/>
      </c>
      <c r="N149" s="60" t="n"/>
      <c r="O149" s="60" t="n"/>
      <c r="P149" s="60" t="n"/>
      <c r="Q149" s="60" t="n"/>
      <c r="R149" s="60" t="n"/>
      <c r="S149" s="60" t="n"/>
      <c r="T149" s="60" t="n"/>
      <c r="U149" s="60" t="n"/>
      <c r="V149" s="60" t="n"/>
      <c r="W149" s="60" t="n"/>
      <c r="X149" s="60" t="n"/>
      <c r="Y149" s="60" t="n"/>
      <c r="Z149" s="60" t="n"/>
    </row>
    <row r="150">
      <c r="A150" s="151" t="n">
        <v>46036</v>
      </c>
      <c r="B150" s="67" t="n">
        <v>1627</v>
      </c>
      <c r="C150" s="52" t="inlineStr">
        <is>
          <t>SELİM İNŞAAT</t>
        </is>
      </c>
      <c r="D150" s="51" t="inlineStr">
        <is>
          <t>34 VF 2620</t>
        </is>
      </c>
      <c r="E150" s="51" t="inlineStr">
        <is>
          <t>RECEP SELİM</t>
        </is>
      </c>
      <c r="F150" s="53" t="n">
        <v>200474</v>
      </c>
      <c r="G150" s="156" t="n">
        <v>67</v>
      </c>
      <c r="H150" s="60" t="n"/>
      <c r="I150" s="156">
        <f>+I149+(G150-H150)</f>
        <v/>
      </c>
      <c r="J150" s="60" t="n"/>
      <c r="K150" s="60" t="n"/>
      <c r="L150" s="158">
        <f>+H150*J150</f>
        <v/>
      </c>
      <c r="M150" s="159">
        <f>SUM(M149+K150-L150)</f>
        <v/>
      </c>
      <c r="N150" s="60" t="n"/>
      <c r="O150" s="60" t="n"/>
      <c r="P150" s="60" t="n"/>
      <c r="Q150" s="60" t="n"/>
      <c r="R150" s="60" t="n"/>
      <c r="S150" s="60" t="n"/>
      <c r="T150" s="60" t="n"/>
      <c r="U150" s="60" t="n"/>
      <c r="V150" s="60" t="n"/>
      <c r="W150" s="60" t="n"/>
      <c r="X150" s="60" t="n"/>
      <c r="Y150" s="60" t="n"/>
      <c r="Z150" s="60" t="n"/>
    </row>
    <row r="151">
      <c r="A151" s="151" t="n">
        <v>46036</v>
      </c>
      <c r="B151" s="67" t="n">
        <v>3697</v>
      </c>
      <c r="C151" s="52" t="inlineStr">
        <is>
          <t>METİN ERYİĞİT</t>
        </is>
      </c>
      <c r="D151" s="51" t="inlineStr">
        <is>
          <t>34 EGS 013</t>
        </is>
      </c>
      <c r="E151" s="51" t="inlineStr">
        <is>
          <t>UĞUR DUMAN</t>
        </is>
      </c>
      <c r="F151" s="53" t="n">
        <v>550361</v>
      </c>
      <c r="G151" s="156" t="n">
        <v>315</v>
      </c>
      <c r="H151" s="60" t="n"/>
      <c r="I151" s="156">
        <f>+I150+(G151-H151)</f>
        <v/>
      </c>
      <c r="J151" s="60" t="n"/>
      <c r="K151" s="60" t="n"/>
      <c r="L151" s="158">
        <f>+H151*J151</f>
        <v/>
      </c>
      <c r="M151" s="159">
        <f>SUM(M150+K151-L151)</f>
        <v/>
      </c>
      <c r="N151" s="60" t="n"/>
      <c r="O151" s="60" t="n"/>
      <c r="P151" s="60" t="n"/>
      <c r="Q151" s="60" t="n"/>
      <c r="R151" s="60" t="n"/>
      <c r="S151" s="60" t="n"/>
      <c r="T151" s="60" t="n"/>
      <c r="U151" s="60" t="n"/>
      <c r="V151" s="60" t="n"/>
      <c r="W151" s="60" t="n"/>
      <c r="X151" s="60" t="n"/>
      <c r="Y151" s="60" t="n"/>
      <c r="Z151" s="60" t="n"/>
    </row>
    <row r="152">
      <c r="A152" s="151" t="n">
        <v>46036</v>
      </c>
      <c r="B152" s="67" t="n">
        <v>4579</v>
      </c>
      <c r="C152" s="52" t="inlineStr">
        <is>
          <t xml:space="preserve">GÜRSES </t>
        </is>
      </c>
      <c r="D152" s="51" t="inlineStr">
        <is>
          <t>FORKLİFT</t>
        </is>
      </c>
      <c r="E152" s="51" t="inlineStr">
        <is>
          <t xml:space="preserve">AHMET KALFA </t>
        </is>
      </c>
      <c r="F152" s="53" t="n"/>
      <c r="G152" s="156" t="n">
        <v>61</v>
      </c>
      <c r="H152" s="60" t="n"/>
      <c r="I152" s="156">
        <f>+I151+(G152-H152)</f>
        <v/>
      </c>
      <c r="J152" s="60" t="n"/>
      <c r="K152" s="60" t="n"/>
      <c r="L152" s="158">
        <f>+H152*J152</f>
        <v/>
      </c>
      <c r="M152" s="159">
        <f>SUM(M151+K152-L152)</f>
        <v/>
      </c>
      <c r="N152" s="60" t="n"/>
      <c r="O152" s="60" t="n"/>
      <c r="P152" s="60" t="n"/>
      <c r="Q152" s="60" t="n"/>
      <c r="R152" s="60" t="n"/>
      <c r="S152" s="60" t="n"/>
      <c r="T152" s="60" t="n"/>
      <c r="U152" s="60" t="n"/>
      <c r="V152" s="60" t="n"/>
      <c r="W152" s="60" t="n"/>
      <c r="X152" s="60" t="n"/>
      <c r="Y152" s="60" t="n"/>
      <c r="Z152" s="60" t="n"/>
    </row>
    <row r="153">
      <c r="A153" s="151" t="n">
        <v>46036</v>
      </c>
      <c r="B153" s="67" t="n">
        <v>4222</v>
      </c>
      <c r="C153" s="52" t="inlineStr">
        <is>
          <t>EVKUR</t>
        </is>
      </c>
      <c r="D153" s="51" t="inlineStr">
        <is>
          <t xml:space="preserve">KAVASAKI </t>
        </is>
      </c>
      <c r="E153" s="51" t="inlineStr">
        <is>
          <t>RAMAZAN</t>
        </is>
      </c>
      <c r="F153" s="53" t="n"/>
      <c r="G153" s="156" t="n">
        <v>370</v>
      </c>
      <c r="H153" s="60" t="n"/>
      <c r="I153" s="156">
        <f>+I152+(G153-H153)</f>
        <v/>
      </c>
      <c r="J153" s="60" t="n"/>
      <c r="K153" s="60" t="n"/>
      <c r="L153" s="158">
        <f>+H153*J153</f>
        <v/>
      </c>
      <c r="M153" s="159">
        <f>SUM(M152+K153-L153)</f>
        <v/>
      </c>
      <c r="N153" s="60" t="n"/>
      <c r="O153" s="60" t="n"/>
      <c r="P153" s="60" t="n"/>
      <c r="Q153" s="60" t="n"/>
      <c r="R153" s="60" t="n"/>
      <c r="S153" s="60" t="n"/>
      <c r="T153" s="60" t="n"/>
      <c r="U153" s="60" t="n"/>
      <c r="V153" s="60" t="n"/>
      <c r="W153" s="60" t="n"/>
      <c r="X153" s="60" t="n"/>
      <c r="Y153" s="60" t="n"/>
      <c r="Z153" s="60" t="n"/>
    </row>
    <row r="154">
      <c r="A154" s="151" t="n">
        <v>46036</v>
      </c>
      <c r="B154" s="67" t="n">
        <v>4223</v>
      </c>
      <c r="C154" s="52" t="inlineStr">
        <is>
          <t>EVKUR</t>
        </is>
      </c>
      <c r="D154" s="51" t="inlineStr">
        <is>
          <t>KİRALIK KATO</t>
        </is>
      </c>
      <c r="E154" s="51" t="inlineStr">
        <is>
          <t>GÜNEŞ</t>
        </is>
      </c>
      <c r="F154" s="53" t="n"/>
      <c r="G154" s="156" t="n">
        <v>46</v>
      </c>
      <c r="H154" s="60" t="n"/>
      <c r="I154" s="156">
        <f>+I153+(G154-H154)</f>
        <v/>
      </c>
      <c r="J154" s="60" t="n"/>
      <c r="K154" s="60" t="n"/>
      <c r="L154" s="158">
        <f>+H154*J154</f>
        <v/>
      </c>
      <c r="M154" s="159">
        <f>SUM(M153+K154-L154)</f>
        <v/>
      </c>
      <c r="N154" s="60" t="n"/>
      <c r="O154" s="60" t="n"/>
      <c r="P154" s="60" t="n"/>
      <c r="Q154" s="60" t="n"/>
      <c r="R154" s="60" t="n"/>
      <c r="S154" s="60" t="n"/>
      <c r="T154" s="60" t="n"/>
      <c r="U154" s="60" t="n"/>
      <c r="V154" s="60" t="n"/>
      <c r="W154" s="60" t="n"/>
      <c r="X154" s="60" t="n"/>
      <c r="Y154" s="60" t="n"/>
      <c r="Z154" s="60" t="n"/>
    </row>
    <row r="155">
      <c r="A155" s="151" t="n">
        <v>46036</v>
      </c>
      <c r="B155" s="67" t="n">
        <v>4224</v>
      </c>
      <c r="C155" s="52" t="inlineStr">
        <is>
          <t>VARLIK</t>
        </is>
      </c>
      <c r="D155" s="51" t="inlineStr">
        <is>
          <t xml:space="preserve">JCB </t>
        </is>
      </c>
      <c r="E155" s="51" t="inlineStr">
        <is>
          <t>BAYRAM SANCAK</t>
        </is>
      </c>
      <c r="F155" s="53" t="n"/>
      <c r="G155" s="156" t="n">
        <v>72</v>
      </c>
      <c r="H155" s="60" t="n"/>
      <c r="I155" s="156">
        <f>+I154+(G155-H155)</f>
        <v/>
      </c>
      <c r="J155" s="60" t="n"/>
      <c r="K155" s="60" t="n"/>
      <c r="L155" s="158">
        <f>+H155*J155</f>
        <v/>
      </c>
      <c r="M155" s="159">
        <f>SUM(M154+K155-L155)</f>
        <v/>
      </c>
      <c r="N155" s="60" t="n"/>
      <c r="O155" s="60" t="n"/>
      <c r="P155" s="60" t="n"/>
      <c r="Q155" s="60" t="n"/>
      <c r="R155" s="60" t="n"/>
      <c r="S155" s="60" t="n"/>
      <c r="T155" s="60" t="n"/>
      <c r="U155" s="60" t="n"/>
      <c r="V155" s="60" t="n"/>
      <c r="W155" s="60" t="n"/>
      <c r="X155" s="60" t="n"/>
      <c r="Y155" s="60" t="n"/>
      <c r="Z155" s="60" t="n"/>
    </row>
    <row r="156">
      <c r="A156" s="151" t="n">
        <v>46037</v>
      </c>
      <c r="B156" s="67" t="n">
        <v>4163</v>
      </c>
      <c r="C156" s="52" t="inlineStr">
        <is>
          <t>SELİM İNŞAAT</t>
        </is>
      </c>
      <c r="D156" s="51" t="inlineStr">
        <is>
          <t>34 FBR 748</t>
        </is>
      </c>
      <c r="E156" s="51" t="inlineStr">
        <is>
          <t>YAŞAR ÖZKAYA</t>
        </is>
      </c>
      <c r="F156" s="53" t="n">
        <v>319300</v>
      </c>
      <c r="G156" s="156" t="n">
        <v>290</v>
      </c>
      <c r="H156" s="60" t="n"/>
      <c r="I156" s="156">
        <f>+I155+(G156-H156)</f>
        <v/>
      </c>
      <c r="J156" s="60" t="n"/>
      <c r="K156" s="60" t="n"/>
      <c r="L156" s="158">
        <f>+H156*J156</f>
        <v/>
      </c>
      <c r="M156" s="159">
        <f>SUM(M155+K156-L156)</f>
        <v/>
      </c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  <c r="Z156" s="60" t="n"/>
    </row>
    <row r="157">
      <c r="A157" s="151" t="n">
        <v>46037</v>
      </c>
      <c r="B157" s="67" t="n">
        <v>3036</v>
      </c>
      <c r="C157" s="52" t="inlineStr">
        <is>
          <t>SELİM İNŞAAT</t>
        </is>
      </c>
      <c r="D157" s="51" t="inlineStr">
        <is>
          <t>34 FBR 781</t>
        </is>
      </c>
      <c r="E157" s="51" t="inlineStr">
        <is>
          <t>MEVLÜT POLAT</t>
        </is>
      </c>
      <c r="F157" s="53" t="n">
        <v>356192</v>
      </c>
      <c r="G157" s="156" t="n">
        <v>504</v>
      </c>
      <c r="H157" s="60" t="n"/>
      <c r="I157" s="156">
        <f>+I156+(G157-H157)</f>
        <v/>
      </c>
      <c r="J157" s="60" t="n"/>
      <c r="K157" s="60" t="n"/>
      <c r="L157" s="158">
        <f>+H157*J157</f>
        <v/>
      </c>
      <c r="M157" s="159">
        <f>SUM(M156+K157-L157)</f>
        <v/>
      </c>
      <c r="N157" s="60" t="n"/>
      <c r="O157" s="60" t="n"/>
      <c r="P157" s="60" t="n"/>
      <c r="Q157" s="60" t="n"/>
      <c r="R157" s="60" t="n"/>
      <c r="S157" s="60" t="n"/>
      <c r="T157" s="60" t="n"/>
      <c r="U157" s="60" t="n"/>
      <c r="V157" s="60" t="n"/>
      <c r="W157" s="60" t="n"/>
      <c r="X157" s="60" t="n"/>
      <c r="Y157" s="60" t="n"/>
      <c r="Z157" s="60" t="n"/>
    </row>
    <row r="158">
      <c r="A158" s="151" t="n">
        <v>46037</v>
      </c>
      <c r="B158" s="67" t="n">
        <v>4959</v>
      </c>
      <c r="C158" s="52" t="inlineStr">
        <is>
          <t>SELİM İNŞAAT</t>
        </is>
      </c>
      <c r="D158" s="51" t="inlineStr">
        <is>
          <t>34 GVZ 745</t>
        </is>
      </c>
      <c r="E158" s="51" t="inlineStr">
        <is>
          <t>MURAT DEMİRBAŞ</t>
        </is>
      </c>
      <c r="F158" s="53" t="n">
        <v>240066</v>
      </c>
      <c r="G158" s="156" t="n">
        <v>297</v>
      </c>
      <c r="H158" s="60" t="n"/>
      <c r="I158" s="156">
        <f>+I157+(G158-H158)</f>
        <v/>
      </c>
      <c r="J158" s="60" t="n"/>
      <c r="K158" s="60" t="n"/>
      <c r="L158" s="158">
        <f>+H158*J158</f>
        <v/>
      </c>
      <c r="M158" s="159">
        <f>SUM(M157+K158-L158)</f>
        <v/>
      </c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  <c r="Z158" s="60" t="n"/>
    </row>
    <row r="159">
      <c r="A159" s="151" t="n">
        <v>46037</v>
      </c>
      <c r="B159" s="67" t="n">
        <v>1902</v>
      </c>
      <c r="C159" s="52" t="inlineStr">
        <is>
          <t>SELİM İNŞAAT</t>
        </is>
      </c>
      <c r="D159" s="51" t="inlineStr">
        <is>
          <t xml:space="preserve">34 GVZ 268 </t>
        </is>
      </c>
      <c r="E159" s="51" t="inlineStr">
        <is>
          <t>KERİM KARAMAN</t>
        </is>
      </c>
      <c r="F159" s="53" t="n">
        <v>244908</v>
      </c>
      <c r="G159" s="156" t="n">
        <v>485</v>
      </c>
      <c r="H159" s="60" t="n"/>
      <c r="I159" s="156">
        <f>+I158+(G159-H159)</f>
        <v/>
      </c>
      <c r="J159" s="60" t="n"/>
      <c r="K159" s="60" t="n"/>
      <c r="L159" s="158">
        <f>+H159*J159</f>
        <v/>
      </c>
      <c r="M159" s="159">
        <f>SUM(M158+K159-L159)</f>
        <v/>
      </c>
      <c r="N159" s="60" t="n"/>
      <c r="O159" s="60" t="n"/>
      <c r="P159" s="60" t="n"/>
      <c r="Q159" s="60" t="n"/>
      <c r="R159" s="60" t="n"/>
      <c r="S159" s="60" t="n"/>
      <c r="T159" s="60" t="n"/>
      <c r="U159" s="60" t="n"/>
      <c r="V159" s="60" t="n"/>
      <c r="W159" s="60" t="n"/>
      <c r="X159" s="60" t="n"/>
      <c r="Y159" s="60" t="n"/>
      <c r="Z159" s="60" t="n"/>
    </row>
    <row r="160">
      <c r="A160" s="151" t="n">
        <v>46037</v>
      </c>
      <c r="B160" s="67" t="n">
        <v>4865</v>
      </c>
      <c r="C160" s="52" t="inlineStr">
        <is>
          <t>SELİM İNŞAAT</t>
        </is>
      </c>
      <c r="D160" s="51" t="inlineStr">
        <is>
          <t>34 FBR 705</t>
        </is>
      </c>
      <c r="E160" s="51" t="inlineStr">
        <is>
          <t>MURAT SARI</t>
        </is>
      </c>
      <c r="F160" s="53" t="n">
        <v>355876</v>
      </c>
      <c r="G160" s="156" t="n">
        <v>325</v>
      </c>
      <c r="H160" s="60" t="n"/>
      <c r="I160" s="156">
        <f>+I159+(G160-H160)</f>
        <v/>
      </c>
      <c r="J160" s="60" t="n"/>
      <c r="K160" s="60" t="n"/>
      <c r="L160" s="158">
        <f>+H160*J160</f>
        <v/>
      </c>
      <c r="M160" s="159">
        <f>SUM(M159+K160-L160)</f>
        <v/>
      </c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  <c r="Z160" s="60" t="n"/>
    </row>
    <row r="161">
      <c r="A161" s="151" t="n">
        <v>46037</v>
      </c>
      <c r="B161" s="67" t="n">
        <v>4303</v>
      </c>
      <c r="C161" s="52" t="inlineStr">
        <is>
          <t>SELİM İNŞAAT</t>
        </is>
      </c>
      <c r="D161" s="51" t="inlineStr">
        <is>
          <t>34 DTV 447</t>
        </is>
      </c>
      <c r="E161" s="51" t="inlineStr">
        <is>
          <t>EBUBEKİR KOLDAŞ</t>
        </is>
      </c>
      <c r="F161" s="53" t="n">
        <v>461005</v>
      </c>
      <c r="G161" s="156" t="n">
        <v>549</v>
      </c>
      <c r="H161" s="60" t="n"/>
      <c r="I161" s="156">
        <f>+I160+(G161-H161)</f>
        <v/>
      </c>
      <c r="J161" s="60" t="n"/>
      <c r="K161" s="60" t="n"/>
      <c r="L161" s="158">
        <f>+H161*J161</f>
        <v/>
      </c>
      <c r="M161" s="159">
        <f>SUM(M160+K161-L161)</f>
        <v/>
      </c>
      <c r="N161" s="60" t="n"/>
      <c r="O161" s="60" t="n"/>
      <c r="P161" s="60" t="n"/>
      <c r="Q161" s="60" t="n"/>
      <c r="R161" s="60" t="n"/>
      <c r="S161" s="60" t="n"/>
      <c r="T161" s="60" t="n"/>
      <c r="U161" s="60" t="n"/>
      <c r="V161" s="60" t="n"/>
      <c r="W161" s="60" t="n"/>
      <c r="X161" s="60" t="n"/>
      <c r="Y161" s="60" t="n"/>
      <c r="Z161" s="60" t="n"/>
    </row>
    <row r="162">
      <c r="A162" s="151" t="n">
        <v>46037</v>
      </c>
      <c r="B162" s="67" t="n">
        <v>3420</v>
      </c>
      <c r="C162" s="52" t="inlineStr">
        <is>
          <t>SELİM İNŞAAT</t>
        </is>
      </c>
      <c r="D162" s="51" t="inlineStr">
        <is>
          <t>34 GVZ 310</t>
        </is>
      </c>
      <c r="E162" s="51" t="inlineStr">
        <is>
          <t>CELAL YÜZBAŞI</t>
        </is>
      </c>
      <c r="F162" s="53" t="n">
        <v>241714</v>
      </c>
      <c r="G162" s="156" t="n">
        <v>422</v>
      </c>
      <c r="H162" s="60" t="n"/>
      <c r="I162" s="156">
        <f>+I161+(G162-H162)</f>
        <v/>
      </c>
      <c r="J162" s="60" t="n"/>
      <c r="K162" s="60" t="n"/>
      <c r="L162" s="158">
        <f>+H162*J162</f>
        <v/>
      </c>
      <c r="M162" s="159">
        <f>SUM(M161+K162-L162)</f>
        <v/>
      </c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  <c r="Z162" s="60" t="n"/>
    </row>
    <row r="163">
      <c r="A163" s="151" t="n">
        <v>46037</v>
      </c>
      <c r="B163" s="67" t="n">
        <v>4764</v>
      </c>
      <c r="C163" s="52" t="inlineStr">
        <is>
          <t>SELİM İNŞAAT</t>
        </is>
      </c>
      <c r="D163" s="51" t="inlineStr">
        <is>
          <t>34 DGP 137</t>
        </is>
      </c>
      <c r="E163" s="51" t="inlineStr">
        <is>
          <t xml:space="preserve">GÜRAY KOYUNCU </t>
        </is>
      </c>
      <c r="F163" s="53" t="n">
        <v>472300</v>
      </c>
      <c r="G163" s="156" t="n">
        <v>465</v>
      </c>
      <c r="H163" s="60" t="n"/>
      <c r="I163" s="156">
        <f>+I162+(G163-H163)</f>
        <v/>
      </c>
      <c r="J163" s="60" t="n"/>
      <c r="K163" s="60" t="n"/>
      <c r="L163" s="158">
        <f>+H163*J163</f>
        <v/>
      </c>
      <c r="M163" s="159">
        <f>SUM(M162+K163-L163)</f>
        <v/>
      </c>
      <c r="N163" s="60" t="n"/>
      <c r="O163" s="60" t="n"/>
      <c r="P163" s="60" t="n"/>
      <c r="Q163" s="60" t="n"/>
      <c r="R163" s="60" t="n"/>
      <c r="S163" s="60" t="n"/>
      <c r="T163" s="60" t="n"/>
      <c r="U163" s="60" t="n"/>
      <c r="V163" s="60" t="n"/>
      <c r="W163" s="60" t="n"/>
      <c r="X163" s="60" t="n"/>
      <c r="Y163" s="60" t="n"/>
      <c r="Z163" s="60" t="n"/>
    </row>
    <row r="164">
      <c r="A164" s="151" t="n">
        <v>46037</v>
      </c>
      <c r="B164" s="67" t="n">
        <v>4505</v>
      </c>
      <c r="C164" s="52" t="inlineStr">
        <is>
          <t>SELİM İNŞAAT</t>
        </is>
      </c>
      <c r="D164" s="51" t="inlineStr">
        <is>
          <t>34 DTV 352</t>
        </is>
      </c>
      <c r="E164" s="51" t="inlineStr">
        <is>
          <t>ENGİN DENİZ</t>
        </is>
      </c>
      <c r="F164" s="53" t="n">
        <v>470592</v>
      </c>
      <c r="G164" s="156" t="n">
        <v>350</v>
      </c>
      <c r="H164" s="60" t="n"/>
      <c r="I164" s="156">
        <f>+I163+(G164-H164)</f>
        <v/>
      </c>
      <c r="J164" s="60" t="n"/>
      <c r="K164" s="60" t="n"/>
      <c r="L164" s="158">
        <f>+H164*J164</f>
        <v/>
      </c>
      <c r="M164" s="159">
        <f>SUM(M163+K164-L164)</f>
        <v/>
      </c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  <c r="Z164" s="60" t="n"/>
    </row>
    <row r="165">
      <c r="A165" s="151" t="n">
        <v>46037</v>
      </c>
      <c r="B165" s="67" t="n">
        <v>2379</v>
      </c>
      <c r="C165" s="52" t="inlineStr">
        <is>
          <t>SELİM İNŞAAT</t>
        </is>
      </c>
      <c r="D165" s="51" t="inlineStr">
        <is>
          <t>34 FEM 934</t>
        </is>
      </c>
      <c r="E165" s="51" t="inlineStr">
        <is>
          <t>YAKUP URUCU</t>
        </is>
      </c>
      <c r="F165" s="53" t="n">
        <v>329651</v>
      </c>
      <c r="G165" s="156" t="n">
        <v>70</v>
      </c>
      <c r="H165" s="60" t="n"/>
      <c r="I165" s="156">
        <f>+I164+(G165-H165)</f>
        <v/>
      </c>
      <c r="J165" s="60" t="n"/>
      <c r="K165" s="60" t="n"/>
      <c r="L165" s="158">
        <f>+H165*J165</f>
        <v/>
      </c>
      <c r="M165" s="159">
        <f>SUM(M164+K165-L165)</f>
        <v/>
      </c>
      <c r="N165" s="60" t="n"/>
      <c r="O165" s="60" t="n"/>
      <c r="P165" s="60" t="n"/>
      <c r="Q165" s="60" t="n"/>
      <c r="R165" s="60" t="n"/>
      <c r="S165" s="60" t="n"/>
      <c r="T165" s="60" t="n"/>
      <c r="U165" s="60" t="n"/>
      <c r="V165" s="60" t="n"/>
      <c r="W165" s="60" t="n"/>
      <c r="X165" s="60" t="n"/>
      <c r="Y165" s="60" t="n"/>
      <c r="Z165" s="60" t="n"/>
    </row>
    <row r="166">
      <c r="A166" s="151" t="n">
        <v>46037</v>
      </c>
      <c r="B166" s="67" t="n">
        <v>2528</v>
      </c>
      <c r="C166" s="52" t="inlineStr">
        <is>
          <t xml:space="preserve">AZGÜN YAPI </t>
        </is>
      </c>
      <c r="D166" s="51" t="inlineStr">
        <is>
          <t>34 MKT 493</t>
        </is>
      </c>
      <c r="E166" s="51" t="inlineStr">
        <is>
          <t>TURGUT ÇATAL</t>
        </is>
      </c>
      <c r="F166" s="53" t="n"/>
      <c r="G166" s="156" t="n">
        <v>429</v>
      </c>
      <c r="H166" s="60" t="n"/>
      <c r="I166" s="156">
        <f>+I165+(G166-H166)</f>
        <v/>
      </c>
      <c r="J166" s="60" t="n"/>
      <c r="K166" s="60" t="n"/>
      <c r="L166" s="158">
        <f>+H166*J166</f>
        <v/>
      </c>
      <c r="M166" s="159">
        <f>SUM(M165+K166-L166)</f>
        <v/>
      </c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  <c r="Z166" s="60" t="n"/>
    </row>
    <row r="167">
      <c r="A167" s="151" t="n">
        <v>46037</v>
      </c>
      <c r="B167" s="67" t="n">
        <v>3274</v>
      </c>
      <c r="C167" s="52" t="inlineStr">
        <is>
          <t xml:space="preserve">AZGÜN YAPI </t>
        </is>
      </c>
      <c r="D167" s="51" t="inlineStr">
        <is>
          <t xml:space="preserve">37 DTV 263 </t>
        </is>
      </c>
      <c r="E167" s="51" t="inlineStr">
        <is>
          <t>İRFAN DAĞLAR</t>
        </is>
      </c>
      <c r="F167" s="53" t="n"/>
      <c r="G167" s="156" t="n">
        <v>225</v>
      </c>
      <c r="H167" s="60" t="n"/>
      <c r="I167" s="156">
        <f>+I166+(G167-H167)</f>
        <v/>
      </c>
      <c r="J167" s="60" t="n"/>
      <c r="K167" s="60" t="n"/>
      <c r="L167" s="158">
        <f>+H167*J167</f>
        <v/>
      </c>
      <c r="M167" s="159">
        <f>SUM(M166+K167-L167)</f>
        <v/>
      </c>
      <c r="N167" s="60" t="n"/>
      <c r="O167" s="60" t="n"/>
      <c r="P167" s="60" t="n"/>
      <c r="Q167" s="60" t="n"/>
      <c r="R167" s="60" t="n"/>
      <c r="S167" s="60" t="n"/>
      <c r="T167" s="60" t="n"/>
      <c r="U167" s="60" t="n"/>
      <c r="V167" s="60" t="n"/>
      <c r="W167" s="60" t="n"/>
      <c r="X167" s="60" t="n"/>
      <c r="Y167" s="60" t="n"/>
      <c r="Z167" s="60" t="n"/>
    </row>
    <row r="168">
      <c r="A168" s="151" t="n">
        <v>46037</v>
      </c>
      <c r="B168" s="67" t="n">
        <v>2740</v>
      </c>
      <c r="C168" s="52" t="inlineStr">
        <is>
          <t>METİN ERYİĞİT</t>
        </is>
      </c>
      <c r="D168" s="51" t="inlineStr">
        <is>
          <t>34 EGR 814</t>
        </is>
      </c>
      <c r="E168" s="51" t="inlineStr">
        <is>
          <t xml:space="preserve">ZİYA İNCE </t>
        </is>
      </c>
      <c r="F168" s="53" t="n">
        <v>596358</v>
      </c>
      <c r="G168" s="156" t="n">
        <v>450</v>
      </c>
      <c r="H168" s="60" t="n"/>
      <c r="I168" s="156">
        <f>+I167+(G168-H168)</f>
        <v/>
      </c>
      <c r="J168" s="60" t="n"/>
      <c r="K168" s="60" t="n"/>
      <c r="L168" s="158">
        <f>+H168*J168</f>
        <v/>
      </c>
      <c r="M168" s="159">
        <f>SUM(M167+K168-L168)</f>
        <v/>
      </c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  <c r="Z168" s="60" t="n"/>
    </row>
    <row r="169">
      <c r="A169" s="151" t="n">
        <v>46037</v>
      </c>
      <c r="B169" s="67" t="n">
        <v>3698</v>
      </c>
      <c r="C169" s="52" t="inlineStr">
        <is>
          <t>METİN ERYİĞİT</t>
        </is>
      </c>
      <c r="D169" s="51" t="inlineStr">
        <is>
          <t>34 EGS 013</t>
        </is>
      </c>
      <c r="E169" s="51" t="inlineStr">
        <is>
          <t>UĞUR DUMAN</t>
        </is>
      </c>
      <c r="F169" s="53" t="n"/>
      <c r="G169" s="156" t="n">
        <v>447</v>
      </c>
      <c r="H169" s="60" t="n"/>
      <c r="I169" s="156">
        <f>+I168+(G169-H169)</f>
        <v/>
      </c>
      <c r="J169" s="60" t="n"/>
      <c r="K169" s="60" t="n"/>
      <c r="L169" s="158">
        <f>+H169*J169</f>
        <v/>
      </c>
      <c r="M169" s="159">
        <f>SUM(M168+K169-L169)</f>
        <v/>
      </c>
      <c r="N169" s="60" t="n"/>
      <c r="O169" s="60" t="n"/>
      <c r="P169" s="60" t="n"/>
      <c r="Q169" s="60" t="n"/>
      <c r="R169" s="60" t="n"/>
      <c r="S169" s="60" t="n"/>
      <c r="T169" s="60" t="n"/>
      <c r="U169" s="60" t="n"/>
      <c r="V169" s="60" t="n"/>
      <c r="W169" s="60" t="n"/>
      <c r="X169" s="60" t="n"/>
      <c r="Y169" s="60" t="n"/>
      <c r="Z169" s="60" t="n"/>
    </row>
    <row r="170">
      <c r="A170" s="151" t="n">
        <v>46037</v>
      </c>
      <c r="B170" s="67" t="n">
        <v>4221</v>
      </c>
      <c r="C170" s="52" t="inlineStr">
        <is>
          <t>VARLIK</t>
        </is>
      </c>
      <c r="D170" s="51" t="inlineStr">
        <is>
          <t>SM370</t>
        </is>
      </c>
      <c r="E170" s="51" t="inlineStr">
        <is>
          <t>TEKİN</t>
        </is>
      </c>
      <c r="F170" s="53" t="n"/>
      <c r="G170" s="156" t="n">
        <v>450</v>
      </c>
      <c r="H170" s="60" t="n"/>
      <c r="I170" s="156">
        <f>+I169+(G170-H170)</f>
        <v/>
      </c>
      <c r="J170" s="60" t="n"/>
      <c r="K170" s="60" t="n"/>
      <c r="L170" s="158">
        <f>+H170*J170</f>
        <v/>
      </c>
      <c r="M170" s="159">
        <f>SUM(M169+K170-L170)</f>
        <v/>
      </c>
      <c r="N170" s="60" t="n"/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0" t="n"/>
      <c r="Z170" s="60" t="n"/>
    </row>
    <row r="171">
      <c r="A171" s="151" t="n">
        <v>46037</v>
      </c>
      <c r="B171" s="70" t="n">
        <v>1768</v>
      </c>
      <c r="C171" s="115" t="inlineStr">
        <is>
          <t>SELİM İNŞAAT</t>
        </is>
      </c>
      <c r="D171" s="115" t="inlineStr">
        <is>
          <t>34 JBA 25</t>
        </is>
      </c>
      <c r="E171" s="115" t="inlineStr">
        <is>
          <t>FATİH ÖZBOLAT</t>
        </is>
      </c>
      <c r="F171" s="65" t="n">
        <v>346106</v>
      </c>
      <c r="G171" s="152" t="n">
        <v>78</v>
      </c>
      <c r="H171" s="60" t="n"/>
      <c r="I171" s="156">
        <f>+I170+(G171-H171)</f>
        <v/>
      </c>
      <c r="J171" s="60" t="n"/>
      <c r="K171" s="60" t="n"/>
      <c r="L171" s="158">
        <f>+H171*J171</f>
        <v/>
      </c>
      <c r="M171" s="159">
        <f>SUM(M170+K171-L171)</f>
        <v/>
      </c>
      <c r="N171" s="60" t="n"/>
      <c r="O171" s="60" t="n"/>
      <c r="P171" s="60" t="n"/>
      <c r="Q171" s="60" t="n"/>
      <c r="R171" s="60" t="n"/>
      <c r="S171" s="60" t="n"/>
      <c r="T171" s="60" t="n"/>
      <c r="U171" s="60" t="n"/>
      <c r="V171" s="60" t="n"/>
      <c r="W171" s="60" t="n"/>
      <c r="X171" s="60" t="n"/>
      <c r="Y171" s="60" t="n"/>
      <c r="Z171" s="60" t="n"/>
    </row>
    <row r="172">
      <c r="A172" s="151" t="n">
        <v>46038</v>
      </c>
      <c r="B172" s="67" t="n">
        <v>2786</v>
      </c>
      <c r="C172" s="52" t="inlineStr">
        <is>
          <t>SELİM İNŞAAT</t>
        </is>
      </c>
      <c r="D172" s="51" t="inlineStr">
        <is>
          <t>34 EDC 086</t>
        </is>
      </c>
      <c r="E172" s="51" t="inlineStr">
        <is>
          <t>SEZGİN KOCAGİL</t>
        </is>
      </c>
      <c r="F172" s="53" t="n">
        <v>370408</v>
      </c>
      <c r="G172" s="156" t="n">
        <v>478</v>
      </c>
      <c r="H172" s="60" t="n"/>
      <c r="I172" s="156">
        <f>+I171+(G172-H172)</f>
        <v/>
      </c>
      <c r="J172" s="60" t="n"/>
      <c r="K172" s="60" t="n"/>
      <c r="L172" s="158">
        <f>+H172*J172</f>
        <v/>
      </c>
      <c r="M172" s="159">
        <f>SUM(M171+K172-L172)</f>
        <v/>
      </c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  <c r="Z172" s="60" t="n"/>
    </row>
    <row r="173">
      <c r="A173" s="151" t="n">
        <v>46038</v>
      </c>
      <c r="B173" s="67" t="n">
        <v>4008</v>
      </c>
      <c r="C173" s="52" t="inlineStr">
        <is>
          <t>SELİM İNŞAAT</t>
        </is>
      </c>
      <c r="D173" s="51" t="inlineStr">
        <is>
          <t>34 AR 7743</t>
        </is>
      </c>
      <c r="E173" s="51" t="inlineStr">
        <is>
          <t>MEHMET SELİM</t>
        </is>
      </c>
      <c r="F173" s="53" t="n">
        <v>372187</v>
      </c>
      <c r="G173" s="156" t="n">
        <v>60</v>
      </c>
      <c r="H173" s="60" t="n"/>
      <c r="I173" s="156">
        <f>+I172+(G173-H173)</f>
        <v/>
      </c>
      <c r="J173" s="60" t="n"/>
      <c r="K173" s="60" t="n"/>
      <c r="L173" s="158">
        <f>+H173*J173</f>
        <v/>
      </c>
      <c r="M173" s="159">
        <f>SUM(M172+K173-L173)</f>
        <v/>
      </c>
      <c r="N173" s="60" t="n"/>
      <c r="O173" s="60" t="n"/>
      <c r="P173" s="60" t="n"/>
      <c r="Q173" s="60" t="n"/>
      <c r="R173" s="60" t="n"/>
      <c r="S173" s="60" t="n"/>
      <c r="T173" s="60" t="n"/>
      <c r="U173" s="60" t="n"/>
      <c r="V173" s="60" t="n"/>
      <c r="W173" s="60" t="n"/>
      <c r="X173" s="60" t="n"/>
      <c r="Y173" s="60" t="n"/>
      <c r="Z173" s="60" t="n"/>
    </row>
    <row r="174">
      <c r="A174" s="151" t="n">
        <v>46038</v>
      </c>
      <c r="B174" s="67" t="n">
        <v>240</v>
      </c>
      <c r="C174" s="52" t="inlineStr">
        <is>
          <t>SELİM İNŞAAT</t>
        </is>
      </c>
      <c r="D174" s="51" t="inlineStr">
        <is>
          <t>34 JGR 15</t>
        </is>
      </c>
      <c r="E174" s="51" t="inlineStr">
        <is>
          <t>ÖNER DÜNDAR</t>
        </is>
      </c>
      <c r="F174" s="53" t="n">
        <v>327696</v>
      </c>
      <c r="G174" s="156" t="n">
        <v>69</v>
      </c>
      <c r="H174" s="60" t="n"/>
      <c r="I174" s="156">
        <f>+I173+(G174-H174)</f>
        <v/>
      </c>
      <c r="J174" s="60" t="n"/>
      <c r="K174" s="60" t="n"/>
      <c r="L174" s="158">
        <f>+H174*J174</f>
        <v/>
      </c>
      <c r="M174" s="159">
        <f>SUM(M173+K174-L174)</f>
        <v/>
      </c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  <c r="Z174" s="60" t="n"/>
    </row>
    <row r="175">
      <c r="A175" s="151" t="n">
        <v>46038</v>
      </c>
      <c r="B175" s="67" t="n">
        <v>3791</v>
      </c>
      <c r="C175" s="52" t="inlineStr">
        <is>
          <t>METİN ERYİĞİT</t>
        </is>
      </c>
      <c r="D175" s="51" t="inlineStr">
        <is>
          <t>34 GBL 998</t>
        </is>
      </c>
      <c r="E175" s="51" t="inlineStr">
        <is>
          <t>ALİ KESKİN</t>
        </is>
      </c>
      <c r="F175" s="53" t="n">
        <v>332585</v>
      </c>
      <c r="G175" s="156" t="n">
        <v>387</v>
      </c>
      <c r="H175" s="60" t="n"/>
      <c r="I175" s="156">
        <f>+I174+(G175-H175)</f>
        <v/>
      </c>
      <c r="J175" s="60" t="n"/>
      <c r="K175" s="60" t="n"/>
      <c r="L175" s="158">
        <f>+H175*J175</f>
        <v/>
      </c>
      <c r="M175" s="159">
        <f>SUM(M174+K175-L175)</f>
        <v/>
      </c>
      <c r="N175" s="60" t="n"/>
      <c r="O175" s="60" t="n"/>
      <c r="P175" s="60" t="n"/>
      <c r="Q175" s="60" t="n"/>
      <c r="R175" s="60" t="n"/>
      <c r="S175" s="60" t="n"/>
      <c r="T175" s="60" t="n"/>
      <c r="U175" s="60" t="n"/>
      <c r="V175" s="60" t="n"/>
      <c r="W175" s="60" t="n"/>
      <c r="X175" s="60" t="n"/>
      <c r="Y175" s="60" t="n"/>
      <c r="Z175" s="60" t="n"/>
    </row>
    <row r="176">
      <c r="A176" s="151" t="n">
        <v>46038</v>
      </c>
      <c r="B176" s="67" t="n">
        <v>2890</v>
      </c>
      <c r="C176" s="52" t="inlineStr">
        <is>
          <t>HASALTUN</t>
        </is>
      </c>
      <c r="D176" s="51" t="inlineStr">
        <is>
          <t>KAZIK MAK</t>
        </is>
      </c>
      <c r="E176" s="51" t="inlineStr">
        <is>
          <t>HASANZEMİN</t>
        </is>
      </c>
      <c r="F176" s="53" t="n"/>
      <c r="G176" s="156" t="n">
        <v>400</v>
      </c>
      <c r="H176" s="60" t="n"/>
      <c r="I176" s="156">
        <f>+I175+(G176-H176)</f>
        <v/>
      </c>
      <c r="J176" s="60" t="n"/>
      <c r="K176" s="60" t="n"/>
      <c r="L176" s="158">
        <f>+H176*J176</f>
        <v/>
      </c>
      <c r="M176" s="159">
        <f>SUM(M175+K176-L176)</f>
        <v/>
      </c>
      <c r="N176" s="60" t="n"/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0" t="n"/>
      <c r="Z176" s="60" t="n"/>
    </row>
    <row r="177">
      <c r="A177" s="151" t="n">
        <v>46038</v>
      </c>
      <c r="B177" s="67" t="n">
        <v>4580</v>
      </c>
      <c r="C177" s="52" t="inlineStr">
        <is>
          <t>RECEP SELİM OTOKURTARICI</t>
        </is>
      </c>
      <c r="D177" s="51" t="inlineStr">
        <is>
          <t>34 GC 8658</t>
        </is>
      </c>
      <c r="E177" s="51" t="inlineStr">
        <is>
          <t>RECEP SELİM</t>
        </is>
      </c>
      <c r="F177" s="53" t="n"/>
      <c r="G177" s="156" t="n">
        <v>69</v>
      </c>
      <c r="H177" s="60" t="n"/>
      <c r="I177" s="156">
        <f>+I176+(G177-H177)</f>
        <v/>
      </c>
      <c r="J177" s="60" t="n"/>
      <c r="K177" s="60" t="n"/>
      <c r="L177" s="158">
        <f>+H177*J177</f>
        <v/>
      </c>
      <c r="M177" s="159">
        <f>SUM(M176+K177-L177)</f>
        <v/>
      </c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  <c r="Z177" s="60" t="n"/>
    </row>
    <row r="178">
      <c r="A178" s="151" t="n">
        <v>46038</v>
      </c>
      <c r="B178" s="67" t="n">
        <v>4225</v>
      </c>
      <c r="C178" s="52" t="inlineStr">
        <is>
          <t>EVKUR</t>
        </is>
      </c>
      <c r="D178" s="51" t="inlineStr">
        <is>
          <t>HITACHI</t>
        </is>
      </c>
      <c r="E178" s="51" t="inlineStr">
        <is>
          <t>TURGUT</t>
        </is>
      </c>
      <c r="F178" s="53" t="n"/>
      <c r="G178" s="156" t="n">
        <v>439</v>
      </c>
      <c r="H178" s="60" t="n"/>
      <c r="I178" s="156">
        <f>+I177+(G178-H178)</f>
        <v/>
      </c>
      <c r="J178" s="60" t="n"/>
      <c r="K178" s="60" t="n"/>
      <c r="L178" s="158">
        <f>+H178*J178</f>
        <v/>
      </c>
      <c r="M178" s="159">
        <f>SUM(M177+K178-L178)</f>
        <v/>
      </c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  <c r="Z178" s="60" t="n"/>
    </row>
    <row r="179">
      <c r="A179" s="151" t="n">
        <v>46038</v>
      </c>
      <c r="B179" s="67" t="n">
        <v>4226</v>
      </c>
      <c r="C179" s="52" t="n"/>
      <c r="D179" s="51" t="inlineStr">
        <is>
          <t>ZOMLION</t>
        </is>
      </c>
      <c r="E179" s="51" t="inlineStr">
        <is>
          <t>BURAK BEY</t>
        </is>
      </c>
      <c r="F179" s="53" t="n"/>
      <c r="G179" s="156" t="n">
        <v>401</v>
      </c>
      <c r="H179" s="60" t="n"/>
      <c r="I179" s="156">
        <f>+I178+(G179-H179)</f>
        <v/>
      </c>
      <c r="J179" s="60" t="n"/>
      <c r="K179" s="60" t="n"/>
      <c r="L179" s="158">
        <f>+H179*J179</f>
        <v/>
      </c>
      <c r="M179" s="159">
        <f>SUM(M178+K179-L179)</f>
        <v/>
      </c>
      <c r="N179" s="60" t="n"/>
      <c r="O179" s="60" t="n"/>
      <c r="P179" s="60" t="n"/>
      <c r="Q179" s="60" t="n"/>
      <c r="R179" s="60" t="n"/>
      <c r="S179" s="60" t="n"/>
      <c r="T179" s="60" t="n"/>
      <c r="U179" s="60" t="n"/>
      <c r="V179" s="60" t="n"/>
      <c r="W179" s="60" t="n"/>
      <c r="X179" s="60" t="n"/>
      <c r="Y179" s="60" t="n"/>
      <c r="Z179" s="60" t="n"/>
    </row>
    <row r="180">
      <c r="A180" s="151" t="n">
        <v>46039</v>
      </c>
      <c r="B180" s="67" t="n">
        <v>4581</v>
      </c>
      <c r="C180" s="52" t="inlineStr">
        <is>
          <t>AHMET SELİM TEMHA</t>
        </is>
      </c>
      <c r="D180" s="51" t="inlineStr">
        <is>
          <t>34 PGT 251</t>
        </is>
      </c>
      <c r="E180" s="51" t="inlineStr">
        <is>
          <t>ERSOY SIĞINMAZ</t>
        </is>
      </c>
      <c r="F180" s="53" t="n"/>
      <c r="G180" s="156" t="n">
        <v>53</v>
      </c>
      <c r="H180" s="60" t="n"/>
      <c r="I180" s="156">
        <f>+I179+(G180-H180)</f>
        <v/>
      </c>
      <c r="J180" s="60" t="n"/>
      <c r="K180" s="60" t="n"/>
      <c r="L180" s="158">
        <f>+H180*J180</f>
        <v/>
      </c>
      <c r="M180" s="159">
        <f>SUM(M179+K180-L180)</f>
        <v/>
      </c>
      <c r="N180" s="60" t="n"/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0" t="n"/>
      <c r="Z180" s="60" t="n"/>
    </row>
    <row r="181">
      <c r="A181" s="151" t="n">
        <v>46039</v>
      </c>
      <c r="B181" s="67" t="n">
        <v>4227</v>
      </c>
      <c r="C181" s="52" t="inlineStr">
        <is>
          <t>VARLIK</t>
        </is>
      </c>
      <c r="D181" s="51" t="inlineStr">
        <is>
          <t xml:space="preserve">JCB </t>
        </is>
      </c>
      <c r="E181" s="51" t="inlineStr">
        <is>
          <t>BAYRAM SANCAK</t>
        </is>
      </c>
      <c r="F181" s="53" t="n"/>
      <c r="G181" s="156" t="n">
        <v>82</v>
      </c>
      <c r="H181" s="60" t="n"/>
      <c r="I181" s="156">
        <f>+I180+(G181-H181)</f>
        <v/>
      </c>
      <c r="J181" s="60" t="n"/>
      <c r="K181" s="60" t="n"/>
      <c r="L181" s="158">
        <f>+H181*J181</f>
        <v/>
      </c>
      <c r="M181" s="159">
        <f>SUM(M180+K181-L181)</f>
        <v/>
      </c>
      <c r="N181" s="60" t="n"/>
      <c r="O181" s="60" t="n"/>
      <c r="P181" s="60" t="n"/>
      <c r="Q181" s="60" t="n"/>
      <c r="R181" s="60" t="n"/>
      <c r="S181" s="60" t="n"/>
      <c r="T181" s="60" t="n"/>
      <c r="U181" s="60" t="n"/>
      <c r="V181" s="60" t="n"/>
      <c r="W181" s="60" t="n"/>
      <c r="X181" s="60" t="n"/>
      <c r="Y181" s="60" t="n"/>
      <c r="Z181" s="60" t="n"/>
    </row>
    <row r="182">
      <c r="A182" s="151" t="n">
        <v>46039</v>
      </c>
      <c r="B182" s="67" t="n">
        <v>4228</v>
      </c>
      <c r="C182" s="52" t="inlineStr">
        <is>
          <t>VARLIK</t>
        </is>
      </c>
      <c r="D182" s="51" t="inlineStr">
        <is>
          <t xml:space="preserve">KAVASAKI </t>
        </is>
      </c>
      <c r="E182" s="51" t="inlineStr">
        <is>
          <t>RAMAZAN</t>
        </is>
      </c>
      <c r="F182" s="53" t="n"/>
      <c r="G182" s="156" t="n">
        <v>295</v>
      </c>
      <c r="H182" s="60" t="n"/>
      <c r="I182" s="156">
        <f>+I181+(G182-H182)</f>
        <v/>
      </c>
      <c r="J182" s="60" t="n"/>
      <c r="K182" s="60" t="n"/>
      <c r="L182" s="158">
        <f>+H182*J182</f>
        <v/>
      </c>
      <c r="M182" s="159">
        <f>SUM(M181+K182-L182)</f>
        <v/>
      </c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  <c r="Z182" s="60" t="n"/>
    </row>
    <row r="183">
      <c r="A183" s="151" t="n">
        <v>46039</v>
      </c>
      <c r="B183" s="67" t="n">
        <v>4229</v>
      </c>
      <c r="C183" s="52" t="inlineStr">
        <is>
          <t>VARLIK</t>
        </is>
      </c>
      <c r="D183" s="51" t="inlineStr">
        <is>
          <t>HITACHI</t>
        </is>
      </c>
      <c r="E183" s="51" t="inlineStr">
        <is>
          <t>TURGUT</t>
        </is>
      </c>
      <c r="F183" s="53" t="n"/>
      <c r="G183" s="156" t="n">
        <v>350</v>
      </c>
      <c r="H183" s="60" t="n"/>
      <c r="I183" s="156">
        <f>+I182+(G183-H183)</f>
        <v/>
      </c>
      <c r="J183" s="60" t="n"/>
      <c r="K183" s="60" t="n"/>
      <c r="L183" s="158">
        <f>+H183*J183</f>
        <v/>
      </c>
      <c r="M183" s="159">
        <f>SUM(M182+K183-L183)</f>
        <v/>
      </c>
      <c r="N183" s="60" t="n"/>
      <c r="O183" s="60" t="n"/>
      <c r="P183" s="60" t="n"/>
      <c r="Q183" s="60" t="n"/>
      <c r="R183" s="60" t="n"/>
      <c r="S183" s="60" t="n"/>
      <c r="T183" s="60" t="n"/>
      <c r="U183" s="60" t="n"/>
      <c r="V183" s="60" t="n"/>
      <c r="W183" s="60" t="n"/>
      <c r="X183" s="60" t="n"/>
      <c r="Y183" s="60" t="n"/>
      <c r="Z183" s="60" t="n"/>
    </row>
    <row r="184">
      <c r="A184" s="151" t="n">
        <v>46039</v>
      </c>
      <c r="B184" s="70" t="n">
        <v>4583</v>
      </c>
      <c r="C184" s="115" t="inlineStr">
        <is>
          <t>MAHMUT VİNÇ</t>
        </is>
      </c>
      <c r="D184" s="115" t="inlineStr">
        <is>
          <t>34 AH 5401</t>
        </is>
      </c>
      <c r="E184" s="115" t="inlineStr">
        <is>
          <t>YASİN DEMİR</t>
        </is>
      </c>
      <c r="F184" s="65" t="n"/>
      <c r="G184" s="152" t="n">
        <v>80</v>
      </c>
      <c r="H184" s="60" t="n"/>
      <c r="I184" s="156">
        <f>+I183+(G184-H184)</f>
        <v/>
      </c>
      <c r="J184" s="60" t="n"/>
      <c r="K184" s="60" t="n"/>
      <c r="L184" s="158">
        <f>+H184*J184</f>
        <v/>
      </c>
      <c r="M184" s="159">
        <f>SUM(M183+K184-L184)</f>
        <v/>
      </c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  <c r="Z184" s="60" t="n"/>
    </row>
    <row r="185">
      <c r="A185" s="151" t="n">
        <v>46043</v>
      </c>
      <c r="B185" s="67" t="n">
        <v>4231</v>
      </c>
      <c r="C185" s="115" t="inlineStr">
        <is>
          <t>MEGA VARLIK</t>
        </is>
      </c>
      <c r="D185" s="115" t="inlineStr">
        <is>
          <t>SM 350</t>
        </is>
      </c>
      <c r="E185" s="115" t="inlineStr">
        <is>
          <t xml:space="preserve">MİKAİL BAYILMAZ </t>
        </is>
      </c>
      <c r="F185" s="65" t="n"/>
      <c r="G185" s="152" t="n">
        <v>458</v>
      </c>
      <c r="H185" s="60" t="n"/>
      <c r="I185" s="156">
        <f>+I184+(G185-H185)</f>
        <v/>
      </c>
      <c r="J185" s="60" t="n"/>
      <c r="K185" s="60" t="n"/>
      <c r="L185" s="158">
        <f>+H185*J185</f>
        <v/>
      </c>
      <c r="M185" s="159">
        <f>SUM(M184+K185-L185)</f>
        <v/>
      </c>
      <c r="N185" s="60" t="n"/>
      <c r="O185" s="60" t="n"/>
      <c r="P185" s="60" t="n"/>
      <c r="Q185" s="60" t="n"/>
      <c r="R185" s="60" t="n"/>
      <c r="S185" s="60" t="n"/>
      <c r="T185" s="60" t="n"/>
      <c r="U185" s="60" t="n"/>
      <c r="V185" s="60" t="n"/>
      <c r="W185" s="60" t="n"/>
      <c r="X185" s="60" t="n"/>
      <c r="Y185" s="60" t="n"/>
      <c r="Z185" s="60" t="n"/>
    </row>
    <row r="186">
      <c r="A186" s="151" t="n">
        <v>46043</v>
      </c>
      <c r="B186" s="67" t="n">
        <v>4232</v>
      </c>
      <c r="C186" s="115" t="inlineStr">
        <is>
          <t>EVKUR</t>
        </is>
      </c>
      <c r="D186" s="115" t="inlineStr">
        <is>
          <t>KİRALIK KATO</t>
        </is>
      </c>
      <c r="E186" s="115" t="inlineStr">
        <is>
          <t>GÜNEŞ</t>
        </is>
      </c>
      <c r="F186" s="65" t="n"/>
      <c r="G186" s="152" t="n">
        <v>38</v>
      </c>
      <c r="H186" s="60" t="n"/>
      <c r="I186" s="156">
        <f>+I185+(G186-H186)</f>
        <v/>
      </c>
      <c r="J186" s="60" t="n"/>
      <c r="K186" s="60" t="n"/>
      <c r="L186" s="158">
        <f>+H186*J186</f>
        <v/>
      </c>
      <c r="M186" s="159">
        <f>SUM(M185+K186-L186)</f>
        <v/>
      </c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  <c r="Z186" s="60" t="n"/>
    </row>
    <row r="187">
      <c r="A187" s="151" t="n">
        <v>46043</v>
      </c>
      <c r="B187" s="67" t="n">
        <v>4233</v>
      </c>
      <c r="C187" s="115" t="inlineStr">
        <is>
          <t>VARLIK</t>
        </is>
      </c>
      <c r="D187" s="115" t="inlineStr">
        <is>
          <t>FORKLİFT</t>
        </is>
      </c>
      <c r="E187" s="115" t="inlineStr">
        <is>
          <t xml:space="preserve">FAHRİ KALFA </t>
        </is>
      </c>
      <c r="F187" s="65" t="n"/>
      <c r="G187" s="152" t="n">
        <v>83</v>
      </c>
      <c r="H187" s="60" t="n"/>
      <c r="I187" s="156">
        <f>+I186+(G187-H187)</f>
        <v/>
      </c>
      <c r="J187" s="60" t="n"/>
      <c r="K187" s="60" t="n"/>
      <c r="L187" s="158">
        <f>+H187*J187</f>
        <v/>
      </c>
      <c r="M187" s="159">
        <f>SUM(M186+K187-L187)</f>
        <v/>
      </c>
      <c r="N187" s="60" t="n"/>
      <c r="O187" s="60" t="n"/>
      <c r="P187" s="60" t="n"/>
      <c r="Q187" s="60" t="n"/>
      <c r="R187" s="60" t="n"/>
      <c r="S187" s="60" t="n"/>
      <c r="T187" s="60" t="n"/>
      <c r="U187" s="60" t="n"/>
      <c r="V187" s="60" t="n"/>
      <c r="W187" s="60" t="n"/>
      <c r="X187" s="60" t="n"/>
      <c r="Y187" s="60" t="n"/>
      <c r="Z187" s="60" t="n"/>
    </row>
    <row r="188">
      <c r="A188" s="151" t="n">
        <v>46044</v>
      </c>
      <c r="B188" s="67" t="n">
        <v>4234</v>
      </c>
      <c r="C188" s="115" t="n"/>
      <c r="D188" s="115" t="inlineStr">
        <is>
          <t xml:space="preserve">34 AZ 2191 </t>
        </is>
      </c>
      <c r="E188" s="115" t="inlineStr">
        <is>
          <t>NUMAN KABİL</t>
        </is>
      </c>
      <c r="F188" s="65" t="n"/>
      <c r="G188" s="152" t="n">
        <v>227</v>
      </c>
      <c r="H188" s="60" t="n"/>
      <c r="I188" s="156">
        <f>+I187+(G188-H188)</f>
        <v/>
      </c>
      <c r="J188" s="60" t="n"/>
      <c r="K188" s="60" t="n"/>
      <c r="L188" s="158">
        <f>+H188*J188</f>
        <v/>
      </c>
      <c r="M188" s="159">
        <f>SUM(M187+K188-L188)</f>
        <v/>
      </c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  <c r="Z188" s="60" t="n"/>
    </row>
    <row r="189">
      <c r="A189" s="151" t="n">
        <v>46044</v>
      </c>
      <c r="B189" s="70" t="n">
        <v>4584</v>
      </c>
      <c r="C189" s="115" t="inlineStr">
        <is>
          <t>AHMET SELİM TEMHA</t>
        </is>
      </c>
      <c r="D189" s="115" t="inlineStr">
        <is>
          <t>34 PGT 251</t>
        </is>
      </c>
      <c r="E189" s="115" t="inlineStr">
        <is>
          <t>ERSOY SIĞINMAZ</t>
        </is>
      </c>
      <c r="F189" s="65" t="n"/>
      <c r="G189" s="152" t="n">
        <v>31</v>
      </c>
      <c r="H189" s="60" t="n"/>
      <c r="I189" s="156">
        <f>+I188+(G189-H189)</f>
        <v/>
      </c>
      <c r="J189" s="60" t="n"/>
      <c r="K189" s="60" t="n"/>
      <c r="L189" s="158">
        <f>+H189*J189</f>
        <v/>
      </c>
      <c r="M189" s="159">
        <f>SUM(M188+K189-L189)</f>
        <v/>
      </c>
      <c r="N189" s="60" t="n"/>
      <c r="O189" s="60" t="n"/>
      <c r="P189" s="60" t="n"/>
      <c r="Q189" s="60" t="n"/>
      <c r="R189" s="60" t="n"/>
      <c r="S189" s="60" t="n"/>
      <c r="T189" s="60" t="n"/>
      <c r="U189" s="60" t="n"/>
      <c r="V189" s="60" t="n"/>
      <c r="W189" s="60" t="n"/>
      <c r="X189" s="60" t="n"/>
      <c r="Y189" s="60" t="n"/>
      <c r="Z189" s="60" t="n"/>
    </row>
    <row r="190">
      <c r="A190" s="151" t="n">
        <v>46044</v>
      </c>
      <c r="B190" s="70" t="n">
        <v>4458</v>
      </c>
      <c r="C190" s="115" t="inlineStr">
        <is>
          <t>SELİM İNŞAAT</t>
        </is>
      </c>
      <c r="D190" s="115" t="inlineStr">
        <is>
          <t>34 DKL 798</t>
        </is>
      </c>
      <c r="E190" s="115" t="inlineStr">
        <is>
          <t>HASAN BAYCA</t>
        </is>
      </c>
      <c r="F190" s="65" t="n">
        <v>80172</v>
      </c>
      <c r="G190" s="152" t="n">
        <v>238</v>
      </c>
      <c r="H190" s="60" t="n"/>
      <c r="I190" s="156">
        <f>+I189+(G190-H190)</f>
        <v/>
      </c>
      <c r="J190" s="60" t="n"/>
      <c r="K190" s="60" t="n"/>
      <c r="L190" s="158">
        <f>+H190*J190</f>
        <v/>
      </c>
      <c r="M190" s="159">
        <f>SUM(M189+K190-L190)</f>
        <v/>
      </c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  <c r="Z190" s="60" t="n"/>
    </row>
    <row r="191">
      <c r="A191" s="151" t="n">
        <v>46044</v>
      </c>
      <c r="B191" s="70" t="n">
        <v>132</v>
      </c>
      <c r="C191" s="22" t="inlineStr">
        <is>
          <t>ÜNSOY TURİZM İNŞ.SAN.VE TİC.A.Ş.</t>
        </is>
      </c>
      <c r="D191" s="115" t="n"/>
      <c r="E191" s="115" t="n"/>
      <c r="F191" s="65" t="n"/>
      <c r="G191" s="152" t="n">
        <v>31736</v>
      </c>
      <c r="H191" s="60" t="n"/>
      <c r="I191" s="156">
        <f>+I190+(G191-H191)</f>
        <v/>
      </c>
      <c r="J191" s="60" t="n">
        <v>40.5</v>
      </c>
      <c r="K191" s="73" t="n">
        <v>1542369.6</v>
      </c>
      <c r="L191" s="158">
        <f>+H191*J191</f>
        <v/>
      </c>
      <c r="M191" s="159">
        <f>SUM(M190+K191-L191)</f>
        <v/>
      </c>
      <c r="N191" s="60" t="n"/>
      <c r="O191" s="60" t="n"/>
      <c r="P191" s="60" t="n"/>
      <c r="Q191" s="60" t="n"/>
      <c r="R191" s="60" t="n"/>
      <c r="S191" s="60" t="n"/>
      <c r="T191" s="60" t="n"/>
      <c r="U191" s="60" t="n"/>
      <c r="V191" s="60" t="n"/>
      <c r="W191" s="60" t="n"/>
      <c r="X191" s="60" t="n"/>
      <c r="Y191" s="60" t="n"/>
      <c r="Z191" s="60" t="n"/>
    </row>
    <row r="192">
      <c r="A192" s="151" t="n">
        <v>46045</v>
      </c>
      <c r="B192" s="67" t="n">
        <v>4235</v>
      </c>
      <c r="C192" s="115" t="n"/>
      <c r="D192" s="115" t="inlineStr">
        <is>
          <t>MANITO</t>
        </is>
      </c>
      <c r="E192" s="115" t="inlineStr">
        <is>
          <t>MUHAMMED KANTAR</t>
        </is>
      </c>
      <c r="F192" s="65" t="n"/>
      <c r="G192" s="152" t="n">
        <v>215</v>
      </c>
      <c r="H192" s="60" t="n"/>
      <c r="I192" s="156">
        <f>+I191+(G192-H192)</f>
        <v/>
      </c>
      <c r="J192" s="60" t="n"/>
      <c r="K192" s="60" t="n"/>
      <c r="L192" s="158">
        <f>+H192*J192</f>
        <v/>
      </c>
      <c r="M192" s="159">
        <f>SUM(M191+K192-L192)</f>
        <v/>
      </c>
      <c r="N192" s="60" t="n"/>
      <c r="O192" s="60" t="n"/>
      <c r="P192" s="60" t="n"/>
      <c r="Q192" s="60" t="n"/>
      <c r="R192" s="60" t="n"/>
      <c r="S192" s="60" t="n"/>
      <c r="T192" s="60" t="n"/>
      <c r="U192" s="60" t="n"/>
      <c r="V192" s="60" t="n"/>
      <c r="W192" s="60" t="n"/>
      <c r="X192" s="60" t="n"/>
      <c r="Y192" s="60" t="n"/>
      <c r="Z192" s="60" t="n"/>
    </row>
    <row r="193">
      <c r="A193" s="151" t="n">
        <v>46045</v>
      </c>
      <c r="B193" s="70" t="n">
        <v>2380</v>
      </c>
      <c r="C193" s="115" t="inlineStr">
        <is>
          <t>SELİM İNŞAAT</t>
        </is>
      </c>
      <c r="D193" s="115" t="inlineStr">
        <is>
          <t>34 FEM 934</t>
        </is>
      </c>
      <c r="E193" s="115" t="inlineStr">
        <is>
          <t>YAKUP URUCU</t>
        </is>
      </c>
      <c r="F193" s="65" t="n">
        <v>330026</v>
      </c>
      <c r="G193" s="152" t="n">
        <v>60</v>
      </c>
      <c r="H193" s="60" t="n"/>
      <c r="I193" s="156">
        <f>+I192+(G193-H193)</f>
        <v/>
      </c>
      <c r="J193" s="60" t="n"/>
      <c r="K193" s="60" t="n"/>
      <c r="L193" s="158">
        <f>+H193*J193</f>
        <v/>
      </c>
      <c r="M193" s="159">
        <f>SUM(M192+K193-L193)</f>
        <v/>
      </c>
      <c r="N193" s="60" t="n"/>
      <c r="O193" s="60" t="n"/>
      <c r="P193" s="60" t="n"/>
      <c r="Q193" s="60" t="n"/>
      <c r="R193" s="60" t="n"/>
      <c r="S193" s="60" t="n"/>
      <c r="T193" s="60" t="n"/>
      <c r="U193" s="60" t="n"/>
      <c r="V193" s="60" t="n"/>
      <c r="W193" s="60" t="n"/>
      <c r="X193" s="60" t="n"/>
      <c r="Y193" s="60" t="n"/>
      <c r="Z193" s="60" t="n"/>
    </row>
    <row r="194">
      <c r="A194" s="151" t="n">
        <v>46046</v>
      </c>
      <c r="B194" s="67" t="n">
        <v>3389</v>
      </c>
      <c r="C194" s="52" t="inlineStr">
        <is>
          <t>SELİM İNŞAAT</t>
        </is>
      </c>
      <c r="D194" s="51" t="inlineStr">
        <is>
          <t>34 EDC 162</t>
        </is>
      </c>
      <c r="E194" s="51" t="inlineStr">
        <is>
          <t xml:space="preserve">YAKUP GÜNER </t>
        </is>
      </c>
      <c r="F194" s="53" t="n">
        <v>410358</v>
      </c>
      <c r="G194" s="156" t="n">
        <v>378</v>
      </c>
      <c r="H194" s="60" t="n"/>
      <c r="I194" s="156">
        <f>+I193+(G194-H194)</f>
        <v/>
      </c>
      <c r="J194" s="60" t="n"/>
      <c r="K194" s="60" t="n"/>
      <c r="L194" s="158">
        <f>+H194*J194</f>
        <v/>
      </c>
      <c r="M194" s="159">
        <f>SUM(M193+K194-L194)</f>
        <v/>
      </c>
      <c r="N194" s="60" t="n"/>
      <c r="O194" s="60" t="n"/>
      <c r="P194" s="60" t="n"/>
      <c r="Q194" s="60" t="n"/>
      <c r="R194" s="60" t="n"/>
      <c r="S194" s="60" t="n"/>
      <c r="T194" s="60" t="n"/>
      <c r="U194" s="60" t="n"/>
      <c r="V194" s="60" t="n"/>
      <c r="W194" s="60" t="n"/>
      <c r="X194" s="60" t="n"/>
      <c r="Y194" s="60" t="n"/>
      <c r="Z194" s="60" t="n"/>
    </row>
    <row r="195">
      <c r="A195" s="151" t="n">
        <v>46046</v>
      </c>
      <c r="B195" s="67" t="n">
        <v>505</v>
      </c>
      <c r="C195" s="52" t="inlineStr">
        <is>
          <t>SELİM İNŞAAT</t>
        </is>
      </c>
      <c r="D195" s="51" t="inlineStr">
        <is>
          <t>34 EGR 737</t>
        </is>
      </c>
      <c r="E195" s="51" t="inlineStr">
        <is>
          <t>CEM MUHTAR</t>
        </is>
      </c>
      <c r="F195" s="53" t="n">
        <v>455239</v>
      </c>
      <c r="G195" s="152" t="n">
        <v>436</v>
      </c>
      <c r="H195" s="60" t="n"/>
      <c r="I195" s="156">
        <f>+I194+(G195-H195)</f>
        <v/>
      </c>
      <c r="J195" s="60" t="n"/>
      <c r="K195" s="60" t="n"/>
      <c r="L195" s="158">
        <f>+H195*J195</f>
        <v/>
      </c>
      <c r="M195" s="159">
        <f>SUM(M194+K195-L195)</f>
        <v/>
      </c>
      <c r="N195" s="60" t="n"/>
      <c r="O195" s="60" t="n"/>
      <c r="P195" s="60" t="n"/>
      <c r="Q195" s="60" t="n"/>
      <c r="R195" s="60" t="n"/>
      <c r="S195" s="60" t="n"/>
      <c r="T195" s="60" t="n"/>
      <c r="U195" s="60" t="n"/>
      <c r="V195" s="60" t="n"/>
      <c r="W195" s="60" t="n"/>
      <c r="X195" s="60" t="n"/>
      <c r="Y195" s="60" t="n"/>
      <c r="Z195" s="60" t="n"/>
    </row>
    <row r="196">
      <c r="A196" s="151" t="n">
        <v>46046</v>
      </c>
      <c r="B196" s="67" t="n">
        <v>2290</v>
      </c>
      <c r="C196" s="52" t="inlineStr">
        <is>
          <t>SELİM İNŞAAT</t>
        </is>
      </c>
      <c r="D196" s="51" t="inlineStr">
        <is>
          <t>34 DSN 636</t>
        </is>
      </c>
      <c r="E196" s="51" t="inlineStr">
        <is>
          <t>MAHSUN GÜVEN</t>
        </is>
      </c>
      <c r="F196" s="53" t="n">
        <v>427989</v>
      </c>
      <c r="G196" s="152" t="n">
        <v>391</v>
      </c>
      <c r="H196" s="60" t="n"/>
      <c r="I196" s="156">
        <f>+I195+(G196-H196)</f>
        <v/>
      </c>
      <c r="J196" s="60" t="n"/>
      <c r="K196" s="60" t="n"/>
      <c r="L196" s="158">
        <f>+H196*J196</f>
        <v/>
      </c>
      <c r="M196" s="159">
        <f>SUM(M195+K196-L196)</f>
        <v/>
      </c>
      <c r="N196" s="60" t="n"/>
      <c r="O196" s="60" t="n"/>
      <c r="P196" s="60" t="n"/>
      <c r="Q196" s="60" t="n"/>
      <c r="R196" s="60" t="n"/>
      <c r="S196" s="60" t="n"/>
      <c r="T196" s="60" t="n"/>
      <c r="U196" s="60" t="n"/>
      <c r="V196" s="60" t="n"/>
      <c r="W196" s="60" t="n"/>
      <c r="X196" s="60" t="n"/>
      <c r="Y196" s="60" t="n"/>
      <c r="Z196" s="60" t="n"/>
    </row>
    <row r="197">
      <c r="A197" s="151" t="n">
        <v>46046</v>
      </c>
      <c r="B197" s="67" t="n">
        <v>3824</v>
      </c>
      <c r="C197" s="52" t="inlineStr">
        <is>
          <t>SELİM İNŞAAT</t>
        </is>
      </c>
      <c r="D197" s="51" t="inlineStr">
        <is>
          <t>34 GYZ 635</t>
        </is>
      </c>
      <c r="E197" s="115" t="inlineStr">
        <is>
          <t>ADEM DENİZ</t>
        </is>
      </c>
      <c r="F197" s="53" t="n">
        <v>220725</v>
      </c>
      <c r="G197" s="152" t="n">
        <v>421</v>
      </c>
      <c r="H197" s="60" t="n"/>
      <c r="I197" s="156">
        <f>+I196+(G197-H197)</f>
        <v/>
      </c>
      <c r="J197" s="60" t="n"/>
      <c r="K197" s="60" t="n"/>
      <c r="L197" s="158">
        <f>+H197*J197</f>
        <v/>
      </c>
      <c r="M197" s="159">
        <f>SUM(M196+K197-L197)</f>
        <v/>
      </c>
      <c r="N197" s="60" t="n"/>
      <c r="O197" s="60" t="n"/>
      <c r="P197" s="60" t="n"/>
      <c r="Q197" s="60" t="n"/>
      <c r="R197" s="60" t="n"/>
      <c r="S197" s="60" t="n"/>
      <c r="T197" s="60" t="n"/>
      <c r="U197" s="60" t="n"/>
      <c r="V197" s="60" t="n"/>
      <c r="W197" s="60" t="n"/>
      <c r="X197" s="60" t="n"/>
      <c r="Y197" s="60" t="n"/>
      <c r="Z197" s="60" t="n"/>
    </row>
    <row r="198">
      <c r="A198" s="151" t="n">
        <v>46046</v>
      </c>
      <c r="B198" s="67" t="n">
        <v>4915</v>
      </c>
      <c r="C198" s="52" t="inlineStr">
        <is>
          <t>SELİM İNŞAAT</t>
        </is>
      </c>
      <c r="D198" s="51" t="inlineStr">
        <is>
          <t>34 FBR 742</t>
        </is>
      </c>
      <c r="E198" s="115" t="inlineStr">
        <is>
          <t>ADNAN KOÇ</t>
        </is>
      </c>
      <c r="F198" s="65" t="n">
        <v>360198</v>
      </c>
      <c r="G198" s="152" t="n">
        <v>391</v>
      </c>
      <c r="H198" s="60" t="n"/>
      <c r="I198" s="156">
        <f>+I197+(G198-H198)</f>
        <v/>
      </c>
      <c r="J198" s="60" t="n"/>
      <c r="K198" s="60" t="n"/>
      <c r="L198" s="158">
        <f>+H198*J198</f>
        <v/>
      </c>
      <c r="M198" s="159">
        <f>SUM(M197+K198-L198)</f>
        <v/>
      </c>
      <c r="N198" s="60" t="n"/>
      <c r="O198" s="60" t="n"/>
      <c r="P198" s="60" t="n"/>
      <c r="Q198" s="60" t="n"/>
      <c r="R198" s="60" t="n"/>
      <c r="S198" s="60" t="n"/>
      <c r="T198" s="60" t="n"/>
      <c r="U198" s="60" t="n"/>
      <c r="V198" s="60" t="n"/>
      <c r="W198" s="60" t="n"/>
      <c r="X198" s="60" t="n"/>
      <c r="Y198" s="60" t="n"/>
      <c r="Z198" s="60" t="n"/>
    </row>
    <row r="199">
      <c r="A199" s="151" t="n">
        <v>46046</v>
      </c>
      <c r="B199" s="67" t="n">
        <v>4765</v>
      </c>
      <c r="C199" s="52" t="inlineStr">
        <is>
          <t>SELİM İNŞAAT</t>
        </is>
      </c>
      <c r="D199" s="115" t="inlineStr">
        <is>
          <t>34 DGP 137</t>
        </is>
      </c>
      <c r="E199" s="115" t="inlineStr">
        <is>
          <t xml:space="preserve">GÜRAY KOYUNCU </t>
        </is>
      </c>
      <c r="F199" s="65" t="n">
        <v>472688</v>
      </c>
      <c r="G199" s="152" t="n">
        <v>289</v>
      </c>
      <c r="H199" s="60" t="n"/>
      <c r="I199" s="156">
        <f>+I198+(G199-H199)</f>
        <v/>
      </c>
      <c r="J199" s="60" t="n"/>
      <c r="K199" s="60" t="n"/>
      <c r="L199" s="158">
        <f>+H199*J199</f>
        <v/>
      </c>
      <c r="M199" s="159">
        <f>SUM(M198+K199-L199)</f>
        <v/>
      </c>
      <c r="N199" s="60" t="n"/>
      <c r="O199" s="60" t="n"/>
      <c r="P199" s="60" t="n"/>
      <c r="Q199" s="60" t="n"/>
      <c r="R199" s="60" t="n"/>
      <c r="S199" s="60" t="n"/>
      <c r="T199" s="60" t="n"/>
      <c r="U199" s="60" t="n"/>
      <c r="V199" s="60" t="n"/>
      <c r="W199" s="60" t="n"/>
      <c r="X199" s="60" t="n"/>
      <c r="Y199" s="60" t="n"/>
      <c r="Z199" s="60" t="n"/>
    </row>
    <row r="200">
      <c r="A200" s="151" t="n">
        <v>46046</v>
      </c>
      <c r="B200" s="67" t="n">
        <v>1846</v>
      </c>
      <c r="C200" s="52" t="inlineStr">
        <is>
          <t>SELİM İNŞAAT</t>
        </is>
      </c>
      <c r="D200" s="115" t="inlineStr">
        <is>
          <t>34 EGR 922</t>
        </is>
      </c>
      <c r="E200" s="115" t="inlineStr">
        <is>
          <t>FARUK ÖZEN</t>
        </is>
      </c>
      <c r="F200" s="65" t="n">
        <v>499242</v>
      </c>
      <c r="G200" s="152" t="n">
        <v>489</v>
      </c>
      <c r="H200" s="60" t="n"/>
      <c r="I200" s="156">
        <f>+I199+(G200-H200)</f>
        <v/>
      </c>
      <c r="J200" s="60" t="n"/>
      <c r="K200" s="60" t="n"/>
      <c r="L200" s="158">
        <f>+H200*J200</f>
        <v/>
      </c>
      <c r="M200" s="159">
        <f>SUM(M199+K200-L200)</f>
        <v/>
      </c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  <c r="Z200" s="60" t="n"/>
    </row>
    <row r="201">
      <c r="A201" s="151" t="n">
        <v>46046</v>
      </c>
      <c r="B201" s="67" t="n">
        <v>4108</v>
      </c>
      <c r="C201" s="115" t="inlineStr">
        <is>
          <t>SELİM İNŞAAT</t>
        </is>
      </c>
      <c r="D201" s="115" t="inlineStr">
        <is>
          <t>34 EDB 659</t>
        </is>
      </c>
      <c r="E201" s="115" t="inlineStr">
        <is>
          <t>MEHMET SAİK ANIK</t>
        </is>
      </c>
      <c r="F201" s="65" t="n">
        <v>384150</v>
      </c>
      <c r="G201" s="152" t="n">
        <v>364</v>
      </c>
      <c r="H201" s="60" t="n"/>
      <c r="I201" s="156">
        <f>+I200+(G201-H201)</f>
        <v/>
      </c>
      <c r="J201" s="60" t="n"/>
      <c r="K201" s="60" t="n"/>
      <c r="L201" s="158">
        <f>+H201*J201</f>
        <v/>
      </c>
      <c r="M201" s="159">
        <f>SUM(M200+K201-L201)</f>
        <v/>
      </c>
      <c r="N201" s="60" t="n"/>
      <c r="O201" s="60" t="n"/>
      <c r="P201" s="60" t="n"/>
      <c r="Q201" s="60" t="n"/>
      <c r="R201" s="60" t="n"/>
      <c r="S201" s="60" t="n"/>
      <c r="T201" s="60" t="n"/>
      <c r="U201" s="60" t="n"/>
      <c r="V201" s="60" t="n"/>
      <c r="W201" s="60" t="n"/>
      <c r="X201" s="60" t="n"/>
      <c r="Y201" s="60" t="n"/>
      <c r="Z201" s="60" t="n"/>
    </row>
    <row r="202">
      <c r="A202" s="151" t="n">
        <v>46046</v>
      </c>
      <c r="B202" s="67" t="n">
        <v>3217</v>
      </c>
      <c r="C202" s="115" t="inlineStr">
        <is>
          <t>SELİM İNŞAAT</t>
        </is>
      </c>
      <c r="D202" s="115" t="inlineStr">
        <is>
          <t>34 EGR 736</t>
        </is>
      </c>
      <c r="E202" s="115" t="inlineStr">
        <is>
          <t>HAKAN ÇAVUŞOĞLU</t>
        </is>
      </c>
      <c r="F202" s="65" t="n">
        <v>433297</v>
      </c>
      <c r="G202" s="152" t="n">
        <v>511</v>
      </c>
      <c r="H202" s="60" t="n"/>
      <c r="I202" s="156">
        <f>+I201+(G202-H202)</f>
        <v/>
      </c>
      <c r="J202" s="60" t="n"/>
      <c r="K202" s="60" t="n"/>
      <c r="L202" s="158">
        <f>+H202*J202</f>
        <v/>
      </c>
      <c r="M202" s="159">
        <f>SUM(M201+K202-L202)</f>
        <v/>
      </c>
      <c r="N202" s="60" t="n"/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0" t="n"/>
      <c r="Z202" s="60" t="n"/>
    </row>
    <row r="203">
      <c r="A203" s="151" t="n">
        <v>46046</v>
      </c>
      <c r="B203" s="67" t="n">
        <v>897</v>
      </c>
      <c r="C203" s="115" t="inlineStr">
        <is>
          <t>SELİM İNŞAAT</t>
        </is>
      </c>
      <c r="D203" s="115" t="inlineStr">
        <is>
          <t>34 FSG 229</t>
        </is>
      </c>
      <c r="E203" s="115" t="inlineStr">
        <is>
          <t>SİNAN TANRIVERDİ</t>
        </is>
      </c>
      <c r="F203" s="65" t="n">
        <v>294128</v>
      </c>
      <c r="G203" s="152" t="n">
        <v>459</v>
      </c>
      <c r="H203" s="60" t="n"/>
      <c r="I203" s="156">
        <f>+I202+(G203-H203)</f>
        <v/>
      </c>
      <c r="J203" s="60" t="n"/>
      <c r="K203" s="60" t="n"/>
      <c r="L203" s="158">
        <f>+H203*J203</f>
        <v/>
      </c>
      <c r="M203" s="159">
        <f>SUM(M202+K203-L203)</f>
        <v/>
      </c>
      <c r="N203" s="60" t="n"/>
      <c r="O203" s="60" t="n"/>
      <c r="P203" s="60" t="n"/>
      <c r="Q203" s="60" t="n"/>
      <c r="R203" s="60" t="n"/>
      <c r="S203" s="60" t="n"/>
      <c r="T203" s="60" t="n"/>
      <c r="U203" s="60" t="n"/>
      <c r="V203" s="60" t="n"/>
      <c r="W203" s="60" t="n"/>
      <c r="X203" s="60" t="n"/>
      <c r="Y203" s="60" t="n"/>
      <c r="Z203" s="60" t="n"/>
    </row>
    <row r="204">
      <c r="A204" s="151" t="n">
        <v>46046</v>
      </c>
      <c r="B204" s="67" t="n">
        <v>4811</v>
      </c>
      <c r="C204" s="115" t="inlineStr">
        <is>
          <t>SELİM İNŞAAT</t>
        </is>
      </c>
      <c r="D204" s="115" t="inlineStr">
        <is>
          <t>34 EDB 559</t>
        </is>
      </c>
      <c r="E204" s="115" t="inlineStr">
        <is>
          <t>AZİZ ORUÇ</t>
        </is>
      </c>
      <c r="F204" s="65" t="n">
        <v>358951</v>
      </c>
      <c r="G204" s="152" t="n">
        <v>408</v>
      </c>
      <c r="H204" s="60" t="n"/>
      <c r="I204" s="156">
        <f>+I203+(G204-H204)</f>
        <v/>
      </c>
      <c r="J204" s="60" t="n"/>
      <c r="K204" s="60" t="n"/>
      <c r="L204" s="158">
        <f>+H204*J204</f>
        <v/>
      </c>
      <c r="M204" s="159">
        <f>SUM(M203+K204-L204)</f>
        <v/>
      </c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  <c r="Z204" s="60" t="n"/>
    </row>
    <row r="205">
      <c r="A205" s="151" t="n">
        <v>46046</v>
      </c>
      <c r="B205" s="67" t="n">
        <v>1336</v>
      </c>
      <c r="C205" s="115" t="inlineStr">
        <is>
          <t>SELİM İNŞAAT</t>
        </is>
      </c>
      <c r="D205" s="115" t="inlineStr">
        <is>
          <t>34 GUZ 199</t>
        </is>
      </c>
      <c r="E205" s="115" t="inlineStr">
        <is>
          <t>VAHDET GÜRLER</t>
        </is>
      </c>
      <c r="F205" s="65" t="n">
        <v>221053</v>
      </c>
      <c r="G205" s="152" t="n">
        <v>394</v>
      </c>
      <c r="H205" s="60" t="n"/>
      <c r="I205" s="156">
        <f>+I204+(G205-H205)</f>
        <v/>
      </c>
      <c r="J205" s="60" t="n"/>
      <c r="K205" s="60" t="n"/>
      <c r="L205" s="158">
        <f>+H205*J205</f>
        <v/>
      </c>
      <c r="M205" s="159">
        <f>SUM(M204+K205-L205)</f>
        <v/>
      </c>
      <c r="N205" s="60" t="n"/>
      <c r="O205" s="60" t="n"/>
      <c r="P205" s="60" t="n"/>
      <c r="Q205" s="60" t="n"/>
      <c r="R205" s="60" t="n"/>
      <c r="S205" s="60" t="n"/>
      <c r="T205" s="60" t="n"/>
      <c r="U205" s="60" t="n"/>
      <c r="V205" s="60" t="n"/>
      <c r="W205" s="60" t="n"/>
      <c r="X205" s="60" t="n"/>
      <c r="Y205" s="60" t="n"/>
      <c r="Z205" s="60" t="n"/>
    </row>
    <row r="206">
      <c r="A206" s="151" t="n">
        <v>46046</v>
      </c>
      <c r="B206" s="67" t="n">
        <v>3166</v>
      </c>
      <c r="C206" s="115" t="inlineStr">
        <is>
          <t>SELİM İNŞAAT</t>
        </is>
      </c>
      <c r="D206" s="115" t="inlineStr">
        <is>
          <t>34 DTV 599</t>
        </is>
      </c>
      <c r="E206" s="115" t="inlineStr">
        <is>
          <t>HÜSEYİN DENİZ</t>
        </is>
      </c>
      <c r="F206" s="65" t="n">
        <v>471609</v>
      </c>
      <c r="G206" s="152" t="n">
        <v>490</v>
      </c>
      <c r="H206" s="60" t="n"/>
      <c r="I206" s="156">
        <f>+I205+(G206-H206)</f>
        <v/>
      </c>
      <c r="J206" s="60" t="n"/>
      <c r="K206" s="60" t="n"/>
      <c r="L206" s="158">
        <f>+H206*J206</f>
        <v/>
      </c>
      <c r="M206" s="159">
        <f>SUM(M205+K206-L206)</f>
        <v/>
      </c>
      <c r="N206" s="60" t="n"/>
      <c r="O206" s="60" t="n"/>
      <c r="P206" s="60" t="n"/>
      <c r="Q206" s="60" t="n"/>
      <c r="R206" s="60" t="n"/>
      <c r="S206" s="60" t="n"/>
      <c r="T206" s="60" t="n"/>
      <c r="U206" s="60" t="n"/>
      <c r="V206" s="60" t="n"/>
      <c r="W206" s="60" t="n"/>
      <c r="X206" s="60" t="n"/>
      <c r="Y206" s="60" t="n"/>
      <c r="Z206" s="60" t="n"/>
    </row>
    <row r="207">
      <c r="A207" s="151" t="n">
        <v>46046</v>
      </c>
      <c r="B207" s="67" t="n">
        <v>3479</v>
      </c>
      <c r="C207" s="115" t="inlineStr">
        <is>
          <t>SELİM İNŞAAT</t>
        </is>
      </c>
      <c r="D207" s="115" t="inlineStr">
        <is>
          <t>34 EDB 754</t>
        </is>
      </c>
      <c r="E207" s="115" t="inlineStr">
        <is>
          <t>MUSTAFA KAYA</t>
        </is>
      </c>
      <c r="F207" s="65" t="n">
        <v>366175</v>
      </c>
      <c r="G207" s="152" t="n">
        <v>392</v>
      </c>
      <c r="H207" s="60" t="n"/>
      <c r="I207" s="156">
        <f>+I206+(G207-H207)</f>
        <v/>
      </c>
      <c r="J207" s="60" t="n"/>
      <c r="K207" s="60" t="n"/>
      <c r="L207" s="158">
        <f>+H207*J207</f>
        <v/>
      </c>
      <c r="M207" s="159">
        <f>SUM(M206+K207-L207)</f>
        <v/>
      </c>
      <c r="N207" s="60" t="n"/>
      <c r="O207" s="60" t="n"/>
      <c r="P207" s="60" t="n"/>
      <c r="Q207" s="60" t="n"/>
      <c r="R207" s="60" t="n"/>
      <c r="S207" s="60" t="n"/>
      <c r="T207" s="60" t="n"/>
      <c r="U207" s="60" t="n"/>
      <c r="V207" s="60" t="n"/>
      <c r="W207" s="60" t="n"/>
      <c r="X207" s="60" t="n"/>
      <c r="Y207" s="60" t="n"/>
      <c r="Z207" s="60" t="n"/>
    </row>
    <row r="208">
      <c r="A208" s="151" t="n">
        <v>46046</v>
      </c>
      <c r="B208" s="67" t="n">
        <v>4866</v>
      </c>
      <c r="C208" s="115" t="inlineStr">
        <is>
          <t>SELİM İNŞAAT</t>
        </is>
      </c>
      <c r="D208" s="115" t="inlineStr">
        <is>
          <t>34 FBR 705</t>
        </is>
      </c>
      <c r="E208" s="115" t="inlineStr">
        <is>
          <t>MURAT SARI</t>
        </is>
      </c>
      <c r="F208" s="65" t="n">
        <v>356305</v>
      </c>
      <c r="G208" s="152" t="n">
        <v>284</v>
      </c>
      <c r="H208" s="60" t="n"/>
      <c r="I208" s="156">
        <f>+I207+(G208-H208)</f>
        <v/>
      </c>
      <c r="J208" s="60" t="n"/>
      <c r="K208" s="60" t="n"/>
      <c r="L208" s="158">
        <f>+H208*J208</f>
        <v/>
      </c>
      <c r="M208" s="159">
        <f>SUM(M207+K208-L208)</f>
        <v/>
      </c>
      <c r="N208" s="60" t="n"/>
      <c r="O208" s="60" t="n"/>
      <c r="P208" s="60" t="n"/>
      <c r="Q208" s="60" t="n"/>
      <c r="R208" s="60" t="n"/>
      <c r="S208" s="60" t="n"/>
      <c r="T208" s="60" t="n"/>
      <c r="U208" s="60" t="n"/>
      <c r="V208" s="60" t="n"/>
      <c r="W208" s="60" t="n"/>
      <c r="X208" s="60" t="n"/>
      <c r="Y208" s="60" t="n"/>
      <c r="Z208" s="60" t="n"/>
    </row>
    <row r="209">
      <c r="A209" s="151" t="n">
        <v>46046</v>
      </c>
      <c r="B209" s="67" t="n">
        <v>2529</v>
      </c>
      <c r="C209" s="115" t="inlineStr">
        <is>
          <t xml:space="preserve">AZGÜN YAPI </t>
        </is>
      </c>
      <c r="D209" s="115" t="inlineStr">
        <is>
          <t>34 MKT 593</t>
        </is>
      </c>
      <c r="E209" s="115" t="inlineStr">
        <is>
          <t>TURGUT ÇATAL</t>
        </is>
      </c>
      <c r="F209" s="65" t="n">
        <v>83876</v>
      </c>
      <c r="G209" s="152" t="n">
        <v>415</v>
      </c>
      <c r="H209" s="60" t="n"/>
      <c r="I209" s="156">
        <f>+I208+(G209-H209)</f>
        <v/>
      </c>
      <c r="J209" s="60" t="n"/>
      <c r="K209" s="60" t="n"/>
      <c r="L209" s="158">
        <f>+H209*J209</f>
        <v/>
      </c>
      <c r="M209" s="159">
        <f>SUM(M208+K209-L209)</f>
        <v/>
      </c>
      <c r="N209" s="60" t="n"/>
      <c r="O209" s="60" t="n"/>
      <c r="P209" s="60" t="n"/>
      <c r="Q209" s="60" t="n"/>
      <c r="R209" s="60" t="n"/>
      <c r="S209" s="60" t="n"/>
      <c r="T209" s="60" t="n"/>
      <c r="U209" s="60" t="n"/>
      <c r="V209" s="60" t="n"/>
      <c r="W209" s="60" t="n"/>
      <c r="X209" s="60" t="n"/>
      <c r="Y209" s="60" t="n"/>
      <c r="Z209" s="60" t="n"/>
    </row>
    <row r="210">
      <c r="A210" s="151" t="n">
        <v>46046</v>
      </c>
      <c r="B210" s="67" t="n">
        <v>1379</v>
      </c>
      <c r="C210" s="115" t="inlineStr">
        <is>
          <t xml:space="preserve">AZGÜN YAPI </t>
        </is>
      </c>
      <c r="D210" s="115" t="inlineStr">
        <is>
          <t>34 MKT 859</t>
        </is>
      </c>
      <c r="E210" s="115" t="inlineStr">
        <is>
          <t>ONUR CANLI</t>
        </is>
      </c>
      <c r="F210" s="65" t="n">
        <v>90945</v>
      </c>
      <c r="G210" s="152" t="n">
        <v>505</v>
      </c>
      <c r="H210" s="60" t="n"/>
      <c r="I210" s="156">
        <f>+I209+(G210-H210)</f>
        <v/>
      </c>
      <c r="J210" s="60" t="n"/>
      <c r="K210" s="60" t="n"/>
      <c r="L210" s="158">
        <f>+H210*J210</f>
        <v/>
      </c>
      <c r="M210" s="159">
        <f>SUM(M209+K210-L210)</f>
        <v/>
      </c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  <c r="Z210" s="60" t="n"/>
    </row>
    <row r="211">
      <c r="A211" s="151" t="n">
        <v>46046</v>
      </c>
      <c r="B211" s="67" t="n">
        <v>3275</v>
      </c>
      <c r="C211" s="115" t="inlineStr">
        <is>
          <t xml:space="preserve">AZGÜN YAPI </t>
        </is>
      </c>
      <c r="D211" s="115" t="inlineStr">
        <is>
          <t xml:space="preserve">34 DTV 263 </t>
        </is>
      </c>
      <c r="E211" s="115" t="inlineStr">
        <is>
          <t>İRFAN DAĞLAR</t>
        </is>
      </c>
      <c r="F211" s="65" t="n">
        <v>432601</v>
      </c>
      <c r="G211" s="152" t="n">
        <v>441</v>
      </c>
      <c r="H211" s="60" t="n"/>
      <c r="I211" s="156">
        <f>+I210+(G211-H211)</f>
        <v/>
      </c>
      <c r="J211" s="60" t="n"/>
      <c r="K211" s="60" t="n"/>
      <c r="L211" s="158">
        <f>+H211*J211</f>
        <v/>
      </c>
      <c r="M211" s="159">
        <f>SUM(M210+K211-L211)</f>
        <v/>
      </c>
      <c r="N211" s="60" t="n"/>
      <c r="O211" s="60" t="n"/>
      <c r="P211" s="60" t="n"/>
      <c r="Q211" s="60" t="n"/>
      <c r="R211" s="60" t="n"/>
      <c r="S211" s="60" t="n"/>
      <c r="T211" s="60" t="n"/>
      <c r="U211" s="60" t="n"/>
      <c r="V211" s="60" t="n"/>
      <c r="W211" s="60" t="n"/>
      <c r="X211" s="60" t="n"/>
      <c r="Y211" s="60" t="n"/>
      <c r="Z211" s="60" t="n"/>
    </row>
    <row r="212">
      <c r="A212" s="151" t="n">
        <v>46046</v>
      </c>
      <c r="B212" s="67" t="n">
        <v>3792</v>
      </c>
      <c r="C212" s="115" t="inlineStr">
        <is>
          <t>METİN ERYİĞİT</t>
        </is>
      </c>
      <c r="D212" s="115" t="inlineStr">
        <is>
          <t>34 GBL 998</t>
        </is>
      </c>
      <c r="E212" s="115" t="inlineStr">
        <is>
          <t>ALİ KESKİN</t>
        </is>
      </c>
      <c r="F212" s="65" t="n">
        <v>333427</v>
      </c>
      <c r="G212" s="152" t="n">
        <v>462</v>
      </c>
      <c r="H212" s="60" t="n"/>
      <c r="I212" s="156">
        <f>+I211+(G212-H212)</f>
        <v/>
      </c>
      <c r="J212" s="60" t="n"/>
      <c r="K212" s="60" t="n"/>
      <c r="L212" s="158">
        <f>+H212*J212</f>
        <v/>
      </c>
      <c r="M212" s="159">
        <f>SUM(M211+K212-L212)</f>
        <v/>
      </c>
      <c r="N212" s="60" t="n"/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0" t="n"/>
      <c r="Z212" s="60" t="n"/>
    </row>
    <row r="213">
      <c r="A213" s="151" t="n">
        <v>46046</v>
      </c>
      <c r="B213" s="67" t="n">
        <v>4230</v>
      </c>
      <c r="C213" s="115" t="inlineStr">
        <is>
          <t>MEGA VARLIK</t>
        </is>
      </c>
      <c r="D213" s="115" t="inlineStr">
        <is>
          <t>SM 350</t>
        </is>
      </c>
      <c r="E213" s="115" t="inlineStr">
        <is>
          <t xml:space="preserve">MİKAİL BAYILMAZ </t>
        </is>
      </c>
      <c r="F213" s="65" t="n"/>
      <c r="G213" s="152" t="n">
        <v>294</v>
      </c>
      <c r="H213" s="60" t="n"/>
      <c r="I213" s="156">
        <f>+I212+(G213-H213)</f>
        <v/>
      </c>
      <c r="J213" s="60" t="n"/>
      <c r="K213" s="60" t="n"/>
      <c r="L213" s="158">
        <f>+H213*J213</f>
        <v/>
      </c>
      <c r="M213" s="159">
        <f>SUM(M212+K213-L213)</f>
        <v/>
      </c>
      <c r="N213" s="60" t="n"/>
      <c r="O213" s="60" t="n"/>
      <c r="P213" s="60" t="n"/>
      <c r="Q213" s="60" t="n"/>
      <c r="R213" s="60" t="n"/>
      <c r="S213" s="60" t="n"/>
      <c r="T213" s="60" t="n"/>
      <c r="U213" s="60" t="n"/>
      <c r="V213" s="60" t="n"/>
      <c r="W213" s="60" t="n"/>
      <c r="X213" s="60" t="n"/>
      <c r="Y213" s="60" t="n"/>
      <c r="Z213" s="60" t="n"/>
    </row>
    <row r="214">
      <c r="A214" s="151" t="n">
        <v>46046</v>
      </c>
      <c r="B214" s="67" t="n">
        <v>4236</v>
      </c>
      <c r="C214" s="115" t="inlineStr">
        <is>
          <t>HASALTUN</t>
        </is>
      </c>
      <c r="D214" s="115" t="inlineStr">
        <is>
          <t xml:space="preserve">JCB </t>
        </is>
      </c>
      <c r="E214" s="115" t="inlineStr">
        <is>
          <t>BAYRAM SANCAK</t>
        </is>
      </c>
      <c r="F214" s="65" t="n"/>
      <c r="G214" s="152" t="n">
        <v>73</v>
      </c>
      <c r="H214" s="60" t="n"/>
      <c r="I214" s="156">
        <f>+I213+(G214-H214)</f>
        <v/>
      </c>
      <c r="J214" s="60" t="n"/>
      <c r="K214" s="60" t="n"/>
      <c r="L214" s="158">
        <f>+H214*J214</f>
        <v/>
      </c>
      <c r="M214" s="159">
        <f>SUM(M213+K214-L214)</f>
        <v/>
      </c>
      <c r="N214" s="60" t="n"/>
      <c r="O214" s="60" t="n"/>
      <c r="P214" s="60" t="n"/>
      <c r="Q214" s="60" t="n"/>
      <c r="R214" s="60" t="n"/>
      <c r="S214" s="60" t="n"/>
      <c r="T214" s="60" t="n"/>
      <c r="U214" s="60" t="n"/>
      <c r="V214" s="60" t="n"/>
      <c r="W214" s="60" t="n"/>
      <c r="X214" s="60" t="n"/>
      <c r="Y214" s="60" t="n"/>
      <c r="Z214" s="60" t="n"/>
    </row>
    <row r="215">
      <c r="A215" s="151" t="n">
        <v>46046</v>
      </c>
      <c r="B215" s="67" t="n">
        <v>4237</v>
      </c>
      <c r="C215" s="115" t="inlineStr">
        <is>
          <t>HASALTUN</t>
        </is>
      </c>
      <c r="D215" s="115" t="inlineStr">
        <is>
          <t>KAWAZAKI</t>
        </is>
      </c>
      <c r="E215" s="115" t="inlineStr">
        <is>
          <t>RAMAZAN</t>
        </is>
      </c>
      <c r="F215" s="65" t="n"/>
      <c r="G215" s="152" t="n">
        <v>310</v>
      </c>
      <c r="H215" s="60" t="n"/>
      <c r="I215" s="156">
        <f>+I214+(G215-H215)</f>
        <v/>
      </c>
      <c r="J215" s="60" t="n"/>
      <c r="K215" s="60" t="n"/>
      <c r="L215" s="158">
        <f>+H215*J215</f>
        <v/>
      </c>
      <c r="M215" s="159">
        <f>SUM(M214+K215-L215)</f>
        <v/>
      </c>
      <c r="N215" s="60" t="n"/>
      <c r="O215" s="60" t="n"/>
      <c r="P215" s="60" t="n"/>
      <c r="Q215" s="60" t="n"/>
      <c r="R215" s="60" t="n"/>
      <c r="S215" s="60" t="n"/>
      <c r="T215" s="60" t="n"/>
      <c r="U215" s="60" t="n"/>
      <c r="V215" s="60" t="n"/>
      <c r="W215" s="60" t="n"/>
      <c r="X215" s="60" t="n"/>
      <c r="Y215" s="60" t="n"/>
      <c r="Z215" s="60" t="n"/>
    </row>
    <row r="216">
      <c r="A216" s="151" t="n">
        <v>46046</v>
      </c>
      <c r="B216" s="67" t="n">
        <v>2891</v>
      </c>
      <c r="C216" s="115" t="inlineStr">
        <is>
          <t>MEGA VARLIK</t>
        </is>
      </c>
      <c r="D216" s="115" t="inlineStr">
        <is>
          <t>ANKRAJ</t>
        </is>
      </c>
      <c r="E216" s="115" t="inlineStr">
        <is>
          <t>HASAN ZEMİN</t>
        </is>
      </c>
      <c r="F216" s="65" t="n"/>
      <c r="G216" s="152" t="n">
        <v>640</v>
      </c>
      <c r="H216" s="60" t="n"/>
      <c r="I216" s="156">
        <f>+I215+(G216-H216)</f>
        <v/>
      </c>
      <c r="J216" s="60" t="n"/>
      <c r="K216" s="60" t="n"/>
      <c r="L216" s="158">
        <f>+H216*J216</f>
        <v/>
      </c>
      <c r="M216" s="159">
        <f>SUM(M215+K216-L216)</f>
        <v/>
      </c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  <c r="Z216" s="60" t="n"/>
    </row>
    <row r="217">
      <c r="A217" s="151" t="n">
        <v>46046</v>
      </c>
      <c r="B217" s="70" t="n">
        <v>4582</v>
      </c>
      <c r="C217" s="115" t="inlineStr">
        <is>
          <t>AHMET SELİM TEMHA</t>
        </is>
      </c>
      <c r="D217" s="115" t="inlineStr">
        <is>
          <t>34 PGT 251</t>
        </is>
      </c>
      <c r="E217" s="115" t="inlineStr">
        <is>
          <t>ERSOY SIĞINMAZ</t>
        </is>
      </c>
      <c r="F217" s="65" t="n"/>
      <c r="G217" s="152" t="n">
        <v>53</v>
      </c>
      <c r="H217" s="60" t="n"/>
      <c r="I217" s="156">
        <f>+I216+(G217-H217)</f>
        <v/>
      </c>
      <c r="J217" s="60" t="n"/>
      <c r="K217" s="60" t="n"/>
      <c r="L217" s="158">
        <f>+H217*J217</f>
        <v/>
      </c>
      <c r="M217" s="159">
        <f>SUM(M216+K217-L217)</f>
        <v/>
      </c>
      <c r="N217" s="60" t="n"/>
      <c r="O217" s="60" t="n"/>
      <c r="P217" s="60" t="n"/>
      <c r="Q217" s="60" t="n"/>
      <c r="R217" s="60" t="n"/>
      <c r="S217" s="60" t="n"/>
      <c r="T217" s="60" t="n"/>
      <c r="U217" s="60" t="n"/>
      <c r="V217" s="60" t="n"/>
      <c r="W217" s="60" t="n"/>
      <c r="X217" s="60" t="n"/>
      <c r="Y217" s="60" t="n"/>
      <c r="Z217" s="60" t="n"/>
    </row>
    <row r="218">
      <c r="A218" s="151" t="n">
        <v>46046</v>
      </c>
      <c r="B218" s="70" t="n">
        <v>2975</v>
      </c>
      <c r="C218" s="115" t="inlineStr">
        <is>
          <t>SELİM İNŞAAT</t>
        </is>
      </c>
      <c r="D218" s="115" t="inlineStr">
        <is>
          <t>34 DFE 454</t>
        </is>
      </c>
      <c r="E218" s="115" t="inlineStr">
        <is>
          <t>HÜSEYİN ALIN</t>
        </is>
      </c>
      <c r="F218" s="65" t="n">
        <v>173657</v>
      </c>
      <c r="G218" s="152" t="n">
        <v>205</v>
      </c>
      <c r="H218" s="60" t="n"/>
      <c r="I218" s="156">
        <f>+I217+(G218-H218)</f>
        <v/>
      </c>
      <c r="J218" s="60" t="n"/>
      <c r="K218" s="60" t="n"/>
      <c r="L218" s="158">
        <f>+H218*J218</f>
        <v/>
      </c>
      <c r="M218" s="159">
        <f>SUM(M217+K218-L218)</f>
        <v/>
      </c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  <c r="Z218" s="60" t="n"/>
    </row>
    <row r="219">
      <c r="A219" s="151" t="n">
        <v>46046</v>
      </c>
      <c r="B219" s="70" t="n">
        <v>1769</v>
      </c>
      <c r="C219" s="115" t="inlineStr">
        <is>
          <t>SELİM İNŞAAT</t>
        </is>
      </c>
      <c r="D219" s="115" t="inlineStr">
        <is>
          <t>34 JBA 25</t>
        </is>
      </c>
      <c r="E219" s="115" t="inlineStr">
        <is>
          <t>FATİH ÖZBOLAT</t>
        </is>
      </c>
      <c r="F219" s="65" t="n">
        <v>346485</v>
      </c>
      <c r="G219" s="152" t="n">
        <v>51</v>
      </c>
      <c r="H219" s="60" t="n"/>
      <c r="I219" s="156">
        <f>+I218+(G219-H219)</f>
        <v/>
      </c>
      <c r="J219" s="60" t="n"/>
      <c r="K219" s="60" t="n"/>
      <c r="L219" s="158">
        <f>+H219*J219</f>
        <v/>
      </c>
      <c r="M219" s="159">
        <f>SUM(M218+K219-L219)</f>
        <v/>
      </c>
      <c r="N219" s="60" t="n"/>
      <c r="O219" s="60" t="n"/>
      <c r="P219" s="60" t="n"/>
      <c r="Q219" s="60" t="n"/>
      <c r="R219" s="60" t="n"/>
      <c r="S219" s="60" t="n"/>
      <c r="T219" s="60" t="n"/>
      <c r="U219" s="60" t="n"/>
      <c r="V219" s="60" t="n"/>
      <c r="W219" s="60" t="n"/>
      <c r="X219" s="60" t="n"/>
      <c r="Y219" s="60" t="n"/>
      <c r="Z219" s="60" t="n"/>
    </row>
    <row r="220">
      <c r="A220" s="151" t="n">
        <v>46046</v>
      </c>
      <c r="B220" s="70" t="n">
        <v>4009</v>
      </c>
      <c r="C220" s="115" t="inlineStr">
        <is>
          <t>SELİM İNŞAAT</t>
        </is>
      </c>
      <c r="D220" s="115" t="inlineStr">
        <is>
          <t>34 AR 7743</t>
        </is>
      </c>
      <c r="E220" s="115" t="inlineStr">
        <is>
          <t>MEHMET SELİM</t>
        </is>
      </c>
      <c r="F220" s="65" t="n">
        <v>372382</v>
      </c>
      <c r="G220" s="152" t="n">
        <v>56</v>
      </c>
      <c r="H220" s="60" t="n"/>
      <c r="I220" s="156">
        <f>+I219+(G220-H220)</f>
        <v/>
      </c>
      <c r="J220" s="60" t="n"/>
      <c r="K220" s="60" t="n"/>
      <c r="L220" s="158">
        <f>+H220*J220</f>
        <v/>
      </c>
      <c r="M220" s="159">
        <f>SUM(M219+K220-L220)</f>
        <v/>
      </c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  <c r="Z220" s="60" t="n"/>
    </row>
    <row r="221">
      <c r="A221" s="151" t="n">
        <v>46046</v>
      </c>
      <c r="B221" s="70" t="n">
        <v>2643</v>
      </c>
      <c r="C221" s="115" t="inlineStr">
        <is>
          <t>SELİM İNŞAAT</t>
        </is>
      </c>
      <c r="D221" s="115" t="inlineStr">
        <is>
          <t>34 GU 945</t>
        </is>
      </c>
      <c r="E221" s="115" t="inlineStr">
        <is>
          <t>YAKUP URUCU</t>
        </is>
      </c>
      <c r="F221" s="65" t="n">
        <v>469694</v>
      </c>
      <c r="G221" s="152" t="n">
        <v>42</v>
      </c>
      <c r="H221" s="60" t="n"/>
      <c r="I221" s="156">
        <f>+I220+(G221-H221)</f>
        <v/>
      </c>
      <c r="J221" s="60" t="n"/>
      <c r="K221" s="60" t="n"/>
      <c r="L221" s="158">
        <f>+H221*J221</f>
        <v/>
      </c>
      <c r="M221" s="159">
        <f>SUM(M220+K221-L221)</f>
        <v/>
      </c>
      <c r="N221" s="60" t="n"/>
      <c r="O221" s="60" t="n"/>
      <c r="P221" s="60" t="n"/>
      <c r="Q221" s="60" t="n"/>
      <c r="R221" s="60" t="n"/>
      <c r="S221" s="60" t="n"/>
      <c r="T221" s="60" t="n"/>
      <c r="U221" s="60" t="n"/>
      <c r="V221" s="60" t="n"/>
      <c r="W221" s="60" t="n"/>
      <c r="X221" s="60" t="n"/>
      <c r="Y221" s="60" t="n"/>
      <c r="Z221" s="60" t="n"/>
    </row>
    <row r="222">
      <c r="A222" s="151" t="n">
        <v>46048</v>
      </c>
      <c r="B222" s="67" t="n">
        <v>3421</v>
      </c>
      <c r="C222" s="52" t="inlineStr">
        <is>
          <t>SELİM İNŞAAT</t>
        </is>
      </c>
      <c r="D222" s="51" t="inlineStr">
        <is>
          <t>34 GVZ 310</t>
        </is>
      </c>
      <c r="E222" s="51" t="inlineStr">
        <is>
          <t>CELAL YÜZBAŞI</t>
        </is>
      </c>
      <c r="F222" s="53" t="n">
        <v>242544</v>
      </c>
      <c r="G222" s="156" t="n">
        <v>430</v>
      </c>
      <c r="H222" s="60" t="n"/>
      <c r="I222" s="156">
        <f>+I221+(G222-H222)</f>
        <v/>
      </c>
      <c r="J222" s="60" t="n"/>
      <c r="K222" s="60" t="n"/>
      <c r="L222" s="158">
        <f>+H222*J222</f>
        <v/>
      </c>
      <c r="M222" s="159">
        <f>SUM(M221+K222-L222)</f>
        <v/>
      </c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60" t="n"/>
      <c r="Z222" s="60" t="n"/>
    </row>
    <row r="223">
      <c r="A223" s="151" t="n">
        <v>46048</v>
      </c>
      <c r="B223" s="67" t="n">
        <v>2690</v>
      </c>
      <c r="C223" s="52" t="inlineStr">
        <is>
          <t>SELİM İNŞAAT</t>
        </is>
      </c>
      <c r="D223" s="51" t="inlineStr">
        <is>
          <t>34 DHC 467</t>
        </is>
      </c>
      <c r="E223" s="51" t="inlineStr">
        <is>
          <t>EBUBEKİR KOLDAŞ</t>
        </is>
      </c>
      <c r="F223" s="53" t="n">
        <v>444371</v>
      </c>
      <c r="G223" s="156" t="n">
        <v>389</v>
      </c>
      <c r="H223" s="60" t="n"/>
      <c r="I223" s="156">
        <f>+I222+(G223-H223)</f>
        <v/>
      </c>
      <c r="J223" s="60" t="n"/>
      <c r="K223" s="60" t="n"/>
      <c r="L223" s="158">
        <f>+H223*J223</f>
        <v/>
      </c>
      <c r="M223" s="159">
        <f>SUM(M222+K223-L223)</f>
        <v/>
      </c>
      <c r="N223" s="60" t="n"/>
      <c r="O223" s="60" t="n"/>
      <c r="P223" s="60" t="n"/>
      <c r="Q223" s="60" t="n"/>
      <c r="R223" s="60" t="n"/>
      <c r="S223" s="60" t="n"/>
      <c r="T223" s="60" t="n"/>
      <c r="U223" s="60" t="n"/>
      <c r="V223" s="60" t="n"/>
      <c r="W223" s="60" t="n"/>
      <c r="X223" s="60" t="n"/>
      <c r="Y223" s="60" t="n"/>
      <c r="Z223" s="60" t="n"/>
    </row>
    <row r="224">
      <c r="A224" s="151" t="n">
        <v>46048</v>
      </c>
      <c r="B224" s="67" t="n">
        <v>3617</v>
      </c>
      <c r="C224" s="52" t="inlineStr">
        <is>
          <t>SELİM İNŞAAT</t>
        </is>
      </c>
      <c r="D224" s="51" t="inlineStr">
        <is>
          <t>34 EDB 922</t>
        </is>
      </c>
      <c r="E224" s="51" t="inlineStr">
        <is>
          <t>ÇAĞDAŞ YÜCESAN</t>
        </is>
      </c>
      <c r="F224" s="53" t="n">
        <v>403991</v>
      </c>
      <c r="G224" s="156" t="n">
        <v>393</v>
      </c>
      <c r="H224" s="60" t="n"/>
      <c r="I224" s="156">
        <f>+I223+(G224-H224)</f>
        <v/>
      </c>
      <c r="J224" s="60" t="n"/>
      <c r="K224" s="60" t="n"/>
      <c r="L224" s="158">
        <f>+H224*J224</f>
        <v/>
      </c>
      <c r="M224" s="159">
        <f>SUM(M223+K224-L224)</f>
        <v/>
      </c>
      <c r="N224" s="60" t="n"/>
      <c r="O224" s="60" t="n"/>
      <c r="P224" s="60" t="n"/>
      <c r="Q224" s="60" t="n"/>
      <c r="R224" s="60" t="n"/>
      <c r="S224" s="60" t="n"/>
      <c r="T224" s="60" t="n"/>
      <c r="U224" s="60" t="n"/>
      <c r="V224" s="60" t="n"/>
      <c r="W224" s="60" t="n"/>
      <c r="X224" s="60" t="n"/>
      <c r="Y224" s="60" t="n"/>
      <c r="Z224" s="60" t="n"/>
    </row>
    <row r="225">
      <c r="A225" s="151" t="n">
        <v>46048</v>
      </c>
      <c r="B225" s="67" t="n">
        <v>4066</v>
      </c>
      <c r="C225" s="52" t="inlineStr">
        <is>
          <t>SELİM İNŞAAT</t>
        </is>
      </c>
      <c r="D225" s="51" t="inlineStr">
        <is>
          <t>34 DHH 668</t>
        </is>
      </c>
      <c r="E225" s="51" t="inlineStr">
        <is>
          <t>DURSUN ALİ GÜREK</t>
        </is>
      </c>
      <c r="F225" s="53" t="n">
        <v>422143</v>
      </c>
      <c r="G225" s="152" t="n">
        <v>40</v>
      </c>
      <c r="H225" s="60" t="n"/>
      <c r="I225" s="156">
        <f>+I224+(G225-H225)</f>
        <v/>
      </c>
      <c r="J225" s="60" t="n"/>
      <c r="K225" s="60" t="n"/>
      <c r="L225" s="158">
        <f>+H225*J225</f>
        <v/>
      </c>
      <c r="M225" s="159">
        <f>SUM(M224+K225-L225)</f>
        <v/>
      </c>
      <c r="N225" s="60" t="n"/>
      <c r="O225" s="60" t="n"/>
      <c r="P225" s="60" t="n"/>
      <c r="Q225" s="60" t="n"/>
      <c r="R225" s="60" t="n"/>
      <c r="S225" s="60" t="n"/>
      <c r="T225" s="60" t="n"/>
      <c r="U225" s="60" t="n"/>
      <c r="V225" s="60" t="n"/>
      <c r="W225" s="60" t="n"/>
      <c r="X225" s="60" t="n"/>
      <c r="Y225" s="60" t="n"/>
      <c r="Z225" s="60" t="n"/>
    </row>
    <row r="226">
      <c r="A226" s="151" t="n">
        <v>46048</v>
      </c>
      <c r="B226" s="67" t="n">
        <v>4916</v>
      </c>
      <c r="C226" s="52" t="inlineStr">
        <is>
          <t>SELİM İNŞAAT</t>
        </is>
      </c>
      <c r="D226" s="51" t="inlineStr">
        <is>
          <t>34 FBR 742</t>
        </is>
      </c>
      <c r="E226" s="115" t="inlineStr">
        <is>
          <t>ADNAN KOÇ</t>
        </is>
      </c>
      <c r="F226" s="65" t="n">
        <v>360979</v>
      </c>
      <c r="G226" s="152" t="n">
        <v>400</v>
      </c>
      <c r="H226" s="60" t="n"/>
      <c r="I226" s="156">
        <f>+I225+(G226-H226)</f>
        <v/>
      </c>
      <c r="J226" s="60" t="n"/>
      <c r="K226" s="60" t="n"/>
      <c r="L226" s="158">
        <f>+H226*J226</f>
        <v/>
      </c>
      <c r="M226" s="159">
        <f>SUM(M225+K226-L226)</f>
        <v/>
      </c>
      <c r="N226" s="60" t="n"/>
      <c r="O226" s="60" t="n"/>
      <c r="P226" s="60" t="n"/>
      <c r="Q226" s="60" t="n"/>
      <c r="R226" s="60" t="n"/>
      <c r="S226" s="60" t="n"/>
      <c r="T226" s="60" t="n"/>
      <c r="U226" s="60" t="n"/>
      <c r="V226" s="60" t="n"/>
      <c r="W226" s="60" t="n"/>
      <c r="X226" s="60" t="n"/>
      <c r="Y226" s="60" t="n"/>
      <c r="Z226" s="60" t="n"/>
    </row>
    <row r="227">
      <c r="A227" s="151" t="n">
        <v>46048</v>
      </c>
      <c r="B227" s="67" t="n">
        <v>4164</v>
      </c>
      <c r="C227" s="115" t="inlineStr">
        <is>
          <t>SELİM İNŞAAT</t>
        </is>
      </c>
      <c r="D227" s="115" t="inlineStr">
        <is>
          <t>34 FBR 748</t>
        </is>
      </c>
      <c r="E227" s="115" t="inlineStr">
        <is>
          <t>YAŞAR ÖZKAYA</t>
        </is>
      </c>
      <c r="F227" s="65" t="n">
        <v>319985</v>
      </c>
      <c r="G227" s="152" t="n">
        <v>405</v>
      </c>
      <c r="H227" s="60" t="n"/>
      <c r="I227" s="156">
        <f>+I226+(G227-H227)</f>
        <v/>
      </c>
      <c r="J227" s="60" t="n"/>
      <c r="K227" s="60" t="n"/>
      <c r="L227" s="158">
        <f>+H227*J227</f>
        <v/>
      </c>
      <c r="M227" s="159">
        <f>SUM(M226+K227-L227)</f>
        <v/>
      </c>
      <c r="N227" s="60" t="n"/>
      <c r="O227" s="60" t="n"/>
      <c r="P227" s="60" t="n"/>
      <c r="Q227" s="60" t="n"/>
      <c r="R227" s="60" t="n"/>
      <c r="S227" s="60" t="n"/>
      <c r="T227" s="60" t="n"/>
      <c r="U227" s="60" t="n"/>
      <c r="V227" s="60" t="n"/>
      <c r="W227" s="60" t="n"/>
      <c r="X227" s="60" t="n"/>
      <c r="Y227" s="60" t="n"/>
      <c r="Z227" s="60" t="n"/>
    </row>
    <row r="228">
      <c r="A228" s="151" t="n">
        <v>46048</v>
      </c>
      <c r="B228" s="67" t="n">
        <v>4411</v>
      </c>
      <c r="C228" s="115" t="inlineStr">
        <is>
          <t>SELİM İNŞAAT</t>
        </is>
      </c>
      <c r="D228" s="115" t="inlineStr">
        <is>
          <t>34 DTV 409</t>
        </is>
      </c>
      <c r="E228" s="115" t="inlineStr">
        <is>
          <t>CELAL YÜZBAŞI</t>
        </is>
      </c>
      <c r="F228" s="65" t="n">
        <v>450103</v>
      </c>
      <c r="G228" s="152" t="n">
        <v>475</v>
      </c>
      <c r="H228" s="60" t="n"/>
      <c r="I228" s="156">
        <f>+I227+(G228-H228)</f>
        <v/>
      </c>
      <c r="J228" s="60" t="n"/>
      <c r="K228" s="60" t="n"/>
      <c r="L228" s="158">
        <f>+H228*J228</f>
        <v/>
      </c>
      <c r="M228" s="159">
        <f>SUM(M227+K228-L228)</f>
        <v/>
      </c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  <c r="Z228" s="60" t="n"/>
    </row>
    <row r="229">
      <c r="A229" s="151" t="n">
        <v>46048</v>
      </c>
      <c r="B229" s="67" t="n">
        <v>254</v>
      </c>
      <c r="C229" s="115" t="inlineStr">
        <is>
          <t>SELİM İNŞAAT</t>
        </is>
      </c>
      <c r="D229" s="115" t="inlineStr">
        <is>
          <t>34 DHC 393</t>
        </is>
      </c>
      <c r="E229" s="115" t="inlineStr">
        <is>
          <t>ATA KIZMAZ</t>
        </is>
      </c>
      <c r="F229" s="65" t="n">
        <v>459238</v>
      </c>
      <c r="G229" s="152" t="n">
        <v>434</v>
      </c>
      <c r="H229" s="60" t="n"/>
      <c r="I229" s="156">
        <f>+I228+(G229-H229)</f>
        <v/>
      </c>
      <c r="J229" s="60" t="n"/>
      <c r="K229" s="60" t="n"/>
      <c r="L229" s="158">
        <f>+H229*J229</f>
        <v/>
      </c>
      <c r="M229" s="159">
        <f>SUM(M228+K229-L229)</f>
        <v/>
      </c>
      <c r="N229" s="60" t="n"/>
      <c r="O229" s="60" t="n"/>
      <c r="P229" s="60" t="n"/>
      <c r="Q229" s="60" t="n"/>
      <c r="R229" s="60" t="n"/>
      <c r="S229" s="60" t="n"/>
      <c r="T229" s="60" t="n"/>
      <c r="U229" s="60" t="n"/>
      <c r="V229" s="60" t="n"/>
      <c r="W229" s="60" t="n"/>
      <c r="X229" s="60" t="n"/>
      <c r="Y229" s="60" t="n"/>
      <c r="Z229" s="60" t="n"/>
    </row>
    <row r="230">
      <c r="A230" s="151" t="n">
        <v>46048</v>
      </c>
      <c r="B230" s="67" t="n">
        <v>3037</v>
      </c>
      <c r="C230" s="115" t="inlineStr">
        <is>
          <t>SELİM İNŞAAT</t>
        </is>
      </c>
      <c r="D230" s="115" t="inlineStr">
        <is>
          <t>34 FBR 781</t>
        </is>
      </c>
      <c r="E230" s="115" t="inlineStr">
        <is>
          <t>MEVLÜT POLAT</t>
        </is>
      </c>
      <c r="F230" s="65" t="n">
        <v>357145</v>
      </c>
      <c r="G230" s="152" t="n">
        <v>490</v>
      </c>
      <c r="H230" s="60" t="n"/>
      <c r="I230" s="156">
        <f>+I229+(G230-H230)</f>
        <v/>
      </c>
      <c r="J230" s="60" t="n"/>
      <c r="K230" s="60" t="n"/>
      <c r="L230" s="158">
        <f>+H230*J230</f>
        <v/>
      </c>
      <c r="M230" s="159">
        <f>SUM(M229+K230-L230)</f>
        <v/>
      </c>
      <c r="N230" s="60" t="n"/>
      <c r="O230" s="60" t="n"/>
      <c r="P230" s="60" t="n"/>
      <c r="Q230" s="60" t="n"/>
      <c r="R230" s="60" t="n"/>
      <c r="S230" s="60" t="n"/>
      <c r="T230" s="60" t="n"/>
      <c r="U230" s="60" t="n"/>
      <c r="V230" s="60" t="n"/>
      <c r="W230" s="60" t="n"/>
      <c r="X230" s="60" t="n"/>
      <c r="Y230" s="60" t="n"/>
      <c r="Z230" s="60" t="n"/>
    </row>
    <row r="231">
      <c r="A231" s="151" t="n">
        <v>46048</v>
      </c>
      <c r="B231" s="67" t="n">
        <v>3480</v>
      </c>
      <c r="C231" s="115" t="inlineStr">
        <is>
          <t>SELİM İNŞAAT</t>
        </is>
      </c>
      <c r="D231" s="115" t="inlineStr">
        <is>
          <t>34 EDB 754</t>
        </is>
      </c>
      <c r="E231" s="115" t="inlineStr">
        <is>
          <t>MUSTAFA KAYA</t>
        </is>
      </c>
      <c r="F231" s="65" t="n">
        <v>366966</v>
      </c>
      <c r="G231" s="152" t="n">
        <v>401</v>
      </c>
      <c r="H231" s="60" t="n"/>
      <c r="I231" s="156">
        <f>+I230+(G231-H231)</f>
        <v/>
      </c>
      <c r="J231" s="60" t="n"/>
      <c r="K231" s="60" t="n"/>
      <c r="L231" s="158">
        <f>+H231*J231</f>
        <v/>
      </c>
      <c r="M231" s="159">
        <f>SUM(M230+K231-L231)</f>
        <v/>
      </c>
      <c r="N231" s="60" t="n"/>
      <c r="O231" s="60" t="n"/>
      <c r="P231" s="60" t="n"/>
      <c r="Q231" s="60" t="n"/>
      <c r="R231" s="60" t="n"/>
      <c r="S231" s="60" t="n"/>
      <c r="T231" s="60" t="n"/>
      <c r="U231" s="60" t="n"/>
      <c r="V231" s="60" t="n"/>
      <c r="W231" s="60" t="n"/>
      <c r="X231" s="60" t="n"/>
      <c r="Y231" s="60" t="n"/>
      <c r="Z231" s="60" t="n"/>
    </row>
    <row r="232">
      <c r="A232" s="151" t="n">
        <v>46048</v>
      </c>
      <c r="B232" s="67" t="n">
        <v>3323</v>
      </c>
      <c r="C232" s="115" t="inlineStr">
        <is>
          <t>SELİM İNŞAAT</t>
        </is>
      </c>
      <c r="D232" s="115" t="inlineStr">
        <is>
          <t>34 GUS 938</t>
        </is>
      </c>
      <c r="E232" s="115" t="inlineStr">
        <is>
          <t>MEHMET KAYA</t>
        </is>
      </c>
      <c r="F232" s="65" t="n">
        <v>241456</v>
      </c>
      <c r="G232" s="152" t="n">
        <v>430</v>
      </c>
      <c r="H232" s="60" t="n"/>
      <c r="I232" s="156">
        <f>+I231+(G232-H232)</f>
        <v/>
      </c>
      <c r="J232" s="60" t="n"/>
      <c r="K232" s="60" t="n"/>
      <c r="L232" s="158">
        <f>+H232*J232</f>
        <v/>
      </c>
      <c r="M232" s="159">
        <f>SUM(M231+K232-L232)</f>
        <v/>
      </c>
      <c r="N232" s="60" t="n"/>
      <c r="O232" s="60" t="n"/>
      <c r="P232" s="60" t="n"/>
      <c r="Q232" s="60" t="n"/>
      <c r="R232" s="60" t="n"/>
      <c r="S232" s="60" t="n"/>
      <c r="T232" s="60" t="n"/>
      <c r="U232" s="60" t="n"/>
      <c r="V232" s="60" t="n"/>
      <c r="W232" s="60" t="n"/>
      <c r="X232" s="60" t="n"/>
      <c r="Y232" s="60" t="n"/>
      <c r="Z232" s="60" t="n"/>
    </row>
    <row r="233">
      <c r="A233" s="151" t="n">
        <v>46048</v>
      </c>
      <c r="B233" s="67" t="n">
        <v>3</v>
      </c>
      <c r="C233" s="115" t="inlineStr">
        <is>
          <t>SELİM İNŞAAT</t>
        </is>
      </c>
      <c r="D233" s="115" t="inlineStr">
        <is>
          <t xml:space="preserve">34 GVZ 268 </t>
        </is>
      </c>
      <c r="E233" s="115" t="inlineStr">
        <is>
          <t>KERİM KARAMAN</t>
        </is>
      </c>
      <c r="F233" s="65" t="n">
        <v>245706</v>
      </c>
      <c r="G233" s="152" t="n">
        <v>400</v>
      </c>
      <c r="H233" s="60" t="n"/>
      <c r="I233" s="156">
        <f>+I232+(G233-H233)</f>
        <v/>
      </c>
      <c r="J233" s="60" t="n"/>
      <c r="K233" s="60" t="n"/>
      <c r="L233" s="158">
        <f>+H233*J233</f>
        <v/>
      </c>
      <c r="M233" s="159">
        <f>SUM(M232+K233-L233)</f>
        <v/>
      </c>
      <c r="N233" s="60" t="n"/>
      <c r="O233" s="60" t="n"/>
      <c r="P233" s="60" t="n"/>
      <c r="Q233" s="60" t="n"/>
      <c r="R233" s="60" t="n"/>
      <c r="S233" s="60" t="n"/>
      <c r="T233" s="60" t="n"/>
      <c r="U233" s="60" t="n"/>
      <c r="V233" s="60" t="n"/>
      <c r="W233" s="60" t="n"/>
      <c r="X233" s="60" t="n"/>
      <c r="Y233" s="60" t="n"/>
      <c r="Z233" s="60" t="n"/>
    </row>
    <row r="234">
      <c r="A234" s="151" t="n">
        <v>46048</v>
      </c>
      <c r="B234" s="67" t="n">
        <v>4867</v>
      </c>
      <c r="C234" s="115" t="inlineStr">
        <is>
          <t>SELİM İNŞAAT</t>
        </is>
      </c>
      <c r="D234" s="115" t="inlineStr">
        <is>
          <t>34 FBR 705</t>
        </is>
      </c>
      <c r="E234" s="115" t="inlineStr">
        <is>
          <t>MURAT SARI</t>
        </is>
      </c>
      <c r="F234" s="65" t="n">
        <v>356789</v>
      </c>
      <c r="G234" s="152" t="n">
        <v>295</v>
      </c>
      <c r="H234" s="60" t="n"/>
      <c r="I234" s="156">
        <f>+I233+(G234-H234)</f>
        <v/>
      </c>
      <c r="J234" s="60" t="n"/>
      <c r="K234" s="60" t="n"/>
      <c r="L234" s="158">
        <f>+H234*J234</f>
        <v/>
      </c>
      <c r="M234" s="159">
        <f>SUM(M233+K234-L234)</f>
        <v/>
      </c>
      <c r="N234" s="60" t="n"/>
      <c r="O234" s="60" t="n"/>
      <c r="P234" s="60" t="n"/>
      <c r="Q234" s="60" t="n"/>
      <c r="R234" s="60" t="n"/>
      <c r="S234" s="60" t="n"/>
      <c r="T234" s="60" t="n"/>
      <c r="U234" s="60" t="n"/>
      <c r="V234" s="60" t="n"/>
      <c r="W234" s="60" t="n"/>
      <c r="X234" s="60" t="n"/>
      <c r="Y234" s="60" t="n"/>
      <c r="Z234" s="60" t="n"/>
    </row>
    <row r="235">
      <c r="A235" s="151" t="n">
        <v>46048</v>
      </c>
      <c r="B235" s="67" t="n">
        <v>2787</v>
      </c>
      <c r="C235" s="115" t="inlineStr">
        <is>
          <t>SELİM İNŞAAT</t>
        </is>
      </c>
      <c r="D235" s="115" t="inlineStr">
        <is>
          <t>34 EDC 086</t>
        </is>
      </c>
      <c r="E235" s="115" t="inlineStr">
        <is>
          <t>SEZGİN KOCAGİL</t>
        </is>
      </c>
      <c r="F235" s="65" t="n">
        <v>371081</v>
      </c>
      <c r="G235" s="152" t="n">
        <v>384</v>
      </c>
      <c r="H235" s="60" t="n"/>
      <c r="I235" s="156">
        <f>+I234+(G235-H235)</f>
        <v/>
      </c>
      <c r="J235" s="60" t="n"/>
      <c r="K235" s="60" t="n"/>
      <c r="L235" s="158">
        <f>+H235*J235</f>
        <v/>
      </c>
      <c r="M235" s="159">
        <f>SUM(M234+K235-L235)</f>
        <v/>
      </c>
      <c r="N235" s="60" t="n"/>
      <c r="O235" s="60" t="n"/>
      <c r="P235" s="60" t="n"/>
      <c r="Q235" s="60" t="n"/>
      <c r="R235" s="60" t="n"/>
      <c r="S235" s="60" t="n"/>
      <c r="T235" s="60" t="n"/>
      <c r="U235" s="60" t="n"/>
      <c r="V235" s="60" t="n"/>
      <c r="W235" s="60" t="n"/>
      <c r="X235" s="60" t="n"/>
      <c r="Y235" s="60" t="n"/>
      <c r="Z235" s="60" t="n"/>
    </row>
    <row r="236">
      <c r="A236" s="151" t="n">
        <v>46048</v>
      </c>
      <c r="B236" s="67" t="n">
        <v>4960</v>
      </c>
      <c r="C236" s="115" t="inlineStr">
        <is>
          <t>SELİM İNŞAAT</t>
        </is>
      </c>
      <c r="D236" s="115" t="inlineStr">
        <is>
          <t>34 GVZ 745</t>
        </is>
      </c>
      <c r="E236" s="115" t="inlineStr">
        <is>
          <t>MURAT DEMİRBAŞ</t>
        </is>
      </c>
      <c r="F236" s="65" t="n">
        <v>240874</v>
      </c>
      <c r="G236" s="152" t="n">
        <v>439</v>
      </c>
      <c r="H236" s="60" t="n"/>
      <c r="I236" s="156">
        <f>+I235+(G236-H236)</f>
        <v/>
      </c>
      <c r="J236" s="60" t="n"/>
      <c r="K236" s="60" t="n"/>
      <c r="L236" s="158">
        <f>+H236*J236</f>
        <v/>
      </c>
      <c r="M236" s="159">
        <f>SUM(M235+K236-L236)</f>
        <v/>
      </c>
      <c r="N236" s="60" t="n"/>
      <c r="O236" s="60" t="n"/>
      <c r="P236" s="60" t="n"/>
      <c r="Q236" s="60" t="n"/>
      <c r="R236" s="60" t="n"/>
      <c r="S236" s="60" t="n"/>
      <c r="T236" s="60" t="n"/>
      <c r="U236" s="60" t="n"/>
      <c r="V236" s="60" t="n"/>
      <c r="W236" s="60" t="n"/>
      <c r="X236" s="60" t="n"/>
      <c r="Y236" s="60" t="n"/>
      <c r="Z236" s="60" t="n"/>
    </row>
    <row r="237">
      <c r="A237" s="151" t="n">
        <v>46048</v>
      </c>
      <c r="B237" s="67" t="n">
        <v>4238</v>
      </c>
      <c r="C237" s="115" t="inlineStr">
        <is>
          <t>HASALTUN</t>
        </is>
      </c>
      <c r="D237" s="115" t="inlineStr">
        <is>
          <t>SİLİNDİR</t>
        </is>
      </c>
      <c r="E237" s="115" t="inlineStr">
        <is>
          <t>ÖNER DÜNDAR</t>
        </is>
      </c>
      <c r="F237" s="65" t="n"/>
      <c r="G237" s="152" t="n">
        <v>254</v>
      </c>
      <c r="H237" s="60" t="n"/>
      <c r="I237" s="156">
        <f>+I236+(G237-H237)</f>
        <v/>
      </c>
      <c r="J237" s="60" t="n"/>
      <c r="K237" s="60" t="n"/>
      <c r="L237" s="158">
        <f>+H237*J237</f>
        <v/>
      </c>
      <c r="M237" s="159">
        <f>SUM(M236+K237-L237)</f>
        <v/>
      </c>
      <c r="N237" s="60" t="n"/>
      <c r="O237" s="60" t="n"/>
      <c r="P237" s="60" t="n"/>
      <c r="Q237" s="60" t="n"/>
      <c r="R237" s="60" t="n"/>
      <c r="S237" s="60" t="n"/>
      <c r="T237" s="60" t="n"/>
      <c r="U237" s="60" t="n"/>
      <c r="V237" s="60" t="n"/>
      <c r="W237" s="60" t="n"/>
      <c r="X237" s="60" t="n"/>
      <c r="Y237" s="60" t="n"/>
      <c r="Z237" s="60" t="n"/>
    </row>
    <row r="238">
      <c r="A238" s="151" t="n">
        <v>46048</v>
      </c>
      <c r="B238" s="67" t="n">
        <v>4239</v>
      </c>
      <c r="C238" s="115" t="inlineStr">
        <is>
          <t>HASALTUN</t>
        </is>
      </c>
      <c r="D238" s="115" t="inlineStr">
        <is>
          <t>SM 370</t>
        </is>
      </c>
      <c r="E238" s="115" t="inlineStr">
        <is>
          <t>TEKİN</t>
        </is>
      </c>
      <c r="F238" s="65" t="n"/>
      <c r="G238" s="152" t="n">
        <v>426</v>
      </c>
      <c r="H238" s="60" t="n"/>
      <c r="I238" s="156">
        <f>+I237+(G238-H238)</f>
        <v/>
      </c>
      <c r="J238" s="60" t="n"/>
      <c r="K238" s="60" t="n"/>
      <c r="L238" s="158">
        <f>+H238*J238</f>
        <v/>
      </c>
      <c r="M238" s="159">
        <f>SUM(M237+K238-L238)</f>
        <v/>
      </c>
      <c r="N238" s="60" t="n"/>
      <c r="O238" s="60" t="n"/>
      <c r="P238" s="60" t="n"/>
      <c r="Q238" s="60" t="n"/>
      <c r="R238" s="60" t="n"/>
      <c r="S238" s="60" t="n"/>
      <c r="T238" s="60" t="n"/>
      <c r="U238" s="60" t="n"/>
      <c r="V238" s="60" t="n"/>
      <c r="W238" s="60" t="n"/>
      <c r="X238" s="60" t="n"/>
      <c r="Y238" s="60" t="n"/>
      <c r="Z238" s="60" t="n"/>
    </row>
    <row r="239">
      <c r="A239" s="151" t="n">
        <v>46048</v>
      </c>
      <c r="B239" s="67" t="n">
        <v>4240</v>
      </c>
      <c r="C239" s="115" t="inlineStr">
        <is>
          <t>MEGA VARLIK</t>
        </is>
      </c>
      <c r="D239" s="115" t="inlineStr">
        <is>
          <t>SM 350</t>
        </is>
      </c>
      <c r="E239" s="115" t="inlineStr">
        <is>
          <t>TEVFİK ÖZTÜRK</t>
        </is>
      </c>
      <c r="F239" s="65" t="n"/>
      <c r="G239" s="152" t="n">
        <v>320</v>
      </c>
      <c r="H239" s="60" t="n"/>
      <c r="I239" s="156">
        <f>+I238+(G239-H239)</f>
        <v/>
      </c>
      <c r="J239" s="60" t="n"/>
      <c r="K239" s="60" t="n"/>
      <c r="L239" s="158">
        <f>+H239*J239</f>
        <v/>
      </c>
      <c r="M239" s="159">
        <f>SUM(M238+K239-L239)</f>
        <v/>
      </c>
      <c r="N239" s="60" t="n"/>
      <c r="O239" s="60" t="n"/>
      <c r="P239" s="60" t="n"/>
      <c r="Q239" s="60" t="n"/>
      <c r="R239" s="60" t="n"/>
      <c r="S239" s="60" t="n"/>
      <c r="T239" s="60" t="n"/>
      <c r="U239" s="60" t="n"/>
      <c r="V239" s="60" t="n"/>
      <c r="W239" s="60" t="n"/>
      <c r="X239" s="60" t="n"/>
      <c r="Y239" s="60" t="n"/>
      <c r="Z239" s="60" t="n"/>
    </row>
    <row r="240">
      <c r="A240" s="151" t="n">
        <v>46048</v>
      </c>
      <c r="B240" s="70" t="n">
        <v>3722</v>
      </c>
      <c r="C240" s="115" t="inlineStr">
        <is>
          <t>SELİM İNŞAAT</t>
        </is>
      </c>
      <c r="D240" s="115" t="inlineStr">
        <is>
          <t>34 DKL 866</t>
        </is>
      </c>
      <c r="E240" s="115" t="inlineStr">
        <is>
          <t>SELİM CAN ÖNVER</t>
        </is>
      </c>
      <c r="F240" s="65" t="n">
        <v>81395</v>
      </c>
      <c r="G240" s="152" t="n">
        <v>177</v>
      </c>
      <c r="H240" s="60" t="n"/>
      <c r="I240" s="156">
        <f>+I239+(G240-H240)</f>
        <v/>
      </c>
      <c r="J240" s="60" t="n"/>
      <c r="K240" s="60" t="n"/>
      <c r="L240" s="158">
        <f>+H240*J240</f>
        <v/>
      </c>
      <c r="M240" s="159">
        <f>SUM(M239+K240-L240)</f>
        <v/>
      </c>
      <c r="N240" s="60" t="n"/>
      <c r="O240" s="60" t="n"/>
      <c r="P240" s="60" t="n"/>
      <c r="Q240" s="60" t="n"/>
      <c r="R240" s="60" t="n"/>
      <c r="S240" s="60" t="n"/>
      <c r="T240" s="60" t="n"/>
      <c r="U240" s="60" t="n"/>
      <c r="V240" s="60" t="n"/>
      <c r="W240" s="60" t="n"/>
      <c r="X240" s="60" t="n"/>
      <c r="Y240" s="60" t="n"/>
      <c r="Z240" s="60" t="n"/>
    </row>
    <row r="241">
      <c r="A241" s="151" t="n">
        <v>46048</v>
      </c>
      <c r="B241" s="70" t="n">
        <v>241</v>
      </c>
      <c r="C241" s="115" t="inlineStr">
        <is>
          <t>SELİM İNŞAAT</t>
        </is>
      </c>
      <c r="D241" s="115" t="inlineStr">
        <is>
          <t>34 JGR 15</t>
        </is>
      </c>
      <c r="E241" s="115" t="inlineStr">
        <is>
          <t>TURAN SEVİNDİK</t>
        </is>
      </c>
      <c r="F241" s="65" t="n">
        <v>328122</v>
      </c>
      <c r="G241" s="152" t="n">
        <v>64</v>
      </c>
      <c r="H241" s="60" t="n"/>
      <c r="I241" s="156">
        <f>+I240+(G241-H241)</f>
        <v/>
      </c>
      <c r="J241" s="60" t="n"/>
      <c r="K241" s="60" t="n"/>
      <c r="L241" s="158">
        <f>+H241*J241</f>
        <v/>
      </c>
      <c r="M241" s="159">
        <f>SUM(M240+K241-L241)</f>
        <v/>
      </c>
      <c r="N241" s="60" t="n"/>
      <c r="O241" s="60" t="n"/>
      <c r="P241" s="60" t="n"/>
      <c r="Q241" s="60" t="n"/>
      <c r="R241" s="60" t="n"/>
      <c r="S241" s="60" t="n"/>
      <c r="T241" s="60" t="n"/>
      <c r="U241" s="60" t="n"/>
      <c r="V241" s="60" t="n"/>
      <c r="W241" s="60" t="n"/>
      <c r="X241" s="60" t="n"/>
      <c r="Y241" s="60" t="n"/>
      <c r="Z241" s="60" t="n"/>
    </row>
    <row r="242">
      <c r="A242" s="151" t="n">
        <v>46048</v>
      </c>
      <c r="B242" s="70" t="n">
        <v>1628</v>
      </c>
      <c r="C242" s="115" t="inlineStr">
        <is>
          <t>SELİM İNŞAAT</t>
        </is>
      </c>
      <c r="D242" s="115" t="inlineStr">
        <is>
          <t>34 VF 2620</t>
        </is>
      </c>
      <c r="E242" s="115" t="inlineStr">
        <is>
          <t>RECEP SELİM</t>
        </is>
      </c>
      <c r="F242" s="65" t="n">
        <v>200816</v>
      </c>
      <c r="G242" s="152" t="n">
        <v>64</v>
      </c>
      <c r="H242" s="60" t="n"/>
      <c r="I242" s="156">
        <f>+I241+(G242-H242)</f>
        <v/>
      </c>
      <c r="J242" s="60" t="n"/>
      <c r="K242" s="60" t="n"/>
      <c r="L242" s="158">
        <f>+H242*J242</f>
        <v/>
      </c>
      <c r="M242" s="159">
        <f>SUM(M241+K242-L242)</f>
        <v/>
      </c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  <c r="Z242" s="60" t="n"/>
    </row>
    <row r="243">
      <c r="A243" s="151" t="n">
        <v>46049</v>
      </c>
      <c r="B243" s="67" t="n">
        <v>4506</v>
      </c>
      <c r="C243" s="52" t="inlineStr">
        <is>
          <t>SELİM İNŞAAT</t>
        </is>
      </c>
      <c r="D243" s="51" t="inlineStr">
        <is>
          <t>34 DTV 352</t>
        </is>
      </c>
      <c r="E243" s="51" t="inlineStr">
        <is>
          <t>ENGİN DENİZ</t>
        </is>
      </c>
      <c r="F243" s="53" t="n">
        <v>471744</v>
      </c>
      <c r="G243" s="156" t="n">
        <v>502</v>
      </c>
      <c r="H243" s="60" t="n"/>
      <c r="I243" s="156">
        <f>+I242+(G243-H243)</f>
        <v/>
      </c>
      <c r="J243" s="60" t="n"/>
      <c r="K243" s="60" t="n"/>
      <c r="L243" s="158">
        <f>+H243*J243</f>
        <v/>
      </c>
      <c r="M243" s="159">
        <f>SUM(M242+K243-L243)</f>
        <v/>
      </c>
      <c r="N243" s="60" t="n"/>
      <c r="O243" s="60" t="n"/>
      <c r="P243" s="60" t="n"/>
      <c r="Q243" s="60" t="n"/>
      <c r="R243" s="60" t="n"/>
      <c r="S243" s="60" t="n"/>
      <c r="T243" s="60" t="n"/>
      <c r="U243" s="60" t="n"/>
      <c r="V243" s="60" t="n"/>
      <c r="W243" s="60" t="n"/>
      <c r="X243" s="60" t="n"/>
      <c r="Y243" s="60" t="n"/>
      <c r="Z243" s="60" t="n"/>
    </row>
    <row r="244">
      <c r="A244" s="151" t="n">
        <v>46049</v>
      </c>
      <c r="B244" s="67" t="n">
        <v>1540</v>
      </c>
      <c r="C244" s="52" t="inlineStr">
        <is>
          <t>SELİM İNŞAAT</t>
        </is>
      </c>
      <c r="D244" s="51" t="inlineStr">
        <is>
          <t>34 GUS 848</t>
        </is>
      </c>
      <c r="E244" s="51" t="inlineStr">
        <is>
          <t>SERDAR BOZKURT</t>
        </is>
      </c>
      <c r="F244" s="53" t="n">
        <v>227152</v>
      </c>
      <c r="G244" s="156" t="n">
        <v>469</v>
      </c>
      <c r="H244" s="60" t="n"/>
      <c r="I244" s="156">
        <f>+I243+(G244-H244)</f>
        <v/>
      </c>
      <c r="J244" s="60" t="n"/>
      <c r="K244" s="60" t="n"/>
      <c r="L244" s="158">
        <f>+H244*J244</f>
        <v/>
      </c>
      <c r="M244" s="159">
        <f>SUM(M243+K244-L244)</f>
        <v/>
      </c>
      <c r="N244" s="60" t="n"/>
      <c r="O244" s="60" t="n"/>
      <c r="P244" s="60" t="n"/>
      <c r="Q244" s="60" t="n"/>
      <c r="R244" s="60" t="n"/>
      <c r="S244" s="60" t="n"/>
      <c r="T244" s="60" t="n"/>
      <c r="U244" s="60" t="n"/>
      <c r="V244" s="60" t="n"/>
      <c r="W244" s="60" t="n"/>
      <c r="X244" s="60" t="n"/>
      <c r="Y244" s="60" t="n"/>
      <c r="Z244" s="60" t="n"/>
    </row>
    <row r="245">
      <c r="A245" s="151" t="n">
        <v>46049</v>
      </c>
      <c r="B245" s="67" t="n">
        <v>1687</v>
      </c>
      <c r="C245" s="52" t="inlineStr">
        <is>
          <t>SELİM İNŞAAT</t>
        </is>
      </c>
      <c r="D245" s="51" t="inlineStr">
        <is>
          <t>34 DHH 570</t>
        </is>
      </c>
      <c r="E245" s="51" t="inlineStr">
        <is>
          <t>YASİN ÇATAKLI</t>
        </is>
      </c>
      <c r="F245" s="53" t="n">
        <v>471088</v>
      </c>
      <c r="G245" s="156" t="n">
        <v>435</v>
      </c>
      <c r="H245" s="60" t="n"/>
      <c r="I245" s="156">
        <f>+I244+(G245-H245)</f>
        <v/>
      </c>
      <c r="J245" s="60" t="n"/>
      <c r="K245" s="60" t="n"/>
      <c r="L245" s="158">
        <f>+H245*J245</f>
        <v/>
      </c>
      <c r="M245" s="159">
        <f>SUM(M244+K245-L245)</f>
        <v/>
      </c>
      <c r="N245" s="60" t="n"/>
      <c r="O245" s="60" t="n"/>
      <c r="P245" s="60" t="n"/>
      <c r="Q245" s="60" t="n"/>
      <c r="R245" s="60" t="n"/>
      <c r="S245" s="60" t="n"/>
      <c r="T245" s="60" t="n"/>
      <c r="U245" s="60" t="n"/>
      <c r="V245" s="60" t="n"/>
      <c r="W245" s="60" t="n"/>
      <c r="X245" s="60" t="n"/>
      <c r="Y245" s="60" t="n"/>
      <c r="Z245" s="60" t="n"/>
    </row>
    <row r="246">
      <c r="A246" s="151" t="n">
        <v>46049</v>
      </c>
      <c r="B246" s="67" t="n">
        <v>201</v>
      </c>
      <c r="C246" s="52" t="inlineStr">
        <is>
          <t>SELİM İNŞAAT</t>
        </is>
      </c>
      <c r="D246" s="51" t="inlineStr">
        <is>
          <t>34 DSN 536</t>
        </is>
      </c>
      <c r="E246" s="51" t="inlineStr">
        <is>
          <t>SALİH YALÇIN</t>
        </is>
      </c>
      <c r="F246" s="53" t="n">
        <v>442757</v>
      </c>
      <c r="G246" s="156" t="n">
        <v>41</v>
      </c>
      <c r="H246" s="60" t="n"/>
      <c r="I246" s="156">
        <f>+I245+(G246-H246)</f>
        <v/>
      </c>
      <c r="J246" s="60" t="n"/>
      <c r="K246" s="60" t="n"/>
      <c r="L246" s="158">
        <f>+H246*J246</f>
        <v/>
      </c>
      <c r="M246" s="159">
        <f>SUM(M245+K246-L246)</f>
        <v/>
      </c>
      <c r="N246" s="60" t="n"/>
      <c r="O246" s="60" t="n"/>
      <c r="P246" s="60" t="n"/>
      <c r="Q246" s="60" t="n"/>
      <c r="R246" s="60" t="n"/>
      <c r="S246" s="60" t="n"/>
      <c r="T246" s="60" t="n"/>
      <c r="U246" s="60" t="n"/>
      <c r="V246" s="60" t="n"/>
      <c r="W246" s="60" t="n"/>
      <c r="X246" s="60" t="n"/>
      <c r="Y246" s="60" t="n"/>
      <c r="Z246" s="60" t="n"/>
    </row>
    <row r="247">
      <c r="A247" s="151" t="n">
        <v>46049</v>
      </c>
      <c r="B247" s="67" t="n">
        <v>4067</v>
      </c>
      <c r="C247" s="52" t="inlineStr">
        <is>
          <t>SELİM İNŞAAT</t>
        </is>
      </c>
      <c r="D247" s="51" t="inlineStr">
        <is>
          <t>34 DHH 668</t>
        </is>
      </c>
      <c r="E247" s="51" t="inlineStr">
        <is>
          <t>DURSUN ALİ GÜREK</t>
        </is>
      </c>
      <c r="F247" s="53" t="n">
        <v>423014</v>
      </c>
      <c r="G247" s="152" t="n">
        <v>453</v>
      </c>
      <c r="H247" s="60" t="n"/>
      <c r="I247" s="156">
        <f>+I246+(G247-H247)</f>
        <v/>
      </c>
      <c r="J247" s="60" t="n"/>
      <c r="K247" s="60" t="n"/>
      <c r="L247" s="158">
        <f>+H247*J247</f>
        <v/>
      </c>
      <c r="M247" s="159">
        <f>SUM(M246+K247-L247)</f>
        <v/>
      </c>
      <c r="N247" s="60" t="n"/>
      <c r="O247" s="60" t="n"/>
      <c r="P247" s="60" t="n"/>
      <c r="Q247" s="60" t="n"/>
      <c r="R247" s="60" t="n"/>
      <c r="S247" s="60" t="n"/>
      <c r="T247" s="60" t="n"/>
      <c r="U247" s="60" t="n"/>
      <c r="V247" s="60" t="n"/>
      <c r="W247" s="60" t="n"/>
      <c r="X247" s="60" t="n"/>
      <c r="Y247" s="60" t="n"/>
      <c r="Z247" s="60" t="n"/>
    </row>
    <row r="248">
      <c r="A248" s="151" t="n">
        <v>46049</v>
      </c>
      <c r="B248" s="67" t="n">
        <v>2291</v>
      </c>
      <c r="C248" s="52" t="inlineStr">
        <is>
          <t>SELİM İNŞAAT</t>
        </is>
      </c>
      <c r="D248" s="51" t="inlineStr">
        <is>
          <t>34 DSN 636</t>
        </is>
      </c>
      <c r="E248" s="51" t="inlineStr">
        <is>
          <t>MAHSUN GÜVEN</t>
        </is>
      </c>
      <c r="F248" s="53" t="n">
        <v>428317</v>
      </c>
      <c r="G248" s="152" t="n">
        <v>409</v>
      </c>
      <c r="H248" s="60" t="n"/>
      <c r="I248" s="156">
        <f>+I247+(G248-H248)</f>
        <v/>
      </c>
      <c r="J248" s="60" t="n"/>
      <c r="K248" s="60" t="n"/>
      <c r="L248" s="158">
        <f>+H248*J248</f>
        <v/>
      </c>
      <c r="M248" s="159">
        <f>SUM(M247+K248-L248)</f>
        <v/>
      </c>
      <c r="N248" s="60" t="n"/>
      <c r="O248" s="60" t="n"/>
      <c r="P248" s="60" t="n"/>
      <c r="Q248" s="60" t="n"/>
      <c r="R248" s="60" t="n"/>
      <c r="S248" s="60" t="n"/>
      <c r="T248" s="60" t="n"/>
      <c r="U248" s="60" t="n"/>
      <c r="V248" s="60" t="n"/>
      <c r="W248" s="60" t="n"/>
      <c r="X248" s="60" t="n"/>
      <c r="Y248" s="60" t="n"/>
      <c r="Z248" s="60" t="n"/>
    </row>
    <row r="249">
      <c r="A249" s="151" t="n">
        <v>46049</v>
      </c>
      <c r="B249" s="67" t="n">
        <v>3825</v>
      </c>
      <c r="C249" s="52" t="inlineStr">
        <is>
          <t>SELİM İNŞAAT</t>
        </is>
      </c>
      <c r="D249" s="51" t="inlineStr">
        <is>
          <t>34 GYZ 635</t>
        </is>
      </c>
      <c r="E249" s="115" t="inlineStr">
        <is>
          <t>ADEM DENİZ</t>
        </is>
      </c>
      <c r="F249" s="53" t="n">
        <v>221540</v>
      </c>
      <c r="G249" s="152" t="n">
        <v>406</v>
      </c>
      <c r="H249" s="60" t="n"/>
      <c r="I249" s="156">
        <f>+I248+(G249-H249)</f>
        <v/>
      </c>
      <c r="J249" s="60" t="n"/>
      <c r="K249" s="60" t="n"/>
      <c r="L249" s="158">
        <f>+H249*J249</f>
        <v/>
      </c>
      <c r="M249" s="159">
        <f>SUM(M248+K249-L249)</f>
        <v/>
      </c>
      <c r="N249" s="60" t="n"/>
      <c r="O249" s="60" t="n"/>
      <c r="P249" s="60" t="n"/>
      <c r="Q249" s="60" t="n"/>
      <c r="R249" s="60" t="n"/>
      <c r="S249" s="60" t="n"/>
      <c r="T249" s="60" t="n"/>
      <c r="U249" s="60" t="n"/>
      <c r="V249" s="60" t="n"/>
      <c r="W249" s="60" t="n"/>
      <c r="X249" s="60" t="n"/>
      <c r="Y249" s="60" t="n"/>
      <c r="Z249" s="60" t="n"/>
    </row>
    <row r="250">
      <c r="A250" s="151" t="n">
        <v>46049</v>
      </c>
      <c r="B250" s="67" t="n">
        <v>4766</v>
      </c>
      <c r="C250" s="52" t="inlineStr">
        <is>
          <t>SELİM İNŞAAT</t>
        </is>
      </c>
      <c r="D250" s="115" t="inlineStr">
        <is>
          <t>34 DGP 137</t>
        </is>
      </c>
      <c r="E250" s="115" t="inlineStr">
        <is>
          <t xml:space="preserve">GÜRAY KOYUNCU </t>
        </is>
      </c>
      <c r="F250" s="65" t="n">
        <v>473628</v>
      </c>
      <c r="G250" s="152" t="n">
        <v>458</v>
      </c>
      <c r="H250" s="60" t="n"/>
      <c r="I250" s="156">
        <f>+I249+(G250-H250)</f>
        <v/>
      </c>
      <c r="J250" s="60" t="n"/>
      <c r="K250" s="60" t="n"/>
      <c r="L250" s="158">
        <f>+H250*J250</f>
        <v/>
      </c>
      <c r="M250" s="159">
        <f>SUM(M249+K250-L250)</f>
        <v/>
      </c>
      <c r="N250" s="60" t="n"/>
      <c r="O250" s="60" t="n"/>
      <c r="P250" s="60" t="n"/>
      <c r="Q250" s="60" t="n"/>
      <c r="R250" s="60" t="n"/>
      <c r="S250" s="60" t="n"/>
      <c r="T250" s="60" t="n"/>
      <c r="U250" s="60" t="n"/>
      <c r="V250" s="60" t="n"/>
      <c r="W250" s="60" t="n"/>
      <c r="X250" s="60" t="n"/>
      <c r="Y250" s="60" t="n"/>
      <c r="Z250" s="60" t="n"/>
    </row>
    <row r="251">
      <c r="A251" s="151" t="n">
        <v>46049</v>
      </c>
      <c r="B251" s="67" t="n">
        <v>1847</v>
      </c>
      <c r="C251" s="52" t="inlineStr">
        <is>
          <t>SELİM İNŞAAT</t>
        </is>
      </c>
      <c r="D251" s="115" t="inlineStr">
        <is>
          <t>34 EGR 922</t>
        </is>
      </c>
      <c r="E251" s="115" t="inlineStr">
        <is>
          <t>FARUK ÖZEN</t>
        </is>
      </c>
      <c r="F251" s="65" t="n">
        <v>500385</v>
      </c>
      <c r="G251" s="152" t="n">
        <v>448</v>
      </c>
      <c r="H251" s="60" t="n"/>
      <c r="I251" s="156">
        <f>+I250+(G251-H251)</f>
        <v/>
      </c>
      <c r="J251" s="60" t="n"/>
      <c r="K251" s="60" t="n"/>
      <c r="L251" s="158">
        <f>+H251*J251</f>
        <v/>
      </c>
      <c r="M251" s="159">
        <f>SUM(M250+K251-L251)</f>
        <v/>
      </c>
      <c r="N251" s="60" t="n"/>
      <c r="O251" s="60" t="n"/>
      <c r="P251" s="60" t="n"/>
      <c r="Q251" s="60" t="n"/>
      <c r="R251" s="60" t="n"/>
      <c r="S251" s="60" t="n"/>
      <c r="T251" s="60" t="n"/>
      <c r="U251" s="60" t="n"/>
      <c r="V251" s="60" t="n"/>
      <c r="W251" s="60" t="n"/>
      <c r="X251" s="60" t="n"/>
      <c r="Y251" s="60" t="n"/>
      <c r="Z251" s="60" t="n"/>
    </row>
    <row r="252">
      <c r="A252" s="151" t="n">
        <v>46049</v>
      </c>
      <c r="B252" s="67" t="n">
        <v>4109</v>
      </c>
      <c r="C252" s="115" t="inlineStr">
        <is>
          <t>SELİM İNŞAAT</t>
        </is>
      </c>
      <c r="D252" s="115" t="inlineStr">
        <is>
          <t>34 EDB 659</t>
        </is>
      </c>
      <c r="E252" s="115" t="inlineStr">
        <is>
          <t>MEHMET SAİK ANIK</t>
        </is>
      </c>
      <c r="F252" s="65" t="n">
        <v>384970</v>
      </c>
      <c r="G252" s="152" t="n">
        <v>414</v>
      </c>
      <c r="H252" s="60" t="n"/>
      <c r="I252" s="156">
        <f>+I251+(G252-H252)</f>
        <v/>
      </c>
      <c r="J252" s="60" t="n"/>
      <c r="K252" s="60" t="n"/>
      <c r="L252" s="158">
        <f>+H252*J252</f>
        <v/>
      </c>
      <c r="M252" s="159">
        <f>SUM(M251+K252-L252)</f>
        <v/>
      </c>
      <c r="N252" s="60" t="n"/>
      <c r="O252" s="60" t="n"/>
      <c r="P252" s="60" t="n"/>
      <c r="Q252" s="60" t="n"/>
      <c r="R252" s="60" t="n"/>
      <c r="S252" s="60" t="n"/>
      <c r="T252" s="60" t="n"/>
      <c r="U252" s="60" t="n"/>
      <c r="V252" s="60" t="n"/>
      <c r="W252" s="60" t="n"/>
      <c r="X252" s="60" t="n"/>
      <c r="Y252" s="60" t="n"/>
      <c r="Z252" s="60" t="n"/>
    </row>
    <row r="253">
      <c r="A253" s="151" t="n">
        <v>46049</v>
      </c>
      <c r="B253" s="67" t="n">
        <v>3218</v>
      </c>
      <c r="C253" s="115" t="inlineStr">
        <is>
          <t>SELİM İNŞAAT</t>
        </is>
      </c>
      <c r="D253" s="115" t="inlineStr">
        <is>
          <t>34 EGR 736</t>
        </is>
      </c>
      <c r="E253" s="115" t="inlineStr">
        <is>
          <t>HAKAN ÇAVUŞOĞLU</t>
        </is>
      </c>
      <c r="F253" s="65" t="n">
        <v>434207</v>
      </c>
      <c r="G253" s="152" t="n">
        <v>450</v>
      </c>
      <c r="H253" s="60" t="n"/>
      <c r="I253" s="156">
        <f>+I252+(G253-H253)</f>
        <v/>
      </c>
      <c r="J253" s="60" t="n"/>
      <c r="K253" s="60" t="n"/>
      <c r="L253" s="158">
        <f>+H253*J253</f>
        <v/>
      </c>
      <c r="M253" s="159">
        <f>SUM(M252+K253-L253)</f>
        <v/>
      </c>
      <c r="N253" s="60" t="n"/>
      <c r="O253" s="60" t="n"/>
      <c r="P253" s="60" t="n"/>
      <c r="Q253" s="60" t="n"/>
      <c r="R253" s="60" t="n"/>
      <c r="S253" s="60" t="n"/>
      <c r="T253" s="60" t="n"/>
      <c r="U253" s="60" t="n"/>
      <c r="V253" s="60" t="n"/>
      <c r="W253" s="60" t="n"/>
      <c r="X253" s="60" t="n"/>
      <c r="Y253" s="60" t="n"/>
      <c r="Z253" s="60" t="n"/>
    </row>
    <row r="254">
      <c r="A254" s="151" t="n">
        <v>46049</v>
      </c>
      <c r="B254" s="67" t="n">
        <v>898</v>
      </c>
      <c r="C254" s="115" t="inlineStr">
        <is>
          <t>SELİM İNŞAAT</t>
        </is>
      </c>
      <c r="D254" s="115" t="inlineStr">
        <is>
          <t>34 FSG 229</t>
        </is>
      </c>
      <c r="E254" s="115" t="inlineStr">
        <is>
          <t>SİNAN TANRIVERDİ</t>
        </is>
      </c>
      <c r="F254" s="65" t="n">
        <v>294931</v>
      </c>
      <c r="G254" s="152" t="n">
        <v>431</v>
      </c>
      <c r="H254" s="60" t="n"/>
      <c r="I254" s="156">
        <f>+I253+(G254-H254)</f>
        <v/>
      </c>
      <c r="J254" s="60" t="n"/>
      <c r="K254" s="60" t="n"/>
      <c r="L254" s="158">
        <f>+H254*J254</f>
        <v/>
      </c>
      <c r="M254" s="159">
        <f>SUM(M253+K254-L254)</f>
        <v/>
      </c>
      <c r="N254" s="60" t="n"/>
      <c r="O254" s="60" t="n"/>
      <c r="P254" s="60" t="n"/>
      <c r="Q254" s="60" t="n"/>
      <c r="R254" s="60" t="n"/>
      <c r="S254" s="60" t="n"/>
      <c r="T254" s="60" t="n"/>
      <c r="U254" s="60" t="n"/>
      <c r="V254" s="60" t="n"/>
      <c r="W254" s="60" t="n"/>
      <c r="X254" s="60" t="n"/>
      <c r="Y254" s="60" t="n"/>
      <c r="Z254" s="60" t="n"/>
    </row>
    <row r="255">
      <c r="A255" s="151" t="n">
        <v>46049</v>
      </c>
      <c r="B255" s="67" t="n">
        <v>4812</v>
      </c>
      <c r="C255" s="115" t="inlineStr">
        <is>
          <t>SELİM İNŞAAT</t>
        </is>
      </c>
      <c r="D255" s="115" t="inlineStr">
        <is>
          <t>34 EDB 559</t>
        </is>
      </c>
      <c r="E255" s="115" t="inlineStr">
        <is>
          <t>AZİZ ORUÇ</t>
        </is>
      </c>
      <c r="F255" s="65" t="n">
        <v>359683</v>
      </c>
      <c r="G255" s="152" t="n">
        <v>42</v>
      </c>
      <c r="H255" s="60" t="n"/>
      <c r="I255" s="156">
        <f>+I254+(G255-H255)</f>
        <v/>
      </c>
      <c r="J255" s="60" t="n"/>
      <c r="K255" s="60" t="n"/>
      <c r="L255" s="158">
        <f>+H255*J255</f>
        <v/>
      </c>
      <c r="M255" s="159">
        <f>SUM(M254+K255-L255)</f>
        <v/>
      </c>
      <c r="N255" s="60" t="n"/>
      <c r="O255" s="60" t="n"/>
      <c r="P255" s="60" t="n"/>
      <c r="Q255" s="60" t="n"/>
      <c r="R255" s="60" t="n"/>
      <c r="S255" s="60" t="n"/>
      <c r="T255" s="60" t="n"/>
      <c r="U255" s="60" t="n"/>
      <c r="V255" s="60" t="n"/>
      <c r="W255" s="60" t="n"/>
      <c r="X255" s="60" t="n"/>
      <c r="Y255" s="60" t="n"/>
      <c r="Z255" s="60" t="n"/>
    </row>
    <row r="256">
      <c r="A256" s="151" t="n">
        <v>46049</v>
      </c>
      <c r="B256" s="67" t="n">
        <v>2530</v>
      </c>
      <c r="C256" s="115" t="inlineStr">
        <is>
          <t xml:space="preserve">AZGÜN YAPI </t>
        </is>
      </c>
      <c r="D256" s="115" t="inlineStr">
        <is>
          <t>34 MKT 593</t>
        </is>
      </c>
      <c r="E256" s="115" t="inlineStr">
        <is>
          <t>TURGUT ÇATAL</t>
        </is>
      </c>
      <c r="F256" s="65" t="n">
        <v>84807</v>
      </c>
      <c r="G256" s="152" t="n">
        <v>42</v>
      </c>
      <c r="H256" s="60" t="n"/>
      <c r="I256" s="156">
        <f>+I255+(G256-H256)</f>
        <v/>
      </c>
      <c r="J256" s="60" t="n"/>
      <c r="K256" s="60" t="n"/>
      <c r="L256" s="158">
        <f>+H256*J256</f>
        <v/>
      </c>
      <c r="M256" s="159">
        <f>SUM(M255+K256-L256)</f>
        <v/>
      </c>
      <c r="N256" s="60" t="n"/>
      <c r="O256" s="60" t="n"/>
      <c r="P256" s="60" t="n"/>
      <c r="Q256" s="60" t="n"/>
      <c r="R256" s="60" t="n"/>
      <c r="S256" s="60" t="n"/>
      <c r="T256" s="60" t="n"/>
      <c r="U256" s="60" t="n"/>
      <c r="V256" s="60" t="n"/>
      <c r="W256" s="60" t="n"/>
      <c r="X256" s="60" t="n"/>
      <c r="Y256" s="60" t="n"/>
      <c r="Z256" s="60" t="n"/>
    </row>
    <row r="257">
      <c r="A257" s="151" t="n">
        <v>46049</v>
      </c>
      <c r="B257" s="67" t="n">
        <v>3276</v>
      </c>
      <c r="C257" s="115" t="inlineStr">
        <is>
          <t xml:space="preserve">AZGÜN YAPI </t>
        </is>
      </c>
      <c r="D257" s="115" t="inlineStr">
        <is>
          <t xml:space="preserve">34 DTV 263 </t>
        </is>
      </c>
      <c r="E257" s="115" t="inlineStr">
        <is>
          <t>İRFAN DAĞLAR</t>
        </is>
      </c>
      <c r="F257" s="65" t="n">
        <v>433556</v>
      </c>
      <c r="G257" s="152" t="n">
        <v>460</v>
      </c>
      <c r="H257" s="60" t="n"/>
      <c r="I257" s="156">
        <f>+I256+(G257-H257)</f>
        <v/>
      </c>
      <c r="J257" s="60" t="n"/>
      <c r="K257" s="60" t="n"/>
      <c r="L257" s="158">
        <f>+H257*J257</f>
        <v/>
      </c>
      <c r="M257" s="159">
        <f>SUM(M256+K257-L257)</f>
        <v/>
      </c>
      <c r="N257" s="60" t="n"/>
      <c r="O257" s="60" t="n"/>
      <c r="P257" s="60" t="n"/>
      <c r="Q257" s="60" t="n"/>
      <c r="R257" s="60" t="n"/>
      <c r="S257" s="60" t="n"/>
      <c r="T257" s="60" t="n"/>
      <c r="U257" s="60" t="n"/>
      <c r="V257" s="60" t="n"/>
      <c r="W257" s="60" t="n"/>
      <c r="X257" s="60" t="n"/>
      <c r="Y257" s="60" t="n"/>
      <c r="Z257" s="60" t="n"/>
    </row>
    <row r="258">
      <c r="A258" s="151" t="n">
        <v>46049</v>
      </c>
      <c r="B258" s="67" t="n">
        <v>3793</v>
      </c>
      <c r="C258" s="115" t="inlineStr">
        <is>
          <t>METİN ERYİĞİT</t>
        </is>
      </c>
      <c r="D258" s="115" t="inlineStr">
        <is>
          <t>34 GBL 998</t>
        </is>
      </c>
      <c r="E258" s="115" t="inlineStr">
        <is>
          <t>ALİ KESKİN</t>
        </is>
      </c>
      <c r="F258" s="65" t="n">
        <v>334373</v>
      </c>
      <c r="G258" s="152" t="n">
        <v>495</v>
      </c>
      <c r="H258" s="60" t="n"/>
      <c r="I258" s="156">
        <f>+I257+(G258-H258)</f>
        <v/>
      </c>
      <c r="J258" s="60" t="n"/>
      <c r="K258" s="60" t="n"/>
      <c r="L258" s="158">
        <f>+H258*J258</f>
        <v/>
      </c>
      <c r="M258" s="159">
        <f>SUM(M257+K258-L258)</f>
        <v/>
      </c>
      <c r="N258" s="60" t="n"/>
      <c r="O258" s="60" t="n"/>
      <c r="P258" s="60" t="n"/>
      <c r="Q258" s="60" t="n"/>
      <c r="R258" s="60" t="n"/>
      <c r="S258" s="60" t="n"/>
      <c r="T258" s="60" t="n"/>
      <c r="U258" s="60" t="n"/>
      <c r="V258" s="60" t="n"/>
      <c r="W258" s="60" t="n"/>
      <c r="X258" s="60" t="n"/>
      <c r="Y258" s="60" t="n"/>
      <c r="Z258" s="60" t="n"/>
    </row>
    <row r="259">
      <c r="A259" s="151" t="n">
        <v>46049</v>
      </c>
      <c r="B259" s="67" t="n">
        <v>3699</v>
      </c>
      <c r="C259" s="115" t="inlineStr">
        <is>
          <t>METİN ERYİĞİT</t>
        </is>
      </c>
      <c r="D259" s="115" t="inlineStr">
        <is>
          <t>34 EGS 013</t>
        </is>
      </c>
      <c r="E259" s="115" t="inlineStr">
        <is>
          <t>UĞUR DUMAN</t>
        </is>
      </c>
      <c r="F259" s="65" t="n">
        <v>551366</v>
      </c>
      <c r="G259" s="152" t="n">
        <v>484</v>
      </c>
      <c r="H259" s="60" t="n"/>
      <c r="I259" s="156">
        <f>+I258+(G259-H259)</f>
        <v/>
      </c>
      <c r="J259" s="60" t="n"/>
      <c r="K259" s="60" t="n"/>
      <c r="L259" s="158">
        <f>+H259*J259</f>
        <v/>
      </c>
      <c r="M259" s="159">
        <f>SUM(M258+K259-L259)</f>
        <v/>
      </c>
      <c r="N259" s="60" t="n"/>
      <c r="O259" s="60" t="n"/>
      <c r="P259" s="60" t="n"/>
      <c r="Q259" s="60" t="n"/>
      <c r="R259" s="60" t="n"/>
      <c r="S259" s="60" t="n"/>
      <c r="T259" s="60" t="n"/>
      <c r="U259" s="60" t="n"/>
      <c r="V259" s="60" t="n"/>
      <c r="W259" s="60" t="n"/>
      <c r="X259" s="60" t="n"/>
      <c r="Y259" s="60" t="n"/>
      <c r="Z259" s="60" t="n"/>
    </row>
    <row r="260">
      <c r="A260" s="151" t="n">
        <v>46049</v>
      </c>
      <c r="B260" s="67" t="n">
        <v>2892</v>
      </c>
      <c r="C260" s="115" t="inlineStr">
        <is>
          <t>MEGA VARLIK</t>
        </is>
      </c>
      <c r="D260" s="115" t="inlineStr">
        <is>
          <t>ANKRAJ</t>
        </is>
      </c>
      <c r="E260" s="115" t="inlineStr">
        <is>
          <t>HASAN ZEMİN</t>
        </is>
      </c>
      <c r="F260" s="65" t="n"/>
      <c r="G260" s="152" t="n">
        <v>298</v>
      </c>
      <c r="H260" s="60" t="n"/>
      <c r="I260" s="156">
        <f>+I259+(G260-H260)</f>
        <v/>
      </c>
      <c r="J260" s="60" t="n"/>
      <c r="K260" s="60" t="n"/>
      <c r="L260" s="158">
        <f>+H260*J260</f>
        <v/>
      </c>
      <c r="M260" s="159">
        <f>SUM(M259+K260-L260)</f>
        <v/>
      </c>
      <c r="N260" s="60" t="n"/>
      <c r="O260" s="60" t="n"/>
      <c r="P260" s="60" t="n"/>
      <c r="Q260" s="60" t="n"/>
      <c r="R260" s="60" t="n"/>
      <c r="S260" s="60" t="n"/>
      <c r="T260" s="60" t="n"/>
      <c r="U260" s="60" t="n"/>
      <c r="V260" s="60" t="n"/>
      <c r="W260" s="60" t="n"/>
      <c r="X260" s="60" t="n"/>
      <c r="Y260" s="60" t="n"/>
      <c r="Z260" s="60" t="n"/>
    </row>
    <row r="261">
      <c r="A261" s="151" t="n">
        <v>46049</v>
      </c>
      <c r="B261" s="70" t="n">
        <v>4010</v>
      </c>
      <c r="C261" s="115" t="inlineStr">
        <is>
          <t>SELİM İNŞAAT</t>
        </is>
      </c>
      <c r="D261" s="115" t="inlineStr">
        <is>
          <t>34 AR 7743</t>
        </is>
      </c>
      <c r="E261" s="115" t="inlineStr">
        <is>
          <t>MEHMET SELİM</t>
        </is>
      </c>
      <c r="F261" s="65" t="n">
        <v>372655</v>
      </c>
      <c r="G261" s="152" t="n">
        <v>49</v>
      </c>
      <c r="H261" s="60" t="n"/>
      <c r="I261" s="156">
        <f>+I260+(G261-H261)</f>
        <v/>
      </c>
      <c r="J261" s="60" t="n"/>
      <c r="K261" s="60" t="n"/>
      <c r="L261" s="158">
        <f>+H261*J261</f>
        <v/>
      </c>
      <c r="M261" s="159">
        <f>SUM(M260+K261-L261)</f>
        <v/>
      </c>
      <c r="N261" s="60" t="n"/>
      <c r="O261" s="60" t="n"/>
      <c r="P261" s="60" t="n"/>
      <c r="Q261" s="60" t="n"/>
      <c r="R261" s="60" t="n"/>
      <c r="S261" s="60" t="n"/>
      <c r="T261" s="60" t="n"/>
      <c r="U261" s="60" t="n"/>
      <c r="V261" s="60" t="n"/>
      <c r="W261" s="60" t="n"/>
      <c r="X261" s="60" t="n"/>
      <c r="Y261" s="60" t="n"/>
      <c r="Z261" s="60" t="n"/>
    </row>
    <row r="262">
      <c r="A262" s="151" t="n">
        <v>46049</v>
      </c>
      <c r="B262" s="70" t="n">
        <v>2644</v>
      </c>
      <c r="C262" s="115" t="inlineStr">
        <is>
          <t>SELİM İNŞAAT</t>
        </is>
      </c>
      <c r="D262" s="115" t="inlineStr">
        <is>
          <t>34 GU 945</t>
        </is>
      </c>
      <c r="E262" s="115" t="inlineStr">
        <is>
          <t>YAKUP URUCU</t>
        </is>
      </c>
      <c r="F262" s="65" t="n">
        <v>470020</v>
      </c>
      <c r="G262" s="152" t="n">
        <v>43</v>
      </c>
      <c r="H262" s="60" t="n"/>
      <c r="I262" s="156">
        <f>+I261+(G262-H262)</f>
        <v/>
      </c>
      <c r="J262" s="60" t="n"/>
      <c r="K262" s="60" t="n"/>
      <c r="L262" s="158">
        <f>+H262*J262</f>
        <v/>
      </c>
      <c r="M262" s="159">
        <f>SUM(M261+K262-L262)</f>
        <v/>
      </c>
      <c r="N262" s="60" t="n"/>
      <c r="O262" s="60" t="n"/>
      <c r="P262" s="60" t="n"/>
      <c r="Q262" s="60" t="n"/>
      <c r="R262" s="60" t="n"/>
      <c r="S262" s="60" t="n"/>
      <c r="T262" s="60" t="n"/>
      <c r="U262" s="60" t="n"/>
      <c r="V262" s="60" t="n"/>
      <c r="W262" s="60" t="n"/>
      <c r="X262" s="60" t="n"/>
      <c r="Y262" s="60" t="n"/>
      <c r="Z262" s="60" t="n"/>
    </row>
    <row r="263">
      <c r="A263" s="151" t="n">
        <v>46050</v>
      </c>
      <c r="B263" s="67" t="n">
        <v>506</v>
      </c>
      <c r="C263" s="52" t="inlineStr">
        <is>
          <t>SELİM İNŞAAT</t>
        </is>
      </c>
      <c r="D263" s="51" t="inlineStr">
        <is>
          <t>34 EGR 737</t>
        </is>
      </c>
      <c r="E263" s="51" t="inlineStr">
        <is>
          <t>CEM MUHTAR</t>
        </is>
      </c>
      <c r="F263" s="53" t="n">
        <v>456124</v>
      </c>
      <c r="G263" s="152" t="n">
        <v>408</v>
      </c>
      <c r="H263" s="60" t="n"/>
      <c r="I263" s="156">
        <f>+I262+(G263-H263)</f>
        <v/>
      </c>
      <c r="J263" s="60" t="n"/>
      <c r="K263" s="60" t="n"/>
      <c r="L263" s="158">
        <f>+H263*J263</f>
        <v/>
      </c>
      <c r="M263" s="159">
        <f>SUM(M262+K263-L263)</f>
        <v/>
      </c>
      <c r="N263" s="60" t="n"/>
      <c r="O263" s="60" t="n"/>
      <c r="P263" s="60" t="n"/>
      <c r="Q263" s="60" t="n"/>
      <c r="R263" s="60" t="n"/>
      <c r="S263" s="60" t="n"/>
      <c r="T263" s="60" t="n"/>
      <c r="U263" s="60" t="n"/>
      <c r="V263" s="60" t="n"/>
      <c r="W263" s="60" t="n"/>
      <c r="X263" s="60" t="n"/>
      <c r="Y263" s="60" t="n"/>
      <c r="Z263" s="60" t="n"/>
    </row>
    <row r="264">
      <c r="A264" s="151" t="n">
        <v>46050</v>
      </c>
      <c r="B264" s="67" t="n">
        <v>4917</v>
      </c>
      <c r="C264" s="52" t="inlineStr">
        <is>
          <t>SELİM İNŞAAT</t>
        </is>
      </c>
      <c r="D264" s="51" t="inlineStr">
        <is>
          <t>34 FBR 742</t>
        </is>
      </c>
      <c r="E264" s="115" t="inlineStr">
        <is>
          <t>ADNAN KOÇ</t>
        </is>
      </c>
      <c r="F264" s="65" t="n">
        <v>361491</v>
      </c>
      <c r="G264" s="152" t="n">
        <v>315</v>
      </c>
      <c r="H264" s="60" t="n"/>
      <c r="I264" s="156">
        <f>+I263+(G264-H264)</f>
        <v/>
      </c>
      <c r="J264" s="60" t="n"/>
      <c r="K264" s="60" t="n"/>
      <c r="L264" s="158">
        <f>+H264*J264</f>
        <v/>
      </c>
      <c r="M264" s="159">
        <f>SUM(M263+K264-L264)</f>
        <v/>
      </c>
      <c r="N264" s="60" t="n"/>
      <c r="O264" s="60" t="n"/>
      <c r="P264" s="60" t="n"/>
      <c r="Q264" s="60" t="n"/>
      <c r="R264" s="60" t="n"/>
      <c r="S264" s="60" t="n"/>
      <c r="T264" s="60" t="n"/>
      <c r="U264" s="60" t="n"/>
      <c r="V264" s="60" t="n"/>
      <c r="W264" s="60" t="n"/>
      <c r="X264" s="60" t="n"/>
      <c r="Y264" s="60" t="n"/>
      <c r="Z264" s="60" t="n"/>
    </row>
    <row r="265">
      <c r="A265" s="151" t="n">
        <v>46050</v>
      </c>
      <c r="B265" s="67" t="n">
        <v>4165</v>
      </c>
      <c r="C265" s="115" t="inlineStr">
        <is>
          <t>SELİM İNŞAAT</t>
        </is>
      </c>
      <c r="D265" s="115" t="inlineStr">
        <is>
          <t>34 FBR 748</t>
        </is>
      </c>
      <c r="E265" s="115" t="inlineStr">
        <is>
          <t>YAŞAR ÖZKAYA</t>
        </is>
      </c>
      <c r="F265" s="65" t="n">
        <v>320875</v>
      </c>
      <c r="G265" s="152" t="n">
        <v>440</v>
      </c>
      <c r="H265" s="60" t="n"/>
      <c r="I265" s="156">
        <f>+I264+(G265-H265)</f>
        <v/>
      </c>
      <c r="J265" s="60" t="n"/>
      <c r="K265" s="60" t="n"/>
      <c r="L265" s="158">
        <f>+H265*J265</f>
        <v/>
      </c>
      <c r="M265" s="159">
        <f>SUM(M264+K265-L265)</f>
        <v/>
      </c>
      <c r="N265" s="60" t="n"/>
      <c r="O265" s="60" t="n"/>
      <c r="P265" s="60" t="n"/>
      <c r="Q265" s="60" t="n"/>
      <c r="R265" s="60" t="n"/>
      <c r="S265" s="60" t="n"/>
      <c r="T265" s="60" t="n"/>
      <c r="U265" s="60" t="n"/>
      <c r="V265" s="60" t="n"/>
      <c r="W265" s="60" t="n"/>
      <c r="X265" s="60" t="n"/>
      <c r="Y265" s="60" t="n"/>
      <c r="Z265" s="60" t="n"/>
    </row>
    <row r="266">
      <c r="A266" s="151" t="n">
        <v>46050</v>
      </c>
      <c r="B266" s="67" t="n">
        <v>3324</v>
      </c>
      <c r="C266" s="115" t="inlineStr">
        <is>
          <t>SELİM İNŞAAT</t>
        </is>
      </c>
      <c r="D266" s="115" t="inlineStr">
        <is>
          <t>34 GUS 938</t>
        </is>
      </c>
      <c r="E266" s="115" t="inlineStr">
        <is>
          <t>MEHMET KAYA</t>
        </is>
      </c>
      <c r="F266" s="65" t="n">
        <v>242356</v>
      </c>
      <c r="G266" s="152" t="n">
        <v>492</v>
      </c>
      <c r="H266" s="60" t="n"/>
      <c r="I266" s="156">
        <f>+I265+(G266-H266)</f>
        <v/>
      </c>
      <c r="J266" s="60" t="n"/>
      <c r="K266" s="60" t="n"/>
      <c r="L266" s="158">
        <f>+H266*J266</f>
        <v/>
      </c>
      <c r="M266" s="159">
        <f>SUM(M265+K266-L266)</f>
        <v/>
      </c>
      <c r="N266" s="60" t="n"/>
      <c r="O266" s="60" t="n"/>
      <c r="P266" s="60" t="n"/>
      <c r="Q266" s="60" t="n"/>
      <c r="R266" s="60" t="n"/>
      <c r="S266" s="60" t="n"/>
      <c r="T266" s="60" t="n"/>
      <c r="U266" s="60" t="n"/>
      <c r="V266" s="60" t="n"/>
      <c r="W266" s="60" t="n"/>
      <c r="X266" s="60" t="n"/>
      <c r="Y266" s="60" t="n"/>
      <c r="Z266" s="60" t="n"/>
    </row>
    <row r="267">
      <c r="A267" s="151" t="n">
        <v>46050</v>
      </c>
      <c r="B267" s="67" t="n">
        <v>4961</v>
      </c>
      <c r="C267" s="115" t="inlineStr">
        <is>
          <t>SELİM İNŞAAT</t>
        </is>
      </c>
      <c r="D267" s="115" t="inlineStr">
        <is>
          <t>34 GVZ 745</t>
        </is>
      </c>
      <c r="E267" s="115" t="inlineStr">
        <is>
          <t>MURAT DEMİRBAŞ</t>
        </is>
      </c>
      <c r="F267" s="65" t="n">
        <v>241370</v>
      </c>
      <c r="G267" s="152" t="n">
        <v>345</v>
      </c>
      <c r="H267" s="60" t="n"/>
      <c r="I267" s="156">
        <f>+I266+(G267-H267)</f>
        <v/>
      </c>
      <c r="J267" s="60" t="n"/>
      <c r="K267" s="60" t="n"/>
      <c r="L267" s="158">
        <f>+H267*J267</f>
        <v/>
      </c>
      <c r="M267" s="159">
        <f>SUM(M266+K267-L267)</f>
        <v/>
      </c>
      <c r="N267" s="60" t="n"/>
      <c r="O267" s="60" t="n"/>
      <c r="P267" s="60" t="n"/>
      <c r="Q267" s="60" t="n"/>
      <c r="R267" s="60" t="n"/>
      <c r="S267" s="60" t="n"/>
      <c r="T267" s="60" t="n"/>
      <c r="U267" s="60" t="n"/>
      <c r="V267" s="60" t="n"/>
      <c r="W267" s="60" t="n"/>
      <c r="X267" s="60" t="n"/>
      <c r="Y267" s="60" t="n"/>
      <c r="Z267" s="60" t="n"/>
    </row>
    <row r="268">
      <c r="A268" s="151" t="n">
        <v>46050</v>
      </c>
      <c r="B268" s="67" t="n">
        <v>1380</v>
      </c>
      <c r="C268" s="115" t="inlineStr">
        <is>
          <t xml:space="preserve">AZGÜN YAPI </t>
        </is>
      </c>
      <c r="D268" s="115" t="inlineStr">
        <is>
          <t>34 MKT 859</t>
        </is>
      </c>
      <c r="E268" s="115" t="inlineStr">
        <is>
          <t>ONUR CANLI</t>
        </is>
      </c>
      <c r="F268" s="65" t="n">
        <v>92398</v>
      </c>
      <c r="G268" s="152" t="n">
        <v>533</v>
      </c>
      <c r="H268" s="60" t="n"/>
      <c r="I268" s="156">
        <f>+I267+(G268-H268)</f>
        <v/>
      </c>
      <c r="J268" s="60" t="n"/>
      <c r="K268" s="60" t="n"/>
      <c r="L268" s="158">
        <f>+H268*J268</f>
        <v/>
      </c>
      <c r="M268" s="159">
        <f>SUM(M267+K268-L268)</f>
        <v/>
      </c>
      <c r="N268" s="60" t="n"/>
      <c r="O268" s="60" t="n"/>
      <c r="P268" s="60" t="n"/>
      <c r="Q268" s="60" t="n"/>
      <c r="R268" s="60" t="n"/>
      <c r="S268" s="60" t="n"/>
      <c r="T268" s="60" t="n"/>
      <c r="U268" s="60" t="n"/>
      <c r="V268" s="60" t="n"/>
      <c r="W268" s="60" t="n"/>
      <c r="X268" s="60" t="n"/>
      <c r="Y268" s="60" t="n"/>
      <c r="Z268" s="60" t="n"/>
    </row>
    <row r="269">
      <c r="A269" s="151" t="n">
        <v>46050</v>
      </c>
      <c r="B269" s="67" t="n">
        <v>2741</v>
      </c>
      <c r="C269" s="115" t="inlineStr">
        <is>
          <t>METİN ERYİĞİT</t>
        </is>
      </c>
      <c r="D269" s="115" t="inlineStr">
        <is>
          <t>34 EGR 814</t>
        </is>
      </c>
      <c r="E269" s="115" t="inlineStr">
        <is>
          <t xml:space="preserve">ZİYA İNCE </t>
        </is>
      </c>
      <c r="F269" s="65" t="n">
        <v>597341</v>
      </c>
      <c r="G269" s="152" t="n">
        <v>462</v>
      </c>
      <c r="H269" s="60" t="n"/>
      <c r="I269" s="156">
        <f>+I268+(G269-H269)</f>
        <v/>
      </c>
      <c r="J269" s="60" t="n"/>
      <c r="K269" s="60" t="n"/>
      <c r="L269" s="158">
        <f>+H269*J269</f>
        <v/>
      </c>
      <c r="M269" s="159">
        <f>SUM(M268+K269-L269)</f>
        <v/>
      </c>
      <c r="N269" s="60" t="n"/>
      <c r="O269" s="60" t="n"/>
      <c r="P269" s="60" t="n"/>
      <c r="Q269" s="60" t="n"/>
      <c r="R269" s="60" t="n"/>
      <c r="S269" s="60" t="n"/>
      <c r="T269" s="60" t="n"/>
      <c r="U269" s="60" t="n"/>
      <c r="V269" s="60" t="n"/>
      <c r="W269" s="60" t="n"/>
      <c r="X269" s="60" t="n"/>
      <c r="Y269" s="60" t="n"/>
      <c r="Z269" s="60" t="n"/>
    </row>
    <row r="270">
      <c r="A270" s="151" t="n">
        <v>46050</v>
      </c>
      <c r="B270" s="67" t="n">
        <v>4241</v>
      </c>
      <c r="C270" s="115" t="inlineStr">
        <is>
          <t xml:space="preserve">CEVİZ MOBİLYA  </t>
        </is>
      </c>
      <c r="D270" s="115" t="inlineStr">
        <is>
          <t>FORKLİFT</t>
        </is>
      </c>
      <c r="E270" s="115" t="inlineStr">
        <is>
          <t>CEMAL</t>
        </is>
      </c>
      <c r="F270" s="65" t="n"/>
      <c r="G270" s="152" t="n">
        <v>30</v>
      </c>
      <c r="H270" s="60" t="n"/>
      <c r="I270" s="156">
        <f>+I269+(G270-H270)</f>
        <v/>
      </c>
      <c r="J270" s="60" t="n"/>
      <c r="K270" s="60" t="n"/>
      <c r="L270" s="158">
        <f>+H270*J270</f>
        <v/>
      </c>
      <c r="M270" s="159">
        <f>SUM(M269+K270-L270)</f>
        <v/>
      </c>
      <c r="N270" s="60" t="n"/>
      <c r="O270" s="60" t="n"/>
      <c r="P270" s="60" t="n"/>
      <c r="Q270" s="60" t="n"/>
      <c r="R270" s="60" t="n"/>
      <c r="S270" s="60" t="n"/>
      <c r="T270" s="60" t="n"/>
      <c r="U270" s="60" t="n"/>
      <c r="V270" s="60" t="n"/>
      <c r="W270" s="60" t="n"/>
      <c r="X270" s="60" t="n"/>
      <c r="Y270" s="60" t="n"/>
      <c r="Z270" s="60" t="n"/>
    </row>
    <row r="271">
      <c r="A271" s="151" t="n">
        <v>46050</v>
      </c>
      <c r="B271" s="67" t="n">
        <v>4242</v>
      </c>
      <c r="C271" s="115" t="n"/>
      <c r="D271" s="115" t="inlineStr">
        <is>
          <t xml:space="preserve">JCB </t>
        </is>
      </c>
      <c r="E271" s="115" t="inlineStr">
        <is>
          <t>BAYRAM SANCAK</t>
        </is>
      </c>
      <c r="F271" s="65" t="n"/>
      <c r="G271" s="152" t="n">
        <v>84</v>
      </c>
      <c r="H271" s="60" t="n"/>
      <c r="I271" s="156">
        <f>+I270+(G271-H271)</f>
        <v/>
      </c>
      <c r="J271" s="60" t="n"/>
      <c r="K271" s="60" t="n"/>
      <c r="L271" s="158">
        <f>+H271*J271</f>
        <v/>
      </c>
      <c r="M271" s="159">
        <f>SUM(M270+K271-L271)</f>
        <v/>
      </c>
      <c r="N271" s="60" t="n"/>
      <c r="O271" s="60" t="n"/>
      <c r="P271" s="60" t="n"/>
      <c r="Q271" s="60" t="n"/>
      <c r="R271" s="60" t="n"/>
      <c r="S271" s="60" t="n"/>
      <c r="T271" s="60" t="n"/>
      <c r="U271" s="60" t="n"/>
      <c r="V271" s="60" t="n"/>
      <c r="W271" s="60" t="n"/>
      <c r="X271" s="60" t="n"/>
      <c r="Y271" s="60" t="n"/>
      <c r="Z271" s="60" t="n"/>
    </row>
    <row r="272">
      <c r="A272" s="151" t="n">
        <v>46050</v>
      </c>
      <c r="B272" s="67" t="n">
        <v>4243</v>
      </c>
      <c r="C272" s="115" t="inlineStr">
        <is>
          <t>EVKUR</t>
        </is>
      </c>
      <c r="D272" s="115" t="inlineStr">
        <is>
          <t>KİRALIK KATO</t>
        </is>
      </c>
      <c r="E272" s="115" t="inlineStr">
        <is>
          <t>GÜNEŞ</t>
        </is>
      </c>
      <c r="F272" s="65" t="n"/>
      <c r="G272" s="152" t="n">
        <v>58</v>
      </c>
      <c r="H272" s="60" t="n"/>
      <c r="I272" s="156">
        <f>+I271+(G272-H272)</f>
        <v/>
      </c>
      <c r="J272" s="60" t="n"/>
      <c r="K272" s="60" t="n"/>
      <c r="L272" s="158">
        <f>+H272*J272</f>
        <v/>
      </c>
      <c r="M272" s="159">
        <f>SUM(M271+K272-L272)</f>
        <v/>
      </c>
      <c r="N272" s="60" t="n"/>
      <c r="O272" s="60" t="n"/>
      <c r="P272" s="60" t="n"/>
      <c r="Q272" s="60" t="n"/>
      <c r="R272" s="60" t="n"/>
      <c r="S272" s="60" t="n"/>
      <c r="T272" s="60" t="n"/>
      <c r="U272" s="60" t="n"/>
      <c r="V272" s="60" t="n"/>
      <c r="W272" s="60" t="n"/>
      <c r="X272" s="60" t="n"/>
      <c r="Y272" s="60" t="n"/>
      <c r="Z272" s="60" t="n"/>
    </row>
    <row r="273">
      <c r="A273" s="151" t="n">
        <v>46050</v>
      </c>
      <c r="B273" s="67" t="n">
        <v>4244</v>
      </c>
      <c r="C273" s="115" t="inlineStr">
        <is>
          <t>VARLIK</t>
        </is>
      </c>
      <c r="D273" s="115" t="inlineStr">
        <is>
          <t>FORKLİFT</t>
        </is>
      </c>
      <c r="E273" s="115" t="inlineStr">
        <is>
          <t xml:space="preserve">FAHRİ KALFA </t>
        </is>
      </c>
      <c r="F273" s="65" t="n"/>
      <c r="G273" s="152" t="n">
        <v>63</v>
      </c>
      <c r="H273" s="60" t="n"/>
      <c r="I273" s="156">
        <f>+I272+(G273-H273)</f>
        <v/>
      </c>
      <c r="J273" s="60" t="n"/>
      <c r="K273" s="60" t="n"/>
      <c r="L273" s="158">
        <f>+H273*J273</f>
        <v/>
      </c>
      <c r="M273" s="159">
        <f>SUM(M272+K273-L273)</f>
        <v/>
      </c>
      <c r="N273" s="60" t="n"/>
      <c r="O273" s="60" t="n"/>
      <c r="P273" s="60" t="n"/>
      <c r="Q273" s="60" t="n"/>
      <c r="R273" s="60" t="n"/>
      <c r="S273" s="60" t="n"/>
      <c r="T273" s="60" t="n"/>
      <c r="U273" s="60" t="n"/>
      <c r="V273" s="60" t="n"/>
      <c r="W273" s="60" t="n"/>
      <c r="X273" s="60" t="n"/>
      <c r="Y273" s="60" t="n"/>
      <c r="Z273" s="60" t="n"/>
    </row>
    <row r="274">
      <c r="A274" s="151" t="n">
        <v>46050</v>
      </c>
      <c r="B274" s="67" t="n">
        <v>4245</v>
      </c>
      <c r="C274" s="115" t="inlineStr">
        <is>
          <t>MEGA VARLIK</t>
        </is>
      </c>
      <c r="D274" s="115" t="inlineStr">
        <is>
          <t>KAWAZAKI</t>
        </is>
      </c>
      <c r="E274" s="115" t="inlineStr">
        <is>
          <t>RAMAZAN</t>
        </is>
      </c>
      <c r="F274" s="65" t="n"/>
      <c r="G274" s="152" t="n">
        <v>309</v>
      </c>
      <c r="H274" s="60" t="n"/>
      <c r="I274" s="156">
        <f>+I273+(G274-H274)</f>
        <v/>
      </c>
      <c r="J274" s="60" t="n"/>
      <c r="K274" s="60" t="n"/>
      <c r="L274" s="158">
        <f>+H274*J274</f>
        <v/>
      </c>
      <c r="M274" s="159">
        <f>SUM(M273+K274-L274)</f>
        <v/>
      </c>
      <c r="N274" s="60" t="n"/>
      <c r="O274" s="60" t="n"/>
      <c r="P274" s="60" t="n"/>
      <c r="Q274" s="60" t="n"/>
      <c r="R274" s="60" t="n"/>
      <c r="S274" s="60" t="n"/>
      <c r="T274" s="60" t="n"/>
      <c r="U274" s="60" t="n"/>
      <c r="V274" s="60" t="n"/>
      <c r="W274" s="60" t="n"/>
      <c r="X274" s="60" t="n"/>
      <c r="Y274" s="60" t="n"/>
      <c r="Z274" s="60" t="n"/>
    </row>
    <row r="275">
      <c r="A275" s="151" t="n">
        <v>46050</v>
      </c>
      <c r="B275" s="67" t="n">
        <v>4246</v>
      </c>
      <c r="C275" s="115" t="inlineStr">
        <is>
          <t>MEGA VARLIK</t>
        </is>
      </c>
      <c r="D275" s="115" t="inlineStr">
        <is>
          <t>SM 350</t>
        </is>
      </c>
      <c r="E275" s="115" t="inlineStr">
        <is>
          <t>TEVFİK ÖZTÜRK</t>
        </is>
      </c>
      <c r="F275" s="65" t="n"/>
      <c r="G275" s="152" t="n">
        <v>420</v>
      </c>
      <c r="H275" s="60" t="n"/>
      <c r="I275" s="156">
        <f>+I274+(G275-H275)</f>
        <v/>
      </c>
      <c r="J275" s="60" t="n"/>
      <c r="K275" s="60" t="n"/>
      <c r="L275" s="158">
        <f>+H275*J275</f>
        <v/>
      </c>
      <c r="M275" s="159">
        <f>SUM(M274+K275-L275)</f>
        <v/>
      </c>
      <c r="N275" s="60" t="n"/>
      <c r="O275" s="60" t="n"/>
      <c r="P275" s="60" t="n"/>
      <c r="Q275" s="60" t="n"/>
      <c r="R275" s="60" t="n"/>
      <c r="S275" s="60" t="n"/>
      <c r="T275" s="60" t="n"/>
      <c r="U275" s="60" t="n"/>
      <c r="V275" s="60" t="n"/>
      <c r="W275" s="60" t="n"/>
      <c r="X275" s="60" t="n"/>
      <c r="Y275" s="60" t="n"/>
      <c r="Z275" s="60" t="n"/>
    </row>
    <row r="276">
      <c r="A276" s="151" t="n">
        <v>46050</v>
      </c>
      <c r="B276" s="67" t="n">
        <v>4247</v>
      </c>
      <c r="C276" s="115" t="inlineStr">
        <is>
          <t>MEGA VARLIK</t>
        </is>
      </c>
      <c r="D276" s="115" t="inlineStr">
        <is>
          <t>SM 350</t>
        </is>
      </c>
      <c r="E276" s="115" t="inlineStr">
        <is>
          <t xml:space="preserve">MİKAİL BAYILMAZ </t>
        </is>
      </c>
      <c r="F276" s="65" t="n"/>
      <c r="G276" s="152" t="n">
        <v>314</v>
      </c>
      <c r="H276" s="60" t="n"/>
      <c r="I276" s="156">
        <f>+I275+(G276-H276)</f>
        <v/>
      </c>
      <c r="J276" s="60" t="n"/>
      <c r="K276" s="60" t="n"/>
      <c r="L276" s="158">
        <f>+H276*J276</f>
        <v/>
      </c>
      <c r="M276" s="159">
        <f>SUM(M275+K276-L276)</f>
        <v/>
      </c>
      <c r="N276" s="60" t="n"/>
      <c r="O276" s="60" t="n"/>
      <c r="P276" s="60" t="n"/>
      <c r="Q276" s="60" t="n"/>
      <c r="R276" s="60" t="n"/>
      <c r="S276" s="60" t="n"/>
      <c r="T276" s="60" t="n"/>
      <c r="U276" s="60" t="n"/>
      <c r="V276" s="60" t="n"/>
      <c r="W276" s="60" t="n"/>
      <c r="X276" s="60" t="n"/>
      <c r="Y276" s="60" t="n"/>
      <c r="Z276" s="60" t="n"/>
    </row>
    <row r="277">
      <c r="A277" s="151" t="n">
        <v>46050</v>
      </c>
      <c r="B277" s="70" t="n">
        <v>4585</v>
      </c>
      <c r="C277" s="115" t="inlineStr">
        <is>
          <t>MAHMUT VİNÇ</t>
        </is>
      </c>
      <c r="D277" s="115" t="inlineStr">
        <is>
          <t>34 AH 5401</t>
        </is>
      </c>
      <c r="E277" s="115" t="inlineStr">
        <is>
          <t>YASİN DEMİR</t>
        </is>
      </c>
      <c r="F277" s="65" t="n"/>
      <c r="G277" s="152" t="n">
        <v>72</v>
      </c>
      <c r="H277" s="60" t="n"/>
      <c r="I277" s="156">
        <f>+I276+(G277-H277)</f>
        <v/>
      </c>
      <c r="J277" s="60" t="n"/>
      <c r="K277" s="60" t="n"/>
      <c r="L277" s="158">
        <f>+H277*J277</f>
        <v/>
      </c>
      <c r="M277" s="159">
        <f>SUM(M276+K277-L277)</f>
        <v/>
      </c>
      <c r="N277" s="60" t="n"/>
      <c r="O277" s="60" t="n"/>
      <c r="P277" s="60" t="n"/>
      <c r="Q277" s="60" t="n"/>
      <c r="R277" s="60" t="n"/>
      <c r="S277" s="60" t="n"/>
      <c r="T277" s="60" t="n"/>
      <c r="U277" s="60" t="n"/>
      <c r="V277" s="60" t="n"/>
      <c r="W277" s="60" t="n"/>
      <c r="X277" s="60" t="n"/>
      <c r="Y277" s="60" t="n"/>
      <c r="Z277" s="60" t="n"/>
    </row>
    <row r="278">
      <c r="A278" s="151" t="n">
        <v>46050</v>
      </c>
      <c r="B278" s="70" t="n">
        <v>4586</v>
      </c>
      <c r="C278" s="115" t="inlineStr">
        <is>
          <t>AHMET SELİM TEMHA</t>
        </is>
      </c>
      <c r="D278" s="115" t="inlineStr">
        <is>
          <t>FORKLİFT</t>
        </is>
      </c>
      <c r="E278" s="115" t="n"/>
      <c r="F278" s="65" t="n"/>
      <c r="G278" s="152" t="n">
        <v>106</v>
      </c>
      <c r="H278" s="60" t="n"/>
      <c r="I278" s="156">
        <f>+I277+(G278-H278)</f>
        <v/>
      </c>
      <c r="J278" s="60" t="n"/>
      <c r="K278" s="60" t="n"/>
      <c r="L278" s="158">
        <f>+H278*J278</f>
        <v/>
      </c>
      <c r="M278" s="159">
        <f>SUM(M277+K278-L278)</f>
        <v/>
      </c>
      <c r="N278" s="60" t="n"/>
      <c r="O278" s="60" t="n"/>
      <c r="P278" s="60" t="n"/>
      <c r="Q278" s="60" t="n"/>
      <c r="R278" s="60" t="n"/>
      <c r="S278" s="60" t="n"/>
      <c r="T278" s="60" t="n"/>
      <c r="U278" s="60" t="n"/>
      <c r="V278" s="60" t="n"/>
      <c r="W278" s="60" t="n"/>
      <c r="X278" s="60" t="n"/>
      <c r="Y278" s="60" t="n"/>
      <c r="Z278" s="60" t="n"/>
    </row>
    <row r="279">
      <c r="A279" s="151" t="n">
        <v>46050</v>
      </c>
      <c r="B279" s="70" t="n">
        <v>4587</v>
      </c>
      <c r="C279" s="115" t="inlineStr">
        <is>
          <t>AHMET SELİM TEMHA</t>
        </is>
      </c>
      <c r="D279" s="115" t="inlineStr">
        <is>
          <t>MANİTOU</t>
        </is>
      </c>
      <c r="E279" s="115" t="n"/>
      <c r="F279" s="65" t="n"/>
      <c r="G279" s="152" t="n">
        <v>195</v>
      </c>
      <c r="H279" s="60" t="n"/>
      <c r="I279" s="156">
        <f>+I278+(G279-H279)</f>
        <v/>
      </c>
      <c r="J279" s="60" t="n"/>
      <c r="K279" s="60" t="n"/>
      <c r="L279" s="158">
        <f>+H279*J279</f>
        <v/>
      </c>
      <c r="M279" s="159">
        <f>SUM(M278+K279-L279)</f>
        <v/>
      </c>
      <c r="N279" s="60" t="n"/>
      <c r="O279" s="60" t="n"/>
      <c r="P279" s="60" t="n"/>
      <c r="Q279" s="60" t="n"/>
      <c r="R279" s="60" t="n"/>
      <c r="S279" s="60" t="n"/>
      <c r="T279" s="60" t="n"/>
      <c r="U279" s="60" t="n"/>
      <c r="V279" s="60" t="n"/>
      <c r="W279" s="60" t="n"/>
      <c r="X279" s="60" t="n"/>
      <c r="Y279" s="60" t="n"/>
      <c r="Z279" s="60" t="n"/>
    </row>
    <row r="280">
      <c r="A280" s="151" t="n">
        <v>46051</v>
      </c>
      <c r="B280" s="67" t="n">
        <v>2292</v>
      </c>
      <c r="C280" s="52" t="inlineStr">
        <is>
          <t>SELİM İNŞAAT</t>
        </is>
      </c>
      <c r="D280" s="51" t="inlineStr">
        <is>
          <t>34 DSN 636</t>
        </is>
      </c>
      <c r="E280" s="51" t="inlineStr">
        <is>
          <t>MAHSUN GÜVEN</t>
        </is>
      </c>
      <c r="F280" s="53" t="n">
        <v>429475</v>
      </c>
      <c r="G280" s="152" t="n">
        <v>511</v>
      </c>
      <c r="H280" s="60" t="n"/>
      <c r="I280" s="156">
        <f>+I279+(G280-H280)</f>
        <v/>
      </c>
      <c r="J280" s="60" t="n"/>
      <c r="K280" s="60" t="n"/>
      <c r="L280" s="158">
        <f>+H280*J280</f>
        <v/>
      </c>
      <c r="M280" s="159">
        <f>SUM(M279+K280-L280)</f>
        <v/>
      </c>
      <c r="N280" s="60" t="n"/>
      <c r="O280" s="60" t="n"/>
      <c r="P280" s="60" t="n"/>
      <c r="Q280" s="60" t="n"/>
      <c r="R280" s="60" t="n"/>
      <c r="S280" s="60" t="n"/>
      <c r="T280" s="60" t="n"/>
      <c r="U280" s="60" t="n"/>
      <c r="V280" s="60" t="n"/>
      <c r="W280" s="60" t="n"/>
      <c r="X280" s="60" t="n"/>
      <c r="Y280" s="60" t="n"/>
      <c r="Z280" s="60" t="n"/>
    </row>
    <row r="281">
      <c r="A281" s="151" t="n">
        <v>46051</v>
      </c>
      <c r="B281" s="67" t="n">
        <v>4813</v>
      </c>
      <c r="C281" s="115" t="inlineStr">
        <is>
          <t>SELİM İNŞAAT</t>
        </is>
      </c>
      <c r="D281" s="115" t="inlineStr">
        <is>
          <t>34 EDB 559</t>
        </is>
      </c>
      <c r="E281" s="115" t="inlineStr">
        <is>
          <t>AZİZ ORUÇ</t>
        </is>
      </c>
      <c r="F281" s="65" t="n">
        <v>385589</v>
      </c>
      <c r="G281" s="152" t="n">
        <v>431</v>
      </c>
      <c r="H281" s="60" t="n"/>
      <c r="I281" s="156">
        <f>+I280+(G281-H281)</f>
        <v/>
      </c>
      <c r="J281" s="60" t="n"/>
      <c r="K281" s="60" t="n"/>
      <c r="L281" s="158">
        <f>+H281*J281</f>
        <v/>
      </c>
      <c r="M281" s="159">
        <f>SUM(M280+K281-L281)</f>
        <v/>
      </c>
      <c r="N281" s="60" t="n"/>
      <c r="O281" s="60" t="n"/>
      <c r="P281" s="60" t="n"/>
      <c r="Q281" s="60" t="n"/>
      <c r="R281" s="60" t="n"/>
      <c r="S281" s="60" t="n"/>
      <c r="T281" s="60" t="n"/>
      <c r="U281" s="60" t="n"/>
      <c r="V281" s="60" t="n"/>
      <c r="W281" s="60" t="n"/>
      <c r="X281" s="60" t="n"/>
      <c r="Y281" s="60" t="n"/>
      <c r="Z281" s="60" t="n"/>
    </row>
    <row r="282">
      <c r="A282" s="151" t="n">
        <v>46051</v>
      </c>
      <c r="B282" s="67" t="n">
        <v>1337</v>
      </c>
      <c r="C282" s="115" t="inlineStr">
        <is>
          <t>SELİM İNŞAAT</t>
        </is>
      </c>
      <c r="D282" s="115" t="inlineStr">
        <is>
          <t>34 GUZ 199</t>
        </is>
      </c>
      <c r="E282" s="115" t="inlineStr">
        <is>
          <t>VAHDET GÜRLER</t>
        </is>
      </c>
      <c r="F282" s="65" t="n">
        <v>222170</v>
      </c>
      <c r="G282" s="152" t="n">
        <v>420</v>
      </c>
      <c r="H282" s="60" t="n"/>
      <c r="I282" s="156">
        <f>+I281+(G282-H282)</f>
        <v/>
      </c>
      <c r="J282" s="60" t="n"/>
      <c r="K282" s="60" t="n"/>
      <c r="L282" s="158">
        <f>+H282*J282</f>
        <v/>
      </c>
      <c r="M282" s="159">
        <f>SUM(M281+K282-L282)</f>
        <v/>
      </c>
      <c r="N282" s="60" t="n"/>
      <c r="O282" s="60" t="n"/>
      <c r="P282" s="60" t="n"/>
      <c r="Q282" s="60" t="n"/>
      <c r="R282" s="60" t="n"/>
      <c r="S282" s="60" t="n"/>
      <c r="T282" s="60" t="n"/>
      <c r="U282" s="60" t="n"/>
      <c r="V282" s="60" t="n"/>
      <c r="W282" s="60" t="n"/>
      <c r="X282" s="60" t="n"/>
      <c r="Y282" s="60" t="n"/>
      <c r="Z282" s="60" t="n"/>
    </row>
    <row r="283">
      <c r="A283" s="151" t="n">
        <v>46051</v>
      </c>
      <c r="B283" s="67" t="n">
        <v>3167</v>
      </c>
      <c r="C283" s="115" t="inlineStr">
        <is>
          <t>SELİM İNŞAAT</t>
        </is>
      </c>
      <c r="D283" s="115" t="inlineStr">
        <is>
          <t>34 DTV 599</t>
        </is>
      </c>
      <c r="E283" s="115" t="inlineStr">
        <is>
          <t>HÜSEYİN DENİZ</t>
        </is>
      </c>
      <c r="F283" s="65" t="n">
        <v>472690</v>
      </c>
      <c r="G283" s="152" t="n">
        <v>464</v>
      </c>
      <c r="H283" s="60" t="n"/>
      <c r="I283" s="156">
        <f>+I282+(G283-H283)</f>
        <v/>
      </c>
      <c r="J283" s="60" t="n"/>
      <c r="K283" s="60" t="n"/>
      <c r="L283" s="158">
        <f>+H283*J283</f>
        <v/>
      </c>
      <c r="M283" s="159">
        <f>SUM(M282+K283-L283)</f>
        <v/>
      </c>
      <c r="N283" s="60" t="n"/>
      <c r="O283" s="60" t="n"/>
      <c r="P283" s="60" t="n"/>
      <c r="Q283" s="60" t="n"/>
      <c r="R283" s="60" t="n"/>
      <c r="S283" s="60" t="n"/>
      <c r="T283" s="60" t="n"/>
      <c r="U283" s="60" t="n"/>
      <c r="V283" s="60" t="n"/>
      <c r="W283" s="60" t="n"/>
      <c r="X283" s="60" t="n"/>
      <c r="Y283" s="60" t="n"/>
      <c r="Z283" s="60" t="n"/>
    </row>
    <row r="284">
      <c r="A284" s="151" t="n">
        <v>46051</v>
      </c>
      <c r="B284" s="67" t="n">
        <v>4412</v>
      </c>
      <c r="C284" s="115" t="inlineStr">
        <is>
          <t>SELİM İNŞAAT</t>
        </is>
      </c>
      <c r="D284" s="115" t="inlineStr">
        <is>
          <t>34 DTV 409</t>
        </is>
      </c>
      <c r="E284" s="115" t="inlineStr">
        <is>
          <t>CELAL YÜZBAŞI</t>
        </is>
      </c>
      <c r="F284" s="65" t="n">
        <v>450977</v>
      </c>
      <c r="G284" s="152" t="n">
        <v>519</v>
      </c>
      <c r="H284" s="60" t="n"/>
      <c r="I284" s="156">
        <f>+I283+(G284-H284)</f>
        <v/>
      </c>
      <c r="J284" s="60" t="n"/>
      <c r="K284" s="60" t="n"/>
      <c r="L284" s="158">
        <f>+H284*J284</f>
        <v/>
      </c>
      <c r="M284" s="159">
        <f>SUM(M283+K284-L284)</f>
        <v/>
      </c>
      <c r="N284" s="60" t="n"/>
      <c r="O284" s="60" t="n"/>
      <c r="P284" s="60" t="n"/>
      <c r="Q284" s="60" t="n"/>
      <c r="R284" s="60" t="n"/>
      <c r="S284" s="60" t="n"/>
      <c r="T284" s="60" t="n"/>
      <c r="U284" s="60" t="n"/>
      <c r="V284" s="60" t="n"/>
      <c r="W284" s="60" t="n"/>
      <c r="X284" s="60" t="n"/>
      <c r="Y284" s="60" t="n"/>
      <c r="Z284" s="60" t="n"/>
    </row>
    <row r="285">
      <c r="A285" s="151" t="n">
        <v>46051</v>
      </c>
      <c r="B285" s="67" t="n">
        <v>255</v>
      </c>
      <c r="C285" s="115" t="inlineStr">
        <is>
          <t>SELİM İNŞAAT</t>
        </is>
      </c>
      <c r="D285" s="115" t="inlineStr">
        <is>
          <t>34 DHC 393</t>
        </is>
      </c>
      <c r="E285" s="115" t="inlineStr">
        <is>
          <t>ATA KIZMAZ</t>
        </is>
      </c>
      <c r="F285" s="65" t="n">
        <v>459974</v>
      </c>
      <c r="G285" s="152" t="n">
        <v>510</v>
      </c>
      <c r="H285" s="60" t="n"/>
      <c r="I285" s="156">
        <f>+I284+(G285-H285)</f>
        <v/>
      </c>
      <c r="J285" s="60" t="n"/>
      <c r="K285" s="60" t="n"/>
      <c r="L285" s="158">
        <f>+H285*J285</f>
        <v/>
      </c>
      <c r="M285" s="159">
        <f>SUM(M284+K285-L285)</f>
        <v/>
      </c>
      <c r="N285" s="60" t="n"/>
      <c r="O285" s="60" t="n"/>
      <c r="P285" s="60" t="n"/>
      <c r="Q285" s="60" t="n"/>
      <c r="R285" s="60" t="n"/>
      <c r="S285" s="60" t="n"/>
      <c r="T285" s="60" t="n"/>
      <c r="U285" s="60" t="n"/>
      <c r="V285" s="60" t="n"/>
      <c r="W285" s="60" t="n"/>
      <c r="X285" s="60" t="n"/>
      <c r="Y285" s="60" t="n"/>
      <c r="Z285" s="60" t="n"/>
    </row>
    <row r="286">
      <c r="A286" s="151" t="n">
        <v>46051</v>
      </c>
      <c r="B286" s="67" t="n">
        <v>3038</v>
      </c>
      <c r="C286" s="115" t="inlineStr">
        <is>
          <t>SELİM İNŞAAT</t>
        </is>
      </c>
      <c r="D286" s="115" t="inlineStr">
        <is>
          <t>34 FBR 781</t>
        </is>
      </c>
      <c r="E286" s="115" t="inlineStr">
        <is>
          <t>MEVLÜT POLAT</t>
        </is>
      </c>
      <c r="F286" s="65" t="n">
        <v>357860</v>
      </c>
      <c r="G286" s="152" t="n">
        <v>488</v>
      </c>
      <c r="H286" s="60" t="n"/>
      <c r="I286" s="156">
        <f>+I285+(G286-H286)</f>
        <v/>
      </c>
      <c r="J286" s="60" t="n"/>
      <c r="K286" s="60" t="n"/>
      <c r="L286" s="158">
        <f>+H286*J286</f>
        <v/>
      </c>
      <c r="M286" s="159">
        <f>SUM(M285+K286-L286)</f>
        <v/>
      </c>
      <c r="N286" s="60" t="n"/>
      <c r="O286" s="60" t="n"/>
      <c r="P286" s="60" t="n"/>
      <c r="Q286" s="60" t="n"/>
      <c r="R286" s="60" t="n"/>
      <c r="S286" s="60" t="n"/>
      <c r="T286" s="60" t="n"/>
      <c r="U286" s="60" t="n"/>
      <c r="V286" s="60" t="n"/>
      <c r="W286" s="60" t="n"/>
      <c r="X286" s="60" t="n"/>
      <c r="Y286" s="60" t="n"/>
      <c r="Z286" s="60" t="n"/>
    </row>
    <row r="287">
      <c r="A287" s="151" t="n">
        <v>46051</v>
      </c>
      <c r="B287" s="67" t="n">
        <v>4</v>
      </c>
      <c r="C287" s="115" t="inlineStr">
        <is>
          <t>SELİM İNŞAAT</t>
        </is>
      </c>
      <c r="D287" s="115" t="inlineStr">
        <is>
          <t xml:space="preserve">34 GVZ 268 </t>
        </is>
      </c>
      <c r="E287" s="115" t="inlineStr">
        <is>
          <t>KERİM KARAMAN</t>
        </is>
      </c>
      <c r="F287" s="65" t="n">
        <v>246318</v>
      </c>
      <c r="G287" s="152" t="n">
        <v>408</v>
      </c>
      <c r="H287" s="60" t="n"/>
      <c r="I287" s="156">
        <f>+I286+(G287-H287)</f>
        <v/>
      </c>
      <c r="J287" s="60" t="n"/>
      <c r="K287" s="60" t="n"/>
      <c r="L287" s="158">
        <f>+H287*J287</f>
        <v/>
      </c>
      <c r="M287" s="159">
        <f>SUM(M286+K287-L287)</f>
        <v/>
      </c>
      <c r="N287" s="60" t="n"/>
      <c r="O287" s="60" t="n"/>
      <c r="P287" s="60" t="n"/>
      <c r="Q287" s="60" t="n"/>
      <c r="R287" s="60" t="n"/>
      <c r="S287" s="60" t="n"/>
      <c r="T287" s="60" t="n"/>
      <c r="U287" s="60" t="n"/>
      <c r="V287" s="60" t="n"/>
      <c r="W287" s="60" t="n"/>
      <c r="X287" s="60" t="n"/>
      <c r="Y287" s="60" t="n"/>
      <c r="Z287" s="60" t="n"/>
    </row>
    <row r="288">
      <c r="A288" s="151" t="n">
        <v>46051</v>
      </c>
      <c r="B288" s="67" t="n">
        <v>4868</v>
      </c>
      <c r="C288" s="115" t="inlineStr">
        <is>
          <t>SELİM İNŞAAT</t>
        </is>
      </c>
      <c r="D288" s="115" t="inlineStr">
        <is>
          <t>34 FBR 705</t>
        </is>
      </c>
      <c r="E288" s="115" t="inlineStr">
        <is>
          <t>MURAT SARI</t>
        </is>
      </c>
      <c r="F288" s="65" t="n">
        <v>357530</v>
      </c>
      <c r="G288" s="152" t="n">
        <v>466</v>
      </c>
      <c r="H288" s="60" t="n"/>
      <c r="I288" s="156">
        <f>+I287+(G288-H288)</f>
        <v/>
      </c>
      <c r="J288" s="60" t="n"/>
      <c r="K288" s="60" t="n"/>
      <c r="L288" s="158">
        <f>+H288*J288</f>
        <v/>
      </c>
      <c r="M288" s="159">
        <f>SUM(M287+K288-L288)</f>
        <v/>
      </c>
      <c r="N288" s="60" t="n"/>
      <c r="O288" s="60" t="n"/>
      <c r="P288" s="60" t="n"/>
      <c r="Q288" s="60" t="n"/>
      <c r="R288" s="60" t="n"/>
      <c r="S288" s="60" t="n"/>
      <c r="T288" s="60" t="n"/>
      <c r="U288" s="60" t="n"/>
      <c r="V288" s="60" t="n"/>
      <c r="W288" s="60" t="n"/>
      <c r="X288" s="60" t="n"/>
      <c r="Y288" s="60" t="n"/>
      <c r="Z288" s="60" t="n"/>
    </row>
    <row r="289">
      <c r="A289" s="151" t="n">
        <v>46051</v>
      </c>
      <c r="B289" s="67" t="n">
        <v>2788</v>
      </c>
      <c r="C289" s="115" t="inlineStr">
        <is>
          <t>SELİM İNŞAAT</t>
        </is>
      </c>
      <c r="D289" s="115" t="inlineStr">
        <is>
          <t>34 EDC 086</t>
        </is>
      </c>
      <c r="E289" s="115" t="inlineStr">
        <is>
          <t>SEZGİN KOCAGİL</t>
        </is>
      </c>
      <c r="F289" s="65" t="n">
        <v>371859</v>
      </c>
      <c r="G289" s="152" t="n">
        <v>491</v>
      </c>
      <c r="H289" s="60" t="n"/>
      <c r="I289" s="156">
        <f>+I288+(G289-H289)</f>
        <v/>
      </c>
      <c r="J289" s="60" t="n"/>
      <c r="K289" s="60" t="n"/>
      <c r="L289" s="158">
        <f>+H289*J289</f>
        <v/>
      </c>
      <c r="M289" s="159">
        <f>SUM(M288+K289-L289)</f>
        <v/>
      </c>
      <c r="N289" s="60" t="n"/>
      <c r="O289" s="60" t="n"/>
      <c r="P289" s="60" t="n"/>
      <c r="Q289" s="60" t="n"/>
      <c r="R289" s="60" t="n"/>
      <c r="S289" s="60" t="n"/>
      <c r="T289" s="60" t="n"/>
      <c r="U289" s="60" t="n"/>
      <c r="V289" s="60" t="n"/>
      <c r="W289" s="60" t="n"/>
      <c r="X289" s="60" t="n"/>
      <c r="Y289" s="60" t="n"/>
      <c r="Z289" s="60" t="n"/>
    </row>
    <row r="290">
      <c r="A290" s="151" t="n">
        <v>46051</v>
      </c>
      <c r="B290" s="67" t="n">
        <v>3277</v>
      </c>
      <c r="C290" s="115" t="inlineStr">
        <is>
          <t xml:space="preserve">AZGÜN YAPI </t>
        </is>
      </c>
      <c r="D290" s="115" t="inlineStr">
        <is>
          <t xml:space="preserve">34 DTV 263 </t>
        </is>
      </c>
      <c r="E290" s="115" t="inlineStr">
        <is>
          <t>İRFAN DAĞLAR</t>
        </is>
      </c>
      <c r="F290" s="65" t="n">
        <v>434533</v>
      </c>
      <c r="G290" s="152" t="n">
        <v>479</v>
      </c>
      <c r="H290" s="60" t="n"/>
      <c r="I290" s="156">
        <f>+I289+(G290-H290)</f>
        <v/>
      </c>
      <c r="J290" s="60" t="n"/>
      <c r="K290" s="60" t="n"/>
      <c r="L290" s="158">
        <f>+H290*J290</f>
        <v/>
      </c>
      <c r="M290" s="159">
        <f>SUM(M289+K290-L290)</f>
        <v/>
      </c>
      <c r="N290" s="60" t="n"/>
      <c r="O290" s="60" t="n"/>
      <c r="P290" s="60" t="n"/>
      <c r="Q290" s="60" t="n"/>
      <c r="R290" s="60" t="n"/>
      <c r="S290" s="60" t="n"/>
      <c r="T290" s="60" t="n"/>
      <c r="U290" s="60" t="n"/>
      <c r="V290" s="60" t="n"/>
      <c r="W290" s="60" t="n"/>
      <c r="X290" s="60" t="n"/>
      <c r="Y290" s="60" t="n"/>
      <c r="Z290" s="60" t="n"/>
    </row>
    <row r="291">
      <c r="A291" s="151" t="n">
        <v>46051</v>
      </c>
      <c r="B291" s="67" t="n">
        <v>3794</v>
      </c>
      <c r="C291" s="115" t="inlineStr">
        <is>
          <t>METİN ERYİĞİT</t>
        </is>
      </c>
      <c r="D291" s="115" t="inlineStr">
        <is>
          <t>34 GBL 998</t>
        </is>
      </c>
      <c r="E291" s="115" t="inlineStr">
        <is>
          <t>ALİ KESKİN</t>
        </is>
      </c>
      <c r="F291" s="65" t="n">
        <v>335014</v>
      </c>
      <c r="G291" s="152" t="n">
        <v>403</v>
      </c>
      <c r="H291" s="60" t="n"/>
      <c r="I291" s="156">
        <f>+I290+(G291-H291)</f>
        <v/>
      </c>
      <c r="J291" s="60" t="n"/>
      <c r="K291" s="60" t="n"/>
      <c r="L291" s="158">
        <f>+H291*J291</f>
        <v/>
      </c>
      <c r="M291" s="159">
        <f>SUM(M290+K291-L291)</f>
        <v/>
      </c>
      <c r="N291" s="60" t="n"/>
      <c r="O291" s="60" t="n"/>
      <c r="P291" s="60" t="n"/>
      <c r="Q291" s="60" t="n"/>
      <c r="R291" s="60" t="n"/>
      <c r="S291" s="60" t="n"/>
      <c r="T291" s="60" t="n"/>
      <c r="U291" s="60" t="n"/>
      <c r="V291" s="60" t="n"/>
      <c r="W291" s="60" t="n"/>
      <c r="X291" s="60" t="n"/>
      <c r="Y291" s="60" t="n"/>
      <c r="Z291" s="60" t="n"/>
    </row>
    <row r="292">
      <c r="A292" s="151" t="n">
        <v>46051</v>
      </c>
      <c r="B292" s="67" t="n">
        <v>3700</v>
      </c>
      <c r="C292" s="115" t="inlineStr">
        <is>
          <t>METİN ERYİĞİT</t>
        </is>
      </c>
      <c r="D292" s="115" t="inlineStr">
        <is>
          <t>34 EGS 013</t>
        </is>
      </c>
      <c r="E292" s="115" t="inlineStr">
        <is>
          <t>UĞUR DUMAN</t>
        </is>
      </c>
      <c r="F292" s="65" t="n">
        <v>552249</v>
      </c>
      <c r="G292" s="152" t="n">
        <v>450</v>
      </c>
      <c r="H292" s="60" t="n"/>
      <c r="I292" s="156">
        <f>+I291+(G292-H292)</f>
        <v/>
      </c>
      <c r="J292" s="60" t="n"/>
      <c r="K292" s="60" t="n"/>
      <c r="L292" s="158">
        <f>+H292*J292</f>
        <v/>
      </c>
      <c r="M292" s="159">
        <f>SUM(M291+K292-L292)</f>
        <v/>
      </c>
      <c r="N292" s="60" t="n"/>
      <c r="O292" s="60" t="n"/>
      <c r="P292" s="60" t="n"/>
      <c r="Q292" s="60" t="n"/>
      <c r="R292" s="60" t="n"/>
      <c r="S292" s="60" t="n"/>
      <c r="T292" s="60" t="n"/>
      <c r="U292" s="60" t="n"/>
      <c r="V292" s="60" t="n"/>
      <c r="W292" s="60" t="n"/>
      <c r="X292" s="60" t="n"/>
      <c r="Y292" s="60" t="n"/>
      <c r="Z292" s="60" t="n"/>
    </row>
    <row r="293">
      <c r="A293" s="151" t="n">
        <v>46051</v>
      </c>
      <c r="B293" s="67" t="n">
        <v>2742</v>
      </c>
      <c r="C293" s="115" t="inlineStr">
        <is>
          <t>METİN ERYİĞİT</t>
        </is>
      </c>
      <c r="D293" s="115" t="inlineStr">
        <is>
          <t>34 EGR 814</t>
        </is>
      </c>
      <c r="E293" s="115" t="inlineStr">
        <is>
          <t xml:space="preserve">ZİYA İNCE </t>
        </is>
      </c>
      <c r="F293" s="65" t="n">
        <v>598045</v>
      </c>
      <c r="G293" s="152" t="n">
        <v>359</v>
      </c>
      <c r="H293" s="60" t="n"/>
      <c r="I293" s="156">
        <f>+I292+(G293-H293)</f>
        <v/>
      </c>
      <c r="J293" s="60" t="n"/>
      <c r="K293" s="60" t="n"/>
      <c r="L293" s="158">
        <f>+H293*J293</f>
        <v/>
      </c>
      <c r="M293" s="159">
        <f>SUM(M292+K293-L293)</f>
        <v/>
      </c>
      <c r="N293" s="60" t="n"/>
      <c r="O293" s="60" t="n"/>
      <c r="P293" s="60" t="n"/>
      <c r="Q293" s="60" t="n"/>
      <c r="R293" s="60" t="n"/>
      <c r="S293" s="60" t="n"/>
      <c r="T293" s="60" t="n"/>
      <c r="U293" s="60" t="n"/>
      <c r="V293" s="60" t="n"/>
      <c r="W293" s="60" t="n"/>
      <c r="X293" s="60" t="n"/>
      <c r="Y293" s="60" t="n"/>
      <c r="Z293" s="60" t="n"/>
    </row>
    <row r="294">
      <c r="A294" s="151" t="n">
        <v>46051</v>
      </c>
      <c r="B294" s="70" t="n">
        <v>4588</v>
      </c>
      <c r="C294" s="115" t="n"/>
      <c r="D294" s="115" t="inlineStr">
        <is>
          <t>34 TB 926</t>
        </is>
      </c>
      <c r="E294" s="115" t="inlineStr">
        <is>
          <t>ENES SELİM</t>
        </is>
      </c>
      <c r="F294" s="65" t="n"/>
      <c r="G294" s="152" t="n">
        <v>220</v>
      </c>
      <c r="H294" s="60" t="n"/>
      <c r="I294" s="156">
        <f>+I293+(G294-H294)</f>
        <v/>
      </c>
      <c r="J294" s="60" t="n"/>
      <c r="K294" s="60" t="n"/>
      <c r="L294" s="158">
        <f>+H294*J294</f>
        <v/>
      </c>
      <c r="M294" s="159">
        <f>SUM(M293+K294-L294)</f>
        <v/>
      </c>
      <c r="N294" s="60" t="n"/>
      <c r="O294" s="60" t="n"/>
      <c r="P294" s="60" t="n"/>
      <c r="Q294" s="60" t="n"/>
      <c r="R294" s="60" t="n"/>
      <c r="S294" s="60" t="n"/>
      <c r="T294" s="60" t="n"/>
      <c r="U294" s="60" t="n"/>
      <c r="V294" s="60" t="n"/>
      <c r="W294" s="60" t="n"/>
      <c r="X294" s="60" t="n"/>
      <c r="Y294" s="60" t="n"/>
      <c r="Z294" s="60" t="n"/>
    </row>
    <row r="295">
      <c r="A295" s="151" t="n">
        <v>46051</v>
      </c>
      <c r="B295" s="70" t="n">
        <v>4589</v>
      </c>
      <c r="C295" s="115" t="inlineStr">
        <is>
          <t>AHMET SELİM TEMHA</t>
        </is>
      </c>
      <c r="D295" s="115" t="inlineStr">
        <is>
          <t>34 PGT 251</t>
        </is>
      </c>
      <c r="E295" s="115" t="inlineStr">
        <is>
          <t>ERSOY SIĞINMAZ</t>
        </is>
      </c>
      <c r="F295" s="65" t="n"/>
      <c r="G295" s="152" t="n">
        <v>51</v>
      </c>
      <c r="H295" s="60" t="n"/>
      <c r="I295" s="156">
        <f>+I294+(G295-H295)</f>
        <v/>
      </c>
      <c r="J295" s="60" t="n"/>
      <c r="K295" s="60" t="n"/>
      <c r="L295" s="158">
        <f>+H295*J295</f>
        <v/>
      </c>
      <c r="M295" s="159">
        <f>SUM(M294+K295-L295)</f>
        <v/>
      </c>
      <c r="N295" s="60" t="n"/>
      <c r="O295" s="60" t="n"/>
      <c r="P295" s="60" t="n"/>
      <c r="Q295" s="60" t="n"/>
      <c r="R295" s="60" t="n"/>
      <c r="S295" s="60" t="n"/>
      <c r="T295" s="60" t="n"/>
      <c r="U295" s="60" t="n"/>
      <c r="V295" s="60" t="n"/>
      <c r="W295" s="60" t="n"/>
      <c r="X295" s="60" t="n"/>
      <c r="Y295" s="60" t="n"/>
      <c r="Z295" s="60" t="n"/>
    </row>
    <row r="296">
      <c r="A296" s="151" t="n">
        <v>46051</v>
      </c>
      <c r="B296" s="70" t="n">
        <v>2340</v>
      </c>
      <c r="C296" s="115" t="inlineStr">
        <is>
          <t>SELİM İNŞAAT</t>
        </is>
      </c>
      <c r="D296" s="115" t="inlineStr">
        <is>
          <t>34 DP 4161</t>
        </is>
      </c>
      <c r="E296" s="115" t="inlineStr">
        <is>
          <t>RIFAT KARATAY</t>
        </is>
      </c>
      <c r="F296" s="65" t="n">
        <v>319690</v>
      </c>
      <c r="G296" s="152" t="n">
        <v>188</v>
      </c>
      <c r="H296" s="60" t="n"/>
      <c r="I296" s="156">
        <f>+I295+(G296-H296)</f>
        <v/>
      </c>
      <c r="J296" s="60" t="n"/>
      <c r="K296" s="60" t="n"/>
      <c r="L296" s="158">
        <f>+H296*J296</f>
        <v/>
      </c>
      <c r="M296" s="159">
        <f>SUM(M295+K296-L296)</f>
        <v/>
      </c>
      <c r="N296" s="60" t="n"/>
      <c r="O296" s="60" t="n"/>
      <c r="P296" s="60" t="n"/>
      <c r="Q296" s="60" t="n"/>
      <c r="R296" s="60" t="n"/>
      <c r="S296" s="60" t="n"/>
      <c r="T296" s="60" t="n"/>
      <c r="U296" s="60" t="n"/>
      <c r="V296" s="60" t="n"/>
      <c r="W296" s="60" t="n"/>
      <c r="X296" s="60" t="n"/>
      <c r="Y296" s="60" t="n"/>
      <c r="Z296" s="60" t="n"/>
    </row>
    <row r="297">
      <c r="A297" s="151" t="n">
        <v>46052</v>
      </c>
      <c r="B297" s="67" t="n">
        <v>2531</v>
      </c>
      <c r="C297" s="115" t="inlineStr">
        <is>
          <t xml:space="preserve">AZGÜN YAPI </t>
        </is>
      </c>
      <c r="D297" s="115" t="inlineStr">
        <is>
          <t>34 MKT 593</t>
        </is>
      </c>
      <c r="E297" s="115" t="inlineStr">
        <is>
          <t>TURGUT ÇATAL</t>
        </is>
      </c>
      <c r="F297" s="65" t="n">
        <v>85986</v>
      </c>
      <c r="G297" s="152" t="n">
        <v>547</v>
      </c>
      <c r="H297" s="60" t="n"/>
      <c r="I297" s="156">
        <f>+I296+(G297-H297)</f>
        <v/>
      </c>
      <c r="J297" s="60" t="n"/>
      <c r="K297" s="60" t="n"/>
      <c r="L297" s="158">
        <f>+H297*J297</f>
        <v/>
      </c>
      <c r="M297" s="159">
        <f>SUM(M296+K297-L297)</f>
        <v/>
      </c>
      <c r="N297" s="60" t="n"/>
      <c r="O297" s="60" t="n"/>
      <c r="P297" s="60" t="n"/>
      <c r="Q297" s="60" t="n"/>
      <c r="R297" s="60" t="n"/>
      <c r="S297" s="60" t="n"/>
      <c r="T297" s="60" t="n"/>
      <c r="U297" s="60" t="n"/>
      <c r="V297" s="60" t="n"/>
      <c r="W297" s="60" t="n"/>
      <c r="X297" s="60" t="n"/>
      <c r="Y297" s="60" t="n"/>
      <c r="Z297" s="60" t="n"/>
    </row>
    <row r="298">
      <c r="A298" s="151" t="n">
        <v>46052</v>
      </c>
      <c r="B298" s="67" t="n">
        <v>1381</v>
      </c>
      <c r="C298" s="115" t="inlineStr">
        <is>
          <t xml:space="preserve">AZGÜN YAPI </t>
        </is>
      </c>
      <c r="D298" s="115" t="inlineStr">
        <is>
          <t>34 MKT 859</t>
        </is>
      </c>
      <c r="E298" s="115" t="inlineStr">
        <is>
          <t>ONUR CANLI</t>
        </is>
      </c>
      <c r="F298" s="65" t="n">
        <v>93572</v>
      </c>
      <c r="G298" s="152" t="n">
        <v>570</v>
      </c>
      <c r="H298" s="60" t="n"/>
      <c r="I298" s="156">
        <f>+I297+(G298-H298)</f>
        <v/>
      </c>
      <c r="J298" s="60" t="n"/>
      <c r="K298" s="60" t="n"/>
      <c r="L298" s="158">
        <f>+H298*J298</f>
        <v/>
      </c>
      <c r="M298" s="159">
        <f>SUM(M297+K298-L298)</f>
        <v/>
      </c>
      <c r="N298" s="60" t="n"/>
      <c r="O298" s="60" t="n"/>
      <c r="P298" s="60" t="n"/>
      <c r="Q298" s="60" t="n"/>
      <c r="R298" s="60" t="n"/>
      <c r="S298" s="60" t="n"/>
      <c r="T298" s="60" t="n"/>
      <c r="U298" s="60" t="n"/>
      <c r="V298" s="60" t="n"/>
      <c r="W298" s="60" t="n"/>
      <c r="X298" s="60" t="n"/>
      <c r="Y298" s="60" t="n"/>
      <c r="Z298" s="60" t="n"/>
    </row>
    <row r="299">
      <c r="A299" s="151" t="n">
        <v>46052</v>
      </c>
      <c r="B299" s="67" t="n">
        <v>3795</v>
      </c>
      <c r="C299" s="115" t="inlineStr">
        <is>
          <t>METİN ERYİĞİT</t>
        </is>
      </c>
      <c r="D299" s="115" t="inlineStr">
        <is>
          <t>34 GBL 998</t>
        </is>
      </c>
      <c r="E299" s="115" t="inlineStr">
        <is>
          <t>ALİ KESKİN</t>
        </is>
      </c>
      <c r="F299" s="65" t="n">
        <v>335682</v>
      </c>
      <c r="G299" s="152" t="n">
        <v>400</v>
      </c>
      <c r="H299" s="60" t="n"/>
      <c r="I299" s="156">
        <f>+I298+(G299-H299)</f>
        <v/>
      </c>
      <c r="J299" s="60" t="n"/>
      <c r="K299" s="60" t="n"/>
      <c r="L299" s="158">
        <f>+H299*J299</f>
        <v/>
      </c>
      <c r="M299" s="159">
        <f>SUM(M298+K299-L299)</f>
        <v/>
      </c>
      <c r="N299" s="60" t="n"/>
      <c r="O299" s="60" t="n"/>
      <c r="P299" s="60" t="n"/>
      <c r="Q299" s="60" t="n"/>
      <c r="R299" s="60" t="n"/>
      <c r="S299" s="60" t="n"/>
      <c r="T299" s="60" t="n"/>
      <c r="U299" s="60" t="n"/>
      <c r="V299" s="60" t="n"/>
      <c r="W299" s="60" t="n"/>
      <c r="X299" s="60" t="n"/>
      <c r="Y299" s="60" t="n"/>
      <c r="Z299" s="60" t="n"/>
    </row>
    <row r="300">
      <c r="A300" s="151" t="n">
        <v>46052</v>
      </c>
      <c r="B300" s="67" t="n">
        <v>701</v>
      </c>
      <c r="C300" s="115" t="inlineStr">
        <is>
          <t>METİN ERYİĞİT</t>
        </is>
      </c>
      <c r="D300" s="115" t="inlineStr">
        <is>
          <t>34 EGS 013</t>
        </is>
      </c>
      <c r="E300" s="115" t="inlineStr">
        <is>
          <t>UĞUR DUMAN</t>
        </is>
      </c>
      <c r="F300" s="65" t="n">
        <v>552895</v>
      </c>
      <c r="G300" s="152" t="n">
        <v>284</v>
      </c>
      <c r="H300" s="60" t="n"/>
      <c r="I300" s="156">
        <f>+I299+(G300-H300)</f>
        <v/>
      </c>
      <c r="J300" s="60" t="n"/>
      <c r="K300" s="60" t="n"/>
      <c r="L300" s="158">
        <f>+H300*J300</f>
        <v/>
      </c>
      <c r="M300" s="159">
        <f>SUM(M299+K300-L300)</f>
        <v/>
      </c>
      <c r="N300" s="60" t="n"/>
      <c r="O300" s="60" t="n"/>
      <c r="P300" s="60" t="n"/>
      <c r="Q300" s="60" t="n"/>
      <c r="R300" s="60" t="n"/>
      <c r="S300" s="60" t="n"/>
      <c r="T300" s="60" t="n"/>
      <c r="U300" s="60" t="n"/>
      <c r="V300" s="60" t="n"/>
      <c r="W300" s="60" t="n"/>
      <c r="X300" s="60" t="n"/>
      <c r="Y300" s="60" t="n"/>
      <c r="Z300" s="60" t="n"/>
    </row>
    <row r="301">
      <c r="A301" s="151" t="n">
        <v>46052</v>
      </c>
      <c r="B301" s="67" t="n">
        <v>2743</v>
      </c>
      <c r="C301" s="115" t="inlineStr">
        <is>
          <t>METİN ERYİĞİT</t>
        </is>
      </c>
      <c r="D301" s="115" t="inlineStr">
        <is>
          <t>34 EGR 814</t>
        </is>
      </c>
      <c r="E301" s="115" t="inlineStr">
        <is>
          <t xml:space="preserve">ZİYA İNCE </t>
        </is>
      </c>
      <c r="F301" s="65" t="n">
        <v>598567</v>
      </c>
      <c r="G301" s="152" t="n">
        <v>197</v>
      </c>
      <c r="H301" s="60" t="n"/>
      <c r="I301" s="156">
        <f>+I300+(G301-H301)</f>
        <v/>
      </c>
      <c r="J301" s="60" t="n"/>
      <c r="K301" s="60" t="n"/>
      <c r="L301" s="158">
        <f>+H301*J301</f>
        <v/>
      </c>
      <c r="M301" s="159">
        <f>SUM(M300+K301-L301)</f>
        <v/>
      </c>
      <c r="N301" s="60" t="n"/>
      <c r="O301" s="60" t="n"/>
      <c r="P301" s="60" t="n"/>
      <c r="Q301" s="60" t="n"/>
      <c r="R301" s="60" t="n"/>
      <c r="S301" s="60" t="n"/>
      <c r="T301" s="60" t="n"/>
      <c r="U301" s="60" t="n"/>
      <c r="V301" s="60" t="n"/>
      <c r="W301" s="60" t="n"/>
      <c r="X301" s="60" t="n"/>
      <c r="Y301" s="60" t="n"/>
      <c r="Z301" s="60" t="n"/>
    </row>
    <row r="302">
      <c r="A302" s="151" t="n">
        <v>46052</v>
      </c>
      <c r="B302" s="67" t="n">
        <v>4248</v>
      </c>
      <c r="C302" s="115" t="inlineStr">
        <is>
          <t>MEGA VARLIK</t>
        </is>
      </c>
      <c r="D302" s="115" t="inlineStr">
        <is>
          <t>SM 350</t>
        </is>
      </c>
      <c r="E302" s="115" t="inlineStr">
        <is>
          <t>EMİRHAN ÖZTÜRK</t>
        </is>
      </c>
      <c r="F302" s="65" t="n"/>
      <c r="G302" s="152" t="n">
        <v>27</v>
      </c>
      <c r="H302" s="60" t="n"/>
      <c r="I302" s="156">
        <f>+I301+(G302-H302)</f>
        <v/>
      </c>
      <c r="J302" s="60" t="n"/>
      <c r="K302" s="60" t="n"/>
      <c r="L302" s="158">
        <f>+H302*J302</f>
        <v/>
      </c>
      <c r="M302" s="159">
        <f>SUM(M301+K302-L302)</f>
        <v/>
      </c>
      <c r="N302" s="60" t="n"/>
      <c r="O302" s="60" t="n"/>
      <c r="P302" s="60" t="n"/>
      <c r="Q302" s="60" t="n"/>
      <c r="R302" s="60" t="n"/>
      <c r="S302" s="60" t="n"/>
      <c r="T302" s="60" t="n"/>
      <c r="U302" s="60" t="n"/>
      <c r="V302" s="60" t="n"/>
      <c r="W302" s="60" t="n"/>
      <c r="X302" s="60" t="n"/>
      <c r="Y302" s="60" t="n"/>
      <c r="Z302" s="60" t="n"/>
    </row>
    <row r="303">
      <c r="A303" s="151" t="n">
        <v>46052</v>
      </c>
      <c r="B303" s="67" t="n">
        <v>4249</v>
      </c>
      <c r="C303" s="115" t="inlineStr">
        <is>
          <t>MEGA VARLIK</t>
        </is>
      </c>
      <c r="D303" s="115" t="inlineStr">
        <is>
          <t>SM 350</t>
        </is>
      </c>
      <c r="E303" s="115" t="inlineStr">
        <is>
          <t>TEVFİK ÖZTÜRK</t>
        </is>
      </c>
      <c r="F303" s="65" t="n"/>
      <c r="G303" s="152" t="n">
        <v>299</v>
      </c>
      <c r="H303" s="60" t="n"/>
      <c r="I303" s="156">
        <f>+I302+(G303-H303)</f>
        <v/>
      </c>
      <c r="J303" s="60" t="n"/>
      <c r="K303" s="60" t="n"/>
      <c r="L303" s="158">
        <f>+H303*J303</f>
        <v/>
      </c>
      <c r="M303" s="159">
        <f>SUM(M302+K303-L303)</f>
        <v/>
      </c>
      <c r="N303" s="60" t="n"/>
      <c r="O303" s="60" t="n"/>
      <c r="P303" s="60" t="n"/>
      <c r="Q303" s="60" t="n"/>
      <c r="R303" s="60" t="n"/>
      <c r="S303" s="60" t="n"/>
      <c r="T303" s="60" t="n"/>
      <c r="U303" s="60" t="n"/>
      <c r="V303" s="60" t="n"/>
      <c r="W303" s="60" t="n"/>
      <c r="X303" s="60" t="n"/>
      <c r="Y303" s="60" t="n"/>
      <c r="Z303" s="60" t="n"/>
    </row>
    <row r="304">
      <c r="A304" s="151" t="n">
        <v>46052</v>
      </c>
      <c r="B304" s="70" t="n">
        <v>1770</v>
      </c>
      <c r="C304" s="115" t="inlineStr">
        <is>
          <t>SELİM İNŞAAT</t>
        </is>
      </c>
      <c r="D304" s="115" t="inlineStr">
        <is>
          <t>34 JBA 25</t>
        </is>
      </c>
      <c r="E304" s="115" t="inlineStr">
        <is>
          <t>FATİH ÖZBOLAT</t>
        </is>
      </c>
      <c r="F304" s="65" t="n">
        <v>346808</v>
      </c>
      <c r="G304" s="152" t="n">
        <v>53</v>
      </c>
      <c r="H304" s="60" t="n"/>
      <c r="I304" s="156">
        <f>+I303+(G304-H304)</f>
        <v/>
      </c>
      <c r="J304" s="60" t="n"/>
      <c r="K304" s="60" t="n"/>
      <c r="L304" s="158">
        <f>+H304*J304</f>
        <v/>
      </c>
      <c r="M304" s="159">
        <f>SUM(M303+K304-L304)</f>
        <v/>
      </c>
      <c r="N304" s="60" t="n"/>
      <c r="O304" s="60" t="n"/>
      <c r="P304" s="60" t="n"/>
      <c r="Q304" s="60" t="n"/>
      <c r="R304" s="60" t="n"/>
      <c r="S304" s="60" t="n"/>
      <c r="T304" s="60" t="n"/>
      <c r="U304" s="60" t="n"/>
      <c r="V304" s="60" t="n"/>
      <c r="W304" s="60" t="n"/>
      <c r="X304" s="60" t="n"/>
      <c r="Y304" s="60" t="n"/>
      <c r="Z304" s="60" t="n"/>
    </row>
    <row r="305">
      <c r="A305" s="151" t="n">
        <v>46052</v>
      </c>
      <c r="B305" s="70" t="n">
        <v>242</v>
      </c>
      <c r="C305" s="115" t="inlineStr">
        <is>
          <t>SELİM İNŞAAT</t>
        </is>
      </c>
      <c r="D305" s="115" t="inlineStr">
        <is>
          <t>34 JGR 15</t>
        </is>
      </c>
      <c r="E305" s="115" t="inlineStr">
        <is>
          <t>TURAN SEVİNDİK</t>
        </is>
      </c>
      <c r="F305" s="65" t="n">
        <v>328609</v>
      </c>
      <c r="G305" s="152" t="n">
        <v>78</v>
      </c>
      <c r="H305" s="60" t="n"/>
      <c r="I305" s="156">
        <f>+I304+(G305-H305)</f>
        <v/>
      </c>
      <c r="J305" s="60" t="n"/>
      <c r="K305" s="60" t="n"/>
      <c r="L305" s="158">
        <f>+H305*J305</f>
        <v/>
      </c>
      <c r="M305" s="159">
        <f>SUM(M304+K305-L305)</f>
        <v/>
      </c>
      <c r="N305" s="60" t="n"/>
      <c r="O305" s="60" t="n"/>
      <c r="P305" s="60" t="n"/>
      <c r="Q305" s="60" t="n"/>
      <c r="R305" s="60" t="n"/>
      <c r="S305" s="60" t="n"/>
      <c r="T305" s="60" t="n"/>
      <c r="U305" s="60" t="n"/>
      <c r="V305" s="60" t="n"/>
      <c r="W305" s="60" t="n"/>
      <c r="X305" s="60" t="n"/>
      <c r="Y305" s="60" t="n"/>
      <c r="Z305" s="60" t="n"/>
    </row>
    <row r="306">
      <c r="A306" s="151" t="n">
        <v>46052</v>
      </c>
      <c r="B306" s="70" t="n">
        <v>2381</v>
      </c>
      <c r="C306" s="115" t="inlineStr">
        <is>
          <t>SELİM İNŞAAT</t>
        </is>
      </c>
      <c r="D306" s="115" t="inlineStr">
        <is>
          <t>34 FEM 934</t>
        </is>
      </c>
      <c r="E306" s="115" t="inlineStr">
        <is>
          <t>YAKUP URUCU</t>
        </is>
      </c>
      <c r="F306" s="65" t="n">
        <v>330625</v>
      </c>
      <c r="G306" s="152" t="n">
        <v>77</v>
      </c>
      <c r="H306" s="60" t="n"/>
      <c r="I306" s="156">
        <f>+I305+(G306-H306)</f>
        <v/>
      </c>
      <c r="J306" s="60" t="n"/>
      <c r="K306" s="60" t="n"/>
      <c r="L306" s="158">
        <f>+H306*J306</f>
        <v/>
      </c>
      <c r="M306" s="159">
        <f>SUM(M305+K306-L306)</f>
        <v/>
      </c>
      <c r="N306" s="60" t="n"/>
      <c r="O306" s="60" t="n"/>
      <c r="P306" s="60" t="n"/>
      <c r="Q306" s="60" t="n"/>
      <c r="R306" s="60" t="n"/>
      <c r="S306" s="60" t="n"/>
      <c r="T306" s="60" t="n"/>
      <c r="U306" s="60" t="n"/>
      <c r="V306" s="60" t="n"/>
      <c r="W306" s="60" t="n"/>
      <c r="X306" s="60" t="n"/>
      <c r="Y306" s="60" t="n"/>
      <c r="Z306" s="60" t="n"/>
    </row>
    <row r="307">
      <c r="A307" s="151" t="n">
        <v>46053</v>
      </c>
      <c r="B307" s="70" t="n">
        <v>200</v>
      </c>
      <c r="C307" s="22" t="inlineStr">
        <is>
          <t>ÜNSOY TURİZM İNŞ.SAN.VE TİC.A.Ş.</t>
        </is>
      </c>
      <c r="D307" s="115" t="n"/>
      <c r="E307" s="115" t="n"/>
      <c r="F307" s="65" t="n"/>
      <c r="G307" s="152" t="n">
        <v>31629</v>
      </c>
      <c r="H307" s="60" t="n"/>
      <c r="I307" s="156" t="n"/>
      <c r="J307" s="60" t="n">
        <v>41.516</v>
      </c>
      <c r="K307" s="73" t="n">
        <v>1575756.78</v>
      </c>
      <c r="L307" s="158" t="n"/>
      <c r="M307" s="159">
        <f>SUM(M306+K307-L307)</f>
        <v/>
      </c>
      <c r="N307" s="60" t="n"/>
      <c r="O307" s="60" t="n"/>
      <c r="P307" s="60" t="n"/>
      <c r="Q307" s="60" t="n"/>
      <c r="R307" s="60" t="n"/>
      <c r="S307" s="60" t="n"/>
      <c r="T307" s="60" t="n"/>
      <c r="U307" s="60" t="n"/>
      <c r="V307" s="60" t="n"/>
      <c r="W307" s="60" t="n"/>
      <c r="X307" s="60" t="n"/>
      <c r="Y307" s="60" t="n"/>
      <c r="Z307" s="60" t="n"/>
    </row>
    <row r="308">
      <c r="A308" s="151" t="n">
        <v>46054</v>
      </c>
      <c r="B308" s="70" t="n">
        <v>2293</v>
      </c>
      <c r="C308" s="115" t="inlineStr">
        <is>
          <t>SELİM İNŞAAT</t>
        </is>
      </c>
      <c r="D308" s="115" t="inlineStr">
        <is>
          <t>34 DSN 636</t>
        </is>
      </c>
      <c r="E308" s="115" t="inlineStr">
        <is>
          <t>MAHSUN GÜVEN</t>
        </is>
      </c>
      <c r="F308" s="65" t="n">
        <v>429830</v>
      </c>
      <c r="G308" s="152" t="n">
        <v>290</v>
      </c>
      <c r="H308" s="60" t="n"/>
      <c r="I308" s="156">
        <f>+I306+(G308-H308)</f>
        <v/>
      </c>
      <c r="J308" s="60" t="n"/>
      <c r="K308" s="60" t="n"/>
      <c r="L308" s="158">
        <f>+H308*J308</f>
        <v/>
      </c>
      <c r="M308" s="159">
        <f>SUM(M307+K308-L308)</f>
        <v/>
      </c>
      <c r="N308" s="60" t="n"/>
      <c r="O308" s="60" t="n"/>
      <c r="P308" s="60" t="n"/>
      <c r="Q308" s="60" t="n"/>
      <c r="R308" s="60" t="n"/>
      <c r="S308" s="60" t="n"/>
      <c r="T308" s="60" t="n"/>
      <c r="U308" s="60" t="n"/>
      <c r="V308" s="60" t="n"/>
      <c r="W308" s="60" t="n"/>
      <c r="X308" s="60" t="n"/>
      <c r="Y308" s="60" t="n"/>
      <c r="Z308" s="60" t="n"/>
    </row>
    <row r="309">
      <c r="A309" s="151" t="n">
        <v>46054</v>
      </c>
      <c r="B309" s="70" t="n">
        <v>1771</v>
      </c>
      <c r="C309" s="115" t="inlineStr">
        <is>
          <t>SELİM İNŞAAT</t>
        </is>
      </c>
      <c r="D309" s="115" t="inlineStr">
        <is>
          <t>34 JBA 25</t>
        </is>
      </c>
      <c r="E309" s="115" t="inlineStr">
        <is>
          <t>YAKUP URUCU</t>
        </is>
      </c>
      <c r="F309" s="65" t="n">
        <v>347249</v>
      </c>
      <c r="G309" s="152" t="n">
        <v>64</v>
      </c>
      <c r="H309" s="60" t="n"/>
      <c r="I309" s="156">
        <f>+I308+(G309-H309)</f>
        <v/>
      </c>
      <c r="J309" s="60" t="n"/>
      <c r="K309" s="60" t="n"/>
      <c r="L309" s="158">
        <f>+H309*J309</f>
        <v/>
      </c>
      <c r="M309" s="159">
        <f>SUM(M308+K309-L309)</f>
        <v/>
      </c>
      <c r="N309" s="60" t="n"/>
      <c r="O309" s="60" t="n"/>
      <c r="P309" s="60" t="n"/>
      <c r="Q309" s="60" t="n"/>
      <c r="R309" s="60" t="n"/>
      <c r="S309" s="60" t="n"/>
      <c r="T309" s="60" t="n"/>
      <c r="U309" s="60" t="n"/>
      <c r="V309" s="60" t="n"/>
      <c r="W309" s="60" t="n"/>
      <c r="X309" s="60" t="n"/>
      <c r="Y309" s="60" t="n"/>
      <c r="Z309" s="60" t="n"/>
    </row>
    <row r="310">
      <c r="A310" s="151" t="n">
        <v>46056</v>
      </c>
      <c r="B310" s="70" t="n">
        <v>4590</v>
      </c>
      <c r="C310" s="115" t="inlineStr">
        <is>
          <t>MAHMUT VİNÇ</t>
        </is>
      </c>
      <c r="D310" s="115" t="inlineStr">
        <is>
          <t>34 AH 5401</t>
        </is>
      </c>
      <c r="E310" s="115" t="inlineStr">
        <is>
          <t>YASİN DEMİR</t>
        </is>
      </c>
      <c r="F310" s="65" t="n"/>
      <c r="G310" s="152" t="n">
        <v>67</v>
      </c>
      <c r="H310" s="60" t="n"/>
      <c r="I310" s="156">
        <f>+I309+(G310-H310)</f>
        <v/>
      </c>
      <c r="J310" s="60" t="n"/>
      <c r="K310" s="60" t="n"/>
      <c r="L310" s="158">
        <f>+H310*J310</f>
        <v/>
      </c>
      <c r="M310" s="159">
        <f>SUM(M309+K310-L310)</f>
        <v/>
      </c>
      <c r="N310" s="60" t="n"/>
      <c r="O310" s="60" t="n"/>
      <c r="P310" s="60" t="n"/>
      <c r="Q310" s="60" t="n"/>
      <c r="R310" s="60" t="n"/>
      <c r="S310" s="60" t="n"/>
      <c r="T310" s="60" t="n"/>
      <c r="U310" s="60" t="n"/>
      <c r="V310" s="60" t="n"/>
      <c r="W310" s="60" t="n"/>
      <c r="X310" s="60" t="n"/>
      <c r="Y310" s="60" t="n"/>
      <c r="Z310" s="60" t="n"/>
    </row>
    <row r="311">
      <c r="A311" s="151" t="n">
        <v>46056</v>
      </c>
      <c r="B311" s="70" t="n">
        <v>1629</v>
      </c>
      <c r="C311" s="115" t="inlineStr">
        <is>
          <t>SELİM İNŞAAT</t>
        </is>
      </c>
      <c r="D311" s="115" t="inlineStr">
        <is>
          <t>34 VF 2620</t>
        </is>
      </c>
      <c r="E311" s="115" t="inlineStr">
        <is>
          <t>RECEP SELİM</t>
        </is>
      </c>
      <c r="F311" s="65" t="n">
        <v>201246</v>
      </c>
      <c r="G311" s="152" t="n">
        <v>65</v>
      </c>
      <c r="H311" s="60" t="n"/>
      <c r="I311" s="156">
        <f>+I310+(G311-H311)</f>
        <v/>
      </c>
      <c r="J311" s="60" t="n"/>
      <c r="K311" s="60" t="n"/>
      <c r="L311" s="158">
        <f>+H311*J311</f>
        <v/>
      </c>
      <c r="M311" s="159">
        <f>SUM(M310+K311-L311)</f>
        <v/>
      </c>
      <c r="N311" s="60" t="n"/>
      <c r="O311" s="60" t="n"/>
      <c r="P311" s="60" t="n"/>
      <c r="Q311" s="60" t="n"/>
      <c r="R311" s="60" t="n"/>
      <c r="S311" s="60" t="n"/>
      <c r="T311" s="60" t="n"/>
      <c r="U311" s="60" t="n"/>
      <c r="V311" s="60" t="n"/>
      <c r="W311" s="60" t="n"/>
      <c r="X311" s="60" t="n"/>
      <c r="Y311" s="60" t="n"/>
      <c r="Z311" s="60" t="n"/>
    </row>
    <row r="312">
      <c r="A312" s="151" t="n">
        <v>46057</v>
      </c>
      <c r="B312" s="70" t="n">
        <v>4767</v>
      </c>
      <c r="C312" s="115" t="inlineStr">
        <is>
          <t>SELİM İNŞAAT</t>
        </is>
      </c>
      <c r="D312" s="115" t="inlineStr">
        <is>
          <t>34 DGP 737</t>
        </is>
      </c>
      <c r="E312" s="115" t="inlineStr">
        <is>
          <t xml:space="preserve">GÜRAY KOYUNCU </t>
        </is>
      </c>
      <c r="F312" s="65" t="n">
        <v>474378</v>
      </c>
      <c r="G312" s="152" t="n">
        <v>511</v>
      </c>
      <c r="H312" s="60" t="n"/>
      <c r="I312" s="156">
        <f>+I311+(G312-H312)</f>
        <v/>
      </c>
      <c r="J312" s="60" t="n"/>
      <c r="K312" s="60" t="n"/>
      <c r="L312" s="158">
        <f>+H312*J312</f>
        <v/>
      </c>
      <c r="M312" s="159">
        <f>SUM(M311+K312-L312)</f>
        <v/>
      </c>
      <c r="N312" s="60" t="n"/>
      <c r="O312" s="60" t="n"/>
      <c r="P312" s="60" t="n"/>
      <c r="Q312" s="60" t="n"/>
      <c r="R312" s="60" t="n"/>
      <c r="S312" s="60" t="n"/>
      <c r="T312" s="60" t="n"/>
      <c r="U312" s="60" t="n"/>
      <c r="V312" s="60" t="n"/>
      <c r="W312" s="60" t="n"/>
      <c r="X312" s="60" t="n"/>
      <c r="Y312" s="60" t="n"/>
      <c r="Z312" s="60" t="n"/>
    </row>
    <row r="313">
      <c r="A313" s="151" t="n">
        <v>46057</v>
      </c>
      <c r="B313" s="70" t="n">
        <v>3865</v>
      </c>
      <c r="C313" s="115" t="inlineStr">
        <is>
          <t>SELİM İNŞAAT</t>
        </is>
      </c>
      <c r="D313" s="115" t="inlineStr">
        <is>
          <t>34 DRU 690</t>
        </is>
      </c>
      <c r="E313" s="115" t="inlineStr">
        <is>
          <t>DURSUN ALİ GÜREK</t>
        </is>
      </c>
      <c r="F313" s="65" t="n">
        <v>459184</v>
      </c>
      <c r="G313" s="152" t="n">
        <v>474</v>
      </c>
      <c r="H313" s="60" t="n"/>
      <c r="I313" s="156">
        <f>+I312+(G313-H313)</f>
        <v/>
      </c>
      <c r="J313" s="60" t="n"/>
      <c r="K313" s="60" t="n"/>
      <c r="L313" s="158">
        <f>+H313*J313</f>
        <v/>
      </c>
      <c r="M313" s="159">
        <f>SUM(M312+K313-L313)</f>
        <v/>
      </c>
      <c r="N313" s="60" t="n"/>
      <c r="O313" s="60" t="n"/>
      <c r="P313" s="60" t="n"/>
      <c r="Q313" s="60" t="n"/>
      <c r="R313" s="60" t="n"/>
      <c r="S313" s="60" t="n"/>
      <c r="T313" s="60" t="n"/>
      <c r="U313" s="60" t="n"/>
      <c r="V313" s="60" t="n"/>
      <c r="W313" s="60" t="n"/>
      <c r="X313" s="60" t="n"/>
      <c r="Y313" s="60" t="n"/>
      <c r="Z313" s="60" t="n"/>
    </row>
    <row r="314">
      <c r="A314" s="151" t="n">
        <v>46057</v>
      </c>
      <c r="B314" s="70" t="n">
        <v>1688</v>
      </c>
      <c r="C314" s="115" t="inlineStr">
        <is>
          <t>SELİM İNŞAAT</t>
        </is>
      </c>
      <c r="D314" s="115" t="inlineStr">
        <is>
          <t>34 DHH 570</t>
        </is>
      </c>
      <c r="E314" s="115" t="inlineStr">
        <is>
          <t>YASİN ÇATAKLI</t>
        </is>
      </c>
      <c r="F314" s="65" t="n">
        <v>471880</v>
      </c>
      <c r="G314" s="152" t="n">
        <v>486</v>
      </c>
      <c r="H314" s="60" t="n"/>
      <c r="I314" s="156">
        <f>+I313+(G314-H314)</f>
        <v/>
      </c>
      <c r="J314" s="60" t="n"/>
      <c r="K314" s="60" t="n"/>
      <c r="L314" s="158">
        <f>+H314*J314</f>
        <v/>
      </c>
      <c r="M314" s="159">
        <f>SUM(M313+K314-L314)</f>
        <v/>
      </c>
      <c r="N314" s="60" t="n"/>
      <c r="O314" s="60" t="n"/>
      <c r="P314" s="60" t="n"/>
      <c r="Q314" s="60" t="n"/>
      <c r="R314" s="60" t="n"/>
      <c r="S314" s="60" t="n"/>
      <c r="T314" s="60" t="n"/>
      <c r="U314" s="60" t="n"/>
      <c r="V314" s="60" t="n"/>
      <c r="W314" s="60" t="n"/>
      <c r="X314" s="60" t="n"/>
      <c r="Y314" s="60" t="n"/>
      <c r="Z314" s="60" t="n"/>
    </row>
    <row r="315">
      <c r="A315" s="151" t="n">
        <v>46057</v>
      </c>
      <c r="B315" s="70" t="n">
        <v>4110</v>
      </c>
      <c r="C315" s="115" t="inlineStr">
        <is>
          <t>SELİM İNŞAAT</t>
        </is>
      </c>
      <c r="D315" s="115" t="inlineStr">
        <is>
          <t>34 EDB 659</t>
        </is>
      </c>
      <c r="E315" s="115" t="inlineStr">
        <is>
          <t>MEHMET SAİT ANIK</t>
        </is>
      </c>
      <c r="F315" s="65" t="n">
        <v>385366</v>
      </c>
      <c r="G315" s="152" t="n">
        <v>300</v>
      </c>
      <c r="H315" s="60" t="n"/>
      <c r="I315" s="156">
        <f>+I314+(G315-H315)</f>
        <v/>
      </c>
      <c r="J315" s="60" t="n"/>
      <c r="K315" s="60" t="n"/>
      <c r="L315" s="158">
        <f>+H315*J315</f>
        <v/>
      </c>
      <c r="M315" s="159">
        <f>SUM(M314+K315-L315)</f>
        <v/>
      </c>
      <c r="N315" s="60" t="n"/>
      <c r="O315" s="60" t="n"/>
      <c r="P315" s="60" t="n"/>
      <c r="Q315" s="60" t="n"/>
      <c r="R315" s="60" t="n"/>
      <c r="S315" s="60" t="n"/>
      <c r="T315" s="60" t="n"/>
      <c r="U315" s="60" t="n"/>
      <c r="V315" s="60" t="n"/>
      <c r="W315" s="60" t="n"/>
      <c r="X315" s="60" t="n"/>
      <c r="Y315" s="60" t="n"/>
      <c r="Z315" s="60" t="n"/>
    </row>
    <row r="316">
      <c r="A316" s="151" t="n">
        <v>46057</v>
      </c>
      <c r="B316" s="70" t="n">
        <v>3826</v>
      </c>
      <c r="C316" s="115" t="inlineStr">
        <is>
          <t>SELİM İNŞAAT</t>
        </is>
      </c>
      <c r="D316" s="115" t="inlineStr">
        <is>
          <t>34 GYZ 635</t>
        </is>
      </c>
      <c r="E316" s="115" t="inlineStr">
        <is>
          <t>ADEM DENİZ</t>
        </is>
      </c>
      <c r="F316" s="65" t="n">
        <v>222362</v>
      </c>
      <c r="G316" s="152" t="n">
        <v>387</v>
      </c>
      <c r="H316" s="60" t="n"/>
      <c r="I316" s="156">
        <f>+I315+(G316-H316)</f>
        <v/>
      </c>
      <c r="J316" s="60" t="n"/>
      <c r="K316" s="60" t="n"/>
      <c r="L316" s="158">
        <f>+H316*J316</f>
        <v/>
      </c>
      <c r="M316" s="159">
        <f>SUM(M315+K316-L316)</f>
        <v/>
      </c>
      <c r="N316" s="60" t="n"/>
      <c r="O316" s="60" t="n"/>
      <c r="P316" s="60" t="n"/>
      <c r="Q316" s="60" t="n"/>
      <c r="R316" s="60" t="n"/>
      <c r="S316" s="60" t="n"/>
      <c r="T316" s="60" t="n"/>
      <c r="U316" s="60" t="n"/>
      <c r="V316" s="60" t="n"/>
      <c r="W316" s="60" t="n"/>
      <c r="X316" s="60" t="n"/>
      <c r="Y316" s="60" t="n"/>
      <c r="Z316" s="60" t="n"/>
    </row>
    <row r="317">
      <c r="A317" s="151" t="n">
        <v>46057</v>
      </c>
      <c r="B317" s="70" t="n">
        <v>507</v>
      </c>
      <c r="C317" s="115" t="inlineStr">
        <is>
          <t>SELİM İNŞAAT</t>
        </is>
      </c>
      <c r="D317" s="115" t="inlineStr">
        <is>
          <t>34 EGR 737</t>
        </is>
      </c>
      <c r="E317" s="115" t="inlineStr">
        <is>
          <t>CEM MUHTAR</t>
        </is>
      </c>
      <c r="F317" s="65" t="n">
        <v>456458</v>
      </c>
      <c r="G317" s="152" t="n">
        <v>326</v>
      </c>
      <c r="H317" s="60" t="n"/>
      <c r="I317" s="156">
        <f>+I316+(G317-H317)</f>
        <v/>
      </c>
      <c r="J317" s="60" t="n"/>
      <c r="K317" s="60" t="n"/>
      <c r="L317" s="158">
        <f>+H317*J317</f>
        <v/>
      </c>
      <c r="M317" s="159">
        <f>SUM(M316+K317-L317)</f>
        <v/>
      </c>
      <c r="N317" s="60" t="n"/>
      <c r="O317" s="60" t="n"/>
      <c r="P317" s="60" t="n"/>
      <c r="Q317" s="60" t="n"/>
      <c r="R317" s="60" t="n"/>
      <c r="S317" s="60" t="n"/>
      <c r="T317" s="60" t="n"/>
      <c r="U317" s="60" t="n"/>
      <c r="V317" s="60" t="n"/>
      <c r="W317" s="60" t="n"/>
      <c r="X317" s="60" t="n"/>
      <c r="Y317" s="60" t="n"/>
      <c r="Z317" s="60" t="n"/>
    </row>
    <row r="318">
      <c r="A318" s="151" t="n">
        <v>46057</v>
      </c>
      <c r="B318" s="70" t="n">
        <v>143</v>
      </c>
      <c r="C318" s="115" t="inlineStr">
        <is>
          <t>SELİM İNŞAAT</t>
        </is>
      </c>
      <c r="D318" s="115" t="inlineStr">
        <is>
          <t>34 FBR 771</t>
        </is>
      </c>
      <c r="E318" s="115" t="inlineStr">
        <is>
          <t>SALİH YALÇIN</t>
        </is>
      </c>
      <c r="F318" s="65" t="n">
        <v>345782</v>
      </c>
      <c r="G318" s="152" t="n">
        <v>497</v>
      </c>
      <c r="H318" s="60" t="n"/>
      <c r="I318" s="156">
        <f>+I317+(G318-H318)</f>
        <v/>
      </c>
      <c r="J318" s="60" t="n"/>
      <c r="K318" s="60" t="n"/>
      <c r="L318" s="158">
        <f>+H318*J318</f>
        <v/>
      </c>
      <c r="M318" s="159">
        <f>SUM(M317+K318-L318)</f>
        <v/>
      </c>
      <c r="N318" s="60" t="n"/>
      <c r="O318" s="60" t="n"/>
      <c r="P318" s="60" t="n"/>
      <c r="Q318" s="60" t="n"/>
      <c r="R318" s="60" t="n"/>
      <c r="S318" s="60" t="n"/>
      <c r="T318" s="60" t="n"/>
      <c r="U318" s="60" t="n"/>
      <c r="V318" s="60" t="n"/>
      <c r="W318" s="60" t="n"/>
      <c r="X318" s="60" t="n"/>
      <c r="Y318" s="60" t="n"/>
      <c r="Z318" s="60" t="n"/>
    </row>
    <row r="319">
      <c r="A319" s="151" t="n">
        <v>46057</v>
      </c>
      <c r="B319" s="70" t="n">
        <v>3384</v>
      </c>
      <c r="C319" s="115" t="inlineStr">
        <is>
          <t>SELİM İNŞAAT</t>
        </is>
      </c>
      <c r="D319" s="115" t="inlineStr">
        <is>
          <t>34 EDC 162</t>
        </is>
      </c>
      <c r="E319" s="115" t="inlineStr">
        <is>
          <t xml:space="preserve">YAKUP GÜNER </t>
        </is>
      </c>
      <c r="F319" s="65" t="n">
        <v>411210</v>
      </c>
      <c r="G319" s="152" t="n">
        <v>359</v>
      </c>
      <c r="H319" s="60" t="n"/>
      <c r="I319" s="156">
        <f>+I318+(G319-H319)</f>
        <v/>
      </c>
      <c r="J319" s="60" t="n"/>
      <c r="K319" s="60" t="n"/>
      <c r="L319" s="158">
        <f>+H319*J319</f>
        <v/>
      </c>
      <c r="M319" s="159">
        <f>SUM(M318+K319-L319)</f>
        <v/>
      </c>
      <c r="N319" s="60" t="n"/>
      <c r="O319" s="60" t="n"/>
      <c r="P319" s="60" t="n"/>
      <c r="Q319" s="60" t="n"/>
      <c r="R319" s="60" t="n"/>
      <c r="S319" s="60" t="n"/>
      <c r="T319" s="60" t="n"/>
      <c r="U319" s="60" t="n"/>
      <c r="V319" s="60" t="n"/>
      <c r="W319" s="60" t="n"/>
      <c r="X319" s="60" t="n"/>
      <c r="Y319" s="60" t="n"/>
      <c r="Z319" s="60" t="n"/>
    </row>
    <row r="320">
      <c r="A320" s="151" t="n">
        <v>46057</v>
      </c>
      <c r="B320" s="70" t="n">
        <v>4962</v>
      </c>
      <c r="C320" s="115" t="inlineStr">
        <is>
          <t>SELİM İNŞAAT</t>
        </is>
      </c>
      <c r="D320" s="115" t="inlineStr">
        <is>
          <t>34 GVZ 745</t>
        </is>
      </c>
      <c r="E320" s="115" t="inlineStr">
        <is>
          <t>MURAT DEMİRBAŞ</t>
        </is>
      </c>
      <c r="F320" s="65" t="n">
        <v>241920</v>
      </c>
      <c r="G320" s="152" t="n">
        <v>395</v>
      </c>
      <c r="H320" s="60" t="n"/>
      <c r="I320" s="156">
        <f>+I319+(G320-H320)</f>
        <v/>
      </c>
      <c r="J320" s="60" t="n"/>
      <c r="K320" s="60" t="n"/>
      <c r="L320" s="158">
        <f>+H320*J320</f>
        <v/>
      </c>
      <c r="M320" s="159">
        <f>SUM(M319+K320-L320)</f>
        <v/>
      </c>
      <c r="N320" s="60" t="n"/>
      <c r="O320" s="60" t="n"/>
      <c r="P320" s="60" t="n"/>
      <c r="Q320" s="60" t="n"/>
      <c r="R320" s="60" t="n"/>
      <c r="S320" s="60" t="n"/>
      <c r="T320" s="60" t="n"/>
      <c r="U320" s="60" t="n"/>
      <c r="V320" s="60" t="n"/>
      <c r="W320" s="60" t="n"/>
      <c r="X320" s="60" t="n"/>
      <c r="Y320" s="60" t="n"/>
      <c r="Z320" s="60" t="n"/>
    </row>
    <row r="321">
      <c r="A321" s="151" t="n">
        <v>46057</v>
      </c>
      <c r="B321" s="70" t="n">
        <v>4166</v>
      </c>
      <c r="C321" s="115" t="inlineStr">
        <is>
          <t>SELİM İNŞAAT</t>
        </is>
      </c>
      <c r="D321" s="115" t="inlineStr">
        <is>
          <t>34 FBR 748</t>
        </is>
      </c>
      <c r="E321" s="115" t="inlineStr">
        <is>
          <t>YAŞAR ÖZKAYA</t>
        </is>
      </c>
      <c r="F321" s="65" t="n">
        <v>321601</v>
      </c>
      <c r="G321" s="152" t="n">
        <v>349</v>
      </c>
      <c r="H321" s="60" t="n"/>
      <c r="I321" s="156">
        <f>+I320+(G321-H321)</f>
        <v/>
      </c>
      <c r="J321" s="60" t="n"/>
      <c r="K321" s="60" t="n"/>
      <c r="L321" s="158">
        <f>+H321*J321</f>
        <v/>
      </c>
      <c r="M321" s="159">
        <f>SUM(M320+K321-L321)</f>
        <v/>
      </c>
      <c r="N321" s="60" t="n"/>
      <c r="O321" s="60" t="n"/>
      <c r="P321" s="60" t="n"/>
      <c r="Q321" s="60" t="n"/>
      <c r="R321" s="60" t="n"/>
      <c r="S321" s="60" t="n"/>
      <c r="T321" s="60" t="n"/>
      <c r="U321" s="60" t="n"/>
      <c r="V321" s="60" t="n"/>
      <c r="W321" s="60" t="n"/>
      <c r="X321" s="60" t="n"/>
      <c r="Y321" s="60" t="n"/>
      <c r="Z321" s="60" t="n"/>
    </row>
    <row r="322">
      <c r="A322" s="151" t="n">
        <v>46057</v>
      </c>
      <c r="B322" s="70" t="n">
        <v>4918</v>
      </c>
      <c r="C322" s="115" t="inlineStr">
        <is>
          <t>SELİM İNŞAAT</t>
        </is>
      </c>
      <c r="D322" s="115" t="inlineStr">
        <is>
          <t>34 FBR 742</t>
        </is>
      </c>
      <c r="E322" s="115" t="inlineStr">
        <is>
          <t>ADNAN KOÇ</t>
        </is>
      </c>
      <c r="F322" s="65" t="n">
        <v>361858</v>
      </c>
      <c r="G322" s="152" t="n">
        <v>342</v>
      </c>
      <c r="H322" s="60" t="n"/>
      <c r="I322" s="156">
        <f>+I321+(G322-H322)</f>
        <v/>
      </c>
      <c r="J322" s="60" t="n"/>
      <c r="K322" s="60" t="n"/>
      <c r="L322" s="158">
        <f>+H322*J322</f>
        <v/>
      </c>
      <c r="M322" s="159">
        <f>SUM(M321+K322-L322)</f>
        <v/>
      </c>
      <c r="N322" s="60" t="n"/>
      <c r="O322" s="60" t="n"/>
      <c r="P322" s="60" t="n"/>
      <c r="Q322" s="60" t="n"/>
      <c r="R322" s="60" t="n"/>
      <c r="S322" s="60" t="n"/>
      <c r="T322" s="60" t="n"/>
      <c r="U322" s="60" t="n"/>
      <c r="V322" s="60" t="n"/>
      <c r="W322" s="60" t="n"/>
      <c r="X322" s="60" t="n"/>
      <c r="Y322" s="60" t="n"/>
      <c r="Z322" s="60" t="n"/>
    </row>
    <row r="323">
      <c r="A323" s="151" t="n">
        <v>46057</v>
      </c>
      <c r="B323" s="70" t="n">
        <v>899</v>
      </c>
      <c r="C323" s="115" t="inlineStr">
        <is>
          <t>SELİM İNŞAAT</t>
        </is>
      </c>
      <c r="D323" s="115" t="inlineStr">
        <is>
          <t>34 FSG 229</t>
        </is>
      </c>
      <c r="E323" s="115" t="inlineStr">
        <is>
          <t>SİNAN TANRIVERDİ</t>
        </is>
      </c>
      <c r="F323" s="65" t="n">
        <v>295702</v>
      </c>
      <c r="G323" s="152" t="n">
        <v>409</v>
      </c>
      <c r="H323" s="60" t="n"/>
      <c r="I323" s="156">
        <f>+I322+(G323-H323)</f>
        <v/>
      </c>
      <c r="J323" s="60" t="n"/>
      <c r="K323" s="60" t="n"/>
      <c r="L323" s="158">
        <f>+H323*J323</f>
        <v/>
      </c>
      <c r="M323" s="159">
        <f>SUM(M322+K323-L323)</f>
        <v/>
      </c>
      <c r="N323" s="60" t="n"/>
      <c r="O323" s="60" t="n"/>
      <c r="P323" s="60" t="n"/>
      <c r="Q323" s="60" t="n"/>
      <c r="R323" s="60" t="n"/>
      <c r="S323" s="60" t="n"/>
      <c r="T323" s="60" t="n"/>
      <c r="U323" s="60" t="n"/>
      <c r="V323" s="60" t="n"/>
      <c r="W323" s="60" t="n"/>
      <c r="X323" s="60" t="n"/>
      <c r="Y323" s="60" t="n"/>
      <c r="Z323" s="60" t="n"/>
    </row>
    <row r="324">
      <c r="A324" s="151" t="n">
        <v>46057</v>
      </c>
      <c r="B324" s="70" t="n">
        <v>3618</v>
      </c>
      <c r="C324" s="115" t="inlineStr">
        <is>
          <t>SELİM İNŞAAT</t>
        </is>
      </c>
      <c r="D324" s="115" t="inlineStr">
        <is>
          <t>34 EDB 922</t>
        </is>
      </c>
      <c r="E324" s="115" t="inlineStr">
        <is>
          <t>ÇAĞDAŞ YÜCESAN</t>
        </is>
      </c>
      <c r="F324" s="65" t="n">
        <v>404756</v>
      </c>
      <c r="G324" s="152" t="n">
        <v>469</v>
      </c>
      <c r="H324" s="60" t="n"/>
      <c r="I324" s="156">
        <f>+I323+(G324-H324)</f>
        <v/>
      </c>
      <c r="J324" s="60" t="n"/>
      <c r="K324" s="60" t="n"/>
      <c r="L324" s="158">
        <f>+H324*J324</f>
        <v/>
      </c>
      <c r="M324" s="159">
        <f>SUM(M323+K324-L324)</f>
        <v/>
      </c>
      <c r="N324" s="60" t="n"/>
      <c r="O324" s="60" t="n"/>
      <c r="P324" s="60" t="n"/>
      <c r="Q324" s="60" t="n"/>
      <c r="R324" s="60" t="n"/>
      <c r="S324" s="60" t="n"/>
      <c r="T324" s="60" t="n"/>
      <c r="U324" s="60" t="n"/>
      <c r="V324" s="60" t="n"/>
      <c r="W324" s="60" t="n"/>
      <c r="X324" s="60" t="n"/>
      <c r="Y324" s="60" t="n"/>
      <c r="Z324" s="60" t="n"/>
    </row>
    <row r="325">
      <c r="A325" s="151" t="n">
        <v>46057</v>
      </c>
      <c r="B325" s="70" t="n">
        <v>1541</v>
      </c>
      <c r="C325" s="115" t="inlineStr">
        <is>
          <t>SELİM İNŞAAT</t>
        </is>
      </c>
      <c r="D325" s="115" t="inlineStr">
        <is>
          <t>34 GUS 848</t>
        </is>
      </c>
      <c r="E325" s="115" t="inlineStr">
        <is>
          <t>SERDAR BOZKURT</t>
        </is>
      </c>
      <c r="F325" s="65" t="n">
        <v>227847</v>
      </c>
      <c r="G325" s="152" t="n">
        <v>440</v>
      </c>
      <c r="H325" s="60" t="n"/>
      <c r="I325" s="156">
        <f>+I324+(G325-H325)</f>
        <v/>
      </c>
      <c r="J325" s="60" t="n"/>
      <c r="K325" s="60" t="n"/>
      <c r="L325" s="158">
        <f>+H325*J325</f>
        <v/>
      </c>
      <c r="M325" s="159">
        <f>SUM(M324+K325-L325)</f>
        <v/>
      </c>
      <c r="N325" s="60" t="n"/>
      <c r="O325" s="60" t="n"/>
      <c r="P325" s="60" t="n"/>
      <c r="Q325" s="60" t="n"/>
      <c r="R325" s="60" t="n"/>
      <c r="S325" s="60" t="n"/>
      <c r="T325" s="60" t="n"/>
      <c r="U325" s="60" t="n"/>
      <c r="V325" s="60" t="n"/>
      <c r="W325" s="60" t="n"/>
      <c r="X325" s="60" t="n"/>
      <c r="Y325" s="60" t="n"/>
      <c r="Z325" s="60" t="n"/>
    </row>
    <row r="326">
      <c r="A326" s="151" t="n">
        <v>46057</v>
      </c>
      <c r="B326" s="70" t="n">
        <v>4814</v>
      </c>
      <c r="C326" s="115" t="inlineStr">
        <is>
          <t>SELİM İNŞAAT</t>
        </is>
      </c>
      <c r="D326" s="115" t="inlineStr">
        <is>
          <t>34 EDB 559</t>
        </is>
      </c>
      <c r="E326" s="115" t="inlineStr">
        <is>
          <t>AZİZ ORUÇ</t>
        </is>
      </c>
      <c r="F326" s="65" t="n">
        <v>360412</v>
      </c>
      <c r="G326" s="152" t="n">
        <v>415</v>
      </c>
      <c r="H326" s="60" t="n"/>
      <c r="I326" s="156">
        <f>+I325+(G326-H326)</f>
        <v/>
      </c>
      <c r="J326" s="60" t="n"/>
      <c r="K326" s="60" t="n"/>
      <c r="L326" s="158">
        <f>+H326*J326</f>
        <v/>
      </c>
      <c r="M326" s="159">
        <f>SUM(M325+K326-L326)</f>
        <v/>
      </c>
      <c r="N326" s="60" t="n"/>
      <c r="O326" s="60" t="n"/>
      <c r="P326" s="60" t="n"/>
      <c r="Q326" s="60" t="n"/>
      <c r="R326" s="60" t="n"/>
      <c r="S326" s="60" t="n"/>
      <c r="T326" s="60" t="n"/>
      <c r="U326" s="60" t="n"/>
      <c r="V326" s="60" t="n"/>
      <c r="W326" s="60" t="n"/>
      <c r="X326" s="60" t="n"/>
      <c r="Y326" s="60" t="n"/>
      <c r="Z326" s="60" t="n"/>
    </row>
    <row r="327">
      <c r="A327" s="151" t="n">
        <v>46057</v>
      </c>
      <c r="B327" s="70" t="n">
        <v>243</v>
      </c>
      <c r="C327" s="115" t="inlineStr">
        <is>
          <t>SELİM İNŞAAT</t>
        </is>
      </c>
      <c r="D327" s="115" t="inlineStr">
        <is>
          <t>34 JGR 15</t>
        </is>
      </c>
      <c r="E327" s="115" t="inlineStr">
        <is>
          <t>SERDAR BOZKURT</t>
        </is>
      </c>
      <c r="F327" s="65" t="n">
        <v>328934</v>
      </c>
      <c r="G327" s="152" t="n">
        <v>48</v>
      </c>
      <c r="H327" s="60" t="n"/>
      <c r="I327" s="156">
        <f>+I326+(G327-H327)</f>
        <v/>
      </c>
      <c r="J327" s="60" t="n"/>
      <c r="K327" s="60" t="n"/>
      <c r="L327" s="158">
        <f>+H327*J327</f>
        <v/>
      </c>
      <c r="M327" s="159">
        <f>SUM(M326+K327-L327)</f>
        <v/>
      </c>
      <c r="N327" s="60" t="n"/>
      <c r="O327" s="60" t="n"/>
      <c r="P327" s="60" t="n"/>
      <c r="Q327" s="60" t="n"/>
      <c r="R327" s="60" t="n"/>
      <c r="S327" s="60" t="n"/>
      <c r="T327" s="60" t="n"/>
      <c r="U327" s="60" t="n"/>
      <c r="V327" s="60" t="n"/>
      <c r="W327" s="60" t="n"/>
      <c r="X327" s="60" t="n"/>
      <c r="Y327" s="60" t="n"/>
      <c r="Z327" s="60" t="n"/>
    </row>
    <row r="328">
      <c r="A328" s="151" t="n">
        <v>46057</v>
      </c>
      <c r="B328" s="70" t="n">
        <v>4011</v>
      </c>
      <c r="C328" s="115" t="inlineStr">
        <is>
          <t>SELİM İNŞAAT</t>
        </is>
      </c>
      <c r="D328" s="115" t="inlineStr">
        <is>
          <t>34 AR 7743</t>
        </is>
      </c>
      <c r="E328" s="115" t="inlineStr">
        <is>
          <t>MEHMET SELİM</t>
        </is>
      </c>
      <c r="F328" s="65" t="n">
        <v>372908</v>
      </c>
      <c r="G328" s="152" t="n">
        <v>57</v>
      </c>
      <c r="H328" s="60" t="n"/>
      <c r="I328" s="156">
        <f>+I327+(G328-H328)</f>
        <v/>
      </c>
      <c r="J328" s="60" t="n"/>
      <c r="K328" s="60" t="n"/>
      <c r="L328" s="158">
        <f>+H328*J328</f>
        <v/>
      </c>
      <c r="M328" s="159">
        <f>SUM(M327+K328-L328)</f>
        <v/>
      </c>
      <c r="N328" s="60" t="n"/>
      <c r="O328" s="60" t="n"/>
      <c r="P328" s="60" t="n"/>
      <c r="Q328" s="60" t="n"/>
      <c r="R328" s="60" t="n"/>
      <c r="S328" s="60" t="n"/>
      <c r="T328" s="60" t="n"/>
      <c r="U328" s="60" t="n"/>
      <c r="V328" s="60" t="n"/>
      <c r="W328" s="60" t="n"/>
      <c r="X328" s="60" t="n"/>
      <c r="Y328" s="60" t="n"/>
      <c r="Z328" s="60" t="n"/>
    </row>
    <row r="329">
      <c r="A329" s="151" t="n">
        <v>46057</v>
      </c>
      <c r="B329" s="70" t="n">
        <v>301</v>
      </c>
      <c r="C329" s="115" t="inlineStr">
        <is>
          <t>SELİM İNŞAAT</t>
        </is>
      </c>
      <c r="D329" s="115" t="inlineStr">
        <is>
          <t>34 GER 445</t>
        </is>
      </c>
      <c r="E329" s="115" t="inlineStr">
        <is>
          <t>İRFAN DAĞLAR</t>
        </is>
      </c>
      <c r="F329" s="65" t="n">
        <v>56984</v>
      </c>
      <c r="G329" s="152" t="n">
        <v>236</v>
      </c>
      <c r="H329" s="60" t="n"/>
      <c r="I329" s="156">
        <f>+I328+(G329-H329)</f>
        <v/>
      </c>
      <c r="J329" s="60" t="n"/>
      <c r="K329" s="60" t="n"/>
      <c r="L329" s="158">
        <f>+H329*J329</f>
        <v/>
      </c>
      <c r="M329" s="159">
        <f>SUM(M328+K329-L329)</f>
        <v/>
      </c>
      <c r="N329" s="60" t="n"/>
      <c r="O329" s="60" t="n"/>
      <c r="P329" s="60" t="n"/>
      <c r="Q329" s="60" t="n"/>
      <c r="R329" s="60" t="n"/>
      <c r="S329" s="60" t="n"/>
      <c r="T329" s="60" t="n"/>
      <c r="U329" s="60" t="n"/>
      <c r="V329" s="60" t="n"/>
      <c r="W329" s="60" t="n"/>
      <c r="X329" s="60" t="n"/>
      <c r="Y329" s="60" t="n"/>
      <c r="Z329" s="60" t="n"/>
    </row>
    <row r="330">
      <c r="A330" s="151" t="n">
        <v>46057</v>
      </c>
      <c r="B330" s="70" t="n">
        <v>3723</v>
      </c>
      <c r="C330" s="115" t="inlineStr">
        <is>
          <t>SELİM İNŞAAT</t>
        </is>
      </c>
      <c r="D330" s="115" t="inlineStr">
        <is>
          <t>34 DKL 866</t>
        </is>
      </c>
      <c r="E330" s="115" t="inlineStr">
        <is>
          <t xml:space="preserve">SELİMCAN ÖNVER </t>
        </is>
      </c>
      <c r="F330" s="65" t="n">
        <v>81547</v>
      </c>
      <c r="G330" s="152" t="n">
        <v>236</v>
      </c>
      <c r="H330" s="60" t="n"/>
      <c r="I330" s="156">
        <f>+I329+(G330-H330)</f>
        <v/>
      </c>
      <c r="J330" s="60" t="n"/>
      <c r="K330" s="60" t="n"/>
      <c r="L330" s="158">
        <f>+H330*J330</f>
        <v/>
      </c>
      <c r="M330" s="159">
        <f>SUM(M329+K330-L330)</f>
        <v/>
      </c>
      <c r="N330" s="60" t="n"/>
      <c r="O330" s="60" t="n"/>
      <c r="P330" s="60" t="n"/>
      <c r="Q330" s="60" t="n"/>
      <c r="R330" s="60" t="n"/>
      <c r="S330" s="60" t="n"/>
      <c r="T330" s="60" t="n"/>
      <c r="U330" s="60" t="n"/>
      <c r="V330" s="60" t="n"/>
      <c r="W330" s="60" t="n"/>
      <c r="X330" s="60" t="n"/>
      <c r="Y330" s="60" t="n"/>
      <c r="Z330" s="60" t="n"/>
    </row>
    <row r="331">
      <c r="A331" s="151" t="n">
        <v>46057</v>
      </c>
      <c r="B331" s="70" t="n">
        <v>4459</v>
      </c>
      <c r="C331" s="115" t="inlineStr">
        <is>
          <t>SELİM İNŞAAT</t>
        </is>
      </c>
      <c r="D331" s="115" t="inlineStr">
        <is>
          <t>34 DKL 798</t>
        </is>
      </c>
      <c r="E331" s="115" t="inlineStr">
        <is>
          <t>HASAN BAYCA</t>
        </is>
      </c>
      <c r="F331" s="65" t="n">
        <v>80207</v>
      </c>
      <c r="G331" s="152" t="n">
        <v>294</v>
      </c>
      <c r="H331" s="60" t="n"/>
      <c r="I331" s="156">
        <f>+I330+(G331-H331)</f>
        <v/>
      </c>
      <c r="J331" s="60" t="n"/>
      <c r="K331" s="60" t="n"/>
      <c r="L331" s="158">
        <f>+H331*J331</f>
        <v/>
      </c>
      <c r="M331" s="159">
        <f>SUM(M330+K331-L331)</f>
        <v/>
      </c>
      <c r="N331" s="60" t="n"/>
      <c r="O331" s="60" t="n"/>
      <c r="P331" s="60" t="n"/>
      <c r="Q331" s="60" t="n"/>
      <c r="R331" s="60" t="n"/>
      <c r="S331" s="60" t="n"/>
      <c r="T331" s="60" t="n"/>
      <c r="U331" s="60" t="n"/>
      <c r="V331" s="60" t="n"/>
      <c r="W331" s="60" t="n"/>
      <c r="X331" s="60" t="n"/>
      <c r="Y331" s="60" t="n"/>
      <c r="Z331" s="60" t="n"/>
    </row>
    <row r="332">
      <c r="A332" s="151" t="n">
        <v>46057</v>
      </c>
      <c r="B332" s="70" t="n">
        <v>2744</v>
      </c>
      <c r="C332" s="115" t="inlineStr">
        <is>
          <t>METİN ERYİĞİT</t>
        </is>
      </c>
      <c r="D332" s="115" t="inlineStr">
        <is>
          <t>34 EGR 814</t>
        </is>
      </c>
      <c r="E332" s="115" t="inlineStr">
        <is>
          <t xml:space="preserve">ZİYA İNCE </t>
        </is>
      </c>
      <c r="F332" s="65" t="n">
        <v>599340</v>
      </c>
      <c r="G332" s="152" t="n">
        <v>464</v>
      </c>
      <c r="H332" s="60" t="n"/>
      <c r="I332" s="156">
        <f>+I331+(G332-H332)</f>
        <v/>
      </c>
      <c r="J332" s="60" t="n"/>
      <c r="K332" s="60" t="n"/>
      <c r="L332" s="158">
        <f>+H332*J332</f>
        <v/>
      </c>
      <c r="M332" s="159">
        <f>SUM(M331+K332-L332)</f>
        <v/>
      </c>
      <c r="N332" s="60" t="n"/>
      <c r="O332" s="60" t="n"/>
      <c r="P332" s="60" t="n"/>
      <c r="Q332" s="60" t="n"/>
      <c r="R332" s="60" t="n"/>
      <c r="S332" s="60" t="n"/>
      <c r="T332" s="60" t="n"/>
      <c r="U332" s="60" t="n"/>
      <c r="V332" s="60" t="n"/>
      <c r="W332" s="60" t="n"/>
      <c r="X332" s="60" t="n"/>
      <c r="Y332" s="60" t="n"/>
      <c r="Z332" s="60" t="n"/>
    </row>
    <row r="333">
      <c r="A333" s="151" t="n">
        <v>46057</v>
      </c>
      <c r="B333" s="70" t="n">
        <v>702</v>
      </c>
      <c r="C333" s="115" t="inlineStr">
        <is>
          <t>METİN ERYİĞİT</t>
        </is>
      </c>
      <c r="D333" s="115" t="inlineStr">
        <is>
          <t>34 EGS 013</t>
        </is>
      </c>
      <c r="E333" s="115" t="inlineStr">
        <is>
          <t>UĞUR DUMAN</t>
        </is>
      </c>
      <c r="F333" s="65" t="n">
        <v>553670</v>
      </c>
      <c r="G333" s="152" t="n">
        <v>400</v>
      </c>
      <c r="H333" s="60" t="n"/>
      <c r="I333" s="156">
        <f>+I332+(G333-H333)</f>
        <v/>
      </c>
      <c r="J333" s="60" t="n"/>
      <c r="K333" s="60" t="n"/>
      <c r="L333" s="158">
        <f>+H333*J333</f>
        <v/>
      </c>
      <c r="M333" s="159">
        <f>SUM(M332+K333-L333)</f>
        <v/>
      </c>
      <c r="N333" s="60" t="n"/>
      <c r="O333" s="60" t="n"/>
      <c r="P333" s="60" t="n"/>
      <c r="Q333" s="60" t="n"/>
      <c r="R333" s="60" t="n"/>
      <c r="S333" s="60" t="n"/>
      <c r="T333" s="60" t="n"/>
      <c r="U333" s="60" t="n"/>
      <c r="V333" s="60" t="n"/>
      <c r="W333" s="60" t="n"/>
      <c r="X333" s="60" t="n"/>
      <c r="Y333" s="60" t="n"/>
      <c r="Z333" s="60" t="n"/>
    </row>
    <row r="334">
      <c r="A334" s="151" t="n">
        <v>46057</v>
      </c>
      <c r="B334" s="70" t="n">
        <v>3796</v>
      </c>
      <c r="C334" s="115" t="inlineStr">
        <is>
          <t>METİN ERYİĞİT</t>
        </is>
      </c>
      <c r="D334" s="115" t="inlineStr">
        <is>
          <t>34 GBL 998</t>
        </is>
      </c>
      <c r="E334" s="115" t="inlineStr">
        <is>
          <t>ALİ KESKİN</t>
        </is>
      </c>
      <c r="F334" s="65" t="n">
        <v>336453</v>
      </c>
      <c r="G334" s="152" t="n">
        <v>326</v>
      </c>
      <c r="H334" s="60" t="n"/>
      <c r="I334" s="156">
        <f>+I333+(G334-H334)</f>
        <v/>
      </c>
      <c r="J334" s="60" t="n"/>
      <c r="K334" s="60" t="n"/>
      <c r="L334" s="158">
        <f>+H334*J334</f>
        <v/>
      </c>
      <c r="M334" s="159">
        <f>SUM(M333+K334-L334)</f>
        <v/>
      </c>
      <c r="N334" s="60" t="n"/>
      <c r="O334" s="60" t="n"/>
      <c r="P334" s="60" t="n"/>
      <c r="Q334" s="60" t="n"/>
      <c r="R334" s="60" t="n"/>
      <c r="S334" s="60" t="n"/>
      <c r="T334" s="60" t="n"/>
      <c r="U334" s="60" t="n"/>
      <c r="V334" s="60" t="n"/>
      <c r="W334" s="60" t="n"/>
      <c r="X334" s="60" t="n"/>
      <c r="Y334" s="60" t="n"/>
      <c r="Z334" s="60" t="n"/>
    </row>
    <row r="335">
      <c r="A335" s="151" t="n">
        <v>46057</v>
      </c>
      <c r="B335" s="70" t="n">
        <v>4250</v>
      </c>
      <c r="C335" s="115" t="inlineStr">
        <is>
          <t>HASALTUN</t>
        </is>
      </c>
      <c r="D335" s="115" t="inlineStr">
        <is>
          <t xml:space="preserve">JCB </t>
        </is>
      </c>
      <c r="E335" s="115" t="inlineStr">
        <is>
          <t>BAYRAM SANCAK</t>
        </is>
      </c>
      <c r="F335" s="65" t="n"/>
      <c r="G335" s="152" t="n">
        <v>41</v>
      </c>
      <c r="H335" s="60" t="n"/>
      <c r="I335" s="156">
        <f>+I334+(G335-H335)</f>
        <v/>
      </c>
      <c r="J335" s="60" t="n"/>
      <c r="K335" s="60" t="n"/>
      <c r="L335" s="158">
        <f>+H335*J335</f>
        <v/>
      </c>
      <c r="M335" s="159">
        <f>SUM(M334+K335-L335)</f>
        <v/>
      </c>
      <c r="N335" s="60" t="n"/>
      <c r="O335" s="60" t="n"/>
      <c r="P335" s="60" t="n"/>
      <c r="Q335" s="60" t="n"/>
      <c r="R335" s="60" t="n"/>
      <c r="S335" s="60" t="n"/>
      <c r="T335" s="60" t="n"/>
      <c r="U335" s="60" t="n"/>
      <c r="V335" s="60" t="n"/>
      <c r="W335" s="60" t="n"/>
      <c r="X335" s="60" t="n"/>
      <c r="Y335" s="60" t="n"/>
      <c r="Z335" s="60" t="n"/>
    </row>
    <row r="336">
      <c r="A336" s="151" t="n">
        <v>46057</v>
      </c>
      <c r="B336" s="70" t="n">
        <v>351</v>
      </c>
      <c r="C336" s="115" t="inlineStr">
        <is>
          <t>EVKUR</t>
        </is>
      </c>
      <c r="D336" s="115" t="inlineStr">
        <is>
          <t>KİRALIK KATO</t>
        </is>
      </c>
      <c r="E336" s="115" t="inlineStr">
        <is>
          <t>GÜNEŞ</t>
        </is>
      </c>
      <c r="F336" s="65" t="n"/>
      <c r="G336" s="152" t="n">
        <v>88</v>
      </c>
      <c r="H336" s="60" t="n"/>
      <c r="I336" s="156">
        <f>+I335+(G336-H336)</f>
        <v/>
      </c>
      <c r="J336" s="60" t="n"/>
      <c r="K336" s="60" t="n"/>
      <c r="L336" s="158">
        <f>+H336*J336</f>
        <v/>
      </c>
      <c r="M336" s="159">
        <f>SUM(M335+K336-L336)</f>
        <v/>
      </c>
      <c r="N336" s="60" t="n"/>
      <c r="O336" s="60" t="n"/>
      <c r="P336" s="60" t="n"/>
      <c r="Q336" s="60" t="n"/>
      <c r="R336" s="60" t="n"/>
      <c r="S336" s="60" t="n"/>
      <c r="T336" s="60" t="n"/>
      <c r="U336" s="60" t="n"/>
      <c r="V336" s="60" t="n"/>
      <c r="W336" s="60" t="n"/>
      <c r="X336" s="60" t="n"/>
      <c r="Y336" s="60" t="n"/>
      <c r="Z336" s="60" t="n"/>
    </row>
    <row r="337">
      <c r="A337" s="151" t="n">
        <v>46057</v>
      </c>
      <c r="B337" s="70" t="n">
        <v>352</v>
      </c>
      <c r="C337" s="115" t="inlineStr">
        <is>
          <t>HASALTUN</t>
        </is>
      </c>
      <c r="D337" s="115" t="inlineStr">
        <is>
          <t>HITACHI</t>
        </is>
      </c>
      <c r="E337" s="115" t="inlineStr">
        <is>
          <t>TURGUT</t>
        </is>
      </c>
      <c r="F337" s="65" t="n"/>
      <c r="G337" s="152" t="n">
        <v>318</v>
      </c>
      <c r="H337" s="60" t="n"/>
      <c r="I337" s="156">
        <f>+I336+(G337-H337)</f>
        <v/>
      </c>
      <c r="J337" s="60" t="n"/>
      <c r="K337" s="60" t="n"/>
      <c r="L337" s="158">
        <f>+H337*J337</f>
        <v/>
      </c>
      <c r="M337" s="159">
        <f>SUM(M336+K337-L337)</f>
        <v/>
      </c>
      <c r="N337" s="60" t="n"/>
      <c r="O337" s="60" t="n"/>
      <c r="P337" s="60" t="n"/>
      <c r="Q337" s="60" t="n"/>
      <c r="R337" s="60" t="n"/>
      <c r="S337" s="60" t="n"/>
      <c r="T337" s="60" t="n"/>
      <c r="U337" s="60" t="n"/>
      <c r="V337" s="60" t="n"/>
      <c r="W337" s="60" t="n"/>
      <c r="X337" s="60" t="n"/>
      <c r="Y337" s="60" t="n"/>
      <c r="Z337" s="60" t="n"/>
    </row>
    <row r="338">
      <c r="A338" s="151" t="n">
        <v>46057</v>
      </c>
      <c r="B338" s="70" t="n">
        <v>353</v>
      </c>
      <c r="C338" s="115" t="inlineStr">
        <is>
          <t>MEGA VARLIK</t>
        </is>
      </c>
      <c r="D338" s="115" t="inlineStr">
        <is>
          <t>KAWAZAKI</t>
        </is>
      </c>
      <c r="E338" s="115" t="inlineStr">
        <is>
          <t>RAMAZAN</t>
        </is>
      </c>
      <c r="F338" s="65" t="n"/>
      <c r="G338" s="152" t="n">
        <v>87</v>
      </c>
      <c r="H338" s="60" t="n"/>
      <c r="I338" s="156">
        <f>+I337+(G338-H338)</f>
        <v/>
      </c>
      <c r="J338" s="60" t="n"/>
      <c r="K338" s="60" t="n"/>
      <c r="L338" s="158">
        <f>+H338*J338</f>
        <v/>
      </c>
      <c r="M338" s="159">
        <f>SUM(M337+K338-L338)</f>
        <v/>
      </c>
      <c r="N338" s="60" t="n"/>
      <c r="O338" s="60" t="n"/>
      <c r="P338" s="60" t="n"/>
      <c r="Q338" s="60" t="n"/>
      <c r="R338" s="60" t="n"/>
      <c r="S338" s="60" t="n"/>
      <c r="T338" s="60" t="n"/>
      <c r="U338" s="60" t="n"/>
      <c r="V338" s="60" t="n"/>
      <c r="W338" s="60" t="n"/>
      <c r="X338" s="60" t="n"/>
      <c r="Y338" s="60" t="n"/>
      <c r="Z338" s="60" t="n"/>
    </row>
    <row r="339">
      <c r="A339" s="151" t="n">
        <v>46057</v>
      </c>
      <c r="B339" s="70" t="n">
        <v>3278</v>
      </c>
      <c r="C339" s="115" t="inlineStr">
        <is>
          <t xml:space="preserve">AZGÜN YAPI </t>
        </is>
      </c>
      <c r="D339" s="115" t="inlineStr">
        <is>
          <t xml:space="preserve">34 DTV 263 </t>
        </is>
      </c>
      <c r="E339" s="115" t="inlineStr">
        <is>
          <t>İRFAN DAĞLAR</t>
        </is>
      </c>
      <c r="F339" s="65" t="n"/>
      <c r="G339" s="152" t="n">
        <v>445</v>
      </c>
      <c r="H339" s="60" t="n"/>
      <c r="I339" s="156">
        <f>+I338+(G339-H339)</f>
        <v/>
      </c>
      <c r="J339" s="60" t="n"/>
      <c r="K339" s="60" t="n"/>
      <c r="L339" s="158">
        <f>+H339*J339</f>
        <v/>
      </c>
      <c r="M339" s="159">
        <f>SUM(M338+K339-L339)</f>
        <v/>
      </c>
      <c r="N339" s="60" t="n"/>
      <c r="O339" s="60" t="n"/>
      <c r="P339" s="60" t="n"/>
      <c r="Q339" s="60" t="n"/>
      <c r="R339" s="60" t="n"/>
      <c r="S339" s="60" t="n"/>
      <c r="T339" s="60" t="n"/>
      <c r="U339" s="60" t="n"/>
      <c r="V339" s="60" t="n"/>
      <c r="W339" s="60" t="n"/>
      <c r="X339" s="60" t="n"/>
      <c r="Y339" s="60" t="n"/>
      <c r="Z339" s="60" t="n"/>
    </row>
    <row r="340">
      <c r="A340" s="151" t="n">
        <v>46058</v>
      </c>
      <c r="B340" s="70" t="n">
        <v>3325</v>
      </c>
      <c r="C340" s="115" t="inlineStr">
        <is>
          <t>SELİM İNŞAAT</t>
        </is>
      </c>
      <c r="D340" s="115" t="inlineStr">
        <is>
          <t>34 GUS 938</t>
        </is>
      </c>
      <c r="E340" s="115" t="inlineStr">
        <is>
          <t>MEHMET KAYA</t>
        </is>
      </c>
      <c r="F340" s="65" t="n">
        <v>243153</v>
      </c>
      <c r="G340" s="152" t="n">
        <v>386</v>
      </c>
      <c r="H340" s="60" t="n"/>
      <c r="I340" s="156">
        <f>+I339+(G340-H340)</f>
        <v/>
      </c>
      <c r="J340" s="60" t="n"/>
      <c r="K340" s="60" t="n"/>
      <c r="L340" s="158">
        <f>+H340*J340</f>
        <v/>
      </c>
      <c r="M340" s="159">
        <f>SUM(M339+K340-L340)</f>
        <v/>
      </c>
      <c r="N340" s="60" t="n"/>
      <c r="O340" s="60" t="n"/>
      <c r="P340" s="60" t="n"/>
      <c r="Q340" s="60" t="n"/>
      <c r="R340" s="60" t="n"/>
      <c r="S340" s="60" t="n"/>
      <c r="T340" s="60" t="n"/>
      <c r="U340" s="60" t="n"/>
      <c r="V340" s="60" t="n"/>
      <c r="W340" s="60" t="n"/>
      <c r="X340" s="60" t="n"/>
      <c r="Y340" s="60" t="n"/>
      <c r="Z340" s="60" t="n"/>
    </row>
    <row r="341">
      <c r="A341" s="151" t="n">
        <v>46058</v>
      </c>
      <c r="B341" s="70" t="n">
        <v>508</v>
      </c>
      <c r="C341" s="115" t="inlineStr">
        <is>
          <t>SELİM İNŞAAT</t>
        </is>
      </c>
      <c r="D341" s="115" t="inlineStr">
        <is>
          <t>34 EGR 737</t>
        </is>
      </c>
      <c r="E341" s="115" t="inlineStr">
        <is>
          <t>CEM MUHTAR</t>
        </is>
      </c>
      <c r="F341" s="65" t="n">
        <v>457041</v>
      </c>
      <c r="G341" s="152" t="n">
        <v>462</v>
      </c>
      <c r="H341" s="60" t="n"/>
      <c r="I341" s="156">
        <f>+I340+(G341-H341)</f>
        <v/>
      </c>
      <c r="J341" s="60" t="n"/>
      <c r="K341" s="60" t="n"/>
      <c r="L341" s="158">
        <f>+H341*J341</f>
        <v/>
      </c>
      <c r="M341" s="159">
        <f>SUM(M340+K341-L341)</f>
        <v/>
      </c>
      <c r="N341" s="60" t="n"/>
      <c r="O341" s="60" t="n"/>
      <c r="P341" s="60" t="n"/>
      <c r="Q341" s="60" t="n"/>
      <c r="R341" s="60" t="n"/>
      <c r="S341" s="60" t="n"/>
      <c r="T341" s="60" t="n"/>
      <c r="U341" s="60" t="n"/>
      <c r="V341" s="60" t="n"/>
      <c r="W341" s="60" t="n"/>
      <c r="X341" s="60" t="n"/>
      <c r="Y341" s="60" t="n"/>
      <c r="Z341" s="60" t="n"/>
    </row>
    <row r="342">
      <c r="A342" s="151" t="n">
        <v>46058</v>
      </c>
      <c r="B342" s="70" t="n">
        <v>4869</v>
      </c>
      <c r="C342" s="115" t="inlineStr">
        <is>
          <t>SELİM İNŞAAT</t>
        </is>
      </c>
      <c r="D342" s="115" t="inlineStr">
        <is>
          <t>34 FBR 705</t>
        </is>
      </c>
      <c r="E342" s="115" t="inlineStr">
        <is>
          <t>MURAT SARI</t>
        </is>
      </c>
      <c r="F342" s="65" t="n">
        <v>358168</v>
      </c>
      <c r="G342" s="152" t="n">
        <v>442</v>
      </c>
      <c r="H342" s="60" t="n"/>
      <c r="I342" s="156">
        <f>+I341+(G342-H342)</f>
        <v/>
      </c>
      <c r="J342" s="60" t="n"/>
      <c r="K342" s="60" t="n"/>
      <c r="L342" s="158">
        <f>+H342*J342</f>
        <v/>
      </c>
      <c r="M342" s="159">
        <f>SUM(M341+K342-L342)</f>
        <v/>
      </c>
      <c r="N342" s="60" t="n"/>
      <c r="O342" s="60" t="n"/>
      <c r="P342" s="60" t="n"/>
      <c r="Q342" s="60" t="n"/>
      <c r="R342" s="60" t="n"/>
      <c r="S342" s="60" t="n"/>
      <c r="T342" s="60" t="n"/>
      <c r="U342" s="60" t="n"/>
      <c r="V342" s="60" t="n"/>
      <c r="W342" s="60" t="n"/>
      <c r="X342" s="60" t="n"/>
      <c r="Y342" s="60" t="n"/>
      <c r="Z342" s="60" t="n"/>
    </row>
    <row r="343">
      <c r="A343" s="151" t="n">
        <v>46058</v>
      </c>
      <c r="B343" s="70" t="n">
        <v>4963</v>
      </c>
      <c r="C343" s="115" t="inlineStr">
        <is>
          <t>SELİM İNŞAAT</t>
        </is>
      </c>
      <c r="D343" s="115" t="inlineStr">
        <is>
          <t>34 GVZ 745</t>
        </is>
      </c>
      <c r="E343" s="115" t="inlineStr">
        <is>
          <t>MURAT DEMİRBAŞ</t>
        </is>
      </c>
      <c r="F343" s="65" t="n">
        <v>242291</v>
      </c>
      <c r="G343" s="152" t="n">
        <v>319</v>
      </c>
      <c r="H343" s="60" t="n"/>
      <c r="I343" s="156">
        <f>+I342+(G343-H343)</f>
        <v/>
      </c>
      <c r="J343" s="60" t="n"/>
      <c r="K343" s="60" t="n"/>
      <c r="L343" s="158">
        <f>+H343*J343</f>
        <v/>
      </c>
      <c r="M343" s="159">
        <f>SUM(M342+K343-L343)</f>
        <v/>
      </c>
      <c r="N343" s="60" t="n"/>
      <c r="O343" s="60" t="n"/>
      <c r="P343" s="60" t="n"/>
      <c r="Q343" s="60" t="n"/>
      <c r="R343" s="60" t="n"/>
      <c r="S343" s="60" t="n"/>
      <c r="T343" s="60" t="n"/>
      <c r="U343" s="60" t="n"/>
      <c r="V343" s="60" t="n"/>
      <c r="W343" s="60" t="n"/>
      <c r="X343" s="60" t="n"/>
      <c r="Y343" s="60" t="n"/>
      <c r="Z343" s="60" t="n"/>
    </row>
    <row r="344">
      <c r="A344" s="151" t="n">
        <v>46058</v>
      </c>
      <c r="B344" s="70" t="n">
        <v>900</v>
      </c>
      <c r="C344" s="115" t="inlineStr">
        <is>
          <t>SELİM İNŞAAT</t>
        </is>
      </c>
      <c r="D344" s="115" t="inlineStr">
        <is>
          <t>34 FSG 229</t>
        </is>
      </c>
      <c r="E344" s="115" t="inlineStr">
        <is>
          <t>SİNAN TANRIVERDİ</t>
        </is>
      </c>
      <c r="F344" s="65" t="n">
        <v>296121</v>
      </c>
      <c r="G344" s="152" t="n">
        <v>310</v>
      </c>
      <c r="H344" s="60" t="n"/>
      <c r="I344" s="156">
        <f>+I343+(G344-H344)</f>
        <v/>
      </c>
      <c r="J344" s="60" t="n"/>
      <c r="K344" s="60" t="n"/>
      <c r="L344" s="158">
        <f>+H344*J344</f>
        <v/>
      </c>
      <c r="M344" s="159">
        <f>SUM(M343+K344-L344)</f>
        <v/>
      </c>
      <c r="N344" s="60" t="n"/>
      <c r="O344" s="60" t="n"/>
      <c r="P344" s="60" t="n"/>
      <c r="Q344" s="60" t="n"/>
      <c r="R344" s="60" t="n"/>
      <c r="S344" s="60" t="n"/>
      <c r="T344" s="60" t="n"/>
      <c r="U344" s="60" t="n"/>
      <c r="V344" s="60" t="n"/>
      <c r="W344" s="60" t="n"/>
      <c r="X344" s="60" t="n"/>
      <c r="Y344" s="60" t="n"/>
      <c r="Z344" s="60" t="n"/>
    </row>
    <row r="345">
      <c r="A345" s="151" t="n">
        <v>46058</v>
      </c>
      <c r="B345" s="70" t="n">
        <v>3219</v>
      </c>
      <c r="C345" s="115" t="inlineStr">
        <is>
          <t>SELİM İNŞAAT</t>
        </is>
      </c>
      <c r="D345" s="115" t="inlineStr">
        <is>
          <t>34 EGR 736</t>
        </is>
      </c>
      <c r="E345" s="115" t="inlineStr">
        <is>
          <t>HAKAN ÇAVUŞOĞLU</t>
        </is>
      </c>
      <c r="F345" s="65" t="n">
        <v>435108</v>
      </c>
      <c r="G345" s="152" t="n">
        <v>534</v>
      </c>
      <c r="H345" s="60" t="n"/>
      <c r="I345" s="156">
        <f>+I344+(G345-H345)</f>
        <v/>
      </c>
      <c r="J345" s="60" t="n"/>
      <c r="K345" s="60" t="n"/>
      <c r="L345" s="158">
        <f>+H345*J345</f>
        <v/>
      </c>
      <c r="M345" s="159">
        <f>SUM(M344+K345-L345)</f>
        <v/>
      </c>
      <c r="N345" s="60" t="n"/>
      <c r="O345" s="60" t="n"/>
      <c r="P345" s="60" t="n"/>
      <c r="Q345" s="60" t="n"/>
      <c r="R345" s="60" t="n"/>
      <c r="S345" s="60" t="n"/>
      <c r="T345" s="60" t="n"/>
      <c r="U345" s="60" t="n"/>
      <c r="V345" s="60" t="n"/>
      <c r="W345" s="60" t="n"/>
      <c r="X345" s="60" t="n"/>
      <c r="Y345" s="60" t="n"/>
      <c r="Z345" s="60" t="n"/>
    </row>
    <row r="346">
      <c r="A346" s="151" t="n">
        <v>46058</v>
      </c>
      <c r="B346" s="70" t="n">
        <v>2789</v>
      </c>
      <c r="C346" s="115" t="inlineStr">
        <is>
          <t>SELİM İNŞAAT</t>
        </is>
      </c>
      <c r="D346" s="115" t="inlineStr">
        <is>
          <t>34 EDC 086</t>
        </is>
      </c>
      <c r="E346" s="115" t="inlineStr">
        <is>
          <t>SEZGİN KOCAGİL</t>
        </is>
      </c>
      <c r="F346" s="65" t="n">
        <v>372496</v>
      </c>
      <c r="G346" s="152" t="n">
        <v>382</v>
      </c>
      <c r="H346" s="60" t="n"/>
      <c r="I346" s="156">
        <f>+I345+(G346-H346)</f>
        <v/>
      </c>
      <c r="J346" s="60" t="n"/>
      <c r="K346" s="60" t="n"/>
      <c r="L346" s="158">
        <f>+H346*J346</f>
        <v/>
      </c>
      <c r="M346" s="159">
        <f>SUM(M345+K346-L346)</f>
        <v/>
      </c>
      <c r="N346" s="60" t="n"/>
      <c r="O346" s="60" t="n"/>
      <c r="P346" s="60" t="n"/>
      <c r="Q346" s="60" t="n"/>
      <c r="R346" s="60" t="n"/>
      <c r="S346" s="60" t="n"/>
      <c r="T346" s="60" t="n"/>
      <c r="U346" s="60" t="n"/>
      <c r="V346" s="60" t="n"/>
      <c r="W346" s="60" t="n"/>
      <c r="X346" s="60" t="n"/>
      <c r="Y346" s="60" t="n"/>
      <c r="Z346" s="60" t="n"/>
    </row>
    <row r="347">
      <c r="A347" s="151" t="n">
        <v>46058</v>
      </c>
      <c r="B347" s="70" t="n">
        <v>2382</v>
      </c>
      <c r="C347" s="115" t="inlineStr">
        <is>
          <t>SELİM İNŞAAT</t>
        </is>
      </c>
      <c r="D347" s="115" t="inlineStr">
        <is>
          <t>34 FEM 934</t>
        </is>
      </c>
      <c r="E347" s="115" t="inlineStr">
        <is>
          <t>ABDULKERİM ERGEN</t>
        </is>
      </c>
      <c r="F347" s="65" t="n">
        <v>331040</v>
      </c>
      <c r="G347" s="152" t="n">
        <v>64</v>
      </c>
      <c r="H347" s="60" t="n"/>
      <c r="I347" s="156">
        <f>+I346+(G347-H347)</f>
        <v/>
      </c>
      <c r="J347" s="60" t="n"/>
      <c r="K347" s="60" t="n"/>
      <c r="L347" s="158">
        <f>+H347*J347</f>
        <v/>
      </c>
      <c r="M347" s="159">
        <f>SUM(M346+K347-L347)</f>
        <v/>
      </c>
      <c r="N347" s="60" t="n"/>
      <c r="O347" s="60" t="n"/>
      <c r="P347" s="60" t="n"/>
      <c r="Q347" s="60" t="n"/>
      <c r="R347" s="60" t="n"/>
      <c r="S347" s="60" t="n"/>
      <c r="T347" s="60" t="n"/>
      <c r="U347" s="60" t="n"/>
      <c r="V347" s="60" t="n"/>
      <c r="W347" s="60" t="n"/>
      <c r="X347" s="60" t="n"/>
      <c r="Y347" s="60" t="n"/>
      <c r="Z347" s="60" t="n"/>
    </row>
    <row r="348">
      <c r="A348" s="151" t="n">
        <v>46058</v>
      </c>
      <c r="B348" s="70" t="n">
        <v>2976</v>
      </c>
      <c r="C348" s="115" t="inlineStr">
        <is>
          <t>SELİM İNŞAAT</t>
        </is>
      </c>
      <c r="D348" s="115" t="inlineStr">
        <is>
          <t>34 DFE 454</t>
        </is>
      </c>
      <c r="E348" s="115" t="inlineStr">
        <is>
          <t>HÜSEYİN ALIN</t>
        </is>
      </c>
      <c r="F348" s="65" t="n">
        <v>173846</v>
      </c>
      <c r="G348" s="152" t="n">
        <v>261</v>
      </c>
      <c r="H348" s="60" t="n"/>
      <c r="I348" s="156">
        <f>+I347+(G348-H348)</f>
        <v/>
      </c>
      <c r="J348" s="60" t="n"/>
      <c r="K348" s="60" t="n"/>
      <c r="L348" s="158">
        <f>+H348*J348</f>
        <v/>
      </c>
      <c r="M348" s="159">
        <f>SUM(M347+K348-L348)</f>
        <v/>
      </c>
      <c r="N348" s="60" t="n"/>
      <c r="O348" s="60" t="n"/>
      <c r="P348" s="60" t="n"/>
      <c r="Q348" s="60" t="n"/>
      <c r="R348" s="60" t="n"/>
      <c r="S348" s="60" t="n"/>
      <c r="T348" s="60" t="n"/>
      <c r="U348" s="60" t="n"/>
      <c r="V348" s="60" t="n"/>
      <c r="W348" s="60" t="n"/>
      <c r="X348" s="60" t="n"/>
      <c r="Y348" s="60" t="n"/>
      <c r="Z348" s="60" t="n"/>
    </row>
    <row r="349">
      <c r="A349" s="151" t="n">
        <v>46058</v>
      </c>
      <c r="B349" s="70" t="n">
        <v>4591</v>
      </c>
      <c r="C349" s="115" t="inlineStr">
        <is>
          <t>AHMET SELİM TEMHA</t>
        </is>
      </c>
      <c r="D349" s="115" t="inlineStr">
        <is>
          <t>34 PGT 251</t>
        </is>
      </c>
      <c r="E349" s="115" t="inlineStr">
        <is>
          <t>ERSOY SIĞINMAZ</t>
        </is>
      </c>
      <c r="F349" s="65" t="n"/>
      <c r="G349" s="152" t="n">
        <v>56</v>
      </c>
      <c r="H349" s="60" t="n"/>
      <c r="I349" s="156">
        <f>+I348+(G349-H349)</f>
        <v/>
      </c>
      <c r="J349" s="60" t="n"/>
      <c r="K349" s="60" t="n"/>
      <c r="L349" s="158">
        <f>+H349*J349</f>
        <v/>
      </c>
      <c r="M349" s="159">
        <f>SUM(M348+K349-L349)</f>
        <v/>
      </c>
      <c r="N349" s="60" t="n"/>
      <c r="O349" s="60" t="n"/>
      <c r="P349" s="60" t="n"/>
      <c r="Q349" s="60" t="n"/>
      <c r="R349" s="60" t="n"/>
      <c r="S349" s="60" t="n"/>
      <c r="T349" s="60" t="n"/>
      <c r="U349" s="60" t="n"/>
      <c r="V349" s="60" t="n"/>
      <c r="W349" s="60" t="n"/>
      <c r="X349" s="60" t="n"/>
      <c r="Y349" s="60" t="n"/>
      <c r="Z349" s="60" t="n"/>
    </row>
    <row r="350">
      <c r="A350" s="151" t="n">
        <v>46058</v>
      </c>
      <c r="B350" s="70" t="n">
        <v>354</v>
      </c>
      <c r="C350" s="115" t="inlineStr">
        <is>
          <t>MEGA VARLIK</t>
        </is>
      </c>
      <c r="D350" s="115" t="inlineStr">
        <is>
          <t xml:space="preserve">SM350 </t>
        </is>
      </c>
      <c r="E350" s="115" t="inlineStr">
        <is>
          <t xml:space="preserve">MİKAİL BAYILMAZ </t>
        </is>
      </c>
      <c r="F350" s="65" t="n"/>
      <c r="G350" s="152" t="n">
        <v>242</v>
      </c>
      <c r="H350" s="60" t="n"/>
      <c r="I350" s="156">
        <f>+I349+(G350-H350)</f>
        <v/>
      </c>
      <c r="J350" s="60" t="n"/>
      <c r="K350" s="60" t="n"/>
      <c r="L350" s="158">
        <f>+H350*J350</f>
        <v/>
      </c>
      <c r="M350" s="159">
        <f>SUM(M349+K350-L350)</f>
        <v/>
      </c>
      <c r="N350" s="60" t="n"/>
      <c r="O350" s="60" t="n"/>
      <c r="P350" s="60" t="n"/>
      <c r="Q350" s="60" t="n"/>
      <c r="R350" s="60" t="n"/>
      <c r="S350" s="60" t="n"/>
      <c r="T350" s="60" t="n"/>
      <c r="U350" s="60" t="n"/>
      <c r="V350" s="60" t="n"/>
      <c r="W350" s="60" t="n"/>
      <c r="X350" s="60" t="n"/>
      <c r="Y350" s="60" t="n"/>
      <c r="Z350" s="60" t="n"/>
    </row>
    <row r="351">
      <c r="A351" s="151" t="n">
        <v>46058</v>
      </c>
      <c r="B351" s="70" t="n">
        <v>355</v>
      </c>
      <c r="C351" s="115" t="inlineStr">
        <is>
          <t>MEGA VARLIK</t>
        </is>
      </c>
      <c r="D351" s="115" t="inlineStr">
        <is>
          <t xml:space="preserve">SM350 </t>
        </is>
      </c>
      <c r="E351" s="115" t="inlineStr">
        <is>
          <t>TEVFİK ÖZTÜRK</t>
        </is>
      </c>
      <c r="F351" s="65" t="n"/>
      <c r="G351" s="152" t="n">
        <v>352</v>
      </c>
      <c r="H351" s="60" t="n"/>
      <c r="I351" s="156">
        <f>+I350+(G351-H351)</f>
        <v/>
      </c>
      <c r="J351" s="60" t="n"/>
      <c r="K351" s="60" t="n"/>
      <c r="L351" s="158">
        <f>+H351*J351</f>
        <v/>
      </c>
      <c r="M351" s="159">
        <f>SUM(M350+K351-L351)</f>
        <v/>
      </c>
      <c r="N351" s="60" t="n"/>
      <c r="O351" s="60" t="n"/>
      <c r="P351" s="60" t="n"/>
      <c r="Q351" s="60" t="n"/>
      <c r="R351" s="60" t="n"/>
      <c r="S351" s="60" t="n"/>
      <c r="T351" s="60" t="n"/>
      <c r="U351" s="60" t="n"/>
      <c r="V351" s="60" t="n"/>
      <c r="W351" s="60" t="n"/>
      <c r="X351" s="60" t="n"/>
      <c r="Y351" s="60" t="n"/>
      <c r="Z351" s="60" t="n"/>
    </row>
    <row r="352">
      <c r="A352" s="151" t="n">
        <v>46058</v>
      </c>
      <c r="B352" s="70" t="n">
        <v>2532</v>
      </c>
      <c r="C352" s="115" t="inlineStr">
        <is>
          <t xml:space="preserve">AZGÜN YAPI </t>
        </is>
      </c>
      <c r="D352" s="115" t="inlineStr">
        <is>
          <t>34 MKT 593</t>
        </is>
      </c>
      <c r="E352" s="115" t="inlineStr">
        <is>
          <t>TURGUT ÇATAL</t>
        </is>
      </c>
      <c r="F352" s="65" t="n"/>
      <c r="G352" s="152" t="n">
        <v>450</v>
      </c>
      <c r="H352" s="60" t="n"/>
      <c r="I352" s="156">
        <f>+I351+(G352-H352)</f>
        <v/>
      </c>
      <c r="J352" s="60" t="n"/>
      <c r="K352" s="60" t="n"/>
      <c r="L352" s="158">
        <f>+H352*J352</f>
        <v/>
      </c>
      <c r="M352" s="159">
        <f>SUM(M351+K352-L352)</f>
        <v/>
      </c>
      <c r="N352" s="60" t="n"/>
      <c r="O352" s="60" t="n"/>
      <c r="P352" s="60" t="n"/>
      <c r="Q352" s="60" t="n"/>
      <c r="R352" s="60" t="n"/>
      <c r="S352" s="60" t="n"/>
      <c r="T352" s="60" t="n"/>
      <c r="U352" s="60" t="n"/>
      <c r="V352" s="60" t="n"/>
      <c r="W352" s="60" t="n"/>
      <c r="X352" s="60" t="n"/>
      <c r="Y352" s="60" t="n"/>
      <c r="Z352" s="60" t="n"/>
    </row>
    <row r="353">
      <c r="A353" s="151" t="n">
        <v>46058</v>
      </c>
      <c r="B353" s="70" t="n">
        <v>1382</v>
      </c>
      <c r="C353" s="115" t="inlineStr">
        <is>
          <t xml:space="preserve">AZGÜN YAPI </t>
        </is>
      </c>
      <c r="D353" s="115" t="inlineStr">
        <is>
          <t>34 MKT 859</t>
        </is>
      </c>
      <c r="E353" s="115" t="inlineStr">
        <is>
          <t>ONUR CANLI</t>
        </is>
      </c>
      <c r="F353" s="65" t="n"/>
      <c r="G353" s="152" t="n">
        <v>405</v>
      </c>
      <c r="H353" s="60" t="n"/>
      <c r="I353" s="156">
        <f>+I352+(G353-H353)</f>
        <v/>
      </c>
      <c r="J353" s="60" t="n"/>
      <c r="K353" s="60" t="n"/>
      <c r="L353" s="158">
        <f>+H353*J353</f>
        <v/>
      </c>
      <c r="M353" s="159">
        <f>SUM(M352+K353-L353)</f>
        <v/>
      </c>
      <c r="N353" s="60" t="n"/>
      <c r="O353" s="60" t="n"/>
      <c r="P353" s="60" t="n"/>
      <c r="Q353" s="60" t="n"/>
      <c r="R353" s="60" t="n"/>
      <c r="S353" s="60" t="n"/>
      <c r="T353" s="60" t="n"/>
      <c r="U353" s="60" t="n"/>
      <c r="V353" s="60" t="n"/>
      <c r="W353" s="60" t="n"/>
      <c r="X353" s="60" t="n"/>
      <c r="Y353" s="60" t="n"/>
      <c r="Z353" s="60" t="n"/>
    </row>
    <row r="354">
      <c r="A354" s="151" t="n">
        <v>46059</v>
      </c>
      <c r="B354" s="70" t="n">
        <v>2691</v>
      </c>
      <c r="C354" s="115" t="inlineStr">
        <is>
          <t>SELİM İNŞAAT</t>
        </is>
      </c>
      <c r="D354" s="115" t="inlineStr">
        <is>
          <t>34 DHC 467</t>
        </is>
      </c>
      <c r="E354" s="115" t="inlineStr">
        <is>
          <t xml:space="preserve">YAKUP GÜNER </t>
        </is>
      </c>
      <c r="F354" s="65" t="n">
        <v>444915</v>
      </c>
      <c r="G354" s="152" t="n">
        <v>477</v>
      </c>
      <c r="H354" s="60" t="n"/>
      <c r="I354" s="156">
        <f>+I353+(G354-H354)</f>
        <v/>
      </c>
      <c r="J354" s="60" t="n"/>
      <c r="K354" s="60" t="n"/>
      <c r="L354" s="158">
        <f>+H354*J354</f>
        <v/>
      </c>
      <c r="M354" s="159">
        <f>SUM(M353+K354-L354)</f>
        <v/>
      </c>
      <c r="N354" s="60" t="n"/>
      <c r="O354" s="60" t="n"/>
      <c r="P354" s="60" t="n"/>
      <c r="Q354" s="60" t="n"/>
      <c r="R354" s="60" t="n"/>
      <c r="S354" s="60" t="n"/>
      <c r="T354" s="60" t="n"/>
      <c r="U354" s="60" t="n"/>
      <c r="V354" s="60" t="n"/>
      <c r="W354" s="60" t="n"/>
      <c r="X354" s="60" t="n"/>
      <c r="Y354" s="60" t="n"/>
      <c r="Z354" s="60" t="n"/>
    </row>
    <row r="355">
      <c r="A355" s="151" t="n">
        <v>46059</v>
      </c>
      <c r="B355" s="70" t="n">
        <v>4919</v>
      </c>
      <c r="C355" s="115" t="inlineStr">
        <is>
          <t>SELİM İNŞAAT</t>
        </is>
      </c>
      <c r="D355" s="115" t="inlineStr">
        <is>
          <t>34 FBR 742</t>
        </is>
      </c>
      <c r="E355" s="115" t="inlineStr">
        <is>
          <t>ADNAN KOÇ</t>
        </is>
      </c>
      <c r="F355" s="65" t="n">
        <v>362310</v>
      </c>
      <c r="G355" s="152" t="n">
        <v>313</v>
      </c>
      <c r="H355" s="60" t="n"/>
      <c r="I355" s="156">
        <f>+I354+(G355-H355)</f>
        <v/>
      </c>
      <c r="J355" s="60" t="n"/>
      <c r="K355" s="60" t="n"/>
      <c r="L355" s="158">
        <f>+H355*J355</f>
        <v/>
      </c>
      <c r="M355" s="159">
        <f>SUM(M354+K355-L355)</f>
        <v/>
      </c>
      <c r="N355" s="60" t="n"/>
      <c r="O355" s="60" t="n"/>
      <c r="P355" s="60" t="n"/>
      <c r="Q355" s="60" t="n"/>
      <c r="R355" s="60" t="n"/>
      <c r="S355" s="60" t="n"/>
      <c r="T355" s="60" t="n"/>
      <c r="U355" s="60" t="n"/>
      <c r="V355" s="60" t="n"/>
      <c r="W355" s="60" t="n"/>
      <c r="X355" s="60" t="n"/>
      <c r="Y355" s="60" t="n"/>
      <c r="Z355" s="60" t="n"/>
    </row>
    <row r="356">
      <c r="A356" s="151" t="n">
        <v>46059</v>
      </c>
      <c r="B356" s="70" t="n">
        <v>2645</v>
      </c>
      <c r="C356" s="115" t="inlineStr">
        <is>
          <t>SELİM İNŞAAT</t>
        </is>
      </c>
      <c r="D356" s="115" t="inlineStr">
        <is>
          <t>34 GU 945</t>
        </is>
      </c>
      <c r="E356" s="115" t="inlineStr">
        <is>
          <t>YAKUP URUCU</t>
        </is>
      </c>
      <c r="F356" s="65" t="n">
        <v>470416</v>
      </c>
      <c r="G356" s="152" t="n">
        <v>64</v>
      </c>
      <c r="H356" s="60" t="n"/>
      <c r="I356" s="156">
        <f>+I355+(G356-H356)</f>
        <v/>
      </c>
      <c r="J356" s="60" t="n"/>
      <c r="K356" s="60" t="n"/>
      <c r="L356" s="158">
        <f>+H356*J356</f>
        <v/>
      </c>
      <c r="M356" s="159">
        <f>SUM(M355+K356-L356)</f>
        <v/>
      </c>
      <c r="N356" s="60" t="n"/>
      <c r="O356" s="60" t="n"/>
      <c r="P356" s="60" t="n"/>
      <c r="Q356" s="60" t="n"/>
      <c r="R356" s="60" t="n"/>
      <c r="S356" s="60" t="n"/>
      <c r="T356" s="60" t="n"/>
      <c r="U356" s="60" t="n"/>
      <c r="V356" s="60" t="n"/>
      <c r="W356" s="60" t="n"/>
      <c r="X356" s="60" t="n"/>
      <c r="Y356" s="60" t="n"/>
      <c r="Z356" s="60" t="n"/>
    </row>
    <row r="357">
      <c r="A357" s="151" t="n">
        <v>46059</v>
      </c>
      <c r="B357" s="70" t="n">
        <v>2745</v>
      </c>
      <c r="C357" s="115" t="inlineStr">
        <is>
          <t>METİN ERYİĞİT</t>
        </is>
      </c>
      <c r="D357" s="115" t="inlineStr">
        <is>
          <t>34 EGR 814</t>
        </is>
      </c>
      <c r="E357" s="115" t="inlineStr">
        <is>
          <t xml:space="preserve">ZİYA İNCE </t>
        </is>
      </c>
      <c r="F357" s="65" t="n">
        <v>600271</v>
      </c>
      <c r="G357" s="152" t="n">
        <v>521</v>
      </c>
      <c r="H357" s="60" t="n"/>
      <c r="I357" s="156">
        <f>+I356+(G357-H357)</f>
        <v/>
      </c>
      <c r="J357" s="60" t="n"/>
      <c r="K357" s="60" t="n"/>
      <c r="L357" s="158">
        <f>+H357*J357</f>
        <v/>
      </c>
      <c r="M357" s="159">
        <f>SUM(M356+K357-L357)</f>
        <v/>
      </c>
      <c r="N357" s="60" t="n"/>
      <c r="O357" s="60" t="n"/>
      <c r="P357" s="60" t="n"/>
      <c r="Q357" s="60" t="n"/>
      <c r="R357" s="60" t="n"/>
      <c r="S357" s="60" t="n"/>
      <c r="T357" s="60" t="n"/>
      <c r="U357" s="60" t="n"/>
      <c r="V357" s="60" t="n"/>
      <c r="W357" s="60" t="n"/>
      <c r="X357" s="60" t="n"/>
      <c r="Y357" s="60" t="n"/>
      <c r="Z357" s="60" t="n"/>
    </row>
    <row r="358">
      <c r="A358" s="151" t="n">
        <v>46059</v>
      </c>
      <c r="B358" s="70" t="n">
        <v>703</v>
      </c>
      <c r="C358" s="115" t="inlineStr">
        <is>
          <t>METİN ERYİĞİT</t>
        </is>
      </c>
      <c r="D358" s="115" t="inlineStr">
        <is>
          <t>34 EGS 013</t>
        </is>
      </c>
      <c r="E358" s="115" t="inlineStr">
        <is>
          <t>UĞUR DUMAN</t>
        </is>
      </c>
      <c r="F358" s="65" t="n">
        <v>554692</v>
      </c>
      <c r="G358" s="152" t="n">
        <v>517</v>
      </c>
      <c r="H358" s="60" t="n"/>
      <c r="I358" s="156">
        <f>+I357+(G358-H358)</f>
        <v/>
      </c>
      <c r="J358" s="60" t="n"/>
      <c r="K358" s="60" t="n"/>
      <c r="L358" s="158">
        <f>+H358*J358</f>
        <v/>
      </c>
      <c r="M358" s="159">
        <f>SUM(M357+K358-L358)</f>
        <v/>
      </c>
      <c r="N358" s="60" t="n"/>
      <c r="O358" s="60" t="n"/>
      <c r="P358" s="60" t="n"/>
      <c r="Q358" s="60" t="n"/>
      <c r="R358" s="60" t="n"/>
      <c r="S358" s="60" t="n"/>
      <c r="T358" s="60" t="n"/>
      <c r="U358" s="60" t="n"/>
      <c r="V358" s="60" t="n"/>
      <c r="W358" s="60" t="n"/>
      <c r="X358" s="60" t="n"/>
      <c r="Y358" s="60" t="n"/>
      <c r="Z358" s="60" t="n"/>
    </row>
    <row r="359">
      <c r="A359" s="151" t="n">
        <v>46059</v>
      </c>
      <c r="B359" s="70" t="n">
        <v>3797</v>
      </c>
      <c r="C359" s="115" t="inlineStr">
        <is>
          <t>METİN ERYİĞİT</t>
        </is>
      </c>
      <c r="D359" s="115" t="inlineStr">
        <is>
          <t>34 GBL 998</t>
        </is>
      </c>
      <c r="E359" s="115" t="inlineStr">
        <is>
          <t>ALİ KESKİN</t>
        </is>
      </c>
      <c r="F359" s="65" t="n">
        <v>337495</v>
      </c>
      <c r="G359" s="152" t="n">
        <v>478</v>
      </c>
      <c r="H359" s="60" t="n"/>
      <c r="I359" s="156">
        <f>+I358+(G359-H359)</f>
        <v/>
      </c>
      <c r="J359" s="60" t="n"/>
      <c r="K359" s="60" t="n"/>
      <c r="L359" s="158">
        <f>+H359*J359</f>
        <v/>
      </c>
      <c r="M359" s="159">
        <f>SUM(M358+K359-L359)</f>
        <v/>
      </c>
      <c r="N359" s="60" t="n"/>
      <c r="O359" s="60" t="n"/>
      <c r="P359" s="60" t="n"/>
      <c r="Q359" s="60" t="n"/>
      <c r="R359" s="60" t="n"/>
      <c r="S359" s="60" t="n"/>
      <c r="T359" s="60" t="n"/>
      <c r="U359" s="60" t="n"/>
      <c r="V359" s="60" t="n"/>
      <c r="W359" s="60" t="n"/>
      <c r="X359" s="60" t="n"/>
      <c r="Y359" s="60" t="n"/>
      <c r="Z359" s="60" t="n"/>
    </row>
    <row r="360">
      <c r="A360" s="151" t="n">
        <v>46059</v>
      </c>
      <c r="B360" s="70" t="n">
        <v>356</v>
      </c>
      <c r="C360" s="115" t="inlineStr">
        <is>
          <t>SELİM İNŞAAT</t>
        </is>
      </c>
      <c r="D360" s="115" t="inlineStr">
        <is>
          <t>JENERATÖR</t>
        </is>
      </c>
      <c r="E360" s="115" t="n"/>
      <c r="F360" s="65" t="n"/>
      <c r="G360" s="152" t="n">
        <v>159</v>
      </c>
      <c r="H360" s="60" t="n"/>
      <c r="I360" s="156">
        <f>+I359+(G360-H360)</f>
        <v/>
      </c>
      <c r="J360" s="60" t="n"/>
      <c r="K360" s="60" t="n"/>
      <c r="L360" s="158">
        <f>+H360*J360</f>
        <v/>
      </c>
      <c r="M360" s="159">
        <f>SUM(M359+K360-L360)</f>
        <v/>
      </c>
      <c r="N360" s="60" t="n"/>
      <c r="O360" s="60" t="n"/>
      <c r="P360" s="60" t="n"/>
      <c r="Q360" s="60" t="n"/>
      <c r="R360" s="60" t="n"/>
      <c r="S360" s="60" t="n"/>
      <c r="T360" s="60" t="n"/>
      <c r="U360" s="60" t="n"/>
      <c r="V360" s="60" t="n"/>
      <c r="W360" s="60" t="n"/>
      <c r="X360" s="60" t="n"/>
      <c r="Y360" s="60" t="n"/>
      <c r="Z360" s="60" t="n"/>
    </row>
    <row r="361">
      <c r="A361" s="151" t="n">
        <v>46059</v>
      </c>
      <c r="B361" s="70" t="n">
        <v>357</v>
      </c>
      <c r="C361" s="115" t="inlineStr">
        <is>
          <t>SELİM İNŞAAT</t>
        </is>
      </c>
      <c r="D361" s="115" t="inlineStr">
        <is>
          <t xml:space="preserve">JCB </t>
        </is>
      </c>
      <c r="E361" s="115" t="inlineStr">
        <is>
          <t>BAYRAM SANCAK</t>
        </is>
      </c>
      <c r="F361" s="65" t="n"/>
      <c r="G361" s="152" t="n">
        <v>66</v>
      </c>
      <c r="H361" s="60" t="n"/>
      <c r="I361" s="156">
        <f>+I360+(G361-H361)</f>
        <v/>
      </c>
      <c r="J361" s="60" t="n"/>
      <c r="K361" s="60" t="n"/>
      <c r="L361" s="158">
        <f>+H361*J361</f>
        <v/>
      </c>
      <c r="M361" s="159">
        <f>SUM(M360+K361-L361)</f>
        <v/>
      </c>
      <c r="N361" s="60" t="n"/>
      <c r="O361" s="60" t="n"/>
      <c r="P361" s="60" t="n"/>
      <c r="Q361" s="60" t="n"/>
      <c r="R361" s="60" t="n"/>
      <c r="S361" s="60" t="n"/>
      <c r="T361" s="60" t="n"/>
      <c r="U361" s="60" t="n"/>
      <c r="V361" s="60" t="n"/>
      <c r="W361" s="60" t="n"/>
      <c r="X361" s="60" t="n"/>
      <c r="Y361" s="60" t="n"/>
      <c r="Z361" s="60" t="n"/>
    </row>
    <row r="362">
      <c r="A362" s="151" t="n">
        <v>46059</v>
      </c>
      <c r="B362" s="70" t="n">
        <v>3279</v>
      </c>
      <c r="C362" s="115" t="inlineStr">
        <is>
          <t xml:space="preserve">AZGÜN YAPI </t>
        </is>
      </c>
      <c r="D362" s="115" t="inlineStr">
        <is>
          <t xml:space="preserve">34 DTV 263 </t>
        </is>
      </c>
      <c r="E362" s="115" t="inlineStr">
        <is>
          <t>İRFAN DAĞLAR</t>
        </is>
      </c>
      <c r="F362" s="65" t="n"/>
      <c r="G362" s="152" t="n">
        <v>487</v>
      </c>
      <c r="H362" s="60" t="n"/>
      <c r="I362" s="156">
        <f>+I361+(G362-H362)</f>
        <v/>
      </c>
      <c r="J362" s="60" t="n"/>
      <c r="K362" s="60" t="n"/>
      <c r="L362" s="158">
        <f>+H362*J362</f>
        <v/>
      </c>
      <c r="M362" s="159">
        <f>SUM(M361+K362-L362)</f>
        <v/>
      </c>
      <c r="N362" s="60" t="n"/>
      <c r="O362" s="60" t="n"/>
      <c r="P362" s="60" t="n"/>
      <c r="Q362" s="60" t="n"/>
      <c r="R362" s="60" t="n"/>
      <c r="S362" s="60" t="n"/>
      <c r="T362" s="60" t="n"/>
      <c r="U362" s="60" t="n"/>
      <c r="V362" s="60" t="n"/>
      <c r="W362" s="60" t="n"/>
      <c r="X362" s="60" t="n"/>
      <c r="Y362" s="60" t="n"/>
      <c r="Z362" s="60" t="n"/>
    </row>
    <row r="363">
      <c r="A363" s="151" t="n">
        <v>46060</v>
      </c>
      <c r="B363" s="70" t="n">
        <v>256</v>
      </c>
      <c r="C363" s="115" t="inlineStr">
        <is>
          <t>SELİM İNŞAAT</t>
        </is>
      </c>
      <c r="D363" s="115" t="inlineStr">
        <is>
          <t>34 DHC 393</t>
        </is>
      </c>
      <c r="E363" s="115" t="inlineStr">
        <is>
          <t>ATA KIZMAZ</t>
        </is>
      </c>
      <c r="F363" s="65" t="n">
        <v>460637</v>
      </c>
      <c r="G363" s="152" t="n">
        <v>480</v>
      </c>
      <c r="H363" s="60" t="n"/>
      <c r="I363" s="156">
        <f>+I362+(G363-H363)</f>
        <v/>
      </c>
      <c r="J363" s="60" t="n"/>
      <c r="K363" s="60" t="n"/>
      <c r="L363" s="158">
        <f>+H363*J363</f>
        <v/>
      </c>
      <c r="M363" s="159">
        <f>SUM(M362+K363-L363)</f>
        <v/>
      </c>
      <c r="N363" s="60" t="n"/>
      <c r="O363" s="60" t="n"/>
      <c r="P363" s="60" t="n"/>
      <c r="Q363" s="60" t="n"/>
      <c r="R363" s="60" t="n"/>
      <c r="S363" s="60" t="n"/>
      <c r="T363" s="60" t="n"/>
      <c r="U363" s="60" t="n"/>
      <c r="V363" s="60" t="n"/>
      <c r="W363" s="60" t="n"/>
      <c r="X363" s="60" t="n"/>
      <c r="Y363" s="60" t="n"/>
      <c r="Z363" s="60" t="n"/>
    </row>
    <row r="364">
      <c r="A364" s="151" t="n">
        <v>46060</v>
      </c>
      <c r="B364" s="70" t="n">
        <v>3866</v>
      </c>
      <c r="C364" s="115" t="inlineStr">
        <is>
          <t>SELİM İNŞAAT</t>
        </is>
      </c>
      <c r="D364" s="115" t="inlineStr">
        <is>
          <t>34 DRU 690</t>
        </is>
      </c>
      <c r="E364" s="115" t="inlineStr">
        <is>
          <t>DURSUN ALİ GÜREK</t>
        </is>
      </c>
      <c r="F364" s="65" t="n">
        <v>459907</v>
      </c>
      <c r="G364" s="152" t="n">
        <v>508</v>
      </c>
      <c r="H364" s="60" t="n"/>
      <c r="I364" s="156">
        <f>+I363+(G364-H364)</f>
        <v/>
      </c>
      <c r="J364" s="60" t="n"/>
      <c r="K364" s="60" t="n"/>
      <c r="L364" s="158">
        <f>+H364*J364</f>
        <v/>
      </c>
      <c r="M364" s="159">
        <f>SUM(M363+K364-L364)</f>
        <v/>
      </c>
      <c r="N364" s="60" t="n"/>
      <c r="O364" s="60" t="n"/>
      <c r="P364" s="60" t="n"/>
      <c r="Q364" s="60" t="n"/>
      <c r="R364" s="60" t="n"/>
      <c r="S364" s="60" t="n"/>
      <c r="T364" s="60" t="n"/>
      <c r="U364" s="60" t="n"/>
      <c r="V364" s="60" t="n"/>
      <c r="W364" s="60" t="n"/>
      <c r="X364" s="60" t="n"/>
      <c r="Y364" s="60" t="n"/>
      <c r="Z364" s="60" t="n"/>
    </row>
    <row r="365">
      <c r="A365" s="151" t="n">
        <v>46060</v>
      </c>
      <c r="B365" s="70" t="n">
        <v>3326</v>
      </c>
      <c r="C365" s="115" t="inlineStr">
        <is>
          <t>SELİM İNŞAAT</t>
        </is>
      </c>
      <c r="D365" s="115" t="inlineStr">
        <is>
          <t>34 GUS 938</t>
        </is>
      </c>
      <c r="E365" s="115" t="inlineStr">
        <is>
          <t>MEHMET KAYA</t>
        </is>
      </c>
      <c r="F365" s="65" t="n">
        <v>243453</v>
      </c>
      <c r="G365" s="152" t="n">
        <v>213</v>
      </c>
      <c r="H365" s="60" t="n"/>
      <c r="I365" s="156">
        <f>+I364+(G365-H365)</f>
        <v/>
      </c>
      <c r="J365" s="60" t="n"/>
      <c r="K365" s="60" t="n"/>
      <c r="L365" s="158">
        <f>+H365*J365</f>
        <v/>
      </c>
      <c r="M365" s="159">
        <f>SUM(M364+K365-L365)</f>
        <v/>
      </c>
      <c r="N365" s="60" t="n"/>
      <c r="O365" s="60" t="n"/>
      <c r="P365" s="60" t="n"/>
      <c r="Q365" s="60" t="n"/>
      <c r="R365" s="60" t="n"/>
      <c r="S365" s="60" t="n"/>
      <c r="T365" s="60" t="n"/>
      <c r="U365" s="60" t="n"/>
      <c r="V365" s="60" t="n"/>
      <c r="W365" s="60" t="n"/>
      <c r="X365" s="60" t="n"/>
      <c r="Y365" s="60" t="n"/>
      <c r="Z365" s="60" t="n"/>
    </row>
    <row r="366">
      <c r="A366" s="151" t="n">
        <v>46060</v>
      </c>
      <c r="B366" s="70" t="n">
        <v>5</v>
      </c>
      <c r="C366" s="115" t="inlineStr">
        <is>
          <t>SELİM İNŞAAT</t>
        </is>
      </c>
      <c r="D366" s="115" t="inlineStr">
        <is>
          <t xml:space="preserve">34 GVZ 268 </t>
        </is>
      </c>
      <c r="E366" s="115" t="inlineStr">
        <is>
          <t>KERİM KARAMAN</t>
        </is>
      </c>
      <c r="F366" s="65" t="n">
        <v>247160</v>
      </c>
      <c r="G366" s="152" t="n">
        <v>383</v>
      </c>
      <c r="H366" s="60" t="n"/>
      <c r="I366" s="156">
        <f>+I365+(G366-H366)</f>
        <v/>
      </c>
      <c r="J366" s="60" t="n"/>
      <c r="K366" s="60" t="n"/>
      <c r="L366" s="158">
        <f>+H366*J366</f>
        <v/>
      </c>
      <c r="M366" s="159">
        <f>SUM(M365+K366-L366)</f>
        <v/>
      </c>
      <c r="N366" s="60" t="n"/>
      <c r="O366" s="60" t="n"/>
      <c r="P366" s="60" t="n"/>
      <c r="Q366" s="60" t="n"/>
      <c r="R366" s="60" t="n"/>
      <c r="S366" s="60" t="n"/>
      <c r="T366" s="60" t="n"/>
      <c r="U366" s="60" t="n"/>
      <c r="V366" s="60" t="n"/>
      <c r="W366" s="60" t="n"/>
      <c r="X366" s="60" t="n"/>
      <c r="Y366" s="60" t="n"/>
      <c r="Z366" s="60" t="n"/>
    </row>
    <row r="367">
      <c r="A367" s="151" t="n">
        <v>46060</v>
      </c>
      <c r="B367" s="70" t="n">
        <v>2294</v>
      </c>
      <c r="C367" s="115" t="inlineStr">
        <is>
          <t>SELİM İNŞAAT</t>
        </is>
      </c>
      <c r="D367" s="115" t="inlineStr">
        <is>
          <t>34 DSN 636</t>
        </is>
      </c>
      <c r="E367" s="115" t="inlineStr">
        <is>
          <t>MAHSUN GÜVEN</t>
        </is>
      </c>
      <c r="F367" s="65" t="n">
        <v>430221</v>
      </c>
      <c r="G367" s="152" t="n">
        <v>457</v>
      </c>
      <c r="H367" s="60" t="n"/>
      <c r="I367" s="156">
        <f>+I366+(G367-H367)</f>
        <v/>
      </c>
      <c r="J367" s="60" t="n"/>
      <c r="K367" s="60" t="n"/>
      <c r="L367" s="158">
        <f>+H367*J367</f>
        <v/>
      </c>
      <c r="M367" s="159">
        <f>SUM(M366+K367-L367)</f>
        <v/>
      </c>
      <c r="N367" s="60" t="n"/>
      <c r="O367" s="60" t="n"/>
      <c r="P367" s="60" t="n"/>
      <c r="Q367" s="60" t="n"/>
      <c r="R367" s="60" t="n"/>
      <c r="S367" s="60" t="n"/>
      <c r="T367" s="60" t="n"/>
      <c r="U367" s="60" t="n"/>
      <c r="V367" s="60" t="n"/>
      <c r="W367" s="60" t="n"/>
      <c r="X367" s="60" t="n"/>
      <c r="Y367" s="60" t="n"/>
      <c r="Z367" s="60" t="n"/>
    </row>
    <row r="368">
      <c r="A368" s="151" t="n">
        <v>46060</v>
      </c>
      <c r="B368" s="70" t="n">
        <v>3039</v>
      </c>
      <c r="C368" s="115" t="inlineStr">
        <is>
          <t>SELİM İNŞAAT</t>
        </is>
      </c>
      <c r="D368" s="115" t="inlineStr">
        <is>
          <t>34 FBR 781</t>
        </is>
      </c>
      <c r="E368" s="115" t="inlineStr">
        <is>
          <t>MEVLÜT POLAT</t>
        </is>
      </c>
      <c r="F368" s="65" t="n">
        <v>358722</v>
      </c>
      <c r="G368" s="152" t="n">
        <v>460</v>
      </c>
      <c r="H368" s="60" t="n"/>
      <c r="I368" s="156">
        <f>+I367+(G368-H368)</f>
        <v/>
      </c>
      <c r="J368" s="60" t="n"/>
      <c r="K368" s="60" t="n"/>
      <c r="L368" s="158">
        <f>+H368*J368</f>
        <v/>
      </c>
      <c r="M368" s="159">
        <f>SUM(M367+K368-L368)</f>
        <v/>
      </c>
      <c r="N368" s="60" t="n"/>
      <c r="O368" s="60" t="n"/>
      <c r="P368" s="60" t="n"/>
      <c r="Q368" s="60" t="n"/>
      <c r="R368" s="60" t="n"/>
      <c r="S368" s="60" t="n"/>
      <c r="T368" s="60" t="n"/>
      <c r="U368" s="60" t="n"/>
      <c r="V368" s="60" t="n"/>
      <c r="W368" s="60" t="n"/>
      <c r="X368" s="60" t="n"/>
      <c r="Y368" s="60" t="n"/>
      <c r="Z368" s="60" t="n"/>
    </row>
    <row r="369">
      <c r="A369" s="151" t="n">
        <v>46060</v>
      </c>
      <c r="B369" s="70" t="n">
        <v>4815</v>
      </c>
      <c r="C369" s="115" t="inlineStr">
        <is>
          <t>SELİM İNŞAAT</t>
        </is>
      </c>
      <c r="D369" s="115" t="inlineStr">
        <is>
          <t>34 EDB 559</t>
        </is>
      </c>
      <c r="E369" s="115" t="inlineStr">
        <is>
          <t>AZİZ ORUÇ</t>
        </is>
      </c>
      <c r="F369" s="65" t="n">
        <v>361035</v>
      </c>
      <c r="G369" s="152" t="n">
        <v>431</v>
      </c>
      <c r="H369" s="60" t="n"/>
      <c r="I369" s="156">
        <f>+I368+(G369-H369)</f>
        <v/>
      </c>
      <c r="J369" s="60" t="n"/>
      <c r="K369" s="60" t="n"/>
      <c r="L369" s="158">
        <f>+H369*J369</f>
        <v/>
      </c>
      <c r="M369" s="159">
        <f>SUM(M368+K369-L369)</f>
        <v/>
      </c>
      <c r="N369" s="60" t="n"/>
      <c r="O369" s="60" t="n"/>
      <c r="P369" s="60" t="n"/>
      <c r="Q369" s="60" t="n"/>
      <c r="R369" s="60" t="n"/>
      <c r="S369" s="60" t="n"/>
      <c r="T369" s="60" t="n"/>
      <c r="U369" s="60" t="n"/>
      <c r="V369" s="60" t="n"/>
      <c r="W369" s="60" t="n"/>
      <c r="X369" s="60" t="n"/>
      <c r="Y369" s="60" t="n"/>
      <c r="Z369" s="60" t="n"/>
    </row>
    <row r="370">
      <c r="A370" s="151" t="n">
        <v>46060</v>
      </c>
      <c r="B370" s="70" t="n">
        <v>4507</v>
      </c>
      <c r="C370" s="115" t="inlineStr">
        <is>
          <t>SELİM İNŞAAT</t>
        </is>
      </c>
      <c r="D370" s="115" t="inlineStr">
        <is>
          <t>34 DTB 352</t>
        </is>
      </c>
      <c r="E370" s="115" t="inlineStr">
        <is>
          <t>ENGİN DENİZ</t>
        </is>
      </c>
      <c r="F370" s="65" t="n">
        <v>472475</v>
      </c>
      <c r="G370" s="152" t="n">
        <v>437</v>
      </c>
      <c r="H370" s="60" t="n"/>
      <c r="I370" s="156">
        <f>+I369+(G370-H370)</f>
        <v/>
      </c>
      <c r="J370" s="60" t="n"/>
      <c r="K370" s="60" t="n"/>
      <c r="L370" s="158">
        <f>+H370*J370</f>
        <v/>
      </c>
      <c r="M370" s="159">
        <f>SUM(M369+K370-L370)</f>
        <v/>
      </c>
      <c r="N370" s="60" t="n"/>
      <c r="O370" s="60" t="n"/>
      <c r="P370" s="60" t="n"/>
      <c r="Q370" s="60" t="n"/>
      <c r="R370" s="60" t="n"/>
      <c r="S370" s="60" t="n"/>
      <c r="T370" s="60" t="n"/>
      <c r="U370" s="60" t="n"/>
      <c r="V370" s="60" t="n"/>
      <c r="W370" s="60" t="n"/>
      <c r="X370" s="60" t="n"/>
      <c r="Y370" s="60" t="n"/>
      <c r="Z370" s="60" t="n"/>
    </row>
    <row r="371">
      <c r="A371" s="151" t="n">
        <v>46060</v>
      </c>
      <c r="B371" s="70" t="n">
        <v>3482</v>
      </c>
      <c r="C371" s="115" t="inlineStr">
        <is>
          <t>SELİM İNŞAAT</t>
        </is>
      </c>
      <c r="D371" s="115" t="inlineStr">
        <is>
          <t>34 EDB 754</t>
        </is>
      </c>
      <c r="E371" s="115" t="inlineStr">
        <is>
          <t>MUSTAFA KAYA</t>
        </is>
      </c>
      <c r="F371" s="65" t="n">
        <v>368319</v>
      </c>
      <c r="G371" s="152" t="n">
        <v>421</v>
      </c>
      <c r="H371" s="60" t="n"/>
      <c r="I371" s="156">
        <f>+I370+(G371-H371)</f>
        <v/>
      </c>
      <c r="J371" s="60" t="n"/>
      <c r="K371" s="60" t="n"/>
      <c r="L371" s="158">
        <f>+H371*J371</f>
        <v/>
      </c>
      <c r="M371" s="159">
        <f>SUM(M370+K371-L371)</f>
        <v/>
      </c>
      <c r="N371" s="60" t="n"/>
      <c r="O371" s="60" t="n"/>
      <c r="P371" s="60" t="n"/>
      <c r="Q371" s="60" t="n"/>
      <c r="R371" s="60" t="n"/>
      <c r="S371" s="60" t="n"/>
      <c r="T371" s="60" t="n"/>
      <c r="U371" s="60" t="n"/>
      <c r="V371" s="60" t="n"/>
      <c r="W371" s="60" t="n"/>
      <c r="X371" s="60" t="n"/>
      <c r="Y371" s="60" t="n"/>
      <c r="Z371" s="60" t="n"/>
    </row>
    <row r="372">
      <c r="A372" s="151" t="n">
        <v>46060</v>
      </c>
      <c r="B372" s="70" t="n">
        <v>2588</v>
      </c>
      <c r="C372" s="115" t="inlineStr">
        <is>
          <t>SELİM İNŞAAT</t>
        </is>
      </c>
      <c r="D372" s="115" t="inlineStr">
        <is>
          <t>34 GER 028</t>
        </is>
      </c>
      <c r="E372" s="115" t="inlineStr">
        <is>
          <t>ABDULKERİM ERGEN</t>
        </is>
      </c>
      <c r="F372" s="65" t="n">
        <v>59488</v>
      </c>
      <c r="G372" s="152" t="n">
        <v>278</v>
      </c>
      <c r="H372" s="60" t="n"/>
      <c r="I372" s="156">
        <f>+I371+(G372-H372)</f>
        <v/>
      </c>
      <c r="J372" s="60" t="n"/>
      <c r="K372" s="60" t="n"/>
      <c r="L372" s="158">
        <f>+H372*J372</f>
        <v/>
      </c>
      <c r="M372" s="159">
        <f>SUM(M371+K372-L372)</f>
        <v/>
      </c>
      <c r="N372" s="60" t="n"/>
      <c r="O372" s="60" t="n"/>
      <c r="P372" s="60" t="n"/>
      <c r="Q372" s="60" t="n"/>
      <c r="R372" s="60" t="n"/>
      <c r="S372" s="60" t="n"/>
      <c r="T372" s="60" t="n"/>
      <c r="U372" s="60" t="n"/>
      <c r="V372" s="60" t="n"/>
      <c r="W372" s="60" t="n"/>
      <c r="X372" s="60" t="n"/>
      <c r="Y372" s="60" t="n"/>
      <c r="Z372" s="60" t="n"/>
    </row>
    <row r="373">
      <c r="A373" s="151" t="n">
        <v>46060</v>
      </c>
      <c r="B373" s="70" t="n">
        <v>4592</v>
      </c>
      <c r="C373" s="115" t="inlineStr">
        <is>
          <t>AHMET SELİM TEMHA</t>
        </is>
      </c>
      <c r="D373" s="115" t="inlineStr">
        <is>
          <t>34 PGT 251</t>
        </is>
      </c>
      <c r="E373" s="115" t="inlineStr">
        <is>
          <t>ERSOY SIĞINMAZ</t>
        </is>
      </c>
      <c r="F373" s="65" t="n"/>
      <c r="G373" s="152" t="n">
        <v>30</v>
      </c>
      <c r="H373" s="60" t="n"/>
      <c r="I373" s="156">
        <f>+I372+(G373-H373)</f>
        <v/>
      </c>
      <c r="J373" s="60" t="n"/>
      <c r="K373" s="60" t="n"/>
      <c r="L373" s="158">
        <f>+H373*J373</f>
        <v/>
      </c>
      <c r="M373" s="159">
        <f>SUM(M372+K373-L373)</f>
        <v/>
      </c>
      <c r="N373" s="60" t="n"/>
      <c r="O373" s="60" t="n"/>
      <c r="P373" s="60" t="n"/>
      <c r="Q373" s="60" t="n"/>
      <c r="R373" s="60" t="n"/>
      <c r="S373" s="60" t="n"/>
      <c r="T373" s="60" t="n"/>
      <c r="U373" s="60" t="n"/>
      <c r="V373" s="60" t="n"/>
      <c r="W373" s="60" t="n"/>
      <c r="X373" s="60" t="n"/>
      <c r="Y373" s="60" t="n"/>
      <c r="Z373" s="60" t="n"/>
    </row>
    <row r="374">
      <c r="A374" s="151" t="n">
        <v>46060</v>
      </c>
      <c r="B374" s="70" t="n">
        <v>601</v>
      </c>
      <c r="C374" s="115" t="inlineStr">
        <is>
          <t>SELİM İNŞAAT</t>
        </is>
      </c>
      <c r="D374" s="115" t="inlineStr">
        <is>
          <t>34 FVU 827</t>
        </is>
      </c>
      <c r="E374" s="115" t="inlineStr">
        <is>
          <t>YILMAZ ÇELEBİ</t>
        </is>
      </c>
      <c r="F374" s="65" t="n"/>
      <c r="G374" s="152" t="n">
        <v>38</v>
      </c>
      <c r="H374" s="60" t="n"/>
      <c r="I374" s="156">
        <f>+I373+(G374-H374)</f>
        <v/>
      </c>
      <c r="J374" s="60" t="n"/>
      <c r="K374" s="60" t="n"/>
      <c r="L374" s="158">
        <f>+H374*J374</f>
        <v/>
      </c>
      <c r="M374" s="159">
        <f>SUM(M373+K374-L374)</f>
        <v/>
      </c>
      <c r="N374" s="60" t="n"/>
      <c r="O374" s="60" t="n"/>
      <c r="P374" s="60" t="n"/>
      <c r="Q374" s="60" t="n"/>
      <c r="R374" s="60" t="n"/>
      <c r="S374" s="60" t="n"/>
      <c r="T374" s="60" t="n"/>
      <c r="U374" s="60" t="n"/>
      <c r="V374" s="60" t="n"/>
      <c r="W374" s="60" t="n"/>
      <c r="X374" s="60" t="n"/>
      <c r="Y374" s="60" t="n"/>
      <c r="Z374" s="60" t="n"/>
    </row>
    <row r="375">
      <c r="A375" s="151" t="n">
        <v>46060</v>
      </c>
      <c r="B375" s="70" t="n">
        <v>358</v>
      </c>
      <c r="C375" s="115" t="inlineStr">
        <is>
          <t>SELİM İNŞAAT</t>
        </is>
      </c>
      <c r="D375" s="115" t="inlineStr">
        <is>
          <t>MANITO</t>
        </is>
      </c>
      <c r="E375" s="115" t="inlineStr">
        <is>
          <t>MUHAMMED</t>
        </is>
      </c>
      <c r="F375" s="65" t="n"/>
      <c r="G375" s="152" t="n">
        <v>166</v>
      </c>
      <c r="H375" s="60" t="n"/>
      <c r="I375" s="156">
        <f>+I374+(G375-H375)</f>
        <v/>
      </c>
      <c r="J375" s="60" t="n"/>
      <c r="K375" s="60" t="n"/>
      <c r="L375" s="158">
        <f>+H375*J375</f>
        <v/>
      </c>
      <c r="M375" s="159">
        <f>SUM(M374+K375-L375)</f>
        <v/>
      </c>
      <c r="N375" s="60" t="n"/>
      <c r="O375" s="60" t="n"/>
      <c r="P375" s="60" t="n"/>
      <c r="Q375" s="60" t="n"/>
      <c r="R375" s="60" t="n"/>
      <c r="S375" s="60" t="n"/>
      <c r="T375" s="60" t="n"/>
      <c r="U375" s="60" t="n"/>
      <c r="V375" s="60" t="n"/>
      <c r="W375" s="60" t="n"/>
      <c r="X375" s="60" t="n"/>
      <c r="Y375" s="60" t="n"/>
      <c r="Z375" s="60" t="n"/>
    </row>
    <row r="376">
      <c r="A376" s="151" t="n">
        <v>46060</v>
      </c>
      <c r="B376" s="70" t="n">
        <v>359</v>
      </c>
      <c r="C376" s="115" t="inlineStr">
        <is>
          <t>SELİM İNŞAAT</t>
        </is>
      </c>
      <c r="D376" s="115" t="inlineStr">
        <is>
          <t>KAWAZAKI</t>
        </is>
      </c>
      <c r="E376" s="115" t="inlineStr">
        <is>
          <t>RAMAZAN</t>
        </is>
      </c>
      <c r="F376" s="65" t="n"/>
      <c r="G376" s="152" t="n">
        <v>164</v>
      </c>
      <c r="H376" s="60" t="n"/>
      <c r="I376" s="156">
        <f>+I375+(G376-H376)</f>
        <v/>
      </c>
      <c r="J376" s="60" t="n"/>
      <c r="K376" s="60" t="n"/>
      <c r="L376" s="158">
        <f>+H376*J376</f>
        <v/>
      </c>
      <c r="M376" s="159">
        <f>SUM(M375+K376-L376)</f>
        <v/>
      </c>
      <c r="N376" s="60" t="n"/>
      <c r="O376" s="60" t="n"/>
      <c r="P376" s="60" t="n"/>
      <c r="Q376" s="60" t="n"/>
      <c r="R376" s="60" t="n"/>
      <c r="S376" s="60" t="n"/>
      <c r="T376" s="60" t="n"/>
      <c r="U376" s="60" t="n"/>
      <c r="V376" s="60" t="n"/>
      <c r="W376" s="60" t="n"/>
      <c r="X376" s="60" t="n"/>
      <c r="Y376" s="60" t="n"/>
      <c r="Z376" s="60" t="n"/>
    </row>
    <row r="377">
      <c r="A377" s="151" t="n">
        <v>46060</v>
      </c>
      <c r="B377" s="70" t="n">
        <v>360</v>
      </c>
      <c r="C377" s="115" t="inlineStr">
        <is>
          <t>HASALTUN</t>
        </is>
      </c>
      <c r="D377" s="115" t="inlineStr">
        <is>
          <t>KAWAZAKI</t>
        </is>
      </c>
      <c r="E377" s="115" t="inlineStr">
        <is>
          <t>RAMAZAN</t>
        </is>
      </c>
      <c r="F377" s="65" t="n"/>
      <c r="G377" s="152" t="n">
        <v>338</v>
      </c>
      <c r="H377" s="60" t="n"/>
      <c r="I377" s="156">
        <f>+I376+(G377-H377)</f>
        <v/>
      </c>
      <c r="J377" s="60" t="n"/>
      <c r="K377" s="60" t="n"/>
      <c r="L377" s="158">
        <f>+H377*J377</f>
        <v/>
      </c>
      <c r="M377" s="159">
        <f>SUM(M376+K377-L377)</f>
        <v/>
      </c>
      <c r="N377" s="60" t="n"/>
      <c r="O377" s="60" t="n"/>
      <c r="P377" s="60" t="n"/>
      <c r="Q377" s="60" t="n"/>
      <c r="R377" s="60" t="n"/>
      <c r="S377" s="60" t="n"/>
      <c r="T377" s="60" t="n"/>
      <c r="U377" s="60" t="n"/>
      <c r="V377" s="60" t="n"/>
      <c r="W377" s="60" t="n"/>
      <c r="X377" s="60" t="n"/>
      <c r="Y377" s="60" t="n"/>
      <c r="Z377" s="60" t="n"/>
    </row>
    <row r="378">
      <c r="A378" s="151" t="n">
        <v>46060</v>
      </c>
      <c r="B378" s="70" t="n">
        <v>361</v>
      </c>
      <c r="C378" s="115" t="inlineStr">
        <is>
          <t>HASALTUN</t>
        </is>
      </c>
      <c r="D378" s="115" t="inlineStr">
        <is>
          <t>HITACHI</t>
        </is>
      </c>
      <c r="E378" s="115" t="inlineStr">
        <is>
          <t>TURGUT</t>
        </is>
      </c>
      <c r="F378" s="65" t="n"/>
      <c r="G378" s="152" t="n">
        <v>414</v>
      </c>
      <c r="H378" s="60" t="n"/>
      <c r="I378" s="156">
        <f>+I377+(G378-H378)</f>
        <v/>
      </c>
      <c r="J378" s="60" t="n"/>
      <c r="K378" s="60" t="n"/>
      <c r="L378" s="158">
        <f>+H378*J378</f>
        <v/>
      </c>
      <c r="M378" s="159">
        <f>SUM(M377+K378-L378)</f>
        <v/>
      </c>
      <c r="N378" s="60" t="n"/>
      <c r="O378" s="60" t="n"/>
      <c r="P378" s="60" t="n"/>
      <c r="Q378" s="60" t="n"/>
      <c r="R378" s="60" t="n"/>
      <c r="S378" s="60" t="n"/>
      <c r="T378" s="60" t="n"/>
      <c r="U378" s="60" t="n"/>
      <c r="V378" s="60" t="n"/>
      <c r="W378" s="60" t="n"/>
      <c r="X378" s="60" t="n"/>
      <c r="Y378" s="60" t="n"/>
      <c r="Z378" s="60" t="n"/>
    </row>
    <row r="379">
      <c r="A379" s="151" t="n">
        <v>46060</v>
      </c>
      <c r="B379" s="70" t="n">
        <v>362</v>
      </c>
      <c r="C379" s="115" t="inlineStr">
        <is>
          <t>MEGA VARLIK</t>
        </is>
      </c>
      <c r="D379" s="115" t="inlineStr">
        <is>
          <t xml:space="preserve">SM350 </t>
        </is>
      </c>
      <c r="E379" s="115" t="inlineStr">
        <is>
          <t>TEVFİK ÖZTÜRK</t>
        </is>
      </c>
      <c r="F379" s="65" t="n"/>
      <c r="G379" s="152" t="n">
        <v>374</v>
      </c>
      <c r="H379" s="60" t="n"/>
      <c r="I379" s="156">
        <f>+I378+(G379-H379)</f>
        <v/>
      </c>
      <c r="J379" s="60" t="n"/>
      <c r="K379" s="60" t="n"/>
      <c r="L379" s="158">
        <f>+H379*J379</f>
        <v/>
      </c>
      <c r="M379" s="159">
        <f>SUM(M378+K379-L379)</f>
        <v/>
      </c>
      <c r="N379" s="60" t="n"/>
      <c r="O379" s="60" t="n"/>
      <c r="P379" s="60" t="n"/>
      <c r="Q379" s="60" t="n"/>
      <c r="R379" s="60" t="n"/>
      <c r="S379" s="60" t="n"/>
      <c r="T379" s="60" t="n"/>
      <c r="U379" s="60" t="n"/>
      <c r="V379" s="60" t="n"/>
      <c r="W379" s="60" t="n"/>
      <c r="X379" s="60" t="n"/>
      <c r="Y379" s="60" t="n"/>
      <c r="Z379" s="60" t="n"/>
    </row>
    <row r="380">
      <c r="A380" s="151" t="n">
        <v>46060</v>
      </c>
      <c r="B380" s="70" t="n">
        <v>2533</v>
      </c>
      <c r="C380" s="115" t="inlineStr">
        <is>
          <t xml:space="preserve">AZGÜN YAPI </t>
        </is>
      </c>
      <c r="D380" s="115" t="inlineStr">
        <is>
          <t>34 MKT 593</t>
        </is>
      </c>
      <c r="E380" s="115" t="inlineStr">
        <is>
          <t>TURGUT ÇATAL</t>
        </is>
      </c>
      <c r="F380" s="65" t="n"/>
      <c r="G380" s="152" t="n">
        <v>380</v>
      </c>
      <c r="H380" s="60" t="n"/>
      <c r="I380" s="156">
        <f>+I379+(G380-H380)</f>
        <v/>
      </c>
      <c r="J380" s="60" t="n"/>
      <c r="K380" s="60" t="n"/>
      <c r="L380" s="158">
        <f>+H380*J380</f>
        <v/>
      </c>
      <c r="M380" s="159">
        <f>SUM(M379+K380-L380)</f>
        <v/>
      </c>
      <c r="N380" s="60" t="n"/>
      <c r="O380" s="60" t="n"/>
      <c r="P380" s="60" t="n"/>
      <c r="Q380" s="60" t="n"/>
      <c r="R380" s="60" t="n"/>
      <c r="S380" s="60" t="n"/>
      <c r="T380" s="60" t="n"/>
      <c r="U380" s="60" t="n"/>
      <c r="V380" s="60" t="n"/>
      <c r="W380" s="60" t="n"/>
      <c r="X380" s="60" t="n"/>
      <c r="Y380" s="60" t="n"/>
      <c r="Z380" s="60" t="n"/>
    </row>
    <row r="381">
      <c r="A381" s="151" t="n">
        <v>46060</v>
      </c>
      <c r="B381" s="70" t="n">
        <v>1383</v>
      </c>
      <c r="C381" s="115" t="inlineStr">
        <is>
          <t xml:space="preserve">AZGÜN YAPI </t>
        </is>
      </c>
      <c r="D381" s="115" t="inlineStr">
        <is>
          <t>34 MKT 859</t>
        </is>
      </c>
      <c r="E381" s="115" t="inlineStr">
        <is>
          <t>ONUR CANLI</t>
        </is>
      </c>
      <c r="F381" s="65" t="n"/>
      <c r="G381" s="152" t="n">
        <v>338</v>
      </c>
      <c r="H381" s="60" t="n"/>
      <c r="I381" s="156">
        <f>+I380+(G381-H381)</f>
        <v/>
      </c>
      <c r="J381" s="60" t="n"/>
      <c r="K381" s="60" t="n"/>
      <c r="L381" s="158">
        <f>+H381*J381</f>
        <v/>
      </c>
      <c r="M381" s="159">
        <f>SUM(M380+K381-L381)</f>
        <v/>
      </c>
      <c r="N381" s="60" t="n"/>
      <c r="O381" s="60" t="n"/>
      <c r="P381" s="60" t="n"/>
      <c r="Q381" s="60" t="n"/>
      <c r="R381" s="60" t="n"/>
      <c r="S381" s="60" t="n"/>
      <c r="T381" s="60" t="n"/>
      <c r="U381" s="60" t="n"/>
      <c r="V381" s="60" t="n"/>
      <c r="W381" s="60" t="n"/>
      <c r="X381" s="60" t="n"/>
      <c r="Y381" s="60" t="n"/>
      <c r="Z381" s="60" t="n"/>
    </row>
    <row r="382">
      <c r="A382" s="151" t="n">
        <v>46062</v>
      </c>
      <c r="B382" s="70" t="n">
        <v>1689</v>
      </c>
      <c r="C382" s="115" t="inlineStr">
        <is>
          <t>SELİM İNŞAAT</t>
        </is>
      </c>
      <c r="D382" s="115" t="inlineStr">
        <is>
          <t>34 DHH 570</t>
        </is>
      </c>
      <c r="E382" s="115" t="inlineStr">
        <is>
          <t>YASİN ÇATAKLI</t>
        </is>
      </c>
      <c r="F382" s="65" t="n">
        <v>472353</v>
      </c>
      <c r="G382" s="152" t="n">
        <v>410</v>
      </c>
      <c r="H382" s="60" t="n"/>
      <c r="I382" s="156">
        <f>+I381+(G382-H382)</f>
        <v/>
      </c>
      <c r="J382" s="60" t="n"/>
      <c r="K382" s="60" t="n"/>
      <c r="L382" s="158">
        <f>+H382*J382</f>
        <v/>
      </c>
      <c r="M382" s="159">
        <f>SUM(M381+K382-L382)</f>
        <v/>
      </c>
      <c r="N382" s="60" t="n"/>
      <c r="O382" s="60" t="n"/>
      <c r="P382" s="60" t="n"/>
      <c r="Q382" s="60" t="n"/>
      <c r="R382" s="60" t="n"/>
      <c r="S382" s="60" t="n"/>
      <c r="T382" s="60" t="n"/>
      <c r="U382" s="60" t="n"/>
      <c r="V382" s="60" t="n"/>
      <c r="W382" s="60" t="n"/>
      <c r="X382" s="60" t="n"/>
      <c r="Y382" s="60" t="n"/>
      <c r="Z382" s="60" t="n"/>
    </row>
    <row r="383">
      <c r="A383" s="151" t="n">
        <v>46062</v>
      </c>
      <c r="B383" s="70" t="n">
        <v>4111</v>
      </c>
      <c r="C383" s="115" t="inlineStr">
        <is>
          <t>SELİM İNŞAAT</t>
        </is>
      </c>
      <c r="D383" s="115" t="inlineStr">
        <is>
          <t>34 EDB 659</t>
        </is>
      </c>
      <c r="E383" s="115" t="inlineStr">
        <is>
          <t>MEHMET SAİT ANIK</t>
        </is>
      </c>
      <c r="F383" s="65" t="n">
        <v>386257</v>
      </c>
      <c r="G383" s="152" t="n">
        <v>431</v>
      </c>
      <c r="H383" s="60" t="n"/>
      <c r="I383" s="156">
        <f>+I382+(G383-H383)</f>
        <v/>
      </c>
      <c r="J383" s="60" t="n"/>
      <c r="K383" s="60" t="n"/>
      <c r="L383" s="158">
        <f>+H383*J383</f>
        <v/>
      </c>
      <c r="M383" s="159">
        <f>SUM(M382+K383-L383)</f>
        <v/>
      </c>
      <c r="N383" s="60" t="n"/>
      <c r="O383" s="60" t="n"/>
      <c r="P383" s="60" t="n"/>
      <c r="Q383" s="60" t="n"/>
      <c r="R383" s="60" t="n"/>
      <c r="S383" s="60" t="n"/>
      <c r="T383" s="60" t="n"/>
      <c r="U383" s="60" t="n"/>
      <c r="V383" s="60" t="n"/>
      <c r="W383" s="60" t="n"/>
      <c r="X383" s="60" t="n"/>
      <c r="Y383" s="60" t="n"/>
      <c r="Z383" s="60" t="n"/>
    </row>
    <row r="384">
      <c r="A384" s="151" t="n">
        <v>46062</v>
      </c>
      <c r="B384" s="70" t="n">
        <v>3827</v>
      </c>
      <c r="C384" s="115" t="inlineStr">
        <is>
          <t>SELİM İNŞAAT</t>
        </is>
      </c>
      <c r="D384" s="115" t="inlineStr">
        <is>
          <t>34 GYZ 635</t>
        </is>
      </c>
      <c r="E384" s="115" t="inlineStr">
        <is>
          <t>ADEM DENİZ</t>
        </is>
      </c>
      <c r="F384" s="65" t="n">
        <v>223627</v>
      </c>
      <c r="G384" s="152" t="n">
        <v>433</v>
      </c>
      <c r="H384" s="60" t="n"/>
      <c r="I384" s="156">
        <f>+I383+(G384-H384)</f>
        <v/>
      </c>
      <c r="J384" s="60" t="n"/>
      <c r="K384" s="60" t="n"/>
      <c r="L384" s="158">
        <f>+H384*J384</f>
        <v/>
      </c>
      <c r="M384" s="159">
        <f>SUM(M383+K384-L384)</f>
        <v/>
      </c>
      <c r="N384" s="60" t="n"/>
      <c r="O384" s="60" t="n"/>
      <c r="P384" s="60" t="n"/>
      <c r="Q384" s="60" t="n"/>
      <c r="R384" s="60" t="n"/>
      <c r="S384" s="60" t="n"/>
      <c r="T384" s="60" t="n"/>
      <c r="U384" s="60" t="n"/>
      <c r="V384" s="60" t="n"/>
      <c r="W384" s="60" t="n"/>
      <c r="X384" s="60" t="n"/>
      <c r="Y384" s="60" t="n"/>
      <c r="Z384" s="60" t="n"/>
    </row>
    <row r="385">
      <c r="A385" s="151" t="n">
        <v>46062</v>
      </c>
      <c r="B385" s="70" t="n">
        <v>6</v>
      </c>
      <c r="C385" s="115" t="inlineStr">
        <is>
          <t>SELİM İNŞAAT</t>
        </is>
      </c>
      <c r="D385" s="115" t="inlineStr">
        <is>
          <t xml:space="preserve">34 GVZ 268 </t>
        </is>
      </c>
      <c r="E385" s="115" t="inlineStr">
        <is>
          <t>KERİM KARAMAN</t>
        </is>
      </c>
      <c r="F385" s="65" t="n">
        <v>247731</v>
      </c>
      <c r="G385" s="152" t="n">
        <v>393</v>
      </c>
      <c r="H385" s="60" t="n"/>
      <c r="I385" s="156">
        <f>+I384+(G385-H385)</f>
        <v/>
      </c>
      <c r="J385" s="60" t="n"/>
      <c r="K385" s="60" t="n"/>
      <c r="L385" s="158">
        <f>+H385*J385</f>
        <v/>
      </c>
      <c r="M385" s="159">
        <f>SUM(M384+K385-L385)</f>
        <v/>
      </c>
      <c r="N385" s="60" t="n"/>
      <c r="O385" s="60" t="n"/>
      <c r="P385" s="60" t="n"/>
      <c r="Q385" s="60" t="n"/>
      <c r="R385" s="60" t="n"/>
      <c r="S385" s="60" t="n"/>
      <c r="T385" s="60" t="n"/>
      <c r="U385" s="60" t="n"/>
      <c r="V385" s="60" t="n"/>
      <c r="W385" s="60" t="n"/>
      <c r="X385" s="60" t="n"/>
      <c r="Y385" s="60" t="n"/>
      <c r="Z385" s="60" t="n"/>
    </row>
    <row r="386">
      <c r="A386" s="151" t="n">
        <v>46062</v>
      </c>
      <c r="B386" s="70" t="n">
        <v>509</v>
      </c>
      <c r="C386" s="115" t="inlineStr">
        <is>
          <t>SELİM İNŞAAT</t>
        </is>
      </c>
      <c r="D386" s="115" t="inlineStr">
        <is>
          <t>34 EGR 737</t>
        </is>
      </c>
      <c r="E386" s="115" t="inlineStr">
        <is>
          <t>CEM MUHTAR</t>
        </is>
      </c>
      <c r="F386" s="65" t="n">
        <v>457798</v>
      </c>
      <c r="G386" s="152" t="n">
        <v>316</v>
      </c>
      <c r="H386" s="60" t="n"/>
      <c r="I386" s="156">
        <f>+I385+(G386-H386)</f>
        <v/>
      </c>
      <c r="J386" s="60" t="n"/>
      <c r="K386" s="60" t="n"/>
      <c r="L386" s="158">
        <f>+H386*J386</f>
        <v/>
      </c>
      <c r="M386" s="159">
        <f>SUM(M385+K386-L386)</f>
        <v/>
      </c>
      <c r="N386" s="60" t="n"/>
      <c r="O386" s="60" t="n"/>
      <c r="P386" s="60" t="n"/>
      <c r="Q386" s="60" t="n"/>
      <c r="R386" s="60" t="n"/>
      <c r="S386" s="60" t="n"/>
      <c r="T386" s="60" t="n"/>
      <c r="U386" s="60" t="n"/>
      <c r="V386" s="60" t="n"/>
      <c r="W386" s="60" t="n"/>
      <c r="X386" s="60" t="n"/>
      <c r="Y386" s="60" t="n"/>
      <c r="Z386" s="60" t="n"/>
    </row>
    <row r="387">
      <c r="A387" s="151" t="n">
        <v>46062</v>
      </c>
      <c r="B387" s="70" t="n">
        <v>144</v>
      </c>
      <c r="C387" s="115" t="inlineStr">
        <is>
          <t>SELİM İNŞAAT</t>
        </is>
      </c>
      <c r="D387" s="115" t="inlineStr">
        <is>
          <t>34 FBR 771</t>
        </is>
      </c>
      <c r="E387" s="115" t="inlineStr">
        <is>
          <t>SALİH YALÇIN</t>
        </is>
      </c>
      <c r="F387" s="65" t="n">
        <v>346334</v>
      </c>
      <c r="G387" s="152" t="n">
        <v>366</v>
      </c>
      <c r="H387" s="60" t="n"/>
      <c r="I387" s="156">
        <f>+I386+(G387-H387)</f>
        <v/>
      </c>
      <c r="J387" s="60" t="n"/>
      <c r="K387" s="60" t="n"/>
      <c r="L387" s="158">
        <f>+H387*J387</f>
        <v/>
      </c>
      <c r="M387" s="159">
        <f>SUM(M386+K387-L387)</f>
        <v/>
      </c>
      <c r="N387" s="60" t="n"/>
      <c r="O387" s="60" t="n"/>
      <c r="P387" s="60" t="n"/>
      <c r="Q387" s="60" t="n"/>
      <c r="R387" s="60" t="n"/>
      <c r="S387" s="60" t="n"/>
      <c r="T387" s="60" t="n"/>
      <c r="U387" s="60" t="n"/>
      <c r="V387" s="60" t="n"/>
      <c r="W387" s="60" t="n"/>
      <c r="X387" s="60" t="n"/>
      <c r="Y387" s="60" t="n"/>
      <c r="Z387" s="60" t="n"/>
    </row>
    <row r="388">
      <c r="A388" s="151" t="n">
        <v>46062</v>
      </c>
      <c r="B388" s="70" t="n">
        <v>3040</v>
      </c>
      <c r="C388" s="115" t="inlineStr">
        <is>
          <t>SELİM İNŞAAT</t>
        </is>
      </c>
      <c r="D388" s="115" t="inlineStr">
        <is>
          <t>34 FBR 781</t>
        </is>
      </c>
      <c r="E388" s="115" t="inlineStr">
        <is>
          <t>MEVLÜT POLAT</t>
        </is>
      </c>
      <c r="F388" s="65" t="n">
        <v>359241</v>
      </c>
      <c r="G388" s="152" t="n">
        <v>301</v>
      </c>
      <c r="H388" s="60" t="n"/>
      <c r="I388" s="156">
        <f>+I387+(G388-H388)</f>
        <v/>
      </c>
      <c r="J388" s="60" t="n"/>
      <c r="K388" s="60" t="n"/>
      <c r="L388" s="158">
        <f>+H388*J388</f>
        <v/>
      </c>
      <c r="M388" s="159">
        <f>SUM(M387+K388-L388)</f>
        <v/>
      </c>
      <c r="N388" s="60" t="n"/>
      <c r="O388" s="60" t="n"/>
      <c r="P388" s="60" t="n"/>
      <c r="Q388" s="60" t="n"/>
      <c r="R388" s="60" t="n"/>
      <c r="S388" s="60" t="n"/>
      <c r="T388" s="60" t="n"/>
      <c r="U388" s="60" t="n"/>
      <c r="V388" s="60" t="n"/>
      <c r="W388" s="60" t="n"/>
      <c r="X388" s="60" t="n"/>
      <c r="Y388" s="60" t="n"/>
      <c r="Z388" s="60" t="n"/>
    </row>
    <row r="389">
      <c r="A389" s="151" t="n">
        <v>46062</v>
      </c>
      <c r="B389" s="70" t="n">
        <v>4920</v>
      </c>
      <c r="C389" s="115" t="inlineStr">
        <is>
          <t>SELİM İNŞAAT</t>
        </is>
      </c>
      <c r="D389" s="115" t="inlineStr">
        <is>
          <t>34 FBR 742</t>
        </is>
      </c>
      <c r="E389" s="115" t="inlineStr">
        <is>
          <t>ADNAN KOÇ</t>
        </is>
      </c>
      <c r="F389" s="65" t="n">
        <v>362888</v>
      </c>
      <c r="G389" s="152" t="n">
        <v>366</v>
      </c>
      <c r="H389" s="60" t="n"/>
      <c r="I389" s="156">
        <f>+I388+(G389-H389)</f>
        <v/>
      </c>
      <c r="J389" s="60" t="n"/>
      <c r="K389" s="60" t="n"/>
      <c r="L389" s="158">
        <f>+H389*J389</f>
        <v/>
      </c>
      <c r="M389" s="159">
        <f>SUM(M388+K389-L389)</f>
        <v/>
      </c>
      <c r="N389" s="60" t="n"/>
      <c r="O389" s="60" t="n"/>
      <c r="P389" s="60" t="n"/>
      <c r="Q389" s="60" t="n"/>
      <c r="R389" s="60" t="n"/>
      <c r="S389" s="60" t="n"/>
      <c r="T389" s="60" t="n"/>
      <c r="U389" s="60" t="n"/>
      <c r="V389" s="60" t="n"/>
      <c r="W389" s="60" t="n"/>
      <c r="X389" s="60" t="n"/>
      <c r="Y389" s="60" t="n"/>
      <c r="Z389" s="60" t="n"/>
    </row>
    <row r="390">
      <c r="A390" s="151" t="n">
        <v>46062</v>
      </c>
      <c r="B390" s="70" t="n">
        <v>2731</v>
      </c>
      <c r="C390" s="115" t="inlineStr">
        <is>
          <t>SELİM İNŞAAT</t>
        </is>
      </c>
      <c r="D390" s="115" t="inlineStr">
        <is>
          <t>34 EDC 086</t>
        </is>
      </c>
      <c r="E390" s="115" t="inlineStr">
        <is>
          <t>SEZGİN KOCAGİL</t>
        </is>
      </c>
      <c r="F390" s="65" t="n">
        <v>373340</v>
      </c>
      <c r="G390" s="152" t="n">
        <v>473</v>
      </c>
      <c r="H390" s="60" t="n"/>
      <c r="I390" s="156">
        <f>+I389+(G390-H390)</f>
        <v/>
      </c>
      <c r="J390" s="60" t="n"/>
      <c r="K390" s="60" t="n"/>
      <c r="L390" s="158">
        <f>+H390*J390</f>
        <v/>
      </c>
      <c r="M390" s="159">
        <f>SUM(M389+K390-L390)</f>
        <v/>
      </c>
      <c r="N390" s="60" t="n"/>
      <c r="O390" s="60" t="n"/>
      <c r="P390" s="60" t="n"/>
      <c r="Q390" s="60" t="n"/>
      <c r="R390" s="60" t="n"/>
      <c r="S390" s="60" t="n"/>
      <c r="T390" s="60" t="n"/>
      <c r="U390" s="60" t="n"/>
      <c r="V390" s="60" t="n"/>
      <c r="W390" s="60" t="n"/>
      <c r="X390" s="60" t="n"/>
      <c r="Y390" s="60" t="n"/>
      <c r="Z390" s="60" t="n"/>
    </row>
    <row r="391">
      <c r="A391" s="151" t="n">
        <v>46062</v>
      </c>
      <c r="B391" s="70" t="n">
        <v>1542</v>
      </c>
      <c r="C391" s="115" t="inlineStr">
        <is>
          <t>SELİM İNŞAAT</t>
        </is>
      </c>
      <c r="D391" s="115" t="inlineStr">
        <is>
          <t>34 GUS 848</t>
        </is>
      </c>
      <c r="E391" s="115" t="inlineStr">
        <is>
          <t>SERDAR BOZKURT</t>
        </is>
      </c>
      <c r="F391" s="65" t="n">
        <v>228832</v>
      </c>
      <c r="G391" s="152" t="n">
        <v>459</v>
      </c>
      <c r="H391" s="60" t="n"/>
      <c r="I391" s="156">
        <f>+I390+(G391-H391)</f>
        <v/>
      </c>
      <c r="J391" s="60" t="n"/>
      <c r="K391" s="60" t="n"/>
      <c r="L391" s="158">
        <f>+H391*J391</f>
        <v/>
      </c>
      <c r="M391" s="159">
        <f>SUM(M390+K391-L391)</f>
        <v/>
      </c>
      <c r="N391" s="60" t="n"/>
      <c r="O391" s="60" t="n"/>
      <c r="P391" s="60" t="n"/>
      <c r="Q391" s="60" t="n"/>
      <c r="R391" s="60" t="n"/>
      <c r="S391" s="60" t="n"/>
      <c r="T391" s="60" t="n"/>
      <c r="U391" s="60" t="n"/>
      <c r="V391" s="60" t="n"/>
      <c r="W391" s="60" t="n"/>
      <c r="X391" s="60" t="n"/>
      <c r="Y391" s="60" t="n"/>
      <c r="Z391" s="60" t="n"/>
    </row>
    <row r="392">
      <c r="A392" s="151" t="n">
        <v>46062</v>
      </c>
      <c r="B392" s="70" t="n">
        <v>3422</v>
      </c>
      <c r="C392" s="115" t="inlineStr">
        <is>
          <t>SELİM İNŞAAT</t>
        </is>
      </c>
      <c r="D392" s="115" t="inlineStr">
        <is>
          <t>34 GVZ 310</t>
        </is>
      </c>
      <c r="E392" s="115" t="inlineStr">
        <is>
          <t>CELAL YÜZBAŞI</t>
        </is>
      </c>
      <c r="F392" s="65" t="n">
        <v>243626</v>
      </c>
      <c r="G392" s="152" t="n">
        <v>432</v>
      </c>
      <c r="H392" s="60" t="n"/>
      <c r="I392" s="156">
        <f>+I391+(G392-H392)</f>
        <v/>
      </c>
      <c r="J392" s="60" t="n"/>
      <c r="K392" s="60" t="n"/>
      <c r="L392" s="158">
        <f>+H392*J392</f>
        <v/>
      </c>
      <c r="M392" s="159">
        <f>SUM(M391+K392-L392)</f>
        <v/>
      </c>
      <c r="N392" s="60" t="n"/>
      <c r="O392" s="60" t="n"/>
      <c r="P392" s="60" t="n"/>
      <c r="Q392" s="60" t="n"/>
      <c r="R392" s="60" t="n"/>
      <c r="S392" s="60" t="n"/>
      <c r="T392" s="60" t="n"/>
      <c r="U392" s="60" t="n"/>
      <c r="V392" s="60" t="n"/>
      <c r="W392" s="60" t="n"/>
      <c r="X392" s="60" t="n"/>
      <c r="Y392" s="60" t="n"/>
      <c r="Z392" s="60" t="n"/>
    </row>
    <row r="393">
      <c r="A393" s="151" t="n">
        <v>46062</v>
      </c>
      <c r="B393" s="70" t="n">
        <v>3483</v>
      </c>
      <c r="C393" s="115" t="inlineStr">
        <is>
          <t>SELİM İNŞAAT</t>
        </is>
      </c>
      <c r="D393" s="115" t="inlineStr">
        <is>
          <t>34 EDB 754</t>
        </is>
      </c>
      <c r="E393" s="115" t="inlineStr">
        <is>
          <t>MUSTAFA KAYA</t>
        </is>
      </c>
      <c r="F393" s="65" t="n">
        <v>368914</v>
      </c>
      <c r="G393" s="152" t="n">
        <v>367</v>
      </c>
      <c r="H393" s="60" t="n"/>
      <c r="I393" s="156">
        <f>+I392+(G393-H393)</f>
        <v/>
      </c>
      <c r="J393" s="60" t="n"/>
      <c r="K393" s="60" t="n"/>
      <c r="L393" s="158">
        <f>+H393*J393</f>
        <v/>
      </c>
      <c r="M393" s="159">
        <f>SUM(M392+K393-L393)</f>
        <v/>
      </c>
      <c r="N393" s="60" t="n"/>
      <c r="O393" s="60" t="n"/>
      <c r="P393" s="60" t="n"/>
      <c r="Q393" s="60" t="n"/>
      <c r="R393" s="60" t="n"/>
      <c r="S393" s="60" t="n"/>
      <c r="T393" s="60" t="n"/>
      <c r="U393" s="60" t="n"/>
      <c r="V393" s="60" t="n"/>
      <c r="W393" s="60" t="n"/>
      <c r="X393" s="60" t="n"/>
      <c r="Y393" s="60" t="n"/>
      <c r="Z393" s="60" t="n"/>
    </row>
    <row r="394">
      <c r="A394" s="151" t="n">
        <v>46062</v>
      </c>
      <c r="B394" s="70" t="n">
        <v>244</v>
      </c>
      <c r="C394" s="115" t="inlineStr">
        <is>
          <t>SELİM İNŞAAT</t>
        </is>
      </c>
      <c r="D394" s="115" t="inlineStr">
        <is>
          <t>34 JGR 15</t>
        </is>
      </c>
      <c r="E394" s="115" t="inlineStr">
        <is>
          <t>SERDAR BOZKURT</t>
        </is>
      </c>
      <c r="F394" s="65" t="n">
        <v>329216</v>
      </c>
      <c r="G394" s="152" t="n">
        <v>58</v>
      </c>
      <c r="H394" s="60" t="n"/>
      <c r="I394" s="156">
        <f>+I393+(G394-H394)</f>
        <v/>
      </c>
      <c r="J394" s="60" t="n"/>
      <c r="K394" s="60" t="n"/>
      <c r="L394" s="158">
        <f>+H394*J394</f>
        <v/>
      </c>
      <c r="M394" s="159">
        <f>SUM(M393+K394-L394)</f>
        <v/>
      </c>
      <c r="N394" s="60" t="n"/>
      <c r="O394" s="60" t="n"/>
      <c r="P394" s="60" t="n"/>
      <c r="Q394" s="60" t="n"/>
      <c r="R394" s="60" t="n"/>
      <c r="S394" s="60" t="n"/>
      <c r="T394" s="60" t="n"/>
      <c r="U394" s="60" t="n"/>
      <c r="V394" s="60" t="n"/>
      <c r="W394" s="60" t="n"/>
      <c r="X394" s="60" t="n"/>
      <c r="Y394" s="60" t="n"/>
      <c r="Z394" s="60" t="n"/>
    </row>
    <row r="395">
      <c r="A395" s="151" t="n">
        <v>46062</v>
      </c>
      <c r="B395" s="70" t="n">
        <v>704</v>
      </c>
      <c r="C395" s="115" t="inlineStr">
        <is>
          <t>METİN ERYİĞİT</t>
        </is>
      </c>
      <c r="D395" s="115" t="inlineStr">
        <is>
          <t>34 EGS 013</t>
        </is>
      </c>
      <c r="E395" s="115" t="inlineStr">
        <is>
          <t>UĞUR DUMAN</t>
        </is>
      </c>
      <c r="F395" s="65" t="n">
        <v>555539</v>
      </c>
      <c r="G395" s="152" t="n">
        <v>392</v>
      </c>
      <c r="H395" s="60" t="n"/>
      <c r="I395" s="156">
        <f>+I394+(G395-H395)</f>
        <v/>
      </c>
      <c r="J395" s="60" t="n"/>
      <c r="K395" s="60" t="n"/>
      <c r="L395" s="158">
        <f>+H395*J395</f>
        <v/>
      </c>
      <c r="M395" s="159">
        <f>SUM(M394+K395-L395)</f>
        <v/>
      </c>
      <c r="N395" s="60" t="n"/>
      <c r="O395" s="60" t="n"/>
      <c r="P395" s="60" t="n"/>
      <c r="Q395" s="60" t="n"/>
      <c r="R395" s="60" t="n"/>
      <c r="S395" s="60" t="n"/>
      <c r="T395" s="60" t="n"/>
      <c r="U395" s="60" t="n"/>
      <c r="V395" s="60" t="n"/>
      <c r="W395" s="60" t="n"/>
      <c r="X395" s="60" t="n"/>
      <c r="Y395" s="60" t="n"/>
      <c r="Z395" s="60" t="n"/>
    </row>
    <row r="396">
      <c r="A396" s="151" t="n">
        <v>46062</v>
      </c>
      <c r="B396" s="70" t="n">
        <v>3798</v>
      </c>
      <c r="C396" s="115" t="inlineStr">
        <is>
          <t>METİN ERYİĞİT</t>
        </is>
      </c>
      <c r="D396" s="115" t="inlineStr">
        <is>
          <t>34 GBL 998</t>
        </is>
      </c>
      <c r="E396" s="115" t="inlineStr">
        <is>
          <t>ALİ KESKİN</t>
        </is>
      </c>
      <c r="F396" s="65" t="n">
        <v>338379</v>
      </c>
      <c r="G396" s="152" t="n">
        <v>377</v>
      </c>
      <c r="H396" s="60" t="n"/>
      <c r="I396" s="156">
        <f>+I395+(G396-H396)</f>
        <v/>
      </c>
      <c r="J396" s="60" t="n"/>
      <c r="K396" s="60" t="n"/>
      <c r="L396" s="158">
        <f>+H396*J396</f>
        <v/>
      </c>
      <c r="M396" s="159">
        <f>SUM(M395+K396-L396)</f>
        <v/>
      </c>
      <c r="N396" s="60" t="n"/>
      <c r="O396" s="60" t="n"/>
      <c r="P396" s="60" t="n"/>
      <c r="Q396" s="60" t="n"/>
      <c r="R396" s="60" t="n"/>
      <c r="S396" s="60" t="n"/>
      <c r="T396" s="60" t="n"/>
      <c r="U396" s="60" t="n"/>
      <c r="V396" s="60" t="n"/>
      <c r="W396" s="60" t="n"/>
      <c r="X396" s="60" t="n"/>
      <c r="Y396" s="60" t="n"/>
      <c r="Z396" s="60" t="n"/>
    </row>
    <row r="397">
      <c r="A397" s="151" t="n">
        <v>46062</v>
      </c>
      <c r="B397" s="70" t="n">
        <v>4593</v>
      </c>
      <c r="C397" s="115" t="inlineStr">
        <is>
          <t>AHMET SELİM TEMHA</t>
        </is>
      </c>
      <c r="D397" s="115" t="inlineStr">
        <is>
          <t>34 PGT 251</t>
        </is>
      </c>
      <c r="E397" s="115" t="inlineStr">
        <is>
          <t>ERSOY SIĞINMAZ</t>
        </is>
      </c>
      <c r="F397" s="65" t="n"/>
      <c r="G397" s="152" t="n">
        <v>52</v>
      </c>
      <c r="H397" s="60" t="n"/>
      <c r="I397" s="156">
        <f>+I396+(G397-H397)</f>
        <v/>
      </c>
      <c r="J397" s="60" t="n"/>
      <c r="K397" s="60" t="n"/>
      <c r="L397" s="158">
        <f>+H397*J397</f>
        <v/>
      </c>
      <c r="M397" s="159">
        <f>SUM(M396+K397-L397)</f>
        <v/>
      </c>
      <c r="N397" s="60" t="n"/>
      <c r="O397" s="60" t="n"/>
      <c r="P397" s="60" t="n"/>
      <c r="Q397" s="60" t="n"/>
      <c r="R397" s="60" t="n"/>
      <c r="S397" s="60" t="n"/>
      <c r="T397" s="60" t="n"/>
      <c r="U397" s="60" t="n"/>
      <c r="V397" s="60" t="n"/>
      <c r="W397" s="60" t="n"/>
      <c r="X397" s="60" t="n"/>
      <c r="Y397" s="60" t="n"/>
      <c r="Z397" s="60" t="n"/>
    </row>
    <row r="398">
      <c r="A398" s="151" t="n">
        <v>46062</v>
      </c>
      <c r="B398" s="70" t="n">
        <v>4594</v>
      </c>
      <c r="C398" s="115" t="inlineStr">
        <is>
          <t>MAHMUT VİNÇ</t>
        </is>
      </c>
      <c r="D398" s="115" t="inlineStr">
        <is>
          <t>34 AH 5401</t>
        </is>
      </c>
      <c r="E398" s="115" t="inlineStr">
        <is>
          <t>MUHAMMED YİĞİT</t>
        </is>
      </c>
      <c r="F398" s="65" t="n"/>
      <c r="G398" s="152" t="n">
        <v>75</v>
      </c>
      <c r="H398" s="60" t="n"/>
      <c r="I398" s="156">
        <f>+I397+(G398-H398)</f>
        <v/>
      </c>
      <c r="J398" s="60" t="n"/>
      <c r="K398" s="60" t="n"/>
      <c r="L398" s="158">
        <f>+H398*J398</f>
        <v/>
      </c>
      <c r="M398" s="159">
        <f>SUM(M397+K398-L398)</f>
        <v/>
      </c>
      <c r="N398" s="60" t="n"/>
      <c r="O398" s="60" t="n"/>
      <c r="P398" s="60" t="n"/>
      <c r="Q398" s="60" t="n"/>
      <c r="R398" s="60" t="n"/>
      <c r="S398" s="60" t="n"/>
      <c r="T398" s="60" t="n"/>
      <c r="U398" s="60" t="n"/>
      <c r="V398" s="60" t="n"/>
      <c r="W398" s="60" t="n"/>
      <c r="X398" s="60" t="n"/>
      <c r="Y398" s="60" t="n"/>
      <c r="Z398" s="60" t="n"/>
    </row>
    <row r="399">
      <c r="A399" s="151" t="n">
        <v>46063</v>
      </c>
      <c r="B399" s="70" t="n">
        <v>4162</v>
      </c>
      <c r="C399" s="115" t="inlineStr">
        <is>
          <t>SELİM İNŞAAT</t>
        </is>
      </c>
      <c r="D399" s="115" t="inlineStr">
        <is>
          <t xml:space="preserve">34 EDB 829 </t>
        </is>
      </c>
      <c r="E399" s="115" t="inlineStr">
        <is>
          <t>FATİH ÖZBOLAT</t>
        </is>
      </c>
      <c r="F399" s="65" t="n">
        <v>354648</v>
      </c>
      <c r="G399" s="152" t="n">
        <v>563</v>
      </c>
      <c r="H399" s="60" t="n"/>
      <c r="I399" s="156">
        <f>+I398+(G399-H399)</f>
        <v/>
      </c>
      <c r="J399" s="60" t="n"/>
      <c r="K399" s="60" t="n"/>
      <c r="L399" s="158">
        <f>+H399*J399</f>
        <v/>
      </c>
      <c r="M399" s="159">
        <f>SUM(M398+K399-L399)</f>
        <v/>
      </c>
      <c r="N399" s="60" t="n"/>
      <c r="O399" s="60" t="n"/>
      <c r="P399" s="60" t="n"/>
      <c r="Q399" s="60" t="n"/>
      <c r="R399" s="60" t="n"/>
      <c r="S399" s="60" t="n"/>
      <c r="T399" s="60" t="n"/>
      <c r="U399" s="60" t="n"/>
      <c r="V399" s="60" t="n"/>
      <c r="W399" s="60" t="n"/>
      <c r="X399" s="60" t="n"/>
      <c r="Y399" s="60" t="n"/>
      <c r="Z399" s="60" t="n"/>
    </row>
    <row r="400">
      <c r="A400" s="151" t="n">
        <v>46063</v>
      </c>
      <c r="B400" s="70" t="n">
        <v>4964</v>
      </c>
      <c r="C400" s="115" t="inlineStr">
        <is>
          <t>SELİM İNŞAAT</t>
        </is>
      </c>
      <c r="D400" s="115" t="inlineStr">
        <is>
          <t>34 GVZ 745</t>
        </is>
      </c>
      <c r="E400" s="115" t="inlineStr">
        <is>
          <t>MURAT DEMİRBAŞ</t>
        </is>
      </c>
      <c r="F400" s="65" t="n">
        <v>243160</v>
      </c>
      <c r="G400" s="152" t="n">
        <v>405</v>
      </c>
      <c r="H400" s="60" t="n"/>
      <c r="I400" s="156">
        <f>+I399+(G400-H400)</f>
        <v/>
      </c>
      <c r="J400" s="60" t="n"/>
      <c r="K400" s="60" t="n"/>
      <c r="L400" s="158">
        <f>+H400*J400</f>
        <v/>
      </c>
      <c r="M400" s="159">
        <f>SUM(M399+K400-L400)</f>
        <v/>
      </c>
      <c r="N400" s="60" t="n"/>
      <c r="O400" s="60" t="n"/>
      <c r="P400" s="60" t="n"/>
      <c r="Q400" s="60" t="n"/>
      <c r="R400" s="60" t="n"/>
      <c r="S400" s="60" t="n"/>
      <c r="T400" s="60" t="n"/>
      <c r="U400" s="60" t="n"/>
      <c r="V400" s="60" t="n"/>
      <c r="W400" s="60" t="n"/>
      <c r="X400" s="60" t="n"/>
      <c r="Y400" s="60" t="n"/>
      <c r="Z400" s="60" t="n"/>
    </row>
    <row r="401">
      <c r="A401" s="151" t="n">
        <v>46063</v>
      </c>
      <c r="B401" s="70" t="n">
        <v>2383</v>
      </c>
      <c r="C401" s="115" t="inlineStr">
        <is>
          <t>SELİM İNŞAAT</t>
        </is>
      </c>
      <c r="D401" s="115" t="inlineStr">
        <is>
          <t>34 FEM 934</t>
        </is>
      </c>
      <c r="E401" s="115" t="inlineStr">
        <is>
          <t>ABDULKERİM ERGEN</t>
        </is>
      </c>
      <c r="F401" s="65" t="n">
        <v>331236</v>
      </c>
      <c r="G401" s="152" t="n">
        <v>30</v>
      </c>
      <c r="H401" s="60" t="n"/>
      <c r="I401" s="156">
        <f>+I400+(G401-H401)</f>
        <v/>
      </c>
      <c r="J401" s="60" t="n"/>
      <c r="K401" s="60" t="n"/>
      <c r="L401" s="158">
        <f>+H401*J401</f>
        <v/>
      </c>
      <c r="M401" s="159">
        <f>SUM(M400+K401-L401)</f>
        <v/>
      </c>
      <c r="N401" s="60" t="n"/>
      <c r="O401" s="60" t="n"/>
      <c r="P401" s="60" t="n"/>
      <c r="Q401" s="60" t="n"/>
      <c r="R401" s="60" t="n"/>
      <c r="S401" s="60" t="n"/>
      <c r="T401" s="60" t="n"/>
      <c r="U401" s="60" t="n"/>
      <c r="V401" s="60" t="n"/>
      <c r="W401" s="60" t="n"/>
      <c r="X401" s="60" t="n"/>
      <c r="Y401" s="60" t="n"/>
      <c r="Z401" s="60" t="n"/>
    </row>
    <row r="402">
      <c r="A402" s="151" t="n">
        <v>46063</v>
      </c>
      <c r="B402" s="70" t="n">
        <v>4012</v>
      </c>
      <c r="C402" s="115" t="inlineStr">
        <is>
          <t>SELİM İNŞAAT</t>
        </is>
      </c>
      <c r="D402" s="115" t="inlineStr">
        <is>
          <t>34 AR 7743</t>
        </is>
      </c>
      <c r="E402" s="115" t="inlineStr">
        <is>
          <t>MEHMET SELİM</t>
        </is>
      </c>
      <c r="F402" s="65" t="n">
        <v>373078</v>
      </c>
      <c r="G402" s="152" t="n">
        <v>44</v>
      </c>
      <c r="H402" s="60" t="n"/>
      <c r="I402" s="156">
        <f>+I401+(G402-H402)</f>
        <v/>
      </c>
      <c r="J402" s="60" t="n"/>
      <c r="K402" s="60" t="n"/>
      <c r="L402" s="158">
        <f>+H402*J402</f>
        <v/>
      </c>
      <c r="M402" s="159">
        <f>SUM(M401+K402-L402)</f>
        <v/>
      </c>
      <c r="N402" s="60" t="n"/>
      <c r="O402" s="60" t="n"/>
      <c r="P402" s="60" t="n"/>
      <c r="Q402" s="60" t="n"/>
      <c r="R402" s="60" t="n"/>
      <c r="S402" s="60" t="n"/>
      <c r="T402" s="60" t="n"/>
      <c r="U402" s="60" t="n"/>
      <c r="V402" s="60" t="n"/>
      <c r="W402" s="60" t="n"/>
      <c r="X402" s="60" t="n"/>
      <c r="Y402" s="60" t="n"/>
      <c r="Z402" s="60" t="n"/>
    </row>
    <row r="403">
      <c r="A403" s="151" t="n">
        <v>46063</v>
      </c>
      <c r="B403" s="70" t="n">
        <v>2646</v>
      </c>
      <c r="C403" s="115" t="inlineStr">
        <is>
          <t>SELİM İNŞAAT</t>
        </is>
      </c>
      <c r="D403" s="115" t="inlineStr">
        <is>
          <t>34 GU 945</t>
        </is>
      </c>
      <c r="E403" s="115" t="inlineStr">
        <is>
          <t>YAKUP URUCU</t>
        </is>
      </c>
      <c r="F403" s="65" t="n">
        <v>470785</v>
      </c>
      <c r="G403" s="152" t="n">
        <v>58</v>
      </c>
      <c r="H403" s="60" t="n"/>
      <c r="I403" s="156">
        <f>+I402+(G403-H403)</f>
        <v/>
      </c>
      <c r="J403" s="60" t="n"/>
      <c r="K403" s="60" t="n"/>
      <c r="L403" s="158">
        <f>+H403*J403</f>
        <v/>
      </c>
      <c r="M403" s="159">
        <f>SUM(M402+K403-L403)</f>
        <v/>
      </c>
      <c r="N403" s="60" t="n"/>
      <c r="O403" s="60" t="n"/>
      <c r="P403" s="60" t="n"/>
      <c r="Q403" s="60" t="n"/>
      <c r="R403" s="60" t="n"/>
      <c r="S403" s="60" t="n"/>
      <c r="T403" s="60" t="n"/>
      <c r="U403" s="60" t="n"/>
      <c r="V403" s="60" t="n"/>
      <c r="W403" s="60" t="n"/>
      <c r="X403" s="60" t="n"/>
      <c r="Y403" s="60" t="n"/>
      <c r="Z403" s="60" t="n"/>
    </row>
    <row r="404">
      <c r="A404" s="151" t="n">
        <v>46063</v>
      </c>
      <c r="B404" s="70" t="n">
        <v>3799</v>
      </c>
      <c r="C404" s="115" t="inlineStr">
        <is>
          <t>METİN ERYİĞİT</t>
        </is>
      </c>
      <c r="D404" s="115" t="inlineStr">
        <is>
          <t>34 GBL 998</t>
        </is>
      </c>
      <c r="E404" s="115" t="inlineStr">
        <is>
          <t>ALİ KESKİN</t>
        </is>
      </c>
      <c r="F404" s="65" t="n">
        <v>338847</v>
      </c>
      <c r="G404" s="152" t="n">
        <v>207</v>
      </c>
      <c r="H404" s="60" t="n"/>
      <c r="I404" s="156">
        <f>+I403+(G404-H404)</f>
        <v/>
      </c>
      <c r="J404" s="60" t="n"/>
      <c r="K404" s="60" t="n"/>
      <c r="L404" s="158">
        <f>+H404*J404</f>
        <v/>
      </c>
      <c r="M404" s="159">
        <f>SUM(M403+K404-L404)</f>
        <v/>
      </c>
      <c r="N404" s="60" t="n"/>
      <c r="O404" s="60" t="n"/>
      <c r="P404" s="60" t="n"/>
      <c r="Q404" s="60" t="n"/>
      <c r="R404" s="60" t="n"/>
      <c r="S404" s="60" t="n"/>
      <c r="T404" s="60" t="n"/>
      <c r="U404" s="60" t="n"/>
      <c r="V404" s="60" t="n"/>
      <c r="W404" s="60" t="n"/>
      <c r="X404" s="60" t="n"/>
      <c r="Y404" s="60" t="n"/>
      <c r="Z404" s="60" t="n"/>
    </row>
    <row r="405">
      <c r="A405" s="151" t="n">
        <v>46063</v>
      </c>
      <c r="B405" s="70" t="n">
        <v>4595</v>
      </c>
      <c r="C405" s="115" t="inlineStr">
        <is>
          <t>AHMET SELİM TEMHA</t>
        </is>
      </c>
      <c r="D405" s="115" t="inlineStr">
        <is>
          <t>MANİTOU</t>
        </is>
      </c>
      <c r="E405" s="115" t="inlineStr">
        <is>
          <t>TURGAY ÇIPLAK</t>
        </is>
      </c>
      <c r="F405" s="65" t="n"/>
      <c r="G405" s="152" t="n">
        <v>91</v>
      </c>
      <c r="H405" s="60" t="n"/>
      <c r="I405" s="156">
        <f>+I404+(G405-H405)</f>
        <v/>
      </c>
      <c r="J405" s="60" t="n"/>
      <c r="K405" s="60" t="n"/>
      <c r="L405" s="158">
        <f>+H405*J405</f>
        <v/>
      </c>
      <c r="M405" s="159">
        <f>SUM(M404+K405-L405)</f>
        <v/>
      </c>
      <c r="N405" s="60" t="n"/>
      <c r="O405" s="60" t="n"/>
      <c r="P405" s="60" t="n"/>
      <c r="Q405" s="60" t="n"/>
      <c r="R405" s="60" t="n"/>
      <c r="S405" s="60" t="n"/>
      <c r="T405" s="60" t="n"/>
      <c r="U405" s="60" t="n"/>
      <c r="V405" s="60" t="n"/>
      <c r="W405" s="60" t="n"/>
      <c r="X405" s="60" t="n"/>
      <c r="Y405" s="60" t="n"/>
      <c r="Z405" s="60" t="n"/>
    </row>
    <row r="406">
      <c r="A406" s="151" t="n">
        <v>46063</v>
      </c>
      <c r="B406" s="70" t="n">
        <v>4596</v>
      </c>
      <c r="C406" s="115" t="inlineStr">
        <is>
          <t>RECEP SELİM OTOKURTARICI</t>
        </is>
      </c>
      <c r="D406" s="115" t="inlineStr">
        <is>
          <t>34 GC 8658</t>
        </is>
      </c>
      <c r="E406" s="115" t="inlineStr">
        <is>
          <t>RECEP SELİM</t>
        </is>
      </c>
      <c r="F406" s="65" t="n"/>
      <c r="G406" s="152" t="n">
        <v>75</v>
      </c>
      <c r="H406" s="60" t="n"/>
      <c r="I406" s="156">
        <f>+I405+(G406-H406)</f>
        <v/>
      </c>
      <c r="J406" s="60" t="n"/>
      <c r="K406" s="60" t="n"/>
      <c r="L406" s="158">
        <f>+H406*J406</f>
        <v/>
      </c>
      <c r="M406" s="159">
        <f>SUM(M405+K406-L406)</f>
        <v/>
      </c>
      <c r="N406" s="60" t="n"/>
      <c r="O406" s="60" t="n"/>
      <c r="P406" s="60" t="n"/>
      <c r="Q406" s="60" t="n"/>
      <c r="R406" s="60" t="n"/>
      <c r="S406" s="60" t="n"/>
      <c r="T406" s="60" t="n"/>
      <c r="U406" s="60" t="n"/>
      <c r="V406" s="60" t="n"/>
      <c r="W406" s="60" t="n"/>
      <c r="X406" s="60" t="n"/>
      <c r="Y406" s="60" t="n"/>
      <c r="Z406" s="60" t="n"/>
    </row>
    <row r="407">
      <c r="A407" s="151" t="n">
        <v>46063</v>
      </c>
      <c r="B407" s="70" t="n">
        <v>363</v>
      </c>
      <c r="C407" s="115" t="inlineStr">
        <is>
          <t>HASALTUN</t>
        </is>
      </c>
      <c r="D407" s="115" t="inlineStr">
        <is>
          <t>HITACHI</t>
        </is>
      </c>
      <c r="E407" s="115" t="inlineStr">
        <is>
          <t>TURGUT</t>
        </is>
      </c>
      <c r="F407" s="65" t="n"/>
      <c r="G407" s="152" t="n">
        <v>370</v>
      </c>
      <c r="H407" s="60" t="n"/>
      <c r="I407" s="156">
        <f>+I406+(G407-H407)</f>
        <v/>
      </c>
      <c r="J407" s="60" t="n"/>
      <c r="K407" s="60" t="n"/>
      <c r="L407" s="158">
        <f>+H407*J407</f>
        <v/>
      </c>
      <c r="M407" s="159">
        <f>SUM(M406+K407-L407)</f>
        <v/>
      </c>
      <c r="N407" s="60" t="n"/>
      <c r="O407" s="60" t="n"/>
      <c r="P407" s="60" t="n"/>
      <c r="Q407" s="60" t="n"/>
      <c r="R407" s="60" t="n"/>
      <c r="S407" s="60" t="n"/>
      <c r="T407" s="60" t="n"/>
      <c r="U407" s="60" t="n"/>
      <c r="V407" s="60" t="n"/>
      <c r="W407" s="60" t="n"/>
      <c r="X407" s="60" t="n"/>
      <c r="Y407" s="60" t="n"/>
      <c r="Z407" s="60" t="n"/>
    </row>
    <row r="408">
      <c r="A408" s="151" t="n">
        <v>46063</v>
      </c>
      <c r="B408" s="70" t="n">
        <v>364</v>
      </c>
      <c r="C408" s="115" t="inlineStr">
        <is>
          <t>SELİM İNŞAAT</t>
        </is>
      </c>
      <c r="D408" s="115" t="inlineStr">
        <is>
          <t xml:space="preserve">JCB </t>
        </is>
      </c>
      <c r="E408" s="115" t="inlineStr">
        <is>
          <t>BAYRAM SANCAK</t>
        </is>
      </c>
      <c r="F408" s="65" t="n"/>
      <c r="G408" s="152" t="n">
        <v>186</v>
      </c>
      <c r="H408" s="60" t="n"/>
      <c r="I408" s="156">
        <f>+I407+(G408-H408)</f>
        <v/>
      </c>
      <c r="J408" s="60" t="n"/>
      <c r="K408" s="60" t="n"/>
      <c r="L408" s="158">
        <f>+H408*J408</f>
        <v/>
      </c>
      <c r="M408" s="159">
        <f>SUM(M407+K408-L408)</f>
        <v/>
      </c>
      <c r="N408" s="60" t="n"/>
      <c r="O408" s="60" t="n"/>
      <c r="P408" s="60" t="n"/>
      <c r="Q408" s="60" t="n"/>
      <c r="R408" s="60" t="n"/>
      <c r="S408" s="60" t="n"/>
      <c r="T408" s="60" t="n"/>
      <c r="U408" s="60" t="n"/>
      <c r="V408" s="60" t="n"/>
      <c r="W408" s="60" t="n"/>
      <c r="X408" s="60" t="n"/>
      <c r="Y408" s="60" t="n"/>
      <c r="Z408" s="60" t="n"/>
    </row>
    <row r="409">
      <c r="A409" s="151" t="n">
        <v>46063</v>
      </c>
      <c r="B409" s="70" t="n">
        <v>365</v>
      </c>
      <c r="C409" s="115" t="inlineStr">
        <is>
          <t>EVKUR</t>
        </is>
      </c>
      <c r="D409" s="115" t="inlineStr">
        <is>
          <t>KİRALIK KATO</t>
        </is>
      </c>
      <c r="E409" s="115" t="inlineStr">
        <is>
          <t>GÜNEŞ</t>
        </is>
      </c>
      <c r="F409" s="65" t="n"/>
      <c r="G409" s="152" t="n">
        <v>52</v>
      </c>
      <c r="H409" s="60" t="n"/>
      <c r="I409" s="156">
        <f>+I408+(G409-H409)</f>
        <v/>
      </c>
      <c r="J409" s="60" t="n"/>
      <c r="K409" s="60" t="n"/>
      <c r="L409" s="158">
        <f>+H409*J409</f>
        <v/>
      </c>
      <c r="M409" s="159">
        <f>SUM(M408+K409-L409)</f>
        <v/>
      </c>
      <c r="N409" s="60" t="n"/>
      <c r="O409" s="60" t="n"/>
      <c r="P409" s="60" t="n"/>
      <c r="Q409" s="60" t="n"/>
      <c r="R409" s="60" t="n"/>
      <c r="S409" s="60" t="n"/>
      <c r="T409" s="60" t="n"/>
      <c r="U409" s="60" t="n"/>
      <c r="V409" s="60" t="n"/>
      <c r="W409" s="60" t="n"/>
      <c r="X409" s="60" t="n"/>
      <c r="Y409" s="60" t="n"/>
      <c r="Z409" s="60" t="n"/>
    </row>
    <row r="410">
      <c r="A410" s="151" t="n">
        <v>46063</v>
      </c>
      <c r="B410" s="70" t="n">
        <v>3280</v>
      </c>
      <c r="C410" s="115" t="inlineStr">
        <is>
          <t xml:space="preserve">AZGÜN YAPI </t>
        </is>
      </c>
      <c r="D410" s="115" t="inlineStr">
        <is>
          <t xml:space="preserve">34 DTV 263 </t>
        </is>
      </c>
      <c r="E410" s="115" t="inlineStr">
        <is>
          <t>İRFAN DAĞLAR</t>
        </is>
      </c>
      <c r="F410" s="65" t="n"/>
      <c r="G410" s="152" t="n">
        <v>388</v>
      </c>
      <c r="H410" s="60" t="n"/>
      <c r="I410" s="156">
        <f>+I409+(G410-H410)</f>
        <v/>
      </c>
      <c r="J410" s="60" t="n"/>
      <c r="K410" s="60" t="n"/>
      <c r="L410" s="158">
        <f>+H410*J410</f>
        <v/>
      </c>
      <c r="M410" s="159">
        <f>SUM(M409+K410-L410)</f>
        <v/>
      </c>
      <c r="N410" s="60" t="n"/>
      <c r="O410" s="60" t="n"/>
      <c r="P410" s="60" t="n"/>
      <c r="Q410" s="60" t="n"/>
      <c r="R410" s="60" t="n"/>
      <c r="S410" s="60" t="n"/>
      <c r="T410" s="60" t="n"/>
      <c r="U410" s="60" t="n"/>
      <c r="V410" s="60" t="n"/>
      <c r="W410" s="60" t="n"/>
      <c r="X410" s="60" t="n"/>
      <c r="Y410" s="60" t="n"/>
      <c r="Z410" s="60" t="n"/>
    </row>
    <row r="411">
      <c r="A411" s="151" t="n">
        <v>46063</v>
      </c>
      <c r="B411" s="70" t="n">
        <v>1384</v>
      </c>
      <c r="C411" s="115" t="inlineStr">
        <is>
          <t xml:space="preserve">AZGÜN YAPI </t>
        </is>
      </c>
      <c r="D411" s="115" t="inlineStr">
        <is>
          <t>34 MKT 859</t>
        </is>
      </c>
      <c r="E411" s="115" t="inlineStr">
        <is>
          <t>ONUR CANLI</t>
        </is>
      </c>
      <c r="F411" s="65" t="n"/>
      <c r="G411" s="152" t="n">
        <v>461</v>
      </c>
      <c r="H411" s="60" t="n"/>
      <c r="I411" s="156">
        <f>+I410+(G411-H411)</f>
        <v/>
      </c>
      <c r="J411" s="60" t="n"/>
      <c r="K411" s="60" t="n"/>
      <c r="L411" s="158">
        <f>+H411*J411</f>
        <v/>
      </c>
      <c r="M411" s="159">
        <f>SUM(M410+K411-L411)</f>
        <v/>
      </c>
      <c r="N411" s="60" t="n"/>
      <c r="O411" s="60" t="n"/>
      <c r="P411" s="60" t="n"/>
      <c r="Q411" s="60" t="n"/>
      <c r="R411" s="60" t="n"/>
      <c r="S411" s="60" t="n"/>
      <c r="T411" s="60" t="n"/>
      <c r="U411" s="60" t="n"/>
      <c r="V411" s="60" t="n"/>
      <c r="W411" s="60" t="n"/>
      <c r="X411" s="60" t="n"/>
      <c r="Y411" s="60" t="n"/>
      <c r="Z411" s="60" t="n"/>
    </row>
    <row r="412">
      <c r="A412" s="151" t="n">
        <v>46064</v>
      </c>
      <c r="B412" s="70" t="n">
        <v>1848</v>
      </c>
      <c r="C412" s="115" t="inlineStr">
        <is>
          <t>SELİM İNŞAAT</t>
        </is>
      </c>
      <c r="D412" s="115" t="inlineStr">
        <is>
          <t>34 EGR 922</t>
        </is>
      </c>
      <c r="E412" s="115" t="inlineStr">
        <is>
          <t>FARUK ÖZEN</t>
        </is>
      </c>
      <c r="F412" s="65" t="n">
        <v>501414</v>
      </c>
      <c r="G412" s="152" t="n">
        <v>517</v>
      </c>
      <c r="H412" s="60" t="n"/>
      <c r="I412" s="156">
        <f>+I411+(G412-H412)</f>
        <v/>
      </c>
      <c r="J412" s="60" t="n"/>
      <c r="K412" s="60" t="n"/>
      <c r="L412" s="158">
        <f>+H412*J412</f>
        <v/>
      </c>
      <c r="M412" s="159">
        <f>SUM(M411+K412-L412)</f>
        <v/>
      </c>
      <c r="N412" s="60" t="n"/>
      <c r="O412" s="60" t="n"/>
      <c r="P412" s="60" t="n"/>
      <c r="Q412" s="60" t="n"/>
      <c r="R412" s="60" t="n"/>
      <c r="S412" s="60" t="n"/>
      <c r="T412" s="60" t="n"/>
      <c r="U412" s="60" t="n"/>
      <c r="V412" s="60" t="n"/>
      <c r="W412" s="60" t="n"/>
      <c r="X412" s="60" t="n"/>
      <c r="Y412" s="60" t="n"/>
      <c r="Z412" s="60" t="n"/>
    </row>
    <row r="413">
      <c r="A413" s="151" t="n">
        <v>46064</v>
      </c>
      <c r="B413" s="70" t="n">
        <v>3385</v>
      </c>
      <c r="C413" s="115" t="inlineStr">
        <is>
          <t>SELİM İNŞAAT</t>
        </is>
      </c>
      <c r="D413" s="115" t="inlineStr">
        <is>
          <t>34 EDC 162</t>
        </is>
      </c>
      <c r="E413" s="71" t="inlineStr">
        <is>
          <t xml:space="preserve">YAKUP GÜNER </t>
        </is>
      </c>
      <c r="F413" s="65" t="n">
        <v>411923</v>
      </c>
      <c r="G413" s="152" t="n">
        <v>476</v>
      </c>
      <c r="H413" s="60" t="n"/>
      <c r="I413" s="156">
        <f>+I412+(G413-H413)</f>
        <v/>
      </c>
      <c r="J413" s="60" t="n"/>
      <c r="K413" s="60" t="n"/>
      <c r="L413" s="158">
        <f>+H413*J413</f>
        <v/>
      </c>
      <c r="M413" s="159">
        <f>SUM(M412+K413-L413)</f>
        <v/>
      </c>
      <c r="N413" s="60" t="n"/>
      <c r="O413" s="60" t="n"/>
      <c r="P413" s="60" t="n"/>
      <c r="Q413" s="60" t="n"/>
      <c r="R413" s="60" t="n"/>
      <c r="S413" s="60" t="n"/>
      <c r="T413" s="60" t="n"/>
      <c r="U413" s="60" t="n"/>
      <c r="V413" s="60" t="n"/>
      <c r="W413" s="60" t="n"/>
      <c r="X413" s="60" t="n"/>
      <c r="Y413" s="60" t="n"/>
      <c r="Z413" s="60" t="n"/>
    </row>
    <row r="414">
      <c r="A414" s="151" t="n">
        <v>46064</v>
      </c>
      <c r="B414" s="70" t="n">
        <v>2295</v>
      </c>
      <c r="C414" s="115" t="inlineStr">
        <is>
          <t>SELİM İNŞAAT</t>
        </is>
      </c>
      <c r="D414" s="115" t="inlineStr">
        <is>
          <t>34 DSN 636</t>
        </is>
      </c>
      <c r="E414" s="115" t="inlineStr">
        <is>
          <t>MAHSUN GÜVEN</t>
        </is>
      </c>
      <c r="F414" s="65" t="n">
        <v>430839</v>
      </c>
      <c r="G414" s="152" t="n">
        <v>458</v>
      </c>
      <c r="H414" s="60" t="n"/>
      <c r="I414" s="156">
        <f>+I413+(G414-H414)</f>
        <v/>
      </c>
      <c r="J414" s="60" t="n"/>
      <c r="K414" s="60" t="n"/>
      <c r="L414" s="158">
        <f>+H414*J414</f>
        <v/>
      </c>
      <c r="M414" s="159">
        <f>SUM(M413+K414-L414)</f>
        <v/>
      </c>
      <c r="N414" s="60" t="n"/>
      <c r="O414" s="60" t="n"/>
      <c r="P414" s="60" t="n"/>
      <c r="Q414" s="60" t="n"/>
      <c r="R414" s="60" t="n"/>
      <c r="S414" s="60" t="n"/>
      <c r="T414" s="60" t="n"/>
      <c r="U414" s="60" t="n"/>
      <c r="V414" s="60" t="n"/>
      <c r="W414" s="60" t="n"/>
      <c r="X414" s="60" t="n"/>
      <c r="Y414" s="60" t="n"/>
      <c r="Z414" s="60" t="n"/>
    </row>
    <row r="415">
      <c r="A415" s="151" t="n">
        <v>46064</v>
      </c>
      <c r="B415" s="70" t="n">
        <v>4870</v>
      </c>
      <c r="C415" s="115" t="inlineStr">
        <is>
          <t>SELİM İNŞAAT</t>
        </is>
      </c>
      <c r="D415" s="115" t="inlineStr">
        <is>
          <t>34 FBR 705</t>
        </is>
      </c>
      <c r="E415" s="115" t="inlineStr">
        <is>
          <t>MURAT SARI</t>
        </is>
      </c>
      <c r="F415" s="65" t="n">
        <v>358997</v>
      </c>
      <c r="G415" s="152" t="n">
        <v>391</v>
      </c>
      <c r="H415" s="60" t="n"/>
      <c r="I415" s="156">
        <f>+I414+(G415-H415)</f>
        <v/>
      </c>
      <c r="J415" s="60" t="n"/>
      <c r="K415" s="60" t="n"/>
      <c r="L415" s="158">
        <f>+H415*J415</f>
        <v/>
      </c>
      <c r="M415" s="159">
        <f>SUM(M414+K415-L415)</f>
        <v/>
      </c>
      <c r="N415" s="60" t="n"/>
      <c r="O415" s="60" t="n"/>
      <c r="P415" s="60" t="n"/>
      <c r="Q415" s="60" t="n"/>
      <c r="R415" s="60" t="n"/>
      <c r="S415" s="60" t="n"/>
      <c r="T415" s="60" t="n"/>
      <c r="U415" s="60" t="n"/>
      <c r="V415" s="60" t="n"/>
      <c r="W415" s="60" t="n"/>
      <c r="X415" s="60" t="n"/>
      <c r="Y415" s="60" t="n"/>
      <c r="Z415" s="60" t="n"/>
    </row>
    <row r="416">
      <c r="A416" s="151" t="n">
        <v>46064</v>
      </c>
      <c r="B416" s="70" t="n">
        <v>4167</v>
      </c>
      <c r="C416" s="115" t="inlineStr">
        <is>
          <t>SELİM İNŞAAT</t>
        </is>
      </c>
      <c r="D416" s="115" t="inlineStr">
        <is>
          <t>34 FBR 748</t>
        </is>
      </c>
      <c r="E416" s="115" t="inlineStr">
        <is>
          <t>YAŞAR ÖZKAYA</t>
        </is>
      </c>
      <c r="F416" s="65" t="n">
        <v>322402</v>
      </c>
      <c r="G416" s="152" t="n">
        <v>411</v>
      </c>
      <c r="H416" s="60" t="n"/>
      <c r="I416" s="156">
        <f>+I415+(G416-H416)</f>
        <v/>
      </c>
      <c r="J416" s="60" t="n"/>
      <c r="K416" s="60" t="n"/>
      <c r="L416" s="158">
        <f>+H416*J416</f>
        <v/>
      </c>
      <c r="M416" s="159">
        <f>SUM(M415+K416-L416)</f>
        <v/>
      </c>
      <c r="N416" s="60" t="n"/>
      <c r="O416" s="60" t="n"/>
      <c r="P416" s="60" t="n"/>
      <c r="Q416" s="60" t="n"/>
      <c r="R416" s="60" t="n"/>
      <c r="S416" s="60" t="n"/>
      <c r="T416" s="60" t="n"/>
      <c r="U416" s="60" t="n"/>
      <c r="V416" s="60" t="n"/>
      <c r="W416" s="60" t="n"/>
      <c r="X416" s="60" t="n"/>
      <c r="Y416" s="60" t="n"/>
      <c r="Z416" s="60" t="n"/>
    </row>
    <row r="417">
      <c r="A417" s="151" t="n">
        <v>46064</v>
      </c>
      <c r="B417" s="70" t="n">
        <v>901</v>
      </c>
      <c r="C417" s="115" t="inlineStr">
        <is>
          <t>SELİM İNŞAAT</t>
        </is>
      </c>
      <c r="D417" s="115" t="inlineStr">
        <is>
          <t>34 FSG 229</t>
        </is>
      </c>
      <c r="E417" s="115" t="inlineStr">
        <is>
          <t>SİNAN TANRIVERDİ</t>
        </is>
      </c>
      <c r="F417" s="65" t="n">
        <v>296970</v>
      </c>
      <c r="G417" s="152" t="n">
        <v>418</v>
      </c>
      <c r="H417" s="60" t="n"/>
      <c r="I417" s="156">
        <f>+I416+(G417-H417)</f>
        <v/>
      </c>
      <c r="J417" s="60" t="n"/>
      <c r="K417" s="60" t="n"/>
      <c r="L417" s="158">
        <f>+H417*J417</f>
        <v/>
      </c>
      <c r="M417" s="159">
        <f>SUM(M416+K417-L417)</f>
        <v/>
      </c>
      <c r="N417" s="60" t="n"/>
      <c r="O417" s="60" t="n"/>
      <c r="P417" s="60" t="n"/>
      <c r="Q417" s="60" t="n"/>
      <c r="R417" s="60" t="n"/>
      <c r="S417" s="60" t="n"/>
      <c r="T417" s="60" t="n"/>
      <c r="U417" s="60" t="n"/>
      <c r="V417" s="60" t="n"/>
      <c r="W417" s="60" t="n"/>
      <c r="X417" s="60" t="n"/>
      <c r="Y417" s="60" t="n"/>
      <c r="Z417" s="60" t="n"/>
    </row>
    <row r="418">
      <c r="A418" s="151" t="n">
        <v>46064</v>
      </c>
      <c r="B418" s="70" t="n">
        <v>4413</v>
      </c>
      <c r="C418" s="115" t="inlineStr">
        <is>
          <t>SELİM İNŞAAT</t>
        </is>
      </c>
      <c r="D418" s="115" t="inlineStr">
        <is>
          <t>34 DTV 409</t>
        </is>
      </c>
      <c r="E418" s="115" t="inlineStr">
        <is>
          <t>ATA KIZMAZ</t>
        </is>
      </c>
      <c r="F418" s="65" t="n">
        <v>451643</v>
      </c>
      <c r="G418" s="152" t="n">
        <v>412</v>
      </c>
      <c r="H418" s="60" t="n"/>
      <c r="I418" s="156">
        <f>+I417+(G418-H418)</f>
        <v/>
      </c>
      <c r="J418" s="60" t="n"/>
      <c r="K418" s="60" t="n"/>
      <c r="L418" s="158">
        <f>+H418*J418</f>
        <v/>
      </c>
      <c r="M418" s="159">
        <f>SUM(M417+K418-L418)</f>
        <v/>
      </c>
      <c r="N418" s="60" t="n"/>
      <c r="O418" s="60" t="n"/>
      <c r="P418" s="60" t="n"/>
      <c r="Q418" s="60" t="n"/>
      <c r="R418" s="60" t="n"/>
      <c r="S418" s="60" t="n"/>
      <c r="T418" s="60" t="n"/>
      <c r="U418" s="60" t="n"/>
      <c r="V418" s="60" t="n"/>
      <c r="W418" s="60" t="n"/>
      <c r="X418" s="60" t="n"/>
      <c r="Y418" s="60" t="n"/>
      <c r="Z418" s="60" t="n"/>
    </row>
    <row r="419">
      <c r="A419" s="151" t="n">
        <v>46064</v>
      </c>
      <c r="B419" s="70" t="n">
        <v>3619</v>
      </c>
      <c r="C419" s="115" t="inlineStr">
        <is>
          <t>SELİM İNŞAAT</t>
        </is>
      </c>
      <c r="D419" s="115" t="inlineStr">
        <is>
          <t>34 EDB 922</t>
        </is>
      </c>
      <c r="E419" s="115" t="inlineStr">
        <is>
          <t>ÇAĞDAŞ YÜCESAN</t>
        </is>
      </c>
      <c r="F419" s="65" t="n">
        <v>405551</v>
      </c>
      <c r="G419" s="152" t="n">
        <v>447</v>
      </c>
      <c r="H419" s="60" t="n"/>
      <c r="I419" s="156">
        <f>+I418+(G419-H419)</f>
        <v/>
      </c>
      <c r="J419" s="60" t="n"/>
      <c r="K419" s="60" t="n"/>
      <c r="L419" s="158">
        <f>+H419*J419</f>
        <v/>
      </c>
      <c r="M419" s="159">
        <f>SUM(M418+K419-L419)</f>
        <v/>
      </c>
      <c r="N419" s="60" t="n"/>
      <c r="O419" s="60" t="n"/>
      <c r="P419" s="60" t="n"/>
      <c r="Q419" s="60" t="n"/>
      <c r="R419" s="60" t="n"/>
      <c r="S419" s="60" t="n"/>
      <c r="T419" s="60" t="n"/>
      <c r="U419" s="60" t="n"/>
      <c r="V419" s="60" t="n"/>
      <c r="W419" s="60" t="n"/>
      <c r="X419" s="60" t="n"/>
      <c r="Y419" s="60" t="n"/>
      <c r="Z419" s="60" t="n"/>
    </row>
    <row r="420">
      <c r="A420" s="151" t="n">
        <v>46064</v>
      </c>
      <c r="B420" s="70" t="n">
        <v>3220</v>
      </c>
      <c r="C420" s="115" t="inlineStr">
        <is>
          <t>SELİM İNŞAAT</t>
        </is>
      </c>
      <c r="D420" s="115" t="inlineStr">
        <is>
          <t>34 EGR 736</t>
        </is>
      </c>
      <c r="E420" s="115" t="inlineStr">
        <is>
          <t>HAKAN ÇAVUŞOĞLU</t>
        </is>
      </c>
      <c r="F420" s="65" t="n">
        <v>435970</v>
      </c>
      <c r="G420" s="152" t="n">
        <v>390</v>
      </c>
      <c r="H420" s="60" t="n"/>
      <c r="I420" s="156">
        <f>+I419+(G420-H420)</f>
        <v/>
      </c>
      <c r="J420" s="60" t="n"/>
      <c r="K420" s="60" t="n"/>
      <c r="L420" s="158">
        <f>+H420*J420</f>
        <v/>
      </c>
      <c r="M420" s="159">
        <f>SUM(M419+K420-L420)</f>
        <v/>
      </c>
      <c r="N420" s="60" t="n"/>
      <c r="O420" s="60" t="n"/>
      <c r="P420" s="60" t="n"/>
      <c r="Q420" s="60" t="n"/>
      <c r="R420" s="60" t="n"/>
      <c r="S420" s="60" t="n"/>
      <c r="T420" s="60" t="n"/>
      <c r="U420" s="60" t="n"/>
      <c r="V420" s="60" t="n"/>
      <c r="W420" s="60" t="n"/>
      <c r="X420" s="60" t="n"/>
      <c r="Y420" s="60" t="n"/>
      <c r="Z420" s="60" t="n"/>
    </row>
    <row r="421">
      <c r="A421" s="151" t="n">
        <v>46064</v>
      </c>
      <c r="B421" s="70" t="n">
        <v>1816</v>
      </c>
      <c r="C421" s="115" t="inlineStr">
        <is>
          <t>SELİM İNŞAAT</t>
        </is>
      </c>
      <c r="D421" s="115" t="inlineStr">
        <is>
          <t>34 EDB 559</t>
        </is>
      </c>
      <c r="E421" s="115" t="inlineStr">
        <is>
          <t>AZİZ ORUÇ</t>
        </is>
      </c>
      <c r="F421" s="65" t="n">
        <v>361767</v>
      </c>
      <c r="G421" s="152" t="n">
        <v>410</v>
      </c>
      <c r="H421" s="60" t="n"/>
      <c r="I421" s="156">
        <f>+I420+(G421-H421)</f>
        <v/>
      </c>
      <c r="J421" s="60" t="n"/>
      <c r="K421" s="60" t="n"/>
      <c r="L421" s="158">
        <f>+H421*J421</f>
        <v/>
      </c>
      <c r="M421" s="159">
        <f>SUM(M420+K421-L421)</f>
        <v/>
      </c>
      <c r="N421" s="60" t="n"/>
      <c r="O421" s="60" t="n"/>
      <c r="P421" s="60" t="n"/>
      <c r="Q421" s="60" t="n"/>
      <c r="R421" s="60" t="n"/>
      <c r="S421" s="60" t="n"/>
      <c r="T421" s="60" t="n"/>
      <c r="U421" s="60" t="n"/>
      <c r="V421" s="60" t="n"/>
      <c r="W421" s="60" t="n"/>
      <c r="X421" s="60" t="n"/>
      <c r="Y421" s="60" t="n"/>
      <c r="Z421" s="60" t="n"/>
    </row>
    <row r="422">
      <c r="A422" s="151" t="n">
        <v>46064</v>
      </c>
      <c r="B422" s="70" t="n">
        <v>4508</v>
      </c>
      <c r="C422" s="115" t="inlineStr">
        <is>
          <t>SELİM İNŞAAT</t>
        </is>
      </c>
      <c r="D422" s="115" t="inlineStr">
        <is>
          <t>34 DTB 352</t>
        </is>
      </c>
      <c r="E422" s="115" t="inlineStr">
        <is>
          <t>ENGİN DENİZ</t>
        </is>
      </c>
      <c r="F422" s="65" t="n">
        <v>473187</v>
      </c>
      <c r="G422" s="152" t="n">
        <v>387</v>
      </c>
      <c r="H422" s="60" t="n"/>
      <c r="I422" s="156">
        <f>+I421+(G422-H422)</f>
        <v/>
      </c>
      <c r="J422" s="60" t="n"/>
      <c r="K422" s="60" t="n"/>
      <c r="L422" s="158">
        <f>+H422*J422</f>
        <v/>
      </c>
      <c r="M422" s="159">
        <f>SUM(M421+K422-L422)</f>
        <v/>
      </c>
      <c r="N422" s="60" t="n"/>
      <c r="O422" s="60" t="n"/>
      <c r="P422" s="60" t="n"/>
      <c r="Q422" s="60" t="n"/>
      <c r="R422" s="60" t="n"/>
      <c r="S422" s="60" t="n"/>
      <c r="T422" s="60" t="n"/>
      <c r="U422" s="60" t="n"/>
      <c r="V422" s="60" t="n"/>
      <c r="W422" s="60" t="n"/>
      <c r="X422" s="60" t="n"/>
      <c r="Y422" s="60" t="n"/>
      <c r="Z422" s="60" t="n"/>
    </row>
    <row r="423">
      <c r="A423" s="151" t="n">
        <v>46064</v>
      </c>
      <c r="B423" s="70" t="n">
        <v>1338</v>
      </c>
      <c r="C423" s="115" t="inlineStr">
        <is>
          <t>SELİM İNŞAAT</t>
        </is>
      </c>
      <c r="D423" s="115" t="inlineStr">
        <is>
          <t>34 GVZ 199</t>
        </is>
      </c>
      <c r="E423" s="115" t="inlineStr">
        <is>
          <t>HÜSEYİN DENİZ</t>
        </is>
      </c>
      <c r="F423" s="65" t="n">
        <v>223073</v>
      </c>
      <c r="G423" s="152" t="n">
        <v>390</v>
      </c>
      <c r="H423" s="60" t="n"/>
      <c r="I423" s="156">
        <f>+I422+(G423-H423)</f>
        <v/>
      </c>
      <c r="J423" s="60" t="n"/>
      <c r="K423" s="60" t="n"/>
      <c r="L423" s="158">
        <f>+H423*J423</f>
        <v/>
      </c>
      <c r="M423" s="159">
        <f>SUM(M422+K423-L423)</f>
        <v/>
      </c>
      <c r="N423" s="60" t="n"/>
      <c r="O423" s="60" t="n"/>
      <c r="P423" s="60" t="n"/>
      <c r="Q423" s="60" t="n"/>
      <c r="R423" s="60" t="n"/>
      <c r="S423" s="60" t="n"/>
      <c r="T423" s="60" t="n"/>
      <c r="U423" s="60" t="n"/>
      <c r="V423" s="60" t="n"/>
      <c r="W423" s="60" t="n"/>
      <c r="X423" s="60" t="n"/>
      <c r="Y423" s="60" t="n"/>
      <c r="Z423" s="60" t="n"/>
    </row>
    <row r="424">
      <c r="A424" s="151" t="n">
        <v>46064</v>
      </c>
      <c r="B424" s="70" t="n">
        <v>705</v>
      </c>
      <c r="C424" s="115" t="inlineStr">
        <is>
          <t>METİN ERYİĞİT</t>
        </is>
      </c>
      <c r="D424" s="115" t="inlineStr">
        <is>
          <t>34 EGS 013</t>
        </is>
      </c>
      <c r="E424" s="115" t="inlineStr">
        <is>
          <t>UĞUR DUMAN</t>
        </is>
      </c>
      <c r="F424" s="65" t="n">
        <v>556296</v>
      </c>
      <c r="G424" s="152" t="n">
        <v>399</v>
      </c>
      <c r="H424" s="60" t="n"/>
      <c r="I424" s="156">
        <f>+I423+(G424-H424)</f>
        <v/>
      </c>
      <c r="J424" s="60" t="n"/>
      <c r="K424" s="60" t="n"/>
      <c r="L424" s="158">
        <f>+H424*J424</f>
        <v/>
      </c>
      <c r="M424" s="159">
        <f>SUM(M423+K424-L424)</f>
        <v/>
      </c>
      <c r="N424" s="60" t="n"/>
      <c r="O424" s="60" t="n"/>
      <c r="P424" s="60" t="n"/>
      <c r="Q424" s="60" t="n"/>
      <c r="R424" s="60" t="n"/>
      <c r="S424" s="60" t="n"/>
      <c r="T424" s="60" t="n"/>
      <c r="U424" s="60" t="n"/>
      <c r="V424" s="60" t="n"/>
      <c r="W424" s="60" t="n"/>
      <c r="X424" s="60" t="n"/>
      <c r="Y424" s="60" t="n"/>
      <c r="Z424" s="60" t="n"/>
    </row>
    <row r="425">
      <c r="A425" s="151" t="n">
        <v>46064</v>
      </c>
      <c r="B425" s="70" t="n">
        <v>4597</v>
      </c>
      <c r="C425" s="115" t="inlineStr">
        <is>
          <t>ENES SELİM VİNÇ</t>
        </is>
      </c>
      <c r="D425" s="115" t="inlineStr">
        <is>
          <t>34 TB 926</t>
        </is>
      </c>
      <c r="E425" s="115" t="inlineStr">
        <is>
          <t>ENES SELİM</t>
        </is>
      </c>
      <c r="F425" s="65" t="n"/>
      <c r="G425" s="152" t="n">
        <v>161</v>
      </c>
      <c r="H425" s="60" t="n"/>
      <c r="I425" s="156">
        <f>+I424+(G425-H425)</f>
        <v/>
      </c>
      <c r="J425" s="60" t="n"/>
      <c r="K425" s="60" t="n"/>
      <c r="L425" s="158">
        <f>+H425*J425</f>
        <v/>
      </c>
      <c r="M425" s="159">
        <f>SUM(M424+K425-L425)</f>
        <v/>
      </c>
      <c r="N425" s="60" t="n"/>
      <c r="O425" s="60" t="n"/>
      <c r="P425" s="60" t="n"/>
      <c r="Q425" s="60" t="n"/>
      <c r="R425" s="60" t="n"/>
      <c r="S425" s="60" t="n"/>
      <c r="T425" s="60" t="n"/>
      <c r="U425" s="60" t="n"/>
      <c r="V425" s="60" t="n"/>
      <c r="W425" s="60" t="n"/>
      <c r="X425" s="60" t="n"/>
      <c r="Y425" s="60" t="n"/>
      <c r="Z425" s="60" t="n"/>
    </row>
    <row r="426">
      <c r="A426" s="151" t="n">
        <v>46064</v>
      </c>
      <c r="B426" s="70" t="n">
        <v>366</v>
      </c>
      <c r="C426" s="115" t="inlineStr">
        <is>
          <t>SELİM İNŞAAT</t>
        </is>
      </c>
      <c r="D426" s="115" t="inlineStr">
        <is>
          <t>JENERATÖR</t>
        </is>
      </c>
      <c r="E426" s="115" t="n"/>
      <c r="F426" s="65" t="n"/>
      <c r="G426" s="152" t="n">
        <v>272</v>
      </c>
      <c r="H426" s="60" t="n"/>
      <c r="I426" s="156">
        <f>+I425+(G426-H426)</f>
        <v/>
      </c>
      <c r="J426" s="60" t="n"/>
      <c r="K426" s="60" t="n"/>
      <c r="L426" s="158">
        <f>+H426*J426</f>
        <v/>
      </c>
      <c r="M426" s="159">
        <f>SUM(M425+K426-L426)</f>
        <v/>
      </c>
      <c r="N426" s="60" t="n"/>
      <c r="O426" s="60" t="n"/>
      <c r="P426" s="60" t="n"/>
      <c r="Q426" s="60" t="n"/>
      <c r="R426" s="60" t="n"/>
      <c r="S426" s="60" t="n"/>
      <c r="T426" s="60" t="n"/>
      <c r="U426" s="60" t="n"/>
      <c r="V426" s="60" t="n"/>
      <c r="W426" s="60" t="n"/>
      <c r="X426" s="60" t="n"/>
      <c r="Y426" s="60" t="n"/>
      <c r="Z426" s="60" t="n"/>
    </row>
    <row r="427">
      <c r="A427" s="151" t="n">
        <v>46064</v>
      </c>
      <c r="B427" s="70" t="n">
        <v>367</v>
      </c>
      <c r="C427" s="115" t="inlineStr">
        <is>
          <t>SELİM İNŞAAT</t>
        </is>
      </c>
      <c r="D427" s="115" t="inlineStr">
        <is>
          <t>KAWAZAKI</t>
        </is>
      </c>
      <c r="E427" s="115" t="inlineStr">
        <is>
          <t>RAMAZAN</t>
        </is>
      </c>
      <c r="F427" s="65" t="n"/>
      <c r="G427" s="152" t="n">
        <v>260</v>
      </c>
      <c r="H427" s="60" t="n"/>
      <c r="I427" s="156">
        <f>+I426+(G427-H427)</f>
        <v/>
      </c>
      <c r="J427" s="60" t="n"/>
      <c r="K427" s="60" t="n"/>
      <c r="L427" s="158">
        <f>+H427*J427</f>
        <v/>
      </c>
      <c r="M427" s="159">
        <f>SUM(M426+K427-L427)</f>
        <v/>
      </c>
      <c r="N427" s="60" t="n"/>
      <c r="O427" s="60" t="n"/>
      <c r="P427" s="60" t="n"/>
      <c r="Q427" s="60" t="n"/>
      <c r="R427" s="60" t="n"/>
      <c r="S427" s="60" t="n"/>
      <c r="T427" s="60" t="n"/>
      <c r="U427" s="60" t="n"/>
      <c r="V427" s="60" t="n"/>
      <c r="W427" s="60" t="n"/>
      <c r="X427" s="60" t="n"/>
      <c r="Y427" s="60" t="n"/>
      <c r="Z427" s="60" t="n"/>
    </row>
    <row r="428">
      <c r="A428" s="151" t="n">
        <v>46064</v>
      </c>
      <c r="B428" s="70" t="n">
        <v>368</v>
      </c>
      <c r="C428" s="115" t="inlineStr">
        <is>
          <t>KAYA METAL</t>
        </is>
      </c>
      <c r="D428" s="115" t="inlineStr">
        <is>
          <t xml:space="preserve">SM350 </t>
        </is>
      </c>
      <c r="E428" s="115" t="inlineStr">
        <is>
          <t>BAYRAM SANCAK</t>
        </is>
      </c>
      <c r="F428" s="65" t="n"/>
      <c r="G428" s="152" t="n">
        <v>455</v>
      </c>
      <c r="H428" s="60" t="n"/>
      <c r="I428" s="156">
        <f>+I427+(G428-H428)</f>
        <v/>
      </c>
      <c r="J428" s="60" t="n"/>
      <c r="K428" s="60" t="n"/>
      <c r="L428" s="158">
        <f>+H428*J428</f>
        <v/>
      </c>
      <c r="M428" s="159">
        <f>SUM(M427+K428-L428)</f>
        <v/>
      </c>
      <c r="N428" s="60" t="n"/>
      <c r="O428" s="60" t="n"/>
      <c r="P428" s="60" t="n"/>
      <c r="Q428" s="60" t="n"/>
      <c r="R428" s="60" t="n"/>
      <c r="S428" s="60" t="n"/>
      <c r="T428" s="60" t="n"/>
      <c r="U428" s="60" t="n"/>
      <c r="V428" s="60" t="n"/>
      <c r="W428" s="60" t="n"/>
      <c r="X428" s="60" t="n"/>
      <c r="Y428" s="60" t="n"/>
      <c r="Z428" s="60" t="n"/>
    </row>
    <row r="429">
      <c r="A429" s="151" t="n">
        <v>46064</v>
      </c>
      <c r="B429" s="70" t="n">
        <v>369</v>
      </c>
      <c r="C429" s="115" t="inlineStr">
        <is>
          <t>DELİKLİKAYA</t>
        </is>
      </c>
      <c r="D429" s="115" t="inlineStr">
        <is>
          <t>DELİKLİKAYA</t>
        </is>
      </c>
      <c r="E429" s="115" t="inlineStr">
        <is>
          <t>BURAK BEY</t>
        </is>
      </c>
      <c r="F429" s="65" t="n"/>
      <c r="G429" s="152" t="n">
        <v>600</v>
      </c>
      <c r="H429" s="60" t="n"/>
      <c r="I429" s="156">
        <f>+I428+(G429-H429)</f>
        <v/>
      </c>
      <c r="J429" s="60" t="n"/>
      <c r="K429" s="60" t="n"/>
      <c r="L429" s="158">
        <f>+H429*J429</f>
        <v/>
      </c>
      <c r="M429" s="159">
        <f>SUM(M428+K429-L429)</f>
        <v/>
      </c>
      <c r="N429" s="60" t="n"/>
      <c r="O429" s="60" t="n"/>
      <c r="P429" s="60" t="n"/>
      <c r="Q429" s="60" t="n"/>
      <c r="R429" s="60" t="n"/>
      <c r="S429" s="60" t="n"/>
      <c r="T429" s="60" t="n"/>
      <c r="U429" s="60" t="n"/>
      <c r="V429" s="60" t="n"/>
      <c r="W429" s="60" t="n"/>
      <c r="X429" s="60" t="n"/>
      <c r="Y429" s="60" t="n"/>
      <c r="Z429" s="60" t="n"/>
    </row>
    <row r="430">
      <c r="A430" s="151" t="n">
        <v>46064</v>
      </c>
      <c r="B430" s="70" t="n">
        <v>370</v>
      </c>
      <c r="C430" s="115" t="inlineStr">
        <is>
          <t>MEGA VARLIK</t>
        </is>
      </c>
      <c r="D430" s="115" t="inlineStr">
        <is>
          <t xml:space="preserve">SM350 </t>
        </is>
      </c>
      <c r="E430" s="115" t="inlineStr">
        <is>
          <t>TEVFİK ÖZTÜRK</t>
        </is>
      </c>
      <c r="F430" s="65" t="n"/>
      <c r="G430" s="152" t="n">
        <v>406</v>
      </c>
      <c r="H430" s="60" t="n"/>
      <c r="I430" s="156">
        <f>+I429+(G430-H430)</f>
        <v/>
      </c>
      <c r="J430" s="60" t="n"/>
      <c r="K430" s="60" t="n"/>
      <c r="L430" s="158">
        <f>+H430*J430</f>
        <v/>
      </c>
      <c r="M430" s="159">
        <f>SUM(M429+K430-L430)</f>
        <v/>
      </c>
      <c r="N430" s="60" t="n"/>
      <c r="O430" s="60" t="n"/>
      <c r="P430" s="60" t="n"/>
      <c r="Q430" s="60" t="n"/>
      <c r="R430" s="60" t="n"/>
      <c r="S430" s="60" t="n"/>
      <c r="T430" s="60" t="n"/>
      <c r="U430" s="60" t="n"/>
      <c r="V430" s="60" t="n"/>
      <c r="W430" s="60" t="n"/>
      <c r="X430" s="60" t="n"/>
      <c r="Y430" s="60" t="n"/>
      <c r="Z430" s="60" t="n"/>
    </row>
    <row r="431">
      <c r="A431" s="151" t="n">
        <v>46064</v>
      </c>
      <c r="B431" s="70" t="n">
        <v>371</v>
      </c>
      <c r="C431" s="115" t="inlineStr">
        <is>
          <t>MEGA VARLIK</t>
        </is>
      </c>
      <c r="D431" s="115" t="inlineStr">
        <is>
          <t xml:space="preserve">SM350 </t>
        </is>
      </c>
      <c r="E431" s="115" t="inlineStr">
        <is>
          <t xml:space="preserve">MİKAİL BAYILMAZ </t>
        </is>
      </c>
      <c r="F431" s="65" t="n"/>
      <c r="G431" s="152" t="n">
        <v>368</v>
      </c>
      <c r="H431" s="60" t="n"/>
      <c r="I431" s="156">
        <f>+I430+(G431-H431)</f>
        <v/>
      </c>
      <c r="J431" s="60" t="n"/>
      <c r="K431" s="60" t="n"/>
      <c r="L431" s="158">
        <f>+H431*J431</f>
        <v/>
      </c>
      <c r="M431" s="159">
        <f>SUM(M430+K431-L431)</f>
        <v/>
      </c>
      <c r="N431" s="60" t="n"/>
      <c r="O431" s="60" t="n"/>
      <c r="P431" s="60" t="n"/>
      <c r="Q431" s="60" t="n"/>
      <c r="R431" s="60" t="n"/>
      <c r="S431" s="60" t="n"/>
      <c r="T431" s="60" t="n"/>
      <c r="U431" s="60" t="n"/>
      <c r="V431" s="60" t="n"/>
      <c r="W431" s="60" t="n"/>
      <c r="X431" s="60" t="n"/>
      <c r="Y431" s="60" t="n"/>
      <c r="Z431" s="60" t="n"/>
    </row>
    <row r="432">
      <c r="A432" s="151" t="n">
        <v>46064</v>
      </c>
      <c r="B432" s="70" t="n">
        <v>2534</v>
      </c>
      <c r="C432" s="115" t="inlineStr">
        <is>
          <t xml:space="preserve">AZGÜN YAPI </t>
        </is>
      </c>
      <c r="D432" s="115" t="inlineStr">
        <is>
          <t>34 MKT 593</t>
        </is>
      </c>
      <c r="E432" s="115" t="inlineStr">
        <is>
          <t>TURGUT ÇATAL</t>
        </is>
      </c>
      <c r="F432" s="65" t="n"/>
      <c r="G432" s="152" t="n">
        <v>459</v>
      </c>
      <c r="H432" s="60" t="n"/>
      <c r="I432" s="156">
        <f>+I431+(G432-H432)</f>
        <v/>
      </c>
      <c r="J432" s="60" t="n"/>
      <c r="K432" s="60" t="n"/>
      <c r="L432" s="158">
        <f>+H432*J432</f>
        <v/>
      </c>
      <c r="M432" s="159">
        <f>SUM(M431+K432-L432)</f>
        <v/>
      </c>
      <c r="N432" s="60" t="n"/>
      <c r="O432" s="60" t="n"/>
      <c r="P432" s="60" t="n"/>
      <c r="Q432" s="60" t="n"/>
      <c r="R432" s="60" t="n"/>
      <c r="S432" s="60" t="n"/>
      <c r="T432" s="60" t="n"/>
      <c r="U432" s="60" t="n"/>
      <c r="V432" s="60" t="n"/>
      <c r="W432" s="60" t="n"/>
      <c r="X432" s="60" t="n"/>
      <c r="Y432" s="60" t="n"/>
      <c r="Z432" s="60" t="n"/>
    </row>
    <row r="433">
      <c r="A433" s="151" t="n">
        <v>46065</v>
      </c>
      <c r="B433" s="70" t="n">
        <v>4112</v>
      </c>
      <c r="C433" s="115" t="inlineStr">
        <is>
          <t>SELİM İNŞAAT</t>
        </is>
      </c>
      <c r="D433" s="115" t="inlineStr">
        <is>
          <t>34 EDB 659</t>
        </is>
      </c>
      <c r="E433" s="115" t="inlineStr">
        <is>
          <t>MEHMET SAİT ANIK</t>
        </is>
      </c>
      <c r="F433" s="65" t="n">
        <v>387010</v>
      </c>
      <c r="G433" s="152" t="n">
        <v>477</v>
      </c>
      <c r="H433" s="60" t="n"/>
      <c r="I433" s="156">
        <f>+I432+(G433-H433)</f>
        <v/>
      </c>
      <c r="J433" s="60" t="n"/>
      <c r="K433" s="60" t="n"/>
      <c r="L433" s="158">
        <f>+H433*J433</f>
        <v/>
      </c>
      <c r="M433" s="159">
        <f>SUM(M432+K433-L433)</f>
        <v/>
      </c>
      <c r="N433" s="60" t="n"/>
      <c r="O433" s="60" t="n"/>
      <c r="P433" s="60" t="n"/>
      <c r="Q433" s="60" t="n"/>
      <c r="R433" s="60" t="n"/>
      <c r="S433" s="60" t="n"/>
      <c r="T433" s="60" t="n"/>
      <c r="U433" s="60" t="n"/>
      <c r="V433" s="60" t="n"/>
      <c r="W433" s="60" t="n"/>
      <c r="X433" s="60" t="n"/>
      <c r="Y433" s="60" t="n"/>
      <c r="Z433" s="60" t="n"/>
    </row>
    <row r="434">
      <c r="A434" s="151" t="n">
        <v>46065</v>
      </c>
      <c r="B434" s="70" t="n">
        <v>3327</v>
      </c>
      <c r="C434" s="115" t="inlineStr">
        <is>
          <t>SELİM İNŞAAT</t>
        </is>
      </c>
      <c r="D434" s="115" t="inlineStr">
        <is>
          <t>34 GUS 938</t>
        </is>
      </c>
      <c r="E434" s="115" t="inlineStr">
        <is>
          <t>MEHMET KAYA</t>
        </is>
      </c>
      <c r="F434" s="65" t="n">
        <v>244493</v>
      </c>
      <c r="G434" s="152" t="n">
        <v>479</v>
      </c>
      <c r="H434" s="60" t="n"/>
      <c r="I434" s="156">
        <f>+I433+(G434-H434)</f>
        <v/>
      </c>
      <c r="J434" s="60" t="n"/>
      <c r="K434" s="60" t="n"/>
      <c r="L434" s="158">
        <f>+H434*J434</f>
        <v/>
      </c>
      <c r="M434" s="159">
        <f>SUM(M433+K434-L434)</f>
        <v/>
      </c>
      <c r="N434" s="60" t="n"/>
      <c r="O434" s="60" t="n"/>
      <c r="P434" s="60" t="n"/>
      <c r="Q434" s="60" t="n"/>
      <c r="R434" s="60" t="n"/>
      <c r="S434" s="60" t="n"/>
      <c r="T434" s="60" t="n"/>
      <c r="U434" s="60" t="n"/>
      <c r="V434" s="60" t="n"/>
      <c r="W434" s="60" t="n"/>
      <c r="X434" s="60" t="n"/>
      <c r="Y434" s="60" t="n"/>
      <c r="Z434" s="60" t="n"/>
    </row>
    <row r="435">
      <c r="A435" s="151" t="n">
        <v>46065</v>
      </c>
      <c r="B435" s="70" t="n">
        <v>7</v>
      </c>
      <c r="C435" s="115" t="inlineStr">
        <is>
          <t>SELİM İNŞAAT</t>
        </is>
      </c>
      <c r="D435" s="115" t="inlineStr">
        <is>
          <t xml:space="preserve">34 GVZ 268 </t>
        </is>
      </c>
      <c r="E435" s="115" t="inlineStr">
        <is>
          <t>KERİM KARAMAN</t>
        </is>
      </c>
      <c r="F435" s="65" t="n">
        <v>248295</v>
      </c>
      <c r="G435" s="152" t="n">
        <v>433</v>
      </c>
      <c r="H435" s="60" t="n"/>
      <c r="I435" s="156">
        <f>+I434+(G435-H435)</f>
        <v/>
      </c>
      <c r="J435" s="60" t="n"/>
      <c r="K435" s="60" t="n"/>
      <c r="L435" s="158">
        <f>+H435*J435</f>
        <v/>
      </c>
      <c r="M435" s="159">
        <f>SUM(M434+K435-L435)</f>
        <v/>
      </c>
      <c r="N435" s="60" t="n"/>
      <c r="O435" s="60" t="n"/>
      <c r="P435" s="60" t="n"/>
      <c r="Q435" s="60" t="n"/>
      <c r="R435" s="60" t="n"/>
      <c r="S435" s="60" t="n"/>
      <c r="T435" s="60" t="n"/>
      <c r="U435" s="60" t="n"/>
      <c r="V435" s="60" t="n"/>
      <c r="W435" s="60" t="n"/>
      <c r="X435" s="60" t="n"/>
      <c r="Y435" s="60" t="n"/>
      <c r="Z435" s="60" t="n"/>
    </row>
    <row r="436">
      <c r="A436" s="151" t="n">
        <v>46065</v>
      </c>
      <c r="B436" s="70" t="n">
        <v>510</v>
      </c>
      <c r="C436" s="115" t="inlineStr">
        <is>
          <t>SELİM İNŞAAT</t>
        </is>
      </c>
      <c r="D436" s="115" t="inlineStr">
        <is>
          <t>34 EGR 737</t>
        </is>
      </c>
      <c r="E436" s="115" t="inlineStr">
        <is>
          <t>CEM MUHTAR</t>
        </is>
      </c>
      <c r="F436" s="65" t="n">
        <v>458111</v>
      </c>
      <c r="G436" s="152" t="n">
        <v>445</v>
      </c>
      <c r="H436" s="60" t="n"/>
      <c r="I436" s="156">
        <f>+I435+(G436-H436)</f>
        <v/>
      </c>
      <c r="J436" s="60" t="n"/>
      <c r="K436" s="60" t="n"/>
      <c r="L436" s="158">
        <f>+H436*J436</f>
        <v/>
      </c>
      <c r="M436" s="159">
        <f>SUM(M435+K436-L436)</f>
        <v/>
      </c>
      <c r="N436" s="60" t="n"/>
      <c r="O436" s="60" t="n"/>
      <c r="P436" s="60" t="n"/>
      <c r="Q436" s="60" t="n"/>
      <c r="R436" s="60" t="n"/>
      <c r="S436" s="60" t="n"/>
      <c r="T436" s="60" t="n"/>
      <c r="U436" s="60" t="n"/>
      <c r="V436" s="60" t="n"/>
      <c r="W436" s="60" t="n"/>
      <c r="X436" s="60" t="n"/>
      <c r="Y436" s="60" t="n"/>
      <c r="Z436" s="60" t="n"/>
    </row>
    <row r="437">
      <c r="A437" s="151" t="n">
        <v>46065</v>
      </c>
      <c r="B437" s="70" t="n">
        <v>4871</v>
      </c>
      <c r="C437" s="115" t="inlineStr">
        <is>
          <t>SELİM İNŞAAT</t>
        </is>
      </c>
      <c r="D437" s="115" t="inlineStr">
        <is>
          <t>34 FBR 705</t>
        </is>
      </c>
      <c r="E437" s="115" t="inlineStr">
        <is>
          <t>MURAT SARI</t>
        </is>
      </c>
      <c r="F437" s="65" t="n">
        <v>359407</v>
      </c>
      <c r="G437" s="152" t="n">
        <v>332</v>
      </c>
      <c r="H437" s="60" t="n"/>
      <c r="I437" s="156">
        <f>+I436+(G437-H437)</f>
        <v/>
      </c>
      <c r="J437" s="60" t="n"/>
      <c r="K437" s="60" t="n"/>
      <c r="L437" s="158">
        <f>+H437*J437</f>
        <v/>
      </c>
      <c r="M437" s="159">
        <f>SUM(M436+K437-L437)</f>
        <v/>
      </c>
      <c r="N437" s="60" t="n"/>
      <c r="O437" s="60" t="n"/>
      <c r="P437" s="60" t="n"/>
      <c r="Q437" s="60" t="n"/>
      <c r="R437" s="60" t="n"/>
      <c r="S437" s="60" t="n"/>
      <c r="T437" s="60" t="n"/>
      <c r="U437" s="60" t="n"/>
      <c r="V437" s="60" t="n"/>
      <c r="W437" s="60" t="n"/>
      <c r="X437" s="60" t="n"/>
      <c r="Y437" s="60" t="n"/>
      <c r="Z437" s="60" t="n"/>
    </row>
    <row r="438">
      <c r="A438" s="151" t="n">
        <v>46065</v>
      </c>
      <c r="B438" s="70" t="n">
        <v>4965</v>
      </c>
      <c r="C438" s="115" t="inlineStr">
        <is>
          <t>SELİM İNŞAAT</t>
        </is>
      </c>
      <c r="D438" s="115" t="inlineStr">
        <is>
          <t>34 GVZ 745</t>
        </is>
      </c>
      <c r="E438" s="115" t="inlineStr">
        <is>
          <t>MURAT DEMİRBAŞ</t>
        </is>
      </c>
      <c r="F438" s="65" t="n">
        <v>243923</v>
      </c>
      <c r="G438" s="152" t="n">
        <v>362</v>
      </c>
      <c r="H438" s="60" t="n"/>
      <c r="I438" s="156">
        <f>+I437+(G438-H438)</f>
        <v/>
      </c>
      <c r="J438" s="60" t="n"/>
      <c r="K438" s="60" t="n"/>
      <c r="L438" s="158">
        <f>+H438*J438</f>
        <v/>
      </c>
      <c r="M438" s="159">
        <f>SUM(M437+K438-L438)</f>
        <v/>
      </c>
      <c r="N438" s="60" t="n"/>
      <c r="O438" s="60" t="n"/>
      <c r="P438" s="60" t="n"/>
      <c r="Q438" s="60" t="n"/>
      <c r="R438" s="60" t="n"/>
      <c r="S438" s="60" t="n"/>
      <c r="T438" s="60" t="n"/>
      <c r="U438" s="60" t="n"/>
      <c r="V438" s="60" t="n"/>
      <c r="W438" s="60" t="n"/>
      <c r="X438" s="60" t="n"/>
      <c r="Y438" s="60" t="n"/>
      <c r="Z438" s="60" t="n"/>
    </row>
    <row r="439">
      <c r="A439" s="151" t="n">
        <v>46065</v>
      </c>
      <c r="B439" s="70" t="n">
        <v>3041</v>
      </c>
      <c r="C439" s="115" t="inlineStr">
        <is>
          <t>SELİM İNŞAAT</t>
        </is>
      </c>
      <c r="D439" s="115" t="inlineStr">
        <is>
          <t>34 FBR 781</t>
        </is>
      </c>
      <c r="E439" s="115" t="inlineStr">
        <is>
          <t>MEVLÜT POLAT</t>
        </is>
      </c>
      <c r="F439" s="65" t="n">
        <v>359800</v>
      </c>
      <c r="G439" s="152" t="n">
        <v>344</v>
      </c>
      <c r="H439" s="60" t="n"/>
      <c r="I439" s="156">
        <f>+I438+(G439-H439)</f>
        <v/>
      </c>
      <c r="J439" s="60" t="n"/>
      <c r="K439" s="60" t="n"/>
      <c r="L439" s="158">
        <f>+H439*J439</f>
        <v/>
      </c>
      <c r="M439" s="159">
        <f>SUM(M438+K439-L439)</f>
        <v/>
      </c>
      <c r="N439" s="60" t="n"/>
      <c r="O439" s="60" t="n"/>
      <c r="P439" s="60" t="n"/>
      <c r="Q439" s="60" t="n"/>
      <c r="R439" s="60" t="n"/>
      <c r="S439" s="60" t="n"/>
      <c r="T439" s="60" t="n"/>
      <c r="U439" s="60" t="n"/>
      <c r="V439" s="60" t="n"/>
      <c r="W439" s="60" t="n"/>
      <c r="X439" s="60" t="n"/>
      <c r="Y439" s="60" t="n"/>
      <c r="Z439" s="60" t="n"/>
    </row>
    <row r="440">
      <c r="A440" s="151" t="n">
        <v>46065</v>
      </c>
      <c r="B440" s="70" t="n">
        <v>4921</v>
      </c>
      <c r="C440" s="115" t="inlineStr">
        <is>
          <t>SELİM İNŞAAT</t>
        </is>
      </c>
      <c r="D440" s="115" t="inlineStr">
        <is>
          <t>34 FBR 742</t>
        </is>
      </c>
      <c r="E440" s="115" t="inlineStr">
        <is>
          <t>ADNAN KOÇ</t>
        </is>
      </c>
      <c r="F440" s="65" t="n">
        <v>363535</v>
      </c>
      <c r="G440" s="152" t="n">
        <v>410</v>
      </c>
      <c r="H440" s="60" t="n"/>
      <c r="I440" s="156">
        <f>+I439+(G440-H440)</f>
        <v/>
      </c>
      <c r="J440" s="60" t="n"/>
      <c r="K440" s="60" t="n"/>
      <c r="L440" s="158">
        <f>+H440*J440</f>
        <v/>
      </c>
      <c r="M440" s="159">
        <f>SUM(M439+K440-L440)</f>
        <v/>
      </c>
      <c r="N440" s="60" t="n"/>
      <c r="O440" s="60" t="n"/>
      <c r="P440" s="60" t="n"/>
      <c r="Q440" s="60" t="n"/>
      <c r="R440" s="60" t="n"/>
      <c r="S440" s="60" t="n"/>
      <c r="T440" s="60" t="n"/>
      <c r="U440" s="60" t="n"/>
      <c r="V440" s="60" t="n"/>
      <c r="W440" s="60" t="n"/>
      <c r="X440" s="60" t="n"/>
      <c r="Y440" s="60" t="n"/>
      <c r="Z440" s="60" t="n"/>
    </row>
    <row r="441">
      <c r="A441" s="151" t="n">
        <v>46065</v>
      </c>
      <c r="B441" s="70" t="n">
        <v>2790</v>
      </c>
      <c r="C441" s="115" t="inlineStr">
        <is>
          <t>SELİM İNŞAAT</t>
        </is>
      </c>
      <c r="D441" s="115" t="inlineStr">
        <is>
          <t>34 EDC 086</t>
        </is>
      </c>
      <c r="E441" s="115" t="inlineStr">
        <is>
          <t>SEZGİN KOCAGİL</t>
        </is>
      </c>
      <c r="F441" s="65" t="n">
        <v>373923</v>
      </c>
      <c r="G441" s="152" t="n">
        <v>406</v>
      </c>
      <c r="H441" s="60" t="n"/>
      <c r="I441" s="156">
        <f>+I440+(G441-H441)</f>
        <v/>
      </c>
      <c r="J441" s="60" t="n"/>
      <c r="K441" s="60" t="n"/>
      <c r="L441" s="158">
        <f>+H441*J441</f>
        <v/>
      </c>
      <c r="M441" s="159">
        <f>SUM(M440+K441-L441)</f>
        <v/>
      </c>
      <c r="N441" s="60" t="n"/>
      <c r="O441" s="60" t="n"/>
      <c r="P441" s="60" t="n"/>
      <c r="Q441" s="60" t="n"/>
      <c r="R441" s="60" t="n"/>
      <c r="S441" s="60" t="n"/>
      <c r="T441" s="60" t="n"/>
      <c r="U441" s="60" t="n"/>
      <c r="V441" s="60" t="n"/>
      <c r="W441" s="60" t="n"/>
      <c r="X441" s="60" t="n"/>
      <c r="Y441" s="60" t="n"/>
      <c r="Z441" s="60" t="n"/>
    </row>
    <row r="442">
      <c r="A442" s="151" t="n">
        <v>46065</v>
      </c>
      <c r="B442" s="70" t="n">
        <v>1630</v>
      </c>
      <c r="C442" s="115" t="inlineStr">
        <is>
          <t>SELİM İNŞAAT</t>
        </is>
      </c>
      <c r="D442" s="115" t="inlineStr">
        <is>
          <t>34 VF 2620</t>
        </is>
      </c>
      <c r="E442" s="115" t="inlineStr">
        <is>
          <t>RECEP SELİM</t>
        </is>
      </c>
      <c r="F442" s="65" t="n">
        <v>201603</v>
      </c>
      <c r="G442" s="152" t="n">
        <v>59</v>
      </c>
      <c r="H442" s="60" t="n"/>
      <c r="I442" s="156">
        <f>+I441+(G442-H442)</f>
        <v/>
      </c>
      <c r="J442" s="60" t="n"/>
      <c r="K442" s="60" t="n"/>
      <c r="L442" s="158">
        <f>+H442*J442</f>
        <v/>
      </c>
      <c r="M442" s="159">
        <f>SUM(M441+K442-L442)</f>
        <v/>
      </c>
      <c r="N442" s="60" t="n"/>
      <c r="O442" s="60" t="n"/>
      <c r="P442" s="60" t="n"/>
      <c r="Q442" s="60" t="n"/>
      <c r="R442" s="60" t="n"/>
      <c r="S442" s="60" t="n"/>
      <c r="T442" s="60" t="n"/>
      <c r="U442" s="60" t="n"/>
      <c r="V442" s="60" t="n"/>
      <c r="W442" s="60" t="n"/>
      <c r="X442" s="60" t="n"/>
      <c r="Y442" s="60" t="n"/>
      <c r="Z442" s="60" t="n"/>
    </row>
    <row r="443">
      <c r="A443" s="151" t="n">
        <v>46065</v>
      </c>
      <c r="B443" s="70" t="n">
        <v>2746</v>
      </c>
      <c r="C443" s="115" t="inlineStr">
        <is>
          <t>METİN ERYİĞİT</t>
        </is>
      </c>
      <c r="D443" s="115" t="inlineStr">
        <is>
          <t>34 EGR 814</t>
        </is>
      </c>
      <c r="E443" s="115" t="inlineStr">
        <is>
          <t xml:space="preserve">ZİYA İNCE </t>
        </is>
      </c>
      <c r="F443" s="65" t="n">
        <v>601042</v>
      </c>
      <c r="G443" s="152" t="n">
        <v>490</v>
      </c>
      <c r="H443" s="60" t="n"/>
      <c r="I443" s="156">
        <f>+I442+(G443-H443)</f>
        <v/>
      </c>
      <c r="J443" s="60" t="n"/>
      <c r="K443" s="60" t="n"/>
      <c r="L443" s="158">
        <f>+H443*J443</f>
        <v/>
      </c>
      <c r="M443" s="159">
        <f>SUM(M442+K443-L443)</f>
        <v/>
      </c>
      <c r="N443" s="60" t="n"/>
      <c r="O443" s="60" t="n"/>
      <c r="P443" s="60" t="n"/>
      <c r="Q443" s="60" t="n"/>
      <c r="R443" s="60" t="n"/>
      <c r="S443" s="60" t="n"/>
      <c r="T443" s="60" t="n"/>
      <c r="U443" s="60" t="n"/>
      <c r="V443" s="60" t="n"/>
      <c r="W443" s="60" t="n"/>
      <c r="X443" s="60" t="n"/>
      <c r="Y443" s="60" t="n"/>
      <c r="Z443" s="60" t="n"/>
    </row>
    <row r="444">
      <c r="A444" s="151" t="n">
        <v>46065</v>
      </c>
      <c r="B444" s="70" t="n">
        <v>3800</v>
      </c>
      <c r="C444" s="115" t="inlineStr">
        <is>
          <t>METİN ERYİĞİT</t>
        </is>
      </c>
      <c r="D444" s="115" t="inlineStr">
        <is>
          <t>34 GBL 998</t>
        </is>
      </c>
      <c r="E444" s="115" t="inlineStr">
        <is>
          <t>ALİ KESKİN</t>
        </is>
      </c>
      <c r="F444" s="65" t="n">
        <v>339575</v>
      </c>
      <c r="G444" s="152" t="n">
        <v>332</v>
      </c>
      <c r="H444" s="60" t="n"/>
      <c r="I444" s="156">
        <f>+I443+(G444-H444)</f>
        <v/>
      </c>
      <c r="J444" s="60" t="n"/>
      <c r="K444" s="60" t="n"/>
      <c r="L444" s="158">
        <f>+H444*J444</f>
        <v/>
      </c>
      <c r="M444" s="159">
        <f>SUM(M443+K444-L444)</f>
        <v/>
      </c>
      <c r="N444" s="60" t="n"/>
      <c r="O444" s="60" t="n"/>
      <c r="P444" s="60" t="n"/>
      <c r="Q444" s="60" t="n"/>
      <c r="R444" s="60" t="n"/>
      <c r="S444" s="60" t="n"/>
      <c r="T444" s="60" t="n"/>
      <c r="U444" s="60" t="n"/>
      <c r="V444" s="60" t="n"/>
      <c r="W444" s="60" t="n"/>
      <c r="X444" s="60" t="n"/>
      <c r="Y444" s="60" t="n"/>
      <c r="Z444" s="60" t="n"/>
    </row>
    <row r="445">
      <c r="A445" s="151" t="n">
        <v>46065</v>
      </c>
      <c r="B445" s="70" t="n">
        <v>2893</v>
      </c>
      <c r="C445" s="115" t="inlineStr">
        <is>
          <t>MEGA VARLIK</t>
        </is>
      </c>
      <c r="D445" s="115" t="inlineStr">
        <is>
          <t>HASAN ZEMİN</t>
        </is>
      </c>
      <c r="E445" s="115" t="n"/>
      <c r="F445" s="65" t="n"/>
      <c r="G445" s="152" t="n">
        <v>241</v>
      </c>
      <c r="H445" s="60" t="n"/>
      <c r="I445" s="156">
        <f>+I444+(G445-H445)</f>
        <v/>
      </c>
      <c r="J445" s="60" t="n"/>
      <c r="K445" s="60" t="n"/>
      <c r="L445" s="158">
        <f>+H445*J445</f>
        <v/>
      </c>
      <c r="M445" s="159">
        <f>SUM(M444+K445-L445)</f>
        <v/>
      </c>
      <c r="N445" s="60" t="n"/>
      <c r="O445" s="60" t="n"/>
      <c r="P445" s="60" t="n"/>
      <c r="Q445" s="60" t="n"/>
      <c r="R445" s="60" t="n"/>
      <c r="S445" s="60" t="n"/>
      <c r="T445" s="60" t="n"/>
      <c r="U445" s="60" t="n"/>
      <c r="V445" s="60" t="n"/>
      <c r="W445" s="60" t="n"/>
      <c r="X445" s="60" t="n"/>
      <c r="Y445" s="60" t="n"/>
      <c r="Z445" s="60" t="n"/>
    </row>
    <row r="446">
      <c r="A446" s="151" t="n">
        <v>46065</v>
      </c>
      <c r="B446" s="70" t="n">
        <v>372</v>
      </c>
      <c r="C446" s="115" t="inlineStr">
        <is>
          <t>VARLIK</t>
        </is>
      </c>
      <c r="D446" s="115" t="inlineStr">
        <is>
          <t>FORKLİFT</t>
        </is>
      </c>
      <c r="E446" s="115" t="inlineStr">
        <is>
          <t xml:space="preserve">FAHRİ KALFA </t>
        </is>
      </c>
      <c r="F446" s="65" t="n"/>
      <c r="G446" s="152" t="n">
        <v>180</v>
      </c>
      <c r="H446" s="60" t="n"/>
      <c r="I446" s="156">
        <f>+I445+(G446-H446)</f>
        <v/>
      </c>
      <c r="J446" s="60" t="n"/>
      <c r="K446" s="60" t="n"/>
      <c r="L446" s="158">
        <f>+H446*J446</f>
        <v/>
      </c>
      <c r="M446" s="159">
        <f>SUM(M445+K446-L446)</f>
        <v/>
      </c>
      <c r="N446" s="60" t="n"/>
      <c r="O446" s="60" t="n"/>
      <c r="P446" s="60" t="n"/>
      <c r="Q446" s="60" t="n"/>
      <c r="R446" s="60" t="n"/>
      <c r="S446" s="60" t="n"/>
      <c r="T446" s="60" t="n"/>
      <c r="U446" s="60" t="n"/>
      <c r="V446" s="60" t="n"/>
      <c r="W446" s="60" t="n"/>
      <c r="X446" s="60" t="n"/>
      <c r="Y446" s="60" t="n"/>
      <c r="Z446" s="60" t="n"/>
    </row>
    <row r="447">
      <c r="A447" s="151" t="n">
        <v>46065</v>
      </c>
      <c r="B447" s="70" t="n">
        <v>373</v>
      </c>
      <c r="C447" s="115" t="inlineStr">
        <is>
          <t>MEGA VARLIK</t>
        </is>
      </c>
      <c r="D447" s="115" t="inlineStr">
        <is>
          <t xml:space="preserve">SM350 </t>
        </is>
      </c>
      <c r="E447" s="115" t="inlineStr">
        <is>
          <t>TEVFİK ÖZTÜRK</t>
        </is>
      </c>
      <c r="F447" s="65" t="n"/>
      <c r="G447" s="152" t="n">
        <v>231</v>
      </c>
      <c r="H447" s="60" t="n"/>
      <c r="I447" s="156">
        <f>+I446+(G447-H447)</f>
        <v/>
      </c>
      <c r="J447" s="60" t="n"/>
      <c r="K447" s="60" t="n"/>
      <c r="L447" s="158">
        <f>+H447*J447</f>
        <v/>
      </c>
      <c r="M447" s="159">
        <f>SUM(M446+K447-L447)</f>
        <v/>
      </c>
      <c r="N447" s="60" t="n"/>
      <c r="O447" s="60" t="n"/>
      <c r="P447" s="60" t="n"/>
      <c r="Q447" s="60" t="n"/>
      <c r="R447" s="60" t="n"/>
      <c r="S447" s="60" t="n"/>
      <c r="T447" s="60" t="n"/>
      <c r="U447" s="60" t="n"/>
      <c r="V447" s="60" t="n"/>
      <c r="W447" s="60" t="n"/>
      <c r="X447" s="60" t="n"/>
      <c r="Y447" s="60" t="n"/>
      <c r="Z447" s="60" t="n"/>
    </row>
    <row r="448">
      <c r="A448" s="151" t="n">
        <v>46065</v>
      </c>
      <c r="B448" s="70" t="n">
        <v>374</v>
      </c>
      <c r="C448" s="115" t="inlineStr">
        <is>
          <t>MEGA VARLIK</t>
        </is>
      </c>
      <c r="D448" s="115" t="inlineStr">
        <is>
          <t xml:space="preserve">SM350 </t>
        </is>
      </c>
      <c r="E448" s="115" t="inlineStr">
        <is>
          <t xml:space="preserve">MİKAİL BAYILMAZ </t>
        </is>
      </c>
      <c r="F448" s="65" t="n"/>
      <c r="G448" s="152" t="n">
        <v>258</v>
      </c>
      <c r="H448" s="60" t="n"/>
      <c r="I448" s="156">
        <f>+I447+(G448-H448)</f>
        <v/>
      </c>
      <c r="J448" s="60" t="n"/>
      <c r="K448" s="60" t="n"/>
      <c r="L448" s="158">
        <f>+H448*J448</f>
        <v/>
      </c>
      <c r="M448" s="159">
        <f>SUM(M447+K448-L448)</f>
        <v/>
      </c>
      <c r="N448" s="60" t="n"/>
      <c r="O448" s="60" t="n"/>
      <c r="P448" s="60" t="n"/>
      <c r="Q448" s="60" t="n"/>
      <c r="R448" s="60" t="n"/>
      <c r="S448" s="60" t="n"/>
      <c r="T448" s="60" t="n"/>
      <c r="U448" s="60" t="n"/>
      <c r="V448" s="60" t="n"/>
      <c r="W448" s="60" t="n"/>
      <c r="X448" s="60" t="n"/>
      <c r="Y448" s="60" t="n"/>
      <c r="Z448" s="60" t="n"/>
    </row>
    <row r="449">
      <c r="A449" s="151" t="n">
        <v>46065</v>
      </c>
      <c r="B449" s="70" t="n">
        <v>2535</v>
      </c>
      <c r="C449" s="115" t="inlineStr">
        <is>
          <t xml:space="preserve">AZGÜN YAPI </t>
        </is>
      </c>
      <c r="D449" s="115" t="inlineStr">
        <is>
          <t>34 MKT 593</t>
        </is>
      </c>
      <c r="E449" s="115" t="inlineStr">
        <is>
          <t>TURGUT ÇATAL</t>
        </is>
      </c>
      <c r="F449" s="65" t="n"/>
      <c r="G449" s="152" t="n">
        <v>384</v>
      </c>
      <c r="H449" s="60" t="n"/>
      <c r="I449" s="156">
        <f>+I448+(G449-H449)</f>
        <v/>
      </c>
      <c r="J449" s="60" t="n"/>
      <c r="K449" s="60" t="n"/>
      <c r="L449" s="158">
        <f>+H449*J449</f>
        <v/>
      </c>
      <c r="M449" s="159">
        <f>SUM(M448+K449-L449)</f>
        <v/>
      </c>
      <c r="N449" s="60" t="n"/>
      <c r="O449" s="60" t="n"/>
      <c r="P449" s="60" t="n"/>
      <c r="Q449" s="60" t="n"/>
      <c r="R449" s="60" t="n"/>
      <c r="S449" s="60" t="n"/>
      <c r="T449" s="60" t="n"/>
      <c r="U449" s="60" t="n"/>
      <c r="V449" s="60" t="n"/>
      <c r="W449" s="60" t="n"/>
      <c r="X449" s="60" t="n"/>
      <c r="Y449" s="60" t="n"/>
      <c r="Z449" s="60" t="n"/>
    </row>
    <row r="450">
      <c r="A450" s="151" t="n">
        <v>46065</v>
      </c>
      <c r="B450" s="70" t="n">
        <v>3281</v>
      </c>
      <c r="C450" s="115" t="inlineStr">
        <is>
          <t xml:space="preserve">AZGÜN YAPI </t>
        </is>
      </c>
      <c r="D450" s="115" t="inlineStr">
        <is>
          <t xml:space="preserve">34 DTV 263 </t>
        </is>
      </c>
      <c r="E450" s="115" t="inlineStr">
        <is>
          <t>İRFAN DAĞLAR</t>
        </is>
      </c>
      <c r="F450" s="65" t="n"/>
      <c r="G450" s="152" t="n">
        <v>386</v>
      </c>
      <c r="H450" s="60" t="n"/>
      <c r="I450" s="156">
        <f>+I449+(G450-H450)</f>
        <v/>
      </c>
      <c r="J450" s="60" t="n"/>
      <c r="K450" s="60" t="n"/>
      <c r="L450" s="158">
        <f>+H450*J450</f>
        <v/>
      </c>
      <c r="M450" s="159">
        <f>SUM(M449+K450-L450)</f>
        <v/>
      </c>
      <c r="N450" s="60" t="n"/>
      <c r="O450" s="60" t="n"/>
      <c r="P450" s="60" t="n"/>
      <c r="Q450" s="60" t="n"/>
      <c r="R450" s="60" t="n"/>
      <c r="S450" s="60" t="n"/>
      <c r="T450" s="60" t="n"/>
      <c r="U450" s="60" t="n"/>
      <c r="V450" s="60" t="n"/>
      <c r="W450" s="60" t="n"/>
      <c r="X450" s="60" t="n"/>
      <c r="Y450" s="60" t="n"/>
      <c r="Z450" s="60" t="n"/>
    </row>
    <row r="451">
      <c r="A451" s="151" t="n">
        <v>46065</v>
      </c>
      <c r="B451" s="70" t="n">
        <v>1385</v>
      </c>
      <c r="C451" s="115" t="inlineStr">
        <is>
          <t xml:space="preserve">AZGÜN YAPI </t>
        </is>
      </c>
      <c r="D451" s="115" t="inlineStr">
        <is>
          <t>34 MKT 859</t>
        </is>
      </c>
      <c r="E451" s="115" t="inlineStr">
        <is>
          <t>ONUR CANLI</t>
        </is>
      </c>
      <c r="F451" s="65" t="n"/>
      <c r="G451" s="152" t="n">
        <v>244</v>
      </c>
      <c r="H451" s="60" t="n"/>
      <c r="I451" s="156">
        <f>+I450+(G451-H451)</f>
        <v/>
      </c>
      <c r="J451" s="60" t="n"/>
      <c r="K451" s="60" t="n"/>
      <c r="L451" s="158">
        <f>+H451*J451</f>
        <v/>
      </c>
      <c r="M451" s="159">
        <f>SUM(M450+K451-L451)</f>
        <v/>
      </c>
      <c r="N451" s="60" t="n"/>
      <c r="O451" s="60" t="n"/>
      <c r="P451" s="60" t="n"/>
      <c r="Q451" s="60" t="n"/>
      <c r="R451" s="60" t="n"/>
      <c r="S451" s="60" t="n"/>
      <c r="T451" s="60" t="n"/>
      <c r="U451" s="60" t="n"/>
      <c r="V451" s="60" t="n"/>
      <c r="W451" s="60" t="n"/>
      <c r="X451" s="60" t="n"/>
      <c r="Y451" s="60" t="n"/>
      <c r="Z451" s="60" t="n"/>
    </row>
    <row r="452">
      <c r="A452" s="151" t="n">
        <v>46066</v>
      </c>
      <c r="B452" s="70" t="n">
        <v>2384</v>
      </c>
      <c r="C452" s="115" t="inlineStr">
        <is>
          <t>SELİM İNŞAAT</t>
        </is>
      </c>
      <c r="D452" s="115" t="inlineStr">
        <is>
          <t>34 FEM 934</t>
        </is>
      </c>
      <c r="E452" s="115" t="inlineStr">
        <is>
          <t>ABDULKERİM ERGEN</t>
        </is>
      </c>
      <c r="F452" s="65" t="n">
        <v>331596</v>
      </c>
      <c r="G452" s="152" t="n">
        <v>66</v>
      </c>
      <c r="H452" s="60" t="n"/>
      <c r="I452" s="156">
        <f>+I451+(G452-H452)</f>
        <v/>
      </c>
      <c r="J452" s="60" t="n"/>
      <c r="K452" s="60" t="n"/>
      <c r="L452" s="158">
        <f>+H452*J452</f>
        <v/>
      </c>
      <c r="M452" s="159">
        <f>SUM(M451+K452-L452)</f>
        <v/>
      </c>
      <c r="N452" s="60" t="n"/>
      <c r="O452" s="60" t="n"/>
      <c r="P452" s="60" t="n"/>
      <c r="Q452" s="60" t="n"/>
      <c r="R452" s="60" t="n"/>
      <c r="S452" s="60" t="n"/>
      <c r="T452" s="60" t="n"/>
      <c r="U452" s="60" t="n"/>
      <c r="V452" s="60" t="n"/>
      <c r="W452" s="60" t="n"/>
      <c r="X452" s="60" t="n"/>
      <c r="Y452" s="60" t="n"/>
      <c r="Z452" s="60" t="n"/>
    </row>
    <row r="453">
      <c r="A453" s="151" t="n">
        <v>46066</v>
      </c>
      <c r="B453" s="70" t="n">
        <v>4598</v>
      </c>
      <c r="C453" s="115" t="inlineStr">
        <is>
          <t>AHMET SELİM TEMHA</t>
        </is>
      </c>
      <c r="D453" s="115" t="inlineStr">
        <is>
          <t>34 PGT 251</t>
        </is>
      </c>
      <c r="E453" s="115" t="inlineStr">
        <is>
          <t>ERSOY SIĞINMAZ</t>
        </is>
      </c>
      <c r="F453" s="65" t="n"/>
      <c r="G453" s="152" t="n">
        <v>53</v>
      </c>
      <c r="H453" s="60" t="n"/>
      <c r="I453" s="156">
        <f>+I452+(G453-H453)</f>
        <v/>
      </c>
      <c r="J453" s="60" t="n"/>
      <c r="K453" s="60" t="n"/>
      <c r="L453" s="158">
        <f>+H453*J453</f>
        <v/>
      </c>
      <c r="M453" s="159">
        <f>SUM(M452+K453-L453)</f>
        <v/>
      </c>
      <c r="N453" s="60" t="n"/>
      <c r="O453" s="60" t="n"/>
      <c r="P453" s="60" t="n"/>
      <c r="Q453" s="60" t="n"/>
      <c r="R453" s="60" t="n"/>
      <c r="S453" s="60" t="n"/>
      <c r="T453" s="60" t="n"/>
      <c r="U453" s="60" t="n"/>
      <c r="V453" s="60" t="n"/>
      <c r="W453" s="60" t="n"/>
      <c r="X453" s="60" t="n"/>
      <c r="Y453" s="60" t="n"/>
      <c r="Z453" s="60" t="n"/>
    </row>
    <row r="454">
      <c r="A454" s="151" t="n">
        <v>46066</v>
      </c>
      <c r="B454" s="70" t="n">
        <v>4599</v>
      </c>
      <c r="C454" s="115" t="inlineStr">
        <is>
          <t>AHMET SELİM TEMHA</t>
        </is>
      </c>
      <c r="D454" s="115" t="inlineStr">
        <is>
          <t>FORKLİFT</t>
        </is>
      </c>
      <c r="E454" s="115" t="inlineStr">
        <is>
          <t>ERSOY SIĞINMAZ</t>
        </is>
      </c>
      <c r="F454" s="65" t="n"/>
      <c r="G454" s="152" t="n">
        <v>32</v>
      </c>
      <c r="H454" s="60" t="n"/>
      <c r="I454" s="156">
        <f>+I453+(G454-H454)</f>
        <v/>
      </c>
      <c r="J454" s="60" t="n"/>
      <c r="K454" s="60" t="n"/>
      <c r="L454" s="158">
        <f>+H454*J454</f>
        <v/>
      </c>
      <c r="M454" s="159">
        <f>SUM(M453+K454-L454)</f>
        <v/>
      </c>
      <c r="N454" s="60" t="n"/>
      <c r="O454" s="60" t="n"/>
      <c r="P454" s="60" t="n"/>
      <c r="Q454" s="60" t="n"/>
      <c r="R454" s="60" t="n"/>
      <c r="S454" s="60" t="n"/>
      <c r="T454" s="60" t="n"/>
      <c r="U454" s="60" t="n"/>
      <c r="V454" s="60" t="n"/>
      <c r="W454" s="60" t="n"/>
      <c r="X454" s="60" t="n"/>
      <c r="Y454" s="60" t="n"/>
      <c r="Z454" s="60" t="n"/>
    </row>
    <row r="455">
      <c r="A455" s="151" t="n">
        <v>46067</v>
      </c>
      <c r="B455" s="70" t="n">
        <v>3168</v>
      </c>
      <c r="C455" s="115" t="inlineStr">
        <is>
          <t>SELİM İNŞAAT</t>
        </is>
      </c>
      <c r="D455" s="115" t="inlineStr">
        <is>
          <t>34 DTB 599</t>
        </is>
      </c>
      <c r="E455" s="115" t="inlineStr">
        <is>
          <t>HÜSEYİN DENİZ</t>
        </is>
      </c>
      <c r="F455" s="65" t="n">
        <v>473384</v>
      </c>
      <c r="G455" s="152" t="n">
        <v>429</v>
      </c>
      <c r="H455" s="60" t="n"/>
      <c r="I455" s="156">
        <f>+I454+(G455-H455)</f>
        <v/>
      </c>
      <c r="J455" s="60" t="n"/>
      <c r="K455" s="60" t="n"/>
      <c r="L455" s="158">
        <f>+H455*J455</f>
        <v/>
      </c>
      <c r="M455" s="159">
        <f>SUM(M454+K455-L455)</f>
        <v/>
      </c>
      <c r="N455" s="60" t="n"/>
      <c r="O455" s="60" t="n"/>
      <c r="P455" s="60" t="n"/>
      <c r="Q455" s="60" t="n"/>
      <c r="R455" s="60" t="n"/>
      <c r="S455" s="60" t="n"/>
      <c r="T455" s="60" t="n"/>
      <c r="U455" s="60" t="n"/>
      <c r="V455" s="60" t="n"/>
      <c r="W455" s="60" t="n"/>
      <c r="X455" s="60" t="n"/>
      <c r="Y455" s="60" t="n"/>
      <c r="Z455" s="60" t="n"/>
    </row>
    <row r="456">
      <c r="A456" s="151" t="n">
        <v>46067</v>
      </c>
      <c r="B456" s="70" t="n">
        <v>1849</v>
      </c>
      <c r="C456" s="115" t="inlineStr">
        <is>
          <t>SELİM İNŞAAT</t>
        </is>
      </c>
      <c r="D456" s="115" t="inlineStr">
        <is>
          <t>34 EGR 922</t>
        </is>
      </c>
      <c r="E456" s="115" t="inlineStr">
        <is>
          <t>FARUK ÖZEN</t>
        </is>
      </c>
      <c r="F456" s="65" t="n">
        <v>502087</v>
      </c>
      <c r="G456" s="152" t="n">
        <v>367</v>
      </c>
      <c r="H456" s="60" t="n"/>
      <c r="I456" s="156">
        <f>+I455+(G456-H456)</f>
        <v/>
      </c>
      <c r="J456" s="60" t="n"/>
      <c r="K456" s="60" t="n"/>
      <c r="L456" s="158">
        <f>+H456*J456</f>
        <v/>
      </c>
      <c r="M456" s="159">
        <f>SUM(M455+K456-L456)</f>
        <v/>
      </c>
      <c r="N456" s="60" t="n"/>
      <c r="O456" s="60" t="n"/>
      <c r="P456" s="60" t="n"/>
      <c r="Q456" s="60" t="n"/>
      <c r="R456" s="60" t="n"/>
      <c r="S456" s="60" t="n"/>
      <c r="T456" s="60" t="n"/>
      <c r="U456" s="60" t="n"/>
      <c r="V456" s="60" t="n"/>
      <c r="W456" s="60" t="n"/>
      <c r="X456" s="60" t="n"/>
      <c r="Y456" s="60" t="n"/>
      <c r="Z456" s="60" t="n"/>
    </row>
    <row r="457">
      <c r="A457" s="151" t="n">
        <v>46067</v>
      </c>
      <c r="B457" s="70" t="n">
        <v>3828</v>
      </c>
      <c r="C457" s="115" t="inlineStr">
        <is>
          <t>SELİM İNŞAAT</t>
        </is>
      </c>
      <c r="D457" s="115" t="inlineStr">
        <is>
          <t>34 GYZ 635</t>
        </is>
      </c>
      <c r="E457" s="115" t="inlineStr">
        <is>
          <t>ADEM DENİZ</t>
        </is>
      </c>
      <c r="F457" s="65" t="n">
        <v>224080</v>
      </c>
      <c r="G457" s="152" t="n">
        <v>370</v>
      </c>
      <c r="H457" s="60" t="n"/>
      <c r="I457" s="156">
        <f>+I456+(G457-H457)</f>
        <v/>
      </c>
      <c r="J457" s="60" t="n"/>
      <c r="K457" s="60" t="n"/>
      <c r="L457" s="158">
        <f>+H457*J457</f>
        <v/>
      </c>
      <c r="M457" s="159">
        <f>SUM(M456+K457-L457)</f>
        <v/>
      </c>
      <c r="N457" s="60" t="n"/>
      <c r="O457" s="60" t="n"/>
      <c r="P457" s="60" t="n"/>
      <c r="Q457" s="60" t="n"/>
      <c r="R457" s="60" t="n"/>
      <c r="S457" s="60" t="n"/>
      <c r="T457" s="60" t="n"/>
      <c r="U457" s="60" t="n"/>
      <c r="V457" s="60" t="n"/>
      <c r="W457" s="60" t="n"/>
      <c r="X457" s="60" t="n"/>
      <c r="Y457" s="60" t="n"/>
      <c r="Z457" s="60" t="n"/>
    </row>
    <row r="458">
      <c r="A458" s="151" t="n">
        <v>46067</v>
      </c>
      <c r="B458" s="70" t="n">
        <v>3620</v>
      </c>
      <c r="C458" s="115" t="inlineStr">
        <is>
          <t>SELİM İNŞAAT</t>
        </is>
      </c>
      <c r="D458" s="115" t="inlineStr">
        <is>
          <t>34 EDB 922</t>
        </is>
      </c>
      <c r="E458" s="115" t="inlineStr">
        <is>
          <t>ÇAĞDAŞ YÜCESAN</t>
        </is>
      </c>
      <c r="F458" s="65" t="n">
        <v>406110</v>
      </c>
      <c r="G458" s="152" t="n">
        <v>495</v>
      </c>
      <c r="H458" s="60" t="n"/>
      <c r="I458" s="156">
        <f>+I457+(G458-H458)</f>
        <v/>
      </c>
      <c r="J458" s="60" t="n"/>
      <c r="K458" s="60" t="n"/>
      <c r="L458" s="158">
        <f>+H458*J458</f>
        <v/>
      </c>
      <c r="M458" s="159">
        <f>SUM(M457+K458-L458)</f>
        <v/>
      </c>
      <c r="N458" s="60" t="n"/>
      <c r="O458" s="60" t="n"/>
      <c r="P458" s="60" t="n"/>
      <c r="Q458" s="60" t="n"/>
      <c r="R458" s="60" t="n"/>
      <c r="S458" s="60" t="n"/>
      <c r="T458" s="60" t="n"/>
      <c r="U458" s="60" t="n"/>
      <c r="V458" s="60" t="n"/>
      <c r="W458" s="60" t="n"/>
      <c r="X458" s="60" t="n"/>
      <c r="Y458" s="60" t="n"/>
      <c r="Z458" s="60" t="n"/>
    </row>
    <row r="459">
      <c r="A459" s="151" t="n">
        <v>46067</v>
      </c>
      <c r="B459" s="70" t="n">
        <v>1543</v>
      </c>
      <c r="C459" s="115" t="inlineStr">
        <is>
          <t>SELİM İNŞAAT</t>
        </is>
      </c>
      <c r="D459" s="115" t="inlineStr">
        <is>
          <t>34 GUS 848</t>
        </is>
      </c>
      <c r="E459" s="115" t="inlineStr">
        <is>
          <t>SERDAR BOZKURT</t>
        </is>
      </c>
      <c r="F459" s="65" t="n">
        <v>229548</v>
      </c>
      <c r="G459" s="152" t="n">
        <v>480</v>
      </c>
      <c r="H459" s="60" t="n"/>
      <c r="I459" s="156">
        <f>+I458+(G459-H459)</f>
        <v/>
      </c>
      <c r="J459" s="60" t="n"/>
      <c r="K459" s="60" t="n"/>
      <c r="L459" s="158">
        <f>+H459*J459</f>
        <v/>
      </c>
      <c r="M459" s="159">
        <f>SUM(M458+K459-L459)</f>
        <v/>
      </c>
      <c r="N459" s="60" t="n"/>
      <c r="O459" s="60" t="n"/>
      <c r="P459" s="60" t="n"/>
      <c r="Q459" s="60" t="n"/>
      <c r="R459" s="60" t="n"/>
      <c r="S459" s="60" t="n"/>
      <c r="T459" s="60" t="n"/>
      <c r="U459" s="60" t="n"/>
      <c r="V459" s="60" t="n"/>
      <c r="W459" s="60" t="n"/>
      <c r="X459" s="60" t="n"/>
      <c r="Y459" s="60" t="n"/>
      <c r="Z459" s="60" t="n"/>
    </row>
    <row r="460">
      <c r="A460" s="151" t="n">
        <v>46067</v>
      </c>
      <c r="B460" s="70" t="n">
        <v>3423</v>
      </c>
      <c r="C460" s="115" t="inlineStr">
        <is>
          <t>SELİM İNŞAAT</t>
        </is>
      </c>
      <c r="D460" s="115" t="inlineStr">
        <is>
          <t>34 GVZ 310</t>
        </is>
      </c>
      <c r="E460" s="115" t="inlineStr">
        <is>
          <t>CELAL YÜZBAŞI</t>
        </is>
      </c>
      <c r="F460" s="65" t="n">
        <v>244347</v>
      </c>
      <c r="G460" s="152" t="n">
        <v>400</v>
      </c>
      <c r="H460" s="60" t="n"/>
      <c r="I460" s="156">
        <f>+I459+(G460-H460)</f>
        <v/>
      </c>
      <c r="J460" s="60" t="n"/>
      <c r="K460" s="60" t="n"/>
      <c r="L460" s="158">
        <f>+H460*J460</f>
        <v/>
      </c>
      <c r="M460" s="159">
        <f>SUM(M459+K460-L460)</f>
        <v/>
      </c>
      <c r="N460" s="60" t="n"/>
      <c r="O460" s="60" t="n"/>
      <c r="P460" s="60" t="n"/>
      <c r="Q460" s="60" t="n"/>
      <c r="R460" s="60" t="n"/>
      <c r="S460" s="60" t="n"/>
      <c r="T460" s="60" t="n"/>
      <c r="U460" s="60" t="n"/>
      <c r="V460" s="60" t="n"/>
      <c r="W460" s="60" t="n"/>
      <c r="X460" s="60" t="n"/>
      <c r="Y460" s="60" t="n"/>
      <c r="Z460" s="60" t="n"/>
    </row>
    <row r="461">
      <c r="A461" s="151" t="n">
        <v>46067</v>
      </c>
      <c r="B461" s="70" t="n">
        <v>3484</v>
      </c>
      <c r="C461" s="115" t="inlineStr">
        <is>
          <t>SELİM İNŞAAT</t>
        </is>
      </c>
      <c r="D461" s="115" t="inlineStr">
        <is>
          <t>34 EDB 754</t>
        </is>
      </c>
      <c r="E461" s="115" t="inlineStr">
        <is>
          <t>MUSTAFA KAYA</t>
        </is>
      </c>
      <c r="F461" s="65" t="n">
        <v>369462</v>
      </c>
      <c r="G461" s="152" t="n">
        <v>408</v>
      </c>
      <c r="H461" s="60" t="n"/>
      <c r="I461" s="156">
        <f>+I460+(G461-H461)</f>
        <v/>
      </c>
      <c r="J461" s="60" t="n"/>
      <c r="K461" s="60" t="n"/>
      <c r="L461" s="158">
        <f>+H461*J461</f>
        <v/>
      </c>
      <c r="M461" s="159">
        <f>SUM(M460+K461-L461)</f>
        <v/>
      </c>
      <c r="N461" s="60" t="n"/>
      <c r="O461" s="60" t="n"/>
      <c r="P461" s="60" t="n"/>
      <c r="Q461" s="60" t="n"/>
      <c r="R461" s="60" t="n"/>
      <c r="S461" s="60" t="n"/>
      <c r="T461" s="60" t="n"/>
      <c r="U461" s="60" t="n"/>
      <c r="V461" s="60" t="n"/>
      <c r="W461" s="60" t="n"/>
      <c r="X461" s="60" t="n"/>
      <c r="Y461" s="60" t="n"/>
      <c r="Z461" s="60" t="n"/>
    </row>
    <row r="462">
      <c r="A462" s="151" t="n">
        <v>46067</v>
      </c>
      <c r="B462" s="70" t="n">
        <v>4460</v>
      </c>
      <c r="C462" s="115" t="inlineStr">
        <is>
          <t>SELİM İNŞAAT</t>
        </is>
      </c>
      <c r="D462" s="115" t="inlineStr">
        <is>
          <t>34 DKL 798</t>
        </is>
      </c>
      <c r="E462" s="115" t="inlineStr">
        <is>
          <t>HASAN BAYCA</t>
        </is>
      </c>
      <c r="F462" s="65" t="n">
        <v>80347</v>
      </c>
      <c r="G462" s="152" t="n">
        <v>265</v>
      </c>
      <c r="H462" s="60" t="n"/>
      <c r="I462" s="156">
        <f>+I461+(G462-H462)</f>
        <v/>
      </c>
      <c r="J462" s="60" t="n"/>
      <c r="K462" s="60" t="n"/>
      <c r="L462" s="158">
        <f>+H462*J462</f>
        <v/>
      </c>
      <c r="M462" s="159">
        <f>SUM(M461+K462-L462)</f>
        <v/>
      </c>
      <c r="N462" s="60" t="n"/>
      <c r="O462" s="60" t="n"/>
      <c r="P462" s="60" t="n"/>
      <c r="Q462" s="60" t="n"/>
      <c r="R462" s="60" t="n"/>
      <c r="S462" s="60" t="n"/>
      <c r="T462" s="60" t="n"/>
      <c r="U462" s="60" t="n"/>
      <c r="V462" s="60" t="n"/>
      <c r="W462" s="60" t="n"/>
      <c r="X462" s="60" t="n"/>
      <c r="Y462" s="60" t="n"/>
      <c r="Z462" s="60" t="n"/>
    </row>
    <row r="463">
      <c r="A463" s="151" t="n">
        <v>46067</v>
      </c>
      <c r="B463" s="70" t="n">
        <v>706</v>
      </c>
      <c r="C463" s="115" t="inlineStr">
        <is>
          <t>METİN ERYİĞİT</t>
        </is>
      </c>
      <c r="D463" s="115" t="inlineStr">
        <is>
          <t>34 EGS 013</t>
        </is>
      </c>
      <c r="E463" s="115" t="inlineStr">
        <is>
          <t>UĞUR DUMAN</t>
        </is>
      </c>
      <c r="F463" s="65" t="n">
        <v>557161</v>
      </c>
      <c r="G463" s="152" t="n">
        <v>500</v>
      </c>
      <c r="H463" s="60" t="n"/>
      <c r="I463" s="156">
        <f>+I462+(G463-H463)</f>
        <v/>
      </c>
      <c r="J463" s="60" t="n"/>
      <c r="K463" s="60" t="n"/>
      <c r="L463" s="158">
        <f>+H463*J463</f>
        <v/>
      </c>
      <c r="M463" s="159">
        <f>SUM(M462+K463-L463)</f>
        <v/>
      </c>
      <c r="N463" s="60" t="n"/>
      <c r="O463" s="60" t="n"/>
      <c r="P463" s="60" t="n"/>
      <c r="Q463" s="60" t="n"/>
      <c r="R463" s="60" t="n"/>
      <c r="S463" s="60" t="n"/>
      <c r="T463" s="60" t="n"/>
      <c r="U463" s="60" t="n"/>
      <c r="V463" s="60" t="n"/>
      <c r="W463" s="60" t="n"/>
      <c r="X463" s="60" t="n"/>
      <c r="Y463" s="60" t="n"/>
      <c r="Z463" s="60" t="n"/>
    </row>
    <row r="464">
      <c r="A464" s="151" t="n">
        <v>46067</v>
      </c>
      <c r="B464" s="70" t="n">
        <v>3801</v>
      </c>
      <c r="C464" s="115" t="inlineStr">
        <is>
          <t>METİN ERYİĞİT</t>
        </is>
      </c>
      <c r="D464" s="115" t="inlineStr">
        <is>
          <t>34 GBL 998</t>
        </is>
      </c>
      <c r="E464" s="115" t="inlineStr">
        <is>
          <t>ALİ KESKİN</t>
        </is>
      </c>
      <c r="F464" s="65" t="n">
        <v>340328</v>
      </c>
      <c r="G464" s="152" t="n">
        <v>371</v>
      </c>
      <c r="H464" s="60" t="n"/>
      <c r="I464" s="156">
        <f>+I463+(G464-H464)</f>
        <v/>
      </c>
      <c r="J464" s="60" t="n"/>
      <c r="K464" s="60" t="n"/>
      <c r="L464" s="158">
        <f>+H464*J464</f>
        <v/>
      </c>
      <c r="M464" s="159">
        <f>SUM(M463+K464-L464)</f>
        <v/>
      </c>
      <c r="N464" s="60" t="n"/>
      <c r="O464" s="60" t="n"/>
      <c r="P464" s="60" t="n"/>
      <c r="Q464" s="60" t="n"/>
      <c r="R464" s="60" t="n"/>
      <c r="S464" s="60" t="n"/>
      <c r="T464" s="60" t="n"/>
      <c r="U464" s="60" t="n"/>
      <c r="V464" s="60" t="n"/>
      <c r="W464" s="60" t="n"/>
      <c r="X464" s="60" t="n"/>
      <c r="Y464" s="60" t="n"/>
      <c r="Z464" s="60" t="n"/>
    </row>
    <row r="465">
      <c r="A465" s="151" t="n">
        <v>46067</v>
      </c>
      <c r="B465" s="70" t="n">
        <v>2894</v>
      </c>
      <c r="C465" s="115" t="inlineStr">
        <is>
          <t>MEGA VARLIK</t>
        </is>
      </c>
      <c r="D465" s="115" t="inlineStr">
        <is>
          <t>HASAN ZEMİN</t>
        </is>
      </c>
      <c r="E465" s="115" t="n"/>
      <c r="F465" s="65" t="n"/>
      <c r="G465" s="152" t="n">
        <v>381</v>
      </c>
      <c r="H465" s="60" t="n"/>
      <c r="I465" s="156">
        <f>+I464+(G465-H465)</f>
        <v/>
      </c>
      <c r="J465" s="60" t="n"/>
      <c r="K465" s="60" t="n"/>
      <c r="L465" s="158">
        <f>+H465*J465</f>
        <v/>
      </c>
      <c r="M465" s="159">
        <f>SUM(M464+K465-L465)</f>
        <v/>
      </c>
      <c r="N465" s="60" t="n"/>
      <c r="O465" s="60" t="n"/>
      <c r="P465" s="60" t="n"/>
      <c r="Q465" s="60" t="n"/>
      <c r="R465" s="60" t="n"/>
      <c r="S465" s="60" t="n"/>
      <c r="T465" s="60" t="n"/>
      <c r="U465" s="60" t="n"/>
      <c r="V465" s="60" t="n"/>
      <c r="W465" s="60" t="n"/>
      <c r="X465" s="60" t="n"/>
      <c r="Y465" s="60" t="n"/>
      <c r="Z465" s="60" t="n"/>
    </row>
    <row r="466">
      <c r="A466" s="151" t="n">
        <v>46067</v>
      </c>
      <c r="B466" s="70" t="n">
        <v>4600</v>
      </c>
      <c r="C466" s="115" t="inlineStr">
        <is>
          <t>SELİM İNŞAAT</t>
        </is>
      </c>
      <c r="D466" s="115" t="inlineStr">
        <is>
          <t>34 BUR 461</t>
        </is>
      </c>
      <c r="E466" s="115" t="inlineStr">
        <is>
          <t xml:space="preserve">MUSTAFA ALBAYRAK </t>
        </is>
      </c>
      <c r="F466" s="65" t="n"/>
      <c r="G466" s="152" t="n">
        <v>65</v>
      </c>
      <c r="H466" s="60" t="n"/>
      <c r="I466" s="156">
        <f>+I465+(G466-H466)</f>
        <v/>
      </c>
      <c r="J466" s="60" t="n"/>
      <c r="K466" s="60" t="n"/>
      <c r="L466" s="158">
        <f>+H466*J466</f>
        <v/>
      </c>
      <c r="M466" s="159">
        <f>SUM(M465+K466-L466)</f>
        <v/>
      </c>
      <c r="N466" s="60" t="n"/>
      <c r="O466" s="60" t="n"/>
      <c r="P466" s="60" t="n"/>
      <c r="Q466" s="60" t="n"/>
      <c r="R466" s="60" t="n"/>
      <c r="S466" s="60" t="n"/>
      <c r="T466" s="60" t="n"/>
      <c r="U466" s="60" t="n"/>
      <c r="V466" s="60" t="n"/>
      <c r="W466" s="60" t="n"/>
      <c r="X466" s="60" t="n"/>
      <c r="Y466" s="60" t="n"/>
      <c r="Z466" s="60" t="n"/>
    </row>
    <row r="467">
      <c r="A467" s="151" t="n">
        <v>46067</v>
      </c>
      <c r="B467" s="70" t="n">
        <v>375</v>
      </c>
      <c r="C467" s="115" t="inlineStr">
        <is>
          <t>MEGA VARLIK</t>
        </is>
      </c>
      <c r="D467" s="115" t="inlineStr">
        <is>
          <t>KAWAZAKI</t>
        </is>
      </c>
      <c r="E467" s="115" t="inlineStr">
        <is>
          <t>RAMAZAN</t>
        </is>
      </c>
      <c r="F467" s="65" t="n"/>
      <c r="G467" s="152" t="n">
        <v>236</v>
      </c>
      <c r="H467" s="60" t="n"/>
      <c r="I467" s="156">
        <f>+I466+(G467-H467)</f>
        <v/>
      </c>
      <c r="J467" s="60" t="n"/>
      <c r="K467" s="60" t="n"/>
      <c r="L467" s="158">
        <f>+H467*J467</f>
        <v/>
      </c>
      <c r="M467" s="159">
        <f>SUM(M466+K467-L467)</f>
        <v/>
      </c>
      <c r="N467" s="60" t="n"/>
      <c r="O467" s="60" t="n"/>
      <c r="P467" s="60" t="n"/>
      <c r="Q467" s="60" t="n"/>
      <c r="R467" s="60" t="n"/>
      <c r="S467" s="60" t="n"/>
      <c r="T467" s="60" t="n"/>
      <c r="U467" s="60" t="n"/>
      <c r="V467" s="60" t="n"/>
      <c r="W467" s="60" t="n"/>
      <c r="X467" s="60" t="n"/>
      <c r="Y467" s="60" t="n"/>
      <c r="Z467" s="60" t="n"/>
    </row>
    <row r="468">
      <c r="A468" s="151" t="n">
        <v>46067</v>
      </c>
      <c r="B468" s="70" t="n">
        <v>376</v>
      </c>
      <c r="C468" s="115" t="inlineStr">
        <is>
          <t>YENİ HARFİYAT SS HADIMKÖY</t>
        </is>
      </c>
      <c r="D468" s="115" t="inlineStr">
        <is>
          <t>HITACHI</t>
        </is>
      </c>
      <c r="E468" s="115" t="inlineStr">
        <is>
          <t>TURGUT</t>
        </is>
      </c>
      <c r="F468" s="65" t="n"/>
      <c r="G468" s="152" t="n">
        <v>458</v>
      </c>
      <c r="H468" s="60" t="n"/>
      <c r="I468" s="156">
        <f>+I467+(G468-H468)</f>
        <v/>
      </c>
      <c r="J468" s="60" t="n"/>
      <c r="K468" s="60" t="n"/>
      <c r="L468" s="158">
        <f>+H468*J468</f>
        <v/>
      </c>
      <c r="M468" s="159">
        <f>SUM(M467+K468-L468)</f>
        <v/>
      </c>
      <c r="N468" s="60" t="n"/>
      <c r="O468" s="60" t="n"/>
      <c r="P468" s="60" t="n"/>
      <c r="Q468" s="60" t="n"/>
      <c r="R468" s="60" t="n"/>
      <c r="S468" s="60" t="n"/>
      <c r="T468" s="60" t="n"/>
      <c r="U468" s="60" t="n"/>
      <c r="V468" s="60" t="n"/>
      <c r="W468" s="60" t="n"/>
      <c r="X468" s="60" t="n"/>
      <c r="Y468" s="60" t="n"/>
      <c r="Z468" s="60" t="n"/>
    </row>
    <row r="469">
      <c r="A469" s="151" t="n">
        <v>46067</v>
      </c>
      <c r="B469" s="70" t="n">
        <v>1386</v>
      </c>
      <c r="C469" s="115" t="inlineStr">
        <is>
          <t xml:space="preserve">AZGÜN YAPI </t>
        </is>
      </c>
      <c r="D469" s="115" t="inlineStr">
        <is>
          <t>34 MKT 859</t>
        </is>
      </c>
      <c r="E469" s="115" t="inlineStr">
        <is>
          <t>ONUR CANLI</t>
        </is>
      </c>
      <c r="F469" s="65" t="n"/>
      <c r="G469" s="152" t="n">
        <v>200</v>
      </c>
      <c r="H469" s="60" t="n"/>
      <c r="I469" s="156">
        <f>+I468+(G469-H469)</f>
        <v/>
      </c>
      <c r="J469" s="60" t="n"/>
      <c r="K469" s="60" t="n"/>
      <c r="L469" s="158">
        <f>+H469*J469</f>
        <v/>
      </c>
      <c r="M469" s="159">
        <f>SUM(M468+K469-L469)</f>
        <v/>
      </c>
      <c r="N469" s="60" t="n"/>
      <c r="O469" s="60" t="n"/>
      <c r="P469" s="60" t="n"/>
      <c r="Q469" s="60" t="n"/>
      <c r="R469" s="60" t="n"/>
      <c r="S469" s="60" t="n"/>
      <c r="T469" s="60" t="n"/>
      <c r="U469" s="60" t="n"/>
      <c r="V469" s="60" t="n"/>
      <c r="W469" s="60" t="n"/>
      <c r="X469" s="60" t="n"/>
      <c r="Y469" s="60" t="n"/>
      <c r="Z469" s="60" t="n"/>
    </row>
    <row r="470">
      <c r="A470" s="151" t="n">
        <v>46069</v>
      </c>
      <c r="B470" s="70" t="n">
        <v>4258</v>
      </c>
      <c r="C470" s="115" t="inlineStr">
        <is>
          <t>SELİM İNŞAAT</t>
        </is>
      </c>
      <c r="D470" s="115" t="inlineStr">
        <is>
          <t>34 DSN 575</t>
        </is>
      </c>
      <c r="E470" s="115" t="inlineStr">
        <is>
          <t>ÇAĞDAŞ YÜCESAN</t>
        </is>
      </c>
      <c r="F470" s="65" t="n">
        <v>433845</v>
      </c>
      <c r="G470" s="152" t="n">
        <v>250</v>
      </c>
      <c r="H470" s="60" t="n"/>
      <c r="I470" s="156">
        <f>+I469+(G470-H470)</f>
        <v/>
      </c>
      <c r="J470" s="60" t="n"/>
      <c r="K470" s="60" t="n"/>
      <c r="L470" s="158">
        <f>+H470*J470</f>
        <v/>
      </c>
      <c r="M470" s="159">
        <f>SUM(M469+K470-L470)</f>
        <v/>
      </c>
      <c r="N470" s="60" t="n"/>
      <c r="O470" s="60" t="n"/>
      <c r="P470" s="60" t="n"/>
      <c r="Q470" s="60" t="n"/>
      <c r="R470" s="60" t="n"/>
      <c r="S470" s="60" t="n"/>
      <c r="T470" s="60" t="n"/>
      <c r="U470" s="60" t="n"/>
      <c r="V470" s="60" t="n"/>
      <c r="W470" s="60" t="n"/>
      <c r="X470" s="60" t="n"/>
      <c r="Y470" s="60" t="n"/>
      <c r="Z470" s="60" t="n"/>
    </row>
    <row r="471">
      <c r="A471" s="151" t="n">
        <v>46069</v>
      </c>
      <c r="B471" s="70" t="n">
        <v>511</v>
      </c>
      <c r="C471" s="115" t="inlineStr">
        <is>
          <t>SELİM İNŞAAT</t>
        </is>
      </c>
      <c r="D471" s="115" t="inlineStr">
        <is>
          <t>34 EGR 737</t>
        </is>
      </c>
      <c r="E471" s="115" t="inlineStr">
        <is>
          <t>CEM MUHTAR</t>
        </is>
      </c>
      <c r="F471" s="65" t="n">
        <v>458659</v>
      </c>
      <c r="G471" s="152" t="n">
        <v>462</v>
      </c>
      <c r="H471" s="60" t="n"/>
      <c r="I471" s="156">
        <f>+I470+(G471-H471)</f>
        <v/>
      </c>
      <c r="J471" s="60" t="n"/>
      <c r="K471" s="60" t="n"/>
      <c r="L471" s="158">
        <f>+H471*J471</f>
        <v/>
      </c>
      <c r="M471" s="159">
        <f>SUM(M470+K471-L471)</f>
        <v/>
      </c>
      <c r="N471" s="60" t="n"/>
      <c r="O471" s="60" t="n"/>
      <c r="P471" s="60" t="n"/>
      <c r="Q471" s="60" t="n"/>
      <c r="R471" s="60" t="n"/>
      <c r="S471" s="60" t="n"/>
      <c r="T471" s="60" t="n"/>
      <c r="U471" s="60" t="n"/>
      <c r="V471" s="60" t="n"/>
      <c r="W471" s="60" t="n"/>
      <c r="X471" s="60" t="n"/>
      <c r="Y471" s="60" t="n"/>
      <c r="Z471" s="60" t="n"/>
    </row>
    <row r="472">
      <c r="A472" s="151" t="n">
        <v>46069</v>
      </c>
      <c r="B472" s="70" t="n">
        <v>145</v>
      </c>
      <c r="C472" s="115" t="inlineStr">
        <is>
          <t>SELİM İNŞAAT</t>
        </is>
      </c>
      <c r="D472" s="115" t="inlineStr">
        <is>
          <t>34 FBR 771</t>
        </is>
      </c>
      <c r="E472" s="115" t="inlineStr">
        <is>
          <t>SALİH YALÇIN</t>
        </is>
      </c>
      <c r="F472" s="65" t="n">
        <v>347100</v>
      </c>
      <c r="G472" s="152" t="n">
        <v>482</v>
      </c>
      <c r="H472" s="60" t="n"/>
      <c r="I472" s="156">
        <f>+I471+(G472-H472)</f>
        <v/>
      </c>
      <c r="J472" s="60" t="n"/>
      <c r="K472" s="60" t="n"/>
      <c r="L472" s="158">
        <f>+H472*J472</f>
        <v/>
      </c>
      <c r="M472" s="159">
        <f>SUM(M471+K472-L472)</f>
        <v/>
      </c>
      <c r="N472" s="60" t="n"/>
      <c r="O472" s="60" t="n"/>
      <c r="P472" s="60" t="n"/>
      <c r="Q472" s="60" t="n"/>
      <c r="R472" s="60" t="n"/>
      <c r="S472" s="60" t="n"/>
      <c r="T472" s="60" t="n"/>
      <c r="U472" s="60" t="n"/>
      <c r="V472" s="60" t="n"/>
      <c r="W472" s="60" t="n"/>
      <c r="X472" s="60" t="n"/>
      <c r="Y472" s="60" t="n"/>
      <c r="Z472" s="60" t="n"/>
    </row>
    <row r="473">
      <c r="A473" s="151" t="n">
        <v>46069</v>
      </c>
      <c r="B473" s="70" t="n">
        <v>3386</v>
      </c>
      <c r="C473" s="115" t="inlineStr">
        <is>
          <t>SELİM İNŞAAT</t>
        </is>
      </c>
      <c r="D473" s="115" t="inlineStr">
        <is>
          <t>34 EDC 162</t>
        </is>
      </c>
      <c r="E473" s="115" t="inlineStr">
        <is>
          <t xml:space="preserve">YAKUP GÜNER </t>
        </is>
      </c>
      <c r="F473" s="65" t="n">
        <v>412645</v>
      </c>
      <c r="G473" s="152" t="n">
        <v>400</v>
      </c>
      <c r="H473" s="60" t="n"/>
      <c r="I473" s="156">
        <f>+I472+(G473-H473)</f>
        <v/>
      </c>
      <c r="J473" s="60" t="n"/>
      <c r="K473" s="60" t="n"/>
      <c r="L473" s="158">
        <f>+H473*J473</f>
        <v/>
      </c>
      <c r="M473" s="159">
        <f>SUM(M472+K473-L473)</f>
        <v/>
      </c>
      <c r="N473" s="60" t="n"/>
      <c r="O473" s="60" t="n"/>
      <c r="P473" s="60" t="n"/>
      <c r="Q473" s="60" t="n"/>
      <c r="R473" s="60" t="n"/>
      <c r="S473" s="60" t="n"/>
      <c r="T473" s="60" t="n"/>
      <c r="U473" s="60" t="n"/>
      <c r="V473" s="60" t="n"/>
      <c r="W473" s="60" t="n"/>
      <c r="X473" s="60" t="n"/>
      <c r="Y473" s="60" t="n"/>
      <c r="Z473" s="60" t="n"/>
    </row>
    <row r="474">
      <c r="A474" s="151" t="n">
        <v>46069</v>
      </c>
      <c r="B474" s="70" t="n">
        <v>2296</v>
      </c>
      <c r="C474" s="115" t="inlineStr">
        <is>
          <t>SELİM İNŞAAT</t>
        </is>
      </c>
      <c r="D474" s="115" t="inlineStr">
        <is>
          <t>34 DSN 636</t>
        </is>
      </c>
      <c r="E474" s="115" t="inlineStr">
        <is>
          <t>MAHSUN GÜVEN</t>
        </is>
      </c>
      <c r="F474" s="65" t="n">
        <v>431465</v>
      </c>
      <c r="G474" s="152" t="n">
        <v>431</v>
      </c>
      <c r="H474" s="60" t="n"/>
      <c r="I474" s="156">
        <f>+I473+(G474-H474)</f>
        <v/>
      </c>
      <c r="J474" s="60" t="n"/>
      <c r="K474" s="60" t="n"/>
      <c r="L474" s="158">
        <f>+H474*J474</f>
        <v/>
      </c>
      <c r="M474" s="159">
        <f>SUM(M473+K474-L474)</f>
        <v/>
      </c>
      <c r="N474" s="60" t="n"/>
      <c r="O474" s="60" t="n"/>
      <c r="P474" s="60" t="n"/>
      <c r="Q474" s="60" t="n"/>
      <c r="R474" s="60" t="n"/>
      <c r="S474" s="60" t="n"/>
      <c r="T474" s="60" t="n"/>
      <c r="U474" s="60" t="n"/>
      <c r="V474" s="60" t="n"/>
      <c r="W474" s="60" t="n"/>
      <c r="X474" s="60" t="n"/>
      <c r="Y474" s="60" t="n"/>
      <c r="Z474" s="60" t="n"/>
    </row>
    <row r="475">
      <c r="A475" s="151" t="n">
        <v>46069</v>
      </c>
      <c r="B475" s="70" t="n">
        <v>4872</v>
      </c>
      <c r="C475" s="115" t="inlineStr">
        <is>
          <t>SELİM İNŞAAT</t>
        </is>
      </c>
      <c r="D475" s="115" t="inlineStr">
        <is>
          <t>34 FBR 705</t>
        </is>
      </c>
      <c r="E475" s="115" t="inlineStr">
        <is>
          <t>MURAT SARI</t>
        </is>
      </c>
      <c r="F475" s="65" t="n">
        <v>359876</v>
      </c>
      <c r="G475" s="152" t="n">
        <v>364</v>
      </c>
      <c r="H475" s="60" t="n"/>
      <c r="I475" s="156">
        <f>+I474+(G475-H475)</f>
        <v/>
      </c>
      <c r="J475" s="60" t="n"/>
      <c r="K475" s="60" t="n"/>
      <c r="L475" s="158">
        <f>+H475*J475</f>
        <v/>
      </c>
      <c r="M475" s="159">
        <f>SUM(M474+K475-L475)</f>
        <v/>
      </c>
      <c r="N475" s="60" t="n"/>
      <c r="O475" s="60" t="n"/>
      <c r="P475" s="60" t="n"/>
      <c r="Q475" s="60" t="n"/>
      <c r="R475" s="60" t="n"/>
      <c r="S475" s="60" t="n"/>
      <c r="T475" s="60" t="n"/>
      <c r="U475" s="60" t="n"/>
      <c r="V475" s="60" t="n"/>
      <c r="W475" s="60" t="n"/>
      <c r="X475" s="60" t="n"/>
      <c r="Y475" s="60" t="n"/>
      <c r="Z475" s="60" t="n"/>
    </row>
    <row r="476">
      <c r="A476" s="151" t="n">
        <v>46069</v>
      </c>
      <c r="B476" s="70" t="n">
        <v>4966</v>
      </c>
      <c r="C476" s="115" t="inlineStr">
        <is>
          <t>SELİM İNŞAAT</t>
        </is>
      </c>
      <c r="D476" s="115" t="inlineStr">
        <is>
          <t>34 GVZ 745</t>
        </is>
      </c>
      <c r="E476" s="115" t="inlineStr">
        <is>
          <t>MURAT DEMİRBAŞ</t>
        </is>
      </c>
      <c r="F476" s="65" t="n">
        <v>244350</v>
      </c>
      <c r="G476" s="152" t="n">
        <v>326</v>
      </c>
      <c r="H476" s="60" t="n"/>
      <c r="I476" s="156">
        <f>+I475+(G476-H476)</f>
        <v/>
      </c>
      <c r="J476" s="60" t="n"/>
      <c r="K476" s="60" t="n"/>
      <c r="L476" s="158">
        <f>+H476*J476</f>
        <v/>
      </c>
      <c r="M476" s="159">
        <f>SUM(M475+K476-L476)</f>
        <v/>
      </c>
      <c r="N476" s="60" t="n"/>
      <c r="O476" s="60" t="n"/>
      <c r="P476" s="60" t="n"/>
      <c r="Q476" s="60" t="n"/>
      <c r="R476" s="60" t="n"/>
      <c r="S476" s="60" t="n"/>
      <c r="T476" s="60" t="n"/>
      <c r="U476" s="60" t="n"/>
      <c r="V476" s="60" t="n"/>
      <c r="W476" s="60" t="n"/>
      <c r="X476" s="60" t="n"/>
      <c r="Y476" s="60" t="n"/>
      <c r="Z476" s="60" t="n"/>
    </row>
    <row r="477">
      <c r="A477" s="151" t="n">
        <v>46069</v>
      </c>
      <c r="B477" s="70" t="n">
        <v>4922</v>
      </c>
      <c r="C477" s="115" t="inlineStr">
        <is>
          <t>SELİM İNŞAAT</t>
        </is>
      </c>
      <c r="D477" s="115" t="inlineStr">
        <is>
          <t>34 FBR 742</t>
        </is>
      </c>
      <c r="E477" s="115" t="inlineStr">
        <is>
          <t>ADNAN KOÇ</t>
        </is>
      </c>
      <c r="F477" s="65" t="n">
        <v>363813</v>
      </c>
      <c r="G477" s="152" t="n">
        <v>267</v>
      </c>
      <c r="H477" s="60" t="n"/>
      <c r="I477" s="156">
        <f>+I476+(G477-H477)</f>
        <v/>
      </c>
      <c r="J477" s="60" t="n"/>
      <c r="K477" s="60" t="n"/>
      <c r="L477" s="158">
        <f>+H477*J477</f>
        <v/>
      </c>
      <c r="M477" s="159">
        <f>SUM(M476+K477-L477)</f>
        <v/>
      </c>
      <c r="N477" s="60" t="n"/>
      <c r="O477" s="60" t="n"/>
      <c r="P477" s="60" t="n"/>
      <c r="Q477" s="60" t="n"/>
      <c r="R477" s="60" t="n"/>
      <c r="S477" s="60" t="n"/>
      <c r="T477" s="60" t="n"/>
      <c r="U477" s="60" t="n"/>
      <c r="V477" s="60" t="n"/>
      <c r="W477" s="60" t="n"/>
      <c r="X477" s="60" t="n"/>
      <c r="Y477" s="60" t="n"/>
      <c r="Z477" s="60" t="n"/>
    </row>
    <row r="478">
      <c r="A478" s="151" t="n">
        <v>46069</v>
      </c>
      <c r="B478" s="70" t="n">
        <v>902</v>
      </c>
      <c r="C478" s="115" t="inlineStr">
        <is>
          <t>SELİM İNŞAAT</t>
        </is>
      </c>
      <c r="D478" s="115" t="inlineStr">
        <is>
          <t>34 FSG 229</t>
        </is>
      </c>
      <c r="E478" s="115" t="inlineStr">
        <is>
          <t>SİNAN TANRIVERDİ</t>
        </is>
      </c>
      <c r="F478" s="65" t="n">
        <v>297745</v>
      </c>
      <c r="G478" s="152" t="n">
        <v>415</v>
      </c>
      <c r="H478" s="60" t="n"/>
      <c r="I478" s="156">
        <f>+I477+(G478-H478)</f>
        <v/>
      </c>
      <c r="J478" s="60" t="n"/>
      <c r="K478" s="60" t="n"/>
      <c r="L478" s="158">
        <f>+H478*J478</f>
        <v/>
      </c>
      <c r="M478" s="159">
        <f>SUM(M477+K478-L478)</f>
        <v/>
      </c>
      <c r="N478" s="60" t="n"/>
      <c r="O478" s="60" t="n"/>
      <c r="P478" s="60" t="n"/>
      <c r="Q478" s="60" t="n"/>
      <c r="R478" s="60" t="n"/>
      <c r="S478" s="60" t="n"/>
      <c r="T478" s="60" t="n"/>
      <c r="U478" s="60" t="n"/>
      <c r="V478" s="60" t="n"/>
      <c r="W478" s="60" t="n"/>
      <c r="X478" s="60" t="n"/>
      <c r="Y478" s="60" t="n"/>
      <c r="Z478" s="60" t="n"/>
    </row>
    <row r="479">
      <c r="A479" s="151" t="n">
        <v>46069</v>
      </c>
      <c r="B479" s="70" t="n">
        <v>4414</v>
      </c>
      <c r="C479" s="115" t="inlineStr">
        <is>
          <t>SELİM İNŞAAT</t>
        </is>
      </c>
      <c r="D479" s="115" t="inlineStr">
        <is>
          <t>34 DTV 409</t>
        </is>
      </c>
      <c r="E479" s="115" t="inlineStr">
        <is>
          <t>ATA KIZMAZ</t>
        </is>
      </c>
      <c r="F479" s="65" t="n">
        <v>452160</v>
      </c>
      <c r="G479" s="152" t="n">
        <v>423</v>
      </c>
      <c r="H479" s="60" t="n"/>
      <c r="I479" s="156">
        <f>+I478+(G479-H479)</f>
        <v/>
      </c>
      <c r="J479" s="60" t="n"/>
      <c r="K479" s="60" t="n"/>
      <c r="L479" s="158">
        <f>+H479*J479</f>
        <v/>
      </c>
      <c r="M479" s="159">
        <f>SUM(M478+K479-L479)</f>
        <v/>
      </c>
      <c r="N479" s="60" t="n"/>
      <c r="O479" s="60" t="n"/>
      <c r="P479" s="60" t="n"/>
      <c r="Q479" s="60" t="n"/>
      <c r="R479" s="60" t="n"/>
      <c r="S479" s="60" t="n"/>
      <c r="T479" s="60" t="n"/>
      <c r="U479" s="60" t="n"/>
      <c r="V479" s="60" t="n"/>
      <c r="W479" s="60" t="n"/>
      <c r="X479" s="60" t="n"/>
      <c r="Y479" s="60" t="n"/>
      <c r="Z479" s="60" t="n"/>
    </row>
    <row r="480">
      <c r="A480" s="151" t="n">
        <v>46069</v>
      </c>
      <c r="B480" s="70" t="n">
        <v>3221</v>
      </c>
      <c r="C480" s="115" t="inlineStr">
        <is>
          <t>SELİM İNŞAAT</t>
        </is>
      </c>
      <c r="D480" s="115" t="inlineStr">
        <is>
          <t>34 EGR 736</t>
        </is>
      </c>
      <c r="E480" s="115" t="inlineStr">
        <is>
          <t>HAKAN ÇAVUŞOĞLU</t>
        </is>
      </c>
      <c r="F480" s="65" t="n">
        <v>436791</v>
      </c>
      <c r="G480" s="152" t="n">
        <v>480</v>
      </c>
      <c r="H480" s="60" t="n"/>
      <c r="I480" s="156">
        <f>+I479+(G480-H480)</f>
        <v/>
      </c>
      <c r="J480" s="60" t="n"/>
      <c r="K480" s="60" t="n"/>
      <c r="L480" s="158">
        <f>+H480*J480</f>
        <v/>
      </c>
      <c r="M480" s="159">
        <f>SUM(M479+K480-L480)</f>
        <v/>
      </c>
      <c r="N480" s="60" t="n"/>
      <c r="O480" s="60" t="n"/>
      <c r="P480" s="60" t="n"/>
      <c r="Q480" s="60" t="n"/>
      <c r="R480" s="60" t="n"/>
      <c r="S480" s="60" t="n"/>
      <c r="T480" s="60" t="n"/>
      <c r="U480" s="60" t="n"/>
      <c r="V480" s="60" t="n"/>
      <c r="W480" s="60" t="n"/>
      <c r="X480" s="60" t="n"/>
      <c r="Y480" s="60" t="n"/>
      <c r="Z480" s="60" t="n"/>
    </row>
    <row r="481">
      <c r="A481" s="151" t="n">
        <v>46069</v>
      </c>
      <c r="B481" s="70" t="n">
        <v>1817</v>
      </c>
      <c r="C481" s="115" t="inlineStr">
        <is>
          <t>SELİM İNŞAAT</t>
        </is>
      </c>
      <c r="D481" s="115" t="inlineStr">
        <is>
          <t>34 EDB 559</t>
        </is>
      </c>
      <c r="E481" s="115" t="inlineStr">
        <is>
          <t>AZİZ ORUÇ</t>
        </is>
      </c>
      <c r="F481" s="65" t="n">
        <v>362400</v>
      </c>
      <c r="G481" s="152" t="n">
        <v>453</v>
      </c>
      <c r="H481" s="60" t="n"/>
      <c r="I481" s="156">
        <f>+I480+(G481-H481)</f>
        <v/>
      </c>
      <c r="J481" s="60" t="n"/>
      <c r="K481" s="60" t="n"/>
      <c r="L481" s="158">
        <f>+H481*J481</f>
        <v/>
      </c>
      <c r="M481" s="159">
        <f>SUM(M480+K481-L481)</f>
        <v/>
      </c>
      <c r="N481" s="60" t="n"/>
      <c r="O481" s="60" t="n"/>
      <c r="P481" s="60" t="n"/>
      <c r="Q481" s="60" t="n"/>
      <c r="R481" s="60" t="n"/>
      <c r="S481" s="60" t="n"/>
      <c r="T481" s="60" t="n"/>
      <c r="U481" s="60" t="n"/>
      <c r="V481" s="60" t="n"/>
      <c r="W481" s="60" t="n"/>
      <c r="X481" s="60" t="n"/>
      <c r="Y481" s="60" t="n"/>
      <c r="Z481" s="60" t="n"/>
    </row>
    <row r="482">
      <c r="A482" s="151" t="n">
        <v>46069</v>
      </c>
      <c r="B482" s="70" t="n">
        <v>4509</v>
      </c>
      <c r="C482" s="115" t="inlineStr">
        <is>
          <t>SELİM İNŞAAT</t>
        </is>
      </c>
      <c r="D482" s="115" t="inlineStr">
        <is>
          <t>34 DTB 352</t>
        </is>
      </c>
      <c r="E482" s="115" t="inlineStr">
        <is>
          <t>ENGİN DENİZ</t>
        </is>
      </c>
      <c r="F482" s="65" t="n">
        <v>473911</v>
      </c>
      <c r="G482" s="152" t="n">
        <v>397</v>
      </c>
      <c r="H482" s="60" t="n"/>
      <c r="I482" s="156">
        <f>+I481+(G482-H482)</f>
        <v/>
      </c>
      <c r="J482" s="60" t="n"/>
      <c r="K482" s="60" t="n"/>
      <c r="L482" s="158">
        <f>+H482*J482</f>
        <v/>
      </c>
      <c r="M482" s="159">
        <f>SUM(M481+K482-L482)</f>
        <v/>
      </c>
      <c r="N482" s="60" t="n"/>
      <c r="O482" s="60" t="n"/>
      <c r="P482" s="60" t="n"/>
      <c r="Q482" s="60" t="n"/>
      <c r="R482" s="60" t="n"/>
      <c r="S482" s="60" t="n"/>
      <c r="T482" s="60" t="n"/>
      <c r="U482" s="60" t="n"/>
      <c r="V482" s="60" t="n"/>
      <c r="W482" s="60" t="n"/>
      <c r="X482" s="60" t="n"/>
      <c r="Y482" s="60" t="n"/>
      <c r="Z482" s="60" t="n"/>
    </row>
    <row r="483">
      <c r="A483" s="151" t="n">
        <v>46069</v>
      </c>
      <c r="B483" s="70" t="n">
        <v>1339</v>
      </c>
      <c r="C483" s="115" t="inlineStr">
        <is>
          <t>SELİM İNŞAAT</t>
        </is>
      </c>
      <c r="D483" s="115" t="inlineStr">
        <is>
          <t>34 GVZ 199</t>
        </is>
      </c>
      <c r="E483" s="115" t="inlineStr">
        <is>
          <t>HÜSEYİN DENİZ</t>
        </is>
      </c>
      <c r="F483" s="65" t="n">
        <v>223910</v>
      </c>
      <c r="G483" s="152" t="n">
        <v>426</v>
      </c>
      <c r="H483" s="60" t="n"/>
      <c r="I483" s="156">
        <f>+I482+(G483-H483)</f>
        <v/>
      </c>
      <c r="J483" s="60" t="n"/>
      <c r="K483" s="60" t="n"/>
      <c r="L483" s="158">
        <f>+H483*J483</f>
        <v/>
      </c>
      <c r="M483" s="159">
        <f>SUM(M482+K483-L483)</f>
        <v/>
      </c>
      <c r="N483" s="60" t="n"/>
      <c r="O483" s="60" t="n"/>
      <c r="P483" s="60" t="n"/>
      <c r="Q483" s="60" t="n"/>
      <c r="R483" s="60" t="n"/>
      <c r="S483" s="60" t="n"/>
      <c r="T483" s="60" t="n"/>
      <c r="U483" s="60" t="n"/>
      <c r="V483" s="60" t="n"/>
      <c r="W483" s="60" t="n"/>
      <c r="X483" s="60" t="n"/>
      <c r="Y483" s="60" t="n"/>
      <c r="Z483" s="60" t="n"/>
    </row>
    <row r="484">
      <c r="A484" s="151" t="n">
        <v>46069</v>
      </c>
      <c r="B484" s="70" t="n">
        <v>3485</v>
      </c>
      <c r="C484" s="115" t="inlineStr">
        <is>
          <t>SELİM İNŞAAT</t>
        </is>
      </c>
      <c r="D484" s="115" t="inlineStr">
        <is>
          <t>34 EDB 754</t>
        </is>
      </c>
      <c r="E484" s="115" t="inlineStr">
        <is>
          <t>MUSTAFA KAYA</t>
        </is>
      </c>
      <c r="F484" s="65" t="n">
        <v>369996</v>
      </c>
      <c r="G484" s="152" t="n">
        <v>369</v>
      </c>
      <c r="H484" s="60" t="n"/>
      <c r="I484" s="156">
        <f>+I483+(G484-H484)</f>
        <v/>
      </c>
      <c r="J484" s="60" t="n"/>
      <c r="K484" s="60" t="n"/>
      <c r="L484" s="158">
        <f>+H484*J484</f>
        <v/>
      </c>
      <c r="M484" s="159">
        <f>SUM(M483+K484-L484)</f>
        <v/>
      </c>
      <c r="N484" s="60" t="n"/>
      <c r="O484" s="60" t="n"/>
      <c r="P484" s="60" t="n"/>
      <c r="Q484" s="60" t="n"/>
      <c r="R484" s="60" t="n"/>
      <c r="S484" s="60" t="n"/>
      <c r="T484" s="60" t="n"/>
      <c r="U484" s="60" t="n"/>
      <c r="V484" s="60" t="n"/>
      <c r="W484" s="60" t="n"/>
      <c r="X484" s="60" t="n"/>
      <c r="Y484" s="60" t="n"/>
      <c r="Z484" s="60" t="n"/>
    </row>
    <row r="485">
      <c r="A485" s="151" t="n">
        <v>46069</v>
      </c>
      <c r="B485" s="70" t="n">
        <v>4013</v>
      </c>
      <c r="C485" s="115" t="inlineStr">
        <is>
          <t>SELİM İNŞAAT</t>
        </is>
      </c>
      <c r="D485" s="115" t="inlineStr">
        <is>
          <t>34 AR 7743</t>
        </is>
      </c>
      <c r="E485" s="115" t="inlineStr">
        <is>
          <t>MEHMET SELİM</t>
        </is>
      </c>
      <c r="F485" s="65" t="n">
        <v>373323</v>
      </c>
      <c r="G485" s="152" t="n">
        <v>42</v>
      </c>
      <c r="H485" s="60" t="n"/>
      <c r="I485" s="156">
        <f>+I484+(G485-H485)</f>
        <v/>
      </c>
      <c r="J485" s="60" t="n"/>
      <c r="K485" s="60" t="n"/>
      <c r="L485" s="158">
        <f>+H485*J485</f>
        <v/>
      </c>
      <c r="M485" s="159">
        <f>SUM(M484+K485-L485)</f>
        <v/>
      </c>
      <c r="N485" s="60" t="n"/>
      <c r="O485" s="60" t="n"/>
      <c r="P485" s="60" t="n"/>
      <c r="Q485" s="60" t="n"/>
      <c r="R485" s="60" t="n"/>
      <c r="S485" s="60" t="n"/>
      <c r="T485" s="60" t="n"/>
      <c r="U485" s="60" t="n"/>
      <c r="V485" s="60" t="n"/>
      <c r="W485" s="60" t="n"/>
      <c r="X485" s="60" t="n"/>
      <c r="Y485" s="60" t="n"/>
      <c r="Z485" s="60" t="n"/>
    </row>
    <row r="486">
      <c r="A486" s="151" t="n">
        <v>46069</v>
      </c>
      <c r="B486" s="70" t="n">
        <v>1772</v>
      </c>
      <c r="C486" s="115" t="inlineStr">
        <is>
          <t>SELİM İNŞAAT</t>
        </is>
      </c>
      <c r="D486" s="115" t="inlineStr">
        <is>
          <t>34 JBA 25</t>
        </is>
      </c>
      <c r="E486" s="115" t="inlineStr">
        <is>
          <t xml:space="preserve">SELİMCAN ÖNVER </t>
        </is>
      </c>
      <c r="F486" s="65" t="n">
        <v>347707</v>
      </c>
      <c r="G486" s="152" t="n">
        <v>68</v>
      </c>
      <c r="H486" s="60" t="n"/>
      <c r="I486" s="156">
        <f>+I485+(G486-H486)</f>
        <v/>
      </c>
      <c r="J486" s="60" t="n"/>
      <c r="K486" s="60" t="n"/>
      <c r="L486" s="158">
        <f>+H486*J486</f>
        <v/>
      </c>
      <c r="M486" s="159">
        <f>SUM(M485+K486-L486)</f>
        <v/>
      </c>
      <c r="N486" s="60" t="n"/>
      <c r="O486" s="60" t="n"/>
      <c r="P486" s="60" t="n"/>
      <c r="Q486" s="60" t="n"/>
      <c r="R486" s="60" t="n"/>
      <c r="S486" s="60" t="n"/>
      <c r="T486" s="60" t="n"/>
      <c r="U486" s="60" t="n"/>
      <c r="V486" s="60" t="n"/>
      <c r="W486" s="60" t="n"/>
      <c r="X486" s="60" t="n"/>
      <c r="Y486" s="60" t="n"/>
      <c r="Z486" s="60" t="n"/>
    </row>
    <row r="487">
      <c r="A487" s="151" t="n">
        <v>46069</v>
      </c>
      <c r="B487" s="70" t="n">
        <v>3724</v>
      </c>
      <c r="C487" s="115" t="inlineStr">
        <is>
          <t>SELİM İNŞAAT</t>
        </is>
      </c>
      <c r="D487" s="115" t="inlineStr">
        <is>
          <t>34 DKL 866</t>
        </is>
      </c>
      <c r="E487" s="115" t="inlineStr">
        <is>
          <t xml:space="preserve">SELİMCAN ÖNVER </t>
        </is>
      </c>
      <c r="F487" s="65" t="n">
        <v>81711</v>
      </c>
      <c r="G487" s="152" t="n">
        <v>242</v>
      </c>
      <c r="H487" s="60" t="n"/>
      <c r="I487" s="156">
        <f>+I486+(G487-H487)</f>
        <v/>
      </c>
      <c r="J487" s="60" t="n"/>
      <c r="K487" s="60" t="n"/>
      <c r="L487" s="158">
        <f>+H487*J487</f>
        <v/>
      </c>
      <c r="M487" s="159">
        <f>SUM(M486+K487-L487)</f>
        <v/>
      </c>
      <c r="N487" s="60" t="n"/>
      <c r="O487" s="60" t="n"/>
      <c r="P487" s="60" t="n"/>
      <c r="Q487" s="60" t="n"/>
      <c r="R487" s="60" t="n"/>
      <c r="S487" s="60" t="n"/>
      <c r="T487" s="60" t="n"/>
      <c r="U487" s="60" t="n"/>
      <c r="V487" s="60" t="n"/>
      <c r="W487" s="60" t="n"/>
      <c r="X487" s="60" t="n"/>
      <c r="Y487" s="60" t="n"/>
      <c r="Z487" s="60" t="n"/>
    </row>
    <row r="488">
      <c r="A488" s="151" t="n">
        <v>46069</v>
      </c>
      <c r="B488" s="70" t="n">
        <v>2747</v>
      </c>
      <c r="C488" s="115" t="inlineStr">
        <is>
          <t>METİN ERYİĞİT</t>
        </is>
      </c>
      <c r="D488" s="115" t="inlineStr">
        <is>
          <t>34 EGR 814</t>
        </is>
      </c>
      <c r="E488" s="115" t="inlineStr">
        <is>
          <t xml:space="preserve">ZİYA İNCE </t>
        </is>
      </c>
      <c r="F488" s="65" t="n">
        <v>601994</v>
      </c>
      <c r="G488" s="152" t="n">
        <v>470</v>
      </c>
      <c r="H488" s="60" t="n"/>
      <c r="I488" s="156">
        <f>+I487+(G488-H488)</f>
        <v/>
      </c>
      <c r="J488" s="60" t="n"/>
      <c r="K488" s="60" t="n"/>
      <c r="L488" s="158">
        <f>+H488*J488</f>
        <v/>
      </c>
      <c r="M488" s="159">
        <f>SUM(M487+K488-L488)</f>
        <v/>
      </c>
      <c r="N488" s="60" t="n"/>
      <c r="O488" s="60" t="n"/>
      <c r="P488" s="60" t="n"/>
      <c r="Q488" s="60" t="n"/>
      <c r="R488" s="60" t="n"/>
      <c r="S488" s="60" t="n"/>
      <c r="T488" s="60" t="n"/>
      <c r="U488" s="60" t="n"/>
      <c r="V488" s="60" t="n"/>
      <c r="W488" s="60" t="n"/>
      <c r="X488" s="60" t="n"/>
      <c r="Y488" s="60" t="n"/>
      <c r="Z488" s="60" t="n"/>
    </row>
    <row r="489">
      <c r="A489" s="151" t="n">
        <v>46069</v>
      </c>
      <c r="B489" s="70" t="n">
        <v>2895</v>
      </c>
      <c r="C489" s="115" t="inlineStr">
        <is>
          <t>MEGA VARLIK</t>
        </is>
      </c>
      <c r="D489" s="115" t="inlineStr">
        <is>
          <t>HASAN ZEMİN</t>
        </is>
      </c>
      <c r="E489" s="115" t="n"/>
      <c r="F489" s="65" t="n"/>
      <c r="G489" s="152" t="n">
        <v>500</v>
      </c>
      <c r="H489" s="60" t="n"/>
      <c r="I489" s="156">
        <f>+I488+(G489-H489)</f>
        <v/>
      </c>
      <c r="J489" s="60" t="n"/>
      <c r="K489" s="60" t="n"/>
      <c r="L489" s="158">
        <f>+H489*J489</f>
        <v/>
      </c>
      <c r="M489" s="159">
        <f>SUM(M488+K489-L489)</f>
        <v/>
      </c>
      <c r="N489" s="60" t="n"/>
      <c r="O489" s="60" t="n"/>
      <c r="P489" s="60" t="n"/>
      <c r="Q489" s="60" t="n"/>
      <c r="R489" s="60" t="n"/>
      <c r="S489" s="60" t="n"/>
      <c r="T489" s="60" t="n"/>
      <c r="U489" s="60" t="n"/>
      <c r="V489" s="60" t="n"/>
      <c r="W489" s="60" t="n"/>
      <c r="X489" s="60" t="n"/>
      <c r="Y489" s="60" t="n"/>
      <c r="Z489" s="60" t="n"/>
    </row>
    <row r="490">
      <c r="A490" s="151" t="n">
        <v>46069</v>
      </c>
      <c r="B490" s="70" t="n">
        <v>377</v>
      </c>
      <c r="C490" s="115" t="inlineStr">
        <is>
          <t>SELİM İNŞAAT</t>
        </is>
      </c>
      <c r="D490" s="115" t="inlineStr">
        <is>
          <t xml:space="preserve"> 34 AZ 2191</t>
        </is>
      </c>
      <c r="E490" s="115" t="inlineStr">
        <is>
          <t>NUMAN KABİL</t>
        </is>
      </c>
      <c r="F490" s="65" t="n"/>
      <c r="G490" s="152" t="n">
        <v>300</v>
      </c>
      <c r="H490" s="60" t="n"/>
      <c r="I490" s="156">
        <f>+I489+(G490-H490)</f>
        <v/>
      </c>
      <c r="J490" s="60" t="n"/>
      <c r="K490" s="60" t="n"/>
      <c r="L490" s="158">
        <f>+H490*J490</f>
        <v/>
      </c>
      <c r="M490" s="159">
        <f>SUM(M489+K490-L490)</f>
        <v/>
      </c>
      <c r="N490" s="60" t="n"/>
      <c r="O490" s="60" t="n"/>
      <c r="P490" s="60" t="n"/>
      <c r="Q490" s="60" t="n"/>
      <c r="R490" s="60" t="n"/>
      <c r="S490" s="60" t="n"/>
      <c r="T490" s="60" t="n"/>
      <c r="U490" s="60" t="n"/>
      <c r="V490" s="60" t="n"/>
      <c r="W490" s="60" t="n"/>
      <c r="X490" s="60" t="n"/>
      <c r="Y490" s="60" t="n"/>
      <c r="Z490" s="60" t="n"/>
    </row>
    <row r="491">
      <c r="A491" s="151" t="n">
        <v>46069</v>
      </c>
      <c r="B491" s="70" t="n">
        <v>378</v>
      </c>
      <c r="C491" s="115" t="inlineStr">
        <is>
          <t>MEGA VARLIK</t>
        </is>
      </c>
      <c r="D491" s="115" t="inlineStr">
        <is>
          <t xml:space="preserve">SM350 </t>
        </is>
      </c>
      <c r="E491" s="115" t="inlineStr">
        <is>
          <t>TEVFİK ÖZTÜRK</t>
        </is>
      </c>
      <c r="F491" s="65" t="n"/>
      <c r="G491" s="152" t="n">
        <v>455</v>
      </c>
      <c r="H491" s="60" t="n"/>
      <c r="I491" s="156">
        <f>+I490+(G491-H491)</f>
        <v/>
      </c>
      <c r="J491" s="60" t="n"/>
      <c r="K491" s="60" t="n"/>
      <c r="L491" s="158">
        <f>+H491*J491</f>
        <v/>
      </c>
      <c r="M491" s="159">
        <f>SUM(M490+K491-L491)</f>
        <v/>
      </c>
      <c r="N491" s="60" t="n"/>
      <c r="O491" s="60" t="n"/>
      <c r="P491" s="60" t="n"/>
      <c r="Q491" s="60" t="n"/>
      <c r="R491" s="60" t="n"/>
      <c r="S491" s="60" t="n"/>
      <c r="T491" s="60" t="n"/>
      <c r="U491" s="60" t="n"/>
      <c r="V491" s="60" t="n"/>
      <c r="W491" s="60" t="n"/>
      <c r="X491" s="60" t="n"/>
      <c r="Y491" s="60" t="n"/>
      <c r="Z491" s="60" t="n"/>
    </row>
    <row r="492">
      <c r="A492" s="151" t="n">
        <v>46069</v>
      </c>
      <c r="B492" s="70" t="n">
        <v>379</v>
      </c>
      <c r="C492" s="115" t="inlineStr">
        <is>
          <t>MEGA VARLIK</t>
        </is>
      </c>
      <c r="D492" s="115" t="inlineStr">
        <is>
          <t xml:space="preserve">SM350 </t>
        </is>
      </c>
      <c r="E492" s="115" t="inlineStr">
        <is>
          <t xml:space="preserve">MİKAİL BAYILMAZ </t>
        </is>
      </c>
      <c r="F492" s="65" t="n"/>
      <c r="G492" s="152" t="n">
        <v>377</v>
      </c>
      <c r="H492" s="60" t="n"/>
      <c r="I492" s="156">
        <f>+I491+(G492-H492)</f>
        <v/>
      </c>
      <c r="J492" s="60" t="n"/>
      <c r="K492" s="60" t="n"/>
      <c r="L492" s="158">
        <f>+H492*J492</f>
        <v/>
      </c>
      <c r="M492" s="159">
        <f>SUM(M491+K492-L492)</f>
        <v/>
      </c>
      <c r="N492" s="60" t="n"/>
      <c r="O492" s="60" t="n"/>
      <c r="P492" s="60" t="n"/>
      <c r="Q492" s="60" t="n"/>
      <c r="R492" s="60" t="n"/>
      <c r="S492" s="60" t="n"/>
      <c r="T492" s="60" t="n"/>
      <c r="U492" s="60" t="n"/>
      <c r="V492" s="60" t="n"/>
      <c r="W492" s="60" t="n"/>
      <c r="X492" s="60" t="n"/>
      <c r="Y492" s="60" t="n"/>
      <c r="Z492" s="60" t="n"/>
    </row>
    <row r="493">
      <c r="A493" s="151" t="n">
        <v>46069</v>
      </c>
      <c r="B493" s="70" t="n">
        <v>380</v>
      </c>
      <c r="C493" s="115" t="inlineStr">
        <is>
          <t>YENİ HARFİYAT SS HADIMKÖY</t>
        </is>
      </c>
      <c r="D493" s="115" t="inlineStr">
        <is>
          <t>HITACHI</t>
        </is>
      </c>
      <c r="E493" s="115" t="inlineStr">
        <is>
          <t>TURGUT</t>
        </is>
      </c>
      <c r="F493" s="65" t="n"/>
      <c r="G493" s="152" t="n">
        <v>400</v>
      </c>
      <c r="H493" s="60" t="n"/>
      <c r="I493" s="156">
        <f>+I492+(G493-H493)</f>
        <v/>
      </c>
      <c r="J493" s="60" t="n"/>
      <c r="K493" s="60" t="n"/>
      <c r="L493" s="158">
        <f>+H493*J493</f>
        <v/>
      </c>
      <c r="M493" s="159">
        <f>SUM(M492+K493-L493)</f>
        <v/>
      </c>
      <c r="N493" s="60" t="n"/>
      <c r="O493" s="60" t="n"/>
      <c r="P493" s="60" t="n"/>
      <c r="Q493" s="60" t="n"/>
      <c r="R493" s="60" t="n"/>
      <c r="S493" s="60" t="n"/>
      <c r="T493" s="60" t="n"/>
      <c r="U493" s="60" t="n"/>
      <c r="V493" s="60" t="n"/>
      <c r="W493" s="60" t="n"/>
      <c r="X493" s="60" t="n"/>
      <c r="Y493" s="60" t="n"/>
      <c r="Z493" s="60" t="n"/>
    </row>
    <row r="494">
      <c r="A494" s="151" t="n">
        <v>46069</v>
      </c>
      <c r="B494" s="70" t="n">
        <v>2536</v>
      </c>
      <c r="C494" s="115" t="inlineStr">
        <is>
          <t xml:space="preserve">AZGÜN YAPI </t>
        </is>
      </c>
      <c r="D494" s="115" t="inlineStr">
        <is>
          <t>34 MKT 593</t>
        </is>
      </c>
      <c r="E494" s="115" t="inlineStr">
        <is>
          <t>TURGUT ÇATAL</t>
        </is>
      </c>
      <c r="F494" s="65" t="n"/>
      <c r="G494" s="152" t="n">
        <v>300</v>
      </c>
      <c r="H494" s="60" t="n"/>
      <c r="I494" s="156">
        <f>+I493+(G494-H494)</f>
        <v/>
      </c>
      <c r="J494" s="60" t="n"/>
      <c r="K494" s="60" t="n"/>
      <c r="L494" s="158">
        <f>+H494*J494</f>
        <v/>
      </c>
      <c r="M494" s="159">
        <f>SUM(M493+K494-L494)</f>
        <v/>
      </c>
      <c r="N494" s="60" t="n"/>
      <c r="O494" s="60" t="n"/>
      <c r="P494" s="60" t="n"/>
      <c r="Q494" s="60" t="n"/>
      <c r="R494" s="60" t="n"/>
      <c r="S494" s="60" t="n"/>
      <c r="T494" s="60" t="n"/>
      <c r="U494" s="60" t="n"/>
      <c r="V494" s="60" t="n"/>
      <c r="W494" s="60" t="n"/>
      <c r="X494" s="60" t="n"/>
      <c r="Y494" s="60" t="n"/>
      <c r="Z494" s="60" t="n"/>
    </row>
    <row r="495">
      <c r="A495" s="151" t="n">
        <v>46069</v>
      </c>
      <c r="B495" s="70" t="n">
        <v>3282</v>
      </c>
      <c r="C495" s="115" t="inlineStr">
        <is>
          <t xml:space="preserve">AZGÜN YAPI </t>
        </is>
      </c>
      <c r="D495" s="115" t="inlineStr">
        <is>
          <t xml:space="preserve">34 DTV 263 </t>
        </is>
      </c>
      <c r="E495" s="115" t="inlineStr">
        <is>
          <t>İRFAN DAĞLAR</t>
        </is>
      </c>
      <c r="F495" s="65" t="n"/>
      <c r="G495" s="152" t="n">
        <v>420</v>
      </c>
      <c r="H495" s="60" t="n"/>
      <c r="I495" s="156">
        <f>+I494+(G495-H495)</f>
        <v/>
      </c>
      <c r="J495" s="60" t="n"/>
      <c r="K495" s="60" t="n"/>
      <c r="L495" s="158">
        <f>+H495*J495</f>
        <v/>
      </c>
      <c r="M495" s="159">
        <f>SUM(M494+K495-L495)</f>
        <v/>
      </c>
      <c r="N495" s="60" t="n"/>
      <c r="O495" s="60" t="n"/>
      <c r="P495" s="60" t="n"/>
      <c r="Q495" s="60" t="n"/>
      <c r="R495" s="60" t="n"/>
      <c r="S495" s="60" t="n"/>
      <c r="T495" s="60" t="n"/>
      <c r="U495" s="60" t="n"/>
      <c r="V495" s="60" t="n"/>
      <c r="W495" s="60" t="n"/>
      <c r="X495" s="60" t="n"/>
      <c r="Y495" s="60" t="n"/>
      <c r="Z495" s="60" t="n"/>
    </row>
    <row r="496">
      <c r="A496" s="151" t="n">
        <v>46070</v>
      </c>
      <c r="B496" s="70" t="n">
        <v>802</v>
      </c>
      <c r="C496" s="115" t="inlineStr">
        <is>
          <t>METİN ERYİĞİT</t>
        </is>
      </c>
      <c r="D496" s="115" t="inlineStr">
        <is>
          <t>34 GBL 998</t>
        </is>
      </c>
      <c r="E496" s="115" t="inlineStr">
        <is>
          <t>ALİ KESKİN</t>
        </is>
      </c>
      <c r="F496" s="65" t="n"/>
      <c r="G496" s="152" t="n">
        <v>395</v>
      </c>
      <c r="H496" s="60" t="n"/>
      <c r="I496" s="156">
        <f>+I495+(G496-H496)</f>
        <v/>
      </c>
      <c r="J496" s="60" t="n"/>
      <c r="K496" s="60" t="n"/>
      <c r="L496" s="158">
        <f>+H496*J496</f>
        <v/>
      </c>
      <c r="M496" s="159">
        <f>SUM(M495+K496-L496)</f>
        <v/>
      </c>
      <c r="N496" s="60" t="n"/>
      <c r="O496" s="60" t="n"/>
      <c r="P496" s="60" t="n"/>
      <c r="Q496" s="60" t="n"/>
      <c r="R496" s="60" t="n"/>
      <c r="S496" s="60" t="n"/>
      <c r="T496" s="60" t="n"/>
      <c r="U496" s="60" t="n"/>
      <c r="V496" s="60" t="n"/>
      <c r="W496" s="60" t="n"/>
      <c r="X496" s="60" t="n"/>
      <c r="Y496" s="60" t="n"/>
      <c r="Z496" s="60" t="n"/>
    </row>
    <row r="497">
      <c r="A497" s="151" t="n">
        <v>46070</v>
      </c>
      <c r="B497" s="70" t="n">
        <v>707</v>
      </c>
      <c r="C497" s="115" t="inlineStr">
        <is>
          <t>METİN ERYİĞİT</t>
        </is>
      </c>
      <c r="D497" s="115" t="inlineStr">
        <is>
          <t>34 EGS 013</t>
        </is>
      </c>
      <c r="E497" s="115" t="inlineStr">
        <is>
          <t>UĞUR DUMAN</t>
        </is>
      </c>
      <c r="F497" s="65" t="n"/>
      <c r="G497" s="152" t="n">
        <v>385</v>
      </c>
      <c r="H497" s="60" t="n"/>
      <c r="I497" s="156">
        <f>+I496+(G497-H497)</f>
        <v/>
      </c>
      <c r="J497" s="60" t="n"/>
      <c r="K497" s="60" t="n"/>
      <c r="L497" s="158">
        <f>+H497*J497</f>
        <v/>
      </c>
      <c r="M497" s="159">
        <f>SUM(M496+K497-L497)</f>
        <v/>
      </c>
      <c r="N497" s="60" t="n"/>
      <c r="O497" s="60" t="n"/>
      <c r="P497" s="60" t="n"/>
      <c r="Q497" s="60" t="n"/>
      <c r="R497" s="60" t="n"/>
      <c r="S497" s="60" t="n"/>
      <c r="T497" s="60" t="n"/>
      <c r="U497" s="60" t="n"/>
      <c r="V497" s="60" t="n"/>
      <c r="W497" s="60" t="n"/>
      <c r="X497" s="60" t="n"/>
      <c r="Y497" s="60" t="n"/>
      <c r="Z497" s="60" t="n"/>
    </row>
    <row r="498">
      <c r="A498" s="151" t="n">
        <v>46070</v>
      </c>
      <c r="B498" s="70" t="n">
        <v>381</v>
      </c>
      <c r="C498" s="115" t="inlineStr">
        <is>
          <t>HASALTUN</t>
        </is>
      </c>
      <c r="D498" s="115" t="inlineStr">
        <is>
          <t>SİLİNDİR</t>
        </is>
      </c>
      <c r="E498" s="115" t="inlineStr">
        <is>
          <t xml:space="preserve">MEHMET ALİ SANCAK </t>
        </is>
      </c>
      <c r="F498" s="65" t="n"/>
      <c r="G498" s="152" t="n">
        <v>393</v>
      </c>
      <c r="H498" s="60" t="n"/>
      <c r="I498" s="156">
        <f>+I497+(G498-H498)</f>
        <v/>
      </c>
      <c r="J498" s="60" t="n"/>
      <c r="K498" s="60" t="n"/>
      <c r="L498" s="158">
        <f>+H498*J498</f>
        <v/>
      </c>
      <c r="M498" s="159">
        <f>SUM(M497+K498-L498)</f>
        <v/>
      </c>
      <c r="N498" s="60" t="n"/>
      <c r="O498" s="60" t="n"/>
      <c r="P498" s="60" t="n"/>
      <c r="Q498" s="60" t="n"/>
      <c r="R498" s="60" t="n"/>
      <c r="S498" s="60" t="n"/>
      <c r="T498" s="60" t="n"/>
      <c r="U498" s="60" t="n"/>
      <c r="V498" s="60" t="n"/>
      <c r="W498" s="60" t="n"/>
      <c r="X498" s="60" t="n"/>
      <c r="Y498" s="60" t="n"/>
      <c r="Z498" s="60" t="n"/>
    </row>
    <row r="499">
      <c r="A499" s="151" t="n">
        <v>46070</v>
      </c>
      <c r="B499" s="70" t="n">
        <v>382</v>
      </c>
      <c r="C499" s="115" t="inlineStr">
        <is>
          <t>HASALTUN</t>
        </is>
      </c>
      <c r="D499" s="115" t="inlineStr">
        <is>
          <t>MANITO2260</t>
        </is>
      </c>
      <c r="E499" s="115" t="inlineStr">
        <is>
          <t>MUHAMMED KANTAR</t>
        </is>
      </c>
      <c r="F499" s="65" t="n"/>
      <c r="G499" s="152" t="n">
        <v>160</v>
      </c>
      <c r="H499" s="60" t="n"/>
      <c r="I499" s="156">
        <f>+I498+(G499-H499)</f>
        <v/>
      </c>
      <c r="J499" s="60" t="n"/>
      <c r="K499" s="60" t="n"/>
      <c r="L499" s="158">
        <f>+H499*J499</f>
        <v/>
      </c>
      <c r="M499" s="159">
        <f>SUM(M498+K499-L499)</f>
        <v/>
      </c>
      <c r="N499" s="60" t="n"/>
      <c r="O499" s="60" t="n"/>
      <c r="P499" s="60" t="n"/>
      <c r="Q499" s="60" t="n"/>
      <c r="R499" s="60" t="n"/>
      <c r="S499" s="60" t="n"/>
      <c r="T499" s="60" t="n"/>
      <c r="U499" s="60" t="n"/>
      <c r="V499" s="60" t="n"/>
      <c r="W499" s="60" t="n"/>
      <c r="X499" s="60" t="n"/>
      <c r="Y499" s="60" t="n"/>
      <c r="Z499" s="60" t="n"/>
    </row>
    <row r="500">
      <c r="A500" s="151" t="n">
        <v>46070</v>
      </c>
      <c r="B500" s="70" t="n">
        <v>383</v>
      </c>
      <c r="C500" s="115" t="inlineStr">
        <is>
          <t>EVKUR</t>
        </is>
      </c>
      <c r="D500" s="115" t="inlineStr">
        <is>
          <t xml:space="preserve">JCB </t>
        </is>
      </c>
      <c r="E500" s="115" t="inlineStr">
        <is>
          <t>GÜNEŞ BEY</t>
        </is>
      </c>
      <c r="F500" s="65" t="n"/>
      <c r="G500" s="152" t="n">
        <v>70</v>
      </c>
      <c r="H500" s="60" t="n"/>
      <c r="I500" s="156">
        <f>+I499+(G500-H500)</f>
        <v/>
      </c>
      <c r="J500" s="60" t="n"/>
      <c r="K500" s="60" t="n"/>
      <c r="L500" s="158">
        <f>+H500*J500</f>
        <v/>
      </c>
      <c r="M500" s="159">
        <f>SUM(M499+K500-L500)</f>
        <v/>
      </c>
      <c r="N500" s="60" t="n"/>
      <c r="O500" s="60" t="n"/>
      <c r="P500" s="60" t="n"/>
      <c r="Q500" s="60" t="n"/>
      <c r="R500" s="60" t="n"/>
      <c r="S500" s="60" t="n"/>
      <c r="T500" s="60" t="n"/>
      <c r="U500" s="60" t="n"/>
      <c r="V500" s="60" t="n"/>
      <c r="W500" s="60" t="n"/>
      <c r="X500" s="60" t="n"/>
      <c r="Y500" s="60" t="n"/>
      <c r="Z500" s="60" t="n"/>
    </row>
    <row r="501">
      <c r="A501" s="151" t="n">
        <v>46070</v>
      </c>
      <c r="B501" s="70" t="n">
        <v>384</v>
      </c>
      <c r="C501" s="115" t="inlineStr">
        <is>
          <t>HASALTUN</t>
        </is>
      </c>
      <c r="D501" s="115" t="inlineStr">
        <is>
          <t>HITACHI</t>
        </is>
      </c>
      <c r="E501" s="115" t="inlineStr">
        <is>
          <t>TURGUT SANCAK</t>
        </is>
      </c>
      <c r="F501" s="65" t="n"/>
      <c r="G501" s="152" t="n">
        <v>201</v>
      </c>
      <c r="H501" s="60" t="n"/>
      <c r="I501" s="156">
        <f>+I500+(G501-H501)</f>
        <v/>
      </c>
      <c r="J501" s="60" t="n"/>
      <c r="K501" s="60" t="n"/>
      <c r="L501" s="158">
        <f>+H501*J501</f>
        <v/>
      </c>
      <c r="M501" s="159">
        <f>SUM(M500+K501-L501)</f>
        <v/>
      </c>
      <c r="N501" s="60" t="n"/>
      <c r="O501" s="60" t="n"/>
      <c r="P501" s="60" t="n"/>
      <c r="Q501" s="60" t="n"/>
      <c r="R501" s="60" t="n"/>
      <c r="S501" s="60" t="n"/>
      <c r="T501" s="60" t="n"/>
      <c r="U501" s="60" t="n"/>
      <c r="V501" s="60" t="n"/>
      <c r="W501" s="60" t="n"/>
      <c r="X501" s="60" t="n"/>
      <c r="Y501" s="60" t="n"/>
      <c r="Z501" s="60" t="n"/>
    </row>
    <row r="502">
      <c r="A502" s="151" t="n">
        <v>46070</v>
      </c>
      <c r="B502" s="70" t="n">
        <v>245</v>
      </c>
      <c r="C502" s="115" t="inlineStr">
        <is>
          <t>SELİM İNŞAAT</t>
        </is>
      </c>
      <c r="D502" s="115" t="inlineStr">
        <is>
          <t>34 JGR 15</t>
        </is>
      </c>
      <c r="E502" s="115" t="inlineStr">
        <is>
          <t xml:space="preserve">SELİMCAN ÖNVER </t>
        </is>
      </c>
      <c r="F502" s="65" t="n"/>
      <c r="G502" s="152" t="n">
        <v>82</v>
      </c>
      <c r="H502" s="60" t="n"/>
      <c r="I502" s="156">
        <f>+I501+(G502-H502)</f>
        <v/>
      </c>
      <c r="J502" s="60" t="n"/>
      <c r="K502" s="60" t="n"/>
      <c r="L502" s="158">
        <f>+H502*J502</f>
        <v/>
      </c>
      <c r="M502" s="159">
        <f>SUM(M501+K502-L502)</f>
        <v/>
      </c>
      <c r="N502" s="60" t="n"/>
      <c r="O502" s="60" t="n"/>
      <c r="P502" s="60" t="n"/>
      <c r="Q502" s="60" t="n"/>
      <c r="R502" s="60" t="n"/>
      <c r="S502" s="60" t="n"/>
      <c r="T502" s="60" t="n"/>
      <c r="U502" s="60" t="n"/>
      <c r="V502" s="60" t="n"/>
      <c r="W502" s="60" t="n"/>
      <c r="X502" s="60" t="n"/>
      <c r="Y502" s="60" t="n"/>
      <c r="Z502" s="60" t="n"/>
    </row>
    <row r="503">
      <c r="A503" s="151" t="n">
        <v>46071</v>
      </c>
      <c r="B503" s="70" t="n">
        <v>2748</v>
      </c>
      <c r="C503" s="115" t="inlineStr">
        <is>
          <t>METİN ERYİĞİT</t>
        </is>
      </c>
      <c r="D503" s="115" t="inlineStr">
        <is>
          <t>34 EGR 814</t>
        </is>
      </c>
      <c r="E503" s="115" t="inlineStr">
        <is>
          <t xml:space="preserve">ZİYA İNCE </t>
        </is>
      </c>
      <c r="F503" s="65" t="n"/>
      <c r="G503" s="152" t="n">
        <v>390</v>
      </c>
      <c r="H503" s="60" t="n"/>
      <c r="I503" s="156">
        <f>+I502+(G503-H503)</f>
        <v/>
      </c>
      <c r="J503" s="60" t="n"/>
      <c r="K503" s="60" t="n"/>
      <c r="L503" s="158">
        <f>+H503*J503</f>
        <v/>
      </c>
      <c r="M503" s="159">
        <f>SUM(M502+K503-L503)</f>
        <v/>
      </c>
      <c r="N503" s="60" t="n"/>
      <c r="O503" s="60" t="n"/>
      <c r="P503" s="60" t="n"/>
      <c r="Q503" s="60" t="n"/>
      <c r="R503" s="60" t="n"/>
      <c r="S503" s="60" t="n"/>
      <c r="T503" s="60" t="n"/>
      <c r="U503" s="60" t="n"/>
      <c r="V503" s="60" t="n"/>
      <c r="W503" s="60" t="n"/>
      <c r="X503" s="60" t="n"/>
      <c r="Y503" s="60" t="n"/>
      <c r="Z503" s="60" t="n"/>
    </row>
    <row r="504">
      <c r="A504" s="151" t="n">
        <v>46072</v>
      </c>
      <c r="B504" s="70" t="n">
        <v>803</v>
      </c>
      <c r="C504" s="115" t="inlineStr">
        <is>
          <t>METİN ERYİĞİT</t>
        </is>
      </c>
      <c r="D504" s="115" t="inlineStr">
        <is>
          <t>34 GBL 998</t>
        </is>
      </c>
      <c r="E504" s="115" t="inlineStr">
        <is>
          <t>ALİ KESKİN</t>
        </is>
      </c>
      <c r="F504" s="65" t="n"/>
      <c r="G504" s="152" t="n">
        <v>351</v>
      </c>
      <c r="H504" s="60" t="n"/>
      <c r="I504" s="156">
        <f>+I503+(G504-H504)</f>
        <v/>
      </c>
      <c r="J504" s="60" t="n"/>
      <c r="K504" s="60" t="n"/>
      <c r="L504" s="158">
        <f>+H504*J504</f>
        <v/>
      </c>
      <c r="M504" s="159">
        <f>SUM(M503+K504-L504)</f>
        <v/>
      </c>
      <c r="N504" s="60" t="n"/>
      <c r="O504" s="60" t="n"/>
      <c r="P504" s="60" t="n"/>
      <c r="Q504" s="60" t="n"/>
      <c r="R504" s="60" t="n"/>
      <c r="S504" s="60" t="n"/>
      <c r="T504" s="60" t="n"/>
      <c r="U504" s="60" t="n"/>
      <c r="V504" s="60" t="n"/>
      <c r="W504" s="60" t="n"/>
      <c r="X504" s="60" t="n"/>
      <c r="Y504" s="60" t="n"/>
      <c r="Z504" s="60" t="n"/>
    </row>
    <row r="505">
      <c r="A505" s="151" t="n">
        <v>46072</v>
      </c>
      <c r="B505" s="70" t="n">
        <v>708</v>
      </c>
      <c r="C505" s="115" t="inlineStr">
        <is>
          <t>METİN ERYİĞİT</t>
        </is>
      </c>
      <c r="D505" s="115" t="inlineStr">
        <is>
          <t>34 EGS 013</t>
        </is>
      </c>
      <c r="E505" s="115" t="inlineStr">
        <is>
          <t>UĞUR DUMAN</t>
        </is>
      </c>
      <c r="F505" s="65" t="n"/>
      <c r="G505" s="152" t="n">
        <v>470</v>
      </c>
      <c r="H505" s="60" t="n"/>
      <c r="I505" s="156">
        <f>+I504+(G505-H505)</f>
        <v/>
      </c>
      <c r="J505" s="60" t="n"/>
      <c r="K505" s="60" t="n"/>
      <c r="L505" s="158">
        <f>+H505*J505</f>
        <v/>
      </c>
      <c r="M505" s="159">
        <f>SUM(M504+K505-L505)</f>
        <v/>
      </c>
      <c r="N505" s="60" t="n"/>
      <c r="O505" s="60" t="n"/>
      <c r="P505" s="60" t="n"/>
      <c r="Q505" s="60" t="n"/>
      <c r="R505" s="60" t="n"/>
      <c r="S505" s="60" t="n"/>
      <c r="T505" s="60" t="n"/>
      <c r="U505" s="60" t="n"/>
      <c r="V505" s="60" t="n"/>
      <c r="W505" s="60" t="n"/>
      <c r="X505" s="60" t="n"/>
      <c r="Y505" s="60" t="n"/>
      <c r="Z505" s="60" t="n"/>
    </row>
    <row r="506">
      <c r="A506" s="151" t="n">
        <v>46072</v>
      </c>
      <c r="B506" s="70" t="n">
        <v>2537</v>
      </c>
      <c r="C506" s="115" t="inlineStr">
        <is>
          <t xml:space="preserve">AZGÜN YAPI </t>
        </is>
      </c>
      <c r="D506" s="115" t="inlineStr">
        <is>
          <t>34 MKT 593</t>
        </is>
      </c>
      <c r="E506" s="115" t="inlineStr">
        <is>
          <t>İRFAN DAĞLAR</t>
        </is>
      </c>
      <c r="F506" s="65" t="n"/>
      <c r="G506" s="152" t="n">
        <v>371</v>
      </c>
      <c r="H506" s="60" t="n"/>
      <c r="I506" s="156">
        <f>+I505+(G506-H506)</f>
        <v/>
      </c>
      <c r="J506" s="60" t="n"/>
      <c r="K506" s="60" t="n"/>
      <c r="L506" s="158">
        <f>+H506*J506</f>
        <v/>
      </c>
      <c r="M506" s="159">
        <f>SUM(M505+K506-L506)</f>
        <v/>
      </c>
      <c r="N506" s="60" t="n"/>
      <c r="O506" s="60" t="n"/>
      <c r="P506" s="60" t="n"/>
      <c r="Q506" s="60" t="n"/>
      <c r="R506" s="60" t="n"/>
      <c r="S506" s="60" t="n"/>
      <c r="T506" s="60" t="n"/>
      <c r="U506" s="60" t="n"/>
      <c r="V506" s="60" t="n"/>
      <c r="W506" s="60" t="n"/>
      <c r="X506" s="60" t="n"/>
      <c r="Y506" s="60" t="n"/>
      <c r="Z506" s="60" t="n"/>
    </row>
    <row r="507">
      <c r="A507" s="151" t="n">
        <v>46072</v>
      </c>
      <c r="B507" s="70" t="n">
        <v>385</v>
      </c>
      <c r="C507" s="115" t="inlineStr">
        <is>
          <t xml:space="preserve">CEVİZ MOBİLYA  </t>
        </is>
      </c>
      <c r="D507" s="115" t="inlineStr">
        <is>
          <t>CEMAL BEY</t>
        </is>
      </c>
      <c r="E507" s="115" t="n"/>
      <c r="F507" s="65" t="n"/>
      <c r="G507" s="152" t="n">
        <v>30</v>
      </c>
      <c r="H507" s="60" t="n"/>
      <c r="I507" s="156">
        <f>+I506+(G507-H507)</f>
        <v/>
      </c>
      <c r="J507" s="60" t="n"/>
      <c r="K507" s="60" t="n"/>
      <c r="L507" s="158">
        <f>+H507*J507</f>
        <v/>
      </c>
      <c r="M507" s="159">
        <f>SUM(M506+K507-L507)</f>
        <v/>
      </c>
      <c r="N507" s="60" t="n"/>
      <c r="O507" s="60" t="n"/>
      <c r="P507" s="60" t="n"/>
      <c r="Q507" s="60" t="n"/>
      <c r="R507" s="60" t="n"/>
      <c r="S507" s="60" t="n"/>
      <c r="T507" s="60" t="n"/>
      <c r="U507" s="60" t="n"/>
      <c r="V507" s="60" t="n"/>
      <c r="W507" s="60" t="n"/>
      <c r="X507" s="60" t="n"/>
      <c r="Y507" s="60" t="n"/>
      <c r="Z507" s="60" t="n"/>
    </row>
    <row r="508">
      <c r="A508" s="151" t="n">
        <v>46072</v>
      </c>
      <c r="B508" s="70" t="n">
        <v>386</v>
      </c>
      <c r="C508" s="115" t="inlineStr">
        <is>
          <t>MEGA VARLIK</t>
        </is>
      </c>
      <c r="D508" s="115" t="inlineStr">
        <is>
          <t>KAWAZAKI</t>
        </is>
      </c>
      <c r="E508" s="115" t="inlineStr">
        <is>
          <t>RAMAZAN</t>
        </is>
      </c>
      <c r="F508" s="65" t="n"/>
      <c r="G508" s="152" t="n">
        <v>225</v>
      </c>
      <c r="H508" s="60" t="n"/>
      <c r="I508" s="156">
        <f>+I507+(G508-H508)</f>
        <v/>
      </c>
      <c r="J508" s="60" t="n"/>
      <c r="K508" s="60" t="n"/>
      <c r="L508" s="158">
        <f>+H508*J508</f>
        <v/>
      </c>
      <c r="M508" s="159">
        <f>SUM(M507+K508-L508)</f>
        <v/>
      </c>
      <c r="N508" s="60" t="n"/>
      <c r="O508" s="60" t="n"/>
      <c r="P508" s="60" t="n"/>
      <c r="Q508" s="60" t="n"/>
      <c r="R508" s="60" t="n"/>
      <c r="S508" s="60" t="n"/>
      <c r="T508" s="60" t="n"/>
      <c r="U508" s="60" t="n"/>
      <c r="V508" s="60" t="n"/>
      <c r="W508" s="60" t="n"/>
      <c r="X508" s="60" t="n"/>
      <c r="Y508" s="60" t="n"/>
      <c r="Z508" s="60" t="n"/>
    </row>
    <row r="509">
      <c r="A509" s="151" t="n">
        <v>46072</v>
      </c>
      <c r="B509" s="70" t="n">
        <v>387</v>
      </c>
      <c r="C509" s="115" t="inlineStr">
        <is>
          <t>MEGA VARLIK</t>
        </is>
      </c>
      <c r="D509" s="115" t="inlineStr">
        <is>
          <t xml:space="preserve">SM350 </t>
        </is>
      </c>
      <c r="E509" s="115" t="inlineStr">
        <is>
          <t xml:space="preserve">MİKAİL BAYILMAZ </t>
        </is>
      </c>
      <c r="F509" s="65" t="n"/>
      <c r="G509" s="152" t="n">
        <v>152</v>
      </c>
      <c r="H509" s="60" t="n"/>
      <c r="I509" s="156">
        <f>+I508+(G509-H509)</f>
        <v/>
      </c>
      <c r="J509" s="60" t="n"/>
      <c r="K509" s="60" t="n"/>
      <c r="L509" s="158">
        <f>+H509*J509</f>
        <v/>
      </c>
      <c r="M509" s="159">
        <f>SUM(M508+K509-L509)</f>
        <v/>
      </c>
      <c r="N509" s="60" t="n"/>
      <c r="O509" s="60" t="n"/>
      <c r="P509" s="60" t="n"/>
      <c r="Q509" s="60" t="n"/>
      <c r="R509" s="60" t="n"/>
      <c r="S509" s="60" t="n"/>
      <c r="T509" s="60" t="n"/>
      <c r="U509" s="60" t="n"/>
      <c r="V509" s="60" t="n"/>
      <c r="W509" s="60" t="n"/>
      <c r="X509" s="60" t="n"/>
      <c r="Y509" s="60" t="n"/>
      <c r="Z509" s="60" t="n"/>
    </row>
    <row r="510">
      <c r="A510" s="151" t="n">
        <v>46072</v>
      </c>
      <c r="B510" s="70" t="n">
        <v>2647</v>
      </c>
      <c r="C510" s="115" t="inlineStr">
        <is>
          <t>SELİM İNŞAAT</t>
        </is>
      </c>
      <c r="D510" s="115" t="inlineStr">
        <is>
          <t>34 GU 945</t>
        </is>
      </c>
      <c r="E510" s="115" t="inlineStr">
        <is>
          <t>YAKUP URUCU</t>
        </is>
      </c>
      <c r="F510" s="65" t="n">
        <v>471125</v>
      </c>
      <c r="G510" s="152" t="n">
        <v>63</v>
      </c>
      <c r="H510" s="60" t="n"/>
      <c r="I510" s="156">
        <f>+I509+(G510-H510)</f>
        <v/>
      </c>
      <c r="J510" s="60" t="n"/>
      <c r="K510" s="60" t="n"/>
      <c r="L510" s="158">
        <f>+H510*J510</f>
        <v/>
      </c>
      <c r="M510" s="159">
        <f>SUM(M509+K510-L510)</f>
        <v/>
      </c>
      <c r="N510" s="60" t="n"/>
      <c r="O510" s="60" t="n"/>
      <c r="P510" s="60" t="n"/>
      <c r="Q510" s="60" t="n"/>
      <c r="R510" s="60" t="n"/>
      <c r="S510" s="60" t="n"/>
      <c r="T510" s="60" t="n"/>
      <c r="U510" s="60" t="n"/>
      <c r="V510" s="60" t="n"/>
      <c r="W510" s="60" t="n"/>
      <c r="X510" s="60" t="n"/>
      <c r="Y510" s="60" t="n"/>
      <c r="Z510" s="60" t="n"/>
    </row>
    <row r="511">
      <c r="A511" s="151" t="n">
        <v>46072</v>
      </c>
      <c r="B511" s="70" t="n">
        <v>2977</v>
      </c>
      <c r="C511" s="115" t="inlineStr">
        <is>
          <t>SELİM İNŞAAT</t>
        </is>
      </c>
      <c r="D511" s="115" t="inlineStr">
        <is>
          <t>34 DFE 454</t>
        </is>
      </c>
      <c r="E511" s="115" t="inlineStr">
        <is>
          <t>HÜSEYİN ALIN</t>
        </is>
      </c>
      <c r="F511" s="65" t="n">
        <v>174070</v>
      </c>
      <c r="G511" s="152" t="n">
        <v>278</v>
      </c>
      <c r="H511" s="60" t="n"/>
      <c r="I511" s="156">
        <f>+I510+(G511-H511)</f>
        <v/>
      </c>
      <c r="J511" s="60" t="n"/>
      <c r="K511" s="60" t="n"/>
      <c r="L511" s="158">
        <f>+H511*J511</f>
        <v/>
      </c>
      <c r="M511" s="159">
        <f>SUM(M510+K511-L511)</f>
        <v/>
      </c>
      <c r="N511" s="60" t="n"/>
      <c r="O511" s="60" t="n"/>
      <c r="P511" s="60" t="n"/>
      <c r="Q511" s="60" t="n"/>
      <c r="R511" s="60" t="n"/>
      <c r="S511" s="60" t="n"/>
      <c r="T511" s="60" t="n"/>
      <c r="U511" s="60" t="n"/>
      <c r="V511" s="60" t="n"/>
      <c r="W511" s="60" t="n"/>
      <c r="X511" s="60" t="n"/>
      <c r="Y511" s="60" t="n"/>
      <c r="Z511" s="60" t="n"/>
    </row>
    <row r="512">
      <c r="A512" s="151" t="n">
        <v>46072</v>
      </c>
      <c r="B512" s="70" t="n">
        <v>4415</v>
      </c>
      <c r="C512" s="115" t="inlineStr">
        <is>
          <t>SELİM İNŞAAT</t>
        </is>
      </c>
      <c r="D512" s="115" t="inlineStr">
        <is>
          <t>34 DTV 409</t>
        </is>
      </c>
      <c r="E512" s="115" t="inlineStr">
        <is>
          <t>ATA KIZMAZ</t>
        </is>
      </c>
      <c r="F512" s="65" t="n">
        <v>452674</v>
      </c>
      <c r="G512" s="152" t="n">
        <v>397</v>
      </c>
      <c r="H512" s="60" t="n"/>
      <c r="I512" s="156">
        <f>+I511+(G512-H512)</f>
        <v/>
      </c>
      <c r="J512" s="60" t="n"/>
      <c r="K512" s="60" t="n"/>
      <c r="L512" s="158">
        <f>+H512*J512</f>
        <v/>
      </c>
      <c r="M512" s="159">
        <f>SUM(M511+K512-L512)</f>
        <v/>
      </c>
      <c r="N512" s="60" t="n"/>
      <c r="O512" s="60" t="n"/>
      <c r="P512" s="60" t="n"/>
      <c r="Q512" s="60" t="n"/>
      <c r="R512" s="60" t="n"/>
      <c r="S512" s="60" t="n"/>
      <c r="T512" s="60" t="n"/>
      <c r="U512" s="60" t="n"/>
      <c r="V512" s="60" t="n"/>
      <c r="W512" s="60" t="n"/>
      <c r="X512" s="60" t="n"/>
      <c r="Y512" s="60" t="n"/>
      <c r="Z512" s="60" t="n"/>
    </row>
    <row r="513">
      <c r="A513" s="151" t="n">
        <v>46072</v>
      </c>
      <c r="B513" s="70" t="n">
        <v>1544</v>
      </c>
      <c r="C513" s="115" t="inlineStr">
        <is>
          <t>SELİM İNŞAAT</t>
        </is>
      </c>
      <c r="D513" s="115" t="inlineStr">
        <is>
          <t>34 GUS 848</t>
        </is>
      </c>
      <c r="E513" s="115" t="inlineStr">
        <is>
          <t>SERDAR BOZKURT</t>
        </is>
      </c>
      <c r="F513" s="65" t="n">
        <v>230448</v>
      </c>
      <c r="G513" s="152" t="n">
        <v>503</v>
      </c>
      <c r="H513" s="60" t="n"/>
      <c r="I513" s="156">
        <f>+I512+(G513-H513)</f>
        <v/>
      </c>
      <c r="J513" s="60" t="n"/>
      <c r="K513" s="60" t="n"/>
      <c r="L513" s="158">
        <f>+H513*J513</f>
        <v/>
      </c>
      <c r="M513" s="159">
        <f>SUM(M512+K513-L513)</f>
        <v/>
      </c>
      <c r="N513" s="60" t="n"/>
      <c r="O513" s="60" t="n"/>
      <c r="P513" s="60" t="n"/>
      <c r="Q513" s="60" t="n"/>
      <c r="R513" s="60" t="n"/>
      <c r="S513" s="60" t="n"/>
      <c r="T513" s="60" t="n"/>
      <c r="U513" s="60" t="n"/>
      <c r="V513" s="60" t="n"/>
      <c r="W513" s="60" t="n"/>
      <c r="X513" s="60" t="n"/>
      <c r="Y513" s="60" t="n"/>
      <c r="Z513" s="60" t="n"/>
    </row>
    <row r="514">
      <c r="A514" s="151" t="n">
        <v>46072</v>
      </c>
      <c r="B514" s="70" t="n">
        <v>3424</v>
      </c>
      <c r="C514" s="115" t="inlineStr">
        <is>
          <t>SELİM İNŞAAT</t>
        </is>
      </c>
      <c r="D514" s="115" t="inlineStr">
        <is>
          <t>34 GVZ 310</t>
        </is>
      </c>
      <c r="E514" s="115" t="inlineStr">
        <is>
          <t>CELAL YÜZBAŞI</t>
        </is>
      </c>
      <c r="F514" s="65" t="n">
        <v>244771</v>
      </c>
      <c r="G514" s="152" t="n">
        <v>314</v>
      </c>
      <c r="H514" s="60" t="n"/>
      <c r="I514" s="156">
        <f>+I513+(G514-H514)</f>
        <v/>
      </c>
      <c r="J514" s="60" t="n"/>
      <c r="K514" s="60" t="n"/>
      <c r="L514" s="158">
        <f>+H514*J514</f>
        <v/>
      </c>
      <c r="M514" s="159">
        <f>SUM(M513+K514-L514)</f>
        <v/>
      </c>
      <c r="N514" s="60" t="n"/>
      <c r="O514" s="60" t="n"/>
      <c r="P514" s="60" t="n"/>
      <c r="Q514" s="60" t="n"/>
      <c r="R514" s="60" t="n"/>
      <c r="S514" s="60" t="n"/>
      <c r="T514" s="60" t="n"/>
      <c r="U514" s="60" t="n"/>
      <c r="V514" s="60" t="n"/>
      <c r="W514" s="60" t="n"/>
      <c r="X514" s="60" t="n"/>
      <c r="Y514" s="60" t="n"/>
      <c r="Z514" s="60" t="n"/>
    </row>
    <row r="515">
      <c r="A515" s="151" t="n">
        <v>46072</v>
      </c>
      <c r="B515" s="70" t="n">
        <v>4967</v>
      </c>
      <c r="C515" s="115" t="inlineStr">
        <is>
          <t>SELİM İNŞAAT</t>
        </is>
      </c>
      <c r="D515" s="115" t="inlineStr">
        <is>
          <t>34 GVZ 745</t>
        </is>
      </c>
      <c r="E515" s="115" t="inlineStr">
        <is>
          <t>MURAT DEMİRBAĞ</t>
        </is>
      </c>
      <c r="F515" s="65" t="n">
        <v>244572</v>
      </c>
      <c r="G515" s="152" t="n">
        <v>42</v>
      </c>
      <c r="H515" s="60" t="n"/>
      <c r="I515" s="156">
        <f>+I514+(G515-H515)</f>
        <v/>
      </c>
      <c r="J515" s="60" t="n"/>
      <c r="K515" s="60" t="n"/>
      <c r="L515" s="158">
        <f>+H515*J515</f>
        <v/>
      </c>
      <c r="M515" s="159">
        <f>SUM(M514+K515-L515)</f>
        <v/>
      </c>
      <c r="N515" s="60" t="n"/>
      <c r="O515" s="60" t="n"/>
      <c r="P515" s="60" t="n"/>
      <c r="Q515" s="60" t="n"/>
      <c r="R515" s="60" t="n"/>
      <c r="S515" s="60" t="n"/>
      <c r="T515" s="60" t="n"/>
      <c r="U515" s="60" t="n"/>
      <c r="V515" s="60" t="n"/>
      <c r="W515" s="60" t="n"/>
      <c r="X515" s="60" t="n"/>
      <c r="Y515" s="60" t="n"/>
      <c r="Z515" s="60" t="n"/>
    </row>
    <row r="516">
      <c r="A516" s="151" t="n">
        <v>46072</v>
      </c>
      <c r="B516" s="70" t="n">
        <v>4113</v>
      </c>
      <c r="C516" s="115" t="inlineStr">
        <is>
          <t>SELİM İNŞAAT</t>
        </is>
      </c>
      <c r="D516" s="115" t="inlineStr">
        <is>
          <t>34 EDB 659</t>
        </is>
      </c>
      <c r="E516" s="115" t="inlineStr">
        <is>
          <t>YASİN ÇATAKLI</t>
        </is>
      </c>
      <c r="F516" s="65" t="n">
        <v>387745</v>
      </c>
      <c r="G516" s="152" t="n">
        <v>437</v>
      </c>
      <c r="H516" s="60" t="n"/>
      <c r="I516" s="156">
        <f>+I515+(G516-H516)</f>
        <v/>
      </c>
      <c r="J516" s="60" t="n"/>
      <c r="K516" s="60" t="n"/>
      <c r="L516" s="158">
        <f>+H516*J516</f>
        <v/>
      </c>
      <c r="M516" s="159">
        <f>SUM(M515+K516-L516)</f>
        <v/>
      </c>
      <c r="N516" s="60" t="n"/>
      <c r="O516" s="60" t="n"/>
      <c r="P516" s="60" t="n"/>
      <c r="Q516" s="60" t="n"/>
      <c r="R516" s="60" t="n"/>
      <c r="S516" s="60" t="n"/>
      <c r="T516" s="60" t="n"/>
      <c r="U516" s="60" t="n"/>
      <c r="V516" s="60" t="n"/>
      <c r="W516" s="60" t="n"/>
      <c r="X516" s="60" t="n"/>
      <c r="Y516" s="60" t="n"/>
      <c r="Z516" s="60" t="n"/>
    </row>
    <row r="517">
      <c r="A517" s="151" t="n">
        <v>46072</v>
      </c>
      <c r="B517" s="70" t="n">
        <v>8</v>
      </c>
      <c r="C517" s="115" t="inlineStr">
        <is>
          <t>SELİM İNŞAAT</t>
        </is>
      </c>
      <c r="D517" s="115" t="inlineStr">
        <is>
          <t xml:space="preserve">34 GVZ 268 </t>
        </is>
      </c>
      <c r="E517" s="115" t="inlineStr">
        <is>
          <t>KERİM KARAMAN</t>
        </is>
      </c>
      <c r="F517" s="65" t="n">
        <v>248820</v>
      </c>
      <c r="G517" s="152" t="n">
        <v>403</v>
      </c>
      <c r="H517" s="60" t="n"/>
      <c r="I517" s="156">
        <f>+I516+(G517-H517)</f>
        <v/>
      </c>
      <c r="J517" s="60" t="n"/>
      <c r="K517" s="60" t="n"/>
      <c r="L517" s="158">
        <f>+H517*J517</f>
        <v/>
      </c>
      <c r="M517" s="159">
        <f>SUM(M516+K517-L517)</f>
        <v/>
      </c>
      <c r="N517" s="60" t="n"/>
      <c r="O517" s="60" t="n"/>
      <c r="P517" s="60" t="n"/>
      <c r="Q517" s="60" t="n"/>
      <c r="R517" s="60" t="n"/>
      <c r="S517" s="60" t="n"/>
      <c r="T517" s="60" t="n"/>
      <c r="U517" s="60" t="n"/>
      <c r="V517" s="60" t="n"/>
      <c r="W517" s="60" t="n"/>
      <c r="X517" s="60" t="n"/>
      <c r="Y517" s="60" t="n"/>
      <c r="Z517" s="60" t="n"/>
    </row>
    <row r="518">
      <c r="A518" s="151" t="n">
        <v>46072</v>
      </c>
      <c r="B518" s="70" t="n">
        <v>2792</v>
      </c>
      <c r="C518" s="115" t="inlineStr">
        <is>
          <t>SELİM İNŞAAT</t>
        </is>
      </c>
      <c r="D518" s="115" t="inlineStr">
        <is>
          <t>34 EDC 086</t>
        </is>
      </c>
      <c r="E518" s="115" t="inlineStr">
        <is>
          <t>SEZGİN KOCAGİL</t>
        </is>
      </c>
      <c r="F518" s="65" t="n">
        <v>374495</v>
      </c>
      <c r="G518" s="152" t="n">
        <v>447</v>
      </c>
      <c r="H518" s="60" t="n"/>
      <c r="I518" s="156">
        <f>+I517+(G518-H518)</f>
        <v/>
      </c>
      <c r="J518" s="60" t="n"/>
      <c r="K518" s="60" t="n"/>
      <c r="L518" s="158">
        <f>+H518*J518</f>
        <v/>
      </c>
      <c r="M518" s="159">
        <f>SUM(M517+K518-L518)</f>
        <v/>
      </c>
      <c r="N518" s="60" t="n"/>
      <c r="O518" s="60" t="n"/>
      <c r="P518" s="60" t="n"/>
      <c r="Q518" s="60" t="n"/>
      <c r="R518" s="60" t="n"/>
      <c r="S518" s="60" t="n"/>
      <c r="T518" s="60" t="n"/>
      <c r="U518" s="60" t="n"/>
      <c r="V518" s="60" t="n"/>
      <c r="W518" s="60" t="n"/>
      <c r="X518" s="60" t="n"/>
      <c r="Y518" s="60" t="n"/>
      <c r="Z518" s="60" t="n"/>
    </row>
    <row r="519">
      <c r="A519" s="151" t="n">
        <v>46072</v>
      </c>
      <c r="B519" s="70" t="n">
        <v>3328</v>
      </c>
      <c r="C519" s="115" t="inlineStr">
        <is>
          <t>SELİM İNŞAAT</t>
        </is>
      </c>
      <c r="D519" s="115" t="inlineStr">
        <is>
          <t>34 GUS 938</t>
        </is>
      </c>
      <c r="E519" s="115" t="inlineStr">
        <is>
          <t>MEHMET KAYA</t>
        </is>
      </c>
      <c r="F519" s="65" t="n">
        <v>244905</v>
      </c>
      <c r="G519" s="152" t="n">
        <v>397</v>
      </c>
      <c r="H519" s="60" t="n"/>
      <c r="I519" s="156">
        <f>+I518+(G519-H519)</f>
        <v/>
      </c>
      <c r="J519" s="60" t="n"/>
      <c r="K519" s="60" t="n"/>
      <c r="L519" s="158">
        <f>+H519*J519</f>
        <v/>
      </c>
      <c r="M519" s="159">
        <f>SUM(M518+K519-L519)</f>
        <v/>
      </c>
      <c r="N519" s="60" t="n"/>
      <c r="O519" s="60" t="n"/>
      <c r="P519" s="60" t="n"/>
      <c r="Q519" s="60" t="n"/>
      <c r="R519" s="60" t="n"/>
      <c r="S519" s="60" t="n"/>
      <c r="T519" s="60" t="n"/>
      <c r="U519" s="60" t="n"/>
      <c r="V519" s="60" t="n"/>
      <c r="W519" s="60" t="n"/>
      <c r="X519" s="60" t="n"/>
      <c r="Y519" s="60" t="n"/>
      <c r="Z519" s="60" t="n"/>
    </row>
    <row r="520">
      <c r="A520" s="151" t="n">
        <v>46072</v>
      </c>
      <c r="B520" s="70" t="n">
        <v>3042</v>
      </c>
      <c r="C520" s="115" t="inlineStr">
        <is>
          <t>SELİM İNŞAAT</t>
        </is>
      </c>
      <c r="D520" s="115" t="inlineStr">
        <is>
          <t>34 FBR 781</t>
        </is>
      </c>
      <c r="E520" s="115" t="inlineStr">
        <is>
          <t>MEVLÜT POLAT</t>
        </is>
      </c>
      <c r="F520" s="65" t="n">
        <v>360515</v>
      </c>
      <c r="G520" s="152" t="n">
        <v>420</v>
      </c>
      <c r="H520" s="60" t="n"/>
      <c r="I520" s="156">
        <f>+I519+(G520-H520)</f>
        <v/>
      </c>
      <c r="J520" s="60" t="n"/>
      <c r="K520" s="60" t="n"/>
      <c r="L520" s="158">
        <f>+H520*J520</f>
        <v/>
      </c>
      <c r="M520" s="159">
        <f>SUM(M519+K520-L520)</f>
        <v/>
      </c>
      <c r="N520" s="60" t="n"/>
      <c r="O520" s="60" t="n"/>
      <c r="P520" s="60" t="n"/>
      <c r="Q520" s="60" t="n"/>
      <c r="R520" s="60" t="n"/>
      <c r="S520" s="60" t="n"/>
      <c r="T520" s="60" t="n"/>
      <c r="U520" s="60" t="n"/>
      <c r="V520" s="60" t="n"/>
      <c r="W520" s="60" t="n"/>
      <c r="X520" s="60" t="n"/>
      <c r="Y520" s="60" t="n"/>
      <c r="Z520" s="60" t="n"/>
    </row>
    <row r="521">
      <c r="A521" s="151" t="n">
        <v>46073</v>
      </c>
      <c r="B521" s="70" t="n">
        <v>388</v>
      </c>
      <c r="C521" s="115" t="inlineStr">
        <is>
          <t>MEGA VARLIK</t>
        </is>
      </c>
      <c r="D521" s="115" t="inlineStr">
        <is>
          <t xml:space="preserve">SM350 </t>
        </is>
      </c>
      <c r="E521" s="115" t="inlineStr">
        <is>
          <t>TEVFİK ÖZTÜRK</t>
        </is>
      </c>
      <c r="F521" s="65" t="n"/>
      <c r="G521" s="152" t="n">
        <v>380</v>
      </c>
      <c r="H521" s="60" t="n"/>
      <c r="I521" s="156">
        <f>+I520+(G521-H521)</f>
        <v/>
      </c>
      <c r="J521" s="60" t="n"/>
      <c r="K521" s="60" t="n"/>
      <c r="L521" s="158">
        <f>+H521*J521</f>
        <v/>
      </c>
      <c r="M521" s="159">
        <f>SUM(M520+K521-L521)</f>
        <v/>
      </c>
      <c r="N521" s="60" t="n"/>
      <c r="O521" s="60" t="n"/>
      <c r="P521" s="60" t="n"/>
      <c r="Q521" s="60" t="n"/>
      <c r="R521" s="60" t="n"/>
      <c r="S521" s="60" t="n"/>
      <c r="T521" s="60" t="n"/>
      <c r="U521" s="60" t="n"/>
      <c r="V521" s="60" t="n"/>
      <c r="W521" s="60" t="n"/>
      <c r="X521" s="60" t="n"/>
      <c r="Y521" s="60" t="n"/>
      <c r="Z521" s="60" t="n"/>
    </row>
    <row r="522">
      <c r="A522" s="151" t="n">
        <v>46073</v>
      </c>
      <c r="B522" s="70" t="n">
        <v>389</v>
      </c>
      <c r="C522" s="115" t="inlineStr">
        <is>
          <t>MEGA VARLIK</t>
        </is>
      </c>
      <c r="D522" s="115" t="inlineStr">
        <is>
          <t xml:space="preserve">SM350 </t>
        </is>
      </c>
      <c r="E522" s="115" t="inlineStr">
        <is>
          <t xml:space="preserve">MİKAİL BAYILMAZ </t>
        </is>
      </c>
      <c r="F522" s="65" t="n"/>
      <c r="G522" s="152" t="n">
        <v>187</v>
      </c>
      <c r="H522" s="60" t="n"/>
      <c r="I522" s="156">
        <f>+I521+(G522-H522)</f>
        <v/>
      </c>
      <c r="J522" s="60" t="n"/>
      <c r="K522" s="60" t="n"/>
      <c r="L522" s="158">
        <f>+H522*J522</f>
        <v/>
      </c>
      <c r="M522" s="159">
        <f>SUM(M521+K522-L522)</f>
        <v/>
      </c>
      <c r="N522" s="60" t="n"/>
      <c r="O522" s="60" t="n"/>
      <c r="P522" s="60" t="n"/>
      <c r="Q522" s="60" t="n"/>
      <c r="R522" s="60" t="n"/>
      <c r="S522" s="60" t="n"/>
      <c r="T522" s="60" t="n"/>
      <c r="U522" s="60" t="n"/>
      <c r="V522" s="60" t="n"/>
      <c r="W522" s="60" t="n"/>
      <c r="X522" s="60" t="n"/>
      <c r="Y522" s="60" t="n"/>
      <c r="Z522" s="60" t="n"/>
    </row>
    <row r="523">
      <c r="A523" s="151" t="n">
        <v>46073</v>
      </c>
      <c r="B523" s="70" t="n">
        <v>390</v>
      </c>
      <c r="C523" s="115" t="inlineStr">
        <is>
          <t>VARLIK</t>
        </is>
      </c>
      <c r="D523" s="115" t="inlineStr">
        <is>
          <t>FORKLİFT</t>
        </is>
      </c>
      <c r="E523" s="115" t="inlineStr">
        <is>
          <t xml:space="preserve">FAHRİ KALFA </t>
        </is>
      </c>
      <c r="F523" s="65" t="n"/>
      <c r="G523" s="152" t="n">
        <v>171</v>
      </c>
      <c r="H523" s="60" t="n"/>
      <c r="I523" s="156">
        <f>+I522+(G523-H523)</f>
        <v/>
      </c>
      <c r="J523" s="60" t="n"/>
      <c r="K523" s="60" t="n"/>
      <c r="L523" s="158">
        <f>+H523*J523</f>
        <v/>
      </c>
      <c r="M523" s="159">
        <f>SUM(M522+K523-L523)</f>
        <v/>
      </c>
      <c r="N523" s="60" t="n"/>
      <c r="O523" s="60" t="n"/>
      <c r="P523" s="60" t="n"/>
      <c r="Q523" s="60" t="n"/>
      <c r="R523" s="60" t="n"/>
      <c r="S523" s="60" t="n"/>
      <c r="T523" s="60" t="n"/>
      <c r="U523" s="60" t="n"/>
      <c r="V523" s="60" t="n"/>
      <c r="W523" s="60" t="n"/>
      <c r="X523" s="60" t="n"/>
      <c r="Y523" s="60" t="n"/>
      <c r="Z523" s="60" t="n"/>
    </row>
    <row r="524">
      <c r="A524" s="151" t="n">
        <v>46073</v>
      </c>
      <c r="B524" s="70" t="n">
        <v>391</v>
      </c>
      <c r="C524" s="115" t="n"/>
      <c r="D524" s="115" t="inlineStr">
        <is>
          <t xml:space="preserve">JCB </t>
        </is>
      </c>
      <c r="E524" s="115" t="inlineStr">
        <is>
          <t>BAYRAM SANCAK</t>
        </is>
      </c>
      <c r="F524" s="65" t="n"/>
      <c r="G524" s="152" t="n">
        <v>49</v>
      </c>
      <c r="H524" s="60" t="n"/>
      <c r="I524" s="156">
        <f>+I523+(G524-H524)</f>
        <v/>
      </c>
      <c r="J524" s="60" t="n"/>
      <c r="K524" s="60" t="n"/>
      <c r="L524" s="158">
        <f>+H524*J524</f>
        <v/>
      </c>
      <c r="M524" s="159">
        <f>SUM(M523+K524-L524)</f>
        <v/>
      </c>
      <c r="N524" s="60" t="n"/>
      <c r="O524" s="60" t="n"/>
      <c r="P524" s="60" t="n"/>
      <c r="Q524" s="60" t="n"/>
      <c r="R524" s="60" t="n"/>
      <c r="S524" s="60" t="n"/>
      <c r="T524" s="60" t="n"/>
      <c r="U524" s="60" t="n"/>
      <c r="V524" s="60" t="n"/>
      <c r="W524" s="60" t="n"/>
      <c r="X524" s="60" t="n"/>
      <c r="Y524" s="60" t="n"/>
      <c r="Z524" s="60" t="n"/>
    </row>
    <row r="525">
      <c r="A525" s="151" t="n">
        <v>46073</v>
      </c>
      <c r="B525" s="70" t="n">
        <v>392</v>
      </c>
      <c r="C525" s="115" t="n"/>
      <c r="D525" s="115" t="inlineStr">
        <is>
          <t>KAWAZAKI</t>
        </is>
      </c>
      <c r="E525" s="115" t="inlineStr">
        <is>
          <t>RAMAZAN</t>
        </is>
      </c>
      <c r="F525" s="65" t="n"/>
      <c r="G525" s="152" t="n">
        <v>199</v>
      </c>
      <c r="H525" s="60" t="n"/>
      <c r="I525" s="156">
        <f>+I524+(G525-H525)</f>
        <v/>
      </c>
      <c r="J525" s="60" t="n"/>
      <c r="K525" s="60" t="n"/>
      <c r="L525" s="158">
        <f>+H525*J525</f>
        <v/>
      </c>
      <c r="M525" s="159">
        <f>SUM(M524+K525-L525)</f>
        <v/>
      </c>
      <c r="N525" s="60" t="n"/>
      <c r="O525" s="60" t="n"/>
      <c r="P525" s="60" t="n"/>
      <c r="Q525" s="60" t="n"/>
      <c r="R525" s="60" t="n"/>
      <c r="S525" s="60" t="n"/>
      <c r="T525" s="60" t="n"/>
      <c r="U525" s="60" t="n"/>
      <c r="V525" s="60" t="n"/>
      <c r="W525" s="60" t="n"/>
      <c r="X525" s="60" t="n"/>
      <c r="Y525" s="60" t="n"/>
      <c r="Z525" s="60" t="n"/>
    </row>
    <row r="526">
      <c r="A526" s="151" t="n">
        <v>46073</v>
      </c>
      <c r="B526" s="70" t="n">
        <v>602</v>
      </c>
      <c r="C526" s="115" t="inlineStr">
        <is>
          <t>SELİM İNŞAAT</t>
        </is>
      </c>
      <c r="D526" s="115" t="inlineStr">
        <is>
          <t>34 BUR 461</t>
        </is>
      </c>
      <c r="E526" s="115" t="inlineStr">
        <is>
          <t xml:space="preserve">MUSTAFA ALBAYRAK </t>
        </is>
      </c>
      <c r="F526" s="65" t="n"/>
      <c r="G526" s="152" t="n">
        <v>55</v>
      </c>
      <c r="H526" s="60" t="n"/>
      <c r="I526" s="156">
        <f>+I525+(G526-H526)</f>
        <v/>
      </c>
      <c r="J526" s="60" t="n"/>
      <c r="K526" s="60" t="n"/>
      <c r="L526" s="158">
        <f>+H526*J526</f>
        <v/>
      </c>
      <c r="M526" s="159">
        <f>SUM(M525+K526-L526)</f>
        <v/>
      </c>
      <c r="N526" s="60" t="n"/>
      <c r="O526" s="60" t="n"/>
      <c r="P526" s="60" t="n"/>
      <c r="Q526" s="60" t="n"/>
      <c r="R526" s="60" t="n"/>
      <c r="S526" s="60" t="n"/>
      <c r="T526" s="60" t="n"/>
      <c r="U526" s="60" t="n"/>
      <c r="V526" s="60" t="n"/>
      <c r="W526" s="60" t="n"/>
      <c r="X526" s="60" t="n"/>
      <c r="Y526" s="60" t="n"/>
      <c r="Z526" s="60" t="n"/>
    </row>
    <row r="527">
      <c r="A527" s="151" t="n">
        <v>46073</v>
      </c>
      <c r="B527" s="70" t="n">
        <v>603</v>
      </c>
      <c r="C527" s="115" t="inlineStr">
        <is>
          <t>AHMET SELİM TEMHA</t>
        </is>
      </c>
      <c r="D527" s="115" t="inlineStr">
        <is>
          <t>34 PGT 251</t>
        </is>
      </c>
      <c r="E527" s="115" t="inlineStr">
        <is>
          <t>ERSOY SIĞINMAZ</t>
        </is>
      </c>
      <c r="F527" s="65" t="n"/>
      <c r="G527" s="152" t="n">
        <v>59</v>
      </c>
      <c r="H527" s="60" t="n"/>
      <c r="I527" s="156">
        <f>+I526+(G527-H527)</f>
        <v/>
      </c>
      <c r="J527" s="60" t="n"/>
      <c r="K527" s="60" t="n"/>
      <c r="L527" s="158">
        <f>+H527*J527</f>
        <v/>
      </c>
      <c r="M527" s="159">
        <f>SUM(M526+K527-L527)</f>
        <v/>
      </c>
      <c r="N527" s="60" t="n"/>
      <c r="O527" s="60" t="n"/>
      <c r="P527" s="60" t="n"/>
      <c r="Q527" s="60" t="n"/>
      <c r="R527" s="60" t="n"/>
      <c r="S527" s="60" t="n"/>
      <c r="T527" s="60" t="n"/>
      <c r="U527" s="60" t="n"/>
      <c r="V527" s="60" t="n"/>
      <c r="W527" s="60" t="n"/>
      <c r="X527" s="60" t="n"/>
      <c r="Y527" s="60" t="n"/>
      <c r="Z527" s="60" t="n"/>
    </row>
    <row r="528">
      <c r="A528" s="151" t="n">
        <v>46073</v>
      </c>
      <c r="B528" s="70" t="n">
        <v>604</v>
      </c>
      <c r="C528" s="115" t="inlineStr">
        <is>
          <t>AHMET SELİM TEMHA</t>
        </is>
      </c>
      <c r="D528" s="115" t="inlineStr">
        <is>
          <t>MANITO</t>
        </is>
      </c>
      <c r="E528" s="115" t="inlineStr">
        <is>
          <t>TURGAY ÇIPLAK</t>
        </is>
      </c>
      <c r="F528" s="65" t="n"/>
      <c r="G528" s="152" t="n">
        <v>131</v>
      </c>
      <c r="H528" s="60" t="n"/>
      <c r="I528" s="156">
        <f>+I527+(G528-H528)</f>
        <v/>
      </c>
      <c r="J528" s="60" t="n"/>
      <c r="K528" s="60" t="n"/>
      <c r="L528" s="158">
        <f>+H528*J528</f>
        <v/>
      </c>
      <c r="M528" s="159">
        <f>SUM(M527+K528-L528)</f>
        <v/>
      </c>
      <c r="N528" s="60" t="n"/>
      <c r="O528" s="60" t="n"/>
      <c r="P528" s="60" t="n"/>
      <c r="Q528" s="60" t="n"/>
      <c r="R528" s="60" t="n"/>
      <c r="S528" s="60" t="n"/>
      <c r="T528" s="60" t="n"/>
      <c r="U528" s="60" t="n"/>
      <c r="V528" s="60" t="n"/>
      <c r="W528" s="60" t="n"/>
      <c r="X528" s="60" t="n"/>
      <c r="Y528" s="60" t="n"/>
      <c r="Z528" s="60" t="n"/>
    </row>
    <row r="529">
      <c r="A529" s="151" t="n">
        <v>46073</v>
      </c>
      <c r="B529" s="70" t="n">
        <v>4014</v>
      </c>
      <c r="C529" s="115" t="inlineStr">
        <is>
          <t>SELİM İNŞAAT</t>
        </is>
      </c>
      <c r="D529" s="115" t="inlineStr">
        <is>
          <t>34 AR 7743</t>
        </is>
      </c>
      <c r="E529" s="115" t="inlineStr">
        <is>
          <t>ABDULKERİM ERGEN</t>
        </is>
      </c>
      <c r="F529" s="65" t="n">
        <v>373561</v>
      </c>
      <c r="G529" s="152" t="n">
        <v>53</v>
      </c>
      <c r="H529" s="60" t="n"/>
      <c r="I529" s="156">
        <f>+I528+(G529-H529)</f>
        <v/>
      </c>
      <c r="J529" s="60" t="n"/>
      <c r="K529" s="60" t="n"/>
      <c r="L529" s="158">
        <f>+H529*J529</f>
        <v/>
      </c>
      <c r="M529" s="159">
        <f>SUM(M528+K529-L529)</f>
        <v/>
      </c>
      <c r="N529" s="60" t="n"/>
      <c r="O529" s="60" t="n"/>
      <c r="P529" s="60" t="n"/>
      <c r="Q529" s="60" t="n"/>
      <c r="R529" s="60" t="n"/>
      <c r="S529" s="60" t="n"/>
      <c r="T529" s="60" t="n"/>
      <c r="U529" s="60" t="n"/>
      <c r="V529" s="60" t="n"/>
      <c r="W529" s="60" t="n"/>
      <c r="X529" s="60" t="n"/>
      <c r="Y529" s="60" t="n"/>
      <c r="Z529" s="60" t="n"/>
    </row>
    <row r="530">
      <c r="A530" s="151" t="n">
        <v>46073</v>
      </c>
      <c r="B530" s="70" t="n">
        <v>2341</v>
      </c>
      <c r="C530" s="115" t="inlineStr">
        <is>
          <t>SELİM İNŞAAT</t>
        </is>
      </c>
      <c r="D530" s="115" t="inlineStr">
        <is>
          <t>34 DP 4161</t>
        </is>
      </c>
      <c r="E530" s="115" t="inlineStr">
        <is>
          <t>RIFAT KARATAY</t>
        </is>
      </c>
      <c r="F530" s="65" t="n">
        <v>319984</v>
      </c>
      <c r="G530" s="152" t="n">
        <v>291</v>
      </c>
      <c r="H530" s="60" t="n"/>
      <c r="I530" s="156">
        <f>+I529+(G530-H530)</f>
        <v/>
      </c>
      <c r="J530" s="60" t="n"/>
      <c r="K530" s="60" t="n"/>
      <c r="L530" s="158">
        <f>+H530*J530</f>
        <v/>
      </c>
      <c r="M530" s="159">
        <f>SUM(M529+K530-L530)</f>
        <v/>
      </c>
      <c r="N530" s="60" t="n"/>
      <c r="O530" s="60" t="n"/>
      <c r="P530" s="60" t="n"/>
      <c r="Q530" s="60" t="n"/>
      <c r="R530" s="60" t="n"/>
      <c r="S530" s="60" t="n"/>
      <c r="T530" s="60" t="n"/>
      <c r="U530" s="60" t="n"/>
      <c r="V530" s="60" t="n"/>
      <c r="W530" s="60" t="n"/>
      <c r="X530" s="60" t="n"/>
      <c r="Y530" s="60" t="n"/>
      <c r="Z530" s="60" t="n"/>
    </row>
    <row r="531">
      <c r="A531" s="151" t="n">
        <v>46073</v>
      </c>
      <c r="B531" s="70" t="n">
        <v>2385</v>
      </c>
      <c r="C531" s="115" t="inlineStr">
        <is>
          <t>SELİM İNŞAAT</t>
        </is>
      </c>
      <c r="D531" s="115" t="inlineStr">
        <is>
          <t>34 FEM 934</t>
        </is>
      </c>
      <c r="E531" s="115" t="inlineStr">
        <is>
          <t>ABDULKERİM ERGEN</t>
        </is>
      </c>
      <c r="F531" s="65" t="n">
        <v>332123</v>
      </c>
      <c r="G531" s="152" t="n">
        <v>56</v>
      </c>
      <c r="H531" s="60" t="n"/>
      <c r="I531" s="156">
        <f>+I530+(G531-H531)</f>
        <v/>
      </c>
      <c r="J531" s="60" t="n"/>
      <c r="K531" s="60" t="n"/>
      <c r="L531" s="158">
        <f>+H531*J531</f>
        <v/>
      </c>
      <c r="M531" s="159">
        <f>SUM(M530+K531-L531)</f>
        <v/>
      </c>
      <c r="N531" s="60" t="n"/>
      <c r="O531" s="60" t="n"/>
      <c r="P531" s="60" t="n"/>
      <c r="Q531" s="60" t="n"/>
      <c r="R531" s="60" t="n"/>
      <c r="S531" s="60" t="n"/>
      <c r="T531" s="60" t="n"/>
      <c r="U531" s="60" t="n"/>
      <c r="V531" s="60" t="n"/>
      <c r="W531" s="60" t="n"/>
      <c r="X531" s="60" t="n"/>
      <c r="Y531" s="60" t="n"/>
      <c r="Z531" s="60" t="n"/>
    </row>
    <row r="532">
      <c r="A532" s="151" t="n">
        <v>46073</v>
      </c>
      <c r="B532" s="70" t="n">
        <v>2648</v>
      </c>
      <c r="C532" s="115" t="inlineStr">
        <is>
          <t>SELİM İNŞAAT</t>
        </is>
      </c>
      <c r="D532" s="115" t="inlineStr">
        <is>
          <t>34 GU 945</t>
        </is>
      </c>
      <c r="E532" s="115" t="inlineStr">
        <is>
          <t>YAKUP URUCU</t>
        </is>
      </c>
      <c r="F532" s="65" t="n">
        <v>471477</v>
      </c>
      <c r="G532" s="152" t="n">
        <v>50</v>
      </c>
      <c r="H532" s="60" t="n"/>
      <c r="I532" s="156">
        <f>+I531+(G532-H532)</f>
        <v/>
      </c>
      <c r="J532" s="60" t="n"/>
      <c r="K532" s="60" t="n"/>
      <c r="L532" s="158">
        <f>+H532*J532</f>
        <v/>
      </c>
      <c r="M532" s="159">
        <f>SUM(M531+K532-L532)</f>
        <v/>
      </c>
      <c r="N532" s="60" t="n"/>
      <c r="O532" s="60" t="n"/>
      <c r="P532" s="60" t="n"/>
      <c r="Q532" s="60" t="n"/>
      <c r="R532" s="60" t="n"/>
      <c r="S532" s="60" t="n"/>
      <c r="T532" s="60" t="n"/>
      <c r="U532" s="60" t="n"/>
      <c r="V532" s="60" t="n"/>
      <c r="W532" s="60" t="n"/>
      <c r="X532" s="60" t="n"/>
      <c r="Y532" s="60" t="n"/>
      <c r="Z532" s="60" t="n"/>
    </row>
    <row r="533">
      <c r="A533" s="151" t="n">
        <v>46073</v>
      </c>
      <c r="B533" s="70" t="n">
        <v>1850</v>
      </c>
      <c r="C533" s="115" t="inlineStr">
        <is>
          <t>SELİM İNŞAAT</t>
        </is>
      </c>
      <c r="D533" s="115" t="inlineStr">
        <is>
          <t>34 EGR 922</t>
        </is>
      </c>
      <c r="E533" s="115" t="inlineStr">
        <is>
          <t>FARUK ÖZEN</t>
        </is>
      </c>
      <c r="F533" s="65" t="n">
        <v>502893</v>
      </c>
      <c r="G533" s="152" t="n">
        <v>438</v>
      </c>
      <c r="H533" s="60" t="n"/>
      <c r="I533" s="156">
        <f>+I532+(G533-H533)</f>
        <v/>
      </c>
      <c r="J533" s="60" t="n"/>
      <c r="K533" s="60" t="n"/>
      <c r="L533" s="158">
        <f>+H533*J533</f>
        <v/>
      </c>
      <c r="M533" s="159">
        <f>SUM(M532+K533-L533)</f>
        <v/>
      </c>
      <c r="N533" s="60" t="n"/>
      <c r="O533" s="60" t="n"/>
      <c r="P533" s="60" t="n"/>
      <c r="Q533" s="60" t="n"/>
      <c r="R533" s="60" t="n"/>
      <c r="S533" s="60" t="n"/>
      <c r="T533" s="60" t="n"/>
      <c r="U533" s="60" t="n"/>
      <c r="V533" s="60" t="n"/>
      <c r="W533" s="60" t="n"/>
      <c r="X533" s="60" t="n"/>
      <c r="Y533" s="60" t="n"/>
      <c r="Z533" s="60" t="n"/>
    </row>
    <row r="534">
      <c r="A534" s="151" t="n">
        <v>46073</v>
      </c>
      <c r="B534" s="70" t="n">
        <v>146</v>
      </c>
      <c r="C534" s="115" t="inlineStr">
        <is>
          <t>SELİM İNŞAAT</t>
        </is>
      </c>
      <c r="D534" s="115" t="inlineStr">
        <is>
          <t>34 FBR 771</t>
        </is>
      </c>
      <c r="E534" s="115" t="inlineStr">
        <is>
          <t>SALİH YALÇIN</t>
        </is>
      </c>
      <c r="F534" s="65" t="n">
        <v>347772</v>
      </c>
      <c r="G534" s="152" t="n">
        <v>449</v>
      </c>
      <c r="H534" s="60" t="n"/>
      <c r="I534" s="156">
        <f>+I533+(G534-H534)</f>
        <v/>
      </c>
      <c r="J534" s="60" t="n"/>
      <c r="K534" s="60" t="n"/>
      <c r="L534" s="158">
        <f>+H534*J534</f>
        <v/>
      </c>
      <c r="M534" s="159">
        <f>SUM(M533+K534-L534)</f>
        <v/>
      </c>
      <c r="N534" s="60" t="n"/>
      <c r="O534" s="60" t="n"/>
      <c r="P534" s="60" t="n"/>
      <c r="Q534" s="60" t="n"/>
      <c r="R534" s="60" t="n"/>
      <c r="S534" s="60" t="n"/>
      <c r="T534" s="60" t="n"/>
      <c r="U534" s="60" t="n"/>
      <c r="V534" s="60" t="n"/>
      <c r="W534" s="60" t="n"/>
      <c r="X534" s="60" t="n"/>
      <c r="Y534" s="60" t="n"/>
      <c r="Z534" s="60" t="n"/>
    </row>
    <row r="535">
      <c r="A535" s="151" t="n">
        <v>46073</v>
      </c>
      <c r="B535" s="70" t="n">
        <v>3387</v>
      </c>
      <c r="C535" s="115" t="inlineStr">
        <is>
          <t>SELİM İNŞAAT</t>
        </is>
      </c>
      <c r="D535" s="115" t="inlineStr">
        <is>
          <t>34 EDC 162</t>
        </is>
      </c>
      <c r="E535" s="115" t="inlineStr">
        <is>
          <t xml:space="preserve">YAKUP GÜNER </t>
        </is>
      </c>
      <c r="F535" s="65" t="n">
        <v>413389</v>
      </c>
      <c r="G535" s="152" t="n">
        <v>470</v>
      </c>
      <c r="H535" s="60" t="n"/>
      <c r="I535" s="156">
        <f>+I534+(G535-H535)</f>
        <v/>
      </c>
      <c r="J535" s="60" t="n"/>
      <c r="K535" s="60" t="n"/>
      <c r="L535" s="158">
        <f>+H535*J535</f>
        <v/>
      </c>
      <c r="M535" s="159">
        <f>SUM(M534+K535-L535)</f>
        <v/>
      </c>
      <c r="N535" s="60" t="n"/>
      <c r="O535" s="60" t="n"/>
      <c r="P535" s="60" t="n"/>
      <c r="Q535" s="60" t="n"/>
      <c r="R535" s="60" t="n"/>
      <c r="S535" s="60" t="n"/>
      <c r="T535" s="60" t="n"/>
      <c r="U535" s="60" t="n"/>
      <c r="V535" s="60" t="n"/>
      <c r="W535" s="60" t="n"/>
      <c r="X535" s="60" t="n"/>
      <c r="Y535" s="60" t="n"/>
      <c r="Z535" s="60" t="n"/>
    </row>
    <row r="536">
      <c r="A536" s="151" t="n">
        <v>46073</v>
      </c>
      <c r="B536" s="70" t="n">
        <v>4923</v>
      </c>
      <c r="C536" s="115" t="inlineStr">
        <is>
          <t>SELİM İNŞAAT</t>
        </is>
      </c>
      <c r="D536" s="115" t="inlineStr">
        <is>
          <t>34 FBR 742</t>
        </is>
      </c>
      <c r="E536" s="115" t="inlineStr">
        <is>
          <t>ADNAN KOÇ</t>
        </is>
      </c>
      <c r="F536" s="65" t="n">
        <v>364412</v>
      </c>
      <c r="G536" s="152" t="n">
        <v>421</v>
      </c>
      <c r="H536" s="60" t="n"/>
      <c r="I536" s="156">
        <f>+I535+(G536-H536)</f>
        <v/>
      </c>
      <c r="J536" s="60" t="n"/>
      <c r="K536" s="60" t="n"/>
      <c r="L536" s="158">
        <f>+H536*J536</f>
        <v/>
      </c>
      <c r="M536" s="159">
        <f>SUM(M535+K536-L536)</f>
        <v/>
      </c>
      <c r="N536" s="60" t="n"/>
      <c r="O536" s="60" t="n"/>
      <c r="P536" s="60" t="n"/>
      <c r="Q536" s="60" t="n"/>
      <c r="R536" s="60" t="n"/>
      <c r="S536" s="60" t="n"/>
      <c r="T536" s="60" t="n"/>
      <c r="U536" s="60" t="n"/>
      <c r="V536" s="60" t="n"/>
      <c r="W536" s="60" t="n"/>
      <c r="X536" s="60" t="n"/>
      <c r="Y536" s="60" t="n"/>
      <c r="Z536" s="60" t="n"/>
    </row>
    <row r="537">
      <c r="A537" s="151" t="n">
        <v>46073</v>
      </c>
      <c r="B537" s="70" t="n">
        <v>3829</v>
      </c>
      <c r="C537" s="115" t="inlineStr">
        <is>
          <t>SELİM İNŞAAT</t>
        </is>
      </c>
      <c r="D537" s="115" t="inlineStr">
        <is>
          <t>34 GYZ 635</t>
        </is>
      </c>
      <c r="E537" s="115" t="inlineStr">
        <is>
          <t>ADEM DENİZ</t>
        </is>
      </c>
      <c r="F537" s="65" t="n">
        <v>224924</v>
      </c>
      <c r="G537" s="152" t="n">
        <v>512</v>
      </c>
      <c r="H537" s="60" t="n"/>
      <c r="I537" s="156">
        <f>+I536+(G537-H537)</f>
        <v/>
      </c>
      <c r="J537" s="60" t="n"/>
      <c r="K537" s="60" t="n"/>
      <c r="L537" s="158">
        <f>+H537*J537</f>
        <v/>
      </c>
      <c r="M537" s="159">
        <f>SUM(M536+K537-L537)</f>
        <v/>
      </c>
      <c r="N537" s="60" t="n"/>
      <c r="O537" s="60" t="n"/>
      <c r="P537" s="60" t="n"/>
      <c r="Q537" s="60" t="n"/>
      <c r="R537" s="60" t="n"/>
      <c r="S537" s="60" t="n"/>
      <c r="T537" s="60" t="n"/>
      <c r="U537" s="60" t="n"/>
      <c r="V537" s="60" t="n"/>
      <c r="W537" s="60" t="n"/>
      <c r="X537" s="60" t="n"/>
      <c r="Y537" s="60" t="n"/>
      <c r="Z537" s="60" t="n"/>
    </row>
    <row r="538">
      <c r="A538" s="151" t="n">
        <v>46073</v>
      </c>
      <c r="B538" s="70" t="n">
        <v>4873</v>
      </c>
      <c r="C538" s="115" t="inlineStr">
        <is>
          <t>SELİM İNŞAAT</t>
        </is>
      </c>
      <c r="D538" s="115" t="inlineStr">
        <is>
          <t>34 FBR 705</t>
        </is>
      </c>
      <c r="E538" s="115" t="inlineStr">
        <is>
          <t>MURAT SARI</t>
        </is>
      </c>
      <c r="F538" s="65" t="n">
        <v>360142</v>
      </c>
      <c r="G538" s="152" t="n">
        <v>332</v>
      </c>
      <c r="H538" s="60" t="n"/>
      <c r="I538" s="156">
        <f>+I537+(G538-H538)</f>
        <v/>
      </c>
      <c r="J538" s="60" t="n"/>
      <c r="K538" s="60" t="n"/>
      <c r="L538" s="158">
        <f>+H538*J538</f>
        <v/>
      </c>
      <c r="M538" s="159">
        <f>SUM(M537+K538-L538)</f>
        <v/>
      </c>
      <c r="N538" s="60" t="n"/>
      <c r="O538" s="60" t="n"/>
      <c r="P538" s="60" t="n"/>
      <c r="Q538" s="60" t="n"/>
      <c r="R538" s="60" t="n"/>
      <c r="S538" s="60" t="n"/>
      <c r="T538" s="60" t="n"/>
      <c r="U538" s="60" t="n"/>
      <c r="V538" s="60" t="n"/>
      <c r="W538" s="60" t="n"/>
      <c r="X538" s="60" t="n"/>
      <c r="Y538" s="60" t="n"/>
      <c r="Z538" s="60" t="n"/>
    </row>
    <row r="539">
      <c r="A539" s="151" t="n">
        <v>46073</v>
      </c>
      <c r="B539" s="70" t="n">
        <v>2297</v>
      </c>
      <c r="C539" s="115" t="inlineStr">
        <is>
          <t>SELİM İNŞAAT</t>
        </is>
      </c>
      <c r="D539" s="115" t="inlineStr">
        <is>
          <t>34 DSN 636</t>
        </is>
      </c>
      <c r="E539" s="115" t="inlineStr">
        <is>
          <t>MAHSUN GÜVEN</t>
        </is>
      </c>
      <c r="F539" s="65" t="n">
        <v>431952</v>
      </c>
      <c r="G539" s="152" t="n">
        <v>395</v>
      </c>
      <c r="H539" s="60" t="n"/>
      <c r="I539" s="156">
        <f>+I538+(G539-H539)</f>
        <v/>
      </c>
      <c r="J539" s="60" t="n"/>
      <c r="K539" s="60" t="n"/>
      <c r="L539" s="158">
        <f>+H539*J539</f>
        <v/>
      </c>
      <c r="M539" s="159">
        <f>SUM(M538+K539-L539)</f>
        <v/>
      </c>
      <c r="N539" s="60" t="n"/>
      <c r="O539" s="60" t="n"/>
      <c r="P539" s="60" t="n"/>
      <c r="Q539" s="60" t="n"/>
      <c r="R539" s="60" t="n"/>
      <c r="S539" s="60" t="n"/>
      <c r="T539" s="60" t="n"/>
      <c r="U539" s="60" t="n"/>
      <c r="V539" s="60" t="n"/>
      <c r="W539" s="60" t="n"/>
      <c r="X539" s="60" t="n"/>
      <c r="Y539" s="60" t="n"/>
      <c r="Z539" s="60" t="n"/>
    </row>
    <row r="540">
      <c r="A540" s="151" t="n">
        <v>46073</v>
      </c>
      <c r="B540" s="70" t="n">
        <v>512</v>
      </c>
      <c r="C540" s="115" t="inlineStr">
        <is>
          <t>SELİM İNŞAAT</t>
        </is>
      </c>
      <c r="D540" s="115" t="inlineStr">
        <is>
          <t>34 EGR 737</t>
        </is>
      </c>
      <c r="E540" s="115" t="inlineStr">
        <is>
          <t>CEM MUHTAR</t>
        </is>
      </c>
      <c r="F540" s="65" t="n">
        <v>459262</v>
      </c>
      <c r="G540" s="152" t="n">
        <v>497</v>
      </c>
      <c r="H540" s="60" t="n"/>
      <c r="I540" s="156">
        <f>+I539+(G540-H540)</f>
        <v/>
      </c>
      <c r="J540" s="60" t="n"/>
      <c r="K540" s="60" t="n"/>
      <c r="L540" s="158">
        <f>+H540*J540</f>
        <v/>
      </c>
      <c r="M540" s="159">
        <f>SUM(M539+K540-L540)</f>
        <v/>
      </c>
      <c r="N540" s="60" t="n"/>
      <c r="O540" s="60" t="n"/>
      <c r="P540" s="60" t="n"/>
      <c r="Q540" s="60" t="n"/>
      <c r="R540" s="60" t="n"/>
      <c r="S540" s="60" t="n"/>
      <c r="T540" s="60" t="n"/>
      <c r="U540" s="60" t="n"/>
      <c r="V540" s="60" t="n"/>
      <c r="W540" s="60" t="n"/>
      <c r="X540" s="60" t="n"/>
      <c r="Y540" s="60" t="n"/>
      <c r="Z540" s="60" t="n"/>
    </row>
    <row r="541">
      <c r="A541" s="151" t="n">
        <v>46073</v>
      </c>
      <c r="B541" s="70" t="n">
        <v>4510</v>
      </c>
      <c r="C541" s="115" t="inlineStr">
        <is>
          <t>SELİM İNŞAAT</t>
        </is>
      </c>
      <c r="D541" s="115" t="inlineStr">
        <is>
          <t>34 DTV 352</t>
        </is>
      </c>
      <c r="E541" s="115" t="inlineStr">
        <is>
          <t>AZİZ ORUÇ</t>
        </is>
      </c>
      <c r="F541" s="65" t="n">
        <v>474422</v>
      </c>
      <c r="G541" s="152" t="n">
        <v>452</v>
      </c>
      <c r="H541" s="60" t="n"/>
      <c r="I541" s="156">
        <f>+I540+(G541-H541)</f>
        <v/>
      </c>
      <c r="J541" s="60" t="n"/>
      <c r="K541" s="60" t="n"/>
      <c r="L541" s="158">
        <f>+H541*J541</f>
        <v/>
      </c>
      <c r="M541" s="159">
        <f>SUM(M540+K541-L541)</f>
        <v/>
      </c>
      <c r="N541" s="60" t="n"/>
      <c r="O541" s="60" t="n"/>
      <c r="P541" s="60" t="n"/>
      <c r="Q541" s="60" t="n"/>
      <c r="R541" s="60" t="n"/>
      <c r="S541" s="60" t="n"/>
      <c r="T541" s="60" t="n"/>
      <c r="U541" s="60" t="n"/>
      <c r="V541" s="60" t="n"/>
      <c r="W541" s="60" t="n"/>
      <c r="X541" s="60" t="n"/>
      <c r="Y541" s="60" t="n"/>
      <c r="Z541" s="60" t="n"/>
    </row>
    <row r="542">
      <c r="A542" s="151" t="n">
        <v>46074</v>
      </c>
      <c r="B542" s="70" t="n">
        <v>804</v>
      </c>
      <c r="C542" s="115" t="inlineStr">
        <is>
          <t>METİN ERYİĞİT</t>
        </is>
      </c>
      <c r="D542" s="115" t="inlineStr">
        <is>
          <t>34 GBL 998</t>
        </is>
      </c>
      <c r="E542" s="115" t="inlineStr">
        <is>
          <t>ALİ KESKİN</t>
        </is>
      </c>
      <c r="F542" s="65" t="n"/>
      <c r="G542" s="152" t="n">
        <v>448</v>
      </c>
      <c r="H542" s="60" t="n"/>
      <c r="I542" s="156">
        <f>+I541+(G542-H542)</f>
        <v/>
      </c>
      <c r="J542" s="60" t="n"/>
      <c r="K542" s="60" t="n"/>
      <c r="L542" s="158">
        <f>+H542*J542</f>
        <v/>
      </c>
      <c r="M542" s="159">
        <f>SUM(M541+K542-L542)</f>
        <v/>
      </c>
      <c r="N542" s="60" t="n"/>
      <c r="O542" s="60" t="n"/>
      <c r="P542" s="60" t="n"/>
      <c r="Q542" s="60" t="n"/>
      <c r="R542" s="60" t="n"/>
      <c r="S542" s="60" t="n"/>
      <c r="T542" s="60" t="n"/>
      <c r="U542" s="60" t="n"/>
      <c r="V542" s="60" t="n"/>
      <c r="W542" s="60" t="n"/>
      <c r="X542" s="60" t="n"/>
      <c r="Y542" s="60" t="n"/>
      <c r="Z542" s="60" t="n"/>
    </row>
    <row r="543">
      <c r="A543" s="151" t="n">
        <v>46074</v>
      </c>
      <c r="B543" s="70" t="n">
        <v>2749</v>
      </c>
      <c r="C543" s="115" t="inlineStr">
        <is>
          <t>METİN ERYİĞİT</t>
        </is>
      </c>
      <c r="D543" s="115" t="inlineStr">
        <is>
          <t>34 EGR 814</t>
        </is>
      </c>
      <c r="E543" s="115" t="inlineStr">
        <is>
          <t xml:space="preserve">ZİYA İNCE </t>
        </is>
      </c>
      <c r="F543" s="65" t="n"/>
      <c r="G543" s="152" t="n">
        <v>473</v>
      </c>
      <c r="H543" s="60" t="n"/>
      <c r="I543" s="156">
        <f>+I542+(G543-H543)</f>
        <v/>
      </c>
      <c r="J543" s="60" t="n"/>
      <c r="K543" s="60" t="n"/>
      <c r="L543" s="158">
        <f>+H543*J543</f>
        <v/>
      </c>
      <c r="M543" s="159">
        <f>SUM(M542+K543-L543)</f>
        <v/>
      </c>
      <c r="N543" s="60" t="n"/>
      <c r="O543" s="60" t="n"/>
      <c r="P543" s="60" t="n"/>
      <c r="Q543" s="60" t="n"/>
      <c r="R543" s="60" t="n"/>
      <c r="S543" s="60" t="n"/>
      <c r="T543" s="60" t="n"/>
      <c r="U543" s="60" t="n"/>
      <c r="V543" s="60" t="n"/>
      <c r="W543" s="60" t="n"/>
      <c r="X543" s="60" t="n"/>
      <c r="Y543" s="60" t="n"/>
      <c r="Z543" s="60" t="n"/>
    </row>
    <row r="544">
      <c r="A544" s="151" t="n">
        <v>46074</v>
      </c>
      <c r="B544" s="70" t="n">
        <v>709</v>
      </c>
      <c r="C544" s="115" t="inlineStr">
        <is>
          <t>METİN ERYİĞİT</t>
        </is>
      </c>
      <c r="D544" s="115" t="inlineStr">
        <is>
          <t>34 EGS 013</t>
        </is>
      </c>
      <c r="E544" s="115" t="inlineStr">
        <is>
          <t>UĞUR DUMAN</t>
        </is>
      </c>
      <c r="F544" s="65" t="n"/>
      <c r="G544" s="152" t="n">
        <v>450</v>
      </c>
      <c r="H544" s="60" t="n"/>
      <c r="I544" s="156">
        <f>+I543+(G544-H544)</f>
        <v/>
      </c>
      <c r="J544" s="60" t="n"/>
      <c r="K544" s="60" t="n"/>
      <c r="L544" s="158">
        <f>+H544*J544</f>
        <v/>
      </c>
      <c r="M544" s="159">
        <f>SUM(M543+K544-L544)</f>
        <v/>
      </c>
      <c r="N544" s="60" t="n"/>
      <c r="O544" s="60" t="n"/>
      <c r="P544" s="60" t="n"/>
      <c r="Q544" s="60" t="n"/>
      <c r="R544" s="60" t="n"/>
      <c r="S544" s="60" t="n"/>
      <c r="T544" s="60" t="n"/>
      <c r="U544" s="60" t="n"/>
      <c r="V544" s="60" t="n"/>
      <c r="W544" s="60" t="n"/>
      <c r="X544" s="60" t="n"/>
      <c r="Y544" s="60" t="n"/>
      <c r="Z544" s="60" t="n"/>
    </row>
    <row r="545">
      <c r="A545" s="151" t="n">
        <v>46074</v>
      </c>
      <c r="B545" s="70" t="n">
        <v>3283</v>
      </c>
      <c r="C545" s="115" t="inlineStr">
        <is>
          <t xml:space="preserve">AZGÜN YAPI </t>
        </is>
      </c>
      <c r="D545" s="115" t="inlineStr">
        <is>
          <t>34 DTB 263</t>
        </is>
      </c>
      <c r="E545" s="115" t="inlineStr">
        <is>
          <t>DURSUN ALİ GÜREK</t>
        </is>
      </c>
      <c r="F545" s="65" t="n"/>
      <c r="G545" s="152" t="n">
        <v>440</v>
      </c>
      <c r="H545" s="60" t="n"/>
      <c r="I545" s="156">
        <f>+I544+(G545-H545)</f>
        <v/>
      </c>
      <c r="J545" s="60" t="n"/>
      <c r="K545" s="60" t="n"/>
      <c r="L545" s="158">
        <f>+H545*J545</f>
        <v/>
      </c>
      <c r="M545" s="159">
        <f>SUM(M544+K545-L545)</f>
        <v/>
      </c>
      <c r="N545" s="60" t="n"/>
      <c r="O545" s="60" t="n"/>
      <c r="P545" s="60" t="n"/>
      <c r="Q545" s="60" t="n"/>
      <c r="R545" s="60" t="n"/>
      <c r="S545" s="60" t="n"/>
      <c r="T545" s="60" t="n"/>
      <c r="U545" s="60" t="n"/>
      <c r="V545" s="60" t="n"/>
      <c r="W545" s="60" t="n"/>
      <c r="X545" s="60" t="n"/>
      <c r="Y545" s="60" t="n"/>
      <c r="Z545" s="60" t="n"/>
    </row>
    <row r="546">
      <c r="A546" s="151" t="n">
        <v>46074</v>
      </c>
      <c r="B546" s="70" t="n">
        <v>2538</v>
      </c>
      <c r="C546" s="115" t="inlineStr">
        <is>
          <t xml:space="preserve">AZGÜN YAPI </t>
        </is>
      </c>
      <c r="D546" s="115" t="inlineStr">
        <is>
          <t>34 MKT 593</t>
        </is>
      </c>
      <c r="E546" s="115" t="inlineStr">
        <is>
          <t>İRFAN DAĞLAR</t>
        </is>
      </c>
      <c r="F546" s="65" t="n"/>
      <c r="G546" s="152" t="n">
        <v>258</v>
      </c>
      <c r="H546" s="60" t="n"/>
      <c r="I546" s="156">
        <f>+I545+(G546-H546)</f>
        <v/>
      </c>
      <c r="J546" s="60" t="n"/>
      <c r="K546" s="60" t="n"/>
      <c r="L546" s="158">
        <f>+H546*J546</f>
        <v/>
      </c>
      <c r="M546" s="159">
        <f>SUM(M545+K546-L546)</f>
        <v/>
      </c>
      <c r="N546" s="60" t="n"/>
      <c r="O546" s="60" t="n"/>
      <c r="P546" s="60" t="n"/>
      <c r="Q546" s="60" t="n"/>
      <c r="R546" s="60" t="n"/>
      <c r="S546" s="60" t="n"/>
      <c r="T546" s="60" t="n"/>
      <c r="U546" s="60" t="n"/>
      <c r="V546" s="60" t="n"/>
      <c r="W546" s="60" t="n"/>
      <c r="X546" s="60" t="n"/>
      <c r="Y546" s="60" t="n"/>
      <c r="Z546" s="60" t="n"/>
    </row>
    <row r="547">
      <c r="A547" s="151" t="n">
        <v>46074</v>
      </c>
      <c r="B547" s="70" t="n">
        <v>393</v>
      </c>
      <c r="C547" s="115" t="inlineStr">
        <is>
          <t>HASALTUN</t>
        </is>
      </c>
      <c r="D547" s="115" t="inlineStr">
        <is>
          <t>HITACHI</t>
        </is>
      </c>
      <c r="E547" s="115" t="inlineStr">
        <is>
          <t>TURGUT SANCAK</t>
        </is>
      </c>
      <c r="F547" s="65" t="n"/>
      <c r="G547" s="152" t="n">
        <v>359</v>
      </c>
      <c r="H547" s="60" t="n"/>
      <c r="I547" s="156">
        <f>+I546+(G547-H547)</f>
        <v/>
      </c>
      <c r="J547" s="60" t="n"/>
      <c r="K547" s="60" t="n"/>
      <c r="L547" s="158">
        <f>+H547*J547</f>
        <v/>
      </c>
      <c r="M547" s="159">
        <f>SUM(M546+K547-L547)</f>
        <v/>
      </c>
      <c r="N547" s="60" t="n"/>
      <c r="O547" s="60" t="n"/>
      <c r="P547" s="60" t="n"/>
      <c r="Q547" s="60" t="n"/>
      <c r="R547" s="60" t="n"/>
      <c r="S547" s="60" t="n"/>
      <c r="T547" s="60" t="n"/>
      <c r="U547" s="60" t="n"/>
      <c r="V547" s="60" t="n"/>
      <c r="W547" s="60" t="n"/>
      <c r="X547" s="60" t="n"/>
      <c r="Y547" s="60" t="n"/>
      <c r="Z547" s="60" t="n"/>
    </row>
    <row r="548">
      <c r="A548" s="151" t="n">
        <v>46074</v>
      </c>
      <c r="B548" s="70" t="n">
        <v>394</v>
      </c>
      <c r="C548" s="115" t="inlineStr">
        <is>
          <t>HASALTUN</t>
        </is>
      </c>
      <c r="D548" s="115" t="inlineStr">
        <is>
          <t xml:space="preserve">JCB </t>
        </is>
      </c>
      <c r="E548" s="115" t="inlineStr">
        <is>
          <t>BAYRAM SANCAK</t>
        </is>
      </c>
      <c r="F548" s="65" t="n"/>
      <c r="G548" s="152" t="n">
        <v>52</v>
      </c>
      <c r="H548" s="60" t="n"/>
      <c r="I548" s="156">
        <f>+I547+(G548-H548)</f>
        <v/>
      </c>
      <c r="J548" s="60" t="n"/>
      <c r="K548" s="60" t="n"/>
      <c r="L548" s="158">
        <f>+H548*J548</f>
        <v/>
      </c>
      <c r="M548" s="159">
        <f>SUM(M547+K548-L548)</f>
        <v/>
      </c>
      <c r="N548" s="60" t="n"/>
      <c r="O548" s="60" t="n"/>
      <c r="P548" s="60" t="n"/>
      <c r="Q548" s="60" t="n"/>
      <c r="R548" s="60" t="n"/>
      <c r="S548" s="60" t="n"/>
      <c r="T548" s="60" t="n"/>
      <c r="U548" s="60" t="n"/>
      <c r="V548" s="60" t="n"/>
      <c r="W548" s="60" t="n"/>
      <c r="X548" s="60" t="n"/>
      <c r="Y548" s="60" t="n"/>
      <c r="Z548" s="60" t="n"/>
    </row>
    <row r="549">
      <c r="A549" s="151" t="n">
        <v>46074</v>
      </c>
      <c r="B549" s="70" t="n">
        <v>395</v>
      </c>
      <c r="C549" s="115" t="inlineStr">
        <is>
          <t>EVKUR</t>
        </is>
      </c>
      <c r="D549" s="115" t="inlineStr">
        <is>
          <t xml:space="preserve">JCB </t>
        </is>
      </c>
      <c r="E549" s="115" t="inlineStr">
        <is>
          <t>GÜNEŞ BEY</t>
        </is>
      </c>
      <c r="F549" s="65" t="n"/>
      <c r="G549" s="152" t="n">
        <v>100</v>
      </c>
      <c r="H549" s="60" t="n"/>
      <c r="I549" s="156">
        <f>+I548+(G549-H549)</f>
        <v/>
      </c>
      <c r="J549" s="60" t="n"/>
      <c r="K549" s="60" t="n"/>
      <c r="L549" s="158">
        <f>+H549*J549</f>
        <v/>
      </c>
      <c r="M549" s="159">
        <f>SUM(M548+K549-L549)</f>
        <v/>
      </c>
      <c r="N549" s="60" t="n"/>
      <c r="O549" s="60" t="n"/>
      <c r="P549" s="60" t="n"/>
      <c r="Q549" s="60" t="n"/>
      <c r="R549" s="60" t="n"/>
      <c r="S549" s="60" t="n"/>
      <c r="T549" s="60" t="n"/>
      <c r="U549" s="60" t="n"/>
      <c r="V549" s="60" t="n"/>
      <c r="W549" s="60" t="n"/>
      <c r="X549" s="60" t="n"/>
      <c r="Y549" s="60" t="n"/>
      <c r="Z549" s="60" t="n"/>
    </row>
    <row r="550">
      <c r="A550" s="151" t="n">
        <v>46074</v>
      </c>
      <c r="B550" s="70" t="n">
        <v>396</v>
      </c>
      <c r="C550" s="115" t="inlineStr">
        <is>
          <t>MEGA VARLIK</t>
        </is>
      </c>
      <c r="D550" s="115" t="inlineStr">
        <is>
          <t xml:space="preserve">SM350 </t>
        </is>
      </c>
      <c r="E550" s="115" t="inlineStr">
        <is>
          <t>TEVFİK ÖZTÜRK</t>
        </is>
      </c>
      <c r="F550" s="65" t="n"/>
      <c r="G550" s="152" t="n">
        <v>175</v>
      </c>
      <c r="H550" s="60" t="n"/>
      <c r="I550" s="156">
        <f>+I549+(G550-H550)</f>
        <v/>
      </c>
      <c r="J550" s="60" t="n"/>
      <c r="K550" s="60" t="n"/>
      <c r="L550" s="158">
        <f>+H550*J550</f>
        <v/>
      </c>
      <c r="M550" s="159">
        <f>SUM(M549+K550-L550)</f>
        <v/>
      </c>
      <c r="N550" s="60" t="n"/>
      <c r="O550" s="60" t="n"/>
      <c r="P550" s="60" t="n"/>
      <c r="Q550" s="60" t="n"/>
      <c r="R550" s="60" t="n"/>
      <c r="S550" s="60" t="n"/>
      <c r="T550" s="60" t="n"/>
      <c r="U550" s="60" t="n"/>
      <c r="V550" s="60" t="n"/>
      <c r="W550" s="60" t="n"/>
      <c r="X550" s="60" t="n"/>
      <c r="Y550" s="60" t="n"/>
      <c r="Z550" s="60" t="n"/>
    </row>
    <row r="551">
      <c r="A551" s="151" t="n">
        <v>46074</v>
      </c>
      <c r="B551" s="70" t="n">
        <v>397</v>
      </c>
      <c r="C551" s="115" t="inlineStr">
        <is>
          <t>MEGA VARLIK</t>
        </is>
      </c>
      <c r="D551" s="115" t="inlineStr">
        <is>
          <t>KAWAZAKI</t>
        </is>
      </c>
      <c r="E551" s="115" t="inlineStr">
        <is>
          <t>RAMAZAN</t>
        </is>
      </c>
      <c r="F551" s="65" t="n"/>
      <c r="G551" s="152" t="n">
        <v>114</v>
      </c>
      <c r="H551" s="60" t="n"/>
      <c r="I551" s="156">
        <f>+I550+(G551-H551)</f>
        <v/>
      </c>
      <c r="J551" s="60" t="n"/>
      <c r="K551" s="60" t="n"/>
      <c r="L551" s="158">
        <f>+H551*J551</f>
        <v/>
      </c>
      <c r="M551" s="159">
        <f>SUM(M550+K551-L551)</f>
        <v/>
      </c>
      <c r="N551" s="60" t="n"/>
      <c r="O551" s="60" t="n"/>
      <c r="P551" s="60" t="n"/>
      <c r="Q551" s="60" t="n"/>
      <c r="R551" s="60" t="n"/>
      <c r="S551" s="60" t="n"/>
      <c r="T551" s="60" t="n"/>
      <c r="U551" s="60" t="n"/>
      <c r="V551" s="60" t="n"/>
      <c r="W551" s="60" t="n"/>
      <c r="X551" s="60" t="n"/>
      <c r="Y551" s="60" t="n"/>
      <c r="Z551" s="60" t="n"/>
    </row>
    <row r="552">
      <c r="A552" s="151" t="n">
        <v>46074</v>
      </c>
      <c r="B552" s="70" t="n">
        <v>399</v>
      </c>
      <c r="C552" s="115" t="inlineStr">
        <is>
          <t>MEGA VARLIK</t>
        </is>
      </c>
      <c r="D552" s="115" t="inlineStr">
        <is>
          <t xml:space="preserve">SM350 </t>
        </is>
      </c>
      <c r="E552" s="115" t="inlineStr">
        <is>
          <t>EMİRHAN ÖZTÜRK</t>
        </is>
      </c>
      <c r="F552" s="65" t="n"/>
      <c r="G552" s="152" t="n">
        <v>279</v>
      </c>
      <c r="H552" s="60" t="n"/>
      <c r="I552" s="156">
        <f>+I551+(G552-H552)</f>
        <v/>
      </c>
      <c r="J552" s="60" t="n"/>
      <c r="K552" s="60" t="n"/>
      <c r="L552" s="158">
        <f>+H552*J552</f>
        <v/>
      </c>
      <c r="M552" s="159">
        <f>SUM(M551+K552-L552)</f>
        <v/>
      </c>
      <c r="N552" s="60" t="n"/>
      <c r="O552" s="60" t="n"/>
      <c r="P552" s="60" t="n"/>
      <c r="Q552" s="60" t="n"/>
      <c r="R552" s="60" t="n"/>
      <c r="S552" s="60" t="n"/>
      <c r="T552" s="60" t="n"/>
      <c r="U552" s="60" t="n"/>
      <c r="V552" s="60" t="n"/>
      <c r="W552" s="60" t="n"/>
      <c r="X552" s="60" t="n"/>
      <c r="Y552" s="60" t="n"/>
      <c r="Z552" s="60" t="n"/>
    </row>
    <row r="553">
      <c r="A553" s="151" t="n">
        <v>46074</v>
      </c>
      <c r="B553" s="70" t="n">
        <v>605</v>
      </c>
      <c r="C553" s="115" t="inlineStr">
        <is>
          <t>SELİM İNŞAAT</t>
        </is>
      </c>
      <c r="D553" s="115" t="inlineStr">
        <is>
          <t>34 BUR 461</t>
        </is>
      </c>
      <c r="E553" s="115" t="inlineStr">
        <is>
          <t xml:space="preserve">MUSTAFA ALBAYRAK </t>
        </is>
      </c>
      <c r="F553" s="65" t="n"/>
      <c r="G553" s="152" t="n">
        <v>44</v>
      </c>
      <c r="H553" s="60" t="n"/>
      <c r="I553" s="156">
        <f>+I552+(G553-H553)</f>
        <v/>
      </c>
      <c r="J553" s="60" t="n"/>
      <c r="K553" s="60" t="n"/>
      <c r="L553" s="158">
        <f>+H553*J553</f>
        <v/>
      </c>
      <c r="M553" s="159">
        <f>SUM(M552+K553-L553)</f>
        <v/>
      </c>
      <c r="N553" s="60" t="n"/>
      <c r="O553" s="60" t="n"/>
      <c r="P553" s="60" t="n"/>
      <c r="Q553" s="60" t="n"/>
      <c r="R553" s="60" t="n"/>
      <c r="S553" s="60" t="n"/>
      <c r="T553" s="60" t="n"/>
      <c r="U553" s="60" t="n"/>
      <c r="V553" s="60" t="n"/>
      <c r="W553" s="60" t="n"/>
      <c r="X553" s="60" t="n"/>
      <c r="Y553" s="60" t="n"/>
      <c r="Z553" s="60" t="n"/>
    </row>
    <row r="554">
      <c r="A554" s="151" t="n">
        <v>46074</v>
      </c>
      <c r="B554" s="70" t="n">
        <v>606</v>
      </c>
      <c r="C554" s="115" t="inlineStr">
        <is>
          <t>SELİM İNŞAAT</t>
        </is>
      </c>
      <c r="D554" s="115" t="inlineStr">
        <is>
          <t>34 FVU 827</t>
        </is>
      </c>
      <c r="E554" s="115" t="inlineStr">
        <is>
          <t>YILMAZ ÇELEBİ</t>
        </is>
      </c>
      <c r="F554" s="65" t="n"/>
      <c r="G554" s="152" t="n">
        <v>45</v>
      </c>
      <c r="H554" s="60" t="n"/>
      <c r="I554" s="156">
        <f>+I553+(G554-H554)</f>
        <v/>
      </c>
      <c r="J554" s="60" t="n"/>
      <c r="K554" s="60" t="n"/>
      <c r="L554" s="158">
        <f>+H554*J554</f>
        <v/>
      </c>
      <c r="M554" s="159">
        <f>SUM(M553+K554-L554)</f>
        <v/>
      </c>
      <c r="N554" s="60" t="n"/>
      <c r="O554" s="60" t="n"/>
      <c r="P554" s="60" t="n"/>
      <c r="Q554" s="60" t="n"/>
      <c r="R554" s="60" t="n"/>
      <c r="S554" s="60" t="n"/>
      <c r="T554" s="60" t="n"/>
      <c r="U554" s="60" t="n"/>
      <c r="V554" s="60" t="n"/>
      <c r="W554" s="60" t="n"/>
      <c r="X554" s="60" t="n"/>
      <c r="Y554" s="60" t="n"/>
      <c r="Z554" s="60" t="n"/>
    </row>
    <row r="555">
      <c r="A555" s="151" t="n">
        <v>46074</v>
      </c>
      <c r="B555" s="70" t="n">
        <v>1631</v>
      </c>
      <c r="C555" s="115" t="inlineStr">
        <is>
          <t>SELİM İNŞAAT</t>
        </is>
      </c>
      <c r="D555" s="115" t="inlineStr">
        <is>
          <t>34 VF 2620</t>
        </is>
      </c>
      <c r="E555" s="115" t="inlineStr">
        <is>
          <t>HASAN BAYCA</t>
        </is>
      </c>
      <c r="F555" s="65" t="n">
        <v>201968</v>
      </c>
      <c r="G555" s="152" t="n">
        <v>76</v>
      </c>
      <c r="H555" s="60" t="n"/>
      <c r="I555" s="156">
        <f>+I554+(G555-H555)</f>
        <v/>
      </c>
      <c r="J555" s="60" t="n"/>
      <c r="K555" s="60" t="n"/>
      <c r="L555" s="158">
        <f>+H555*J555</f>
        <v/>
      </c>
      <c r="M555" s="159">
        <f>SUM(M554+K555-L555)</f>
        <v/>
      </c>
      <c r="N555" s="60" t="n"/>
      <c r="O555" s="60" t="n"/>
      <c r="P555" s="60" t="n"/>
      <c r="Q555" s="60" t="n"/>
      <c r="R555" s="60" t="n"/>
      <c r="S555" s="60" t="n"/>
      <c r="T555" s="60" t="n"/>
      <c r="U555" s="60" t="n"/>
      <c r="V555" s="60" t="n"/>
      <c r="W555" s="60" t="n"/>
      <c r="X555" s="60" t="n"/>
      <c r="Y555" s="60" t="n"/>
      <c r="Z555" s="60" t="n"/>
    </row>
    <row r="556">
      <c r="A556" s="151" t="n">
        <v>46074</v>
      </c>
      <c r="B556" s="70" t="n">
        <v>4461</v>
      </c>
      <c r="C556" s="115" t="inlineStr">
        <is>
          <t>SELİM İNŞAAT</t>
        </is>
      </c>
      <c r="D556" s="115" t="inlineStr">
        <is>
          <t>34 DKL 798</t>
        </is>
      </c>
      <c r="E556" s="115" t="inlineStr">
        <is>
          <t>HASAN BAYCA</t>
        </is>
      </c>
      <c r="F556" s="65" t="n">
        <v>80561</v>
      </c>
      <c r="G556" s="152" t="n">
        <v>226</v>
      </c>
      <c r="H556" s="60" t="n"/>
      <c r="I556" s="156">
        <f>+I555+(G556-H556)</f>
        <v/>
      </c>
      <c r="J556" s="60" t="n"/>
      <c r="K556" s="60" t="n"/>
      <c r="L556" s="158">
        <f>+H556*J556</f>
        <v/>
      </c>
      <c r="M556" s="159">
        <f>SUM(M555+K556-L556)</f>
        <v/>
      </c>
      <c r="N556" s="60" t="n"/>
      <c r="O556" s="60" t="n"/>
      <c r="P556" s="60" t="n"/>
      <c r="Q556" s="60" t="n"/>
      <c r="R556" s="60" t="n"/>
      <c r="S556" s="60" t="n"/>
      <c r="T556" s="60" t="n"/>
      <c r="U556" s="60" t="n"/>
      <c r="V556" s="60" t="n"/>
      <c r="W556" s="60" t="n"/>
      <c r="X556" s="60" t="n"/>
      <c r="Y556" s="60" t="n"/>
      <c r="Z556" s="60" t="n"/>
    </row>
    <row r="557">
      <c r="A557" s="151" t="n">
        <v>46074</v>
      </c>
      <c r="B557" s="70" t="n">
        <v>302</v>
      </c>
      <c r="C557" s="115" t="inlineStr">
        <is>
          <t>SELİM İNŞAAT</t>
        </is>
      </c>
      <c r="D557" s="115" t="inlineStr">
        <is>
          <t>34 GER 445</t>
        </is>
      </c>
      <c r="E557" s="115" t="inlineStr">
        <is>
          <t>RIFAT KARATAY</t>
        </is>
      </c>
      <c r="F557" s="65" t="n">
        <v>57291</v>
      </c>
      <c r="G557" s="152" t="n">
        <v>277</v>
      </c>
      <c r="H557" s="60" t="n"/>
      <c r="I557" s="156">
        <f>+I556+(G557-H557)</f>
        <v/>
      </c>
      <c r="J557" s="60" t="n"/>
      <c r="K557" s="60" t="n"/>
      <c r="L557" s="158">
        <f>+H557*J557</f>
        <v/>
      </c>
      <c r="M557" s="159">
        <f>SUM(M556+K557-L557)</f>
        <v/>
      </c>
      <c r="N557" s="60" t="n"/>
      <c r="O557" s="60" t="n"/>
      <c r="P557" s="60" t="n"/>
      <c r="Q557" s="60" t="n"/>
      <c r="R557" s="60" t="n"/>
      <c r="S557" s="60" t="n"/>
      <c r="T557" s="60" t="n"/>
      <c r="U557" s="60" t="n"/>
      <c r="V557" s="60" t="n"/>
      <c r="W557" s="60" t="n"/>
      <c r="X557" s="60" t="n"/>
      <c r="Y557" s="60" t="n"/>
      <c r="Z557" s="60" t="n"/>
    </row>
    <row r="558">
      <c r="A558" s="151" t="n">
        <v>46074</v>
      </c>
      <c r="B558" s="70" t="n">
        <v>2589</v>
      </c>
      <c r="C558" s="115" t="inlineStr">
        <is>
          <t>SELİM İNŞAAT</t>
        </is>
      </c>
      <c r="D558" s="115" t="inlineStr">
        <is>
          <t>34 GER 028</t>
        </is>
      </c>
      <c r="E558" s="115" t="inlineStr">
        <is>
          <t>ABDULKERİM ERGEN</t>
        </is>
      </c>
      <c r="F558" s="65" t="n">
        <v>59745</v>
      </c>
      <c r="G558" s="152" t="n">
        <v>290</v>
      </c>
      <c r="H558" s="60" t="n"/>
      <c r="I558" s="156">
        <f>+I557+(G558-H558)</f>
        <v/>
      </c>
      <c r="J558" s="60" t="n"/>
      <c r="K558" s="60" t="n"/>
      <c r="L558" s="158">
        <f>+H558*J558</f>
        <v/>
      </c>
      <c r="M558" s="159">
        <f>SUM(M557+K558-L558)</f>
        <v/>
      </c>
      <c r="N558" s="60" t="n"/>
      <c r="O558" s="60" t="n"/>
      <c r="P558" s="60" t="n"/>
      <c r="Q558" s="60" t="n"/>
      <c r="R558" s="60" t="n"/>
      <c r="S558" s="60" t="n"/>
      <c r="T558" s="60" t="n"/>
      <c r="U558" s="60" t="n"/>
      <c r="V558" s="60" t="n"/>
      <c r="W558" s="60" t="n"/>
      <c r="X558" s="60" t="n"/>
      <c r="Y558" s="60" t="n"/>
      <c r="Z558" s="60" t="n"/>
    </row>
    <row r="559">
      <c r="A559" s="151" t="n">
        <v>46074</v>
      </c>
      <c r="B559" s="70" t="n">
        <v>4168</v>
      </c>
      <c r="C559" s="115" t="inlineStr">
        <is>
          <t>SELİM İNŞAAT</t>
        </is>
      </c>
      <c r="D559" s="115" t="inlineStr">
        <is>
          <t>34 FBR 748</t>
        </is>
      </c>
      <c r="E559" s="115" t="inlineStr">
        <is>
          <t>YAŞAR ÖZKAYA</t>
        </is>
      </c>
      <c r="F559" s="65" t="n">
        <v>323062</v>
      </c>
      <c r="G559" s="152" t="n">
        <v>415</v>
      </c>
      <c r="H559" s="60" t="n"/>
      <c r="I559" s="156">
        <f>+I558+(G559-H559)</f>
        <v/>
      </c>
      <c r="J559" s="60" t="n"/>
      <c r="K559" s="60" t="n"/>
      <c r="L559" s="158">
        <f>+H559*J559</f>
        <v/>
      </c>
      <c r="M559" s="159">
        <f>SUM(M558+K559-L559)</f>
        <v/>
      </c>
      <c r="N559" s="60" t="n"/>
      <c r="O559" s="60" t="n"/>
      <c r="P559" s="60" t="n"/>
      <c r="Q559" s="60" t="n"/>
      <c r="R559" s="60" t="n"/>
      <c r="S559" s="60" t="n"/>
      <c r="T559" s="60" t="n"/>
      <c r="U559" s="60" t="n"/>
      <c r="V559" s="60" t="n"/>
      <c r="W559" s="60" t="n"/>
      <c r="X559" s="60" t="n"/>
      <c r="Y559" s="60" t="n"/>
      <c r="Z559" s="60" t="n"/>
    </row>
    <row r="560">
      <c r="A560" s="151" t="n">
        <v>46074</v>
      </c>
      <c r="B560" s="70" t="n">
        <v>3388</v>
      </c>
      <c r="C560" s="115" t="inlineStr">
        <is>
          <t>SELİM İNŞAAT</t>
        </is>
      </c>
      <c r="D560" s="115" t="inlineStr">
        <is>
          <t>34 EDC 162</t>
        </is>
      </c>
      <c r="E560" s="115" t="inlineStr">
        <is>
          <t xml:space="preserve">YAKUP GÜNER </t>
        </is>
      </c>
      <c r="F560" s="65" t="n">
        <v>413754</v>
      </c>
      <c r="G560" s="152" t="n">
        <v>332</v>
      </c>
      <c r="H560" s="60" t="n"/>
      <c r="I560" s="156">
        <f>+I559+(G560-H560)</f>
        <v/>
      </c>
      <c r="J560" s="60" t="n"/>
      <c r="K560" s="60" t="n"/>
      <c r="L560" s="158">
        <f>+H560*J560</f>
        <v/>
      </c>
      <c r="M560" s="159">
        <f>SUM(M559+K560-L560)</f>
        <v/>
      </c>
      <c r="N560" s="60" t="n"/>
      <c r="O560" s="60" t="n"/>
      <c r="P560" s="60" t="n"/>
      <c r="Q560" s="60" t="n"/>
      <c r="R560" s="60" t="n"/>
      <c r="S560" s="60" t="n"/>
      <c r="T560" s="60" t="n"/>
      <c r="U560" s="60" t="n"/>
      <c r="V560" s="60" t="n"/>
      <c r="W560" s="60" t="n"/>
      <c r="X560" s="60" t="n"/>
      <c r="Y560" s="60" t="n"/>
      <c r="Z560" s="60" t="n"/>
    </row>
    <row r="561">
      <c r="A561" s="151" t="n">
        <v>46074</v>
      </c>
      <c r="B561" s="70" t="n">
        <v>3486</v>
      </c>
      <c r="C561" s="115" t="inlineStr">
        <is>
          <t>SELİM İNŞAAT</t>
        </is>
      </c>
      <c r="D561" s="115" t="inlineStr">
        <is>
          <t>34 EDB 754</t>
        </is>
      </c>
      <c r="E561" s="115" t="inlineStr">
        <is>
          <t>MUSTAFA KAYA</t>
        </is>
      </c>
      <c r="F561" s="65" t="n">
        <v>370789</v>
      </c>
      <c r="G561" s="152" t="n">
        <v>524</v>
      </c>
      <c r="H561" s="60" t="n"/>
      <c r="I561" s="156">
        <f>+I560+(G561-H561)</f>
        <v/>
      </c>
      <c r="J561" s="60" t="n"/>
      <c r="K561" s="60" t="n"/>
      <c r="L561" s="158">
        <f>+H561*J561</f>
        <v/>
      </c>
      <c r="M561" s="159">
        <f>SUM(M560+K561-L561)</f>
        <v/>
      </c>
      <c r="N561" s="60" t="n"/>
      <c r="O561" s="60" t="n"/>
      <c r="P561" s="60" t="n"/>
      <c r="Q561" s="60" t="n"/>
      <c r="R561" s="60" t="n"/>
      <c r="S561" s="60" t="n"/>
      <c r="T561" s="60" t="n"/>
      <c r="U561" s="60" t="n"/>
      <c r="V561" s="60" t="n"/>
      <c r="W561" s="60" t="n"/>
      <c r="X561" s="60" t="n"/>
      <c r="Y561" s="60" t="n"/>
      <c r="Z561" s="60" t="n"/>
    </row>
    <row r="562">
      <c r="A562" s="151" t="n">
        <v>46074</v>
      </c>
      <c r="B562" s="70" t="n">
        <v>3222</v>
      </c>
      <c r="C562" s="115" t="inlineStr">
        <is>
          <t>SELİM İNŞAAT</t>
        </is>
      </c>
      <c r="D562" s="115" t="inlineStr">
        <is>
          <t>34 EGR 736</t>
        </is>
      </c>
      <c r="E562" s="115" t="inlineStr">
        <is>
          <t>HAKAN ÇAVUŞOĞLU</t>
        </is>
      </c>
      <c r="F562" s="65" t="n">
        <v>437431</v>
      </c>
      <c r="G562" s="152" t="n">
        <v>458</v>
      </c>
      <c r="H562" s="60" t="n"/>
      <c r="I562" s="156">
        <f>+I561+(G562-H562)</f>
        <v/>
      </c>
      <c r="J562" s="60" t="n"/>
      <c r="K562" s="60" t="n"/>
      <c r="L562" s="158">
        <f>+H562*J562</f>
        <v/>
      </c>
      <c r="M562" s="159">
        <f>SUM(M561+K562-L562)</f>
        <v/>
      </c>
      <c r="N562" s="60" t="n"/>
      <c r="O562" s="60" t="n"/>
      <c r="P562" s="60" t="n"/>
      <c r="Q562" s="60" t="n"/>
      <c r="R562" s="60" t="n"/>
      <c r="S562" s="60" t="n"/>
      <c r="T562" s="60" t="n"/>
      <c r="U562" s="60" t="n"/>
      <c r="V562" s="60" t="n"/>
      <c r="W562" s="60" t="n"/>
      <c r="X562" s="60" t="n"/>
      <c r="Y562" s="60" t="n"/>
      <c r="Z562" s="60" t="n"/>
    </row>
    <row r="563">
      <c r="A563" s="151" t="n">
        <v>46074</v>
      </c>
      <c r="B563" s="70" t="n">
        <v>903</v>
      </c>
      <c r="C563" s="115" t="inlineStr">
        <is>
          <t>SELİM İNŞAAT</t>
        </is>
      </c>
      <c r="D563" s="115" t="inlineStr">
        <is>
          <t>34 FSG 229</t>
        </is>
      </c>
      <c r="E563" s="115" t="inlineStr">
        <is>
          <t>SİNAN TANRIVERDİ</t>
        </is>
      </c>
      <c r="F563" s="65" t="n">
        <v>298329</v>
      </c>
      <c r="G563" s="152" t="n">
        <v>442</v>
      </c>
      <c r="H563" s="60" t="n"/>
      <c r="I563" s="156">
        <f>+I562+(G563-H563)</f>
        <v/>
      </c>
      <c r="J563" s="60" t="n"/>
      <c r="K563" s="60" t="n"/>
      <c r="L563" s="158">
        <f>+H563*J563</f>
        <v/>
      </c>
      <c r="M563" s="159">
        <f>SUM(M562+K563-L563)</f>
        <v/>
      </c>
      <c r="N563" s="60" t="n"/>
      <c r="O563" s="60" t="n"/>
      <c r="P563" s="60" t="n"/>
      <c r="Q563" s="60" t="n"/>
      <c r="R563" s="60" t="n"/>
      <c r="S563" s="60" t="n"/>
      <c r="T563" s="60" t="n"/>
      <c r="U563" s="60" t="n"/>
      <c r="V563" s="60" t="n"/>
      <c r="W563" s="60" t="n"/>
      <c r="X563" s="60" t="n"/>
      <c r="Y563" s="60" t="n"/>
      <c r="Z563" s="60" t="n"/>
    </row>
    <row r="564">
      <c r="A564" s="151" t="n">
        <v>46074</v>
      </c>
      <c r="B564" s="70" t="n">
        <v>3425</v>
      </c>
      <c r="C564" s="115" t="inlineStr">
        <is>
          <t>SELİM İNŞAAT</t>
        </is>
      </c>
      <c r="D564" s="115" t="inlineStr">
        <is>
          <t>34 GVZ 310</t>
        </is>
      </c>
      <c r="E564" s="115" t="inlineStr">
        <is>
          <t>CELAL YÜZBAŞI</t>
        </is>
      </c>
      <c r="F564" s="65" t="n">
        <v>245219</v>
      </c>
      <c r="G564" s="152" t="n">
        <v>338</v>
      </c>
      <c r="H564" s="60" t="n"/>
      <c r="I564" s="156">
        <f>+I563+(G564-H564)</f>
        <v/>
      </c>
      <c r="J564" s="60" t="n"/>
      <c r="K564" s="60" t="n"/>
      <c r="L564" s="158">
        <f>+H564*J564</f>
        <v/>
      </c>
      <c r="M564" s="159">
        <f>SUM(M563+K564-L564)</f>
        <v/>
      </c>
      <c r="N564" s="60" t="n"/>
      <c r="O564" s="60" t="n"/>
      <c r="P564" s="60" t="n"/>
      <c r="Q564" s="60" t="n"/>
      <c r="R564" s="60" t="n"/>
      <c r="S564" s="60" t="n"/>
      <c r="T564" s="60" t="n"/>
      <c r="U564" s="60" t="n"/>
      <c r="V564" s="60" t="n"/>
      <c r="W564" s="60" t="n"/>
      <c r="X564" s="60" t="n"/>
      <c r="Y564" s="60" t="n"/>
      <c r="Z564" s="60" t="n"/>
    </row>
    <row r="565">
      <c r="A565" s="151" t="n">
        <v>46074</v>
      </c>
      <c r="B565" s="70" t="n">
        <v>4968</v>
      </c>
      <c r="C565" s="115" t="inlineStr">
        <is>
          <t>SELİM İNŞAAT</t>
        </is>
      </c>
      <c r="D565" s="115" t="inlineStr">
        <is>
          <t xml:space="preserve">34 GVZ 745 </t>
        </is>
      </c>
      <c r="E565" s="115" t="inlineStr">
        <is>
          <t>MURAT DEMİRBAĞ</t>
        </is>
      </c>
      <c r="F565" s="65" t="n">
        <v>245263</v>
      </c>
      <c r="G565" s="152" t="n">
        <v>434</v>
      </c>
      <c r="H565" s="60" t="n"/>
      <c r="I565" s="156">
        <f>+I564+(G565-H565)</f>
        <v/>
      </c>
      <c r="J565" s="60" t="n"/>
      <c r="K565" s="60" t="n"/>
      <c r="L565" s="158">
        <f>+H565*J565</f>
        <v/>
      </c>
      <c r="M565" s="159">
        <f>SUM(M564+K565-L565)</f>
        <v/>
      </c>
      <c r="N565" s="60" t="n"/>
      <c r="O565" s="60" t="n"/>
      <c r="P565" s="60" t="n"/>
      <c r="Q565" s="60" t="n"/>
      <c r="R565" s="60" t="n"/>
      <c r="S565" s="60" t="n"/>
      <c r="T565" s="60" t="n"/>
      <c r="U565" s="60" t="n"/>
      <c r="V565" s="60" t="n"/>
      <c r="W565" s="60" t="n"/>
      <c r="X565" s="60" t="n"/>
      <c r="Y565" s="60" t="n"/>
      <c r="Z565" s="60" t="n"/>
    </row>
    <row r="566">
      <c r="A566" s="151" t="n">
        <v>46074</v>
      </c>
      <c r="B566" s="70" t="n">
        <v>9</v>
      </c>
      <c r="C566" s="115" t="inlineStr">
        <is>
          <t>SELİM İNŞAAT</t>
        </is>
      </c>
      <c r="D566" s="115" t="inlineStr">
        <is>
          <t xml:space="preserve">34 GVZ 268 </t>
        </is>
      </c>
      <c r="E566" s="115" t="inlineStr">
        <is>
          <t>KERİM KARAMAN</t>
        </is>
      </c>
      <c r="F566" s="65" t="n">
        <v>249560</v>
      </c>
      <c r="G566" s="152" t="n">
        <v>484</v>
      </c>
      <c r="H566" s="60" t="n"/>
      <c r="I566" s="156">
        <f>+I565+(G566-H566)</f>
        <v/>
      </c>
      <c r="J566" s="60" t="n"/>
      <c r="K566" s="60" t="n"/>
      <c r="L566" s="158">
        <f>+H566*J566</f>
        <v/>
      </c>
      <c r="M566" s="159">
        <f>SUM(M565+K566-L566)</f>
        <v/>
      </c>
      <c r="N566" s="60" t="n"/>
      <c r="O566" s="60" t="n"/>
      <c r="P566" s="60" t="n"/>
      <c r="Q566" s="60" t="n"/>
      <c r="R566" s="60" t="n"/>
      <c r="S566" s="60" t="n"/>
      <c r="T566" s="60" t="n"/>
      <c r="U566" s="60" t="n"/>
      <c r="V566" s="60" t="n"/>
      <c r="W566" s="60" t="n"/>
      <c r="X566" s="60" t="n"/>
      <c r="Y566" s="60" t="n"/>
      <c r="Z566" s="60" t="n"/>
    </row>
    <row r="567">
      <c r="A567" s="151" t="n">
        <v>46074</v>
      </c>
      <c r="B567" s="70" t="n">
        <v>2793</v>
      </c>
      <c r="C567" s="115" t="inlineStr">
        <is>
          <t>SELİM İNŞAAT</t>
        </is>
      </c>
      <c r="D567" s="115" t="inlineStr">
        <is>
          <t>34 EDC 086</t>
        </is>
      </c>
      <c r="E567" s="115" t="inlineStr">
        <is>
          <t>SEZGİN KOCAGİL</t>
        </is>
      </c>
      <c r="F567" s="65" t="n">
        <v>375284</v>
      </c>
      <c r="G567" s="152" t="n">
        <v>523</v>
      </c>
      <c r="H567" s="60" t="n"/>
      <c r="I567" s="156">
        <f>+I566+(G567-H567)</f>
        <v/>
      </c>
      <c r="J567" s="60" t="n"/>
      <c r="K567" s="60" t="n"/>
      <c r="L567" s="158">
        <f>+H567*J567</f>
        <v/>
      </c>
      <c r="M567" s="159">
        <f>SUM(M566+K567-L567)</f>
        <v/>
      </c>
      <c r="N567" s="60" t="n"/>
      <c r="O567" s="60" t="n"/>
      <c r="P567" s="60" t="n"/>
      <c r="Q567" s="60" t="n"/>
      <c r="R567" s="60" t="n"/>
      <c r="S567" s="60" t="n"/>
      <c r="T567" s="60" t="n"/>
      <c r="U567" s="60" t="n"/>
      <c r="V567" s="60" t="n"/>
      <c r="W567" s="60" t="n"/>
      <c r="X567" s="60" t="n"/>
      <c r="Y567" s="60" t="n"/>
      <c r="Z567" s="60" t="n"/>
    </row>
    <row r="568">
      <c r="A568" s="151" t="n">
        <v>46074</v>
      </c>
      <c r="B568" s="70" t="n">
        <v>3043</v>
      </c>
      <c r="C568" s="115" t="inlineStr">
        <is>
          <t>SELİM İNŞAAT</t>
        </is>
      </c>
      <c r="D568" s="115" t="inlineStr">
        <is>
          <t>34 FBR 781</t>
        </is>
      </c>
      <c r="E568" s="115" t="inlineStr">
        <is>
          <t>MEVLÜT POLAT</t>
        </is>
      </c>
      <c r="F568" s="65" t="n">
        <v>361151</v>
      </c>
      <c r="G568" s="152" t="n">
        <v>467</v>
      </c>
      <c r="H568" s="60" t="n"/>
      <c r="I568" s="156">
        <f>+I567+(G568-H568)</f>
        <v/>
      </c>
      <c r="J568" s="60" t="n"/>
      <c r="K568" s="60" t="n"/>
      <c r="L568" s="158">
        <f>+H568*J568</f>
        <v/>
      </c>
      <c r="M568" s="159">
        <f>SUM(M567+K568-L568)</f>
        <v/>
      </c>
      <c r="N568" s="60" t="n"/>
      <c r="O568" s="60" t="n"/>
      <c r="P568" s="60" t="n"/>
      <c r="Q568" s="60" t="n"/>
      <c r="R568" s="60" t="n"/>
      <c r="S568" s="60" t="n"/>
      <c r="T568" s="60" t="n"/>
      <c r="U568" s="60" t="n"/>
      <c r="V568" s="60" t="n"/>
      <c r="W568" s="60" t="n"/>
      <c r="X568" s="60" t="n"/>
      <c r="Y568" s="60" t="n"/>
      <c r="Z568" s="60" t="n"/>
    </row>
    <row r="569">
      <c r="A569" s="151" t="n">
        <v>46076</v>
      </c>
      <c r="B569" s="70" t="n">
        <v>398</v>
      </c>
      <c r="C569" s="115" t="n"/>
      <c r="D569" s="115" t="inlineStr">
        <is>
          <t>KAWAZAKI</t>
        </is>
      </c>
      <c r="E569" s="115" t="inlineStr">
        <is>
          <t>RAMAZAN</t>
        </is>
      </c>
      <c r="F569" s="65" t="n"/>
      <c r="G569" s="152" t="n">
        <v>91</v>
      </c>
      <c r="H569" s="60" t="n"/>
      <c r="I569" s="156">
        <f>+I568+(G569-H569)</f>
        <v/>
      </c>
      <c r="J569" s="60" t="n"/>
      <c r="K569" s="60" t="n"/>
      <c r="L569" s="158">
        <f>+H569*J569</f>
        <v/>
      </c>
      <c r="M569" s="159">
        <f>SUM(M568+K569-L569)</f>
        <v/>
      </c>
      <c r="N569" s="60" t="n"/>
      <c r="O569" s="60" t="n"/>
      <c r="P569" s="60" t="n"/>
      <c r="Q569" s="60" t="n"/>
      <c r="R569" s="60" t="n"/>
      <c r="S569" s="60" t="n"/>
      <c r="T569" s="60" t="n"/>
      <c r="U569" s="60" t="n"/>
      <c r="V569" s="60" t="n"/>
      <c r="W569" s="60" t="n"/>
      <c r="X569" s="60" t="n"/>
      <c r="Y569" s="60" t="n"/>
      <c r="Z569" s="60" t="n"/>
    </row>
    <row r="570">
      <c r="A570" s="151" t="n">
        <v>46076</v>
      </c>
      <c r="B570" s="70" t="n">
        <v>246</v>
      </c>
      <c r="C570" s="115" t="inlineStr">
        <is>
          <t>SELİM İNŞAAT</t>
        </is>
      </c>
      <c r="D570" s="115" t="inlineStr">
        <is>
          <t>34 JGR 15</t>
        </is>
      </c>
      <c r="E570" s="115" t="inlineStr">
        <is>
          <t>ABDULKERİM ERGEN</t>
        </is>
      </c>
      <c r="F570" s="65" t="n"/>
      <c r="G570" s="152" t="n">
        <v>61</v>
      </c>
      <c r="H570" s="60" t="n"/>
      <c r="I570" s="156">
        <f>+I569+(G570-H570)</f>
        <v/>
      </c>
      <c r="J570" s="60" t="n"/>
      <c r="K570" s="60" t="n"/>
      <c r="L570" s="158">
        <f>+H570*J570</f>
        <v/>
      </c>
      <c r="M570" s="159">
        <f>SUM(M569+K570-L570)</f>
        <v/>
      </c>
      <c r="N570" s="60" t="n"/>
      <c r="O570" s="60" t="n"/>
      <c r="P570" s="60" t="n"/>
      <c r="Q570" s="60" t="n"/>
      <c r="R570" s="60" t="n"/>
      <c r="S570" s="60" t="n"/>
      <c r="T570" s="60" t="n"/>
      <c r="U570" s="60" t="n"/>
      <c r="V570" s="60" t="n"/>
      <c r="W570" s="60" t="n"/>
      <c r="X570" s="60" t="n"/>
      <c r="Y570" s="60" t="n"/>
      <c r="Z570" s="60" t="n"/>
    </row>
    <row r="571">
      <c r="A571" s="151" t="n">
        <v>46077</v>
      </c>
      <c r="B571" s="70" t="n">
        <v>805</v>
      </c>
      <c r="C571" s="115" t="inlineStr">
        <is>
          <t>METİN ERYİĞİT</t>
        </is>
      </c>
      <c r="D571" s="115" t="inlineStr">
        <is>
          <t>34 GBL 998</t>
        </is>
      </c>
      <c r="E571" s="115" t="inlineStr">
        <is>
          <t>ALİ KESKİN</t>
        </is>
      </c>
      <c r="F571" s="65" t="n"/>
      <c r="G571" s="152" t="n">
        <v>357</v>
      </c>
      <c r="H571" s="60" t="n"/>
      <c r="I571" s="156">
        <f>+I570+(G571-H571)</f>
        <v/>
      </c>
      <c r="J571" s="60" t="n"/>
      <c r="K571" s="60" t="n"/>
      <c r="L571" s="158">
        <f>+H571*J571</f>
        <v/>
      </c>
      <c r="M571" s="159">
        <f>SUM(M570+K571-L571)</f>
        <v/>
      </c>
      <c r="N571" s="60" t="n"/>
      <c r="O571" s="60" t="n"/>
      <c r="P571" s="60" t="n"/>
      <c r="Q571" s="60" t="n"/>
      <c r="R571" s="60" t="n"/>
      <c r="S571" s="60" t="n"/>
      <c r="T571" s="60" t="n"/>
      <c r="U571" s="60" t="n"/>
      <c r="V571" s="60" t="n"/>
      <c r="W571" s="60" t="n"/>
      <c r="X571" s="60" t="n"/>
      <c r="Y571" s="60" t="n"/>
      <c r="Z571" s="60" t="n"/>
    </row>
    <row r="572">
      <c r="A572" s="151" t="n">
        <v>46077</v>
      </c>
      <c r="B572" s="70" t="n">
        <v>2750</v>
      </c>
      <c r="C572" s="115" t="inlineStr">
        <is>
          <t>METİN ERYİĞİT</t>
        </is>
      </c>
      <c r="D572" s="115" t="inlineStr">
        <is>
          <t>34 EGR 814</t>
        </is>
      </c>
      <c r="E572" s="115" t="inlineStr">
        <is>
          <t xml:space="preserve">ZİYA İNCE </t>
        </is>
      </c>
      <c r="F572" s="65" t="n"/>
      <c r="G572" s="152" t="n">
        <v>447</v>
      </c>
      <c r="H572" s="60" t="n"/>
      <c r="I572" s="156">
        <f>+I571+(G572-H572)</f>
        <v/>
      </c>
      <c r="J572" s="60" t="n"/>
      <c r="K572" s="60" t="n"/>
      <c r="L572" s="158">
        <f>+H572*J572</f>
        <v/>
      </c>
      <c r="M572" s="159">
        <f>SUM(M571+K572-L572)</f>
        <v/>
      </c>
      <c r="N572" s="60" t="n"/>
      <c r="O572" s="60" t="n"/>
      <c r="P572" s="60" t="n"/>
      <c r="Q572" s="60" t="n"/>
      <c r="R572" s="60" t="n"/>
      <c r="S572" s="60" t="n"/>
      <c r="T572" s="60" t="n"/>
      <c r="U572" s="60" t="n"/>
      <c r="V572" s="60" t="n"/>
      <c r="W572" s="60" t="n"/>
      <c r="X572" s="60" t="n"/>
      <c r="Y572" s="60" t="n"/>
      <c r="Z572" s="60" t="n"/>
    </row>
    <row r="573">
      <c r="A573" s="151" t="n">
        <v>46077</v>
      </c>
      <c r="B573" s="70" t="n">
        <v>710</v>
      </c>
      <c r="C573" s="115" t="inlineStr">
        <is>
          <t>METİN ERYİĞİT</t>
        </is>
      </c>
      <c r="D573" s="115" t="inlineStr">
        <is>
          <t>34 EGS 013</t>
        </is>
      </c>
      <c r="E573" s="115" t="inlineStr">
        <is>
          <t>UĞUR DUMAN</t>
        </is>
      </c>
      <c r="F573" s="65" t="n"/>
      <c r="G573" s="152" t="n">
        <v>447</v>
      </c>
      <c r="H573" s="60" t="n"/>
      <c r="I573" s="156">
        <f>+I572+(G573-H573)</f>
        <v/>
      </c>
      <c r="J573" s="60" t="n"/>
      <c r="K573" s="60" t="n"/>
      <c r="L573" s="158">
        <f>+H573*J573</f>
        <v/>
      </c>
      <c r="M573" s="159">
        <f>SUM(M572+K573-L573)</f>
        <v/>
      </c>
      <c r="N573" s="60" t="n"/>
      <c r="O573" s="60" t="n"/>
      <c r="P573" s="60" t="n"/>
      <c r="Q573" s="60" t="n"/>
      <c r="R573" s="60" t="n"/>
      <c r="S573" s="60" t="n"/>
      <c r="T573" s="60" t="n"/>
      <c r="U573" s="60" t="n"/>
      <c r="V573" s="60" t="n"/>
      <c r="W573" s="60" t="n"/>
      <c r="X573" s="60" t="n"/>
      <c r="Y573" s="60" t="n"/>
      <c r="Z573" s="60" t="n"/>
    </row>
    <row r="574">
      <c r="A574" s="151" t="n">
        <v>46077</v>
      </c>
      <c r="B574" s="70" t="n">
        <v>3287</v>
      </c>
      <c r="C574" s="115" t="inlineStr">
        <is>
          <t xml:space="preserve">AZGÜN YAPI </t>
        </is>
      </c>
      <c r="D574" s="115" t="inlineStr">
        <is>
          <t>34 MKT 859</t>
        </is>
      </c>
      <c r="E574" s="115" t="inlineStr">
        <is>
          <t>İRFAN DAĞLAR</t>
        </is>
      </c>
      <c r="F574" s="65" t="n"/>
      <c r="G574" s="152" t="n">
        <v>345</v>
      </c>
      <c r="H574" s="60" t="n"/>
      <c r="I574" s="156">
        <f>+I573+(G574-H574)</f>
        <v/>
      </c>
      <c r="J574" s="60" t="n"/>
      <c r="K574" s="60" t="n"/>
      <c r="L574" s="158">
        <f>+H574*J574</f>
        <v/>
      </c>
      <c r="M574" s="159">
        <f>SUM(M573+K574-L574)</f>
        <v/>
      </c>
      <c r="N574" s="60" t="n"/>
      <c r="O574" s="60" t="n"/>
      <c r="P574" s="60" t="n"/>
      <c r="Q574" s="60" t="n"/>
      <c r="R574" s="60" t="n"/>
      <c r="S574" s="60" t="n"/>
      <c r="T574" s="60" t="n"/>
      <c r="U574" s="60" t="n"/>
      <c r="V574" s="60" t="n"/>
      <c r="W574" s="60" t="n"/>
      <c r="X574" s="60" t="n"/>
      <c r="Y574" s="60" t="n"/>
      <c r="Z574" s="60" t="n"/>
    </row>
    <row r="575">
      <c r="A575" s="151" t="n">
        <v>46077</v>
      </c>
      <c r="B575" s="70" t="n">
        <v>2539</v>
      </c>
      <c r="C575" s="115" t="inlineStr">
        <is>
          <t xml:space="preserve">AZGÜN YAPI </t>
        </is>
      </c>
      <c r="D575" s="115" t="inlineStr">
        <is>
          <t>34 MKT 593</t>
        </is>
      </c>
      <c r="E575" s="115" t="inlineStr">
        <is>
          <t>TURGUT ÇATAL</t>
        </is>
      </c>
      <c r="F575" s="65" t="n"/>
      <c r="G575" s="152" t="n">
        <v>516</v>
      </c>
      <c r="H575" s="60" t="n"/>
      <c r="I575" s="156">
        <f>+I574+(G575-H575)</f>
        <v/>
      </c>
      <c r="J575" s="60" t="n"/>
      <c r="K575" s="60" t="n"/>
      <c r="L575" s="158">
        <f>+H575*J575</f>
        <v/>
      </c>
      <c r="M575" s="159">
        <f>SUM(M574+K575-L575)</f>
        <v/>
      </c>
      <c r="N575" s="60" t="n"/>
      <c r="O575" s="60" t="n"/>
      <c r="P575" s="60" t="n"/>
      <c r="Q575" s="60" t="n"/>
      <c r="R575" s="60" t="n"/>
      <c r="S575" s="60" t="n"/>
      <c r="T575" s="60" t="n"/>
      <c r="U575" s="60" t="n"/>
      <c r="V575" s="60" t="n"/>
      <c r="W575" s="60" t="n"/>
      <c r="X575" s="60" t="n"/>
      <c r="Y575" s="60" t="n"/>
      <c r="Z575" s="60" t="n"/>
    </row>
    <row r="576">
      <c r="A576" s="151" t="n">
        <v>46077</v>
      </c>
      <c r="B576" s="70" t="n">
        <v>400</v>
      </c>
      <c r="C576" s="115" t="inlineStr">
        <is>
          <t>HASALTUN</t>
        </is>
      </c>
      <c r="D576" s="115" t="inlineStr">
        <is>
          <t>SİLİNDİR</t>
        </is>
      </c>
      <c r="E576" s="115" t="inlineStr">
        <is>
          <t>ÖNER DÜNDAR</t>
        </is>
      </c>
      <c r="F576" s="65" t="n"/>
      <c r="G576" s="152" t="n">
        <v>84</v>
      </c>
      <c r="H576" s="60" t="n"/>
      <c r="I576" s="156">
        <f>+I575+(G576-H576)</f>
        <v/>
      </c>
      <c r="J576" s="60" t="n"/>
      <c r="K576" s="60" t="n"/>
      <c r="L576" s="158">
        <f>+H576*J576</f>
        <v/>
      </c>
      <c r="M576" s="159">
        <f>SUM(M575+K576-L576)</f>
        <v/>
      </c>
      <c r="N576" s="60" t="n"/>
      <c r="O576" s="60" t="n"/>
      <c r="P576" s="60" t="n"/>
      <c r="Q576" s="60" t="n"/>
      <c r="R576" s="60" t="n"/>
      <c r="S576" s="60" t="n"/>
      <c r="T576" s="60" t="n"/>
      <c r="U576" s="60" t="n"/>
      <c r="V576" s="60" t="n"/>
      <c r="W576" s="60" t="n"/>
      <c r="X576" s="60" t="n"/>
      <c r="Y576" s="60" t="n"/>
      <c r="Z576" s="60" t="n"/>
    </row>
    <row r="577">
      <c r="A577" s="151" t="n">
        <v>46077</v>
      </c>
      <c r="B577" s="70" t="n">
        <v>401</v>
      </c>
      <c r="C577" s="115" t="inlineStr">
        <is>
          <t>HASALTUN</t>
        </is>
      </c>
      <c r="D577" s="115" t="inlineStr">
        <is>
          <t>SİLİNDİR</t>
        </is>
      </c>
      <c r="E577" s="115" t="inlineStr">
        <is>
          <t>ÖNER DÜNDAR</t>
        </is>
      </c>
      <c r="F577" s="65" t="n"/>
      <c r="G577" s="152" t="n">
        <v>220</v>
      </c>
      <c r="H577" s="60" t="n"/>
      <c r="I577" s="156">
        <f>+I576+(G577-H577)</f>
        <v/>
      </c>
      <c r="J577" s="60" t="n"/>
      <c r="K577" s="60" t="n"/>
      <c r="L577" s="158">
        <f>+H577*J577</f>
        <v/>
      </c>
      <c r="M577" s="159">
        <f>SUM(M576+K577-L577)</f>
        <v/>
      </c>
      <c r="N577" s="60" t="n"/>
      <c r="O577" s="60" t="n"/>
      <c r="P577" s="60" t="n"/>
      <c r="Q577" s="60" t="n"/>
      <c r="R577" s="60" t="n"/>
      <c r="S577" s="60" t="n"/>
      <c r="T577" s="60" t="n"/>
      <c r="U577" s="60" t="n"/>
      <c r="V577" s="60" t="n"/>
      <c r="W577" s="60" t="n"/>
      <c r="X577" s="60" t="n"/>
      <c r="Y577" s="60" t="n"/>
      <c r="Z577" s="60" t="n"/>
    </row>
    <row r="578">
      <c r="A578" s="151" t="n">
        <v>46077</v>
      </c>
      <c r="B578" s="70" t="n">
        <v>402</v>
      </c>
      <c r="C578" s="115" t="inlineStr">
        <is>
          <t>HASALTUN</t>
        </is>
      </c>
      <c r="D578" s="115" t="inlineStr">
        <is>
          <t>HITACHI</t>
        </is>
      </c>
      <c r="E578" s="115" t="inlineStr">
        <is>
          <t>TURGUT SANCAK</t>
        </is>
      </c>
      <c r="F578" s="65" t="n"/>
      <c r="G578" s="152" t="n">
        <v>252</v>
      </c>
      <c r="H578" s="60" t="n"/>
      <c r="I578" s="156">
        <f>+I577+(G578-H578)</f>
        <v/>
      </c>
      <c r="J578" s="60" t="n"/>
      <c r="K578" s="60" t="n"/>
      <c r="L578" s="158">
        <f>+H578*J578</f>
        <v/>
      </c>
      <c r="M578" s="159">
        <f>SUM(M577+K578-L578)</f>
        <v/>
      </c>
      <c r="N578" s="60" t="n"/>
      <c r="O578" s="60" t="n"/>
      <c r="P578" s="60" t="n"/>
      <c r="Q578" s="60" t="n"/>
      <c r="R578" s="60" t="n"/>
      <c r="S578" s="60" t="n"/>
      <c r="T578" s="60" t="n"/>
      <c r="U578" s="60" t="n"/>
      <c r="V578" s="60" t="n"/>
      <c r="W578" s="60" t="n"/>
      <c r="X578" s="60" t="n"/>
      <c r="Y578" s="60" t="n"/>
      <c r="Z578" s="60" t="n"/>
    </row>
    <row r="579">
      <c r="A579" s="151" t="n">
        <v>46077</v>
      </c>
      <c r="B579" s="70" t="n">
        <v>403</v>
      </c>
      <c r="C579" s="115" t="inlineStr">
        <is>
          <t>MEGA VARLIK</t>
        </is>
      </c>
      <c r="D579" s="115" t="inlineStr">
        <is>
          <t>KAWAZAKI</t>
        </is>
      </c>
      <c r="E579" s="115" t="inlineStr">
        <is>
          <t>RAMAZAN</t>
        </is>
      </c>
      <c r="F579" s="65" t="n"/>
      <c r="G579" s="152" t="n">
        <v>115</v>
      </c>
      <c r="H579" s="60" t="n"/>
      <c r="I579" s="156">
        <f>+I578+(G579-H579)</f>
        <v/>
      </c>
      <c r="J579" s="60" t="n"/>
      <c r="K579" s="60" t="n"/>
      <c r="L579" s="158">
        <f>+H579*J579</f>
        <v/>
      </c>
      <c r="M579" s="159">
        <f>SUM(M578+K579-L579)</f>
        <v/>
      </c>
      <c r="N579" s="60" t="n"/>
      <c r="O579" s="60" t="n"/>
      <c r="P579" s="60" t="n"/>
      <c r="Q579" s="60" t="n"/>
      <c r="R579" s="60" t="n"/>
      <c r="S579" s="60" t="n"/>
      <c r="T579" s="60" t="n"/>
      <c r="U579" s="60" t="n"/>
      <c r="V579" s="60" t="n"/>
      <c r="W579" s="60" t="n"/>
      <c r="X579" s="60" t="n"/>
      <c r="Y579" s="60" t="n"/>
      <c r="Z579" s="60" t="n"/>
    </row>
    <row r="580">
      <c r="A580" s="151" t="n">
        <v>46077</v>
      </c>
      <c r="B580" s="70" t="n">
        <v>409</v>
      </c>
      <c r="C580" s="115" t="inlineStr">
        <is>
          <t>MEGA VARLIK</t>
        </is>
      </c>
      <c r="D580" s="115" t="inlineStr">
        <is>
          <t xml:space="preserve">SM350 </t>
        </is>
      </c>
      <c r="E580" s="115" t="inlineStr">
        <is>
          <t>TEVFİK ÖZTÜRK</t>
        </is>
      </c>
      <c r="F580" s="65" t="n"/>
      <c r="G580" s="152" t="n">
        <v>351</v>
      </c>
      <c r="H580" s="60" t="n"/>
      <c r="I580" s="156">
        <f>+I579+(G580-H580)</f>
        <v/>
      </c>
      <c r="J580" s="60" t="n"/>
      <c r="K580" s="60" t="n"/>
      <c r="L580" s="158">
        <f>+H580*J580</f>
        <v/>
      </c>
      <c r="M580" s="159">
        <f>SUM(M579+K580-L580)</f>
        <v/>
      </c>
      <c r="N580" s="60" t="n"/>
      <c r="O580" s="60" t="n"/>
      <c r="P580" s="60" t="n"/>
      <c r="Q580" s="60" t="n"/>
      <c r="R580" s="60" t="n"/>
      <c r="S580" s="60" t="n"/>
      <c r="T580" s="60" t="n"/>
      <c r="U580" s="60" t="n"/>
      <c r="V580" s="60" t="n"/>
      <c r="W580" s="60" t="n"/>
      <c r="X580" s="60" t="n"/>
      <c r="Y580" s="60" t="n"/>
      <c r="Z580" s="60" t="n"/>
    </row>
    <row r="581">
      <c r="A581" s="151" t="n">
        <v>46077</v>
      </c>
      <c r="B581" s="70" t="n">
        <v>607</v>
      </c>
      <c r="C581" s="115" t="inlineStr">
        <is>
          <t>AHMET SELİM TEMHA</t>
        </is>
      </c>
      <c r="D581" s="115" t="inlineStr">
        <is>
          <t>34 PGT 251</t>
        </is>
      </c>
      <c r="E581" s="115" t="inlineStr">
        <is>
          <t>ERSOY SIĞINMAZ</t>
        </is>
      </c>
      <c r="F581" s="65" t="n"/>
      <c r="G581" s="152" t="n">
        <v>53</v>
      </c>
      <c r="H581" s="60" t="n"/>
      <c r="I581" s="156">
        <f>+I580+(G581-H581)</f>
        <v/>
      </c>
      <c r="J581" s="60" t="n"/>
      <c r="K581" s="60" t="n"/>
      <c r="L581" s="158">
        <f>+H581*J581</f>
        <v/>
      </c>
      <c r="M581" s="159">
        <f>SUM(M580+K581-L581)</f>
        <v/>
      </c>
      <c r="N581" s="60" t="n"/>
      <c r="O581" s="60" t="n"/>
      <c r="P581" s="60" t="n"/>
      <c r="Q581" s="60" t="n"/>
      <c r="R581" s="60" t="n"/>
      <c r="S581" s="60" t="n"/>
      <c r="T581" s="60" t="n"/>
      <c r="U581" s="60" t="n"/>
      <c r="V581" s="60" t="n"/>
      <c r="W581" s="60" t="n"/>
      <c r="X581" s="60" t="n"/>
      <c r="Y581" s="60" t="n"/>
      <c r="Z581" s="60" t="n"/>
    </row>
    <row r="582">
      <c r="A582" s="151" t="n">
        <v>46077</v>
      </c>
      <c r="B582" s="70" t="n">
        <v>608</v>
      </c>
      <c r="C582" s="115" t="inlineStr">
        <is>
          <t>MAHMUT VİNÇ</t>
        </is>
      </c>
      <c r="D582" s="115" t="inlineStr">
        <is>
          <t>34 AH 5401</t>
        </is>
      </c>
      <c r="E582" s="115" t="inlineStr">
        <is>
          <t>MUHAMMED YİĞİT</t>
        </is>
      </c>
      <c r="F582" s="65" t="n"/>
      <c r="G582" s="152" t="n">
        <v>88</v>
      </c>
      <c r="H582" s="60" t="n"/>
      <c r="I582" s="156">
        <f>+I581+(G582-H582)</f>
        <v/>
      </c>
      <c r="J582" s="60" t="n"/>
      <c r="K582" s="60" t="n"/>
      <c r="L582" s="158">
        <f>+H582*J582</f>
        <v/>
      </c>
      <c r="M582" s="159">
        <f>SUM(M581+K582-L582)</f>
        <v/>
      </c>
      <c r="N582" s="60" t="n"/>
      <c r="O582" s="60" t="n"/>
      <c r="P582" s="60" t="n"/>
      <c r="Q582" s="60" t="n"/>
      <c r="R582" s="60" t="n"/>
      <c r="S582" s="60" t="n"/>
      <c r="T582" s="60" t="n"/>
      <c r="U582" s="60" t="n"/>
      <c r="V582" s="60" t="n"/>
      <c r="W582" s="60" t="n"/>
      <c r="X582" s="60" t="n"/>
      <c r="Y582" s="60" t="n"/>
      <c r="Z582" s="60" t="n"/>
    </row>
    <row r="583">
      <c r="A583" s="151" t="n">
        <v>46077</v>
      </c>
      <c r="B583" s="70" t="n">
        <v>4015</v>
      </c>
      <c r="C583" s="115" t="inlineStr">
        <is>
          <t>SELİM İNŞAAT</t>
        </is>
      </c>
      <c r="D583" s="115" t="inlineStr">
        <is>
          <t>34 AR 7743</t>
        </is>
      </c>
      <c r="E583" s="115" t="inlineStr">
        <is>
          <t>ABDULKERİM ERGEN</t>
        </is>
      </c>
      <c r="F583" s="65" t="n">
        <v>373674</v>
      </c>
      <c r="G583" s="152" t="n">
        <v>31</v>
      </c>
      <c r="H583" s="60" t="n"/>
      <c r="I583" s="156">
        <f>+I582+(G583-H583)</f>
        <v/>
      </c>
      <c r="J583" s="60" t="n"/>
      <c r="K583" s="60" t="n"/>
      <c r="L583" s="158">
        <f>+H583*J583</f>
        <v/>
      </c>
      <c r="M583" s="159">
        <f>SUM(M582+K583-L583)</f>
        <v/>
      </c>
      <c r="N583" s="60" t="n"/>
      <c r="O583" s="60" t="n"/>
      <c r="P583" s="60" t="n"/>
      <c r="Q583" s="60" t="n"/>
      <c r="R583" s="60" t="n"/>
      <c r="S583" s="60" t="n"/>
      <c r="T583" s="60" t="n"/>
      <c r="U583" s="60" t="n"/>
      <c r="V583" s="60" t="n"/>
      <c r="W583" s="60" t="n"/>
      <c r="X583" s="60" t="n"/>
      <c r="Y583" s="60" t="n"/>
      <c r="Z583" s="60" t="n"/>
    </row>
    <row r="584">
      <c r="A584" s="151" t="n">
        <v>46077</v>
      </c>
      <c r="B584" s="70" t="n">
        <v>4462</v>
      </c>
      <c r="C584" s="115" t="inlineStr">
        <is>
          <t>SELİM İNŞAAT</t>
        </is>
      </c>
      <c r="D584" s="115" t="inlineStr">
        <is>
          <t>34 DKL 798</t>
        </is>
      </c>
      <c r="E584" s="115" t="inlineStr">
        <is>
          <t>HASAN BAYCA</t>
        </is>
      </c>
      <c r="F584" s="65" t="n">
        <v>80634</v>
      </c>
      <c r="G584" s="152" t="n">
        <v>270</v>
      </c>
      <c r="H584" s="60" t="n"/>
      <c r="I584" s="156">
        <f>+I583+(G584-H584)</f>
        <v/>
      </c>
      <c r="J584" s="60" t="n"/>
      <c r="K584" s="60" t="n"/>
      <c r="L584" s="158">
        <f>+H584*J584</f>
        <v/>
      </c>
      <c r="M584" s="159">
        <f>SUM(M583+K584-L584)</f>
        <v/>
      </c>
      <c r="N584" s="60" t="n"/>
      <c r="O584" s="60" t="n"/>
      <c r="P584" s="60" t="n"/>
      <c r="Q584" s="60" t="n"/>
      <c r="R584" s="60" t="n"/>
      <c r="S584" s="60" t="n"/>
      <c r="T584" s="60" t="n"/>
      <c r="U584" s="60" t="n"/>
      <c r="V584" s="60" t="n"/>
      <c r="W584" s="60" t="n"/>
      <c r="X584" s="60" t="n"/>
      <c r="Y584" s="60" t="n"/>
      <c r="Z584" s="60" t="n"/>
    </row>
    <row r="585">
      <c r="A585" s="151" t="n">
        <v>46077</v>
      </c>
      <c r="B585" s="70" t="n">
        <v>2386</v>
      </c>
      <c r="C585" s="115" t="inlineStr">
        <is>
          <t>SELİM İNŞAAT</t>
        </is>
      </c>
      <c r="D585" s="115" t="inlineStr">
        <is>
          <t>34 FEM 934</t>
        </is>
      </c>
      <c r="E585" s="115" t="inlineStr">
        <is>
          <t>ABDULKERİM ERGEN</t>
        </is>
      </c>
      <c r="F585" s="65" t="n">
        <v>332489</v>
      </c>
      <c r="G585" s="152" t="n">
        <v>58</v>
      </c>
      <c r="H585" s="60" t="n"/>
      <c r="I585" s="156">
        <f>+I584+(G585-H585)</f>
        <v/>
      </c>
      <c r="J585" s="60" t="n"/>
      <c r="K585" s="60" t="n"/>
      <c r="L585" s="158">
        <f>+H585*J585</f>
        <v/>
      </c>
      <c r="M585" s="159">
        <f>SUM(M584+K585-L585)</f>
        <v/>
      </c>
      <c r="N585" s="60" t="n"/>
      <c r="O585" s="60" t="n"/>
      <c r="P585" s="60" t="n"/>
      <c r="Q585" s="60" t="n"/>
      <c r="R585" s="60" t="n"/>
      <c r="S585" s="60" t="n"/>
      <c r="T585" s="60" t="n"/>
      <c r="U585" s="60" t="n"/>
      <c r="V585" s="60" t="n"/>
      <c r="W585" s="60" t="n"/>
      <c r="X585" s="60" t="n"/>
      <c r="Y585" s="60" t="n"/>
      <c r="Z585" s="60" t="n"/>
    </row>
    <row r="586">
      <c r="A586" s="151" t="n">
        <v>46077</v>
      </c>
      <c r="B586" s="70" t="n">
        <v>2649</v>
      </c>
      <c r="C586" s="115" t="inlineStr">
        <is>
          <t>SELİM İNŞAAT</t>
        </is>
      </c>
      <c r="D586" s="115" t="inlineStr">
        <is>
          <t>34 GU 945</t>
        </is>
      </c>
      <c r="E586" s="115" t="inlineStr">
        <is>
          <t>YAKUP URUCU</t>
        </is>
      </c>
      <c r="F586" s="65" t="n">
        <v>471798</v>
      </c>
      <c r="G586" s="152" t="n">
        <v>48</v>
      </c>
      <c r="H586" s="60" t="n"/>
      <c r="I586" s="156">
        <f>+I585+(G586-H586)</f>
        <v/>
      </c>
      <c r="J586" s="60" t="n"/>
      <c r="K586" s="60" t="n"/>
      <c r="L586" s="158">
        <f>+H586*J586</f>
        <v/>
      </c>
      <c r="M586" s="159">
        <f>SUM(M585+K586-L586)</f>
        <v/>
      </c>
      <c r="N586" s="60" t="n"/>
      <c r="O586" s="60" t="n"/>
      <c r="P586" s="60" t="n"/>
      <c r="Q586" s="60" t="n"/>
      <c r="R586" s="60" t="n"/>
      <c r="S586" s="60" t="n"/>
      <c r="T586" s="60" t="n"/>
      <c r="U586" s="60" t="n"/>
      <c r="V586" s="60" t="n"/>
      <c r="W586" s="60" t="n"/>
      <c r="X586" s="60" t="n"/>
      <c r="Y586" s="60" t="n"/>
      <c r="Z586" s="60" t="n"/>
    </row>
    <row r="587">
      <c r="A587" s="151" t="n">
        <v>46077</v>
      </c>
      <c r="B587" s="70" t="n">
        <v>2978</v>
      </c>
      <c r="C587" s="115" t="inlineStr">
        <is>
          <t>SELİM İNŞAAT</t>
        </is>
      </c>
      <c r="D587" s="115" t="inlineStr">
        <is>
          <t>34 DFE 454</t>
        </is>
      </c>
      <c r="E587" s="115" t="inlineStr">
        <is>
          <t>HÜSEYİN ALIN</t>
        </is>
      </c>
      <c r="F587" s="65" t="n">
        <v>174250</v>
      </c>
      <c r="G587" s="152" t="n">
        <v>258</v>
      </c>
      <c r="H587" s="60" t="n"/>
      <c r="I587" s="156">
        <f>+I586+(G587-H587)</f>
        <v/>
      </c>
      <c r="J587" s="60" t="n"/>
      <c r="K587" s="60" t="n"/>
      <c r="L587" s="158">
        <f>+H587*J587</f>
        <v/>
      </c>
      <c r="M587" s="159">
        <f>SUM(M586+K587-L587)</f>
        <v/>
      </c>
      <c r="N587" s="60" t="n"/>
      <c r="O587" s="60" t="n"/>
      <c r="P587" s="60" t="n"/>
      <c r="Q587" s="60" t="n"/>
      <c r="R587" s="60" t="n"/>
      <c r="S587" s="60" t="n"/>
      <c r="T587" s="60" t="n"/>
      <c r="U587" s="60" t="n"/>
      <c r="V587" s="60" t="n"/>
      <c r="W587" s="60" t="n"/>
      <c r="X587" s="60" t="n"/>
      <c r="Y587" s="60" t="n"/>
      <c r="Z587" s="60" t="n"/>
    </row>
    <row r="588">
      <c r="A588" s="151" t="n">
        <v>46077</v>
      </c>
      <c r="B588" s="70" t="n">
        <v>3725</v>
      </c>
      <c r="C588" s="115" t="inlineStr">
        <is>
          <t>SELİM İNŞAAT</t>
        </is>
      </c>
      <c r="D588" s="115" t="inlineStr">
        <is>
          <t>34 DKL 866</t>
        </is>
      </c>
      <c r="E588" s="115" t="inlineStr">
        <is>
          <t xml:space="preserve">SELİMCAN ÖNVER </t>
        </is>
      </c>
      <c r="F588" s="65" t="n">
        <v>81901</v>
      </c>
      <c r="G588" s="152" t="n">
        <v>287</v>
      </c>
      <c r="H588" s="60" t="n"/>
      <c r="I588" s="156">
        <f>+I587+(G588-H588)</f>
        <v/>
      </c>
      <c r="J588" s="60" t="n"/>
      <c r="K588" s="60" t="n"/>
      <c r="L588" s="158">
        <f>+H588*J588</f>
        <v/>
      </c>
      <c r="M588" s="159">
        <f>SUM(M587+K588-L588)</f>
        <v/>
      </c>
      <c r="N588" s="60" t="n"/>
      <c r="O588" s="60" t="n"/>
      <c r="P588" s="60" t="n"/>
      <c r="Q588" s="60" t="n"/>
      <c r="R588" s="60" t="n"/>
      <c r="S588" s="60" t="n"/>
      <c r="T588" s="60" t="n"/>
      <c r="U588" s="60" t="n"/>
      <c r="V588" s="60" t="n"/>
      <c r="W588" s="60" t="n"/>
      <c r="X588" s="60" t="n"/>
      <c r="Y588" s="60" t="n"/>
      <c r="Z588" s="60" t="n"/>
    </row>
    <row r="589">
      <c r="A589" s="151" t="n">
        <v>46077</v>
      </c>
      <c r="B589" s="70" t="n">
        <v>3169</v>
      </c>
      <c r="C589" s="115" t="inlineStr">
        <is>
          <t>SELİM İNŞAAT</t>
        </is>
      </c>
      <c r="D589" s="115" t="inlineStr">
        <is>
          <t>34 DTV 599</t>
        </is>
      </c>
      <c r="E589" s="115" t="inlineStr">
        <is>
          <t>HÜSEYİN DENİZ</t>
        </is>
      </c>
      <c r="F589" s="65" t="n">
        <v>474035</v>
      </c>
      <c r="G589" s="152" t="n">
        <v>49</v>
      </c>
      <c r="H589" s="60" t="n"/>
      <c r="I589" s="156">
        <f>+I588+(G589-H589)</f>
        <v/>
      </c>
      <c r="J589" s="60" t="n"/>
      <c r="K589" s="60" t="n"/>
      <c r="L589" s="158">
        <f>+H589*J589</f>
        <v/>
      </c>
      <c r="M589" s="159">
        <f>SUM(M588+K589-L589)</f>
        <v/>
      </c>
      <c r="N589" s="60" t="n"/>
      <c r="O589" s="60" t="n"/>
      <c r="P589" s="60" t="n"/>
      <c r="Q589" s="60" t="n"/>
      <c r="R589" s="60" t="n"/>
      <c r="S589" s="60" t="n"/>
      <c r="T589" s="60" t="n"/>
      <c r="U589" s="60" t="n"/>
      <c r="V589" s="60" t="n"/>
      <c r="W589" s="60" t="n"/>
      <c r="X589" s="60" t="n"/>
      <c r="Y589" s="60" t="n"/>
      <c r="Z589" s="60" t="n"/>
    </row>
    <row r="590">
      <c r="A590" s="151" t="n">
        <v>46077</v>
      </c>
      <c r="B590" s="70" t="n">
        <v>147</v>
      </c>
      <c r="C590" s="115" t="inlineStr">
        <is>
          <t>SELİM İNŞAAT</t>
        </is>
      </c>
      <c r="D590" s="115" t="inlineStr">
        <is>
          <t>34 FBR 771</t>
        </is>
      </c>
      <c r="E590" s="115" t="inlineStr">
        <is>
          <t>SALİH YALÇIN</t>
        </is>
      </c>
      <c r="F590" s="65" t="n">
        <v>348187</v>
      </c>
      <c r="G590" s="152" t="n">
        <v>373</v>
      </c>
      <c r="H590" s="60" t="n"/>
      <c r="I590" s="156">
        <f>+I589+(G590-H590)</f>
        <v/>
      </c>
      <c r="J590" s="60" t="n"/>
      <c r="K590" s="60" t="n"/>
      <c r="L590" s="158">
        <f>+H590*J590</f>
        <v/>
      </c>
      <c r="M590" s="159">
        <f>SUM(M589+K590-L590)</f>
        <v/>
      </c>
      <c r="N590" s="60" t="n"/>
      <c r="O590" s="60" t="n"/>
      <c r="P590" s="60" t="n"/>
      <c r="Q590" s="60" t="n"/>
      <c r="R590" s="60" t="n"/>
      <c r="S590" s="60" t="n"/>
      <c r="T590" s="60" t="n"/>
      <c r="U590" s="60" t="n"/>
      <c r="V590" s="60" t="n"/>
      <c r="W590" s="60" t="n"/>
      <c r="X590" s="60" t="n"/>
      <c r="Y590" s="60" t="n"/>
      <c r="Z590" s="60" t="n"/>
    </row>
    <row r="591">
      <c r="A591" s="151" t="n">
        <v>46077</v>
      </c>
      <c r="B591" s="70" t="n">
        <v>4416</v>
      </c>
      <c r="C591" s="115" t="inlineStr">
        <is>
          <t>SELİM İNŞAAT</t>
        </is>
      </c>
      <c r="D591" s="115" t="inlineStr">
        <is>
          <t>34 DTV 409</t>
        </is>
      </c>
      <c r="E591" s="115" t="inlineStr">
        <is>
          <t>ATA KIZMAZ</t>
        </is>
      </c>
      <c r="F591" s="65" t="n">
        <v>453183</v>
      </c>
      <c r="G591" s="152" t="n">
        <v>453</v>
      </c>
      <c r="H591" s="60" t="n"/>
      <c r="I591" s="156">
        <f>+I590+(G591-H591)</f>
        <v/>
      </c>
      <c r="J591" s="60" t="n"/>
      <c r="K591" s="60" t="n"/>
      <c r="L591" s="158">
        <f>+H591*J591</f>
        <v/>
      </c>
      <c r="M591" s="159">
        <f>SUM(M590+K591-L591)</f>
        <v/>
      </c>
      <c r="N591" s="60" t="n"/>
      <c r="O591" s="60" t="n"/>
      <c r="P591" s="60" t="n"/>
      <c r="Q591" s="60" t="n"/>
      <c r="R591" s="60" t="n"/>
      <c r="S591" s="60" t="n"/>
      <c r="T591" s="60" t="n"/>
      <c r="U591" s="60" t="n"/>
      <c r="V591" s="60" t="n"/>
      <c r="W591" s="60" t="n"/>
      <c r="X591" s="60" t="n"/>
      <c r="Y591" s="60" t="n"/>
      <c r="Z591" s="60" t="n"/>
    </row>
    <row r="592">
      <c r="A592" s="151" t="n">
        <v>46077</v>
      </c>
      <c r="B592" s="70" t="n">
        <v>1545</v>
      </c>
      <c r="C592" s="115" t="inlineStr">
        <is>
          <t>SELİM İNŞAAT</t>
        </is>
      </c>
      <c r="D592" s="115" t="inlineStr">
        <is>
          <t>34 GUS 848</t>
        </is>
      </c>
      <c r="E592" s="115" t="inlineStr">
        <is>
          <t>SERDAR BOZKURT</t>
        </is>
      </c>
      <c r="F592" s="65" t="n">
        <v>231340</v>
      </c>
      <c r="G592" s="152" t="n">
        <v>498</v>
      </c>
      <c r="H592" s="60" t="n"/>
      <c r="I592" s="156">
        <f>+I591+(G592-H592)</f>
        <v/>
      </c>
      <c r="J592" s="60" t="n"/>
      <c r="K592" s="60" t="n"/>
      <c r="L592" s="158">
        <f>+H592*J592</f>
        <v/>
      </c>
      <c r="M592" s="159">
        <f>SUM(M591+K592-L592)</f>
        <v/>
      </c>
      <c r="N592" s="60" t="n"/>
      <c r="O592" s="60" t="n"/>
      <c r="P592" s="60" t="n"/>
      <c r="Q592" s="60" t="n"/>
      <c r="R592" s="60" t="n"/>
      <c r="S592" s="60" t="n"/>
      <c r="T592" s="60" t="n"/>
      <c r="U592" s="60" t="n"/>
      <c r="V592" s="60" t="n"/>
      <c r="W592" s="60" t="n"/>
      <c r="X592" s="60" t="n"/>
      <c r="Y592" s="60" t="n"/>
      <c r="Z592" s="60" t="n"/>
    </row>
    <row r="593">
      <c r="A593" s="151" t="n">
        <v>46077</v>
      </c>
      <c r="B593" s="70" t="n">
        <v>4924</v>
      </c>
      <c r="C593" s="115" t="inlineStr">
        <is>
          <t>SELİM İNŞAAT</t>
        </is>
      </c>
      <c r="D593" s="115" t="inlineStr">
        <is>
          <t>34 FBR 742</t>
        </is>
      </c>
      <c r="E593" s="115" t="inlineStr">
        <is>
          <t>ADNAN KOÇ</t>
        </is>
      </c>
      <c r="F593" s="65" t="n">
        <v>365004</v>
      </c>
      <c r="G593" s="152" t="n">
        <v>416</v>
      </c>
      <c r="H593" s="60" t="n"/>
      <c r="I593" s="156">
        <f>+I592+(G593-H593)</f>
        <v/>
      </c>
      <c r="J593" s="60" t="n"/>
      <c r="K593" s="60" t="n"/>
      <c r="L593" s="158">
        <f>+H593*J593</f>
        <v/>
      </c>
      <c r="M593" s="159">
        <f>SUM(M592+K593-L593)</f>
        <v/>
      </c>
      <c r="N593" s="60" t="n"/>
      <c r="O593" s="60" t="n"/>
      <c r="P593" s="60" t="n"/>
      <c r="Q593" s="60" t="n"/>
      <c r="R593" s="60" t="n"/>
      <c r="S593" s="60" t="n"/>
      <c r="T593" s="60" t="n"/>
      <c r="U593" s="60" t="n"/>
      <c r="V593" s="60" t="n"/>
      <c r="W593" s="60" t="n"/>
      <c r="X593" s="60" t="n"/>
      <c r="Y593" s="60" t="n"/>
      <c r="Z593" s="60" t="n"/>
    </row>
    <row r="594">
      <c r="A594" s="151" t="n">
        <v>46077</v>
      </c>
      <c r="B594" s="70" t="n">
        <v>4874</v>
      </c>
      <c r="C594" s="115" t="inlineStr">
        <is>
          <t>SELİM İNŞAAT</t>
        </is>
      </c>
      <c r="D594" s="115" t="inlineStr">
        <is>
          <t>34 FBR 705</t>
        </is>
      </c>
      <c r="E594" s="115" t="inlineStr">
        <is>
          <t>MURAT SARI</t>
        </is>
      </c>
      <c r="F594" s="65" t="n">
        <v>360720</v>
      </c>
      <c r="G594" s="152" t="n">
        <v>331</v>
      </c>
      <c r="H594" s="60" t="n"/>
      <c r="I594" s="156">
        <f>+I593+(G594-H594)</f>
        <v/>
      </c>
      <c r="J594" s="60" t="n"/>
      <c r="K594" s="60" t="n"/>
      <c r="L594" s="158">
        <f>+H594*J594</f>
        <v/>
      </c>
      <c r="M594" s="159">
        <f>SUM(M593+K594-L594)</f>
        <v/>
      </c>
      <c r="N594" s="60" t="n"/>
      <c r="O594" s="60" t="n"/>
      <c r="P594" s="60" t="n"/>
      <c r="Q594" s="60" t="n"/>
      <c r="R594" s="60" t="n"/>
      <c r="S594" s="60" t="n"/>
      <c r="T594" s="60" t="n"/>
      <c r="U594" s="60" t="n"/>
      <c r="V594" s="60" t="n"/>
      <c r="W594" s="60" t="n"/>
      <c r="X594" s="60" t="n"/>
      <c r="Y594" s="60" t="n"/>
      <c r="Z594" s="60" t="n"/>
    </row>
    <row r="595">
      <c r="A595" s="151" t="n">
        <v>46077</v>
      </c>
      <c r="B595" s="70" t="n">
        <v>3426</v>
      </c>
      <c r="C595" s="115" t="inlineStr">
        <is>
          <t>SELİM İNŞAAT</t>
        </is>
      </c>
      <c r="D595" s="115" t="inlineStr">
        <is>
          <t>34 GVZ 310</t>
        </is>
      </c>
      <c r="E595" s="115" t="inlineStr">
        <is>
          <t>CELAL YÜZBAŞI</t>
        </is>
      </c>
      <c r="F595" s="65" t="n">
        <v>245847</v>
      </c>
      <c r="G595" s="152" t="n">
        <v>389</v>
      </c>
      <c r="H595" s="60" t="n"/>
      <c r="I595" s="156">
        <f>+I594+(G595-H595)</f>
        <v/>
      </c>
      <c r="J595" s="60" t="n"/>
      <c r="K595" s="60" t="n"/>
      <c r="L595" s="158">
        <f>+H595*J595</f>
        <v/>
      </c>
      <c r="M595" s="159">
        <f>SUM(M594+K595-L595)</f>
        <v/>
      </c>
      <c r="N595" s="60" t="n"/>
      <c r="O595" s="60" t="n"/>
      <c r="P595" s="60" t="n"/>
      <c r="Q595" s="60" t="n"/>
      <c r="R595" s="60" t="n"/>
      <c r="S595" s="60" t="n"/>
      <c r="T595" s="60" t="n"/>
      <c r="U595" s="60" t="n"/>
      <c r="V595" s="60" t="n"/>
      <c r="W595" s="60" t="n"/>
      <c r="X595" s="60" t="n"/>
      <c r="Y595" s="60" t="n"/>
      <c r="Z595" s="60" t="n"/>
    </row>
    <row r="596">
      <c r="A596" s="151" t="n">
        <v>46077</v>
      </c>
      <c r="B596" s="70" t="n">
        <v>2298</v>
      </c>
      <c r="C596" s="115" t="inlineStr">
        <is>
          <t>SELİM İNŞAAT</t>
        </is>
      </c>
      <c r="D596" s="115" t="inlineStr">
        <is>
          <t>34 DSN 636</t>
        </is>
      </c>
      <c r="E596" s="115" t="inlineStr">
        <is>
          <t>MAHSUN GÜVEN</t>
        </is>
      </c>
      <c r="F596" s="65" t="n">
        <v>432485</v>
      </c>
      <c r="G596" s="152" t="n">
        <v>403</v>
      </c>
      <c r="H596" s="60" t="n"/>
      <c r="I596" s="156">
        <f>+I595+(G596-H596)</f>
        <v/>
      </c>
      <c r="J596" s="60" t="n"/>
      <c r="K596" s="60" t="n"/>
      <c r="L596" s="158">
        <f>+H596*J596</f>
        <v/>
      </c>
      <c r="M596" s="159">
        <f>SUM(M595+K596-L596)</f>
        <v/>
      </c>
      <c r="N596" s="60" t="n"/>
      <c r="O596" s="60" t="n"/>
      <c r="P596" s="60" t="n"/>
      <c r="Q596" s="60" t="n"/>
      <c r="R596" s="60" t="n"/>
      <c r="S596" s="60" t="n"/>
      <c r="T596" s="60" t="n"/>
      <c r="U596" s="60" t="n"/>
      <c r="V596" s="60" t="n"/>
      <c r="W596" s="60" t="n"/>
      <c r="X596" s="60" t="n"/>
      <c r="Y596" s="60" t="n"/>
      <c r="Z596" s="60" t="n"/>
    </row>
    <row r="597">
      <c r="A597" s="151" t="n">
        <v>46077</v>
      </c>
      <c r="B597" s="70" t="n">
        <v>513</v>
      </c>
      <c r="C597" s="115" t="inlineStr">
        <is>
          <t>SELİM İNŞAAT</t>
        </is>
      </c>
      <c r="D597" s="115" t="inlineStr">
        <is>
          <t>34 EGR 737</t>
        </is>
      </c>
      <c r="E597" s="115" t="inlineStr">
        <is>
          <t>CEM MUHTAR</t>
        </is>
      </c>
      <c r="F597" s="65" t="n">
        <v>459993</v>
      </c>
      <c r="G597" s="152" t="n">
        <v>494</v>
      </c>
      <c r="H597" s="60" t="n"/>
      <c r="I597" s="156">
        <f>+I596+(G597-H597)</f>
        <v/>
      </c>
      <c r="J597" s="60" t="n"/>
      <c r="K597" s="60" t="n"/>
      <c r="L597" s="158">
        <f>+H597*J597</f>
        <v/>
      </c>
      <c r="M597" s="159">
        <f>SUM(M596+K597-L597)</f>
        <v/>
      </c>
      <c r="N597" s="60" t="n"/>
      <c r="O597" s="60" t="n"/>
      <c r="P597" s="60" t="n"/>
      <c r="Q597" s="60" t="n"/>
      <c r="R597" s="60" t="n"/>
      <c r="S597" s="60" t="n"/>
      <c r="T597" s="60" t="n"/>
      <c r="U597" s="60" t="n"/>
      <c r="V597" s="60" t="n"/>
      <c r="W597" s="60" t="n"/>
      <c r="X597" s="60" t="n"/>
      <c r="Y597" s="60" t="n"/>
      <c r="Z597" s="60" t="n"/>
    </row>
    <row r="598">
      <c r="A598" s="151" t="n">
        <v>46077</v>
      </c>
      <c r="B598" s="70" t="n">
        <v>1340</v>
      </c>
      <c r="C598" s="115" t="inlineStr">
        <is>
          <t>SELİM İNŞAAT</t>
        </is>
      </c>
      <c r="D598" s="115" t="inlineStr">
        <is>
          <t>34 GVZ 199</t>
        </is>
      </c>
      <c r="E598" s="115" t="inlineStr">
        <is>
          <t>HÜSEYİN DENİZ</t>
        </is>
      </c>
      <c r="F598" s="65" t="n">
        <v>224930</v>
      </c>
      <c r="G598" s="152" t="n">
        <v>523</v>
      </c>
      <c r="H598" s="60" t="n"/>
      <c r="I598" s="156">
        <f>+I597+(G598-H598)</f>
        <v/>
      </c>
      <c r="J598" s="60" t="n"/>
      <c r="K598" s="60" t="n"/>
      <c r="L598" s="158">
        <f>+H598*J598</f>
        <v/>
      </c>
      <c r="M598" s="159">
        <f>SUM(M597+K598-L598)</f>
        <v/>
      </c>
      <c r="N598" s="60" t="n"/>
      <c r="O598" s="60" t="n"/>
      <c r="P598" s="60" t="n"/>
      <c r="Q598" s="60" t="n"/>
      <c r="R598" s="60" t="n"/>
      <c r="S598" s="60" t="n"/>
      <c r="T598" s="60" t="n"/>
      <c r="U598" s="60" t="n"/>
      <c r="V598" s="60" t="n"/>
      <c r="W598" s="60" t="n"/>
      <c r="X598" s="60" t="n"/>
      <c r="Y598" s="60" t="n"/>
      <c r="Z598" s="60" t="n"/>
    </row>
    <row r="599">
      <c r="A599" s="151" t="n">
        <v>46077</v>
      </c>
      <c r="B599" s="70" t="n">
        <v>4511</v>
      </c>
      <c r="C599" s="115" t="inlineStr">
        <is>
          <t>SELİM İNŞAAT</t>
        </is>
      </c>
      <c r="D599" s="115" t="inlineStr">
        <is>
          <t>34 DTV 352</t>
        </is>
      </c>
      <c r="E599" s="115" t="inlineStr">
        <is>
          <t>AZİZ ORUÇ</t>
        </is>
      </c>
      <c r="F599" s="65" t="n">
        <v>474961</v>
      </c>
      <c r="G599" s="152" t="n">
        <v>421</v>
      </c>
      <c r="H599" s="60" t="n"/>
      <c r="I599" s="156">
        <f>+I598+(G599-H599)</f>
        <v/>
      </c>
      <c r="J599" s="60" t="n"/>
      <c r="K599" s="60" t="n"/>
      <c r="L599" s="158">
        <f>+H599*J599</f>
        <v/>
      </c>
      <c r="M599" s="159">
        <f>SUM(M598+K599-L599)</f>
        <v/>
      </c>
      <c r="N599" s="60" t="n"/>
      <c r="O599" s="60" t="n"/>
      <c r="P599" s="60" t="n"/>
      <c r="Q599" s="60" t="n"/>
      <c r="R599" s="60" t="n"/>
      <c r="S599" s="60" t="n"/>
      <c r="T599" s="60" t="n"/>
      <c r="U599" s="60" t="n"/>
      <c r="V599" s="60" t="n"/>
      <c r="W599" s="60" t="n"/>
      <c r="X599" s="60" t="n"/>
      <c r="Y599" s="60" t="n"/>
      <c r="Z599" s="60" t="n"/>
    </row>
    <row r="600">
      <c r="A600" s="151" t="n">
        <v>46077</v>
      </c>
      <c r="B600" s="70" t="n">
        <v>4114</v>
      </c>
      <c r="C600" s="115" t="inlineStr">
        <is>
          <t>SELİM İNŞAAT</t>
        </is>
      </c>
      <c r="D600" s="115" t="inlineStr">
        <is>
          <t>34 EDB 659</t>
        </is>
      </c>
      <c r="E600" s="115" t="inlineStr">
        <is>
          <t>YASİN ÇATAKLI</t>
        </is>
      </c>
      <c r="F600" s="65" t="n">
        <v>388433</v>
      </c>
      <c r="G600" s="152" t="n">
        <v>414</v>
      </c>
      <c r="H600" s="60" t="n"/>
      <c r="I600" s="156">
        <f>+I599+(G600-H600)</f>
        <v/>
      </c>
      <c r="J600" s="60" t="n"/>
      <c r="K600" s="60" t="n"/>
      <c r="L600" s="158">
        <f>+H600*J600</f>
        <v/>
      </c>
      <c r="M600" s="159">
        <f>SUM(M599+K600-L600)</f>
        <v/>
      </c>
      <c r="N600" s="60" t="n"/>
      <c r="O600" s="60" t="n"/>
      <c r="P600" s="60" t="n"/>
      <c r="Q600" s="60" t="n"/>
      <c r="R600" s="60" t="n"/>
      <c r="S600" s="60" t="n"/>
      <c r="T600" s="60" t="n"/>
      <c r="U600" s="60" t="n"/>
      <c r="V600" s="60" t="n"/>
      <c r="W600" s="60" t="n"/>
      <c r="X600" s="60" t="n"/>
      <c r="Y600" s="60" t="n"/>
      <c r="Z600" s="60" t="n"/>
    </row>
    <row r="601">
      <c r="A601" s="151" t="n">
        <v>46077</v>
      </c>
      <c r="B601" s="70" t="n">
        <v>3329</v>
      </c>
      <c r="C601" s="115" t="inlineStr">
        <is>
          <t>SELİM İNŞAAT</t>
        </is>
      </c>
      <c r="D601" s="115" t="inlineStr">
        <is>
          <t>34 GUS 938</t>
        </is>
      </c>
      <c r="E601" s="115" t="inlineStr">
        <is>
          <t>MEHMET KAYA</t>
        </is>
      </c>
      <c r="F601" s="65" t="n">
        <v>245601</v>
      </c>
      <c r="G601" s="152" t="n">
        <v>400</v>
      </c>
      <c r="H601" s="60" t="n"/>
      <c r="I601" s="156">
        <f>+I600+(G601-H601)</f>
        <v/>
      </c>
      <c r="J601" s="60" t="n"/>
      <c r="K601" s="60" t="n"/>
      <c r="L601" s="158">
        <f>+H601*J601</f>
        <v/>
      </c>
      <c r="M601" s="159">
        <f>SUM(M600+K601-L601)</f>
        <v/>
      </c>
      <c r="N601" s="60" t="n"/>
      <c r="O601" s="60" t="n"/>
      <c r="P601" s="60" t="n"/>
      <c r="Q601" s="60" t="n"/>
      <c r="R601" s="60" t="n"/>
      <c r="S601" s="60" t="n"/>
      <c r="T601" s="60" t="n"/>
      <c r="U601" s="60" t="n"/>
      <c r="V601" s="60" t="n"/>
      <c r="W601" s="60" t="n"/>
      <c r="X601" s="60" t="n"/>
      <c r="Y601" s="60" t="n"/>
      <c r="Z601" s="60" t="n"/>
    </row>
    <row r="602">
      <c r="A602" s="151" t="n">
        <v>46078</v>
      </c>
      <c r="B602" s="70" t="n">
        <v>806</v>
      </c>
      <c r="C602" s="115" t="inlineStr">
        <is>
          <t>METİN ERYİĞİT</t>
        </is>
      </c>
      <c r="D602" s="115" t="inlineStr">
        <is>
          <t>34 GBL 998</t>
        </is>
      </c>
      <c r="E602" s="115" t="inlineStr">
        <is>
          <t>ALİ KESKİN</t>
        </is>
      </c>
      <c r="F602" s="65" t="n"/>
      <c r="G602" s="152" t="n">
        <v>396</v>
      </c>
      <c r="H602" s="60" t="n"/>
      <c r="I602" s="156">
        <f>+I601+(G602-H602)</f>
        <v/>
      </c>
      <c r="J602" s="60" t="n"/>
      <c r="K602" s="60" t="n"/>
      <c r="L602" s="158">
        <f>+H602*J602</f>
        <v/>
      </c>
      <c r="M602" s="159">
        <f>SUM(M601+K602-L602)</f>
        <v/>
      </c>
      <c r="N602" s="60" t="n"/>
      <c r="O602" s="60" t="n"/>
      <c r="P602" s="60" t="n"/>
      <c r="Q602" s="60" t="n"/>
      <c r="R602" s="60" t="n"/>
      <c r="S602" s="60" t="n"/>
      <c r="T602" s="60" t="n"/>
      <c r="U602" s="60" t="n"/>
      <c r="V602" s="60" t="n"/>
      <c r="W602" s="60" t="n"/>
      <c r="X602" s="60" t="n"/>
      <c r="Y602" s="60" t="n"/>
      <c r="Z602" s="60" t="n"/>
    </row>
    <row r="603">
      <c r="A603" s="151" t="n">
        <v>46078</v>
      </c>
      <c r="B603" s="70" t="n">
        <v>3284</v>
      </c>
      <c r="C603" s="115" t="inlineStr">
        <is>
          <t xml:space="preserve">AZGÜN YAPI </t>
        </is>
      </c>
      <c r="D603" s="115" t="inlineStr">
        <is>
          <t>34 DTB 263</t>
        </is>
      </c>
      <c r="E603" s="115" t="inlineStr">
        <is>
          <t>DURSUN ALİ GÜREK</t>
        </is>
      </c>
      <c r="F603" s="65" t="n"/>
      <c r="G603" s="152" t="n">
        <v>449</v>
      </c>
      <c r="H603" s="60" t="n"/>
      <c r="I603" s="156">
        <f>+I602+(G603-H603)</f>
        <v/>
      </c>
      <c r="J603" s="60" t="n"/>
      <c r="K603" s="60" t="n"/>
      <c r="L603" s="158">
        <f>+H603*J603</f>
        <v/>
      </c>
      <c r="M603" s="159">
        <f>SUM(M602+K603-L603)</f>
        <v/>
      </c>
      <c r="N603" s="60" t="n"/>
      <c r="O603" s="60" t="n"/>
      <c r="P603" s="60" t="n"/>
      <c r="Q603" s="60" t="n"/>
      <c r="R603" s="60" t="n"/>
      <c r="S603" s="60" t="n"/>
      <c r="T603" s="60" t="n"/>
      <c r="U603" s="60" t="n"/>
      <c r="V603" s="60" t="n"/>
      <c r="W603" s="60" t="n"/>
      <c r="X603" s="60" t="n"/>
      <c r="Y603" s="60" t="n"/>
      <c r="Z603" s="60" t="n"/>
    </row>
    <row r="604">
      <c r="A604" s="151" t="n">
        <v>46078</v>
      </c>
      <c r="B604" s="70" t="n">
        <v>3288</v>
      </c>
      <c r="C604" s="115" t="inlineStr">
        <is>
          <t xml:space="preserve">AZGÜN YAPI </t>
        </is>
      </c>
      <c r="D604" s="115" t="inlineStr">
        <is>
          <t>34 MKT 859</t>
        </is>
      </c>
      <c r="E604" s="115" t="inlineStr">
        <is>
          <t>İRFAN DAĞLAR</t>
        </is>
      </c>
      <c r="F604" s="65" t="n"/>
      <c r="G604" s="152" t="n">
        <v>265</v>
      </c>
      <c r="H604" s="60" t="n"/>
      <c r="I604" s="156">
        <f>+I603+(G604-H604)</f>
        <v/>
      </c>
      <c r="J604" s="60" t="n"/>
      <c r="K604" s="60" t="n"/>
      <c r="L604" s="158">
        <f>+H604*J604</f>
        <v/>
      </c>
      <c r="M604" s="159">
        <f>SUM(M603+K604-L604)</f>
        <v/>
      </c>
      <c r="N604" s="60" t="n"/>
      <c r="O604" s="60" t="n"/>
      <c r="P604" s="60" t="n"/>
      <c r="Q604" s="60" t="n"/>
      <c r="R604" s="60" t="n"/>
      <c r="S604" s="60" t="n"/>
      <c r="T604" s="60" t="n"/>
      <c r="U604" s="60" t="n"/>
      <c r="V604" s="60" t="n"/>
      <c r="W604" s="60" t="n"/>
      <c r="X604" s="60" t="n"/>
      <c r="Y604" s="60" t="n"/>
      <c r="Z604" s="60" t="n"/>
    </row>
    <row r="605">
      <c r="A605" s="151" t="n">
        <v>46078</v>
      </c>
      <c r="B605" s="70" t="n">
        <v>2540</v>
      </c>
      <c r="C605" s="115" t="inlineStr">
        <is>
          <t xml:space="preserve">AZGÜN YAPI </t>
        </is>
      </c>
      <c r="D605" s="115" t="inlineStr">
        <is>
          <t>34 MKT 593</t>
        </is>
      </c>
      <c r="E605" s="115" t="inlineStr">
        <is>
          <t>TURGUT ÇATAL</t>
        </is>
      </c>
      <c r="F605" s="65" t="n"/>
      <c r="G605" s="152" t="n">
        <v>205</v>
      </c>
      <c r="H605" s="60" t="n"/>
      <c r="I605" s="156">
        <f>+I604+(G605-H605)</f>
        <v/>
      </c>
      <c r="J605" s="60" t="n"/>
      <c r="K605" s="60" t="n"/>
      <c r="L605" s="158">
        <f>+H605*J605</f>
        <v/>
      </c>
      <c r="M605" s="159">
        <f>SUM(M604+K605-L605)</f>
        <v/>
      </c>
      <c r="N605" s="60" t="n"/>
      <c r="O605" s="60" t="n"/>
      <c r="P605" s="60" t="n"/>
      <c r="Q605" s="60" t="n"/>
      <c r="R605" s="60" t="n"/>
      <c r="S605" s="60" t="n"/>
      <c r="T605" s="60" t="n"/>
      <c r="U605" s="60" t="n"/>
      <c r="V605" s="60" t="n"/>
      <c r="W605" s="60" t="n"/>
      <c r="X605" s="60" t="n"/>
      <c r="Y605" s="60" t="n"/>
      <c r="Z605" s="60" t="n"/>
    </row>
    <row r="606">
      <c r="A606" s="151" t="n">
        <v>46078</v>
      </c>
      <c r="B606" s="70" t="n">
        <v>404</v>
      </c>
      <c r="C606" s="115" t="inlineStr">
        <is>
          <t xml:space="preserve">CEVİZ MOBİLYA  </t>
        </is>
      </c>
      <c r="D606" s="115" t="inlineStr">
        <is>
          <t>CEMAL BEY</t>
        </is>
      </c>
      <c r="E606" s="115" t="inlineStr">
        <is>
          <t>ERDAL SESSİZ</t>
        </is>
      </c>
      <c r="F606" s="65" t="n"/>
      <c r="G606" s="152" t="n">
        <v>30</v>
      </c>
      <c r="H606" s="60" t="n"/>
      <c r="I606" s="156">
        <f>+I605+(G606-H606)</f>
        <v/>
      </c>
      <c r="J606" s="60" t="n"/>
      <c r="K606" s="60" t="n"/>
      <c r="L606" s="158">
        <f>+H606*J606</f>
        <v/>
      </c>
      <c r="M606" s="159">
        <f>SUM(M605+K606-L606)</f>
        <v/>
      </c>
      <c r="N606" s="60" t="n"/>
      <c r="O606" s="60" t="n"/>
      <c r="P606" s="60" t="n"/>
      <c r="Q606" s="60" t="n"/>
      <c r="R606" s="60" t="n"/>
      <c r="S606" s="60" t="n"/>
      <c r="T606" s="60" t="n"/>
      <c r="U606" s="60" t="n"/>
      <c r="V606" s="60" t="n"/>
      <c r="W606" s="60" t="n"/>
      <c r="X606" s="60" t="n"/>
      <c r="Y606" s="60" t="n"/>
      <c r="Z606" s="60" t="n"/>
    </row>
    <row r="607">
      <c r="A607" s="151" t="n">
        <v>46078</v>
      </c>
      <c r="B607" s="70" t="n">
        <v>405</v>
      </c>
      <c r="C607" s="115" t="inlineStr">
        <is>
          <t>EVKUR</t>
        </is>
      </c>
      <c r="D607" s="115" t="inlineStr">
        <is>
          <t xml:space="preserve">JCB </t>
        </is>
      </c>
      <c r="E607" s="115" t="inlineStr">
        <is>
          <t>GÜNEŞ BEY</t>
        </is>
      </c>
      <c r="F607" s="65" t="n"/>
      <c r="G607" s="152" t="n">
        <v>80</v>
      </c>
      <c r="H607" s="60" t="n"/>
      <c r="I607" s="156">
        <f>+I606+(G607-H607)</f>
        <v/>
      </c>
      <c r="J607" s="60" t="n"/>
      <c r="K607" s="60" t="n"/>
      <c r="L607" s="158">
        <f>+H607*J607</f>
        <v/>
      </c>
      <c r="M607" s="159">
        <f>SUM(M606+K607-L607)</f>
        <v/>
      </c>
      <c r="N607" s="60" t="n"/>
      <c r="O607" s="60" t="n"/>
      <c r="P607" s="60" t="n"/>
      <c r="Q607" s="60" t="n"/>
      <c r="R607" s="60" t="n"/>
      <c r="S607" s="60" t="n"/>
      <c r="T607" s="60" t="n"/>
      <c r="U607" s="60" t="n"/>
      <c r="V607" s="60" t="n"/>
      <c r="W607" s="60" t="n"/>
      <c r="X607" s="60" t="n"/>
      <c r="Y607" s="60" t="n"/>
      <c r="Z607" s="60" t="n"/>
    </row>
    <row r="608">
      <c r="A608" s="151" t="n">
        <v>46078</v>
      </c>
      <c r="B608" s="70" t="n">
        <v>406</v>
      </c>
      <c r="C608" s="115" t="inlineStr">
        <is>
          <t>MEGA VARLIK</t>
        </is>
      </c>
      <c r="D608" s="115" t="inlineStr">
        <is>
          <t>KAWAZAKI</t>
        </is>
      </c>
      <c r="E608" s="115" t="inlineStr">
        <is>
          <t>RAMAZAN</t>
        </is>
      </c>
      <c r="F608" s="65" t="n"/>
      <c r="G608" s="152" t="n">
        <v>166</v>
      </c>
      <c r="H608" s="60" t="n"/>
      <c r="I608" s="156">
        <f>+I607+(G608-H608)</f>
        <v/>
      </c>
      <c r="J608" s="60" t="n"/>
      <c r="K608" s="60" t="n"/>
      <c r="L608" s="158">
        <f>+H608*J608</f>
        <v/>
      </c>
      <c r="M608" s="159">
        <f>SUM(M607+K608-L608)</f>
        <v/>
      </c>
      <c r="N608" s="60" t="n"/>
      <c r="O608" s="60" t="n"/>
      <c r="P608" s="60" t="n"/>
      <c r="Q608" s="60" t="n"/>
      <c r="R608" s="60" t="n"/>
      <c r="S608" s="60" t="n"/>
      <c r="T608" s="60" t="n"/>
      <c r="U608" s="60" t="n"/>
      <c r="V608" s="60" t="n"/>
      <c r="W608" s="60" t="n"/>
      <c r="X608" s="60" t="n"/>
      <c r="Y608" s="60" t="n"/>
      <c r="Z608" s="60" t="n"/>
    </row>
    <row r="609">
      <c r="A609" s="151" t="n">
        <v>46078</v>
      </c>
      <c r="B609" s="70" t="n">
        <v>407</v>
      </c>
      <c r="C609" s="115" t="inlineStr">
        <is>
          <t>MEGA VARLIK</t>
        </is>
      </c>
      <c r="D609" s="115" t="inlineStr">
        <is>
          <t xml:space="preserve">SM350 </t>
        </is>
      </c>
      <c r="E609" s="115" t="inlineStr">
        <is>
          <t xml:space="preserve">MİKAİL BAYILMAZ </t>
        </is>
      </c>
      <c r="F609" s="65" t="n"/>
      <c r="G609" s="152" t="n">
        <v>354</v>
      </c>
      <c r="H609" s="60" t="n"/>
      <c r="I609" s="156">
        <f>+I608+(G609-H609)</f>
        <v/>
      </c>
      <c r="J609" s="60" t="n"/>
      <c r="K609" s="60" t="n"/>
      <c r="L609" s="158">
        <f>+H609*J609</f>
        <v/>
      </c>
      <c r="M609" s="159">
        <f>SUM(M608+K609-L609)</f>
        <v/>
      </c>
      <c r="N609" s="60" t="n"/>
      <c r="O609" s="60" t="n"/>
      <c r="P609" s="60" t="n"/>
      <c r="Q609" s="60" t="n"/>
      <c r="R609" s="60" t="n"/>
      <c r="S609" s="60" t="n"/>
      <c r="T609" s="60" t="n"/>
      <c r="U609" s="60" t="n"/>
      <c r="V609" s="60" t="n"/>
      <c r="W609" s="60" t="n"/>
      <c r="X609" s="60" t="n"/>
      <c r="Y609" s="60" t="n"/>
      <c r="Z609" s="60" t="n"/>
    </row>
    <row r="610">
      <c r="A610" s="151" t="n">
        <v>46078</v>
      </c>
      <c r="B610" s="70" t="n">
        <v>408</v>
      </c>
      <c r="C610" s="115" t="inlineStr">
        <is>
          <t>MEGA VARLIK</t>
        </is>
      </c>
      <c r="D610" s="115" t="inlineStr">
        <is>
          <t xml:space="preserve">SM350 </t>
        </is>
      </c>
      <c r="E610" s="115" t="inlineStr">
        <is>
          <t>TEVFİK ÖZTÜRK</t>
        </is>
      </c>
      <c r="F610" s="65" t="n"/>
      <c r="G610" s="152" t="n">
        <v>248</v>
      </c>
      <c r="H610" s="60" t="n"/>
      <c r="I610" s="156">
        <f>+I609+(G610-H610)</f>
        <v/>
      </c>
      <c r="J610" s="60" t="n"/>
      <c r="K610" s="60" t="n"/>
      <c r="L610" s="158">
        <f>+H610*J610</f>
        <v/>
      </c>
      <c r="M610" s="159">
        <f>SUM(M609+K610-L610)</f>
        <v/>
      </c>
      <c r="N610" s="60" t="n"/>
      <c r="O610" s="60" t="n"/>
      <c r="P610" s="60" t="n"/>
      <c r="Q610" s="60" t="n"/>
      <c r="R610" s="60" t="n"/>
      <c r="S610" s="60" t="n"/>
      <c r="T610" s="60" t="n"/>
      <c r="U610" s="60" t="n"/>
      <c r="V610" s="60" t="n"/>
      <c r="W610" s="60" t="n"/>
      <c r="X610" s="60" t="n"/>
      <c r="Y610" s="60" t="n"/>
      <c r="Z610" s="60" t="n"/>
    </row>
    <row r="611">
      <c r="A611" s="151" t="n">
        <v>46078</v>
      </c>
      <c r="B611" s="70" t="n">
        <v>609</v>
      </c>
      <c r="C611" s="115" t="n"/>
      <c r="D611" s="115" t="inlineStr">
        <is>
          <t>34 TB 926</t>
        </is>
      </c>
      <c r="E611" s="115" t="inlineStr">
        <is>
          <t>ENES SELİM</t>
        </is>
      </c>
      <c r="F611" s="65" t="n"/>
      <c r="G611" s="152" t="n">
        <v>250</v>
      </c>
      <c r="H611" s="60" t="n"/>
      <c r="I611" s="156">
        <f>+I610+(G611-H611)</f>
        <v/>
      </c>
      <c r="J611" s="60" t="n"/>
      <c r="K611" s="60" t="n"/>
      <c r="L611" s="158">
        <f>+H611*J611</f>
        <v/>
      </c>
      <c r="M611" s="159">
        <f>SUM(M610+K611-L611)</f>
        <v/>
      </c>
      <c r="N611" s="60" t="n"/>
      <c r="O611" s="60" t="n"/>
      <c r="P611" s="60" t="n"/>
      <c r="Q611" s="60" t="n"/>
      <c r="R611" s="60" t="n"/>
      <c r="S611" s="60" t="n"/>
      <c r="T611" s="60" t="n"/>
      <c r="U611" s="60" t="n"/>
      <c r="V611" s="60" t="n"/>
      <c r="W611" s="60" t="n"/>
      <c r="X611" s="60" t="n"/>
      <c r="Y611" s="60" t="n"/>
      <c r="Z611" s="60" t="n"/>
    </row>
    <row r="612">
      <c r="A612" s="151" t="n">
        <v>46078</v>
      </c>
      <c r="B612" s="70" t="n">
        <v>610</v>
      </c>
      <c r="C612" s="115" t="inlineStr">
        <is>
          <t>AHMET SELİM TEMHA</t>
        </is>
      </c>
      <c r="D612" s="115" t="inlineStr">
        <is>
          <t>FORKLİFT</t>
        </is>
      </c>
      <c r="E612" s="115" t="n"/>
      <c r="F612" s="65" t="n"/>
      <c r="G612" s="152" t="n">
        <v>50</v>
      </c>
      <c r="H612" s="60" t="n"/>
      <c r="I612" s="156">
        <f>+I611+(G612-H612)</f>
        <v/>
      </c>
      <c r="J612" s="60" t="n"/>
      <c r="K612" s="60" t="n"/>
      <c r="L612" s="158">
        <f>+H612*J612</f>
        <v/>
      </c>
      <c r="M612" s="159">
        <f>SUM(M611+K612-L612)</f>
        <v/>
      </c>
      <c r="N612" s="60" t="n"/>
      <c r="O612" s="60" t="n"/>
      <c r="P612" s="60" t="n"/>
      <c r="Q612" s="60" t="n"/>
      <c r="R612" s="60" t="n"/>
      <c r="S612" s="60" t="n"/>
      <c r="T612" s="60" t="n"/>
      <c r="U612" s="60" t="n"/>
      <c r="V612" s="60" t="n"/>
      <c r="W612" s="60" t="n"/>
      <c r="X612" s="60" t="n"/>
      <c r="Y612" s="60" t="n"/>
      <c r="Z612" s="60" t="n"/>
    </row>
    <row r="613">
      <c r="A613" s="151" t="n">
        <v>46078</v>
      </c>
      <c r="B613" s="70" t="n">
        <v>611</v>
      </c>
      <c r="C613" s="115" t="inlineStr">
        <is>
          <t>AHMET SELİM TEMHA</t>
        </is>
      </c>
      <c r="D613" s="115" t="inlineStr">
        <is>
          <t>FORKLİFT</t>
        </is>
      </c>
      <c r="E613" s="115" t="inlineStr">
        <is>
          <t>SIVACI İSMAİL</t>
        </is>
      </c>
      <c r="F613" s="65" t="n"/>
      <c r="G613" s="152" t="n">
        <v>46</v>
      </c>
      <c r="H613" s="60" t="n"/>
      <c r="I613" s="156">
        <f>+I612+(G613-H613)</f>
        <v/>
      </c>
      <c r="J613" s="60" t="n"/>
      <c r="K613" s="60" t="n"/>
      <c r="L613" s="158">
        <f>+H613*J613</f>
        <v/>
      </c>
      <c r="M613" s="159">
        <f>SUM(M612+K613-L613)</f>
        <v/>
      </c>
      <c r="N613" s="60" t="n"/>
      <c r="O613" s="60" t="n"/>
      <c r="P613" s="60" t="n"/>
      <c r="Q613" s="60" t="n"/>
      <c r="R613" s="60" t="n"/>
      <c r="S613" s="60" t="n"/>
      <c r="T613" s="60" t="n"/>
      <c r="U613" s="60" t="n"/>
      <c r="V613" s="60" t="n"/>
      <c r="W613" s="60" t="n"/>
      <c r="X613" s="60" t="n"/>
      <c r="Y613" s="60" t="n"/>
      <c r="Z613" s="60" t="n"/>
    </row>
    <row r="614">
      <c r="A614" s="151" t="n">
        <v>46078</v>
      </c>
      <c r="B614" s="70" t="n">
        <v>612</v>
      </c>
      <c r="C614" s="115" t="inlineStr">
        <is>
          <t>SELİM İNŞAAT</t>
        </is>
      </c>
      <c r="D614" s="115" t="inlineStr">
        <is>
          <t>34 BUR 461</t>
        </is>
      </c>
      <c r="E614" s="115" t="inlineStr">
        <is>
          <t xml:space="preserve">MUSTAFA ALBAYRAK </t>
        </is>
      </c>
      <c r="F614" s="65" t="n"/>
      <c r="G614" s="152" t="n">
        <v>46</v>
      </c>
      <c r="H614" s="60" t="n"/>
      <c r="I614" s="156">
        <f>+I613+(G614-H614)</f>
        <v/>
      </c>
      <c r="J614" s="60" t="n"/>
      <c r="K614" s="60" t="n"/>
      <c r="L614" s="158">
        <f>+H614*J614</f>
        <v/>
      </c>
      <c r="M614" s="159">
        <f>SUM(M613+K614-L614)</f>
        <v/>
      </c>
      <c r="N614" s="60" t="n"/>
      <c r="O614" s="60" t="n"/>
      <c r="P614" s="60" t="n"/>
      <c r="Q614" s="60" t="n"/>
      <c r="R614" s="60" t="n"/>
      <c r="S614" s="60" t="n"/>
      <c r="T614" s="60" t="n"/>
      <c r="U614" s="60" t="n"/>
      <c r="V614" s="60" t="n"/>
      <c r="W614" s="60" t="n"/>
      <c r="X614" s="60" t="n"/>
      <c r="Y614" s="60" t="n"/>
      <c r="Z614" s="60" t="n"/>
    </row>
    <row r="615">
      <c r="A615" s="151" t="n">
        <v>46078</v>
      </c>
      <c r="B615" s="70" t="n">
        <v>613</v>
      </c>
      <c r="C615" s="115" t="inlineStr">
        <is>
          <t>RECEP SELİM OTOKURTARICI</t>
        </is>
      </c>
      <c r="D615" s="115" t="inlineStr">
        <is>
          <t>34 GC 4658</t>
        </is>
      </c>
      <c r="E615" s="115" t="inlineStr">
        <is>
          <t>RECEP SELİM</t>
        </is>
      </c>
      <c r="F615" s="65" t="n"/>
      <c r="G615" s="152" t="n">
        <v>64</v>
      </c>
      <c r="H615" s="60" t="n"/>
      <c r="I615" s="156">
        <f>+I614+(G615-H615)</f>
        <v/>
      </c>
      <c r="J615" s="60" t="n"/>
      <c r="K615" s="60" t="n"/>
      <c r="L615" s="158">
        <f>+H615*J615</f>
        <v/>
      </c>
      <c r="M615" s="159">
        <f>SUM(M614+K615-L615)</f>
        <v/>
      </c>
      <c r="N615" s="60" t="n"/>
      <c r="O615" s="60" t="n"/>
      <c r="P615" s="60" t="n"/>
      <c r="Q615" s="60" t="n"/>
      <c r="R615" s="60" t="n"/>
      <c r="S615" s="60" t="n"/>
      <c r="T615" s="60" t="n"/>
      <c r="U615" s="60" t="n"/>
      <c r="V615" s="60" t="n"/>
      <c r="W615" s="60" t="n"/>
      <c r="X615" s="60" t="n"/>
      <c r="Y615" s="60" t="n"/>
      <c r="Z615" s="60" t="n"/>
    </row>
    <row r="616">
      <c r="A616" s="151" t="n">
        <v>46078</v>
      </c>
      <c r="B616" s="70" t="n">
        <v>4818</v>
      </c>
      <c r="C616" s="115" t="inlineStr">
        <is>
          <t>SELİM İNŞAAT</t>
        </is>
      </c>
      <c r="D616" s="115" t="inlineStr">
        <is>
          <t>34 EDB 559</t>
        </is>
      </c>
      <c r="E616" s="115" t="inlineStr">
        <is>
          <t>ÇAĞDAŞ YÜCESAN</t>
        </is>
      </c>
      <c r="F616" s="65" t="n">
        <v>363248</v>
      </c>
      <c r="G616" s="152" t="n">
        <v>450</v>
      </c>
      <c r="H616" s="60" t="n"/>
      <c r="I616" s="156">
        <f>+I615+(G616-H616)</f>
        <v/>
      </c>
      <c r="J616" s="60" t="n"/>
      <c r="K616" s="60" t="n"/>
      <c r="L616" s="158">
        <f>+H616*J616</f>
        <v/>
      </c>
      <c r="M616" s="159">
        <f>SUM(M615+K616-L616)</f>
        <v/>
      </c>
      <c r="N616" s="60" t="n"/>
      <c r="O616" s="60" t="n"/>
      <c r="P616" s="60" t="n"/>
      <c r="Q616" s="60" t="n"/>
      <c r="R616" s="60" t="n"/>
      <c r="S616" s="60" t="n"/>
      <c r="T616" s="60" t="n"/>
      <c r="U616" s="60" t="n"/>
      <c r="V616" s="60" t="n"/>
      <c r="W616" s="60" t="n"/>
      <c r="X616" s="60" t="n"/>
      <c r="Y616" s="60" t="n"/>
      <c r="Z616" s="60" t="n"/>
    </row>
    <row r="617">
      <c r="A617" s="151" t="n">
        <v>46078</v>
      </c>
      <c r="B617" s="70" t="n">
        <v>3487</v>
      </c>
      <c r="C617" s="115" t="inlineStr">
        <is>
          <t>SELİM İNŞAAT</t>
        </is>
      </c>
      <c r="D617" s="115" t="inlineStr">
        <is>
          <t>34 EDB 754</t>
        </is>
      </c>
      <c r="E617" s="115" t="inlineStr">
        <is>
          <t>MUSTAFA KAYA</t>
        </is>
      </c>
      <c r="F617" s="65" t="n">
        <v>371356</v>
      </c>
      <c r="G617" s="152" t="n">
        <v>388</v>
      </c>
      <c r="H617" s="60" t="n"/>
      <c r="I617" s="156">
        <f>+I616+(G617-H617)</f>
        <v/>
      </c>
      <c r="J617" s="60" t="n"/>
      <c r="K617" s="60" t="n"/>
      <c r="L617" s="158">
        <f>+H617*J617</f>
        <v/>
      </c>
      <c r="M617" s="159">
        <f>SUM(M616+K617-L617)</f>
        <v/>
      </c>
      <c r="N617" s="60" t="n"/>
      <c r="O617" s="60" t="n"/>
      <c r="P617" s="60" t="n"/>
      <c r="Q617" s="60" t="n"/>
      <c r="R617" s="60" t="n"/>
      <c r="S617" s="60" t="n"/>
      <c r="T617" s="60" t="n"/>
      <c r="U617" s="60" t="n"/>
      <c r="V617" s="60" t="n"/>
      <c r="W617" s="60" t="n"/>
      <c r="X617" s="60" t="n"/>
      <c r="Y617" s="60" t="n"/>
      <c r="Z617" s="60" t="n"/>
    </row>
    <row r="618">
      <c r="A618" s="151" t="n">
        <v>46078</v>
      </c>
      <c r="B618" s="70" t="n">
        <v>4925</v>
      </c>
      <c r="C618" s="115" t="inlineStr">
        <is>
          <t>SELİM İNŞAAT</t>
        </is>
      </c>
      <c r="D618" s="115" t="inlineStr">
        <is>
          <t>34 FBR 742</t>
        </is>
      </c>
      <c r="E618" s="115" t="inlineStr">
        <is>
          <t>ADNAN KOÇ</t>
        </is>
      </c>
      <c r="F618" s="65" t="n">
        <v>365568</v>
      </c>
      <c r="G618" s="152" t="n">
        <v>334</v>
      </c>
      <c r="H618" s="60" t="n"/>
      <c r="I618" s="156">
        <f>+I617+(G618-H618)</f>
        <v/>
      </c>
      <c r="J618" s="60" t="n"/>
      <c r="K618" s="60" t="n"/>
      <c r="L618" s="158">
        <f>+H618*J618</f>
        <v/>
      </c>
      <c r="M618" s="159">
        <f>SUM(M617+K618-L618)</f>
        <v/>
      </c>
      <c r="N618" s="60" t="n"/>
      <c r="O618" s="60" t="n"/>
      <c r="P618" s="60" t="n"/>
      <c r="Q618" s="60" t="n"/>
      <c r="R618" s="60" t="n"/>
      <c r="S618" s="60" t="n"/>
      <c r="T618" s="60" t="n"/>
      <c r="U618" s="60" t="n"/>
      <c r="V618" s="60" t="n"/>
      <c r="W618" s="60" t="n"/>
      <c r="X618" s="60" t="n"/>
      <c r="Y618" s="60" t="n"/>
      <c r="Z618" s="60" t="n"/>
    </row>
    <row r="619">
      <c r="A619" s="151" t="n">
        <v>46078</v>
      </c>
      <c r="B619" s="70" t="n">
        <v>3223</v>
      </c>
      <c r="C619" s="115" t="inlineStr">
        <is>
          <t>SELİM İNŞAAT</t>
        </is>
      </c>
      <c r="D619" s="115" t="inlineStr">
        <is>
          <t>34 EGR 736</t>
        </is>
      </c>
      <c r="E619" s="115" t="inlineStr">
        <is>
          <t>HAKAN ÇAVUŞOĞLU</t>
        </is>
      </c>
      <c r="F619" s="65" t="n">
        <v>438023</v>
      </c>
      <c r="G619" s="152" t="n">
        <v>426</v>
      </c>
      <c r="H619" s="60" t="n"/>
      <c r="I619" s="156">
        <f>+I618+(G619-H619)</f>
        <v/>
      </c>
      <c r="J619" s="60" t="n"/>
      <c r="K619" s="60" t="n"/>
      <c r="L619" s="158">
        <f>+H619*J619</f>
        <v/>
      </c>
      <c r="M619" s="159">
        <f>SUM(M618+K619-L619)</f>
        <v/>
      </c>
      <c r="N619" s="60" t="n"/>
      <c r="O619" s="60" t="n"/>
      <c r="P619" s="60" t="n"/>
      <c r="Q619" s="60" t="n"/>
      <c r="R619" s="60" t="n"/>
      <c r="S619" s="60" t="n"/>
      <c r="T619" s="60" t="n"/>
      <c r="U619" s="60" t="n"/>
      <c r="V619" s="60" t="n"/>
      <c r="W619" s="60" t="n"/>
      <c r="X619" s="60" t="n"/>
      <c r="Y619" s="60" t="n"/>
      <c r="Z619" s="60" t="n"/>
    </row>
    <row r="620">
      <c r="A620" s="151" t="n">
        <v>46078</v>
      </c>
      <c r="B620" s="70" t="n">
        <v>3830</v>
      </c>
      <c r="C620" s="115" t="inlineStr">
        <is>
          <t>SELİM İNŞAAT</t>
        </is>
      </c>
      <c r="D620" s="115" t="inlineStr">
        <is>
          <t>34 GYZ 635</t>
        </is>
      </c>
      <c r="E620" s="115" t="inlineStr">
        <is>
          <t>ADEM DENİZ</t>
        </is>
      </c>
      <c r="F620" s="65" t="n">
        <v>225807</v>
      </c>
      <c r="G620" s="152" t="n">
        <v>444</v>
      </c>
      <c r="H620" s="60" t="n"/>
      <c r="I620" s="156">
        <f>+I619+(G620-H620)</f>
        <v/>
      </c>
      <c r="J620" s="60" t="n"/>
      <c r="K620" s="60" t="n"/>
      <c r="L620" s="158">
        <f>+H620*J620</f>
        <v/>
      </c>
      <c r="M620" s="159">
        <f>SUM(M619+K620-L620)</f>
        <v/>
      </c>
      <c r="N620" s="60" t="n"/>
      <c r="O620" s="60" t="n"/>
      <c r="P620" s="60" t="n"/>
      <c r="Q620" s="60" t="n"/>
      <c r="R620" s="60" t="n"/>
      <c r="S620" s="60" t="n"/>
      <c r="T620" s="60" t="n"/>
      <c r="U620" s="60" t="n"/>
      <c r="V620" s="60" t="n"/>
      <c r="W620" s="60" t="n"/>
      <c r="X620" s="60" t="n"/>
      <c r="Y620" s="60" t="n"/>
      <c r="Z620" s="60" t="n"/>
    </row>
    <row r="621">
      <c r="A621" s="151" t="n">
        <v>46078</v>
      </c>
      <c r="B621" s="70" t="n">
        <v>904</v>
      </c>
      <c r="C621" s="115" t="inlineStr">
        <is>
          <t>SELİM İNŞAAT</t>
        </is>
      </c>
      <c r="D621" s="115" t="inlineStr">
        <is>
          <t>34 FSG 229</t>
        </is>
      </c>
      <c r="E621" s="115" t="inlineStr">
        <is>
          <t>SİNAN TANRIVERDİ</t>
        </is>
      </c>
      <c r="F621" s="65" t="n">
        <v>299016</v>
      </c>
      <c r="G621" s="152" t="n">
        <v>451</v>
      </c>
      <c r="H621" s="60" t="n"/>
      <c r="I621" s="156">
        <f>+I620+(G621-H621)</f>
        <v/>
      </c>
      <c r="J621" s="60" t="n"/>
      <c r="K621" s="60" t="n"/>
      <c r="L621" s="158">
        <f>+H621*J621</f>
        <v/>
      </c>
      <c r="M621" s="159">
        <f>SUM(M620+K621-L621)</f>
        <v/>
      </c>
      <c r="N621" s="60" t="n"/>
      <c r="O621" s="60" t="n"/>
      <c r="P621" s="60" t="n"/>
      <c r="Q621" s="60" t="n"/>
      <c r="R621" s="60" t="n"/>
      <c r="S621" s="60" t="n"/>
      <c r="T621" s="60" t="n"/>
      <c r="U621" s="60" t="n"/>
      <c r="V621" s="60" t="n"/>
      <c r="W621" s="60" t="n"/>
      <c r="X621" s="60" t="n"/>
      <c r="Y621" s="60" t="n"/>
      <c r="Z621" s="60" t="n"/>
    </row>
    <row r="622">
      <c r="A622" s="151" t="n">
        <v>46078</v>
      </c>
      <c r="B622" s="70" t="n">
        <v>4969</v>
      </c>
      <c r="C622" s="115" t="inlineStr">
        <is>
          <t>SELİM İNŞAAT</t>
        </is>
      </c>
      <c r="D622" s="115" t="inlineStr">
        <is>
          <t xml:space="preserve">34 GVZ 745 </t>
        </is>
      </c>
      <c r="E622" s="115" t="inlineStr">
        <is>
          <t>MURAT DEMİRBAĞ</t>
        </is>
      </c>
      <c r="F622" s="65" t="n">
        <v>245553</v>
      </c>
      <c r="G622" s="152" t="n">
        <v>258</v>
      </c>
      <c r="H622" s="60" t="n"/>
      <c r="I622" s="156">
        <f>+I621+(G622-H622)</f>
        <v/>
      </c>
      <c r="J622" s="60" t="n"/>
      <c r="K622" s="60" t="n"/>
      <c r="L622" s="158">
        <f>+H622*J622</f>
        <v/>
      </c>
      <c r="M622" s="159">
        <f>SUM(M621+K622-L622)</f>
        <v/>
      </c>
      <c r="N622" s="60" t="n"/>
      <c r="O622" s="60" t="n"/>
      <c r="P622" s="60" t="n"/>
      <c r="Q622" s="60" t="n"/>
      <c r="R622" s="60" t="n"/>
      <c r="S622" s="60" t="n"/>
      <c r="T622" s="60" t="n"/>
      <c r="U622" s="60" t="n"/>
      <c r="V622" s="60" t="n"/>
      <c r="W622" s="60" t="n"/>
      <c r="X622" s="60" t="n"/>
      <c r="Y622" s="60" t="n"/>
      <c r="Z622" s="60" t="n"/>
    </row>
    <row r="623">
      <c r="A623" s="151" t="n">
        <v>46078</v>
      </c>
      <c r="B623" s="70" t="n">
        <v>10</v>
      </c>
      <c r="C623" s="115" t="inlineStr">
        <is>
          <t>SELİM İNŞAAT</t>
        </is>
      </c>
      <c r="D623" s="115" t="inlineStr">
        <is>
          <t xml:space="preserve">34 GVZ 268 </t>
        </is>
      </c>
      <c r="E623" s="115" t="inlineStr">
        <is>
          <t>KERİM KARAMAN</t>
        </is>
      </c>
      <c r="F623" s="65" t="n">
        <v>250175</v>
      </c>
      <c r="G623" s="152" t="n">
        <v>385</v>
      </c>
      <c r="H623" s="60" t="n"/>
      <c r="I623" s="156">
        <f>+I622+(G623-H623)</f>
        <v/>
      </c>
      <c r="J623" s="60" t="n"/>
      <c r="K623" s="60" t="n"/>
      <c r="L623" s="158">
        <f>+H623*J623</f>
        <v/>
      </c>
      <c r="M623" s="159">
        <f>SUM(M622+K623-L623)</f>
        <v/>
      </c>
      <c r="N623" s="60" t="n"/>
      <c r="O623" s="60" t="n"/>
      <c r="P623" s="60" t="n"/>
      <c r="Q623" s="60" t="n"/>
      <c r="R623" s="60" t="n"/>
      <c r="S623" s="60" t="n"/>
      <c r="T623" s="60" t="n"/>
      <c r="U623" s="60" t="n"/>
      <c r="V623" s="60" t="n"/>
      <c r="W623" s="60" t="n"/>
      <c r="X623" s="60" t="n"/>
      <c r="Y623" s="60" t="n"/>
      <c r="Z623" s="60" t="n"/>
    </row>
    <row r="624">
      <c r="A624" s="151" t="n">
        <v>46078</v>
      </c>
      <c r="B624" s="70" t="n">
        <v>2794</v>
      </c>
      <c r="C624" s="115" t="inlineStr">
        <is>
          <t>SELİM İNŞAAT</t>
        </is>
      </c>
      <c r="D624" s="115" t="inlineStr">
        <is>
          <t>34 EDC 086</t>
        </is>
      </c>
      <c r="E624" s="115" t="inlineStr">
        <is>
          <t>SEZGİN KOCAGİL</t>
        </is>
      </c>
      <c r="F624" s="65" t="n">
        <v>375698</v>
      </c>
      <c r="G624" s="152" t="n">
        <v>339</v>
      </c>
      <c r="H624" s="60" t="n"/>
      <c r="I624" s="156">
        <f>+I623+(G624-H624)</f>
        <v/>
      </c>
      <c r="J624" s="60" t="n"/>
      <c r="K624" s="60" t="n"/>
      <c r="L624" s="158">
        <f>+H624*J624</f>
        <v/>
      </c>
      <c r="M624" s="159">
        <f>SUM(M623+K624-L624)</f>
        <v/>
      </c>
      <c r="N624" s="60" t="n"/>
      <c r="O624" s="60" t="n"/>
      <c r="P624" s="60" t="n"/>
      <c r="Q624" s="60" t="n"/>
      <c r="R624" s="60" t="n"/>
      <c r="S624" s="60" t="n"/>
      <c r="T624" s="60" t="n"/>
      <c r="U624" s="60" t="n"/>
      <c r="V624" s="60" t="n"/>
      <c r="W624" s="60" t="n"/>
      <c r="X624" s="60" t="n"/>
      <c r="Y624" s="60" t="n"/>
      <c r="Z624" s="60" t="n"/>
    </row>
    <row r="625">
      <c r="A625" s="151" t="n">
        <v>46079</v>
      </c>
      <c r="B625" s="70" t="n">
        <v>751</v>
      </c>
      <c r="C625" s="115" t="inlineStr">
        <is>
          <t>METİN ERYİĞİT</t>
        </is>
      </c>
      <c r="D625" s="115" t="inlineStr">
        <is>
          <t>34 EGR 814</t>
        </is>
      </c>
      <c r="E625" s="115" t="inlineStr">
        <is>
          <t xml:space="preserve">ZİYA İNCE </t>
        </is>
      </c>
      <c r="F625" s="65" t="n"/>
      <c r="G625" s="152" t="n">
        <v>357</v>
      </c>
      <c r="H625" s="60" t="n"/>
      <c r="I625" s="156">
        <f>+I624+(G625-H625)</f>
        <v/>
      </c>
      <c r="J625" s="60" t="n"/>
      <c r="K625" s="60" t="n"/>
      <c r="L625" s="158">
        <f>+H625*J625</f>
        <v/>
      </c>
      <c r="M625" s="159">
        <f>SUM(M624+K625-L625)</f>
        <v/>
      </c>
      <c r="N625" s="60" t="n"/>
      <c r="O625" s="60" t="n"/>
      <c r="P625" s="60" t="n"/>
      <c r="Q625" s="60" t="n"/>
      <c r="R625" s="60" t="n"/>
      <c r="S625" s="60" t="n"/>
      <c r="T625" s="60" t="n"/>
      <c r="U625" s="60" t="n"/>
      <c r="V625" s="60" t="n"/>
      <c r="W625" s="60" t="n"/>
      <c r="X625" s="60" t="n"/>
      <c r="Y625" s="60" t="n"/>
      <c r="Z625" s="60" t="n"/>
    </row>
    <row r="626">
      <c r="A626" s="151" t="n">
        <v>46079</v>
      </c>
      <c r="B626" s="70" t="n">
        <v>711</v>
      </c>
      <c r="C626" s="115" t="inlineStr">
        <is>
          <t>METİN ERYİĞİT</t>
        </is>
      </c>
      <c r="D626" s="115" t="inlineStr">
        <is>
          <t>34 EGS 013</t>
        </is>
      </c>
      <c r="E626" s="115" t="inlineStr">
        <is>
          <t>UĞUR DUMAN</t>
        </is>
      </c>
      <c r="F626" s="65" t="n"/>
      <c r="G626" s="152" t="n">
        <v>490</v>
      </c>
      <c r="H626" s="60" t="n"/>
      <c r="I626" s="156">
        <f>+I625+(G626-H626)</f>
        <v/>
      </c>
      <c r="J626" s="60" t="n"/>
      <c r="K626" s="60" t="n"/>
      <c r="L626" s="158">
        <f>+H626*J626</f>
        <v/>
      </c>
      <c r="M626" s="159">
        <f>SUM(M625+K626-L626)</f>
        <v/>
      </c>
      <c r="N626" s="60" t="n"/>
      <c r="O626" s="60" t="n"/>
      <c r="P626" s="60" t="n"/>
      <c r="Q626" s="60" t="n"/>
      <c r="R626" s="60" t="n"/>
      <c r="S626" s="60" t="n"/>
      <c r="T626" s="60" t="n"/>
      <c r="U626" s="60" t="n"/>
      <c r="V626" s="60" t="n"/>
      <c r="W626" s="60" t="n"/>
      <c r="X626" s="60" t="n"/>
      <c r="Y626" s="60" t="n"/>
      <c r="Z626" s="60" t="n"/>
    </row>
    <row r="627">
      <c r="A627" s="151" t="n">
        <v>46079</v>
      </c>
      <c r="B627" s="70" t="n">
        <v>3289</v>
      </c>
      <c r="C627" s="115" t="inlineStr">
        <is>
          <t xml:space="preserve">AZGÜN YAPI </t>
        </is>
      </c>
      <c r="D627" s="115" t="inlineStr">
        <is>
          <t>34 MKT 859</t>
        </is>
      </c>
      <c r="E627" s="115" t="inlineStr">
        <is>
          <t>İRFAN DAĞLAR</t>
        </is>
      </c>
      <c r="F627" s="65" t="n"/>
      <c r="G627" s="152" t="n">
        <v>595</v>
      </c>
      <c r="H627" s="60" t="n"/>
      <c r="I627" s="156">
        <f>+I626+(G627-H627)</f>
        <v/>
      </c>
      <c r="J627" s="60" t="n"/>
      <c r="K627" s="60" t="n"/>
      <c r="L627" s="158">
        <f>+H627*J627</f>
        <v/>
      </c>
      <c r="M627" s="159">
        <f>SUM(M626+K627-L627)</f>
        <v/>
      </c>
      <c r="N627" s="60" t="n"/>
      <c r="O627" s="60" t="n"/>
      <c r="P627" s="60" t="n"/>
      <c r="Q627" s="60" t="n"/>
      <c r="R627" s="60" t="n"/>
      <c r="S627" s="60" t="n"/>
      <c r="T627" s="60" t="n"/>
      <c r="U627" s="60" t="n"/>
      <c r="V627" s="60" t="n"/>
      <c r="W627" s="60" t="n"/>
      <c r="X627" s="60" t="n"/>
      <c r="Y627" s="60" t="n"/>
      <c r="Z627" s="60" t="n"/>
    </row>
    <row r="628">
      <c r="A628" s="151" t="n">
        <v>46079</v>
      </c>
      <c r="B628" s="70" t="n">
        <v>2541</v>
      </c>
      <c r="C628" s="115" t="inlineStr">
        <is>
          <t xml:space="preserve">AZGÜN YAPI </t>
        </is>
      </c>
      <c r="D628" s="115" t="inlineStr">
        <is>
          <t>34 MKT 593</t>
        </is>
      </c>
      <c r="E628" s="115" t="inlineStr">
        <is>
          <t>TURGUT ÇATAL</t>
        </is>
      </c>
      <c r="F628" s="65" t="n"/>
      <c r="G628" s="152" t="n">
        <v>305</v>
      </c>
      <c r="H628" s="60" t="n"/>
      <c r="I628" s="156">
        <f>+I627+(G628-H628)</f>
        <v/>
      </c>
      <c r="J628" s="60" t="n"/>
      <c r="K628" s="60" t="n"/>
      <c r="L628" s="158">
        <f>+H628*J628</f>
        <v/>
      </c>
      <c r="M628" s="159">
        <f>SUM(M627+K628-L628)</f>
        <v/>
      </c>
      <c r="N628" s="60" t="n"/>
      <c r="O628" s="60" t="n"/>
      <c r="P628" s="60" t="n"/>
      <c r="Q628" s="60" t="n"/>
      <c r="R628" s="60" t="n"/>
      <c r="S628" s="60" t="n"/>
      <c r="T628" s="60" t="n"/>
      <c r="U628" s="60" t="n"/>
      <c r="V628" s="60" t="n"/>
      <c r="W628" s="60" t="n"/>
      <c r="X628" s="60" t="n"/>
      <c r="Y628" s="60" t="n"/>
      <c r="Z628" s="60" t="n"/>
    </row>
    <row r="629">
      <c r="A629" s="151" t="n">
        <v>46079</v>
      </c>
      <c r="B629" s="70" t="n">
        <v>4970</v>
      </c>
      <c r="C629" s="115" t="inlineStr">
        <is>
          <t>SELİM İNŞAAT</t>
        </is>
      </c>
      <c r="D629" s="115" t="inlineStr">
        <is>
          <t xml:space="preserve">34 GVZ 745 </t>
        </is>
      </c>
      <c r="E629" s="115" t="inlineStr">
        <is>
          <t>MURAT DEMİRBAĞ</t>
        </is>
      </c>
      <c r="F629" s="65" t="n">
        <v>245866</v>
      </c>
      <c r="G629" s="152" t="n">
        <v>248</v>
      </c>
      <c r="H629" s="60" t="n"/>
      <c r="I629" s="156">
        <f>+I628+(G629-H629)</f>
        <v/>
      </c>
      <c r="J629" s="60" t="n"/>
      <c r="K629" s="60" t="n"/>
      <c r="L629" s="158">
        <f>+H629*J629</f>
        <v/>
      </c>
      <c r="M629" s="159">
        <f>SUM(M628+K629-L629)</f>
        <v/>
      </c>
      <c r="N629" s="60" t="n"/>
      <c r="O629" s="60" t="n"/>
      <c r="P629" s="60" t="n"/>
      <c r="Q629" s="60" t="n"/>
      <c r="R629" s="60" t="n"/>
      <c r="S629" s="60" t="n"/>
      <c r="T629" s="60" t="n"/>
      <c r="U629" s="60" t="n"/>
      <c r="V629" s="60" t="n"/>
      <c r="W629" s="60" t="n"/>
      <c r="X629" s="60" t="n"/>
      <c r="Y629" s="60" t="n"/>
      <c r="Z629" s="60" t="n"/>
    </row>
    <row r="630">
      <c r="A630" s="151" t="n">
        <v>46080</v>
      </c>
      <c r="B630" s="70" t="n">
        <v>3285</v>
      </c>
      <c r="C630" s="115" t="inlineStr">
        <is>
          <t xml:space="preserve">AZGÜN YAPI </t>
        </is>
      </c>
      <c r="D630" s="115" t="inlineStr">
        <is>
          <t>34 DTB 263</t>
        </is>
      </c>
      <c r="E630" s="115" t="inlineStr">
        <is>
          <t>DURSUN ALİ GÜREK</t>
        </is>
      </c>
      <c r="F630" s="65" t="n"/>
      <c r="G630" s="152" t="n">
        <v>451</v>
      </c>
      <c r="H630" s="60" t="n"/>
      <c r="I630" s="156">
        <f>+I629+(G630-H630)</f>
        <v/>
      </c>
      <c r="J630" s="60" t="n"/>
      <c r="K630" s="60" t="n"/>
      <c r="L630" s="158">
        <f>+H630*J630</f>
        <v/>
      </c>
      <c r="M630" s="159">
        <f>SUM(M629+K630-L630)</f>
        <v/>
      </c>
      <c r="N630" s="60" t="n"/>
      <c r="O630" s="60" t="n"/>
      <c r="P630" s="60" t="n"/>
      <c r="Q630" s="60" t="n"/>
      <c r="R630" s="60" t="n"/>
      <c r="S630" s="60" t="n"/>
      <c r="T630" s="60" t="n"/>
      <c r="U630" s="60" t="n"/>
      <c r="V630" s="60" t="n"/>
      <c r="W630" s="60" t="n"/>
      <c r="X630" s="60" t="n"/>
      <c r="Y630" s="60" t="n"/>
      <c r="Z630" s="60" t="n"/>
    </row>
    <row r="631">
      <c r="A631" s="151" t="n">
        <v>46080</v>
      </c>
      <c r="B631" s="70" t="n">
        <v>410</v>
      </c>
      <c r="C631" s="115" t="inlineStr">
        <is>
          <t xml:space="preserve">CEVİZ MOBİLYA  </t>
        </is>
      </c>
      <c r="D631" s="115" t="inlineStr">
        <is>
          <t>CEMAL BEY</t>
        </is>
      </c>
      <c r="E631" s="115" t="inlineStr">
        <is>
          <t>ERDAL SESSİZ</t>
        </is>
      </c>
      <c r="F631" s="65" t="n"/>
      <c r="G631" s="152" t="n">
        <v>30</v>
      </c>
      <c r="H631" s="60" t="n"/>
      <c r="I631" s="156">
        <f>+I630+(G631-H631)</f>
        <v/>
      </c>
      <c r="J631" s="60" t="n"/>
      <c r="K631" s="60" t="n"/>
      <c r="L631" s="158">
        <f>+H631*J631</f>
        <v/>
      </c>
      <c r="M631" s="159">
        <f>SUM(M630+K631-L631)</f>
        <v/>
      </c>
      <c r="N631" s="60" t="n"/>
      <c r="O631" s="60" t="n"/>
      <c r="P631" s="60" t="n"/>
      <c r="Q631" s="60" t="n"/>
      <c r="R631" s="60" t="n"/>
      <c r="S631" s="60" t="n"/>
      <c r="T631" s="60" t="n"/>
      <c r="U631" s="60" t="n"/>
      <c r="V631" s="60" t="n"/>
      <c r="W631" s="60" t="n"/>
      <c r="X631" s="60" t="n"/>
      <c r="Y631" s="60" t="n"/>
      <c r="Z631" s="60" t="n"/>
    </row>
    <row r="632">
      <c r="A632" s="151" t="n">
        <v>46080</v>
      </c>
      <c r="B632" s="70" t="n">
        <v>411</v>
      </c>
      <c r="C632" s="115" t="inlineStr">
        <is>
          <t>MEGA VARLIK</t>
        </is>
      </c>
      <c r="D632" s="115" t="inlineStr">
        <is>
          <t xml:space="preserve">SM350 </t>
        </is>
      </c>
      <c r="E632" s="115" t="inlineStr">
        <is>
          <t xml:space="preserve">MİKAİL BAYILMAZ </t>
        </is>
      </c>
      <c r="F632" s="65" t="n"/>
      <c r="G632" s="152" t="n">
        <v>177</v>
      </c>
      <c r="H632" s="60" t="n"/>
      <c r="I632" s="156">
        <f>+I631+(G632-H632)</f>
        <v/>
      </c>
      <c r="J632" s="60" t="n"/>
      <c r="K632" s="60" t="n"/>
      <c r="L632" s="158">
        <f>+H632*J632</f>
        <v/>
      </c>
      <c r="M632" s="159">
        <f>SUM(M631+K632-L632)</f>
        <v/>
      </c>
      <c r="N632" s="60" t="n"/>
      <c r="O632" s="60" t="n"/>
      <c r="P632" s="60" t="n"/>
      <c r="Q632" s="60" t="n"/>
      <c r="R632" s="60" t="n"/>
      <c r="S632" s="60" t="n"/>
      <c r="T632" s="60" t="n"/>
      <c r="U632" s="60" t="n"/>
      <c r="V632" s="60" t="n"/>
      <c r="W632" s="60" t="n"/>
      <c r="X632" s="60" t="n"/>
      <c r="Y632" s="60" t="n"/>
      <c r="Z632" s="60" t="n"/>
    </row>
    <row r="633">
      <c r="A633" s="151" t="n">
        <v>46080</v>
      </c>
      <c r="B633" s="70" t="n">
        <v>412</v>
      </c>
      <c r="C633" s="115" t="inlineStr">
        <is>
          <t>MEGA VARLIK</t>
        </is>
      </c>
      <c r="D633" s="115" t="inlineStr">
        <is>
          <t>SİLİNDİR</t>
        </is>
      </c>
      <c r="E633" s="115" t="inlineStr">
        <is>
          <t>ÖNER DÜNDAR</t>
        </is>
      </c>
      <c r="F633" s="65" t="n"/>
      <c r="G633" s="152" t="n">
        <v>208</v>
      </c>
      <c r="H633" s="60" t="n"/>
      <c r="I633" s="156">
        <f>+I632+(G633-H633)</f>
        <v/>
      </c>
      <c r="J633" s="60" t="n"/>
      <c r="K633" s="60" t="n"/>
      <c r="L633" s="158">
        <f>+H633*J633</f>
        <v/>
      </c>
      <c r="M633" s="159">
        <f>SUM(M632+K633-L633)</f>
        <v/>
      </c>
      <c r="N633" s="60" t="n"/>
      <c r="O633" s="60" t="n"/>
      <c r="P633" s="60" t="n"/>
      <c r="Q633" s="60" t="n"/>
      <c r="R633" s="60" t="n"/>
      <c r="S633" s="60" t="n"/>
      <c r="T633" s="60" t="n"/>
      <c r="U633" s="60" t="n"/>
      <c r="V633" s="60" t="n"/>
      <c r="W633" s="60" t="n"/>
      <c r="X633" s="60" t="n"/>
      <c r="Y633" s="60" t="n"/>
      <c r="Z633" s="60" t="n"/>
    </row>
    <row r="634">
      <c r="A634" s="151" t="n">
        <v>46080</v>
      </c>
      <c r="B634" s="70" t="n">
        <v>247</v>
      </c>
      <c r="C634" s="115" t="inlineStr">
        <is>
          <t>SELİM İNŞAAT</t>
        </is>
      </c>
      <c r="D634" s="115" t="inlineStr">
        <is>
          <t>34 JGR 15</t>
        </is>
      </c>
      <c r="E634" s="115" t="inlineStr">
        <is>
          <t>İRFAN DAĞLAR</t>
        </is>
      </c>
      <c r="F634" s="65" t="n"/>
      <c r="G634" s="152" t="n">
        <v>58</v>
      </c>
      <c r="H634" s="60" t="n"/>
      <c r="I634" s="156">
        <f>+I633+(G634-H634)</f>
        <v/>
      </c>
      <c r="J634" s="60" t="n"/>
      <c r="K634" s="60" t="n"/>
      <c r="L634" s="158">
        <f>+H634*J634</f>
        <v/>
      </c>
      <c r="M634" s="159">
        <f>SUM(M633+K634-L634)</f>
        <v/>
      </c>
      <c r="N634" s="60" t="n"/>
      <c r="O634" s="60" t="n"/>
      <c r="P634" s="60" t="n"/>
      <c r="Q634" s="60" t="n"/>
      <c r="R634" s="60" t="n"/>
      <c r="S634" s="60" t="n"/>
      <c r="T634" s="60" t="n"/>
      <c r="U634" s="60" t="n"/>
      <c r="V634" s="60" t="n"/>
      <c r="W634" s="60" t="n"/>
      <c r="X634" s="60" t="n"/>
      <c r="Y634" s="60" t="n"/>
      <c r="Z634" s="60" t="n"/>
    </row>
    <row r="635">
      <c r="A635" s="151" t="n">
        <v>46080</v>
      </c>
      <c r="B635" s="70" t="n">
        <v>2342</v>
      </c>
      <c r="C635" s="115" t="inlineStr">
        <is>
          <t>SELİM İNŞAAT</t>
        </is>
      </c>
      <c r="D635" s="115" t="inlineStr">
        <is>
          <t>34 DP 4161</t>
        </is>
      </c>
      <c r="E635" s="115" t="inlineStr">
        <is>
          <t>RIFAT KARATAY</t>
        </is>
      </c>
      <c r="F635" s="65" t="n">
        <v>320202</v>
      </c>
      <c r="G635" s="152" t="n">
        <v>298</v>
      </c>
      <c r="H635" s="60" t="n"/>
      <c r="I635" s="156">
        <f>+I634+(G635-H635)</f>
        <v/>
      </c>
      <c r="J635" s="60" t="n"/>
      <c r="K635" s="60" t="n"/>
      <c r="L635" s="158">
        <f>+H635*J635</f>
        <v/>
      </c>
      <c r="M635" s="159">
        <f>SUM(M634+K635-L635)</f>
        <v/>
      </c>
      <c r="N635" s="60" t="n"/>
      <c r="O635" s="60" t="n"/>
      <c r="P635" s="60" t="n"/>
      <c r="Q635" s="60" t="n"/>
      <c r="R635" s="60" t="n"/>
      <c r="S635" s="60" t="n"/>
      <c r="T635" s="60" t="n"/>
      <c r="U635" s="60" t="n"/>
      <c r="V635" s="60" t="n"/>
      <c r="W635" s="60" t="n"/>
      <c r="X635" s="60" t="n"/>
      <c r="Y635" s="60" t="n"/>
      <c r="Z635" s="60" t="n"/>
    </row>
    <row r="636">
      <c r="A636" s="151" t="n">
        <v>46080</v>
      </c>
      <c r="B636" s="70" t="n">
        <v>1773</v>
      </c>
      <c r="C636" s="115" t="inlineStr">
        <is>
          <t>SELİM İNŞAAT</t>
        </is>
      </c>
      <c r="D636" s="115" t="inlineStr">
        <is>
          <t>34 JBA 25</t>
        </is>
      </c>
      <c r="E636" s="115" t="inlineStr">
        <is>
          <t>HÜSEYİN ALIN</t>
        </is>
      </c>
      <c r="F636" s="65" t="n">
        <v>348112</v>
      </c>
      <c r="G636" s="152" t="n">
        <v>60</v>
      </c>
      <c r="H636" s="60" t="n"/>
      <c r="I636" s="156">
        <f>+I635+(G636-H636)</f>
        <v/>
      </c>
      <c r="J636" s="60" t="n"/>
      <c r="K636" s="60" t="n"/>
      <c r="L636" s="158">
        <f>+H636*J636</f>
        <v/>
      </c>
      <c r="M636" s="159">
        <f>SUM(M635+K636-L636)</f>
        <v/>
      </c>
      <c r="N636" s="60" t="n"/>
      <c r="O636" s="60" t="n"/>
      <c r="P636" s="60" t="n"/>
      <c r="Q636" s="60" t="n"/>
      <c r="R636" s="60" t="n"/>
      <c r="S636" s="60" t="n"/>
      <c r="T636" s="60" t="n"/>
      <c r="U636" s="60" t="n"/>
      <c r="V636" s="60" t="n"/>
      <c r="W636" s="60" t="n"/>
      <c r="X636" s="60" t="n"/>
      <c r="Y636" s="60" t="n"/>
      <c r="Z636" s="60" t="n"/>
    </row>
    <row r="637">
      <c r="A637" s="151" t="n">
        <v>46080</v>
      </c>
      <c r="B637" s="70" t="n">
        <v>2387</v>
      </c>
      <c r="C637" s="115" t="inlineStr">
        <is>
          <t>SELİM İNŞAAT</t>
        </is>
      </c>
      <c r="D637" s="115" t="inlineStr">
        <is>
          <t>34 FEM 934</t>
        </is>
      </c>
      <c r="E637" s="115" t="inlineStr">
        <is>
          <t>ABDULKERİM ERGEN</t>
        </is>
      </c>
      <c r="F637" s="65" t="n">
        <v>332718</v>
      </c>
      <c r="G637" s="152" t="n">
        <v>35</v>
      </c>
      <c r="H637" s="60" t="n"/>
      <c r="I637" s="156">
        <f>+I636+(G637-H637)</f>
        <v/>
      </c>
      <c r="J637" s="60" t="n"/>
      <c r="K637" s="60" t="n"/>
      <c r="L637" s="158">
        <f>+H637*J637</f>
        <v/>
      </c>
      <c r="M637" s="159">
        <f>SUM(M636+K637-L637)</f>
        <v/>
      </c>
      <c r="N637" s="60" t="n"/>
      <c r="O637" s="60" t="n"/>
      <c r="P637" s="60" t="n"/>
      <c r="Q637" s="60" t="n"/>
      <c r="R637" s="60" t="n"/>
      <c r="S637" s="60" t="n"/>
      <c r="T637" s="60" t="n"/>
      <c r="U637" s="60" t="n"/>
      <c r="V637" s="60" t="n"/>
      <c r="W637" s="60" t="n"/>
      <c r="X637" s="60" t="n"/>
      <c r="Y637" s="60" t="n"/>
      <c r="Z637" s="60" t="n"/>
    </row>
    <row r="638">
      <c r="A638" s="151" t="n">
        <v>46080</v>
      </c>
      <c r="B638" s="70" t="n">
        <v>851</v>
      </c>
      <c r="C638" s="115" t="inlineStr">
        <is>
          <t>SELİM İNŞAAT</t>
        </is>
      </c>
      <c r="D638" s="115" t="inlineStr">
        <is>
          <t>34 EGR 922</t>
        </is>
      </c>
      <c r="E638" s="115" t="inlineStr">
        <is>
          <t>FARUK ÖZEN</t>
        </is>
      </c>
      <c r="F638" s="65" t="n">
        <v>503806</v>
      </c>
      <c r="G638" s="152" t="n">
        <v>491</v>
      </c>
      <c r="H638" s="60" t="n"/>
      <c r="I638" s="156">
        <f>+I637+(G638-H638)</f>
        <v/>
      </c>
      <c r="J638" s="60" t="n"/>
      <c r="K638" s="60" t="n"/>
      <c r="L638" s="158">
        <f>+H638*J638</f>
        <v/>
      </c>
      <c r="M638" s="159">
        <f>SUM(M637+K638-L638)</f>
        <v/>
      </c>
      <c r="N638" s="60" t="n"/>
      <c r="O638" s="60" t="n"/>
      <c r="P638" s="60" t="n"/>
      <c r="Q638" s="60" t="n"/>
      <c r="R638" s="60" t="n"/>
      <c r="S638" s="60" t="n"/>
      <c r="T638" s="60" t="n"/>
      <c r="U638" s="60" t="n"/>
      <c r="V638" s="60" t="n"/>
      <c r="W638" s="60" t="n"/>
      <c r="X638" s="60" t="n"/>
      <c r="Y638" s="60" t="n"/>
      <c r="Z638" s="60" t="n"/>
    </row>
    <row r="639">
      <c r="A639" s="151" t="n">
        <v>46080</v>
      </c>
      <c r="B639" s="70" t="n">
        <v>148</v>
      </c>
      <c r="C639" s="115" t="inlineStr">
        <is>
          <t>SELİM İNŞAAT</t>
        </is>
      </c>
      <c r="D639" s="115" t="inlineStr">
        <is>
          <t>34 FBR 771</t>
        </is>
      </c>
      <c r="E639" s="115" t="inlineStr">
        <is>
          <t>SALİH YALÇIN</t>
        </is>
      </c>
      <c r="F639" s="65" t="n">
        <v>348662</v>
      </c>
      <c r="G639" s="152" t="n">
        <v>406</v>
      </c>
      <c r="H639" s="60" t="n"/>
      <c r="I639" s="156">
        <f>+I638+(G639-H639)</f>
        <v/>
      </c>
      <c r="J639" s="60" t="n"/>
      <c r="K639" s="60" t="n"/>
      <c r="L639" s="158">
        <f>+H639*J639</f>
        <v/>
      </c>
      <c r="M639" s="159">
        <f>SUM(M638+K639-L639)</f>
        <v/>
      </c>
      <c r="N639" s="60" t="n"/>
      <c r="O639" s="60" t="n"/>
      <c r="P639" s="60" t="n"/>
      <c r="Q639" s="60" t="n"/>
      <c r="R639" s="60" t="n"/>
      <c r="S639" s="60" t="n"/>
      <c r="T639" s="60" t="n"/>
      <c r="U639" s="60" t="n"/>
      <c r="V639" s="60" t="n"/>
      <c r="W639" s="60" t="n"/>
      <c r="X639" s="60" t="n"/>
      <c r="Y639" s="60" t="n"/>
      <c r="Z639" s="60" t="n"/>
    </row>
    <row r="640">
      <c r="A640" s="151" t="n">
        <v>46080</v>
      </c>
      <c r="B640" s="70" t="n">
        <v>3389</v>
      </c>
      <c r="C640" s="115" t="inlineStr">
        <is>
          <t>SELİM İNŞAAT</t>
        </is>
      </c>
      <c r="D640" s="115" t="inlineStr">
        <is>
          <t>34 EDC 162</t>
        </is>
      </c>
      <c r="E640" s="115" t="inlineStr">
        <is>
          <t xml:space="preserve">YAKUP GÜNER </t>
        </is>
      </c>
      <c r="F640" s="65" t="n">
        <v>414685</v>
      </c>
      <c r="G640" s="152" t="n">
        <v>521</v>
      </c>
      <c r="H640" s="60" t="n"/>
      <c r="I640" s="156">
        <f>+I639+(G640-H640)</f>
        <v/>
      </c>
      <c r="J640" s="60" t="n"/>
      <c r="K640" s="60" t="n"/>
      <c r="L640" s="158">
        <f>+H640*J640</f>
        <v/>
      </c>
      <c r="M640" s="159">
        <f>SUM(M639+K640-L640)</f>
        <v/>
      </c>
      <c r="N640" s="60" t="n"/>
      <c r="O640" s="60" t="n"/>
      <c r="P640" s="60" t="n"/>
      <c r="Q640" s="60" t="n"/>
      <c r="R640" s="60" t="n"/>
      <c r="S640" s="60" t="n"/>
      <c r="T640" s="60" t="n"/>
      <c r="U640" s="60" t="n"/>
      <c r="V640" s="60" t="n"/>
      <c r="W640" s="60" t="n"/>
      <c r="X640" s="60" t="n"/>
      <c r="Y640" s="60" t="n"/>
      <c r="Z640" s="60" t="n"/>
    </row>
    <row r="641">
      <c r="A641" s="151" t="n">
        <v>46080</v>
      </c>
      <c r="B641" s="70" t="n">
        <v>3224</v>
      </c>
      <c r="C641" s="115" t="inlineStr">
        <is>
          <t>SELİM İNŞAAT</t>
        </is>
      </c>
      <c r="D641" s="115" t="inlineStr">
        <is>
          <t>34 EGR 736</t>
        </is>
      </c>
      <c r="E641" s="115" t="inlineStr">
        <is>
          <t>HAKAN ÇAVUŞOĞLU</t>
        </is>
      </c>
      <c r="F641" s="65" t="n">
        <v>438672</v>
      </c>
      <c r="G641" s="152" t="n">
        <v>435</v>
      </c>
      <c r="H641" s="60" t="n"/>
      <c r="I641" s="156">
        <f>+I640+(G641-H641)</f>
        <v/>
      </c>
      <c r="J641" s="60" t="n"/>
      <c r="K641" s="60" t="n"/>
      <c r="L641" s="158">
        <f>+H641*J641</f>
        <v/>
      </c>
      <c r="M641" s="159">
        <f>SUM(M640+K641-L641)</f>
        <v/>
      </c>
      <c r="N641" s="60" t="n"/>
      <c r="O641" s="60" t="n"/>
      <c r="P641" s="60" t="n"/>
      <c r="Q641" s="60" t="n"/>
      <c r="R641" s="60" t="n"/>
      <c r="S641" s="60" t="n"/>
      <c r="T641" s="60" t="n"/>
      <c r="U641" s="60" t="n"/>
      <c r="V641" s="60" t="n"/>
      <c r="W641" s="60" t="n"/>
      <c r="X641" s="60" t="n"/>
      <c r="Y641" s="60" t="n"/>
      <c r="Z641" s="60" t="n"/>
    </row>
    <row r="642">
      <c r="A642" s="151" t="n">
        <v>46080</v>
      </c>
      <c r="B642" s="70" t="n">
        <v>3831</v>
      </c>
      <c r="C642" s="115" t="inlineStr">
        <is>
          <t>SELİM İNŞAAT</t>
        </is>
      </c>
      <c r="D642" s="115" t="inlineStr">
        <is>
          <t>34 GYZ 635</t>
        </is>
      </c>
      <c r="E642" s="115" t="inlineStr">
        <is>
          <t>ADEM DENİZ</t>
        </is>
      </c>
      <c r="F642" s="65" t="n">
        <v>225891</v>
      </c>
      <c r="G642" s="152" t="n">
        <v>149</v>
      </c>
      <c r="H642" s="60" t="n"/>
      <c r="I642" s="156">
        <f>+I641+(G642-H642)</f>
        <v/>
      </c>
      <c r="J642" s="60" t="n"/>
      <c r="K642" s="60" t="n"/>
      <c r="L642" s="158">
        <f>+H642*J642</f>
        <v/>
      </c>
      <c r="M642" s="159">
        <f>SUM(M641+K642-L642)</f>
        <v/>
      </c>
      <c r="N642" s="60" t="n"/>
      <c r="O642" s="60" t="n"/>
      <c r="P642" s="60" t="n"/>
      <c r="Q642" s="60" t="n"/>
      <c r="R642" s="60" t="n"/>
      <c r="S642" s="60" t="n"/>
      <c r="T642" s="60" t="n"/>
      <c r="U642" s="60" t="n"/>
      <c r="V642" s="60" t="n"/>
      <c r="W642" s="60" t="n"/>
      <c r="X642" s="60" t="n"/>
      <c r="Y642" s="60" t="n"/>
      <c r="Z642" s="60" t="n"/>
    </row>
    <row r="643">
      <c r="A643" s="151" t="n">
        <v>46080</v>
      </c>
      <c r="B643" s="70" t="n">
        <v>4875</v>
      </c>
      <c r="C643" s="115" t="inlineStr">
        <is>
          <t>SELİM İNŞAAT</t>
        </is>
      </c>
      <c r="D643" s="115" t="inlineStr">
        <is>
          <t>34 FBR 705</t>
        </is>
      </c>
      <c r="E643" s="115" t="inlineStr">
        <is>
          <t>MURAT SARI</t>
        </is>
      </c>
      <c r="F643" s="65" t="n">
        <v>361530</v>
      </c>
      <c r="G643" s="152" t="n">
        <v>500</v>
      </c>
      <c r="H643" s="60" t="n"/>
      <c r="I643" s="156">
        <f>+I642+(G643-H643)</f>
        <v/>
      </c>
      <c r="J643" s="60" t="n"/>
      <c r="K643" s="60" t="n"/>
      <c r="L643" s="158">
        <f>+H643*J643</f>
        <v/>
      </c>
      <c r="M643" s="159">
        <f>SUM(M642+K643-L643)</f>
        <v/>
      </c>
      <c r="N643" s="60" t="n"/>
      <c r="O643" s="60" t="n"/>
      <c r="P643" s="60" t="n"/>
      <c r="Q643" s="60" t="n"/>
      <c r="R643" s="60" t="n"/>
      <c r="S643" s="60" t="n"/>
      <c r="T643" s="60" t="n"/>
      <c r="U643" s="60" t="n"/>
      <c r="V643" s="60" t="n"/>
      <c r="W643" s="60" t="n"/>
      <c r="X643" s="60" t="n"/>
      <c r="Y643" s="60" t="n"/>
      <c r="Z643" s="60" t="n"/>
    </row>
    <row r="644">
      <c r="A644" s="151" t="n">
        <v>46080</v>
      </c>
      <c r="B644" s="70" t="n">
        <v>2299</v>
      </c>
      <c r="C644" s="115" t="inlineStr">
        <is>
          <t>SELİM İNŞAAT</t>
        </is>
      </c>
      <c r="D644" s="115" t="inlineStr">
        <is>
          <t>34 DSN 636</t>
        </is>
      </c>
      <c r="E644" s="115" t="inlineStr">
        <is>
          <t>MAHSUN GÜVEN</t>
        </is>
      </c>
      <c r="F644" s="65" t="n">
        <v>432871</v>
      </c>
      <c r="G644" s="152" t="n">
        <v>298</v>
      </c>
      <c r="H644" s="60" t="n"/>
      <c r="I644" s="156">
        <f>+I643+(G644-H644)</f>
        <v/>
      </c>
      <c r="J644" s="60" t="n"/>
      <c r="K644" s="60" t="n"/>
      <c r="L644" s="158">
        <f>+H644*J644</f>
        <v/>
      </c>
      <c r="M644" s="159">
        <f>SUM(M643+K644-L644)</f>
        <v/>
      </c>
      <c r="N644" s="60" t="n"/>
      <c r="O644" s="60" t="n"/>
      <c r="P644" s="60" t="n"/>
      <c r="Q644" s="60" t="n"/>
      <c r="R644" s="60" t="n"/>
      <c r="S644" s="60" t="n"/>
      <c r="T644" s="60" t="n"/>
      <c r="U644" s="60" t="n"/>
      <c r="V644" s="60" t="n"/>
      <c r="W644" s="60" t="n"/>
      <c r="X644" s="60" t="n"/>
      <c r="Y644" s="60" t="n"/>
      <c r="Z644" s="60" t="n"/>
    </row>
    <row r="645">
      <c r="A645" s="151" t="n">
        <v>46080</v>
      </c>
      <c r="B645" s="70" t="n">
        <v>4512</v>
      </c>
      <c r="C645" s="115" t="inlineStr">
        <is>
          <t>SELİM İNŞAAT</t>
        </is>
      </c>
      <c r="D645" s="115" t="inlineStr">
        <is>
          <t>34 DTV 352</t>
        </is>
      </c>
      <c r="E645" s="115" t="inlineStr">
        <is>
          <t>AZİZ ORUÇ</t>
        </is>
      </c>
      <c r="F645" s="65" t="n">
        <v>475349</v>
      </c>
      <c r="G645" s="152" t="n">
        <v>311</v>
      </c>
      <c r="H645" s="60" t="n"/>
      <c r="I645" s="156">
        <f>+I644+(G645-H645)</f>
        <v/>
      </c>
      <c r="J645" s="60" t="n"/>
      <c r="K645" s="60" t="n"/>
      <c r="L645" s="158">
        <f>+H645*J645</f>
        <v/>
      </c>
      <c r="M645" s="159">
        <f>SUM(M644+K645-L645)</f>
        <v/>
      </c>
      <c r="N645" s="60" t="n"/>
      <c r="O645" s="60" t="n"/>
      <c r="P645" s="60" t="n"/>
      <c r="Q645" s="60" t="n"/>
      <c r="R645" s="60" t="n"/>
      <c r="S645" s="60" t="n"/>
      <c r="T645" s="60" t="n"/>
      <c r="U645" s="60" t="n"/>
      <c r="V645" s="60" t="n"/>
      <c r="W645" s="60" t="n"/>
      <c r="X645" s="60" t="n"/>
      <c r="Y645" s="60" t="n"/>
      <c r="Z645" s="60" t="n"/>
    </row>
    <row r="646">
      <c r="A646" s="151" t="n">
        <v>46080</v>
      </c>
      <c r="B646" s="70" t="n">
        <v>4115</v>
      </c>
      <c r="C646" s="115" t="inlineStr">
        <is>
          <t>SELİM İNŞAAT</t>
        </is>
      </c>
      <c r="D646" s="115" t="inlineStr">
        <is>
          <t>34 EDB 659</t>
        </is>
      </c>
      <c r="E646" s="115" t="inlineStr">
        <is>
          <t>YASİN ÇATAKLI</t>
        </is>
      </c>
      <c r="F646" s="65" t="n">
        <v>389378</v>
      </c>
      <c r="G646" s="152" t="n">
        <v>435</v>
      </c>
      <c r="H646" s="60" t="n"/>
      <c r="I646" s="156">
        <f>+I645+(G646-H646)</f>
        <v/>
      </c>
      <c r="J646" s="60" t="n"/>
      <c r="K646" s="60" t="n"/>
      <c r="L646" s="158">
        <f>+H646*J646</f>
        <v/>
      </c>
      <c r="M646" s="159">
        <f>SUM(M645+K646-L646)</f>
        <v/>
      </c>
      <c r="N646" s="60" t="n"/>
      <c r="O646" s="60" t="n"/>
      <c r="P646" s="60" t="n"/>
      <c r="Q646" s="60" t="n"/>
      <c r="R646" s="60" t="n"/>
      <c r="S646" s="60" t="n"/>
      <c r="T646" s="60" t="n"/>
      <c r="U646" s="60" t="n"/>
      <c r="V646" s="60" t="n"/>
      <c r="W646" s="60" t="n"/>
      <c r="X646" s="60" t="n"/>
      <c r="Y646" s="60" t="n"/>
      <c r="Z646" s="60" t="n"/>
    </row>
    <row r="647">
      <c r="A647" s="151" t="n">
        <v>46080</v>
      </c>
      <c r="B647" s="70" t="n">
        <v>3330</v>
      </c>
      <c r="C647" s="115" t="inlineStr">
        <is>
          <t>SELİM İNŞAAT</t>
        </is>
      </c>
      <c r="D647" s="115" t="inlineStr">
        <is>
          <t>34 GUS 938</t>
        </is>
      </c>
      <c r="E647" s="115" t="inlineStr">
        <is>
          <t>MEHMET KAYA</t>
        </is>
      </c>
      <c r="F647" s="65" t="n">
        <v>246432</v>
      </c>
      <c r="G647" s="152" t="n">
        <v>470</v>
      </c>
      <c r="H647" s="60" t="n"/>
      <c r="I647" s="156">
        <f>+I646+(G647-H647)</f>
        <v/>
      </c>
      <c r="J647" s="60" t="n"/>
      <c r="K647" s="60" t="n"/>
      <c r="L647" s="158">
        <f>+H647*J647</f>
        <v/>
      </c>
      <c r="M647" s="159">
        <f>SUM(M646+K647-L647)</f>
        <v/>
      </c>
      <c r="N647" s="60" t="n"/>
      <c r="O647" s="60" t="n"/>
      <c r="P647" s="60" t="n"/>
      <c r="Q647" s="60" t="n"/>
      <c r="R647" s="60" t="n"/>
      <c r="S647" s="60" t="n"/>
      <c r="T647" s="60" t="n"/>
      <c r="U647" s="60" t="n"/>
      <c r="V647" s="60" t="n"/>
      <c r="W647" s="60" t="n"/>
      <c r="X647" s="60" t="n"/>
      <c r="Y647" s="60" t="n"/>
      <c r="Z647" s="60" t="n"/>
    </row>
    <row r="648">
      <c r="A648" s="151" t="n">
        <v>46080</v>
      </c>
      <c r="B648" s="70" t="n">
        <v>3044</v>
      </c>
      <c r="C648" s="115" t="inlineStr">
        <is>
          <t>SELİM İNŞAAT</t>
        </is>
      </c>
      <c r="D648" s="115" t="inlineStr">
        <is>
          <t>34 FBR 781</t>
        </is>
      </c>
      <c r="E648" s="115" t="inlineStr">
        <is>
          <t>MEVLÜT POLAT</t>
        </is>
      </c>
      <c r="F648" s="65" t="n">
        <v>362207</v>
      </c>
      <c r="G648" s="152" t="n">
        <v>475</v>
      </c>
      <c r="H648" s="60" t="n"/>
      <c r="I648" s="156">
        <f>+I647+(G648-H648)</f>
        <v/>
      </c>
      <c r="J648" s="60" t="n"/>
      <c r="K648" s="60" t="n"/>
      <c r="L648" s="158">
        <f>+H648*J648</f>
        <v/>
      </c>
      <c r="M648" s="159">
        <f>SUM(M647+K648-L648)</f>
        <v/>
      </c>
      <c r="N648" s="60" t="n"/>
      <c r="O648" s="60" t="n"/>
      <c r="P648" s="60" t="n"/>
      <c r="Q648" s="60" t="n"/>
      <c r="R648" s="60" t="n"/>
      <c r="S648" s="60" t="n"/>
      <c r="T648" s="60" t="n"/>
      <c r="U648" s="60" t="n"/>
      <c r="V648" s="60" t="n"/>
      <c r="W648" s="60" t="n"/>
      <c r="X648" s="60" t="n"/>
      <c r="Y648" s="60" t="n"/>
      <c r="Z648" s="60" t="n"/>
    </row>
    <row r="649">
      <c r="A649" s="151" t="n">
        <v>46081</v>
      </c>
      <c r="B649" s="70" t="n">
        <v>807</v>
      </c>
      <c r="C649" s="115" t="inlineStr">
        <is>
          <t>METİN ERYİĞİT</t>
        </is>
      </c>
      <c r="D649" s="115" t="inlineStr">
        <is>
          <t>34 GBL 998</t>
        </is>
      </c>
      <c r="E649" s="115" t="inlineStr">
        <is>
          <t>ALİ KESKİN</t>
        </is>
      </c>
      <c r="F649" s="65" t="n"/>
      <c r="G649" s="152" t="n">
        <v>425</v>
      </c>
      <c r="H649" s="60" t="n"/>
      <c r="I649" s="156">
        <f>+I648+(G649-H649)</f>
        <v/>
      </c>
      <c r="J649" s="60" t="n"/>
      <c r="K649" s="60" t="n"/>
      <c r="L649" s="158">
        <f>+H649*J649</f>
        <v/>
      </c>
      <c r="M649" s="159">
        <f>SUM(M648+K649-L649)</f>
        <v/>
      </c>
      <c r="N649" s="60" t="n"/>
      <c r="O649" s="60" t="n"/>
      <c r="P649" s="60" t="n"/>
      <c r="Q649" s="60" t="n"/>
      <c r="R649" s="60" t="n"/>
      <c r="S649" s="60" t="n"/>
      <c r="T649" s="60" t="n"/>
      <c r="U649" s="60" t="n"/>
      <c r="V649" s="60" t="n"/>
      <c r="W649" s="60" t="n"/>
      <c r="X649" s="60" t="n"/>
      <c r="Y649" s="60" t="n"/>
      <c r="Z649" s="60" t="n"/>
    </row>
    <row r="650">
      <c r="A650" s="151" t="n">
        <v>46081</v>
      </c>
      <c r="B650" s="70" t="n">
        <v>413</v>
      </c>
      <c r="C650" s="115" t="inlineStr">
        <is>
          <t>MEGA VARLIK</t>
        </is>
      </c>
      <c r="D650" s="115" t="inlineStr">
        <is>
          <t xml:space="preserve">SM350 </t>
        </is>
      </c>
      <c r="E650" s="115" t="inlineStr">
        <is>
          <t>TEVFİK ÖZTÜRK</t>
        </is>
      </c>
      <c r="F650" s="65" t="n"/>
      <c r="G650" s="152" t="n">
        <v>370</v>
      </c>
      <c r="H650" s="60" t="n"/>
      <c r="I650" s="156">
        <f>+I649+(G650-H650)</f>
        <v/>
      </c>
      <c r="J650" s="60" t="n"/>
      <c r="K650" s="60" t="n"/>
      <c r="L650" s="158">
        <f>+H650*J650</f>
        <v/>
      </c>
      <c r="M650" s="159">
        <f>SUM(M649+K650-L650)</f>
        <v/>
      </c>
      <c r="N650" s="60" t="n"/>
      <c r="O650" s="60" t="n"/>
      <c r="P650" s="60" t="n"/>
      <c r="Q650" s="60" t="n"/>
      <c r="R650" s="60" t="n"/>
      <c r="S650" s="60" t="n"/>
      <c r="T650" s="60" t="n"/>
      <c r="U650" s="60" t="n"/>
      <c r="V650" s="60" t="n"/>
      <c r="W650" s="60" t="n"/>
      <c r="X650" s="60" t="n"/>
      <c r="Y650" s="60" t="n"/>
      <c r="Z650" s="60" t="n"/>
    </row>
    <row r="651">
      <c r="A651" s="151" t="n">
        <v>46081</v>
      </c>
      <c r="B651" s="70" t="n">
        <v>414</v>
      </c>
      <c r="C651" s="115" t="inlineStr">
        <is>
          <t>VARLIK</t>
        </is>
      </c>
      <c r="D651" s="115" t="inlineStr">
        <is>
          <t>KAWAZAKI</t>
        </is>
      </c>
      <c r="E651" s="115" t="inlineStr">
        <is>
          <t>RAMAZAN</t>
        </is>
      </c>
      <c r="F651" s="65" t="n"/>
      <c r="G651" s="152" t="n">
        <v>203</v>
      </c>
      <c r="H651" s="60" t="n"/>
      <c r="I651" s="156">
        <f>+I650+(G651-H651)</f>
        <v/>
      </c>
      <c r="J651" s="60" t="n"/>
      <c r="K651" s="60" t="n"/>
      <c r="L651" s="158">
        <f>+H651*J651</f>
        <v/>
      </c>
      <c r="M651" s="159">
        <f>SUM(M650+K651-L651)</f>
        <v/>
      </c>
      <c r="N651" s="60" t="n"/>
      <c r="O651" s="60" t="n"/>
      <c r="P651" s="60" t="n"/>
      <c r="Q651" s="60" t="n"/>
      <c r="R651" s="60" t="n"/>
      <c r="S651" s="60" t="n"/>
      <c r="T651" s="60" t="n"/>
      <c r="U651" s="60" t="n"/>
      <c r="V651" s="60" t="n"/>
      <c r="W651" s="60" t="n"/>
      <c r="X651" s="60" t="n"/>
      <c r="Y651" s="60" t="n"/>
      <c r="Z651" s="60" t="n"/>
    </row>
    <row r="652">
      <c r="A652" s="151" t="n">
        <v>46081</v>
      </c>
      <c r="B652" s="70" t="n">
        <v>415</v>
      </c>
      <c r="C652" s="115" t="inlineStr">
        <is>
          <t>VARLIK</t>
        </is>
      </c>
      <c r="D652" s="115" t="inlineStr">
        <is>
          <t>HITACHI</t>
        </is>
      </c>
      <c r="E652" s="115" t="inlineStr">
        <is>
          <t>TURGUT SANCAK</t>
        </is>
      </c>
      <c r="F652" s="65" t="n"/>
      <c r="G652" s="152" t="n">
        <v>449</v>
      </c>
      <c r="H652" s="60" t="n"/>
      <c r="I652" s="156">
        <f>+I651+(G652-H652)</f>
        <v/>
      </c>
      <c r="J652" s="60" t="n"/>
      <c r="K652" s="60" t="n"/>
      <c r="L652" s="158">
        <f>+H652*J652</f>
        <v/>
      </c>
      <c r="M652" s="159">
        <f>SUM(M651+K652-L652)</f>
        <v/>
      </c>
      <c r="N652" s="60" t="n"/>
      <c r="O652" s="60" t="n"/>
      <c r="P652" s="60" t="n"/>
      <c r="Q652" s="60" t="n"/>
      <c r="R652" s="60" t="n"/>
      <c r="S652" s="60" t="n"/>
      <c r="T652" s="60" t="n"/>
      <c r="U652" s="60" t="n"/>
      <c r="V652" s="60" t="n"/>
      <c r="W652" s="60" t="n"/>
      <c r="X652" s="60" t="n"/>
      <c r="Y652" s="60" t="n"/>
      <c r="Z652" s="60" t="n"/>
    </row>
    <row r="653">
      <c r="A653" s="151" t="n">
        <v>46081</v>
      </c>
      <c r="B653" s="70" t="n">
        <v>416</v>
      </c>
      <c r="C653" s="115" t="inlineStr">
        <is>
          <t>GARAJ</t>
        </is>
      </c>
      <c r="D653" s="115" t="inlineStr">
        <is>
          <t>ZOOMLION</t>
        </is>
      </c>
      <c r="E653" s="115" t="inlineStr">
        <is>
          <t>SALİH ŞOLAN</t>
        </is>
      </c>
      <c r="F653" s="65" t="n"/>
      <c r="G653" s="152" t="n">
        <v>188</v>
      </c>
      <c r="H653" s="60" t="n"/>
      <c r="I653" s="156">
        <f>+I652+(G653-H653)</f>
        <v/>
      </c>
      <c r="J653" s="60" t="n"/>
      <c r="K653" s="60" t="n"/>
      <c r="L653" s="158">
        <f>+H653*J653</f>
        <v/>
      </c>
      <c r="M653" s="159">
        <f>SUM(M652+K653-L653)</f>
        <v/>
      </c>
      <c r="N653" s="60" t="n"/>
      <c r="O653" s="60" t="n"/>
      <c r="P653" s="60" t="n"/>
      <c r="Q653" s="60" t="n"/>
      <c r="R653" s="60" t="n"/>
      <c r="S653" s="60" t="n"/>
      <c r="T653" s="60" t="n"/>
      <c r="U653" s="60" t="n"/>
      <c r="V653" s="60" t="n"/>
      <c r="W653" s="60" t="n"/>
      <c r="X653" s="60" t="n"/>
      <c r="Y653" s="60" t="n"/>
      <c r="Z653" s="60" t="n"/>
    </row>
    <row r="654">
      <c r="A654" s="151" t="n">
        <v>46081</v>
      </c>
      <c r="B654" s="70" t="n">
        <v>614</v>
      </c>
      <c r="C654" s="115" t="inlineStr">
        <is>
          <t>SELİM İNŞAAT</t>
        </is>
      </c>
      <c r="D654" s="115" t="inlineStr">
        <is>
          <t>34 BUR 461</t>
        </is>
      </c>
      <c r="E654" s="115" t="inlineStr">
        <is>
          <t xml:space="preserve">MUSTAFA ALBAYRAK </t>
        </is>
      </c>
      <c r="F654" s="65" t="n"/>
      <c r="G654" s="152" t="n">
        <v>62</v>
      </c>
      <c r="H654" s="60" t="n"/>
      <c r="I654" s="156">
        <f>+I653+(G654-H654)</f>
        <v/>
      </c>
      <c r="J654" s="60" t="n"/>
      <c r="K654" s="60" t="n"/>
      <c r="L654" s="158">
        <f>+H654*J654</f>
        <v/>
      </c>
      <c r="M654" s="159">
        <f>SUM(M653+K654-L654)</f>
        <v/>
      </c>
      <c r="N654" s="60" t="n"/>
      <c r="O654" s="60" t="n"/>
      <c r="P654" s="60" t="n"/>
      <c r="Q654" s="60" t="n"/>
      <c r="R654" s="60" t="n"/>
      <c r="S654" s="60" t="n"/>
      <c r="T654" s="60" t="n"/>
      <c r="U654" s="60" t="n"/>
      <c r="V654" s="60" t="n"/>
      <c r="W654" s="60" t="n"/>
      <c r="X654" s="60" t="n"/>
      <c r="Y654" s="60" t="n"/>
      <c r="Z654" s="60" t="n"/>
    </row>
    <row r="655">
      <c r="A655" s="151" t="n">
        <v>46081</v>
      </c>
      <c r="B655" s="70" t="n">
        <v>4016</v>
      </c>
      <c r="C655" s="115" t="inlineStr">
        <is>
          <t>SELİM İNŞAAT</t>
        </is>
      </c>
      <c r="D655" s="115" t="inlineStr">
        <is>
          <t>34 AR 7743</t>
        </is>
      </c>
      <c r="E655" s="115" t="inlineStr">
        <is>
          <t>ABDULKERİM ERGEN</t>
        </is>
      </c>
      <c r="F655" s="65" t="n">
        <v>373920</v>
      </c>
      <c r="G655" s="152" t="n">
        <v>53</v>
      </c>
      <c r="H655" s="60" t="n"/>
      <c r="I655" s="156">
        <f>+I654+(G655-H655)</f>
        <v/>
      </c>
      <c r="J655" s="60" t="n"/>
      <c r="K655" s="60" t="n"/>
      <c r="L655" s="158">
        <f>+H655*J655</f>
        <v/>
      </c>
      <c r="M655" s="159">
        <f>SUM(M654+K655-L655)</f>
        <v/>
      </c>
      <c r="N655" s="60" t="n"/>
      <c r="O655" s="60" t="n"/>
      <c r="P655" s="60" t="n"/>
      <c r="Q655" s="60" t="n"/>
      <c r="R655" s="60" t="n"/>
      <c r="S655" s="60" t="n"/>
      <c r="T655" s="60" t="n"/>
      <c r="U655" s="60" t="n"/>
      <c r="V655" s="60" t="n"/>
      <c r="W655" s="60" t="n"/>
      <c r="X655" s="60" t="n"/>
      <c r="Y655" s="60" t="n"/>
      <c r="Z655" s="60" t="n"/>
    </row>
    <row r="656">
      <c r="A656" s="151" t="n">
        <v>46081</v>
      </c>
      <c r="B656" s="70" t="n">
        <v>2650</v>
      </c>
      <c r="C656" s="115" t="inlineStr">
        <is>
          <t>SELİM İNŞAAT</t>
        </is>
      </c>
      <c r="D656" s="115" t="inlineStr">
        <is>
          <t>34 GU 945</t>
        </is>
      </c>
      <c r="E656" s="115" t="inlineStr">
        <is>
          <t>YAKUP URUCU</t>
        </is>
      </c>
      <c r="F656" s="65" t="n">
        <v>472173</v>
      </c>
      <c r="G656" s="152" t="n">
        <v>66</v>
      </c>
      <c r="H656" s="60" t="n"/>
      <c r="I656" s="156">
        <f>+I655+(G656-H656)</f>
        <v/>
      </c>
      <c r="J656" s="60" t="n"/>
      <c r="K656" s="60" t="n"/>
      <c r="L656" s="158">
        <f>+H656*J656</f>
        <v/>
      </c>
      <c r="M656" s="159">
        <f>SUM(M655+K656-L656)</f>
        <v/>
      </c>
      <c r="N656" s="60" t="n"/>
      <c r="O656" s="60" t="n"/>
      <c r="P656" s="60" t="n"/>
      <c r="Q656" s="60" t="n"/>
      <c r="R656" s="60" t="n"/>
      <c r="S656" s="60" t="n"/>
      <c r="T656" s="60" t="n"/>
      <c r="U656" s="60" t="n"/>
      <c r="V656" s="60" t="n"/>
      <c r="W656" s="60" t="n"/>
      <c r="X656" s="60" t="n"/>
      <c r="Y656" s="60" t="n"/>
      <c r="Z656" s="60" t="n"/>
    </row>
    <row r="657">
      <c r="A657" s="151" t="n">
        <v>46081</v>
      </c>
      <c r="B657" s="70" t="n">
        <v>4169</v>
      </c>
      <c r="C657" s="115" t="inlineStr">
        <is>
          <t>SELİM İNŞAAT</t>
        </is>
      </c>
      <c r="D657" s="115" t="inlineStr">
        <is>
          <t>34 FBR 748</t>
        </is>
      </c>
      <c r="E657" s="115" t="inlineStr">
        <is>
          <t>YAŞAR ÖZKAYA</t>
        </is>
      </c>
      <c r="F657" s="65" t="n">
        <v>323940</v>
      </c>
      <c r="G657" s="152" t="n">
        <v>406</v>
      </c>
      <c r="H657" s="60" t="n"/>
      <c r="I657" s="156">
        <f>+I656+(G657-H657)</f>
        <v/>
      </c>
      <c r="J657" s="60" t="n"/>
      <c r="K657" s="60" t="n"/>
      <c r="L657" s="158">
        <f>+H657*J657</f>
        <v/>
      </c>
      <c r="M657" s="159">
        <f>SUM(M656+K657-L657)</f>
        <v/>
      </c>
      <c r="N657" s="60" t="n"/>
      <c r="O657" s="60" t="n"/>
      <c r="P657" s="60" t="n"/>
      <c r="Q657" s="60" t="n"/>
      <c r="R657" s="60" t="n"/>
      <c r="S657" s="60" t="n"/>
      <c r="T657" s="60" t="n"/>
      <c r="U657" s="60" t="n"/>
      <c r="V657" s="60" t="n"/>
      <c r="W657" s="60" t="n"/>
      <c r="X657" s="60" t="n"/>
      <c r="Y657" s="60" t="n"/>
      <c r="Z657" s="60" t="n"/>
    </row>
    <row r="658">
      <c r="A658" s="151" t="n">
        <v>46081</v>
      </c>
      <c r="B658" s="70" t="n">
        <v>1546</v>
      </c>
      <c r="C658" s="115" t="inlineStr">
        <is>
          <t>SELİM İNŞAAT</t>
        </is>
      </c>
      <c r="D658" s="115" t="inlineStr">
        <is>
          <t>34 GUS 848</t>
        </is>
      </c>
      <c r="E658" s="115" t="inlineStr">
        <is>
          <t>SERDAR BOZKURT</t>
        </is>
      </c>
      <c r="F658" s="65" t="n">
        <v>232573</v>
      </c>
      <c r="G658" s="152" t="n">
        <v>501</v>
      </c>
      <c r="H658" s="60" t="n"/>
      <c r="I658" s="156">
        <f>+I657+(G658-H658)</f>
        <v/>
      </c>
      <c r="J658" s="60" t="n"/>
      <c r="K658" s="60" t="n"/>
      <c r="L658" s="158">
        <f>+H658*J658</f>
        <v/>
      </c>
      <c r="M658" s="159">
        <f>SUM(M657+K658-L658)</f>
        <v/>
      </c>
      <c r="N658" s="60" t="n"/>
      <c r="O658" s="60" t="n"/>
      <c r="P658" s="60" t="n"/>
      <c r="Q658" s="60" t="n"/>
      <c r="R658" s="60" t="n"/>
      <c r="S658" s="60" t="n"/>
      <c r="T658" s="60" t="n"/>
      <c r="U658" s="60" t="n"/>
      <c r="V658" s="60" t="n"/>
      <c r="W658" s="60" t="n"/>
      <c r="X658" s="60" t="n"/>
      <c r="Y658" s="60" t="n"/>
      <c r="Z658" s="60" t="n"/>
    </row>
    <row r="659">
      <c r="A659" s="151" t="n">
        <v>46081</v>
      </c>
      <c r="B659" s="70" t="n">
        <v>4926</v>
      </c>
      <c r="C659" s="115" t="inlineStr">
        <is>
          <t>SELİM İNŞAAT</t>
        </is>
      </c>
      <c r="D659" s="115" t="inlineStr">
        <is>
          <t>34 FBR 742</t>
        </is>
      </c>
      <c r="E659" s="115" t="inlineStr">
        <is>
          <t>ADNAN KOÇ</t>
        </is>
      </c>
      <c r="F659" s="65" t="n">
        <v>366556</v>
      </c>
      <c r="G659" s="152" t="n">
        <v>494</v>
      </c>
      <c r="H659" s="60" t="n"/>
      <c r="I659" s="156">
        <f>+I658+(G659-H659)</f>
        <v/>
      </c>
      <c r="J659" s="60" t="n"/>
      <c r="K659" s="60" t="n"/>
      <c r="L659" s="158">
        <f>+H659*J659</f>
        <v/>
      </c>
      <c r="M659" s="159">
        <f>SUM(M658+K659-L659)</f>
        <v/>
      </c>
      <c r="N659" s="60" t="n"/>
      <c r="O659" s="60" t="n"/>
      <c r="P659" s="60" t="n"/>
      <c r="Q659" s="60" t="n"/>
      <c r="R659" s="60" t="n"/>
      <c r="S659" s="60" t="n"/>
      <c r="T659" s="60" t="n"/>
      <c r="U659" s="60" t="n"/>
      <c r="V659" s="60" t="n"/>
      <c r="W659" s="60" t="n"/>
      <c r="X659" s="60" t="n"/>
      <c r="Y659" s="60" t="n"/>
      <c r="Z659" s="60" t="n"/>
    </row>
    <row r="660">
      <c r="A660" s="151" t="n">
        <v>46081</v>
      </c>
      <c r="B660" s="70" t="n">
        <v>905</v>
      </c>
      <c r="C660" s="115" t="inlineStr">
        <is>
          <t>SELİM İNŞAAT</t>
        </is>
      </c>
      <c r="D660" s="115" t="inlineStr">
        <is>
          <t>34 FSG 229</t>
        </is>
      </c>
      <c r="E660" s="115" t="inlineStr">
        <is>
          <t>SİNAN TANRIVERDİ</t>
        </is>
      </c>
      <c r="F660" s="65" t="n">
        <v>299689</v>
      </c>
      <c r="G660" s="152" t="n">
        <v>405</v>
      </c>
      <c r="H660" s="60" t="n"/>
      <c r="I660" s="156">
        <f>+I659+(G660-H660)</f>
        <v/>
      </c>
      <c r="J660" s="60" t="n"/>
      <c r="K660" s="60" t="n"/>
      <c r="L660" s="158">
        <f>+H660*J660</f>
        <v/>
      </c>
      <c r="M660" s="159">
        <f>SUM(M659+K660-L660)</f>
        <v/>
      </c>
      <c r="N660" s="60" t="n"/>
      <c r="O660" s="60" t="n"/>
      <c r="P660" s="60" t="n"/>
      <c r="Q660" s="60" t="n"/>
      <c r="R660" s="60" t="n"/>
      <c r="S660" s="60" t="n"/>
      <c r="T660" s="60" t="n"/>
      <c r="U660" s="60" t="n"/>
      <c r="V660" s="60" t="n"/>
      <c r="W660" s="60" t="n"/>
      <c r="X660" s="60" t="n"/>
      <c r="Y660" s="60" t="n"/>
      <c r="Z660" s="60" t="n"/>
    </row>
    <row r="661">
      <c r="A661" s="151" t="n">
        <v>46081</v>
      </c>
      <c r="B661" s="70" t="n">
        <v>4876</v>
      </c>
      <c r="C661" s="115" t="inlineStr">
        <is>
          <t>SELİM İNŞAAT</t>
        </is>
      </c>
      <c r="D661" s="115" t="inlineStr">
        <is>
          <t>34 FBR 705</t>
        </is>
      </c>
      <c r="E661" s="115" t="inlineStr">
        <is>
          <t>MURAT SARI</t>
        </is>
      </c>
      <c r="F661" s="65" t="n">
        <v>362196</v>
      </c>
      <c r="G661" s="152" t="n">
        <v>37</v>
      </c>
      <c r="H661" s="60" t="n"/>
      <c r="I661" s="156">
        <f>+I660+(G661-H661)</f>
        <v/>
      </c>
      <c r="J661" s="60" t="n"/>
      <c r="K661" s="60" t="n"/>
      <c r="L661" s="158">
        <f>+H661*J661</f>
        <v/>
      </c>
      <c r="M661" s="159">
        <f>SUM(M660+K661-L661)</f>
        <v/>
      </c>
      <c r="N661" s="60" t="n"/>
      <c r="O661" s="60" t="n"/>
      <c r="P661" s="60" t="n"/>
      <c r="Q661" s="60" t="n"/>
      <c r="R661" s="60" t="n"/>
      <c r="S661" s="60" t="n"/>
      <c r="T661" s="60" t="n"/>
      <c r="U661" s="60" t="n"/>
      <c r="V661" s="60" t="n"/>
      <c r="W661" s="60" t="n"/>
      <c r="X661" s="60" t="n"/>
      <c r="Y661" s="60" t="n"/>
      <c r="Z661" s="60" t="n"/>
    </row>
    <row r="662">
      <c r="A662" s="151" t="n">
        <v>46081</v>
      </c>
      <c r="B662" s="70" t="n">
        <v>3427</v>
      </c>
      <c r="C662" s="115" t="inlineStr">
        <is>
          <t>SELİM İNŞAAT</t>
        </is>
      </c>
      <c r="D662" s="115" t="inlineStr">
        <is>
          <t>34 GVZ 310</t>
        </is>
      </c>
      <c r="E662" s="115" t="inlineStr">
        <is>
          <t>CELAL YÜZBAŞI</t>
        </is>
      </c>
      <c r="F662" s="65" t="n">
        <v>246694</v>
      </c>
      <c r="G662" s="152" t="n">
        <v>452</v>
      </c>
      <c r="H662" s="60" t="n"/>
      <c r="I662" s="156">
        <f>+I661+(G662-H662)</f>
        <v/>
      </c>
      <c r="J662" s="60" t="n"/>
      <c r="K662" s="60" t="n"/>
      <c r="L662" s="158">
        <f>+H662*J662</f>
        <v/>
      </c>
      <c r="M662" s="159">
        <f>SUM(M661+K662-L662)</f>
        <v/>
      </c>
      <c r="N662" s="60" t="n"/>
      <c r="O662" s="60" t="n"/>
      <c r="P662" s="60" t="n"/>
      <c r="Q662" s="60" t="n"/>
      <c r="R662" s="60" t="n"/>
      <c r="S662" s="60" t="n"/>
      <c r="T662" s="60" t="n"/>
      <c r="U662" s="60" t="n"/>
      <c r="V662" s="60" t="n"/>
      <c r="W662" s="60" t="n"/>
      <c r="X662" s="60" t="n"/>
      <c r="Y662" s="60" t="n"/>
      <c r="Z662" s="60" t="n"/>
    </row>
    <row r="663">
      <c r="A663" s="151" t="n">
        <v>46081</v>
      </c>
      <c r="B663" s="70" t="n">
        <v>4971</v>
      </c>
      <c r="C663" s="115" t="inlineStr">
        <is>
          <t>SELİM İNŞAAT</t>
        </is>
      </c>
      <c r="D663" s="115" t="inlineStr">
        <is>
          <t xml:space="preserve">34 GVZ 745 </t>
        </is>
      </c>
      <c r="E663" s="115" t="inlineStr">
        <is>
          <t>MURAT DEMİRBAĞ</t>
        </is>
      </c>
      <c r="F663" s="65" t="n">
        <v>246800</v>
      </c>
      <c r="G663" s="152" t="n">
        <v>501</v>
      </c>
      <c r="H663" s="60" t="n"/>
      <c r="I663" s="156">
        <f>+I662+(G663-H663)</f>
        <v/>
      </c>
      <c r="J663" s="60" t="n"/>
      <c r="K663" s="60" t="n"/>
      <c r="L663" s="158">
        <f>+H663*J663</f>
        <v/>
      </c>
      <c r="M663" s="159">
        <f>SUM(M662+K663-L663)</f>
        <v/>
      </c>
      <c r="N663" s="60" t="n"/>
      <c r="O663" s="60" t="n"/>
      <c r="P663" s="60" t="n"/>
      <c r="Q663" s="60" t="n"/>
      <c r="R663" s="60" t="n"/>
      <c r="S663" s="60" t="n"/>
      <c r="T663" s="60" t="n"/>
      <c r="U663" s="60" t="n"/>
      <c r="V663" s="60" t="n"/>
      <c r="W663" s="60" t="n"/>
      <c r="X663" s="60" t="n"/>
      <c r="Y663" s="60" t="n"/>
      <c r="Z663" s="60" t="n"/>
    </row>
    <row r="664">
      <c r="A664" s="151" t="n">
        <v>46081</v>
      </c>
      <c r="B664" s="70" t="n">
        <v>514</v>
      </c>
      <c r="C664" s="115" t="inlineStr">
        <is>
          <t>SELİM İNŞAAT</t>
        </is>
      </c>
      <c r="D664" s="115" t="inlineStr">
        <is>
          <t>34 EGR 737</t>
        </is>
      </c>
      <c r="E664" s="115" t="inlineStr">
        <is>
          <t>CEM MUHTAR</t>
        </is>
      </c>
      <c r="F664" s="65" t="n">
        <v>460824</v>
      </c>
      <c r="G664" s="152" t="n">
        <v>505</v>
      </c>
      <c r="H664" s="60" t="n"/>
      <c r="I664" s="156">
        <f>+I663+(G664-H664)</f>
        <v/>
      </c>
      <c r="J664" s="60" t="n"/>
      <c r="K664" s="60" t="n"/>
      <c r="L664" s="158">
        <f>+H664*J664</f>
        <v/>
      </c>
      <c r="M664" s="159">
        <f>SUM(M663+K664-L664)</f>
        <v/>
      </c>
      <c r="N664" s="60" t="n"/>
      <c r="O664" s="60" t="n"/>
      <c r="P664" s="60" t="n"/>
      <c r="Q664" s="60" t="n"/>
      <c r="R664" s="60" t="n"/>
      <c r="S664" s="60" t="n"/>
      <c r="T664" s="60" t="n"/>
      <c r="U664" s="60" t="n"/>
      <c r="V664" s="60" t="n"/>
      <c r="W664" s="60" t="n"/>
      <c r="X664" s="60" t="n"/>
      <c r="Y664" s="60" t="n"/>
      <c r="Z664" s="60" t="n"/>
    </row>
    <row r="665">
      <c r="A665" s="151" t="n">
        <v>46081</v>
      </c>
      <c r="B665" s="70" t="n">
        <v>1341</v>
      </c>
      <c r="C665" s="115" t="inlineStr">
        <is>
          <t>SELİM İNŞAAT</t>
        </is>
      </c>
      <c r="D665" s="115" t="inlineStr">
        <is>
          <t>34 GVZ 199</t>
        </is>
      </c>
      <c r="E665" s="115" t="inlineStr">
        <is>
          <t>HÜSEYİN DENİZ</t>
        </is>
      </c>
      <c r="F665" s="65" t="n">
        <v>226059</v>
      </c>
      <c r="G665" s="152" t="n">
        <v>508</v>
      </c>
      <c r="H665" s="60" t="n"/>
      <c r="I665" s="156">
        <f>+I664+(G665-H665)</f>
        <v/>
      </c>
      <c r="J665" s="60" t="n"/>
      <c r="K665" s="60" t="n"/>
      <c r="L665" s="158">
        <f>+H665*J665</f>
        <v/>
      </c>
      <c r="M665" s="159">
        <f>SUM(M664+K665-L665)</f>
        <v/>
      </c>
      <c r="N665" s="60" t="n"/>
      <c r="O665" s="60" t="n"/>
      <c r="P665" s="60" t="n"/>
      <c r="Q665" s="60" t="n"/>
      <c r="R665" s="60" t="n"/>
      <c r="S665" s="60" t="n"/>
      <c r="T665" s="60" t="n"/>
      <c r="U665" s="60" t="n"/>
      <c r="V665" s="60" t="n"/>
      <c r="W665" s="60" t="n"/>
      <c r="X665" s="60" t="n"/>
      <c r="Y665" s="60" t="n"/>
      <c r="Z665" s="60" t="n"/>
    </row>
    <row r="666">
      <c r="A666" s="151" t="n">
        <v>46081</v>
      </c>
      <c r="B666" s="70" t="n">
        <v>11</v>
      </c>
      <c r="C666" s="115" t="inlineStr">
        <is>
          <t>SELİM İNŞAAT</t>
        </is>
      </c>
      <c r="D666" s="115" t="inlineStr">
        <is>
          <t xml:space="preserve">34 GVZ 268 </t>
        </is>
      </c>
      <c r="E666" s="115" t="inlineStr">
        <is>
          <t>KERİM KARAMAN</t>
        </is>
      </c>
      <c r="F666" s="65" t="n">
        <v>251112</v>
      </c>
      <c r="G666" s="152" t="n">
        <v>500</v>
      </c>
      <c r="H666" s="60" t="n"/>
      <c r="I666" s="156">
        <f>+I665+(G666-H666)</f>
        <v/>
      </c>
      <c r="J666" s="60" t="n"/>
      <c r="K666" s="60" t="n"/>
      <c r="L666" s="158">
        <f>+H666*J666</f>
        <v/>
      </c>
      <c r="M666" s="159">
        <f>SUM(M665+K666-L666)</f>
        <v/>
      </c>
      <c r="N666" s="60" t="n"/>
      <c r="O666" s="60" t="n"/>
      <c r="P666" s="60" t="n"/>
      <c r="Q666" s="60" t="n"/>
      <c r="R666" s="60" t="n"/>
      <c r="S666" s="60" t="n"/>
      <c r="T666" s="60" t="n"/>
      <c r="U666" s="60" t="n"/>
      <c r="V666" s="60" t="n"/>
      <c r="W666" s="60" t="n"/>
      <c r="X666" s="60" t="n"/>
      <c r="Y666" s="60" t="n"/>
      <c r="Z666" s="60" t="n"/>
    </row>
    <row r="667">
      <c r="A667" s="151" t="n">
        <v>46082</v>
      </c>
      <c r="B667" s="70" t="n">
        <v>195</v>
      </c>
      <c r="C667" s="115" t="inlineStr">
        <is>
          <t>SELİM İNŞAAT</t>
        </is>
      </c>
      <c r="D667" s="115" t="inlineStr">
        <is>
          <t>34 TG 7869</t>
        </is>
      </c>
      <c r="E667" s="115" t="inlineStr">
        <is>
          <t>DURSUN ALİ GÜREK</t>
        </is>
      </c>
      <c r="F667" s="65" t="n">
        <v>193492</v>
      </c>
      <c r="G667" s="152" t="n">
        <v>450</v>
      </c>
      <c r="H667" s="60" t="n"/>
      <c r="I667" s="156">
        <f>+I666+(G667-H667)</f>
        <v/>
      </c>
      <c r="J667" s="60" t="n"/>
      <c r="K667" s="60" t="n"/>
      <c r="L667" s="158">
        <f>+H667*J667</f>
        <v/>
      </c>
      <c r="M667" s="159">
        <f>SUM(M666+K667-L667)</f>
        <v/>
      </c>
      <c r="N667" s="60" t="n"/>
      <c r="O667" s="60" t="n"/>
      <c r="P667" s="60" t="n"/>
      <c r="Q667" s="60" t="n"/>
      <c r="R667" s="60" t="n"/>
      <c r="S667" s="60" t="n"/>
      <c r="T667" s="60" t="n"/>
      <c r="U667" s="60" t="n"/>
      <c r="V667" s="60" t="n"/>
      <c r="W667" s="60" t="n"/>
      <c r="X667" s="60" t="n"/>
      <c r="Y667" s="60" t="n"/>
      <c r="Z667" s="60" t="n"/>
    </row>
    <row r="668">
      <c r="A668" s="151" t="n">
        <v>46082</v>
      </c>
      <c r="B668" s="70" t="n">
        <v>4463</v>
      </c>
      <c r="C668" s="115" t="inlineStr">
        <is>
          <t>SELİM İNŞAAT</t>
        </is>
      </c>
      <c r="D668" s="115" t="inlineStr">
        <is>
          <t>34 DKL 798</t>
        </is>
      </c>
      <c r="E668" s="115" t="inlineStr">
        <is>
          <t>HASAN BAYCA</t>
        </is>
      </c>
      <c r="F668" s="65" t="n">
        <v>80771</v>
      </c>
      <c r="G668" s="152" t="n">
        <v>390</v>
      </c>
      <c r="H668" s="60" t="n"/>
      <c r="I668" s="156">
        <f>+I667+(G668-H668)</f>
        <v/>
      </c>
      <c r="J668" s="60" t="n"/>
      <c r="K668" s="60" t="n"/>
      <c r="L668" s="158">
        <f>+H668*J668</f>
        <v/>
      </c>
      <c r="M668" s="159">
        <f>SUM(M667+K668-L668)</f>
        <v/>
      </c>
      <c r="N668" s="60" t="n"/>
      <c r="O668" s="60" t="n"/>
      <c r="P668" s="60" t="n"/>
      <c r="Q668" s="60" t="n"/>
      <c r="R668" s="60" t="n"/>
      <c r="S668" s="60" t="n"/>
      <c r="T668" s="60" t="n"/>
      <c r="U668" s="60" t="n"/>
      <c r="V668" s="60" t="n"/>
      <c r="W668" s="60" t="n"/>
      <c r="X668" s="60" t="n"/>
      <c r="Y668" s="60" t="n"/>
      <c r="Z668" s="60" t="n"/>
    </row>
    <row r="669">
      <c r="A669" s="151" t="n">
        <v>46082</v>
      </c>
      <c r="B669" s="70" t="n">
        <v>2979</v>
      </c>
      <c r="C669" s="115" t="inlineStr">
        <is>
          <t>SELİM İNŞAAT</t>
        </is>
      </c>
      <c r="D669" s="115" t="inlineStr">
        <is>
          <t>34 DFE 454</t>
        </is>
      </c>
      <c r="E669" s="115" t="inlineStr">
        <is>
          <t>HÜSEYİN ALIN</t>
        </is>
      </c>
      <c r="F669" s="65" t="n">
        <v>174382</v>
      </c>
      <c r="G669" s="152" t="n">
        <v>326</v>
      </c>
      <c r="H669" s="60" t="n"/>
      <c r="I669" s="156">
        <f>+I668+(G669-H669)</f>
        <v/>
      </c>
      <c r="J669" s="60" t="n"/>
      <c r="K669" s="60" t="n"/>
      <c r="L669" s="158">
        <f>+H669*J669</f>
        <v/>
      </c>
      <c r="M669" s="159">
        <f>SUM(M668+K669-L669)</f>
        <v/>
      </c>
      <c r="N669" s="60" t="n"/>
      <c r="O669" s="60" t="n"/>
      <c r="P669" s="60" t="n"/>
      <c r="Q669" s="60" t="n"/>
      <c r="R669" s="60" t="n"/>
      <c r="S669" s="60" t="n"/>
      <c r="T669" s="60" t="n"/>
      <c r="U669" s="60" t="n"/>
      <c r="V669" s="60" t="n"/>
      <c r="W669" s="60" t="n"/>
      <c r="X669" s="60" t="n"/>
      <c r="Y669" s="60" t="n"/>
      <c r="Z669" s="60" t="n"/>
    </row>
    <row r="670">
      <c r="A670" s="151" t="n">
        <v>46082</v>
      </c>
      <c r="B670" s="70" t="n">
        <v>615</v>
      </c>
      <c r="C670" s="115" t="inlineStr">
        <is>
          <t>AHMET SELİM TEMHA</t>
        </is>
      </c>
      <c r="D670" s="115" t="inlineStr">
        <is>
          <t>34 PGT 251</t>
        </is>
      </c>
      <c r="E670" s="115" t="inlineStr">
        <is>
          <t>ERSOY SIĞINMAZ</t>
        </is>
      </c>
      <c r="F670" s="65" t="n"/>
      <c r="G670" s="152" t="n">
        <v>53</v>
      </c>
      <c r="H670" s="60" t="n"/>
      <c r="I670" s="156">
        <f>+I669+(G670-H670)</f>
        <v/>
      </c>
      <c r="J670" s="60" t="n"/>
      <c r="K670" s="60" t="n"/>
      <c r="L670" s="158">
        <f>+H670*J670</f>
        <v/>
      </c>
      <c r="M670" s="159">
        <f>SUM(M669+K670-L670)</f>
        <v/>
      </c>
      <c r="N670" s="60" t="n"/>
      <c r="O670" s="60" t="n"/>
      <c r="P670" s="60" t="n"/>
      <c r="Q670" s="60" t="n"/>
      <c r="R670" s="60" t="n"/>
      <c r="S670" s="60" t="n"/>
      <c r="T670" s="60" t="n"/>
      <c r="U670" s="60" t="n"/>
      <c r="V670" s="60" t="n"/>
      <c r="W670" s="60" t="n"/>
      <c r="X670" s="60" t="n"/>
      <c r="Y670" s="60" t="n"/>
      <c r="Z670" s="60" t="n"/>
    </row>
    <row r="671">
      <c r="A671" s="151" t="n">
        <v>46082</v>
      </c>
      <c r="B671" s="70" t="n">
        <v>417</v>
      </c>
      <c r="C671" s="115" t="inlineStr">
        <is>
          <t>MEGA</t>
        </is>
      </c>
      <c r="D671" s="115" t="inlineStr">
        <is>
          <t>SM350</t>
        </is>
      </c>
      <c r="E671" s="115" t="inlineStr">
        <is>
          <t>TEVFİK</t>
        </is>
      </c>
      <c r="F671" s="65" t="n"/>
      <c r="G671" s="152" t="n">
        <v>369</v>
      </c>
      <c r="H671" s="60" t="n"/>
      <c r="I671" s="156">
        <f>+I670+(G671-H671)</f>
        <v/>
      </c>
      <c r="J671" s="60" t="n"/>
      <c r="K671" s="60" t="n"/>
      <c r="L671" s="158">
        <f>+H671*J671</f>
        <v/>
      </c>
      <c r="M671" s="159">
        <f>SUM(M670+K671-L671)</f>
        <v/>
      </c>
      <c r="N671" s="60" t="n"/>
      <c r="O671" s="60" t="n"/>
      <c r="P671" s="60" t="n"/>
      <c r="Q671" s="60" t="n"/>
      <c r="R671" s="60" t="n"/>
      <c r="S671" s="60" t="n"/>
      <c r="T671" s="60" t="n"/>
      <c r="U671" s="60" t="n"/>
      <c r="V671" s="60" t="n"/>
      <c r="W671" s="60" t="n"/>
      <c r="X671" s="60" t="n"/>
      <c r="Y671" s="60" t="n"/>
      <c r="Z671" s="60" t="n"/>
    </row>
    <row r="672">
      <c r="A672" s="151" t="n">
        <v>46082</v>
      </c>
      <c r="B672" s="70" t="n">
        <v>418</v>
      </c>
      <c r="C672" s="115" t="inlineStr">
        <is>
          <t>MEGA</t>
        </is>
      </c>
      <c r="D672" s="115" t="inlineStr">
        <is>
          <t>SM300</t>
        </is>
      </c>
      <c r="E672" s="115" t="inlineStr">
        <is>
          <t>TURGUT</t>
        </is>
      </c>
      <c r="F672" s="65" t="n"/>
      <c r="G672" s="152" t="n">
        <v>514</v>
      </c>
      <c r="H672" s="60" t="n"/>
      <c r="I672" s="156">
        <f>+I671+(G672-H672)</f>
        <v/>
      </c>
      <c r="J672" s="60" t="n"/>
      <c r="K672" s="60" t="n"/>
      <c r="L672" s="158">
        <f>+H672*J672</f>
        <v/>
      </c>
      <c r="M672" s="159">
        <f>SUM(M671+K672-L672)</f>
        <v/>
      </c>
      <c r="N672" s="60" t="n"/>
      <c r="O672" s="60" t="n"/>
      <c r="P672" s="60" t="n"/>
      <c r="Q672" s="60" t="n"/>
      <c r="R672" s="60" t="n"/>
      <c r="S672" s="60" t="n"/>
      <c r="T672" s="60" t="n"/>
      <c r="U672" s="60" t="n"/>
      <c r="V672" s="60" t="n"/>
      <c r="W672" s="60" t="n"/>
      <c r="X672" s="60" t="n"/>
      <c r="Y672" s="60" t="n"/>
      <c r="Z672" s="60" t="n"/>
    </row>
    <row r="673">
      <c r="A673" s="151" t="n">
        <v>46082</v>
      </c>
      <c r="B673" s="70" t="n">
        <v>419</v>
      </c>
      <c r="C673" s="115" t="inlineStr">
        <is>
          <t>MEGA</t>
        </is>
      </c>
      <c r="D673" s="115" t="inlineStr">
        <is>
          <t>KAWAZAKİ</t>
        </is>
      </c>
      <c r="E673" s="115" t="inlineStr">
        <is>
          <t>RAMAZAN</t>
        </is>
      </c>
      <c r="F673" s="65" t="n"/>
      <c r="G673" s="152" t="n">
        <v>250</v>
      </c>
      <c r="H673" s="60" t="n"/>
      <c r="I673" s="156">
        <f>+I672+(G673-H673)</f>
        <v/>
      </c>
      <c r="J673" s="60" t="n"/>
      <c r="K673" s="60" t="n"/>
      <c r="L673" s="158">
        <f>+H673*J673</f>
        <v/>
      </c>
      <c r="M673" s="159">
        <f>SUM(M672+K673-L673)</f>
        <v/>
      </c>
      <c r="N673" s="60" t="n"/>
      <c r="O673" s="60" t="n"/>
      <c r="P673" s="60" t="n"/>
      <c r="Q673" s="60" t="n"/>
      <c r="R673" s="60" t="n"/>
      <c r="S673" s="60" t="n"/>
      <c r="T673" s="60" t="n"/>
      <c r="U673" s="60" t="n"/>
      <c r="V673" s="60" t="n"/>
      <c r="W673" s="60" t="n"/>
      <c r="X673" s="60" t="n"/>
      <c r="Y673" s="60" t="n"/>
      <c r="Z673" s="60" t="n"/>
    </row>
    <row r="674">
      <c r="A674" s="151" t="n">
        <v>46082</v>
      </c>
      <c r="B674" s="70" t="n">
        <v>420</v>
      </c>
      <c r="C674" s="115" t="inlineStr">
        <is>
          <t>MEGA</t>
        </is>
      </c>
      <c r="D674" s="115" t="inlineStr">
        <is>
          <t>SM350</t>
        </is>
      </c>
      <c r="E674" s="115" t="inlineStr">
        <is>
          <t>EMİRCAN</t>
        </is>
      </c>
      <c r="F674" s="65" t="n"/>
      <c r="G674" s="152" t="n">
        <v>394</v>
      </c>
      <c r="H674" s="60" t="n"/>
      <c r="I674" s="156">
        <f>+I673+(G674-H674)</f>
        <v/>
      </c>
      <c r="J674" s="60" t="n"/>
      <c r="K674" s="60" t="n"/>
      <c r="L674" s="158">
        <f>+H674*J674</f>
        <v/>
      </c>
      <c r="M674" s="159">
        <f>SUM(M673+K674-L674)</f>
        <v/>
      </c>
      <c r="N674" s="60" t="n"/>
      <c r="O674" s="60" t="n"/>
      <c r="P674" s="60" t="n"/>
      <c r="Q674" s="60" t="n"/>
      <c r="R674" s="60" t="n"/>
      <c r="S674" s="60" t="n"/>
      <c r="T674" s="60" t="n"/>
      <c r="U674" s="60" t="n"/>
      <c r="V674" s="60" t="n"/>
      <c r="W674" s="60" t="n"/>
      <c r="X674" s="60" t="n"/>
      <c r="Y674" s="60" t="n"/>
      <c r="Z674" s="60" t="n"/>
    </row>
    <row r="675">
      <c r="A675" s="151" t="n">
        <v>46082</v>
      </c>
      <c r="B675" s="70" t="n">
        <v>421</v>
      </c>
      <c r="C675" s="115" t="inlineStr">
        <is>
          <t>MEGA</t>
        </is>
      </c>
      <c r="D675" s="115" t="inlineStr">
        <is>
          <t>SM370</t>
        </is>
      </c>
      <c r="E675" s="115" t="inlineStr">
        <is>
          <t>TEKİN</t>
        </is>
      </c>
      <c r="F675" s="65" t="n"/>
      <c r="G675" s="152" t="n">
        <v>383</v>
      </c>
      <c r="H675" s="60" t="n"/>
      <c r="I675" s="156">
        <f>+I674+(G675-H675)</f>
        <v/>
      </c>
      <c r="J675" s="60" t="n"/>
      <c r="K675" s="60" t="n"/>
      <c r="L675" s="158">
        <f>+H675*J675</f>
        <v/>
      </c>
      <c r="M675" s="159">
        <f>SUM(M674+K675-L675)</f>
        <v/>
      </c>
      <c r="N675" s="60" t="n"/>
      <c r="O675" s="60" t="n"/>
      <c r="P675" s="60" t="n"/>
      <c r="Q675" s="60" t="n"/>
      <c r="R675" s="60" t="n"/>
      <c r="S675" s="60" t="n"/>
      <c r="T675" s="60" t="n"/>
      <c r="U675" s="60" t="n"/>
      <c r="V675" s="60" t="n"/>
      <c r="W675" s="60" t="n"/>
      <c r="X675" s="60" t="n"/>
      <c r="Y675" s="60" t="n"/>
      <c r="Z675" s="60" t="n"/>
    </row>
    <row r="676">
      <c r="A676" s="151" t="n">
        <v>46082</v>
      </c>
      <c r="B676" s="70" t="n">
        <v>422</v>
      </c>
      <c r="C676" s="115" t="inlineStr">
        <is>
          <t>VARLIK</t>
        </is>
      </c>
      <c r="D676" s="115" t="inlineStr">
        <is>
          <t>SİLİNDİR</t>
        </is>
      </c>
      <c r="E676" s="115" t="inlineStr">
        <is>
          <t>MEHMET ALİ</t>
        </is>
      </c>
      <c r="F676" s="65" t="n"/>
      <c r="G676" s="152" t="n">
        <v>335</v>
      </c>
      <c r="H676" s="60" t="n"/>
      <c r="I676" s="156">
        <f>+I675+(G676-H676)</f>
        <v/>
      </c>
      <c r="J676" s="60" t="n"/>
      <c r="K676" s="60" t="n"/>
      <c r="L676" s="158">
        <f>+H676*J676</f>
        <v/>
      </c>
      <c r="M676" s="159">
        <f>SUM(M675+K676-L676)</f>
        <v/>
      </c>
      <c r="N676" s="60" t="n"/>
      <c r="O676" s="60" t="n"/>
      <c r="P676" s="60" t="n"/>
      <c r="Q676" s="60" t="n"/>
      <c r="R676" s="60" t="n"/>
      <c r="S676" s="60" t="n"/>
      <c r="T676" s="60" t="n"/>
      <c r="U676" s="60" t="n"/>
      <c r="V676" s="60" t="n"/>
      <c r="W676" s="60" t="n"/>
      <c r="X676" s="60" t="n"/>
      <c r="Y676" s="60" t="n"/>
      <c r="Z676" s="60" t="n"/>
    </row>
    <row r="677">
      <c r="A677" s="151" t="n">
        <v>46082</v>
      </c>
      <c r="B677" s="70" t="n">
        <v>423</v>
      </c>
      <c r="C677" s="115" t="inlineStr">
        <is>
          <t>VARLIK</t>
        </is>
      </c>
      <c r="D677" s="115" t="inlineStr">
        <is>
          <t>HİTACHİ</t>
        </is>
      </c>
      <c r="E677" s="115" t="inlineStr">
        <is>
          <t>TURGUT</t>
        </is>
      </c>
      <c r="F677" s="65" t="n"/>
      <c r="G677" s="152" t="n">
        <v>375</v>
      </c>
      <c r="H677" s="60" t="n"/>
      <c r="I677" s="156">
        <f>+I676+(G677-H677)</f>
        <v/>
      </c>
      <c r="J677" s="60" t="n"/>
      <c r="K677" s="60" t="n"/>
      <c r="L677" s="158">
        <f>+H677*J677</f>
        <v/>
      </c>
      <c r="M677" s="159">
        <f>SUM(M676+K677-L677)</f>
        <v/>
      </c>
      <c r="N677" s="60" t="n"/>
      <c r="O677" s="60" t="n"/>
      <c r="P677" s="60" t="n"/>
      <c r="Q677" s="60" t="n"/>
      <c r="R677" s="60" t="n"/>
      <c r="S677" s="60" t="n"/>
      <c r="T677" s="60" t="n"/>
      <c r="U677" s="60" t="n"/>
      <c r="V677" s="60" t="n"/>
      <c r="W677" s="60" t="n"/>
      <c r="X677" s="60" t="n"/>
      <c r="Y677" s="60" t="n"/>
      <c r="Z677" s="60" t="n"/>
    </row>
    <row r="678">
      <c r="A678" s="151" t="n">
        <v>46083</v>
      </c>
      <c r="B678" s="70" t="n">
        <v>4363</v>
      </c>
      <c r="C678" s="115" t="inlineStr">
        <is>
          <t>SELİM İNŞAAT</t>
        </is>
      </c>
      <c r="D678" s="115" t="inlineStr">
        <is>
          <t>34 EDB 829</t>
        </is>
      </c>
      <c r="E678" s="115" t="inlineStr">
        <is>
          <t>FATİH ÖZBOLAT</t>
        </is>
      </c>
      <c r="F678" s="65" t="n">
        <v>355043</v>
      </c>
      <c r="G678" s="152" t="n">
        <v>522</v>
      </c>
      <c r="H678" s="60" t="n"/>
      <c r="I678" s="156">
        <f>+I677+(G678-H678)</f>
        <v/>
      </c>
      <c r="J678" s="60" t="n"/>
      <c r="K678" s="60" t="n"/>
      <c r="L678" s="158">
        <f>+H678*J678</f>
        <v/>
      </c>
      <c r="M678" s="159">
        <f>SUM(M677+K678-L678)</f>
        <v/>
      </c>
      <c r="N678" s="60" t="n"/>
      <c r="O678" s="60" t="n"/>
      <c r="P678" s="60" t="n"/>
      <c r="Q678" s="60" t="n"/>
      <c r="R678" s="60" t="n"/>
      <c r="S678" s="60" t="n"/>
      <c r="T678" s="60" t="n"/>
      <c r="U678" s="60" t="n"/>
      <c r="V678" s="60" t="n"/>
      <c r="W678" s="60" t="n"/>
      <c r="X678" s="60" t="n"/>
      <c r="Y678" s="60" t="n"/>
      <c r="Z678" s="60" t="n"/>
    </row>
    <row r="679">
      <c r="A679" s="151" t="n">
        <v>46083</v>
      </c>
      <c r="B679" s="70" t="n">
        <v>1342</v>
      </c>
      <c r="C679" s="115" t="inlineStr">
        <is>
          <t>SELİM İNŞAAT</t>
        </is>
      </c>
      <c r="D679" s="115" t="inlineStr">
        <is>
          <t>34 GVZ 199</t>
        </is>
      </c>
      <c r="E679" s="115" t="inlineStr">
        <is>
          <t>HÜSEYİN DENİZ</t>
        </is>
      </c>
      <c r="F679" s="65" t="n">
        <v>226791</v>
      </c>
      <c r="G679" s="152" t="n">
        <v>409</v>
      </c>
      <c r="H679" s="60" t="n"/>
      <c r="I679" s="156">
        <f>+I678+(G679-H679)</f>
        <v/>
      </c>
      <c r="J679" s="60" t="n"/>
      <c r="K679" s="60" t="n"/>
      <c r="L679" s="158">
        <f>+H679*J679</f>
        <v/>
      </c>
      <c r="M679" s="159">
        <f>SUM(M678+K679-L679)</f>
        <v/>
      </c>
      <c r="N679" s="60" t="n"/>
      <c r="O679" s="60" t="n"/>
      <c r="P679" s="60" t="n"/>
      <c r="Q679" s="60" t="n"/>
      <c r="R679" s="60" t="n"/>
      <c r="S679" s="60" t="n"/>
      <c r="T679" s="60" t="n"/>
      <c r="U679" s="60" t="n"/>
      <c r="V679" s="60" t="n"/>
      <c r="W679" s="60" t="n"/>
      <c r="X679" s="60" t="n"/>
      <c r="Y679" s="60" t="n"/>
      <c r="Z679" s="60" t="n"/>
    </row>
    <row r="680">
      <c r="A680" s="151" t="n">
        <v>46083</v>
      </c>
      <c r="B680" s="70" t="n">
        <v>2795</v>
      </c>
      <c r="C680" s="115" t="inlineStr">
        <is>
          <t>SELİM İNŞAAT</t>
        </is>
      </c>
      <c r="D680" s="115" t="inlineStr">
        <is>
          <t>34 EDC 086</t>
        </is>
      </c>
      <c r="E680" s="115" t="inlineStr">
        <is>
          <t>SEZGİN KOCAGİL</t>
        </is>
      </c>
      <c r="F680" s="65" t="n">
        <v>376683</v>
      </c>
      <c r="G680" s="152" t="n">
        <v>563</v>
      </c>
      <c r="H680" s="60" t="n"/>
      <c r="I680" s="156">
        <f>+I679+(G680-H680)</f>
        <v/>
      </c>
      <c r="J680" s="60" t="n"/>
      <c r="K680" s="60" t="n"/>
      <c r="L680" s="158">
        <f>+H680*J680</f>
        <v/>
      </c>
      <c r="M680" s="159">
        <f>SUM(M679+K680-L680)</f>
        <v/>
      </c>
      <c r="N680" s="60" t="n"/>
      <c r="O680" s="60" t="n"/>
      <c r="P680" s="60" t="n"/>
      <c r="Q680" s="60" t="n"/>
      <c r="R680" s="60" t="n"/>
      <c r="S680" s="60" t="n"/>
      <c r="T680" s="60" t="n"/>
      <c r="U680" s="60" t="n"/>
      <c r="V680" s="60" t="n"/>
      <c r="W680" s="60" t="n"/>
      <c r="X680" s="60" t="n"/>
      <c r="Y680" s="60" t="n"/>
      <c r="Z680" s="60" t="n"/>
    </row>
    <row r="681">
      <c r="A681" s="151" t="n">
        <v>46083</v>
      </c>
      <c r="B681" s="70" t="n">
        <v>3428</v>
      </c>
      <c r="C681" s="115" t="inlineStr">
        <is>
          <t>SELİM İNŞAAT</t>
        </is>
      </c>
      <c r="D681" s="115" t="inlineStr">
        <is>
          <t>34 GVZ 310</t>
        </is>
      </c>
      <c r="E681" s="115" t="inlineStr">
        <is>
          <t>CELAL YÜZBAŞI</t>
        </is>
      </c>
      <c r="F681" s="65" t="n">
        <v>247434</v>
      </c>
      <c r="G681" s="152" t="n">
        <v>365</v>
      </c>
      <c r="H681" s="60" t="n"/>
      <c r="I681" s="156">
        <f>+I680+(G681-H681)</f>
        <v/>
      </c>
      <c r="J681" s="60" t="n"/>
      <c r="K681" s="60" t="n"/>
      <c r="L681" s="158">
        <f>+H681*J681</f>
        <v/>
      </c>
      <c r="M681" s="159">
        <f>SUM(M680+K681-L681)</f>
        <v/>
      </c>
      <c r="N681" s="60" t="n"/>
      <c r="O681" s="60" t="n"/>
      <c r="P681" s="60" t="n"/>
      <c r="Q681" s="60" t="n"/>
      <c r="R681" s="60" t="n"/>
      <c r="S681" s="60" t="n"/>
      <c r="T681" s="60" t="n"/>
      <c r="U681" s="60" t="n"/>
      <c r="V681" s="60" t="n"/>
      <c r="W681" s="60" t="n"/>
      <c r="X681" s="60" t="n"/>
      <c r="Y681" s="60" t="n"/>
      <c r="Z681" s="60" t="n"/>
    </row>
    <row r="682">
      <c r="A682" s="151" t="n">
        <v>46083</v>
      </c>
      <c r="B682" s="70" t="n">
        <v>4417</v>
      </c>
      <c r="C682" s="115" t="inlineStr">
        <is>
          <t>SELİM İNŞAAT</t>
        </is>
      </c>
      <c r="D682" s="115" t="inlineStr">
        <is>
          <t>34 DTV 409</t>
        </is>
      </c>
      <c r="E682" s="115" t="inlineStr">
        <is>
          <t>ATA KIZMAZ</t>
        </is>
      </c>
      <c r="F682" s="65" t="n">
        <v>453664</v>
      </c>
      <c r="G682" s="152" t="n">
        <v>404</v>
      </c>
      <c r="H682" s="60" t="n"/>
      <c r="I682" s="156">
        <f>+I681+(G682-H682)</f>
        <v/>
      </c>
      <c r="J682" s="60" t="n"/>
      <c r="K682" s="60" t="n"/>
      <c r="L682" s="158">
        <f>+H682*J682</f>
        <v/>
      </c>
      <c r="M682" s="159">
        <f>SUM(M681+K682-L682)</f>
        <v/>
      </c>
      <c r="N682" s="60" t="n"/>
      <c r="O682" s="60" t="n"/>
      <c r="P682" s="60" t="n"/>
      <c r="Q682" s="60" t="n"/>
      <c r="R682" s="60" t="n"/>
      <c r="S682" s="60" t="n"/>
      <c r="T682" s="60" t="n"/>
      <c r="U682" s="60" t="n"/>
      <c r="V682" s="60" t="n"/>
      <c r="W682" s="60" t="n"/>
      <c r="X682" s="60" t="n"/>
      <c r="Y682" s="60" t="n"/>
      <c r="Z682" s="60" t="n"/>
    </row>
    <row r="683">
      <c r="A683" s="151" t="n">
        <v>46083</v>
      </c>
      <c r="B683" s="70" t="n">
        <v>906</v>
      </c>
      <c r="C683" s="115" t="inlineStr">
        <is>
          <t>SELİM İNŞAAT</t>
        </is>
      </c>
      <c r="D683" s="115" t="inlineStr">
        <is>
          <t>34 FSG 229</t>
        </is>
      </c>
      <c r="E683" s="115" t="inlineStr">
        <is>
          <t>SİNAN TANRIVERDİ</t>
        </is>
      </c>
      <c r="F683" s="65" t="n">
        <v>300220</v>
      </c>
      <c r="G683" s="152" t="n">
        <v>342</v>
      </c>
      <c r="H683" s="60" t="n"/>
      <c r="I683" s="156">
        <f>+I682+(G683-H683)</f>
        <v/>
      </c>
      <c r="J683" s="60" t="n"/>
      <c r="K683" s="60" t="n"/>
      <c r="L683" s="158">
        <f>+H683*J683</f>
        <v/>
      </c>
      <c r="M683" s="159">
        <f>SUM(M682+K683-L683)</f>
        <v/>
      </c>
      <c r="N683" s="60" t="n"/>
      <c r="O683" s="60" t="n"/>
      <c r="P683" s="60" t="n"/>
      <c r="Q683" s="60" t="n"/>
      <c r="R683" s="60" t="n"/>
      <c r="S683" s="60" t="n"/>
      <c r="T683" s="60" t="n"/>
      <c r="U683" s="60" t="n"/>
      <c r="V683" s="60" t="n"/>
      <c r="W683" s="60" t="n"/>
      <c r="X683" s="60" t="n"/>
      <c r="Y683" s="60" t="n"/>
      <c r="Z683" s="60" t="n"/>
    </row>
    <row r="684">
      <c r="A684" s="151" t="n">
        <v>46083</v>
      </c>
      <c r="B684" s="70" t="n">
        <v>3832</v>
      </c>
      <c r="C684" s="115" t="inlineStr">
        <is>
          <t>SELİM İNŞAAT</t>
        </is>
      </c>
      <c r="D684" s="115" t="inlineStr">
        <is>
          <t>34 GYZ 635</t>
        </is>
      </c>
      <c r="E684" s="115" t="inlineStr">
        <is>
          <t>ADEM DENİZ</t>
        </is>
      </c>
      <c r="F684" s="65" t="n">
        <v>226945</v>
      </c>
      <c r="G684" s="152" t="n">
        <v>540</v>
      </c>
      <c r="H684" s="60" t="n"/>
      <c r="I684" s="156">
        <f>+I683+(G684-H684)</f>
        <v/>
      </c>
      <c r="J684" s="60" t="n"/>
      <c r="K684" s="60" t="n"/>
      <c r="L684" s="158">
        <f>+H684*J684</f>
        <v/>
      </c>
      <c r="M684" s="159">
        <f>SUM(M683+K684-L684)</f>
        <v/>
      </c>
      <c r="N684" s="60" t="n"/>
      <c r="O684" s="60" t="n"/>
      <c r="P684" s="60" t="n"/>
      <c r="Q684" s="60" t="n"/>
      <c r="R684" s="60" t="n"/>
      <c r="S684" s="60" t="n"/>
      <c r="T684" s="60" t="n"/>
      <c r="U684" s="60" t="n"/>
      <c r="V684" s="60" t="n"/>
      <c r="W684" s="60" t="n"/>
      <c r="X684" s="60" t="n"/>
      <c r="Y684" s="60" t="n"/>
      <c r="Z684" s="60" t="n"/>
    </row>
    <row r="685">
      <c r="A685" s="151" t="n">
        <v>46083</v>
      </c>
      <c r="B685" s="70" t="n">
        <v>3045</v>
      </c>
      <c r="C685" s="115" t="inlineStr">
        <is>
          <t>SELİM İNŞAAT</t>
        </is>
      </c>
      <c r="D685" s="115" t="inlineStr">
        <is>
          <t>34 FBR 781</t>
        </is>
      </c>
      <c r="E685" s="115" t="inlineStr">
        <is>
          <t>MEVLÜT POLAT</t>
        </is>
      </c>
      <c r="F685" s="65" t="n">
        <v>362975</v>
      </c>
      <c r="G685" s="152" t="n">
        <v>531</v>
      </c>
      <c r="H685" s="60" t="n"/>
      <c r="I685" s="156">
        <f>+I684+(G685-H685)</f>
        <v/>
      </c>
      <c r="J685" s="60" t="n"/>
      <c r="K685" s="60" t="n"/>
      <c r="L685" s="158">
        <f>+H685*J685</f>
        <v/>
      </c>
      <c r="M685" s="159">
        <f>SUM(M684+K685-L685)</f>
        <v/>
      </c>
      <c r="N685" s="60" t="n"/>
      <c r="O685" s="60" t="n"/>
      <c r="P685" s="60" t="n"/>
      <c r="Q685" s="60" t="n"/>
      <c r="R685" s="60" t="n"/>
      <c r="S685" s="60" t="n"/>
      <c r="T685" s="60" t="n"/>
      <c r="U685" s="60" t="n"/>
      <c r="V685" s="60" t="n"/>
      <c r="W685" s="60" t="n"/>
      <c r="X685" s="60" t="n"/>
      <c r="Y685" s="60" t="n"/>
      <c r="Z685" s="60" t="n"/>
    </row>
    <row r="686">
      <c r="A686" s="151" t="n">
        <v>46083</v>
      </c>
      <c r="B686" s="70" t="n">
        <v>4513</v>
      </c>
      <c r="C686" s="115" t="inlineStr">
        <is>
          <t>SELİM İNŞAAT</t>
        </is>
      </c>
      <c r="D686" s="115" t="inlineStr">
        <is>
          <t>34 DTV 352</t>
        </is>
      </c>
      <c r="E686" s="115" t="inlineStr">
        <is>
          <t>AZİZ ORUÇ</t>
        </is>
      </c>
      <c r="F686" s="65" t="n">
        <v>476036</v>
      </c>
      <c r="G686" s="152" t="n">
        <v>504</v>
      </c>
      <c r="H686" s="60" t="n"/>
      <c r="I686" s="156">
        <f>+I685+(G686-H686)</f>
        <v/>
      </c>
      <c r="J686" s="60" t="n"/>
      <c r="K686" s="60" t="n"/>
      <c r="L686" s="158">
        <f>+H686*J686</f>
        <v/>
      </c>
      <c r="M686" s="159">
        <f>SUM(M685+K686-L686)</f>
        <v/>
      </c>
      <c r="N686" s="60" t="n"/>
      <c r="O686" s="60" t="n"/>
      <c r="P686" s="60" t="n"/>
      <c r="Q686" s="60" t="n"/>
      <c r="R686" s="60" t="n"/>
      <c r="S686" s="60" t="n"/>
      <c r="T686" s="60" t="n"/>
      <c r="U686" s="60" t="n"/>
      <c r="V686" s="60" t="n"/>
      <c r="W686" s="60" t="n"/>
      <c r="X686" s="60" t="n"/>
      <c r="Y686" s="60" t="n"/>
      <c r="Z686" s="60" t="n"/>
    </row>
    <row r="687">
      <c r="A687" s="151" t="n">
        <v>46083</v>
      </c>
      <c r="B687" s="70" t="n">
        <v>149</v>
      </c>
      <c r="C687" s="115" t="inlineStr">
        <is>
          <t>SELİM İNŞAAT</t>
        </is>
      </c>
      <c r="D687" s="115" t="inlineStr">
        <is>
          <t>34 FBR 771</t>
        </is>
      </c>
      <c r="E687" s="115" t="inlineStr">
        <is>
          <t>SALİH YALÇIN</t>
        </is>
      </c>
      <c r="F687" s="65" t="n">
        <v>349570</v>
      </c>
      <c r="G687" s="152" t="n">
        <v>449</v>
      </c>
      <c r="H687" s="60" t="n"/>
      <c r="I687" s="156">
        <f>+I686+(G687-H687)</f>
        <v/>
      </c>
      <c r="J687" s="60" t="n"/>
      <c r="K687" s="60" t="n"/>
      <c r="L687" s="158">
        <f>+H687*J687</f>
        <v/>
      </c>
      <c r="M687" s="159">
        <f>SUM(M686+K687-L687)</f>
        <v/>
      </c>
      <c r="N687" s="60" t="n"/>
      <c r="O687" s="60" t="n"/>
      <c r="P687" s="60" t="n"/>
      <c r="Q687" s="60" t="n"/>
      <c r="R687" s="60" t="n"/>
      <c r="S687" s="60" t="n"/>
      <c r="T687" s="60" t="n"/>
      <c r="U687" s="60" t="n"/>
      <c r="V687" s="60" t="n"/>
      <c r="W687" s="60" t="n"/>
      <c r="X687" s="60" t="n"/>
      <c r="Y687" s="60" t="n"/>
      <c r="Z687" s="60" t="n"/>
    </row>
    <row r="688">
      <c r="A688" s="151" t="n">
        <v>46083</v>
      </c>
      <c r="B688" s="70" t="n">
        <v>3390</v>
      </c>
      <c r="C688" s="115" t="inlineStr">
        <is>
          <t>SELİM İNŞAAT</t>
        </is>
      </c>
      <c r="D688" s="115" t="inlineStr">
        <is>
          <t>34 EDC 162</t>
        </is>
      </c>
      <c r="E688" s="115" t="inlineStr">
        <is>
          <t>YAKUP GÜNER</t>
        </is>
      </c>
      <c r="F688" s="65" t="n">
        <v>415414</v>
      </c>
      <c r="G688" s="152" t="n">
        <v>442</v>
      </c>
      <c r="H688" s="60" t="n"/>
      <c r="I688" s="156">
        <f>+I687+(G688-H688)</f>
        <v/>
      </c>
      <c r="J688" s="60" t="n"/>
      <c r="K688" s="60" t="n"/>
      <c r="L688" s="158">
        <f>+H688*J688</f>
        <v/>
      </c>
      <c r="M688" s="159">
        <f>SUM(M687+K688-L688)</f>
        <v/>
      </c>
      <c r="N688" s="60" t="n"/>
      <c r="O688" s="60" t="n"/>
      <c r="P688" s="60" t="n"/>
      <c r="Q688" s="60" t="n"/>
      <c r="R688" s="60" t="n"/>
      <c r="S688" s="60" t="n"/>
      <c r="T688" s="60" t="n"/>
      <c r="U688" s="60" t="n"/>
      <c r="V688" s="60" t="n"/>
      <c r="W688" s="60" t="n"/>
      <c r="X688" s="60" t="n"/>
      <c r="Y688" s="60" t="n"/>
      <c r="Z688" s="60" t="n"/>
    </row>
    <row r="689">
      <c r="A689" s="151" t="n">
        <v>46083</v>
      </c>
      <c r="B689" s="70" t="n">
        <v>2542</v>
      </c>
      <c r="C689" s="115" t="inlineStr">
        <is>
          <t>AZGÜN YAPI</t>
        </is>
      </c>
      <c r="D689" s="115" t="inlineStr">
        <is>
          <t>34 MKT 593</t>
        </is>
      </c>
      <c r="E689" s="115" t="inlineStr">
        <is>
          <t>TURGUT ÇATAL</t>
        </is>
      </c>
      <c r="F689" s="65" t="n"/>
      <c r="G689" s="152" t="n">
        <v>421</v>
      </c>
      <c r="H689" s="60" t="n"/>
      <c r="I689" s="156">
        <f>+I688+(G689-H689)</f>
        <v/>
      </c>
      <c r="J689" s="60" t="n"/>
      <c r="K689" s="60" t="n"/>
      <c r="L689" s="158">
        <f>+H689*J689</f>
        <v/>
      </c>
      <c r="M689" s="159">
        <f>SUM(M688+K689-L689)</f>
        <v/>
      </c>
      <c r="N689" s="60" t="n"/>
      <c r="O689" s="60" t="n"/>
      <c r="P689" s="60" t="n"/>
      <c r="Q689" s="60" t="n"/>
      <c r="R689" s="60" t="n"/>
      <c r="S689" s="60" t="n"/>
      <c r="T689" s="60" t="n"/>
      <c r="U689" s="60" t="n"/>
      <c r="V689" s="60" t="n"/>
      <c r="W689" s="60" t="n"/>
      <c r="X689" s="60" t="n"/>
      <c r="Y689" s="60" t="n"/>
      <c r="Z689" s="60" t="n"/>
    </row>
    <row r="690">
      <c r="A690" s="151" t="n">
        <v>46083</v>
      </c>
      <c r="B690" s="70" t="n">
        <v>1390</v>
      </c>
      <c r="C690" s="115" t="inlineStr">
        <is>
          <t>AZGÜN YAPI</t>
        </is>
      </c>
      <c r="D690" s="115" t="inlineStr">
        <is>
          <t>34 MKT859</t>
        </is>
      </c>
      <c r="E690" s="115" t="inlineStr">
        <is>
          <t>İRFAN DAĞLAR</t>
        </is>
      </c>
      <c r="F690" s="65" t="n"/>
      <c r="G690" s="152" t="n">
        <v>470</v>
      </c>
      <c r="H690" s="60" t="n"/>
      <c r="I690" s="156">
        <f>+I689+(G690-H690)</f>
        <v/>
      </c>
      <c r="J690" s="60" t="n"/>
      <c r="K690" s="60" t="n"/>
      <c r="L690" s="158">
        <f>+H690*J690</f>
        <v/>
      </c>
      <c r="M690" s="159">
        <f>SUM(M689+K690-L690)</f>
        <v/>
      </c>
      <c r="N690" s="60" t="n"/>
      <c r="O690" s="60" t="n"/>
      <c r="P690" s="60" t="n"/>
      <c r="Q690" s="60" t="n"/>
      <c r="R690" s="60" t="n"/>
      <c r="S690" s="60" t="n"/>
      <c r="T690" s="60" t="n"/>
      <c r="U690" s="60" t="n"/>
      <c r="V690" s="60" t="n"/>
      <c r="W690" s="60" t="n"/>
      <c r="X690" s="60" t="n"/>
      <c r="Y690" s="60" t="n"/>
      <c r="Z690" s="60" t="n"/>
    </row>
    <row r="691">
      <c r="A691" s="151" t="n">
        <v>46083</v>
      </c>
      <c r="B691" s="70" t="n">
        <v>2590</v>
      </c>
      <c r="C691" s="115" t="inlineStr">
        <is>
          <t>SELİM İNŞAAT</t>
        </is>
      </c>
      <c r="D691" s="115" t="inlineStr">
        <is>
          <t>34 GER 028</t>
        </is>
      </c>
      <c r="E691" s="115" t="inlineStr">
        <is>
          <t>ABDÜLKERİM ERGEN</t>
        </is>
      </c>
      <c r="F691" s="65" t="n">
        <v>59982</v>
      </c>
      <c r="G691" s="152" t="n">
        <v>403</v>
      </c>
      <c r="H691" s="60" t="n"/>
      <c r="I691" s="156">
        <f>+I690+(G691-H691)</f>
        <v/>
      </c>
      <c r="J691" s="60" t="n"/>
      <c r="K691" s="60" t="n"/>
      <c r="L691" s="158">
        <f>+H691*J691</f>
        <v/>
      </c>
      <c r="M691" s="159">
        <f>SUM(M690+K691-L691)</f>
        <v/>
      </c>
      <c r="N691" s="60" t="n"/>
      <c r="O691" s="60" t="n"/>
      <c r="P691" s="60" t="n"/>
      <c r="Q691" s="60" t="n"/>
      <c r="R691" s="60" t="n"/>
      <c r="S691" s="60" t="n"/>
      <c r="T691" s="60" t="n"/>
      <c r="U691" s="60" t="n"/>
      <c r="V691" s="60" t="n"/>
      <c r="W691" s="60" t="n"/>
      <c r="X691" s="60" t="n"/>
      <c r="Y691" s="60" t="n"/>
      <c r="Z691" s="60" t="n"/>
    </row>
    <row r="692">
      <c r="A692" s="151" t="n">
        <v>46083</v>
      </c>
      <c r="B692" s="70" t="n">
        <v>3726</v>
      </c>
      <c r="C692" s="115" t="inlineStr">
        <is>
          <t>SELİM İNŞAAT</t>
        </is>
      </c>
      <c r="D692" s="115" t="inlineStr">
        <is>
          <t>34 DKL 866</t>
        </is>
      </c>
      <c r="E692" s="115" t="inlineStr">
        <is>
          <t>SELİMCAN ÖNVER</t>
        </is>
      </c>
      <c r="F692" s="65" t="n">
        <v>82062</v>
      </c>
      <c r="G692" s="152" t="n">
        <v>348</v>
      </c>
      <c r="H692" s="60" t="n"/>
      <c r="I692" s="156">
        <f>+I691+(G692-H692)</f>
        <v/>
      </c>
      <c r="J692" s="60" t="n"/>
      <c r="K692" s="60" t="n"/>
      <c r="L692" s="158">
        <f>+H692*J692</f>
        <v/>
      </c>
      <c r="M692" s="159">
        <f>SUM(M691+K692-L692)</f>
        <v/>
      </c>
      <c r="N692" s="60" t="n"/>
      <c r="O692" s="60" t="n"/>
      <c r="P692" s="60" t="n"/>
      <c r="Q692" s="60" t="n"/>
      <c r="R692" s="60" t="n"/>
      <c r="S692" s="60" t="n"/>
      <c r="T692" s="60" t="n"/>
      <c r="U692" s="60" t="n"/>
      <c r="V692" s="60" t="n"/>
      <c r="W692" s="60" t="n"/>
      <c r="X692" s="60" t="n"/>
      <c r="Y692" s="60" t="n"/>
      <c r="Z692" s="60" t="n"/>
    </row>
    <row r="693">
      <c r="A693" s="151" t="n">
        <v>46083</v>
      </c>
      <c r="B693" s="70" t="n">
        <v>752</v>
      </c>
      <c r="C693" s="115" t="inlineStr">
        <is>
          <t>METİN ERYİĞİT</t>
        </is>
      </c>
      <c r="D693" s="115" t="inlineStr">
        <is>
          <t>34 EGR 814</t>
        </is>
      </c>
      <c r="E693" s="115" t="inlineStr">
        <is>
          <t>ZİYA İNCE</t>
        </is>
      </c>
      <c r="F693" s="65" t="n"/>
      <c r="G693" s="152" t="n">
        <v>489</v>
      </c>
      <c r="H693" s="60" t="n"/>
      <c r="I693" s="156">
        <f>+I692+(G693-H693)</f>
        <v/>
      </c>
      <c r="J693" s="60" t="n"/>
      <c r="K693" s="60" t="n"/>
      <c r="L693" s="158">
        <f>+H693*J693</f>
        <v/>
      </c>
      <c r="M693" s="159">
        <f>SUM(M692+K693-L693)</f>
        <v/>
      </c>
      <c r="N693" s="60" t="n"/>
      <c r="O693" s="60" t="n"/>
      <c r="P693" s="60" t="n"/>
      <c r="Q693" s="60" t="n"/>
      <c r="R693" s="60" t="n"/>
      <c r="S693" s="60" t="n"/>
      <c r="T693" s="60" t="n"/>
      <c r="U693" s="60" t="n"/>
      <c r="V693" s="60" t="n"/>
      <c r="W693" s="60" t="n"/>
      <c r="X693" s="60" t="n"/>
      <c r="Y693" s="60" t="n"/>
      <c r="Z693" s="60" t="n"/>
    </row>
    <row r="694">
      <c r="A694" s="151" t="n">
        <v>46083</v>
      </c>
      <c r="B694" s="70" t="n">
        <v>713</v>
      </c>
      <c r="C694" s="115" t="inlineStr">
        <is>
          <t>METİN ERYİĞİT</t>
        </is>
      </c>
      <c r="D694" s="115" t="inlineStr">
        <is>
          <t>34 EGS 013</t>
        </is>
      </c>
      <c r="E694" s="115" t="inlineStr">
        <is>
          <t>UĞUR DUMAN</t>
        </is>
      </c>
      <c r="F694" s="65" t="n"/>
      <c r="G694" s="152" t="n">
        <v>328</v>
      </c>
      <c r="H694" s="60" t="n"/>
      <c r="I694" s="156">
        <f>+I693+(G694-H694)</f>
        <v/>
      </c>
      <c r="J694" s="60" t="n"/>
      <c r="K694" s="60" t="n"/>
      <c r="L694" s="158">
        <f>+H694*J694</f>
        <v/>
      </c>
      <c r="M694" s="159">
        <f>SUM(M693+K694-L694)</f>
        <v/>
      </c>
      <c r="N694" s="60" t="n"/>
      <c r="O694" s="60" t="n"/>
      <c r="P694" s="60" t="n"/>
      <c r="Q694" s="60" t="n"/>
      <c r="R694" s="60" t="n"/>
      <c r="S694" s="60" t="n"/>
      <c r="T694" s="60" t="n"/>
      <c r="U694" s="60" t="n"/>
      <c r="V694" s="60" t="n"/>
      <c r="W694" s="60" t="n"/>
      <c r="X694" s="60" t="n"/>
      <c r="Y694" s="60" t="n"/>
      <c r="Z694" s="60" t="n"/>
    </row>
    <row r="695">
      <c r="A695" s="151" t="n">
        <v>46083</v>
      </c>
      <c r="B695" s="70" t="n">
        <v>424</v>
      </c>
      <c r="C695" s="115" t="inlineStr">
        <is>
          <t>MEGA</t>
        </is>
      </c>
      <c r="D695" s="115" t="inlineStr">
        <is>
          <t>KAWAZAKİ</t>
        </is>
      </c>
      <c r="E695" s="115" t="inlineStr">
        <is>
          <t>RAMAZAN</t>
        </is>
      </c>
      <c r="F695" s="65" t="n"/>
      <c r="G695" s="152" t="n">
        <v>287</v>
      </c>
      <c r="H695" s="60" t="n"/>
      <c r="I695" s="156">
        <f>+I694+(G695-H695)</f>
        <v/>
      </c>
      <c r="J695" s="60" t="n"/>
      <c r="K695" s="60" t="n"/>
      <c r="L695" s="158">
        <f>+H695*J695</f>
        <v/>
      </c>
      <c r="M695" s="159">
        <f>SUM(M694+K695-L695)</f>
        <v/>
      </c>
      <c r="N695" s="60" t="n"/>
      <c r="O695" s="60" t="n"/>
      <c r="P695" s="60" t="n"/>
      <c r="Q695" s="60" t="n"/>
      <c r="R695" s="60" t="n"/>
      <c r="S695" s="60" t="n"/>
      <c r="T695" s="60" t="n"/>
      <c r="U695" s="60" t="n"/>
      <c r="V695" s="60" t="n"/>
      <c r="W695" s="60" t="n"/>
      <c r="X695" s="60" t="n"/>
      <c r="Y695" s="60" t="n"/>
      <c r="Z695" s="60" t="n"/>
    </row>
    <row r="696">
      <c r="A696" s="151" t="n">
        <v>46083</v>
      </c>
      <c r="B696" s="70" t="n">
        <v>425</v>
      </c>
      <c r="C696" s="115" t="inlineStr">
        <is>
          <t>MEGA</t>
        </is>
      </c>
      <c r="D696" s="115" t="inlineStr">
        <is>
          <t>34 AZ 2191</t>
        </is>
      </c>
      <c r="E696" s="115" t="inlineStr">
        <is>
          <t>NUMAN KABİL</t>
        </is>
      </c>
      <c r="F696" s="65" t="n"/>
      <c r="G696" s="152" t="n">
        <v>262</v>
      </c>
      <c r="H696" s="60" t="n"/>
      <c r="I696" s="156">
        <f>+I695+(G696-H696)</f>
        <v/>
      </c>
      <c r="J696" s="60" t="n"/>
      <c r="K696" s="60" t="n"/>
      <c r="L696" s="158">
        <f>+H696*J696</f>
        <v/>
      </c>
      <c r="M696" s="159">
        <f>SUM(M695+K696-L696)</f>
        <v/>
      </c>
      <c r="N696" s="60" t="n"/>
      <c r="O696" s="60" t="n"/>
      <c r="P696" s="60" t="n"/>
      <c r="Q696" s="60" t="n"/>
      <c r="R696" s="60" t="n"/>
      <c r="S696" s="60" t="n"/>
      <c r="T696" s="60" t="n"/>
      <c r="U696" s="60" t="n"/>
      <c r="V696" s="60" t="n"/>
      <c r="W696" s="60" t="n"/>
      <c r="X696" s="60" t="n"/>
      <c r="Y696" s="60" t="n"/>
      <c r="Z696" s="60" t="n"/>
    </row>
    <row r="697">
      <c r="A697" s="151" t="n">
        <v>46083</v>
      </c>
      <c r="B697" s="70" t="n">
        <v>426</v>
      </c>
      <c r="C697" s="115" t="inlineStr">
        <is>
          <t>MEGA</t>
        </is>
      </c>
      <c r="D697" s="115" t="inlineStr">
        <is>
          <t>SM350</t>
        </is>
      </c>
      <c r="E697" s="115" t="inlineStr">
        <is>
          <t>MİKAİL</t>
        </is>
      </c>
      <c r="F697" s="65" t="n"/>
      <c r="G697" s="152" t="n">
        <v>426</v>
      </c>
      <c r="H697" s="60" t="n"/>
      <c r="I697" s="156">
        <f>+I696+(G697-H697)</f>
        <v/>
      </c>
      <c r="J697" s="60" t="n"/>
      <c r="K697" s="60" t="n"/>
      <c r="L697" s="158">
        <f>+H697*J697</f>
        <v/>
      </c>
      <c r="M697" s="159">
        <f>SUM(M696+K697-L697)</f>
        <v/>
      </c>
      <c r="N697" s="60" t="n"/>
      <c r="O697" s="60" t="n"/>
      <c r="P697" s="60" t="n"/>
      <c r="Q697" s="60" t="n"/>
      <c r="R697" s="60" t="n"/>
      <c r="S697" s="60" t="n"/>
      <c r="T697" s="60" t="n"/>
      <c r="U697" s="60" t="n"/>
      <c r="V697" s="60" t="n"/>
      <c r="W697" s="60" t="n"/>
      <c r="X697" s="60" t="n"/>
      <c r="Y697" s="60" t="n"/>
      <c r="Z697" s="60" t="n"/>
    </row>
    <row r="698">
      <c r="A698" s="151" t="n">
        <v>46083</v>
      </c>
      <c r="B698" s="70" t="n">
        <v>427</v>
      </c>
      <c r="C698" s="115" t="inlineStr">
        <is>
          <t>MEGA</t>
        </is>
      </c>
      <c r="D698" s="115" t="inlineStr">
        <is>
          <t>SM350</t>
        </is>
      </c>
      <c r="E698" s="115" t="inlineStr">
        <is>
          <t>TEVFİK</t>
        </is>
      </c>
      <c r="F698" s="65" t="n"/>
      <c r="G698" s="152" t="n">
        <v>433</v>
      </c>
      <c r="H698" s="60" t="n"/>
      <c r="I698" s="156">
        <f>+I697+(G698-H698)</f>
        <v/>
      </c>
      <c r="J698" s="60" t="n"/>
      <c r="K698" s="60" t="n"/>
      <c r="L698" s="158">
        <f>+H698*J698</f>
        <v/>
      </c>
      <c r="M698" s="159">
        <f>SUM(M697+K698-L698)</f>
        <v/>
      </c>
      <c r="N698" s="60" t="n"/>
      <c r="O698" s="60" t="n"/>
      <c r="P698" s="60" t="n"/>
      <c r="Q698" s="60" t="n"/>
      <c r="R698" s="60" t="n"/>
      <c r="S698" s="60" t="n"/>
      <c r="T698" s="60" t="n"/>
      <c r="U698" s="60" t="n"/>
      <c r="V698" s="60" t="n"/>
      <c r="W698" s="60" t="n"/>
      <c r="X698" s="60" t="n"/>
      <c r="Y698" s="60" t="n"/>
      <c r="Z698" s="60" t="n"/>
    </row>
    <row r="699">
      <c r="A699" s="151" t="n">
        <v>46083</v>
      </c>
      <c r="B699" s="70" t="n">
        <v>428</v>
      </c>
      <c r="C699" s="115" t="inlineStr">
        <is>
          <t>MEGA</t>
        </is>
      </c>
      <c r="D699" s="115" t="inlineStr">
        <is>
          <t>SM350</t>
        </is>
      </c>
      <c r="E699" s="115" t="inlineStr">
        <is>
          <t>TEKİN</t>
        </is>
      </c>
      <c r="F699" s="65" t="n"/>
      <c r="G699" s="152" t="n">
        <v>600</v>
      </c>
      <c r="H699" s="60" t="n"/>
      <c r="I699" s="156">
        <f>+I698+(G699-H699)</f>
        <v/>
      </c>
      <c r="J699" s="60" t="n"/>
      <c r="K699" s="60" t="n"/>
      <c r="L699" s="158">
        <f>+H699*J699</f>
        <v/>
      </c>
      <c r="M699" s="159">
        <f>SUM(M698+K699-L699)</f>
        <v/>
      </c>
      <c r="N699" s="60" t="n"/>
      <c r="O699" s="60" t="n"/>
      <c r="P699" s="60" t="n"/>
      <c r="Q699" s="60" t="n"/>
      <c r="R699" s="60" t="n"/>
      <c r="S699" s="60" t="n"/>
      <c r="T699" s="60" t="n"/>
      <c r="U699" s="60" t="n"/>
      <c r="V699" s="60" t="n"/>
      <c r="W699" s="60" t="n"/>
      <c r="X699" s="60" t="n"/>
      <c r="Y699" s="60" t="n"/>
      <c r="Z699" s="60" t="n"/>
    </row>
    <row r="700">
      <c r="A700" s="151" t="n">
        <v>46084</v>
      </c>
      <c r="B700" s="70" t="n">
        <v>3170</v>
      </c>
      <c r="C700" s="115" t="inlineStr">
        <is>
          <t>SELİM İNŞAAT</t>
        </is>
      </c>
      <c r="D700" s="115" t="inlineStr">
        <is>
          <t>34 DTV 599</t>
        </is>
      </c>
      <c r="E700" s="115" t="inlineStr">
        <is>
          <t>HÜSEYİN DENİZ</t>
        </is>
      </c>
      <c r="F700" s="65" t="n">
        <v>474749</v>
      </c>
      <c r="G700" s="152" t="n">
        <v>528</v>
      </c>
      <c r="H700" s="60" t="n"/>
      <c r="I700" s="156">
        <f>+I699+(G700-H700)</f>
        <v/>
      </c>
      <c r="J700" s="60" t="n"/>
      <c r="K700" s="60" t="n"/>
      <c r="L700" s="158">
        <f>+H700*J700</f>
        <v/>
      </c>
      <c r="M700" s="159">
        <f>SUM(M699+K700-L700)</f>
        <v/>
      </c>
      <c r="N700" s="60" t="n"/>
      <c r="O700" s="60" t="n"/>
      <c r="P700" s="60" t="n"/>
      <c r="Q700" s="60" t="n"/>
      <c r="R700" s="60" t="n"/>
      <c r="S700" s="60" t="n"/>
      <c r="T700" s="60" t="n"/>
      <c r="U700" s="60" t="n"/>
      <c r="V700" s="60" t="n"/>
      <c r="W700" s="60" t="n"/>
      <c r="X700" s="60" t="n"/>
      <c r="Y700" s="60" t="n"/>
      <c r="Z700" s="60" t="n"/>
    </row>
    <row r="701">
      <c r="A701" s="151" t="n">
        <v>46084</v>
      </c>
      <c r="B701" s="70" t="n">
        <v>12</v>
      </c>
      <c r="C701" s="115" t="inlineStr">
        <is>
          <t>SELİM İNŞAAT</t>
        </is>
      </c>
      <c r="D701" s="115" t="inlineStr">
        <is>
          <t xml:space="preserve">34 GVZ 268 </t>
        </is>
      </c>
      <c r="E701" s="115" t="inlineStr">
        <is>
          <t>KERİM KARAMAN</t>
        </is>
      </c>
      <c r="F701" s="65" t="n">
        <v>251627</v>
      </c>
      <c r="G701" s="152" t="n">
        <v>394</v>
      </c>
      <c r="H701" s="60" t="n"/>
      <c r="I701" s="156">
        <f>+I700+(G701-H701)</f>
        <v/>
      </c>
      <c r="J701" s="60" t="n"/>
      <c r="K701" s="60" t="n"/>
      <c r="L701" s="158">
        <f>+H701*J701</f>
        <v/>
      </c>
      <c r="M701" s="159">
        <f>SUM(M700+K701-L701)</f>
        <v/>
      </c>
      <c r="N701" s="60" t="n"/>
      <c r="O701" s="60" t="n"/>
      <c r="P701" s="60" t="n"/>
      <c r="Q701" s="60" t="n"/>
      <c r="R701" s="60" t="n"/>
      <c r="S701" s="60" t="n"/>
      <c r="T701" s="60" t="n"/>
      <c r="U701" s="60" t="n"/>
      <c r="V701" s="60" t="n"/>
      <c r="W701" s="60" t="n"/>
      <c r="X701" s="60" t="n"/>
      <c r="Y701" s="60" t="n"/>
      <c r="Z701" s="60" t="n"/>
    </row>
    <row r="702">
      <c r="A702" s="151" t="n">
        <v>46084</v>
      </c>
      <c r="B702" s="70" t="n">
        <v>1547</v>
      </c>
      <c r="C702" s="115" t="inlineStr">
        <is>
          <t>SELİM İNŞAAT</t>
        </is>
      </c>
      <c r="D702" s="115" t="inlineStr">
        <is>
          <t>34 GUS 848</t>
        </is>
      </c>
      <c r="E702" s="115" t="inlineStr">
        <is>
          <t>SERDAR BOZKURT</t>
        </is>
      </c>
      <c r="F702" s="65" t="n">
        <v>233416</v>
      </c>
      <c r="G702" s="152" t="n">
        <v>568</v>
      </c>
      <c r="H702" s="60" t="n"/>
      <c r="I702" s="156">
        <f>+I701+(G702-H702)</f>
        <v/>
      </c>
      <c r="J702" s="60" t="n"/>
      <c r="K702" s="60" t="n"/>
      <c r="L702" s="158">
        <f>+H702*J702</f>
        <v/>
      </c>
      <c r="M702" s="159">
        <f>SUM(M701+K702-L702)</f>
        <v/>
      </c>
      <c r="N702" s="60" t="n"/>
      <c r="O702" s="60" t="n"/>
      <c r="P702" s="60" t="n"/>
      <c r="Q702" s="60" t="n"/>
      <c r="R702" s="60" t="n"/>
      <c r="S702" s="60" t="n"/>
      <c r="T702" s="60" t="n"/>
      <c r="U702" s="60" t="n"/>
      <c r="V702" s="60" t="n"/>
      <c r="W702" s="60" t="n"/>
      <c r="X702" s="60" t="n"/>
      <c r="Y702" s="60" t="n"/>
      <c r="Z702" s="60" t="n"/>
    </row>
    <row r="703">
      <c r="A703" s="151" t="n">
        <v>46084</v>
      </c>
      <c r="B703" s="70" t="n">
        <v>4170</v>
      </c>
      <c r="C703" s="115" t="inlineStr">
        <is>
          <t>SELİM İNŞAAT</t>
        </is>
      </c>
      <c r="D703" s="115" t="inlineStr">
        <is>
          <t>34 FBR 748</t>
        </is>
      </c>
      <c r="E703" s="115" t="inlineStr">
        <is>
          <t>YAŞAR ÖZKAYA</t>
        </is>
      </c>
      <c r="F703" s="65" t="n">
        <v>324777</v>
      </c>
      <c r="G703" s="152" t="n">
        <v>549</v>
      </c>
      <c r="H703" s="60" t="n"/>
      <c r="I703" s="156">
        <f>+I702+(G703-H703)</f>
        <v/>
      </c>
      <c r="J703" s="60" t="n"/>
      <c r="K703" s="60" t="n"/>
      <c r="L703" s="158">
        <f>+H703*J703</f>
        <v/>
      </c>
      <c r="M703" s="159">
        <f>SUM(M702+K703-L703)</f>
        <v/>
      </c>
      <c r="N703" s="60" t="n"/>
      <c r="O703" s="60" t="n"/>
      <c r="P703" s="60" t="n"/>
      <c r="Q703" s="60" t="n"/>
      <c r="R703" s="60" t="n"/>
      <c r="S703" s="60" t="n"/>
      <c r="T703" s="60" t="n"/>
      <c r="U703" s="60" t="n"/>
      <c r="V703" s="60" t="n"/>
      <c r="W703" s="60" t="n"/>
      <c r="X703" s="60" t="n"/>
      <c r="Y703" s="60" t="n"/>
      <c r="Z703" s="60" t="n"/>
    </row>
    <row r="704">
      <c r="A704" s="151" t="n">
        <v>46084</v>
      </c>
      <c r="B704" s="70" t="n">
        <v>3331</v>
      </c>
      <c r="C704" s="115" t="inlineStr">
        <is>
          <t>SELİM İNŞAAT</t>
        </is>
      </c>
      <c r="D704" s="115" t="inlineStr">
        <is>
          <t>34  GUS 938</t>
        </is>
      </c>
      <c r="E704" s="115" t="inlineStr">
        <is>
          <t>MEHMET KAYA</t>
        </is>
      </c>
      <c r="F704" s="65" t="n">
        <v>247195</v>
      </c>
      <c r="G704" s="152" t="n">
        <v>477</v>
      </c>
      <c r="H704" s="60" t="n"/>
      <c r="I704" s="156">
        <f>+I703+(G704-H704)</f>
        <v/>
      </c>
      <c r="J704" s="60" t="n"/>
      <c r="K704" s="60" t="n"/>
      <c r="L704" s="158">
        <f>+H704*J704</f>
        <v/>
      </c>
      <c r="M704" s="159">
        <f>SUM(M703+K704-L704)</f>
        <v/>
      </c>
      <c r="N704" s="60" t="n"/>
      <c r="O704" s="60" t="n"/>
      <c r="P704" s="60" t="n"/>
      <c r="Q704" s="60" t="n"/>
      <c r="R704" s="60" t="n"/>
      <c r="S704" s="60" t="n"/>
      <c r="T704" s="60" t="n"/>
      <c r="U704" s="60" t="n"/>
      <c r="V704" s="60" t="n"/>
      <c r="W704" s="60" t="n"/>
      <c r="X704" s="60" t="n"/>
      <c r="Y704" s="60" t="n"/>
      <c r="Z704" s="60" t="n"/>
    </row>
    <row r="705">
      <c r="A705" s="151" t="n">
        <v>46084</v>
      </c>
      <c r="B705" s="70" t="n">
        <v>3488</v>
      </c>
      <c r="C705" s="115" t="inlineStr">
        <is>
          <t>SELİM İNŞAAT</t>
        </is>
      </c>
      <c r="D705" s="115" t="inlineStr">
        <is>
          <t>34 EDB 754</t>
        </is>
      </c>
      <c r="E705" s="115" t="inlineStr">
        <is>
          <t>MUSTAFA KAYA</t>
        </is>
      </c>
      <c r="F705" s="65" t="n">
        <v>372145</v>
      </c>
      <c r="G705" s="152" t="n">
        <v>502</v>
      </c>
      <c r="H705" s="60" t="n"/>
      <c r="I705" s="156">
        <f>+I704+(G705-H705)</f>
        <v/>
      </c>
      <c r="J705" s="60" t="n"/>
      <c r="K705" s="60" t="n"/>
      <c r="L705" s="158">
        <f>+H705*J705</f>
        <v/>
      </c>
      <c r="M705" s="159">
        <f>SUM(M704+K705-L705)</f>
        <v/>
      </c>
      <c r="N705" s="60" t="n"/>
      <c r="O705" s="60" t="n"/>
      <c r="P705" s="60" t="n"/>
      <c r="Q705" s="60" t="n"/>
      <c r="R705" s="60" t="n"/>
      <c r="S705" s="60" t="n"/>
      <c r="T705" s="60" t="n"/>
      <c r="U705" s="60" t="n"/>
      <c r="V705" s="60" t="n"/>
      <c r="W705" s="60" t="n"/>
      <c r="X705" s="60" t="n"/>
      <c r="Y705" s="60" t="n"/>
      <c r="Z705" s="60" t="n"/>
    </row>
    <row r="706">
      <c r="A706" s="151" t="n">
        <v>46084</v>
      </c>
      <c r="B706" s="70" t="n">
        <v>4116</v>
      </c>
      <c r="C706" s="115" t="inlineStr">
        <is>
          <t>SELİM İNŞAAT</t>
        </is>
      </c>
      <c r="D706" s="115" t="inlineStr">
        <is>
          <t>34 EDB 659</t>
        </is>
      </c>
      <c r="E706" s="115" t="inlineStr">
        <is>
          <t>YASİN ÇATAKLI</t>
        </is>
      </c>
      <c r="F706" s="65" t="n">
        <v>390205</v>
      </c>
      <c r="G706" s="152" t="n">
        <v>560</v>
      </c>
      <c r="H706" s="60" t="n"/>
      <c r="I706" s="156">
        <f>+I705+(G706-H706)</f>
        <v/>
      </c>
      <c r="J706" s="60" t="n"/>
      <c r="K706" s="60" t="n"/>
      <c r="L706" s="158">
        <f>+H706*J706</f>
        <v/>
      </c>
      <c r="M706" s="159">
        <f>SUM(M705+K706-L706)</f>
        <v/>
      </c>
      <c r="N706" s="60" t="n"/>
      <c r="O706" s="60" t="n"/>
      <c r="P706" s="60" t="n"/>
      <c r="Q706" s="60" t="n"/>
      <c r="R706" s="60" t="n"/>
      <c r="S706" s="60" t="n"/>
      <c r="T706" s="60" t="n"/>
      <c r="U706" s="60" t="n"/>
      <c r="V706" s="60" t="n"/>
      <c r="W706" s="60" t="n"/>
      <c r="X706" s="60" t="n"/>
      <c r="Y706" s="60" t="n"/>
      <c r="Z706" s="60" t="n"/>
    </row>
    <row r="707">
      <c r="A707" s="151" t="n">
        <v>46084</v>
      </c>
      <c r="B707" s="70" t="n">
        <v>3225</v>
      </c>
      <c r="C707" s="115" t="inlineStr">
        <is>
          <t>SELİM İNŞAAT</t>
        </is>
      </c>
      <c r="D707" s="115" t="inlineStr">
        <is>
          <t>34 EGR 736</t>
        </is>
      </c>
      <c r="E707" s="115" t="inlineStr">
        <is>
          <t>HAKAN ÇAVUŞOĞLU</t>
        </is>
      </c>
      <c r="F707" s="65" t="n">
        <v>439460</v>
      </c>
      <c r="G707" s="152" t="n">
        <v>532</v>
      </c>
      <c r="H707" s="60" t="n"/>
      <c r="I707" s="156">
        <f>+I706+(G707-H707)</f>
        <v/>
      </c>
      <c r="J707" s="60" t="n"/>
      <c r="K707" s="60" t="n"/>
      <c r="L707" s="158">
        <f>+H707*J707</f>
        <v/>
      </c>
      <c r="M707" s="159">
        <f>SUM(M706+K707-L707)</f>
        <v/>
      </c>
      <c r="N707" s="60" t="n"/>
      <c r="O707" s="60" t="n"/>
      <c r="P707" s="60" t="n"/>
      <c r="Q707" s="60" t="n"/>
      <c r="R707" s="60" t="n"/>
      <c r="S707" s="60" t="n"/>
      <c r="T707" s="60" t="n"/>
      <c r="U707" s="60" t="n"/>
      <c r="V707" s="60" t="n"/>
      <c r="W707" s="60" t="n"/>
      <c r="X707" s="60" t="n"/>
      <c r="Y707" s="60" t="n"/>
      <c r="Z707" s="60" t="n"/>
    </row>
    <row r="708">
      <c r="A708" s="151" t="n">
        <v>46084</v>
      </c>
      <c r="B708" s="70" t="n">
        <v>4418</v>
      </c>
      <c r="C708" s="115" t="inlineStr">
        <is>
          <t>SELİM İNŞAAT</t>
        </is>
      </c>
      <c r="D708" s="115" t="inlineStr">
        <is>
          <t>34 DTV 409</t>
        </is>
      </c>
      <c r="E708" s="115" t="inlineStr">
        <is>
          <t>ATA KIZMAZ</t>
        </is>
      </c>
      <c r="F708" s="65" t="n">
        <v>453902</v>
      </c>
      <c r="G708" s="152" t="n">
        <v>282</v>
      </c>
      <c r="H708" s="60" t="n"/>
      <c r="I708" s="156">
        <f>+I707+(G708-H708)</f>
        <v/>
      </c>
      <c r="J708" s="60" t="n"/>
      <c r="K708" s="60" t="n"/>
      <c r="L708" s="158">
        <f>+H708*J708</f>
        <v/>
      </c>
      <c r="M708" s="159">
        <f>SUM(M707+K708-L708)</f>
        <v/>
      </c>
      <c r="N708" s="60" t="n"/>
      <c r="O708" s="60" t="n"/>
      <c r="P708" s="60" t="n"/>
      <c r="Q708" s="60" t="n"/>
      <c r="R708" s="60" t="n"/>
      <c r="S708" s="60" t="n"/>
      <c r="T708" s="60" t="n"/>
      <c r="U708" s="60" t="n"/>
      <c r="V708" s="60" t="n"/>
      <c r="W708" s="60" t="n"/>
      <c r="X708" s="60" t="n"/>
      <c r="Y708" s="60" t="n"/>
      <c r="Z708" s="60" t="n"/>
    </row>
    <row r="709">
      <c r="A709" s="151" t="n">
        <v>46084</v>
      </c>
      <c r="B709" s="70" t="n">
        <v>4972</v>
      </c>
      <c r="C709" s="115" t="inlineStr">
        <is>
          <t>SELİM İNŞAAT</t>
        </is>
      </c>
      <c r="D709" s="115" t="inlineStr">
        <is>
          <t>34 GVZ 745</t>
        </is>
      </c>
      <c r="E709" s="115" t="inlineStr">
        <is>
          <t>MURAT DEMİRBAĞ</t>
        </is>
      </c>
      <c r="F709" s="65" t="n">
        <v>247465</v>
      </c>
      <c r="G709" s="152" t="n">
        <v>499</v>
      </c>
      <c r="H709" s="60" t="n"/>
      <c r="I709" s="156">
        <f>+I708+(G709-H709)</f>
        <v/>
      </c>
      <c r="J709" s="60" t="n"/>
      <c r="K709" s="60" t="n"/>
      <c r="L709" s="158">
        <f>+H709*J709</f>
        <v/>
      </c>
      <c r="M709" s="159">
        <f>SUM(M708+K709-L709)</f>
        <v/>
      </c>
      <c r="N709" s="60" t="n"/>
      <c r="O709" s="60" t="n"/>
      <c r="P709" s="60" t="n"/>
      <c r="Q709" s="60" t="n"/>
      <c r="R709" s="60" t="n"/>
      <c r="S709" s="60" t="n"/>
      <c r="T709" s="60" t="n"/>
      <c r="U709" s="60" t="n"/>
      <c r="V709" s="60" t="n"/>
      <c r="W709" s="60" t="n"/>
      <c r="X709" s="60" t="n"/>
      <c r="Y709" s="60" t="n"/>
      <c r="Z709" s="60" t="n"/>
    </row>
    <row r="710">
      <c r="A710" s="151" t="n">
        <v>46084</v>
      </c>
      <c r="B710" s="70" t="n">
        <v>4877</v>
      </c>
      <c r="C710" s="115" t="inlineStr">
        <is>
          <t>SELİM İNŞAAT</t>
        </is>
      </c>
      <c r="D710" s="115" t="inlineStr">
        <is>
          <t>34 FBR 705</t>
        </is>
      </c>
      <c r="E710" s="115" t="inlineStr">
        <is>
          <t>MURAT SARI</t>
        </is>
      </c>
      <c r="F710" s="65" t="n">
        <v>362380</v>
      </c>
      <c r="G710" s="152" t="n">
        <v>235</v>
      </c>
      <c r="H710" s="60" t="n"/>
      <c r="I710" s="156">
        <f>+I709+(G710-H710)</f>
        <v/>
      </c>
      <c r="J710" s="60" t="n"/>
      <c r="K710" s="60" t="n"/>
      <c r="L710" s="158">
        <f>+H710*J710</f>
        <v/>
      </c>
      <c r="M710" s="159">
        <f>SUM(M709+K710-L710)</f>
        <v/>
      </c>
      <c r="N710" s="60" t="n"/>
      <c r="O710" s="60" t="n"/>
      <c r="P710" s="60" t="n"/>
      <c r="Q710" s="60" t="n"/>
      <c r="R710" s="60" t="n"/>
      <c r="S710" s="60" t="n"/>
      <c r="T710" s="60" t="n"/>
      <c r="U710" s="60" t="n"/>
      <c r="V710" s="60" t="n"/>
      <c r="W710" s="60" t="n"/>
      <c r="X710" s="60" t="n"/>
      <c r="Y710" s="60" t="n"/>
      <c r="Z710" s="60" t="n"/>
    </row>
    <row r="711">
      <c r="A711" s="151" t="n">
        <v>46084</v>
      </c>
      <c r="B711" s="70" t="n">
        <v>3286</v>
      </c>
      <c r="C711" s="115" t="inlineStr">
        <is>
          <t>AZGÜN YAPI</t>
        </is>
      </c>
      <c r="D711" s="115" t="inlineStr">
        <is>
          <t xml:space="preserve">34 DTV 263 </t>
        </is>
      </c>
      <c r="E711" s="115" t="inlineStr">
        <is>
          <t>DURSUN ALİ GÜREK</t>
        </is>
      </c>
      <c r="F711" s="65" t="n"/>
      <c r="G711" s="152" t="n">
        <v>313</v>
      </c>
      <c r="H711" s="60" t="n"/>
      <c r="I711" s="156">
        <f>+I710+(G711-H711)</f>
        <v/>
      </c>
      <c r="J711" s="60" t="n"/>
      <c r="K711" s="60" t="n"/>
      <c r="L711" s="158">
        <f>+H711*J711</f>
        <v/>
      </c>
      <c r="M711" s="159">
        <f>SUM(M710+K711-L711)</f>
        <v/>
      </c>
      <c r="N711" s="60" t="n"/>
      <c r="O711" s="60" t="n"/>
      <c r="P711" s="60" t="n"/>
      <c r="Q711" s="60" t="n"/>
      <c r="R711" s="60" t="n"/>
      <c r="S711" s="60" t="n"/>
      <c r="T711" s="60" t="n"/>
      <c r="U711" s="60" t="n"/>
      <c r="V711" s="60" t="n"/>
      <c r="W711" s="60" t="n"/>
      <c r="X711" s="60" t="n"/>
      <c r="Y711" s="60" t="n"/>
      <c r="Z711" s="60" t="n"/>
    </row>
    <row r="712">
      <c r="A712" s="151" t="n">
        <v>46084</v>
      </c>
      <c r="B712" s="70" t="n">
        <v>248</v>
      </c>
      <c r="C712" s="115" t="inlineStr">
        <is>
          <t>SELİM İNŞAAT</t>
        </is>
      </c>
      <c r="D712" s="115" t="inlineStr">
        <is>
          <t>34 JGR 15</t>
        </is>
      </c>
      <c r="E712" s="115" t="inlineStr">
        <is>
          <t>ÖNER DÜNDAR</t>
        </is>
      </c>
      <c r="F712" s="65" t="n">
        <v>330674</v>
      </c>
      <c r="G712" s="152" t="n">
        <v>62</v>
      </c>
      <c r="H712" s="60" t="n"/>
      <c r="I712" s="156">
        <f>+I711+(G712-H712)</f>
        <v/>
      </c>
      <c r="J712" s="60" t="n"/>
      <c r="K712" s="60" t="n"/>
      <c r="L712" s="158">
        <f>+H712*J712</f>
        <v/>
      </c>
      <c r="M712" s="159">
        <f>SUM(M711+K712-L712)</f>
        <v/>
      </c>
      <c r="N712" s="60" t="n"/>
      <c r="O712" s="60" t="n"/>
      <c r="P712" s="60" t="n"/>
      <c r="Q712" s="60" t="n"/>
      <c r="R712" s="60" t="n"/>
      <c r="S712" s="60" t="n"/>
      <c r="T712" s="60" t="n"/>
      <c r="U712" s="60" t="n"/>
      <c r="V712" s="60" t="n"/>
      <c r="W712" s="60" t="n"/>
      <c r="X712" s="60" t="n"/>
      <c r="Y712" s="60" t="n"/>
      <c r="Z712" s="60" t="n"/>
    </row>
    <row r="713">
      <c r="A713" s="151" t="n">
        <v>46084</v>
      </c>
      <c r="B713" s="70" t="n">
        <v>2388</v>
      </c>
      <c r="C713" s="115" t="inlineStr">
        <is>
          <t>SELİM İNŞAAT</t>
        </is>
      </c>
      <c r="D713" s="115" t="inlineStr">
        <is>
          <t>34 FEM 934</t>
        </is>
      </c>
      <c r="E713" s="115" t="inlineStr">
        <is>
          <t>DURSUN ALİ GÜREK</t>
        </is>
      </c>
      <c r="F713" s="65" t="n">
        <v>333386</v>
      </c>
      <c r="G713" s="152" t="n">
        <v>81</v>
      </c>
      <c r="H713" s="60" t="n"/>
      <c r="I713" s="156">
        <f>+I712+(G713-H713)</f>
        <v/>
      </c>
      <c r="J713" s="60" t="n"/>
      <c r="K713" s="60" t="n"/>
      <c r="L713" s="158">
        <f>+H713*J713</f>
        <v/>
      </c>
      <c r="M713" s="159">
        <f>SUM(M712+K713-L713)</f>
        <v/>
      </c>
      <c r="N713" s="60" t="n"/>
      <c r="O713" s="60" t="n"/>
      <c r="P713" s="60" t="n"/>
      <c r="Q713" s="60" t="n"/>
      <c r="R713" s="60" t="n"/>
      <c r="S713" s="60" t="n"/>
      <c r="T713" s="60" t="n"/>
      <c r="U713" s="60" t="n"/>
      <c r="V713" s="60" t="n"/>
      <c r="W713" s="60" t="n"/>
      <c r="X713" s="60" t="n"/>
      <c r="Y713" s="60" t="n"/>
      <c r="Z713" s="60" t="n"/>
    </row>
    <row r="714">
      <c r="A714" s="151" t="n">
        <v>46084</v>
      </c>
      <c r="B714" s="70" t="n">
        <v>2343</v>
      </c>
      <c r="C714" s="115" t="inlineStr">
        <is>
          <t>SELİM İNŞAAT</t>
        </is>
      </c>
      <c r="D714" s="115" t="inlineStr">
        <is>
          <t>34 DP 4161</t>
        </is>
      </c>
      <c r="E714" s="115" t="inlineStr">
        <is>
          <t>RIFAT KARATAY</t>
        </is>
      </c>
      <c r="F714" s="65" t="n">
        <v>320373</v>
      </c>
      <c r="G714" s="152" t="n">
        <v>253</v>
      </c>
      <c r="H714" s="60" t="n"/>
      <c r="I714" s="156">
        <f>+I713+(G714-H714)</f>
        <v/>
      </c>
      <c r="J714" s="60" t="n"/>
      <c r="K714" s="60" t="n"/>
      <c r="L714" s="158">
        <f>+H714*J714</f>
        <v/>
      </c>
      <c r="M714" s="159">
        <f>SUM(M713+K714-L714)</f>
        <v/>
      </c>
      <c r="N714" s="60" t="n"/>
      <c r="O714" s="60" t="n"/>
      <c r="P714" s="60" t="n"/>
      <c r="Q714" s="60" t="n"/>
      <c r="R714" s="60" t="n"/>
      <c r="S714" s="60" t="n"/>
      <c r="T714" s="60" t="n"/>
      <c r="U714" s="60" t="n"/>
      <c r="V714" s="60" t="n"/>
      <c r="W714" s="60" t="n"/>
      <c r="X714" s="60" t="n"/>
      <c r="Y714" s="60" t="n"/>
      <c r="Z714" s="60" t="n"/>
    </row>
    <row r="715">
      <c r="A715" s="151" t="n">
        <v>46084</v>
      </c>
      <c r="B715" s="70" t="n">
        <v>616</v>
      </c>
      <c r="C715" s="115" t="inlineStr">
        <is>
          <t>AHMET SELİM TEMHA</t>
        </is>
      </c>
      <c r="D715" s="115" t="inlineStr">
        <is>
          <t>34 PGT 251</t>
        </is>
      </c>
      <c r="E715" s="115" t="inlineStr">
        <is>
          <t>ERSOY SIĞINMAZ</t>
        </is>
      </c>
      <c r="F715" s="65" t="n"/>
      <c r="G715" s="152" t="n">
        <v>117</v>
      </c>
      <c r="H715" s="60" t="n"/>
      <c r="I715" s="156">
        <f>+I714+(G715-H715)</f>
        <v/>
      </c>
      <c r="J715" s="60" t="n"/>
      <c r="K715" s="60" t="n"/>
      <c r="L715" s="158">
        <f>+H715*J715</f>
        <v/>
      </c>
      <c r="M715" s="159">
        <f>SUM(M714+K715-L715)</f>
        <v/>
      </c>
      <c r="N715" s="60" t="n"/>
      <c r="O715" s="60" t="n"/>
      <c r="P715" s="60" t="n"/>
      <c r="Q715" s="60" t="n"/>
      <c r="R715" s="60" t="n"/>
      <c r="S715" s="60" t="n"/>
      <c r="T715" s="60" t="n"/>
      <c r="U715" s="60" t="n"/>
      <c r="V715" s="60" t="n"/>
      <c r="W715" s="60" t="n"/>
      <c r="X715" s="60" t="n"/>
      <c r="Y715" s="60" t="n"/>
      <c r="Z715" s="60" t="n"/>
    </row>
    <row r="716">
      <c r="A716" s="151" t="n">
        <v>46084</v>
      </c>
      <c r="B716" s="70" t="n">
        <v>617</v>
      </c>
      <c r="C716" s="115" t="inlineStr">
        <is>
          <t>SELİM İNŞAAT</t>
        </is>
      </c>
      <c r="D716" s="115" t="inlineStr">
        <is>
          <t>34 FBU 827</t>
        </is>
      </c>
      <c r="E716" s="115" t="inlineStr">
        <is>
          <t>YILMAZ ÇELEBİ</t>
        </is>
      </c>
      <c r="F716" s="65" t="n"/>
      <c r="G716" s="152" t="n">
        <v>22</v>
      </c>
      <c r="H716" s="60" t="n"/>
      <c r="I716" s="156">
        <f>+I715+(G716-H716)</f>
        <v/>
      </c>
      <c r="J716" s="60" t="n"/>
      <c r="K716" s="60" t="n"/>
      <c r="L716" s="158">
        <f>+H716*J716</f>
        <v/>
      </c>
      <c r="M716" s="159">
        <f>SUM(M715+K716-L716)</f>
        <v/>
      </c>
      <c r="N716" s="60" t="n"/>
      <c r="O716" s="60" t="n"/>
      <c r="P716" s="60" t="n"/>
      <c r="Q716" s="60" t="n"/>
      <c r="R716" s="60" t="n"/>
      <c r="S716" s="60" t="n"/>
      <c r="T716" s="60" t="n"/>
      <c r="U716" s="60" t="n"/>
      <c r="V716" s="60" t="n"/>
      <c r="W716" s="60" t="n"/>
      <c r="X716" s="60" t="n"/>
      <c r="Y716" s="60" t="n"/>
      <c r="Z716" s="60" t="n"/>
    </row>
    <row r="717">
      <c r="A717" s="151" t="n">
        <v>46084</v>
      </c>
      <c r="B717" s="70" t="n">
        <v>618</v>
      </c>
      <c r="C717" s="115" t="inlineStr">
        <is>
          <t>AHMET SELİM TEMHA</t>
        </is>
      </c>
      <c r="D717" s="115" t="inlineStr">
        <is>
          <t>MANİTO</t>
        </is>
      </c>
      <c r="E717" s="115" t="inlineStr">
        <is>
          <t>TURGAY ÇIPLAK</t>
        </is>
      </c>
      <c r="F717" s="65" t="n"/>
      <c r="G717" s="152" t="n">
        <v>145</v>
      </c>
      <c r="H717" s="60" t="n"/>
      <c r="I717" s="156">
        <f>+I716+(G717-H717)</f>
        <v/>
      </c>
      <c r="J717" s="60" t="n"/>
      <c r="K717" s="60" t="n"/>
      <c r="L717" s="158">
        <f>+H717*J717</f>
        <v/>
      </c>
      <c r="M717" s="159">
        <f>SUM(M716+K717-L717)</f>
        <v/>
      </c>
      <c r="N717" s="60" t="n"/>
      <c r="O717" s="60" t="n"/>
      <c r="P717" s="60" t="n"/>
      <c r="Q717" s="60" t="n"/>
      <c r="R717" s="60" t="n"/>
      <c r="S717" s="60" t="n"/>
      <c r="T717" s="60" t="n"/>
      <c r="U717" s="60" t="n"/>
      <c r="V717" s="60" t="n"/>
      <c r="W717" s="60" t="n"/>
      <c r="X717" s="60" t="n"/>
      <c r="Y717" s="60" t="n"/>
      <c r="Z717" s="60" t="n"/>
    </row>
    <row r="718">
      <c r="A718" s="151" t="n">
        <v>46084</v>
      </c>
      <c r="B718" s="70" t="n">
        <v>808</v>
      </c>
      <c r="C718" s="115" t="inlineStr">
        <is>
          <t>METİN ERYİĞİT</t>
        </is>
      </c>
      <c r="D718" s="115" t="inlineStr">
        <is>
          <t>34 GBL 998</t>
        </is>
      </c>
      <c r="E718" s="115" t="inlineStr">
        <is>
          <t>ALİ KESKİN</t>
        </is>
      </c>
      <c r="F718" s="65" t="n"/>
      <c r="G718" s="152" t="n">
        <v>330</v>
      </c>
      <c r="H718" s="60" t="n"/>
      <c r="I718" s="156">
        <f>+I717+(G718-H718)</f>
        <v/>
      </c>
      <c r="J718" s="60" t="n"/>
      <c r="K718" s="60" t="n"/>
      <c r="L718" s="158">
        <f>+H718*J718</f>
        <v/>
      </c>
      <c r="M718" s="159">
        <f>SUM(M717+K718-L718)</f>
        <v/>
      </c>
      <c r="N718" s="60" t="n"/>
      <c r="O718" s="60" t="n"/>
      <c r="P718" s="60" t="n"/>
      <c r="Q718" s="60" t="n"/>
      <c r="R718" s="60" t="n"/>
      <c r="S718" s="60" t="n"/>
      <c r="T718" s="60" t="n"/>
      <c r="U718" s="60" t="n"/>
      <c r="V718" s="60" t="n"/>
      <c r="W718" s="60" t="n"/>
      <c r="X718" s="60" t="n"/>
      <c r="Y718" s="60" t="n"/>
      <c r="Z718" s="60" t="n"/>
    </row>
    <row r="719">
      <c r="A719" s="151" t="n">
        <v>46084</v>
      </c>
      <c r="B719" s="70" t="n">
        <v>429</v>
      </c>
      <c r="C719" s="115" t="inlineStr">
        <is>
          <t>MEGA</t>
        </is>
      </c>
      <c r="D719" s="115" t="inlineStr">
        <is>
          <t>KAWAZAKİ</t>
        </is>
      </c>
      <c r="E719" s="115" t="inlineStr">
        <is>
          <t>RAMAZAN</t>
        </is>
      </c>
      <c r="F719" s="65" t="n"/>
      <c r="G719" s="152" t="n">
        <v>281</v>
      </c>
      <c r="H719" s="60" t="n"/>
      <c r="I719" s="156">
        <f>+I718+(G719-H719)</f>
        <v/>
      </c>
      <c r="J719" s="60" t="n"/>
      <c r="K719" s="60" t="n"/>
      <c r="L719" s="158">
        <f>+H719*J719</f>
        <v/>
      </c>
      <c r="M719" s="159">
        <f>SUM(M718+K719-L719)</f>
        <v/>
      </c>
      <c r="N719" s="60" t="n"/>
      <c r="O719" s="60" t="n"/>
      <c r="P719" s="60" t="n"/>
      <c r="Q719" s="60" t="n"/>
      <c r="R719" s="60" t="n"/>
      <c r="S719" s="60" t="n"/>
      <c r="T719" s="60" t="n"/>
      <c r="U719" s="60" t="n"/>
      <c r="V719" s="60" t="n"/>
      <c r="W719" s="60" t="n"/>
      <c r="X719" s="60" t="n"/>
      <c r="Y719" s="60" t="n"/>
      <c r="Z719" s="60" t="n"/>
    </row>
    <row r="720">
      <c r="A720" s="151" t="n">
        <v>46084</v>
      </c>
      <c r="B720" s="70" t="n">
        <v>430</v>
      </c>
      <c r="C720" s="115" t="inlineStr">
        <is>
          <t>MEGA</t>
        </is>
      </c>
      <c r="D720" s="115" t="inlineStr">
        <is>
          <t>JCB</t>
        </is>
      </c>
      <c r="E720" s="115" t="inlineStr">
        <is>
          <t>BAYRAM SANCAK</t>
        </is>
      </c>
      <c r="F720" s="65" t="n"/>
      <c r="G720" s="152" t="n">
        <v>81</v>
      </c>
      <c r="H720" s="60" t="n"/>
      <c r="I720" s="156">
        <f>+I719+(G720-H720)</f>
        <v/>
      </c>
      <c r="J720" s="60" t="n"/>
      <c r="K720" s="60" t="n"/>
      <c r="L720" s="158">
        <f>+H720*J720</f>
        <v/>
      </c>
      <c r="M720" s="159">
        <f>SUM(M719+K720-L720)</f>
        <v/>
      </c>
      <c r="N720" s="60" t="n"/>
      <c r="O720" s="60" t="n"/>
      <c r="P720" s="60" t="n"/>
      <c r="Q720" s="60" t="n"/>
      <c r="R720" s="60" t="n"/>
      <c r="S720" s="60" t="n"/>
      <c r="T720" s="60" t="n"/>
      <c r="U720" s="60" t="n"/>
      <c r="V720" s="60" t="n"/>
      <c r="W720" s="60" t="n"/>
      <c r="X720" s="60" t="n"/>
      <c r="Y720" s="60" t="n"/>
      <c r="Z720" s="60" t="n"/>
    </row>
    <row r="721">
      <c r="A721" s="151" t="n">
        <v>46084</v>
      </c>
      <c r="B721" s="70" t="n">
        <v>431</v>
      </c>
      <c r="C721" s="115" t="inlineStr">
        <is>
          <t>MEGA</t>
        </is>
      </c>
      <c r="D721" s="115" t="inlineStr">
        <is>
          <t>SM350</t>
        </is>
      </c>
      <c r="E721" s="115" t="inlineStr">
        <is>
          <t>EMİRCAN</t>
        </is>
      </c>
      <c r="F721" s="65" t="n"/>
      <c r="G721" s="152" t="n">
        <v>317</v>
      </c>
      <c r="H721" s="60" t="n"/>
      <c r="I721" s="156">
        <f>+I720+(G721-H721)</f>
        <v/>
      </c>
      <c r="J721" s="60" t="n"/>
      <c r="K721" s="60" t="n"/>
      <c r="L721" s="158">
        <f>+H721*J721</f>
        <v/>
      </c>
      <c r="M721" s="159">
        <f>SUM(M720+K721-L721)</f>
        <v/>
      </c>
      <c r="N721" s="60" t="n"/>
      <c r="O721" s="60" t="n"/>
      <c r="P721" s="60" t="n"/>
      <c r="Q721" s="60" t="n"/>
      <c r="R721" s="60" t="n"/>
      <c r="S721" s="60" t="n"/>
      <c r="T721" s="60" t="n"/>
      <c r="U721" s="60" t="n"/>
      <c r="V721" s="60" t="n"/>
      <c r="W721" s="60" t="n"/>
      <c r="X721" s="60" t="n"/>
      <c r="Y721" s="60" t="n"/>
      <c r="Z721" s="60" t="n"/>
    </row>
    <row r="722">
      <c r="A722" s="151" t="n">
        <v>46084</v>
      </c>
      <c r="B722" s="70" t="n">
        <v>432</v>
      </c>
      <c r="C722" s="115" t="inlineStr">
        <is>
          <t>KOZMO</t>
        </is>
      </c>
      <c r="D722" s="115" t="inlineStr">
        <is>
          <t>SM300</t>
        </is>
      </c>
      <c r="E722" s="115" t="inlineStr">
        <is>
          <t>MEHMET ALİ</t>
        </is>
      </c>
      <c r="F722" s="65" t="n"/>
      <c r="G722" s="152" t="n">
        <v>394</v>
      </c>
      <c r="H722" s="60" t="n"/>
      <c r="I722" s="156">
        <f>+I721+(G722-H722)</f>
        <v/>
      </c>
      <c r="J722" s="60" t="n"/>
      <c r="K722" s="60" t="n"/>
      <c r="L722" s="158">
        <f>+H722*J722</f>
        <v/>
      </c>
      <c r="M722" s="159">
        <f>SUM(M721+K722-L722)</f>
        <v/>
      </c>
      <c r="N722" s="60" t="n"/>
      <c r="O722" s="60" t="n"/>
      <c r="P722" s="60" t="n"/>
      <c r="Q722" s="60" t="n"/>
      <c r="R722" s="60" t="n"/>
      <c r="S722" s="60" t="n"/>
      <c r="T722" s="60" t="n"/>
      <c r="U722" s="60" t="n"/>
      <c r="V722" s="60" t="n"/>
      <c r="W722" s="60" t="n"/>
      <c r="X722" s="60" t="n"/>
      <c r="Y722" s="60" t="n"/>
      <c r="Z722" s="60" t="n"/>
    </row>
    <row r="723">
      <c r="A723" s="151" t="n">
        <v>46085</v>
      </c>
      <c r="B723" s="70" t="n">
        <v>852</v>
      </c>
      <c r="C723" s="115" t="inlineStr">
        <is>
          <t>SELİM İNŞAAT</t>
        </is>
      </c>
      <c r="D723" s="115" t="inlineStr">
        <is>
          <t>34 EGR 922</t>
        </is>
      </c>
      <c r="E723" s="115" t="inlineStr">
        <is>
          <t>FARUK ÖZEN</t>
        </is>
      </c>
      <c r="F723" s="65" t="n">
        <v>504666</v>
      </c>
      <c r="G723" s="152" t="n">
        <v>552</v>
      </c>
      <c r="H723" s="60" t="n"/>
      <c r="I723" s="156">
        <f>+I722+(G723-H723)</f>
        <v/>
      </c>
      <c r="J723" s="60" t="n"/>
      <c r="K723" s="60" t="n"/>
      <c r="L723" s="158">
        <f>+H723*J723</f>
        <v/>
      </c>
      <c r="M723" s="159">
        <f>SUM(M722+K723-L723)</f>
        <v/>
      </c>
      <c r="N723" s="60" t="n"/>
      <c r="O723" s="60" t="n"/>
      <c r="P723" s="60" t="n"/>
      <c r="Q723" s="60" t="n"/>
      <c r="R723" s="60" t="n"/>
      <c r="S723" s="60" t="n"/>
      <c r="T723" s="60" t="n"/>
      <c r="U723" s="60" t="n"/>
      <c r="V723" s="60" t="n"/>
      <c r="W723" s="60" t="n"/>
      <c r="X723" s="60" t="n"/>
      <c r="Y723" s="60" t="n"/>
      <c r="Z723" s="60" t="n"/>
    </row>
    <row r="724">
      <c r="A724" s="151" t="n">
        <v>46085</v>
      </c>
      <c r="B724" s="70" t="n">
        <v>4768</v>
      </c>
      <c r="C724" s="115" t="inlineStr">
        <is>
          <t>SELİM İNŞAAT</t>
        </is>
      </c>
      <c r="D724" s="115" t="inlineStr">
        <is>
          <t>34 DGP 137</t>
        </is>
      </c>
      <c r="E724" s="115" t="inlineStr">
        <is>
          <t>YASİN ÇATAKLI</t>
        </is>
      </c>
      <c r="F724" s="65" t="n">
        <v>475293</v>
      </c>
      <c r="G724" s="152" t="n">
        <v>560</v>
      </c>
      <c r="H724" s="60" t="n"/>
      <c r="I724" s="156">
        <f>+I723+(G724-H724)</f>
        <v/>
      </c>
      <c r="J724" s="60" t="n"/>
      <c r="K724" s="60" t="n"/>
      <c r="L724" s="158">
        <f>+H724*J724</f>
        <v/>
      </c>
      <c r="M724" s="159">
        <f>SUM(M723+K724-L724)</f>
        <v/>
      </c>
      <c r="N724" s="60" t="n"/>
      <c r="O724" s="60" t="n"/>
      <c r="P724" s="60" t="n"/>
      <c r="Q724" s="60" t="n"/>
      <c r="R724" s="60" t="n"/>
      <c r="S724" s="60" t="n"/>
      <c r="T724" s="60" t="n"/>
      <c r="U724" s="60" t="n"/>
      <c r="V724" s="60" t="n"/>
      <c r="W724" s="60" t="n"/>
      <c r="X724" s="60" t="n"/>
      <c r="Y724" s="60" t="n"/>
      <c r="Z724" s="60" t="n"/>
    </row>
    <row r="725">
      <c r="A725" s="151" t="n">
        <v>46085</v>
      </c>
      <c r="B725" s="70" t="n">
        <v>3429</v>
      </c>
      <c r="C725" s="115" t="inlineStr">
        <is>
          <t>SELİM İNŞAAT</t>
        </is>
      </c>
      <c r="D725" s="115" t="inlineStr">
        <is>
          <t>34 GVZ 310</t>
        </is>
      </c>
      <c r="E725" s="115" t="inlineStr">
        <is>
          <t>CELAL YÜZBAŞI</t>
        </is>
      </c>
      <c r="F725" s="65" t="n">
        <v>248068</v>
      </c>
      <c r="G725" s="152" t="n">
        <v>485</v>
      </c>
      <c r="H725" s="60" t="n"/>
      <c r="I725" s="156">
        <f>+I724+(G725-H725)</f>
        <v/>
      </c>
      <c r="J725" s="60" t="n"/>
      <c r="K725" s="60" t="n"/>
      <c r="L725" s="158">
        <f>+H725*J725</f>
        <v/>
      </c>
      <c r="M725" s="159">
        <f>SUM(M724+K725-L725)</f>
        <v/>
      </c>
      <c r="N725" s="60" t="n"/>
      <c r="O725" s="60" t="n"/>
      <c r="P725" s="60" t="n"/>
      <c r="Q725" s="60" t="n"/>
      <c r="R725" s="60" t="n"/>
      <c r="S725" s="60" t="n"/>
      <c r="T725" s="60" t="n"/>
      <c r="U725" s="60" t="n"/>
      <c r="V725" s="60" t="n"/>
      <c r="W725" s="60" t="n"/>
      <c r="X725" s="60" t="n"/>
      <c r="Y725" s="60" t="n"/>
      <c r="Z725" s="60" t="n"/>
    </row>
    <row r="726">
      <c r="A726" s="151" t="n">
        <v>46085</v>
      </c>
      <c r="B726" s="70" t="n">
        <v>3489</v>
      </c>
      <c r="C726" s="115" t="inlineStr">
        <is>
          <t>SELİM İNŞAAT</t>
        </is>
      </c>
      <c r="D726" s="115" t="inlineStr">
        <is>
          <t>34 EDB 754</t>
        </is>
      </c>
      <c r="E726" s="115" t="inlineStr">
        <is>
          <t>MUSTAFA KAYA</t>
        </is>
      </c>
      <c r="F726" s="65" t="n">
        <v>372804</v>
      </c>
      <c r="G726" s="152" t="n">
        <v>466</v>
      </c>
      <c r="H726" s="60" t="n"/>
      <c r="I726" s="156">
        <f>+I725+(G726-H726)</f>
        <v/>
      </c>
      <c r="J726" s="60" t="n"/>
      <c r="K726" s="60" t="n"/>
      <c r="L726" s="158">
        <f>+H726*J726</f>
        <v/>
      </c>
      <c r="M726" s="159">
        <f>SUM(M725+K726-L726)</f>
        <v/>
      </c>
      <c r="N726" s="60" t="n"/>
      <c r="O726" s="60" t="n"/>
      <c r="P726" s="60" t="n"/>
      <c r="Q726" s="60" t="n"/>
      <c r="R726" s="60" t="n"/>
      <c r="S726" s="60" t="n"/>
      <c r="T726" s="60" t="n"/>
      <c r="U726" s="60" t="n"/>
      <c r="V726" s="60" t="n"/>
      <c r="W726" s="60" t="n"/>
      <c r="X726" s="60" t="n"/>
      <c r="Y726" s="60" t="n"/>
      <c r="Z726" s="60" t="n"/>
    </row>
    <row r="727">
      <c r="A727" s="151" t="n">
        <v>46085</v>
      </c>
      <c r="B727" s="70" t="n">
        <v>908</v>
      </c>
      <c r="C727" s="115" t="inlineStr">
        <is>
          <t>SELİM İNŞAAT</t>
        </is>
      </c>
      <c r="D727" s="115" t="inlineStr">
        <is>
          <t>34 FSG 229</t>
        </is>
      </c>
      <c r="E727" s="115" t="inlineStr">
        <is>
          <t>SİNAN TANRIVERDİ</t>
        </is>
      </c>
      <c r="F727" s="65" t="n">
        <v>301271</v>
      </c>
      <c r="G727" s="152" t="n">
        <v>446</v>
      </c>
      <c r="H727" s="60" t="n"/>
      <c r="I727" s="156">
        <f>+I726+(G727-H727)</f>
        <v/>
      </c>
      <c r="J727" s="60" t="n"/>
      <c r="K727" s="60" t="n"/>
      <c r="L727" s="158">
        <f>+H727*J727</f>
        <v/>
      </c>
      <c r="M727" s="159">
        <f>SUM(M726+K727-L727)</f>
        <v/>
      </c>
      <c r="N727" s="60" t="n"/>
      <c r="O727" s="60" t="n"/>
      <c r="P727" s="60" t="n"/>
      <c r="Q727" s="60" t="n"/>
      <c r="R727" s="60" t="n"/>
      <c r="S727" s="60" t="n"/>
      <c r="T727" s="60" t="n"/>
      <c r="U727" s="60" t="n"/>
      <c r="V727" s="60" t="n"/>
      <c r="W727" s="60" t="n"/>
      <c r="X727" s="60" t="n"/>
      <c r="Y727" s="60" t="n"/>
      <c r="Z727" s="60" t="n"/>
    </row>
    <row r="728">
      <c r="A728" s="151" t="n">
        <v>46085</v>
      </c>
      <c r="B728" s="70" t="n">
        <v>515</v>
      </c>
      <c r="C728" s="115" t="inlineStr">
        <is>
          <t>SELİM İNŞAAT</t>
        </is>
      </c>
      <c r="D728" s="115" t="inlineStr">
        <is>
          <t>34 EGR 737</t>
        </is>
      </c>
      <c r="E728" s="115" t="inlineStr">
        <is>
          <t>CEM MUHTAR</t>
        </is>
      </c>
      <c r="F728" s="65" t="n">
        <v>461594</v>
      </c>
      <c r="G728" s="152" t="n">
        <v>502</v>
      </c>
      <c r="H728" s="60" t="n"/>
      <c r="I728" s="156">
        <f>+I727+(G728-H728)</f>
        <v/>
      </c>
      <c r="J728" s="60" t="n"/>
      <c r="K728" s="60" t="n"/>
      <c r="L728" s="158">
        <f>+H728*J728</f>
        <v/>
      </c>
      <c r="M728" s="159">
        <f>SUM(M727+K728-L728)</f>
        <v/>
      </c>
      <c r="N728" s="60" t="n"/>
      <c r="O728" s="60" t="n"/>
      <c r="P728" s="60" t="n"/>
      <c r="Q728" s="60" t="n"/>
      <c r="R728" s="60" t="n"/>
      <c r="S728" s="60" t="n"/>
      <c r="T728" s="60" t="n"/>
      <c r="U728" s="60" t="n"/>
      <c r="V728" s="60" t="n"/>
      <c r="W728" s="60" t="n"/>
      <c r="X728" s="60" t="n"/>
      <c r="Y728" s="60" t="n"/>
      <c r="Z728" s="60" t="n"/>
    </row>
    <row r="729">
      <c r="A729" s="151" t="n">
        <v>46085</v>
      </c>
      <c r="B729" s="70" t="n">
        <v>3046</v>
      </c>
      <c r="C729" s="115" t="inlineStr">
        <is>
          <t>SELİM İNŞAAT</t>
        </is>
      </c>
      <c r="D729" s="115" t="inlineStr">
        <is>
          <t>34 FBR 781</t>
        </is>
      </c>
      <c r="E729" s="115" t="inlineStr">
        <is>
          <t>MEVLÜT POLAT</t>
        </is>
      </c>
      <c r="F729" s="65" t="n">
        <v>363692</v>
      </c>
      <c r="G729" s="152" t="n">
        <v>506</v>
      </c>
      <c r="H729" s="60" t="n"/>
      <c r="I729" s="156">
        <f>+I728+(G729-H729)</f>
        <v/>
      </c>
      <c r="J729" s="60" t="n"/>
      <c r="K729" s="60" t="n"/>
      <c r="L729" s="158">
        <f>+H729*J729</f>
        <v/>
      </c>
      <c r="M729" s="159">
        <f>SUM(M728+K729-L729)</f>
        <v/>
      </c>
      <c r="N729" s="60" t="n"/>
      <c r="O729" s="60" t="n"/>
      <c r="P729" s="60" t="n"/>
      <c r="Q729" s="60" t="n"/>
      <c r="R729" s="60" t="n"/>
      <c r="S729" s="60" t="n"/>
      <c r="T729" s="60" t="n"/>
      <c r="U729" s="60" t="n"/>
      <c r="V729" s="60" t="n"/>
      <c r="W729" s="60" t="n"/>
      <c r="X729" s="60" t="n"/>
      <c r="Y729" s="60" t="n"/>
      <c r="Z729" s="60" t="n"/>
    </row>
    <row r="730">
      <c r="A730" s="151" t="n">
        <v>46085</v>
      </c>
      <c r="B730" s="70" t="n">
        <v>4514</v>
      </c>
      <c r="C730" s="115" t="inlineStr">
        <is>
          <t>SELİM İNŞAAT</t>
        </is>
      </c>
      <c r="D730" s="115" t="inlineStr">
        <is>
          <t>34 DTV 352</t>
        </is>
      </c>
      <c r="E730" s="115" t="inlineStr">
        <is>
          <t>AZİZ ORUÇ</t>
        </is>
      </c>
      <c r="F730" s="65" t="n">
        <v>476284</v>
      </c>
      <c r="G730" s="152" t="n">
        <v>263</v>
      </c>
      <c r="H730" s="60" t="n"/>
      <c r="I730" s="156">
        <f>+I729+(G730-H730)</f>
        <v/>
      </c>
      <c r="J730" s="60" t="n"/>
      <c r="K730" s="60" t="n"/>
      <c r="L730" s="158">
        <f>+H730*J730</f>
        <v/>
      </c>
      <c r="M730" s="159">
        <f>SUM(M729+K730-L730)</f>
        <v/>
      </c>
      <c r="N730" s="60" t="n"/>
      <c r="O730" s="60" t="n"/>
      <c r="P730" s="60" t="n"/>
      <c r="Q730" s="60" t="n"/>
      <c r="R730" s="60" t="n"/>
      <c r="S730" s="60" t="n"/>
      <c r="T730" s="60" t="n"/>
      <c r="U730" s="60" t="n"/>
      <c r="V730" s="60" t="n"/>
      <c r="W730" s="60" t="n"/>
      <c r="X730" s="60" t="n"/>
      <c r="Y730" s="60" t="n"/>
      <c r="Z730" s="60" t="n"/>
    </row>
    <row r="731">
      <c r="A731" s="151" t="n">
        <v>46085</v>
      </c>
      <c r="B731" s="70" t="n">
        <v>150</v>
      </c>
      <c r="C731" s="115" t="inlineStr">
        <is>
          <t>SELİM İNŞAAT</t>
        </is>
      </c>
      <c r="D731" s="115" t="inlineStr">
        <is>
          <t>34 FBR 771</t>
        </is>
      </c>
      <c r="E731" s="115" t="inlineStr">
        <is>
          <t>SALİH YALÇIN</t>
        </is>
      </c>
      <c r="F731" s="65" t="n">
        <v>350222</v>
      </c>
      <c r="G731" s="152" t="n">
        <v>453</v>
      </c>
      <c r="H731" s="60" t="n"/>
      <c r="I731" s="156">
        <f>+I730+(G731-H731)</f>
        <v/>
      </c>
      <c r="J731" s="60" t="n"/>
      <c r="K731" s="60" t="n"/>
      <c r="L731" s="158">
        <f>+H731*J731</f>
        <v/>
      </c>
      <c r="M731" s="159">
        <f>SUM(M730+K731-L731)</f>
        <v/>
      </c>
      <c r="N731" s="60" t="n"/>
      <c r="O731" s="60" t="n"/>
      <c r="P731" s="60" t="n"/>
      <c r="Q731" s="60" t="n"/>
      <c r="R731" s="60" t="n"/>
      <c r="S731" s="60" t="n"/>
      <c r="T731" s="60" t="n"/>
      <c r="U731" s="60" t="n"/>
      <c r="V731" s="60" t="n"/>
      <c r="W731" s="60" t="n"/>
      <c r="X731" s="60" t="n"/>
      <c r="Y731" s="60" t="n"/>
      <c r="Z731" s="60" t="n"/>
    </row>
    <row r="732">
      <c r="A732" s="151" t="n">
        <v>46085</v>
      </c>
      <c r="B732" s="70" t="n">
        <v>3391</v>
      </c>
      <c r="C732" s="115" t="inlineStr">
        <is>
          <t>SELİM İNŞAAT</t>
        </is>
      </c>
      <c r="D732" s="115" t="inlineStr">
        <is>
          <t>34 EDC 162</t>
        </is>
      </c>
      <c r="E732" s="115" t="inlineStr">
        <is>
          <t>YAKUP GÜNER</t>
        </is>
      </c>
      <c r="F732" s="65" t="n">
        <v>416090</v>
      </c>
      <c r="G732" s="152" t="n">
        <v>486</v>
      </c>
      <c r="H732" s="60" t="n"/>
      <c r="I732" s="156">
        <f>+I731+(G732-H732)</f>
        <v/>
      </c>
      <c r="J732" s="60" t="n"/>
      <c r="K732" s="60" t="n"/>
      <c r="L732" s="158">
        <f>+H732*J732</f>
        <v/>
      </c>
      <c r="M732" s="159">
        <f>SUM(M731+K732-L732)</f>
        <v/>
      </c>
      <c r="N732" s="60" t="n"/>
      <c r="O732" s="60" t="n"/>
      <c r="P732" s="60" t="n"/>
      <c r="Q732" s="60" t="n"/>
      <c r="R732" s="60" t="n"/>
      <c r="S732" s="60" t="n"/>
      <c r="T732" s="60" t="n"/>
      <c r="U732" s="60" t="n"/>
      <c r="V732" s="60" t="n"/>
      <c r="W732" s="60" t="n"/>
      <c r="X732" s="60" t="n"/>
      <c r="Y732" s="60" t="n"/>
      <c r="Z732" s="60" t="n"/>
    </row>
    <row r="733">
      <c r="A733" s="151" t="n">
        <v>46085</v>
      </c>
      <c r="B733" s="70" t="n">
        <v>2543</v>
      </c>
      <c r="C733" s="115" t="inlineStr">
        <is>
          <t>AZGÜN YAPI</t>
        </is>
      </c>
      <c r="D733" s="115" t="inlineStr">
        <is>
          <t>34 MKT 593</t>
        </is>
      </c>
      <c r="E733" s="115" t="inlineStr">
        <is>
          <t>TURGUT ÇATAL</t>
        </is>
      </c>
      <c r="F733" s="65" t="n"/>
      <c r="G733" s="152" t="n">
        <v>394</v>
      </c>
      <c r="H733" s="60" t="n"/>
      <c r="I733" s="156">
        <f>+I732+(G733-H733)</f>
        <v/>
      </c>
      <c r="J733" s="60" t="n"/>
      <c r="K733" s="60" t="n"/>
      <c r="L733" s="158">
        <f>+H733*J733</f>
        <v/>
      </c>
      <c r="M733" s="159">
        <f>SUM(M732+K733-L733)</f>
        <v/>
      </c>
      <c r="N733" s="60" t="n"/>
      <c r="O733" s="60" t="n"/>
      <c r="P733" s="60" t="n"/>
      <c r="Q733" s="60" t="n"/>
      <c r="R733" s="60" t="n"/>
      <c r="S733" s="60" t="n"/>
      <c r="T733" s="60" t="n"/>
      <c r="U733" s="60" t="n"/>
      <c r="V733" s="60" t="n"/>
      <c r="W733" s="60" t="n"/>
      <c r="X733" s="60" t="n"/>
      <c r="Y733" s="60" t="n"/>
      <c r="Z733" s="60" t="n"/>
    </row>
    <row r="734">
      <c r="A734" s="151" t="n">
        <v>46085</v>
      </c>
      <c r="B734" s="70" t="n">
        <v>1632</v>
      </c>
      <c r="C734" s="115" t="inlineStr">
        <is>
          <t>SELİM İNŞAAT</t>
        </is>
      </c>
      <c r="D734" s="115" t="inlineStr">
        <is>
          <t>34 VF 2260</t>
        </is>
      </c>
      <c r="E734" s="115" t="inlineStr">
        <is>
          <t>RECEP SELİM</t>
        </is>
      </c>
      <c r="F734" s="65" t="n">
        <v>202393</v>
      </c>
      <c r="G734" s="152" t="n">
        <v>64</v>
      </c>
      <c r="H734" s="60" t="n"/>
      <c r="I734" s="156">
        <f>+I733+(G734-H734)</f>
        <v/>
      </c>
      <c r="J734" s="60" t="n"/>
      <c r="K734" s="60" t="n"/>
      <c r="L734" s="158">
        <f>+H734*J734</f>
        <v/>
      </c>
      <c r="M734" s="159">
        <f>SUM(M733+K734-L734)</f>
        <v/>
      </c>
      <c r="N734" s="60" t="n"/>
      <c r="O734" s="60" t="n"/>
      <c r="P734" s="60" t="n"/>
      <c r="Q734" s="60" t="n"/>
      <c r="R734" s="60" t="n"/>
      <c r="S734" s="60" t="n"/>
      <c r="T734" s="60" t="n"/>
      <c r="U734" s="60" t="n"/>
      <c r="V734" s="60" t="n"/>
      <c r="W734" s="60" t="n"/>
      <c r="X734" s="60" t="n"/>
      <c r="Y734" s="60" t="n"/>
      <c r="Z734" s="60" t="n"/>
    </row>
    <row r="735">
      <c r="A735" s="151" t="n">
        <v>46085</v>
      </c>
      <c r="B735" s="70" t="n">
        <v>4017</v>
      </c>
      <c r="C735" s="115" t="inlineStr">
        <is>
          <t>SELİM İNŞAAT</t>
        </is>
      </c>
      <c r="D735" s="115" t="inlineStr">
        <is>
          <t>34 AR 7743</t>
        </is>
      </c>
      <c r="E735" s="115" t="inlineStr">
        <is>
          <t>MEHMET SELİM</t>
        </is>
      </c>
      <c r="F735" s="65" t="n">
        <v>374116</v>
      </c>
      <c r="G735" s="152" t="n">
        <v>46</v>
      </c>
      <c r="H735" s="60" t="n"/>
      <c r="I735" s="156">
        <f>+I734+(G735-H735)</f>
        <v/>
      </c>
      <c r="J735" s="60" t="n"/>
      <c r="K735" s="60" t="n"/>
      <c r="L735" s="158">
        <f>+H735*J735</f>
        <v/>
      </c>
      <c r="M735" s="159">
        <f>SUM(M734+K735-L735)</f>
        <v/>
      </c>
      <c r="N735" s="60" t="n"/>
      <c r="O735" s="60" t="n"/>
      <c r="P735" s="60" t="n"/>
      <c r="Q735" s="60" t="n"/>
      <c r="R735" s="60" t="n"/>
      <c r="S735" s="60" t="n"/>
      <c r="T735" s="60" t="n"/>
      <c r="U735" s="60" t="n"/>
      <c r="V735" s="60" t="n"/>
      <c r="W735" s="60" t="n"/>
      <c r="X735" s="60" t="n"/>
      <c r="Y735" s="60" t="n"/>
      <c r="Z735" s="60" t="n"/>
    </row>
    <row r="736">
      <c r="A736" s="151" t="n">
        <v>46085</v>
      </c>
      <c r="B736" s="70" t="n">
        <v>4464</v>
      </c>
      <c r="C736" s="115" t="inlineStr">
        <is>
          <t>SELİM İNŞAAT</t>
        </is>
      </c>
      <c r="D736" s="115" t="inlineStr">
        <is>
          <t>34 DKL 798</t>
        </is>
      </c>
      <c r="E736" s="115" t="inlineStr">
        <is>
          <t>HASAN BAYCA</t>
        </is>
      </c>
      <c r="F736" s="65" t="n">
        <v>81000</v>
      </c>
      <c r="G736" s="152" t="n">
        <v>490</v>
      </c>
      <c r="H736" s="60" t="n"/>
      <c r="I736" s="156">
        <f>+I735+(G736-H736)</f>
        <v/>
      </c>
      <c r="J736" s="60" t="n"/>
      <c r="K736" s="60" t="n"/>
      <c r="L736" s="158">
        <f>+H736*J736</f>
        <v/>
      </c>
      <c r="M736" s="159">
        <f>SUM(M735+K736-L736)</f>
        <v/>
      </c>
      <c r="N736" s="60" t="n"/>
      <c r="O736" s="60" t="n"/>
      <c r="P736" s="60" t="n"/>
      <c r="Q736" s="60" t="n"/>
      <c r="R736" s="60" t="n"/>
      <c r="S736" s="60" t="n"/>
      <c r="T736" s="60" t="n"/>
      <c r="U736" s="60" t="n"/>
      <c r="V736" s="60" t="n"/>
      <c r="W736" s="60" t="n"/>
      <c r="X736" s="60" t="n"/>
      <c r="Y736" s="60" t="n"/>
      <c r="Z736" s="60" t="n"/>
    </row>
    <row r="737">
      <c r="A737" s="151" t="n">
        <v>46085</v>
      </c>
      <c r="B737" s="70" t="n">
        <v>2980</v>
      </c>
      <c r="C737" s="115" t="inlineStr">
        <is>
          <t>SELİM İNŞAAT</t>
        </is>
      </c>
      <c r="D737" s="115" t="inlineStr">
        <is>
          <t>34 DFE 454</t>
        </is>
      </c>
      <c r="E737" s="115" t="inlineStr">
        <is>
          <t>HÜSEYİN ALIN</t>
        </is>
      </c>
      <c r="F737" s="65" t="n">
        <v>174602</v>
      </c>
      <c r="G737" s="152" t="n">
        <v>374</v>
      </c>
      <c r="H737" s="60" t="n"/>
      <c r="I737" s="156">
        <f>+I736+(G737-H737)</f>
        <v/>
      </c>
      <c r="J737" s="60" t="n"/>
      <c r="K737" s="60" t="n"/>
      <c r="L737" s="158">
        <f>+H737*J737</f>
        <v/>
      </c>
      <c r="M737" s="159">
        <f>SUM(M736+K737-L737)</f>
        <v/>
      </c>
      <c r="N737" s="60" t="n"/>
      <c r="O737" s="60" t="n"/>
      <c r="P737" s="60" t="n"/>
      <c r="Q737" s="60" t="n"/>
      <c r="R737" s="60" t="n"/>
      <c r="S737" s="60" t="n"/>
      <c r="T737" s="60" t="n"/>
      <c r="U737" s="60" t="n"/>
      <c r="V737" s="60" t="n"/>
      <c r="W737" s="60" t="n"/>
      <c r="X737" s="60" t="n"/>
      <c r="Y737" s="60" t="n"/>
      <c r="Z737" s="60" t="n"/>
    </row>
    <row r="738">
      <c r="A738" s="151" t="n">
        <v>46085</v>
      </c>
      <c r="B738" s="70" t="n">
        <v>303</v>
      </c>
      <c r="C738" s="115" t="inlineStr">
        <is>
          <t>SELİM İNŞAAT</t>
        </is>
      </c>
      <c r="D738" s="115" t="inlineStr">
        <is>
          <t>34 GER 445</t>
        </is>
      </c>
      <c r="E738" s="115" t="inlineStr">
        <is>
          <t>MUSTAFA ERYİĞİT</t>
        </is>
      </c>
      <c r="F738" s="65" t="n">
        <v>57588</v>
      </c>
      <c r="G738" s="152" t="n">
        <v>398</v>
      </c>
      <c r="H738" s="60" t="n"/>
      <c r="I738" s="156">
        <f>+I737+(G738-H738)</f>
        <v/>
      </c>
      <c r="J738" s="60" t="n"/>
      <c r="K738" s="60" t="n"/>
      <c r="L738" s="158">
        <f>+H738*J738</f>
        <v/>
      </c>
      <c r="M738" s="159">
        <f>SUM(M737+K738-L738)</f>
        <v/>
      </c>
      <c r="N738" s="60" t="n"/>
      <c r="O738" s="60" t="n"/>
      <c r="P738" s="60" t="n"/>
      <c r="Q738" s="60" t="n"/>
      <c r="R738" s="60" t="n"/>
      <c r="S738" s="60" t="n"/>
      <c r="T738" s="60" t="n"/>
      <c r="U738" s="60" t="n"/>
      <c r="V738" s="60" t="n"/>
      <c r="W738" s="60" t="n"/>
      <c r="X738" s="60" t="n"/>
      <c r="Y738" s="60" t="n"/>
      <c r="Z738" s="60" t="n"/>
    </row>
    <row r="739">
      <c r="A739" s="151" t="n">
        <v>46085</v>
      </c>
      <c r="B739" s="70" t="n">
        <v>3727</v>
      </c>
      <c r="C739" s="115" t="inlineStr">
        <is>
          <t>SELİM İNŞAAT</t>
        </is>
      </c>
      <c r="D739" s="115" t="inlineStr">
        <is>
          <t>34 DKL 866</t>
        </is>
      </c>
      <c r="E739" s="115" t="inlineStr">
        <is>
          <t>SELİMCAN ÖNVER</t>
        </is>
      </c>
      <c r="F739" s="65" t="n">
        <v>82231</v>
      </c>
      <c r="G739" s="152" t="n">
        <v>335</v>
      </c>
      <c r="H739" s="60" t="n"/>
      <c r="I739" s="156">
        <f>+I738+(G739-H739)</f>
        <v/>
      </c>
      <c r="J739" s="60" t="n"/>
      <c r="K739" s="60" t="n"/>
      <c r="L739" s="158">
        <f>+H739*J739</f>
        <v/>
      </c>
      <c r="M739" s="159">
        <f>SUM(M738+K739-L739)</f>
        <v/>
      </c>
      <c r="N739" s="60" t="n"/>
      <c r="O739" s="60" t="n"/>
      <c r="P739" s="60" t="n"/>
      <c r="Q739" s="60" t="n"/>
      <c r="R739" s="60" t="n"/>
      <c r="S739" s="60" t="n"/>
      <c r="T739" s="60" t="n"/>
      <c r="U739" s="60" t="n"/>
      <c r="V739" s="60" t="n"/>
      <c r="W739" s="60" t="n"/>
      <c r="X739" s="60" t="n"/>
      <c r="Y739" s="60" t="n"/>
      <c r="Z739" s="60" t="n"/>
    </row>
    <row r="740">
      <c r="A740" s="151" t="n">
        <v>46085</v>
      </c>
      <c r="B740" s="70" t="n">
        <v>753</v>
      </c>
      <c r="C740" s="115" t="inlineStr">
        <is>
          <t>METİN ERYİĞİT</t>
        </is>
      </c>
      <c r="D740" s="115" t="inlineStr">
        <is>
          <t>34 EGR 814</t>
        </is>
      </c>
      <c r="E740" s="115" t="inlineStr">
        <is>
          <t>ZİYA İNCE</t>
        </is>
      </c>
      <c r="F740" s="65" t="n"/>
      <c r="G740" s="152" t="n">
        <v>419</v>
      </c>
      <c r="H740" s="60" t="n"/>
      <c r="I740" s="156">
        <f>+I739+(G740-H740)</f>
        <v/>
      </c>
      <c r="J740" s="60" t="n"/>
      <c r="K740" s="60" t="n"/>
      <c r="L740" s="158">
        <f>+H740*J740</f>
        <v/>
      </c>
      <c r="M740" s="159">
        <f>SUM(M739+K740-L740)</f>
        <v/>
      </c>
      <c r="N740" s="60" t="n"/>
      <c r="O740" s="60" t="n"/>
      <c r="P740" s="60" t="n"/>
      <c r="Q740" s="60" t="n"/>
      <c r="R740" s="60" t="n"/>
      <c r="S740" s="60" t="n"/>
      <c r="T740" s="60" t="n"/>
      <c r="U740" s="60" t="n"/>
      <c r="V740" s="60" t="n"/>
      <c r="W740" s="60" t="n"/>
      <c r="X740" s="60" t="n"/>
      <c r="Y740" s="60" t="n"/>
      <c r="Z740" s="60" t="n"/>
    </row>
    <row r="741">
      <c r="A741" s="151" t="n">
        <v>46085</v>
      </c>
      <c r="B741" s="70" t="n">
        <v>433</v>
      </c>
      <c r="C741" s="115" t="inlineStr">
        <is>
          <t>MEGA</t>
        </is>
      </c>
      <c r="D741" s="115" t="inlineStr">
        <is>
          <t>SİLİNDİR</t>
        </is>
      </c>
      <c r="E741" s="115" t="inlineStr">
        <is>
          <t>ÖNER</t>
        </is>
      </c>
      <c r="F741" s="65" t="n"/>
      <c r="G741" s="152" t="n">
        <v>259</v>
      </c>
      <c r="H741" s="60" t="n"/>
      <c r="I741" s="156">
        <f>+I740+(G741-H741)</f>
        <v/>
      </c>
      <c r="J741" s="60" t="n"/>
      <c r="K741" s="60" t="n"/>
      <c r="L741" s="158">
        <f>+H741*J741</f>
        <v/>
      </c>
      <c r="M741" s="159">
        <f>SUM(M740+K741-L741)</f>
        <v/>
      </c>
      <c r="N741" s="60" t="n"/>
      <c r="O741" s="60" t="n"/>
      <c r="P741" s="60" t="n"/>
      <c r="Q741" s="60" t="n"/>
      <c r="R741" s="60" t="n"/>
      <c r="S741" s="60" t="n"/>
      <c r="T741" s="60" t="n"/>
      <c r="U741" s="60" t="n"/>
      <c r="V741" s="60" t="n"/>
      <c r="W741" s="60" t="n"/>
      <c r="X741" s="60" t="n"/>
      <c r="Y741" s="60" t="n"/>
      <c r="Z741" s="60" t="n"/>
    </row>
    <row r="742">
      <c r="A742" s="151" t="n">
        <v>46085</v>
      </c>
      <c r="B742" s="70" t="n">
        <v>434</v>
      </c>
      <c r="C742" s="115" t="inlineStr">
        <is>
          <t>VARLIK</t>
        </is>
      </c>
      <c r="D742" s="115" t="inlineStr">
        <is>
          <t>FORKLİFT</t>
        </is>
      </c>
      <c r="E742" s="115" t="inlineStr">
        <is>
          <t>FAHRİ</t>
        </is>
      </c>
      <c r="F742" s="65" t="n"/>
      <c r="G742" s="152" t="n">
        <v>60</v>
      </c>
      <c r="H742" s="60" t="n"/>
      <c r="I742" s="156">
        <f>+I741+(G742-H742)</f>
        <v/>
      </c>
      <c r="J742" s="60" t="n"/>
      <c r="K742" s="60" t="n"/>
      <c r="L742" s="158">
        <f>+H742*J742</f>
        <v/>
      </c>
      <c r="M742" s="159">
        <f>SUM(M741+K742-L742)</f>
        <v/>
      </c>
      <c r="N742" s="60" t="n"/>
      <c r="O742" s="60" t="n"/>
      <c r="P742" s="60" t="n"/>
      <c r="Q742" s="60" t="n"/>
      <c r="R742" s="60" t="n"/>
      <c r="S742" s="60" t="n"/>
      <c r="T742" s="60" t="n"/>
      <c r="U742" s="60" t="n"/>
      <c r="V742" s="60" t="n"/>
      <c r="W742" s="60" t="n"/>
      <c r="X742" s="60" t="n"/>
      <c r="Y742" s="60" t="n"/>
      <c r="Z742" s="60" t="n"/>
    </row>
    <row r="743">
      <c r="A743" s="151" t="n">
        <v>46085</v>
      </c>
      <c r="B743" s="70" t="n">
        <v>435</v>
      </c>
      <c r="C743" s="115" t="inlineStr">
        <is>
          <t>EVKUR</t>
        </is>
      </c>
      <c r="D743" s="115" t="inlineStr">
        <is>
          <t>KİRALIK KATO</t>
        </is>
      </c>
      <c r="E743" s="115" t="inlineStr">
        <is>
          <t>GÜNEŞ</t>
        </is>
      </c>
      <c r="F743" s="65" t="n"/>
      <c r="G743" s="152" t="n">
        <v>105</v>
      </c>
      <c r="H743" s="60" t="n"/>
      <c r="I743" s="156">
        <f>+I742+(G743-H743)</f>
        <v/>
      </c>
      <c r="J743" s="60" t="n"/>
      <c r="K743" s="60" t="n"/>
      <c r="L743" s="158">
        <f>+H743*J743</f>
        <v/>
      </c>
      <c r="M743" s="159">
        <f>SUM(M742+K743-L743)</f>
        <v/>
      </c>
      <c r="N743" s="60" t="n"/>
      <c r="O743" s="60" t="n"/>
      <c r="P743" s="60" t="n"/>
      <c r="Q743" s="60" t="n"/>
      <c r="R743" s="60" t="n"/>
      <c r="S743" s="60" t="n"/>
      <c r="T743" s="60" t="n"/>
      <c r="U743" s="60" t="n"/>
      <c r="V743" s="60" t="n"/>
      <c r="W743" s="60" t="n"/>
      <c r="X743" s="60" t="n"/>
      <c r="Y743" s="60" t="n"/>
      <c r="Z743" s="60" t="n"/>
    </row>
    <row r="744">
      <c r="A744" s="151" t="n">
        <v>46085</v>
      </c>
      <c r="B744" s="70" t="n">
        <v>436</v>
      </c>
      <c r="C744" s="115" t="inlineStr">
        <is>
          <t>VARLIK</t>
        </is>
      </c>
      <c r="D744" s="115" t="inlineStr">
        <is>
          <t>HİTACHİ</t>
        </is>
      </c>
      <c r="E744" s="115" t="inlineStr">
        <is>
          <t>TURGUT</t>
        </is>
      </c>
      <c r="F744" s="65" t="n"/>
      <c r="G744" s="152" t="n">
        <v>513</v>
      </c>
      <c r="H744" s="60" t="n"/>
      <c r="I744" s="156">
        <f>+I743+(G744-H744)</f>
        <v/>
      </c>
      <c r="J744" s="60" t="n"/>
      <c r="K744" s="60" t="n"/>
      <c r="L744" s="158">
        <f>+H744*J744</f>
        <v/>
      </c>
      <c r="M744" s="159">
        <f>SUM(M743+K744-L744)</f>
        <v/>
      </c>
      <c r="N744" s="60" t="n"/>
      <c r="O744" s="60" t="n"/>
      <c r="P744" s="60" t="n"/>
      <c r="Q744" s="60" t="n"/>
      <c r="R744" s="60" t="n"/>
      <c r="S744" s="60" t="n"/>
      <c r="T744" s="60" t="n"/>
      <c r="U744" s="60" t="n"/>
      <c r="V744" s="60" t="n"/>
      <c r="W744" s="60" t="n"/>
      <c r="X744" s="60" t="n"/>
      <c r="Y744" s="60" t="n"/>
      <c r="Z744" s="60" t="n"/>
    </row>
    <row r="745">
      <c r="A745" s="151" t="n">
        <v>46085</v>
      </c>
      <c r="B745" s="70" t="n">
        <v>437</v>
      </c>
      <c r="C745" s="115" t="inlineStr">
        <is>
          <t>CEVİZ</t>
        </is>
      </c>
      <c r="D745" s="115" t="inlineStr">
        <is>
          <t>FORKLİFT</t>
        </is>
      </c>
      <c r="E745" s="115" t="inlineStr">
        <is>
          <t>CEMAL AKYOL</t>
        </is>
      </c>
      <c r="F745" s="65" t="n"/>
      <c r="G745" s="152" t="n">
        <v>31</v>
      </c>
      <c r="H745" s="60" t="n"/>
      <c r="I745" s="156">
        <f>+I744+(G745-H745)</f>
        <v/>
      </c>
      <c r="J745" s="60" t="n"/>
      <c r="K745" s="60" t="n"/>
      <c r="L745" s="158">
        <f>+H745*J745</f>
        <v/>
      </c>
      <c r="M745" s="159">
        <f>SUM(M744+K745-L745)</f>
        <v/>
      </c>
      <c r="N745" s="60" t="n"/>
      <c r="O745" s="60" t="n"/>
      <c r="P745" s="60" t="n"/>
      <c r="Q745" s="60" t="n"/>
      <c r="R745" s="60" t="n"/>
      <c r="S745" s="60" t="n"/>
      <c r="T745" s="60" t="n"/>
      <c r="U745" s="60" t="n"/>
      <c r="V745" s="60" t="n"/>
      <c r="W745" s="60" t="n"/>
      <c r="X745" s="60" t="n"/>
      <c r="Y745" s="60" t="n"/>
      <c r="Z745" s="60" t="n"/>
    </row>
    <row r="746">
      <c r="A746" s="151" t="n">
        <v>46085</v>
      </c>
      <c r="B746" s="70" t="n">
        <v>438</v>
      </c>
      <c r="C746" s="115" t="inlineStr">
        <is>
          <t>MEGA</t>
        </is>
      </c>
      <c r="D746" s="115" t="inlineStr">
        <is>
          <t>KAWAZAKİ</t>
        </is>
      </c>
      <c r="E746" s="115" t="inlineStr">
        <is>
          <t>RAMAZAN</t>
        </is>
      </c>
      <c r="F746" s="65" t="n"/>
      <c r="G746" s="152" t="n">
        <v>224</v>
      </c>
      <c r="H746" s="60" t="n"/>
      <c r="I746" s="156">
        <f>+I745+(G746-H746)</f>
        <v/>
      </c>
      <c r="J746" s="60" t="n"/>
      <c r="K746" s="60" t="n"/>
      <c r="L746" s="158">
        <f>+H746*J746</f>
        <v/>
      </c>
      <c r="M746" s="159">
        <f>SUM(M745+K746-L746)</f>
        <v/>
      </c>
      <c r="N746" s="60" t="n"/>
      <c r="O746" s="60" t="n"/>
      <c r="P746" s="60" t="n"/>
      <c r="Q746" s="60" t="n"/>
      <c r="R746" s="60" t="n"/>
      <c r="S746" s="60" t="n"/>
      <c r="T746" s="60" t="n"/>
      <c r="U746" s="60" t="n"/>
      <c r="V746" s="60" t="n"/>
      <c r="W746" s="60" t="n"/>
      <c r="X746" s="60" t="n"/>
      <c r="Y746" s="60" t="n"/>
      <c r="Z746" s="60" t="n"/>
    </row>
    <row r="747">
      <c r="A747" s="151" t="n">
        <v>46085</v>
      </c>
      <c r="B747" s="70" t="n">
        <v>439</v>
      </c>
      <c r="C747" s="115" t="inlineStr">
        <is>
          <t>MEGA</t>
        </is>
      </c>
      <c r="D747" s="115" t="inlineStr">
        <is>
          <t>SM350</t>
        </is>
      </c>
      <c r="E747" s="115" t="inlineStr">
        <is>
          <t>TEVFİK</t>
        </is>
      </c>
      <c r="F747" s="65" t="n"/>
      <c r="G747" s="152" t="n">
        <v>348</v>
      </c>
      <c r="H747" s="60" t="n"/>
      <c r="I747" s="156">
        <f>+I746+(G747-H747)</f>
        <v/>
      </c>
      <c r="J747" s="60" t="n"/>
      <c r="K747" s="60" t="n"/>
      <c r="L747" s="158">
        <f>+H747*J747</f>
        <v/>
      </c>
      <c r="M747" s="159">
        <f>SUM(M746+K747-L747)</f>
        <v/>
      </c>
      <c r="N747" s="60" t="n"/>
      <c r="O747" s="60" t="n"/>
      <c r="P747" s="60" t="n"/>
      <c r="Q747" s="60" t="n"/>
      <c r="R747" s="60" t="n"/>
      <c r="S747" s="60" t="n"/>
      <c r="T747" s="60" t="n"/>
      <c r="U747" s="60" t="n"/>
      <c r="V747" s="60" t="n"/>
      <c r="W747" s="60" t="n"/>
      <c r="X747" s="60" t="n"/>
      <c r="Y747" s="60" t="n"/>
      <c r="Z747" s="60" t="n"/>
    </row>
    <row r="748">
      <c r="A748" s="151" t="n">
        <v>46085</v>
      </c>
      <c r="B748" s="70" t="n">
        <v>440</v>
      </c>
      <c r="C748" s="115" t="inlineStr">
        <is>
          <t>MEGA</t>
        </is>
      </c>
      <c r="D748" s="115" t="inlineStr">
        <is>
          <t>SM370</t>
        </is>
      </c>
      <c r="E748" s="115" t="inlineStr">
        <is>
          <t>TEKİN</t>
        </is>
      </c>
      <c r="F748" s="65" t="n"/>
      <c r="G748" s="152" t="n">
        <v>577</v>
      </c>
      <c r="H748" s="60" t="n"/>
      <c r="I748" s="156">
        <f>+I747+(G748-H748)</f>
        <v/>
      </c>
      <c r="J748" s="60" t="n"/>
      <c r="K748" s="60" t="n"/>
      <c r="L748" s="158">
        <f>+H748*J748</f>
        <v/>
      </c>
      <c r="M748" s="159">
        <f>SUM(M747+K748-L748)</f>
        <v/>
      </c>
      <c r="N748" s="60" t="n"/>
      <c r="O748" s="60" t="n"/>
      <c r="P748" s="60" t="n"/>
      <c r="Q748" s="60" t="n"/>
      <c r="R748" s="60" t="n"/>
      <c r="S748" s="60" t="n"/>
      <c r="T748" s="60" t="n"/>
      <c r="U748" s="60" t="n"/>
      <c r="V748" s="60" t="n"/>
      <c r="W748" s="60" t="n"/>
      <c r="X748" s="60" t="n"/>
      <c r="Y748" s="60" t="n"/>
      <c r="Z748" s="60" t="n"/>
    </row>
    <row r="749">
      <c r="A749" s="151" t="n">
        <v>46085</v>
      </c>
      <c r="B749" s="70" t="n">
        <v>441</v>
      </c>
      <c r="C749" s="115" t="inlineStr">
        <is>
          <t>MEGA</t>
        </is>
      </c>
      <c r="D749" s="115" t="inlineStr">
        <is>
          <t>SM350</t>
        </is>
      </c>
      <c r="E749" s="115" t="inlineStr">
        <is>
          <t>MİKAİL</t>
        </is>
      </c>
      <c r="F749" s="65" t="n"/>
      <c r="G749" s="152" t="n">
        <v>482</v>
      </c>
      <c r="H749" s="60" t="n"/>
      <c r="I749" s="156">
        <f>+I748+(G749-H749)</f>
        <v/>
      </c>
      <c r="J749" s="60" t="n"/>
      <c r="K749" s="60" t="n"/>
      <c r="L749" s="158">
        <f>+H749*J749</f>
        <v/>
      </c>
      <c r="M749" s="159">
        <f>SUM(M748+K749-L749)</f>
        <v/>
      </c>
      <c r="N749" s="60" t="n"/>
      <c r="O749" s="60" t="n"/>
      <c r="P749" s="60" t="n"/>
      <c r="Q749" s="60" t="n"/>
      <c r="R749" s="60" t="n"/>
      <c r="S749" s="60" t="n"/>
      <c r="T749" s="60" t="n"/>
      <c r="U749" s="60" t="n"/>
      <c r="V749" s="60" t="n"/>
      <c r="W749" s="60" t="n"/>
      <c r="X749" s="60" t="n"/>
      <c r="Y749" s="60" t="n"/>
      <c r="Z749" s="60" t="n"/>
    </row>
    <row r="750">
      <c r="A750" s="151" t="n">
        <v>46086</v>
      </c>
      <c r="B750" s="70" t="n">
        <v>13</v>
      </c>
      <c r="C750" s="115" t="inlineStr">
        <is>
          <t>SELİM İNŞAAT</t>
        </is>
      </c>
      <c r="D750" s="115" t="inlineStr">
        <is>
          <t xml:space="preserve">34 GVZ 268 </t>
        </is>
      </c>
      <c r="E750" s="115" t="inlineStr">
        <is>
          <t>KERİM KARAMAN</t>
        </is>
      </c>
      <c r="F750" s="65" t="n">
        <v>252340</v>
      </c>
      <c r="G750" s="152" t="n">
        <v>484</v>
      </c>
      <c r="H750" s="60" t="n"/>
      <c r="I750" s="156">
        <f>+I749+(G750-H750)</f>
        <v/>
      </c>
      <c r="J750" s="60" t="n"/>
      <c r="K750" s="60" t="n"/>
      <c r="L750" s="158">
        <f>+H750*J750</f>
        <v/>
      </c>
      <c r="M750" s="159">
        <f>SUM(M749+K750-L750)</f>
        <v/>
      </c>
      <c r="N750" s="60" t="n"/>
      <c r="O750" s="60" t="n"/>
      <c r="P750" s="60" t="n"/>
      <c r="Q750" s="60" t="n"/>
      <c r="R750" s="60" t="n"/>
      <c r="S750" s="60" t="n"/>
      <c r="T750" s="60" t="n"/>
      <c r="U750" s="60" t="n"/>
      <c r="V750" s="60" t="n"/>
      <c r="W750" s="60" t="n"/>
      <c r="X750" s="60" t="n"/>
      <c r="Y750" s="60" t="n"/>
      <c r="Z750" s="60" t="n"/>
    </row>
    <row r="751">
      <c r="A751" s="151" t="n">
        <v>46086</v>
      </c>
      <c r="B751" s="70" t="n">
        <v>2300</v>
      </c>
      <c r="C751" s="115" t="inlineStr">
        <is>
          <t>SELİM İNŞAAT</t>
        </is>
      </c>
      <c r="D751" s="115" t="inlineStr">
        <is>
          <t>34 DSN 636</t>
        </is>
      </c>
      <c r="E751" s="115" t="inlineStr">
        <is>
          <t>SEZGİN KOCAGİL</t>
        </is>
      </c>
      <c r="F751" s="65" t="n">
        <v>433720</v>
      </c>
      <c r="G751" s="152" t="n">
        <v>415</v>
      </c>
      <c r="H751" s="60" t="n"/>
      <c r="I751" s="156">
        <f>+I750+(G751-H751)</f>
        <v/>
      </c>
      <c r="J751" s="60" t="n"/>
      <c r="K751" s="60" t="n"/>
      <c r="L751" s="158">
        <f>+H751*J751</f>
        <v/>
      </c>
      <c r="M751" s="159">
        <f>SUM(M750+K751-L751)</f>
        <v/>
      </c>
      <c r="N751" s="60" t="n"/>
      <c r="O751" s="60" t="n"/>
      <c r="P751" s="60" t="n"/>
      <c r="Q751" s="60" t="n"/>
      <c r="R751" s="60" t="n"/>
      <c r="S751" s="60" t="n"/>
      <c r="T751" s="60" t="n"/>
      <c r="U751" s="60" t="n"/>
      <c r="V751" s="60" t="n"/>
      <c r="W751" s="60" t="n"/>
      <c r="X751" s="60" t="n"/>
      <c r="Y751" s="60" t="n"/>
      <c r="Z751" s="60" t="n"/>
    </row>
    <row r="752">
      <c r="A752" s="151" t="n">
        <v>46086</v>
      </c>
      <c r="B752" s="70" t="n">
        <v>3332</v>
      </c>
      <c r="C752" s="115" t="inlineStr">
        <is>
          <t>SELİM İNŞAAT</t>
        </is>
      </c>
      <c r="D752" s="115" t="inlineStr">
        <is>
          <t>34  GUS 938</t>
        </is>
      </c>
      <c r="E752" s="115" t="inlineStr">
        <is>
          <t>MEHMET KAYA</t>
        </is>
      </c>
      <c r="F752" s="65" t="n">
        <v>248083</v>
      </c>
      <c r="G752" s="152" t="n">
        <v>560</v>
      </c>
      <c r="H752" s="60" t="n"/>
      <c r="I752" s="156">
        <f>+I751+(G752-H752)</f>
        <v/>
      </c>
      <c r="J752" s="60" t="n"/>
      <c r="K752" s="60" t="n"/>
      <c r="L752" s="158">
        <f>+H752*J752</f>
        <v/>
      </c>
      <c r="M752" s="159">
        <f>SUM(M751+K752-L752)</f>
        <v/>
      </c>
      <c r="N752" s="60" t="n"/>
      <c r="O752" s="60" t="n"/>
      <c r="P752" s="60" t="n"/>
      <c r="Q752" s="60" t="n"/>
      <c r="R752" s="60" t="n"/>
      <c r="S752" s="60" t="n"/>
      <c r="T752" s="60" t="n"/>
      <c r="U752" s="60" t="n"/>
      <c r="V752" s="60" t="n"/>
      <c r="W752" s="60" t="n"/>
      <c r="X752" s="60" t="n"/>
      <c r="Y752" s="60" t="n"/>
      <c r="Z752" s="60" t="n"/>
    </row>
    <row r="753">
      <c r="A753" s="151" t="n">
        <v>46086</v>
      </c>
      <c r="B753" s="70" t="n">
        <v>3226</v>
      </c>
      <c r="C753" s="115" t="inlineStr">
        <is>
          <t>SELİM İNŞAAT</t>
        </is>
      </c>
      <c r="D753" s="115" t="inlineStr">
        <is>
          <t>34 EGR 736</t>
        </is>
      </c>
      <c r="E753" s="115" t="inlineStr">
        <is>
          <t>HAKAN ÇAVUŞOĞLU</t>
        </is>
      </c>
      <c r="F753" s="65" t="n">
        <v>440278</v>
      </c>
      <c r="G753" s="152" t="n">
        <v>580</v>
      </c>
      <c r="H753" s="60" t="n"/>
      <c r="I753" s="156">
        <f>+I752+(G753-H753)</f>
        <v/>
      </c>
      <c r="J753" s="60" t="n"/>
      <c r="K753" s="60" t="n"/>
      <c r="L753" s="158">
        <f>+H753*J753</f>
        <v/>
      </c>
      <c r="M753" s="159">
        <f>SUM(M752+K753-L753)</f>
        <v/>
      </c>
      <c r="N753" s="60" t="n"/>
      <c r="O753" s="60" t="n"/>
      <c r="P753" s="60" t="n"/>
      <c r="Q753" s="60" t="n"/>
      <c r="R753" s="60" t="n"/>
      <c r="S753" s="60" t="n"/>
      <c r="T753" s="60" t="n"/>
      <c r="U753" s="60" t="n"/>
      <c r="V753" s="60" t="n"/>
      <c r="W753" s="60" t="n"/>
      <c r="X753" s="60" t="n"/>
      <c r="Y753" s="60" t="n"/>
      <c r="Z753" s="60" t="n"/>
    </row>
    <row r="754">
      <c r="A754" s="151" t="n">
        <v>46086</v>
      </c>
      <c r="B754" s="70" t="n">
        <v>4973</v>
      </c>
      <c r="C754" s="115" t="inlineStr">
        <is>
          <t>SELİM İNŞAAT</t>
        </is>
      </c>
      <c r="D754" s="115" t="inlineStr">
        <is>
          <t>34 GVZ 745</t>
        </is>
      </c>
      <c r="E754" s="115" t="inlineStr">
        <is>
          <t>MURAT DEMİRBAĞ</t>
        </is>
      </c>
      <c r="F754" s="65" t="n">
        <v>248233</v>
      </c>
      <c r="G754" s="152" t="n">
        <v>502</v>
      </c>
      <c r="H754" s="60" t="n"/>
      <c r="I754" s="156">
        <f>+I753+(G754-H754)</f>
        <v/>
      </c>
      <c r="J754" s="60" t="n"/>
      <c r="K754" s="60" t="n"/>
      <c r="L754" s="158">
        <f>+H754*J754</f>
        <v/>
      </c>
      <c r="M754" s="159">
        <f>SUM(M753+K754-L754)</f>
        <v/>
      </c>
      <c r="N754" s="60" t="n"/>
      <c r="O754" s="60" t="n"/>
      <c r="P754" s="60" t="n"/>
      <c r="Q754" s="60" t="n"/>
      <c r="R754" s="60" t="n"/>
      <c r="S754" s="60" t="n"/>
      <c r="T754" s="60" t="n"/>
      <c r="U754" s="60" t="n"/>
      <c r="V754" s="60" t="n"/>
      <c r="W754" s="60" t="n"/>
      <c r="X754" s="60" t="n"/>
      <c r="Y754" s="60" t="n"/>
      <c r="Z754" s="60" t="n"/>
    </row>
    <row r="755">
      <c r="A755" s="151" t="n">
        <v>46086</v>
      </c>
      <c r="B755" s="70" t="n">
        <v>4878</v>
      </c>
      <c r="C755" s="115" t="inlineStr">
        <is>
          <t>SELİM İNŞAAT</t>
        </is>
      </c>
      <c r="D755" s="115" t="inlineStr">
        <is>
          <t>34 FBR 705</t>
        </is>
      </c>
      <c r="E755" s="115" t="inlineStr">
        <is>
          <t>MURAT SARI</t>
        </is>
      </c>
      <c r="F755" s="65" t="n">
        <v>363070</v>
      </c>
      <c r="G755" s="152" t="n">
        <v>474</v>
      </c>
      <c r="H755" s="60" t="n"/>
      <c r="I755" s="156">
        <f>+I754+(G755-H755)</f>
        <v/>
      </c>
      <c r="J755" s="60" t="n"/>
      <c r="K755" s="60" t="n"/>
      <c r="L755" s="158">
        <f>+H755*J755</f>
        <v/>
      </c>
      <c r="M755" s="159">
        <f>SUM(M754+K755-L755)</f>
        <v/>
      </c>
      <c r="N755" s="60" t="n"/>
      <c r="O755" s="60" t="n"/>
      <c r="P755" s="60" t="n"/>
      <c r="Q755" s="60" t="n"/>
      <c r="R755" s="60" t="n"/>
      <c r="S755" s="60" t="n"/>
      <c r="T755" s="60" t="n"/>
      <c r="U755" s="60" t="n"/>
      <c r="V755" s="60" t="n"/>
      <c r="W755" s="60" t="n"/>
      <c r="X755" s="60" t="n"/>
      <c r="Y755" s="60" t="n"/>
      <c r="Z755" s="60" t="n"/>
    </row>
    <row r="756">
      <c r="A756" s="151" t="n">
        <v>46086</v>
      </c>
      <c r="B756" s="70" t="n">
        <v>516</v>
      </c>
      <c r="C756" s="115" t="inlineStr">
        <is>
          <t>SELİM İNŞAAT</t>
        </is>
      </c>
      <c r="D756" s="115" t="inlineStr">
        <is>
          <t>34 EGR 737</t>
        </is>
      </c>
      <c r="E756" s="115" t="inlineStr">
        <is>
          <t>CEM MUHTAR</t>
        </is>
      </c>
      <c r="F756" s="65" t="n">
        <v>462290</v>
      </c>
      <c r="G756" s="152" t="n">
        <v>490</v>
      </c>
      <c r="H756" s="60" t="n"/>
      <c r="I756" s="156">
        <f>+I755+(G756-H756)</f>
        <v/>
      </c>
      <c r="J756" s="60" t="n"/>
      <c r="K756" s="60" t="n"/>
      <c r="L756" s="158">
        <f>+H756*J756</f>
        <v/>
      </c>
      <c r="M756" s="159">
        <f>SUM(M755+K756-L756)</f>
        <v/>
      </c>
      <c r="N756" s="60" t="n"/>
      <c r="O756" s="60" t="n"/>
      <c r="P756" s="60" t="n"/>
      <c r="Q756" s="60" t="n"/>
      <c r="R756" s="60" t="n"/>
      <c r="S756" s="60" t="n"/>
      <c r="T756" s="60" t="n"/>
      <c r="U756" s="60" t="n"/>
      <c r="V756" s="60" t="n"/>
      <c r="W756" s="60" t="n"/>
      <c r="X756" s="60" t="n"/>
      <c r="Y756" s="60" t="n"/>
      <c r="Z756" s="60" t="n"/>
    </row>
    <row r="757">
      <c r="A757" s="151" t="n">
        <v>46086</v>
      </c>
      <c r="B757" s="70" t="n">
        <v>3833</v>
      </c>
      <c r="C757" s="115" t="inlineStr">
        <is>
          <t>SELİM İNŞAAT</t>
        </is>
      </c>
      <c r="D757" s="115" t="inlineStr">
        <is>
          <t>34 GYZ 635</t>
        </is>
      </c>
      <c r="E757" s="115" t="inlineStr">
        <is>
          <t>ADEM DENİZ</t>
        </is>
      </c>
      <c r="F757" s="65" t="n">
        <v>227816</v>
      </c>
      <c r="G757" s="152" t="n">
        <v>534</v>
      </c>
      <c r="H757" s="60" t="n"/>
      <c r="I757" s="156">
        <f>+I756+(G757-H757)</f>
        <v/>
      </c>
      <c r="J757" s="60" t="n"/>
      <c r="K757" s="60" t="n"/>
      <c r="L757" s="158">
        <f>+H757*J757</f>
        <v/>
      </c>
      <c r="M757" s="159">
        <f>SUM(M756+K757-L757)</f>
        <v/>
      </c>
      <c r="N757" s="60" t="n"/>
      <c r="O757" s="60" t="n"/>
      <c r="P757" s="60" t="n"/>
      <c r="Q757" s="60" t="n"/>
      <c r="R757" s="60" t="n"/>
      <c r="S757" s="60" t="n"/>
      <c r="T757" s="60" t="n"/>
      <c r="U757" s="60" t="n"/>
      <c r="V757" s="60" t="n"/>
      <c r="W757" s="60" t="n"/>
      <c r="X757" s="60" t="n"/>
      <c r="Y757" s="60" t="n"/>
      <c r="Z757" s="60" t="n"/>
    </row>
    <row r="758">
      <c r="A758" s="151" t="n">
        <v>46086</v>
      </c>
      <c r="B758" s="70" t="n">
        <v>1391</v>
      </c>
      <c r="C758" s="115" t="inlineStr">
        <is>
          <t>AZGÜN YAPI</t>
        </is>
      </c>
      <c r="D758" s="115" t="inlineStr">
        <is>
          <t>34 MKT859</t>
        </is>
      </c>
      <c r="E758" s="115" t="inlineStr">
        <is>
          <t>İRFAN DAĞLAR</t>
        </is>
      </c>
      <c r="F758" s="65" t="n"/>
      <c r="G758" s="152" t="n">
        <v>450</v>
      </c>
      <c r="H758" s="60" t="n"/>
      <c r="I758" s="156">
        <f>+I757+(G758-H758)</f>
        <v/>
      </c>
      <c r="J758" s="60" t="n"/>
      <c r="K758" s="60" t="n"/>
      <c r="L758" s="158">
        <f>+H758*J758</f>
        <v/>
      </c>
      <c r="M758" s="159">
        <f>SUM(M757+K758-L758)</f>
        <v/>
      </c>
      <c r="N758" s="60" t="n"/>
      <c r="O758" s="60" t="n"/>
      <c r="P758" s="60" t="n"/>
      <c r="Q758" s="60" t="n"/>
      <c r="R758" s="60" t="n"/>
      <c r="S758" s="60" t="n"/>
      <c r="T758" s="60" t="n"/>
      <c r="U758" s="60" t="n"/>
      <c r="V758" s="60" t="n"/>
      <c r="W758" s="60" t="n"/>
      <c r="X758" s="60" t="n"/>
      <c r="Y758" s="60" t="n"/>
      <c r="Z758" s="60" t="n"/>
    </row>
    <row r="759">
      <c r="A759" s="151" t="n">
        <v>46086</v>
      </c>
      <c r="B759" s="70" t="n">
        <v>651</v>
      </c>
      <c r="C759" s="115" t="inlineStr">
        <is>
          <t>SELİM İNŞAAT</t>
        </is>
      </c>
      <c r="D759" s="115" t="inlineStr">
        <is>
          <t>34 GU 945</t>
        </is>
      </c>
      <c r="E759" s="115" t="inlineStr">
        <is>
          <t>YAKUP URUCU</t>
        </is>
      </c>
      <c r="F759" s="65" t="n">
        <v>472743</v>
      </c>
      <c r="G759" s="152" t="n">
        <v>89</v>
      </c>
      <c r="H759" s="60" t="n"/>
      <c r="I759" s="156">
        <f>+I758+(G759-H759)</f>
        <v/>
      </c>
      <c r="J759" s="60" t="n"/>
      <c r="K759" s="60" t="n"/>
      <c r="L759" s="158">
        <f>+H759*J759</f>
        <v/>
      </c>
      <c r="M759" s="159">
        <f>SUM(M758+K759-L759)</f>
        <v/>
      </c>
      <c r="N759" s="60" t="n"/>
      <c r="O759" s="60" t="n"/>
      <c r="P759" s="60" t="n"/>
      <c r="Q759" s="60" t="n"/>
      <c r="R759" s="60" t="n"/>
      <c r="S759" s="60" t="n"/>
      <c r="T759" s="60" t="n"/>
      <c r="U759" s="60" t="n"/>
      <c r="V759" s="60" t="n"/>
      <c r="W759" s="60" t="n"/>
      <c r="X759" s="60" t="n"/>
      <c r="Y759" s="60" t="n"/>
      <c r="Z759" s="60" t="n"/>
    </row>
    <row r="760">
      <c r="A760" s="151" t="n">
        <v>46086</v>
      </c>
      <c r="B760" s="70" t="n">
        <v>2344</v>
      </c>
      <c r="C760" s="115" t="inlineStr">
        <is>
          <t>SELİM İNŞAAT</t>
        </is>
      </c>
      <c r="D760" s="115" t="inlineStr">
        <is>
          <t>34 DP 4161</t>
        </is>
      </c>
      <c r="E760" s="115" t="inlineStr">
        <is>
          <t>RIFAT KARATAY</t>
        </is>
      </c>
      <c r="F760" s="65" t="n">
        <v>320568</v>
      </c>
      <c r="G760" s="152" t="n">
        <v>378</v>
      </c>
      <c r="H760" s="60" t="n"/>
      <c r="I760" s="156">
        <f>+I759+(G760-H760)</f>
        <v/>
      </c>
      <c r="J760" s="60" t="n"/>
      <c r="K760" s="60" t="n"/>
      <c r="L760" s="158">
        <f>+H760*J760</f>
        <v/>
      </c>
      <c r="M760" s="159">
        <f>SUM(M759+K760-L760)</f>
        <v/>
      </c>
      <c r="N760" s="60" t="n"/>
      <c r="O760" s="60" t="n"/>
      <c r="P760" s="60" t="n"/>
      <c r="Q760" s="60" t="n"/>
      <c r="R760" s="60" t="n"/>
      <c r="S760" s="60" t="n"/>
      <c r="T760" s="60" t="n"/>
      <c r="U760" s="60" t="n"/>
      <c r="V760" s="60" t="n"/>
      <c r="W760" s="60" t="n"/>
      <c r="X760" s="60" t="n"/>
      <c r="Y760" s="60" t="n"/>
      <c r="Z760" s="60" t="n"/>
    </row>
    <row r="761">
      <c r="A761" s="151" t="n">
        <v>46086</v>
      </c>
      <c r="B761" s="70" t="n">
        <v>619</v>
      </c>
      <c r="C761" s="115" t="inlineStr">
        <is>
          <t>AHMET SELİM TEMHA</t>
        </is>
      </c>
      <c r="D761" s="115" t="inlineStr">
        <is>
          <t>FORKLİFT</t>
        </is>
      </c>
      <c r="E761" s="115" t="n"/>
      <c r="F761" s="65" t="n"/>
      <c r="G761" s="152" t="n">
        <v>24</v>
      </c>
      <c r="H761" s="60" t="n"/>
      <c r="I761" s="156">
        <f>+I760+(G761-H761)</f>
        <v/>
      </c>
      <c r="J761" s="60" t="n"/>
      <c r="K761" s="60" t="n"/>
      <c r="L761" s="158">
        <f>+H761*J761</f>
        <v/>
      </c>
      <c r="M761" s="159">
        <f>SUM(M760+K761-L761)</f>
        <v/>
      </c>
      <c r="N761" s="60" t="n"/>
      <c r="O761" s="60" t="n"/>
      <c r="P761" s="60" t="n"/>
      <c r="Q761" s="60" t="n"/>
      <c r="R761" s="60" t="n"/>
      <c r="S761" s="60" t="n"/>
      <c r="T761" s="60" t="n"/>
      <c r="U761" s="60" t="n"/>
      <c r="V761" s="60" t="n"/>
      <c r="W761" s="60" t="n"/>
      <c r="X761" s="60" t="n"/>
      <c r="Y761" s="60" t="n"/>
      <c r="Z761" s="60" t="n"/>
    </row>
    <row r="762">
      <c r="A762" s="151" t="n">
        <v>46086</v>
      </c>
      <c r="B762" s="70" t="n">
        <v>714</v>
      </c>
      <c r="C762" s="115" t="inlineStr">
        <is>
          <t>METİN ERYİĞİT</t>
        </is>
      </c>
      <c r="D762" s="115" t="inlineStr">
        <is>
          <t>34 EGS 013</t>
        </is>
      </c>
      <c r="E762" s="115" t="inlineStr">
        <is>
          <t>UĞUR DUMAN</t>
        </is>
      </c>
      <c r="F762" s="65" t="n"/>
      <c r="G762" s="152" t="n">
        <v>446</v>
      </c>
      <c r="H762" s="60" t="n"/>
      <c r="I762" s="156">
        <f>+I761+(G762-H762)</f>
        <v/>
      </c>
      <c r="J762" s="60" t="n"/>
      <c r="K762" s="60" t="n"/>
      <c r="L762" s="158">
        <f>+H762*J762</f>
        <v/>
      </c>
      <c r="M762" s="159">
        <f>SUM(M761+K762-L762)</f>
        <v/>
      </c>
      <c r="N762" s="60" t="n"/>
      <c r="O762" s="60" t="n"/>
      <c r="P762" s="60" t="n"/>
      <c r="Q762" s="60" t="n"/>
      <c r="R762" s="60" t="n"/>
      <c r="S762" s="60" t="n"/>
      <c r="T762" s="60" t="n"/>
      <c r="U762" s="60" t="n"/>
      <c r="V762" s="60" t="n"/>
      <c r="W762" s="60" t="n"/>
      <c r="X762" s="60" t="n"/>
      <c r="Y762" s="60" t="n"/>
      <c r="Z762" s="60" t="n"/>
    </row>
    <row r="763">
      <c r="A763" s="151" t="n">
        <v>46086</v>
      </c>
      <c r="B763" s="70" t="n">
        <v>809</v>
      </c>
      <c r="C763" s="115" t="inlineStr">
        <is>
          <t>METİN ERYİĞİT</t>
        </is>
      </c>
      <c r="D763" s="115" t="inlineStr">
        <is>
          <t>34 GBL 998</t>
        </is>
      </c>
      <c r="E763" s="115" t="inlineStr">
        <is>
          <t>ALİ KESKİN</t>
        </is>
      </c>
      <c r="F763" s="65" t="n"/>
      <c r="G763" s="152" t="n">
        <v>150</v>
      </c>
      <c r="H763" s="60" t="n"/>
      <c r="I763" s="156">
        <f>+I762+(G763-H763)</f>
        <v/>
      </c>
      <c r="J763" s="60" t="n"/>
      <c r="K763" s="60" t="n"/>
      <c r="L763" s="158">
        <f>+H763*J763</f>
        <v/>
      </c>
      <c r="M763" s="159">
        <f>SUM(M762+K763-L763)</f>
        <v/>
      </c>
      <c r="N763" s="60" t="n"/>
      <c r="O763" s="60" t="n"/>
      <c r="P763" s="60" t="n"/>
      <c r="Q763" s="60" t="n"/>
      <c r="R763" s="60" t="n"/>
      <c r="S763" s="60" t="n"/>
      <c r="T763" s="60" t="n"/>
      <c r="U763" s="60" t="n"/>
      <c r="V763" s="60" t="n"/>
      <c r="W763" s="60" t="n"/>
      <c r="X763" s="60" t="n"/>
      <c r="Y763" s="60" t="n"/>
      <c r="Z763" s="60" t="n"/>
    </row>
    <row r="764">
      <c r="A764" s="151" t="n">
        <v>46086</v>
      </c>
      <c r="B764" s="70" t="n">
        <v>442</v>
      </c>
      <c r="C764" s="115" t="inlineStr">
        <is>
          <t>KOZMO</t>
        </is>
      </c>
      <c r="D764" s="115" t="inlineStr">
        <is>
          <t>SM300</t>
        </is>
      </c>
      <c r="E764" s="115" t="inlineStr">
        <is>
          <t>TEKİN</t>
        </is>
      </c>
      <c r="F764" s="65" t="n"/>
      <c r="G764" s="152" t="n">
        <v>454</v>
      </c>
      <c r="H764" s="60" t="n"/>
      <c r="I764" s="156">
        <f>+I763+(G764-H764)</f>
        <v/>
      </c>
      <c r="J764" s="60" t="n"/>
      <c r="K764" s="60" t="n"/>
      <c r="L764" s="158">
        <f>+H764*J764</f>
        <v/>
      </c>
      <c r="M764" s="159">
        <f>SUM(M763+K764-L764)</f>
        <v/>
      </c>
      <c r="N764" s="60" t="n"/>
      <c r="O764" s="60" t="n"/>
      <c r="P764" s="60" t="n"/>
      <c r="Q764" s="60" t="n"/>
      <c r="R764" s="60" t="n"/>
      <c r="S764" s="60" t="n"/>
      <c r="T764" s="60" t="n"/>
      <c r="U764" s="60" t="n"/>
      <c r="V764" s="60" t="n"/>
      <c r="W764" s="60" t="n"/>
      <c r="X764" s="60" t="n"/>
      <c r="Y764" s="60" t="n"/>
      <c r="Z764" s="60" t="n"/>
    </row>
    <row r="765">
      <c r="A765" s="151" t="n">
        <v>46086</v>
      </c>
      <c r="B765" s="70" t="n">
        <v>443</v>
      </c>
      <c r="C765" s="115" t="inlineStr">
        <is>
          <t>MEGA</t>
        </is>
      </c>
      <c r="D765" s="115" t="inlineStr">
        <is>
          <t>KAWAZAKİ</t>
        </is>
      </c>
      <c r="E765" s="115" t="inlineStr">
        <is>
          <t>RAMAZAN</t>
        </is>
      </c>
      <c r="F765" s="65" t="n"/>
      <c r="G765" s="152" t="n">
        <v>238</v>
      </c>
      <c r="H765" s="60" t="n"/>
      <c r="I765" s="156">
        <f>+I764+(G765-H765)</f>
        <v/>
      </c>
      <c r="J765" s="60" t="n"/>
      <c r="K765" s="60" t="n"/>
      <c r="L765" s="158">
        <f>+H765*J765</f>
        <v/>
      </c>
      <c r="M765" s="159">
        <f>SUM(M764+K765-L765)</f>
        <v/>
      </c>
      <c r="N765" s="60" t="n"/>
      <c r="O765" s="60" t="n"/>
      <c r="P765" s="60" t="n"/>
      <c r="Q765" s="60" t="n"/>
      <c r="R765" s="60" t="n"/>
      <c r="S765" s="60" t="n"/>
      <c r="T765" s="60" t="n"/>
      <c r="U765" s="60" t="n"/>
      <c r="V765" s="60" t="n"/>
      <c r="W765" s="60" t="n"/>
      <c r="X765" s="60" t="n"/>
      <c r="Y765" s="60" t="n"/>
      <c r="Z765" s="60" t="n"/>
    </row>
    <row r="766">
      <c r="A766" s="151" t="n">
        <v>46087</v>
      </c>
      <c r="B766" s="70" t="n">
        <v>3867</v>
      </c>
      <c r="C766" s="115" t="inlineStr">
        <is>
          <t>SELİM İNŞAAT</t>
        </is>
      </c>
      <c r="D766" s="115" t="inlineStr">
        <is>
          <t>34 DRU 690</t>
        </is>
      </c>
      <c r="E766" s="115" t="inlineStr">
        <is>
          <t>MEVLÜT POLAT</t>
        </is>
      </c>
      <c r="F766" s="65" t="n">
        <v>460731</v>
      </c>
      <c r="G766" s="152" t="n">
        <v>500</v>
      </c>
      <c r="H766" s="60" t="n"/>
      <c r="I766" s="156">
        <f>+I765+(G766-H766)</f>
        <v/>
      </c>
      <c r="J766" s="60" t="n"/>
      <c r="K766" s="60" t="n"/>
      <c r="L766" s="158">
        <f>+H766*J766</f>
        <v/>
      </c>
      <c r="M766" s="159">
        <f>SUM(M765+K766-L766)</f>
        <v/>
      </c>
      <c r="N766" s="60" t="n"/>
      <c r="O766" s="60" t="n"/>
      <c r="P766" s="60" t="n"/>
      <c r="Q766" s="60" t="n"/>
      <c r="R766" s="60" t="n"/>
      <c r="S766" s="60" t="n"/>
      <c r="T766" s="60" t="n"/>
      <c r="U766" s="60" t="n"/>
      <c r="V766" s="60" t="n"/>
      <c r="W766" s="60" t="n"/>
      <c r="X766" s="60" t="n"/>
      <c r="Y766" s="60" t="n"/>
      <c r="Z766" s="60" t="n"/>
    </row>
    <row r="767">
      <c r="A767" s="151" t="n">
        <v>46087</v>
      </c>
      <c r="B767" s="70" t="n">
        <v>1284</v>
      </c>
      <c r="C767" s="115" t="inlineStr">
        <is>
          <t>SELİM İNŞAAT</t>
        </is>
      </c>
      <c r="D767" s="115" t="inlineStr">
        <is>
          <t>34 DSN 621</t>
        </is>
      </c>
      <c r="E767" s="115" t="inlineStr">
        <is>
          <t>MUSTAFA KAYA</t>
        </is>
      </c>
      <c r="F767" s="65" t="n">
        <v>438522</v>
      </c>
      <c r="G767" s="152" t="n">
        <v>580</v>
      </c>
      <c r="H767" s="60" t="n"/>
      <c r="I767" s="156">
        <f>+I766+(G767-H767)</f>
        <v/>
      </c>
      <c r="J767" s="60" t="n"/>
      <c r="K767" s="60" t="n"/>
      <c r="L767" s="158">
        <f>+H767*J767</f>
        <v/>
      </c>
      <c r="M767" s="159">
        <f>SUM(M766+K767-L767)</f>
        <v/>
      </c>
      <c r="N767" s="60" t="n"/>
      <c r="O767" s="60" t="n"/>
      <c r="P767" s="60" t="n"/>
      <c r="Q767" s="60" t="n"/>
      <c r="R767" s="60" t="n"/>
      <c r="S767" s="60" t="n"/>
      <c r="T767" s="60" t="n"/>
      <c r="U767" s="60" t="n"/>
      <c r="V767" s="60" t="n"/>
      <c r="W767" s="60" t="n"/>
      <c r="X767" s="60" t="n"/>
      <c r="Y767" s="60" t="n"/>
      <c r="Z767" s="60" t="n"/>
    </row>
    <row r="768">
      <c r="A768" s="151" t="n">
        <v>46087</v>
      </c>
      <c r="B768" s="70" t="n">
        <v>1343</v>
      </c>
      <c r="C768" s="115" t="inlineStr">
        <is>
          <t>SELİM İNŞAAT</t>
        </is>
      </c>
      <c r="D768" s="115" t="inlineStr">
        <is>
          <t>34 GVZ 199</t>
        </is>
      </c>
      <c r="E768" s="115" t="inlineStr">
        <is>
          <t>HÜSEYİN DENİZ</t>
        </is>
      </c>
      <c r="F768" s="65" t="n">
        <v>227560</v>
      </c>
      <c r="G768" s="152" t="n">
        <v>478</v>
      </c>
      <c r="H768" s="60" t="n"/>
      <c r="I768" s="156">
        <f>+I767+(G768-H768)</f>
        <v/>
      </c>
      <c r="J768" s="60" t="n"/>
      <c r="K768" s="60" t="n"/>
      <c r="L768" s="158">
        <f>+H768*J768</f>
        <v/>
      </c>
      <c r="M768" s="159">
        <f>SUM(M767+K768-L768)</f>
        <v/>
      </c>
      <c r="N768" s="60" t="n"/>
      <c r="O768" s="60" t="n"/>
      <c r="P768" s="60" t="n"/>
      <c r="Q768" s="60" t="n"/>
      <c r="R768" s="60" t="n"/>
      <c r="S768" s="60" t="n"/>
      <c r="T768" s="60" t="n"/>
      <c r="U768" s="60" t="n"/>
      <c r="V768" s="60" t="n"/>
      <c r="W768" s="60" t="n"/>
      <c r="X768" s="60" t="n"/>
      <c r="Y768" s="60" t="n"/>
      <c r="Z768" s="60" t="n"/>
    </row>
    <row r="769">
      <c r="A769" s="151" t="n">
        <v>46087</v>
      </c>
      <c r="B769" s="70" t="n">
        <v>4769</v>
      </c>
      <c r="C769" s="115" t="inlineStr">
        <is>
          <t>SELİM İNŞAAT</t>
        </is>
      </c>
      <c r="D769" s="115" t="inlineStr">
        <is>
          <t>34 DGP 137</t>
        </is>
      </c>
      <c r="E769" s="115" t="inlineStr">
        <is>
          <t>YASİN ÇATAKLI</t>
        </is>
      </c>
      <c r="F769" s="65" t="n">
        <v>476001</v>
      </c>
      <c r="G769" s="152" t="n">
        <v>467</v>
      </c>
      <c r="H769" s="60" t="n"/>
      <c r="I769" s="156">
        <f>+I768+(G769-H769)</f>
        <v/>
      </c>
      <c r="J769" s="60" t="n"/>
      <c r="K769" s="60" t="n"/>
      <c r="L769" s="158">
        <f>+H769*J769</f>
        <v/>
      </c>
      <c r="M769" s="159">
        <f>SUM(M768+K769-L769)</f>
        <v/>
      </c>
      <c r="N769" s="60" t="n"/>
      <c r="O769" s="60" t="n"/>
      <c r="P769" s="60" t="n"/>
      <c r="Q769" s="60" t="n"/>
      <c r="R769" s="60" t="n"/>
      <c r="S769" s="60" t="n"/>
      <c r="T769" s="60" t="n"/>
      <c r="U769" s="60" t="n"/>
      <c r="V769" s="60" t="n"/>
      <c r="W769" s="60" t="n"/>
      <c r="X769" s="60" t="n"/>
      <c r="Y769" s="60" t="n"/>
      <c r="Z769" s="60" t="n"/>
    </row>
    <row r="770">
      <c r="A770" s="151" t="n">
        <v>46087</v>
      </c>
      <c r="B770" s="70" t="n">
        <v>951</v>
      </c>
      <c r="C770" s="115" t="inlineStr">
        <is>
          <t>SELİM İNŞAAT</t>
        </is>
      </c>
      <c r="D770" s="115" t="inlineStr">
        <is>
          <t>34 DSN 636</t>
        </is>
      </c>
      <c r="E770" s="115" t="inlineStr">
        <is>
          <t>SEZGİN KOCAGİL</t>
        </is>
      </c>
      <c r="F770" s="65" t="n">
        <v>433936</v>
      </c>
      <c r="G770" s="152" t="n">
        <v>352</v>
      </c>
      <c r="H770" s="60" t="n"/>
      <c r="I770" s="156">
        <f>+I769+(G770-H770)</f>
        <v/>
      </c>
      <c r="J770" s="60" t="n"/>
      <c r="K770" s="60" t="n"/>
      <c r="L770" s="158">
        <f>+H770*J770</f>
        <v/>
      </c>
      <c r="M770" s="159">
        <f>SUM(M769+K770-L770)</f>
        <v/>
      </c>
      <c r="N770" s="60" t="n"/>
      <c r="O770" s="60" t="n"/>
      <c r="P770" s="60" t="n"/>
      <c r="Q770" s="60" t="n"/>
      <c r="R770" s="60" t="n"/>
      <c r="S770" s="60" t="n"/>
      <c r="T770" s="60" t="n"/>
      <c r="U770" s="60" t="n"/>
      <c r="V770" s="60" t="n"/>
      <c r="W770" s="60" t="n"/>
      <c r="X770" s="60" t="n"/>
      <c r="Y770" s="60" t="n"/>
      <c r="Z770" s="60" t="n"/>
    </row>
    <row r="771">
      <c r="A771" s="151" t="n">
        <v>46087</v>
      </c>
      <c r="B771" s="70" t="n">
        <v>4927</v>
      </c>
      <c r="C771" s="115" t="inlineStr">
        <is>
          <t>SELİM İNŞAAT</t>
        </is>
      </c>
      <c r="D771" s="115" t="inlineStr">
        <is>
          <t>34 FBR 742</t>
        </is>
      </c>
      <c r="E771" s="115" t="inlineStr">
        <is>
          <t>ADNAN KOÇ</t>
        </is>
      </c>
      <c r="F771" s="65" t="n">
        <v>366756</v>
      </c>
      <c r="G771" s="152" t="n">
        <v>244</v>
      </c>
      <c r="H771" s="60" t="n"/>
      <c r="I771" s="156">
        <f>+I770+(G771-H771)</f>
        <v/>
      </c>
      <c r="J771" s="60" t="n"/>
      <c r="K771" s="60" t="n"/>
      <c r="L771" s="158">
        <f>+H771*J771</f>
        <v/>
      </c>
      <c r="M771" s="159">
        <f>SUM(M770+K771-L771)</f>
        <v/>
      </c>
      <c r="N771" s="60" t="n"/>
      <c r="O771" s="60" t="n"/>
      <c r="P771" s="60" t="n"/>
      <c r="Q771" s="60" t="n"/>
      <c r="R771" s="60" t="n"/>
      <c r="S771" s="60" t="n"/>
      <c r="T771" s="60" t="n"/>
      <c r="U771" s="60" t="n"/>
      <c r="V771" s="60" t="n"/>
      <c r="W771" s="60" t="n"/>
      <c r="X771" s="60" t="n"/>
      <c r="Y771" s="60" t="n"/>
      <c r="Z771" s="60" t="n"/>
    </row>
    <row r="772">
      <c r="A772" s="151" t="n">
        <v>46087</v>
      </c>
      <c r="B772" s="70" t="n">
        <v>3430</v>
      </c>
      <c r="C772" s="115" t="inlineStr">
        <is>
          <t>SELİM İNŞAAT</t>
        </is>
      </c>
      <c r="D772" s="115" t="inlineStr">
        <is>
          <t>34 GVZ 310</t>
        </is>
      </c>
      <c r="E772" s="115" t="inlineStr">
        <is>
          <t>CELAL YÜZBAŞI</t>
        </is>
      </c>
      <c r="F772" s="65" t="n">
        <v>248756</v>
      </c>
      <c r="G772" s="152" t="n">
        <v>545</v>
      </c>
      <c r="H772" s="60" t="n"/>
      <c r="I772" s="156">
        <f>+I771+(G772-H772)</f>
        <v/>
      </c>
      <c r="J772" s="60" t="n"/>
      <c r="K772" s="60" t="n"/>
      <c r="L772" s="158">
        <f>+H772*J772</f>
        <v/>
      </c>
      <c r="M772" s="159">
        <f>SUM(M771+K772-L772)</f>
        <v/>
      </c>
      <c r="N772" s="60" t="n"/>
      <c r="O772" s="60" t="n"/>
      <c r="P772" s="60" t="n"/>
      <c r="Q772" s="60" t="n"/>
      <c r="R772" s="60" t="n"/>
      <c r="S772" s="60" t="n"/>
      <c r="T772" s="60" t="n"/>
      <c r="U772" s="60" t="n"/>
      <c r="V772" s="60" t="n"/>
      <c r="W772" s="60" t="n"/>
      <c r="X772" s="60" t="n"/>
      <c r="Y772" s="60" t="n"/>
      <c r="Z772" s="60" t="n"/>
    </row>
    <row r="773">
      <c r="A773" s="151" t="n">
        <v>46087</v>
      </c>
      <c r="B773" s="70" t="n">
        <v>3490</v>
      </c>
      <c r="C773" s="115" t="inlineStr">
        <is>
          <t>SELİM İNŞAAT</t>
        </is>
      </c>
      <c r="D773" s="115" t="inlineStr">
        <is>
          <t>34 EDB 754</t>
        </is>
      </c>
      <c r="E773" s="115" t="inlineStr">
        <is>
          <t>MUSTAFA KAYA</t>
        </is>
      </c>
      <c r="F773" s="65" t="n">
        <v>373498</v>
      </c>
      <c r="G773" s="152" t="n">
        <v>446</v>
      </c>
      <c r="H773" s="60" t="n"/>
      <c r="I773" s="156">
        <f>+I772+(G773-H773)</f>
        <v/>
      </c>
      <c r="J773" s="60" t="n"/>
      <c r="K773" s="60" t="n"/>
      <c r="L773" s="158">
        <f>+H773*J773</f>
        <v/>
      </c>
      <c r="M773" s="159">
        <f>SUM(M772+K773-L773)</f>
        <v/>
      </c>
      <c r="N773" s="60" t="n"/>
      <c r="O773" s="60" t="n"/>
      <c r="P773" s="60" t="n"/>
      <c r="Q773" s="60" t="n"/>
      <c r="R773" s="60" t="n"/>
      <c r="S773" s="60" t="n"/>
      <c r="T773" s="60" t="n"/>
      <c r="U773" s="60" t="n"/>
      <c r="V773" s="60" t="n"/>
      <c r="W773" s="60" t="n"/>
      <c r="X773" s="60" t="n"/>
      <c r="Y773" s="60" t="n"/>
      <c r="Z773" s="60" t="n"/>
    </row>
    <row r="774">
      <c r="A774" s="151" t="n">
        <v>46087</v>
      </c>
      <c r="B774" s="70" t="n">
        <v>4117</v>
      </c>
      <c r="C774" s="115" t="inlineStr">
        <is>
          <t>SELİM İNŞAAT</t>
        </is>
      </c>
      <c r="D774" s="115" t="inlineStr">
        <is>
          <t>34 EDB 659</t>
        </is>
      </c>
      <c r="E774" s="115" t="inlineStr">
        <is>
          <t>YASİN ÇATAKLI</t>
        </is>
      </c>
      <c r="F774" s="65" t="n">
        <v>390953</v>
      </c>
      <c r="G774" s="152" t="n">
        <v>527</v>
      </c>
      <c r="H774" s="60" t="n"/>
      <c r="I774" s="156">
        <f>+I773+(G774-H774)</f>
        <v/>
      </c>
      <c r="J774" s="60" t="n"/>
      <c r="K774" s="60" t="n"/>
      <c r="L774" s="158">
        <f>+H774*J774</f>
        <v/>
      </c>
      <c r="M774" s="159">
        <f>SUM(M773+K774-L774)</f>
        <v/>
      </c>
      <c r="N774" s="60" t="n"/>
      <c r="O774" s="60" t="n"/>
      <c r="P774" s="60" t="n"/>
      <c r="Q774" s="60" t="n"/>
      <c r="R774" s="60" t="n"/>
      <c r="S774" s="60" t="n"/>
      <c r="T774" s="60" t="n"/>
      <c r="U774" s="60" t="n"/>
      <c r="V774" s="60" t="n"/>
      <c r="W774" s="60" t="n"/>
      <c r="X774" s="60" t="n"/>
      <c r="Y774" s="60" t="n"/>
      <c r="Z774" s="60" t="n"/>
    </row>
    <row r="775">
      <c r="A775" s="151" t="n">
        <v>46087</v>
      </c>
      <c r="B775" s="70" t="n">
        <v>4515</v>
      </c>
      <c r="C775" s="115" t="inlineStr">
        <is>
          <t>SELİM İNŞAAT</t>
        </is>
      </c>
      <c r="D775" s="115" t="inlineStr">
        <is>
          <t>34 DTV 352</t>
        </is>
      </c>
      <c r="E775" s="115" t="inlineStr">
        <is>
          <t>AZİZ ORUÇ</t>
        </is>
      </c>
      <c r="F775" s="65" t="n">
        <v>476933</v>
      </c>
      <c r="G775" s="152" t="n">
        <v>455</v>
      </c>
      <c r="H775" s="60" t="n"/>
      <c r="I775" s="156">
        <f>+I774+(G775-H775)</f>
        <v/>
      </c>
      <c r="J775" s="60" t="n"/>
      <c r="K775" s="60" t="n"/>
      <c r="L775" s="158">
        <f>+H775*J775</f>
        <v/>
      </c>
      <c r="M775" s="159">
        <f>SUM(M774+K775-L775)</f>
        <v/>
      </c>
      <c r="N775" s="60" t="n"/>
      <c r="O775" s="60" t="n"/>
      <c r="P775" s="60" t="n"/>
      <c r="Q775" s="60" t="n"/>
      <c r="R775" s="60" t="n"/>
      <c r="S775" s="60" t="n"/>
      <c r="T775" s="60" t="n"/>
      <c r="U775" s="60" t="n"/>
      <c r="V775" s="60" t="n"/>
      <c r="W775" s="60" t="n"/>
      <c r="X775" s="60" t="n"/>
      <c r="Y775" s="60" t="n"/>
      <c r="Z775" s="60" t="n"/>
    </row>
    <row r="776">
      <c r="A776" s="151" t="n">
        <v>46087</v>
      </c>
      <c r="B776" s="70" t="n">
        <v>151</v>
      </c>
      <c r="C776" s="115" t="inlineStr">
        <is>
          <t>SELİM İNŞAAT</t>
        </is>
      </c>
      <c r="D776" s="115" t="inlineStr">
        <is>
          <t>34 FBR 771</t>
        </is>
      </c>
      <c r="E776" s="115" t="inlineStr">
        <is>
          <t>SALİH YALÇIN</t>
        </is>
      </c>
      <c r="F776" s="65" t="n">
        <v>350902</v>
      </c>
      <c r="G776" s="152" t="n">
        <v>446</v>
      </c>
      <c r="H776" s="60" t="n"/>
      <c r="I776" s="156">
        <f>+I775+(G776-H776)</f>
        <v/>
      </c>
      <c r="J776" s="60" t="n"/>
      <c r="K776" s="60" t="n"/>
      <c r="L776" s="158">
        <f>+H776*J776</f>
        <v/>
      </c>
      <c r="M776" s="159">
        <f>SUM(M775+K776-L776)</f>
        <v/>
      </c>
      <c r="N776" s="60" t="n"/>
      <c r="O776" s="60" t="n"/>
      <c r="P776" s="60" t="n"/>
      <c r="Q776" s="60" t="n"/>
      <c r="R776" s="60" t="n"/>
      <c r="S776" s="60" t="n"/>
      <c r="T776" s="60" t="n"/>
      <c r="U776" s="60" t="n"/>
      <c r="V776" s="60" t="n"/>
      <c r="W776" s="60" t="n"/>
      <c r="X776" s="60" t="n"/>
      <c r="Y776" s="60" t="n"/>
      <c r="Z776" s="60" t="n"/>
    </row>
    <row r="777">
      <c r="A777" s="151" t="n">
        <v>46087</v>
      </c>
      <c r="B777" s="70" t="n">
        <v>3392</v>
      </c>
      <c r="C777" s="115" t="inlineStr">
        <is>
          <t>SELİM İNŞAAT</t>
        </is>
      </c>
      <c r="D777" s="115" t="inlineStr">
        <is>
          <t>34 EDC 162</t>
        </is>
      </c>
      <c r="E777" s="115" t="inlineStr">
        <is>
          <t>YAKUP GÜNER</t>
        </is>
      </c>
      <c r="F777" s="65" t="n">
        <v>416850</v>
      </c>
      <c r="G777" s="152" t="n">
        <v>510</v>
      </c>
      <c r="H777" s="60" t="n"/>
      <c r="I777" s="156">
        <f>+I776+(G777-H777)</f>
        <v/>
      </c>
      <c r="J777" s="60" t="n"/>
      <c r="K777" s="60" t="n"/>
      <c r="L777" s="158">
        <f>+H777*J777</f>
        <v/>
      </c>
      <c r="M777" s="159">
        <f>SUM(M776+K777-L777)</f>
        <v/>
      </c>
      <c r="N777" s="60" t="n"/>
      <c r="O777" s="60" t="n"/>
      <c r="P777" s="60" t="n"/>
      <c r="Q777" s="60" t="n"/>
      <c r="R777" s="60" t="n"/>
      <c r="S777" s="60" t="n"/>
      <c r="T777" s="60" t="n"/>
      <c r="U777" s="60" t="n"/>
      <c r="V777" s="60" t="n"/>
      <c r="W777" s="60" t="n"/>
      <c r="X777" s="60" t="n"/>
      <c r="Y777" s="60" t="n"/>
      <c r="Z777" s="60" t="n"/>
    </row>
    <row r="778">
      <c r="A778" s="151" t="n">
        <v>46087</v>
      </c>
      <c r="B778" s="70" t="n">
        <v>2544</v>
      </c>
      <c r="C778" s="115" t="inlineStr">
        <is>
          <t>AZGÜN YAPI</t>
        </is>
      </c>
      <c r="D778" s="115" t="inlineStr">
        <is>
          <t>34 MKT 593</t>
        </is>
      </c>
      <c r="E778" s="115" t="inlineStr">
        <is>
          <t>TURGUT ÇATAL</t>
        </is>
      </c>
      <c r="F778" s="65" t="n"/>
      <c r="G778" s="152" t="n">
        <v>402</v>
      </c>
      <c r="H778" s="60" t="n"/>
      <c r="I778" s="156">
        <f>+I777+(G778-H778)</f>
        <v/>
      </c>
      <c r="J778" s="60" t="n"/>
      <c r="K778" s="60" t="n"/>
      <c r="L778" s="158">
        <f>+H778*J778</f>
        <v/>
      </c>
      <c r="M778" s="159">
        <f>SUM(M777+K778-L778)</f>
        <v/>
      </c>
      <c r="N778" s="60" t="n"/>
      <c r="O778" s="60" t="n"/>
      <c r="P778" s="60" t="n"/>
      <c r="Q778" s="60" t="n"/>
      <c r="R778" s="60" t="n"/>
      <c r="S778" s="60" t="n"/>
      <c r="T778" s="60" t="n"/>
      <c r="U778" s="60" t="n"/>
      <c r="V778" s="60" t="n"/>
      <c r="W778" s="60" t="n"/>
      <c r="X778" s="60" t="n"/>
      <c r="Y778" s="60" t="n"/>
      <c r="Z778" s="60" t="n"/>
    </row>
    <row r="779">
      <c r="A779" s="151" t="n">
        <v>46087</v>
      </c>
      <c r="B779" s="70" t="n">
        <v>4018</v>
      </c>
      <c r="C779" s="115" t="inlineStr">
        <is>
          <t>SELİM İNŞAAT</t>
        </is>
      </c>
      <c r="D779" s="115" t="inlineStr">
        <is>
          <t>34 AR 7743</t>
        </is>
      </c>
      <c r="E779" s="115" t="inlineStr">
        <is>
          <t>MEHMET SELİM</t>
        </is>
      </c>
      <c r="F779" s="65" t="n">
        <v>374348</v>
      </c>
      <c r="G779" s="152" t="n">
        <v>50</v>
      </c>
      <c r="H779" s="60" t="n"/>
      <c r="I779" s="156">
        <f>+I778+(G779-H779)</f>
        <v/>
      </c>
      <c r="J779" s="60" t="n"/>
      <c r="K779" s="60" t="n"/>
      <c r="L779" s="158">
        <f>+H779*J779</f>
        <v/>
      </c>
      <c r="M779" s="159">
        <f>SUM(M778+K779-L779)</f>
        <v/>
      </c>
      <c r="N779" s="60" t="n"/>
      <c r="O779" s="60" t="n"/>
      <c r="P779" s="60" t="n"/>
      <c r="Q779" s="60" t="n"/>
      <c r="R779" s="60" t="n"/>
      <c r="S779" s="60" t="n"/>
      <c r="T779" s="60" t="n"/>
      <c r="U779" s="60" t="n"/>
      <c r="V779" s="60" t="n"/>
      <c r="W779" s="60" t="n"/>
      <c r="X779" s="60" t="n"/>
      <c r="Y779" s="60" t="n"/>
      <c r="Z779" s="60" t="n"/>
    </row>
    <row r="780">
      <c r="A780" s="151" t="n">
        <v>46087</v>
      </c>
      <c r="B780" s="70" t="n">
        <v>2389</v>
      </c>
      <c r="C780" s="115" t="inlineStr">
        <is>
          <t>SELİM İNŞAAT</t>
        </is>
      </c>
      <c r="D780" s="115" t="inlineStr">
        <is>
          <t>34 FEM 934</t>
        </is>
      </c>
      <c r="E780" s="115" t="inlineStr">
        <is>
          <t>DURSUN ALİ GÜREK</t>
        </is>
      </c>
      <c r="F780" s="65" t="n">
        <v>333634</v>
      </c>
      <c r="G780" s="152" t="n">
        <v>56</v>
      </c>
      <c r="H780" s="60" t="n"/>
      <c r="I780" s="156">
        <f>+I779+(G780-H780)</f>
        <v/>
      </c>
      <c r="J780" s="60" t="n"/>
      <c r="K780" s="60" t="n"/>
      <c r="L780" s="158">
        <f>+H780*J780</f>
        <v/>
      </c>
      <c r="M780" s="159">
        <f>SUM(M779+K780-L780)</f>
        <v/>
      </c>
      <c r="N780" s="60" t="n"/>
      <c r="O780" s="60" t="n"/>
      <c r="P780" s="60" t="n"/>
      <c r="Q780" s="60" t="n"/>
      <c r="R780" s="60" t="n"/>
      <c r="S780" s="60" t="n"/>
      <c r="T780" s="60" t="n"/>
      <c r="U780" s="60" t="n"/>
      <c r="V780" s="60" t="n"/>
      <c r="W780" s="60" t="n"/>
      <c r="X780" s="60" t="n"/>
      <c r="Y780" s="60" t="n"/>
      <c r="Z780" s="60" t="n"/>
    </row>
    <row r="781">
      <c r="A781" s="151" t="n">
        <v>46087</v>
      </c>
      <c r="B781" s="70" t="n">
        <v>2591</v>
      </c>
      <c r="C781" s="115" t="inlineStr">
        <is>
          <t>SELİM İNŞAAT</t>
        </is>
      </c>
      <c r="D781" s="115" t="inlineStr">
        <is>
          <t>34 GER 028</t>
        </is>
      </c>
      <c r="E781" s="115" t="inlineStr">
        <is>
          <t>ABDÜLKERİM ERGEN</t>
        </is>
      </c>
      <c r="F781" s="65" t="n">
        <v>60278</v>
      </c>
      <c r="G781" s="152" t="n">
        <v>393</v>
      </c>
      <c r="H781" s="60" t="n"/>
      <c r="I781" s="156">
        <f>+I780+(G781-H781)</f>
        <v/>
      </c>
      <c r="J781" s="60" t="n"/>
      <c r="K781" s="60" t="n"/>
      <c r="L781" s="158">
        <f>+H781*J781</f>
        <v/>
      </c>
      <c r="M781" s="159">
        <f>SUM(M780+K781-L781)</f>
        <v/>
      </c>
      <c r="N781" s="60" t="n"/>
      <c r="O781" s="60" t="n"/>
      <c r="P781" s="60" t="n"/>
      <c r="Q781" s="60" t="n"/>
      <c r="R781" s="60" t="n"/>
      <c r="S781" s="60" t="n"/>
      <c r="T781" s="60" t="n"/>
      <c r="U781" s="60" t="n"/>
      <c r="V781" s="60" t="n"/>
      <c r="W781" s="60" t="n"/>
      <c r="X781" s="60" t="n"/>
      <c r="Y781" s="60" t="n"/>
      <c r="Z781" s="60" t="n"/>
    </row>
    <row r="782">
      <c r="A782" s="151" t="n">
        <v>46087</v>
      </c>
      <c r="B782" s="70" t="n">
        <v>3728</v>
      </c>
      <c r="C782" s="115" t="inlineStr">
        <is>
          <t>SELİM İNŞAAT</t>
        </is>
      </c>
      <c r="D782" s="115" t="inlineStr">
        <is>
          <t>34 DKL 866</t>
        </is>
      </c>
      <c r="E782" s="115" t="inlineStr">
        <is>
          <t>SELİMCAN ÖNVER</t>
        </is>
      </c>
      <c r="F782" s="65" t="n">
        <v>82376</v>
      </c>
      <c r="G782" s="152" t="n">
        <v>397</v>
      </c>
      <c r="H782" s="60" t="n"/>
      <c r="I782" s="156">
        <f>+I781+(G782-H782)</f>
        <v/>
      </c>
      <c r="J782" s="60" t="n"/>
      <c r="K782" s="60" t="n"/>
      <c r="L782" s="158">
        <f>+H782*J782</f>
        <v/>
      </c>
      <c r="M782" s="159">
        <f>SUM(M781+K782-L782)</f>
        <v/>
      </c>
      <c r="N782" s="60" t="n"/>
      <c r="O782" s="60" t="n"/>
      <c r="P782" s="60" t="n"/>
      <c r="Q782" s="60" t="n"/>
      <c r="R782" s="60" t="n"/>
      <c r="S782" s="60" t="n"/>
      <c r="T782" s="60" t="n"/>
      <c r="U782" s="60" t="n"/>
      <c r="V782" s="60" t="n"/>
      <c r="W782" s="60" t="n"/>
      <c r="X782" s="60" t="n"/>
      <c r="Y782" s="60" t="n"/>
      <c r="Z782" s="60" t="n"/>
    </row>
    <row r="783">
      <c r="A783" s="151" t="n">
        <v>46087</v>
      </c>
      <c r="B783" s="70" t="n">
        <v>754</v>
      </c>
      <c r="C783" s="115" t="inlineStr">
        <is>
          <t>METİN ERYİĞİT</t>
        </is>
      </c>
      <c r="D783" s="115" t="inlineStr">
        <is>
          <t>34 EGR 814</t>
        </is>
      </c>
      <c r="E783" s="115" t="inlineStr">
        <is>
          <t>ZİYA İNCE</t>
        </is>
      </c>
      <c r="F783" s="65" t="n"/>
      <c r="G783" s="152" t="n">
        <v>372</v>
      </c>
      <c r="H783" s="60" t="n"/>
      <c r="I783" s="156">
        <f>+I782+(G783-H783)</f>
        <v/>
      </c>
      <c r="J783" s="60" t="n"/>
      <c r="K783" s="60" t="n"/>
      <c r="L783" s="158">
        <f>+H783*J783</f>
        <v/>
      </c>
      <c r="M783" s="159">
        <f>SUM(M782+K783-L783)</f>
        <v/>
      </c>
      <c r="N783" s="60" t="n"/>
      <c r="O783" s="60" t="n"/>
      <c r="P783" s="60" t="n"/>
      <c r="Q783" s="60" t="n"/>
      <c r="R783" s="60" t="n"/>
      <c r="S783" s="60" t="n"/>
      <c r="T783" s="60" t="n"/>
      <c r="U783" s="60" t="n"/>
      <c r="V783" s="60" t="n"/>
      <c r="W783" s="60" t="n"/>
      <c r="X783" s="60" t="n"/>
      <c r="Y783" s="60" t="n"/>
      <c r="Z783" s="60" t="n"/>
    </row>
    <row r="784">
      <c r="A784" s="151" t="n">
        <v>46087</v>
      </c>
      <c r="B784" s="70" t="n">
        <v>810</v>
      </c>
      <c r="C784" s="115" t="inlineStr">
        <is>
          <t>METİN ERYİĞİT</t>
        </is>
      </c>
      <c r="D784" s="115" t="inlineStr">
        <is>
          <t>34 GBL 998</t>
        </is>
      </c>
      <c r="E784" s="115" t="inlineStr">
        <is>
          <t>ALİ KESKİN</t>
        </is>
      </c>
      <c r="F784" s="65" t="n"/>
      <c r="G784" s="152" t="n">
        <v>378</v>
      </c>
      <c r="H784" s="60" t="n"/>
      <c r="I784" s="156">
        <f>+I783+(G784-H784)</f>
        <v/>
      </c>
      <c r="J784" s="60" t="n"/>
      <c r="K784" s="60" t="n"/>
      <c r="L784" s="158">
        <f>+H784*J784</f>
        <v/>
      </c>
      <c r="M784" s="159">
        <f>SUM(M783+K784-L784)</f>
        <v/>
      </c>
      <c r="N784" s="60" t="n"/>
      <c r="O784" s="60" t="n"/>
      <c r="P784" s="60" t="n"/>
      <c r="Q784" s="60" t="n"/>
      <c r="R784" s="60" t="n"/>
      <c r="S784" s="60" t="n"/>
      <c r="T784" s="60" t="n"/>
      <c r="U784" s="60" t="n"/>
      <c r="V784" s="60" t="n"/>
      <c r="W784" s="60" t="n"/>
      <c r="X784" s="60" t="n"/>
      <c r="Y784" s="60" t="n"/>
      <c r="Z784" s="60" t="n"/>
    </row>
    <row r="785">
      <c r="A785" s="151" t="n">
        <v>46087</v>
      </c>
      <c r="B785" s="70" t="n">
        <v>444</v>
      </c>
      <c r="C785" s="115" t="inlineStr">
        <is>
          <t>HASALTUN</t>
        </is>
      </c>
      <c r="D785" s="115" t="inlineStr">
        <is>
          <t>SM350</t>
        </is>
      </c>
      <c r="E785" s="115" t="inlineStr">
        <is>
          <t>TEVFİK</t>
        </is>
      </c>
      <c r="F785" s="65" t="n"/>
      <c r="G785" s="152" t="n">
        <v>525</v>
      </c>
      <c r="H785" s="60" t="n"/>
      <c r="I785" s="156">
        <f>+I784+(G785-H785)</f>
        <v/>
      </c>
      <c r="J785" s="60" t="n"/>
      <c r="K785" s="60" t="n"/>
      <c r="L785" s="158">
        <f>+H785*J785</f>
        <v/>
      </c>
      <c r="M785" s="159">
        <f>SUM(M784+K785-L785)</f>
        <v/>
      </c>
      <c r="N785" s="60" t="n"/>
      <c r="O785" s="60" t="n"/>
      <c r="P785" s="60" t="n"/>
      <c r="Q785" s="60" t="n"/>
      <c r="R785" s="60" t="n"/>
      <c r="S785" s="60" t="n"/>
      <c r="T785" s="60" t="n"/>
      <c r="U785" s="60" t="n"/>
      <c r="V785" s="60" t="n"/>
      <c r="W785" s="60" t="n"/>
      <c r="X785" s="60" t="n"/>
      <c r="Y785" s="60" t="n"/>
      <c r="Z785" s="60" t="n"/>
    </row>
    <row r="786">
      <c r="A786" s="151" t="n">
        <v>46087</v>
      </c>
      <c r="B786" s="70" t="n">
        <v>445</v>
      </c>
      <c r="C786" s="115" t="inlineStr">
        <is>
          <t>HASALTUN</t>
        </is>
      </c>
      <c r="D786" s="115" t="inlineStr">
        <is>
          <t>SİLİNDİR</t>
        </is>
      </c>
      <c r="E786" s="115" t="inlineStr">
        <is>
          <t>ÖNER</t>
        </is>
      </c>
      <c r="F786" s="65" t="n"/>
      <c r="G786" s="152" t="n">
        <v>235</v>
      </c>
      <c r="H786" s="60" t="n"/>
      <c r="I786" s="156">
        <f>+I785+(G786-H786)</f>
        <v/>
      </c>
      <c r="J786" s="60" t="n"/>
      <c r="K786" s="60" t="n"/>
      <c r="L786" s="158">
        <f>+H786*J786</f>
        <v/>
      </c>
      <c r="M786" s="159">
        <f>SUM(M785+K786-L786)</f>
        <v/>
      </c>
      <c r="N786" s="60" t="n"/>
      <c r="O786" s="60" t="n"/>
      <c r="P786" s="60" t="n"/>
      <c r="Q786" s="60" t="n"/>
      <c r="R786" s="60" t="n"/>
      <c r="S786" s="60" t="n"/>
      <c r="T786" s="60" t="n"/>
      <c r="U786" s="60" t="n"/>
      <c r="V786" s="60" t="n"/>
      <c r="W786" s="60" t="n"/>
      <c r="X786" s="60" t="n"/>
      <c r="Y786" s="60" t="n"/>
      <c r="Z786" s="60" t="n"/>
    </row>
    <row r="787">
      <c r="A787" s="151" t="n">
        <v>46087</v>
      </c>
      <c r="B787" s="70" t="n">
        <v>446</v>
      </c>
      <c r="C787" s="115" t="inlineStr">
        <is>
          <t>MEGA</t>
        </is>
      </c>
      <c r="D787" s="115" t="inlineStr">
        <is>
          <t>MANİTO</t>
        </is>
      </c>
      <c r="E787" s="115" t="inlineStr">
        <is>
          <t>MUHAMMET</t>
        </is>
      </c>
      <c r="F787" s="65" t="n"/>
      <c r="G787" s="152" t="n">
        <v>279</v>
      </c>
      <c r="H787" s="60" t="n"/>
      <c r="I787" s="156">
        <f>+I786+(G787-H787)</f>
        <v/>
      </c>
      <c r="J787" s="60" t="n"/>
      <c r="K787" s="60" t="n"/>
      <c r="L787" s="158">
        <f>+H787*J787</f>
        <v/>
      </c>
      <c r="M787" s="159">
        <f>SUM(M786+K787-L787)</f>
        <v/>
      </c>
      <c r="N787" s="60" t="n"/>
      <c r="O787" s="60" t="n"/>
      <c r="P787" s="60" t="n"/>
      <c r="Q787" s="60" t="n"/>
      <c r="R787" s="60" t="n"/>
      <c r="S787" s="60" t="n"/>
      <c r="T787" s="60" t="n"/>
      <c r="U787" s="60" t="n"/>
      <c r="V787" s="60" t="n"/>
      <c r="W787" s="60" t="n"/>
      <c r="X787" s="60" t="n"/>
      <c r="Y787" s="60" t="n"/>
      <c r="Z787" s="60" t="n"/>
    </row>
    <row r="788">
      <c r="A788" s="151" t="n">
        <v>46087</v>
      </c>
      <c r="B788" s="70" t="n">
        <v>447</v>
      </c>
      <c r="C788" s="115" t="inlineStr">
        <is>
          <t>MEGA</t>
        </is>
      </c>
      <c r="D788" s="115" t="inlineStr">
        <is>
          <t>SM350</t>
        </is>
      </c>
      <c r="E788" s="115" t="inlineStr">
        <is>
          <t>MİKAİL</t>
        </is>
      </c>
      <c r="F788" s="65" t="n"/>
      <c r="G788" s="152" t="n">
        <v>468</v>
      </c>
      <c r="H788" s="60" t="n"/>
      <c r="I788" s="156">
        <f>+I787+(G788-H788)</f>
        <v/>
      </c>
      <c r="J788" s="60" t="n"/>
      <c r="K788" s="60" t="n"/>
      <c r="L788" s="158">
        <f>+H788*J788</f>
        <v/>
      </c>
      <c r="M788" s="159">
        <f>SUM(M787+K788-L788)</f>
        <v/>
      </c>
      <c r="N788" s="60" t="n"/>
      <c r="O788" s="60" t="n"/>
      <c r="P788" s="60" t="n"/>
      <c r="Q788" s="60" t="n"/>
      <c r="R788" s="60" t="n"/>
      <c r="S788" s="60" t="n"/>
      <c r="T788" s="60" t="n"/>
      <c r="U788" s="60" t="n"/>
      <c r="V788" s="60" t="n"/>
      <c r="W788" s="60" t="n"/>
      <c r="X788" s="60" t="n"/>
      <c r="Y788" s="60" t="n"/>
      <c r="Z788" s="60" t="n"/>
    </row>
    <row r="789">
      <c r="A789" s="151" t="n">
        <v>46087</v>
      </c>
      <c r="B789" s="70" t="n">
        <v>448</v>
      </c>
      <c r="C789" s="115" t="inlineStr">
        <is>
          <t>MEGA</t>
        </is>
      </c>
      <c r="D789" s="115" t="inlineStr">
        <is>
          <t>KAWAZAKİ</t>
        </is>
      </c>
      <c r="E789" s="115" t="inlineStr">
        <is>
          <t>RAMAZAN</t>
        </is>
      </c>
      <c r="F789" s="65" t="n"/>
      <c r="G789" s="152" t="n">
        <v>207</v>
      </c>
      <c r="H789" s="60" t="n"/>
      <c r="I789" s="156">
        <f>+I788+(G789-H789)</f>
        <v/>
      </c>
      <c r="J789" s="60" t="n"/>
      <c r="K789" s="60" t="n"/>
      <c r="L789" s="158">
        <f>+H789*J789</f>
        <v/>
      </c>
      <c r="M789" s="159">
        <f>SUM(M788+K789-L789)</f>
        <v/>
      </c>
      <c r="N789" s="60" t="n"/>
      <c r="O789" s="60" t="n"/>
      <c r="P789" s="60" t="n"/>
      <c r="Q789" s="60" t="n"/>
      <c r="R789" s="60" t="n"/>
      <c r="S789" s="60" t="n"/>
      <c r="T789" s="60" t="n"/>
      <c r="U789" s="60" t="n"/>
      <c r="V789" s="60" t="n"/>
      <c r="W789" s="60" t="n"/>
      <c r="X789" s="60" t="n"/>
      <c r="Y789" s="60" t="n"/>
      <c r="Z789" s="60" t="n"/>
    </row>
    <row r="790">
      <c r="A790" s="151" t="n">
        <v>46088</v>
      </c>
      <c r="B790" s="70" t="n">
        <v>853</v>
      </c>
      <c r="C790" s="115" t="inlineStr">
        <is>
          <t>SELİM İNŞAAT</t>
        </is>
      </c>
      <c r="D790" s="115" t="inlineStr">
        <is>
          <t>34 EGR 922</t>
        </is>
      </c>
      <c r="E790" s="115" t="inlineStr">
        <is>
          <t>FARUK ÖZEN</t>
        </is>
      </c>
      <c r="F790" s="65" t="n">
        <v>505591</v>
      </c>
      <c r="G790" s="152" t="n">
        <v>540</v>
      </c>
      <c r="H790" s="60" t="n"/>
      <c r="I790" s="156">
        <f>+I789+(G790-H790)</f>
        <v/>
      </c>
      <c r="J790" s="60" t="n"/>
      <c r="K790" s="60" t="n"/>
      <c r="L790" s="158">
        <f>+H790*J790</f>
        <v/>
      </c>
      <c r="M790" s="159">
        <f>SUM(M789+K790-L790)</f>
        <v/>
      </c>
      <c r="N790" s="60" t="n"/>
      <c r="O790" s="60" t="n"/>
      <c r="P790" s="60" t="n"/>
      <c r="Q790" s="60" t="n"/>
      <c r="R790" s="60" t="n"/>
      <c r="S790" s="60" t="n"/>
      <c r="T790" s="60" t="n"/>
      <c r="U790" s="60" t="n"/>
      <c r="V790" s="60" t="n"/>
      <c r="W790" s="60" t="n"/>
      <c r="X790" s="60" t="n"/>
      <c r="Y790" s="60" t="n"/>
      <c r="Z790" s="60" t="n"/>
    </row>
    <row r="791">
      <c r="A791" s="151" t="n">
        <v>46088</v>
      </c>
      <c r="B791" s="70" t="n">
        <v>2796</v>
      </c>
      <c r="C791" s="115" t="inlineStr">
        <is>
          <t>SELİM İNŞAAT</t>
        </is>
      </c>
      <c r="D791" s="115" t="inlineStr">
        <is>
          <t>34 EDC 086</t>
        </is>
      </c>
      <c r="E791" s="115" t="inlineStr">
        <is>
          <t>SEZGİN KOCAGİL</t>
        </is>
      </c>
      <c r="F791" s="65" t="n">
        <v>377345</v>
      </c>
      <c r="G791" s="152" t="n">
        <v>492</v>
      </c>
      <c r="H791" s="60" t="n"/>
      <c r="I791" s="156">
        <f>+I790+(G791-H791)</f>
        <v/>
      </c>
      <c r="J791" s="60" t="n"/>
      <c r="K791" s="60" t="n"/>
      <c r="L791" s="158">
        <f>+H791*J791</f>
        <v/>
      </c>
      <c r="M791" s="159">
        <f>SUM(M790+K791-L791)</f>
        <v/>
      </c>
      <c r="N791" s="60" t="n"/>
      <c r="O791" s="60" t="n"/>
      <c r="P791" s="60" t="n"/>
      <c r="Q791" s="60" t="n"/>
      <c r="R791" s="60" t="n"/>
      <c r="S791" s="60" t="n"/>
      <c r="T791" s="60" t="n"/>
      <c r="U791" s="60" t="n"/>
      <c r="V791" s="60" t="n"/>
      <c r="W791" s="60" t="n"/>
      <c r="X791" s="60" t="n"/>
      <c r="Y791" s="60" t="n"/>
      <c r="Z791" s="60" t="n"/>
    </row>
    <row r="792">
      <c r="A792" s="151" t="n">
        <v>46088</v>
      </c>
      <c r="B792" s="70" t="n">
        <v>14</v>
      </c>
      <c r="C792" s="115" t="inlineStr">
        <is>
          <t>SELİM İNŞAAT</t>
        </is>
      </c>
      <c r="D792" s="115" t="inlineStr">
        <is>
          <t xml:space="preserve">34 GVZ 268 </t>
        </is>
      </c>
      <c r="E792" s="115" t="inlineStr">
        <is>
          <t>KERİM KARAMAN</t>
        </is>
      </c>
      <c r="F792" s="65" t="n">
        <v>252980</v>
      </c>
      <c r="G792" s="152" t="n">
        <v>386</v>
      </c>
      <c r="H792" s="60" t="n"/>
      <c r="I792" s="156">
        <f>+I791+(G792-H792)</f>
        <v/>
      </c>
      <c r="J792" s="60" t="n"/>
      <c r="K792" s="60" t="n"/>
      <c r="L792" s="158">
        <f>+H792*J792</f>
        <v/>
      </c>
      <c r="M792" s="159">
        <f>SUM(M791+K792-L792)</f>
        <v/>
      </c>
      <c r="N792" s="60" t="n"/>
      <c r="O792" s="60" t="n"/>
      <c r="P792" s="60" t="n"/>
      <c r="Q792" s="60" t="n"/>
      <c r="R792" s="60" t="n"/>
      <c r="S792" s="60" t="n"/>
      <c r="T792" s="60" t="n"/>
      <c r="U792" s="60" t="n"/>
      <c r="V792" s="60" t="n"/>
      <c r="W792" s="60" t="n"/>
      <c r="X792" s="60" t="n"/>
      <c r="Y792" s="60" t="n"/>
      <c r="Z792" s="60" t="n"/>
    </row>
    <row r="793">
      <c r="A793" s="151" t="n">
        <v>46088</v>
      </c>
      <c r="B793" s="70" t="n">
        <v>4928</v>
      </c>
      <c r="C793" s="115" t="inlineStr">
        <is>
          <t>SELİM İNŞAAT</t>
        </is>
      </c>
      <c r="D793" s="115" t="inlineStr">
        <is>
          <t>34 FBR 742</t>
        </is>
      </c>
      <c r="E793" s="115" t="inlineStr">
        <is>
          <t>ADNAN KOÇ</t>
        </is>
      </c>
      <c r="F793" s="65" t="n">
        <v>367239</v>
      </c>
      <c r="G793" s="152" t="n">
        <v>378</v>
      </c>
      <c r="H793" s="60" t="n"/>
      <c r="I793" s="156">
        <f>+I792+(G793-H793)</f>
        <v/>
      </c>
      <c r="J793" s="60" t="n"/>
      <c r="K793" s="60" t="n"/>
      <c r="L793" s="158">
        <f>+H793*J793</f>
        <v/>
      </c>
      <c r="M793" s="159">
        <f>SUM(M792+K793-L793)</f>
        <v/>
      </c>
      <c r="N793" s="60" t="n"/>
      <c r="O793" s="60" t="n"/>
      <c r="P793" s="60" t="n"/>
      <c r="Q793" s="60" t="n"/>
      <c r="R793" s="60" t="n"/>
      <c r="S793" s="60" t="n"/>
      <c r="T793" s="60" t="n"/>
      <c r="U793" s="60" t="n"/>
      <c r="V793" s="60" t="n"/>
      <c r="W793" s="60" t="n"/>
      <c r="X793" s="60" t="n"/>
      <c r="Y793" s="60" t="n"/>
      <c r="Z793" s="60" t="n"/>
    </row>
    <row r="794">
      <c r="A794" s="151" t="n">
        <v>46088</v>
      </c>
      <c r="B794" s="70" t="n">
        <v>1548</v>
      </c>
      <c r="C794" s="115" t="inlineStr">
        <is>
          <t>SELİM İNŞAAT</t>
        </is>
      </c>
      <c r="D794" s="115" t="inlineStr">
        <is>
          <t>34 GUS 848</t>
        </is>
      </c>
      <c r="E794" s="115" t="inlineStr">
        <is>
          <t>SERDAR BOZKURT</t>
        </is>
      </c>
      <c r="F794" s="65" t="n">
        <v>234391</v>
      </c>
      <c r="G794" s="152" t="n">
        <v>542</v>
      </c>
      <c r="H794" s="60" t="n"/>
      <c r="I794" s="156">
        <f>+I793+(G794-H794)</f>
        <v/>
      </c>
      <c r="J794" s="60" t="n"/>
      <c r="K794" s="60" t="n"/>
      <c r="L794" s="158">
        <f>+H794*J794</f>
        <v/>
      </c>
      <c r="M794" s="159">
        <f>SUM(M793+K794-L794)</f>
        <v/>
      </c>
      <c r="N794" s="60" t="n"/>
      <c r="O794" s="60" t="n"/>
      <c r="P794" s="60" t="n"/>
      <c r="Q794" s="60" t="n"/>
      <c r="R794" s="60" t="n"/>
      <c r="S794" s="60" t="n"/>
      <c r="T794" s="60" t="n"/>
      <c r="U794" s="60" t="n"/>
      <c r="V794" s="60" t="n"/>
      <c r="W794" s="60" t="n"/>
      <c r="X794" s="60" t="n"/>
      <c r="Y794" s="60" t="n"/>
      <c r="Z794" s="60" t="n"/>
    </row>
    <row r="795">
      <c r="A795" s="151" t="n">
        <v>46088</v>
      </c>
      <c r="B795" s="70" t="n">
        <v>3333</v>
      </c>
      <c r="C795" s="115" t="inlineStr">
        <is>
          <t>SELİM İNŞAAT</t>
        </is>
      </c>
      <c r="D795" s="115" t="inlineStr">
        <is>
          <t>34  GUS 938</t>
        </is>
      </c>
      <c r="E795" s="115" t="inlineStr">
        <is>
          <t>MEHMET KAYA</t>
        </is>
      </c>
      <c r="F795" s="65" t="n">
        <v>248712</v>
      </c>
      <c r="G795" s="152" t="n">
        <v>395</v>
      </c>
      <c r="H795" s="60" t="n"/>
      <c r="I795" s="156">
        <f>+I794+(G795-H795)</f>
        <v/>
      </c>
      <c r="J795" s="60" t="n"/>
      <c r="K795" s="60" t="n"/>
      <c r="L795" s="158">
        <f>+H795*J795</f>
        <v/>
      </c>
      <c r="M795" s="159">
        <f>SUM(M794+K795-L795)</f>
        <v/>
      </c>
      <c r="N795" s="60" t="n"/>
      <c r="O795" s="60" t="n"/>
      <c r="P795" s="60" t="n"/>
      <c r="Q795" s="60" t="n"/>
      <c r="R795" s="60" t="n"/>
      <c r="S795" s="60" t="n"/>
      <c r="T795" s="60" t="n"/>
      <c r="U795" s="60" t="n"/>
      <c r="V795" s="60" t="n"/>
      <c r="W795" s="60" t="n"/>
      <c r="X795" s="60" t="n"/>
      <c r="Y795" s="60" t="n"/>
      <c r="Z795" s="60" t="n"/>
    </row>
    <row r="796">
      <c r="A796" s="151" t="n">
        <v>46088</v>
      </c>
      <c r="B796" s="70" t="n">
        <v>4419</v>
      </c>
      <c r="C796" s="115" t="inlineStr">
        <is>
          <t>SELİM İNŞAAT</t>
        </is>
      </c>
      <c r="D796" s="115" t="inlineStr">
        <is>
          <t>34 DTV 409</t>
        </is>
      </c>
      <c r="E796" s="115" t="inlineStr">
        <is>
          <t>ATA KIZMAZ</t>
        </is>
      </c>
      <c r="F796" s="65" t="n">
        <v>454660</v>
      </c>
      <c r="G796" s="152" t="n">
        <v>557</v>
      </c>
      <c r="H796" s="60" t="n"/>
      <c r="I796" s="156">
        <f>+I795+(G796-H796)</f>
        <v/>
      </c>
      <c r="J796" s="60" t="n"/>
      <c r="K796" s="60" t="n"/>
      <c r="L796" s="158">
        <f>+H796*J796</f>
        <v/>
      </c>
      <c r="M796" s="159">
        <f>SUM(M795+K796-L796)</f>
        <v/>
      </c>
      <c r="N796" s="60" t="n"/>
      <c r="O796" s="60" t="n"/>
      <c r="P796" s="60" t="n"/>
      <c r="Q796" s="60" t="n"/>
      <c r="R796" s="60" t="n"/>
      <c r="S796" s="60" t="n"/>
      <c r="T796" s="60" t="n"/>
      <c r="U796" s="60" t="n"/>
      <c r="V796" s="60" t="n"/>
      <c r="W796" s="60" t="n"/>
      <c r="X796" s="60" t="n"/>
      <c r="Y796" s="60" t="n"/>
      <c r="Z796" s="60" t="n"/>
    </row>
    <row r="797">
      <c r="A797" s="151" t="n">
        <v>46088</v>
      </c>
      <c r="B797" s="70" t="n">
        <v>907</v>
      </c>
      <c r="C797" s="115" t="inlineStr">
        <is>
          <t>SELİM İNŞAAT</t>
        </is>
      </c>
      <c r="D797" s="115" t="inlineStr">
        <is>
          <t>34 FSG 229</t>
        </is>
      </c>
      <c r="E797" s="115" t="inlineStr">
        <is>
          <t>SİNAN TANRIVERDİ</t>
        </is>
      </c>
      <c r="F797" s="65" t="n">
        <v>300617</v>
      </c>
      <c r="G797" s="152" t="n">
        <v>360</v>
      </c>
      <c r="H797" s="60" t="n"/>
      <c r="I797" s="156">
        <f>+I796+(G797-H797)</f>
        <v/>
      </c>
      <c r="J797" s="60" t="n"/>
      <c r="K797" s="60" t="n"/>
      <c r="L797" s="158">
        <f>+H797*J797</f>
        <v/>
      </c>
      <c r="M797" s="159">
        <f>SUM(M796+K797-L797)</f>
        <v/>
      </c>
      <c r="N797" s="60" t="n"/>
      <c r="O797" s="60" t="n"/>
      <c r="P797" s="60" t="n"/>
      <c r="Q797" s="60" t="n"/>
      <c r="R797" s="60" t="n"/>
      <c r="S797" s="60" t="n"/>
      <c r="T797" s="60" t="n"/>
      <c r="U797" s="60" t="n"/>
      <c r="V797" s="60" t="n"/>
      <c r="W797" s="60" t="n"/>
      <c r="X797" s="60" t="n"/>
      <c r="Y797" s="60" t="n"/>
      <c r="Z797" s="60" t="n"/>
    </row>
    <row r="798">
      <c r="A798" s="151" t="n">
        <v>46088</v>
      </c>
      <c r="B798" s="70" t="n">
        <v>4974</v>
      </c>
      <c r="C798" s="115" t="inlineStr">
        <is>
          <t>SELİM İNŞAAT</t>
        </is>
      </c>
      <c r="D798" s="115" t="inlineStr">
        <is>
          <t>34 GVZ 745</t>
        </is>
      </c>
      <c r="E798" s="115" t="inlineStr">
        <is>
          <t>MURAT DEMİRBAĞ</t>
        </is>
      </c>
      <c r="F798" s="65" t="n">
        <v>248828</v>
      </c>
      <c r="G798" s="152" t="n">
        <v>429</v>
      </c>
      <c r="H798" s="60" t="n"/>
      <c r="I798" s="156">
        <f>+I797+(G798-H798)</f>
        <v/>
      </c>
      <c r="J798" s="60" t="n"/>
      <c r="K798" s="60" t="n"/>
      <c r="L798" s="158">
        <f>+H798*J798</f>
        <v/>
      </c>
      <c r="M798" s="159">
        <f>SUM(M797+K798-L798)</f>
        <v/>
      </c>
      <c r="N798" s="60" t="n"/>
      <c r="O798" s="60" t="n"/>
      <c r="P798" s="60" t="n"/>
      <c r="Q798" s="60" t="n"/>
      <c r="R798" s="60" t="n"/>
      <c r="S798" s="60" t="n"/>
      <c r="T798" s="60" t="n"/>
      <c r="U798" s="60" t="n"/>
      <c r="V798" s="60" t="n"/>
      <c r="W798" s="60" t="n"/>
      <c r="X798" s="60" t="n"/>
      <c r="Y798" s="60" t="n"/>
      <c r="Z798" s="60" t="n"/>
    </row>
    <row r="799">
      <c r="A799" s="151" t="n">
        <v>46088</v>
      </c>
      <c r="B799" s="70" t="n">
        <v>4879</v>
      </c>
      <c r="C799" s="115" t="inlineStr">
        <is>
          <t>SELİM İNŞAAT</t>
        </is>
      </c>
      <c r="D799" s="115" t="inlineStr">
        <is>
          <t>34 FBR 705</t>
        </is>
      </c>
      <c r="E799" s="115" t="inlineStr">
        <is>
          <t>MURAT SARI</t>
        </is>
      </c>
      <c r="F799" s="65" t="n">
        <v>363683</v>
      </c>
      <c r="G799" s="152" t="n">
        <v>385</v>
      </c>
      <c r="H799" s="60" t="n"/>
      <c r="I799" s="156">
        <f>+I798+(G799-H799)</f>
        <v/>
      </c>
      <c r="J799" s="60" t="n"/>
      <c r="K799" s="60" t="n"/>
      <c r="L799" s="158">
        <f>+H799*J799</f>
        <v/>
      </c>
      <c r="M799" s="159">
        <f>SUM(M798+K799-L799)</f>
        <v/>
      </c>
      <c r="N799" s="60" t="n"/>
      <c r="O799" s="60" t="n"/>
      <c r="P799" s="60" t="n"/>
      <c r="Q799" s="60" t="n"/>
      <c r="R799" s="60" t="n"/>
      <c r="S799" s="60" t="n"/>
      <c r="T799" s="60" t="n"/>
      <c r="U799" s="60" t="n"/>
      <c r="V799" s="60" t="n"/>
      <c r="W799" s="60" t="n"/>
      <c r="X799" s="60" t="n"/>
      <c r="Y799" s="60" t="n"/>
      <c r="Z799" s="60" t="n"/>
    </row>
    <row r="800">
      <c r="A800" s="151" t="n">
        <v>46088</v>
      </c>
      <c r="B800" s="70" t="n">
        <v>152</v>
      </c>
      <c r="C800" s="115" t="inlineStr">
        <is>
          <t>SELİM İNŞAAT</t>
        </is>
      </c>
      <c r="D800" s="115" t="inlineStr">
        <is>
          <t>34 FBR 771</t>
        </is>
      </c>
      <c r="E800" s="115" t="inlineStr">
        <is>
          <t>SALİH YALÇIN</t>
        </is>
      </c>
      <c r="F800" s="65" t="n">
        <v>351461</v>
      </c>
      <c r="G800" s="152" t="n">
        <v>415</v>
      </c>
      <c r="H800" s="60" t="n"/>
      <c r="I800" s="156">
        <f>+I799+(G800-H800)</f>
        <v/>
      </c>
      <c r="J800" s="60" t="n"/>
      <c r="K800" s="60" t="n"/>
      <c r="L800" s="158">
        <f>+H800*J800</f>
        <v/>
      </c>
      <c r="M800" s="159">
        <f>SUM(M799+K800-L800)</f>
        <v/>
      </c>
      <c r="N800" s="60" t="n"/>
      <c r="O800" s="60" t="n"/>
      <c r="P800" s="60" t="n"/>
      <c r="Q800" s="60" t="n"/>
      <c r="R800" s="60" t="n"/>
      <c r="S800" s="60" t="n"/>
      <c r="T800" s="60" t="n"/>
      <c r="U800" s="60" t="n"/>
      <c r="V800" s="60" t="n"/>
      <c r="W800" s="60" t="n"/>
      <c r="X800" s="60" t="n"/>
      <c r="Y800" s="60" t="n"/>
      <c r="Z800" s="60" t="n"/>
    </row>
    <row r="801">
      <c r="A801" s="151" t="n">
        <v>46088</v>
      </c>
      <c r="B801" s="70" t="n">
        <v>3393</v>
      </c>
      <c r="C801" s="115" t="inlineStr">
        <is>
          <t>SELİM İNŞAAT</t>
        </is>
      </c>
      <c r="D801" s="115" t="inlineStr">
        <is>
          <t>34 EDC 162</t>
        </is>
      </c>
      <c r="E801" s="115" t="inlineStr">
        <is>
          <t>YAKUP GÜNER</t>
        </is>
      </c>
      <c r="F801" s="65" t="n">
        <v>417319</v>
      </c>
      <c r="G801" s="152" t="n">
        <v>346</v>
      </c>
      <c r="H801" s="60" t="n"/>
      <c r="I801" s="156">
        <f>+I800+(G801-H801)</f>
        <v/>
      </c>
      <c r="J801" s="60" t="n"/>
      <c r="K801" s="60" t="n"/>
      <c r="L801" s="158">
        <f>+H801*J801</f>
        <v/>
      </c>
      <c r="M801" s="159">
        <f>SUM(M800+K801-L801)</f>
        <v/>
      </c>
      <c r="N801" s="60" t="n"/>
      <c r="O801" s="60" t="n"/>
      <c r="P801" s="60" t="n"/>
      <c r="Q801" s="60" t="n"/>
      <c r="R801" s="60" t="n"/>
      <c r="S801" s="60" t="n"/>
      <c r="T801" s="60" t="n"/>
      <c r="U801" s="60" t="n"/>
      <c r="V801" s="60" t="n"/>
      <c r="W801" s="60" t="n"/>
      <c r="X801" s="60" t="n"/>
      <c r="Y801" s="60" t="n"/>
      <c r="Z801" s="60" t="n"/>
    </row>
    <row r="802">
      <c r="A802" s="151" t="n">
        <v>46088</v>
      </c>
      <c r="B802" s="70" t="n">
        <v>652</v>
      </c>
      <c r="C802" s="115" t="inlineStr">
        <is>
          <t>SELİM İNŞAAT</t>
        </is>
      </c>
      <c r="D802" s="115" t="inlineStr">
        <is>
          <t>34 GU 945</t>
        </is>
      </c>
      <c r="E802" s="115" t="inlineStr">
        <is>
          <t>YAKUP URUCU</t>
        </is>
      </c>
      <c r="F802" s="65" t="n">
        <v>473071</v>
      </c>
      <c r="G802" s="152" t="n">
        <v>45</v>
      </c>
      <c r="H802" s="60" t="n"/>
      <c r="I802" s="156">
        <f>+I801+(G802-H802)</f>
        <v/>
      </c>
      <c r="J802" s="60" t="n"/>
      <c r="K802" s="60" t="n"/>
      <c r="L802" s="158">
        <f>+H802*J802</f>
        <v/>
      </c>
      <c r="M802" s="159">
        <f>SUM(M801+K802-L802)</f>
        <v/>
      </c>
      <c r="N802" s="60" t="n"/>
      <c r="O802" s="60" t="n"/>
      <c r="P802" s="60" t="n"/>
      <c r="Q802" s="60" t="n"/>
      <c r="R802" s="60" t="n"/>
      <c r="S802" s="60" t="n"/>
      <c r="T802" s="60" t="n"/>
      <c r="U802" s="60" t="n"/>
      <c r="V802" s="60" t="n"/>
      <c r="W802" s="60" t="n"/>
      <c r="X802" s="60" t="n"/>
      <c r="Y802" s="60" t="n"/>
      <c r="Z802" s="60" t="n"/>
    </row>
    <row r="803">
      <c r="A803" s="151" t="n">
        <v>46088</v>
      </c>
      <c r="B803" s="70" t="n">
        <v>4465</v>
      </c>
      <c r="C803" s="115" t="inlineStr">
        <is>
          <t>SELİM İNŞAAT</t>
        </is>
      </c>
      <c r="D803" s="115" t="inlineStr">
        <is>
          <t>34 DKL 798</t>
        </is>
      </c>
      <c r="E803" s="115" t="inlineStr">
        <is>
          <t>HASAN BAYCA</t>
        </is>
      </c>
      <c r="F803" s="65" t="n">
        <v>81186</v>
      </c>
      <c r="G803" s="152" t="n">
        <v>396</v>
      </c>
      <c r="H803" s="60" t="n"/>
      <c r="I803" s="156">
        <f>+I802+(G803-H803)</f>
        <v/>
      </c>
      <c r="J803" s="60" t="n"/>
      <c r="K803" s="60" t="n"/>
      <c r="L803" s="158">
        <f>+H803*J803</f>
        <v/>
      </c>
      <c r="M803" s="159">
        <f>SUM(M802+K803-L803)</f>
        <v/>
      </c>
      <c r="N803" s="60" t="n"/>
      <c r="O803" s="60" t="n"/>
      <c r="P803" s="60" t="n"/>
      <c r="Q803" s="60" t="n"/>
      <c r="R803" s="60" t="n"/>
      <c r="S803" s="60" t="n"/>
      <c r="T803" s="60" t="n"/>
      <c r="U803" s="60" t="n"/>
      <c r="V803" s="60" t="n"/>
      <c r="W803" s="60" t="n"/>
      <c r="X803" s="60" t="n"/>
      <c r="Y803" s="60" t="n"/>
      <c r="Z803" s="60" t="n"/>
    </row>
    <row r="804">
      <c r="A804" s="151" t="n">
        <v>46088</v>
      </c>
      <c r="B804" s="70" t="n">
        <v>2592</v>
      </c>
      <c r="C804" s="115" t="inlineStr">
        <is>
          <t>SELİM İNŞAAT</t>
        </is>
      </c>
      <c r="D804" s="115" t="inlineStr">
        <is>
          <t>34 GER 028</t>
        </is>
      </c>
      <c r="E804" s="115" t="inlineStr">
        <is>
          <t>ABDÜLKERİM ERGEN</t>
        </is>
      </c>
      <c r="F804" s="65" t="n">
        <v>60490</v>
      </c>
      <c r="G804" s="152" t="n">
        <v>390</v>
      </c>
      <c r="H804" s="60" t="n"/>
      <c r="I804" s="156">
        <f>+I803+(G804-H804)</f>
        <v/>
      </c>
      <c r="J804" s="60" t="n"/>
      <c r="K804" s="60" t="n"/>
      <c r="L804" s="158">
        <f>+H804*J804</f>
        <v/>
      </c>
      <c r="M804" s="159">
        <f>SUM(M803+K804-L804)</f>
        <v/>
      </c>
      <c r="N804" s="60" t="n"/>
      <c r="O804" s="60" t="n"/>
      <c r="P804" s="60" t="n"/>
      <c r="Q804" s="60" t="n"/>
      <c r="R804" s="60" t="n"/>
      <c r="S804" s="60" t="n"/>
      <c r="T804" s="60" t="n"/>
      <c r="U804" s="60" t="n"/>
      <c r="V804" s="60" t="n"/>
      <c r="W804" s="60" t="n"/>
      <c r="X804" s="60" t="n"/>
      <c r="Y804" s="60" t="n"/>
      <c r="Z804" s="60" t="n"/>
    </row>
    <row r="805">
      <c r="A805" s="151" t="n">
        <v>46088</v>
      </c>
      <c r="B805" s="70" t="n">
        <v>2345</v>
      </c>
      <c r="C805" s="115" t="inlineStr">
        <is>
          <t>SELİM İNŞAAT</t>
        </is>
      </c>
      <c r="D805" s="115" t="inlineStr">
        <is>
          <t>34 DP 4161</t>
        </is>
      </c>
      <c r="E805" s="115" t="inlineStr">
        <is>
          <t>RIFAT KARATAY</t>
        </is>
      </c>
      <c r="F805" s="65" t="n">
        <v>320750</v>
      </c>
      <c r="G805" s="152" t="n">
        <v>395</v>
      </c>
      <c r="H805" s="60" t="n"/>
      <c r="I805" s="156">
        <f>+I804+(G805-H805)</f>
        <v/>
      </c>
      <c r="J805" s="60" t="n"/>
      <c r="K805" s="60" t="n"/>
      <c r="L805" s="158">
        <f>+H805*J805</f>
        <v/>
      </c>
      <c r="M805" s="159">
        <f>SUM(M804+K805-L805)</f>
        <v/>
      </c>
      <c r="N805" s="60" t="n"/>
      <c r="O805" s="60" t="n"/>
      <c r="P805" s="60" t="n"/>
      <c r="Q805" s="60" t="n"/>
      <c r="R805" s="60" t="n"/>
      <c r="S805" s="60" t="n"/>
      <c r="T805" s="60" t="n"/>
      <c r="U805" s="60" t="n"/>
      <c r="V805" s="60" t="n"/>
      <c r="W805" s="60" t="n"/>
      <c r="X805" s="60" t="n"/>
      <c r="Y805" s="60" t="n"/>
      <c r="Z805" s="60" t="n"/>
    </row>
    <row r="806">
      <c r="A806" s="151" t="n">
        <v>46088</v>
      </c>
      <c r="B806" s="70" t="n">
        <v>304</v>
      </c>
      <c r="C806" s="115" t="inlineStr">
        <is>
          <t>SELİM İNŞAAT</t>
        </is>
      </c>
      <c r="D806" s="115" t="inlineStr">
        <is>
          <t>34 GER 445</t>
        </is>
      </c>
      <c r="E806" s="115" t="inlineStr">
        <is>
          <t>MUSTAFA ERYİĞİT</t>
        </is>
      </c>
      <c r="F806" s="65" t="n">
        <v>57862</v>
      </c>
      <c r="G806" s="152" t="n">
        <v>390</v>
      </c>
      <c r="H806" s="60" t="n"/>
      <c r="I806" s="156">
        <f>+I805+(G806-H806)</f>
        <v/>
      </c>
      <c r="J806" s="60" t="n"/>
      <c r="K806" s="60" t="n"/>
      <c r="L806" s="158">
        <f>+H806*J806</f>
        <v/>
      </c>
      <c r="M806" s="159">
        <f>SUM(M805+K806-L806)</f>
        <v/>
      </c>
      <c r="N806" s="60" t="n"/>
      <c r="O806" s="60" t="n"/>
      <c r="P806" s="60" t="n"/>
      <c r="Q806" s="60" t="n"/>
      <c r="R806" s="60" t="n"/>
      <c r="S806" s="60" t="n"/>
      <c r="T806" s="60" t="n"/>
      <c r="U806" s="60" t="n"/>
      <c r="V806" s="60" t="n"/>
      <c r="W806" s="60" t="n"/>
      <c r="X806" s="60" t="n"/>
      <c r="Y806" s="60" t="n"/>
      <c r="Z806" s="60" t="n"/>
    </row>
    <row r="807">
      <c r="A807" s="151" t="n">
        <v>46088</v>
      </c>
      <c r="B807" s="70" t="n">
        <v>620</v>
      </c>
      <c r="C807" s="115" t="inlineStr">
        <is>
          <t>SELİM İNŞAAT</t>
        </is>
      </c>
      <c r="D807" s="115" t="inlineStr">
        <is>
          <t>34 BUR 461</t>
        </is>
      </c>
      <c r="E807" s="115" t="inlineStr">
        <is>
          <t xml:space="preserve">MUSTAFA ALBAYRAK </t>
        </is>
      </c>
      <c r="F807" s="65" t="n"/>
      <c r="G807" s="152" t="n">
        <v>60</v>
      </c>
      <c r="H807" s="60" t="n"/>
      <c r="I807" s="156">
        <f>+I806+(G807-H807)</f>
        <v/>
      </c>
      <c r="J807" s="60" t="n"/>
      <c r="K807" s="60" t="n"/>
      <c r="L807" s="158">
        <f>+H807*J807</f>
        <v/>
      </c>
      <c r="M807" s="159">
        <f>SUM(M806+K807-L807)</f>
        <v/>
      </c>
      <c r="N807" s="60" t="n"/>
      <c r="O807" s="60" t="n"/>
      <c r="P807" s="60" t="n"/>
      <c r="Q807" s="60" t="n"/>
      <c r="R807" s="60" t="n"/>
      <c r="S807" s="60" t="n"/>
      <c r="T807" s="60" t="n"/>
      <c r="U807" s="60" t="n"/>
      <c r="V807" s="60" t="n"/>
      <c r="W807" s="60" t="n"/>
      <c r="X807" s="60" t="n"/>
      <c r="Y807" s="60" t="n"/>
      <c r="Z807" s="60" t="n"/>
    </row>
    <row r="808">
      <c r="A808" s="151" t="n">
        <v>46088</v>
      </c>
      <c r="B808" s="70" t="n">
        <v>621</v>
      </c>
      <c r="C808" s="115" t="inlineStr">
        <is>
          <t>AHMET SELİM TEMHA</t>
        </is>
      </c>
      <c r="D808" s="115" t="inlineStr">
        <is>
          <t>34 PGT 251</t>
        </is>
      </c>
      <c r="E808" s="115" t="inlineStr">
        <is>
          <t>ERSOY SIĞINMAZ</t>
        </is>
      </c>
      <c r="F808" s="65" t="n"/>
      <c r="G808" s="152" t="n">
        <v>42</v>
      </c>
      <c r="H808" s="60" t="n"/>
      <c r="I808" s="156">
        <f>+I807+(G808-H808)</f>
        <v/>
      </c>
      <c r="J808" s="60" t="n"/>
      <c r="K808" s="60" t="n"/>
      <c r="L808" s="158">
        <f>+H808*J808</f>
        <v/>
      </c>
      <c r="M808" s="159">
        <f>SUM(M807+K808-L808)</f>
        <v/>
      </c>
      <c r="N808" s="60" t="n"/>
      <c r="O808" s="60" t="n"/>
      <c r="P808" s="60" t="n"/>
      <c r="Q808" s="60" t="n"/>
      <c r="R808" s="60" t="n"/>
      <c r="S808" s="60" t="n"/>
      <c r="T808" s="60" t="n"/>
      <c r="U808" s="60" t="n"/>
      <c r="V808" s="60" t="n"/>
      <c r="W808" s="60" t="n"/>
      <c r="X808" s="60" t="n"/>
      <c r="Y808" s="60" t="n"/>
      <c r="Z808" s="60" t="n"/>
    </row>
    <row r="809">
      <c r="A809" s="151" t="n">
        <v>46088</v>
      </c>
      <c r="B809" s="70" t="n">
        <v>622</v>
      </c>
      <c r="C809" s="115" t="inlineStr">
        <is>
          <t>MAHMUT VİNÇ</t>
        </is>
      </c>
      <c r="D809" s="115" t="inlineStr">
        <is>
          <t>34 AH 5401</t>
        </is>
      </c>
      <c r="E809" s="115" t="inlineStr">
        <is>
          <t>YASİN DEMİR</t>
        </is>
      </c>
      <c r="F809" s="65" t="n"/>
      <c r="G809" s="152" t="n">
        <v>66</v>
      </c>
      <c r="H809" s="60" t="n"/>
      <c r="I809" s="156">
        <f>+I808+(G809-H809)</f>
        <v/>
      </c>
      <c r="J809" s="60" t="n"/>
      <c r="K809" s="60" t="n"/>
      <c r="L809" s="158">
        <f>+H809*J809</f>
        <v/>
      </c>
      <c r="M809" s="159">
        <f>SUM(M808+K809-L809)</f>
        <v/>
      </c>
      <c r="N809" s="60" t="n"/>
      <c r="O809" s="60" t="n"/>
      <c r="P809" s="60" t="n"/>
      <c r="Q809" s="60" t="n"/>
      <c r="R809" s="60" t="n"/>
      <c r="S809" s="60" t="n"/>
      <c r="T809" s="60" t="n"/>
      <c r="U809" s="60" t="n"/>
      <c r="V809" s="60" t="n"/>
      <c r="W809" s="60" t="n"/>
      <c r="X809" s="60" t="n"/>
      <c r="Y809" s="60" t="n"/>
      <c r="Z809" s="60" t="n"/>
    </row>
    <row r="810">
      <c r="A810" s="151" t="n">
        <v>46088</v>
      </c>
      <c r="B810" s="70" t="n">
        <v>715</v>
      </c>
      <c r="C810" s="115" t="inlineStr">
        <is>
          <t>METİN ERYİĞİT</t>
        </is>
      </c>
      <c r="D810" s="115" t="inlineStr">
        <is>
          <t>34 EGS 013</t>
        </is>
      </c>
      <c r="E810" s="115" t="inlineStr">
        <is>
          <t>UĞUR DUMAN</t>
        </is>
      </c>
      <c r="F810" s="65" t="n"/>
      <c r="G810" s="152" t="n">
        <v>388</v>
      </c>
      <c r="H810" s="60" t="n"/>
      <c r="I810" s="156">
        <f>+I809+(G810-H810)</f>
        <v/>
      </c>
      <c r="J810" s="60" t="n"/>
      <c r="K810" s="60" t="n"/>
      <c r="L810" s="158">
        <f>+H810*J810</f>
        <v/>
      </c>
      <c r="M810" s="159">
        <f>SUM(M809+K810-L810)</f>
        <v/>
      </c>
      <c r="N810" s="60" t="n"/>
      <c r="O810" s="60" t="n"/>
      <c r="P810" s="60" t="n"/>
      <c r="Q810" s="60" t="n"/>
      <c r="R810" s="60" t="n"/>
      <c r="S810" s="60" t="n"/>
      <c r="T810" s="60" t="n"/>
      <c r="U810" s="60" t="n"/>
      <c r="V810" s="60" t="n"/>
      <c r="W810" s="60" t="n"/>
      <c r="X810" s="60" t="n"/>
      <c r="Y810" s="60" t="n"/>
      <c r="Z810" s="60" t="n"/>
    </row>
    <row r="811">
      <c r="A811" s="151" t="n">
        <v>46088</v>
      </c>
      <c r="B811" s="70" t="n">
        <v>449</v>
      </c>
      <c r="C811" s="115" t="inlineStr">
        <is>
          <t>MEGA</t>
        </is>
      </c>
      <c r="D811" s="115" t="inlineStr">
        <is>
          <t>SM300</t>
        </is>
      </c>
      <c r="E811" s="115" t="inlineStr">
        <is>
          <t>TEKİN</t>
        </is>
      </c>
      <c r="F811" s="65" t="n"/>
      <c r="G811" s="152" t="n">
        <v>427</v>
      </c>
      <c r="H811" s="60" t="n"/>
      <c r="I811" s="156">
        <f>+I810+(G811-H811)</f>
        <v/>
      </c>
      <c r="J811" s="60" t="n"/>
      <c r="K811" s="60" t="n"/>
      <c r="L811" s="158">
        <f>+H811*J811</f>
        <v/>
      </c>
      <c r="M811" s="159">
        <f>SUM(M810+K811-L811)</f>
        <v/>
      </c>
      <c r="N811" s="60" t="n"/>
      <c r="O811" s="60" t="n"/>
      <c r="P811" s="60" t="n"/>
      <c r="Q811" s="60" t="n"/>
      <c r="R811" s="60" t="n"/>
      <c r="S811" s="60" t="n"/>
      <c r="T811" s="60" t="n"/>
      <c r="U811" s="60" t="n"/>
      <c r="V811" s="60" t="n"/>
      <c r="W811" s="60" t="n"/>
      <c r="X811" s="60" t="n"/>
      <c r="Y811" s="60" t="n"/>
      <c r="Z811" s="60" t="n"/>
    </row>
    <row r="812">
      <c r="A812" s="151" t="n">
        <v>46088</v>
      </c>
      <c r="B812" s="70" t="n">
        <v>450</v>
      </c>
      <c r="C812" s="115" t="inlineStr">
        <is>
          <t>KOZMO</t>
        </is>
      </c>
      <c r="D812" s="115" t="inlineStr">
        <is>
          <t>KAWAZAKİ</t>
        </is>
      </c>
      <c r="E812" s="115" t="inlineStr">
        <is>
          <t>RAMAZAN</t>
        </is>
      </c>
      <c r="F812" s="65" t="n"/>
      <c r="G812" s="152" t="n">
        <v>195</v>
      </c>
      <c r="H812" s="60" t="n"/>
      <c r="I812" s="156">
        <f>+I811+(G812-H812)</f>
        <v/>
      </c>
      <c r="J812" s="60" t="n"/>
      <c r="K812" s="60" t="n"/>
      <c r="L812" s="158">
        <f>+H812*J812</f>
        <v/>
      </c>
      <c r="M812" s="159">
        <f>SUM(M811+K812-L812)</f>
        <v/>
      </c>
      <c r="N812" s="60" t="n"/>
      <c r="O812" s="60" t="n"/>
      <c r="P812" s="60" t="n"/>
      <c r="Q812" s="60" t="n"/>
      <c r="R812" s="60" t="n"/>
      <c r="S812" s="60" t="n"/>
      <c r="T812" s="60" t="n"/>
      <c r="U812" s="60" t="n"/>
      <c r="V812" s="60" t="n"/>
      <c r="W812" s="60" t="n"/>
      <c r="X812" s="60" t="n"/>
      <c r="Y812" s="60" t="n"/>
      <c r="Z812" s="60" t="n"/>
    </row>
    <row r="813">
      <c r="A813" s="151" t="n">
        <v>46088</v>
      </c>
      <c r="B813" s="70" t="n">
        <v>451</v>
      </c>
      <c r="C813" s="115" t="inlineStr">
        <is>
          <t>MEGA</t>
        </is>
      </c>
      <c r="D813" s="115" t="inlineStr">
        <is>
          <t>SM370</t>
        </is>
      </c>
      <c r="E813" s="115" t="inlineStr">
        <is>
          <t>TEKİN</t>
        </is>
      </c>
      <c r="F813" s="65" t="n"/>
      <c r="G813" s="152" t="n">
        <v>570</v>
      </c>
      <c r="H813" s="60" t="n"/>
      <c r="I813" s="156">
        <f>+I812+(G813-H813)</f>
        <v/>
      </c>
      <c r="J813" s="60" t="n"/>
      <c r="K813" s="60" t="n"/>
      <c r="L813" s="158">
        <f>+H813*J813</f>
        <v/>
      </c>
      <c r="M813" s="159">
        <f>SUM(M812+K813-L813)</f>
        <v/>
      </c>
      <c r="N813" s="60" t="n"/>
      <c r="O813" s="60" t="n"/>
      <c r="P813" s="60" t="n"/>
      <c r="Q813" s="60" t="n"/>
      <c r="R813" s="60" t="n"/>
      <c r="S813" s="60" t="n"/>
      <c r="T813" s="60" t="n"/>
      <c r="U813" s="60" t="n"/>
      <c r="V813" s="60" t="n"/>
      <c r="W813" s="60" t="n"/>
      <c r="X813" s="60" t="n"/>
      <c r="Y813" s="60" t="n"/>
      <c r="Z813" s="60" t="n"/>
    </row>
    <row r="814">
      <c r="A814" s="151" t="n">
        <v>46088</v>
      </c>
      <c r="B814" s="70" t="n">
        <v>452</v>
      </c>
      <c r="C814" s="115" t="inlineStr">
        <is>
          <t>KOZMO</t>
        </is>
      </c>
      <c r="D814" s="115" t="inlineStr">
        <is>
          <t>HİTACHİ</t>
        </is>
      </c>
      <c r="E814" s="115" t="inlineStr">
        <is>
          <t>TURGUT</t>
        </is>
      </c>
      <c r="F814" s="65" t="n"/>
      <c r="G814" s="152" t="n">
        <v>516</v>
      </c>
      <c r="H814" s="60" t="n"/>
      <c r="I814" s="156">
        <f>+I813+(G814-H814)</f>
        <v/>
      </c>
      <c r="J814" s="60" t="n"/>
      <c r="K814" s="60" t="n"/>
      <c r="L814" s="158">
        <f>+H814*J814</f>
        <v/>
      </c>
      <c r="M814" s="159">
        <f>SUM(M813+K814-L814)</f>
        <v/>
      </c>
      <c r="N814" s="60" t="n"/>
      <c r="O814" s="60" t="n"/>
      <c r="P814" s="60" t="n"/>
      <c r="Q814" s="60" t="n"/>
      <c r="R814" s="60" t="n"/>
      <c r="S814" s="60" t="n"/>
      <c r="T814" s="60" t="n"/>
      <c r="U814" s="60" t="n"/>
      <c r="V814" s="60" t="n"/>
      <c r="W814" s="60" t="n"/>
      <c r="X814" s="60" t="n"/>
      <c r="Y814" s="60" t="n"/>
      <c r="Z814" s="60" t="n"/>
    </row>
    <row r="815">
      <c r="A815" s="151" t="n">
        <v>46089</v>
      </c>
      <c r="B815" s="70" t="n">
        <v>2981</v>
      </c>
      <c r="C815" s="115" t="inlineStr">
        <is>
          <t>SELİM İNŞAAT</t>
        </is>
      </c>
      <c r="D815" s="115" t="inlineStr">
        <is>
          <t>34 DFE 454</t>
        </is>
      </c>
      <c r="E815" s="115" t="inlineStr">
        <is>
          <t>HÜSEYİN ALIN</t>
        </is>
      </c>
      <c r="F815" s="65" t="n">
        <v>174890</v>
      </c>
      <c r="G815" s="152" t="n">
        <v>400</v>
      </c>
      <c r="H815" s="60" t="n"/>
      <c r="I815" s="156">
        <f>+I814+(G815-H815)</f>
        <v/>
      </c>
      <c r="J815" s="60" t="n"/>
      <c r="K815" s="60" t="n"/>
      <c r="L815" s="158">
        <f>+H815*J815</f>
        <v/>
      </c>
      <c r="M815" s="159">
        <f>SUM(M814+K815-L815)</f>
        <v/>
      </c>
      <c r="N815" s="60" t="n"/>
      <c r="O815" s="60" t="n"/>
      <c r="P815" s="60" t="n"/>
      <c r="Q815" s="60" t="n"/>
      <c r="R815" s="60" t="n"/>
      <c r="S815" s="60" t="n"/>
      <c r="T815" s="60" t="n"/>
      <c r="U815" s="60" t="n"/>
      <c r="V815" s="60" t="n"/>
      <c r="W815" s="60" t="n"/>
      <c r="X815" s="60" t="n"/>
      <c r="Y815" s="60" t="n"/>
      <c r="Z815" s="60" t="n"/>
    </row>
    <row r="816">
      <c r="A816" s="151" t="n">
        <v>46089</v>
      </c>
      <c r="B816" s="70" t="n">
        <v>3729</v>
      </c>
      <c r="C816" s="115" t="inlineStr">
        <is>
          <t>SELİM İNŞAAT</t>
        </is>
      </c>
      <c r="D816" s="115" t="inlineStr">
        <is>
          <t>34 DKL 866</t>
        </is>
      </c>
      <c r="E816" s="115" t="inlineStr">
        <is>
          <t>SELİMCAN ÖNVER</t>
        </is>
      </c>
      <c r="F816" s="65" t="n">
        <v>82574</v>
      </c>
      <c r="G816" s="152" t="n">
        <v>385</v>
      </c>
      <c r="H816" s="60" t="n"/>
      <c r="I816" s="156">
        <f>+I815+(G816-H816)</f>
        <v/>
      </c>
      <c r="J816" s="60" t="n"/>
      <c r="K816" s="60" t="n"/>
      <c r="L816" s="158">
        <f>+H816*J816</f>
        <v/>
      </c>
      <c r="M816" s="159">
        <f>SUM(M815+K816-L816)</f>
        <v/>
      </c>
      <c r="N816" s="60" t="n"/>
      <c r="O816" s="60" t="n"/>
      <c r="P816" s="60" t="n"/>
      <c r="Q816" s="60" t="n"/>
      <c r="R816" s="60" t="n"/>
      <c r="S816" s="60" t="n"/>
      <c r="T816" s="60" t="n"/>
      <c r="U816" s="60" t="n"/>
      <c r="V816" s="60" t="n"/>
      <c r="W816" s="60" t="n"/>
      <c r="X816" s="60" t="n"/>
      <c r="Y816" s="60" t="n"/>
      <c r="Z816" s="60" t="n"/>
    </row>
    <row r="817">
      <c r="A817" s="151" t="n">
        <v>46089</v>
      </c>
      <c r="B817" s="70" t="n">
        <v>453</v>
      </c>
      <c r="C817" s="115" t="inlineStr">
        <is>
          <t>HASALTUN</t>
        </is>
      </c>
      <c r="D817" s="115" t="inlineStr">
        <is>
          <t>SM350</t>
        </is>
      </c>
      <c r="E817" s="115" t="inlineStr">
        <is>
          <t>TEVFİK</t>
        </is>
      </c>
      <c r="F817" s="65" t="n"/>
      <c r="G817" s="152" t="n">
        <v>510</v>
      </c>
      <c r="H817" s="60" t="n"/>
      <c r="I817" s="156">
        <f>+I816+(G817-H817)</f>
        <v/>
      </c>
      <c r="J817" s="60" t="n"/>
      <c r="K817" s="60" t="n"/>
      <c r="L817" s="158">
        <f>+H817*J817</f>
        <v/>
      </c>
      <c r="M817" s="159">
        <f>SUM(M816+K817-L817)</f>
        <v/>
      </c>
      <c r="N817" s="60" t="n"/>
      <c r="O817" s="60" t="n"/>
      <c r="P817" s="60" t="n"/>
      <c r="Q817" s="60" t="n"/>
      <c r="R817" s="60" t="n"/>
      <c r="S817" s="60" t="n"/>
      <c r="T817" s="60" t="n"/>
      <c r="U817" s="60" t="n"/>
      <c r="V817" s="60" t="n"/>
      <c r="W817" s="60" t="n"/>
      <c r="X817" s="60" t="n"/>
      <c r="Y817" s="60" t="n"/>
      <c r="Z817" s="60" t="n"/>
    </row>
    <row r="818">
      <c r="A818" s="151" t="n">
        <v>46089</v>
      </c>
      <c r="B818" s="70" t="n">
        <v>454</v>
      </c>
      <c r="C818" s="115" t="inlineStr">
        <is>
          <t>HASALTUN</t>
        </is>
      </c>
      <c r="D818" s="115" t="inlineStr">
        <is>
          <t>SİLİNDİR</t>
        </is>
      </c>
      <c r="E818" s="115" t="inlineStr">
        <is>
          <t>ÖNER</t>
        </is>
      </c>
      <c r="F818" s="65" t="n"/>
      <c r="G818" s="152" t="n">
        <v>250</v>
      </c>
      <c r="H818" s="60" t="n"/>
      <c r="I818" s="156">
        <f>+I817+(G818-H818)</f>
        <v/>
      </c>
      <c r="J818" s="60" t="n"/>
      <c r="K818" s="60" t="n"/>
      <c r="L818" s="158">
        <f>+H818*J818</f>
        <v/>
      </c>
      <c r="M818" s="159">
        <f>SUM(M817+K818-L818)</f>
        <v/>
      </c>
      <c r="N818" s="60" t="n"/>
      <c r="O818" s="60" t="n"/>
      <c r="P818" s="60" t="n"/>
      <c r="Q818" s="60" t="n"/>
      <c r="R818" s="60" t="n"/>
      <c r="S818" s="60" t="n"/>
      <c r="T818" s="60" t="n"/>
      <c r="U818" s="60" t="n"/>
      <c r="V818" s="60" t="n"/>
      <c r="W818" s="60" t="n"/>
      <c r="X818" s="60" t="n"/>
      <c r="Y818" s="60" t="n"/>
      <c r="Z818" s="60" t="n"/>
    </row>
    <row r="819">
      <c r="A819" s="151" t="n">
        <v>46090</v>
      </c>
      <c r="B819" s="70" t="n">
        <v>1344</v>
      </c>
      <c r="C819" s="115" t="inlineStr">
        <is>
          <t>SELİM İNŞAAT</t>
        </is>
      </c>
      <c r="D819" s="115" t="inlineStr">
        <is>
          <t>34 GVZ 199</t>
        </is>
      </c>
      <c r="E819" s="115" t="inlineStr">
        <is>
          <t>HÜSEYİN DENİZ</t>
        </is>
      </c>
      <c r="F819" s="65" t="n">
        <v>228203</v>
      </c>
      <c r="G819" s="152" t="n">
        <v>470</v>
      </c>
      <c r="H819" s="60" t="n"/>
      <c r="I819" s="156">
        <f>+I818+(G819-H819)</f>
        <v/>
      </c>
      <c r="J819" s="60" t="n"/>
      <c r="K819" s="60" t="n"/>
      <c r="L819" s="158">
        <f>+H819*J819</f>
        <v/>
      </c>
      <c r="M819" s="159">
        <f>SUM(M818+K819-L819)</f>
        <v/>
      </c>
      <c r="N819" s="60" t="n"/>
      <c r="O819" s="60" t="n"/>
      <c r="P819" s="60" t="n"/>
      <c r="Q819" s="60" t="n"/>
      <c r="R819" s="60" t="n"/>
      <c r="S819" s="60" t="n"/>
      <c r="T819" s="60" t="n"/>
      <c r="U819" s="60" t="n"/>
      <c r="V819" s="60" t="n"/>
      <c r="W819" s="60" t="n"/>
      <c r="X819" s="60" t="n"/>
      <c r="Y819" s="60" t="n"/>
      <c r="Z819" s="60" t="n"/>
    </row>
    <row r="820">
      <c r="A820" s="151" t="n">
        <v>46090</v>
      </c>
      <c r="B820" s="70" t="n">
        <v>4770</v>
      </c>
      <c r="C820" s="115" t="inlineStr">
        <is>
          <t>SELİM İNŞAAT</t>
        </is>
      </c>
      <c r="D820" s="115" t="inlineStr">
        <is>
          <t>34 DGP 137</t>
        </is>
      </c>
      <c r="E820" s="115" t="inlineStr">
        <is>
          <t>YASİN ÇATAKLI</t>
        </is>
      </c>
      <c r="F820" s="65" t="n">
        <v>476661</v>
      </c>
      <c r="G820" s="152" t="n">
        <v>482</v>
      </c>
      <c r="H820" s="60" t="n"/>
      <c r="I820" s="156">
        <f>+I819+(G820-H820)</f>
        <v/>
      </c>
      <c r="J820" s="60" t="n"/>
      <c r="K820" s="60" t="n"/>
      <c r="L820" s="158">
        <f>+H820*J820</f>
        <v/>
      </c>
      <c r="M820" s="159">
        <f>SUM(M819+K820-L820)</f>
        <v/>
      </c>
      <c r="N820" s="60" t="n"/>
      <c r="O820" s="60" t="n"/>
      <c r="P820" s="60" t="n"/>
      <c r="Q820" s="60" t="n"/>
      <c r="R820" s="60" t="n"/>
      <c r="S820" s="60" t="n"/>
      <c r="T820" s="60" t="n"/>
      <c r="U820" s="60" t="n"/>
      <c r="V820" s="60" t="n"/>
      <c r="W820" s="60" t="n"/>
      <c r="X820" s="60" t="n"/>
      <c r="Y820" s="60" t="n"/>
      <c r="Z820" s="60" t="n"/>
    </row>
    <row r="821">
      <c r="A821" s="151" t="n">
        <v>46090</v>
      </c>
      <c r="B821" s="70" t="n">
        <v>15</v>
      </c>
      <c r="C821" s="115" t="inlineStr">
        <is>
          <t>SELİM İNŞAAT</t>
        </is>
      </c>
      <c r="D821" s="115" t="inlineStr">
        <is>
          <t xml:space="preserve">34 GVZ 268 </t>
        </is>
      </c>
      <c r="E821" s="115" t="inlineStr">
        <is>
          <t>KERİM KARAMAN</t>
        </is>
      </c>
      <c r="F821" s="65" t="n">
        <v>253184</v>
      </c>
      <c r="G821" s="152" t="n">
        <v>240</v>
      </c>
      <c r="H821" s="60" t="n"/>
      <c r="I821" s="156">
        <f>+I820+(G821-H821)</f>
        <v/>
      </c>
      <c r="J821" s="60" t="n"/>
      <c r="K821" s="60" t="n"/>
      <c r="L821" s="158">
        <f>+H821*J821</f>
        <v/>
      </c>
      <c r="M821" s="159">
        <f>SUM(M820+K821-L821)</f>
        <v/>
      </c>
      <c r="N821" s="60" t="n"/>
      <c r="O821" s="60" t="n"/>
      <c r="P821" s="60" t="n"/>
      <c r="Q821" s="60" t="n"/>
      <c r="R821" s="60" t="n"/>
      <c r="S821" s="60" t="n"/>
      <c r="T821" s="60" t="n"/>
      <c r="U821" s="60" t="n"/>
      <c r="V821" s="60" t="n"/>
      <c r="W821" s="60" t="n"/>
      <c r="X821" s="60" t="n"/>
      <c r="Y821" s="60" t="n"/>
      <c r="Z821" s="60" t="n"/>
    </row>
    <row r="822">
      <c r="A822" s="151" t="n">
        <v>46090</v>
      </c>
      <c r="B822" s="70" t="n">
        <v>952</v>
      </c>
      <c r="C822" s="115" t="inlineStr">
        <is>
          <t>SELİM İNŞAAT</t>
        </is>
      </c>
      <c r="D822" s="115" t="inlineStr">
        <is>
          <t>34 DSN 636</t>
        </is>
      </c>
      <c r="E822" s="115" t="inlineStr">
        <is>
          <t>SEZGİN KOCAGİL</t>
        </is>
      </c>
      <c r="F822" s="65" t="n">
        <v>434495</v>
      </c>
      <c r="G822" s="152" t="n">
        <v>448</v>
      </c>
      <c r="H822" s="60" t="n"/>
      <c r="I822" s="156">
        <f>+I821+(G822-H822)</f>
        <v/>
      </c>
      <c r="J822" s="60" t="n"/>
      <c r="K822" s="60" t="n"/>
      <c r="L822" s="158">
        <f>+H822*J822</f>
        <v/>
      </c>
      <c r="M822" s="159">
        <f>SUM(M821+K822-L822)</f>
        <v/>
      </c>
      <c r="N822" s="60" t="n"/>
      <c r="O822" s="60" t="n"/>
      <c r="P822" s="60" t="n"/>
      <c r="Q822" s="60" t="n"/>
      <c r="R822" s="60" t="n"/>
      <c r="S822" s="60" t="n"/>
      <c r="T822" s="60" t="n"/>
      <c r="U822" s="60" t="n"/>
      <c r="V822" s="60" t="n"/>
      <c r="W822" s="60" t="n"/>
      <c r="X822" s="60" t="n"/>
      <c r="Y822" s="60" t="n"/>
      <c r="Z822" s="60" t="n"/>
    </row>
    <row r="823">
      <c r="A823" s="151" t="n">
        <v>46090</v>
      </c>
      <c r="B823" s="70" t="n">
        <v>4171</v>
      </c>
      <c r="C823" s="115" t="inlineStr">
        <is>
          <t>SELİM İNŞAAT</t>
        </is>
      </c>
      <c r="D823" s="115" t="inlineStr">
        <is>
          <t>34 FBR 748</t>
        </is>
      </c>
      <c r="E823" s="115" t="inlineStr">
        <is>
          <t>YAŞAR ÖZKAYA</t>
        </is>
      </c>
      <c r="F823" s="65" t="n">
        <v>325515</v>
      </c>
      <c r="G823" s="152" t="n">
        <v>545</v>
      </c>
      <c r="H823" s="60" t="n"/>
      <c r="I823" s="156">
        <f>+I822+(G823-H823)</f>
        <v/>
      </c>
      <c r="J823" s="60" t="n"/>
      <c r="K823" s="60" t="n"/>
      <c r="L823" s="158">
        <f>+H823*J823</f>
        <v/>
      </c>
      <c r="M823" s="159">
        <f>SUM(M822+K823-L823)</f>
        <v/>
      </c>
      <c r="N823" s="60" t="n"/>
      <c r="O823" s="60" t="n"/>
      <c r="P823" s="60" t="n"/>
      <c r="Q823" s="60" t="n"/>
      <c r="R823" s="60" t="n"/>
      <c r="S823" s="60" t="n"/>
      <c r="T823" s="60" t="n"/>
      <c r="U823" s="60" t="n"/>
      <c r="V823" s="60" t="n"/>
      <c r="W823" s="60" t="n"/>
      <c r="X823" s="60" t="n"/>
      <c r="Y823" s="60" t="n"/>
      <c r="Z823" s="60" t="n"/>
    </row>
    <row r="824">
      <c r="A824" s="151" t="n">
        <v>46090</v>
      </c>
      <c r="B824" s="70" t="n">
        <v>3431</v>
      </c>
      <c r="C824" s="115" t="inlineStr">
        <is>
          <t>SELİM İNŞAAT</t>
        </is>
      </c>
      <c r="D824" s="115" t="inlineStr">
        <is>
          <t>34 GVZ 310</t>
        </is>
      </c>
      <c r="E824" s="115" t="inlineStr">
        <is>
          <t>CELAL YÜZBAŞI</t>
        </is>
      </c>
      <c r="F824" s="65" t="n">
        <v>249315</v>
      </c>
      <c r="G824" s="152" t="n">
        <v>460</v>
      </c>
      <c r="H824" s="60" t="n"/>
      <c r="I824" s="156">
        <f>+I823+(G824-H824)</f>
        <v/>
      </c>
      <c r="J824" s="60" t="n"/>
      <c r="K824" s="60" t="n"/>
      <c r="L824" s="158">
        <f>+H824*J824</f>
        <v/>
      </c>
      <c r="M824" s="159">
        <f>SUM(M823+K824-L824)</f>
        <v/>
      </c>
      <c r="N824" s="60" t="n"/>
      <c r="O824" s="60" t="n"/>
      <c r="P824" s="60" t="n"/>
      <c r="Q824" s="60" t="n"/>
      <c r="R824" s="60" t="n"/>
      <c r="S824" s="60" t="n"/>
      <c r="T824" s="60" t="n"/>
      <c r="U824" s="60" t="n"/>
      <c r="V824" s="60" t="n"/>
      <c r="W824" s="60" t="n"/>
      <c r="X824" s="60" t="n"/>
      <c r="Y824" s="60" t="n"/>
      <c r="Z824" s="60" t="n"/>
    </row>
    <row r="825">
      <c r="A825" s="151" t="n">
        <v>46090</v>
      </c>
      <c r="B825" s="70" t="n">
        <v>4118</v>
      </c>
      <c r="C825" s="115" t="inlineStr">
        <is>
          <t>SELİM İNŞAAT</t>
        </is>
      </c>
      <c r="D825" s="115" t="inlineStr">
        <is>
          <t>34 EDB 659</t>
        </is>
      </c>
      <c r="E825" s="115" t="inlineStr">
        <is>
          <t>YASİN ÇATAKLI</t>
        </is>
      </c>
      <c r="F825" s="65" t="n">
        <v>391830</v>
      </c>
      <c r="G825" s="152" t="n">
        <v>553</v>
      </c>
      <c r="H825" s="60" t="n"/>
      <c r="I825" s="156">
        <f>+I824+(G825-H825)</f>
        <v/>
      </c>
      <c r="J825" s="60" t="n"/>
      <c r="K825" s="60" t="n"/>
      <c r="L825" s="158">
        <f>+H825*J825</f>
        <v/>
      </c>
      <c r="M825" s="159">
        <f>SUM(M824+K825-L825)</f>
        <v/>
      </c>
      <c r="N825" s="60" t="n"/>
      <c r="O825" s="60" t="n"/>
      <c r="P825" s="60" t="n"/>
      <c r="Q825" s="60" t="n"/>
      <c r="R825" s="60" t="n"/>
      <c r="S825" s="60" t="n"/>
      <c r="T825" s="60" t="n"/>
      <c r="U825" s="60" t="n"/>
      <c r="V825" s="60" t="n"/>
      <c r="W825" s="60" t="n"/>
      <c r="X825" s="60" t="n"/>
      <c r="Y825" s="60" t="n"/>
      <c r="Z825" s="60" t="n"/>
    </row>
    <row r="826">
      <c r="A826" s="151" t="n">
        <v>46090</v>
      </c>
      <c r="B826" s="70" t="n">
        <v>3227</v>
      </c>
      <c r="C826" s="115" t="inlineStr">
        <is>
          <t>SELİM İNŞAAT</t>
        </is>
      </c>
      <c r="D826" s="115" t="inlineStr">
        <is>
          <t>34 EGR 736</t>
        </is>
      </c>
      <c r="E826" s="115" t="inlineStr">
        <is>
          <t>HAKAN ÇAVUŞOĞLU</t>
        </is>
      </c>
      <c r="F826" s="65" t="n">
        <v>440898</v>
      </c>
      <c r="G826" s="152" t="n">
        <v>515</v>
      </c>
      <c r="H826" s="60" t="n"/>
      <c r="I826" s="156">
        <f>+I825+(G826-H826)</f>
        <v/>
      </c>
      <c r="J826" s="60" t="n"/>
      <c r="K826" s="60" t="n"/>
      <c r="L826" s="158">
        <f>+H826*J826</f>
        <v/>
      </c>
      <c r="M826" s="159">
        <f>SUM(M825+K826-L826)</f>
        <v/>
      </c>
      <c r="N826" s="60" t="n"/>
      <c r="O826" s="60" t="n"/>
      <c r="P826" s="60" t="n"/>
      <c r="Q826" s="60" t="n"/>
      <c r="R826" s="60" t="n"/>
      <c r="S826" s="60" t="n"/>
      <c r="T826" s="60" t="n"/>
      <c r="U826" s="60" t="n"/>
      <c r="V826" s="60" t="n"/>
      <c r="W826" s="60" t="n"/>
      <c r="X826" s="60" t="n"/>
      <c r="Y826" s="60" t="n"/>
      <c r="Z826" s="60" t="n"/>
    </row>
    <row r="827">
      <c r="A827" s="151" t="n">
        <v>46090</v>
      </c>
      <c r="B827" s="70" t="n">
        <v>4975</v>
      </c>
      <c r="C827" s="115" t="inlineStr">
        <is>
          <t>SELİM İNŞAAT</t>
        </is>
      </c>
      <c r="D827" s="115" t="inlineStr">
        <is>
          <t>34 GVZ 745</t>
        </is>
      </c>
      <c r="E827" s="115" t="inlineStr">
        <is>
          <t>MURAT DEMİRBAĞ</t>
        </is>
      </c>
      <c r="F827" s="65" t="n">
        <v>249119</v>
      </c>
      <c r="G827" s="152" t="n">
        <v>274</v>
      </c>
      <c r="H827" s="60" t="n"/>
      <c r="I827" s="156">
        <f>+I826+(G827-H827)</f>
        <v/>
      </c>
      <c r="J827" s="60" t="n"/>
      <c r="K827" s="60" t="n"/>
      <c r="L827" s="158">
        <f>+H827*J827</f>
        <v/>
      </c>
      <c r="M827" s="159">
        <f>SUM(M826+K827-L827)</f>
        <v/>
      </c>
      <c r="N827" s="60" t="n"/>
      <c r="O827" s="60" t="n"/>
      <c r="P827" s="60" t="n"/>
      <c r="Q827" s="60" t="n"/>
      <c r="R827" s="60" t="n"/>
      <c r="S827" s="60" t="n"/>
      <c r="T827" s="60" t="n"/>
      <c r="U827" s="60" t="n"/>
      <c r="V827" s="60" t="n"/>
      <c r="W827" s="60" t="n"/>
      <c r="X827" s="60" t="n"/>
      <c r="Y827" s="60" t="n"/>
      <c r="Z827" s="60" t="n"/>
    </row>
    <row r="828">
      <c r="A828" s="151" t="n">
        <v>46090</v>
      </c>
      <c r="B828" s="70" t="n">
        <v>4880</v>
      </c>
      <c r="C828" s="115" t="inlineStr">
        <is>
          <t>SELİM İNŞAAT</t>
        </is>
      </c>
      <c r="D828" s="115" t="inlineStr">
        <is>
          <t>34 FBR 705</t>
        </is>
      </c>
      <c r="E828" s="115" t="inlineStr">
        <is>
          <t>MURAT SARI</t>
        </is>
      </c>
      <c r="F828" s="65" t="n">
        <v>364030</v>
      </c>
      <c r="G828" s="152" t="n">
        <v>293</v>
      </c>
      <c r="H828" s="60" t="n"/>
      <c r="I828" s="156">
        <f>+I827+(G828-H828)</f>
        <v/>
      </c>
      <c r="J828" s="60" t="n"/>
      <c r="K828" s="60" t="n"/>
      <c r="L828" s="158">
        <f>+H828*J828</f>
        <v/>
      </c>
      <c r="M828" s="159">
        <f>SUM(M827+K828-L828)</f>
        <v/>
      </c>
      <c r="N828" s="60" t="n"/>
      <c r="O828" s="60" t="n"/>
      <c r="P828" s="60" t="n"/>
      <c r="Q828" s="60" t="n"/>
      <c r="R828" s="60" t="n"/>
      <c r="S828" s="60" t="n"/>
      <c r="T828" s="60" t="n"/>
      <c r="U828" s="60" t="n"/>
      <c r="V828" s="60" t="n"/>
      <c r="W828" s="60" t="n"/>
      <c r="X828" s="60" t="n"/>
      <c r="Y828" s="60" t="n"/>
      <c r="Z828" s="60" t="n"/>
    </row>
    <row r="829">
      <c r="A829" s="151" t="n">
        <v>46090</v>
      </c>
      <c r="B829" s="70" t="n">
        <v>517</v>
      </c>
      <c r="C829" s="115" t="inlineStr">
        <is>
          <t>SELİM İNŞAAT</t>
        </is>
      </c>
      <c r="D829" s="115" t="inlineStr">
        <is>
          <t>34 EGR 737</t>
        </is>
      </c>
      <c r="E829" s="115" t="inlineStr">
        <is>
          <t>CEM MUHTAR</t>
        </is>
      </c>
      <c r="F829" s="65" t="n">
        <v>463107</v>
      </c>
      <c r="G829" s="152" t="n">
        <v>540</v>
      </c>
      <c r="H829" s="60" t="n"/>
      <c r="I829" s="156">
        <f>+I828+(G829-H829)</f>
        <v/>
      </c>
      <c r="J829" s="60" t="n"/>
      <c r="K829" s="60" t="n"/>
      <c r="L829" s="158">
        <f>+H829*J829</f>
        <v/>
      </c>
      <c r="M829" s="159">
        <f>SUM(M828+K829-L829)</f>
        <v/>
      </c>
      <c r="N829" s="60" t="n"/>
      <c r="O829" s="60" t="n"/>
      <c r="P829" s="60" t="n"/>
      <c r="Q829" s="60" t="n"/>
      <c r="R829" s="60" t="n"/>
      <c r="S829" s="60" t="n"/>
      <c r="T829" s="60" t="n"/>
      <c r="U829" s="60" t="n"/>
      <c r="V829" s="60" t="n"/>
      <c r="W829" s="60" t="n"/>
      <c r="X829" s="60" t="n"/>
      <c r="Y829" s="60" t="n"/>
      <c r="Z829" s="60" t="n"/>
    </row>
    <row r="830">
      <c r="A830" s="151" t="n">
        <v>46090</v>
      </c>
      <c r="B830" s="70" t="n">
        <v>3834</v>
      </c>
      <c r="C830" s="115" t="inlineStr">
        <is>
          <t>SELİM İNŞAAT</t>
        </is>
      </c>
      <c r="D830" s="115" t="inlineStr">
        <is>
          <t>34 GYZ 635</t>
        </is>
      </c>
      <c r="E830" s="115" t="inlineStr">
        <is>
          <t>ADEM DENİZ</t>
        </is>
      </c>
      <c r="F830" s="65" t="n">
        <v>228812</v>
      </c>
      <c r="G830" s="152" t="n">
        <v>549</v>
      </c>
      <c r="H830" s="60" t="n"/>
      <c r="I830" s="156">
        <f>+I829+(G830-H830)</f>
        <v/>
      </c>
      <c r="J830" s="60" t="n"/>
      <c r="K830" s="60" t="n"/>
      <c r="L830" s="158">
        <f>+H830*J830</f>
        <v/>
      </c>
      <c r="M830" s="159">
        <f>SUM(M829+K830-L830)</f>
        <v/>
      </c>
      <c r="N830" s="60" t="n"/>
      <c r="O830" s="60" t="n"/>
      <c r="P830" s="60" t="n"/>
      <c r="Q830" s="60" t="n"/>
      <c r="R830" s="60" t="n"/>
      <c r="S830" s="60" t="n"/>
      <c r="T830" s="60" t="n"/>
      <c r="U830" s="60" t="n"/>
      <c r="V830" s="60" t="n"/>
      <c r="W830" s="60" t="n"/>
      <c r="X830" s="60" t="n"/>
      <c r="Y830" s="60" t="n"/>
      <c r="Z830" s="60" t="n"/>
    </row>
    <row r="831">
      <c r="A831" s="151" t="n">
        <v>46090</v>
      </c>
      <c r="B831" s="70" t="n">
        <v>4516</v>
      </c>
      <c r="C831" s="115" t="inlineStr">
        <is>
          <t>SELİM İNŞAAT</t>
        </is>
      </c>
      <c r="D831" s="115" t="inlineStr">
        <is>
          <t>34 DTV 352</t>
        </is>
      </c>
      <c r="E831" s="115" t="inlineStr">
        <is>
          <t>AZİZ ORUÇ</t>
        </is>
      </c>
      <c r="F831" s="65" t="n">
        <v>477869</v>
      </c>
      <c r="G831" s="152" t="n">
        <v>519</v>
      </c>
      <c r="H831" s="60" t="n"/>
      <c r="I831" s="156">
        <f>+I830+(G831-H831)</f>
        <v/>
      </c>
      <c r="J831" s="60" t="n"/>
      <c r="K831" s="60" t="n"/>
      <c r="L831" s="158">
        <f>+H831*J831</f>
        <v/>
      </c>
      <c r="M831" s="159">
        <f>SUM(M830+K831-L831)</f>
        <v/>
      </c>
      <c r="N831" s="60" t="n"/>
      <c r="O831" s="60" t="n"/>
      <c r="P831" s="60" t="n"/>
      <c r="Q831" s="60" t="n"/>
      <c r="R831" s="60" t="n"/>
      <c r="S831" s="60" t="n"/>
      <c r="T831" s="60" t="n"/>
      <c r="U831" s="60" t="n"/>
      <c r="V831" s="60" t="n"/>
      <c r="W831" s="60" t="n"/>
      <c r="X831" s="60" t="n"/>
      <c r="Y831" s="60" t="n"/>
      <c r="Z831" s="60" t="n"/>
    </row>
    <row r="832">
      <c r="A832" s="151" t="n">
        <v>46090</v>
      </c>
      <c r="B832" s="70" t="n">
        <v>2545</v>
      </c>
      <c r="C832" s="115" t="inlineStr">
        <is>
          <t>AZGÜN YAPI</t>
        </is>
      </c>
      <c r="D832" s="115" t="inlineStr">
        <is>
          <t>34 MKT 593</t>
        </is>
      </c>
      <c r="E832" s="115" t="inlineStr">
        <is>
          <t>TURGUT ÇATAL</t>
        </is>
      </c>
      <c r="F832" s="65" t="n"/>
      <c r="G832" s="152" t="n">
        <v>407</v>
      </c>
      <c r="H832" s="60" t="n"/>
      <c r="I832" s="156">
        <f>+I831+(G832-H832)</f>
        <v/>
      </c>
      <c r="J832" s="60" t="n"/>
      <c r="K832" s="60" t="n"/>
      <c r="L832" s="158">
        <f>+H832*J832</f>
        <v/>
      </c>
      <c r="M832" s="159">
        <f>SUM(M831+K832-L832)</f>
        <v/>
      </c>
      <c r="N832" s="60" t="n"/>
      <c r="O832" s="60" t="n"/>
      <c r="P832" s="60" t="n"/>
      <c r="Q832" s="60" t="n"/>
      <c r="R832" s="60" t="n"/>
      <c r="S832" s="60" t="n"/>
      <c r="T832" s="60" t="n"/>
      <c r="U832" s="60" t="n"/>
      <c r="V832" s="60" t="n"/>
      <c r="W832" s="60" t="n"/>
      <c r="X832" s="60" t="n"/>
      <c r="Y832" s="60" t="n"/>
      <c r="Z832" s="60" t="n"/>
    </row>
    <row r="833">
      <c r="A833" s="151" t="n">
        <v>46090</v>
      </c>
      <c r="B833" s="70" t="n">
        <v>3288</v>
      </c>
      <c r="C833" s="115" t="inlineStr">
        <is>
          <t>AZGÜN YAPI</t>
        </is>
      </c>
      <c r="D833" s="115" t="inlineStr">
        <is>
          <t xml:space="preserve">34 DTV 263 </t>
        </is>
      </c>
      <c r="E833" s="115" t="inlineStr">
        <is>
          <t>DURSUN ALİ GÜREK</t>
        </is>
      </c>
      <c r="F833" s="65" t="n"/>
      <c r="G833" s="152" t="n">
        <v>457</v>
      </c>
      <c r="H833" s="60" t="n"/>
      <c r="I833" s="156">
        <f>+I832+(G833-H833)</f>
        <v/>
      </c>
      <c r="J833" s="60" t="n"/>
      <c r="K833" s="60" t="n"/>
      <c r="L833" s="158">
        <f>+H833*J833</f>
        <v/>
      </c>
      <c r="M833" s="159">
        <f>SUM(M832+K833-L833)</f>
        <v/>
      </c>
      <c r="N833" s="60" t="n"/>
      <c r="O833" s="60" t="n"/>
      <c r="P833" s="60" t="n"/>
      <c r="Q833" s="60" t="n"/>
      <c r="R833" s="60" t="n"/>
      <c r="S833" s="60" t="n"/>
      <c r="T833" s="60" t="n"/>
      <c r="U833" s="60" t="n"/>
      <c r="V833" s="60" t="n"/>
      <c r="W833" s="60" t="n"/>
      <c r="X833" s="60" t="n"/>
      <c r="Y833" s="60" t="n"/>
      <c r="Z833" s="60" t="n"/>
    </row>
    <row r="834">
      <c r="A834" s="151" t="n">
        <v>46090</v>
      </c>
      <c r="B834" s="70" t="n">
        <v>1392</v>
      </c>
      <c r="C834" s="115" t="inlineStr">
        <is>
          <t>AZGÜN YAPI</t>
        </is>
      </c>
      <c r="D834" s="115" t="inlineStr">
        <is>
          <t>34 MKT859</t>
        </is>
      </c>
      <c r="E834" s="115" t="inlineStr">
        <is>
          <t>İRFAN DAĞLAR</t>
        </is>
      </c>
      <c r="F834" s="65" t="n"/>
      <c r="G834" s="152" t="n">
        <v>696</v>
      </c>
      <c r="H834" s="60" t="n"/>
      <c r="I834" s="156">
        <f>+I833+(G834-H834)</f>
        <v/>
      </c>
      <c r="J834" s="60" t="n"/>
      <c r="K834" s="60" t="n"/>
      <c r="L834" s="158">
        <f>+H834*J834</f>
        <v/>
      </c>
      <c r="M834" s="159">
        <f>SUM(M833+K834-L834)</f>
        <v/>
      </c>
      <c r="N834" s="60" t="n"/>
      <c r="O834" s="60" t="n"/>
      <c r="P834" s="60" t="n"/>
      <c r="Q834" s="60" t="n"/>
      <c r="R834" s="60" t="n"/>
      <c r="S834" s="60" t="n"/>
      <c r="T834" s="60" t="n"/>
      <c r="U834" s="60" t="n"/>
      <c r="V834" s="60" t="n"/>
      <c r="W834" s="60" t="n"/>
      <c r="X834" s="60" t="n"/>
      <c r="Y834" s="60" t="n"/>
      <c r="Z834" s="60" t="n"/>
    </row>
    <row r="835">
      <c r="A835" s="151" t="n">
        <v>46090</v>
      </c>
      <c r="B835" s="70" t="n">
        <v>249</v>
      </c>
      <c r="C835" s="115" t="inlineStr">
        <is>
          <t>SELİM İNŞAAT</t>
        </is>
      </c>
      <c r="D835" s="115" t="inlineStr">
        <is>
          <t>34 JGR 15</t>
        </is>
      </c>
      <c r="E835" s="115" t="inlineStr">
        <is>
          <t>ÖNER DÜNDAR</t>
        </is>
      </c>
      <c r="F835" s="65" t="n">
        <v>331064</v>
      </c>
      <c r="G835" s="152" t="n">
        <v>70</v>
      </c>
      <c r="H835" s="60" t="n"/>
      <c r="I835" s="156">
        <f>+I834+(G835-H835)</f>
        <v/>
      </c>
      <c r="J835" s="60" t="n"/>
      <c r="K835" s="60" t="n"/>
      <c r="L835" s="158">
        <f>+H835*J835</f>
        <v/>
      </c>
      <c r="M835" s="159">
        <f>SUM(M834+K835-L835)</f>
        <v/>
      </c>
      <c r="N835" s="60" t="n"/>
      <c r="O835" s="60" t="n"/>
      <c r="P835" s="60" t="n"/>
      <c r="Q835" s="60" t="n"/>
      <c r="R835" s="60" t="n"/>
      <c r="S835" s="60" t="n"/>
      <c r="T835" s="60" t="n"/>
      <c r="U835" s="60" t="n"/>
      <c r="V835" s="60" t="n"/>
      <c r="W835" s="60" t="n"/>
      <c r="X835" s="60" t="n"/>
      <c r="Y835" s="60" t="n"/>
      <c r="Z835" s="60" t="n"/>
    </row>
    <row r="836">
      <c r="A836" s="151" t="n">
        <v>46090</v>
      </c>
      <c r="B836" s="70" t="n">
        <v>4466</v>
      </c>
      <c r="C836" s="115" t="inlineStr">
        <is>
          <t>SELİM İNŞAAT</t>
        </is>
      </c>
      <c r="D836" s="115" t="inlineStr">
        <is>
          <t>34 DKL 798</t>
        </is>
      </c>
      <c r="E836" s="115" t="inlineStr">
        <is>
          <t>HASAN BAYCA</t>
        </is>
      </c>
      <c r="F836" s="65" t="n">
        <v>81409</v>
      </c>
      <c r="G836" s="152" t="n">
        <v>392</v>
      </c>
      <c r="H836" s="60" t="n"/>
      <c r="I836" s="156">
        <f>+I835+(G836-H836)</f>
        <v/>
      </c>
      <c r="J836" s="60" t="n"/>
      <c r="K836" s="60" t="n"/>
      <c r="L836" s="158">
        <f>+H836*J836</f>
        <v/>
      </c>
      <c r="M836" s="159">
        <f>SUM(M835+K836-L836)</f>
        <v/>
      </c>
      <c r="N836" s="60" t="n"/>
      <c r="O836" s="60" t="n"/>
      <c r="P836" s="60" t="n"/>
      <c r="Q836" s="60" t="n"/>
      <c r="R836" s="60" t="n"/>
      <c r="S836" s="60" t="n"/>
      <c r="T836" s="60" t="n"/>
      <c r="U836" s="60" t="n"/>
      <c r="V836" s="60" t="n"/>
      <c r="W836" s="60" t="n"/>
      <c r="X836" s="60" t="n"/>
      <c r="Y836" s="60" t="n"/>
      <c r="Z836" s="60" t="n"/>
    </row>
    <row r="837">
      <c r="A837" s="151" t="n">
        <v>46090</v>
      </c>
      <c r="B837" s="70" t="n">
        <v>2346</v>
      </c>
      <c r="C837" s="115" t="inlineStr">
        <is>
          <t>SELİM İNŞAAT</t>
        </is>
      </c>
      <c r="D837" s="115" t="inlineStr">
        <is>
          <t>34 DP 4161</t>
        </is>
      </c>
      <c r="E837" s="115" t="inlineStr">
        <is>
          <t>RIFAT KARATAY</t>
        </is>
      </c>
      <c r="F837" s="65" t="n">
        <v>320923</v>
      </c>
      <c r="G837" s="152" t="n">
        <v>369</v>
      </c>
      <c r="H837" s="60" t="n"/>
      <c r="I837" s="156">
        <f>+I836+(G837-H837)</f>
        <v/>
      </c>
      <c r="J837" s="60" t="n"/>
      <c r="K837" s="60" t="n"/>
      <c r="L837" s="158">
        <f>+H837*J837</f>
        <v/>
      </c>
      <c r="M837" s="159">
        <f>SUM(M836+K837-L837)</f>
        <v/>
      </c>
      <c r="N837" s="60" t="n"/>
      <c r="O837" s="60" t="n"/>
      <c r="P837" s="60" t="n"/>
      <c r="Q837" s="60" t="n"/>
      <c r="R837" s="60" t="n"/>
      <c r="S837" s="60" t="n"/>
      <c r="T837" s="60" t="n"/>
      <c r="U837" s="60" t="n"/>
      <c r="V837" s="60" t="n"/>
      <c r="W837" s="60" t="n"/>
      <c r="X837" s="60" t="n"/>
      <c r="Y837" s="60" t="n"/>
      <c r="Z837" s="60" t="n"/>
    </row>
    <row r="838">
      <c r="A838" s="151" t="n">
        <v>46090</v>
      </c>
      <c r="B838" s="70" t="n">
        <v>3730</v>
      </c>
      <c r="C838" s="115" t="inlineStr">
        <is>
          <t>SELİM İNŞAAT</t>
        </is>
      </c>
      <c r="D838" s="115" t="inlineStr">
        <is>
          <t>34 DKL 866</t>
        </is>
      </c>
      <c r="E838" s="115" t="inlineStr">
        <is>
          <t>SELİMCAN ÖNVER</t>
        </is>
      </c>
      <c r="F838" s="65" t="n">
        <v>82682</v>
      </c>
      <c r="G838" s="152" t="n">
        <v>325</v>
      </c>
      <c r="H838" s="60" t="n"/>
      <c r="I838" s="156">
        <f>+I837+(G838-H838)</f>
        <v/>
      </c>
      <c r="J838" s="60" t="n"/>
      <c r="K838" s="60" t="n"/>
      <c r="L838" s="158">
        <f>+H838*J838</f>
        <v/>
      </c>
      <c r="M838" s="159">
        <f>SUM(M837+K838-L838)</f>
        <v/>
      </c>
      <c r="N838" s="60" t="n"/>
      <c r="O838" s="60" t="n"/>
      <c r="P838" s="60" t="n"/>
      <c r="Q838" s="60" t="n"/>
      <c r="R838" s="60" t="n"/>
      <c r="S838" s="60" t="n"/>
      <c r="T838" s="60" t="n"/>
      <c r="U838" s="60" t="n"/>
      <c r="V838" s="60" t="n"/>
      <c r="W838" s="60" t="n"/>
      <c r="X838" s="60" t="n"/>
      <c r="Y838" s="60" t="n"/>
      <c r="Z838" s="60" t="n"/>
    </row>
    <row r="839">
      <c r="A839" s="151" t="n">
        <v>46090</v>
      </c>
      <c r="B839" s="70" t="n">
        <v>755</v>
      </c>
      <c r="C839" s="115" t="inlineStr">
        <is>
          <t>METİN ERYİĞİT</t>
        </is>
      </c>
      <c r="D839" s="115" t="inlineStr">
        <is>
          <t>34 EGR 814</t>
        </is>
      </c>
      <c r="E839" s="115" t="inlineStr">
        <is>
          <t>ZİYA İNCE</t>
        </is>
      </c>
      <c r="F839" s="65" t="n"/>
      <c r="G839" s="152" t="n">
        <v>473</v>
      </c>
      <c r="H839" s="60" t="n"/>
      <c r="I839" s="156">
        <f>+I838+(G839-H839)</f>
        <v/>
      </c>
      <c r="J839" s="60" t="n"/>
      <c r="K839" s="60" t="n"/>
      <c r="L839" s="158">
        <f>+H839*J839</f>
        <v/>
      </c>
      <c r="M839" s="159">
        <f>SUM(M838+K839-L839)</f>
        <v/>
      </c>
      <c r="N839" s="60" t="n"/>
      <c r="O839" s="60" t="n"/>
      <c r="P839" s="60" t="n"/>
      <c r="Q839" s="60" t="n"/>
      <c r="R839" s="60" t="n"/>
      <c r="S839" s="60" t="n"/>
      <c r="T839" s="60" t="n"/>
      <c r="U839" s="60" t="n"/>
      <c r="V839" s="60" t="n"/>
      <c r="W839" s="60" t="n"/>
      <c r="X839" s="60" t="n"/>
      <c r="Y839" s="60" t="n"/>
      <c r="Z839" s="60" t="n"/>
    </row>
    <row r="840">
      <c r="A840" s="151" t="n">
        <v>46090</v>
      </c>
      <c r="B840" s="70" t="n">
        <v>811</v>
      </c>
      <c r="C840" s="115" t="inlineStr">
        <is>
          <t>METİN ERYİĞİT</t>
        </is>
      </c>
      <c r="D840" s="115" t="inlineStr">
        <is>
          <t>34 GBL 998</t>
        </is>
      </c>
      <c r="E840" s="115" t="inlineStr">
        <is>
          <t>ALİ KESKİN</t>
        </is>
      </c>
      <c r="F840" s="65" t="n"/>
      <c r="G840" s="152" t="n">
        <v>354</v>
      </c>
      <c r="H840" s="60" t="n"/>
      <c r="I840" s="156">
        <f>+I839+(G840-H840)</f>
        <v/>
      </c>
      <c r="J840" s="60" t="n"/>
      <c r="K840" s="60" t="n"/>
      <c r="L840" s="158">
        <f>+H840*J840</f>
        <v/>
      </c>
      <c r="M840" s="159">
        <f>SUM(M839+K840-L840)</f>
        <v/>
      </c>
      <c r="N840" s="60" t="n"/>
      <c r="O840" s="60" t="n"/>
      <c r="P840" s="60" t="n"/>
      <c r="Q840" s="60" t="n"/>
      <c r="R840" s="60" t="n"/>
      <c r="S840" s="60" t="n"/>
      <c r="T840" s="60" t="n"/>
      <c r="U840" s="60" t="n"/>
      <c r="V840" s="60" t="n"/>
      <c r="W840" s="60" t="n"/>
      <c r="X840" s="60" t="n"/>
      <c r="Y840" s="60" t="n"/>
      <c r="Z840" s="60" t="n"/>
    </row>
    <row r="841">
      <c r="A841" s="151" t="n">
        <v>46090</v>
      </c>
      <c r="B841" s="70" t="n">
        <v>455</v>
      </c>
      <c r="C841" s="115" t="inlineStr">
        <is>
          <t>MEGA</t>
        </is>
      </c>
      <c r="D841" s="115" t="inlineStr">
        <is>
          <t>SM300</t>
        </is>
      </c>
      <c r="E841" s="115" t="inlineStr">
        <is>
          <t>EMİRCAN</t>
        </is>
      </c>
      <c r="F841" s="65" t="n"/>
      <c r="G841" s="152" t="n">
        <v>405</v>
      </c>
      <c r="H841" s="60" t="n"/>
      <c r="I841" s="156">
        <f>+I840+(G841-H841)</f>
        <v/>
      </c>
      <c r="J841" s="60" t="n"/>
      <c r="K841" s="60" t="n"/>
      <c r="L841" s="158">
        <f>+H841*J841</f>
        <v/>
      </c>
      <c r="M841" s="159">
        <f>SUM(M840+K841-L841)</f>
        <v/>
      </c>
      <c r="N841" s="60" t="n"/>
      <c r="O841" s="60" t="n"/>
      <c r="P841" s="60" t="n"/>
      <c r="Q841" s="60" t="n"/>
      <c r="R841" s="60" t="n"/>
      <c r="S841" s="60" t="n"/>
      <c r="T841" s="60" t="n"/>
      <c r="U841" s="60" t="n"/>
      <c r="V841" s="60" t="n"/>
      <c r="W841" s="60" t="n"/>
      <c r="X841" s="60" t="n"/>
      <c r="Y841" s="60" t="n"/>
      <c r="Z841" s="60" t="n"/>
    </row>
    <row r="842">
      <c r="A842" s="151" t="n">
        <v>46090</v>
      </c>
      <c r="B842" s="70" t="n">
        <v>456</v>
      </c>
      <c r="C842" s="115" t="inlineStr">
        <is>
          <t>MEGA</t>
        </is>
      </c>
      <c r="D842" s="115" t="inlineStr">
        <is>
          <t>SM350</t>
        </is>
      </c>
      <c r="E842" s="115" t="inlineStr">
        <is>
          <t>MİKAİL</t>
        </is>
      </c>
      <c r="F842" s="65" t="n"/>
      <c r="G842" s="152" t="n">
        <v>600</v>
      </c>
      <c r="H842" s="60" t="n"/>
      <c r="I842" s="156">
        <f>+I841+(G842-H842)</f>
        <v/>
      </c>
      <c r="J842" s="60" t="n"/>
      <c r="K842" s="60" t="n"/>
      <c r="L842" s="158">
        <f>+H842*J842</f>
        <v/>
      </c>
      <c r="M842" s="159">
        <f>SUM(M841+K842-L842)</f>
        <v/>
      </c>
      <c r="N842" s="60" t="n"/>
      <c r="O842" s="60" t="n"/>
      <c r="P842" s="60" t="n"/>
      <c r="Q842" s="60" t="n"/>
      <c r="R842" s="60" t="n"/>
      <c r="S842" s="60" t="n"/>
      <c r="T842" s="60" t="n"/>
      <c r="U842" s="60" t="n"/>
      <c r="V842" s="60" t="n"/>
      <c r="W842" s="60" t="n"/>
      <c r="X842" s="60" t="n"/>
      <c r="Y842" s="60" t="n"/>
      <c r="Z842" s="60" t="n"/>
    </row>
    <row r="843">
      <c r="A843" s="151" t="n">
        <v>46090</v>
      </c>
      <c r="B843" s="70" t="n">
        <v>457</v>
      </c>
      <c r="C843" s="115" t="inlineStr">
        <is>
          <t>MEGA</t>
        </is>
      </c>
      <c r="D843" s="115" t="inlineStr">
        <is>
          <t>SM370</t>
        </is>
      </c>
      <c r="E843" s="115" t="inlineStr">
        <is>
          <t>BEKİR</t>
        </is>
      </c>
      <c r="F843" s="65" t="n"/>
      <c r="G843" s="152" t="n">
        <v>630</v>
      </c>
      <c r="H843" s="60" t="n"/>
      <c r="I843" s="156">
        <f>+I842+(G843-H843)</f>
        <v/>
      </c>
      <c r="J843" s="60" t="n"/>
      <c r="K843" s="60" t="n"/>
      <c r="L843" s="158">
        <f>+H843*J843</f>
        <v/>
      </c>
      <c r="M843" s="159">
        <f>SUM(M842+K843-L843)</f>
        <v/>
      </c>
      <c r="N843" s="60" t="n"/>
      <c r="O843" s="60" t="n"/>
      <c r="P843" s="60" t="n"/>
      <c r="Q843" s="60" t="n"/>
      <c r="R843" s="60" t="n"/>
      <c r="S843" s="60" t="n"/>
      <c r="T843" s="60" t="n"/>
      <c r="U843" s="60" t="n"/>
      <c r="V843" s="60" t="n"/>
      <c r="W843" s="60" t="n"/>
      <c r="X843" s="60" t="n"/>
      <c r="Y843" s="60" t="n"/>
      <c r="Z843" s="60" t="n"/>
    </row>
    <row r="844">
      <c r="A844" s="151" t="n">
        <v>46091</v>
      </c>
      <c r="B844" s="70" t="n">
        <v>2797</v>
      </c>
      <c r="C844" s="115" t="inlineStr">
        <is>
          <t>SELİM İNŞAAT</t>
        </is>
      </c>
      <c r="D844" s="115" t="inlineStr">
        <is>
          <t>34 EDC 086</t>
        </is>
      </c>
      <c r="E844" s="115" t="inlineStr">
        <is>
          <t>SEZGİN KOCAGİL</t>
        </is>
      </c>
      <c r="F844" s="65" t="n">
        <v>377902</v>
      </c>
      <c r="G844" s="152" t="n">
        <v>445</v>
      </c>
      <c r="H844" s="60" t="n"/>
      <c r="I844" s="156">
        <f>+I843+(G844-H844)</f>
        <v/>
      </c>
      <c r="J844" s="60" t="n"/>
      <c r="K844" s="60" t="n"/>
      <c r="L844" s="158">
        <f>+H844*J844</f>
        <v/>
      </c>
      <c r="M844" s="159">
        <f>SUM(M843+K844-L844)</f>
        <v/>
      </c>
      <c r="N844" s="60" t="n"/>
      <c r="O844" s="60" t="n"/>
      <c r="P844" s="60" t="n"/>
      <c r="Q844" s="60" t="n"/>
      <c r="R844" s="60" t="n"/>
      <c r="S844" s="60" t="n"/>
      <c r="T844" s="60" t="n"/>
      <c r="U844" s="60" t="n"/>
      <c r="V844" s="60" t="n"/>
      <c r="W844" s="60" t="n"/>
      <c r="X844" s="60" t="n"/>
      <c r="Y844" s="60" t="n"/>
      <c r="Z844" s="60" t="n"/>
    </row>
    <row r="845">
      <c r="A845" s="151" t="n">
        <v>46091</v>
      </c>
      <c r="B845" s="70" t="n">
        <v>1549</v>
      </c>
      <c r="C845" s="115" t="inlineStr">
        <is>
          <t>SELİM İNŞAAT</t>
        </is>
      </c>
      <c r="D845" s="115" t="inlineStr">
        <is>
          <t>34 GUS 848</t>
        </is>
      </c>
      <c r="E845" s="115" t="inlineStr">
        <is>
          <t>SERDAR BOZKURT</t>
        </is>
      </c>
      <c r="F845" s="65" t="n">
        <v>235025</v>
      </c>
      <c r="G845" s="152" t="n">
        <v>468</v>
      </c>
      <c r="H845" s="60" t="n"/>
      <c r="I845" s="156">
        <f>+I844+(G845-H845)</f>
        <v/>
      </c>
      <c r="J845" s="60" t="n"/>
      <c r="K845" s="60" t="n"/>
      <c r="L845" s="158">
        <f>+H845*J845</f>
        <v/>
      </c>
      <c r="M845" s="159">
        <f>SUM(M844+K845-L845)</f>
        <v/>
      </c>
      <c r="N845" s="60" t="n"/>
      <c r="O845" s="60" t="n"/>
      <c r="P845" s="60" t="n"/>
      <c r="Q845" s="60" t="n"/>
      <c r="R845" s="60" t="n"/>
      <c r="S845" s="60" t="n"/>
      <c r="T845" s="60" t="n"/>
      <c r="U845" s="60" t="n"/>
      <c r="V845" s="60" t="n"/>
      <c r="W845" s="60" t="n"/>
      <c r="X845" s="60" t="n"/>
      <c r="Y845" s="60" t="n"/>
      <c r="Z845" s="60" t="n"/>
    </row>
    <row r="846">
      <c r="A846" s="151" t="n">
        <v>46091</v>
      </c>
      <c r="B846" s="70" t="n">
        <v>909</v>
      </c>
      <c r="C846" s="115" t="inlineStr">
        <is>
          <t>SELİM İNŞAAT</t>
        </is>
      </c>
      <c r="D846" s="115" t="inlineStr">
        <is>
          <t>34 FSG 229</t>
        </is>
      </c>
      <c r="E846" s="115" t="inlineStr">
        <is>
          <t>SİNAN TANRIVERDİ</t>
        </is>
      </c>
      <c r="F846" s="65" t="n">
        <v>302066</v>
      </c>
      <c r="G846" s="152" t="n">
        <v>546</v>
      </c>
      <c r="H846" s="60" t="n"/>
      <c r="I846" s="156">
        <f>+I845+(G846-H846)</f>
        <v/>
      </c>
      <c r="J846" s="60" t="n"/>
      <c r="K846" s="60" t="n"/>
      <c r="L846" s="158">
        <f>+H846*J846</f>
        <v/>
      </c>
      <c r="M846" s="159">
        <f>SUM(M845+K846-L846)</f>
        <v/>
      </c>
      <c r="N846" s="60" t="n"/>
      <c r="O846" s="60" t="n"/>
      <c r="P846" s="60" t="n"/>
      <c r="Q846" s="60" t="n"/>
      <c r="R846" s="60" t="n"/>
      <c r="S846" s="60" t="n"/>
      <c r="T846" s="60" t="n"/>
      <c r="U846" s="60" t="n"/>
      <c r="V846" s="60" t="n"/>
      <c r="W846" s="60" t="n"/>
      <c r="X846" s="60" t="n"/>
      <c r="Y846" s="60" t="n"/>
      <c r="Z846" s="60" t="n"/>
    </row>
    <row r="847">
      <c r="A847" s="151" t="n">
        <v>46091</v>
      </c>
      <c r="B847" s="70" t="n">
        <v>4019</v>
      </c>
      <c r="C847" s="115" t="inlineStr">
        <is>
          <t>SELİM İNŞAAT</t>
        </is>
      </c>
      <c r="D847" s="115" t="inlineStr">
        <is>
          <t>34 AR 7743</t>
        </is>
      </c>
      <c r="E847" s="115" t="inlineStr">
        <is>
          <t>MEHMET SELİM</t>
        </is>
      </c>
      <c r="F847" s="65" t="n">
        <v>374612</v>
      </c>
      <c r="G847" s="152" t="n">
        <v>55</v>
      </c>
      <c r="H847" s="60" t="n"/>
      <c r="I847" s="156">
        <f>+I846+(G847-H847)</f>
        <v/>
      </c>
      <c r="J847" s="60" t="n"/>
      <c r="K847" s="60" t="n"/>
      <c r="L847" s="158">
        <f>+H847*J847</f>
        <v/>
      </c>
      <c r="M847" s="159">
        <f>SUM(M846+K847-L847)</f>
        <v/>
      </c>
      <c r="N847" s="60" t="n"/>
      <c r="O847" s="60" t="n"/>
      <c r="P847" s="60" t="n"/>
      <c r="Q847" s="60" t="n"/>
      <c r="R847" s="60" t="n"/>
      <c r="S847" s="60" t="n"/>
      <c r="T847" s="60" t="n"/>
      <c r="U847" s="60" t="n"/>
      <c r="V847" s="60" t="n"/>
      <c r="W847" s="60" t="n"/>
      <c r="X847" s="60" t="n"/>
      <c r="Y847" s="60" t="n"/>
      <c r="Z847" s="60" t="n"/>
    </row>
    <row r="848">
      <c r="A848" s="151" t="n">
        <v>46091</v>
      </c>
      <c r="B848" s="70" t="n">
        <v>305</v>
      </c>
      <c r="C848" s="115" t="inlineStr">
        <is>
          <t>SELİM İNŞAAT</t>
        </is>
      </c>
      <c r="D848" s="115" t="inlineStr">
        <is>
          <t>34 GER 445</t>
        </is>
      </c>
      <c r="E848" s="115" t="inlineStr">
        <is>
          <t>MUSTAFA ERYİĞİT</t>
        </is>
      </c>
      <c r="F848" s="65" t="n">
        <v>58139</v>
      </c>
      <c r="G848" s="152" t="n">
        <v>373</v>
      </c>
      <c r="H848" s="60" t="n"/>
      <c r="I848" s="156">
        <f>+I847+(G848-H848)</f>
        <v/>
      </c>
      <c r="J848" s="60" t="n"/>
      <c r="K848" s="60" t="n"/>
      <c r="L848" s="158">
        <f>+H848*J848</f>
        <v/>
      </c>
      <c r="M848" s="159">
        <f>SUM(M847+K848-L848)</f>
        <v/>
      </c>
      <c r="N848" s="60" t="n"/>
      <c r="O848" s="60" t="n"/>
      <c r="P848" s="60" t="n"/>
      <c r="Q848" s="60" t="n"/>
      <c r="R848" s="60" t="n"/>
      <c r="S848" s="60" t="n"/>
      <c r="T848" s="60" t="n"/>
      <c r="U848" s="60" t="n"/>
      <c r="V848" s="60" t="n"/>
      <c r="W848" s="60" t="n"/>
      <c r="X848" s="60" t="n"/>
      <c r="Y848" s="60" t="n"/>
      <c r="Z848" s="60" t="n"/>
    </row>
    <row r="849">
      <c r="A849" s="151" t="n">
        <v>46091</v>
      </c>
      <c r="B849" s="70" t="n">
        <v>716</v>
      </c>
      <c r="C849" s="115" t="inlineStr">
        <is>
          <t>METİN ERYİĞİT</t>
        </is>
      </c>
      <c r="D849" s="115" t="inlineStr">
        <is>
          <t>34 EGS 013</t>
        </is>
      </c>
      <c r="E849" s="115" t="inlineStr">
        <is>
          <t>UĞUR DUMAN</t>
        </is>
      </c>
      <c r="F849" s="65" t="n"/>
      <c r="G849" s="152" t="n">
        <v>415</v>
      </c>
      <c r="H849" s="60" t="n"/>
      <c r="I849" s="156">
        <f>+I848+(G849-H849)</f>
        <v/>
      </c>
      <c r="J849" s="60" t="n"/>
      <c r="K849" s="60" t="n"/>
      <c r="L849" s="158">
        <f>+H849*J849</f>
        <v/>
      </c>
      <c r="M849" s="159">
        <f>SUM(M848+K849-L849)</f>
        <v/>
      </c>
      <c r="N849" s="60" t="n"/>
      <c r="O849" s="60" t="n"/>
      <c r="P849" s="60" t="n"/>
      <c r="Q849" s="60" t="n"/>
      <c r="R849" s="60" t="n"/>
      <c r="S849" s="60" t="n"/>
      <c r="T849" s="60" t="n"/>
      <c r="U849" s="60" t="n"/>
      <c r="V849" s="60" t="n"/>
      <c r="W849" s="60" t="n"/>
      <c r="X849" s="60" t="n"/>
      <c r="Y849" s="60" t="n"/>
      <c r="Z849" s="60" t="n"/>
    </row>
    <row r="850">
      <c r="A850" s="151" t="n">
        <v>46091</v>
      </c>
      <c r="B850" s="70" t="n">
        <v>812</v>
      </c>
      <c r="C850" s="115" t="inlineStr">
        <is>
          <t>METİN ERYİĞİT</t>
        </is>
      </c>
      <c r="D850" s="115" t="inlineStr">
        <is>
          <t>34 GBL 998</t>
        </is>
      </c>
      <c r="E850" s="115" t="inlineStr">
        <is>
          <t>ALİ KESKİN</t>
        </is>
      </c>
      <c r="F850" s="65" t="n"/>
      <c r="G850" s="152" t="n">
        <v>332</v>
      </c>
      <c r="H850" s="60" t="n"/>
      <c r="I850" s="156">
        <f>+I849+(G850-H850)</f>
        <v/>
      </c>
      <c r="J850" s="60" t="n"/>
      <c r="K850" s="60" t="n"/>
      <c r="L850" s="158">
        <f>+H850*J850</f>
        <v/>
      </c>
      <c r="M850" s="159">
        <f>SUM(M849+K850-L850)</f>
        <v/>
      </c>
      <c r="N850" s="60" t="n"/>
      <c r="O850" s="60" t="n"/>
      <c r="P850" s="60" t="n"/>
      <c r="Q850" s="60" t="n"/>
      <c r="R850" s="60" t="n"/>
      <c r="S850" s="60" t="n"/>
      <c r="T850" s="60" t="n"/>
      <c r="U850" s="60" t="n"/>
      <c r="V850" s="60" t="n"/>
      <c r="W850" s="60" t="n"/>
      <c r="X850" s="60" t="n"/>
      <c r="Y850" s="60" t="n"/>
      <c r="Z850" s="60" t="n"/>
    </row>
    <row r="851">
      <c r="A851" s="151" t="n">
        <v>46091</v>
      </c>
      <c r="B851" s="70" t="n">
        <v>458</v>
      </c>
      <c r="C851" s="115" t="inlineStr">
        <is>
          <t>MEGA</t>
        </is>
      </c>
      <c r="D851" s="115" t="inlineStr">
        <is>
          <t>SM350</t>
        </is>
      </c>
      <c r="E851" s="115" t="inlineStr">
        <is>
          <t>MİKAİL</t>
        </is>
      </c>
      <c r="F851" s="65" t="n"/>
      <c r="G851" s="152" t="n">
        <v>290</v>
      </c>
      <c r="H851" s="60" t="n"/>
      <c r="I851" s="156">
        <f>+I850+(G851-H851)</f>
        <v/>
      </c>
      <c r="J851" s="60" t="n"/>
      <c r="K851" s="60" t="n"/>
      <c r="L851" s="158">
        <f>+H851*J851</f>
        <v/>
      </c>
      <c r="M851" s="159">
        <f>SUM(M850+K851-L851)</f>
        <v/>
      </c>
      <c r="N851" s="60" t="n"/>
      <c r="O851" s="60" t="n"/>
      <c r="P851" s="60" t="n"/>
      <c r="Q851" s="60" t="n"/>
      <c r="R851" s="60" t="n"/>
      <c r="S851" s="60" t="n"/>
      <c r="T851" s="60" t="n"/>
      <c r="U851" s="60" t="n"/>
      <c r="V851" s="60" t="n"/>
      <c r="W851" s="60" t="n"/>
      <c r="X851" s="60" t="n"/>
      <c r="Y851" s="60" t="n"/>
      <c r="Z851" s="60" t="n"/>
    </row>
    <row r="852">
      <c r="A852" s="151" t="n">
        <v>46091</v>
      </c>
      <c r="B852" s="70" t="n">
        <v>459</v>
      </c>
      <c r="C852" s="115" t="inlineStr">
        <is>
          <t>KOZMO</t>
        </is>
      </c>
      <c r="D852" s="115" t="inlineStr">
        <is>
          <t>KAWAZAKİ</t>
        </is>
      </c>
      <c r="E852" s="115" t="inlineStr">
        <is>
          <t>RAMAZAN</t>
        </is>
      </c>
      <c r="F852" s="65" t="n"/>
      <c r="G852" s="152" t="n">
        <v>346</v>
      </c>
      <c r="H852" s="60" t="n"/>
      <c r="I852" s="156">
        <f>+I851+(G852-H852)</f>
        <v/>
      </c>
      <c r="J852" s="60" t="n"/>
      <c r="K852" s="60" t="n"/>
      <c r="L852" s="158">
        <f>+H852*J852</f>
        <v/>
      </c>
      <c r="M852" s="159">
        <f>SUM(M851+K852-L852)</f>
        <v/>
      </c>
      <c r="N852" s="60" t="n"/>
      <c r="O852" s="60" t="n"/>
      <c r="P852" s="60" t="n"/>
      <c r="Q852" s="60" t="n"/>
      <c r="R852" s="60" t="n"/>
      <c r="S852" s="60" t="n"/>
      <c r="T852" s="60" t="n"/>
      <c r="U852" s="60" t="n"/>
      <c r="V852" s="60" t="n"/>
      <c r="W852" s="60" t="n"/>
      <c r="X852" s="60" t="n"/>
      <c r="Y852" s="60" t="n"/>
      <c r="Z852" s="60" t="n"/>
    </row>
    <row r="853">
      <c r="A853" s="151" t="n">
        <v>46091</v>
      </c>
      <c r="B853" s="70" t="n">
        <v>460</v>
      </c>
      <c r="C853" s="115" t="inlineStr">
        <is>
          <t>KOZMO</t>
        </is>
      </c>
      <c r="D853" s="115" t="inlineStr">
        <is>
          <t>HİTACHİ</t>
        </is>
      </c>
      <c r="E853" s="115" t="inlineStr">
        <is>
          <t>TURGUT</t>
        </is>
      </c>
      <c r="F853" s="65" t="n"/>
      <c r="G853" s="152" t="n">
        <v>386</v>
      </c>
      <c r="H853" s="60" t="n"/>
      <c r="I853" s="156">
        <f>+I852+(G853-H853)</f>
        <v/>
      </c>
      <c r="J853" s="60" t="n"/>
      <c r="K853" s="60" t="n"/>
      <c r="L853" s="158">
        <f>+H853*J853</f>
        <v/>
      </c>
      <c r="M853" s="159">
        <f>SUM(M852+K853-L853)</f>
        <v/>
      </c>
      <c r="N853" s="60" t="n"/>
      <c r="O853" s="60" t="n"/>
      <c r="P853" s="60" t="n"/>
      <c r="Q853" s="60" t="n"/>
      <c r="R853" s="60" t="n"/>
      <c r="S853" s="60" t="n"/>
      <c r="T853" s="60" t="n"/>
      <c r="U853" s="60" t="n"/>
      <c r="V853" s="60" t="n"/>
      <c r="W853" s="60" t="n"/>
      <c r="X853" s="60" t="n"/>
      <c r="Y853" s="60" t="n"/>
      <c r="Z853" s="60" t="n"/>
    </row>
    <row r="854">
      <c r="A854" s="151" t="n">
        <v>46091</v>
      </c>
      <c r="B854" s="70" t="n">
        <v>461</v>
      </c>
      <c r="C854" s="115" t="inlineStr">
        <is>
          <t>VARLIK</t>
        </is>
      </c>
      <c r="D854" s="115" t="inlineStr">
        <is>
          <t>FORKLİFT</t>
        </is>
      </c>
      <c r="E854" s="115" t="inlineStr">
        <is>
          <t>FAHRİ</t>
        </is>
      </c>
      <c r="F854" s="65" t="n"/>
      <c r="G854" s="152" t="n">
        <v>66</v>
      </c>
      <c r="H854" s="60" t="n"/>
      <c r="I854" s="156">
        <f>+I853+(G854-H854)</f>
        <v/>
      </c>
      <c r="J854" s="60" t="n"/>
      <c r="K854" s="60" t="n"/>
      <c r="L854" s="158">
        <f>+H854*J854</f>
        <v/>
      </c>
      <c r="M854" s="159">
        <f>SUM(M853+K854-L854)</f>
        <v/>
      </c>
      <c r="N854" s="60" t="n"/>
      <c r="O854" s="60" t="n"/>
      <c r="P854" s="60" t="n"/>
      <c r="Q854" s="60" t="n"/>
      <c r="R854" s="60" t="n"/>
      <c r="S854" s="60" t="n"/>
      <c r="T854" s="60" t="n"/>
      <c r="U854" s="60" t="n"/>
      <c r="V854" s="60" t="n"/>
      <c r="W854" s="60" t="n"/>
      <c r="X854" s="60" t="n"/>
      <c r="Y854" s="60" t="n"/>
      <c r="Z854" s="60" t="n"/>
    </row>
    <row r="855">
      <c r="A855" s="151" t="n">
        <v>46091</v>
      </c>
      <c r="B855" s="70" t="n">
        <v>462</v>
      </c>
      <c r="C855" s="115" t="inlineStr">
        <is>
          <t>EVKUR</t>
        </is>
      </c>
      <c r="D855" s="115" t="inlineStr">
        <is>
          <t>SM350</t>
        </is>
      </c>
      <c r="E855" s="115" t="inlineStr">
        <is>
          <t>TEVFİK</t>
        </is>
      </c>
      <c r="F855" s="65" t="n"/>
      <c r="G855" s="152" t="n">
        <v>460</v>
      </c>
      <c r="H855" s="60" t="n"/>
      <c r="I855" s="156">
        <f>+I854+(G855-H855)</f>
        <v/>
      </c>
      <c r="J855" s="60" t="n"/>
      <c r="K855" s="60" t="n"/>
      <c r="L855" s="158">
        <f>+H855*J855</f>
        <v/>
      </c>
      <c r="M855" s="159">
        <f>SUM(M854+K855-L855)</f>
        <v/>
      </c>
      <c r="N855" s="60" t="n"/>
      <c r="O855" s="60" t="n"/>
      <c r="P855" s="60" t="n"/>
      <c r="Q855" s="60" t="n"/>
      <c r="R855" s="60" t="n"/>
      <c r="S855" s="60" t="n"/>
      <c r="T855" s="60" t="n"/>
      <c r="U855" s="60" t="n"/>
      <c r="V855" s="60" t="n"/>
      <c r="W855" s="60" t="n"/>
      <c r="X855" s="60" t="n"/>
      <c r="Y855" s="60" t="n"/>
      <c r="Z855" s="60" t="n"/>
    </row>
    <row r="856">
      <c r="A856" s="151" t="n">
        <v>46091</v>
      </c>
      <c r="B856" s="70" t="n">
        <v>463</v>
      </c>
      <c r="C856" s="115" t="inlineStr">
        <is>
          <t>MEGA</t>
        </is>
      </c>
      <c r="D856" s="115" t="inlineStr">
        <is>
          <t>KAWAZAKİ</t>
        </is>
      </c>
      <c r="E856" s="115" t="inlineStr">
        <is>
          <t>RAMAZAN</t>
        </is>
      </c>
      <c r="F856" s="65" t="n"/>
      <c r="G856" s="152" t="n">
        <v>146</v>
      </c>
      <c r="H856" s="60" t="n"/>
      <c r="I856" s="156">
        <f>+I855+(G856-H856)</f>
        <v/>
      </c>
      <c r="J856" s="60" t="n"/>
      <c r="K856" s="60" t="n"/>
      <c r="L856" s="158">
        <f>+H856*J856</f>
        <v/>
      </c>
      <c r="M856" s="159">
        <f>SUM(M855+K856-L856)</f>
        <v/>
      </c>
      <c r="N856" s="60" t="n"/>
      <c r="O856" s="60" t="n"/>
      <c r="P856" s="60" t="n"/>
      <c r="Q856" s="60" t="n"/>
      <c r="R856" s="60" t="n"/>
      <c r="S856" s="60" t="n"/>
      <c r="T856" s="60" t="n"/>
      <c r="U856" s="60" t="n"/>
      <c r="V856" s="60" t="n"/>
      <c r="W856" s="60" t="n"/>
      <c r="X856" s="60" t="n"/>
      <c r="Y856" s="60" t="n"/>
      <c r="Z856" s="60" t="n"/>
    </row>
    <row r="857">
      <c r="A857" s="151" t="n">
        <v>46091</v>
      </c>
      <c r="B857" s="70" t="n">
        <v>464</v>
      </c>
      <c r="C857" s="115" t="inlineStr">
        <is>
          <t>MEGA</t>
        </is>
      </c>
      <c r="D857" s="115" t="inlineStr">
        <is>
          <t>SM370</t>
        </is>
      </c>
      <c r="E857" s="115" t="inlineStr">
        <is>
          <t>BEKİR</t>
        </is>
      </c>
      <c r="F857" s="65" t="n"/>
      <c r="G857" s="152" t="n">
        <v>440</v>
      </c>
      <c r="H857" s="60" t="n"/>
      <c r="I857" s="156">
        <f>+I856+(G857-H857)</f>
        <v/>
      </c>
      <c r="J857" s="60" t="n"/>
      <c r="K857" s="60" t="n"/>
      <c r="L857" s="158">
        <f>+H857*J857</f>
        <v/>
      </c>
      <c r="M857" s="159">
        <f>SUM(M856+K857-L857)</f>
        <v/>
      </c>
      <c r="N857" s="60" t="n"/>
      <c r="O857" s="60" t="n"/>
      <c r="P857" s="60" t="n"/>
      <c r="Q857" s="60" t="n"/>
      <c r="R857" s="60" t="n"/>
      <c r="S857" s="60" t="n"/>
      <c r="T857" s="60" t="n"/>
      <c r="U857" s="60" t="n"/>
      <c r="V857" s="60" t="n"/>
      <c r="W857" s="60" t="n"/>
      <c r="X857" s="60" t="n"/>
      <c r="Y857" s="60" t="n"/>
      <c r="Z857" s="60" t="n"/>
    </row>
    <row r="858">
      <c r="A858" s="151" t="n">
        <v>46091</v>
      </c>
      <c r="B858" s="70" t="n">
        <v>465</v>
      </c>
      <c r="C858" s="115" t="inlineStr">
        <is>
          <t>MEGA</t>
        </is>
      </c>
      <c r="D858" s="115" t="inlineStr">
        <is>
          <t>SM300</t>
        </is>
      </c>
      <c r="E858" s="115" t="inlineStr">
        <is>
          <t>TEKİN</t>
        </is>
      </c>
      <c r="F858" s="65" t="n"/>
      <c r="G858" s="152" t="n">
        <v>356</v>
      </c>
      <c r="H858" s="60" t="n"/>
      <c r="I858" s="156">
        <f>+I857+(G858-H858)</f>
        <v/>
      </c>
      <c r="J858" s="60" t="n"/>
      <c r="K858" s="60" t="n"/>
      <c r="L858" s="158">
        <f>+H858*J858</f>
        <v/>
      </c>
      <c r="M858" s="159">
        <f>SUM(M857+K858-L858)</f>
        <v/>
      </c>
      <c r="N858" s="60" t="n"/>
      <c r="O858" s="60" t="n"/>
      <c r="P858" s="60" t="n"/>
      <c r="Q858" s="60" t="n"/>
      <c r="R858" s="60" t="n"/>
      <c r="S858" s="60" t="n"/>
      <c r="T858" s="60" t="n"/>
      <c r="U858" s="60" t="n"/>
      <c r="V858" s="60" t="n"/>
      <c r="W858" s="60" t="n"/>
      <c r="X858" s="60" t="n"/>
      <c r="Y858" s="60" t="n"/>
      <c r="Z858" s="60" t="n"/>
    </row>
    <row r="859">
      <c r="A859" s="151" t="n">
        <v>46092</v>
      </c>
      <c r="B859" s="70" t="n">
        <v>1345</v>
      </c>
      <c r="C859" s="115" t="inlineStr">
        <is>
          <t>SELİM İNŞAAT</t>
        </is>
      </c>
      <c r="D859" s="115" t="inlineStr">
        <is>
          <t>34 GVZ 199</t>
        </is>
      </c>
      <c r="E859" s="115" t="inlineStr">
        <is>
          <t>HÜSEYİN DENİZ</t>
        </is>
      </c>
      <c r="F859" s="65" t="n">
        <v>228128</v>
      </c>
      <c r="G859" s="152" t="n">
        <v>497</v>
      </c>
      <c r="H859" s="60" t="n"/>
      <c r="I859" s="156">
        <f>+I858+(G859-H859)</f>
        <v/>
      </c>
      <c r="J859" s="60" t="n"/>
      <c r="K859" s="60" t="n"/>
      <c r="L859" s="158">
        <f>+H859*J859</f>
        <v/>
      </c>
      <c r="M859" s="159">
        <f>SUM(M858+K859-L859)</f>
        <v/>
      </c>
      <c r="N859" s="60" t="n"/>
      <c r="O859" s="60" t="n"/>
      <c r="P859" s="60" t="n"/>
      <c r="Q859" s="60" t="n"/>
      <c r="R859" s="60" t="n"/>
      <c r="S859" s="60" t="n"/>
      <c r="T859" s="60" t="n"/>
      <c r="U859" s="60" t="n"/>
      <c r="V859" s="60" t="n"/>
      <c r="W859" s="60" t="n"/>
      <c r="X859" s="60" t="n"/>
      <c r="Y859" s="60" t="n"/>
      <c r="Z859" s="60" t="n"/>
    </row>
    <row r="860">
      <c r="A860" s="151" t="n">
        <v>46092</v>
      </c>
      <c r="B860" s="70" t="n">
        <v>854</v>
      </c>
      <c r="C860" s="115" t="inlineStr">
        <is>
          <t>SELİM İNŞAAT</t>
        </is>
      </c>
      <c r="D860" s="115" t="inlineStr">
        <is>
          <t>34 EGR 922</t>
        </is>
      </c>
      <c r="E860" s="115" t="inlineStr">
        <is>
          <t>FARUK ÖZEN</t>
        </is>
      </c>
      <c r="F860" s="65" t="n">
        <v>506494</v>
      </c>
      <c r="G860" s="152" t="n">
        <v>565</v>
      </c>
      <c r="H860" s="60" t="n"/>
      <c r="I860" s="156">
        <f>+I859+(G860-H860)</f>
        <v/>
      </c>
      <c r="J860" s="60" t="n"/>
      <c r="K860" s="60" t="n"/>
      <c r="L860" s="158">
        <f>+H860*J860</f>
        <v/>
      </c>
      <c r="M860" s="159">
        <f>SUM(M859+K860-L860)</f>
        <v/>
      </c>
      <c r="N860" s="60" t="n"/>
      <c r="O860" s="60" t="n"/>
      <c r="P860" s="60" t="n"/>
      <c r="Q860" s="60" t="n"/>
      <c r="R860" s="60" t="n"/>
      <c r="S860" s="60" t="n"/>
      <c r="T860" s="60" t="n"/>
      <c r="U860" s="60" t="n"/>
      <c r="V860" s="60" t="n"/>
      <c r="W860" s="60" t="n"/>
      <c r="X860" s="60" t="n"/>
      <c r="Y860" s="60" t="n"/>
      <c r="Z860" s="60" t="n"/>
    </row>
    <row r="861">
      <c r="A861" s="151" t="n">
        <v>46092</v>
      </c>
      <c r="B861" s="70" t="n">
        <v>4929</v>
      </c>
      <c r="C861" s="115" t="inlineStr">
        <is>
          <t>SELİM İNŞAAT</t>
        </is>
      </c>
      <c r="D861" s="115" t="inlineStr">
        <is>
          <t>34 FBR 742</t>
        </is>
      </c>
      <c r="E861" s="115" t="inlineStr">
        <is>
          <t>ADNAN KOÇ</t>
        </is>
      </c>
      <c r="F861" s="65" t="n">
        <v>367853</v>
      </c>
      <c r="G861" s="152" t="n">
        <v>511</v>
      </c>
      <c r="H861" s="60" t="n"/>
      <c r="I861" s="156">
        <f>+I860+(G861-H861)</f>
        <v/>
      </c>
      <c r="J861" s="60" t="n"/>
      <c r="K861" s="60" t="n"/>
      <c r="L861" s="158">
        <f>+H861*J861</f>
        <v/>
      </c>
      <c r="M861" s="159">
        <f>SUM(M860+K861-L861)</f>
        <v/>
      </c>
      <c r="N861" s="60" t="n"/>
      <c r="O861" s="60" t="n"/>
      <c r="P861" s="60" t="n"/>
      <c r="Q861" s="60" t="n"/>
      <c r="R861" s="60" t="n"/>
      <c r="S861" s="60" t="n"/>
      <c r="T861" s="60" t="n"/>
      <c r="U861" s="60" t="n"/>
      <c r="V861" s="60" t="n"/>
      <c r="W861" s="60" t="n"/>
      <c r="X861" s="60" t="n"/>
      <c r="Y861" s="60" t="n"/>
      <c r="Z861" s="60" t="n"/>
    </row>
    <row r="862">
      <c r="A862" s="151" t="n">
        <v>46092</v>
      </c>
      <c r="B862" s="70" t="n">
        <v>4172</v>
      </c>
      <c r="C862" s="115" t="inlineStr">
        <is>
          <t>SELİM İNŞAAT</t>
        </is>
      </c>
      <c r="D862" s="115" t="inlineStr">
        <is>
          <t>34 FBR 748</t>
        </is>
      </c>
      <c r="E862" s="115" t="inlineStr">
        <is>
          <t>YAŞAR ÖZKAYA</t>
        </is>
      </c>
      <c r="F862" s="65" t="n">
        <v>325953</v>
      </c>
      <c r="G862" s="152" t="n">
        <v>403</v>
      </c>
      <c r="H862" s="60" t="n"/>
      <c r="I862" s="156">
        <f>+I861+(G862-H862)</f>
        <v/>
      </c>
      <c r="J862" s="60" t="n"/>
      <c r="K862" s="60" t="n"/>
      <c r="L862" s="158">
        <f>+H862*J862</f>
        <v/>
      </c>
      <c r="M862" s="159">
        <f>SUM(M861+K862-L862)</f>
        <v/>
      </c>
      <c r="N862" s="60" t="n"/>
      <c r="O862" s="60" t="n"/>
      <c r="P862" s="60" t="n"/>
      <c r="Q862" s="60" t="n"/>
      <c r="R862" s="60" t="n"/>
      <c r="S862" s="60" t="n"/>
      <c r="T862" s="60" t="n"/>
      <c r="U862" s="60" t="n"/>
      <c r="V862" s="60" t="n"/>
      <c r="W862" s="60" t="n"/>
      <c r="X862" s="60" t="n"/>
      <c r="Y862" s="60" t="n"/>
      <c r="Z862" s="60" t="n"/>
    </row>
    <row r="863">
      <c r="A863" s="151" t="n">
        <v>46092</v>
      </c>
      <c r="B863" s="70" t="n">
        <v>3334</v>
      </c>
      <c r="C863" s="115" t="inlineStr">
        <is>
          <t>SELİM İNŞAAT</t>
        </is>
      </c>
      <c r="D863" s="115" t="inlineStr">
        <is>
          <t>34  GUS 938</t>
        </is>
      </c>
      <c r="E863" s="115" t="inlineStr">
        <is>
          <t>MEHMET KAYA</t>
        </is>
      </c>
      <c r="F863" s="65" t="n">
        <v>249483</v>
      </c>
      <c r="G863" s="152" t="n">
        <v>449</v>
      </c>
      <c r="H863" s="60" t="n"/>
      <c r="I863" s="156">
        <f>+I862+(G863-H863)</f>
        <v/>
      </c>
      <c r="J863" s="60" t="n"/>
      <c r="K863" s="60" t="n"/>
      <c r="L863" s="158">
        <f>+H863*J863</f>
        <v/>
      </c>
      <c r="M863" s="159">
        <f>SUM(M862+K863-L863)</f>
        <v/>
      </c>
      <c r="N863" s="60" t="n"/>
      <c r="O863" s="60" t="n"/>
      <c r="P863" s="60" t="n"/>
      <c r="Q863" s="60" t="n"/>
      <c r="R863" s="60" t="n"/>
      <c r="S863" s="60" t="n"/>
      <c r="T863" s="60" t="n"/>
      <c r="U863" s="60" t="n"/>
      <c r="V863" s="60" t="n"/>
      <c r="W863" s="60" t="n"/>
      <c r="X863" s="60" t="n"/>
      <c r="Y863" s="60" t="n"/>
      <c r="Z863" s="60" t="n"/>
    </row>
    <row r="864">
      <c r="A864" s="151" t="n">
        <v>46092</v>
      </c>
      <c r="B864" s="70" t="n">
        <v>3432</v>
      </c>
      <c r="C864" s="115" t="inlineStr">
        <is>
          <t>SELİM İNŞAAT</t>
        </is>
      </c>
      <c r="D864" s="115" t="inlineStr">
        <is>
          <t>34 GVZ 310</t>
        </is>
      </c>
      <c r="E864" s="115" t="inlineStr">
        <is>
          <t>CELAL YÜZBAŞI</t>
        </is>
      </c>
      <c r="F864" s="65" t="n">
        <v>249878</v>
      </c>
      <c r="G864" s="152" t="n">
        <v>455</v>
      </c>
      <c r="H864" s="60" t="n"/>
      <c r="I864" s="156">
        <f>+I863+(G864-H864)</f>
        <v/>
      </c>
      <c r="J864" s="60" t="n"/>
      <c r="K864" s="60" t="n"/>
      <c r="L864" s="158">
        <f>+H864*J864</f>
        <v/>
      </c>
      <c r="M864" s="159">
        <f>SUM(M863+K864-L864)</f>
        <v/>
      </c>
      <c r="N864" s="60" t="n"/>
      <c r="O864" s="60" t="n"/>
      <c r="P864" s="60" t="n"/>
      <c r="Q864" s="60" t="n"/>
      <c r="R864" s="60" t="n"/>
      <c r="S864" s="60" t="n"/>
      <c r="T864" s="60" t="n"/>
      <c r="U864" s="60" t="n"/>
      <c r="V864" s="60" t="n"/>
      <c r="W864" s="60" t="n"/>
      <c r="X864" s="60" t="n"/>
      <c r="Y864" s="60" t="n"/>
      <c r="Z864" s="60" t="n"/>
    </row>
    <row r="865">
      <c r="A865" s="151" t="n">
        <v>46092</v>
      </c>
      <c r="B865" s="70" t="n">
        <v>3491</v>
      </c>
      <c r="C865" s="115" t="inlineStr">
        <is>
          <t>SELİM İNŞAAT</t>
        </is>
      </c>
      <c r="D865" s="115" t="inlineStr">
        <is>
          <t>34 EDB 754</t>
        </is>
      </c>
      <c r="E865" s="115" t="inlineStr">
        <is>
          <t>MUSTAFA KAYA</t>
        </is>
      </c>
      <c r="F865" s="65" t="n">
        <v>374130</v>
      </c>
      <c r="G865" s="152" t="n">
        <v>478</v>
      </c>
      <c r="H865" s="60" t="n"/>
      <c r="I865" s="156">
        <f>+I864+(G865-H865)</f>
        <v/>
      </c>
      <c r="J865" s="60" t="n"/>
      <c r="K865" s="60" t="n"/>
      <c r="L865" s="158">
        <f>+H865*J865</f>
        <v/>
      </c>
      <c r="M865" s="159">
        <f>SUM(M864+K865-L865)</f>
        <v/>
      </c>
      <c r="N865" s="60" t="n"/>
      <c r="O865" s="60" t="n"/>
      <c r="P865" s="60" t="n"/>
      <c r="Q865" s="60" t="n"/>
      <c r="R865" s="60" t="n"/>
      <c r="S865" s="60" t="n"/>
      <c r="T865" s="60" t="n"/>
      <c r="U865" s="60" t="n"/>
      <c r="V865" s="60" t="n"/>
      <c r="W865" s="60" t="n"/>
      <c r="X865" s="60" t="n"/>
      <c r="Y865" s="60" t="n"/>
      <c r="Z865" s="60" t="n"/>
    </row>
    <row r="866">
      <c r="A866" s="151" t="n">
        <v>46092</v>
      </c>
      <c r="B866" s="70" t="n">
        <v>518</v>
      </c>
      <c r="C866" s="115" t="inlineStr">
        <is>
          <t>SELİM İNŞAAT</t>
        </is>
      </c>
      <c r="D866" s="115" t="inlineStr">
        <is>
          <t>34 EGR 737</t>
        </is>
      </c>
      <c r="E866" s="115" t="inlineStr">
        <is>
          <t>CEM MUHTAR</t>
        </is>
      </c>
      <c r="F866" s="65" t="n">
        <v>463652</v>
      </c>
      <c r="G866" s="152" t="n">
        <v>538</v>
      </c>
      <c r="H866" s="60" t="n"/>
      <c r="I866" s="156">
        <f>+I865+(G866-H866)</f>
        <v/>
      </c>
      <c r="J866" s="60" t="n"/>
      <c r="K866" s="60" t="n"/>
      <c r="L866" s="158">
        <f>+H866*J866</f>
        <v/>
      </c>
      <c r="M866" s="159">
        <f>SUM(M865+K866-L866)</f>
        <v/>
      </c>
      <c r="N866" s="60" t="n"/>
      <c r="O866" s="60" t="n"/>
      <c r="P866" s="60" t="n"/>
      <c r="Q866" s="60" t="n"/>
      <c r="R866" s="60" t="n"/>
      <c r="S866" s="60" t="n"/>
      <c r="T866" s="60" t="n"/>
      <c r="U866" s="60" t="n"/>
      <c r="V866" s="60" t="n"/>
      <c r="W866" s="60" t="n"/>
      <c r="X866" s="60" t="n"/>
      <c r="Y866" s="60" t="n"/>
      <c r="Z866" s="60" t="n"/>
    </row>
    <row r="867">
      <c r="A867" s="151" t="n">
        <v>46092</v>
      </c>
      <c r="B867" s="70" t="n">
        <v>3047</v>
      </c>
      <c r="C867" s="115" t="inlineStr">
        <is>
          <t>SELİM İNŞAAT</t>
        </is>
      </c>
      <c r="D867" s="115" t="inlineStr">
        <is>
          <t>34 FBR 781</t>
        </is>
      </c>
      <c r="E867" s="115" t="inlineStr">
        <is>
          <t>MEVLÜT POLAT</t>
        </is>
      </c>
      <c r="F867" s="65" t="n">
        <v>364166</v>
      </c>
      <c r="G867" s="152" t="n">
        <v>435</v>
      </c>
      <c r="H867" s="60" t="n"/>
      <c r="I867" s="156">
        <f>+I866+(G867-H867)</f>
        <v/>
      </c>
      <c r="J867" s="60" t="n"/>
      <c r="K867" s="60" t="n"/>
      <c r="L867" s="158">
        <f>+H867*J867</f>
        <v/>
      </c>
      <c r="M867" s="159">
        <f>SUM(M866+K867-L867)</f>
        <v/>
      </c>
      <c r="N867" s="60" t="n"/>
      <c r="O867" s="60" t="n"/>
      <c r="P867" s="60" t="n"/>
      <c r="Q867" s="60" t="n"/>
      <c r="R867" s="60" t="n"/>
      <c r="S867" s="60" t="n"/>
      <c r="T867" s="60" t="n"/>
      <c r="U867" s="60" t="n"/>
      <c r="V867" s="60" t="n"/>
      <c r="W867" s="60" t="n"/>
      <c r="X867" s="60" t="n"/>
      <c r="Y867" s="60" t="n"/>
      <c r="Z867" s="60" t="n"/>
    </row>
    <row r="868">
      <c r="A868" s="151" t="n">
        <v>46092</v>
      </c>
      <c r="B868" s="70" t="n">
        <v>4517</v>
      </c>
      <c r="C868" s="115" t="inlineStr">
        <is>
          <t>SELİM İNŞAAT</t>
        </is>
      </c>
      <c r="D868" s="115" t="inlineStr">
        <is>
          <t>34 DTV 352</t>
        </is>
      </c>
      <c r="E868" s="115" t="inlineStr">
        <is>
          <t>AZİZ ORUÇ</t>
        </is>
      </c>
      <c r="F868" s="65" t="n">
        <v>478119</v>
      </c>
      <c r="G868" s="152" t="n">
        <v>382</v>
      </c>
      <c r="H868" s="60" t="n"/>
      <c r="I868" s="156">
        <f>+I867+(G868-H868)</f>
        <v/>
      </c>
      <c r="J868" s="60" t="n"/>
      <c r="K868" s="60" t="n"/>
      <c r="L868" s="158">
        <f>+H868*J868</f>
        <v/>
      </c>
      <c r="M868" s="159">
        <f>SUM(M867+K868-L868)</f>
        <v/>
      </c>
      <c r="N868" s="60" t="n"/>
      <c r="O868" s="60" t="n"/>
      <c r="P868" s="60" t="n"/>
      <c r="Q868" s="60" t="n"/>
      <c r="R868" s="60" t="n"/>
      <c r="S868" s="60" t="n"/>
      <c r="T868" s="60" t="n"/>
      <c r="U868" s="60" t="n"/>
      <c r="V868" s="60" t="n"/>
      <c r="W868" s="60" t="n"/>
      <c r="X868" s="60" t="n"/>
      <c r="Y868" s="60" t="n"/>
      <c r="Z868" s="60" t="n"/>
    </row>
    <row r="869">
      <c r="A869" s="151" t="n">
        <v>46092</v>
      </c>
      <c r="B869" s="70" t="n">
        <v>3394</v>
      </c>
      <c r="C869" s="115" t="inlineStr">
        <is>
          <t>SELİM İNŞAAT</t>
        </is>
      </c>
      <c r="D869" s="115" t="inlineStr">
        <is>
          <t>34 EDC 162</t>
        </is>
      </c>
      <c r="E869" s="115" t="inlineStr">
        <is>
          <t>YAKUP GÜNER</t>
        </is>
      </c>
      <c r="F869" s="65" t="n">
        <v>417951</v>
      </c>
      <c r="G869" s="152" t="n">
        <v>505</v>
      </c>
      <c r="H869" s="60" t="n"/>
      <c r="I869" s="156">
        <f>+I868+(G869-H869)</f>
        <v/>
      </c>
      <c r="J869" s="60" t="n"/>
      <c r="K869" s="60" t="n"/>
      <c r="L869" s="158">
        <f>+H869*J869</f>
        <v/>
      </c>
      <c r="M869" s="159">
        <f>SUM(M868+K869-L869)</f>
        <v/>
      </c>
      <c r="N869" s="60" t="n"/>
      <c r="O869" s="60" t="n"/>
      <c r="P869" s="60" t="n"/>
      <c r="Q869" s="60" t="n"/>
      <c r="R869" s="60" t="n"/>
      <c r="S869" s="60" t="n"/>
      <c r="T869" s="60" t="n"/>
      <c r="U869" s="60" t="n"/>
      <c r="V869" s="60" t="n"/>
      <c r="W869" s="60" t="n"/>
      <c r="X869" s="60" t="n"/>
      <c r="Y869" s="60" t="n"/>
      <c r="Z869" s="60" t="n"/>
    </row>
    <row r="870">
      <c r="A870" s="151" t="n">
        <v>46092</v>
      </c>
      <c r="B870" s="70" t="n">
        <v>2546</v>
      </c>
      <c r="C870" s="115" t="inlineStr">
        <is>
          <t>AZGÜN YAPI</t>
        </is>
      </c>
      <c r="D870" s="115" t="inlineStr">
        <is>
          <t>34 MKT 593</t>
        </is>
      </c>
      <c r="E870" s="115" t="inlineStr">
        <is>
          <t>TURGUT ÇATAL</t>
        </is>
      </c>
      <c r="F870" s="65" t="n"/>
      <c r="G870" s="152" t="n">
        <v>426</v>
      </c>
      <c r="H870" s="60" t="n"/>
      <c r="I870" s="156">
        <f>+I869+(G870-H870)</f>
        <v/>
      </c>
      <c r="J870" s="60" t="n"/>
      <c r="K870" s="60" t="n"/>
      <c r="L870" s="158">
        <f>+H870*J870</f>
        <v/>
      </c>
      <c r="M870" s="159">
        <f>SUM(M869+K870-L870)</f>
        <v/>
      </c>
      <c r="N870" s="60" t="n"/>
      <c r="O870" s="60" t="n"/>
      <c r="P870" s="60" t="n"/>
      <c r="Q870" s="60" t="n"/>
      <c r="R870" s="60" t="n"/>
      <c r="S870" s="60" t="n"/>
      <c r="T870" s="60" t="n"/>
      <c r="U870" s="60" t="n"/>
      <c r="V870" s="60" t="n"/>
      <c r="W870" s="60" t="n"/>
      <c r="X870" s="60" t="n"/>
      <c r="Y870" s="60" t="n"/>
      <c r="Z870" s="60" t="n"/>
    </row>
    <row r="871">
      <c r="A871" s="151" t="n">
        <v>46092</v>
      </c>
      <c r="B871" s="70" t="n">
        <v>3289</v>
      </c>
      <c r="C871" s="115" t="inlineStr">
        <is>
          <t>AZGÜN YAPI</t>
        </is>
      </c>
      <c r="D871" s="115" t="inlineStr">
        <is>
          <t xml:space="preserve">34 DTV 263 </t>
        </is>
      </c>
      <c r="E871" s="115" t="inlineStr">
        <is>
          <t>DURSUN ALİ GÜREK</t>
        </is>
      </c>
      <c r="F871" s="65" t="n"/>
      <c r="G871" s="152" t="n">
        <v>349</v>
      </c>
      <c r="H871" s="60" t="n"/>
      <c r="I871" s="156">
        <f>+I870+(G871-H871)</f>
        <v/>
      </c>
      <c r="J871" s="60" t="n"/>
      <c r="K871" s="60" t="n"/>
      <c r="L871" s="158">
        <f>+H871*J871</f>
        <v/>
      </c>
      <c r="M871" s="159">
        <f>SUM(M870+K871-L871)</f>
        <v/>
      </c>
      <c r="N871" s="60" t="n"/>
      <c r="O871" s="60" t="n"/>
      <c r="P871" s="60" t="n"/>
      <c r="Q871" s="60" t="n"/>
      <c r="R871" s="60" t="n"/>
      <c r="S871" s="60" t="n"/>
      <c r="T871" s="60" t="n"/>
      <c r="U871" s="60" t="n"/>
      <c r="V871" s="60" t="n"/>
      <c r="W871" s="60" t="n"/>
      <c r="X871" s="60" t="n"/>
      <c r="Y871" s="60" t="n"/>
      <c r="Z871" s="60" t="n"/>
    </row>
    <row r="872">
      <c r="A872" s="151" t="n">
        <v>46092</v>
      </c>
      <c r="B872" s="70" t="n">
        <v>1393</v>
      </c>
      <c r="C872" s="115" t="inlineStr">
        <is>
          <t>AZGÜN YAPI</t>
        </is>
      </c>
      <c r="D872" s="115" t="inlineStr">
        <is>
          <t>34 MKT859</t>
        </is>
      </c>
      <c r="E872" s="115" t="inlineStr">
        <is>
          <t>İRFAN DAĞLAR</t>
        </is>
      </c>
      <c r="F872" s="65" t="n"/>
      <c r="G872" s="152" t="n">
        <v>551</v>
      </c>
      <c r="H872" s="60" t="n"/>
      <c r="I872" s="156">
        <f>+I871+(G872-H872)</f>
        <v/>
      </c>
      <c r="J872" s="60" t="n"/>
      <c r="K872" s="60" t="n"/>
      <c r="L872" s="158">
        <f>+H872*J872</f>
        <v/>
      </c>
      <c r="M872" s="159">
        <f>SUM(M871+K872-L872)</f>
        <v/>
      </c>
      <c r="N872" s="60" t="n"/>
      <c r="O872" s="60" t="n"/>
      <c r="P872" s="60" t="n"/>
      <c r="Q872" s="60" t="n"/>
      <c r="R872" s="60" t="n"/>
      <c r="S872" s="60" t="n"/>
      <c r="T872" s="60" t="n"/>
      <c r="U872" s="60" t="n"/>
      <c r="V872" s="60" t="n"/>
      <c r="W872" s="60" t="n"/>
      <c r="X872" s="60" t="n"/>
      <c r="Y872" s="60" t="n"/>
      <c r="Z872" s="60" t="n"/>
    </row>
    <row r="873">
      <c r="A873" s="151" t="n">
        <v>46092</v>
      </c>
      <c r="B873" s="70" t="n">
        <v>2390</v>
      </c>
      <c r="C873" s="115" t="inlineStr">
        <is>
          <t>SELİM İNŞAAT</t>
        </is>
      </c>
      <c r="D873" s="115" t="inlineStr">
        <is>
          <t>34 FEM 934</t>
        </is>
      </c>
      <c r="E873" s="115" t="inlineStr">
        <is>
          <t>DURSUN ALİ GÜREK</t>
        </is>
      </c>
      <c r="F873" s="65" t="n">
        <v>333839</v>
      </c>
      <c r="G873" s="152" t="n">
        <v>42</v>
      </c>
      <c r="H873" s="60" t="n"/>
      <c r="I873" s="156">
        <f>+I872+(G873-H873)</f>
        <v/>
      </c>
      <c r="J873" s="60" t="n"/>
      <c r="K873" s="60" t="n"/>
      <c r="L873" s="158">
        <f>+H873*J873</f>
        <v/>
      </c>
      <c r="M873" s="159">
        <f>SUM(M872+K873-L873)</f>
        <v/>
      </c>
      <c r="N873" s="60" t="n"/>
      <c r="O873" s="60" t="n"/>
      <c r="P873" s="60" t="n"/>
      <c r="Q873" s="60" t="n"/>
      <c r="R873" s="60" t="n"/>
      <c r="S873" s="60" t="n"/>
      <c r="T873" s="60" t="n"/>
      <c r="U873" s="60" t="n"/>
      <c r="V873" s="60" t="n"/>
      <c r="W873" s="60" t="n"/>
      <c r="X873" s="60" t="n"/>
      <c r="Y873" s="60" t="n"/>
      <c r="Z873" s="60" t="n"/>
    </row>
    <row r="874">
      <c r="A874" s="151" t="n">
        <v>46092</v>
      </c>
      <c r="B874" s="70" t="n">
        <v>4467</v>
      </c>
      <c r="C874" s="115" t="inlineStr">
        <is>
          <t>SELİM İNŞAAT</t>
        </is>
      </c>
      <c r="D874" s="115" t="inlineStr">
        <is>
          <t>34 DKL 798</t>
        </is>
      </c>
      <c r="E874" s="115" t="inlineStr">
        <is>
          <t>HASAN BAYCA</t>
        </is>
      </c>
      <c r="F874" s="65" t="n">
        <v>81588</v>
      </c>
      <c r="G874" s="152" t="n">
        <v>370</v>
      </c>
      <c r="H874" s="60" t="n"/>
      <c r="I874" s="156">
        <f>+I873+(G874-H874)</f>
        <v/>
      </c>
      <c r="J874" s="60" t="n"/>
      <c r="K874" s="60" t="n"/>
      <c r="L874" s="158">
        <f>+H874*J874</f>
        <v/>
      </c>
      <c r="M874" s="159">
        <f>SUM(M873+K874-L874)</f>
        <v/>
      </c>
      <c r="N874" s="60" t="n"/>
      <c r="O874" s="60" t="n"/>
      <c r="P874" s="60" t="n"/>
      <c r="Q874" s="60" t="n"/>
      <c r="R874" s="60" t="n"/>
      <c r="S874" s="60" t="n"/>
      <c r="T874" s="60" t="n"/>
      <c r="U874" s="60" t="n"/>
      <c r="V874" s="60" t="n"/>
      <c r="W874" s="60" t="n"/>
      <c r="X874" s="60" t="n"/>
      <c r="Y874" s="60" t="n"/>
      <c r="Z874" s="60" t="n"/>
    </row>
    <row r="875">
      <c r="A875" s="151" t="n">
        <v>46092</v>
      </c>
      <c r="B875" s="70" t="n">
        <v>2593</v>
      </c>
      <c r="C875" s="115" t="inlineStr">
        <is>
          <t>SELİM İNŞAAT</t>
        </is>
      </c>
      <c r="D875" s="115" t="inlineStr">
        <is>
          <t>34 GER 028</t>
        </is>
      </c>
      <c r="E875" s="115" t="inlineStr">
        <is>
          <t>ABDÜLKERİM ERGEN</t>
        </is>
      </c>
      <c r="F875" s="65" t="n">
        <v>60756</v>
      </c>
      <c r="G875" s="152" t="n">
        <v>382</v>
      </c>
      <c r="H875" s="60" t="n"/>
      <c r="I875" s="156">
        <f>+I874+(G875-H875)</f>
        <v/>
      </c>
      <c r="J875" s="60" t="n"/>
      <c r="K875" s="60" t="n"/>
      <c r="L875" s="158">
        <f>+H875*J875</f>
        <v/>
      </c>
      <c r="M875" s="159">
        <f>SUM(M874+K875-L875)</f>
        <v/>
      </c>
      <c r="N875" s="60" t="n"/>
      <c r="O875" s="60" t="n"/>
      <c r="P875" s="60" t="n"/>
      <c r="Q875" s="60" t="n"/>
      <c r="R875" s="60" t="n"/>
      <c r="S875" s="60" t="n"/>
      <c r="T875" s="60" t="n"/>
      <c r="U875" s="60" t="n"/>
      <c r="V875" s="60" t="n"/>
      <c r="W875" s="60" t="n"/>
      <c r="X875" s="60" t="n"/>
      <c r="Y875" s="60" t="n"/>
      <c r="Z875" s="60" t="n"/>
    </row>
    <row r="876">
      <c r="A876" s="151" t="n">
        <v>46092</v>
      </c>
      <c r="B876" s="70" t="n">
        <v>2982</v>
      </c>
      <c r="C876" s="115" t="inlineStr">
        <is>
          <t>SELİM İNŞAAT</t>
        </is>
      </c>
      <c r="D876" s="115" t="inlineStr">
        <is>
          <t>34 DFE 454</t>
        </is>
      </c>
      <c r="E876" s="115" t="inlineStr">
        <is>
          <t>HÜSEYİN ALIN</t>
        </is>
      </c>
      <c r="F876" s="65" t="n">
        <v>175080</v>
      </c>
      <c r="G876" s="152" t="n">
        <v>409</v>
      </c>
      <c r="H876" s="60" t="n"/>
      <c r="I876" s="156">
        <f>+I875+(G876-H876)</f>
        <v/>
      </c>
      <c r="J876" s="60" t="n"/>
      <c r="K876" s="60" t="n"/>
      <c r="L876" s="158">
        <f>+H876*J876</f>
        <v/>
      </c>
      <c r="M876" s="159">
        <f>SUM(M875+K876-L876)</f>
        <v/>
      </c>
      <c r="N876" s="60" t="n"/>
      <c r="O876" s="60" t="n"/>
      <c r="P876" s="60" t="n"/>
      <c r="Q876" s="60" t="n"/>
      <c r="R876" s="60" t="n"/>
      <c r="S876" s="60" t="n"/>
      <c r="T876" s="60" t="n"/>
      <c r="U876" s="60" t="n"/>
      <c r="V876" s="60" t="n"/>
      <c r="W876" s="60" t="n"/>
      <c r="X876" s="60" t="n"/>
      <c r="Y876" s="60" t="n"/>
      <c r="Z876" s="60" t="n"/>
    </row>
    <row r="877">
      <c r="A877" s="151" t="n">
        <v>46092</v>
      </c>
      <c r="B877" s="70" t="n">
        <v>3731</v>
      </c>
      <c r="C877" s="115" t="inlineStr">
        <is>
          <t>SELİM İNŞAAT</t>
        </is>
      </c>
      <c r="D877" s="115" t="inlineStr">
        <is>
          <t>34 DKL 866</t>
        </is>
      </c>
      <c r="E877" s="115" t="inlineStr">
        <is>
          <t>SELİMCAN ÖNVER</t>
        </is>
      </c>
      <c r="F877" s="65" t="n">
        <v>82834</v>
      </c>
      <c r="G877" s="152" t="n">
        <v>344</v>
      </c>
      <c r="H877" s="60" t="n"/>
      <c r="I877" s="156">
        <f>+I876+(G877-H877)</f>
        <v/>
      </c>
      <c r="J877" s="60" t="n"/>
      <c r="K877" s="60" t="n"/>
      <c r="L877" s="158">
        <f>+H877*J877</f>
        <v/>
      </c>
      <c r="M877" s="159">
        <f>SUM(M876+K877-L877)</f>
        <v/>
      </c>
      <c r="N877" s="60" t="n"/>
      <c r="O877" s="60" t="n"/>
      <c r="P877" s="60" t="n"/>
      <c r="Q877" s="60" t="n"/>
      <c r="R877" s="60" t="n"/>
      <c r="S877" s="60" t="n"/>
      <c r="T877" s="60" t="n"/>
      <c r="U877" s="60" t="n"/>
      <c r="V877" s="60" t="n"/>
      <c r="W877" s="60" t="n"/>
      <c r="X877" s="60" t="n"/>
      <c r="Y877" s="60" t="n"/>
      <c r="Z877" s="60" t="n"/>
    </row>
    <row r="878">
      <c r="A878" s="151" t="n">
        <v>46092</v>
      </c>
      <c r="B878" s="70" t="n">
        <v>756</v>
      </c>
      <c r="C878" s="115" t="inlineStr">
        <is>
          <t>METİN ERYİĞİT</t>
        </is>
      </c>
      <c r="D878" s="115" t="inlineStr">
        <is>
          <t>34 EGR 814</t>
        </is>
      </c>
      <c r="E878" s="115" t="inlineStr">
        <is>
          <t>ZİYA İNCE</t>
        </is>
      </c>
      <c r="F878" s="65" t="n"/>
      <c r="G878" s="152" t="n">
        <v>409</v>
      </c>
      <c r="H878" s="60" t="n"/>
      <c r="I878" s="156">
        <f>+I877+(G878-H878)</f>
        <v/>
      </c>
      <c r="J878" s="60" t="n"/>
      <c r="K878" s="60" t="n"/>
      <c r="L878" s="158">
        <f>+H878*J878</f>
        <v/>
      </c>
      <c r="M878" s="159">
        <f>SUM(M877+K878-L878)</f>
        <v/>
      </c>
      <c r="N878" s="60" t="n"/>
      <c r="O878" s="60" t="n"/>
      <c r="P878" s="60" t="n"/>
      <c r="Q878" s="60" t="n"/>
      <c r="R878" s="60" t="n"/>
      <c r="S878" s="60" t="n"/>
      <c r="T878" s="60" t="n"/>
      <c r="U878" s="60" t="n"/>
      <c r="V878" s="60" t="n"/>
      <c r="W878" s="60" t="n"/>
      <c r="X878" s="60" t="n"/>
      <c r="Y878" s="60" t="n"/>
      <c r="Z878" s="60" t="n"/>
    </row>
    <row r="879">
      <c r="A879" s="151" t="n">
        <v>46092</v>
      </c>
      <c r="B879" s="70" t="n">
        <v>466</v>
      </c>
      <c r="C879" s="115" t="inlineStr">
        <is>
          <t>MEGA</t>
        </is>
      </c>
      <c r="D879" s="115" t="inlineStr">
        <is>
          <t>SM350</t>
        </is>
      </c>
      <c r="E879" s="115" t="inlineStr">
        <is>
          <t>MİKAİL</t>
        </is>
      </c>
      <c r="F879" s="65" t="n"/>
      <c r="G879" s="152" t="n">
        <v>452</v>
      </c>
      <c r="H879" s="60" t="n"/>
      <c r="I879" s="156">
        <f>+I878+(G879-H879)</f>
        <v/>
      </c>
      <c r="J879" s="60" t="n"/>
      <c r="K879" s="60" t="n"/>
      <c r="L879" s="158">
        <f>+H879*J879</f>
        <v/>
      </c>
      <c r="M879" s="159">
        <f>SUM(M878+K879-L879)</f>
        <v/>
      </c>
      <c r="N879" s="60" t="n"/>
      <c r="O879" s="60" t="n"/>
      <c r="P879" s="60" t="n"/>
      <c r="Q879" s="60" t="n"/>
      <c r="R879" s="60" t="n"/>
      <c r="S879" s="60" t="n"/>
      <c r="T879" s="60" t="n"/>
      <c r="U879" s="60" t="n"/>
      <c r="V879" s="60" t="n"/>
      <c r="W879" s="60" t="n"/>
      <c r="X879" s="60" t="n"/>
      <c r="Y879" s="60" t="n"/>
      <c r="Z879" s="60" t="n"/>
    </row>
    <row r="880">
      <c r="A880" s="151" t="n">
        <v>46092</v>
      </c>
      <c r="B880" s="70" t="n">
        <v>467</v>
      </c>
      <c r="C880" s="115" t="inlineStr">
        <is>
          <t>KOZMO</t>
        </is>
      </c>
      <c r="D880" s="115" t="inlineStr">
        <is>
          <t>HİTACHİ</t>
        </is>
      </c>
      <c r="E880" s="115" t="inlineStr">
        <is>
          <t>TURGUT</t>
        </is>
      </c>
      <c r="F880" s="65" t="n"/>
      <c r="G880" s="152" t="n">
        <v>356</v>
      </c>
      <c r="H880" s="60" t="n"/>
      <c r="I880" s="156">
        <f>+I879+(G880-H880)</f>
        <v/>
      </c>
      <c r="J880" s="60" t="n"/>
      <c r="K880" s="60" t="n"/>
      <c r="L880" s="158">
        <f>+H880*J880</f>
        <v/>
      </c>
      <c r="M880" s="159">
        <f>SUM(M879+K880-L880)</f>
        <v/>
      </c>
      <c r="N880" s="60" t="n"/>
      <c r="O880" s="60" t="n"/>
      <c r="P880" s="60" t="n"/>
      <c r="Q880" s="60" t="n"/>
      <c r="R880" s="60" t="n"/>
      <c r="S880" s="60" t="n"/>
      <c r="T880" s="60" t="n"/>
      <c r="U880" s="60" t="n"/>
      <c r="V880" s="60" t="n"/>
      <c r="W880" s="60" t="n"/>
      <c r="X880" s="60" t="n"/>
      <c r="Y880" s="60" t="n"/>
      <c r="Z880" s="60" t="n"/>
    </row>
    <row r="881">
      <c r="A881" s="151" t="n">
        <v>46092</v>
      </c>
      <c r="B881" s="70" t="n">
        <v>468</v>
      </c>
      <c r="C881" s="115" t="inlineStr">
        <is>
          <t>VARLIK</t>
        </is>
      </c>
      <c r="D881" s="115" t="inlineStr">
        <is>
          <t>KAWAZAKİ</t>
        </is>
      </c>
      <c r="E881" s="115" t="inlineStr">
        <is>
          <t>RAMAZAN</t>
        </is>
      </c>
      <c r="F881" s="65" t="n"/>
      <c r="G881" s="152" t="n">
        <v>284</v>
      </c>
      <c r="H881" s="60" t="n"/>
      <c r="I881" s="156">
        <f>+I880+(G881-H881)</f>
        <v/>
      </c>
      <c r="J881" s="60" t="n"/>
      <c r="K881" s="60" t="n"/>
      <c r="L881" s="158">
        <f>+H881*J881</f>
        <v/>
      </c>
      <c r="M881" s="159">
        <f>SUM(M880+K881-L881)</f>
        <v/>
      </c>
      <c r="N881" s="60" t="n"/>
      <c r="O881" s="60" t="n"/>
      <c r="P881" s="60" t="n"/>
      <c r="Q881" s="60" t="n"/>
      <c r="R881" s="60" t="n"/>
      <c r="S881" s="60" t="n"/>
      <c r="T881" s="60" t="n"/>
      <c r="U881" s="60" t="n"/>
      <c r="V881" s="60" t="n"/>
      <c r="W881" s="60" t="n"/>
      <c r="X881" s="60" t="n"/>
      <c r="Y881" s="60" t="n"/>
      <c r="Z881" s="60" t="n"/>
    </row>
    <row r="882">
      <c r="A882" s="151" t="n">
        <v>46092</v>
      </c>
      <c r="B882" s="70" t="n">
        <v>469</v>
      </c>
      <c r="C882" s="115" t="inlineStr">
        <is>
          <t>VARLIK</t>
        </is>
      </c>
      <c r="D882" s="115" t="inlineStr">
        <is>
          <t>JCB</t>
        </is>
      </c>
      <c r="E882" s="115" t="inlineStr">
        <is>
          <t>BAYRAM SANCAK</t>
        </is>
      </c>
      <c r="F882" s="65" t="n"/>
      <c r="G882" s="152" t="n">
        <v>70</v>
      </c>
      <c r="H882" s="60" t="n"/>
      <c r="I882" s="156">
        <f>+I881+(G882-H882)</f>
        <v/>
      </c>
      <c r="J882" s="60" t="n"/>
      <c r="K882" s="60" t="n"/>
      <c r="L882" s="158">
        <f>+H882*J882</f>
        <v/>
      </c>
      <c r="M882" s="159">
        <f>SUM(M881+K882-L882)</f>
        <v/>
      </c>
      <c r="N882" s="60" t="n"/>
      <c r="O882" s="60" t="n"/>
      <c r="P882" s="60" t="n"/>
      <c r="Q882" s="60" t="n"/>
      <c r="R882" s="60" t="n"/>
      <c r="S882" s="60" t="n"/>
      <c r="T882" s="60" t="n"/>
      <c r="U882" s="60" t="n"/>
      <c r="V882" s="60" t="n"/>
      <c r="W882" s="60" t="n"/>
      <c r="X882" s="60" t="n"/>
      <c r="Y882" s="60" t="n"/>
      <c r="Z882" s="60" t="n"/>
    </row>
    <row r="883">
      <c r="A883" s="151" t="n">
        <v>46092</v>
      </c>
      <c r="B883" s="70" t="n">
        <v>470</v>
      </c>
      <c r="C883" s="115" t="inlineStr">
        <is>
          <t>EVKUR</t>
        </is>
      </c>
      <c r="D883" s="115" t="inlineStr">
        <is>
          <t>KİRALIK KATO</t>
        </is>
      </c>
      <c r="E883" s="115" t="inlineStr">
        <is>
          <t>GÜNEŞ</t>
        </is>
      </c>
      <c r="F883" s="65" t="n"/>
      <c r="G883" s="152" t="n">
        <v>62</v>
      </c>
      <c r="H883" s="60" t="n"/>
      <c r="I883" s="156">
        <f>+I882+(G883-H883)</f>
        <v/>
      </c>
      <c r="J883" s="60" t="n"/>
      <c r="K883" s="60" t="n"/>
      <c r="L883" s="158">
        <f>+H883*J883</f>
        <v/>
      </c>
      <c r="M883" s="159">
        <f>SUM(M882+K883-L883)</f>
        <v/>
      </c>
      <c r="N883" s="60" t="n"/>
      <c r="O883" s="60" t="n"/>
      <c r="P883" s="60" t="n"/>
      <c r="Q883" s="60" t="n"/>
      <c r="R883" s="60" t="n"/>
      <c r="S883" s="60" t="n"/>
      <c r="T883" s="60" t="n"/>
      <c r="U883" s="60" t="n"/>
      <c r="V883" s="60" t="n"/>
      <c r="W883" s="60" t="n"/>
      <c r="X883" s="60" t="n"/>
      <c r="Y883" s="60" t="n"/>
      <c r="Z883" s="60" t="n"/>
    </row>
    <row r="884">
      <c r="A884" s="151" t="n">
        <v>46092</v>
      </c>
      <c r="B884" s="70" t="n">
        <v>471</v>
      </c>
      <c r="C884" s="115" t="inlineStr">
        <is>
          <t>EVKUR</t>
        </is>
      </c>
      <c r="D884" s="115" t="inlineStr">
        <is>
          <t>SİLİNDİR</t>
        </is>
      </c>
      <c r="E884" s="115" t="inlineStr">
        <is>
          <t>ÖNER</t>
        </is>
      </c>
      <c r="F884" s="65" t="n"/>
      <c r="G884" s="152" t="n">
        <v>284</v>
      </c>
      <c r="H884" s="60" t="n"/>
      <c r="I884" s="156">
        <f>+I883+(G884-H884)</f>
        <v/>
      </c>
      <c r="J884" s="60" t="n"/>
      <c r="K884" s="60" t="n"/>
      <c r="L884" s="158">
        <f>+H884*J884</f>
        <v/>
      </c>
      <c r="M884" s="159">
        <f>SUM(M883+K884-L884)</f>
        <v/>
      </c>
      <c r="N884" s="60" t="n"/>
      <c r="O884" s="60" t="n"/>
      <c r="P884" s="60" t="n"/>
      <c r="Q884" s="60" t="n"/>
      <c r="R884" s="60" t="n"/>
      <c r="S884" s="60" t="n"/>
      <c r="T884" s="60" t="n"/>
      <c r="U884" s="60" t="n"/>
      <c r="V884" s="60" t="n"/>
      <c r="W884" s="60" t="n"/>
      <c r="X884" s="60" t="n"/>
      <c r="Y884" s="60" t="n"/>
      <c r="Z884" s="60" t="n"/>
    </row>
    <row r="885">
      <c r="A885" s="151" t="n">
        <v>46092</v>
      </c>
      <c r="B885" s="70" t="n">
        <v>472</v>
      </c>
      <c r="C885" s="115" t="inlineStr">
        <is>
          <t>DELİKLİKAYA</t>
        </is>
      </c>
      <c r="D885" s="115" t="inlineStr">
        <is>
          <t>DELİKLİKAYA</t>
        </is>
      </c>
      <c r="E885" s="115" t="inlineStr">
        <is>
          <t>MUHAMMET</t>
        </is>
      </c>
      <c r="F885" s="65" t="n"/>
      <c r="G885" s="152" t="n">
        <v>175</v>
      </c>
      <c r="H885" s="60" t="n"/>
      <c r="I885" s="156">
        <f>+I884+(G885-H885)</f>
        <v/>
      </c>
      <c r="J885" s="60" t="n"/>
      <c r="K885" s="60" t="n"/>
      <c r="L885" s="158">
        <f>+H885*J885</f>
        <v/>
      </c>
      <c r="M885" s="159">
        <f>SUM(M884+K885-L885)</f>
        <v/>
      </c>
      <c r="N885" s="60" t="n"/>
      <c r="O885" s="60" t="n"/>
      <c r="P885" s="60" t="n"/>
      <c r="Q885" s="60" t="n"/>
      <c r="R885" s="60" t="n"/>
      <c r="S885" s="60" t="n"/>
      <c r="T885" s="60" t="n"/>
      <c r="U885" s="60" t="n"/>
      <c r="V885" s="60" t="n"/>
      <c r="W885" s="60" t="n"/>
      <c r="X885" s="60" t="n"/>
      <c r="Y885" s="60" t="n"/>
      <c r="Z885" s="60" t="n"/>
    </row>
    <row r="886">
      <c r="A886" s="151" t="n">
        <v>46092</v>
      </c>
      <c r="B886" s="70" t="n">
        <v>473</v>
      </c>
      <c r="C886" s="115" t="inlineStr">
        <is>
          <t>CEVİZ</t>
        </is>
      </c>
      <c r="D886" s="115" t="inlineStr">
        <is>
          <t>FORKLİFT</t>
        </is>
      </c>
      <c r="E886" s="115" t="inlineStr">
        <is>
          <t>CEMAL AKYOL</t>
        </is>
      </c>
      <c r="F886" s="65" t="n"/>
      <c r="G886" s="152" t="n">
        <v>34</v>
      </c>
      <c r="H886" s="60" t="n"/>
      <c r="I886" s="156">
        <f>+I885+(G886-H886)</f>
        <v/>
      </c>
      <c r="J886" s="60" t="n"/>
      <c r="K886" s="60" t="n"/>
      <c r="L886" s="158">
        <f>+H886*J886</f>
        <v/>
      </c>
      <c r="M886" s="159">
        <f>SUM(M885+K886-L886)</f>
        <v/>
      </c>
      <c r="N886" s="60" t="n"/>
      <c r="O886" s="60" t="n"/>
      <c r="P886" s="60" t="n"/>
      <c r="Q886" s="60" t="n"/>
      <c r="R886" s="60" t="n"/>
      <c r="S886" s="60" t="n"/>
      <c r="T886" s="60" t="n"/>
      <c r="U886" s="60" t="n"/>
      <c r="V886" s="60" t="n"/>
      <c r="W886" s="60" t="n"/>
      <c r="X886" s="60" t="n"/>
      <c r="Y886" s="60" t="n"/>
      <c r="Z886" s="60" t="n"/>
    </row>
    <row r="887">
      <c r="A887" s="151" t="n">
        <v>46092</v>
      </c>
      <c r="B887" s="70" t="n">
        <v>474</v>
      </c>
      <c r="C887" s="115" t="inlineStr">
        <is>
          <t>MEGA</t>
        </is>
      </c>
      <c r="D887" s="115" t="inlineStr">
        <is>
          <t>SM300</t>
        </is>
      </c>
      <c r="E887" s="115" t="inlineStr">
        <is>
          <t>TEKİN</t>
        </is>
      </c>
      <c r="F887" s="65" t="n"/>
      <c r="G887" s="152" t="n">
        <v>382</v>
      </c>
      <c r="H887" s="60" t="n"/>
      <c r="I887" s="156">
        <f>+I886+(G887-H887)</f>
        <v/>
      </c>
      <c r="J887" s="60" t="n"/>
      <c r="K887" s="60" t="n"/>
      <c r="L887" s="158">
        <f>+H887*J887</f>
        <v/>
      </c>
      <c r="M887" s="159">
        <f>SUM(M886+K887-L887)</f>
        <v/>
      </c>
      <c r="N887" s="60" t="n"/>
      <c r="O887" s="60" t="n"/>
      <c r="P887" s="60" t="n"/>
      <c r="Q887" s="60" t="n"/>
      <c r="R887" s="60" t="n"/>
      <c r="S887" s="60" t="n"/>
      <c r="T887" s="60" t="n"/>
      <c r="U887" s="60" t="n"/>
      <c r="V887" s="60" t="n"/>
      <c r="W887" s="60" t="n"/>
      <c r="X887" s="60" t="n"/>
      <c r="Y887" s="60" t="n"/>
      <c r="Z887" s="60" t="n"/>
    </row>
    <row r="888">
      <c r="A888" s="151" t="n">
        <v>46093</v>
      </c>
      <c r="B888" s="70" t="n">
        <v>2798</v>
      </c>
      <c r="C888" s="115" t="inlineStr">
        <is>
          <t>SELİM İNŞAAT</t>
        </is>
      </c>
      <c r="D888" s="115" t="inlineStr">
        <is>
          <t>34 EDC 086</t>
        </is>
      </c>
      <c r="E888" s="115" t="inlineStr">
        <is>
          <t>SEZGİN KOCAGİL</t>
        </is>
      </c>
      <c r="F888" s="65" t="n">
        <v>378353</v>
      </c>
      <c r="G888" s="152" t="n">
        <v>395</v>
      </c>
      <c r="H888" s="60" t="n"/>
      <c r="I888" s="156">
        <f>+I887+(G888-H888)</f>
        <v/>
      </c>
      <c r="J888" s="60" t="n"/>
      <c r="K888" s="60" t="n"/>
      <c r="L888" s="158">
        <f>+H888*J888</f>
        <v/>
      </c>
      <c r="M888" s="159">
        <f>SUM(M887+K888-L888)</f>
        <v/>
      </c>
      <c r="N888" s="60" t="n"/>
      <c r="O888" s="60" t="n"/>
      <c r="P888" s="60" t="n"/>
      <c r="Q888" s="60" t="n"/>
      <c r="R888" s="60" t="n"/>
      <c r="S888" s="60" t="n"/>
      <c r="T888" s="60" t="n"/>
      <c r="U888" s="60" t="n"/>
      <c r="V888" s="60" t="n"/>
      <c r="W888" s="60" t="n"/>
      <c r="X888" s="60" t="n"/>
      <c r="Y888" s="60" t="n"/>
      <c r="Z888" s="60" t="n"/>
    </row>
    <row r="889">
      <c r="A889" s="151" t="n">
        <v>46093</v>
      </c>
      <c r="B889" s="70" t="n">
        <v>16</v>
      </c>
      <c r="C889" s="115" t="inlineStr">
        <is>
          <t>SELİM İNŞAAT</t>
        </is>
      </c>
      <c r="D889" s="115" t="inlineStr">
        <is>
          <t xml:space="preserve">34 GVZ 268 </t>
        </is>
      </c>
      <c r="E889" s="115" t="inlineStr">
        <is>
          <t>KERİM KARAMAN</t>
        </is>
      </c>
      <c r="F889" s="65" t="n">
        <v>253773</v>
      </c>
      <c r="G889" s="152" t="n">
        <v>472</v>
      </c>
      <c r="H889" s="60" t="n"/>
      <c r="I889" s="156">
        <f>+I888+(G889-H889)</f>
        <v/>
      </c>
      <c r="J889" s="60" t="n"/>
      <c r="K889" s="60" t="n"/>
      <c r="L889" s="158">
        <f>+H889*J889</f>
        <v/>
      </c>
      <c r="M889" s="159">
        <f>SUM(M888+K889-L889)</f>
        <v/>
      </c>
      <c r="N889" s="60" t="n"/>
      <c r="O889" s="60" t="n"/>
      <c r="P889" s="60" t="n"/>
      <c r="Q889" s="60" t="n"/>
      <c r="R889" s="60" t="n"/>
      <c r="S889" s="60" t="n"/>
      <c r="T889" s="60" t="n"/>
      <c r="U889" s="60" t="n"/>
      <c r="V889" s="60" t="n"/>
      <c r="W889" s="60" t="n"/>
      <c r="X889" s="60" t="n"/>
      <c r="Y889" s="60" t="n"/>
      <c r="Z889" s="60" t="n"/>
    </row>
    <row r="890">
      <c r="A890" s="151" t="n">
        <v>46093</v>
      </c>
      <c r="B890" s="70" t="n">
        <v>4119</v>
      </c>
      <c r="C890" s="115" t="inlineStr">
        <is>
          <t>SELİM İNŞAAT</t>
        </is>
      </c>
      <c r="D890" s="115" t="inlineStr">
        <is>
          <t>34 EDB 659</t>
        </is>
      </c>
      <c r="E890" s="115" t="inlineStr">
        <is>
          <t>YASİN ÇATAKLI</t>
        </is>
      </c>
      <c r="F890" s="65" t="n">
        <v>392590</v>
      </c>
      <c r="G890" s="152" t="n">
        <v>540</v>
      </c>
      <c r="H890" s="60" t="n"/>
      <c r="I890" s="156">
        <f>+I889+(G890-H890)</f>
        <v/>
      </c>
      <c r="J890" s="60" t="n"/>
      <c r="K890" s="60" t="n"/>
      <c r="L890" s="158">
        <f>+H890*J890</f>
        <v/>
      </c>
      <c r="M890" s="159">
        <f>SUM(M889+K890-L890)</f>
        <v/>
      </c>
      <c r="N890" s="60" t="n"/>
      <c r="O890" s="60" t="n"/>
      <c r="P890" s="60" t="n"/>
      <c r="Q890" s="60" t="n"/>
      <c r="R890" s="60" t="n"/>
      <c r="S890" s="60" t="n"/>
      <c r="T890" s="60" t="n"/>
      <c r="U890" s="60" t="n"/>
      <c r="V890" s="60" t="n"/>
      <c r="W890" s="60" t="n"/>
      <c r="X890" s="60" t="n"/>
      <c r="Y890" s="60" t="n"/>
      <c r="Z890" s="60" t="n"/>
    </row>
    <row r="891">
      <c r="A891" s="151" t="n">
        <v>46093</v>
      </c>
      <c r="B891" s="70" t="n">
        <v>3228</v>
      </c>
      <c r="C891" s="115" t="inlineStr">
        <is>
          <t>SELİM İNŞAAT</t>
        </is>
      </c>
      <c r="D891" s="115" t="inlineStr">
        <is>
          <t>34 EGR 736</t>
        </is>
      </c>
      <c r="E891" s="115" t="inlineStr">
        <is>
          <t>HAKAN ÇAVUŞOĞLU</t>
        </is>
      </c>
      <c r="F891" s="65" t="n">
        <v>441589</v>
      </c>
      <c r="G891" s="152" t="n">
        <v>557</v>
      </c>
      <c r="H891" s="60" t="n"/>
      <c r="I891" s="156">
        <f>+I890+(G891-H891)</f>
        <v/>
      </c>
      <c r="J891" s="60" t="n"/>
      <c r="K891" s="60" t="n"/>
      <c r="L891" s="158">
        <f>+H891*J891</f>
        <v/>
      </c>
      <c r="M891" s="159">
        <f>SUM(M890+K891-L891)</f>
        <v/>
      </c>
      <c r="N891" s="60" t="n"/>
      <c r="O891" s="60" t="n"/>
      <c r="P891" s="60" t="n"/>
      <c r="Q891" s="60" t="n"/>
      <c r="R891" s="60" t="n"/>
      <c r="S891" s="60" t="n"/>
      <c r="T891" s="60" t="n"/>
      <c r="U891" s="60" t="n"/>
      <c r="V891" s="60" t="n"/>
      <c r="W891" s="60" t="n"/>
      <c r="X891" s="60" t="n"/>
      <c r="Y891" s="60" t="n"/>
      <c r="Z891" s="60" t="n"/>
    </row>
    <row r="892">
      <c r="A892" s="151" t="n">
        <v>46093</v>
      </c>
      <c r="B892" s="70" t="n">
        <v>4976</v>
      </c>
      <c r="C892" s="115" t="inlineStr">
        <is>
          <t>SELİM İNŞAAT</t>
        </is>
      </c>
      <c r="D892" s="115" t="inlineStr">
        <is>
          <t>34 GVZ 745</t>
        </is>
      </c>
      <c r="E892" s="115" t="inlineStr">
        <is>
          <t>MURAT DEMİRBAĞ</t>
        </is>
      </c>
      <c r="F892" s="65" t="n">
        <v>249752</v>
      </c>
      <c r="G892" s="152" t="n">
        <v>456</v>
      </c>
      <c r="H892" s="60" t="n"/>
      <c r="I892" s="156">
        <f>+I891+(G892-H892)</f>
        <v/>
      </c>
      <c r="J892" s="60" t="n"/>
      <c r="K892" s="60" t="n"/>
      <c r="L892" s="158">
        <f>+H892*J892</f>
        <v/>
      </c>
      <c r="M892" s="159">
        <f>SUM(M891+K892-L892)</f>
        <v/>
      </c>
      <c r="N892" s="60" t="n"/>
      <c r="O892" s="60" t="n"/>
      <c r="P892" s="60" t="n"/>
      <c r="Q892" s="60" t="n"/>
      <c r="R892" s="60" t="n"/>
      <c r="S892" s="60" t="n"/>
      <c r="T892" s="60" t="n"/>
      <c r="U892" s="60" t="n"/>
      <c r="V892" s="60" t="n"/>
      <c r="W892" s="60" t="n"/>
      <c r="X892" s="60" t="n"/>
      <c r="Y892" s="60" t="n"/>
      <c r="Z892" s="60" t="n"/>
    </row>
    <row r="893">
      <c r="A893" s="151" t="n">
        <v>46093</v>
      </c>
      <c r="B893" s="70" t="n">
        <v>4881</v>
      </c>
      <c r="C893" s="115" t="inlineStr">
        <is>
          <t>SELİM İNŞAAT</t>
        </is>
      </c>
      <c r="D893" s="115" t="inlineStr">
        <is>
          <t>34 FBR 705</t>
        </is>
      </c>
      <c r="E893" s="115" t="inlineStr">
        <is>
          <t>MURAT SARI</t>
        </is>
      </c>
      <c r="F893" s="65" t="n">
        <v>364612</v>
      </c>
      <c r="G893" s="152" t="n">
        <v>496</v>
      </c>
      <c r="H893" s="60" t="n"/>
      <c r="I893" s="156">
        <f>+I892+(G893-H893)</f>
        <v/>
      </c>
      <c r="J893" s="60" t="n"/>
      <c r="K893" s="60" t="n"/>
      <c r="L893" s="158">
        <f>+H893*J893</f>
        <v/>
      </c>
      <c r="M893" s="159">
        <f>SUM(M892+K893-L893)</f>
        <v/>
      </c>
      <c r="N893" s="60" t="n"/>
      <c r="O893" s="60" t="n"/>
      <c r="P893" s="60" t="n"/>
      <c r="Q893" s="60" t="n"/>
      <c r="R893" s="60" t="n"/>
      <c r="S893" s="60" t="n"/>
      <c r="T893" s="60" t="n"/>
      <c r="U893" s="60" t="n"/>
      <c r="V893" s="60" t="n"/>
      <c r="W893" s="60" t="n"/>
      <c r="X893" s="60" t="n"/>
      <c r="Y893" s="60" t="n"/>
      <c r="Z893" s="60" t="n"/>
    </row>
    <row r="894">
      <c r="A894" s="151" t="n">
        <v>46093</v>
      </c>
      <c r="B894" s="70" t="n">
        <v>1633</v>
      </c>
      <c r="C894" s="115" t="inlineStr">
        <is>
          <t>SELİM İNŞAAT</t>
        </is>
      </c>
      <c r="D894" s="115" t="inlineStr">
        <is>
          <t>34 VF 2260</t>
        </is>
      </c>
      <c r="E894" s="115" t="inlineStr">
        <is>
          <t>RECEP SELİM</t>
        </is>
      </c>
      <c r="F894" s="65" t="n">
        <v>202872</v>
      </c>
      <c r="G894" s="152" t="n">
        <v>66</v>
      </c>
      <c r="H894" s="60" t="n"/>
      <c r="I894" s="156">
        <f>+I893+(G894-H894)</f>
        <v/>
      </c>
      <c r="J894" s="60" t="n"/>
      <c r="K894" s="60" t="n"/>
      <c r="L894" s="158">
        <f>+H894*J894</f>
        <v/>
      </c>
      <c r="M894" s="159">
        <f>SUM(M893+K894-L894)</f>
        <v/>
      </c>
      <c r="N894" s="60" t="n"/>
      <c r="O894" s="60" t="n"/>
      <c r="P894" s="60" t="n"/>
      <c r="Q894" s="60" t="n"/>
      <c r="R894" s="60" t="n"/>
      <c r="S894" s="60" t="n"/>
      <c r="T894" s="60" t="n"/>
      <c r="U894" s="60" t="n"/>
      <c r="V894" s="60" t="n"/>
      <c r="W894" s="60" t="n"/>
      <c r="X894" s="60" t="n"/>
      <c r="Y894" s="60" t="n"/>
      <c r="Z894" s="60" t="n"/>
    </row>
    <row r="895">
      <c r="A895" s="151" t="n">
        <v>46093</v>
      </c>
      <c r="B895" s="70" t="n">
        <v>1774</v>
      </c>
      <c r="C895" s="115" t="inlineStr">
        <is>
          <t>SELİM İNŞAAT</t>
        </is>
      </c>
      <c r="D895" s="115" t="inlineStr">
        <is>
          <t>34 JBA 25</t>
        </is>
      </c>
      <c r="E895" s="115" t="inlineStr">
        <is>
          <t>BAYRAM SANCAK</t>
        </is>
      </c>
      <c r="F895" s="65" t="n">
        <v>348414</v>
      </c>
      <c r="G895" s="152" t="n">
        <v>54</v>
      </c>
      <c r="H895" s="60" t="n"/>
      <c r="I895" s="156">
        <f>+I894+(G895-H895)</f>
        <v/>
      </c>
      <c r="J895" s="60" t="n"/>
      <c r="K895" s="60" t="n"/>
      <c r="L895" s="158">
        <f>+H895*J895</f>
        <v/>
      </c>
      <c r="M895" s="159">
        <f>SUM(M894+K895-L895)</f>
        <v/>
      </c>
      <c r="N895" s="60" t="n"/>
      <c r="O895" s="60" t="n"/>
      <c r="P895" s="60" t="n"/>
      <c r="Q895" s="60" t="n"/>
      <c r="R895" s="60" t="n"/>
      <c r="S895" s="60" t="n"/>
      <c r="T895" s="60" t="n"/>
      <c r="U895" s="60" t="n"/>
      <c r="V895" s="60" t="n"/>
      <c r="W895" s="60" t="n"/>
      <c r="X895" s="60" t="n"/>
      <c r="Y895" s="60" t="n"/>
      <c r="Z895" s="60" t="n"/>
    </row>
    <row r="896">
      <c r="A896" s="151" t="n">
        <v>46093</v>
      </c>
      <c r="B896" s="70" t="n">
        <v>653</v>
      </c>
      <c r="C896" s="115" t="inlineStr">
        <is>
          <t>SELİM İNŞAAT</t>
        </is>
      </c>
      <c r="D896" s="115" t="inlineStr">
        <is>
          <t>34 GU 945</t>
        </is>
      </c>
      <c r="E896" s="115" t="inlineStr">
        <is>
          <t>YAKUP URUCU</t>
        </is>
      </c>
      <c r="F896" s="65" t="n">
        <v>473501</v>
      </c>
      <c r="G896" s="152" t="n">
        <v>62</v>
      </c>
      <c r="H896" s="60" t="n"/>
      <c r="I896" s="156">
        <f>+I895+(G896-H896)</f>
        <v/>
      </c>
      <c r="J896" s="60" t="n"/>
      <c r="K896" s="60" t="n"/>
      <c r="L896" s="158">
        <f>+H896*J896</f>
        <v/>
      </c>
      <c r="M896" s="159">
        <f>SUM(M895+K896-L896)</f>
        <v/>
      </c>
      <c r="N896" s="60" t="n"/>
      <c r="O896" s="60" t="n"/>
      <c r="P896" s="60" t="n"/>
      <c r="Q896" s="60" t="n"/>
      <c r="R896" s="60" t="n"/>
      <c r="S896" s="60" t="n"/>
      <c r="T896" s="60" t="n"/>
      <c r="U896" s="60" t="n"/>
      <c r="V896" s="60" t="n"/>
      <c r="W896" s="60" t="n"/>
      <c r="X896" s="60" t="n"/>
      <c r="Y896" s="60" t="n"/>
      <c r="Z896" s="60" t="n"/>
    </row>
    <row r="897">
      <c r="A897" s="151" t="n">
        <v>46093</v>
      </c>
      <c r="B897" s="70" t="n">
        <v>2347</v>
      </c>
      <c r="C897" s="115" t="inlineStr">
        <is>
          <t>SELİM İNŞAAT</t>
        </is>
      </c>
      <c r="D897" s="115" t="inlineStr">
        <is>
          <t>34 DP 4161</t>
        </is>
      </c>
      <c r="E897" s="115" t="inlineStr">
        <is>
          <t>RIFAT KARATAY</t>
        </is>
      </c>
      <c r="F897" s="65" t="n">
        <v>321218</v>
      </c>
      <c r="G897" s="152" t="n">
        <v>395</v>
      </c>
      <c r="H897" s="60" t="n"/>
      <c r="I897" s="156">
        <f>+I896+(G897-H897)</f>
        <v/>
      </c>
      <c r="J897" s="60" t="n"/>
      <c r="K897" s="60" t="n"/>
      <c r="L897" s="158">
        <f>+H897*J897</f>
        <v/>
      </c>
      <c r="M897" s="159">
        <f>SUM(M896+K897-L897)</f>
        <v/>
      </c>
      <c r="N897" s="60" t="n"/>
      <c r="O897" s="60" t="n"/>
      <c r="P897" s="60" t="n"/>
      <c r="Q897" s="60" t="n"/>
      <c r="R897" s="60" t="n"/>
      <c r="S897" s="60" t="n"/>
      <c r="T897" s="60" t="n"/>
      <c r="U897" s="60" t="n"/>
      <c r="V897" s="60" t="n"/>
      <c r="W897" s="60" t="n"/>
      <c r="X897" s="60" t="n"/>
      <c r="Y897" s="60" t="n"/>
      <c r="Z897" s="60" t="n"/>
    </row>
    <row r="898">
      <c r="A898" s="151" t="n">
        <v>46093</v>
      </c>
      <c r="B898" s="70" t="n">
        <v>623</v>
      </c>
      <c r="C898" s="115" t="inlineStr">
        <is>
          <t>RECEP SELİM OTOKURTARICI</t>
        </is>
      </c>
      <c r="D898" s="115" t="inlineStr">
        <is>
          <t>34 GC 8658</t>
        </is>
      </c>
      <c r="E898" s="115" t="inlineStr">
        <is>
          <t>RECEP SELİM</t>
        </is>
      </c>
      <c r="F898" s="65" t="n"/>
      <c r="G898" s="152" t="n">
        <v>70</v>
      </c>
      <c r="H898" s="60" t="n"/>
      <c r="I898" s="156">
        <f>+I897+(G898-H898)</f>
        <v/>
      </c>
      <c r="J898" s="60" t="n"/>
      <c r="K898" s="60" t="n"/>
      <c r="L898" s="158">
        <f>+H898*J898</f>
        <v/>
      </c>
      <c r="M898" s="159">
        <f>SUM(M897+K898-L898)</f>
        <v/>
      </c>
      <c r="N898" s="60" t="n"/>
      <c r="O898" s="60" t="n"/>
      <c r="P898" s="60" t="n"/>
      <c r="Q898" s="60" t="n"/>
      <c r="R898" s="60" t="n"/>
      <c r="S898" s="60" t="n"/>
      <c r="T898" s="60" t="n"/>
      <c r="U898" s="60" t="n"/>
      <c r="V898" s="60" t="n"/>
      <c r="W898" s="60" t="n"/>
      <c r="X898" s="60" t="n"/>
      <c r="Y898" s="60" t="n"/>
      <c r="Z898" s="60" t="n"/>
    </row>
    <row r="899">
      <c r="A899" s="151" t="n">
        <v>46093</v>
      </c>
      <c r="B899" s="70" t="n">
        <v>624</v>
      </c>
      <c r="C899" s="115" t="inlineStr">
        <is>
          <t>AHMET SELİM TEMHA</t>
        </is>
      </c>
      <c r="D899" s="115" t="inlineStr">
        <is>
          <t>34 PGT 251</t>
        </is>
      </c>
      <c r="E899" s="115" t="inlineStr">
        <is>
          <t>ERSOY SIĞINMAZ</t>
        </is>
      </c>
      <c r="F899" s="65" t="n"/>
      <c r="G899" s="152" t="n">
        <v>57</v>
      </c>
      <c r="H899" s="60" t="n"/>
      <c r="I899" s="156">
        <f>+I898+(G899-H899)</f>
        <v/>
      </c>
      <c r="J899" s="60" t="n"/>
      <c r="K899" s="60" t="n"/>
      <c r="L899" s="158">
        <f>+H899*J899</f>
        <v/>
      </c>
      <c r="M899" s="159">
        <f>SUM(M898+K899-L899)</f>
        <v/>
      </c>
      <c r="N899" s="60" t="n"/>
      <c r="O899" s="60" t="n"/>
      <c r="P899" s="60" t="n"/>
      <c r="Q899" s="60" t="n"/>
      <c r="R899" s="60" t="n"/>
      <c r="S899" s="60" t="n"/>
      <c r="T899" s="60" t="n"/>
      <c r="U899" s="60" t="n"/>
      <c r="V899" s="60" t="n"/>
      <c r="W899" s="60" t="n"/>
      <c r="X899" s="60" t="n"/>
      <c r="Y899" s="60" t="n"/>
      <c r="Z899" s="60" t="n"/>
    </row>
    <row r="900">
      <c r="A900" s="151" t="n">
        <v>46093</v>
      </c>
      <c r="B900" s="70" t="n">
        <v>717</v>
      </c>
      <c r="C900" s="115" t="inlineStr">
        <is>
          <t>METİN ERYİĞİT</t>
        </is>
      </c>
      <c r="D900" s="115" t="inlineStr">
        <is>
          <t>34 EGS 013</t>
        </is>
      </c>
      <c r="E900" s="115" t="inlineStr">
        <is>
          <t>UĞUR DUMAN</t>
        </is>
      </c>
      <c r="F900" s="65" t="n"/>
      <c r="G900" s="152" t="n">
        <v>429</v>
      </c>
      <c r="H900" s="60" t="n"/>
      <c r="I900" s="156">
        <f>+I899+(G900-H900)</f>
        <v/>
      </c>
      <c r="J900" s="60" t="n"/>
      <c r="K900" s="60" t="n"/>
      <c r="L900" s="158">
        <f>+H900*J900</f>
        <v/>
      </c>
      <c r="M900" s="159">
        <f>SUM(M899+K900-L900)</f>
        <v/>
      </c>
      <c r="N900" s="60" t="n"/>
      <c r="O900" s="60" t="n"/>
      <c r="P900" s="60" t="n"/>
      <c r="Q900" s="60" t="n"/>
      <c r="R900" s="60" t="n"/>
      <c r="S900" s="60" t="n"/>
      <c r="T900" s="60" t="n"/>
      <c r="U900" s="60" t="n"/>
      <c r="V900" s="60" t="n"/>
      <c r="W900" s="60" t="n"/>
      <c r="X900" s="60" t="n"/>
      <c r="Y900" s="60" t="n"/>
      <c r="Z900" s="60" t="n"/>
    </row>
    <row r="901">
      <c r="A901" s="151" t="n">
        <v>46093</v>
      </c>
      <c r="B901" s="70" t="n">
        <v>813</v>
      </c>
      <c r="C901" s="115" t="inlineStr">
        <is>
          <t>METİN ERYİĞİT</t>
        </is>
      </c>
      <c r="D901" s="115" t="inlineStr">
        <is>
          <t>34 GBL 998</t>
        </is>
      </c>
      <c r="E901" s="115" t="inlineStr">
        <is>
          <t>ALİ KESKİN</t>
        </is>
      </c>
      <c r="F901" s="65" t="n"/>
      <c r="G901" s="152" t="n">
        <v>382</v>
      </c>
      <c r="H901" s="60" t="n"/>
      <c r="I901" s="156">
        <f>+I900+(G901-H901)</f>
        <v/>
      </c>
      <c r="J901" s="60" t="n"/>
      <c r="K901" s="60" t="n"/>
      <c r="L901" s="158">
        <f>+H901*J901</f>
        <v/>
      </c>
      <c r="M901" s="159">
        <f>SUM(M900+K901-L901)</f>
        <v/>
      </c>
      <c r="N901" s="60" t="n"/>
      <c r="O901" s="60" t="n"/>
      <c r="P901" s="60" t="n"/>
      <c r="Q901" s="60" t="n"/>
      <c r="R901" s="60" t="n"/>
      <c r="S901" s="60" t="n"/>
      <c r="T901" s="60" t="n"/>
      <c r="U901" s="60" t="n"/>
      <c r="V901" s="60" t="n"/>
      <c r="W901" s="60" t="n"/>
      <c r="X901" s="60" t="n"/>
      <c r="Y901" s="60" t="n"/>
      <c r="Z901" s="60" t="n"/>
    </row>
    <row r="902">
      <c r="A902" s="151" t="n">
        <v>46093</v>
      </c>
      <c r="B902" s="70" t="n">
        <v>475</v>
      </c>
      <c r="C902" s="115" t="inlineStr">
        <is>
          <t>EVKUR</t>
        </is>
      </c>
      <c r="D902" s="115" t="inlineStr">
        <is>
          <t>SM350</t>
        </is>
      </c>
      <c r="E902" s="115" t="inlineStr">
        <is>
          <t>TEVFİK</t>
        </is>
      </c>
      <c r="F902" s="65" t="n"/>
      <c r="G902" s="152" t="n">
        <v>448</v>
      </c>
      <c r="H902" s="60" t="n"/>
      <c r="I902" s="156">
        <f>+I901+(G902-H902)</f>
        <v/>
      </c>
      <c r="J902" s="60" t="n"/>
      <c r="K902" s="60" t="n"/>
      <c r="L902" s="158">
        <f>+H902*J902</f>
        <v/>
      </c>
      <c r="M902" s="159">
        <f>SUM(M901+K902-L902)</f>
        <v/>
      </c>
      <c r="N902" s="60" t="n"/>
      <c r="O902" s="60" t="n"/>
      <c r="P902" s="60" t="n"/>
      <c r="Q902" s="60" t="n"/>
      <c r="R902" s="60" t="n"/>
      <c r="S902" s="60" t="n"/>
      <c r="T902" s="60" t="n"/>
      <c r="U902" s="60" t="n"/>
      <c r="V902" s="60" t="n"/>
      <c r="W902" s="60" t="n"/>
      <c r="X902" s="60" t="n"/>
      <c r="Y902" s="60" t="n"/>
      <c r="Z902" s="60" t="n"/>
    </row>
    <row r="903">
      <c r="A903" s="151" t="n">
        <v>46093</v>
      </c>
      <c r="B903" s="70" t="n">
        <v>476</v>
      </c>
      <c r="C903" s="115" t="inlineStr">
        <is>
          <t>EVKUR</t>
        </is>
      </c>
      <c r="D903" s="115" t="inlineStr">
        <is>
          <t>JENERATÖR</t>
        </is>
      </c>
      <c r="E903" s="115" t="inlineStr">
        <is>
          <t>GÜNEŞ</t>
        </is>
      </c>
      <c r="F903" s="65" t="n"/>
      <c r="G903" s="152" t="n">
        <v>147</v>
      </c>
      <c r="H903" s="60" t="n"/>
      <c r="I903" s="156">
        <f>+I902+(G903-H903)</f>
        <v/>
      </c>
      <c r="J903" s="60" t="n"/>
      <c r="K903" s="60" t="n"/>
      <c r="L903" s="158">
        <f>+H903*J903</f>
        <v/>
      </c>
      <c r="M903" s="159">
        <f>SUM(M902+K903-L903)</f>
        <v/>
      </c>
      <c r="N903" s="60" t="n"/>
      <c r="O903" s="60" t="n"/>
      <c r="P903" s="60" t="n"/>
      <c r="Q903" s="60" t="n"/>
      <c r="R903" s="60" t="n"/>
      <c r="S903" s="60" t="n"/>
      <c r="T903" s="60" t="n"/>
      <c r="U903" s="60" t="n"/>
      <c r="V903" s="60" t="n"/>
      <c r="W903" s="60" t="n"/>
      <c r="X903" s="60" t="n"/>
      <c r="Y903" s="60" t="n"/>
      <c r="Z903" s="60" t="n"/>
    </row>
    <row r="904">
      <c r="A904" s="151" t="n">
        <v>46093</v>
      </c>
      <c r="B904" s="70" t="n">
        <v>477</v>
      </c>
      <c r="C904" s="115" t="inlineStr">
        <is>
          <t>MEGA</t>
        </is>
      </c>
      <c r="D904" s="115" t="inlineStr">
        <is>
          <t>SM300</t>
        </is>
      </c>
      <c r="E904" s="115" t="inlineStr">
        <is>
          <t>TEKİN</t>
        </is>
      </c>
      <c r="F904" s="65" t="n"/>
      <c r="G904" s="152" t="n">
        <v>270</v>
      </c>
      <c r="H904" s="60" t="n"/>
      <c r="I904" s="156">
        <f>+I903+(G904-H904)</f>
        <v/>
      </c>
      <c r="J904" s="60" t="n"/>
      <c r="K904" s="60" t="n"/>
      <c r="L904" s="158">
        <f>+H904*J904</f>
        <v/>
      </c>
      <c r="M904" s="159">
        <f>SUM(M903+K904-L904)</f>
        <v/>
      </c>
      <c r="N904" s="60" t="n"/>
      <c r="O904" s="60" t="n"/>
      <c r="P904" s="60" t="n"/>
      <c r="Q904" s="60" t="n"/>
      <c r="R904" s="60" t="n"/>
      <c r="S904" s="60" t="n"/>
      <c r="T904" s="60" t="n"/>
      <c r="U904" s="60" t="n"/>
      <c r="V904" s="60" t="n"/>
      <c r="W904" s="60" t="n"/>
      <c r="X904" s="60" t="n"/>
      <c r="Y904" s="60" t="n"/>
      <c r="Z904" s="60" t="n"/>
    </row>
    <row r="905">
      <c r="A905" s="151" t="n">
        <v>46093</v>
      </c>
      <c r="B905" s="70" t="n">
        <v>478</v>
      </c>
      <c r="C905" s="115" t="inlineStr">
        <is>
          <t>MEGA</t>
        </is>
      </c>
      <c r="D905" s="115" t="inlineStr">
        <is>
          <t>ZOMLİON</t>
        </is>
      </c>
      <c r="E905" s="115" t="inlineStr">
        <is>
          <t>SALİH</t>
        </is>
      </c>
      <c r="F905" s="65" t="n"/>
      <c r="G905" s="152" t="n">
        <v>272</v>
      </c>
      <c r="H905" s="60" t="n"/>
      <c r="I905" s="156">
        <f>+I904+(G905-H905)</f>
        <v/>
      </c>
      <c r="J905" s="60" t="n"/>
      <c r="K905" s="60" t="n"/>
      <c r="L905" s="158">
        <f>+H905*J905</f>
        <v/>
      </c>
      <c r="M905" s="159">
        <f>SUM(M904+K905-L905)</f>
        <v/>
      </c>
      <c r="N905" s="60" t="n"/>
      <c r="O905" s="60" t="n"/>
      <c r="P905" s="60" t="n"/>
      <c r="Q905" s="60" t="n"/>
      <c r="R905" s="60" t="n"/>
      <c r="S905" s="60" t="n"/>
      <c r="T905" s="60" t="n"/>
      <c r="U905" s="60" t="n"/>
      <c r="V905" s="60" t="n"/>
      <c r="W905" s="60" t="n"/>
      <c r="X905" s="60" t="n"/>
      <c r="Y905" s="60" t="n"/>
      <c r="Z905" s="60" t="n"/>
    </row>
    <row r="906">
      <c r="A906" s="151" t="n">
        <v>46093</v>
      </c>
      <c r="B906" s="70" t="n">
        <v>479</v>
      </c>
      <c r="C906" s="115" t="inlineStr">
        <is>
          <t>MEGA</t>
        </is>
      </c>
      <c r="D906" s="115" t="inlineStr">
        <is>
          <t>SM370</t>
        </is>
      </c>
      <c r="E906" s="115" t="inlineStr">
        <is>
          <t>BEKİR</t>
        </is>
      </c>
      <c r="F906" s="65" t="n"/>
      <c r="G906" s="152" t="n">
        <v>537</v>
      </c>
      <c r="H906" s="60" t="n"/>
      <c r="I906" s="156">
        <f>+I905+(G906-H906)</f>
        <v/>
      </c>
      <c r="J906" s="60" t="n"/>
      <c r="K906" s="60" t="n"/>
      <c r="L906" s="158">
        <f>+H906*J906</f>
        <v/>
      </c>
      <c r="M906" s="159">
        <f>SUM(M905+K906-L906)</f>
        <v/>
      </c>
      <c r="N906" s="60" t="n"/>
      <c r="O906" s="60" t="n"/>
      <c r="P906" s="60" t="n"/>
      <c r="Q906" s="60" t="n"/>
      <c r="R906" s="60" t="n"/>
      <c r="S906" s="60" t="n"/>
      <c r="T906" s="60" t="n"/>
      <c r="U906" s="60" t="n"/>
      <c r="V906" s="60" t="n"/>
      <c r="W906" s="60" t="n"/>
      <c r="X906" s="60" t="n"/>
      <c r="Y906" s="60" t="n"/>
      <c r="Z906" s="60" t="n"/>
    </row>
    <row r="907">
      <c r="A907" s="151" t="n">
        <v>46093</v>
      </c>
      <c r="B907" s="70" t="n">
        <v>480</v>
      </c>
      <c r="C907" s="115" t="inlineStr">
        <is>
          <t>MEGA</t>
        </is>
      </c>
      <c r="D907" s="115" t="inlineStr">
        <is>
          <t>34 AZ 2191</t>
        </is>
      </c>
      <c r="E907" s="115" t="inlineStr">
        <is>
          <t>NUMAN KABİL</t>
        </is>
      </c>
      <c r="F907" s="65" t="n"/>
      <c r="G907" s="152" t="n">
        <v>278</v>
      </c>
      <c r="H907" s="60" t="n"/>
      <c r="I907" s="156">
        <f>+I906+(G907-H907)</f>
        <v/>
      </c>
      <c r="J907" s="60" t="n"/>
      <c r="K907" s="60" t="n"/>
      <c r="L907" s="158">
        <f>+H907*J907</f>
        <v/>
      </c>
      <c r="M907" s="159">
        <f>SUM(M906+K907-L907)</f>
        <v/>
      </c>
      <c r="N907" s="60" t="n"/>
      <c r="O907" s="60" t="n"/>
      <c r="P907" s="60" t="n"/>
      <c r="Q907" s="60" t="n"/>
      <c r="R907" s="60" t="n"/>
      <c r="S907" s="60" t="n"/>
      <c r="T907" s="60" t="n"/>
      <c r="U907" s="60" t="n"/>
      <c r="V907" s="60" t="n"/>
      <c r="W907" s="60" t="n"/>
      <c r="X907" s="60" t="n"/>
      <c r="Y907" s="60" t="n"/>
      <c r="Z907" s="60" t="n"/>
    </row>
    <row r="908">
      <c r="A908" s="151" t="n">
        <v>46093</v>
      </c>
      <c r="B908" s="70" t="n">
        <v>481</v>
      </c>
      <c r="C908" s="115" t="inlineStr">
        <is>
          <t>MEGA</t>
        </is>
      </c>
      <c r="D908" s="115" t="inlineStr">
        <is>
          <t>SM350</t>
        </is>
      </c>
      <c r="E908" s="115" t="inlineStr">
        <is>
          <t>MİKAİL</t>
        </is>
      </c>
      <c r="F908" s="65" t="n"/>
      <c r="G908" s="152" t="n">
        <v>524</v>
      </c>
      <c r="H908" s="60" t="n"/>
      <c r="I908" s="156">
        <f>+I907+(G908-H908)</f>
        <v/>
      </c>
      <c r="J908" s="60" t="n"/>
      <c r="K908" s="60" t="n"/>
      <c r="L908" s="158">
        <f>+H908*J908</f>
        <v/>
      </c>
      <c r="M908" s="159">
        <f>SUM(M907+K908-L908)</f>
        <v/>
      </c>
      <c r="N908" s="60" t="n"/>
      <c r="O908" s="60" t="n"/>
      <c r="P908" s="60" t="n"/>
      <c r="Q908" s="60" t="n"/>
      <c r="R908" s="60" t="n"/>
      <c r="S908" s="60" t="n"/>
      <c r="T908" s="60" t="n"/>
      <c r="U908" s="60" t="n"/>
      <c r="V908" s="60" t="n"/>
      <c r="W908" s="60" t="n"/>
      <c r="X908" s="60" t="n"/>
      <c r="Y908" s="60" t="n"/>
      <c r="Z908" s="60" t="n"/>
    </row>
    <row r="909">
      <c r="A909" s="151" t="n">
        <v>46094</v>
      </c>
      <c r="B909" s="70" t="n">
        <v>855</v>
      </c>
      <c r="C909" s="115" t="inlineStr">
        <is>
          <t>SELİM İNŞAAT</t>
        </is>
      </c>
      <c r="D909" s="115" t="inlineStr">
        <is>
          <t>34 EGR 922</t>
        </is>
      </c>
      <c r="E909" s="115" t="inlineStr">
        <is>
          <t>FARUK ÖZEN</t>
        </is>
      </c>
      <c r="F909" s="65" t="n">
        <v>507140</v>
      </c>
      <c r="G909" s="152" t="n">
        <v>496</v>
      </c>
      <c r="H909" s="60" t="n"/>
      <c r="I909" s="156">
        <f>+I908+(G909-H909)</f>
        <v/>
      </c>
      <c r="J909" s="60" t="n"/>
      <c r="K909" s="60" t="n"/>
      <c r="L909" s="158">
        <f>+H909*J909</f>
        <v/>
      </c>
      <c r="M909" s="159">
        <f>SUM(M908+K909-L909)</f>
        <v/>
      </c>
      <c r="N909" s="60" t="n"/>
      <c r="O909" s="60" t="n"/>
      <c r="P909" s="60" t="n"/>
      <c r="Q909" s="60" t="n"/>
      <c r="R909" s="60" t="n"/>
      <c r="S909" s="60" t="n"/>
      <c r="T909" s="60" t="n"/>
      <c r="U909" s="60" t="n"/>
      <c r="V909" s="60" t="n"/>
      <c r="W909" s="60" t="n"/>
      <c r="X909" s="60" t="n"/>
      <c r="Y909" s="60" t="n"/>
      <c r="Z909" s="60" t="n"/>
    </row>
    <row r="910">
      <c r="A910" s="151" t="n">
        <v>46094</v>
      </c>
      <c r="B910" s="70" t="n">
        <v>4771</v>
      </c>
      <c r="C910" s="115" t="inlineStr">
        <is>
          <t>SELİM İNŞAAT</t>
        </is>
      </c>
      <c r="D910" s="115" t="inlineStr">
        <is>
          <t>34 DGP 137</t>
        </is>
      </c>
      <c r="E910" s="115" t="inlineStr">
        <is>
          <t>YASİN ÇATAKLI</t>
        </is>
      </c>
      <c r="F910" s="65" t="n">
        <v>477142</v>
      </c>
      <c r="G910" s="152" t="n">
        <v>397</v>
      </c>
      <c r="H910" s="60" t="n"/>
      <c r="I910" s="156">
        <f>+I909+(G910-H910)</f>
        <v/>
      </c>
      <c r="J910" s="60" t="n"/>
      <c r="K910" s="60" t="n"/>
      <c r="L910" s="158">
        <f>+H910*J910</f>
        <v/>
      </c>
      <c r="M910" s="159">
        <f>SUM(M909+K910-L910)</f>
        <v/>
      </c>
      <c r="N910" s="60" t="n"/>
      <c r="O910" s="60" t="n"/>
      <c r="P910" s="60" t="n"/>
      <c r="Q910" s="60" t="n"/>
      <c r="R910" s="60" t="n"/>
      <c r="S910" s="60" t="n"/>
      <c r="T910" s="60" t="n"/>
      <c r="U910" s="60" t="n"/>
      <c r="V910" s="60" t="n"/>
      <c r="W910" s="60" t="n"/>
      <c r="X910" s="60" t="n"/>
      <c r="Y910" s="60" t="n"/>
      <c r="Z910" s="60" t="n"/>
    </row>
    <row r="911">
      <c r="A911" s="151" t="n">
        <v>46094</v>
      </c>
      <c r="B911" s="70" t="n">
        <v>17</v>
      </c>
      <c r="C911" s="115" t="inlineStr">
        <is>
          <t>SELİM İNŞAAT</t>
        </is>
      </c>
      <c r="D911" s="115" t="inlineStr">
        <is>
          <t xml:space="preserve">34 GVZ 268 </t>
        </is>
      </c>
      <c r="E911" s="115" t="inlineStr">
        <is>
          <t>KERİM KARAMAN</t>
        </is>
      </c>
      <c r="F911" s="65" t="n">
        <v>254208</v>
      </c>
      <c r="G911" s="152" t="n">
        <v>370</v>
      </c>
      <c r="H911" s="60" t="n"/>
      <c r="I911" s="156">
        <f>+I910+(G911-H911)</f>
        <v/>
      </c>
      <c r="J911" s="60" t="n"/>
      <c r="K911" s="60" t="n"/>
      <c r="L911" s="158">
        <f>+H911*J911</f>
        <v/>
      </c>
      <c r="M911" s="159">
        <f>SUM(M910+K911-L911)</f>
        <v/>
      </c>
      <c r="N911" s="60" t="n"/>
      <c r="O911" s="60" t="n"/>
      <c r="P911" s="60" t="n"/>
      <c r="Q911" s="60" t="n"/>
      <c r="R911" s="60" t="n"/>
      <c r="S911" s="60" t="n"/>
      <c r="T911" s="60" t="n"/>
      <c r="U911" s="60" t="n"/>
      <c r="V911" s="60" t="n"/>
      <c r="W911" s="60" t="n"/>
      <c r="X911" s="60" t="n"/>
      <c r="Y911" s="60" t="n"/>
      <c r="Z911" s="60" t="n"/>
    </row>
    <row r="912">
      <c r="A912" s="151" t="n">
        <v>46094</v>
      </c>
      <c r="B912" s="70" t="n">
        <v>4930</v>
      </c>
      <c r="C912" s="115" t="inlineStr">
        <is>
          <t>SELİM İNŞAAT</t>
        </is>
      </c>
      <c r="D912" s="115" t="inlineStr">
        <is>
          <t>34 FBR 742</t>
        </is>
      </c>
      <c r="E912" s="115" t="inlineStr">
        <is>
          <t>ADNAN KOÇ</t>
        </is>
      </c>
      <c r="F912" s="65" t="n">
        <v>368440</v>
      </c>
      <c r="G912" s="152" t="n">
        <v>543</v>
      </c>
      <c r="H912" s="60" t="n"/>
      <c r="I912" s="156">
        <f>+I911+(G912-H912)</f>
        <v/>
      </c>
      <c r="J912" s="60" t="n"/>
      <c r="K912" s="60" t="n"/>
      <c r="L912" s="158">
        <f>+H912*J912</f>
        <v/>
      </c>
      <c r="M912" s="159">
        <f>SUM(M911+K912-L912)</f>
        <v/>
      </c>
      <c r="N912" s="60" t="n"/>
      <c r="O912" s="60" t="n"/>
      <c r="P912" s="60" t="n"/>
      <c r="Q912" s="60" t="n"/>
      <c r="R912" s="60" t="n"/>
      <c r="S912" s="60" t="n"/>
      <c r="T912" s="60" t="n"/>
      <c r="U912" s="60" t="n"/>
      <c r="V912" s="60" t="n"/>
      <c r="W912" s="60" t="n"/>
      <c r="X912" s="60" t="n"/>
      <c r="Y912" s="60" t="n"/>
      <c r="Z912" s="60" t="n"/>
    </row>
    <row r="913">
      <c r="A913" s="151" t="n">
        <v>46094</v>
      </c>
      <c r="B913" s="70" t="n">
        <v>4173</v>
      </c>
      <c r="C913" s="115" t="inlineStr">
        <is>
          <t>SELİM İNŞAAT</t>
        </is>
      </c>
      <c r="D913" s="115" t="inlineStr">
        <is>
          <t>34 FBR 748</t>
        </is>
      </c>
      <c r="E913" s="115" t="inlineStr">
        <is>
          <t>YAŞAR ÖZKAYA</t>
        </is>
      </c>
      <c r="F913" s="65" t="n">
        <v>326671</v>
      </c>
      <c r="G913" s="152" t="n">
        <v>526</v>
      </c>
      <c r="H913" s="60" t="n"/>
      <c r="I913" s="156">
        <f>+I912+(G913-H913)</f>
        <v/>
      </c>
      <c r="J913" s="60" t="n"/>
      <c r="K913" s="60" t="n"/>
      <c r="L913" s="158">
        <f>+H913*J913</f>
        <v/>
      </c>
      <c r="M913" s="159">
        <f>SUM(M912+K913-L913)</f>
        <v/>
      </c>
      <c r="N913" s="60" t="n"/>
      <c r="O913" s="60" t="n"/>
      <c r="P913" s="60" t="n"/>
      <c r="Q913" s="60" t="n"/>
      <c r="R913" s="60" t="n"/>
      <c r="S913" s="60" t="n"/>
      <c r="T913" s="60" t="n"/>
      <c r="U913" s="60" t="n"/>
      <c r="V913" s="60" t="n"/>
      <c r="W913" s="60" t="n"/>
      <c r="X913" s="60" t="n"/>
      <c r="Y913" s="60" t="n"/>
      <c r="Z913" s="60" t="n"/>
    </row>
    <row r="914">
      <c r="A914" s="151" t="n">
        <v>46094</v>
      </c>
      <c r="B914" s="70" t="n">
        <v>910</v>
      </c>
      <c r="C914" s="115" t="inlineStr">
        <is>
          <t>SELİM İNŞAAT</t>
        </is>
      </c>
      <c r="D914" s="115" t="inlineStr">
        <is>
          <t>34 FSG 229</t>
        </is>
      </c>
      <c r="E914" s="115" t="inlineStr">
        <is>
          <t>SİNAN TANRIVERDİ</t>
        </is>
      </c>
      <c r="F914" s="65" t="n">
        <v>302641</v>
      </c>
      <c r="G914" s="152" t="n">
        <v>490</v>
      </c>
      <c r="H914" s="60" t="n"/>
      <c r="I914" s="156">
        <f>+I913+(G914-H914)</f>
        <v/>
      </c>
      <c r="J914" s="60" t="n"/>
      <c r="K914" s="60" t="n"/>
      <c r="L914" s="158">
        <f>+H914*J914</f>
        <v/>
      </c>
      <c r="M914" s="159">
        <f>SUM(M913+K914-L914)</f>
        <v/>
      </c>
      <c r="N914" s="60" t="n"/>
      <c r="O914" s="60" t="n"/>
      <c r="P914" s="60" t="n"/>
      <c r="Q914" s="60" t="n"/>
      <c r="R914" s="60" t="n"/>
      <c r="S914" s="60" t="n"/>
      <c r="T914" s="60" t="n"/>
      <c r="U914" s="60" t="n"/>
      <c r="V914" s="60" t="n"/>
      <c r="W914" s="60" t="n"/>
      <c r="X914" s="60" t="n"/>
      <c r="Y914" s="60" t="n"/>
      <c r="Z914" s="60" t="n"/>
    </row>
    <row r="915">
      <c r="A915" s="151" t="n">
        <v>46094</v>
      </c>
      <c r="B915" s="70" t="n">
        <v>4882</v>
      </c>
      <c r="C915" s="115" t="inlineStr">
        <is>
          <t>SELİM İNŞAAT</t>
        </is>
      </c>
      <c r="D915" s="115" t="inlineStr">
        <is>
          <t>34 FBR 705</t>
        </is>
      </c>
      <c r="E915" s="115" t="inlineStr">
        <is>
          <t>MURAT SARI</t>
        </is>
      </c>
      <c r="F915" s="65" t="n">
        <v>365062</v>
      </c>
      <c r="G915" s="152" t="n">
        <v>370</v>
      </c>
      <c r="H915" s="60" t="n"/>
      <c r="I915" s="156">
        <f>+I914+(G915-H915)</f>
        <v/>
      </c>
      <c r="J915" s="60" t="n"/>
      <c r="K915" s="60" t="n"/>
      <c r="L915" s="158">
        <f>+H915*J915</f>
        <v/>
      </c>
      <c r="M915" s="159">
        <f>SUM(M914+K915-L915)</f>
        <v/>
      </c>
      <c r="N915" s="60" t="n"/>
      <c r="O915" s="60" t="n"/>
      <c r="P915" s="60" t="n"/>
      <c r="Q915" s="60" t="n"/>
      <c r="R915" s="60" t="n"/>
      <c r="S915" s="60" t="n"/>
      <c r="T915" s="60" t="n"/>
      <c r="U915" s="60" t="n"/>
      <c r="V915" s="60" t="n"/>
      <c r="W915" s="60" t="n"/>
      <c r="X915" s="60" t="n"/>
      <c r="Y915" s="60" t="n"/>
      <c r="Z915" s="60" t="n"/>
    </row>
    <row r="916">
      <c r="A916" s="151" t="n">
        <v>46094</v>
      </c>
      <c r="B916" s="70" t="n">
        <v>3835</v>
      </c>
      <c r="C916" s="115" t="inlineStr">
        <is>
          <t>SELİM İNŞAAT</t>
        </is>
      </c>
      <c r="D916" s="115" t="inlineStr">
        <is>
          <t>34 GYZ 635</t>
        </is>
      </c>
      <c r="E916" s="115" t="inlineStr">
        <is>
          <t>ADEM DENİZ</t>
        </is>
      </c>
      <c r="F916" s="65" t="n">
        <v>229637</v>
      </c>
      <c r="G916" s="152" t="n">
        <v>543</v>
      </c>
      <c r="H916" s="60" t="n"/>
      <c r="I916" s="156">
        <f>+I915+(G916-H916)</f>
        <v/>
      </c>
      <c r="J916" s="60" t="n"/>
      <c r="K916" s="60" t="n"/>
      <c r="L916" s="158">
        <f>+H916*J916</f>
        <v/>
      </c>
      <c r="M916" s="159">
        <f>SUM(M915+K916-L916)</f>
        <v/>
      </c>
      <c r="N916" s="60" t="n"/>
      <c r="O916" s="60" t="n"/>
      <c r="P916" s="60" t="n"/>
      <c r="Q916" s="60" t="n"/>
      <c r="R916" s="60" t="n"/>
      <c r="S916" s="60" t="n"/>
      <c r="T916" s="60" t="n"/>
      <c r="U916" s="60" t="n"/>
      <c r="V916" s="60" t="n"/>
      <c r="W916" s="60" t="n"/>
      <c r="X916" s="60" t="n"/>
      <c r="Y916" s="60" t="n"/>
      <c r="Z916" s="60" t="n"/>
    </row>
    <row r="917">
      <c r="A917" s="151" t="n">
        <v>46094</v>
      </c>
      <c r="B917" s="70" t="n">
        <v>3048</v>
      </c>
      <c r="C917" s="115" t="inlineStr">
        <is>
          <t>SELİM İNŞAAT</t>
        </is>
      </c>
      <c r="D917" s="115" t="inlineStr">
        <is>
          <t>34 FBR 781</t>
        </is>
      </c>
      <c r="E917" s="115" t="inlineStr">
        <is>
          <t>MEVLÜT POLAT</t>
        </is>
      </c>
      <c r="F917" s="65" t="n">
        <v>364778</v>
      </c>
      <c r="G917" s="152" t="n">
        <v>484</v>
      </c>
      <c r="H917" s="60" t="n"/>
      <c r="I917" s="156">
        <f>+I916+(G917-H917)</f>
        <v/>
      </c>
      <c r="J917" s="60" t="n"/>
      <c r="K917" s="60" t="n"/>
      <c r="L917" s="158">
        <f>+H917*J917</f>
        <v/>
      </c>
      <c r="M917" s="159">
        <f>SUM(M916+K917-L917)</f>
        <v/>
      </c>
      <c r="N917" s="60" t="n"/>
      <c r="O917" s="60" t="n"/>
      <c r="P917" s="60" t="n"/>
      <c r="Q917" s="60" t="n"/>
      <c r="R917" s="60" t="n"/>
      <c r="S917" s="60" t="n"/>
      <c r="T917" s="60" t="n"/>
      <c r="U917" s="60" t="n"/>
      <c r="V917" s="60" t="n"/>
      <c r="W917" s="60" t="n"/>
      <c r="X917" s="60" t="n"/>
      <c r="Y917" s="60" t="n"/>
      <c r="Z917" s="60" t="n"/>
    </row>
    <row r="918">
      <c r="A918" s="151" t="n">
        <v>46094</v>
      </c>
      <c r="B918" s="70" t="n">
        <v>4518</v>
      </c>
      <c r="C918" s="115" t="inlineStr">
        <is>
          <t>SELİM İNŞAAT</t>
        </is>
      </c>
      <c r="D918" s="115" t="inlineStr">
        <is>
          <t>34 DTV 352</t>
        </is>
      </c>
      <c r="E918" s="115" t="inlineStr">
        <is>
          <t>AZİZ ORUÇ</t>
        </is>
      </c>
      <c r="F918" s="65" t="n">
        <v>478600</v>
      </c>
      <c r="G918" s="152" t="n">
        <v>418</v>
      </c>
      <c r="H918" s="60" t="n"/>
      <c r="I918" s="156">
        <f>+I917+(G918-H918)</f>
        <v/>
      </c>
      <c r="J918" s="60" t="n"/>
      <c r="K918" s="60" t="n"/>
      <c r="L918" s="158">
        <f>+H918*J918</f>
        <v/>
      </c>
      <c r="M918" s="159">
        <f>SUM(M917+K918-L918)</f>
        <v/>
      </c>
      <c r="N918" s="60" t="n"/>
      <c r="O918" s="60" t="n"/>
      <c r="P918" s="60" t="n"/>
      <c r="Q918" s="60" t="n"/>
      <c r="R918" s="60" t="n"/>
      <c r="S918" s="60" t="n"/>
      <c r="T918" s="60" t="n"/>
      <c r="U918" s="60" t="n"/>
      <c r="V918" s="60" t="n"/>
      <c r="W918" s="60" t="n"/>
      <c r="X918" s="60" t="n"/>
      <c r="Y918" s="60" t="n"/>
      <c r="Z918" s="60" t="n"/>
    </row>
    <row r="919">
      <c r="A919" s="151" t="n">
        <v>46094</v>
      </c>
      <c r="B919" s="70" t="n">
        <v>3395</v>
      </c>
      <c r="C919" s="115" t="inlineStr">
        <is>
          <t>SELİM İNŞAAT</t>
        </is>
      </c>
      <c r="D919" s="115" t="inlineStr">
        <is>
          <t>34 EDC 162</t>
        </is>
      </c>
      <c r="E919" s="115" t="inlineStr">
        <is>
          <t>YAKUP GÜNER</t>
        </is>
      </c>
      <c r="F919" s="65" t="n">
        <v>418536</v>
      </c>
      <c r="G919" s="152" t="n">
        <v>456</v>
      </c>
      <c r="H919" s="60" t="n"/>
      <c r="I919" s="156">
        <f>+I918+(G919-H919)</f>
        <v/>
      </c>
      <c r="J919" s="60" t="n"/>
      <c r="K919" s="60" t="n"/>
      <c r="L919" s="158">
        <f>+H919*J919</f>
        <v/>
      </c>
      <c r="M919" s="159">
        <f>SUM(M918+K919-L919)</f>
        <v/>
      </c>
      <c r="N919" s="60" t="n"/>
      <c r="O919" s="60" t="n"/>
      <c r="P919" s="60" t="n"/>
      <c r="Q919" s="60" t="n"/>
      <c r="R919" s="60" t="n"/>
      <c r="S919" s="60" t="n"/>
      <c r="T919" s="60" t="n"/>
      <c r="U919" s="60" t="n"/>
      <c r="V919" s="60" t="n"/>
      <c r="W919" s="60" t="n"/>
      <c r="X919" s="60" t="n"/>
      <c r="Y919" s="60" t="n"/>
      <c r="Z919" s="60" t="n"/>
    </row>
    <row r="920">
      <c r="A920" s="151" t="n">
        <v>46094</v>
      </c>
      <c r="B920" s="70" t="n">
        <v>3290</v>
      </c>
      <c r="C920" s="115" t="inlineStr">
        <is>
          <t>AZGÜN YAPI</t>
        </is>
      </c>
      <c r="D920" s="115" t="inlineStr">
        <is>
          <t xml:space="preserve">34 DTV 263 </t>
        </is>
      </c>
      <c r="E920" s="115" t="inlineStr">
        <is>
          <t>DURSUN ALİ GÜREK</t>
        </is>
      </c>
      <c r="F920" s="65" t="n"/>
      <c r="G920" s="152" t="n">
        <v>345</v>
      </c>
      <c r="H920" s="60" t="n"/>
      <c r="I920" s="156">
        <f>+I919+(G920-H920)</f>
        <v/>
      </c>
      <c r="J920" s="60" t="n"/>
      <c r="K920" s="60" t="n"/>
      <c r="L920" s="158">
        <f>+H920*J920</f>
        <v/>
      </c>
      <c r="M920" s="159">
        <f>SUM(M919+K920-L920)</f>
        <v/>
      </c>
      <c r="N920" s="60" t="n"/>
      <c r="O920" s="60" t="n"/>
      <c r="P920" s="60" t="n"/>
      <c r="Q920" s="60" t="n"/>
      <c r="R920" s="60" t="n"/>
      <c r="S920" s="60" t="n"/>
      <c r="T920" s="60" t="n"/>
      <c r="U920" s="60" t="n"/>
      <c r="V920" s="60" t="n"/>
      <c r="W920" s="60" t="n"/>
      <c r="X920" s="60" t="n"/>
      <c r="Y920" s="60" t="n"/>
      <c r="Z920" s="60" t="n"/>
    </row>
    <row r="921">
      <c r="A921" s="151" t="n">
        <v>46094</v>
      </c>
      <c r="B921" s="70" t="n">
        <v>1394</v>
      </c>
      <c r="C921" s="115" t="inlineStr">
        <is>
          <t>AZGÜN YAPI</t>
        </is>
      </c>
      <c r="D921" s="115" t="inlineStr">
        <is>
          <t>34 MKT859</t>
        </is>
      </c>
      <c r="E921" s="115" t="inlineStr">
        <is>
          <t>İRFAN DAĞLAR</t>
        </is>
      </c>
      <c r="F921" s="65" t="n"/>
      <c r="G921" s="152" t="n">
        <v>206</v>
      </c>
      <c r="H921" s="60" t="n"/>
      <c r="I921" s="156">
        <f>+I920+(G921-H921)</f>
        <v/>
      </c>
      <c r="J921" s="60" t="n"/>
      <c r="K921" s="60" t="n"/>
      <c r="L921" s="158">
        <f>+H921*J921</f>
        <v/>
      </c>
      <c r="M921" s="159">
        <f>SUM(M920+K921-L921)</f>
        <v/>
      </c>
      <c r="N921" s="60" t="n"/>
      <c r="O921" s="60" t="n"/>
      <c r="P921" s="60" t="n"/>
      <c r="Q921" s="60" t="n"/>
      <c r="R921" s="60" t="n"/>
      <c r="S921" s="60" t="n"/>
      <c r="T921" s="60" t="n"/>
      <c r="U921" s="60" t="n"/>
      <c r="V921" s="60" t="n"/>
      <c r="W921" s="60" t="n"/>
      <c r="X921" s="60" t="n"/>
      <c r="Y921" s="60" t="n"/>
      <c r="Z921" s="60" t="n"/>
    </row>
    <row r="922">
      <c r="A922" s="151" t="n">
        <v>46094</v>
      </c>
      <c r="B922" s="70" t="n">
        <v>4020</v>
      </c>
      <c r="C922" s="115" t="inlineStr">
        <is>
          <t>SELİM İNŞAAT</t>
        </is>
      </c>
      <c r="D922" s="115" t="inlineStr">
        <is>
          <t>34 AR 7743</t>
        </is>
      </c>
      <c r="E922" s="115" t="inlineStr">
        <is>
          <t>MEHMET SELİM</t>
        </is>
      </c>
      <c r="F922" s="65" t="n">
        <v>374879</v>
      </c>
      <c r="G922" s="152" t="n">
        <v>59</v>
      </c>
      <c r="H922" s="60" t="n"/>
      <c r="I922" s="156">
        <f>+I921+(G922-H922)</f>
        <v/>
      </c>
      <c r="J922" s="60" t="n"/>
      <c r="K922" s="60" t="n"/>
      <c r="L922" s="158">
        <f>+H922*J922</f>
        <v/>
      </c>
      <c r="M922" s="159">
        <f>SUM(M921+K922-L922)</f>
        <v/>
      </c>
      <c r="N922" s="60" t="n"/>
      <c r="O922" s="60" t="n"/>
      <c r="P922" s="60" t="n"/>
      <c r="Q922" s="60" t="n"/>
      <c r="R922" s="60" t="n"/>
      <c r="S922" s="60" t="n"/>
      <c r="T922" s="60" t="n"/>
      <c r="U922" s="60" t="n"/>
      <c r="V922" s="60" t="n"/>
      <c r="W922" s="60" t="n"/>
      <c r="X922" s="60" t="n"/>
      <c r="Y922" s="60" t="n"/>
      <c r="Z922" s="60" t="n"/>
    </row>
    <row r="923">
      <c r="A923" s="151" t="n">
        <v>46094</v>
      </c>
      <c r="B923" s="70" t="n">
        <v>2391</v>
      </c>
      <c r="C923" s="115" t="inlineStr">
        <is>
          <t>SELİM İNŞAAT</t>
        </is>
      </c>
      <c r="D923" s="115" t="inlineStr">
        <is>
          <t>34 FEM 934</t>
        </is>
      </c>
      <c r="E923" s="115" t="inlineStr">
        <is>
          <t>DURSUN ALİ GÜREK</t>
        </is>
      </c>
      <c r="F923" s="65" t="n">
        <v>334063</v>
      </c>
      <c r="G923" s="152" t="n">
        <v>45</v>
      </c>
      <c r="H923" s="60" t="n"/>
      <c r="I923" s="156">
        <f>+I922+(G923-H923)</f>
        <v/>
      </c>
      <c r="J923" s="60" t="n"/>
      <c r="K923" s="60" t="n"/>
      <c r="L923" s="158">
        <f>+H923*J923</f>
        <v/>
      </c>
      <c r="M923" s="159">
        <f>SUM(M922+K923-L923)</f>
        <v/>
      </c>
      <c r="N923" s="60" t="n"/>
      <c r="O923" s="60" t="n"/>
      <c r="P923" s="60" t="n"/>
      <c r="Q923" s="60" t="n"/>
      <c r="R923" s="60" t="n"/>
      <c r="S923" s="60" t="n"/>
      <c r="T923" s="60" t="n"/>
      <c r="U923" s="60" t="n"/>
      <c r="V923" s="60" t="n"/>
      <c r="W923" s="60" t="n"/>
      <c r="X923" s="60" t="n"/>
      <c r="Y923" s="60" t="n"/>
      <c r="Z923" s="60" t="n"/>
    </row>
    <row r="924">
      <c r="A924" s="151" t="n">
        <v>46094</v>
      </c>
      <c r="B924" s="70" t="n">
        <v>2983</v>
      </c>
      <c r="C924" s="115" t="inlineStr">
        <is>
          <t>SELİM İNŞAAT</t>
        </is>
      </c>
      <c r="D924" s="115" t="inlineStr">
        <is>
          <t>34 DFE 454</t>
        </is>
      </c>
      <c r="E924" s="115" t="inlineStr">
        <is>
          <t>HÜSEYİN ALIN</t>
        </is>
      </c>
      <c r="F924" s="65" t="n">
        <v>175295</v>
      </c>
      <c r="G924" s="152" t="n">
        <v>372</v>
      </c>
      <c r="H924" s="60" t="n"/>
      <c r="I924" s="156">
        <f>+I923+(G924-H924)</f>
        <v/>
      </c>
      <c r="J924" s="60" t="n"/>
      <c r="K924" s="60" t="n"/>
      <c r="L924" s="158">
        <f>+H924*J924</f>
        <v/>
      </c>
      <c r="M924" s="159">
        <f>SUM(M923+K924-L924)</f>
        <v/>
      </c>
      <c r="N924" s="60" t="n"/>
      <c r="O924" s="60" t="n"/>
      <c r="P924" s="60" t="n"/>
      <c r="Q924" s="60" t="n"/>
      <c r="R924" s="60" t="n"/>
      <c r="S924" s="60" t="n"/>
      <c r="T924" s="60" t="n"/>
      <c r="U924" s="60" t="n"/>
      <c r="V924" s="60" t="n"/>
      <c r="W924" s="60" t="n"/>
      <c r="X924" s="60" t="n"/>
      <c r="Y924" s="60" t="n"/>
      <c r="Z924" s="60" t="n"/>
    </row>
    <row r="925">
      <c r="A925" s="151" t="n">
        <v>46094</v>
      </c>
      <c r="B925" s="70" t="n">
        <v>3732</v>
      </c>
      <c r="C925" s="115" t="inlineStr">
        <is>
          <t>SELİM İNŞAAT</t>
        </is>
      </c>
      <c r="D925" s="115" t="inlineStr">
        <is>
          <t>34 DKL 866</t>
        </is>
      </c>
      <c r="E925" s="115" t="inlineStr">
        <is>
          <t>SELİMCAN ÖNVER</t>
        </is>
      </c>
      <c r="F925" s="65" t="n">
        <v>83023</v>
      </c>
      <c r="G925" s="152" t="n">
        <v>362</v>
      </c>
      <c r="H925" s="60" t="n"/>
      <c r="I925" s="156">
        <f>+I924+(G925-H925)</f>
        <v/>
      </c>
      <c r="J925" s="60" t="n"/>
      <c r="K925" s="60" t="n"/>
      <c r="L925" s="158">
        <f>+H925*J925</f>
        <v/>
      </c>
      <c r="M925" s="159">
        <f>SUM(M924+K925-L925)</f>
        <v/>
      </c>
      <c r="N925" s="60" t="n"/>
      <c r="O925" s="60" t="n"/>
      <c r="P925" s="60" t="n"/>
      <c r="Q925" s="60" t="n"/>
      <c r="R925" s="60" t="n"/>
      <c r="S925" s="60" t="n"/>
      <c r="T925" s="60" t="n"/>
      <c r="U925" s="60" t="n"/>
      <c r="V925" s="60" t="n"/>
      <c r="W925" s="60" t="n"/>
      <c r="X925" s="60" t="n"/>
      <c r="Y925" s="60" t="n"/>
      <c r="Z925" s="60" t="n"/>
    </row>
    <row r="926">
      <c r="A926" s="151" t="n">
        <v>46094</v>
      </c>
      <c r="B926" s="70" t="n">
        <v>2896</v>
      </c>
      <c r="C926" s="115" t="inlineStr">
        <is>
          <t>HASAN ZEMİN</t>
        </is>
      </c>
      <c r="D926" s="115" t="inlineStr">
        <is>
          <t>ANKIRAJ</t>
        </is>
      </c>
      <c r="E926" s="115" t="n"/>
      <c r="F926" s="65" t="n"/>
      <c r="G926" s="152" t="n">
        <v>80</v>
      </c>
      <c r="H926" s="60" t="n"/>
      <c r="I926" s="156">
        <f>+I925+(G926-H926)</f>
        <v/>
      </c>
      <c r="J926" s="60" t="n"/>
      <c r="K926" s="60" t="n"/>
      <c r="L926" s="158">
        <f>+H926*J926</f>
        <v/>
      </c>
      <c r="M926" s="159">
        <f>SUM(M925+K926-L926)</f>
        <v/>
      </c>
      <c r="N926" s="60" t="n"/>
      <c r="O926" s="60" t="n"/>
      <c r="P926" s="60" t="n"/>
      <c r="Q926" s="60" t="n"/>
      <c r="R926" s="60" t="n"/>
      <c r="S926" s="60" t="n"/>
      <c r="T926" s="60" t="n"/>
      <c r="U926" s="60" t="n"/>
      <c r="V926" s="60" t="n"/>
      <c r="W926" s="60" t="n"/>
      <c r="X926" s="60" t="n"/>
      <c r="Y926" s="60" t="n"/>
      <c r="Z926" s="60" t="n"/>
    </row>
    <row r="927">
      <c r="A927" s="151" t="n">
        <v>46094</v>
      </c>
      <c r="B927" s="70" t="n">
        <v>757</v>
      </c>
      <c r="C927" s="115" t="inlineStr">
        <is>
          <t>METİN ERYİĞİT</t>
        </is>
      </c>
      <c r="D927" s="115" t="inlineStr">
        <is>
          <t>34 EGR 814</t>
        </is>
      </c>
      <c r="E927" s="115" t="inlineStr">
        <is>
          <t>ZİYA İNCE</t>
        </is>
      </c>
      <c r="F927" s="65" t="n"/>
      <c r="G927" s="152" t="n">
        <v>449</v>
      </c>
      <c r="H927" s="60" t="n"/>
      <c r="I927" s="156">
        <f>+I926+(G927-H927)</f>
        <v/>
      </c>
      <c r="J927" s="60" t="n"/>
      <c r="K927" s="60" t="n"/>
      <c r="L927" s="158">
        <f>+H927*J927</f>
        <v/>
      </c>
      <c r="M927" s="159">
        <f>SUM(M926+K927-L927)</f>
        <v/>
      </c>
      <c r="N927" s="60" t="n"/>
      <c r="O927" s="60" t="n"/>
      <c r="P927" s="60" t="n"/>
      <c r="Q927" s="60" t="n"/>
      <c r="R927" s="60" t="n"/>
      <c r="S927" s="60" t="n"/>
      <c r="T927" s="60" t="n"/>
      <c r="U927" s="60" t="n"/>
      <c r="V927" s="60" t="n"/>
      <c r="W927" s="60" t="n"/>
      <c r="X927" s="60" t="n"/>
      <c r="Y927" s="60" t="n"/>
      <c r="Z927" s="60" t="n"/>
    </row>
    <row r="928">
      <c r="A928" s="151" t="n">
        <v>46094</v>
      </c>
      <c r="B928" s="70" t="n">
        <v>814</v>
      </c>
      <c r="C928" s="115" t="inlineStr">
        <is>
          <t>METİN ERYİĞİT</t>
        </is>
      </c>
      <c r="D928" s="115" t="inlineStr">
        <is>
          <t>34 GBL 998</t>
        </is>
      </c>
      <c r="E928" s="115" t="inlineStr">
        <is>
          <t>ALİ KESKİN</t>
        </is>
      </c>
      <c r="F928" s="65" t="n"/>
      <c r="G928" s="152" t="n">
        <v>214</v>
      </c>
      <c r="H928" s="60" t="n"/>
      <c r="I928" s="156">
        <f>+I927+(G928-H928)</f>
        <v/>
      </c>
      <c r="J928" s="60" t="n"/>
      <c r="K928" s="60" t="n"/>
      <c r="L928" s="158">
        <f>+H928*J928</f>
        <v/>
      </c>
      <c r="M928" s="159">
        <f>SUM(M927+K928-L928)</f>
        <v/>
      </c>
      <c r="N928" s="60" t="n"/>
      <c r="O928" s="60" t="n"/>
      <c r="P928" s="60" t="n"/>
      <c r="Q928" s="60" t="n"/>
      <c r="R928" s="60" t="n"/>
      <c r="S928" s="60" t="n"/>
      <c r="T928" s="60" t="n"/>
      <c r="U928" s="60" t="n"/>
      <c r="V928" s="60" t="n"/>
      <c r="W928" s="60" t="n"/>
      <c r="X928" s="60" t="n"/>
      <c r="Y928" s="60" t="n"/>
      <c r="Z928" s="60" t="n"/>
    </row>
    <row r="929">
      <c r="A929" s="151" t="n">
        <v>46094</v>
      </c>
      <c r="B929" s="70" t="n">
        <v>482</v>
      </c>
      <c r="C929" s="115" t="inlineStr">
        <is>
          <t>MEGA</t>
        </is>
      </c>
      <c r="D929" s="115" t="inlineStr">
        <is>
          <t>SM300</t>
        </is>
      </c>
      <c r="E929" s="115" t="inlineStr">
        <is>
          <t>EMİRCAN</t>
        </is>
      </c>
      <c r="F929" s="65" t="n"/>
      <c r="G929" s="152" t="n">
        <v>380</v>
      </c>
      <c r="H929" s="60" t="n"/>
      <c r="I929" s="156">
        <f>+I928+(G929-H929)</f>
        <v/>
      </c>
      <c r="J929" s="60" t="n"/>
      <c r="K929" s="60" t="n"/>
      <c r="L929" s="158">
        <f>+H929*J929</f>
        <v/>
      </c>
      <c r="M929" s="159">
        <f>SUM(M928+K929-L929)</f>
        <v/>
      </c>
      <c r="N929" s="60" t="n"/>
      <c r="O929" s="60" t="n"/>
      <c r="P929" s="60" t="n"/>
      <c r="Q929" s="60" t="n"/>
      <c r="R929" s="60" t="n"/>
      <c r="S929" s="60" t="n"/>
      <c r="T929" s="60" t="n"/>
      <c r="U929" s="60" t="n"/>
      <c r="V929" s="60" t="n"/>
      <c r="W929" s="60" t="n"/>
      <c r="X929" s="60" t="n"/>
      <c r="Y929" s="60" t="n"/>
      <c r="Z929" s="60" t="n"/>
    </row>
    <row r="930">
      <c r="A930" s="151" t="n">
        <v>46094</v>
      </c>
      <c r="B930" s="70" t="n">
        <v>483</v>
      </c>
      <c r="C930" s="115" t="inlineStr">
        <is>
          <t>MEGA</t>
        </is>
      </c>
      <c r="D930" s="115" t="inlineStr">
        <is>
          <t>KAWAZAKİ</t>
        </is>
      </c>
      <c r="E930" s="115" t="inlineStr">
        <is>
          <t>RAMAZAN</t>
        </is>
      </c>
      <c r="F930" s="65" t="n"/>
      <c r="G930" s="152" t="n">
        <v>221</v>
      </c>
      <c r="H930" s="60" t="n"/>
      <c r="I930" s="156">
        <f>+I929+(G930-H930)</f>
        <v/>
      </c>
      <c r="J930" s="60" t="n"/>
      <c r="K930" s="60" t="n"/>
      <c r="L930" s="158">
        <f>+H930*J930</f>
        <v/>
      </c>
      <c r="M930" s="159">
        <f>SUM(M929+K930-L930)</f>
        <v/>
      </c>
      <c r="N930" s="60" t="n"/>
      <c r="O930" s="60" t="n"/>
      <c r="P930" s="60" t="n"/>
      <c r="Q930" s="60" t="n"/>
      <c r="R930" s="60" t="n"/>
      <c r="S930" s="60" t="n"/>
      <c r="T930" s="60" t="n"/>
      <c r="U930" s="60" t="n"/>
      <c r="V930" s="60" t="n"/>
      <c r="W930" s="60" t="n"/>
      <c r="X930" s="60" t="n"/>
      <c r="Y930" s="60" t="n"/>
      <c r="Z930" s="60" t="n"/>
    </row>
    <row r="931">
      <c r="A931" s="151" t="n">
        <v>46095</v>
      </c>
      <c r="B931" s="70" t="n">
        <v>11174</v>
      </c>
      <c r="C931" s="115" t="inlineStr">
        <is>
          <t>SELİM İNŞAAT</t>
        </is>
      </c>
      <c r="D931" s="115" t="inlineStr">
        <is>
          <t>34 HZ 1663</t>
        </is>
      </c>
      <c r="E931" s="115" t="inlineStr">
        <is>
          <t>FATİH ÖZBOLAT</t>
        </is>
      </c>
      <c r="F931" s="65" t="n">
        <v>528149</v>
      </c>
      <c r="G931" s="152" t="n">
        <v>430</v>
      </c>
      <c r="H931" s="60" t="n"/>
      <c r="I931" s="156">
        <f>+I930+(G931-H931)</f>
        <v/>
      </c>
      <c r="J931" s="60" t="n"/>
      <c r="K931" s="60" t="n"/>
      <c r="L931" s="158">
        <f>+H931*J931</f>
        <v/>
      </c>
      <c r="M931" s="159">
        <f>SUM(M930+K931-L931)</f>
        <v/>
      </c>
      <c r="N931" s="60" t="n"/>
      <c r="O931" s="60" t="n"/>
      <c r="P931" s="60" t="n"/>
      <c r="Q931" s="60" t="n"/>
      <c r="R931" s="60" t="n"/>
      <c r="S931" s="60" t="n"/>
      <c r="T931" s="60" t="n"/>
      <c r="U931" s="60" t="n"/>
      <c r="V931" s="60" t="n"/>
      <c r="W931" s="60" t="n"/>
      <c r="X931" s="60" t="n"/>
      <c r="Y931" s="60" t="n"/>
      <c r="Z931" s="60" t="n"/>
    </row>
    <row r="932">
      <c r="A932" s="151" t="n">
        <v>46095</v>
      </c>
      <c r="B932" s="70" t="n">
        <v>1346</v>
      </c>
      <c r="C932" s="115" t="inlineStr">
        <is>
          <t>SELİM İNŞAAT</t>
        </is>
      </c>
      <c r="D932" s="115" t="inlineStr">
        <is>
          <t>34 GVZ 199</t>
        </is>
      </c>
      <c r="E932" s="115" t="inlineStr">
        <is>
          <t>HÜSEYİN DENİZ</t>
        </is>
      </c>
      <c r="F932" s="65" t="n">
        <v>228610</v>
      </c>
      <c r="G932" s="152" t="n">
        <v>444</v>
      </c>
      <c r="H932" s="60" t="n"/>
      <c r="I932" s="156">
        <f>+I931+(G932-H932)</f>
        <v/>
      </c>
      <c r="J932" s="60" t="n"/>
      <c r="K932" s="60" t="n"/>
      <c r="L932" s="158">
        <f>+H932*J932</f>
        <v/>
      </c>
      <c r="M932" s="159">
        <f>SUM(M931+K932-L932)</f>
        <v/>
      </c>
      <c r="N932" s="60" t="n"/>
      <c r="O932" s="60" t="n"/>
      <c r="P932" s="60" t="n"/>
      <c r="Q932" s="60" t="n"/>
      <c r="R932" s="60" t="n"/>
      <c r="S932" s="60" t="n"/>
      <c r="T932" s="60" t="n"/>
      <c r="U932" s="60" t="n"/>
      <c r="V932" s="60" t="n"/>
      <c r="W932" s="60" t="n"/>
      <c r="X932" s="60" t="n"/>
      <c r="Y932" s="60" t="n"/>
      <c r="Z932" s="60" t="n"/>
    </row>
    <row r="933">
      <c r="A933" s="151" t="n">
        <v>46095</v>
      </c>
      <c r="B933" s="70" t="n">
        <v>1550</v>
      </c>
      <c r="C933" s="115" t="inlineStr">
        <is>
          <t>SELİM İNŞAAT</t>
        </is>
      </c>
      <c r="D933" s="115" t="inlineStr">
        <is>
          <t>34 GUS 848</t>
        </is>
      </c>
      <c r="E933" s="115" t="inlineStr">
        <is>
          <t>SERDAR BOZKURT</t>
        </is>
      </c>
      <c r="F933" s="65" t="n">
        <v>235868</v>
      </c>
      <c r="G933" s="152" t="n">
        <v>570</v>
      </c>
      <c r="H933" s="60" t="n"/>
      <c r="I933" s="156">
        <f>+I932+(G933-H933)</f>
        <v/>
      </c>
      <c r="J933" s="60" t="n"/>
      <c r="K933" s="60" t="n"/>
      <c r="L933" s="158">
        <f>+H933*J933</f>
        <v/>
      </c>
      <c r="M933" s="159">
        <f>SUM(M932+K933-L933)</f>
        <v/>
      </c>
      <c r="N933" s="60" t="n"/>
      <c r="O933" s="60" t="n"/>
      <c r="P933" s="60" t="n"/>
      <c r="Q933" s="60" t="n"/>
      <c r="R933" s="60" t="n"/>
      <c r="S933" s="60" t="n"/>
      <c r="T933" s="60" t="n"/>
      <c r="U933" s="60" t="n"/>
      <c r="V933" s="60" t="n"/>
      <c r="W933" s="60" t="n"/>
      <c r="X933" s="60" t="n"/>
      <c r="Y933" s="60" t="n"/>
      <c r="Z933" s="60" t="n"/>
    </row>
    <row r="934">
      <c r="A934" s="151" t="n">
        <v>46095</v>
      </c>
      <c r="B934" s="70" t="n">
        <v>3335</v>
      </c>
      <c r="C934" s="115" t="inlineStr">
        <is>
          <t>SELİM İNŞAAT</t>
        </is>
      </c>
      <c r="D934" s="115" t="inlineStr">
        <is>
          <t>34  GUS 938</t>
        </is>
      </c>
      <c r="E934" s="115" t="inlineStr">
        <is>
          <t>MEHMET KAYA</t>
        </is>
      </c>
      <c r="F934" s="65" t="n">
        <v>250033</v>
      </c>
      <c r="G934" s="152" t="n">
        <v>435</v>
      </c>
      <c r="H934" s="60" t="n"/>
      <c r="I934" s="156">
        <f>+I933+(G934-H934)</f>
        <v/>
      </c>
      <c r="J934" s="60" t="n"/>
      <c r="K934" s="60" t="n"/>
      <c r="L934" s="158">
        <f>+H934*J934</f>
        <v/>
      </c>
      <c r="M934" s="159">
        <f>SUM(M933+K934-L934)</f>
        <v/>
      </c>
      <c r="N934" s="60" t="n"/>
      <c r="O934" s="60" t="n"/>
      <c r="P934" s="60" t="n"/>
      <c r="Q934" s="60" t="n"/>
      <c r="R934" s="60" t="n"/>
      <c r="S934" s="60" t="n"/>
      <c r="T934" s="60" t="n"/>
      <c r="U934" s="60" t="n"/>
      <c r="V934" s="60" t="n"/>
      <c r="W934" s="60" t="n"/>
      <c r="X934" s="60" t="n"/>
      <c r="Y934" s="60" t="n"/>
      <c r="Z934" s="60" t="n"/>
    </row>
    <row r="935">
      <c r="A935" s="151" t="n">
        <v>46095</v>
      </c>
      <c r="B935" s="70" t="n">
        <v>3492</v>
      </c>
      <c r="C935" s="115" t="inlineStr">
        <is>
          <t>SELİM İNŞAAT</t>
        </is>
      </c>
      <c r="D935" s="115" t="inlineStr">
        <is>
          <t>34 EDB 754</t>
        </is>
      </c>
      <c r="E935" s="115" t="inlineStr">
        <is>
          <t>MUSTAFA KAYA</t>
        </is>
      </c>
      <c r="F935" s="65" t="n">
        <v>374700</v>
      </c>
      <c r="G935" s="152" t="n">
        <v>405</v>
      </c>
      <c r="H935" s="60" t="n"/>
      <c r="I935" s="156">
        <f>+I934+(G935-H935)</f>
        <v/>
      </c>
      <c r="J935" s="60" t="n"/>
      <c r="K935" s="60" t="n"/>
      <c r="L935" s="158">
        <f>+H935*J935</f>
        <v/>
      </c>
      <c r="M935" s="159">
        <f>SUM(M934+K935-L935)</f>
        <v/>
      </c>
      <c r="N935" s="60" t="n"/>
      <c r="O935" s="60" t="n"/>
      <c r="P935" s="60" t="n"/>
      <c r="Q935" s="60" t="n"/>
      <c r="R935" s="60" t="n"/>
      <c r="S935" s="60" t="n"/>
      <c r="T935" s="60" t="n"/>
      <c r="U935" s="60" t="n"/>
      <c r="V935" s="60" t="n"/>
      <c r="W935" s="60" t="n"/>
      <c r="X935" s="60" t="n"/>
      <c r="Y935" s="60" t="n"/>
      <c r="Z935" s="60" t="n"/>
    </row>
    <row r="936">
      <c r="A936" s="151" t="n">
        <v>46095</v>
      </c>
      <c r="B936" s="70" t="n">
        <v>4977</v>
      </c>
      <c r="C936" s="115" t="inlineStr">
        <is>
          <t>SELİM İNŞAAT</t>
        </is>
      </c>
      <c r="D936" s="115" t="inlineStr">
        <is>
          <t>34 GVZ 745</t>
        </is>
      </c>
      <c r="E936" s="115" t="inlineStr">
        <is>
          <t>MURAT DEMİRBAĞ</t>
        </is>
      </c>
      <c r="F936" s="65" t="n">
        <v>250297</v>
      </c>
      <c r="G936" s="152" t="n">
        <v>490</v>
      </c>
      <c r="H936" s="60" t="n"/>
      <c r="I936" s="156">
        <f>+I935+(G936-H936)</f>
        <v/>
      </c>
      <c r="J936" s="60" t="n"/>
      <c r="K936" s="60" t="n"/>
      <c r="L936" s="158">
        <f>+H936*J936</f>
        <v/>
      </c>
      <c r="M936" s="159">
        <f>SUM(M935+K936-L936)</f>
        <v/>
      </c>
      <c r="N936" s="60" t="n"/>
      <c r="O936" s="60" t="n"/>
      <c r="P936" s="60" t="n"/>
      <c r="Q936" s="60" t="n"/>
      <c r="R936" s="60" t="n"/>
      <c r="S936" s="60" t="n"/>
      <c r="T936" s="60" t="n"/>
      <c r="U936" s="60" t="n"/>
      <c r="V936" s="60" t="n"/>
      <c r="W936" s="60" t="n"/>
      <c r="X936" s="60" t="n"/>
      <c r="Y936" s="60" t="n"/>
      <c r="Z936" s="60" t="n"/>
    </row>
    <row r="937">
      <c r="A937" s="151" t="n">
        <v>46095</v>
      </c>
      <c r="B937" s="70" t="n">
        <v>519</v>
      </c>
      <c r="C937" s="115" t="inlineStr">
        <is>
          <t>SELİM İNŞAAT</t>
        </is>
      </c>
      <c r="D937" s="115" t="inlineStr">
        <is>
          <t>34 EGR 737</t>
        </is>
      </c>
      <c r="E937" s="115" t="inlineStr">
        <is>
          <t>CEM MUHTAR</t>
        </is>
      </c>
      <c r="F937" s="65" t="n">
        <v>464035</v>
      </c>
      <c r="G937" s="152" t="n">
        <v>322</v>
      </c>
      <c r="H937" s="60" t="n"/>
      <c r="I937" s="156">
        <f>+I936+(G937-H937)</f>
        <v/>
      </c>
      <c r="J937" s="60" t="n"/>
      <c r="K937" s="60" t="n"/>
      <c r="L937" s="158">
        <f>+H937*J937</f>
        <v/>
      </c>
      <c r="M937" s="159">
        <f>SUM(M936+K937-L937)</f>
        <v/>
      </c>
      <c r="N937" s="60" t="n"/>
      <c r="O937" s="60" t="n"/>
      <c r="P937" s="60" t="n"/>
      <c r="Q937" s="60" t="n"/>
      <c r="R937" s="60" t="n"/>
      <c r="S937" s="60" t="n"/>
      <c r="T937" s="60" t="n"/>
      <c r="U937" s="60" t="n"/>
      <c r="V937" s="60" t="n"/>
      <c r="W937" s="60" t="n"/>
      <c r="X937" s="60" t="n"/>
      <c r="Y937" s="60" t="n"/>
      <c r="Z937" s="60" t="n"/>
    </row>
    <row r="938">
      <c r="A938" s="151" t="n">
        <v>46095</v>
      </c>
      <c r="B938" s="70" t="n">
        <v>2547</v>
      </c>
      <c r="C938" s="115" t="inlineStr">
        <is>
          <t>AZGÜN YAPI</t>
        </is>
      </c>
      <c r="D938" s="115" t="inlineStr">
        <is>
          <t>34 MKT 593</t>
        </is>
      </c>
      <c r="E938" s="115" t="inlineStr">
        <is>
          <t>TURGUT ÇATAL</t>
        </is>
      </c>
      <c r="F938" s="65" t="n"/>
      <c r="G938" s="152" t="n">
        <v>343</v>
      </c>
      <c r="H938" s="60" t="n"/>
      <c r="I938" s="156">
        <f>+I937+(G938-H938)</f>
        <v/>
      </c>
      <c r="J938" s="60" t="n"/>
      <c r="K938" s="60" t="n"/>
      <c r="L938" s="158">
        <f>+H938*J938</f>
        <v/>
      </c>
      <c r="M938" s="159">
        <f>SUM(M937+K938-L938)</f>
        <v/>
      </c>
      <c r="N938" s="60" t="n"/>
      <c r="O938" s="60" t="n"/>
      <c r="P938" s="60" t="n"/>
      <c r="Q938" s="60" t="n"/>
      <c r="R938" s="60" t="n"/>
      <c r="S938" s="60" t="n"/>
      <c r="T938" s="60" t="n"/>
      <c r="U938" s="60" t="n"/>
      <c r="V938" s="60" t="n"/>
      <c r="W938" s="60" t="n"/>
      <c r="X938" s="60" t="n"/>
      <c r="Y938" s="60" t="n"/>
      <c r="Z938" s="60" t="n"/>
    </row>
    <row r="939">
      <c r="A939" s="151" t="n">
        <v>46095</v>
      </c>
      <c r="B939" s="70" t="n">
        <v>3291</v>
      </c>
      <c r="C939" s="115" t="inlineStr">
        <is>
          <t>AZGÜN YAPI</t>
        </is>
      </c>
      <c r="D939" s="115" t="inlineStr">
        <is>
          <t xml:space="preserve">34 DTV 263 </t>
        </is>
      </c>
      <c r="E939" s="115" t="inlineStr">
        <is>
          <t>DURSUN ALİ GÜREK</t>
        </is>
      </c>
      <c r="F939" s="65" t="n"/>
      <c r="G939" s="152" t="n">
        <v>277</v>
      </c>
      <c r="H939" s="60" t="n"/>
      <c r="I939" s="156">
        <f>+I938+(G939-H939)</f>
        <v/>
      </c>
      <c r="J939" s="60" t="n"/>
      <c r="K939" s="60" t="n"/>
      <c r="L939" s="158">
        <f>+H939*J939</f>
        <v/>
      </c>
      <c r="M939" s="159">
        <f>SUM(M938+K939-L939)</f>
        <v/>
      </c>
      <c r="N939" s="60" t="n"/>
      <c r="O939" s="60" t="n"/>
      <c r="P939" s="60" t="n"/>
      <c r="Q939" s="60" t="n"/>
      <c r="R939" s="60" t="n"/>
      <c r="S939" s="60" t="n"/>
      <c r="T939" s="60" t="n"/>
      <c r="U939" s="60" t="n"/>
      <c r="V939" s="60" t="n"/>
      <c r="W939" s="60" t="n"/>
      <c r="X939" s="60" t="n"/>
      <c r="Y939" s="60" t="n"/>
      <c r="Z939" s="60" t="n"/>
    </row>
    <row r="940">
      <c r="A940" s="151" t="n">
        <v>46095</v>
      </c>
      <c r="B940" s="70" t="n">
        <v>250</v>
      </c>
      <c r="C940" s="115" t="inlineStr">
        <is>
          <t>SELİM İNŞAAT</t>
        </is>
      </c>
      <c r="D940" s="115" t="inlineStr">
        <is>
          <t>34 JGR 15</t>
        </is>
      </c>
      <c r="E940" s="115" t="inlineStr">
        <is>
          <t>ÖNER DÜNDAR</t>
        </is>
      </c>
      <c r="F940" s="65" t="n">
        <v>331407</v>
      </c>
      <c r="G940" s="152" t="n">
        <v>84</v>
      </c>
      <c r="H940" s="60" t="n"/>
      <c r="I940" s="156">
        <f>+I939+(G940-H940)</f>
        <v/>
      </c>
      <c r="J940" s="60" t="n"/>
      <c r="K940" s="60" t="n"/>
      <c r="L940" s="158">
        <f>+H940*J940</f>
        <v/>
      </c>
      <c r="M940" s="159">
        <f>SUM(M939+K940-L940)</f>
        <v/>
      </c>
      <c r="N940" s="60" t="n"/>
      <c r="O940" s="60" t="n"/>
      <c r="P940" s="60" t="n"/>
      <c r="Q940" s="60" t="n"/>
      <c r="R940" s="60" t="n"/>
      <c r="S940" s="60" t="n"/>
      <c r="T940" s="60" t="n"/>
      <c r="U940" s="60" t="n"/>
      <c r="V940" s="60" t="n"/>
      <c r="W940" s="60" t="n"/>
      <c r="X940" s="60" t="n"/>
      <c r="Y940" s="60" t="n"/>
      <c r="Z940" s="60" t="n"/>
    </row>
    <row r="941">
      <c r="A941" s="151" t="n">
        <v>46095</v>
      </c>
      <c r="B941" s="70" t="n">
        <v>4468</v>
      </c>
      <c r="C941" s="115" t="inlineStr">
        <is>
          <t>SELİM İNŞAAT</t>
        </is>
      </c>
      <c r="D941" s="115" t="inlineStr">
        <is>
          <t>34 DKL 798</t>
        </is>
      </c>
      <c r="E941" s="115" t="inlineStr">
        <is>
          <t>HASAN BAYCA</t>
        </is>
      </c>
      <c r="F941" s="65" t="n">
        <v>81837</v>
      </c>
      <c r="G941" s="152" t="n">
        <v>410</v>
      </c>
      <c r="H941" s="60" t="n"/>
      <c r="I941" s="156">
        <f>+I940+(G941-H941)</f>
        <v/>
      </c>
      <c r="J941" s="60" t="n"/>
      <c r="K941" s="60" t="n"/>
      <c r="L941" s="158">
        <f>+H941*J941</f>
        <v/>
      </c>
      <c r="M941" s="159">
        <f>SUM(M940+K941-L941)</f>
        <v/>
      </c>
      <c r="N941" s="60" t="n"/>
      <c r="O941" s="60" t="n"/>
      <c r="P941" s="60" t="n"/>
      <c r="Q941" s="60" t="n"/>
      <c r="R941" s="60" t="n"/>
      <c r="S941" s="60" t="n"/>
      <c r="T941" s="60" t="n"/>
      <c r="U941" s="60" t="n"/>
      <c r="V941" s="60" t="n"/>
      <c r="W941" s="60" t="n"/>
      <c r="X941" s="60" t="n"/>
      <c r="Y941" s="60" t="n"/>
      <c r="Z941" s="60" t="n"/>
    </row>
    <row r="942">
      <c r="A942" s="151" t="n">
        <v>46095</v>
      </c>
      <c r="B942" s="70" t="n">
        <v>2594</v>
      </c>
      <c r="C942" s="115" t="inlineStr">
        <is>
          <t>SELİM İNŞAAT</t>
        </is>
      </c>
      <c r="D942" s="115" t="inlineStr">
        <is>
          <t>34 GER 028</t>
        </is>
      </c>
      <c r="E942" s="115" t="inlineStr">
        <is>
          <t>ABDÜLKERİM ERGEN</t>
        </is>
      </c>
      <c r="F942" s="65" t="n">
        <v>61061</v>
      </c>
      <c r="G942" s="152" t="n">
        <v>293</v>
      </c>
      <c r="H942" s="60" t="n"/>
      <c r="I942" s="156">
        <f>+I941+(G942-H942)</f>
        <v/>
      </c>
      <c r="J942" s="60" t="n"/>
      <c r="K942" s="60" t="n"/>
      <c r="L942" s="158">
        <f>+H942*J942</f>
        <v/>
      </c>
      <c r="M942" s="159">
        <f>SUM(M941+K942-L942)</f>
        <v/>
      </c>
      <c r="N942" s="60" t="n"/>
      <c r="O942" s="60" t="n"/>
      <c r="P942" s="60" t="n"/>
      <c r="Q942" s="60" t="n"/>
      <c r="R942" s="60" t="n"/>
      <c r="S942" s="60" t="n"/>
      <c r="T942" s="60" t="n"/>
      <c r="U942" s="60" t="n"/>
      <c r="V942" s="60" t="n"/>
      <c r="W942" s="60" t="n"/>
      <c r="X942" s="60" t="n"/>
      <c r="Y942" s="60" t="n"/>
      <c r="Z942" s="60" t="n"/>
    </row>
    <row r="943">
      <c r="A943" s="151" t="n">
        <v>46095</v>
      </c>
      <c r="B943" s="70" t="n">
        <v>2348</v>
      </c>
      <c r="C943" s="115" t="inlineStr">
        <is>
          <t>SELİM İNŞAAT</t>
        </is>
      </c>
      <c r="D943" s="115" t="inlineStr">
        <is>
          <t>34 DP 4161</t>
        </is>
      </c>
      <c r="E943" s="115" t="inlineStr">
        <is>
          <t>RIFAT KARATAY</t>
        </is>
      </c>
      <c r="F943" s="65" t="n">
        <v>321497</v>
      </c>
      <c r="G943" s="152" t="n">
        <v>300</v>
      </c>
      <c r="H943" s="60" t="n"/>
      <c r="I943" s="156">
        <f>+I942+(G943-H943)</f>
        <v/>
      </c>
      <c r="J943" s="60" t="n"/>
      <c r="K943" s="60" t="n"/>
      <c r="L943" s="158">
        <f>+H943*J943</f>
        <v/>
      </c>
      <c r="M943" s="159">
        <f>SUM(M942+K943-L943)</f>
        <v/>
      </c>
      <c r="N943" s="60" t="n"/>
      <c r="O943" s="60" t="n"/>
      <c r="P943" s="60" t="n"/>
      <c r="Q943" s="60" t="n"/>
      <c r="R943" s="60" t="n"/>
      <c r="S943" s="60" t="n"/>
      <c r="T943" s="60" t="n"/>
      <c r="U943" s="60" t="n"/>
      <c r="V943" s="60" t="n"/>
      <c r="W943" s="60" t="n"/>
      <c r="X943" s="60" t="n"/>
      <c r="Y943" s="60" t="n"/>
      <c r="Z943" s="60" t="n"/>
    </row>
    <row r="944">
      <c r="A944" s="151" t="n">
        <v>46095</v>
      </c>
      <c r="B944" s="70" t="n">
        <v>306</v>
      </c>
      <c r="C944" s="115" t="inlineStr">
        <is>
          <t>SELİM İNŞAAT</t>
        </is>
      </c>
      <c r="D944" s="115" t="inlineStr">
        <is>
          <t>34 GER 445</t>
        </is>
      </c>
      <c r="E944" s="115" t="inlineStr">
        <is>
          <t>MUSTAFA ERYİĞİT</t>
        </is>
      </c>
      <c r="F944" s="65" t="n">
        <v>58400</v>
      </c>
      <c r="G944" s="152" t="n">
        <v>382</v>
      </c>
      <c r="H944" s="60" t="n"/>
      <c r="I944" s="156">
        <f>+I943+(G944-H944)</f>
        <v/>
      </c>
      <c r="J944" s="60" t="n"/>
      <c r="K944" s="60" t="n"/>
      <c r="L944" s="158">
        <f>+H944*J944</f>
        <v/>
      </c>
      <c r="M944" s="159">
        <f>SUM(M943+K944-L944)</f>
        <v/>
      </c>
      <c r="N944" s="60" t="n"/>
      <c r="O944" s="60" t="n"/>
      <c r="P944" s="60" t="n"/>
      <c r="Q944" s="60" t="n"/>
      <c r="R944" s="60" t="n"/>
      <c r="S944" s="60" t="n"/>
      <c r="T944" s="60" t="n"/>
      <c r="U944" s="60" t="n"/>
      <c r="V944" s="60" t="n"/>
      <c r="W944" s="60" t="n"/>
      <c r="X944" s="60" t="n"/>
      <c r="Y944" s="60" t="n"/>
      <c r="Z944" s="60" t="n"/>
    </row>
    <row r="945">
      <c r="A945" s="151" t="n">
        <v>46095</v>
      </c>
      <c r="B945" s="70" t="n">
        <v>625</v>
      </c>
      <c r="C945" s="115" t="inlineStr">
        <is>
          <t>SELİM İNŞAAT</t>
        </is>
      </c>
      <c r="D945" s="115" t="inlineStr">
        <is>
          <t>34 BUR 461</t>
        </is>
      </c>
      <c r="E945" s="115" t="inlineStr">
        <is>
          <t xml:space="preserve">MUSTAFA ALBAYRAK </t>
        </is>
      </c>
      <c r="F945" s="65" t="n"/>
      <c r="G945" s="152" t="n">
        <v>64</v>
      </c>
      <c r="H945" s="60" t="n"/>
      <c r="I945" s="156">
        <f>+I944+(G945-H945)</f>
        <v/>
      </c>
      <c r="J945" s="60" t="n"/>
      <c r="K945" s="60" t="n"/>
      <c r="L945" s="158">
        <f>+H945*J945</f>
        <v/>
      </c>
      <c r="M945" s="159">
        <f>SUM(M944+K945-L945)</f>
        <v/>
      </c>
      <c r="N945" s="60" t="n"/>
      <c r="O945" s="60" t="n"/>
      <c r="P945" s="60" t="n"/>
      <c r="Q945" s="60" t="n"/>
      <c r="R945" s="60" t="n"/>
      <c r="S945" s="60" t="n"/>
      <c r="T945" s="60" t="n"/>
      <c r="U945" s="60" t="n"/>
      <c r="V945" s="60" t="n"/>
      <c r="W945" s="60" t="n"/>
      <c r="X945" s="60" t="n"/>
      <c r="Y945" s="60" t="n"/>
      <c r="Z945" s="60" t="n"/>
    </row>
    <row r="946">
      <c r="A946" s="151" t="n">
        <v>46095</v>
      </c>
      <c r="B946" s="70" t="n">
        <v>718</v>
      </c>
      <c r="C946" s="115" t="inlineStr">
        <is>
          <t>METİN ERYİĞİT</t>
        </is>
      </c>
      <c r="D946" s="115" t="inlineStr">
        <is>
          <t>34 EGS 013</t>
        </is>
      </c>
      <c r="E946" s="115" t="inlineStr">
        <is>
          <t>UĞUR DUMAN</t>
        </is>
      </c>
      <c r="F946" s="65" t="n"/>
      <c r="G946" s="152" t="n">
        <v>322</v>
      </c>
      <c r="H946" s="60" t="n"/>
      <c r="I946" s="156">
        <f>+I945+(G946-H946)</f>
        <v/>
      </c>
      <c r="J946" s="60" t="n"/>
      <c r="K946" s="60" t="n"/>
      <c r="L946" s="158">
        <f>+H946*J946</f>
        <v/>
      </c>
      <c r="M946" s="159">
        <f>SUM(M945+K946-L946)</f>
        <v/>
      </c>
      <c r="N946" s="60" t="n"/>
      <c r="O946" s="60" t="n"/>
      <c r="P946" s="60" t="n"/>
      <c r="Q946" s="60" t="n"/>
      <c r="R946" s="60" t="n"/>
      <c r="S946" s="60" t="n"/>
      <c r="T946" s="60" t="n"/>
      <c r="U946" s="60" t="n"/>
      <c r="V946" s="60" t="n"/>
      <c r="W946" s="60" t="n"/>
      <c r="X946" s="60" t="n"/>
      <c r="Y946" s="60" t="n"/>
      <c r="Z946" s="60" t="n"/>
    </row>
    <row r="947">
      <c r="A947" s="151" t="n">
        <v>46095</v>
      </c>
      <c r="B947" s="70" t="n">
        <v>815</v>
      </c>
      <c r="C947" s="115" t="inlineStr">
        <is>
          <t>METİN ERYİĞİT</t>
        </is>
      </c>
      <c r="D947" s="115" t="inlineStr">
        <is>
          <t>34 GBL 998</t>
        </is>
      </c>
      <c r="E947" s="115" t="inlineStr">
        <is>
          <t>ALİ KESKİN</t>
        </is>
      </c>
      <c r="F947" s="65" t="n"/>
      <c r="G947" s="152" t="n">
        <v>210</v>
      </c>
      <c r="H947" s="60" t="n"/>
      <c r="I947" s="156">
        <f>+I946+(G947-H947)</f>
        <v/>
      </c>
      <c r="J947" s="60" t="n"/>
      <c r="K947" s="60" t="n"/>
      <c r="L947" s="158">
        <f>+H947*J947</f>
        <v/>
      </c>
      <c r="M947" s="159">
        <f>SUM(M946+K947-L947)</f>
        <v/>
      </c>
      <c r="N947" s="60" t="n"/>
      <c r="O947" s="60" t="n"/>
      <c r="P947" s="60" t="n"/>
      <c r="Q947" s="60" t="n"/>
      <c r="R947" s="60" t="n"/>
      <c r="S947" s="60" t="n"/>
      <c r="T947" s="60" t="n"/>
      <c r="U947" s="60" t="n"/>
      <c r="V947" s="60" t="n"/>
      <c r="W947" s="60" t="n"/>
      <c r="X947" s="60" t="n"/>
      <c r="Y947" s="60" t="n"/>
      <c r="Z947" s="60" t="n"/>
    </row>
    <row r="948">
      <c r="A948" s="151" t="n">
        <v>46095</v>
      </c>
      <c r="B948" s="70" t="n">
        <v>484</v>
      </c>
      <c r="C948" s="115" t="inlineStr">
        <is>
          <t>MEGA</t>
        </is>
      </c>
      <c r="D948" s="115" t="inlineStr">
        <is>
          <t>SM350</t>
        </is>
      </c>
      <c r="E948" s="115" t="inlineStr">
        <is>
          <t>MİKAİL</t>
        </is>
      </c>
      <c r="F948" s="65" t="n"/>
      <c r="G948" s="152" t="n">
        <v>400</v>
      </c>
      <c r="H948" s="60" t="n"/>
      <c r="I948" s="156">
        <f>+I947+(G948-H948)</f>
        <v/>
      </c>
      <c r="J948" s="60" t="n"/>
      <c r="K948" s="60" t="n"/>
      <c r="L948" s="158">
        <f>+H948*J948</f>
        <v/>
      </c>
      <c r="M948" s="159">
        <f>SUM(M947+K948-L948)</f>
        <v/>
      </c>
      <c r="N948" s="60" t="n"/>
      <c r="O948" s="60" t="n"/>
      <c r="P948" s="60" t="n"/>
      <c r="Q948" s="60" t="n"/>
      <c r="R948" s="60" t="n"/>
      <c r="S948" s="60" t="n"/>
      <c r="T948" s="60" t="n"/>
      <c r="U948" s="60" t="n"/>
      <c r="V948" s="60" t="n"/>
      <c r="W948" s="60" t="n"/>
      <c r="X948" s="60" t="n"/>
      <c r="Y948" s="60" t="n"/>
      <c r="Z948" s="60" t="n"/>
    </row>
    <row r="949">
      <c r="A949" s="151" t="n">
        <v>46095</v>
      </c>
      <c r="B949" s="70" t="n">
        <v>485</v>
      </c>
      <c r="C949" s="115" t="inlineStr">
        <is>
          <t>MEGA</t>
        </is>
      </c>
      <c r="D949" s="115" t="inlineStr">
        <is>
          <t>SM350</t>
        </is>
      </c>
      <c r="E949" s="115" t="inlineStr">
        <is>
          <t>TEVFİK</t>
        </is>
      </c>
      <c r="F949" s="65" t="n"/>
      <c r="G949" s="152" t="n">
        <v>455</v>
      </c>
      <c r="H949" s="60" t="n"/>
      <c r="I949" s="156">
        <f>+I948+(G949-H949)</f>
        <v/>
      </c>
      <c r="J949" s="60" t="n"/>
      <c r="K949" s="60" t="n"/>
      <c r="L949" s="158">
        <f>+H949*J949</f>
        <v/>
      </c>
      <c r="M949" s="159">
        <f>SUM(M948+K949-L949)</f>
        <v/>
      </c>
      <c r="N949" s="60" t="n"/>
      <c r="O949" s="60" t="n"/>
      <c r="P949" s="60" t="n"/>
      <c r="Q949" s="60" t="n"/>
      <c r="R949" s="60" t="n"/>
      <c r="S949" s="60" t="n"/>
      <c r="T949" s="60" t="n"/>
      <c r="U949" s="60" t="n"/>
      <c r="V949" s="60" t="n"/>
      <c r="W949" s="60" t="n"/>
      <c r="X949" s="60" t="n"/>
      <c r="Y949" s="60" t="n"/>
      <c r="Z949" s="60" t="n"/>
    </row>
    <row r="950">
      <c r="A950" s="151" t="n">
        <v>46095</v>
      </c>
      <c r="B950" s="70" t="n">
        <v>486</v>
      </c>
      <c r="C950" s="115" t="inlineStr">
        <is>
          <t>MEGA</t>
        </is>
      </c>
      <c r="D950" s="115" t="inlineStr">
        <is>
          <t>SM370</t>
        </is>
      </c>
      <c r="E950" s="115" t="inlineStr">
        <is>
          <t>BEKİR</t>
        </is>
      </c>
      <c r="F950" s="65" t="n"/>
      <c r="G950" s="152" t="n">
        <v>345</v>
      </c>
      <c r="H950" s="60" t="n"/>
      <c r="I950" s="156">
        <f>+I949+(G950-H950)</f>
        <v/>
      </c>
      <c r="J950" s="60" t="n"/>
      <c r="K950" s="60" t="n"/>
      <c r="L950" s="158">
        <f>+H950*J950</f>
        <v/>
      </c>
      <c r="M950" s="159">
        <f>SUM(M949+K950-L950)</f>
        <v/>
      </c>
      <c r="N950" s="60" t="n"/>
      <c r="O950" s="60" t="n"/>
      <c r="P950" s="60" t="n"/>
      <c r="Q950" s="60" t="n"/>
      <c r="R950" s="60" t="n"/>
      <c r="S950" s="60" t="n"/>
      <c r="T950" s="60" t="n"/>
      <c r="U950" s="60" t="n"/>
      <c r="V950" s="60" t="n"/>
      <c r="W950" s="60" t="n"/>
      <c r="X950" s="60" t="n"/>
      <c r="Y950" s="60" t="n"/>
      <c r="Z950" s="60" t="n"/>
    </row>
    <row r="951">
      <c r="A951" s="151" t="n">
        <v>46095</v>
      </c>
      <c r="B951" s="70" t="n">
        <v>487</v>
      </c>
      <c r="C951" s="115" t="inlineStr">
        <is>
          <t>EVKUR</t>
        </is>
      </c>
      <c r="D951" s="115" t="inlineStr">
        <is>
          <t>HİTACHİ</t>
        </is>
      </c>
      <c r="E951" s="115" t="inlineStr">
        <is>
          <t>TURGUT</t>
        </is>
      </c>
      <c r="F951" s="65" t="n"/>
      <c r="G951" s="152" t="n">
        <v>453</v>
      </c>
      <c r="H951" s="60" t="n"/>
      <c r="I951" s="156">
        <f>+I950+(G951-H951)</f>
        <v/>
      </c>
      <c r="J951" s="60" t="n"/>
      <c r="K951" s="60" t="n"/>
      <c r="L951" s="158">
        <f>+H951*J951</f>
        <v/>
      </c>
      <c r="M951" s="159">
        <f>SUM(M950+K951-L951)</f>
        <v/>
      </c>
      <c r="N951" s="60" t="n"/>
      <c r="O951" s="60" t="n"/>
      <c r="P951" s="60" t="n"/>
      <c r="Q951" s="60" t="n"/>
      <c r="R951" s="60" t="n"/>
      <c r="S951" s="60" t="n"/>
      <c r="T951" s="60" t="n"/>
      <c r="U951" s="60" t="n"/>
      <c r="V951" s="60" t="n"/>
      <c r="W951" s="60" t="n"/>
      <c r="X951" s="60" t="n"/>
      <c r="Y951" s="60" t="n"/>
      <c r="Z951" s="60" t="n"/>
    </row>
    <row r="952">
      <c r="A952" s="151" t="n">
        <v>46095</v>
      </c>
      <c r="B952" s="70" t="n">
        <v>488</v>
      </c>
      <c r="C952" s="115" t="inlineStr">
        <is>
          <t>MEGA</t>
        </is>
      </c>
      <c r="D952" s="115" t="inlineStr">
        <is>
          <t>SM300</t>
        </is>
      </c>
      <c r="E952" s="115" t="inlineStr">
        <is>
          <t>TEKİN</t>
        </is>
      </c>
      <c r="F952" s="65" t="n"/>
      <c r="G952" s="152" t="n">
        <v>528</v>
      </c>
      <c r="H952" s="60" t="n"/>
      <c r="I952" s="156">
        <f>+I951+(G952-H952)</f>
        <v/>
      </c>
      <c r="J952" s="60" t="n"/>
      <c r="K952" s="60" t="n"/>
      <c r="L952" s="158">
        <f>+H952*J952</f>
        <v/>
      </c>
      <c r="M952" s="159">
        <f>SUM(M951+K952-L952)</f>
        <v/>
      </c>
      <c r="N952" s="60" t="n"/>
      <c r="O952" s="60" t="n"/>
      <c r="P952" s="60" t="n"/>
      <c r="Q952" s="60" t="n"/>
      <c r="R952" s="60" t="n"/>
      <c r="S952" s="60" t="n"/>
      <c r="T952" s="60" t="n"/>
      <c r="U952" s="60" t="n"/>
      <c r="V952" s="60" t="n"/>
      <c r="W952" s="60" t="n"/>
      <c r="X952" s="60" t="n"/>
      <c r="Y952" s="60" t="n"/>
      <c r="Z952" s="60" t="n"/>
    </row>
    <row r="953">
      <c r="A953" s="151" t="n">
        <v>46095</v>
      </c>
      <c r="B953" s="70" t="n">
        <v>489</v>
      </c>
      <c r="C953" s="115" t="inlineStr">
        <is>
          <t>MEGA</t>
        </is>
      </c>
      <c r="D953" s="115" t="inlineStr">
        <is>
          <t>SM370</t>
        </is>
      </c>
      <c r="E953" s="115" t="inlineStr">
        <is>
          <t>BEKİR</t>
        </is>
      </c>
      <c r="F953" s="65" t="n"/>
      <c r="G953" s="152" t="n">
        <v>250</v>
      </c>
      <c r="H953" s="60" t="n"/>
      <c r="I953" s="156">
        <f>+I952+(G953-H953)</f>
        <v/>
      </c>
      <c r="J953" s="60" t="n"/>
      <c r="K953" s="60" t="n"/>
      <c r="L953" s="158">
        <f>+H953*J953</f>
        <v/>
      </c>
      <c r="M953" s="159">
        <f>SUM(M952+K953-L953)</f>
        <v/>
      </c>
      <c r="N953" s="60" t="n"/>
      <c r="O953" s="60" t="n"/>
      <c r="P953" s="60" t="n"/>
      <c r="Q953" s="60" t="n"/>
      <c r="R953" s="60" t="n"/>
      <c r="S953" s="60" t="n"/>
      <c r="T953" s="60" t="n"/>
      <c r="U953" s="60" t="n"/>
      <c r="V953" s="60" t="n"/>
      <c r="W953" s="60" t="n"/>
      <c r="X953" s="60" t="n"/>
      <c r="Y953" s="60" t="n"/>
      <c r="Z953" s="60" t="n"/>
    </row>
    <row r="954">
      <c r="A954" s="151" t="n">
        <v>46095</v>
      </c>
      <c r="B954" s="70" t="n">
        <v>490</v>
      </c>
      <c r="C954" s="115" t="inlineStr">
        <is>
          <t>MEGA</t>
        </is>
      </c>
      <c r="D954" s="115" t="inlineStr">
        <is>
          <t>SM350</t>
        </is>
      </c>
      <c r="E954" s="115" t="inlineStr">
        <is>
          <t>MİKAİL</t>
        </is>
      </c>
      <c r="F954" s="65" t="n"/>
      <c r="G954" s="152" t="n">
        <v>300</v>
      </c>
      <c r="H954" s="60" t="n"/>
      <c r="I954" s="156">
        <f>+I953+(G954-H954)</f>
        <v/>
      </c>
      <c r="J954" s="60" t="n"/>
      <c r="K954" s="60" t="n"/>
      <c r="L954" s="158">
        <f>+H954*J954</f>
        <v/>
      </c>
      <c r="M954" s="159">
        <f>SUM(M953+K954-L954)</f>
        <v/>
      </c>
      <c r="N954" s="60" t="n"/>
      <c r="O954" s="60" t="n"/>
      <c r="P954" s="60" t="n"/>
      <c r="Q954" s="60" t="n"/>
      <c r="R954" s="60" t="n"/>
      <c r="S954" s="60" t="n"/>
      <c r="T954" s="60" t="n"/>
      <c r="U954" s="60" t="n"/>
      <c r="V954" s="60" t="n"/>
      <c r="W954" s="60" t="n"/>
      <c r="X954" s="60" t="n"/>
      <c r="Y954" s="60" t="n"/>
      <c r="Z954" s="60" t="n"/>
    </row>
    <row r="955">
      <c r="A955" s="151" t="n">
        <v>46095</v>
      </c>
      <c r="B955" s="70" t="n">
        <v>491</v>
      </c>
      <c r="C955" s="115" t="inlineStr">
        <is>
          <t>MEGA</t>
        </is>
      </c>
      <c r="D955" s="115" t="inlineStr">
        <is>
          <t>KAWAZAKİ</t>
        </is>
      </c>
      <c r="E955" s="115" t="inlineStr">
        <is>
          <t>RAMAZAN</t>
        </is>
      </c>
      <c r="F955" s="65" t="n"/>
      <c r="G955" s="152" t="n">
        <v>197</v>
      </c>
      <c r="H955" s="60" t="n"/>
      <c r="I955" s="156">
        <f>+I954+(G955-H955)</f>
        <v/>
      </c>
      <c r="J955" s="60" t="n"/>
      <c r="K955" s="60" t="n"/>
      <c r="L955" s="158">
        <f>+H955*J955</f>
        <v/>
      </c>
      <c r="M955" s="159">
        <f>SUM(M954+K955-L955)</f>
        <v/>
      </c>
      <c r="N955" s="60" t="n"/>
      <c r="O955" s="60" t="n"/>
      <c r="P955" s="60" t="n"/>
      <c r="Q955" s="60" t="n"/>
      <c r="R955" s="60" t="n"/>
      <c r="S955" s="60" t="n"/>
      <c r="T955" s="60" t="n"/>
      <c r="U955" s="60" t="n"/>
      <c r="V955" s="60" t="n"/>
      <c r="W955" s="60" t="n"/>
      <c r="X955" s="60" t="n"/>
      <c r="Y955" s="60" t="n"/>
      <c r="Z955" s="60" t="n"/>
    </row>
    <row r="956">
      <c r="A956" s="151" t="n">
        <v>46096</v>
      </c>
      <c r="B956" s="70" t="n">
        <v>4978</v>
      </c>
      <c r="C956" s="115" t="inlineStr">
        <is>
          <t>SELİM İNŞAAT</t>
        </is>
      </c>
      <c r="D956" s="115" t="inlineStr">
        <is>
          <t>34 GVZ 745</t>
        </is>
      </c>
      <c r="E956" s="115" t="inlineStr">
        <is>
          <t>MURAT DEMİRBAĞ</t>
        </is>
      </c>
      <c r="F956" s="65" t="n">
        <v>250680</v>
      </c>
      <c r="G956" s="152" t="n">
        <v>296</v>
      </c>
      <c r="H956" s="60" t="n"/>
      <c r="I956" s="156">
        <f>+I955+(G956-H956)</f>
        <v/>
      </c>
      <c r="J956" s="60" t="n"/>
      <c r="K956" s="60" t="n"/>
      <c r="L956" s="158">
        <f>+H956*J956</f>
        <v/>
      </c>
      <c r="M956" s="159">
        <f>SUM(M955+K956-L956)</f>
        <v/>
      </c>
      <c r="N956" s="60" t="n"/>
      <c r="O956" s="60" t="n"/>
      <c r="P956" s="60" t="n"/>
      <c r="Q956" s="60" t="n"/>
      <c r="R956" s="60" t="n"/>
      <c r="S956" s="60" t="n"/>
      <c r="T956" s="60" t="n"/>
      <c r="U956" s="60" t="n"/>
      <c r="V956" s="60" t="n"/>
      <c r="W956" s="60" t="n"/>
      <c r="X956" s="60" t="n"/>
      <c r="Y956" s="60" t="n"/>
      <c r="Z956" s="60" t="n"/>
    </row>
    <row r="957">
      <c r="A957" s="151" t="n">
        <v>46096</v>
      </c>
      <c r="B957" s="70" t="n">
        <v>2349</v>
      </c>
      <c r="C957" s="115" t="inlineStr">
        <is>
          <t>SELİM İNŞAAT</t>
        </is>
      </c>
      <c r="D957" s="115" t="inlineStr">
        <is>
          <t>34 DP 4161</t>
        </is>
      </c>
      <c r="E957" s="115" t="inlineStr">
        <is>
          <t>RIFAT KARATAY</t>
        </is>
      </c>
      <c r="F957" s="65" t="n">
        <v>321505</v>
      </c>
      <c r="G957" s="152" t="n">
        <v>344</v>
      </c>
      <c r="H957" s="60" t="n"/>
      <c r="I957" s="156">
        <f>+I956+(G957-H957)</f>
        <v/>
      </c>
      <c r="J957" s="60" t="n"/>
      <c r="K957" s="60" t="n"/>
      <c r="L957" s="158">
        <f>+H957*J957</f>
        <v/>
      </c>
      <c r="M957" s="159">
        <f>SUM(M956+K957-L957)</f>
        <v/>
      </c>
      <c r="N957" s="60" t="n"/>
      <c r="O957" s="60" t="n"/>
      <c r="P957" s="60" t="n"/>
      <c r="Q957" s="60" t="n"/>
      <c r="R957" s="60" t="n"/>
      <c r="S957" s="60" t="n"/>
      <c r="T957" s="60" t="n"/>
      <c r="U957" s="60" t="n"/>
      <c r="V957" s="60" t="n"/>
      <c r="W957" s="60" t="n"/>
      <c r="X957" s="60" t="n"/>
      <c r="Y957" s="60" t="n"/>
      <c r="Z957" s="60" t="n"/>
    </row>
    <row r="958">
      <c r="A958" s="151" t="n">
        <v>46096</v>
      </c>
      <c r="B958" s="70" t="n">
        <v>3733</v>
      </c>
      <c r="C958" s="115" t="inlineStr">
        <is>
          <t>SELİM İNŞAAT</t>
        </is>
      </c>
      <c r="D958" s="115" t="inlineStr">
        <is>
          <t>34 DKL 866</t>
        </is>
      </c>
      <c r="E958" s="115" t="inlineStr">
        <is>
          <t>SELİMCAN ÖNVER</t>
        </is>
      </c>
      <c r="F958" s="65" t="n">
        <v>83193</v>
      </c>
      <c r="G958" s="152" t="n">
        <v>290</v>
      </c>
      <c r="H958" s="60" t="n"/>
      <c r="I958" s="156">
        <f>+I957+(G958-H958)</f>
        <v/>
      </c>
      <c r="J958" s="60" t="n"/>
      <c r="K958" s="60" t="n"/>
      <c r="L958" s="158">
        <f>+H958*J958</f>
        <v/>
      </c>
      <c r="M958" s="159">
        <f>SUM(M957+K958-L958)</f>
        <v/>
      </c>
      <c r="N958" s="60" t="n"/>
      <c r="O958" s="60" t="n"/>
      <c r="P958" s="60" t="n"/>
      <c r="Q958" s="60" t="n"/>
      <c r="R958" s="60" t="n"/>
      <c r="S958" s="60" t="n"/>
      <c r="T958" s="60" t="n"/>
      <c r="U958" s="60" t="n"/>
      <c r="V958" s="60" t="n"/>
      <c r="W958" s="60" t="n"/>
      <c r="X958" s="60" t="n"/>
      <c r="Y958" s="60" t="n"/>
      <c r="Z958" s="60" t="n"/>
    </row>
    <row r="959">
      <c r="A959" s="151" t="n">
        <v>46096</v>
      </c>
      <c r="B959" s="70" t="n">
        <v>626</v>
      </c>
      <c r="C959" s="115" t="inlineStr">
        <is>
          <t>AHMET SELİM TEMHA</t>
        </is>
      </c>
      <c r="D959" s="115" t="inlineStr">
        <is>
          <t>MANİTO</t>
        </is>
      </c>
      <c r="E959" s="115" t="inlineStr">
        <is>
          <t>TURGAY ÇIPLAK</t>
        </is>
      </c>
      <c r="F959" s="65" t="n"/>
      <c r="G959" s="152" t="n">
        <v>130</v>
      </c>
      <c r="H959" s="60" t="n"/>
      <c r="I959" s="156">
        <f>+I958+(G959-H959)</f>
        <v/>
      </c>
      <c r="J959" s="60" t="n"/>
      <c r="K959" s="60" t="n"/>
      <c r="L959" s="158">
        <f>+H959*J959</f>
        <v/>
      </c>
      <c r="M959" s="159">
        <f>SUM(M958+K959-L959)</f>
        <v/>
      </c>
      <c r="N959" s="60" t="n"/>
      <c r="O959" s="60" t="n"/>
      <c r="P959" s="60" t="n"/>
      <c r="Q959" s="60" t="n"/>
      <c r="R959" s="60" t="n"/>
      <c r="S959" s="60" t="n"/>
      <c r="T959" s="60" t="n"/>
      <c r="U959" s="60" t="n"/>
      <c r="V959" s="60" t="n"/>
      <c r="W959" s="60" t="n"/>
      <c r="X959" s="60" t="n"/>
      <c r="Y959" s="60" t="n"/>
      <c r="Z959" s="60" t="n"/>
    </row>
    <row r="960">
      <c r="A960" s="151" t="n">
        <v>46096</v>
      </c>
      <c r="B960" s="70" t="n">
        <v>492</v>
      </c>
      <c r="C960" s="115" t="inlineStr">
        <is>
          <t>MEGA</t>
        </is>
      </c>
      <c r="D960" s="115" t="inlineStr">
        <is>
          <t>KAWAZAKİ</t>
        </is>
      </c>
      <c r="E960" s="115" t="inlineStr">
        <is>
          <t>RAMAZAN</t>
        </is>
      </c>
      <c r="F960" s="65" t="n"/>
      <c r="G960" s="152" t="n">
        <v>241</v>
      </c>
      <c r="H960" s="60" t="n"/>
      <c r="I960" s="156">
        <f>+I959+(G960-H960)</f>
        <v/>
      </c>
      <c r="J960" s="60" t="n"/>
      <c r="K960" s="60" t="n"/>
      <c r="L960" s="158">
        <f>+H960*J960</f>
        <v/>
      </c>
      <c r="M960" s="159">
        <f>SUM(M959+K960-L960)</f>
        <v/>
      </c>
      <c r="N960" s="60" t="n"/>
      <c r="O960" s="60" t="n"/>
      <c r="P960" s="60" t="n"/>
      <c r="Q960" s="60" t="n"/>
      <c r="R960" s="60" t="n"/>
      <c r="S960" s="60" t="n"/>
      <c r="T960" s="60" t="n"/>
      <c r="U960" s="60" t="n"/>
      <c r="V960" s="60" t="n"/>
      <c r="W960" s="60" t="n"/>
      <c r="X960" s="60" t="n"/>
      <c r="Y960" s="60" t="n"/>
      <c r="Z960" s="60" t="n"/>
    </row>
    <row r="961">
      <c r="A961" s="151" t="n">
        <v>46096</v>
      </c>
      <c r="B961" s="70" t="n">
        <v>493</v>
      </c>
      <c r="C961" s="115" t="inlineStr">
        <is>
          <t>MEGA</t>
        </is>
      </c>
      <c r="D961" s="115" t="inlineStr">
        <is>
          <t>SM350</t>
        </is>
      </c>
      <c r="E961" s="115" t="inlineStr">
        <is>
          <t>MİKAİL</t>
        </is>
      </c>
      <c r="F961" s="65" t="n"/>
      <c r="G961" s="152" t="n">
        <v>328</v>
      </c>
      <c r="H961" s="60" t="n"/>
      <c r="I961" s="156">
        <f>+I960+(G961-H961)</f>
        <v/>
      </c>
      <c r="J961" s="60" t="n"/>
      <c r="K961" s="60" t="n"/>
      <c r="L961" s="158">
        <f>+H961*J961</f>
        <v/>
      </c>
      <c r="M961" s="159">
        <f>SUM(M960+K961-L961)</f>
        <v/>
      </c>
      <c r="N961" s="60" t="n"/>
      <c r="O961" s="60" t="n"/>
      <c r="P961" s="60" t="n"/>
      <c r="Q961" s="60" t="n"/>
      <c r="R961" s="60" t="n"/>
      <c r="S961" s="60" t="n"/>
      <c r="T961" s="60" t="n"/>
      <c r="U961" s="60" t="n"/>
      <c r="V961" s="60" t="n"/>
      <c r="W961" s="60" t="n"/>
      <c r="X961" s="60" t="n"/>
      <c r="Y961" s="60" t="n"/>
      <c r="Z961" s="60" t="n"/>
    </row>
    <row r="962">
      <c r="A962" s="151" t="n">
        <v>46096</v>
      </c>
      <c r="B962" s="70" t="n">
        <v>494</v>
      </c>
      <c r="C962" s="115" t="inlineStr">
        <is>
          <t>MEGA</t>
        </is>
      </c>
      <c r="D962" s="115" t="inlineStr">
        <is>
          <t>SM350</t>
        </is>
      </c>
      <c r="E962" s="115" t="inlineStr">
        <is>
          <t>TEVFİK</t>
        </is>
      </c>
      <c r="F962" s="65" t="n"/>
      <c r="G962" s="152" t="n">
        <v>490</v>
      </c>
      <c r="H962" s="60" t="n"/>
      <c r="I962" s="156">
        <f>+I961+(G962-H962)</f>
        <v/>
      </c>
      <c r="J962" s="60" t="n"/>
      <c r="K962" s="60" t="n"/>
      <c r="L962" s="158">
        <f>+H962*J962</f>
        <v/>
      </c>
      <c r="M962" s="159">
        <f>SUM(M961+K962-L962)</f>
        <v/>
      </c>
      <c r="N962" s="60" t="n"/>
      <c r="O962" s="60" t="n"/>
      <c r="P962" s="60" t="n"/>
      <c r="Q962" s="60" t="n"/>
      <c r="R962" s="60" t="n"/>
      <c r="S962" s="60" t="n"/>
      <c r="T962" s="60" t="n"/>
      <c r="U962" s="60" t="n"/>
      <c r="V962" s="60" t="n"/>
      <c r="W962" s="60" t="n"/>
      <c r="X962" s="60" t="n"/>
      <c r="Y962" s="60" t="n"/>
      <c r="Z962" s="60" t="n"/>
    </row>
    <row r="963">
      <c r="A963" s="151" t="n">
        <v>46096</v>
      </c>
      <c r="B963" s="70" t="n">
        <v>495</v>
      </c>
      <c r="C963" s="115" t="inlineStr">
        <is>
          <t>KOZMO</t>
        </is>
      </c>
      <c r="D963" s="115" t="inlineStr">
        <is>
          <t>SM370</t>
        </is>
      </c>
      <c r="E963" s="115" t="inlineStr">
        <is>
          <t>BEKİR</t>
        </is>
      </c>
      <c r="F963" s="65" t="n"/>
      <c r="G963" s="152" t="n">
        <v>380</v>
      </c>
      <c r="H963" s="60" t="n"/>
      <c r="I963" s="156">
        <f>+I962+(G963-H963)</f>
        <v/>
      </c>
      <c r="J963" s="60" t="n"/>
      <c r="K963" s="60" t="n"/>
      <c r="L963" s="158">
        <f>+H963*J963</f>
        <v/>
      </c>
      <c r="M963" s="159">
        <f>SUM(M962+K963-L963)</f>
        <v/>
      </c>
      <c r="N963" s="60" t="n"/>
      <c r="O963" s="60" t="n"/>
      <c r="P963" s="60" t="n"/>
      <c r="Q963" s="60" t="n"/>
      <c r="R963" s="60" t="n"/>
      <c r="S963" s="60" t="n"/>
      <c r="T963" s="60" t="n"/>
      <c r="U963" s="60" t="n"/>
      <c r="V963" s="60" t="n"/>
      <c r="W963" s="60" t="n"/>
      <c r="X963" s="60" t="n"/>
      <c r="Y963" s="60" t="n"/>
      <c r="Z963" s="60" t="n"/>
    </row>
    <row r="964">
      <c r="A964" s="151" t="n">
        <v>46096</v>
      </c>
      <c r="B964" s="70" t="n">
        <v>496</v>
      </c>
      <c r="C964" s="115" t="inlineStr">
        <is>
          <t>KOZMO</t>
        </is>
      </c>
      <c r="D964" s="115" t="inlineStr">
        <is>
          <t>SM300</t>
        </is>
      </c>
      <c r="E964" s="115" t="inlineStr">
        <is>
          <t>TEKİN</t>
        </is>
      </c>
      <c r="F964" s="65" t="n"/>
      <c r="G964" s="152" t="n">
        <v>544</v>
      </c>
      <c r="H964" s="60" t="n"/>
      <c r="I964" s="156">
        <f>+I963+(G964-H964)</f>
        <v/>
      </c>
      <c r="J964" s="60" t="n"/>
      <c r="K964" s="60" t="n"/>
      <c r="L964" s="158">
        <f>+H964*J964</f>
        <v/>
      </c>
      <c r="M964" s="159">
        <f>SUM(M963+K964-L964)</f>
        <v/>
      </c>
      <c r="N964" s="60" t="n"/>
      <c r="O964" s="60" t="n"/>
      <c r="P964" s="60" t="n"/>
      <c r="Q964" s="60" t="n"/>
      <c r="R964" s="60" t="n"/>
      <c r="S964" s="60" t="n"/>
      <c r="T964" s="60" t="n"/>
      <c r="U964" s="60" t="n"/>
      <c r="V964" s="60" t="n"/>
      <c r="W964" s="60" t="n"/>
      <c r="X964" s="60" t="n"/>
      <c r="Y964" s="60" t="n"/>
      <c r="Z964" s="60" t="n"/>
    </row>
    <row r="965">
      <c r="A965" s="151" t="n">
        <v>46096</v>
      </c>
      <c r="B965" s="70" t="n">
        <v>497</v>
      </c>
      <c r="C965" s="115" t="inlineStr">
        <is>
          <t>HASALTUN</t>
        </is>
      </c>
      <c r="D965" s="115" t="inlineStr">
        <is>
          <t>HİTACHİ</t>
        </is>
      </c>
      <c r="E965" s="115" t="inlineStr">
        <is>
          <t>TURGUT</t>
        </is>
      </c>
      <c r="F965" s="65" t="n"/>
      <c r="G965" s="152" t="n">
        <v>460</v>
      </c>
      <c r="H965" s="60" t="n"/>
      <c r="I965" s="156">
        <f>+I964+(G965-H965)</f>
        <v/>
      </c>
      <c r="J965" s="60" t="n"/>
      <c r="K965" s="60" t="n"/>
      <c r="L965" s="158">
        <f>+H965*J965</f>
        <v/>
      </c>
      <c r="M965" s="159">
        <f>SUM(M964+K965-L965)</f>
        <v/>
      </c>
      <c r="N965" s="60" t="n"/>
      <c r="O965" s="60" t="n"/>
      <c r="P965" s="60" t="n"/>
      <c r="Q965" s="60" t="n"/>
      <c r="R965" s="60" t="n"/>
      <c r="S965" s="60" t="n"/>
      <c r="T965" s="60" t="n"/>
      <c r="U965" s="60" t="n"/>
      <c r="V965" s="60" t="n"/>
      <c r="W965" s="60" t="n"/>
      <c r="X965" s="60" t="n"/>
      <c r="Y965" s="60" t="n"/>
      <c r="Z965" s="60" t="n"/>
    </row>
    <row r="966">
      <c r="A966" s="151" t="n">
        <v>46097</v>
      </c>
      <c r="B966" s="70" t="n">
        <v>1395</v>
      </c>
      <c r="C966" s="115" t="inlineStr">
        <is>
          <t>AZGÜN YAPI</t>
        </is>
      </c>
      <c r="D966" s="115" t="inlineStr">
        <is>
          <t>34 MKT 859</t>
        </is>
      </c>
      <c r="E966" s="115" t="inlineStr">
        <is>
          <t>İRFAN DAĞLAR</t>
        </is>
      </c>
      <c r="F966" s="65" t="n"/>
      <c r="G966" s="152" t="n">
        <v>235</v>
      </c>
      <c r="H966" s="60" t="n"/>
      <c r="I966" s="156">
        <f>+I965+(G966-H966)</f>
        <v/>
      </c>
      <c r="J966" s="60" t="n"/>
      <c r="K966" s="60" t="n"/>
      <c r="L966" s="158">
        <f>+H966*J966</f>
        <v/>
      </c>
      <c r="M966" s="159">
        <f>SUM(M965+K966-L966)</f>
        <v/>
      </c>
      <c r="N966" s="60" t="n"/>
      <c r="O966" s="60" t="n"/>
      <c r="P966" s="60" t="n"/>
      <c r="Q966" s="60" t="n"/>
      <c r="R966" s="60" t="n"/>
      <c r="S966" s="60" t="n"/>
      <c r="T966" s="60" t="n"/>
      <c r="U966" s="60" t="n"/>
      <c r="V966" s="60" t="n"/>
      <c r="W966" s="60" t="n"/>
      <c r="X966" s="60" t="n"/>
      <c r="Y966" s="60" t="n"/>
      <c r="Z966" s="60" t="n"/>
    </row>
    <row r="967">
      <c r="A967" s="151" t="n">
        <v>46097</v>
      </c>
      <c r="B967" s="70" t="n">
        <v>2548</v>
      </c>
      <c r="C967" s="115" t="inlineStr">
        <is>
          <t>AZGÜN YAPI</t>
        </is>
      </c>
      <c r="D967" s="115" t="inlineStr">
        <is>
          <t>34 MKT 593</t>
        </is>
      </c>
      <c r="E967" s="115" t="inlineStr">
        <is>
          <t>TURGUT ÇATAL</t>
        </is>
      </c>
      <c r="F967" s="65" t="n"/>
      <c r="G967" s="152" t="n">
        <v>306</v>
      </c>
      <c r="H967" s="60" t="n"/>
      <c r="I967" s="156">
        <f>+I966+(G967-H967)</f>
        <v/>
      </c>
      <c r="J967" s="60" t="n"/>
      <c r="K967" s="60" t="n"/>
      <c r="L967" s="158">
        <f>+H967*J967</f>
        <v/>
      </c>
      <c r="M967" s="159">
        <f>SUM(M966+K967-L967)</f>
        <v/>
      </c>
      <c r="N967" s="60" t="n"/>
      <c r="O967" s="60" t="n"/>
      <c r="P967" s="60" t="n"/>
      <c r="Q967" s="60" t="n"/>
      <c r="R967" s="60" t="n"/>
      <c r="S967" s="60" t="n"/>
      <c r="T967" s="60" t="n"/>
      <c r="U967" s="60" t="n"/>
      <c r="V967" s="60" t="n"/>
      <c r="W967" s="60" t="n"/>
      <c r="X967" s="60" t="n"/>
      <c r="Y967" s="60" t="n"/>
      <c r="Z967" s="60" t="n"/>
    </row>
    <row r="968">
      <c r="A968" s="151" t="n">
        <v>46097</v>
      </c>
      <c r="B968" s="70" t="n">
        <v>758</v>
      </c>
      <c r="C968" s="115" t="inlineStr">
        <is>
          <t>METİN ERYİĞİT</t>
        </is>
      </c>
      <c r="D968" s="115" t="inlineStr">
        <is>
          <t>34 EGR 814</t>
        </is>
      </c>
      <c r="E968" s="115" t="inlineStr">
        <is>
          <t>ZİYA İNCE</t>
        </is>
      </c>
      <c r="F968" s="65" t="n">
        <v>611107</v>
      </c>
      <c r="G968" s="146" t="n">
        <v>481</v>
      </c>
      <c r="H968" s="60" t="n"/>
      <c r="I968" s="156">
        <f>+I967+(G968-H968)</f>
        <v/>
      </c>
      <c r="J968" s="60" t="n"/>
      <c r="K968" s="60" t="n"/>
      <c r="L968" s="158">
        <f>+H968*J968</f>
        <v/>
      </c>
      <c r="M968" s="159">
        <f>SUM(M967+K968-L968)</f>
        <v/>
      </c>
      <c r="N968" s="60" t="n"/>
      <c r="O968" s="60" t="n"/>
      <c r="P968" s="60" t="n"/>
      <c r="Q968" s="60" t="n"/>
      <c r="R968" s="60" t="n"/>
      <c r="S968" s="60" t="n"/>
      <c r="T968" s="60" t="n"/>
      <c r="U968" s="60" t="n"/>
      <c r="V968" s="60" t="n"/>
      <c r="W968" s="60" t="n"/>
      <c r="X968" s="60" t="n"/>
      <c r="Y968" s="60" t="n"/>
      <c r="Z968" s="60" t="n"/>
    </row>
    <row r="969">
      <c r="A969" s="151" t="n">
        <v>46097</v>
      </c>
      <c r="B969" s="70" t="n">
        <v>719</v>
      </c>
      <c r="C969" s="115" t="inlineStr">
        <is>
          <t>METİN ERYİĞİT</t>
        </is>
      </c>
      <c r="D969" s="115" t="inlineStr">
        <is>
          <t>34 EGS 013</t>
        </is>
      </c>
      <c r="E969" s="115" t="inlineStr">
        <is>
          <t>UĞUR DUMAN</t>
        </is>
      </c>
      <c r="F969" s="65" t="n">
        <v>566908</v>
      </c>
      <c r="G969" s="152" t="n">
        <v>459</v>
      </c>
      <c r="H969" s="60" t="n"/>
      <c r="I969" s="156">
        <f>+I968+(G969-H969)</f>
        <v/>
      </c>
      <c r="J969" s="60" t="n"/>
      <c r="K969" s="60" t="n"/>
      <c r="L969" s="158">
        <f>+H969*J969</f>
        <v/>
      </c>
      <c r="M969" s="159">
        <f>SUM(M968+K969-L969)</f>
        <v/>
      </c>
      <c r="N969" s="60" t="n"/>
      <c r="O969" s="60" t="n"/>
      <c r="P969" s="60" t="n"/>
      <c r="Q969" s="60" t="n"/>
      <c r="R969" s="60" t="n"/>
      <c r="S969" s="60" t="n"/>
      <c r="T969" s="60" t="n"/>
      <c r="U969" s="60" t="n"/>
      <c r="V969" s="60" t="n"/>
      <c r="W969" s="60" t="n"/>
      <c r="X969" s="60" t="n"/>
      <c r="Y969" s="60" t="n"/>
      <c r="Z969" s="60" t="n"/>
    </row>
    <row r="970">
      <c r="A970" s="151" t="n">
        <v>46097</v>
      </c>
      <c r="B970" s="70" t="n">
        <v>816</v>
      </c>
      <c r="C970" s="115" t="inlineStr">
        <is>
          <t>METİN ERYİĞİT</t>
        </is>
      </c>
      <c r="D970" s="115" t="inlineStr">
        <is>
          <t>34 GBL 998</t>
        </is>
      </c>
      <c r="E970" s="115" t="inlineStr">
        <is>
          <t>ALİ KESKİN</t>
        </is>
      </c>
      <c r="F970" s="65" t="n">
        <v>350173</v>
      </c>
      <c r="G970" s="152" t="n">
        <v>297</v>
      </c>
      <c r="H970" s="60" t="n"/>
      <c r="I970" s="156">
        <f>+I969+(G970-H970)</f>
        <v/>
      </c>
      <c r="J970" s="60" t="n"/>
      <c r="K970" s="60" t="n"/>
      <c r="L970" s="158">
        <f>+H970*J970</f>
        <v/>
      </c>
      <c r="M970" s="159">
        <f>SUM(M969+K970-L970)</f>
        <v/>
      </c>
      <c r="N970" s="60" t="n"/>
      <c r="O970" s="60" t="n"/>
      <c r="P970" s="60" t="n"/>
      <c r="Q970" s="60" t="n"/>
      <c r="R970" s="60" t="n"/>
      <c r="S970" s="60" t="n"/>
      <c r="T970" s="60" t="n"/>
      <c r="U970" s="60" t="n"/>
      <c r="V970" s="60" t="n"/>
      <c r="W970" s="60" t="n"/>
      <c r="X970" s="60" t="n"/>
      <c r="Y970" s="60" t="n"/>
      <c r="Z970" s="60" t="n"/>
    </row>
    <row r="971">
      <c r="A971" s="151" t="n">
        <v>46097</v>
      </c>
      <c r="B971" s="70" t="n">
        <v>498</v>
      </c>
      <c r="C971" s="115" t="inlineStr">
        <is>
          <t>MEGA</t>
        </is>
      </c>
      <c r="D971" s="115" t="inlineStr">
        <is>
          <t>SM350</t>
        </is>
      </c>
      <c r="E971" s="115" t="inlineStr">
        <is>
          <t>MİKAİL</t>
        </is>
      </c>
      <c r="F971" s="65" t="n"/>
      <c r="G971" s="152" t="n">
        <v>438</v>
      </c>
      <c r="H971" s="60" t="n"/>
      <c r="I971" s="156">
        <f>+I970+(G971-H971)</f>
        <v/>
      </c>
      <c r="J971" s="60" t="n"/>
      <c r="K971" s="60" t="n"/>
      <c r="L971" s="158">
        <f>+H971*J971</f>
        <v/>
      </c>
      <c r="M971" s="159">
        <f>SUM(M970+K971-L971)</f>
        <v/>
      </c>
      <c r="N971" s="60" t="n"/>
      <c r="O971" s="60" t="n"/>
      <c r="P971" s="60" t="n"/>
      <c r="Q971" s="60" t="n"/>
      <c r="R971" s="60" t="n"/>
      <c r="S971" s="60" t="n"/>
      <c r="T971" s="60" t="n"/>
      <c r="U971" s="60" t="n"/>
      <c r="V971" s="60" t="n"/>
      <c r="W971" s="60" t="n"/>
      <c r="X971" s="60" t="n"/>
      <c r="Y971" s="60" t="n"/>
      <c r="Z971" s="60" t="n"/>
    </row>
    <row r="972">
      <c r="A972" s="151" t="n">
        <v>46097</v>
      </c>
      <c r="B972" s="70" t="n">
        <v>499</v>
      </c>
      <c r="C972" s="115" t="inlineStr">
        <is>
          <t>MEGA</t>
        </is>
      </c>
      <c r="D972" s="115" t="inlineStr">
        <is>
          <t>SM350</t>
        </is>
      </c>
      <c r="E972" s="115" t="inlineStr">
        <is>
          <t>TEVFİK</t>
        </is>
      </c>
      <c r="F972" s="65" t="n"/>
      <c r="G972" s="152" t="n">
        <v>422</v>
      </c>
      <c r="H972" s="60" t="n"/>
      <c r="I972" s="156">
        <f>+I971+(G972-H972)</f>
        <v/>
      </c>
      <c r="J972" s="60" t="n"/>
      <c r="K972" s="60" t="n"/>
      <c r="L972" s="158">
        <f>+H972*J972</f>
        <v/>
      </c>
      <c r="M972" s="159">
        <f>SUM(M971+K972-L972)</f>
        <v/>
      </c>
      <c r="N972" s="60" t="n"/>
      <c r="O972" s="60" t="n"/>
      <c r="P972" s="60" t="n"/>
      <c r="Q972" s="60" t="n"/>
      <c r="R972" s="60" t="n"/>
      <c r="S972" s="60" t="n"/>
      <c r="T972" s="60" t="n"/>
      <c r="U972" s="60" t="n"/>
      <c r="V972" s="60" t="n"/>
      <c r="W972" s="60" t="n"/>
      <c r="X972" s="60" t="n"/>
      <c r="Y972" s="60" t="n"/>
      <c r="Z972" s="60" t="n"/>
    </row>
    <row r="973">
      <c r="A973" s="151" t="n">
        <v>46097</v>
      </c>
      <c r="B973" s="70" t="n">
        <v>500</v>
      </c>
      <c r="C973" s="115" t="inlineStr">
        <is>
          <t>KOZMO</t>
        </is>
      </c>
      <c r="D973" s="115" t="inlineStr">
        <is>
          <t>SM370</t>
        </is>
      </c>
      <c r="E973" s="115" t="inlineStr">
        <is>
          <t>BEKİR</t>
        </is>
      </c>
      <c r="F973" s="65" t="n"/>
      <c r="G973" s="152" t="n">
        <v>313</v>
      </c>
      <c r="H973" s="60" t="n"/>
      <c r="I973" s="156">
        <f>+I972+(G973-H973)</f>
        <v/>
      </c>
      <c r="J973" s="60" t="n"/>
      <c r="K973" s="60" t="n"/>
      <c r="L973" s="158">
        <f>+H973*J973</f>
        <v/>
      </c>
      <c r="M973" s="159">
        <f>SUM(M972+K973-L973)</f>
        <v/>
      </c>
      <c r="N973" s="60" t="n"/>
      <c r="O973" s="60" t="n"/>
      <c r="P973" s="60" t="n"/>
      <c r="Q973" s="60" t="n"/>
      <c r="R973" s="60" t="n"/>
      <c r="S973" s="60" t="n"/>
      <c r="T973" s="60" t="n"/>
      <c r="U973" s="60" t="n"/>
      <c r="V973" s="60" t="n"/>
      <c r="W973" s="60" t="n"/>
      <c r="X973" s="60" t="n"/>
      <c r="Y973" s="60" t="n"/>
      <c r="Z973" s="60" t="n"/>
    </row>
    <row r="974">
      <c r="A974" s="151" t="n">
        <v>46097</v>
      </c>
      <c r="B974" s="70" t="n">
        <v>1501</v>
      </c>
      <c r="C974" s="115" t="inlineStr">
        <is>
          <t>KOZMO</t>
        </is>
      </c>
      <c r="D974" s="115" t="inlineStr">
        <is>
          <t>SM300</t>
        </is>
      </c>
      <c r="E974" s="115" t="inlineStr">
        <is>
          <t>TEKİN</t>
        </is>
      </c>
      <c r="F974" s="65" t="n"/>
      <c r="G974" s="152" t="n">
        <v>338</v>
      </c>
      <c r="H974" s="60" t="n"/>
      <c r="I974" s="156">
        <f>+I973+(G974-H974)</f>
        <v/>
      </c>
      <c r="J974" s="60" t="n"/>
      <c r="K974" s="60" t="n"/>
      <c r="L974" s="158">
        <f>+H974*J974</f>
        <v/>
      </c>
      <c r="M974" s="159">
        <f>SUM(M973+K974-L974)</f>
        <v/>
      </c>
      <c r="N974" s="60" t="n"/>
      <c r="O974" s="60" t="n"/>
      <c r="P974" s="60" t="n"/>
      <c r="Q974" s="60" t="n"/>
      <c r="R974" s="60" t="n"/>
      <c r="S974" s="60" t="n"/>
      <c r="T974" s="60" t="n"/>
      <c r="U974" s="60" t="n"/>
      <c r="V974" s="60" t="n"/>
      <c r="W974" s="60" t="n"/>
      <c r="X974" s="60" t="n"/>
      <c r="Y974" s="60" t="n"/>
      <c r="Z974" s="60" t="n"/>
    </row>
    <row r="975">
      <c r="A975" s="151" t="n">
        <v>46097</v>
      </c>
      <c r="B975" s="70" t="n">
        <v>2803</v>
      </c>
      <c r="C975" s="115" t="inlineStr">
        <is>
          <t>SELİM İNŞAAT</t>
        </is>
      </c>
      <c r="D975" s="115" t="inlineStr">
        <is>
          <t>34 EGR 737</t>
        </is>
      </c>
      <c r="E975" s="115" t="inlineStr">
        <is>
          <t>CEM MUHTAR</t>
        </is>
      </c>
      <c r="F975" s="65" t="n">
        <v>464666</v>
      </c>
      <c r="G975" s="152" t="n">
        <v>539</v>
      </c>
      <c r="H975" s="60" t="n"/>
      <c r="I975" s="156">
        <f>+I974+(G975-H975)</f>
        <v/>
      </c>
      <c r="J975" s="60" t="n"/>
      <c r="K975" s="60" t="n"/>
      <c r="L975" s="158">
        <f>+H975*J975</f>
        <v/>
      </c>
      <c r="M975" s="159">
        <f>SUM(M974+K975-L975)</f>
        <v/>
      </c>
      <c r="N975" s="60" t="n"/>
      <c r="O975" s="60" t="n"/>
      <c r="P975" s="60" t="n"/>
      <c r="Q975" s="60" t="n"/>
      <c r="R975" s="60" t="n"/>
      <c r="S975" s="60" t="n"/>
      <c r="T975" s="60" t="n"/>
      <c r="U975" s="60" t="n"/>
      <c r="V975" s="60" t="n"/>
      <c r="W975" s="60" t="n"/>
      <c r="X975" s="60" t="n"/>
      <c r="Y975" s="60" t="n"/>
      <c r="Z975" s="60" t="n"/>
    </row>
    <row r="976">
      <c r="A976" s="151" t="n">
        <v>46097</v>
      </c>
      <c r="B976" s="70" t="n">
        <v>3336</v>
      </c>
      <c r="C976" s="115" t="inlineStr">
        <is>
          <t>SELİM İNŞAAT</t>
        </is>
      </c>
      <c r="D976" s="115" t="inlineStr">
        <is>
          <t>34 GUS 938</t>
        </is>
      </c>
      <c r="E976" s="115" t="inlineStr">
        <is>
          <t>MEHMET KAYA</t>
        </is>
      </c>
      <c r="F976" s="65" t="n">
        <v>250595</v>
      </c>
      <c r="G976" s="152" t="n">
        <v>400</v>
      </c>
      <c r="H976" s="60" t="n"/>
      <c r="I976" s="156">
        <f>+I975+(G976-H976)</f>
        <v/>
      </c>
      <c r="J976" s="60" t="n"/>
      <c r="K976" s="60" t="n"/>
      <c r="L976" s="158">
        <f>+H976*J976</f>
        <v/>
      </c>
      <c r="M976" s="159">
        <f>SUM(M975+K976-L976)</f>
        <v/>
      </c>
      <c r="N976" s="60" t="n"/>
      <c r="O976" s="60" t="n"/>
      <c r="P976" s="60" t="n"/>
      <c r="Q976" s="60" t="n"/>
      <c r="R976" s="60" t="n"/>
      <c r="S976" s="60" t="n"/>
      <c r="T976" s="60" t="n"/>
      <c r="U976" s="60" t="n"/>
      <c r="V976" s="60" t="n"/>
      <c r="W976" s="60" t="n"/>
      <c r="X976" s="60" t="n"/>
      <c r="Y976" s="60" t="n"/>
      <c r="Z976" s="60" t="n"/>
    </row>
    <row r="977">
      <c r="A977" s="151" t="n">
        <v>46097</v>
      </c>
      <c r="B977" s="70" t="n">
        <v>3493</v>
      </c>
      <c r="C977" s="115" t="inlineStr">
        <is>
          <t>SELİM İNŞAAT</t>
        </is>
      </c>
      <c r="D977" s="115" t="inlineStr">
        <is>
          <t>34 EDB 754</t>
        </is>
      </c>
      <c r="E977" s="115" t="inlineStr">
        <is>
          <t>MUSTAFA KAYA</t>
        </is>
      </c>
      <c r="F977" s="65" t="n">
        <v>375293</v>
      </c>
      <c r="G977" s="152" t="n">
        <v>464</v>
      </c>
      <c r="H977" s="60" t="n"/>
      <c r="I977" s="156">
        <f>+I976+(G977-H977)</f>
        <v/>
      </c>
      <c r="J977" s="60" t="n"/>
      <c r="K977" s="60" t="n"/>
      <c r="L977" s="158">
        <f>+H977*J977</f>
        <v/>
      </c>
      <c r="M977" s="159">
        <f>SUM(M976+K977-L977)</f>
        <v/>
      </c>
      <c r="N977" s="60" t="n"/>
      <c r="O977" s="60" t="n"/>
      <c r="P977" s="60" t="n"/>
      <c r="Q977" s="60" t="n"/>
      <c r="R977" s="60" t="n"/>
      <c r="S977" s="60" t="n"/>
      <c r="T977" s="60" t="n"/>
      <c r="U977" s="60" t="n"/>
      <c r="V977" s="60" t="n"/>
      <c r="W977" s="60" t="n"/>
      <c r="X977" s="60" t="n"/>
      <c r="Y977" s="60" t="n"/>
      <c r="Z977" s="60" t="n"/>
    </row>
    <row r="978">
      <c r="A978" s="151" t="n">
        <v>46097</v>
      </c>
      <c r="B978" s="70" t="n">
        <v>4883</v>
      </c>
      <c r="C978" s="115" t="inlineStr">
        <is>
          <t>SELİM İNŞAAT</t>
        </is>
      </c>
      <c r="D978" s="115" t="inlineStr">
        <is>
          <t>34 FBR 705</t>
        </is>
      </c>
      <c r="E978" s="115" t="inlineStr">
        <is>
          <t>MURAT SARI</t>
        </is>
      </c>
      <c r="F978" s="65" t="n">
        <v>365632</v>
      </c>
      <c r="G978" s="152" t="n">
        <v>456</v>
      </c>
      <c r="H978" s="60" t="n"/>
      <c r="I978" s="156">
        <f>+I977+(G978-H978)</f>
        <v/>
      </c>
      <c r="J978" s="60" t="n"/>
      <c r="K978" s="60" t="n"/>
      <c r="L978" s="158">
        <f>+H978*J978</f>
        <v/>
      </c>
      <c r="M978" s="159">
        <f>SUM(M977+K978-L978)</f>
        <v/>
      </c>
      <c r="N978" s="60" t="n"/>
      <c r="O978" s="60" t="n"/>
      <c r="P978" s="60" t="n"/>
      <c r="Q978" s="60" t="n"/>
      <c r="R978" s="60" t="n"/>
      <c r="S978" s="60" t="n"/>
      <c r="T978" s="60" t="n"/>
      <c r="U978" s="60" t="n"/>
      <c r="V978" s="60" t="n"/>
      <c r="W978" s="60" t="n"/>
      <c r="X978" s="60" t="n"/>
      <c r="Y978" s="60" t="n"/>
      <c r="Z978" s="60" t="n"/>
    </row>
    <row r="979">
      <c r="A979" s="151" t="n">
        <v>46097</v>
      </c>
      <c r="B979" s="70" t="n">
        <v>3433</v>
      </c>
      <c r="C979" s="115" t="inlineStr">
        <is>
          <t>SELİM İNŞAAT</t>
        </is>
      </c>
      <c r="D979" s="115" t="inlineStr">
        <is>
          <t>34 GVZ 310</t>
        </is>
      </c>
      <c r="E979" s="115" t="inlineStr">
        <is>
          <t>CELAL YÜZBAŞI</t>
        </is>
      </c>
      <c r="F979" s="65" t="n">
        <v>250537</v>
      </c>
      <c r="G979" s="152" t="n">
        <v>500</v>
      </c>
      <c r="H979" s="60" t="n"/>
      <c r="I979" s="156">
        <f>+I978+(G979-H979)</f>
        <v/>
      </c>
      <c r="J979" s="60" t="n"/>
      <c r="K979" s="60" t="n"/>
      <c r="L979" s="158">
        <f>+H979*J979</f>
        <v/>
      </c>
      <c r="M979" s="159">
        <f>SUM(M978+K979-L979)</f>
        <v/>
      </c>
      <c r="N979" s="60" t="n"/>
      <c r="O979" s="60" t="n"/>
      <c r="P979" s="60" t="n"/>
      <c r="Q979" s="60" t="n"/>
      <c r="R979" s="60" t="n"/>
      <c r="S979" s="60" t="n"/>
      <c r="T979" s="60" t="n"/>
      <c r="U979" s="60" t="n"/>
      <c r="V979" s="60" t="n"/>
      <c r="W979" s="60" t="n"/>
      <c r="X979" s="60" t="n"/>
      <c r="Y979" s="60" t="n"/>
      <c r="Z979" s="60" t="n"/>
    </row>
    <row r="980">
      <c r="A980" s="151" t="n">
        <v>46097</v>
      </c>
      <c r="B980" s="70" t="n">
        <v>911</v>
      </c>
      <c r="C980" s="115" t="inlineStr">
        <is>
          <t>SELİM İNŞAAT</t>
        </is>
      </c>
      <c r="D980" s="115" t="inlineStr">
        <is>
          <t>34 FSG 229</t>
        </is>
      </c>
      <c r="E980" s="115" t="inlineStr">
        <is>
          <t>SİNAN TANRIVERDİ</t>
        </is>
      </c>
      <c r="F980" s="65" t="n">
        <v>303357</v>
      </c>
      <c r="G980" s="152" t="n">
        <v>540</v>
      </c>
      <c r="H980" s="60" t="n"/>
      <c r="I980" s="156">
        <f>+I979+(G980-H980)</f>
        <v/>
      </c>
      <c r="J980" s="60" t="n"/>
      <c r="K980" s="60" t="n"/>
      <c r="L980" s="158">
        <f>+H980*J980</f>
        <v/>
      </c>
      <c r="M980" s="159">
        <f>SUM(M979+K980-L980)</f>
        <v/>
      </c>
      <c r="N980" s="60" t="n"/>
      <c r="O980" s="60" t="n"/>
      <c r="P980" s="60" t="n"/>
      <c r="Q980" s="60" t="n"/>
      <c r="R980" s="60" t="n"/>
      <c r="S980" s="60" t="n"/>
      <c r="T980" s="60" t="n"/>
      <c r="U980" s="60" t="n"/>
      <c r="V980" s="60" t="n"/>
      <c r="W980" s="60" t="n"/>
      <c r="X980" s="60" t="n"/>
      <c r="Y980" s="60" t="n"/>
      <c r="Z980" s="60" t="n"/>
    </row>
    <row r="981">
      <c r="A981" s="151" t="n">
        <v>46097</v>
      </c>
      <c r="B981" s="70" t="n">
        <v>3396</v>
      </c>
      <c r="C981" s="115" t="inlineStr">
        <is>
          <t>SELİM İNŞAAT</t>
        </is>
      </c>
      <c r="D981" s="115" t="inlineStr">
        <is>
          <t>34 EDC 162</t>
        </is>
      </c>
      <c r="E981" s="115" t="inlineStr">
        <is>
          <t>YAKUP GÜNER</t>
        </is>
      </c>
      <c r="F981" s="65" t="n">
        <v>419120</v>
      </c>
      <c r="G981" s="152" t="n">
        <v>444</v>
      </c>
      <c r="H981" s="60" t="n"/>
      <c r="I981" s="156">
        <f>+I980+(G981-H981)</f>
        <v/>
      </c>
      <c r="J981" s="60" t="n"/>
      <c r="K981" s="60" t="n"/>
      <c r="L981" s="158">
        <f>+H981*J981</f>
        <v/>
      </c>
      <c r="M981" s="159">
        <f>SUM(M980+K981-L981)</f>
        <v/>
      </c>
      <c r="N981" s="60" t="n"/>
      <c r="O981" s="60" t="n"/>
      <c r="P981" s="60" t="n"/>
      <c r="Q981" s="60" t="n"/>
      <c r="R981" s="60" t="n"/>
      <c r="S981" s="60" t="n"/>
      <c r="T981" s="60" t="n"/>
      <c r="U981" s="60" t="n"/>
      <c r="V981" s="60" t="n"/>
      <c r="W981" s="60" t="n"/>
      <c r="X981" s="60" t="n"/>
      <c r="Y981" s="60" t="n"/>
      <c r="Z981" s="60" t="n"/>
    </row>
    <row r="982">
      <c r="A982" s="151" t="n">
        <v>46097</v>
      </c>
      <c r="B982" s="70" t="n">
        <v>2799</v>
      </c>
      <c r="C982" s="115" t="inlineStr">
        <is>
          <t>SELİM İNŞAAT</t>
        </is>
      </c>
      <c r="D982" s="115" t="inlineStr">
        <is>
          <t>34 EDC 086</t>
        </is>
      </c>
      <c r="E982" s="115" t="inlineStr">
        <is>
          <t>SEZGİN KOCAGİL</t>
        </is>
      </c>
      <c r="F982" s="65" t="n">
        <v>379055</v>
      </c>
      <c r="G982" s="152" t="n">
        <v>499</v>
      </c>
      <c r="H982" s="60" t="n"/>
      <c r="I982" s="156">
        <f>+I981+(G982-H982)</f>
        <v/>
      </c>
      <c r="J982" s="60" t="n"/>
      <c r="K982" s="60" t="n"/>
      <c r="L982" s="158">
        <f>+H982*J982</f>
        <v/>
      </c>
      <c r="M982" s="159">
        <f>SUM(M981+K982-L982)</f>
        <v/>
      </c>
      <c r="N982" s="60" t="n"/>
      <c r="O982" s="60" t="n"/>
      <c r="P982" s="60" t="n"/>
      <c r="Q982" s="60" t="n"/>
      <c r="R982" s="60" t="n"/>
      <c r="S982" s="60" t="n"/>
      <c r="T982" s="60" t="n"/>
      <c r="U982" s="60" t="n"/>
      <c r="V982" s="60" t="n"/>
      <c r="W982" s="60" t="n"/>
      <c r="X982" s="60" t="n"/>
      <c r="Y982" s="60" t="n"/>
      <c r="Z982" s="60" t="n"/>
    </row>
    <row r="983">
      <c r="A983" s="151" t="n">
        <v>46097</v>
      </c>
      <c r="B983" s="70" t="n">
        <v>3836</v>
      </c>
      <c r="C983" s="115" t="inlineStr">
        <is>
          <t>SELİM İNŞAAT</t>
        </is>
      </c>
      <c r="D983" s="115" t="inlineStr">
        <is>
          <t>34 GYZ 635</t>
        </is>
      </c>
      <c r="E983" s="115" t="inlineStr">
        <is>
          <t>ADEM DENİZ</t>
        </is>
      </c>
      <c r="F983" s="65" t="n">
        <v>230334</v>
      </c>
      <c r="G983" s="152" t="n">
        <v>496</v>
      </c>
      <c r="H983" s="60" t="n"/>
      <c r="I983" s="156">
        <f>+I982+(G983-H983)</f>
        <v/>
      </c>
      <c r="J983" s="60" t="n"/>
      <c r="K983" s="60" t="n"/>
      <c r="L983" s="158">
        <f>+H983*J983</f>
        <v/>
      </c>
      <c r="M983" s="159">
        <f>SUM(M982+K983-L983)</f>
        <v/>
      </c>
      <c r="N983" s="60" t="n"/>
      <c r="O983" s="60" t="n"/>
      <c r="P983" s="60" t="n"/>
      <c r="Q983" s="60" t="n"/>
      <c r="R983" s="60" t="n"/>
      <c r="S983" s="60" t="n"/>
      <c r="T983" s="60" t="n"/>
      <c r="U983" s="60" t="n"/>
      <c r="V983" s="60" t="n"/>
      <c r="W983" s="60" t="n"/>
      <c r="X983" s="60" t="n"/>
      <c r="Y983" s="60" t="n"/>
      <c r="Z983" s="60" t="n"/>
    </row>
    <row r="984">
      <c r="A984" s="151" t="n">
        <v>46097</v>
      </c>
      <c r="B984" s="70" t="n">
        <v>4931</v>
      </c>
      <c r="C984" s="115" t="inlineStr">
        <is>
          <t>SELİM İNŞAAT</t>
        </is>
      </c>
      <c r="D984" s="115" t="inlineStr">
        <is>
          <t>34 FBR 742</t>
        </is>
      </c>
      <c r="E984" s="115" t="inlineStr">
        <is>
          <t>ADNAN KOÇ</t>
        </is>
      </c>
      <c r="F984" s="65" t="n">
        <v>369077</v>
      </c>
      <c r="G984" s="152" t="n">
        <v>421</v>
      </c>
      <c r="H984" s="60" t="n"/>
      <c r="I984" s="156">
        <f>+I983+(G984-H984)</f>
        <v/>
      </c>
      <c r="J984" s="60" t="n"/>
      <c r="K984" s="60" t="n"/>
      <c r="L984" s="158">
        <f>+H984*J984</f>
        <v/>
      </c>
      <c r="M984" s="159">
        <f>SUM(M983+K984-L984)</f>
        <v/>
      </c>
      <c r="N984" s="60" t="n"/>
      <c r="O984" s="60" t="n"/>
      <c r="P984" s="60" t="n"/>
      <c r="Q984" s="60" t="n"/>
      <c r="R984" s="60" t="n"/>
      <c r="S984" s="60" t="n"/>
      <c r="T984" s="60" t="n"/>
      <c r="U984" s="60" t="n"/>
      <c r="V984" s="60" t="n"/>
      <c r="W984" s="60" t="n"/>
      <c r="X984" s="60" t="n"/>
      <c r="Y984" s="60" t="n"/>
      <c r="Z984" s="60" t="n"/>
    </row>
    <row r="985">
      <c r="A985" s="151" t="n">
        <v>46097</v>
      </c>
      <c r="B985" s="70" t="n">
        <v>101</v>
      </c>
      <c r="C985" s="115" t="inlineStr">
        <is>
          <t>SELİM İNŞAAT</t>
        </is>
      </c>
      <c r="D985" s="115" t="inlineStr">
        <is>
          <t>34 GUS 848</t>
        </is>
      </c>
      <c r="E985" s="115" t="inlineStr">
        <is>
          <t>SERDAR BOZKURT</t>
        </is>
      </c>
      <c r="F985" s="65" t="n">
        <v>236564</v>
      </c>
      <c r="G985" s="152" t="n">
        <v>474</v>
      </c>
      <c r="H985" s="60" t="n"/>
      <c r="I985" s="156">
        <f>+I984+(G985-H985)</f>
        <v/>
      </c>
      <c r="J985" s="60" t="n"/>
      <c r="K985" s="60" t="n"/>
      <c r="L985" s="158">
        <f>+H985*J985</f>
        <v/>
      </c>
      <c r="M985" s="159">
        <f>SUM(M984+K985-L985)</f>
        <v/>
      </c>
      <c r="N985" s="60" t="n"/>
      <c r="O985" s="60" t="n"/>
      <c r="P985" s="60" t="n"/>
      <c r="Q985" s="60" t="n"/>
      <c r="R985" s="60" t="n"/>
      <c r="S985" s="60" t="n"/>
      <c r="T985" s="60" t="n"/>
      <c r="U985" s="60" t="n"/>
      <c r="V985" s="60" t="n"/>
      <c r="W985" s="60" t="n"/>
      <c r="X985" s="60" t="n"/>
      <c r="Y985" s="60" t="n"/>
      <c r="Z985" s="60" t="n"/>
    </row>
    <row r="986">
      <c r="A986" s="151" t="n">
        <v>46097</v>
      </c>
      <c r="B986" s="70" t="n">
        <v>3049</v>
      </c>
      <c r="C986" s="115" t="inlineStr">
        <is>
          <t>SELİM İNŞAAT</t>
        </is>
      </c>
      <c r="D986" s="115" t="inlineStr">
        <is>
          <t>34 FBR 781</t>
        </is>
      </c>
      <c r="E986" s="115" t="inlineStr">
        <is>
          <t>MEVLÜT POLAT</t>
        </is>
      </c>
      <c r="F986" s="65" t="n">
        <v>365543</v>
      </c>
      <c r="G986" s="152" t="n">
        <v>540</v>
      </c>
      <c r="H986" s="60" t="n"/>
      <c r="I986" s="156">
        <f>+I985+(G986-H986)</f>
        <v/>
      </c>
      <c r="J986" s="60" t="n"/>
      <c r="K986" s="60" t="n"/>
      <c r="L986" s="158">
        <f>+H986*J986</f>
        <v/>
      </c>
      <c r="M986" s="159">
        <f>SUM(M985+K986-L986)</f>
        <v/>
      </c>
      <c r="N986" s="60" t="n"/>
      <c r="O986" s="60" t="n"/>
      <c r="P986" s="60" t="n"/>
      <c r="Q986" s="60" t="n"/>
      <c r="R986" s="60" t="n"/>
      <c r="S986" s="60" t="n"/>
      <c r="T986" s="60" t="n"/>
      <c r="U986" s="60" t="n"/>
      <c r="V986" s="60" t="n"/>
      <c r="W986" s="60" t="n"/>
      <c r="X986" s="60" t="n"/>
      <c r="Y986" s="60" t="n"/>
      <c r="Z986" s="60" t="n"/>
    </row>
    <row r="987">
      <c r="A987" s="151" t="n">
        <v>46097</v>
      </c>
      <c r="B987" s="70" t="n">
        <v>18</v>
      </c>
      <c r="C987" s="115" t="inlineStr">
        <is>
          <t>SELİM İNŞAAT</t>
        </is>
      </c>
      <c r="D987" s="115" t="inlineStr">
        <is>
          <t>34 GVZ 268</t>
        </is>
      </c>
      <c r="E987" s="115" t="inlineStr">
        <is>
          <t>KERİM KARAMAN</t>
        </is>
      </c>
      <c r="F987" s="65" t="n">
        <v>254770</v>
      </c>
      <c r="G987" s="152" t="n">
        <v>414</v>
      </c>
      <c r="H987" s="60" t="n"/>
      <c r="I987" s="156">
        <f>+I986+(G987-H987)</f>
        <v/>
      </c>
      <c r="J987" s="60" t="n"/>
      <c r="K987" s="60" t="n"/>
      <c r="L987" s="158">
        <f>+H987*J987</f>
        <v/>
      </c>
      <c r="M987" s="159">
        <f>SUM(M986+K987-L987)</f>
        <v/>
      </c>
      <c r="N987" s="60" t="n"/>
      <c r="O987" s="60" t="n"/>
      <c r="P987" s="60" t="n"/>
      <c r="Q987" s="60" t="n"/>
      <c r="R987" s="60" t="n"/>
      <c r="S987" s="60" t="n"/>
      <c r="T987" s="60" t="n"/>
      <c r="U987" s="60" t="n"/>
      <c r="V987" s="60" t="n"/>
      <c r="W987" s="60" t="n"/>
      <c r="X987" s="60" t="n"/>
      <c r="Y987" s="60" t="n"/>
      <c r="Z987" s="60" t="n"/>
    </row>
    <row r="988">
      <c r="A988" s="151" t="n">
        <v>46097</v>
      </c>
      <c r="B988" s="70" t="n">
        <v>4469</v>
      </c>
      <c r="C988" s="115" t="inlineStr">
        <is>
          <t>SELİM İNŞAAT</t>
        </is>
      </c>
      <c r="D988" s="115" t="inlineStr">
        <is>
          <t>34 DKL 798</t>
        </is>
      </c>
      <c r="E988" s="115" t="inlineStr">
        <is>
          <t>HASAN BAYCA</t>
        </is>
      </c>
      <c r="F988" s="65" t="n">
        <v>82009</v>
      </c>
      <c r="G988" s="152" t="n">
        <v>297</v>
      </c>
      <c r="H988" s="60" t="n"/>
      <c r="I988" s="156">
        <f>+I987+(G988-H988)</f>
        <v/>
      </c>
      <c r="J988" s="60" t="n"/>
      <c r="K988" s="60" t="n"/>
      <c r="L988" s="158">
        <f>+H988*J988</f>
        <v/>
      </c>
      <c r="M988" s="159">
        <f>SUM(M987+K988-L988)</f>
        <v/>
      </c>
      <c r="N988" s="60" t="n"/>
      <c r="O988" s="60" t="n"/>
      <c r="P988" s="60" t="n"/>
      <c r="Q988" s="60" t="n"/>
      <c r="R988" s="60" t="n"/>
      <c r="S988" s="60" t="n"/>
      <c r="T988" s="60" t="n"/>
      <c r="U988" s="60" t="n"/>
      <c r="V988" s="60" t="n"/>
      <c r="W988" s="60" t="n"/>
      <c r="X988" s="60" t="n"/>
      <c r="Y988" s="60" t="n"/>
      <c r="Z988" s="60" t="n"/>
    </row>
    <row r="989">
      <c r="A989" s="151" t="n">
        <v>46097</v>
      </c>
      <c r="B989" s="70" t="n">
        <v>2984</v>
      </c>
      <c r="C989" s="115" t="inlineStr">
        <is>
          <t>SELİM İNŞAAT</t>
        </is>
      </c>
      <c r="D989" s="115" t="inlineStr">
        <is>
          <t>34 DF 454</t>
        </is>
      </c>
      <c r="E989" s="115" t="inlineStr">
        <is>
          <t>HÜSEYİN ALIN</t>
        </is>
      </c>
      <c r="F989" s="65" t="n">
        <v>175541</v>
      </c>
      <c r="G989" s="152" t="n">
        <v>394</v>
      </c>
      <c r="H989" s="60" t="n"/>
      <c r="I989" s="156">
        <f>+I988+(G989-H989)</f>
        <v/>
      </c>
      <c r="J989" s="60" t="n"/>
      <c r="K989" s="60" t="n"/>
      <c r="L989" s="158">
        <f>+H989*J989</f>
        <v/>
      </c>
      <c r="M989" s="159">
        <f>SUM(M988+K989-L989)</f>
        <v/>
      </c>
      <c r="N989" s="60" t="n"/>
      <c r="O989" s="60" t="n"/>
      <c r="P989" s="60" t="n"/>
      <c r="Q989" s="60" t="n"/>
      <c r="R989" s="60" t="n"/>
      <c r="S989" s="60" t="n"/>
      <c r="T989" s="60" t="n"/>
      <c r="U989" s="60" t="n"/>
      <c r="V989" s="60" t="n"/>
      <c r="W989" s="60" t="n"/>
      <c r="X989" s="60" t="n"/>
      <c r="Y989" s="60" t="n"/>
      <c r="Z989" s="60" t="n"/>
    </row>
    <row r="990">
      <c r="A990" s="151" t="n">
        <v>46097</v>
      </c>
      <c r="B990" s="70" t="n">
        <v>307</v>
      </c>
      <c r="C990" s="115" t="inlineStr">
        <is>
          <t>SELİM İNŞAAT</t>
        </is>
      </c>
      <c r="D990" s="115" t="inlineStr">
        <is>
          <t>34 GER 445</t>
        </is>
      </c>
      <c r="E990" s="115" t="inlineStr">
        <is>
          <t>MUSTAFA ERYİĞİT</t>
        </is>
      </c>
      <c r="F990" s="65" t="n">
        <v>58614</v>
      </c>
      <c r="G990" s="152" t="n">
        <v>279</v>
      </c>
      <c r="H990" s="60" t="n"/>
      <c r="I990" s="156">
        <f>+I989+(G990-H990)</f>
        <v/>
      </c>
      <c r="J990" s="60" t="n"/>
      <c r="K990" s="60" t="n"/>
      <c r="L990" s="158">
        <f>+H990*J990</f>
        <v/>
      </c>
      <c r="M990" s="159">
        <f>SUM(M989+K990-L990)</f>
        <v/>
      </c>
      <c r="N990" s="60" t="n"/>
      <c r="O990" s="60" t="n"/>
      <c r="P990" s="60" t="n"/>
      <c r="Q990" s="60" t="n"/>
      <c r="R990" s="60" t="n"/>
      <c r="S990" s="60" t="n"/>
      <c r="T990" s="60" t="n"/>
      <c r="U990" s="60" t="n"/>
      <c r="V990" s="60" t="n"/>
      <c r="W990" s="60" t="n"/>
      <c r="X990" s="60" t="n"/>
      <c r="Y990" s="60" t="n"/>
      <c r="Z990" s="60" t="n"/>
    </row>
    <row r="991">
      <c r="A991" s="151" t="n">
        <v>46097</v>
      </c>
      <c r="B991" s="70" t="n">
        <v>654</v>
      </c>
      <c r="C991" s="115" t="inlineStr">
        <is>
          <t>SELİM İNŞAAT</t>
        </is>
      </c>
      <c r="D991" s="115" t="inlineStr">
        <is>
          <t>34 GU 945</t>
        </is>
      </c>
      <c r="E991" s="115" t="inlineStr">
        <is>
          <t>ÖNER DÜNDAR</t>
        </is>
      </c>
      <c r="F991" s="65" t="n">
        <v>473821</v>
      </c>
      <c r="G991" s="152" t="n">
        <v>48</v>
      </c>
      <c r="H991" s="60" t="n"/>
      <c r="I991" s="156">
        <f>+I990+(G991-H991)</f>
        <v/>
      </c>
      <c r="J991" s="60" t="n"/>
      <c r="K991" s="60" t="n"/>
      <c r="L991" s="158">
        <f>+H991*J991</f>
        <v/>
      </c>
      <c r="M991" s="159">
        <f>SUM(M990+K991-L991)</f>
        <v/>
      </c>
      <c r="N991" s="60" t="n"/>
      <c r="O991" s="60" t="n"/>
      <c r="P991" s="60" t="n"/>
      <c r="Q991" s="60" t="n"/>
      <c r="R991" s="60" t="n"/>
      <c r="S991" s="60" t="n"/>
      <c r="T991" s="60" t="n"/>
      <c r="U991" s="60" t="n"/>
      <c r="V991" s="60" t="n"/>
      <c r="W991" s="60" t="n"/>
      <c r="X991" s="60" t="n"/>
      <c r="Y991" s="60" t="n"/>
      <c r="Z991" s="60" t="n"/>
    </row>
    <row r="992">
      <c r="A992" s="151" t="n">
        <v>46098</v>
      </c>
      <c r="B992" s="70" t="n">
        <v>1396</v>
      </c>
      <c r="C992" s="115" t="inlineStr">
        <is>
          <t>AZGÜN YAPI</t>
        </is>
      </c>
      <c r="D992" s="115" t="inlineStr">
        <is>
          <t>34 MKT 859</t>
        </is>
      </c>
      <c r="E992" s="115" t="inlineStr">
        <is>
          <t>İRFAN DAĞLAR</t>
        </is>
      </c>
      <c r="F992" s="65" t="n"/>
      <c r="G992" s="152" t="n">
        <v>340</v>
      </c>
      <c r="H992" s="60" t="n"/>
      <c r="I992" s="156">
        <f>+I991+(G992-H992)</f>
        <v/>
      </c>
      <c r="J992" s="60" t="n"/>
      <c r="K992" s="60" t="n"/>
      <c r="L992" s="158">
        <f>+H992*J992</f>
        <v/>
      </c>
      <c r="M992" s="159">
        <f>SUM(M991+K992-L992)</f>
        <v/>
      </c>
      <c r="N992" s="60" t="n"/>
      <c r="O992" s="60" t="n"/>
      <c r="P992" s="60" t="n"/>
      <c r="Q992" s="60" t="n"/>
      <c r="R992" s="60" t="n"/>
      <c r="S992" s="60" t="n"/>
      <c r="T992" s="60" t="n"/>
      <c r="U992" s="60" t="n"/>
      <c r="V992" s="60" t="n"/>
      <c r="W992" s="60" t="n"/>
      <c r="X992" s="60" t="n"/>
      <c r="Y992" s="60" t="n"/>
      <c r="Z992" s="60" t="n"/>
    </row>
    <row r="993">
      <c r="A993" s="151" t="n">
        <v>46098</v>
      </c>
      <c r="B993" s="70" t="n">
        <v>1502</v>
      </c>
      <c r="C993" s="115" t="inlineStr">
        <is>
          <t>EVKUR</t>
        </is>
      </c>
      <c r="D993" s="115" t="inlineStr">
        <is>
          <t>KİRALIK KATO</t>
        </is>
      </c>
      <c r="E993" s="115" t="inlineStr">
        <is>
          <t>GÜNEŞ</t>
        </is>
      </c>
      <c r="F993" s="65" t="n"/>
      <c r="G993" s="152" t="n">
        <v>76</v>
      </c>
      <c r="H993" s="60" t="n"/>
      <c r="I993" s="156">
        <f>+I992+(G993-H993)</f>
        <v/>
      </c>
      <c r="J993" s="60" t="n"/>
      <c r="K993" s="60" t="n"/>
      <c r="L993" s="158">
        <f>+H993*J993</f>
        <v/>
      </c>
      <c r="M993" s="159">
        <f>SUM(M992+K993-L993)</f>
        <v/>
      </c>
      <c r="N993" s="60" t="n"/>
      <c r="O993" s="60" t="n"/>
      <c r="P993" s="60" t="n"/>
      <c r="Q993" s="60" t="n"/>
      <c r="R993" s="60" t="n"/>
      <c r="S993" s="60" t="n"/>
      <c r="T993" s="60" t="n"/>
      <c r="U993" s="60" t="n"/>
      <c r="V993" s="60" t="n"/>
      <c r="W993" s="60" t="n"/>
      <c r="X993" s="60" t="n"/>
      <c r="Y993" s="60" t="n"/>
      <c r="Z993" s="60" t="n"/>
    </row>
    <row r="994">
      <c r="A994" s="151" t="n">
        <v>46098</v>
      </c>
      <c r="B994" s="70" t="n">
        <v>1503</v>
      </c>
      <c r="C994" s="115" t="inlineStr">
        <is>
          <t>EVKUR</t>
        </is>
      </c>
      <c r="D994" s="115" t="inlineStr">
        <is>
          <t>JENERATÖR</t>
        </is>
      </c>
      <c r="E994" s="115" t="n"/>
      <c r="F994" s="65" t="n"/>
      <c r="G994" s="152" t="n">
        <v>164</v>
      </c>
      <c r="H994" s="60" t="n"/>
      <c r="I994" s="156">
        <f>+I993+(G994-H994)</f>
        <v/>
      </c>
      <c r="J994" s="60" t="n"/>
      <c r="K994" s="60" t="n"/>
      <c r="L994" s="158">
        <f>+H994*J994</f>
        <v/>
      </c>
      <c r="M994" s="159">
        <f>SUM(M993+K994-L994)</f>
        <v/>
      </c>
      <c r="N994" s="60" t="n"/>
      <c r="O994" s="60" t="n"/>
      <c r="P994" s="60" t="n"/>
      <c r="Q994" s="60" t="n"/>
      <c r="R994" s="60" t="n"/>
      <c r="S994" s="60" t="n"/>
      <c r="T994" s="60" t="n"/>
      <c r="U994" s="60" t="n"/>
      <c r="V994" s="60" t="n"/>
      <c r="W994" s="60" t="n"/>
      <c r="X994" s="60" t="n"/>
      <c r="Y994" s="60" t="n"/>
      <c r="Z994" s="60" t="n"/>
    </row>
    <row r="995">
      <c r="A995" s="151" t="n">
        <v>46098</v>
      </c>
      <c r="B995" s="70" t="n">
        <v>1504</v>
      </c>
      <c r="C995" s="115" t="inlineStr">
        <is>
          <t>VARLIK</t>
        </is>
      </c>
      <c r="D995" s="115" t="inlineStr">
        <is>
          <t>HİTACHİ</t>
        </is>
      </c>
      <c r="E995" s="115" t="inlineStr">
        <is>
          <t>TURGUT</t>
        </is>
      </c>
      <c r="F995" s="65" t="n"/>
      <c r="G995" s="152" t="n">
        <v>503</v>
      </c>
      <c r="H995" s="60" t="n"/>
      <c r="I995" s="156">
        <f>+I994+(G995-H995)</f>
        <v/>
      </c>
      <c r="J995" s="60" t="n"/>
      <c r="K995" s="60" t="n"/>
      <c r="L995" s="158">
        <f>+H995*J995</f>
        <v/>
      </c>
      <c r="M995" s="159">
        <f>SUM(M994+K995-L995)</f>
        <v/>
      </c>
      <c r="N995" s="60" t="n"/>
      <c r="O995" s="60" t="n"/>
      <c r="P995" s="60" t="n"/>
      <c r="Q995" s="60" t="n"/>
      <c r="R995" s="60" t="n"/>
      <c r="S995" s="60" t="n"/>
      <c r="T995" s="60" t="n"/>
      <c r="U995" s="60" t="n"/>
      <c r="V995" s="60" t="n"/>
      <c r="W995" s="60" t="n"/>
      <c r="X995" s="60" t="n"/>
      <c r="Y995" s="60" t="n"/>
      <c r="Z995" s="60" t="n"/>
    </row>
    <row r="996">
      <c r="A996" s="151" t="n">
        <v>46098</v>
      </c>
      <c r="B996" s="70" t="n">
        <v>1505</v>
      </c>
      <c r="C996" s="115" t="inlineStr">
        <is>
          <t>MEGA</t>
        </is>
      </c>
      <c r="D996" s="115" t="inlineStr">
        <is>
          <t>SM350</t>
        </is>
      </c>
      <c r="E996" s="115" t="inlineStr">
        <is>
          <t>MİKAİL</t>
        </is>
      </c>
      <c r="F996" s="65" t="n"/>
      <c r="G996" s="152" t="n">
        <v>367</v>
      </c>
      <c r="H996" s="60" t="n"/>
      <c r="I996" s="156">
        <f>+I995+(G996-H996)</f>
        <v/>
      </c>
      <c r="J996" s="60" t="n"/>
      <c r="K996" s="60" t="n"/>
      <c r="L996" s="158">
        <f>+H996*J996</f>
        <v/>
      </c>
      <c r="M996" s="159">
        <f>SUM(M995+K996-L996)</f>
        <v/>
      </c>
      <c r="N996" s="60" t="n"/>
      <c r="O996" s="60" t="n"/>
      <c r="P996" s="60" t="n"/>
      <c r="Q996" s="60" t="n"/>
      <c r="R996" s="60" t="n"/>
      <c r="S996" s="60" t="n"/>
      <c r="T996" s="60" t="n"/>
      <c r="U996" s="60" t="n"/>
      <c r="V996" s="60" t="n"/>
      <c r="W996" s="60" t="n"/>
      <c r="X996" s="60" t="n"/>
      <c r="Y996" s="60" t="n"/>
      <c r="Z996" s="60" t="n"/>
    </row>
    <row r="997">
      <c r="A997" s="151" t="n">
        <v>46098</v>
      </c>
      <c r="B997" s="70" t="n">
        <v>1506</v>
      </c>
      <c r="C997" s="115" t="inlineStr">
        <is>
          <t>MEGA</t>
        </is>
      </c>
      <c r="D997" s="115" t="inlineStr">
        <is>
          <t>KAWAZAKİ</t>
        </is>
      </c>
      <c r="E997" s="115" t="inlineStr">
        <is>
          <t>RAMAZAN</t>
        </is>
      </c>
      <c r="F997" s="65" t="n"/>
      <c r="G997" s="152" t="n">
        <v>219</v>
      </c>
      <c r="H997" s="60" t="n"/>
      <c r="I997" s="156">
        <f>+I996+(G997-H997)</f>
        <v/>
      </c>
      <c r="J997" s="60" t="n"/>
      <c r="K997" s="60" t="n"/>
      <c r="L997" s="158">
        <f>+H997*J997</f>
        <v/>
      </c>
      <c r="M997" s="159">
        <f>SUM(M996+K997-L997)</f>
        <v/>
      </c>
      <c r="N997" s="60" t="n"/>
      <c r="O997" s="60" t="n"/>
      <c r="P997" s="60" t="n"/>
      <c r="Q997" s="60" t="n"/>
      <c r="R997" s="60" t="n"/>
      <c r="S997" s="60" t="n"/>
      <c r="T997" s="60" t="n"/>
      <c r="U997" s="60" t="n"/>
      <c r="V997" s="60" t="n"/>
      <c r="W997" s="60" t="n"/>
      <c r="X997" s="60" t="n"/>
      <c r="Y997" s="60" t="n"/>
      <c r="Z997" s="60" t="n"/>
    </row>
    <row r="998">
      <c r="A998" s="151" t="n">
        <v>46098</v>
      </c>
      <c r="B998" s="70" t="n">
        <v>627</v>
      </c>
      <c r="C998" s="115" t="inlineStr">
        <is>
          <t>AHMET SELİM TEMHA</t>
        </is>
      </c>
      <c r="D998" s="115" t="inlineStr">
        <is>
          <t>34 PGT 251</t>
        </is>
      </c>
      <c r="E998" s="115" t="inlineStr">
        <is>
          <t>ERSOY SIĞINMAZ</t>
        </is>
      </c>
      <c r="F998" s="65" t="n"/>
      <c r="G998" s="152" t="n">
        <v>45</v>
      </c>
      <c r="H998" s="60" t="n"/>
      <c r="I998" s="156">
        <f>+I997+(G998-H998)</f>
        <v/>
      </c>
      <c r="J998" s="60" t="n"/>
      <c r="K998" s="60" t="n"/>
      <c r="L998" s="158">
        <f>+H998*J998</f>
        <v/>
      </c>
      <c r="M998" s="159">
        <f>SUM(M997+K998-L998)</f>
        <v/>
      </c>
      <c r="N998" s="60" t="n"/>
      <c r="O998" s="60" t="n"/>
      <c r="P998" s="60" t="n"/>
      <c r="Q998" s="60" t="n"/>
      <c r="R998" s="60" t="n"/>
      <c r="S998" s="60" t="n"/>
      <c r="T998" s="60" t="n"/>
      <c r="U998" s="60" t="n"/>
      <c r="V998" s="60" t="n"/>
      <c r="W998" s="60" t="n"/>
      <c r="X998" s="60" t="n"/>
      <c r="Y998" s="60" t="n"/>
      <c r="Z998" s="60" t="n"/>
    </row>
    <row r="999">
      <c r="A999" s="151" t="n">
        <v>46098</v>
      </c>
      <c r="B999" s="70" t="n">
        <v>4120</v>
      </c>
      <c r="C999" s="115" t="inlineStr">
        <is>
          <t>SELİM İNŞAAT</t>
        </is>
      </c>
      <c r="D999" s="115" t="inlineStr">
        <is>
          <t>34 EDB 659</t>
        </is>
      </c>
      <c r="E999" s="115" t="inlineStr">
        <is>
          <t>YASİN ÇATAKLI</t>
        </is>
      </c>
      <c r="F999" s="65" t="n">
        <v>393232</v>
      </c>
      <c r="G999" s="152" t="n">
        <v>569</v>
      </c>
      <c r="H999" s="60" t="n"/>
      <c r="I999" s="156">
        <f>+I998+(G999-H999)</f>
        <v/>
      </c>
      <c r="J999" s="60" t="n"/>
      <c r="K999" s="60" t="n"/>
      <c r="L999" s="158">
        <f>+H999*J999</f>
        <v/>
      </c>
      <c r="M999" s="159">
        <f>SUM(M998+K999-L999)</f>
        <v/>
      </c>
      <c r="N999" s="60" t="n"/>
      <c r="O999" s="60" t="n"/>
      <c r="P999" s="60" t="n"/>
      <c r="Q999" s="60" t="n"/>
      <c r="R999" s="60" t="n"/>
      <c r="S999" s="60" t="n"/>
      <c r="T999" s="60" t="n"/>
      <c r="U999" s="60" t="n"/>
      <c r="V999" s="60" t="n"/>
      <c r="W999" s="60" t="n"/>
      <c r="X999" s="60" t="n"/>
      <c r="Y999" s="60" t="n"/>
      <c r="Z999" s="60" t="n"/>
    </row>
    <row r="1000">
      <c r="A1000" s="151" t="n">
        <v>46098</v>
      </c>
      <c r="B1000" s="70" t="n">
        <v>3229</v>
      </c>
      <c r="C1000" s="115" t="inlineStr">
        <is>
          <t>SELİM İNŞAAT</t>
        </is>
      </c>
      <c r="D1000" s="115" t="inlineStr">
        <is>
          <t>34 EGR 736</t>
        </is>
      </c>
      <c r="E1000" s="115" t="inlineStr">
        <is>
          <t>HAKAN ÇAVUŞOĞLU</t>
        </is>
      </c>
      <c r="F1000" s="65" t="n">
        <v>441961</v>
      </c>
      <c r="G1000" s="152" t="n">
        <v>381</v>
      </c>
      <c r="H1000" s="60" t="n"/>
      <c r="I1000" s="156">
        <f>+I999+(G1000-H1000)</f>
        <v/>
      </c>
      <c r="J1000" s="60" t="n"/>
      <c r="K1000" s="60" t="n"/>
      <c r="L1000" s="158">
        <f>+H1000*J1000</f>
        <v/>
      </c>
      <c r="M1000" s="159">
        <f>SUM(M999+K1000-L1000)</f>
        <v/>
      </c>
      <c r="N1000" s="60" t="n"/>
      <c r="O1000" s="60" t="n"/>
      <c r="P1000" s="60" t="n"/>
      <c r="Q1000" s="60" t="n"/>
      <c r="R1000" s="60" t="n"/>
      <c r="S1000" s="60" t="n"/>
      <c r="T1000" s="60" t="n"/>
      <c r="U1000" s="60" t="n"/>
      <c r="V1000" s="60" t="n"/>
      <c r="W1000" s="60" t="n"/>
      <c r="X1000" s="60" t="n"/>
      <c r="Y1000" s="60" t="n"/>
      <c r="Z1000" s="60" t="n"/>
    </row>
    <row r="1001">
      <c r="A1001" s="151" t="n">
        <v>46098</v>
      </c>
      <c r="B1001" s="70" t="n">
        <v>3171</v>
      </c>
      <c r="C1001" s="115" t="inlineStr">
        <is>
          <t>SELİM İNŞAAT</t>
        </is>
      </c>
      <c r="D1001" s="115" t="inlineStr">
        <is>
          <t>34 DTV 599</t>
        </is>
      </c>
      <c r="E1001" s="115" t="inlineStr">
        <is>
          <t>HÜSEYİN DENİZ</t>
        </is>
      </c>
      <c r="F1001" s="65" t="n">
        <v>475216</v>
      </c>
      <c r="G1001" s="152" t="n">
        <v>437</v>
      </c>
      <c r="H1001" s="60" t="n"/>
      <c r="I1001" s="156">
        <f>+I1000+(G1001-H1001)</f>
        <v/>
      </c>
      <c r="J1001" s="60" t="n"/>
      <c r="K1001" s="60" t="n"/>
      <c r="L1001" s="158">
        <f>+H1001*J1001</f>
        <v/>
      </c>
      <c r="M1001" s="159">
        <f>SUM(M1000+K1001-L1001)</f>
        <v/>
      </c>
      <c r="N1001" s="60" t="n"/>
      <c r="O1001" s="60" t="n"/>
      <c r="P1001" s="60" t="n"/>
      <c r="Q1001" s="60" t="n"/>
      <c r="R1001" s="60" t="n"/>
      <c r="S1001" s="60" t="n"/>
      <c r="T1001" s="60" t="n"/>
      <c r="U1001" s="60" t="n"/>
      <c r="V1001" s="60" t="n"/>
      <c r="W1001" s="60" t="n"/>
      <c r="X1001" s="60" t="n"/>
      <c r="Y1001" s="60" t="n"/>
      <c r="Z1001" s="60" t="n"/>
    </row>
    <row r="1002">
      <c r="A1002" s="151" t="n">
        <v>46098</v>
      </c>
      <c r="B1002" s="70" t="n">
        <v>856</v>
      </c>
      <c r="C1002" s="115" t="inlineStr">
        <is>
          <t>SELİM İNŞAAT</t>
        </is>
      </c>
      <c r="D1002" s="115" t="inlineStr">
        <is>
          <t>34 EGR 922</t>
        </is>
      </c>
      <c r="E1002" s="115" t="inlineStr">
        <is>
          <t>FARUK ÖZEN</t>
        </is>
      </c>
      <c r="F1002" s="65" t="n">
        <v>508000</v>
      </c>
      <c r="G1002" s="152" t="n">
        <v>569</v>
      </c>
      <c r="H1002" s="60" t="n"/>
      <c r="I1002" s="156">
        <f>+I1001+(G1002-H1002)</f>
        <v/>
      </c>
      <c r="J1002" s="60" t="n"/>
      <c r="K1002" s="60" t="n"/>
      <c r="L1002" s="158">
        <f>+H1002*J1002</f>
        <v/>
      </c>
      <c r="M1002" s="159">
        <f>SUM(M1001+K1002-L1002)</f>
        <v/>
      </c>
      <c r="N1002" s="60" t="n"/>
      <c r="O1002" s="60" t="n"/>
      <c r="P1002" s="60" t="n"/>
      <c r="Q1002" s="60" t="n"/>
      <c r="R1002" s="60" t="n"/>
      <c r="S1002" s="60" t="n"/>
      <c r="T1002" s="60" t="n"/>
      <c r="U1002" s="60" t="n"/>
      <c r="V1002" s="60" t="n"/>
      <c r="W1002" s="60" t="n"/>
      <c r="X1002" s="60" t="n"/>
      <c r="Y1002" s="60" t="n"/>
      <c r="Z1002" s="60" t="n"/>
    </row>
    <row r="1003">
      <c r="A1003" s="151" t="n">
        <v>46098</v>
      </c>
      <c r="B1003" s="70" t="n">
        <v>3337</v>
      </c>
      <c r="C1003" s="115" t="inlineStr">
        <is>
          <t>SELİM İNŞAAT</t>
        </is>
      </c>
      <c r="D1003" s="115" t="inlineStr">
        <is>
          <t>34 GUS 938</t>
        </is>
      </c>
      <c r="E1003" s="115" t="inlineStr">
        <is>
          <t>MEHMET KAYA</t>
        </is>
      </c>
      <c r="F1003" s="65" t="n">
        <v>250936</v>
      </c>
      <c r="G1003" s="152" t="n">
        <v>287</v>
      </c>
      <c r="H1003" s="60" t="n"/>
      <c r="I1003" s="156">
        <f>+I1002+(G1003-H1003)</f>
        <v/>
      </c>
      <c r="J1003" s="60" t="n"/>
      <c r="K1003" s="60" t="n"/>
      <c r="L1003" s="158">
        <f>+H1003*J1003</f>
        <v/>
      </c>
      <c r="M1003" s="159">
        <f>SUM(M1002+K1003-L1003)</f>
        <v/>
      </c>
      <c r="N1003" s="60" t="n"/>
      <c r="O1003" s="60" t="n"/>
      <c r="P1003" s="60" t="n"/>
      <c r="Q1003" s="60" t="n"/>
      <c r="R1003" s="60" t="n"/>
      <c r="S1003" s="60" t="n"/>
      <c r="T1003" s="60" t="n"/>
      <c r="U1003" s="60" t="n"/>
      <c r="V1003" s="60" t="n"/>
      <c r="W1003" s="60" t="n"/>
      <c r="X1003" s="60" t="n"/>
      <c r="Y1003" s="60" t="n"/>
      <c r="Z1003" s="60" t="n"/>
    </row>
    <row r="1004">
      <c r="A1004" s="151" t="n">
        <v>46098</v>
      </c>
      <c r="B1004" s="70" t="n">
        <v>4932</v>
      </c>
      <c r="C1004" s="115" t="inlineStr">
        <is>
          <t>SELİM İNŞAAT</t>
        </is>
      </c>
      <c r="D1004" s="115" t="inlineStr">
        <is>
          <t>34 FBR 742</t>
        </is>
      </c>
      <c r="E1004" s="115" t="inlineStr">
        <is>
          <t>ADNAN KOÇ</t>
        </is>
      </c>
      <c r="F1004" s="65" t="n">
        <v>369369</v>
      </c>
      <c r="G1004" s="152" t="n">
        <v>272</v>
      </c>
      <c r="H1004" s="60" t="n"/>
      <c r="I1004" s="156">
        <f>+I1003+(G1004-H1004)</f>
        <v/>
      </c>
      <c r="J1004" s="60" t="n"/>
      <c r="K1004" s="60" t="n"/>
      <c r="L1004" s="158">
        <f>+H1004*J1004</f>
        <v/>
      </c>
      <c r="M1004" s="159">
        <f>SUM(M1003+K1004-L1004)</f>
        <v/>
      </c>
      <c r="N1004" s="60" t="n"/>
      <c r="O1004" s="60" t="n"/>
      <c r="P1004" s="60" t="n"/>
      <c r="Q1004" s="60" t="n"/>
      <c r="R1004" s="60" t="n"/>
      <c r="S1004" s="60" t="n"/>
      <c r="T1004" s="60" t="n"/>
      <c r="U1004" s="60" t="n"/>
      <c r="V1004" s="60" t="n"/>
      <c r="W1004" s="60" t="n"/>
      <c r="X1004" s="60" t="n"/>
      <c r="Y1004" s="60" t="n"/>
      <c r="Z1004" s="60" t="n"/>
    </row>
    <row r="1005">
      <c r="A1005" s="151" t="n">
        <v>46098</v>
      </c>
      <c r="B1005" s="70" t="n">
        <v>4519</v>
      </c>
      <c r="C1005" s="115" t="inlineStr">
        <is>
          <t>SELİM İNŞAAT</t>
        </is>
      </c>
      <c r="D1005" s="115" t="inlineStr">
        <is>
          <t>34 DTV 352</t>
        </is>
      </c>
      <c r="E1005" s="115" t="inlineStr">
        <is>
          <t>AZİZ ORUÇ</t>
        </is>
      </c>
      <c r="F1005" s="65" t="n">
        <v>479278</v>
      </c>
      <c r="G1005" s="152" t="n">
        <v>540</v>
      </c>
      <c r="H1005" s="60" t="n"/>
      <c r="I1005" s="156">
        <f>+I1004+(G1005-H1005)</f>
        <v/>
      </c>
      <c r="J1005" s="60" t="n"/>
      <c r="K1005" s="60" t="n"/>
      <c r="L1005" s="158">
        <f>+H1005*J1005</f>
        <v/>
      </c>
      <c r="M1005" s="159">
        <f>SUM(M1004+K1005-L1005)</f>
        <v/>
      </c>
      <c r="N1005" s="60" t="n"/>
      <c r="O1005" s="60" t="n"/>
      <c r="P1005" s="60" t="n"/>
      <c r="Q1005" s="60" t="n"/>
      <c r="R1005" s="60" t="n"/>
      <c r="S1005" s="60" t="n"/>
      <c r="T1005" s="60" t="n"/>
      <c r="U1005" s="60" t="n"/>
      <c r="V1005" s="60" t="n"/>
      <c r="W1005" s="60" t="n"/>
      <c r="X1005" s="60" t="n"/>
      <c r="Y1005" s="60" t="n"/>
      <c r="Z1005" s="60" t="n"/>
    </row>
    <row r="1006">
      <c r="A1006" s="151" t="n">
        <v>46098</v>
      </c>
      <c r="B1006" s="70" t="n">
        <v>4979</v>
      </c>
      <c r="C1006" s="115" t="inlineStr">
        <is>
          <t>SELİM İNŞAAT</t>
        </is>
      </c>
      <c r="D1006" s="115" t="inlineStr">
        <is>
          <t>34 GVZ 745</t>
        </is>
      </c>
      <c r="E1006" s="115" t="inlineStr">
        <is>
          <t>MURAT DEMİRBAŞ</t>
        </is>
      </c>
      <c r="F1006" s="65" t="n">
        <v>251155</v>
      </c>
      <c r="G1006" s="152" t="n">
        <v>439</v>
      </c>
      <c r="H1006" s="60" t="n"/>
      <c r="I1006" s="156">
        <f>+I1005+(G1006-H1006)</f>
        <v/>
      </c>
      <c r="J1006" s="60" t="n"/>
      <c r="K1006" s="60" t="n"/>
      <c r="L1006" s="158">
        <f>+H1006*J1006</f>
        <v/>
      </c>
      <c r="M1006" s="159">
        <f>SUM(M1005+K1006-L1006)</f>
        <v/>
      </c>
      <c r="N1006" s="60" t="n"/>
      <c r="O1006" s="60" t="n"/>
      <c r="P1006" s="60" t="n"/>
      <c r="Q1006" s="60" t="n"/>
      <c r="R1006" s="60" t="n"/>
      <c r="S1006" s="60" t="n"/>
      <c r="T1006" s="60" t="n"/>
      <c r="U1006" s="60" t="n"/>
      <c r="V1006" s="60" t="n"/>
      <c r="W1006" s="60" t="n"/>
      <c r="X1006" s="60" t="n"/>
      <c r="Y1006" s="60" t="n"/>
      <c r="Z1006" s="60" t="n"/>
    </row>
    <row r="1007">
      <c r="A1007" s="151" t="n">
        <v>46098</v>
      </c>
      <c r="B1007" s="70" t="n">
        <v>1347</v>
      </c>
      <c r="C1007" s="115" t="inlineStr">
        <is>
          <t>SELİM İNŞAAT</t>
        </is>
      </c>
      <c r="D1007" s="115" t="inlineStr">
        <is>
          <t>34 GVZ 199</t>
        </is>
      </c>
      <c r="E1007" s="115" t="inlineStr">
        <is>
          <t>HÜSEYİN DENİZ</t>
        </is>
      </c>
      <c r="F1007" s="65" t="n">
        <v>230069</v>
      </c>
      <c r="G1007" s="152" t="n">
        <v>321</v>
      </c>
      <c r="H1007" s="60" t="n"/>
      <c r="I1007" s="156">
        <f>+I1006+(G1007-H1007)</f>
        <v/>
      </c>
      <c r="J1007" s="60" t="n"/>
      <c r="K1007" s="60" t="n"/>
      <c r="L1007" s="158">
        <f>+H1007*J1007</f>
        <v/>
      </c>
      <c r="M1007" s="159">
        <f>SUM(M1006+K1007-L1007)</f>
        <v/>
      </c>
      <c r="N1007" s="60" t="n"/>
      <c r="O1007" s="60" t="n"/>
      <c r="P1007" s="60" t="n"/>
      <c r="Q1007" s="60" t="n"/>
      <c r="R1007" s="60" t="n"/>
      <c r="S1007" s="60" t="n"/>
      <c r="T1007" s="60" t="n"/>
      <c r="U1007" s="60" t="n"/>
      <c r="V1007" s="60" t="n"/>
      <c r="W1007" s="60" t="n"/>
      <c r="X1007" s="60" t="n"/>
      <c r="Y1007" s="60" t="n"/>
      <c r="Z1007" s="60" t="n"/>
    </row>
    <row r="1008">
      <c r="A1008" s="151" t="n">
        <v>46098</v>
      </c>
      <c r="B1008" s="70" t="n">
        <v>4174</v>
      </c>
      <c r="C1008" s="115" t="inlineStr">
        <is>
          <t>SELİM İNŞAAT</t>
        </is>
      </c>
      <c r="D1008" s="115" t="inlineStr">
        <is>
          <t>34 FBR 748</t>
        </is>
      </c>
      <c r="E1008" s="115" t="inlineStr">
        <is>
          <t>YAŞAR ÖZKAYA</t>
        </is>
      </c>
      <c r="F1008" s="65" t="n">
        <v>327382</v>
      </c>
      <c r="G1008" s="152" t="n">
        <v>542</v>
      </c>
      <c r="H1008" s="60" t="n"/>
      <c r="I1008" s="156">
        <f>+I1007+(G1008-H1008)</f>
        <v/>
      </c>
      <c r="J1008" s="60" t="n"/>
      <c r="K1008" s="60" t="n"/>
      <c r="L1008" s="158">
        <f>+H1008*J1008</f>
        <v/>
      </c>
      <c r="M1008" s="159">
        <f>SUM(M1007+K1008-L1008)</f>
        <v/>
      </c>
      <c r="N1008" s="60" t="n"/>
      <c r="O1008" s="60" t="n"/>
      <c r="P1008" s="60" t="n"/>
      <c r="Q1008" s="60" t="n"/>
      <c r="R1008" s="60" t="n"/>
      <c r="S1008" s="60" t="n"/>
      <c r="T1008" s="60" t="n"/>
      <c r="U1008" s="60" t="n"/>
      <c r="V1008" s="60" t="n"/>
      <c r="W1008" s="60" t="n"/>
      <c r="X1008" s="60" t="n"/>
      <c r="Y1008" s="60" t="n"/>
      <c r="Z1008" s="60" t="n"/>
    </row>
    <row r="1009">
      <c r="A1009" s="151" t="n">
        <v>46098</v>
      </c>
      <c r="B1009" s="70" t="n">
        <v>19</v>
      </c>
      <c r="C1009" s="115" t="inlineStr">
        <is>
          <t>SELİM İNŞAAT</t>
        </is>
      </c>
      <c r="D1009" s="115" t="inlineStr">
        <is>
          <t>34 GVZ 268</t>
        </is>
      </c>
      <c r="E1009" s="115" t="inlineStr">
        <is>
          <t>KERİM KARAMAN</t>
        </is>
      </c>
      <c r="F1009" s="65" t="n">
        <v>255107</v>
      </c>
      <c r="G1009" s="152" t="n">
        <v>280</v>
      </c>
      <c r="H1009" s="60" t="n"/>
      <c r="I1009" s="156">
        <f>+I1008+(G1009-H1009)</f>
        <v/>
      </c>
      <c r="J1009" s="60" t="n"/>
      <c r="K1009" s="60" t="n"/>
      <c r="L1009" s="158">
        <f>+H1009*J1009</f>
        <v/>
      </c>
      <c r="M1009" s="159">
        <f>SUM(M1008+K1009-L1009)</f>
        <v/>
      </c>
      <c r="N1009" s="60" t="n"/>
      <c r="O1009" s="60" t="n"/>
      <c r="P1009" s="60" t="n"/>
      <c r="Q1009" s="60" t="n"/>
      <c r="R1009" s="60" t="n"/>
      <c r="S1009" s="60" t="n"/>
      <c r="T1009" s="60" t="n"/>
      <c r="U1009" s="60" t="n"/>
      <c r="V1009" s="60" t="n"/>
      <c r="W1009" s="60" t="n"/>
      <c r="X1009" s="60" t="n"/>
      <c r="Y1009" s="60" t="n"/>
      <c r="Z1009" s="60" t="n"/>
    </row>
    <row r="1010">
      <c r="A1010" s="151" t="n">
        <v>46098</v>
      </c>
      <c r="B1010" s="70" t="n">
        <v>2595</v>
      </c>
      <c r="C1010" s="115" t="inlineStr">
        <is>
          <t>SELİM İNŞAAT</t>
        </is>
      </c>
      <c r="D1010" s="115" t="inlineStr">
        <is>
          <t>34 GER 028</t>
        </is>
      </c>
      <c r="E1010" s="115" t="inlineStr">
        <is>
          <t>ABDÜLKERİM</t>
        </is>
      </c>
      <c r="F1010" s="65" t="n">
        <v>61318</v>
      </c>
      <c r="G1010" s="152" t="n">
        <v>394</v>
      </c>
      <c r="H1010" s="60" t="n"/>
      <c r="I1010" s="156">
        <f>+I1009+(G1010-H1010)</f>
        <v/>
      </c>
      <c r="J1010" s="60" t="n"/>
      <c r="K1010" s="60" t="n"/>
      <c r="L1010" s="158">
        <f>+H1010*J1010</f>
        <v/>
      </c>
      <c r="M1010" s="159">
        <f>SUM(M1009+K1010-L1010)</f>
        <v/>
      </c>
      <c r="N1010" s="60" t="n"/>
      <c r="O1010" s="60" t="n"/>
      <c r="P1010" s="60" t="n"/>
      <c r="Q1010" s="60" t="n"/>
      <c r="R1010" s="60" t="n"/>
      <c r="S1010" s="60" t="n"/>
      <c r="T1010" s="60" t="n"/>
      <c r="U1010" s="60" t="n"/>
      <c r="V1010" s="60" t="n"/>
      <c r="W1010" s="60" t="n"/>
      <c r="X1010" s="60" t="n"/>
      <c r="Y1010" s="60" t="n"/>
      <c r="Z1010" s="60" t="n"/>
    </row>
    <row r="1011">
      <c r="A1011" s="151" t="n">
        <v>46098</v>
      </c>
      <c r="B1011" s="70" t="n">
        <v>3734</v>
      </c>
      <c r="C1011" s="115" t="inlineStr">
        <is>
          <t>SELİM İNŞAAT</t>
        </is>
      </c>
      <c r="D1011" s="115" t="inlineStr">
        <is>
          <t>34 DKL 866</t>
        </is>
      </c>
      <c r="E1011" s="115" t="inlineStr">
        <is>
          <t>SELİMCAN ÖNVER</t>
        </is>
      </c>
      <c r="F1011" s="65" t="n">
        <v>83369</v>
      </c>
      <c r="G1011" s="152" t="n">
        <v>262</v>
      </c>
      <c r="H1011" s="60" t="n"/>
      <c r="I1011" s="156">
        <f>+I1010+(G1011-H1011)</f>
        <v/>
      </c>
      <c r="J1011" s="60" t="n"/>
      <c r="K1011" s="60" t="n"/>
      <c r="L1011" s="158">
        <f>+H1011*J1011</f>
        <v/>
      </c>
      <c r="M1011" s="159">
        <f>SUM(M1010+K1011-L1011)</f>
        <v/>
      </c>
      <c r="N1011" s="60" t="n"/>
      <c r="O1011" s="60" t="n"/>
      <c r="P1011" s="60" t="n"/>
      <c r="Q1011" s="60" t="n"/>
      <c r="R1011" s="60" t="n"/>
      <c r="S1011" s="60" t="n"/>
      <c r="T1011" s="60" t="n"/>
      <c r="U1011" s="60" t="n"/>
      <c r="V1011" s="60" t="n"/>
      <c r="W1011" s="60" t="n"/>
      <c r="X1011" s="60" t="n"/>
      <c r="Y1011" s="60" t="n"/>
      <c r="Z1011" s="60" t="n"/>
    </row>
    <row r="1012">
      <c r="A1012" s="151" t="n">
        <v>46098</v>
      </c>
      <c r="B1012" s="70" t="n">
        <v>2392</v>
      </c>
      <c r="C1012" s="115" t="inlineStr">
        <is>
          <t>SELİM İNŞAAT</t>
        </is>
      </c>
      <c r="D1012" s="115" t="inlineStr">
        <is>
          <t>34 FEM 934</t>
        </is>
      </c>
      <c r="E1012" s="115" t="inlineStr">
        <is>
          <t>DURSUN ALİ GÜREK</t>
        </is>
      </c>
      <c r="F1012" s="65" t="n">
        <v>334323</v>
      </c>
      <c r="G1012" s="152" t="n">
        <v>37</v>
      </c>
      <c r="H1012" s="60" t="n"/>
      <c r="I1012" s="156">
        <f>+I1011+(G1012-H1012)</f>
        <v/>
      </c>
      <c r="J1012" s="60" t="n"/>
      <c r="K1012" s="60" t="n"/>
      <c r="L1012" s="158">
        <f>+H1012*J1012</f>
        <v/>
      </c>
      <c r="M1012" s="159">
        <f>SUM(M1011+K1012-L1012)</f>
        <v/>
      </c>
      <c r="N1012" s="60" t="n"/>
      <c r="O1012" s="60" t="n"/>
      <c r="P1012" s="60" t="n"/>
      <c r="Q1012" s="60" t="n"/>
      <c r="R1012" s="60" t="n"/>
      <c r="S1012" s="60" t="n"/>
      <c r="T1012" s="60" t="n"/>
      <c r="U1012" s="60" t="n"/>
      <c r="V1012" s="60" t="n"/>
      <c r="W1012" s="60" t="n"/>
      <c r="X1012" s="60" t="n"/>
      <c r="Y1012" s="60" t="n"/>
      <c r="Z1012" s="60" t="n"/>
    </row>
    <row r="1013">
      <c r="A1013" s="151" t="n">
        <v>46099</v>
      </c>
      <c r="B1013" s="70" t="n">
        <v>3292</v>
      </c>
      <c r="C1013" s="115" t="inlineStr">
        <is>
          <t>AZGÜN YAPI</t>
        </is>
      </c>
      <c r="D1013" s="115" t="inlineStr">
        <is>
          <t xml:space="preserve">34 DTV 263 </t>
        </is>
      </c>
      <c r="E1013" s="115" t="inlineStr">
        <is>
          <t>DURSUN ALİ GÜREK</t>
        </is>
      </c>
      <c r="F1013" s="65" t="n"/>
      <c r="G1013" s="152" t="n">
        <v>428</v>
      </c>
      <c r="H1013" s="60" t="n"/>
      <c r="I1013" s="156">
        <f>+I1012+(G1013-H1013)</f>
        <v/>
      </c>
      <c r="J1013" s="60" t="n"/>
      <c r="K1013" s="60" t="n"/>
      <c r="L1013" s="158">
        <f>+H1013*J1013</f>
        <v/>
      </c>
      <c r="M1013" s="159">
        <f>SUM(M1012+K1013-L1013)</f>
        <v/>
      </c>
      <c r="N1013" s="60" t="n"/>
      <c r="O1013" s="60" t="n"/>
      <c r="P1013" s="60" t="n"/>
      <c r="Q1013" s="60" t="n"/>
      <c r="R1013" s="60" t="n"/>
      <c r="S1013" s="60" t="n"/>
      <c r="T1013" s="60" t="n"/>
      <c r="U1013" s="60" t="n"/>
      <c r="V1013" s="60" t="n"/>
      <c r="W1013" s="60" t="n"/>
      <c r="X1013" s="60" t="n"/>
      <c r="Y1013" s="60" t="n"/>
      <c r="Z1013" s="60" t="n"/>
    </row>
    <row r="1014">
      <c r="A1014" s="151" t="n">
        <v>46099</v>
      </c>
      <c r="B1014" s="70" t="n">
        <v>817</v>
      </c>
      <c r="C1014" s="115" t="inlineStr">
        <is>
          <t>METİN ERYİĞİT</t>
        </is>
      </c>
      <c r="D1014" s="115" t="inlineStr">
        <is>
          <t>34 GBL 998</t>
        </is>
      </c>
      <c r="E1014" s="115" t="inlineStr">
        <is>
          <t>ALİ KESKİN</t>
        </is>
      </c>
      <c r="F1014" s="65" t="n">
        <v>351154</v>
      </c>
      <c r="G1014" s="152" t="n">
        <v>80</v>
      </c>
      <c r="H1014" s="60" t="n"/>
      <c r="I1014" s="156">
        <f>+I1013+(G1014-H1014)</f>
        <v/>
      </c>
      <c r="J1014" s="60" t="n"/>
      <c r="K1014" s="60" t="n"/>
      <c r="L1014" s="158">
        <f>+H1014*J1014</f>
        <v/>
      </c>
      <c r="M1014" s="159">
        <f>SUM(M1013+K1014-L1014)</f>
        <v/>
      </c>
      <c r="N1014" s="60" t="n"/>
      <c r="O1014" s="60" t="n"/>
      <c r="P1014" s="60" t="n"/>
      <c r="Q1014" s="60" t="n"/>
      <c r="R1014" s="60" t="n"/>
      <c r="S1014" s="60" t="n"/>
      <c r="T1014" s="60" t="n"/>
      <c r="U1014" s="60" t="n"/>
      <c r="V1014" s="60" t="n"/>
      <c r="W1014" s="60" t="n"/>
      <c r="X1014" s="60" t="n"/>
      <c r="Y1014" s="60" t="n"/>
      <c r="Z1014" s="60" t="n"/>
    </row>
    <row r="1015">
      <c r="A1015" s="151" t="n">
        <v>46099</v>
      </c>
      <c r="B1015" s="70" t="n">
        <v>1507</v>
      </c>
      <c r="C1015" s="115" t="inlineStr">
        <is>
          <t>KOZMO</t>
        </is>
      </c>
      <c r="D1015" s="115" t="inlineStr">
        <is>
          <t>SM350</t>
        </is>
      </c>
      <c r="E1015" s="115" t="inlineStr">
        <is>
          <t>BEKİR</t>
        </is>
      </c>
      <c r="F1015" s="65" t="n"/>
      <c r="G1015" s="152" t="n">
        <v>250</v>
      </c>
      <c r="H1015" s="60" t="n"/>
      <c r="I1015" s="156">
        <f>+I1014+(G1015-H1015)</f>
        <v/>
      </c>
      <c r="J1015" s="60" t="n"/>
      <c r="K1015" s="60" t="n"/>
      <c r="L1015" s="158">
        <f>+H1015*J1015</f>
        <v/>
      </c>
      <c r="M1015" s="159">
        <f>SUM(M1014+K1015-L1015)</f>
        <v/>
      </c>
      <c r="N1015" s="60" t="n"/>
      <c r="O1015" s="60" t="n"/>
      <c r="P1015" s="60" t="n"/>
      <c r="Q1015" s="60" t="n"/>
      <c r="R1015" s="60" t="n"/>
      <c r="S1015" s="60" t="n"/>
      <c r="T1015" s="60" t="n"/>
      <c r="U1015" s="60" t="n"/>
      <c r="V1015" s="60" t="n"/>
      <c r="W1015" s="60" t="n"/>
      <c r="X1015" s="60" t="n"/>
      <c r="Y1015" s="60" t="n"/>
      <c r="Z1015" s="60" t="n"/>
    </row>
    <row r="1016">
      <c r="A1016" s="151" t="n">
        <v>46099</v>
      </c>
      <c r="B1016" s="70" t="n">
        <v>1508</v>
      </c>
      <c r="C1016" s="115" t="inlineStr">
        <is>
          <t>MEGA</t>
        </is>
      </c>
      <c r="D1016" s="115" t="inlineStr">
        <is>
          <t>SM350</t>
        </is>
      </c>
      <c r="E1016" s="115" t="inlineStr">
        <is>
          <t>TEVFİK</t>
        </is>
      </c>
      <c r="F1016" s="65" t="n"/>
      <c r="G1016" s="152" t="n">
        <v>367</v>
      </c>
      <c r="H1016" s="60" t="n"/>
      <c r="I1016" s="156">
        <f>+I1015+(G1016-H1016)</f>
        <v/>
      </c>
      <c r="J1016" s="60" t="n"/>
      <c r="K1016" s="60" t="n"/>
      <c r="L1016" s="158">
        <f>+H1016*J1016</f>
        <v/>
      </c>
      <c r="M1016" s="159">
        <f>SUM(M1015+K1016-L1016)</f>
        <v/>
      </c>
      <c r="N1016" s="60" t="n"/>
      <c r="O1016" s="60" t="n"/>
      <c r="P1016" s="60" t="n"/>
      <c r="Q1016" s="60" t="n"/>
      <c r="R1016" s="60" t="n"/>
      <c r="S1016" s="60" t="n"/>
      <c r="T1016" s="60" t="n"/>
      <c r="U1016" s="60" t="n"/>
      <c r="V1016" s="60" t="n"/>
      <c r="W1016" s="60" t="n"/>
      <c r="X1016" s="60" t="n"/>
      <c r="Y1016" s="60" t="n"/>
      <c r="Z1016" s="60" t="n"/>
    </row>
    <row r="1017">
      <c r="A1017" s="151" t="n">
        <v>46099</v>
      </c>
      <c r="B1017" s="70" t="n">
        <v>1509</v>
      </c>
      <c r="C1017" s="115" t="inlineStr">
        <is>
          <t>MEGA</t>
        </is>
      </c>
      <c r="D1017" s="115" t="inlineStr">
        <is>
          <t>KAWAZAKİ</t>
        </is>
      </c>
      <c r="E1017" s="115" t="inlineStr">
        <is>
          <t>RAMAZAN</t>
        </is>
      </c>
      <c r="F1017" s="65" t="n"/>
      <c r="G1017" s="152" t="n">
        <v>192</v>
      </c>
      <c r="H1017" s="60" t="n"/>
      <c r="I1017" s="156">
        <f>+I1016+(G1017-H1017)</f>
        <v/>
      </c>
      <c r="J1017" s="60" t="n"/>
      <c r="K1017" s="60" t="n"/>
      <c r="L1017" s="158">
        <f>+H1017*J1017</f>
        <v/>
      </c>
      <c r="M1017" s="159">
        <f>SUM(M1016+K1017-L1017)</f>
        <v/>
      </c>
      <c r="N1017" s="60" t="n"/>
      <c r="O1017" s="60" t="n"/>
      <c r="P1017" s="60" t="n"/>
      <c r="Q1017" s="60" t="n"/>
      <c r="R1017" s="60" t="n"/>
      <c r="S1017" s="60" t="n"/>
      <c r="T1017" s="60" t="n"/>
      <c r="U1017" s="60" t="n"/>
      <c r="V1017" s="60" t="n"/>
      <c r="W1017" s="60" t="n"/>
      <c r="X1017" s="60" t="n"/>
      <c r="Y1017" s="60" t="n"/>
      <c r="Z1017" s="60" t="n"/>
    </row>
    <row r="1018">
      <c r="A1018" s="151" t="n">
        <v>46099</v>
      </c>
      <c r="B1018" s="70" t="n">
        <v>628</v>
      </c>
      <c r="C1018" s="115" t="inlineStr">
        <is>
          <t>SELİM İNŞAAT</t>
        </is>
      </c>
      <c r="D1018" s="115" t="inlineStr">
        <is>
          <t>34 FVU 827</t>
        </is>
      </c>
      <c r="E1018" s="115" t="inlineStr">
        <is>
          <t>YILMAZ ÇELEBİ</t>
        </is>
      </c>
      <c r="F1018" s="65" t="n"/>
      <c r="G1018" s="65" t="n">
        <v>47</v>
      </c>
      <c r="H1018" s="60" t="n"/>
      <c r="I1018" s="156">
        <f>+I1017+(G1018-H1018)</f>
        <v/>
      </c>
      <c r="J1018" s="60" t="n"/>
      <c r="K1018" s="60" t="n"/>
      <c r="L1018" s="158">
        <f>+H1018*J1018</f>
        <v/>
      </c>
      <c r="M1018" s="159">
        <f>SUM(M1017+K1018-L1018)</f>
        <v/>
      </c>
      <c r="N1018" s="60" t="n"/>
      <c r="O1018" s="60" t="n"/>
      <c r="P1018" s="60" t="n"/>
      <c r="Q1018" s="60" t="n"/>
      <c r="R1018" s="60" t="n"/>
      <c r="S1018" s="60" t="n"/>
      <c r="T1018" s="60" t="n"/>
      <c r="U1018" s="60" t="n"/>
      <c r="V1018" s="60" t="n"/>
      <c r="W1018" s="60" t="n"/>
      <c r="X1018" s="60" t="n"/>
      <c r="Y1018" s="60" t="n"/>
      <c r="Z1018" s="60" t="n"/>
    </row>
    <row r="1019">
      <c r="A1019" s="151" t="n">
        <v>46099</v>
      </c>
      <c r="B1019" s="70" t="n">
        <v>3230</v>
      </c>
      <c r="C1019" s="115" t="inlineStr">
        <is>
          <t>SELİM İNŞAAT</t>
        </is>
      </c>
      <c r="D1019" s="115" t="inlineStr">
        <is>
          <t>34 EGR 736</t>
        </is>
      </c>
      <c r="E1019" s="115" t="inlineStr">
        <is>
          <t>HAKAN ÇAVUŞOĞLU</t>
        </is>
      </c>
      <c r="F1019" s="65" t="n">
        <v>442546</v>
      </c>
      <c r="G1019" s="152" t="n">
        <v>429</v>
      </c>
      <c r="H1019" s="60" t="n"/>
      <c r="I1019" s="156">
        <f>+I1018+(G1019-H1019)</f>
        <v/>
      </c>
      <c r="J1019" s="60" t="n"/>
      <c r="K1019" s="60" t="n"/>
      <c r="L1019" s="158">
        <f>+H1019*J1019</f>
        <v/>
      </c>
      <c r="M1019" s="159">
        <f>SUM(M1018+K1019-L1019)</f>
        <v/>
      </c>
      <c r="N1019" s="60" t="n"/>
      <c r="O1019" s="60" t="n"/>
      <c r="P1019" s="60" t="n"/>
      <c r="Q1019" s="60" t="n"/>
      <c r="R1019" s="60" t="n"/>
      <c r="S1019" s="60" t="n"/>
      <c r="T1019" s="60" t="n"/>
      <c r="U1019" s="60" t="n"/>
      <c r="V1019" s="60" t="n"/>
      <c r="W1019" s="60" t="n"/>
      <c r="X1019" s="60" t="n"/>
      <c r="Y1019" s="60" t="n"/>
      <c r="Z1019" s="60" t="n"/>
    </row>
    <row r="1020">
      <c r="A1020" s="151" t="n">
        <v>46099</v>
      </c>
      <c r="B1020" s="70" t="n">
        <v>4772</v>
      </c>
      <c r="C1020" s="115" t="inlineStr">
        <is>
          <t>SELİM İNŞAAT</t>
        </is>
      </c>
      <c r="D1020" s="115" t="inlineStr">
        <is>
          <t>34 DGP 137</t>
        </is>
      </c>
      <c r="E1020" s="115" t="inlineStr">
        <is>
          <t>MUSTAFA KAYA</t>
        </is>
      </c>
      <c r="F1020" s="65" t="n">
        <v>477771</v>
      </c>
      <c r="G1020" s="152" t="n">
        <v>300</v>
      </c>
      <c r="H1020" s="60" t="n"/>
      <c r="I1020" s="156">
        <f>+I1019+(G1020-H1020)</f>
        <v/>
      </c>
      <c r="J1020" s="60" t="n"/>
      <c r="K1020" s="60" t="n"/>
      <c r="L1020" s="158">
        <f>+H1020*J1020</f>
        <v/>
      </c>
      <c r="M1020" s="159">
        <f>SUM(M1019+K1020-L1020)</f>
        <v/>
      </c>
      <c r="N1020" s="60" t="n"/>
      <c r="O1020" s="60" t="n"/>
      <c r="P1020" s="60" t="n"/>
      <c r="Q1020" s="60" t="n"/>
      <c r="R1020" s="60" t="n"/>
      <c r="S1020" s="60" t="n"/>
      <c r="T1020" s="60" t="n"/>
      <c r="U1020" s="60" t="n"/>
      <c r="V1020" s="60" t="n"/>
      <c r="W1020" s="60" t="n"/>
      <c r="X1020" s="60" t="n"/>
      <c r="Y1020" s="60" t="n"/>
      <c r="Z1020" s="60" t="n"/>
    </row>
    <row r="1021">
      <c r="A1021" s="151" t="n">
        <v>46099</v>
      </c>
      <c r="B1021" s="70" t="n">
        <v>3837</v>
      </c>
      <c r="C1021" s="115" t="inlineStr">
        <is>
          <t>SELİM İNŞAAT</t>
        </is>
      </c>
      <c r="D1021" s="115" t="inlineStr">
        <is>
          <t>34 GYZ 635</t>
        </is>
      </c>
      <c r="E1021" s="115" t="inlineStr">
        <is>
          <t>ADEM DENİZ</t>
        </is>
      </c>
      <c r="F1021" s="65" t="n">
        <v>231048</v>
      </c>
      <c r="G1021" s="152" t="n">
        <v>436</v>
      </c>
      <c r="H1021" s="60" t="n"/>
      <c r="I1021" s="156">
        <f>+I1020+(G1021-H1021)</f>
        <v/>
      </c>
      <c r="J1021" s="60" t="n"/>
      <c r="K1021" s="60" t="n"/>
      <c r="L1021" s="158">
        <f>+H1021*J1021</f>
        <v/>
      </c>
      <c r="M1021" s="159">
        <f>SUM(M1020+K1021-L1021)</f>
        <v/>
      </c>
      <c r="N1021" s="60" t="n"/>
      <c r="O1021" s="60" t="n"/>
      <c r="P1021" s="60" t="n"/>
      <c r="Q1021" s="60" t="n"/>
      <c r="R1021" s="60" t="n"/>
      <c r="S1021" s="60" t="n"/>
      <c r="T1021" s="60" t="n"/>
      <c r="U1021" s="60" t="n"/>
      <c r="V1021" s="60" t="n"/>
      <c r="W1021" s="60" t="n"/>
      <c r="X1021" s="60" t="n"/>
      <c r="Y1021" s="60" t="n"/>
      <c r="Z1021" s="60" t="n"/>
    </row>
    <row r="1022">
      <c r="A1022" s="151" t="n">
        <v>46099</v>
      </c>
      <c r="B1022" s="70" t="n">
        <v>4520</v>
      </c>
      <c r="C1022" s="115" t="inlineStr">
        <is>
          <t>SELİM İNŞAAT</t>
        </is>
      </c>
      <c r="D1022" s="115" t="inlineStr">
        <is>
          <t>34 DTV 352</t>
        </is>
      </c>
      <c r="E1022" s="115" t="inlineStr">
        <is>
          <t>AZİZ ORUÇ</t>
        </is>
      </c>
      <c r="F1022" s="65" t="n">
        <v>479736</v>
      </c>
      <c r="G1022" s="152" t="n">
        <v>349</v>
      </c>
      <c r="H1022" s="60" t="n"/>
      <c r="I1022" s="156">
        <f>+I1021+(G1022-H1022)</f>
        <v/>
      </c>
      <c r="J1022" s="60" t="n"/>
      <c r="K1022" s="60" t="n"/>
      <c r="L1022" s="158">
        <f>+H1022*J1022</f>
        <v/>
      </c>
      <c r="M1022" s="159">
        <f>SUM(M1021+K1022-L1022)</f>
        <v/>
      </c>
      <c r="N1022" s="60" t="n"/>
      <c r="O1022" s="60" t="n"/>
      <c r="P1022" s="60" t="n"/>
      <c r="Q1022" s="60" t="n"/>
      <c r="R1022" s="60" t="n"/>
      <c r="S1022" s="60" t="n"/>
      <c r="T1022" s="60" t="n"/>
      <c r="U1022" s="60" t="n"/>
      <c r="V1022" s="60" t="n"/>
      <c r="W1022" s="60" t="n"/>
      <c r="X1022" s="60" t="n"/>
      <c r="Y1022" s="60" t="n"/>
      <c r="Z1022" s="60" t="n"/>
    </row>
    <row r="1023">
      <c r="A1023" s="151" t="n">
        <v>46099</v>
      </c>
      <c r="B1023" s="70" t="n">
        <v>4980</v>
      </c>
      <c r="C1023" s="115" t="inlineStr">
        <is>
          <t>SELİM İNŞAAT</t>
        </is>
      </c>
      <c r="D1023" s="115" t="inlineStr">
        <is>
          <t>34 GVZ 745</t>
        </is>
      </c>
      <c r="E1023" s="115" t="inlineStr">
        <is>
          <t>MURAT DEMİRBAŞ</t>
        </is>
      </c>
      <c r="F1023" s="65" t="n">
        <v>251855</v>
      </c>
      <c r="G1023" s="152" t="n">
        <v>435</v>
      </c>
      <c r="H1023" s="60" t="n"/>
      <c r="I1023" s="156">
        <f>+I1022+(G1023-H1023)</f>
        <v/>
      </c>
      <c r="J1023" s="60" t="n"/>
      <c r="K1023" s="60" t="n"/>
      <c r="L1023" s="158">
        <f>+H1023*J1023</f>
        <v/>
      </c>
      <c r="M1023" s="159">
        <f>SUM(M1022+K1023-L1023)</f>
        <v/>
      </c>
      <c r="N1023" s="60" t="n"/>
      <c r="O1023" s="60" t="n"/>
      <c r="P1023" s="60" t="n"/>
      <c r="Q1023" s="60" t="n"/>
      <c r="R1023" s="60" t="n"/>
      <c r="S1023" s="60" t="n"/>
      <c r="T1023" s="60" t="n"/>
      <c r="U1023" s="60" t="n"/>
      <c r="V1023" s="60" t="n"/>
      <c r="W1023" s="60" t="n"/>
      <c r="X1023" s="60" t="n"/>
      <c r="Y1023" s="60" t="n"/>
      <c r="Z1023" s="60" t="n"/>
    </row>
    <row r="1024">
      <c r="A1024" s="151" t="n">
        <v>46099</v>
      </c>
      <c r="B1024" s="70" t="n">
        <v>2350</v>
      </c>
      <c r="C1024" s="115" t="inlineStr">
        <is>
          <t>SELİM İNŞAAT</t>
        </is>
      </c>
      <c r="D1024" s="115" t="inlineStr">
        <is>
          <t>34 DP 4161</t>
        </is>
      </c>
      <c r="E1024" s="115" t="inlineStr">
        <is>
          <t>RIFAT KARATAY</t>
        </is>
      </c>
      <c r="F1024" s="65" t="n">
        <v>321770</v>
      </c>
      <c r="G1024" s="152" t="n">
        <v>201</v>
      </c>
      <c r="H1024" s="60" t="n"/>
      <c r="I1024" s="156">
        <f>+I1023+(G1024-H1024)</f>
        <v/>
      </c>
      <c r="J1024" s="60" t="n"/>
      <c r="K1024" s="60" t="n"/>
      <c r="L1024" s="158">
        <f>+H1024*J1024</f>
        <v/>
      </c>
      <c r="M1024" s="159">
        <f>SUM(M1023+K1024-L1024)</f>
        <v/>
      </c>
      <c r="N1024" s="60" t="n"/>
      <c r="O1024" s="60" t="n"/>
      <c r="P1024" s="60" t="n"/>
      <c r="Q1024" s="60" t="n"/>
      <c r="R1024" s="60" t="n"/>
      <c r="S1024" s="60" t="n"/>
      <c r="T1024" s="60" t="n"/>
      <c r="U1024" s="60" t="n"/>
      <c r="V1024" s="60" t="n"/>
      <c r="W1024" s="60" t="n"/>
      <c r="X1024" s="60" t="n"/>
      <c r="Y1024" s="60" t="n"/>
      <c r="Z1024" s="60" t="n"/>
    </row>
    <row r="1025">
      <c r="A1025" s="151" t="n">
        <v>46099</v>
      </c>
      <c r="B1025" s="70" t="n">
        <v>655</v>
      </c>
      <c r="C1025" s="115" t="inlineStr">
        <is>
          <t>SELİM İNŞAAT</t>
        </is>
      </c>
      <c r="D1025" s="115" t="inlineStr">
        <is>
          <t>34 GU 945</t>
        </is>
      </c>
      <c r="E1025" s="115" t="inlineStr">
        <is>
          <t>ÖNER DÜNDAR</t>
        </is>
      </c>
      <c r="F1025" s="65" t="n">
        <v>474057</v>
      </c>
      <c r="G1025" s="152" t="n">
        <v>38</v>
      </c>
      <c r="H1025" s="60" t="n"/>
      <c r="I1025" s="156">
        <f>+I1024+(G1025-H1025)</f>
        <v/>
      </c>
      <c r="J1025" s="60" t="n"/>
      <c r="K1025" s="60" t="n"/>
      <c r="L1025" s="158">
        <f>+H1025*J1025</f>
        <v/>
      </c>
      <c r="M1025" s="159">
        <f>SUM(M1024+K1025-L1025)</f>
        <v/>
      </c>
      <c r="N1025" s="60" t="n"/>
      <c r="O1025" s="60" t="n"/>
      <c r="P1025" s="60" t="n"/>
      <c r="Q1025" s="60" t="n"/>
      <c r="R1025" s="60" t="n"/>
      <c r="S1025" s="60" t="n"/>
      <c r="T1025" s="60" t="n"/>
      <c r="U1025" s="60" t="n"/>
      <c r="V1025" s="60" t="n"/>
      <c r="W1025" s="60" t="n"/>
      <c r="X1025" s="60" t="n"/>
      <c r="Y1025" s="60" t="n"/>
      <c r="Z1025" s="60" t="n"/>
    </row>
    <row r="1026">
      <c r="A1026" s="151" t="n">
        <v>46099</v>
      </c>
      <c r="B1026" s="70" t="n">
        <v>551</v>
      </c>
      <c r="C1026" s="115" t="inlineStr">
        <is>
          <t>SELİM İNŞAAT</t>
        </is>
      </c>
      <c r="D1026" s="115" t="inlineStr">
        <is>
          <t>34 JGR 15</t>
        </is>
      </c>
      <c r="E1026" s="115" t="inlineStr">
        <is>
          <t>ÖNER DÜNDAR</t>
        </is>
      </c>
      <c r="F1026" s="65" t="n">
        <v>331820</v>
      </c>
      <c r="G1026" s="152" t="n">
        <v>67</v>
      </c>
      <c r="H1026" s="60" t="n"/>
      <c r="I1026" s="156">
        <f>+I1025+(G1026-H1026)</f>
        <v/>
      </c>
      <c r="J1026" s="60" t="n"/>
      <c r="K1026" s="60" t="n"/>
      <c r="L1026" s="158">
        <f>+H1026*J1026</f>
        <v/>
      </c>
      <c r="M1026" s="159">
        <f>SUM(M1025+K1026-L1026)</f>
        <v/>
      </c>
      <c r="N1026" s="60" t="n"/>
      <c r="O1026" s="60" t="n"/>
      <c r="P1026" s="60" t="n"/>
      <c r="Q1026" s="60" t="n"/>
      <c r="R1026" s="60" t="n"/>
      <c r="S1026" s="60" t="n"/>
      <c r="T1026" s="60" t="n"/>
      <c r="U1026" s="60" t="n"/>
      <c r="V1026" s="60" t="n"/>
      <c r="W1026" s="60" t="n"/>
      <c r="X1026" s="60" t="n"/>
      <c r="Y1026" s="60" t="n"/>
      <c r="Z1026" s="60" t="n"/>
    </row>
    <row r="1027">
      <c r="A1027" s="151" t="n">
        <v>46099</v>
      </c>
      <c r="B1027" s="70" t="n">
        <v>1634</v>
      </c>
      <c r="C1027" s="115" t="inlineStr">
        <is>
          <t>SELİM İNŞAAT</t>
        </is>
      </c>
      <c r="D1027" s="115" t="inlineStr">
        <is>
          <t>34 VF 2620</t>
        </is>
      </c>
      <c r="E1027" s="115" t="inlineStr">
        <is>
          <t>RECEP SELİM</t>
        </is>
      </c>
      <c r="F1027" s="65" t="n">
        <v>203239</v>
      </c>
      <c r="G1027" s="152" t="n">
        <v>58</v>
      </c>
      <c r="H1027" s="60" t="n"/>
      <c r="I1027" s="156">
        <f>+I1026+(G1027-H1027)</f>
        <v/>
      </c>
      <c r="J1027" s="60" t="n"/>
      <c r="K1027" s="60" t="n"/>
      <c r="L1027" s="158">
        <f>+H1027*J1027</f>
        <v/>
      </c>
      <c r="M1027" s="159">
        <f>SUM(M1026+K1027-L1027)</f>
        <v/>
      </c>
      <c r="N1027" s="60" t="n"/>
      <c r="O1027" s="60" t="n"/>
      <c r="P1027" s="60" t="n"/>
      <c r="Q1027" s="60" t="n"/>
      <c r="R1027" s="60" t="n"/>
      <c r="S1027" s="60" t="n"/>
      <c r="T1027" s="60" t="n"/>
      <c r="U1027" s="60" t="n"/>
      <c r="V1027" s="60" t="n"/>
      <c r="W1027" s="60" t="n"/>
      <c r="X1027" s="60" t="n"/>
      <c r="Y1027" s="60" t="n"/>
      <c r="Z1027" s="60" t="n"/>
    </row>
    <row r="1028">
      <c r="A1028" s="151" t="n">
        <v>46101</v>
      </c>
      <c r="B1028" s="70" t="n">
        <v>759</v>
      </c>
      <c r="C1028" s="115" t="inlineStr">
        <is>
          <t>METİN ERYİĞİT</t>
        </is>
      </c>
      <c r="D1028" s="115" t="inlineStr">
        <is>
          <t>34 EGR 814</t>
        </is>
      </c>
      <c r="E1028" s="115" t="inlineStr">
        <is>
          <t>ZİYA İNCE</t>
        </is>
      </c>
      <c r="F1028" s="65" t="n">
        <v>611925</v>
      </c>
      <c r="G1028" s="152" t="n">
        <v>375</v>
      </c>
      <c r="H1028" s="60" t="n"/>
      <c r="I1028" s="156">
        <f>+I1027+(G1028-H1028)</f>
        <v/>
      </c>
      <c r="J1028" s="60" t="n"/>
      <c r="K1028" s="60" t="n"/>
      <c r="L1028" s="158">
        <f>+H1028*J1028</f>
        <v/>
      </c>
      <c r="M1028" s="159">
        <f>SUM(M1027+K1028-L1028)</f>
        <v/>
      </c>
      <c r="N1028" s="60" t="n"/>
      <c r="O1028" s="60" t="n"/>
      <c r="P1028" s="60" t="n"/>
      <c r="Q1028" s="60" t="n"/>
      <c r="R1028" s="60" t="n"/>
      <c r="S1028" s="60" t="n"/>
      <c r="T1028" s="60" t="n"/>
      <c r="U1028" s="60" t="n"/>
      <c r="V1028" s="60" t="n"/>
      <c r="W1028" s="60" t="n"/>
      <c r="X1028" s="60" t="n"/>
      <c r="Y1028" s="60" t="n"/>
      <c r="Z1028" s="60" t="n"/>
    </row>
    <row r="1029">
      <c r="A1029" s="151" t="n">
        <v>46101</v>
      </c>
      <c r="B1029" s="70" t="n">
        <v>2393</v>
      </c>
      <c r="C1029" s="115" t="inlineStr">
        <is>
          <t>SELİM İNŞAAT</t>
        </is>
      </c>
      <c r="D1029" s="115" t="inlineStr">
        <is>
          <t>34 FEM 934</t>
        </is>
      </c>
      <c r="E1029" s="115" t="inlineStr">
        <is>
          <t>DURSUN ALİ GÜREK</t>
        </is>
      </c>
      <c r="F1029" s="65" t="n">
        <v>334635</v>
      </c>
      <c r="G1029" s="152" t="n">
        <v>63</v>
      </c>
      <c r="H1029" s="60" t="n"/>
      <c r="I1029" s="156">
        <f>+I1028+(G1029-H1029)</f>
        <v/>
      </c>
      <c r="J1029" s="60" t="n"/>
      <c r="K1029" s="60" t="n"/>
      <c r="L1029" s="158">
        <f>+H1029*J1029</f>
        <v/>
      </c>
      <c r="M1029" s="159">
        <f>SUM(M1028+K1029-L1029)</f>
        <v/>
      </c>
      <c r="N1029" s="60" t="n"/>
      <c r="O1029" s="60" t="n"/>
      <c r="P1029" s="60" t="n"/>
      <c r="Q1029" s="60" t="n"/>
      <c r="R1029" s="60" t="n"/>
      <c r="S1029" s="60" t="n"/>
      <c r="T1029" s="60" t="n"/>
      <c r="U1029" s="60" t="n"/>
      <c r="V1029" s="60" t="n"/>
      <c r="W1029" s="60" t="n"/>
      <c r="X1029" s="60" t="n"/>
      <c r="Y1029" s="60" t="n"/>
      <c r="Z1029" s="60" t="n"/>
    </row>
    <row r="1030">
      <c r="A1030" s="151" t="n">
        <v>46104</v>
      </c>
      <c r="B1030" s="70" t="n">
        <v>2549</v>
      </c>
      <c r="C1030" s="115" t="inlineStr">
        <is>
          <t>AZGÜN YAPI</t>
        </is>
      </c>
      <c r="D1030" s="115" t="inlineStr">
        <is>
          <t>34 MKT 593</t>
        </is>
      </c>
      <c r="E1030" s="115" t="inlineStr">
        <is>
          <t>TURGUT ÇATAL</t>
        </is>
      </c>
      <c r="F1030" s="65" t="n"/>
      <c r="G1030" s="152" t="n">
        <v>448</v>
      </c>
      <c r="H1030" s="60" t="n"/>
      <c r="I1030" s="156">
        <f>+I1029+(G1030-H1030)</f>
        <v/>
      </c>
      <c r="J1030" s="60" t="n"/>
      <c r="K1030" s="60" t="n"/>
      <c r="L1030" s="158">
        <f>+H1030*J1030</f>
        <v/>
      </c>
      <c r="M1030" s="159">
        <f>SUM(M1029+K1030-L1030)</f>
        <v/>
      </c>
      <c r="N1030" s="60" t="n"/>
      <c r="O1030" s="60" t="n"/>
      <c r="P1030" s="60" t="n"/>
      <c r="Q1030" s="60" t="n"/>
      <c r="R1030" s="60" t="n"/>
      <c r="S1030" s="60" t="n"/>
      <c r="T1030" s="60" t="n"/>
      <c r="U1030" s="60" t="n"/>
      <c r="V1030" s="60" t="n"/>
      <c r="W1030" s="60" t="n"/>
      <c r="X1030" s="60" t="n"/>
      <c r="Y1030" s="60" t="n"/>
      <c r="Z1030" s="60" t="n"/>
    </row>
    <row r="1031">
      <c r="A1031" s="151" t="n">
        <v>46104</v>
      </c>
      <c r="B1031" s="70" t="n">
        <v>720</v>
      </c>
      <c r="C1031" s="115" t="inlineStr">
        <is>
          <t>METİN ERYİĞİT</t>
        </is>
      </c>
      <c r="D1031" s="115" t="inlineStr">
        <is>
          <t>34 EGS 013</t>
        </is>
      </c>
      <c r="E1031" s="115" t="inlineStr">
        <is>
          <t>UĞUR DUMAN</t>
        </is>
      </c>
      <c r="F1031" s="65" t="n">
        <v>567806</v>
      </c>
      <c r="G1031" s="152" t="n">
        <v>457</v>
      </c>
      <c r="H1031" s="60" t="n"/>
      <c r="I1031" s="156">
        <f>+I1030+(G1031-H1031)</f>
        <v/>
      </c>
      <c r="J1031" s="60" t="n"/>
      <c r="K1031" s="60" t="n"/>
      <c r="L1031" s="158">
        <f>+H1031*J1031</f>
        <v/>
      </c>
      <c r="M1031" s="159">
        <f>SUM(M1030+K1031-L1031)</f>
        <v/>
      </c>
      <c r="N1031" s="60" t="n"/>
      <c r="O1031" s="60" t="n"/>
      <c r="P1031" s="60" t="n"/>
      <c r="Q1031" s="60" t="n"/>
      <c r="R1031" s="60" t="n"/>
      <c r="S1031" s="60" t="n"/>
      <c r="T1031" s="60" t="n"/>
      <c r="U1031" s="60" t="n"/>
      <c r="V1031" s="60" t="n"/>
      <c r="W1031" s="60" t="n"/>
      <c r="X1031" s="60" t="n"/>
      <c r="Y1031" s="60" t="n"/>
      <c r="Z1031" s="60" t="n"/>
    </row>
    <row r="1032">
      <c r="A1032" s="151" t="n">
        <v>46104</v>
      </c>
      <c r="B1032" s="70" t="n">
        <v>818</v>
      </c>
      <c r="C1032" s="115" t="inlineStr">
        <is>
          <t>METİN ERYİĞİT</t>
        </is>
      </c>
      <c r="D1032" s="115" t="inlineStr">
        <is>
          <t>34 GBL 998</t>
        </is>
      </c>
      <c r="E1032" s="115" t="inlineStr">
        <is>
          <t>ALİ KESKİN</t>
        </is>
      </c>
      <c r="F1032" s="65" t="n">
        <v>351159</v>
      </c>
      <c r="G1032" s="152" t="n">
        <v>393</v>
      </c>
      <c r="H1032" s="60" t="n"/>
      <c r="I1032" s="156">
        <f>+I1031+(G1032-H1032)</f>
        <v/>
      </c>
      <c r="J1032" s="60" t="n"/>
      <c r="K1032" s="60" t="n"/>
      <c r="L1032" s="158">
        <f>+H1032*J1032</f>
        <v/>
      </c>
      <c r="M1032" s="159">
        <f>SUM(M1031+K1032-L1032)</f>
        <v/>
      </c>
      <c r="N1032" s="60" t="n"/>
      <c r="O1032" s="60" t="n"/>
      <c r="P1032" s="60" t="n"/>
      <c r="Q1032" s="60" t="n"/>
      <c r="R1032" s="60" t="n"/>
      <c r="S1032" s="60" t="n"/>
      <c r="T1032" s="60" t="n"/>
      <c r="U1032" s="60" t="n"/>
      <c r="V1032" s="60" t="n"/>
      <c r="W1032" s="60" t="n"/>
      <c r="X1032" s="60" t="n"/>
      <c r="Y1032" s="60" t="n"/>
      <c r="Z1032" s="60" t="n"/>
    </row>
    <row r="1033">
      <c r="A1033" s="151" t="n">
        <v>46104</v>
      </c>
      <c r="B1033" s="70" t="n">
        <v>2394</v>
      </c>
      <c r="C1033" s="115" t="inlineStr">
        <is>
          <t>SELİM İNŞAAT</t>
        </is>
      </c>
      <c r="D1033" s="115" t="inlineStr">
        <is>
          <t>34 FEM 934</t>
        </is>
      </c>
      <c r="E1033" s="115" t="inlineStr">
        <is>
          <t>DURSUN ALİ GÜREK</t>
        </is>
      </c>
      <c r="F1033" s="65" t="n">
        <v>334912</v>
      </c>
      <c r="G1033" s="152" t="n">
        <v>61</v>
      </c>
      <c r="H1033" s="60" t="n"/>
      <c r="I1033" s="156">
        <f>+I1032+(G1033-H1033)</f>
        <v/>
      </c>
      <c r="J1033" s="60" t="n"/>
      <c r="K1033" s="60" t="n"/>
      <c r="L1033" s="158">
        <f>+H1033*J1033</f>
        <v/>
      </c>
      <c r="M1033" s="159">
        <f>SUM(M1032+K1033-L1033)</f>
        <v/>
      </c>
      <c r="N1033" s="60" t="n"/>
      <c r="O1033" s="60" t="n"/>
      <c r="P1033" s="60" t="n"/>
      <c r="Q1033" s="60" t="n"/>
      <c r="R1033" s="60" t="n"/>
      <c r="S1033" s="60" t="n"/>
      <c r="T1033" s="60" t="n"/>
      <c r="U1033" s="60" t="n"/>
      <c r="V1033" s="60" t="n"/>
      <c r="W1033" s="60" t="n"/>
      <c r="X1033" s="60" t="n"/>
      <c r="Y1033" s="60" t="n"/>
      <c r="Z1033" s="60" t="n"/>
    </row>
    <row r="1034">
      <c r="A1034" s="151" t="n">
        <v>46105</v>
      </c>
      <c r="B1034" s="70" t="n">
        <v>1397</v>
      </c>
      <c r="C1034" s="115" t="inlineStr">
        <is>
          <t>AZGÜN YAPI</t>
        </is>
      </c>
      <c r="D1034" s="115" t="inlineStr">
        <is>
          <t>34 MKT 859</t>
        </is>
      </c>
      <c r="E1034" s="115" t="inlineStr">
        <is>
          <t>İRFAN DAĞLAR</t>
        </is>
      </c>
      <c r="F1034" s="65" t="n"/>
      <c r="G1034" s="152" t="n">
        <v>705</v>
      </c>
      <c r="H1034" s="60" t="n"/>
      <c r="I1034" s="156">
        <f>+I1033+(G1034-H1034)</f>
        <v/>
      </c>
      <c r="J1034" s="60" t="n"/>
      <c r="K1034" s="60" t="n"/>
      <c r="L1034" s="158">
        <f>+H1034*J1034</f>
        <v/>
      </c>
      <c r="M1034" s="159">
        <f>SUM(M1033+K1034-L1034)</f>
        <v/>
      </c>
      <c r="N1034" s="60" t="n"/>
      <c r="O1034" s="60" t="n"/>
      <c r="P1034" s="60" t="n"/>
      <c r="Q1034" s="60" t="n"/>
      <c r="R1034" s="60" t="n"/>
      <c r="S1034" s="60" t="n"/>
      <c r="T1034" s="60" t="n"/>
      <c r="U1034" s="60" t="n"/>
      <c r="V1034" s="60" t="n"/>
      <c r="W1034" s="60" t="n"/>
      <c r="X1034" s="60" t="n"/>
      <c r="Y1034" s="60" t="n"/>
      <c r="Z1034" s="60" t="n"/>
    </row>
    <row r="1035">
      <c r="A1035" s="151" t="n">
        <v>46105</v>
      </c>
      <c r="B1035" s="70" t="n">
        <v>3293</v>
      </c>
      <c r="C1035" s="115" t="inlineStr">
        <is>
          <t>AZGÜN YAPI</t>
        </is>
      </c>
      <c r="D1035" s="115" t="inlineStr">
        <is>
          <t xml:space="preserve">34 DTV 263 </t>
        </is>
      </c>
      <c r="E1035" s="115" t="inlineStr">
        <is>
          <t>DURSUN ALİ GÜREK</t>
        </is>
      </c>
      <c r="F1035" s="65" t="n"/>
      <c r="G1035" s="152" t="n">
        <v>255</v>
      </c>
      <c r="H1035" s="60" t="n"/>
      <c r="I1035" s="156">
        <f>+I1034+(G1035-H1035)</f>
        <v/>
      </c>
      <c r="J1035" s="60" t="n"/>
      <c r="K1035" s="60" t="n"/>
      <c r="L1035" s="158">
        <f>+H1035*J1035</f>
        <v/>
      </c>
      <c r="M1035" s="159">
        <f>SUM(M1034+K1035-L1035)</f>
        <v/>
      </c>
      <c r="N1035" s="60" t="n"/>
      <c r="O1035" s="60" t="n"/>
      <c r="P1035" s="60" t="n"/>
      <c r="Q1035" s="60" t="n"/>
      <c r="R1035" s="60" t="n"/>
      <c r="S1035" s="60" t="n"/>
      <c r="T1035" s="60" t="n"/>
      <c r="U1035" s="60" t="n"/>
      <c r="V1035" s="60" t="n"/>
      <c r="W1035" s="60" t="n"/>
      <c r="X1035" s="60" t="n"/>
      <c r="Y1035" s="60" t="n"/>
      <c r="Z1035" s="60" t="n"/>
    </row>
    <row r="1036">
      <c r="A1036" s="151" t="n">
        <v>46105</v>
      </c>
      <c r="B1036" s="70" t="n">
        <v>2550</v>
      </c>
      <c r="C1036" s="115" t="inlineStr">
        <is>
          <t>AZGÜN YAPI</t>
        </is>
      </c>
      <c r="D1036" s="115" t="inlineStr">
        <is>
          <t>34 MKT 593</t>
        </is>
      </c>
      <c r="E1036" s="115" t="inlineStr">
        <is>
          <t>TURGUT ÇATAL</t>
        </is>
      </c>
      <c r="F1036" s="65" t="n"/>
      <c r="G1036" s="152" t="n">
        <v>356</v>
      </c>
      <c r="H1036" s="60" t="n"/>
      <c r="I1036" s="156">
        <f>+I1035+(G1036-H1036)</f>
        <v/>
      </c>
      <c r="J1036" s="60" t="n"/>
      <c r="K1036" s="60" t="n"/>
      <c r="L1036" s="158">
        <f>+H1036*J1036</f>
        <v/>
      </c>
      <c r="M1036" s="159">
        <f>SUM(M1035+K1036-L1036)</f>
        <v/>
      </c>
      <c r="N1036" s="60" t="n"/>
      <c r="O1036" s="60" t="n"/>
      <c r="P1036" s="60" t="n"/>
      <c r="Q1036" s="60" t="n"/>
      <c r="R1036" s="60" t="n"/>
      <c r="S1036" s="60" t="n"/>
      <c r="T1036" s="60" t="n"/>
      <c r="U1036" s="60" t="n"/>
      <c r="V1036" s="60" t="n"/>
      <c r="W1036" s="60" t="n"/>
      <c r="X1036" s="60" t="n"/>
      <c r="Y1036" s="60" t="n"/>
      <c r="Z1036" s="60" t="n"/>
    </row>
    <row r="1037">
      <c r="A1037" s="151" t="n">
        <v>46105</v>
      </c>
      <c r="B1037" s="70" t="n">
        <v>760</v>
      </c>
      <c r="C1037" s="115" t="inlineStr">
        <is>
          <t>METİN ERYİĞİT</t>
        </is>
      </c>
      <c r="D1037" s="115" t="inlineStr">
        <is>
          <t>34 EGR 814</t>
        </is>
      </c>
      <c r="E1037" s="115" t="inlineStr">
        <is>
          <t>ZİYA İNCE</t>
        </is>
      </c>
      <c r="F1037" s="65" t="n">
        <v>613025</v>
      </c>
      <c r="G1037" s="152" t="n">
        <v>486</v>
      </c>
      <c r="H1037" s="60" t="n"/>
      <c r="I1037" s="156">
        <f>+I1036+(G1037-H1037)</f>
        <v/>
      </c>
      <c r="J1037" s="60" t="n"/>
      <c r="K1037" s="60" t="n"/>
      <c r="L1037" s="158">
        <f>+H1037*J1037</f>
        <v/>
      </c>
      <c r="M1037" s="159">
        <f>SUM(M1036+K1037-L1037)</f>
        <v/>
      </c>
      <c r="N1037" s="60" t="n"/>
      <c r="O1037" s="60" t="n"/>
      <c r="P1037" s="60" t="n"/>
      <c r="Q1037" s="60" t="n"/>
      <c r="R1037" s="60" t="n"/>
      <c r="S1037" s="60" t="n"/>
      <c r="T1037" s="60" t="n"/>
      <c r="U1037" s="60" t="n"/>
      <c r="V1037" s="60" t="n"/>
      <c r="W1037" s="60" t="n"/>
      <c r="X1037" s="60" t="n"/>
      <c r="Y1037" s="60" t="n"/>
      <c r="Z1037" s="60" t="n"/>
    </row>
    <row r="1038">
      <c r="A1038" s="151" t="n">
        <v>46105</v>
      </c>
      <c r="B1038" s="70" t="n">
        <v>721</v>
      </c>
      <c r="C1038" s="115" t="inlineStr">
        <is>
          <t>METİN ERYİĞİT</t>
        </is>
      </c>
      <c r="D1038" s="115" t="inlineStr">
        <is>
          <t>34 EGS 013</t>
        </is>
      </c>
      <c r="E1038" s="115" t="inlineStr">
        <is>
          <t>UĞUR DUMAN</t>
        </is>
      </c>
      <c r="F1038" s="65" t="n">
        <v>568839</v>
      </c>
      <c r="G1038" s="152" t="n">
        <v>522</v>
      </c>
      <c r="H1038" s="60" t="n"/>
      <c r="I1038" s="156">
        <f>+I1037+(G1038-H1038)</f>
        <v/>
      </c>
      <c r="J1038" s="60" t="n"/>
      <c r="K1038" s="60" t="n"/>
      <c r="L1038" s="158">
        <f>+H1038*J1038</f>
        <v/>
      </c>
      <c r="M1038" s="159">
        <f>SUM(M1037+K1038-L1038)</f>
        <v/>
      </c>
      <c r="N1038" s="60" t="n"/>
      <c r="O1038" s="60" t="n"/>
      <c r="P1038" s="60" t="n"/>
      <c r="Q1038" s="60" t="n"/>
      <c r="R1038" s="60" t="n"/>
      <c r="S1038" s="60" t="n"/>
      <c r="T1038" s="60" t="n"/>
      <c r="U1038" s="60" t="n"/>
      <c r="V1038" s="60" t="n"/>
      <c r="W1038" s="60" t="n"/>
      <c r="X1038" s="60" t="n"/>
      <c r="Y1038" s="60" t="n"/>
      <c r="Z1038" s="60" t="n"/>
    </row>
    <row r="1039">
      <c r="A1039" s="151" t="n">
        <v>46105</v>
      </c>
      <c r="B1039" s="70" t="n">
        <v>819</v>
      </c>
      <c r="C1039" s="115" t="inlineStr">
        <is>
          <t>METİN ERYİĞİT</t>
        </is>
      </c>
      <c r="D1039" s="115" t="inlineStr">
        <is>
          <t>34 GBL 998</t>
        </is>
      </c>
      <c r="E1039" s="115" t="inlineStr">
        <is>
          <t>ALİ KESKİN</t>
        </is>
      </c>
      <c r="F1039" s="65" t="n">
        <v>352249</v>
      </c>
      <c r="G1039" s="152" t="n">
        <v>463</v>
      </c>
      <c r="H1039" s="60" t="n"/>
      <c r="I1039" s="156">
        <f>+I1038+(G1039-H1039)</f>
        <v/>
      </c>
      <c r="J1039" s="60" t="n"/>
      <c r="K1039" s="60" t="n"/>
      <c r="L1039" s="158">
        <f>+H1039*J1039</f>
        <v/>
      </c>
      <c r="M1039" s="159">
        <f>SUM(M1038+K1039-L1039)</f>
        <v/>
      </c>
      <c r="N1039" s="60" t="n"/>
      <c r="O1039" s="60" t="n"/>
      <c r="P1039" s="60" t="n"/>
      <c r="Q1039" s="60" t="n"/>
      <c r="R1039" s="60" t="n"/>
      <c r="S1039" s="60" t="n"/>
      <c r="T1039" s="60" t="n"/>
      <c r="U1039" s="60" t="n"/>
      <c r="V1039" s="60" t="n"/>
      <c r="W1039" s="60" t="n"/>
      <c r="X1039" s="60" t="n"/>
      <c r="Y1039" s="60" t="n"/>
      <c r="Z1039" s="60" t="n"/>
    </row>
    <row r="1040">
      <c r="A1040" s="151" t="n">
        <v>46105</v>
      </c>
      <c r="B1040" s="70" t="n">
        <v>632</v>
      </c>
      <c r="C1040" s="115" t="inlineStr">
        <is>
          <t>SELİM İNŞAAT</t>
        </is>
      </c>
      <c r="D1040" s="115" t="inlineStr">
        <is>
          <t>34 BUR 461</t>
        </is>
      </c>
      <c r="E1040" s="115" t="inlineStr">
        <is>
          <t xml:space="preserve">MUSTAFA ALBAYRAK </t>
        </is>
      </c>
      <c r="F1040" s="65" t="n"/>
      <c r="G1040" s="152" t="n">
        <v>67</v>
      </c>
      <c r="H1040" s="60" t="n"/>
      <c r="I1040" s="156">
        <f>+I1039+(G1040-H1040)</f>
        <v/>
      </c>
      <c r="J1040" s="60" t="n"/>
      <c r="K1040" s="60" t="n"/>
      <c r="L1040" s="158">
        <f>+H1040*J1040</f>
        <v/>
      </c>
      <c r="M1040" s="159">
        <f>SUM(M1039+K1040-L1040)</f>
        <v/>
      </c>
      <c r="N1040" s="60" t="n"/>
      <c r="O1040" s="60" t="n"/>
      <c r="P1040" s="60" t="n"/>
      <c r="Q1040" s="60" t="n"/>
      <c r="R1040" s="60" t="n"/>
      <c r="S1040" s="60" t="n"/>
      <c r="T1040" s="60" t="n"/>
      <c r="U1040" s="60" t="n"/>
      <c r="V1040" s="60" t="n"/>
      <c r="W1040" s="60" t="n"/>
      <c r="X1040" s="60" t="n"/>
      <c r="Y1040" s="60" t="n"/>
      <c r="Z1040" s="60" t="n"/>
    </row>
    <row r="1041">
      <c r="A1041" s="151" t="n">
        <v>46106</v>
      </c>
      <c r="B1041" s="70" t="n">
        <v>1510</v>
      </c>
      <c r="C1041" s="115" t="inlineStr">
        <is>
          <t>MEGA</t>
        </is>
      </c>
      <c r="D1041" s="115" t="inlineStr">
        <is>
          <t>SM350</t>
        </is>
      </c>
      <c r="E1041" s="115" t="inlineStr">
        <is>
          <t>TEVFİK</t>
        </is>
      </c>
      <c r="F1041" s="65" t="n"/>
      <c r="G1041" s="152" t="n">
        <v>354</v>
      </c>
      <c r="H1041" s="60" t="n"/>
      <c r="I1041" s="156">
        <f>+I1040+(G1041-H1041)</f>
        <v/>
      </c>
      <c r="J1041" s="60" t="n"/>
      <c r="K1041" s="60" t="n"/>
      <c r="L1041" s="158">
        <f>+H1041*J1041</f>
        <v/>
      </c>
      <c r="M1041" s="159">
        <f>SUM(M1040+K1041-L1041)</f>
        <v/>
      </c>
      <c r="N1041" s="60" t="n"/>
      <c r="O1041" s="60" t="n"/>
      <c r="P1041" s="60" t="n"/>
      <c r="Q1041" s="60" t="n"/>
      <c r="R1041" s="60" t="n"/>
      <c r="S1041" s="60" t="n"/>
      <c r="T1041" s="60" t="n"/>
      <c r="U1041" s="60" t="n"/>
      <c r="V1041" s="60" t="n"/>
      <c r="W1041" s="60" t="n"/>
      <c r="X1041" s="60" t="n"/>
      <c r="Y1041" s="60" t="n"/>
      <c r="Z1041" s="60" t="n"/>
    </row>
    <row r="1042">
      <c r="A1042" s="151" t="n">
        <v>46106</v>
      </c>
      <c r="B1042" s="70" t="n">
        <v>1511</v>
      </c>
      <c r="C1042" s="115" t="inlineStr">
        <is>
          <t>EVKUR</t>
        </is>
      </c>
      <c r="D1042" s="115" t="inlineStr">
        <is>
          <t>KİRALIK KATO</t>
        </is>
      </c>
      <c r="E1042" s="115" t="inlineStr">
        <is>
          <t>GÜNEŞ</t>
        </is>
      </c>
      <c r="F1042" s="65" t="n"/>
      <c r="G1042" s="152" t="n">
        <v>69</v>
      </c>
      <c r="H1042" s="60" t="n"/>
      <c r="I1042" s="156">
        <f>+I1041+(G1042-H1042)</f>
        <v/>
      </c>
      <c r="J1042" s="60" t="n"/>
      <c r="K1042" s="60" t="n"/>
      <c r="L1042" s="158">
        <f>+H1042*J1042</f>
        <v/>
      </c>
      <c r="M1042" s="159">
        <f>SUM(M1041+K1042-L1042)</f>
        <v/>
      </c>
      <c r="N1042" s="60" t="n"/>
      <c r="O1042" s="60" t="n"/>
      <c r="P1042" s="60" t="n"/>
      <c r="Q1042" s="60" t="n"/>
      <c r="R1042" s="60" t="n"/>
      <c r="S1042" s="60" t="n"/>
      <c r="T1042" s="60" t="n"/>
      <c r="U1042" s="60" t="n"/>
      <c r="V1042" s="60" t="n"/>
      <c r="W1042" s="60" t="n"/>
      <c r="X1042" s="60" t="n"/>
      <c r="Y1042" s="60" t="n"/>
      <c r="Z1042" s="60" t="n"/>
    </row>
    <row r="1043">
      <c r="A1043" s="151" t="n">
        <v>46106</v>
      </c>
      <c r="B1043" s="70" t="n">
        <v>1512</v>
      </c>
      <c r="C1043" s="115" t="inlineStr">
        <is>
          <t>DELİKLİKAYA</t>
        </is>
      </c>
      <c r="D1043" s="115" t="inlineStr">
        <is>
          <t>TORU</t>
        </is>
      </c>
      <c r="E1043" s="115" t="inlineStr">
        <is>
          <t>BURAK ŞENDOĞAN</t>
        </is>
      </c>
      <c r="F1043" s="65" t="n"/>
      <c r="G1043" s="152" t="n">
        <v>600</v>
      </c>
      <c r="H1043" s="60" t="n"/>
      <c r="I1043" s="156">
        <f>+I1042+(G1043-H1043)</f>
        <v/>
      </c>
      <c r="J1043" s="60" t="n"/>
      <c r="K1043" s="60" t="n"/>
      <c r="L1043" s="158">
        <f>+H1043*J1043</f>
        <v/>
      </c>
      <c r="M1043" s="159">
        <f>SUM(M1042+K1043-L1043)</f>
        <v/>
      </c>
      <c r="N1043" s="60" t="n"/>
      <c r="O1043" s="60" t="n"/>
      <c r="P1043" s="60" t="n"/>
      <c r="Q1043" s="60" t="n"/>
      <c r="R1043" s="60" t="n"/>
      <c r="S1043" s="60" t="n"/>
      <c r="T1043" s="60" t="n"/>
      <c r="U1043" s="60" t="n"/>
      <c r="V1043" s="60" t="n"/>
      <c r="W1043" s="60" t="n"/>
      <c r="X1043" s="60" t="n"/>
      <c r="Y1043" s="60" t="n"/>
      <c r="Z1043" s="60" t="n"/>
    </row>
    <row r="1044">
      <c r="A1044" s="151" t="n">
        <v>46106</v>
      </c>
      <c r="B1044" s="70" t="n">
        <v>4304</v>
      </c>
      <c r="C1044" s="115" t="inlineStr">
        <is>
          <t>SELİM İNŞAAT</t>
        </is>
      </c>
      <c r="D1044" s="115" t="inlineStr">
        <is>
          <t>34 DTV 447</t>
        </is>
      </c>
      <c r="E1044" s="115" t="inlineStr">
        <is>
          <t>ADNAN KOÇ</t>
        </is>
      </c>
      <c r="F1044" s="65" t="n">
        <v>462000</v>
      </c>
      <c r="G1044" s="152" t="n">
        <v>558</v>
      </c>
      <c r="H1044" s="60" t="n"/>
      <c r="I1044" s="156">
        <f>+I1043+(G1044-H1044)</f>
        <v/>
      </c>
      <c r="J1044" s="60" t="n"/>
      <c r="K1044" s="60" t="n"/>
      <c r="L1044" s="158">
        <f>+H1044*J1044</f>
        <v/>
      </c>
      <c r="M1044" s="159">
        <f>SUM(M1043+K1044-L1044)</f>
        <v/>
      </c>
      <c r="N1044" s="60" t="n"/>
      <c r="O1044" s="60" t="n"/>
      <c r="P1044" s="60" t="n"/>
      <c r="Q1044" s="60" t="n"/>
      <c r="R1044" s="60" t="n"/>
      <c r="S1044" s="60" t="n"/>
      <c r="T1044" s="60" t="n"/>
      <c r="U1044" s="60" t="n"/>
      <c r="V1044" s="60" t="n"/>
      <c r="W1044" s="60" t="n"/>
      <c r="X1044" s="60" t="n"/>
      <c r="Y1044" s="60" t="n"/>
      <c r="Z1044" s="60" t="n"/>
    </row>
    <row r="1045">
      <c r="A1045" s="151" t="n">
        <v>46106</v>
      </c>
      <c r="B1045" s="70" t="n">
        <v>4021</v>
      </c>
      <c r="C1045" s="115" t="inlineStr">
        <is>
          <t>SELİM İNŞAAT</t>
        </is>
      </c>
      <c r="D1045" s="115" t="inlineStr">
        <is>
          <t>34 AR 7743</t>
        </is>
      </c>
      <c r="E1045" s="115" t="inlineStr">
        <is>
          <t>MEHMET SELİM</t>
        </is>
      </c>
      <c r="F1045" s="65" t="n">
        <v>375147</v>
      </c>
      <c r="G1045" s="152" t="n">
        <v>62</v>
      </c>
      <c r="H1045" s="60" t="n"/>
      <c r="I1045" s="156">
        <f>+I1044+(G1045-H1045)</f>
        <v/>
      </c>
      <c r="J1045" s="60" t="n"/>
      <c r="K1045" s="60" t="n"/>
      <c r="L1045" s="158">
        <f>+H1045*J1045</f>
        <v/>
      </c>
      <c r="M1045" s="159">
        <f>SUM(M1044+K1045-L1045)</f>
        <v/>
      </c>
      <c r="N1045" s="60" t="n"/>
      <c r="O1045" s="60" t="n"/>
      <c r="P1045" s="60" t="n"/>
      <c r="Q1045" s="60" t="n"/>
      <c r="R1045" s="60" t="n"/>
      <c r="S1045" s="60" t="n"/>
      <c r="T1045" s="60" t="n"/>
      <c r="U1045" s="60" t="n"/>
      <c r="V1045" s="60" t="n"/>
      <c r="W1045" s="60" t="n"/>
      <c r="X1045" s="60" t="n"/>
      <c r="Y1045" s="60" t="n"/>
      <c r="Z1045" s="60" t="n"/>
    </row>
    <row r="1046">
      <c r="A1046" s="151" t="n">
        <v>46107</v>
      </c>
      <c r="B1046" s="70" t="n">
        <v>1513</v>
      </c>
      <c r="C1046" s="115" t="inlineStr">
        <is>
          <t>MEGA</t>
        </is>
      </c>
      <c r="D1046" s="115" t="inlineStr">
        <is>
          <t>KAWAZAKİ</t>
        </is>
      </c>
      <c r="E1046" s="115" t="inlineStr">
        <is>
          <t>RAMAZAN</t>
        </is>
      </c>
      <c r="F1046" s="65" t="n"/>
      <c r="G1046" s="152" t="n">
        <v>155</v>
      </c>
      <c r="H1046" s="60" t="n"/>
      <c r="I1046" s="156">
        <f>+I1045+(G1046-H1046)</f>
        <v/>
      </c>
      <c r="J1046" s="60" t="n"/>
      <c r="K1046" s="60" t="n"/>
      <c r="L1046" s="158">
        <f>+H1046*J1046</f>
        <v/>
      </c>
      <c r="M1046" s="159">
        <f>SUM(M1045+K1046-L1046)</f>
        <v/>
      </c>
      <c r="N1046" s="60" t="n"/>
      <c r="O1046" s="60" t="n"/>
      <c r="P1046" s="60" t="n"/>
      <c r="Q1046" s="60" t="n"/>
      <c r="R1046" s="60" t="n"/>
      <c r="S1046" s="60" t="n"/>
      <c r="T1046" s="60" t="n"/>
      <c r="U1046" s="60" t="n"/>
      <c r="V1046" s="60" t="n"/>
      <c r="W1046" s="60" t="n"/>
      <c r="X1046" s="60" t="n"/>
      <c r="Y1046" s="60" t="n"/>
      <c r="Z1046" s="60" t="n"/>
    </row>
    <row r="1047">
      <c r="A1047" s="151" t="n">
        <v>46107</v>
      </c>
      <c r="B1047" s="70" t="n">
        <v>1514</v>
      </c>
      <c r="C1047" s="115" t="inlineStr">
        <is>
          <t>MEGA</t>
        </is>
      </c>
      <c r="D1047" s="115" t="inlineStr">
        <is>
          <t>SM350</t>
        </is>
      </c>
      <c r="E1047" s="115" t="inlineStr">
        <is>
          <t>TEVFİK</t>
        </is>
      </c>
      <c r="F1047" s="65" t="n"/>
      <c r="G1047" s="152" t="n">
        <v>453</v>
      </c>
      <c r="H1047" s="60" t="n"/>
      <c r="I1047" s="156">
        <f>+I1046+(G1047-H1047)</f>
        <v/>
      </c>
      <c r="J1047" s="60" t="n"/>
      <c r="K1047" s="60" t="n"/>
      <c r="L1047" s="158">
        <f>+H1047*J1047</f>
        <v/>
      </c>
      <c r="M1047" s="159">
        <f>SUM(M1046+K1047-L1047)</f>
        <v/>
      </c>
      <c r="N1047" s="60" t="n"/>
      <c r="O1047" s="60" t="n"/>
      <c r="P1047" s="60" t="n"/>
      <c r="Q1047" s="60" t="n"/>
      <c r="R1047" s="60" t="n"/>
      <c r="S1047" s="60" t="n"/>
      <c r="T1047" s="60" t="n"/>
      <c r="U1047" s="60" t="n"/>
      <c r="V1047" s="60" t="n"/>
      <c r="W1047" s="60" t="n"/>
      <c r="X1047" s="60" t="n"/>
      <c r="Y1047" s="60" t="n"/>
      <c r="Z1047" s="60" t="n"/>
    </row>
    <row r="1048">
      <c r="A1048" s="151" t="n">
        <v>46107</v>
      </c>
      <c r="B1048" s="70" t="n">
        <v>1515</v>
      </c>
      <c r="C1048" s="115" t="inlineStr">
        <is>
          <t>KOZMO</t>
        </is>
      </c>
      <c r="D1048" s="115" t="inlineStr">
        <is>
          <t>SM370</t>
        </is>
      </c>
      <c r="E1048" s="115" t="inlineStr">
        <is>
          <t>BEKİR</t>
        </is>
      </c>
      <c r="F1048" s="65" t="n"/>
      <c r="G1048" s="152" t="n">
        <v>351</v>
      </c>
      <c r="H1048" s="60" t="n"/>
      <c r="I1048" s="156">
        <f>+I1047+(G1048-H1048)</f>
        <v/>
      </c>
      <c r="J1048" s="60" t="n"/>
      <c r="K1048" s="60" t="n"/>
      <c r="L1048" s="158">
        <f>+H1048*J1048</f>
        <v/>
      </c>
      <c r="M1048" s="159">
        <f>SUM(M1047+K1048-L1048)</f>
        <v/>
      </c>
      <c r="N1048" s="60" t="n"/>
      <c r="O1048" s="60" t="n"/>
      <c r="P1048" s="60" t="n"/>
      <c r="Q1048" s="60" t="n"/>
      <c r="R1048" s="60" t="n"/>
      <c r="S1048" s="60" t="n"/>
      <c r="T1048" s="60" t="n"/>
      <c r="U1048" s="60" t="n"/>
      <c r="V1048" s="60" t="n"/>
      <c r="W1048" s="60" t="n"/>
      <c r="X1048" s="60" t="n"/>
      <c r="Y1048" s="60" t="n"/>
      <c r="Z1048" s="60" t="n"/>
    </row>
    <row r="1049">
      <c r="A1049" s="151" t="n">
        <v>46107</v>
      </c>
      <c r="B1049" s="70" t="n">
        <v>1516</v>
      </c>
      <c r="C1049" s="115" t="inlineStr">
        <is>
          <t>KOZMO</t>
        </is>
      </c>
      <c r="D1049" s="115" t="inlineStr">
        <is>
          <t>SM350</t>
        </is>
      </c>
      <c r="E1049" s="115" t="inlineStr">
        <is>
          <t>MİKAİL</t>
        </is>
      </c>
      <c r="F1049" s="65" t="n"/>
      <c r="G1049" s="152" t="n">
        <v>413</v>
      </c>
      <c r="H1049" s="60" t="n"/>
      <c r="I1049" s="156">
        <f>+I1048+(G1049-H1049)</f>
        <v/>
      </c>
      <c r="J1049" s="60" t="n"/>
      <c r="K1049" s="60" t="n"/>
      <c r="L1049" s="158">
        <f>+H1049*J1049</f>
        <v/>
      </c>
      <c r="M1049" s="159">
        <f>SUM(M1048+K1049-L1049)</f>
        <v/>
      </c>
      <c r="N1049" s="60" t="n"/>
      <c r="O1049" s="60" t="n"/>
      <c r="P1049" s="60" t="n"/>
      <c r="Q1049" s="60" t="n"/>
      <c r="R1049" s="60" t="n"/>
      <c r="S1049" s="60" t="n"/>
      <c r="T1049" s="60" t="n"/>
      <c r="U1049" s="60" t="n"/>
      <c r="V1049" s="60" t="n"/>
      <c r="W1049" s="60" t="n"/>
      <c r="X1049" s="60" t="n"/>
      <c r="Y1049" s="60" t="n"/>
      <c r="Z1049" s="60" t="n"/>
    </row>
    <row r="1050">
      <c r="A1050" s="151" t="n">
        <v>46107</v>
      </c>
      <c r="B1050" s="70" t="n">
        <v>4773</v>
      </c>
      <c r="C1050" s="115" t="inlineStr">
        <is>
          <t>SELİM İNŞAAT</t>
        </is>
      </c>
      <c r="D1050" s="115" t="inlineStr">
        <is>
          <t>34 DGP 137</t>
        </is>
      </c>
      <c r="E1050" s="115" t="inlineStr">
        <is>
          <t>MUSTAFA KAYA</t>
        </is>
      </c>
      <c r="F1050" s="65" t="n">
        <v>477970</v>
      </c>
      <c r="G1050" s="152" t="n">
        <v>130</v>
      </c>
      <c r="H1050" s="60" t="n"/>
      <c r="I1050" s="156">
        <f>+I1049+(G1050-H1050)</f>
        <v/>
      </c>
      <c r="J1050" s="60" t="n"/>
      <c r="K1050" s="60" t="n"/>
      <c r="L1050" s="158">
        <f>+H1050*J1050</f>
        <v/>
      </c>
      <c r="M1050" s="159">
        <f>SUM(M1049+K1050-L1050)</f>
        <v/>
      </c>
      <c r="N1050" s="60" t="n"/>
      <c r="O1050" s="60" t="n"/>
      <c r="P1050" s="60" t="n"/>
      <c r="Q1050" s="60" t="n"/>
      <c r="R1050" s="60" t="n"/>
      <c r="S1050" s="60" t="n"/>
      <c r="T1050" s="60" t="n"/>
      <c r="U1050" s="60" t="n"/>
      <c r="V1050" s="60" t="n"/>
      <c r="W1050" s="60" t="n"/>
      <c r="X1050" s="60" t="n"/>
      <c r="Y1050" s="60" t="n"/>
      <c r="Z1050" s="60" t="n"/>
    </row>
    <row r="1051">
      <c r="A1051" s="151" t="n">
        <v>46107</v>
      </c>
      <c r="B1051" s="70" t="n">
        <v>4470</v>
      </c>
      <c r="C1051" s="115" t="inlineStr">
        <is>
          <t>SELİM İNŞAAT</t>
        </is>
      </c>
      <c r="D1051" s="115" t="inlineStr">
        <is>
          <t>34 DKL 798</t>
        </is>
      </c>
      <c r="E1051" s="115" t="inlineStr">
        <is>
          <t>HASAN BAYCA</t>
        </is>
      </c>
      <c r="F1051" s="65" t="n">
        <v>82251</v>
      </c>
      <c r="G1051" s="152" t="n">
        <v>273</v>
      </c>
      <c r="H1051" s="60" t="n"/>
      <c r="I1051" s="156">
        <f>+I1050+(G1051-H1051)</f>
        <v/>
      </c>
      <c r="J1051" s="60" t="n"/>
      <c r="K1051" s="60" t="n"/>
      <c r="L1051" s="158">
        <f>+H1051*J1051</f>
        <v/>
      </c>
      <c r="M1051" s="159">
        <f>SUM(M1050+K1051-L1051)</f>
        <v/>
      </c>
      <c r="N1051" s="60" t="n"/>
      <c r="O1051" s="60" t="n"/>
      <c r="P1051" s="60" t="n"/>
      <c r="Q1051" s="60" t="n"/>
      <c r="R1051" s="60" t="n"/>
      <c r="S1051" s="60" t="n"/>
      <c r="T1051" s="60" t="n"/>
      <c r="U1051" s="60" t="n"/>
      <c r="V1051" s="60" t="n"/>
      <c r="W1051" s="60" t="n"/>
      <c r="X1051" s="60" t="n"/>
      <c r="Y1051" s="60" t="n"/>
      <c r="Z1051" s="60" t="n"/>
    </row>
    <row r="1052">
      <c r="A1052" s="151" t="n">
        <v>46107</v>
      </c>
      <c r="B1052" s="70" t="n">
        <v>3735</v>
      </c>
      <c r="C1052" s="115" t="inlineStr">
        <is>
          <t>SELİM İNŞAAT</t>
        </is>
      </c>
      <c r="D1052" s="115" t="inlineStr">
        <is>
          <t>34 DKL 866</t>
        </is>
      </c>
      <c r="E1052" s="115" t="inlineStr">
        <is>
          <t>SELİMCAN ÖNVER</t>
        </is>
      </c>
      <c r="F1052" s="65" t="n">
        <v>83567</v>
      </c>
      <c r="G1052" s="152" t="n">
        <v>282</v>
      </c>
      <c r="H1052" s="60" t="n"/>
      <c r="I1052" s="156">
        <f>+I1051+(G1052-H1052)</f>
        <v/>
      </c>
      <c r="J1052" s="60" t="n"/>
      <c r="K1052" s="60" t="n"/>
      <c r="L1052" s="158">
        <f>+H1052*J1052</f>
        <v/>
      </c>
      <c r="M1052" s="159">
        <f>SUM(M1051+K1052-L1052)</f>
        <v/>
      </c>
      <c r="N1052" s="60" t="n"/>
      <c r="O1052" s="60" t="n"/>
      <c r="P1052" s="60" t="n"/>
      <c r="Q1052" s="60" t="n"/>
      <c r="R1052" s="60" t="n"/>
      <c r="S1052" s="60" t="n"/>
      <c r="T1052" s="60" t="n"/>
      <c r="U1052" s="60" t="n"/>
      <c r="V1052" s="60" t="n"/>
      <c r="W1052" s="60" t="n"/>
      <c r="X1052" s="60" t="n"/>
      <c r="Y1052" s="60" t="n"/>
      <c r="Z1052" s="60" t="n"/>
    </row>
    <row r="1053">
      <c r="A1053" s="151" t="n">
        <v>46107</v>
      </c>
      <c r="B1053" s="70" t="n">
        <v>656</v>
      </c>
      <c r="C1053" s="115" t="inlineStr">
        <is>
          <t>SELİM İNŞAAT</t>
        </is>
      </c>
      <c r="D1053" s="115" t="inlineStr">
        <is>
          <t>34 GU 945</t>
        </is>
      </c>
      <c r="E1053" s="115" t="inlineStr">
        <is>
          <t>ÖNER DÜNDAR</t>
        </is>
      </c>
      <c r="F1053" s="65" t="n">
        <v>474411</v>
      </c>
      <c r="G1053" s="152" t="n">
        <v>56</v>
      </c>
      <c r="H1053" s="60" t="n"/>
      <c r="I1053" s="156">
        <f>+I1052+(G1053-H1053)</f>
        <v/>
      </c>
      <c r="J1053" s="60" t="n"/>
      <c r="K1053" s="60" t="n"/>
      <c r="L1053" s="158">
        <f>+H1053*J1053</f>
        <v/>
      </c>
      <c r="M1053" s="159">
        <f>SUM(M1052+K1053-L1053)</f>
        <v/>
      </c>
      <c r="N1053" s="60" t="n"/>
      <c r="O1053" s="60" t="n"/>
      <c r="P1053" s="60" t="n"/>
      <c r="Q1053" s="60" t="n"/>
      <c r="R1053" s="60" t="n"/>
      <c r="S1053" s="60" t="n"/>
      <c r="T1053" s="60" t="n"/>
      <c r="U1053" s="60" t="n"/>
      <c r="V1053" s="60" t="n"/>
      <c r="W1053" s="60" t="n"/>
      <c r="X1053" s="60" t="n"/>
      <c r="Y1053" s="60" t="n"/>
      <c r="Z1053" s="60" t="n"/>
    </row>
    <row r="1054">
      <c r="A1054" s="151" t="n">
        <v>46107</v>
      </c>
      <c r="B1054" s="70" t="n">
        <v>552</v>
      </c>
      <c r="C1054" s="115" t="inlineStr">
        <is>
          <t>SELİM İNŞAAT</t>
        </is>
      </c>
      <c r="D1054" s="115" t="inlineStr">
        <is>
          <t>34 JGR 15</t>
        </is>
      </c>
      <c r="E1054" s="115" t="inlineStr">
        <is>
          <t>ÖNER DÜNDAR</t>
        </is>
      </c>
      <c r="F1054" s="65" t="n">
        <v>332142</v>
      </c>
      <c r="G1054" s="152" t="n">
        <v>57</v>
      </c>
      <c r="H1054" s="60" t="n"/>
      <c r="I1054" s="156">
        <f>+I1053+(G1054-H1054)</f>
        <v/>
      </c>
      <c r="J1054" s="60" t="n"/>
      <c r="K1054" s="60" t="n"/>
      <c r="L1054" s="158">
        <f>+H1054*J1054</f>
        <v/>
      </c>
      <c r="M1054" s="159">
        <f>SUM(M1053+K1054-L1054)</f>
        <v/>
      </c>
      <c r="N1054" s="60" t="n"/>
      <c r="O1054" s="60" t="n"/>
      <c r="P1054" s="60" t="n"/>
      <c r="Q1054" s="60" t="n"/>
      <c r="R1054" s="60" t="n"/>
      <c r="S1054" s="60" t="n"/>
      <c r="T1054" s="60" t="n"/>
      <c r="U1054" s="60" t="n"/>
      <c r="V1054" s="60" t="n"/>
      <c r="W1054" s="60" t="n"/>
      <c r="X1054" s="60" t="n"/>
      <c r="Y1054" s="60" t="n"/>
      <c r="Z1054" s="60" t="n"/>
    </row>
    <row r="1055">
      <c r="A1055" s="151" t="n">
        <v>46107</v>
      </c>
      <c r="B1055" s="70" t="n">
        <v>1635</v>
      </c>
      <c r="C1055" s="115" t="inlineStr">
        <is>
          <t>SELİM İNŞAAT</t>
        </is>
      </c>
      <c r="D1055" s="115" t="inlineStr">
        <is>
          <t>34 VF 2620</t>
        </is>
      </c>
      <c r="E1055" s="115" t="inlineStr">
        <is>
          <t>RECEP SELİM</t>
        </is>
      </c>
      <c r="F1055" s="65" t="n">
        <v>203426</v>
      </c>
      <c r="G1055" s="152" t="n">
        <v>50</v>
      </c>
      <c r="H1055" s="60" t="n"/>
      <c r="I1055" s="156">
        <f>+I1054+(G1055-H1055)</f>
        <v/>
      </c>
      <c r="J1055" s="60" t="n"/>
      <c r="K1055" s="60" t="n"/>
      <c r="L1055" s="158">
        <f>+H1055*J1055</f>
        <v/>
      </c>
      <c r="M1055" s="159">
        <f>SUM(M1054+K1055-L1055)</f>
        <v/>
      </c>
      <c r="N1055" s="60" t="n"/>
      <c r="O1055" s="60" t="n"/>
      <c r="P1055" s="60" t="n"/>
      <c r="Q1055" s="60" t="n"/>
      <c r="R1055" s="60" t="n"/>
      <c r="S1055" s="60" t="n"/>
      <c r="T1055" s="60" t="n"/>
      <c r="U1055" s="60" t="n"/>
      <c r="V1055" s="60" t="n"/>
      <c r="W1055" s="60" t="n"/>
      <c r="X1055" s="60" t="n"/>
      <c r="Y1055" s="60" t="n"/>
      <c r="Z1055" s="60" t="n"/>
    </row>
    <row r="1056">
      <c r="A1056" s="151" t="n">
        <v>46108</v>
      </c>
      <c r="B1056" s="70" t="n">
        <v>1517</v>
      </c>
      <c r="C1056" s="115" t="inlineStr">
        <is>
          <t>CEVİZ</t>
        </is>
      </c>
      <c r="D1056" s="115" t="inlineStr">
        <is>
          <t>34 ZS 8646</t>
        </is>
      </c>
      <c r="E1056" s="115" t="inlineStr">
        <is>
          <t>CEMAL AKYOL</t>
        </is>
      </c>
      <c r="F1056" s="65" t="n"/>
      <c r="G1056" s="152" t="n">
        <v>62</v>
      </c>
      <c r="H1056" s="60" t="n"/>
      <c r="I1056" s="156">
        <f>+I1055+(G1056-H1056)</f>
        <v/>
      </c>
      <c r="J1056" s="60" t="n"/>
      <c r="K1056" s="60" t="n"/>
      <c r="L1056" s="158">
        <f>+H1056*J1056</f>
        <v/>
      </c>
      <c r="M1056" s="159">
        <f>SUM(M1055+K1056-L1056)</f>
        <v/>
      </c>
      <c r="N1056" s="60" t="n"/>
      <c r="O1056" s="60" t="n"/>
      <c r="P1056" s="60" t="n"/>
      <c r="Q1056" s="60" t="n"/>
      <c r="R1056" s="60" t="n"/>
      <c r="S1056" s="60" t="n"/>
      <c r="T1056" s="60" t="n"/>
      <c r="U1056" s="60" t="n"/>
      <c r="V1056" s="60" t="n"/>
      <c r="W1056" s="60" t="n"/>
      <c r="X1056" s="60" t="n"/>
      <c r="Y1056" s="60" t="n"/>
      <c r="Z1056" s="60" t="n"/>
    </row>
    <row r="1057">
      <c r="A1057" s="151" t="n">
        <v>46108</v>
      </c>
      <c r="B1057" s="70" t="n">
        <v>1518</v>
      </c>
      <c r="C1057" s="115" t="inlineStr">
        <is>
          <t>MEGA</t>
        </is>
      </c>
      <c r="D1057" s="115" t="inlineStr">
        <is>
          <t>KAWAZAKİ</t>
        </is>
      </c>
      <c r="E1057" s="115" t="inlineStr">
        <is>
          <t>RAMAZAN</t>
        </is>
      </c>
      <c r="F1057" s="65" t="n"/>
      <c r="G1057" s="152" t="n">
        <v>212</v>
      </c>
      <c r="H1057" s="60" t="n"/>
      <c r="I1057" s="156">
        <f>+I1056+(G1057-H1057)</f>
        <v/>
      </c>
      <c r="J1057" s="60" t="n"/>
      <c r="K1057" s="60" t="n"/>
      <c r="L1057" s="158">
        <f>+H1057*J1057</f>
        <v/>
      </c>
      <c r="M1057" s="159">
        <f>SUM(M1056+K1057-L1057)</f>
        <v/>
      </c>
      <c r="N1057" s="60" t="n"/>
      <c r="O1057" s="60" t="n"/>
      <c r="P1057" s="60" t="n"/>
      <c r="Q1057" s="60" t="n"/>
      <c r="R1057" s="60" t="n"/>
      <c r="S1057" s="60" t="n"/>
      <c r="T1057" s="60" t="n"/>
      <c r="U1057" s="60" t="n"/>
      <c r="V1057" s="60" t="n"/>
      <c r="W1057" s="60" t="n"/>
      <c r="X1057" s="60" t="n"/>
      <c r="Y1057" s="60" t="n"/>
      <c r="Z1057" s="60" t="n"/>
    </row>
    <row r="1058">
      <c r="A1058" s="151" t="n">
        <v>46108</v>
      </c>
      <c r="B1058" s="70" t="n">
        <v>1519</v>
      </c>
      <c r="C1058" s="115" t="inlineStr">
        <is>
          <t>MEGA</t>
        </is>
      </c>
      <c r="D1058" s="115" t="inlineStr">
        <is>
          <t>SM350</t>
        </is>
      </c>
      <c r="E1058" s="115" t="inlineStr">
        <is>
          <t>MİKAİL</t>
        </is>
      </c>
      <c r="F1058" s="65" t="n"/>
      <c r="G1058" s="152" t="n">
        <v>400</v>
      </c>
      <c r="H1058" s="60" t="n"/>
      <c r="I1058" s="156">
        <f>+I1057+(G1058-H1058)</f>
        <v/>
      </c>
      <c r="J1058" s="60" t="n"/>
      <c r="K1058" s="60" t="n"/>
      <c r="L1058" s="158">
        <f>+H1058*J1058</f>
        <v/>
      </c>
      <c r="M1058" s="159">
        <f>SUM(M1057+K1058-L1058)</f>
        <v/>
      </c>
      <c r="N1058" s="60" t="n"/>
      <c r="O1058" s="60" t="n"/>
      <c r="P1058" s="60" t="n"/>
      <c r="Q1058" s="60" t="n"/>
      <c r="R1058" s="60" t="n"/>
      <c r="S1058" s="60" t="n"/>
      <c r="T1058" s="60" t="n"/>
      <c r="U1058" s="60" t="n"/>
      <c r="V1058" s="60" t="n"/>
      <c r="W1058" s="60" t="n"/>
      <c r="X1058" s="60" t="n"/>
      <c r="Y1058" s="60" t="n"/>
      <c r="Z1058" s="60" t="n"/>
    </row>
    <row r="1059">
      <c r="A1059" s="151" t="n">
        <v>46108</v>
      </c>
      <c r="B1059" s="70" t="n">
        <v>1520</v>
      </c>
      <c r="C1059" s="115" t="inlineStr">
        <is>
          <t>HASALTUN</t>
        </is>
      </c>
      <c r="D1059" s="115" t="inlineStr">
        <is>
          <t>SİLİNDİR</t>
        </is>
      </c>
      <c r="E1059" s="115" t="inlineStr">
        <is>
          <t>KÖKSAL</t>
        </is>
      </c>
      <c r="F1059" s="65" t="n"/>
      <c r="G1059" s="152" t="n">
        <v>295</v>
      </c>
      <c r="H1059" s="60" t="n"/>
      <c r="I1059" s="156">
        <f>+I1058+(G1059-H1059)</f>
        <v/>
      </c>
      <c r="J1059" s="60" t="n"/>
      <c r="K1059" s="60" t="n"/>
      <c r="L1059" s="158">
        <f>+H1059*J1059</f>
        <v/>
      </c>
      <c r="M1059" s="159">
        <f>SUM(M1058+K1059-L1059)</f>
        <v/>
      </c>
      <c r="N1059" s="60" t="n"/>
      <c r="O1059" s="60" t="n"/>
      <c r="P1059" s="60" t="n"/>
      <c r="Q1059" s="60" t="n"/>
      <c r="R1059" s="60" t="n"/>
      <c r="S1059" s="60" t="n"/>
      <c r="T1059" s="60" t="n"/>
      <c r="U1059" s="60" t="n"/>
      <c r="V1059" s="60" t="n"/>
      <c r="W1059" s="60" t="n"/>
      <c r="X1059" s="60" t="n"/>
      <c r="Y1059" s="60" t="n"/>
      <c r="Z1059" s="60" t="n"/>
    </row>
    <row r="1060">
      <c r="A1060" s="151" t="n">
        <v>46108</v>
      </c>
      <c r="B1060" s="70" t="n">
        <v>1521</v>
      </c>
      <c r="C1060" s="115" t="inlineStr">
        <is>
          <t>HASALTUN</t>
        </is>
      </c>
      <c r="D1060" s="115" t="inlineStr">
        <is>
          <t>MANİTO</t>
        </is>
      </c>
      <c r="E1060" s="115" t="inlineStr">
        <is>
          <t>MUHAMMET</t>
        </is>
      </c>
      <c r="F1060" s="65" t="n"/>
      <c r="G1060" s="152" t="n">
        <v>247</v>
      </c>
      <c r="H1060" s="60" t="n"/>
      <c r="I1060" s="156">
        <f>+I1059+(G1060-H1060)</f>
        <v/>
      </c>
      <c r="J1060" s="60" t="n"/>
      <c r="K1060" s="60" t="n"/>
      <c r="L1060" s="158">
        <f>+H1060*J1060</f>
        <v/>
      </c>
      <c r="M1060" s="159">
        <f>SUM(M1059+K1060-L1060)</f>
        <v/>
      </c>
      <c r="N1060" s="60" t="n"/>
      <c r="O1060" s="60" t="n"/>
      <c r="P1060" s="60" t="n"/>
      <c r="Q1060" s="60" t="n"/>
      <c r="R1060" s="60" t="n"/>
      <c r="S1060" s="60" t="n"/>
      <c r="T1060" s="60" t="n"/>
      <c r="U1060" s="60" t="n"/>
      <c r="V1060" s="60" t="n"/>
      <c r="W1060" s="60" t="n"/>
      <c r="X1060" s="60" t="n"/>
      <c r="Y1060" s="60" t="n"/>
      <c r="Z1060" s="60" t="n"/>
    </row>
    <row r="1061">
      <c r="A1061" s="151" t="n">
        <v>46108</v>
      </c>
      <c r="B1061" s="70" t="n">
        <v>1522</v>
      </c>
      <c r="C1061" s="115" t="inlineStr">
        <is>
          <t>HASALTUN</t>
        </is>
      </c>
      <c r="D1061" s="115" t="inlineStr">
        <is>
          <t>JCB</t>
        </is>
      </c>
      <c r="E1061" s="115" t="inlineStr">
        <is>
          <t>BAYRAM SANCAK</t>
        </is>
      </c>
      <c r="F1061" s="65" t="n"/>
      <c r="G1061" s="152" t="n">
        <v>40</v>
      </c>
      <c r="H1061" s="60" t="n"/>
      <c r="I1061" s="156">
        <f>+I1060+(G1061-H1061)</f>
        <v/>
      </c>
      <c r="J1061" s="60" t="n"/>
      <c r="K1061" s="60" t="n"/>
      <c r="L1061" s="158">
        <f>+H1061*J1061</f>
        <v/>
      </c>
      <c r="M1061" s="159">
        <f>SUM(M1060+K1061-L1061)</f>
        <v/>
      </c>
      <c r="N1061" s="60" t="n"/>
      <c r="O1061" s="60" t="n"/>
      <c r="P1061" s="60" t="n"/>
      <c r="Q1061" s="60" t="n"/>
      <c r="R1061" s="60" t="n"/>
      <c r="S1061" s="60" t="n"/>
      <c r="T1061" s="60" t="n"/>
      <c r="U1061" s="60" t="n"/>
      <c r="V1061" s="60" t="n"/>
      <c r="W1061" s="60" t="n"/>
      <c r="X1061" s="60" t="n"/>
      <c r="Y1061" s="60" t="n"/>
      <c r="Z1061" s="60" t="n"/>
    </row>
    <row r="1062">
      <c r="A1062" s="151" t="n">
        <v>46108</v>
      </c>
      <c r="B1062" s="70" t="n">
        <v>629</v>
      </c>
      <c r="C1062" s="115" t="inlineStr">
        <is>
          <t>AHMET SELİM TEMHA</t>
        </is>
      </c>
      <c r="D1062" s="115" t="inlineStr">
        <is>
          <t>34 PGT 251</t>
        </is>
      </c>
      <c r="E1062" s="115" t="inlineStr">
        <is>
          <t>ERSOY SIĞINMAZ</t>
        </is>
      </c>
      <c r="F1062" s="65" t="n"/>
      <c r="G1062" s="152" t="n">
        <v>57</v>
      </c>
      <c r="H1062" s="60" t="n"/>
      <c r="I1062" s="156">
        <f>+I1061+(G1062-H1062)</f>
        <v/>
      </c>
      <c r="J1062" s="60" t="n"/>
      <c r="K1062" s="60" t="n"/>
      <c r="L1062" s="158">
        <f>+H1062*J1062</f>
        <v/>
      </c>
      <c r="M1062" s="159">
        <f>SUM(M1061+K1062-L1062)</f>
        <v/>
      </c>
      <c r="N1062" s="60" t="n"/>
      <c r="O1062" s="60" t="n"/>
      <c r="P1062" s="60" t="n"/>
      <c r="Q1062" s="60" t="n"/>
      <c r="R1062" s="60" t="n"/>
      <c r="S1062" s="60" t="n"/>
      <c r="T1062" s="60" t="n"/>
      <c r="U1062" s="60" t="n"/>
      <c r="V1062" s="60" t="n"/>
      <c r="W1062" s="60" t="n"/>
      <c r="X1062" s="60" t="n"/>
      <c r="Y1062" s="60" t="n"/>
      <c r="Z1062" s="60" t="n"/>
    </row>
    <row r="1063">
      <c r="A1063" s="151" t="n">
        <v>46108</v>
      </c>
      <c r="B1063" s="70" t="n">
        <v>2985</v>
      </c>
      <c r="C1063" s="115" t="inlineStr">
        <is>
          <t>SELİM İNŞAAT</t>
        </is>
      </c>
      <c r="D1063" s="115" t="inlineStr">
        <is>
          <t>34 DF 454</t>
        </is>
      </c>
      <c r="E1063" s="115" t="inlineStr">
        <is>
          <t>HÜSEYİN ALIN</t>
        </is>
      </c>
      <c r="F1063" s="65" t="n">
        <v>175867</v>
      </c>
      <c r="G1063" s="152" t="n">
        <v>290</v>
      </c>
      <c r="H1063" s="60" t="n"/>
      <c r="I1063" s="156">
        <f>+I1062+(G1063-H1063)</f>
        <v/>
      </c>
      <c r="J1063" s="60" t="n"/>
      <c r="K1063" s="60" t="n"/>
      <c r="L1063" s="158">
        <f>+H1063*J1063</f>
        <v/>
      </c>
      <c r="M1063" s="159">
        <f>SUM(M1062+K1063-L1063)</f>
        <v/>
      </c>
      <c r="N1063" s="60" t="n"/>
      <c r="O1063" s="60" t="n"/>
      <c r="P1063" s="60" t="n"/>
      <c r="Q1063" s="60" t="n"/>
      <c r="R1063" s="60" t="n"/>
      <c r="S1063" s="60" t="n"/>
      <c r="T1063" s="60" t="n"/>
      <c r="U1063" s="60" t="n"/>
      <c r="V1063" s="60" t="n"/>
      <c r="W1063" s="60" t="n"/>
      <c r="X1063" s="60" t="n"/>
      <c r="Y1063" s="60" t="n"/>
      <c r="Z1063" s="60" t="n"/>
    </row>
    <row r="1064">
      <c r="A1064" s="151" t="n">
        <v>46108</v>
      </c>
      <c r="B1064" s="70" t="n">
        <v>1775</v>
      </c>
      <c r="C1064" s="115" t="inlineStr">
        <is>
          <t>SELİM İNŞAAT</t>
        </is>
      </c>
      <c r="D1064" s="115" t="inlineStr">
        <is>
          <t>34 JBA 25</t>
        </is>
      </c>
      <c r="E1064" s="115" t="inlineStr">
        <is>
          <t>TURKAN SEVİNDİK</t>
        </is>
      </c>
      <c r="F1064" s="65" t="n">
        <v>348697</v>
      </c>
      <c r="G1064" s="152" t="n">
        <v>57</v>
      </c>
      <c r="H1064" s="60" t="n"/>
      <c r="I1064" s="156">
        <f>+I1063+(G1064-H1064)</f>
        <v/>
      </c>
      <c r="J1064" s="60" t="n"/>
      <c r="K1064" s="60" t="n"/>
      <c r="L1064" s="158">
        <f>+H1064*J1064</f>
        <v/>
      </c>
      <c r="M1064" s="159">
        <f>SUM(M1063+K1064-L1064)</f>
        <v/>
      </c>
      <c r="N1064" s="60" t="n"/>
      <c r="O1064" s="60" t="n"/>
      <c r="P1064" s="60" t="n"/>
      <c r="Q1064" s="60" t="n"/>
      <c r="R1064" s="60" t="n"/>
      <c r="S1064" s="60" t="n"/>
      <c r="T1064" s="60" t="n"/>
      <c r="U1064" s="60" t="n"/>
      <c r="V1064" s="60" t="n"/>
      <c r="W1064" s="60" t="n"/>
      <c r="X1064" s="60" t="n"/>
      <c r="Y1064" s="60" t="n"/>
      <c r="Z1064" s="60" t="n"/>
    </row>
    <row r="1065">
      <c r="A1065" s="151" t="n">
        <v>46109</v>
      </c>
      <c r="B1065" s="70" t="n">
        <v>712</v>
      </c>
      <c r="C1065" s="115" t="inlineStr">
        <is>
          <t>METİN ERYİĞİT</t>
        </is>
      </c>
      <c r="D1065" s="115" t="inlineStr">
        <is>
          <t>34 EGS 013</t>
        </is>
      </c>
      <c r="E1065" s="115" t="inlineStr">
        <is>
          <t>UĞUR DUMAN</t>
        </is>
      </c>
      <c r="F1065" s="65" t="n"/>
      <c r="G1065" s="152" t="n">
        <v>387</v>
      </c>
      <c r="H1065" s="60" t="n"/>
      <c r="I1065" s="156">
        <f>+I1064+(G1065-H1065)</f>
        <v/>
      </c>
      <c r="J1065" s="60" t="n"/>
      <c r="K1065" s="60" t="n"/>
      <c r="L1065" s="158">
        <f>+H1065*J1065</f>
        <v/>
      </c>
      <c r="M1065" s="159">
        <f>SUM(M1064+K1065-L1065)</f>
        <v/>
      </c>
      <c r="N1065" s="60" t="n"/>
      <c r="O1065" s="60" t="n"/>
      <c r="P1065" s="60" t="n"/>
      <c r="Q1065" s="60" t="n"/>
      <c r="R1065" s="60" t="n"/>
      <c r="S1065" s="60" t="n"/>
      <c r="T1065" s="60" t="n"/>
      <c r="U1065" s="60" t="n"/>
      <c r="V1065" s="60" t="n"/>
      <c r="W1065" s="60" t="n"/>
      <c r="X1065" s="60" t="n"/>
      <c r="Y1065" s="60" t="n"/>
      <c r="Z1065" s="60" t="n"/>
    </row>
    <row r="1066">
      <c r="A1066" s="151" t="n">
        <v>46109</v>
      </c>
      <c r="B1066" s="70" t="n">
        <v>1398</v>
      </c>
      <c r="C1066" s="115" t="inlineStr">
        <is>
          <t>AZGÜN YAPI</t>
        </is>
      </c>
      <c r="D1066" s="115" t="inlineStr">
        <is>
          <t>34 MKT 859</t>
        </is>
      </c>
      <c r="E1066" s="115" t="inlineStr">
        <is>
          <t>İRFAN DAĞLAR</t>
        </is>
      </c>
      <c r="F1066" s="65" t="n"/>
      <c r="G1066" s="152" t="n">
        <v>178</v>
      </c>
      <c r="H1066" s="60" t="n"/>
      <c r="I1066" s="156">
        <f>+I1065+(G1066-H1066)</f>
        <v/>
      </c>
      <c r="J1066" s="60" t="n"/>
      <c r="K1066" s="60" t="n"/>
      <c r="L1066" s="158">
        <f>+H1066*J1066</f>
        <v/>
      </c>
      <c r="M1066" s="159">
        <f>SUM(M1065+K1066-L1066)</f>
        <v/>
      </c>
      <c r="N1066" s="60" t="n"/>
      <c r="O1066" s="60" t="n"/>
      <c r="P1066" s="60" t="n"/>
      <c r="Q1066" s="60" t="n"/>
      <c r="R1066" s="60" t="n"/>
      <c r="S1066" s="60" t="n"/>
      <c r="T1066" s="60" t="n"/>
      <c r="U1066" s="60" t="n"/>
      <c r="V1066" s="60" t="n"/>
      <c r="W1066" s="60" t="n"/>
      <c r="X1066" s="60" t="n"/>
      <c r="Y1066" s="60" t="n"/>
      <c r="Z1066" s="60" t="n"/>
    </row>
    <row r="1067">
      <c r="A1067" s="151" t="n">
        <v>46109</v>
      </c>
      <c r="B1067" s="70" t="n">
        <v>1801</v>
      </c>
      <c r="C1067" s="115" t="inlineStr">
        <is>
          <t>AZGÜN YAPI</t>
        </is>
      </c>
      <c r="D1067" s="115" t="inlineStr">
        <is>
          <t>34 MKT 593</t>
        </is>
      </c>
      <c r="E1067" s="115" t="inlineStr">
        <is>
          <t>TURGUT ÇATAL</t>
        </is>
      </c>
      <c r="F1067" s="65" t="n"/>
      <c r="G1067" s="152" t="n">
        <v>349</v>
      </c>
      <c r="H1067" s="60" t="n"/>
      <c r="I1067" s="156">
        <f>+I1066+(G1067-H1067)</f>
        <v/>
      </c>
      <c r="J1067" s="60" t="n"/>
      <c r="K1067" s="60" t="n"/>
      <c r="L1067" s="158">
        <f>+H1067*J1067</f>
        <v/>
      </c>
      <c r="M1067" s="159">
        <f>SUM(M1066+K1067-L1067)</f>
        <v/>
      </c>
      <c r="N1067" s="60" t="n"/>
      <c r="O1067" s="60" t="n"/>
      <c r="P1067" s="60" t="n"/>
      <c r="Q1067" s="60" t="n"/>
      <c r="R1067" s="60" t="n"/>
      <c r="S1067" s="60" t="n"/>
      <c r="T1067" s="60" t="n"/>
      <c r="U1067" s="60" t="n"/>
      <c r="V1067" s="60" t="n"/>
      <c r="W1067" s="60" t="n"/>
      <c r="X1067" s="60" t="n"/>
      <c r="Y1067" s="60" t="n"/>
      <c r="Z1067" s="60" t="n"/>
    </row>
    <row r="1068">
      <c r="A1068" s="151" t="n">
        <v>46109</v>
      </c>
      <c r="B1068" s="70" t="n">
        <v>761</v>
      </c>
      <c r="C1068" s="115" t="inlineStr">
        <is>
          <t>METİN ERYİĞİT</t>
        </is>
      </c>
      <c r="D1068" s="115" t="inlineStr">
        <is>
          <t>34 EGR 814</t>
        </is>
      </c>
      <c r="E1068" s="115" t="inlineStr">
        <is>
          <t>ZİYA İNCE</t>
        </is>
      </c>
      <c r="F1068" s="65" t="n">
        <v>614039</v>
      </c>
      <c r="G1068" s="152" t="n">
        <v>423</v>
      </c>
      <c r="H1068" s="60" t="n"/>
      <c r="I1068" s="156">
        <f>+I1067+(G1068-H1068)</f>
        <v/>
      </c>
      <c r="J1068" s="60" t="n"/>
      <c r="K1068" s="60" t="n"/>
      <c r="L1068" s="158">
        <f>+H1068*J1068</f>
        <v/>
      </c>
      <c r="M1068" s="159">
        <f>SUM(M1067+K1068-L1068)</f>
        <v/>
      </c>
      <c r="N1068" s="60" t="n"/>
      <c r="O1068" s="60" t="n"/>
      <c r="P1068" s="60" t="n"/>
      <c r="Q1068" s="60" t="n"/>
      <c r="R1068" s="60" t="n"/>
      <c r="S1068" s="60" t="n"/>
      <c r="T1068" s="60" t="n"/>
      <c r="U1068" s="60" t="n"/>
      <c r="V1068" s="60" t="n"/>
      <c r="W1068" s="60" t="n"/>
      <c r="X1068" s="60" t="n"/>
      <c r="Y1068" s="60" t="n"/>
      <c r="Z1068" s="60" t="n"/>
    </row>
    <row r="1069">
      <c r="A1069" s="151" t="n">
        <v>46109</v>
      </c>
      <c r="B1069" s="70" t="n">
        <v>820</v>
      </c>
      <c r="C1069" s="115" t="inlineStr">
        <is>
          <t>METİN ERYİĞİT</t>
        </is>
      </c>
      <c r="D1069" s="115" t="inlineStr">
        <is>
          <t>34 GBL 998</t>
        </is>
      </c>
      <c r="E1069" s="115" t="inlineStr">
        <is>
          <t>ALİ KESKİN</t>
        </is>
      </c>
      <c r="F1069" s="65" t="n">
        <v>353228</v>
      </c>
      <c r="G1069" s="152" t="n">
        <v>415</v>
      </c>
      <c r="H1069" s="60" t="n"/>
      <c r="I1069" s="156">
        <f>+I1068+(G1069-H1069)</f>
        <v/>
      </c>
      <c r="J1069" s="60" t="n"/>
      <c r="K1069" s="60" t="n"/>
      <c r="L1069" s="158">
        <f>+H1069*J1069</f>
        <v/>
      </c>
      <c r="M1069" s="159">
        <f>SUM(M1068+K1069-L1069)</f>
        <v/>
      </c>
      <c r="N1069" s="60" t="n"/>
      <c r="O1069" s="60" t="n"/>
      <c r="P1069" s="60" t="n"/>
      <c r="Q1069" s="60" t="n"/>
      <c r="R1069" s="60" t="n"/>
      <c r="S1069" s="60" t="n"/>
      <c r="T1069" s="60" t="n"/>
      <c r="U1069" s="60" t="n"/>
      <c r="V1069" s="60" t="n"/>
      <c r="W1069" s="60" t="n"/>
      <c r="X1069" s="60" t="n"/>
      <c r="Y1069" s="60" t="n"/>
      <c r="Z1069" s="60" t="n"/>
    </row>
    <row r="1070">
      <c r="A1070" s="151" t="n">
        <v>46109</v>
      </c>
      <c r="B1070" s="70" t="n">
        <v>630</v>
      </c>
      <c r="C1070" s="115" t="inlineStr">
        <is>
          <t>MAHMUT VİNÇ</t>
        </is>
      </c>
      <c r="D1070" s="115" t="inlineStr">
        <is>
          <t>34 AH 5401</t>
        </is>
      </c>
      <c r="E1070" s="115" t="inlineStr">
        <is>
          <t>YASİN DEMİR</t>
        </is>
      </c>
      <c r="F1070" s="65" t="n"/>
      <c r="G1070" s="152" t="n">
        <v>93</v>
      </c>
      <c r="H1070" s="60" t="n"/>
      <c r="I1070" s="156">
        <f>+I1069+(G1070-H1070)</f>
        <v/>
      </c>
      <c r="J1070" s="60" t="n"/>
      <c r="K1070" s="60" t="n"/>
      <c r="L1070" s="158">
        <f>+H1070*J1070</f>
        <v/>
      </c>
      <c r="M1070" s="159">
        <f>SUM(M1069+K1070-L1070)</f>
        <v/>
      </c>
      <c r="N1070" s="60" t="n"/>
      <c r="O1070" s="60" t="n"/>
      <c r="P1070" s="60" t="n"/>
      <c r="Q1070" s="60" t="n"/>
      <c r="R1070" s="60" t="n"/>
      <c r="S1070" s="60" t="n"/>
      <c r="T1070" s="60" t="n"/>
      <c r="U1070" s="60" t="n"/>
      <c r="V1070" s="60" t="n"/>
      <c r="W1070" s="60" t="n"/>
      <c r="X1070" s="60" t="n"/>
      <c r="Y1070" s="60" t="n"/>
      <c r="Z1070" s="60" t="n"/>
    </row>
    <row r="1071">
      <c r="A1071" s="151" t="n">
        <v>46109</v>
      </c>
      <c r="B1071" s="70" t="n">
        <v>2803</v>
      </c>
      <c r="C1071" s="115" t="inlineStr">
        <is>
          <t>SELİM İNŞAAT</t>
        </is>
      </c>
      <c r="D1071" s="115" t="inlineStr">
        <is>
          <t>34 EGR 737</t>
        </is>
      </c>
      <c r="E1071" s="115" t="inlineStr">
        <is>
          <t>CEM MUHTAR</t>
        </is>
      </c>
      <c r="F1071" s="65" t="n">
        <v>465307</v>
      </c>
      <c r="G1071" s="152" t="n">
        <v>180</v>
      </c>
      <c r="H1071" s="60" t="n"/>
      <c r="I1071" s="156">
        <f>+I1070+(G1071-H1071)</f>
        <v/>
      </c>
      <c r="J1071" s="60" t="n"/>
      <c r="K1071" s="60" t="n"/>
      <c r="L1071" s="158">
        <f>+H1071*J1071</f>
        <v/>
      </c>
      <c r="M1071" s="159">
        <f>SUM(M1070+K1071-L1071)</f>
        <v/>
      </c>
      <c r="N1071" s="60" t="n"/>
      <c r="O1071" s="60" t="n"/>
      <c r="P1071" s="60" t="n"/>
      <c r="Q1071" s="60" t="n"/>
      <c r="R1071" s="60" t="n"/>
      <c r="S1071" s="60" t="n"/>
      <c r="T1071" s="60" t="n"/>
      <c r="U1071" s="60" t="n"/>
      <c r="V1071" s="60" t="n"/>
      <c r="W1071" s="60" t="n"/>
      <c r="X1071" s="60" t="n"/>
      <c r="Y1071" s="60" t="n"/>
      <c r="Z1071" s="60" t="n"/>
    </row>
    <row r="1072">
      <c r="A1072" s="151" t="n">
        <v>46111</v>
      </c>
      <c r="B1072" s="70" t="n">
        <v>657</v>
      </c>
      <c r="C1072" s="115" t="inlineStr">
        <is>
          <t>SELİM İNŞAAT</t>
        </is>
      </c>
      <c r="D1072" s="115" t="inlineStr">
        <is>
          <t>34 GU 945</t>
        </is>
      </c>
      <c r="E1072" s="115" t="inlineStr">
        <is>
          <t>ÖNER DÜNDAR</t>
        </is>
      </c>
      <c r="F1072" s="65" t="n">
        <v>474647</v>
      </c>
      <c r="G1072" s="152" t="n">
        <v>49</v>
      </c>
      <c r="H1072" s="60" t="n"/>
      <c r="I1072" s="156">
        <f>+I1071+(G1072-H1072)</f>
        <v/>
      </c>
      <c r="J1072" s="60" t="n"/>
      <c r="K1072" s="60" t="n"/>
      <c r="L1072" s="158">
        <f>+H1072*J1072</f>
        <v/>
      </c>
      <c r="M1072" s="159">
        <f>SUM(M1071+K1072-L1072)</f>
        <v/>
      </c>
      <c r="N1072" s="60" t="n"/>
      <c r="O1072" s="60" t="n"/>
      <c r="P1072" s="60" t="n"/>
      <c r="Q1072" s="60" t="n"/>
      <c r="R1072" s="60" t="n"/>
      <c r="S1072" s="60" t="n"/>
      <c r="T1072" s="60" t="n"/>
      <c r="U1072" s="60" t="n"/>
      <c r="V1072" s="60" t="n"/>
      <c r="W1072" s="60" t="n"/>
      <c r="X1072" s="60" t="n"/>
      <c r="Y1072" s="60" t="n"/>
      <c r="Z1072" s="60" t="n"/>
    </row>
    <row r="1073">
      <c r="A1073" s="151" t="n">
        <v>46111</v>
      </c>
      <c r="B1073" s="70" t="n">
        <v>2395</v>
      </c>
      <c r="C1073" s="115" t="inlineStr">
        <is>
          <t>SELİM İNŞAAT</t>
        </is>
      </c>
      <c r="D1073" s="115" t="inlineStr">
        <is>
          <t>34 FEM 934</t>
        </is>
      </c>
      <c r="E1073" s="115" t="inlineStr">
        <is>
          <t>DURSUN ALİ GÜREK</t>
        </is>
      </c>
      <c r="F1073" s="65" t="n">
        <v>335349</v>
      </c>
      <c r="G1073" s="152" t="n">
        <v>58</v>
      </c>
      <c r="H1073" s="60" t="n"/>
      <c r="I1073" s="156">
        <f>+I1072+(G1073-H1073)</f>
        <v/>
      </c>
      <c r="J1073" s="60" t="n"/>
      <c r="K1073" s="60" t="n"/>
      <c r="L1073" s="158">
        <f>+H1073*J1073</f>
        <v/>
      </c>
      <c r="M1073" s="159">
        <f>SUM(M1072+K1073-L1073)</f>
        <v/>
      </c>
      <c r="N1073" s="60" t="n"/>
      <c r="O1073" s="60" t="n"/>
      <c r="P1073" s="60" t="n"/>
      <c r="Q1073" s="60" t="n"/>
      <c r="R1073" s="60" t="n"/>
      <c r="S1073" s="60" t="n"/>
      <c r="T1073" s="60" t="n"/>
      <c r="U1073" s="60" t="n"/>
      <c r="V1073" s="60" t="n"/>
      <c r="W1073" s="60" t="n"/>
      <c r="X1073" s="60" t="n"/>
      <c r="Y1073" s="60" t="n"/>
      <c r="Z1073" s="60" t="n"/>
    </row>
    <row r="1074">
      <c r="A1074" s="151" t="n">
        <v>46111</v>
      </c>
      <c r="B1074" s="70" t="n">
        <v>4022</v>
      </c>
      <c r="C1074" s="115" t="inlineStr">
        <is>
          <t>SELİM İNŞAAT</t>
        </is>
      </c>
      <c r="D1074" s="115" t="inlineStr">
        <is>
          <t>34 AR 7743</t>
        </is>
      </c>
      <c r="E1074" s="115" t="inlineStr">
        <is>
          <t>MEHMET SELİM</t>
        </is>
      </c>
      <c r="F1074" s="65" t="n">
        <v>375461</v>
      </c>
      <c r="G1074" s="152" t="n">
        <v>64</v>
      </c>
      <c r="H1074" s="60" t="n"/>
      <c r="I1074" s="156">
        <f>+I1073+(G1074-H1074)</f>
        <v/>
      </c>
      <c r="J1074" s="60" t="n"/>
      <c r="K1074" s="60" t="n"/>
      <c r="L1074" s="158">
        <f>+H1074*J1074</f>
        <v/>
      </c>
      <c r="M1074" s="159">
        <f>SUM(M1073+K1074-L1074)</f>
        <v/>
      </c>
      <c r="N1074" s="60" t="n"/>
      <c r="O1074" s="60" t="n"/>
      <c r="P1074" s="60" t="n"/>
      <c r="Q1074" s="60" t="n"/>
      <c r="R1074" s="60" t="n"/>
      <c r="S1074" s="60" t="n"/>
      <c r="T1074" s="60" t="n"/>
      <c r="U1074" s="60" t="n"/>
      <c r="V1074" s="60" t="n"/>
      <c r="W1074" s="60" t="n"/>
      <c r="X1074" s="60" t="n"/>
      <c r="Y1074" s="60" t="n"/>
      <c r="Z1074" s="60" t="n"/>
    </row>
    <row r="1075">
      <c r="A1075" s="151" t="n">
        <v>46112</v>
      </c>
      <c r="B1075" s="70" t="n">
        <v>631</v>
      </c>
      <c r="C1075" s="115" t="inlineStr">
        <is>
          <t>AHMET SELİM TEMHA</t>
        </is>
      </c>
      <c r="D1075" s="115" t="inlineStr">
        <is>
          <t>FORKLİFT</t>
        </is>
      </c>
      <c r="E1075" s="115" t="n"/>
      <c r="F1075" s="65" t="n"/>
      <c r="G1075" s="152" t="n">
        <v>120</v>
      </c>
      <c r="H1075" s="60" t="n"/>
      <c r="I1075" s="156">
        <f>+I1074+(G1075-H1075)</f>
        <v/>
      </c>
      <c r="J1075" s="60" t="n"/>
      <c r="K1075" s="60" t="n"/>
      <c r="L1075" s="158">
        <f>+H1075*J1075</f>
        <v/>
      </c>
      <c r="M1075" s="159">
        <f>SUM(M1074+K1075-L1075)</f>
        <v/>
      </c>
      <c r="N1075" s="60" t="n"/>
      <c r="O1075" s="60" t="n"/>
      <c r="P1075" s="60" t="n"/>
      <c r="Q1075" s="60" t="n"/>
      <c r="R1075" s="60" t="n"/>
      <c r="S1075" s="60" t="n"/>
      <c r="T1075" s="60" t="n"/>
      <c r="U1075" s="60" t="n"/>
      <c r="V1075" s="60" t="n"/>
      <c r="W1075" s="60" t="n"/>
      <c r="X1075" s="60" t="n"/>
      <c r="Y1075" s="60" t="n"/>
      <c r="Z1075" s="60" t="n"/>
    </row>
    <row r="1076">
      <c r="A1076" s="151" t="n">
        <v>46112</v>
      </c>
      <c r="B1076" s="70" t="n">
        <v>1285</v>
      </c>
      <c r="C1076" s="115" t="inlineStr">
        <is>
          <t>SELİM İNŞAAT</t>
        </is>
      </c>
      <c r="D1076" s="115" t="inlineStr">
        <is>
          <t>34 DSN 621</t>
        </is>
      </c>
      <c r="E1076" s="115" t="inlineStr">
        <is>
          <t>TURAN SEVİNDİK</t>
        </is>
      </c>
      <c r="F1076" s="65" t="n">
        <v>439154</v>
      </c>
      <c r="G1076" s="152" t="n">
        <v>300</v>
      </c>
      <c r="H1076" s="60" t="n"/>
      <c r="I1076" s="156">
        <f>+I1075+(G1076-H1076)</f>
        <v/>
      </c>
      <c r="J1076" s="60" t="n"/>
      <c r="K1076" s="60" t="n"/>
      <c r="L1076" s="158">
        <f>+H1076*J1076</f>
        <v/>
      </c>
      <c r="M1076" s="159">
        <f>SUM(M1075+K1076-L1076)</f>
        <v/>
      </c>
      <c r="N1076" s="60" t="n"/>
      <c r="O1076" s="60" t="n"/>
      <c r="P1076" s="60" t="n"/>
      <c r="Q1076" s="60" t="n"/>
      <c r="R1076" s="60" t="n"/>
      <c r="S1076" s="60" t="n"/>
      <c r="T1076" s="60" t="n"/>
      <c r="U1076" s="60" t="n"/>
      <c r="V1076" s="60" t="n"/>
      <c r="W1076" s="60" t="n"/>
      <c r="X1076" s="60" t="n"/>
      <c r="Y1076" s="60" t="n"/>
      <c r="Z1076" s="60" t="n"/>
    </row>
    <row r="1077">
      <c r="A1077" s="151" t="n">
        <v>46113</v>
      </c>
      <c r="B1077" s="70" t="n">
        <v>553</v>
      </c>
      <c r="C1077" s="115" t="inlineStr">
        <is>
          <t>SELİM İNŞAAT</t>
        </is>
      </c>
      <c r="D1077" s="115" t="inlineStr">
        <is>
          <t>34 JGR 15</t>
        </is>
      </c>
      <c r="E1077" s="115" t="inlineStr">
        <is>
          <t>ÖNER DÜNDAR</t>
        </is>
      </c>
      <c r="F1077" s="65" t="n">
        <v>332482</v>
      </c>
      <c r="G1077" s="152" t="n">
        <v>52</v>
      </c>
      <c r="H1077" s="60" t="n"/>
      <c r="I1077" s="156">
        <f>+I1076+(G1077-H1077)</f>
        <v/>
      </c>
      <c r="J1077" s="60" t="n"/>
      <c r="K1077" s="60" t="n"/>
      <c r="L1077" s="158">
        <f>+H1077*J1077</f>
        <v/>
      </c>
      <c r="M1077" s="159">
        <f>SUM(M1076+K1077-L1077)</f>
        <v/>
      </c>
      <c r="N1077" s="60" t="n"/>
      <c r="O1077" s="60" t="n"/>
      <c r="P1077" s="60" t="n"/>
      <c r="Q1077" s="60" t="n"/>
      <c r="R1077" s="60" t="n"/>
      <c r="S1077" s="60" t="n"/>
      <c r="T1077" s="60" t="n"/>
      <c r="U1077" s="60" t="n"/>
      <c r="V1077" s="60" t="n"/>
      <c r="W1077" s="60" t="n"/>
      <c r="X1077" s="60" t="n"/>
      <c r="Y1077" s="60" t="n"/>
      <c r="Z1077" s="60" t="n"/>
    </row>
    <row r="1078">
      <c r="A1078" s="151" t="n">
        <v>46113</v>
      </c>
      <c r="B1078" s="70" t="n">
        <v>4023</v>
      </c>
      <c r="C1078" s="115" t="inlineStr">
        <is>
          <t>SELİM İNŞAAT</t>
        </is>
      </c>
      <c r="D1078" s="115" t="inlineStr">
        <is>
          <t>34 AR 7743</t>
        </is>
      </c>
      <c r="E1078" s="115" t="inlineStr">
        <is>
          <t>MEHMET SELİM</t>
        </is>
      </c>
      <c r="F1078" s="65" t="n">
        <v>375649</v>
      </c>
      <c r="G1078" s="152" t="n">
        <v>25</v>
      </c>
      <c r="H1078" s="60" t="n"/>
      <c r="I1078" s="156">
        <f>+I1077+(G1078-H1078)</f>
        <v/>
      </c>
      <c r="J1078" s="60" t="n"/>
      <c r="K1078" s="60" t="n"/>
      <c r="L1078" s="158">
        <f>+H1078*J1078</f>
        <v/>
      </c>
      <c r="M1078" s="159">
        <f>SUM(M1077+K1078-L1078)</f>
        <v/>
      </c>
      <c r="N1078" s="60" t="n"/>
      <c r="O1078" s="60" t="n"/>
      <c r="P1078" s="60" t="n"/>
      <c r="Q1078" s="60" t="n"/>
      <c r="R1078" s="60" t="n"/>
      <c r="S1078" s="60" t="n"/>
      <c r="T1078" s="60" t="n"/>
      <c r="U1078" s="60" t="n"/>
      <c r="V1078" s="60" t="n"/>
      <c r="W1078" s="60" t="n"/>
      <c r="X1078" s="60" t="n"/>
      <c r="Y1078" s="60" t="n"/>
      <c r="Z1078" s="60" t="n"/>
    </row>
    <row r="1079">
      <c r="A1079" s="151" t="n">
        <v>46113</v>
      </c>
      <c r="B1079" s="70" t="n">
        <v>2596</v>
      </c>
      <c r="C1079" s="115" t="inlineStr">
        <is>
          <t>SELİM İNŞAAT</t>
        </is>
      </c>
      <c r="D1079" s="115" t="inlineStr">
        <is>
          <t>34 GER 028</t>
        </is>
      </c>
      <c r="E1079" s="115" t="inlineStr">
        <is>
          <t>ABDULKERİM ERGEN</t>
        </is>
      </c>
      <c r="F1079" s="65" t="n">
        <v>61604</v>
      </c>
      <c r="G1079" s="152" t="n">
        <v>290</v>
      </c>
      <c r="H1079" s="60" t="n"/>
      <c r="I1079" s="156">
        <f>+I1078+(G1079-H1079)</f>
        <v/>
      </c>
      <c r="J1079" s="60" t="n"/>
      <c r="K1079" s="60" t="n"/>
      <c r="L1079" s="158">
        <f>+H1079*J1079</f>
        <v/>
      </c>
      <c r="M1079" s="159">
        <f>SUM(M1078+K1079-L1079)</f>
        <v/>
      </c>
      <c r="N1079" s="60" t="n"/>
      <c r="O1079" s="60" t="n"/>
      <c r="P1079" s="60" t="n"/>
      <c r="Q1079" s="60" t="n"/>
      <c r="R1079" s="60" t="n"/>
      <c r="S1079" s="60" t="n"/>
      <c r="T1079" s="60" t="n"/>
      <c r="U1079" s="60" t="n"/>
      <c r="V1079" s="60" t="n"/>
      <c r="W1079" s="60" t="n"/>
      <c r="X1079" s="60" t="n"/>
      <c r="Y1079" s="60" t="n"/>
      <c r="Z1079" s="60" t="n"/>
    </row>
    <row r="1080">
      <c r="A1080" s="151" t="n">
        <v>46113</v>
      </c>
      <c r="B1080" s="70" t="n">
        <v>2800</v>
      </c>
      <c r="C1080" s="115" t="inlineStr">
        <is>
          <t>SELİM İNŞAAT</t>
        </is>
      </c>
      <c r="D1080" s="115" t="inlineStr">
        <is>
          <t>34 EDC 086</t>
        </is>
      </c>
      <c r="E1080" s="115" t="inlineStr">
        <is>
          <t>SEZGİN KOCAGİL</t>
        </is>
      </c>
      <c r="F1080" s="65" t="n">
        <v>379275</v>
      </c>
      <c r="G1080" s="152" t="n">
        <v>234</v>
      </c>
      <c r="H1080" s="60" t="n"/>
      <c r="I1080" s="156">
        <f>+I1079+(G1080-H1080)</f>
        <v/>
      </c>
      <c r="J1080" s="60" t="n"/>
      <c r="K1080" s="60" t="n"/>
      <c r="L1080" s="158">
        <f>+H1080*J1080</f>
        <v/>
      </c>
      <c r="M1080" s="159">
        <f>SUM(M1079+K1080-L1080)</f>
        <v/>
      </c>
      <c r="N1080" s="60" t="n"/>
      <c r="O1080" s="60" t="n"/>
      <c r="P1080" s="60" t="n"/>
      <c r="Q1080" s="60" t="n"/>
      <c r="R1080" s="60" t="n"/>
      <c r="S1080" s="60" t="n"/>
      <c r="T1080" s="60" t="n"/>
      <c r="U1080" s="60" t="n"/>
      <c r="V1080" s="60" t="n"/>
      <c r="W1080" s="60" t="n"/>
      <c r="X1080" s="60" t="n"/>
      <c r="Y1080" s="60" t="n"/>
      <c r="Z1080" s="60" t="n"/>
    </row>
    <row r="1081">
      <c r="A1081" s="151" t="n">
        <v>46113</v>
      </c>
      <c r="B1081" s="70" t="n">
        <v>722</v>
      </c>
      <c r="C1081" s="115" t="inlineStr">
        <is>
          <t>METİN ERYİĞİT</t>
        </is>
      </c>
      <c r="D1081" s="115" t="inlineStr">
        <is>
          <t>34 EGS 013</t>
        </is>
      </c>
      <c r="E1081" s="115" t="inlineStr">
        <is>
          <t>UĞUR DUMAN</t>
        </is>
      </c>
      <c r="F1081" s="115" t="n">
        <v>569803</v>
      </c>
      <c r="G1081" s="152" t="n">
        <v>467</v>
      </c>
      <c r="H1081" s="60" t="n"/>
      <c r="I1081" s="156">
        <f>+I1080+(G1081-H1081)</f>
        <v/>
      </c>
      <c r="J1081" s="60" t="n"/>
      <c r="K1081" s="60" t="n"/>
      <c r="L1081" s="158">
        <f>+H1081*J1081</f>
        <v/>
      </c>
      <c r="M1081" s="159">
        <f>SUM(M1080+K1081-L1081)</f>
        <v/>
      </c>
      <c r="N1081" s="60" t="n"/>
      <c r="O1081" s="60" t="n"/>
      <c r="P1081" s="60" t="n"/>
      <c r="Q1081" s="60" t="n"/>
      <c r="R1081" s="60" t="n"/>
      <c r="S1081" s="60" t="n"/>
      <c r="T1081" s="60" t="n"/>
      <c r="U1081" s="60" t="n"/>
      <c r="V1081" s="60" t="n"/>
      <c r="W1081" s="60" t="n"/>
      <c r="X1081" s="60" t="n"/>
      <c r="Y1081" s="60" t="n"/>
      <c r="Z1081" s="60" t="n"/>
    </row>
    <row r="1082">
      <c r="A1082" s="151" t="n">
        <v>46113</v>
      </c>
      <c r="B1082" s="70" t="n">
        <v>633</v>
      </c>
      <c r="C1082" s="152" t="inlineStr">
        <is>
          <t>RECEP SELİM OTOKURTARICI</t>
        </is>
      </c>
      <c r="D1082" s="115" t="inlineStr">
        <is>
          <t>34 GC 8658</t>
        </is>
      </c>
      <c r="E1082" s="115" t="inlineStr">
        <is>
          <t>RECEP SELİM</t>
        </is>
      </c>
      <c r="F1082" s="115" t="n"/>
      <c r="G1082" s="152" t="n">
        <v>74</v>
      </c>
      <c r="H1082" s="60" t="n"/>
      <c r="I1082" s="156">
        <f>+I1081+(G1082-H1082)</f>
        <v/>
      </c>
      <c r="J1082" s="60" t="n"/>
      <c r="K1082" s="60" t="n"/>
      <c r="L1082" s="158">
        <f>+H1082*J1082</f>
        <v/>
      </c>
      <c r="M1082" s="159">
        <f>SUM(M1081+K1082-L1082)</f>
        <v/>
      </c>
      <c r="N1082" s="60" t="n"/>
      <c r="O1082" s="60" t="n"/>
      <c r="P1082" s="60" t="n"/>
      <c r="Q1082" s="60" t="n"/>
      <c r="R1082" s="60" t="n"/>
      <c r="S1082" s="60" t="n"/>
      <c r="T1082" s="60" t="n"/>
      <c r="U1082" s="60" t="n"/>
      <c r="V1082" s="60" t="n"/>
      <c r="W1082" s="60" t="n"/>
      <c r="X1082" s="60" t="n"/>
      <c r="Y1082" s="60" t="n"/>
      <c r="Z1082" s="60" t="n"/>
    </row>
    <row r="1083">
      <c r="A1083" s="151" t="n">
        <v>46113</v>
      </c>
      <c r="B1083" s="70" t="n">
        <v>634</v>
      </c>
      <c r="C1083" s="152" t="inlineStr">
        <is>
          <t>AHMET SELİM TEMHA</t>
        </is>
      </c>
      <c r="D1083" s="115" t="inlineStr">
        <is>
          <t>34 PGT 251</t>
        </is>
      </c>
      <c r="E1083" s="115" t="inlineStr">
        <is>
          <t>ERSOY SIĞINMAZ</t>
        </is>
      </c>
      <c r="F1083" s="115" t="n"/>
      <c r="G1083" s="152" t="n">
        <v>46</v>
      </c>
      <c r="H1083" s="60" t="n"/>
      <c r="I1083" s="156">
        <f>+I1082+(G1083-H1083)</f>
        <v/>
      </c>
      <c r="J1083" s="60" t="n"/>
      <c r="K1083" s="60" t="n"/>
      <c r="L1083" s="158">
        <f>+H1083*J1083</f>
        <v/>
      </c>
      <c r="M1083" s="159">
        <f>SUM(M1082+K1083-L1083)</f>
        <v/>
      </c>
      <c r="N1083" s="60" t="n"/>
      <c r="O1083" s="60" t="n"/>
      <c r="P1083" s="60" t="n"/>
      <c r="Q1083" s="60" t="n"/>
      <c r="R1083" s="60" t="n"/>
      <c r="S1083" s="60" t="n"/>
      <c r="T1083" s="60" t="n"/>
      <c r="U1083" s="60" t="n"/>
      <c r="V1083" s="60" t="n"/>
      <c r="W1083" s="60" t="n"/>
      <c r="X1083" s="60" t="n"/>
      <c r="Y1083" s="60" t="n"/>
      <c r="Z1083" s="60" t="n"/>
    </row>
    <row r="1084">
      <c r="A1084" s="151" t="n">
        <v>46113</v>
      </c>
      <c r="B1084" s="70" t="n">
        <v>641</v>
      </c>
      <c r="C1084" s="152" t="inlineStr">
        <is>
          <t>AHMET SELİM TEMHA</t>
        </is>
      </c>
      <c r="D1084" s="115" t="inlineStr">
        <is>
          <t>MANİTO</t>
        </is>
      </c>
      <c r="E1084" s="115" t="inlineStr">
        <is>
          <t>TURGAY ÇIPLAK</t>
        </is>
      </c>
      <c r="F1084" s="115" t="n"/>
      <c r="G1084" s="152" t="n">
        <v>118</v>
      </c>
      <c r="H1084" s="60" t="n"/>
      <c r="I1084" s="156">
        <f>+I1083+(G1084-H1084)</f>
        <v/>
      </c>
      <c r="J1084" s="60" t="n"/>
      <c r="K1084" s="60" t="n"/>
      <c r="L1084" s="158">
        <f>+H1084*J1084</f>
        <v/>
      </c>
      <c r="M1084" s="159">
        <f>SUM(M1083+K1084-L1084)</f>
        <v/>
      </c>
      <c r="N1084" s="60" t="n"/>
      <c r="O1084" s="60" t="n"/>
      <c r="P1084" s="60" t="n"/>
      <c r="Q1084" s="60" t="n"/>
      <c r="R1084" s="60" t="n"/>
      <c r="S1084" s="60" t="n"/>
      <c r="T1084" s="60" t="n"/>
      <c r="U1084" s="60" t="n"/>
      <c r="V1084" s="60" t="n"/>
      <c r="W1084" s="60" t="n"/>
      <c r="X1084" s="60" t="n"/>
      <c r="Y1084" s="60" t="n"/>
      <c r="Z1084" s="60" t="n"/>
    </row>
    <row r="1085">
      <c r="A1085" s="151" t="n">
        <v>46113</v>
      </c>
      <c r="B1085" s="70" t="n">
        <v>11175</v>
      </c>
      <c r="C1085" s="152" t="inlineStr">
        <is>
          <t>SELİM İNŞAAT</t>
        </is>
      </c>
      <c r="D1085" s="115" t="inlineStr">
        <is>
          <t>34 HZ 1663</t>
        </is>
      </c>
      <c r="E1085" s="115" t="inlineStr">
        <is>
          <t>FATİH ÖZBOLAT</t>
        </is>
      </c>
      <c r="F1085" s="115" t="n">
        <v>528331</v>
      </c>
      <c r="G1085" s="152" t="n">
        <v>581</v>
      </c>
      <c r="H1085" s="60" t="n"/>
      <c r="I1085" s="156">
        <f>+I1084+(G1085-H1085)</f>
        <v/>
      </c>
      <c r="J1085" s="60" t="n"/>
      <c r="K1085" s="60" t="n"/>
      <c r="L1085" s="158">
        <f>+H1085*J1085</f>
        <v/>
      </c>
      <c r="M1085" s="159">
        <f>SUM(M1084+K1085-L1085)</f>
        <v/>
      </c>
      <c r="N1085" s="60" t="n"/>
      <c r="O1085" s="60" t="n"/>
      <c r="P1085" s="60" t="n"/>
      <c r="Q1085" s="60" t="n"/>
      <c r="R1085" s="60" t="n"/>
      <c r="S1085" s="60" t="n"/>
      <c r="T1085" s="60" t="n"/>
      <c r="U1085" s="60" t="n"/>
      <c r="V1085" s="60" t="n"/>
      <c r="W1085" s="60" t="n"/>
      <c r="X1085" s="60" t="n"/>
      <c r="Y1085" s="60" t="n"/>
      <c r="Z1085" s="60" t="n"/>
    </row>
    <row r="1086">
      <c r="A1086" s="151" t="n">
        <v>46113</v>
      </c>
      <c r="B1086" s="70" t="n">
        <v>1523</v>
      </c>
      <c r="C1086" s="152" t="inlineStr">
        <is>
          <t>MEGA VARLIK</t>
        </is>
      </c>
      <c r="D1086" s="115" t="inlineStr">
        <is>
          <t>SM300</t>
        </is>
      </c>
      <c r="E1086" s="115" t="inlineStr">
        <is>
          <t>TEKİN ŞEYLAN</t>
        </is>
      </c>
      <c r="F1086" s="115" t="n"/>
      <c r="G1086" s="152" t="n">
        <v>350</v>
      </c>
      <c r="H1086" s="60" t="n"/>
      <c r="I1086" s="156">
        <f>+I1085+(G1086-H1086)</f>
        <v/>
      </c>
      <c r="J1086" s="60" t="n"/>
      <c r="K1086" s="60" t="n"/>
      <c r="L1086" s="158">
        <f>+H1086*J1086</f>
        <v/>
      </c>
      <c r="M1086" s="159">
        <f>SUM(M1085+K1086-L1086)</f>
        <v/>
      </c>
      <c r="N1086" s="60" t="n"/>
      <c r="O1086" s="60" t="n"/>
      <c r="P1086" s="60" t="n"/>
      <c r="Q1086" s="60" t="n"/>
      <c r="R1086" s="60" t="n"/>
      <c r="S1086" s="60" t="n"/>
      <c r="T1086" s="60" t="n"/>
      <c r="U1086" s="60" t="n"/>
      <c r="V1086" s="60" t="n"/>
      <c r="W1086" s="60" t="n"/>
      <c r="X1086" s="60" t="n"/>
      <c r="Y1086" s="60" t="n"/>
      <c r="Z1086" s="60" t="n"/>
    </row>
    <row r="1087">
      <c r="A1087" s="151" t="n">
        <v>46113</v>
      </c>
      <c r="B1087" s="70" t="n">
        <v>1524</v>
      </c>
      <c r="C1087" s="152" t="inlineStr">
        <is>
          <t>EVKUR</t>
        </is>
      </c>
      <c r="D1087" s="115" t="inlineStr">
        <is>
          <t>KİRALIK KATO</t>
        </is>
      </c>
      <c r="E1087" s="115" t="inlineStr">
        <is>
          <t>GÜNEŞ BEYİN TALİMATI</t>
        </is>
      </c>
      <c r="F1087" s="115" t="n"/>
      <c r="G1087" s="152" t="n">
        <v>103</v>
      </c>
      <c r="H1087" s="60" t="n"/>
      <c r="I1087" s="156">
        <f>+I1086+(G1087-H1087)</f>
        <v/>
      </c>
      <c r="J1087" s="60" t="n"/>
      <c r="K1087" s="60" t="n"/>
      <c r="L1087" s="158">
        <f>+H1087*J1087</f>
        <v/>
      </c>
      <c r="M1087" s="159">
        <f>SUM(M1086+K1087-L1087)</f>
        <v/>
      </c>
      <c r="N1087" s="60" t="n"/>
      <c r="O1087" s="60" t="n"/>
      <c r="P1087" s="60" t="n"/>
      <c r="Q1087" s="60" t="n"/>
      <c r="R1087" s="60" t="n"/>
      <c r="S1087" s="60" t="n"/>
      <c r="T1087" s="60" t="n"/>
      <c r="U1087" s="60" t="n"/>
      <c r="V1087" s="60" t="n"/>
      <c r="W1087" s="60" t="n"/>
      <c r="X1087" s="60" t="n"/>
      <c r="Y1087" s="60" t="n"/>
      <c r="Z1087" s="60" t="n"/>
    </row>
    <row r="1088">
      <c r="A1088" s="151" t="n">
        <v>46113</v>
      </c>
      <c r="B1088" s="70" t="n">
        <v>1525</v>
      </c>
      <c r="C1088" s="152" t="inlineStr">
        <is>
          <t>HASALTUN</t>
        </is>
      </c>
      <c r="D1088" s="115" t="inlineStr">
        <is>
          <t>JCB</t>
        </is>
      </c>
      <c r="E1088" s="115" t="inlineStr">
        <is>
          <t>BAYRAM SANCAK</t>
        </is>
      </c>
      <c r="F1088" s="115" t="n"/>
      <c r="G1088" s="152" t="n">
        <v>70</v>
      </c>
      <c r="H1088" s="60" t="n"/>
      <c r="I1088" s="156">
        <f>+I1087+(G1088-H1088)</f>
        <v/>
      </c>
      <c r="J1088" s="60" t="n"/>
      <c r="K1088" s="60" t="n"/>
      <c r="L1088" s="158">
        <f>+H1088*J1088</f>
        <v/>
      </c>
      <c r="M1088" s="159">
        <f>SUM(M1087+K1088-L1088)</f>
        <v/>
      </c>
      <c r="N1088" s="60" t="n"/>
      <c r="O1088" s="60" t="n"/>
      <c r="P1088" s="60" t="n"/>
      <c r="Q1088" s="60" t="n"/>
      <c r="R1088" s="60" t="n"/>
      <c r="S1088" s="60" t="n"/>
      <c r="T1088" s="60" t="n"/>
      <c r="U1088" s="60" t="n"/>
      <c r="V1088" s="60" t="n"/>
      <c r="W1088" s="60" t="n"/>
      <c r="X1088" s="60" t="n"/>
      <c r="Y1088" s="60" t="n"/>
      <c r="Z1088" s="60" t="n"/>
    </row>
    <row r="1089">
      <c r="A1089" s="151" t="n">
        <v>46113</v>
      </c>
      <c r="B1089" s="70" t="n">
        <v>1526</v>
      </c>
      <c r="C1089" s="152" t="inlineStr">
        <is>
          <t>HASALTUN</t>
        </is>
      </c>
      <c r="D1089" s="115" t="inlineStr">
        <is>
          <t>HİTACHİ</t>
        </is>
      </c>
      <c r="E1089" s="115" t="inlineStr">
        <is>
          <t xml:space="preserve">TURGUT </t>
        </is>
      </c>
      <c r="F1089" s="115" t="n"/>
      <c r="G1089" s="152" t="n">
        <v>371</v>
      </c>
      <c r="H1089" s="60" t="n"/>
      <c r="I1089" s="156">
        <f>+I1088+(G1089-H1089)</f>
        <v/>
      </c>
      <c r="J1089" s="60" t="n"/>
      <c r="K1089" s="60" t="n"/>
      <c r="L1089" s="158">
        <f>+H1089*J1089</f>
        <v/>
      </c>
      <c r="M1089" s="159">
        <f>SUM(M1088+K1089-L1089)</f>
        <v/>
      </c>
      <c r="N1089" s="60" t="n"/>
      <c r="O1089" s="60" t="n"/>
      <c r="P1089" s="60" t="n"/>
      <c r="Q1089" s="60" t="n"/>
      <c r="R1089" s="60" t="n"/>
      <c r="S1089" s="60" t="n"/>
      <c r="T1089" s="60" t="n"/>
      <c r="U1089" s="60" t="n"/>
      <c r="V1089" s="60" t="n"/>
      <c r="W1089" s="60" t="n"/>
      <c r="X1089" s="60" t="n"/>
      <c r="Y1089" s="60" t="n"/>
      <c r="Z1089" s="60" t="n"/>
    </row>
    <row r="1090">
      <c r="A1090" s="151" t="n">
        <v>46113</v>
      </c>
      <c r="B1090" s="70" t="n">
        <v>1527</v>
      </c>
      <c r="C1090" s="152" t="inlineStr">
        <is>
          <t>MEGA VARLIK</t>
        </is>
      </c>
      <c r="D1090" s="115" t="inlineStr">
        <is>
          <t>SM350</t>
        </is>
      </c>
      <c r="E1090" s="115" t="inlineStr">
        <is>
          <t>TEVFİK</t>
        </is>
      </c>
      <c r="F1090" s="115" t="n"/>
      <c r="G1090" s="152" t="n">
        <v>387</v>
      </c>
      <c r="H1090" s="60" t="n"/>
      <c r="I1090" s="156">
        <f>+I1089+(G1090-H1090)</f>
        <v/>
      </c>
      <c r="J1090" s="60" t="n"/>
      <c r="K1090" s="60" t="n"/>
      <c r="L1090" s="158">
        <f>+H1090*J1090</f>
        <v/>
      </c>
      <c r="M1090" s="159">
        <f>SUM(M1089+K1090-L1090)</f>
        <v/>
      </c>
      <c r="N1090" s="60" t="n"/>
      <c r="O1090" s="60" t="n"/>
      <c r="P1090" s="60" t="n"/>
      <c r="Q1090" s="60" t="n"/>
      <c r="R1090" s="60" t="n"/>
      <c r="S1090" s="60" t="n"/>
      <c r="T1090" s="60" t="n"/>
      <c r="U1090" s="60" t="n"/>
      <c r="V1090" s="60" t="n"/>
      <c r="W1090" s="60" t="n"/>
      <c r="X1090" s="60" t="n"/>
      <c r="Y1090" s="60" t="n"/>
      <c r="Z1090" s="60" t="n"/>
    </row>
    <row r="1091">
      <c r="A1091" s="151" t="n">
        <v>46113</v>
      </c>
      <c r="B1091" s="70" t="n">
        <v>1528</v>
      </c>
      <c r="C1091" s="152" t="inlineStr">
        <is>
          <t>MEGA VARLIK</t>
        </is>
      </c>
      <c r="D1091" s="115" t="inlineStr">
        <is>
          <t>SM300</t>
        </is>
      </c>
      <c r="E1091" s="115" t="inlineStr">
        <is>
          <t>TEKİN ŞEYLAN</t>
        </is>
      </c>
      <c r="F1091" s="115" t="n"/>
      <c r="G1091" s="152" t="n">
        <v>344</v>
      </c>
      <c r="H1091" s="60" t="n"/>
      <c r="I1091" s="156">
        <f>+I1090+(G1091-H1091)</f>
        <v/>
      </c>
      <c r="J1091" s="60" t="n"/>
      <c r="K1091" s="60" t="n"/>
      <c r="L1091" s="158">
        <f>+H1091*J1091</f>
        <v/>
      </c>
      <c r="M1091" s="159">
        <f>SUM(M1090+K1091-L1091)</f>
        <v/>
      </c>
      <c r="N1091" s="60" t="n"/>
      <c r="O1091" s="60" t="n"/>
      <c r="P1091" s="60" t="n"/>
      <c r="Q1091" s="60" t="n"/>
      <c r="R1091" s="60" t="n"/>
      <c r="S1091" s="60" t="n"/>
      <c r="T1091" s="60" t="n"/>
      <c r="U1091" s="60" t="n"/>
      <c r="V1091" s="60" t="n"/>
      <c r="W1091" s="60" t="n"/>
      <c r="X1091" s="60" t="n"/>
      <c r="Y1091" s="60" t="n"/>
      <c r="Z1091" s="60" t="n"/>
    </row>
    <row r="1092">
      <c r="A1092" s="151" t="n">
        <v>46113</v>
      </c>
      <c r="B1092" s="70" t="n">
        <v>1529</v>
      </c>
      <c r="C1092" s="152" t="inlineStr">
        <is>
          <t>MEGA VARLIK</t>
        </is>
      </c>
      <c r="D1092" s="115" t="inlineStr">
        <is>
          <t>KAWAZAKİ</t>
        </is>
      </c>
      <c r="E1092" s="115" t="inlineStr">
        <is>
          <t>RAMAZAN</t>
        </is>
      </c>
      <c r="F1092" s="115" t="n"/>
      <c r="G1092" s="152" t="n">
        <v>251</v>
      </c>
      <c r="H1092" s="60" t="n"/>
      <c r="I1092" s="156">
        <f>+I1091+(G1092-H1092)</f>
        <v/>
      </c>
      <c r="J1092" s="60" t="n"/>
      <c r="K1092" s="60" t="n"/>
      <c r="L1092" s="158">
        <f>+H1092*J1092</f>
        <v/>
      </c>
      <c r="M1092" s="159">
        <f>SUM(M1091+K1092-L1092)</f>
        <v/>
      </c>
      <c r="N1092" s="60" t="n"/>
      <c r="O1092" s="60" t="n"/>
      <c r="P1092" s="60" t="n"/>
      <c r="Q1092" s="60" t="n"/>
      <c r="R1092" s="60" t="n"/>
      <c r="S1092" s="60" t="n"/>
      <c r="T1092" s="60" t="n"/>
      <c r="U1092" s="60" t="n"/>
      <c r="V1092" s="60" t="n"/>
      <c r="W1092" s="60" t="n"/>
      <c r="X1092" s="60" t="n"/>
      <c r="Y1092" s="60" t="n"/>
      <c r="Z1092" s="60" t="n"/>
    </row>
    <row r="1093">
      <c r="A1093" s="151" t="n">
        <v>46114</v>
      </c>
      <c r="B1093" s="70" t="n">
        <v>196</v>
      </c>
      <c r="C1093" s="115" t="inlineStr">
        <is>
          <t>SELİM İNŞAAT</t>
        </is>
      </c>
      <c r="D1093" s="115" t="inlineStr">
        <is>
          <t>34 TG 7869</t>
        </is>
      </c>
      <c r="E1093" s="115" t="inlineStr">
        <is>
          <t>DURSUN ALİ GÜREK</t>
        </is>
      </c>
      <c r="F1093" s="65" t="n">
        <v>193715</v>
      </c>
      <c r="G1093" s="152" t="n">
        <v>347</v>
      </c>
      <c r="H1093" s="60" t="n"/>
      <c r="I1093" s="156">
        <f>+I1092+(G1093-H1093)</f>
        <v/>
      </c>
      <c r="J1093" s="60" t="n"/>
      <c r="K1093" s="60" t="n"/>
      <c r="L1093" s="158">
        <f>+H1093*J1093</f>
        <v/>
      </c>
      <c r="M1093" s="159">
        <f>SUM(M1092+K1093-L1093)</f>
        <v/>
      </c>
      <c r="N1093" s="60" t="n"/>
      <c r="O1093" s="60" t="n"/>
      <c r="P1093" s="60" t="n"/>
      <c r="Q1093" s="60" t="n"/>
      <c r="R1093" s="60" t="n"/>
      <c r="S1093" s="60" t="n"/>
      <c r="T1093" s="60" t="n"/>
      <c r="U1093" s="60" t="n"/>
      <c r="V1093" s="60" t="n"/>
      <c r="W1093" s="60" t="n"/>
      <c r="X1093" s="60" t="n"/>
      <c r="Y1093" s="60" t="n"/>
      <c r="Z1093" s="60" t="n"/>
    </row>
    <row r="1094">
      <c r="A1094" s="151" t="n">
        <v>46114</v>
      </c>
      <c r="B1094" s="70" t="n">
        <v>2396</v>
      </c>
      <c r="C1094" s="115" t="inlineStr">
        <is>
          <t>SELİM İNŞAAT</t>
        </is>
      </c>
      <c r="D1094" s="115" t="inlineStr">
        <is>
          <t>34 FEM 934</t>
        </is>
      </c>
      <c r="E1094" s="115" t="inlineStr">
        <is>
          <t>YAKUP URUCU</t>
        </is>
      </c>
      <c r="F1094" s="65" t="n">
        <v>335819</v>
      </c>
      <c r="G1094" s="152" t="n">
        <v>48</v>
      </c>
      <c r="H1094" s="60" t="n"/>
      <c r="I1094" s="156">
        <f>+I1093+(G1094-H1094)</f>
        <v/>
      </c>
      <c r="J1094" s="60" t="n"/>
      <c r="K1094" s="60" t="n"/>
      <c r="L1094" s="158">
        <f>+H1094*J1094</f>
        <v/>
      </c>
      <c r="M1094" s="159">
        <f>SUM(M1093+K1094-L1094)</f>
        <v/>
      </c>
      <c r="N1094" s="60" t="n"/>
      <c r="O1094" s="60" t="n"/>
      <c r="P1094" s="60" t="n"/>
      <c r="Q1094" s="60" t="n"/>
      <c r="R1094" s="60" t="n"/>
      <c r="S1094" s="60" t="n"/>
      <c r="T1094" s="60" t="n"/>
      <c r="U1094" s="60" t="n"/>
      <c r="V1094" s="60" t="n"/>
      <c r="W1094" s="60" t="n"/>
      <c r="X1094" s="60" t="n"/>
      <c r="Y1094" s="60" t="n"/>
      <c r="Z1094" s="60" t="n"/>
    </row>
    <row r="1095">
      <c r="A1095" s="151" t="n">
        <v>46114</v>
      </c>
      <c r="B1095" s="70" t="n">
        <v>821</v>
      </c>
      <c r="C1095" s="115" t="inlineStr">
        <is>
          <t>METİN ERYİĞİT</t>
        </is>
      </c>
      <c r="D1095" s="115" t="inlineStr">
        <is>
          <t>34 GBL 998</t>
        </is>
      </c>
      <c r="E1095" s="115" t="inlineStr">
        <is>
          <t>ALİ KESKİN</t>
        </is>
      </c>
      <c r="F1095" s="115" t="n">
        <v>354161</v>
      </c>
      <c r="G1095" s="152" t="n">
        <v>425</v>
      </c>
      <c r="H1095" s="60" t="n"/>
      <c r="I1095" s="156">
        <f>+I1094+(G1095-H1095)</f>
        <v/>
      </c>
      <c r="J1095" s="60" t="n"/>
      <c r="K1095" s="60" t="n"/>
      <c r="L1095" s="158">
        <f>+H1095*J1095</f>
        <v/>
      </c>
      <c r="M1095" s="159">
        <f>SUM(M1094+K1095-L1095)</f>
        <v/>
      </c>
      <c r="N1095" s="60" t="n"/>
      <c r="O1095" s="60" t="n"/>
      <c r="P1095" s="60" t="n"/>
      <c r="Q1095" s="60" t="n"/>
      <c r="R1095" s="60" t="n"/>
      <c r="S1095" s="60" t="n"/>
      <c r="T1095" s="60" t="n"/>
      <c r="U1095" s="60" t="n"/>
      <c r="V1095" s="60" t="n"/>
      <c r="W1095" s="60" t="n"/>
      <c r="X1095" s="60" t="n"/>
      <c r="Y1095" s="60" t="n"/>
      <c r="Z1095" s="60" t="n"/>
    </row>
    <row r="1096">
      <c r="A1096" s="151" t="n">
        <v>46114</v>
      </c>
      <c r="B1096" s="70" t="n">
        <v>762</v>
      </c>
      <c r="C1096" s="115" t="inlineStr">
        <is>
          <t>METİN ERYİĞİT</t>
        </is>
      </c>
      <c r="D1096" s="115" t="inlineStr">
        <is>
          <t>34 EGR 814</t>
        </is>
      </c>
      <c r="E1096" s="115" t="inlineStr">
        <is>
          <t>ZİYA İNCE</t>
        </is>
      </c>
      <c r="F1096" s="115" t="n">
        <v>614954</v>
      </c>
      <c r="G1096" s="152" t="n">
        <v>396</v>
      </c>
      <c r="H1096" s="60" t="n"/>
      <c r="I1096" s="156">
        <f>+I1095+(G1096-H1096)</f>
        <v/>
      </c>
      <c r="J1096" s="60" t="n"/>
      <c r="K1096" s="60" t="n"/>
      <c r="L1096" s="158">
        <f>+H1096*J1096</f>
        <v/>
      </c>
      <c r="M1096" s="159">
        <f>SUM(M1095+K1096-L1096)</f>
        <v/>
      </c>
      <c r="N1096" s="60" t="n"/>
      <c r="O1096" s="60" t="n"/>
      <c r="P1096" s="60" t="n"/>
      <c r="Q1096" s="60" t="n"/>
      <c r="R1096" s="60" t="n"/>
      <c r="S1096" s="60" t="n"/>
      <c r="T1096" s="60" t="n"/>
      <c r="U1096" s="60" t="n"/>
      <c r="V1096" s="60" t="n"/>
      <c r="W1096" s="60" t="n"/>
      <c r="X1096" s="60" t="n"/>
      <c r="Y1096" s="60" t="n"/>
      <c r="Z1096" s="60" t="n"/>
    </row>
    <row r="1097">
      <c r="A1097" s="151" t="n">
        <v>46114</v>
      </c>
      <c r="B1097" s="70" t="n">
        <v>723</v>
      </c>
      <c r="C1097" s="115" t="inlineStr">
        <is>
          <t>METİN ERYİĞİT</t>
        </is>
      </c>
      <c r="D1097" s="115" t="inlineStr">
        <is>
          <t>34 EGS 013</t>
        </is>
      </c>
      <c r="E1097" s="115" t="inlineStr">
        <is>
          <t>UĞUR DUMAN</t>
        </is>
      </c>
      <c r="F1097" s="115" t="n">
        <v>570797</v>
      </c>
      <c r="G1097" s="152" t="n">
        <v>435</v>
      </c>
      <c r="H1097" s="60" t="n"/>
      <c r="I1097" s="156">
        <f>+I1096+(G1097-H1097)</f>
        <v/>
      </c>
      <c r="J1097" s="60" t="n"/>
      <c r="K1097" s="60" t="n"/>
      <c r="L1097" s="158">
        <f>+H1097*J1097</f>
        <v/>
      </c>
      <c r="M1097" s="159">
        <f>SUM(M1096+K1097-L1097)</f>
        <v/>
      </c>
      <c r="N1097" s="60" t="n"/>
      <c r="O1097" s="60" t="n"/>
      <c r="P1097" s="60" t="n"/>
      <c r="Q1097" s="60" t="n"/>
      <c r="R1097" s="60" t="n"/>
      <c r="S1097" s="60" t="n"/>
      <c r="T1097" s="60" t="n"/>
      <c r="U1097" s="60" t="n"/>
      <c r="V1097" s="60" t="n"/>
      <c r="W1097" s="60" t="n"/>
      <c r="X1097" s="60" t="n"/>
      <c r="Y1097" s="60" t="n"/>
      <c r="Z1097" s="60" t="n"/>
    </row>
    <row r="1098">
      <c r="A1098" s="151" t="n">
        <v>46114</v>
      </c>
      <c r="B1098" s="70" t="n">
        <v>1399</v>
      </c>
      <c r="C1098" s="152" t="inlineStr">
        <is>
          <t>AZGÜN YAPI</t>
        </is>
      </c>
      <c r="D1098" s="115" t="inlineStr">
        <is>
          <t>34 MKT 859</t>
        </is>
      </c>
      <c r="E1098" s="115" t="inlineStr">
        <is>
          <t>İRFAN DAĞLAR</t>
        </is>
      </c>
      <c r="F1098" s="115" t="n"/>
      <c r="G1098" s="152" t="n">
        <v>256</v>
      </c>
      <c r="H1098" s="60" t="n"/>
      <c r="I1098" s="156">
        <f>+I1097+(G1098-H1098)</f>
        <v/>
      </c>
      <c r="J1098" s="60" t="n"/>
      <c r="K1098" s="60" t="n"/>
      <c r="L1098" s="158">
        <f>+H1098*J1098</f>
        <v/>
      </c>
      <c r="M1098" s="159">
        <f>SUM(M1097+K1098-L1098)</f>
        <v/>
      </c>
      <c r="N1098" s="60" t="n"/>
      <c r="O1098" s="60" t="n"/>
      <c r="P1098" s="60" t="n"/>
      <c r="Q1098" s="60" t="n"/>
      <c r="R1098" s="60" t="n"/>
      <c r="S1098" s="60" t="n"/>
      <c r="T1098" s="60" t="n"/>
      <c r="U1098" s="60" t="n"/>
      <c r="V1098" s="60" t="n"/>
      <c r="W1098" s="60" t="n"/>
      <c r="X1098" s="60" t="n"/>
      <c r="Y1098" s="60" t="n"/>
      <c r="Z1098" s="60" t="n"/>
    </row>
    <row r="1099">
      <c r="A1099" s="151" t="n">
        <v>46116</v>
      </c>
      <c r="B1099" s="70" t="n">
        <v>1534</v>
      </c>
      <c r="C1099" s="152" t="inlineStr">
        <is>
          <t>MEGA VARLIK</t>
        </is>
      </c>
      <c r="D1099" s="115" t="inlineStr">
        <is>
          <t>34 AZ 2191</t>
        </is>
      </c>
      <c r="E1099" s="115" t="inlineStr">
        <is>
          <t>NUMAN KABİL</t>
        </is>
      </c>
      <c r="F1099" s="115" t="n"/>
      <c r="G1099" s="152" t="n">
        <v>181</v>
      </c>
      <c r="H1099" s="60" t="n"/>
      <c r="I1099" s="156">
        <f>+I1098+(G1099-H1099)</f>
        <v/>
      </c>
      <c r="J1099" s="60" t="n"/>
      <c r="K1099" s="60" t="n"/>
      <c r="L1099" s="158">
        <f>+H1099*J1099</f>
        <v/>
      </c>
      <c r="M1099" s="159">
        <f>SUM(M1098+K1099-L1099)</f>
        <v/>
      </c>
      <c r="N1099" s="60" t="n"/>
      <c r="O1099" s="60" t="n"/>
      <c r="P1099" s="60" t="n"/>
      <c r="Q1099" s="60" t="n"/>
      <c r="R1099" s="60" t="n"/>
      <c r="S1099" s="60" t="n"/>
      <c r="T1099" s="60" t="n"/>
      <c r="U1099" s="60" t="n"/>
      <c r="V1099" s="60" t="n"/>
      <c r="W1099" s="60" t="n"/>
      <c r="X1099" s="60" t="n"/>
      <c r="Y1099" s="60" t="n"/>
      <c r="Z1099" s="60" t="n"/>
    </row>
    <row r="1100">
      <c r="A1100" s="151" t="n">
        <v>46118</v>
      </c>
      <c r="B1100" s="70" t="n">
        <v>3736</v>
      </c>
      <c r="C1100" s="115" t="inlineStr">
        <is>
          <t>SELİM İNŞAAT</t>
        </is>
      </c>
      <c r="D1100" s="115" t="inlineStr">
        <is>
          <t>34 DKL 866</t>
        </is>
      </c>
      <c r="E1100" s="115" t="inlineStr">
        <is>
          <t>SELİMCAN ÖNVER</t>
        </is>
      </c>
      <c r="F1100" s="65" t="n">
        <v>83731</v>
      </c>
      <c r="G1100" s="152" t="n">
        <v>259</v>
      </c>
      <c r="H1100" s="60" t="n"/>
      <c r="I1100" s="156">
        <f>+I1099+(G1100-H1100)</f>
        <v/>
      </c>
      <c r="J1100" s="60" t="n"/>
      <c r="K1100" s="60" t="n"/>
      <c r="L1100" s="158">
        <f>+H1100*J1100</f>
        <v/>
      </c>
      <c r="M1100" s="159">
        <f>SUM(M1099+K1100-L1100)</f>
        <v/>
      </c>
      <c r="N1100" s="60" t="n"/>
      <c r="O1100" s="60" t="n"/>
      <c r="P1100" s="60" t="n"/>
      <c r="Q1100" s="60" t="n"/>
      <c r="R1100" s="60" t="n"/>
      <c r="S1100" s="60" t="n"/>
      <c r="T1100" s="60" t="n"/>
      <c r="U1100" s="60" t="n"/>
      <c r="V1100" s="60" t="n"/>
      <c r="W1100" s="60" t="n"/>
      <c r="X1100" s="60" t="n"/>
      <c r="Y1100" s="60" t="n"/>
      <c r="Z1100" s="60" t="n"/>
    </row>
    <row r="1101">
      <c r="A1101" s="151" t="n">
        <v>46118</v>
      </c>
      <c r="B1101" s="70" t="n">
        <v>1351</v>
      </c>
      <c r="C1101" s="115" t="inlineStr">
        <is>
          <t>SELİM İNŞAAT</t>
        </is>
      </c>
      <c r="D1101" s="115" t="inlineStr">
        <is>
          <t>34 DP 4161</t>
        </is>
      </c>
      <c r="E1101" s="115" t="inlineStr">
        <is>
          <t>RIFAT KARATAY</t>
        </is>
      </c>
      <c r="F1101" s="65" t="n">
        <v>322022</v>
      </c>
      <c r="G1101" s="152" t="n">
        <v>294</v>
      </c>
      <c r="H1101" s="60" t="n"/>
      <c r="I1101" s="156">
        <f>+I1100+(G1101-H1101)</f>
        <v/>
      </c>
      <c r="J1101" s="60" t="n"/>
      <c r="K1101" s="60" t="n"/>
      <c r="L1101" s="158">
        <f>+H1101*J1101</f>
        <v/>
      </c>
      <c r="M1101" s="159">
        <f>SUM(M1100+K1101-L1101)</f>
        <v/>
      </c>
      <c r="N1101" s="60" t="n"/>
      <c r="O1101" s="60" t="n"/>
      <c r="P1101" s="60" t="n"/>
      <c r="Q1101" s="60" t="n"/>
      <c r="R1101" s="60" t="n"/>
      <c r="S1101" s="60" t="n"/>
      <c r="T1101" s="60" t="n"/>
      <c r="U1101" s="60" t="n"/>
      <c r="V1101" s="60" t="n"/>
      <c r="W1101" s="60" t="n"/>
      <c r="X1101" s="60" t="n"/>
      <c r="Y1101" s="60" t="n"/>
      <c r="Z1101" s="60" t="n"/>
    </row>
    <row r="1102">
      <c r="A1102" s="151" t="n">
        <v>46118</v>
      </c>
      <c r="B1102" s="70" t="n">
        <v>1636</v>
      </c>
      <c r="C1102" s="115" t="inlineStr">
        <is>
          <t>SELİM İNŞAAT</t>
        </is>
      </c>
      <c r="D1102" s="115" t="inlineStr">
        <is>
          <t>34 VF 2620</t>
        </is>
      </c>
      <c r="E1102" s="115" t="inlineStr">
        <is>
          <t>RECEP SELİM</t>
        </is>
      </c>
      <c r="F1102" s="65" t="n">
        <v>203760</v>
      </c>
      <c r="G1102" s="152" t="n">
        <v>62</v>
      </c>
      <c r="H1102" s="60" t="n"/>
      <c r="I1102" s="156">
        <f>+I1101+(G1102-H1102)</f>
        <v/>
      </c>
      <c r="J1102" s="60" t="n"/>
      <c r="K1102" s="60" t="n"/>
      <c r="L1102" s="158">
        <f>+H1102*J1102</f>
        <v/>
      </c>
      <c r="M1102" s="159">
        <f>SUM(M1101+K1102-L1102)</f>
        <v/>
      </c>
      <c r="N1102" s="60" t="n"/>
      <c r="O1102" s="60" t="n"/>
      <c r="P1102" s="60" t="n"/>
      <c r="Q1102" s="60" t="n"/>
      <c r="R1102" s="60" t="n"/>
      <c r="S1102" s="60" t="n"/>
      <c r="T1102" s="60" t="n"/>
      <c r="U1102" s="60" t="n"/>
      <c r="V1102" s="60" t="n"/>
      <c r="W1102" s="60" t="n"/>
      <c r="X1102" s="60" t="n"/>
      <c r="Y1102" s="60" t="n"/>
      <c r="Z1102" s="60" t="n"/>
    </row>
    <row r="1103">
      <c r="A1103" s="151" t="n">
        <v>46118</v>
      </c>
      <c r="B1103" s="70" t="n">
        <v>4024</v>
      </c>
      <c r="C1103" s="115" t="inlineStr">
        <is>
          <t>SELİM İNŞAAT</t>
        </is>
      </c>
      <c r="D1103" s="115" t="inlineStr">
        <is>
          <t>34 AR 7743</t>
        </is>
      </c>
      <c r="E1103" s="115" t="inlineStr">
        <is>
          <t>MEHMET SELİM</t>
        </is>
      </c>
      <c r="F1103" s="65" t="n">
        <v>375896</v>
      </c>
      <c r="G1103" s="152" t="n">
        <v>56</v>
      </c>
      <c r="H1103" s="60" t="n"/>
      <c r="I1103" s="156">
        <f>+I1102+(G1103-H1103)</f>
        <v/>
      </c>
      <c r="J1103" s="60" t="n"/>
      <c r="K1103" s="60" t="n"/>
      <c r="L1103" s="158">
        <f>+H1103*J1103</f>
        <v/>
      </c>
      <c r="M1103" s="159">
        <f>SUM(M1102+K1103-L1103)</f>
        <v/>
      </c>
      <c r="N1103" s="60" t="n"/>
      <c r="O1103" s="60" t="n"/>
      <c r="P1103" s="60" t="n"/>
      <c r="Q1103" s="60" t="n"/>
      <c r="R1103" s="60" t="n"/>
      <c r="S1103" s="60" t="n"/>
      <c r="T1103" s="60" t="n"/>
      <c r="U1103" s="60" t="n"/>
      <c r="V1103" s="60" t="n"/>
      <c r="W1103" s="60" t="n"/>
      <c r="X1103" s="60" t="n"/>
      <c r="Y1103" s="60" t="n"/>
      <c r="Z1103" s="60" t="n"/>
    </row>
    <row r="1104">
      <c r="A1104" s="151" t="n">
        <v>46118</v>
      </c>
      <c r="B1104" s="70" t="n">
        <v>2397</v>
      </c>
      <c r="C1104" s="115" t="inlineStr">
        <is>
          <t>SELİM İNŞAAT</t>
        </is>
      </c>
      <c r="D1104" s="115" t="inlineStr">
        <is>
          <t>34 FEM 934</t>
        </is>
      </c>
      <c r="E1104" s="115" t="inlineStr">
        <is>
          <t>YAKUP URUCU</t>
        </is>
      </c>
      <c r="F1104" s="65" t="n">
        <v>336156</v>
      </c>
      <c r="G1104" s="152" t="n">
        <v>47</v>
      </c>
      <c r="H1104" s="60" t="n"/>
      <c r="I1104" s="156">
        <f>+I1103+(G1104-H1104)</f>
        <v/>
      </c>
      <c r="J1104" s="60" t="n"/>
      <c r="K1104" s="60" t="n"/>
      <c r="L1104" s="158">
        <f>+H1104*J1104</f>
        <v/>
      </c>
      <c r="M1104" s="159">
        <f>SUM(M1103+K1104-L1104)</f>
        <v/>
      </c>
      <c r="N1104" s="60" t="n"/>
      <c r="O1104" s="60" t="n"/>
      <c r="P1104" s="60" t="n"/>
      <c r="Q1104" s="60" t="n"/>
      <c r="R1104" s="60" t="n"/>
      <c r="S1104" s="60" t="n"/>
      <c r="T1104" s="60" t="n"/>
      <c r="U1104" s="60" t="n"/>
      <c r="V1104" s="60" t="n"/>
      <c r="W1104" s="60" t="n"/>
      <c r="X1104" s="60" t="n"/>
      <c r="Y1104" s="60" t="n"/>
      <c r="Z1104" s="60" t="n"/>
    </row>
    <row r="1105">
      <c r="A1105" s="151" t="n">
        <v>46118</v>
      </c>
      <c r="B1105" s="70" t="n">
        <v>2986</v>
      </c>
      <c r="C1105" s="115" t="inlineStr">
        <is>
          <t>SELİM İNŞAAT</t>
        </is>
      </c>
      <c r="D1105" s="115" t="inlineStr">
        <is>
          <t>34 DFE 454</t>
        </is>
      </c>
      <c r="E1105" s="115" t="inlineStr">
        <is>
          <t>HÜSEYİN ALIN</t>
        </is>
      </c>
      <c r="F1105" s="65" t="n">
        <v>176000</v>
      </c>
      <c r="G1105" s="152" t="n">
        <v>263</v>
      </c>
      <c r="H1105" s="60" t="n"/>
      <c r="I1105" s="156">
        <f>+I1104+(G1105-H1105)</f>
        <v/>
      </c>
      <c r="J1105" s="60" t="n"/>
      <c r="K1105" s="60" t="n"/>
      <c r="L1105" s="158">
        <f>+H1105*J1105</f>
        <v/>
      </c>
      <c r="M1105" s="159">
        <f>SUM(M1104+K1105-L1105)</f>
        <v/>
      </c>
      <c r="N1105" s="60" t="n"/>
      <c r="O1105" s="60" t="n"/>
      <c r="P1105" s="60" t="n"/>
      <c r="Q1105" s="60" t="n"/>
      <c r="R1105" s="60" t="n"/>
      <c r="S1105" s="60" t="n"/>
      <c r="T1105" s="60" t="n"/>
      <c r="U1105" s="60" t="n"/>
      <c r="V1105" s="60" t="n"/>
      <c r="W1105" s="60" t="n"/>
      <c r="X1105" s="60" t="n"/>
      <c r="Y1105" s="60" t="n"/>
      <c r="Z1105" s="60" t="n"/>
    </row>
    <row r="1106">
      <c r="A1106" s="151" t="n">
        <v>46118</v>
      </c>
      <c r="B1106" s="70" t="n">
        <v>658</v>
      </c>
      <c r="C1106" s="115" t="inlineStr">
        <is>
          <t>SELİM İNŞAAT</t>
        </is>
      </c>
      <c r="D1106" s="115" t="inlineStr">
        <is>
          <t>34 GU 945</t>
        </is>
      </c>
      <c r="E1106" s="115" t="inlineStr">
        <is>
          <t>YAKUP URUCU</t>
        </is>
      </c>
      <c r="F1106" s="65" t="n">
        <v>475064</v>
      </c>
      <c r="G1106" s="152" t="n">
        <v>67</v>
      </c>
      <c r="H1106" s="60" t="n"/>
      <c r="I1106" s="156">
        <f>+I1105+(G1106-H1106)</f>
        <v/>
      </c>
      <c r="J1106" s="60" t="n"/>
      <c r="K1106" s="60" t="n"/>
      <c r="L1106" s="158">
        <f>+H1106*J1106</f>
        <v/>
      </c>
      <c r="M1106" s="159">
        <f>SUM(M1105+K1106-L1106)</f>
        <v/>
      </c>
      <c r="N1106" s="60" t="n"/>
      <c r="O1106" s="60" t="n"/>
      <c r="P1106" s="60" t="n"/>
      <c r="Q1106" s="60" t="n"/>
      <c r="R1106" s="60" t="n"/>
      <c r="S1106" s="60" t="n"/>
      <c r="T1106" s="60" t="n"/>
      <c r="U1106" s="60" t="n"/>
      <c r="V1106" s="60" t="n"/>
      <c r="W1106" s="60" t="n"/>
      <c r="X1106" s="60" t="n"/>
      <c r="Y1106" s="60" t="n"/>
      <c r="Z1106" s="60" t="n"/>
    </row>
    <row r="1107">
      <c r="A1107" s="151" t="n">
        <v>46118</v>
      </c>
      <c r="B1107" s="70" t="n">
        <v>153</v>
      </c>
      <c r="C1107" s="115" t="inlineStr">
        <is>
          <t>SELİM İNŞAAT</t>
        </is>
      </c>
      <c r="D1107" s="115" t="inlineStr">
        <is>
          <t>34 FBR 771</t>
        </is>
      </c>
      <c r="E1107" s="115" t="inlineStr">
        <is>
          <t>SALİH YALÇIN</t>
        </is>
      </c>
      <c r="F1107" s="65" t="n">
        <v>352009</v>
      </c>
      <c r="G1107" s="152" t="n">
        <v>459</v>
      </c>
      <c r="H1107" s="60" t="n"/>
      <c r="I1107" s="156">
        <f>+I1106+(G1107-H1107)</f>
        <v/>
      </c>
      <c r="J1107" s="60" t="n"/>
      <c r="K1107" s="60" t="n"/>
      <c r="L1107" s="158">
        <f>+H1107*J1107</f>
        <v/>
      </c>
      <c r="M1107" s="159">
        <f>SUM(M1106+K1107-L1107)</f>
        <v/>
      </c>
      <c r="N1107" s="60" t="n"/>
      <c r="O1107" s="60" t="n"/>
      <c r="P1107" s="60" t="n"/>
      <c r="Q1107" s="60" t="n"/>
      <c r="R1107" s="60" t="n"/>
      <c r="S1107" s="60" t="n"/>
      <c r="T1107" s="60" t="n"/>
      <c r="U1107" s="60" t="n"/>
      <c r="V1107" s="60" t="n"/>
      <c r="W1107" s="60" t="n"/>
      <c r="X1107" s="60" t="n"/>
      <c r="Y1107" s="60" t="n"/>
      <c r="Z1107" s="60" t="n"/>
    </row>
    <row r="1108">
      <c r="A1108" s="151" t="n">
        <v>46118</v>
      </c>
      <c r="B1108" s="70" t="n">
        <v>3494</v>
      </c>
      <c r="C1108" s="115" t="inlineStr">
        <is>
          <t>SELİM İNŞAAT</t>
        </is>
      </c>
      <c r="D1108" s="115" t="inlineStr">
        <is>
          <t>34 EDB 754</t>
        </is>
      </c>
      <c r="E1108" s="115" t="inlineStr">
        <is>
          <t>SELÇUK BASTIK</t>
        </is>
      </c>
      <c r="F1108" s="65" t="n">
        <v>375692</v>
      </c>
      <c r="G1108" s="152" t="n">
        <v>346</v>
      </c>
      <c r="H1108" s="60" t="n"/>
      <c r="I1108" s="156">
        <f>+I1107+(G1108-H1108)</f>
        <v/>
      </c>
      <c r="J1108" s="60" t="n"/>
      <c r="K1108" s="60" t="n"/>
      <c r="L1108" s="158">
        <f>+H1108*J1108</f>
        <v/>
      </c>
      <c r="M1108" s="159">
        <f>SUM(M1107+K1108-L1108)</f>
        <v/>
      </c>
      <c r="N1108" s="60" t="n"/>
      <c r="O1108" s="60" t="n"/>
      <c r="P1108" s="60" t="n"/>
      <c r="Q1108" s="60" t="n"/>
      <c r="R1108" s="60" t="n"/>
      <c r="S1108" s="60" t="n"/>
      <c r="T1108" s="60" t="n"/>
      <c r="U1108" s="60" t="n"/>
      <c r="V1108" s="60" t="n"/>
      <c r="W1108" s="60" t="n"/>
      <c r="X1108" s="60" t="n"/>
      <c r="Y1108" s="60" t="n"/>
      <c r="Z1108" s="60" t="n"/>
    </row>
    <row r="1109">
      <c r="A1109" s="151" t="n">
        <v>46118</v>
      </c>
      <c r="B1109" s="70" t="n">
        <v>4933</v>
      </c>
      <c r="C1109" s="115" t="inlineStr">
        <is>
          <t>SELİM İNŞAAT</t>
        </is>
      </c>
      <c r="D1109" s="115" t="inlineStr">
        <is>
          <t>34 FBR 742</t>
        </is>
      </c>
      <c r="E1109" s="115" t="inlineStr">
        <is>
          <t>ADNAN KOÇ</t>
        </is>
      </c>
      <c r="F1109" s="65" t="n">
        <v>369700</v>
      </c>
      <c r="G1109" s="152" t="n">
        <v>325</v>
      </c>
      <c r="H1109" s="60" t="n"/>
      <c r="I1109" s="156">
        <f>+I1108+(G1109-H1109)</f>
        <v/>
      </c>
      <c r="J1109" s="60" t="n"/>
      <c r="K1109" s="60" t="n"/>
      <c r="L1109" s="158">
        <f>+H1109*J1109</f>
        <v/>
      </c>
      <c r="M1109" s="159">
        <f>SUM(M1108+K1109-L1109)</f>
        <v/>
      </c>
      <c r="N1109" s="60" t="n"/>
      <c r="O1109" s="60" t="n"/>
      <c r="P1109" s="60" t="n"/>
      <c r="Q1109" s="60" t="n"/>
      <c r="R1109" s="60" t="n"/>
      <c r="S1109" s="60" t="n"/>
      <c r="T1109" s="60" t="n"/>
      <c r="U1109" s="60" t="n"/>
      <c r="V1109" s="60" t="n"/>
      <c r="W1109" s="60" t="n"/>
      <c r="X1109" s="60" t="n"/>
      <c r="Y1109" s="60" t="n"/>
      <c r="Z1109" s="60" t="n"/>
    </row>
    <row r="1110">
      <c r="A1110" s="151" t="n">
        <v>46118</v>
      </c>
      <c r="B1110" s="70" t="n">
        <v>33378</v>
      </c>
      <c r="C1110" s="115" t="inlineStr">
        <is>
          <t>SELİM İNŞAAT</t>
        </is>
      </c>
      <c r="D1110" s="115" t="inlineStr">
        <is>
          <t>34 GUS 938</t>
        </is>
      </c>
      <c r="E1110" s="115" t="inlineStr">
        <is>
          <t>MEHMET KAYA</t>
        </is>
      </c>
      <c r="F1110" s="65" t="n">
        <v>251478</v>
      </c>
      <c r="G1110" s="152" t="n">
        <v>397</v>
      </c>
      <c r="H1110" s="60" t="n"/>
      <c r="I1110" s="156">
        <f>+I1109+(G1110-H1110)</f>
        <v/>
      </c>
      <c r="J1110" s="60" t="n"/>
      <c r="K1110" s="60" t="n"/>
      <c r="L1110" s="158">
        <f>+H1110*J1110</f>
        <v/>
      </c>
      <c r="M1110" s="159">
        <f>SUM(M1109+K1110-L1110)</f>
        <v/>
      </c>
      <c r="N1110" s="60" t="n"/>
      <c r="O1110" s="60" t="n"/>
      <c r="P1110" s="60" t="n"/>
      <c r="Q1110" s="60" t="n"/>
      <c r="R1110" s="60" t="n"/>
      <c r="S1110" s="60" t="n"/>
      <c r="T1110" s="60" t="n"/>
      <c r="U1110" s="60" t="n"/>
      <c r="V1110" s="60" t="n"/>
      <c r="W1110" s="60" t="n"/>
      <c r="X1110" s="60" t="n"/>
      <c r="Y1110" s="60" t="n"/>
      <c r="Z1110" s="60" t="n"/>
    </row>
    <row r="1111">
      <c r="A1111" s="151" t="n">
        <v>46118</v>
      </c>
      <c r="B1111" s="70" t="n">
        <v>102</v>
      </c>
      <c r="C1111" s="115" t="inlineStr">
        <is>
          <t>SELİM İNŞAAT</t>
        </is>
      </c>
      <c r="D1111" s="115" t="inlineStr">
        <is>
          <t>34 GUS 848</t>
        </is>
      </c>
      <c r="E1111" s="115" t="inlineStr">
        <is>
          <t>SERDAR BOZKURT</t>
        </is>
      </c>
      <c r="F1111" s="65" t="n">
        <v>237347</v>
      </c>
      <c r="G1111" s="152" t="n">
        <v>531</v>
      </c>
      <c r="H1111" s="60" t="n"/>
      <c r="I1111" s="156">
        <f>+I1110+(G1111-H1111)</f>
        <v/>
      </c>
      <c r="J1111" s="60" t="n"/>
      <c r="K1111" s="60" t="n"/>
      <c r="L1111" s="158">
        <f>+H1111*J1111</f>
        <v/>
      </c>
      <c r="M1111" s="159">
        <f>SUM(M1110+K1111-L1111)</f>
        <v/>
      </c>
      <c r="N1111" s="60" t="n"/>
      <c r="O1111" s="60" t="n"/>
      <c r="P1111" s="60" t="n"/>
      <c r="Q1111" s="60" t="n"/>
      <c r="R1111" s="60" t="n"/>
      <c r="S1111" s="60" t="n"/>
      <c r="T1111" s="60" t="n"/>
      <c r="U1111" s="60" t="n"/>
      <c r="V1111" s="60" t="n"/>
      <c r="W1111" s="60" t="n"/>
      <c r="X1111" s="60" t="n"/>
      <c r="Y1111" s="60" t="n"/>
      <c r="Z1111" s="60" t="n"/>
    </row>
    <row r="1112">
      <c r="A1112" s="151" t="n">
        <v>46118</v>
      </c>
      <c r="B1112" s="70" t="n">
        <v>857</v>
      </c>
      <c r="C1112" s="115" t="inlineStr">
        <is>
          <t>SELİM İNŞAAT</t>
        </is>
      </c>
      <c r="D1112" s="115" t="inlineStr">
        <is>
          <t>34 EGR 922</t>
        </is>
      </c>
      <c r="E1112" s="115" t="inlineStr">
        <is>
          <t>FARUK ÖZEN</t>
        </is>
      </c>
      <c r="F1112" s="65" t="n">
        <v>508881</v>
      </c>
      <c r="G1112" s="152" t="n">
        <v>541</v>
      </c>
      <c r="H1112" s="60" t="n"/>
      <c r="I1112" s="156">
        <f>+I1111+(G1112-H1112)</f>
        <v/>
      </c>
      <c r="J1112" s="60" t="n"/>
      <c r="K1112" s="60" t="n"/>
      <c r="L1112" s="158">
        <f>+H1112*J1112</f>
        <v/>
      </c>
      <c r="M1112" s="159">
        <f>SUM(M1111+K1112-L1112)</f>
        <v/>
      </c>
      <c r="N1112" s="60" t="n"/>
      <c r="O1112" s="60" t="n"/>
      <c r="P1112" s="60" t="n"/>
      <c r="Q1112" s="60" t="n"/>
      <c r="R1112" s="60" t="n"/>
      <c r="S1112" s="60" t="n"/>
      <c r="T1112" s="60" t="n"/>
      <c r="U1112" s="60" t="n"/>
      <c r="V1112" s="60" t="n"/>
      <c r="W1112" s="60" t="n"/>
      <c r="X1112" s="60" t="n"/>
      <c r="Y1112" s="60" t="n"/>
      <c r="Z1112" s="60" t="n"/>
    </row>
    <row r="1113">
      <c r="A1113" s="151" t="n">
        <v>46118</v>
      </c>
      <c r="B1113" s="70" t="n">
        <v>912</v>
      </c>
      <c r="C1113" s="115" t="inlineStr">
        <is>
          <t>SELİM İNŞAAT</t>
        </is>
      </c>
      <c r="D1113" s="115" t="inlineStr">
        <is>
          <t>34 FSG 229</t>
        </is>
      </c>
      <c r="E1113" s="115" t="inlineStr">
        <is>
          <t>SİNAN TANRIVERDİ</t>
        </is>
      </c>
      <c r="F1113" s="65" t="n">
        <v>304076</v>
      </c>
      <c r="G1113" s="152" t="n">
        <v>511</v>
      </c>
      <c r="H1113" s="60" t="n"/>
      <c r="I1113" s="156">
        <f>+I1112+(G1113-H1113)</f>
        <v/>
      </c>
      <c r="J1113" s="60" t="n"/>
      <c r="K1113" s="60" t="n"/>
      <c r="L1113" s="158">
        <f>+H1113*J1113</f>
        <v/>
      </c>
      <c r="M1113" s="159">
        <f>SUM(M1112+K1113-L1113)</f>
        <v/>
      </c>
      <c r="N1113" s="60" t="n"/>
      <c r="O1113" s="60" t="n"/>
      <c r="P1113" s="60" t="n"/>
      <c r="Q1113" s="60" t="n"/>
      <c r="R1113" s="60" t="n"/>
      <c r="S1113" s="60" t="n"/>
      <c r="T1113" s="60" t="n"/>
      <c r="U1113" s="60" t="n"/>
      <c r="V1113" s="60" t="n"/>
      <c r="W1113" s="60" t="n"/>
      <c r="X1113" s="60" t="n"/>
      <c r="Y1113" s="60" t="n"/>
      <c r="Z1113" s="60" t="n"/>
    </row>
    <row r="1114">
      <c r="A1114" s="151" t="n">
        <v>46118</v>
      </c>
      <c r="B1114" s="70" t="n">
        <v>3397</v>
      </c>
      <c r="C1114" s="115" t="inlineStr">
        <is>
          <t>SELİM İNŞAAT</t>
        </is>
      </c>
      <c r="D1114" s="115" t="inlineStr">
        <is>
          <t>34 EDC 162</t>
        </is>
      </c>
      <c r="E1114" s="115" t="inlineStr">
        <is>
          <t xml:space="preserve">YAKUP GÜNER </t>
        </is>
      </c>
      <c r="F1114" s="65" t="n">
        <v>419931</v>
      </c>
      <c r="G1114" s="152" t="n">
        <v>494</v>
      </c>
      <c r="H1114" s="60" t="n"/>
      <c r="I1114" s="156">
        <f>+I1113+(G1114-H1114)</f>
        <v/>
      </c>
      <c r="J1114" s="60" t="n"/>
      <c r="K1114" s="60" t="n"/>
      <c r="L1114" s="158">
        <f>+H1114*J1114</f>
        <v/>
      </c>
      <c r="M1114" s="159">
        <f>SUM(M1113+K1114-L1114)</f>
        <v/>
      </c>
      <c r="N1114" s="60" t="n"/>
      <c r="O1114" s="60" t="n"/>
      <c r="P1114" s="60" t="n"/>
      <c r="Q1114" s="60" t="n"/>
      <c r="R1114" s="60" t="n"/>
      <c r="S1114" s="60" t="n"/>
      <c r="T1114" s="60" t="n"/>
      <c r="U1114" s="60" t="n"/>
      <c r="V1114" s="60" t="n"/>
      <c r="W1114" s="60" t="n"/>
      <c r="X1114" s="60" t="n"/>
      <c r="Y1114" s="60" t="n"/>
      <c r="Z1114" s="60" t="n"/>
    </row>
    <row r="1115">
      <c r="A1115" s="151" t="n">
        <v>46118</v>
      </c>
      <c r="B1115" s="70" t="n">
        <v>1348</v>
      </c>
      <c r="C1115" s="115" t="inlineStr">
        <is>
          <t>SELİM İNŞAAT</t>
        </is>
      </c>
      <c r="D1115" s="115" t="inlineStr">
        <is>
          <t>34 GVZ 199</t>
        </is>
      </c>
      <c r="E1115" s="115" t="inlineStr">
        <is>
          <t>HÜSEYİN DENİZ</t>
        </is>
      </c>
      <c r="F1115" s="65" t="n">
        <v>230853</v>
      </c>
      <c r="G1115" s="152" t="n">
        <v>491</v>
      </c>
      <c r="H1115" s="60" t="n"/>
      <c r="I1115" s="156">
        <f>+I1114+(G1115-H1115)</f>
        <v/>
      </c>
      <c r="J1115" s="60" t="n"/>
      <c r="K1115" s="60" t="n"/>
      <c r="L1115" s="158">
        <f>+H1115*J1115</f>
        <v/>
      </c>
      <c r="M1115" s="159">
        <f>SUM(M1114+K1115-L1115)</f>
        <v/>
      </c>
      <c r="N1115" s="60" t="n"/>
      <c r="O1115" s="60" t="n"/>
      <c r="P1115" s="60" t="n"/>
      <c r="Q1115" s="60" t="n"/>
      <c r="R1115" s="60" t="n"/>
      <c r="S1115" s="60" t="n"/>
      <c r="T1115" s="60" t="n"/>
      <c r="U1115" s="60" t="n"/>
      <c r="V1115" s="60" t="n"/>
      <c r="W1115" s="60" t="n"/>
      <c r="X1115" s="60" t="n"/>
      <c r="Y1115" s="60" t="n"/>
      <c r="Z1115" s="60" t="n"/>
    </row>
    <row r="1116">
      <c r="A1116" s="151" t="n">
        <v>46118</v>
      </c>
      <c r="B1116" s="70" t="n">
        <v>4774</v>
      </c>
      <c r="C1116" s="115" t="inlineStr">
        <is>
          <t>SELİM İNŞAAT</t>
        </is>
      </c>
      <c r="D1116" s="115" t="inlineStr">
        <is>
          <t>34 DGP 137</t>
        </is>
      </c>
      <c r="E1116" s="115" t="inlineStr">
        <is>
          <t>CEM MUHTAR</t>
        </is>
      </c>
      <c r="F1116" s="115" t="n">
        <v>478184</v>
      </c>
      <c r="G1116" s="152" t="n">
        <v>459</v>
      </c>
      <c r="H1116" s="60" t="n"/>
      <c r="I1116" s="156">
        <f>+I1115+(G1116-H1116)</f>
        <v/>
      </c>
      <c r="J1116" s="60" t="n"/>
      <c r="K1116" s="60" t="n"/>
      <c r="L1116" s="158">
        <f>+H1116*J1116</f>
        <v/>
      </c>
      <c r="M1116" s="159">
        <f>SUM(M1115+K1116-L1116)</f>
        <v/>
      </c>
      <c r="N1116" s="60" t="n"/>
      <c r="O1116" s="60" t="n"/>
      <c r="P1116" s="60" t="n"/>
      <c r="Q1116" s="60" t="n"/>
      <c r="R1116" s="60" t="n"/>
      <c r="S1116" s="60" t="n"/>
      <c r="T1116" s="60" t="n"/>
      <c r="U1116" s="60" t="n"/>
      <c r="V1116" s="60" t="n"/>
      <c r="W1116" s="60" t="n"/>
      <c r="X1116" s="60" t="n"/>
      <c r="Y1116" s="60" t="n"/>
      <c r="Z1116" s="60" t="n"/>
    </row>
    <row r="1117">
      <c r="A1117" s="151" t="n">
        <v>46118</v>
      </c>
      <c r="B1117" s="70" t="n">
        <v>822</v>
      </c>
      <c r="C1117" s="115" t="inlineStr">
        <is>
          <t>METİN ERYİĞİT</t>
        </is>
      </c>
      <c r="D1117" s="115" t="inlineStr">
        <is>
          <t>34 GBL 998</t>
        </is>
      </c>
      <c r="E1117" s="115" t="inlineStr">
        <is>
          <t>ALİ KESKİN</t>
        </is>
      </c>
      <c r="F1117" s="115" t="n">
        <v>355153</v>
      </c>
      <c r="G1117" s="152" t="n">
        <v>426</v>
      </c>
      <c r="H1117" s="60" t="n"/>
      <c r="I1117" s="156">
        <f>+I1116+(G1117-H1117)</f>
        <v/>
      </c>
      <c r="J1117" s="60" t="n"/>
      <c r="K1117" s="60" t="n"/>
      <c r="L1117" s="158">
        <f>+H1117*J1117</f>
        <v/>
      </c>
      <c r="M1117" s="159">
        <f>SUM(M1116+K1117-L1117)</f>
        <v/>
      </c>
      <c r="N1117" s="60" t="n"/>
      <c r="O1117" s="60" t="n"/>
      <c r="P1117" s="60" t="n"/>
      <c r="Q1117" s="60" t="n"/>
      <c r="R1117" s="60" t="n"/>
      <c r="S1117" s="60" t="n"/>
      <c r="T1117" s="60" t="n"/>
      <c r="U1117" s="60" t="n"/>
      <c r="V1117" s="60" t="n"/>
      <c r="W1117" s="60" t="n"/>
      <c r="X1117" s="60" t="n"/>
      <c r="Y1117" s="60" t="n"/>
      <c r="Z1117" s="60" t="n"/>
    </row>
    <row r="1118">
      <c r="A1118" s="151" t="n">
        <v>46118</v>
      </c>
      <c r="B1118" s="70" t="n">
        <v>763</v>
      </c>
      <c r="C1118" s="115" t="inlineStr">
        <is>
          <t>METİN ERYİĞİT</t>
        </is>
      </c>
      <c r="D1118" s="115" t="inlineStr">
        <is>
          <t>34 EGR 814</t>
        </is>
      </c>
      <c r="E1118" s="115" t="inlineStr">
        <is>
          <t>ZİYA İNCE</t>
        </is>
      </c>
      <c r="F1118" s="115" t="n">
        <v>615935</v>
      </c>
      <c r="G1118" s="152" t="n">
        <v>460</v>
      </c>
      <c r="H1118" s="60" t="n"/>
      <c r="I1118" s="156">
        <f>+I1117+(G1118-H1118)</f>
        <v/>
      </c>
      <c r="J1118" s="60" t="n"/>
      <c r="K1118" s="60" t="n"/>
      <c r="L1118" s="158">
        <f>+H1118*J1118</f>
        <v/>
      </c>
      <c r="M1118" s="159">
        <f>SUM(M1117+K1118-L1118)</f>
        <v/>
      </c>
      <c r="N1118" s="60" t="n"/>
      <c r="O1118" s="60" t="n"/>
      <c r="P1118" s="60" t="n"/>
      <c r="Q1118" s="60" t="n"/>
      <c r="R1118" s="60" t="n"/>
      <c r="S1118" s="60" t="n"/>
      <c r="T1118" s="60" t="n"/>
      <c r="U1118" s="60" t="n"/>
      <c r="V1118" s="60" t="n"/>
      <c r="W1118" s="60" t="n"/>
      <c r="X1118" s="60" t="n"/>
      <c r="Y1118" s="60" t="n"/>
      <c r="Z1118" s="60" t="n"/>
    </row>
    <row r="1119">
      <c r="A1119" s="151" t="n">
        <v>46118</v>
      </c>
      <c r="B1119" s="70" t="n">
        <v>724</v>
      </c>
      <c r="C1119" s="115" t="inlineStr">
        <is>
          <t>METİN ERYİĞİT</t>
        </is>
      </c>
      <c r="D1119" s="115" t="inlineStr">
        <is>
          <t>34 EGS 013</t>
        </is>
      </c>
      <c r="E1119" s="115" t="inlineStr">
        <is>
          <t>UĞUR DUMAN</t>
        </is>
      </c>
      <c r="F1119" s="115" t="n">
        <v>571604</v>
      </c>
      <c r="G1119" s="152" t="n">
        <v>459</v>
      </c>
      <c r="H1119" s="60" t="n"/>
      <c r="I1119" s="156">
        <f>+I1118+(G1119-H1119)</f>
        <v/>
      </c>
      <c r="J1119" s="60" t="n"/>
      <c r="K1119" s="60" t="n"/>
      <c r="L1119" s="158">
        <f>+H1119*J1119</f>
        <v/>
      </c>
      <c r="M1119" s="159">
        <f>SUM(M1118+K1119-L1119)</f>
        <v/>
      </c>
      <c r="N1119" s="60" t="n"/>
      <c r="O1119" s="60" t="n"/>
      <c r="P1119" s="60" t="n"/>
      <c r="Q1119" s="60" t="n"/>
      <c r="R1119" s="60" t="n"/>
      <c r="S1119" s="60" t="n"/>
      <c r="T1119" s="60" t="n"/>
      <c r="U1119" s="60" t="n"/>
      <c r="V1119" s="60" t="n"/>
      <c r="W1119" s="60" t="n"/>
      <c r="X1119" s="60" t="n"/>
      <c r="Y1119" s="60" t="n"/>
      <c r="Z1119" s="60" t="n"/>
    </row>
    <row r="1120">
      <c r="A1120" s="151" t="n">
        <v>46118</v>
      </c>
      <c r="B1120" s="70" t="n">
        <v>635</v>
      </c>
      <c r="C1120" s="152" t="inlineStr">
        <is>
          <t>AHMET SELİM TEMHA</t>
        </is>
      </c>
      <c r="D1120" s="115" t="inlineStr">
        <is>
          <t>34 PGT 251</t>
        </is>
      </c>
      <c r="E1120" s="115" t="inlineStr">
        <is>
          <t>ERSOY SIĞINMAZ</t>
        </is>
      </c>
      <c r="F1120" s="115" t="n"/>
      <c r="G1120" s="152" t="n">
        <v>61</v>
      </c>
      <c r="H1120" s="60" t="n"/>
      <c r="I1120" s="156">
        <f>+I1119+(G1120-H1120)</f>
        <v/>
      </c>
      <c r="J1120" s="60" t="n"/>
      <c r="K1120" s="60" t="n"/>
      <c r="L1120" s="158">
        <f>+H1120*J1120</f>
        <v/>
      </c>
      <c r="M1120" s="159">
        <f>SUM(M1119+K1120-L1120)</f>
        <v/>
      </c>
      <c r="N1120" s="60" t="n"/>
      <c r="O1120" s="60" t="n"/>
      <c r="P1120" s="60" t="n"/>
      <c r="Q1120" s="60" t="n"/>
      <c r="R1120" s="60" t="n"/>
      <c r="S1120" s="60" t="n"/>
      <c r="T1120" s="60" t="n"/>
      <c r="U1120" s="60" t="n"/>
      <c r="V1120" s="60" t="n"/>
      <c r="W1120" s="60" t="n"/>
      <c r="X1120" s="60" t="n"/>
      <c r="Y1120" s="60" t="n"/>
      <c r="Z1120" s="60" t="n"/>
    </row>
    <row r="1121">
      <c r="A1121" s="151" t="n">
        <v>46118</v>
      </c>
      <c r="B1121" s="70" t="n">
        <v>636</v>
      </c>
      <c r="C1121" s="152" t="inlineStr">
        <is>
          <t>AHMET SELİM TEMHA</t>
        </is>
      </c>
      <c r="D1121" s="115" t="inlineStr">
        <is>
          <t>34 PGT 251</t>
        </is>
      </c>
      <c r="E1121" s="115" t="inlineStr">
        <is>
          <t>ERSOY SIĞINMAZ</t>
        </is>
      </c>
      <c r="F1121" s="115" t="n"/>
      <c r="G1121" s="152" t="n">
        <v>55</v>
      </c>
      <c r="H1121" s="60" t="n"/>
      <c r="I1121" s="156">
        <f>+I1120+(G1121-H1121)</f>
        <v/>
      </c>
      <c r="J1121" s="60" t="n"/>
      <c r="K1121" s="60" t="n"/>
      <c r="L1121" s="158">
        <f>+H1121*J1121</f>
        <v/>
      </c>
      <c r="M1121" s="159">
        <f>SUM(M1120+K1121-L1121)</f>
        <v/>
      </c>
      <c r="N1121" s="60" t="n"/>
      <c r="O1121" s="60" t="n"/>
      <c r="P1121" s="60" t="n"/>
      <c r="Q1121" s="60" t="n"/>
      <c r="R1121" s="60" t="n"/>
      <c r="S1121" s="60" t="n"/>
      <c r="T1121" s="60" t="n"/>
      <c r="U1121" s="60" t="n"/>
      <c r="V1121" s="60" t="n"/>
      <c r="W1121" s="60" t="n"/>
      <c r="X1121" s="60" t="n"/>
      <c r="Y1121" s="60" t="n"/>
      <c r="Z1121" s="60" t="n"/>
    </row>
    <row r="1122">
      <c r="A1122" s="151" t="n">
        <v>46118</v>
      </c>
      <c r="B1122" s="70" t="n">
        <v>637</v>
      </c>
      <c r="C1122" s="152" t="inlineStr">
        <is>
          <t>ENES SELİM VİNÇ</t>
        </is>
      </c>
      <c r="D1122" s="115" t="inlineStr">
        <is>
          <t>34 TB 926</t>
        </is>
      </c>
      <c r="E1122" s="115" t="inlineStr">
        <is>
          <t>ENES SELİM</t>
        </is>
      </c>
      <c r="F1122" s="115" t="n"/>
      <c r="G1122" s="152" t="n">
        <v>184</v>
      </c>
      <c r="H1122" s="60" t="n"/>
      <c r="I1122" s="156">
        <f>+I1121+(G1122-H1122)</f>
        <v/>
      </c>
      <c r="J1122" s="60" t="n"/>
      <c r="K1122" s="60" t="n"/>
      <c r="L1122" s="158">
        <f>+H1122*J1122</f>
        <v/>
      </c>
      <c r="M1122" s="159">
        <f>SUM(M1121+K1122-L1122)</f>
        <v/>
      </c>
      <c r="N1122" s="60" t="n"/>
      <c r="O1122" s="60" t="n"/>
      <c r="P1122" s="60" t="n"/>
      <c r="Q1122" s="60" t="n"/>
      <c r="R1122" s="60" t="n"/>
      <c r="S1122" s="60" t="n"/>
      <c r="T1122" s="60" t="n"/>
      <c r="U1122" s="60" t="n"/>
      <c r="V1122" s="60" t="n"/>
      <c r="W1122" s="60" t="n"/>
      <c r="X1122" s="60" t="n"/>
      <c r="Y1122" s="60" t="n"/>
      <c r="Z1122" s="60" t="n"/>
    </row>
    <row r="1123">
      <c r="A1123" s="151" t="n">
        <v>46118</v>
      </c>
      <c r="B1123" s="70" t="n">
        <v>638</v>
      </c>
      <c r="C1123" s="152" t="inlineStr">
        <is>
          <t>MAHMUT VİNÇ</t>
        </is>
      </c>
      <c r="D1123" s="115" t="inlineStr">
        <is>
          <t>34 AH 5401</t>
        </is>
      </c>
      <c r="E1123" s="115" t="inlineStr">
        <is>
          <t>YASİN DEMİR</t>
        </is>
      </c>
      <c r="F1123" s="115" t="n"/>
      <c r="G1123" s="152" t="n">
        <v>123</v>
      </c>
      <c r="H1123" s="60" t="n"/>
      <c r="I1123" s="156">
        <f>+I1122+(G1123-H1123)</f>
        <v/>
      </c>
      <c r="J1123" s="60" t="n"/>
      <c r="K1123" s="60" t="n"/>
      <c r="L1123" s="158">
        <f>+H1123*J1123</f>
        <v/>
      </c>
      <c r="M1123" s="159">
        <f>SUM(M1122+K1123-L1123)</f>
        <v/>
      </c>
      <c r="N1123" s="60" t="n"/>
      <c r="O1123" s="60" t="n"/>
      <c r="P1123" s="60" t="n"/>
      <c r="Q1123" s="60" t="n"/>
      <c r="R1123" s="60" t="n"/>
      <c r="S1123" s="60" t="n"/>
      <c r="T1123" s="60" t="n"/>
      <c r="U1123" s="60" t="n"/>
      <c r="V1123" s="60" t="n"/>
      <c r="W1123" s="60" t="n"/>
      <c r="X1123" s="60" t="n"/>
      <c r="Y1123" s="60" t="n"/>
      <c r="Z1123" s="60" t="n"/>
    </row>
    <row r="1124">
      <c r="A1124" s="151" t="n">
        <v>46118</v>
      </c>
      <c r="B1124" s="70" t="n">
        <v>3050</v>
      </c>
      <c r="C1124" s="152" t="inlineStr">
        <is>
          <t>SELİM İNŞAAT</t>
        </is>
      </c>
      <c r="D1124" s="115" t="inlineStr">
        <is>
          <t>34 FBR 781</t>
        </is>
      </c>
      <c r="E1124" s="115" t="inlineStr">
        <is>
          <t>MEVLÜT POLAT</t>
        </is>
      </c>
      <c r="F1124" s="115" t="n">
        <v>366226</v>
      </c>
      <c r="G1124" s="152" t="n">
        <v>464</v>
      </c>
      <c r="H1124" s="60" t="n"/>
      <c r="I1124" s="156">
        <f>+I1123+(G1124-H1124)</f>
        <v/>
      </c>
      <c r="J1124" s="60" t="n"/>
      <c r="K1124" s="60" t="n"/>
      <c r="L1124" s="158">
        <f>+H1124*J1124</f>
        <v/>
      </c>
      <c r="M1124" s="159">
        <f>SUM(M1123+K1124-L1124)</f>
        <v/>
      </c>
      <c r="N1124" s="60" t="n"/>
      <c r="O1124" s="60" t="n"/>
      <c r="P1124" s="60" t="n"/>
      <c r="Q1124" s="60" t="n"/>
      <c r="R1124" s="60" t="n"/>
      <c r="S1124" s="60" t="n"/>
      <c r="T1124" s="60" t="n"/>
      <c r="U1124" s="60" t="n"/>
      <c r="V1124" s="60" t="n"/>
      <c r="W1124" s="60" t="n"/>
      <c r="X1124" s="60" t="n"/>
      <c r="Y1124" s="60" t="n"/>
      <c r="Z1124" s="60" t="n"/>
    </row>
    <row r="1125">
      <c r="A1125" s="151" t="n">
        <v>46118</v>
      </c>
      <c r="B1125" s="70" t="n">
        <v>4121</v>
      </c>
      <c r="C1125" s="152" t="inlineStr">
        <is>
          <t>SELİM İNŞAAT</t>
        </is>
      </c>
      <c r="D1125" s="115" t="inlineStr">
        <is>
          <t>34 EDB 659</t>
        </is>
      </c>
      <c r="E1125" s="115" t="inlineStr">
        <is>
          <t>YASİN ÇATAKLI</t>
        </is>
      </c>
      <c r="F1125" s="115" t="n">
        <v>393965</v>
      </c>
      <c r="G1125" s="152" t="n">
        <v>509</v>
      </c>
      <c r="H1125" s="60" t="n"/>
      <c r="I1125" s="156">
        <f>+I1124+(G1125-H1125)</f>
        <v/>
      </c>
      <c r="J1125" s="60" t="n"/>
      <c r="K1125" s="60" t="n"/>
      <c r="L1125" s="158">
        <f>+H1125*J1125</f>
        <v/>
      </c>
      <c r="M1125" s="159">
        <f>SUM(M1124+K1125-L1125)</f>
        <v/>
      </c>
      <c r="N1125" s="60" t="n"/>
      <c r="O1125" s="60" t="n"/>
      <c r="P1125" s="60" t="n"/>
      <c r="Q1125" s="60" t="n"/>
      <c r="R1125" s="60" t="n"/>
      <c r="S1125" s="60" t="n"/>
      <c r="T1125" s="60" t="n"/>
      <c r="U1125" s="60" t="n"/>
      <c r="V1125" s="60" t="n"/>
      <c r="W1125" s="60" t="n"/>
      <c r="X1125" s="60" t="n"/>
      <c r="Y1125" s="60" t="n"/>
      <c r="Z1125" s="60" t="n"/>
    </row>
    <row r="1126">
      <c r="A1126" s="151" t="n">
        <v>46118</v>
      </c>
      <c r="B1126" s="70" t="n">
        <v>4884</v>
      </c>
      <c r="C1126" s="152" t="inlineStr">
        <is>
          <t>SELİM İNŞAAT</t>
        </is>
      </c>
      <c r="D1126" s="115" t="inlineStr">
        <is>
          <t>34 FBR 705</t>
        </is>
      </c>
      <c r="E1126" s="115" t="inlineStr">
        <is>
          <t>MURAT SARI</t>
        </is>
      </c>
      <c r="F1126" s="115" t="n">
        <v>366145</v>
      </c>
      <c r="G1126" s="152" t="n">
        <v>406</v>
      </c>
      <c r="H1126" s="60" t="n"/>
      <c r="I1126" s="156">
        <f>+I1125+(G1126-H1126)</f>
        <v/>
      </c>
      <c r="J1126" s="60" t="n"/>
      <c r="K1126" s="60" t="n"/>
      <c r="L1126" s="158">
        <f>+H1126*J1126</f>
        <v/>
      </c>
      <c r="M1126" s="159">
        <f>SUM(M1125+K1126-L1126)</f>
        <v/>
      </c>
      <c r="N1126" s="60" t="n"/>
      <c r="O1126" s="60" t="n"/>
      <c r="P1126" s="60" t="n"/>
      <c r="Q1126" s="60" t="n"/>
      <c r="R1126" s="60" t="n"/>
      <c r="S1126" s="60" t="n"/>
      <c r="T1126" s="60" t="n"/>
      <c r="U1126" s="60" t="n"/>
      <c r="V1126" s="60" t="n"/>
      <c r="W1126" s="60" t="n"/>
      <c r="X1126" s="60" t="n"/>
      <c r="Y1126" s="60" t="n"/>
      <c r="Z1126" s="60" t="n"/>
    </row>
    <row r="1127">
      <c r="A1127" s="151" t="n">
        <v>46118</v>
      </c>
      <c r="B1127" s="70" t="n">
        <v>3434</v>
      </c>
      <c r="C1127" s="152" t="inlineStr">
        <is>
          <t>SELİM İNŞAAT</t>
        </is>
      </c>
      <c r="D1127" s="115" t="inlineStr">
        <is>
          <t>34 GVZ 310</t>
        </is>
      </c>
      <c r="E1127" s="115" t="inlineStr">
        <is>
          <t>CELAL YÜZBAŞI</t>
        </is>
      </c>
      <c r="F1127" s="115" t="n">
        <v>251375</v>
      </c>
      <c r="G1127" s="152" t="n">
        <v>549</v>
      </c>
      <c r="H1127" s="60" t="n"/>
      <c r="I1127" s="156">
        <f>+I1126+(G1127-H1127)</f>
        <v/>
      </c>
      <c r="J1127" s="60" t="n"/>
      <c r="K1127" s="60" t="n"/>
      <c r="L1127" s="158">
        <f>+H1127*J1127</f>
        <v/>
      </c>
      <c r="M1127" s="159">
        <f>SUM(M1126+K1127-L1127)</f>
        <v/>
      </c>
      <c r="N1127" s="60" t="n"/>
      <c r="O1127" s="60" t="n"/>
      <c r="P1127" s="60" t="n"/>
      <c r="Q1127" s="60" t="n"/>
      <c r="R1127" s="60" t="n"/>
      <c r="S1127" s="60" t="n"/>
      <c r="T1127" s="60" t="n"/>
      <c r="U1127" s="60" t="n"/>
      <c r="V1127" s="60" t="n"/>
      <c r="W1127" s="60" t="n"/>
      <c r="X1127" s="60" t="n"/>
      <c r="Y1127" s="60" t="n"/>
      <c r="Z1127" s="60" t="n"/>
    </row>
    <row r="1128">
      <c r="A1128" s="151" t="n">
        <v>46118</v>
      </c>
      <c r="B1128" s="70" t="n">
        <v>1400</v>
      </c>
      <c r="C1128" s="152" t="inlineStr">
        <is>
          <t>AZGÜN YAPI</t>
        </is>
      </c>
      <c r="D1128" s="115" t="inlineStr">
        <is>
          <t>34 MKT 859</t>
        </is>
      </c>
      <c r="E1128" s="115" t="inlineStr">
        <is>
          <t>İRFAN DAĞLAR</t>
        </is>
      </c>
      <c r="F1128" s="115" t="n"/>
      <c r="G1128" s="152" t="n">
        <v>334</v>
      </c>
      <c r="H1128" s="60" t="n"/>
      <c r="I1128" s="156">
        <f>+I1127+(G1128-H1128)</f>
        <v/>
      </c>
      <c r="J1128" s="60" t="n"/>
      <c r="K1128" s="60" t="n"/>
      <c r="L1128" s="158">
        <f>+H1128*J1128</f>
        <v/>
      </c>
      <c r="M1128" s="159">
        <f>SUM(M1127+K1128-L1128)</f>
        <v/>
      </c>
      <c r="N1128" s="60" t="n"/>
      <c r="O1128" s="60" t="n"/>
      <c r="P1128" s="60" t="n"/>
      <c r="Q1128" s="60" t="n"/>
      <c r="R1128" s="60" t="n"/>
      <c r="S1128" s="60" t="n"/>
      <c r="T1128" s="60" t="n"/>
      <c r="U1128" s="60" t="n"/>
      <c r="V1128" s="60" t="n"/>
      <c r="W1128" s="60" t="n"/>
      <c r="X1128" s="60" t="n"/>
      <c r="Y1128" s="60" t="n"/>
      <c r="Z1128" s="60" t="n"/>
    </row>
    <row r="1129">
      <c r="A1129" s="151" t="n">
        <v>46118</v>
      </c>
      <c r="B1129" s="70" t="n">
        <v>1530</v>
      </c>
      <c r="C1129" s="152" t="inlineStr">
        <is>
          <t xml:space="preserve">CEVİZ MOBİLYA  </t>
        </is>
      </c>
      <c r="D1129" s="115" t="inlineStr">
        <is>
          <t>FORKLİFT</t>
        </is>
      </c>
      <c r="E1129" s="115" t="inlineStr">
        <is>
          <t>CEMAL AKYOL</t>
        </is>
      </c>
      <c r="F1129" s="115" t="n"/>
      <c r="G1129" s="152" t="n">
        <v>32</v>
      </c>
      <c r="H1129" s="60" t="n"/>
      <c r="I1129" s="156">
        <f>+I1128+(G1129-H1129)</f>
        <v/>
      </c>
      <c r="J1129" s="60" t="n"/>
      <c r="K1129" s="60" t="n"/>
      <c r="L1129" s="158">
        <f>+H1129*J1129</f>
        <v/>
      </c>
      <c r="M1129" s="159">
        <f>SUM(M1128+K1129-L1129)</f>
        <v/>
      </c>
      <c r="N1129" s="60" t="n"/>
      <c r="O1129" s="60" t="n"/>
      <c r="P1129" s="60" t="n"/>
      <c r="Q1129" s="60" t="n"/>
      <c r="R1129" s="60" t="n"/>
      <c r="S1129" s="60" t="n"/>
      <c r="T1129" s="60" t="n"/>
      <c r="U1129" s="60" t="n"/>
      <c r="V1129" s="60" t="n"/>
      <c r="W1129" s="60" t="n"/>
      <c r="X1129" s="60" t="n"/>
      <c r="Y1129" s="60" t="n"/>
      <c r="Z1129" s="60" t="n"/>
    </row>
    <row r="1130">
      <c r="A1130" s="151" t="n">
        <v>46118</v>
      </c>
      <c r="B1130" s="70" t="n">
        <v>1531</v>
      </c>
      <c r="C1130" s="152" t="inlineStr">
        <is>
          <t xml:space="preserve">CEVİZ MOBİLYA  </t>
        </is>
      </c>
      <c r="D1130" s="115" t="inlineStr">
        <is>
          <t>FORKLİFT</t>
        </is>
      </c>
      <c r="E1130" s="115" t="inlineStr">
        <is>
          <t>CEMAL AKYOL</t>
        </is>
      </c>
      <c r="F1130" s="115" t="n"/>
      <c r="G1130" s="152" t="n">
        <v>54</v>
      </c>
      <c r="H1130" s="60" t="n"/>
      <c r="I1130" s="156">
        <f>+I1129+(G1130-H1130)</f>
        <v/>
      </c>
      <c r="J1130" s="60" t="n"/>
      <c r="K1130" s="60" t="n"/>
      <c r="L1130" s="158">
        <f>+H1130*J1130</f>
        <v/>
      </c>
      <c r="M1130" s="159">
        <f>SUM(M1129+K1130-L1130)</f>
        <v/>
      </c>
      <c r="N1130" s="60" t="n"/>
      <c r="O1130" s="60" t="n"/>
      <c r="P1130" s="60" t="n"/>
      <c r="Q1130" s="60" t="n"/>
      <c r="R1130" s="60" t="n"/>
      <c r="S1130" s="60" t="n"/>
      <c r="T1130" s="60" t="n"/>
      <c r="U1130" s="60" t="n"/>
      <c r="V1130" s="60" t="n"/>
      <c r="W1130" s="60" t="n"/>
      <c r="X1130" s="60" t="n"/>
      <c r="Y1130" s="60" t="n"/>
      <c r="Z1130" s="60" t="n"/>
    </row>
    <row r="1131">
      <c r="A1131" s="151" t="n">
        <v>46118</v>
      </c>
      <c r="B1131" s="70" t="n">
        <v>1532</v>
      </c>
      <c r="C1131" s="152" t="inlineStr">
        <is>
          <t>MEGA VARLIK</t>
        </is>
      </c>
      <c r="D1131" s="115" t="inlineStr">
        <is>
          <t>SM350</t>
        </is>
      </c>
      <c r="E1131" s="115" t="inlineStr">
        <is>
          <t xml:space="preserve">MİKAİL BAYILMAZ </t>
        </is>
      </c>
      <c r="F1131" s="115" t="n"/>
      <c r="G1131" s="152" t="n">
        <v>421</v>
      </c>
      <c r="H1131" s="60" t="n"/>
      <c r="I1131" s="156">
        <f>+I1130+(G1131-H1131)</f>
        <v/>
      </c>
      <c r="J1131" s="60" t="n"/>
      <c r="K1131" s="60" t="n"/>
      <c r="L1131" s="158">
        <f>+H1131*J1131</f>
        <v/>
      </c>
      <c r="M1131" s="159">
        <f>SUM(M1130+K1131-L1131)</f>
        <v/>
      </c>
      <c r="N1131" s="60" t="n"/>
      <c r="O1131" s="60" t="n"/>
      <c r="P1131" s="60" t="n"/>
      <c r="Q1131" s="60" t="n"/>
      <c r="R1131" s="60" t="n"/>
      <c r="S1131" s="60" t="n"/>
      <c r="T1131" s="60" t="n"/>
      <c r="U1131" s="60" t="n"/>
      <c r="V1131" s="60" t="n"/>
      <c r="W1131" s="60" t="n"/>
      <c r="X1131" s="60" t="n"/>
      <c r="Y1131" s="60" t="n"/>
      <c r="Z1131" s="60" t="n"/>
    </row>
    <row r="1132">
      <c r="A1132" s="151" t="n">
        <v>46118</v>
      </c>
      <c r="B1132" s="70" t="n">
        <v>1533</v>
      </c>
      <c r="C1132" s="152" t="inlineStr">
        <is>
          <t>MEGA VARLIK</t>
        </is>
      </c>
      <c r="D1132" s="115" t="inlineStr">
        <is>
          <t>SM350</t>
        </is>
      </c>
      <c r="E1132" s="115" t="inlineStr">
        <is>
          <t>TEVFİK</t>
        </is>
      </c>
      <c r="F1132" s="115" t="n"/>
      <c r="G1132" s="152" t="n">
        <v>458</v>
      </c>
      <c r="H1132" s="60" t="n"/>
      <c r="I1132" s="156">
        <f>+I1131+(G1132-H1132)</f>
        <v/>
      </c>
      <c r="J1132" s="60" t="n"/>
      <c r="K1132" s="60" t="n"/>
      <c r="L1132" s="158">
        <f>+H1132*J1132</f>
        <v/>
      </c>
      <c r="M1132" s="159">
        <f>SUM(M1131+K1132-L1132)</f>
        <v/>
      </c>
      <c r="N1132" s="60" t="n"/>
      <c r="O1132" s="60" t="n"/>
      <c r="P1132" s="60" t="n"/>
      <c r="Q1132" s="60" t="n"/>
      <c r="R1132" s="60" t="n"/>
      <c r="S1132" s="60" t="n"/>
      <c r="T1132" s="60" t="n"/>
      <c r="U1132" s="60" t="n"/>
      <c r="V1132" s="60" t="n"/>
      <c r="W1132" s="60" t="n"/>
      <c r="X1132" s="60" t="n"/>
      <c r="Y1132" s="60" t="n"/>
      <c r="Z1132" s="60" t="n"/>
    </row>
    <row r="1133">
      <c r="A1133" s="151" t="n">
        <v>46118</v>
      </c>
      <c r="B1133" s="70" t="n">
        <v>1535</v>
      </c>
      <c r="C1133" s="152" t="inlineStr">
        <is>
          <t>MEGA VARLIK</t>
        </is>
      </c>
      <c r="D1133" s="115" t="inlineStr">
        <is>
          <t>ZOMLİON</t>
        </is>
      </c>
      <c r="E1133" s="115" t="inlineStr">
        <is>
          <t>SALİH YALÇIN</t>
        </is>
      </c>
      <c r="F1133" s="115" t="n"/>
      <c r="G1133" s="152" t="n">
        <v>267</v>
      </c>
      <c r="H1133" s="60" t="n"/>
      <c r="I1133" s="156">
        <f>+I1132+(G1133-H1133)</f>
        <v/>
      </c>
      <c r="J1133" s="60" t="n"/>
      <c r="K1133" s="60" t="n"/>
      <c r="L1133" s="158">
        <f>+H1133*J1133</f>
        <v/>
      </c>
      <c r="M1133" s="159">
        <f>SUM(M1132+K1133-L1133)</f>
        <v/>
      </c>
      <c r="N1133" s="60" t="n"/>
      <c r="O1133" s="60" t="n"/>
      <c r="P1133" s="60" t="n"/>
      <c r="Q1133" s="60" t="n"/>
      <c r="R1133" s="60" t="n"/>
      <c r="S1133" s="60" t="n"/>
      <c r="T1133" s="60" t="n"/>
      <c r="U1133" s="60" t="n"/>
      <c r="V1133" s="60" t="n"/>
      <c r="W1133" s="60" t="n"/>
      <c r="X1133" s="60" t="n"/>
      <c r="Y1133" s="60" t="n"/>
      <c r="Z1133" s="60" t="n"/>
    </row>
    <row r="1134">
      <c r="A1134" s="151" t="n">
        <v>46118</v>
      </c>
      <c r="B1134" s="70" t="n">
        <v>1536</v>
      </c>
      <c r="C1134" s="152" t="inlineStr">
        <is>
          <t>KOZMO</t>
        </is>
      </c>
      <c r="D1134" s="115" t="inlineStr">
        <is>
          <t>SM370</t>
        </is>
      </c>
      <c r="E1134" s="115" t="inlineStr">
        <is>
          <t>BEKİR</t>
        </is>
      </c>
      <c r="F1134" s="115" t="n"/>
      <c r="G1134" s="152" t="n">
        <v>470</v>
      </c>
      <c r="H1134" s="60" t="n"/>
      <c r="I1134" s="156">
        <f>+I1133+(G1134-H1134)</f>
        <v/>
      </c>
      <c r="J1134" s="60" t="n"/>
      <c r="K1134" s="60" t="n"/>
      <c r="L1134" s="158">
        <f>+H1134*J1134</f>
        <v/>
      </c>
      <c r="M1134" s="159">
        <f>SUM(M1133+K1134-L1134)</f>
        <v/>
      </c>
      <c r="N1134" s="60" t="n"/>
      <c r="O1134" s="60" t="n"/>
      <c r="P1134" s="60" t="n"/>
      <c r="Q1134" s="60" t="n"/>
      <c r="R1134" s="60" t="n"/>
      <c r="S1134" s="60" t="n"/>
      <c r="T1134" s="60" t="n"/>
      <c r="U1134" s="60" t="n"/>
      <c r="V1134" s="60" t="n"/>
      <c r="W1134" s="60" t="n"/>
      <c r="X1134" s="60" t="n"/>
      <c r="Y1134" s="60" t="n"/>
      <c r="Z1134" s="60" t="n"/>
    </row>
    <row r="1135">
      <c r="A1135" s="151" t="n">
        <v>46118</v>
      </c>
      <c r="B1135" s="70" t="n">
        <v>1537</v>
      </c>
      <c r="C1135" s="152" t="inlineStr">
        <is>
          <t>KOZMO</t>
        </is>
      </c>
      <c r="D1135" s="115" t="inlineStr">
        <is>
          <t>SM300</t>
        </is>
      </c>
      <c r="E1135" s="115" t="inlineStr">
        <is>
          <t>TEKİN ŞEYLAN</t>
        </is>
      </c>
      <c r="F1135" s="115" t="n"/>
      <c r="G1135" s="152" t="n">
        <v>200</v>
      </c>
      <c r="H1135" s="60" t="n"/>
      <c r="I1135" s="156">
        <f>+I1134+(G1135-H1135)</f>
        <v/>
      </c>
      <c r="J1135" s="60" t="n"/>
      <c r="K1135" s="60" t="n"/>
      <c r="L1135" s="158">
        <f>+H1135*J1135</f>
        <v/>
      </c>
      <c r="M1135" s="159">
        <f>SUM(M1134+K1135-L1135)</f>
        <v/>
      </c>
      <c r="N1135" s="60" t="n"/>
      <c r="O1135" s="60" t="n"/>
      <c r="P1135" s="60" t="n"/>
      <c r="Q1135" s="60" t="n"/>
      <c r="R1135" s="60" t="n"/>
      <c r="S1135" s="60" t="n"/>
      <c r="T1135" s="60" t="n"/>
      <c r="U1135" s="60" t="n"/>
      <c r="V1135" s="60" t="n"/>
      <c r="W1135" s="60" t="n"/>
      <c r="X1135" s="60" t="n"/>
      <c r="Y1135" s="60" t="n"/>
      <c r="Z1135" s="60" t="n"/>
    </row>
    <row r="1136">
      <c r="A1136" s="151" t="n">
        <v>46118</v>
      </c>
      <c r="B1136" s="70" t="n">
        <v>1538</v>
      </c>
      <c r="C1136" s="152" t="inlineStr">
        <is>
          <t>VARLIK</t>
        </is>
      </c>
      <c r="D1136" s="115" t="inlineStr">
        <is>
          <t>KAWAZAKİ</t>
        </is>
      </c>
      <c r="E1136" s="115" t="inlineStr">
        <is>
          <t>RAMAZAN</t>
        </is>
      </c>
      <c r="F1136" s="115" t="n"/>
      <c r="G1136" s="152" t="n">
        <v>292</v>
      </c>
      <c r="H1136" s="60" t="n"/>
      <c r="I1136" s="156">
        <f>+I1135+(G1136-H1136)</f>
        <v/>
      </c>
      <c r="J1136" s="60" t="n"/>
      <c r="K1136" s="60" t="n"/>
      <c r="L1136" s="158">
        <f>+H1136*J1136</f>
        <v/>
      </c>
      <c r="M1136" s="159">
        <f>SUM(M1135+K1136-L1136)</f>
        <v/>
      </c>
      <c r="N1136" s="60" t="n"/>
      <c r="O1136" s="60" t="n"/>
      <c r="P1136" s="60" t="n"/>
      <c r="Q1136" s="60" t="n"/>
      <c r="R1136" s="60" t="n"/>
      <c r="S1136" s="60" t="n"/>
      <c r="T1136" s="60" t="n"/>
      <c r="U1136" s="60" t="n"/>
      <c r="V1136" s="60" t="n"/>
      <c r="W1136" s="60" t="n"/>
      <c r="X1136" s="60" t="n"/>
      <c r="Y1136" s="60" t="n"/>
      <c r="Z1136" s="60" t="n"/>
    </row>
    <row r="1137">
      <c r="A1137" s="151" t="n">
        <v>46118</v>
      </c>
      <c r="B1137" s="70" t="n">
        <v>1539</v>
      </c>
      <c r="C1137" s="152" t="inlineStr">
        <is>
          <t>VARLIK</t>
        </is>
      </c>
      <c r="D1137" s="115" t="inlineStr">
        <is>
          <t>HİTACHİ</t>
        </is>
      </c>
      <c r="E1137" s="115" t="inlineStr">
        <is>
          <t>TURGUT SANCAK</t>
        </is>
      </c>
      <c r="F1137" s="115" t="n"/>
      <c r="G1137" s="152" t="n">
        <v>447</v>
      </c>
      <c r="H1137" s="60" t="n"/>
      <c r="I1137" s="156">
        <f>+I1136+(G1137-H1137)</f>
        <v/>
      </c>
      <c r="J1137" s="60" t="n"/>
      <c r="K1137" s="60" t="n"/>
      <c r="L1137" s="158">
        <f>+H1137*J1137</f>
        <v/>
      </c>
      <c r="M1137" s="159">
        <f>SUM(M1136+K1137-L1137)</f>
        <v/>
      </c>
      <c r="N1137" s="60" t="n"/>
      <c r="O1137" s="60" t="n"/>
      <c r="P1137" s="60" t="n"/>
      <c r="Q1137" s="60" t="n"/>
      <c r="R1137" s="60" t="n"/>
      <c r="S1137" s="60" t="n"/>
      <c r="T1137" s="60" t="n"/>
      <c r="U1137" s="60" t="n"/>
      <c r="V1137" s="60" t="n"/>
      <c r="W1137" s="60" t="n"/>
      <c r="X1137" s="60" t="n"/>
      <c r="Y1137" s="60" t="n"/>
      <c r="Z1137" s="60" t="n"/>
    </row>
    <row r="1138">
      <c r="A1138" s="151" t="n">
        <v>46118</v>
      </c>
      <c r="B1138" s="70" t="n">
        <v>1540</v>
      </c>
      <c r="C1138" s="152" t="inlineStr">
        <is>
          <t>EVKUR</t>
        </is>
      </c>
      <c r="D1138" s="115" t="inlineStr">
        <is>
          <t>SİLİNDİR KİRALIK</t>
        </is>
      </c>
      <c r="E1138" s="115" t="inlineStr">
        <is>
          <t>KÖKSAL GÜLLÜK</t>
        </is>
      </c>
      <c r="F1138" s="115" t="n"/>
      <c r="G1138" s="152" t="n">
        <v>276</v>
      </c>
      <c r="H1138" s="60" t="n"/>
      <c r="I1138" s="156">
        <f>+I1137+(G1138-H1138)</f>
        <v/>
      </c>
      <c r="J1138" s="60" t="n"/>
      <c r="K1138" s="60" t="n"/>
      <c r="L1138" s="158">
        <f>+H1138*J1138</f>
        <v/>
      </c>
      <c r="M1138" s="159">
        <f>SUM(M1137+K1138-L1138)</f>
        <v/>
      </c>
      <c r="N1138" s="60" t="n"/>
      <c r="O1138" s="60" t="n"/>
      <c r="P1138" s="60" t="n"/>
      <c r="Q1138" s="60" t="n"/>
      <c r="R1138" s="60" t="n"/>
      <c r="S1138" s="60" t="n"/>
      <c r="T1138" s="60" t="n"/>
      <c r="U1138" s="60" t="n"/>
      <c r="V1138" s="60" t="n"/>
      <c r="W1138" s="60" t="n"/>
      <c r="X1138" s="60" t="n"/>
      <c r="Y1138" s="60" t="n"/>
      <c r="Z1138" s="60" t="n"/>
    </row>
    <row r="1139">
      <c r="A1139" s="151" t="n">
        <v>46119</v>
      </c>
      <c r="B1139" s="70" t="n">
        <v>4471</v>
      </c>
      <c r="C1139" s="115" t="inlineStr">
        <is>
          <t>SELİM İNŞAAT</t>
        </is>
      </c>
      <c r="D1139" s="115" t="inlineStr">
        <is>
          <t>34 DKL 798</t>
        </is>
      </c>
      <c r="E1139" s="115" t="inlineStr">
        <is>
          <t>HASAN BAYCA</t>
        </is>
      </c>
      <c r="F1139" s="65" t="n">
        <v>82477</v>
      </c>
      <c r="G1139" s="152" t="n">
        <v>298</v>
      </c>
      <c r="H1139" s="60" t="n"/>
      <c r="I1139" s="156">
        <f>+I1138+(G1139-H1139)</f>
        <v/>
      </c>
      <c r="J1139" s="60" t="n"/>
      <c r="K1139" s="60" t="n"/>
      <c r="L1139" s="158">
        <f>+H1139*J1139</f>
        <v/>
      </c>
      <c r="M1139" s="159">
        <f>SUM(M1138+K1139-L1139)</f>
        <v/>
      </c>
      <c r="N1139" s="60" t="n"/>
      <c r="O1139" s="60" t="n"/>
      <c r="P1139" s="60" t="n"/>
      <c r="Q1139" s="60" t="n"/>
      <c r="R1139" s="60" t="n"/>
      <c r="S1139" s="60" t="n"/>
      <c r="T1139" s="60" t="n"/>
      <c r="U1139" s="60" t="n"/>
      <c r="V1139" s="60" t="n"/>
      <c r="W1139" s="60" t="n"/>
      <c r="X1139" s="60" t="n"/>
      <c r="Y1139" s="60" t="n"/>
      <c r="Z1139" s="60" t="n"/>
    </row>
    <row r="1140">
      <c r="A1140" s="151" t="n">
        <v>46119</v>
      </c>
      <c r="B1140" s="70" t="n">
        <v>308</v>
      </c>
      <c r="C1140" s="115" t="inlineStr">
        <is>
          <t>SELİM İNŞAAT</t>
        </is>
      </c>
      <c r="D1140" s="115" t="inlineStr">
        <is>
          <t>34 GER 445</t>
        </is>
      </c>
      <c r="E1140" s="115" t="inlineStr">
        <is>
          <t>MUSTAFA ERYİĞİT</t>
        </is>
      </c>
      <c r="F1140" s="65" t="n">
        <v>58880</v>
      </c>
      <c r="G1140" s="152" t="n">
        <v>281</v>
      </c>
      <c r="H1140" s="60" t="n"/>
      <c r="I1140" s="156">
        <f>+I1139+(G1140-H1140)</f>
        <v/>
      </c>
      <c r="J1140" s="60" t="n"/>
      <c r="K1140" s="60" t="n"/>
      <c r="L1140" s="158">
        <f>+H1140*J1140</f>
        <v/>
      </c>
      <c r="M1140" s="159">
        <f>SUM(M1139+K1140-L1140)</f>
        <v/>
      </c>
      <c r="N1140" s="60" t="n"/>
      <c r="O1140" s="60" t="n"/>
      <c r="P1140" s="60" t="n"/>
      <c r="Q1140" s="60" t="n"/>
      <c r="R1140" s="60" t="n"/>
      <c r="S1140" s="60" t="n"/>
      <c r="T1140" s="60" t="n"/>
      <c r="U1140" s="60" t="n"/>
      <c r="V1140" s="60" t="n"/>
      <c r="W1140" s="60" t="n"/>
      <c r="X1140" s="60" t="n"/>
      <c r="Y1140" s="60" t="n"/>
      <c r="Z1140" s="60" t="n"/>
    </row>
    <row r="1141">
      <c r="A1141" s="151" t="n">
        <v>46119</v>
      </c>
      <c r="B1141" s="70" t="n">
        <v>3231</v>
      </c>
      <c r="C1141" s="115" t="inlineStr">
        <is>
          <t>SELİM İNŞAAT</t>
        </is>
      </c>
      <c r="D1141" s="115" t="inlineStr">
        <is>
          <t>34 EGR 736</t>
        </is>
      </c>
      <c r="E1141" s="115" t="inlineStr">
        <is>
          <t>HAKAN ÇAVUŞOĞLU</t>
        </is>
      </c>
      <c r="F1141" s="65" t="n">
        <v>443271</v>
      </c>
      <c r="G1141" s="152" t="n">
        <v>463</v>
      </c>
      <c r="H1141" s="60" t="n"/>
      <c r="I1141" s="156">
        <f>+I1140+(G1141-H1141)</f>
        <v/>
      </c>
      <c r="J1141" s="60" t="n"/>
      <c r="K1141" s="60" t="n"/>
      <c r="L1141" s="158">
        <f>+H1141*J1141</f>
        <v/>
      </c>
      <c r="M1141" s="159">
        <f>SUM(M1140+K1141-L1141)</f>
        <v/>
      </c>
      <c r="N1141" s="60" t="n"/>
      <c r="O1141" s="60" t="n"/>
      <c r="P1141" s="60" t="n"/>
      <c r="Q1141" s="60" t="n"/>
      <c r="R1141" s="60" t="n"/>
      <c r="S1141" s="60" t="n"/>
      <c r="T1141" s="60" t="n"/>
      <c r="U1141" s="60" t="n"/>
      <c r="V1141" s="60" t="n"/>
      <c r="W1141" s="60" t="n"/>
      <c r="X1141" s="60" t="n"/>
      <c r="Y1141" s="60" t="n"/>
      <c r="Z1141" s="60" t="n"/>
    </row>
    <row r="1142">
      <c r="A1142" s="151" t="n">
        <v>46119</v>
      </c>
      <c r="B1142" s="70" t="n">
        <v>4775</v>
      </c>
      <c r="C1142" s="115" t="inlineStr">
        <is>
          <t>SELİM İNŞAAT</t>
        </is>
      </c>
      <c r="D1142" s="115" t="inlineStr">
        <is>
          <t>34 DGP 137</t>
        </is>
      </c>
      <c r="E1142" s="115" t="inlineStr">
        <is>
          <t>CEM MUHTAR</t>
        </is>
      </c>
      <c r="F1142" s="115" t="n">
        <v>478472</v>
      </c>
      <c r="G1142" s="152" t="n">
        <v>425</v>
      </c>
      <c r="H1142" s="60" t="n"/>
      <c r="I1142" s="156">
        <f>+I1141+(G1142-H1142)</f>
        <v/>
      </c>
      <c r="J1142" s="60" t="n"/>
      <c r="K1142" s="60" t="n"/>
      <c r="L1142" s="158">
        <f>+H1142*J1142</f>
        <v/>
      </c>
      <c r="M1142" s="159">
        <f>SUM(M1141+K1142-L1142)</f>
        <v/>
      </c>
      <c r="N1142" s="60" t="n"/>
      <c r="O1142" s="60" t="n"/>
      <c r="P1142" s="60" t="n"/>
      <c r="Q1142" s="60" t="n"/>
      <c r="R1142" s="60" t="n"/>
      <c r="S1142" s="60" t="n"/>
      <c r="T1142" s="60" t="n"/>
      <c r="U1142" s="60" t="n"/>
      <c r="V1142" s="60" t="n"/>
      <c r="W1142" s="60" t="n"/>
      <c r="X1142" s="60" t="n"/>
      <c r="Y1142" s="60" t="n"/>
      <c r="Z1142" s="60" t="n"/>
    </row>
    <row r="1143">
      <c r="A1143" s="151" t="n">
        <v>46119</v>
      </c>
      <c r="B1143" s="70" t="n">
        <v>823</v>
      </c>
      <c r="C1143" s="115" t="inlineStr">
        <is>
          <t>METİN ERYİĞİT</t>
        </is>
      </c>
      <c r="D1143" s="115" t="inlineStr">
        <is>
          <t>34 GBL 998</t>
        </is>
      </c>
      <c r="E1143" s="115" t="inlineStr">
        <is>
          <t>ALİ KESKİN</t>
        </is>
      </c>
      <c r="F1143" s="115" t="n">
        <v>355901</v>
      </c>
      <c r="G1143" s="152" t="n">
        <v>348</v>
      </c>
      <c r="H1143" s="60" t="n"/>
      <c r="I1143" s="156">
        <f>+I1142+(G1143-H1143)</f>
        <v/>
      </c>
      <c r="J1143" s="60" t="n"/>
      <c r="K1143" s="60" t="n"/>
      <c r="L1143" s="158">
        <f>+H1143*J1143</f>
        <v/>
      </c>
      <c r="M1143" s="159">
        <f>SUM(M1142+K1143-L1143)</f>
        <v/>
      </c>
      <c r="N1143" s="60" t="n"/>
      <c r="O1143" s="60" t="n"/>
      <c r="P1143" s="60" t="n"/>
      <c r="Q1143" s="60" t="n"/>
      <c r="R1143" s="60" t="n"/>
      <c r="S1143" s="60" t="n"/>
      <c r="T1143" s="60" t="n"/>
      <c r="U1143" s="60" t="n"/>
      <c r="V1143" s="60" t="n"/>
      <c r="W1143" s="60" t="n"/>
      <c r="X1143" s="60" t="n"/>
      <c r="Y1143" s="60" t="n"/>
      <c r="Z1143" s="60" t="n"/>
    </row>
    <row r="1144">
      <c r="A1144" s="151" t="n">
        <v>46119</v>
      </c>
      <c r="B1144" s="70" t="n">
        <v>764</v>
      </c>
      <c r="C1144" s="115" t="inlineStr">
        <is>
          <t>METİN ERYİĞİT</t>
        </is>
      </c>
      <c r="D1144" s="115" t="inlineStr">
        <is>
          <t>34 EGR 814</t>
        </is>
      </c>
      <c r="E1144" s="115" t="inlineStr">
        <is>
          <t>ZİYA İNCE</t>
        </is>
      </c>
      <c r="F1144" s="115" t="n">
        <v>616668</v>
      </c>
      <c r="G1144" s="152" t="n">
        <v>365</v>
      </c>
      <c r="H1144" s="60" t="n"/>
      <c r="I1144" s="156">
        <f>+I1143+(G1144-H1144)</f>
        <v/>
      </c>
      <c r="J1144" s="60" t="n"/>
      <c r="K1144" s="60" t="n"/>
      <c r="L1144" s="158">
        <f>+H1144*J1144</f>
        <v/>
      </c>
      <c r="M1144" s="159">
        <f>SUM(M1143+K1144-L1144)</f>
        <v/>
      </c>
      <c r="N1144" s="60" t="n"/>
      <c r="O1144" s="60" t="n"/>
      <c r="P1144" s="60" t="n"/>
      <c r="Q1144" s="60" t="n"/>
      <c r="R1144" s="60" t="n"/>
      <c r="S1144" s="60" t="n"/>
      <c r="T1144" s="60" t="n"/>
      <c r="U1144" s="60" t="n"/>
      <c r="V1144" s="60" t="n"/>
      <c r="W1144" s="60" t="n"/>
      <c r="X1144" s="60" t="n"/>
      <c r="Y1144" s="60" t="n"/>
      <c r="Z1144" s="60" t="n"/>
    </row>
    <row r="1145">
      <c r="A1145" s="151" t="n">
        <v>46119</v>
      </c>
      <c r="B1145" s="70" t="n">
        <v>3294</v>
      </c>
      <c r="C1145" s="152" t="inlineStr">
        <is>
          <t>AZGÜN YAPI</t>
        </is>
      </c>
      <c r="D1145" s="115" t="inlineStr">
        <is>
          <t xml:space="preserve">34 DTV 263 </t>
        </is>
      </c>
      <c r="E1145" s="115" t="inlineStr">
        <is>
          <t>DURSUN ALİ GÜREK</t>
        </is>
      </c>
      <c r="F1145" s="115" t="n"/>
      <c r="G1145" s="152" t="n">
        <v>412</v>
      </c>
      <c r="H1145" s="60" t="n"/>
      <c r="I1145" s="156">
        <f>+I1144+(G1145-H1145)</f>
        <v/>
      </c>
      <c r="J1145" s="60" t="n"/>
      <c r="K1145" s="60" t="n"/>
      <c r="L1145" s="158">
        <f>+H1145*J1145</f>
        <v/>
      </c>
      <c r="M1145" s="159">
        <f>SUM(M1144+K1145-L1145)</f>
        <v/>
      </c>
      <c r="N1145" s="60" t="n"/>
      <c r="O1145" s="60" t="n"/>
      <c r="P1145" s="60" t="n"/>
      <c r="Q1145" s="60" t="n"/>
      <c r="R1145" s="60" t="n"/>
      <c r="S1145" s="60" t="n"/>
      <c r="T1145" s="60" t="n"/>
      <c r="U1145" s="60" t="n"/>
      <c r="V1145" s="60" t="n"/>
      <c r="W1145" s="60" t="n"/>
      <c r="X1145" s="60" t="n"/>
      <c r="Y1145" s="60" t="n"/>
      <c r="Z1145" s="60" t="n"/>
    </row>
    <row r="1146">
      <c r="A1146" s="151" t="n">
        <v>46119</v>
      </c>
      <c r="B1146" s="70" t="n">
        <v>1401</v>
      </c>
      <c r="C1146" s="152" t="inlineStr">
        <is>
          <t>AZGÜN YAPI</t>
        </is>
      </c>
      <c r="D1146" s="115" t="inlineStr">
        <is>
          <t>34 MKT 859</t>
        </is>
      </c>
      <c r="E1146" s="115" t="inlineStr">
        <is>
          <t>İRFAN DAĞLAR</t>
        </is>
      </c>
      <c r="F1146" s="115" t="n"/>
      <c r="G1146" s="152" t="n">
        <v>315</v>
      </c>
      <c r="H1146" s="60" t="n"/>
      <c r="I1146" s="156">
        <f>+I1145+(G1146-H1146)</f>
        <v/>
      </c>
      <c r="J1146" s="60" t="n"/>
      <c r="K1146" s="60" t="n"/>
      <c r="L1146" s="158">
        <f>+H1146*J1146</f>
        <v/>
      </c>
      <c r="M1146" s="159">
        <f>SUM(M1145+K1146-L1146)</f>
        <v/>
      </c>
      <c r="N1146" s="60" t="n"/>
      <c r="O1146" s="60" t="n"/>
      <c r="P1146" s="60" t="n"/>
      <c r="Q1146" s="60" t="n"/>
      <c r="R1146" s="60" t="n"/>
      <c r="S1146" s="60" t="n"/>
      <c r="T1146" s="60" t="n"/>
      <c r="U1146" s="60" t="n"/>
      <c r="V1146" s="60" t="n"/>
      <c r="W1146" s="60" t="n"/>
      <c r="X1146" s="60" t="n"/>
      <c r="Y1146" s="60" t="n"/>
      <c r="Z1146" s="60" t="n"/>
    </row>
    <row r="1147">
      <c r="A1147" s="151" t="n">
        <v>46119</v>
      </c>
      <c r="B1147" s="70" t="n">
        <v>1541</v>
      </c>
      <c r="C1147" s="152" t="inlineStr">
        <is>
          <t>MEGA VARLIK</t>
        </is>
      </c>
      <c r="D1147" s="115" t="inlineStr">
        <is>
          <t>SM350</t>
        </is>
      </c>
      <c r="E1147" s="115" t="inlineStr">
        <is>
          <t>TEVFİK</t>
        </is>
      </c>
      <c r="F1147" s="115" t="n"/>
      <c r="G1147" s="152" t="n">
        <v>390</v>
      </c>
      <c r="H1147" s="60" t="n"/>
      <c r="I1147" s="156">
        <f>+I1146+(G1147-H1147)</f>
        <v/>
      </c>
      <c r="J1147" s="60" t="n"/>
      <c r="K1147" s="60" t="n"/>
      <c r="L1147" s="158">
        <f>+H1147*J1147</f>
        <v/>
      </c>
      <c r="M1147" s="159">
        <f>SUM(M1146+K1147-L1147)</f>
        <v/>
      </c>
      <c r="N1147" s="60" t="n"/>
      <c r="O1147" s="60" t="n"/>
      <c r="P1147" s="60" t="n"/>
      <c r="Q1147" s="60" t="n"/>
      <c r="R1147" s="60" t="n"/>
      <c r="S1147" s="60" t="n"/>
      <c r="T1147" s="60" t="n"/>
      <c r="U1147" s="60" t="n"/>
      <c r="V1147" s="60" t="n"/>
      <c r="W1147" s="60" t="n"/>
      <c r="X1147" s="60" t="n"/>
      <c r="Y1147" s="60" t="n"/>
      <c r="Z1147" s="60" t="n"/>
    </row>
    <row r="1148">
      <c r="A1148" s="151" t="n">
        <v>46119</v>
      </c>
      <c r="B1148" s="70" t="n">
        <v>1542</v>
      </c>
      <c r="C1148" s="152" t="inlineStr">
        <is>
          <t>KOZMO</t>
        </is>
      </c>
      <c r="D1148" s="115" t="inlineStr">
        <is>
          <t>SM300</t>
        </is>
      </c>
      <c r="E1148" s="115" t="inlineStr">
        <is>
          <t>TEKİN ŞEYLAN</t>
        </is>
      </c>
      <c r="F1148" s="115" t="n"/>
      <c r="G1148" s="152" t="n">
        <v>509</v>
      </c>
      <c r="H1148" s="60" t="n"/>
      <c r="I1148" s="156">
        <f>+I1147+(G1148-H1148)</f>
        <v/>
      </c>
      <c r="J1148" s="60" t="n"/>
      <c r="K1148" s="60" t="n"/>
      <c r="L1148" s="158">
        <f>+H1148*J1148</f>
        <v/>
      </c>
      <c r="M1148" s="159">
        <f>SUM(M1147+K1148-L1148)</f>
        <v/>
      </c>
      <c r="N1148" s="60" t="n"/>
      <c r="O1148" s="60" t="n"/>
      <c r="P1148" s="60" t="n"/>
      <c r="Q1148" s="60" t="n"/>
      <c r="R1148" s="60" t="n"/>
      <c r="S1148" s="60" t="n"/>
      <c r="T1148" s="60" t="n"/>
      <c r="U1148" s="60" t="n"/>
      <c r="V1148" s="60" t="n"/>
      <c r="W1148" s="60" t="n"/>
      <c r="X1148" s="60" t="n"/>
      <c r="Y1148" s="60" t="n"/>
      <c r="Z1148" s="60" t="n"/>
    </row>
    <row r="1149">
      <c r="A1149" s="151" t="n">
        <v>46119</v>
      </c>
      <c r="B1149" s="70" t="n">
        <v>1543</v>
      </c>
      <c r="C1149" s="152" t="inlineStr">
        <is>
          <t>KOZMO</t>
        </is>
      </c>
      <c r="D1149" s="115" t="inlineStr">
        <is>
          <t>SM350</t>
        </is>
      </c>
      <c r="E1149" s="115" t="inlineStr">
        <is>
          <t xml:space="preserve">MİKAİL BAYILMAZ </t>
        </is>
      </c>
      <c r="F1149" s="115" t="n"/>
      <c r="G1149" s="152" t="n">
        <v>412</v>
      </c>
      <c r="H1149" s="60" t="n"/>
      <c r="I1149" s="156">
        <f>+I1148+(G1149-H1149)</f>
        <v/>
      </c>
      <c r="J1149" s="60" t="n"/>
      <c r="K1149" s="60" t="n"/>
      <c r="L1149" s="158">
        <f>+H1149*J1149</f>
        <v/>
      </c>
      <c r="M1149" s="159">
        <f>SUM(M1148+K1149-L1149)</f>
        <v/>
      </c>
      <c r="N1149" s="60" t="n"/>
      <c r="O1149" s="60" t="n"/>
      <c r="P1149" s="60" t="n"/>
      <c r="Q1149" s="60" t="n"/>
      <c r="R1149" s="60" t="n"/>
      <c r="S1149" s="60" t="n"/>
      <c r="T1149" s="60" t="n"/>
      <c r="U1149" s="60" t="n"/>
      <c r="V1149" s="60" t="n"/>
      <c r="W1149" s="60" t="n"/>
      <c r="X1149" s="60" t="n"/>
      <c r="Y1149" s="60" t="n"/>
      <c r="Z1149" s="60" t="n"/>
    </row>
    <row r="1150">
      <c r="A1150" s="151" t="n">
        <v>46119</v>
      </c>
      <c r="B1150" s="70" t="n">
        <v>1544</v>
      </c>
      <c r="C1150" s="152" t="inlineStr">
        <is>
          <t>KOZMO</t>
        </is>
      </c>
      <c r="D1150" s="115" t="inlineStr">
        <is>
          <t>SM370</t>
        </is>
      </c>
      <c r="E1150" s="115" t="inlineStr">
        <is>
          <t>MEHMET ALİ</t>
        </is>
      </c>
      <c r="F1150" s="115" t="n"/>
      <c r="G1150" s="152" t="n">
        <v>335</v>
      </c>
      <c r="H1150" s="60" t="n"/>
      <c r="I1150" s="156">
        <f>+I1149+(G1150-H1150)</f>
        <v/>
      </c>
      <c r="J1150" s="60" t="n"/>
      <c r="K1150" s="60" t="n"/>
      <c r="L1150" s="158">
        <f>+H1150*J1150</f>
        <v/>
      </c>
      <c r="M1150" s="159">
        <f>SUM(M1149+K1150-L1150)</f>
        <v/>
      </c>
      <c r="N1150" s="60" t="n"/>
      <c r="O1150" s="60" t="n"/>
      <c r="P1150" s="60" t="n"/>
      <c r="Q1150" s="60" t="n"/>
      <c r="R1150" s="60" t="n"/>
      <c r="S1150" s="60" t="n"/>
      <c r="T1150" s="60" t="n"/>
      <c r="U1150" s="60" t="n"/>
      <c r="V1150" s="60" t="n"/>
      <c r="W1150" s="60" t="n"/>
      <c r="X1150" s="60" t="n"/>
      <c r="Y1150" s="60" t="n"/>
      <c r="Z1150" s="60" t="n"/>
    </row>
    <row r="1151">
      <c r="A1151" s="151" t="n">
        <v>46119</v>
      </c>
      <c r="B1151" s="70" t="n">
        <v>1545</v>
      </c>
      <c r="C1151" s="152" t="inlineStr">
        <is>
          <t>EVKUR</t>
        </is>
      </c>
      <c r="D1151" s="115" t="inlineStr">
        <is>
          <t>KİRALIK KATO</t>
        </is>
      </c>
      <c r="E1151" s="115" t="inlineStr">
        <is>
          <t>GÜNEŞ BEYİN TALİMATI</t>
        </is>
      </c>
      <c r="F1151" s="115" t="n"/>
      <c r="G1151" s="152" t="n">
        <v>82</v>
      </c>
      <c r="H1151" s="60" t="n"/>
      <c r="I1151" s="156">
        <f>+I1150+(G1151-H1151)</f>
        <v/>
      </c>
      <c r="J1151" s="60" t="n"/>
      <c r="K1151" s="60" t="n"/>
      <c r="L1151" s="158">
        <f>+H1151*J1151</f>
        <v/>
      </c>
      <c r="M1151" s="159">
        <f>SUM(M1150+K1151-L1151)</f>
        <v/>
      </c>
      <c r="N1151" s="60" t="n"/>
      <c r="O1151" s="60" t="n"/>
      <c r="P1151" s="60" t="n"/>
      <c r="Q1151" s="60" t="n"/>
      <c r="R1151" s="60" t="n"/>
      <c r="S1151" s="60" t="n"/>
      <c r="T1151" s="60" t="n"/>
      <c r="U1151" s="60" t="n"/>
      <c r="V1151" s="60" t="n"/>
      <c r="W1151" s="60" t="n"/>
      <c r="X1151" s="60" t="n"/>
      <c r="Y1151" s="60" t="n"/>
      <c r="Z1151" s="60" t="n"/>
    </row>
    <row r="1152">
      <c r="A1152" s="151" t="n">
        <v>46119</v>
      </c>
      <c r="B1152" s="70" t="n">
        <v>1546</v>
      </c>
      <c r="C1152" s="152" t="inlineStr">
        <is>
          <t>VARLIK</t>
        </is>
      </c>
      <c r="D1152" s="115" t="inlineStr">
        <is>
          <t>KAWAZAKİ</t>
        </is>
      </c>
      <c r="E1152" s="115" t="inlineStr">
        <is>
          <t>RAMAZAN</t>
        </is>
      </c>
      <c r="F1152" s="115" t="n"/>
      <c r="G1152" s="152" t="n">
        <v>238</v>
      </c>
      <c r="H1152" s="60" t="n"/>
      <c r="I1152" s="156">
        <f>+I1151+(G1152-H1152)</f>
        <v/>
      </c>
      <c r="J1152" s="60" t="n"/>
      <c r="K1152" s="60" t="n"/>
      <c r="L1152" s="158">
        <f>+H1152*J1152</f>
        <v/>
      </c>
      <c r="M1152" s="159">
        <f>SUM(M1151+K1152-L1152)</f>
        <v/>
      </c>
      <c r="N1152" s="60" t="n"/>
      <c r="O1152" s="60" t="n"/>
      <c r="P1152" s="60" t="n"/>
      <c r="Q1152" s="60" t="n"/>
      <c r="R1152" s="60" t="n"/>
      <c r="S1152" s="60" t="n"/>
      <c r="T1152" s="60" t="n"/>
      <c r="U1152" s="60" t="n"/>
      <c r="V1152" s="60" t="n"/>
      <c r="W1152" s="60" t="n"/>
      <c r="X1152" s="60" t="n"/>
      <c r="Y1152" s="60" t="n"/>
      <c r="Z1152" s="60" t="n"/>
    </row>
    <row r="1153">
      <c r="A1153" s="151" t="n">
        <v>46119</v>
      </c>
      <c r="B1153" s="70" t="n">
        <v>1547</v>
      </c>
      <c r="C1153" s="152" t="inlineStr">
        <is>
          <t>VARLIK</t>
        </is>
      </c>
      <c r="D1153" s="115" t="inlineStr">
        <is>
          <t>HİTACHİ</t>
        </is>
      </c>
      <c r="E1153" s="115" t="inlineStr">
        <is>
          <t>TURGUT ÇATAL</t>
        </is>
      </c>
      <c r="F1153" s="115" t="n"/>
      <c r="G1153" s="152" t="n">
        <v>283</v>
      </c>
      <c r="H1153" s="60" t="n"/>
      <c r="I1153" s="156">
        <f>+I1152+(G1153-H1153)</f>
        <v/>
      </c>
      <c r="J1153" s="60" t="n"/>
      <c r="K1153" s="60" t="n"/>
      <c r="L1153" s="158">
        <f>+H1153*J1153</f>
        <v/>
      </c>
      <c r="M1153" s="159">
        <f>SUM(M1152+K1153-L1153)</f>
        <v/>
      </c>
      <c r="N1153" s="60" t="n"/>
      <c r="O1153" s="60" t="n"/>
      <c r="P1153" s="60" t="n"/>
      <c r="Q1153" s="60" t="n"/>
      <c r="R1153" s="60" t="n"/>
      <c r="S1153" s="60" t="n"/>
      <c r="T1153" s="60" t="n"/>
      <c r="U1153" s="60" t="n"/>
      <c r="V1153" s="60" t="n"/>
      <c r="W1153" s="60" t="n"/>
      <c r="X1153" s="60" t="n"/>
      <c r="Y1153" s="60" t="n"/>
      <c r="Z1153" s="60" t="n"/>
    </row>
    <row r="1154">
      <c r="A1154" s="151" t="n">
        <v>46119</v>
      </c>
      <c r="B1154" s="70" t="n">
        <v>1548</v>
      </c>
      <c r="C1154" s="152" t="inlineStr">
        <is>
          <t>GARAJ</t>
        </is>
      </c>
      <c r="D1154" s="115" t="inlineStr">
        <is>
          <t>SİLİNDİR TAMİRİ</t>
        </is>
      </c>
      <c r="E1154" s="115" t="inlineStr">
        <is>
          <t>ERDAL</t>
        </is>
      </c>
      <c r="F1154" s="115" t="n"/>
      <c r="G1154" s="152" t="n">
        <v>15</v>
      </c>
      <c r="H1154" s="60" t="n"/>
      <c r="I1154" s="156">
        <f>+I1153+(G1154-H1154)</f>
        <v/>
      </c>
      <c r="J1154" s="60" t="n"/>
      <c r="K1154" s="60" t="n"/>
      <c r="L1154" s="158">
        <f>+H1154*J1154</f>
        <v/>
      </c>
      <c r="M1154" s="159">
        <f>SUM(M1153+K1154-L1154)</f>
        <v/>
      </c>
      <c r="N1154" s="60" t="n"/>
      <c r="O1154" s="60" t="n"/>
      <c r="P1154" s="60" t="n"/>
      <c r="Q1154" s="60" t="n"/>
      <c r="R1154" s="60" t="n"/>
      <c r="S1154" s="60" t="n"/>
      <c r="T1154" s="60" t="n"/>
      <c r="U1154" s="60" t="n"/>
      <c r="V1154" s="60" t="n"/>
      <c r="W1154" s="60" t="n"/>
      <c r="X1154" s="60" t="n"/>
      <c r="Y1154" s="60" t="n"/>
      <c r="Z1154" s="60" t="n"/>
    </row>
    <row r="1155">
      <c r="A1155" s="151" t="n">
        <v>46120</v>
      </c>
      <c r="B1155" s="70" t="n">
        <v>554</v>
      </c>
      <c r="C1155" s="115" t="inlineStr">
        <is>
          <t>SELİM İNŞAAT</t>
        </is>
      </c>
      <c r="D1155" s="115" t="inlineStr">
        <is>
          <t>34 JGR 15</t>
        </is>
      </c>
      <c r="E1155" s="115" t="inlineStr">
        <is>
          <t>ÖNER DÜNDAR</t>
        </is>
      </c>
      <c r="F1155" s="65" t="n">
        <v>332904</v>
      </c>
      <c r="G1155" s="152" t="n">
        <v>67</v>
      </c>
      <c r="H1155" s="60" t="n"/>
      <c r="I1155" s="156">
        <f>+I1154+(G1155-H1155)</f>
        <v/>
      </c>
      <c r="J1155" s="60" t="n"/>
      <c r="K1155" s="60" t="n"/>
      <c r="L1155" s="158">
        <f>+H1155*J1155</f>
        <v/>
      </c>
      <c r="M1155" s="159">
        <f>SUM(M1154+K1155-L1155)</f>
        <v/>
      </c>
      <c r="N1155" s="60" t="n"/>
      <c r="O1155" s="60" t="n"/>
      <c r="P1155" s="60" t="n"/>
      <c r="Q1155" s="60" t="n"/>
      <c r="R1155" s="60" t="n"/>
      <c r="S1155" s="60" t="n"/>
      <c r="T1155" s="60" t="n"/>
      <c r="U1155" s="60" t="n"/>
      <c r="V1155" s="60" t="n"/>
      <c r="W1155" s="60" t="n"/>
      <c r="X1155" s="60" t="n"/>
      <c r="Y1155" s="60" t="n"/>
      <c r="Z1155" s="60" t="n"/>
    </row>
    <row r="1156">
      <c r="A1156" s="151" t="n">
        <v>46120</v>
      </c>
      <c r="B1156" s="70" t="n">
        <v>154</v>
      </c>
      <c r="C1156" s="115" t="inlineStr">
        <is>
          <t>SELİM İNŞAAT</t>
        </is>
      </c>
      <c r="D1156" s="115" t="inlineStr">
        <is>
          <t>34 FBR 771</t>
        </is>
      </c>
      <c r="E1156" s="115" t="inlineStr">
        <is>
          <t>SALİH YALÇIN</t>
        </is>
      </c>
      <c r="F1156" s="65" t="n">
        <v>352612</v>
      </c>
      <c r="G1156" s="152" t="n">
        <v>448</v>
      </c>
      <c r="H1156" s="60" t="n"/>
      <c r="I1156" s="156">
        <f>+I1155+(G1156-H1156)</f>
        <v/>
      </c>
      <c r="J1156" s="60" t="n"/>
      <c r="K1156" s="60" t="n"/>
      <c r="L1156" s="158">
        <f>+H1156*J1156</f>
        <v/>
      </c>
      <c r="M1156" s="159">
        <f>SUM(M1155+K1156-L1156)</f>
        <v/>
      </c>
      <c r="N1156" s="60" t="n"/>
      <c r="O1156" s="60" t="n"/>
      <c r="P1156" s="60" t="n"/>
      <c r="Q1156" s="60" t="n"/>
      <c r="R1156" s="60" t="n"/>
      <c r="S1156" s="60" t="n"/>
      <c r="T1156" s="60" t="n"/>
      <c r="U1156" s="60" t="n"/>
      <c r="V1156" s="60" t="n"/>
      <c r="W1156" s="60" t="n"/>
      <c r="X1156" s="60" t="n"/>
      <c r="Y1156" s="60" t="n"/>
      <c r="Z1156" s="60" t="n"/>
    </row>
    <row r="1157">
      <c r="A1157" s="151" t="n">
        <v>46120</v>
      </c>
      <c r="B1157" s="70" t="n">
        <v>3495</v>
      </c>
      <c r="C1157" s="115" t="inlineStr">
        <is>
          <t>SELİM İNŞAAT</t>
        </is>
      </c>
      <c r="D1157" s="115" t="inlineStr">
        <is>
          <t>34 EDB 754</t>
        </is>
      </c>
      <c r="E1157" s="115" t="inlineStr">
        <is>
          <t>SELÇUK BASTIK</t>
        </is>
      </c>
      <c r="F1157" s="65" t="n">
        <v>376068</v>
      </c>
      <c r="G1157" s="152" t="n">
        <v>345</v>
      </c>
      <c r="H1157" s="60" t="n"/>
      <c r="I1157" s="156">
        <f>+I1156+(G1157-H1157)</f>
        <v/>
      </c>
      <c r="J1157" s="60" t="n"/>
      <c r="K1157" s="60" t="n"/>
      <c r="L1157" s="158">
        <f>+H1157*J1157</f>
        <v/>
      </c>
      <c r="M1157" s="159">
        <f>SUM(M1156+K1157-L1157)</f>
        <v/>
      </c>
      <c r="N1157" s="60" t="n"/>
      <c r="O1157" s="60" t="n"/>
      <c r="P1157" s="60" t="n"/>
      <c r="Q1157" s="60" t="n"/>
      <c r="R1157" s="60" t="n"/>
      <c r="S1157" s="60" t="n"/>
      <c r="T1157" s="60" t="n"/>
      <c r="U1157" s="60" t="n"/>
      <c r="V1157" s="60" t="n"/>
      <c r="W1157" s="60" t="n"/>
      <c r="X1157" s="60" t="n"/>
      <c r="Y1157" s="60" t="n"/>
      <c r="Z1157" s="60" t="n"/>
    </row>
    <row r="1158">
      <c r="A1158" s="151" t="n">
        <v>46120</v>
      </c>
      <c r="B1158" s="70" t="n">
        <v>4981</v>
      </c>
      <c r="C1158" s="115" t="inlineStr">
        <is>
          <t>SELİM İNŞAAT</t>
        </is>
      </c>
      <c r="D1158" s="115" t="inlineStr">
        <is>
          <t>34 GVZ 745</t>
        </is>
      </c>
      <c r="E1158" s="115" t="inlineStr">
        <is>
          <t>MURAT DEMİRBAŞ</t>
        </is>
      </c>
      <c r="F1158" s="65" t="n">
        <v>252411</v>
      </c>
      <c r="G1158" s="152" t="n">
        <v>397</v>
      </c>
      <c r="H1158" s="60" t="n"/>
      <c r="I1158" s="156">
        <f>+I1157+(G1158-H1158)</f>
        <v/>
      </c>
      <c r="J1158" s="60" t="n"/>
      <c r="K1158" s="60" t="n"/>
      <c r="L1158" s="158">
        <f>+H1158*J1158</f>
        <v/>
      </c>
      <c r="M1158" s="159">
        <f>SUM(M1157+K1158-L1158)</f>
        <v/>
      </c>
      <c r="N1158" s="60" t="n"/>
      <c r="O1158" s="60" t="n"/>
      <c r="P1158" s="60" t="n"/>
      <c r="Q1158" s="60" t="n"/>
      <c r="R1158" s="60" t="n"/>
      <c r="S1158" s="60" t="n"/>
      <c r="T1158" s="60" t="n"/>
      <c r="U1158" s="60" t="n"/>
      <c r="V1158" s="60" t="n"/>
      <c r="W1158" s="60" t="n"/>
      <c r="X1158" s="60" t="n"/>
      <c r="Y1158" s="60" t="n"/>
      <c r="Z1158" s="60" t="n"/>
    </row>
    <row r="1159">
      <c r="A1159" s="151" t="n">
        <v>46120</v>
      </c>
      <c r="B1159" s="70" t="n">
        <v>20</v>
      </c>
      <c r="C1159" s="115" t="inlineStr">
        <is>
          <t>SELİM İNŞAAT</t>
        </is>
      </c>
      <c r="D1159" s="115" t="inlineStr">
        <is>
          <t>34 GVZ 268</t>
        </is>
      </c>
      <c r="E1159" s="115" t="inlineStr">
        <is>
          <t>KERİM KARAMAN</t>
        </is>
      </c>
      <c r="F1159" s="65" t="n">
        <v>255581</v>
      </c>
      <c r="G1159" s="152" t="n">
        <v>411</v>
      </c>
      <c r="H1159" s="60" t="n"/>
      <c r="I1159" s="156">
        <f>+I1158+(G1159-H1159)</f>
        <v/>
      </c>
      <c r="J1159" s="60" t="n"/>
      <c r="K1159" s="60" t="n"/>
      <c r="L1159" s="158">
        <f>+H1159*J1159</f>
        <v/>
      </c>
      <c r="M1159" s="159">
        <f>SUM(M1158+K1159-L1159)</f>
        <v/>
      </c>
      <c r="N1159" s="60" t="n"/>
      <c r="O1159" s="60" t="n"/>
      <c r="P1159" s="60" t="n"/>
      <c r="Q1159" s="60" t="n"/>
      <c r="R1159" s="60" t="n"/>
      <c r="S1159" s="60" t="n"/>
      <c r="T1159" s="60" t="n"/>
      <c r="U1159" s="60" t="n"/>
      <c r="V1159" s="60" t="n"/>
      <c r="W1159" s="60" t="n"/>
      <c r="X1159" s="60" t="n"/>
      <c r="Y1159" s="60" t="n"/>
      <c r="Z1159" s="60" t="n"/>
    </row>
    <row r="1160">
      <c r="A1160" s="151" t="n">
        <v>46120</v>
      </c>
      <c r="B1160" s="70" t="n">
        <v>3838</v>
      </c>
      <c r="C1160" s="115" t="inlineStr">
        <is>
          <t>SELİM İNŞAAT</t>
        </is>
      </c>
      <c r="D1160" s="115" t="inlineStr">
        <is>
          <t>34 GYZ 635</t>
        </is>
      </c>
      <c r="E1160" s="115" t="inlineStr">
        <is>
          <t>ADEM DENİZ</t>
        </is>
      </c>
      <c r="F1160" s="65" t="n">
        <v>231763</v>
      </c>
      <c r="G1160" s="152" t="n">
        <v>502</v>
      </c>
      <c r="H1160" s="60" t="n"/>
      <c r="I1160" s="156">
        <f>+I1159+(G1160-H1160)</f>
        <v/>
      </c>
      <c r="J1160" s="60" t="n"/>
      <c r="K1160" s="60" t="n"/>
      <c r="L1160" s="158">
        <f>+H1160*J1160</f>
        <v/>
      </c>
      <c r="M1160" s="159">
        <f>SUM(M1159+K1160-L1160)</f>
        <v/>
      </c>
      <c r="N1160" s="60" t="n"/>
      <c r="O1160" s="60" t="n"/>
      <c r="P1160" s="60" t="n"/>
      <c r="Q1160" s="60" t="n"/>
      <c r="R1160" s="60" t="n"/>
      <c r="S1160" s="60" t="n"/>
      <c r="T1160" s="60" t="n"/>
      <c r="U1160" s="60" t="n"/>
      <c r="V1160" s="60" t="n"/>
      <c r="W1160" s="60" t="n"/>
      <c r="X1160" s="60" t="n"/>
      <c r="Y1160" s="60" t="n"/>
      <c r="Z1160" s="60" t="n"/>
    </row>
    <row r="1161">
      <c r="A1161" s="151" t="n">
        <v>46120</v>
      </c>
      <c r="B1161" s="70" t="n">
        <v>913</v>
      </c>
      <c r="C1161" s="115" t="inlineStr">
        <is>
          <t>SELİM İNŞAAT</t>
        </is>
      </c>
      <c r="D1161" s="115" t="inlineStr">
        <is>
          <t>34 FSG 229</t>
        </is>
      </c>
      <c r="E1161" s="115" t="inlineStr">
        <is>
          <t>SİNAN TANRIVERDİ</t>
        </is>
      </c>
      <c r="F1161" s="65" t="n">
        <v>304742</v>
      </c>
      <c r="G1161" s="152" t="n">
        <v>517</v>
      </c>
      <c r="H1161" s="60" t="n"/>
      <c r="I1161" s="156">
        <f>+I1160+(G1161-H1161)</f>
        <v/>
      </c>
      <c r="J1161" s="60" t="n"/>
      <c r="K1161" s="60" t="n"/>
      <c r="L1161" s="158">
        <f>+H1161*J1161</f>
        <v/>
      </c>
      <c r="M1161" s="159">
        <f>SUM(M1160+K1161-L1161)</f>
        <v/>
      </c>
      <c r="N1161" s="60" t="n"/>
      <c r="O1161" s="60" t="n"/>
      <c r="P1161" s="60" t="n"/>
      <c r="Q1161" s="60" t="n"/>
      <c r="R1161" s="60" t="n"/>
      <c r="S1161" s="60" t="n"/>
      <c r="T1161" s="60" t="n"/>
      <c r="U1161" s="60" t="n"/>
      <c r="V1161" s="60" t="n"/>
      <c r="W1161" s="60" t="n"/>
      <c r="X1161" s="60" t="n"/>
      <c r="Y1161" s="60" t="n"/>
      <c r="Z1161" s="60" t="n"/>
    </row>
    <row r="1162">
      <c r="A1162" s="151" t="n">
        <v>46120</v>
      </c>
      <c r="B1162" s="70" t="n">
        <v>4521</v>
      </c>
      <c r="C1162" s="115" t="inlineStr">
        <is>
          <t>SELİM İNŞAAT</t>
        </is>
      </c>
      <c r="D1162" s="115" t="inlineStr">
        <is>
          <t>34 DTV 352</t>
        </is>
      </c>
      <c r="E1162" s="115" t="inlineStr">
        <is>
          <t>AZİZ ORUÇ</t>
        </is>
      </c>
      <c r="F1162" s="65" t="n">
        <v>480344</v>
      </c>
      <c r="G1162" s="152" t="n">
        <v>496</v>
      </c>
      <c r="H1162" s="60" t="n"/>
      <c r="I1162" s="156">
        <f>+I1161+(G1162-H1162)</f>
        <v/>
      </c>
      <c r="J1162" s="60" t="n"/>
      <c r="K1162" s="60" t="n"/>
      <c r="L1162" s="158">
        <f>+H1162*J1162</f>
        <v/>
      </c>
      <c r="M1162" s="159">
        <f>SUM(M1161+K1162-L1162)</f>
        <v/>
      </c>
      <c r="N1162" s="60" t="n"/>
      <c r="O1162" s="60" t="n"/>
      <c r="P1162" s="60" t="n"/>
      <c r="Q1162" s="60" t="n"/>
      <c r="R1162" s="60" t="n"/>
      <c r="S1162" s="60" t="n"/>
      <c r="T1162" s="60" t="n"/>
      <c r="U1162" s="60" t="n"/>
      <c r="V1162" s="60" t="n"/>
      <c r="W1162" s="60" t="n"/>
      <c r="X1162" s="60" t="n"/>
      <c r="Y1162" s="60" t="n"/>
      <c r="Z1162" s="60" t="n"/>
    </row>
    <row r="1163">
      <c r="A1163" s="151" t="n">
        <v>46120</v>
      </c>
      <c r="B1163" s="70" t="n">
        <v>3398</v>
      </c>
      <c r="C1163" s="115" t="inlineStr">
        <is>
          <t>SELİM İNŞAAT</t>
        </is>
      </c>
      <c r="D1163" s="115" t="inlineStr">
        <is>
          <t>34 EDC 162</t>
        </is>
      </c>
      <c r="E1163" s="115" t="inlineStr">
        <is>
          <t xml:space="preserve">YAKUP GÜNER </t>
        </is>
      </c>
      <c r="F1163" s="65" t="n">
        <v>420593</v>
      </c>
      <c r="G1163" s="152" t="n">
        <v>514</v>
      </c>
      <c r="H1163" s="60" t="n"/>
      <c r="I1163" s="156">
        <f>+I1162+(G1163-H1163)</f>
        <v/>
      </c>
      <c r="J1163" s="60" t="n"/>
      <c r="K1163" s="60" t="n"/>
      <c r="L1163" s="158">
        <f>+H1163*J1163</f>
        <v/>
      </c>
      <c r="M1163" s="159">
        <f>SUM(M1162+K1163-L1163)</f>
        <v/>
      </c>
      <c r="N1163" s="60" t="n"/>
      <c r="O1163" s="60" t="n"/>
      <c r="P1163" s="60" t="n"/>
      <c r="Q1163" s="60" t="n"/>
      <c r="R1163" s="60" t="n"/>
      <c r="S1163" s="60" t="n"/>
      <c r="T1163" s="60" t="n"/>
      <c r="U1163" s="60" t="n"/>
      <c r="V1163" s="60" t="n"/>
      <c r="W1163" s="60" t="n"/>
      <c r="X1163" s="60" t="n"/>
      <c r="Y1163" s="60" t="n"/>
      <c r="Z1163" s="60" t="n"/>
    </row>
    <row r="1164">
      <c r="A1164" s="151" t="n">
        <v>46120</v>
      </c>
      <c r="B1164" s="70" t="n">
        <v>725</v>
      </c>
      <c r="C1164" s="115" t="inlineStr">
        <is>
          <t>METİN ERYİĞİT</t>
        </is>
      </c>
      <c r="D1164" s="115" t="inlineStr">
        <is>
          <t>34 EGS 013</t>
        </is>
      </c>
      <c r="E1164" s="115" t="inlineStr">
        <is>
          <t>UĞUR DUMAN</t>
        </is>
      </c>
      <c r="F1164" s="115" t="n">
        <v>572424</v>
      </c>
      <c r="G1164" s="152" t="n">
        <v>394</v>
      </c>
      <c r="H1164" s="60" t="n"/>
      <c r="I1164" s="156">
        <f>+I1163+(G1164-H1164)</f>
        <v/>
      </c>
      <c r="J1164" s="60" t="n"/>
      <c r="K1164" s="60" t="n"/>
      <c r="L1164" s="158">
        <f>+H1164*J1164</f>
        <v/>
      </c>
      <c r="M1164" s="159">
        <f>SUM(M1163+K1164-L1164)</f>
        <v/>
      </c>
      <c r="N1164" s="60" t="n"/>
      <c r="O1164" s="60" t="n"/>
      <c r="P1164" s="60" t="n"/>
      <c r="Q1164" s="60" t="n"/>
      <c r="R1164" s="60" t="n"/>
      <c r="S1164" s="60" t="n"/>
      <c r="T1164" s="60" t="n"/>
      <c r="U1164" s="60" t="n"/>
      <c r="V1164" s="60" t="n"/>
      <c r="W1164" s="60" t="n"/>
      <c r="X1164" s="60" t="n"/>
      <c r="Y1164" s="60" t="n"/>
      <c r="Z1164" s="60" t="n"/>
    </row>
    <row r="1165">
      <c r="A1165" s="151" t="n">
        <v>46120</v>
      </c>
      <c r="B1165" s="70" t="n">
        <v>1051</v>
      </c>
      <c r="C1165" s="152" t="inlineStr">
        <is>
          <t>SELİM İNŞAAT</t>
        </is>
      </c>
      <c r="D1165" s="115" t="inlineStr">
        <is>
          <t>34 FBR 781</t>
        </is>
      </c>
      <c r="E1165" s="115" t="inlineStr">
        <is>
          <t>MEVLÜT POLAT</t>
        </is>
      </c>
      <c r="F1165" s="115" t="n">
        <v>366865</v>
      </c>
      <c r="G1165" s="152" t="n">
        <v>485</v>
      </c>
      <c r="H1165" s="60" t="n"/>
      <c r="I1165" s="156">
        <f>+I1164+(G1165-H1165)</f>
        <v/>
      </c>
      <c r="J1165" s="60" t="n"/>
      <c r="K1165" s="60" t="n"/>
      <c r="L1165" s="158">
        <f>+H1165*J1165</f>
        <v/>
      </c>
      <c r="M1165" s="159">
        <f>SUM(M1164+K1165-L1165)</f>
        <v/>
      </c>
      <c r="N1165" s="60" t="n"/>
      <c r="O1165" s="60" t="n"/>
      <c r="P1165" s="60" t="n"/>
      <c r="Q1165" s="60" t="n"/>
      <c r="R1165" s="60" t="n"/>
      <c r="S1165" s="60" t="n"/>
      <c r="T1165" s="60" t="n"/>
      <c r="U1165" s="60" t="n"/>
      <c r="V1165" s="60" t="n"/>
      <c r="W1165" s="60" t="n"/>
      <c r="X1165" s="60" t="n"/>
      <c r="Y1165" s="60" t="n"/>
      <c r="Z1165" s="60" t="n"/>
    </row>
    <row r="1166">
      <c r="A1166" s="151" t="n">
        <v>46120</v>
      </c>
      <c r="B1166" s="70" t="n">
        <v>953</v>
      </c>
      <c r="C1166" s="152" t="inlineStr">
        <is>
          <t>SELİM İNŞAAT</t>
        </is>
      </c>
      <c r="D1166" s="115" t="inlineStr">
        <is>
          <t>34 DSN 636</t>
        </is>
      </c>
      <c r="E1166" s="115" t="inlineStr">
        <is>
          <t>SELÇUK BASTIK</t>
        </is>
      </c>
      <c r="F1166" s="115" t="n">
        <v>435237</v>
      </c>
      <c r="G1166" s="152" t="n">
        <v>546</v>
      </c>
      <c r="H1166" s="60" t="n"/>
      <c r="I1166" s="156">
        <f>+I1165+(G1166-H1166)</f>
        <v/>
      </c>
      <c r="J1166" s="60" t="n"/>
      <c r="K1166" s="60" t="n"/>
      <c r="L1166" s="158">
        <f>+H1166*J1166</f>
        <v/>
      </c>
      <c r="M1166" s="159">
        <f>SUM(M1165+K1166-L1166)</f>
        <v/>
      </c>
      <c r="N1166" s="60" t="n"/>
      <c r="O1166" s="60" t="n"/>
      <c r="P1166" s="60" t="n"/>
      <c r="Q1166" s="60" t="n"/>
      <c r="R1166" s="60" t="n"/>
      <c r="S1166" s="60" t="n"/>
      <c r="T1166" s="60" t="n"/>
      <c r="U1166" s="60" t="n"/>
      <c r="V1166" s="60" t="n"/>
      <c r="W1166" s="60" t="n"/>
      <c r="X1166" s="60" t="n"/>
      <c r="Y1166" s="60" t="n"/>
      <c r="Z1166" s="60" t="n"/>
    </row>
    <row r="1167">
      <c r="A1167" s="151" t="n">
        <v>46120</v>
      </c>
      <c r="B1167" s="70" t="n">
        <v>4885</v>
      </c>
      <c r="C1167" s="152" t="inlineStr">
        <is>
          <t>SELİM İNŞAAT</t>
        </is>
      </c>
      <c r="D1167" s="115" t="inlineStr">
        <is>
          <t>34 FBR 705</t>
        </is>
      </c>
      <c r="E1167" s="115" t="inlineStr">
        <is>
          <t>MURAT SARI</t>
        </is>
      </c>
      <c r="F1167" s="115" t="n">
        <v>366526</v>
      </c>
      <c r="G1167" s="152" t="n">
        <v>340</v>
      </c>
      <c r="H1167" s="60" t="n"/>
      <c r="I1167" s="156">
        <f>+I1166+(G1167-H1167)</f>
        <v/>
      </c>
      <c r="J1167" s="60" t="n"/>
      <c r="K1167" s="60" t="n"/>
      <c r="L1167" s="158">
        <f>+H1167*J1167</f>
        <v/>
      </c>
      <c r="M1167" s="159">
        <f>SUM(M1166+K1167-L1167)</f>
        <v/>
      </c>
      <c r="N1167" s="60" t="n"/>
      <c r="O1167" s="60" t="n"/>
      <c r="P1167" s="60" t="n"/>
      <c r="Q1167" s="60" t="n"/>
      <c r="R1167" s="60" t="n"/>
      <c r="S1167" s="60" t="n"/>
      <c r="T1167" s="60" t="n"/>
      <c r="U1167" s="60" t="n"/>
      <c r="V1167" s="60" t="n"/>
      <c r="W1167" s="60" t="n"/>
      <c r="X1167" s="60" t="n"/>
      <c r="Y1167" s="60" t="n"/>
      <c r="Z1167" s="60" t="n"/>
    </row>
    <row r="1168">
      <c r="A1168" s="151" t="n">
        <v>46120</v>
      </c>
      <c r="B1168" s="70" t="n">
        <v>1549</v>
      </c>
      <c r="C1168" s="152" t="inlineStr">
        <is>
          <t>KOZMO</t>
        </is>
      </c>
      <c r="D1168" s="115" t="inlineStr">
        <is>
          <t>SM350</t>
        </is>
      </c>
      <c r="E1168" s="115" t="inlineStr">
        <is>
          <t>TEVFİK</t>
        </is>
      </c>
      <c r="F1168" s="115" t="n"/>
      <c r="G1168" s="152" t="n">
        <v>510</v>
      </c>
      <c r="H1168" s="60" t="n"/>
      <c r="I1168" s="156">
        <f>+I1167+(G1168-H1168)</f>
        <v/>
      </c>
      <c r="J1168" s="60" t="n"/>
      <c r="K1168" s="60" t="n"/>
      <c r="L1168" s="158">
        <f>+H1168*J1168</f>
        <v/>
      </c>
      <c r="M1168" s="159">
        <f>SUM(M1167+K1168-L1168)</f>
        <v/>
      </c>
      <c r="N1168" s="60" t="n"/>
      <c r="O1168" s="60" t="n"/>
      <c r="P1168" s="60" t="n"/>
      <c r="Q1168" s="60" t="n"/>
      <c r="R1168" s="60" t="n"/>
      <c r="S1168" s="60" t="n"/>
      <c r="T1168" s="60" t="n"/>
      <c r="U1168" s="60" t="n"/>
      <c r="V1168" s="60" t="n"/>
      <c r="W1168" s="60" t="n"/>
      <c r="X1168" s="60" t="n"/>
      <c r="Y1168" s="60" t="n"/>
      <c r="Z1168" s="60" t="n"/>
    </row>
    <row r="1169">
      <c r="A1169" s="151" t="n">
        <v>46120</v>
      </c>
      <c r="B1169" s="70" t="n">
        <v>1550</v>
      </c>
      <c r="C1169" s="152" t="inlineStr">
        <is>
          <t>KOZMO</t>
        </is>
      </c>
      <c r="D1169" s="115" t="inlineStr">
        <is>
          <t>SM350</t>
        </is>
      </c>
      <c r="E1169" s="115" t="inlineStr">
        <is>
          <t xml:space="preserve">MİKAİL BAYILMAZ </t>
        </is>
      </c>
      <c r="F1169" s="115" t="n"/>
      <c r="G1169" s="152" t="n">
        <v>363</v>
      </c>
      <c r="H1169" s="60" t="n"/>
      <c r="I1169" s="156">
        <f>+I1168+(G1169-H1169)</f>
        <v/>
      </c>
      <c r="J1169" s="60" t="n"/>
      <c r="K1169" s="60" t="n"/>
      <c r="L1169" s="158">
        <f>+H1169*J1169</f>
        <v/>
      </c>
      <c r="M1169" s="159">
        <f>SUM(M1168+K1169-L1169)</f>
        <v/>
      </c>
      <c r="N1169" s="60" t="n"/>
      <c r="O1169" s="60" t="n"/>
      <c r="P1169" s="60" t="n"/>
      <c r="Q1169" s="60" t="n"/>
      <c r="R1169" s="60" t="n"/>
      <c r="S1169" s="60" t="n"/>
      <c r="T1169" s="60" t="n"/>
      <c r="U1169" s="60" t="n"/>
      <c r="V1169" s="60" t="n"/>
      <c r="W1169" s="60" t="n"/>
      <c r="X1169" s="60" t="n"/>
      <c r="Y1169" s="60" t="n"/>
      <c r="Z1169" s="60" t="n"/>
    </row>
    <row r="1170">
      <c r="A1170" s="151" t="n">
        <v>46120</v>
      </c>
      <c r="B1170" s="70" t="n">
        <v>1551</v>
      </c>
      <c r="C1170" s="152" t="inlineStr">
        <is>
          <t>KOZMO</t>
        </is>
      </c>
      <c r="D1170" s="115" t="inlineStr">
        <is>
          <t>SM300</t>
        </is>
      </c>
      <c r="E1170" s="115" t="inlineStr">
        <is>
          <t>TEKİN</t>
        </is>
      </c>
      <c r="F1170" s="115" t="n"/>
      <c r="G1170" s="152" t="n">
        <v>393</v>
      </c>
      <c r="H1170" s="60" t="n"/>
      <c r="I1170" s="156">
        <f>+I1169+(G1170-H1170)</f>
        <v/>
      </c>
      <c r="J1170" s="60" t="n"/>
      <c r="K1170" s="60" t="n"/>
      <c r="L1170" s="158">
        <f>+H1170*J1170</f>
        <v/>
      </c>
      <c r="M1170" s="159">
        <f>SUM(M1169+K1170-L1170)</f>
        <v/>
      </c>
      <c r="N1170" s="60" t="n"/>
      <c r="O1170" s="60" t="n"/>
      <c r="P1170" s="60" t="n"/>
      <c r="Q1170" s="60" t="n"/>
      <c r="R1170" s="60" t="n"/>
      <c r="S1170" s="60" t="n"/>
      <c r="T1170" s="60" t="n"/>
      <c r="U1170" s="60" t="n"/>
      <c r="V1170" s="60" t="n"/>
      <c r="W1170" s="60" t="n"/>
      <c r="X1170" s="60" t="n"/>
      <c r="Y1170" s="60" t="n"/>
      <c r="Z1170" s="60" t="n"/>
    </row>
    <row r="1171">
      <c r="A1171" s="151" t="n">
        <v>46120</v>
      </c>
      <c r="B1171" s="70" t="n">
        <v>1552</v>
      </c>
      <c r="C1171" s="152" t="inlineStr">
        <is>
          <t>KOZMO</t>
        </is>
      </c>
      <c r="D1171" s="115" t="inlineStr">
        <is>
          <t>SM 370</t>
        </is>
      </c>
      <c r="E1171" s="115" t="inlineStr">
        <is>
          <t>EMİRCAN</t>
        </is>
      </c>
      <c r="F1171" s="115" t="n"/>
      <c r="G1171" s="152" t="n">
        <v>400</v>
      </c>
      <c r="H1171" s="60" t="n"/>
      <c r="I1171" s="156">
        <f>+I1170+(G1171-H1171)</f>
        <v/>
      </c>
      <c r="J1171" s="60" t="n"/>
      <c r="K1171" s="60" t="n"/>
      <c r="L1171" s="158">
        <f>+H1171*J1171</f>
        <v/>
      </c>
      <c r="M1171" s="159">
        <f>SUM(M1170+K1171-L1171)</f>
        <v/>
      </c>
      <c r="N1171" s="60" t="n"/>
      <c r="O1171" s="60" t="n"/>
      <c r="P1171" s="60" t="n"/>
      <c r="Q1171" s="60" t="n"/>
      <c r="R1171" s="60" t="n"/>
      <c r="S1171" s="60" t="n"/>
      <c r="T1171" s="60" t="n"/>
      <c r="U1171" s="60" t="n"/>
      <c r="V1171" s="60" t="n"/>
    </row>
    <row r="1172">
      <c r="A1172" s="151" t="n">
        <v>46120</v>
      </c>
      <c r="B1172" s="70" t="n">
        <v>1553</v>
      </c>
      <c r="C1172" s="152" t="inlineStr">
        <is>
          <t>VARLIK</t>
        </is>
      </c>
      <c r="D1172" s="115" t="inlineStr">
        <is>
          <t>KAWAZAKİ</t>
        </is>
      </c>
      <c r="E1172" s="115" t="inlineStr">
        <is>
          <t>RAMAZAN</t>
        </is>
      </c>
      <c r="F1172" s="115" t="n"/>
      <c r="G1172" s="152" t="n">
        <v>339</v>
      </c>
      <c r="H1172" s="60" t="n"/>
      <c r="I1172" s="156">
        <f>+I1171+(G1172-H1172)</f>
        <v/>
      </c>
      <c r="J1172" s="60" t="n"/>
      <c r="K1172" s="60" t="n"/>
      <c r="L1172" s="158">
        <f>+H1172*J1172</f>
        <v/>
      </c>
      <c r="M1172" s="159">
        <f>SUM(M1171+K1172-L1172)</f>
        <v/>
      </c>
      <c r="N1172" s="60" t="n"/>
      <c r="O1172" s="60" t="n"/>
      <c r="P1172" s="60" t="n"/>
      <c r="Q1172" s="60" t="n"/>
      <c r="R1172" s="60" t="n"/>
      <c r="S1172" s="60" t="n"/>
      <c r="T1172" s="60" t="n"/>
      <c r="U1172" s="60" t="n"/>
      <c r="V1172" s="60" t="n"/>
    </row>
    <row r="1173">
      <c r="A1173" s="151" t="n">
        <v>46120</v>
      </c>
      <c r="B1173" s="70" t="n">
        <v>1554</v>
      </c>
      <c r="C1173" s="152" t="inlineStr">
        <is>
          <t>KOZMO</t>
        </is>
      </c>
      <c r="D1173" s="115" t="inlineStr">
        <is>
          <t>HİTACHİ</t>
        </is>
      </c>
      <c r="E1173" s="115" t="inlineStr">
        <is>
          <t>TURGUT ÇATAL</t>
        </is>
      </c>
      <c r="F1173" s="115" t="n"/>
      <c r="G1173" s="152" t="n">
        <v>341</v>
      </c>
      <c r="H1173" s="60" t="n"/>
      <c r="I1173" s="156">
        <f>+I1172+(G1173-H1173)</f>
        <v/>
      </c>
      <c r="J1173" s="60" t="n"/>
      <c r="K1173" s="60" t="n"/>
      <c r="L1173" s="158">
        <f>+H1173*J1173</f>
        <v/>
      </c>
      <c r="M1173" s="159">
        <f>SUM(M1172+K1173-L1173)</f>
        <v/>
      </c>
      <c r="N1173" s="60" t="n"/>
      <c r="O1173" s="60" t="n"/>
      <c r="P1173" s="60" t="n"/>
      <c r="Q1173" s="60" t="n"/>
      <c r="R1173" s="60" t="n"/>
      <c r="S1173" s="60" t="n"/>
      <c r="T1173" s="60" t="n"/>
      <c r="U1173" s="60" t="n"/>
      <c r="V1173" s="60" t="n"/>
    </row>
    <row r="1174">
      <c r="A1174" s="151" t="n">
        <v>46121</v>
      </c>
      <c r="B1174" s="70" t="n">
        <v>4472</v>
      </c>
      <c r="C1174" s="115" t="inlineStr">
        <is>
          <t>SELİM İNŞAAT</t>
        </is>
      </c>
      <c r="D1174" s="115" t="inlineStr">
        <is>
          <t>34 DKL 798</t>
        </is>
      </c>
      <c r="E1174" s="115" t="inlineStr">
        <is>
          <t>HASAN BAYCA</t>
        </is>
      </c>
      <c r="F1174" s="65" t="n">
        <v>82651</v>
      </c>
      <c r="G1174" s="146" t="n">
        <v>259</v>
      </c>
      <c r="H1174" s="60" t="n"/>
      <c r="I1174" s="156">
        <f>+I1173+(G1174-H1174)</f>
        <v/>
      </c>
      <c r="J1174" s="60" t="n"/>
      <c r="K1174" s="60" t="n"/>
      <c r="L1174" s="158">
        <f>+H1174*J1174</f>
        <v/>
      </c>
      <c r="M1174" s="159">
        <f>SUM(M1173+K1174-L1174)</f>
        <v/>
      </c>
      <c r="N1174" s="60" t="n"/>
      <c r="O1174" s="60" t="n"/>
      <c r="P1174" s="60" t="n"/>
      <c r="Q1174" s="60" t="n"/>
      <c r="R1174" s="60" t="n"/>
      <c r="S1174" s="60" t="n"/>
      <c r="T1174" s="60" t="n"/>
      <c r="U1174" s="60" t="n"/>
      <c r="V1174" s="60" t="n"/>
    </row>
    <row r="1175">
      <c r="A1175" s="151" t="n">
        <v>46121</v>
      </c>
      <c r="B1175" s="70" t="n">
        <v>3737</v>
      </c>
      <c r="C1175" s="115" t="inlineStr">
        <is>
          <t>SELİM İNŞAAT</t>
        </is>
      </c>
      <c r="D1175" s="115" t="inlineStr">
        <is>
          <t>34 DKL 866</t>
        </is>
      </c>
      <c r="E1175" s="115" t="inlineStr">
        <is>
          <t>SELİMCAN ÖNVER</t>
        </is>
      </c>
      <c r="F1175" s="65" t="n">
        <v>83966</v>
      </c>
      <c r="G1175" s="152" t="n">
        <v>298</v>
      </c>
      <c r="H1175" s="60" t="n"/>
      <c r="I1175" s="156">
        <f>+I1174+(G1175-H1175)</f>
        <v/>
      </c>
      <c r="J1175" s="60" t="n"/>
      <c r="K1175" s="60" t="n"/>
      <c r="L1175" s="158">
        <f>+H1175*J1175</f>
        <v/>
      </c>
      <c r="M1175" s="159">
        <f>SUM(M1174+K1175-L1175)</f>
        <v/>
      </c>
      <c r="N1175" s="60" t="n"/>
      <c r="O1175" s="60" t="n"/>
      <c r="P1175" s="60" t="n"/>
      <c r="Q1175" s="60" t="n"/>
      <c r="R1175" s="60" t="n"/>
      <c r="S1175" s="60" t="n"/>
      <c r="T1175" s="60" t="n"/>
      <c r="U1175" s="60" t="n"/>
      <c r="V1175" s="60" t="n"/>
    </row>
    <row r="1176">
      <c r="A1176" s="151" t="n">
        <v>46121</v>
      </c>
      <c r="B1176" s="70" t="n">
        <v>2597</v>
      </c>
      <c r="C1176" s="115" t="inlineStr">
        <is>
          <t>SELİM İNŞAAT</t>
        </is>
      </c>
      <c r="D1176" s="115" t="inlineStr">
        <is>
          <t>34 GER 028</t>
        </is>
      </c>
      <c r="E1176" s="115" t="inlineStr">
        <is>
          <t>ABDULKERİM ERGEN</t>
        </is>
      </c>
      <c r="F1176" s="65" t="n">
        <v>61876</v>
      </c>
      <c r="G1176" s="152" t="n">
        <v>296</v>
      </c>
      <c r="H1176" s="60" t="n"/>
      <c r="I1176" s="156">
        <f>+I1175+(G1176-H1176)</f>
        <v/>
      </c>
      <c r="J1176" s="60" t="n"/>
      <c r="K1176" s="60" t="n"/>
      <c r="L1176" s="158">
        <f>+H1176*J1176</f>
        <v/>
      </c>
      <c r="M1176" s="159">
        <f>SUM(M1175+K1176-L1176)</f>
        <v/>
      </c>
      <c r="N1176" s="60" t="n"/>
      <c r="O1176" s="60" t="n"/>
      <c r="P1176" s="60" t="n"/>
      <c r="Q1176" s="60" t="n"/>
      <c r="R1176" s="60" t="n"/>
      <c r="S1176" s="60" t="n"/>
      <c r="T1176" s="60" t="n"/>
      <c r="U1176" s="60" t="n"/>
      <c r="V1176" s="60" t="n"/>
    </row>
    <row r="1177">
      <c r="A1177" s="151" t="n">
        <v>46121</v>
      </c>
      <c r="B1177" s="70" t="n">
        <v>3621</v>
      </c>
      <c r="C1177" s="115" t="inlineStr">
        <is>
          <t>SELİM İNŞAAT</t>
        </is>
      </c>
      <c r="D1177" s="115" t="inlineStr">
        <is>
          <t>34 EDB 922</t>
        </is>
      </c>
      <c r="E1177" s="115" t="inlineStr">
        <is>
          <t>SELÇUK BASTIK</t>
        </is>
      </c>
      <c r="F1177" s="65" t="n">
        <v>406521</v>
      </c>
      <c r="G1177" s="152" t="n">
        <v>365</v>
      </c>
      <c r="H1177" s="60" t="n"/>
      <c r="I1177" s="156">
        <f>+I1176+(G1177-H1177)</f>
        <v/>
      </c>
      <c r="J1177" s="60" t="n"/>
      <c r="K1177" s="60" t="n"/>
      <c r="L1177" s="158">
        <f>+H1177*J1177</f>
        <v/>
      </c>
      <c r="M1177" s="159">
        <f>SUM(M1176+K1177-L1177)</f>
        <v/>
      </c>
      <c r="N1177" s="60" t="n"/>
      <c r="O1177" s="60" t="n"/>
      <c r="P1177" s="60" t="n"/>
      <c r="Q1177" s="60" t="n"/>
      <c r="R1177" s="60" t="n"/>
      <c r="S1177" s="60" t="n"/>
      <c r="T1177" s="60" t="n"/>
      <c r="U1177" s="60" t="n"/>
      <c r="V1177" s="60" t="n"/>
    </row>
    <row r="1178">
      <c r="A1178" s="151" t="n">
        <v>46121</v>
      </c>
      <c r="B1178" s="70" t="n">
        <v>4982</v>
      </c>
      <c r="C1178" s="115" t="inlineStr">
        <is>
          <t>SELİM İNŞAAT</t>
        </is>
      </c>
      <c r="D1178" s="115" t="inlineStr">
        <is>
          <t>34 GVZ 745</t>
        </is>
      </c>
      <c r="E1178" s="115" t="inlineStr">
        <is>
          <t>MURAT DEMİRBAŞ</t>
        </is>
      </c>
      <c r="F1178" s="65" t="n">
        <v>252726</v>
      </c>
      <c r="G1178" s="152" t="n">
        <v>243</v>
      </c>
      <c r="H1178" s="60" t="n"/>
      <c r="I1178" s="156">
        <f>+I1177+(G1178-H1178)</f>
        <v/>
      </c>
      <c r="J1178" s="60" t="n"/>
      <c r="K1178" s="60" t="n"/>
      <c r="L1178" s="158">
        <f>+H1178*J1178</f>
        <v/>
      </c>
      <c r="M1178" s="159">
        <f>SUM(M1177+K1178-L1178)</f>
        <v/>
      </c>
      <c r="N1178" s="60" t="n"/>
      <c r="O1178" s="60" t="n"/>
      <c r="P1178" s="60" t="n"/>
      <c r="Q1178" s="60" t="n"/>
      <c r="R1178" s="60" t="n"/>
      <c r="S1178" s="60" t="n"/>
      <c r="T1178" s="60" t="n"/>
      <c r="U1178" s="60" t="n"/>
      <c r="V1178" s="60" t="n"/>
    </row>
    <row r="1179">
      <c r="A1179" s="151" t="n">
        <v>46121</v>
      </c>
      <c r="B1179" s="70" t="n">
        <v>4934</v>
      </c>
      <c r="C1179" s="115" t="inlineStr">
        <is>
          <t>SELİM İNŞAAT</t>
        </is>
      </c>
      <c r="D1179" s="115" t="inlineStr">
        <is>
          <t>34 FBR 742</t>
        </is>
      </c>
      <c r="E1179" s="115" t="inlineStr">
        <is>
          <t>ADNAN KOÇ</t>
        </is>
      </c>
      <c r="F1179" s="65" t="n">
        <v>370421</v>
      </c>
      <c r="G1179" s="152" t="n">
        <v>512</v>
      </c>
      <c r="H1179" s="60" t="n"/>
      <c r="I1179" s="156">
        <f>+I1178+(G1179-H1179)</f>
        <v/>
      </c>
      <c r="J1179" s="60" t="n"/>
      <c r="K1179" s="60" t="n"/>
      <c r="L1179" s="158">
        <f>+H1179*J1179</f>
        <v/>
      </c>
      <c r="M1179" s="159">
        <f>SUM(M1178+K1179-L1179)</f>
        <v/>
      </c>
      <c r="N1179" s="60" t="n"/>
      <c r="O1179" s="60" t="n"/>
      <c r="P1179" s="60" t="n"/>
      <c r="Q1179" s="60" t="n"/>
      <c r="R1179" s="60" t="n"/>
      <c r="S1179" s="60" t="n"/>
      <c r="T1179" s="60" t="n"/>
      <c r="U1179" s="60" t="n"/>
      <c r="V1179" s="60" t="n"/>
    </row>
    <row r="1180">
      <c r="A1180" s="151" t="n">
        <v>46121</v>
      </c>
      <c r="B1180" s="70" t="n">
        <v>3339</v>
      </c>
      <c r="C1180" s="115" t="inlineStr">
        <is>
          <t>SELİM İNŞAAT</t>
        </is>
      </c>
      <c r="D1180" s="115" t="inlineStr">
        <is>
          <t>34 GUS 938</t>
        </is>
      </c>
      <c r="E1180" s="115" t="inlineStr">
        <is>
          <t>MEHMET KAYA</t>
        </is>
      </c>
      <c r="F1180" s="65" t="n">
        <v>252100</v>
      </c>
      <c r="G1180" s="152" t="n">
        <v>439</v>
      </c>
      <c r="H1180" s="60" t="n"/>
      <c r="I1180" s="156">
        <f>+I1179+(G1180-H1180)</f>
        <v/>
      </c>
      <c r="J1180" s="60" t="n"/>
      <c r="K1180" s="60" t="n"/>
      <c r="L1180" s="158">
        <f>+H1180*J1180</f>
        <v/>
      </c>
      <c r="M1180" s="159">
        <f>SUM(M1179+K1180-L1180)</f>
        <v/>
      </c>
      <c r="N1180" s="60" t="n"/>
      <c r="O1180" s="60" t="n"/>
      <c r="P1180" s="60" t="n"/>
      <c r="Q1180" s="60" t="n"/>
      <c r="R1180" s="60" t="n"/>
      <c r="S1180" s="60" t="n"/>
      <c r="T1180" s="60" t="n"/>
      <c r="U1180" s="60" t="n"/>
      <c r="V1180" s="60" t="n"/>
    </row>
    <row r="1181">
      <c r="A1181" s="151" t="n">
        <v>46121</v>
      </c>
      <c r="B1181" s="70" t="n">
        <v>1349</v>
      </c>
      <c r="C1181" s="115" t="inlineStr">
        <is>
          <t>SELİM İNŞAAT</t>
        </is>
      </c>
      <c r="D1181" s="115" t="inlineStr">
        <is>
          <t>34 GVZ 199</t>
        </is>
      </c>
      <c r="E1181" s="115" t="inlineStr">
        <is>
          <t>HÜSEYİN DENİZ</t>
        </is>
      </c>
      <c r="F1181" s="65" t="n">
        <v>231537</v>
      </c>
      <c r="G1181" s="152" t="n">
        <v>423</v>
      </c>
      <c r="H1181" s="60" t="n"/>
      <c r="I1181" s="156">
        <f>+I1180+(G1181-H1181)</f>
        <v/>
      </c>
      <c r="J1181" s="60" t="n"/>
      <c r="K1181" s="60" t="n"/>
      <c r="L1181" s="158">
        <f>+H1181*J1181</f>
        <v/>
      </c>
      <c r="M1181" s="159">
        <f>SUM(M1180+K1181-L1181)</f>
        <v/>
      </c>
      <c r="N1181" s="60" t="n"/>
      <c r="O1181" s="60" t="n"/>
      <c r="P1181" s="60" t="n"/>
      <c r="Q1181" s="60" t="n"/>
      <c r="R1181" s="60" t="n"/>
      <c r="S1181" s="60" t="n"/>
      <c r="T1181" s="60" t="n"/>
      <c r="U1181" s="60" t="n"/>
      <c r="V1181" s="60" t="n"/>
    </row>
    <row r="1182">
      <c r="A1182" s="151" t="n">
        <v>46121</v>
      </c>
      <c r="B1182" s="70" t="n">
        <v>824</v>
      </c>
      <c r="C1182" s="115" t="inlineStr">
        <is>
          <t>METİN ERYİĞİT</t>
        </is>
      </c>
      <c r="D1182" s="115" t="inlineStr">
        <is>
          <t>34 GBL 998</t>
        </is>
      </c>
      <c r="E1182" s="115" t="inlineStr">
        <is>
          <t>ALİ KESKİN</t>
        </is>
      </c>
      <c r="F1182" s="115" t="n">
        <v>356943</v>
      </c>
      <c r="G1182" s="152" t="n">
        <v>447</v>
      </c>
      <c r="H1182" s="60" t="n"/>
      <c r="I1182" s="156">
        <f>+I1181+(G1182-H1182)</f>
        <v/>
      </c>
      <c r="J1182" s="60" t="n"/>
      <c r="K1182" s="60" t="n"/>
      <c r="L1182" s="158">
        <f>+H1182*J1182</f>
        <v/>
      </c>
      <c r="M1182" s="159">
        <f>SUM(M1181+K1182-L1182)</f>
        <v/>
      </c>
      <c r="N1182" s="60" t="n"/>
      <c r="O1182" s="60" t="n"/>
      <c r="P1182" s="60" t="n"/>
      <c r="Q1182" s="60" t="n"/>
      <c r="R1182" s="60" t="n"/>
      <c r="S1182" s="60" t="n"/>
      <c r="T1182" s="60" t="n"/>
      <c r="U1182" s="60" t="n"/>
      <c r="V1182" s="60" t="n"/>
    </row>
    <row r="1183">
      <c r="A1183" s="151" t="n">
        <v>46121</v>
      </c>
      <c r="B1183" s="70" t="n">
        <v>765</v>
      </c>
      <c r="C1183" s="115" t="inlineStr">
        <is>
          <t>METİN ERYİĞİT</t>
        </is>
      </c>
      <c r="D1183" s="115" t="inlineStr">
        <is>
          <t>34 EGR 814</t>
        </is>
      </c>
      <c r="E1183" s="115" t="inlineStr">
        <is>
          <t>ZİYA İNCE</t>
        </is>
      </c>
      <c r="F1183" s="115" t="n">
        <v>617732</v>
      </c>
      <c r="G1183" s="152" t="n">
        <v>479</v>
      </c>
      <c r="H1183" s="60" t="n"/>
      <c r="I1183" s="156">
        <f>+I1182+(G1183-H1183)</f>
        <v/>
      </c>
      <c r="J1183" s="60" t="n"/>
      <c r="K1183" s="60" t="n"/>
      <c r="L1183" s="158">
        <f>+H1183*J1183</f>
        <v/>
      </c>
      <c r="M1183" s="159">
        <f>SUM(M1182+K1183-L1183)</f>
        <v/>
      </c>
      <c r="N1183" s="60" t="n"/>
      <c r="O1183" s="60" t="n"/>
      <c r="P1183" s="60" t="n"/>
      <c r="Q1183" s="60" t="n"/>
      <c r="R1183" s="60" t="n"/>
      <c r="S1183" s="60" t="n"/>
      <c r="T1183" s="60" t="n"/>
      <c r="U1183" s="60" t="n"/>
      <c r="V1183" s="60" t="n"/>
    </row>
    <row r="1184">
      <c r="A1184" s="151" t="n">
        <v>46121</v>
      </c>
      <c r="B1184" s="70" t="n">
        <v>4122</v>
      </c>
      <c r="C1184" s="152" t="inlineStr">
        <is>
          <t>SELİM İNŞAAT</t>
        </is>
      </c>
      <c r="D1184" s="115" t="inlineStr">
        <is>
          <t>34 EDB 659</t>
        </is>
      </c>
      <c r="E1184" s="115" t="inlineStr">
        <is>
          <t>YASİN ÇATAKLI</t>
        </is>
      </c>
      <c r="F1184" s="115" t="n">
        <v>394640</v>
      </c>
      <c r="G1184" s="152" t="n">
        <v>520</v>
      </c>
      <c r="H1184" s="60" t="n"/>
      <c r="I1184" s="156">
        <f>+I1183+(G1184-H1184)</f>
        <v/>
      </c>
      <c r="J1184" s="60" t="n"/>
      <c r="K1184" s="60" t="n"/>
      <c r="L1184" s="158">
        <f>+H1184*J1184</f>
        <v/>
      </c>
      <c r="M1184" s="159">
        <f>SUM(M1183+K1184-L1184)</f>
        <v/>
      </c>
      <c r="N1184" s="60" t="n"/>
      <c r="O1184" s="60" t="n"/>
      <c r="P1184" s="60" t="n"/>
      <c r="Q1184" s="60" t="n"/>
      <c r="R1184" s="60" t="n"/>
      <c r="S1184" s="60" t="n"/>
      <c r="T1184" s="60" t="n"/>
      <c r="U1184" s="60" t="n"/>
      <c r="V1184" s="60" t="n"/>
    </row>
    <row r="1185">
      <c r="A1185" s="151" t="n">
        <v>46121</v>
      </c>
      <c r="B1185" s="70" t="n">
        <v>3295</v>
      </c>
      <c r="C1185" s="152" t="inlineStr">
        <is>
          <t>AZGÜN YAPI</t>
        </is>
      </c>
      <c r="D1185" s="115" t="inlineStr">
        <is>
          <t xml:space="preserve">34 DTV 263 </t>
        </is>
      </c>
      <c r="E1185" s="115" t="inlineStr">
        <is>
          <t>DURSUN ALİ GÜREK</t>
        </is>
      </c>
      <c r="F1185" s="115" t="n"/>
      <c r="G1185" s="152" t="n">
        <v>385</v>
      </c>
      <c r="H1185" s="60" t="n"/>
      <c r="I1185" s="156">
        <f>+I1184+(G1185-H1185)</f>
        <v/>
      </c>
      <c r="J1185" s="60" t="n"/>
      <c r="K1185" s="60" t="n"/>
      <c r="L1185" s="158">
        <f>+H1185*J1185</f>
        <v/>
      </c>
      <c r="M1185" s="159">
        <f>SUM(M1184+K1185-L1185)</f>
        <v/>
      </c>
      <c r="N1185" s="60" t="n"/>
      <c r="O1185" s="60" t="n"/>
      <c r="P1185" s="60" t="n"/>
      <c r="Q1185" s="60" t="n"/>
      <c r="R1185" s="60" t="n"/>
      <c r="S1185" s="60" t="n"/>
      <c r="T1185" s="60" t="n"/>
      <c r="U1185" s="60" t="n"/>
      <c r="V1185" s="60" t="n"/>
    </row>
    <row r="1186">
      <c r="A1186" s="151" t="n">
        <v>46121</v>
      </c>
      <c r="B1186" s="70" t="n">
        <v>1402</v>
      </c>
      <c r="C1186" s="152" t="inlineStr">
        <is>
          <t>AZGÜN YAPI</t>
        </is>
      </c>
      <c r="D1186" s="115" t="inlineStr">
        <is>
          <t>34 MKT 859</t>
        </is>
      </c>
      <c r="E1186" s="115" t="inlineStr">
        <is>
          <t>İRFAN DAĞLAR</t>
        </is>
      </c>
      <c r="F1186" s="115" t="n"/>
      <c r="G1186" s="152" t="n">
        <v>867</v>
      </c>
      <c r="H1186" s="60" t="n"/>
      <c r="I1186" s="156">
        <f>+I1185+(G1186-H1186)</f>
        <v/>
      </c>
      <c r="J1186" s="60" t="n"/>
      <c r="K1186" s="60" t="n"/>
      <c r="L1186" s="158">
        <f>+H1186*J1186</f>
        <v/>
      </c>
      <c r="M1186" s="159">
        <f>SUM(M1185+K1186-L1186)</f>
        <v/>
      </c>
      <c r="N1186" s="60" t="n"/>
      <c r="O1186" s="60" t="n"/>
      <c r="P1186" s="60" t="n"/>
      <c r="Q1186" s="60" t="n"/>
      <c r="R1186" s="60" t="n"/>
      <c r="S1186" s="60" t="n"/>
      <c r="T1186" s="60" t="n"/>
      <c r="U1186" s="60" t="n"/>
      <c r="V1186" s="60" t="n"/>
    </row>
    <row r="1187">
      <c r="A1187" s="151" t="n">
        <v>46121</v>
      </c>
      <c r="B1187" s="70" t="n">
        <v>1555</v>
      </c>
      <c r="C1187" s="152" t="inlineStr">
        <is>
          <t>VARLIK</t>
        </is>
      </c>
      <c r="D1187" s="115" t="inlineStr">
        <is>
          <t>RT650 SARI VİNÇ</t>
        </is>
      </c>
      <c r="E1187" s="115" t="inlineStr">
        <is>
          <t>ALİHAN DUMAN</t>
        </is>
      </c>
      <c r="F1187" s="115" t="n"/>
      <c r="G1187" s="152" t="n">
        <v>320</v>
      </c>
      <c r="H1187" s="60" t="n"/>
      <c r="I1187" s="156">
        <f>+I1186+(G1187-H1187)</f>
        <v/>
      </c>
      <c r="J1187" s="60" t="n"/>
      <c r="K1187" s="60" t="n"/>
      <c r="L1187" s="158">
        <f>+H1187*J1187</f>
        <v/>
      </c>
      <c r="M1187" s="159">
        <f>SUM(M1186+K1187-L1187)</f>
        <v/>
      </c>
      <c r="N1187" s="60" t="n"/>
      <c r="O1187" s="60" t="n"/>
      <c r="P1187" s="60" t="n"/>
      <c r="Q1187" s="60" t="n"/>
      <c r="R1187" s="60" t="n"/>
      <c r="S1187" s="60" t="n"/>
      <c r="T1187" s="60" t="n"/>
      <c r="U1187" s="60" t="n"/>
      <c r="V1187" s="60" t="n"/>
    </row>
    <row r="1188">
      <c r="A1188" s="151" t="n">
        <v>46121</v>
      </c>
      <c r="B1188" s="70" t="n">
        <v>1556</v>
      </c>
      <c r="C1188" s="152" t="inlineStr">
        <is>
          <t>KOZMO</t>
        </is>
      </c>
      <c r="D1188" s="115" t="inlineStr">
        <is>
          <t>SM350</t>
        </is>
      </c>
      <c r="E1188" s="115" t="inlineStr">
        <is>
          <t xml:space="preserve">MİKAİL BAYILMAZ </t>
        </is>
      </c>
      <c r="F1188" s="115" t="n"/>
      <c r="G1188" s="152" t="n">
        <v>439</v>
      </c>
      <c r="H1188" s="60" t="n"/>
      <c r="I1188" s="156">
        <f>+I1187+(G1188-H1188)</f>
        <v/>
      </c>
      <c r="J1188" s="60" t="n"/>
      <c r="K1188" s="60" t="n"/>
      <c r="L1188" s="158">
        <f>+H1188*J1188</f>
        <v/>
      </c>
      <c r="M1188" s="159">
        <f>SUM(M1187+K1188-L1188)</f>
        <v/>
      </c>
      <c r="N1188" s="60" t="n"/>
      <c r="O1188" s="60" t="n"/>
      <c r="P1188" s="60" t="n"/>
      <c r="Q1188" s="60" t="n"/>
      <c r="R1188" s="60" t="n"/>
      <c r="S1188" s="60" t="n"/>
      <c r="T1188" s="60" t="n"/>
      <c r="U1188" s="60" t="n"/>
      <c r="V1188" s="60" t="n"/>
    </row>
    <row r="1189">
      <c r="A1189" s="151" t="n">
        <v>46121</v>
      </c>
      <c r="B1189" s="70" t="n">
        <v>1557</v>
      </c>
      <c r="C1189" s="152" t="inlineStr">
        <is>
          <t>KOZMO</t>
        </is>
      </c>
      <c r="D1189" s="115" t="inlineStr">
        <is>
          <t>SM300</t>
        </is>
      </c>
      <c r="E1189" s="115" t="inlineStr">
        <is>
          <t>TEKİN ŞEYLAN</t>
        </is>
      </c>
      <c r="F1189" s="115" t="n"/>
      <c r="G1189" s="152" t="n">
        <v>407</v>
      </c>
      <c r="H1189" s="60" t="n"/>
      <c r="I1189" s="156">
        <f>+I1188+(G1189-H1189)</f>
        <v/>
      </c>
      <c r="J1189" s="60" t="n"/>
      <c r="K1189" s="60" t="n"/>
      <c r="L1189" s="158">
        <f>+H1189*J1189</f>
        <v/>
      </c>
      <c r="M1189" s="159">
        <f>SUM(M1188+K1189-L1189)</f>
        <v/>
      </c>
      <c r="N1189" s="60" t="n"/>
      <c r="O1189" s="60" t="n"/>
      <c r="P1189" s="60" t="n"/>
      <c r="Q1189" s="60" t="n"/>
      <c r="R1189" s="60" t="n"/>
      <c r="S1189" s="60" t="n"/>
      <c r="T1189" s="60" t="n"/>
      <c r="U1189" s="60" t="n"/>
      <c r="V1189" s="60" t="n"/>
    </row>
    <row r="1190">
      <c r="A1190" s="151" t="n">
        <v>46121</v>
      </c>
      <c r="B1190" s="70" t="n">
        <v>1558</v>
      </c>
      <c r="C1190" s="152" t="inlineStr">
        <is>
          <t>KOZMO</t>
        </is>
      </c>
      <c r="D1190" s="115" t="inlineStr">
        <is>
          <t>SM370</t>
        </is>
      </c>
      <c r="E1190" s="115" t="inlineStr">
        <is>
          <t>EMİRCAN</t>
        </is>
      </c>
      <c r="F1190" s="115" t="n"/>
      <c r="G1190" s="152" t="n">
        <v>350</v>
      </c>
      <c r="H1190" s="60" t="n"/>
      <c r="I1190" s="156">
        <f>+I1189+(G1190-H1190)</f>
        <v/>
      </c>
      <c r="J1190" s="60" t="n"/>
      <c r="K1190" s="60" t="n"/>
      <c r="L1190" s="158">
        <f>+H1190*J1190</f>
        <v/>
      </c>
      <c r="M1190" s="159">
        <f>SUM(M1189+K1190-L1190)</f>
        <v/>
      </c>
      <c r="N1190" s="60" t="n"/>
      <c r="O1190" s="60" t="n"/>
      <c r="P1190" s="60" t="n"/>
      <c r="Q1190" s="60" t="n"/>
      <c r="R1190" s="60" t="n"/>
      <c r="S1190" s="60" t="n"/>
      <c r="T1190" s="60" t="n"/>
      <c r="U1190" s="60" t="n"/>
      <c r="V1190" s="60" t="n"/>
    </row>
    <row r="1191">
      <c r="A1191" s="151" t="n">
        <v>46121</v>
      </c>
      <c r="B1191" s="70" t="n">
        <v>1559</v>
      </c>
      <c r="C1191" s="152" t="inlineStr">
        <is>
          <t>KOZMO</t>
        </is>
      </c>
      <c r="D1191" s="115" t="inlineStr">
        <is>
          <t>KAWAZAKİ</t>
        </is>
      </c>
      <c r="E1191" s="115" t="inlineStr">
        <is>
          <t>RAMAZAN</t>
        </is>
      </c>
      <c r="F1191" s="115" t="n"/>
      <c r="G1191" s="152" t="n">
        <v>363</v>
      </c>
      <c r="H1191" s="60" t="n"/>
      <c r="I1191" s="156">
        <f>+I1190+(G1191-H1191)</f>
        <v/>
      </c>
      <c r="J1191" s="60" t="n"/>
      <c r="K1191" s="60" t="n"/>
      <c r="L1191" s="158">
        <f>+H1191*J1191</f>
        <v/>
      </c>
      <c r="M1191" s="159">
        <f>SUM(M1190+K1191-L1191)</f>
        <v/>
      </c>
      <c r="N1191" s="60" t="n"/>
      <c r="O1191" s="60" t="n"/>
      <c r="P1191" s="60" t="n"/>
      <c r="Q1191" s="60" t="n"/>
      <c r="R1191" s="60" t="n"/>
      <c r="S1191" s="60" t="n"/>
      <c r="T1191" s="60" t="n"/>
      <c r="U1191" s="60" t="n"/>
      <c r="V1191" s="60" t="n"/>
    </row>
    <row r="1192">
      <c r="A1192" s="151" t="n">
        <v>46121</v>
      </c>
      <c r="B1192" s="70" t="n">
        <v>1560</v>
      </c>
      <c r="C1192" s="152" t="inlineStr">
        <is>
          <t>VARLIK</t>
        </is>
      </c>
      <c r="D1192" s="115" t="inlineStr">
        <is>
          <t>HİTACHİ</t>
        </is>
      </c>
      <c r="E1192" s="115" t="inlineStr">
        <is>
          <t>TURGUT ÇATAL</t>
        </is>
      </c>
      <c r="F1192" s="115" t="n"/>
      <c r="G1192" s="152" t="n">
        <v>4436</v>
      </c>
      <c r="H1192" s="60" t="n"/>
      <c r="I1192" s="156">
        <f>+I1191+(G1192-H1192)</f>
        <v/>
      </c>
      <c r="J1192" s="60" t="n"/>
      <c r="K1192" s="60" t="n"/>
      <c r="L1192" s="158">
        <f>+H1192*J1192</f>
        <v/>
      </c>
      <c r="M1192" s="159">
        <f>SUM(M1191+K1192-L1192)</f>
        <v/>
      </c>
      <c r="N1192" s="60" t="n"/>
      <c r="O1192" s="60" t="n"/>
      <c r="P1192" s="60" t="n"/>
      <c r="Q1192" s="60" t="n"/>
      <c r="R1192" s="60" t="n"/>
      <c r="S1192" s="60" t="n"/>
      <c r="T1192" s="60" t="n"/>
      <c r="U1192" s="60" t="n"/>
      <c r="V1192" s="60" t="n"/>
    </row>
    <row r="1193">
      <c r="A1193" s="151" t="n">
        <v>46121</v>
      </c>
      <c r="B1193" s="70" t="n">
        <v>1561</v>
      </c>
      <c r="C1193" s="152" t="inlineStr">
        <is>
          <t>MEGA VARLIK</t>
        </is>
      </c>
      <c r="D1193" s="115" t="inlineStr">
        <is>
          <t>SM350</t>
        </is>
      </c>
      <c r="E1193" s="115" t="inlineStr">
        <is>
          <t>TEVFİK</t>
        </is>
      </c>
      <c r="F1193" s="115" t="n"/>
      <c r="G1193" s="152" t="n">
        <v>391</v>
      </c>
      <c r="H1193" s="60" t="n"/>
      <c r="I1193" s="156">
        <f>+I1192+(G1193-H1193)</f>
        <v/>
      </c>
      <c r="J1193" s="60" t="n"/>
      <c r="K1193" s="60" t="n"/>
      <c r="L1193" s="158">
        <f>+H1193*J1193</f>
        <v/>
      </c>
      <c r="M1193" s="159">
        <f>SUM(M1192+K1193-L1193)</f>
        <v/>
      </c>
      <c r="N1193" s="60" t="n"/>
      <c r="O1193" s="60" t="n"/>
      <c r="P1193" s="60" t="n"/>
      <c r="Q1193" s="60" t="n"/>
      <c r="R1193" s="60" t="n"/>
      <c r="S1193" s="60" t="n"/>
      <c r="T1193" s="60" t="n"/>
      <c r="U1193" s="60" t="n"/>
      <c r="V1193" s="60" t="n"/>
    </row>
    <row r="1194">
      <c r="A1194" s="151" t="n">
        <v>46122</v>
      </c>
      <c r="B1194" s="70" t="n">
        <v>1637</v>
      </c>
      <c r="C1194" s="115" t="inlineStr">
        <is>
          <t>SELİM İNŞAAT</t>
        </is>
      </c>
      <c r="D1194" s="115" t="inlineStr">
        <is>
          <t>34 VF 2620</t>
        </is>
      </c>
      <c r="E1194" s="115" t="inlineStr">
        <is>
          <t>RECEP SELİM</t>
        </is>
      </c>
      <c r="F1194" s="65" t="n">
        <v>204083</v>
      </c>
      <c r="G1194" s="152" t="n">
        <v>60</v>
      </c>
      <c r="H1194" s="60" t="n"/>
      <c r="I1194" s="156">
        <f>+I1193+(G1194-H1194)</f>
        <v/>
      </c>
      <c r="J1194" s="60" t="n"/>
      <c r="K1194" s="60" t="n"/>
      <c r="L1194" s="158">
        <f>+H1194*J1194</f>
        <v/>
      </c>
      <c r="M1194" s="159">
        <f>SUM(M1193+K1194-L1194)</f>
        <v/>
      </c>
      <c r="N1194" s="60" t="n"/>
      <c r="O1194" s="60" t="n"/>
      <c r="P1194" s="60" t="n"/>
      <c r="Q1194" s="60" t="n"/>
      <c r="R1194" s="60" t="n"/>
      <c r="S1194" s="60" t="n"/>
      <c r="T1194" s="60" t="n"/>
      <c r="U1194" s="60" t="n"/>
      <c r="V1194" s="60" t="n"/>
    </row>
    <row r="1195">
      <c r="A1195" s="151" t="n">
        <v>46122</v>
      </c>
      <c r="B1195" s="70" t="n">
        <v>4025</v>
      </c>
      <c r="C1195" s="115" t="inlineStr">
        <is>
          <t>SELİM İNŞAAT</t>
        </is>
      </c>
      <c r="D1195" s="115" t="inlineStr">
        <is>
          <t>34 AR 7743</t>
        </is>
      </c>
      <c r="E1195" s="115" t="inlineStr">
        <is>
          <t>MEHMET SELİM</t>
        </is>
      </c>
      <c r="F1195" s="65" t="n">
        <v>376094</v>
      </c>
      <c r="G1195" s="152" t="n">
        <v>40</v>
      </c>
      <c r="H1195" s="60" t="n"/>
      <c r="I1195" s="156">
        <f>+I1194+(G1195-H1195)</f>
        <v/>
      </c>
      <c r="J1195" s="60" t="n"/>
      <c r="K1195" s="60" t="n"/>
      <c r="L1195" s="158">
        <f>+H1195*J1195</f>
        <v/>
      </c>
      <c r="M1195" s="159">
        <f>SUM(M1194+K1195-L1195)</f>
        <v/>
      </c>
      <c r="N1195" s="60" t="n"/>
      <c r="O1195" s="60" t="n"/>
      <c r="P1195" s="60" t="n"/>
      <c r="Q1195" s="60" t="n"/>
      <c r="R1195" s="60" t="n"/>
      <c r="S1195" s="60" t="n"/>
      <c r="T1195" s="60" t="n"/>
      <c r="U1195" s="60" t="n"/>
      <c r="V1195" s="60" t="n"/>
    </row>
    <row r="1196">
      <c r="A1196" s="151" t="n">
        <v>46122</v>
      </c>
      <c r="B1196" s="70" t="n">
        <v>309</v>
      </c>
      <c r="C1196" s="115" t="inlineStr">
        <is>
          <t>SELİM İNŞAAT</t>
        </is>
      </c>
      <c r="D1196" s="115" t="inlineStr">
        <is>
          <t>34 GER 445</t>
        </is>
      </c>
      <c r="E1196" s="115" t="inlineStr">
        <is>
          <t>MUSTAFA ERYİĞİT</t>
        </is>
      </c>
      <c r="F1196" s="65" t="n">
        <v>59111</v>
      </c>
      <c r="G1196" s="152" t="n">
        <v>294</v>
      </c>
      <c r="H1196" s="60" t="n"/>
      <c r="I1196" s="156">
        <f>+I1195+(G1196-H1196)</f>
        <v/>
      </c>
      <c r="J1196" s="60" t="n"/>
      <c r="K1196" s="60" t="n"/>
      <c r="L1196" s="158">
        <f>+H1196*J1196</f>
        <v/>
      </c>
      <c r="M1196" s="159">
        <f>SUM(M1195+K1196-L1196)</f>
        <v/>
      </c>
      <c r="N1196" s="60" t="n"/>
      <c r="O1196" s="60" t="n"/>
      <c r="P1196" s="60" t="n"/>
      <c r="Q1196" s="60" t="n"/>
      <c r="R1196" s="60" t="n"/>
      <c r="S1196" s="60" t="n"/>
      <c r="T1196" s="60" t="n"/>
      <c r="U1196" s="60" t="n"/>
      <c r="V1196" s="60" t="n"/>
    </row>
    <row r="1197">
      <c r="A1197" s="151" t="n">
        <v>46122</v>
      </c>
      <c r="B1197" s="70" t="n">
        <v>4522</v>
      </c>
      <c r="C1197" s="115" t="inlineStr">
        <is>
          <t>SELİM İNŞAAT</t>
        </is>
      </c>
      <c r="D1197" s="115" t="inlineStr">
        <is>
          <t>34 DTV 352</t>
        </is>
      </c>
      <c r="E1197" s="115" t="inlineStr">
        <is>
          <t>AZİZ ORUÇ</t>
        </is>
      </c>
      <c r="F1197" s="65" t="n">
        <v>480681</v>
      </c>
      <c r="G1197" s="152" t="n">
        <v>332</v>
      </c>
      <c r="H1197" s="60" t="n"/>
      <c r="I1197" s="156">
        <f>+I1196+(G1197-H1197)</f>
        <v/>
      </c>
      <c r="J1197" s="60" t="n"/>
      <c r="K1197" s="60" t="n"/>
      <c r="L1197" s="158">
        <f>+H1197*J1197</f>
        <v/>
      </c>
      <c r="M1197" s="159">
        <f>SUM(M1196+K1197-L1197)</f>
        <v/>
      </c>
      <c r="N1197" s="60" t="n"/>
      <c r="O1197" s="60" t="n"/>
      <c r="P1197" s="60" t="n"/>
      <c r="Q1197" s="60" t="n"/>
      <c r="R1197" s="60" t="n"/>
      <c r="S1197" s="60" t="n"/>
      <c r="T1197" s="60" t="n"/>
      <c r="U1197" s="60" t="n"/>
      <c r="V1197" s="60" t="n"/>
    </row>
    <row r="1198">
      <c r="A1198" s="151" t="n">
        <v>46122</v>
      </c>
      <c r="B1198" s="70" t="n">
        <v>639</v>
      </c>
      <c r="C1198" s="152" t="inlineStr">
        <is>
          <t>AHMET SELİM TEMHA</t>
        </is>
      </c>
      <c r="D1198" s="115" t="inlineStr">
        <is>
          <t>34 PGT 251</t>
        </is>
      </c>
      <c r="E1198" s="115" t="inlineStr">
        <is>
          <t>ERSOY SIĞINMAZ</t>
        </is>
      </c>
      <c r="F1198" s="115" t="n"/>
      <c r="G1198" s="152" t="n">
        <v>39</v>
      </c>
      <c r="H1198" s="60" t="n"/>
      <c r="I1198" s="156">
        <f>+I1197+(G1198-H1198)</f>
        <v/>
      </c>
      <c r="J1198" s="60" t="n"/>
      <c r="K1198" s="60" t="n"/>
      <c r="L1198" s="158">
        <f>+H1198*J1198</f>
        <v/>
      </c>
      <c r="M1198" s="159">
        <f>SUM(M1197+K1198-L1198)</f>
        <v/>
      </c>
      <c r="N1198" s="60" t="n"/>
      <c r="O1198" s="60" t="n"/>
      <c r="P1198" s="60" t="n"/>
      <c r="Q1198" s="60" t="n"/>
      <c r="R1198" s="60" t="n"/>
      <c r="S1198" s="60" t="n"/>
      <c r="T1198" s="60" t="n"/>
      <c r="U1198" s="60" t="n"/>
      <c r="V1198" s="60" t="n"/>
    </row>
    <row r="1199">
      <c r="A1199" s="151" t="n">
        <v>46122</v>
      </c>
      <c r="B1199" s="70" t="n">
        <v>1562</v>
      </c>
      <c r="C1199" s="152" t="inlineStr">
        <is>
          <t>KOZMO</t>
        </is>
      </c>
      <c r="D1199" s="115" t="inlineStr">
        <is>
          <t>JCB</t>
        </is>
      </c>
      <c r="E1199" s="115" t="inlineStr">
        <is>
          <t>BAYRAM SANCAK</t>
        </is>
      </c>
      <c r="F1199" s="115" t="n"/>
      <c r="G1199" s="152" t="n">
        <v>66</v>
      </c>
      <c r="H1199" s="60" t="n"/>
      <c r="I1199" s="156">
        <f>+I1198+(G1199-H1199)</f>
        <v/>
      </c>
      <c r="J1199" s="60" t="n"/>
      <c r="K1199" s="60" t="n"/>
      <c r="L1199" s="158">
        <f>+H1199*J1199</f>
        <v/>
      </c>
      <c r="M1199" s="159">
        <f>SUM(M1198+K1199-L1199)</f>
        <v/>
      </c>
      <c r="N1199" s="60" t="n"/>
      <c r="O1199" s="60" t="n"/>
      <c r="P1199" s="60" t="n"/>
      <c r="Q1199" s="60" t="n"/>
      <c r="R1199" s="60" t="n"/>
      <c r="S1199" s="60" t="n"/>
      <c r="T1199" s="60" t="n"/>
      <c r="U1199" s="60" t="n"/>
      <c r="V1199" s="60" t="n"/>
    </row>
    <row r="1200">
      <c r="A1200" s="151" t="n">
        <v>46122</v>
      </c>
      <c r="B1200" s="70" t="n">
        <v>1563</v>
      </c>
      <c r="C1200" s="152" t="inlineStr">
        <is>
          <t>MEGA VARLIK</t>
        </is>
      </c>
      <c r="D1200" s="115" t="inlineStr">
        <is>
          <t>KAWAZAKİ</t>
        </is>
      </c>
      <c r="E1200" s="115" t="inlineStr">
        <is>
          <t>RAMAZAN</t>
        </is>
      </c>
      <c r="F1200" s="115" t="n"/>
      <c r="G1200" s="152" t="n">
        <v>260</v>
      </c>
      <c r="H1200" s="60" t="n"/>
      <c r="I1200" s="156">
        <f>+I1199+(G1200-H1200)</f>
        <v/>
      </c>
      <c r="J1200" s="60" t="n"/>
      <c r="K1200" s="60" t="n"/>
      <c r="L1200" s="158">
        <f>+H1200*J1200</f>
        <v/>
      </c>
      <c r="M1200" s="159">
        <f>SUM(M1199+K1200-L1200)</f>
        <v/>
      </c>
      <c r="N1200" s="60" t="n"/>
      <c r="O1200" s="60" t="n"/>
      <c r="P1200" s="60" t="n"/>
      <c r="Q1200" s="60" t="n"/>
      <c r="R1200" s="60" t="n"/>
      <c r="S1200" s="60" t="n"/>
      <c r="T1200" s="60" t="n"/>
      <c r="U1200" s="60" t="n"/>
      <c r="V1200" s="60" t="n"/>
    </row>
    <row r="1201">
      <c r="A1201" s="151" t="n">
        <v>46123</v>
      </c>
      <c r="B1201" s="70" t="n">
        <v>4473</v>
      </c>
      <c r="C1201" s="115" t="inlineStr">
        <is>
          <t>SELİM İNŞAAT</t>
        </is>
      </c>
      <c r="D1201" s="115" t="inlineStr">
        <is>
          <t>34 DKL 798</t>
        </is>
      </c>
      <c r="E1201" s="115" t="inlineStr">
        <is>
          <t>HASAN BAYCA</t>
        </is>
      </c>
      <c r="F1201" s="65" t="n">
        <v>82748</v>
      </c>
      <c r="G1201" s="152" t="n">
        <v>191</v>
      </c>
      <c r="H1201" s="60" t="n"/>
      <c r="I1201" s="156">
        <f>+I1200+(G1201-H1201)</f>
        <v/>
      </c>
      <c r="J1201" s="60" t="n"/>
      <c r="K1201" s="60" t="n"/>
      <c r="L1201" s="158">
        <f>+H1201*J1201</f>
        <v/>
      </c>
      <c r="M1201" s="159">
        <f>SUM(M1200+K1201-L1201)</f>
        <v/>
      </c>
      <c r="N1201" s="60" t="n"/>
      <c r="O1201" s="60" t="n"/>
      <c r="P1201" s="60" t="n"/>
      <c r="Q1201" s="60" t="n"/>
      <c r="R1201" s="60" t="n"/>
      <c r="S1201" s="60" t="n"/>
      <c r="T1201" s="60" t="n"/>
      <c r="U1201" s="60" t="n"/>
      <c r="V1201" s="60" t="n"/>
    </row>
    <row r="1202">
      <c r="A1202" s="151" t="n">
        <v>46123</v>
      </c>
      <c r="B1202" s="70" t="n">
        <v>3738</v>
      </c>
      <c r="C1202" s="115" t="inlineStr">
        <is>
          <t>SELİM İNŞAAT</t>
        </is>
      </c>
      <c r="D1202" s="115" t="inlineStr">
        <is>
          <t>34 DKL 866</t>
        </is>
      </c>
      <c r="E1202" s="115" t="inlineStr">
        <is>
          <t>SELİMCAN ÖNVER</t>
        </is>
      </c>
      <c r="F1202" s="65" t="n">
        <v>84070</v>
      </c>
      <c r="G1202" s="152" t="n">
        <v>214</v>
      </c>
      <c r="H1202" s="60" t="n"/>
      <c r="I1202" s="156">
        <f>+I1201+(G1202-H1202)</f>
        <v/>
      </c>
      <c r="J1202" s="60" t="n"/>
      <c r="K1202" s="60" t="n"/>
      <c r="L1202" s="158">
        <f>+H1202*J1202</f>
        <v/>
      </c>
      <c r="M1202" s="159">
        <f>SUM(M1201+K1202-L1202)</f>
        <v/>
      </c>
      <c r="N1202" s="60" t="n"/>
      <c r="O1202" s="60" t="n"/>
      <c r="P1202" s="60" t="n"/>
      <c r="Q1202" s="60" t="n"/>
      <c r="R1202" s="60" t="n"/>
      <c r="S1202" s="60" t="n"/>
      <c r="T1202" s="60" t="n"/>
      <c r="U1202" s="60" t="n"/>
      <c r="V1202" s="60" t="n"/>
    </row>
    <row r="1203">
      <c r="A1203" s="151" t="n">
        <v>46123</v>
      </c>
      <c r="B1203" s="70" t="n">
        <v>2398</v>
      </c>
      <c r="C1203" s="115" t="inlineStr">
        <is>
          <t>SELİM İNŞAAT</t>
        </is>
      </c>
      <c r="D1203" s="115" t="inlineStr">
        <is>
          <t>34 FEM 934</t>
        </is>
      </c>
      <c r="E1203" s="115" t="inlineStr">
        <is>
          <t>YAKUP URUCU</t>
        </is>
      </c>
      <c r="F1203" s="65" t="n">
        <v>336573</v>
      </c>
      <c r="G1203" s="152" t="n">
        <v>66</v>
      </c>
      <c r="H1203" s="60" t="n"/>
      <c r="I1203" s="156">
        <f>+I1202+(G1203-H1203)</f>
        <v/>
      </c>
      <c r="J1203" s="60" t="n"/>
      <c r="K1203" s="60" t="n"/>
      <c r="L1203" s="158">
        <f>+H1203*J1203</f>
        <v/>
      </c>
      <c r="M1203" s="159">
        <f>SUM(M1202+K1203-L1203)</f>
        <v/>
      </c>
      <c r="N1203" s="60" t="n"/>
      <c r="O1203" s="60" t="n"/>
      <c r="P1203" s="60" t="n"/>
      <c r="Q1203" s="60" t="n"/>
      <c r="R1203" s="60" t="n"/>
      <c r="S1203" s="60" t="n"/>
      <c r="T1203" s="60" t="n"/>
      <c r="U1203" s="60" t="n"/>
      <c r="V1203" s="60" t="n"/>
    </row>
    <row r="1204">
      <c r="A1204" s="151" t="n">
        <v>46123</v>
      </c>
      <c r="B1204" s="70" t="n">
        <v>2987</v>
      </c>
      <c r="C1204" s="115" t="inlineStr">
        <is>
          <t>SELİM İNŞAAT</t>
        </is>
      </c>
      <c r="D1204" s="115" t="inlineStr">
        <is>
          <t>34 DFE 454</t>
        </is>
      </c>
      <c r="E1204" s="115" t="inlineStr">
        <is>
          <t>HÜSEYİN ALIN</t>
        </is>
      </c>
      <c r="F1204" s="65" t="n">
        <v>176292</v>
      </c>
      <c r="G1204" s="152" t="n">
        <v>297</v>
      </c>
      <c r="H1204" s="60" t="n"/>
      <c r="I1204" s="156">
        <f>+I1203+(G1204-H1204)</f>
        <v/>
      </c>
      <c r="J1204" s="60" t="n"/>
      <c r="K1204" s="60" t="n"/>
      <c r="L1204" s="158">
        <f>+H1204*J1204</f>
        <v/>
      </c>
      <c r="M1204" s="159">
        <f>SUM(M1203+K1204-L1204)</f>
        <v/>
      </c>
      <c r="N1204" s="60" t="n"/>
      <c r="O1204" s="60" t="n"/>
      <c r="P1204" s="60" t="n"/>
      <c r="Q1204" s="60" t="n"/>
      <c r="R1204" s="60" t="n"/>
      <c r="S1204" s="60" t="n"/>
      <c r="T1204" s="60" t="n"/>
      <c r="U1204" s="60" t="n"/>
      <c r="V1204" s="60" t="n"/>
    </row>
    <row r="1205">
      <c r="A1205" s="151" t="n">
        <v>46123</v>
      </c>
      <c r="B1205" s="70" t="n">
        <v>659</v>
      </c>
      <c r="C1205" s="115" t="inlineStr">
        <is>
          <t>SELİM İNŞAAT</t>
        </is>
      </c>
      <c r="D1205" s="115" t="inlineStr">
        <is>
          <t>34 GU 945</t>
        </is>
      </c>
      <c r="E1205" s="115" t="inlineStr">
        <is>
          <t>YAKUP URUCU</t>
        </is>
      </c>
      <c r="F1205" s="65" t="n">
        <v>475424</v>
      </c>
      <c r="G1205" s="152" t="n">
        <v>69</v>
      </c>
      <c r="H1205" s="60" t="n"/>
      <c r="I1205" s="156">
        <f>+I1204+(G1205-H1205)</f>
        <v/>
      </c>
      <c r="J1205" s="60" t="n"/>
      <c r="K1205" s="60" t="n"/>
      <c r="L1205" s="158">
        <f>+H1205*J1205</f>
        <v/>
      </c>
      <c r="M1205" s="159">
        <f>SUM(M1204+K1205-L1205)</f>
        <v/>
      </c>
      <c r="N1205" s="60" t="n"/>
      <c r="O1205" s="60" t="n"/>
      <c r="P1205" s="60" t="n"/>
      <c r="Q1205" s="60" t="n"/>
      <c r="R1205" s="60" t="n"/>
      <c r="S1205" s="60" t="n"/>
      <c r="T1205" s="60" t="n"/>
      <c r="U1205" s="60" t="n"/>
      <c r="V1205" s="60" t="n"/>
    </row>
    <row r="1206">
      <c r="A1206" s="151" t="n">
        <v>46123</v>
      </c>
      <c r="B1206" s="70" t="n">
        <v>3232</v>
      </c>
      <c r="C1206" s="115" t="inlineStr">
        <is>
          <t>SELİM İNŞAAT</t>
        </is>
      </c>
      <c r="D1206" s="115" t="inlineStr">
        <is>
          <t>34 EGR 736</t>
        </is>
      </c>
      <c r="E1206" s="115" t="inlineStr">
        <is>
          <t>HAKAN ÇAVUŞOĞLU</t>
        </is>
      </c>
      <c r="F1206" s="65" t="n">
        <v>443730</v>
      </c>
      <c r="G1206" s="152" t="n">
        <v>435</v>
      </c>
      <c r="H1206" s="60" t="n"/>
      <c r="I1206" s="156">
        <f>+I1205+(G1206-H1206)</f>
        <v/>
      </c>
      <c r="J1206" s="60" t="n"/>
      <c r="K1206" s="60" t="n"/>
      <c r="L1206" s="158">
        <f>+H1206*J1206</f>
        <v/>
      </c>
      <c r="M1206" s="159">
        <f>SUM(M1205+K1206-L1206)</f>
        <v/>
      </c>
      <c r="N1206" s="60" t="n"/>
      <c r="O1206" s="60" t="n"/>
      <c r="P1206" s="60" t="n"/>
      <c r="Q1206" s="60" t="n"/>
      <c r="R1206" s="60" t="n"/>
      <c r="S1206" s="60" t="n"/>
      <c r="T1206" s="60" t="n"/>
      <c r="U1206" s="60" t="n"/>
      <c r="V1206" s="60" t="n"/>
    </row>
    <row r="1207">
      <c r="A1207" s="151" t="n">
        <v>46123</v>
      </c>
      <c r="B1207" s="70" t="n">
        <v>155</v>
      </c>
      <c r="C1207" s="115" t="inlineStr">
        <is>
          <t>SELİM İNŞAAT</t>
        </is>
      </c>
      <c r="D1207" s="115" t="inlineStr">
        <is>
          <t>34 FBR 771</t>
        </is>
      </c>
      <c r="E1207" s="115" t="inlineStr">
        <is>
          <t>SALİH YALÇIN</t>
        </is>
      </c>
      <c r="F1207" s="65" t="n">
        <v>353144</v>
      </c>
      <c r="G1207" s="152" t="n">
        <v>372</v>
      </c>
      <c r="H1207" s="60" t="n"/>
      <c r="I1207" s="156">
        <f>+I1206+(G1207-H1207)</f>
        <v/>
      </c>
      <c r="J1207" s="60" t="n"/>
      <c r="K1207" s="60" t="n"/>
      <c r="L1207" s="158">
        <f>+H1207*J1207</f>
        <v/>
      </c>
      <c r="M1207" s="159">
        <f>SUM(M1206+K1207-L1207)</f>
        <v/>
      </c>
      <c r="N1207" s="60" t="n"/>
      <c r="O1207" s="60" t="n"/>
      <c r="P1207" s="60" t="n"/>
      <c r="Q1207" s="60" t="n"/>
      <c r="R1207" s="60" t="n"/>
      <c r="S1207" s="60" t="n"/>
      <c r="T1207" s="60" t="n"/>
      <c r="U1207" s="60" t="n"/>
      <c r="V1207" s="60" t="n"/>
    </row>
    <row r="1208">
      <c r="A1208" s="151" t="n">
        <v>46123</v>
      </c>
      <c r="B1208" s="70" t="n">
        <v>1751</v>
      </c>
      <c r="C1208" s="115" t="inlineStr">
        <is>
          <t>SELİM İNŞAAT</t>
        </is>
      </c>
      <c r="D1208" s="115" t="inlineStr">
        <is>
          <t>34 EDC 086</t>
        </is>
      </c>
      <c r="E1208" s="115" t="inlineStr">
        <is>
          <t>SEZGİN KOCAGİL</t>
        </is>
      </c>
      <c r="F1208" s="65" t="n">
        <v>379832</v>
      </c>
      <c r="G1208" s="152" t="n">
        <v>474</v>
      </c>
      <c r="H1208" s="60" t="n"/>
      <c r="I1208" s="156">
        <f>+I1207+(G1208-H1208)</f>
        <v/>
      </c>
      <c r="J1208" s="60" t="n"/>
      <c r="K1208" s="60" t="n"/>
      <c r="L1208" s="158">
        <f>+H1208*J1208</f>
        <v/>
      </c>
      <c r="M1208" s="159">
        <f>SUM(M1207+K1208-L1208)</f>
        <v/>
      </c>
      <c r="N1208" s="60" t="n"/>
      <c r="O1208" s="60" t="n"/>
      <c r="P1208" s="60" t="n"/>
      <c r="Q1208" s="60" t="n"/>
      <c r="R1208" s="60" t="n"/>
      <c r="S1208" s="60" t="n"/>
      <c r="T1208" s="60" t="n"/>
      <c r="U1208" s="60" t="n"/>
      <c r="V1208" s="60" t="n"/>
    </row>
    <row r="1209">
      <c r="A1209" s="151" t="n">
        <v>46123</v>
      </c>
      <c r="B1209" s="70" t="n">
        <v>21</v>
      </c>
      <c r="C1209" s="115" t="inlineStr">
        <is>
          <t>SELİM İNŞAAT</t>
        </is>
      </c>
      <c r="D1209" s="115" t="inlineStr">
        <is>
          <t>34 GVZ 268</t>
        </is>
      </c>
      <c r="E1209" s="115" t="inlineStr">
        <is>
          <t>KERİM KARAMAN</t>
        </is>
      </c>
      <c r="F1209" s="65" t="n">
        <v>256181</v>
      </c>
      <c r="G1209" s="152" t="n">
        <v>440</v>
      </c>
      <c r="H1209" s="60" t="n"/>
      <c r="I1209" s="156">
        <f>+I1208+(G1209-H1209)</f>
        <v/>
      </c>
      <c r="J1209" s="60" t="n"/>
      <c r="K1209" s="60" t="n"/>
      <c r="L1209" s="158">
        <f>+H1209*J1209</f>
        <v/>
      </c>
      <c r="M1209" s="159">
        <f>SUM(M1208+K1209-L1209)</f>
        <v/>
      </c>
      <c r="N1209" s="60" t="n"/>
      <c r="O1209" s="60" t="n"/>
      <c r="P1209" s="60" t="n"/>
      <c r="Q1209" s="60" t="n"/>
      <c r="R1209" s="60" t="n"/>
      <c r="S1209" s="60" t="n"/>
      <c r="T1209" s="60" t="n"/>
      <c r="U1209" s="60" t="n"/>
      <c r="V1209" s="60" t="n"/>
    </row>
    <row r="1210">
      <c r="A1210" s="151" t="n">
        <v>46123</v>
      </c>
      <c r="B1210" s="70" t="n">
        <v>3340</v>
      </c>
      <c r="C1210" s="115" t="inlineStr">
        <is>
          <t>SELİM İNŞAAT</t>
        </is>
      </c>
      <c r="D1210" s="115" t="inlineStr">
        <is>
          <t>34 GUS 938</t>
        </is>
      </c>
      <c r="E1210" s="115" t="inlineStr">
        <is>
          <t>MEHMET KAYA</t>
        </is>
      </c>
      <c r="F1210" s="65" t="n">
        <v>252358</v>
      </c>
      <c r="G1210" s="152" t="n">
        <v>267</v>
      </c>
      <c r="H1210" s="60" t="n"/>
      <c r="I1210" s="156">
        <f>+I1209+(G1210-H1210)</f>
        <v/>
      </c>
      <c r="J1210" s="60" t="n"/>
      <c r="K1210" s="60" t="n"/>
      <c r="L1210" s="158">
        <f>+H1210*J1210</f>
        <v/>
      </c>
      <c r="M1210" s="159">
        <f>SUM(M1209+K1210-L1210)</f>
        <v/>
      </c>
      <c r="N1210" s="60" t="n"/>
      <c r="O1210" s="60" t="n"/>
      <c r="P1210" s="60" t="n"/>
      <c r="Q1210" s="60" t="n"/>
      <c r="R1210" s="60" t="n"/>
      <c r="S1210" s="60" t="n"/>
      <c r="T1210" s="60" t="n"/>
      <c r="U1210" s="60" t="n"/>
      <c r="V1210" s="60" t="n"/>
    </row>
    <row r="1211">
      <c r="A1211" s="151" t="n">
        <v>46123</v>
      </c>
      <c r="B1211" s="70" t="n">
        <v>103</v>
      </c>
      <c r="C1211" s="115" t="inlineStr">
        <is>
          <t>SELİM İNŞAAT</t>
        </is>
      </c>
      <c r="D1211" s="115" t="inlineStr">
        <is>
          <t>34 GUS 848</t>
        </is>
      </c>
      <c r="E1211" s="115" t="inlineStr">
        <is>
          <t>SERDAR BOZKURT</t>
        </is>
      </c>
      <c r="F1211" s="65" t="n">
        <v>238059</v>
      </c>
      <c r="G1211" s="152" t="n">
        <v>520</v>
      </c>
      <c r="H1211" s="60" t="n"/>
      <c r="I1211" s="156">
        <f>+I1210+(G1211-H1211)</f>
        <v/>
      </c>
      <c r="J1211" s="60" t="n"/>
      <c r="K1211" s="60" t="n"/>
      <c r="L1211" s="158">
        <f>+H1211*J1211</f>
        <v/>
      </c>
      <c r="M1211" s="159">
        <f>SUM(M1210+K1211-L1211)</f>
        <v/>
      </c>
      <c r="N1211" s="60" t="n"/>
      <c r="O1211" s="60" t="n"/>
      <c r="P1211" s="60" t="n"/>
      <c r="Q1211" s="60" t="n"/>
      <c r="R1211" s="60" t="n"/>
      <c r="S1211" s="60" t="n"/>
      <c r="T1211" s="60" t="n"/>
      <c r="U1211" s="60" t="n"/>
      <c r="V1211" s="60" t="n"/>
    </row>
    <row r="1212">
      <c r="A1212" s="151" t="n">
        <v>46123</v>
      </c>
      <c r="B1212" s="70" t="n">
        <v>858</v>
      </c>
      <c r="C1212" s="115" t="inlineStr">
        <is>
          <t>SELİM İNŞAAT</t>
        </is>
      </c>
      <c r="D1212" s="115" t="inlineStr">
        <is>
          <t>34 EGR 922</t>
        </is>
      </c>
      <c r="E1212" s="115" t="inlineStr">
        <is>
          <t>FARUK ÖZEN</t>
        </is>
      </c>
      <c r="F1212" s="65" t="n">
        <v>509650</v>
      </c>
      <c r="G1212" s="152" t="n">
        <v>537</v>
      </c>
      <c r="H1212" s="60" t="n"/>
      <c r="I1212" s="156">
        <f>+I1211+(G1212-H1212)</f>
        <v/>
      </c>
      <c r="J1212" s="60" t="n"/>
      <c r="K1212" s="60" t="n"/>
      <c r="L1212" s="158">
        <f>+H1212*J1212</f>
        <v/>
      </c>
      <c r="M1212" s="159">
        <f>SUM(M1211+K1212-L1212)</f>
        <v/>
      </c>
      <c r="N1212" s="60" t="n"/>
      <c r="O1212" s="60" t="n"/>
      <c r="P1212" s="60" t="n"/>
      <c r="Q1212" s="60" t="n"/>
      <c r="R1212" s="60" t="n"/>
      <c r="S1212" s="60" t="n"/>
      <c r="T1212" s="60" t="n"/>
      <c r="U1212" s="60" t="n"/>
      <c r="V1212" s="60" t="n"/>
    </row>
    <row r="1213">
      <c r="A1213" s="151" t="n">
        <v>46123</v>
      </c>
      <c r="B1213" s="70" t="n">
        <v>3399</v>
      </c>
      <c r="C1213" s="115" t="inlineStr">
        <is>
          <t>SELİM İNŞAAT</t>
        </is>
      </c>
      <c r="D1213" s="115" t="inlineStr">
        <is>
          <t>34 EDC 162</t>
        </is>
      </c>
      <c r="E1213" s="115" t="inlineStr">
        <is>
          <t xml:space="preserve">YAKUP GÜNER </t>
        </is>
      </c>
      <c r="F1213" s="65" t="n">
        <v>421029</v>
      </c>
      <c r="G1213" s="152" t="n">
        <v>427</v>
      </c>
      <c r="H1213" s="60" t="n"/>
      <c r="I1213" s="156">
        <f>+I1212+(G1213-H1213)</f>
        <v/>
      </c>
      <c r="J1213" s="60" t="n"/>
      <c r="K1213" s="60" t="n"/>
      <c r="L1213" s="158">
        <f>+H1213*J1213</f>
        <v/>
      </c>
      <c r="M1213" s="159">
        <f>SUM(M1212+K1213-L1213)</f>
        <v/>
      </c>
      <c r="N1213" s="60" t="n"/>
      <c r="O1213" s="60" t="n"/>
      <c r="P1213" s="60" t="n"/>
      <c r="Q1213" s="60" t="n"/>
      <c r="R1213" s="60" t="n"/>
      <c r="S1213" s="60" t="n"/>
      <c r="T1213" s="60" t="n"/>
      <c r="U1213" s="60" t="n"/>
      <c r="V1213" s="60" t="n"/>
    </row>
    <row r="1214">
      <c r="A1214" s="151" t="n">
        <v>46123</v>
      </c>
      <c r="B1214" s="70" t="n">
        <v>825</v>
      </c>
      <c r="C1214" s="115" t="inlineStr">
        <is>
          <t>METİN ERYİĞİT</t>
        </is>
      </c>
      <c r="D1214" s="115" t="inlineStr">
        <is>
          <t>34 GBL 998</t>
        </is>
      </c>
      <c r="E1214" s="115" t="inlineStr">
        <is>
          <t>ALİ KESKİN</t>
        </is>
      </c>
      <c r="F1214" s="115" t="n">
        <v>357930</v>
      </c>
      <c r="G1214" s="152" t="n">
        <v>405</v>
      </c>
      <c r="H1214" s="60" t="n"/>
      <c r="I1214" s="156">
        <f>+I1213+(G1214-H1214)</f>
        <v/>
      </c>
      <c r="J1214" s="60" t="n"/>
      <c r="K1214" s="60" t="n"/>
      <c r="L1214" s="158">
        <f>+H1214*J1214</f>
        <v/>
      </c>
      <c r="M1214" s="159">
        <f>SUM(M1213+K1214-L1214)</f>
        <v/>
      </c>
      <c r="N1214" s="60" t="n"/>
      <c r="O1214" s="60" t="n"/>
      <c r="P1214" s="60" t="n"/>
      <c r="Q1214" s="60" t="n"/>
      <c r="R1214" s="60" t="n"/>
      <c r="S1214" s="60" t="n"/>
      <c r="T1214" s="60" t="n"/>
      <c r="U1214" s="60" t="n"/>
      <c r="V1214" s="60" t="n"/>
    </row>
    <row r="1215">
      <c r="A1215" s="151" t="n">
        <v>46123</v>
      </c>
      <c r="B1215" s="70" t="n">
        <v>766</v>
      </c>
      <c r="C1215" s="115" t="inlineStr">
        <is>
          <t>METİN ERYİĞİT</t>
        </is>
      </c>
      <c r="D1215" s="115" t="inlineStr">
        <is>
          <t>34 EGR 814</t>
        </is>
      </c>
      <c r="E1215" s="115" t="inlineStr">
        <is>
          <t>ZİYA İNCE</t>
        </is>
      </c>
      <c r="F1215" s="115" t="n">
        <v>618508</v>
      </c>
      <c r="G1215" s="152" t="n">
        <v>338</v>
      </c>
      <c r="H1215" s="60" t="n"/>
      <c r="I1215" s="156">
        <f>+I1214+(G1215-H1215)</f>
        <v/>
      </c>
      <c r="J1215" s="60" t="n"/>
      <c r="K1215" s="60" t="n"/>
      <c r="L1215" s="158">
        <f>+H1215*J1215</f>
        <v/>
      </c>
      <c r="M1215" s="159">
        <f>SUM(M1214+K1215-L1215)</f>
        <v/>
      </c>
      <c r="N1215" s="60" t="n"/>
      <c r="O1215" s="60" t="n"/>
      <c r="P1215" s="60" t="n"/>
      <c r="Q1215" s="60" t="n"/>
      <c r="R1215" s="60" t="n"/>
      <c r="S1215" s="60" t="n"/>
      <c r="T1215" s="60" t="n"/>
      <c r="U1215" s="60" t="n"/>
      <c r="V1215" s="60" t="n"/>
    </row>
    <row r="1216">
      <c r="A1216" s="151" t="n">
        <v>46123</v>
      </c>
      <c r="B1216" s="70" t="n">
        <v>1052</v>
      </c>
      <c r="C1216" s="152" t="inlineStr">
        <is>
          <t>SELİM İNŞAAT</t>
        </is>
      </c>
      <c r="D1216" s="115" t="inlineStr">
        <is>
          <t>34 FBR 781</t>
        </is>
      </c>
      <c r="E1216" s="115" t="inlineStr">
        <is>
          <t>MEVLÜT POLAT</t>
        </is>
      </c>
      <c r="F1216" s="115" t="n">
        <v>367383</v>
      </c>
      <c r="G1216" s="152" t="n">
        <v>412</v>
      </c>
      <c r="H1216" s="60" t="n"/>
      <c r="I1216" s="156">
        <f>+I1215+(G1216-H1216)</f>
        <v/>
      </c>
      <c r="J1216" s="60" t="n"/>
      <c r="K1216" s="60" t="n"/>
      <c r="L1216" s="158">
        <f>+H1216*J1216</f>
        <v/>
      </c>
      <c r="M1216" s="159">
        <f>SUM(M1215+K1216-L1216)</f>
        <v/>
      </c>
      <c r="N1216" s="60" t="n"/>
      <c r="O1216" s="60" t="n"/>
      <c r="P1216" s="60" t="n"/>
      <c r="Q1216" s="60" t="n"/>
      <c r="R1216" s="60" t="n"/>
      <c r="S1216" s="60" t="n"/>
      <c r="T1216" s="60" t="n"/>
      <c r="U1216" s="60" t="n"/>
      <c r="V1216" s="60" t="n"/>
    </row>
    <row r="1217">
      <c r="A1217" s="151" t="n">
        <v>46123</v>
      </c>
      <c r="B1217" s="70" t="n">
        <v>4886</v>
      </c>
      <c r="C1217" s="152" t="inlineStr">
        <is>
          <t>SELİM İNŞAAT</t>
        </is>
      </c>
      <c r="D1217" s="115" t="inlineStr">
        <is>
          <t>34 FBR 705</t>
        </is>
      </c>
      <c r="E1217" s="115" t="inlineStr">
        <is>
          <t>MURAT SARI</t>
        </is>
      </c>
      <c r="F1217" s="115" t="n">
        <v>367130</v>
      </c>
      <c r="G1217" s="152" t="n">
        <v>455</v>
      </c>
      <c r="H1217" s="60" t="n"/>
      <c r="I1217" s="156">
        <f>+I1216+(G1217-H1217)</f>
        <v/>
      </c>
      <c r="J1217" s="60" t="n"/>
      <c r="K1217" s="60" t="n"/>
      <c r="L1217" s="158">
        <f>+H1217*J1217</f>
        <v/>
      </c>
      <c r="M1217" s="159">
        <f>SUM(M1216+K1217-L1217)</f>
        <v/>
      </c>
      <c r="N1217" s="60" t="n"/>
      <c r="O1217" s="60" t="n"/>
      <c r="P1217" s="60" t="n"/>
      <c r="Q1217" s="60" t="n"/>
      <c r="R1217" s="60" t="n"/>
      <c r="S1217" s="60" t="n"/>
      <c r="T1217" s="60" t="n"/>
      <c r="U1217" s="60" t="n"/>
      <c r="V1217" s="60" t="n"/>
    </row>
    <row r="1218">
      <c r="A1218" s="151" t="n">
        <v>46123</v>
      </c>
      <c r="B1218" s="70" t="n">
        <v>3435</v>
      </c>
      <c r="C1218" s="152" t="inlineStr">
        <is>
          <t>SELİM İNŞAAT</t>
        </is>
      </c>
      <c r="D1218" s="115" t="inlineStr">
        <is>
          <t>34 GVZ 310</t>
        </is>
      </c>
      <c r="E1218" s="115" t="inlineStr">
        <is>
          <t>CELAL YÜZBAŞI</t>
        </is>
      </c>
      <c r="F1218" s="115" t="n">
        <v>252118</v>
      </c>
      <c r="G1218" s="152" t="n">
        <v>509</v>
      </c>
      <c r="H1218" s="60" t="n"/>
      <c r="I1218" s="156">
        <f>+I1217+(G1218-H1218)</f>
        <v/>
      </c>
      <c r="J1218" s="60" t="n"/>
      <c r="K1218" s="60" t="n"/>
      <c r="L1218" s="158">
        <f>+H1218*J1218</f>
        <v/>
      </c>
      <c r="M1218" s="159">
        <f>SUM(M1217+K1218-L1218)</f>
        <v/>
      </c>
      <c r="N1218" s="60" t="n"/>
      <c r="O1218" s="60" t="n"/>
      <c r="P1218" s="60" t="n"/>
      <c r="Q1218" s="60" t="n"/>
      <c r="R1218" s="60" t="n"/>
      <c r="S1218" s="60" t="n"/>
      <c r="T1218" s="60" t="n"/>
      <c r="U1218" s="60" t="n"/>
      <c r="V1218" s="60" t="n"/>
    </row>
    <row r="1219">
      <c r="A1219" s="151" t="n">
        <v>46123</v>
      </c>
      <c r="B1219" s="70" t="n">
        <v>4175</v>
      </c>
      <c r="C1219" s="152" t="inlineStr">
        <is>
          <t>SELİM İNŞAAT</t>
        </is>
      </c>
      <c r="D1219" s="115" t="inlineStr">
        <is>
          <t>34 FBR 748</t>
        </is>
      </c>
      <c r="E1219" s="115" t="inlineStr">
        <is>
          <t>YAŞAR ÖZKAYA</t>
        </is>
      </c>
      <c r="F1219" s="115" t="n">
        <v>328227</v>
      </c>
      <c r="G1219" s="152" t="n">
        <v>525</v>
      </c>
      <c r="H1219" s="60" t="n"/>
      <c r="I1219" s="156">
        <f>+I1218+(G1219-H1219)</f>
        <v/>
      </c>
      <c r="J1219" s="60" t="n"/>
      <c r="K1219" s="60" t="n"/>
      <c r="L1219" s="158">
        <f>+H1219*J1219</f>
        <v/>
      </c>
      <c r="M1219" s="159">
        <f>SUM(M1218+K1219-L1219)</f>
        <v/>
      </c>
      <c r="N1219" s="60" t="n"/>
      <c r="O1219" s="60" t="n"/>
      <c r="P1219" s="60" t="n"/>
      <c r="Q1219" s="60" t="n"/>
      <c r="R1219" s="60" t="n"/>
      <c r="S1219" s="60" t="n"/>
      <c r="T1219" s="60" t="n"/>
      <c r="U1219" s="60" t="n"/>
      <c r="V1219" s="60" t="n"/>
    </row>
    <row r="1220">
      <c r="A1220" s="151" t="n">
        <v>46123</v>
      </c>
      <c r="B1220" s="70" t="n">
        <v>1564</v>
      </c>
      <c r="C1220" s="152" t="inlineStr">
        <is>
          <t>VARLIK</t>
        </is>
      </c>
      <c r="D1220" s="115" t="inlineStr">
        <is>
          <t>SİLİNDİR KİRALIK</t>
        </is>
      </c>
      <c r="E1220" s="115" t="inlineStr">
        <is>
          <t>KÖKSAL GÜLLÜK</t>
        </is>
      </c>
      <c r="F1220" s="115" t="n"/>
      <c r="G1220" s="152" t="n">
        <v>375</v>
      </c>
      <c r="H1220" s="60" t="n"/>
      <c r="I1220" s="156">
        <f>+I1219+(G1220-H1220)</f>
        <v/>
      </c>
      <c r="J1220" s="60" t="n"/>
      <c r="K1220" s="60" t="n"/>
      <c r="L1220" s="158">
        <f>+H1220*J1220</f>
        <v/>
      </c>
      <c r="M1220" s="159">
        <f>SUM(M1219+K1220-L1220)</f>
        <v/>
      </c>
      <c r="N1220" s="60" t="n"/>
      <c r="O1220" s="60" t="n"/>
      <c r="P1220" s="60" t="n"/>
      <c r="Q1220" s="60" t="n"/>
      <c r="R1220" s="60" t="n"/>
      <c r="S1220" s="60" t="n"/>
      <c r="T1220" s="60" t="n"/>
      <c r="U1220" s="60" t="n"/>
      <c r="V1220" s="60" t="n"/>
    </row>
    <row r="1221">
      <c r="A1221" s="151" t="n">
        <v>46123</v>
      </c>
      <c r="B1221" s="70" t="n">
        <v>1565</v>
      </c>
      <c r="C1221" s="152" t="n"/>
      <c r="D1221" s="115" t="inlineStr">
        <is>
          <t>KİRALIK KATO</t>
        </is>
      </c>
      <c r="E1221" s="115" t="inlineStr">
        <is>
          <t>GÜNEŞ BEYİN TALİMATI</t>
        </is>
      </c>
      <c r="F1221" s="115" t="n"/>
      <c r="G1221" s="152" t="n">
        <v>124</v>
      </c>
      <c r="H1221" s="60" t="n"/>
      <c r="I1221" s="156">
        <f>+I1220+(G1221-H1221)</f>
        <v/>
      </c>
      <c r="J1221" s="60" t="n"/>
      <c r="K1221" s="60" t="n"/>
      <c r="L1221" s="158">
        <f>+H1221*J1221</f>
        <v/>
      </c>
      <c r="M1221" s="159">
        <f>SUM(M1220+K1221-L1221)</f>
        <v/>
      </c>
      <c r="N1221" s="60" t="n"/>
      <c r="O1221" s="60" t="n"/>
      <c r="P1221" s="60" t="n"/>
      <c r="Q1221" s="60" t="n"/>
      <c r="R1221" s="60" t="n"/>
      <c r="S1221" s="60" t="n"/>
      <c r="T1221" s="60" t="n"/>
      <c r="U1221" s="60" t="n"/>
      <c r="V1221" s="60" t="n"/>
    </row>
    <row r="1222">
      <c r="A1222" s="151" t="n">
        <v>46123</v>
      </c>
      <c r="B1222" s="70" t="n">
        <v>1566</v>
      </c>
      <c r="C1222" s="152" t="inlineStr">
        <is>
          <t>VARLIK</t>
        </is>
      </c>
      <c r="D1222" s="115" t="inlineStr">
        <is>
          <t>HİTACHİ</t>
        </is>
      </c>
      <c r="E1222" s="115" t="inlineStr">
        <is>
          <t>TURGUT SANCAK</t>
        </is>
      </c>
      <c r="F1222" s="115" t="n"/>
      <c r="G1222" s="152" t="n">
        <v>316</v>
      </c>
      <c r="H1222" s="60" t="n"/>
      <c r="I1222" s="156">
        <f>+I1221+(G1222-H1222)</f>
        <v/>
      </c>
      <c r="J1222" s="60" t="n"/>
      <c r="K1222" s="60" t="n"/>
      <c r="L1222" s="158">
        <f>+H1222*J1222</f>
        <v/>
      </c>
      <c r="M1222" s="159">
        <f>SUM(M1221+K1222-L1222)</f>
        <v/>
      </c>
      <c r="N1222" s="60" t="n"/>
      <c r="O1222" s="60" t="n"/>
      <c r="P1222" s="60" t="n"/>
      <c r="Q1222" s="60" t="n"/>
      <c r="R1222" s="60" t="n"/>
      <c r="S1222" s="60" t="n"/>
      <c r="T1222" s="60" t="n"/>
      <c r="U1222" s="60" t="n"/>
      <c r="V1222" s="60" t="n"/>
    </row>
    <row r="1223">
      <c r="A1223" s="151" t="n">
        <v>46123</v>
      </c>
      <c r="B1223" s="70" t="n">
        <v>1567</v>
      </c>
      <c r="C1223" s="152" t="inlineStr">
        <is>
          <t>VARLIK</t>
        </is>
      </c>
      <c r="D1223" s="115" t="inlineStr">
        <is>
          <t>KAWAZAKİ</t>
        </is>
      </c>
      <c r="E1223" s="115" t="inlineStr">
        <is>
          <t>RAMAZAN</t>
        </is>
      </c>
      <c r="F1223" s="115" t="n"/>
      <c r="G1223" s="152" t="n">
        <v>146</v>
      </c>
      <c r="H1223" s="60" t="n"/>
      <c r="I1223" s="156">
        <f>+I1222+(G1223-H1223)</f>
        <v/>
      </c>
      <c r="J1223" s="60" t="n"/>
      <c r="K1223" s="60" t="n"/>
      <c r="L1223" s="158">
        <f>+H1223*J1223</f>
        <v/>
      </c>
      <c r="M1223" s="159">
        <f>SUM(M1222+K1223-L1223)</f>
        <v/>
      </c>
      <c r="N1223" s="60" t="n"/>
      <c r="O1223" s="60" t="n"/>
      <c r="P1223" s="60" t="n"/>
      <c r="Q1223" s="60" t="n"/>
      <c r="R1223" s="60" t="n"/>
      <c r="S1223" s="60" t="n"/>
      <c r="T1223" s="60" t="n"/>
      <c r="U1223" s="60" t="n"/>
      <c r="V1223" s="60" t="n"/>
    </row>
    <row r="1224">
      <c r="A1224" s="151" t="n">
        <v>46123</v>
      </c>
      <c r="B1224" s="70" t="n">
        <v>1568</v>
      </c>
      <c r="C1224" s="152" t="inlineStr">
        <is>
          <t>KOZMO</t>
        </is>
      </c>
      <c r="D1224" s="115" t="inlineStr">
        <is>
          <t>SM350</t>
        </is>
      </c>
      <c r="E1224" s="115" t="inlineStr">
        <is>
          <t xml:space="preserve">MİKAİL BAYILMAZ </t>
        </is>
      </c>
      <c r="F1224" s="115" t="n"/>
      <c r="G1224" s="152" t="n">
        <v>417</v>
      </c>
      <c r="H1224" s="60" t="n"/>
      <c r="I1224" s="156">
        <f>+I1223+(G1224-H1224)</f>
        <v/>
      </c>
      <c r="J1224" s="60" t="n"/>
      <c r="K1224" s="60" t="n"/>
      <c r="L1224" s="158">
        <f>+H1224*J1224</f>
        <v/>
      </c>
      <c r="M1224" s="159">
        <f>SUM(M1223+K1224-L1224)</f>
        <v/>
      </c>
      <c r="N1224" s="60" t="n"/>
      <c r="O1224" s="60" t="n"/>
      <c r="P1224" s="60" t="n"/>
      <c r="Q1224" s="60" t="n"/>
      <c r="R1224" s="60" t="n"/>
      <c r="S1224" s="60" t="n"/>
      <c r="T1224" s="60" t="n"/>
      <c r="U1224" s="60" t="n"/>
      <c r="V1224" s="60" t="n"/>
    </row>
    <row r="1225">
      <c r="A1225" s="151" t="n">
        <v>46123</v>
      </c>
      <c r="B1225" s="70" t="n">
        <v>1569</v>
      </c>
      <c r="C1225" s="152" t="inlineStr">
        <is>
          <t>KOZMO</t>
        </is>
      </c>
      <c r="D1225" s="115" t="inlineStr">
        <is>
          <t>SM370</t>
        </is>
      </c>
      <c r="E1225" s="115" t="inlineStr">
        <is>
          <t>EMİRCAN</t>
        </is>
      </c>
      <c r="F1225" s="115" t="n"/>
      <c r="G1225" s="152" t="n">
        <v>485</v>
      </c>
      <c r="H1225" s="60" t="n"/>
      <c r="I1225" s="156">
        <f>+I1224+(G1225-H1225)</f>
        <v/>
      </c>
      <c r="J1225" s="60" t="n"/>
      <c r="K1225" s="60" t="n"/>
      <c r="L1225" s="158">
        <f>+H1225*J1225</f>
        <v/>
      </c>
      <c r="M1225" s="159">
        <f>SUM(M1224+K1225-L1225)</f>
        <v/>
      </c>
      <c r="N1225" s="60" t="n"/>
      <c r="O1225" s="60" t="n"/>
      <c r="P1225" s="60" t="n"/>
      <c r="Q1225" s="60" t="n"/>
      <c r="R1225" s="60" t="n"/>
      <c r="S1225" s="60" t="n"/>
      <c r="T1225" s="60" t="n"/>
      <c r="U1225" s="60" t="n"/>
      <c r="V1225" s="60" t="n"/>
    </row>
    <row r="1226">
      <c r="A1226" s="151" t="n">
        <v>46123</v>
      </c>
      <c r="B1226" s="70" t="n">
        <v>1570</v>
      </c>
      <c r="C1226" s="152" t="inlineStr">
        <is>
          <t>KOZMO</t>
        </is>
      </c>
      <c r="D1226" s="115" t="inlineStr">
        <is>
          <t>SM300</t>
        </is>
      </c>
      <c r="E1226" s="115" t="inlineStr">
        <is>
          <t>TEKİN ŞEYLAN</t>
        </is>
      </c>
      <c r="F1226" s="115" t="n"/>
      <c r="G1226" s="152" t="n">
        <v>453</v>
      </c>
      <c r="H1226" s="60" t="n"/>
      <c r="I1226" s="156">
        <f>+I1225+(G1226-H1226)</f>
        <v/>
      </c>
      <c r="J1226" s="60" t="n"/>
      <c r="K1226" s="60" t="n"/>
      <c r="L1226" s="158">
        <f>+H1226*J1226</f>
        <v/>
      </c>
      <c r="M1226" s="159">
        <f>SUM(M1225+K1226-L1226)</f>
        <v/>
      </c>
      <c r="N1226" s="60" t="n"/>
      <c r="O1226" s="60" t="n"/>
      <c r="P1226" s="60" t="n"/>
      <c r="Q1226" s="60" t="n"/>
      <c r="R1226" s="60" t="n"/>
      <c r="S1226" s="60" t="n"/>
      <c r="T1226" s="60" t="n"/>
      <c r="U1226" s="60" t="n"/>
      <c r="V1226" s="60" t="n"/>
    </row>
    <row r="1227">
      <c r="A1227" s="151" t="n">
        <v>46123</v>
      </c>
      <c r="B1227" s="70" t="n">
        <v>1571</v>
      </c>
      <c r="C1227" s="152" t="inlineStr">
        <is>
          <t xml:space="preserve">CEVİZ MOBİLYA  </t>
        </is>
      </c>
      <c r="D1227" s="115" t="inlineStr">
        <is>
          <t>34 GCY 009</t>
        </is>
      </c>
      <c r="E1227" s="115" t="inlineStr">
        <is>
          <t>CEMAL AKYOL</t>
        </is>
      </c>
      <c r="F1227" s="115" t="n"/>
      <c r="G1227" s="152" t="n">
        <v>97</v>
      </c>
      <c r="H1227" s="60" t="n"/>
      <c r="I1227" s="156">
        <f>+I1226+(G1227-H1227)</f>
        <v/>
      </c>
      <c r="L1227" s="158">
        <f>+H1227*J1227</f>
        <v/>
      </c>
      <c r="M1227" s="159">
        <f>SUM(M1226+K1227-L1227)</f>
        <v/>
      </c>
    </row>
    <row r="1228">
      <c r="A1228" s="151" t="n">
        <v>46123</v>
      </c>
      <c r="B1228" s="70" t="n">
        <v>1572</v>
      </c>
      <c r="C1228" s="152" t="inlineStr">
        <is>
          <t>MEGA VARLIK</t>
        </is>
      </c>
      <c r="D1228" s="115" t="inlineStr">
        <is>
          <t>34 AZ 2191</t>
        </is>
      </c>
      <c r="E1228" s="115" t="inlineStr">
        <is>
          <t>NUMAN KABİL</t>
        </is>
      </c>
      <c r="F1228" s="115" t="n"/>
      <c r="G1228" s="152" t="n">
        <v>197</v>
      </c>
      <c r="H1228" s="60" t="n"/>
      <c r="I1228" s="156">
        <f>+I1227+(G1228-H1228)</f>
        <v/>
      </c>
      <c r="L1228" s="158">
        <f>+H1228*J1228</f>
        <v/>
      </c>
      <c r="M1228" s="159">
        <f>SUM(M1227+K1228-L1228)</f>
        <v/>
      </c>
    </row>
    <row r="1229">
      <c r="A1229" s="151" t="n">
        <v>46123</v>
      </c>
      <c r="B1229" s="70" t="n">
        <v>1573</v>
      </c>
      <c r="C1229" s="152" t="inlineStr">
        <is>
          <t>MEGA VARLIK</t>
        </is>
      </c>
      <c r="D1229" s="115" t="inlineStr">
        <is>
          <t>SM350</t>
        </is>
      </c>
      <c r="E1229" s="115" t="inlineStr">
        <is>
          <t>TEVFİK</t>
        </is>
      </c>
      <c r="F1229" s="115" t="n"/>
      <c r="G1229" s="152" t="n">
        <v>282</v>
      </c>
      <c r="H1229" s="60" t="n"/>
      <c r="I1229" s="156">
        <f>+I1228+(G1229-H1229)</f>
        <v/>
      </c>
      <c r="L1229" s="158">
        <f>+H1229*J1229</f>
        <v/>
      </c>
      <c r="M1229" s="159">
        <f>SUM(M1228+K1229-L1229)</f>
        <v/>
      </c>
    </row>
    <row r="1230">
      <c r="A1230" s="151" t="n">
        <v>46123</v>
      </c>
      <c r="B1230" s="70" t="n">
        <v>1574</v>
      </c>
      <c r="C1230" s="152" t="inlineStr">
        <is>
          <t>MEGA VARLIK</t>
        </is>
      </c>
      <c r="D1230" s="115" t="inlineStr">
        <is>
          <t>SM350</t>
        </is>
      </c>
      <c r="E1230" s="115" t="inlineStr">
        <is>
          <t>TEVFİK</t>
        </is>
      </c>
      <c r="F1230" s="115" t="n"/>
      <c r="G1230" s="152" t="n">
        <v>445</v>
      </c>
      <c r="H1230" s="60" t="n"/>
      <c r="I1230" s="156">
        <f>+I1229+(G1230-H1230)</f>
        <v/>
      </c>
      <c r="L1230" s="158">
        <f>+H1230*J1230</f>
        <v/>
      </c>
      <c r="M1230" s="159">
        <f>SUM(M1229+K1230-L1230)</f>
        <v/>
      </c>
    </row>
    <row r="1231">
      <c r="A1231" s="151" t="n">
        <v>46124</v>
      </c>
      <c r="B1231" s="70" t="n">
        <v>4935</v>
      </c>
      <c r="C1231" s="115" t="inlineStr">
        <is>
          <t>SELİM İNŞAAT</t>
        </is>
      </c>
      <c r="D1231" s="115" t="inlineStr">
        <is>
          <t>34 FBR 742</t>
        </is>
      </c>
      <c r="E1231" s="115" t="inlineStr">
        <is>
          <t>ADNAN KOÇ</t>
        </is>
      </c>
      <c r="F1231" s="65" t="n">
        <v>370887</v>
      </c>
      <c r="G1231" s="152" t="n">
        <v>400</v>
      </c>
      <c r="H1231" s="60" t="n"/>
      <c r="I1231" s="156">
        <f>+I1230+(G1231-H1231)</f>
        <v/>
      </c>
      <c r="L1231" s="158">
        <f>+H1231*J1231</f>
        <v/>
      </c>
      <c r="M1231" s="159">
        <f>SUM(M1230+K1231-L1231)</f>
        <v/>
      </c>
    </row>
    <row r="1232">
      <c r="A1232" s="151" t="n">
        <v>46124</v>
      </c>
      <c r="B1232" s="70" t="n">
        <v>640</v>
      </c>
      <c r="C1232" s="152" t="inlineStr">
        <is>
          <t>SELİM İNŞAAT</t>
        </is>
      </c>
      <c r="D1232" s="115" t="inlineStr">
        <is>
          <t xml:space="preserve">ŞOK MARKET </t>
        </is>
      </c>
      <c r="E1232" s="115" t="inlineStr">
        <is>
          <t>JENARATÖR</t>
        </is>
      </c>
      <c r="F1232" s="115" t="n"/>
      <c r="G1232" s="152" t="n">
        <v>11</v>
      </c>
      <c r="H1232" s="60" t="n"/>
      <c r="I1232" s="156">
        <f>+I1231+(G1232-H1232)</f>
        <v/>
      </c>
      <c r="L1232" s="158">
        <f>+H1232*J1232</f>
        <v/>
      </c>
      <c r="M1232" s="159">
        <f>SUM(M1231+K1232-L1232)</f>
        <v/>
      </c>
    </row>
    <row r="1233">
      <c r="A1233" s="151" t="n">
        <v>46124</v>
      </c>
      <c r="B1233" s="70" t="n">
        <v>1575</v>
      </c>
      <c r="C1233" s="152" t="inlineStr">
        <is>
          <t>KOZMO</t>
        </is>
      </c>
      <c r="D1233" s="115" t="inlineStr">
        <is>
          <t>SM370</t>
        </is>
      </c>
      <c r="E1233" s="115" t="inlineStr">
        <is>
          <t>EMİRCAN</t>
        </is>
      </c>
      <c r="F1233" s="115" t="n"/>
      <c r="G1233" s="152" t="n">
        <v>392</v>
      </c>
      <c r="H1233" s="60" t="n"/>
      <c r="I1233" s="156">
        <f>+I1232+(G1233-H1233)</f>
        <v/>
      </c>
      <c r="L1233" s="158">
        <f>+H1233*J1233</f>
        <v/>
      </c>
      <c r="M1233" s="159">
        <f>SUM(M1232+K1233-L1233)</f>
        <v/>
      </c>
    </row>
    <row r="1234">
      <c r="A1234" s="151" t="n">
        <v>46124</v>
      </c>
      <c r="B1234" s="70" t="n">
        <v>1576</v>
      </c>
      <c r="C1234" s="152" t="inlineStr">
        <is>
          <t>KOZMO</t>
        </is>
      </c>
      <c r="D1234" s="115" t="inlineStr">
        <is>
          <t>SM350</t>
        </is>
      </c>
      <c r="E1234" s="115" t="inlineStr">
        <is>
          <t xml:space="preserve">MİKAİL BAYILMAZ </t>
        </is>
      </c>
      <c r="F1234" s="115" t="n"/>
      <c r="G1234" s="152" t="n">
        <v>414</v>
      </c>
      <c r="H1234" s="60" t="n"/>
      <c r="I1234" s="156">
        <f>+I1233+(G1234-H1234)</f>
        <v/>
      </c>
      <c r="L1234" s="158">
        <f>+H1234*J1234</f>
        <v/>
      </c>
      <c r="M1234" s="159">
        <f>SUM(M1233+K1234-L1234)</f>
        <v/>
      </c>
    </row>
    <row r="1235">
      <c r="A1235" s="151" t="n">
        <v>46124</v>
      </c>
      <c r="B1235" s="70" t="n">
        <v>1577</v>
      </c>
      <c r="C1235" s="152" t="inlineStr">
        <is>
          <t>KOZMO</t>
        </is>
      </c>
      <c r="D1235" s="115" t="inlineStr">
        <is>
          <t>SM300</t>
        </is>
      </c>
      <c r="E1235" s="115" t="inlineStr">
        <is>
          <t>TEKİN ŞEYLAN</t>
        </is>
      </c>
      <c r="F1235" s="115" t="n"/>
      <c r="G1235" s="152" t="n">
        <v>434</v>
      </c>
      <c r="H1235" s="60" t="n"/>
      <c r="I1235" s="156">
        <f>+I1234+(G1235-H1235)</f>
        <v/>
      </c>
      <c r="L1235" s="158">
        <f>+H1235*J1235</f>
        <v/>
      </c>
      <c r="M1235" s="159">
        <f>SUM(M1234+K1235-L1235)</f>
        <v/>
      </c>
    </row>
    <row r="1236">
      <c r="A1236" s="151" t="n">
        <v>46124</v>
      </c>
      <c r="B1236" s="70" t="n">
        <v>1578</v>
      </c>
      <c r="C1236" s="152" t="inlineStr">
        <is>
          <t>VARLIK</t>
        </is>
      </c>
      <c r="D1236" s="115" t="inlineStr">
        <is>
          <t>HİTACHİ</t>
        </is>
      </c>
      <c r="E1236" s="115" t="inlineStr">
        <is>
          <t>TURGUT SANCAK</t>
        </is>
      </c>
      <c r="F1236" s="115" t="n"/>
      <c r="G1236" s="152" t="n">
        <v>332</v>
      </c>
      <c r="H1236" s="60" t="n"/>
      <c r="I1236" s="156">
        <f>+I1235+(G1236-H1236)</f>
        <v/>
      </c>
      <c r="L1236" s="158">
        <f>+H1236*J1236</f>
        <v/>
      </c>
      <c r="M1236" s="159">
        <f>SUM(M1235+K1236-L1236)</f>
        <v/>
      </c>
    </row>
    <row r="1237">
      <c r="A1237" s="151" t="n">
        <v>46124</v>
      </c>
      <c r="B1237" s="70" t="n">
        <v>1580</v>
      </c>
      <c r="C1237" s="152" t="inlineStr">
        <is>
          <t>EVKUR</t>
        </is>
      </c>
      <c r="D1237" s="115" t="inlineStr">
        <is>
          <t>MANİTO</t>
        </is>
      </c>
      <c r="E1237" s="115" t="inlineStr">
        <is>
          <t>MUHAMMET</t>
        </is>
      </c>
      <c r="F1237" s="115" t="n"/>
      <c r="G1237" s="152" t="n">
        <v>242</v>
      </c>
      <c r="H1237" s="60" t="n"/>
      <c r="I1237" s="156">
        <f>+I1236+(G1237-H1237)</f>
        <v/>
      </c>
      <c r="L1237" s="158">
        <f>+H1237*J1237</f>
        <v/>
      </c>
      <c r="M1237" s="159">
        <f>SUM(M1236+K1237-L1237)</f>
        <v/>
      </c>
    </row>
    <row r="1238">
      <c r="A1238" s="151" t="n">
        <v>46125</v>
      </c>
      <c r="B1238" s="70" t="n">
        <v>1776</v>
      </c>
      <c r="C1238" s="115" t="inlineStr">
        <is>
          <t>SELİM İNŞAAT</t>
        </is>
      </c>
      <c r="D1238" s="115" t="inlineStr">
        <is>
          <t>34 JBA 25</t>
        </is>
      </c>
      <c r="E1238" s="115" t="inlineStr">
        <is>
          <t>HÜSEYİN ALIN</t>
        </is>
      </c>
      <c r="F1238" s="65" t="n">
        <v>349072</v>
      </c>
      <c r="G1238" s="152" t="n">
        <v>70</v>
      </c>
      <c r="H1238" s="60" t="n"/>
      <c r="I1238" s="156">
        <f>+I1237+(G1238-H1238)</f>
        <v/>
      </c>
      <c r="L1238" s="158">
        <f>+H1238*J1238</f>
        <v/>
      </c>
      <c r="M1238" s="159">
        <f>SUM(M1237+K1238-L1238)</f>
        <v/>
      </c>
    </row>
    <row r="1239">
      <c r="A1239" s="151" t="n">
        <v>46125</v>
      </c>
      <c r="B1239" s="70" t="n">
        <v>555</v>
      </c>
      <c r="C1239" s="115" t="inlineStr">
        <is>
          <t>SELİM İNŞAAT</t>
        </is>
      </c>
      <c r="D1239" s="115" t="inlineStr">
        <is>
          <t>34 JGR 15</t>
        </is>
      </c>
      <c r="E1239" s="115" t="inlineStr">
        <is>
          <t>ÖNER DÜNDAR</t>
        </is>
      </c>
      <c r="F1239" s="65" t="n">
        <v>333349</v>
      </c>
      <c r="G1239" s="152" t="n">
        <v>67</v>
      </c>
      <c r="H1239" s="60" t="n"/>
      <c r="I1239" s="156">
        <f>+I1238+(G1239-H1239)</f>
        <v/>
      </c>
      <c r="L1239" s="158">
        <f>+H1239*J1239</f>
        <v/>
      </c>
      <c r="M1239" s="159">
        <f>SUM(M1238+K1239-L1239)</f>
        <v/>
      </c>
    </row>
    <row r="1240">
      <c r="A1240" s="151" t="n">
        <v>46125</v>
      </c>
      <c r="B1240" s="70" t="n">
        <v>4026</v>
      </c>
      <c r="C1240" s="115" t="inlineStr">
        <is>
          <t>SELİM İNŞAAT</t>
        </is>
      </c>
      <c r="D1240" s="115" t="inlineStr">
        <is>
          <t>34 AR 7743</t>
        </is>
      </c>
      <c r="E1240" s="115" t="inlineStr">
        <is>
          <t>MEHMET SELİM</t>
        </is>
      </c>
      <c r="F1240" s="65" t="n">
        <v>376354</v>
      </c>
      <c r="G1240" s="152" t="n">
        <v>47</v>
      </c>
      <c r="H1240" s="60" t="n"/>
      <c r="I1240" s="156">
        <f>+I1239+(G1240-H1240)</f>
        <v/>
      </c>
      <c r="L1240" s="158">
        <f>+H1240*J1240</f>
        <v/>
      </c>
      <c r="M1240" s="159">
        <f>SUM(M1239+K1240-L1240)</f>
        <v/>
      </c>
    </row>
    <row r="1241">
      <c r="A1241" s="151" t="n">
        <v>46125</v>
      </c>
      <c r="B1241" s="70" t="n">
        <v>197</v>
      </c>
      <c r="C1241" s="115" t="inlineStr">
        <is>
          <t>SELİM İNŞAAT</t>
        </is>
      </c>
      <c r="D1241" s="115" t="inlineStr">
        <is>
          <t>34 TG 7869</t>
        </is>
      </c>
      <c r="E1241" s="115" t="inlineStr">
        <is>
          <t>DURSUN ALİ GÜREK</t>
        </is>
      </c>
      <c r="F1241" s="65" t="n">
        <v>193977</v>
      </c>
      <c r="G1241" s="152" t="n">
        <v>307</v>
      </c>
      <c r="H1241" s="60" t="n"/>
      <c r="I1241" s="156">
        <f>+I1240+(G1241-H1241)</f>
        <v/>
      </c>
      <c r="L1241" s="158">
        <f>+H1241*J1241</f>
        <v/>
      </c>
      <c r="M1241" s="159">
        <f>SUM(M1240+K1241-L1241)</f>
        <v/>
      </c>
    </row>
    <row r="1242">
      <c r="A1242" s="151" t="n">
        <v>46125</v>
      </c>
      <c r="B1242" s="70" t="n">
        <v>2399</v>
      </c>
      <c r="C1242" s="115" t="inlineStr">
        <is>
          <t>SELİM İNŞAAT</t>
        </is>
      </c>
      <c r="D1242" s="115" t="inlineStr">
        <is>
          <t>34 FEM 934</t>
        </is>
      </c>
      <c r="E1242" s="115" t="inlineStr">
        <is>
          <t>YAKUP URUCU</t>
        </is>
      </c>
      <c r="F1242" s="65" t="n">
        <v>336755</v>
      </c>
      <c r="G1242" s="152" t="n">
        <v>38</v>
      </c>
      <c r="H1242" s="60" t="n"/>
      <c r="I1242" s="156">
        <f>+I1241+(G1242-H1242)</f>
        <v/>
      </c>
      <c r="L1242" s="158">
        <f>+H1242*J1242</f>
        <v/>
      </c>
      <c r="M1242" s="159">
        <f>SUM(M1241+K1242-L1242)</f>
        <v/>
      </c>
    </row>
    <row r="1243">
      <c r="A1243" s="151" t="n">
        <v>46125</v>
      </c>
      <c r="B1243" s="70" t="n">
        <v>156</v>
      </c>
      <c r="C1243" s="115" t="inlineStr">
        <is>
          <t>SELİM İNŞAAT</t>
        </is>
      </c>
      <c r="D1243" s="115" t="inlineStr">
        <is>
          <t>34 FBR 771</t>
        </is>
      </c>
      <c r="E1243" s="115" t="inlineStr">
        <is>
          <t>SALİH YALÇIN</t>
        </is>
      </c>
      <c r="F1243" s="65" t="n">
        <v>353583</v>
      </c>
      <c r="G1243" s="152" t="n">
        <v>329</v>
      </c>
      <c r="H1243" s="60" t="n"/>
      <c r="I1243" s="156">
        <f>+I1242+(G1243-H1243)</f>
        <v/>
      </c>
      <c r="L1243" s="158">
        <f>+H1243*J1243</f>
        <v/>
      </c>
      <c r="M1243" s="159">
        <f>SUM(M1242+K1243-L1243)</f>
        <v/>
      </c>
    </row>
    <row r="1244">
      <c r="A1244" s="151" t="n">
        <v>46125</v>
      </c>
      <c r="B1244" s="70" t="n">
        <v>3496</v>
      </c>
      <c r="C1244" s="115" t="inlineStr">
        <is>
          <t>SELİM İNŞAAT</t>
        </is>
      </c>
      <c r="D1244" s="115" t="inlineStr">
        <is>
          <t>34 EDB 754</t>
        </is>
      </c>
      <c r="E1244" s="115" t="inlineStr">
        <is>
          <t>SELÇUK BASTIK</t>
        </is>
      </c>
      <c r="F1244" s="65" t="n">
        <v>376545</v>
      </c>
      <c r="G1244" s="152" t="n">
        <v>378</v>
      </c>
      <c r="H1244" s="60" t="n"/>
      <c r="I1244" s="156">
        <f>+I1243+(G1244-H1244)</f>
        <v/>
      </c>
      <c r="L1244" s="158">
        <f>+H1244*J1244</f>
        <v/>
      </c>
      <c r="M1244" s="159">
        <f>SUM(M1243+K1244-L1244)</f>
        <v/>
      </c>
    </row>
    <row r="1245">
      <c r="A1245" s="151" t="n">
        <v>46125</v>
      </c>
      <c r="B1245" s="70" t="n">
        <v>4983</v>
      </c>
      <c r="C1245" s="115" t="inlineStr">
        <is>
          <t>SELİM İNŞAAT</t>
        </is>
      </c>
      <c r="D1245" s="115" t="inlineStr">
        <is>
          <t>34 GVZ 745</t>
        </is>
      </c>
      <c r="E1245" s="115" t="inlineStr">
        <is>
          <t>MURAT DEMİRBAŞ</t>
        </is>
      </c>
      <c r="F1245" s="65" t="n">
        <v>253289</v>
      </c>
      <c r="G1245" s="152" t="n">
        <v>414</v>
      </c>
      <c r="H1245" s="60" t="n"/>
      <c r="I1245" s="156">
        <f>+I1244+(G1245-H1245)</f>
        <v/>
      </c>
      <c r="L1245" s="158">
        <f>+H1245*J1245</f>
        <v/>
      </c>
      <c r="M1245" s="159">
        <f>SUM(M1244+K1245-L1245)</f>
        <v/>
      </c>
    </row>
    <row r="1246">
      <c r="A1246" s="151" t="n">
        <v>46125</v>
      </c>
      <c r="B1246" s="70" t="n">
        <v>3839</v>
      </c>
      <c r="C1246" s="115" t="inlineStr">
        <is>
          <t>SELİM İNŞAAT</t>
        </is>
      </c>
      <c r="D1246" s="115" t="inlineStr">
        <is>
          <t>34 GYZ 635</t>
        </is>
      </c>
      <c r="E1246" s="115" t="inlineStr">
        <is>
          <t>ADEM DENİZ</t>
        </is>
      </c>
      <c r="F1246" s="65" t="n">
        <v>232480</v>
      </c>
      <c r="G1246" s="152" t="n">
        <v>509</v>
      </c>
      <c r="H1246" s="60" t="n"/>
      <c r="I1246" s="156">
        <f>+I1245+(G1246-H1246)</f>
        <v/>
      </c>
      <c r="L1246" s="158">
        <f>+H1246*J1246</f>
        <v/>
      </c>
      <c r="M1246" s="159">
        <f>SUM(M1245+K1246-L1246)</f>
        <v/>
      </c>
    </row>
    <row r="1247">
      <c r="A1247" s="151" t="n">
        <v>46125</v>
      </c>
      <c r="B1247" s="70" t="n">
        <v>914</v>
      </c>
      <c r="C1247" s="115" t="inlineStr">
        <is>
          <t>SELİM İNŞAAT</t>
        </is>
      </c>
      <c r="D1247" s="115" t="inlineStr">
        <is>
          <t>34 FSG 229</t>
        </is>
      </c>
      <c r="E1247" s="115" t="inlineStr">
        <is>
          <t>SİNAN TANRIVERDİ</t>
        </is>
      </c>
      <c r="F1247" s="65" t="n">
        <v>305482</v>
      </c>
      <c r="G1247" s="152" t="n">
        <v>501</v>
      </c>
      <c r="H1247" s="60" t="n"/>
      <c r="I1247" s="156">
        <f>+I1246+(G1247-H1247)</f>
        <v/>
      </c>
      <c r="L1247" s="158">
        <f>+H1247*J1247</f>
        <v/>
      </c>
      <c r="M1247" s="159">
        <f>SUM(M1246+K1247-L1247)</f>
        <v/>
      </c>
    </row>
    <row r="1248">
      <c r="A1248" s="151" t="n">
        <v>46125</v>
      </c>
      <c r="B1248" s="70" t="n">
        <v>4523</v>
      </c>
      <c r="C1248" s="115" t="inlineStr">
        <is>
          <t>SELİM İNŞAAT</t>
        </is>
      </c>
      <c r="D1248" s="115" t="inlineStr">
        <is>
          <t>34 DTV 352</t>
        </is>
      </c>
      <c r="E1248" s="115" t="inlineStr">
        <is>
          <t>AZİZ ORUÇ</t>
        </is>
      </c>
      <c r="F1248" s="65" t="n">
        <v>481377</v>
      </c>
      <c r="G1248" s="152" t="n">
        <v>474</v>
      </c>
      <c r="H1248" s="60" t="n"/>
      <c r="I1248" s="156">
        <f>+I1247+(G1248-H1248)</f>
        <v/>
      </c>
      <c r="L1248" s="158">
        <f>+H1248*J1248</f>
        <v/>
      </c>
      <c r="M1248" s="159">
        <f>SUM(M1247+K1248-L1248)</f>
        <v/>
      </c>
    </row>
    <row r="1249">
      <c r="A1249" s="151" t="n">
        <v>46125</v>
      </c>
      <c r="B1249" s="70" t="n">
        <v>3400</v>
      </c>
      <c r="C1249" s="115" t="inlineStr">
        <is>
          <t>SELİM İNŞAAT</t>
        </is>
      </c>
      <c r="D1249" s="115" t="inlineStr">
        <is>
          <t>34 EDC 162</t>
        </is>
      </c>
      <c r="E1249" s="115" t="inlineStr">
        <is>
          <t xml:space="preserve">YAKUP GÜNER </t>
        </is>
      </c>
      <c r="F1249" s="65" t="n">
        <v>421693</v>
      </c>
      <c r="G1249" s="152" t="n">
        <v>420</v>
      </c>
      <c r="H1249" s="60" t="n"/>
      <c r="I1249" s="156">
        <f>+I1248+(G1249-H1249)</f>
        <v/>
      </c>
      <c r="L1249" s="158">
        <f>+H1249*J1249</f>
        <v/>
      </c>
      <c r="M1249" s="159">
        <f>SUM(M1248+K1249-L1249)</f>
        <v/>
      </c>
    </row>
    <row r="1250">
      <c r="A1250" s="151" t="n">
        <v>46125</v>
      </c>
      <c r="B1250" s="70" t="n">
        <v>1350</v>
      </c>
      <c r="C1250" s="115" t="inlineStr">
        <is>
          <t>SELİM İNŞAAT</t>
        </is>
      </c>
      <c r="D1250" s="115" t="inlineStr">
        <is>
          <t>34 GVZ 199</t>
        </is>
      </c>
      <c r="E1250" s="115" t="inlineStr">
        <is>
          <t>HÜSEYİN DENİZ</t>
        </is>
      </c>
      <c r="F1250" s="65" t="n">
        <v>232172</v>
      </c>
      <c r="G1250" s="152" t="n">
        <v>450</v>
      </c>
      <c r="H1250" s="60" t="n"/>
      <c r="I1250" s="156">
        <f>+I1249+(G1250-H1250)</f>
        <v/>
      </c>
      <c r="L1250" s="158">
        <f>+H1250*J1250</f>
        <v/>
      </c>
      <c r="M1250" s="159">
        <f>SUM(M1249+K1250-L1250)</f>
        <v/>
      </c>
    </row>
    <row r="1251">
      <c r="A1251" s="151" t="n">
        <v>46125</v>
      </c>
      <c r="B1251" s="70" t="n">
        <v>4420</v>
      </c>
      <c r="C1251" s="115" t="inlineStr">
        <is>
          <t>SELİM İNŞAAT</t>
        </is>
      </c>
      <c r="D1251" s="115" t="inlineStr">
        <is>
          <t>34 DTV 409</t>
        </is>
      </c>
      <c r="E1251" s="115" t="inlineStr">
        <is>
          <t>DURSUN ALİ GÜREK</t>
        </is>
      </c>
      <c r="F1251" s="115" t="n">
        <v>455209</v>
      </c>
      <c r="G1251" s="152" t="n">
        <v>493</v>
      </c>
      <c r="H1251" s="60" t="n"/>
      <c r="I1251" s="156">
        <f>+I1250+(G1251-H1251)</f>
        <v/>
      </c>
      <c r="L1251" s="158">
        <f>+H1251*J1251</f>
        <v/>
      </c>
      <c r="M1251" s="159">
        <f>SUM(M1250+K1251-L1251)</f>
        <v/>
      </c>
    </row>
    <row r="1252">
      <c r="A1252" s="151" t="n">
        <v>46125</v>
      </c>
      <c r="B1252" s="70" t="n">
        <v>767</v>
      </c>
      <c r="C1252" s="115" t="inlineStr">
        <is>
          <t>METİN ERYİĞİT</t>
        </is>
      </c>
      <c r="D1252" s="115" t="inlineStr">
        <is>
          <t>34 EGR 814</t>
        </is>
      </c>
      <c r="E1252" s="115" t="inlineStr">
        <is>
          <t>ZİYA İNCE</t>
        </is>
      </c>
      <c r="F1252" s="115" t="n">
        <v>619251</v>
      </c>
      <c r="G1252" s="152" t="n">
        <v>339</v>
      </c>
      <c r="H1252" s="60" t="n"/>
      <c r="I1252" s="156">
        <f>+I1251+(G1252-H1252)</f>
        <v/>
      </c>
      <c r="L1252" s="158">
        <f>+H1252*J1252</f>
        <v/>
      </c>
      <c r="M1252" s="159">
        <f>SUM(M1251+K1252-L1252)</f>
        <v/>
      </c>
    </row>
    <row r="1253">
      <c r="A1253" s="151" t="n">
        <v>46125</v>
      </c>
      <c r="B1253" s="70" t="n">
        <v>642</v>
      </c>
      <c r="C1253" s="152" t="inlineStr">
        <is>
          <t>SELİM İNŞAAT</t>
        </is>
      </c>
      <c r="D1253" s="115" t="inlineStr">
        <is>
          <t>SS MİSAFİR</t>
        </is>
      </c>
      <c r="E1253" s="115" t="inlineStr">
        <is>
          <t>KURBANLIK</t>
        </is>
      </c>
      <c r="F1253" s="115" t="n"/>
      <c r="G1253" s="152" t="n">
        <v>40</v>
      </c>
      <c r="H1253" s="60" t="n"/>
      <c r="I1253" s="156">
        <f>+I1252+(G1253-H1253)</f>
        <v/>
      </c>
      <c r="L1253" s="158">
        <f>+H1253*J1253</f>
        <v/>
      </c>
      <c r="M1253" s="159">
        <f>SUM(M1252+K1253-L1253)</f>
        <v/>
      </c>
    </row>
    <row r="1254">
      <c r="A1254" s="151" t="n">
        <v>46125</v>
      </c>
      <c r="B1254" s="70" t="n">
        <v>954</v>
      </c>
      <c r="C1254" s="152" t="inlineStr">
        <is>
          <t>SELİM İNŞAAT</t>
        </is>
      </c>
      <c r="D1254" s="115" t="inlineStr">
        <is>
          <t>34 DSN 636</t>
        </is>
      </c>
      <c r="E1254" s="115" t="inlineStr">
        <is>
          <t>SELÇUK BASTIK</t>
        </is>
      </c>
      <c r="F1254" s="115" t="n">
        <v>435958</v>
      </c>
      <c r="G1254" s="152" t="n">
        <v>475</v>
      </c>
      <c r="H1254" s="60" t="n"/>
      <c r="I1254" s="156">
        <f>+I1253+(G1254-H1254)</f>
        <v/>
      </c>
      <c r="L1254" s="158">
        <f>+H1254*J1254</f>
        <v/>
      </c>
      <c r="M1254" s="159">
        <f>SUM(M1253+K1254-L1254)</f>
        <v/>
      </c>
    </row>
    <row r="1255">
      <c r="A1255" s="151" t="n">
        <v>46125</v>
      </c>
      <c r="B1255" s="70" t="n">
        <v>3436</v>
      </c>
      <c r="C1255" s="152" t="inlineStr">
        <is>
          <t>SELİM İNŞAAT</t>
        </is>
      </c>
      <c r="D1255" s="115" t="inlineStr">
        <is>
          <t>34 GVZ 310</t>
        </is>
      </c>
      <c r="E1255" s="115" t="inlineStr">
        <is>
          <t>CELAL YÜZBAŞI</t>
        </is>
      </c>
      <c r="F1255" s="115" t="n">
        <v>252667</v>
      </c>
      <c r="G1255" s="152" t="n">
        <v>429</v>
      </c>
      <c r="H1255" s="60" t="n"/>
      <c r="I1255" s="156">
        <f>+I1254+(G1255-H1255)</f>
        <v/>
      </c>
      <c r="L1255" s="158">
        <f>+H1255*J1255</f>
        <v/>
      </c>
      <c r="M1255" s="159">
        <f>SUM(M1254+K1255-L1255)</f>
        <v/>
      </c>
    </row>
    <row r="1256">
      <c r="A1256" s="151" t="n">
        <v>46125</v>
      </c>
      <c r="B1256" s="70" t="n">
        <v>4176</v>
      </c>
      <c r="C1256" s="152" t="inlineStr">
        <is>
          <t>SELİM İNŞAAT</t>
        </is>
      </c>
      <c r="D1256" s="115" t="inlineStr">
        <is>
          <t>34 FBR 748</t>
        </is>
      </c>
      <c r="E1256" s="115" t="inlineStr">
        <is>
          <t>YAŞAR ÖZKAYA</t>
        </is>
      </c>
      <c r="F1256" s="115" t="n">
        <v>328983</v>
      </c>
      <c r="G1256" s="152" t="n">
        <v>548</v>
      </c>
      <c r="H1256" s="60" t="n"/>
      <c r="I1256" s="156">
        <f>+I1255+(G1256-H1256)</f>
        <v/>
      </c>
      <c r="L1256" s="158">
        <f>+H1256*J1256</f>
        <v/>
      </c>
      <c r="M1256" s="159">
        <f>SUM(M1255+K1256-L1256)</f>
        <v/>
      </c>
    </row>
    <row r="1257">
      <c r="A1257" s="151" t="n">
        <v>46125</v>
      </c>
      <c r="B1257" s="70" t="n">
        <v>1403</v>
      </c>
      <c r="C1257" s="152" t="inlineStr">
        <is>
          <t>AZGÜN YAPI</t>
        </is>
      </c>
      <c r="D1257" s="115" t="inlineStr">
        <is>
          <t>34 MKT 859</t>
        </is>
      </c>
      <c r="E1257" s="115" t="inlineStr">
        <is>
          <t>İRFAN DAĞLAR</t>
        </is>
      </c>
      <c r="F1257" s="115" t="n"/>
      <c r="G1257" s="152" t="n">
        <v>623</v>
      </c>
      <c r="H1257" s="60" t="n"/>
      <c r="I1257" s="156">
        <f>+I1256+(G1257-H1257)</f>
        <v/>
      </c>
      <c r="L1257" s="158">
        <f>+H1257*J1257</f>
        <v/>
      </c>
      <c r="M1257" s="159">
        <f>SUM(M1256+K1257-L1257)</f>
        <v/>
      </c>
    </row>
    <row r="1258">
      <c r="A1258" s="151" t="n">
        <v>46125</v>
      </c>
      <c r="B1258" s="70" t="n">
        <v>1579</v>
      </c>
      <c r="C1258" s="152" t="inlineStr">
        <is>
          <t>VARLIK</t>
        </is>
      </c>
      <c r="D1258" s="115" t="inlineStr">
        <is>
          <t>KAWAZAKİ</t>
        </is>
      </c>
      <c r="E1258" s="115" t="inlineStr">
        <is>
          <t>RAMAZAN</t>
        </is>
      </c>
      <c r="F1258" s="115" t="n"/>
      <c r="G1258" s="152" t="n">
        <v>350</v>
      </c>
      <c r="H1258" s="60" t="n"/>
      <c r="I1258" s="156">
        <f>+I1257+(G1258-H1258)</f>
        <v/>
      </c>
      <c r="L1258" s="158">
        <f>+H1258*J1258</f>
        <v/>
      </c>
      <c r="M1258" s="159">
        <f>SUM(M1257+K1258-L1258)</f>
        <v/>
      </c>
    </row>
    <row r="1259">
      <c r="A1259" s="151" t="n">
        <v>46125</v>
      </c>
      <c r="B1259" s="70" t="n">
        <v>1581</v>
      </c>
      <c r="C1259" s="152" t="inlineStr">
        <is>
          <t>MEGA VARLIK</t>
        </is>
      </c>
      <c r="D1259" s="115" t="inlineStr">
        <is>
          <t>SM350</t>
        </is>
      </c>
      <c r="E1259" s="115" t="inlineStr">
        <is>
          <t>TEVFİK</t>
        </is>
      </c>
      <c r="F1259" s="115" t="n"/>
      <c r="G1259" s="152" t="n">
        <v>289</v>
      </c>
      <c r="H1259" s="60" t="n"/>
      <c r="I1259" s="156">
        <f>+I1258+(G1259-H1259)</f>
        <v/>
      </c>
      <c r="L1259" s="158">
        <f>+H1259*J1259</f>
        <v/>
      </c>
      <c r="M1259" s="159">
        <f>SUM(M1258+K1259-L1259)</f>
        <v/>
      </c>
    </row>
    <row r="1260">
      <c r="A1260" s="151" t="n">
        <v>46125</v>
      </c>
      <c r="B1260" s="70" t="n">
        <v>1582</v>
      </c>
      <c r="C1260" s="152" t="inlineStr">
        <is>
          <t>KOZMO</t>
        </is>
      </c>
      <c r="D1260" s="115" t="inlineStr">
        <is>
          <t>SM300</t>
        </is>
      </c>
      <c r="E1260" s="115" t="inlineStr">
        <is>
          <t>ONUR</t>
        </is>
      </c>
      <c r="F1260" s="115" t="n"/>
      <c r="G1260" s="152" t="n">
        <v>277</v>
      </c>
      <c r="H1260" s="60" t="n"/>
      <c r="I1260" s="156">
        <f>+I1259+(G1260-H1260)</f>
        <v/>
      </c>
      <c r="L1260" s="158">
        <f>+H1260*J1260</f>
        <v/>
      </c>
      <c r="M1260" s="159">
        <f>SUM(M1259+K1260-L1260)</f>
        <v/>
      </c>
    </row>
    <row r="1261">
      <c r="A1261" s="151" t="n">
        <v>46125</v>
      </c>
      <c r="B1261" s="70" t="n">
        <v>1583</v>
      </c>
      <c r="C1261" s="152" t="inlineStr">
        <is>
          <t>KOZMO</t>
        </is>
      </c>
      <c r="D1261" s="115" t="inlineStr">
        <is>
          <t>SM350</t>
        </is>
      </c>
      <c r="E1261" s="115" t="inlineStr">
        <is>
          <t>YAKUP</t>
        </is>
      </c>
      <c r="F1261" s="115" t="n"/>
      <c r="G1261" s="152" t="n">
        <v>287</v>
      </c>
      <c r="H1261" s="60" t="n"/>
      <c r="I1261" s="156">
        <f>+I1260+(G1261-H1261)</f>
        <v/>
      </c>
      <c r="L1261" s="158">
        <f>+H1261*J1261</f>
        <v/>
      </c>
      <c r="M1261" s="159">
        <f>SUM(M1260+K1261-L1261)</f>
        <v/>
      </c>
    </row>
    <row r="1262">
      <c r="A1262" s="151" t="n">
        <v>46125</v>
      </c>
      <c r="B1262" s="70" t="n">
        <v>1584</v>
      </c>
      <c r="C1262" s="152" t="inlineStr">
        <is>
          <t>KOZMO</t>
        </is>
      </c>
      <c r="D1262" s="115" t="inlineStr">
        <is>
          <t>SM370</t>
        </is>
      </c>
      <c r="E1262" s="115" t="inlineStr">
        <is>
          <t>ADEM DENİZ</t>
        </is>
      </c>
      <c r="F1262" s="115" t="n"/>
      <c r="G1262" s="152" t="n">
        <v>350</v>
      </c>
      <c r="H1262" s="60" t="n"/>
      <c r="I1262" s="156">
        <f>+I1261+(G1262-H1262)</f>
        <v/>
      </c>
      <c r="L1262" s="158">
        <f>+H1262*J1262</f>
        <v/>
      </c>
      <c r="M1262" s="159">
        <f>SUM(M1261+K1262-L1262)</f>
        <v/>
      </c>
    </row>
    <row r="1263">
      <c r="A1263" s="151" t="n">
        <v>46125</v>
      </c>
      <c r="B1263" s="70" t="n">
        <v>1585</v>
      </c>
      <c r="C1263" s="152" t="inlineStr">
        <is>
          <t>VARLIK</t>
        </is>
      </c>
      <c r="D1263" s="115" t="inlineStr">
        <is>
          <t>HİTACHİ</t>
        </is>
      </c>
      <c r="E1263" s="115" t="inlineStr">
        <is>
          <t>TURGUT SANCAK</t>
        </is>
      </c>
      <c r="F1263" s="115" t="n"/>
      <c r="G1263" s="152" t="n">
        <v>256</v>
      </c>
      <c r="H1263" s="60" t="n"/>
      <c r="I1263" s="156">
        <f>+I1262+(G1263-H1263)</f>
        <v/>
      </c>
      <c r="L1263" s="158">
        <f>+H1263*J1263</f>
        <v/>
      </c>
      <c r="M1263" s="159">
        <f>SUM(M1262+K1263-L1263)</f>
        <v/>
      </c>
    </row>
    <row r="1264">
      <c r="A1264" s="151" t="n">
        <v>46125</v>
      </c>
      <c r="B1264" s="70" t="n">
        <v>1586</v>
      </c>
      <c r="C1264" s="152" t="inlineStr">
        <is>
          <t>KOZMO</t>
        </is>
      </c>
      <c r="D1264" s="115" t="inlineStr">
        <is>
          <t>KAWAZAKİ</t>
        </is>
      </c>
      <c r="E1264" s="115" t="inlineStr">
        <is>
          <t>RAMAZAN</t>
        </is>
      </c>
      <c r="F1264" s="115" t="n"/>
      <c r="G1264" s="152" t="n">
        <v>289</v>
      </c>
      <c r="H1264" s="60" t="n"/>
      <c r="I1264" s="156">
        <f>+I1263+(G1264-H1264)</f>
        <v/>
      </c>
      <c r="L1264" s="158">
        <f>+H1264*J1264</f>
        <v/>
      </c>
      <c r="M1264" s="159">
        <f>SUM(M1263+K1264-L1264)</f>
        <v/>
      </c>
    </row>
    <row r="1265">
      <c r="A1265" s="151" t="n">
        <v>46126</v>
      </c>
      <c r="B1265" s="70" t="n">
        <v>3739</v>
      </c>
      <c r="C1265" s="115" t="inlineStr">
        <is>
          <t>SELİM İNŞAAT</t>
        </is>
      </c>
      <c r="D1265" s="115" t="inlineStr">
        <is>
          <t>34 DKL 866</t>
        </is>
      </c>
      <c r="E1265" s="115" t="inlineStr">
        <is>
          <t>SELİMCAN ÖNVER</t>
        </is>
      </c>
      <c r="F1265" s="65" t="n">
        <v>84251</v>
      </c>
      <c r="G1265" s="152" t="n">
        <v>237</v>
      </c>
      <c r="H1265" s="60" t="n"/>
      <c r="I1265" s="156">
        <f>+I1264+(G1265-H1265)</f>
        <v/>
      </c>
      <c r="L1265" s="158">
        <f>+H1265*J1265</f>
        <v/>
      </c>
      <c r="M1265" s="159">
        <f>SUM(M1264+K1265-L1265)</f>
        <v/>
      </c>
    </row>
    <row r="1266">
      <c r="A1266" s="151" t="n">
        <v>46126</v>
      </c>
      <c r="B1266" s="70" t="n">
        <v>1352</v>
      </c>
      <c r="C1266" s="115" t="inlineStr">
        <is>
          <t>SELİM İNŞAAT</t>
        </is>
      </c>
      <c r="D1266" s="115" t="inlineStr">
        <is>
          <t>34 DP 4161</t>
        </is>
      </c>
      <c r="E1266" s="115" t="inlineStr">
        <is>
          <t>RIFAT KARATAY</t>
        </is>
      </c>
      <c r="F1266" s="65" t="n">
        <v>322225</v>
      </c>
      <c r="G1266" s="152" t="n">
        <v>249</v>
      </c>
      <c r="H1266" s="60" t="n"/>
      <c r="I1266" s="156">
        <f>+I1265+(G1266-H1266)</f>
        <v/>
      </c>
      <c r="L1266" s="158">
        <f>+H1266*J1266</f>
        <v/>
      </c>
      <c r="M1266" s="159">
        <f>SUM(M1265+K1266-L1266)</f>
        <v/>
      </c>
    </row>
    <row r="1267">
      <c r="A1267" s="151" t="n">
        <v>46126</v>
      </c>
      <c r="B1267" s="70" t="n">
        <v>1286</v>
      </c>
      <c r="C1267" s="115" t="inlineStr">
        <is>
          <t>SELİM İNŞAAT</t>
        </is>
      </c>
      <c r="D1267" s="115" t="inlineStr">
        <is>
          <t>34 DSN 621</t>
        </is>
      </c>
      <c r="E1267" s="115" t="inlineStr">
        <is>
          <t>YASİN ÇATAKLI</t>
        </is>
      </c>
      <c r="F1267" s="65" t="n">
        <v>439382</v>
      </c>
      <c r="G1267" s="152" t="n">
        <v>510</v>
      </c>
      <c r="H1267" s="60" t="n"/>
      <c r="I1267" s="156">
        <f>+I1266+(G1267-H1267)</f>
        <v/>
      </c>
      <c r="L1267" s="158">
        <f>+H1267*J1267</f>
        <v/>
      </c>
      <c r="M1267" s="159">
        <f>SUM(M1266+K1267-L1267)</f>
        <v/>
      </c>
    </row>
    <row r="1268">
      <c r="A1268" s="151" t="n">
        <v>46126</v>
      </c>
      <c r="B1268" s="70" t="n">
        <v>4936</v>
      </c>
      <c r="C1268" s="115" t="inlineStr">
        <is>
          <t>SELİM İNŞAAT</t>
        </is>
      </c>
      <c r="D1268" s="115" t="inlineStr">
        <is>
          <t>34 FBR 742</t>
        </is>
      </c>
      <c r="E1268" s="115" t="inlineStr">
        <is>
          <t>ADNAN KOÇ</t>
        </is>
      </c>
      <c r="F1268" s="65" t="n">
        <v>371405</v>
      </c>
      <c r="G1268" s="152" t="n">
        <v>350</v>
      </c>
      <c r="H1268" s="60" t="n"/>
      <c r="I1268" s="156">
        <f>+I1267+(G1268-H1268)</f>
        <v/>
      </c>
      <c r="L1268" s="158">
        <f>+H1268*J1268</f>
        <v/>
      </c>
      <c r="M1268" s="159">
        <f>SUM(M1267+K1268-L1268)</f>
        <v/>
      </c>
    </row>
    <row r="1269">
      <c r="A1269" s="151" t="n">
        <v>46126</v>
      </c>
      <c r="B1269" s="70" t="n">
        <v>826</v>
      </c>
      <c r="C1269" s="115" t="inlineStr">
        <is>
          <t>METİN ERYİĞİT</t>
        </is>
      </c>
      <c r="D1269" s="115" t="inlineStr">
        <is>
          <t>34 GBL 998</t>
        </is>
      </c>
      <c r="E1269" s="115" t="inlineStr">
        <is>
          <t>ALİ KESKİN</t>
        </is>
      </c>
      <c r="F1269" s="115" t="n">
        <v>358485</v>
      </c>
      <c r="G1269" s="152" t="n">
        <v>281</v>
      </c>
      <c r="H1269" s="60" t="n"/>
      <c r="I1269" s="156">
        <f>+I1268+(G1269-H1269)</f>
        <v/>
      </c>
      <c r="L1269" s="158">
        <f>+H1269*J1269</f>
        <v/>
      </c>
      <c r="M1269" s="159">
        <f>SUM(M1268+K1269-L1269)</f>
        <v/>
      </c>
    </row>
    <row r="1270">
      <c r="A1270" s="151" t="n">
        <v>46126</v>
      </c>
      <c r="B1270" s="70" t="n">
        <v>643</v>
      </c>
      <c r="C1270" s="152" t="inlineStr">
        <is>
          <t>AHMET SELİM TEMHA</t>
        </is>
      </c>
      <c r="D1270" s="115" t="inlineStr">
        <is>
          <t>34 PGT 251</t>
        </is>
      </c>
      <c r="E1270" s="115" t="inlineStr">
        <is>
          <t>ERSOY SIĞINMAZ</t>
        </is>
      </c>
      <c r="F1270" s="115" t="n"/>
      <c r="G1270" s="152" t="n">
        <v>117</v>
      </c>
      <c r="H1270" s="60" t="n"/>
      <c r="I1270" s="156">
        <f>+I1269+(G1270-H1270)</f>
        <v/>
      </c>
      <c r="L1270" s="158">
        <f>+H1270*J1270</f>
        <v/>
      </c>
      <c r="M1270" s="159">
        <f>SUM(M1269+K1270-L1270)</f>
        <v/>
      </c>
    </row>
    <row r="1271">
      <c r="A1271" s="151" t="n">
        <v>46126</v>
      </c>
      <c r="B1271" s="70" t="n">
        <v>1587</v>
      </c>
      <c r="C1271" s="152" t="inlineStr">
        <is>
          <t>MEGA VARLIK</t>
        </is>
      </c>
      <c r="D1271" s="115" t="inlineStr">
        <is>
          <t>SM350</t>
        </is>
      </c>
      <c r="E1271" s="115" t="inlineStr">
        <is>
          <t>TEVFİK</t>
        </is>
      </c>
      <c r="F1271" s="115" t="n"/>
      <c r="G1271" s="152" t="n">
        <v>210</v>
      </c>
      <c r="H1271" s="60" t="n"/>
      <c r="I1271" s="156">
        <f>+I1270+(G1271-H1271)</f>
        <v/>
      </c>
      <c r="L1271" s="158">
        <f>+H1271*J1271</f>
        <v/>
      </c>
      <c r="M1271" s="159">
        <f>SUM(M1270+K1271-L1271)</f>
        <v/>
      </c>
    </row>
    <row r="1272">
      <c r="A1272" s="151" t="n">
        <v>46126</v>
      </c>
      <c r="B1272" s="70" t="n">
        <v>1588</v>
      </c>
      <c r="C1272" s="152" t="inlineStr">
        <is>
          <t>MEGA VARLIK</t>
        </is>
      </c>
      <c r="D1272" s="115" t="inlineStr">
        <is>
          <t>SM350</t>
        </is>
      </c>
      <c r="E1272" s="115" t="inlineStr">
        <is>
          <t>TEVFİK</t>
        </is>
      </c>
      <c r="F1272" s="115" t="n"/>
      <c r="G1272" s="152" t="n">
        <v>458</v>
      </c>
      <c r="H1272" s="60" t="n"/>
      <c r="I1272" s="156">
        <f>+I1271+(G1272-H1272)</f>
        <v/>
      </c>
      <c r="L1272" s="158">
        <f>+H1272*J1272</f>
        <v/>
      </c>
      <c r="M1272" s="159">
        <f>SUM(M1271+K1272-L1272)</f>
        <v/>
      </c>
    </row>
    <row r="1273">
      <c r="A1273" s="151" t="n">
        <v>46126</v>
      </c>
      <c r="B1273" s="70" t="n">
        <v>1589</v>
      </c>
      <c r="C1273" s="152" t="inlineStr">
        <is>
          <t>KOZMO</t>
        </is>
      </c>
      <c r="D1273" s="115" t="inlineStr">
        <is>
          <t>SİLİNDİR</t>
        </is>
      </c>
      <c r="E1273" s="115" t="inlineStr">
        <is>
          <t>MEHMET ALİ</t>
        </is>
      </c>
      <c r="F1273" s="115" t="n"/>
      <c r="G1273" s="152" t="n">
        <v>278</v>
      </c>
      <c r="H1273" s="60" t="n"/>
      <c r="I1273" s="156">
        <f>+I1272+(G1273-H1273)</f>
        <v/>
      </c>
      <c r="L1273" s="158">
        <f>+H1273*J1273</f>
        <v/>
      </c>
      <c r="M1273" s="159">
        <f>SUM(M1272+K1273-L1273)</f>
        <v/>
      </c>
    </row>
    <row r="1274">
      <c r="A1274" s="151" t="n">
        <v>46126</v>
      </c>
      <c r="B1274" s="70" t="n">
        <v>1590</v>
      </c>
      <c r="C1274" s="152" t="inlineStr">
        <is>
          <t>KOZMO</t>
        </is>
      </c>
      <c r="D1274" s="115" t="inlineStr">
        <is>
          <t>JCB</t>
        </is>
      </c>
      <c r="E1274" s="115" t="inlineStr">
        <is>
          <t>BAYRAM SANCAK</t>
        </is>
      </c>
      <c r="F1274" s="115" t="n"/>
      <c r="G1274" s="152" t="n">
        <v>54</v>
      </c>
      <c r="H1274" s="60" t="n"/>
      <c r="I1274" s="156">
        <f>+I1273+(G1274-H1274)</f>
        <v/>
      </c>
      <c r="L1274" s="158">
        <f>+H1274*J1274</f>
        <v/>
      </c>
      <c r="M1274" s="159">
        <f>SUM(M1273+K1274-L1274)</f>
        <v/>
      </c>
    </row>
    <row r="1275">
      <c r="A1275" s="151" t="n">
        <v>46126</v>
      </c>
      <c r="B1275" s="70" t="n">
        <v>1591</v>
      </c>
      <c r="C1275" s="152" t="inlineStr">
        <is>
          <t>KOZMO</t>
        </is>
      </c>
      <c r="D1275" s="115" t="inlineStr">
        <is>
          <t>SM300</t>
        </is>
      </c>
      <c r="E1275" s="115" t="inlineStr">
        <is>
          <t>ONUR</t>
        </is>
      </c>
      <c r="F1275" s="115" t="n"/>
      <c r="G1275" s="152" t="n">
        <v>312</v>
      </c>
      <c r="H1275" s="60" t="n"/>
      <c r="I1275" s="156">
        <f>+I1274+(G1275-H1275)</f>
        <v/>
      </c>
      <c r="L1275" s="158">
        <f>+H1275*J1275</f>
        <v/>
      </c>
      <c r="M1275" s="159">
        <f>SUM(M1274+K1275-L1275)</f>
        <v/>
      </c>
    </row>
    <row r="1276">
      <c r="A1276" s="151" t="n">
        <v>46126</v>
      </c>
      <c r="B1276" s="70" t="n">
        <v>1592</v>
      </c>
      <c r="C1276" s="152" t="inlineStr">
        <is>
          <t>EVKUR</t>
        </is>
      </c>
      <c r="D1276" s="115" t="inlineStr">
        <is>
          <t>KİRALIK KATO</t>
        </is>
      </c>
      <c r="E1276" s="115" t="inlineStr">
        <is>
          <t>GÜNEŞ BEYİN TALİMATI</t>
        </is>
      </c>
      <c r="F1276" s="115" t="n"/>
      <c r="G1276" s="152" t="n">
        <v>58</v>
      </c>
      <c r="H1276" s="60" t="n"/>
      <c r="I1276" s="156">
        <f>+I1275+(G1276-H1276)</f>
        <v/>
      </c>
      <c r="L1276" s="158">
        <f>+H1276*J1276</f>
        <v/>
      </c>
      <c r="M1276" s="159">
        <f>SUM(M1275+K1276-L1276)</f>
        <v/>
      </c>
    </row>
    <row r="1277">
      <c r="A1277" s="151" t="n">
        <v>46126</v>
      </c>
      <c r="B1277" s="70" t="n">
        <v>1593</v>
      </c>
      <c r="C1277" s="152" t="inlineStr">
        <is>
          <t>KOZMO</t>
        </is>
      </c>
      <c r="D1277" s="115" t="inlineStr">
        <is>
          <t>SM350</t>
        </is>
      </c>
      <c r="E1277" s="115" t="inlineStr">
        <is>
          <t>YAKUP</t>
        </is>
      </c>
      <c r="F1277" s="115" t="n"/>
      <c r="G1277" s="152" t="n">
        <v>332</v>
      </c>
      <c r="H1277" s="60" t="n"/>
      <c r="I1277" s="156">
        <f>+I1276+(G1277-H1277)</f>
        <v/>
      </c>
      <c r="L1277" s="158">
        <f>+H1277*J1277</f>
        <v/>
      </c>
      <c r="M1277" s="159">
        <f>SUM(M1276+K1277-L1277)</f>
        <v/>
      </c>
    </row>
    <row r="1278">
      <c r="A1278" s="151" t="n">
        <v>46126</v>
      </c>
      <c r="B1278" s="70" t="n">
        <v>1594</v>
      </c>
      <c r="C1278" s="152" t="inlineStr">
        <is>
          <t>KOZMO</t>
        </is>
      </c>
      <c r="D1278" s="115" t="inlineStr">
        <is>
          <t>SM370</t>
        </is>
      </c>
      <c r="E1278" s="115" t="inlineStr">
        <is>
          <t>ADEM DENİZ</t>
        </is>
      </c>
      <c r="F1278" s="115" t="n"/>
      <c r="G1278" s="152" t="n">
        <v>363</v>
      </c>
      <c r="H1278" s="60" t="n"/>
      <c r="I1278" s="156">
        <f>+I1277+(G1278-H1278)</f>
        <v/>
      </c>
      <c r="L1278" s="158">
        <f>+H1278*J1278</f>
        <v/>
      </c>
      <c r="M1278" s="159">
        <f>SUM(M1277+K1278-L1278)</f>
        <v/>
      </c>
    </row>
    <row r="1279">
      <c r="A1279" s="151" t="n">
        <v>46126</v>
      </c>
      <c r="B1279" s="70" t="n">
        <v>1595</v>
      </c>
      <c r="C1279" s="152" t="inlineStr">
        <is>
          <t>VARLIK</t>
        </is>
      </c>
      <c r="D1279" s="115" t="inlineStr">
        <is>
          <t>HİTACHİ</t>
        </is>
      </c>
      <c r="E1279" s="115" t="inlineStr">
        <is>
          <t>TURGUT SANCAK</t>
        </is>
      </c>
      <c r="F1279" s="115" t="n"/>
      <c r="G1279" s="152" t="n">
        <v>345</v>
      </c>
      <c r="H1279" s="60" t="n"/>
      <c r="I1279" s="156">
        <f>+I1278+(G1279-H1279)</f>
        <v/>
      </c>
      <c r="L1279" s="158">
        <f>+H1279*J1279</f>
        <v/>
      </c>
      <c r="M1279" s="159">
        <f>SUM(M1278+K1279-L1279)</f>
        <v/>
      </c>
    </row>
    <row r="1280">
      <c r="A1280" s="151" t="n">
        <v>46126</v>
      </c>
      <c r="B1280" s="70" t="n">
        <v>1596</v>
      </c>
      <c r="C1280" s="152" t="inlineStr">
        <is>
          <t>VARLIK</t>
        </is>
      </c>
      <c r="D1280" s="115" t="inlineStr">
        <is>
          <t>KAWAZAKİ</t>
        </is>
      </c>
      <c r="E1280" s="115" t="inlineStr">
        <is>
          <t>RAMAZAN</t>
        </is>
      </c>
      <c r="F1280" s="115" t="n"/>
      <c r="G1280" s="152" t="n">
        <v>293</v>
      </c>
      <c r="H1280" s="60" t="n"/>
      <c r="I1280" s="156">
        <f>+I1279+(G1280-H1280)</f>
        <v/>
      </c>
      <c r="L1280" s="158">
        <f>+H1280*J1280</f>
        <v/>
      </c>
      <c r="M1280" s="159">
        <f>SUM(M1279+K1280-L1280)</f>
        <v/>
      </c>
    </row>
    <row r="1281">
      <c r="A1281" s="151" t="n">
        <v>46127</v>
      </c>
      <c r="B1281" s="70" t="n">
        <v>4474</v>
      </c>
      <c r="C1281" s="115" t="inlineStr">
        <is>
          <t>SELİM İNŞAAT</t>
        </is>
      </c>
      <c r="D1281" s="115" t="inlineStr">
        <is>
          <t>34 DKL 798</t>
        </is>
      </c>
      <c r="E1281" s="115" t="inlineStr">
        <is>
          <t>HASAN BAYCA</t>
        </is>
      </c>
      <c r="F1281" s="65" t="n">
        <v>82970</v>
      </c>
      <c r="G1281" s="152" t="n">
        <v>289</v>
      </c>
      <c r="H1281" s="60" t="n"/>
      <c r="I1281" s="156">
        <f>+I1280+(G1281-H1281)</f>
        <v/>
      </c>
      <c r="L1281" s="158">
        <f>+H1281*J1281</f>
        <v/>
      </c>
      <c r="M1281" s="159">
        <f>SUM(M1280+K1281-L1281)</f>
        <v/>
      </c>
    </row>
    <row r="1282">
      <c r="A1282" s="151" t="n">
        <v>46127</v>
      </c>
      <c r="B1282" s="70" t="n">
        <v>1638</v>
      </c>
      <c r="C1282" s="115" t="inlineStr">
        <is>
          <t>SELİM İNŞAAT</t>
        </is>
      </c>
      <c r="D1282" s="115" t="inlineStr">
        <is>
          <t>34 VF 2620</t>
        </is>
      </c>
      <c r="E1282" s="115" t="inlineStr">
        <is>
          <t>RECEP SELİM</t>
        </is>
      </c>
      <c r="F1282" s="65" t="n">
        <v>204518</v>
      </c>
      <c r="G1282" s="152" t="n">
        <v>63</v>
      </c>
      <c r="H1282" s="60" t="n"/>
      <c r="I1282" s="156">
        <f>+I1281+(G1282-H1282)</f>
        <v/>
      </c>
      <c r="L1282" s="158">
        <f>+H1282*J1282</f>
        <v/>
      </c>
      <c r="M1282" s="159">
        <f>SUM(M1281+K1282-L1282)</f>
        <v/>
      </c>
    </row>
    <row r="1283">
      <c r="A1283" s="151" t="n">
        <v>46127</v>
      </c>
      <c r="B1283" s="70" t="n">
        <v>2400</v>
      </c>
      <c r="C1283" s="115" t="inlineStr">
        <is>
          <t>SELİM İNŞAAT</t>
        </is>
      </c>
      <c r="D1283" s="115" t="inlineStr">
        <is>
          <t>34 FEM 934</t>
        </is>
      </c>
      <c r="E1283" s="115" t="inlineStr">
        <is>
          <t>YAKUP URUCU</t>
        </is>
      </c>
      <c r="F1283" s="65" t="n">
        <v>336898</v>
      </c>
      <c r="G1283" s="152" t="n">
        <v>64</v>
      </c>
      <c r="H1283" s="60" t="n"/>
      <c r="I1283" s="156">
        <f>+I1282+(G1283-H1283)</f>
        <v/>
      </c>
      <c r="L1283" s="158">
        <f>+H1283*J1283</f>
        <v/>
      </c>
      <c r="M1283" s="159">
        <f>SUM(M1282+K1283-L1283)</f>
        <v/>
      </c>
    </row>
    <row r="1284">
      <c r="A1284" s="151" t="n">
        <v>46127</v>
      </c>
      <c r="B1284" s="70" t="n">
        <v>310</v>
      </c>
      <c r="C1284" s="115" t="inlineStr">
        <is>
          <t>SELİM İNŞAAT</t>
        </is>
      </c>
      <c r="D1284" s="115" t="inlineStr">
        <is>
          <t>34GER 445</t>
        </is>
      </c>
      <c r="E1284" s="115" t="inlineStr">
        <is>
          <t>MUSTAFA ERYİĞİT</t>
        </is>
      </c>
      <c r="F1284" s="65" t="n">
        <v>59352</v>
      </c>
      <c r="G1284" s="152" t="n">
        <v>284</v>
      </c>
      <c r="H1284" s="60" t="n"/>
      <c r="I1284" s="156">
        <f>+I1283+(G1284-H1284)</f>
        <v/>
      </c>
      <c r="L1284" s="158">
        <f>+H1284*J1284</f>
        <v/>
      </c>
      <c r="M1284" s="159">
        <f>SUM(M1283+K1284-L1284)</f>
        <v/>
      </c>
    </row>
    <row r="1285">
      <c r="A1285" s="151" t="n">
        <v>46127</v>
      </c>
      <c r="B1285" s="70" t="n">
        <v>3622</v>
      </c>
      <c r="C1285" s="115" t="inlineStr">
        <is>
          <t>SELİM İNŞAAT</t>
        </is>
      </c>
      <c r="D1285" s="115" t="inlineStr">
        <is>
          <t>34 EDB 922</t>
        </is>
      </c>
      <c r="E1285" s="115" t="inlineStr">
        <is>
          <t>SELÇUK BASTIK</t>
        </is>
      </c>
      <c r="F1285" s="65" t="n">
        <v>407301</v>
      </c>
      <c r="G1285" s="152" t="n">
        <v>568</v>
      </c>
      <c r="H1285" s="60" t="n"/>
      <c r="I1285" s="156">
        <f>+I1284+(G1285-H1285)</f>
        <v/>
      </c>
      <c r="L1285" s="158">
        <f>+H1285*J1285</f>
        <v/>
      </c>
      <c r="M1285" s="159">
        <f>SUM(M1284+K1285-L1285)</f>
        <v/>
      </c>
    </row>
    <row r="1286">
      <c r="A1286" s="151" t="n">
        <v>46127</v>
      </c>
      <c r="B1286" s="70" t="n">
        <v>3233</v>
      </c>
      <c r="C1286" s="115" t="inlineStr">
        <is>
          <t>SELİM İNŞAAT</t>
        </is>
      </c>
      <c r="D1286" s="115" t="inlineStr">
        <is>
          <t>34 EGR 736</t>
        </is>
      </c>
      <c r="E1286" s="115" t="inlineStr">
        <is>
          <t>HAKAN ÇAVUŞOĞLU</t>
        </is>
      </c>
      <c r="F1286" s="65" t="n">
        <v>444685</v>
      </c>
      <c r="G1286" s="152" t="n">
        <v>408</v>
      </c>
      <c r="H1286" s="60" t="n"/>
      <c r="I1286" s="156">
        <f>+I1285+(G1286-H1286)</f>
        <v/>
      </c>
      <c r="L1286" s="158">
        <f>+H1286*J1286</f>
        <v/>
      </c>
      <c r="M1286" s="159">
        <f>SUM(M1285+K1286-L1286)</f>
        <v/>
      </c>
    </row>
    <row r="1287">
      <c r="A1287" s="151" t="n">
        <v>46127</v>
      </c>
      <c r="B1287" s="70" t="n">
        <v>157</v>
      </c>
      <c r="C1287" s="115" t="inlineStr">
        <is>
          <t>SELİM İNŞAAT</t>
        </is>
      </c>
      <c r="D1287" s="115" t="inlineStr">
        <is>
          <t>34 FBR 771</t>
        </is>
      </c>
      <c r="E1287" s="115" t="inlineStr">
        <is>
          <t>SALİH YALÇIN</t>
        </is>
      </c>
      <c r="F1287" s="65" t="n">
        <v>354086</v>
      </c>
      <c r="G1287" s="152" t="n">
        <v>364</v>
      </c>
      <c r="H1287" s="60" t="n"/>
      <c r="I1287" s="156">
        <f>+I1286+(G1287-H1287)</f>
        <v/>
      </c>
      <c r="L1287" s="158">
        <f>+H1287*J1287</f>
        <v/>
      </c>
      <c r="M1287" s="159">
        <f>SUM(M1286+K1287-L1287)</f>
        <v/>
      </c>
    </row>
    <row r="1288">
      <c r="A1288" s="151" t="n">
        <v>46127</v>
      </c>
      <c r="B1288" s="70" t="n">
        <v>1752</v>
      </c>
      <c r="C1288" s="115" t="inlineStr">
        <is>
          <t>SELİM İNŞAAT</t>
        </is>
      </c>
      <c r="D1288" s="115" t="inlineStr">
        <is>
          <t>34 EDC 086</t>
        </is>
      </c>
      <c r="E1288" s="115" t="inlineStr">
        <is>
          <t>SEZGİN KOCAGİL</t>
        </is>
      </c>
      <c r="F1288" s="65" t="n">
        <v>380653</v>
      </c>
      <c r="G1288" s="152" t="n">
        <v>517</v>
      </c>
      <c r="H1288" s="60" t="n"/>
      <c r="I1288" s="156">
        <f>+I1287+(G1288-H1288)</f>
        <v/>
      </c>
      <c r="L1288" s="158">
        <f>+H1288*J1288</f>
        <v/>
      </c>
      <c r="M1288" s="159">
        <f>SUM(M1287+K1288-L1288)</f>
        <v/>
      </c>
    </row>
    <row r="1289">
      <c r="A1289" s="151" t="n">
        <v>46127</v>
      </c>
      <c r="B1289" s="70" t="n">
        <v>3497</v>
      </c>
      <c r="C1289" s="115" t="inlineStr">
        <is>
          <t>SELİM İNŞAAT</t>
        </is>
      </c>
      <c r="D1289" s="115" t="inlineStr">
        <is>
          <t>34 EDB 754</t>
        </is>
      </c>
      <c r="E1289" s="115" t="inlineStr">
        <is>
          <t>SELÇUK BASTIK</t>
        </is>
      </c>
      <c r="F1289" s="65" t="n">
        <v>377121</v>
      </c>
      <c r="G1289" s="152" t="n">
        <v>470</v>
      </c>
      <c r="H1289" s="60" t="n"/>
      <c r="I1289" s="156">
        <f>+I1288+(G1289-H1289)</f>
        <v/>
      </c>
      <c r="L1289" s="158">
        <f>+H1289*J1289</f>
        <v/>
      </c>
      <c r="M1289" s="159">
        <f>SUM(M1288+K1289-L1289)</f>
        <v/>
      </c>
    </row>
    <row r="1290">
      <c r="A1290" s="151" t="n">
        <v>46127</v>
      </c>
      <c r="B1290" s="70" t="n">
        <v>4984</v>
      </c>
      <c r="C1290" s="115" t="inlineStr">
        <is>
          <t>SELİM İNŞAAT</t>
        </is>
      </c>
      <c r="D1290" s="115" t="inlineStr">
        <is>
          <t>34 GVZ 745</t>
        </is>
      </c>
      <c r="E1290" s="115" t="inlineStr">
        <is>
          <t>MURAT DEMİRBAŞ</t>
        </is>
      </c>
      <c r="F1290" s="65" t="n">
        <v>253867</v>
      </c>
      <c r="G1290" s="152" t="n">
        <v>427</v>
      </c>
      <c r="H1290" s="60" t="n"/>
      <c r="I1290" s="156">
        <f>+I1289+(G1290-H1290)</f>
        <v/>
      </c>
      <c r="L1290" s="158">
        <f>+H1290*J1290</f>
        <v/>
      </c>
      <c r="M1290" s="159">
        <f>SUM(M1289+K1290-L1290)</f>
        <v/>
      </c>
    </row>
    <row r="1291">
      <c r="A1291" s="151" t="n">
        <v>46127</v>
      </c>
      <c r="B1291" s="70" t="n">
        <v>4937</v>
      </c>
      <c r="C1291" s="115" t="inlineStr">
        <is>
          <t>SELİM İNŞAAT</t>
        </is>
      </c>
      <c r="D1291" s="115" t="inlineStr">
        <is>
          <t>34 FBR 742</t>
        </is>
      </c>
      <c r="E1291" s="115" t="inlineStr">
        <is>
          <t>ADNAN KOÇ</t>
        </is>
      </c>
      <c r="F1291" s="65" t="n">
        <v>371841</v>
      </c>
      <c r="G1291" s="152" t="n">
        <v>327</v>
      </c>
      <c r="H1291" s="60" t="n"/>
      <c r="I1291" s="156">
        <f>+I1290+(G1291-H1291)</f>
        <v/>
      </c>
      <c r="L1291" s="158">
        <f>+H1291*J1291</f>
        <v/>
      </c>
      <c r="M1291" s="159">
        <f>SUM(M1290+K1291-L1291)</f>
        <v/>
      </c>
    </row>
    <row r="1292">
      <c r="A1292" s="151" t="n">
        <v>46127</v>
      </c>
      <c r="B1292" s="70" t="n">
        <v>22</v>
      </c>
      <c r="C1292" s="115" t="inlineStr">
        <is>
          <t>SELİM İNŞAAT</t>
        </is>
      </c>
      <c r="D1292" s="115" t="inlineStr">
        <is>
          <t>34 GVZ 268</t>
        </is>
      </c>
      <c r="E1292" s="115" t="inlineStr">
        <is>
          <t>KERİM KARAMAN</t>
        </is>
      </c>
      <c r="F1292" s="65" t="n">
        <v>256861</v>
      </c>
      <c r="G1292" s="152" t="n">
        <v>480</v>
      </c>
      <c r="H1292" s="60" t="n"/>
      <c r="I1292" s="156">
        <f>+I1291+(G1292-H1292)</f>
        <v/>
      </c>
      <c r="L1292" s="158">
        <f>+H1292*J1292</f>
        <v/>
      </c>
      <c r="M1292" s="159">
        <f>SUM(M1291+K1292-L1292)</f>
        <v/>
      </c>
    </row>
    <row r="1293">
      <c r="A1293" s="151" t="n">
        <v>46127</v>
      </c>
      <c r="B1293" s="70" t="n">
        <v>3840</v>
      </c>
      <c r="C1293" s="115" t="inlineStr">
        <is>
          <t>SELİM İNŞAAT</t>
        </is>
      </c>
      <c r="D1293" s="115" t="inlineStr">
        <is>
          <t>34 GYZ 635</t>
        </is>
      </c>
      <c r="E1293" s="115" t="inlineStr">
        <is>
          <t>ADEM DENİZ</t>
        </is>
      </c>
      <c r="F1293" s="65" t="n">
        <v>233284</v>
      </c>
      <c r="G1293" s="152" t="n">
        <v>482</v>
      </c>
      <c r="H1293" s="60" t="n"/>
      <c r="I1293" s="156">
        <f>+I1292+(G1293-H1293)</f>
        <v/>
      </c>
      <c r="L1293" s="158">
        <f>+H1293*J1293</f>
        <v/>
      </c>
      <c r="M1293" s="159">
        <f>SUM(M1292+K1293-L1293)</f>
        <v/>
      </c>
    </row>
    <row r="1294">
      <c r="A1294" s="151" t="n">
        <v>46127</v>
      </c>
      <c r="B1294" s="70" t="n">
        <v>3341</v>
      </c>
      <c r="C1294" s="115" t="inlineStr">
        <is>
          <t>SELİM İNŞAAT</t>
        </is>
      </c>
      <c r="D1294" s="115" t="inlineStr">
        <is>
          <t>34 GUS 938</t>
        </is>
      </c>
      <c r="E1294" s="115" t="inlineStr">
        <is>
          <t>MEHMET KAYA</t>
        </is>
      </c>
      <c r="F1294" s="65" t="n">
        <v>253103</v>
      </c>
      <c r="G1294" s="152" t="n">
        <v>543</v>
      </c>
      <c r="H1294" s="60" t="n"/>
      <c r="I1294" s="156">
        <f>+I1293+(G1294-H1294)</f>
        <v/>
      </c>
      <c r="L1294" s="158">
        <f>+H1294*J1294</f>
        <v/>
      </c>
      <c r="M1294" s="159">
        <f>SUM(M1293+K1294-L1294)</f>
        <v/>
      </c>
    </row>
    <row r="1295">
      <c r="A1295" s="151" t="n">
        <v>46127</v>
      </c>
      <c r="B1295" s="70" t="n">
        <v>104</v>
      </c>
      <c r="C1295" s="115" t="inlineStr">
        <is>
          <t>SELİM İNŞAAT</t>
        </is>
      </c>
      <c r="D1295" s="115" t="inlineStr">
        <is>
          <t>34 GUS 848</t>
        </is>
      </c>
      <c r="E1295" s="115" t="inlineStr">
        <is>
          <t>SERDAR BOZKURT</t>
        </is>
      </c>
      <c r="F1295" s="65" t="n">
        <v>238798</v>
      </c>
      <c r="G1295" s="152" t="n">
        <v>515</v>
      </c>
      <c r="H1295" s="60" t="n"/>
      <c r="I1295" s="156">
        <f>+I1294+(G1295-H1295)</f>
        <v/>
      </c>
      <c r="L1295" s="158">
        <f>+H1295*J1295</f>
        <v/>
      </c>
      <c r="M1295" s="159">
        <f>SUM(M1294+K1295-L1295)</f>
        <v/>
      </c>
    </row>
    <row r="1296">
      <c r="A1296" s="151" t="n">
        <v>46127</v>
      </c>
      <c r="B1296" s="70" t="n">
        <v>3868</v>
      </c>
      <c r="C1296" s="115" t="inlineStr">
        <is>
          <t>SELİM İNŞAAT</t>
        </is>
      </c>
      <c r="D1296" s="115" t="inlineStr">
        <is>
          <t>34 DRU 690</t>
        </is>
      </c>
      <c r="E1296" s="115" t="inlineStr">
        <is>
          <t>MEHMET KAYA</t>
        </is>
      </c>
      <c r="F1296" s="65" t="n">
        <v>461484</v>
      </c>
      <c r="G1296" s="152" t="n">
        <v>548</v>
      </c>
      <c r="H1296" s="60" t="n"/>
      <c r="I1296" s="156">
        <f>+I1295+(G1296-H1296)</f>
        <v/>
      </c>
      <c r="L1296" s="158">
        <f>+H1296*J1296</f>
        <v/>
      </c>
      <c r="M1296" s="159">
        <f>SUM(M1295+K1296-L1296)</f>
        <v/>
      </c>
    </row>
    <row r="1297">
      <c r="A1297" s="151" t="n">
        <v>46127</v>
      </c>
      <c r="B1297" s="70" t="n">
        <v>768</v>
      </c>
      <c r="C1297" s="115" t="inlineStr">
        <is>
          <t>METİN ERYİĞİT</t>
        </is>
      </c>
      <c r="D1297" s="115" t="inlineStr">
        <is>
          <t>34 EGR 814</t>
        </is>
      </c>
      <c r="E1297" s="115" t="inlineStr">
        <is>
          <t>ZİYA İNCE</t>
        </is>
      </c>
      <c r="F1297" s="115" t="n">
        <v>620303</v>
      </c>
      <c r="G1297" s="152" t="n">
        <v>495</v>
      </c>
      <c r="H1297" s="60" t="n"/>
      <c r="I1297" s="156">
        <f>+I1296+(G1297-H1297)</f>
        <v/>
      </c>
      <c r="L1297" s="158">
        <f>+H1297*J1297</f>
        <v/>
      </c>
      <c r="M1297" s="159">
        <f>SUM(M1296+K1297-L1297)</f>
        <v/>
      </c>
    </row>
    <row r="1298">
      <c r="A1298" s="151" t="n">
        <v>46127</v>
      </c>
      <c r="B1298" s="70" t="n">
        <v>644</v>
      </c>
      <c r="C1298" s="152" t="inlineStr">
        <is>
          <t>AHMET SELİM TEMHA</t>
        </is>
      </c>
      <c r="D1298" s="115" t="inlineStr">
        <is>
          <t>MANİTO</t>
        </is>
      </c>
      <c r="E1298" s="115" t="inlineStr">
        <is>
          <t>TURGAY ÇIPLAK</t>
        </is>
      </c>
      <c r="F1298" s="115" t="n"/>
      <c r="G1298" s="152" t="n">
        <v>129</v>
      </c>
      <c r="H1298" s="60" t="n"/>
      <c r="I1298" s="156">
        <f>+I1297+(G1298-H1298)</f>
        <v/>
      </c>
      <c r="L1298" s="158">
        <f>+H1298*J1298</f>
        <v/>
      </c>
      <c r="M1298" s="159">
        <f>SUM(M1297+K1298-L1298)</f>
        <v/>
      </c>
    </row>
    <row r="1299">
      <c r="A1299" s="151" t="n">
        <v>46127</v>
      </c>
      <c r="B1299" s="70" t="n">
        <v>1597</v>
      </c>
      <c r="C1299" s="152" t="inlineStr">
        <is>
          <t>MEGA VARLIK</t>
        </is>
      </c>
      <c r="D1299" s="115" t="inlineStr">
        <is>
          <t>FORKLİFT</t>
        </is>
      </c>
      <c r="E1299" s="115" t="inlineStr">
        <is>
          <t>FAHRİ</t>
        </is>
      </c>
      <c r="F1299" s="115" t="n"/>
      <c r="G1299" s="152" t="n">
        <v>48</v>
      </c>
      <c r="H1299" s="60" t="n"/>
      <c r="I1299" s="156">
        <f>+I1298+(G1299-H1299)</f>
        <v/>
      </c>
      <c r="L1299" s="158">
        <f>+H1299*J1299</f>
        <v/>
      </c>
      <c r="M1299" s="159">
        <f>SUM(M1298+K1299-L1299)</f>
        <v/>
      </c>
    </row>
    <row r="1300">
      <c r="A1300" s="151" t="n">
        <v>46127</v>
      </c>
      <c r="B1300" s="70" t="n">
        <v>1598</v>
      </c>
      <c r="C1300" s="152" t="inlineStr">
        <is>
          <t xml:space="preserve">CEVİZ MOBİLYA  </t>
        </is>
      </c>
      <c r="D1300" s="115" t="inlineStr">
        <is>
          <t>34 GA 9415</t>
        </is>
      </c>
      <c r="E1300" s="115" t="inlineStr">
        <is>
          <t>CEMAL AKYOL</t>
        </is>
      </c>
      <c r="F1300" s="115" t="n"/>
      <c r="G1300" s="152" t="n">
        <v>122</v>
      </c>
      <c r="H1300" s="60" t="n"/>
      <c r="I1300" s="156">
        <f>+I1299+(G1300-H1300)</f>
        <v/>
      </c>
      <c r="L1300" s="158">
        <f>+H1300*J1300</f>
        <v/>
      </c>
      <c r="M1300" s="159">
        <f>SUM(M1299+K1300-L1300)</f>
        <v/>
      </c>
    </row>
    <row r="1301">
      <c r="A1301" s="151" t="n">
        <v>46127</v>
      </c>
      <c r="B1301" s="70" t="n">
        <v>1599</v>
      </c>
      <c r="C1301" s="152" t="inlineStr">
        <is>
          <t>VARLIK</t>
        </is>
      </c>
      <c r="D1301" s="115" t="inlineStr">
        <is>
          <t>KAWAZAKİ</t>
        </is>
      </c>
      <c r="E1301" s="115" t="inlineStr">
        <is>
          <t>RAMAZAN</t>
        </is>
      </c>
      <c r="F1301" s="115" t="n"/>
      <c r="G1301" s="152" t="n">
        <v>207</v>
      </c>
      <c r="H1301" s="60" t="n"/>
      <c r="I1301" s="156">
        <f>+I1300+(G1301-H1301)</f>
        <v/>
      </c>
      <c r="L1301" s="158">
        <f>+H1301*J1301</f>
        <v/>
      </c>
      <c r="M1301" s="159">
        <f>SUM(M1300+K1301-L1301)</f>
        <v/>
      </c>
    </row>
    <row r="1302">
      <c r="A1302" s="151" t="n">
        <v>46127</v>
      </c>
      <c r="B1302" s="70" t="n">
        <v>1600</v>
      </c>
      <c r="C1302" s="152" t="inlineStr">
        <is>
          <t>VARLIK</t>
        </is>
      </c>
      <c r="D1302" s="115" t="inlineStr">
        <is>
          <t>HİTACHİ</t>
        </is>
      </c>
      <c r="E1302" s="115" t="inlineStr">
        <is>
          <t>TURGUT SANCAK</t>
        </is>
      </c>
      <c r="F1302" s="115" t="n"/>
      <c r="G1302" s="152" t="n">
        <v>291</v>
      </c>
      <c r="H1302" s="60" t="n"/>
      <c r="I1302" s="156">
        <f>+I1301+(G1302-H1302)</f>
        <v/>
      </c>
      <c r="L1302" s="158">
        <f>+H1302*J1302</f>
        <v/>
      </c>
      <c r="M1302" s="159">
        <f>SUM(M1301+K1302-L1302)</f>
        <v/>
      </c>
    </row>
    <row r="1303">
      <c r="A1303" s="151" t="n">
        <v>46127</v>
      </c>
      <c r="B1303" s="70" t="n">
        <v>1601</v>
      </c>
      <c r="C1303" s="152" t="inlineStr">
        <is>
          <t>KOZMO</t>
        </is>
      </c>
      <c r="D1303" s="115" t="inlineStr">
        <is>
          <t>SM350</t>
        </is>
      </c>
      <c r="E1303" s="115" t="inlineStr">
        <is>
          <t>YAKUP</t>
        </is>
      </c>
      <c r="F1303" s="115" t="n"/>
      <c r="G1303" s="152" t="n">
        <v>402</v>
      </c>
      <c r="H1303" s="60" t="n"/>
      <c r="I1303" s="156">
        <f>+I1302+(G1303-H1303)</f>
        <v/>
      </c>
      <c r="L1303" s="158">
        <f>+H1303*J1303</f>
        <v/>
      </c>
      <c r="M1303" s="159">
        <f>SUM(M1302+K1303-L1303)</f>
        <v/>
      </c>
    </row>
    <row r="1304">
      <c r="A1304" s="151" t="n">
        <v>46127</v>
      </c>
      <c r="B1304" s="70" t="n">
        <v>1602</v>
      </c>
      <c r="C1304" s="152" t="inlineStr">
        <is>
          <t>KOZMO</t>
        </is>
      </c>
      <c r="D1304" s="115" t="inlineStr">
        <is>
          <t>SM300</t>
        </is>
      </c>
      <c r="E1304" s="115" t="inlineStr">
        <is>
          <t>ONUR</t>
        </is>
      </c>
      <c r="F1304" s="115" t="n"/>
      <c r="G1304" s="152" t="n">
        <v>380</v>
      </c>
      <c r="H1304" s="60" t="n"/>
      <c r="I1304" s="156">
        <f>+I1303+(G1304-H1304)</f>
        <v/>
      </c>
      <c r="L1304" s="158">
        <f>+H1304*J1304</f>
        <v/>
      </c>
      <c r="M1304" s="159">
        <f>SUM(M1303+K1304-L1304)</f>
        <v/>
      </c>
    </row>
    <row r="1305">
      <c r="A1305" s="151" t="n">
        <v>46127</v>
      </c>
      <c r="B1305" s="70" t="n">
        <v>1603</v>
      </c>
      <c r="C1305" s="152" t="inlineStr">
        <is>
          <t>KOZMO</t>
        </is>
      </c>
      <c r="D1305" s="115" t="inlineStr">
        <is>
          <t>SM370</t>
        </is>
      </c>
      <c r="E1305" s="115" t="inlineStr">
        <is>
          <t>ADEM DENİZ</t>
        </is>
      </c>
      <c r="F1305" s="115" t="n"/>
      <c r="G1305" s="152" t="n">
        <v>430</v>
      </c>
      <c r="H1305" s="60" t="n"/>
      <c r="I1305" s="156">
        <f>+I1304+(G1305-H1305)</f>
        <v/>
      </c>
      <c r="L1305" s="158">
        <f>+H1305*J1305</f>
        <v/>
      </c>
      <c r="M1305" s="159">
        <f>SUM(M1304+K1305-L1305)</f>
        <v/>
      </c>
    </row>
    <row r="1306">
      <c r="A1306" s="151" t="n">
        <v>46127</v>
      </c>
      <c r="B1306" s="70" t="n">
        <v>1604</v>
      </c>
      <c r="C1306" s="152" t="inlineStr">
        <is>
          <t>MEGA VARLIK</t>
        </is>
      </c>
      <c r="D1306" s="115" t="inlineStr">
        <is>
          <t>SM350</t>
        </is>
      </c>
      <c r="E1306" s="115" t="inlineStr">
        <is>
          <t>TEVFİK</t>
        </is>
      </c>
      <c r="F1306" s="115" t="n"/>
      <c r="G1306" s="152" t="n">
        <v>329</v>
      </c>
      <c r="H1306" s="60" t="n"/>
      <c r="I1306" s="156">
        <f>+I1305+(G1306-H1306)</f>
        <v/>
      </c>
      <c r="L1306" s="158">
        <f>+H1306*J1306</f>
        <v/>
      </c>
      <c r="M1306" s="159">
        <f>SUM(M1305+K1306-L1306)</f>
        <v/>
      </c>
    </row>
    <row r="1307">
      <c r="A1307" s="151" t="n"/>
      <c r="B1307" s="42" t="n"/>
      <c r="C1307" s="151" t="n"/>
      <c r="D1307" s="42" t="n"/>
      <c r="E1307" s="43" t="n"/>
      <c r="F1307" s="44" t="n"/>
      <c r="G1307" s="160" t="n"/>
      <c r="H1307" s="60" t="n"/>
      <c r="I1307" s="156">
        <f>+I1306+(G1307-H1307)</f>
        <v/>
      </c>
      <c r="L1307" s="158">
        <f>+H1307*J1307</f>
        <v/>
      </c>
      <c r="M1307" s="159">
        <f>SUM(M1306+K1307-L1307)</f>
        <v/>
      </c>
    </row>
    <row r="1308">
      <c r="A1308" s="151" t="n"/>
      <c r="B1308" s="70" t="n"/>
      <c r="C1308" s="152" t="n"/>
      <c r="D1308" s="115" t="n"/>
      <c r="E1308" s="115" t="n"/>
      <c r="F1308" s="115" t="n"/>
      <c r="G1308" s="152" t="n"/>
      <c r="H1308" s="60" t="n"/>
      <c r="I1308" s="60" t="n"/>
    </row>
    <row r="1309">
      <c r="A1309" s="151" t="n"/>
      <c r="B1309" s="70" t="n"/>
      <c r="C1309" s="152" t="n"/>
      <c r="D1309" s="60" t="n"/>
      <c r="E1309" s="60" t="n"/>
      <c r="F1309" s="115" t="n"/>
      <c r="G1309" s="152" t="n"/>
      <c r="H1309" s="60" t="n"/>
      <c r="I1309" s="60" t="n"/>
    </row>
    <row r="1310">
      <c r="A1310" s="151" t="n"/>
      <c r="B1310" s="70" t="n"/>
      <c r="C1310" s="152" t="n"/>
      <c r="D1310" s="60" t="n"/>
      <c r="E1310" s="60" t="n"/>
      <c r="F1310" s="115" t="n"/>
      <c r="G1310" s="152" t="n"/>
      <c r="H1310" s="60" t="n"/>
      <c r="I1310" s="60" t="n"/>
    </row>
  </sheetData>
  <autoFilter ref="A1:G1170">
    <sortState ref="A2:G1306">
      <sortCondition ref="A1:A1170"/>
    </sortState>
  </autoFilter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68"/>
  <sheetViews>
    <sheetView tabSelected="1" topLeftCell="A3911" zoomScale="80" zoomScaleNormal="80" workbookViewId="0">
      <selection activeCell="H3934" sqref="H3934"/>
    </sheetView>
  </sheetViews>
  <sheetFormatPr baseColWidth="8" defaultRowHeight="18"/>
  <cols>
    <col width="14.33203125" bestFit="1" customWidth="1" style="112" min="1" max="1"/>
    <col width="15" bestFit="1" customWidth="1" style="112" min="2" max="2"/>
    <col width="51.5546875" bestFit="1" customWidth="1" style="112" min="3" max="3"/>
    <col width="20.6640625" bestFit="1" customWidth="1" style="112" min="4" max="4"/>
    <col width="28.109375" bestFit="1" customWidth="1" style="112" min="5" max="5"/>
    <col width="16" bestFit="1" customWidth="1" style="112" min="6" max="6"/>
    <col width="16.88671875" bestFit="1" customWidth="1" style="112" min="7" max="7"/>
    <col width="16.6640625" bestFit="1" customWidth="1" style="112" min="8" max="8"/>
    <col width="18.33203125" bestFit="1" customWidth="1" style="112" min="9" max="9"/>
    <col width="15" bestFit="1" customWidth="1" style="102" min="10" max="10"/>
    <col width="22.6640625" bestFit="1" customWidth="1" style="161" min="11" max="11"/>
    <col width="19.5546875" bestFit="1" customWidth="1" style="112" min="12" max="12"/>
    <col width="21.44140625" bestFit="1" customWidth="1" style="112" min="13" max="13"/>
  </cols>
  <sheetData>
    <row r="1" ht="36" customHeight="1">
      <c r="A1" s="147" t="inlineStr">
        <is>
          <t>TARİH</t>
        </is>
      </c>
      <c r="B1" s="35" t="inlineStr">
        <is>
          <t>FATURA NO</t>
        </is>
      </c>
      <c r="C1" s="35" t="inlineStr">
        <is>
          <t>FİRMA</t>
        </is>
      </c>
      <c r="D1" s="35" t="inlineStr">
        <is>
          <t>ARAÇ PLAKASI</t>
        </is>
      </c>
      <c r="E1" s="35" t="inlineStr">
        <is>
          <t>ADI SOYADI</t>
        </is>
      </c>
      <c r="F1" s="35" t="inlineStr">
        <is>
          <t xml:space="preserve">ARAÇ KM </t>
        </is>
      </c>
      <c r="G1" s="148" t="inlineStr">
        <is>
          <t>ALINAN LİTRE</t>
        </is>
      </c>
      <c r="H1" s="148" t="inlineStr">
        <is>
          <t>ALINAN LİTRE</t>
        </is>
      </c>
      <c r="I1" s="148" t="inlineStr">
        <is>
          <t>LİTRE BAKİYE</t>
        </is>
      </c>
      <c r="J1" s="74" t="inlineStr">
        <is>
          <t>LİTRE TL</t>
        </is>
      </c>
      <c r="K1" s="162" t="inlineStr">
        <is>
          <t>FATURA GELEN MZT TL</t>
        </is>
      </c>
      <c r="L1" s="150" t="inlineStr">
        <is>
          <t>VERİLEN MZT TL</t>
        </is>
      </c>
      <c r="M1" s="150" t="inlineStr">
        <is>
          <t>TL BAKİYE</t>
        </is>
      </c>
    </row>
    <row r="2">
      <c r="A2" s="151" t="n">
        <v>46023</v>
      </c>
      <c r="B2" s="42" t="n"/>
      <c r="C2" s="163" t="n"/>
      <c r="D2" s="42" t="n"/>
      <c r="E2" s="43" t="n"/>
      <c r="F2" s="44" t="n"/>
      <c r="G2" s="160" t="n"/>
      <c r="H2" s="160" t="n"/>
      <c r="I2" s="153">
        <f>+'[1]MAZOT LİSTESİ'!$I$7353</f>
        <v/>
      </c>
      <c r="J2" s="77" t="n"/>
      <c r="K2" s="164" t="n"/>
      <c r="L2" s="155">
        <f>+J2*H2</f>
        <v/>
      </c>
      <c r="M2" s="155" t="n">
        <v>0</v>
      </c>
    </row>
    <row r="3">
      <c r="A3" s="151" t="n">
        <v>46023</v>
      </c>
      <c r="B3" s="70" t="n">
        <v>3287</v>
      </c>
      <c r="C3" s="115" t="inlineStr">
        <is>
          <t>AZGÜN YAPI</t>
        </is>
      </c>
      <c r="D3" s="115" t="inlineStr">
        <is>
          <t xml:space="preserve">34 DTV 263 </t>
        </is>
      </c>
      <c r="E3" s="115" t="inlineStr">
        <is>
          <t>DURSUN ALİ GÜREK</t>
        </is>
      </c>
      <c r="F3" s="65" t="n"/>
      <c r="G3" s="152" t="n"/>
      <c r="H3" s="152" t="n">
        <v>374</v>
      </c>
      <c r="I3" s="156">
        <f>+I2+(G3-H3)</f>
        <v/>
      </c>
      <c r="J3" s="79" t="n">
        <v>45.718</v>
      </c>
      <c r="K3" s="165" t="n"/>
      <c r="L3" s="158">
        <f>+H3*J3</f>
        <v/>
      </c>
      <c r="M3" s="159">
        <f>SUM(M2+K3-L3)</f>
        <v/>
      </c>
    </row>
    <row r="4">
      <c r="A4" s="151" t="n">
        <v>46023</v>
      </c>
      <c r="B4" s="67" t="n">
        <v>4566</v>
      </c>
      <c r="C4" s="52" t="inlineStr">
        <is>
          <t>SELİM İNŞAAT</t>
        </is>
      </c>
      <c r="D4" s="51" t="inlineStr">
        <is>
          <t>34 FVU 827</t>
        </is>
      </c>
      <c r="E4" s="51" t="inlineStr">
        <is>
          <t>YILMAZ ÇELEBİ</t>
        </is>
      </c>
      <c r="F4" s="53" t="n"/>
      <c r="G4" s="156" t="n"/>
      <c r="H4" s="156" t="n">
        <v>27</v>
      </c>
      <c r="I4" s="156">
        <f>+I3+(G4-H4)</f>
        <v/>
      </c>
      <c r="J4" s="79" t="n">
        <v>45.718</v>
      </c>
      <c r="K4" s="165" t="n"/>
      <c r="L4" s="158">
        <f>+H4*J4</f>
        <v/>
      </c>
      <c r="M4" s="159">
        <f>SUM(M3+K4-L4)</f>
        <v/>
      </c>
    </row>
    <row r="5">
      <c r="A5" s="151" t="n">
        <v>46024</v>
      </c>
      <c r="B5" s="67" t="n">
        <v>3822</v>
      </c>
      <c r="C5" s="52" t="inlineStr">
        <is>
          <t>SELİM İNŞAAT</t>
        </is>
      </c>
      <c r="D5" s="51" t="inlineStr">
        <is>
          <t>34 GYZ 635</t>
        </is>
      </c>
      <c r="E5" s="51" t="inlineStr">
        <is>
          <t>ADEM DENİZ</t>
        </is>
      </c>
      <c r="F5" s="53" t="n">
        <v>219038</v>
      </c>
      <c r="G5" s="156" t="n"/>
      <c r="H5" s="156" t="n">
        <v>580</v>
      </c>
      <c r="I5" s="156">
        <f>+I4+(G5-H5)</f>
        <v/>
      </c>
      <c r="J5" s="79" t="n">
        <v>45.718</v>
      </c>
      <c r="K5" s="165" t="n"/>
      <c r="L5" s="158">
        <f>+H5*J5</f>
        <v/>
      </c>
      <c r="M5" s="159">
        <f>SUM(M4+K5-L5)</f>
        <v/>
      </c>
    </row>
    <row r="6">
      <c r="A6" s="151" t="n">
        <v>46024</v>
      </c>
      <c r="B6" s="67" t="n">
        <v>4567</v>
      </c>
      <c r="C6" s="52" t="inlineStr">
        <is>
          <t>AHMET SELİM TEMHA</t>
        </is>
      </c>
      <c r="D6" s="51" t="inlineStr">
        <is>
          <t>FORKLİFT</t>
        </is>
      </c>
      <c r="E6" s="51" t="inlineStr">
        <is>
          <t>ERSOY SIĞINMAZ</t>
        </is>
      </c>
      <c r="F6" s="53" t="n"/>
      <c r="G6" s="156" t="n"/>
      <c r="H6" s="156" t="n">
        <v>60</v>
      </c>
      <c r="I6" s="156">
        <f>+I5+(G6-H6)</f>
        <v/>
      </c>
      <c r="J6" s="79" t="n">
        <v>45.718</v>
      </c>
      <c r="K6" s="165" t="n"/>
      <c r="L6" s="158">
        <f>+H6*J6</f>
        <v/>
      </c>
      <c r="M6" s="159">
        <f>SUM(M5+K6-L6)</f>
        <v/>
      </c>
    </row>
    <row r="7">
      <c r="A7" s="151" t="n">
        <v>46024</v>
      </c>
      <c r="B7" s="67" t="n">
        <v>4568</v>
      </c>
      <c r="C7" s="52" t="inlineStr">
        <is>
          <t>AHMET SELİM TEMHA</t>
        </is>
      </c>
      <c r="D7" s="51" t="inlineStr">
        <is>
          <t>ZOMLION</t>
        </is>
      </c>
      <c r="E7" s="51" t="inlineStr">
        <is>
          <t>TURGAY ÇIPLAK</t>
        </is>
      </c>
      <c r="F7" s="53" t="n"/>
      <c r="G7" s="156" t="n"/>
      <c r="H7" s="156" t="n">
        <v>136</v>
      </c>
      <c r="I7" s="156">
        <f>+I6+(G7-H7)</f>
        <v/>
      </c>
      <c r="J7" s="79" t="n">
        <v>45.718</v>
      </c>
      <c r="K7" s="165" t="n"/>
      <c r="L7" s="158">
        <f>+H7*J7</f>
        <v/>
      </c>
      <c r="M7" s="159">
        <f>SUM(M6+K7-L7)</f>
        <v/>
      </c>
    </row>
    <row r="8">
      <c r="A8" s="151" t="n">
        <v>46024</v>
      </c>
      <c r="B8" s="67" t="n">
        <v>4201</v>
      </c>
      <c r="C8" s="52" t="inlineStr">
        <is>
          <t>EVKUR</t>
        </is>
      </c>
      <c r="D8" s="51" t="inlineStr">
        <is>
          <t>FORKLİFT</t>
        </is>
      </c>
      <c r="E8" s="51" t="inlineStr">
        <is>
          <t>CEMAL</t>
        </is>
      </c>
      <c r="F8" s="53" t="n"/>
      <c r="G8" s="156" t="n"/>
      <c r="H8" s="156" t="n">
        <v>27</v>
      </c>
      <c r="I8" s="156">
        <f>+I7+(G8-H8)</f>
        <v/>
      </c>
      <c r="J8" s="79" t="n">
        <v>45.718</v>
      </c>
      <c r="K8" s="165" t="n"/>
      <c r="L8" s="158">
        <f>+H8*J8</f>
        <v/>
      </c>
      <c r="M8" s="159">
        <f>SUM(M7+K8-L8)</f>
        <v/>
      </c>
    </row>
    <row r="9">
      <c r="A9" s="151" t="n">
        <v>46024</v>
      </c>
      <c r="B9" s="67" t="n">
        <v>4208</v>
      </c>
      <c r="C9" s="52" t="inlineStr">
        <is>
          <t>MEGA VARLIK</t>
        </is>
      </c>
      <c r="D9" s="51" t="inlineStr">
        <is>
          <t xml:space="preserve">34 AZ 2191 </t>
        </is>
      </c>
      <c r="E9" s="51" t="inlineStr">
        <is>
          <t>NUMAN KABİL</t>
        </is>
      </c>
      <c r="F9" s="53" t="n"/>
      <c r="G9" s="156" t="n"/>
      <c r="H9" s="156" t="n">
        <v>252</v>
      </c>
      <c r="I9" s="156">
        <f>+I8+(G9-H9)</f>
        <v/>
      </c>
      <c r="J9" s="79" t="n">
        <v>45.718</v>
      </c>
      <c r="K9" s="165" t="n"/>
      <c r="L9" s="158">
        <f>+H9*J9</f>
        <v/>
      </c>
      <c r="M9" s="159">
        <f>SUM(M8+K9-L9)</f>
        <v/>
      </c>
    </row>
    <row r="10">
      <c r="A10" s="151" t="n">
        <v>46025</v>
      </c>
      <c r="B10" s="67" t="n">
        <v>1844</v>
      </c>
      <c r="C10" s="52" t="inlineStr">
        <is>
          <t>SELİM İNŞAAT</t>
        </is>
      </c>
      <c r="D10" s="51" t="inlineStr">
        <is>
          <t>34 EGR 922</t>
        </is>
      </c>
      <c r="E10" s="51" t="inlineStr">
        <is>
          <t>FARUK ÖZEN</t>
        </is>
      </c>
      <c r="F10" s="53" t="n">
        <v>497425</v>
      </c>
      <c r="G10" s="156" t="n"/>
      <c r="H10" s="156" t="n">
        <v>546</v>
      </c>
      <c r="I10" s="156">
        <f>+I9+(G10-H10)</f>
        <v/>
      </c>
      <c r="J10" s="79" t="n">
        <v>45.718</v>
      </c>
      <c r="K10" s="165" t="n"/>
      <c r="L10" s="158">
        <f>+H10*J10</f>
        <v/>
      </c>
      <c r="M10" s="159">
        <f>SUM(M9+K10-L10)</f>
        <v/>
      </c>
    </row>
    <row r="11">
      <c r="A11" s="151" t="n">
        <v>46025</v>
      </c>
      <c r="B11" s="67" t="n">
        <v>238</v>
      </c>
      <c r="C11" s="52" t="inlineStr">
        <is>
          <t>SELİM İNŞAAT</t>
        </is>
      </c>
      <c r="D11" s="51" t="inlineStr">
        <is>
          <t>34 JGR 15</t>
        </is>
      </c>
      <c r="E11" s="51" t="inlineStr">
        <is>
          <t>ÖNER DÜNDAR</t>
        </is>
      </c>
      <c r="F11" s="53" t="n">
        <v>326863</v>
      </c>
      <c r="G11" s="156" t="n"/>
      <c r="H11" s="156" t="n">
        <v>65</v>
      </c>
      <c r="I11" s="156">
        <f>+I10+(G11-H11)</f>
        <v/>
      </c>
      <c r="J11" s="79" t="n">
        <v>45.718</v>
      </c>
      <c r="K11" s="165" t="n"/>
      <c r="L11" s="158">
        <f>+H11*J11</f>
        <v/>
      </c>
      <c r="M11" s="159">
        <f>SUM(M10+K11-L11)</f>
        <v/>
      </c>
    </row>
    <row r="12">
      <c r="A12" s="151" t="n">
        <v>46025</v>
      </c>
      <c r="B12" s="67" t="n">
        <v>2376</v>
      </c>
      <c r="C12" s="52" t="inlineStr">
        <is>
          <t>SELİM İNŞAAT</t>
        </is>
      </c>
      <c r="D12" s="51" t="inlineStr">
        <is>
          <t>34 FEM 934</t>
        </is>
      </c>
      <c r="E12" s="51" t="inlineStr">
        <is>
          <t>YAKUP URUCU</t>
        </is>
      </c>
      <c r="F12" s="53" t="n">
        <v>328722</v>
      </c>
      <c r="G12" s="156" t="n"/>
      <c r="H12" s="156" t="n">
        <v>49</v>
      </c>
      <c r="I12" s="156">
        <f>+I11+(G12-H12)</f>
        <v/>
      </c>
      <c r="J12" s="79" t="n">
        <v>45.718</v>
      </c>
      <c r="K12" s="166" t="n"/>
      <c r="L12" s="158">
        <f>+H12*J12</f>
        <v/>
      </c>
      <c r="M12" s="159">
        <f>SUM(M11+K12-L12)</f>
        <v/>
      </c>
    </row>
    <row r="13">
      <c r="A13" s="151" t="n">
        <v>46025</v>
      </c>
      <c r="B13" s="67" t="n">
        <v>1376</v>
      </c>
      <c r="C13" s="52" t="inlineStr">
        <is>
          <t xml:space="preserve">AZGÜN YAPI </t>
        </is>
      </c>
      <c r="D13" s="51" t="inlineStr">
        <is>
          <t>34 MKT 859</t>
        </is>
      </c>
      <c r="E13" s="51" t="inlineStr">
        <is>
          <t>ONUR CANLI</t>
        </is>
      </c>
      <c r="F13" s="53" t="n">
        <v>87707</v>
      </c>
      <c r="G13" s="156" t="n"/>
      <c r="H13" s="156" t="n">
        <v>407</v>
      </c>
      <c r="I13" s="156">
        <f>+I12+(G13-H13)</f>
        <v/>
      </c>
      <c r="J13" s="79" t="n">
        <v>45.718</v>
      </c>
      <c r="K13" s="166" t="n"/>
      <c r="L13" s="158">
        <f>+H13*J13</f>
        <v/>
      </c>
      <c r="M13" s="159">
        <f>SUM(M12+K13-L13)</f>
        <v/>
      </c>
    </row>
    <row r="14">
      <c r="A14" s="151" t="n">
        <v>46025</v>
      </c>
      <c r="B14" s="67" t="n">
        <v>2525</v>
      </c>
      <c r="C14" s="52" t="inlineStr">
        <is>
          <t xml:space="preserve">AZGÜN YAPI </t>
        </is>
      </c>
      <c r="D14" s="51" t="inlineStr">
        <is>
          <t>34 MKT 493</t>
        </is>
      </c>
      <c r="E14" s="51" t="inlineStr">
        <is>
          <t>TURGUT ÇATAL</t>
        </is>
      </c>
      <c r="F14" s="53" t="n"/>
      <c r="G14" s="156" t="n"/>
      <c r="H14" s="156" t="n">
        <v>404</v>
      </c>
      <c r="I14" s="156">
        <f>+I13+(G14-H14)</f>
        <v/>
      </c>
      <c r="J14" s="79" t="n">
        <v>45.718</v>
      </c>
      <c r="K14" s="166" t="n"/>
      <c r="L14" s="158">
        <f>+H14*J14</f>
        <v/>
      </c>
      <c r="M14" s="159">
        <f>SUM(M13+K14-L14)</f>
        <v/>
      </c>
    </row>
    <row r="15">
      <c r="A15" s="151" t="n">
        <v>46025</v>
      </c>
      <c r="B15" s="67" t="n">
        <v>3271</v>
      </c>
      <c r="C15" s="52" t="inlineStr">
        <is>
          <t xml:space="preserve">AZGÜN YAPI </t>
        </is>
      </c>
      <c r="D15" s="51" t="inlineStr">
        <is>
          <t xml:space="preserve">34 DTV 263 </t>
        </is>
      </c>
      <c r="E15" s="51" t="inlineStr">
        <is>
          <t>İRFAN DAĞLAR</t>
        </is>
      </c>
      <c r="F15" s="53" t="n"/>
      <c r="G15" s="156" t="n"/>
      <c r="H15" s="156" t="n">
        <v>488</v>
      </c>
      <c r="I15" s="156">
        <f>+I14+(G15-H15)</f>
        <v/>
      </c>
      <c r="J15" s="79" t="n">
        <v>45.718</v>
      </c>
      <c r="K15" s="166" t="n"/>
      <c r="L15" s="158">
        <f>+H15*J15</f>
        <v/>
      </c>
      <c r="M15" s="159">
        <f>SUM(M14+K15-L15)</f>
        <v/>
      </c>
    </row>
    <row r="16">
      <c r="A16" s="151" t="n">
        <v>46025</v>
      </c>
      <c r="B16" s="67" t="n">
        <v>3786</v>
      </c>
      <c r="C16" s="52" t="inlineStr">
        <is>
          <t>METİN ERYİĞİT</t>
        </is>
      </c>
      <c r="D16" s="51" t="inlineStr">
        <is>
          <t>34 GBL 998</t>
        </is>
      </c>
      <c r="E16" s="51" t="inlineStr">
        <is>
          <t>ALİ KESKİN</t>
        </is>
      </c>
      <c r="F16" s="53" t="n">
        <v>328627</v>
      </c>
      <c r="G16" s="156" t="n"/>
      <c r="H16" s="156" t="n">
        <v>490</v>
      </c>
      <c r="I16" s="156">
        <f>+I15+(G16-H16)</f>
        <v/>
      </c>
      <c r="J16" s="79" t="n">
        <v>45.718</v>
      </c>
      <c r="K16" s="166" t="n"/>
      <c r="L16" s="158">
        <f>+H16*J16</f>
        <v/>
      </c>
      <c r="M16" s="159">
        <f>SUM(M15+K16-L16)</f>
        <v/>
      </c>
    </row>
    <row r="17">
      <c r="A17" s="151" t="n">
        <v>46025</v>
      </c>
      <c r="B17" s="67" t="n">
        <v>2735</v>
      </c>
      <c r="C17" s="52" t="inlineStr">
        <is>
          <t>METİN ERYİĞİT</t>
        </is>
      </c>
      <c r="D17" s="51" t="inlineStr">
        <is>
          <t>34 EGR 814</t>
        </is>
      </c>
      <c r="E17" s="51" t="inlineStr">
        <is>
          <t xml:space="preserve">ZİYA İNCE </t>
        </is>
      </c>
      <c r="F17" s="53" t="n">
        <v>592803</v>
      </c>
      <c r="G17" s="156" t="n"/>
      <c r="H17" s="156" t="n">
        <v>492</v>
      </c>
      <c r="I17" s="156">
        <f>+I16+(G17-H17)</f>
        <v/>
      </c>
      <c r="J17" s="79" t="n">
        <v>45.718</v>
      </c>
      <c r="K17" s="166" t="n"/>
      <c r="L17" s="158">
        <f>+H17*J17</f>
        <v/>
      </c>
      <c r="M17" s="159">
        <f>SUM(M16+K17-L17)</f>
        <v/>
      </c>
    </row>
    <row r="18">
      <c r="A18" s="151" t="n">
        <v>46025</v>
      </c>
      <c r="B18" s="67" t="n">
        <v>3693</v>
      </c>
      <c r="C18" s="52" t="inlineStr">
        <is>
          <t>METİN ERYİĞİT</t>
        </is>
      </c>
      <c r="D18" s="51" t="inlineStr">
        <is>
          <t>34 EGS 013</t>
        </is>
      </c>
      <c r="E18" s="51" t="inlineStr">
        <is>
          <t>UĞUR DUMAN</t>
        </is>
      </c>
      <c r="F18" s="53" t="n">
        <v>546667</v>
      </c>
      <c r="G18" s="156" t="n"/>
      <c r="H18" s="156" t="n">
        <v>480</v>
      </c>
      <c r="I18" s="156">
        <f>+I17+(G18-H18)</f>
        <v/>
      </c>
      <c r="J18" s="79" t="n">
        <v>45.718</v>
      </c>
      <c r="K18" s="166" t="n"/>
      <c r="L18" s="158">
        <f>+H18*J18</f>
        <v/>
      </c>
      <c r="M18" s="159">
        <f>SUM(M17+K18-L18)</f>
        <v/>
      </c>
    </row>
    <row r="19">
      <c r="A19" s="151" t="n">
        <v>46025</v>
      </c>
      <c r="B19" s="67" t="n">
        <v>3947</v>
      </c>
      <c r="C19" s="52" t="inlineStr">
        <is>
          <t>SELİM İNŞAAT</t>
        </is>
      </c>
      <c r="D19" s="51" t="inlineStr">
        <is>
          <t>ZOMLION</t>
        </is>
      </c>
      <c r="E19" s="51" t="inlineStr">
        <is>
          <t>SALİH ŞOLAN</t>
        </is>
      </c>
      <c r="F19" s="53" t="n"/>
      <c r="G19" s="156" t="n"/>
      <c r="H19" s="156" t="n">
        <v>207</v>
      </c>
      <c r="I19" s="156">
        <f>+I18+(G19-H19)</f>
        <v/>
      </c>
      <c r="J19" s="79" t="n">
        <v>45.718</v>
      </c>
      <c r="K19" s="166" t="n"/>
      <c r="L19" s="158">
        <f>+H19*J19</f>
        <v/>
      </c>
      <c r="M19" s="159">
        <f>SUM(M18+K19-L19)</f>
        <v/>
      </c>
    </row>
    <row r="20">
      <c r="A20" s="151" t="n">
        <v>46025</v>
      </c>
      <c r="B20" s="67" t="n">
        <v>3948</v>
      </c>
      <c r="C20" s="52" t="inlineStr">
        <is>
          <t>SELİM İNŞAAT</t>
        </is>
      </c>
      <c r="D20" s="51" t="inlineStr">
        <is>
          <t>ZOMLION</t>
        </is>
      </c>
      <c r="E20" s="51" t="inlineStr">
        <is>
          <t>ALİHAN DUMAN</t>
        </is>
      </c>
      <c r="F20" s="53" t="n"/>
      <c r="G20" s="156" t="n"/>
      <c r="H20" s="156" t="n">
        <v>344</v>
      </c>
      <c r="I20" s="156">
        <f>+I19+(G20-H20)</f>
        <v/>
      </c>
      <c r="J20" s="79" t="n">
        <v>45.718</v>
      </c>
      <c r="K20" s="166" t="n"/>
      <c r="L20" s="158">
        <f>+H20*J20</f>
        <v/>
      </c>
      <c r="M20" s="159">
        <f>SUM(M19+K20-L20)</f>
        <v/>
      </c>
    </row>
    <row r="21">
      <c r="A21" s="151" t="n">
        <v>46026</v>
      </c>
      <c r="B21" s="67" t="n">
        <v>4569</v>
      </c>
      <c r="C21" s="52" t="inlineStr">
        <is>
          <t>AHMET SELİM TEMHA</t>
        </is>
      </c>
      <c r="D21" s="51" t="inlineStr">
        <is>
          <t>FORKLİFT</t>
        </is>
      </c>
      <c r="E21" s="51" t="n"/>
      <c r="F21" s="53" t="n"/>
      <c r="G21" s="156" t="n"/>
      <c r="H21" s="156" t="n">
        <v>30</v>
      </c>
      <c r="I21" s="156">
        <f>+I20+(G21-H21)</f>
        <v/>
      </c>
      <c r="J21" s="79" t="n">
        <v>45.718</v>
      </c>
      <c r="K21" s="166" t="n"/>
      <c r="L21" s="158">
        <f>+H21*J21</f>
        <v/>
      </c>
      <c r="M21" s="159">
        <f>SUM(M20+K21-L21)</f>
        <v/>
      </c>
    </row>
    <row r="22">
      <c r="A22" s="151" t="n">
        <v>46026</v>
      </c>
      <c r="B22" s="67" t="n">
        <v>3949</v>
      </c>
      <c r="C22" s="52" t="inlineStr">
        <is>
          <t>MEGA VARLIK</t>
        </is>
      </c>
      <c r="D22" s="51" t="inlineStr">
        <is>
          <t>HITACHI</t>
        </is>
      </c>
      <c r="E22" s="51" t="inlineStr">
        <is>
          <t>TURGUT SANCAK</t>
        </is>
      </c>
      <c r="F22" s="53" t="n"/>
      <c r="G22" s="156" t="n"/>
      <c r="H22" s="156" t="n">
        <v>510</v>
      </c>
      <c r="I22" s="156">
        <f>+I21+(G22-H22)</f>
        <v/>
      </c>
      <c r="J22" s="79" t="n">
        <v>45.718</v>
      </c>
      <c r="K22" s="166" t="n"/>
      <c r="L22" s="158">
        <f>+H22*J22</f>
        <v/>
      </c>
      <c r="M22" s="159">
        <f>SUM(M21+K22-L22)</f>
        <v/>
      </c>
    </row>
    <row r="23">
      <c r="A23" s="151" t="n">
        <v>46027</v>
      </c>
      <c r="B23" s="67" t="n">
        <v>2783</v>
      </c>
      <c r="C23" s="52" t="inlineStr">
        <is>
          <t>SELİM İNŞAAT</t>
        </is>
      </c>
      <c r="D23" s="51" t="inlineStr">
        <is>
          <t>34 EDC 086</t>
        </is>
      </c>
      <c r="E23" s="51" t="inlineStr">
        <is>
          <t>SEZGİN KOCAGİL</t>
        </is>
      </c>
      <c r="F23" s="53" t="n">
        <v>368285</v>
      </c>
      <c r="G23" s="156" t="n"/>
      <c r="H23" s="156" t="n">
        <v>438</v>
      </c>
      <c r="I23" s="156">
        <f>+I22+(G23-H23)</f>
        <v/>
      </c>
      <c r="J23" s="79" t="n">
        <v>45.718</v>
      </c>
      <c r="K23" s="166" t="n"/>
      <c r="L23" s="158">
        <f>+H23*J23</f>
        <v/>
      </c>
      <c r="M23" s="159">
        <f>SUM(M22+K23-L23)</f>
        <v/>
      </c>
    </row>
    <row r="24">
      <c r="A24" s="151" t="n">
        <v>46027</v>
      </c>
      <c r="B24" s="67" t="n">
        <v>4160</v>
      </c>
      <c r="C24" s="52" t="inlineStr">
        <is>
          <t>SELİM İNŞAAT</t>
        </is>
      </c>
      <c r="D24" s="51" t="inlineStr">
        <is>
          <t>34 FBR 748</t>
        </is>
      </c>
      <c r="E24" s="51" t="inlineStr">
        <is>
          <t>YAŞAR ÖZKAYA</t>
        </is>
      </c>
      <c r="F24" s="53" t="n">
        <v>317456</v>
      </c>
      <c r="G24" s="156" t="n"/>
      <c r="H24" s="156" t="n">
        <v>546</v>
      </c>
      <c r="I24" s="156">
        <f>+I23+(G24-H24)</f>
        <v/>
      </c>
      <c r="J24" s="79" t="n">
        <v>45.718</v>
      </c>
      <c r="K24" s="166" t="n"/>
      <c r="L24" s="158">
        <f>+H24*J24</f>
        <v/>
      </c>
      <c r="M24" s="159">
        <f>SUM(M23+K24-L24)</f>
        <v/>
      </c>
    </row>
    <row r="25">
      <c r="A25" s="151" t="n">
        <v>46027</v>
      </c>
      <c r="B25" s="67" t="n">
        <v>3477</v>
      </c>
      <c r="C25" s="52" t="inlineStr">
        <is>
          <t>SELİM İNŞAAT</t>
        </is>
      </c>
      <c r="D25" s="51" t="inlineStr">
        <is>
          <t>34 EDB 754</t>
        </is>
      </c>
      <c r="E25" s="51" t="inlineStr">
        <is>
          <t>MUSTAFA KAYA</t>
        </is>
      </c>
      <c r="F25" s="53" t="n">
        <v>364822</v>
      </c>
      <c r="G25" s="156" t="n"/>
      <c r="H25" s="156" t="n">
        <v>462</v>
      </c>
      <c r="I25" s="156">
        <f>+I24+(G25-H25)</f>
        <v/>
      </c>
      <c r="J25" s="79" t="n">
        <v>45.718</v>
      </c>
      <c r="K25" s="166" t="n"/>
      <c r="L25" s="158">
        <f>+H25*J25</f>
        <v/>
      </c>
      <c r="M25" s="159">
        <f>SUM(M24+K25-L25)</f>
        <v/>
      </c>
    </row>
    <row r="26">
      <c r="A26" s="151" t="n">
        <v>46027</v>
      </c>
      <c r="B26" s="67" t="n">
        <v>895</v>
      </c>
      <c r="C26" s="52" t="inlineStr">
        <is>
          <t>SELİM İNŞAAT</t>
        </is>
      </c>
      <c r="D26" s="51" t="inlineStr">
        <is>
          <t>34 FSG 229</t>
        </is>
      </c>
      <c r="E26" s="51" t="inlineStr">
        <is>
          <t>SİNAN TANRIVERDİ</t>
        </is>
      </c>
      <c r="F26" s="53" t="n">
        <v>292586</v>
      </c>
      <c r="G26" s="156" t="n"/>
      <c r="H26" s="156" t="n">
        <v>547</v>
      </c>
      <c r="I26" s="156">
        <f>+I25+(G26-H26)</f>
        <v/>
      </c>
      <c r="J26" s="79" t="n">
        <v>45.718</v>
      </c>
      <c r="K26" s="166" t="n"/>
      <c r="L26" s="158">
        <f>+H26*J26</f>
        <v/>
      </c>
      <c r="M26" s="159">
        <f>SUM(M25+K26-L26)</f>
        <v/>
      </c>
    </row>
    <row r="27">
      <c r="A27" s="151" t="n">
        <v>46027</v>
      </c>
      <c r="B27" s="67" t="n">
        <v>502</v>
      </c>
      <c r="C27" s="52" t="inlineStr">
        <is>
          <t>SELİM İNŞAAT</t>
        </is>
      </c>
      <c r="D27" s="51" t="inlineStr">
        <is>
          <t>34 EGR 737</t>
        </is>
      </c>
      <c r="E27" s="51" t="inlineStr">
        <is>
          <t>CEM MUHTAR</t>
        </is>
      </c>
      <c r="F27" s="53" t="n">
        <v>453142</v>
      </c>
      <c r="G27" s="156" t="n"/>
      <c r="H27" s="156" t="n">
        <v>417</v>
      </c>
      <c r="I27" s="156">
        <f>+I26+(G27-H27)</f>
        <v/>
      </c>
      <c r="J27" s="79" t="n">
        <v>45.718</v>
      </c>
      <c r="K27" s="166" t="n"/>
      <c r="L27" s="158">
        <f>+H27*J27</f>
        <v/>
      </c>
      <c r="M27" s="159">
        <f>SUM(M26+K27-L27)</f>
        <v/>
      </c>
    </row>
    <row r="28">
      <c r="A28" s="151" t="n">
        <v>46027</v>
      </c>
      <c r="B28" s="67" t="n">
        <v>1900</v>
      </c>
      <c r="C28" s="52" t="inlineStr">
        <is>
          <t>SELİM İNŞAAT</t>
        </is>
      </c>
      <c r="D28" s="51" t="inlineStr">
        <is>
          <t xml:space="preserve">34 GVZ 268 </t>
        </is>
      </c>
      <c r="E28" s="51" t="inlineStr">
        <is>
          <t>KERİM KARAMAN</t>
        </is>
      </c>
      <c r="F28" s="53" t="n">
        <v>243311</v>
      </c>
      <c r="G28" s="156" t="n"/>
      <c r="H28" s="156" t="n">
        <v>464</v>
      </c>
      <c r="I28" s="156">
        <f>+I27+(G28-H28)</f>
        <v/>
      </c>
      <c r="J28" s="79" t="n">
        <v>45.718</v>
      </c>
      <c r="K28" s="166" t="n"/>
      <c r="L28" s="158">
        <f>+H28*J28</f>
        <v/>
      </c>
      <c r="M28" s="159">
        <f>SUM(M27+K28-L28)</f>
        <v/>
      </c>
    </row>
    <row r="29">
      <c r="A29" s="151" t="n">
        <v>46027</v>
      </c>
      <c r="B29" s="67" t="n">
        <v>4862</v>
      </c>
      <c r="C29" s="52" t="inlineStr">
        <is>
          <t>SELİM İNŞAAT</t>
        </is>
      </c>
      <c r="D29" s="51" t="inlineStr">
        <is>
          <t>34 FBR 705</t>
        </is>
      </c>
      <c r="E29" s="51" t="inlineStr">
        <is>
          <t>MURAT SARI</t>
        </is>
      </c>
      <c r="F29" s="53" t="n">
        <v>354240</v>
      </c>
      <c r="G29" s="156" t="n"/>
      <c r="H29" s="156" t="n">
        <v>350</v>
      </c>
      <c r="I29" s="156">
        <f>+I28+(G29-H29)</f>
        <v/>
      </c>
      <c r="J29" s="79" t="n">
        <v>45.718</v>
      </c>
      <c r="K29" s="166" t="n"/>
      <c r="L29" s="158">
        <f>+H29*J29</f>
        <v/>
      </c>
      <c r="M29" s="159">
        <f>SUM(M28+K29-L29)</f>
        <v/>
      </c>
    </row>
    <row r="30">
      <c r="A30" s="151" t="n">
        <v>46027</v>
      </c>
      <c r="B30" s="67" t="n">
        <v>3320</v>
      </c>
      <c r="C30" s="52" t="inlineStr">
        <is>
          <t>SELİM İNŞAAT</t>
        </is>
      </c>
      <c r="D30" s="51" t="inlineStr">
        <is>
          <t>34 GUS 938</t>
        </is>
      </c>
      <c r="E30" s="51" t="inlineStr">
        <is>
          <t>MEHMET KAYA</t>
        </is>
      </c>
      <c r="F30" s="53" t="n">
        <v>239390</v>
      </c>
      <c r="G30" s="156" t="n"/>
      <c r="H30" s="156" t="n">
        <v>332</v>
      </c>
      <c r="I30" s="156">
        <f>+I29+(G30-H30)</f>
        <v/>
      </c>
      <c r="J30" s="79" t="n">
        <v>45.718</v>
      </c>
      <c r="K30" s="166" t="n"/>
      <c r="L30" s="158">
        <f>+H30*J30</f>
        <v/>
      </c>
      <c r="M30" s="159">
        <f>SUM(M29+K30-L30)</f>
        <v/>
      </c>
    </row>
    <row r="31">
      <c r="A31" s="151" t="n">
        <v>46027</v>
      </c>
      <c r="B31" s="67" t="n">
        <v>1684</v>
      </c>
      <c r="C31" s="52" t="inlineStr">
        <is>
          <t>SELİM İNŞAAT</t>
        </is>
      </c>
      <c r="D31" s="51" t="inlineStr">
        <is>
          <t>34 DHH 570</t>
        </is>
      </c>
      <c r="E31" s="51" t="inlineStr">
        <is>
          <t>YASİN ÇATAKLI</t>
        </is>
      </c>
      <c r="F31" s="53" t="n">
        <v>468801</v>
      </c>
      <c r="G31" s="156" t="n"/>
      <c r="H31" s="156" t="n">
        <v>470</v>
      </c>
      <c r="I31" s="156">
        <f>+I30+(G31-H31)</f>
        <v/>
      </c>
      <c r="J31" s="79" t="n">
        <v>45.718</v>
      </c>
      <c r="K31" s="166" t="n"/>
      <c r="L31" s="158">
        <f>+H31*J31</f>
        <v/>
      </c>
      <c r="M31" s="159">
        <f>SUM(M30+K31-L31)</f>
        <v/>
      </c>
    </row>
    <row r="32">
      <c r="A32" s="151" t="n">
        <v>46027</v>
      </c>
      <c r="B32" s="67" t="n">
        <v>4761</v>
      </c>
      <c r="C32" s="52" t="inlineStr">
        <is>
          <t>SELİM İNŞAAT</t>
        </is>
      </c>
      <c r="D32" s="51" t="inlineStr">
        <is>
          <t>34 DGP 137</t>
        </is>
      </c>
      <c r="E32" s="51" t="inlineStr">
        <is>
          <t xml:space="preserve">GÜRAY KOYUNCU </t>
        </is>
      </c>
      <c r="F32" s="53" t="n">
        <v>470209</v>
      </c>
      <c r="G32" s="156" t="n"/>
      <c r="H32" s="156" t="n">
        <v>520</v>
      </c>
      <c r="I32" s="156">
        <f>+I31+(G32-H32)</f>
        <v/>
      </c>
      <c r="J32" s="79" t="n">
        <v>45.718</v>
      </c>
      <c r="K32" s="166" t="n"/>
      <c r="L32" s="158">
        <f>+H32*J32</f>
        <v/>
      </c>
      <c r="M32" s="159">
        <f>SUM(M31+K32-L32)</f>
        <v/>
      </c>
    </row>
    <row r="33">
      <c r="A33" s="151" t="n">
        <v>46027</v>
      </c>
      <c r="B33" s="67" t="n">
        <v>4064</v>
      </c>
      <c r="C33" s="52" t="inlineStr">
        <is>
          <t>SELİM İNŞAAT</t>
        </is>
      </c>
      <c r="D33" s="51" t="inlineStr">
        <is>
          <t>34 DHH 668</t>
        </is>
      </c>
      <c r="E33" s="51" t="inlineStr">
        <is>
          <t>ADNAN KOÇ</t>
        </is>
      </c>
      <c r="F33" s="53" t="n">
        <v>421109</v>
      </c>
      <c r="G33" s="156" t="n"/>
      <c r="H33" s="156" t="n">
        <v>406</v>
      </c>
      <c r="I33" s="156">
        <f>+I32+(G33-H33)</f>
        <v/>
      </c>
      <c r="J33" s="79" t="n">
        <v>45.718</v>
      </c>
      <c r="K33" s="166" t="n"/>
      <c r="L33" s="158">
        <f>+H33*J33</f>
        <v/>
      </c>
      <c r="M33" s="159">
        <f>SUM(M32+K33-L33)</f>
        <v/>
      </c>
    </row>
    <row r="34">
      <c r="A34" s="151" t="n">
        <v>46027</v>
      </c>
      <c r="B34" s="67" t="n">
        <v>1198</v>
      </c>
      <c r="C34" s="52" t="inlineStr">
        <is>
          <t>SELİM İNŞAAT</t>
        </is>
      </c>
      <c r="D34" s="51" t="inlineStr">
        <is>
          <t>34 DSN 536</t>
        </is>
      </c>
      <c r="E34" s="51" t="inlineStr">
        <is>
          <t>SALİH YALÇIN</t>
        </is>
      </c>
      <c r="F34" s="53" t="n">
        <v>440666</v>
      </c>
      <c r="G34" s="156" t="n"/>
      <c r="H34" s="156" t="n">
        <v>497</v>
      </c>
      <c r="I34" s="156">
        <f>+I33+(G34-H34)</f>
        <v/>
      </c>
      <c r="J34" s="79" t="n">
        <v>45.718</v>
      </c>
      <c r="K34" s="166" t="n"/>
      <c r="L34" s="158">
        <f>+H34*J34</f>
        <v/>
      </c>
      <c r="M34" s="159">
        <f>SUM(M33+K34-L34)</f>
        <v/>
      </c>
    </row>
    <row r="35">
      <c r="A35" s="151" t="n">
        <v>46027</v>
      </c>
      <c r="B35" s="67" t="n">
        <v>2287</v>
      </c>
      <c r="C35" s="52" t="inlineStr">
        <is>
          <t>SELİM İNŞAAT</t>
        </is>
      </c>
      <c r="D35" s="51" t="inlineStr">
        <is>
          <t>34 DSN 636</t>
        </is>
      </c>
      <c r="E35" s="51" t="inlineStr">
        <is>
          <t>MAHSUN GÜVEN</t>
        </is>
      </c>
      <c r="F35" s="53" t="n">
        <v>426216</v>
      </c>
      <c r="G35" s="156" t="n"/>
      <c r="H35" s="156" t="n">
        <v>488</v>
      </c>
      <c r="I35" s="156">
        <f>+I34+(G35-H35)</f>
        <v/>
      </c>
      <c r="J35" s="79" t="n">
        <v>45.718</v>
      </c>
      <c r="K35" s="166" t="n"/>
      <c r="L35" s="158">
        <f>+H35*J35</f>
        <v/>
      </c>
      <c r="M35" s="159">
        <f>SUM(M34+K35-L35)</f>
        <v/>
      </c>
    </row>
    <row r="36">
      <c r="A36" s="151" t="n">
        <v>46027</v>
      </c>
      <c r="B36" s="67" t="n">
        <v>2338</v>
      </c>
      <c r="C36" s="52" t="inlineStr">
        <is>
          <t>SELİM İNŞAAT</t>
        </is>
      </c>
      <c r="D36" s="51" t="inlineStr">
        <is>
          <t>34 DP 4161</t>
        </is>
      </c>
      <c r="E36" s="51" t="inlineStr">
        <is>
          <t>RIFAT KARATAY</t>
        </is>
      </c>
      <c r="F36" s="53" t="n">
        <v>318712</v>
      </c>
      <c r="G36" s="156" t="n"/>
      <c r="H36" s="156" t="n">
        <v>294</v>
      </c>
      <c r="I36" s="156">
        <f>+I35+(G36-H36)</f>
        <v/>
      </c>
      <c r="J36" s="79" t="n">
        <v>45.718</v>
      </c>
      <c r="K36" s="166" t="n"/>
      <c r="L36" s="158">
        <f>+H36*J36</f>
        <v/>
      </c>
      <c r="M36" s="159">
        <f>SUM(M35+K36-L36)</f>
        <v/>
      </c>
    </row>
    <row r="37">
      <c r="A37" s="151" t="n">
        <v>46027</v>
      </c>
      <c r="B37" s="67" t="n">
        <v>300</v>
      </c>
      <c r="C37" s="52" t="inlineStr">
        <is>
          <t>SELİM İNŞAAT</t>
        </is>
      </c>
      <c r="D37" s="51" t="inlineStr">
        <is>
          <t>34 GER 445</t>
        </is>
      </c>
      <c r="E37" s="51" t="inlineStr">
        <is>
          <t>İRFAN DAĞLAR</t>
        </is>
      </c>
      <c r="F37" s="53" t="n">
        <v>56716</v>
      </c>
      <c r="G37" s="156" t="n"/>
      <c r="H37" s="156" t="n">
        <v>210</v>
      </c>
      <c r="I37" s="156">
        <f>+I36+(G37-H37)</f>
        <v/>
      </c>
      <c r="J37" s="79" t="n">
        <v>45.718</v>
      </c>
      <c r="K37" s="166" t="n"/>
      <c r="L37" s="158">
        <f>+H37*J37</f>
        <v/>
      </c>
      <c r="M37" s="159">
        <f>SUM(M36+K37-L37)</f>
        <v/>
      </c>
    </row>
    <row r="38">
      <c r="A38" s="151" t="n">
        <v>46027</v>
      </c>
      <c r="B38" s="67" t="n">
        <v>3950</v>
      </c>
      <c r="C38" s="52" t="inlineStr">
        <is>
          <t xml:space="preserve">CEVİZ MOBİLYA  </t>
        </is>
      </c>
      <c r="D38" s="51" t="inlineStr">
        <is>
          <t>RT650 SARI VİNÇ</t>
        </is>
      </c>
      <c r="E38" s="51" t="inlineStr">
        <is>
          <t>ALİHAN DUMAN</t>
        </is>
      </c>
      <c r="F38" s="53" t="n"/>
      <c r="G38" s="156" t="n"/>
      <c r="H38" s="156" t="n">
        <v>292</v>
      </c>
      <c r="I38" s="156">
        <f>+I37+(G38-H38)</f>
        <v/>
      </c>
      <c r="J38" s="79" t="n">
        <v>45.718</v>
      </c>
      <c r="K38" s="166" t="n"/>
      <c r="L38" s="158">
        <f>+H38*J38</f>
        <v/>
      </c>
      <c r="M38" s="159">
        <f>SUM(M37+K38-L38)</f>
        <v/>
      </c>
    </row>
    <row r="39">
      <c r="A39" s="151" t="n">
        <v>46027</v>
      </c>
      <c r="B39" s="67" t="n">
        <v>4202</v>
      </c>
      <c r="C39" s="52" t="inlineStr">
        <is>
          <t>EVKUR</t>
        </is>
      </c>
      <c r="D39" s="51" t="inlineStr">
        <is>
          <t>FORKLİFT</t>
        </is>
      </c>
      <c r="E39" s="51" t="inlineStr">
        <is>
          <t xml:space="preserve">FAHRİ KALFA </t>
        </is>
      </c>
      <c r="F39" s="53" t="n"/>
      <c r="G39" s="156" t="n"/>
      <c r="H39" s="156" t="n">
        <v>50</v>
      </c>
      <c r="I39" s="156">
        <f>+I38+(G39-H39)</f>
        <v/>
      </c>
      <c r="J39" s="79" t="n">
        <v>45.718</v>
      </c>
      <c r="K39" s="166" t="n"/>
      <c r="L39" s="158">
        <f>+H39*J39</f>
        <v/>
      </c>
      <c r="M39" s="159">
        <f>SUM(M38+K39-L39)</f>
        <v/>
      </c>
    </row>
    <row r="40">
      <c r="A40" s="151" t="n">
        <v>46027</v>
      </c>
      <c r="B40" s="67" t="n">
        <v>4203</v>
      </c>
      <c r="C40" s="52" t="inlineStr">
        <is>
          <t>EVKUR</t>
        </is>
      </c>
      <c r="D40" s="51" t="inlineStr">
        <is>
          <t>KİRALIK KATO</t>
        </is>
      </c>
      <c r="E40" s="51" t="inlineStr">
        <is>
          <t>GÜNEŞ</t>
        </is>
      </c>
      <c r="F40" s="53" t="n"/>
      <c r="G40" s="156" t="n"/>
      <c r="H40" s="156" t="n">
        <v>90</v>
      </c>
      <c r="I40" s="156">
        <f>+I39+(G40-H40)</f>
        <v/>
      </c>
      <c r="J40" s="79" t="n">
        <v>45.718</v>
      </c>
      <c r="K40" s="166" t="n"/>
      <c r="L40" s="158">
        <f>+H40*J40</f>
        <v/>
      </c>
      <c r="M40" s="159">
        <f>SUM(M39+K40-L40)</f>
        <v/>
      </c>
    </row>
    <row r="41">
      <c r="A41" s="151" t="n">
        <v>46027</v>
      </c>
      <c r="B41" s="67" t="n">
        <v>4204</v>
      </c>
      <c r="C41" s="52" t="inlineStr">
        <is>
          <t>EVKUR</t>
        </is>
      </c>
      <c r="D41" s="51" t="inlineStr">
        <is>
          <t xml:space="preserve">JCB </t>
        </is>
      </c>
      <c r="E41" s="51" t="inlineStr">
        <is>
          <t>BAYRAM SANCAK</t>
        </is>
      </c>
      <c r="F41" s="53" t="n"/>
      <c r="G41" s="156" t="n"/>
      <c r="H41" s="156" t="n">
        <v>55</v>
      </c>
      <c r="I41" s="156">
        <f>+I40+(G41-H41)</f>
        <v/>
      </c>
      <c r="J41" s="79" t="n">
        <v>45.718</v>
      </c>
      <c r="K41" s="166" t="n"/>
      <c r="L41" s="158">
        <f>+H41*J41</f>
        <v/>
      </c>
      <c r="M41" s="159">
        <f>SUM(M40+K41-L41)</f>
        <v/>
      </c>
    </row>
    <row r="42">
      <c r="A42" s="151" t="n">
        <v>46027</v>
      </c>
      <c r="B42" s="67" t="n">
        <v>4205</v>
      </c>
      <c r="C42" s="52" t="inlineStr">
        <is>
          <t>EVKUR</t>
        </is>
      </c>
      <c r="D42" s="51" t="inlineStr">
        <is>
          <t>HITACHI</t>
        </is>
      </c>
      <c r="E42" s="51" t="inlineStr">
        <is>
          <t>TURGUT SANCAK</t>
        </is>
      </c>
      <c r="F42" s="53" t="n"/>
      <c r="G42" s="156" t="n"/>
      <c r="H42" s="156" t="n">
        <v>415</v>
      </c>
      <c r="I42" s="156">
        <f>+I41+(G42-H42)</f>
        <v/>
      </c>
      <c r="J42" s="79" t="n">
        <v>45.718</v>
      </c>
      <c r="K42" s="166" t="n"/>
      <c r="L42" s="158">
        <f>+H42*J42</f>
        <v/>
      </c>
      <c r="M42" s="159">
        <f>SUM(M41+K42-L42)</f>
        <v/>
      </c>
    </row>
    <row r="43">
      <c r="A43" s="151" t="n">
        <v>46027</v>
      </c>
      <c r="B43" s="67" t="n">
        <v>4206</v>
      </c>
      <c r="C43" s="52" t="inlineStr">
        <is>
          <t>VARLIK</t>
        </is>
      </c>
      <c r="D43" s="51" t="inlineStr">
        <is>
          <t xml:space="preserve">SILINDIR </t>
        </is>
      </c>
      <c r="E43" s="51" t="inlineStr">
        <is>
          <t xml:space="preserve">MEHMET ALİ </t>
        </is>
      </c>
      <c r="F43" s="53" t="n"/>
      <c r="G43" s="156" t="n"/>
      <c r="H43" s="156" t="n">
        <v>252</v>
      </c>
      <c r="I43" s="156">
        <f>+I42+(G43-H43)</f>
        <v/>
      </c>
      <c r="J43" s="79" t="n">
        <v>45.718</v>
      </c>
      <c r="K43" s="166" t="n"/>
      <c r="L43" s="158">
        <f>+H43*J43</f>
        <v/>
      </c>
      <c r="M43" s="159">
        <f>SUM(M42+K43-L43)</f>
        <v/>
      </c>
    </row>
    <row r="44">
      <c r="A44" s="151" t="n">
        <v>46027</v>
      </c>
      <c r="B44" s="67" t="n">
        <v>4207</v>
      </c>
      <c r="C44" s="52" t="n"/>
      <c r="D44" s="51" t="inlineStr">
        <is>
          <t>FORKLİFT</t>
        </is>
      </c>
      <c r="E44" s="51" t="inlineStr">
        <is>
          <t xml:space="preserve">FAHRİ KALFA </t>
        </is>
      </c>
      <c r="F44" s="53" t="n"/>
      <c r="G44" s="156" t="n"/>
      <c r="H44" s="156" t="n">
        <v>63</v>
      </c>
      <c r="I44" s="156">
        <f>+I43+(G44-H44)</f>
        <v/>
      </c>
      <c r="J44" s="79" t="n">
        <v>45.718</v>
      </c>
      <c r="K44" s="166" t="n"/>
      <c r="L44" s="158">
        <f>+H44*J44</f>
        <v/>
      </c>
      <c r="M44" s="159">
        <f>SUM(M43+K44-L44)</f>
        <v/>
      </c>
    </row>
    <row r="45">
      <c r="A45" s="151" t="n">
        <v>46027</v>
      </c>
      <c r="B45" s="67" t="n">
        <v>4209</v>
      </c>
      <c r="C45" s="52" t="inlineStr">
        <is>
          <t>MEGA VARLIK</t>
        </is>
      </c>
      <c r="D45" s="51" t="inlineStr">
        <is>
          <t xml:space="preserve">KAVASAKI </t>
        </is>
      </c>
      <c r="E45" s="51" t="inlineStr">
        <is>
          <t>RAMAZAN</t>
        </is>
      </c>
      <c r="F45" s="53" t="n"/>
      <c r="G45" s="156" t="n"/>
      <c r="H45" s="156" t="n">
        <v>243</v>
      </c>
      <c r="I45" s="156">
        <f>+I44+(G45-H45)</f>
        <v/>
      </c>
      <c r="J45" s="79" t="n">
        <v>45.718</v>
      </c>
      <c r="K45" s="166" t="n"/>
      <c r="L45" s="158">
        <f>+H45*J45</f>
        <v/>
      </c>
      <c r="M45" s="159">
        <f>SUM(M44+K45-L45)</f>
        <v/>
      </c>
    </row>
    <row r="46">
      <c r="A46" s="151" t="n">
        <v>46027</v>
      </c>
      <c r="B46" s="67" t="n">
        <v>4210</v>
      </c>
      <c r="C46" s="52" t="inlineStr">
        <is>
          <t>MEGA VARLIK</t>
        </is>
      </c>
      <c r="D46" s="51" t="inlineStr">
        <is>
          <t xml:space="preserve">SM350 </t>
        </is>
      </c>
      <c r="E46" s="51" t="inlineStr">
        <is>
          <t>TEVFİK ÖZTÜRK</t>
        </is>
      </c>
      <c r="F46" s="53" t="n"/>
      <c r="G46" s="156" t="n"/>
      <c r="H46" s="156" t="n">
        <v>478</v>
      </c>
      <c r="I46" s="156">
        <f>+I45+(G46-H46)</f>
        <v/>
      </c>
      <c r="J46" s="79" t="n">
        <v>45.718</v>
      </c>
      <c r="K46" s="166" t="n"/>
      <c r="L46" s="158">
        <f>+H46*J46</f>
        <v/>
      </c>
      <c r="M46" s="159">
        <f>SUM(M45+K46-L46)</f>
        <v/>
      </c>
    </row>
    <row r="47">
      <c r="A47" s="151" t="n">
        <v>46027</v>
      </c>
      <c r="B47" s="67" t="n">
        <v>4218</v>
      </c>
      <c r="C47" s="52" t="inlineStr">
        <is>
          <t>EVKUR</t>
        </is>
      </c>
      <c r="D47" s="51" t="inlineStr">
        <is>
          <t xml:space="preserve">SM350 </t>
        </is>
      </c>
      <c r="E47" s="51" t="inlineStr">
        <is>
          <t xml:space="preserve">MİKAİL BAYILMAZ </t>
        </is>
      </c>
      <c r="F47" s="53" t="n"/>
      <c r="G47" s="156" t="n"/>
      <c r="H47" s="156" t="n">
        <v>473</v>
      </c>
      <c r="I47" s="156">
        <f>+I46+(G47-H47)</f>
        <v/>
      </c>
      <c r="J47" s="79" t="n">
        <v>45.718</v>
      </c>
      <c r="K47" s="166" t="n"/>
      <c r="L47" s="158">
        <f>+H47*J47</f>
        <v/>
      </c>
      <c r="M47" s="159">
        <f>SUM(M46+K47-L47)</f>
        <v/>
      </c>
    </row>
    <row r="48">
      <c r="A48" s="151" t="n">
        <v>46028</v>
      </c>
      <c r="B48" s="67" t="n">
        <v>4361</v>
      </c>
      <c r="C48" s="52" t="inlineStr">
        <is>
          <t>SELİM İNŞAAT</t>
        </is>
      </c>
      <c r="D48" s="51" t="inlineStr">
        <is>
          <t xml:space="preserve">34 EDB 829 </t>
        </is>
      </c>
      <c r="E48" s="51" t="inlineStr">
        <is>
          <t>ATA KIZMAZ</t>
        </is>
      </c>
      <c r="F48" s="53" t="n">
        <v>353734</v>
      </c>
      <c r="G48" s="156" t="n"/>
      <c r="H48" s="156" t="n">
        <v>500</v>
      </c>
      <c r="I48" s="156">
        <f>+I47+(G48-H48)</f>
        <v/>
      </c>
      <c r="J48" s="79" t="n">
        <v>45.718</v>
      </c>
      <c r="K48" s="166" t="n"/>
      <c r="L48" s="158">
        <f>+H48*J48</f>
        <v/>
      </c>
      <c r="M48" s="159">
        <f>SUM(M47+K48-L48)</f>
        <v/>
      </c>
    </row>
    <row r="49">
      <c r="A49" s="151" t="n">
        <v>46028</v>
      </c>
      <c r="B49" s="67" t="n">
        <v>3215</v>
      </c>
      <c r="C49" s="52" t="inlineStr">
        <is>
          <t>SELİM İNŞAAT</t>
        </is>
      </c>
      <c r="D49" s="51" t="inlineStr">
        <is>
          <t>34 EGR 736</t>
        </is>
      </c>
      <c r="E49" s="51" t="inlineStr">
        <is>
          <t>HAKAN ÇAVUŞOĞLU</t>
        </is>
      </c>
      <c r="F49" s="53" t="n">
        <v>431625</v>
      </c>
      <c r="G49" s="156" t="n"/>
      <c r="H49" s="156" t="n">
        <v>500</v>
      </c>
      <c r="I49" s="156">
        <f>+I48+(G49-H49)</f>
        <v/>
      </c>
      <c r="J49" s="79" t="n">
        <v>45.718</v>
      </c>
      <c r="K49" s="166" t="n"/>
      <c r="L49" s="158">
        <f>+H49*J49</f>
        <v/>
      </c>
      <c r="M49" s="159">
        <f>SUM(M48+K49-L49)</f>
        <v/>
      </c>
    </row>
    <row r="50">
      <c r="A50" s="151" t="n">
        <v>46028</v>
      </c>
      <c r="B50" s="67" t="n">
        <v>1334</v>
      </c>
      <c r="C50" s="52" t="inlineStr">
        <is>
          <t>SELİM İNŞAAT</t>
        </is>
      </c>
      <c r="D50" s="51" t="inlineStr">
        <is>
          <t>34 GVZ 199</t>
        </is>
      </c>
      <c r="E50" s="51" t="inlineStr">
        <is>
          <t>VAHDER GÜRLER</t>
        </is>
      </c>
      <c r="F50" s="53" t="n">
        <v>219673</v>
      </c>
      <c r="G50" s="156" t="n"/>
      <c r="H50" s="156" t="n">
        <v>434</v>
      </c>
      <c r="I50" s="156">
        <f>+I49+(G50-H50)</f>
        <v/>
      </c>
      <c r="J50" s="79" t="n">
        <v>45.718</v>
      </c>
      <c r="K50" s="166" t="n"/>
      <c r="L50" s="158">
        <f>+H50*J50</f>
        <v/>
      </c>
      <c r="M50" s="159">
        <f>SUM(M49+K50-L50)</f>
        <v/>
      </c>
    </row>
    <row r="51">
      <c r="A51" s="151" t="n">
        <v>46028</v>
      </c>
      <c r="B51" s="67" t="n">
        <v>4106</v>
      </c>
      <c r="C51" s="52" t="inlineStr">
        <is>
          <t>SELİM İNŞAAT</t>
        </is>
      </c>
      <c r="D51" s="51" t="inlineStr">
        <is>
          <t>34 EDB 659</t>
        </is>
      </c>
      <c r="E51" s="51" t="inlineStr">
        <is>
          <t>MEHMET SAİT ANIK</t>
        </is>
      </c>
      <c r="F51" s="53" t="n">
        <v>382686</v>
      </c>
      <c r="G51" s="156" t="n"/>
      <c r="H51" s="156" t="n">
        <v>412</v>
      </c>
      <c r="I51" s="156">
        <f>+I50+(G51-H51)</f>
        <v/>
      </c>
      <c r="J51" s="79" t="n">
        <v>45.718</v>
      </c>
      <c r="K51" s="166" t="n"/>
      <c r="L51" s="158">
        <f>+H51*J51</f>
        <v/>
      </c>
      <c r="M51" s="159">
        <f>SUM(M50+K51-L51)</f>
        <v/>
      </c>
    </row>
    <row r="52">
      <c r="A52" s="151" t="n">
        <v>46028</v>
      </c>
      <c r="B52" s="67" t="n">
        <v>3034</v>
      </c>
      <c r="C52" s="52" t="inlineStr">
        <is>
          <t>SELİM İNŞAAT</t>
        </is>
      </c>
      <c r="D52" s="51" t="inlineStr">
        <is>
          <t>34 FBR 781</t>
        </is>
      </c>
      <c r="E52" s="51" t="inlineStr">
        <is>
          <t>MEVLÜT POLAT</t>
        </is>
      </c>
      <c r="F52" s="53" t="n">
        <v>354535</v>
      </c>
      <c r="G52" s="156" t="n"/>
      <c r="H52" s="156" t="n">
        <v>438</v>
      </c>
      <c r="I52" s="156">
        <f>+I51+(G52-H52)</f>
        <v/>
      </c>
      <c r="J52" s="79" t="n">
        <v>45.718</v>
      </c>
      <c r="K52" s="166" t="n"/>
      <c r="L52" s="158">
        <f>+H52*J52</f>
        <v/>
      </c>
      <c r="M52" s="159">
        <f>SUM(M51+K52-L52)</f>
        <v/>
      </c>
    </row>
    <row r="53">
      <c r="A53" s="151" t="n">
        <v>46028</v>
      </c>
      <c r="B53" s="67" t="n">
        <v>4957</v>
      </c>
      <c r="C53" s="52" t="inlineStr">
        <is>
          <t>SELİM İNŞAAT</t>
        </is>
      </c>
      <c r="D53" s="51" t="inlineStr">
        <is>
          <t>34 GVZ 745</t>
        </is>
      </c>
      <c r="E53" s="51" t="inlineStr">
        <is>
          <t>MURAT DEMİRBAŞ</t>
        </is>
      </c>
      <c r="F53" s="53" t="n">
        <v>238820</v>
      </c>
      <c r="G53" s="156" t="n"/>
      <c r="H53" s="156" t="n">
        <v>545</v>
      </c>
      <c r="I53" s="156">
        <f>+I52+(G53-H53)</f>
        <v/>
      </c>
      <c r="J53" s="79" t="n">
        <v>45.718</v>
      </c>
      <c r="K53" s="166" t="n"/>
      <c r="L53" s="158">
        <f>+H53*J53</f>
        <v/>
      </c>
      <c r="M53" s="159">
        <f>SUM(M52+K53-L53)</f>
        <v/>
      </c>
    </row>
    <row r="54">
      <c r="A54" s="151" t="n">
        <v>46028</v>
      </c>
      <c r="B54" s="67" t="n">
        <v>3418</v>
      </c>
      <c r="C54" s="52" t="inlineStr">
        <is>
          <t>SELİM İNŞAAT</t>
        </is>
      </c>
      <c r="D54" s="51" t="inlineStr">
        <is>
          <t>34 GVZ 310</t>
        </is>
      </c>
      <c r="E54" s="51" t="inlineStr">
        <is>
          <t>CELAL YÜZBAŞI</t>
        </is>
      </c>
      <c r="F54" s="53" t="n">
        <v>240181</v>
      </c>
      <c r="G54" s="156" t="n"/>
      <c r="H54" s="156" t="n">
        <v>382</v>
      </c>
      <c r="I54" s="156">
        <f>+I53+(G54-H54)</f>
        <v/>
      </c>
      <c r="J54" s="79" t="n">
        <v>45.718</v>
      </c>
      <c r="K54" s="166" t="n"/>
      <c r="L54" s="158">
        <f>+H54*J54</f>
        <v/>
      </c>
      <c r="M54" s="159">
        <f>SUM(M53+K54-L54)</f>
        <v/>
      </c>
    </row>
    <row r="55">
      <c r="A55" s="151" t="n">
        <v>46028</v>
      </c>
      <c r="B55" s="67" t="n">
        <v>4065</v>
      </c>
      <c r="C55" s="52" t="inlineStr">
        <is>
          <t>SELİM İNŞAAT</t>
        </is>
      </c>
      <c r="D55" s="51" t="inlineStr">
        <is>
          <t>34 DHH 668</t>
        </is>
      </c>
      <c r="E55" s="51" t="inlineStr">
        <is>
          <t>ADNAN KOÇ</t>
        </is>
      </c>
      <c r="F55" s="53" t="n">
        <v>421461</v>
      </c>
      <c r="G55" s="156" t="n"/>
      <c r="H55" s="156" t="n">
        <v>300</v>
      </c>
      <c r="I55" s="156">
        <f>+I54+(G55-H55)</f>
        <v/>
      </c>
      <c r="J55" s="79" t="n">
        <v>45.718</v>
      </c>
      <c r="K55" s="166" t="n"/>
      <c r="L55" s="158">
        <f>+H55*J55</f>
        <v/>
      </c>
      <c r="M55" s="159">
        <f>SUM(M54+K55-L55)</f>
        <v/>
      </c>
    </row>
    <row r="56">
      <c r="A56" s="151" t="n">
        <v>46028</v>
      </c>
      <c r="B56" s="67" t="n">
        <v>4409</v>
      </c>
      <c r="C56" s="52" t="inlineStr">
        <is>
          <t>SELİM İNŞAAT</t>
        </is>
      </c>
      <c r="D56" s="51" t="inlineStr">
        <is>
          <t>34 DTV 409</t>
        </is>
      </c>
      <c r="E56" s="51" t="inlineStr">
        <is>
          <t>ADNAN KOÇ</t>
        </is>
      </c>
      <c r="F56" s="53" t="n">
        <v>448542</v>
      </c>
      <c r="G56" s="156" t="n"/>
      <c r="H56" s="156" t="n">
        <v>441</v>
      </c>
      <c r="I56" s="156">
        <f>+I55+(G56-H56)</f>
        <v/>
      </c>
      <c r="J56" s="79" t="n">
        <v>45.718</v>
      </c>
      <c r="K56" s="166" t="n"/>
      <c r="L56" s="158">
        <f>+H56*J56</f>
        <v/>
      </c>
      <c r="M56" s="159">
        <f>SUM(M55+K56-L56)</f>
        <v/>
      </c>
    </row>
    <row r="57">
      <c r="A57" s="151" t="n">
        <v>46028</v>
      </c>
      <c r="B57" s="67" t="n">
        <v>4808</v>
      </c>
      <c r="C57" s="52" t="inlineStr">
        <is>
          <t>SELİM İNŞAAT</t>
        </is>
      </c>
      <c r="D57" s="51" t="inlineStr">
        <is>
          <t>34 EDB 559</t>
        </is>
      </c>
      <c r="E57" s="51" t="inlineStr">
        <is>
          <t>AZİZ ORUÇ</t>
        </is>
      </c>
      <c r="F57" s="53" t="n">
        <v>357411</v>
      </c>
      <c r="G57" s="156" t="n"/>
      <c r="H57" s="156" t="n">
        <v>441</v>
      </c>
      <c r="I57" s="156">
        <f>+I56+(G57-H57)</f>
        <v/>
      </c>
      <c r="J57" s="79" t="n">
        <v>45.718</v>
      </c>
      <c r="K57" s="166" t="n"/>
      <c r="L57" s="158">
        <f>+H57*J57</f>
        <v/>
      </c>
      <c r="M57" s="159">
        <f>SUM(M56+K57-L57)</f>
        <v/>
      </c>
    </row>
    <row r="58">
      <c r="A58" s="151" t="n">
        <v>46028</v>
      </c>
      <c r="B58" s="67" t="n">
        <v>3380</v>
      </c>
      <c r="C58" s="52" t="inlineStr">
        <is>
          <t>SELİM İNŞAAT</t>
        </is>
      </c>
      <c r="D58" s="51" t="inlineStr">
        <is>
          <t>34 EDC 162</t>
        </is>
      </c>
      <c r="E58" s="51" t="inlineStr">
        <is>
          <t xml:space="preserve">YAKUP GÜNER </t>
        </is>
      </c>
      <c r="F58" s="53" t="n">
        <v>408355</v>
      </c>
      <c r="G58" s="156" t="n"/>
      <c r="H58" s="156" t="n">
        <v>497</v>
      </c>
      <c r="I58" s="156">
        <f>+I57+(G58-H58)</f>
        <v/>
      </c>
      <c r="J58" s="79" t="n">
        <v>45.718</v>
      </c>
      <c r="K58" s="166" t="n"/>
      <c r="L58" s="158">
        <f>+H58*J58</f>
        <v/>
      </c>
      <c r="M58" s="159">
        <f>SUM(M57+K58-L58)</f>
        <v/>
      </c>
    </row>
    <row r="59">
      <c r="A59" s="151" t="n">
        <v>46028</v>
      </c>
      <c r="B59" s="67" t="n">
        <v>4503</v>
      </c>
      <c r="C59" s="52" t="inlineStr">
        <is>
          <t>SELİM İNŞAAT</t>
        </is>
      </c>
      <c r="D59" s="51" t="inlineStr">
        <is>
          <t>34 DTV 352</t>
        </is>
      </c>
      <c r="E59" s="51" t="inlineStr">
        <is>
          <t>ENGİN DENİZ</t>
        </is>
      </c>
      <c r="F59" s="53" t="n">
        <v>469043</v>
      </c>
      <c r="G59" s="156" t="n"/>
      <c r="H59" s="156" t="n">
        <v>520</v>
      </c>
      <c r="I59" s="156">
        <f>+I58+(G59-H59)</f>
        <v/>
      </c>
      <c r="J59" s="79" t="n">
        <v>45.718</v>
      </c>
      <c r="K59" s="166" t="n"/>
      <c r="L59" s="158">
        <f>+H59*J59</f>
        <v/>
      </c>
      <c r="M59" s="159">
        <f>SUM(M58+K59-L59)</f>
        <v/>
      </c>
    </row>
    <row r="60">
      <c r="A60" s="151" t="n">
        <v>46028</v>
      </c>
      <c r="B60" s="67" t="n">
        <v>4913</v>
      </c>
      <c r="C60" s="52" t="inlineStr">
        <is>
          <t>SELİM İNŞAAT</t>
        </is>
      </c>
      <c r="D60" s="51" t="inlineStr">
        <is>
          <t>34 FBR 742</t>
        </is>
      </c>
      <c r="E60" s="51" t="inlineStr">
        <is>
          <t>ADNAN KOÇ</t>
        </is>
      </c>
      <c r="F60" s="53" t="n">
        <v>358862</v>
      </c>
      <c r="G60" s="156" t="n"/>
      <c r="H60" s="156" t="n">
        <v>453</v>
      </c>
      <c r="I60" s="156">
        <f>+I59+(G60-H60)</f>
        <v/>
      </c>
      <c r="J60" s="79" t="n">
        <v>45.718</v>
      </c>
      <c r="K60" s="166" t="n"/>
      <c r="L60" s="158">
        <f>+H60*J60</f>
        <v/>
      </c>
      <c r="M60" s="159">
        <f>SUM(M59+K60-L60)</f>
        <v/>
      </c>
    </row>
    <row r="61">
      <c r="A61" s="151" t="n">
        <v>46028</v>
      </c>
      <c r="B61" s="67" t="n">
        <v>3164</v>
      </c>
      <c r="C61" s="52" t="inlineStr">
        <is>
          <t>SELİM İNŞAAT</t>
        </is>
      </c>
      <c r="D61" s="51" t="inlineStr">
        <is>
          <t>34 DTV 599</t>
        </is>
      </c>
      <c r="E61" s="51" t="inlineStr">
        <is>
          <t>HÜSEYİN DENİZ</t>
        </is>
      </c>
      <c r="F61" s="53" t="n">
        <v>470003</v>
      </c>
      <c r="G61" s="156" t="n"/>
      <c r="H61" s="156" t="n">
        <v>422</v>
      </c>
      <c r="I61" s="156">
        <f>+I60+(G61-H61)</f>
        <v/>
      </c>
      <c r="J61" s="79" t="n">
        <v>45.718</v>
      </c>
      <c r="K61" s="166" t="n"/>
      <c r="L61" s="158">
        <f>+H61*J61</f>
        <v/>
      </c>
      <c r="M61" s="159">
        <f>SUM(M60+K61-L61)</f>
        <v/>
      </c>
    </row>
    <row r="62">
      <c r="A62" s="151" t="n">
        <v>46028</v>
      </c>
      <c r="B62" s="67" t="n">
        <v>4457</v>
      </c>
      <c r="C62" s="52" t="inlineStr">
        <is>
          <t>SELİM İNŞAAT</t>
        </is>
      </c>
      <c r="D62" s="51" t="inlineStr">
        <is>
          <t>34 DKL 798</t>
        </is>
      </c>
      <c r="E62" s="51" t="inlineStr">
        <is>
          <t>HASAN BAYCA</t>
        </is>
      </c>
      <c r="F62" s="53" t="n">
        <v>79842</v>
      </c>
      <c r="G62" s="156" t="n"/>
      <c r="H62" s="156" t="n">
        <v>293</v>
      </c>
      <c r="I62" s="156">
        <f>+I61+(G62-H62)</f>
        <v/>
      </c>
      <c r="J62" s="79" t="n">
        <v>45.718</v>
      </c>
      <c r="K62" s="166" t="n"/>
      <c r="L62" s="158">
        <f>+H62*J62</f>
        <v/>
      </c>
      <c r="M62" s="159">
        <f>SUM(M61+K62-L62)</f>
        <v/>
      </c>
    </row>
    <row r="63">
      <c r="A63" s="151" t="n">
        <v>46028</v>
      </c>
      <c r="B63" s="67" t="n">
        <v>3787</v>
      </c>
      <c r="C63" s="52" t="inlineStr">
        <is>
          <t>METİN ERYİĞİT</t>
        </is>
      </c>
      <c r="D63" s="51" t="inlineStr">
        <is>
          <t>34 GBL 998</t>
        </is>
      </c>
      <c r="E63" s="51" t="inlineStr">
        <is>
          <t>ALİ KESKİN</t>
        </is>
      </c>
      <c r="F63" s="53" t="n">
        <v>329244</v>
      </c>
      <c r="G63" s="156" t="n"/>
      <c r="H63" s="156" t="n">
        <v>360</v>
      </c>
      <c r="I63" s="156">
        <f>+I62+(G63-H63)</f>
        <v/>
      </c>
      <c r="J63" s="79" t="n">
        <v>45.718</v>
      </c>
      <c r="K63" s="166" t="n"/>
      <c r="L63" s="158">
        <f>+H63*J63</f>
        <v/>
      </c>
      <c r="M63" s="159">
        <f>SUM(M62+K63-L63)</f>
        <v/>
      </c>
    </row>
    <row r="64">
      <c r="A64" s="151" t="n">
        <v>46028</v>
      </c>
      <c r="B64" s="67" t="n">
        <v>2736</v>
      </c>
      <c r="C64" s="52" t="inlineStr">
        <is>
          <t>METİN ERYİĞİT</t>
        </is>
      </c>
      <c r="D64" s="51" t="inlineStr">
        <is>
          <t>34 EGR 814</t>
        </is>
      </c>
      <c r="E64" s="51" t="inlineStr">
        <is>
          <t xml:space="preserve">ZİYA İNCE </t>
        </is>
      </c>
      <c r="F64" s="53" t="n">
        <v>593641</v>
      </c>
      <c r="G64" s="156" t="n"/>
      <c r="H64" s="156" t="n">
        <v>431</v>
      </c>
      <c r="I64" s="156">
        <f>+I63+(G64-H64)</f>
        <v/>
      </c>
      <c r="J64" s="79" t="n">
        <v>45.718</v>
      </c>
      <c r="K64" s="166" t="n"/>
      <c r="L64" s="158">
        <f>+H64*J64</f>
        <v/>
      </c>
      <c r="M64" s="159">
        <f>SUM(M63+K64-L64)</f>
        <v/>
      </c>
    </row>
    <row r="65">
      <c r="A65" s="151" t="n">
        <v>46028</v>
      </c>
      <c r="B65" s="67" t="n">
        <v>3694</v>
      </c>
      <c r="C65" s="52" t="inlineStr">
        <is>
          <t>METİN ERYİĞİT</t>
        </is>
      </c>
      <c r="D65" s="51" t="inlineStr">
        <is>
          <t>34 EGS 013</t>
        </is>
      </c>
      <c r="E65" s="51" t="inlineStr">
        <is>
          <t>UĞUR DUMAN</t>
        </is>
      </c>
      <c r="F65" s="53" t="n">
        <v>547328</v>
      </c>
      <c r="G65" s="156" t="n"/>
      <c r="H65" s="156" t="n">
        <v>411</v>
      </c>
      <c r="I65" s="156">
        <f>+I64+(G65-H65)</f>
        <v/>
      </c>
      <c r="J65" s="79" t="n">
        <v>45.718</v>
      </c>
      <c r="K65" s="166" t="n"/>
      <c r="L65" s="158">
        <f>+H65*J65</f>
        <v/>
      </c>
      <c r="M65" s="159">
        <f>SUM(M64+K65-L65)</f>
        <v/>
      </c>
    </row>
    <row r="66">
      <c r="A66" s="151" t="n">
        <v>46028</v>
      </c>
      <c r="B66" s="67" t="n">
        <v>4570</v>
      </c>
      <c r="C66" s="52" t="inlineStr">
        <is>
          <t>RECEP SELİM OTOKURTARICI</t>
        </is>
      </c>
      <c r="D66" s="51" t="inlineStr">
        <is>
          <t>34 GC 8658</t>
        </is>
      </c>
      <c r="E66" s="51" t="inlineStr">
        <is>
          <t>RECEP SELİM</t>
        </is>
      </c>
      <c r="F66" s="53" t="n"/>
      <c r="G66" s="156" t="n"/>
      <c r="H66" s="156" t="n">
        <v>63</v>
      </c>
      <c r="I66" s="156">
        <f>+I65+(G66-H66)</f>
        <v/>
      </c>
      <c r="J66" s="79" t="n">
        <v>45.718</v>
      </c>
      <c r="K66" s="166" t="n"/>
      <c r="L66" s="158">
        <f>+H66*J66</f>
        <v/>
      </c>
      <c r="M66" s="159">
        <f>SUM(M65+K66-L66)</f>
        <v/>
      </c>
    </row>
    <row r="67">
      <c r="A67" s="151" t="n">
        <v>46028</v>
      </c>
      <c r="B67" s="67" t="n">
        <v>4211</v>
      </c>
      <c r="C67" s="52" t="inlineStr">
        <is>
          <t>MEGA VARLIK</t>
        </is>
      </c>
      <c r="D67" s="51" t="inlineStr">
        <is>
          <t xml:space="preserve">SM350 </t>
        </is>
      </c>
      <c r="E67" s="51" t="inlineStr">
        <is>
          <t xml:space="preserve">MİKAİL BAYILMAZ </t>
        </is>
      </c>
      <c r="F67" s="53" t="n"/>
      <c r="G67" s="156" t="n"/>
      <c r="H67" s="156" t="n">
        <v>355</v>
      </c>
      <c r="I67" s="156">
        <f>+I66+(G67-H67)</f>
        <v/>
      </c>
      <c r="J67" s="79" t="n">
        <v>45.718</v>
      </c>
      <c r="K67" s="166" t="n"/>
      <c r="L67" s="158">
        <f>+H67*J67</f>
        <v/>
      </c>
      <c r="M67" s="159">
        <f>SUM(M66+K67-L67)</f>
        <v/>
      </c>
    </row>
    <row r="68">
      <c r="A68" s="151" t="n">
        <v>46029</v>
      </c>
      <c r="B68" s="67" t="n">
        <v>3615</v>
      </c>
      <c r="C68" s="52" t="inlineStr">
        <is>
          <t>SELİM İNŞAAT</t>
        </is>
      </c>
      <c r="D68" s="51" t="inlineStr">
        <is>
          <t>34 EDB 922</t>
        </is>
      </c>
      <c r="E68" s="51" t="inlineStr">
        <is>
          <t>ÇAĞDAŞ YÜCESAN</t>
        </is>
      </c>
      <c r="F68" s="53" t="n">
        <v>402491</v>
      </c>
      <c r="G68" s="156" t="n"/>
      <c r="H68" s="156" t="n">
        <v>524</v>
      </c>
      <c r="I68" s="156">
        <f>+I67+(G68-H68)</f>
        <v/>
      </c>
      <c r="J68" s="79" t="n">
        <v>45.718</v>
      </c>
      <c r="K68" s="166" t="n"/>
      <c r="L68" s="158">
        <f>+H68*J68</f>
        <v/>
      </c>
      <c r="M68" s="159">
        <f>SUM(M67+K68-L68)</f>
        <v/>
      </c>
    </row>
    <row r="69">
      <c r="A69" s="151" t="n">
        <v>46029</v>
      </c>
      <c r="B69" s="67" t="n">
        <v>2784</v>
      </c>
      <c r="C69" s="52" t="inlineStr">
        <is>
          <t>SELİM İNŞAAT</t>
        </is>
      </c>
      <c r="D69" s="51" t="inlineStr">
        <is>
          <t>34 EDC 086</t>
        </is>
      </c>
      <c r="E69" s="51" t="inlineStr">
        <is>
          <t>SEZGİN KOCAGİL</t>
        </is>
      </c>
      <c r="F69" s="53" t="n">
        <v>368995</v>
      </c>
      <c r="G69" s="156" t="n"/>
      <c r="H69" s="156" t="n">
        <v>538</v>
      </c>
      <c r="I69" s="156">
        <f>+I68+(G69-H69)</f>
        <v/>
      </c>
      <c r="J69" s="79" t="n">
        <v>45.718</v>
      </c>
      <c r="K69" s="166" t="n"/>
      <c r="L69" s="158">
        <f>+H69*J69</f>
        <v/>
      </c>
      <c r="M69" s="159">
        <f>SUM(M68+K69-L69)</f>
        <v/>
      </c>
    </row>
    <row r="70">
      <c r="A70" s="151" t="n">
        <v>46029</v>
      </c>
      <c r="B70" s="67" t="n">
        <v>1538</v>
      </c>
      <c r="C70" s="52" t="inlineStr">
        <is>
          <t>SELİM İNŞAAT</t>
        </is>
      </c>
      <c r="D70" s="51" t="inlineStr">
        <is>
          <t>34 GUS 848</t>
        </is>
      </c>
      <c r="E70" s="51" t="inlineStr">
        <is>
          <t>SERDAR BOZKURT</t>
        </is>
      </c>
      <c r="F70" s="53" t="n">
        <v>225188</v>
      </c>
      <c r="G70" s="156" t="n"/>
      <c r="H70" s="156" t="n">
        <v>521</v>
      </c>
      <c r="I70" s="156">
        <f>+I69+(G70-H70)</f>
        <v/>
      </c>
      <c r="J70" s="79" t="n">
        <v>45.718</v>
      </c>
      <c r="K70" s="166" t="n"/>
      <c r="L70" s="158">
        <f>+H70*J70</f>
        <v/>
      </c>
      <c r="M70" s="159">
        <f>SUM(M69+K70-L70)</f>
        <v/>
      </c>
    </row>
    <row r="71">
      <c r="A71" s="151" t="n">
        <v>46029</v>
      </c>
      <c r="B71" s="67" t="n">
        <v>4161</v>
      </c>
      <c r="C71" s="52" t="inlineStr">
        <is>
          <t>SELİM İNŞAAT</t>
        </is>
      </c>
      <c r="D71" s="51" t="inlineStr">
        <is>
          <t>34 FBR 748</t>
        </is>
      </c>
      <c r="E71" s="51" t="inlineStr">
        <is>
          <t>YAŞAR ÖZKAYA</t>
        </is>
      </c>
      <c r="F71" s="53" t="n">
        <v>318005</v>
      </c>
      <c r="G71" s="156" t="n"/>
      <c r="H71" s="156" t="n">
        <v>410</v>
      </c>
      <c r="I71" s="156">
        <f>+I70+(G71-H71)</f>
        <v/>
      </c>
      <c r="J71" s="79" t="n">
        <v>45.718</v>
      </c>
      <c r="K71" s="166" t="n"/>
      <c r="L71" s="158">
        <f>+H71*J71</f>
        <v/>
      </c>
      <c r="M71" s="159">
        <f>SUM(M70+K71-L71)</f>
        <v/>
      </c>
    </row>
    <row r="72">
      <c r="A72" s="151" t="n">
        <v>46029</v>
      </c>
      <c r="B72" s="67" t="n">
        <v>503</v>
      </c>
      <c r="C72" s="52" t="inlineStr">
        <is>
          <t>SELİM İNŞAAT</t>
        </is>
      </c>
      <c r="D72" s="51" t="inlineStr">
        <is>
          <t>34 EGR 737</t>
        </is>
      </c>
      <c r="E72" s="51" t="inlineStr">
        <is>
          <t>CEM MUHTAR</t>
        </is>
      </c>
      <c r="F72" s="53" t="n">
        <v>453608</v>
      </c>
      <c r="G72" s="156" t="n"/>
      <c r="H72" s="156" t="n">
        <v>422</v>
      </c>
      <c r="I72" s="156">
        <f>+I71+(G72-H72)</f>
        <v/>
      </c>
      <c r="J72" s="79" t="n">
        <v>45.718</v>
      </c>
      <c r="K72" s="166" t="n"/>
      <c r="L72" s="158">
        <f>+H72*J72</f>
        <v/>
      </c>
      <c r="M72" s="159">
        <f>SUM(M71+K72-L72)</f>
        <v/>
      </c>
    </row>
    <row r="73">
      <c r="A73" s="151" t="n">
        <v>46029</v>
      </c>
      <c r="B73" s="67" t="n">
        <v>1901</v>
      </c>
      <c r="C73" s="52" t="inlineStr">
        <is>
          <t>SELİM İNŞAAT</t>
        </is>
      </c>
      <c r="D73" s="51" t="inlineStr">
        <is>
          <t xml:space="preserve">34 GVZ 268 </t>
        </is>
      </c>
      <c r="E73" s="51" t="inlineStr">
        <is>
          <t>KERİM KARAMAN</t>
        </is>
      </c>
      <c r="F73" s="53" t="n">
        <v>244053</v>
      </c>
      <c r="G73" s="156" t="n"/>
      <c r="H73" s="156" t="n">
        <v>488</v>
      </c>
      <c r="I73" s="156">
        <f>+I72+(G73-H73)</f>
        <v/>
      </c>
      <c r="J73" s="79" t="n">
        <v>45.718</v>
      </c>
      <c r="K73" s="166" t="n"/>
      <c r="L73" s="158">
        <f>+H73*J73</f>
        <v/>
      </c>
      <c r="M73" s="159">
        <f>SUM(M72+K73-L73)</f>
        <v/>
      </c>
    </row>
    <row r="74">
      <c r="A74" s="151" t="n">
        <v>46029</v>
      </c>
      <c r="B74" s="67" t="n">
        <v>4863</v>
      </c>
      <c r="C74" s="52" t="inlineStr">
        <is>
          <t>SELİM İNŞAAT</t>
        </is>
      </c>
      <c r="D74" s="51" t="inlineStr">
        <is>
          <t>34 FBR 705</t>
        </is>
      </c>
      <c r="E74" s="51" t="inlineStr">
        <is>
          <t>MURAT SARI</t>
        </is>
      </c>
      <c r="F74" s="53" t="n">
        <v>354686</v>
      </c>
      <c r="G74" s="156" t="n"/>
      <c r="H74" s="156" t="n">
        <v>354</v>
      </c>
      <c r="I74" s="156">
        <f>+I73+(G74-H74)</f>
        <v/>
      </c>
      <c r="J74" s="79" t="n">
        <v>45.718</v>
      </c>
      <c r="K74" s="166" t="n"/>
      <c r="L74" s="158">
        <f>+H74*J74</f>
        <v/>
      </c>
      <c r="M74" s="159">
        <f>SUM(M73+K74-L74)</f>
        <v/>
      </c>
    </row>
    <row r="75">
      <c r="A75" s="151" t="n">
        <v>46029</v>
      </c>
      <c r="B75" s="67" t="n">
        <v>3321</v>
      </c>
      <c r="C75" s="52" t="inlineStr">
        <is>
          <t>SELİM İNŞAAT</t>
        </is>
      </c>
      <c r="D75" s="51" t="inlineStr">
        <is>
          <t>34 GUS 938</t>
        </is>
      </c>
      <c r="E75" s="51" t="inlineStr">
        <is>
          <t>MEHMET KAYA</t>
        </is>
      </c>
      <c r="F75" s="53" t="n">
        <v>240136</v>
      </c>
      <c r="G75" s="156" t="n"/>
      <c r="H75" s="156" t="n">
        <v>550</v>
      </c>
      <c r="I75" s="156">
        <f>+I74+(G75-H75)</f>
        <v/>
      </c>
      <c r="J75" s="79" t="n">
        <v>45.718</v>
      </c>
      <c r="K75" s="166" t="n"/>
      <c r="L75" s="158">
        <f>+H75*J75</f>
        <v/>
      </c>
      <c r="M75" s="159">
        <f>SUM(M74+K75-L75)</f>
        <v/>
      </c>
    </row>
    <row r="76">
      <c r="A76" s="151" t="n">
        <v>46029</v>
      </c>
      <c r="B76" s="67" t="n">
        <v>1685</v>
      </c>
      <c r="C76" s="52" t="inlineStr">
        <is>
          <t>SELİM İNŞAAT</t>
        </is>
      </c>
      <c r="D76" s="51" t="inlineStr">
        <is>
          <t>34 DHH 570</t>
        </is>
      </c>
      <c r="E76" s="51" t="inlineStr">
        <is>
          <t>YASİN ÇATAKLI</t>
        </is>
      </c>
      <c r="F76" s="53" t="n">
        <v>469500</v>
      </c>
      <c r="G76" s="156" t="n"/>
      <c r="H76" s="156" t="n">
        <v>540</v>
      </c>
      <c r="I76" s="156">
        <f>+I75+(G76-H76)</f>
        <v/>
      </c>
      <c r="J76" s="79" t="n">
        <v>45.718</v>
      </c>
      <c r="K76" s="166" t="n"/>
      <c r="L76" s="158">
        <f>+H76*J76</f>
        <v/>
      </c>
      <c r="M76" s="159">
        <f>SUM(M75+K76-L76)</f>
        <v/>
      </c>
    </row>
    <row r="77">
      <c r="A77" s="151" t="n">
        <v>46029</v>
      </c>
      <c r="B77" s="67" t="n">
        <v>4302</v>
      </c>
      <c r="C77" s="52" t="inlineStr">
        <is>
          <t>SELİM İNŞAAT</t>
        </is>
      </c>
      <c r="D77" s="51" t="inlineStr">
        <is>
          <t>34 DTV 447</t>
        </is>
      </c>
      <c r="E77" s="51" t="inlineStr">
        <is>
          <t>EBUBEKİR KOLDAŞ</t>
        </is>
      </c>
      <c r="F77" s="53" t="n">
        <v>460023</v>
      </c>
      <c r="G77" s="156" t="n"/>
      <c r="H77" s="156" t="n">
        <v>492</v>
      </c>
      <c r="I77" s="156">
        <f>+I76+(G77-H77)</f>
        <v/>
      </c>
      <c r="J77" s="79" t="n">
        <v>45.718</v>
      </c>
      <c r="K77" s="166" t="n"/>
      <c r="L77" s="158">
        <f>+H77*J77</f>
        <v/>
      </c>
      <c r="M77" s="159">
        <f>SUM(M76+K77-L77)</f>
        <v/>
      </c>
    </row>
    <row r="78">
      <c r="A78" s="151" t="n">
        <v>46029</v>
      </c>
      <c r="B78" s="67" t="n">
        <v>4762</v>
      </c>
      <c r="C78" s="52" t="inlineStr">
        <is>
          <t>SELİM İNŞAAT</t>
        </is>
      </c>
      <c r="D78" s="51" t="inlineStr">
        <is>
          <t>34 DGP 137</t>
        </is>
      </c>
      <c r="E78" s="51" t="inlineStr">
        <is>
          <t xml:space="preserve">GÜRAY KOYUNCU </t>
        </is>
      </c>
      <c r="F78" s="53" t="n">
        <v>470782</v>
      </c>
      <c r="G78" s="156" t="n"/>
      <c r="H78" s="156" t="n">
        <v>410</v>
      </c>
      <c r="I78" s="156">
        <f>+I77+(G78-H78)</f>
        <v/>
      </c>
      <c r="J78" s="79" t="n">
        <v>45.718</v>
      </c>
      <c r="K78" s="166" t="n"/>
      <c r="L78" s="158">
        <f>+H78*J78</f>
        <v/>
      </c>
      <c r="M78" s="159">
        <f>SUM(M77+K78-L78)</f>
        <v/>
      </c>
    </row>
    <row r="79">
      <c r="A79" s="151" t="n">
        <v>46029</v>
      </c>
      <c r="B79" s="67" t="n">
        <v>4809</v>
      </c>
      <c r="C79" s="52" t="inlineStr">
        <is>
          <t>SELİM İNŞAAT</t>
        </is>
      </c>
      <c r="D79" s="51" t="inlineStr">
        <is>
          <t>34 EDB 559</t>
        </is>
      </c>
      <c r="E79" s="51" t="inlineStr">
        <is>
          <t>AZİZ ORUÇ</t>
        </is>
      </c>
      <c r="F79" s="53" t="n">
        <v>357666</v>
      </c>
      <c r="G79" s="156" t="n"/>
      <c r="H79" s="156" t="n">
        <v>265</v>
      </c>
      <c r="I79" s="156">
        <f>+I78+(G79-H79)</f>
        <v/>
      </c>
      <c r="J79" s="79" t="n">
        <v>45.718</v>
      </c>
      <c r="K79" s="166" t="n"/>
      <c r="L79" s="158">
        <f>+H79*J79</f>
        <v/>
      </c>
      <c r="M79" s="159">
        <f>SUM(M78+K79-L79)</f>
        <v/>
      </c>
    </row>
    <row r="80">
      <c r="A80" s="151" t="n">
        <v>46029</v>
      </c>
      <c r="B80" s="67" t="n">
        <v>1199</v>
      </c>
      <c r="C80" s="52" t="inlineStr">
        <is>
          <t>SELİM İNŞAAT</t>
        </is>
      </c>
      <c r="D80" s="51" t="inlineStr">
        <is>
          <t>34 DSN 536</t>
        </is>
      </c>
      <c r="E80" s="51" t="inlineStr">
        <is>
          <t>SALİH YALÇIN</t>
        </is>
      </c>
      <c r="F80" s="53" t="n">
        <v>441130</v>
      </c>
      <c r="G80" s="156" t="n"/>
      <c r="H80" s="156" t="n">
        <v>398</v>
      </c>
      <c r="I80" s="156">
        <f>+I79+(G80-H80)</f>
        <v/>
      </c>
      <c r="J80" s="79" t="n">
        <v>45.718</v>
      </c>
      <c r="K80" s="166" t="n"/>
      <c r="L80" s="158">
        <f>+H80*J80</f>
        <v/>
      </c>
      <c r="M80" s="159">
        <f>SUM(M79+K80-L80)</f>
        <v/>
      </c>
    </row>
    <row r="81">
      <c r="A81" s="151" t="n">
        <v>46029</v>
      </c>
      <c r="B81" s="67" t="n">
        <v>2288</v>
      </c>
      <c r="C81" s="52" t="inlineStr">
        <is>
          <t>SELİM İNŞAAT</t>
        </is>
      </c>
      <c r="D81" s="51" t="inlineStr">
        <is>
          <t>34 DSN 636</t>
        </is>
      </c>
      <c r="E81" s="51" t="inlineStr">
        <is>
          <t>MAHSUN GÜVEN</t>
        </is>
      </c>
      <c r="F81" s="53" t="n">
        <v>426711</v>
      </c>
      <c r="G81" s="156" t="n"/>
      <c r="H81" s="156" t="n">
        <v>403</v>
      </c>
      <c r="I81" s="156">
        <f>+I80+(G81-H81)</f>
        <v/>
      </c>
      <c r="J81" s="79" t="n">
        <v>45.718</v>
      </c>
      <c r="K81" s="166" t="n"/>
      <c r="L81" s="158">
        <f>+H81*J81</f>
        <v/>
      </c>
      <c r="M81" s="159">
        <f>SUM(M80+K81-L81)</f>
        <v/>
      </c>
    </row>
    <row r="82">
      <c r="A82" s="151" t="n">
        <v>46029</v>
      </c>
      <c r="B82" s="67" t="n">
        <v>2587</v>
      </c>
      <c r="C82" s="52" t="inlineStr">
        <is>
          <t>SELİM İNŞAAT</t>
        </is>
      </c>
      <c r="D82" s="51" t="inlineStr">
        <is>
          <t>34 GER 028</t>
        </is>
      </c>
      <c r="E82" s="51" t="inlineStr">
        <is>
          <t>ABDULKERİM ERGEN</t>
        </is>
      </c>
      <c r="F82" s="53" t="n">
        <v>88558</v>
      </c>
      <c r="G82" s="156" t="n"/>
      <c r="H82" s="156" t="n">
        <v>540</v>
      </c>
      <c r="I82" s="156">
        <f>+I81+(G82-H82)</f>
        <v/>
      </c>
      <c r="J82" s="79" t="n">
        <v>45.718</v>
      </c>
      <c r="K82" s="166" t="n"/>
      <c r="L82" s="158">
        <f>+H82*J82</f>
        <v/>
      </c>
      <c r="M82" s="159">
        <f>SUM(M81+K82-L82)</f>
        <v/>
      </c>
    </row>
    <row r="83">
      <c r="A83" s="151" t="n">
        <v>46029</v>
      </c>
      <c r="B83" s="67" t="n">
        <v>1626</v>
      </c>
      <c r="C83" s="52" t="inlineStr">
        <is>
          <t>SELİM İNŞAAT</t>
        </is>
      </c>
      <c r="D83" s="51" t="inlineStr">
        <is>
          <t>34 VF 2620</t>
        </is>
      </c>
      <c r="E83" s="51" t="inlineStr">
        <is>
          <t>RECEP SELİM</t>
        </is>
      </c>
      <c r="F83" s="53" t="n">
        <v>200072</v>
      </c>
      <c r="G83" s="156" t="n"/>
      <c r="H83" s="156" t="n">
        <v>55</v>
      </c>
      <c r="I83" s="156">
        <f>+I82+(G83-H83)</f>
        <v/>
      </c>
      <c r="J83" s="79" t="n">
        <v>45.718</v>
      </c>
      <c r="K83" s="166" t="n"/>
      <c r="L83" s="158">
        <f>+H83*J83</f>
        <v/>
      </c>
      <c r="M83" s="159">
        <f>SUM(M82+K83-L83)</f>
        <v/>
      </c>
    </row>
    <row r="84">
      <c r="A84" s="151" t="n">
        <v>46029</v>
      </c>
      <c r="B84" s="67" t="n">
        <v>1377</v>
      </c>
      <c r="C84" s="52" t="inlineStr">
        <is>
          <t xml:space="preserve">AZGÜN YAPI </t>
        </is>
      </c>
      <c r="D84" s="51" t="inlineStr">
        <is>
          <t>34 MKT 859</t>
        </is>
      </c>
      <c r="E84" s="51" t="inlineStr">
        <is>
          <t>ONUR CANLI</t>
        </is>
      </c>
      <c r="F84" s="53" t="n">
        <v>88558</v>
      </c>
      <c r="G84" s="156" t="n"/>
      <c r="H84" s="156" t="n">
        <v>440</v>
      </c>
      <c r="I84" s="156">
        <f>+I83+(G84-H84)</f>
        <v/>
      </c>
      <c r="J84" s="79" t="n">
        <v>45.718</v>
      </c>
      <c r="K84" s="166" t="n"/>
      <c r="L84" s="158">
        <f>+H84*J84</f>
        <v/>
      </c>
      <c r="M84" s="159">
        <f>SUM(M83+K84-L84)</f>
        <v/>
      </c>
    </row>
    <row r="85">
      <c r="A85" s="151" t="n">
        <v>46029</v>
      </c>
      <c r="B85" s="67" t="n">
        <v>2526</v>
      </c>
      <c r="C85" s="52" t="inlineStr">
        <is>
          <t xml:space="preserve">AZGÜN YAPI </t>
        </is>
      </c>
      <c r="D85" s="51" t="inlineStr">
        <is>
          <t>34 MKT 493</t>
        </is>
      </c>
      <c r="E85" s="51" t="inlineStr">
        <is>
          <t>TURGUT ÇATAL</t>
        </is>
      </c>
      <c r="F85" s="53" t="n"/>
      <c r="G85" s="156" t="n"/>
      <c r="H85" s="156" t="n">
        <v>364</v>
      </c>
      <c r="I85" s="156">
        <f>+I84+(G85-H85)</f>
        <v/>
      </c>
      <c r="J85" s="79" t="n">
        <v>45.718</v>
      </c>
      <c r="K85" s="166" t="n"/>
      <c r="L85" s="158">
        <f>+H85*J85</f>
        <v/>
      </c>
      <c r="M85" s="159">
        <f>SUM(M84+K85-L85)</f>
        <v/>
      </c>
    </row>
    <row r="86">
      <c r="A86" s="151" t="n">
        <v>46029</v>
      </c>
      <c r="B86" s="67" t="n">
        <v>4571</v>
      </c>
      <c r="C86" s="52" t="inlineStr">
        <is>
          <t>AHMET SELİM TEMHA</t>
        </is>
      </c>
      <c r="D86" s="51" t="inlineStr">
        <is>
          <t>34 DG 422</t>
        </is>
      </c>
      <c r="E86" s="51" t="inlineStr">
        <is>
          <t>ERSOY SIĞINMAZ</t>
        </is>
      </c>
      <c r="F86" s="53" t="n"/>
      <c r="G86" s="156" t="n"/>
      <c r="H86" s="156" t="n">
        <v>56</v>
      </c>
      <c r="I86" s="156">
        <f>+I85+(G86-H86)</f>
        <v/>
      </c>
      <c r="J86" s="79" t="n">
        <v>45.718</v>
      </c>
      <c r="K86" s="166" t="n"/>
      <c r="L86" s="158">
        <f>+H86*J86</f>
        <v/>
      </c>
      <c r="M86" s="159">
        <f>SUM(M85+K86-L86)</f>
        <v/>
      </c>
    </row>
    <row r="87">
      <c r="A87" s="151" t="n">
        <v>46029</v>
      </c>
      <c r="B87" s="67" t="n">
        <v>4212</v>
      </c>
      <c r="C87" s="52" t="inlineStr">
        <is>
          <t>MEGA VARLIK</t>
        </is>
      </c>
      <c r="D87" s="51" t="inlineStr">
        <is>
          <t xml:space="preserve">KAVASAKI </t>
        </is>
      </c>
      <c r="E87" s="51" t="inlineStr">
        <is>
          <t>RAMAZAN</t>
        </is>
      </c>
      <c r="F87" s="53" t="n"/>
      <c r="G87" s="156" t="n"/>
      <c r="H87" s="156" t="n">
        <v>396</v>
      </c>
      <c r="I87" s="156">
        <f>+I86+(G87-H87)</f>
        <v/>
      </c>
      <c r="J87" s="79" t="n">
        <v>45.718</v>
      </c>
      <c r="K87" s="166" t="n"/>
      <c r="L87" s="158">
        <f>+H87*J87</f>
        <v/>
      </c>
      <c r="M87" s="159">
        <f>SUM(M86+K87-L87)</f>
        <v/>
      </c>
    </row>
    <row r="88">
      <c r="A88" s="151" t="n">
        <v>46029</v>
      </c>
      <c r="B88" s="67" t="n">
        <v>4213</v>
      </c>
      <c r="C88" s="52" t="inlineStr">
        <is>
          <t>MEGA VARLIK</t>
        </is>
      </c>
      <c r="D88" s="51" t="inlineStr">
        <is>
          <t xml:space="preserve">JCB </t>
        </is>
      </c>
      <c r="E88" s="51" t="inlineStr">
        <is>
          <t>BAYRAM SANCAK</t>
        </is>
      </c>
      <c r="F88" s="53" t="n"/>
      <c r="G88" s="156" t="n"/>
      <c r="H88" s="156" t="n">
        <v>72</v>
      </c>
      <c r="I88" s="156">
        <f>+I87+(G88-H88)</f>
        <v/>
      </c>
      <c r="J88" s="79" t="n">
        <v>45.718</v>
      </c>
      <c r="K88" s="166" t="n"/>
      <c r="L88" s="158">
        <f>+H88*J88</f>
        <v/>
      </c>
      <c r="M88" s="159">
        <f>SUM(M87+K88-L88)</f>
        <v/>
      </c>
    </row>
    <row r="89">
      <c r="A89" s="151" t="n">
        <v>46029</v>
      </c>
      <c r="B89" s="67" t="n">
        <v>4214</v>
      </c>
      <c r="C89" s="52" t="inlineStr">
        <is>
          <t>HASALTUN</t>
        </is>
      </c>
      <c r="D89" s="51" t="inlineStr">
        <is>
          <t xml:space="preserve">SM350 </t>
        </is>
      </c>
      <c r="E89" s="51" t="inlineStr">
        <is>
          <t>TEVFİK ÖZTÜRK</t>
        </is>
      </c>
      <c r="F89" s="53" t="n"/>
      <c r="G89" s="156" t="n"/>
      <c r="H89" s="156" t="n">
        <v>412</v>
      </c>
      <c r="I89" s="156">
        <f>+I88+(G89-H89)</f>
        <v/>
      </c>
      <c r="J89" s="79" t="n">
        <v>45.718</v>
      </c>
      <c r="K89" s="166" t="n"/>
      <c r="L89" s="158">
        <f>+H89*J89</f>
        <v/>
      </c>
      <c r="M89" s="159">
        <f>SUM(M88+K89-L89)</f>
        <v/>
      </c>
    </row>
    <row r="90">
      <c r="A90" s="151" t="n">
        <v>46029</v>
      </c>
      <c r="B90" s="67" t="n">
        <v>4215</v>
      </c>
      <c r="C90" s="52" t="inlineStr">
        <is>
          <t>VARLIK</t>
        </is>
      </c>
      <c r="D90" s="51" t="inlineStr">
        <is>
          <t>HITACHI</t>
        </is>
      </c>
      <c r="E90" s="51" t="inlineStr">
        <is>
          <t>TURGUT</t>
        </is>
      </c>
      <c r="F90" s="53" t="n"/>
      <c r="G90" s="156" t="n"/>
      <c r="H90" s="156" t="n">
        <v>443</v>
      </c>
      <c r="I90" s="156">
        <f>+I89+(G90-H90)</f>
        <v/>
      </c>
      <c r="J90" s="79" t="n">
        <v>45.718</v>
      </c>
      <c r="K90" s="166" t="n"/>
      <c r="L90" s="158">
        <f>+H90*J90</f>
        <v/>
      </c>
      <c r="M90" s="159">
        <f>SUM(M89+K90-L90)</f>
        <v/>
      </c>
    </row>
    <row r="91">
      <c r="A91" s="151" t="n">
        <v>46030</v>
      </c>
      <c r="B91" s="67" t="n">
        <v>3216</v>
      </c>
      <c r="C91" s="52" t="inlineStr">
        <is>
          <t>SELİM İNŞAAT</t>
        </is>
      </c>
      <c r="D91" s="51" t="inlineStr">
        <is>
          <t>34 EGR 736</t>
        </is>
      </c>
      <c r="E91" s="51" t="inlineStr">
        <is>
          <t>HAKAN ÇAVUŞOĞLU</t>
        </is>
      </c>
      <c r="F91" s="53" t="n">
        <v>432435</v>
      </c>
      <c r="G91" s="156" t="n"/>
      <c r="H91" s="156" t="n">
        <v>523</v>
      </c>
      <c r="I91" s="156">
        <f>+I90+(G91-H91)</f>
        <v/>
      </c>
      <c r="J91" s="79" t="n">
        <v>45.718</v>
      </c>
      <c r="K91" s="166" t="n"/>
      <c r="L91" s="158">
        <f>+H91*J91</f>
        <v/>
      </c>
      <c r="M91" s="159">
        <f>SUM(M90+K91-L91)</f>
        <v/>
      </c>
    </row>
    <row r="92">
      <c r="A92" s="151" t="n">
        <v>46030</v>
      </c>
      <c r="B92" s="67" t="n">
        <v>1335</v>
      </c>
      <c r="C92" s="52" t="inlineStr">
        <is>
          <t>SELİM İNŞAAT</t>
        </is>
      </c>
      <c r="D92" s="51" t="inlineStr">
        <is>
          <t>34 GVZ 199</t>
        </is>
      </c>
      <c r="E92" s="51" t="inlineStr">
        <is>
          <t>VAHDET GÜRLER</t>
        </is>
      </c>
      <c r="F92" s="53" t="n">
        <v>220279</v>
      </c>
      <c r="G92" s="156" t="n"/>
      <c r="H92" s="156" t="n">
        <v>351</v>
      </c>
      <c r="I92" s="156">
        <f>+I91+(G92-H92)</f>
        <v/>
      </c>
      <c r="J92" s="79" t="n">
        <v>45.718</v>
      </c>
      <c r="K92" s="166" t="n"/>
      <c r="L92" s="158">
        <f>+H92*J92</f>
        <v/>
      </c>
      <c r="M92" s="159">
        <f>SUM(M91+K92-L92)</f>
        <v/>
      </c>
    </row>
    <row r="93">
      <c r="A93" s="151" t="n">
        <v>46030</v>
      </c>
      <c r="B93" s="67" t="n">
        <v>3035</v>
      </c>
      <c r="C93" s="52" t="inlineStr">
        <is>
          <t>SELİM İNŞAAT</t>
        </is>
      </c>
      <c r="D93" s="51" t="inlineStr">
        <is>
          <t>34 FBR 781</t>
        </is>
      </c>
      <c r="E93" s="51" t="inlineStr">
        <is>
          <t>MEVLÜT POLAT</t>
        </is>
      </c>
      <c r="F93" s="53" t="n">
        <v>355343</v>
      </c>
      <c r="G93" s="156" t="n"/>
      <c r="H93" s="156" t="n">
        <v>493</v>
      </c>
      <c r="I93" s="156">
        <f>+I92+(G93-H93)</f>
        <v/>
      </c>
      <c r="J93" s="79" t="n">
        <v>45.718</v>
      </c>
      <c r="K93" s="166" t="n"/>
      <c r="L93" s="158">
        <f>+H93*J93</f>
        <v/>
      </c>
      <c r="M93" s="159">
        <f>SUM(M92+K93-L93)</f>
        <v/>
      </c>
    </row>
    <row r="94">
      <c r="A94" s="151" t="n">
        <v>46030</v>
      </c>
      <c r="B94" s="67" t="n">
        <v>3478</v>
      </c>
      <c r="C94" s="52" t="inlineStr">
        <is>
          <t>SELİM İNŞAAT</t>
        </is>
      </c>
      <c r="D94" s="51" t="inlineStr">
        <is>
          <t>34 EDB 754</t>
        </is>
      </c>
      <c r="E94" s="51" t="inlineStr">
        <is>
          <t>MUSTAFA KAYA</t>
        </is>
      </c>
      <c r="F94" s="53" t="n">
        <v>365642</v>
      </c>
      <c r="G94" s="156" t="n"/>
      <c r="H94" s="156" t="n">
        <v>518</v>
      </c>
      <c r="I94" s="156">
        <f>+I93+(G94-H94)</f>
        <v/>
      </c>
      <c r="J94" s="79" t="n">
        <v>45.718</v>
      </c>
      <c r="K94" s="166" t="n"/>
      <c r="L94" s="158">
        <f>+H94*J94</f>
        <v/>
      </c>
      <c r="M94" s="159">
        <f>SUM(M93+K94-L94)</f>
        <v/>
      </c>
    </row>
    <row r="95">
      <c r="A95" s="151" t="n">
        <v>46030</v>
      </c>
      <c r="B95" s="67" t="n">
        <v>896</v>
      </c>
      <c r="C95" s="52" t="inlineStr">
        <is>
          <t>SELİM İNŞAAT</t>
        </is>
      </c>
      <c r="D95" s="51" t="inlineStr">
        <is>
          <t>34 FSG 229</t>
        </is>
      </c>
      <c r="E95" s="51" t="inlineStr">
        <is>
          <t>SİNAN TANRIVERDİ</t>
        </is>
      </c>
      <c r="F95" s="53" t="n">
        <v>293363</v>
      </c>
      <c r="G95" s="156" t="n"/>
      <c r="H95" s="156" t="n">
        <v>500</v>
      </c>
      <c r="I95" s="156">
        <f>+I94+(G95-H95)</f>
        <v/>
      </c>
      <c r="J95" s="79" t="n">
        <v>45.718</v>
      </c>
      <c r="K95" s="166" t="n"/>
      <c r="L95" s="158">
        <f>+H95*J95</f>
        <v/>
      </c>
      <c r="M95" s="159">
        <f>SUM(M94+K95-L95)</f>
        <v/>
      </c>
    </row>
    <row r="96">
      <c r="A96" s="151" t="n">
        <v>46030</v>
      </c>
      <c r="B96" s="67" t="n">
        <v>3381</v>
      </c>
      <c r="C96" s="52" t="inlineStr">
        <is>
          <t>SELİM İNŞAAT</t>
        </is>
      </c>
      <c r="D96" s="51" t="inlineStr">
        <is>
          <t>34 EDC 162</t>
        </is>
      </c>
      <c r="E96" s="51" t="inlineStr">
        <is>
          <t xml:space="preserve">YAKUP GÜNER </t>
        </is>
      </c>
      <c r="F96" s="53" t="n">
        <v>409143</v>
      </c>
      <c r="G96" s="156" t="n"/>
      <c r="H96" s="156" t="n">
        <v>441</v>
      </c>
      <c r="I96" s="156">
        <f>+I95+(G96-H96)</f>
        <v/>
      </c>
      <c r="J96" s="79" t="n">
        <v>45.718</v>
      </c>
      <c r="K96" s="166" t="n"/>
      <c r="L96" s="158">
        <f>+H96*J96</f>
        <v/>
      </c>
      <c r="M96" s="159">
        <f>SUM(M95+K96-L96)</f>
        <v/>
      </c>
    </row>
    <row r="97">
      <c r="A97" s="151" t="n">
        <v>46030</v>
      </c>
      <c r="B97" s="67" t="n">
        <v>3165</v>
      </c>
      <c r="C97" s="52" t="inlineStr">
        <is>
          <t>SELİM İNŞAAT</t>
        </is>
      </c>
      <c r="D97" s="51" t="inlineStr">
        <is>
          <t>34 DTV 599</t>
        </is>
      </c>
      <c r="E97" s="51" t="inlineStr">
        <is>
          <t>HÜSEYİN DENİZ</t>
        </is>
      </c>
      <c r="F97" s="53" t="n">
        <v>470725</v>
      </c>
      <c r="G97" s="156" t="n"/>
      <c r="H97" s="156" t="n">
        <v>444</v>
      </c>
      <c r="I97" s="156">
        <f>+I96+(G97-H97)</f>
        <v/>
      </c>
      <c r="J97" s="79" t="n">
        <v>45.718</v>
      </c>
      <c r="K97" s="166" t="n"/>
      <c r="L97" s="158">
        <f>+H97*J97</f>
        <v/>
      </c>
      <c r="M97" s="159">
        <f>SUM(M96+K97-L97)</f>
        <v/>
      </c>
    </row>
    <row r="98">
      <c r="A98" s="151" t="n">
        <v>46030</v>
      </c>
      <c r="B98" s="67" t="n">
        <v>1845</v>
      </c>
      <c r="C98" s="52" t="inlineStr">
        <is>
          <t>SELİM İNŞAAT</t>
        </is>
      </c>
      <c r="D98" s="51" t="inlineStr">
        <is>
          <t>34 EGR 922</t>
        </is>
      </c>
      <c r="E98" s="51" t="inlineStr">
        <is>
          <t>FARUK ÖZEN</t>
        </is>
      </c>
      <c r="F98" s="53" t="n">
        <v>498245</v>
      </c>
      <c r="G98" s="156" t="n"/>
      <c r="H98" s="156" t="n">
        <v>521</v>
      </c>
      <c r="I98" s="156">
        <f>+I97+(G98-H98)</f>
        <v/>
      </c>
      <c r="J98" s="79" t="n">
        <v>45.718</v>
      </c>
      <c r="K98" s="166" t="n"/>
      <c r="L98" s="158">
        <f>+H98*J98</f>
        <v/>
      </c>
      <c r="M98" s="159">
        <f>SUM(M97+K98-L98)</f>
        <v/>
      </c>
    </row>
    <row r="99">
      <c r="A99" s="151" t="n">
        <v>46030</v>
      </c>
      <c r="B99" s="67" t="n">
        <v>239</v>
      </c>
      <c r="C99" s="52" t="inlineStr">
        <is>
          <t>SELİM İNŞAAT</t>
        </is>
      </c>
      <c r="D99" s="51" t="inlineStr">
        <is>
          <t>34 JGR 15</t>
        </is>
      </c>
      <c r="E99" s="51" t="inlineStr">
        <is>
          <t>ÖNER DÜNDAR</t>
        </is>
      </c>
      <c r="F99" s="53" t="n">
        <v>327277</v>
      </c>
      <c r="G99" s="156" t="n"/>
      <c r="H99" s="156" t="n">
        <v>72</v>
      </c>
      <c r="I99" s="156">
        <f>+I98+(G99-H99)</f>
        <v/>
      </c>
      <c r="J99" s="79" t="n">
        <v>45.718</v>
      </c>
      <c r="K99" s="166" t="n"/>
      <c r="L99" s="158">
        <f>+H99*J99</f>
        <v/>
      </c>
      <c r="M99" s="159">
        <f>SUM(M98+K99-L99)</f>
        <v/>
      </c>
    </row>
    <row r="100">
      <c r="A100" s="151" t="n">
        <v>46030</v>
      </c>
      <c r="B100" s="67" t="n">
        <v>3272</v>
      </c>
      <c r="C100" s="52" t="inlineStr">
        <is>
          <t xml:space="preserve">AZGÜN YAPI </t>
        </is>
      </c>
      <c r="D100" s="51" t="inlineStr">
        <is>
          <t xml:space="preserve">35 DTV 263 </t>
        </is>
      </c>
      <c r="E100" s="51" t="inlineStr">
        <is>
          <t>İRFAN DAĞLAR</t>
        </is>
      </c>
      <c r="F100" s="53" t="n"/>
      <c r="G100" s="156" t="n"/>
      <c r="H100" s="156" t="n">
        <v>297</v>
      </c>
      <c r="I100" s="156">
        <f>+I99+(G100-H100)</f>
        <v/>
      </c>
      <c r="J100" s="79" t="n">
        <v>45.718</v>
      </c>
      <c r="K100" s="166" t="n"/>
      <c r="L100" s="158">
        <f>+H100*J100</f>
        <v/>
      </c>
      <c r="M100" s="159">
        <f>SUM(M99+K100-L100)</f>
        <v/>
      </c>
    </row>
    <row r="101">
      <c r="A101" s="151" t="n">
        <v>46030</v>
      </c>
      <c r="B101" s="67" t="n">
        <v>3788</v>
      </c>
      <c r="C101" s="52" t="inlineStr">
        <is>
          <t>METİN ERYİĞİT</t>
        </is>
      </c>
      <c r="D101" s="51" t="inlineStr">
        <is>
          <t>34 GBL 998</t>
        </is>
      </c>
      <c r="E101" s="51" t="inlineStr">
        <is>
          <t>ALİ KESKİN</t>
        </is>
      </c>
      <c r="F101" s="53" t="n">
        <v>329950</v>
      </c>
      <c r="G101" s="156" t="n"/>
      <c r="H101" s="156" t="n">
        <v>377</v>
      </c>
      <c r="I101" s="156">
        <f>+I100+(G101-H101)</f>
        <v/>
      </c>
      <c r="J101" s="79" t="n">
        <v>45.718</v>
      </c>
      <c r="K101" s="166" t="n"/>
      <c r="L101" s="158">
        <f>+H101*J101</f>
        <v/>
      </c>
      <c r="M101" s="159">
        <f>SUM(M100+K101-L101)</f>
        <v/>
      </c>
    </row>
    <row r="102">
      <c r="A102" s="151" t="n">
        <v>46030</v>
      </c>
      <c r="B102" s="67" t="n">
        <v>2737</v>
      </c>
      <c r="C102" s="52" t="inlineStr">
        <is>
          <t>METİN ERYİĞİT</t>
        </is>
      </c>
      <c r="D102" s="51" t="inlineStr">
        <is>
          <t>34 EGR 814</t>
        </is>
      </c>
      <c r="E102" s="51" t="inlineStr">
        <is>
          <t xml:space="preserve">ZİYA İNCE </t>
        </is>
      </c>
      <c r="F102" s="53" t="n"/>
      <c r="G102" s="156" t="n"/>
      <c r="H102" s="156" t="n">
        <v>150</v>
      </c>
      <c r="I102" s="156">
        <f>+I101+(G102-H102)</f>
        <v/>
      </c>
      <c r="J102" s="79" t="n">
        <v>45.718</v>
      </c>
      <c r="K102" s="166" t="n"/>
      <c r="L102" s="158">
        <f>+H102*J102</f>
        <v/>
      </c>
      <c r="M102" s="159">
        <f>SUM(M101+K102-L102)</f>
        <v/>
      </c>
    </row>
    <row r="103">
      <c r="A103" s="151" t="n">
        <v>46030</v>
      </c>
      <c r="B103" s="67" t="n">
        <v>3695</v>
      </c>
      <c r="C103" s="52" t="inlineStr">
        <is>
          <t>METİN ERYİĞİT</t>
        </is>
      </c>
      <c r="D103" s="51" t="inlineStr">
        <is>
          <t>34 EGS 013</t>
        </is>
      </c>
      <c r="E103" s="51" t="inlineStr">
        <is>
          <t>UĞUR DUMAN</t>
        </is>
      </c>
      <c r="F103" s="53" t="n">
        <v>548220</v>
      </c>
      <c r="G103" s="156" t="n"/>
      <c r="H103" s="156" t="n">
        <v>447</v>
      </c>
      <c r="I103" s="156">
        <f>+I102+(G103-H103)</f>
        <v/>
      </c>
      <c r="J103" s="79" t="n">
        <v>45.718</v>
      </c>
      <c r="K103" s="166" t="n"/>
      <c r="L103" s="158">
        <f>+H103*J103</f>
        <v/>
      </c>
      <c r="M103" s="159">
        <f>SUM(M102+K103-L103)</f>
        <v/>
      </c>
    </row>
    <row r="104">
      <c r="A104" s="151" t="n">
        <v>46030</v>
      </c>
      <c r="B104" s="67" t="n">
        <v>2889</v>
      </c>
      <c r="C104" s="52" t="inlineStr">
        <is>
          <t>HASALTUN</t>
        </is>
      </c>
      <c r="D104" s="51" t="inlineStr">
        <is>
          <t>KAZIK MAK</t>
        </is>
      </c>
      <c r="E104" s="51" t="inlineStr">
        <is>
          <t>HASANZEMİN</t>
        </is>
      </c>
      <c r="F104" s="53" t="n"/>
      <c r="G104" s="156" t="n"/>
      <c r="H104" s="156" t="n">
        <v>328</v>
      </c>
      <c r="I104" s="156">
        <f>+I103+(G104-H104)</f>
        <v/>
      </c>
      <c r="J104" s="79" t="n">
        <v>45.718</v>
      </c>
      <c r="K104" s="166" t="n"/>
      <c r="L104" s="158">
        <f>+H104*J104</f>
        <v/>
      </c>
      <c r="M104" s="159">
        <f>SUM(M103+K104-L104)</f>
        <v/>
      </c>
    </row>
    <row r="105">
      <c r="A105" s="151" t="n">
        <v>46030</v>
      </c>
      <c r="B105" s="67" t="n">
        <v>4572</v>
      </c>
      <c r="C105" s="52" t="inlineStr">
        <is>
          <t>AHMET SELİM TEMHA</t>
        </is>
      </c>
      <c r="D105" s="51" t="inlineStr">
        <is>
          <t>34 DG 422</t>
        </is>
      </c>
      <c r="E105" s="51" t="inlineStr">
        <is>
          <t>ERSOY SIĞINMAZ</t>
        </is>
      </c>
      <c r="F105" s="53" t="n"/>
      <c r="G105" s="156" t="n"/>
      <c r="H105" s="156" t="n">
        <v>60</v>
      </c>
      <c r="I105" s="156">
        <f>+I104+(G105-H105)</f>
        <v/>
      </c>
      <c r="J105" s="79" t="n">
        <v>45.718</v>
      </c>
      <c r="K105" s="166" t="n"/>
      <c r="L105" s="158">
        <f>+H105*J105</f>
        <v/>
      </c>
      <c r="M105" s="159">
        <f>SUM(M104+K105-L105)</f>
        <v/>
      </c>
    </row>
    <row r="106">
      <c r="A106" s="151" t="n">
        <v>46030</v>
      </c>
      <c r="B106" s="67" t="n">
        <v>4216</v>
      </c>
      <c r="C106" s="52" t="inlineStr">
        <is>
          <t>HASALTUN</t>
        </is>
      </c>
      <c r="D106" s="51" t="inlineStr">
        <is>
          <t>FORKLİFT</t>
        </is>
      </c>
      <c r="E106" s="51" t="inlineStr">
        <is>
          <t xml:space="preserve">FAHRİ KALFA </t>
        </is>
      </c>
      <c r="F106" s="53" t="n"/>
      <c r="G106" s="156" t="n"/>
      <c r="H106" s="156" t="n">
        <v>161</v>
      </c>
      <c r="I106" s="156">
        <f>+I105+(G106-H106)</f>
        <v/>
      </c>
      <c r="J106" s="79" t="n">
        <v>45.718</v>
      </c>
      <c r="K106" s="166" t="n"/>
      <c r="L106" s="158">
        <f>+H106*J106</f>
        <v/>
      </c>
      <c r="M106" s="159">
        <f>SUM(M105+K106-L106)</f>
        <v/>
      </c>
    </row>
    <row r="107">
      <c r="A107" s="151" t="n">
        <v>46030</v>
      </c>
      <c r="B107" s="67" t="n">
        <v>4217</v>
      </c>
      <c r="C107" s="52" t="inlineStr">
        <is>
          <t>MEGA VARLIK</t>
        </is>
      </c>
      <c r="D107" s="51" t="inlineStr">
        <is>
          <t>SM300</t>
        </is>
      </c>
      <c r="E107" s="51" t="inlineStr">
        <is>
          <t>MEHMET ALİ  SANCAK</t>
        </is>
      </c>
      <c r="F107" s="53" t="n"/>
      <c r="G107" s="156" t="n"/>
      <c r="H107" s="156" t="n">
        <v>322</v>
      </c>
      <c r="I107" s="156">
        <f>+I106+(G107-H107)</f>
        <v/>
      </c>
      <c r="J107" s="79" t="n">
        <v>45.718</v>
      </c>
      <c r="K107" s="166" t="n"/>
      <c r="L107" s="158">
        <f>+H107*J107</f>
        <v/>
      </c>
      <c r="M107" s="159">
        <f>SUM(M106+K107-L107)</f>
        <v/>
      </c>
    </row>
    <row r="108">
      <c r="A108" s="151" t="n">
        <v>46031</v>
      </c>
      <c r="B108" s="67" t="n">
        <v>2785</v>
      </c>
      <c r="C108" s="52" t="inlineStr">
        <is>
          <t>SELİM İNŞAAT</t>
        </is>
      </c>
      <c r="D108" s="51" t="inlineStr">
        <is>
          <t>34 EDC 086</t>
        </is>
      </c>
      <c r="E108" s="51" t="inlineStr">
        <is>
          <t>SEZGİN KOCAGİL</t>
        </is>
      </c>
      <c r="F108" s="53" t="n">
        <v>369668</v>
      </c>
      <c r="G108" s="156" t="n"/>
      <c r="H108" s="156" t="n">
        <v>439</v>
      </c>
      <c r="I108" s="156">
        <f>+I107+(G108-H108)</f>
        <v/>
      </c>
      <c r="J108" s="79" t="n">
        <v>45.718</v>
      </c>
      <c r="K108" s="166" t="n"/>
      <c r="L108" s="158">
        <f>+H108*J108</f>
        <v/>
      </c>
      <c r="M108" s="159">
        <f>SUM(M107+K108-L108)</f>
        <v/>
      </c>
    </row>
    <row r="109">
      <c r="A109" s="151" t="n">
        <v>46031</v>
      </c>
      <c r="B109" s="67" t="n">
        <v>252</v>
      </c>
      <c r="C109" s="52" t="inlineStr">
        <is>
          <t>SELİM İNŞAAT</t>
        </is>
      </c>
      <c r="D109" s="51" t="inlineStr">
        <is>
          <t>34 DHC 393</t>
        </is>
      </c>
      <c r="E109" s="51" t="inlineStr">
        <is>
          <t>ATA KIZMAZ</t>
        </is>
      </c>
      <c r="F109" s="53" t="n">
        <v>457872</v>
      </c>
      <c r="G109" s="156" t="n"/>
      <c r="H109" s="156" t="n">
        <v>470</v>
      </c>
      <c r="I109" s="156">
        <f>+I108+(G109-H109)</f>
        <v/>
      </c>
      <c r="J109" s="79" t="n">
        <v>45.718</v>
      </c>
      <c r="K109" s="166" t="n"/>
      <c r="L109" s="158">
        <f>+H109*J109</f>
        <v/>
      </c>
      <c r="M109" s="159">
        <f>SUM(M108+K109-L109)</f>
        <v/>
      </c>
    </row>
    <row r="110">
      <c r="A110" s="151" t="n">
        <v>46031</v>
      </c>
      <c r="B110" s="67" t="n">
        <v>3823</v>
      </c>
      <c r="C110" s="52" t="inlineStr">
        <is>
          <t>SELİM İNŞAAT</t>
        </is>
      </c>
      <c r="D110" s="51" t="inlineStr">
        <is>
          <t>34 GYZ 635</t>
        </is>
      </c>
      <c r="E110" s="51" t="inlineStr">
        <is>
          <t>ADEM DENİZ</t>
        </is>
      </c>
      <c r="F110" s="53" t="n">
        <v>220016</v>
      </c>
      <c r="G110" s="156" t="n"/>
      <c r="H110" s="156" t="n">
        <v>561</v>
      </c>
      <c r="I110" s="156">
        <f>+I109+(G110-H110)</f>
        <v/>
      </c>
      <c r="J110" s="79" t="n">
        <v>45.718</v>
      </c>
      <c r="K110" s="166" t="n"/>
      <c r="L110" s="158">
        <f>+H110*J110</f>
        <v/>
      </c>
      <c r="M110" s="159">
        <f>SUM(M109+K110-L110)</f>
        <v/>
      </c>
    </row>
    <row r="111">
      <c r="A111" s="151" t="n">
        <v>46031</v>
      </c>
      <c r="B111" s="67" t="n">
        <v>4107</v>
      </c>
      <c r="C111" s="52" t="inlineStr">
        <is>
          <t>SELİM İNŞAAT</t>
        </is>
      </c>
      <c r="D111" s="51" t="inlineStr">
        <is>
          <t>34 EDB 659</t>
        </is>
      </c>
      <c r="E111" s="51" t="inlineStr">
        <is>
          <t>MEHMET SAİT ANIK</t>
        </is>
      </c>
      <c r="F111" s="53" t="n">
        <v>383624</v>
      </c>
      <c r="G111" s="156" t="n"/>
      <c r="H111" s="156" t="n">
        <v>509</v>
      </c>
      <c r="I111" s="156">
        <f>+I110+(G111-H111)</f>
        <v/>
      </c>
      <c r="J111" s="79" t="n">
        <v>45.718</v>
      </c>
      <c r="K111" s="166" t="n"/>
      <c r="L111" s="158">
        <f>+H111*J111</f>
        <v/>
      </c>
      <c r="M111" s="159">
        <f>SUM(M110+K111-L111)</f>
        <v/>
      </c>
    </row>
    <row r="112">
      <c r="A112" s="151" t="n">
        <v>46031</v>
      </c>
      <c r="B112" s="67" t="n">
        <v>4162</v>
      </c>
      <c r="C112" s="52" t="inlineStr">
        <is>
          <t>SELİM İNŞAAT</t>
        </is>
      </c>
      <c r="D112" s="51" t="inlineStr">
        <is>
          <t>34 FBR 748</t>
        </is>
      </c>
      <c r="E112" s="51" t="inlineStr">
        <is>
          <t>YAŞAR ÖZKAYA</t>
        </is>
      </c>
      <c r="F112" s="53" t="n">
        <v>318827</v>
      </c>
      <c r="G112" s="156" t="n"/>
      <c r="H112" s="156" t="n">
        <v>363</v>
      </c>
      <c r="I112" s="156">
        <f>+I111+(G112-H112)</f>
        <v/>
      </c>
      <c r="J112" s="79" t="n">
        <v>45.718</v>
      </c>
      <c r="K112" s="166" t="n"/>
      <c r="L112" s="158">
        <f>+H112*J112</f>
        <v/>
      </c>
      <c r="M112" s="159">
        <f>SUM(M111+K112-L112)</f>
        <v/>
      </c>
    </row>
    <row r="113">
      <c r="A113" s="151" t="n">
        <v>46031</v>
      </c>
      <c r="B113" s="67" t="n">
        <v>4958</v>
      </c>
      <c r="C113" s="52" t="inlineStr">
        <is>
          <t>SELİM İNŞAAT</t>
        </is>
      </c>
      <c r="D113" s="51" t="inlineStr">
        <is>
          <t>34 GVZ 745</t>
        </is>
      </c>
      <c r="E113" s="51" t="inlineStr">
        <is>
          <t>MURAT DEMİRBAŞ</t>
        </is>
      </c>
      <c r="F113" s="53" t="n">
        <v>239752</v>
      </c>
      <c r="G113" s="156" t="n"/>
      <c r="H113" s="156" t="n">
        <v>524</v>
      </c>
      <c r="I113" s="156">
        <f>+I112+(G113-H113)</f>
        <v/>
      </c>
      <c r="J113" s="79" t="n">
        <v>45.718</v>
      </c>
      <c r="K113" s="166" t="n"/>
      <c r="L113" s="158">
        <f>+H113*J113</f>
        <v/>
      </c>
      <c r="M113" s="159">
        <f>SUM(M112+K113-L113)</f>
        <v/>
      </c>
    </row>
    <row r="114">
      <c r="A114" s="151" t="n">
        <v>46031</v>
      </c>
      <c r="B114" s="67" t="n">
        <v>4864</v>
      </c>
      <c r="C114" s="52" t="inlineStr">
        <is>
          <t>SELİM İNŞAAT</t>
        </is>
      </c>
      <c r="D114" s="51" t="inlineStr">
        <is>
          <t>34 FBR 705</t>
        </is>
      </c>
      <c r="E114" s="51" t="inlineStr">
        <is>
          <t>MURAT SARI</t>
        </is>
      </c>
      <c r="F114" s="53" t="n">
        <v>355386</v>
      </c>
      <c r="G114" s="156" t="n"/>
      <c r="H114" s="156" t="n">
        <v>449</v>
      </c>
      <c r="I114" s="156">
        <f>+I113+(G114-H114)</f>
        <v/>
      </c>
      <c r="J114" s="79" t="n">
        <v>45.718</v>
      </c>
      <c r="K114" s="166" t="n"/>
      <c r="L114" s="158">
        <f>+H114*J114</f>
        <v/>
      </c>
      <c r="M114" s="159">
        <f>SUM(M113+K114-L114)</f>
        <v/>
      </c>
    </row>
    <row r="115">
      <c r="A115" s="151" t="n">
        <v>46031</v>
      </c>
      <c r="B115" s="67" t="n">
        <v>3322</v>
      </c>
      <c r="C115" s="52" t="inlineStr">
        <is>
          <t>SELİM İNŞAAT</t>
        </is>
      </c>
      <c r="D115" s="51" t="inlineStr">
        <is>
          <t>34 GUS 938</t>
        </is>
      </c>
      <c r="E115" s="51" t="inlineStr">
        <is>
          <t>MEHMET KAYA</t>
        </is>
      </c>
      <c r="F115" s="53" t="n">
        <v>240585</v>
      </c>
      <c r="G115" s="156" t="n"/>
      <c r="H115" s="156" t="n">
        <v>350</v>
      </c>
      <c r="I115" s="156">
        <f>+I114+(G115-H115)</f>
        <v/>
      </c>
      <c r="J115" s="79" t="n">
        <v>45.718</v>
      </c>
      <c r="K115" s="166" t="n"/>
      <c r="L115" s="158">
        <f>+H115*J115</f>
        <v/>
      </c>
      <c r="M115" s="159">
        <f>SUM(M114+K115-L115)</f>
        <v/>
      </c>
    </row>
    <row r="116">
      <c r="A116" s="151" t="n">
        <v>46031</v>
      </c>
      <c r="B116" s="67" t="n">
        <v>3419</v>
      </c>
      <c r="C116" s="52" t="inlineStr">
        <is>
          <t>SELİM İNŞAAT</t>
        </is>
      </c>
      <c r="D116" s="51" t="inlineStr">
        <is>
          <t>34 GVZ 310</t>
        </is>
      </c>
      <c r="E116" s="51" t="inlineStr">
        <is>
          <t>CELAL YÜZBAŞI</t>
        </is>
      </c>
      <c r="F116" s="53" t="n">
        <v>241013</v>
      </c>
      <c r="G116" s="156" t="n"/>
      <c r="H116" s="156" t="n">
        <v>519</v>
      </c>
      <c r="I116" s="156">
        <f>+I115+(G116-H116)</f>
        <v/>
      </c>
      <c r="J116" s="79" t="n">
        <v>45.718</v>
      </c>
      <c r="K116" s="166" t="n"/>
      <c r="L116" s="158">
        <f>+H116*J116</f>
        <v/>
      </c>
      <c r="M116" s="159">
        <f>SUM(M115+K116-L116)</f>
        <v/>
      </c>
    </row>
    <row r="117">
      <c r="A117" s="151" t="n">
        <v>46031</v>
      </c>
      <c r="B117" s="67" t="n">
        <v>4763</v>
      </c>
      <c r="C117" s="52" t="inlineStr">
        <is>
          <t>SELİM İNŞAAT</t>
        </is>
      </c>
      <c r="D117" s="51" t="inlineStr">
        <is>
          <t>34 DGP 137</t>
        </is>
      </c>
      <c r="E117" s="51" t="inlineStr">
        <is>
          <t xml:space="preserve">GÜRAY KOYUNCU </t>
        </is>
      </c>
      <c r="F117" s="53" t="n">
        <v>471532</v>
      </c>
      <c r="G117" s="156" t="n"/>
      <c r="H117" s="156" t="n">
        <v>426</v>
      </c>
      <c r="I117" s="156">
        <f>+I116+(G117-H117)</f>
        <v/>
      </c>
      <c r="J117" s="79" t="n">
        <v>45.718</v>
      </c>
      <c r="K117" s="166" t="n"/>
      <c r="L117" s="158">
        <f>+H117*J117</f>
        <v/>
      </c>
      <c r="M117" s="159">
        <f>SUM(M116+K117-L117)</f>
        <v/>
      </c>
    </row>
    <row r="118">
      <c r="A118" s="151" t="n">
        <v>46031</v>
      </c>
      <c r="B118" s="67" t="n">
        <v>4410</v>
      </c>
      <c r="C118" s="52" t="inlineStr">
        <is>
          <t>SELİM İNŞAAT</t>
        </is>
      </c>
      <c r="D118" s="51" t="inlineStr">
        <is>
          <t>34 DTV 409</t>
        </is>
      </c>
      <c r="E118" s="51" t="inlineStr">
        <is>
          <t>ADNAN KOÇ</t>
        </is>
      </c>
      <c r="F118" s="53" t="n">
        <v>449390</v>
      </c>
      <c r="G118" s="156" t="n"/>
      <c r="H118" s="156" t="n">
        <v>500</v>
      </c>
      <c r="I118" s="156">
        <f>+I117+(G118-H118)</f>
        <v/>
      </c>
      <c r="J118" s="79" t="n">
        <v>45.718</v>
      </c>
      <c r="K118" s="166" t="n"/>
      <c r="L118" s="158">
        <f>+H118*J118</f>
        <v/>
      </c>
      <c r="M118" s="159">
        <f>SUM(M117+K118-L118)</f>
        <v/>
      </c>
    </row>
    <row r="119">
      <c r="A119" s="151" t="n">
        <v>46031</v>
      </c>
      <c r="B119" s="67" t="n">
        <v>4810</v>
      </c>
      <c r="C119" s="52" t="inlineStr">
        <is>
          <t>SELİM İNŞAAT</t>
        </is>
      </c>
      <c r="D119" s="51" t="inlineStr">
        <is>
          <t>34 EDB 559</t>
        </is>
      </c>
      <c r="E119" s="51" t="inlineStr">
        <is>
          <t>AZİZ ORUÇ</t>
        </is>
      </c>
      <c r="F119" s="53" t="n">
        <v>358381</v>
      </c>
      <c r="G119" s="156" t="n"/>
      <c r="H119" s="156" t="n">
        <v>440</v>
      </c>
      <c r="I119" s="156">
        <f>+I118+(G119-H119)</f>
        <v/>
      </c>
      <c r="J119" s="79" t="n">
        <v>45.718</v>
      </c>
      <c r="K119" s="166" t="n"/>
      <c r="L119" s="158">
        <f>+H119*J119</f>
        <v/>
      </c>
      <c r="M119" s="159">
        <f>SUM(M118+K119-L119)</f>
        <v/>
      </c>
    </row>
    <row r="120">
      <c r="A120" s="151" t="n">
        <v>46031</v>
      </c>
      <c r="B120" s="67" t="n">
        <v>4504</v>
      </c>
      <c r="C120" s="52" t="inlineStr">
        <is>
          <t>SELİM İNŞAAT</t>
        </is>
      </c>
      <c r="D120" s="51" t="inlineStr">
        <is>
          <t>34 DTV 352</t>
        </is>
      </c>
      <c r="E120" s="51" t="inlineStr">
        <is>
          <t>ENGİN DENİZ</t>
        </is>
      </c>
      <c r="F120" s="53" t="n">
        <v>470050</v>
      </c>
      <c r="G120" s="156" t="n"/>
      <c r="H120" s="156" t="n">
        <v>548</v>
      </c>
      <c r="I120" s="156">
        <f>+I119+(G120-H120)</f>
        <v/>
      </c>
      <c r="J120" s="79" t="n">
        <v>45.718</v>
      </c>
      <c r="K120" s="166" t="n"/>
      <c r="L120" s="158">
        <f>+H120*J120</f>
        <v/>
      </c>
      <c r="M120" s="159">
        <f>SUM(M119+K120-L120)</f>
        <v/>
      </c>
    </row>
    <row r="121">
      <c r="A121" s="151" t="n">
        <v>46031</v>
      </c>
      <c r="B121" s="67" t="n">
        <v>4914</v>
      </c>
      <c r="C121" s="52" t="inlineStr">
        <is>
          <t>SELİM İNŞAAT</t>
        </is>
      </c>
      <c r="D121" s="51" t="inlineStr">
        <is>
          <t>34 FBR 742</t>
        </is>
      </c>
      <c r="E121" s="51" t="inlineStr">
        <is>
          <t>ADNAN KOÇ</t>
        </is>
      </c>
      <c r="F121" s="53" t="n">
        <v>359650</v>
      </c>
      <c r="G121" s="156" t="n"/>
      <c r="H121" s="156" t="n">
        <v>455</v>
      </c>
      <c r="I121" s="156">
        <f>+I120+(G121-H121)</f>
        <v/>
      </c>
      <c r="J121" s="79" t="n">
        <v>45.718</v>
      </c>
      <c r="K121" s="166" t="n"/>
      <c r="L121" s="158">
        <f>+H121*J121</f>
        <v/>
      </c>
      <c r="M121" s="159">
        <f>SUM(M120+K121-L121)</f>
        <v/>
      </c>
    </row>
    <row r="122">
      <c r="A122" s="151" t="n">
        <v>46031</v>
      </c>
      <c r="B122" s="67" t="n">
        <v>2289</v>
      </c>
      <c r="C122" s="52" t="inlineStr">
        <is>
          <t>SELİM İNŞAAT</t>
        </is>
      </c>
      <c r="D122" s="51" t="inlineStr">
        <is>
          <t>34 DSN 636</t>
        </is>
      </c>
      <c r="E122" s="51" t="inlineStr">
        <is>
          <t>MAHSUN GÜVEN</t>
        </is>
      </c>
      <c r="F122" s="53" t="n">
        <v>427416</v>
      </c>
      <c r="G122" s="156" t="n"/>
      <c r="H122" s="156" t="n">
        <v>426</v>
      </c>
      <c r="I122" s="156">
        <f>+I121+(G122-H122)</f>
        <v/>
      </c>
      <c r="J122" s="79" t="n">
        <v>45.718</v>
      </c>
      <c r="K122" s="166" t="n"/>
      <c r="L122" s="158">
        <f>+H122*J122</f>
        <v/>
      </c>
      <c r="M122" s="159">
        <f>SUM(M121+K122-L122)</f>
        <v/>
      </c>
    </row>
    <row r="123">
      <c r="A123" s="151" t="n">
        <v>46031</v>
      </c>
      <c r="B123" s="67" t="n">
        <v>2641</v>
      </c>
      <c r="C123" s="52" t="inlineStr">
        <is>
          <t>SELİM İNŞAAT</t>
        </is>
      </c>
      <c r="D123" s="51" t="inlineStr">
        <is>
          <t>34 GU 945</t>
        </is>
      </c>
      <c r="E123" s="51" t="inlineStr">
        <is>
          <t>ABDULKERİM ERGEN</t>
        </is>
      </c>
      <c r="F123" s="53" t="n">
        <v>468896</v>
      </c>
      <c r="G123" s="156" t="n"/>
      <c r="H123" s="156" t="n">
        <v>54</v>
      </c>
      <c r="I123" s="156">
        <f>+I122+(G123-H123)</f>
        <v/>
      </c>
      <c r="J123" s="79" t="n">
        <v>45.718</v>
      </c>
      <c r="K123" s="166" t="n"/>
      <c r="L123" s="158">
        <f>+H123*J123</f>
        <v/>
      </c>
      <c r="M123" s="159">
        <f>SUM(M122+K123-L123)</f>
        <v/>
      </c>
    </row>
    <row r="124">
      <c r="A124" s="151" t="n">
        <v>46031</v>
      </c>
      <c r="B124" s="67" t="n">
        <v>2377</v>
      </c>
      <c r="C124" s="52" t="inlineStr">
        <is>
          <t>SELİM İNŞAAT</t>
        </is>
      </c>
      <c r="D124" s="51" t="inlineStr">
        <is>
          <t>34 FEM 934</t>
        </is>
      </c>
      <c r="E124" s="51" t="inlineStr">
        <is>
          <t>YAKUP URUCU</t>
        </is>
      </c>
      <c r="F124" s="53" t="n">
        <v>329223</v>
      </c>
      <c r="G124" s="156" t="n"/>
      <c r="H124" s="156" t="n">
        <v>40</v>
      </c>
      <c r="I124" s="156">
        <f>+I123+(G124-H124)</f>
        <v/>
      </c>
      <c r="J124" s="79" t="n">
        <v>45.718</v>
      </c>
      <c r="K124" s="166" t="n"/>
      <c r="L124" s="158">
        <f>+H124*J124</f>
        <v/>
      </c>
      <c r="M124" s="159">
        <f>SUM(M123+K124-L124)</f>
        <v/>
      </c>
    </row>
    <row r="125">
      <c r="A125" s="151" t="n">
        <v>46031</v>
      </c>
      <c r="B125" s="67" t="n">
        <v>2527</v>
      </c>
      <c r="C125" s="52" t="inlineStr">
        <is>
          <t xml:space="preserve">AZGÜN YAPI </t>
        </is>
      </c>
      <c r="D125" s="51" t="inlineStr">
        <is>
          <t>34 MKT 493</t>
        </is>
      </c>
      <c r="E125" s="51" t="inlineStr">
        <is>
          <t>TURGUT ÇATAL</t>
        </is>
      </c>
      <c r="F125" s="53" t="n"/>
      <c r="G125" s="156" t="n"/>
      <c r="H125" s="156" t="n">
        <v>383</v>
      </c>
      <c r="I125" s="156">
        <f>+I124+(G125-H125)</f>
        <v/>
      </c>
      <c r="J125" s="79" t="n">
        <v>45.718</v>
      </c>
      <c r="K125" s="166" t="n"/>
      <c r="L125" s="158">
        <f>+H125*J125</f>
        <v/>
      </c>
      <c r="M125" s="159">
        <f>SUM(M124+K125-L125)</f>
        <v/>
      </c>
    </row>
    <row r="126">
      <c r="A126" s="151" t="n">
        <v>46031</v>
      </c>
      <c r="B126" s="67" t="n">
        <v>3789</v>
      </c>
      <c r="C126" s="52" t="inlineStr">
        <is>
          <t>METİN ERYİĞİT</t>
        </is>
      </c>
      <c r="D126" s="51" t="inlineStr">
        <is>
          <t>34 GBL 998</t>
        </is>
      </c>
      <c r="E126" s="51" t="inlineStr">
        <is>
          <t>ALİ KESKİN</t>
        </is>
      </c>
      <c r="F126" s="53" t="n">
        <v>330532</v>
      </c>
      <c r="G126" s="156" t="n"/>
      <c r="H126" s="156" t="n">
        <v>242</v>
      </c>
      <c r="I126" s="156">
        <f>+I125+(G126-H126)</f>
        <v/>
      </c>
      <c r="J126" s="79" t="n">
        <v>45.718</v>
      </c>
      <c r="K126" s="166" t="n"/>
      <c r="L126" s="158">
        <f>+H126*J126</f>
        <v/>
      </c>
      <c r="M126" s="159">
        <f>SUM(M125+K126-L126)</f>
        <v/>
      </c>
    </row>
    <row r="127">
      <c r="A127" s="151" t="n">
        <v>46031</v>
      </c>
      <c r="B127" s="67" t="n">
        <v>2738</v>
      </c>
      <c r="C127" s="52" t="inlineStr">
        <is>
          <t>METİN ERYİĞİT</t>
        </is>
      </c>
      <c r="D127" s="51" t="inlineStr">
        <is>
          <t>34 EGR 814</t>
        </is>
      </c>
      <c r="E127" s="51" t="inlineStr">
        <is>
          <t xml:space="preserve">ZİYA İNCE </t>
        </is>
      </c>
      <c r="F127" s="53" t="n">
        <v>594623</v>
      </c>
      <c r="G127" s="156" t="n"/>
      <c r="H127" s="156" t="n">
        <v>360</v>
      </c>
      <c r="I127" s="156">
        <f>+I126+(G127-H127)</f>
        <v/>
      </c>
      <c r="J127" s="79" t="n">
        <v>45.718</v>
      </c>
      <c r="K127" s="166" t="n"/>
      <c r="L127" s="158">
        <f>+H127*J127</f>
        <v/>
      </c>
      <c r="M127" s="159">
        <f>SUM(M126+K127-L127)</f>
        <v/>
      </c>
    </row>
    <row r="128">
      <c r="A128" s="151" t="n">
        <v>46031</v>
      </c>
      <c r="B128" s="67" t="n">
        <v>4573</v>
      </c>
      <c r="C128" s="52" t="inlineStr">
        <is>
          <t>MAHMUT VİNÇ</t>
        </is>
      </c>
      <c r="D128" s="51" t="inlineStr">
        <is>
          <t>34 AH 5401</t>
        </is>
      </c>
      <c r="E128" s="51" t="inlineStr">
        <is>
          <t>YASİN DEMİR</t>
        </is>
      </c>
      <c r="F128" s="53" t="n"/>
      <c r="G128" s="156" t="n"/>
      <c r="H128" s="156" t="n">
        <v>72</v>
      </c>
      <c r="I128" s="156">
        <f>+I127+(G128-H128)</f>
        <v/>
      </c>
      <c r="J128" s="79" t="n">
        <v>45.718</v>
      </c>
      <c r="K128" s="166" t="n"/>
      <c r="L128" s="158">
        <f>+H128*J128</f>
        <v/>
      </c>
      <c r="M128" s="159">
        <f>SUM(M127+K128-L128)</f>
        <v/>
      </c>
    </row>
    <row r="129">
      <c r="A129" s="151" t="n">
        <v>46032</v>
      </c>
      <c r="B129" s="67" t="n">
        <v>3616</v>
      </c>
      <c r="C129" s="52" t="inlineStr">
        <is>
          <t>SELİM İNŞAAT</t>
        </is>
      </c>
      <c r="D129" s="51" t="inlineStr">
        <is>
          <t>34 EDB 922</t>
        </is>
      </c>
      <c r="E129" s="51" t="inlineStr">
        <is>
          <t>ÇAĞDAŞ YÜCESAN</t>
        </is>
      </c>
      <c r="F129" s="53" t="n">
        <v>403344</v>
      </c>
      <c r="G129" s="156" t="n"/>
      <c r="H129" s="156" t="n">
        <v>540</v>
      </c>
      <c r="I129" s="156">
        <f>+I128+(G129-H129)</f>
        <v/>
      </c>
      <c r="J129" s="79" t="n">
        <v>45.718</v>
      </c>
      <c r="K129" s="166" t="n"/>
      <c r="L129" s="158">
        <f>+H129*J129</f>
        <v/>
      </c>
      <c r="M129" s="159">
        <f>SUM(M128+K129-L129)</f>
        <v/>
      </c>
    </row>
    <row r="130">
      <c r="A130" s="151" t="n">
        <v>46032</v>
      </c>
      <c r="B130" s="67" t="n">
        <v>1539</v>
      </c>
      <c r="C130" s="52" t="inlineStr">
        <is>
          <t>SELİM İNŞAAT</t>
        </is>
      </c>
      <c r="D130" s="51" t="inlineStr">
        <is>
          <t>34 GUS 848</t>
        </is>
      </c>
      <c r="E130" s="51" t="inlineStr">
        <is>
          <t>SERDAR BOZKURT</t>
        </is>
      </c>
      <c r="F130" s="53" t="n">
        <v>226255</v>
      </c>
      <c r="G130" s="156" t="n"/>
      <c r="H130" s="156" t="n">
        <v>568</v>
      </c>
      <c r="I130" s="156">
        <f>+I129+(G130-H130)</f>
        <v/>
      </c>
      <c r="J130" s="79" t="n">
        <v>45.718</v>
      </c>
      <c r="K130" s="166" t="n"/>
      <c r="L130" s="158">
        <f>+H130*J130</f>
        <v/>
      </c>
      <c r="M130" s="159">
        <f>SUM(M129+K130-L130)</f>
        <v/>
      </c>
    </row>
    <row r="131">
      <c r="A131" s="151" t="n">
        <v>46032</v>
      </c>
      <c r="B131" s="67" t="n">
        <v>504</v>
      </c>
      <c r="C131" s="52" t="inlineStr">
        <is>
          <t>SELİM İNŞAAT</t>
        </is>
      </c>
      <c r="D131" s="51" t="inlineStr">
        <is>
          <t>34 EGR 737</t>
        </is>
      </c>
      <c r="E131" s="51" t="inlineStr">
        <is>
          <t>CEM MUHTAR</t>
        </is>
      </c>
      <c r="F131" s="53" t="n">
        <v>454058</v>
      </c>
      <c r="G131" s="156" t="n"/>
      <c r="H131" s="156" t="n">
        <v>490</v>
      </c>
      <c r="I131" s="156">
        <f>+I130+(G131-H131)</f>
        <v/>
      </c>
      <c r="J131" s="79" t="n">
        <v>45.718</v>
      </c>
      <c r="K131" s="166" t="n"/>
      <c r="L131" s="158">
        <f>+H131*J131</f>
        <v/>
      </c>
      <c r="M131" s="159">
        <f>SUM(M130+K131-L131)</f>
        <v/>
      </c>
    </row>
    <row r="132">
      <c r="A132" s="151" t="n">
        <v>46032</v>
      </c>
      <c r="B132" s="67" t="n">
        <v>1686</v>
      </c>
      <c r="C132" s="52" t="inlineStr">
        <is>
          <t>SELİM İNŞAAT</t>
        </is>
      </c>
      <c r="D132" s="51" t="inlineStr">
        <is>
          <t>34 DHH 570</t>
        </is>
      </c>
      <c r="E132" s="51" t="inlineStr">
        <is>
          <t>YASİN ÇATAKLI</t>
        </is>
      </c>
      <c r="F132" s="53" t="n">
        <v>470445</v>
      </c>
      <c r="G132" s="156" t="n"/>
      <c r="H132" s="156" t="n">
        <v>524</v>
      </c>
      <c r="I132" s="156">
        <f>+I131+(G132-H132)</f>
        <v/>
      </c>
      <c r="J132" s="79" t="n">
        <v>45.718</v>
      </c>
      <c r="K132" s="166" t="n"/>
      <c r="L132" s="158">
        <f>+H132*J132</f>
        <v/>
      </c>
      <c r="M132" s="159">
        <f>SUM(M131+K132-L132)</f>
        <v/>
      </c>
    </row>
    <row r="133">
      <c r="A133" s="151" t="n">
        <v>46032</v>
      </c>
      <c r="B133" s="67" t="n">
        <v>3382</v>
      </c>
      <c r="C133" s="52" t="inlineStr">
        <is>
          <t>SELİM İNŞAAT</t>
        </is>
      </c>
      <c r="D133" s="51" t="inlineStr">
        <is>
          <t>34 EDC 162</t>
        </is>
      </c>
      <c r="E133" s="51" t="inlineStr">
        <is>
          <t xml:space="preserve">YAKUP GÜNER </t>
        </is>
      </c>
      <c r="F133" s="53" t="n">
        <v>409794</v>
      </c>
      <c r="G133" s="156" t="n"/>
      <c r="H133" s="156" t="n">
        <v>387</v>
      </c>
      <c r="I133" s="156">
        <f>+I132+(G133-H133)</f>
        <v/>
      </c>
      <c r="J133" s="79" t="n">
        <v>45.718</v>
      </c>
      <c r="K133" s="166" t="n"/>
      <c r="L133" s="158">
        <f>+H133*J133</f>
        <v/>
      </c>
      <c r="M133" s="159">
        <f>SUM(M132+K133-L133)</f>
        <v/>
      </c>
    </row>
    <row r="134">
      <c r="A134" s="151" t="n">
        <v>46032</v>
      </c>
      <c r="B134" s="67" t="n">
        <v>2378</v>
      </c>
      <c r="C134" s="52" t="inlineStr">
        <is>
          <t>SELİM İNŞAAT</t>
        </is>
      </c>
      <c r="D134" s="51" t="inlineStr">
        <is>
          <t>34 FEM 934</t>
        </is>
      </c>
      <c r="E134" s="51" t="inlineStr">
        <is>
          <t>YAKUP URUCU</t>
        </is>
      </c>
      <c r="F134" s="53" t="n">
        <v>329391</v>
      </c>
      <c r="G134" s="156" t="n"/>
      <c r="H134" s="156" t="n">
        <v>51</v>
      </c>
      <c r="I134" s="156">
        <f>+I133+(G134-H134)</f>
        <v/>
      </c>
      <c r="J134" s="79" t="n">
        <v>45.718</v>
      </c>
      <c r="K134" s="166" t="n"/>
      <c r="L134" s="158">
        <f>+H134*J134</f>
        <v/>
      </c>
      <c r="M134" s="159">
        <f>SUM(M133+K134-L134)</f>
        <v/>
      </c>
    </row>
    <row r="135">
      <c r="A135" s="151" t="n">
        <v>46032</v>
      </c>
      <c r="B135" s="67" t="n">
        <v>1378</v>
      </c>
      <c r="C135" s="52" t="inlineStr">
        <is>
          <t xml:space="preserve">AZGÜN YAPI </t>
        </is>
      </c>
      <c r="D135" s="51" t="inlineStr">
        <is>
          <t>34 MKT 859</t>
        </is>
      </c>
      <c r="E135" s="51" t="inlineStr">
        <is>
          <t>ONUR CANLI</t>
        </is>
      </c>
      <c r="F135" s="53" t="n">
        <v>89624</v>
      </c>
      <c r="G135" s="156" t="n"/>
      <c r="H135" s="156" t="n">
        <v>448</v>
      </c>
      <c r="I135" s="156">
        <f>+I134+(G135-H135)</f>
        <v/>
      </c>
      <c r="J135" s="79" t="n">
        <v>45.718</v>
      </c>
      <c r="K135" s="166" t="n"/>
      <c r="L135" s="158">
        <f>+H135*J135</f>
        <v/>
      </c>
      <c r="M135" s="159">
        <f>SUM(M134+K135-L135)</f>
        <v/>
      </c>
    </row>
    <row r="136">
      <c r="A136" s="151" t="n">
        <v>46032</v>
      </c>
      <c r="B136" s="67" t="n">
        <v>3273</v>
      </c>
      <c r="C136" s="52" t="inlineStr">
        <is>
          <t xml:space="preserve">AZGÜN YAPI </t>
        </is>
      </c>
      <c r="D136" s="51" t="inlineStr">
        <is>
          <t xml:space="preserve">36 DTV 263 </t>
        </is>
      </c>
      <c r="E136" s="51" t="inlineStr">
        <is>
          <t>İRFAN DAĞLAR</t>
        </is>
      </c>
      <c r="F136" s="53" t="n"/>
      <c r="G136" s="156" t="n"/>
      <c r="H136" s="156" t="n">
        <v>478</v>
      </c>
      <c r="I136" s="156">
        <f>+I135+(G136-H136)</f>
        <v/>
      </c>
      <c r="J136" s="79" t="n">
        <v>45.718</v>
      </c>
      <c r="K136" s="166" t="n"/>
      <c r="L136" s="158">
        <f>+H136*J136</f>
        <v/>
      </c>
      <c r="M136" s="159">
        <f>SUM(M135+K136-L136)</f>
        <v/>
      </c>
    </row>
    <row r="137">
      <c r="A137" s="151" t="n">
        <v>46032</v>
      </c>
      <c r="B137" s="67" t="n">
        <v>3790</v>
      </c>
      <c r="C137" s="52" t="inlineStr">
        <is>
          <t>METİN ERYİĞİT</t>
        </is>
      </c>
      <c r="D137" s="51" t="inlineStr">
        <is>
          <t>34 GBL 998</t>
        </is>
      </c>
      <c r="E137" s="51" t="inlineStr">
        <is>
          <t>ALİ KESKİN</t>
        </is>
      </c>
      <c r="F137" s="53" t="n">
        <v>331588</v>
      </c>
      <c r="G137" s="156" t="n"/>
      <c r="H137" s="156" t="n">
        <v>451</v>
      </c>
      <c r="I137" s="156">
        <f>+I136+(G137-H137)</f>
        <v/>
      </c>
      <c r="J137" s="79" t="n">
        <v>45.718</v>
      </c>
      <c r="K137" s="166" t="n"/>
      <c r="L137" s="158">
        <f>+H137*J137</f>
        <v/>
      </c>
      <c r="M137" s="159">
        <f>SUM(M136+K137-L137)</f>
        <v/>
      </c>
    </row>
    <row r="138">
      <c r="A138" s="151" t="n">
        <v>46032</v>
      </c>
      <c r="B138" s="67" t="n">
        <v>2739</v>
      </c>
      <c r="C138" s="52" t="inlineStr">
        <is>
          <t>METİN ERYİĞİT</t>
        </is>
      </c>
      <c r="D138" s="51" t="inlineStr">
        <is>
          <t>34 EGR 814</t>
        </is>
      </c>
      <c r="E138" s="51" t="inlineStr">
        <is>
          <t xml:space="preserve">ZİYA İNCE </t>
        </is>
      </c>
      <c r="F138" s="53" t="n">
        <v>595243</v>
      </c>
      <c r="G138" s="156" t="n"/>
      <c r="H138" s="156" t="n">
        <v>265</v>
      </c>
      <c r="I138" s="156">
        <f>+I137+(G138-H138)</f>
        <v/>
      </c>
      <c r="J138" s="79" t="n">
        <v>45.718</v>
      </c>
      <c r="K138" s="166" t="n"/>
      <c r="L138" s="158">
        <f>+H138*J138</f>
        <v/>
      </c>
      <c r="M138" s="159">
        <f>SUM(M137+K138-L138)</f>
        <v/>
      </c>
    </row>
    <row r="139">
      <c r="A139" s="151" t="n">
        <v>46032</v>
      </c>
      <c r="B139" s="67" t="n">
        <v>3696</v>
      </c>
      <c r="C139" s="52" t="inlineStr">
        <is>
          <t>METİN ERYİĞİT</t>
        </is>
      </c>
      <c r="D139" s="51" t="inlineStr">
        <is>
          <t>34 EGS 013</t>
        </is>
      </c>
      <c r="E139" s="51" t="inlineStr">
        <is>
          <t>UĞUR DUMAN</t>
        </is>
      </c>
      <c r="F139" s="53" t="n">
        <v>549329</v>
      </c>
      <c r="G139" s="156" t="n"/>
      <c r="H139" s="156" t="n">
        <v>206</v>
      </c>
      <c r="I139" s="156">
        <f>+I138+(G139-H139)</f>
        <v/>
      </c>
      <c r="J139" s="79" t="n">
        <v>45.718</v>
      </c>
      <c r="K139" s="166" t="n"/>
      <c r="L139" s="158">
        <f>+H139*J139</f>
        <v/>
      </c>
      <c r="M139" s="159">
        <f>SUM(M138+K139-L139)</f>
        <v/>
      </c>
    </row>
    <row r="140">
      <c r="A140" s="151" t="n">
        <v>46032</v>
      </c>
      <c r="B140" s="67" t="n">
        <v>4575</v>
      </c>
      <c r="C140" s="52" t="inlineStr">
        <is>
          <t>EVKUR</t>
        </is>
      </c>
      <c r="D140" s="51" t="inlineStr">
        <is>
          <t>FORKLİFT</t>
        </is>
      </c>
      <c r="E140" s="51" t="inlineStr">
        <is>
          <t xml:space="preserve">FAHRİ KALFA </t>
        </is>
      </c>
      <c r="F140" s="53" t="n"/>
      <c r="G140" s="156" t="n"/>
      <c r="H140" s="156" t="n">
        <v>15</v>
      </c>
      <c r="I140" s="156">
        <f>+I139+(G140-H140)</f>
        <v/>
      </c>
      <c r="J140" s="79" t="n">
        <v>45.718</v>
      </c>
      <c r="K140" s="166" t="n"/>
      <c r="L140" s="158">
        <f>+H140*J140</f>
        <v/>
      </c>
      <c r="M140" s="159">
        <f>SUM(M139+K140-L140)</f>
        <v/>
      </c>
    </row>
    <row r="141">
      <c r="A141" s="151" t="n">
        <v>46032</v>
      </c>
      <c r="B141" s="67" t="n">
        <v>4576</v>
      </c>
      <c r="C141" s="52" t="inlineStr">
        <is>
          <t>AHMET SELİM TEMHA</t>
        </is>
      </c>
      <c r="D141" s="51" t="inlineStr">
        <is>
          <t>MANITO</t>
        </is>
      </c>
      <c r="E141" s="51" t="inlineStr">
        <is>
          <t>TURGAY ÇIPLAK</t>
        </is>
      </c>
      <c r="F141" s="53" t="n"/>
      <c r="G141" s="156" t="n"/>
      <c r="H141" s="156" t="n">
        <v>128</v>
      </c>
      <c r="I141" s="156">
        <f>+I140+(G141-H141)</f>
        <v/>
      </c>
      <c r="J141" s="79" t="n">
        <v>45.718</v>
      </c>
      <c r="K141" s="166" t="n"/>
      <c r="L141" s="158">
        <f>+H141*J141</f>
        <v/>
      </c>
      <c r="M141" s="159">
        <f>SUM(M140+K141-L141)</f>
        <v/>
      </c>
    </row>
    <row r="142">
      <c r="A142" s="151" t="n">
        <v>46032</v>
      </c>
      <c r="B142" s="67" t="n">
        <v>4577</v>
      </c>
      <c r="C142" s="52" t="inlineStr">
        <is>
          <t>AHMET SELİM TEMHA</t>
        </is>
      </c>
      <c r="D142" s="51" t="inlineStr">
        <is>
          <t>FORKLİFT</t>
        </is>
      </c>
      <c r="E142" s="51" t="n"/>
      <c r="F142" s="53" t="n"/>
      <c r="G142" s="156" t="n"/>
      <c r="H142" s="156" t="n">
        <v>35</v>
      </c>
      <c r="I142" s="156">
        <f>+I141+(G142-H142)</f>
        <v/>
      </c>
      <c r="J142" s="79" t="n">
        <v>45.718</v>
      </c>
      <c r="K142" s="166" t="n"/>
      <c r="L142" s="158">
        <f>+H142*J142</f>
        <v/>
      </c>
      <c r="M142" s="159">
        <f>SUM(M141+K142-L142)</f>
        <v/>
      </c>
    </row>
    <row r="143">
      <c r="A143" s="151" t="n">
        <v>46032</v>
      </c>
      <c r="B143" s="67" t="n">
        <v>4219</v>
      </c>
      <c r="C143" s="52" t="inlineStr">
        <is>
          <t>VARLIK</t>
        </is>
      </c>
      <c r="D143" s="51" t="inlineStr">
        <is>
          <t>KİRALIK KATO</t>
        </is>
      </c>
      <c r="E143" s="51" t="inlineStr">
        <is>
          <t>GÜNEŞ</t>
        </is>
      </c>
      <c r="F143" s="53" t="n"/>
      <c r="G143" s="156" t="n"/>
      <c r="H143" s="156" t="n">
        <v>46</v>
      </c>
      <c r="I143" s="156">
        <f>+I142+(G143-H143)</f>
        <v/>
      </c>
      <c r="J143" s="79" t="n">
        <v>45.718</v>
      </c>
      <c r="K143" s="166" t="n"/>
      <c r="L143" s="158">
        <f>+H143*J143</f>
        <v/>
      </c>
      <c r="M143" s="159">
        <f>SUM(M142+K143-L143)</f>
        <v/>
      </c>
    </row>
    <row r="144">
      <c r="A144" s="151" t="n">
        <v>46032</v>
      </c>
      <c r="B144" s="67" t="n">
        <v>4220</v>
      </c>
      <c r="C144" s="52" t="inlineStr">
        <is>
          <t>MEGA VARLIK</t>
        </is>
      </c>
      <c r="D144" s="51" t="inlineStr">
        <is>
          <t>FORKLİFT</t>
        </is>
      </c>
      <c r="E144" s="51" t="inlineStr">
        <is>
          <t xml:space="preserve">FAHRİ KALFA </t>
        </is>
      </c>
      <c r="F144" s="53" t="n"/>
      <c r="G144" s="156" t="n"/>
      <c r="H144" s="156" t="n">
        <v>70</v>
      </c>
      <c r="I144" s="156">
        <f>+I143+(G144-H144)</f>
        <v/>
      </c>
      <c r="J144" s="79" t="n">
        <v>45.718</v>
      </c>
      <c r="K144" s="166" t="n"/>
      <c r="L144" s="158">
        <f>+H144*J144</f>
        <v/>
      </c>
      <c r="M144" s="159">
        <f>SUM(M143+K144-L144)</f>
        <v/>
      </c>
    </row>
    <row r="145">
      <c r="A145" s="151" t="n">
        <v>46033</v>
      </c>
      <c r="B145" s="67" t="n">
        <v>4574</v>
      </c>
      <c r="C145" s="52" t="inlineStr">
        <is>
          <t>AHMET SELİM TEMHA</t>
        </is>
      </c>
      <c r="D145" s="51" t="inlineStr">
        <is>
          <t>34 PGT 251</t>
        </is>
      </c>
      <c r="E145" s="51" t="inlineStr">
        <is>
          <t>ERSOY SIĞINMAZ</t>
        </is>
      </c>
      <c r="F145" s="53" t="n"/>
      <c r="G145" s="156" t="n"/>
      <c r="H145" s="156" t="n">
        <v>58</v>
      </c>
      <c r="I145" s="156">
        <f>+I144+(G145-H145)</f>
        <v/>
      </c>
      <c r="J145" s="79" t="n">
        <v>45.718</v>
      </c>
      <c r="K145" s="166" t="n"/>
      <c r="L145" s="158">
        <f>+H145*J145</f>
        <v/>
      </c>
      <c r="M145" s="159">
        <f>SUM(M144+K145-L145)</f>
        <v/>
      </c>
    </row>
    <row r="146">
      <c r="A146" s="151" t="n">
        <v>46033</v>
      </c>
      <c r="B146" s="67" t="n">
        <v>4578</v>
      </c>
      <c r="C146" s="52" t="inlineStr">
        <is>
          <t>ENES SELİM VİNÇ</t>
        </is>
      </c>
      <c r="D146" s="51" t="inlineStr">
        <is>
          <t>34 TB 926</t>
        </is>
      </c>
      <c r="E146" s="51" t="inlineStr">
        <is>
          <t>ENES SELİM</t>
        </is>
      </c>
      <c r="F146" s="53" t="n"/>
      <c r="G146" s="156" t="n"/>
      <c r="H146" s="156" t="n">
        <v>193</v>
      </c>
      <c r="I146" s="156">
        <f>+I145+(G146-H146)</f>
        <v/>
      </c>
      <c r="J146" s="79" t="n">
        <v>45.718</v>
      </c>
      <c r="K146" s="166" t="n"/>
      <c r="L146" s="158">
        <f>+H146*J146</f>
        <v/>
      </c>
      <c r="M146" s="159">
        <f>SUM(M145+K146-L146)</f>
        <v/>
      </c>
    </row>
    <row r="147">
      <c r="A147" s="151" t="n">
        <v>46035</v>
      </c>
      <c r="B147" s="67" t="n">
        <v>2339</v>
      </c>
      <c r="C147" s="52" t="inlineStr">
        <is>
          <t>SELİM İNŞAAT</t>
        </is>
      </c>
      <c r="D147" s="51" t="inlineStr">
        <is>
          <t>34 DP 4161</t>
        </is>
      </c>
      <c r="E147" s="51" t="inlineStr">
        <is>
          <t>RIFAT KARATAY</t>
        </is>
      </c>
      <c r="F147" s="53" t="n">
        <v>319316</v>
      </c>
      <c r="G147" s="156" t="n"/>
      <c r="H147" s="156" t="n">
        <v>292</v>
      </c>
      <c r="I147" s="156">
        <f>+I146+(G147-H147)</f>
        <v/>
      </c>
      <c r="J147" s="79" t="n">
        <v>45.718</v>
      </c>
      <c r="K147" s="166" t="n"/>
      <c r="L147" s="158">
        <f>+H147*J147</f>
        <v/>
      </c>
      <c r="M147" s="159">
        <f>SUM(M146+K147-L147)</f>
        <v/>
      </c>
    </row>
    <row r="148">
      <c r="A148" s="151" t="n">
        <v>46036</v>
      </c>
      <c r="B148" s="67" t="n">
        <v>253</v>
      </c>
      <c r="C148" s="52" t="inlineStr">
        <is>
          <t>SELİM İNŞAAT</t>
        </is>
      </c>
      <c r="D148" s="51" t="inlineStr">
        <is>
          <t>34 DHC 393</t>
        </is>
      </c>
      <c r="E148" s="51" t="inlineStr">
        <is>
          <t>ATA KIZMAZ</t>
        </is>
      </c>
      <c r="F148" s="53" t="n">
        <v>458262</v>
      </c>
      <c r="G148" s="156" t="n"/>
      <c r="H148" s="156" t="n">
        <v>317</v>
      </c>
      <c r="I148" s="156">
        <f>+I147+(G148-H148)</f>
        <v/>
      </c>
      <c r="J148" s="79" t="n">
        <v>45.718</v>
      </c>
      <c r="K148" s="166" t="n"/>
      <c r="L148" s="158">
        <f>+H148*J148</f>
        <v/>
      </c>
      <c r="M148" s="159">
        <f>SUM(M147+K148-L148)</f>
        <v/>
      </c>
    </row>
    <row r="149">
      <c r="A149" s="151" t="n">
        <v>46036</v>
      </c>
      <c r="B149" s="67" t="n">
        <v>1200</v>
      </c>
      <c r="C149" s="52" t="inlineStr">
        <is>
          <t>SELİM İNŞAAT</t>
        </is>
      </c>
      <c r="D149" s="51" t="inlineStr">
        <is>
          <t>34 DSN 536</t>
        </is>
      </c>
      <c r="E149" s="51" t="inlineStr">
        <is>
          <t>SALİH YALÇIN</t>
        </is>
      </c>
      <c r="F149" s="53" t="n">
        <v>442016</v>
      </c>
      <c r="G149" s="156" t="n"/>
      <c r="H149" s="156" t="n">
        <v>486</v>
      </c>
      <c r="I149" s="156">
        <f>+I148+(G149-H149)</f>
        <v/>
      </c>
      <c r="J149" s="79" t="n">
        <v>45.718</v>
      </c>
      <c r="K149" s="166" t="n"/>
      <c r="L149" s="158">
        <f>+H149*J149</f>
        <v/>
      </c>
      <c r="M149" s="159">
        <f>SUM(M148+K149-L149)</f>
        <v/>
      </c>
    </row>
    <row r="150">
      <c r="A150" s="151" t="n">
        <v>46036</v>
      </c>
      <c r="B150" s="67" t="n">
        <v>2642</v>
      </c>
      <c r="C150" s="52" t="inlineStr">
        <is>
          <t>SELİM İNŞAAT</t>
        </is>
      </c>
      <c r="D150" s="51" t="inlineStr">
        <is>
          <t>34 GU 945</t>
        </is>
      </c>
      <c r="E150" s="51" t="inlineStr">
        <is>
          <t>ABDULKERİM ERGEN</t>
        </is>
      </c>
      <c r="F150" s="53" t="n">
        <v>469339</v>
      </c>
      <c r="G150" s="156" t="n"/>
      <c r="H150" s="156" t="n">
        <v>67</v>
      </c>
      <c r="I150" s="156">
        <f>+I149+(G150-H150)</f>
        <v/>
      </c>
      <c r="J150" s="79" t="n">
        <v>45.718</v>
      </c>
      <c r="K150" s="166" t="n"/>
      <c r="L150" s="158">
        <f>+H150*J150</f>
        <v/>
      </c>
      <c r="M150" s="159">
        <f>SUM(M149+K150-L150)</f>
        <v/>
      </c>
    </row>
    <row r="151">
      <c r="A151" s="151" t="n">
        <v>46036</v>
      </c>
      <c r="B151" s="67" t="n">
        <v>1627</v>
      </c>
      <c r="C151" s="52" t="inlineStr">
        <is>
          <t>SELİM İNŞAAT</t>
        </is>
      </c>
      <c r="D151" s="51" t="inlineStr">
        <is>
          <t>34 VF 2620</t>
        </is>
      </c>
      <c r="E151" s="51" t="inlineStr">
        <is>
          <t>RECEP SELİM</t>
        </is>
      </c>
      <c r="F151" s="53" t="n">
        <v>200474</v>
      </c>
      <c r="G151" s="156" t="n"/>
      <c r="H151" s="156" t="n">
        <v>67</v>
      </c>
      <c r="I151" s="156">
        <f>+I150+(G151-H151)</f>
        <v/>
      </c>
      <c r="J151" s="79" t="n">
        <v>45.718</v>
      </c>
      <c r="K151" s="166" t="n"/>
      <c r="L151" s="158">
        <f>+H151*J151</f>
        <v/>
      </c>
      <c r="M151" s="159">
        <f>SUM(M150+K151-L151)</f>
        <v/>
      </c>
    </row>
    <row r="152">
      <c r="A152" s="151" t="n">
        <v>46036</v>
      </c>
      <c r="B152" s="67" t="n">
        <v>3697</v>
      </c>
      <c r="C152" s="52" t="inlineStr">
        <is>
          <t>METİN ERYİĞİT</t>
        </is>
      </c>
      <c r="D152" s="51" t="inlineStr">
        <is>
          <t>34 EGS 013</t>
        </is>
      </c>
      <c r="E152" s="51" t="inlineStr">
        <is>
          <t>UĞUR DUMAN</t>
        </is>
      </c>
      <c r="F152" s="53" t="n">
        <v>550361</v>
      </c>
      <c r="G152" s="156" t="n"/>
      <c r="H152" s="156" t="n">
        <v>315</v>
      </c>
      <c r="I152" s="156">
        <f>+I151+(G152-H152)</f>
        <v/>
      </c>
      <c r="J152" s="79" t="n">
        <v>45.718</v>
      </c>
      <c r="K152" s="166" t="n"/>
      <c r="L152" s="158">
        <f>+H152*J152</f>
        <v/>
      </c>
      <c r="M152" s="159">
        <f>SUM(M151+K152-L152)</f>
        <v/>
      </c>
    </row>
    <row r="153">
      <c r="A153" s="151" t="n">
        <v>46036</v>
      </c>
      <c r="B153" s="67" t="n">
        <v>4579</v>
      </c>
      <c r="C153" s="52" t="inlineStr">
        <is>
          <t xml:space="preserve">GÜRSES </t>
        </is>
      </c>
      <c r="D153" s="51" t="inlineStr">
        <is>
          <t>FORKLİFT</t>
        </is>
      </c>
      <c r="E153" s="51" t="inlineStr">
        <is>
          <t xml:space="preserve">AHMET KALFA </t>
        </is>
      </c>
      <c r="F153" s="53" t="n"/>
      <c r="G153" s="156" t="n"/>
      <c r="H153" s="156" t="n">
        <v>61</v>
      </c>
      <c r="I153" s="156">
        <f>+I152+(G153-H153)</f>
        <v/>
      </c>
      <c r="J153" s="79" t="n">
        <v>45.718</v>
      </c>
      <c r="K153" s="166" t="n"/>
      <c r="L153" s="158">
        <f>+H153*J153</f>
        <v/>
      </c>
      <c r="M153" s="159">
        <f>SUM(M152+K153-L153)</f>
        <v/>
      </c>
    </row>
    <row r="154">
      <c r="A154" s="151" t="n">
        <v>46036</v>
      </c>
      <c r="B154" s="67" t="n">
        <v>4222</v>
      </c>
      <c r="C154" s="52" t="inlineStr">
        <is>
          <t>EVKUR</t>
        </is>
      </c>
      <c r="D154" s="51" t="inlineStr">
        <is>
          <t xml:space="preserve">KAVASAKI </t>
        </is>
      </c>
      <c r="E154" s="51" t="inlineStr">
        <is>
          <t>RAMAZAN</t>
        </is>
      </c>
      <c r="F154" s="53" t="n"/>
      <c r="G154" s="156" t="n"/>
      <c r="H154" s="156" t="n">
        <v>370</v>
      </c>
      <c r="I154" s="156">
        <f>+I153+(G154-H154)</f>
        <v/>
      </c>
      <c r="J154" s="79" t="n">
        <v>45.718</v>
      </c>
      <c r="K154" s="166" t="n"/>
      <c r="L154" s="158">
        <f>+H154*J154</f>
        <v/>
      </c>
      <c r="M154" s="159">
        <f>SUM(M153+K154-L154)</f>
        <v/>
      </c>
    </row>
    <row r="155">
      <c r="A155" s="151" t="n">
        <v>46036</v>
      </c>
      <c r="B155" s="67" t="n">
        <v>4223</v>
      </c>
      <c r="C155" s="52" t="inlineStr">
        <is>
          <t>EVKUR</t>
        </is>
      </c>
      <c r="D155" s="51" t="inlineStr">
        <is>
          <t>KİRALIK KATO</t>
        </is>
      </c>
      <c r="E155" s="51" t="inlineStr">
        <is>
          <t>GÜNEŞ</t>
        </is>
      </c>
      <c r="F155" s="53" t="n"/>
      <c r="G155" s="156" t="n"/>
      <c r="H155" s="156" t="n">
        <v>46</v>
      </c>
      <c r="I155" s="156">
        <f>+I154+(G155-H155)</f>
        <v/>
      </c>
      <c r="J155" s="79" t="n">
        <v>45.718</v>
      </c>
      <c r="K155" s="166" t="n"/>
      <c r="L155" s="158">
        <f>+H155*J155</f>
        <v/>
      </c>
      <c r="M155" s="159">
        <f>SUM(M154+K155-L155)</f>
        <v/>
      </c>
    </row>
    <row r="156">
      <c r="A156" s="151" t="n">
        <v>46036</v>
      </c>
      <c r="B156" s="67" t="n">
        <v>4224</v>
      </c>
      <c r="C156" s="52" t="inlineStr">
        <is>
          <t>VARLIK</t>
        </is>
      </c>
      <c r="D156" s="51" t="inlineStr">
        <is>
          <t xml:space="preserve">JCB </t>
        </is>
      </c>
      <c r="E156" s="51" t="inlineStr">
        <is>
          <t>BAYRAM SANCAK</t>
        </is>
      </c>
      <c r="F156" s="53" t="n"/>
      <c r="G156" s="156" t="n"/>
      <c r="H156" s="156" t="n">
        <v>72</v>
      </c>
      <c r="I156" s="156">
        <f>+I155+(G156-H156)</f>
        <v/>
      </c>
      <c r="J156" s="79" t="n">
        <v>45.718</v>
      </c>
      <c r="K156" s="166" t="n"/>
      <c r="L156" s="158">
        <f>+H156*J156</f>
        <v/>
      </c>
      <c r="M156" s="159">
        <f>SUM(M155+K156-L156)</f>
        <v/>
      </c>
    </row>
    <row r="157">
      <c r="A157" s="151" t="n">
        <v>46037</v>
      </c>
      <c r="B157" s="67" t="n">
        <v>4163</v>
      </c>
      <c r="C157" s="52" t="inlineStr">
        <is>
          <t>SELİM İNŞAAT</t>
        </is>
      </c>
      <c r="D157" s="51" t="inlineStr">
        <is>
          <t>34 FBR 748</t>
        </is>
      </c>
      <c r="E157" s="51" t="inlineStr">
        <is>
          <t>YAŞAR ÖZKAYA</t>
        </is>
      </c>
      <c r="F157" s="53" t="n">
        <v>319300</v>
      </c>
      <c r="G157" s="156" t="n"/>
      <c r="H157" s="156" t="n">
        <v>290</v>
      </c>
      <c r="I157" s="156">
        <f>+I156+(G157-H157)</f>
        <v/>
      </c>
      <c r="J157" s="79" t="n">
        <v>45.718</v>
      </c>
      <c r="K157" s="166" t="n"/>
      <c r="L157" s="158">
        <f>+H157*J157</f>
        <v/>
      </c>
      <c r="M157" s="159">
        <f>SUM(M156+K157-L157)</f>
        <v/>
      </c>
    </row>
    <row r="158">
      <c r="A158" s="151" t="n">
        <v>46037</v>
      </c>
      <c r="B158" s="67" t="n">
        <v>3036</v>
      </c>
      <c r="C158" s="52" t="inlineStr">
        <is>
          <t>SELİM İNŞAAT</t>
        </is>
      </c>
      <c r="D158" s="51" t="inlineStr">
        <is>
          <t>34 FBR 781</t>
        </is>
      </c>
      <c r="E158" s="51" t="inlineStr">
        <is>
          <t>MEVLÜT POLAT</t>
        </is>
      </c>
      <c r="F158" s="53" t="n">
        <v>356192</v>
      </c>
      <c r="G158" s="156" t="n"/>
      <c r="H158" s="156" t="n">
        <v>504</v>
      </c>
      <c r="I158" s="156">
        <f>+I157+(G158-H158)</f>
        <v/>
      </c>
      <c r="J158" s="79" t="n">
        <v>45.718</v>
      </c>
      <c r="K158" s="166" t="n"/>
      <c r="L158" s="158">
        <f>+H158*J158</f>
        <v/>
      </c>
      <c r="M158" s="159">
        <f>SUM(M157+K158-L158)</f>
        <v/>
      </c>
    </row>
    <row r="159">
      <c r="A159" s="151" t="n">
        <v>46037</v>
      </c>
      <c r="B159" s="67" t="n">
        <v>4959</v>
      </c>
      <c r="C159" s="52" t="inlineStr">
        <is>
          <t>SELİM İNŞAAT</t>
        </is>
      </c>
      <c r="D159" s="51" t="inlineStr">
        <is>
          <t>34 GVZ 745</t>
        </is>
      </c>
      <c r="E159" s="51" t="inlineStr">
        <is>
          <t>MURAT DEMİRBAŞ</t>
        </is>
      </c>
      <c r="F159" s="53" t="n">
        <v>240066</v>
      </c>
      <c r="G159" s="156" t="n"/>
      <c r="H159" s="156" t="n">
        <v>297</v>
      </c>
      <c r="I159" s="156">
        <f>+I158+(G159-H159)</f>
        <v/>
      </c>
      <c r="J159" s="79" t="n">
        <v>45.718</v>
      </c>
      <c r="K159" s="166" t="n"/>
      <c r="L159" s="158">
        <f>+H159*J159</f>
        <v/>
      </c>
      <c r="M159" s="159">
        <f>SUM(M158+K159-L159)</f>
        <v/>
      </c>
    </row>
    <row r="160">
      <c r="A160" s="151" t="n">
        <v>46037</v>
      </c>
      <c r="B160" s="67" t="n">
        <v>1902</v>
      </c>
      <c r="C160" s="52" t="inlineStr">
        <is>
          <t>SELİM İNŞAAT</t>
        </is>
      </c>
      <c r="D160" s="51" t="inlineStr">
        <is>
          <t xml:space="preserve">34 GVZ 268 </t>
        </is>
      </c>
      <c r="E160" s="51" t="inlineStr">
        <is>
          <t>KERİM KARAMAN</t>
        </is>
      </c>
      <c r="F160" s="53" t="n">
        <v>244908</v>
      </c>
      <c r="G160" s="156" t="n"/>
      <c r="H160" s="156" t="n">
        <v>485</v>
      </c>
      <c r="I160" s="156">
        <f>+I159+(G160-H160)</f>
        <v/>
      </c>
      <c r="J160" s="79" t="n">
        <v>45.718</v>
      </c>
      <c r="K160" s="166" t="n"/>
      <c r="L160" s="158">
        <f>+H160*J160</f>
        <v/>
      </c>
      <c r="M160" s="159">
        <f>SUM(M159+K160-L160)</f>
        <v/>
      </c>
    </row>
    <row r="161">
      <c r="A161" s="151" t="n">
        <v>46037</v>
      </c>
      <c r="B161" s="67" t="n">
        <v>4865</v>
      </c>
      <c r="C161" s="52" t="inlineStr">
        <is>
          <t>SELİM İNŞAAT</t>
        </is>
      </c>
      <c r="D161" s="51" t="inlineStr">
        <is>
          <t>34 FBR 705</t>
        </is>
      </c>
      <c r="E161" s="51" t="inlineStr">
        <is>
          <t>MURAT SARI</t>
        </is>
      </c>
      <c r="F161" s="53" t="n">
        <v>355876</v>
      </c>
      <c r="G161" s="156" t="n"/>
      <c r="H161" s="156" t="n">
        <v>325</v>
      </c>
      <c r="I161" s="156">
        <f>+I160+(G161-H161)</f>
        <v/>
      </c>
      <c r="J161" s="79" t="n">
        <v>45.718</v>
      </c>
      <c r="K161" s="166" t="n"/>
      <c r="L161" s="158">
        <f>+H161*J161</f>
        <v/>
      </c>
      <c r="M161" s="159">
        <f>SUM(M160+K161-L161)</f>
        <v/>
      </c>
    </row>
    <row r="162">
      <c r="A162" s="151" t="n">
        <v>46037</v>
      </c>
      <c r="B162" s="67" t="n">
        <v>4303</v>
      </c>
      <c r="C162" s="52" t="inlineStr">
        <is>
          <t>SELİM İNŞAAT</t>
        </is>
      </c>
      <c r="D162" s="51" t="inlineStr">
        <is>
          <t>34 DTV 447</t>
        </is>
      </c>
      <c r="E162" s="51" t="inlineStr">
        <is>
          <t>EBUBEKİR KOLDAŞ</t>
        </is>
      </c>
      <c r="F162" s="53" t="n">
        <v>461005</v>
      </c>
      <c r="G162" s="156" t="n"/>
      <c r="H162" s="156" t="n">
        <v>549</v>
      </c>
      <c r="I162" s="156">
        <f>+I161+(G162-H162)</f>
        <v/>
      </c>
      <c r="J162" s="79" t="n">
        <v>45.718</v>
      </c>
      <c r="K162" s="166" t="n"/>
      <c r="L162" s="158">
        <f>+H162*J162</f>
        <v/>
      </c>
      <c r="M162" s="159">
        <f>SUM(M161+K162-L162)</f>
        <v/>
      </c>
    </row>
    <row r="163">
      <c r="A163" s="151" t="n">
        <v>46037</v>
      </c>
      <c r="B163" s="67" t="n">
        <v>3420</v>
      </c>
      <c r="C163" s="52" t="inlineStr">
        <is>
          <t>SELİM İNŞAAT</t>
        </is>
      </c>
      <c r="D163" s="51" t="inlineStr">
        <is>
          <t>34 GVZ 310</t>
        </is>
      </c>
      <c r="E163" s="51" t="inlineStr">
        <is>
          <t>CELAL YÜZBAŞI</t>
        </is>
      </c>
      <c r="F163" s="53" t="n">
        <v>241714</v>
      </c>
      <c r="G163" s="156" t="n"/>
      <c r="H163" s="156" t="n">
        <v>422</v>
      </c>
      <c r="I163" s="156">
        <f>+I162+(G163-H163)</f>
        <v/>
      </c>
      <c r="J163" s="79" t="n">
        <v>45.718</v>
      </c>
      <c r="K163" s="166" t="n"/>
      <c r="L163" s="158">
        <f>+H163*J163</f>
        <v/>
      </c>
      <c r="M163" s="159">
        <f>SUM(M162+K163-L163)</f>
        <v/>
      </c>
    </row>
    <row r="164">
      <c r="A164" s="151" t="n">
        <v>46037</v>
      </c>
      <c r="B164" s="67" t="n">
        <v>4764</v>
      </c>
      <c r="C164" s="52" t="inlineStr">
        <is>
          <t>SELİM İNŞAAT</t>
        </is>
      </c>
      <c r="D164" s="51" t="inlineStr">
        <is>
          <t>34 DGP 137</t>
        </is>
      </c>
      <c r="E164" s="51" t="inlineStr">
        <is>
          <t xml:space="preserve">GÜRAY KOYUNCU </t>
        </is>
      </c>
      <c r="F164" s="53" t="n">
        <v>472300</v>
      </c>
      <c r="G164" s="156" t="n"/>
      <c r="H164" s="156" t="n">
        <v>465</v>
      </c>
      <c r="I164" s="156">
        <f>+I163+(G164-H164)</f>
        <v/>
      </c>
      <c r="J164" s="79" t="n">
        <v>45.718</v>
      </c>
      <c r="K164" s="166" t="n"/>
      <c r="L164" s="158">
        <f>+H164*J164</f>
        <v/>
      </c>
      <c r="M164" s="159">
        <f>SUM(M163+K164-L164)</f>
        <v/>
      </c>
    </row>
    <row r="165">
      <c r="A165" s="151" t="n">
        <v>46037</v>
      </c>
      <c r="B165" s="67" t="n">
        <v>4505</v>
      </c>
      <c r="C165" s="52" t="inlineStr">
        <is>
          <t>SELİM İNŞAAT</t>
        </is>
      </c>
      <c r="D165" s="51" t="inlineStr">
        <is>
          <t>34 DTV 352</t>
        </is>
      </c>
      <c r="E165" s="51" t="inlineStr">
        <is>
          <t>ENGİN DENİZ</t>
        </is>
      </c>
      <c r="F165" s="53" t="n">
        <v>470592</v>
      </c>
      <c r="G165" s="156" t="n"/>
      <c r="H165" s="156" t="n">
        <v>350</v>
      </c>
      <c r="I165" s="156">
        <f>+I164+(G165-H165)</f>
        <v/>
      </c>
      <c r="J165" s="79" t="n">
        <v>45.718</v>
      </c>
      <c r="K165" s="166" t="n"/>
      <c r="L165" s="158">
        <f>+H165*J165</f>
        <v/>
      </c>
      <c r="M165" s="159">
        <f>SUM(M164+K165-L165)</f>
        <v/>
      </c>
    </row>
    <row r="166">
      <c r="A166" s="151" t="n">
        <v>46037</v>
      </c>
      <c r="B166" s="67" t="n">
        <v>2379</v>
      </c>
      <c r="C166" s="52" t="inlineStr">
        <is>
          <t>SELİM İNŞAAT</t>
        </is>
      </c>
      <c r="D166" s="51" t="inlineStr">
        <is>
          <t>34 FEM 934</t>
        </is>
      </c>
      <c r="E166" s="51" t="inlineStr">
        <is>
          <t>YAKUP URUCU</t>
        </is>
      </c>
      <c r="F166" s="53" t="n">
        <v>329651</v>
      </c>
      <c r="G166" s="156" t="n"/>
      <c r="H166" s="156" t="n">
        <v>70</v>
      </c>
      <c r="I166" s="156">
        <f>+I165+(G166-H166)</f>
        <v/>
      </c>
      <c r="J166" s="79" t="n">
        <v>45.718</v>
      </c>
      <c r="K166" s="166" t="n"/>
      <c r="L166" s="158">
        <f>+H166*J166</f>
        <v/>
      </c>
      <c r="M166" s="159">
        <f>SUM(M165+K166-L166)</f>
        <v/>
      </c>
    </row>
    <row r="167">
      <c r="A167" s="151" t="n">
        <v>46037</v>
      </c>
      <c r="B167" s="67" t="n">
        <v>2528</v>
      </c>
      <c r="C167" s="52" t="inlineStr">
        <is>
          <t xml:space="preserve">AZGÜN YAPI </t>
        </is>
      </c>
      <c r="D167" s="51" t="inlineStr">
        <is>
          <t>34 MKT 493</t>
        </is>
      </c>
      <c r="E167" s="51" t="inlineStr">
        <is>
          <t>TURGUT ÇATAL</t>
        </is>
      </c>
      <c r="F167" s="53" t="n"/>
      <c r="G167" s="156" t="n"/>
      <c r="H167" s="156" t="n">
        <v>429</v>
      </c>
      <c r="I167" s="156">
        <f>+I166+(G167-H167)</f>
        <v/>
      </c>
      <c r="J167" s="79" t="n">
        <v>45.718</v>
      </c>
      <c r="K167" s="166" t="n"/>
      <c r="L167" s="158">
        <f>+H167*J167</f>
        <v/>
      </c>
      <c r="M167" s="159">
        <f>SUM(M166+K167-L167)</f>
        <v/>
      </c>
    </row>
    <row r="168">
      <c r="A168" s="151" t="n">
        <v>46037</v>
      </c>
      <c r="B168" s="67" t="n">
        <v>3274</v>
      </c>
      <c r="C168" s="52" t="inlineStr">
        <is>
          <t xml:space="preserve">AZGÜN YAPI </t>
        </is>
      </c>
      <c r="D168" s="51" t="inlineStr">
        <is>
          <t xml:space="preserve">37 DTV 263 </t>
        </is>
      </c>
      <c r="E168" s="51" t="inlineStr">
        <is>
          <t>İRFAN DAĞLAR</t>
        </is>
      </c>
      <c r="F168" s="53" t="n"/>
      <c r="G168" s="156" t="n"/>
      <c r="H168" s="156" t="n">
        <v>225</v>
      </c>
      <c r="I168" s="156">
        <f>+I167+(G168-H168)</f>
        <v/>
      </c>
      <c r="J168" s="79" t="n">
        <v>45.718</v>
      </c>
      <c r="K168" s="166" t="n"/>
      <c r="L168" s="158">
        <f>+H168*J168</f>
        <v/>
      </c>
      <c r="M168" s="159">
        <f>SUM(M167+K168-L168)</f>
        <v/>
      </c>
    </row>
    <row r="169">
      <c r="A169" s="151" t="n">
        <v>46037</v>
      </c>
      <c r="B169" s="67" t="n">
        <v>2740</v>
      </c>
      <c r="C169" s="52" t="inlineStr">
        <is>
          <t>METİN ERYİĞİT</t>
        </is>
      </c>
      <c r="D169" s="51" t="inlineStr">
        <is>
          <t>34 EGR 814</t>
        </is>
      </c>
      <c r="E169" s="51" t="inlineStr">
        <is>
          <t xml:space="preserve">ZİYA İNCE </t>
        </is>
      </c>
      <c r="F169" s="53" t="n">
        <v>596358</v>
      </c>
      <c r="G169" s="156" t="n"/>
      <c r="H169" s="156" t="n">
        <v>450</v>
      </c>
      <c r="I169" s="156">
        <f>+I168+(G169-H169)</f>
        <v/>
      </c>
      <c r="J169" s="79" t="n">
        <v>45.718</v>
      </c>
      <c r="K169" s="166" t="n"/>
      <c r="L169" s="158">
        <f>+H169*J169</f>
        <v/>
      </c>
      <c r="M169" s="159">
        <f>SUM(M168+K169-L169)</f>
        <v/>
      </c>
    </row>
    <row r="170">
      <c r="A170" s="151" t="n">
        <v>46037</v>
      </c>
      <c r="B170" s="67" t="n">
        <v>3698</v>
      </c>
      <c r="C170" s="52" t="inlineStr">
        <is>
          <t>METİN ERYİĞİT</t>
        </is>
      </c>
      <c r="D170" s="51" t="inlineStr">
        <is>
          <t>34 EGS 013</t>
        </is>
      </c>
      <c r="E170" s="51" t="inlineStr">
        <is>
          <t>UĞUR DUMAN</t>
        </is>
      </c>
      <c r="F170" s="53" t="n"/>
      <c r="G170" s="156" t="n"/>
      <c r="H170" s="156" t="n">
        <v>447</v>
      </c>
      <c r="I170" s="156">
        <f>+I169+(G170-H170)</f>
        <v/>
      </c>
      <c r="J170" s="79" t="n">
        <v>45.718</v>
      </c>
      <c r="K170" s="166" t="n"/>
      <c r="L170" s="158">
        <f>+H170*J170</f>
        <v/>
      </c>
      <c r="M170" s="159">
        <f>SUM(M169+K170-L170)</f>
        <v/>
      </c>
    </row>
    <row r="171">
      <c r="A171" s="151" t="n">
        <v>46037</v>
      </c>
      <c r="B171" s="67" t="n">
        <v>4221</v>
      </c>
      <c r="C171" s="52" t="inlineStr">
        <is>
          <t>VARLIK</t>
        </is>
      </c>
      <c r="D171" s="51" t="inlineStr">
        <is>
          <t>SM370</t>
        </is>
      </c>
      <c r="E171" s="51" t="inlineStr">
        <is>
          <t>TEKİN</t>
        </is>
      </c>
      <c r="F171" s="53" t="n"/>
      <c r="G171" s="156" t="n"/>
      <c r="H171" s="156" t="n">
        <v>450</v>
      </c>
      <c r="I171" s="156">
        <f>+I170+(G171-H171)</f>
        <v/>
      </c>
      <c r="J171" s="79" t="n">
        <v>45.718</v>
      </c>
      <c r="K171" s="166" t="n"/>
      <c r="L171" s="158">
        <f>+H171*J171</f>
        <v/>
      </c>
      <c r="M171" s="159">
        <f>SUM(M170+K171-L171)</f>
        <v/>
      </c>
    </row>
    <row r="172">
      <c r="A172" s="151" t="n">
        <v>46037</v>
      </c>
      <c r="B172" s="70" t="n">
        <v>1768</v>
      </c>
      <c r="C172" s="115" t="inlineStr">
        <is>
          <t>SELİM İNŞAAT</t>
        </is>
      </c>
      <c r="D172" s="115" t="inlineStr">
        <is>
          <t>34 JBA 25</t>
        </is>
      </c>
      <c r="E172" s="115" t="inlineStr">
        <is>
          <t>FATİH ÖZBOLAT</t>
        </is>
      </c>
      <c r="F172" s="65" t="n">
        <v>346106</v>
      </c>
      <c r="G172" s="152" t="n"/>
      <c r="H172" s="152" t="n">
        <v>78</v>
      </c>
      <c r="I172" s="156">
        <f>+I171+(G172-H172)</f>
        <v/>
      </c>
      <c r="J172" s="79" t="n">
        <v>45.718</v>
      </c>
      <c r="K172" s="166" t="n"/>
      <c r="L172" s="158">
        <f>+H172*J172</f>
        <v/>
      </c>
      <c r="M172" s="159">
        <f>SUM(M171+K172-L172)</f>
        <v/>
      </c>
    </row>
    <row r="173">
      <c r="A173" s="151" t="n">
        <v>46038</v>
      </c>
      <c r="B173" s="67" t="n">
        <v>2786</v>
      </c>
      <c r="C173" s="52" t="inlineStr">
        <is>
          <t>SELİM İNŞAAT</t>
        </is>
      </c>
      <c r="D173" s="51" t="inlineStr">
        <is>
          <t>34 EDC 086</t>
        </is>
      </c>
      <c r="E173" s="51" t="inlineStr">
        <is>
          <t>SEZGİN KOCAGİL</t>
        </is>
      </c>
      <c r="F173" s="53" t="n">
        <v>370408</v>
      </c>
      <c r="G173" s="156" t="n"/>
      <c r="H173" s="156" t="n">
        <v>478</v>
      </c>
      <c r="I173" s="156">
        <f>+I172+(G173-H173)</f>
        <v/>
      </c>
      <c r="J173" s="79" t="n">
        <v>45.718</v>
      </c>
      <c r="K173" s="166" t="n"/>
      <c r="L173" s="158">
        <f>+H173*J173</f>
        <v/>
      </c>
      <c r="M173" s="159">
        <f>SUM(M172+K173-L173)</f>
        <v/>
      </c>
    </row>
    <row r="174">
      <c r="A174" s="151" t="n">
        <v>46038</v>
      </c>
      <c r="B174" s="67" t="n">
        <v>4008</v>
      </c>
      <c r="C174" s="52" t="inlineStr">
        <is>
          <t>SELİM İNŞAAT</t>
        </is>
      </c>
      <c r="D174" s="51" t="inlineStr">
        <is>
          <t>34 AR 7743</t>
        </is>
      </c>
      <c r="E174" s="51" t="inlineStr">
        <is>
          <t>MEHMET SELİM</t>
        </is>
      </c>
      <c r="F174" s="53" t="n">
        <v>372187</v>
      </c>
      <c r="G174" s="156" t="n"/>
      <c r="H174" s="156" t="n">
        <v>60</v>
      </c>
      <c r="I174" s="156">
        <f>+I173+(G174-H174)</f>
        <v/>
      </c>
      <c r="J174" s="79" t="n">
        <v>45.718</v>
      </c>
      <c r="K174" s="166" t="n"/>
      <c r="L174" s="158">
        <f>+H174*J174</f>
        <v/>
      </c>
      <c r="M174" s="159">
        <f>SUM(M173+K174-L174)</f>
        <v/>
      </c>
    </row>
    <row r="175">
      <c r="A175" s="151" t="n">
        <v>46038</v>
      </c>
      <c r="B175" s="67" t="n">
        <v>240</v>
      </c>
      <c r="C175" s="52" t="inlineStr">
        <is>
          <t>SELİM İNŞAAT</t>
        </is>
      </c>
      <c r="D175" s="51" t="inlineStr">
        <is>
          <t>34 JGR 15</t>
        </is>
      </c>
      <c r="E175" s="51" t="inlineStr">
        <is>
          <t>ÖNER DÜNDAR</t>
        </is>
      </c>
      <c r="F175" s="53" t="n">
        <v>327696</v>
      </c>
      <c r="G175" s="156" t="n"/>
      <c r="H175" s="156" t="n">
        <v>69</v>
      </c>
      <c r="I175" s="156">
        <f>+I174+(G175-H175)</f>
        <v/>
      </c>
      <c r="J175" s="79" t="n">
        <v>45.718</v>
      </c>
      <c r="K175" s="166" t="n"/>
      <c r="L175" s="158">
        <f>+H175*J175</f>
        <v/>
      </c>
      <c r="M175" s="159">
        <f>SUM(M174+K175-L175)</f>
        <v/>
      </c>
    </row>
    <row r="176">
      <c r="A176" s="151" t="n">
        <v>46038</v>
      </c>
      <c r="B176" s="67" t="n">
        <v>3791</v>
      </c>
      <c r="C176" s="52" t="inlineStr">
        <is>
          <t>METİN ERYİĞİT</t>
        </is>
      </c>
      <c r="D176" s="51" t="inlineStr">
        <is>
          <t>34 GBL 998</t>
        </is>
      </c>
      <c r="E176" s="51" t="inlineStr">
        <is>
          <t>ALİ KESKİN</t>
        </is>
      </c>
      <c r="F176" s="53" t="n">
        <v>332585</v>
      </c>
      <c r="G176" s="156" t="n"/>
      <c r="H176" s="156" t="n">
        <v>387</v>
      </c>
      <c r="I176" s="156">
        <f>+I175+(G176-H176)</f>
        <v/>
      </c>
      <c r="J176" s="79" t="n">
        <v>45.718</v>
      </c>
      <c r="K176" s="166" t="n"/>
      <c r="L176" s="158">
        <f>+H176*J176</f>
        <v/>
      </c>
      <c r="M176" s="159">
        <f>SUM(M175+K176-L176)</f>
        <v/>
      </c>
    </row>
    <row r="177">
      <c r="A177" s="151" t="n">
        <v>46038</v>
      </c>
      <c r="B177" s="67" t="n">
        <v>2890</v>
      </c>
      <c r="C177" s="52" t="inlineStr">
        <is>
          <t>HASALTUN</t>
        </is>
      </c>
      <c r="D177" s="51" t="inlineStr">
        <is>
          <t>KAZIK MAK</t>
        </is>
      </c>
      <c r="E177" s="51" t="inlineStr">
        <is>
          <t>HASANZEMİN</t>
        </is>
      </c>
      <c r="F177" s="53" t="n"/>
      <c r="G177" s="156" t="n"/>
      <c r="H177" s="156" t="n">
        <v>400</v>
      </c>
      <c r="I177" s="156">
        <f>+I176+(G177-H177)</f>
        <v/>
      </c>
      <c r="J177" s="79" t="n">
        <v>45.718</v>
      </c>
      <c r="K177" s="166" t="n"/>
      <c r="L177" s="158">
        <f>+H177*J177</f>
        <v/>
      </c>
      <c r="M177" s="159">
        <f>SUM(M176+K177-L177)</f>
        <v/>
      </c>
    </row>
    <row r="178">
      <c r="A178" s="151" t="n">
        <v>46038</v>
      </c>
      <c r="B178" s="67" t="n">
        <v>4580</v>
      </c>
      <c r="C178" s="52" t="inlineStr">
        <is>
          <t>RECEP SELİM OTOKURTARICI</t>
        </is>
      </c>
      <c r="D178" s="51" t="inlineStr">
        <is>
          <t>34 GC 8658</t>
        </is>
      </c>
      <c r="E178" s="51" t="inlineStr">
        <is>
          <t>RECEP SELİM</t>
        </is>
      </c>
      <c r="F178" s="53" t="n"/>
      <c r="G178" s="156" t="n"/>
      <c r="H178" s="156" t="n">
        <v>69</v>
      </c>
      <c r="I178" s="156">
        <f>+I177+(G178-H178)</f>
        <v/>
      </c>
      <c r="J178" s="79" t="n">
        <v>45.718</v>
      </c>
      <c r="K178" s="166" t="n"/>
      <c r="L178" s="158">
        <f>+H178*J178</f>
        <v/>
      </c>
      <c r="M178" s="159">
        <f>SUM(M177+K178-L178)</f>
        <v/>
      </c>
    </row>
    <row r="179">
      <c r="A179" s="151" t="n">
        <v>46038</v>
      </c>
      <c r="B179" s="67" t="n">
        <v>4225</v>
      </c>
      <c r="C179" s="52" t="inlineStr">
        <is>
          <t>EVKUR</t>
        </is>
      </c>
      <c r="D179" s="51" t="inlineStr">
        <is>
          <t>HITACHI</t>
        </is>
      </c>
      <c r="E179" s="51" t="inlineStr">
        <is>
          <t>TURGUT</t>
        </is>
      </c>
      <c r="F179" s="53" t="n"/>
      <c r="G179" s="156" t="n"/>
      <c r="H179" s="156" t="n">
        <v>439</v>
      </c>
      <c r="I179" s="156">
        <f>+I178+(G179-H179)</f>
        <v/>
      </c>
      <c r="J179" s="79" t="n">
        <v>45.718</v>
      </c>
      <c r="K179" s="166" t="n"/>
      <c r="L179" s="158">
        <f>+H179*J179</f>
        <v/>
      </c>
      <c r="M179" s="159">
        <f>SUM(M178+K179-L179)</f>
        <v/>
      </c>
    </row>
    <row r="180">
      <c r="A180" s="151" t="n">
        <v>46038</v>
      </c>
      <c r="B180" s="67" t="n">
        <v>4226</v>
      </c>
      <c r="C180" s="52" t="n"/>
      <c r="D180" s="51" t="inlineStr">
        <is>
          <t>ZOMLION</t>
        </is>
      </c>
      <c r="E180" s="51" t="inlineStr">
        <is>
          <t>BURAK BEY</t>
        </is>
      </c>
      <c r="F180" s="53" t="n"/>
      <c r="G180" s="156" t="n"/>
      <c r="H180" s="156" t="n">
        <v>401</v>
      </c>
      <c r="I180" s="156">
        <f>+I179+(G180-H180)</f>
        <v/>
      </c>
      <c r="J180" s="79" t="n">
        <v>45.718</v>
      </c>
      <c r="K180" s="166" t="n"/>
      <c r="L180" s="158">
        <f>+H180*J180</f>
        <v/>
      </c>
      <c r="M180" s="159">
        <f>SUM(M179+K180-L180)</f>
        <v/>
      </c>
    </row>
    <row r="181">
      <c r="A181" s="151" t="n">
        <v>46039</v>
      </c>
      <c r="B181" s="67" t="n">
        <v>4581</v>
      </c>
      <c r="C181" s="52" t="inlineStr">
        <is>
          <t>AHMET SELİM TEMHA</t>
        </is>
      </c>
      <c r="D181" s="51" t="inlineStr">
        <is>
          <t>34 PGT 251</t>
        </is>
      </c>
      <c r="E181" s="51" t="inlineStr">
        <is>
          <t>ERSOY SIĞINMAZ</t>
        </is>
      </c>
      <c r="F181" s="53" t="n"/>
      <c r="G181" s="156" t="n"/>
      <c r="H181" s="156" t="n">
        <v>53</v>
      </c>
      <c r="I181" s="156">
        <f>+I180+(G181-H181)</f>
        <v/>
      </c>
      <c r="J181" s="79" t="n">
        <v>45.718</v>
      </c>
      <c r="K181" s="166" t="n"/>
      <c r="L181" s="158">
        <f>+H181*J181</f>
        <v/>
      </c>
      <c r="M181" s="159">
        <f>SUM(M180+K181-L181)</f>
        <v/>
      </c>
    </row>
    <row r="182">
      <c r="A182" s="151" t="n">
        <v>46039</v>
      </c>
      <c r="B182" s="67" t="n">
        <v>4227</v>
      </c>
      <c r="C182" s="52" t="inlineStr">
        <is>
          <t>VARLIK</t>
        </is>
      </c>
      <c r="D182" s="51" t="inlineStr">
        <is>
          <t xml:space="preserve">JCB </t>
        </is>
      </c>
      <c r="E182" s="51" t="inlineStr">
        <is>
          <t>BAYRAM SANCAK</t>
        </is>
      </c>
      <c r="F182" s="53" t="n"/>
      <c r="G182" s="156" t="n"/>
      <c r="H182" s="156" t="n">
        <v>82</v>
      </c>
      <c r="I182" s="156">
        <f>+I181+(G182-H182)</f>
        <v/>
      </c>
      <c r="J182" s="79" t="n">
        <v>45.718</v>
      </c>
      <c r="K182" s="166" t="n"/>
      <c r="L182" s="158">
        <f>+H182*J182</f>
        <v/>
      </c>
      <c r="M182" s="159">
        <f>SUM(M181+K182-L182)</f>
        <v/>
      </c>
    </row>
    <row r="183">
      <c r="A183" s="151" t="n">
        <v>46039</v>
      </c>
      <c r="B183" s="67" t="n">
        <v>4228</v>
      </c>
      <c r="C183" s="52" t="inlineStr">
        <is>
          <t>VARLIK</t>
        </is>
      </c>
      <c r="D183" s="51" t="inlineStr">
        <is>
          <t xml:space="preserve">KAVASAKI </t>
        </is>
      </c>
      <c r="E183" s="51" t="inlineStr">
        <is>
          <t>RAMAZAN</t>
        </is>
      </c>
      <c r="F183" s="53" t="n"/>
      <c r="G183" s="156" t="n"/>
      <c r="H183" s="156" t="n">
        <v>295</v>
      </c>
      <c r="I183" s="156">
        <f>+I182+(G183-H183)</f>
        <v/>
      </c>
      <c r="J183" s="79" t="n">
        <v>45.718</v>
      </c>
      <c r="K183" s="166" t="n"/>
      <c r="L183" s="158">
        <f>+H183*J183</f>
        <v/>
      </c>
      <c r="M183" s="159">
        <f>SUM(M182+K183-L183)</f>
        <v/>
      </c>
    </row>
    <row r="184">
      <c r="A184" s="151" t="n">
        <v>46039</v>
      </c>
      <c r="B184" s="67" t="n">
        <v>4229</v>
      </c>
      <c r="C184" s="52" t="inlineStr">
        <is>
          <t>VARLIK</t>
        </is>
      </c>
      <c r="D184" s="51" t="inlineStr">
        <is>
          <t>HITACHI</t>
        </is>
      </c>
      <c r="E184" s="51" t="inlineStr">
        <is>
          <t>TURGUT</t>
        </is>
      </c>
      <c r="F184" s="53" t="n"/>
      <c r="G184" s="156" t="n"/>
      <c r="H184" s="156" t="n">
        <v>350</v>
      </c>
      <c r="I184" s="156">
        <f>+I183+(G184-H184)</f>
        <v/>
      </c>
      <c r="J184" s="79" t="n">
        <v>45.718</v>
      </c>
      <c r="K184" s="166" t="n"/>
      <c r="L184" s="158">
        <f>+H184*J184</f>
        <v/>
      </c>
      <c r="M184" s="159">
        <f>SUM(M183+K184-L184)</f>
        <v/>
      </c>
    </row>
    <row r="185">
      <c r="A185" s="151" t="n">
        <v>46039</v>
      </c>
      <c r="B185" s="70" t="n">
        <v>4583</v>
      </c>
      <c r="C185" s="115" t="inlineStr">
        <is>
          <t>MAHMUT VİNÇ</t>
        </is>
      </c>
      <c r="D185" s="115" t="inlineStr">
        <is>
          <t>34 AH 5401</t>
        </is>
      </c>
      <c r="E185" s="115" t="inlineStr">
        <is>
          <t>YASİN DEMİR</t>
        </is>
      </c>
      <c r="F185" s="65" t="n"/>
      <c r="G185" s="152" t="n"/>
      <c r="H185" s="152" t="n">
        <v>80</v>
      </c>
      <c r="I185" s="156">
        <f>+I184+(G185-H185)</f>
        <v/>
      </c>
      <c r="J185" s="79" t="n">
        <v>45.718</v>
      </c>
      <c r="K185" s="166" t="n"/>
      <c r="L185" s="158">
        <f>+H185*J185</f>
        <v/>
      </c>
      <c r="M185" s="159">
        <f>SUM(M184+K185-L185)</f>
        <v/>
      </c>
    </row>
    <row r="186">
      <c r="A186" s="151" t="n">
        <v>46043</v>
      </c>
      <c r="B186" s="67" t="n">
        <v>4231</v>
      </c>
      <c r="C186" s="115" t="inlineStr">
        <is>
          <t>MEGA VARLIK</t>
        </is>
      </c>
      <c r="D186" s="115" t="inlineStr">
        <is>
          <t>SM 350</t>
        </is>
      </c>
      <c r="E186" s="115" t="inlineStr">
        <is>
          <t xml:space="preserve">MİKAİL BAYILMAZ </t>
        </is>
      </c>
      <c r="F186" s="65" t="n"/>
      <c r="G186" s="152" t="n"/>
      <c r="H186" s="152" t="n">
        <v>458</v>
      </c>
      <c r="I186" s="156">
        <f>+I185+(G186-H186)</f>
        <v/>
      </c>
      <c r="J186" s="79" t="n">
        <v>45.718</v>
      </c>
      <c r="K186" s="166" t="n"/>
      <c r="L186" s="158">
        <f>+H186*J186</f>
        <v/>
      </c>
      <c r="M186" s="159">
        <f>SUM(M185+K186-L186)</f>
        <v/>
      </c>
    </row>
    <row r="187">
      <c r="A187" s="151" t="n">
        <v>46043</v>
      </c>
      <c r="B187" s="67" t="n">
        <v>4232</v>
      </c>
      <c r="C187" s="115" t="inlineStr">
        <is>
          <t>EVKUR</t>
        </is>
      </c>
      <c r="D187" s="115" t="inlineStr">
        <is>
          <t>KİRALIK KATO</t>
        </is>
      </c>
      <c r="E187" s="115" t="inlineStr">
        <is>
          <t>GÜNEŞ</t>
        </is>
      </c>
      <c r="F187" s="65" t="n"/>
      <c r="G187" s="152" t="n"/>
      <c r="H187" s="152" t="n">
        <v>38</v>
      </c>
      <c r="I187" s="156">
        <f>+I186+(G187-H187)</f>
        <v/>
      </c>
      <c r="J187" s="79" t="n">
        <v>45.718</v>
      </c>
      <c r="K187" s="166" t="n"/>
      <c r="L187" s="158">
        <f>+H187*J187</f>
        <v/>
      </c>
      <c r="M187" s="159">
        <f>SUM(M186+K187-L187)</f>
        <v/>
      </c>
    </row>
    <row r="188">
      <c r="A188" s="151" t="n">
        <v>46043</v>
      </c>
      <c r="B188" s="67" t="n">
        <v>4233</v>
      </c>
      <c r="C188" s="115" t="inlineStr">
        <is>
          <t>VARLIK</t>
        </is>
      </c>
      <c r="D188" s="115" t="inlineStr">
        <is>
          <t>FORKLİFT</t>
        </is>
      </c>
      <c r="E188" s="115" t="inlineStr">
        <is>
          <t xml:space="preserve">FAHRİ KALFA </t>
        </is>
      </c>
      <c r="F188" s="65" t="n"/>
      <c r="G188" s="152" t="n"/>
      <c r="H188" s="152" t="n">
        <v>83</v>
      </c>
      <c r="I188" s="156">
        <f>+I187+(G188-H188)</f>
        <v/>
      </c>
      <c r="J188" s="79" t="n">
        <v>45.718</v>
      </c>
      <c r="K188" s="166" t="n"/>
      <c r="L188" s="158">
        <f>+H188*J188</f>
        <v/>
      </c>
      <c r="M188" s="159">
        <f>SUM(M187+K188-L188)</f>
        <v/>
      </c>
    </row>
    <row r="189">
      <c r="A189" s="167" t="n">
        <v>46044</v>
      </c>
      <c r="B189" s="83" t="n">
        <v>132</v>
      </c>
      <c r="C189" s="84" t="inlineStr">
        <is>
          <t>ÜNSOY TURİZM İNŞ.SAN.VE TİC.A.Ş.</t>
        </is>
      </c>
      <c r="D189" s="84" t="n"/>
      <c r="E189" s="84" t="n"/>
      <c r="F189" s="85" t="n"/>
      <c r="G189" s="168" t="n">
        <v>31736</v>
      </c>
      <c r="H189" s="168" t="n"/>
      <c r="I189" s="168">
        <f>+I188+(G189-H189)</f>
        <v/>
      </c>
      <c r="J189" s="87">
        <f>+K189/G189</f>
        <v/>
      </c>
      <c r="K189" s="169" t="n">
        <v>1542369.6</v>
      </c>
      <c r="L189" s="170">
        <f>+H189*J189</f>
        <v/>
      </c>
      <c r="M189" s="159">
        <f>SUM(M188+K189-L189)</f>
        <v/>
      </c>
    </row>
    <row r="190">
      <c r="A190" s="151" t="n">
        <v>46044</v>
      </c>
      <c r="B190" s="67" t="n">
        <v>4234</v>
      </c>
      <c r="C190" s="115" t="n"/>
      <c r="D190" s="115" t="inlineStr">
        <is>
          <t xml:space="preserve">34 AZ 2191 </t>
        </is>
      </c>
      <c r="E190" s="115" t="inlineStr">
        <is>
          <t>NUMAN KABİL</t>
        </is>
      </c>
      <c r="F190" s="65" t="n"/>
      <c r="G190" s="152" t="n"/>
      <c r="H190" s="152" t="n">
        <v>227</v>
      </c>
      <c r="I190" s="156">
        <f>+I189+(G190-H190)</f>
        <v/>
      </c>
      <c r="J190" s="90" t="n">
        <v>48.6</v>
      </c>
      <c r="K190" s="166" t="n"/>
      <c r="L190" s="158">
        <f>+H190*J190</f>
        <v/>
      </c>
      <c r="M190" s="159">
        <f>SUM(M189+K190-L190)</f>
        <v/>
      </c>
    </row>
    <row r="191">
      <c r="A191" s="151" t="n">
        <v>46044</v>
      </c>
      <c r="B191" s="70" t="n">
        <v>4584</v>
      </c>
      <c r="C191" s="115" t="inlineStr">
        <is>
          <t>AHMET SELİM TEMHA</t>
        </is>
      </c>
      <c r="D191" s="115" t="inlineStr">
        <is>
          <t>34 PGT 251</t>
        </is>
      </c>
      <c r="E191" s="115" t="inlineStr">
        <is>
          <t>ERSOY SIĞINMAZ</t>
        </is>
      </c>
      <c r="F191" s="65" t="n"/>
      <c r="G191" s="152" t="n"/>
      <c r="H191" s="152" t="n">
        <v>31</v>
      </c>
      <c r="I191" s="156">
        <f>+I190+(G191-H191)</f>
        <v/>
      </c>
      <c r="J191" s="90" t="n">
        <v>48.6</v>
      </c>
      <c r="K191" s="166" t="n"/>
      <c r="L191" s="158">
        <f>+H191*J191</f>
        <v/>
      </c>
      <c r="M191" s="159">
        <f>SUM(M190+K191-L191)</f>
        <v/>
      </c>
    </row>
    <row r="192">
      <c r="A192" s="151" t="n">
        <v>46044</v>
      </c>
      <c r="B192" s="70" t="n">
        <v>4458</v>
      </c>
      <c r="C192" s="115" t="inlineStr">
        <is>
          <t>SELİM İNŞAAT</t>
        </is>
      </c>
      <c r="D192" s="115" t="inlineStr">
        <is>
          <t>34 DKL 798</t>
        </is>
      </c>
      <c r="E192" s="115" t="inlineStr">
        <is>
          <t>HASAN BAYCA</t>
        </is>
      </c>
      <c r="F192" s="65" t="n">
        <v>80172</v>
      </c>
      <c r="G192" s="152" t="n"/>
      <c r="H192" s="152" t="n">
        <v>238</v>
      </c>
      <c r="I192" s="156">
        <f>+I191+(G192-H192)</f>
        <v/>
      </c>
      <c r="J192" s="90" t="n">
        <v>48.6</v>
      </c>
      <c r="K192" s="166" t="n"/>
      <c r="L192" s="158">
        <f>+H192*J192</f>
        <v/>
      </c>
      <c r="M192" s="159">
        <f>SUM(M191+K192-L192)</f>
        <v/>
      </c>
    </row>
    <row r="193">
      <c r="A193" s="151" t="n">
        <v>46044</v>
      </c>
      <c r="B193" s="70" t="n">
        <v>132</v>
      </c>
      <c r="C193" s="91" t="inlineStr">
        <is>
          <t>ÜNSOY TURİZM İNŞ.SAN.VE TİC.A.Ş.</t>
        </is>
      </c>
      <c r="D193" s="115" t="n"/>
      <c r="E193" s="115" t="n"/>
      <c r="F193" s="65" t="n"/>
      <c r="G193" s="152" t="n"/>
      <c r="H193" s="152" t="n">
        <v>31736</v>
      </c>
      <c r="I193" s="156">
        <f>+I192+(G193-H193)</f>
        <v/>
      </c>
      <c r="J193" s="90" t="n">
        <v>48.6</v>
      </c>
      <c r="K193" s="166" t="n">
        <v>1542369.6</v>
      </c>
      <c r="L193" s="158">
        <f>+H193*J193</f>
        <v/>
      </c>
      <c r="M193" s="159">
        <f>SUM(M192+K193-L193)</f>
        <v/>
      </c>
    </row>
    <row r="194">
      <c r="A194" s="151" t="n">
        <v>46045</v>
      </c>
      <c r="B194" s="67" t="n">
        <v>4235</v>
      </c>
      <c r="C194" s="115" t="n"/>
      <c r="D194" s="115" t="inlineStr">
        <is>
          <t>MANITO</t>
        </is>
      </c>
      <c r="E194" s="115" t="inlineStr">
        <is>
          <t>MUHAMMED KANTAR</t>
        </is>
      </c>
      <c r="F194" s="65" t="n"/>
      <c r="G194" s="152" t="n"/>
      <c r="H194" s="152" t="n">
        <v>215</v>
      </c>
      <c r="I194" s="156">
        <f>+I193+(G194-H194)</f>
        <v/>
      </c>
      <c r="J194" s="90" t="n">
        <v>48.6</v>
      </c>
      <c r="K194" s="166" t="n"/>
      <c r="L194" s="158">
        <f>+H194*J194</f>
        <v/>
      </c>
      <c r="M194" s="159">
        <f>SUM(M193+K194-L194)</f>
        <v/>
      </c>
    </row>
    <row r="195">
      <c r="A195" s="151" t="n">
        <v>46045</v>
      </c>
      <c r="B195" s="70" t="n">
        <v>2380</v>
      </c>
      <c r="C195" s="115" t="inlineStr">
        <is>
          <t>SELİM İNŞAAT</t>
        </is>
      </c>
      <c r="D195" s="115" t="inlineStr">
        <is>
          <t>34 FEM 934</t>
        </is>
      </c>
      <c r="E195" s="115" t="inlineStr">
        <is>
          <t>YAKUP URUCU</t>
        </is>
      </c>
      <c r="F195" s="65" t="n">
        <v>330026</v>
      </c>
      <c r="G195" s="152" t="n"/>
      <c r="H195" s="152" t="n">
        <v>60</v>
      </c>
      <c r="I195" s="156">
        <f>+I194+(G195-H195)</f>
        <v/>
      </c>
      <c r="J195" s="90" t="n">
        <v>48.6</v>
      </c>
      <c r="K195" s="166" t="n"/>
      <c r="L195" s="158">
        <f>+H195*J195</f>
        <v/>
      </c>
      <c r="M195" s="159">
        <f>SUM(M194+K195-L195)</f>
        <v/>
      </c>
    </row>
    <row r="196">
      <c r="A196" s="151" t="n">
        <v>46046</v>
      </c>
      <c r="B196" s="67" t="n">
        <v>3389</v>
      </c>
      <c r="C196" s="52" t="inlineStr">
        <is>
          <t>SELİM İNŞAAT</t>
        </is>
      </c>
      <c r="D196" s="51" t="inlineStr">
        <is>
          <t>34 EDC 162</t>
        </is>
      </c>
      <c r="E196" s="51" t="inlineStr">
        <is>
          <t xml:space="preserve">YAKUP GÜNER </t>
        </is>
      </c>
      <c r="F196" s="53" t="n">
        <v>410358</v>
      </c>
      <c r="G196" s="156" t="n"/>
      <c r="H196" s="156" t="n">
        <v>378</v>
      </c>
      <c r="I196" s="156">
        <f>+I195+(G196-H196)</f>
        <v/>
      </c>
      <c r="J196" s="90" t="n">
        <v>48.6</v>
      </c>
      <c r="K196" s="166" t="n"/>
      <c r="L196" s="158">
        <f>+H196*J196</f>
        <v/>
      </c>
      <c r="M196" s="159">
        <f>SUM(M195+K196-L196)</f>
        <v/>
      </c>
    </row>
    <row r="197">
      <c r="A197" s="151" t="n">
        <v>46046</v>
      </c>
      <c r="B197" s="67" t="n">
        <v>505</v>
      </c>
      <c r="C197" s="52" t="inlineStr">
        <is>
          <t>SELİM İNŞAAT</t>
        </is>
      </c>
      <c r="D197" s="51" t="inlineStr">
        <is>
          <t>34 EGR 737</t>
        </is>
      </c>
      <c r="E197" s="51" t="inlineStr">
        <is>
          <t>CEM MUHTAR</t>
        </is>
      </c>
      <c r="F197" s="53" t="n">
        <v>455239</v>
      </c>
      <c r="G197" s="152" t="n"/>
      <c r="H197" s="152" t="n">
        <v>436</v>
      </c>
      <c r="I197" s="156">
        <f>+I196+(G197-H197)</f>
        <v/>
      </c>
      <c r="J197" s="90" t="n">
        <v>48.6</v>
      </c>
      <c r="K197" s="166" t="n"/>
      <c r="L197" s="158">
        <f>+H197*J197</f>
        <v/>
      </c>
      <c r="M197" s="159">
        <f>SUM(M196+K197-L197)</f>
        <v/>
      </c>
    </row>
    <row r="198">
      <c r="A198" s="151" t="n">
        <v>46046</v>
      </c>
      <c r="B198" s="67" t="n">
        <v>2290</v>
      </c>
      <c r="C198" s="52" t="inlineStr">
        <is>
          <t>SELİM İNŞAAT</t>
        </is>
      </c>
      <c r="D198" s="51" t="inlineStr">
        <is>
          <t>34 DSN 636</t>
        </is>
      </c>
      <c r="E198" s="51" t="inlineStr">
        <is>
          <t>MAHSUN GÜVEN</t>
        </is>
      </c>
      <c r="F198" s="53" t="n">
        <v>427989</v>
      </c>
      <c r="G198" s="152" t="n"/>
      <c r="H198" s="152" t="n">
        <v>391</v>
      </c>
      <c r="I198" s="156">
        <f>+I197+(G198-H198)</f>
        <v/>
      </c>
      <c r="J198" s="90" t="n">
        <v>48.6</v>
      </c>
      <c r="K198" s="166" t="n"/>
      <c r="L198" s="158">
        <f>+H198*J198</f>
        <v/>
      </c>
      <c r="M198" s="159">
        <f>SUM(M197+K198-L198)</f>
        <v/>
      </c>
    </row>
    <row r="199">
      <c r="A199" s="151" t="n">
        <v>46046</v>
      </c>
      <c r="B199" s="67" t="n">
        <v>3824</v>
      </c>
      <c r="C199" s="52" t="inlineStr">
        <is>
          <t>SELİM İNŞAAT</t>
        </is>
      </c>
      <c r="D199" s="51" t="inlineStr">
        <is>
          <t>34 GYZ 635</t>
        </is>
      </c>
      <c r="E199" s="115" t="inlineStr">
        <is>
          <t>ADEM DENİZ</t>
        </is>
      </c>
      <c r="F199" s="53" t="n">
        <v>220725</v>
      </c>
      <c r="G199" s="152" t="n"/>
      <c r="H199" s="152" t="n">
        <v>421</v>
      </c>
      <c r="I199" s="156">
        <f>+I198+(G199-H199)</f>
        <v/>
      </c>
      <c r="J199" s="90" t="n">
        <v>48.6</v>
      </c>
      <c r="K199" s="166" t="n"/>
      <c r="L199" s="158">
        <f>+H199*J199</f>
        <v/>
      </c>
      <c r="M199" s="159">
        <f>SUM(M198+K199-L199)</f>
        <v/>
      </c>
    </row>
    <row r="200">
      <c r="A200" s="151" t="n">
        <v>46046</v>
      </c>
      <c r="B200" s="67" t="n">
        <v>4915</v>
      </c>
      <c r="C200" s="52" t="inlineStr">
        <is>
          <t>SELİM İNŞAAT</t>
        </is>
      </c>
      <c r="D200" s="51" t="inlineStr">
        <is>
          <t>34 FBR 742</t>
        </is>
      </c>
      <c r="E200" s="115" t="inlineStr">
        <is>
          <t>ADNAN KOÇ</t>
        </is>
      </c>
      <c r="F200" s="65" t="n">
        <v>360198</v>
      </c>
      <c r="G200" s="152" t="n"/>
      <c r="H200" s="152" t="n">
        <v>391</v>
      </c>
      <c r="I200" s="156">
        <f>+I199+(G200-H200)</f>
        <v/>
      </c>
      <c r="J200" s="90" t="n">
        <v>48.6</v>
      </c>
      <c r="K200" s="166" t="n"/>
      <c r="L200" s="158">
        <f>+H200*J200</f>
        <v/>
      </c>
      <c r="M200" s="159">
        <f>SUM(M199+K200-L200)</f>
        <v/>
      </c>
    </row>
    <row r="201">
      <c r="A201" s="151" t="n">
        <v>46046</v>
      </c>
      <c r="B201" s="67" t="n">
        <v>4765</v>
      </c>
      <c r="C201" s="52" t="inlineStr">
        <is>
          <t>SELİM İNŞAAT</t>
        </is>
      </c>
      <c r="D201" s="115" t="inlineStr">
        <is>
          <t>34 DGP 137</t>
        </is>
      </c>
      <c r="E201" s="115" t="inlineStr">
        <is>
          <t xml:space="preserve">GÜRAY KOYUNCU </t>
        </is>
      </c>
      <c r="F201" s="65" t="n">
        <v>472688</v>
      </c>
      <c r="G201" s="152" t="n"/>
      <c r="H201" s="152" t="n">
        <v>289</v>
      </c>
      <c r="I201" s="156">
        <f>+I200+(G201-H201)</f>
        <v/>
      </c>
      <c r="J201" s="90" t="n">
        <v>48.6</v>
      </c>
      <c r="K201" s="166" t="n"/>
      <c r="L201" s="158">
        <f>+H201*J201</f>
        <v/>
      </c>
      <c r="M201" s="159">
        <f>SUM(M200+K201-L201)</f>
        <v/>
      </c>
    </row>
    <row r="202">
      <c r="A202" s="151" t="n">
        <v>46046</v>
      </c>
      <c r="B202" s="67" t="n">
        <v>1846</v>
      </c>
      <c r="C202" s="52" t="inlineStr">
        <is>
          <t>SELİM İNŞAAT</t>
        </is>
      </c>
      <c r="D202" s="115" t="inlineStr">
        <is>
          <t>34 EGR 922</t>
        </is>
      </c>
      <c r="E202" s="115" t="inlineStr">
        <is>
          <t>FARUK ÖZEN</t>
        </is>
      </c>
      <c r="F202" s="65" t="n">
        <v>499242</v>
      </c>
      <c r="G202" s="152" t="n"/>
      <c r="H202" s="152" t="n">
        <v>489</v>
      </c>
      <c r="I202" s="156">
        <f>+I201+(G202-H202)</f>
        <v/>
      </c>
      <c r="J202" s="90" t="n">
        <v>48.6</v>
      </c>
      <c r="K202" s="166" t="n"/>
      <c r="L202" s="158">
        <f>+H202*J202</f>
        <v/>
      </c>
      <c r="M202" s="159">
        <f>SUM(M201+K202-L202)</f>
        <v/>
      </c>
    </row>
    <row r="203">
      <c r="A203" s="151" t="n">
        <v>46046</v>
      </c>
      <c r="B203" s="67" t="n">
        <v>4108</v>
      </c>
      <c r="C203" s="115" t="inlineStr">
        <is>
          <t>SELİM İNŞAAT</t>
        </is>
      </c>
      <c r="D203" s="115" t="inlineStr">
        <is>
          <t>34 EDB 659</t>
        </is>
      </c>
      <c r="E203" s="115" t="inlineStr">
        <is>
          <t>MEHMET SAİK ANIK</t>
        </is>
      </c>
      <c r="F203" s="65" t="n">
        <v>384150</v>
      </c>
      <c r="G203" s="152" t="n"/>
      <c r="H203" s="152" t="n">
        <v>364</v>
      </c>
      <c r="I203" s="156">
        <f>+I202+(G203-H203)</f>
        <v/>
      </c>
      <c r="J203" s="90" t="n">
        <v>48.6</v>
      </c>
      <c r="K203" s="166" t="n"/>
      <c r="L203" s="158">
        <f>+H203*J203</f>
        <v/>
      </c>
      <c r="M203" s="159">
        <f>SUM(M202+K203-L203)</f>
        <v/>
      </c>
    </row>
    <row r="204">
      <c r="A204" s="151" t="n">
        <v>46046</v>
      </c>
      <c r="B204" s="67" t="n">
        <v>3217</v>
      </c>
      <c r="C204" s="115" t="inlineStr">
        <is>
          <t>SELİM İNŞAAT</t>
        </is>
      </c>
      <c r="D204" s="115" t="inlineStr">
        <is>
          <t>34 EGR 736</t>
        </is>
      </c>
      <c r="E204" s="115" t="inlineStr">
        <is>
          <t>HAKAN ÇAVUŞOĞLU</t>
        </is>
      </c>
      <c r="F204" s="65" t="n">
        <v>433297</v>
      </c>
      <c r="G204" s="152" t="n"/>
      <c r="H204" s="152" t="n">
        <v>511</v>
      </c>
      <c r="I204" s="156">
        <f>+I203+(G204-H204)</f>
        <v/>
      </c>
      <c r="J204" s="90" t="n">
        <v>48.6</v>
      </c>
      <c r="K204" s="166" t="n"/>
      <c r="L204" s="158">
        <f>+H204*J204</f>
        <v/>
      </c>
      <c r="M204" s="159">
        <f>SUM(M203+K204-L204)</f>
        <v/>
      </c>
    </row>
    <row r="205">
      <c r="A205" s="151" t="n">
        <v>46046</v>
      </c>
      <c r="B205" s="67" t="n">
        <v>897</v>
      </c>
      <c r="C205" s="115" t="inlineStr">
        <is>
          <t>SELİM İNŞAAT</t>
        </is>
      </c>
      <c r="D205" s="115" t="inlineStr">
        <is>
          <t>34 FSG 229</t>
        </is>
      </c>
      <c r="E205" s="115" t="inlineStr">
        <is>
          <t>SİNAN TANRIVERDİ</t>
        </is>
      </c>
      <c r="F205" s="65" t="n">
        <v>294128</v>
      </c>
      <c r="G205" s="152" t="n"/>
      <c r="H205" s="152" t="n">
        <v>459</v>
      </c>
      <c r="I205" s="156">
        <f>+I204+(G205-H205)</f>
        <v/>
      </c>
      <c r="J205" s="90" t="n">
        <v>48.6</v>
      </c>
      <c r="K205" s="166" t="n"/>
      <c r="L205" s="158">
        <f>+H205*J205</f>
        <v/>
      </c>
      <c r="M205" s="159">
        <f>SUM(M204+K205-L205)</f>
        <v/>
      </c>
    </row>
    <row r="206">
      <c r="A206" s="151" t="n">
        <v>46046</v>
      </c>
      <c r="B206" s="67" t="n">
        <v>4811</v>
      </c>
      <c r="C206" s="115" t="inlineStr">
        <is>
          <t>SELİM İNŞAAT</t>
        </is>
      </c>
      <c r="D206" s="115" t="inlineStr">
        <is>
          <t>34 EDB 559</t>
        </is>
      </c>
      <c r="E206" s="115" t="inlineStr">
        <is>
          <t>AZİZ ORUÇ</t>
        </is>
      </c>
      <c r="F206" s="65" t="n">
        <v>358951</v>
      </c>
      <c r="G206" s="152" t="n"/>
      <c r="H206" s="152" t="n">
        <v>408</v>
      </c>
      <c r="I206" s="156">
        <f>+I205+(G206-H206)</f>
        <v/>
      </c>
      <c r="J206" s="90" t="n">
        <v>48.6</v>
      </c>
      <c r="K206" s="166" t="n"/>
      <c r="L206" s="158">
        <f>+H206*J206</f>
        <v/>
      </c>
      <c r="M206" s="159">
        <f>SUM(M205+K206-L206)</f>
        <v/>
      </c>
    </row>
    <row r="207">
      <c r="A207" s="151" t="n">
        <v>46046</v>
      </c>
      <c r="B207" s="67" t="n">
        <v>1336</v>
      </c>
      <c r="C207" s="115" t="inlineStr">
        <is>
          <t>SELİM İNŞAAT</t>
        </is>
      </c>
      <c r="D207" s="115" t="inlineStr">
        <is>
          <t>34 GUZ 199</t>
        </is>
      </c>
      <c r="E207" s="115" t="inlineStr">
        <is>
          <t>VAHDET GÜRLER</t>
        </is>
      </c>
      <c r="F207" s="65" t="n">
        <v>221053</v>
      </c>
      <c r="G207" s="152" t="n"/>
      <c r="H207" s="152" t="n">
        <v>394</v>
      </c>
      <c r="I207" s="156">
        <f>+I206+(G207-H207)</f>
        <v/>
      </c>
      <c r="J207" s="90" t="n">
        <v>48.6</v>
      </c>
      <c r="K207" s="166" t="n"/>
      <c r="L207" s="158">
        <f>+H207*J207</f>
        <v/>
      </c>
      <c r="M207" s="159">
        <f>SUM(M206+K207-L207)</f>
        <v/>
      </c>
    </row>
    <row r="208">
      <c r="A208" s="151" t="n">
        <v>46046</v>
      </c>
      <c r="B208" s="67" t="n">
        <v>3166</v>
      </c>
      <c r="C208" s="115" t="inlineStr">
        <is>
          <t>SELİM İNŞAAT</t>
        </is>
      </c>
      <c r="D208" s="115" t="inlineStr">
        <is>
          <t>34 DTV 599</t>
        </is>
      </c>
      <c r="E208" s="115" t="inlineStr">
        <is>
          <t>HÜSEYİN DENİZ</t>
        </is>
      </c>
      <c r="F208" s="65" t="n">
        <v>471609</v>
      </c>
      <c r="G208" s="152" t="n"/>
      <c r="H208" s="152" t="n">
        <v>490</v>
      </c>
      <c r="I208" s="156">
        <f>+I207+(G208-H208)</f>
        <v/>
      </c>
      <c r="J208" s="90" t="n">
        <v>48.6</v>
      </c>
      <c r="K208" s="166" t="n"/>
      <c r="L208" s="158">
        <f>+H208*J208</f>
        <v/>
      </c>
      <c r="M208" s="159">
        <f>SUM(M207+K208-L208)</f>
        <v/>
      </c>
    </row>
    <row r="209">
      <c r="A209" s="151" t="n">
        <v>46046</v>
      </c>
      <c r="B209" s="67" t="n">
        <v>3479</v>
      </c>
      <c r="C209" s="115" t="inlineStr">
        <is>
          <t>SELİM İNŞAAT</t>
        </is>
      </c>
      <c r="D209" s="115" t="inlineStr">
        <is>
          <t>34 EDB 754</t>
        </is>
      </c>
      <c r="E209" s="115" t="inlineStr">
        <is>
          <t>MUSTAFA KAYA</t>
        </is>
      </c>
      <c r="F209" s="65" t="n">
        <v>366175</v>
      </c>
      <c r="G209" s="152" t="n"/>
      <c r="H209" s="152" t="n">
        <v>392</v>
      </c>
      <c r="I209" s="156">
        <f>+I208+(G209-H209)</f>
        <v/>
      </c>
      <c r="J209" s="90" t="n">
        <v>48.6</v>
      </c>
      <c r="K209" s="166" t="n"/>
      <c r="L209" s="158">
        <f>+H209*J209</f>
        <v/>
      </c>
      <c r="M209" s="159">
        <f>SUM(M208+K209-L209)</f>
        <v/>
      </c>
    </row>
    <row r="210">
      <c r="A210" s="151" t="n">
        <v>46046</v>
      </c>
      <c r="B210" s="67" t="n">
        <v>4866</v>
      </c>
      <c r="C210" s="115" t="inlineStr">
        <is>
          <t>SELİM İNŞAAT</t>
        </is>
      </c>
      <c r="D210" s="115" t="inlineStr">
        <is>
          <t>34 FBR 705</t>
        </is>
      </c>
      <c r="E210" s="115" t="inlineStr">
        <is>
          <t>MURAT SARI</t>
        </is>
      </c>
      <c r="F210" s="65" t="n">
        <v>356305</v>
      </c>
      <c r="G210" s="152" t="n"/>
      <c r="H210" s="152" t="n">
        <v>284</v>
      </c>
      <c r="I210" s="156">
        <f>+I209+(G210-H210)</f>
        <v/>
      </c>
      <c r="J210" s="90" t="n">
        <v>48.6</v>
      </c>
      <c r="K210" s="166" t="n"/>
      <c r="L210" s="158">
        <f>+H210*J210</f>
        <v/>
      </c>
      <c r="M210" s="159">
        <f>SUM(M209+K210-L210)</f>
        <v/>
      </c>
    </row>
    <row r="211">
      <c r="A211" s="151" t="n">
        <v>46046</v>
      </c>
      <c r="B211" s="67" t="n">
        <v>2529</v>
      </c>
      <c r="C211" s="115" t="inlineStr">
        <is>
          <t xml:space="preserve">AZGÜN YAPI </t>
        </is>
      </c>
      <c r="D211" s="115" t="inlineStr">
        <is>
          <t>34 MKT 593</t>
        </is>
      </c>
      <c r="E211" s="115" t="inlineStr">
        <is>
          <t>TURGUT ÇATAL</t>
        </is>
      </c>
      <c r="F211" s="65" t="n">
        <v>83876</v>
      </c>
      <c r="G211" s="152" t="n"/>
      <c r="H211" s="152" t="n">
        <v>415</v>
      </c>
      <c r="I211" s="156">
        <f>+I210+(G211-H211)</f>
        <v/>
      </c>
      <c r="J211" s="90" t="n">
        <v>48.6</v>
      </c>
      <c r="K211" s="166" t="n"/>
      <c r="L211" s="158">
        <f>+H211*J211</f>
        <v/>
      </c>
      <c r="M211" s="159">
        <f>SUM(M210+K211-L211)</f>
        <v/>
      </c>
    </row>
    <row r="212">
      <c r="A212" s="151" t="n">
        <v>46046</v>
      </c>
      <c r="B212" s="67" t="n">
        <v>1379</v>
      </c>
      <c r="C212" s="115" t="inlineStr">
        <is>
          <t xml:space="preserve">AZGÜN YAPI </t>
        </is>
      </c>
      <c r="D212" s="115" t="inlineStr">
        <is>
          <t>34 MKT 859</t>
        </is>
      </c>
      <c r="E212" s="115" t="inlineStr">
        <is>
          <t>ONUR CANLI</t>
        </is>
      </c>
      <c r="F212" s="65" t="n">
        <v>90945</v>
      </c>
      <c r="G212" s="152" t="n"/>
      <c r="H212" s="152" t="n">
        <v>505</v>
      </c>
      <c r="I212" s="156">
        <f>+I211+(G212-H212)</f>
        <v/>
      </c>
      <c r="J212" s="90" t="n">
        <v>48.6</v>
      </c>
      <c r="K212" s="166" t="n"/>
      <c r="L212" s="158">
        <f>+H212*J212</f>
        <v/>
      </c>
      <c r="M212" s="159">
        <f>SUM(M211+K212-L212)</f>
        <v/>
      </c>
    </row>
    <row r="213">
      <c r="A213" s="151" t="n">
        <v>46046</v>
      </c>
      <c r="B213" s="67" t="n">
        <v>3275</v>
      </c>
      <c r="C213" s="115" t="inlineStr">
        <is>
          <t xml:space="preserve">AZGÜN YAPI </t>
        </is>
      </c>
      <c r="D213" s="115" t="inlineStr">
        <is>
          <t xml:space="preserve">34 DTV 263 </t>
        </is>
      </c>
      <c r="E213" s="115" t="inlineStr">
        <is>
          <t>İRFAN DAĞLAR</t>
        </is>
      </c>
      <c r="F213" s="65" t="n">
        <v>432601</v>
      </c>
      <c r="G213" s="152" t="n"/>
      <c r="H213" s="152" t="n">
        <v>441</v>
      </c>
      <c r="I213" s="156">
        <f>+I212+(G213-H213)</f>
        <v/>
      </c>
      <c r="J213" s="90" t="n">
        <v>48.6</v>
      </c>
      <c r="K213" s="166" t="n"/>
      <c r="L213" s="158">
        <f>+H213*J213</f>
        <v/>
      </c>
      <c r="M213" s="159">
        <f>SUM(M212+K213-L213)</f>
        <v/>
      </c>
    </row>
    <row r="214">
      <c r="A214" s="151" t="n">
        <v>46046</v>
      </c>
      <c r="B214" s="67" t="n">
        <v>3792</v>
      </c>
      <c r="C214" s="115" t="inlineStr">
        <is>
          <t>METİN ERYİĞİT</t>
        </is>
      </c>
      <c r="D214" s="115" t="inlineStr">
        <is>
          <t>34 GBL 998</t>
        </is>
      </c>
      <c r="E214" s="115" t="inlineStr">
        <is>
          <t>ALİ KESKİN</t>
        </is>
      </c>
      <c r="F214" s="65" t="n">
        <v>333427</v>
      </c>
      <c r="G214" s="152" t="n"/>
      <c r="H214" s="152" t="n">
        <v>462</v>
      </c>
      <c r="I214" s="156">
        <f>+I213+(G214-H214)</f>
        <v/>
      </c>
      <c r="J214" s="90" t="n">
        <v>48.6</v>
      </c>
      <c r="K214" s="166" t="n"/>
      <c r="L214" s="158">
        <f>+H214*J214</f>
        <v/>
      </c>
      <c r="M214" s="159">
        <f>SUM(M213+K214-L214)</f>
        <v/>
      </c>
    </row>
    <row r="215">
      <c r="A215" s="151" t="n">
        <v>46046</v>
      </c>
      <c r="B215" s="67" t="n">
        <v>4230</v>
      </c>
      <c r="C215" s="115" t="inlineStr">
        <is>
          <t>MEGA VARLIK</t>
        </is>
      </c>
      <c r="D215" s="115" t="inlineStr">
        <is>
          <t>SM 350</t>
        </is>
      </c>
      <c r="E215" s="115" t="inlineStr">
        <is>
          <t xml:space="preserve">MİKAİL BAYILMAZ </t>
        </is>
      </c>
      <c r="F215" s="65" t="n"/>
      <c r="G215" s="152" t="n"/>
      <c r="H215" s="152" t="n">
        <v>294</v>
      </c>
      <c r="I215" s="156">
        <f>+I214+(G215-H215)</f>
        <v/>
      </c>
      <c r="J215" s="90" t="n">
        <v>48.6</v>
      </c>
      <c r="K215" s="166" t="n"/>
      <c r="L215" s="158">
        <f>+H215*J215</f>
        <v/>
      </c>
      <c r="M215" s="159">
        <f>SUM(M214+K215-L215)</f>
        <v/>
      </c>
    </row>
    <row r="216">
      <c r="A216" s="151" t="n">
        <v>46046</v>
      </c>
      <c r="B216" s="67" t="n">
        <v>4236</v>
      </c>
      <c r="C216" s="115" t="inlineStr">
        <is>
          <t>HASALTUN</t>
        </is>
      </c>
      <c r="D216" s="115" t="inlineStr">
        <is>
          <t xml:space="preserve">JCB </t>
        </is>
      </c>
      <c r="E216" s="115" t="inlineStr">
        <is>
          <t>BAYRAM SANCAK</t>
        </is>
      </c>
      <c r="F216" s="65" t="n"/>
      <c r="G216" s="152" t="n"/>
      <c r="H216" s="152" t="n">
        <v>73</v>
      </c>
      <c r="I216" s="156">
        <f>+I215+(G216-H216)</f>
        <v/>
      </c>
      <c r="J216" s="90" t="n">
        <v>48.6</v>
      </c>
      <c r="K216" s="166" t="n"/>
      <c r="L216" s="158">
        <f>+H216*J216</f>
        <v/>
      </c>
      <c r="M216" s="159">
        <f>SUM(M215+K216-L216)</f>
        <v/>
      </c>
    </row>
    <row r="217">
      <c r="A217" s="151" t="n">
        <v>46046</v>
      </c>
      <c r="B217" s="67" t="n">
        <v>4237</v>
      </c>
      <c r="C217" s="115" t="inlineStr">
        <is>
          <t>HASALTUN</t>
        </is>
      </c>
      <c r="D217" s="115" t="inlineStr">
        <is>
          <t>KAWAZAKI</t>
        </is>
      </c>
      <c r="E217" s="115" t="inlineStr">
        <is>
          <t>RAMAZAN</t>
        </is>
      </c>
      <c r="F217" s="65" t="n"/>
      <c r="G217" s="152" t="n"/>
      <c r="H217" s="152" t="n">
        <v>310</v>
      </c>
      <c r="I217" s="156">
        <f>+I216+(G217-H217)</f>
        <v/>
      </c>
      <c r="J217" s="90" t="n">
        <v>48.6</v>
      </c>
      <c r="K217" s="166" t="n"/>
      <c r="L217" s="158">
        <f>+H217*J217</f>
        <v/>
      </c>
      <c r="M217" s="159">
        <f>SUM(M216+K217-L217)</f>
        <v/>
      </c>
    </row>
    <row r="218">
      <c r="A218" s="151" t="n">
        <v>46046</v>
      </c>
      <c r="B218" s="67" t="n">
        <v>2891</v>
      </c>
      <c r="C218" s="115" t="inlineStr">
        <is>
          <t>MEGA VARLIK</t>
        </is>
      </c>
      <c r="D218" s="115" t="inlineStr">
        <is>
          <t>ANKRAJ</t>
        </is>
      </c>
      <c r="E218" s="115" t="inlineStr">
        <is>
          <t>HASAN ZEMİN</t>
        </is>
      </c>
      <c r="F218" s="65" t="n"/>
      <c r="G218" s="152" t="n"/>
      <c r="H218" s="152" t="n">
        <v>640</v>
      </c>
      <c r="I218" s="156">
        <f>+I217+(G218-H218)</f>
        <v/>
      </c>
      <c r="J218" s="90" t="n">
        <v>48.6</v>
      </c>
      <c r="K218" s="166" t="n"/>
      <c r="L218" s="158">
        <f>+H218*J218</f>
        <v/>
      </c>
      <c r="M218" s="159">
        <f>SUM(M217+K218-L218)</f>
        <v/>
      </c>
    </row>
    <row r="219">
      <c r="A219" s="151" t="n">
        <v>46046</v>
      </c>
      <c r="B219" s="70" t="n">
        <v>4582</v>
      </c>
      <c r="C219" s="115" t="inlineStr">
        <is>
          <t>AHMET SELİM TEMHA</t>
        </is>
      </c>
      <c r="D219" s="115" t="inlineStr">
        <is>
          <t>34 PGT 251</t>
        </is>
      </c>
      <c r="E219" s="115" t="inlineStr">
        <is>
          <t>ERSOY SIĞINMAZ</t>
        </is>
      </c>
      <c r="F219" s="65" t="n"/>
      <c r="G219" s="152" t="n"/>
      <c r="H219" s="152" t="n">
        <v>53</v>
      </c>
      <c r="I219" s="156">
        <f>+I218+(G219-H219)</f>
        <v/>
      </c>
      <c r="J219" s="90" t="n">
        <v>48.6</v>
      </c>
      <c r="K219" s="166" t="n"/>
      <c r="L219" s="158">
        <f>+H219*J219</f>
        <v/>
      </c>
      <c r="M219" s="159">
        <f>SUM(M218+K219-L219)</f>
        <v/>
      </c>
    </row>
    <row r="220">
      <c r="A220" s="151" t="n">
        <v>46046</v>
      </c>
      <c r="B220" s="70" t="n">
        <v>2975</v>
      </c>
      <c r="C220" s="115" t="inlineStr">
        <is>
          <t>SELİM İNŞAAT</t>
        </is>
      </c>
      <c r="D220" s="115" t="inlineStr">
        <is>
          <t>34 DFE 454</t>
        </is>
      </c>
      <c r="E220" s="115" t="inlineStr">
        <is>
          <t>HÜSEYİN ALIN</t>
        </is>
      </c>
      <c r="F220" s="65" t="n">
        <v>173657</v>
      </c>
      <c r="G220" s="152" t="n"/>
      <c r="H220" s="152" t="n">
        <v>205</v>
      </c>
      <c r="I220" s="156">
        <f>+I219+(G220-H220)</f>
        <v/>
      </c>
      <c r="J220" s="90" t="n">
        <v>48.6</v>
      </c>
      <c r="K220" s="166" t="n"/>
      <c r="L220" s="158">
        <f>+H220*J220</f>
        <v/>
      </c>
      <c r="M220" s="159">
        <f>SUM(M219+K220-L220)</f>
        <v/>
      </c>
    </row>
    <row r="221">
      <c r="A221" s="151" t="n">
        <v>46046</v>
      </c>
      <c r="B221" s="70" t="n">
        <v>1769</v>
      </c>
      <c r="C221" s="115" t="inlineStr">
        <is>
          <t>SELİM İNŞAAT</t>
        </is>
      </c>
      <c r="D221" s="115" t="inlineStr">
        <is>
          <t>34 JBA 25</t>
        </is>
      </c>
      <c r="E221" s="115" t="inlineStr">
        <is>
          <t>FATİH ÖZBOLAT</t>
        </is>
      </c>
      <c r="F221" s="65" t="n">
        <v>346485</v>
      </c>
      <c r="G221" s="152" t="n"/>
      <c r="H221" s="152" t="n">
        <v>51</v>
      </c>
      <c r="I221" s="156">
        <f>+I220+(G221-H221)</f>
        <v/>
      </c>
      <c r="J221" s="90" t="n">
        <v>48.6</v>
      </c>
      <c r="K221" s="166" t="n"/>
      <c r="L221" s="158">
        <f>+H221*J221</f>
        <v/>
      </c>
      <c r="M221" s="159">
        <f>SUM(M220+K221-L221)</f>
        <v/>
      </c>
    </row>
    <row r="222">
      <c r="A222" s="151" t="n">
        <v>46046</v>
      </c>
      <c r="B222" s="70" t="n">
        <v>4009</v>
      </c>
      <c r="C222" s="115" t="inlineStr">
        <is>
          <t>SELİM İNŞAAT</t>
        </is>
      </c>
      <c r="D222" s="115" t="inlineStr">
        <is>
          <t>34 AR 7743</t>
        </is>
      </c>
      <c r="E222" s="115" t="inlineStr">
        <is>
          <t>MEHMET SELİM</t>
        </is>
      </c>
      <c r="F222" s="65" t="n">
        <v>372382</v>
      </c>
      <c r="G222" s="152" t="n"/>
      <c r="H222" s="152" t="n">
        <v>56</v>
      </c>
      <c r="I222" s="156">
        <f>+I221+(G222-H222)</f>
        <v/>
      </c>
      <c r="J222" s="90" t="n">
        <v>48.6</v>
      </c>
      <c r="K222" s="166" t="n"/>
      <c r="L222" s="158">
        <f>+H222*J222</f>
        <v/>
      </c>
      <c r="M222" s="159">
        <f>SUM(M221+K222-L222)</f>
        <v/>
      </c>
    </row>
    <row r="223">
      <c r="A223" s="151" t="n">
        <v>46046</v>
      </c>
      <c r="B223" s="70" t="n">
        <v>2643</v>
      </c>
      <c r="C223" s="115" t="inlineStr">
        <is>
          <t>SELİM İNŞAAT</t>
        </is>
      </c>
      <c r="D223" s="115" t="inlineStr">
        <is>
          <t>34 GU 945</t>
        </is>
      </c>
      <c r="E223" s="115" t="inlineStr">
        <is>
          <t>YAKUP URUCU</t>
        </is>
      </c>
      <c r="F223" s="65" t="n">
        <v>469694</v>
      </c>
      <c r="G223" s="152" t="n"/>
      <c r="H223" s="152" t="n">
        <v>42</v>
      </c>
      <c r="I223" s="156">
        <f>+I222+(G223-H223)</f>
        <v/>
      </c>
      <c r="J223" s="90" t="n">
        <v>48.6</v>
      </c>
      <c r="K223" s="166" t="n"/>
      <c r="L223" s="158">
        <f>+H223*J223</f>
        <v/>
      </c>
      <c r="M223" s="159">
        <f>SUM(M222+K223-L223)</f>
        <v/>
      </c>
    </row>
    <row r="224">
      <c r="A224" s="151" t="n">
        <v>46048</v>
      </c>
      <c r="B224" s="67" t="n">
        <v>3421</v>
      </c>
      <c r="C224" s="52" t="inlineStr">
        <is>
          <t>SELİM İNŞAAT</t>
        </is>
      </c>
      <c r="D224" s="51" t="inlineStr">
        <is>
          <t>34 GVZ 310</t>
        </is>
      </c>
      <c r="E224" s="51" t="inlineStr">
        <is>
          <t>CELAL YÜZBAŞI</t>
        </is>
      </c>
      <c r="F224" s="53" t="n">
        <v>242544</v>
      </c>
      <c r="G224" s="156" t="n"/>
      <c r="H224" s="156" t="n">
        <v>430</v>
      </c>
      <c r="I224" s="156">
        <f>+I223+(G224-H224)</f>
        <v/>
      </c>
      <c r="J224" s="90" t="n">
        <v>48.6</v>
      </c>
      <c r="K224" s="166" t="n"/>
      <c r="L224" s="158">
        <f>+H224*J224</f>
        <v/>
      </c>
      <c r="M224" s="159">
        <f>SUM(M223+K224-L224)</f>
        <v/>
      </c>
    </row>
    <row r="225">
      <c r="A225" s="151" t="n">
        <v>46048</v>
      </c>
      <c r="B225" s="67" t="n">
        <v>2690</v>
      </c>
      <c r="C225" s="52" t="inlineStr">
        <is>
          <t>SELİM İNŞAAT</t>
        </is>
      </c>
      <c r="D225" s="51" t="inlineStr">
        <is>
          <t>34 DHC 467</t>
        </is>
      </c>
      <c r="E225" s="51" t="inlineStr">
        <is>
          <t>EBUBEKİR KOLDAŞ</t>
        </is>
      </c>
      <c r="F225" s="53" t="n">
        <v>444371</v>
      </c>
      <c r="G225" s="156" t="n"/>
      <c r="H225" s="156" t="n">
        <v>389</v>
      </c>
      <c r="I225" s="156">
        <f>+I224+(G225-H225)</f>
        <v/>
      </c>
      <c r="J225" s="90" t="n">
        <v>48.6</v>
      </c>
      <c r="K225" s="166" t="n"/>
      <c r="L225" s="158">
        <f>+H225*J225</f>
        <v/>
      </c>
      <c r="M225" s="159">
        <f>SUM(M224+K225-L225)</f>
        <v/>
      </c>
    </row>
    <row r="226">
      <c r="A226" s="151" t="n">
        <v>46048</v>
      </c>
      <c r="B226" s="67" t="n">
        <v>3617</v>
      </c>
      <c r="C226" s="52" t="inlineStr">
        <is>
          <t>SELİM İNŞAAT</t>
        </is>
      </c>
      <c r="D226" s="51" t="inlineStr">
        <is>
          <t>34 EDB 922</t>
        </is>
      </c>
      <c r="E226" s="51" t="inlineStr">
        <is>
          <t>ÇAĞDAŞ YÜCESAN</t>
        </is>
      </c>
      <c r="F226" s="53" t="n">
        <v>403991</v>
      </c>
      <c r="G226" s="156" t="n"/>
      <c r="H226" s="156" t="n">
        <v>393</v>
      </c>
      <c r="I226" s="156">
        <f>+I225+(G226-H226)</f>
        <v/>
      </c>
      <c r="J226" s="90" t="n">
        <v>48.6</v>
      </c>
      <c r="K226" s="166" t="n"/>
      <c r="L226" s="158">
        <f>+H226*J226</f>
        <v/>
      </c>
      <c r="M226" s="159">
        <f>SUM(M225+K226-L226)</f>
        <v/>
      </c>
    </row>
    <row r="227">
      <c r="A227" s="151" t="n">
        <v>46048</v>
      </c>
      <c r="B227" s="67" t="n">
        <v>4066</v>
      </c>
      <c r="C227" s="52" t="inlineStr">
        <is>
          <t>SELİM İNŞAAT</t>
        </is>
      </c>
      <c r="D227" s="51" t="inlineStr">
        <is>
          <t>34 DHH 668</t>
        </is>
      </c>
      <c r="E227" s="51" t="inlineStr">
        <is>
          <t>DURSUN ALİ GÜREK</t>
        </is>
      </c>
      <c r="F227" s="53" t="n">
        <v>422143</v>
      </c>
      <c r="G227" s="152" t="n"/>
      <c r="H227" s="152" t="n">
        <v>40</v>
      </c>
      <c r="I227" s="156">
        <f>+I226+(G227-H227)</f>
        <v/>
      </c>
      <c r="J227" s="90" t="n">
        <v>48.6</v>
      </c>
      <c r="K227" s="166" t="n"/>
      <c r="L227" s="158">
        <f>+H227*J227</f>
        <v/>
      </c>
      <c r="M227" s="159">
        <f>SUM(M226+K227-L227)</f>
        <v/>
      </c>
    </row>
    <row r="228">
      <c r="A228" s="151" t="n">
        <v>46048</v>
      </c>
      <c r="B228" s="67" t="n">
        <v>4916</v>
      </c>
      <c r="C228" s="52" t="inlineStr">
        <is>
          <t>SELİM İNŞAAT</t>
        </is>
      </c>
      <c r="D228" s="51" t="inlineStr">
        <is>
          <t>34 FBR 742</t>
        </is>
      </c>
      <c r="E228" s="115" t="inlineStr">
        <is>
          <t>ADNAN KOÇ</t>
        </is>
      </c>
      <c r="F228" s="65" t="n">
        <v>360979</v>
      </c>
      <c r="G228" s="152" t="n"/>
      <c r="H228" s="152" t="n">
        <v>400</v>
      </c>
      <c r="I228" s="156">
        <f>+I227+(G228-H228)</f>
        <v/>
      </c>
      <c r="J228" s="90" t="n">
        <v>48.6</v>
      </c>
      <c r="K228" s="166" t="n"/>
      <c r="L228" s="158">
        <f>+H228*J228</f>
        <v/>
      </c>
      <c r="M228" s="159">
        <f>SUM(M227+K228-L228)</f>
        <v/>
      </c>
    </row>
    <row r="229">
      <c r="A229" s="151" t="n">
        <v>46048</v>
      </c>
      <c r="B229" s="67" t="n">
        <v>4164</v>
      </c>
      <c r="C229" s="115" t="inlineStr">
        <is>
          <t>SELİM İNŞAAT</t>
        </is>
      </c>
      <c r="D229" s="115" t="inlineStr">
        <is>
          <t>34 FBR 748</t>
        </is>
      </c>
      <c r="E229" s="115" t="inlineStr">
        <is>
          <t>YAŞAR ÖZKAYA</t>
        </is>
      </c>
      <c r="F229" s="65" t="n">
        <v>319985</v>
      </c>
      <c r="G229" s="152" t="n"/>
      <c r="H229" s="152" t="n">
        <v>405</v>
      </c>
      <c r="I229" s="156">
        <f>+I228+(G229-H229)</f>
        <v/>
      </c>
      <c r="J229" s="90" t="n">
        <v>48.6</v>
      </c>
      <c r="K229" s="166" t="n"/>
      <c r="L229" s="158">
        <f>+H229*J229</f>
        <v/>
      </c>
      <c r="M229" s="159">
        <f>SUM(M228+K229-L229)</f>
        <v/>
      </c>
    </row>
    <row r="230">
      <c r="A230" s="151" t="n">
        <v>46048</v>
      </c>
      <c r="B230" s="67" t="n">
        <v>4411</v>
      </c>
      <c r="C230" s="115" t="inlineStr">
        <is>
          <t>SELİM İNŞAAT</t>
        </is>
      </c>
      <c r="D230" s="115" t="inlineStr">
        <is>
          <t>34 DTV 409</t>
        </is>
      </c>
      <c r="E230" s="115" t="inlineStr">
        <is>
          <t>CELAL YÜZBAŞI</t>
        </is>
      </c>
      <c r="F230" s="65" t="n">
        <v>450103</v>
      </c>
      <c r="G230" s="152" t="n"/>
      <c r="H230" s="152" t="n">
        <v>475</v>
      </c>
      <c r="I230" s="156">
        <f>+I229+(G230-H230)</f>
        <v/>
      </c>
      <c r="J230" s="90" t="n">
        <v>48.6</v>
      </c>
      <c r="K230" s="166" t="n"/>
      <c r="L230" s="158">
        <f>+H230*J230</f>
        <v/>
      </c>
      <c r="M230" s="159">
        <f>SUM(M229+K230-L230)</f>
        <v/>
      </c>
    </row>
    <row r="231">
      <c r="A231" s="151" t="n">
        <v>46048</v>
      </c>
      <c r="B231" s="67" t="n">
        <v>254</v>
      </c>
      <c r="C231" s="115" t="inlineStr">
        <is>
          <t>SELİM İNŞAAT</t>
        </is>
      </c>
      <c r="D231" s="115" t="inlineStr">
        <is>
          <t>34 DHC 393</t>
        </is>
      </c>
      <c r="E231" s="115" t="inlineStr">
        <is>
          <t>ATA KIZMAZ</t>
        </is>
      </c>
      <c r="F231" s="65" t="n">
        <v>459238</v>
      </c>
      <c r="G231" s="152" t="n"/>
      <c r="H231" s="152" t="n">
        <v>434</v>
      </c>
      <c r="I231" s="156">
        <f>+I230+(G231-H231)</f>
        <v/>
      </c>
      <c r="J231" s="90" t="n">
        <v>48.6</v>
      </c>
      <c r="K231" s="166" t="n"/>
      <c r="L231" s="158">
        <f>+H231*J231</f>
        <v/>
      </c>
      <c r="M231" s="159">
        <f>SUM(M230+K231-L231)</f>
        <v/>
      </c>
    </row>
    <row r="232">
      <c r="A232" s="151" t="n">
        <v>46048</v>
      </c>
      <c r="B232" s="67" t="n">
        <v>3037</v>
      </c>
      <c r="C232" s="115" t="inlineStr">
        <is>
          <t>SELİM İNŞAAT</t>
        </is>
      </c>
      <c r="D232" s="115" t="inlineStr">
        <is>
          <t>34 FBR 781</t>
        </is>
      </c>
      <c r="E232" s="115" t="inlineStr">
        <is>
          <t>MEVLÜT POLAT</t>
        </is>
      </c>
      <c r="F232" s="65" t="n">
        <v>357145</v>
      </c>
      <c r="G232" s="152" t="n"/>
      <c r="H232" s="152" t="n">
        <v>490</v>
      </c>
      <c r="I232" s="156">
        <f>+I231+(G232-H232)</f>
        <v/>
      </c>
      <c r="J232" s="90" t="n">
        <v>48.6</v>
      </c>
      <c r="K232" s="166" t="n"/>
      <c r="L232" s="158">
        <f>+H232*J232</f>
        <v/>
      </c>
      <c r="M232" s="159">
        <f>SUM(M231+K232-L232)</f>
        <v/>
      </c>
    </row>
    <row r="233">
      <c r="A233" s="151" t="n">
        <v>46048</v>
      </c>
      <c r="B233" s="67" t="n">
        <v>3480</v>
      </c>
      <c r="C233" s="115" t="inlineStr">
        <is>
          <t>SELİM İNŞAAT</t>
        </is>
      </c>
      <c r="D233" s="115" t="inlineStr">
        <is>
          <t>34 EDB 754</t>
        </is>
      </c>
      <c r="E233" s="115" t="inlineStr">
        <is>
          <t>MUSTAFA KAYA</t>
        </is>
      </c>
      <c r="F233" s="65" t="n">
        <v>366966</v>
      </c>
      <c r="G233" s="152" t="n"/>
      <c r="H233" s="152" t="n">
        <v>401</v>
      </c>
      <c r="I233" s="156">
        <f>+I232+(G233-H233)</f>
        <v/>
      </c>
      <c r="J233" s="90" t="n">
        <v>48.6</v>
      </c>
      <c r="K233" s="166" t="n"/>
      <c r="L233" s="158">
        <f>+H233*J233</f>
        <v/>
      </c>
      <c r="M233" s="159">
        <f>SUM(M232+K233-L233)</f>
        <v/>
      </c>
    </row>
    <row r="234">
      <c r="A234" s="151" t="n">
        <v>46048</v>
      </c>
      <c r="B234" s="67" t="n">
        <v>3323</v>
      </c>
      <c r="C234" s="115" t="inlineStr">
        <is>
          <t>SELİM İNŞAAT</t>
        </is>
      </c>
      <c r="D234" s="115" t="inlineStr">
        <is>
          <t>34 GUS 938</t>
        </is>
      </c>
      <c r="E234" s="115" t="inlineStr">
        <is>
          <t>MEHMET KAYA</t>
        </is>
      </c>
      <c r="F234" s="65" t="n">
        <v>241456</v>
      </c>
      <c r="G234" s="152" t="n"/>
      <c r="H234" s="152" t="n">
        <v>430</v>
      </c>
      <c r="I234" s="156">
        <f>+I233+(G234-H234)</f>
        <v/>
      </c>
      <c r="J234" s="90" t="n">
        <v>48.6</v>
      </c>
      <c r="K234" s="166" t="n"/>
      <c r="L234" s="158">
        <f>+H234*J234</f>
        <v/>
      </c>
      <c r="M234" s="159">
        <f>SUM(M233+K234-L234)</f>
        <v/>
      </c>
    </row>
    <row r="235">
      <c r="A235" s="151" t="n">
        <v>46048</v>
      </c>
      <c r="B235" s="67" t="n">
        <v>3</v>
      </c>
      <c r="C235" s="115" t="inlineStr">
        <is>
          <t>SELİM İNŞAAT</t>
        </is>
      </c>
      <c r="D235" s="115" t="inlineStr">
        <is>
          <t xml:space="preserve">34 GVZ 268 </t>
        </is>
      </c>
      <c r="E235" s="115" t="inlineStr">
        <is>
          <t>KERİM KARAMAN</t>
        </is>
      </c>
      <c r="F235" s="65" t="n">
        <v>245706</v>
      </c>
      <c r="G235" s="152" t="n"/>
      <c r="H235" s="152" t="n">
        <v>400</v>
      </c>
      <c r="I235" s="156">
        <f>+I234+(G235-H235)</f>
        <v/>
      </c>
      <c r="J235" s="90" t="n">
        <v>48.6</v>
      </c>
      <c r="K235" s="166" t="n"/>
      <c r="L235" s="158">
        <f>+H235*J235</f>
        <v/>
      </c>
      <c r="M235" s="159">
        <f>SUM(M234+K235-L235)</f>
        <v/>
      </c>
    </row>
    <row r="236">
      <c r="A236" s="151" t="n">
        <v>46048</v>
      </c>
      <c r="B236" s="67" t="n">
        <v>4867</v>
      </c>
      <c r="C236" s="115" t="inlineStr">
        <is>
          <t>SELİM İNŞAAT</t>
        </is>
      </c>
      <c r="D236" s="115" t="inlineStr">
        <is>
          <t>34 FBR 705</t>
        </is>
      </c>
      <c r="E236" s="115" t="inlineStr">
        <is>
          <t>MURAT SARI</t>
        </is>
      </c>
      <c r="F236" s="65" t="n">
        <v>356789</v>
      </c>
      <c r="G236" s="152" t="n"/>
      <c r="H236" s="152" t="n">
        <v>295</v>
      </c>
      <c r="I236" s="156">
        <f>+I235+(G236-H236)</f>
        <v/>
      </c>
      <c r="J236" s="90" t="n">
        <v>48.6</v>
      </c>
      <c r="K236" s="166" t="n"/>
      <c r="L236" s="158">
        <f>+H236*J236</f>
        <v/>
      </c>
      <c r="M236" s="159">
        <f>SUM(M235+K236-L236)</f>
        <v/>
      </c>
    </row>
    <row r="237">
      <c r="A237" s="151" t="n">
        <v>46048</v>
      </c>
      <c r="B237" s="67" t="n">
        <v>2787</v>
      </c>
      <c r="C237" s="115" t="inlineStr">
        <is>
          <t>SELİM İNŞAAT</t>
        </is>
      </c>
      <c r="D237" s="115" t="inlineStr">
        <is>
          <t>34 EDC 086</t>
        </is>
      </c>
      <c r="E237" s="115" t="inlineStr">
        <is>
          <t>SEZGİN KOCAGİL</t>
        </is>
      </c>
      <c r="F237" s="65" t="n">
        <v>371081</v>
      </c>
      <c r="G237" s="152" t="n"/>
      <c r="H237" s="152" t="n">
        <v>384</v>
      </c>
      <c r="I237" s="156">
        <f>+I236+(G237-H237)</f>
        <v/>
      </c>
      <c r="J237" s="90" t="n">
        <v>48.6</v>
      </c>
      <c r="K237" s="166" t="n"/>
      <c r="L237" s="158">
        <f>+H237*J237</f>
        <v/>
      </c>
      <c r="M237" s="159">
        <f>SUM(M236+K237-L237)</f>
        <v/>
      </c>
    </row>
    <row r="238">
      <c r="A238" s="151" t="n">
        <v>46048</v>
      </c>
      <c r="B238" s="67" t="n">
        <v>4960</v>
      </c>
      <c r="C238" s="115" t="inlineStr">
        <is>
          <t>SELİM İNŞAAT</t>
        </is>
      </c>
      <c r="D238" s="115" t="inlineStr">
        <is>
          <t>34 GVZ 745</t>
        </is>
      </c>
      <c r="E238" s="115" t="inlineStr">
        <is>
          <t>MURAT DEMİRBAŞ</t>
        </is>
      </c>
      <c r="F238" s="65" t="n">
        <v>240874</v>
      </c>
      <c r="G238" s="152" t="n"/>
      <c r="H238" s="152" t="n">
        <v>439</v>
      </c>
      <c r="I238" s="156">
        <f>+I237+(G238-H238)</f>
        <v/>
      </c>
      <c r="J238" s="90" t="n">
        <v>48.6</v>
      </c>
      <c r="K238" s="166" t="n"/>
      <c r="L238" s="158">
        <f>+H238*J238</f>
        <v/>
      </c>
      <c r="M238" s="159">
        <f>SUM(M237+K238-L238)</f>
        <v/>
      </c>
    </row>
    <row r="239">
      <c r="A239" s="151" t="n">
        <v>46048</v>
      </c>
      <c r="B239" s="67" t="n">
        <v>4238</v>
      </c>
      <c r="C239" s="115" t="inlineStr">
        <is>
          <t>HASALTUN</t>
        </is>
      </c>
      <c r="D239" s="115" t="inlineStr">
        <is>
          <t>SİLİNDİR</t>
        </is>
      </c>
      <c r="E239" s="115" t="inlineStr">
        <is>
          <t>ÖNER DÜNDAR</t>
        </is>
      </c>
      <c r="F239" s="65" t="n"/>
      <c r="G239" s="152" t="n"/>
      <c r="H239" s="152" t="n">
        <v>254</v>
      </c>
      <c r="I239" s="156">
        <f>+I238+(G239-H239)</f>
        <v/>
      </c>
      <c r="J239" s="90" t="n">
        <v>48.6</v>
      </c>
      <c r="K239" s="166" t="n"/>
      <c r="L239" s="158">
        <f>+H239*J239</f>
        <v/>
      </c>
      <c r="M239" s="159">
        <f>SUM(M238+K239-L239)</f>
        <v/>
      </c>
    </row>
    <row r="240">
      <c r="A240" s="151" t="n">
        <v>46048</v>
      </c>
      <c r="B240" s="67" t="n">
        <v>4239</v>
      </c>
      <c r="C240" s="115" t="inlineStr">
        <is>
          <t>HASALTUN</t>
        </is>
      </c>
      <c r="D240" s="115" t="inlineStr">
        <is>
          <t>SM 370</t>
        </is>
      </c>
      <c r="E240" s="115" t="inlineStr">
        <is>
          <t>TEKİN</t>
        </is>
      </c>
      <c r="F240" s="65" t="n"/>
      <c r="G240" s="152" t="n"/>
      <c r="H240" s="152" t="n">
        <v>426</v>
      </c>
      <c r="I240" s="156">
        <f>+I239+(G240-H240)</f>
        <v/>
      </c>
      <c r="J240" s="90" t="n">
        <v>48.6</v>
      </c>
      <c r="K240" s="166" t="n"/>
      <c r="L240" s="158">
        <f>+H240*J240</f>
        <v/>
      </c>
      <c r="M240" s="159">
        <f>SUM(M239+K240-L240)</f>
        <v/>
      </c>
    </row>
    <row r="241">
      <c r="A241" s="151" t="n">
        <v>46048</v>
      </c>
      <c r="B241" s="67" t="n">
        <v>4240</v>
      </c>
      <c r="C241" s="115" t="inlineStr">
        <is>
          <t>MEGA VARLIK</t>
        </is>
      </c>
      <c r="D241" s="115" t="inlineStr">
        <is>
          <t>SM 350</t>
        </is>
      </c>
      <c r="E241" s="115" t="inlineStr">
        <is>
          <t>TEVFİK ÖZTÜRK</t>
        </is>
      </c>
      <c r="F241" s="65" t="n"/>
      <c r="G241" s="152" t="n"/>
      <c r="H241" s="152" t="n">
        <v>320</v>
      </c>
      <c r="I241" s="156">
        <f>+I240+(G241-H241)</f>
        <v/>
      </c>
      <c r="J241" s="90" t="n">
        <v>48.6</v>
      </c>
      <c r="K241" s="166" t="n"/>
      <c r="L241" s="158">
        <f>+H241*J241</f>
        <v/>
      </c>
      <c r="M241" s="159">
        <f>SUM(M240+K241-L241)</f>
        <v/>
      </c>
    </row>
    <row r="242">
      <c r="A242" s="151" t="n">
        <v>46048</v>
      </c>
      <c r="B242" s="70" t="n">
        <v>3722</v>
      </c>
      <c r="C242" s="115" t="inlineStr">
        <is>
          <t>SELİM İNŞAAT</t>
        </is>
      </c>
      <c r="D242" s="115" t="inlineStr">
        <is>
          <t>34 DKL 866</t>
        </is>
      </c>
      <c r="E242" s="115" t="inlineStr">
        <is>
          <t>SELİM CAN ÖNVER</t>
        </is>
      </c>
      <c r="F242" s="65" t="n">
        <v>81395</v>
      </c>
      <c r="G242" s="152" t="n"/>
      <c r="H242" s="152" t="n">
        <v>177</v>
      </c>
      <c r="I242" s="156">
        <f>+I241+(G242-H242)</f>
        <v/>
      </c>
      <c r="J242" s="90" t="n">
        <v>48.6</v>
      </c>
      <c r="K242" s="166" t="n"/>
      <c r="L242" s="158">
        <f>+H242*J242</f>
        <v/>
      </c>
      <c r="M242" s="159">
        <f>SUM(M241+K242-L242)</f>
        <v/>
      </c>
    </row>
    <row r="243">
      <c r="A243" s="151" t="n">
        <v>46048</v>
      </c>
      <c r="B243" s="70" t="n">
        <v>241</v>
      </c>
      <c r="C243" s="115" t="inlineStr">
        <is>
          <t>SELİM İNŞAAT</t>
        </is>
      </c>
      <c r="D243" s="115" t="inlineStr">
        <is>
          <t>34 JGR 15</t>
        </is>
      </c>
      <c r="E243" s="115" t="inlineStr">
        <is>
          <t>TURAN SEVİNDİK</t>
        </is>
      </c>
      <c r="F243" s="65" t="n">
        <v>328122</v>
      </c>
      <c r="G243" s="152" t="n"/>
      <c r="H243" s="152" t="n">
        <v>64</v>
      </c>
      <c r="I243" s="156">
        <f>+I242+(G243-H243)</f>
        <v/>
      </c>
      <c r="J243" s="90" t="n">
        <v>48.6</v>
      </c>
      <c r="K243" s="166" t="n"/>
      <c r="L243" s="158">
        <f>+H243*J243</f>
        <v/>
      </c>
      <c r="M243" s="159">
        <f>SUM(M242+K243-L243)</f>
        <v/>
      </c>
    </row>
    <row r="244">
      <c r="A244" s="151" t="n">
        <v>46048</v>
      </c>
      <c r="B244" s="70" t="n">
        <v>1628</v>
      </c>
      <c r="C244" s="115" t="inlineStr">
        <is>
          <t>SELİM İNŞAAT</t>
        </is>
      </c>
      <c r="D244" s="115" t="inlineStr">
        <is>
          <t>34 VF 2620</t>
        </is>
      </c>
      <c r="E244" s="115" t="inlineStr">
        <is>
          <t>RECEP SELİM</t>
        </is>
      </c>
      <c r="F244" s="65" t="n">
        <v>200816</v>
      </c>
      <c r="G244" s="152" t="n"/>
      <c r="H244" s="152" t="n">
        <v>64</v>
      </c>
      <c r="I244" s="156">
        <f>+I243+(G244-H244)</f>
        <v/>
      </c>
      <c r="J244" s="90" t="n">
        <v>48.6</v>
      </c>
      <c r="K244" s="166" t="n"/>
      <c r="L244" s="158">
        <f>+H244*J244</f>
        <v/>
      </c>
      <c r="M244" s="159">
        <f>SUM(M243+K244-L244)</f>
        <v/>
      </c>
    </row>
    <row r="245">
      <c r="A245" s="151" t="n">
        <v>46049</v>
      </c>
      <c r="B245" s="67" t="n">
        <v>4506</v>
      </c>
      <c r="C245" s="52" t="inlineStr">
        <is>
          <t>SELİM İNŞAAT</t>
        </is>
      </c>
      <c r="D245" s="51" t="inlineStr">
        <is>
          <t>34 DTV 352</t>
        </is>
      </c>
      <c r="E245" s="51" t="inlineStr">
        <is>
          <t>ENGİN DENİZ</t>
        </is>
      </c>
      <c r="F245" s="53" t="n">
        <v>471744</v>
      </c>
      <c r="G245" s="156" t="n"/>
      <c r="H245" s="156" t="n">
        <v>502</v>
      </c>
      <c r="I245" s="156">
        <f>+I244+(G245-H245)</f>
        <v/>
      </c>
      <c r="J245" s="90" t="n">
        <v>48.6</v>
      </c>
      <c r="K245" s="166" t="n"/>
      <c r="L245" s="158">
        <f>+H245*J245</f>
        <v/>
      </c>
      <c r="M245" s="159">
        <f>SUM(M244+K245-L245)</f>
        <v/>
      </c>
    </row>
    <row r="246">
      <c r="A246" s="151" t="n">
        <v>46049</v>
      </c>
      <c r="B246" s="67" t="n">
        <v>1540</v>
      </c>
      <c r="C246" s="52" t="inlineStr">
        <is>
          <t>SELİM İNŞAAT</t>
        </is>
      </c>
      <c r="D246" s="51" t="inlineStr">
        <is>
          <t>34 GUS 848</t>
        </is>
      </c>
      <c r="E246" s="51" t="inlineStr">
        <is>
          <t>SERDAR BOZKURT</t>
        </is>
      </c>
      <c r="F246" s="53" t="n">
        <v>227152</v>
      </c>
      <c r="G246" s="156" t="n"/>
      <c r="H246" s="156" t="n">
        <v>469</v>
      </c>
      <c r="I246" s="156">
        <f>+I245+(G246-H246)</f>
        <v/>
      </c>
      <c r="J246" s="90" t="n">
        <v>48.6</v>
      </c>
      <c r="K246" s="166" t="n"/>
      <c r="L246" s="158">
        <f>+H246*J246</f>
        <v/>
      </c>
      <c r="M246" s="159">
        <f>SUM(M245+K246-L246)</f>
        <v/>
      </c>
    </row>
    <row r="247">
      <c r="A247" s="151" t="n">
        <v>46049</v>
      </c>
      <c r="B247" s="67" t="n">
        <v>1687</v>
      </c>
      <c r="C247" s="52" t="inlineStr">
        <is>
          <t>SELİM İNŞAAT</t>
        </is>
      </c>
      <c r="D247" s="51" t="inlineStr">
        <is>
          <t>34 DHH 570</t>
        </is>
      </c>
      <c r="E247" s="51" t="inlineStr">
        <is>
          <t>YASİN ÇATAKLI</t>
        </is>
      </c>
      <c r="F247" s="53" t="n">
        <v>471088</v>
      </c>
      <c r="G247" s="156" t="n"/>
      <c r="H247" s="156" t="n">
        <v>435</v>
      </c>
      <c r="I247" s="156">
        <f>+I246+(G247-H247)</f>
        <v/>
      </c>
      <c r="J247" s="90" t="n">
        <v>48.6</v>
      </c>
      <c r="K247" s="166" t="n"/>
      <c r="L247" s="158">
        <f>+H247*J247</f>
        <v/>
      </c>
      <c r="M247" s="159">
        <f>SUM(M246+K247-L247)</f>
        <v/>
      </c>
    </row>
    <row r="248">
      <c r="A248" s="151" t="n">
        <v>46049</v>
      </c>
      <c r="B248" s="67" t="n">
        <v>201</v>
      </c>
      <c r="C248" s="52" t="inlineStr">
        <is>
          <t>SELİM İNŞAAT</t>
        </is>
      </c>
      <c r="D248" s="51" t="inlineStr">
        <is>
          <t>34 DSN 536</t>
        </is>
      </c>
      <c r="E248" s="51" t="inlineStr">
        <is>
          <t>SALİH YALÇIN</t>
        </is>
      </c>
      <c r="F248" s="53" t="n">
        <v>442757</v>
      </c>
      <c r="G248" s="156" t="n"/>
      <c r="H248" s="156" t="n">
        <v>41</v>
      </c>
      <c r="I248" s="156">
        <f>+I247+(G248-H248)</f>
        <v/>
      </c>
      <c r="J248" s="90" t="n">
        <v>48.6</v>
      </c>
      <c r="K248" s="166" t="n"/>
      <c r="L248" s="158">
        <f>+H248*J248</f>
        <v/>
      </c>
      <c r="M248" s="159">
        <f>SUM(M247+K248-L248)</f>
        <v/>
      </c>
    </row>
    <row r="249">
      <c r="A249" s="151" t="n">
        <v>46049</v>
      </c>
      <c r="B249" s="67" t="n">
        <v>4067</v>
      </c>
      <c r="C249" s="52" t="inlineStr">
        <is>
          <t>SELİM İNŞAAT</t>
        </is>
      </c>
      <c r="D249" s="51" t="inlineStr">
        <is>
          <t>34 DHH 668</t>
        </is>
      </c>
      <c r="E249" s="51" t="inlineStr">
        <is>
          <t>DURSUN ALİ GÜREK</t>
        </is>
      </c>
      <c r="F249" s="53" t="n">
        <v>423014</v>
      </c>
      <c r="G249" s="152" t="n"/>
      <c r="H249" s="152" t="n">
        <v>453</v>
      </c>
      <c r="I249" s="156">
        <f>+I248+(G249-H249)</f>
        <v/>
      </c>
      <c r="J249" s="90" t="n">
        <v>48.6</v>
      </c>
      <c r="K249" s="166" t="n"/>
      <c r="L249" s="158">
        <f>+H249*J249</f>
        <v/>
      </c>
      <c r="M249" s="159">
        <f>SUM(M248+K249-L249)</f>
        <v/>
      </c>
    </row>
    <row r="250">
      <c r="A250" s="151" t="n">
        <v>46049</v>
      </c>
      <c r="B250" s="67" t="n">
        <v>2291</v>
      </c>
      <c r="C250" s="52" t="inlineStr">
        <is>
          <t>SELİM İNŞAAT</t>
        </is>
      </c>
      <c r="D250" s="51" t="inlineStr">
        <is>
          <t>34 DSN 636</t>
        </is>
      </c>
      <c r="E250" s="51" t="inlineStr">
        <is>
          <t>MAHSUN GÜVEN</t>
        </is>
      </c>
      <c r="F250" s="53" t="n">
        <v>428317</v>
      </c>
      <c r="G250" s="152" t="n"/>
      <c r="H250" s="152" t="n">
        <v>409</v>
      </c>
      <c r="I250" s="156">
        <f>+I249+(G250-H250)</f>
        <v/>
      </c>
      <c r="J250" s="90" t="n">
        <v>48.6</v>
      </c>
      <c r="K250" s="166" t="n"/>
      <c r="L250" s="158">
        <f>+H250*J250</f>
        <v/>
      </c>
      <c r="M250" s="159">
        <f>SUM(M249+K250-L250)</f>
        <v/>
      </c>
    </row>
    <row r="251">
      <c r="A251" s="151" t="n">
        <v>46049</v>
      </c>
      <c r="B251" s="67" t="n">
        <v>3825</v>
      </c>
      <c r="C251" s="52" t="inlineStr">
        <is>
          <t>SELİM İNŞAAT</t>
        </is>
      </c>
      <c r="D251" s="51" t="inlineStr">
        <is>
          <t>34 GYZ 635</t>
        </is>
      </c>
      <c r="E251" s="115" t="inlineStr">
        <is>
          <t>ADEM DENİZ</t>
        </is>
      </c>
      <c r="F251" s="53" t="n">
        <v>221540</v>
      </c>
      <c r="G251" s="152" t="n"/>
      <c r="H251" s="152" t="n">
        <v>406</v>
      </c>
      <c r="I251" s="156">
        <f>+I250+(G251-H251)</f>
        <v/>
      </c>
      <c r="J251" s="90" t="n">
        <v>48.6</v>
      </c>
      <c r="K251" s="166" t="n"/>
      <c r="L251" s="158">
        <f>+H251*J251</f>
        <v/>
      </c>
      <c r="M251" s="159">
        <f>SUM(M250+K251-L251)</f>
        <v/>
      </c>
    </row>
    <row r="252">
      <c r="A252" s="151" t="n">
        <v>46049</v>
      </c>
      <c r="B252" s="67" t="n">
        <v>4766</v>
      </c>
      <c r="C252" s="52" t="inlineStr">
        <is>
          <t>SELİM İNŞAAT</t>
        </is>
      </c>
      <c r="D252" s="115" t="inlineStr">
        <is>
          <t>34 DGP 137</t>
        </is>
      </c>
      <c r="E252" s="115" t="inlineStr">
        <is>
          <t xml:space="preserve">GÜRAY KOYUNCU </t>
        </is>
      </c>
      <c r="F252" s="65" t="n">
        <v>473628</v>
      </c>
      <c r="G252" s="152" t="n"/>
      <c r="H252" s="152" t="n">
        <v>458</v>
      </c>
      <c r="I252" s="156">
        <f>+I251+(G252-H252)</f>
        <v/>
      </c>
      <c r="J252" s="90" t="n">
        <v>48.6</v>
      </c>
      <c r="K252" s="166" t="n"/>
      <c r="L252" s="158">
        <f>+H252*J252</f>
        <v/>
      </c>
      <c r="M252" s="159">
        <f>SUM(M251+K252-L252)</f>
        <v/>
      </c>
    </row>
    <row r="253">
      <c r="A253" s="151" t="n">
        <v>46049</v>
      </c>
      <c r="B253" s="67" t="n">
        <v>1847</v>
      </c>
      <c r="C253" s="52" t="inlineStr">
        <is>
          <t>SELİM İNŞAAT</t>
        </is>
      </c>
      <c r="D253" s="115" t="inlineStr">
        <is>
          <t>34 EGR 922</t>
        </is>
      </c>
      <c r="E253" s="115" t="inlineStr">
        <is>
          <t>FARUK ÖZEN</t>
        </is>
      </c>
      <c r="F253" s="65" t="n">
        <v>500385</v>
      </c>
      <c r="G253" s="152" t="n"/>
      <c r="H253" s="152" t="n">
        <v>448</v>
      </c>
      <c r="I253" s="156">
        <f>+I252+(G253-H253)</f>
        <v/>
      </c>
      <c r="J253" s="90" t="n">
        <v>48.6</v>
      </c>
      <c r="K253" s="166" t="n"/>
      <c r="L253" s="158">
        <f>+H253*J253</f>
        <v/>
      </c>
      <c r="M253" s="159">
        <f>SUM(M252+K253-L253)</f>
        <v/>
      </c>
    </row>
    <row r="254">
      <c r="A254" s="151" t="n">
        <v>46049</v>
      </c>
      <c r="B254" s="67" t="n">
        <v>4109</v>
      </c>
      <c r="C254" s="115" t="inlineStr">
        <is>
          <t>SELİM İNŞAAT</t>
        </is>
      </c>
      <c r="D254" s="115" t="inlineStr">
        <is>
          <t>34 EDB 659</t>
        </is>
      </c>
      <c r="E254" s="115" t="inlineStr">
        <is>
          <t>MEHMET SAİK ANIK</t>
        </is>
      </c>
      <c r="F254" s="65" t="n">
        <v>384970</v>
      </c>
      <c r="G254" s="152" t="n"/>
      <c r="H254" s="152" t="n">
        <v>414</v>
      </c>
      <c r="I254" s="156">
        <f>+I253+(G254-H254)</f>
        <v/>
      </c>
      <c r="J254" s="90" t="n">
        <v>48.6</v>
      </c>
      <c r="K254" s="166" t="n"/>
      <c r="L254" s="158">
        <f>+H254*J254</f>
        <v/>
      </c>
      <c r="M254" s="159">
        <f>SUM(M253+K254-L254)</f>
        <v/>
      </c>
    </row>
    <row r="255">
      <c r="A255" s="151" t="n">
        <v>46049</v>
      </c>
      <c r="B255" s="67" t="n">
        <v>3218</v>
      </c>
      <c r="C255" s="115" t="inlineStr">
        <is>
          <t>SELİM İNŞAAT</t>
        </is>
      </c>
      <c r="D255" s="115" t="inlineStr">
        <is>
          <t>34 EGR 736</t>
        </is>
      </c>
      <c r="E255" s="115" t="inlineStr">
        <is>
          <t>HAKAN ÇAVUŞOĞLU</t>
        </is>
      </c>
      <c r="F255" s="65" t="n">
        <v>434207</v>
      </c>
      <c r="G255" s="152" t="n"/>
      <c r="H255" s="152" t="n">
        <v>450</v>
      </c>
      <c r="I255" s="156">
        <f>+I254+(G255-H255)</f>
        <v/>
      </c>
      <c r="J255" s="90" t="n">
        <v>48.6</v>
      </c>
      <c r="K255" s="166" t="n"/>
      <c r="L255" s="158">
        <f>+H255*J255</f>
        <v/>
      </c>
      <c r="M255" s="159">
        <f>SUM(M254+K255-L255)</f>
        <v/>
      </c>
    </row>
    <row r="256">
      <c r="A256" s="151" t="n">
        <v>46049</v>
      </c>
      <c r="B256" s="67" t="n">
        <v>898</v>
      </c>
      <c r="C256" s="115" t="inlineStr">
        <is>
          <t>SELİM İNŞAAT</t>
        </is>
      </c>
      <c r="D256" s="115" t="inlineStr">
        <is>
          <t>34 FSG 229</t>
        </is>
      </c>
      <c r="E256" s="115" t="inlineStr">
        <is>
          <t>SİNAN TANRIVERDİ</t>
        </is>
      </c>
      <c r="F256" s="65" t="n">
        <v>294931</v>
      </c>
      <c r="G256" s="152" t="n"/>
      <c r="H256" s="152" t="n">
        <v>431</v>
      </c>
      <c r="I256" s="156">
        <f>+I255+(G256-H256)</f>
        <v/>
      </c>
      <c r="J256" s="90" t="n">
        <v>48.6</v>
      </c>
      <c r="K256" s="166" t="n"/>
      <c r="L256" s="158">
        <f>+H256*J256</f>
        <v/>
      </c>
      <c r="M256" s="159">
        <f>SUM(M255+K256-L256)</f>
        <v/>
      </c>
    </row>
    <row r="257">
      <c r="A257" s="151" t="n">
        <v>46049</v>
      </c>
      <c r="B257" s="67" t="n">
        <v>4812</v>
      </c>
      <c r="C257" s="115" t="inlineStr">
        <is>
          <t>SELİM İNŞAAT</t>
        </is>
      </c>
      <c r="D257" s="115" t="inlineStr">
        <is>
          <t>34 EDB 559</t>
        </is>
      </c>
      <c r="E257" s="115" t="inlineStr">
        <is>
          <t>AZİZ ORUÇ</t>
        </is>
      </c>
      <c r="F257" s="65" t="n">
        <v>359683</v>
      </c>
      <c r="G257" s="152" t="n"/>
      <c r="H257" s="152" t="n">
        <v>42</v>
      </c>
      <c r="I257" s="156">
        <f>+I256+(G257-H257)</f>
        <v/>
      </c>
      <c r="J257" s="90" t="n">
        <v>48.6</v>
      </c>
      <c r="K257" s="166" t="n"/>
      <c r="L257" s="158">
        <f>+H257*J257</f>
        <v/>
      </c>
      <c r="M257" s="159">
        <f>SUM(M256+K257-L257)</f>
        <v/>
      </c>
    </row>
    <row r="258">
      <c r="A258" s="151" t="n">
        <v>46049</v>
      </c>
      <c r="B258" s="67" t="n">
        <v>2530</v>
      </c>
      <c r="C258" s="115" t="inlineStr">
        <is>
          <t xml:space="preserve">AZGÜN YAPI </t>
        </is>
      </c>
      <c r="D258" s="115" t="inlineStr">
        <is>
          <t>34 MKT 593</t>
        </is>
      </c>
      <c r="E258" s="115" t="inlineStr">
        <is>
          <t>TURGUT ÇATAL</t>
        </is>
      </c>
      <c r="F258" s="65" t="n">
        <v>84807</v>
      </c>
      <c r="G258" s="152" t="n"/>
      <c r="H258" s="152" t="n">
        <v>42</v>
      </c>
      <c r="I258" s="156">
        <f>+I257+(G258-H258)</f>
        <v/>
      </c>
      <c r="J258" s="90" t="n">
        <v>48.6</v>
      </c>
      <c r="K258" s="166" t="n"/>
      <c r="L258" s="158">
        <f>+H258*J258</f>
        <v/>
      </c>
      <c r="M258" s="159">
        <f>SUM(M257+K258-L258)</f>
        <v/>
      </c>
    </row>
    <row r="259">
      <c r="A259" s="151" t="n">
        <v>46049</v>
      </c>
      <c r="B259" s="67" t="n">
        <v>3276</v>
      </c>
      <c r="C259" s="115" t="inlineStr">
        <is>
          <t xml:space="preserve">AZGÜN YAPI </t>
        </is>
      </c>
      <c r="D259" s="115" t="inlineStr">
        <is>
          <t xml:space="preserve">34 DTV 263 </t>
        </is>
      </c>
      <c r="E259" s="115" t="inlineStr">
        <is>
          <t>İRFAN DAĞLAR</t>
        </is>
      </c>
      <c r="F259" s="65" t="n">
        <v>433556</v>
      </c>
      <c r="G259" s="152" t="n"/>
      <c r="H259" s="152" t="n">
        <v>460</v>
      </c>
      <c r="I259" s="156">
        <f>+I258+(G259-H259)</f>
        <v/>
      </c>
      <c r="J259" s="90" t="n">
        <v>48.6</v>
      </c>
      <c r="K259" s="166" t="n"/>
      <c r="L259" s="158">
        <f>+H259*J259</f>
        <v/>
      </c>
      <c r="M259" s="159">
        <f>SUM(M258+K259-L259)</f>
        <v/>
      </c>
    </row>
    <row r="260">
      <c r="A260" s="151" t="n">
        <v>46049</v>
      </c>
      <c r="B260" s="67" t="n">
        <v>3793</v>
      </c>
      <c r="C260" s="115" t="inlineStr">
        <is>
          <t>METİN ERYİĞİT</t>
        </is>
      </c>
      <c r="D260" s="115" t="inlineStr">
        <is>
          <t>34 GBL 998</t>
        </is>
      </c>
      <c r="E260" s="115" t="inlineStr">
        <is>
          <t>ALİ KESKİN</t>
        </is>
      </c>
      <c r="F260" s="65" t="n">
        <v>334373</v>
      </c>
      <c r="G260" s="152" t="n"/>
      <c r="H260" s="152" t="n">
        <v>495</v>
      </c>
      <c r="I260" s="156">
        <f>+I259+(G260-H260)</f>
        <v/>
      </c>
      <c r="J260" s="90" t="n">
        <v>48.6</v>
      </c>
      <c r="K260" s="166" t="n"/>
      <c r="L260" s="158">
        <f>+H260*J260</f>
        <v/>
      </c>
      <c r="M260" s="159">
        <f>SUM(M259+K260-L260)</f>
        <v/>
      </c>
    </row>
    <row r="261">
      <c r="A261" s="151" t="n">
        <v>46049</v>
      </c>
      <c r="B261" s="67" t="n">
        <v>3699</v>
      </c>
      <c r="C261" s="115" t="inlineStr">
        <is>
          <t>METİN ERYİĞİT</t>
        </is>
      </c>
      <c r="D261" s="115" t="inlineStr">
        <is>
          <t>34 EGS 013</t>
        </is>
      </c>
      <c r="E261" s="115" t="inlineStr">
        <is>
          <t>UĞUR DUMAN</t>
        </is>
      </c>
      <c r="F261" s="65" t="n">
        <v>551366</v>
      </c>
      <c r="G261" s="152" t="n"/>
      <c r="H261" s="152" t="n">
        <v>484</v>
      </c>
      <c r="I261" s="156">
        <f>+I260+(G261-H261)</f>
        <v/>
      </c>
      <c r="J261" s="90" t="n">
        <v>48.6</v>
      </c>
      <c r="K261" s="166" t="n"/>
      <c r="L261" s="158">
        <f>+H261*J261</f>
        <v/>
      </c>
      <c r="M261" s="159">
        <f>SUM(M260+K261-L261)</f>
        <v/>
      </c>
    </row>
    <row r="262">
      <c r="A262" s="151" t="n">
        <v>46049</v>
      </c>
      <c r="B262" s="67" t="n">
        <v>2892</v>
      </c>
      <c r="C262" s="115" t="inlineStr">
        <is>
          <t>MEGA VARLIK</t>
        </is>
      </c>
      <c r="D262" s="115" t="inlineStr">
        <is>
          <t>ANKRAJ</t>
        </is>
      </c>
      <c r="E262" s="115" t="inlineStr">
        <is>
          <t>HASAN ZEMİN</t>
        </is>
      </c>
      <c r="F262" s="65" t="n"/>
      <c r="G262" s="152" t="n"/>
      <c r="H262" s="152" t="n">
        <v>298</v>
      </c>
      <c r="I262" s="156">
        <f>+I261+(G262-H262)</f>
        <v/>
      </c>
      <c r="J262" s="90" t="n">
        <v>48.6</v>
      </c>
      <c r="K262" s="166" t="n"/>
      <c r="L262" s="158">
        <f>+H262*J262</f>
        <v/>
      </c>
      <c r="M262" s="159">
        <f>SUM(M261+K262-L262)</f>
        <v/>
      </c>
    </row>
    <row r="263">
      <c r="A263" s="151" t="n">
        <v>46049</v>
      </c>
      <c r="B263" s="70" t="n">
        <v>4010</v>
      </c>
      <c r="C263" s="115" t="inlineStr">
        <is>
          <t>SELİM İNŞAAT</t>
        </is>
      </c>
      <c r="D263" s="115" t="inlineStr">
        <is>
          <t>34 AR 7743</t>
        </is>
      </c>
      <c r="E263" s="115" t="inlineStr">
        <is>
          <t>MEHMET SELİM</t>
        </is>
      </c>
      <c r="F263" s="65" t="n">
        <v>372655</v>
      </c>
      <c r="G263" s="152" t="n"/>
      <c r="H263" s="152" t="n">
        <v>49</v>
      </c>
      <c r="I263" s="156">
        <f>+I262+(G263-H263)</f>
        <v/>
      </c>
      <c r="J263" s="90" t="n">
        <v>48.6</v>
      </c>
      <c r="K263" s="166" t="n"/>
      <c r="L263" s="158">
        <f>+H263*J263</f>
        <v/>
      </c>
      <c r="M263" s="159">
        <f>SUM(M262+K263-L263)</f>
        <v/>
      </c>
    </row>
    <row r="264">
      <c r="A264" s="151" t="n">
        <v>46049</v>
      </c>
      <c r="B264" s="70" t="n">
        <v>2644</v>
      </c>
      <c r="C264" s="115" t="inlineStr">
        <is>
          <t>SELİM İNŞAAT</t>
        </is>
      </c>
      <c r="D264" s="115" t="inlineStr">
        <is>
          <t>34 GU 945</t>
        </is>
      </c>
      <c r="E264" s="115" t="inlineStr">
        <is>
          <t>YAKUP URUCU</t>
        </is>
      </c>
      <c r="F264" s="65" t="n">
        <v>470020</v>
      </c>
      <c r="G264" s="152" t="n"/>
      <c r="H264" s="152" t="n">
        <v>43</v>
      </c>
      <c r="I264" s="156">
        <f>+I263+(G264-H264)</f>
        <v/>
      </c>
      <c r="J264" s="90" t="n">
        <v>48.6</v>
      </c>
      <c r="K264" s="166" t="n"/>
      <c r="L264" s="158">
        <f>+H264*J264</f>
        <v/>
      </c>
      <c r="M264" s="159">
        <f>SUM(M263+K264-L264)</f>
        <v/>
      </c>
    </row>
    <row r="265">
      <c r="A265" s="151" t="n">
        <v>46050</v>
      </c>
      <c r="B265" s="67" t="n">
        <v>506</v>
      </c>
      <c r="C265" s="52" t="inlineStr">
        <is>
          <t>SELİM İNŞAAT</t>
        </is>
      </c>
      <c r="D265" s="51" t="inlineStr">
        <is>
          <t>34 EGR 737</t>
        </is>
      </c>
      <c r="E265" s="51" t="inlineStr">
        <is>
          <t>CEM MUHTAR</t>
        </is>
      </c>
      <c r="F265" s="53" t="n">
        <v>456124</v>
      </c>
      <c r="G265" s="152" t="n"/>
      <c r="H265" s="152" t="n">
        <v>408</v>
      </c>
      <c r="I265" s="156">
        <f>+I264+(G265-H265)</f>
        <v/>
      </c>
      <c r="J265" s="90" t="n">
        <v>48.6</v>
      </c>
      <c r="K265" s="166" t="n"/>
      <c r="L265" s="158">
        <f>+H265*J265</f>
        <v/>
      </c>
      <c r="M265" s="159">
        <f>SUM(M264+K265-L265)</f>
        <v/>
      </c>
    </row>
    <row r="266">
      <c r="A266" s="151" t="n">
        <v>46050</v>
      </c>
      <c r="B266" s="67" t="n">
        <v>4917</v>
      </c>
      <c r="C266" s="52" t="inlineStr">
        <is>
          <t>SELİM İNŞAAT</t>
        </is>
      </c>
      <c r="D266" s="51" t="inlineStr">
        <is>
          <t>34 FBR 742</t>
        </is>
      </c>
      <c r="E266" s="115" t="inlineStr">
        <is>
          <t>ADNAN KOÇ</t>
        </is>
      </c>
      <c r="F266" s="65" t="n">
        <v>361491</v>
      </c>
      <c r="G266" s="152" t="n"/>
      <c r="H266" s="152" t="n">
        <v>315</v>
      </c>
      <c r="I266" s="156">
        <f>+I265+(G266-H266)</f>
        <v/>
      </c>
      <c r="J266" s="90" t="n">
        <v>48.6</v>
      </c>
      <c r="K266" s="166" t="n"/>
      <c r="L266" s="158">
        <f>+H266*J266</f>
        <v/>
      </c>
      <c r="M266" s="159">
        <f>SUM(M265+K266-L266)</f>
        <v/>
      </c>
    </row>
    <row r="267">
      <c r="A267" s="151" t="n">
        <v>46050</v>
      </c>
      <c r="B267" s="67" t="n">
        <v>4165</v>
      </c>
      <c r="C267" s="115" t="inlineStr">
        <is>
          <t>SELİM İNŞAAT</t>
        </is>
      </c>
      <c r="D267" s="115" t="inlineStr">
        <is>
          <t>34 FBR 748</t>
        </is>
      </c>
      <c r="E267" s="115" t="inlineStr">
        <is>
          <t>YAŞAR ÖZKAYA</t>
        </is>
      </c>
      <c r="F267" s="65" t="n">
        <v>320875</v>
      </c>
      <c r="G267" s="152" t="n"/>
      <c r="H267" s="152" t="n">
        <v>440</v>
      </c>
      <c r="I267" s="156">
        <f>+I266+(G267-H267)</f>
        <v/>
      </c>
      <c r="J267" s="90" t="n">
        <v>48.6</v>
      </c>
      <c r="K267" s="166" t="n"/>
      <c r="L267" s="158">
        <f>+H267*J267</f>
        <v/>
      </c>
      <c r="M267" s="159">
        <f>SUM(M266+K267-L267)</f>
        <v/>
      </c>
    </row>
    <row r="268">
      <c r="A268" s="151" t="n">
        <v>46050</v>
      </c>
      <c r="B268" s="67" t="n">
        <v>3324</v>
      </c>
      <c r="C268" s="115" t="inlineStr">
        <is>
          <t>SELİM İNŞAAT</t>
        </is>
      </c>
      <c r="D268" s="115" t="inlineStr">
        <is>
          <t>34 GUS 938</t>
        </is>
      </c>
      <c r="E268" s="115" t="inlineStr">
        <is>
          <t>MEHMET KAYA</t>
        </is>
      </c>
      <c r="F268" s="65" t="n">
        <v>242356</v>
      </c>
      <c r="G268" s="152" t="n"/>
      <c r="H268" s="152" t="n">
        <v>492</v>
      </c>
      <c r="I268" s="156">
        <f>+I267+(G268-H268)</f>
        <v/>
      </c>
      <c r="J268" s="90" t="n">
        <v>48.6</v>
      </c>
      <c r="K268" s="166" t="n"/>
      <c r="L268" s="158">
        <f>+H268*J268</f>
        <v/>
      </c>
      <c r="M268" s="159">
        <f>SUM(M267+K268-L268)</f>
        <v/>
      </c>
    </row>
    <row r="269">
      <c r="A269" s="151" t="n">
        <v>46050</v>
      </c>
      <c r="B269" s="67" t="n">
        <v>4961</v>
      </c>
      <c r="C269" s="115" t="inlineStr">
        <is>
          <t>SELİM İNŞAAT</t>
        </is>
      </c>
      <c r="D269" s="115" t="inlineStr">
        <is>
          <t>34 GVZ 745</t>
        </is>
      </c>
      <c r="E269" s="115" t="inlineStr">
        <is>
          <t>MURAT DEMİRBAŞ</t>
        </is>
      </c>
      <c r="F269" s="65" t="n">
        <v>241370</v>
      </c>
      <c r="G269" s="152" t="n"/>
      <c r="H269" s="152" t="n">
        <v>345</v>
      </c>
      <c r="I269" s="156">
        <f>+I268+(G269-H269)</f>
        <v/>
      </c>
      <c r="J269" s="90" t="n">
        <v>48.6</v>
      </c>
      <c r="K269" s="166" t="n"/>
      <c r="L269" s="158">
        <f>+H269*J269</f>
        <v/>
      </c>
      <c r="M269" s="159">
        <f>SUM(M268+K269-L269)</f>
        <v/>
      </c>
    </row>
    <row r="270">
      <c r="A270" s="151" t="n">
        <v>46050</v>
      </c>
      <c r="B270" s="67" t="n">
        <v>1380</v>
      </c>
      <c r="C270" s="115" t="inlineStr">
        <is>
          <t xml:space="preserve">AZGÜN YAPI </t>
        </is>
      </c>
      <c r="D270" s="115" t="inlineStr">
        <is>
          <t>34 MKT 859</t>
        </is>
      </c>
      <c r="E270" s="115" t="inlineStr">
        <is>
          <t>ONUR CANLI</t>
        </is>
      </c>
      <c r="F270" s="65" t="n">
        <v>92398</v>
      </c>
      <c r="G270" s="152" t="n"/>
      <c r="H270" s="152" t="n">
        <v>533</v>
      </c>
      <c r="I270" s="156">
        <f>+I269+(G270-H270)</f>
        <v/>
      </c>
      <c r="J270" s="90" t="n">
        <v>48.6</v>
      </c>
      <c r="K270" s="166" t="n"/>
      <c r="L270" s="158">
        <f>+H270*J270</f>
        <v/>
      </c>
      <c r="M270" s="159">
        <f>SUM(M269+K270-L270)</f>
        <v/>
      </c>
    </row>
    <row r="271">
      <c r="A271" s="151" t="n">
        <v>46050</v>
      </c>
      <c r="B271" s="67" t="n">
        <v>2741</v>
      </c>
      <c r="C271" s="115" t="inlineStr">
        <is>
          <t>METİN ERYİĞİT</t>
        </is>
      </c>
      <c r="D271" s="115" t="inlineStr">
        <is>
          <t>34 EGR 814</t>
        </is>
      </c>
      <c r="E271" s="115" t="inlineStr">
        <is>
          <t xml:space="preserve">ZİYA İNCE </t>
        </is>
      </c>
      <c r="F271" s="65" t="n">
        <v>597341</v>
      </c>
      <c r="G271" s="152" t="n"/>
      <c r="H271" s="152" t="n">
        <v>462</v>
      </c>
      <c r="I271" s="156">
        <f>+I270+(G271-H271)</f>
        <v/>
      </c>
      <c r="J271" s="90" t="n">
        <v>48.6</v>
      </c>
      <c r="K271" s="166" t="n"/>
      <c r="L271" s="158">
        <f>+H271*J271</f>
        <v/>
      </c>
      <c r="M271" s="159">
        <f>SUM(M270+K271-L271)</f>
        <v/>
      </c>
    </row>
    <row r="272">
      <c r="A272" s="151" t="n">
        <v>46050</v>
      </c>
      <c r="B272" s="67" t="n">
        <v>4241</v>
      </c>
      <c r="C272" s="115" t="inlineStr">
        <is>
          <t xml:space="preserve">CEVİZ MOBİLYA  </t>
        </is>
      </c>
      <c r="D272" s="115" t="inlineStr">
        <is>
          <t>FORKLİFT</t>
        </is>
      </c>
      <c r="E272" s="115" t="inlineStr">
        <is>
          <t>CEMAL</t>
        </is>
      </c>
      <c r="F272" s="65" t="n"/>
      <c r="G272" s="152" t="n"/>
      <c r="H272" s="152" t="n">
        <v>30</v>
      </c>
      <c r="I272" s="156">
        <f>+I271+(G272-H272)</f>
        <v/>
      </c>
      <c r="J272" s="90" t="n">
        <v>48.6</v>
      </c>
      <c r="K272" s="166" t="n"/>
      <c r="L272" s="158">
        <f>+H272*J272</f>
        <v/>
      </c>
      <c r="M272" s="159">
        <f>SUM(M271+K272-L272)</f>
        <v/>
      </c>
    </row>
    <row r="273">
      <c r="A273" s="151" t="n">
        <v>46050</v>
      </c>
      <c r="B273" s="67" t="n">
        <v>4242</v>
      </c>
      <c r="C273" s="115" t="n"/>
      <c r="D273" s="115" t="inlineStr">
        <is>
          <t xml:space="preserve">JCB </t>
        </is>
      </c>
      <c r="E273" s="115" t="inlineStr">
        <is>
          <t>BAYRAM SANCAK</t>
        </is>
      </c>
      <c r="F273" s="65" t="n"/>
      <c r="G273" s="152" t="n"/>
      <c r="H273" s="152" t="n">
        <v>84</v>
      </c>
      <c r="I273" s="156">
        <f>+I272+(G273-H273)</f>
        <v/>
      </c>
      <c r="J273" s="90" t="n">
        <v>48.6</v>
      </c>
      <c r="K273" s="166" t="n"/>
      <c r="L273" s="158">
        <f>+H273*J273</f>
        <v/>
      </c>
      <c r="M273" s="159">
        <f>SUM(M272+K273-L273)</f>
        <v/>
      </c>
    </row>
    <row r="274">
      <c r="A274" s="151" t="n">
        <v>46050</v>
      </c>
      <c r="B274" s="67" t="n">
        <v>4243</v>
      </c>
      <c r="C274" s="115" t="inlineStr">
        <is>
          <t>EVKUR</t>
        </is>
      </c>
      <c r="D274" s="115" t="inlineStr">
        <is>
          <t>KİRALIK KATO</t>
        </is>
      </c>
      <c r="E274" s="115" t="inlineStr">
        <is>
          <t>GÜNEŞ</t>
        </is>
      </c>
      <c r="F274" s="65" t="n"/>
      <c r="G274" s="152" t="n"/>
      <c r="H274" s="152" t="n">
        <v>58</v>
      </c>
      <c r="I274" s="156">
        <f>+I273+(G274-H274)</f>
        <v/>
      </c>
      <c r="J274" s="90" t="n">
        <v>48.6</v>
      </c>
      <c r="K274" s="166" t="n"/>
      <c r="L274" s="158">
        <f>+H274*J274</f>
        <v/>
      </c>
      <c r="M274" s="159">
        <f>SUM(M273+K274-L274)</f>
        <v/>
      </c>
    </row>
    <row r="275">
      <c r="A275" s="151" t="n">
        <v>46050</v>
      </c>
      <c r="B275" s="67" t="n">
        <v>4244</v>
      </c>
      <c r="C275" s="115" t="inlineStr">
        <is>
          <t>VARLIK</t>
        </is>
      </c>
      <c r="D275" s="115" t="inlineStr">
        <is>
          <t>FORKLİFT</t>
        </is>
      </c>
      <c r="E275" s="115" t="inlineStr">
        <is>
          <t xml:space="preserve">FAHRİ KALFA </t>
        </is>
      </c>
      <c r="F275" s="65" t="n"/>
      <c r="G275" s="152" t="n"/>
      <c r="H275" s="152" t="n">
        <v>63</v>
      </c>
      <c r="I275" s="156">
        <f>+I274+(G275-H275)</f>
        <v/>
      </c>
      <c r="J275" s="90" t="n">
        <v>48.6</v>
      </c>
      <c r="K275" s="166" t="n"/>
      <c r="L275" s="158">
        <f>+H275*J275</f>
        <v/>
      </c>
      <c r="M275" s="159">
        <f>SUM(M274+K275-L275)</f>
        <v/>
      </c>
    </row>
    <row r="276">
      <c r="A276" s="151" t="n">
        <v>46050</v>
      </c>
      <c r="B276" s="67" t="n">
        <v>4245</v>
      </c>
      <c r="C276" s="115" t="inlineStr">
        <is>
          <t>MEGA VARLIK</t>
        </is>
      </c>
      <c r="D276" s="115" t="inlineStr">
        <is>
          <t>KAWAZAKI</t>
        </is>
      </c>
      <c r="E276" s="115" t="inlineStr">
        <is>
          <t>RAMAZAN</t>
        </is>
      </c>
      <c r="F276" s="65" t="n"/>
      <c r="G276" s="152" t="n"/>
      <c r="H276" s="152" t="n">
        <v>309</v>
      </c>
      <c r="I276" s="156">
        <f>+I275+(G276-H276)</f>
        <v/>
      </c>
      <c r="J276" s="90" t="n">
        <v>48.6</v>
      </c>
      <c r="K276" s="166" t="n"/>
      <c r="L276" s="158">
        <f>+H276*J276</f>
        <v/>
      </c>
      <c r="M276" s="159">
        <f>SUM(M275+K276-L276)</f>
        <v/>
      </c>
    </row>
    <row r="277">
      <c r="A277" s="151" t="n">
        <v>46050</v>
      </c>
      <c r="B277" s="67" t="n">
        <v>4246</v>
      </c>
      <c r="C277" s="115" t="inlineStr">
        <is>
          <t>MEGA VARLIK</t>
        </is>
      </c>
      <c r="D277" s="115" t="inlineStr">
        <is>
          <t>SM 350</t>
        </is>
      </c>
      <c r="E277" s="115" t="inlineStr">
        <is>
          <t>TEVFİK ÖZTÜRK</t>
        </is>
      </c>
      <c r="F277" s="65" t="n"/>
      <c r="G277" s="152" t="n"/>
      <c r="H277" s="152" t="n">
        <v>420</v>
      </c>
      <c r="I277" s="156">
        <f>+I276+(G277-H277)</f>
        <v/>
      </c>
      <c r="J277" s="90" t="n">
        <v>48.6</v>
      </c>
      <c r="K277" s="166" t="n"/>
      <c r="L277" s="158">
        <f>+H277*J277</f>
        <v/>
      </c>
      <c r="M277" s="159">
        <f>SUM(M276+K277-L277)</f>
        <v/>
      </c>
    </row>
    <row r="278">
      <c r="A278" s="151" t="n">
        <v>46050</v>
      </c>
      <c r="B278" s="67" t="n">
        <v>4247</v>
      </c>
      <c r="C278" s="115" t="inlineStr">
        <is>
          <t>MEGA VARLIK</t>
        </is>
      </c>
      <c r="D278" s="115" t="inlineStr">
        <is>
          <t>SM 350</t>
        </is>
      </c>
      <c r="E278" s="115" t="inlineStr">
        <is>
          <t xml:space="preserve">MİKAİL BAYILMAZ </t>
        </is>
      </c>
      <c r="F278" s="65" t="n"/>
      <c r="G278" s="152" t="n"/>
      <c r="H278" s="152" t="n">
        <v>314</v>
      </c>
      <c r="I278" s="156">
        <f>+I277+(G278-H278)</f>
        <v/>
      </c>
      <c r="J278" s="90" t="n">
        <v>48.6</v>
      </c>
      <c r="K278" s="166" t="n"/>
      <c r="L278" s="158">
        <f>+H278*J278</f>
        <v/>
      </c>
      <c r="M278" s="159">
        <f>SUM(M277+K278-L278)</f>
        <v/>
      </c>
    </row>
    <row r="279">
      <c r="A279" s="151" t="n">
        <v>46050</v>
      </c>
      <c r="B279" s="70" t="n">
        <v>4585</v>
      </c>
      <c r="C279" s="115" t="inlineStr">
        <is>
          <t>MAHMUT VİNÇ</t>
        </is>
      </c>
      <c r="D279" s="115" t="inlineStr">
        <is>
          <t>34 AH 5401</t>
        </is>
      </c>
      <c r="E279" s="115" t="inlineStr">
        <is>
          <t>YASİN DEMİR</t>
        </is>
      </c>
      <c r="F279" s="65" t="n"/>
      <c r="G279" s="152" t="n"/>
      <c r="H279" s="152" t="n">
        <v>72</v>
      </c>
      <c r="I279" s="156">
        <f>+I278+(G279-H279)</f>
        <v/>
      </c>
      <c r="J279" s="90" t="n">
        <v>48.6</v>
      </c>
      <c r="K279" s="166" t="n"/>
      <c r="L279" s="158">
        <f>+H279*J279</f>
        <v/>
      </c>
      <c r="M279" s="159">
        <f>SUM(M278+K279-L279)</f>
        <v/>
      </c>
    </row>
    <row r="280">
      <c r="A280" s="151" t="n">
        <v>46050</v>
      </c>
      <c r="B280" s="70" t="n">
        <v>4586</v>
      </c>
      <c r="C280" s="115" t="inlineStr">
        <is>
          <t>AHMET SELİM TEMHA</t>
        </is>
      </c>
      <c r="D280" s="115" t="inlineStr">
        <is>
          <t>FORKLİFT</t>
        </is>
      </c>
      <c r="E280" s="115" t="n"/>
      <c r="F280" s="65" t="n"/>
      <c r="G280" s="152" t="n"/>
      <c r="H280" s="152" t="n">
        <v>106</v>
      </c>
      <c r="I280" s="156">
        <f>+I279+(G280-H280)</f>
        <v/>
      </c>
      <c r="J280" s="90" t="n">
        <v>48.6</v>
      </c>
      <c r="K280" s="166" t="n"/>
      <c r="L280" s="158">
        <f>+H280*J280</f>
        <v/>
      </c>
      <c r="M280" s="159">
        <f>SUM(M279+K280-L280)</f>
        <v/>
      </c>
    </row>
    <row r="281">
      <c r="A281" s="151" t="n">
        <v>46050</v>
      </c>
      <c r="B281" s="70" t="n">
        <v>4587</v>
      </c>
      <c r="C281" s="115" t="inlineStr">
        <is>
          <t>AHMET SELİM TEMHA</t>
        </is>
      </c>
      <c r="D281" s="115" t="inlineStr">
        <is>
          <t>MANİTOU</t>
        </is>
      </c>
      <c r="E281" s="115" t="n"/>
      <c r="F281" s="65" t="n"/>
      <c r="G281" s="152" t="n"/>
      <c r="H281" s="152" t="n">
        <v>195</v>
      </c>
      <c r="I281" s="156">
        <f>+I280+(G281-H281)</f>
        <v/>
      </c>
      <c r="J281" s="90" t="n">
        <v>48.6</v>
      </c>
      <c r="K281" s="166" t="n"/>
      <c r="L281" s="158">
        <f>+H281*J281</f>
        <v/>
      </c>
      <c r="M281" s="159">
        <f>SUM(M280+K281-L281)</f>
        <v/>
      </c>
    </row>
    <row r="282">
      <c r="A282" s="151" t="n">
        <v>46051</v>
      </c>
      <c r="B282" s="67" t="n">
        <v>2292</v>
      </c>
      <c r="C282" s="52" t="inlineStr">
        <is>
          <t>SELİM İNŞAAT</t>
        </is>
      </c>
      <c r="D282" s="51" t="inlineStr">
        <is>
          <t>34 DSN 636</t>
        </is>
      </c>
      <c r="E282" s="51" t="inlineStr">
        <is>
          <t>MAHSUN GÜVEN</t>
        </is>
      </c>
      <c r="F282" s="53" t="n">
        <v>429475</v>
      </c>
      <c r="G282" s="152" t="n"/>
      <c r="H282" s="152" t="n">
        <v>511</v>
      </c>
      <c r="I282" s="156">
        <f>+I281+(G282-H282)</f>
        <v/>
      </c>
      <c r="J282" s="90" t="n">
        <v>48.6</v>
      </c>
      <c r="K282" s="166" t="n"/>
      <c r="L282" s="158">
        <f>+H282*J282</f>
        <v/>
      </c>
      <c r="M282" s="159">
        <f>SUM(M281+K282-L282)</f>
        <v/>
      </c>
    </row>
    <row r="283">
      <c r="A283" s="151" t="n">
        <v>46051</v>
      </c>
      <c r="B283" s="67" t="n">
        <v>4813</v>
      </c>
      <c r="C283" s="115" t="inlineStr">
        <is>
          <t>SELİM İNŞAAT</t>
        </is>
      </c>
      <c r="D283" s="115" t="inlineStr">
        <is>
          <t>34 EDB 559</t>
        </is>
      </c>
      <c r="E283" s="115" t="inlineStr">
        <is>
          <t>AZİZ ORUÇ</t>
        </is>
      </c>
      <c r="F283" s="65" t="n">
        <v>385589</v>
      </c>
      <c r="G283" s="152" t="n"/>
      <c r="H283" s="152" t="n">
        <v>431</v>
      </c>
      <c r="I283" s="156">
        <f>+I282+(G283-H283)</f>
        <v/>
      </c>
      <c r="J283" s="90" t="n">
        <v>48.6</v>
      </c>
      <c r="K283" s="166" t="n"/>
      <c r="L283" s="158">
        <f>+H283*J283</f>
        <v/>
      </c>
      <c r="M283" s="159">
        <f>SUM(M282+K283-L283)</f>
        <v/>
      </c>
    </row>
    <row r="284">
      <c r="A284" s="151" t="n">
        <v>46051</v>
      </c>
      <c r="B284" s="67" t="n">
        <v>1337</v>
      </c>
      <c r="C284" s="115" t="inlineStr">
        <is>
          <t>SELİM İNŞAAT</t>
        </is>
      </c>
      <c r="D284" s="115" t="inlineStr">
        <is>
          <t>34 GUZ 199</t>
        </is>
      </c>
      <c r="E284" s="115" t="inlineStr">
        <is>
          <t>VAHDET GÜRLER</t>
        </is>
      </c>
      <c r="F284" s="65" t="n">
        <v>222170</v>
      </c>
      <c r="G284" s="152" t="n"/>
      <c r="H284" s="152" t="n">
        <v>420</v>
      </c>
      <c r="I284" s="156">
        <f>+I283+(G284-H284)</f>
        <v/>
      </c>
      <c r="J284" s="90" t="n">
        <v>48.6</v>
      </c>
      <c r="K284" s="166" t="n"/>
      <c r="L284" s="158">
        <f>+H284*J284</f>
        <v/>
      </c>
      <c r="M284" s="159">
        <f>SUM(M283+K284-L284)</f>
        <v/>
      </c>
    </row>
    <row r="285">
      <c r="A285" s="151" t="n">
        <v>46051</v>
      </c>
      <c r="B285" s="67" t="n">
        <v>3167</v>
      </c>
      <c r="C285" s="115" t="inlineStr">
        <is>
          <t>SELİM İNŞAAT</t>
        </is>
      </c>
      <c r="D285" s="115" t="inlineStr">
        <is>
          <t>34 DTV 599</t>
        </is>
      </c>
      <c r="E285" s="115" t="inlineStr">
        <is>
          <t>HÜSEYİN DENİZ</t>
        </is>
      </c>
      <c r="F285" s="65" t="n">
        <v>472690</v>
      </c>
      <c r="G285" s="152" t="n"/>
      <c r="H285" s="152" t="n">
        <v>464</v>
      </c>
      <c r="I285" s="156">
        <f>+I284+(G285-H285)</f>
        <v/>
      </c>
      <c r="J285" s="90" t="n">
        <v>48.6</v>
      </c>
      <c r="K285" s="166" t="n"/>
      <c r="L285" s="158">
        <f>+H285*J285</f>
        <v/>
      </c>
      <c r="M285" s="159">
        <f>SUM(M284+K285-L285)</f>
        <v/>
      </c>
    </row>
    <row r="286">
      <c r="A286" s="151" t="n">
        <v>46051</v>
      </c>
      <c r="B286" s="67" t="n">
        <v>4412</v>
      </c>
      <c r="C286" s="115" t="inlineStr">
        <is>
          <t>SELİM İNŞAAT</t>
        </is>
      </c>
      <c r="D286" s="115" t="inlineStr">
        <is>
          <t>34 DTV 409</t>
        </is>
      </c>
      <c r="E286" s="115" t="inlineStr">
        <is>
          <t>CELAL YÜZBAŞI</t>
        </is>
      </c>
      <c r="F286" s="65" t="n">
        <v>450977</v>
      </c>
      <c r="G286" s="152" t="n"/>
      <c r="H286" s="152" t="n">
        <v>519</v>
      </c>
      <c r="I286" s="156">
        <f>+I285+(G286-H286)</f>
        <v/>
      </c>
      <c r="J286" s="90" t="n">
        <v>48.6</v>
      </c>
      <c r="K286" s="166" t="n"/>
      <c r="L286" s="158">
        <f>+H286*J286</f>
        <v/>
      </c>
      <c r="M286" s="159">
        <f>SUM(M285+K286-L286)</f>
        <v/>
      </c>
    </row>
    <row r="287">
      <c r="A287" s="151" t="n">
        <v>46051</v>
      </c>
      <c r="B287" s="67" t="n">
        <v>255</v>
      </c>
      <c r="C287" s="115" t="inlineStr">
        <is>
          <t>SELİM İNŞAAT</t>
        </is>
      </c>
      <c r="D287" s="115" t="inlineStr">
        <is>
          <t>34 DHC 393</t>
        </is>
      </c>
      <c r="E287" s="115" t="inlineStr">
        <is>
          <t>ATA KIZMAZ</t>
        </is>
      </c>
      <c r="F287" s="65" t="n">
        <v>459974</v>
      </c>
      <c r="G287" s="152" t="n"/>
      <c r="H287" s="152" t="n">
        <v>510</v>
      </c>
      <c r="I287" s="156">
        <f>+I286+(G287-H287)</f>
        <v/>
      </c>
      <c r="J287" s="90" t="n">
        <v>48.6</v>
      </c>
      <c r="K287" s="166" t="n"/>
      <c r="L287" s="158">
        <f>+H287*J287</f>
        <v/>
      </c>
      <c r="M287" s="159">
        <f>SUM(M286+K287-L287)</f>
        <v/>
      </c>
    </row>
    <row r="288">
      <c r="A288" s="151" t="n">
        <v>46051</v>
      </c>
      <c r="B288" s="67" t="n">
        <v>3038</v>
      </c>
      <c r="C288" s="115" t="inlineStr">
        <is>
          <t>SELİM İNŞAAT</t>
        </is>
      </c>
      <c r="D288" s="115" t="inlineStr">
        <is>
          <t>34 FBR 781</t>
        </is>
      </c>
      <c r="E288" s="115" t="inlineStr">
        <is>
          <t>MEVLÜT POLAT</t>
        </is>
      </c>
      <c r="F288" s="65" t="n">
        <v>357860</v>
      </c>
      <c r="G288" s="152" t="n"/>
      <c r="H288" s="152" t="n">
        <v>488</v>
      </c>
      <c r="I288" s="156">
        <f>+I287+(G288-H288)</f>
        <v/>
      </c>
      <c r="J288" s="90" t="n">
        <v>48.6</v>
      </c>
      <c r="K288" s="166" t="n"/>
      <c r="L288" s="158">
        <f>+H288*J288</f>
        <v/>
      </c>
      <c r="M288" s="159">
        <f>SUM(M287+K288-L288)</f>
        <v/>
      </c>
    </row>
    <row r="289">
      <c r="A289" s="151" t="n">
        <v>46051</v>
      </c>
      <c r="B289" s="67" t="n">
        <v>4</v>
      </c>
      <c r="C289" s="115" t="inlineStr">
        <is>
          <t>SELİM İNŞAAT</t>
        </is>
      </c>
      <c r="D289" s="115" t="inlineStr">
        <is>
          <t xml:space="preserve">34 GVZ 268 </t>
        </is>
      </c>
      <c r="E289" s="115" t="inlineStr">
        <is>
          <t>KERİM KARAMAN</t>
        </is>
      </c>
      <c r="F289" s="65" t="n">
        <v>246318</v>
      </c>
      <c r="G289" s="152" t="n"/>
      <c r="H289" s="152" t="n">
        <v>408</v>
      </c>
      <c r="I289" s="156">
        <f>+I288+(G289-H289)</f>
        <v/>
      </c>
      <c r="J289" s="90" t="n">
        <v>48.6</v>
      </c>
      <c r="K289" s="166" t="n"/>
      <c r="L289" s="158">
        <f>+H289*J289</f>
        <v/>
      </c>
      <c r="M289" s="159">
        <f>SUM(M288+K289-L289)</f>
        <v/>
      </c>
    </row>
    <row r="290">
      <c r="A290" s="151" t="n">
        <v>46051</v>
      </c>
      <c r="B290" s="67" t="n">
        <v>4868</v>
      </c>
      <c r="C290" s="115" t="inlineStr">
        <is>
          <t>SELİM İNŞAAT</t>
        </is>
      </c>
      <c r="D290" s="115" t="inlineStr">
        <is>
          <t>34 FBR 705</t>
        </is>
      </c>
      <c r="E290" s="115" t="inlineStr">
        <is>
          <t>MURAT SARI</t>
        </is>
      </c>
      <c r="F290" s="65" t="n">
        <v>357530</v>
      </c>
      <c r="G290" s="152" t="n"/>
      <c r="H290" s="152" t="n">
        <v>466</v>
      </c>
      <c r="I290" s="156">
        <f>+I289+(G290-H290)</f>
        <v/>
      </c>
      <c r="J290" s="90" t="n">
        <v>48.6</v>
      </c>
      <c r="K290" s="166" t="n"/>
      <c r="L290" s="158">
        <f>+H290*J290</f>
        <v/>
      </c>
      <c r="M290" s="159">
        <f>SUM(M289+K290-L290)</f>
        <v/>
      </c>
    </row>
    <row r="291">
      <c r="A291" s="151" t="n">
        <v>46051</v>
      </c>
      <c r="B291" s="67" t="n">
        <v>2788</v>
      </c>
      <c r="C291" s="115" t="inlineStr">
        <is>
          <t>SELİM İNŞAAT</t>
        </is>
      </c>
      <c r="D291" s="115" t="inlineStr">
        <is>
          <t>34 EDC 086</t>
        </is>
      </c>
      <c r="E291" s="115" t="inlineStr">
        <is>
          <t>SEZGİN KOCAGİL</t>
        </is>
      </c>
      <c r="F291" s="65" t="n">
        <v>371859</v>
      </c>
      <c r="G291" s="152" t="n"/>
      <c r="H291" s="152" t="n">
        <v>491</v>
      </c>
      <c r="I291" s="156">
        <f>+I290+(G291-H291)</f>
        <v/>
      </c>
      <c r="J291" s="90" t="n">
        <v>48.6</v>
      </c>
      <c r="K291" s="166" t="n"/>
      <c r="L291" s="158">
        <f>+H291*J291</f>
        <v/>
      </c>
      <c r="M291" s="159">
        <f>SUM(M290+K291-L291)</f>
        <v/>
      </c>
    </row>
    <row r="292">
      <c r="A292" s="151" t="n">
        <v>46051</v>
      </c>
      <c r="B292" s="67" t="n">
        <v>3277</v>
      </c>
      <c r="C292" s="115" t="inlineStr">
        <is>
          <t xml:space="preserve">AZGÜN YAPI </t>
        </is>
      </c>
      <c r="D292" s="115" t="inlineStr">
        <is>
          <t xml:space="preserve">34 DTV 263 </t>
        </is>
      </c>
      <c r="E292" s="115" t="inlineStr">
        <is>
          <t>İRFAN DAĞLAR</t>
        </is>
      </c>
      <c r="F292" s="65" t="n">
        <v>434533</v>
      </c>
      <c r="G292" s="152" t="n"/>
      <c r="H292" s="152" t="n">
        <v>479</v>
      </c>
      <c r="I292" s="156">
        <f>+I291+(G292-H292)</f>
        <v/>
      </c>
      <c r="J292" s="90" t="n">
        <v>48.6</v>
      </c>
      <c r="K292" s="166" t="n"/>
      <c r="L292" s="158">
        <f>+H292*J292</f>
        <v/>
      </c>
      <c r="M292" s="159">
        <f>SUM(M291+K292-L292)</f>
        <v/>
      </c>
    </row>
    <row r="293">
      <c r="A293" s="151" t="n">
        <v>46051</v>
      </c>
      <c r="B293" s="67" t="n">
        <v>3794</v>
      </c>
      <c r="C293" s="115" t="inlineStr">
        <is>
          <t>METİN ERYİĞİT</t>
        </is>
      </c>
      <c r="D293" s="115" t="inlineStr">
        <is>
          <t>34 GBL 998</t>
        </is>
      </c>
      <c r="E293" s="115" t="inlineStr">
        <is>
          <t>ALİ KESKİN</t>
        </is>
      </c>
      <c r="F293" s="65" t="n">
        <v>335014</v>
      </c>
      <c r="G293" s="152" t="n"/>
      <c r="H293" s="152" t="n">
        <v>403</v>
      </c>
      <c r="I293" s="156">
        <f>+I292+(G293-H293)</f>
        <v/>
      </c>
      <c r="J293" s="90" t="n">
        <v>48.6</v>
      </c>
      <c r="K293" s="166" t="n"/>
      <c r="L293" s="158">
        <f>+H293*J293</f>
        <v/>
      </c>
      <c r="M293" s="159">
        <f>SUM(M292+K293-L293)</f>
        <v/>
      </c>
    </row>
    <row r="294">
      <c r="A294" s="151" t="n">
        <v>46051</v>
      </c>
      <c r="B294" s="67" t="n">
        <v>3700</v>
      </c>
      <c r="C294" s="115" t="inlineStr">
        <is>
          <t>METİN ERYİĞİT</t>
        </is>
      </c>
      <c r="D294" s="115" t="inlineStr">
        <is>
          <t>34 EGS 013</t>
        </is>
      </c>
      <c r="E294" s="115" t="inlineStr">
        <is>
          <t>UĞUR DUMAN</t>
        </is>
      </c>
      <c r="F294" s="65" t="n">
        <v>552249</v>
      </c>
      <c r="G294" s="152" t="n"/>
      <c r="H294" s="152" t="n">
        <v>450</v>
      </c>
      <c r="I294" s="156">
        <f>+I293+(G294-H294)</f>
        <v/>
      </c>
      <c r="J294" s="90" t="n">
        <v>48.6</v>
      </c>
      <c r="K294" s="166" t="n"/>
      <c r="L294" s="158">
        <f>+H294*J294</f>
        <v/>
      </c>
      <c r="M294" s="159">
        <f>SUM(M293+K294-L294)</f>
        <v/>
      </c>
    </row>
    <row r="295">
      <c r="A295" s="151" t="n">
        <v>46051</v>
      </c>
      <c r="B295" s="67" t="n">
        <v>2742</v>
      </c>
      <c r="C295" s="115" t="inlineStr">
        <is>
          <t>METİN ERYİĞİT</t>
        </is>
      </c>
      <c r="D295" s="115" t="inlineStr">
        <is>
          <t>34 EGR 814</t>
        </is>
      </c>
      <c r="E295" s="115" t="inlineStr">
        <is>
          <t xml:space="preserve">ZİYA İNCE </t>
        </is>
      </c>
      <c r="F295" s="65" t="n">
        <v>598045</v>
      </c>
      <c r="G295" s="152" t="n"/>
      <c r="H295" s="152" t="n">
        <v>359</v>
      </c>
      <c r="I295" s="156">
        <f>+I294+(G295-H295)</f>
        <v/>
      </c>
      <c r="J295" s="90" t="n">
        <v>48.6</v>
      </c>
      <c r="K295" s="166" t="n"/>
      <c r="L295" s="158">
        <f>+H295*J295</f>
        <v/>
      </c>
      <c r="M295" s="159">
        <f>SUM(M294+K295-L295)</f>
        <v/>
      </c>
    </row>
    <row r="296">
      <c r="A296" s="151" t="n">
        <v>46051</v>
      </c>
      <c r="B296" s="70" t="n">
        <v>4588</v>
      </c>
      <c r="C296" s="115" t="n"/>
      <c r="D296" s="115" t="inlineStr">
        <is>
          <t>34 TB 926</t>
        </is>
      </c>
      <c r="E296" s="115" t="inlineStr">
        <is>
          <t>ENES SELİM</t>
        </is>
      </c>
      <c r="F296" s="65" t="n"/>
      <c r="G296" s="152" t="n"/>
      <c r="H296" s="152" t="n">
        <v>220</v>
      </c>
      <c r="I296" s="156">
        <f>+I295+(G296-H296)</f>
        <v/>
      </c>
      <c r="J296" s="90" t="n">
        <v>48.6</v>
      </c>
      <c r="K296" s="166" t="n"/>
      <c r="L296" s="158">
        <f>+H296*J296</f>
        <v/>
      </c>
      <c r="M296" s="159">
        <f>SUM(M295+K296-L296)</f>
        <v/>
      </c>
    </row>
    <row r="297">
      <c r="A297" s="151" t="n">
        <v>46051</v>
      </c>
      <c r="B297" s="70" t="n">
        <v>4589</v>
      </c>
      <c r="C297" s="115" t="inlineStr">
        <is>
          <t>AHMET SELİM TEMHA</t>
        </is>
      </c>
      <c r="D297" s="115" t="inlineStr">
        <is>
          <t>34 PGT 251</t>
        </is>
      </c>
      <c r="E297" s="115" t="inlineStr">
        <is>
          <t>ERSOY SIĞINMAZ</t>
        </is>
      </c>
      <c r="F297" s="65" t="n"/>
      <c r="G297" s="152" t="n"/>
      <c r="H297" s="152" t="n">
        <v>51</v>
      </c>
      <c r="I297" s="156">
        <f>+I296+(G297-H297)</f>
        <v/>
      </c>
      <c r="J297" s="90" t="n">
        <v>48.6</v>
      </c>
      <c r="K297" s="166" t="n"/>
      <c r="L297" s="158">
        <f>+H297*J297</f>
        <v/>
      </c>
      <c r="M297" s="159">
        <f>SUM(M296+K297-L297)</f>
        <v/>
      </c>
    </row>
    <row r="298">
      <c r="A298" s="151" t="n">
        <v>46051</v>
      </c>
      <c r="B298" s="70" t="n">
        <v>2340</v>
      </c>
      <c r="C298" s="115" t="inlineStr">
        <is>
          <t>SELİM İNŞAAT</t>
        </is>
      </c>
      <c r="D298" s="115" t="inlineStr">
        <is>
          <t>34 DP 4161</t>
        </is>
      </c>
      <c r="E298" s="115" t="inlineStr">
        <is>
          <t>RIFAT KARATAY</t>
        </is>
      </c>
      <c r="F298" s="65" t="n">
        <v>319690</v>
      </c>
      <c r="G298" s="152" t="n"/>
      <c r="H298" s="152" t="n">
        <v>188</v>
      </c>
      <c r="I298" s="156">
        <f>+I297+(G298-H298)</f>
        <v/>
      </c>
      <c r="J298" s="90" t="n">
        <v>48.6</v>
      </c>
      <c r="K298" s="166" t="n"/>
      <c r="L298" s="158">
        <f>+H298*J298</f>
        <v/>
      </c>
      <c r="M298" s="159">
        <f>SUM(M297+K298-L298)</f>
        <v/>
      </c>
    </row>
    <row r="299">
      <c r="A299" s="151" t="n">
        <v>46052</v>
      </c>
      <c r="B299" s="67" t="n">
        <v>2531</v>
      </c>
      <c r="C299" s="115" t="inlineStr">
        <is>
          <t xml:space="preserve">AZGÜN YAPI </t>
        </is>
      </c>
      <c r="D299" s="115" t="inlineStr">
        <is>
          <t>34 MKT 593</t>
        </is>
      </c>
      <c r="E299" s="115" t="inlineStr">
        <is>
          <t>TURGUT ÇATAL</t>
        </is>
      </c>
      <c r="F299" s="65" t="n">
        <v>85986</v>
      </c>
      <c r="G299" s="152" t="n"/>
      <c r="H299" s="152" t="n">
        <v>547</v>
      </c>
      <c r="I299" s="156">
        <f>+I298+(G299-H299)</f>
        <v/>
      </c>
      <c r="J299" s="90" t="n">
        <v>48.6</v>
      </c>
      <c r="K299" s="166" t="n"/>
      <c r="L299" s="158">
        <f>+H299*J299</f>
        <v/>
      </c>
      <c r="M299" s="159">
        <f>SUM(M298+K299-L299)</f>
        <v/>
      </c>
    </row>
    <row r="300">
      <c r="A300" s="151" t="n">
        <v>46052</v>
      </c>
      <c r="B300" s="67" t="n">
        <v>1381</v>
      </c>
      <c r="C300" s="115" t="inlineStr">
        <is>
          <t xml:space="preserve">AZGÜN YAPI </t>
        </is>
      </c>
      <c r="D300" s="115" t="inlineStr">
        <is>
          <t>34 MKT 859</t>
        </is>
      </c>
      <c r="E300" s="115" t="inlineStr">
        <is>
          <t>ONUR CANLI</t>
        </is>
      </c>
      <c r="F300" s="65" t="n">
        <v>93572</v>
      </c>
      <c r="G300" s="152" t="n"/>
      <c r="H300" s="152" t="n">
        <v>570</v>
      </c>
      <c r="I300" s="156">
        <f>+I299+(G300-H300)</f>
        <v/>
      </c>
      <c r="J300" s="90" t="n">
        <v>48.6</v>
      </c>
      <c r="K300" s="166" t="n"/>
      <c r="L300" s="158">
        <f>+H300*J300</f>
        <v/>
      </c>
      <c r="M300" s="159">
        <f>SUM(M299+K300-L300)</f>
        <v/>
      </c>
    </row>
    <row r="301">
      <c r="A301" s="151" t="n">
        <v>46052</v>
      </c>
      <c r="B301" s="67" t="n">
        <v>3795</v>
      </c>
      <c r="C301" s="115" t="inlineStr">
        <is>
          <t>METİN ERYİĞİT</t>
        </is>
      </c>
      <c r="D301" s="115" t="inlineStr">
        <is>
          <t>34 GBL 998</t>
        </is>
      </c>
      <c r="E301" s="115" t="inlineStr">
        <is>
          <t>ALİ KESKİN</t>
        </is>
      </c>
      <c r="F301" s="65" t="n">
        <v>335682</v>
      </c>
      <c r="G301" s="152" t="n"/>
      <c r="H301" s="152" t="n">
        <v>400</v>
      </c>
      <c r="I301" s="156">
        <f>+I300+(G301-H301)</f>
        <v/>
      </c>
      <c r="J301" s="90" t="n">
        <v>48.6</v>
      </c>
      <c r="K301" s="166" t="n"/>
      <c r="L301" s="158">
        <f>+H301*J301</f>
        <v/>
      </c>
      <c r="M301" s="159">
        <f>SUM(M300+K301-L301)</f>
        <v/>
      </c>
    </row>
    <row r="302">
      <c r="A302" s="151" t="n">
        <v>46052</v>
      </c>
      <c r="B302" s="67" t="n">
        <v>701</v>
      </c>
      <c r="C302" s="115" t="inlineStr">
        <is>
          <t>METİN ERYİĞİT</t>
        </is>
      </c>
      <c r="D302" s="115" t="inlineStr">
        <is>
          <t>34 EGS 013</t>
        </is>
      </c>
      <c r="E302" s="115" t="inlineStr">
        <is>
          <t>UĞUR DUMAN</t>
        </is>
      </c>
      <c r="F302" s="65" t="n">
        <v>552895</v>
      </c>
      <c r="G302" s="152" t="n"/>
      <c r="H302" s="152" t="n">
        <v>284</v>
      </c>
      <c r="I302" s="156">
        <f>+I301+(G302-H302)</f>
        <v/>
      </c>
      <c r="J302" s="90" t="n">
        <v>48.6</v>
      </c>
      <c r="K302" s="166" t="n"/>
      <c r="L302" s="158">
        <f>+H302*J302</f>
        <v/>
      </c>
      <c r="M302" s="159">
        <f>SUM(M301+K302-L302)</f>
        <v/>
      </c>
    </row>
    <row r="303">
      <c r="A303" s="151" t="n">
        <v>46052</v>
      </c>
      <c r="B303" s="67" t="n">
        <v>2743</v>
      </c>
      <c r="C303" s="115" t="inlineStr">
        <is>
          <t>METİN ERYİĞİT</t>
        </is>
      </c>
      <c r="D303" s="115" t="inlineStr">
        <is>
          <t>34 EGR 814</t>
        </is>
      </c>
      <c r="E303" s="115" t="inlineStr">
        <is>
          <t xml:space="preserve">ZİYA İNCE </t>
        </is>
      </c>
      <c r="F303" s="65" t="n">
        <v>598567</v>
      </c>
      <c r="G303" s="152" t="n"/>
      <c r="H303" s="152" t="n">
        <v>197</v>
      </c>
      <c r="I303" s="156">
        <f>+I302+(G303-H303)</f>
        <v/>
      </c>
      <c r="J303" s="90" t="n">
        <v>48.6</v>
      </c>
      <c r="K303" s="166" t="n"/>
      <c r="L303" s="158">
        <f>+H303*J303</f>
        <v/>
      </c>
      <c r="M303" s="159">
        <f>SUM(M302+K303-L303)</f>
        <v/>
      </c>
    </row>
    <row r="304">
      <c r="A304" s="151" t="n">
        <v>46052</v>
      </c>
      <c r="B304" s="67" t="n">
        <v>4248</v>
      </c>
      <c r="C304" s="115" t="inlineStr">
        <is>
          <t>MEGA VARLIK</t>
        </is>
      </c>
      <c r="D304" s="115" t="inlineStr">
        <is>
          <t>SM 350</t>
        </is>
      </c>
      <c r="E304" s="115" t="inlineStr">
        <is>
          <t>EMİRHAN ÖZTÜRK</t>
        </is>
      </c>
      <c r="F304" s="65" t="n"/>
      <c r="G304" s="152" t="n"/>
      <c r="H304" s="152" t="n">
        <v>27</v>
      </c>
      <c r="I304" s="156">
        <f>+I303+(G304-H304)</f>
        <v/>
      </c>
      <c r="J304" s="90" t="n">
        <v>48.6</v>
      </c>
      <c r="K304" s="166" t="n"/>
      <c r="L304" s="158">
        <f>+H304*J304</f>
        <v/>
      </c>
      <c r="M304" s="159">
        <f>SUM(M303+K304-L304)</f>
        <v/>
      </c>
    </row>
    <row r="305">
      <c r="A305" s="151" t="n">
        <v>46052</v>
      </c>
      <c r="B305" s="67" t="n">
        <v>4249</v>
      </c>
      <c r="C305" s="115" t="inlineStr">
        <is>
          <t>MEGA VARLIK</t>
        </is>
      </c>
      <c r="D305" s="115" t="inlineStr">
        <is>
          <t>SM 350</t>
        </is>
      </c>
      <c r="E305" s="115" t="inlineStr">
        <is>
          <t>TEVFİK ÖZTÜRK</t>
        </is>
      </c>
      <c r="F305" s="65" t="n"/>
      <c r="G305" s="152" t="n"/>
      <c r="H305" s="152" t="n">
        <v>299</v>
      </c>
      <c r="I305" s="156">
        <f>+I304+(G305-H305)</f>
        <v/>
      </c>
      <c r="J305" s="90" t="n">
        <v>48.6</v>
      </c>
      <c r="K305" s="166" t="n"/>
      <c r="L305" s="158">
        <f>+H305*J305</f>
        <v/>
      </c>
      <c r="M305" s="159">
        <f>SUM(M304+K305-L305)</f>
        <v/>
      </c>
    </row>
    <row r="306">
      <c r="A306" s="151" t="n">
        <v>46052</v>
      </c>
      <c r="B306" s="70" t="n">
        <v>1770</v>
      </c>
      <c r="C306" s="115" t="inlineStr">
        <is>
          <t>SELİM İNŞAAT</t>
        </is>
      </c>
      <c r="D306" s="115" t="inlineStr">
        <is>
          <t>34 JBA 25</t>
        </is>
      </c>
      <c r="E306" s="115" t="inlineStr">
        <is>
          <t>FATİH ÖZBOLAT</t>
        </is>
      </c>
      <c r="F306" s="65" t="n">
        <v>346808</v>
      </c>
      <c r="G306" s="152" t="n"/>
      <c r="H306" s="152" t="n">
        <v>53</v>
      </c>
      <c r="I306" s="156">
        <f>+I305+(G306-H306)</f>
        <v/>
      </c>
      <c r="J306" s="90" t="n">
        <v>48.6</v>
      </c>
      <c r="K306" s="166" t="n"/>
      <c r="L306" s="158">
        <f>+H306*J306</f>
        <v/>
      </c>
      <c r="M306" s="159">
        <f>SUM(M305+K306-L306)</f>
        <v/>
      </c>
    </row>
    <row r="307">
      <c r="A307" s="151" t="n">
        <v>46052</v>
      </c>
      <c r="B307" s="70" t="n">
        <v>242</v>
      </c>
      <c r="C307" s="115" t="inlineStr">
        <is>
          <t>SELİM İNŞAAT</t>
        </is>
      </c>
      <c r="D307" s="115" t="inlineStr">
        <is>
          <t>34 JGR 15</t>
        </is>
      </c>
      <c r="E307" s="115" t="inlineStr">
        <is>
          <t>TURAN SEVİNDİK</t>
        </is>
      </c>
      <c r="F307" s="65" t="n">
        <v>328609</v>
      </c>
      <c r="G307" s="152" t="n"/>
      <c r="H307" s="152" t="n">
        <v>78</v>
      </c>
      <c r="I307" s="156">
        <f>+I306+(G307-H307)</f>
        <v/>
      </c>
      <c r="J307" s="90" t="n">
        <v>48.6</v>
      </c>
      <c r="K307" s="166" t="n"/>
      <c r="L307" s="158">
        <f>+H307*J307</f>
        <v/>
      </c>
      <c r="M307" s="159">
        <f>SUM(M306+K307-L307)</f>
        <v/>
      </c>
    </row>
    <row r="308">
      <c r="A308" s="151" t="n">
        <v>46052</v>
      </c>
      <c r="B308" s="70" t="n">
        <v>2381</v>
      </c>
      <c r="C308" s="115" t="inlineStr">
        <is>
          <t>SELİM İNŞAAT</t>
        </is>
      </c>
      <c r="D308" s="115" t="inlineStr">
        <is>
          <t>34 FEM 934</t>
        </is>
      </c>
      <c r="E308" s="115" t="inlineStr">
        <is>
          <t>YAKUP URUCU</t>
        </is>
      </c>
      <c r="F308" s="65" t="n">
        <v>330625</v>
      </c>
      <c r="G308" s="152" t="n"/>
      <c r="H308" s="152" t="n">
        <v>77</v>
      </c>
      <c r="I308" s="156">
        <f>+I307+(G308-H308)</f>
        <v/>
      </c>
      <c r="J308" s="90" t="n">
        <v>48.6</v>
      </c>
      <c r="K308" s="166" t="n"/>
      <c r="L308" s="158">
        <f>+H308*J308</f>
        <v/>
      </c>
      <c r="M308" s="159">
        <f>SUM(M307+K308-L308)</f>
        <v/>
      </c>
    </row>
    <row r="309">
      <c r="A309" s="167" t="n">
        <v>46053</v>
      </c>
      <c r="B309" s="92" t="n">
        <v>200</v>
      </c>
      <c r="C309" s="93" t="inlineStr">
        <is>
          <t>ÜNSOY TURİZM İNŞ.SAN.VE TİC.A.Ş.</t>
        </is>
      </c>
      <c r="D309" s="94" t="n"/>
      <c r="E309" s="94" t="n"/>
      <c r="F309" s="95" t="n"/>
      <c r="G309" s="171" t="n">
        <v>31629</v>
      </c>
      <c r="H309" s="97" t="n"/>
      <c r="I309" s="168">
        <f>+I308+(G309-H309)</f>
        <v/>
      </c>
      <c r="J309" s="98">
        <f>+K309/G309</f>
        <v/>
      </c>
      <c r="K309" s="172" t="n">
        <v>1575756.78</v>
      </c>
      <c r="L309" s="170">
        <f>+H309*J309</f>
        <v/>
      </c>
      <c r="M309" s="159">
        <f>SUM(M308+K309-L309)</f>
        <v/>
      </c>
    </row>
    <row r="310">
      <c r="A310" s="151" t="n">
        <v>46054</v>
      </c>
      <c r="B310" s="70" t="n">
        <v>2293</v>
      </c>
      <c r="C310" s="115" t="inlineStr">
        <is>
          <t>SELİM İNŞAAT</t>
        </is>
      </c>
      <c r="D310" s="115" t="inlineStr">
        <is>
          <t>34 DSN 636</t>
        </is>
      </c>
      <c r="E310" s="115" t="inlineStr">
        <is>
          <t>MAHSUN GÜVEN</t>
        </is>
      </c>
      <c r="F310" s="65" t="n">
        <v>429830</v>
      </c>
      <c r="G310" s="152" t="n"/>
      <c r="H310" s="152" t="n">
        <v>290</v>
      </c>
      <c r="I310" s="156">
        <f>+I309+(G310-H310)</f>
        <v/>
      </c>
      <c r="J310" s="90" t="n">
        <v>49.82</v>
      </c>
      <c r="K310" s="166" t="n"/>
      <c r="L310" s="158">
        <f>+H310*J310</f>
        <v/>
      </c>
      <c r="M310" s="159">
        <f>SUM(M309+K310-L310)</f>
        <v/>
      </c>
    </row>
    <row r="311">
      <c r="A311" s="151" t="n">
        <v>46054</v>
      </c>
      <c r="B311" s="70" t="n">
        <v>1771</v>
      </c>
      <c r="C311" s="115" t="inlineStr">
        <is>
          <t>SELİM İNŞAAT</t>
        </is>
      </c>
      <c r="D311" s="115" t="inlineStr">
        <is>
          <t>34 JBA 25</t>
        </is>
      </c>
      <c r="E311" s="115" t="inlineStr">
        <is>
          <t>YAKUP URUCU</t>
        </is>
      </c>
      <c r="F311" s="65" t="n">
        <v>347249</v>
      </c>
      <c r="G311" s="152" t="n"/>
      <c r="H311" s="152" t="n">
        <v>64</v>
      </c>
      <c r="I311" s="156">
        <f>+I310+(G311-H311)</f>
        <v/>
      </c>
      <c r="J311" s="90" t="n">
        <v>49.82</v>
      </c>
      <c r="K311" s="166" t="n"/>
      <c r="L311" s="158">
        <f>+H311*J311</f>
        <v/>
      </c>
      <c r="M311" s="159">
        <f>SUM(M310+K311-L311)</f>
        <v/>
      </c>
    </row>
    <row r="312">
      <c r="A312" s="151" t="n">
        <v>46056</v>
      </c>
      <c r="B312" s="70" t="n">
        <v>4590</v>
      </c>
      <c r="C312" s="115" t="inlineStr">
        <is>
          <t>MAHMUT VİNÇ</t>
        </is>
      </c>
      <c r="D312" s="115" t="inlineStr">
        <is>
          <t>34 AH 5401</t>
        </is>
      </c>
      <c r="E312" s="115" t="inlineStr">
        <is>
          <t>YASİN DEMİR</t>
        </is>
      </c>
      <c r="F312" s="65" t="n"/>
      <c r="G312" s="152" t="n"/>
      <c r="H312" s="152" t="n">
        <v>67</v>
      </c>
      <c r="I312" s="156">
        <f>+I311+(G312-H312)</f>
        <v/>
      </c>
      <c r="J312" s="90" t="n">
        <v>49.82</v>
      </c>
      <c r="K312" s="166" t="n"/>
      <c r="L312" s="158">
        <f>+H312*J312</f>
        <v/>
      </c>
      <c r="M312" s="159">
        <f>SUM(M311+K312-L312)</f>
        <v/>
      </c>
    </row>
    <row r="313">
      <c r="A313" s="151" t="n">
        <v>46056</v>
      </c>
      <c r="B313" s="70" t="n">
        <v>1629</v>
      </c>
      <c r="C313" s="115" t="inlineStr">
        <is>
          <t>SELİM İNŞAAT</t>
        </is>
      </c>
      <c r="D313" s="115" t="inlineStr">
        <is>
          <t>34 VF 2620</t>
        </is>
      </c>
      <c r="E313" s="115" t="inlineStr">
        <is>
          <t>RECEP SELİM</t>
        </is>
      </c>
      <c r="F313" s="65" t="n">
        <v>201246</v>
      </c>
      <c r="G313" s="152" t="n"/>
      <c r="H313" s="152" t="n">
        <v>65</v>
      </c>
      <c r="I313" s="156">
        <f>+I312+(G313-H313)</f>
        <v/>
      </c>
      <c r="J313" s="90" t="n">
        <v>49.82</v>
      </c>
      <c r="K313" s="166" t="n"/>
      <c r="L313" s="158">
        <f>+H313*J313</f>
        <v/>
      </c>
      <c r="M313" s="159">
        <f>SUM(M312+K313-L313)</f>
        <v/>
      </c>
    </row>
    <row r="314">
      <c r="A314" s="151" t="n">
        <v>46057</v>
      </c>
      <c r="B314" s="70" t="n">
        <v>4767</v>
      </c>
      <c r="C314" s="115" t="inlineStr">
        <is>
          <t>SELİM İNŞAAT</t>
        </is>
      </c>
      <c r="D314" s="115" t="inlineStr">
        <is>
          <t>34 DGP 737</t>
        </is>
      </c>
      <c r="E314" s="115" t="inlineStr">
        <is>
          <t xml:space="preserve">GÜRAY KOYUNCU </t>
        </is>
      </c>
      <c r="F314" s="65" t="n">
        <v>474378</v>
      </c>
      <c r="G314" s="152" t="n"/>
      <c r="H314" s="152" t="n">
        <v>511</v>
      </c>
      <c r="I314" s="156">
        <f>+I313+(G314-H314)</f>
        <v/>
      </c>
      <c r="J314" s="90" t="n">
        <v>49.82</v>
      </c>
      <c r="K314" s="166" t="n"/>
      <c r="L314" s="158">
        <f>+H314*J314</f>
        <v/>
      </c>
      <c r="M314" s="159">
        <f>SUM(M313+K314-L314)</f>
        <v/>
      </c>
    </row>
    <row r="315">
      <c r="A315" s="151" t="n">
        <v>46057</v>
      </c>
      <c r="B315" s="70" t="n">
        <v>3865</v>
      </c>
      <c r="C315" s="115" t="inlineStr">
        <is>
          <t>SELİM İNŞAAT</t>
        </is>
      </c>
      <c r="D315" s="115" t="inlineStr">
        <is>
          <t>34 DRU 690</t>
        </is>
      </c>
      <c r="E315" s="115" t="inlineStr">
        <is>
          <t>DURSUN ALİ GÜREK</t>
        </is>
      </c>
      <c r="F315" s="65" t="n">
        <v>459184</v>
      </c>
      <c r="G315" s="152" t="n"/>
      <c r="H315" s="152" t="n">
        <v>474</v>
      </c>
      <c r="I315" s="156">
        <f>+I314+(G315-H315)</f>
        <v/>
      </c>
      <c r="J315" s="90" t="n">
        <v>49.82</v>
      </c>
      <c r="K315" s="166" t="n"/>
      <c r="L315" s="158">
        <f>+H315*J315</f>
        <v/>
      </c>
      <c r="M315" s="159">
        <f>SUM(M314+K315-L315)</f>
        <v/>
      </c>
    </row>
    <row r="316">
      <c r="A316" s="151" t="n">
        <v>46057</v>
      </c>
      <c r="B316" s="70" t="n">
        <v>1688</v>
      </c>
      <c r="C316" s="115" t="inlineStr">
        <is>
          <t>SELİM İNŞAAT</t>
        </is>
      </c>
      <c r="D316" s="115" t="inlineStr">
        <is>
          <t>34 DHH 570</t>
        </is>
      </c>
      <c r="E316" s="115" t="inlineStr">
        <is>
          <t>YASİN ÇATAKLI</t>
        </is>
      </c>
      <c r="F316" s="65" t="n">
        <v>471880</v>
      </c>
      <c r="G316" s="152" t="n"/>
      <c r="H316" s="152" t="n">
        <v>486</v>
      </c>
      <c r="I316" s="156">
        <f>+I315+(G316-H316)</f>
        <v/>
      </c>
      <c r="J316" s="90" t="n">
        <v>49.82</v>
      </c>
      <c r="K316" s="166" t="n"/>
      <c r="L316" s="158">
        <f>+H316*J316</f>
        <v/>
      </c>
      <c r="M316" s="159">
        <f>SUM(M315+K316-L316)</f>
        <v/>
      </c>
    </row>
    <row r="317">
      <c r="A317" s="151" t="n">
        <v>46057</v>
      </c>
      <c r="B317" s="70" t="n">
        <v>4110</v>
      </c>
      <c r="C317" s="115" t="inlineStr">
        <is>
          <t>SELİM İNŞAAT</t>
        </is>
      </c>
      <c r="D317" s="115" t="inlineStr">
        <is>
          <t>34 EDB 659</t>
        </is>
      </c>
      <c r="E317" s="115" t="inlineStr">
        <is>
          <t>MEHMET SAİT ANIK</t>
        </is>
      </c>
      <c r="F317" s="65" t="n">
        <v>385366</v>
      </c>
      <c r="G317" s="152" t="n"/>
      <c r="H317" s="152" t="n">
        <v>300</v>
      </c>
      <c r="I317" s="156">
        <f>+I316+(G317-H317)</f>
        <v/>
      </c>
      <c r="J317" s="90" t="n">
        <v>49.82</v>
      </c>
      <c r="K317" s="166" t="n"/>
      <c r="L317" s="158">
        <f>+H317*J317</f>
        <v/>
      </c>
      <c r="M317" s="159">
        <f>SUM(M316+K317-L317)</f>
        <v/>
      </c>
    </row>
    <row r="318">
      <c r="A318" s="151" t="n">
        <v>46057</v>
      </c>
      <c r="B318" s="70" t="n">
        <v>3826</v>
      </c>
      <c r="C318" s="115" t="inlineStr">
        <is>
          <t>SELİM İNŞAAT</t>
        </is>
      </c>
      <c r="D318" s="115" t="inlineStr">
        <is>
          <t>34 GYZ 635</t>
        </is>
      </c>
      <c r="E318" s="115" t="inlineStr">
        <is>
          <t>ADEM DENİZ</t>
        </is>
      </c>
      <c r="F318" s="65" t="n">
        <v>222362</v>
      </c>
      <c r="G318" s="152" t="n"/>
      <c r="H318" s="152" t="n">
        <v>387</v>
      </c>
      <c r="I318" s="156">
        <f>+I317+(G318-H318)</f>
        <v/>
      </c>
      <c r="J318" s="90" t="n">
        <v>49.82</v>
      </c>
      <c r="K318" s="166" t="n"/>
      <c r="L318" s="158">
        <f>+H318*J318</f>
        <v/>
      </c>
      <c r="M318" s="159">
        <f>SUM(M317+K318-L318)</f>
        <v/>
      </c>
    </row>
    <row r="319">
      <c r="A319" s="151" t="n">
        <v>46057</v>
      </c>
      <c r="B319" s="70" t="n">
        <v>507</v>
      </c>
      <c r="C319" s="115" t="inlineStr">
        <is>
          <t>SELİM İNŞAAT</t>
        </is>
      </c>
      <c r="D319" s="115" t="inlineStr">
        <is>
          <t>34 EGR 737</t>
        </is>
      </c>
      <c r="E319" s="115" t="inlineStr">
        <is>
          <t>CEM MUHTAR</t>
        </is>
      </c>
      <c r="F319" s="65" t="n">
        <v>456458</v>
      </c>
      <c r="G319" s="152" t="n"/>
      <c r="H319" s="152" t="n">
        <v>326</v>
      </c>
      <c r="I319" s="156">
        <f>+I318+(G319-H319)</f>
        <v/>
      </c>
      <c r="J319" s="90" t="n">
        <v>49.82</v>
      </c>
      <c r="K319" s="166" t="n"/>
      <c r="L319" s="158">
        <f>+H319*J319</f>
        <v/>
      </c>
      <c r="M319" s="159">
        <f>SUM(M318+K319-L319)</f>
        <v/>
      </c>
    </row>
    <row r="320">
      <c r="A320" s="151" t="n">
        <v>46057</v>
      </c>
      <c r="B320" s="70" t="n">
        <v>143</v>
      </c>
      <c r="C320" s="115" t="inlineStr">
        <is>
          <t>SELİM İNŞAAT</t>
        </is>
      </c>
      <c r="D320" s="115" t="inlineStr">
        <is>
          <t>34 FBR 771</t>
        </is>
      </c>
      <c r="E320" s="115" t="inlineStr">
        <is>
          <t>SALİH YALÇIN</t>
        </is>
      </c>
      <c r="F320" s="65" t="n">
        <v>345782</v>
      </c>
      <c r="G320" s="152" t="n"/>
      <c r="H320" s="152" t="n">
        <v>497</v>
      </c>
      <c r="I320" s="156">
        <f>+I319+(G320-H320)</f>
        <v/>
      </c>
      <c r="J320" s="90" t="n">
        <v>49.82</v>
      </c>
      <c r="K320" s="166" t="n"/>
      <c r="L320" s="158">
        <f>+H320*J320</f>
        <v/>
      </c>
      <c r="M320" s="159">
        <f>SUM(M319+K320-L320)</f>
        <v/>
      </c>
    </row>
    <row r="321">
      <c r="A321" s="151" t="n">
        <v>46057</v>
      </c>
      <c r="B321" s="70" t="n">
        <v>3384</v>
      </c>
      <c r="C321" s="115" t="inlineStr">
        <is>
          <t>SELİM İNŞAAT</t>
        </is>
      </c>
      <c r="D321" s="115" t="inlineStr">
        <is>
          <t>34 EDC 162</t>
        </is>
      </c>
      <c r="E321" s="115" t="inlineStr">
        <is>
          <t xml:space="preserve">YAKUP GÜNER </t>
        </is>
      </c>
      <c r="F321" s="65" t="n">
        <v>411210</v>
      </c>
      <c r="G321" s="152" t="n"/>
      <c r="H321" s="152" t="n">
        <v>359</v>
      </c>
      <c r="I321" s="156">
        <f>+I320+(G321-H321)</f>
        <v/>
      </c>
      <c r="J321" s="90" t="n">
        <v>49.82</v>
      </c>
      <c r="K321" s="166" t="n"/>
      <c r="L321" s="158">
        <f>+H321*J321</f>
        <v/>
      </c>
      <c r="M321" s="159">
        <f>SUM(M320+K321-L321)</f>
        <v/>
      </c>
    </row>
    <row r="322">
      <c r="A322" s="151" t="n">
        <v>46057</v>
      </c>
      <c r="B322" s="70" t="n">
        <v>4962</v>
      </c>
      <c r="C322" s="115" t="inlineStr">
        <is>
          <t>SELİM İNŞAAT</t>
        </is>
      </c>
      <c r="D322" s="115" t="inlineStr">
        <is>
          <t>34 GVZ 745</t>
        </is>
      </c>
      <c r="E322" s="115" t="inlineStr">
        <is>
          <t>MURAT DEMİRBAŞ</t>
        </is>
      </c>
      <c r="F322" s="65" t="n">
        <v>241920</v>
      </c>
      <c r="G322" s="152" t="n"/>
      <c r="H322" s="152" t="n">
        <v>395</v>
      </c>
      <c r="I322" s="156">
        <f>+I321+(G322-H322)</f>
        <v/>
      </c>
      <c r="J322" s="90" t="n">
        <v>49.82</v>
      </c>
      <c r="K322" s="166" t="n"/>
      <c r="L322" s="158">
        <f>+H322*J322</f>
        <v/>
      </c>
      <c r="M322" s="159">
        <f>SUM(M321+K322-L322)</f>
        <v/>
      </c>
    </row>
    <row r="323">
      <c r="A323" s="151" t="n">
        <v>46057</v>
      </c>
      <c r="B323" s="70" t="n">
        <v>4166</v>
      </c>
      <c r="C323" s="115" t="inlineStr">
        <is>
          <t>SELİM İNŞAAT</t>
        </is>
      </c>
      <c r="D323" s="115" t="inlineStr">
        <is>
          <t>34 FBR 748</t>
        </is>
      </c>
      <c r="E323" s="115" t="inlineStr">
        <is>
          <t>YAŞAR ÖZKAYA</t>
        </is>
      </c>
      <c r="F323" s="65" t="n">
        <v>321601</v>
      </c>
      <c r="G323" s="152" t="n"/>
      <c r="H323" s="152" t="n">
        <v>349</v>
      </c>
      <c r="I323" s="156">
        <f>+I322+(G323-H323)</f>
        <v/>
      </c>
      <c r="J323" s="90" t="n">
        <v>49.82</v>
      </c>
      <c r="K323" s="166" t="n"/>
      <c r="L323" s="158">
        <f>+H323*J323</f>
        <v/>
      </c>
      <c r="M323" s="159">
        <f>SUM(M322+K323-L323)</f>
        <v/>
      </c>
    </row>
    <row r="324">
      <c r="A324" s="151" t="n">
        <v>46057</v>
      </c>
      <c r="B324" s="70" t="n">
        <v>4918</v>
      </c>
      <c r="C324" s="115" t="inlineStr">
        <is>
          <t>SELİM İNŞAAT</t>
        </is>
      </c>
      <c r="D324" s="115" t="inlineStr">
        <is>
          <t>34 FBR 742</t>
        </is>
      </c>
      <c r="E324" s="115" t="inlineStr">
        <is>
          <t>ADNAN KOÇ</t>
        </is>
      </c>
      <c r="F324" s="65" t="n">
        <v>361858</v>
      </c>
      <c r="G324" s="152" t="n"/>
      <c r="H324" s="152" t="n">
        <v>342</v>
      </c>
      <c r="I324" s="156">
        <f>+I323+(G324-H324)</f>
        <v/>
      </c>
      <c r="J324" s="90" t="n">
        <v>49.82</v>
      </c>
      <c r="K324" s="166" t="n"/>
      <c r="L324" s="158">
        <f>+H324*J324</f>
        <v/>
      </c>
      <c r="M324" s="159">
        <f>SUM(M323+K324-L324)</f>
        <v/>
      </c>
    </row>
    <row r="325">
      <c r="A325" s="151" t="n">
        <v>46057</v>
      </c>
      <c r="B325" s="70" t="n">
        <v>899</v>
      </c>
      <c r="C325" s="115" t="inlineStr">
        <is>
          <t>SELİM İNŞAAT</t>
        </is>
      </c>
      <c r="D325" s="115" t="inlineStr">
        <is>
          <t>34 FSG 229</t>
        </is>
      </c>
      <c r="E325" s="115" t="inlineStr">
        <is>
          <t>SİNAN TANRIVERDİ</t>
        </is>
      </c>
      <c r="F325" s="65" t="n">
        <v>295702</v>
      </c>
      <c r="G325" s="152" t="n"/>
      <c r="H325" s="152" t="n">
        <v>409</v>
      </c>
      <c r="I325" s="156">
        <f>+I324+(G325-H325)</f>
        <v/>
      </c>
      <c r="J325" s="90" t="n">
        <v>49.82</v>
      </c>
      <c r="K325" s="166" t="n"/>
      <c r="L325" s="158">
        <f>+H325*J325</f>
        <v/>
      </c>
      <c r="M325" s="159">
        <f>SUM(M324+K325-L325)</f>
        <v/>
      </c>
    </row>
    <row r="326">
      <c r="A326" s="151" t="n">
        <v>46057</v>
      </c>
      <c r="B326" s="70" t="n">
        <v>3618</v>
      </c>
      <c r="C326" s="115" t="inlineStr">
        <is>
          <t>SELİM İNŞAAT</t>
        </is>
      </c>
      <c r="D326" s="115" t="inlineStr">
        <is>
          <t>34 EDB 922</t>
        </is>
      </c>
      <c r="E326" s="115" t="inlineStr">
        <is>
          <t>ÇAĞDAŞ YÜCESAN</t>
        </is>
      </c>
      <c r="F326" s="65" t="n">
        <v>404756</v>
      </c>
      <c r="G326" s="152" t="n"/>
      <c r="H326" s="152" t="n">
        <v>469</v>
      </c>
      <c r="I326" s="156">
        <f>+I325+(G326-H326)</f>
        <v/>
      </c>
      <c r="J326" s="90" t="n">
        <v>49.82</v>
      </c>
      <c r="K326" s="166" t="n"/>
      <c r="L326" s="158">
        <f>+H326*J326</f>
        <v/>
      </c>
      <c r="M326" s="159">
        <f>SUM(M325+K326-L326)</f>
        <v/>
      </c>
    </row>
    <row r="327">
      <c r="A327" s="151" t="n">
        <v>46057</v>
      </c>
      <c r="B327" s="70" t="n">
        <v>1541</v>
      </c>
      <c r="C327" s="115" t="inlineStr">
        <is>
          <t>SELİM İNŞAAT</t>
        </is>
      </c>
      <c r="D327" s="115" t="inlineStr">
        <is>
          <t>34 GUS 848</t>
        </is>
      </c>
      <c r="E327" s="115" t="inlineStr">
        <is>
          <t>SERDAR BOZKURT</t>
        </is>
      </c>
      <c r="F327" s="65" t="n">
        <v>227847</v>
      </c>
      <c r="G327" s="152" t="n"/>
      <c r="H327" s="152" t="n">
        <v>440</v>
      </c>
      <c r="I327" s="156">
        <f>+I326+(G327-H327)</f>
        <v/>
      </c>
      <c r="J327" s="90" t="n">
        <v>49.82</v>
      </c>
      <c r="K327" s="166" t="n"/>
      <c r="L327" s="158">
        <f>+H327*J327</f>
        <v/>
      </c>
      <c r="M327" s="159">
        <f>SUM(M326+K327-L327)</f>
        <v/>
      </c>
    </row>
    <row r="328">
      <c r="A328" s="151" t="n">
        <v>46057</v>
      </c>
      <c r="B328" s="70" t="n">
        <v>4814</v>
      </c>
      <c r="C328" s="115" t="inlineStr">
        <is>
          <t>SELİM İNŞAAT</t>
        </is>
      </c>
      <c r="D328" s="115" t="inlineStr">
        <is>
          <t>34 EDB 559</t>
        </is>
      </c>
      <c r="E328" s="115" t="inlineStr">
        <is>
          <t>AZİZ ORUÇ</t>
        </is>
      </c>
      <c r="F328" s="65" t="n">
        <v>360412</v>
      </c>
      <c r="G328" s="152" t="n"/>
      <c r="H328" s="152" t="n">
        <v>415</v>
      </c>
      <c r="I328" s="156">
        <f>+I327+(G328-H328)</f>
        <v/>
      </c>
      <c r="J328" s="90" t="n">
        <v>49.82</v>
      </c>
      <c r="K328" s="166" t="n"/>
      <c r="L328" s="158">
        <f>+H328*J328</f>
        <v/>
      </c>
      <c r="M328" s="159">
        <f>SUM(M327+K328-L328)</f>
        <v/>
      </c>
    </row>
    <row r="329">
      <c r="A329" s="151" t="n">
        <v>46057</v>
      </c>
      <c r="B329" s="70" t="n">
        <v>243</v>
      </c>
      <c r="C329" s="115" t="inlineStr">
        <is>
          <t>SELİM İNŞAAT</t>
        </is>
      </c>
      <c r="D329" s="115" t="inlineStr">
        <is>
          <t>34 JGR 15</t>
        </is>
      </c>
      <c r="E329" s="115" t="inlineStr">
        <is>
          <t>SERDAR BOZKURT</t>
        </is>
      </c>
      <c r="F329" s="65" t="n">
        <v>328934</v>
      </c>
      <c r="G329" s="152" t="n"/>
      <c r="H329" s="152" t="n">
        <v>48</v>
      </c>
      <c r="I329" s="156">
        <f>+I328+(G329-H329)</f>
        <v/>
      </c>
      <c r="J329" s="90" t="n">
        <v>49.82</v>
      </c>
      <c r="K329" s="166" t="n"/>
      <c r="L329" s="158">
        <f>+H329*J329</f>
        <v/>
      </c>
      <c r="M329" s="159">
        <f>SUM(M328+K329-L329)</f>
        <v/>
      </c>
    </row>
    <row r="330">
      <c r="A330" s="151" t="n">
        <v>46057</v>
      </c>
      <c r="B330" s="70" t="n">
        <v>4011</v>
      </c>
      <c r="C330" s="115" t="inlineStr">
        <is>
          <t>SELİM İNŞAAT</t>
        </is>
      </c>
      <c r="D330" s="115" t="inlineStr">
        <is>
          <t>34 AR 7743</t>
        </is>
      </c>
      <c r="E330" s="115" t="inlineStr">
        <is>
          <t>MEHMET SELİM</t>
        </is>
      </c>
      <c r="F330" s="65" t="n">
        <v>372908</v>
      </c>
      <c r="G330" s="152" t="n"/>
      <c r="H330" s="152" t="n">
        <v>57</v>
      </c>
      <c r="I330" s="156">
        <f>+I329+(G330-H330)</f>
        <v/>
      </c>
      <c r="J330" s="90" t="n">
        <v>49.82</v>
      </c>
      <c r="K330" s="166" t="n"/>
      <c r="L330" s="158">
        <f>+H330*J330</f>
        <v/>
      </c>
      <c r="M330" s="159">
        <f>SUM(M329+K330-L330)</f>
        <v/>
      </c>
    </row>
    <row r="331">
      <c r="A331" s="151" t="n">
        <v>46057</v>
      </c>
      <c r="B331" s="70" t="n">
        <v>301</v>
      </c>
      <c r="C331" s="115" t="inlineStr">
        <is>
          <t>SELİM İNŞAAT</t>
        </is>
      </c>
      <c r="D331" s="115" t="inlineStr">
        <is>
          <t>34 GER 445</t>
        </is>
      </c>
      <c r="E331" s="115" t="inlineStr">
        <is>
          <t>İRFAN DAĞLAR</t>
        </is>
      </c>
      <c r="F331" s="65" t="n">
        <v>56984</v>
      </c>
      <c r="G331" s="152" t="n"/>
      <c r="H331" s="152" t="n">
        <v>236</v>
      </c>
      <c r="I331" s="156">
        <f>+I330+(G331-H331)</f>
        <v/>
      </c>
      <c r="J331" s="90" t="n">
        <v>49.82</v>
      </c>
      <c r="K331" s="166" t="n"/>
      <c r="L331" s="158">
        <f>+H331*J331</f>
        <v/>
      </c>
      <c r="M331" s="159">
        <f>SUM(M330+K331-L331)</f>
        <v/>
      </c>
    </row>
    <row r="332">
      <c r="A332" s="151" t="n">
        <v>46057</v>
      </c>
      <c r="B332" s="70" t="n">
        <v>3723</v>
      </c>
      <c r="C332" s="115" t="inlineStr">
        <is>
          <t>SELİM İNŞAAT</t>
        </is>
      </c>
      <c r="D332" s="115" t="inlineStr">
        <is>
          <t>34 DKL 866</t>
        </is>
      </c>
      <c r="E332" s="115" t="inlineStr">
        <is>
          <t xml:space="preserve">SELİMCAN ÖNVER </t>
        </is>
      </c>
      <c r="F332" s="65" t="n">
        <v>81547</v>
      </c>
      <c r="G332" s="152" t="n"/>
      <c r="H332" s="152" t="n">
        <v>236</v>
      </c>
      <c r="I332" s="156">
        <f>+I331+(G332-H332)</f>
        <v/>
      </c>
      <c r="J332" s="90" t="n">
        <v>49.82</v>
      </c>
      <c r="K332" s="166" t="n"/>
      <c r="L332" s="158">
        <f>+H332*J332</f>
        <v/>
      </c>
      <c r="M332" s="159">
        <f>SUM(M331+K332-L332)</f>
        <v/>
      </c>
    </row>
    <row r="333">
      <c r="A333" s="151" t="n">
        <v>46057</v>
      </c>
      <c r="B333" s="70" t="n">
        <v>4459</v>
      </c>
      <c r="C333" s="115" t="inlineStr">
        <is>
          <t>SELİM İNŞAAT</t>
        </is>
      </c>
      <c r="D333" s="115" t="inlineStr">
        <is>
          <t>34 DKL 798</t>
        </is>
      </c>
      <c r="E333" s="115" t="inlineStr">
        <is>
          <t>HASAN BAYCA</t>
        </is>
      </c>
      <c r="F333" s="65" t="n">
        <v>80207</v>
      </c>
      <c r="G333" s="152" t="n"/>
      <c r="H333" s="152" t="n">
        <v>294</v>
      </c>
      <c r="I333" s="156">
        <f>+I332+(G333-H333)</f>
        <v/>
      </c>
      <c r="J333" s="90" t="n">
        <v>49.82</v>
      </c>
      <c r="K333" s="166" t="n"/>
      <c r="L333" s="158">
        <f>+H333*J333</f>
        <v/>
      </c>
      <c r="M333" s="159">
        <f>SUM(M332+K333-L333)</f>
        <v/>
      </c>
    </row>
    <row r="334">
      <c r="A334" s="151" t="n">
        <v>46057</v>
      </c>
      <c r="B334" s="70" t="n">
        <v>2744</v>
      </c>
      <c r="C334" s="115" t="inlineStr">
        <is>
          <t>METİN ERYİĞİT</t>
        </is>
      </c>
      <c r="D334" s="115" t="inlineStr">
        <is>
          <t>34 EGR 814</t>
        </is>
      </c>
      <c r="E334" s="115" t="inlineStr">
        <is>
          <t xml:space="preserve">ZİYA İNCE </t>
        </is>
      </c>
      <c r="F334" s="65" t="n">
        <v>599340</v>
      </c>
      <c r="G334" s="152" t="n"/>
      <c r="H334" s="152" t="n">
        <v>464</v>
      </c>
      <c r="I334" s="156">
        <f>+I333+(G334-H334)</f>
        <v/>
      </c>
      <c r="J334" s="90" t="n">
        <v>49.82</v>
      </c>
      <c r="K334" s="166" t="n"/>
      <c r="L334" s="158">
        <f>+H334*J334</f>
        <v/>
      </c>
      <c r="M334" s="159">
        <f>SUM(M333+K334-L334)</f>
        <v/>
      </c>
    </row>
    <row r="335">
      <c r="A335" s="151" t="n">
        <v>46057</v>
      </c>
      <c r="B335" s="70" t="n">
        <v>702</v>
      </c>
      <c r="C335" s="115" t="inlineStr">
        <is>
          <t>METİN ERYİĞİT</t>
        </is>
      </c>
      <c r="D335" s="115" t="inlineStr">
        <is>
          <t>34 EGS 013</t>
        </is>
      </c>
      <c r="E335" s="115" t="inlineStr">
        <is>
          <t>UĞUR DUMAN</t>
        </is>
      </c>
      <c r="F335" s="65" t="n">
        <v>553670</v>
      </c>
      <c r="G335" s="152" t="n"/>
      <c r="H335" s="152" t="n">
        <v>400</v>
      </c>
      <c r="I335" s="156">
        <f>+I334+(G335-H335)</f>
        <v/>
      </c>
      <c r="J335" s="90" t="n">
        <v>49.82</v>
      </c>
      <c r="K335" s="166" t="n"/>
      <c r="L335" s="158">
        <f>+H335*J335</f>
        <v/>
      </c>
      <c r="M335" s="159">
        <f>SUM(M334+K335-L335)</f>
        <v/>
      </c>
    </row>
    <row r="336">
      <c r="A336" s="151" t="n">
        <v>46057</v>
      </c>
      <c r="B336" s="70" t="n">
        <v>3796</v>
      </c>
      <c r="C336" s="115" t="inlineStr">
        <is>
          <t>METİN ERYİĞİT</t>
        </is>
      </c>
      <c r="D336" s="115" t="inlineStr">
        <is>
          <t>34 GBL 998</t>
        </is>
      </c>
      <c r="E336" s="115" t="inlineStr">
        <is>
          <t>ALİ KESKİN</t>
        </is>
      </c>
      <c r="F336" s="65" t="n">
        <v>336453</v>
      </c>
      <c r="G336" s="152" t="n"/>
      <c r="H336" s="152" t="n">
        <v>326</v>
      </c>
      <c r="I336" s="156">
        <f>+I335+(G336-H336)</f>
        <v/>
      </c>
      <c r="J336" s="90" t="n">
        <v>49.82</v>
      </c>
      <c r="K336" s="166" t="n"/>
      <c r="L336" s="158">
        <f>+H336*J336</f>
        <v/>
      </c>
      <c r="M336" s="159">
        <f>SUM(M335+K336-L336)</f>
        <v/>
      </c>
    </row>
    <row r="337">
      <c r="A337" s="151" t="n">
        <v>46057</v>
      </c>
      <c r="B337" s="70" t="n">
        <v>4250</v>
      </c>
      <c r="C337" s="115" t="inlineStr">
        <is>
          <t>HASALTUN</t>
        </is>
      </c>
      <c r="D337" s="115" t="inlineStr">
        <is>
          <t xml:space="preserve">JCB </t>
        </is>
      </c>
      <c r="E337" s="115" t="inlineStr">
        <is>
          <t>BAYRAM SANCAK</t>
        </is>
      </c>
      <c r="F337" s="65" t="n"/>
      <c r="G337" s="152" t="n"/>
      <c r="H337" s="152" t="n">
        <v>41</v>
      </c>
      <c r="I337" s="156">
        <f>+I336+(G337-H337)</f>
        <v/>
      </c>
      <c r="J337" s="90" t="n">
        <v>49.82</v>
      </c>
      <c r="K337" s="166" t="n"/>
      <c r="L337" s="158">
        <f>+H337*J337</f>
        <v/>
      </c>
      <c r="M337" s="159">
        <f>SUM(M336+K337-L337)</f>
        <v/>
      </c>
    </row>
    <row r="338">
      <c r="A338" s="151" t="n">
        <v>46057</v>
      </c>
      <c r="B338" s="70" t="n">
        <v>351</v>
      </c>
      <c r="C338" s="115" t="inlineStr">
        <is>
          <t>EVKUR</t>
        </is>
      </c>
      <c r="D338" s="115" t="inlineStr">
        <is>
          <t>KİRALIK KATO</t>
        </is>
      </c>
      <c r="E338" s="115" t="inlineStr">
        <is>
          <t>GÜNEŞ</t>
        </is>
      </c>
      <c r="F338" s="65" t="n"/>
      <c r="G338" s="152" t="n"/>
      <c r="H338" s="152" t="n">
        <v>88</v>
      </c>
      <c r="I338" s="156">
        <f>+I337+(G338-H338)</f>
        <v/>
      </c>
      <c r="J338" s="90" t="n">
        <v>49.82</v>
      </c>
      <c r="K338" s="166" t="n"/>
      <c r="L338" s="158">
        <f>+H338*J338</f>
        <v/>
      </c>
      <c r="M338" s="159">
        <f>SUM(M337+K338-L338)</f>
        <v/>
      </c>
    </row>
    <row r="339">
      <c r="A339" s="151" t="n">
        <v>46057</v>
      </c>
      <c r="B339" s="70" t="n">
        <v>352</v>
      </c>
      <c r="C339" s="115" t="inlineStr">
        <is>
          <t>HASALTUN</t>
        </is>
      </c>
      <c r="D339" s="115" t="inlineStr">
        <is>
          <t>HITACHI</t>
        </is>
      </c>
      <c r="E339" s="115" t="inlineStr">
        <is>
          <t>TURGUT</t>
        </is>
      </c>
      <c r="F339" s="65" t="n"/>
      <c r="G339" s="152" t="n"/>
      <c r="H339" s="152" t="n">
        <v>318</v>
      </c>
      <c r="I339" s="156">
        <f>+I338+(G339-H339)</f>
        <v/>
      </c>
      <c r="J339" s="90" t="n">
        <v>49.82</v>
      </c>
      <c r="K339" s="166" t="n"/>
      <c r="L339" s="158">
        <f>+H339*J339</f>
        <v/>
      </c>
      <c r="M339" s="159">
        <f>SUM(M338+K339-L339)</f>
        <v/>
      </c>
    </row>
    <row r="340">
      <c r="A340" s="151" t="n">
        <v>46057</v>
      </c>
      <c r="B340" s="70" t="n">
        <v>353</v>
      </c>
      <c r="C340" s="115" t="inlineStr">
        <is>
          <t>MEGA VARLIK</t>
        </is>
      </c>
      <c r="D340" s="115" t="inlineStr">
        <is>
          <t>KAWAZAKI</t>
        </is>
      </c>
      <c r="E340" s="115" t="inlineStr">
        <is>
          <t>RAMAZAN</t>
        </is>
      </c>
      <c r="F340" s="65" t="n"/>
      <c r="G340" s="152" t="n"/>
      <c r="H340" s="152" t="n">
        <v>87</v>
      </c>
      <c r="I340" s="156">
        <f>+I339+(G340-H340)</f>
        <v/>
      </c>
      <c r="J340" s="90" t="n">
        <v>49.82</v>
      </c>
      <c r="K340" s="166" t="n"/>
      <c r="L340" s="158">
        <f>+H340*J340</f>
        <v/>
      </c>
      <c r="M340" s="159">
        <f>SUM(M339+K340-L340)</f>
        <v/>
      </c>
    </row>
    <row r="341">
      <c r="A341" s="151" t="n">
        <v>46057</v>
      </c>
      <c r="B341" s="70" t="n">
        <v>3278</v>
      </c>
      <c r="C341" s="115" t="inlineStr">
        <is>
          <t xml:space="preserve">AZGÜN YAPI </t>
        </is>
      </c>
      <c r="D341" s="115" t="inlineStr">
        <is>
          <t xml:space="preserve">34 DTV 263 </t>
        </is>
      </c>
      <c r="E341" s="115" t="inlineStr">
        <is>
          <t>İRFAN DAĞLAR</t>
        </is>
      </c>
      <c r="F341" s="65" t="n"/>
      <c r="G341" s="152" t="n"/>
      <c r="H341" s="152" t="n">
        <v>445</v>
      </c>
      <c r="I341" s="156">
        <f>+I340+(G341-H341)</f>
        <v/>
      </c>
      <c r="J341" s="90" t="n">
        <v>49.82</v>
      </c>
      <c r="K341" s="166" t="n"/>
      <c r="L341" s="158">
        <f>+H341*J341</f>
        <v/>
      </c>
      <c r="M341" s="159">
        <f>SUM(M340+K341-L341)</f>
        <v/>
      </c>
    </row>
    <row r="342">
      <c r="A342" s="151" t="n">
        <v>46058</v>
      </c>
      <c r="B342" s="70" t="n">
        <v>3325</v>
      </c>
      <c r="C342" s="115" t="inlineStr">
        <is>
          <t>SELİM İNŞAAT</t>
        </is>
      </c>
      <c r="D342" s="115" t="inlineStr">
        <is>
          <t>34 GUS 938</t>
        </is>
      </c>
      <c r="E342" s="115" t="inlineStr">
        <is>
          <t>MEHMET KAYA</t>
        </is>
      </c>
      <c r="F342" s="65" t="n">
        <v>243153</v>
      </c>
      <c r="G342" s="152" t="n"/>
      <c r="H342" s="152" t="n">
        <v>386</v>
      </c>
      <c r="I342" s="156">
        <f>+I341+(G342-H342)</f>
        <v/>
      </c>
      <c r="J342" s="90" t="n">
        <v>49.82</v>
      </c>
      <c r="K342" s="166" t="n"/>
      <c r="L342" s="158">
        <f>+H342*J342</f>
        <v/>
      </c>
      <c r="M342" s="159">
        <f>SUM(M341+K342-L342)</f>
        <v/>
      </c>
    </row>
    <row r="343">
      <c r="A343" s="151" t="n">
        <v>46058</v>
      </c>
      <c r="B343" s="70" t="n">
        <v>508</v>
      </c>
      <c r="C343" s="115" t="inlineStr">
        <is>
          <t>SELİM İNŞAAT</t>
        </is>
      </c>
      <c r="D343" s="115" t="inlineStr">
        <is>
          <t>34 EGR 737</t>
        </is>
      </c>
      <c r="E343" s="115" t="inlineStr">
        <is>
          <t>CEM MUHTAR</t>
        </is>
      </c>
      <c r="F343" s="65" t="n">
        <v>457041</v>
      </c>
      <c r="G343" s="152" t="n"/>
      <c r="H343" s="152" t="n">
        <v>462</v>
      </c>
      <c r="I343" s="156">
        <f>+I342+(G343-H343)</f>
        <v/>
      </c>
      <c r="J343" s="90" t="n">
        <v>49.82</v>
      </c>
      <c r="K343" s="166" t="n"/>
      <c r="L343" s="158">
        <f>+H343*J343</f>
        <v/>
      </c>
      <c r="M343" s="159">
        <f>SUM(M342+K343-L343)</f>
        <v/>
      </c>
    </row>
    <row r="344">
      <c r="A344" s="151" t="n">
        <v>46058</v>
      </c>
      <c r="B344" s="70" t="n">
        <v>4869</v>
      </c>
      <c r="C344" s="115" t="inlineStr">
        <is>
          <t>SELİM İNŞAAT</t>
        </is>
      </c>
      <c r="D344" s="115" t="inlineStr">
        <is>
          <t>34 FBR 705</t>
        </is>
      </c>
      <c r="E344" s="115" t="inlineStr">
        <is>
          <t>MURAT SARI</t>
        </is>
      </c>
      <c r="F344" s="65" t="n">
        <v>358168</v>
      </c>
      <c r="G344" s="152" t="n"/>
      <c r="H344" s="152" t="n">
        <v>442</v>
      </c>
      <c r="I344" s="156">
        <f>+I343+(G344-H344)</f>
        <v/>
      </c>
      <c r="J344" s="90" t="n">
        <v>49.82</v>
      </c>
      <c r="K344" s="166" t="n"/>
      <c r="L344" s="158">
        <f>+H344*J344</f>
        <v/>
      </c>
      <c r="M344" s="159">
        <f>SUM(M343+K344-L344)</f>
        <v/>
      </c>
    </row>
    <row r="345">
      <c r="A345" s="151" t="n">
        <v>46058</v>
      </c>
      <c r="B345" s="70" t="n">
        <v>4963</v>
      </c>
      <c r="C345" s="115" t="inlineStr">
        <is>
          <t>SELİM İNŞAAT</t>
        </is>
      </c>
      <c r="D345" s="115" t="inlineStr">
        <is>
          <t>34 GVZ 745</t>
        </is>
      </c>
      <c r="E345" s="115" t="inlineStr">
        <is>
          <t>MURAT DEMİRBAŞ</t>
        </is>
      </c>
      <c r="F345" s="65" t="n">
        <v>242291</v>
      </c>
      <c r="G345" s="152" t="n"/>
      <c r="H345" s="152" t="n">
        <v>319</v>
      </c>
      <c r="I345" s="156">
        <f>+I344+(G345-H345)</f>
        <v/>
      </c>
      <c r="J345" s="90" t="n">
        <v>49.82</v>
      </c>
      <c r="K345" s="166" t="n"/>
      <c r="L345" s="158">
        <f>+H345*J345</f>
        <v/>
      </c>
      <c r="M345" s="159">
        <f>SUM(M344+K345-L345)</f>
        <v/>
      </c>
    </row>
    <row r="346">
      <c r="A346" s="151" t="n">
        <v>46058</v>
      </c>
      <c r="B346" s="70" t="n">
        <v>900</v>
      </c>
      <c r="C346" s="115" t="inlineStr">
        <is>
          <t>SELİM İNŞAAT</t>
        </is>
      </c>
      <c r="D346" s="115" t="inlineStr">
        <is>
          <t>34 FSG 229</t>
        </is>
      </c>
      <c r="E346" s="115" t="inlineStr">
        <is>
          <t>SİNAN TANRIVERDİ</t>
        </is>
      </c>
      <c r="F346" s="65" t="n">
        <v>296121</v>
      </c>
      <c r="G346" s="152" t="n"/>
      <c r="H346" s="152" t="n">
        <v>310</v>
      </c>
      <c r="I346" s="156">
        <f>+I345+(G346-H346)</f>
        <v/>
      </c>
      <c r="J346" s="90" t="n">
        <v>49.82</v>
      </c>
      <c r="K346" s="166" t="n"/>
      <c r="L346" s="158">
        <f>+H346*J346</f>
        <v/>
      </c>
      <c r="M346" s="159">
        <f>SUM(M345+K346-L346)</f>
        <v/>
      </c>
    </row>
    <row r="347">
      <c r="A347" s="151" t="n">
        <v>46058</v>
      </c>
      <c r="B347" s="70" t="n">
        <v>3219</v>
      </c>
      <c r="C347" s="115" t="inlineStr">
        <is>
          <t>SELİM İNŞAAT</t>
        </is>
      </c>
      <c r="D347" s="115" t="inlineStr">
        <is>
          <t>34 EGR 736</t>
        </is>
      </c>
      <c r="E347" s="115" t="inlineStr">
        <is>
          <t>HAKAN ÇAVUŞOĞLU</t>
        </is>
      </c>
      <c r="F347" s="65" t="n">
        <v>435108</v>
      </c>
      <c r="G347" s="152" t="n"/>
      <c r="H347" s="152" t="n">
        <v>534</v>
      </c>
      <c r="I347" s="156">
        <f>+I346+(G347-H347)</f>
        <v/>
      </c>
      <c r="J347" s="90" t="n">
        <v>49.82</v>
      </c>
      <c r="K347" s="166" t="n"/>
      <c r="L347" s="158">
        <f>+H347*J347</f>
        <v/>
      </c>
      <c r="M347" s="159">
        <f>SUM(M346+K347-L347)</f>
        <v/>
      </c>
    </row>
    <row r="348">
      <c r="A348" s="151" t="n">
        <v>46058</v>
      </c>
      <c r="B348" s="70" t="n">
        <v>2789</v>
      </c>
      <c r="C348" s="115" t="inlineStr">
        <is>
          <t>SELİM İNŞAAT</t>
        </is>
      </c>
      <c r="D348" s="115" t="inlineStr">
        <is>
          <t>34 EDC 086</t>
        </is>
      </c>
      <c r="E348" s="115" t="inlineStr">
        <is>
          <t>SEZGİN KOCAGİL</t>
        </is>
      </c>
      <c r="F348" s="65" t="n">
        <v>372496</v>
      </c>
      <c r="G348" s="152" t="n"/>
      <c r="H348" s="152" t="n">
        <v>382</v>
      </c>
      <c r="I348" s="156">
        <f>+I347+(G348-H348)</f>
        <v/>
      </c>
      <c r="J348" s="90" t="n">
        <v>49.82</v>
      </c>
      <c r="K348" s="166" t="n"/>
      <c r="L348" s="158">
        <f>+H348*J348</f>
        <v/>
      </c>
      <c r="M348" s="159">
        <f>SUM(M347+K348-L348)</f>
        <v/>
      </c>
    </row>
    <row r="349">
      <c r="A349" s="151" t="n">
        <v>46058</v>
      </c>
      <c r="B349" s="70" t="n">
        <v>2382</v>
      </c>
      <c r="C349" s="115" t="inlineStr">
        <is>
          <t>SELİM İNŞAAT</t>
        </is>
      </c>
      <c r="D349" s="115" t="inlineStr">
        <is>
          <t>34 FEM 934</t>
        </is>
      </c>
      <c r="E349" s="115" t="inlineStr">
        <is>
          <t>ABDULKERİM ERGEN</t>
        </is>
      </c>
      <c r="F349" s="65" t="n">
        <v>331040</v>
      </c>
      <c r="G349" s="152" t="n"/>
      <c r="H349" s="152" t="n">
        <v>64</v>
      </c>
      <c r="I349" s="156">
        <f>+I348+(G349-H349)</f>
        <v/>
      </c>
      <c r="J349" s="90" t="n">
        <v>49.82</v>
      </c>
      <c r="K349" s="166" t="n"/>
      <c r="L349" s="158">
        <f>+H349*J349</f>
        <v/>
      </c>
      <c r="M349" s="159">
        <f>SUM(M348+K349-L349)</f>
        <v/>
      </c>
    </row>
    <row r="350">
      <c r="A350" s="151" t="n">
        <v>46058</v>
      </c>
      <c r="B350" s="70" t="n">
        <v>2976</v>
      </c>
      <c r="C350" s="115" t="inlineStr">
        <is>
          <t>SELİM İNŞAAT</t>
        </is>
      </c>
      <c r="D350" s="115" t="inlineStr">
        <is>
          <t>34 DFE 454</t>
        </is>
      </c>
      <c r="E350" s="115" t="inlineStr">
        <is>
          <t>HÜSEYİN ALIN</t>
        </is>
      </c>
      <c r="F350" s="65" t="n">
        <v>173846</v>
      </c>
      <c r="G350" s="152" t="n"/>
      <c r="H350" s="152" t="n">
        <v>261</v>
      </c>
      <c r="I350" s="156">
        <f>+I349+(G350-H350)</f>
        <v/>
      </c>
      <c r="J350" s="90" t="n">
        <v>49.82</v>
      </c>
      <c r="K350" s="166" t="n"/>
      <c r="L350" s="158">
        <f>+H350*J350</f>
        <v/>
      </c>
      <c r="M350" s="159">
        <f>SUM(M349+K350-L350)</f>
        <v/>
      </c>
    </row>
    <row r="351">
      <c r="A351" s="151" t="n">
        <v>46058</v>
      </c>
      <c r="B351" s="70" t="n">
        <v>4591</v>
      </c>
      <c r="C351" s="115" t="inlineStr">
        <is>
          <t>AHMET SELİM TEMHA</t>
        </is>
      </c>
      <c r="D351" s="115" t="inlineStr">
        <is>
          <t>34 PGT 251</t>
        </is>
      </c>
      <c r="E351" s="115" t="inlineStr">
        <is>
          <t>ERSOY SIĞINMAZ</t>
        </is>
      </c>
      <c r="F351" s="65" t="n"/>
      <c r="G351" s="152" t="n"/>
      <c r="H351" s="152" t="n">
        <v>56</v>
      </c>
      <c r="I351" s="156">
        <f>+I350+(G351-H351)</f>
        <v/>
      </c>
      <c r="J351" s="90" t="n">
        <v>49.82</v>
      </c>
      <c r="K351" s="166" t="n"/>
      <c r="L351" s="158">
        <f>+H351*J351</f>
        <v/>
      </c>
      <c r="M351" s="159">
        <f>SUM(M350+K351-L351)</f>
        <v/>
      </c>
    </row>
    <row r="352">
      <c r="A352" s="151" t="n">
        <v>46058</v>
      </c>
      <c r="B352" s="70" t="n">
        <v>354</v>
      </c>
      <c r="C352" s="115" t="inlineStr">
        <is>
          <t>MEGA VARLIK</t>
        </is>
      </c>
      <c r="D352" s="115" t="inlineStr">
        <is>
          <t xml:space="preserve">SM350 </t>
        </is>
      </c>
      <c r="E352" s="115" t="inlineStr">
        <is>
          <t xml:space="preserve">MİKAİL BAYILMAZ </t>
        </is>
      </c>
      <c r="F352" s="65" t="n"/>
      <c r="G352" s="152" t="n"/>
      <c r="H352" s="152" t="n">
        <v>242</v>
      </c>
      <c r="I352" s="156">
        <f>+I351+(G352-H352)</f>
        <v/>
      </c>
      <c r="J352" s="90" t="n">
        <v>49.82</v>
      </c>
      <c r="K352" s="166" t="n"/>
      <c r="L352" s="158">
        <f>+H352*J352</f>
        <v/>
      </c>
      <c r="M352" s="159">
        <f>SUM(M351+K352-L352)</f>
        <v/>
      </c>
    </row>
    <row r="353">
      <c r="A353" s="151" t="n">
        <v>46058</v>
      </c>
      <c r="B353" s="70" t="n">
        <v>355</v>
      </c>
      <c r="C353" s="115" t="inlineStr">
        <is>
          <t>MEGA VARLIK</t>
        </is>
      </c>
      <c r="D353" s="115" t="inlineStr">
        <is>
          <t xml:space="preserve">SM350 </t>
        </is>
      </c>
      <c r="E353" s="115" t="inlineStr">
        <is>
          <t>TEVFİK ÖZTÜRK</t>
        </is>
      </c>
      <c r="F353" s="65" t="n"/>
      <c r="G353" s="152" t="n"/>
      <c r="H353" s="152" t="n">
        <v>352</v>
      </c>
      <c r="I353" s="156">
        <f>+I352+(G353-H353)</f>
        <v/>
      </c>
      <c r="J353" s="90" t="n">
        <v>49.82</v>
      </c>
      <c r="K353" s="166" t="n"/>
      <c r="L353" s="158">
        <f>+H353*J353</f>
        <v/>
      </c>
      <c r="M353" s="159">
        <f>SUM(M352+K353-L353)</f>
        <v/>
      </c>
    </row>
    <row r="354">
      <c r="A354" s="151" t="n">
        <v>46058</v>
      </c>
      <c r="B354" s="70" t="n">
        <v>2532</v>
      </c>
      <c r="C354" s="115" t="inlineStr">
        <is>
          <t xml:space="preserve">AZGÜN YAPI </t>
        </is>
      </c>
      <c r="D354" s="115" t="inlineStr">
        <is>
          <t>34 MKT 593</t>
        </is>
      </c>
      <c r="E354" s="115" t="inlineStr">
        <is>
          <t>TURGUT ÇATAL</t>
        </is>
      </c>
      <c r="F354" s="65" t="n"/>
      <c r="G354" s="152" t="n"/>
      <c r="H354" s="152" t="n">
        <v>450</v>
      </c>
      <c r="I354" s="156">
        <f>+I353+(G354-H354)</f>
        <v/>
      </c>
      <c r="J354" s="90" t="n">
        <v>49.82</v>
      </c>
      <c r="K354" s="166" t="n"/>
      <c r="L354" s="158">
        <f>+H354*J354</f>
        <v/>
      </c>
      <c r="M354" s="159">
        <f>SUM(M353+K354-L354)</f>
        <v/>
      </c>
    </row>
    <row r="355">
      <c r="A355" s="151" t="n">
        <v>46058</v>
      </c>
      <c r="B355" s="70" t="n">
        <v>1382</v>
      </c>
      <c r="C355" s="115" t="inlineStr">
        <is>
          <t xml:space="preserve">AZGÜN YAPI </t>
        </is>
      </c>
      <c r="D355" s="115" t="inlineStr">
        <is>
          <t>34 MKT 859</t>
        </is>
      </c>
      <c r="E355" s="115" t="inlineStr">
        <is>
          <t>ONUR CANLI</t>
        </is>
      </c>
      <c r="F355" s="65" t="n"/>
      <c r="G355" s="152" t="n"/>
      <c r="H355" s="152" t="n">
        <v>405</v>
      </c>
      <c r="I355" s="156">
        <f>+I354+(G355-H355)</f>
        <v/>
      </c>
      <c r="J355" s="90" t="n">
        <v>49.82</v>
      </c>
      <c r="K355" s="166" t="n"/>
      <c r="L355" s="158">
        <f>+H355*J355</f>
        <v/>
      </c>
      <c r="M355" s="159">
        <f>SUM(M354+K355-L355)</f>
        <v/>
      </c>
    </row>
    <row r="356">
      <c r="A356" s="151" t="n">
        <v>46059</v>
      </c>
      <c r="B356" s="70" t="n">
        <v>2691</v>
      </c>
      <c r="C356" s="115" t="inlineStr">
        <is>
          <t>SELİM İNŞAAT</t>
        </is>
      </c>
      <c r="D356" s="115" t="inlineStr">
        <is>
          <t>34 DHC 467</t>
        </is>
      </c>
      <c r="E356" s="115" t="inlineStr">
        <is>
          <t xml:space="preserve">YAKUP GÜNER </t>
        </is>
      </c>
      <c r="F356" s="65" t="n">
        <v>444915</v>
      </c>
      <c r="G356" s="152" t="n"/>
      <c r="H356" s="152" t="n">
        <v>477</v>
      </c>
      <c r="I356" s="156">
        <f>+I355+(G356-H356)</f>
        <v/>
      </c>
      <c r="J356" s="90" t="n">
        <v>49.82</v>
      </c>
      <c r="K356" s="166" t="n"/>
      <c r="L356" s="158">
        <f>+H356*J356</f>
        <v/>
      </c>
      <c r="M356" s="159">
        <f>SUM(M355+K356-L356)</f>
        <v/>
      </c>
    </row>
    <row r="357">
      <c r="A357" s="151" t="n">
        <v>46059</v>
      </c>
      <c r="B357" s="70" t="n">
        <v>4919</v>
      </c>
      <c r="C357" s="115" t="inlineStr">
        <is>
          <t>SELİM İNŞAAT</t>
        </is>
      </c>
      <c r="D357" s="115" t="inlineStr">
        <is>
          <t>34 FBR 742</t>
        </is>
      </c>
      <c r="E357" s="115" t="inlineStr">
        <is>
          <t>ADNAN KOÇ</t>
        </is>
      </c>
      <c r="F357" s="65" t="n">
        <v>362310</v>
      </c>
      <c r="G357" s="152" t="n"/>
      <c r="H357" s="152" t="n">
        <v>313</v>
      </c>
      <c r="I357" s="156">
        <f>+I356+(G357-H357)</f>
        <v/>
      </c>
      <c r="J357" s="90" t="n">
        <v>49.82</v>
      </c>
      <c r="K357" s="166" t="n"/>
      <c r="L357" s="158">
        <f>+H357*J357</f>
        <v/>
      </c>
      <c r="M357" s="159">
        <f>SUM(M356+K357-L357)</f>
        <v/>
      </c>
    </row>
    <row r="358">
      <c r="A358" s="151" t="n">
        <v>46059</v>
      </c>
      <c r="B358" s="70" t="n">
        <v>2645</v>
      </c>
      <c r="C358" s="115" t="inlineStr">
        <is>
          <t>SELİM İNŞAAT</t>
        </is>
      </c>
      <c r="D358" s="115" t="inlineStr">
        <is>
          <t>34 GU 945</t>
        </is>
      </c>
      <c r="E358" s="115" t="inlineStr">
        <is>
          <t>YAKUP URUCU</t>
        </is>
      </c>
      <c r="F358" s="65" t="n">
        <v>470416</v>
      </c>
      <c r="G358" s="152" t="n"/>
      <c r="H358" s="152" t="n">
        <v>64</v>
      </c>
      <c r="I358" s="156">
        <f>+I357+(G358-H358)</f>
        <v/>
      </c>
      <c r="J358" s="90" t="n">
        <v>49.82</v>
      </c>
      <c r="K358" s="166" t="n"/>
      <c r="L358" s="158">
        <f>+H358*J358</f>
        <v/>
      </c>
      <c r="M358" s="159">
        <f>SUM(M357+K358-L358)</f>
        <v/>
      </c>
    </row>
    <row r="359">
      <c r="A359" s="151" t="n">
        <v>46059</v>
      </c>
      <c r="B359" s="70" t="n">
        <v>2745</v>
      </c>
      <c r="C359" s="115" t="inlineStr">
        <is>
          <t>METİN ERYİĞİT</t>
        </is>
      </c>
      <c r="D359" s="115" t="inlineStr">
        <is>
          <t>34 EGR 814</t>
        </is>
      </c>
      <c r="E359" s="115" t="inlineStr">
        <is>
          <t xml:space="preserve">ZİYA İNCE </t>
        </is>
      </c>
      <c r="F359" s="65" t="n">
        <v>600271</v>
      </c>
      <c r="G359" s="152" t="n"/>
      <c r="H359" s="152" t="n">
        <v>521</v>
      </c>
      <c r="I359" s="156">
        <f>+I358+(G359-H359)</f>
        <v/>
      </c>
      <c r="J359" s="90" t="n">
        <v>49.82</v>
      </c>
      <c r="K359" s="166" t="n"/>
      <c r="L359" s="158">
        <f>+H359*J359</f>
        <v/>
      </c>
      <c r="M359" s="159">
        <f>SUM(M358+K359-L359)</f>
        <v/>
      </c>
    </row>
    <row r="360">
      <c r="A360" s="151" t="n">
        <v>46059</v>
      </c>
      <c r="B360" s="70" t="n">
        <v>703</v>
      </c>
      <c r="C360" s="115" t="inlineStr">
        <is>
          <t>METİN ERYİĞİT</t>
        </is>
      </c>
      <c r="D360" s="115" t="inlineStr">
        <is>
          <t>34 EGS 013</t>
        </is>
      </c>
      <c r="E360" s="115" t="inlineStr">
        <is>
          <t>UĞUR DUMAN</t>
        </is>
      </c>
      <c r="F360" s="65" t="n">
        <v>554692</v>
      </c>
      <c r="G360" s="152" t="n"/>
      <c r="H360" s="152" t="n">
        <v>517</v>
      </c>
      <c r="I360" s="156">
        <f>+I359+(G360-H360)</f>
        <v/>
      </c>
      <c r="J360" s="90" t="n">
        <v>49.82</v>
      </c>
      <c r="K360" s="166" t="n"/>
      <c r="L360" s="158">
        <f>+H360*J360</f>
        <v/>
      </c>
      <c r="M360" s="159">
        <f>SUM(M359+K360-L360)</f>
        <v/>
      </c>
    </row>
    <row r="361">
      <c r="A361" s="151" t="n">
        <v>46059</v>
      </c>
      <c r="B361" s="70" t="n">
        <v>3797</v>
      </c>
      <c r="C361" s="115" t="inlineStr">
        <is>
          <t>METİN ERYİĞİT</t>
        </is>
      </c>
      <c r="D361" s="115" t="inlineStr">
        <is>
          <t>34 GBL 998</t>
        </is>
      </c>
      <c r="E361" s="115" t="inlineStr">
        <is>
          <t>ALİ KESKİN</t>
        </is>
      </c>
      <c r="F361" s="65" t="n">
        <v>337495</v>
      </c>
      <c r="G361" s="152" t="n"/>
      <c r="H361" s="152" t="n">
        <v>478</v>
      </c>
      <c r="I361" s="156">
        <f>+I360+(G361-H361)</f>
        <v/>
      </c>
      <c r="J361" s="90" t="n">
        <v>49.82</v>
      </c>
      <c r="K361" s="166" t="n"/>
      <c r="L361" s="158">
        <f>+H361*J361</f>
        <v/>
      </c>
      <c r="M361" s="159">
        <f>SUM(M360+K361-L361)</f>
        <v/>
      </c>
    </row>
    <row r="362">
      <c r="A362" s="151" t="n">
        <v>46059</v>
      </c>
      <c r="B362" s="70" t="n">
        <v>356</v>
      </c>
      <c r="C362" s="115" t="inlineStr">
        <is>
          <t>SELİM İNŞAAT</t>
        </is>
      </c>
      <c r="D362" s="115" t="inlineStr">
        <is>
          <t>JENERATÖR</t>
        </is>
      </c>
      <c r="E362" s="115" t="n"/>
      <c r="F362" s="65" t="n"/>
      <c r="G362" s="152" t="n"/>
      <c r="H362" s="152" t="n">
        <v>159</v>
      </c>
      <c r="I362" s="156">
        <f>+I361+(G362-H362)</f>
        <v/>
      </c>
      <c r="J362" s="90" t="n">
        <v>49.82</v>
      </c>
      <c r="K362" s="166" t="n"/>
      <c r="L362" s="158">
        <f>+H362*J362</f>
        <v/>
      </c>
      <c r="M362" s="159">
        <f>SUM(M361+K362-L362)</f>
        <v/>
      </c>
    </row>
    <row r="363">
      <c r="A363" s="151" t="n">
        <v>46059</v>
      </c>
      <c r="B363" s="70" t="n">
        <v>357</v>
      </c>
      <c r="C363" s="115" t="inlineStr">
        <is>
          <t>SELİM İNŞAAT</t>
        </is>
      </c>
      <c r="D363" s="115" t="inlineStr">
        <is>
          <t xml:space="preserve">JCB </t>
        </is>
      </c>
      <c r="E363" s="115" t="inlineStr">
        <is>
          <t>BAYRAM SANCAK</t>
        </is>
      </c>
      <c r="F363" s="65" t="n"/>
      <c r="G363" s="152" t="n"/>
      <c r="H363" s="152" t="n">
        <v>66</v>
      </c>
      <c r="I363" s="156">
        <f>+I362+(G363-H363)</f>
        <v/>
      </c>
      <c r="J363" s="90" t="n">
        <v>49.82</v>
      </c>
      <c r="K363" s="166" t="n"/>
      <c r="L363" s="158">
        <f>+H363*J363</f>
        <v/>
      </c>
      <c r="M363" s="159">
        <f>SUM(M362+K363-L363)</f>
        <v/>
      </c>
    </row>
    <row r="364">
      <c r="A364" s="151" t="n">
        <v>46059</v>
      </c>
      <c r="B364" s="70" t="n">
        <v>3279</v>
      </c>
      <c r="C364" s="115" t="inlineStr">
        <is>
          <t xml:space="preserve">AZGÜN YAPI </t>
        </is>
      </c>
      <c r="D364" s="115" t="inlineStr">
        <is>
          <t xml:space="preserve">34 DTV 263 </t>
        </is>
      </c>
      <c r="E364" s="115" t="inlineStr">
        <is>
          <t>İRFAN DAĞLAR</t>
        </is>
      </c>
      <c r="F364" s="65" t="n"/>
      <c r="G364" s="152" t="n"/>
      <c r="H364" s="152" t="n">
        <v>487</v>
      </c>
      <c r="I364" s="156">
        <f>+I363+(G364-H364)</f>
        <v/>
      </c>
      <c r="J364" s="90" t="n">
        <v>49.82</v>
      </c>
      <c r="K364" s="166" t="n"/>
      <c r="L364" s="158">
        <f>+H364*J364</f>
        <v/>
      </c>
      <c r="M364" s="159">
        <f>SUM(M363+K364-L364)</f>
        <v/>
      </c>
    </row>
    <row r="365">
      <c r="A365" s="151" t="n">
        <v>46060</v>
      </c>
      <c r="B365" s="70" t="n">
        <v>256</v>
      </c>
      <c r="C365" s="115" t="inlineStr">
        <is>
          <t>SELİM İNŞAAT</t>
        </is>
      </c>
      <c r="D365" s="115" t="inlineStr">
        <is>
          <t>34 DHC 393</t>
        </is>
      </c>
      <c r="E365" s="115" t="inlineStr">
        <is>
          <t>ATA KIZMAZ</t>
        </is>
      </c>
      <c r="F365" s="65" t="n">
        <v>460637</v>
      </c>
      <c r="G365" s="152" t="n"/>
      <c r="H365" s="152" t="n">
        <v>480</v>
      </c>
      <c r="I365" s="156">
        <f>+I364+(G365-H365)</f>
        <v/>
      </c>
      <c r="J365" s="90" t="n">
        <v>49.82</v>
      </c>
      <c r="K365" s="166" t="n"/>
      <c r="L365" s="158">
        <f>+H365*J365</f>
        <v/>
      </c>
      <c r="M365" s="159">
        <f>SUM(M364+K365-L365)</f>
        <v/>
      </c>
    </row>
    <row r="366">
      <c r="A366" s="151" t="n">
        <v>46060</v>
      </c>
      <c r="B366" s="70" t="n">
        <v>3866</v>
      </c>
      <c r="C366" s="115" t="inlineStr">
        <is>
          <t>SELİM İNŞAAT</t>
        </is>
      </c>
      <c r="D366" s="115" t="inlineStr">
        <is>
          <t>34 DRU 690</t>
        </is>
      </c>
      <c r="E366" s="115" t="inlineStr">
        <is>
          <t>DURSUN ALİ GÜREK</t>
        </is>
      </c>
      <c r="F366" s="65" t="n">
        <v>459907</v>
      </c>
      <c r="G366" s="152" t="n"/>
      <c r="H366" s="152" t="n">
        <v>508</v>
      </c>
      <c r="I366" s="156">
        <f>+I365+(G366-H366)</f>
        <v/>
      </c>
      <c r="J366" s="90" t="n">
        <v>49.82</v>
      </c>
      <c r="K366" s="166" t="n"/>
      <c r="L366" s="158">
        <f>+H366*J366</f>
        <v/>
      </c>
      <c r="M366" s="159">
        <f>SUM(M365+K366-L366)</f>
        <v/>
      </c>
    </row>
    <row r="367">
      <c r="A367" s="151" t="n">
        <v>46060</v>
      </c>
      <c r="B367" s="70" t="n">
        <v>3326</v>
      </c>
      <c r="C367" s="115" t="inlineStr">
        <is>
          <t>SELİM İNŞAAT</t>
        </is>
      </c>
      <c r="D367" s="115" t="inlineStr">
        <is>
          <t>34 GUS 938</t>
        </is>
      </c>
      <c r="E367" s="115" t="inlineStr">
        <is>
          <t>MEHMET KAYA</t>
        </is>
      </c>
      <c r="F367" s="65" t="n">
        <v>243453</v>
      </c>
      <c r="G367" s="152" t="n"/>
      <c r="H367" s="152" t="n">
        <v>213</v>
      </c>
      <c r="I367" s="156">
        <f>+I366+(G367-H367)</f>
        <v/>
      </c>
      <c r="J367" s="90" t="n">
        <v>49.82</v>
      </c>
      <c r="K367" s="166" t="n"/>
      <c r="L367" s="158">
        <f>+H367*J367</f>
        <v/>
      </c>
      <c r="M367" s="159">
        <f>SUM(M366+K367-L367)</f>
        <v/>
      </c>
    </row>
    <row r="368">
      <c r="A368" s="151" t="n">
        <v>46060</v>
      </c>
      <c r="B368" s="70" t="n">
        <v>5</v>
      </c>
      <c r="C368" s="115" t="inlineStr">
        <is>
          <t>SELİM İNŞAAT</t>
        </is>
      </c>
      <c r="D368" s="115" t="inlineStr">
        <is>
          <t xml:space="preserve">34 GVZ 268 </t>
        </is>
      </c>
      <c r="E368" s="115" t="inlineStr">
        <is>
          <t>KERİM KARAMAN</t>
        </is>
      </c>
      <c r="F368" s="65" t="n">
        <v>247160</v>
      </c>
      <c r="G368" s="152" t="n"/>
      <c r="H368" s="152" t="n">
        <v>383</v>
      </c>
      <c r="I368" s="156">
        <f>+I367+(G368-H368)</f>
        <v/>
      </c>
      <c r="J368" s="90" t="n">
        <v>49.82</v>
      </c>
      <c r="K368" s="166" t="n"/>
      <c r="L368" s="158">
        <f>+H368*J368</f>
        <v/>
      </c>
      <c r="M368" s="159">
        <f>SUM(M367+K368-L368)</f>
        <v/>
      </c>
    </row>
    <row r="369">
      <c r="A369" s="151" t="n">
        <v>46060</v>
      </c>
      <c r="B369" s="70" t="n">
        <v>2294</v>
      </c>
      <c r="C369" s="115" t="inlineStr">
        <is>
          <t>SELİM İNŞAAT</t>
        </is>
      </c>
      <c r="D369" s="115" t="inlineStr">
        <is>
          <t>34 DSN 636</t>
        </is>
      </c>
      <c r="E369" s="115" t="inlineStr">
        <is>
          <t>MAHSUN GÜVEN</t>
        </is>
      </c>
      <c r="F369" s="65" t="n">
        <v>430221</v>
      </c>
      <c r="G369" s="152" t="n"/>
      <c r="H369" s="152" t="n">
        <v>457</v>
      </c>
      <c r="I369" s="156">
        <f>+I368+(G369-H369)</f>
        <v/>
      </c>
      <c r="J369" s="90" t="n">
        <v>49.82</v>
      </c>
      <c r="K369" s="166" t="n"/>
      <c r="L369" s="158">
        <f>+H369*J369</f>
        <v/>
      </c>
      <c r="M369" s="159">
        <f>SUM(M368+K369-L369)</f>
        <v/>
      </c>
    </row>
    <row r="370">
      <c r="A370" s="151" t="n">
        <v>46060</v>
      </c>
      <c r="B370" s="70" t="n">
        <v>3039</v>
      </c>
      <c r="C370" s="115" t="inlineStr">
        <is>
          <t>SELİM İNŞAAT</t>
        </is>
      </c>
      <c r="D370" s="115" t="inlineStr">
        <is>
          <t>34 FBR 781</t>
        </is>
      </c>
      <c r="E370" s="115" t="inlineStr">
        <is>
          <t>MEVLÜT POLAT</t>
        </is>
      </c>
      <c r="F370" s="65" t="n">
        <v>358722</v>
      </c>
      <c r="G370" s="152" t="n"/>
      <c r="H370" s="152" t="n">
        <v>460</v>
      </c>
      <c r="I370" s="156">
        <f>+I369+(G370-H370)</f>
        <v/>
      </c>
      <c r="J370" s="90" t="n">
        <v>49.82</v>
      </c>
      <c r="K370" s="166" t="n"/>
      <c r="L370" s="158">
        <f>+H370*J370</f>
        <v/>
      </c>
      <c r="M370" s="159">
        <f>SUM(M369+K370-L370)</f>
        <v/>
      </c>
    </row>
    <row r="371">
      <c r="A371" s="151" t="n">
        <v>46060</v>
      </c>
      <c r="B371" s="70" t="n">
        <v>4815</v>
      </c>
      <c r="C371" s="115" t="inlineStr">
        <is>
          <t>SELİM İNŞAAT</t>
        </is>
      </c>
      <c r="D371" s="115" t="inlineStr">
        <is>
          <t>34 EDB 559</t>
        </is>
      </c>
      <c r="E371" s="115" t="inlineStr">
        <is>
          <t>AZİZ ORUÇ</t>
        </is>
      </c>
      <c r="F371" s="65" t="n">
        <v>361035</v>
      </c>
      <c r="G371" s="152" t="n"/>
      <c r="H371" s="152" t="n">
        <v>431</v>
      </c>
      <c r="I371" s="156">
        <f>+I370+(G371-H371)</f>
        <v/>
      </c>
      <c r="J371" s="90" t="n">
        <v>49.82</v>
      </c>
      <c r="K371" s="166" t="n"/>
      <c r="L371" s="158">
        <f>+H371*J371</f>
        <v/>
      </c>
      <c r="M371" s="159">
        <f>SUM(M370+K371-L371)</f>
        <v/>
      </c>
    </row>
    <row r="372">
      <c r="A372" s="151" t="n">
        <v>46060</v>
      </c>
      <c r="B372" s="70" t="n">
        <v>4507</v>
      </c>
      <c r="C372" s="115" t="inlineStr">
        <is>
          <t>SELİM İNŞAAT</t>
        </is>
      </c>
      <c r="D372" s="115" t="inlineStr">
        <is>
          <t>34 DTB 352</t>
        </is>
      </c>
      <c r="E372" s="115" t="inlineStr">
        <is>
          <t>ENGİN DENİZ</t>
        </is>
      </c>
      <c r="F372" s="65" t="n">
        <v>472475</v>
      </c>
      <c r="G372" s="152" t="n"/>
      <c r="H372" s="152" t="n">
        <v>437</v>
      </c>
      <c r="I372" s="156">
        <f>+I371+(G372-H372)</f>
        <v/>
      </c>
      <c r="J372" s="90" t="n">
        <v>49.82</v>
      </c>
      <c r="K372" s="166" t="n"/>
      <c r="L372" s="158">
        <f>+H372*J372</f>
        <v/>
      </c>
      <c r="M372" s="159">
        <f>SUM(M371+K372-L372)</f>
        <v/>
      </c>
    </row>
    <row r="373">
      <c r="A373" s="151" t="n">
        <v>46060</v>
      </c>
      <c r="B373" s="70" t="n">
        <v>3482</v>
      </c>
      <c r="C373" s="115" t="inlineStr">
        <is>
          <t>SELİM İNŞAAT</t>
        </is>
      </c>
      <c r="D373" s="115" t="inlineStr">
        <is>
          <t>34 EDB 754</t>
        </is>
      </c>
      <c r="E373" s="115" t="inlineStr">
        <is>
          <t>MUSTAFA KAYA</t>
        </is>
      </c>
      <c r="F373" s="65" t="n">
        <v>368319</v>
      </c>
      <c r="G373" s="152" t="n"/>
      <c r="H373" s="152" t="n">
        <v>421</v>
      </c>
      <c r="I373" s="156">
        <f>+I372+(G373-H373)</f>
        <v/>
      </c>
      <c r="J373" s="90" t="n">
        <v>49.82</v>
      </c>
      <c r="K373" s="166" t="n"/>
      <c r="L373" s="158">
        <f>+H373*J373</f>
        <v/>
      </c>
      <c r="M373" s="159">
        <f>SUM(M372+K373-L373)</f>
        <v/>
      </c>
    </row>
    <row r="374">
      <c r="A374" s="151" t="n">
        <v>46060</v>
      </c>
      <c r="B374" s="70" t="n">
        <v>2588</v>
      </c>
      <c r="C374" s="115" t="inlineStr">
        <is>
          <t>SELİM İNŞAAT</t>
        </is>
      </c>
      <c r="D374" s="115" t="inlineStr">
        <is>
          <t>34 GER 028</t>
        </is>
      </c>
      <c r="E374" s="115" t="inlineStr">
        <is>
          <t>ABDULKERİM ERGEN</t>
        </is>
      </c>
      <c r="F374" s="65" t="n">
        <v>59488</v>
      </c>
      <c r="G374" s="152" t="n"/>
      <c r="H374" s="152" t="n">
        <v>278</v>
      </c>
      <c r="I374" s="156">
        <f>+I373+(G374-H374)</f>
        <v/>
      </c>
      <c r="J374" s="90" t="n">
        <v>49.82</v>
      </c>
      <c r="K374" s="166" t="n"/>
      <c r="L374" s="158">
        <f>+H374*J374</f>
        <v/>
      </c>
      <c r="M374" s="159">
        <f>SUM(M373+K374-L374)</f>
        <v/>
      </c>
    </row>
    <row r="375">
      <c r="A375" s="151" t="n">
        <v>46060</v>
      </c>
      <c r="B375" s="70" t="n">
        <v>4592</v>
      </c>
      <c r="C375" s="115" t="inlineStr">
        <is>
          <t>AHMET SELİM TEMHA</t>
        </is>
      </c>
      <c r="D375" s="115" t="inlineStr">
        <is>
          <t>34 PGT 251</t>
        </is>
      </c>
      <c r="E375" s="115" t="inlineStr">
        <is>
          <t>ERSOY SIĞINMAZ</t>
        </is>
      </c>
      <c r="F375" s="65" t="n"/>
      <c r="G375" s="152" t="n"/>
      <c r="H375" s="152" t="n">
        <v>30</v>
      </c>
      <c r="I375" s="156">
        <f>+I374+(G375-H375)</f>
        <v/>
      </c>
      <c r="J375" s="90" t="n">
        <v>49.82</v>
      </c>
      <c r="K375" s="166" t="n"/>
      <c r="L375" s="158">
        <f>+H375*J375</f>
        <v/>
      </c>
      <c r="M375" s="159">
        <f>SUM(M374+K375-L375)</f>
        <v/>
      </c>
    </row>
    <row r="376">
      <c r="A376" s="151" t="n">
        <v>46060</v>
      </c>
      <c r="B376" s="70" t="n">
        <v>601</v>
      </c>
      <c r="C376" s="115" t="inlineStr">
        <is>
          <t>SELİM İNŞAAT</t>
        </is>
      </c>
      <c r="D376" s="115" t="inlineStr">
        <is>
          <t>34 FVU 827</t>
        </is>
      </c>
      <c r="E376" s="115" t="inlineStr">
        <is>
          <t>YILMAZ ÇELEBİ</t>
        </is>
      </c>
      <c r="F376" s="65" t="n"/>
      <c r="G376" s="152" t="n"/>
      <c r="H376" s="152" t="n">
        <v>38</v>
      </c>
      <c r="I376" s="156">
        <f>+I375+(G376-H376)</f>
        <v/>
      </c>
      <c r="J376" s="90" t="n">
        <v>49.82</v>
      </c>
      <c r="K376" s="166" t="n"/>
      <c r="L376" s="158">
        <f>+H376*J376</f>
        <v/>
      </c>
      <c r="M376" s="159">
        <f>SUM(M375+K376-L376)</f>
        <v/>
      </c>
    </row>
    <row r="377">
      <c r="A377" s="151" t="n">
        <v>46060</v>
      </c>
      <c r="B377" s="70" t="n">
        <v>358</v>
      </c>
      <c r="C377" s="115" t="inlineStr">
        <is>
          <t>SELİM İNŞAAT</t>
        </is>
      </c>
      <c r="D377" s="115" t="inlineStr">
        <is>
          <t>MANITO</t>
        </is>
      </c>
      <c r="E377" s="115" t="inlineStr">
        <is>
          <t>MUHAMMED</t>
        </is>
      </c>
      <c r="F377" s="65" t="n"/>
      <c r="G377" s="152" t="n"/>
      <c r="H377" s="152" t="n">
        <v>166</v>
      </c>
      <c r="I377" s="156">
        <f>+I376+(G377-H377)</f>
        <v/>
      </c>
      <c r="J377" s="90" t="n">
        <v>49.82</v>
      </c>
      <c r="K377" s="166" t="n"/>
      <c r="L377" s="158">
        <f>+H377*J377</f>
        <v/>
      </c>
      <c r="M377" s="159">
        <f>SUM(M376+K377-L377)</f>
        <v/>
      </c>
    </row>
    <row r="378">
      <c r="A378" s="151" t="n">
        <v>46060</v>
      </c>
      <c r="B378" s="70" t="n">
        <v>359</v>
      </c>
      <c r="C378" s="115" t="inlineStr">
        <is>
          <t>SELİM İNŞAAT</t>
        </is>
      </c>
      <c r="D378" s="115" t="inlineStr">
        <is>
          <t>KAWAZAKI</t>
        </is>
      </c>
      <c r="E378" s="115" t="inlineStr">
        <is>
          <t>RAMAZAN</t>
        </is>
      </c>
      <c r="F378" s="65" t="n"/>
      <c r="G378" s="152" t="n"/>
      <c r="H378" s="152" t="n">
        <v>164</v>
      </c>
      <c r="I378" s="156">
        <f>+I377+(G378-H378)</f>
        <v/>
      </c>
      <c r="J378" s="90" t="n">
        <v>49.82</v>
      </c>
      <c r="K378" s="166" t="n"/>
      <c r="L378" s="158">
        <f>+H378*J378</f>
        <v/>
      </c>
      <c r="M378" s="159">
        <f>SUM(M377+K378-L378)</f>
        <v/>
      </c>
    </row>
    <row r="379">
      <c r="A379" s="151" t="n">
        <v>46060</v>
      </c>
      <c r="B379" s="70" t="n">
        <v>360</v>
      </c>
      <c r="C379" s="115" t="inlineStr">
        <is>
          <t>HASALTUN</t>
        </is>
      </c>
      <c r="D379" s="115" t="inlineStr">
        <is>
          <t>KAWAZAKI</t>
        </is>
      </c>
      <c r="E379" s="115" t="inlineStr">
        <is>
          <t>RAMAZAN</t>
        </is>
      </c>
      <c r="F379" s="65" t="n"/>
      <c r="G379" s="152" t="n"/>
      <c r="H379" s="152" t="n">
        <v>338</v>
      </c>
      <c r="I379" s="156">
        <f>+I378+(G379-H379)</f>
        <v/>
      </c>
      <c r="J379" s="90" t="n">
        <v>49.82</v>
      </c>
      <c r="K379" s="166" t="n"/>
      <c r="L379" s="158">
        <f>+H379*J379</f>
        <v/>
      </c>
      <c r="M379" s="159">
        <f>SUM(M378+K379-L379)</f>
        <v/>
      </c>
    </row>
    <row r="380">
      <c r="A380" s="151" t="n">
        <v>46060</v>
      </c>
      <c r="B380" s="70" t="n">
        <v>361</v>
      </c>
      <c r="C380" s="115" t="inlineStr">
        <is>
          <t>HASALTUN</t>
        </is>
      </c>
      <c r="D380" s="115" t="inlineStr">
        <is>
          <t>HITACHI</t>
        </is>
      </c>
      <c r="E380" s="115" t="inlineStr">
        <is>
          <t>TURGUT</t>
        </is>
      </c>
      <c r="F380" s="65" t="n"/>
      <c r="G380" s="152" t="n"/>
      <c r="H380" s="152" t="n">
        <v>414</v>
      </c>
      <c r="I380" s="156">
        <f>+I379+(G380-H380)</f>
        <v/>
      </c>
      <c r="J380" s="90" t="n">
        <v>49.82</v>
      </c>
      <c r="K380" s="166" t="n"/>
      <c r="L380" s="158">
        <f>+H380*J380</f>
        <v/>
      </c>
      <c r="M380" s="159">
        <f>SUM(M379+K380-L380)</f>
        <v/>
      </c>
    </row>
    <row r="381">
      <c r="A381" s="151" t="n">
        <v>46060</v>
      </c>
      <c r="B381" s="70" t="n">
        <v>362</v>
      </c>
      <c r="C381" s="115" t="inlineStr">
        <is>
          <t>MEGA VARLIK</t>
        </is>
      </c>
      <c r="D381" s="115" t="inlineStr">
        <is>
          <t xml:space="preserve">SM350 </t>
        </is>
      </c>
      <c r="E381" s="115" t="inlineStr">
        <is>
          <t>TEVFİK ÖZTÜRK</t>
        </is>
      </c>
      <c r="F381" s="65" t="n"/>
      <c r="G381" s="152" t="n"/>
      <c r="H381" s="152" t="n">
        <v>374</v>
      </c>
      <c r="I381" s="156">
        <f>+I380+(G381-H381)</f>
        <v/>
      </c>
      <c r="J381" s="90" t="n">
        <v>49.82</v>
      </c>
      <c r="K381" s="166" t="n"/>
      <c r="L381" s="158">
        <f>+H381*J381</f>
        <v/>
      </c>
      <c r="M381" s="159">
        <f>SUM(M380+K381-L381)</f>
        <v/>
      </c>
    </row>
    <row r="382">
      <c r="A382" s="151" t="n">
        <v>46060</v>
      </c>
      <c r="B382" s="70" t="n">
        <v>2533</v>
      </c>
      <c r="C382" s="115" t="inlineStr">
        <is>
          <t xml:space="preserve">AZGÜN YAPI </t>
        </is>
      </c>
      <c r="D382" s="115" t="inlineStr">
        <is>
          <t>34 MKT 593</t>
        </is>
      </c>
      <c r="E382" s="115" t="inlineStr">
        <is>
          <t>TURGUT ÇATAL</t>
        </is>
      </c>
      <c r="F382" s="65" t="n"/>
      <c r="G382" s="152" t="n"/>
      <c r="H382" s="152" t="n">
        <v>380</v>
      </c>
      <c r="I382" s="156">
        <f>+I381+(G382-H382)</f>
        <v/>
      </c>
      <c r="J382" s="90" t="n">
        <v>49.82</v>
      </c>
      <c r="K382" s="166" t="n"/>
      <c r="L382" s="158">
        <f>+H382*J382</f>
        <v/>
      </c>
      <c r="M382" s="159">
        <f>SUM(M381+K382-L382)</f>
        <v/>
      </c>
    </row>
    <row r="383">
      <c r="A383" s="151" t="n">
        <v>46060</v>
      </c>
      <c r="B383" s="70" t="n">
        <v>1383</v>
      </c>
      <c r="C383" s="115" t="inlineStr">
        <is>
          <t xml:space="preserve">AZGÜN YAPI </t>
        </is>
      </c>
      <c r="D383" s="115" t="inlineStr">
        <is>
          <t>34 MKT 859</t>
        </is>
      </c>
      <c r="E383" s="115" t="inlineStr">
        <is>
          <t>ONUR CANLI</t>
        </is>
      </c>
      <c r="F383" s="65" t="n"/>
      <c r="G383" s="152" t="n"/>
      <c r="H383" s="152" t="n">
        <v>338</v>
      </c>
      <c r="I383" s="156">
        <f>+I382+(G383-H383)</f>
        <v/>
      </c>
      <c r="J383" s="90" t="n">
        <v>49.82</v>
      </c>
      <c r="K383" s="166" t="n"/>
      <c r="L383" s="158">
        <f>+H383*J383</f>
        <v/>
      </c>
      <c r="M383" s="159">
        <f>SUM(M382+K383-L383)</f>
        <v/>
      </c>
    </row>
    <row r="384">
      <c r="A384" s="151" t="n">
        <v>46062</v>
      </c>
      <c r="B384" s="70" t="n">
        <v>1689</v>
      </c>
      <c r="C384" s="115" t="inlineStr">
        <is>
          <t>SELİM İNŞAAT</t>
        </is>
      </c>
      <c r="D384" s="115" t="inlineStr">
        <is>
          <t>34 DHH 570</t>
        </is>
      </c>
      <c r="E384" s="115" t="inlineStr">
        <is>
          <t>YASİN ÇATAKLI</t>
        </is>
      </c>
      <c r="F384" s="65" t="n">
        <v>472353</v>
      </c>
      <c r="G384" s="152" t="n"/>
      <c r="H384" s="152" t="n">
        <v>410</v>
      </c>
      <c r="I384" s="156">
        <f>+I383+(G384-H384)</f>
        <v/>
      </c>
      <c r="J384" s="90" t="n">
        <v>49.82</v>
      </c>
      <c r="K384" s="166" t="n"/>
      <c r="L384" s="158">
        <f>+H384*J384</f>
        <v/>
      </c>
      <c r="M384" s="159">
        <f>SUM(M383+K384-L384)</f>
        <v/>
      </c>
    </row>
    <row r="385">
      <c r="A385" s="151" t="n">
        <v>46062</v>
      </c>
      <c r="B385" s="70" t="n">
        <v>4111</v>
      </c>
      <c r="C385" s="115" t="inlineStr">
        <is>
          <t>SELİM İNŞAAT</t>
        </is>
      </c>
      <c r="D385" s="115" t="inlineStr">
        <is>
          <t>34 EDB 659</t>
        </is>
      </c>
      <c r="E385" s="115" t="inlineStr">
        <is>
          <t>MEHMET SAİT ANIK</t>
        </is>
      </c>
      <c r="F385" s="65" t="n">
        <v>386257</v>
      </c>
      <c r="G385" s="152" t="n"/>
      <c r="H385" s="152" t="n">
        <v>431</v>
      </c>
      <c r="I385" s="156">
        <f>+I384+(G385-H385)</f>
        <v/>
      </c>
      <c r="J385" s="90" t="n">
        <v>49.82</v>
      </c>
      <c r="K385" s="166" t="n"/>
      <c r="L385" s="158">
        <f>+H385*J385</f>
        <v/>
      </c>
      <c r="M385" s="159">
        <f>SUM(M384+K385-L385)</f>
        <v/>
      </c>
    </row>
    <row r="386">
      <c r="A386" s="151" t="n">
        <v>46062</v>
      </c>
      <c r="B386" s="70" t="n">
        <v>3827</v>
      </c>
      <c r="C386" s="115" t="inlineStr">
        <is>
          <t>SELİM İNŞAAT</t>
        </is>
      </c>
      <c r="D386" s="115" t="inlineStr">
        <is>
          <t>34 GYZ 635</t>
        </is>
      </c>
      <c r="E386" s="115" t="inlineStr">
        <is>
          <t>ADEM DENİZ</t>
        </is>
      </c>
      <c r="F386" s="65" t="n">
        <v>223627</v>
      </c>
      <c r="G386" s="152" t="n"/>
      <c r="H386" s="152" t="n">
        <v>433</v>
      </c>
      <c r="I386" s="156">
        <f>+I385+(G386-H386)</f>
        <v/>
      </c>
      <c r="J386" s="90" t="n">
        <v>49.82</v>
      </c>
      <c r="K386" s="166" t="n"/>
      <c r="L386" s="158">
        <f>+H386*J386</f>
        <v/>
      </c>
      <c r="M386" s="159">
        <f>SUM(M385+K386-L386)</f>
        <v/>
      </c>
    </row>
    <row r="387">
      <c r="A387" s="151" t="n">
        <v>46062</v>
      </c>
      <c r="B387" s="70" t="n">
        <v>6</v>
      </c>
      <c r="C387" s="115" t="inlineStr">
        <is>
          <t>SELİM İNŞAAT</t>
        </is>
      </c>
      <c r="D387" s="115" t="inlineStr">
        <is>
          <t xml:space="preserve">34 GVZ 268 </t>
        </is>
      </c>
      <c r="E387" s="115" t="inlineStr">
        <is>
          <t>KERİM KARAMAN</t>
        </is>
      </c>
      <c r="F387" s="65" t="n">
        <v>247731</v>
      </c>
      <c r="G387" s="152" t="n"/>
      <c r="H387" s="152" t="n">
        <v>393</v>
      </c>
      <c r="I387" s="156">
        <f>+I386+(G387-H387)</f>
        <v/>
      </c>
      <c r="J387" s="90" t="n">
        <v>49.82</v>
      </c>
      <c r="K387" s="166" t="n"/>
      <c r="L387" s="158">
        <f>+H387*J387</f>
        <v/>
      </c>
      <c r="M387" s="159">
        <f>SUM(M386+K387-L387)</f>
        <v/>
      </c>
    </row>
    <row r="388">
      <c r="A388" s="151" t="n">
        <v>46062</v>
      </c>
      <c r="B388" s="70" t="n">
        <v>509</v>
      </c>
      <c r="C388" s="115" t="inlineStr">
        <is>
          <t>SELİM İNŞAAT</t>
        </is>
      </c>
      <c r="D388" s="115" t="inlineStr">
        <is>
          <t>34 EGR 737</t>
        </is>
      </c>
      <c r="E388" s="115" t="inlineStr">
        <is>
          <t>CEM MUHTAR</t>
        </is>
      </c>
      <c r="F388" s="65" t="n">
        <v>457798</v>
      </c>
      <c r="G388" s="152" t="n"/>
      <c r="H388" s="152" t="n">
        <v>316</v>
      </c>
      <c r="I388" s="156">
        <f>+I387+(G388-H388)</f>
        <v/>
      </c>
      <c r="J388" s="90" t="n">
        <v>49.82</v>
      </c>
      <c r="K388" s="166" t="n"/>
      <c r="L388" s="158">
        <f>+H388*J388</f>
        <v/>
      </c>
      <c r="M388" s="159">
        <f>SUM(M387+K388-L388)</f>
        <v/>
      </c>
    </row>
    <row r="389">
      <c r="A389" s="151" t="n">
        <v>46062</v>
      </c>
      <c r="B389" s="70" t="n">
        <v>144</v>
      </c>
      <c r="C389" s="115" t="inlineStr">
        <is>
          <t>SELİM İNŞAAT</t>
        </is>
      </c>
      <c r="D389" s="115" t="inlineStr">
        <is>
          <t>34 FBR 771</t>
        </is>
      </c>
      <c r="E389" s="115" t="inlineStr">
        <is>
          <t>SALİH YALÇIN</t>
        </is>
      </c>
      <c r="F389" s="65" t="n">
        <v>346334</v>
      </c>
      <c r="G389" s="152" t="n"/>
      <c r="H389" s="152" t="n">
        <v>366</v>
      </c>
      <c r="I389" s="156">
        <f>+I388+(G389-H389)</f>
        <v/>
      </c>
      <c r="J389" s="90" t="n">
        <v>49.82</v>
      </c>
      <c r="K389" s="166" t="n"/>
      <c r="L389" s="158">
        <f>+H389*J389</f>
        <v/>
      </c>
      <c r="M389" s="159">
        <f>SUM(M388+K389-L389)</f>
        <v/>
      </c>
    </row>
    <row r="390">
      <c r="A390" s="151" t="n">
        <v>46062</v>
      </c>
      <c r="B390" s="70" t="n">
        <v>3040</v>
      </c>
      <c r="C390" s="115" t="inlineStr">
        <is>
          <t>SELİM İNŞAAT</t>
        </is>
      </c>
      <c r="D390" s="115" t="inlineStr">
        <is>
          <t>34 FBR 781</t>
        </is>
      </c>
      <c r="E390" s="115" t="inlineStr">
        <is>
          <t>MEVLÜT POLAT</t>
        </is>
      </c>
      <c r="F390" s="65" t="n">
        <v>359241</v>
      </c>
      <c r="G390" s="152" t="n"/>
      <c r="H390" s="152" t="n">
        <v>301</v>
      </c>
      <c r="I390" s="156">
        <f>+I389+(G390-H390)</f>
        <v/>
      </c>
      <c r="J390" s="90" t="n">
        <v>49.82</v>
      </c>
      <c r="K390" s="166" t="n"/>
      <c r="L390" s="158">
        <f>+H390*J390</f>
        <v/>
      </c>
      <c r="M390" s="159">
        <f>SUM(M389+K390-L390)</f>
        <v/>
      </c>
    </row>
    <row r="391">
      <c r="A391" s="151" t="n">
        <v>46062</v>
      </c>
      <c r="B391" s="70" t="n">
        <v>4920</v>
      </c>
      <c r="C391" s="115" t="inlineStr">
        <is>
          <t>SELİM İNŞAAT</t>
        </is>
      </c>
      <c r="D391" s="115" t="inlineStr">
        <is>
          <t>34 FBR 742</t>
        </is>
      </c>
      <c r="E391" s="115" t="inlineStr">
        <is>
          <t>ADNAN KOÇ</t>
        </is>
      </c>
      <c r="F391" s="65" t="n">
        <v>362888</v>
      </c>
      <c r="G391" s="152" t="n"/>
      <c r="H391" s="152" t="n">
        <v>366</v>
      </c>
      <c r="I391" s="156">
        <f>+I390+(G391-H391)</f>
        <v/>
      </c>
      <c r="J391" s="90" t="n">
        <v>49.82</v>
      </c>
      <c r="K391" s="166" t="n"/>
      <c r="L391" s="158">
        <f>+H391*J391</f>
        <v/>
      </c>
      <c r="M391" s="159">
        <f>SUM(M390+K391-L391)</f>
        <v/>
      </c>
    </row>
    <row r="392">
      <c r="A392" s="151" t="n">
        <v>46062</v>
      </c>
      <c r="B392" s="70" t="n">
        <v>2731</v>
      </c>
      <c r="C392" s="115" t="inlineStr">
        <is>
          <t>SELİM İNŞAAT</t>
        </is>
      </c>
      <c r="D392" s="115" t="inlineStr">
        <is>
          <t>34 EDC 086</t>
        </is>
      </c>
      <c r="E392" s="115" t="inlineStr">
        <is>
          <t>SEZGİN KOCAGİL</t>
        </is>
      </c>
      <c r="F392" s="65" t="n">
        <v>373340</v>
      </c>
      <c r="G392" s="152" t="n"/>
      <c r="H392" s="152" t="n">
        <v>473</v>
      </c>
      <c r="I392" s="156">
        <f>+I391+(G392-H392)</f>
        <v/>
      </c>
      <c r="J392" s="90" t="n">
        <v>49.82</v>
      </c>
      <c r="K392" s="166" t="n"/>
      <c r="L392" s="158">
        <f>+H392*J392</f>
        <v/>
      </c>
      <c r="M392" s="159">
        <f>SUM(M391+K392-L392)</f>
        <v/>
      </c>
    </row>
    <row r="393">
      <c r="A393" s="151" t="n">
        <v>46062</v>
      </c>
      <c r="B393" s="70" t="n">
        <v>1542</v>
      </c>
      <c r="C393" s="115" t="inlineStr">
        <is>
          <t>SELİM İNŞAAT</t>
        </is>
      </c>
      <c r="D393" s="115" t="inlineStr">
        <is>
          <t>34 GUS 848</t>
        </is>
      </c>
      <c r="E393" s="115" t="inlineStr">
        <is>
          <t>SERDAR BOZKURT</t>
        </is>
      </c>
      <c r="F393" s="65" t="n">
        <v>228832</v>
      </c>
      <c r="G393" s="152" t="n"/>
      <c r="H393" s="152" t="n">
        <v>459</v>
      </c>
      <c r="I393" s="156">
        <f>+I392+(G393-H393)</f>
        <v/>
      </c>
      <c r="J393" s="90" t="n">
        <v>49.82</v>
      </c>
      <c r="K393" s="166" t="n"/>
      <c r="L393" s="158">
        <f>+H393*J393</f>
        <v/>
      </c>
      <c r="M393" s="159">
        <f>SUM(M392+K393-L393)</f>
        <v/>
      </c>
    </row>
    <row r="394">
      <c r="A394" s="151" t="n">
        <v>46062</v>
      </c>
      <c r="B394" s="70" t="n">
        <v>3422</v>
      </c>
      <c r="C394" s="115" t="inlineStr">
        <is>
          <t>SELİM İNŞAAT</t>
        </is>
      </c>
      <c r="D394" s="115" t="inlineStr">
        <is>
          <t>34 GVZ 310</t>
        </is>
      </c>
      <c r="E394" s="115" t="inlineStr">
        <is>
          <t>CELAL YÜZBAŞI</t>
        </is>
      </c>
      <c r="F394" s="65" t="n">
        <v>243626</v>
      </c>
      <c r="G394" s="152" t="n"/>
      <c r="H394" s="152" t="n">
        <v>432</v>
      </c>
      <c r="I394" s="156">
        <f>+I393+(G394-H394)</f>
        <v/>
      </c>
      <c r="J394" s="90" t="n">
        <v>49.82</v>
      </c>
      <c r="K394" s="166" t="n"/>
      <c r="L394" s="158">
        <f>+H394*J394</f>
        <v/>
      </c>
      <c r="M394" s="159">
        <f>SUM(M393+K394-L394)</f>
        <v/>
      </c>
    </row>
    <row r="395">
      <c r="A395" s="151" t="n">
        <v>46062</v>
      </c>
      <c r="B395" s="70" t="n">
        <v>3483</v>
      </c>
      <c r="C395" s="115" t="inlineStr">
        <is>
          <t>SELİM İNŞAAT</t>
        </is>
      </c>
      <c r="D395" s="115" t="inlineStr">
        <is>
          <t>34 EDB 754</t>
        </is>
      </c>
      <c r="E395" s="115" t="inlineStr">
        <is>
          <t>MUSTAFA KAYA</t>
        </is>
      </c>
      <c r="F395" s="65" t="n">
        <v>368914</v>
      </c>
      <c r="G395" s="152" t="n"/>
      <c r="H395" s="152" t="n">
        <v>367</v>
      </c>
      <c r="I395" s="156">
        <f>+I394+(G395-H395)</f>
        <v/>
      </c>
      <c r="J395" s="90" t="n">
        <v>49.82</v>
      </c>
      <c r="K395" s="166" t="n"/>
      <c r="L395" s="158">
        <f>+H395*J395</f>
        <v/>
      </c>
      <c r="M395" s="159">
        <f>SUM(M394+K395-L395)</f>
        <v/>
      </c>
    </row>
    <row r="396">
      <c r="A396" s="151" t="n">
        <v>46062</v>
      </c>
      <c r="B396" s="70" t="n">
        <v>244</v>
      </c>
      <c r="C396" s="115" t="inlineStr">
        <is>
          <t>SELİM İNŞAAT</t>
        </is>
      </c>
      <c r="D396" s="115" t="inlineStr">
        <is>
          <t>34 JGR 15</t>
        </is>
      </c>
      <c r="E396" s="115" t="inlineStr">
        <is>
          <t>SERDAR BOZKURT</t>
        </is>
      </c>
      <c r="F396" s="65" t="n">
        <v>329216</v>
      </c>
      <c r="G396" s="152" t="n"/>
      <c r="H396" s="152" t="n">
        <v>58</v>
      </c>
      <c r="I396" s="156">
        <f>+I395+(G396-H396)</f>
        <v/>
      </c>
      <c r="J396" s="90" t="n">
        <v>49.82</v>
      </c>
      <c r="K396" s="166" t="n"/>
      <c r="L396" s="158">
        <f>+H396*J396</f>
        <v/>
      </c>
      <c r="M396" s="159">
        <f>SUM(M395+K396-L396)</f>
        <v/>
      </c>
    </row>
    <row r="397">
      <c r="A397" s="151" t="n">
        <v>46062</v>
      </c>
      <c r="B397" s="70" t="n">
        <v>704</v>
      </c>
      <c r="C397" s="115" t="inlineStr">
        <is>
          <t>METİN ERYİĞİT</t>
        </is>
      </c>
      <c r="D397" s="115" t="inlineStr">
        <is>
          <t>34 EGS 013</t>
        </is>
      </c>
      <c r="E397" s="115" t="inlineStr">
        <is>
          <t>UĞUR DUMAN</t>
        </is>
      </c>
      <c r="F397" s="65" t="n">
        <v>555539</v>
      </c>
      <c r="G397" s="152" t="n"/>
      <c r="H397" s="152" t="n">
        <v>392</v>
      </c>
      <c r="I397" s="156">
        <f>+I396+(G397-H397)</f>
        <v/>
      </c>
      <c r="J397" s="90" t="n">
        <v>49.82</v>
      </c>
      <c r="K397" s="166" t="n"/>
      <c r="L397" s="158">
        <f>+H397*J397</f>
        <v/>
      </c>
      <c r="M397" s="159">
        <f>SUM(M396+K397-L397)</f>
        <v/>
      </c>
    </row>
    <row r="398">
      <c r="A398" s="151" t="n">
        <v>46062</v>
      </c>
      <c r="B398" s="70" t="n">
        <v>3798</v>
      </c>
      <c r="C398" s="115" t="inlineStr">
        <is>
          <t>METİN ERYİĞİT</t>
        </is>
      </c>
      <c r="D398" s="115" t="inlineStr">
        <is>
          <t>34 GBL 998</t>
        </is>
      </c>
      <c r="E398" s="115" t="inlineStr">
        <is>
          <t>ALİ KESKİN</t>
        </is>
      </c>
      <c r="F398" s="65" t="n">
        <v>338379</v>
      </c>
      <c r="G398" s="152" t="n"/>
      <c r="H398" s="152" t="n">
        <v>377</v>
      </c>
      <c r="I398" s="156">
        <f>+I397+(G398-H398)</f>
        <v/>
      </c>
      <c r="J398" s="90" t="n">
        <v>49.82</v>
      </c>
      <c r="K398" s="166" t="n"/>
      <c r="L398" s="158">
        <f>+H398*J398</f>
        <v/>
      </c>
      <c r="M398" s="159">
        <f>SUM(M397+K398-L398)</f>
        <v/>
      </c>
    </row>
    <row r="399">
      <c r="A399" s="151" t="n">
        <v>46062</v>
      </c>
      <c r="B399" s="70" t="n">
        <v>4593</v>
      </c>
      <c r="C399" s="115" t="inlineStr">
        <is>
          <t>AHMET SELİM TEMHA</t>
        </is>
      </c>
      <c r="D399" s="115" t="inlineStr">
        <is>
          <t>34 PGT 251</t>
        </is>
      </c>
      <c r="E399" s="115" t="inlineStr">
        <is>
          <t>ERSOY SIĞINMAZ</t>
        </is>
      </c>
      <c r="F399" s="65" t="n"/>
      <c r="G399" s="152" t="n"/>
      <c r="H399" s="152" t="n">
        <v>52</v>
      </c>
      <c r="I399" s="156">
        <f>+I398+(G399-H399)</f>
        <v/>
      </c>
      <c r="J399" s="90" t="n">
        <v>49.82</v>
      </c>
      <c r="K399" s="166" t="n"/>
      <c r="L399" s="158">
        <f>+H399*J399</f>
        <v/>
      </c>
      <c r="M399" s="159">
        <f>SUM(M398+K399-L399)</f>
        <v/>
      </c>
    </row>
    <row r="400">
      <c r="A400" s="151" t="n">
        <v>46062</v>
      </c>
      <c r="B400" s="70" t="n">
        <v>4594</v>
      </c>
      <c r="C400" s="115" t="inlineStr">
        <is>
          <t>MAHMUT VİNÇ</t>
        </is>
      </c>
      <c r="D400" s="115" t="inlineStr">
        <is>
          <t>34 AH 5401</t>
        </is>
      </c>
      <c r="E400" s="115" t="inlineStr">
        <is>
          <t>MUHAMMED YİĞİT</t>
        </is>
      </c>
      <c r="F400" s="65" t="n"/>
      <c r="G400" s="152" t="n"/>
      <c r="H400" s="152" t="n">
        <v>75</v>
      </c>
      <c r="I400" s="156">
        <f>+I399+(G400-H400)</f>
        <v/>
      </c>
      <c r="J400" s="90" t="n">
        <v>49.82</v>
      </c>
      <c r="K400" s="166" t="n"/>
      <c r="L400" s="158">
        <f>+H400*J400</f>
        <v/>
      </c>
      <c r="M400" s="159">
        <f>SUM(M399+K400-L400)</f>
        <v/>
      </c>
    </row>
    <row r="401">
      <c r="A401" s="151" t="n">
        <v>46063</v>
      </c>
      <c r="B401" s="70" t="n">
        <v>4162</v>
      </c>
      <c r="C401" s="115" t="inlineStr">
        <is>
          <t>SELİM İNŞAAT</t>
        </is>
      </c>
      <c r="D401" s="115" t="inlineStr">
        <is>
          <t xml:space="preserve">34 EDB 829 </t>
        </is>
      </c>
      <c r="E401" s="115" t="inlineStr">
        <is>
          <t>FATİH ÖZBOLAT</t>
        </is>
      </c>
      <c r="F401" s="65" t="n">
        <v>354648</v>
      </c>
      <c r="G401" s="152" t="n"/>
      <c r="H401" s="152" t="n">
        <v>563</v>
      </c>
      <c r="I401" s="156">
        <f>+I400+(G401-H401)</f>
        <v/>
      </c>
      <c r="J401" s="90" t="n">
        <v>49.82</v>
      </c>
      <c r="K401" s="166" t="n"/>
      <c r="L401" s="158">
        <f>+H401*J401</f>
        <v/>
      </c>
      <c r="M401" s="159">
        <f>SUM(M400+K401-L401)</f>
        <v/>
      </c>
    </row>
    <row r="402">
      <c r="A402" s="151" t="n">
        <v>46063</v>
      </c>
      <c r="B402" s="70" t="n">
        <v>4964</v>
      </c>
      <c r="C402" s="115" t="inlineStr">
        <is>
          <t>SELİM İNŞAAT</t>
        </is>
      </c>
      <c r="D402" s="115" t="inlineStr">
        <is>
          <t>34 GVZ 745</t>
        </is>
      </c>
      <c r="E402" s="115" t="inlineStr">
        <is>
          <t>MURAT DEMİRBAŞ</t>
        </is>
      </c>
      <c r="F402" s="65" t="n">
        <v>243160</v>
      </c>
      <c r="G402" s="152" t="n"/>
      <c r="H402" s="152" t="n">
        <v>405</v>
      </c>
      <c r="I402" s="156">
        <f>+I401+(G402-H402)</f>
        <v/>
      </c>
      <c r="J402" s="90" t="n">
        <v>49.82</v>
      </c>
      <c r="K402" s="166" t="n"/>
      <c r="L402" s="158">
        <f>+H402*J402</f>
        <v/>
      </c>
      <c r="M402" s="159">
        <f>SUM(M401+K402-L402)</f>
        <v/>
      </c>
    </row>
    <row r="403">
      <c r="A403" s="151" t="n">
        <v>46063</v>
      </c>
      <c r="B403" s="70" t="n">
        <v>2383</v>
      </c>
      <c r="C403" s="115" t="inlineStr">
        <is>
          <t>SELİM İNŞAAT</t>
        </is>
      </c>
      <c r="D403" s="115" t="inlineStr">
        <is>
          <t>34 FEM 934</t>
        </is>
      </c>
      <c r="E403" s="115" t="inlineStr">
        <is>
          <t>ABDULKERİM ERGEN</t>
        </is>
      </c>
      <c r="F403" s="65" t="n">
        <v>331236</v>
      </c>
      <c r="G403" s="152" t="n"/>
      <c r="H403" s="152" t="n">
        <v>30</v>
      </c>
      <c r="I403" s="156">
        <f>+I402+(G403-H403)</f>
        <v/>
      </c>
      <c r="J403" s="90" t="n">
        <v>49.82</v>
      </c>
      <c r="K403" s="166" t="n"/>
      <c r="L403" s="158">
        <f>+H403*J403</f>
        <v/>
      </c>
      <c r="M403" s="159">
        <f>SUM(M402+K403-L403)</f>
        <v/>
      </c>
    </row>
    <row r="404">
      <c r="A404" s="151" t="n">
        <v>46063</v>
      </c>
      <c r="B404" s="70" t="n">
        <v>4012</v>
      </c>
      <c r="C404" s="115" t="inlineStr">
        <is>
          <t>SELİM İNŞAAT</t>
        </is>
      </c>
      <c r="D404" s="115" t="inlineStr">
        <is>
          <t>34 AR 7743</t>
        </is>
      </c>
      <c r="E404" s="115" t="inlineStr">
        <is>
          <t>MEHMET SELİM</t>
        </is>
      </c>
      <c r="F404" s="65" t="n">
        <v>373078</v>
      </c>
      <c r="G404" s="152" t="n"/>
      <c r="H404" s="152" t="n">
        <v>44</v>
      </c>
      <c r="I404" s="156">
        <f>+I403+(G404-H404)</f>
        <v/>
      </c>
      <c r="J404" s="90" t="n">
        <v>49.82</v>
      </c>
      <c r="K404" s="166" t="n"/>
      <c r="L404" s="158">
        <f>+H404*J404</f>
        <v/>
      </c>
      <c r="M404" s="159">
        <f>SUM(M403+K404-L404)</f>
        <v/>
      </c>
    </row>
    <row r="405">
      <c r="A405" s="151" t="n">
        <v>46063</v>
      </c>
      <c r="B405" s="70" t="n">
        <v>2646</v>
      </c>
      <c r="C405" s="115" t="inlineStr">
        <is>
          <t>SELİM İNŞAAT</t>
        </is>
      </c>
      <c r="D405" s="115" t="inlineStr">
        <is>
          <t>34 GU 945</t>
        </is>
      </c>
      <c r="E405" s="115" t="inlineStr">
        <is>
          <t>YAKUP URUCU</t>
        </is>
      </c>
      <c r="F405" s="65" t="n">
        <v>470785</v>
      </c>
      <c r="G405" s="152" t="n"/>
      <c r="H405" s="152" t="n">
        <v>58</v>
      </c>
      <c r="I405" s="156">
        <f>+I404+(G405-H405)</f>
        <v/>
      </c>
      <c r="J405" s="90" t="n">
        <v>49.82</v>
      </c>
      <c r="K405" s="166" t="n"/>
      <c r="L405" s="158">
        <f>+H405*J405</f>
        <v/>
      </c>
      <c r="M405" s="159">
        <f>SUM(M404+K405-L405)</f>
        <v/>
      </c>
    </row>
    <row r="406">
      <c r="A406" s="151" t="n">
        <v>46063</v>
      </c>
      <c r="B406" s="70" t="n">
        <v>3799</v>
      </c>
      <c r="C406" s="115" t="inlineStr">
        <is>
          <t>METİN ERYİĞİT</t>
        </is>
      </c>
      <c r="D406" s="115" t="inlineStr">
        <is>
          <t>34 GBL 998</t>
        </is>
      </c>
      <c r="E406" s="115" t="inlineStr">
        <is>
          <t>ALİ KESKİN</t>
        </is>
      </c>
      <c r="F406" s="65" t="n">
        <v>338847</v>
      </c>
      <c r="G406" s="152" t="n"/>
      <c r="H406" s="152" t="n">
        <v>207</v>
      </c>
      <c r="I406" s="156">
        <f>+I405+(G406-H406)</f>
        <v/>
      </c>
      <c r="J406" s="90" t="n">
        <v>49.82</v>
      </c>
      <c r="K406" s="166" t="n"/>
      <c r="L406" s="158">
        <f>+H406*J406</f>
        <v/>
      </c>
      <c r="M406" s="159">
        <f>SUM(M405+K406-L406)</f>
        <v/>
      </c>
    </row>
    <row r="407">
      <c r="A407" s="151" t="n">
        <v>46063</v>
      </c>
      <c r="B407" s="70" t="n">
        <v>4595</v>
      </c>
      <c r="C407" s="115" t="inlineStr">
        <is>
          <t>AHMET SELİM TEMHA</t>
        </is>
      </c>
      <c r="D407" s="115" t="inlineStr">
        <is>
          <t>MANİTOU</t>
        </is>
      </c>
      <c r="E407" s="115" t="inlineStr">
        <is>
          <t>TURGAY ÇIPLAK</t>
        </is>
      </c>
      <c r="F407" s="65" t="n"/>
      <c r="G407" s="152" t="n"/>
      <c r="H407" s="152" t="n">
        <v>91</v>
      </c>
      <c r="I407" s="156">
        <f>+I406+(G407-H407)</f>
        <v/>
      </c>
      <c r="J407" s="90" t="n">
        <v>49.82</v>
      </c>
      <c r="K407" s="166" t="n"/>
      <c r="L407" s="158">
        <f>+H407*J407</f>
        <v/>
      </c>
      <c r="M407" s="159">
        <f>SUM(M406+K407-L407)</f>
        <v/>
      </c>
    </row>
    <row r="408">
      <c r="A408" s="151" t="n">
        <v>46063</v>
      </c>
      <c r="B408" s="70" t="n">
        <v>4596</v>
      </c>
      <c r="C408" s="115" t="inlineStr">
        <is>
          <t>RECEP SELİM OTOKURTARICI</t>
        </is>
      </c>
      <c r="D408" s="115" t="inlineStr">
        <is>
          <t>34 GC 8658</t>
        </is>
      </c>
      <c r="E408" s="115" t="inlineStr">
        <is>
          <t>RECEP SELİM</t>
        </is>
      </c>
      <c r="F408" s="65" t="n"/>
      <c r="G408" s="152" t="n"/>
      <c r="H408" s="152" t="n">
        <v>75</v>
      </c>
      <c r="I408" s="156">
        <f>+I407+(G408-H408)</f>
        <v/>
      </c>
      <c r="J408" s="90" t="n">
        <v>49.82</v>
      </c>
      <c r="K408" s="166" t="n"/>
      <c r="L408" s="158">
        <f>+H408*J408</f>
        <v/>
      </c>
      <c r="M408" s="159">
        <f>SUM(M407+K408-L408)</f>
        <v/>
      </c>
    </row>
    <row r="409">
      <c r="A409" s="151" t="n">
        <v>46063</v>
      </c>
      <c r="B409" s="70" t="n">
        <v>363</v>
      </c>
      <c r="C409" s="115" t="inlineStr">
        <is>
          <t>HASALTUN</t>
        </is>
      </c>
      <c r="D409" s="115" t="inlineStr">
        <is>
          <t>HITACHI</t>
        </is>
      </c>
      <c r="E409" s="115" t="inlineStr">
        <is>
          <t>TURGUT</t>
        </is>
      </c>
      <c r="F409" s="65" t="n"/>
      <c r="G409" s="152" t="n"/>
      <c r="H409" s="152" t="n">
        <v>370</v>
      </c>
      <c r="I409" s="156">
        <f>+I408+(G409-H409)</f>
        <v/>
      </c>
      <c r="J409" s="90" t="n">
        <v>49.82</v>
      </c>
      <c r="K409" s="166" t="n"/>
      <c r="L409" s="158">
        <f>+H409*J409</f>
        <v/>
      </c>
      <c r="M409" s="159">
        <f>SUM(M408+K409-L409)</f>
        <v/>
      </c>
    </row>
    <row r="410">
      <c r="A410" s="151" t="n">
        <v>46063</v>
      </c>
      <c r="B410" s="70" t="n">
        <v>364</v>
      </c>
      <c r="C410" s="115" t="inlineStr">
        <is>
          <t>SELİM İNŞAAT</t>
        </is>
      </c>
      <c r="D410" s="115" t="inlineStr">
        <is>
          <t xml:space="preserve">JCB </t>
        </is>
      </c>
      <c r="E410" s="115" t="inlineStr">
        <is>
          <t>BAYRAM SANCAK</t>
        </is>
      </c>
      <c r="F410" s="65" t="n"/>
      <c r="G410" s="152" t="n"/>
      <c r="H410" s="152" t="n">
        <v>186</v>
      </c>
      <c r="I410" s="156">
        <f>+I409+(G410-H410)</f>
        <v/>
      </c>
      <c r="J410" s="90" t="n">
        <v>49.82</v>
      </c>
      <c r="K410" s="166" t="n"/>
      <c r="L410" s="158">
        <f>+H410*J410</f>
        <v/>
      </c>
      <c r="M410" s="159">
        <f>SUM(M409+K410-L410)</f>
        <v/>
      </c>
    </row>
    <row r="411">
      <c r="A411" s="151" t="n">
        <v>46063</v>
      </c>
      <c r="B411" s="70" t="n">
        <v>365</v>
      </c>
      <c r="C411" s="115" t="inlineStr">
        <is>
          <t>EVKUR</t>
        </is>
      </c>
      <c r="D411" s="115" t="inlineStr">
        <is>
          <t>KİRALIK KATO</t>
        </is>
      </c>
      <c r="E411" s="115" t="inlineStr">
        <is>
          <t>GÜNEŞ</t>
        </is>
      </c>
      <c r="F411" s="65" t="n"/>
      <c r="G411" s="152" t="n"/>
      <c r="H411" s="152" t="n">
        <v>52</v>
      </c>
      <c r="I411" s="156">
        <f>+I410+(G411-H411)</f>
        <v/>
      </c>
      <c r="J411" s="90" t="n">
        <v>49.82</v>
      </c>
      <c r="K411" s="166" t="n"/>
      <c r="L411" s="158">
        <f>+H411*J411</f>
        <v/>
      </c>
      <c r="M411" s="159">
        <f>SUM(M410+K411-L411)</f>
        <v/>
      </c>
    </row>
    <row r="412">
      <c r="A412" s="151" t="n">
        <v>46063</v>
      </c>
      <c r="B412" s="70" t="n">
        <v>3280</v>
      </c>
      <c r="C412" s="115" t="inlineStr">
        <is>
          <t xml:space="preserve">AZGÜN YAPI </t>
        </is>
      </c>
      <c r="D412" s="115" t="inlineStr">
        <is>
          <t xml:space="preserve">34 DTV 263 </t>
        </is>
      </c>
      <c r="E412" s="115" t="inlineStr">
        <is>
          <t>İRFAN DAĞLAR</t>
        </is>
      </c>
      <c r="F412" s="65" t="n"/>
      <c r="G412" s="152" t="n"/>
      <c r="H412" s="152" t="n">
        <v>388</v>
      </c>
      <c r="I412" s="156">
        <f>+I411+(G412-H412)</f>
        <v/>
      </c>
      <c r="J412" s="90" t="n">
        <v>49.82</v>
      </c>
      <c r="K412" s="166" t="n"/>
      <c r="L412" s="158">
        <f>+H412*J412</f>
        <v/>
      </c>
      <c r="M412" s="159">
        <f>SUM(M411+K412-L412)</f>
        <v/>
      </c>
    </row>
    <row r="413">
      <c r="A413" s="151" t="n">
        <v>46063</v>
      </c>
      <c r="B413" s="70" t="n">
        <v>1384</v>
      </c>
      <c r="C413" s="115" t="inlineStr">
        <is>
          <t xml:space="preserve">AZGÜN YAPI </t>
        </is>
      </c>
      <c r="D413" s="115" t="inlineStr">
        <is>
          <t>34 MKT 859</t>
        </is>
      </c>
      <c r="E413" s="115" t="inlineStr">
        <is>
          <t>ONUR CANLI</t>
        </is>
      </c>
      <c r="F413" s="65" t="n"/>
      <c r="G413" s="152" t="n"/>
      <c r="H413" s="152" t="n">
        <v>461</v>
      </c>
      <c r="I413" s="156">
        <f>+I412+(G413-H413)</f>
        <v/>
      </c>
      <c r="J413" s="90" t="n">
        <v>49.82</v>
      </c>
      <c r="K413" s="166" t="n"/>
      <c r="L413" s="158">
        <f>+H413*J413</f>
        <v/>
      </c>
      <c r="M413" s="159">
        <f>SUM(M412+K413-L413)</f>
        <v/>
      </c>
    </row>
    <row r="414">
      <c r="A414" s="167" t="n">
        <v>46064</v>
      </c>
      <c r="B414" s="83" t="n">
        <v>280</v>
      </c>
      <c r="C414" s="84" t="inlineStr">
        <is>
          <t>ÜNSOY TURİZM İNŞ.SAN.VE TİC.A.Ş.</t>
        </is>
      </c>
      <c r="D414" s="84" t="n"/>
      <c r="E414" s="84" t="n"/>
      <c r="F414" s="85" t="n"/>
      <c r="G414" s="168" t="n">
        <v>31798</v>
      </c>
      <c r="H414" s="168" t="n"/>
      <c r="I414" s="168">
        <f>+I413+(G414-H414)</f>
        <v/>
      </c>
      <c r="J414" s="87">
        <f>+K414/G414</f>
        <v/>
      </c>
      <c r="K414" s="169" t="n">
        <v>1570821.2</v>
      </c>
      <c r="L414" s="170">
        <f>+H414*J414</f>
        <v/>
      </c>
      <c r="M414" s="159">
        <f>SUM(M413+K414-L414)</f>
        <v/>
      </c>
    </row>
    <row r="415">
      <c r="A415" s="151" t="n">
        <v>46064</v>
      </c>
      <c r="B415" s="70" t="n">
        <v>1848</v>
      </c>
      <c r="C415" s="115" t="inlineStr">
        <is>
          <t>SELİM İNŞAAT</t>
        </is>
      </c>
      <c r="D415" s="115" t="inlineStr">
        <is>
          <t>34 EGR 922</t>
        </is>
      </c>
      <c r="E415" s="115" t="inlineStr">
        <is>
          <t>FARUK ÖZEN</t>
        </is>
      </c>
      <c r="F415" s="65" t="n">
        <v>501414</v>
      </c>
      <c r="G415" s="152" t="n"/>
      <c r="H415" s="152" t="n">
        <v>517</v>
      </c>
      <c r="I415" s="156">
        <f>+I414+(G415-H415)</f>
        <v/>
      </c>
      <c r="J415" s="90" t="n">
        <v>49.4</v>
      </c>
      <c r="K415" s="166" t="n"/>
      <c r="L415" s="158">
        <f>+H415*J415</f>
        <v/>
      </c>
      <c r="M415" s="159">
        <f>SUM(M414+K415-L415)</f>
        <v/>
      </c>
    </row>
    <row r="416">
      <c r="A416" s="151" t="n">
        <v>46064</v>
      </c>
      <c r="B416" s="70" t="n">
        <v>3385</v>
      </c>
      <c r="C416" s="115" t="inlineStr">
        <is>
          <t>SELİM İNŞAAT</t>
        </is>
      </c>
      <c r="D416" s="115" t="inlineStr">
        <is>
          <t>34 EDC 162</t>
        </is>
      </c>
      <c r="E416" s="115" t="inlineStr">
        <is>
          <t xml:space="preserve">YAKUP GÜNER </t>
        </is>
      </c>
      <c r="F416" s="65" t="n">
        <v>411923</v>
      </c>
      <c r="G416" s="152" t="n"/>
      <c r="H416" s="152" t="n">
        <v>476</v>
      </c>
      <c r="I416" s="156">
        <f>+I415+(G416-H416)</f>
        <v/>
      </c>
      <c r="J416" s="90" t="n">
        <v>49.4</v>
      </c>
      <c r="K416" s="166" t="n"/>
      <c r="L416" s="158">
        <f>+H416*J416</f>
        <v/>
      </c>
      <c r="M416" s="159">
        <f>SUM(M415+K416-L416)</f>
        <v/>
      </c>
    </row>
    <row r="417">
      <c r="A417" s="151" t="n">
        <v>46064</v>
      </c>
      <c r="B417" s="70" t="n">
        <v>2295</v>
      </c>
      <c r="C417" s="115" t="inlineStr">
        <is>
          <t>SELİM İNŞAAT</t>
        </is>
      </c>
      <c r="D417" s="115" t="inlineStr">
        <is>
          <t>34 DSN 636</t>
        </is>
      </c>
      <c r="E417" s="115" t="inlineStr">
        <is>
          <t>MAHSUN GÜVEN</t>
        </is>
      </c>
      <c r="F417" s="65" t="n">
        <v>430839</v>
      </c>
      <c r="G417" s="152" t="n"/>
      <c r="H417" s="152" t="n">
        <v>458</v>
      </c>
      <c r="I417" s="156">
        <f>+I416+(G417-H417)</f>
        <v/>
      </c>
      <c r="J417" s="90" t="n">
        <v>49.4</v>
      </c>
      <c r="K417" s="166" t="n"/>
      <c r="L417" s="158">
        <f>+H417*J417</f>
        <v/>
      </c>
      <c r="M417" s="159">
        <f>SUM(M416+K417-L417)</f>
        <v/>
      </c>
    </row>
    <row r="418">
      <c r="A418" s="151" t="n">
        <v>46064</v>
      </c>
      <c r="B418" s="70" t="n">
        <v>4870</v>
      </c>
      <c r="C418" s="115" t="inlineStr">
        <is>
          <t>SELİM İNŞAAT</t>
        </is>
      </c>
      <c r="D418" s="115" t="inlineStr">
        <is>
          <t>34 FBR 705</t>
        </is>
      </c>
      <c r="E418" s="115" t="inlineStr">
        <is>
          <t>MURAT SARI</t>
        </is>
      </c>
      <c r="F418" s="65" t="n">
        <v>358997</v>
      </c>
      <c r="G418" s="152" t="n"/>
      <c r="H418" s="152" t="n">
        <v>391</v>
      </c>
      <c r="I418" s="156">
        <f>+I417+(G418-H418)</f>
        <v/>
      </c>
      <c r="J418" s="90" t="n">
        <v>49.4</v>
      </c>
      <c r="K418" s="166" t="n"/>
      <c r="L418" s="158">
        <f>+H418*J418</f>
        <v/>
      </c>
      <c r="M418" s="159">
        <f>SUM(M417+K418-L418)</f>
        <v/>
      </c>
    </row>
    <row r="419">
      <c r="A419" s="151" t="n">
        <v>46064</v>
      </c>
      <c r="B419" s="70" t="n">
        <v>4167</v>
      </c>
      <c r="C419" s="115" t="inlineStr">
        <is>
          <t>SELİM İNŞAAT</t>
        </is>
      </c>
      <c r="D419" s="115" t="inlineStr">
        <is>
          <t>34 FBR 748</t>
        </is>
      </c>
      <c r="E419" s="115" t="inlineStr">
        <is>
          <t>YAŞAR ÖZKAYA</t>
        </is>
      </c>
      <c r="F419" s="65" t="n">
        <v>322402</v>
      </c>
      <c r="G419" s="152" t="n"/>
      <c r="H419" s="152" t="n">
        <v>411</v>
      </c>
      <c r="I419" s="156">
        <f>+I418+(G419-H419)</f>
        <v/>
      </c>
      <c r="J419" s="90" t="n">
        <v>49.4</v>
      </c>
      <c r="K419" s="166" t="n"/>
      <c r="L419" s="158">
        <f>+H419*J419</f>
        <v/>
      </c>
      <c r="M419" s="159">
        <f>SUM(M418+K419-L419)</f>
        <v/>
      </c>
    </row>
    <row r="420">
      <c r="A420" s="151" t="n">
        <v>46064</v>
      </c>
      <c r="B420" s="70" t="n">
        <v>901</v>
      </c>
      <c r="C420" s="115" t="inlineStr">
        <is>
          <t>SELİM İNŞAAT</t>
        </is>
      </c>
      <c r="D420" s="115" t="inlineStr">
        <is>
          <t>34 FSG 229</t>
        </is>
      </c>
      <c r="E420" s="115" t="inlineStr">
        <is>
          <t>SİNAN TANRIVERDİ</t>
        </is>
      </c>
      <c r="F420" s="65" t="n">
        <v>296970</v>
      </c>
      <c r="G420" s="152" t="n"/>
      <c r="H420" s="152" t="n">
        <v>418</v>
      </c>
      <c r="I420" s="156">
        <f>+I419+(G420-H420)</f>
        <v/>
      </c>
      <c r="J420" s="90" t="n">
        <v>49.4</v>
      </c>
      <c r="K420" s="166" t="n"/>
      <c r="L420" s="158">
        <f>+H420*J420</f>
        <v/>
      </c>
      <c r="M420" s="159">
        <f>SUM(M419+K420-L420)</f>
        <v/>
      </c>
    </row>
    <row r="421">
      <c r="A421" s="151" t="n">
        <v>46064</v>
      </c>
      <c r="B421" s="70" t="n">
        <v>4413</v>
      </c>
      <c r="C421" s="115" t="inlineStr">
        <is>
          <t>SELİM İNŞAAT</t>
        </is>
      </c>
      <c r="D421" s="115" t="inlineStr">
        <is>
          <t>34 DTV 409</t>
        </is>
      </c>
      <c r="E421" s="115" t="inlineStr">
        <is>
          <t>ATA KIZMAZ</t>
        </is>
      </c>
      <c r="F421" s="65" t="n">
        <v>451643</v>
      </c>
      <c r="G421" s="152" t="n"/>
      <c r="H421" s="152" t="n">
        <v>412</v>
      </c>
      <c r="I421" s="156">
        <f>+I420+(G421-H421)</f>
        <v/>
      </c>
      <c r="J421" s="90" t="n">
        <v>49.4</v>
      </c>
      <c r="K421" s="166" t="n"/>
      <c r="L421" s="158">
        <f>+H421*J421</f>
        <v/>
      </c>
      <c r="M421" s="159">
        <f>SUM(M420+K421-L421)</f>
        <v/>
      </c>
    </row>
    <row r="422">
      <c r="A422" s="151" t="n">
        <v>46064</v>
      </c>
      <c r="B422" s="70" t="n">
        <v>3619</v>
      </c>
      <c r="C422" s="115" t="inlineStr">
        <is>
          <t>SELİM İNŞAAT</t>
        </is>
      </c>
      <c r="D422" s="115" t="inlineStr">
        <is>
          <t>34 EDB 922</t>
        </is>
      </c>
      <c r="E422" s="115" t="inlineStr">
        <is>
          <t>ÇAĞDAŞ YÜCESAN</t>
        </is>
      </c>
      <c r="F422" s="65" t="n">
        <v>405551</v>
      </c>
      <c r="G422" s="152" t="n"/>
      <c r="H422" s="152" t="n">
        <v>447</v>
      </c>
      <c r="I422" s="156">
        <f>+I421+(G422-H422)</f>
        <v/>
      </c>
      <c r="J422" s="90" t="n">
        <v>49.4</v>
      </c>
      <c r="K422" s="166" t="n"/>
      <c r="L422" s="158">
        <f>+H422*J422</f>
        <v/>
      </c>
      <c r="M422" s="159">
        <f>SUM(M421+K422-L422)</f>
        <v/>
      </c>
    </row>
    <row r="423">
      <c r="A423" s="151" t="n">
        <v>46064</v>
      </c>
      <c r="B423" s="70" t="n">
        <v>3220</v>
      </c>
      <c r="C423" s="115" t="inlineStr">
        <is>
          <t>SELİM İNŞAAT</t>
        </is>
      </c>
      <c r="D423" s="115" t="inlineStr">
        <is>
          <t>34 EGR 736</t>
        </is>
      </c>
      <c r="E423" s="115" t="inlineStr">
        <is>
          <t>HAKAN ÇAVUŞOĞLU</t>
        </is>
      </c>
      <c r="F423" s="65" t="n">
        <v>435970</v>
      </c>
      <c r="G423" s="152" t="n"/>
      <c r="H423" s="152" t="n">
        <v>390</v>
      </c>
      <c r="I423" s="156">
        <f>+I422+(G423-H423)</f>
        <v/>
      </c>
      <c r="J423" s="90" t="n">
        <v>49.4</v>
      </c>
      <c r="K423" s="166" t="n"/>
      <c r="L423" s="158">
        <f>+H423*J423</f>
        <v/>
      </c>
      <c r="M423" s="159">
        <f>SUM(M422+K423-L423)</f>
        <v/>
      </c>
    </row>
    <row r="424">
      <c r="A424" s="151" t="n">
        <v>46064</v>
      </c>
      <c r="B424" s="70" t="n">
        <v>1816</v>
      </c>
      <c r="C424" s="115" t="inlineStr">
        <is>
          <t>SELİM İNŞAAT</t>
        </is>
      </c>
      <c r="D424" s="115" t="inlineStr">
        <is>
          <t>34 EDB 559</t>
        </is>
      </c>
      <c r="E424" s="71" t="inlineStr">
        <is>
          <t>AZİZ ORUÇ</t>
        </is>
      </c>
      <c r="F424" s="65" t="n">
        <v>361767</v>
      </c>
      <c r="G424" s="152" t="n"/>
      <c r="H424" s="152" t="n">
        <v>410</v>
      </c>
      <c r="I424" s="156">
        <f>+I423+(G424-H424)</f>
        <v/>
      </c>
      <c r="J424" s="90" t="n">
        <v>49.4</v>
      </c>
      <c r="K424" s="166" t="n"/>
      <c r="L424" s="158">
        <f>+H424*J424</f>
        <v/>
      </c>
      <c r="M424" s="159">
        <f>SUM(M423+K424-L424)</f>
        <v/>
      </c>
    </row>
    <row r="425">
      <c r="A425" s="151" t="n">
        <v>46064</v>
      </c>
      <c r="B425" s="70" t="n">
        <v>4508</v>
      </c>
      <c r="C425" s="115" t="inlineStr">
        <is>
          <t>SELİM İNŞAAT</t>
        </is>
      </c>
      <c r="D425" s="115" t="inlineStr">
        <is>
          <t>34 DTB 352</t>
        </is>
      </c>
      <c r="E425" s="115" t="inlineStr">
        <is>
          <t>ENGİN DENİZ</t>
        </is>
      </c>
      <c r="F425" s="65" t="n">
        <v>473187</v>
      </c>
      <c r="G425" s="152" t="n"/>
      <c r="H425" s="152" t="n">
        <v>387</v>
      </c>
      <c r="I425" s="156">
        <f>+I424+(G425-H425)</f>
        <v/>
      </c>
      <c r="J425" s="90" t="n">
        <v>49.4</v>
      </c>
      <c r="K425" s="166" t="n"/>
      <c r="L425" s="158">
        <f>+H425*J425</f>
        <v/>
      </c>
      <c r="M425" s="159">
        <f>SUM(M424+K425-L425)</f>
        <v/>
      </c>
    </row>
    <row r="426">
      <c r="A426" s="151" t="n">
        <v>46064</v>
      </c>
      <c r="B426" s="70" t="n">
        <v>1338</v>
      </c>
      <c r="C426" s="115" t="inlineStr">
        <is>
          <t>SELİM İNŞAAT</t>
        </is>
      </c>
      <c r="D426" s="115" t="inlineStr">
        <is>
          <t>34 GVZ 199</t>
        </is>
      </c>
      <c r="E426" s="115" t="inlineStr">
        <is>
          <t>HÜSEYİN DENİZ</t>
        </is>
      </c>
      <c r="F426" s="65" t="n">
        <v>223073</v>
      </c>
      <c r="G426" s="152" t="n"/>
      <c r="H426" s="152" t="n">
        <v>390</v>
      </c>
      <c r="I426" s="156">
        <f>+I425+(G426-H426)</f>
        <v/>
      </c>
      <c r="J426" s="90" t="n">
        <v>49.4</v>
      </c>
      <c r="K426" s="166" t="n"/>
      <c r="L426" s="158">
        <f>+H426*J426</f>
        <v/>
      </c>
      <c r="M426" s="159">
        <f>SUM(M425+K426-L426)</f>
        <v/>
      </c>
    </row>
    <row r="427">
      <c r="A427" s="151" t="n">
        <v>46064</v>
      </c>
      <c r="B427" s="70" t="n">
        <v>705</v>
      </c>
      <c r="C427" s="115" t="inlineStr">
        <is>
          <t>METİN ERYİĞİT</t>
        </is>
      </c>
      <c r="D427" s="115" t="inlineStr">
        <is>
          <t>34 EGS 013</t>
        </is>
      </c>
      <c r="E427" s="115" t="inlineStr">
        <is>
          <t>UĞUR DUMAN</t>
        </is>
      </c>
      <c r="F427" s="65" t="n">
        <v>556296</v>
      </c>
      <c r="G427" s="152" t="n"/>
      <c r="H427" s="152" t="n">
        <v>399</v>
      </c>
      <c r="I427" s="156">
        <f>+I426+(G427-H427)</f>
        <v/>
      </c>
      <c r="J427" s="90" t="n">
        <v>49.4</v>
      </c>
      <c r="K427" s="166" t="n"/>
      <c r="L427" s="158">
        <f>+H427*J427</f>
        <v/>
      </c>
      <c r="M427" s="159">
        <f>SUM(M426+K427-L427)</f>
        <v/>
      </c>
    </row>
    <row r="428">
      <c r="A428" s="151" t="n">
        <v>46064</v>
      </c>
      <c r="B428" s="70" t="n">
        <v>4597</v>
      </c>
      <c r="C428" s="115" t="inlineStr">
        <is>
          <t>ENES SELİM VİNÇ</t>
        </is>
      </c>
      <c r="D428" s="115" t="inlineStr">
        <is>
          <t>34 TB 926</t>
        </is>
      </c>
      <c r="E428" s="115" t="inlineStr">
        <is>
          <t>ENES SELİM</t>
        </is>
      </c>
      <c r="F428" s="65" t="n"/>
      <c r="G428" s="152" t="n"/>
      <c r="H428" s="152" t="n">
        <v>161</v>
      </c>
      <c r="I428" s="156">
        <f>+I427+(G428-H428)</f>
        <v/>
      </c>
      <c r="J428" s="90" t="n">
        <v>49.4</v>
      </c>
      <c r="K428" s="166" t="n"/>
      <c r="L428" s="158">
        <f>+H428*J428</f>
        <v/>
      </c>
      <c r="M428" s="159">
        <f>SUM(M427+K428-L428)</f>
        <v/>
      </c>
    </row>
    <row r="429">
      <c r="A429" s="151" t="n">
        <v>46064</v>
      </c>
      <c r="B429" s="70" t="n">
        <v>366</v>
      </c>
      <c r="C429" s="115" t="inlineStr">
        <is>
          <t>SELİM İNŞAAT</t>
        </is>
      </c>
      <c r="D429" s="115" t="inlineStr">
        <is>
          <t>JENERATÖR</t>
        </is>
      </c>
      <c r="E429" s="115" t="n"/>
      <c r="F429" s="65" t="n"/>
      <c r="G429" s="152" t="n"/>
      <c r="H429" s="152" t="n">
        <v>272</v>
      </c>
      <c r="I429" s="156">
        <f>+I428+(G429-H429)</f>
        <v/>
      </c>
      <c r="J429" s="90" t="n">
        <v>49.4</v>
      </c>
      <c r="K429" s="166" t="n"/>
      <c r="L429" s="158">
        <f>+H429*J429</f>
        <v/>
      </c>
      <c r="M429" s="159">
        <f>SUM(M428+K429-L429)</f>
        <v/>
      </c>
    </row>
    <row r="430">
      <c r="A430" s="151" t="n">
        <v>46064</v>
      </c>
      <c r="B430" s="70" t="n">
        <v>367</v>
      </c>
      <c r="C430" s="115" t="inlineStr">
        <is>
          <t>SELİM İNŞAAT</t>
        </is>
      </c>
      <c r="D430" s="115" t="inlineStr">
        <is>
          <t>KAWAZAKI</t>
        </is>
      </c>
      <c r="E430" s="115" t="inlineStr">
        <is>
          <t>RAMAZAN</t>
        </is>
      </c>
      <c r="F430" s="65" t="n"/>
      <c r="G430" s="152" t="n"/>
      <c r="H430" s="152" t="n">
        <v>260</v>
      </c>
      <c r="I430" s="156">
        <f>+I429+(G430-H430)</f>
        <v/>
      </c>
      <c r="J430" s="90" t="n">
        <v>49.4</v>
      </c>
      <c r="K430" s="166" t="n"/>
      <c r="L430" s="158">
        <f>+H430*J430</f>
        <v/>
      </c>
      <c r="M430" s="159">
        <f>SUM(M429+K430-L430)</f>
        <v/>
      </c>
    </row>
    <row r="431">
      <c r="A431" s="151" t="n">
        <v>46064</v>
      </c>
      <c r="B431" s="70" t="n">
        <v>368</v>
      </c>
      <c r="C431" s="115" t="inlineStr">
        <is>
          <t>KAYA METAL</t>
        </is>
      </c>
      <c r="D431" s="115" t="inlineStr">
        <is>
          <t xml:space="preserve">SM350 </t>
        </is>
      </c>
      <c r="E431" s="115" t="inlineStr">
        <is>
          <t>BAYRAM SANCAK</t>
        </is>
      </c>
      <c r="F431" s="65" t="n"/>
      <c r="G431" s="152" t="n"/>
      <c r="H431" s="152" t="n">
        <v>455</v>
      </c>
      <c r="I431" s="156">
        <f>+I430+(G431-H431)</f>
        <v/>
      </c>
      <c r="J431" s="90" t="n">
        <v>49.4</v>
      </c>
      <c r="K431" s="166" t="n"/>
      <c r="L431" s="158">
        <f>+H431*J431</f>
        <v/>
      </c>
      <c r="M431" s="159">
        <f>SUM(M430+K431-L431)</f>
        <v/>
      </c>
    </row>
    <row r="432">
      <c r="A432" s="151" t="n">
        <v>46064</v>
      </c>
      <c r="B432" s="70" t="n">
        <v>369</v>
      </c>
      <c r="C432" s="115" t="inlineStr">
        <is>
          <t>DELİKLİKAYA</t>
        </is>
      </c>
      <c r="D432" s="115" t="inlineStr">
        <is>
          <t>DELİKLİKAYA</t>
        </is>
      </c>
      <c r="E432" s="115" t="inlineStr">
        <is>
          <t>BURAK BEY</t>
        </is>
      </c>
      <c r="F432" s="65" t="n"/>
      <c r="G432" s="152" t="n"/>
      <c r="H432" s="152" t="n">
        <v>600</v>
      </c>
      <c r="I432" s="156">
        <f>+I431+(G432-H432)</f>
        <v/>
      </c>
      <c r="J432" s="90" t="n">
        <v>49.4</v>
      </c>
      <c r="K432" s="166" t="n"/>
      <c r="L432" s="158">
        <f>+H432*J432</f>
        <v/>
      </c>
      <c r="M432" s="159">
        <f>SUM(M431+K432-L432)</f>
        <v/>
      </c>
    </row>
    <row r="433">
      <c r="A433" s="151" t="n">
        <v>46064</v>
      </c>
      <c r="B433" s="70" t="n">
        <v>370</v>
      </c>
      <c r="C433" s="115" t="inlineStr">
        <is>
          <t>MEGA VARLIK</t>
        </is>
      </c>
      <c r="D433" s="115" t="inlineStr">
        <is>
          <t xml:space="preserve">SM350 </t>
        </is>
      </c>
      <c r="E433" s="115" t="inlineStr">
        <is>
          <t>TEVFİK ÖZTÜRK</t>
        </is>
      </c>
      <c r="F433" s="65" t="n"/>
      <c r="G433" s="152" t="n"/>
      <c r="H433" s="152" t="n">
        <v>406</v>
      </c>
      <c r="I433" s="156">
        <f>+I432+(G433-H433)</f>
        <v/>
      </c>
      <c r="J433" s="90" t="n">
        <v>49.4</v>
      </c>
      <c r="K433" s="166" t="n"/>
      <c r="L433" s="158">
        <f>+H433*J433</f>
        <v/>
      </c>
      <c r="M433" s="159">
        <f>SUM(M432+K433-L433)</f>
        <v/>
      </c>
    </row>
    <row r="434">
      <c r="A434" s="151" t="n">
        <v>46064</v>
      </c>
      <c r="B434" s="70" t="n">
        <v>371</v>
      </c>
      <c r="C434" s="115" t="inlineStr">
        <is>
          <t>MEGA VARLIK</t>
        </is>
      </c>
      <c r="D434" s="115" t="inlineStr">
        <is>
          <t xml:space="preserve">SM350 </t>
        </is>
      </c>
      <c r="E434" s="115" t="inlineStr">
        <is>
          <t xml:space="preserve">MİKAİL BAYILMAZ </t>
        </is>
      </c>
      <c r="F434" s="65" t="n"/>
      <c r="G434" s="152" t="n"/>
      <c r="H434" s="152" t="n">
        <v>368</v>
      </c>
      <c r="I434" s="156">
        <f>+I433+(G434-H434)</f>
        <v/>
      </c>
      <c r="J434" s="90" t="n">
        <v>49.4</v>
      </c>
      <c r="K434" s="166" t="n"/>
      <c r="L434" s="158">
        <f>+H434*J434</f>
        <v/>
      </c>
      <c r="M434" s="159">
        <f>SUM(M433+K434-L434)</f>
        <v/>
      </c>
    </row>
    <row r="435">
      <c r="A435" s="151" t="n">
        <v>46064</v>
      </c>
      <c r="B435" s="70" t="n">
        <v>2534</v>
      </c>
      <c r="C435" s="115" t="inlineStr">
        <is>
          <t xml:space="preserve">AZGÜN YAPI </t>
        </is>
      </c>
      <c r="D435" s="115" t="inlineStr">
        <is>
          <t>34 MKT 593</t>
        </is>
      </c>
      <c r="E435" s="115" t="inlineStr">
        <is>
          <t>TURGUT ÇATAL</t>
        </is>
      </c>
      <c r="F435" s="65" t="n"/>
      <c r="G435" s="152" t="n"/>
      <c r="H435" s="152" t="n">
        <v>459</v>
      </c>
      <c r="I435" s="156">
        <f>+I434+(G435-H435)</f>
        <v/>
      </c>
      <c r="J435" s="90" t="n">
        <v>49.4</v>
      </c>
      <c r="K435" s="166" t="n"/>
      <c r="L435" s="158">
        <f>+H435*J435</f>
        <v/>
      </c>
      <c r="M435" s="159">
        <f>SUM(M434+K435-L435)</f>
        <v/>
      </c>
    </row>
    <row r="436">
      <c r="A436" s="151" t="n">
        <v>46065</v>
      </c>
      <c r="B436" s="70" t="n">
        <v>4112</v>
      </c>
      <c r="C436" s="115" t="inlineStr">
        <is>
          <t>SELİM İNŞAAT</t>
        </is>
      </c>
      <c r="D436" s="115" t="inlineStr">
        <is>
          <t>34 EDB 659</t>
        </is>
      </c>
      <c r="E436" s="115" t="inlineStr">
        <is>
          <t>MEHMET SAİT ANIK</t>
        </is>
      </c>
      <c r="F436" s="65" t="n">
        <v>387010</v>
      </c>
      <c r="G436" s="152" t="n"/>
      <c r="H436" s="152" t="n">
        <v>477</v>
      </c>
      <c r="I436" s="156">
        <f>+I435+(G436-H436)</f>
        <v/>
      </c>
      <c r="J436" s="90" t="n">
        <v>49.4</v>
      </c>
      <c r="K436" s="166" t="n"/>
      <c r="L436" s="158">
        <f>+H436*J436</f>
        <v/>
      </c>
      <c r="M436" s="159">
        <f>SUM(M435+K436-L436)</f>
        <v/>
      </c>
    </row>
    <row r="437">
      <c r="A437" s="151" t="n">
        <v>46065</v>
      </c>
      <c r="B437" s="70" t="n">
        <v>3327</v>
      </c>
      <c r="C437" s="115" t="inlineStr">
        <is>
          <t>SELİM İNŞAAT</t>
        </is>
      </c>
      <c r="D437" s="115" t="inlineStr">
        <is>
          <t>34 GUS 938</t>
        </is>
      </c>
      <c r="E437" s="115" t="inlineStr">
        <is>
          <t>MEHMET KAYA</t>
        </is>
      </c>
      <c r="F437" s="65" t="n">
        <v>244493</v>
      </c>
      <c r="G437" s="152" t="n"/>
      <c r="H437" s="152" t="n">
        <v>479</v>
      </c>
      <c r="I437" s="156">
        <f>+I436+(G437-H437)</f>
        <v/>
      </c>
      <c r="J437" s="90" t="n">
        <v>49.4</v>
      </c>
      <c r="K437" s="166" t="n"/>
      <c r="L437" s="158">
        <f>+H437*J437</f>
        <v/>
      </c>
      <c r="M437" s="159">
        <f>SUM(M436+K437-L437)</f>
        <v/>
      </c>
    </row>
    <row r="438">
      <c r="A438" s="151" t="n">
        <v>46065</v>
      </c>
      <c r="B438" s="70" t="n">
        <v>7</v>
      </c>
      <c r="C438" s="115" t="inlineStr">
        <is>
          <t>SELİM İNŞAAT</t>
        </is>
      </c>
      <c r="D438" s="115" t="inlineStr">
        <is>
          <t xml:space="preserve">34 GVZ 268 </t>
        </is>
      </c>
      <c r="E438" s="115" t="inlineStr">
        <is>
          <t>KERİM KARAMAN</t>
        </is>
      </c>
      <c r="F438" s="65" t="n">
        <v>248295</v>
      </c>
      <c r="G438" s="152" t="n"/>
      <c r="H438" s="152" t="n">
        <v>433</v>
      </c>
      <c r="I438" s="156">
        <f>+I437+(G438-H438)</f>
        <v/>
      </c>
      <c r="J438" s="90" t="n">
        <v>49.4</v>
      </c>
      <c r="K438" s="166" t="n"/>
      <c r="L438" s="158">
        <f>+H438*J438</f>
        <v/>
      </c>
      <c r="M438" s="159">
        <f>SUM(M437+K438-L438)</f>
        <v/>
      </c>
    </row>
    <row r="439">
      <c r="A439" s="151" t="n">
        <v>46065</v>
      </c>
      <c r="B439" s="70" t="n">
        <v>510</v>
      </c>
      <c r="C439" s="115" t="inlineStr">
        <is>
          <t>SELİM İNŞAAT</t>
        </is>
      </c>
      <c r="D439" s="115" t="inlineStr">
        <is>
          <t>34 EGR 737</t>
        </is>
      </c>
      <c r="E439" s="115" t="inlineStr">
        <is>
          <t>CEM MUHTAR</t>
        </is>
      </c>
      <c r="F439" s="65" t="n">
        <v>458111</v>
      </c>
      <c r="G439" s="152" t="n"/>
      <c r="H439" s="152" t="n">
        <v>445</v>
      </c>
      <c r="I439" s="156">
        <f>+I438+(G439-H439)</f>
        <v/>
      </c>
      <c r="J439" s="90" t="n">
        <v>49.4</v>
      </c>
      <c r="K439" s="166" t="n"/>
      <c r="L439" s="158">
        <f>+H439*J439</f>
        <v/>
      </c>
      <c r="M439" s="159">
        <f>SUM(M438+K439-L439)</f>
        <v/>
      </c>
    </row>
    <row r="440">
      <c r="A440" s="151" t="n">
        <v>46065</v>
      </c>
      <c r="B440" s="70" t="n">
        <v>4871</v>
      </c>
      <c r="C440" s="115" t="inlineStr">
        <is>
          <t>SELİM İNŞAAT</t>
        </is>
      </c>
      <c r="D440" s="115" t="inlineStr">
        <is>
          <t>34 FBR 705</t>
        </is>
      </c>
      <c r="E440" s="115" t="inlineStr">
        <is>
          <t>MURAT SARI</t>
        </is>
      </c>
      <c r="F440" s="65" t="n">
        <v>359407</v>
      </c>
      <c r="G440" s="152" t="n"/>
      <c r="H440" s="152" t="n">
        <v>332</v>
      </c>
      <c r="I440" s="156">
        <f>+I439+(G440-H440)</f>
        <v/>
      </c>
      <c r="J440" s="90" t="n">
        <v>49.4</v>
      </c>
      <c r="K440" s="166" t="n"/>
      <c r="L440" s="158">
        <f>+H440*J440</f>
        <v/>
      </c>
      <c r="M440" s="159">
        <f>SUM(M439+K440-L440)</f>
        <v/>
      </c>
    </row>
    <row r="441">
      <c r="A441" s="151" t="n">
        <v>46065</v>
      </c>
      <c r="B441" s="70" t="n">
        <v>4965</v>
      </c>
      <c r="C441" s="115" t="inlineStr">
        <is>
          <t>SELİM İNŞAAT</t>
        </is>
      </c>
      <c r="D441" s="115" t="inlineStr">
        <is>
          <t>34 GVZ 745</t>
        </is>
      </c>
      <c r="E441" s="115" t="inlineStr">
        <is>
          <t>MURAT DEMİRBAŞ</t>
        </is>
      </c>
      <c r="F441" s="65" t="n">
        <v>243923</v>
      </c>
      <c r="G441" s="152" t="n"/>
      <c r="H441" s="152" t="n">
        <v>362</v>
      </c>
      <c r="I441" s="156">
        <f>+I440+(G441-H441)</f>
        <v/>
      </c>
      <c r="J441" s="90" t="n">
        <v>49.4</v>
      </c>
      <c r="K441" s="166" t="n"/>
      <c r="L441" s="158">
        <f>+H441*J441</f>
        <v/>
      </c>
      <c r="M441" s="159">
        <f>SUM(M440+K441-L441)</f>
        <v/>
      </c>
    </row>
    <row r="442">
      <c r="A442" s="151" t="n">
        <v>46065</v>
      </c>
      <c r="B442" s="70" t="n">
        <v>3041</v>
      </c>
      <c r="C442" s="115" t="inlineStr">
        <is>
          <t>SELİM İNŞAAT</t>
        </is>
      </c>
      <c r="D442" s="115" t="inlineStr">
        <is>
          <t>34 FBR 781</t>
        </is>
      </c>
      <c r="E442" s="115" t="inlineStr">
        <is>
          <t>MEVLÜT POLAT</t>
        </is>
      </c>
      <c r="F442" s="65" t="n">
        <v>359800</v>
      </c>
      <c r="G442" s="152" t="n"/>
      <c r="H442" s="152" t="n">
        <v>344</v>
      </c>
      <c r="I442" s="156">
        <f>+I441+(G442-H442)</f>
        <v/>
      </c>
      <c r="J442" s="90" t="n">
        <v>49.4</v>
      </c>
      <c r="K442" s="166" t="n"/>
      <c r="L442" s="158">
        <f>+H442*J442</f>
        <v/>
      </c>
      <c r="M442" s="159">
        <f>SUM(M441+K442-L442)</f>
        <v/>
      </c>
    </row>
    <row r="443">
      <c r="A443" s="151" t="n">
        <v>46065</v>
      </c>
      <c r="B443" s="70" t="n">
        <v>4921</v>
      </c>
      <c r="C443" s="115" t="inlineStr">
        <is>
          <t>SELİM İNŞAAT</t>
        </is>
      </c>
      <c r="D443" s="115" t="inlineStr">
        <is>
          <t>34 FBR 742</t>
        </is>
      </c>
      <c r="E443" s="115" t="inlineStr">
        <is>
          <t>ADNAN KOÇ</t>
        </is>
      </c>
      <c r="F443" s="65" t="n">
        <v>363535</v>
      </c>
      <c r="G443" s="152" t="n"/>
      <c r="H443" s="152" t="n">
        <v>410</v>
      </c>
      <c r="I443" s="156">
        <f>+I442+(G443-H443)</f>
        <v/>
      </c>
      <c r="J443" s="90" t="n">
        <v>49.4</v>
      </c>
      <c r="K443" s="166" t="n"/>
      <c r="L443" s="158">
        <f>+H443*J443</f>
        <v/>
      </c>
      <c r="M443" s="159">
        <f>SUM(M442+K443-L443)</f>
        <v/>
      </c>
    </row>
    <row r="444">
      <c r="A444" s="151" t="n">
        <v>46065</v>
      </c>
      <c r="B444" s="70" t="n">
        <v>2790</v>
      </c>
      <c r="C444" s="115" t="inlineStr">
        <is>
          <t>SELİM İNŞAAT</t>
        </is>
      </c>
      <c r="D444" s="115" t="inlineStr">
        <is>
          <t>34 EDC 086</t>
        </is>
      </c>
      <c r="E444" s="115" t="inlineStr">
        <is>
          <t>SEZGİN KOCAGİL</t>
        </is>
      </c>
      <c r="F444" s="65" t="n">
        <v>373923</v>
      </c>
      <c r="G444" s="152" t="n"/>
      <c r="H444" s="152" t="n">
        <v>406</v>
      </c>
      <c r="I444" s="156">
        <f>+I443+(G444-H444)</f>
        <v/>
      </c>
      <c r="J444" s="90" t="n">
        <v>49.4</v>
      </c>
      <c r="K444" s="166" t="n"/>
      <c r="L444" s="158">
        <f>+H444*J444</f>
        <v/>
      </c>
      <c r="M444" s="159">
        <f>SUM(M443+K444-L444)</f>
        <v/>
      </c>
    </row>
    <row r="445">
      <c r="A445" s="151" t="n">
        <v>46065</v>
      </c>
      <c r="B445" s="70" t="n">
        <v>1630</v>
      </c>
      <c r="C445" s="115" t="inlineStr">
        <is>
          <t>SELİM İNŞAAT</t>
        </is>
      </c>
      <c r="D445" s="115" t="inlineStr">
        <is>
          <t>34 VF 2620</t>
        </is>
      </c>
      <c r="E445" s="115" t="inlineStr">
        <is>
          <t>RECEP SELİM</t>
        </is>
      </c>
      <c r="F445" s="65" t="n">
        <v>201603</v>
      </c>
      <c r="G445" s="152" t="n"/>
      <c r="H445" s="152" t="n">
        <v>59</v>
      </c>
      <c r="I445" s="156">
        <f>+I444+(G445-H445)</f>
        <v/>
      </c>
      <c r="J445" s="90" t="n">
        <v>49.4</v>
      </c>
      <c r="K445" s="166" t="n"/>
      <c r="L445" s="158">
        <f>+H445*J445</f>
        <v/>
      </c>
      <c r="M445" s="159">
        <f>SUM(M444+K445-L445)</f>
        <v/>
      </c>
    </row>
    <row r="446">
      <c r="A446" s="151" t="n">
        <v>46065</v>
      </c>
      <c r="B446" s="70" t="n">
        <v>2746</v>
      </c>
      <c r="C446" s="115" t="inlineStr">
        <is>
          <t>METİN ERYİĞİT</t>
        </is>
      </c>
      <c r="D446" s="115" t="inlineStr">
        <is>
          <t>34 EGR 814</t>
        </is>
      </c>
      <c r="E446" s="115" t="inlineStr">
        <is>
          <t xml:space="preserve">ZİYA İNCE </t>
        </is>
      </c>
      <c r="F446" s="65" t="n">
        <v>601042</v>
      </c>
      <c r="G446" s="152" t="n"/>
      <c r="H446" s="152" t="n">
        <v>490</v>
      </c>
      <c r="I446" s="156">
        <f>+I445+(G446-H446)</f>
        <v/>
      </c>
      <c r="J446" s="90" t="n">
        <v>49.4</v>
      </c>
      <c r="K446" s="166" t="n"/>
      <c r="L446" s="158">
        <f>+H446*J446</f>
        <v/>
      </c>
      <c r="M446" s="159">
        <f>SUM(M445+K446-L446)</f>
        <v/>
      </c>
    </row>
    <row r="447">
      <c r="A447" s="151" t="n">
        <v>46065</v>
      </c>
      <c r="B447" s="70" t="n">
        <v>3800</v>
      </c>
      <c r="C447" s="115" t="inlineStr">
        <is>
          <t>METİN ERYİĞİT</t>
        </is>
      </c>
      <c r="D447" s="115" t="inlineStr">
        <is>
          <t>34 GBL 998</t>
        </is>
      </c>
      <c r="E447" s="115" t="inlineStr">
        <is>
          <t>ALİ KESKİN</t>
        </is>
      </c>
      <c r="F447" s="65" t="n">
        <v>339575</v>
      </c>
      <c r="G447" s="152" t="n"/>
      <c r="H447" s="152" t="n">
        <v>332</v>
      </c>
      <c r="I447" s="156">
        <f>+I446+(G447-H447)</f>
        <v/>
      </c>
      <c r="J447" s="90" t="n">
        <v>49.4</v>
      </c>
      <c r="K447" s="166" t="n"/>
      <c r="L447" s="158">
        <f>+H447*J447</f>
        <v/>
      </c>
      <c r="M447" s="159">
        <f>SUM(M446+K447-L447)</f>
        <v/>
      </c>
    </row>
    <row r="448">
      <c r="A448" s="151" t="n">
        <v>46065</v>
      </c>
      <c r="B448" s="70" t="n">
        <v>2893</v>
      </c>
      <c r="C448" s="115" t="inlineStr">
        <is>
          <t>MEGA VARLIK</t>
        </is>
      </c>
      <c r="D448" s="115" t="inlineStr">
        <is>
          <t>HASAN ZEMİN</t>
        </is>
      </c>
      <c r="E448" s="115" t="n"/>
      <c r="F448" s="65" t="n"/>
      <c r="G448" s="152" t="n"/>
      <c r="H448" s="152" t="n">
        <v>241</v>
      </c>
      <c r="I448" s="156">
        <f>+I447+(G448-H448)</f>
        <v/>
      </c>
      <c r="J448" s="90" t="n">
        <v>49.4</v>
      </c>
      <c r="K448" s="166" t="n"/>
      <c r="L448" s="158">
        <f>+H448*J448</f>
        <v/>
      </c>
      <c r="M448" s="159">
        <f>SUM(M447+K448-L448)</f>
        <v/>
      </c>
    </row>
    <row r="449">
      <c r="A449" s="151" t="n">
        <v>46065</v>
      </c>
      <c r="B449" s="70" t="n">
        <v>372</v>
      </c>
      <c r="C449" s="115" t="inlineStr">
        <is>
          <t>VARLIK</t>
        </is>
      </c>
      <c r="D449" s="115" t="inlineStr">
        <is>
          <t>FORKLİFT</t>
        </is>
      </c>
      <c r="E449" s="115" t="inlineStr">
        <is>
          <t xml:space="preserve">FAHRİ KALFA </t>
        </is>
      </c>
      <c r="F449" s="65" t="n"/>
      <c r="G449" s="152" t="n"/>
      <c r="H449" s="152" t="n">
        <v>180</v>
      </c>
      <c r="I449" s="156">
        <f>+I448+(G449-H449)</f>
        <v/>
      </c>
      <c r="J449" s="90" t="n">
        <v>49.4</v>
      </c>
      <c r="K449" s="166" t="n"/>
      <c r="L449" s="158">
        <f>+H449*J449</f>
        <v/>
      </c>
      <c r="M449" s="159">
        <f>SUM(M448+K449-L449)</f>
        <v/>
      </c>
    </row>
    <row r="450">
      <c r="A450" s="151" t="n">
        <v>46065</v>
      </c>
      <c r="B450" s="70" t="n">
        <v>373</v>
      </c>
      <c r="C450" s="115" t="inlineStr">
        <is>
          <t>MEGA VARLIK</t>
        </is>
      </c>
      <c r="D450" s="115" t="inlineStr">
        <is>
          <t xml:space="preserve">SM350 </t>
        </is>
      </c>
      <c r="E450" s="115" t="inlineStr">
        <is>
          <t>TEVFİK ÖZTÜRK</t>
        </is>
      </c>
      <c r="F450" s="65" t="n"/>
      <c r="G450" s="152" t="n"/>
      <c r="H450" s="152" t="n">
        <v>231</v>
      </c>
      <c r="I450" s="156">
        <f>+I449+(G450-H450)</f>
        <v/>
      </c>
      <c r="J450" s="90" t="n">
        <v>49.4</v>
      </c>
      <c r="K450" s="166" t="n"/>
      <c r="L450" s="158">
        <f>+H450*J450</f>
        <v/>
      </c>
      <c r="M450" s="159">
        <f>SUM(M449+K450-L450)</f>
        <v/>
      </c>
    </row>
    <row r="451">
      <c r="A451" s="151" t="n">
        <v>46065</v>
      </c>
      <c r="B451" s="70" t="n">
        <v>374</v>
      </c>
      <c r="C451" s="115" t="inlineStr">
        <is>
          <t>MEGA VARLIK</t>
        </is>
      </c>
      <c r="D451" s="115" t="inlineStr">
        <is>
          <t xml:space="preserve">SM350 </t>
        </is>
      </c>
      <c r="E451" s="115" t="inlineStr">
        <is>
          <t xml:space="preserve">MİKAİL BAYILMAZ </t>
        </is>
      </c>
      <c r="F451" s="65" t="n"/>
      <c r="G451" s="152" t="n"/>
      <c r="H451" s="152" t="n">
        <v>258</v>
      </c>
      <c r="I451" s="156">
        <f>+I450+(G451-H451)</f>
        <v/>
      </c>
      <c r="J451" s="90" t="n">
        <v>49.4</v>
      </c>
      <c r="K451" s="166" t="n"/>
      <c r="L451" s="158">
        <f>+H451*J451</f>
        <v/>
      </c>
      <c r="M451" s="159">
        <f>SUM(M450+K451-L451)</f>
        <v/>
      </c>
    </row>
    <row r="452">
      <c r="A452" s="151" t="n">
        <v>46065</v>
      </c>
      <c r="B452" s="70" t="n">
        <v>2535</v>
      </c>
      <c r="C452" s="115" t="inlineStr">
        <is>
          <t xml:space="preserve">AZGÜN YAPI </t>
        </is>
      </c>
      <c r="D452" s="115" t="inlineStr">
        <is>
          <t>34 MKT 593</t>
        </is>
      </c>
      <c r="E452" s="115" t="inlineStr">
        <is>
          <t>TURGUT ÇATAL</t>
        </is>
      </c>
      <c r="F452" s="65" t="n"/>
      <c r="G452" s="152" t="n"/>
      <c r="H452" s="152" t="n">
        <v>384</v>
      </c>
      <c r="I452" s="156">
        <f>+I451+(G452-H452)</f>
        <v/>
      </c>
      <c r="J452" s="90" t="n">
        <v>49.4</v>
      </c>
      <c r="K452" s="166" t="n"/>
      <c r="L452" s="158">
        <f>+H452*J452</f>
        <v/>
      </c>
      <c r="M452" s="159">
        <f>SUM(M451+K452-L452)</f>
        <v/>
      </c>
    </row>
    <row r="453">
      <c r="A453" s="151" t="n">
        <v>46065</v>
      </c>
      <c r="B453" s="70" t="n">
        <v>3281</v>
      </c>
      <c r="C453" s="115" t="inlineStr">
        <is>
          <t xml:space="preserve">AZGÜN YAPI </t>
        </is>
      </c>
      <c r="D453" s="115" t="inlineStr">
        <is>
          <t xml:space="preserve">34 DTV 263 </t>
        </is>
      </c>
      <c r="E453" s="115" t="inlineStr">
        <is>
          <t>İRFAN DAĞLAR</t>
        </is>
      </c>
      <c r="F453" s="65" t="n"/>
      <c r="G453" s="152" t="n"/>
      <c r="H453" s="152" t="n">
        <v>386</v>
      </c>
      <c r="I453" s="156">
        <f>+I452+(G453-H453)</f>
        <v/>
      </c>
      <c r="J453" s="90" t="n">
        <v>49.4</v>
      </c>
      <c r="K453" s="166" t="n"/>
      <c r="L453" s="158">
        <f>+H453*J453</f>
        <v/>
      </c>
      <c r="M453" s="159">
        <f>SUM(M452+K453-L453)</f>
        <v/>
      </c>
    </row>
    <row r="454">
      <c r="A454" s="151" t="n">
        <v>46065</v>
      </c>
      <c r="B454" s="70" t="n">
        <v>1385</v>
      </c>
      <c r="C454" s="115" t="inlineStr">
        <is>
          <t xml:space="preserve">AZGÜN YAPI </t>
        </is>
      </c>
      <c r="D454" s="115" t="inlineStr">
        <is>
          <t>34 MKT 859</t>
        </is>
      </c>
      <c r="E454" s="115" t="inlineStr">
        <is>
          <t>ONUR CANLI</t>
        </is>
      </c>
      <c r="F454" s="65" t="n"/>
      <c r="G454" s="152" t="n"/>
      <c r="H454" s="152" t="n">
        <v>244</v>
      </c>
      <c r="I454" s="156">
        <f>+I453+(G454-H454)</f>
        <v/>
      </c>
      <c r="J454" s="90" t="n">
        <v>49.4</v>
      </c>
      <c r="K454" s="166" t="n"/>
      <c r="L454" s="158">
        <f>+H454*J454</f>
        <v/>
      </c>
      <c r="M454" s="159">
        <f>SUM(M453+K454-L454)</f>
        <v/>
      </c>
    </row>
    <row r="455">
      <c r="A455" s="151" t="n">
        <v>46066</v>
      </c>
      <c r="B455" s="70" t="n">
        <v>2384</v>
      </c>
      <c r="C455" s="115" t="inlineStr">
        <is>
          <t>SELİM İNŞAAT</t>
        </is>
      </c>
      <c r="D455" s="115" t="inlineStr">
        <is>
          <t>34 FEM 934</t>
        </is>
      </c>
      <c r="E455" s="115" t="inlineStr">
        <is>
          <t>ABDULKERİM ERGEN</t>
        </is>
      </c>
      <c r="F455" s="65" t="n">
        <v>331596</v>
      </c>
      <c r="G455" s="152" t="n"/>
      <c r="H455" s="152" t="n">
        <v>66</v>
      </c>
      <c r="I455" s="156">
        <f>+I454+(G455-H455)</f>
        <v/>
      </c>
      <c r="J455" s="90" t="n">
        <v>49.4</v>
      </c>
      <c r="K455" s="166" t="n"/>
      <c r="L455" s="158">
        <f>+H455*J455</f>
        <v/>
      </c>
      <c r="M455" s="159">
        <f>SUM(M454+K455-L455)</f>
        <v/>
      </c>
    </row>
    <row r="456">
      <c r="A456" s="151" t="n">
        <v>46066</v>
      </c>
      <c r="B456" s="70" t="n">
        <v>4598</v>
      </c>
      <c r="C456" s="115" t="inlineStr">
        <is>
          <t>AHMET SELİM TEMHA</t>
        </is>
      </c>
      <c r="D456" s="115" t="inlineStr">
        <is>
          <t>34 PGT 251</t>
        </is>
      </c>
      <c r="E456" s="115" t="inlineStr">
        <is>
          <t>ERSOY SIĞINMAZ</t>
        </is>
      </c>
      <c r="F456" s="65" t="n"/>
      <c r="G456" s="152" t="n"/>
      <c r="H456" s="152" t="n">
        <v>53</v>
      </c>
      <c r="I456" s="156">
        <f>+I455+(G456-H456)</f>
        <v/>
      </c>
      <c r="J456" s="90" t="n">
        <v>49.4</v>
      </c>
      <c r="K456" s="166" t="n"/>
      <c r="L456" s="158">
        <f>+H456*J456</f>
        <v/>
      </c>
      <c r="M456" s="159">
        <f>SUM(M455+K456-L456)</f>
        <v/>
      </c>
    </row>
    <row r="457">
      <c r="A457" s="151" t="n">
        <v>46066</v>
      </c>
      <c r="B457" s="70" t="n">
        <v>4599</v>
      </c>
      <c r="C457" s="115" t="inlineStr">
        <is>
          <t>AHMET SELİM TEMHA</t>
        </is>
      </c>
      <c r="D457" s="115" t="inlineStr">
        <is>
          <t>FORKLİFT</t>
        </is>
      </c>
      <c r="E457" s="115" t="inlineStr">
        <is>
          <t>ERSOY SIĞINMAZ</t>
        </is>
      </c>
      <c r="F457" s="65" t="n"/>
      <c r="G457" s="152" t="n"/>
      <c r="H457" s="152" t="n">
        <v>32</v>
      </c>
      <c r="I457" s="156">
        <f>+I456+(G457-H457)</f>
        <v/>
      </c>
      <c r="J457" s="90" t="n">
        <v>49.4</v>
      </c>
      <c r="K457" s="166" t="n"/>
      <c r="L457" s="158">
        <f>+H457*J457</f>
        <v/>
      </c>
      <c r="M457" s="159">
        <f>SUM(M456+K457-L457)</f>
        <v/>
      </c>
    </row>
    <row r="458">
      <c r="A458" s="167" t="n">
        <v>46067</v>
      </c>
      <c r="B458" s="83" t="n">
        <v>298</v>
      </c>
      <c r="C458" s="84" t="inlineStr">
        <is>
          <t>ÜNSOY TURİZM İNŞ.SAN.VE TİC.A.Ş.</t>
        </is>
      </c>
      <c r="D458" s="84" t="n"/>
      <c r="E458" s="84" t="n"/>
      <c r="F458" s="85" t="n"/>
      <c r="G458" s="168" t="n">
        <v>24823</v>
      </c>
      <c r="H458" s="168" t="n"/>
      <c r="I458" s="168">
        <f>+I457+(G458-H458)</f>
        <v/>
      </c>
      <c r="J458" s="87">
        <f>+K458/G458</f>
        <v/>
      </c>
      <c r="K458" s="169" t="n">
        <v>1226256.18</v>
      </c>
      <c r="L458" s="170">
        <f>+H458*J458</f>
        <v/>
      </c>
      <c r="M458" s="159">
        <f>SUM(M457+K458-L458)</f>
        <v/>
      </c>
    </row>
    <row r="459">
      <c r="A459" s="151" t="n">
        <v>46067</v>
      </c>
      <c r="B459" s="70" t="n">
        <v>3168</v>
      </c>
      <c r="C459" s="115" t="inlineStr">
        <is>
          <t>SELİM İNŞAAT</t>
        </is>
      </c>
      <c r="D459" s="115" t="inlineStr">
        <is>
          <t>34 DTB 599</t>
        </is>
      </c>
      <c r="E459" s="115" t="inlineStr">
        <is>
          <t>HÜSEYİN DENİZ</t>
        </is>
      </c>
      <c r="F459" s="65" t="n">
        <v>473384</v>
      </c>
      <c r="G459" s="152" t="n"/>
      <c r="H459" s="152" t="n">
        <v>429</v>
      </c>
      <c r="I459" s="156">
        <f>+I458+(G459-H459)</f>
        <v/>
      </c>
      <c r="J459" s="90" t="n">
        <v>49.4</v>
      </c>
      <c r="K459" s="166" t="n"/>
      <c r="L459" s="158">
        <f>+H459*J459</f>
        <v/>
      </c>
      <c r="M459" s="159">
        <f>SUM(M458+K459-L459)</f>
        <v/>
      </c>
    </row>
    <row r="460">
      <c r="A460" s="151" t="n">
        <v>46067</v>
      </c>
      <c r="B460" s="70" t="n">
        <v>1849</v>
      </c>
      <c r="C460" s="115" t="inlineStr">
        <is>
          <t>SELİM İNŞAAT</t>
        </is>
      </c>
      <c r="D460" s="115" t="inlineStr">
        <is>
          <t>34 EGR 922</t>
        </is>
      </c>
      <c r="E460" s="115" t="inlineStr">
        <is>
          <t>FARUK ÖZEN</t>
        </is>
      </c>
      <c r="F460" s="65" t="n">
        <v>502087</v>
      </c>
      <c r="G460" s="152" t="n"/>
      <c r="H460" s="152" t="n">
        <v>367</v>
      </c>
      <c r="I460" s="156">
        <f>+I459+(G460-H460)</f>
        <v/>
      </c>
      <c r="J460" s="90" t="n">
        <v>49.4</v>
      </c>
      <c r="K460" s="166" t="n"/>
      <c r="L460" s="158">
        <f>+H460*J460</f>
        <v/>
      </c>
      <c r="M460" s="159">
        <f>SUM(M459+K460-L460)</f>
        <v/>
      </c>
    </row>
    <row r="461">
      <c r="A461" s="151" t="n">
        <v>46067</v>
      </c>
      <c r="B461" s="70" t="n">
        <v>3828</v>
      </c>
      <c r="C461" s="115" t="inlineStr">
        <is>
          <t>SELİM İNŞAAT</t>
        </is>
      </c>
      <c r="D461" s="115" t="inlineStr">
        <is>
          <t>34 GYZ 635</t>
        </is>
      </c>
      <c r="E461" s="115" t="inlineStr">
        <is>
          <t>ADEM DENİZ</t>
        </is>
      </c>
      <c r="F461" s="65" t="n">
        <v>224080</v>
      </c>
      <c r="G461" s="152" t="n"/>
      <c r="H461" s="152" t="n">
        <v>370</v>
      </c>
      <c r="I461" s="156">
        <f>+I460+(G461-H461)</f>
        <v/>
      </c>
      <c r="J461" s="90" t="n">
        <v>49.4</v>
      </c>
      <c r="K461" s="166" t="n"/>
      <c r="L461" s="158">
        <f>+H461*J461</f>
        <v/>
      </c>
      <c r="M461" s="159">
        <f>SUM(M460+K461-L461)</f>
        <v/>
      </c>
    </row>
    <row r="462">
      <c r="A462" s="151" t="n">
        <v>46067</v>
      </c>
      <c r="B462" s="70" t="n">
        <v>3620</v>
      </c>
      <c r="C462" s="115" t="inlineStr">
        <is>
          <t>SELİM İNŞAAT</t>
        </is>
      </c>
      <c r="D462" s="115" t="inlineStr">
        <is>
          <t>34 EDB 922</t>
        </is>
      </c>
      <c r="E462" s="115" t="inlineStr">
        <is>
          <t>ÇAĞDAŞ YÜCESAN</t>
        </is>
      </c>
      <c r="F462" s="65" t="n">
        <v>406110</v>
      </c>
      <c r="G462" s="152" t="n"/>
      <c r="H462" s="152" t="n">
        <v>495</v>
      </c>
      <c r="I462" s="156">
        <f>+I461+(G462-H462)</f>
        <v/>
      </c>
      <c r="J462" s="90" t="n">
        <v>49.4</v>
      </c>
      <c r="K462" s="166" t="n"/>
      <c r="L462" s="158">
        <f>+H462*J462</f>
        <v/>
      </c>
      <c r="M462" s="159">
        <f>SUM(M461+K462-L462)</f>
        <v/>
      </c>
    </row>
    <row r="463">
      <c r="A463" s="151" t="n">
        <v>46067</v>
      </c>
      <c r="B463" s="70" t="n">
        <v>1543</v>
      </c>
      <c r="C463" s="115" t="inlineStr">
        <is>
          <t>SELİM İNŞAAT</t>
        </is>
      </c>
      <c r="D463" s="115" t="inlineStr">
        <is>
          <t>34 GUS 848</t>
        </is>
      </c>
      <c r="E463" s="115" t="inlineStr">
        <is>
          <t>SERDAR BOZKURT</t>
        </is>
      </c>
      <c r="F463" s="65" t="n">
        <v>229548</v>
      </c>
      <c r="G463" s="152" t="n"/>
      <c r="H463" s="152" t="n">
        <v>480</v>
      </c>
      <c r="I463" s="156">
        <f>+I462+(G463-H463)</f>
        <v/>
      </c>
      <c r="J463" s="90" t="n">
        <v>49.4</v>
      </c>
      <c r="K463" s="166" t="n"/>
      <c r="L463" s="158">
        <f>+H463*J463</f>
        <v/>
      </c>
      <c r="M463" s="159">
        <f>SUM(M462+K463-L463)</f>
        <v/>
      </c>
    </row>
    <row r="464">
      <c r="A464" s="151" t="n">
        <v>46067</v>
      </c>
      <c r="B464" s="70" t="n">
        <v>3423</v>
      </c>
      <c r="C464" s="115" t="inlineStr">
        <is>
          <t>SELİM İNŞAAT</t>
        </is>
      </c>
      <c r="D464" s="115" t="inlineStr">
        <is>
          <t>34 GVZ 310</t>
        </is>
      </c>
      <c r="E464" s="115" t="inlineStr">
        <is>
          <t>CELAL YÜZBAŞI</t>
        </is>
      </c>
      <c r="F464" s="65" t="n">
        <v>244347</v>
      </c>
      <c r="G464" s="152" t="n"/>
      <c r="H464" s="152" t="n">
        <v>400</v>
      </c>
      <c r="I464" s="156">
        <f>+I463+(G464-H464)</f>
        <v/>
      </c>
      <c r="J464" s="90" t="n">
        <v>49.4</v>
      </c>
      <c r="K464" s="166" t="n"/>
      <c r="L464" s="158">
        <f>+H464*J464</f>
        <v/>
      </c>
      <c r="M464" s="159">
        <f>SUM(M463+K464-L464)</f>
        <v/>
      </c>
    </row>
    <row r="465">
      <c r="A465" s="151" t="n">
        <v>46067</v>
      </c>
      <c r="B465" s="70" t="n">
        <v>3484</v>
      </c>
      <c r="C465" s="115" t="inlineStr">
        <is>
          <t>SELİM İNŞAAT</t>
        </is>
      </c>
      <c r="D465" s="115" t="inlineStr">
        <is>
          <t>34 EDB 754</t>
        </is>
      </c>
      <c r="E465" s="115" t="inlineStr">
        <is>
          <t>MUSTAFA KAYA</t>
        </is>
      </c>
      <c r="F465" s="65" t="n">
        <v>369462</v>
      </c>
      <c r="G465" s="152" t="n"/>
      <c r="H465" s="152" t="n">
        <v>408</v>
      </c>
      <c r="I465" s="156">
        <f>+I464+(G465-H465)</f>
        <v/>
      </c>
      <c r="J465" s="90" t="n">
        <v>49.4</v>
      </c>
      <c r="K465" s="166" t="n"/>
      <c r="L465" s="158">
        <f>+H465*J465</f>
        <v/>
      </c>
      <c r="M465" s="159">
        <f>SUM(M464+K465-L465)</f>
        <v/>
      </c>
    </row>
    <row r="466">
      <c r="A466" s="151" t="n">
        <v>46067</v>
      </c>
      <c r="B466" s="70" t="n">
        <v>4460</v>
      </c>
      <c r="C466" s="115" t="inlineStr">
        <is>
          <t>SELİM İNŞAAT</t>
        </is>
      </c>
      <c r="D466" s="115" t="inlineStr">
        <is>
          <t>34 DKL 798</t>
        </is>
      </c>
      <c r="E466" s="115" t="inlineStr">
        <is>
          <t>HASAN BAYCA</t>
        </is>
      </c>
      <c r="F466" s="65" t="n">
        <v>80347</v>
      </c>
      <c r="G466" s="152" t="n"/>
      <c r="H466" s="152" t="n">
        <v>265</v>
      </c>
      <c r="I466" s="156">
        <f>+I465+(G466-H466)</f>
        <v/>
      </c>
      <c r="J466" s="90" t="n">
        <v>49.4</v>
      </c>
      <c r="K466" s="166" t="n"/>
      <c r="L466" s="158">
        <f>+H466*J466</f>
        <v/>
      </c>
      <c r="M466" s="159">
        <f>SUM(M465+K466-L466)</f>
        <v/>
      </c>
    </row>
    <row r="467">
      <c r="A467" s="151" t="n">
        <v>46067</v>
      </c>
      <c r="B467" s="70" t="n">
        <v>706</v>
      </c>
      <c r="C467" s="115" t="inlineStr">
        <is>
          <t>METİN ERYİĞİT</t>
        </is>
      </c>
      <c r="D467" s="115" t="inlineStr">
        <is>
          <t>34 EGS 013</t>
        </is>
      </c>
      <c r="E467" s="115" t="inlineStr">
        <is>
          <t>UĞUR DUMAN</t>
        </is>
      </c>
      <c r="F467" s="65" t="n">
        <v>557161</v>
      </c>
      <c r="G467" s="152" t="n"/>
      <c r="H467" s="152" t="n">
        <v>500</v>
      </c>
      <c r="I467" s="156">
        <f>+I466+(G467-H467)</f>
        <v/>
      </c>
      <c r="J467" s="90" t="n">
        <v>49.4</v>
      </c>
      <c r="K467" s="166" t="n"/>
      <c r="L467" s="158">
        <f>+H467*J467</f>
        <v/>
      </c>
      <c r="M467" s="159">
        <f>SUM(M466+K467-L467)</f>
        <v/>
      </c>
    </row>
    <row r="468">
      <c r="A468" s="151" t="n">
        <v>46067</v>
      </c>
      <c r="B468" s="70" t="n">
        <v>3801</v>
      </c>
      <c r="C468" s="115" t="inlineStr">
        <is>
          <t>METİN ERYİĞİT</t>
        </is>
      </c>
      <c r="D468" s="115" t="inlineStr">
        <is>
          <t>34 GBL 998</t>
        </is>
      </c>
      <c r="E468" s="115" t="inlineStr">
        <is>
          <t>ALİ KESKİN</t>
        </is>
      </c>
      <c r="F468" s="65" t="n">
        <v>340328</v>
      </c>
      <c r="G468" s="152" t="n"/>
      <c r="H468" s="152" t="n">
        <v>371</v>
      </c>
      <c r="I468" s="156">
        <f>+I467+(G468-H468)</f>
        <v/>
      </c>
      <c r="J468" s="90" t="n">
        <v>49.4</v>
      </c>
      <c r="K468" s="166" t="n"/>
      <c r="L468" s="158">
        <f>+H468*J468</f>
        <v/>
      </c>
      <c r="M468" s="159">
        <f>SUM(M467+K468-L468)</f>
        <v/>
      </c>
    </row>
    <row r="469">
      <c r="A469" s="151" t="n">
        <v>46067</v>
      </c>
      <c r="B469" s="70" t="n">
        <v>2894</v>
      </c>
      <c r="C469" s="115" t="inlineStr">
        <is>
          <t>MEGA VARLIK</t>
        </is>
      </c>
      <c r="D469" s="115" t="inlineStr">
        <is>
          <t>HASAN ZEMİN</t>
        </is>
      </c>
      <c r="E469" s="115" t="n"/>
      <c r="F469" s="65" t="n"/>
      <c r="G469" s="152" t="n"/>
      <c r="H469" s="152" t="n">
        <v>381</v>
      </c>
      <c r="I469" s="156">
        <f>+I468+(G469-H469)</f>
        <v/>
      </c>
      <c r="J469" s="90" t="n">
        <v>49.4</v>
      </c>
      <c r="K469" s="166" t="n"/>
      <c r="L469" s="158">
        <f>+H469*J469</f>
        <v/>
      </c>
      <c r="M469" s="159">
        <f>SUM(M468+K469-L469)</f>
        <v/>
      </c>
    </row>
    <row r="470">
      <c r="A470" s="151" t="n">
        <v>46067</v>
      </c>
      <c r="B470" s="70" t="n">
        <v>4600</v>
      </c>
      <c r="C470" s="115" t="inlineStr">
        <is>
          <t>SELİM İNŞAAT</t>
        </is>
      </c>
      <c r="D470" s="115" t="inlineStr">
        <is>
          <t>34 BUR 461</t>
        </is>
      </c>
      <c r="E470" s="115" t="inlineStr">
        <is>
          <t xml:space="preserve">MUSTAFA ALBAYRAK </t>
        </is>
      </c>
      <c r="F470" s="65" t="n"/>
      <c r="G470" s="152" t="n"/>
      <c r="H470" s="152" t="n">
        <v>65</v>
      </c>
      <c r="I470" s="156">
        <f>+I469+(G470-H470)</f>
        <v/>
      </c>
      <c r="J470" s="90" t="n">
        <v>49.4</v>
      </c>
      <c r="K470" s="166" t="n"/>
      <c r="L470" s="158">
        <f>+H470*J470</f>
        <v/>
      </c>
      <c r="M470" s="159">
        <f>SUM(M469+K470-L470)</f>
        <v/>
      </c>
    </row>
    <row r="471">
      <c r="A471" s="151" t="n">
        <v>46067</v>
      </c>
      <c r="B471" s="70" t="n">
        <v>375</v>
      </c>
      <c r="C471" s="115" t="inlineStr">
        <is>
          <t>MEGA VARLIK</t>
        </is>
      </c>
      <c r="D471" s="115" t="inlineStr">
        <is>
          <t>KAWAZAKI</t>
        </is>
      </c>
      <c r="E471" s="115" t="inlineStr">
        <is>
          <t>RAMAZAN</t>
        </is>
      </c>
      <c r="F471" s="65" t="n"/>
      <c r="G471" s="152" t="n"/>
      <c r="H471" s="152" t="n">
        <v>236</v>
      </c>
      <c r="I471" s="156">
        <f>+I470+(G471-H471)</f>
        <v/>
      </c>
      <c r="J471" s="90" t="n">
        <v>49.4</v>
      </c>
      <c r="K471" s="166" t="n"/>
      <c r="L471" s="158">
        <f>+H471*J471</f>
        <v/>
      </c>
      <c r="M471" s="159">
        <f>SUM(M470+K471-L471)</f>
        <v/>
      </c>
    </row>
    <row r="472">
      <c r="A472" s="151" t="n">
        <v>46067</v>
      </c>
      <c r="B472" s="70" t="n">
        <v>376</v>
      </c>
      <c r="C472" s="115" t="inlineStr">
        <is>
          <t>YENİ HARFİYAT SS HADIMKÖY</t>
        </is>
      </c>
      <c r="D472" s="115" t="inlineStr">
        <is>
          <t>HITACHI</t>
        </is>
      </c>
      <c r="E472" s="115" t="inlineStr">
        <is>
          <t>TURGUT</t>
        </is>
      </c>
      <c r="F472" s="65" t="n"/>
      <c r="G472" s="152" t="n"/>
      <c r="H472" s="152" t="n">
        <v>458</v>
      </c>
      <c r="I472" s="156">
        <f>+I471+(G472-H472)</f>
        <v/>
      </c>
      <c r="J472" s="90" t="n">
        <v>49.4</v>
      </c>
      <c r="K472" s="166" t="n"/>
      <c r="L472" s="158">
        <f>+H472*J472</f>
        <v/>
      </c>
      <c r="M472" s="159">
        <f>SUM(M471+K472-L472)</f>
        <v/>
      </c>
    </row>
    <row r="473">
      <c r="A473" s="151" t="n">
        <v>46067</v>
      </c>
      <c r="B473" s="70" t="n">
        <v>1386</v>
      </c>
      <c r="C473" s="115" t="inlineStr">
        <is>
          <t xml:space="preserve">AZGÜN YAPI </t>
        </is>
      </c>
      <c r="D473" s="115" t="inlineStr">
        <is>
          <t>34 MKT 859</t>
        </is>
      </c>
      <c r="E473" s="115" t="inlineStr">
        <is>
          <t>ONUR CANLI</t>
        </is>
      </c>
      <c r="F473" s="65" t="n"/>
      <c r="G473" s="152" t="n"/>
      <c r="H473" s="152" t="n">
        <v>200</v>
      </c>
      <c r="I473" s="156">
        <f>+I472+(G473-H473)</f>
        <v/>
      </c>
      <c r="J473" s="90" t="n">
        <v>49.4</v>
      </c>
      <c r="K473" s="166" t="n"/>
      <c r="L473" s="158">
        <f>+H473*J473</f>
        <v/>
      </c>
      <c r="M473" s="159">
        <f>SUM(M472+K473-L473)</f>
        <v/>
      </c>
    </row>
    <row r="474">
      <c r="A474" s="151" t="n">
        <v>46069</v>
      </c>
      <c r="B474" s="70" t="n">
        <v>4258</v>
      </c>
      <c r="C474" s="115" t="inlineStr">
        <is>
          <t>SELİM İNŞAAT</t>
        </is>
      </c>
      <c r="D474" s="115" t="inlineStr">
        <is>
          <t>34 DSN 575</t>
        </is>
      </c>
      <c r="E474" s="115" t="inlineStr">
        <is>
          <t>ÇAĞDAŞ YÜCESAN</t>
        </is>
      </c>
      <c r="F474" s="65" t="n">
        <v>433845</v>
      </c>
      <c r="G474" s="152" t="n"/>
      <c r="H474" s="152" t="n">
        <v>250</v>
      </c>
      <c r="I474" s="156">
        <f>+I473+(G474-H474)</f>
        <v/>
      </c>
      <c r="J474" s="90" t="n">
        <v>49.4</v>
      </c>
      <c r="K474" s="166" t="n"/>
      <c r="L474" s="158">
        <f>+H474*J474</f>
        <v/>
      </c>
      <c r="M474" s="159">
        <f>SUM(M473+K474-L474)</f>
        <v/>
      </c>
    </row>
    <row r="475">
      <c r="A475" s="151" t="n">
        <v>46069</v>
      </c>
      <c r="B475" s="70" t="n">
        <v>511</v>
      </c>
      <c r="C475" s="115" t="inlineStr">
        <is>
          <t>SELİM İNŞAAT</t>
        </is>
      </c>
      <c r="D475" s="115" t="inlineStr">
        <is>
          <t>34 EGR 737</t>
        </is>
      </c>
      <c r="E475" s="115" t="inlineStr">
        <is>
          <t>CEM MUHTAR</t>
        </is>
      </c>
      <c r="F475" s="65" t="n">
        <v>458659</v>
      </c>
      <c r="G475" s="152" t="n"/>
      <c r="H475" s="152" t="n">
        <v>462</v>
      </c>
      <c r="I475" s="156">
        <f>+I474+(G475-H475)</f>
        <v/>
      </c>
      <c r="J475" s="90" t="n">
        <v>49.4</v>
      </c>
      <c r="K475" s="166" t="n"/>
      <c r="L475" s="158">
        <f>+H475*J475</f>
        <v/>
      </c>
      <c r="M475" s="159">
        <f>SUM(M474+K475-L475)</f>
        <v/>
      </c>
    </row>
    <row r="476">
      <c r="A476" s="151" t="n">
        <v>46069</v>
      </c>
      <c r="B476" s="70" t="n">
        <v>145</v>
      </c>
      <c r="C476" s="115" t="inlineStr">
        <is>
          <t>SELİM İNŞAAT</t>
        </is>
      </c>
      <c r="D476" s="115" t="inlineStr">
        <is>
          <t>34 FBR 771</t>
        </is>
      </c>
      <c r="E476" s="115" t="inlineStr">
        <is>
          <t>SALİH YALÇIN</t>
        </is>
      </c>
      <c r="F476" s="65" t="n">
        <v>347100</v>
      </c>
      <c r="G476" s="152" t="n"/>
      <c r="H476" s="152" t="n">
        <v>482</v>
      </c>
      <c r="I476" s="156">
        <f>+I475+(G476-H476)</f>
        <v/>
      </c>
      <c r="J476" s="90" t="n">
        <v>49.4</v>
      </c>
      <c r="K476" s="166" t="n"/>
      <c r="L476" s="158">
        <f>+H476*J476</f>
        <v/>
      </c>
      <c r="M476" s="159">
        <f>SUM(M475+K476-L476)</f>
        <v/>
      </c>
    </row>
    <row r="477">
      <c r="A477" s="151" t="n">
        <v>46069</v>
      </c>
      <c r="B477" s="70" t="n">
        <v>3386</v>
      </c>
      <c r="C477" s="115" t="inlineStr">
        <is>
          <t>SELİM İNŞAAT</t>
        </is>
      </c>
      <c r="D477" s="115" t="inlineStr">
        <is>
          <t>34 EDC 162</t>
        </is>
      </c>
      <c r="E477" s="115" t="inlineStr">
        <is>
          <t xml:space="preserve">YAKUP GÜNER </t>
        </is>
      </c>
      <c r="F477" s="65" t="n">
        <v>412645</v>
      </c>
      <c r="G477" s="152" t="n"/>
      <c r="H477" s="152" t="n">
        <v>400</v>
      </c>
      <c r="I477" s="156">
        <f>+I476+(G477-H477)</f>
        <v/>
      </c>
      <c r="J477" s="90" t="n">
        <v>49.4</v>
      </c>
      <c r="K477" s="166" t="n"/>
      <c r="L477" s="158">
        <f>+H477*J477</f>
        <v/>
      </c>
      <c r="M477" s="159">
        <f>SUM(M476+K477-L477)</f>
        <v/>
      </c>
    </row>
    <row r="478">
      <c r="A478" s="151" t="n">
        <v>46069</v>
      </c>
      <c r="B478" s="70" t="n">
        <v>2296</v>
      </c>
      <c r="C478" s="115" t="inlineStr">
        <is>
          <t>SELİM İNŞAAT</t>
        </is>
      </c>
      <c r="D478" s="115" t="inlineStr">
        <is>
          <t>34 DSN 636</t>
        </is>
      </c>
      <c r="E478" s="115" t="inlineStr">
        <is>
          <t>MAHSUN GÜVEN</t>
        </is>
      </c>
      <c r="F478" s="65" t="n">
        <v>431465</v>
      </c>
      <c r="G478" s="152" t="n"/>
      <c r="H478" s="152" t="n">
        <v>431</v>
      </c>
      <c r="I478" s="156">
        <f>+I477+(G478-H478)</f>
        <v/>
      </c>
      <c r="J478" s="90" t="n">
        <v>49.4</v>
      </c>
      <c r="K478" s="166" t="n"/>
      <c r="L478" s="158">
        <f>+H478*J478</f>
        <v/>
      </c>
      <c r="M478" s="159">
        <f>SUM(M477+K478-L478)</f>
        <v/>
      </c>
    </row>
    <row r="479">
      <c r="A479" s="151" t="n">
        <v>46069</v>
      </c>
      <c r="B479" s="70" t="n">
        <v>4872</v>
      </c>
      <c r="C479" s="115" t="inlineStr">
        <is>
          <t>SELİM İNŞAAT</t>
        </is>
      </c>
      <c r="D479" s="115" t="inlineStr">
        <is>
          <t>34 FBR 705</t>
        </is>
      </c>
      <c r="E479" s="115" t="inlineStr">
        <is>
          <t>MURAT SARI</t>
        </is>
      </c>
      <c r="F479" s="65" t="n">
        <v>359876</v>
      </c>
      <c r="G479" s="152" t="n"/>
      <c r="H479" s="152" t="n">
        <v>364</v>
      </c>
      <c r="I479" s="156">
        <f>+I478+(G479-H479)</f>
        <v/>
      </c>
      <c r="J479" s="90" t="n">
        <v>49.4</v>
      </c>
      <c r="K479" s="166" t="n"/>
      <c r="L479" s="158">
        <f>+H479*J479</f>
        <v/>
      </c>
      <c r="M479" s="159">
        <f>SUM(M478+K479-L479)</f>
        <v/>
      </c>
    </row>
    <row r="480">
      <c r="A480" s="151" t="n">
        <v>46069</v>
      </c>
      <c r="B480" s="70" t="n">
        <v>4966</v>
      </c>
      <c r="C480" s="115" t="inlineStr">
        <is>
          <t>SELİM İNŞAAT</t>
        </is>
      </c>
      <c r="D480" s="115" t="inlineStr">
        <is>
          <t>34 GVZ 745</t>
        </is>
      </c>
      <c r="E480" s="115" t="inlineStr">
        <is>
          <t>MURAT DEMİRBAŞ</t>
        </is>
      </c>
      <c r="F480" s="65" t="n">
        <v>244350</v>
      </c>
      <c r="G480" s="152" t="n"/>
      <c r="H480" s="152" t="n">
        <v>326</v>
      </c>
      <c r="I480" s="156">
        <f>+I479+(G480-H480)</f>
        <v/>
      </c>
      <c r="J480" s="90" t="n">
        <v>49.4</v>
      </c>
      <c r="K480" s="166" t="n"/>
      <c r="L480" s="158">
        <f>+H480*J480</f>
        <v/>
      </c>
      <c r="M480" s="159">
        <f>SUM(M479+K480-L480)</f>
        <v/>
      </c>
    </row>
    <row r="481">
      <c r="A481" s="151" t="n">
        <v>46069</v>
      </c>
      <c r="B481" s="70" t="n">
        <v>4922</v>
      </c>
      <c r="C481" s="115" t="inlineStr">
        <is>
          <t>SELİM İNŞAAT</t>
        </is>
      </c>
      <c r="D481" s="115" t="inlineStr">
        <is>
          <t>34 FBR 742</t>
        </is>
      </c>
      <c r="E481" s="115" t="inlineStr">
        <is>
          <t>ADNAN KOÇ</t>
        </is>
      </c>
      <c r="F481" s="65" t="n">
        <v>363813</v>
      </c>
      <c r="G481" s="152" t="n"/>
      <c r="H481" s="152" t="n">
        <v>267</v>
      </c>
      <c r="I481" s="156">
        <f>+I480+(G481-H481)</f>
        <v/>
      </c>
      <c r="J481" s="90" t="n">
        <v>49.4</v>
      </c>
      <c r="K481" s="166" t="n"/>
      <c r="L481" s="158">
        <f>+H481*J481</f>
        <v/>
      </c>
      <c r="M481" s="159">
        <f>SUM(M480+K481-L481)</f>
        <v/>
      </c>
    </row>
    <row r="482">
      <c r="A482" s="151" t="n">
        <v>46069</v>
      </c>
      <c r="B482" s="70" t="n">
        <v>902</v>
      </c>
      <c r="C482" s="115" t="inlineStr">
        <is>
          <t>SELİM İNŞAAT</t>
        </is>
      </c>
      <c r="D482" s="115" t="inlineStr">
        <is>
          <t>34 FSG 229</t>
        </is>
      </c>
      <c r="E482" s="115" t="inlineStr">
        <is>
          <t>SİNAN TANRIVERDİ</t>
        </is>
      </c>
      <c r="F482" s="65" t="n">
        <v>297745</v>
      </c>
      <c r="G482" s="152" t="n"/>
      <c r="H482" s="152" t="n">
        <v>415</v>
      </c>
      <c r="I482" s="156">
        <f>+I481+(G482-H482)</f>
        <v/>
      </c>
      <c r="J482" s="90" t="n">
        <v>49.4</v>
      </c>
      <c r="K482" s="166" t="n"/>
      <c r="L482" s="158">
        <f>+H482*J482</f>
        <v/>
      </c>
      <c r="M482" s="159">
        <f>SUM(M481+K482-L482)</f>
        <v/>
      </c>
    </row>
    <row r="483">
      <c r="A483" s="151" t="n">
        <v>46069</v>
      </c>
      <c r="B483" s="70" t="n">
        <v>4414</v>
      </c>
      <c r="C483" s="115" t="inlineStr">
        <is>
          <t>SELİM İNŞAAT</t>
        </is>
      </c>
      <c r="D483" s="115" t="inlineStr">
        <is>
          <t>34 DTV 409</t>
        </is>
      </c>
      <c r="E483" s="115" t="inlineStr">
        <is>
          <t>ATA KIZMAZ</t>
        </is>
      </c>
      <c r="F483" s="65" t="n">
        <v>452160</v>
      </c>
      <c r="G483" s="152" t="n"/>
      <c r="H483" s="152" t="n">
        <v>423</v>
      </c>
      <c r="I483" s="156">
        <f>+I482+(G483-H483)</f>
        <v/>
      </c>
      <c r="J483" s="90" t="n">
        <v>49.4</v>
      </c>
      <c r="K483" s="166" t="n"/>
      <c r="L483" s="158">
        <f>+H483*J483</f>
        <v/>
      </c>
      <c r="M483" s="159">
        <f>SUM(M482+K483-L483)</f>
        <v/>
      </c>
    </row>
    <row r="484">
      <c r="A484" s="151" t="n">
        <v>46069</v>
      </c>
      <c r="B484" s="70" t="n">
        <v>3221</v>
      </c>
      <c r="C484" s="115" t="inlineStr">
        <is>
          <t>SELİM İNŞAAT</t>
        </is>
      </c>
      <c r="D484" s="115" t="inlineStr">
        <is>
          <t>34 EGR 736</t>
        </is>
      </c>
      <c r="E484" s="115" t="inlineStr">
        <is>
          <t>HAKAN ÇAVUŞOĞLU</t>
        </is>
      </c>
      <c r="F484" s="65" t="n">
        <v>436791</v>
      </c>
      <c r="G484" s="152" t="n"/>
      <c r="H484" s="152" t="n">
        <v>480</v>
      </c>
      <c r="I484" s="156">
        <f>+I483+(G484-H484)</f>
        <v/>
      </c>
      <c r="J484" s="90" t="n">
        <v>49.4</v>
      </c>
      <c r="K484" s="166" t="n"/>
      <c r="L484" s="158">
        <f>+H484*J484</f>
        <v/>
      </c>
      <c r="M484" s="159">
        <f>SUM(M483+K484-L484)</f>
        <v/>
      </c>
    </row>
    <row r="485">
      <c r="A485" s="151" t="n">
        <v>46069</v>
      </c>
      <c r="B485" s="70" t="n">
        <v>1817</v>
      </c>
      <c r="C485" s="115" t="inlineStr">
        <is>
          <t>SELİM İNŞAAT</t>
        </is>
      </c>
      <c r="D485" s="115" t="inlineStr">
        <is>
          <t>34 EDB 559</t>
        </is>
      </c>
      <c r="E485" s="115" t="inlineStr">
        <is>
          <t>AZİZ ORUÇ</t>
        </is>
      </c>
      <c r="F485" s="65" t="n">
        <v>362400</v>
      </c>
      <c r="G485" s="152" t="n"/>
      <c r="H485" s="152" t="n">
        <v>453</v>
      </c>
      <c r="I485" s="156">
        <f>+I484+(G485-H485)</f>
        <v/>
      </c>
      <c r="J485" s="90" t="n">
        <v>49.4</v>
      </c>
      <c r="K485" s="166" t="n"/>
      <c r="L485" s="158">
        <f>+H485*J485</f>
        <v/>
      </c>
      <c r="M485" s="159">
        <f>SUM(M484+K485-L485)</f>
        <v/>
      </c>
    </row>
    <row r="486">
      <c r="A486" s="151" t="n">
        <v>46069</v>
      </c>
      <c r="B486" s="70" t="n">
        <v>4509</v>
      </c>
      <c r="C486" s="115" t="inlineStr">
        <is>
          <t>SELİM İNŞAAT</t>
        </is>
      </c>
      <c r="D486" s="115" t="inlineStr">
        <is>
          <t>34 DTB 352</t>
        </is>
      </c>
      <c r="E486" s="115" t="inlineStr">
        <is>
          <t>ENGİN DENİZ</t>
        </is>
      </c>
      <c r="F486" s="65" t="n">
        <v>473911</v>
      </c>
      <c r="G486" s="152" t="n"/>
      <c r="H486" s="152" t="n">
        <v>397</v>
      </c>
      <c r="I486" s="156">
        <f>+I485+(G486-H486)</f>
        <v/>
      </c>
      <c r="J486" s="90" t="n">
        <v>49.4</v>
      </c>
      <c r="K486" s="166" t="n"/>
      <c r="L486" s="158">
        <f>+H486*J486</f>
        <v/>
      </c>
      <c r="M486" s="159">
        <f>SUM(M485+K486-L486)</f>
        <v/>
      </c>
    </row>
    <row r="487">
      <c r="A487" s="151" t="n">
        <v>46069</v>
      </c>
      <c r="B487" s="70" t="n">
        <v>1339</v>
      </c>
      <c r="C487" s="115" t="inlineStr">
        <is>
          <t>SELİM İNŞAAT</t>
        </is>
      </c>
      <c r="D487" s="115" t="inlineStr">
        <is>
          <t>34 GVZ 199</t>
        </is>
      </c>
      <c r="E487" s="115" t="inlineStr">
        <is>
          <t>HÜSEYİN DENİZ</t>
        </is>
      </c>
      <c r="F487" s="65" t="n">
        <v>223910</v>
      </c>
      <c r="G487" s="152" t="n"/>
      <c r="H487" s="152" t="n">
        <v>426</v>
      </c>
      <c r="I487" s="156">
        <f>+I486+(G487-H487)</f>
        <v/>
      </c>
      <c r="J487" s="90" t="n">
        <v>49.4</v>
      </c>
      <c r="K487" s="166" t="n"/>
      <c r="L487" s="158">
        <f>+H487*J487</f>
        <v/>
      </c>
      <c r="M487" s="159">
        <f>SUM(M486+K487-L487)</f>
        <v/>
      </c>
    </row>
    <row r="488">
      <c r="A488" s="151" t="n">
        <v>46069</v>
      </c>
      <c r="B488" s="70" t="n">
        <v>3485</v>
      </c>
      <c r="C488" s="115" t="inlineStr">
        <is>
          <t>SELİM İNŞAAT</t>
        </is>
      </c>
      <c r="D488" s="115" t="inlineStr">
        <is>
          <t>34 EDB 754</t>
        </is>
      </c>
      <c r="E488" s="115" t="inlineStr">
        <is>
          <t>MUSTAFA KAYA</t>
        </is>
      </c>
      <c r="F488" s="65" t="n">
        <v>369996</v>
      </c>
      <c r="G488" s="152" t="n"/>
      <c r="H488" s="152" t="n">
        <v>369</v>
      </c>
      <c r="I488" s="156">
        <f>+I487+(G488-H488)</f>
        <v/>
      </c>
      <c r="J488" s="90" t="n">
        <v>49.4</v>
      </c>
      <c r="K488" s="166" t="n"/>
      <c r="L488" s="158">
        <f>+H488*J488</f>
        <v/>
      </c>
      <c r="M488" s="159">
        <f>SUM(M487+K488-L488)</f>
        <v/>
      </c>
    </row>
    <row r="489">
      <c r="A489" s="151" t="n">
        <v>46069</v>
      </c>
      <c r="B489" s="70" t="n">
        <v>4013</v>
      </c>
      <c r="C489" s="115" t="inlineStr">
        <is>
          <t>SELİM İNŞAAT</t>
        </is>
      </c>
      <c r="D489" s="115" t="inlineStr">
        <is>
          <t>34 AR 7743</t>
        </is>
      </c>
      <c r="E489" s="115" t="inlineStr">
        <is>
          <t>MEHMET SELİM</t>
        </is>
      </c>
      <c r="F489" s="65" t="n">
        <v>373323</v>
      </c>
      <c r="G489" s="152" t="n"/>
      <c r="H489" s="152" t="n">
        <v>42</v>
      </c>
      <c r="I489" s="156">
        <f>+I488+(G489-H489)</f>
        <v/>
      </c>
      <c r="J489" s="90" t="n">
        <v>49.4</v>
      </c>
      <c r="K489" s="166" t="n"/>
      <c r="L489" s="158">
        <f>+H489*J489</f>
        <v/>
      </c>
      <c r="M489" s="159">
        <f>SUM(M488+K489-L489)</f>
        <v/>
      </c>
    </row>
    <row r="490">
      <c r="A490" s="151" t="n">
        <v>46069</v>
      </c>
      <c r="B490" s="70" t="n">
        <v>1772</v>
      </c>
      <c r="C490" s="115" t="inlineStr">
        <is>
          <t>SELİM İNŞAAT</t>
        </is>
      </c>
      <c r="D490" s="115" t="inlineStr">
        <is>
          <t>34 JBA 25</t>
        </is>
      </c>
      <c r="E490" s="115" t="inlineStr">
        <is>
          <t xml:space="preserve">SELİMCAN ÖNVER </t>
        </is>
      </c>
      <c r="F490" s="65" t="n">
        <v>347707</v>
      </c>
      <c r="G490" s="152" t="n"/>
      <c r="H490" s="152" t="n">
        <v>68</v>
      </c>
      <c r="I490" s="156">
        <f>+I489+(G490-H490)</f>
        <v/>
      </c>
      <c r="J490" s="90" t="n">
        <v>49.4</v>
      </c>
      <c r="K490" s="166" t="n"/>
      <c r="L490" s="158">
        <f>+H490*J490</f>
        <v/>
      </c>
      <c r="M490" s="159">
        <f>SUM(M489+K490-L490)</f>
        <v/>
      </c>
    </row>
    <row r="491">
      <c r="A491" s="151" t="n">
        <v>46069</v>
      </c>
      <c r="B491" s="70" t="n">
        <v>3724</v>
      </c>
      <c r="C491" s="115" t="inlineStr">
        <is>
          <t>SELİM İNŞAAT</t>
        </is>
      </c>
      <c r="D491" s="115" t="inlineStr">
        <is>
          <t>34 DKL 866</t>
        </is>
      </c>
      <c r="E491" s="115" t="inlineStr">
        <is>
          <t xml:space="preserve">SELİMCAN ÖNVER </t>
        </is>
      </c>
      <c r="F491" s="65" t="n">
        <v>81711</v>
      </c>
      <c r="G491" s="152" t="n"/>
      <c r="H491" s="152" t="n">
        <v>242</v>
      </c>
      <c r="I491" s="156">
        <f>+I490+(G491-H491)</f>
        <v/>
      </c>
      <c r="J491" s="90" t="n">
        <v>49.4</v>
      </c>
      <c r="K491" s="166" t="n"/>
      <c r="L491" s="158">
        <f>+H491*J491</f>
        <v/>
      </c>
      <c r="M491" s="159">
        <f>SUM(M490+K491-L491)</f>
        <v/>
      </c>
    </row>
    <row r="492">
      <c r="A492" s="151" t="n">
        <v>46069</v>
      </c>
      <c r="B492" s="70" t="n">
        <v>2747</v>
      </c>
      <c r="C492" s="115" t="inlineStr">
        <is>
          <t>METİN ERYİĞİT</t>
        </is>
      </c>
      <c r="D492" s="115" t="inlineStr">
        <is>
          <t>34 EGR 814</t>
        </is>
      </c>
      <c r="E492" s="115" t="inlineStr">
        <is>
          <t xml:space="preserve">ZİYA İNCE </t>
        </is>
      </c>
      <c r="F492" s="65" t="n">
        <v>601994</v>
      </c>
      <c r="G492" s="152" t="n"/>
      <c r="H492" s="152" t="n">
        <v>470</v>
      </c>
      <c r="I492" s="156">
        <f>+I491+(G492-H492)</f>
        <v/>
      </c>
      <c r="J492" s="90" t="n">
        <v>49.4</v>
      </c>
      <c r="K492" s="166" t="n"/>
      <c r="L492" s="158">
        <f>+H492*J492</f>
        <v/>
      </c>
      <c r="M492" s="159">
        <f>SUM(M491+K492-L492)</f>
        <v/>
      </c>
    </row>
    <row r="493">
      <c r="A493" s="151" t="n">
        <v>46069</v>
      </c>
      <c r="B493" s="70" t="n">
        <v>2895</v>
      </c>
      <c r="C493" s="115" t="inlineStr">
        <is>
          <t>MEGA VARLIK</t>
        </is>
      </c>
      <c r="D493" s="115" t="inlineStr">
        <is>
          <t>HASAN ZEMİN</t>
        </is>
      </c>
      <c r="E493" s="115" t="n"/>
      <c r="F493" s="65" t="n"/>
      <c r="G493" s="152" t="n"/>
      <c r="H493" s="152" t="n">
        <v>500</v>
      </c>
      <c r="I493" s="156">
        <f>+I492+(G493-H493)</f>
        <v/>
      </c>
      <c r="J493" s="90" t="n">
        <v>49.4</v>
      </c>
      <c r="K493" s="166" t="n"/>
      <c r="L493" s="158">
        <f>+H493*J493</f>
        <v/>
      </c>
      <c r="M493" s="159">
        <f>SUM(M492+K493-L493)</f>
        <v/>
      </c>
    </row>
    <row r="494">
      <c r="A494" s="151" t="n">
        <v>46069</v>
      </c>
      <c r="B494" s="70" t="n">
        <v>377</v>
      </c>
      <c r="C494" s="115" t="inlineStr">
        <is>
          <t>SELİM İNŞAAT</t>
        </is>
      </c>
      <c r="D494" s="115" t="inlineStr">
        <is>
          <t xml:space="preserve"> 34 AZ 2191</t>
        </is>
      </c>
      <c r="E494" s="115" t="inlineStr">
        <is>
          <t>NUMAN KABİL</t>
        </is>
      </c>
      <c r="F494" s="65" t="n"/>
      <c r="G494" s="152" t="n"/>
      <c r="H494" s="152" t="n">
        <v>300</v>
      </c>
      <c r="I494" s="156">
        <f>+I493+(G494-H494)</f>
        <v/>
      </c>
      <c r="J494" s="90" t="n">
        <v>49.4</v>
      </c>
      <c r="K494" s="166" t="n"/>
      <c r="L494" s="158">
        <f>+H494*J494</f>
        <v/>
      </c>
      <c r="M494" s="159">
        <f>SUM(M493+K494-L494)</f>
        <v/>
      </c>
    </row>
    <row r="495">
      <c r="A495" s="151" t="n">
        <v>46069</v>
      </c>
      <c r="B495" s="70" t="n">
        <v>378</v>
      </c>
      <c r="C495" s="115" t="inlineStr">
        <is>
          <t>MEGA VARLIK</t>
        </is>
      </c>
      <c r="D495" s="115" t="inlineStr">
        <is>
          <t xml:space="preserve">SM350 </t>
        </is>
      </c>
      <c r="E495" s="115" t="inlineStr">
        <is>
          <t>TEVFİK ÖZTÜRK</t>
        </is>
      </c>
      <c r="F495" s="65" t="n"/>
      <c r="G495" s="152" t="n"/>
      <c r="H495" s="152" t="n">
        <v>455</v>
      </c>
      <c r="I495" s="156">
        <f>+I494+(G495-H495)</f>
        <v/>
      </c>
      <c r="J495" s="90" t="n">
        <v>49.4</v>
      </c>
      <c r="K495" s="166" t="n"/>
      <c r="L495" s="158">
        <f>+H495*J495</f>
        <v/>
      </c>
      <c r="M495" s="159">
        <f>SUM(M494+K495-L495)</f>
        <v/>
      </c>
    </row>
    <row r="496">
      <c r="A496" s="151" t="n">
        <v>46069</v>
      </c>
      <c r="B496" s="70" t="n">
        <v>379</v>
      </c>
      <c r="C496" s="115" t="inlineStr">
        <is>
          <t>MEGA VARLIK</t>
        </is>
      </c>
      <c r="D496" s="115" t="inlineStr">
        <is>
          <t xml:space="preserve">SM350 </t>
        </is>
      </c>
      <c r="E496" s="115" t="inlineStr">
        <is>
          <t xml:space="preserve">MİKAİL BAYILMAZ </t>
        </is>
      </c>
      <c r="F496" s="65" t="n"/>
      <c r="G496" s="152" t="n"/>
      <c r="H496" s="152" t="n">
        <v>377</v>
      </c>
      <c r="I496" s="156">
        <f>+I495+(G496-H496)</f>
        <v/>
      </c>
      <c r="J496" s="90" t="n">
        <v>49.4</v>
      </c>
      <c r="K496" s="166" t="n"/>
      <c r="L496" s="158">
        <f>+H496*J496</f>
        <v/>
      </c>
      <c r="M496" s="159">
        <f>SUM(M495+K496-L496)</f>
        <v/>
      </c>
    </row>
    <row r="497">
      <c r="A497" s="151" t="n">
        <v>46069</v>
      </c>
      <c r="B497" s="70" t="n">
        <v>380</v>
      </c>
      <c r="C497" s="115" t="inlineStr">
        <is>
          <t>YENİ HARFİYAT SS HADIMKÖY</t>
        </is>
      </c>
      <c r="D497" s="115" t="inlineStr">
        <is>
          <t>HITACHI</t>
        </is>
      </c>
      <c r="E497" s="115" t="inlineStr">
        <is>
          <t>TURGUT</t>
        </is>
      </c>
      <c r="F497" s="65" t="n"/>
      <c r="G497" s="152" t="n"/>
      <c r="H497" s="152" t="n">
        <v>400</v>
      </c>
      <c r="I497" s="156">
        <f>+I496+(G497-H497)</f>
        <v/>
      </c>
      <c r="J497" s="90" t="n">
        <v>49.4</v>
      </c>
      <c r="K497" s="166" t="n"/>
      <c r="L497" s="158">
        <f>+H497*J497</f>
        <v/>
      </c>
      <c r="M497" s="159">
        <f>SUM(M496+K497-L497)</f>
        <v/>
      </c>
    </row>
    <row r="498">
      <c r="A498" s="151" t="n">
        <v>46069</v>
      </c>
      <c r="B498" s="70" t="n">
        <v>2536</v>
      </c>
      <c r="C498" s="115" t="inlineStr">
        <is>
          <t xml:space="preserve">AZGÜN YAPI </t>
        </is>
      </c>
      <c r="D498" s="115" t="inlineStr">
        <is>
          <t>34 MKT 593</t>
        </is>
      </c>
      <c r="E498" s="115" t="inlineStr">
        <is>
          <t>TURGUT ÇATAL</t>
        </is>
      </c>
      <c r="F498" s="65" t="n"/>
      <c r="G498" s="152" t="n"/>
      <c r="H498" s="152" t="n">
        <v>300</v>
      </c>
      <c r="I498" s="156">
        <f>+I497+(G498-H498)</f>
        <v/>
      </c>
      <c r="J498" s="90" t="n">
        <v>49.4</v>
      </c>
      <c r="K498" s="166" t="n"/>
      <c r="L498" s="158">
        <f>+H498*J498</f>
        <v/>
      </c>
      <c r="M498" s="159">
        <f>SUM(M497+K498-L498)</f>
        <v/>
      </c>
    </row>
    <row r="499">
      <c r="A499" s="151" t="n">
        <v>46069</v>
      </c>
      <c r="B499" s="70" t="n">
        <v>3282</v>
      </c>
      <c r="C499" s="115" t="inlineStr">
        <is>
          <t xml:space="preserve">AZGÜN YAPI </t>
        </is>
      </c>
      <c r="D499" s="115" t="inlineStr">
        <is>
          <t xml:space="preserve">34 DTV 263 </t>
        </is>
      </c>
      <c r="E499" s="115" t="inlineStr">
        <is>
          <t>İRFAN DAĞLAR</t>
        </is>
      </c>
      <c r="F499" s="65" t="n"/>
      <c r="G499" s="152" t="n"/>
      <c r="H499" s="152" t="n">
        <v>420</v>
      </c>
      <c r="I499" s="156">
        <f>+I498+(G499-H499)</f>
        <v/>
      </c>
      <c r="J499" s="90" t="n">
        <v>49.4</v>
      </c>
      <c r="K499" s="166" t="n"/>
      <c r="L499" s="158">
        <f>+H499*J499</f>
        <v/>
      </c>
      <c r="M499" s="159">
        <f>SUM(M498+K499-L499)</f>
        <v/>
      </c>
    </row>
    <row r="500">
      <c r="A500" s="151" t="n">
        <v>46070</v>
      </c>
      <c r="B500" s="70" t="n">
        <v>802</v>
      </c>
      <c r="C500" s="115" t="inlineStr">
        <is>
          <t>METİN ERYİĞİT</t>
        </is>
      </c>
      <c r="D500" s="115" t="inlineStr">
        <is>
          <t>34 GBL 998</t>
        </is>
      </c>
      <c r="E500" s="115" t="inlineStr">
        <is>
          <t>ALİ KESKİN</t>
        </is>
      </c>
      <c r="F500" s="65" t="n"/>
      <c r="G500" s="152" t="n"/>
      <c r="H500" s="152" t="n">
        <v>395</v>
      </c>
      <c r="I500" s="156">
        <f>+I499+(G500-H500)</f>
        <v/>
      </c>
      <c r="J500" s="90" t="n">
        <v>49.4</v>
      </c>
      <c r="K500" s="166" t="n"/>
      <c r="L500" s="158">
        <f>+H500*J500</f>
        <v/>
      </c>
      <c r="M500" s="159">
        <f>SUM(M499+K500-L500)</f>
        <v/>
      </c>
    </row>
    <row r="501">
      <c r="A501" s="151" t="n">
        <v>46070</v>
      </c>
      <c r="B501" s="70" t="n">
        <v>707</v>
      </c>
      <c r="C501" s="115" t="inlineStr">
        <is>
          <t>METİN ERYİĞİT</t>
        </is>
      </c>
      <c r="D501" s="115" t="inlineStr">
        <is>
          <t>34 EGS 013</t>
        </is>
      </c>
      <c r="E501" s="115" t="inlineStr">
        <is>
          <t>UĞUR DUMAN</t>
        </is>
      </c>
      <c r="F501" s="65" t="n"/>
      <c r="G501" s="152" t="n"/>
      <c r="H501" s="152" t="n">
        <v>385</v>
      </c>
      <c r="I501" s="156">
        <f>+I500+(G501-H501)</f>
        <v/>
      </c>
      <c r="J501" s="90" t="n">
        <v>49.4</v>
      </c>
      <c r="K501" s="166" t="n"/>
      <c r="L501" s="158">
        <f>+H501*J501</f>
        <v/>
      </c>
      <c r="M501" s="159">
        <f>SUM(M500+K501-L501)</f>
        <v/>
      </c>
    </row>
    <row r="502">
      <c r="A502" s="151" t="n">
        <v>46070</v>
      </c>
      <c r="B502" s="70" t="n">
        <v>381</v>
      </c>
      <c r="C502" s="115" t="inlineStr">
        <is>
          <t>HASALTUN</t>
        </is>
      </c>
      <c r="D502" s="115" t="inlineStr">
        <is>
          <t>SİLİNDİR</t>
        </is>
      </c>
      <c r="E502" s="115" t="inlineStr">
        <is>
          <t xml:space="preserve">MEHMET ALİ SANCAK </t>
        </is>
      </c>
      <c r="F502" s="65" t="n"/>
      <c r="G502" s="152" t="n"/>
      <c r="H502" s="152" t="n">
        <v>393</v>
      </c>
      <c r="I502" s="156">
        <f>+I501+(G502-H502)</f>
        <v/>
      </c>
      <c r="J502" s="90" t="n">
        <v>49.4</v>
      </c>
      <c r="K502" s="166" t="n"/>
      <c r="L502" s="158">
        <f>+H502*J502</f>
        <v/>
      </c>
      <c r="M502" s="159">
        <f>SUM(M501+K502-L502)</f>
        <v/>
      </c>
    </row>
    <row r="503">
      <c r="A503" s="151" t="n">
        <v>46070</v>
      </c>
      <c r="B503" s="70" t="n">
        <v>382</v>
      </c>
      <c r="C503" s="115" t="inlineStr">
        <is>
          <t>HASALTUN</t>
        </is>
      </c>
      <c r="D503" s="115" t="inlineStr">
        <is>
          <t>MANITO2260</t>
        </is>
      </c>
      <c r="E503" s="115" t="inlineStr">
        <is>
          <t>MUHAMMED KANTAR</t>
        </is>
      </c>
      <c r="F503" s="65" t="n"/>
      <c r="G503" s="152" t="n"/>
      <c r="H503" s="152" t="n">
        <v>160</v>
      </c>
      <c r="I503" s="156">
        <f>+I502+(G503-H503)</f>
        <v/>
      </c>
      <c r="J503" s="90" t="n">
        <v>49.4</v>
      </c>
      <c r="K503" s="166" t="n"/>
      <c r="L503" s="158">
        <f>+H503*J503</f>
        <v/>
      </c>
      <c r="M503" s="159">
        <f>SUM(M502+K503-L503)</f>
        <v/>
      </c>
    </row>
    <row r="504">
      <c r="A504" s="151" t="n">
        <v>46070</v>
      </c>
      <c r="B504" s="70" t="n">
        <v>383</v>
      </c>
      <c r="C504" s="115" t="inlineStr">
        <is>
          <t>EVKUR</t>
        </is>
      </c>
      <c r="D504" s="115" t="inlineStr">
        <is>
          <t xml:space="preserve">JCB </t>
        </is>
      </c>
      <c r="E504" s="115" t="inlineStr">
        <is>
          <t>GÜNEŞ BEY</t>
        </is>
      </c>
      <c r="F504" s="65" t="n"/>
      <c r="G504" s="152" t="n"/>
      <c r="H504" s="152" t="n">
        <v>70</v>
      </c>
      <c r="I504" s="156">
        <f>+I503+(G504-H504)</f>
        <v/>
      </c>
      <c r="J504" s="90" t="n">
        <v>49.4</v>
      </c>
      <c r="K504" s="166" t="n"/>
      <c r="L504" s="158">
        <f>+H504*J504</f>
        <v/>
      </c>
      <c r="M504" s="159">
        <f>SUM(M503+K504-L504)</f>
        <v/>
      </c>
    </row>
    <row r="505">
      <c r="A505" s="151" t="n">
        <v>46070</v>
      </c>
      <c r="B505" s="70" t="n">
        <v>384</v>
      </c>
      <c r="C505" s="115" t="inlineStr">
        <is>
          <t>HASALTUN</t>
        </is>
      </c>
      <c r="D505" s="115" t="inlineStr">
        <is>
          <t>HITACHI</t>
        </is>
      </c>
      <c r="E505" s="115" t="inlineStr">
        <is>
          <t>TURGUT SANCAK</t>
        </is>
      </c>
      <c r="F505" s="65" t="n"/>
      <c r="G505" s="152" t="n"/>
      <c r="H505" s="152" t="n">
        <v>201</v>
      </c>
      <c r="I505" s="156">
        <f>+I504+(G505-H505)</f>
        <v/>
      </c>
      <c r="J505" s="90" t="n">
        <v>49.4</v>
      </c>
      <c r="K505" s="166" t="n"/>
      <c r="L505" s="158">
        <f>+H505*J505</f>
        <v/>
      </c>
      <c r="M505" s="159">
        <f>SUM(M504+K505-L505)</f>
        <v/>
      </c>
    </row>
    <row r="506">
      <c r="A506" s="151" t="n">
        <v>46070</v>
      </c>
      <c r="B506" s="70" t="n">
        <v>245</v>
      </c>
      <c r="C506" s="115" t="inlineStr">
        <is>
          <t>SELİM İNŞAAT</t>
        </is>
      </c>
      <c r="D506" s="115" t="inlineStr">
        <is>
          <t>34 JGR 15</t>
        </is>
      </c>
      <c r="E506" s="115" t="inlineStr">
        <is>
          <t xml:space="preserve">SELİMCAN ÖNVER </t>
        </is>
      </c>
      <c r="F506" s="65" t="n"/>
      <c r="G506" s="152" t="n"/>
      <c r="H506" s="152" t="n">
        <v>82</v>
      </c>
      <c r="I506" s="156">
        <f>+I505+(G506-H506)</f>
        <v/>
      </c>
      <c r="J506" s="90" t="n">
        <v>49.4</v>
      </c>
      <c r="K506" s="166" t="n"/>
      <c r="L506" s="158">
        <f>+H506*J506</f>
        <v/>
      </c>
      <c r="M506" s="159">
        <f>SUM(M505+K506-L506)</f>
        <v/>
      </c>
    </row>
    <row r="507">
      <c r="A507" s="151" t="n">
        <v>46071</v>
      </c>
      <c r="B507" s="70" t="n">
        <v>2748</v>
      </c>
      <c r="C507" s="115" t="inlineStr">
        <is>
          <t>METİN ERYİĞİT</t>
        </is>
      </c>
      <c r="D507" s="115" t="inlineStr">
        <is>
          <t>34 EGR 814</t>
        </is>
      </c>
      <c r="E507" s="115" t="inlineStr">
        <is>
          <t xml:space="preserve">ZİYA İNCE </t>
        </is>
      </c>
      <c r="F507" s="65" t="n"/>
      <c r="G507" s="152" t="n"/>
      <c r="H507" s="152" t="n">
        <v>390</v>
      </c>
      <c r="I507" s="156">
        <f>+I506+(G507-H507)</f>
        <v/>
      </c>
      <c r="J507" s="90" t="n">
        <v>49.4</v>
      </c>
      <c r="K507" s="166" t="n"/>
      <c r="L507" s="158">
        <f>+H507*J507</f>
        <v/>
      </c>
      <c r="M507" s="159">
        <f>SUM(M506+K507-L507)</f>
        <v/>
      </c>
    </row>
    <row r="508">
      <c r="A508" s="151" t="n">
        <v>46072</v>
      </c>
      <c r="B508" s="70" t="n">
        <v>803</v>
      </c>
      <c r="C508" s="115" t="inlineStr">
        <is>
          <t>METİN ERYİĞİT</t>
        </is>
      </c>
      <c r="D508" s="115" t="inlineStr">
        <is>
          <t>34 GBL 998</t>
        </is>
      </c>
      <c r="E508" s="115" t="inlineStr">
        <is>
          <t>ALİ KESKİN</t>
        </is>
      </c>
      <c r="F508" s="65" t="n"/>
      <c r="G508" s="152" t="n"/>
      <c r="H508" s="152" t="n">
        <v>351</v>
      </c>
      <c r="I508" s="156">
        <f>+I507+(G508-H508)</f>
        <v/>
      </c>
      <c r="J508" s="90" t="n">
        <v>49.4</v>
      </c>
      <c r="K508" s="166" t="n"/>
      <c r="L508" s="158">
        <f>+H508*J508</f>
        <v/>
      </c>
      <c r="M508" s="159">
        <f>SUM(M507+K508-L508)</f>
        <v/>
      </c>
    </row>
    <row r="509">
      <c r="A509" s="151" t="n">
        <v>46072</v>
      </c>
      <c r="B509" s="70" t="n">
        <v>708</v>
      </c>
      <c r="C509" s="115" t="inlineStr">
        <is>
          <t>METİN ERYİĞİT</t>
        </is>
      </c>
      <c r="D509" s="115" t="inlineStr">
        <is>
          <t>34 EGS 013</t>
        </is>
      </c>
      <c r="E509" s="115" t="inlineStr">
        <is>
          <t>UĞUR DUMAN</t>
        </is>
      </c>
      <c r="F509" s="65" t="n"/>
      <c r="G509" s="152" t="n"/>
      <c r="H509" s="152" t="n">
        <v>470</v>
      </c>
      <c r="I509" s="156">
        <f>+I508+(G509-H509)</f>
        <v/>
      </c>
      <c r="J509" s="90" t="n">
        <v>49.4</v>
      </c>
      <c r="K509" s="166" t="n"/>
      <c r="L509" s="158">
        <f>+H509*J509</f>
        <v/>
      </c>
      <c r="M509" s="159">
        <f>SUM(M508+K509-L509)</f>
        <v/>
      </c>
    </row>
    <row r="510">
      <c r="A510" s="151" t="n">
        <v>46072</v>
      </c>
      <c r="B510" s="70" t="n">
        <v>2537</v>
      </c>
      <c r="C510" s="115" t="inlineStr">
        <is>
          <t xml:space="preserve">AZGÜN YAPI </t>
        </is>
      </c>
      <c r="D510" s="115" t="inlineStr">
        <is>
          <t>34 MKT 593</t>
        </is>
      </c>
      <c r="E510" s="115" t="inlineStr">
        <is>
          <t>İRFAN DAĞLAR</t>
        </is>
      </c>
      <c r="F510" s="65" t="n"/>
      <c r="G510" s="152" t="n"/>
      <c r="H510" s="152" t="n">
        <v>371</v>
      </c>
      <c r="I510" s="156">
        <f>+I509+(G510-H510)</f>
        <v/>
      </c>
      <c r="J510" s="90" t="n">
        <v>49.4</v>
      </c>
      <c r="K510" s="166" t="n"/>
      <c r="L510" s="158">
        <f>+H510*J510</f>
        <v/>
      </c>
      <c r="M510" s="159">
        <f>SUM(M509+K510-L510)</f>
        <v/>
      </c>
    </row>
    <row r="511">
      <c r="A511" s="151" t="n">
        <v>46072</v>
      </c>
      <c r="B511" s="70" t="n">
        <v>385</v>
      </c>
      <c r="C511" s="115" t="inlineStr">
        <is>
          <t xml:space="preserve">CEVİZ MOBİLYA  </t>
        </is>
      </c>
      <c r="D511" s="115" t="inlineStr">
        <is>
          <t>CEMAL BEY</t>
        </is>
      </c>
      <c r="E511" s="115" t="n"/>
      <c r="F511" s="65" t="n"/>
      <c r="G511" s="152" t="n"/>
      <c r="H511" s="152" t="n">
        <v>30</v>
      </c>
      <c r="I511" s="156">
        <f>+I510+(G511-H511)</f>
        <v/>
      </c>
      <c r="J511" s="90" t="n">
        <v>49.4</v>
      </c>
      <c r="K511" s="166" t="n"/>
      <c r="L511" s="158">
        <f>+H511*J511</f>
        <v/>
      </c>
      <c r="M511" s="159">
        <f>SUM(M510+K511-L511)</f>
        <v/>
      </c>
    </row>
    <row r="512">
      <c r="A512" s="151" t="n">
        <v>46072</v>
      </c>
      <c r="B512" s="70" t="n">
        <v>386</v>
      </c>
      <c r="C512" s="115" t="inlineStr">
        <is>
          <t>MEGA VARLIK</t>
        </is>
      </c>
      <c r="D512" s="115" t="inlineStr">
        <is>
          <t>KAWAZAKI</t>
        </is>
      </c>
      <c r="E512" s="115" t="inlineStr">
        <is>
          <t>RAMAZAN</t>
        </is>
      </c>
      <c r="F512" s="65" t="n"/>
      <c r="G512" s="152" t="n"/>
      <c r="H512" s="152" t="n">
        <v>225</v>
      </c>
      <c r="I512" s="156">
        <f>+I511+(G512-H512)</f>
        <v/>
      </c>
      <c r="J512" s="90" t="n">
        <v>49.4</v>
      </c>
      <c r="K512" s="166" t="n"/>
      <c r="L512" s="158">
        <f>+H512*J512</f>
        <v/>
      </c>
      <c r="M512" s="159">
        <f>SUM(M511+K512-L512)</f>
        <v/>
      </c>
    </row>
    <row r="513">
      <c r="A513" s="151" t="n">
        <v>46072</v>
      </c>
      <c r="B513" s="70" t="n">
        <v>387</v>
      </c>
      <c r="C513" s="115" t="inlineStr">
        <is>
          <t>MEGA VARLIK</t>
        </is>
      </c>
      <c r="D513" s="115" t="inlineStr">
        <is>
          <t xml:space="preserve">SM350 </t>
        </is>
      </c>
      <c r="E513" s="115" t="inlineStr">
        <is>
          <t xml:space="preserve">MİKAİL BAYILMAZ </t>
        </is>
      </c>
      <c r="F513" s="65" t="n"/>
      <c r="G513" s="152" t="n"/>
      <c r="H513" s="152" t="n">
        <v>152</v>
      </c>
      <c r="I513" s="156">
        <f>+I512+(G513-H513)</f>
        <v/>
      </c>
      <c r="J513" s="90" t="n">
        <v>49.4</v>
      </c>
      <c r="K513" s="166" t="n"/>
      <c r="L513" s="158">
        <f>+H513*J513</f>
        <v/>
      </c>
      <c r="M513" s="159">
        <f>SUM(M512+K513-L513)</f>
        <v/>
      </c>
    </row>
    <row r="514">
      <c r="A514" s="151" t="n">
        <v>46072</v>
      </c>
      <c r="B514" s="70" t="n">
        <v>2647</v>
      </c>
      <c r="C514" s="115" t="inlineStr">
        <is>
          <t>SELİM İNŞAAT</t>
        </is>
      </c>
      <c r="D514" s="115" t="inlineStr">
        <is>
          <t>34 GU 945</t>
        </is>
      </c>
      <c r="E514" s="115" t="inlineStr">
        <is>
          <t>YAKUP URUCU</t>
        </is>
      </c>
      <c r="F514" s="65" t="n">
        <v>471125</v>
      </c>
      <c r="G514" s="152" t="n"/>
      <c r="H514" s="152" t="n">
        <v>63</v>
      </c>
      <c r="I514" s="156">
        <f>+I513+(G514-H514)</f>
        <v/>
      </c>
      <c r="J514" s="90" t="n">
        <v>49.4</v>
      </c>
      <c r="K514" s="166" t="n"/>
      <c r="L514" s="158">
        <f>+H514*J514</f>
        <v/>
      </c>
      <c r="M514" s="159">
        <f>SUM(M513+K514-L514)</f>
        <v/>
      </c>
    </row>
    <row r="515">
      <c r="A515" s="151" t="n">
        <v>46072</v>
      </c>
      <c r="B515" s="70" t="n">
        <v>2977</v>
      </c>
      <c r="C515" s="115" t="inlineStr">
        <is>
          <t>SELİM İNŞAAT</t>
        </is>
      </c>
      <c r="D515" s="115" t="inlineStr">
        <is>
          <t>34 DFE 454</t>
        </is>
      </c>
      <c r="E515" s="115" t="inlineStr">
        <is>
          <t>HÜSEYİN ALIN</t>
        </is>
      </c>
      <c r="F515" s="65" t="n">
        <v>174070</v>
      </c>
      <c r="G515" s="152" t="n"/>
      <c r="H515" s="152" t="n">
        <v>278</v>
      </c>
      <c r="I515" s="156">
        <f>+I514+(G515-H515)</f>
        <v/>
      </c>
      <c r="J515" s="90" t="n">
        <v>49.4</v>
      </c>
      <c r="K515" s="166" t="n"/>
      <c r="L515" s="158">
        <f>+H515*J515</f>
        <v/>
      </c>
      <c r="M515" s="159">
        <f>SUM(M514+K515-L515)</f>
        <v/>
      </c>
    </row>
    <row r="516">
      <c r="A516" s="151" t="n">
        <v>46072</v>
      </c>
      <c r="B516" s="70" t="n">
        <v>4415</v>
      </c>
      <c r="C516" s="115" t="inlineStr">
        <is>
          <t>SELİM İNŞAAT</t>
        </is>
      </c>
      <c r="D516" s="115" t="inlineStr">
        <is>
          <t>34 DTV 409</t>
        </is>
      </c>
      <c r="E516" s="115" t="inlineStr">
        <is>
          <t>ATA KIZMAZ</t>
        </is>
      </c>
      <c r="F516" s="65" t="n">
        <v>452674</v>
      </c>
      <c r="G516" s="152" t="n"/>
      <c r="H516" s="152" t="n">
        <v>397</v>
      </c>
      <c r="I516" s="156">
        <f>+I515+(G516-H516)</f>
        <v/>
      </c>
      <c r="J516" s="90" t="n">
        <v>49.4</v>
      </c>
      <c r="K516" s="166" t="n"/>
      <c r="L516" s="158">
        <f>+H516*J516</f>
        <v/>
      </c>
      <c r="M516" s="159">
        <f>SUM(M515+K516-L516)</f>
        <v/>
      </c>
    </row>
    <row r="517">
      <c r="A517" s="151" t="n">
        <v>46072</v>
      </c>
      <c r="B517" s="70" t="n">
        <v>1544</v>
      </c>
      <c r="C517" s="115" t="inlineStr">
        <is>
          <t>SELİM İNŞAAT</t>
        </is>
      </c>
      <c r="D517" s="115" t="inlineStr">
        <is>
          <t>34 GUS 848</t>
        </is>
      </c>
      <c r="E517" s="115" t="inlineStr">
        <is>
          <t>SERDAR BOZKURT</t>
        </is>
      </c>
      <c r="F517" s="65" t="n">
        <v>230448</v>
      </c>
      <c r="G517" s="152" t="n"/>
      <c r="H517" s="152" t="n">
        <v>503</v>
      </c>
      <c r="I517" s="156">
        <f>+I516+(G517-H517)</f>
        <v/>
      </c>
      <c r="J517" s="90" t="n">
        <v>49.4</v>
      </c>
      <c r="K517" s="166" t="n"/>
      <c r="L517" s="158">
        <f>+H517*J517</f>
        <v/>
      </c>
      <c r="M517" s="159">
        <f>SUM(M516+K517-L517)</f>
        <v/>
      </c>
    </row>
    <row r="518">
      <c r="A518" s="151" t="n">
        <v>46072</v>
      </c>
      <c r="B518" s="70" t="n">
        <v>3424</v>
      </c>
      <c r="C518" s="115" t="inlineStr">
        <is>
          <t>SELİM İNŞAAT</t>
        </is>
      </c>
      <c r="D518" s="115" t="inlineStr">
        <is>
          <t>34 GVZ 310</t>
        </is>
      </c>
      <c r="E518" s="115" t="inlineStr">
        <is>
          <t>CELAL YÜZBAŞI</t>
        </is>
      </c>
      <c r="F518" s="65" t="n">
        <v>244771</v>
      </c>
      <c r="G518" s="152" t="n"/>
      <c r="H518" s="152" t="n">
        <v>314</v>
      </c>
      <c r="I518" s="156">
        <f>+I517+(G518-H518)</f>
        <v/>
      </c>
      <c r="J518" s="90" t="n">
        <v>49.4</v>
      </c>
      <c r="K518" s="166" t="n"/>
      <c r="L518" s="158">
        <f>+H518*J518</f>
        <v/>
      </c>
      <c r="M518" s="159">
        <f>SUM(M517+K518-L518)</f>
        <v/>
      </c>
    </row>
    <row r="519">
      <c r="A519" s="151" t="n">
        <v>46072</v>
      </c>
      <c r="B519" s="70" t="n">
        <v>4967</v>
      </c>
      <c r="C519" s="115" t="inlineStr">
        <is>
          <t>SELİM İNŞAAT</t>
        </is>
      </c>
      <c r="D519" s="115" t="inlineStr">
        <is>
          <t>34 GVZ 745</t>
        </is>
      </c>
      <c r="E519" s="115" t="inlineStr">
        <is>
          <t>MURAT DEMİRBAĞ</t>
        </is>
      </c>
      <c r="F519" s="65" t="n">
        <v>244572</v>
      </c>
      <c r="G519" s="152" t="n"/>
      <c r="H519" s="152" t="n">
        <v>42</v>
      </c>
      <c r="I519" s="156">
        <f>+I518+(G519-H519)</f>
        <v/>
      </c>
      <c r="J519" s="90" t="n">
        <v>49.4</v>
      </c>
      <c r="K519" s="166" t="n"/>
      <c r="L519" s="158">
        <f>+H519*J519</f>
        <v/>
      </c>
      <c r="M519" s="159">
        <f>SUM(M518+K519-L519)</f>
        <v/>
      </c>
    </row>
    <row r="520">
      <c r="A520" s="151" t="n">
        <v>46072</v>
      </c>
      <c r="B520" s="70" t="n">
        <v>4113</v>
      </c>
      <c r="C520" s="115" t="inlineStr">
        <is>
          <t>SELİM İNŞAAT</t>
        </is>
      </c>
      <c r="D520" s="115" t="inlineStr">
        <is>
          <t>34 EDB 659</t>
        </is>
      </c>
      <c r="E520" s="115" t="inlineStr">
        <is>
          <t>YASİN ÇATAKLI</t>
        </is>
      </c>
      <c r="F520" s="65" t="n">
        <v>387745</v>
      </c>
      <c r="G520" s="152" t="n"/>
      <c r="H520" s="152" t="n">
        <v>437</v>
      </c>
      <c r="I520" s="156">
        <f>+I519+(G520-H520)</f>
        <v/>
      </c>
      <c r="J520" s="90" t="n">
        <v>49.4</v>
      </c>
      <c r="K520" s="166" t="n"/>
      <c r="L520" s="158">
        <f>+H520*J520</f>
        <v/>
      </c>
      <c r="M520" s="159">
        <f>SUM(M519+K520-L520)</f>
        <v/>
      </c>
    </row>
    <row r="521">
      <c r="A521" s="151" t="n">
        <v>46072</v>
      </c>
      <c r="B521" s="70" t="n">
        <v>8</v>
      </c>
      <c r="C521" s="115" t="inlineStr">
        <is>
          <t>SELİM İNŞAAT</t>
        </is>
      </c>
      <c r="D521" s="115" t="inlineStr">
        <is>
          <t xml:space="preserve">34 GVZ 268 </t>
        </is>
      </c>
      <c r="E521" s="115" t="inlineStr">
        <is>
          <t>KERİM KARAMAN</t>
        </is>
      </c>
      <c r="F521" s="65" t="n">
        <v>248820</v>
      </c>
      <c r="G521" s="152" t="n"/>
      <c r="H521" s="152" t="n">
        <v>403</v>
      </c>
      <c r="I521" s="156">
        <f>+I520+(G521-H521)</f>
        <v/>
      </c>
      <c r="J521" s="90" t="n">
        <v>49.4</v>
      </c>
      <c r="K521" s="166" t="n"/>
      <c r="L521" s="158">
        <f>+H521*J521</f>
        <v/>
      </c>
      <c r="M521" s="159">
        <f>SUM(M520+K521-L521)</f>
        <v/>
      </c>
    </row>
    <row r="522">
      <c r="A522" s="151" t="n">
        <v>46072</v>
      </c>
      <c r="B522" s="70" t="n">
        <v>2792</v>
      </c>
      <c r="C522" s="115" t="inlineStr">
        <is>
          <t>SELİM İNŞAAT</t>
        </is>
      </c>
      <c r="D522" s="115" t="inlineStr">
        <is>
          <t>34 EDC 086</t>
        </is>
      </c>
      <c r="E522" s="115" t="inlineStr">
        <is>
          <t>SEZGİN KOCAGİL</t>
        </is>
      </c>
      <c r="F522" s="65" t="n">
        <v>374495</v>
      </c>
      <c r="G522" s="152" t="n"/>
      <c r="H522" s="152" t="n">
        <v>447</v>
      </c>
      <c r="I522" s="156">
        <f>+I521+(G522-H522)</f>
        <v/>
      </c>
      <c r="J522" s="90" t="n">
        <v>49.4</v>
      </c>
      <c r="K522" s="166" t="n"/>
      <c r="L522" s="158">
        <f>+H522*J522</f>
        <v/>
      </c>
      <c r="M522" s="159">
        <f>SUM(M521+K522-L522)</f>
        <v/>
      </c>
    </row>
    <row r="523">
      <c r="A523" s="151" t="n">
        <v>46072</v>
      </c>
      <c r="B523" s="70" t="n">
        <v>3328</v>
      </c>
      <c r="C523" s="115" t="inlineStr">
        <is>
          <t>SELİM İNŞAAT</t>
        </is>
      </c>
      <c r="D523" s="115" t="inlineStr">
        <is>
          <t>34 GUS 938</t>
        </is>
      </c>
      <c r="E523" s="115" t="inlineStr">
        <is>
          <t>MEHMET KAYA</t>
        </is>
      </c>
      <c r="F523" s="65" t="n">
        <v>244905</v>
      </c>
      <c r="G523" s="152" t="n"/>
      <c r="H523" s="152" t="n">
        <v>397</v>
      </c>
      <c r="I523" s="156">
        <f>+I522+(G523-H523)</f>
        <v/>
      </c>
      <c r="J523" s="90" t="n">
        <v>49.4</v>
      </c>
      <c r="K523" s="166" t="n"/>
      <c r="L523" s="158">
        <f>+H523*J523</f>
        <v/>
      </c>
      <c r="M523" s="159">
        <f>SUM(M522+K523-L523)</f>
        <v/>
      </c>
    </row>
    <row r="524">
      <c r="A524" s="151" t="n">
        <v>46072</v>
      </c>
      <c r="B524" s="70" t="n">
        <v>3042</v>
      </c>
      <c r="C524" s="115" t="inlineStr">
        <is>
          <t>SELİM İNŞAAT</t>
        </is>
      </c>
      <c r="D524" s="115" t="inlineStr">
        <is>
          <t>34 FBR 781</t>
        </is>
      </c>
      <c r="E524" s="115" t="inlineStr">
        <is>
          <t>MEVLÜT POLAT</t>
        </is>
      </c>
      <c r="F524" s="65" t="n">
        <v>360515</v>
      </c>
      <c r="G524" s="152" t="n"/>
      <c r="H524" s="152" t="n">
        <v>420</v>
      </c>
      <c r="I524" s="156">
        <f>+I523+(G524-H524)</f>
        <v/>
      </c>
      <c r="J524" s="90" t="n">
        <v>49.4</v>
      </c>
      <c r="K524" s="166" t="n"/>
      <c r="L524" s="158">
        <f>+H524*J524</f>
        <v/>
      </c>
      <c r="M524" s="159">
        <f>SUM(M523+K524-L524)</f>
        <v/>
      </c>
    </row>
    <row r="525">
      <c r="A525" s="151" t="n">
        <v>46073</v>
      </c>
      <c r="B525" s="70" t="n">
        <v>388</v>
      </c>
      <c r="C525" s="115" t="inlineStr">
        <is>
          <t>MEGA VARLIK</t>
        </is>
      </c>
      <c r="D525" s="115" t="inlineStr">
        <is>
          <t xml:space="preserve">SM350 </t>
        </is>
      </c>
      <c r="E525" s="115" t="inlineStr">
        <is>
          <t>TEVFİK ÖZTÜRK</t>
        </is>
      </c>
      <c r="F525" s="65" t="n"/>
      <c r="G525" s="152" t="n"/>
      <c r="H525" s="152" t="n">
        <v>380</v>
      </c>
      <c r="I525" s="156">
        <f>+I524+(G525-H525)</f>
        <v/>
      </c>
      <c r="J525" s="90" t="n">
        <v>49.4</v>
      </c>
      <c r="K525" s="166" t="n"/>
      <c r="L525" s="158">
        <f>+H525*J525</f>
        <v/>
      </c>
      <c r="M525" s="159">
        <f>SUM(M524+K525-L525)</f>
        <v/>
      </c>
    </row>
    <row r="526">
      <c r="A526" s="151" t="n">
        <v>46073</v>
      </c>
      <c r="B526" s="70" t="n">
        <v>389</v>
      </c>
      <c r="C526" s="115" t="inlineStr">
        <is>
          <t>MEGA VARLIK</t>
        </is>
      </c>
      <c r="D526" s="115" t="inlineStr">
        <is>
          <t xml:space="preserve">SM350 </t>
        </is>
      </c>
      <c r="E526" s="115" t="inlineStr">
        <is>
          <t xml:space="preserve">MİKAİL BAYILMAZ </t>
        </is>
      </c>
      <c r="F526" s="65" t="n"/>
      <c r="G526" s="152" t="n"/>
      <c r="H526" s="152" t="n">
        <v>187</v>
      </c>
      <c r="I526" s="156">
        <f>+I525+(G526-H526)</f>
        <v/>
      </c>
      <c r="J526" s="90" t="n">
        <v>49.4</v>
      </c>
      <c r="K526" s="166" t="n"/>
      <c r="L526" s="158">
        <f>+H526*J526</f>
        <v/>
      </c>
      <c r="M526" s="159">
        <f>SUM(M525+K526-L526)</f>
        <v/>
      </c>
    </row>
    <row r="527">
      <c r="A527" s="151" t="n">
        <v>46073</v>
      </c>
      <c r="B527" s="70" t="n">
        <v>390</v>
      </c>
      <c r="C527" s="115" t="inlineStr">
        <is>
          <t>VARLIK</t>
        </is>
      </c>
      <c r="D527" s="115" t="inlineStr">
        <is>
          <t>FORKLİFT</t>
        </is>
      </c>
      <c r="E527" s="115" t="inlineStr">
        <is>
          <t xml:space="preserve">FAHRİ KALFA </t>
        </is>
      </c>
      <c r="F527" s="65" t="n"/>
      <c r="G527" s="152" t="n"/>
      <c r="H527" s="152" t="n">
        <v>171</v>
      </c>
      <c r="I527" s="156">
        <f>+I526+(G527-H527)</f>
        <v/>
      </c>
      <c r="J527" s="90" t="n">
        <v>49.4</v>
      </c>
      <c r="K527" s="166" t="n"/>
      <c r="L527" s="158">
        <f>+H527*J527</f>
        <v/>
      </c>
      <c r="M527" s="159">
        <f>SUM(M526+K527-L527)</f>
        <v/>
      </c>
    </row>
    <row r="528">
      <c r="A528" s="151" t="n">
        <v>46073</v>
      </c>
      <c r="B528" s="70" t="n">
        <v>391</v>
      </c>
      <c r="C528" s="115" t="n"/>
      <c r="D528" s="115" t="inlineStr">
        <is>
          <t xml:space="preserve">JCB </t>
        </is>
      </c>
      <c r="E528" s="115" t="inlineStr">
        <is>
          <t>BAYRAM SANCAK</t>
        </is>
      </c>
      <c r="F528" s="65" t="n"/>
      <c r="G528" s="152" t="n"/>
      <c r="H528" s="152" t="n">
        <v>49</v>
      </c>
      <c r="I528" s="156">
        <f>+I527+(G528-H528)</f>
        <v/>
      </c>
      <c r="J528" s="90" t="n">
        <v>49.4</v>
      </c>
      <c r="K528" s="166" t="n"/>
      <c r="L528" s="158">
        <f>+H528*J528</f>
        <v/>
      </c>
      <c r="M528" s="159">
        <f>SUM(M527+K528-L528)</f>
        <v/>
      </c>
    </row>
    <row r="529">
      <c r="A529" s="151" t="n">
        <v>46073</v>
      </c>
      <c r="B529" s="70" t="n">
        <v>392</v>
      </c>
      <c r="C529" s="115" t="n"/>
      <c r="D529" s="115" t="inlineStr">
        <is>
          <t>KAWAZAKI</t>
        </is>
      </c>
      <c r="E529" s="115" t="inlineStr">
        <is>
          <t>RAMAZAN</t>
        </is>
      </c>
      <c r="F529" s="65" t="n"/>
      <c r="G529" s="152" t="n"/>
      <c r="H529" s="152" t="n">
        <v>199</v>
      </c>
      <c r="I529" s="156">
        <f>+I528+(G529-H529)</f>
        <v/>
      </c>
      <c r="J529" s="90" t="n">
        <v>49.4</v>
      </c>
      <c r="K529" s="166" t="n"/>
      <c r="L529" s="158">
        <f>+H529*J529</f>
        <v/>
      </c>
      <c r="M529" s="159">
        <f>SUM(M528+K529-L529)</f>
        <v/>
      </c>
    </row>
    <row r="530">
      <c r="A530" s="151" t="n">
        <v>46073</v>
      </c>
      <c r="B530" s="70" t="n">
        <v>602</v>
      </c>
      <c r="C530" s="115" t="inlineStr">
        <is>
          <t>SELİM İNŞAAT</t>
        </is>
      </c>
      <c r="D530" s="115" t="inlineStr">
        <is>
          <t>34 BUR 461</t>
        </is>
      </c>
      <c r="E530" s="115" t="inlineStr">
        <is>
          <t xml:space="preserve">MUSTAFA ALBAYRAK </t>
        </is>
      </c>
      <c r="F530" s="65" t="n"/>
      <c r="G530" s="152" t="n"/>
      <c r="H530" s="152" t="n">
        <v>55</v>
      </c>
      <c r="I530" s="156">
        <f>+I529+(G530-H530)</f>
        <v/>
      </c>
      <c r="J530" s="90" t="n">
        <v>49.4</v>
      </c>
      <c r="K530" s="166" t="n"/>
      <c r="L530" s="158">
        <f>+H530*J530</f>
        <v/>
      </c>
      <c r="M530" s="159">
        <f>SUM(M529+K530-L530)</f>
        <v/>
      </c>
    </row>
    <row r="531">
      <c r="A531" s="151" t="n">
        <v>46073</v>
      </c>
      <c r="B531" s="70" t="n">
        <v>603</v>
      </c>
      <c r="C531" s="115" t="inlineStr">
        <is>
          <t>AHMET SELİM TEMHA</t>
        </is>
      </c>
      <c r="D531" s="115" t="inlineStr">
        <is>
          <t>34 PGT 251</t>
        </is>
      </c>
      <c r="E531" s="115" t="inlineStr">
        <is>
          <t>ERSOY SIĞINMAZ</t>
        </is>
      </c>
      <c r="F531" s="65" t="n"/>
      <c r="G531" s="152" t="n"/>
      <c r="H531" s="152" t="n">
        <v>59</v>
      </c>
      <c r="I531" s="156">
        <f>+I530+(G531-H531)</f>
        <v/>
      </c>
      <c r="J531" s="90" t="n">
        <v>49.4</v>
      </c>
      <c r="K531" s="166" t="n"/>
      <c r="L531" s="158">
        <f>+H531*J531</f>
        <v/>
      </c>
      <c r="M531" s="159">
        <f>SUM(M530+K531-L531)</f>
        <v/>
      </c>
    </row>
    <row r="532">
      <c r="A532" s="151" t="n">
        <v>46073</v>
      </c>
      <c r="B532" s="70" t="n">
        <v>604</v>
      </c>
      <c r="C532" s="115" t="inlineStr">
        <is>
          <t>AHMET SELİM TEMHA</t>
        </is>
      </c>
      <c r="D532" s="115" t="inlineStr">
        <is>
          <t>MANITO</t>
        </is>
      </c>
      <c r="E532" s="115" t="inlineStr">
        <is>
          <t>TURGAY ÇIPLAK</t>
        </is>
      </c>
      <c r="F532" s="65" t="n"/>
      <c r="G532" s="152" t="n"/>
      <c r="H532" s="152" t="n">
        <v>131</v>
      </c>
      <c r="I532" s="156">
        <f>+I531+(G532-H532)</f>
        <v/>
      </c>
      <c r="J532" s="90" t="n">
        <v>49.4</v>
      </c>
      <c r="K532" s="166" t="n"/>
      <c r="L532" s="158">
        <f>+H532*J532</f>
        <v/>
      </c>
      <c r="M532" s="159">
        <f>SUM(M531+K532-L532)</f>
        <v/>
      </c>
    </row>
    <row r="533">
      <c r="A533" s="151" t="n">
        <v>46073</v>
      </c>
      <c r="B533" s="70" t="n">
        <v>4014</v>
      </c>
      <c r="C533" s="115" t="inlineStr">
        <is>
          <t>SELİM İNŞAAT</t>
        </is>
      </c>
      <c r="D533" s="115" t="inlineStr">
        <is>
          <t>34 AR 7743</t>
        </is>
      </c>
      <c r="E533" s="115" t="inlineStr">
        <is>
          <t>ABDULKERİM ERGEN</t>
        </is>
      </c>
      <c r="F533" s="65" t="n">
        <v>373561</v>
      </c>
      <c r="G533" s="152" t="n"/>
      <c r="H533" s="152" t="n">
        <v>53</v>
      </c>
      <c r="I533" s="156">
        <f>+I532+(G533-H533)</f>
        <v/>
      </c>
      <c r="J533" s="90" t="n">
        <v>49.4</v>
      </c>
      <c r="K533" s="166" t="n"/>
      <c r="L533" s="158">
        <f>+H533*J533</f>
        <v/>
      </c>
      <c r="M533" s="159">
        <f>SUM(M532+K533-L533)</f>
        <v/>
      </c>
    </row>
    <row r="534">
      <c r="A534" s="151" t="n">
        <v>46073</v>
      </c>
      <c r="B534" s="70" t="n">
        <v>2341</v>
      </c>
      <c r="C534" s="115" t="inlineStr">
        <is>
          <t>SELİM İNŞAAT</t>
        </is>
      </c>
      <c r="D534" s="115" t="inlineStr">
        <is>
          <t>34 DP 4161</t>
        </is>
      </c>
      <c r="E534" s="115" t="inlineStr">
        <is>
          <t>RIFAT KARATAY</t>
        </is>
      </c>
      <c r="F534" s="65" t="n">
        <v>319984</v>
      </c>
      <c r="G534" s="152" t="n"/>
      <c r="H534" s="152" t="n">
        <v>291</v>
      </c>
      <c r="I534" s="156">
        <f>+I533+(G534-H534)</f>
        <v/>
      </c>
      <c r="J534" s="90" t="n">
        <v>49.4</v>
      </c>
      <c r="K534" s="166" t="n"/>
      <c r="L534" s="158">
        <f>+H534*J534</f>
        <v/>
      </c>
      <c r="M534" s="159">
        <f>SUM(M533+K534-L534)</f>
        <v/>
      </c>
    </row>
    <row r="535">
      <c r="A535" s="151" t="n">
        <v>46073</v>
      </c>
      <c r="B535" s="70" t="n">
        <v>2385</v>
      </c>
      <c r="C535" s="115" t="inlineStr">
        <is>
          <t>SELİM İNŞAAT</t>
        </is>
      </c>
      <c r="D535" s="115" t="inlineStr">
        <is>
          <t>34 FEM 934</t>
        </is>
      </c>
      <c r="E535" s="115" t="inlineStr">
        <is>
          <t>ABDULKERİM ERGEN</t>
        </is>
      </c>
      <c r="F535" s="65" t="n">
        <v>332123</v>
      </c>
      <c r="G535" s="152" t="n"/>
      <c r="H535" s="152" t="n">
        <v>56</v>
      </c>
      <c r="I535" s="156">
        <f>+I534+(G535-H535)</f>
        <v/>
      </c>
      <c r="J535" s="90" t="n">
        <v>49.4</v>
      </c>
      <c r="K535" s="166" t="n"/>
      <c r="L535" s="158">
        <f>+H535*J535</f>
        <v/>
      </c>
      <c r="M535" s="159">
        <f>SUM(M534+K535-L535)</f>
        <v/>
      </c>
    </row>
    <row r="536">
      <c r="A536" s="151" t="n">
        <v>46073</v>
      </c>
      <c r="B536" s="70" t="n">
        <v>2648</v>
      </c>
      <c r="C536" s="115" t="inlineStr">
        <is>
          <t>SELİM İNŞAAT</t>
        </is>
      </c>
      <c r="D536" s="115" t="inlineStr">
        <is>
          <t>34 GU 945</t>
        </is>
      </c>
      <c r="E536" s="115" t="inlineStr">
        <is>
          <t>YAKUP URUCU</t>
        </is>
      </c>
      <c r="F536" s="65" t="n">
        <v>471477</v>
      </c>
      <c r="G536" s="152" t="n"/>
      <c r="H536" s="152" t="n">
        <v>50</v>
      </c>
      <c r="I536" s="156">
        <f>+I535+(G536-H536)</f>
        <v/>
      </c>
      <c r="J536" s="90" t="n">
        <v>49.4</v>
      </c>
      <c r="K536" s="166" t="n"/>
      <c r="L536" s="158">
        <f>+H536*J536</f>
        <v/>
      </c>
      <c r="M536" s="159">
        <f>SUM(M535+K536-L536)</f>
        <v/>
      </c>
    </row>
    <row r="537">
      <c r="A537" s="151" t="n">
        <v>46073</v>
      </c>
      <c r="B537" s="70" t="n">
        <v>1850</v>
      </c>
      <c r="C537" s="115" t="inlineStr">
        <is>
          <t>SELİM İNŞAAT</t>
        </is>
      </c>
      <c r="D537" s="115" t="inlineStr">
        <is>
          <t>34 EGR 922</t>
        </is>
      </c>
      <c r="E537" s="115" t="inlineStr">
        <is>
          <t>FARUK ÖZEN</t>
        </is>
      </c>
      <c r="F537" s="65" t="n">
        <v>502893</v>
      </c>
      <c r="G537" s="152" t="n"/>
      <c r="H537" s="152" t="n">
        <v>438</v>
      </c>
      <c r="I537" s="156">
        <f>+I536+(G537-H537)</f>
        <v/>
      </c>
      <c r="J537" s="90" t="n">
        <v>49.4</v>
      </c>
      <c r="K537" s="166" t="n"/>
      <c r="L537" s="158">
        <f>+H537*J537</f>
        <v/>
      </c>
      <c r="M537" s="159">
        <f>SUM(M536+K537-L537)</f>
        <v/>
      </c>
    </row>
    <row r="538">
      <c r="A538" s="151" t="n">
        <v>46073</v>
      </c>
      <c r="B538" s="70" t="n">
        <v>146</v>
      </c>
      <c r="C538" s="115" t="inlineStr">
        <is>
          <t>SELİM İNŞAAT</t>
        </is>
      </c>
      <c r="D538" s="115" t="inlineStr">
        <is>
          <t>34 FBR 771</t>
        </is>
      </c>
      <c r="E538" s="115" t="inlineStr">
        <is>
          <t>SALİH YALÇIN</t>
        </is>
      </c>
      <c r="F538" s="65" t="n">
        <v>347772</v>
      </c>
      <c r="G538" s="152" t="n"/>
      <c r="H538" s="152" t="n">
        <v>449</v>
      </c>
      <c r="I538" s="156">
        <f>+I537+(G538-H538)</f>
        <v/>
      </c>
      <c r="J538" s="90" t="n">
        <v>49.4</v>
      </c>
      <c r="K538" s="166" t="n"/>
      <c r="L538" s="158">
        <f>+H538*J538</f>
        <v/>
      </c>
      <c r="M538" s="159">
        <f>SUM(M537+K538-L538)</f>
        <v/>
      </c>
    </row>
    <row r="539">
      <c r="A539" s="151" t="n">
        <v>46073</v>
      </c>
      <c r="B539" s="70" t="n">
        <v>3387</v>
      </c>
      <c r="C539" s="115" t="inlineStr">
        <is>
          <t>SELİM İNŞAAT</t>
        </is>
      </c>
      <c r="D539" s="115" t="inlineStr">
        <is>
          <t>34 EDC 162</t>
        </is>
      </c>
      <c r="E539" s="115" t="inlineStr">
        <is>
          <t xml:space="preserve">YAKUP GÜNER </t>
        </is>
      </c>
      <c r="F539" s="65" t="n">
        <v>413389</v>
      </c>
      <c r="G539" s="152" t="n"/>
      <c r="H539" s="152" t="n">
        <v>470</v>
      </c>
      <c r="I539" s="156">
        <f>+I538+(G539-H539)</f>
        <v/>
      </c>
      <c r="J539" s="90" t="n">
        <v>49.4</v>
      </c>
      <c r="K539" s="166" t="n"/>
      <c r="L539" s="158">
        <f>+H539*J539</f>
        <v/>
      </c>
      <c r="M539" s="159">
        <f>SUM(M538+K539-L539)</f>
        <v/>
      </c>
    </row>
    <row r="540">
      <c r="A540" s="151" t="n">
        <v>46073</v>
      </c>
      <c r="B540" s="70" t="n">
        <v>4923</v>
      </c>
      <c r="C540" s="115" t="inlineStr">
        <is>
          <t>SELİM İNŞAAT</t>
        </is>
      </c>
      <c r="D540" s="115" t="inlineStr">
        <is>
          <t>34 FBR 742</t>
        </is>
      </c>
      <c r="E540" s="115" t="inlineStr">
        <is>
          <t>ADNAN KOÇ</t>
        </is>
      </c>
      <c r="F540" s="65" t="n">
        <v>364412</v>
      </c>
      <c r="G540" s="152" t="n"/>
      <c r="H540" s="152" t="n">
        <v>421</v>
      </c>
      <c r="I540" s="156">
        <f>+I539+(G540-H540)</f>
        <v/>
      </c>
      <c r="J540" s="90" t="n">
        <v>49.4</v>
      </c>
      <c r="K540" s="166" t="n"/>
      <c r="L540" s="158">
        <f>+H540*J540</f>
        <v/>
      </c>
      <c r="M540" s="159">
        <f>SUM(M539+K540-L540)</f>
        <v/>
      </c>
    </row>
    <row r="541">
      <c r="A541" s="151" t="n">
        <v>46073</v>
      </c>
      <c r="B541" s="70" t="n">
        <v>3829</v>
      </c>
      <c r="C541" s="115" t="inlineStr">
        <is>
          <t>SELİM İNŞAAT</t>
        </is>
      </c>
      <c r="D541" s="115" t="inlineStr">
        <is>
          <t>34 GYZ 635</t>
        </is>
      </c>
      <c r="E541" s="115" t="inlineStr">
        <is>
          <t>ADEM DENİZ</t>
        </is>
      </c>
      <c r="F541" s="65" t="n">
        <v>224924</v>
      </c>
      <c r="G541" s="152" t="n"/>
      <c r="H541" s="152" t="n">
        <v>512</v>
      </c>
      <c r="I541" s="156">
        <f>+I540+(G541-H541)</f>
        <v/>
      </c>
      <c r="J541" s="90" t="n">
        <v>49.4</v>
      </c>
      <c r="K541" s="166" t="n"/>
      <c r="L541" s="158">
        <f>+H541*J541</f>
        <v/>
      </c>
      <c r="M541" s="159">
        <f>SUM(M540+K541-L541)</f>
        <v/>
      </c>
    </row>
    <row r="542">
      <c r="A542" s="151" t="n">
        <v>46073</v>
      </c>
      <c r="B542" s="70" t="n">
        <v>4873</v>
      </c>
      <c r="C542" s="115" t="inlineStr">
        <is>
          <t>SELİM İNŞAAT</t>
        </is>
      </c>
      <c r="D542" s="115" t="inlineStr">
        <is>
          <t>34 FBR 705</t>
        </is>
      </c>
      <c r="E542" s="115" t="inlineStr">
        <is>
          <t>MURAT SARI</t>
        </is>
      </c>
      <c r="F542" s="65" t="n">
        <v>360142</v>
      </c>
      <c r="G542" s="152" t="n"/>
      <c r="H542" s="152" t="n">
        <v>332</v>
      </c>
      <c r="I542" s="156">
        <f>+I541+(G542-H542)</f>
        <v/>
      </c>
      <c r="J542" s="90" t="n">
        <v>49.4</v>
      </c>
      <c r="K542" s="166" t="n"/>
      <c r="L542" s="158">
        <f>+H542*J542</f>
        <v/>
      </c>
      <c r="M542" s="159">
        <f>SUM(M541+K542-L542)</f>
        <v/>
      </c>
    </row>
    <row r="543">
      <c r="A543" s="151" t="n">
        <v>46073</v>
      </c>
      <c r="B543" s="70" t="n">
        <v>2297</v>
      </c>
      <c r="C543" s="115" t="inlineStr">
        <is>
          <t>SELİM İNŞAAT</t>
        </is>
      </c>
      <c r="D543" s="115" t="inlineStr">
        <is>
          <t>34 DSN 636</t>
        </is>
      </c>
      <c r="E543" s="115" t="inlineStr">
        <is>
          <t>MAHSUN GÜVEN</t>
        </is>
      </c>
      <c r="F543" s="65" t="n">
        <v>431952</v>
      </c>
      <c r="G543" s="152" t="n"/>
      <c r="H543" s="152" t="n">
        <v>395</v>
      </c>
      <c r="I543" s="156">
        <f>+I542+(G543-H543)</f>
        <v/>
      </c>
      <c r="J543" s="90" t="n">
        <v>49.4</v>
      </c>
      <c r="K543" s="166" t="n"/>
      <c r="L543" s="158">
        <f>+H543*J543</f>
        <v/>
      </c>
      <c r="M543" s="159">
        <f>SUM(M542+K543-L543)</f>
        <v/>
      </c>
    </row>
    <row r="544">
      <c r="A544" s="151" t="n">
        <v>46073</v>
      </c>
      <c r="B544" s="70" t="n">
        <v>512</v>
      </c>
      <c r="C544" s="115" t="inlineStr">
        <is>
          <t>SELİM İNŞAAT</t>
        </is>
      </c>
      <c r="D544" s="115" t="inlineStr">
        <is>
          <t>34 EGR 737</t>
        </is>
      </c>
      <c r="E544" s="115" t="inlineStr">
        <is>
          <t>CEM MUHTAR</t>
        </is>
      </c>
      <c r="F544" s="65" t="n">
        <v>459262</v>
      </c>
      <c r="G544" s="152" t="n"/>
      <c r="H544" s="152" t="n">
        <v>497</v>
      </c>
      <c r="I544" s="156">
        <f>+I543+(G544-H544)</f>
        <v/>
      </c>
      <c r="J544" s="90" t="n">
        <v>49.4</v>
      </c>
      <c r="K544" s="166" t="n"/>
      <c r="L544" s="158">
        <f>+H544*J544</f>
        <v/>
      </c>
      <c r="M544" s="159">
        <f>SUM(M543+K544-L544)</f>
        <v/>
      </c>
    </row>
    <row r="545">
      <c r="A545" s="151" t="n">
        <v>46073</v>
      </c>
      <c r="B545" s="70" t="n">
        <v>4510</v>
      </c>
      <c r="C545" s="115" t="inlineStr">
        <is>
          <t>SELİM İNŞAAT</t>
        </is>
      </c>
      <c r="D545" s="115" t="inlineStr">
        <is>
          <t>34 DTV 352</t>
        </is>
      </c>
      <c r="E545" s="115" t="inlineStr">
        <is>
          <t>AZİZ ORUÇ</t>
        </is>
      </c>
      <c r="F545" s="65" t="n">
        <v>474422</v>
      </c>
      <c r="G545" s="152" t="n"/>
      <c r="H545" s="152" t="n">
        <v>452</v>
      </c>
      <c r="I545" s="156">
        <f>+I544+(G545-H545)</f>
        <v/>
      </c>
      <c r="J545" s="90" t="n">
        <v>49.4</v>
      </c>
      <c r="K545" s="166" t="n"/>
      <c r="L545" s="158">
        <f>+H545*J545</f>
        <v/>
      </c>
      <c r="M545" s="159">
        <f>SUM(M544+K545-L545)</f>
        <v/>
      </c>
    </row>
    <row r="546">
      <c r="A546" s="167" t="n">
        <v>46074</v>
      </c>
      <c r="B546" s="83" t="n">
        <v>340</v>
      </c>
      <c r="C546" s="84" t="inlineStr">
        <is>
          <t>ÜNSOY TURİZM İNŞ.SAN.VE TİC.A.Ş.</t>
        </is>
      </c>
      <c r="D546" s="84" t="n"/>
      <c r="E546" s="84" t="n"/>
      <c r="F546" s="85" t="n"/>
      <c r="G546" s="168" t="n">
        <v>31583</v>
      </c>
      <c r="H546" s="168" t="n"/>
      <c r="I546" s="168">
        <f>+I545+(G546-H546)</f>
        <v/>
      </c>
      <c r="J546" s="87">
        <f>+K546/G546</f>
        <v/>
      </c>
      <c r="K546" s="169" t="n">
        <v>1617049.6</v>
      </c>
      <c r="L546" s="170">
        <f>+H546*J546</f>
        <v/>
      </c>
      <c r="M546" s="170">
        <f>SUM(M545+K546-L546)</f>
        <v/>
      </c>
    </row>
    <row r="547">
      <c r="A547" s="151" t="n">
        <v>46074</v>
      </c>
      <c r="B547" s="70" t="n">
        <v>804</v>
      </c>
      <c r="C547" s="115" t="inlineStr">
        <is>
          <t>METİN ERYİĞİT</t>
        </is>
      </c>
      <c r="D547" s="115" t="inlineStr">
        <is>
          <t>34 GBL 998</t>
        </is>
      </c>
      <c r="E547" s="115" t="inlineStr">
        <is>
          <t>ALİ KESKİN</t>
        </is>
      </c>
      <c r="F547" s="65" t="n"/>
      <c r="G547" s="152" t="n"/>
      <c r="H547" s="152" t="n">
        <v>448</v>
      </c>
      <c r="I547" s="156">
        <f>+I546+(G547-H547)</f>
        <v/>
      </c>
      <c r="J547" s="90" t="n">
        <v>51.2</v>
      </c>
      <c r="K547" s="166" t="n"/>
      <c r="L547" s="158">
        <f>+H547*J547</f>
        <v/>
      </c>
      <c r="M547" s="159">
        <f>SUM(M546+K547-L547)</f>
        <v/>
      </c>
    </row>
    <row r="548">
      <c r="A548" s="151" t="n">
        <v>46074</v>
      </c>
      <c r="B548" s="70" t="n">
        <v>2749</v>
      </c>
      <c r="C548" s="115" t="inlineStr">
        <is>
          <t>METİN ERYİĞİT</t>
        </is>
      </c>
      <c r="D548" s="115" t="inlineStr">
        <is>
          <t>34 EGR 814</t>
        </is>
      </c>
      <c r="E548" s="115" t="inlineStr">
        <is>
          <t xml:space="preserve">ZİYA İNCE </t>
        </is>
      </c>
      <c r="F548" s="65" t="n"/>
      <c r="G548" s="152" t="n"/>
      <c r="H548" s="152" t="n">
        <v>473</v>
      </c>
      <c r="I548" s="156">
        <f>+I547+(G548-H548)</f>
        <v/>
      </c>
      <c r="J548" s="90" t="n">
        <v>51.2</v>
      </c>
      <c r="K548" s="166" t="n"/>
      <c r="L548" s="158">
        <f>+H548*J548</f>
        <v/>
      </c>
      <c r="M548" s="159">
        <f>SUM(M547+K548-L548)</f>
        <v/>
      </c>
    </row>
    <row r="549">
      <c r="A549" s="151" t="n">
        <v>46074</v>
      </c>
      <c r="B549" s="70" t="n">
        <v>709</v>
      </c>
      <c r="C549" s="115" t="inlineStr">
        <is>
          <t>METİN ERYİĞİT</t>
        </is>
      </c>
      <c r="D549" s="115" t="inlineStr">
        <is>
          <t>34 EGS 013</t>
        </is>
      </c>
      <c r="E549" s="115" t="inlineStr">
        <is>
          <t>UĞUR DUMAN</t>
        </is>
      </c>
      <c r="F549" s="65" t="n"/>
      <c r="G549" s="152" t="n"/>
      <c r="H549" s="152" t="n">
        <v>450</v>
      </c>
      <c r="I549" s="156">
        <f>+I548+(G549-H549)</f>
        <v/>
      </c>
      <c r="J549" s="90" t="n">
        <v>51.2</v>
      </c>
      <c r="K549" s="166" t="n"/>
      <c r="L549" s="158">
        <f>+H549*J549</f>
        <v/>
      </c>
      <c r="M549" s="159">
        <f>SUM(M548+K549-L549)</f>
        <v/>
      </c>
    </row>
    <row r="550">
      <c r="A550" s="151" t="n">
        <v>46074</v>
      </c>
      <c r="B550" s="70" t="n">
        <v>3283</v>
      </c>
      <c r="C550" s="115" t="inlineStr">
        <is>
          <t xml:space="preserve">AZGÜN YAPI </t>
        </is>
      </c>
      <c r="D550" s="115" t="inlineStr">
        <is>
          <t>34 DTB 263</t>
        </is>
      </c>
      <c r="E550" s="115" t="inlineStr">
        <is>
          <t>DURSUN ALİ GÜREK</t>
        </is>
      </c>
      <c r="F550" s="65" t="n"/>
      <c r="G550" s="152" t="n"/>
      <c r="H550" s="152" t="n">
        <v>440</v>
      </c>
      <c r="I550" s="156">
        <f>+I549+(G550-H550)</f>
        <v/>
      </c>
      <c r="J550" s="90" t="n">
        <v>51.2</v>
      </c>
      <c r="K550" s="166" t="n"/>
      <c r="L550" s="158">
        <f>+H550*J550</f>
        <v/>
      </c>
      <c r="M550" s="159">
        <f>SUM(M549+K550-L550)</f>
        <v/>
      </c>
    </row>
    <row r="551">
      <c r="A551" s="151" t="n">
        <v>46074</v>
      </c>
      <c r="B551" s="70" t="n">
        <v>2538</v>
      </c>
      <c r="C551" s="115" t="inlineStr">
        <is>
          <t xml:space="preserve">AZGÜN YAPI </t>
        </is>
      </c>
      <c r="D551" s="115" t="inlineStr">
        <is>
          <t>34 MKT 593</t>
        </is>
      </c>
      <c r="E551" s="115" t="inlineStr">
        <is>
          <t>İRFAN DAĞLAR</t>
        </is>
      </c>
      <c r="F551" s="65" t="n"/>
      <c r="G551" s="152" t="n"/>
      <c r="H551" s="152" t="n">
        <v>258</v>
      </c>
      <c r="I551" s="156">
        <f>+I550+(G551-H551)</f>
        <v/>
      </c>
      <c r="J551" s="90" t="n">
        <v>51.2</v>
      </c>
      <c r="K551" s="166" t="n"/>
      <c r="L551" s="158">
        <f>+H551*J551</f>
        <v/>
      </c>
      <c r="M551" s="159">
        <f>SUM(M550+K551-L551)</f>
        <v/>
      </c>
    </row>
    <row r="552">
      <c r="A552" s="151" t="n">
        <v>46074</v>
      </c>
      <c r="B552" s="70" t="n">
        <v>393</v>
      </c>
      <c r="C552" s="115" t="inlineStr">
        <is>
          <t>HASALTUN</t>
        </is>
      </c>
      <c r="D552" s="115" t="inlineStr">
        <is>
          <t>HITACHI</t>
        </is>
      </c>
      <c r="E552" s="115" t="inlineStr">
        <is>
          <t>TURGUT SANCAK</t>
        </is>
      </c>
      <c r="F552" s="65" t="n"/>
      <c r="G552" s="152" t="n"/>
      <c r="H552" s="152" t="n">
        <v>359</v>
      </c>
      <c r="I552" s="156">
        <f>+I551+(G552-H552)</f>
        <v/>
      </c>
      <c r="J552" s="90" t="n">
        <v>51.2</v>
      </c>
      <c r="K552" s="166" t="n"/>
      <c r="L552" s="158">
        <f>+H552*J552</f>
        <v/>
      </c>
      <c r="M552" s="159">
        <f>SUM(M551+K552-L552)</f>
        <v/>
      </c>
    </row>
    <row r="553">
      <c r="A553" s="151" t="n">
        <v>46074</v>
      </c>
      <c r="B553" s="70" t="n">
        <v>394</v>
      </c>
      <c r="C553" s="115" t="inlineStr">
        <is>
          <t>HASALTUN</t>
        </is>
      </c>
      <c r="D553" s="115" t="inlineStr">
        <is>
          <t xml:space="preserve">JCB </t>
        </is>
      </c>
      <c r="E553" s="115" t="inlineStr">
        <is>
          <t>BAYRAM SANCAK</t>
        </is>
      </c>
      <c r="F553" s="65" t="n"/>
      <c r="G553" s="152" t="n"/>
      <c r="H553" s="152" t="n">
        <v>52</v>
      </c>
      <c r="I553" s="156">
        <f>+I552+(G553-H553)</f>
        <v/>
      </c>
      <c r="J553" s="90" t="n">
        <v>51.2</v>
      </c>
      <c r="K553" s="166" t="n"/>
      <c r="L553" s="158">
        <f>+H553*J553</f>
        <v/>
      </c>
      <c r="M553" s="159">
        <f>SUM(M552+K553-L553)</f>
        <v/>
      </c>
    </row>
    <row r="554">
      <c r="A554" s="151" t="n">
        <v>46074</v>
      </c>
      <c r="B554" s="70" t="n">
        <v>395</v>
      </c>
      <c r="C554" s="115" t="inlineStr">
        <is>
          <t>EVKUR</t>
        </is>
      </c>
      <c r="D554" s="115" t="inlineStr">
        <is>
          <t xml:space="preserve">JCB </t>
        </is>
      </c>
      <c r="E554" s="115" t="inlineStr">
        <is>
          <t>GÜNEŞ BEY</t>
        </is>
      </c>
      <c r="F554" s="65" t="n"/>
      <c r="G554" s="152" t="n"/>
      <c r="H554" s="152" t="n">
        <v>100</v>
      </c>
      <c r="I554" s="156">
        <f>+I553+(G554-H554)</f>
        <v/>
      </c>
      <c r="J554" s="90" t="n">
        <v>51.2</v>
      </c>
      <c r="K554" s="166" t="n"/>
      <c r="L554" s="158">
        <f>+H554*J554</f>
        <v/>
      </c>
      <c r="M554" s="159">
        <f>SUM(M553+K554-L554)</f>
        <v/>
      </c>
    </row>
    <row r="555">
      <c r="A555" s="151" t="n">
        <v>46074</v>
      </c>
      <c r="B555" s="70" t="n">
        <v>396</v>
      </c>
      <c r="C555" s="115" t="inlineStr">
        <is>
          <t>MEGA VARLIK</t>
        </is>
      </c>
      <c r="D555" s="115" t="inlineStr">
        <is>
          <t xml:space="preserve">SM350 </t>
        </is>
      </c>
      <c r="E555" s="115" t="inlineStr">
        <is>
          <t>TEVFİK ÖZTÜRK</t>
        </is>
      </c>
      <c r="F555" s="65" t="n"/>
      <c r="G555" s="152" t="n"/>
      <c r="H555" s="152" t="n">
        <v>175</v>
      </c>
      <c r="I555" s="156">
        <f>+I554+(G555-H555)</f>
        <v/>
      </c>
      <c r="J555" s="90" t="n">
        <v>51.2</v>
      </c>
      <c r="K555" s="166" t="n"/>
      <c r="L555" s="158">
        <f>+H555*J555</f>
        <v/>
      </c>
      <c r="M555" s="159">
        <f>SUM(M554+K555-L555)</f>
        <v/>
      </c>
    </row>
    <row r="556">
      <c r="A556" s="151" t="n">
        <v>46074</v>
      </c>
      <c r="B556" s="70" t="n">
        <v>397</v>
      </c>
      <c r="C556" s="115" t="inlineStr">
        <is>
          <t>MEGA VARLIK</t>
        </is>
      </c>
      <c r="D556" s="115" t="inlineStr">
        <is>
          <t>KAWAZAKI</t>
        </is>
      </c>
      <c r="E556" s="115" t="inlineStr">
        <is>
          <t>RAMAZAN</t>
        </is>
      </c>
      <c r="F556" s="65" t="n"/>
      <c r="G556" s="152" t="n"/>
      <c r="H556" s="152" t="n">
        <v>114</v>
      </c>
      <c r="I556" s="156">
        <f>+I555+(G556-H556)</f>
        <v/>
      </c>
      <c r="J556" s="90" t="n">
        <v>51.2</v>
      </c>
      <c r="K556" s="166" t="n"/>
      <c r="L556" s="158">
        <f>+H556*J556</f>
        <v/>
      </c>
      <c r="M556" s="159">
        <f>SUM(M555+K556-L556)</f>
        <v/>
      </c>
    </row>
    <row r="557">
      <c r="A557" s="151" t="n">
        <v>46074</v>
      </c>
      <c r="B557" s="70" t="n">
        <v>399</v>
      </c>
      <c r="C557" s="115" t="inlineStr">
        <is>
          <t>MEGA VARLIK</t>
        </is>
      </c>
      <c r="D557" s="115" t="inlineStr">
        <is>
          <t xml:space="preserve">SM350 </t>
        </is>
      </c>
      <c r="E557" s="115" t="inlineStr">
        <is>
          <t>EMİRHAN ÖZTÜRK</t>
        </is>
      </c>
      <c r="F557" s="65" t="n"/>
      <c r="G557" s="152" t="n"/>
      <c r="H557" s="152" t="n">
        <v>279</v>
      </c>
      <c r="I557" s="156">
        <f>+I556+(G557-H557)</f>
        <v/>
      </c>
      <c r="J557" s="90" t="n">
        <v>51.2</v>
      </c>
      <c r="K557" s="166" t="n"/>
      <c r="L557" s="158">
        <f>+H557*J557</f>
        <v/>
      </c>
      <c r="M557" s="159">
        <f>SUM(M556+K557-L557)</f>
        <v/>
      </c>
    </row>
    <row r="558">
      <c r="A558" s="151" t="n">
        <v>46074</v>
      </c>
      <c r="B558" s="70" t="n">
        <v>605</v>
      </c>
      <c r="C558" s="115" t="inlineStr">
        <is>
          <t>SELİM İNŞAAT</t>
        </is>
      </c>
      <c r="D558" s="115" t="inlineStr">
        <is>
          <t>34 BUR 461</t>
        </is>
      </c>
      <c r="E558" s="115" t="inlineStr">
        <is>
          <t xml:space="preserve">MUSTAFA ALBAYRAK </t>
        </is>
      </c>
      <c r="F558" s="65" t="n"/>
      <c r="G558" s="152" t="n"/>
      <c r="H558" s="152" t="n">
        <v>44</v>
      </c>
      <c r="I558" s="156">
        <f>+I557+(G558-H558)</f>
        <v/>
      </c>
      <c r="J558" s="90" t="n">
        <v>51.2</v>
      </c>
      <c r="K558" s="166" t="n"/>
      <c r="L558" s="158">
        <f>+H558*J558</f>
        <v/>
      </c>
      <c r="M558" s="159">
        <f>SUM(M557+K558-L558)</f>
        <v/>
      </c>
    </row>
    <row r="559">
      <c r="A559" s="151" t="n">
        <v>46074</v>
      </c>
      <c r="B559" s="70" t="n">
        <v>606</v>
      </c>
      <c r="C559" s="115" t="inlineStr">
        <is>
          <t>SELİM İNŞAAT</t>
        </is>
      </c>
      <c r="D559" s="115" t="inlineStr">
        <is>
          <t>34 FVU 827</t>
        </is>
      </c>
      <c r="E559" s="115" t="inlineStr">
        <is>
          <t>YILMAZ ÇELEBİ</t>
        </is>
      </c>
      <c r="F559" s="65" t="n"/>
      <c r="G559" s="152" t="n"/>
      <c r="H559" s="152" t="n">
        <v>45</v>
      </c>
      <c r="I559" s="156">
        <f>+I558+(G559-H559)</f>
        <v/>
      </c>
      <c r="J559" s="90" t="n">
        <v>51.2</v>
      </c>
      <c r="K559" s="166" t="n"/>
      <c r="L559" s="158">
        <f>+H559*J559</f>
        <v/>
      </c>
      <c r="M559" s="159">
        <f>SUM(M558+K559-L559)</f>
        <v/>
      </c>
    </row>
    <row r="560">
      <c r="A560" s="151" t="n">
        <v>46074</v>
      </c>
      <c r="B560" s="70" t="n">
        <v>1631</v>
      </c>
      <c r="C560" s="115" t="inlineStr">
        <is>
          <t>SELİM İNŞAAT</t>
        </is>
      </c>
      <c r="D560" s="115" t="inlineStr">
        <is>
          <t>34 VF 2620</t>
        </is>
      </c>
      <c r="E560" s="115" t="inlineStr">
        <is>
          <t>HASAN BAYCA</t>
        </is>
      </c>
      <c r="F560" s="65" t="n">
        <v>201968</v>
      </c>
      <c r="G560" s="152" t="n"/>
      <c r="H560" s="152" t="n">
        <v>76</v>
      </c>
      <c r="I560" s="156">
        <f>+I559+(G560-H560)</f>
        <v/>
      </c>
      <c r="J560" s="90" t="n">
        <v>51.2</v>
      </c>
      <c r="K560" s="166" t="n"/>
      <c r="L560" s="158">
        <f>+H560*J560</f>
        <v/>
      </c>
      <c r="M560" s="159">
        <f>SUM(M559+K560-L560)</f>
        <v/>
      </c>
    </row>
    <row r="561">
      <c r="A561" s="151" t="n">
        <v>46074</v>
      </c>
      <c r="B561" s="70" t="n">
        <v>4461</v>
      </c>
      <c r="C561" s="115" t="inlineStr">
        <is>
          <t>SELİM İNŞAAT</t>
        </is>
      </c>
      <c r="D561" s="115" t="inlineStr">
        <is>
          <t>34 DKL 798</t>
        </is>
      </c>
      <c r="E561" s="115" t="inlineStr">
        <is>
          <t>HASAN BAYCA</t>
        </is>
      </c>
      <c r="F561" s="65" t="n">
        <v>80561</v>
      </c>
      <c r="G561" s="152" t="n"/>
      <c r="H561" s="152" t="n">
        <v>226</v>
      </c>
      <c r="I561" s="156">
        <f>+I560+(G561-H561)</f>
        <v/>
      </c>
      <c r="J561" s="90" t="n">
        <v>51.2</v>
      </c>
      <c r="K561" s="166" t="n"/>
      <c r="L561" s="158">
        <f>+H561*J561</f>
        <v/>
      </c>
      <c r="M561" s="159">
        <f>SUM(M560+K561-L561)</f>
        <v/>
      </c>
    </row>
    <row r="562">
      <c r="A562" s="151" t="n">
        <v>46074</v>
      </c>
      <c r="B562" s="70" t="n">
        <v>302</v>
      </c>
      <c r="C562" s="115" t="inlineStr">
        <is>
          <t>SELİM İNŞAAT</t>
        </is>
      </c>
      <c r="D562" s="115" t="inlineStr">
        <is>
          <t>34 GER 445</t>
        </is>
      </c>
      <c r="E562" s="115" t="inlineStr">
        <is>
          <t>RIFAT KARATAY</t>
        </is>
      </c>
      <c r="F562" s="65" t="n">
        <v>57291</v>
      </c>
      <c r="G562" s="152" t="n"/>
      <c r="H562" s="152" t="n">
        <v>277</v>
      </c>
      <c r="I562" s="156">
        <f>+I561+(G562-H562)</f>
        <v/>
      </c>
      <c r="J562" s="90" t="n">
        <v>51.2</v>
      </c>
      <c r="K562" s="166" t="n"/>
      <c r="L562" s="158">
        <f>+H562*J562</f>
        <v/>
      </c>
      <c r="M562" s="159">
        <f>SUM(M561+K562-L562)</f>
        <v/>
      </c>
    </row>
    <row r="563">
      <c r="A563" s="151" t="n">
        <v>46074</v>
      </c>
      <c r="B563" s="70" t="n">
        <v>2589</v>
      </c>
      <c r="C563" s="115" t="inlineStr">
        <is>
          <t>SELİM İNŞAAT</t>
        </is>
      </c>
      <c r="D563" s="115" t="inlineStr">
        <is>
          <t>34 GER 028</t>
        </is>
      </c>
      <c r="E563" s="115" t="inlineStr">
        <is>
          <t>ABDULKERİM ERGEN</t>
        </is>
      </c>
      <c r="F563" s="65" t="n">
        <v>59745</v>
      </c>
      <c r="G563" s="152" t="n"/>
      <c r="H563" s="152" t="n">
        <v>290</v>
      </c>
      <c r="I563" s="156">
        <f>+I562+(G563-H563)</f>
        <v/>
      </c>
      <c r="J563" s="90" t="n">
        <v>51.2</v>
      </c>
      <c r="K563" s="166" t="n"/>
      <c r="L563" s="158">
        <f>+H563*J563</f>
        <v/>
      </c>
      <c r="M563" s="159">
        <f>SUM(M562+K563-L563)</f>
        <v/>
      </c>
    </row>
    <row r="564">
      <c r="A564" s="151" t="n">
        <v>46074</v>
      </c>
      <c r="B564" s="70" t="n">
        <v>4168</v>
      </c>
      <c r="C564" s="115" t="inlineStr">
        <is>
          <t>SELİM İNŞAAT</t>
        </is>
      </c>
      <c r="D564" s="115" t="inlineStr">
        <is>
          <t>34 FBR 748</t>
        </is>
      </c>
      <c r="E564" s="115" t="inlineStr">
        <is>
          <t>YAŞAR ÖZKAYA</t>
        </is>
      </c>
      <c r="F564" s="65" t="n">
        <v>323062</v>
      </c>
      <c r="G564" s="152" t="n"/>
      <c r="H564" s="152" t="n">
        <v>415</v>
      </c>
      <c r="I564" s="156">
        <f>+I563+(G564-H564)</f>
        <v/>
      </c>
      <c r="J564" s="90" t="n">
        <v>51.2</v>
      </c>
      <c r="K564" s="166" t="n"/>
      <c r="L564" s="158">
        <f>+H564*J564</f>
        <v/>
      </c>
      <c r="M564" s="159">
        <f>SUM(M563+K564-L564)</f>
        <v/>
      </c>
    </row>
    <row r="565">
      <c r="A565" s="151" t="n">
        <v>46074</v>
      </c>
      <c r="B565" s="70" t="n">
        <v>3388</v>
      </c>
      <c r="C565" s="115" t="inlineStr">
        <is>
          <t>SELİM İNŞAAT</t>
        </is>
      </c>
      <c r="D565" s="115" t="inlineStr">
        <is>
          <t>34 EDC 162</t>
        </is>
      </c>
      <c r="E565" s="115" t="inlineStr">
        <is>
          <t xml:space="preserve">YAKUP GÜNER </t>
        </is>
      </c>
      <c r="F565" s="65" t="n">
        <v>413754</v>
      </c>
      <c r="G565" s="152" t="n"/>
      <c r="H565" s="152" t="n">
        <v>332</v>
      </c>
      <c r="I565" s="156">
        <f>+I564+(G565-H565)</f>
        <v/>
      </c>
      <c r="J565" s="90" t="n">
        <v>51.2</v>
      </c>
      <c r="K565" s="166" t="n"/>
      <c r="L565" s="158">
        <f>+H565*J565</f>
        <v/>
      </c>
      <c r="M565" s="159">
        <f>SUM(M564+K565-L565)</f>
        <v/>
      </c>
    </row>
    <row r="566">
      <c r="A566" s="151" t="n">
        <v>46074</v>
      </c>
      <c r="B566" s="70" t="n">
        <v>3486</v>
      </c>
      <c r="C566" s="115" t="inlineStr">
        <is>
          <t>SELİM İNŞAAT</t>
        </is>
      </c>
      <c r="D566" s="115" t="inlineStr">
        <is>
          <t>34 EDB 754</t>
        </is>
      </c>
      <c r="E566" s="115" t="inlineStr">
        <is>
          <t>MUSTAFA KAYA</t>
        </is>
      </c>
      <c r="F566" s="65" t="n">
        <v>370789</v>
      </c>
      <c r="G566" s="152" t="n"/>
      <c r="H566" s="152" t="n">
        <v>524</v>
      </c>
      <c r="I566" s="156">
        <f>+I565+(G566-H566)</f>
        <v/>
      </c>
      <c r="J566" s="90" t="n">
        <v>51.2</v>
      </c>
      <c r="K566" s="166" t="n"/>
      <c r="L566" s="158">
        <f>+H566*J566</f>
        <v/>
      </c>
      <c r="M566" s="159">
        <f>SUM(M565+K566-L566)</f>
        <v/>
      </c>
    </row>
    <row r="567">
      <c r="A567" s="151" t="n">
        <v>46074</v>
      </c>
      <c r="B567" s="70" t="n">
        <v>3222</v>
      </c>
      <c r="C567" s="115" t="inlineStr">
        <is>
          <t>SELİM İNŞAAT</t>
        </is>
      </c>
      <c r="D567" s="115" t="inlineStr">
        <is>
          <t>34 EGR 736</t>
        </is>
      </c>
      <c r="E567" s="115" t="inlineStr">
        <is>
          <t>HAKAN ÇAVUŞOĞLU</t>
        </is>
      </c>
      <c r="F567" s="65" t="n">
        <v>437431</v>
      </c>
      <c r="G567" s="152" t="n"/>
      <c r="H567" s="152" t="n">
        <v>458</v>
      </c>
      <c r="I567" s="156">
        <f>+I566+(G567-H567)</f>
        <v/>
      </c>
      <c r="J567" s="90" t="n">
        <v>51.2</v>
      </c>
      <c r="K567" s="166" t="n"/>
      <c r="L567" s="158">
        <f>+H567*J567</f>
        <v/>
      </c>
      <c r="M567" s="159">
        <f>SUM(M566+K567-L567)</f>
        <v/>
      </c>
    </row>
    <row r="568">
      <c r="A568" s="151" t="n">
        <v>46074</v>
      </c>
      <c r="B568" s="70" t="n">
        <v>903</v>
      </c>
      <c r="C568" s="115" t="inlineStr">
        <is>
          <t>SELİM İNŞAAT</t>
        </is>
      </c>
      <c r="D568" s="115" t="inlineStr">
        <is>
          <t>34 FSG 229</t>
        </is>
      </c>
      <c r="E568" s="115" t="inlineStr">
        <is>
          <t>SİNAN TANRIVERDİ</t>
        </is>
      </c>
      <c r="F568" s="65" t="n">
        <v>298329</v>
      </c>
      <c r="G568" s="152" t="n"/>
      <c r="H568" s="152" t="n">
        <v>442</v>
      </c>
      <c r="I568" s="156">
        <f>+I567+(G568-H568)</f>
        <v/>
      </c>
      <c r="J568" s="90" t="n">
        <v>51.2</v>
      </c>
      <c r="K568" s="166" t="n"/>
      <c r="L568" s="158">
        <f>+H568*J568</f>
        <v/>
      </c>
      <c r="M568" s="159">
        <f>SUM(M567+K568-L568)</f>
        <v/>
      </c>
    </row>
    <row r="569">
      <c r="A569" s="151" t="n">
        <v>46074</v>
      </c>
      <c r="B569" s="70" t="n">
        <v>3425</v>
      </c>
      <c r="C569" s="115" t="inlineStr">
        <is>
          <t>SELİM İNŞAAT</t>
        </is>
      </c>
      <c r="D569" s="115" t="inlineStr">
        <is>
          <t>34 GVZ 310</t>
        </is>
      </c>
      <c r="E569" s="115" t="inlineStr">
        <is>
          <t>CELAL YÜZBAŞI</t>
        </is>
      </c>
      <c r="F569" s="65" t="n">
        <v>245219</v>
      </c>
      <c r="G569" s="152" t="n"/>
      <c r="H569" s="152" t="n">
        <v>338</v>
      </c>
      <c r="I569" s="156">
        <f>+I568+(G569-H569)</f>
        <v/>
      </c>
      <c r="J569" s="90" t="n">
        <v>51.2</v>
      </c>
      <c r="K569" s="166" t="n"/>
      <c r="L569" s="158">
        <f>+H569*J569</f>
        <v/>
      </c>
      <c r="M569" s="159">
        <f>SUM(M568+K569-L569)</f>
        <v/>
      </c>
    </row>
    <row r="570">
      <c r="A570" s="151" t="n">
        <v>46074</v>
      </c>
      <c r="B570" s="70" t="n">
        <v>4968</v>
      </c>
      <c r="C570" s="115" t="inlineStr">
        <is>
          <t>SELİM İNŞAAT</t>
        </is>
      </c>
      <c r="D570" s="115" t="inlineStr">
        <is>
          <t xml:space="preserve">34 GVZ 745 </t>
        </is>
      </c>
      <c r="E570" s="115" t="inlineStr">
        <is>
          <t>MURAT DEMİRBAĞ</t>
        </is>
      </c>
      <c r="F570" s="65" t="n">
        <v>245263</v>
      </c>
      <c r="G570" s="152" t="n"/>
      <c r="H570" s="152" t="n">
        <v>434</v>
      </c>
      <c r="I570" s="156">
        <f>+I569+(G570-H570)</f>
        <v/>
      </c>
      <c r="J570" s="90" t="n">
        <v>51.2</v>
      </c>
      <c r="K570" s="166" t="n"/>
      <c r="L570" s="158">
        <f>+H570*J570</f>
        <v/>
      </c>
      <c r="M570" s="159">
        <f>SUM(M569+K570-L570)</f>
        <v/>
      </c>
    </row>
    <row r="571">
      <c r="A571" s="151" t="n">
        <v>46074</v>
      </c>
      <c r="B571" s="70" t="n">
        <v>9</v>
      </c>
      <c r="C571" s="115" t="inlineStr">
        <is>
          <t>SELİM İNŞAAT</t>
        </is>
      </c>
      <c r="D571" s="115" t="inlineStr">
        <is>
          <t xml:space="preserve">34 GVZ 268 </t>
        </is>
      </c>
      <c r="E571" s="115" t="inlineStr">
        <is>
          <t>KERİM KARAMAN</t>
        </is>
      </c>
      <c r="F571" s="65" t="n">
        <v>249560</v>
      </c>
      <c r="G571" s="152" t="n"/>
      <c r="H571" s="152" t="n">
        <v>484</v>
      </c>
      <c r="I571" s="156">
        <f>+I570+(G571-H571)</f>
        <v/>
      </c>
      <c r="J571" s="90" t="n">
        <v>51.2</v>
      </c>
      <c r="K571" s="166" t="n"/>
      <c r="L571" s="158">
        <f>+H571*J571</f>
        <v/>
      </c>
      <c r="M571" s="159">
        <f>SUM(M570+K571-L571)</f>
        <v/>
      </c>
    </row>
    <row r="572">
      <c r="A572" s="151" t="n">
        <v>46074</v>
      </c>
      <c r="B572" s="70" t="n">
        <v>2793</v>
      </c>
      <c r="C572" s="115" t="inlineStr">
        <is>
          <t>SELİM İNŞAAT</t>
        </is>
      </c>
      <c r="D572" s="115" t="inlineStr">
        <is>
          <t>34 EDC 086</t>
        </is>
      </c>
      <c r="E572" s="115" t="inlineStr">
        <is>
          <t>SEZGİN KOCAGİL</t>
        </is>
      </c>
      <c r="F572" s="65" t="n">
        <v>375284</v>
      </c>
      <c r="G572" s="152" t="n"/>
      <c r="H572" s="152" t="n">
        <v>523</v>
      </c>
      <c r="I572" s="156">
        <f>+I571+(G572-H572)</f>
        <v/>
      </c>
      <c r="J572" s="90" t="n">
        <v>51.2</v>
      </c>
      <c r="K572" s="166" t="n"/>
      <c r="L572" s="158">
        <f>+H572*J572</f>
        <v/>
      </c>
      <c r="M572" s="159">
        <f>SUM(M571+K572-L572)</f>
        <v/>
      </c>
    </row>
    <row r="573">
      <c r="A573" s="151" t="n">
        <v>46074</v>
      </c>
      <c r="B573" s="70" t="n">
        <v>3043</v>
      </c>
      <c r="C573" s="115" t="inlineStr">
        <is>
          <t>SELİM İNŞAAT</t>
        </is>
      </c>
      <c r="D573" s="115" t="inlineStr">
        <is>
          <t>34 FBR 781</t>
        </is>
      </c>
      <c r="E573" s="115" t="inlineStr">
        <is>
          <t>MEVLÜT POLAT</t>
        </is>
      </c>
      <c r="F573" s="65" t="n">
        <v>361151</v>
      </c>
      <c r="G573" s="152" t="n"/>
      <c r="H573" s="152" t="n">
        <v>467</v>
      </c>
      <c r="I573" s="156">
        <f>+I572+(G573-H573)</f>
        <v/>
      </c>
      <c r="J573" s="90" t="n">
        <v>51.2</v>
      </c>
      <c r="K573" s="166" t="n"/>
      <c r="L573" s="158">
        <f>+H573*J573</f>
        <v/>
      </c>
      <c r="M573" s="159">
        <f>SUM(M572+K573-L573)</f>
        <v/>
      </c>
    </row>
    <row r="574">
      <c r="A574" s="151" t="n">
        <v>46076</v>
      </c>
      <c r="B574" s="70" t="n">
        <v>398</v>
      </c>
      <c r="C574" s="115" t="n"/>
      <c r="D574" s="115" t="inlineStr">
        <is>
          <t>KAWAZAKI</t>
        </is>
      </c>
      <c r="E574" s="115" t="inlineStr">
        <is>
          <t>RAMAZAN</t>
        </is>
      </c>
      <c r="F574" s="65" t="n"/>
      <c r="G574" s="152" t="n"/>
      <c r="H574" s="152" t="n">
        <v>91</v>
      </c>
      <c r="I574" s="156">
        <f>+I573+(G574-H574)</f>
        <v/>
      </c>
      <c r="J574" s="90" t="n">
        <v>51.2</v>
      </c>
      <c r="K574" s="166" t="n"/>
      <c r="L574" s="158">
        <f>+H574*J574</f>
        <v/>
      </c>
      <c r="M574" s="159">
        <f>SUM(M573+K574-L574)</f>
        <v/>
      </c>
    </row>
    <row r="575">
      <c r="A575" s="151" t="n">
        <v>46076</v>
      </c>
      <c r="B575" s="70" t="n">
        <v>246</v>
      </c>
      <c r="C575" s="115" t="inlineStr">
        <is>
          <t>SELİM İNŞAAT</t>
        </is>
      </c>
      <c r="D575" s="115" t="inlineStr">
        <is>
          <t>34 JGR 15</t>
        </is>
      </c>
      <c r="E575" s="115" t="inlineStr">
        <is>
          <t>ABDULKERİM ERGEN</t>
        </is>
      </c>
      <c r="F575" s="65" t="n"/>
      <c r="G575" s="152" t="n"/>
      <c r="H575" s="152" t="n">
        <v>61</v>
      </c>
      <c r="I575" s="156">
        <f>+I574+(G575-H575)</f>
        <v/>
      </c>
      <c r="J575" s="90" t="n">
        <v>51.2</v>
      </c>
      <c r="K575" s="166" t="n"/>
      <c r="L575" s="158">
        <f>+H575*J575</f>
        <v/>
      </c>
      <c r="M575" s="159">
        <f>SUM(M574+K575-L575)</f>
        <v/>
      </c>
    </row>
    <row r="576">
      <c r="A576" s="167" t="n">
        <v>46077</v>
      </c>
      <c r="B576" s="83" t="n">
        <v>361</v>
      </c>
      <c r="C576" s="84" t="inlineStr">
        <is>
          <t>ÜNSOY TURİZM İNŞ.SAN.VE TİC.A.Ş.</t>
        </is>
      </c>
      <c r="D576" s="84" t="n"/>
      <c r="E576" s="84" t="n"/>
      <c r="F576" s="85" t="n"/>
      <c r="G576" s="168" t="n">
        <v>32528</v>
      </c>
      <c r="H576" s="168" t="n"/>
      <c r="I576" s="168">
        <f>+I575+(G576-H576)</f>
        <v/>
      </c>
      <c r="J576" s="87">
        <f>+K576/G576</f>
        <v/>
      </c>
      <c r="K576" s="169" t="n">
        <v>1682022.88</v>
      </c>
      <c r="L576" s="170">
        <f>+H576*J576</f>
        <v/>
      </c>
      <c r="M576" s="170">
        <f>SUM(M575+K576-L576)</f>
        <v/>
      </c>
    </row>
    <row r="577">
      <c r="A577" s="151" t="n">
        <v>46077</v>
      </c>
      <c r="B577" s="70" t="n">
        <v>805</v>
      </c>
      <c r="C577" s="115" t="inlineStr">
        <is>
          <t>METİN ERYİĞİT</t>
        </is>
      </c>
      <c r="D577" s="115" t="inlineStr">
        <is>
          <t>34 GBL 998</t>
        </is>
      </c>
      <c r="E577" s="115" t="inlineStr">
        <is>
          <t>ALİ KESKİN</t>
        </is>
      </c>
      <c r="F577" s="65" t="n"/>
      <c r="G577" s="152" t="n"/>
      <c r="H577" s="152" t="n">
        <v>357</v>
      </c>
      <c r="I577" s="156">
        <f>+I576+(G577-H577)</f>
        <v/>
      </c>
      <c r="J577" s="90" t="n">
        <v>51.71</v>
      </c>
      <c r="K577" s="166" t="n"/>
      <c r="L577" s="158">
        <f>+H577*J577</f>
        <v/>
      </c>
      <c r="M577" s="159">
        <f>SUM(M576+K577-L577)</f>
        <v/>
      </c>
    </row>
    <row r="578">
      <c r="A578" s="151" t="n">
        <v>46077</v>
      </c>
      <c r="B578" s="70" t="n">
        <v>2750</v>
      </c>
      <c r="C578" s="115" t="inlineStr">
        <is>
          <t>METİN ERYİĞİT</t>
        </is>
      </c>
      <c r="D578" s="115" t="inlineStr">
        <is>
          <t>34 EGR 814</t>
        </is>
      </c>
      <c r="E578" s="115" t="inlineStr">
        <is>
          <t xml:space="preserve">ZİYA İNCE </t>
        </is>
      </c>
      <c r="F578" s="65" t="n"/>
      <c r="G578" s="152" t="n"/>
      <c r="H578" s="152" t="n">
        <v>447</v>
      </c>
      <c r="I578" s="156">
        <f>+I577+(G578-H578)</f>
        <v/>
      </c>
      <c r="J578" s="90" t="n">
        <v>51.71</v>
      </c>
      <c r="K578" s="166" t="n"/>
      <c r="L578" s="158">
        <f>+H578*#REF!</f>
        <v/>
      </c>
      <c r="M578" s="159">
        <f>SUM(M577+K578-L578)</f>
        <v/>
      </c>
    </row>
    <row r="579">
      <c r="A579" s="151" t="n">
        <v>46077</v>
      </c>
      <c r="B579" s="70" t="n">
        <v>710</v>
      </c>
      <c r="C579" s="115" t="inlineStr">
        <is>
          <t>METİN ERYİĞİT</t>
        </is>
      </c>
      <c r="D579" s="115" t="inlineStr">
        <is>
          <t>34 EGS 013</t>
        </is>
      </c>
      <c r="E579" s="115" t="inlineStr">
        <is>
          <t>UĞUR DUMAN</t>
        </is>
      </c>
      <c r="F579" s="65" t="n"/>
      <c r="G579" s="152" t="n"/>
      <c r="H579" s="152" t="n">
        <v>447</v>
      </c>
      <c r="I579" s="156">
        <f>+I578+(G579-H579)</f>
        <v/>
      </c>
      <c r="J579" s="90" t="n">
        <v>51.71</v>
      </c>
      <c r="K579" s="166" t="n"/>
      <c r="L579" s="158">
        <f>+H579*J579</f>
        <v/>
      </c>
      <c r="M579" s="159">
        <f>SUM(M578+K579-L579)</f>
        <v/>
      </c>
    </row>
    <row r="580">
      <c r="A580" s="151" t="n">
        <v>46077</v>
      </c>
      <c r="B580" s="70" t="n">
        <v>3287</v>
      </c>
      <c r="C580" s="115" t="inlineStr">
        <is>
          <t xml:space="preserve">AZGÜN YAPI </t>
        </is>
      </c>
      <c r="D580" s="115" t="inlineStr">
        <is>
          <t>34 MKT 859</t>
        </is>
      </c>
      <c r="E580" s="115" t="inlineStr">
        <is>
          <t>İRFAN DAĞLAR</t>
        </is>
      </c>
      <c r="F580" s="65" t="n"/>
      <c r="G580" s="152" t="n"/>
      <c r="H580" s="152" t="n">
        <v>345</v>
      </c>
      <c r="I580" s="156">
        <f>+I579+(G580-H580)</f>
        <v/>
      </c>
      <c r="J580" s="90" t="n">
        <v>51.71</v>
      </c>
      <c r="K580" s="166" t="n"/>
      <c r="L580" s="158">
        <f>+H580*J580</f>
        <v/>
      </c>
      <c r="M580" s="159">
        <f>SUM(M579+K580-L580)</f>
        <v/>
      </c>
    </row>
    <row r="581">
      <c r="A581" s="151" t="n">
        <v>46077</v>
      </c>
      <c r="B581" s="70" t="n">
        <v>2539</v>
      </c>
      <c r="C581" s="115" t="inlineStr">
        <is>
          <t xml:space="preserve">AZGÜN YAPI </t>
        </is>
      </c>
      <c r="D581" s="115" t="inlineStr">
        <is>
          <t>34 MKT 593</t>
        </is>
      </c>
      <c r="E581" s="115" t="inlineStr">
        <is>
          <t>TURGUT ÇATAL</t>
        </is>
      </c>
      <c r="F581" s="65" t="n"/>
      <c r="G581" s="152" t="n"/>
      <c r="H581" s="152" t="n">
        <v>516</v>
      </c>
      <c r="I581" s="156">
        <f>+I580+(G581-H581)</f>
        <v/>
      </c>
      <c r="J581" s="90" t="n">
        <v>51.71</v>
      </c>
      <c r="K581" s="166" t="n"/>
      <c r="L581" s="158">
        <f>+H581*J581</f>
        <v/>
      </c>
      <c r="M581" s="159">
        <f>SUM(M580+K581-L581)</f>
        <v/>
      </c>
    </row>
    <row r="582">
      <c r="A582" s="151" t="n">
        <v>46077</v>
      </c>
      <c r="B582" s="70" t="n">
        <v>400</v>
      </c>
      <c r="C582" s="115" t="inlineStr">
        <is>
          <t>HASALTUN</t>
        </is>
      </c>
      <c r="D582" s="115" t="inlineStr">
        <is>
          <t>SİLİNDİR</t>
        </is>
      </c>
      <c r="E582" s="115" t="inlineStr">
        <is>
          <t>ÖNER DÜNDAR</t>
        </is>
      </c>
      <c r="F582" s="65" t="n"/>
      <c r="G582" s="152" t="n"/>
      <c r="H582" s="152" t="n">
        <v>84</v>
      </c>
      <c r="I582" s="156">
        <f>+I581+(G582-H582)</f>
        <v/>
      </c>
      <c r="J582" s="90" t="n">
        <v>51.71</v>
      </c>
      <c r="K582" s="166" t="n"/>
      <c r="L582" s="158">
        <f>+H582*J582</f>
        <v/>
      </c>
      <c r="M582" s="159">
        <f>SUM(M581+K582-L582)</f>
        <v/>
      </c>
    </row>
    <row r="583">
      <c r="A583" s="151" t="n">
        <v>46077</v>
      </c>
      <c r="B583" s="70" t="n">
        <v>401</v>
      </c>
      <c r="C583" s="115" t="inlineStr">
        <is>
          <t>HASALTUN</t>
        </is>
      </c>
      <c r="D583" s="115" t="inlineStr">
        <is>
          <t>SİLİNDİR</t>
        </is>
      </c>
      <c r="E583" s="115" t="inlineStr">
        <is>
          <t>ÖNER DÜNDAR</t>
        </is>
      </c>
      <c r="F583" s="65" t="n"/>
      <c r="G583" s="152" t="n"/>
      <c r="H583" s="152" t="n">
        <v>220</v>
      </c>
      <c r="I583" s="156">
        <f>+I582+(G583-H583)</f>
        <v/>
      </c>
      <c r="J583" s="90" t="n">
        <v>51.71</v>
      </c>
      <c r="K583" s="166" t="n"/>
      <c r="L583" s="158">
        <f>+H583*J583</f>
        <v/>
      </c>
      <c r="M583" s="159">
        <f>SUM(M582+K583-L583)</f>
        <v/>
      </c>
    </row>
    <row r="584">
      <c r="A584" s="151" t="n">
        <v>46077</v>
      </c>
      <c r="B584" s="70" t="n">
        <v>402</v>
      </c>
      <c r="C584" s="115" t="inlineStr">
        <is>
          <t>HASALTUN</t>
        </is>
      </c>
      <c r="D584" s="115" t="inlineStr">
        <is>
          <t>HITACHI</t>
        </is>
      </c>
      <c r="E584" s="115" t="inlineStr">
        <is>
          <t>TURGUT SANCAK</t>
        </is>
      </c>
      <c r="F584" s="65" t="n"/>
      <c r="G584" s="152" t="n"/>
      <c r="H584" s="152" t="n">
        <v>252</v>
      </c>
      <c r="I584" s="156">
        <f>+I583+(G584-H584)</f>
        <v/>
      </c>
      <c r="J584" s="90" t="n">
        <v>51.71</v>
      </c>
      <c r="K584" s="166" t="n"/>
      <c r="L584" s="158">
        <f>+H584*J584</f>
        <v/>
      </c>
      <c r="M584" s="159">
        <f>SUM(M583+K584-L584)</f>
        <v/>
      </c>
    </row>
    <row r="585">
      <c r="A585" s="151" t="n">
        <v>46077</v>
      </c>
      <c r="B585" s="70" t="n">
        <v>403</v>
      </c>
      <c r="C585" s="115" t="inlineStr">
        <is>
          <t>MEGA VARLIK</t>
        </is>
      </c>
      <c r="D585" s="115" t="inlineStr">
        <is>
          <t>KAWAZAKI</t>
        </is>
      </c>
      <c r="E585" s="115" t="inlineStr">
        <is>
          <t>RAMAZAN</t>
        </is>
      </c>
      <c r="F585" s="65" t="n"/>
      <c r="G585" s="152" t="n"/>
      <c r="H585" s="152" t="n">
        <v>115</v>
      </c>
      <c r="I585" s="156">
        <f>+I584+(G585-H585)</f>
        <v/>
      </c>
      <c r="J585" s="90" t="n">
        <v>51.71</v>
      </c>
      <c r="K585" s="166" t="n"/>
      <c r="L585" s="158">
        <f>+H585*J585</f>
        <v/>
      </c>
      <c r="M585" s="159">
        <f>SUM(M584+K585-L585)</f>
        <v/>
      </c>
    </row>
    <row r="586">
      <c r="A586" s="151" t="n">
        <v>46077</v>
      </c>
      <c r="B586" s="70" t="n">
        <v>409</v>
      </c>
      <c r="C586" s="115" t="inlineStr">
        <is>
          <t>MEGA VARLIK</t>
        </is>
      </c>
      <c r="D586" s="115" t="inlineStr">
        <is>
          <t xml:space="preserve">SM350 </t>
        </is>
      </c>
      <c r="E586" s="115" t="inlineStr">
        <is>
          <t>TEVFİK ÖZTÜRK</t>
        </is>
      </c>
      <c r="F586" s="65" t="n"/>
      <c r="G586" s="152" t="n"/>
      <c r="H586" s="152" t="n">
        <v>351</v>
      </c>
      <c r="I586" s="156">
        <f>+I585+(G586-H586)</f>
        <v/>
      </c>
      <c r="J586" s="90" t="n">
        <v>51.71</v>
      </c>
      <c r="K586" s="166" t="n"/>
      <c r="L586" s="158">
        <f>+H586*J586</f>
        <v/>
      </c>
      <c r="M586" s="159">
        <f>SUM(M585+K586-L586)</f>
        <v/>
      </c>
    </row>
    <row r="587">
      <c r="A587" s="151" t="n">
        <v>46077</v>
      </c>
      <c r="B587" s="70" t="n">
        <v>607</v>
      </c>
      <c r="C587" s="115" t="inlineStr">
        <is>
          <t>AHMET SELİM TEMHA</t>
        </is>
      </c>
      <c r="D587" s="115" t="inlineStr">
        <is>
          <t>34 PGT 251</t>
        </is>
      </c>
      <c r="E587" s="115" t="inlineStr">
        <is>
          <t>ERSOY SIĞINMAZ</t>
        </is>
      </c>
      <c r="F587" s="65" t="n"/>
      <c r="G587" s="152" t="n"/>
      <c r="H587" s="152" t="n">
        <v>53</v>
      </c>
      <c r="I587" s="156">
        <f>+I586+(G587-H587)</f>
        <v/>
      </c>
      <c r="J587" s="90" t="n">
        <v>51.71</v>
      </c>
      <c r="K587" s="166" t="n"/>
      <c r="L587" s="158">
        <f>+H587*J587</f>
        <v/>
      </c>
      <c r="M587" s="159">
        <f>SUM(M586+K587-L587)</f>
        <v/>
      </c>
    </row>
    <row r="588">
      <c r="A588" s="151" t="n">
        <v>46077</v>
      </c>
      <c r="B588" s="70" t="n">
        <v>608</v>
      </c>
      <c r="C588" s="115" t="inlineStr">
        <is>
          <t>MAHMUT VİNÇ</t>
        </is>
      </c>
      <c r="D588" s="115" t="inlineStr">
        <is>
          <t>34 AH 5401</t>
        </is>
      </c>
      <c r="E588" s="115" t="inlineStr">
        <is>
          <t>MUHAMMED YİĞİT</t>
        </is>
      </c>
      <c r="F588" s="65" t="n"/>
      <c r="G588" s="152" t="n"/>
      <c r="H588" s="152" t="n">
        <v>88</v>
      </c>
      <c r="I588" s="156">
        <f>+I587+(G588-H588)</f>
        <v/>
      </c>
      <c r="J588" s="90" t="n">
        <v>51.71</v>
      </c>
      <c r="K588" s="166" t="n"/>
      <c r="L588" s="158">
        <f>+H588*J588</f>
        <v/>
      </c>
      <c r="M588" s="159">
        <f>SUM(M587+K588-L588)</f>
        <v/>
      </c>
    </row>
    <row r="589">
      <c r="A589" s="151" t="n">
        <v>46077</v>
      </c>
      <c r="B589" s="70" t="n">
        <v>4015</v>
      </c>
      <c r="C589" s="115" t="inlineStr">
        <is>
          <t>SELİM İNŞAAT</t>
        </is>
      </c>
      <c r="D589" s="115" t="inlineStr">
        <is>
          <t>34 AR 7743</t>
        </is>
      </c>
      <c r="E589" s="115" t="inlineStr">
        <is>
          <t>ABDULKERİM ERGEN</t>
        </is>
      </c>
      <c r="F589" s="65" t="n">
        <v>373674</v>
      </c>
      <c r="G589" s="152" t="n"/>
      <c r="H589" s="152" t="n">
        <v>31</v>
      </c>
      <c r="I589" s="156">
        <f>+I588+(G589-H589)</f>
        <v/>
      </c>
      <c r="J589" s="90" t="n">
        <v>51.71</v>
      </c>
      <c r="K589" s="166" t="n"/>
      <c r="L589" s="158">
        <f>+H589*J589</f>
        <v/>
      </c>
      <c r="M589" s="159">
        <f>SUM(M588+K589-L589)</f>
        <v/>
      </c>
    </row>
    <row r="590">
      <c r="A590" s="151" t="n">
        <v>46077</v>
      </c>
      <c r="B590" s="70" t="n">
        <v>4462</v>
      </c>
      <c r="C590" s="115" t="inlineStr">
        <is>
          <t>SELİM İNŞAAT</t>
        </is>
      </c>
      <c r="D590" s="115" t="inlineStr">
        <is>
          <t>34 DKL 798</t>
        </is>
      </c>
      <c r="E590" s="115" t="inlineStr">
        <is>
          <t>HASAN BAYCA</t>
        </is>
      </c>
      <c r="F590" s="65" t="n">
        <v>80634</v>
      </c>
      <c r="G590" s="152" t="n"/>
      <c r="H590" s="152" t="n">
        <v>270</v>
      </c>
      <c r="I590" s="156">
        <f>+I589+(G590-H590)</f>
        <v/>
      </c>
      <c r="J590" s="90" t="n">
        <v>51.71</v>
      </c>
      <c r="K590" s="166" t="n"/>
      <c r="L590" s="158">
        <f>+H590*J590</f>
        <v/>
      </c>
      <c r="M590" s="159">
        <f>SUM(M589+K590-L590)</f>
        <v/>
      </c>
    </row>
    <row r="591">
      <c r="A591" s="151" t="n">
        <v>46077</v>
      </c>
      <c r="B591" s="70" t="n">
        <v>2386</v>
      </c>
      <c r="C591" s="115" t="inlineStr">
        <is>
          <t>SELİM İNŞAAT</t>
        </is>
      </c>
      <c r="D591" s="115" t="inlineStr">
        <is>
          <t>34 FEM 934</t>
        </is>
      </c>
      <c r="E591" s="115" t="inlineStr">
        <is>
          <t>ABDULKERİM ERGEN</t>
        </is>
      </c>
      <c r="F591" s="65" t="n">
        <v>332489</v>
      </c>
      <c r="G591" s="152" t="n"/>
      <c r="H591" s="152" t="n">
        <v>58</v>
      </c>
      <c r="I591" s="156">
        <f>+I590+(G591-H591)</f>
        <v/>
      </c>
      <c r="J591" s="90" t="n">
        <v>51.71</v>
      </c>
      <c r="K591" s="166" t="n"/>
      <c r="L591" s="158">
        <f>+H591*J591</f>
        <v/>
      </c>
      <c r="M591" s="159">
        <f>SUM(M590+K591-L591)</f>
        <v/>
      </c>
    </row>
    <row r="592">
      <c r="A592" s="151" t="n">
        <v>46077</v>
      </c>
      <c r="B592" s="70" t="n">
        <v>2649</v>
      </c>
      <c r="C592" s="115" t="inlineStr">
        <is>
          <t>SELİM İNŞAAT</t>
        </is>
      </c>
      <c r="D592" s="115" t="inlineStr">
        <is>
          <t>34 GU 945</t>
        </is>
      </c>
      <c r="E592" s="115" t="inlineStr">
        <is>
          <t>YAKUP URUCU</t>
        </is>
      </c>
      <c r="F592" s="65" t="n">
        <v>471798</v>
      </c>
      <c r="G592" s="152" t="n"/>
      <c r="H592" s="152" t="n">
        <v>48</v>
      </c>
      <c r="I592" s="156">
        <f>+I591+(G592-H592)</f>
        <v/>
      </c>
      <c r="J592" s="90" t="n">
        <v>51.71</v>
      </c>
      <c r="K592" s="166" t="n"/>
      <c r="L592" s="158">
        <f>+H592*J592</f>
        <v/>
      </c>
      <c r="M592" s="159">
        <f>SUM(M591+K592-L592)</f>
        <v/>
      </c>
    </row>
    <row r="593">
      <c r="A593" s="151" t="n">
        <v>46077</v>
      </c>
      <c r="B593" s="70" t="n">
        <v>2978</v>
      </c>
      <c r="C593" s="115" t="inlineStr">
        <is>
          <t>SELİM İNŞAAT</t>
        </is>
      </c>
      <c r="D593" s="115" t="inlineStr">
        <is>
          <t>34 DFE 454</t>
        </is>
      </c>
      <c r="E593" s="115" t="inlineStr">
        <is>
          <t>HÜSEYİN ALIN</t>
        </is>
      </c>
      <c r="F593" s="65" t="n">
        <v>174250</v>
      </c>
      <c r="G593" s="152" t="n"/>
      <c r="H593" s="152" t="n">
        <v>258</v>
      </c>
      <c r="I593" s="156">
        <f>+I592+(G593-H593)</f>
        <v/>
      </c>
      <c r="J593" s="90" t="n">
        <v>51.71</v>
      </c>
      <c r="K593" s="166" t="n"/>
      <c r="L593" s="158">
        <f>+H593*J593</f>
        <v/>
      </c>
      <c r="M593" s="159">
        <f>SUM(M592+K593-L593)</f>
        <v/>
      </c>
    </row>
    <row r="594">
      <c r="A594" s="151" t="n">
        <v>46077</v>
      </c>
      <c r="B594" s="70" t="n">
        <v>3725</v>
      </c>
      <c r="C594" s="115" t="inlineStr">
        <is>
          <t>SELİM İNŞAAT</t>
        </is>
      </c>
      <c r="D594" s="115" t="inlineStr">
        <is>
          <t>34 DKL 866</t>
        </is>
      </c>
      <c r="E594" s="115" t="inlineStr">
        <is>
          <t xml:space="preserve">SELİMCAN ÖNVER </t>
        </is>
      </c>
      <c r="F594" s="65" t="n">
        <v>81901</v>
      </c>
      <c r="G594" s="152" t="n"/>
      <c r="H594" s="152" t="n">
        <v>287</v>
      </c>
      <c r="I594" s="156">
        <f>+I593+(G594-H594)</f>
        <v/>
      </c>
      <c r="J594" s="90" t="n">
        <v>51.71</v>
      </c>
      <c r="K594" s="166" t="n"/>
      <c r="L594" s="158">
        <f>+H594*J594</f>
        <v/>
      </c>
      <c r="M594" s="159">
        <f>SUM(M593+K594-L594)</f>
        <v/>
      </c>
    </row>
    <row r="595">
      <c r="A595" s="151" t="n">
        <v>46077</v>
      </c>
      <c r="B595" s="70" t="n">
        <v>3169</v>
      </c>
      <c r="C595" s="115" t="inlineStr">
        <is>
          <t>SELİM İNŞAAT</t>
        </is>
      </c>
      <c r="D595" s="115" t="inlineStr">
        <is>
          <t>34 DTV 599</t>
        </is>
      </c>
      <c r="E595" s="115" t="inlineStr">
        <is>
          <t>HÜSEYİN DENİZ</t>
        </is>
      </c>
      <c r="F595" s="65" t="n">
        <v>474035</v>
      </c>
      <c r="G595" s="152" t="n"/>
      <c r="H595" s="152" t="n">
        <v>49</v>
      </c>
      <c r="I595" s="156">
        <f>+I594+(G595-H595)</f>
        <v/>
      </c>
      <c r="J595" s="90" t="n">
        <v>51.71</v>
      </c>
      <c r="K595" s="166" t="n"/>
      <c r="L595" s="158">
        <f>+H595*J595</f>
        <v/>
      </c>
      <c r="M595" s="159">
        <f>SUM(M594+K595-L595)</f>
        <v/>
      </c>
    </row>
    <row r="596">
      <c r="A596" s="151" t="n">
        <v>46077</v>
      </c>
      <c r="B596" s="70" t="n">
        <v>147</v>
      </c>
      <c r="C596" s="115" t="inlineStr">
        <is>
          <t>SELİM İNŞAAT</t>
        </is>
      </c>
      <c r="D596" s="115" t="inlineStr">
        <is>
          <t>34 FBR 771</t>
        </is>
      </c>
      <c r="E596" s="115" t="inlineStr">
        <is>
          <t>SALİH YALÇIN</t>
        </is>
      </c>
      <c r="F596" s="65" t="n">
        <v>348187</v>
      </c>
      <c r="G596" s="152" t="n"/>
      <c r="H596" s="152" t="n">
        <v>373</v>
      </c>
      <c r="I596" s="156">
        <f>+I595+(G596-H596)</f>
        <v/>
      </c>
      <c r="J596" s="90" t="n">
        <v>51.71</v>
      </c>
      <c r="K596" s="166" t="n"/>
      <c r="L596" s="158">
        <f>+H596*J596</f>
        <v/>
      </c>
      <c r="M596" s="159">
        <f>SUM(M595+K596-L596)</f>
        <v/>
      </c>
    </row>
    <row r="597">
      <c r="A597" s="151" t="n">
        <v>46077</v>
      </c>
      <c r="B597" s="70" t="n">
        <v>4416</v>
      </c>
      <c r="C597" s="115" t="inlineStr">
        <is>
          <t>SELİM İNŞAAT</t>
        </is>
      </c>
      <c r="D597" s="115" t="inlineStr">
        <is>
          <t>34 DTV 409</t>
        </is>
      </c>
      <c r="E597" s="115" t="inlineStr">
        <is>
          <t>ATA KIZMAZ</t>
        </is>
      </c>
      <c r="F597" s="65" t="n">
        <v>453183</v>
      </c>
      <c r="G597" s="152" t="n"/>
      <c r="H597" s="152" t="n">
        <v>453</v>
      </c>
      <c r="I597" s="156">
        <f>+I596+(G597-H597)</f>
        <v/>
      </c>
      <c r="J597" s="90" t="n">
        <v>51.71</v>
      </c>
      <c r="K597" s="166" t="n"/>
      <c r="L597" s="158">
        <f>+H597*J597</f>
        <v/>
      </c>
      <c r="M597" s="159">
        <f>SUM(M596+K597-L597)</f>
        <v/>
      </c>
    </row>
    <row r="598">
      <c r="A598" s="151" t="n">
        <v>46077</v>
      </c>
      <c r="B598" s="70" t="n">
        <v>1545</v>
      </c>
      <c r="C598" s="115" t="inlineStr">
        <is>
          <t>SELİM İNŞAAT</t>
        </is>
      </c>
      <c r="D598" s="115" t="inlineStr">
        <is>
          <t>34 GUS 848</t>
        </is>
      </c>
      <c r="E598" s="115" t="inlineStr">
        <is>
          <t>SERDAR BOZKURT</t>
        </is>
      </c>
      <c r="F598" s="65" t="n">
        <v>231340</v>
      </c>
      <c r="G598" s="152" t="n"/>
      <c r="H598" s="152" t="n">
        <v>498</v>
      </c>
      <c r="I598" s="156">
        <f>+I597+(G598-H598)</f>
        <v/>
      </c>
      <c r="J598" s="90" t="n">
        <v>51.71</v>
      </c>
      <c r="K598" s="166" t="n"/>
      <c r="L598" s="158">
        <f>+H598*J598</f>
        <v/>
      </c>
      <c r="M598" s="159">
        <f>SUM(M597+K598-L598)</f>
        <v/>
      </c>
    </row>
    <row r="599">
      <c r="A599" s="151" t="n">
        <v>46077</v>
      </c>
      <c r="B599" s="70" t="n">
        <v>4924</v>
      </c>
      <c r="C599" s="115" t="inlineStr">
        <is>
          <t>SELİM İNŞAAT</t>
        </is>
      </c>
      <c r="D599" s="115" t="inlineStr">
        <is>
          <t>34 FBR 742</t>
        </is>
      </c>
      <c r="E599" s="115" t="inlineStr">
        <is>
          <t>ADNAN KOÇ</t>
        </is>
      </c>
      <c r="F599" s="65" t="n">
        <v>365004</v>
      </c>
      <c r="G599" s="152" t="n"/>
      <c r="H599" s="152" t="n">
        <v>416</v>
      </c>
      <c r="I599" s="156">
        <f>+I598+(G599-H599)</f>
        <v/>
      </c>
      <c r="J599" s="90" t="n">
        <v>51.71</v>
      </c>
      <c r="K599" s="166" t="n"/>
      <c r="L599" s="158">
        <f>+H599*J599</f>
        <v/>
      </c>
      <c r="M599" s="159">
        <f>SUM(M598+K599-L599)</f>
        <v/>
      </c>
    </row>
    <row r="600">
      <c r="A600" s="151" t="n">
        <v>46077</v>
      </c>
      <c r="B600" s="70" t="n">
        <v>4874</v>
      </c>
      <c r="C600" s="115" t="inlineStr">
        <is>
          <t>SELİM İNŞAAT</t>
        </is>
      </c>
      <c r="D600" s="115" t="inlineStr">
        <is>
          <t>34 FBR 705</t>
        </is>
      </c>
      <c r="E600" s="115" t="inlineStr">
        <is>
          <t>MURAT SARI</t>
        </is>
      </c>
      <c r="F600" s="65" t="n">
        <v>360720</v>
      </c>
      <c r="G600" s="152" t="n"/>
      <c r="H600" s="152" t="n">
        <v>331</v>
      </c>
      <c r="I600" s="156">
        <f>+I599+(G600-H600)</f>
        <v/>
      </c>
      <c r="J600" s="90" t="n">
        <v>51.71</v>
      </c>
      <c r="K600" s="166" t="n"/>
      <c r="L600" s="158">
        <f>+H600*J600</f>
        <v/>
      </c>
      <c r="M600" s="159">
        <f>SUM(M599+K600-L600)</f>
        <v/>
      </c>
    </row>
    <row r="601">
      <c r="A601" s="151" t="n">
        <v>46077</v>
      </c>
      <c r="B601" s="70" t="n">
        <v>3426</v>
      </c>
      <c r="C601" s="115" t="inlineStr">
        <is>
          <t>SELİM İNŞAAT</t>
        </is>
      </c>
      <c r="D601" s="115" t="inlineStr">
        <is>
          <t>34 GVZ 310</t>
        </is>
      </c>
      <c r="E601" s="115" t="inlineStr">
        <is>
          <t>CELAL YÜZBAŞI</t>
        </is>
      </c>
      <c r="F601" s="65" t="n">
        <v>245847</v>
      </c>
      <c r="G601" s="152" t="n"/>
      <c r="H601" s="152" t="n">
        <v>389</v>
      </c>
      <c r="I601" s="156">
        <f>+I600+(G601-H601)</f>
        <v/>
      </c>
      <c r="J601" s="90" t="n">
        <v>51.71</v>
      </c>
      <c r="K601" s="166" t="n"/>
      <c r="L601" s="158">
        <f>+H601*J601</f>
        <v/>
      </c>
      <c r="M601" s="159">
        <f>SUM(M600+K601-L601)</f>
        <v/>
      </c>
    </row>
    <row r="602">
      <c r="A602" s="151" t="n">
        <v>46077</v>
      </c>
      <c r="B602" s="70" t="n">
        <v>2298</v>
      </c>
      <c r="C602" s="115" t="inlineStr">
        <is>
          <t>SELİM İNŞAAT</t>
        </is>
      </c>
      <c r="D602" s="115" t="inlineStr">
        <is>
          <t>34 DSN 636</t>
        </is>
      </c>
      <c r="E602" s="115" t="inlineStr">
        <is>
          <t>MAHSUN GÜVEN</t>
        </is>
      </c>
      <c r="F602" s="65" t="n">
        <v>432485</v>
      </c>
      <c r="G602" s="152" t="n"/>
      <c r="H602" s="152" t="n">
        <v>403</v>
      </c>
      <c r="I602" s="156">
        <f>+I601+(G602-H602)</f>
        <v/>
      </c>
      <c r="J602" s="90" t="n">
        <v>51.71</v>
      </c>
      <c r="K602" s="166" t="n"/>
      <c r="L602" s="158">
        <f>+H602*J602</f>
        <v/>
      </c>
      <c r="M602" s="159">
        <f>SUM(M601+K602-L602)</f>
        <v/>
      </c>
    </row>
    <row r="603">
      <c r="A603" s="151" t="n">
        <v>46077</v>
      </c>
      <c r="B603" s="70" t="n">
        <v>513</v>
      </c>
      <c r="C603" s="115" t="inlineStr">
        <is>
          <t>SELİM İNŞAAT</t>
        </is>
      </c>
      <c r="D603" s="115" t="inlineStr">
        <is>
          <t>34 EGR 737</t>
        </is>
      </c>
      <c r="E603" s="115" t="inlineStr">
        <is>
          <t>CEM MUHTAR</t>
        </is>
      </c>
      <c r="F603" s="65" t="n">
        <v>459993</v>
      </c>
      <c r="G603" s="152" t="n"/>
      <c r="H603" s="152" t="n">
        <v>494</v>
      </c>
      <c r="I603" s="156">
        <f>+I602+(G603-H603)</f>
        <v/>
      </c>
      <c r="J603" s="90" t="n">
        <v>51.71</v>
      </c>
      <c r="K603" s="166" t="n"/>
      <c r="L603" s="158">
        <f>+H603*J603</f>
        <v/>
      </c>
      <c r="M603" s="159">
        <f>SUM(M602+K603-L603)</f>
        <v/>
      </c>
    </row>
    <row r="604">
      <c r="A604" s="151" t="n">
        <v>46077</v>
      </c>
      <c r="B604" s="70" t="n">
        <v>1340</v>
      </c>
      <c r="C604" s="115" t="inlineStr">
        <is>
          <t>SELİM İNŞAAT</t>
        </is>
      </c>
      <c r="D604" s="115" t="inlineStr">
        <is>
          <t>34 GVZ 199</t>
        </is>
      </c>
      <c r="E604" s="115" t="inlineStr">
        <is>
          <t>HÜSEYİN DENİZ</t>
        </is>
      </c>
      <c r="F604" s="65" t="n">
        <v>224930</v>
      </c>
      <c r="G604" s="152" t="n"/>
      <c r="H604" s="152" t="n">
        <v>523</v>
      </c>
      <c r="I604" s="156">
        <f>+I603+(G604-H604)</f>
        <v/>
      </c>
      <c r="J604" s="90" t="n">
        <v>51.71</v>
      </c>
      <c r="K604" s="166" t="n"/>
      <c r="L604" s="158">
        <f>+H604*J604</f>
        <v/>
      </c>
      <c r="M604" s="159">
        <f>SUM(M603+K604-L604)</f>
        <v/>
      </c>
    </row>
    <row r="605">
      <c r="A605" s="151" t="n">
        <v>46077</v>
      </c>
      <c r="B605" s="70" t="n">
        <v>4511</v>
      </c>
      <c r="C605" s="115" t="inlineStr">
        <is>
          <t>SELİM İNŞAAT</t>
        </is>
      </c>
      <c r="D605" s="115" t="inlineStr">
        <is>
          <t>34 DTV 352</t>
        </is>
      </c>
      <c r="E605" s="115" t="inlineStr">
        <is>
          <t>AZİZ ORUÇ</t>
        </is>
      </c>
      <c r="F605" s="65" t="n">
        <v>474961</v>
      </c>
      <c r="G605" s="152" t="n"/>
      <c r="H605" s="152" t="n">
        <v>421</v>
      </c>
      <c r="I605" s="156">
        <f>+I604+(G605-H605)</f>
        <v/>
      </c>
      <c r="J605" s="90" t="n">
        <v>51.71</v>
      </c>
      <c r="K605" s="166" t="n"/>
      <c r="L605" s="158">
        <f>+H605*J605</f>
        <v/>
      </c>
      <c r="M605" s="159">
        <f>SUM(M604+K605-L605)</f>
        <v/>
      </c>
    </row>
    <row r="606">
      <c r="A606" s="151" t="n">
        <v>46077</v>
      </c>
      <c r="B606" s="70" t="n">
        <v>4114</v>
      </c>
      <c r="C606" s="115" t="inlineStr">
        <is>
          <t>SELİM İNŞAAT</t>
        </is>
      </c>
      <c r="D606" s="115" t="inlineStr">
        <is>
          <t>34 EDB 659</t>
        </is>
      </c>
      <c r="E606" s="115" t="inlineStr">
        <is>
          <t>YASİN ÇATAKLI</t>
        </is>
      </c>
      <c r="F606" s="65" t="n">
        <v>388433</v>
      </c>
      <c r="G606" s="152" t="n"/>
      <c r="H606" s="152" t="n">
        <v>414</v>
      </c>
      <c r="I606" s="156">
        <f>+I605+(G606-H606)</f>
        <v/>
      </c>
      <c r="J606" s="90" t="n">
        <v>51.71</v>
      </c>
      <c r="K606" s="166" t="n"/>
      <c r="L606" s="158">
        <f>+H606*J606</f>
        <v/>
      </c>
      <c r="M606" s="159">
        <f>SUM(M605+K606-L606)</f>
        <v/>
      </c>
    </row>
    <row r="607">
      <c r="A607" s="151" t="n">
        <v>46077</v>
      </c>
      <c r="B607" s="70" t="n">
        <v>3329</v>
      </c>
      <c r="C607" s="115" t="inlineStr">
        <is>
          <t>SELİM İNŞAAT</t>
        </is>
      </c>
      <c r="D607" s="115" t="inlineStr">
        <is>
          <t>34 GUS 938</t>
        </is>
      </c>
      <c r="E607" s="115" t="inlineStr">
        <is>
          <t>MEHMET KAYA</t>
        </is>
      </c>
      <c r="F607" s="65" t="n">
        <v>245601</v>
      </c>
      <c r="G607" s="152" t="n"/>
      <c r="H607" s="152" t="n">
        <v>400</v>
      </c>
      <c r="I607" s="156">
        <f>+I606+(G607-H607)</f>
        <v/>
      </c>
      <c r="J607" s="90" t="n">
        <v>51.71</v>
      </c>
      <c r="K607" s="166" t="n"/>
      <c r="L607" s="158">
        <f>+H607*J607</f>
        <v/>
      </c>
      <c r="M607" s="159">
        <f>SUM(M606+K607-L607)</f>
        <v/>
      </c>
    </row>
    <row r="608">
      <c r="A608" s="151" t="n">
        <v>46078</v>
      </c>
      <c r="B608" s="70" t="n">
        <v>806</v>
      </c>
      <c r="C608" s="115" t="inlineStr">
        <is>
          <t>METİN ERYİĞİT</t>
        </is>
      </c>
      <c r="D608" s="115" t="inlineStr">
        <is>
          <t>34 GBL 998</t>
        </is>
      </c>
      <c r="E608" s="115" t="inlineStr">
        <is>
          <t>ALİ KESKİN</t>
        </is>
      </c>
      <c r="F608" s="65" t="n"/>
      <c r="G608" s="152" t="n"/>
      <c r="H608" s="152" t="n">
        <v>396</v>
      </c>
      <c r="I608" s="156">
        <f>+I607+(G608-H608)</f>
        <v/>
      </c>
      <c r="J608" s="90" t="n">
        <v>51.71</v>
      </c>
      <c r="K608" s="166" t="n"/>
      <c r="L608" s="158">
        <f>+H608*J608</f>
        <v/>
      </c>
      <c r="M608" s="159">
        <f>SUM(M607+K608-L608)</f>
        <v/>
      </c>
    </row>
    <row r="609">
      <c r="A609" s="151" t="n">
        <v>46078</v>
      </c>
      <c r="B609" s="70" t="n">
        <v>3284</v>
      </c>
      <c r="C609" s="115" t="inlineStr">
        <is>
          <t xml:space="preserve">AZGÜN YAPI </t>
        </is>
      </c>
      <c r="D609" s="115" t="inlineStr">
        <is>
          <t>34 DTB 263</t>
        </is>
      </c>
      <c r="E609" s="115" t="inlineStr">
        <is>
          <t>DURSUN ALİ GÜREK</t>
        </is>
      </c>
      <c r="F609" s="65" t="n"/>
      <c r="G609" s="152" t="n"/>
      <c r="H609" s="152" t="n">
        <v>449</v>
      </c>
      <c r="I609" s="156">
        <f>+I608+(G609-H609)</f>
        <v/>
      </c>
      <c r="J609" s="90" t="n">
        <v>51.71</v>
      </c>
      <c r="K609" s="166" t="n"/>
      <c r="L609" s="158">
        <f>+H609*J609</f>
        <v/>
      </c>
      <c r="M609" s="159">
        <f>SUM(M608+K609-L609)</f>
        <v/>
      </c>
    </row>
    <row r="610">
      <c r="A610" s="151" t="n">
        <v>46078</v>
      </c>
      <c r="B610" s="70" t="n">
        <v>3288</v>
      </c>
      <c r="C610" s="115" t="inlineStr">
        <is>
          <t xml:space="preserve">AZGÜN YAPI </t>
        </is>
      </c>
      <c r="D610" s="115" t="inlineStr">
        <is>
          <t>34 MKT 859</t>
        </is>
      </c>
      <c r="E610" s="115" t="inlineStr">
        <is>
          <t>İRFAN DAĞLAR</t>
        </is>
      </c>
      <c r="F610" s="65" t="n"/>
      <c r="G610" s="152" t="n"/>
      <c r="H610" s="152" t="n">
        <v>265</v>
      </c>
      <c r="I610" s="156">
        <f>+I609+(G610-H610)</f>
        <v/>
      </c>
      <c r="J610" s="90" t="n">
        <v>51.71</v>
      </c>
      <c r="K610" s="166" t="n"/>
      <c r="L610" s="158">
        <f>+H610*J610</f>
        <v/>
      </c>
      <c r="M610" s="159">
        <f>SUM(M609+K610-L610)</f>
        <v/>
      </c>
    </row>
    <row r="611">
      <c r="A611" s="151" t="n">
        <v>46078</v>
      </c>
      <c r="B611" s="70" t="n">
        <v>2540</v>
      </c>
      <c r="C611" s="115" t="inlineStr">
        <is>
          <t xml:space="preserve">AZGÜN YAPI </t>
        </is>
      </c>
      <c r="D611" s="115" t="inlineStr">
        <is>
          <t>34 MKT 593</t>
        </is>
      </c>
      <c r="E611" s="115" t="inlineStr">
        <is>
          <t>TURGUT ÇATAL</t>
        </is>
      </c>
      <c r="F611" s="65" t="n"/>
      <c r="G611" s="152" t="n"/>
      <c r="H611" s="152" t="n">
        <v>205</v>
      </c>
      <c r="I611" s="156">
        <f>+I610+(G611-H611)</f>
        <v/>
      </c>
      <c r="J611" s="90" t="n">
        <v>51.71</v>
      </c>
      <c r="K611" s="166" t="n"/>
      <c r="L611" s="158">
        <f>+H611*J611</f>
        <v/>
      </c>
      <c r="M611" s="159">
        <f>SUM(M610+K611-L611)</f>
        <v/>
      </c>
    </row>
    <row r="612">
      <c r="A612" s="151" t="n">
        <v>46078</v>
      </c>
      <c r="B612" s="70" t="n">
        <v>404</v>
      </c>
      <c r="C612" s="115" t="inlineStr">
        <is>
          <t xml:space="preserve">CEVİZ MOBİLYA  </t>
        </is>
      </c>
      <c r="D612" s="115" t="inlineStr">
        <is>
          <t>CEMAL BEY</t>
        </is>
      </c>
      <c r="E612" s="115" t="inlineStr">
        <is>
          <t>ERDAL SESSİZ</t>
        </is>
      </c>
      <c r="F612" s="65" t="n"/>
      <c r="G612" s="152" t="n"/>
      <c r="H612" s="152" t="n">
        <v>30</v>
      </c>
      <c r="I612" s="156">
        <f>+I611+(G612-H612)</f>
        <v/>
      </c>
      <c r="J612" s="90" t="n">
        <v>51.71</v>
      </c>
      <c r="K612" s="166" t="n"/>
      <c r="L612" s="158">
        <f>+H612*J612</f>
        <v/>
      </c>
      <c r="M612" s="159">
        <f>SUM(M611+K612-L612)</f>
        <v/>
      </c>
    </row>
    <row r="613">
      <c r="A613" s="151" t="n">
        <v>46078</v>
      </c>
      <c r="B613" s="70" t="n">
        <v>405</v>
      </c>
      <c r="C613" s="115" t="inlineStr">
        <is>
          <t>EVKUR</t>
        </is>
      </c>
      <c r="D613" s="115" t="inlineStr">
        <is>
          <t xml:space="preserve">JCB </t>
        </is>
      </c>
      <c r="E613" s="115" t="inlineStr">
        <is>
          <t>GÜNEŞ BEY</t>
        </is>
      </c>
      <c r="F613" s="65" t="n"/>
      <c r="G613" s="152" t="n"/>
      <c r="H613" s="152" t="n">
        <v>80</v>
      </c>
      <c r="I613" s="156">
        <f>+I612+(G613-H613)</f>
        <v/>
      </c>
      <c r="J613" s="90" t="n">
        <v>51.71</v>
      </c>
      <c r="K613" s="166" t="n"/>
      <c r="L613" s="158">
        <f>+H613*J613</f>
        <v/>
      </c>
      <c r="M613" s="159">
        <f>SUM(M612+K613-L613)</f>
        <v/>
      </c>
    </row>
    <row r="614">
      <c r="A614" s="151" t="n">
        <v>46078</v>
      </c>
      <c r="B614" s="70" t="n">
        <v>406</v>
      </c>
      <c r="C614" s="115" t="inlineStr">
        <is>
          <t>MEGA VARLIK</t>
        </is>
      </c>
      <c r="D614" s="115" t="inlineStr">
        <is>
          <t>KAWAZAKI</t>
        </is>
      </c>
      <c r="E614" s="115" t="inlineStr">
        <is>
          <t>RAMAZAN</t>
        </is>
      </c>
      <c r="F614" s="65" t="n"/>
      <c r="G614" s="152" t="n"/>
      <c r="H614" s="152" t="n">
        <v>166</v>
      </c>
      <c r="I614" s="156">
        <f>+I613+(G614-H614)</f>
        <v/>
      </c>
      <c r="J614" s="90" t="n">
        <v>51.71</v>
      </c>
      <c r="K614" s="166" t="n"/>
      <c r="L614" s="158">
        <f>+H614*J614</f>
        <v/>
      </c>
      <c r="M614" s="159">
        <f>SUM(M613+K614-L614)</f>
        <v/>
      </c>
    </row>
    <row r="615">
      <c r="A615" s="151" t="n">
        <v>46078</v>
      </c>
      <c r="B615" s="70" t="n">
        <v>407</v>
      </c>
      <c r="C615" s="115" t="inlineStr">
        <is>
          <t>MEGA VARLIK</t>
        </is>
      </c>
      <c r="D615" s="115" t="inlineStr">
        <is>
          <t xml:space="preserve">SM350 </t>
        </is>
      </c>
      <c r="E615" s="115" t="inlineStr">
        <is>
          <t xml:space="preserve">MİKAİL BAYILMAZ </t>
        </is>
      </c>
      <c r="F615" s="65" t="n"/>
      <c r="G615" s="152" t="n"/>
      <c r="H615" s="152" t="n">
        <v>354</v>
      </c>
      <c r="I615" s="156">
        <f>+I614+(G615-H615)</f>
        <v/>
      </c>
      <c r="J615" s="90" t="n">
        <v>51.71</v>
      </c>
      <c r="K615" s="166" t="n"/>
      <c r="L615" s="158">
        <f>+H615*J615</f>
        <v/>
      </c>
      <c r="M615" s="159">
        <f>SUM(M614+K615-L615)</f>
        <v/>
      </c>
    </row>
    <row r="616">
      <c r="A616" s="151" t="n">
        <v>46078</v>
      </c>
      <c r="B616" s="70" t="n">
        <v>408</v>
      </c>
      <c r="C616" s="115" t="inlineStr">
        <is>
          <t>MEGA VARLIK</t>
        </is>
      </c>
      <c r="D616" s="115" t="inlineStr">
        <is>
          <t xml:space="preserve">SM350 </t>
        </is>
      </c>
      <c r="E616" s="115" t="inlineStr">
        <is>
          <t>TEVFİK ÖZTÜRK</t>
        </is>
      </c>
      <c r="F616" s="65" t="n"/>
      <c r="G616" s="152" t="n"/>
      <c r="H616" s="152" t="n">
        <v>248</v>
      </c>
      <c r="I616" s="156">
        <f>+I615+(G616-H616)</f>
        <v/>
      </c>
      <c r="J616" s="90" t="n">
        <v>51.71</v>
      </c>
      <c r="K616" s="166" t="n"/>
      <c r="L616" s="158">
        <f>+H616*J616</f>
        <v/>
      </c>
      <c r="M616" s="159">
        <f>SUM(M615+K616-L616)</f>
        <v/>
      </c>
    </row>
    <row r="617">
      <c r="A617" s="151" t="n">
        <v>46078</v>
      </c>
      <c r="B617" s="70" t="n">
        <v>609</v>
      </c>
      <c r="C617" s="115" t="n"/>
      <c r="D617" s="115" t="inlineStr">
        <is>
          <t>34 TB 926</t>
        </is>
      </c>
      <c r="E617" s="115" t="inlineStr">
        <is>
          <t>ENES SELİM</t>
        </is>
      </c>
      <c r="F617" s="65" t="n"/>
      <c r="G617" s="152" t="n"/>
      <c r="H617" s="152" t="n">
        <v>250</v>
      </c>
      <c r="I617" s="156">
        <f>+I616+(G617-H617)</f>
        <v/>
      </c>
      <c r="J617" s="90" t="n">
        <v>51.71</v>
      </c>
      <c r="K617" s="166" t="n"/>
      <c r="L617" s="158">
        <f>+H617*J617</f>
        <v/>
      </c>
      <c r="M617" s="159">
        <f>SUM(M616+K617-L617)</f>
        <v/>
      </c>
    </row>
    <row r="618">
      <c r="A618" s="151" t="n">
        <v>46078</v>
      </c>
      <c r="B618" s="70" t="n">
        <v>610</v>
      </c>
      <c r="C618" s="115" t="inlineStr">
        <is>
          <t>AHMET SELİM TEMHA</t>
        </is>
      </c>
      <c r="D618" s="115" t="inlineStr">
        <is>
          <t>FORKLİFT</t>
        </is>
      </c>
      <c r="E618" s="115" t="n"/>
      <c r="F618" s="65" t="n"/>
      <c r="G618" s="152" t="n"/>
      <c r="H618" s="152" t="n">
        <v>50</v>
      </c>
      <c r="I618" s="156">
        <f>+I617+(G618-H618)</f>
        <v/>
      </c>
      <c r="J618" s="90" t="n">
        <v>51.71</v>
      </c>
      <c r="K618" s="166" t="n"/>
      <c r="L618" s="158">
        <f>+H618*J618</f>
        <v/>
      </c>
      <c r="M618" s="159">
        <f>SUM(M617+K618-L618)</f>
        <v/>
      </c>
    </row>
    <row r="619">
      <c r="A619" s="151" t="n">
        <v>46078</v>
      </c>
      <c r="B619" s="70" t="n">
        <v>611</v>
      </c>
      <c r="C619" s="115" t="inlineStr">
        <is>
          <t>AHMET SELİM TEMHA</t>
        </is>
      </c>
      <c r="D619" s="115" t="inlineStr">
        <is>
          <t>FORKLİFT</t>
        </is>
      </c>
      <c r="E619" s="115" t="inlineStr">
        <is>
          <t>SIVACI İSMAİL</t>
        </is>
      </c>
      <c r="F619" s="65" t="n"/>
      <c r="G619" s="152" t="n"/>
      <c r="H619" s="152" t="n">
        <v>46</v>
      </c>
      <c r="I619" s="156">
        <f>+I618+(G619-H619)</f>
        <v/>
      </c>
      <c r="J619" s="90" t="n">
        <v>51.71</v>
      </c>
      <c r="K619" s="166" t="n"/>
      <c r="L619" s="158">
        <f>+H619*J619</f>
        <v/>
      </c>
      <c r="M619" s="159">
        <f>SUM(M618+K619-L619)</f>
        <v/>
      </c>
    </row>
    <row r="620">
      <c r="A620" s="151" t="n">
        <v>46078</v>
      </c>
      <c r="B620" s="70" t="n">
        <v>612</v>
      </c>
      <c r="C620" s="115" t="inlineStr">
        <is>
          <t>SELİM İNŞAAT</t>
        </is>
      </c>
      <c r="D620" s="115" t="inlineStr">
        <is>
          <t>34 BUR 461</t>
        </is>
      </c>
      <c r="E620" s="115" t="inlineStr">
        <is>
          <t xml:space="preserve">MUSTAFA ALBAYRAK </t>
        </is>
      </c>
      <c r="F620" s="65" t="n"/>
      <c r="G620" s="152" t="n"/>
      <c r="H620" s="152" t="n">
        <v>46</v>
      </c>
      <c r="I620" s="156">
        <f>+I619+(G620-H620)</f>
        <v/>
      </c>
      <c r="J620" s="90" t="n">
        <v>51.71</v>
      </c>
      <c r="K620" s="166" t="n"/>
      <c r="L620" s="158">
        <f>+H620*J620</f>
        <v/>
      </c>
      <c r="M620" s="159">
        <f>SUM(M619+K620-L620)</f>
        <v/>
      </c>
    </row>
    <row r="621">
      <c r="A621" s="151" t="n">
        <v>46078</v>
      </c>
      <c r="B621" s="70" t="n">
        <v>613</v>
      </c>
      <c r="C621" s="115" t="inlineStr">
        <is>
          <t>RECEP SELİM OTOKURTARICI</t>
        </is>
      </c>
      <c r="D621" s="115" t="inlineStr">
        <is>
          <t>34 GC 4658</t>
        </is>
      </c>
      <c r="E621" s="115" t="inlineStr">
        <is>
          <t>RECEP SELİM</t>
        </is>
      </c>
      <c r="F621" s="65" t="n"/>
      <c r="G621" s="152" t="n"/>
      <c r="H621" s="152" t="n">
        <v>64</v>
      </c>
      <c r="I621" s="156">
        <f>+I620+(G621-H621)</f>
        <v/>
      </c>
      <c r="J621" s="90" t="n">
        <v>51.71</v>
      </c>
      <c r="K621" s="166" t="n"/>
      <c r="L621" s="158">
        <f>+H621*J621</f>
        <v/>
      </c>
      <c r="M621" s="159">
        <f>SUM(M620+K621-L621)</f>
        <v/>
      </c>
    </row>
    <row r="622">
      <c r="A622" s="151" t="n">
        <v>46078</v>
      </c>
      <c r="B622" s="70" t="n">
        <v>4818</v>
      </c>
      <c r="C622" s="115" t="inlineStr">
        <is>
          <t>SELİM İNŞAAT</t>
        </is>
      </c>
      <c r="D622" s="115" t="inlineStr">
        <is>
          <t>34 EDB 559</t>
        </is>
      </c>
      <c r="E622" s="115" t="inlineStr">
        <is>
          <t>ÇAĞDAŞ YÜCESAN</t>
        </is>
      </c>
      <c r="F622" s="65" t="n">
        <v>363248</v>
      </c>
      <c r="G622" s="152" t="n"/>
      <c r="H622" s="152" t="n">
        <v>450</v>
      </c>
      <c r="I622" s="156">
        <f>+I621+(G622-H622)</f>
        <v/>
      </c>
      <c r="J622" s="90" t="n">
        <v>51.71</v>
      </c>
      <c r="K622" s="166" t="n"/>
      <c r="L622" s="158">
        <f>+H622*J622</f>
        <v/>
      </c>
      <c r="M622" s="159">
        <f>SUM(M621+K622-L622)</f>
        <v/>
      </c>
    </row>
    <row r="623">
      <c r="A623" s="151" t="n">
        <v>46078</v>
      </c>
      <c r="B623" s="70" t="n">
        <v>3487</v>
      </c>
      <c r="C623" s="115" t="inlineStr">
        <is>
          <t>SELİM İNŞAAT</t>
        </is>
      </c>
      <c r="D623" s="115" t="inlineStr">
        <is>
          <t>34 EDB 754</t>
        </is>
      </c>
      <c r="E623" s="115" t="inlineStr">
        <is>
          <t>MUSTAFA KAYA</t>
        </is>
      </c>
      <c r="F623" s="65" t="n">
        <v>371356</v>
      </c>
      <c r="G623" s="152" t="n"/>
      <c r="H623" s="152" t="n">
        <v>388</v>
      </c>
      <c r="I623" s="156">
        <f>+I622+(G623-H623)</f>
        <v/>
      </c>
      <c r="J623" s="90" t="n">
        <v>51.71</v>
      </c>
      <c r="K623" s="166" t="n"/>
      <c r="L623" s="158">
        <f>+H623*J623</f>
        <v/>
      </c>
      <c r="M623" s="159">
        <f>SUM(M622+K623-L623)</f>
        <v/>
      </c>
    </row>
    <row r="624">
      <c r="A624" s="151" t="n">
        <v>46078</v>
      </c>
      <c r="B624" s="70" t="n">
        <v>4925</v>
      </c>
      <c r="C624" s="115" t="inlineStr">
        <is>
          <t>SELİM İNŞAAT</t>
        </is>
      </c>
      <c r="D624" s="115" t="inlineStr">
        <is>
          <t>34 FBR 742</t>
        </is>
      </c>
      <c r="E624" s="115" t="inlineStr">
        <is>
          <t>ADNAN KOÇ</t>
        </is>
      </c>
      <c r="F624" s="65" t="n">
        <v>365568</v>
      </c>
      <c r="G624" s="152" t="n"/>
      <c r="H624" s="152" t="n">
        <v>334</v>
      </c>
      <c r="I624" s="156">
        <f>+I623+(G624-H624)</f>
        <v/>
      </c>
      <c r="J624" s="90" t="n">
        <v>51.71</v>
      </c>
      <c r="K624" s="166" t="n"/>
      <c r="L624" s="158">
        <f>+H624*J624</f>
        <v/>
      </c>
      <c r="M624" s="159">
        <f>SUM(M623+K624-L624)</f>
        <v/>
      </c>
    </row>
    <row r="625">
      <c r="A625" s="151" t="n">
        <v>46078</v>
      </c>
      <c r="B625" s="70" t="n">
        <v>3223</v>
      </c>
      <c r="C625" s="115" t="inlineStr">
        <is>
          <t>SELİM İNŞAAT</t>
        </is>
      </c>
      <c r="D625" s="115" t="inlineStr">
        <is>
          <t>34 EGR 736</t>
        </is>
      </c>
      <c r="E625" s="115" t="inlineStr">
        <is>
          <t>HAKAN ÇAVUŞOĞLU</t>
        </is>
      </c>
      <c r="F625" s="65" t="n">
        <v>438023</v>
      </c>
      <c r="G625" s="152" t="n"/>
      <c r="H625" s="152" t="n">
        <v>426</v>
      </c>
      <c r="I625" s="156">
        <f>+I624+(G625-H625)</f>
        <v/>
      </c>
      <c r="J625" s="90" t="n">
        <v>51.71</v>
      </c>
      <c r="K625" s="166" t="n"/>
      <c r="L625" s="158">
        <f>+H625*J625</f>
        <v/>
      </c>
      <c r="M625" s="159">
        <f>SUM(M624+K625-L625)</f>
        <v/>
      </c>
    </row>
    <row r="626">
      <c r="A626" s="151" t="n">
        <v>46078</v>
      </c>
      <c r="B626" s="70" t="n">
        <v>3830</v>
      </c>
      <c r="C626" s="115" t="inlineStr">
        <is>
          <t>SELİM İNŞAAT</t>
        </is>
      </c>
      <c r="D626" s="115" t="inlineStr">
        <is>
          <t>34 GYZ 635</t>
        </is>
      </c>
      <c r="E626" s="115" t="inlineStr">
        <is>
          <t>ADEM DENİZ</t>
        </is>
      </c>
      <c r="F626" s="65" t="n">
        <v>225807</v>
      </c>
      <c r="G626" s="152" t="n"/>
      <c r="H626" s="152" t="n">
        <v>444</v>
      </c>
      <c r="I626" s="156">
        <f>+I625+(G626-H626)</f>
        <v/>
      </c>
      <c r="J626" s="90" t="n">
        <v>51.71</v>
      </c>
      <c r="K626" s="166" t="n"/>
      <c r="L626" s="158">
        <f>+H626*J626</f>
        <v/>
      </c>
      <c r="M626" s="159">
        <f>SUM(M625+K626-L626)</f>
        <v/>
      </c>
    </row>
    <row r="627">
      <c r="A627" s="151" t="n">
        <v>46078</v>
      </c>
      <c r="B627" s="70" t="n">
        <v>904</v>
      </c>
      <c r="C627" s="115" t="inlineStr">
        <is>
          <t>SELİM İNŞAAT</t>
        </is>
      </c>
      <c r="D627" s="115" t="inlineStr">
        <is>
          <t>34 FSG 229</t>
        </is>
      </c>
      <c r="E627" s="115" t="inlineStr">
        <is>
          <t>SİNAN TANRIVERDİ</t>
        </is>
      </c>
      <c r="F627" s="65" t="n">
        <v>299016</v>
      </c>
      <c r="G627" s="152" t="n"/>
      <c r="H627" s="152" t="n">
        <v>451</v>
      </c>
      <c r="I627" s="156">
        <f>+I626+(G627-H627)</f>
        <v/>
      </c>
      <c r="J627" s="90" t="n">
        <v>51.71</v>
      </c>
      <c r="K627" s="166" t="n"/>
      <c r="L627" s="158">
        <f>+H627*J627</f>
        <v/>
      </c>
      <c r="M627" s="159">
        <f>SUM(M626+K627-L627)</f>
        <v/>
      </c>
    </row>
    <row r="628">
      <c r="A628" s="151" t="n">
        <v>46078</v>
      </c>
      <c r="B628" s="70" t="n">
        <v>4969</v>
      </c>
      <c r="C628" s="115" t="inlineStr">
        <is>
          <t>SELİM İNŞAAT</t>
        </is>
      </c>
      <c r="D628" s="115" t="inlineStr">
        <is>
          <t xml:space="preserve">34 GVZ 745 </t>
        </is>
      </c>
      <c r="E628" s="115" t="inlineStr">
        <is>
          <t>MURAT DEMİRBAĞ</t>
        </is>
      </c>
      <c r="F628" s="65" t="n">
        <v>245553</v>
      </c>
      <c r="G628" s="152" t="n"/>
      <c r="H628" s="152" t="n">
        <v>258</v>
      </c>
      <c r="I628" s="156">
        <f>+I627+(G628-H628)</f>
        <v/>
      </c>
      <c r="J628" s="90" t="n">
        <v>51.71</v>
      </c>
      <c r="K628" s="166" t="n"/>
      <c r="L628" s="158">
        <f>+H628*J628</f>
        <v/>
      </c>
      <c r="M628" s="159">
        <f>SUM(M627+K628-L628)</f>
        <v/>
      </c>
    </row>
    <row r="629">
      <c r="A629" s="151" t="n">
        <v>46078</v>
      </c>
      <c r="B629" s="70" t="n">
        <v>10</v>
      </c>
      <c r="C629" s="115" t="inlineStr">
        <is>
          <t>SELİM İNŞAAT</t>
        </is>
      </c>
      <c r="D629" s="115" t="inlineStr">
        <is>
          <t xml:space="preserve">34 GVZ 268 </t>
        </is>
      </c>
      <c r="E629" s="115" t="inlineStr">
        <is>
          <t>KERİM KARAMAN</t>
        </is>
      </c>
      <c r="F629" s="65" t="n">
        <v>250175</v>
      </c>
      <c r="G629" s="152" t="n"/>
      <c r="H629" s="152" t="n">
        <v>385</v>
      </c>
      <c r="I629" s="156">
        <f>+I628+(G629-H629)</f>
        <v/>
      </c>
      <c r="J629" s="90" t="n">
        <v>51.71</v>
      </c>
      <c r="K629" s="166" t="n"/>
      <c r="L629" s="158">
        <f>+H629*J629</f>
        <v/>
      </c>
      <c r="M629" s="159">
        <f>SUM(M628+K629-L629)</f>
        <v/>
      </c>
    </row>
    <row r="630">
      <c r="A630" s="151" t="n">
        <v>46078</v>
      </c>
      <c r="B630" s="70" t="n">
        <v>2794</v>
      </c>
      <c r="C630" s="115" t="inlineStr">
        <is>
          <t>SELİM İNŞAAT</t>
        </is>
      </c>
      <c r="D630" s="115" t="inlineStr">
        <is>
          <t>34 EDC 086</t>
        </is>
      </c>
      <c r="E630" s="115" t="inlineStr">
        <is>
          <t>SEZGİN KOCAGİL</t>
        </is>
      </c>
      <c r="F630" s="65" t="n">
        <v>375698</v>
      </c>
      <c r="G630" s="152" t="n"/>
      <c r="H630" s="152" t="n">
        <v>339</v>
      </c>
      <c r="I630" s="156">
        <f>+I629+(G630-H630)</f>
        <v/>
      </c>
      <c r="J630" s="90" t="n">
        <v>51.71</v>
      </c>
      <c r="K630" s="166" t="n"/>
      <c r="L630" s="158">
        <f>+H630*J630</f>
        <v/>
      </c>
      <c r="M630" s="159">
        <f>SUM(M629+K630-L630)</f>
        <v/>
      </c>
    </row>
    <row r="631">
      <c r="A631" s="151" t="n">
        <v>46079</v>
      </c>
      <c r="B631" s="70" t="n">
        <v>751</v>
      </c>
      <c r="C631" s="115" t="inlineStr">
        <is>
          <t>METİN ERYİĞİT</t>
        </is>
      </c>
      <c r="D631" s="115" t="inlineStr">
        <is>
          <t>34 EGR 814</t>
        </is>
      </c>
      <c r="E631" s="115" t="inlineStr">
        <is>
          <t xml:space="preserve">ZİYA İNCE </t>
        </is>
      </c>
      <c r="F631" s="65" t="n"/>
      <c r="G631" s="152" t="n"/>
      <c r="H631" s="152" t="n">
        <v>357</v>
      </c>
      <c r="I631" s="156">
        <f>+I630+(G631-H631)</f>
        <v/>
      </c>
      <c r="J631" s="90" t="n">
        <v>51.71</v>
      </c>
      <c r="K631" s="166" t="n"/>
      <c r="L631" s="158">
        <f>+H631*J631</f>
        <v/>
      </c>
      <c r="M631" s="159">
        <f>SUM(M630+K631-L631)</f>
        <v/>
      </c>
    </row>
    <row r="632">
      <c r="A632" s="151" t="n">
        <v>46079</v>
      </c>
      <c r="B632" s="70" t="n">
        <v>711</v>
      </c>
      <c r="C632" s="115" t="inlineStr">
        <is>
          <t>METİN ERYİĞİT</t>
        </is>
      </c>
      <c r="D632" s="115" t="inlineStr">
        <is>
          <t>34 EGS 013</t>
        </is>
      </c>
      <c r="E632" s="115" t="inlineStr">
        <is>
          <t>UĞUR DUMAN</t>
        </is>
      </c>
      <c r="F632" s="65" t="n"/>
      <c r="G632" s="152" t="n"/>
      <c r="H632" s="152" t="n">
        <v>490</v>
      </c>
      <c r="I632" s="156">
        <f>+I631+(G632-H632)</f>
        <v/>
      </c>
      <c r="J632" s="90" t="n">
        <v>51.71</v>
      </c>
      <c r="K632" s="166" t="n"/>
      <c r="L632" s="158">
        <f>+H632*J632</f>
        <v/>
      </c>
      <c r="M632" s="159">
        <f>SUM(M631+K632-L632)</f>
        <v/>
      </c>
    </row>
    <row r="633">
      <c r="A633" s="151" t="n">
        <v>46079</v>
      </c>
      <c r="B633" s="70" t="n">
        <v>3289</v>
      </c>
      <c r="C633" s="115" t="inlineStr">
        <is>
          <t xml:space="preserve">AZGÜN YAPI </t>
        </is>
      </c>
      <c r="D633" s="115" t="inlineStr">
        <is>
          <t>34 MKT 859</t>
        </is>
      </c>
      <c r="E633" s="115" t="inlineStr">
        <is>
          <t>İRFAN DAĞLAR</t>
        </is>
      </c>
      <c r="F633" s="65" t="n"/>
      <c r="G633" s="152" t="n"/>
      <c r="H633" s="152" t="n">
        <v>595</v>
      </c>
      <c r="I633" s="156">
        <f>+I632+(G633-H633)</f>
        <v/>
      </c>
      <c r="J633" s="90" t="n">
        <v>51.71</v>
      </c>
      <c r="K633" s="166" t="n"/>
      <c r="L633" s="158">
        <f>+H633*J633</f>
        <v/>
      </c>
      <c r="M633" s="159">
        <f>SUM(M632+K633-L633)</f>
        <v/>
      </c>
    </row>
    <row r="634">
      <c r="A634" s="151" t="n">
        <v>46079</v>
      </c>
      <c r="B634" s="70" t="n">
        <v>2541</v>
      </c>
      <c r="C634" s="115" t="inlineStr">
        <is>
          <t xml:space="preserve">AZGÜN YAPI </t>
        </is>
      </c>
      <c r="D634" s="115" t="inlineStr">
        <is>
          <t>34 MKT 593</t>
        </is>
      </c>
      <c r="E634" s="115" t="inlineStr">
        <is>
          <t>TURGUT ÇATAL</t>
        </is>
      </c>
      <c r="F634" s="65" t="n"/>
      <c r="G634" s="152" t="n"/>
      <c r="H634" s="152" t="n">
        <v>305</v>
      </c>
      <c r="I634" s="156">
        <f>+I633+(G634-H634)</f>
        <v/>
      </c>
      <c r="J634" s="90" t="n">
        <v>51.71</v>
      </c>
      <c r="K634" s="166" t="n"/>
      <c r="L634" s="158">
        <f>+H634*J634</f>
        <v/>
      </c>
      <c r="M634" s="159">
        <f>SUM(M633+K634-L634)</f>
        <v/>
      </c>
    </row>
    <row r="635">
      <c r="A635" s="151" t="n">
        <v>46079</v>
      </c>
      <c r="B635" s="70" t="n">
        <v>4970</v>
      </c>
      <c r="C635" s="115" t="inlineStr">
        <is>
          <t>SELİM İNŞAAT</t>
        </is>
      </c>
      <c r="D635" s="115" t="inlineStr">
        <is>
          <t xml:space="preserve">34 GVZ 745 </t>
        </is>
      </c>
      <c r="E635" s="115" t="inlineStr">
        <is>
          <t>MURAT DEMİRBAĞ</t>
        </is>
      </c>
      <c r="F635" s="65" t="n">
        <v>245866</v>
      </c>
      <c r="G635" s="152" t="n"/>
      <c r="H635" s="152" t="n">
        <v>248</v>
      </c>
      <c r="I635" s="156">
        <f>+I634+(G635-H635)</f>
        <v/>
      </c>
      <c r="J635" s="90" t="n">
        <v>51.71</v>
      </c>
      <c r="K635" s="166" t="n"/>
      <c r="L635" s="158">
        <f>+H635*J635</f>
        <v/>
      </c>
      <c r="M635" s="159">
        <f>SUM(M634+K635-L635)</f>
        <v/>
      </c>
    </row>
    <row r="636">
      <c r="A636" s="151" t="n">
        <v>46080</v>
      </c>
      <c r="B636" s="70" t="n">
        <v>3285</v>
      </c>
      <c r="C636" s="115" t="inlineStr">
        <is>
          <t xml:space="preserve">AZGÜN YAPI </t>
        </is>
      </c>
      <c r="D636" s="115" t="inlineStr">
        <is>
          <t>34 DTB 263</t>
        </is>
      </c>
      <c r="E636" s="115" t="inlineStr">
        <is>
          <t>DURSUN ALİ GÜREK</t>
        </is>
      </c>
      <c r="F636" s="65" t="n"/>
      <c r="G636" s="152" t="n"/>
      <c r="H636" s="152" t="n">
        <v>451</v>
      </c>
      <c r="I636" s="156">
        <f>+I635+(G636-H636)</f>
        <v/>
      </c>
      <c r="J636" s="90" t="n">
        <v>51.71</v>
      </c>
      <c r="K636" s="166" t="n"/>
      <c r="L636" s="158">
        <f>+H636*J636</f>
        <v/>
      </c>
      <c r="M636" s="159">
        <f>SUM(M635+K636-L636)</f>
        <v/>
      </c>
    </row>
    <row r="637">
      <c r="A637" s="151" t="n">
        <v>46080</v>
      </c>
      <c r="B637" s="70" t="n">
        <v>410</v>
      </c>
      <c r="C637" s="115" t="inlineStr">
        <is>
          <t xml:space="preserve">CEVİZ MOBİLYA  </t>
        </is>
      </c>
      <c r="D637" s="115" t="inlineStr">
        <is>
          <t>CEMAL BEY</t>
        </is>
      </c>
      <c r="E637" s="115" t="inlineStr">
        <is>
          <t>ERDAL SESSİZ</t>
        </is>
      </c>
      <c r="F637" s="65" t="n"/>
      <c r="G637" s="152" t="n"/>
      <c r="H637" s="152" t="n">
        <v>30</v>
      </c>
      <c r="I637" s="156">
        <f>+I636+(G637-H637)</f>
        <v/>
      </c>
      <c r="J637" s="90" t="n">
        <v>51.71</v>
      </c>
      <c r="K637" s="166" t="n"/>
      <c r="L637" s="158">
        <f>+H637*J637</f>
        <v/>
      </c>
      <c r="M637" s="159">
        <f>SUM(M636+K637-L637)</f>
        <v/>
      </c>
    </row>
    <row r="638">
      <c r="A638" s="151" t="n">
        <v>46080</v>
      </c>
      <c r="B638" s="70" t="n">
        <v>411</v>
      </c>
      <c r="C638" s="115" t="inlineStr">
        <is>
          <t>MEGA VARLIK</t>
        </is>
      </c>
      <c r="D638" s="115" t="inlineStr">
        <is>
          <t xml:space="preserve">SM350 </t>
        </is>
      </c>
      <c r="E638" s="115" t="inlineStr">
        <is>
          <t xml:space="preserve">MİKAİL BAYILMAZ </t>
        </is>
      </c>
      <c r="F638" s="65" t="n"/>
      <c r="G638" s="152" t="n"/>
      <c r="H638" s="152" t="n">
        <v>177</v>
      </c>
      <c r="I638" s="156">
        <f>+I637+(G638-H638)</f>
        <v/>
      </c>
      <c r="J638" s="90" t="n">
        <v>51.71</v>
      </c>
      <c r="K638" s="166" t="n"/>
      <c r="L638" s="158">
        <f>+H638*J638</f>
        <v/>
      </c>
      <c r="M638" s="159">
        <f>SUM(M637+K638-L638)</f>
        <v/>
      </c>
    </row>
    <row r="639">
      <c r="A639" s="151" t="n">
        <v>46080</v>
      </c>
      <c r="B639" s="70" t="n">
        <v>412</v>
      </c>
      <c r="C639" s="115" t="inlineStr">
        <is>
          <t>MEGA VARLIK</t>
        </is>
      </c>
      <c r="D639" s="115" t="inlineStr">
        <is>
          <t>SİLİNDİR</t>
        </is>
      </c>
      <c r="E639" s="115" t="inlineStr">
        <is>
          <t>ÖNER DÜNDAR</t>
        </is>
      </c>
      <c r="F639" s="65" t="n"/>
      <c r="G639" s="152" t="n"/>
      <c r="H639" s="152" t="n">
        <v>208</v>
      </c>
      <c r="I639" s="156">
        <f>+I638+(G639-H639)</f>
        <v/>
      </c>
      <c r="J639" s="90" t="n">
        <v>51.71</v>
      </c>
      <c r="K639" s="166" t="n"/>
      <c r="L639" s="158">
        <f>+H639*J639</f>
        <v/>
      </c>
      <c r="M639" s="159">
        <f>SUM(M638+K639-L639)</f>
        <v/>
      </c>
    </row>
    <row r="640">
      <c r="A640" s="151" t="n">
        <v>46080</v>
      </c>
      <c r="B640" s="70" t="n">
        <v>247</v>
      </c>
      <c r="C640" s="115" t="inlineStr">
        <is>
          <t>SELİM İNŞAAT</t>
        </is>
      </c>
      <c r="D640" s="115" t="inlineStr">
        <is>
          <t>34 JGR 15</t>
        </is>
      </c>
      <c r="E640" s="115" t="inlineStr">
        <is>
          <t>İRFAN DAĞLAR</t>
        </is>
      </c>
      <c r="F640" s="65" t="n"/>
      <c r="G640" s="152" t="n"/>
      <c r="H640" s="152" t="n">
        <v>58</v>
      </c>
      <c r="I640" s="156">
        <f>+I639+(G640-H640)</f>
        <v/>
      </c>
      <c r="J640" s="90" t="n">
        <v>51.71</v>
      </c>
      <c r="K640" s="166" t="n"/>
      <c r="L640" s="158">
        <f>+H640*J640</f>
        <v/>
      </c>
      <c r="M640" s="159">
        <f>SUM(M639+K640-L640)</f>
        <v/>
      </c>
    </row>
    <row r="641">
      <c r="A641" s="151" t="n">
        <v>46080</v>
      </c>
      <c r="B641" s="70" t="n">
        <v>2342</v>
      </c>
      <c r="C641" s="115" t="inlineStr">
        <is>
          <t>SELİM İNŞAAT</t>
        </is>
      </c>
      <c r="D641" s="115" t="inlineStr">
        <is>
          <t>34 DP 4161</t>
        </is>
      </c>
      <c r="E641" s="115" t="inlineStr">
        <is>
          <t>RIFAT KARATAY</t>
        </is>
      </c>
      <c r="F641" s="65" t="n">
        <v>320202</v>
      </c>
      <c r="G641" s="152" t="n"/>
      <c r="H641" s="152" t="n">
        <v>298</v>
      </c>
      <c r="I641" s="156">
        <f>+I640+(G641-H641)</f>
        <v/>
      </c>
      <c r="J641" s="90" t="n">
        <v>51.71</v>
      </c>
      <c r="K641" s="166" t="n"/>
      <c r="L641" s="158">
        <f>+H641*J641</f>
        <v/>
      </c>
      <c r="M641" s="159">
        <f>SUM(M640+K641-L641)</f>
        <v/>
      </c>
    </row>
    <row r="642">
      <c r="A642" s="151" t="n">
        <v>46080</v>
      </c>
      <c r="B642" s="70" t="n">
        <v>1773</v>
      </c>
      <c r="C642" s="115" t="inlineStr">
        <is>
          <t>SELİM İNŞAAT</t>
        </is>
      </c>
      <c r="D642" s="115" t="inlineStr">
        <is>
          <t>34 JBA 25</t>
        </is>
      </c>
      <c r="E642" s="115" t="inlineStr">
        <is>
          <t>HÜSEYİN ALIN</t>
        </is>
      </c>
      <c r="F642" s="65" t="n">
        <v>348112</v>
      </c>
      <c r="G642" s="152" t="n"/>
      <c r="H642" s="152" t="n">
        <v>60</v>
      </c>
      <c r="I642" s="156">
        <f>+I641+(G642-H642)</f>
        <v/>
      </c>
      <c r="J642" s="90" t="n">
        <v>51.71</v>
      </c>
      <c r="K642" s="166" t="n"/>
      <c r="L642" s="158">
        <f>+H642*J642</f>
        <v/>
      </c>
      <c r="M642" s="159">
        <f>SUM(M641+K642-L642)</f>
        <v/>
      </c>
    </row>
    <row r="643">
      <c r="A643" s="151" t="n">
        <v>46080</v>
      </c>
      <c r="B643" s="70" t="n">
        <v>2387</v>
      </c>
      <c r="C643" s="115" t="inlineStr">
        <is>
          <t>SELİM İNŞAAT</t>
        </is>
      </c>
      <c r="D643" s="115" t="inlineStr">
        <is>
          <t>34 FEM 934</t>
        </is>
      </c>
      <c r="E643" s="115" t="inlineStr">
        <is>
          <t>ABDULKERİM ERGEN</t>
        </is>
      </c>
      <c r="F643" s="65" t="n">
        <v>332718</v>
      </c>
      <c r="G643" s="152" t="n"/>
      <c r="H643" s="152" t="n">
        <v>35</v>
      </c>
      <c r="I643" s="156">
        <f>+I642+(G643-H643)</f>
        <v/>
      </c>
      <c r="J643" s="90" t="n">
        <v>51.71</v>
      </c>
      <c r="K643" s="166" t="n"/>
      <c r="L643" s="158">
        <f>+H643*J643</f>
        <v/>
      </c>
      <c r="M643" s="159">
        <f>SUM(M642+K643-L643)</f>
        <v/>
      </c>
    </row>
    <row r="644">
      <c r="A644" s="151" t="n">
        <v>46080</v>
      </c>
      <c r="B644" s="70" t="n">
        <v>851</v>
      </c>
      <c r="C644" s="115" t="inlineStr">
        <is>
          <t>SELİM İNŞAAT</t>
        </is>
      </c>
      <c r="D644" s="115" t="inlineStr">
        <is>
          <t>34 EGR 922</t>
        </is>
      </c>
      <c r="E644" s="115" t="inlineStr">
        <is>
          <t>FARUK ÖZEN</t>
        </is>
      </c>
      <c r="F644" s="65" t="n">
        <v>503806</v>
      </c>
      <c r="G644" s="152" t="n"/>
      <c r="H644" s="152" t="n">
        <v>491</v>
      </c>
      <c r="I644" s="156">
        <f>+I643+(G644-H644)</f>
        <v/>
      </c>
      <c r="J644" s="90" t="n">
        <v>51.71</v>
      </c>
      <c r="K644" s="166" t="n"/>
      <c r="L644" s="158">
        <f>+H644*J644</f>
        <v/>
      </c>
      <c r="M644" s="159">
        <f>SUM(M643+K644-L644)</f>
        <v/>
      </c>
    </row>
    <row r="645">
      <c r="A645" s="151" t="n">
        <v>46080</v>
      </c>
      <c r="B645" s="70" t="n">
        <v>148</v>
      </c>
      <c r="C645" s="115" t="inlineStr">
        <is>
          <t>SELİM İNŞAAT</t>
        </is>
      </c>
      <c r="D645" s="115" t="inlineStr">
        <is>
          <t>34 FBR 771</t>
        </is>
      </c>
      <c r="E645" s="115" t="inlineStr">
        <is>
          <t>SALİH YALÇIN</t>
        </is>
      </c>
      <c r="F645" s="65" t="n">
        <v>348662</v>
      </c>
      <c r="G645" s="152" t="n"/>
      <c r="H645" s="152" t="n">
        <v>406</v>
      </c>
      <c r="I645" s="156">
        <f>+I644+(G645-H645)</f>
        <v/>
      </c>
      <c r="J645" s="90" t="n">
        <v>51.71</v>
      </c>
      <c r="K645" s="166" t="n"/>
      <c r="L645" s="158">
        <f>+H645*J645</f>
        <v/>
      </c>
      <c r="M645" s="159">
        <f>SUM(M644+K645-L645)</f>
        <v/>
      </c>
    </row>
    <row r="646">
      <c r="A646" s="151" t="n">
        <v>46080</v>
      </c>
      <c r="B646" s="70" t="n">
        <v>3389</v>
      </c>
      <c r="C646" s="115" t="inlineStr">
        <is>
          <t>SELİM İNŞAAT</t>
        </is>
      </c>
      <c r="D646" s="115" t="inlineStr">
        <is>
          <t>34 EDC 162</t>
        </is>
      </c>
      <c r="E646" s="115" t="inlineStr">
        <is>
          <t xml:space="preserve">YAKUP GÜNER </t>
        </is>
      </c>
      <c r="F646" s="65" t="n">
        <v>414685</v>
      </c>
      <c r="G646" s="152" t="n"/>
      <c r="H646" s="152" t="n">
        <v>521</v>
      </c>
      <c r="I646" s="156">
        <f>+I645+(G646-H646)</f>
        <v/>
      </c>
      <c r="J646" s="90" t="n">
        <v>51.71</v>
      </c>
      <c r="K646" s="166" t="n"/>
      <c r="L646" s="158">
        <f>+H646*J646</f>
        <v/>
      </c>
      <c r="M646" s="159">
        <f>SUM(M645+K646-L646)</f>
        <v/>
      </c>
    </row>
    <row r="647">
      <c r="A647" s="151" t="n">
        <v>46080</v>
      </c>
      <c r="B647" s="70" t="n">
        <v>3224</v>
      </c>
      <c r="C647" s="115" t="inlineStr">
        <is>
          <t>SELİM İNŞAAT</t>
        </is>
      </c>
      <c r="D647" s="115" t="inlineStr">
        <is>
          <t>34 EGR 736</t>
        </is>
      </c>
      <c r="E647" s="115" t="inlineStr">
        <is>
          <t>HAKAN ÇAVUŞOĞLU</t>
        </is>
      </c>
      <c r="F647" s="65" t="n">
        <v>438672</v>
      </c>
      <c r="G647" s="152" t="n"/>
      <c r="H647" s="152" t="n">
        <v>435</v>
      </c>
      <c r="I647" s="156">
        <f>+I646+(G647-H647)</f>
        <v/>
      </c>
      <c r="J647" s="90" t="n">
        <v>51.71</v>
      </c>
      <c r="K647" s="166" t="n"/>
      <c r="L647" s="158">
        <f>+H647*J647</f>
        <v/>
      </c>
      <c r="M647" s="159">
        <f>SUM(M646+K647-L647)</f>
        <v/>
      </c>
    </row>
    <row r="648">
      <c r="A648" s="151" t="n">
        <v>46080</v>
      </c>
      <c r="B648" s="70" t="n">
        <v>3831</v>
      </c>
      <c r="C648" s="115" t="inlineStr">
        <is>
          <t>SELİM İNŞAAT</t>
        </is>
      </c>
      <c r="D648" s="115" t="inlineStr">
        <is>
          <t>34 GYZ 635</t>
        </is>
      </c>
      <c r="E648" s="115" t="inlineStr">
        <is>
          <t>ADEM DENİZ</t>
        </is>
      </c>
      <c r="F648" s="65" t="n">
        <v>225891</v>
      </c>
      <c r="G648" s="152" t="n"/>
      <c r="H648" s="152" t="n">
        <v>149</v>
      </c>
      <c r="I648" s="156">
        <f>+I647+(G648-H648)</f>
        <v/>
      </c>
      <c r="J648" s="90" t="n">
        <v>51.71</v>
      </c>
      <c r="K648" s="166" t="n"/>
      <c r="L648" s="158">
        <f>+H648*J648</f>
        <v/>
      </c>
      <c r="M648" s="159">
        <f>SUM(M647+K648-L648)</f>
        <v/>
      </c>
    </row>
    <row r="649">
      <c r="A649" s="151" t="n">
        <v>46080</v>
      </c>
      <c r="B649" s="70" t="n">
        <v>4875</v>
      </c>
      <c r="C649" s="115" t="inlineStr">
        <is>
          <t>SELİM İNŞAAT</t>
        </is>
      </c>
      <c r="D649" s="115" t="inlineStr">
        <is>
          <t>34 FBR 705</t>
        </is>
      </c>
      <c r="E649" s="115" t="inlineStr">
        <is>
          <t>MURAT SARI</t>
        </is>
      </c>
      <c r="F649" s="65" t="n">
        <v>361530</v>
      </c>
      <c r="G649" s="152" t="n"/>
      <c r="H649" s="152" t="n">
        <v>500</v>
      </c>
      <c r="I649" s="156">
        <f>+I648+(G649-H649)</f>
        <v/>
      </c>
      <c r="J649" s="90" t="n">
        <v>51.71</v>
      </c>
      <c r="K649" s="166" t="n"/>
      <c r="L649" s="158">
        <f>+H649*J649</f>
        <v/>
      </c>
      <c r="M649" s="159">
        <f>SUM(M648+K649-L649)</f>
        <v/>
      </c>
    </row>
    <row r="650">
      <c r="A650" s="151" t="n">
        <v>46080</v>
      </c>
      <c r="B650" s="70" t="n">
        <v>2299</v>
      </c>
      <c r="C650" s="115" t="inlineStr">
        <is>
          <t>SELİM İNŞAAT</t>
        </is>
      </c>
      <c r="D650" s="115" t="inlineStr">
        <is>
          <t>34 DSN 636</t>
        </is>
      </c>
      <c r="E650" s="115" t="inlineStr">
        <is>
          <t>MAHSUN GÜVEN</t>
        </is>
      </c>
      <c r="F650" s="65" t="n">
        <v>432871</v>
      </c>
      <c r="G650" s="152" t="n"/>
      <c r="H650" s="152" t="n">
        <v>298</v>
      </c>
      <c r="I650" s="156">
        <f>+I649+(G650-H650)</f>
        <v/>
      </c>
      <c r="J650" s="90" t="n">
        <v>51.71</v>
      </c>
      <c r="K650" s="166" t="n"/>
      <c r="L650" s="158">
        <f>+H650*J650</f>
        <v/>
      </c>
      <c r="M650" s="159">
        <f>SUM(M649+K650-L650)</f>
        <v/>
      </c>
    </row>
    <row r="651">
      <c r="A651" s="151" t="n">
        <v>46080</v>
      </c>
      <c r="B651" s="70" t="n">
        <v>4512</v>
      </c>
      <c r="C651" s="115" t="inlineStr">
        <is>
          <t>SELİM İNŞAAT</t>
        </is>
      </c>
      <c r="D651" s="115" t="inlineStr">
        <is>
          <t>34 DTV 352</t>
        </is>
      </c>
      <c r="E651" s="115" t="inlineStr">
        <is>
          <t>AZİZ ORUÇ</t>
        </is>
      </c>
      <c r="F651" s="65" t="n">
        <v>475349</v>
      </c>
      <c r="G651" s="152" t="n"/>
      <c r="H651" s="152" t="n">
        <v>311</v>
      </c>
      <c r="I651" s="156">
        <f>+I650+(G651-H651)</f>
        <v/>
      </c>
      <c r="J651" s="90" t="n">
        <v>51.71</v>
      </c>
      <c r="K651" s="166" t="n"/>
      <c r="L651" s="158">
        <f>+H651*J651</f>
        <v/>
      </c>
      <c r="M651" s="159">
        <f>SUM(M650+K651-L651)</f>
        <v/>
      </c>
    </row>
    <row r="652">
      <c r="A652" s="151" t="n">
        <v>46080</v>
      </c>
      <c r="B652" s="70" t="n">
        <v>4115</v>
      </c>
      <c r="C652" s="115" t="inlineStr">
        <is>
          <t>SELİM İNŞAAT</t>
        </is>
      </c>
      <c r="D652" s="115" t="inlineStr">
        <is>
          <t>34 EDB 659</t>
        </is>
      </c>
      <c r="E652" s="115" t="inlineStr">
        <is>
          <t>YASİN ÇATAKLI</t>
        </is>
      </c>
      <c r="F652" s="65" t="n">
        <v>389378</v>
      </c>
      <c r="G652" s="152" t="n"/>
      <c r="H652" s="152" t="n">
        <v>435</v>
      </c>
      <c r="I652" s="156">
        <f>+I651+(G652-H652)</f>
        <v/>
      </c>
      <c r="J652" s="90" t="n">
        <v>51.71</v>
      </c>
      <c r="K652" s="166" t="n"/>
      <c r="L652" s="158">
        <f>+H652*J652</f>
        <v/>
      </c>
      <c r="M652" s="159">
        <f>SUM(M651+K652-L652)</f>
        <v/>
      </c>
    </row>
    <row r="653">
      <c r="A653" s="151" t="n">
        <v>46080</v>
      </c>
      <c r="B653" s="70" t="n">
        <v>3330</v>
      </c>
      <c r="C653" s="115" t="inlineStr">
        <is>
          <t>SELİM İNŞAAT</t>
        </is>
      </c>
      <c r="D653" s="115" t="inlineStr">
        <is>
          <t>34 GUS 938</t>
        </is>
      </c>
      <c r="E653" s="115" t="inlineStr">
        <is>
          <t>MEHMET KAYA</t>
        </is>
      </c>
      <c r="F653" s="65" t="n">
        <v>246432</v>
      </c>
      <c r="G653" s="152" t="n"/>
      <c r="H653" s="152" t="n">
        <v>470</v>
      </c>
      <c r="I653" s="156">
        <f>+I652+(G653-H653)</f>
        <v/>
      </c>
      <c r="J653" s="90" t="n">
        <v>51.71</v>
      </c>
      <c r="K653" s="166" t="n"/>
      <c r="L653" s="158">
        <f>+H653*J653</f>
        <v/>
      </c>
      <c r="M653" s="159">
        <f>SUM(M652+K653-L653)</f>
        <v/>
      </c>
    </row>
    <row r="654">
      <c r="A654" s="151" t="n">
        <v>46080</v>
      </c>
      <c r="B654" s="70" t="n">
        <v>3044</v>
      </c>
      <c r="C654" s="115" t="inlineStr">
        <is>
          <t>SELİM İNŞAAT</t>
        </is>
      </c>
      <c r="D654" s="115" t="inlineStr">
        <is>
          <t>34 FBR 781</t>
        </is>
      </c>
      <c r="E654" s="115" t="inlineStr">
        <is>
          <t>MEVLÜT POLAT</t>
        </is>
      </c>
      <c r="F654" s="65" t="n">
        <v>362207</v>
      </c>
      <c r="G654" s="152" t="n"/>
      <c r="H654" s="152" t="n">
        <v>475</v>
      </c>
      <c r="I654" s="156">
        <f>+I653+(G654-H654)</f>
        <v/>
      </c>
      <c r="J654" s="90" t="n">
        <v>51.71</v>
      </c>
      <c r="K654" s="166" t="n"/>
      <c r="L654" s="158">
        <f>+H654*J654</f>
        <v/>
      </c>
      <c r="M654" s="159">
        <f>SUM(M653+K654-L654)</f>
        <v/>
      </c>
    </row>
    <row r="655">
      <c r="A655" s="167" t="n">
        <v>46081</v>
      </c>
      <c r="B655" s="83" t="n">
        <v>381</v>
      </c>
      <c r="C655" s="84" t="inlineStr">
        <is>
          <t>ÜNSOY TURİZM İNŞ.SAN.VE TİC.A.Ş.</t>
        </is>
      </c>
      <c r="D655" s="84" t="n"/>
      <c r="E655" s="84" t="n"/>
      <c r="F655" s="85" t="n"/>
      <c r="G655" s="168" t="n">
        <v>32502</v>
      </c>
      <c r="H655" s="168" t="n"/>
      <c r="I655" s="168">
        <f>+I654+(G655-H655)</f>
        <v/>
      </c>
      <c r="J655" s="87">
        <f>+K655/G655</f>
        <v/>
      </c>
      <c r="K655" s="169" t="n">
        <v>1680678.42</v>
      </c>
      <c r="L655" s="170">
        <f>+H655*J655</f>
        <v/>
      </c>
      <c r="M655" s="170">
        <f>SUM(M654+K655-L655)</f>
        <v/>
      </c>
    </row>
    <row r="656">
      <c r="A656" s="151" t="n">
        <v>46081</v>
      </c>
      <c r="B656" s="70" t="n">
        <v>807</v>
      </c>
      <c r="C656" s="115" t="inlineStr">
        <is>
          <t>METİN ERYİĞİT</t>
        </is>
      </c>
      <c r="D656" s="115" t="inlineStr">
        <is>
          <t>34 GBL 998</t>
        </is>
      </c>
      <c r="E656" s="115" t="inlineStr">
        <is>
          <t>ALİ KESKİN</t>
        </is>
      </c>
      <c r="F656" s="65" t="n"/>
      <c r="G656" s="152" t="n"/>
      <c r="H656" s="152" t="n">
        <v>425</v>
      </c>
      <c r="I656" s="156">
        <f>+I655+(G656-H656)</f>
        <v/>
      </c>
      <c r="J656" s="90" t="n">
        <v>51.71</v>
      </c>
      <c r="K656" s="166" t="n"/>
      <c r="L656" s="158">
        <f>+H656*J656</f>
        <v/>
      </c>
      <c r="M656" s="159">
        <f>SUM(M655+K656-L656)</f>
        <v/>
      </c>
    </row>
    <row r="657">
      <c r="A657" s="151" t="n">
        <v>46081</v>
      </c>
      <c r="B657" s="70" t="n">
        <v>413</v>
      </c>
      <c r="C657" s="115" t="inlineStr">
        <is>
          <t>MEGA VARLIK</t>
        </is>
      </c>
      <c r="D657" s="115" t="inlineStr">
        <is>
          <t xml:space="preserve">SM350 </t>
        </is>
      </c>
      <c r="E657" s="115" t="inlineStr">
        <is>
          <t>TEVFİK ÖZTÜRK</t>
        </is>
      </c>
      <c r="F657" s="65" t="n"/>
      <c r="G657" s="152" t="n"/>
      <c r="H657" s="152" t="n">
        <v>370</v>
      </c>
      <c r="I657" s="156">
        <f>+I656+(G657-H657)</f>
        <v/>
      </c>
      <c r="J657" s="90" t="n">
        <v>51.71</v>
      </c>
      <c r="K657" s="166" t="n"/>
      <c r="L657" s="158">
        <f>+H657*J657</f>
        <v/>
      </c>
      <c r="M657" s="159">
        <f>SUM(M656+K657-L657)</f>
        <v/>
      </c>
    </row>
    <row r="658">
      <c r="A658" s="151" t="n">
        <v>46081</v>
      </c>
      <c r="B658" s="70" t="n">
        <v>414</v>
      </c>
      <c r="C658" s="115" t="inlineStr">
        <is>
          <t>VARLIK</t>
        </is>
      </c>
      <c r="D658" s="115" t="inlineStr">
        <is>
          <t>KAWAZAKI</t>
        </is>
      </c>
      <c r="E658" s="115" t="inlineStr">
        <is>
          <t>RAMAZAN</t>
        </is>
      </c>
      <c r="F658" s="65" t="n"/>
      <c r="G658" s="152" t="n"/>
      <c r="H658" s="152" t="n">
        <v>203</v>
      </c>
      <c r="I658" s="156">
        <f>+I657+(G658-H658)</f>
        <v/>
      </c>
      <c r="J658" s="90" t="n">
        <v>51.71</v>
      </c>
      <c r="K658" s="166" t="n"/>
      <c r="L658" s="158">
        <f>+H658*J658</f>
        <v/>
      </c>
      <c r="M658" s="159">
        <f>SUM(M657+K658-L658)</f>
        <v/>
      </c>
    </row>
    <row r="659">
      <c r="A659" s="151" t="n">
        <v>46081</v>
      </c>
      <c r="B659" s="70" t="n">
        <v>415</v>
      </c>
      <c r="C659" s="115" t="inlineStr">
        <is>
          <t>VARLIK</t>
        </is>
      </c>
      <c r="D659" s="115" t="inlineStr">
        <is>
          <t>HITACHI</t>
        </is>
      </c>
      <c r="E659" s="115" t="inlineStr">
        <is>
          <t>TURGUT SANCAK</t>
        </is>
      </c>
      <c r="F659" s="65" t="n"/>
      <c r="G659" s="152" t="n"/>
      <c r="H659" s="152" t="n">
        <v>449</v>
      </c>
      <c r="I659" s="156">
        <f>+I658+(G659-H659)</f>
        <v/>
      </c>
      <c r="J659" s="90" t="n">
        <v>51.71</v>
      </c>
      <c r="K659" s="166" t="n"/>
      <c r="L659" s="158">
        <f>+H659*J659</f>
        <v/>
      </c>
      <c r="M659" s="159">
        <f>SUM(M658+K659-L659)</f>
        <v/>
      </c>
    </row>
    <row r="660">
      <c r="A660" s="151" t="n">
        <v>46081</v>
      </c>
      <c r="B660" s="70" t="n">
        <v>416</v>
      </c>
      <c r="C660" s="115" t="inlineStr">
        <is>
          <t>GARAJ</t>
        </is>
      </c>
      <c r="D660" s="115" t="inlineStr">
        <is>
          <t>ZOOMLION</t>
        </is>
      </c>
      <c r="E660" s="115" t="inlineStr">
        <is>
          <t>SALİH ŞOLAN</t>
        </is>
      </c>
      <c r="F660" s="65" t="n"/>
      <c r="G660" s="152" t="n"/>
      <c r="H660" s="152" t="n">
        <v>188</v>
      </c>
      <c r="I660" s="156">
        <f>+I659+(G660-H660)</f>
        <v/>
      </c>
      <c r="J660" s="90" t="n">
        <v>51.71</v>
      </c>
      <c r="K660" s="166" t="n"/>
      <c r="L660" s="158">
        <f>+H660*J660</f>
        <v/>
      </c>
      <c r="M660" s="159">
        <f>SUM(M659+K660-L660)</f>
        <v/>
      </c>
    </row>
    <row r="661">
      <c r="A661" s="151" t="n">
        <v>46081</v>
      </c>
      <c r="B661" s="70" t="n">
        <v>614</v>
      </c>
      <c r="C661" s="115" t="inlineStr">
        <is>
          <t>SELİM İNŞAAT</t>
        </is>
      </c>
      <c r="D661" s="115" t="inlineStr">
        <is>
          <t>34 BUR 461</t>
        </is>
      </c>
      <c r="E661" s="115" t="inlineStr">
        <is>
          <t xml:space="preserve">MUSTAFA ALBAYRAK </t>
        </is>
      </c>
      <c r="F661" s="65" t="n"/>
      <c r="G661" s="152" t="n"/>
      <c r="H661" s="152" t="n">
        <v>62</v>
      </c>
      <c r="I661" s="156">
        <f>+I660+(G661-H661)</f>
        <v/>
      </c>
      <c r="J661" s="90" t="n">
        <v>51.71</v>
      </c>
      <c r="K661" s="166" t="n"/>
      <c r="L661" s="158">
        <f>+H661*J661</f>
        <v/>
      </c>
      <c r="M661" s="159">
        <f>SUM(M660+K661-L661)</f>
        <v/>
      </c>
    </row>
    <row r="662">
      <c r="A662" s="151" t="n">
        <v>46081</v>
      </c>
      <c r="B662" s="70" t="n">
        <v>4016</v>
      </c>
      <c r="C662" s="115" t="inlineStr">
        <is>
          <t>SELİM İNŞAAT</t>
        </is>
      </c>
      <c r="D662" s="115" t="inlineStr">
        <is>
          <t>34 AR 7743</t>
        </is>
      </c>
      <c r="E662" s="115" t="inlineStr">
        <is>
          <t>ABDULKERİM ERGEN</t>
        </is>
      </c>
      <c r="F662" s="65" t="n">
        <v>373920</v>
      </c>
      <c r="G662" s="152" t="n"/>
      <c r="H662" s="152" t="n">
        <v>53</v>
      </c>
      <c r="I662" s="156">
        <f>+I661+(G662-H662)</f>
        <v/>
      </c>
      <c r="J662" s="90" t="n">
        <v>51.71</v>
      </c>
      <c r="K662" s="166" t="n"/>
      <c r="L662" s="158">
        <f>+H662*J662</f>
        <v/>
      </c>
      <c r="M662" s="159">
        <f>SUM(M661+K662-L662)</f>
        <v/>
      </c>
    </row>
    <row r="663">
      <c r="A663" s="151" t="n">
        <v>46081</v>
      </c>
      <c r="B663" s="70" t="n">
        <v>2650</v>
      </c>
      <c r="C663" s="115" t="inlineStr">
        <is>
          <t>SELİM İNŞAAT</t>
        </is>
      </c>
      <c r="D663" s="115" t="inlineStr">
        <is>
          <t>34 GU 945</t>
        </is>
      </c>
      <c r="E663" s="115" t="inlineStr">
        <is>
          <t>YAKUP URUCU</t>
        </is>
      </c>
      <c r="F663" s="65" t="n">
        <v>472173</v>
      </c>
      <c r="G663" s="152" t="n"/>
      <c r="H663" s="152" t="n">
        <v>66</v>
      </c>
      <c r="I663" s="156">
        <f>+I662+(G663-H663)</f>
        <v/>
      </c>
      <c r="J663" s="90" t="n">
        <v>51.71</v>
      </c>
      <c r="K663" s="166" t="n"/>
      <c r="L663" s="158">
        <f>+H663*J663</f>
        <v/>
      </c>
      <c r="M663" s="159">
        <f>SUM(M662+K663-L663)</f>
        <v/>
      </c>
    </row>
    <row r="664">
      <c r="A664" s="151" t="n">
        <v>46081</v>
      </c>
      <c r="B664" s="70" t="n">
        <v>4169</v>
      </c>
      <c r="C664" s="115" t="inlineStr">
        <is>
          <t>SELİM İNŞAAT</t>
        </is>
      </c>
      <c r="D664" s="115" t="inlineStr">
        <is>
          <t>34 FBR 748</t>
        </is>
      </c>
      <c r="E664" s="115" t="inlineStr">
        <is>
          <t>YAŞAR ÖZKAYA</t>
        </is>
      </c>
      <c r="F664" s="65" t="n">
        <v>323940</v>
      </c>
      <c r="G664" s="152" t="n"/>
      <c r="H664" s="152" t="n">
        <v>406</v>
      </c>
      <c r="I664" s="156">
        <f>+I663+(G664-H664)</f>
        <v/>
      </c>
      <c r="J664" s="90" t="n">
        <v>51.71</v>
      </c>
      <c r="K664" s="166" t="n"/>
      <c r="L664" s="158">
        <f>+H664*J664</f>
        <v/>
      </c>
      <c r="M664" s="159">
        <f>SUM(M663+K664-L664)</f>
        <v/>
      </c>
    </row>
    <row r="665">
      <c r="A665" s="151" t="n">
        <v>46081</v>
      </c>
      <c r="B665" s="70" t="n">
        <v>1546</v>
      </c>
      <c r="C665" s="115" t="inlineStr">
        <is>
          <t>SELİM İNŞAAT</t>
        </is>
      </c>
      <c r="D665" s="115" t="inlineStr">
        <is>
          <t>34 GUS 848</t>
        </is>
      </c>
      <c r="E665" s="115" t="inlineStr">
        <is>
          <t>SERDAR BOZKURT</t>
        </is>
      </c>
      <c r="F665" s="65" t="n">
        <v>232573</v>
      </c>
      <c r="G665" s="152" t="n"/>
      <c r="H665" s="152" t="n">
        <v>501</v>
      </c>
      <c r="I665" s="156">
        <f>+I664+(G665-H665)</f>
        <v/>
      </c>
      <c r="J665" s="90" t="n">
        <v>51.71</v>
      </c>
      <c r="K665" s="166" t="n"/>
      <c r="L665" s="158">
        <f>+H665*J665</f>
        <v/>
      </c>
      <c r="M665" s="159">
        <f>SUM(M664+K665-L665)</f>
        <v/>
      </c>
    </row>
    <row r="666">
      <c r="A666" s="151" t="n">
        <v>46081</v>
      </c>
      <c r="B666" s="70" t="n">
        <v>4926</v>
      </c>
      <c r="C666" s="115" t="inlineStr">
        <is>
          <t>SELİM İNŞAAT</t>
        </is>
      </c>
      <c r="D666" s="115" t="inlineStr">
        <is>
          <t>34 FBR 742</t>
        </is>
      </c>
      <c r="E666" s="115" t="inlineStr">
        <is>
          <t>ADNAN KOÇ</t>
        </is>
      </c>
      <c r="F666" s="65" t="n">
        <v>366556</v>
      </c>
      <c r="G666" s="152" t="n"/>
      <c r="H666" s="152" t="n">
        <v>494</v>
      </c>
      <c r="I666" s="156">
        <f>+I665+(G666-H666)</f>
        <v/>
      </c>
      <c r="J666" s="90" t="n">
        <v>51.71</v>
      </c>
      <c r="K666" s="166" t="n"/>
      <c r="L666" s="158">
        <f>+H666*J666</f>
        <v/>
      </c>
      <c r="M666" s="159">
        <f>SUM(M665+K666-L666)</f>
        <v/>
      </c>
    </row>
    <row r="667">
      <c r="A667" s="151" t="n">
        <v>46081</v>
      </c>
      <c r="B667" s="70" t="n">
        <v>905</v>
      </c>
      <c r="C667" s="115" t="inlineStr">
        <is>
          <t>SELİM İNŞAAT</t>
        </is>
      </c>
      <c r="D667" s="115" t="inlineStr">
        <is>
          <t>34 FSG 229</t>
        </is>
      </c>
      <c r="E667" s="115" t="inlineStr">
        <is>
          <t>SİNAN TANRIVERDİ</t>
        </is>
      </c>
      <c r="F667" s="65" t="n">
        <v>299689</v>
      </c>
      <c r="G667" s="152" t="n"/>
      <c r="H667" s="152" t="n">
        <v>405</v>
      </c>
      <c r="I667" s="156">
        <f>+I666+(G667-H667)</f>
        <v/>
      </c>
      <c r="J667" s="90" t="n">
        <v>51.71</v>
      </c>
      <c r="K667" s="166" t="n"/>
      <c r="L667" s="158">
        <f>+H667*J667</f>
        <v/>
      </c>
      <c r="M667" s="159">
        <f>SUM(M666+K667-L667)</f>
        <v/>
      </c>
    </row>
    <row r="668">
      <c r="A668" s="151" t="n">
        <v>46081</v>
      </c>
      <c r="B668" s="70" t="n">
        <v>4876</v>
      </c>
      <c r="C668" s="115" t="inlineStr">
        <is>
          <t>SELİM İNŞAAT</t>
        </is>
      </c>
      <c r="D668" s="115" t="inlineStr">
        <is>
          <t>34 FBR 705</t>
        </is>
      </c>
      <c r="E668" s="115" t="inlineStr">
        <is>
          <t>MURAT SARI</t>
        </is>
      </c>
      <c r="F668" s="65" t="n">
        <v>362196</v>
      </c>
      <c r="G668" s="152" t="n"/>
      <c r="H668" s="152" t="n">
        <v>37</v>
      </c>
      <c r="I668" s="156">
        <f>+I667+(G668-H668)</f>
        <v/>
      </c>
      <c r="J668" s="90" t="n">
        <v>51.71</v>
      </c>
      <c r="K668" s="166" t="n"/>
      <c r="L668" s="158">
        <f>+H668*J668</f>
        <v/>
      </c>
      <c r="M668" s="159">
        <f>SUM(M667+K668-L668)</f>
        <v/>
      </c>
    </row>
    <row r="669">
      <c r="A669" s="151" t="n">
        <v>46081</v>
      </c>
      <c r="B669" s="70" t="n">
        <v>3427</v>
      </c>
      <c r="C669" s="115" t="inlineStr">
        <is>
          <t>SELİM İNŞAAT</t>
        </is>
      </c>
      <c r="D669" s="115" t="inlineStr">
        <is>
          <t>34 GVZ 310</t>
        </is>
      </c>
      <c r="E669" s="115" t="inlineStr">
        <is>
          <t>CELAL YÜZBAŞI</t>
        </is>
      </c>
      <c r="F669" s="65" t="n">
        <v>246694</v>
      </c>
      <c r="G669" s="152" t="n"/>
      <c r="H669" s="152" t="n">
        <v>452</v>
      </c>
      <c r="I669" s="156">
        <f>+I668+(G669-H669)</f>
        <v/>
      </c>
      <c r="J669" s="90" t="n">
        <v>51.71</v>
      </c>
      <c r="K669" s="166" t="n"/>
      <c r="L669" s="158">
        <f>+H669*J669</f>
        <v/>
      </c>
      <c r="M669" s="159">
        <f>SUM(M668+K669-L669)</f>
        <v/>
      </c>
    </row>
    <row r="670">
      <c r="A670" s="151" t="n">
        <v>46081</v>
      </c>
      <c r="B670" s="70" t="n">
        <v>4971</v>
      </c>
      <c r="C670" s="115" t="inlineStr">
        <is>
          <t>SELİM İNŞAAT</t>
        </is>
      </c>
      <c r="D670" s="115" t="inlineStr">
        <is>
          <t xml:space="preserve">34 GVZ 745 </t>
        </is>
      </c>
      <c r="E670" s="115" t="inlineStr">
        <is>
          <t>MURAT DEMİRBAĞ</t>
        </is>
      </c>
      <c r="F670" s="65" t="n">
        <v>246800</v>
      </c>
      <c r="G670" s="152" t="n"/>
      <c r="H670" s="152" t="n">
        <v>501</v>
      </c>
      <c r="I670" s="156">
        <f>+I669+(G670-H670)</f>
        <v/>
      </c>
      <c r="J670" s="90" t="n">
        <v>51.71</v>
      </c>
      <c r="K670" s="166" t="n"/>
      <c r="L670" s="158">
        <f>+H670*J670</f>
        <v/>
      </c>
      <c r="M670" s="159">
        <f>SUM(M669+K670-L670)</f>
        <v/>
      </c>
    </row>
    <row r="671">
      <c r="A671" s="151" t="n">
        <v>46081</v>
      </c>
      <c r="B671" s="70" t="n">
        <v>514</v>
      </c>
      <c r="C671" s="115" t="inlineStr">
        <is>
          <t>SELİM İNŞAAT</t>
        </is>
      </c>
      <c r="D671" s="115" t="inlineStr">
        <is>
          <t>34 EGR 737</t>
        </is>
      </c>
      <c r="E671" s="115" t="inlineStr">
        <is>
          <t>CEM MUHTAR</t>
        </is>
      </c>
      <c r="F671" s="65" t="n">
        <v>460824</v>
      </c>
      <c r="G671" s="152" t="n"/>
      <c r="H671" s="152" t="n">
        <v>505</v>
      </c>
      <c r="I671" s="156">
        <f>+I670+(G671-H671)</f>
        <v/>
      </c>
      <c r="J671" s="90" t="n">
        <v>51.71</v>
      </c>
      <c r="K671" s="166" t="n"/>
      <c r="L671" s="158">
        <f>+H671*J671</f>
        <v/>
      </c>
      <c r="M671" s="159">
        <f>SUM(M670+K671-L671)</f>
        <v/>
      </c>
    </row>
    <row r="672">
      <c r="A672" s="151" t="n">
        <v>46081</v>
      </c>
      <c r="B672" s="70" t="n">
        <v>1341</v>
      </c>
      <c r="C672" s="115" t="inlineStr">
        <is>
          <t>SELİM İNŞAAT</t>
        </is>
      </c>
      <c r="D672" s="115" t="inlineStr">
        <is>
          <t>34 GVZ 199</t>
        </is>
      </c>
      <c r="E672" s="115" t="inlineStr">
        <is>
          <t>HÜSEYİN DENİZ</t>
        </is>
      </c>
      <c r="F672" s="65" t="n">
        <v>226059</v>
      </c>
      <c r="G672" s="152" t="n"/>
      <c r="H672" s="152" t="n">
        <v>508</v>
      </c>
      <c r="I672" s="156">
        <f>+I671+(G672-H672)</f>
        <v/>
      </c>
      <c r="J672" s="90" t="n">
        <v>51.71</v>
      </c>
      <c r="K672" s="166" t="n"/>
      <c r="L672" s="158">
        <f>+H672*J672</f>
        <v/>
      </c>
      <c r="M672" s="159">
        <f>SUM(M671+K672-L672)</f>
        <v/>
      </c>
    </row>
    <row r="673">
      <c r="A673" s="151" t="n">
        <v>46081</v>
      </c>
      <c r="B673" s="70" t="n">
        <v>11</v>
      </c>
      <c r="C673" s="115" t="inlineStr">
        <is>
          <t>SELİM İNŞAAT</t>
        </is>
      </c>
      <c r="D673" s="115" t="inlineStr">
        <is>
          <t xml:space="preserve">34 GVZ 268 </t>
        </is>
      </c>
      <c r="E673" s="115" t="inlineStr">
        <is>
          <t>KERİM KARAMAN</t>
        </is>
      </c>
      <c r="F673" s="65" t="n">
        <v>251112</v>
      </c>
      <c r="G673" s="152" t="n"/>
      <c r="H673" s="152" t="n">
        <v>500</v>
      </c>
      <c r="I673" s="156">
        <f>+I672+(G673-H673)</f>
        <v/>
      </c>
      <c r="J673" s="90" t="n">
        <v>51.71</v>
      </c>
      <c r="K673" s="166" t="n"/>
      <c r="L673" s="158">
        <f>+H673*J673</f>
        <v/>
      </c>
      <c r="M673" s="159">
        <f>SUM(M672+K673-L673)</f>
        <v/>
      </c>
    </row>
    <row r="674">
      <c r="A674" s="151" t="n">
        <v>46082</v>
      </c>
      <c r="B674" s="70" t="n">
        <v>195</v>
      </c>
      <c r="C674" s="115" t="inlineStr">
        <is>
          <t>SELİM İNŞAAT</t>
        </is>
      </c>
      <c r="D674" s="115" t="inlineStr">
        <is>
          <t>34 TG 7869</t>
        </is>
      </c>
      <c r="E674" s="115" t="inlineStr">
        <is>
          <t>DURSUN ALİ GÜREK</t>
        </is>
      </c>
      <c r="F674" s="65" t="n">
        <v>193492</v>
      </c>
      <c r="G674" s="152" t="n"/>
      <c r="H674" s="152" t="n">
        <v>450</v>
      </c>
      <c r="I674" s="156">
        <f>+I673+(G674-H674)</f>
        <v/>
      </c>
      <c r="J674" s="90" t="n">
        <v>51.71</v>
      </c>
      <c r="K674" s="166" t="n"/>
      <c r="L674" s="158">
        <f>+H674*J674</f>
        <v/>
      </c>
      <c r="M674" s="159">
        <f>SUM(M673+K674-L674)</f>
        <v/>
      </c>
    </row>
    <row r="675">
      <c r="A675" s="151" t="n">
        <v>46082</v>
      </c>
      <c r="B675" s="70" t="n">
        <v>4463</v>
      </c>
      <c r="C675" s="115" t="inlineStr">
        <is>
          <t>SELİM İNŞAAT</t>
        </is>
      </c>
      <c r="D675" s="115" t="inlineStr">
        <is>
          <t>34 DKL 798</t>
        </is>
      </c>
      <c r="E675" s="115" t="inlineStr">
        <is>
          <t>HASAN BAYCA</t>
        </is>
      </c>
      <c r="F675" s="65" t="n">
        <v>80771</v>
      </c>
      <c r="G675" s="152" t="n"/>
      <c r="H675" s="152" t="n">
        <v>390</v>
      </c>
      <c r="I675" s="156">
        <f>+I674+(G675-H675)</f>
        <v/>
      </c>
      <c r="J675" s="90" t="n">
        <v>51.71</v>
      </c>
      <c r="K675" s="166" t="n"/>
      <c r="L675" s="158">
        <f>+H675*J675</f>
        <v/>
      </c>
      <c r="M675" s="159">
        <f>SUM(M674+K675-L675)</f>
        <v/>
      </c>
    </row>
    <row r="676">
      <c r="A676" s="151" t="n">
        <v>46082</v>
      </c>
      <c r="B676" s="70" t="n">
        <v>2979</v>
      </c>
      <c r="C676" s="115" t="inlineStr">
        <is>
          <t>SELİM İNŞAAT</t>
        </is>
      </c>
      <c r="D676" s="115" t="inlineStr">
        <is>
          <t>34 DFE 454</t>
        </is>
      </c>
      <c r="E676" s="115" t="inlineStr">
        <is>
          <t>HÜSEYİN ALIN</t>
        </is>
      </c>
      <c r="F676" s="65" t="n">
        <v>174382</v>
      </c>
      <c r="G676" s="152" t="n"/>
      <c r="H676" s="152" t="n">
        <v>326</v>
      </c>
      <c r="I676" s="156">
        <f>+I675+(G676-H676)</f>
        <v/>
      </c>
      <c r="J676" s="90" t="n">
        <v>51.71</v>
      </c>
      <c r="K676" s="166" t="n"/>
      <c r="L676" s="158">
        <f>+H676*J676</f>
        <v/>
      </c>
      <c r="M676" s="159">
        <f>SUM(M675+K676-L676)</f>
        <v/>
      </c>
    </row>
    <row r="677">
      <c r="A677" s="151" t="n">
        <v>46082</v>
      </c>
      <c r="B677" s="70" t="n">
        <v>615</v>
      </c>
      <c r="C677" s="115" t="inlineStr">
        <is>
          <t>AHMET SELİM TEMHA</t>
        </is>
      </c>
      <c r="D677" s="115" t="inlineStr">
        <is>
          <t>34 PGT 251</t>
        </is>
      </c>
      <c r="E677" s="115" t="inlineStr">
        <is>
          <t>ERSOY SIĞINMAZ</t>
        </is>
      </c>
      <c r="F677" s="65" t="n"/>
      <c r="G677" s="152" t="n"/>
      <c r="H677" s="152" t="n">
        <v>53</v>
      </c>
      <c r="I677" s="156">
        <f>+I676+(G677-H677)</f>
        <v/>
      </c>
      <c r="J677" s="90" t="n">
        <v>51.71</v>
      </c>
      <c r="K677" s="166" t="n"/>
      <c r="L677" s="158">
        <f>+H677*J677</f>
        <v/>
      </c>
      <c r="M677" s="159">
        <f>SUM(M676+K677-L677)</f>
        <v/>
      </c>
    </row>
    <row r="678">
      <c r="A678" s="151" t="n">
        <v>46082</v>
      </c>
      <c r="B678" s="70" t="n">
        <v>417</v>
      </c>
      <c r="C678" s="115" t="inlineStr">
        <is>
          <t>MEGA</t>
        </is>
      </c>
      <c r="D678" s="115" t="inlineStr">
        <is>
          <t>SM350</t>
        </is>
      </c>
      <c r="E678" s="115" t="inlineStr">
        <is>
          <t>TEVFİK</t>
        </is>
      </c>
      <c r="F678" s="65" t="n"/>
      <c r="G678" s="152" t="n"/>
      <c r="H678" s="152" t="n">
        <v>369</v>
      </c>
      <c r="I678" s="156">
        <f>+I677+(G678-H678)</f>
        <v/>
      </c>
      <c r="J678" s="90" t="n">
        <v>51.71</v>
      </c>
      <c r="K678" s="166" t="n"/>
      <c r="L678" s="158">
        <f>+H678*J678</f>
        <v/>
      </c>
      <c r="M678" s="159">
        <f>SUM(M677+K678-L678)</f>
        <v/>
      </c>
    </row>
    <row r="679">
      <c r="A679" s="151" t="n">
        <v>46082</v>
      </c>
      <c r="B679" s="70" t="n">
        <v>418</v>
      </c>
      <c r="C679" s="115" t="inlineStr">
        <is>
          <t>MEGA</t>
        </is>
      </c>
      <c r="D679" s="115" t="inlineStr">
        <is>
          <t>SM300</t>
        </is>
      </c>
      <c r="E679" s="115" t="inlineStr">
        <is>
          <t>TURGUT</t>
        </is>
      </c>
      <c r="F679" s="65" t="n"/>
      <c r="G679" s="152" t="n"/>
      <c r="H679" s="152" t="n">
        <v>514</v>
      </c>
      <c r="I679" s="156">
        <f>+I678+(G679-H679)</f>
        <v/>
      </c>
      <c r="J679" s="90" t="n">
        <v>51.71</v>
      </c>
      <c r="K679" s="166" t="n"/>
      <c r="L679" s="158">
        <f>+H679*J679</f>
        <v/>
      </c>
      <c r="M679" s="159">
        <f>SUM(M678+K679-L679)</f>
        <v/>
      </c>
    </row>
    <row r="680">
      <c r="A680" s="151" t="n">
        <v>46082</v>
      </c>
      <c r="B680" s="70" t="n">
        <v>419</v>
      </c>
      <c r="C680" s="115" t="inlineStr">
        <is>
          <t>MEGA</t>
        </is>
      </c>
      <c r="D680" s="115" t="inlineStr">
        <is>
          <t>KAWAZAKİ</t>
        </is>
      </c>
      <c r="E680" s="115" t="inlineStr">
        <is>
          <t>RAMAZAN</t>
        </is>
      </c>
      <c r="F680" s="65" t="n"/>
      <c r="G680" s="152" t="n"/>
      <c r="H680" s="152" t="n">
        <v>250</v>
      </c>
      <c r="I680" s="156">
        <f>+I679+(G680-H680)</f>
        <v/>
      </c>
      <c r="J680" s="90" t="n">
        <v>51.71</v>
      </c>
      <c r="K680" s="166" t="n"/>
      <c r="L680" s="158">
        <f>+H680*J680</f>
        <v/>
      </c>
      <c r="M680" s="159">
        <f>SUM(M679+K680-L680)</f>
        <v/>
      </c>
    </row>
    <row r="681">
      <c r="A681" s="151" t="n">
        <v>46082</v>
      </c>
      <c r="B681" s="70" t="n">
        <v>420</v>
      </c>
      <c r="C681" s="115" t="inlineStr">
        <is>
          <t>MEGA</t>
        </is>
      </c>
      <c r="D681" s="115" t="inlineStr">
        <is>
          <t>SM350</t>
        </is>
      </c>
      <c r="E681" s="115" t="inlineStr">
        <is>
          <t>EMİRCAN</t>
        </is>
      </c>
      <c r="F681" s="65" t="n"/>
      <c r="G681" s="152" t="n"/>
      <c r="H681" s="152" t="n">
        <v>394</v>
      </c>
      <c r="I681" s="156">
        <f>+I680+(G681-H681)</f>
        <v/>
      </c>
      <c r="J681" s="90" t="n">
        <v>51.71</v>
      </c>
      <c r="K681" s="166" t="n"/>
      <c r="L681" s="158">
        <f>+H681*J681</f>
        <v/>
      </c>
      <c r="M681" s="159">
        <f>SUM(M680+K681-L681)</f>
        <v/>
      </c>
    </row>
    <row r="682">
      <c r="A682" s="151" t="n">
        <v>46082</v>
      </c>
      <c r="B682" s="70" t="n">
        <v>421</v>
      </c>
      <c r="C682" s="115" t="inlineStr">
        <is>
          <t>MEGA</t>
        </is>
      </c>
      <c r="D682" s="115" t="inlineStr">
        <is>
          <t>SM370</t>
        </is>
      </c>
      <c r="E682" s="115" t="inlineStr">
        <is>
          <t>TEKİN</t>
        </is>
      </c>
      <c r="F682" s="65" t="n"/>
      <c r="G682" s="152" t="n"/>
      <c r="H682" s="152" t="n">
        <v>383</v>
      </c>
      <c r="I682" s="156">
        <f>+I681+(G682-H682)</f>
        <v/>
      </c>
      <c r="J682" s="90" t="n">
        <v>51.71</v>
      </c>
      <c r="K682" s="166" t="n"/>
      <c r="L682" s="158">
        <f>+H682*J682</f>
        <v/>
      </c>
      <c r="M682" s="159">
        <f>SUM(M681+K682-L682)</f>
        <v/>
      </c>
    </row>
    <row r="683">
      <c r="A683" s="151" t="n">
        <v>46082</v>
      </c>
      <c r="B683" s="70" t="n">
        <v>422</v>
      </c>
      <c r="C683" s="115" t="inlineStr">
        <is>
          <t>VARLIK</t>
        </is>
      </c>
      <c r="D683" s="115" t="inlineStr">
        <is>
          <t>SİLİNDİR</t>
        </is>
      </c>
      <c r="E683" s="115" t="inlineStr">
        <is>
          <t>MEHMET ALİ</t>
        </is>
      </c>
      <c r="F683" s="65" t="n"/>
      <c r="G683" s="152" t="n"/>
      <c r="H683" s="152" t="n">
        <v>335</v>
      </c>
      <c r="I683" s="156">
        <f>+I682+(G683-H683)</f>
        <v/>
      </c>
      <c r="J683" s="90" t="n">
        <v>51.71</v>
      </c>
      <c r="K683" s="166" t="n"/>
      <c r="L683" s="158">
        <f>+H683*J683</f>
        <v/>
      </c>
      <c r="M683" s="159">
        <f>SUM(M682+K683-L683)</f>
        <v/>
      </c>
    </row>
    <row r="684">
      <c r="A684" s="151" t="n">
        <v>46082</v>
      </c>
      <c r="B684" s="70" t="n">
        <v>423</v>
      </c>
      <c r="C684" s="115" t="inlineStr">
        <is>
          <t>VARLIK</t>
        </is>
      </c>
      <c r="D684" s="115" t="inlineStr">
        <is>
          <t>HİTACHİ</t>
        </is>
      </c>
      <c r="E684" s="115" t="inlineStr">
        <is>
          <t>TURGUT</t>
        </is>
      </c>
      <c r="F684" s="65" t="n"/>
      <c r="G684" s="152" t="n"/>
      <c r="H684" s="152" t="n">
        <v>375</v>
      </c>
      <c r="I684" s="156">
        <f>+I683+(G684-H684)</f>
        <v/>
      </c>
      <c r="J684" s="90" t="n">
        <v>51.71</v>
      </c>
      <c r="K684" s="166" t="n"/>
      <c r="L684" s="158">
        <f>+H684*J684</f>
        <v/>
      </c>
      <c r="M684" s="159">
        <f>SUM(M683+K684-L684)</f>
        <v/>
      </c>
    </row>
    <row r="685">
      <c r="A685" s="167" t="n">
        <v>46083</v>
      </c>
      <c r="B685" s="83" t="n">
        <v>412</v>
      </c>
      <c r="C685" s="84" t="inlineStr">
        <is>
          <t>ÜNSOY TURİZM İNŞ.SAN.VE TİC.A.Ş.</t>
        </is>
      </c>
      <c r="D685" s="84" t="n"/>
      <c r="E685" s="84" t="n"/>
      <c r="F685" s="85" t="n"/>
      <c r="G685" s="168" t="n">
        <v>23215</v>
      </c>
      <c r="H685" s="168" t="n"/>
      <c r="I685" s="168">
        <f>+I684+(G685-H685)</f>
        <v/>
      </c>
      <c r="J685" s="87">
        <f>+K685/G685</f>
        <v/>
      </c>
      <c r="K685" s="169" t="n">
        <v>1204858.05</v>
      </c>
      <c r="L685" s="170">
        <f>+H685*J685</f>
        <v/>
      </c>
      <c r="M685" s="159">
        <f>SUM(M684+K685-L685)</f>
        <v/>
      </c>
    </row>
    <row r="686">
      <c r="A686" s="151" t="n">
        <v>46083</v>
      </c>
      <c r="B686" s="70" t="n">
        <v>4363</v>
      </c>
      <c r="C686" s="115" t="inlineStr">
        <is>
          <t>SELİM İNŞAAT</t>
        </is>
      </c>
      <c r="D686" s="115" t="inlineStr">
        <is>
          <t>34 EDB 829</t>
        </is>
      </c>
      <c r="E686" s="115" t="inlineStr">
        <is>
          <t>FATİH ÖZBOLAT</t>
        </is>
      </c>
      <c r="F686" s="65" t="n">
        <v>355043</v>
      </c>
      <c r="G686" s="152" t="n"/>
      <c r="H686" s="152" t="n">
        <v>522</v>
      </c>
      <c r="I686" s="156">
        <f>+I685+(G686-H686)</f>
        <v/>
      </c>
      <c r="J686" s="90" t="n">
        <v>51.9</v>
      </c>
      <c r="K686" s="166" t="n"/>
      <c r="L686" s="158">
        <f>+H686*J686</f>
        <v/>
      </c>
      <c r="M686" s="159">
        <f>SUM(M685+K686-L686)</f>
        <v/>
      </c>
    </row>
    <row r="687">
      <c r="A687" s="151" t="n">
        <v>46083</v>
      </c>
      <c r="B687" s="70" t="n">
        <v>1342</v>
      </c>
      <c r="C687" s="115" t="inlineStr">
        <is>
          <t>SELİM İNŞAAT</t>
        </is>
      </c>
      <c r="D687" s="115" t="inlineStr">
        <is>
          <t>34 GVZ 199</t>
        </is>
      </c>
      <c r="E687" s="115" t="inlineStr">
        <is>
          <t>HÜSEYİN DENİZ</t>
        </is>
      </c>
      <c r="F687" s="65" t="n">
        <v>226791</v>
      </c>
      <c r="G687" s="152" t="n"/>
      <c r="H687" s="152" t="n">
        <v>409</v>
      </c>
      <c r="I687" s="156">
        <f>+I686+(G687-H687)</f>
        <v/>
      </c>
      <c r="J687" s="90" t="n">
        <v>51.9</v>
      </c>
      <c r="K687" s="166" t="n"/>
      <c r="L687" s="158">
        <f>+H687*J687</f>
        <v/>
      </c>
      <c r="M687" s="159">
        <f>SUM(M686+K687-L687)</f>
        <v/>
      </c>
    </row>
    <row r="688">
      <c r="A688" s="151" t="n">
        <v>46083</v>
      </c>
      <c r="B688" s="70" t="n">
        <v>2795</v>
      </c>
      <c r="C688" s="115" t="inlineStr">
        <is>
          <t>SELİM İNŞAAT</t>
        </is>
      </c>
      <c r="D688" s="115" t="inlineStr">
        <is>
          <t>34 EDC 086</t>
        </is>
      </c>
      <c r="E688" s="115" t="inlineStr">
        <is>
          <t>SEZGİN KOCAGİL</t>
        </is>
      </c>
      <c r="F688" s="65" t="n">
        <v>376683</v>
      </c>
      <c r="G688" s="152" t="n"/>
      <c r="H688" s="152" t="n">
        <v>563</v>
      </c>
      <c r="I688" s="156">
        <f>+I687+(G688-H688)</f>
        <v/>
      </c>
      <c r="J688" s="90" t="n">
        <v>51.9</v>
      </c>
      <c r="K688" s="166" t="n"/>
      <c r="L688" s="158">
        <f>+H688*J688</f>
        <v/>
      </c>
      <c r="M688" s="159">
        <f>SUM(M687+K688-L688)</f>
        <v/>
      </c>
    </row>
    <row r="689">
      <c r="A689" s="151" t="n">
        <v>46083</v>
      </c>
      <c r="B689" s="70" t="n">
        <v>3428</v>
      </c>
      <c r="C689" s="115" t="inlineStr">
        <is>
          <t>SELİM İNŞAAT</t>
        </is>
      </c>
      <c r="D689" s="115" t="inlineStr">
        <is>
          <t>34 GVZ 310</t>
        </is>
      </c>
      <c r="E689" s="115" t="inlineStr">
        <is>
          <t>CELAL YÜZBAŞI</t>
        </is>
      </c>
      <c r="F689" s="65" t="n">
        <v>247434</v>
      </c>
      <c r="G689" s="152" t="n"/>
      <c r="H689" s="152" t="n">
        <v>365</v>
      </c>
      <c r="I689" s="156">
        <f>+I688+(G689-H689)</f>
        <v/>
      </c>
      <c r="J689" s="90" t="n">
        <v>51.9</v>
      </c>
      <c r="K689" s="166" t="n"/>
      <c r="L689" s="158">
        <f>+H689*J689</f>
        <v/>
      </c>
      <c r="M689" s="159">
        <f>SUM(M688+K689-L689)</f>
        <v/>
      </c>
    </row>
    <row r="690">
      <c r="A690" s="151" t="n">
        <v>46083</v>
      </c>
      <c r="B690" s="70" t="n">
        <v>4417</v>
      </c>
      <c r="C690" s="115" t="inlineStr">
        <is>
          <t>SELİM İNŞAAT</t>
        </is>
      </c>
      <c r="D690" s="115" t="inlineStr">
        <is>
          <t>34 DTV 409</t>
        </is>
      </c>
      <c r="E690" s="115" t="inlineStr">
        <is>
          <t>ATA KIZMAZ</t>
        </is>
      </c>
      <c r="F690" s="65" t="n">
        <v>453664</v>
      </c>
      <c r="G690" s="152" t="n"/>
      <c r="H690" s="152" t="n">
        <v>404</v>
      </c>
      <c r="I690" s="156">
        <f>+I689+(G690-H690)</f>
        <v/>
      </c>
      <c r="J690" s="90" t="n">
        <v>51.9</v>
      </c>
      <c r="K690" s="166" t="n"/>
      <c r="L690" s="158">
        <f>+H690*J690</f>
        <v/>
      </c>
      <c r="M690" s="159">
        <f>SUM(M689+K690-L690)</f>
        <v/>
      </c>
    </row>
    <row r="691">
      <c r="A691" s="151" t="n">
        <v>46083</v>
      </c>
      <c r="B691" s="70" t="n">
        <v>906</v>
      </c>
      <c r="C691" s="115" t="inlineStr">
        <is>
          <t>SELİM İNŞAAT</t>
        </is>
      </c>
      <c r="D691" s="115" t="inlineStr">
        <is>
          <t>34 FSG 229</t>
        </is>
      </c>
      <c r="E691" s="115" t="inlineStr">
        <is>
          <t>SİNAN TANRIVERDİ</t>
        </is>
      </c>
      <c r="F691" s="65" t="n">
        <v>300220</v>
      </c>
      <c r="G691" s="152" t="n"/>
      <c r="H691" s="152" t="n">
        <v>342</v>
      </c>
      <c r="I691" s="156">
        <f>+I690+(G691-H691)</f>
        <v/>
      </c>
      <c r="J691" s="90" t="n">
        <v>51.9</v>
      </c>
      <c r="K691" s="166" t="n"/>
      <c r="L691" s="158">
        <f>+H691*J691</f>
        <v/>
      </c>
      <c r="M691" s="159">
        <f>SUM(M690+K691-L691)</f>
        <v/>
      </c>
    </row>
    <row r="692">
      <c r="A692" s="151" t="n">
        <v>46083</v>
      </c>
      <c r="B692" s="70" t="n">
        <v>3832</v>
      </c>
      <c r="C692" s="115" t="inlineStr">
        <is>
          <t>SELİM İNŞAAT</t>
        </is>
      </c>
      <c r="D692" s="115" t="inlineStr">
        <is>
          <t>34 GYZ 635</t>
        </is>
      </c>
      <c r="E692" s="115" t="inlineStr">
        <is>
          <t>ADEM DENİZ</t>
        </is>
      </c>
      <c r="F692" s="65" t="n">
        <v>226945</v>
      </c>
      <c r="G692" s="152" t="n"/>
      <c r="H692" s="152" t="n">
        <v>540</v>
      </c>
      <c r="I692" s="156">
        <f>+I691+(G692-H692)</f>
        <v/>
      </c>
      <c r="J692" s="90" t="n">
        <v>51.9</v>
      </c>
      <c r="K692" s="166" t="n"/>
      <c r="L692" s="158">
        <f>+H692*J692</f>
        <v/>
      </c>
      <c r="M692" s="159">
        <f>SUM(M691+K692-L692)</f>
        <v/>
      </c>
    </row>
    <row r="693">
      <c r="A693" s="151" t="n">
        <v>46083</v>
      </c>
      <c r="B693" s="70" t="n">
        <v>3045</v>
      </c>
      <c r="C693" s="115" t="inlineStr">
        <is>
          <t>SELİM İNŞAAT</t>
        </is>
      </c>
      <c r="D693" s="115" t="inlineStr">
        <is>
          <t>34 FBR 781</t>
        </is>
      </c>
      <c r="E693" s="115" t="inlineStr">
        <is>
          <t>MEVLÜT POLAT</t>
        </is>
      </c>
      <c r="F693" s="65" t="n">
        <v>362975</v>
      </c>
      <c r="G693" s="152" t="n"/>
      <c r="H693" s="152" t="n">
        <v>531</v>
      </c>
      <c r="I693" s="156">
        <f>+I692+(G693-H693)</f>
        <v/>
      </c>
      <c r="J693" s="90" t="n">
        <v>51.9</v>
      </c>
      <c r="K693" s="166" t="n"/>
      <c r="L693" s="158">
        <f>+H693*J693</f>
        <v/>
      </c>
      <c r="M693" s="159">
        <f>SUM(M692+K693-L693)</f>
        <v/>
      </c>
    </row>
    <row r="694">
      <c r="A694" s="151" t="n">
        <v>46083</v>
      </c>
      <c r="B694" s="70" t="n">
        <v>4513</v>
      </c>
      <c r="C694" s="115" t="inlineStr">
        <is>
          <t>SELİM İNŞAAT</t>
        </is>
      </c>
      <c r="D694" s="115" t="inlineStr">
        <is>
          <t>34 DTV 352</t>
        </is>
      </c>
      <c r="E694" s="115" t="inlineStr">
        <is>
          <t>AZİZ ORUÇ</t>
        </is>
      </c>
      <c r="F694" s="65" t="n">
        <v>476036</v>
      </c>
      <c r="G694" s="152" t="n"/>
      <c r="H694" s="152" t="n">
        <v>504</v>
      </c>
      <c r="I694" s="156">
        <f>+I693+(G694-H694)</f>
        <v/>
      </c>
      <c r="J694" s="90" t="n">
        <v>51.9</v>
      </c>
      <c r="K694" s="166" t="n"/>
      <c r="L694" s="158">
        <f>+H694*J694</f>
        <v/>
      </c>
      <c r="M694" s="159">
        <f>SUM(M693+K694-L694)</f>
        <v/>
      </c>
    </row>
    <row r="695">
      <c r="A695" s="151" t="n">
        <v>46083</v>
      </c>
      <c r="B695" s="70" t="n">
        <v>149</v>
      </c>
      <c r="C695" s="115" t="inlineStr">
        <is>
          <t>SELİM İNŞAAT</t>
        </is>
      </c>
      <c r="D695" s="115" t="inlineStr">
        <is>
          <t>34 FBR 771</t>
        </is>
      </c>
      <c r="E695" s="115" t="inlineStr">
        <is>
          <t>SALİH YALÇIN</t>
        </is>
      </c>
      <c r="F695" s="65" t="n">
        <v>349570</v>
      </c>
      <c r="G695" s="152" t="n"/>
      <c r="H695" s="152" t="n">
        <v>449</v>
      </c>
      <c r="I695" s="156">
        <f>+I694+(G695-H695)</f>
        <v/>
      </c>
      <c r="J695" s="90" t="n">
        <v>51.9</v>
      </c>
      <c r="K695" s="166" t="n"/>
      <c r="L695" s="158">
        <f>+H695*J695</f>
        <v/>
      </c>
      <c r="M695" s="159">
        <f>SUM(M694+K695-L695)</f>
        <v/>
      </c>
    </row>
    <row r="696">
      <c r="A696" s="151" t="n">
        <v>46083</v>
      </c>
      <c r="B696" s="70" t="n">
        <v>3390</v>
      </c>
      <c r="C696" s="115" t="inlineStr">
        <is>
          <t>SELİM İNŞAAT</t>
        </is>
      </c>
      <c r="D696" s="115" t="inlineStr">
        <is>
          <t>34 EDC 162</t>
        </is>
      </c>
      <c r="E696" s="115" t="inlineStr">
        <is>
          <t>YAKUP GÜNER</t>
        </is>
      </c>
      <c r="F696" s="65" t="n">
        <v>415414</v>
      </c>
      <c r="G696" s="152" t="n"/>
      <c r="H696" s="152" t="n">
        <v>442</v>
      </c>
      <c r="I696" s="156">
        <f>+I695+(G696-H696)</f>
        <v/>
      </c>
      <c r="J696" s="90" t="n">
        <v>51.9</v>
      </c>
      <c r="K696" s="166" t="n"/>
      <c r="L696" s="158">
        <f>+H696*J696</f>
        <v/>
      </c>
      <c r="M696" s="159">
        <f>SUM(M695+K696-L696)</f>
        <v/>
      </c>
    </row>
    <row r="697">
      <c r="A697" s="151" t="n">
        <v>46083</v>
      </c>
      <c r="B697" s="70" t="n">
        <v>2542</v>
      </c>
      <c r="C697" s="115" t="inlineStr">
        <is>
          <t>AZGÜN YAPI</t>
        </is>
      </c>
      <c r="D697" s="115" t="inlineStr">
        <is>
          <t>34 MKT 593</t>
        </is>
      </c>
      <c r="E697" s="115" t="inlineStr">
        <is>
          <t>TURGUT ÇATAL</t>
        </is>
      </c>
      <c r="F697" s="65" t="n"/>
      <c r="G697" s="152" t="n"/>
      <c r="H697" s="152" t="n">
        <v>421</v>
      </c>
      <c r="I697" s="156">
        <f>+I696+(G697-H697)</f>
        <v/>
      </c>
      <c r="J697" s="90" t="n">
        <v>51.9</v>
      </c>
      <c r="K697" s="166" t="n"/>
      <c r="L697" s="158">
        <f>+H697*J697</f>
        <v/>
      </c>
      <c r="M697" s="159">
        <f>SUM(M696+K697-L697)</f>
        <v/>
      </c>
    </row>
    <row r="698">
      <c r="A698" s="151" t="n">
        <v>46083</v>
      </c>
      <c r="B698" s="70" t="n">
        <v>1390</v>
      </c>
      <c r="C698" s="115" t="inlineStr">
        <is>
          <t>AZGÜN YAPI</t>
        </is>
      </c>
      <c r="D698" s="115" t="inlineStr">
        <is>
          <t>34 MKT859</t>
        </is>
      </c>
      <c r="E698" s="115" t="inlineStr">
        <is>
          <t>İRFAN DAĞLAR</t>
        </is>
      </c>
      <c r="F698" s="65" t="n"/>
      <c r="G698" s="152" t="n"/>
      <c r="H698" s="152" t="n">
        <v>470</v>
      </c>
      <c r="I698" s="156">
        <f>+I697+(G698-H698)</f>
        <v/>
      </c>
      <c r="J698" s="90" t="n">
        <v>51.9</v>
      </c>
      <c r="K698" s="166" t="n"/>
      <c r="L698" s="158">
        <f>+H698*J698</f>
        <v/>
      </c>
      <c r="M698" s="159">
        <f>SUM(M697+K698-L698)</f>
        <v/>
      </c>
    </row>
    <row r="699">
      <c r="A699" s="151" t="n">
        <v>46083</v>
      </c>
      <c r="B699" s="70" t="n">
        <v>2590</v>
      </c>
      <c r="C699" s="115" t="inlineStr">
        <is>
          <t>SELİM İNŞAAT</t>
        </is>
      </c>
      <c r="D699" s="115" t="inlineStr">
        <is>
          <t>34 GER 028</t>
        </is>
      </c>
      <c r="E699" s="115" t="inlineStr">
        <is>
          <t>ABDÜLKERİM ERGEN</t>
        </is>
      </c>
      <c r="F699" s="65" t="n">
        <v>59982</v>
      </c>
      <c r="G699" s="152" t="n"/>
      <c r="H699" s="152" t="n">
        <v>403</v>
      </c>
      <c r="I699" s="156">
        <f>+I698+(G699-H699)</f>
        <v/>
      </c>
      <c r="J699" s="90" t="n">
        <v>51.9</v>
      </c>
      <c r="K699" s="166" t="n"/>
      <c r="L699" s="158">
        <f>+H699*J699</f>
        <v/>
      </c>
      <c r="M699" s="159">
        <f>SUM(M698+K699-L699)</f>
        <v/>
      </c>
    </row>
    <row r="700">
      <c r="A700" s="151" t="n">
        <v>46083</v>
      </c>
      <c r="B700" s="70" t="n">
        <v>3726</v>
      </c>
      <c r="C700" s="115" t="inlineStr">
        <is>
          <t>SELİM İNŞAAT</t>
        </is>
      </c>
      <c r="D700" s="115" t="inlineStr">
        <is>
          <t>34 DKL 866</t>
        </is>
      </c>
      <c r="E700" s="115" t="inlineStr">
        <is>
          <t>SELİMCAN ÖNVER</t>
        </is>
      </c>
      <c r="F700" s="65" t="n">
        <v>82062</v>
      </c>
      <c r="G700" s="152" t="n"/>
      <c r="H700" s="152" t="n">
        <v>348</v>
      </c>
      <c r="I700" s="156">
        <f>+I699+(G700-H700)</f>
        <v/>
      </c>
      <c r="J700" s="90" t="n">
        <v>51.9</v>
      </c>
      <c r="K700" s="166" t="n"/>
      <c r="L700" s="158">
        <f>+H700*J700</f>
        <v/>
      </c>
      <c r="M700" s="159">
        <f>SUM(M699+K700-L700)</f>
        <v/>
      </c>
    </row>
    <row r="701">
      <c r="A701" s="151" t="n">
        <v>46083</v>
      </c>
      <c r="B701" s="70" t="n">
        <v>752</v>
      </c>
      <c r="C701" s="115" t="inlineStr">
        <is>
          <t>METİN ERYİĞİT</t>
        </is>
      </c>
      <c r="D701" s="115" t="inlineStr">
        <is>
          <t>34 EGR 814</t>
        </is>
      </c>
      <c r="E701" s="115" t="inlineStr">
        <is>
          <t>ZİYA İNCE</t>
        </is>
      </c>
      <c r="F701" s="65" t="n"/>
      <c r="G701" s="152" t="n"/>
      <c r="H701" s="152" t="n">
        <v>489</v>
      </c>
      <c r="I701" s="156">
        <f>+I700+(G701-H701)</f>
        <v/>
      </c>
      <c r="J701" s="90" t="n">
        <v>51.9</v>
      </c>
      <c r="K701" s="166" t="n"/>
      <c r="L701" s="158">
        <f>+H701*J701</f>
        <v/>
      </c>
      <c r="M701" s="159">
        <f>SUM(M700+K701-L701)</f>
        <v/>
      </c>
    </row>
    <row r="702">
      <c r="A702" s="151" t="n">
        <v>46083</v>
      </c>
      <c r="B702" s="70" t="n">
        <v>713</v>
      </c>
      <c r="C702" s="115" t="inlineStr">
        <is>
          <t>METİN ERYİĞİT</t>
        </is>
      </c>
      <c r="D702" s="115" t="inlineStr">
        <is>
          <t>34 EGS 013</t>
        </is>
      </c>
      <c r="E702" s="115" t="inlineStr">
        <is>
          <t>UĞUR DUMAN</t>
        </is>
      </c>
      <c r="F702" s="65" t="n"/>
      <c r="G702" s="152" t="n"/>
      <c r="H702" s="152" t="n">
        <v>328</v>
      </c>
      <c r="I702" s="156">
        <f>+I701+(G702-H702)</f>
        <v/>
      </c>
      <c r="J702" s="90" t="n">
        <v>51.9</v>
      </c>
      <c r="K702" s="166" t="n"/>
      <c r="L702" s="158">
        <f>+H702*J702</f>
        <v/>
      </c>
      <c r="M702" s="159">
        <f>SUM(M701+K702-L702)</f>
        <v/>
      </c>
    </row>
    <row r="703">
      <c r="A703" s="151" t="n">
        <v>46083</v>
      </c>
      <c r="B703" s="70" t="n">
        <v>424</v>
      </c>
      <c r="C703" s="115" t="inlineStr">
        <is>
          <t>MEGA</t>
        </is>
      </c>
      <c r="D703" s="115" t="inlineStr">
        <is>
          <t>KAWAZAKİ</t>
        </is>
      </c>
      <c r="E703" s="115" t="inlineStr">
        <is>
          <t>RAMAZAN</t>
        </is>
      </c>
      <c r="F703" s="65" t="n"/>
      <c r="G703" s="152" t="n"/>
      <c r="H703" s="152" t="n">
        <v>287</v>
      </c>
      <c r="I703" s="156">
        <f>+I702+(G703-H703)</f>
        <v/>
      </c>
      <c r="J703" s="90" t="n">
        <v>51.9</v>
      </c>
      <c r="K703" s="166" t="n"/>
      <c r="L703" s="158">
        <f>+H703*J703</f>
        <v/>
      </c>
      <c r="M703" s="159">
        <f>SUM(M702+K703-L703)</f>
        <v/>
      </c>
    </row>
    <row r="704">
      <c r="A704" s="151" t="n">
        <v>46083</v>
      </c>
      <c r="B704" s="70" t="n">
        <v>425</v>
      </c>
      <c r="C704" s="115" t="inlineStr">
        <is>
          <t>MEGA</t>
        </is>
      </c>
      <c r="D704" s="115" t="inlineStr">
        <is>
          <t>34 AZ 2191</t>
        </is>
      </c>
      <c r="E704" s="115" t="inlineStr">
        <is>
          <t>NUMAN KABİL</t>
        </is>
      </c>
      <c r="F704" s="65" t="n"/>
      <c r="G704" s="152" t="n"/>
      <c r="H704" s="152" t="n">
        <v>262</v>
      </c>
      <c r="I704" s="156">
        <f>+I703+(G704-H704)</f>
        <v/>
      </c>
      <c r="J704" s="90" t="n">
        <v>51.9</v>
      </c>
      <c r="K704" s="166" t="n"/>
      <c r="L704" s="158">
        <f>+H704*J704</f>
        <v/>
      </c>
      <c r="M704" s="159">
        <f>SUM(M703+K704-L704)</f>
        <v/>
      </c>
    </row>
    <row r="705">
      <c r="A705" s="151" t="n">
        <v>46083</v>
      </c>
      <c r="B705" s="70" t="n">
        <v>426</v>
      </c>
      <c r="C705" s="115" t="inlineStr">
        <is>
          <t>MEGA</t>
        </is>
      </c>
      <c r="D705" s="115" t="inlineStr">
        <is>
          <t>SM350</t>
        </is>
      </c>
      <c r="E705" s="115" t="inlineStr">
        <is>
          <t>MİKAİL</t>
        </is>
      </c>
      <c r="F705" s="65" t="n"/>
      <c r="G705" s="152" t="n"/>
      <c r="H705" s="152" t="n">
        <v>426</v>
      </c>
      <c r="I705" s="156">
        <f>+I704+(G705-H705)</f>
        <v/>
      </c>
      <c r="J705" s="90" t="n">
        <v>51.9</v>
      </c>
      <c r="K705" s="166" t="n"/>
      <c r="L705" s="158">
        <f>+H705*J705</f>
        <v/>
      </c>
      <c r="M705" s="159">
        <f>SUM(M704+K705-L705)</f>
        <v/>
      </c>
    </row>
    <row r="706">
      <c r="A706" s="151" t="n">
        <v>46083</v>
      </c>
      <c r="B706" s="70" t="n">
        <v>427</v>
      </c>
      <c r="C706" s="115" t="inlineStr">
        <is>
          <t>MEGA</t>
        </is>
      </c>
      <c r="D706" s="115" t="inlineStr">
        <is>
          <t>SM350</t>
        </is>
      </c>
      <c r="E706" s="115" t="inlineStr">
        <is>
          <t>TEVFİK</t>
        </is>
      </c>
      <c r="F706" s="65" t="n"/>
      <c r="G706" s="152" t="n"/>
      <c r="H706" s="152" t="n">
        <v>433</v>
      </c>
      <c r="I706" s="156">
        <f>+I705+(G706-H706)</f>
        <v/>
      </c>
      <c r="J706" s="90" t="n">
        <v>51.9</v>
      </c>
      <c r="K706" s="166" t="n"/>
      <c r="L706" s="158">
        <f>+H706*J706</f>
        <v/>
      </c>
      <c r="M706" s="159">
        <f>SUM(M705+K706-L706)</f>
        <v/>
      </c>
    </row>
    <row r="707">
      <c r="A707" s="151" t="n">
        <v>46083</v>
      </c>
      <c r="B707" s="70" t="n">
        <v>428</v>
      </c>
      <c r="C707" s="115" t="inlineStr">
        <is>
          <t>MEGA</t>
        </is>
      </c>
      <c r="D707" s="115" t="inlineStr">
        <is>
          <t>SM350</t>
        </is>
      </c>
      <c r="E707" s="115" t="inlineStr">
        <is>
          <t>TEKİN</t>
        </is>
      </c>
      <c r="F707" s="65" t="n"/>
      <c r="G707" s="152" t="n"/>
      <c r="H707" s="152" t="n">
        <v>600</v>
      </c>
      <c r="I707" s="156">
        <f>+I706+(G707-H707)</f>
        <v/>
      </c>
      <c r="J707" s="90" t="n">
        <v>51.9</v>
      </c>
      <c r="K707" s="166" t="n"/>
      <c r="L707" s="158">
        <f>+H707*J707</f>
        <v/>
      </c>
      <c r="M707" s="159">
        <f>SUM(M706+K707-L707)</f>
        <v/>
      </c>
    </row>
    <row r="708">
      <c r="A708" s="167" t="n">
        <v>46084</v>
      </c>
      <c r="B708" s="83" t="n">
        <v>414</v>
      </c>
      <c r="C708" s="84" t="inlineStr">
        <is>
          <t>ÜNSOY TURİZM İNŞ.SAN.VE TİC.A.Ş.</t>
        </is>
      </c>
      <c r="D708" s="84" t="n"/>
      <c r="E708" s="84" t="n"/>
      <c r="F708" s="85" t="n"/>
      <c r="G708" s="168" t="n">
        <v>31972</v>
      </c>
      <c r="H708" s="168" t="n"/>
      <c r="I708" s="168">
        <f>+I707+(G708-H708)</f>
        <v/>
      </c>
      <c r="J708" s="87">
        <f>+K708/G708</f>
        <v/>
      </c>
      <c r="K708" s="169" t="n">
        <v>1670537</v>
      </c>
      <c r="L708" s="170">
        <f>+H708*J708</f>
        <v/>
      </c>
      <c r="M708" s="170">
        <f>SUM(M707+K708-L708)</f>
        <v/>
      </c>
    </row>
    <row r="709">
      <c r="A709" s="151" t="n">
        <v>46084</v>
      </c>
      <c r="B709" s="70" t="n">
        <v>3170</v>
      </c>
      <c r="C709" s="115" t="inlineStr">
        <is>
          <t>SELİM İNŞAAT</t>
        </is>
      </c>
      <c r="D709" s="115" t="inlineStr">
        <is>
          <t>34 DTV 599</t>
        </is>
      </c>
      <c r="E709" s="115" t="inlineStr">
        <is>
          <t>HÜSEYİN DENİZ</t>
        </is>
      </c>
      <c r="F709" s="65" t="n">
        <v>474749</v>
      </c>
      <c r="G709" s="152" t="n"/>
      <c r="H709" s="152" t="n">
        <v>528</v>
      </c>
      <c r="I709" s="156">
        <f>+I708+(G709-H709)</f>
        <v/>
      </c>
      <c r="J709" s="90" t="n">
        <v>52.25</v>
      </c>
      <c r="K709" s="166" t="n"/>
      <c r="L709" s="158">
        <f>+H709*J709</f>
        <v/>
      </c>
      <c r="M709" s="159">
        <f>SUM(M708+K709-L709)</f>
        <v/>
      </c>
    </row>
    <row r="710">
      <c r="A710" s="151" t="n">
        <v>46084</v>
      </c>
      <c r="B710" s="70" t="n">
        <v>12</v>
      </c>
      <c r="C710" s="115" t="inlineStr">
        <is>
          <t>SELİM İNŞAAT</t>
        </is>
      </c>
      <c r="D710" s="115" t="inlineStr">
        <is>
          <t xml:space="preserve">34 GVZ 268 </t>
        </is>
      </c>
      <c r="E710" s="115" t="inlineStr">
        <is>
          <t>KERİM KARAMAN</t>
        </is>
      </c>
      <c r="F710" s="65" t="n">
        <v>251627</v>
      </c>
      <c r="G710" s="152" t="n"/>
      <c r="H710" s="152" t="n">
        <v>394</v>
      </c>
      <c r="I710" s="156">
        <f>+I709+(G710-H710)</f>
        <v/>
      </c>
      <c r="J710" s="90" t="n">
        <v>52.25</v>
      </c>
      <c r="K710" s="166" t="n"/>
      <c r="L710" s="158">
        <f>+H710*J710</f>
        <v/>
      </c>
      <c r="M710" s="159">
        <f>SUM(M709+K710-L710)</f>
        <v/>
      </c>
    </row>
    <row r="711">
      <c r="A711" s="151" t="n">
        <v>46084</v>
      </c>
      <c r="B711" s="70" t="n">
        <v>1547</v>
      </c>
      <c r="C711" s="115" t="inlineStr">
        <is>
          <t>SELİM İNŞAAT</t>
        </is>
      </c>
      <c r="D711" s="115" t="inlineStr">
        <is>
          <t>34 GUS 848</t>
        </is>
      </c>
      <c r="E711" s="115" t="inlineStr">
        <is>
          <t>SERDAR BOZKURT</t>
        </is>
      </c>
      <c r="F711" s="65" t="n">
        <v>233416</v>
      </c>
      <c r="G711" s="152" t="n"/>
      <c r="H711" s="152" t="n">
        <v>568</v>
      </c>
      <c r="I711" s="156">
        <f>+I710+(G711-H711)</f>
        <v/>
      </c>
      <c r="J711" s="90" t="n">
        <v>52.25</v>
      </c>
      <c r="K711" s="166" t="n"/>
      <c r="L711" s="158">
        <f>+H711*J711</f>
        <v/>
      </c>
      <c r="M711" s="159">
        <f>SUM(M710+K711-L711)</f>
        <v/>
      </c>
    </row>
    <row r="712">
      <c r="A712" s="151" t="n">
        <v>46084</v>
      </c>
      <c r="B712" s="70" t="n">
        <v>4170</v>
      </c>
      <c r="C712" s="115" t="inlineStr">
        <is>
          <t>SELİM İNŞAAT</t>
        </is>
      </c>
      <c r="D712" s="115" t="inlineStr">
        <is>
          <t>34 FBR 748</t>
        </is>
      </c>
      <c r="E712" s="115" t="inlineStr">
        <is>
          <t>YAŞAR ÖZKAYA</t>
        </is>
      </c>
      <c r="F712" s="65" t="n">
        <v>324777</v>
      </c>
      <c r="G712" s="152" t="n"/>
      <c r="H712" s="152" t="n">
        <v>549</v>
      </c>
      <c r="I712" s="156">
        <f>+I711+(G712-H712)</f>
        <v/>
      </c>
      <c r="J712" s="90" t="n">
        <v>52.25</v>
      </c>
      <c r="K712" s="166" t="n"/>
      <c r="L712" s="158">
        <f>+H712*J712</f>
        <v/>
      </c>
      <c r="M712" s="159">
        <f>SUM(M711+K712-L712)</f>
        <v/>
      </c>
    </row>
    <row r="713">
      <c r="A713" s="151" t="n">
        <v>46084</v>
      </c>
      <c r="B713" s="70" t="n">
        <v>3331</v>
      </c>
      <c r="C713" s="115" t="inlineStr">
        <is>
          <t>SELİM İNŞAAT</t>
        </is>
      </c>
      <c r="D713" s="115" t="inlineStr">
        <is>
          <t>34  GUS 938</t>
        </is>
      </c>
      <c r="E713" s="115" t="inlineStr">
        <is>
          <t>MEHMET KAYA</t>
        </is>
      </c>
      <c r="F713" s="65" t="n">
        <v>247195</v>
      </c>
      <c r="G713" s="152" t="n"/>
      <c r="H713" s="152" t="n">
        <v>477</v>
      </c>
      <c r="I713" s="156">
        <f>+I712+(G713-H713)</f>
        <v/>
      </c>
      <c r="J713" s="90" t="n">
        <v>52.25</v>
      </c>
      <c r="K713" s="166" t="n"/>
      <c r="L713" s="158">
        <f>+H713*J713</f>
        <v/>
      </c>
      <c r="M713" s="159">
        <f>SUM(M712+K713-L713)</f>
        <v/>
      </c>
    </row>
    <row r="714">
      <c r="A714" s="151" t="n">
        <v>46084</v>
      </c>
      <c r="B714" s="70" t="n">
        <v>3488</v>
      </c>
      <c r="C714" s="115" t="inlineStr">
        <is>
          <t>SELİM İNŞAAT</t>
        </is>
      </c>
      <c r="D714" s="115" t="inlineStr">
        <is>
          <t>34 EDB 754</t>
        </is>
      </c>
      <c r="E714" s="115" t="inlineStr">
        <is>
          <t>MUSTAFA KAYA</t>
        </is>
      </c>
      <c r="F714" s="65" t="n">
        <v>372145</v>
      </c>
      <c r="G714" s="152" t="n"/>
      <c r="H714" s="152" t="n">
        <v>502</v>
      </c>
      <c r="I714" s="156">
        <f>+I713+(G714-H714)</f>
        <v/>
      </c>
      <c r="J714" s="90" t="n">
        <v>52.25</v>
      </c>
      <c r="K714" s="166" t="n"/>
      <c r="L714" s="158">
        <f>+H714*J714</f>
        <v/>
      </c>
      <c r="M714" s="159">
        <f>SUM(M713+K714-L714)</f>
        <v/>
      </c>
    </row>
    <row r="715">
      <c r="A715" s="151" t="n">
        <v>46084</v>
      </c>
      <c r="B715" s="70" t="n">
        <v>4116</v>
      </c>
      <c r="C715" s="115" t="inlineStr">
        <is>
          <t>SELİM İNŞAAT</t>
        </is>
      </c>
      <c r="D715" s="115" t="inlineStr">
        <is>
          <t>34 EDB 659</t>
        </is>
      </c>
      <c r="E715" s="115" t="inlineStr">
        <is>
          <t>YASİN ÇATAKLI</t>
        </is>
      </c>
      <c r="F715" s="65" t="n">
        <v>390205</v>
      </c>
      <c r="G715" s="152" t="n"/>
      <c r="H715" s="152" t="n">
        <v>560</v>
      </c>
      <c r="I715" s="156">
        <f>+I714+(G715-H715)</f>
        <v/>
      </c>
      <c r="J715" s="90" t="n">
        <v>52.25</v>
      </c>
      <c r="K715" s="166" t="n"/>
      <c r="L715" s="158">
        <f>+H715*J715</f>
        <v/>
      </c>
      <c r="M715" s="159">
        <f>SUM(M714+K715-L715)</f>
        <v/>
      </c>
    </row>
    <row r="716">
      <c r="A716" s="151" t="n">
        <v>46084</v>
      </c>
      <c r="B716" s="70" t="n">
        <v>3225</v>
      </c>
      <c r="C716" s="115" t="inlineStr">
        <is>
          <t>SELİM İNŞAAT</t>
        </is>
      </c>
      <c r="D716" s="115" t="inlineStr">
        <is>
          <t>34 EGR 736</t>
        </is>
      </c>
      <c r="E716" s="115" t="inlineStr">
        <is>
          <t>HAKAN ÇAVUŞOĞLU</t>
        </is>
      </c>
      <c r="F716" s="65" t="n">
        <v>439460</v>
      </c>
      <c r="G716" s="152" t="n"/>
      <c r="H716" s="152" t="n">
        <v>532</v>
      </c>
      <c r="I716" s="156">
        <f>+I715+(G716-H716)</f>
        <v/>
      </c>
      <c r="J716" s="90" t="n">
        <v>52.25</v>
      </c>
      <c r="K716" s="166" t="n"/>
      <c r="L716" s="158">
        <f>+H716*J716</f>
        <v/>
      </c>
      <c r="M716" s="159">
        <f>SUM(M715+K716-L716)</f>
        <v/>
      </c>
    </row>
    <row r="717">
      <c r="A717" s="151" t="n">
        <v>46084</v>
      </c>
      <c r="B717" s="70" t="n">
        <v>4418</v>
      </c>
      <c r="C717" s="115" t="inlineStr">
        <is>
          <t>SELİM İNŞAAT</t>
        </is>
      </c>
      <c r="D717" s="115" t="inlineStr">
        <is>
          <t>34 DTV 409</t>
        </is>
      </c>
      <c r="E717" s="115" t="inlineStr">
        <is>
          <t>ATA KIZMAZ</t>
        </is>
      </c>
      <c r="F717" s="65" t="n">
        <v>453902</v>
      </c>
      <c r="G717" s="152" t="n"/>
      <c r="H717" s="152" t="n">
        <v>282</v>
      </c>
      <c r="I717" s="156">
        <f>+I716+(G717-H717)</f>
        <v/>
      </c>
      <c r="J717" s="90" t="n">
        <v>52.25</v>
      </c>
      <c r="K717" s="166" t="n"/>
      <c r="L717" s="158">
        <f>+H717*J717</f>
        <v/>
      </c>
      <c r="M717" s="159">
        <f>SUM(M716+K717-L717)</f>
        <v/>
      </c>
    </row>
    <row r="718">
      <c r="A718" s="151" t="n">
        <v>46084</v>
      </c>
      <c r="B718" s="70" t="n">
        <v>4972</v>
      </c>
      <c r="C718" s="115" t="inlineStr">
        <is>
          <t>SELİM İNŞAAT</t>
        </is>
      </c>
      <c r="D718" s="115" t="inlineStr">
        <is>
          <t>34 GVZ 745</t>
        </is>
      </c>
      <c r="E718" s="115" t="inlineStr">
        <is>
          <t>MURAT DEMİRBAĞ</t>
        </is>
      </c>
      <c r="F718" s="65" t="n">
        <v>247465</v>
      </c>
      <c r="G718" s="152" t="n"/>
      <c r="H718" s="152" t="n">
        <v>499</v>
      </c>
      <c r="I718" s="156">
        <f>+I717+(G718-H718)</f>
        <v/>
      </c>
      <c r="J718" s="90" t="n">
        <v>52.25</v>
      </c>
      <c r="K718" s="166" t="n"/>
      <c r="L718" s="158">
        <f>+H718*J718</f>
        <v/>
      </c>
      <c r="M718" s="159">
        <f>SUM(M717+K718-L718)</f>
        <v/>
      </c>
    </row>
    <row r="719">
      <c r="A719" s="151" t="n">
        <v>46084</v>
      </c>
      <c r="B719" s="70" t="n">
        <v>4877</v>
      </c>
      <c r="C719" s="115" t="inlineStr">
        <is>
          <t>SELİM İNŞAAT</t>
        </is>
      </c>
      <c r="D719" s="115" t="inlineStr">
        <is>
          <t>34 FBR 705</t>
        </is>
      </c>
      <c r="E719" s="115" t="inlineStr">
        <is>
          <t>MURAT SARI</t>
        </is>
      </c>
      <c r="F719" s="65" t="n">
        <v>362380</v>
      </c>
      <c r="G719" s="152" t="n"/>
      <c r="H719" s="152" t="n">
        <v>235</v>
      </c>
      <c r="I719" s="156">
        <f>+I718+(G719-H719)</f>
        <v/>
      </c>
      <c r="J719" s="90" t="n">
        <v>52.25</v>
      </c>
      <c r="K719" s="166" t="n"/>
      <c r="L719" s="158">
        <f>+H719*J719</f>
        <v/>
      </c>
      <c r="M719" s="159">
        <f>SUM(M718+K719-L719)</f>
        <v/>
      </c>
    </row>
    <row r="720">
      <c r="A720" s="151" t="n">
        <v>46084</v>
      </c>
      <c r="B720" s="70" t="n">
        <v>3286</v>
      </c>
      <c r="C720" s="115" t="inlineStr">
        <is>
          <t>AZGÜN YAPI</t>
        </is>
      </c>
      <c r="D720" s="115" t="inlineStr">
        <is>
          <t xml:space="preserve">34 DTV 263 </t>
        </is>
      </c>
      <c r="E720" s="115" t="inlineStr">
        <is>
          <t>DURSUN ALİ GÜREK</t>
        </is>
      </c>
      <c r="F720" s="65" t="n"/>
      <c r="G720" s="152" t="n"/>
      <c r="H720" s="152" t="n">
        <v>313</v>
      </c>
      <c r="I720" s="156">
        <f>+I719+(G720-H720)</f>
        <v/>
      </c>
      <c r="J720" s="90" t="n">
        <v>52.25</v>
      </c>
      <c r="K720" s="166" t="n"/>
      <c r="L720" s="158">
        <f>+H720*J720</f>
        <v/>
      </c>
      <c r="M720" s="159">
        <f>SUM(M719+K720-L720)</f>
        <v/>
      </c>
    </row>
    <row r="721">
      <c r="A721" s="151" t="n">
        <v>46084</v>
      </c>
      <c r="B721" s="70" t="n">
        <v>248</v>
      </c>
      <c r="C721" s="115" t="inlineStr">
        <is>
          <t>SELİM İNŞAAT</t>
        </is>
      </c>
      <c r="D721" s="115" t="inlineStr">
        <is>
          <t>34 JGR 15</t>
        </is>
      </c>
      <c r="E721" s="115" t="inlineStr">
        <is>
          <t>ÖNER DÜNDAR</t>
        </is>
      </c>
      <c r="F721" s="65" t="n">
        <v>330674</v>
      </c>
      <c r="G721" s="152" t="n"/>
      <c r="H721" s="152" t="n">
        <v>62</v>
      </c>
      <c r="I721" s="156">
        <f>+I720+(G721-H721)</f>
        <v/>
      </c>
      <c r="J721" s="90" t="n">
        <v>52.25</v>
      </c>
      <c r="K721" s="166" t="n"/>
      <c r="L721" s="158">
        <f>+H721*J721</f>
        <v/>
      </c>
      <c r="M721" s="159">
        <f>SUM(M720+K721-L721)</f>
        <v/>
      </c>
    </row>
    <row r="722">
      <c r="A722" s="151" t="n">
        <v>46084</v>
      </c>
      <c r="B722" s="70" t="n">
        <v>2388</v>
      </c>
      <c r="C722" s="115" t="inlineStr">
        <is>
          <t>SELİM İNŞAAT</t>
        </is>
      </c>
      <c r="D722" s="115" t="inlineStr">
        <is>
          <t>34 FEM 934</t>
        </is>
      </c>
      <c r="E722" s="115" t="inlineStr">
        <is>
          <t>DURSUN ALİ GÜREK</t>
        </is>
      </c>
      <c r="F722" s="65" t="n">
        <v>333386</v>
      </c>
      <c r="G722" s="152" t="n"/>
      <c r="H722" s="152" t="n">
        <v>81</v>
      </c>
      <c r="I722" s="156">
        <f>+I721+(G722-H722)</f>
        <v/>
      </c>
      <c r="J722" s="90" t="n">
        <v>52.25</v>
      </c>
      <c r="K722" s="166" t="n"/>
      <c r="L722" s="158">
        <f>+H722*J722</f>
        <v/>
      </c>
      <c r="M722" s="159">
        <f>SUM(M721+K722-L722)</f>
        <v/>
      </c>
    </row>
    <row r="723">
      <c r="A723" s="151" t="n">
        <v>46084</v>
      </c>
      <c r="B723" s="70" t="n">
        <v>2343</v>
      </c>
      <c r="C723" s="115" t="inlineStr">
        <is>
          <t>SELİM İNŞAAT</t>
        </is>
      </c>
      <c r="D723" s="115" t="inlineStr">
        <is>
          <t>34 DP 4161</t>
        </is>
      </c>
      <c r="E723" s="115" t="inlineStr">
        <is>
          <t>RIFAT KARATAY</t>
        </is>
      </c>
      <c r="F723" s="65" t="n">
        <v>320373</v>
      </c>
      <c r="G723" s="152" t="n"/>
      <c r="H723" s="152" t="n">
        <v>253</v>
      </c>
      <c r="I723" s="156">
        <f>+I722+(G723-H723)</f>
        <v/>
      </c>
      <c r="J723" s="90" t="n">
        <v>52.25</v>
      </c>
      <c r="K723" s="166" t="n"/>
      <c r="L723" s="158">
        <f>+H723*J723</f>
        <v/>
      </c>
      <c r="M723" s="159">
        <f>SUM(M722+K723-L723)</f>
        <v/>
      </c>
    </row>
    <row r="724">
      <c r="A724" s="151" t="n">
        <v>46084</v>
      </c>
      <c r="B724" s="70" t="n">
        <v>616</v>
      </c>
      <c r="C724" s="115" t="inlineStr">
        <is>
          <t>AHMET SELİM TEMHA</t>
        </is>
      </c>
      <c r="D724" s="115" t="inlineStr">
        <is>
          <t>34 PGT 251</t>
        </is>
      </c>
      <c r="E724" s="115" t="inlineStr">
        <is>
          <t>ERSOY SIĞINMAZ</t>
        </is>
      </c>
      <c r="F724" s="65" t="n"/>
      <c r="G724" s="152" t="n"/>
      <c r="H724" s="152" t="n">
        <v>117</v>
      </c>
      <c r="I724" s="156">
        <f>+I723+(G724-H724)</f>
        <v/>
      </c>
      <c r="J724" s="90" t="n">
        <v>52.25</v>
      </c>
      <c r="K724" s="166" t="n"/>
      <c r="L724" s="158">
        <f>+H724*J724</f>
        <v/>
      </c>
      <c r="M724" s="159">
        <f>SUM(M723+K724-L724)</f>
        <v/>
      </c>
    </row>
    <row r="725">
      <c r="A725" s="151" t="n">
        <v>46084</v>
      </c>
      <c r="B725" s="70" t="n">
        <v>617</v>
      </c>
      <c r="C725" s="115" t="inlineStr">
        <is>
          <t>SELİM İNŞAAT</t>
        </is>
      </c>
      <c r="D725" s="115" t="inlineStr">
        <is>
          <t>34 FBU 827</t>
        </is>
      </c>
      <c r="E725" s="115" t="inlineStr">
        <is>
          <t>YILMAZ ÇELEBİ</t>
        </is>
      </c>
      <c r="F725" s="65" t="n"/>
      <c r="G725" s="152" t="n"/>
      <c r="H725" s="152" t="n">
        <v>22</v>
      </c>
      <c r="I725" s="156">
        <f>+I724+(G725-H725)</f>
        <v/>
      </c>
      <c r="J725" s="90" t="n">
        <v>52.25</v>
      </c>
      <c r="K725" s="166" t="n"/>
      <c r="L725" s="158">
        <f>+H725*J725</f>
        <v/>
      </c>
      <c r="M725" s="159">
        <f>SUM(M724+K725-L725)</f>
        <v/>
      </c>
    </row>
    <row r="726">
      <c r="A726" s="151" t="n">
        <v>46084</v>
      </c>
      <c r="B726" s="70" t="n">
        <v>618</v>
      </c>
      <c r="C726" s="115" t="inlineStr">
        <is>
          <t>AHMET SELİM TEMHA</t>
        </is>
      </c>
      <c r="D726" s="115" t="inlineStr">
        <is>
          <t>MANİTO</t>
        </is>
      </c>
      <c r="E726" s="115" t="inlineStr">
        <is>
          <t>TURGAY ÇIPLAK</t>
        </is>
      </c>
      <c r="F726" s="65" t="n"/>
      <c r="G726" s="152" t="n"/>
      <c r="H726" s="152" t="n">
        <v>145</v>
      </c>
      <c r="I726" s="156">
        <f>+I725+(G726-H726)</f>
        <v/>
      </c>
      <c r="J726" s="90" t="n">
        <v>52.25</v>
      </c>
      <c r="K726" s="166" t="n"/>
      <c r="L726" s="158">
        <f>+H726*J726</f>
        <v/>
      </c>
      <c r="M726" s="159">
        <f>SUM(M725+K726-L726)</f>
        <v/>
      </c>
    </row>
    <row r="727">
      <c r="A727" s="151" t="n">
        <v>46084</v>
      </c>
      <c r="B727" s="70" t="n">
        <v>808</v>
      </c>
      <c r="C727" s="115" t="inlineStr">
        <is>
          <t>METİN ERYİĞİT</t>
        </is>
      </c>
      <c r="D727" s="115" t="inlineStr">
        <is>
          <t>34 GBL 998</t>
        </is>
      </c>
      <c r="E727" s="115" t="inlineStr">
        <is>
          <t>ALİ KESKİN</t>
        </is>
      </c>
      <c r="F727" s="65" t="n"/>
      <c r="G727" s="152" t="n"/>
      <c r="H727" s="152" t="n">
        <v>330</v>
      </c>
      <c r="I727" s="156">
        <f>+I726+(G727-H727)</f>
        <v/>
      </c>
      <c r="J727" s="90" t="n">
        <v>52.25</v>
      </c>
      <c r="K727" s="166" t="n"/>
      <c r="L727" s="158">
        <f>+H727*J727</f>
        <v/>
      </c>
      <c r="M727" s="159">
        <f>SUM(M726+K727-L727)</f>
        <v/>
      </c>
    </row>
    <row r="728">
      <c r="A728" s="151" t="n">
        <v>46084</v>
      </c>
      <c r="B728" s="70" t="n">
        <v>429</v>
      </c>
      <c r="C728" s="115" t="inlineStr">
        <is>
          <t>MEGA</t>
        </is>
      </c>
      <c r="D728" s="115" t="inlineStr">
        <is>
          <t>KAWAZAKİ</t>
        </is>
      </c>
      <c r="E728" s="115" t="inlineStr">
        <is>
          <t>RAMAZAN</t>
        </is>
      </c>
      <c r="F728" s="65" t="n"/>
      <c r="G728" s="152" t="n"/>
      <c r="H728" s="152" t="n">
        <v>281</v>
      </c>
      <c r="I728" s="156">
        <f>+I727+(G728-H728)</f>
        <v/>
      </c>
      <c r="J728" s="90" t="n">
        <v>52.25</v>
      </c>
      <c r="K728" s="166" t="n"/>
      <c r="L728" s="158">
        <f>+H728*J728</f>
        <v/>
      </c>
      <c r="M728" s="159">
        <f>SUM(M727+K728-L728)</f>
        <v/>
      </c>
    </row>
    <row r="729">
      <c r="A729" s="151" t="n">
        <v>46084</v>
      </c>
      <c r="B729" s="70" t="n">
        <v>430</v>
      </c>
      <c r="C729" s="115" t="inlineStr">
        <is>
          <t>MEGA</t>
        </is>
      </c>
      <c r="D729" s="115" t="inlineStr">
        <is>
          <t>JCB</t>
        </is>
      </c>
      <c r="E729" s="115" t="inlineStr">
        <is>
          <t>BAYRAM SANCAK</t>
        </is>
      </c>
      <c r="F729" s="65" t="n"/>
      <c r="G729" s="152" t="n"/>
      <c r="H729" s="152" t="n">
        <v>81</v>
      </c>
      <c r="I729" s="156">
        <f>+I728+(G729-H729)</f>
        <v/>
      </c>
      <c r="J729" s="90" t="n">
        <v>52.25</v>
      </c>
      <c r="K729" s="166" t="n"/>
      <c r="L729" s="158">
        <f>+H729*J729</f>
        <v/>
      </c>
      <c r="M729" s="159">
        <f>SUM(M728+K729-L729)</f>
        <v/>
      </c>
    </row>
    <row r="730">
      <c r="A730" s="151" t="n">
        <v>46084</v>
      </c>
      <c r="B730" s="70" t="n">
        <v>431</v>
      </c>
      <c r="C730" s="115" t="inlineStr">
        <is>
          <t>MEGA</t>
        </is>
      </c>
      <c r="D730" s="115" t="inlineStr">
        <is>
          <t>SM350</t>
        </is>
      </c>
      <c r="E730" s="115" t="inlineStr">
        <is>
          <t>EMİRCAN</t>
        </is>
      </c>
      <c r="F730" s="65" t="n"/>
      <c r="G730" s="152" t="n"/>
      <c r="H730" s="152" t="n">
        <v>317</v>
      </c>
      <c r="I730" s="156">
        <f>+I729+(G730-H730)</f>
        <v/>
      </c>
      <c r="J730" s="90" t="n">
        <v>52.25</v>
      </c>
      <c r="K730" s="166" t="n"/>
      <c r="L730" s="158">
        <f>+H730*J730</f>
        <v/>
      </c>
      <c r="M730" s="159">
        <f>SUM(M729+K730-L730)</f>
        <v/>
      </c>
    </row>
    <row r="731">
      <c r="A731" s="151" t="n">
        <v>46084</v>
      </c>
      <c r="B731" s="70" t="n">
        <v>432</v>
      </c>
      <c r="C731" s="115" t="inlineStr">
        <is>
          <t>KOZMO</t>
        </is>
      </c>
      <c r="D731" s="115" t="inlineStr">
        <is>
          <t>SM300</t>
        </is>
      </c>
      <c r="E731" s="115" t="inlineStr">
        <is>
          <t>MEHMET ALİ</t>
        </is>
      </c>
      <c r="F731" s="65" t="n"/>
      <c r="G731" s="152" t="n"/>
      <c r="H731" s="152" t="n">
        <v>394</v>
      </c>
      <c r="I731" s="156">
        <f>+I730+(G731-H731)</f>
        <v/>
      </c>
      <c r="J731" s="90" t="n">
        <v>52.25</v>
      </c>
      <c r="K731" s="166" t="n"/>
      <c r="L731" s="158">
        <f>+H731*J731</f>
        <v/>
      </c>
      <c r="M731" s="159">
        <f>SUM(M730+K731-L731)</f>
        <v/>
      </c>
    </row>
    <row r="732">
      <c r="A732" s="151" t="n">
        <v>46085</v>
      </c>
      <c r="B732" s="70" t="n">
        <v>852</v>
      </c>
      <c r="C732" s="115" t="inlineStr">
        <is>
          <t>SELİM İNŞAAT</t>
        </is>
      </c>
      <c r="D732" s="115" t="inlineStr">
        <is>
          <t>34 EGR 922</t>
        </is>
      </c>
      <c r="E732" s="115" t="inlineStr">
        <is>
          <t>FARUK ÖZEN</t>
        </is>
      </c>
      <c r="F732" s="65" t="n">
        <v>504666</v>
      </c>
      <c r="G732" s="152" t="n"/>
      <c r="H732" s="152" t="n">
        <v>552</v>
      </c>
      <c r="I732" s="156">
        <f>+I731+(G732-H732)</f>
        <v/>
      </c>
      <c r="J732" s="90" t="n">
        <v>52.25</v>
      </c>
      <c r="K732" s="166" t="n"/>
      <c r="L732" s="158">
        <f>+H732*J732</f>
        <v/>
      </c>
      <c r="M732" s="159">
        <f>SUM(M731+K732-L732)</f>
        <v/>
      </c>
    </row>
    <row r="733">
      <c r="A733" s="151" t="n">
        <v>46085</v>
      </c>
      <c r="B733" s="70" t="n">
        <v>4768</v>
      </c>
      <c r="C733" s="115" t="inlineStr">
        <is>
          <t>SELİM İNŞAAT</t>
        </is>
      </c>
      <c r="D733" s="115" t="inlineStr">
        <is>
          <t>34 DGP 137</t>
        </is>
      </c>
      <c r="E733" s="115" t="inlineStr">
        <is>
          <t>YASİN ÇATAKLI</t>
        </is>
      </c>
      <c r="F733" s="65" t="n">
        <v>475293</v>
      </c>
      <c r="G733" s="152" t="n"/>
      <c r="H733" s="152" t="n">
        <v>560</v>
      </c>
      <c r="I733" s="156">
        <f>+I732+(G733-H733)</f>
        <v/>
      </c>
      <c r="J733" s="90" t="n">
        <v>52.25</v>
      </c>
      <c r="K733" s="166" t="n"/>
      <c r="L733" s="158">
        <f>+H733*J733</f>
        <v/>
      </c>
      <c r="M733" s="159">
        <f>SUM(M732+K733-L733)</f>
        <v/>
      </c>
    </row>
    <row r="734">
      <c r="A734" s="151" t="n">
        <v>46085</v>
      </c>
      <c r="B734" s="70" t="n">
        <v>3429</v>
      </c>
      <c r="C734" s="115" t="inlineStr">
        <is>
          <t>SELİM İNŞAAT</t>
        </is>
      </c>
      <c r="D734" s="115" t="inlineStr">
        <is>
          <t>34 GVZ 310</t>
        </is>
      </c>
      <c r="E734" s="115" t="inlineStr">
        <is>
          <t>CELAL YÜZBAŞI</t>
        </is>
      </c>
      <c r="F734" s="65" t="n">
        <v>248068</v>
      </c>
      <c r="G734" s="152" t="n"/>
      <c r="H734" s="152" t="n">
        <v>485</v>
      </c>
      <c r="I734" s="156">
        <f>+I733+(G734-H734)</f>
        <v/>
      </c>
      <c r="J734" s="90" t="n">
        <v>52.25</v>
      </c>
      <c r="K734" s="166" t="n"/>
      <c r="L734" s="158">
        <f>+H734*J734</f>
        <v/>
      </c>
      <c r="M734" s="159">
        <f>SUM(M733+K734-L734)</f>
        <v/>
      </c>
    </row>
    <row r="735">
      <c r="A735" s="151" t="n">
        <v>46085</v>
      </c>
      <c r="B735" s="70" t="n">
        <v>3489</v>
      </c>
      <c r="C735" s="115" t="inlineStr">
        <is>
          <t>SELİM İNŞAAT</t>
        </is>
      </c>
      <c r="D735" s="115" t="inlineStr">
        <is>
          <t>34 EDB 754</t>
        </is>
      </c>
      <c r="E735" s="115" t="inlineStr">
        <is>
          <t>MUSTAFA KAYA</t>
        </is>
      </c>
      <c r="F735" s="65" t="n">
        <v>372804</v>
      </c>
      <c r="G735" s="152" t="n"/>
      <c r="H735" s="152" t="n">
        <v>466</v>
      </c>
      <c r="I735" s="156">
        <f>+I734+(G735-H735)</f>
        <v/>
      </c>
      <c r="J735" s="90" t="n">
        <v>52.25</v>
      </c>
      <c r="K735" s="166" t="n"/>
      <c r="L735" s="158">
        <f>+H735*J735</f>
        <v/>
      </c>
      <c r="M735" s="159">
        <f>SUM(M734+K735-L735)</f>
        <v/>
      </c>
    </row>
    <row r="736">
      <c r="A736" s="151" t="n">
        <v>46085</v>
      </c>
      <c r="B736" s="70" t="n">
        <v>908</v>
      </c>
      <c r="C736" s="115" t="inlineStr">
        <is>
          <t>SELİM İNŞAAT</t>
        </is>
      </c>
      <c r="D736" s="115" t="inlineStr">
        <is>
          <t>34 FSG 229</t>
        </is>
      </c>
      <c r="E736" s="115" t="inlineStr">
        <is>
          <t>SİNAN TANRIVERDİ</t>
        </is>
      </c>
      <c r="F736" s="65" t="n">
        <v>301271</v>
      </c>
      <c r="G736" s="152" t="n"/>
      <c r="H736" s="152" t="n">
        <v>446</v>
      </c>
      <c r="I736" s="156">
        <f>+I735+(G736-H736)</f>
        <v/>
      </c>
      <c r="J736" s="90" t="n">
        <v>52.25</v>
      </c>
      <c r="K736" s="166" t="n"/>
      <c r="L736" s="158">
        <f>+H736*J736</f>
        <v/>
      </c>
      <c r="M736" s="159">
        <f>SUM(M735+K736-L736)</f>
        <v/>
      </c>
    </row>
    <row r="737">
      <c r="A737" s="151" t="n">
        <v>46085</v>
      </c>
      <c r="B737" s="70" t="n">
        <v>515</v>
      </c>
      <c r="C737" s="115" t="inlineStr">
        <is>
          <t>SELİM İNŞAAT</t>
        </is>
      </c>
      <c r="D737" s="115" t="inlineStr">
        <is>
          <t>34 EGR 737</t>
        </is>
      </c>
      <c r="E737" s="115" t="inlineStr">
        <is>
          <t>CEM MUHTAR</t>
        </is>
      </c>
      <c r="F737" s="65" t="n">
        <v>461594</v>
      </c>
      <c r="G737" s="152" t="n"/>
      <c r="H737" s="152" t="n">
        <v>502</v>
      </c>
      <c r="I737" s="156">
        <f>+I736+(G737-H737)</f>
        <v/>
      </c>
      <c r="J737" s="90" t="n">
        <v>52.25</v>
      </c>
      <c r="K737" s="166" t="n"/>
      <c r="L737" s="158">
        <f>+H737*J737</f>
        <v/>
      </c>
      <c r="M737" s="159">
        <f>SUM(M736+K737-L737)</f>
        <v/>
      </c>
    </row>
    <row r="738">
      <c r="A738" s="151" t="n">
        <v>46085</v>
      </c>
      <c r="B738" s="70" t="n">
        <v>3046</v>
      </c>
      <c r="C738" s="115" t="inlineStr">
        <is>
          <t>SELİM İNŞAAT</t>
        </is>
      </c>
      <c r="D738" s="115" t="inlineStr">
        <is>
          <t>34 FBR 781</t>
        </is>
      </c>
      <c r="E738" s="115" t="inlineStr">
        <is>
          <t>MEVLÜT POLAT</t>
        </is>
      </c>
      <c r="F738" s="65" t="n">
        <v>363692</v>
      </c>
      <c r="G738" s="152" t="n"/>
      <c r="H738" s="152" t="n">
        <v>506</v>
      </c>
      <c r="I738" s="156">
        <f>+I737+(G738-H738)</f>
        <v/>
      </c>
      <c r="J738" s="90" t="n">
        <v>52.25</v>
      </c>
      <c r="K738" s="166" t="n"/>
      <c r="L738" s="158">
        <f>+H738*J738</f>
        <v/>
      </c>
      <c r="M738" s="159">
        <f>SUM(M737+K738-L738)</f>
        <v/>
      </c>
    </row>
    <row r="739">
      <c r="A739" s="151" t="n">
        <v>46085</v>
      </c>
      <c r="B739" s="70" t="n">
        <v>4514</v>
      </c>
      <c r="C739" s="115" t="inlineStr">
        <is>
          <t>SELİM İNŞAAT</t>
        </is>
      </c>
      <c r="D739" s="115" t="inlineStr">
        <is>
          <t>34 DTV 352</t>
        </is>
      </c>
      <c r="E739" s="115" t="inlineStr">
        <is>
          <t>AZİZ ORUÇ</t>
        </is>
      </c>
      <c r="F739" s="65" t="n">
        <v>476284</v>
      </c>
      <c r="G739" s="152" t="n"/>
      <c r="H739" s="152" t="n">
        <v>263</v>
      </c>
      <c r="I739" s="156">
        <f>+I738+(G739-H739)</f>
        <v/>
      </c>
      <c r="J739" s="90" t="n">
        <v>52.25</v>
      </c>
      <c r="K739" s="166" t="n"/>
      <c r="L739" s="158">
        <f>+H739*J739</f>
        <v/>
      </c>
      <c r="M739" s="159">
        <f>SUM(M738+K739-L739)</f>
        <v/>
      </c>
    </row>
    <row r="740">
      <c r="A740" s="151" t="n">
        <v>46085</v>
      </c>
      <c r="B740" s="70" t="n">
        <v>150</v>
      </c>
      <c r="C740" s="115" t="inlineStr">
        <is>
          <t>SELİM İNŞAAT</t>
        </is>
      </c>
      <c r="D740" s="115" t="inlineStr">
        <is>
          <t>34 FBR 771</t>
        </is>
      </c>
      <c r="E740" s="115" t="inlineStr">
        <is>
          <t>SALİH YALÇIN</t>
        </is>
      </c>
      <c r="F740" s="65" t="n">
        <v>350222</v>
      </c>
      <c r="G740" s="152" t="n"/>
      <c r="H740" s="152" t="n">
        <v>453</v>
      </c>
      <c r="I740" s="156">
        <f>+I739+(G740-H740)</f>
        <v/>
      </c>
      <c r="J740" s="90" t="n">
        <v>52.25</v>
      </c>
      <c r="K740" s="166" t="n"/>
      <c r="L740" s="158">
        <f>+H740*J740</f>
        <v/>
      </c>
      <c r="M740" s="159">
        <f>SUM(M739+K740-L740)</f>
        <v/>
      </c>
    </row>
    <row r="741">
      <c r="A741" s="151" t="n">
        <v>46085</v>
      </c>
      <c r="B741" s="70" t="n">
        <v>3391</v>
      </c>
      <c r="C741" s="115" t="inlineStr">
        <is>
          <t>SELİM İNŞAAT</t>
        </is>
      </c>
      <c r="D741" s="115" t="inlineStr">
        <is>
          <t>34 EDC 162</t>
        </is>
      </c>
      <c r="E741" s="115" t="inlineStr">
        <is>
          <t>YAKUP GÜNER</t>
        </is>
      </c>
      <c r="F741" s="65" t="n">
        <v>416090</v>
      </c>
      <c r="G741" s="152" t="n"/>
      <c r="H741" s="152" t="n">
        <v>486</v>
      </c>
      <c r="I741" s="156">
        <f>+I740+(G741-H741)</f>
        <v/>
      </c>
      <c r="J741" s="90" t="n">
        <v>52.25</v>
      </c>
      <c r="K741" s="166" t="n"/>
      <c r="L741" s="158">
        <f>+H741*J741</f>
        <v/>
      </c>
      <c r="M741" s="159">
        <f>SUM(M740+K741-L741)</f>
        <v/>
      </c>
    </row>
    <row r="742">
      <c r="A742" s="151" t="n">
        <v>46085</v>
      </c>
      <c r="B742" s="70" t="n">
        <v>2543</v>
      </c>
      <c r="C742" s="115" t="inlineStr">
        <is>
          <t>AZGÜN YAPI</t>
        </is>
      </c>
      <c r="D742" s="115" t="inlineStr">
        <is>
          <t>34 MKT 593</t>
        </is>
      </c>
      <c r="E742" s="115" t="inlineStr">
        <is>
          <t>TURGUT ÇATAL</t>
        </is>
      </c>
      <c r="F742" s="65" t="n"/>
      <c r="G742" s="152" t="n"/>
      <c r="H742" s="152" t="n">
        <v>394</v>
      </c>
      <c r="I742" s="156">
        <f>+I741+(G742-H742)</f>
        <v/>
      </c>
      <c r="J742" s="90" t="n">
        <v>52.25</v>
      </c>
      <c r="K742" s="166" t="n"/>
      <c r="L742" s="158">
        <f>+H742*J742</f>
        <v/>
      </c>
      <c r="M742" s="159">
        <f>SUM(M741+K742-L742)</f>
        <v/>
      </c>
    </row>
    <row r="743">
      <c r="A743" s="151" t="n">
        <v>46085</v>
      </c>
      <c r="B743" s="70" t="n">
        <v>1632</v>
      </c>
      <c r="C743" s="115" t="inlineStr">
        <is>
          <t>SELİM İNŞAAT</t>
        </is>
      </c>
      <c r="D743" s="115" t="inlineStr">
        <is>
          <t>34 VF 2260</t>
        </is>
      </c>
      <c r="E743" s="115" t="inlineStr">
        <is>
          <t>RECEP SELİM</t>
        </is>
      </c>
      <c r="F743" s="65" t="n">
        <v>202393</v>
      </c>
      <c r="G743" s="152" t="n"/>
      <c r="H743" s="152" t="n">
        <v>64</v>
      </c>
      <c r="I743" s="156">
        <f>+I742+(G743-H743)</f>
        <v/>
      </c>
      <c r="J743" s="90" t="n">
        <v>52.25</v>
      </c>
      <c r="K743" s="166" t="n"/>
      <c r="L743" s="158">
        <f>+H743*J743</f>
        <v/>
      </c>
      <c r="M743" s="159">
        <f>SUM(M742+K743-L743)</f>
        <v/>
      </c>
    </row>
    <row r="744">
      <c r="A744" s="151" t="n">
        <v>46085</v>
      </c>
      <c r="B744" s="70" t="n">
        <v>4017</v>
      </c>
      <c r="C744" s="115" t="inlineStr">
        <is>
          <t>SELİM İNŞAAT</t>
        </is>
      </c>
      <c r="D744" s="115" t="inlineStr">
        <is>
          <t>34 AR 7743</t>
        </is>
      </c>
      <c r="E744" s="115" t="inlineStr">
        <is>
          <t>MEHMET SELİM</t>
        </is>
      </c>
      <c r="F744" s="65" t="n">
        <v>374116</v>
      </c>
      <c r="G744" s="152" t="n"/>
      <c r="H744" s="152" t="n">
        <v>46</v>
      </c>
      <c r="I744" s="156">
        <f>+I743+(G744-H744)</f>
        <v/>
      </c>
      <c r="J744" s="90" t="n">
        <v>52.25</v>
      </c>
      <c r="K744" s="166" t="n"/>
      <c r="L744" s="158">
        <f>+H744*J744</f>
        <v/>
      </c>
      <c r="M744" s="159">
        <f>SUM(M743+K744-L744)</f>
        <v/>
      </c>
    </row>
    <row r="745">
      <c r="A745" s="151" t="n">
        <v>46085</v>
      </c>
      <c r="B745" s="70" t="n">
        <v>4464</v>
      </c>
      <c r="C745" s="115" t="inlineStr">
        <is>
          <t>SELİM İNŞAAT</t>
        </is>
      </c>
      <c r="D745" s="115" t="inlineStr">
        <is>
          <t>34 DKL 798</t>
        </is>
      </c>
      <c r="E745" s="115" t="inlineStr">
        <is>
          <t>HASAN BAYCA</t>
        </is>
      </c>
      <c r="F745" s="65" t="n">
        <v>81000</v>
      </c>
      <c r="G745" s="152" t="n"/>
      <c r="H745" s="152" t="n">
        <v>490</v>
      </c>
      <c r="I745" s="156">
        <f>+I744+(G745-H745)</f>
        <v/>
      </c>
      <c r="J745" s="90" t="n">
        <v>52.25</v>
      </c>
      <c r="K745" s="166" t="n"/>
      <c r="L745" s="158">
        <f>+H745*J745</f>
        <v/>
      </c>
      <c r="M745" s="159">
        <f>SUM(M744+K745-L745)</f>
        <v/>
      </c>
    </row>
    <row r="746">
      <c r="A746" s="151" t="n">
        <v>46085</v>
      </c>
      <c r="B746" s="70" t="n">
        <v>2980</v>
      </c>
      <c r="C746" s="115" t="inlineStr">
        <is>
          <t>SELİM İNŞAAT</t>
        </is>
      </c>
      <c r="D746" s="115" t="inlineStr">
        <is>
          <t>34 DFE 454</t>
        </is>
      </c>
      <c r="E746" s="115" t="inlineStr">
        <is>
          <t>HÜSEYİN ALIN</t>
        </is>
      </c>
      <c r="F746" s="65" t="n">
        <v>174602</v>
      </c>
      <c r="G746" s="152" t="n"/>
      <c r="H746" s="152" t="n">
        <v>374</v>
      </c>
      <c r="I746" s="156">
        <f>+I745+(G746-H746)</f>
        <v/>
      </c>
      <c r="J746" s="90" t="n">
        <v>52.25</v>
      </c>
      <c r="K746" s="166" t="n"/>
      <c r="L746" s="158">
        <f>+H746*J746</f>
        <v/>
      </c>
      <c r="M746" s="159">
        <f>SUM(M745+K746-L746)</f>
        <v/>
      </c>
    </row>
    <row r="747">
      <c r="A747" s="151" t="n">
        <v>46085</v>
      </c>
      <c r="B747" s="70" t="n">
        <v>303</v>
      </c>
      <c r="C747" s="115" t="inlineStr">
        <is>
          <t>SELİM İNŞAAT</t>
        </is>
      </c>
      <c r="D747" s="115" t="inlineStr">
        <is>
          <t>34 GER 445</t>
        </is>
      </c>
      <c r="E747" s="115" t="inlineStr">
        <is>
          <t>MUSTAFA ERYİĞİT</t>
        </is>
      </c>
      <c r="F747" s="65" t="n">
        <v>57588</v>
      </c>
      <c r="G747" s="152" t="n"/>
      <c r="H747" s="152" t="n">
        <v>398</v>
      </c>
      <c r="I747" s="156">
        <f>+I746+(G747-H747)</f>
        <v/>
      </c>
      <c r="J747" s="90" t="n">
        <v>52.25</v>
      </c>
      <c r="K747" s="166" t="n"/>
      <c r="L747" s="158">
        <f>+H747*J747</f>
        <v/>
      </c>
      <c r="M747" s="159">
        <f>SUM(M746+K747-L747)</f>
        <v/>
      </c>
    </row>
    <row r="748">
      <c r="A748" s="151" t="n">
        <v>46085</v>
      </c>
      <c r="B748" s="70" t="n">
        <v>3727</v>
      </c>
      <c r="C748" s="115" t="inlineStr">
        <is>
          <t>SELİM İNŞAAT</t>
        </is>
      </c>
      <c r="D748" s="115" t="inlineStr">
        <is>
          <t>34 DKL 866</t>
        </is>
      </c>
      <c r="E748" s="115" t="inlineStr">
        <is>
          <t>SELİMCAN ÖNVER</t>
        </is>
      </c>
      <c r="F748" s="65" t="n">
        <v>82231</v>
      </c>
      <c r="G748" s="152" t="n"/>
      <c r="H748" s="152" t="n">
        <v>335</v>
      </c>
      <c r="I748" s="156">
        <f>+I747+(G748-H748)</f>
        <v/>
      </c>
      <c r="J748" s="90" t="n">
        <v>52.25</v>
      </c>
      <c r="K748" s="166" t="n"/>
      <c r="L748" s="158">
        <f>+H748*J748</f>
        <v/>
      </c>
      <c r="M748" s="159">
        <f>SUM(M747+K748-L748)</f>
        <v/>
      </c>
    </row>
    <row r="749">
      <c r="A749" s="151" t="n">
        <v>46085</v>
      </c>
      <c r="B749" s="70" t="n">
        <v>753</v>
      </c>
      <c r="C749" s="115" t="inlineStr">
        <is>
          <t>METİN ERYİĞİT</t>
        </is>
      </c>
      <c r="D749" s="115" t="inlineStr">
        <is>
          <t>34 EGR 814</t>
        </is>
      </c>
      <c r="E749" s="115" t="inlineStr">
        <is>
          <t>ZİYA İNCE</t>
        </is>
      </c>
      <c r="F749" s="65" t="n"/>
      <c r="G749" s="152" t="n"/>
      <c r="H749" s="152" t="n">
        <v>419</v>
      </c>
      <c r="I749" s="156">
        <f>+I748+(G749-H749)</f>
        <v/>
      </c>
      <c r="J749" s="90" t="n">
        <v>52.25</v>
      </c>
      <c r="K749" s="166" t="n"/>
      <c r="L749" s="158">
        <f>+H749*J749</f>
        <v/>
      </c>
      <c r="M749" s="159">
        <f>SUM(M748+K749-L749)</f>
        <v/>
      </c>
    </row>
    <row r="750">
      <c r="A750" s="151" t="n">
        <v>46085</v>
      </c>
      <c r="B750" s="70" t="n">
        <v>433</v>
      </c>
      <c r="C750" s="115" t="inlineStr">
        <is>
          <t>MEGA</t>
        </is>
      </c>
      <c r="D750" s="115" t="inlineStr">
        <is>
          <t>SİLİNDİR</t>
        </is>
      </c>
      <c r="E750" s="115" t="inlineStr">
        <is>
          <t>ÖNER</t>
        </is>
      </c>
      <c r="F750" s="65" t="n"/>
      <c r="G750" s="152" t="n"/>
      <c r="H750" s="152" t="n">
        <v>259</v>
      </c>
      <c r="I750" s="156">
        <f>+I749+(G750-H750)</f>
        <v/>
      </c>
      <c r="J750" s="90" t="n">
        <v>52.25</v>
      </c>
      <c r="K750" s="166" t="n"/>
      <c r="L750" s="158">
        <f>+H750*J750</f>
        <v/>
      </c>
      <c r="M750" s="159">
        <f>SUM(M749+K750-L750)</f>
        <v/>
      </c>
    </row>
    <row r="751">
      <c r="A751" s="151" t="n">
        <v>46085</v>
      </c>
      <c r="B751" s="70" t="n">
        <v>434</v>
      </c>
      <c r="C751" s="115" t="inlineStr">
        <is>
          <t>VARLIK</t>
        </is>
      </c>
      <c r="D751" s="115" t="inlineStr">
        <is>
          <t>FORKLİFT</t>
        </is>
      </c>
      <c r="E751" s="115" t="inlineStr">
        <is>
          <t>FAHRİ</t>
        </is>
      </c>
      <c r="F751" s="65" t="n"/>
      <c r="G751" s="152" t="n"/>
      <c r="H751" s="152" t="n">
        <v>60</v>
      </c>
      <c r="I751" s="156">
        <f>+I750+(G751-H751)</f>
        <v/>
      </c>
      <c r="J751" s="90" t="n">
        <v>52.25</v>
      </c>
      <c r="K751" s="166" t="n"/>
      <c r="L751" s="158">
        <f>+H751*J751</f>
        <v/>
      </c>
      <c r="M751" s="159">
        <f>SUM(M750+K751-L751)</f>
        <v/>
      </c>
    </row>
    <row r="752">
      <c r="A752" s="151" t="n">
        <v>46085</v>
      </c>
      <c r="B752" s="70" t="n">
        <v>435</v>
      </c>
      <c r="C752" s="115" t="inlineStr">
        <is>
          <t>EVKUR</t>
        </is>
      </c>
      <c r="D752" s="115" t="inlineStr">
        <is>
          <t>KİRALIK KATO</t>
        </is>
      </c>
      <c r="E752" s="115" t="inlineStr">
        <is>
          <t>GÜNEŞ</t>
        </is>
      </c>
      <c r="F752" s="65" t="n"/>
      <c r="G752" s="152" t="n"/>
      <c r="H752" s="152" t="n">
        <v>105</v>
      </c>
      <c r="I752" s="156">
        <f>+I751+(G752-H752)</f>
        <v/>
      </c>
      <c r="J752" s="90" t="n">
        <v>52.25</v>
      </c>
      <c r="K752" s="166" t="n"/>
      <c r="L752" s="158">
        <f>+H752*J752</f>
        <v/>
      </c>
      <c r="M752" s="159">
        <f>SUM(M751+K752-L752)</f>
        <v/>
      </c>
    </row>
    <row r="753">
      <c r="A753" s="151" t="n">
        <v>46085</v>
      </c>
      <c r="B753" s="70" t="n">
        <v>436</v>
      </c>
      <c r="C753" s="115" t="inlineStr">
        <is>
          <t>VARLIK</t>
        </is>
      </c>
      <c r="D753" s="115" t="inlineStr">
        <is>
          <t>HİTACHİ</t>
        </is>
      </c>
      <c r="E753" s="115" t="inlineStr">
        <is>
          <t>TURGUT</t>
        </is>
      </c>
      <c r="F753" s="65" t="n"/>
      <c r="G753" s="152" t="n"/>
      <c r="H753" s="152" t="n">
        <v>513</v>
      </c>
      <c r="I753" s="156">
        <f>+I752+(G753-H753)</f>
        <v/>
      </c>
      <c r="J753" s="90" t="n">
        <v>52.25</v>
      </c>
      <c r="K753" s="166" t="n"/>
      <c r="L753" s="158">
        <f>+H753*J753</f>
        <v/>
      </c>
      <c r="M753" s="159">
        <f>SUM(M752+K753-L753)</f>
        <v/>
      </c>
    </row>
    <row r="754">
      <c r="A754" s="151" t="n">
        <v>46085</v>
      </c>
      <c r="B754" s="70" t="n">
        <v>437</v>
      </c>
      <c r="C754" s="115" t="inlineStr">
        <is>
          <t>CEVİZ</t>
        </is>
      </c>
      <c r="D754" s="115" t="inlineStr">
        <is>
          <t>FORKLİFT</t>
        </is>
      </c>
      <c r="E754" s="115" t="inlineStr">
        <is>
          <t>CEMAL AKYOL</t>
        </is>
      </c>
      <c r="F754" s="65" t="n"/>
      <c r="G754" s="152" t="n"/>
      <c r="H754" s="152" t="n">
        <v>31</v>
      </c>
      <c r="I754" s="156">
        <f>+I753+(G754-H754)</f>
        <v/>
      </c>
      <c r="J754" s="90" t="n">
        <v>52.25</v>
      </c>
      <c r="K754" s="166" t="n"/>
      <c r="L754" s="158">
        <f>+H754*J754</f>
        <v/>
      </c>
      <c r="M754" s="159">
        <f>SUM(M753+K754-L754)</f>
        <v/>
      </c>
    </row>
    <row r="755">
      <c r="A755" s="151" t="n">
        <v>46085</v>
      </c>
      <c r="B755" s="70" t="n">
        <v>438</v>
      </c>
      <c r="C755" s="115" t="inlineStr">
        <is>
          <t>MEGA</t>
        </is>
      </c>
      <c r="D755" s="115" t="inlineStr">
        <is>
          <t>KAWAZAKİ</t>
        </is>
      </c>
      <c r="E755" s="115" t="inlineStr">
        <is>
          <t>RAMAZAN</t>
        </is>
      </c>
      <c r="F755" s="65" t="n"/>
      <c r="G755" s="152" t="n"/>
      <c r="H755" s="152" t="n">
        <v>224</v>
      </c>
      <c r="I755" s="156">
        <f>+I754+(G755-H755)</f>
        <v/>
      </c>
      <c r="J755" s="90" t="n">
        <v>52.25</v>
      </c>
      <c r="K755" s="166" t="n"/>
      <c r="L755" s="158">
        <f>+H755*J755</f>
        <v/>
      </c>
      <c r="M755" s="159">
        <f>SUM(M754+K755-L755)</f>
        <v/>
      </c>
    </row>
    <row r="756">
      <c r="A756" s="151" t="n">
        <v>46085</v>
      </c>
      <c r="B756" s="70" t="n">
        <v>439</v>
      </c>
      <c r="C756" s="115" t="inlineStr">
        <is>
          <t>MEGA</t>
        </is>
      </c>
      <c r="D756" s="115" t="inlineStr">
        <is>
          <t>SM350</t>
        </is>
      </c>
      <c r="E756" s="115" t="inlineStr">
        <is>
          <t>TEVFİK</t>
        </is>
      </c>
      <c r="F756" s="65" t="n"/>
      <c r="G756" s="152" t="n"/>
      <c r="H756" s="152" t="n">
        <v>348</v>
      </c>
      <c r="I756" s="156">
        <f>+I755+(G756-H756)</f>
        <v/>
      </c>
      <c r="J756" s="90" t="n">
        <v>52.25</v>
      </c>
      <c r="K756" s="166" t="n"/>
      <c r="L756" s="158">
        <f>+H756*J756</f>
        <v/>
      </c>
      <c r="M756" s="159">
        <f>SUM(M755+K756-L756)</f>
        <v/>
      </c>
    </row>
    <row r="757">
      <c r="A757" s="151" t="n">
        <v>46085</v>
      </c>
      <c r="B757" s="70" t="n">
        <v>440</v>
      </c>
      <c r="C757" s="115" t="inlineStr">
        <is>
          <t>MEGA</t>
        </is>
      </c>
      <c r="D757" s="115" t="inlineStr">
        <is>
          <t>SM370</t>
        </is>
      </c>
      <c r="E757" s="115" t="inlineStr">
        <is>
          <t>TEKİN</t>
        </is>
      </c>
      <c r="F757" s="65" t="n"/>
      <c r="G757" s="152" t="n"/>
      <c r="H757" s="152" t="n">
        <v>577</v>
      </c>
      <c r="I757" s="156">
        <f>+I756+(G757-H757)</f>
        <v/>
      </c>
      <c r="J757" s="90" t="n">
        <v>52.25</v>
      </c>
      <c r="K757" s="166" t="n"/>
      <c r="L757" s="158">
        <f>+H757*J757</f>
        <v/>
      </c>
      <c r="M757" s="159">
        <f>SUM(M756+K757-L757)</f>
        <v/>
      </c>
    </row>
    <row r="758">
      <c r="A758" s="151" t="n">
        <v>46085</v>
      </c>
      <c r="B758" s="70" t="n">
        <v>441</v>
      </c>
      <c r="C758" s="115" t="inlineStr">
        <is>
          <t>MEGA</t>
        </is>
      </c>
      <c r="D758" s="115" t="inlineStr">
        <is>
          <t>SM350</t>
        </is>
      </c>
      <c r="E758" s="115" t="inlineStr">
        <is>
          <t>MİKAİL</t>
        </is>
      </c>
      <c r="F758" s="65" t="n"/>
      <c r="G758" s="152" t="n"/>
      <c r="H758" s="152" t="n">
        <v>482</v>
      </c>
      <c r="I758" s="156">
        <f>+I757+(G758-H758)</f>
        <v/>
      </c>
      <c r="J758" s="90" t="n">
        <v>52.25</v>
      </c>
      <c r="K758" s="166" t="n"/>
      <c r="L758" s="158">
        <f>+H758*J758</f>
        <v/>
      </c>
      <c r="M758" s="159">
        <f>SUM(M757+K758-L758)</f>
        <v/>
      </c>
    </row>
    <row r="759">
      <c r="A759" s="151" t="n">
        <v>46086</v>
      </c>
      <c r="B759" s="70" t="n">
        <v>13</v>
      </c>
      <c r="C759" s="115" t="inlineStr">
        <is>
          <t>SELİM İNŞAAT</t>
        </is>
      </c>
      <c r="D759" s="115" t="inlineStr">
        <is>
          <t xml:space="preserve">34 GVZ 268 </t>
        </is>
      </c>
      <c r="E759" s="115" t="inlineStr">
        <is>
          <t>KERİM KARAMAN</t>
        </is>
      </c>
      <c r="F759" s="65" t="n">
        <v>252340</v>
      </c>
      <c r="G759" s="152" t="n"/>
      <c r="H759" s="152" t="n">
        <v>484</v>
      </c>
      <c r="I759" s="156">
        <f>+I758+(G759-H759)</f>
        <v/>
      </c>
      <c r="J759" s="90" t="n">
        <v>52.25</v>
      </c>
      <c r="K759" s="166" t="n"/>
      <c r="L759" s="158">
        <f>+H759*J759</f>
        <v/>
      </c>
      <c r="M759" s="159">
        <f>SUM(M758+K759-L759)</f>
        <v/>
      </c>
    </row>
    <row r="760">
      <c r="A760" s="151" t="n">
        <v>46086</v>
      </c>
      <c r="B760" s="70" t="n">
        <v>2300</v>
      </c>
      <c r="C760" s="115" t="inlineStr">
        <is>
          <t>SELİM İNŞAAT</t>
        </is>
      </c>
      <c r="D760" s="115" t="inlineStr">
        <is>
          <t>34 DSN 636</t>
        </is>
      </c>
      <c r="E760" s="115" t="inlineStr">
        <is>
          <t>SEZGİN KOCAGİL</t>
        </is>
      </c>
      <c r="F760" s="65" t="n">
        <v>433720</v>
      </c>
      <c r="G760" s="152" t="n"/>
      <c r="H760" s="152" t="n">
        <v>415</v>
      </c>
      <c r="I760" s="156">
        <f>+I759+(G760-H760)</f>
        <v/>
      </c>
      <c r="J760" s="90" t="n">
        <v>52.25</v>
      </c>
      <c r="K760" s="166" t="n"/>
      <c r="L760" s="158">
        <f>+H760*J760</f>
        <v/>
      </c>
      <c r="M760" s="159">
        <f>SUM(M759+K760-L760)</f>
        <v/>
      </c>
    </row>
    <row r="761">
      <c r="A761" s="151" t="n">
        <v>46086</v>
      </c>
      <c r="B761" s="70" t="n">
        <v>3332</v>
      </c>
      <c r="C761" s="115" t="inlineStr">
        <is>
          <t>SELİM İNŞAAT</t>
        </is>
      </c>
      <c r="D761" s="115" t="inlineStr">
        <is>
          <t>34  GUS 938</t>
        </is>
      </c>
      <c r="E761" s="115" t="inlineStr">
        <is>
          <t>MEHMET KAYA</t>
        </is>
      </c>
      <c r="F761" s="65" t="n">
        <v>248083</v>
      </c>
      <c r="G761" s="152" t="n"/>
      <c r="H761" s="152" t="n">
        <v>560</v>
      </c>
      <c r="I761" s="156">
        <f>+I760+(G761-H761)</f>
        <v/>
      </c>
      <c r="J761" s="90" t="n">
        <v>52.25</v>
      </c>
      <c r="K761" s="166" t="n"/>
      <c r="L761" s="158">
        <f>+H761*J761</f>
        <v/>
      </c>
      <c r="M761" s="159">
        <f>SUM(M760+K761-L761)</f>
        <v/>
      </c>
    </row>
    <row r="762">
      <c r="A762" s="151" t="n">
        <v>46086</v>
      </c>
      <c r="B762" s="70" t="n">
        <v>3226</v>
      </c>
      <c r="C762" s="115" t="inlineStr">
        <is>
          <t>SELİM İNŞAAT</t>
        </is>
      </c>
      <c r="D762" s="115" t="inlineStr">
        <is>
          <t>34 EGR 736</t>
        </is>
      </c>
      <c r="E762" s="115" t="inlineStr">
        <is>
          <t>HAKAN ÇAVUŞOĞLU</t>
        </is>
      </c>
      <c r="F762" s="65" t="n">
        <v>440278</v>
      </c>
      <c r="G762" s="152" t="n"/>
      <c r="H762" s="152" t="n">
        <v>580</v>
      </c>
      <c r="I762" s="156">
        <f>+I761+(G762-H762)</f>
        <v/>
      </c>
      <c r="J762" s="90" t="n">
        <v>52.25</v>
      </c>
      <c r="K762" s="166" t="n"/>
      <c r="L762" s="158">
        <f>+H762*J762</f>
        <v/>
      </c>
      <c r="M762" s="159">
        <f>SUM(M761+K762-L762)</f>
        <v/>
      </c>
    </row>
    <row r="763">
      <c r="A763" s="151" t="n">
        <v>46086</v>
      </c>
      <c r="B763" s="70" t="n">
        <v>4973</v>
      </c>
      <c r="C763" s="115" t="inlineStr">
        <is>
          <t>SELİM İNŞAAT</t>
        </is>
      </c>
      <c r="D763" s="115" t="inlineStr">
        <is>
          <t>34 GVZ 745</t>
        </is>
      </c>
      <c r="E763" s="115" t="inlineStr">
        <is>
          <t>MURAT DEMİRBAĞ</t>
        </is>
      </c>
      <c r="F763" s="65" t="n">
        <v>248233</v>
      </c>
      <c r="G763" s="152" t="n"/>
      <c r="H763" s="152" t="n">
        <v>502</v>
      </c>
      <c r="I763" s="156">
        <f>+I762+(G763-H763)</f>
        <v/>
      </c>
      <c r="J763" s="90" t="n">
        <v>52.25</v>
      </c>
      <c r="K763" s="166" t="n"/>
      <c r="L763" s="158">
        <f>+H763*J763</f>
        <v/>
      </c>
      <c r="M763" s="159">
        <f>SUM(M762+K763-L763)</f>
        <v/>
      </c>
    </row>
    <row r="764">
      <c r="A764" s="151" t="n">
        <v>46086</v>
      </c>
      <c r="B764" s="70" t="n">
        <v>4878</v>
      </c>
      <c r="C764" s="115" t="inlineStr">
        <is>
          <t>SELİM İNŞAAT</t>
        </is>
      </c>
      <c r="D764" s="115" t="inlineStr">
        <is>
          <t>34 FBR 705</t>
        </is>
      </c>
      <c r="E764" s="115" t="inlineStr">
        <is>
          <t>MURAT SARI</t>
        </is>
      </c>
      <c r="F764" s="65" t="n">
        <v>363070</v>
      </c>
      <c r="G764" s="152" t="n"/>
      <c r="H764" s="152" t="n">
        <v>474</v>
      </c>
      <c r="I764" s="156">
        <f>+I763+(G764-H764)</f>
        <v/>
      </c>
      <c r="J764" s="90" t="n">
        <v>52.25</v>
      </c>
      <c r="K764" s="166" t="n"/>
      <c r="L764" s="158">
        <f>+H764*J764</f>
        <v/>
      </c>
      <c r="M764" s="159">
        <f>SUM(M763+K764-L764)</f>
        <v/>
      </c>
    </row>
    <row r="765">
      <c r="A765" s="151" t="n">
        <v>46086</v>
      </c>
      <c r="B765" s="70" t="n">
        <v>516</v>
      </c>
      <c r="C765" s="115" t="inlineStr">
        <is>
          <t>SELİM İNŞAAT</t>
        </is>
      </c>
      <c r="D765" s="115" t="inlineStr">
        <is>
          <t>34 EGR 737</t>
        </is>
      </c>
      <c r="E765" s="115" t="inlineStr">
        <is>
          <t>CEM MUHTAR</t>
        </is>
      </c>
      <c r="F765" s="65" t="n">
        <v>462290</v>
      </c>
      <c r="G765" s="152" t="n"/>
      <c r="H765" s="152" t="n">
        <v>490</v>
      </c>
      <c r="I765" s="156">
        <f>+I764+(G765-H765)</f>
        <v/>
      </c>
      <c r="J765" s="90" t="n">
        <v>52.25</v>
      </c>
      <c r="K765" s="166" t="n"/>
      <c r="L765" s="158">
        <f>+H765*J765</f>
        <v/>
      </c>
      <c r="M765" s="159">
        <f>SUM(M764+K765-L765)</f>
        <v/>
      </c>
    </row>
    <row r="766">
      <c r="A766" s="151" t="n">
        <v>46086</v>
      </c>
      <c r="B766" s="70" t="n">
        <v>3833</v>
      </c>
      <c r="C766" s="115" t="inlineStr">
        <is>
          <t>SELİM İNŞAAT</t>
        </is>
      </c>
      <c r="D766" s="115" t="inlineStr">
        <is>
          <t>34 GYZ 635</t>
        </is>
      </c>
      <c r="E766" s="115" t="inlineStr">
        <is>
          <t>ADEM DENİZ</t>
        </is>
      </c>
      <c r="F766" s="65" t="n">
        <v>227816</v>
      </c>
      <c r="G766" s="152" t="n"/>
      <c r="H766" s="152" t="n">
        <v>534</v>
      </c>
      <c r="I766" s="156">
        <f>+I765+(G766-H766)</f>
        <v/>
      </c>
      <c r="J766" s="90" t="n">
        <v>52.25</v>
      </c>
      <c r="K766" s="166" t="n"/>
      <c r="L766" s="158">
        <f>+H766*J766</f>
        <v/>
      </c>
      <c r="M766" s="159">
        <f>SUM(M765+K766-L766)</f>
        <v/>
      </c>
    </row>
    <row r="767">
      <c r="A767" s="151" t="n">
        <v>46086</v>
      </c>
      <c r="B767" s="70" t="n">
        <v>1391</v>
      </c>
      <c r="C767" s="115" t="inlineStr">
        <is>
          <t>AZGÜN YAPI</t>
        </is>
      </c>
      <c r="D767" s="115" t="inlineStr">
        <is>
          <t>34 MKT859</t>
        </is>
      </c>
      <c r="E767" s="115" t="inlineStr">
        <is>
          <t>İRFAN DAĞLAR</t>
        </is>
      </c>
      <c r="F767" s="65" t="n"/>
      <c r="G767" s="152" t="n"/>
      <c r="H767" s="152" t="n">
        <v>450</v>
      </c>
      <c r="I767" s="156">
        <f>+I766+(G767-H767)</f>
        <v/>
      </c>
      <c r="J767" s="90" t="n">
        <v>52.25</v>
      </c>
      <c r="K767" s="166" t="n"/>
      <c r="L767" s="158">
        <f>+H767*J767</f>
        <v/>
      </c>
      <c r="M767" s="159">
        <f>SUM(M766+K767-L767)</f>
        <v/>
      </c>
    </row>
    <row r="768">
      <c r="A768" s="151" t="n">
        <v>46086</v>
      </c>
      <c r="B768" s="70" t="n">
        <v>651</v>
      </c>
      <c r="C768" s="115" t="inlineStr">
        <is>
          <t>SELİM İNŞAAT</t>
        </is>
      </c>
      <c r="D768" s="115" t="inlineStr">
        <is>
          <t>34 GU 945</t>
        </is>
      </c>
      <c r="E768" s="115" t="inlineStr">
        <is>
          <t>YAKUP URUCU</t>
        </is>
      </c>
      <c r="F768" s="65" t="n">
        <v>472743</v>
      </c>
      <c r="G768" s="152" t="n"/>
      <c r="H768" s="152" t="n">
        <v>89</v>
      </c>
      <c r="I768" s="156">
        <f>+I767+(G768-H768)</f>
        <v/>
      </c>
      <c r="J768" s="90" t="n">
        <v>52.25</v>
      </c>
      <c r="K768" s="166" t="n"/>
      <c r="L768" s="158">
        <f>+H768*J768</f>
        <v/>
      </c>
      <c r="M768" s="159">
        <f>SUM(M767+K768-L768)</f>
        <v/>
      </c>
    </row>
    <row r="769">
      <c r="A769" s="151" t="n">
        <v>46086</v>
      </c>
      <c r="B769" s="70" t="n">
        <v>2344</v>
      </c>
      <c r="C769" s="115" t="inlineStr">
        <is>
          <t>SELİM İNŞAAT</t>
        </is>
      </c>
      <c r="D769" s="115" t="inlineStr">
        <is>
          <t>34 DP 4161</t>
        </is>
      </c>
      <c r="E769" s="115" t="inlineStr">
        <is>
          <t>RIFAT KARATAY</t>
        </is>
      </c>
      <c r="F769" s="65" t="n">
        <v>320568</v>
      </c>
      <c r="G769" s="152" t="n"/>
      <c r="H769" s="152" t="n">
        <v>378</v>
      </c>
      <c r="I769" s="156">
        <f>+I768+(G769-H769)</f>
        <v/>
      </c>
      <c r="J769" s="90" t="n">
        <v>52.25</v>
      </c>
      <c r="K769" s="166" t="n"/>
      <c r="L769" s="158">
        <f>+H769*J769</f>
        <v/>
      </c>
      <c r="M769" s="159">
        <f>SUM(M768+K769-L769)</f>
        <v/>
      </c>
    </row>
    <row r="770">
      <c r="A770" s="151" t="n">
        <v>46086</v>
      </c>
      <c r="B770" s="70" t="n">
        <v>619</v>
      </c>
      <c r="C770" s="115" t="inlineStr">
        <is>
          <t>AHMET SELİM TEMHA</t>
        </is>
      </c>
      <c r="D770" s="115" t="inlineStr">
        <is>
          <t>FORKLİFT</t>
        </is>
      </c>
      <c r="E770" s="115" t="n"/>
      <c r="F770" s="65" t="n"/>
      <c r="G770" s="152" t="n"/>
      <c r="H770" s="152" t="n">
        <v>24</v>
      </c>
      <c r="I770" s="156">
        <f>+I769+(G770-H770)</f>
        <v/>
      </c>
      <c r="J770" s="90" t="n">
        <v>52.25</v>
      </c>
      <c r="K770" s="166" t="n"/>
      <c r="L770" s="158">
        <f>+H770*J770</f>
        <v/>
      </c>
      <c r="M770" s="159">
        <f>SUM(M769+K770-L770)</f>
        <v/>
      </c>
    </row>
    <row r="771">
      <c r="A771" s="151" t="n">
        <v>46086</v>
      </c>
      <c r="B771" s="70" t="n">
        <v>714</v>
      </c>
      <c r="C771" s="115" t="inlineStr">
        <is>
          <t>METİN ERYİĞİT</t>
        </is>
      </c>
      <c r="D771" s="115" t="inlineStr">
        <is>
          <t>34 EGS 013</t>
        </is>
      </c>
      <c r="E771" s="115" t="inlineStr">
        <is>
          <t>UĞUR DUMAN</t>
        </is>
      </c>
      <c r="F771" s="65" t="n"/>
      <c r="G771" s="152" t="n"/>
      <c r="H771" s="152" t="n">
        <v>446</v>
      </c>
      <c r="I771" s="156">
        <f>+I770+(G771-H771)</f>
        <v/>
      </c>
      <c r="J771" s="90" t="n">
        <v>52.25</v>
      </c>
      <c r="K771" s="166" t="n"/>
      <c r="L771" s="158">
        <f>+H771*J771</f>
        <v/>
      </c>
      <c r="M771" s="159">
        <f>SUM(M770+K771-L771)</f>
        <v/>
      </c>
    </row>
    <row r="772">
      <c r="A772" s="151" t="n">
        <v>46086</v>
      </c>
      <c r="B772" s="70" t="n">
        <v>809</v>
      </c>
      <c r="C772" s="115" t="inlineStr">
        <is>
          <t>METİN ERYİĞİT</t>
        </is>
      </c>
      <c r="D772" s="115" t="inlineStr">
        <is>
          <t>34 GBL 998</t>
        </is>
      </c>
      <c r="E772" s="115" t="inlineStr">
        <is>
          <t>ALİ KESKİN</t>
        </is>
      </c>
      <c r="F772" s="65" t="n"/>
      <c r="G772" s="152" t="n"/>
      <c r="H772" s="152" t="n">
        <v>150</v>
      </c>
      <c r="I772" s="156">
        <f>+I771+(G772-H772)</f>
        <v/>
      </c>
      <c r="J772" s="90" t="n">
        <v>52.25</v>
      </c>
      <c r="K772" s="166" t="n"/>
      <c r="L772" s="158">
        <f>+H772*J772</f>
        <v/>
      </c>
      <c r="M772" s="159">
        <f>SUM(M771+K772-L772)</f>
        <v/>
      </c>
    </row>
    <row r="773">
      <c r="A773" s="151" t="n">
        <v>46086</v>
      </c>
      <c r="B773" s="70" t="n">
        <v>442</v>
      </c>
      <c r="C773" s="115" t="inlineStr">
        <is>
          <t>KOZMO</t>
        </is>
      </c>
      <c r="D773" s="115" t="inlineStr">
        <is>
          <t>SM300</t>
        </is>
      </c>
      <c r="E773" s="115" t="inlineStr">
        <is>
          <t>TEKİN</t>
        </is>
      </c>
      <c r="F773" s="65" t="n"/>
      <c r="G773" s="152" t="n"/>
      <c r="H773" s="152" t="n">
        <v>454</v>
      </c>
      <c r="I773" s="156">
        <f>+I772+(G773-H773)</f>
        <v/>
      </c>
      <c r="J773" s="90" t="n">
        <v>52.25</v>
      </c>
      <c r="K773" s="166" t="n"/>
      <c r="L773" s="158">
        <f>+H773*J773</f>
        <v/>
      </c>
      <c r="M773" s="159">
        <f>SUM(M772+K773-L773)</f>
        <v/>
      </c>
    </row>
    <row r="774">
      <c r="A774" s="151" t="n">
        <v>46086</v>
      </c>
      <c r="B774" s="70" t="n">
        <v>443</v>
      </c>
      <c r="C774" s="115" t="inlineStr">
        <is>
          <t>MEGA</t>
        </is>
      </c>
      <c r="D774" s="115" t="inlineStr">
        <is>
          <t>KAWAZAKİ</t>
        </is>
      </c>
      <c r="E774" s="115" t="inlineStr">
        <is>
          <t>RAMAZAN</t>
        </is>
      </c>
      <c r="F774" s="65" t="n"/>
      <c r="G774" s="152" t="n"/>
      <c r="H774" s="152" t="n">
        <v>238</v>
      </c>
      <c r="I774" s="156">
        <f>+I773+(G774-H774)</f>
        <v/>
      </c>
      <c r="J774" s="90" t="n">
        <v>52.25</v>
      </c>
      <c r="K774" s="166" t="n"/>
      <c r="L774" s="158">
        <f>+H774*J774</f>
        <v/>
      </c>
      <c r="M774" s="159">
        <f>SUM(M773+K774-L774)</f>
        <v/>
      </c>
    </row>
    <row r="775">
      <c r="A775" s="151" t="n">
        <v>46087</v>
      </c>
      <c r="B775" s="70" t="n">
        <v>3867</v>
      </c>
      <c r="C775" s="115" t="inlineStr">
        <is>
          <t>SELİM İNŞAAT</t>
        </is>
      </c>
      <c r="D775" s="115" t="inlineStr">
        <is>
          <t>34 DRU 690</t>
        </is>
      </c>
      <c r="E775" s="115" t="inlineStr">
        <is>
          <t>MEVLÜT POLAT</t>
        </is>
      </c>
      <c r="F775" s="65" t="n">
        <v>460731</v>
      </c>
      <c r="G775" s="152" t="n"/>
      <c r="H775" s="152" t="n">
        <v>500</v>
      </c>
      <c r="I775" s="156">
        <f>+I774+(G775-H775)</f>
        <v/>
      </c>
      <c r="J775" s="90" t="n">
        <v>52.25</v>
      </c>
      <c r="K775" s="166" t="n"/>
      <c r="L775" s="158">
        <f>+H775*J775</f>
        <v/>
      </c>
      <c r="M775" s="159">
        <f>SUM(M774+K775-L775)</f>
        <v/>
      </c>
    </row>
    <row r="776">
      <c r="A776" s="151" t="n">
        <v>46087</v>
      </c>
      <c r="B776" s="70" t="n">
        <v>1284</v>
      </c>
      <c r="C776" s="115" t="inlineStr">
        <is>
          <t>SELİM İNŞAAT</t>
        </is>
      </c>
      <c r="D776" s="115" t="inlineStr">
        <is>
          <t>34 DSN 621</t>
        </is>
      </c>
      <c r="E776" s="115" t="inlineStr">
        <is>
          <t>MUSTAFA KAYA</t>
        </is>
      </c>
      <c r="F776" s="65" t="n">
        <v>438522</v>
      </c>
      <c r="G776" s="152" t="n"/>
      <c r="H776" s="152" t="n">
        <v>580</v>
      </c>
      <c r="I776" s="156">
        <f>+I775+(G776-H776)</f>
        <v/>
      </c>
      <c r="J776" s="90" t="n">
        <v>52.25</v>
      </c>
      <c r="K776" s="166" t="n"/>
      <c r="L776" s="158">
        <f>+H776*J776</f>
        <v/>
      </c>
      <c r="M776" s="159">
        <f>SUM(M775+K776-L776)</f>
        <v/>
      </c>
    </row>
    <row r="777">
      <c r="A777" s="151" t="n">
        <v>46087</v>
      </c>
      <c r="B777" s="70" t="n">
        <v>1343</v>
      </c>
      <c r="C777" s="115" t="inlineStr">
        <is>
          <t>SELİM İNŞAAT</t>
        </is>
      </c>
      <c r="D777" s="115" t="inlineStr">
        <is>
          <t>34 GVZ 199</t>
        </is>
      </c>
      <c r="E777" s="115" t="inlineStr">
        <is>
          <t>HÜSEYİN DENİZ</t>
        </is>
      </c>
      <c r="F777" s="65" t="n">
        <v>227560</v>
      </c>
      <c r="G777" s="152" t="n"/>
      <c r="H777" s="152" t="n">
        <v>478</v>
      </c>
      <c r="I777" s="156">
        <f>+I776+(G777-H777)</f>
        <v/>
      </c>
      <c r="J777" s="90" t="n">
        <v>52.25</v>
      </c>
      <c r="K777" s="166" t="n"/>
      <c r="L777" s="158">
        <f>+H777*J777</f>
        <v/>
      </c>
      <c r="M777" s="159">
        <f>SUM(M776+K777-L777)</f>
        <v/>
      </c>
    </row>
    <row r="778">
      <c r="A778" s="151" t="n">
        <v>46087</v>
      </c>
      <c r="B778" s="70" t="n">
        <v>4769</v>
      </c>
      <c r="C778" s="115" t="inlineStr">
        <is>
          <t>SELİM İNŞAAT</t>
        </is>
      </c>
      <c r="D778" s="115" t="inlineStr">
        <is>
          <t>34 DGP 137</t>
        </is>
      </c>
      <c r="E778" s="115" t="inlineStr">
        <is>
          <t>YASİN ÇATAKLI</t>
        </is>
      </c>
      <c r="F778" s="65" t="n">
        <v>476001</v>
      </c>
      <c r="G778" s="152" t="n"/>
      <c r="H778" s="152" t="n">
        <v>467</v>
      </c>
      <c r="I778" s="156">
        <f>+I777+(G778-H778)</f>
        <v/>
      </c>
      <c r="J778" s="90" t="n">
        <v>52.25</v>
      </c>
      <c r="K778" s="166" t="n"/>
      <c r="L778" s="158">
        <f>+H778*J778</f>
        <v/>
      </c>
      <c r="M778" s="159">
        <f>SUM(M777+K778-L778)</f>
        <v/>
      </c>
    </row>
    <row r="779">
      <c r="A779" s="151" t="n">
        <v>46087</v>
      </c>
      <c r="B779" s="70" t="n">
        <v>951</v>
      </c>
      <c r="C779" s="115" t="inlineStr">
        <is>
          <t>SELİM İNŞAAT</t>
        </is>
      </c>
      <c r="D779" s="115" t="inlineStr">
        <is>
          <t>34 DSN 636</t>
        </is>
      </c>
      <c r="E779" s="115" t="inlineStr">
        <is>
          <t>SEZGİN KOCAGİL</t>
        </is>
      </c>
      <c r="F779" s="65" t="n">
        <v>433936</v>
      </c>
      <c r="G779" s="152" t="n"/>
      <c r="H779" s="152" t="n">
        <v>352</v>
      </c>
      <c r="I779" s="156">
        <f>+I778+(G779-H779)</f>
        <v/>
      </c>
      <c r="J779" s="90" t="n">
        <v>52.25</v>
      </c>
      <c r="K779" s="166" t="n"/>
      <c r="L779" s="158">
        <f>+H779*J779</f>
        <v/>
      </c>
      <c r="M779" s="159">
        <f>SUM(M778+K779-L779)</f>
        <v/>
      </c>
    </row>
    <row r="780">
      <c r="A780" s="151" t="n">
        <v>46087</v>
      </c>
      <c r="B780" s="70" t="n">
        <v>4927</v>
      </c>
      <c r="C780" s="115" t="inlineStr">
        <is>
          <t>SELİM İNŞAAT</t>
        </is>
      </c>
      <c r="D780" s="115" t="inlineStr">
        <is>
          <t>34 FBR 742</t>
        </is>
      </c>
      <c r="E780" s="115" t="inlineStr">
        <is>
          <t>ADNAN KOÇ</t>
        </is>
      </c>
      <c r="F780" s="65" t="n">
        <v>366756</v>
      </c>
      <c r="G780" s="152" t="n"/>
      <c r="H780" s="152" t="n">
        <v>244</v>
      </c>
      <c r="I780" s="156">
        <f>+I779+(G780-H780)</f>
        <v/>
      </c>
      <c r="J780" s="90" t="n">
        <v>52.25</v>
      </c>
      <c r="K780" s="166" t="n"/>
      <c r="L780" s="158">
        <f>+H780*J780</f>
        <v/>
      </c>
      <c r="M780" s="159">
        <f>SUM(M779+K780-L780)</f>
        <v/>
      </c>
    </row>
    <row r="781">
      <c r="A781" s="151" t="n">
        <v>46087</v>
      </c>
      <c r="B781" s="70" t="n">
        <v>3430</v>
      </c>
      <c r="C781" s="115" t="inlineStr">
        <is>
          <t>SELİM İNŞAAT</t>
        </is>
      </c>
      <c r="D781" s="115" t="inlineStr">
        <is>
          <t>34 GVZ 310</t>
        </is>
      </c>
      <c r="E781" s="115" t="inlineStr">
        <is>
          <t>CELAL YÜZBAŞI</t>
        </is>
      </c>
      <c r="F781" s="65" t="n">
        <v>248756</v>
      </c>
      <c r="G781" s="152" t="n"/>
      <c r="H781" s="152" t="n">
        <v>545</v>
      </c>
      <c r="I781" s="156">
        <f>+I780+(G781-H781)</f>
        <v/>
      </c>
      <c r="J781" s="90" t="n">
        <v>52.25</v>
      </c>
      <c r="K781" s="166" t="n"/>
      <c r="L781" s="158">
        <f>+H781*J781</f>
        <v/>
      </c>
      <c r="M781" s="159">
        <f>SUM(M780+K781-L781)</f>
        <v/>
      </c>
    </row>
    <row r="782">
      <c r="A782" s="151" t="n">
        <v>46087</v>
      </c>
      <c r="B782" s="70" t="n">
        <v>3490</v>
      </c>
      <c r="C782" s="115" t="inlineStr">
        <is>
          <t>SELİM İNŞAAT</t>
        </is>
      </c>
      <c r="D782" s="115" t="inlineStr">
        <is>
          <t>34 EDB 754</t>
        </is>
      </c>
      <c r="E782" s="115" t="inlineStr">
        <is>
          <t>MUSTAFA KAYA</t>
        </is>
      </c>
      <c r="F782" s="65" t="n">
        <v>373498</v>
      </c>
      <c r="G782" s="152" t="n"/>
      <c r="H782" s="152" t="n">
        <v>446</v>
      </c>
      <c r="I782" s="156">
        <f>+I781+(G782-H782)</f>
        <v/>
      </c>
      <c r="J782" s="90" t="n">
        <v>52.25</v>
      </c>
      <c r="K782" s="166" t="n"/>
      <c r="L782" s="158">
        <f>+H782*J782</f>
        <v/>
      </c>
      <c r="M782" s="159">
        <f>SUM(M781+K782-L782)</f>
        <v/>
      </c>
    </row>
    <row r="783">
      <c r="A783" s="151" t="n">
        <v>46087</v>
      </c>
      <c r="B783" s="70" t="n">
        <v>4117</v>
      </c>
      <c r="C783" s="115" t="inlineStr">
        <is>
          <t>SELİM İNŞAAT</t>
        </is>
      </c>
      <c r="D783" s="115" t="inlineStr">
        <is>
          <t>34 EDB 659</t>
        </is>
      </c>
      <c r="E783" s="115" t="inlineStr">
        <is>
          <t>YASİN ÇATAKLI</t>
        </is>
      </c>
      <c r="F783" s="65" t="n">
        <v>390953</v>
      </c>
      <c r="G783" s="152" t="n"/>
      <c r="H783" s="152" t="n">
        <v>527</v>
      </c>
      <c r="I783" s="156">
        <f>+I782+(G783-H783)</f>
        <v/>
      </c>
      <c r="J783" s="90" t="n">
        <v>52.25</v>
      </c>
      <c r="K783" s="166" t="n"/>
      <c r="L783" s="158">
        <f>+H783*J783</f>
        <v/>
      </c>
      <c r="M783" s="159">
        <f>SUM(M782+K783-L783)</f>
        <v/>
      </c>
    </row>
    <row r="784">
      <c r="A784" s="151" t="n">
        <v>46087</v>
      </c>
      <c r="B784" s="70" t="n">
        <v>4515</v>
      </c>
      <c r="C784" s="115" t="inlineStr">
        <is>
          <t>SELİM İNŞAAT</t>
        </is>
      </c>
      <c r="D784" s="115" t="inlineStr">
        <is>
          <t>34 DTV 352</t>
        </is>
      </c>
      <c r="E784" s="115" t="inlineStr">
        <is>
          <t>AZİZ ORUÇ</t>
        </is>
      </c>
      <c r="F784" s="65" t="n">
        <v>476933</v>
      </c>
      <c r="G784" s="152" t="n"/>
      <c r="H784" s="152" t="n">
        <v>455</v>
      </c>
      <c r="I784" s="156">
        <f>+I783+(G784-H784)</f>
        <v/>
      </c>
      <c r="J784" s="90" t="n">
        <v>52.25</v>
      </c>
      <c r="K784" s="166" t="n"/>
      <c r="L784" s="158">
        <f>+H784*J784</f>
        <v/>
      </c>
      <c r="M784" s="159">
        <f>SUM(M783+K784-L784)</f>
        <v/>
      </c>
    </row>
    <row r="785">
      <c r="A785" s="151" t="n">
        <v>46087</v>
      </c>
      <c r="B785" s="70" t="n">
        <v>151</v>
      </c>
      <c r="C785" s="115" t="inlineStr">
        <is>
          <t>SELİM İNŞAAT</t>
        </is>
      </c>
      <c r="D785" s="115" t="inlineStr">
        <is>
          <t>34 FBR 771</t>
        </is>
      </c>
      <c r="E785" s="115" t="inlineStr">
        <is>
          <t>SALİH YALÇIN</t>
        </is>
      </c>
      <c r="F785" s="65" t="n">
        <v>350902</v>
      </c>
      <c r="G785" s="152" t="n"/>
      <c r="H785" s="152" t="n">
        <v>446</v>
      </c>
      <c r="I785" s="156">
        <f>+I784+(G785-H785)</f>
        <v/>
      </c>
      <c r="J785" s="90" t="n">
        <v>52.25</v>
      </c>
      <c r="K785" s="166" t="n"/>
      <c r="L785" s="158">
        <f>+H785*J785</f>
        <v/>
      </c>
      <c r="M785" s="159">
        <f>SUM(M784+K785-L785)</f>
        <v/>
      </c>
    </row>
    <row r="786">
      <c r="A786" s="151" t="n">
        <v>46087</v>
      </c>
      <c r="B786" s="70" t="n">
        <v>3392</v>
      </c>
      <c r="C786" s="115" t="inlineStr">
        <is>
          <t>SELİM İNŞAAT</t>
        </is>
      </c>
      <c r="D786" s="115" t="inlineStr">
        <is>
          <t>34 EDC 162</t>
        </is>
      </c>
      <c r="E786" s="115" t="inlineStr">
        <is>
          <t>YAKUP GÜNER</t>
        </is>
      </c>
      <c r="F786" s="65" t="n">
        <v>416850</v>
      </c>
      <c r="G786" s="152" t="n"/>
      <c r="H786" s="152" t="n">
        <v>510</v>
      </c>
      <c r="I786" s="156">
        <f>+I785+(G786-H786)</f>
        <v/>
      </c>
      <c r="J786" s="90" t="n">
        <v>52.25</v>
      </c>
      <c r="K786" s="166" t="n"/>
      <c r="L786" s="158">
        <f>+H786*J786</f>
        <v/>
      </c>
      <c r="M786" s="159">
        <f>SUM(M785+K786-L786)</f>
        <v/>
      </c>
    </row>
    <row r="787">
      <c r="A787" s="151" t="n">
        <v>46087</v>
      </c>
      <c r="B787" s="70" t="n">
        <v>2544</v>
      </c>
      <c r="C787" s="115" t="inlineStr">
        <is>
          <t>AZGÜN YAPI</t>
        </is>
      </c>
      <c r="D787" s="115" t="inlineStr">
        <is>
          <t>34 MKT 593</t>
        </is>
      </c>
      <c r="E787" s="115" t="inlineStr">
        <is>
          <t>TURGUT ÇATAL</t>
        </is>
      </c>
      <c r="F787" s="65" t="n"/>
      <c r="G787" s="152" t="n"/>
      <c r="H787" s="152" t="n">
        <v>402</v>
      </c>
      <c r="I787" s="156">
        <f>+I786+(G787-H787)</f>
        <v/>
      </c>
      <c r="J787" s="90" t="n">
        <v>52.25</v>
      </c>
      <c r="K787" s="166" t="n"/>
      <c r="L787" s="158">
        <f>+H787*J787</f>
        <v/>
      </c>
      <c r="M787" s="159">
        <f>SUM(M786+K787-L787)</f>
        <v/>
      </c>
    </row>
    <row r="788">
      <c r="A788" s="151" t="n">
        <v>46087</v>
      </c>
      <c r="B788" s="70" t="n">
        <v>4018</v>
      </c>
      <c r="C788" s="115" t="inlineStr">
        <is>
          <t>SELİM İNŞAAT</t>
        </is>
      </c>
      <c r="D788" s="115" t="inlineStr">
        <is>
          <t>34 AR 7743</t>
        </is>
      </c>
      <c r="E788" s="115" t="inlineStr">
        <is>
          <t>MEHMET SELİM</t>
        </is>
      </c>
      <c r="F788" s="65" t="n">
        <v>374348</v>
      </c>
      <c r="G788" s="152" t="n"/>
      <c r="H788" s="152" t="n">
        <v>50</v>
      </c>
      <c r="I788" s="156">
        <f>+I787+(G788-H788)</f>
        <v/>
      </c>
      <c r="J788" s="90" t="n">
        <v>52.25</v>
      </c>
      <c r="K788" s="166" t="n"/>
      <c r="L788" s="158">
        <f>+H788*J788</f>
        <v/>
      </c>
      <c r="M788" s="159">
        <f>SUM(M787+K788-L788)</f>
        <v/>
      </c>
    </row>
    <row r="789">
      <c r="A789" s="151" t="n">
        <v>46087</v>
      </c>
      <c r="B789" s="70" t="n">
        <v>2389</v>
      </c>
      <c r="C789" s="115" t="inlineStr">
        <is>
          <t>SELİM İNŞAAT</t>
        </is>
      </c>
      <c r="D789" s="115" t="inlineStr">
        <is>
          <t>34 FEM 934</t>
        </is>
      </c>
      <c r="E789" s="115" t="inlineStr">
        <is>
          <t>DURSUN ALİ GÜREK</t>
        </is>
      </c>
      <c r="F789" s="65" t="n">
        <v>333634</v>
      </c>
      <c r="G789" s="152" t="n"/>
      <c r="H789" s="152" t="n">
        <v>56</v>
      </c>
      <c r="I789" s="156">
        <f>+I788+(G789-H789)</f>
        <v/>
      </c>
      <c r="J789" s="90" t="n">
        <v>52.25</v>
      </c>
      <c r="K789" s="166" t="n"/>
      <c r="L789" s="158">
        <f>+H789*J789</f>
        <v/>
      </c>
      <c r="M789" s="159">
        <f>SUM(M788+K789-L789)</f>
        <v/>
      </c>
    </row>
    <row r="790">
      <c r="A790" s="151" t="n">
        <v>46087</v>
      </c>
      <c r="B790" s="70" t="n">
        <v>2591</v>
      </c>
      <c r="C790" s="115" t="inlineStr">
        <is>
          <t>SELİM İNŞAAT</t>
        </is>
      </c>
      <c r="D790" s="115" t="inlineStr">
        <is>
          <t>34 GER 028</t>
        </is>
      </c>
      <c r="E790" s="115" t="inlineStr">
        <is>
          <t>ABDÜLKERİM ERGEN</t>
        </is>
      </c>
      <c r="F790" s="65" t="n">
        <v>60278</v>
      </c>
      <c r="G790" s="152" t="n"/>
      <c r="H790" s="152" t="n">
        <v>393</v>
      </c>
      <c r="I790" s="156">
        <f>+I789+(G790-H790)</f>
        <v/>
      </c>
      <c r="J790" s="90" t="n">
        <v>52.25</v>
      </c>
      <c r="K790" s="166" t="n"/>
      <c r="L790" s="158">
        <f>+H790*J790</f>
        <v/>
      </c>
      <c r="M790" s="159">
        <f>SUM(M789+K790-L790)</f>
        <v/>
      </c>
    </row>
    <row r="791">
      <c r="A791" s="151" t="n">
        <v>46087</v>
      </c>
      <c r="B791" s="70" t="n">
        <v>3728</v>
      </c>
      <c r="C791" s="115" t="inlineStr">
        <is>
          <t>SELİM İNŞAAT</t>
        </is>
      </c>
      <c r="D791" s="115" t="inlineStr">
        <is>
          <t>34 DKL 866</t>
        </is>
      </c>
      <c r="E791" s="115" t="inlineStr">
        <is>
          <t>SELİMCAN ÖNVER</t>
        </is>
      </c>
      <c r="F791" s="65" t="n">
        <v>82376</v>
      </c>
      <c r="G791" s="152" t="n"/>
      <c r="H791" s="152" t="n">
        <v>397</v>
      </c>
      <c r="I791" s="156">
        <f>+I790+(G791-H791)</f>
        <v/>
      </c>
      <c r="J791" s="90" t="n">
        <v>52.25</v>
      </c>
      <c r="K791" s="166" t="n"/>
      <c r="L791" s="158">
        <f>+H791*J791</f>
        <v/>
      </c>
      <c r="M791" s="159">
        <f>SUM(M790+K791-L791)</f>
        <v/>
      </c>
    </row>
    <row r="792">
      <c r="A792" s="151" t="n">
        <v>46087</v>
      </c>
      <c r="B792" s="70" t="n">
        <v>754</v>
      </c>
      <c r="C792" s="115" t="inlineStr">
        <is>
          <t>METİN ERYİĞİT</t>
        </is>
      </c>
      <c r="D792" s="115" t="inlineStr">
        <is>
          <t>34 EGR 814</t>
        </is>
      </c>
      <c r="E792" s="115" t="inlineStr">
        <is>
          <t>ZİYA İNCE</t>
        </is>
      </c>
      <c r="F792" s="65" t="n"/>
      <c r="G792" s="152" t="n"/>
      <c r="H792" s="152" t="n">
        <v>372</v>
      </c>
      <c r="I792" s="156">
        <f>+I791+(G792-H792)</f>
        <v/>
      </c>
      <c r="J792" s="90" t="n">
        <v>52.25</v>
      </c>
      <c r="K792" s="166" t="n"/>
      <c r="L792" s="158">
        <f>+H792*J792</f>
        <v/>
      </c>
      <c r="M792" s="159">
        <f>SUM(M791+K792-L792)</f>
        <v/>
      </c>
    </row>
    <row r="793">
      <c r="A793" s="151" t="n">
        <v>46087</v>
      </c>
      <c r="B793" s="70" t="n">
        <v>810</v>
      </c>
      <c r="C793" s="115" t="inlineStr">
        <is>
          <t>METİN ERYİĞİT</t>
        </is>
      </c>
      <c r="D793" s="115" t="inlineStr">
        <is>
          <t>34 GBL 998</t>
        </is>
      </c>
      <c r="E793" s="115" t="inlineStr">
        <is>
          <t>ALİ KESKİN</t>
        </is>
      </c>
      <c r="F793" s="65" t="n"/>
      <c r="G793" s="152" t="n"/>
      <c r="H793" s="152" t="n">
        <v>378</v>
      </c>
      <c r="I793" s="156">
        <f>+I792+(G793-H793)</f>
        <v/>
      </c>
      <c r="J793" s="90" t="n">
        <v>52.25</v>
      </c>
      <c r="K793" s="166" t="n"/>
      <c r="L793" s="158">
        <f>+H793*J793</f>
        <v/>
      </c>
      <c r="M793" s="159">
        <f>SUM(M792+K793-L793)</f>
        <v/>
      </c>
    </row>
    <row r="794">
      <c r="A794" s="151" t="n">
        <v>46087</v>
      </c>
      <c r="B794" s="70" t="n">
        <v>444</v>
      </c>
      <c r="C794" s="115" t="inlineStr">
        <is>
          <t>HASALTUN</t>
        </is>
      </c>
      <c r="D794" s="115" t="inlineStr">
        <is>
          <t>SM350</t>
        </is>
      </c>
      <c r="E794" s="115" t="inlineStr">
        <is>
          <t>TEVFİK</t>
        </is>
      </c>
      <c r="F794" s="65" t="n"/>
      <c r="G794" s="152" t="n"/>
      <c r="H794" s="152" t="n">
        <v>525</v>
      </c>
      <c r="I794" s="156">
        <f>+I793+(G794-H794)</f>
        <v/>
      </c>
      <c r="J794" s="90" t="n">
        <v>52.25</v>
      </c>
      <c r="K794" s="166" t="n"/>
      <c r="L794" s="158">
        <f>+H794*J794</f>
        <v/>
      </c>
      <c r="M794" s="159">
        <f>SUM(M793+K794-L794)</f>
        <v/>
      </c>
    </row>
    <row r="795">
      <c r="A795" s="151" t="n">
        <v>46087</v>
      </c>
      <c r="B795" s="70" t="n">
        <v>445</v>
      </c>
      <c r="C795" s="115" t="inlineStr">
        <is>
          <t>HASALTUN</t>
        </is>
      </c>
      <c r="D795" s="115" t="inlineStr">
        <is>
          <t>SİLİNDİR</t>
        </is>
      </c>
      <c r="E795" s="115" t="inlineStr">
        <is>
          <t>ÖNER</t>
        </is>
      </c>
      <c r="F795" s="65" t="n"/>
      <c r="G795" s="152" t="n"/>
      <c r="H795" s="152" t="n">
        <v>235</v>
      </c>
      <c r="I795" s="156">
        <f>+I794+(G795-H795)</f>
        <v/>
      </c>
      <c r="J795" s="90" t="n">
        <v>52.25</v>
      </c>
      <c r="K795" s="166" t="n"/>
      <c r="L795" s="158">
        <f>+H795*J795</f>
        <v/>
      </c>
      <c r="M795" s="159">
        <f>SUM(M794+K795-L795)</f>
        <v/>
      </c>
    </row>
    <row r="796">
      <c r="A796" s="151" t="n">
        <v>46087</v>
      </c>
      <c r="B796" s="70" t="n">
        <v>446</v>
      </c>
      <c r="C796" s="115" t="inlineStr">
        <is>
          <t>MEGA</t>
        </is>
      </c>
      <c r="D796" s="115" t="inlineStr">
        <is>
          <t>MANİTO</t>
        </is>
      </c>
      <c r="E796" s="115" t="inlineStr">
        <is>
          <t>MUHAMMET</t>
        </is>
      </c>
      <c r="F796" s="65" t="n"/>
      <c r="G796" s="152" t="n"/>
      <c r="H796" s="152" t="n">
        <v>279</v>
      </c>
      <c r="I796" s="156">
        <f>+I795+(G796-H796)</f>
        <v/>
      </c>
      <c r="J796" s="90" t="n">
        <v>52.25</v>
      </c>
      <c r="K796" s="166" t="n"/>
      <c r="L796" s="158">
        <f>+H796*J796</f>
        <v/>
      </c>
      <c r="M796" s="159">
        <f>SUM(M795+K796-L796)</f>
        <v/>
      </c>
    </row>
    <row r="797">
      <c r="A797" s="151" t="n">
        <v>46087</v>
      </c>
      <c r="B797" s="70" t="n">
        <v>447</v>
      </c>
      <c r="C797" s="115" t="inlineStr">
        <is>
          <t>MEGA</t>
        </is>
      </c>
      <c r="D797" s="115" t="inlineStr">
        <is>
          <t>SM350</t>
        </is>
      </c>
      <c r="E797" s="115" t="inlineStr">
        <is>
          <t>MİKAİL</t>
        </is>
      </c>
      <c r="F797" s="65" t="n"/>
      <c r="G797" s="152" t="n"/>
      <c r="H797" s="152" t="n">
        <v>468</v>
      </c>
      <c r="I797" s="156">
        <f>+I796+(G797-H797)</f>
        <v/>
      </c>
      <c r="J797" s="90" t="n">
        <v>52.25</v>
      </c>
      <c r="K797" s="166" t="n"/>
      <c r="L797" s="158">
        <f>+H797*J797</f>
        <v/>
      </c>
      <c r="M797" s="159">
        <f>SUM(M796+K797-L797)</f>
        <v/>
      </c>
    </row>
    <row r="798">
      <c r="A798" s="151" t="n">
        <v>46087</v>
      </c>
      <c r="B798" s="70" t="n">
        <v>448</v>
      </c>
      <c r="C798" s="115" t="inlineStr">
        <is>
          <t>MEGA</t>
        </is>
      </c>
      <c r="D798" s="115" t="inlineStr">
        <is>
          <t>KAWAZAKİ</t>
        </is>
      </c>
      <c r="E798" s="115" t="inlineStr">
        <is>
          <t>RAMAZAN</t>
        </is>
      </c>
      <c r="F798" s="65" t="n"/>
      <c r="G798" s="152" t="n"/>
      <c r="H798" s="152" t="n">
        <v>207</v>
      </c>
      <c r="I798" s="156">
        <f>+I797+(G798-H798)</f>
        <v/>
      </c>
      <c r="J798" s="90" t="n">
        <v>52.25</v>
      </c>
      <c r="K798" s="166" t="n"/>
      <c r="L798" s="158">
        <f>+H798*J798</f>
        <v/>
      </c>
      <c r="M798" s="159">
        <f>SUM(M797+K798-L798)</f>
        <v/>
      </c>
    </row>
    <row r="799">
      <c r="A799" s="151" t="n">
        <v>46088</v>
      </c>
      <c r="B799" s="70" t="n">
        <v>853</v>
      </c>
      <c r="C799" s="115" t="inlineStr">
        <is>
          <t>SELİM İNŞAAT</t>
        </is>
      </c>
      <c r="D799" s="115" t="inlineStr">
        <is>
          <t>34 EGR 922</t>
        </is>
      </c>
      <c r="E799" s="115" t="inlineStr">
        <is>
          <t>FARUK ÖZEN</t>
        </is>
      </c>
      <c r="F799" s="65" t="n">
        <v>505591</v>
      </c>
      <c r="G799" s="152" t="n"/>
      <c r="H799" s="152" t="n">
        <v>540</v>
      </c>
      <c r="I799" s="156">
        <f>+I798+(G799-H799)</f>
        <v/>
      </c>
      <c r="J799" s="90" t="n">
        <v>52.25</v>
      </c>
      <c r="K799" s="166" t="n"/>
      <c r="L799" s="158">
        <f>+H799*J799</f>
        <v/>
      </c>
      <c r="M799" s="159">
        <f>SUM(M798+K799-L799)</f>
        <v/>
      </c>
    </row>
    <row r="800">
      <c r="A800" s="151" t="n">
        <v>46088</v>
      </c>
      <c r="B800" s="70" t="n">
        <v>2796</v>
      </c>
      <c r="C800" s="115" t="inlineStr">
        <is>
          <t>SELİM İNŞAAT</t>
        </is>
      </c>
      <c r="D800" s="115" t="inlineStr">
        <is>
          <t>34 EDC 086</t>
        </is>
      </c>
      <c r="E800" s="115" t="inlineStr">
        <is>
          <t>SEZGİN KOCAGİL</t>
        </is>
      </c>
      <c r="F800" s="65" t="n">
        <v>377345</v>
      </c>
      <c r="G800" s="152" t="n"/>
      <c r="H800" s="152" t="n">
        <v>492</v>
      </c>
      <c r="I800" s="156">
        <f>+I799+(G800-H800)</f>
        <v/>
      </c>
      <c r="J800" s="90" t="n">
        <v>52.25</v>
      </c>
      <c r="K800" s="166" t="n"/>
      <c r="L800" s="158">
        <f>+H800*J800</f>
        <v/>
      </c>
      <c r="M800" s="159">
        <f>SUM(M799+K800-L800)</f>
        <v/>
      </c>
    </row>
    <row r="801">
      <c r="A801" s="151" t="n">
        <v>46088</v>
      </c>
      <c r="B801" s="70" t="n">
        <v>14</v>
      </c>
      <c r="C801" s="115" t="inlineStr">
        <is>
          <t>SELİM İNŞAAT</t>
        </is>
      </c>
      <c r="D801" s="115" t="inlineStr">
        <is>
          <t xml:space="preserve">34 GVZ 268 </t>
        </is>
      </c>
      <c r="E801" s="115" t="inlineStr">
        <is>
          <t>KERİM KARAMAN</t>
        </is>
      </c>
      <c r="F801" s="65" t="n">
        <v>252980</v>
      </c>
      <c r="G801" s="152" t="n"/>
      <c r="H801" s="152" t="n">
        <v>386</v>
      </c>
      <c r="I801" s="156">
        <f>+I800+(G801-H801)</f>
        <v/>
      </c>
      <c r="J801" s="90" t="n">
        <v>52.25</v>
      </c>
      <c r="K801" s="166" t="n"/>
      <c r="L801" s="158">
        <f>+H801*J801</f>
        <v/>
      </c>
      <c r="M801" s="159">
        <f>SUM(M800+K801-L801)</f>
        <v/>
      </c>
    </row>
    <row r="802">
      <c r="A802" s="151" t="n">
        <v>46088</v>
      </c>
      <c r="B802" s="70" t="n">
        <v>4928</v>
      </c>
      <c r="C802" s="115" t="inlineStr">
        <is>
          <t>SELİM İNŞAAT</t>
        </is>
      </c>
      <c r="D802" s="115" t="inlineStr">
        <is>
          <t>34 FBR 742</t>
        </is>
      </c>
      <c r="E802" s="115" t="inlineStr">
        <is>
          <t>ADNAN KOÇ</t>
        </is>
      </c>
      <c r="F802" s="65" t="n">
        <v>367239</v>
      </c>
      <c r="G802" s="152" t="n"/>
      <c r="H802" s="152" t="n">
        <v>378</v>
      </c>
      <c r="I802" s="156">
        <f>+I801+(G802-H802)</f>
        <v/>
      </c>
      <c r="J802" s="90" t="n">
        <v>52.25</v>
      </c>
      <c r="K802" s="166" t="n"/>
      <c r="L802" s="158">
        <f>+H802*J802</f>
        <v/>
      </c>
      <c r="M802" s="159">
        <f>SUM(M801+K802-L802)</f>
        <v/>
      </c>
    </row>
    <row r="803">
      <c r="A803" s="151" t="n">
        <v>46088</v>
      </c>
      <c r="B803" s="70" t="n">
        <v>1548</v>
      </c>
      <c r="C803" s="115" t="inlineStr">
        <is>
          <t>SELİM İNŞAAT</t>
        </is>
      </c>
      <c r="D803" s="115" t="inlineStr">
        <is>
          <t>34 GUS 848</t>
        </is>
      </c>
      <c r="E803" s="115" t="inlineStr">
        <is>
          <t>SERDAR BOZKURT</t>
        </is>
      </c>
      <c r="F803" s="65" t="n">
        <v>234391</v>
      </c>
      <c r="G803" s="152" t="n"/>
      <c r="H803" s="152" t="n">
        <v>542</v>
      </c>
      <c r="I803" s="156">
        <f>+I802+(G803-H803)</f>
        <v/>
      </c>
      <c r="J803" s="90" t="n">
        <v>52.25</v>
      </c>
      <c r="K803" s="166" t="n"/>
      <c r="L803" s="158">
        <f>+H803*J803</f>
        <v/>
      </c>
      <c r="M803" s="159">
        <f>SUM(M802+K803-L803)</f>
        <v/>
      </c>
    </row>
    <row r="804">
      <c r="A804" s="151" t="n">
        <v>46088</v>
      </c>
      <c r="B804" s="70" t="n">
        <v>3333</v>
      </c>
      <c r="C804" s="115" t="inlineStr">
        <is>
          <t>SELİM İNŞAAT</t>
        </is>
      </c>
      <c r="D804" s="115" t="inlineStr">
        <is>
          <t>34  GUS 938</t>
        </is>
      </c>
      <c r="E804" s="115" t="inlineStr">
        <is>
          <t>MEHMET KAYA</t>
        </is>
      </c>
      <c r="F804" s="65" t="n">
        <v>248712</v>
      </c>
      <c r="G804" s="152" t="n"/>
      <c r="H804" s="152" t="n">
        <v>395</v>
      </c>
      <c r="I804" s="156">
        <f>+I803+(G804-H804)</f>
        <v/>
      </c>
      <c r="J804" s="90" t="n">
        <v>52.25</v>
      </c>
      <c r="K804" s="166" t="n"/>
      <c r="L804" s="158">
        <f>+H804*J804</f>
        <v/>
      </c>
      <c r="M804" s="159">
        <f>SUM(M803+K804-L804)</f>
        <v/>
      </c>
    </row>
    <row r="805">
      <c r="A805" s="151" t="n">
        <v>46088</v>
      </c>
      <c r="B805" s="70" t="n">
        <v>4419</v>
      </c>
      <c r="C805" s="115" t="inlineStr">
        <is>
          <t>SELİM İNŞAAT</t>
        </is>
      </c>
      <c r="D805" s="115" t="inlineStr">
        <is>
          <t>34 DTV 409</t>
        </is>
      </c>
      <c r="E805" s="115" t="inlineStr">
        <is>
          <t>ATA KIZMAZ</t>
        </is>
      </c>
      <c r="F805" s="65" t="n">
        <v>454660</v>
      </c>
      <c r="G805" s="152" t="n"/>
      <c r="H805" s="152" t="n">
        <v>557</v>
      </c>
      <c r="I805" s="156">
        <f>+I804+(G805-H805)</f>
        <v/>
      </c>
      <c r="J805" s="90" t="n">
        <v>52.25</v>
      </c>
      <c r="K805" s="166" t="n"/>
      <c r="L805" s="158">
        <f>+H805*J805</f>
        <v/>
      </c>
      <c r="M805" s="159">
        <f>SUM(M804+K805-L805)</f>
        <v/>
      </c>
    </row>
    <row r="806">
      <c r="A806" s="151" t="n">
        <v>46088</v>
      </c>
      <c r="B806" s="70" t="n">
        <v>907</v>
      </c>
      <c r="C806" s="115" t="inlineStr">
        <is>
          <t>SELİM İNŞAAT</t>
        </is>
      </c>
      <c r="D806" s="115" t="inlineStr">
        <is>
          <t>34 FSG 229</t>
        </is>
      </c>
      <c r="E806" s="115" t="inlineStr">
        <is>
          <t>SİNAN TANRIVERDİ</t>
        </is>
      </c>
      <c r="F806" s="65" t="n">
        <v>300617</v>
      </c>
      <c r="G806" s="152" t="n"/>
      <c r="H806" s="152" t="n">
        <v>360</v>
      </c>
      <c r="I806" s="156">
        <f>+I805+(G806-H806)</f>
        <v/>
      </c>
      <c r="J806" s="90" t="n">
        <v>52.25</v>
      </c>
      <c r="K806" s="166" t="n"/>
      <c r="L806" s="158">
        <f>+H806*J806</f>
        <v/>
      </c>
      <c r="M806" s="159">
        <f>SUM(M805+K806-L806)</f>
        <v/>
      </c>
    </row>
    <row r="807">
      <c r="A807" s="151" t="n">
        <v>46088</v>
      </c>
      <c r="B807" s="70" t="n">
        <v>4974</v>
      </c>
      <c r="C807" s="115" t="inlineStr">
        <is>
          <t>SELİM İNŞAAT</t>
        </is>
      </c>
      <c r="D807" s="115" t="inlineStr">
        <is>
          <t>34 GVZ 745</t>
        </is>
      </c>
      <c r="E807" s="115" t="inlineStr">
        <is>
          <t>MURAT DEMİRBAĞ</t>
        </is>
      </c>
      <c r="F807" s="65" t="n">
        <v>248828</v>
      </c>
      <c r="G807" s="152" t="n"/>
      <c r="H807" s="152" t="n">
        <v>429</v>
      </c>
      <c r="I807" s="156">
        <f>+I806+(G807-H807)</f>
        <v/>
      </c>
      <c r="J807" s="90" t="n">
        <v>52.25</v>
      </c>
      <c r="K807" s="166" t="n"/>
      <c r="L807" s="158">
        <f>+H807*J807</f>
        <v/>
      </c>
      <c r="M807" s="159">
        <f>SUM(M806+K807-L807)</f>
        <v/>
      </c>
    </row>
    <row r="808">
      <c r="A808" s="151" t="n">
        <v>46088</v>
      </c>
      <c r="B808" s="70" t="n">
        <v>4879</v>
      </c>
      <c r="C808" s="115" t="inlineStr">
        <is>
          <t>SELİM İNŞAAT</t>
        </is>
      </c>
      <c r="D808" s="115" t="inlineStr">
        <is>
          <t>34 FBR 705</t>
        </is>
      </c>
      <c r="E808" s="115" t="inlineStr">
        <is>
          <t>MURAT SARI</t>
        </is>
      </c>
      <c r="F808" s="65" t="n">
        <v>363683</v>
      </c>
      <c r="G808" s="152" t="n"/>
      <c r="H808" s="152" t="n">
        <v>385</v>
      </c>
      <c r="I808" s="156">
        <f>+I807+(G808-H808)</f>
        <v/>
      </c>
      <c r="J808" s="90" t="n">
        <v>52.25</v>
      </c>
      <c r="K808" s="166" t="n"/>
      <c r="L808" s="158">
        <f>+H808*J808</f>
        <v/>
      </c>
      <c r="M808" s="159">
        <f>SUM(M807+K808-L808)</f>
        <v/>
      </c>
    </row>
    <row r="809">
      <c r="A809" s="151" t="n">
        <v>46088</v>
      </c>
      <c r="B809" s="70" t="n">
        <v>152</v>
      </c>
      <c r="C809" s="115" t="inlineStr">
        <is>
          <t>SELİM İNŞAAT</t>
        </is>
      </c>
      <c r="D809" s="115" t="inlineStr">
        <is>
          <t>34 FBR 771</t>
        </is>
      </c>
      <c r="E809" s="115" t="inlineStr">
        <is>
          <t>SALİH YALÇIN</t>
        </is>
      </c>
      <c r="F809" s="65" t="n">
        <v>351461</v>
      </c>
      <c r="G809" s="152" t="n"/>
      <c r="H809" s="152" t="n">
        <v>415</v>
      </c>
      <c r="I809" s="156">
        <f>+I808+(G809-H809)</f>
        <v/>
      </c>
      <c r="J809" s="90" t="n">
        <v>52.25</v>
      </c>
      <c r="K809" s="166" t="n"/>
      <c r="L809" s="158">
        <f>+H809*J809</f>
        <v/>
      </c>
      <c r="M809" s="159">
        <f>SUM(M808+K809-L809)</f>
        <v/>
      </c>
    </row>
    <row r="810">
      <c r="A810" s="151" t="n">
        <v>46088</v>
      </c>
      <c r="B810" s="70" t="n">
        <v>3393</v>
      </c>
      <c r="C810" s="115" t="inlineStr">
        <is>
          <t>SELİM İNŞAAT</t>
        </is>
      </c>
      <c r="D810" s="115" t="inlineStr">
        <is>
          <t>34 EDC 162</t>
        </is>
      </c>
      <c r="E810" s="115" t="inlineStr">
        <is>
          <t>YAKUP GÜNER</t>
        </is>
      </c>
      <c r="F810" s="65" t="n">
        <v>417319</v>
      </c>
      <c r="G810" s="152" t="n"/>
      <c r="H810" s="152" t="n">
        <v>346</v>
      </c>
      <c r="I810" s="156">
        <f>+I809+(G810-H810)</f>
        <v/>
      </c>
      <c r="J810" s="90" t="n">
        <v>52.25</v>
      </c>
      <c r="K810" s="166" t="n"/>
      <c r="L810" s="158">
        <f>+H810*J810</f>
        <v/>
      </c>
      <c r="M810" s="159">
        <f>SUM(M809+K810-L810)</f>
        <v/>
      </c>
    </row>
    <row r="811">
      <c r="A811" s="151" t="n">
        <v>46088</v>
      </c>
      <c r="B811" s="70" t="n">
        <v>652</v>
      </c>
      <c r="C811" s="115" t="inlineStr">
        <is>
          <t>SELİM İNŞAAT</t>
        </is>
      </c>
      <c r="D811" s="115" t="inlineStr">
        <is>
          <t>34 GU 945</t>
        </is>
      </c>
      <c r="E811" s="115" t="inlineStr">
        <is>
          <t>YAKUP URUCU</t>
        </is>
      </c>
      <c r="F811" s="65" t="n">
        <v>473071</v>
      </c>
      <c r="G811" s="152" t="n"/>
      <c r="H811" s="152" t="n">
        <v>45</v>
      </c>
      <c r="I811" s="156">
        <f>+I810+(G811-H811)</f>
        <v/>
      </c>
      <c r="J811" s="90" t="n">
        <v>52.25</v>
      </c>
      <c r="K811" s="166" t="n"/>
      <c r="L811" s="158">
        <f>+H811*J811</f>
        <v/>
      </c>
      <c r="M811" s="159">
        <f>SUM(M810+K811-L811)</f>
        <v/>
      </c>
    </row>
    <row r="812">
      <c r="A812" s="151" t="n">
        <v>46088</v>
      </c>
      <c r="B812" s="70" t="n">
        <v>4465</v>
      </c>
      <c r="C812" s="115" t="inlineStr">
        <is>
          <t>SELİM İNŞAAT</t>
        </is>
      </c>
      <c r="D812" s="115" t="inlineStr">
        <is>
          <t>34 DKL 798</t>
        </is>
      </c>
      <c r="E812" s="115" t="inlineStr">
        <is>
          <t>HASAN BAYCA</t>
        </is>
      </c>
      <c r="F812" s="65" t="n">
        <v>81186</v>
      </c>
      <c r="G812" s="152" t="n"/>
      <c r="H812" s="152" t="n">
        <v>396</v>
      </c>
      <c r="I812" s="156">
        <f>+I811+(G812-H812)</f>
        <v/>
      </c>
      <c r="J812" s="90" t="n">
        <v>52.25</v>
      </c>
      <c r="K812" s="166" t="n"/>
      <c r="L812" s="158">
        <f>+H812*J812</f>
        <v/>
      </c>
      <c r="M812" s="159">
        <f>SUM(M811+K812-L812)</f>
        <v/>
      </c>
    </row>
    <row r="813">
      <c r="A813" s="151" t="n">
        <v>46088</v>
      </c>
      <c r="B813" s="70" t="n">
        <v>2592</v>
      </c>
      <c r="C813" s="115" t="inlineStr">
        <is>
          <t>SELİM İNŞAAT</t>
        </is>
      </c>
      <c r="D813" s="115" t="inlineStr">
        <is>
          <t>34 GER 028</t>
        </is>
      </c>
      <c r="E813" s="115" t="inlineStr">
        <is>
          <t>ABDÜLKERİM ERGEN</t>
        </is>
      </c>
      <c r="F813" s="65" t="n">
        <v>60490</v>
      </c>
      <c r="G813" s="152" t="n"/>
      <c r="H813" s="152" t="n">
        <v>390</v>
      </c>
      <c r="I813" s="156">
        <f>+I812+(G813-H813)</f>
        <v/>
      </c>
      <c r="J813" s="90" t="n">
        <v>52.25</v>
      </c>
      <c r="K813" s="166" t="n"/>
      <c r="L813" s="158">
        <f>+H813*J813</f>
        <v/>
      </c>
      <c r="M813" s="159">
        <f>SUM(M812+K813-L813)</f>
        <v/>
      </c>
    </row>
    <row r="814">
      <c r="A814" s="151" t="n">
        <v>46088</v>
      </c>
      <c r="B814" s="70" t="n">
        <v>2345</v>
      </c>
      <c r="C814" s="115" t="inlineStr">
        <is>
          <t>SELİM İNŞAAT</t>
        </is>
      </c>
      <c r="D814" s="115" t="inlineStr">
        <is>
          <t>34 DP 4161</t>
        </is>
      </c>
      <c r="E814" s="115" t="inlineStr">
        <is>
          <t>RIFAT KARATAY</t>
        </is>
      </c>
      <c r="F814" s="65" t="n">
        <v>320750</v>
      </c>
      <c r="G814" s="152" t="n"/>
      <c r="H814" s="152" t="n">
        <v>395</v>
      </c>
      <c r="I814" s="156">
        <f>+I813+(G814-H814)</f>
        <v/>
      </c>
      <c r="J814" s="90" t="n">
        <v>52.25</v>
      </c>
      <c r="K814" s="166" t="n"/>
      <c r="L814" s="158">
        <f>+H814*J814</f>
        <v/>
      </c>
      <c r="M814" s="159">
        <f>SUM(M813+K814-L814)</f>
        <v/>
      </c>
    </row>
    <row r="815">
      <c r="A815" s="151" t="n">
        <v>46088</v>
      </c>
      <c r="B815" s="70" t="n">
        <v>304</v>
      </c>
      <c r="C815" s="115" t="inlineStr">
        <is>
          <t>SELİM İNŞAAT</t>
        </is>
      </c>
      <c r="D815" s="115" t="inlineStr">
        <is>
          <t>34 GER 445</t>
        </is>
      </c>
      <c r="E815" s="115" t="inlineStr">
        <is>
          <t>MUSTAFA ERYİĞİT</t>
        </is>
      </c>
      <c r="F815" s="65" t="n">
        <v>57862</v>
      </c>
      <c r="G815" s="152" t="n"/>
      <c r="H815" s="152" t="n">
        <v>390</v>
      </c>
      <c r="I815" s="156">
        <f>+I814+(G815-H815)</f>
        <v/>
      </c>
      <c r="J815" s="90" t="n">
        <v>52.25</v>
      </c>
      <c r="K815" s="166" t="n"/>
      <c r="L815" s="158">
        <f>+H815*J815</f>
        <v/>
      </c>
      <c r="M815" s="159">
        <f>SUM(M814+K815-L815)</f>
        <v/>
      </c>
    </row>
    <row r="816">
      <c r="A816" s="151" t="n">
        <v>46088</v>
      </c>
      <c r="B816" s="70" t="n">
        <v>620</v>
      </c>
      <c r="C816" s="115" t="inlineStr">
        <is>
          <t>SELİM İNŞAAT</t>
        </is>
      </c>
      <c r="D816" s="115" t="inlineStr">
        <is>
          <t>34 BUR 461</t>
        </is>
      </c>
      <c r="E816" s="115" t="inlineStr">
        <is>
          <t xml:space="preserve">MUSTAFA ALBAYRAK </t>
        </is>
      </c>
      <c r="F816" s="65" t="n"/>
      <c r="G816" s="152" t="n"/>
      <c r="H816" s="152" t="n">
        <v>60</v>
      </c>
      <c r="I816" s="156">
        <f>+I815+(G816-H816)</f>
        <v/>
      </c>
      <c r="J816" s="90" t="n">
        <v>52.25</v>
      </c>
      <c r="K816" s="166" t="n"/>
      <c r="L816" s="158">
        <f>+H816*J816</f>
        <v/>
      </c>
      <c r="M816" s="159">
        <f>SUM(M815+K816-L816)</f>
        <v/>
      </c>
    </row>
    <row r="817">
      <c r="A817" s="151" t="n">
        <v>46088</v>
      </c>
      <c r="B817" s="70" t="n">
        <v>621</v>
      </c>
      <c r="C817" s="115" t="inlineStr">
        <is>
          <t>AHMET SELİM TEMHA</t>
        </is>
      </c>
      <c r="D817" s="115" t="inlineStr">
        <is>
          <t>34 PGT 251</t>
        </is>
      </c>
      <c r="E817" s="115" t="inlineStr">
        <is>
          <t>ERSOY SIĞINMAZ</t>
        </is>
      </c>
      <c r="F817" s="65" t="n"/>
      <c r="G817" s="152" t="n"/>
      <c r="H817" s="152" t="n">
        <v>42</v>
      </c>
      <c r="I817" s="156">
        <f>+I816+(G817-H817)</f>
        <v/>
      </c>
      <c r="J817" s="90" t="n">
        <v>52.25</v>
      </c>
      <c r="K817" s="166" t="n"/>
      <c r="L817" s="158">
        <f>+H817*J817</f>
        <v/>
      </c>
      <c r="M817" s="159">
        <f>SUM(M816+K817-L817)</f>
        <v/>
      </c>
    </row>
    <row r="818">
      <c r="A818" s="151" t="n">
        <v>46088</v>
      </c>
      <c r="B818" s="70" t="n">
        <v>622</v>
      </c>
      <c r="C818" s="115" t="inlineStr">
        <is>
          <t>MAHMUT VİNÇ</t>
        </is>
      </c>
      <c r="D818" s="115" t="inlineStr">
        <is>
          <t>34 AH 5401</t>
        </is>
      </c>
      <c r="E818" s="115" t="inlineStr">
        <is>
          <t>YASİN DEMİR</t>
        </is>
      </c>
      <c r="F818" s="65" t="n"/>
      <c r="G818" s="152" t="n"/>
      <c r="H818" s="152" t="n">
        <v>66</v>
      </c>
      <c r="I818" s="156">
        <f>+I817+(G818-H818)</f>
        <v/>
      </c>
      <c r="J818" s="90" t="n">
        <v>52.25</v>
      </c>
      <c r="K818" s="166" t="n"/>
      <c r="L818" s="158">
        <f>+H818*J818</f>
        <v/>
      </c>
      <c r="M818" s="159">
        <f>SUM(M817+K818-L818)</f>
        <v/>
      </c>
    </row>
    <row r="819">
      <c r="A819" s="151" t="n">
        <v>46088</v>
      </c>
      <c r="B819" s="70" t="n">
        <v>715</v>
      </c>
      <c r="C819" s="115" t="inlineStr">
        <is>
          <t>METİN ERYİĞİT</t>
        </is>
      </c>
      <c r="D819" s="115" t="inlineStr">
        <is>
          <t>34 EGS 013</t>
        </is>
      </c>
      <c r="E819" s="115" t="inlineStr">
        <is>
          <t>UĞUR DUMAN</t>
        </is>
      </c>
      <c r="F819" s="65" t="n"/>
      <c r="G819" s="152" t="n"/>
      <c r="H819" s="152" t="n">
        <v>388</v>
      </c>
      <c r="I819" s="156">
        <f>+I818+(G819-H819)</f>
        <v/>
      </c>
      <c r="J819" s="90" t="n">
        <v>52.25</v>
      </c>
      <c r="K819" s="166" t="n"/>
      <c r="L819" s="158">
        <f>+H819*J819</f>
        <v/>
      </c>
      <c r="M819" s="159">
        <f>SUM(M818+K819-L819)</f>
        <v/>
      </c>
    </row>
    <row r="820">
      <c r="A820" s="151" t="n">
        <v>46088</v>
      </c>
      <c r="B820" s="70" t="n">
        <v>449</v>
      </c>
      <c r="C820" s="115" t="inlineStr">
        <is>
          <t>MEGA</t>
        </is>
      </c>
      <c r="D820" s="115" t="inlineStr">
        <is>
          <t>SM300</t>
        </is>
      </c>
      <c r="E820" s="115" t="inlineStr">
        <is>
          <t>TEKİN</t>
        </is>
      </c>
      <c r="F820" s="65" t="n"/>
      <c r="G820" s="152" t="n"/>
      <c r="H820" s="152" t="n">
        <v>427</v>
      </c>
      <c r="I820" s="156">
        <f>+I819+(G820-H820)</f>
        <v/>
      </c>
      <c r="J820" s="90" t="n">
        <v>52.25</v>
      </c>
      <c r="K820" s="166" t="n"/>
      <c r="L820" s="158">
        <f>+H820*J820</f>
        <v/>
      </c>
      <c r="M820" s="159">
        <f>SUM(M819+K820-L820)</f>
        <v/>
      </c>
    </row>
    <row r="821">
      <c r="A821" s="151" t="n">
        <v>46088</v>
      </c>
      <c r="B821" s="70" t="n">
        <v>450</v>
      </c>
      <c r="C821" s="115" t="inlineStr">
        <is>
          <t>KOZMO</t>
        </is>
      </c>
      <c r="D821" s="115" t="inlineStr">
        <is>
          <t>KAWAZAKİ</t>
        </is>
      </c>
      <c r="E821" s="115" t="inlineStr">
        <is>
          <t>RAMAZAN</t>
        </is>
      </c>
      <c r="F821" s="65" t="n"/>
      <c r="G821" s="152" t="n"/>
      <c r="H821" s="152" t="n">
        <v>195</v>
      </c>
      <c r="I821" s="156">
        <f>+I820+(G821-H821)</f>
        <v/>
      </c>
      <c r="J821" s="90" t="n">
        <v>52.25</v>
      </c>
      <c r="K821" s="166" t="n"/>
      <c r="L821" s="158">
        <f>+H821*J821</f>
        <v/>
      </c>
      <c r="M821" s="159">
        <f>SUM(M820+K821-L821)</f>
        <v/>
      </c>
    </row>
    <row r="822">
      <c r="A822" s="151" t="n">
        <v>46088</v>
      </c>
      <c r="B822" s="70" t="n">
        <v>451</v>
      </c>
      <c r="C822" s="115" t="inlineStr">
        <is>
          <t>MEGA</t>
        </is>
      </c>
      <c r="D822" s="115" t="inlineStr">
        <is>
          <t>SM370</t>
        </is>
      </c>
      <c r="E822" s="115" t="inlineStr">
        <is>
          <t>TEKİN</t>
        </is>
      </c>
      <c r="F822" s="65" t="n"/>
      <c r="G822" s="152" t="n"/>
      <c r="H822" s="152" t="n">
        <v>570</v>
      </c>
      <c r="I822" s="156">
        <f>+I821+(G822-H822)</f>
        <v/>
      </c>
      <c r="J822" s="90" t="n">
        <v>52.25</v>
      </c>
      <c r="K822" s="166" t="n"/>
      <c r="L822" s="158">
        <f>+H822*J822</f>
        <v/>
      </c>
      <c r="M822" s="159">
        <f>SUM(M821+K822-L822)</f>
        <v/>
      </c>
    </row>
    <row r="823">
      <c r="A823" s="151" t="n">
        <v>46088</v>
      </c>
      <c r="B823" s="70" t="n">
        <v>452</v>
      </c>
      <c r="C823" s="115" t="inlineStr">
        <is>
          <t>KOZMO</t>
        </is>
      </c>
      <c r="D823" s="115" t="inlineStr">
        <is>
          <t>HİTACHİ</t>
        </is>
      </c>
      <c r="E823" s="115" t="inlineStr">
        <is>
          <t>TURGUT</t>
        </is>
      </c>
      <c r="F823" s="65" t="n"/>
      <c r="G823" s="152" t="n"/>
      <c r="H823" s="152" t="n">
        <v>516</v>
      </c>
      <c r="I823" s="156">
        <f>+I822+(G823-H823)</f>
        <v/>
      </c>
      <c r="J823" s="90" t="n">
        <v>52.25</v>
      </c>
      <c r="K823" s="166" t="n"/>
      <c r="L823" s="158">
        <f>+H823*J823</f>
        <v/>
      </c>
      <c r="M823" s="159">
        <f>SUM(M822+K823-L823)</f>
        <v/>
      </c>
    </row>
    <row r="824">
      <c r="A824" s="151" t="n">
        <v>46089</v>
      </c>
      <c r="B824" s="70" t="n">
        <v>2981</v>
      </c>
      <c r="C824" s="115" t="inlineStr">
        <is>
          <t>SELİM İNŞAAT</t>
        </is>
      </c>
      <c r="D824" s="115" t="inlineStr">
        <is>
          <t>34 DFE 454</t>
        </is>
      </c>
      <c r="E824" s="115" t="inlineStr">
        <is>
          <t>HÜSEYİN ALIN</t>
        </is>
      </c>
      <c r="F824" s="65" t="n">
        <v>174890</v>
      </c>
      <c r="G824" s="152" t="n"/>
      <c r="H824" s="152" t="n">
        <v>400</v>
      </c>
      <c r="I824" s="156">
        <f>+I823+(G824-H824)</f>
        <v/>
      </c>
      <c r="J824" s="90" t="n">
        <v>52.25</v>
      </c>
      <c r="K824" s="166" t="n"/>
      <c r="L824" s="158">
        <f>+H824*J824</f>
        <v/>
      </c>
      <c r="M824" s="159">
        <f>SUM(M823+K824-L824)</f>
        <v/>
      </c>
    </row>
    <row r="825">
      <c r="A825" s="151" t="n">
        <v>46089</v>
      </c>
      <c r="B825" s="70" t="n">
        <v>3729</v>
      </c>
      <c r="C825" s="115" t="inlineStr">
        <is>
          <t>SELİM İNŞAAT</t>
        </is>
      </c>
      <c r="D825" s="115" t="inlineStr">
        <is>
          <t>34 DKL 866</t>
        </is>
      </c>
      <c r="E825" s="115" t="inlineStr">
        <is>
          <t>SELİMCAN ÖNVER</t>
        </is>
      </c>
      <c r="F825" s="65" t="n">
        <v>82574</v>
      </c>
      <c r="G825" s="152" t="n"/>
      <c r="H825" s="152" t="n">
        <v>385</v>
      </c>
      <c r="I825" s="156">
        <f>+I824+(G825-H825)</f>
        <v/>
      </c>
      <c r="J825" s="90" t="n">
        <v>52.25</v>
      </c>
      <c r="K825" s="166" t="n"/>
      <c r="L825" s="158">
        <f>+H825*J825</f>
        <v/>
      </c>
      <c r="M825" s="159">
        <f>SUM(M824+K825-L825)</f>
        <v/>
      </c>
    </row>
    <row r="826">
      <c r="A826" s="151" t="n">
        <v>46089</v>
      </c>
      <c r="B826" s="70" t="n">
        <v>453</v>
      </c>
      <c r="C826" s="115" t="inlineStr">
        <is>
          <t>HASALTUN</t>
        </is>
      </c>
      <c r="D826" s="115" t="inlineStr">
        <is>
          <t>SM350</t>
        </is>
      </c>
      <c r="E826" s="115" t="inlineStr">
        <is>
          <t>TEVFİK</t>
        </is>
      </c>
      <c r="F826" s="65" t="n"/>
      <c r="G826" s="152" t="n"/>
      <c r="H826" s="152" t="n">
        <v>510</v>
      </c>
      <c r="I826" s="156">
        <f>+I825+(G826-H826)</f>
        <v/>
      </c>
      <c r="J826" s="90" t="n">
        <v>52.25</v>
      </c>
      <c r="K826" s="166" t="n"/>
      <c r="L826" s="158">
        <f>+H826*J826</f>
        <v/>
      </c>
      <c r="M826" s="159">
        <f>SUM(M825+K826-L826)</f>
        <v/>
      </c>
    </row>
    <row r="827">
      <c r="A827" s="151" t="n">
        <v>46089</v>
      </c>
      <c r="B827" s="70" t="n">
        <v>454</v>
      </c>
      <c r="C827" s="115" t="inlineStr">
        <is>
          <t>HASALTUN</t>
        </is>
      </c>
      <c r="D827" s="115" t="inlineStr">
        <is>
          <t>SİLİNDİR</t>
        </is>
      </c>
      <c r="E827" s="115" t="inlineStr">
        <is>
          <t>ÖNER</t>
        </is>
      </c>
      <c r="F827" s="65" t="n"/>
      <c r="G827" s="152" t="n"/>
      <c r="H827" s="152" t="n">
        <v>250</v>
      </c>
      <c r="I827" s="156">
        <f>+I826+(G827-H827)</f>
        <v/>
      </c>
      <c r="J827" s="90" t="n">
        <v>52.25</v>
      </c>
      <c r="K827" s="166" t="n"/>
      <c r="L827" s="158">
        <f>+H827*J827</f>
        <v/>
      </c>
      <c r="M827" s="159">
        <f>SUM(M826+K827-L827)</f>
        <v/>
      </c>
    </row>
    <row r="828">
      <c r="A828" s="167" t="n">
        <v>46090</v>
      </c>
      <c r="B828" s="83" t="n">
        <v>478</v>
      </c>
      <c r="C828" s="84" t="inlineStr">
        <is>
          <t>ÜNSOY TURİZM İNŞ.SAN.VE TİC.A.Ş.</t>
        </is>
      </c>
      <c r="D828" s="84" t="n"/>
      <c r="E828" s="84" t="n"/>
      <c r="F828" s="85" t="n"/>
      <c r="G828" s="168" t="n">
        <v>24703</v>
      </c>
      <c r="H828" s="168" t="n"/>
      <c r="I828" s="168">
        <f>+I827+(G828-H828)</f>
        <v/>
      </c>
      <c r="J828" s="87">
        <f>+K828/G828</f>
        <v/>
      </c>
      <c r="K828" s="169" t="n">
        <v>1394484.34</v>
      </c>
      <c r="L828" s="170">
        <f>+H828*J828</f>
        <v/>
      </c>
      <c r="M828" s="170">
        <f>SUM(M827+K828-L828)</f>
        <v/>
      </c>
    </row>
    <row r="829">
      <c r="A829" s="151" t="n">
        <v>46090</v>
      </c>
      <c r="B829" s="70" t="n">
        <v>1344</v>
      </c>
      <c r="C829" s="115" t="inlineStr">
        <is>
          <t>SELİM İNŞAAT</t>
        </is>
      </c>
      <c r="D829" s="115" t="inlineStr">
        <is>
          <t>34 GVZ 199</t>
        </is>
      </c>
      <c r="E829" s="115" t="inlineStr">
        <is>
          <t>HÜSEYİN DENİZ</t>
        </is>
      </c>
      <c r="F829" s="65" t="n">
        <v>228203</v>
      </c>
      <c r="G829" s="152" t="n"/>
      <c r="H829" s="152" t="n">
        <v>470</v>
      </c>
      <c r="I829" s="156">
        <f>+I828+(G829-H829)</f>
        <v/>
      </c>
      <c r="J829" s="90" t="n">
        <v>56.45</v>
      </c>
      <c r="K829" s="166" t="n"/>
      <c r="L829" s="158">
        <f>+H829*J829</f>
        <v/>
      </c>
      <c r="M829" s="159">
        <f>SUM(M828+K829-L829)</f>
        <v/>
      </c>
    </row>
    <row r="830">
      <c r="A830" s="151" t="n">
        <v>46090</v>
      </c>
      <c r="B830" s="70" t="n">
        <v>4770</v>
      </c>
      <c r="C830" s="115" t="inlineStr">
        <is>
          <t>SELİM İNŞAAT</t>
        </is>
      </c>
      <c r="D830" s="115" t="inlineStr">
        <is>
          <t>34 DGP 137</t>
        </is>
      </c>
      <c r="E830" s="115" t="inlineStr">
        <is>
          <t>YASİN ÇATAKLI</t>
        </is>
      </c>
      <c r="F830" s="65" t="n">
        <v>476661</v>
      </c>
      <c r="G830" s="152" t="n"/>
      <c r="H830" s="152" t="n">
        <v>482</v>
      </c>
      <c r="I830" s="156">
        <f>+I829+(G830-H830)</f>
        <v/>
      </c>
      <c r="J830" s="90" t="n">
        <v>56.45</v>
      </c>
      <c r="K830" s="166" t="n"/>
      <c r="L830" s="158">
        <f>+H830*J830</f>
        <v/>
      </c>
      <c r="M830" s="159">
        <f>SUM(M829+K830-L830)</f>
        <v/>
      </c>
    </row>
    <row r="831">
      <c r="A831" s="151" t="n">
        <v>46090</v>
      </c>
      <c r="B831" s="70" t="n">
        <v>15</v>
      </c>
      <c r="C831" s="115" t="inlineStr">
        <is>
          <t>SELİM İNŞAAT</t>
        </is>
      </c>
      <c r="D831" s="115" t="inlineStr">
        <is>
          <t xml:space="preserve">34 GVZ 268 </t>
        </is>
      </c>
      <c r="E831" s="115" t="inlineStr">
        <is>
          <t>KERİM KARAMAN</t>
        </is>
      </c>
      <c r="F831" s="65" t="n">
        <v>253184</v>
      </c>
      <c r="G831" s="152" t="n"/>
      <c r="H831" s="152" t="n">
        <v>240</v>
      </c>
      <c r="I831" s="156">
        <f>+I830+(G831-H831)</f>
        <v/>
      </c>
      <c r="J831" s="90" t="n">
        <v>56.45</v>
      </c>
      <c r="K831" s="166" t="n"/>
      <c r="L831" s="158">
        <f>+H831*J831</f>
        <v/>
      </c>
      <c r="M831" s="159">
        <f>SUM(M830+K831-L831)</f>
        <v/>
      </c>
    </row>
    <row r="832">
      <c r="A832" s="151" t="n">
        <v>46090</v>
      </c>
      <c r="B832" s="70" t="n">
        <v>952</v>
      </c>
      <c r="C832" s="115" t="inlineStr">
        <is>
          <t>SELİM İNŞAAT</t>
        </is>
      </c>
      <c r="D832" s="115" t="inlineStr">
        <is>
          <t>34 DSN 636</t>
        </is>
      </c>
      <c r="E832" s="115" t="inlineStr">
        <is>
          <t>SEZGİN KOCAGİL</t>
        </is>
      </c>
      <c r="F832" s="65" t="n">
        <v>434495</v>
      </c>
      <c r="G832" s="152" t="n"/>
      <c r="H832" s="152" t="n">
        <v>448</v>
      </c>
      <c r="I832" s="156">
        <f>+I831+(G832-H832)</f>
        <v/>
      </c>
      <c r="J832" s="90" t="n">
        <v>56.45</v>
      </c>
      <c r="K832" s="166" t="n"/>
      <c r="L832" s="158">
        <f>+H832*J832</f>
        <v/>
      </c>
      <c r="M832" s="159">
        <f>SUM(M831+K832-L832)</f>
        <v/>
      </c>
    </row>
    <row r="833">
      <c r="A833" s="151" t="n">
        <v>46090</v>
      </c>
      <c r="B833" s="70" t="n">
        <v>4171</v>
      </c>
      <c r="C833" s="115" t="inlineStr">
        <is>
          <t>SELİM İNŞAAT</t>
        </is>
      </c>
      <c r="D833" s="115" t="inlineStr">
        <is>
          <t>34 FBR 748</t>
        </is>
      </c>
      <c r="E833" s="115" t="inlineStr">
        <is>
          <t>YAŞAR ÖZKAYA</t>
        </is>
      </c>
      <c r="F833" s="65" t="n">
        <v>325515</v>
      </c>
      <c r="G833" s="152" t="n"/>
      <c r="H833" s="152" t="n">
        <v>545</v>
      </c>
      <c r="I833" s="156">
        <f>+I832+(G833-H833)</f>
        <v/>
      </c>
      <c r="J833" s="90" t="n">
        <v>56.45</v>
      </c>
      <c r="K833" s="166" t="n"/>
      <c r="L833" s="158">
        <f>+H833*J833</f>
        <v/>
      </c>
      <c r="M833" s="159">
        <f>SUM(M832+K833-L833)</f>
        <v/>
      </c>
    </row>
    <row r="834">
      <c r="A834" s="151" t="n">
        <v>46090</v>
      </c>
      <c r="B834" s="70" t="n">
        <v>3431</v>
      </c>
      <c r="C834" s="115" t="inlineStr">
        <is>
          <t>SELİM İNŞAAT</t>
        </is>
      </c>
      <c r="D834" s="115" t="inlineStr">
        <is>
          <t>34 GVZ 310</t>
        </is>
      </c>
      <c r="E834" s="115" t="inlineStr">
        <is>
          <t>CELAL YÜZBAŞI</t>
        </is>
      </c>
      <c r="F834" s="65" t="n">
        <v>249315</v>
      </c>
      <c r="G834" s="152" t="n"/>
      <c r="H834" s="152" t="n">
        <v>460</v>
      </c>
      <c r="I834" s="156">
        <f>+I833+(G834-H834)</f>
        <v/>
      </c>
      <c r="J834" s="90" t="n">
        <v>56.45</v>
      </c>
      <c r="K834" s="166" t="n"/>
      <c r="L834" s="158">
        <f>+H834*J834</f>
        <v/>
      </c>
      <c r="M834" s="159">
        <f>SUM(M833+K834-L834)</f>
        <v/>
      </c>
    </row>
    <row r="835">
      <c r="A835" s="151" t="n">
        <v>46090</v>
      </c>
      <c r="B835" s="70" t="n">
        <v>4118</v>
      </c>
      <c r="C835" s="115" t="inlineStr">
        <is>
          <t>SELİM İNŞAAT</t>
        </is>
      </c>
      <c r="D835" s="115" t="inlineStr">
        <is>
          <t>34 EDB 659</t>
        </is>
      </c>
      <c r="E835" s="115" t="inlineStr">
        <is>
          <t>YASİN ÇATAKLI</t>
        </is>
      </c>
      <c r="F835" s="65" t="n">
        <v>391830</v>
      </c>
      <c r="G835" s="152" t="n"/>
      <c r="H835" s="152" t="n">
        <v>553</v>
      </c>
      <c r="I835" s="156">
        <f>+I834+(G835-H835)</f>
        <v/>
      </c>
      <c r="J835" s="90" t="n">
        <v>56.45</v>
      </c>
      <c r="K835" s="166" t="n"/>
      <c r="L835" s="158">
        <f>+H835*J835</f>
        <v/>
      </c>
      <c r="M835" s="159">
        <f>SUM(M834+K835-L835)</f>
        <v/>
      </c>
    </row>
    <row r="836">
      <c r="A836" s="151" t="n">
        <v>46090</v>
      </c>
      <c r="B836" s="70" t="n">
        <v>3227</v>
      </c>
      <c r="C836" s="115" t="inlineStr">
        <is>
          <t>SELİM İNŞAAT</t>
        </is>
      </c>
      <c r="D836" s="115" t="inlineStr">
        <is>
          <t>34 EGR 736</t>
        </is>
      </c>
      <c r="E836" s="115" t="inlineStr">
        <is>
          <t>HAKAN ÇAVUŞOĞLU</t>
        </is>
      </c>
      <c r="F836" s="65" t="n">
        <v>440898</v>
      </c>
      <c r="G836" s="152" t="n"/>
      <c r="H836" s="152" t="n">
        <v>515</v>
      </c>
      <c r="I836" s="156">
        <f>+I835+(G836-H836)</f>
        <v/>
      </c>
      <c r="J836" s="90" t="n">
        <v>56.45</v>
      </c>
      <c r="K836" s="166" t="n"/>
      <c r="L836" s="158">
        <f>+H836*J836</f>
        <v/>
      </c>
      <c r="M836" s="159">
        <f>SUM(M835+K836-L836)</f>
        <v/>
      </c>
    </row>
    <row r="837">
      <c r="A837" s="151" t="n">
        <v>46090</v>
      </c>
      <c r="B837" s="70" t="n">
        <v>4975</v>
      </c>
      <c r="C837" s="115" t="inlineStr">
        <is>
          <t>SELİM İNŞAAT</t>
        </is>
      </c>
      <c r="D837" s="115" t="inlineStr">
        <is>
          <t>34 GVZ 745</t>
        </is>
      </c>
      <c r="E837" s="115" t="inlineStr">
        <is>
          <t>MURAT DEMİRBAĞ</t>
        </is>
      </c>
      <c r="F837" s="65" t="n">
        <v>249119</v>
      </c>
      <c r="G837" s="152" t="n"/>
      <c r="H837" s="152" t="n">
        <v>274</v>
      </c>
      <c r="I837" s="156">
        <f>+I836+(G837-H837)</f>
        <v/>
      </c>
      <c r="J837" s="90" t="n">
        <v>56.45</v>
      </c>
      <c r="K837" s="166" t="n"/>
      <c r="L837" s="158">
        <f>+H837*J837</f>
        <v/>
      </c>
      <c r="M837" s="159">
        <f>SUM(M836+K837-L837)</f>
        <v/>
      </c>
    </row>
    <row r="838">
      <c r="A838" s="151" t="n">
        <v>46090</v>
      </c>
      <c r="B838" s="70" t="n">
        <v>4880</v>
      </c>
      <c r="C838" s="115" t="inlineStr">
        <is>
          <t>SELİM İNŞAAT</t>
        </is>
      </c>
      <c r="D838" s="115" t="inlineStr">
        <is>
          <t>34 FBR 705</t>
        </is>
      </c>
      <c r="E838" s="115" t="inlineStr">
        <is>
          <t>MURAT SARI</t>
        </is>
      </c>
      <c r="F838" s="65" t="n">
        <v>364030</v>
      </c>
      <c r="G838" s="152" t="n"/>
      <c r="H838" s="152" t="n">
        <v>293</v>
      </c>
      <c r="I838" s="156">
        <f>+I837+(G838-H838)</f>
        <v/>
      </c>
      <c r="J838" s="90" t="n">
        <v>56.45</v>
      </c>
      <c r="K838" s="166" t="n"/>
      <c r="L838" s="158">
        <f>+H838*J838</f>
        <v/>
      </c>
      <c r="M838" s="159">
        <f>SUM(M837+K838-L838)</f>
        <v/>
      </c>
    </row>
    <row r="839">
      <c r="A839" s="151" t="n">
        <v>46090</v>
      </c>
      <c r="B839" s="70" t="n">
        <v>517</v>
      </c>
      <c r="C839" s="115" t="inlineStr">
        <is>
          <t>SELİM İNŞAAT</t>
        </is>
      </c>
      <c r="D839" s="115" t="inlineStr">
        <is>
          <t>34 EGR 737</t>
        </is>
      </c>
      <c r="E839" s="115" t="inlineStr">
        <is>
          <t>CEM MUHTAR</t>
        </is>
      </c>
      <c r="F839" s="65" t="n">
        <v>463107</v>
      </c>
      <c r="G839" s="152" t="n"/>
      <c r="H839" s="152" t="n">
        <v>540</v>
      </c>
      <c r="I839" s="156">
        <f>+I838+(G839-H839)</f>
        <v/>
      </c>
      <c r="J839" s="90" t="n">
        <v>56.45</v>
      </c>
      <c r="K839" s="166" t="n"/>
      <c r="L839" s="158">
        <f>+H839*J839</f>
        <v/>
      </c>
      <c r="M839" s="159">
        <f>SUM(M838+K839-L839)</f>
        <v/>
      </c>
    </row>
    <row r="840">
      <c r="A840" s="151" t="n">
        <v>46090</v>
      </c>
      <c r="B840" s="70" t="n">
        <v>3834</v>
      </c>
      <c r="C840" s="115" t="inlineStr">
        <is>
          <t>SELİM İNŞAAT</t>
        </is>
      </c>
      <c r="D840" s="115" t="inlineStr">
        <is>
          <t>34 GYZ 635</t>
        </is>
      </c>
      <c r="E840" s="115" t="inlineStr">
        <is>
          <t>ADEM DENİZ</t>
        </is>
      </c>
      <c r="F840" s="65" t="n">
        <v>228812</v>
      </c>
      <c r="G840" s="152" t="n"/>
      <c r="H840" s="152" t="n">
        <v>549</v>
      </c>
      <c r="I840" s="156">
        <f>+I839+(G840-H840)</f>
        <v/>
      </c>
      <c r="J840" s="90" t="n">
        <v>56.45</v>
      </c>
      <c r="K840" s="166" t="n"/>
      <c r="L840" s="158">
        <f>+H840*J840</f>
        <v/>
      </c>
      <c r="M840" s="159">
        <f>SUM(M839+K840-L840)</f>
        <v/>
      </c>
    </row>
    <row r="841">
      <c r="A841" s="151" t="n">
        <v>46090</v>
      </c>
      <c r="B841" s="70" t="n">
        <v>4516</v>
      </c>
      <c r="C841" s="115" t="inlineStr">
        <is>
          <t>SELİM İNŞAAT</t>
        </is>
      </c>
      <c r="D841" s="115" t="inlineStr">
        <is>
          <t>34 DTV 352</t>
        </is>
      </c>
      <c r="E841" s="115" t="inlineStr">
        <is>
          <t>AZİZ ORUÇ</t>
        </is>
      </c>
      <c r="F841" s="65" t="n">
        <v>477869</v>
      </c>
      <c r="G841" s="152" t="n"/>
      <c r="H841" s="152" t="n">
        <v>519</v>
      </c>
      <c r="I841" s="156">
        <f>+I840+(G841-H841)</f>
        <v/>
      </c>
      <c r="J841" s="90" t="n">
        <v>56.45</v>
      </c>
      <c r="K841" s="166" t="n"/>
      <c r="L841" s="158">
        <f>+H841*J841</f>
        <v/>
      </c>
      <c r="M841" s="159">
        <f>SUM(M840+K841-L841)</f>
        <v/>
      </c>
    </row>
    <row r="842">
      <c r="A842" s="151" t="n">
        <v>46090</v>
      </c>
      <c r="B842" s="70" t="n">
        <v>2545</v>
      </c>
      <c r="C842" s="115" t="inlineStr">
        <is>
          <t>AZGÜN YAPI</t>
        </is>
      </c>
      <c r="D842" s="115" t="inlineStr">
        <is>
          <t>34 MKT 593</t>
        </is>
      </c>
      <c r="E842" s="115" t="inlineStr">
        <is>
          <t>TURGUT ÇATAL</t>
        </is>
      </c>
      <c r="F842" s="65" t="n"/>
      <c r="G842" s="152" t="n"/>
      <c r="H842" s="152" t="n">
        <v>407</v>
      </c>
      <c r="I842" s="156">
        <f>+I841+(G842-H842)</f>
        <v/>
      </c>
      <c r="J842" s="90" t="n">
        <v>56.45</v>
      </c>
      <c r="K842" s="166" t="n"/>
      <c r="L842" s="158">
        <f>+H842*J842</f>
        <v/>
      </c>
      <c r="M842" s="159">
        <f>SUM(M841+K842-L842)</f>
        <v/>
      </c>
    </row>
    <row r="843">
      <c r="A843" s="151" t="n">
        <v>46090</v>
      </c>
      <c r="B843" s="70" t="n">
        <v>3288</v>
      </c>
      <c r="C843" s="115" t="inlineStr">
        <is>
          <t>AZGÜN YAPI</t>
        </is>
      </c>
      <c r="D843" s="115" t="inlineStr">
        <is>
          <t xml:space="preserve">34 DTV 263 </t>
        </is>
      </c>
      <c r="E843" s="115" t="inlineStr">
        <is>
          <t>DURSUN ALİ GÜREK</t>
        </is>
      </c>
      <c r="F843" s="65" t="n"/>
      <c r="G843" s="152" t="n"/>
      <c r="H843" s="152" t="n">
        <v>457</v>
      </c>
      <c r="I843" s="156">
        <f>+I842+(G843-H843)</f>
        <v/>
      </c>
      <c r="J843" s="90" t="n">
        <v>56.45</v>
      </c>
      <c r="K843" s="166" t="n"/>
      <c r="L843" s="158">
        <f>+H843*J843</f>
        <v/>
      </c>
      <c r="M843" s="159">
        <f>SUM(M842+K843-L843)</f>
        <v/>
      </c>
    </row>
    <row r="844">
      <c r="A844" s="151" t="n">
        <v>46090</v>
      </c>
      <c r="B844" s="70" t="n">
        <v>1392</v>
      </c>
      <c r="C844" s="115" t="inlineStr">
        <is>
          <t>AZGÜN YAPI</t>
        </is>
      </c>
      <c r="D844" s="115" t="inlineStr">
        <is>
          <t>34 MKT859</t>
        </is>
      </c>
      <c r="E844" s="115" t="inlineStr">
        <is>
          <t>İRFAN DAĞLAR</t>
        </is>
      </c>
      <c r="F844" s="65" t="n"/>
      <c r="G844" s="152" t="n"/>
      <c r="H844" s="152" t="n">
        <v>696</v>
      </c>
      <c r="I844" s="156">
        <f>+I843+(G844-H844)</f>
        <v/>
      </c>
      <c r="J844" s="90" t="n">
        <v>56.45</v>
      </c>
      <c r="K844" s="166" t="n"/>
      <c r="L844" s="158">
        <f>+H844*J844</f>
        <v/>
      </c>
      <c r="M844" s="159">
        <f>SUM(M843+K844-L844)</f>
        <v/>
      </c>
    </row>
    <row r="845">
      <c r="A845" s="151" t="n">
        <v>46090</v>
      </c>
      <c r="B845" s="70" t="n">
        <v>249</v>
      </c>
      <c r="C845" s="115" t="inlineStr">
        <is>
          <t>SELİM İNŞAAT</t>
        </is>
      </c>
      <c r="D845" s="115" t="inlineStr">
        <is>
          <t>34 JGR 15</t>
        </is>
      </c>
      <c r="E845" s="115" t="inlineStr">
        <is>
          <t>ÖNER DÜNDAR</t>
        </is>
      </c>
      <c r="F845" s="65" t="n">
        <v>331064</v>
      </c>
      <c r="G845" s="152" t="n"/>
      <c r="H845" s="152" t="n">
        <v>70</v>
      </c>
      <c r="I845" s="156">
        <f>+I844+(G845-H845)</f>
        <v/>
      </c>
      <c r="J845" s="90" t="n">
        <v>56.45</v>
      </c>
      <c r="K845" s="166" t="n"/>
      <c r="L845" s="158">
        <f>+H845*J845</f>
        <v/>
      </c>
      <c r="M845" s="159">
        <f>SUM(M844+K845-L845)</f>
        <v/>
      </c>
    </row>
    <row r="846">
      <c r="A846" s="151" t="n">
        <v>46090</v>
      </c>
      <c r="B846" s="70" t="n">
        <v>4466</v>
      </c>
      <c r="C846" s="115" t="inlineStr">
        <is>
          <t>SELİM İNŞAAT</t>
        </is>
      </c>
      <c r="D846" s="115" t="inlineStr">
        <is>
          <t>34 DKL 798</t>
        </is>
      </c>
      <c r="E846" s="115" t="inlineStr">
        <is>
          <t>HASAN BAYCA</t>
        </is>
      </c>
      <c r="F846" s="65" t="n">
        <v>81409</v>
      </c>
      <c r="G846" s="152" t="n"/>
      <c r="H846" s="152" t="n">
        <v>392</v>
      </c>
      <c r="I846" s="156">
        <f>+I845+(G846-H846)</f>
        <v/>
      </c>
      <c r="J846" s="90" t="n">
        <v>56.45</v>
      </c>
      <c r="K846" s="166" t="n"/>
      <c r="L846" s="158">
        <f>+H846*J846</f>
        <v/>
      </c>
      <c r="M846" s="159">
        <f>SUM(M845+K846-L846)</f>
        <v/>
      </c>
    </row>
    <row r="847">
      <c r="A847" s="151" t="n">
        <v>46090</v>
      </c>
      <c r="B847" s="70" t="n">
        <v>2346</v>
      </c>
      <c r="C847" s="115" t="inlineStr">
        <is>
          <t>SELİM İNŞAAT</t>
        </is>
      </c>
      <c r="D847" s="115" t="inlineStr">
        <is>
          <t>34 DP 4161</t>
        </is>
      </c>
      <c r="E847" s="115" t="inlineStr">
        <is>
          <t>RIFAT KARATAY</t>
        </is>
      </c>
      <c r="F847" s="65" t="n">
        <v>320923</v>
      </c>
      <c r="G847" s="152" t="n"/>
      <c r="H847" s="152" t="n">
        <v>369</v>
      </c>
      <c r="I847" s="156">
        <f>+I846+(G847-H847)</f>
        <v/>
      </c>
      <c r="J847" s="90" t="n">
        <v>56.45</v>
      </c>
      <c r="K847" s="166" t="n"/>
      <c r="L847" s="158">
        <f>+H847*J847</f>
        <v/>
      </c>
      <c r="M847" s="159">
        <f>SUM(M846+K847-L847)</f>
        <v/>
      </c>
    </row>
    <row r="848">
      <c r="A848" s="151" t="n">
        <v>46090</v>
      </c>
      <c r="B848" s="70" t="n">
        <v>3730</v>
      </c>
      <c r="C848" s="115" t="inlineStr">
        <is>
          <t>SELİM İNŞAAT</t>
        </is>
      </c>
      <c r="D848" s="115" t="inlineStr">
        <is>
          <t>34 DKL 866</t>
        </is>
      </c>
      <c r="E848" s="115" t="inlineStr">
        <is>
          <t>SELİMCAN ÖNVER</t>
        </is>
      </c>
      <c r="F848" s="65" t="n">
        <v>82682</v>
      </c>
      <c r="G848" s="152" t="n"/>
      <c r="H848" s="152" t="n">
        <v>325</v>
      </c>
      <c r="I848" s="156">
        <f>+I847+(G848-H848)</f>
        <v/>
      </c>
      <c r="J848" s="90" t="n">
        <v>56.45</v>
      </c>
      <c r="K848" s="166" t="n"/>
      <c r="L848" s="158">
        <f>+H848*J848</f>
        <v/>
      </c>
      <c r="M848" s="159">
        <f>SUM(M847+K848-L848)</f>
        <v/>
      </c>
    </row>
    <row r="849">
      <c r="A849" s="151" t="n">
        <v>46090</v>
      </c>
      <c r="B849" s="70" t="n">
        <v>755</v>
      </c>
      <c r="C849" s="115" t="inlineStr">
        <is>
          <t>METİN ERYİĞİT</t>
        </is>
      </c>
      <c r="D849" s="115" t="inlineStr">
        <is>
          <t>34 EGR 814</t>
        </is>
      </c>
      <c r="E849" s="115" t="inlineStr">
        <is>
          <t>ZİYA İNCE</t>
        </is>
      </c>
      <c r="F849" s="65" t="n"/>
      <c r="G849" s="152" t="n"/>
      <c r="H849" s="152" t="n">
        <v>473</v>
      </c>
      <c r="I849" s="156">
        <f>+I848+(G849-H849)</f>
        <v/>
      </c>
      <c r="J849" s="90" t="n">
        <v>56.45</v>
      </c>
      <c r="K849" s="166" t="n"/>
      <c r="L849" s="158">
        <f>+H849*J849</f>
        <v/>
      </c>
      <c r="M849" s="159">
        <f>SUM(M848+K849-L849)</f>
        <v/>
      </c>
    </row>
    <row r="850">
      <c r="A850" s="151" t="n">
        <v>46090</v>
      </c>
      <c r="B850" s="70" t="n">
        <v>811</v>
      </c>
      <c r="C850" s="115" t="inlineStr">
        <is>
          <t>METİN ERYİĞİT</t>
        </is>
      </c>
      <c r="D850" s="115" t="inlineStr">
        <is>
          <t>34 GBL 998</t>
        </is>
      </c>
      <c r="E850" s="115" t="inlineStr">
        <is>
          <t>ALİ KESKİN</t>
        </is>
      </c>
      <c r="F850" s="65" t="n"/>
      <c r="G850" s="152" t="n"/>
      <c r="H850" s="152" t="n">
        <v>354</v>
      </c>
      <c r="I850" s="156">
        <f>+I849+(G850-H850)</f>
        <v/>
      </c>
      <c r="J850" s="90" t="n">
        <v>56.45</v>
      </c>
      <c r="K850" s="166" t="n"/>
      <c r="L850" s="158">
        <f>+H850*J850</f>
        <v/>
      </c>
      <c r="M850" s="159">
        <f>SUM(M849+K850-L850)</f>
        <v/>
      </c>
    </row>
    <row r="851">
      <c r="A851" s="151" t="n">
        <v>46090</v>
      </c>
      <c r="B851" s="70" t="n">
        <v>455</v>
      </c>
      <c r="C851" s="115" t="inlineStr">
        <is>
          <t>MEGA</t>
        </is>
      </c>
      <c r="D851" s="115" t="inlineStr">
        <is>
          <t>SM300</t>
        </is>
      </c>
      <c r="E851" s="115" t="inlineStr">
        <is>
          <t>EMİRCAN</t>
        </is>
      </c>
      <c r="F851" s="65" t="n"/>
      <c r="G851" s="152" t="n"/>
      <c r="H851" s="152" t="n">
        <v>405</v>
      </c>
      <c r="I851" s="156">
        <f>+I850+(G851-H851)</f>
        <v/>
      </c>
      <c r="J851" s="90" t="n">
        <v>56.45</v>
      </c>
      <c r="K851" s="166" t="n"/>
      <c r="L851" s="158">
        <f>+H851*J851</f>
        <v/>
      </c>
      <c r="M851" s="159">
        <f>SUM(M850+K851-L851)</f>
        <v/>
      </c>
    </row>
    <row r="852">
      <c r="A852" s="151" t="n">
        <v>46090</v>
      </c>
      <c r="B852" s="70" t="n">
        <v>456</v>
      </c>
      <c r="C852" s="115" t="inlineStr">
        <is>
          <t>MEGA</t>
        </is>
      </c>
      <c r="D852" s="115" t="inlineStr">
        <is>
          <t>SM350</t>
        </is>
      </c>
      <c r="E852" s="115" t="inlineStr">
        <is>
          <t>MİKAİL</t>
        </is>
      </c>
      <c r="F852" s="65" t="n"/>
      <c r="G852" s="152" t="n"/>
      <c r="H852" s="152" t="n">
        <v>600</v>
      </c>
      <c r="I852" s="156">
        <f>+I851+(G852-H852)</f>
        <v/>
      </c>
      <c r="J852" s="90" t="n">
        <v>56.45</v>
      </c>
      <c r="K852" s="166" t="n"/>
      <c r="L852" s="158">
        <f>+H852*J852</f>
        <v/>
      </c>
      <c r="M852" s="159">
        <f>SUM(M851+K852-L852)</f>
        <v/>
      </c>
    </row>
    <row r="853">
      <c r="A853" s="151" t="n">
        <v>46090</v>
      </c>
      <c r="B853" s="70" t="n">
        <v>457</v>
      </c>
      <c r="C853" s="115" t="inlineStr">
        <is>
          <t>MEGA</t>
        </is>
      </c>
      <c r="D853" s="115" t="inlineStr">
        <is>
          <t>SM370</t>
        </is>
      </c>
      <c r="E853" s="115" t="inlineStr">
        <is>
          <t>BEKİR</t>
        </is>
      </c>
      <c r="F853" s="65" t="n"/>
      <c r="G853" s="152" t="n"/>
      <c r="H853" s="152" t="n">
        <v>630</v>
      </c>
      <c r="I853" s="156">
        <f>+I852+(G853-H853)</f>
        <v/>
      </c>
      <c r="J853" s="90" t="n">
        <v>56.45</v>
      </c>
      <c r="K853" s="166" t="n"/>
      <c r="L853" s="158">
        <f>+H853*J853</f>
        <v/>
      </c>
      <c r="M853" s="159">
        <f>SUM(M852+K853-L853)</f>
        <v/>
      </c>
    </row>
    <row r="854">
      <c r="A854" s="151" t="n">
        <v>46091</v>
      </c>
      <c r="B854" s="70" t="n">
        <v>2797</v>
      </c>
      <c r="C854" s="115" t="inlineStr">
        <is>
          <t>SELİM İNŞAAT</t>
        </is>
      </c>
      <c r="D854" s="115" t="inlineStr">
        <is>
          <t>34 EDC 086</t>
        </is>
      </c>
      <c r="E854" s="115" t="inlineStr">
        <is>
          <t>SEZGİN KOCAGİL</t>
        </is>
      </c>
      <c r="F854" s="65" t="n">
        <v>377902</v>
      </c>
      <c r="G854" s="152" t="n"/>
      <c r="H854" s="152" t="n">
        <v>445</v>
      </c>
      <c r="I854" s="156">
        <f>+I853+(G854-H854)</f>
        <v/>
      </c>
      <c r="J854" s="90" t="n">
        <v>56.45</v>
      </c>
      <c r="K854" s="166" t="n"/>
      <c r="L854" s="158">
        <f>+H854*J854</f>
        <v/>
      </c>
      <c r="M854" s="159">
        <f>SUM(M853+K854-L854)</f>
        <v/>
      </c>
    </row>
    <row r="855">
      <c r="A855" s="151" t="n">
        <v>46091</v>
      </c>
      <c r="B855" s="70" t="n">
        <v>1549</v>
      </c>
      <c r="C855" s="115" t="inlineStr">
        <is>
          <t>SELİM İNŞAAT</t>
        </is>
      </c>
      <c r="D855" s="115" t="inlineStr">
        <is>
          <t>34 GUS 848</t>
        </is>
      </c>
      <c r="E855" s="115" t="inlineStr">
        <is>
          <t>SERDAR BOZKURT</t>
        </is>
      </c>
      <c r="F855" s="65" t="n">
        <v>235025</v>
      </c>
      <c r="G855" s="152" t="n"/>
      <c r="H855" s="152" t="n">
        <v>468</v>
      </c>
      <c r="I855" s="156">
        <f>+I854+(G855-H855)</f>
        <v/>
      </c>
      <c r="J855" s="90" t="n">
        <v>56.45</v>
      </c>
      <c r="K855" s="166" t="n"/>
      <c r="L855" s="158">
        <f>+H855*J855</f>
        <v/>
      </c>
      <c r="M855" s="159">
        <f>SUM(M854+K855-L855)</f>
        <v/>
      </c>
    </row>
    <row r="856">
      <c r="A856" s="151" t="n">
        <v>46091</v>
      </c>
      <c r="B856" s="70" t="n">
        <v>909</v>
      </c>
      <c r="C856" s="115" t="inlineStr">
        <is>
          <t>SELİM İNŞAAT</t>
        </is>
      </c>
      <c r="D856" s="115" t="inlineStr">
        <is>
          <t>34 FSG 229</t>
        </is>
      </c>
      <c r="E856" s="115" t="inlineStr">
        <is>
          <t>SİNAN TANRIVERDİ</t>
        </is>
      </c>
      <c r="F856" s="65" t="n">
        <v>302066</v>
      </c>
      <c r="G856" s="152" t="n"/>
      <c r="H856" s="152" t="n">
        <v>546</v>
      </c>
      <c r="I856" s="156">
        <f>+I855+(G856-H856)</f>
        <v/>
      </c>
      <c r="J856" s="90" t="n">
        <v>56.45</v>
      </c>
      <c r="K856" s="166" t="n"/>
      <c r="L856" s="158">
        <f>+H856*J856</f>
        <v/>
      </c>
      <c r="M856" s="159">
        <f>SUM(M855+K856-L856)</f>
        <v/>
      </c>
    </row>
    <row r="857">
      <c r="A857" s="151" t="n">
        <v>46091</v>
      </c>
      <c r="B857" s="70" t="n">
        <v>4019</v>
      </c>
      <c r="C857" s="115" t="inlineStr">
        <is>
          <t>SELİM İNŞAAT</t>
        </is>
      </c>
      <c r="D857" s="115" t="inlineStr">
        <is>
          <t>34 AR 7743</t>
        </is>
      </c>
      <c r="E857" s="115" t="inlineStr">
        <is>
          <t>MEHMET SELİM</t>
        </is>
      </c>
      <c r="F857" s="65" t="n">
        <v>374612</v>
      </c>
      <c r="G857" s="152" t="n"/>
      <c r="H857" s="152" t="n">
        <v>55</v>
      </c>
      <c r="I857" s="156">
        <f>+I856+(G857-H857)</f>
        <v/>
      </c>
      <c r="J857" s="90" t="n">
        <v>56.45</v>
      </c>
      <c r="K857" s="166" t="n"/>
      <c r="L857" s="158">
        <f>+H857*J857</f>
        <v/>
      </c>
      <c r="M857" s="159">
        <f>SUM(M856+K857-L857)</f>
        <v/>
      </c>
    </row>
    <row r="858">
      <c r="A858" s="151" t="n">
        <v>46091</v>
      </c>
      <c r="B858" s="70" t="n">
        <v>305</v>
      </c>
      <c r="C858" s="115" t="inlineStr">
        <is>
          <t>SELİM İNŞAAT</t>
        </is>
      </c>
      <c r="D858" s="115" t="inlineStr">
        <is>
          <t>34 GER 445</t>
        </is>
      </c>
      <c r="E858" s="115" t="inlineStr">
        <is>
          <t>MUSTAFA ERYİĞİT</t>
        </is>
      </c>
      <c r="F858" s="65" t="n">
        <v>58139</v>
      </c>
      <c r="G858" s="152" t="n"/>
      <c r="H858" s="152" t="n">
        <v>373</v>
      </c>
      <c r="I858" s="156">
        <f>+I857+(G858-H858)</f>
        <v/>
      </c>
      <c r="J858" s="90" t="n">
        <v>56.45</v>
      </c>
      <c r="K858" s="166" t="n"/>
      <c r="L858" s="158">
        <f>+H858*J858</f>
        <v/>
      </c>
      <c r="M858" s="159">
        <f>SUM(M857+K858-L858)</f>
        <v/>
      </c>
    </row>
    <row r="859">
      <c r="A859" s="151" t="n">
        <v>46091</v>
      </c>
      <c r="B859" s="70" t="n">
        <v>716</v>
      </c>
      <c r="C859" s="115" t="inlineStr">
        <is>
          <t>METİN ERYİĞİT</t>
        </is>
      </c>
      <c r="D859" s="115" t="inlineStr">
        <is>
          <t>34 EGS 013</t>
        </is>
      </c>
      <c r="E859" s="115" t="inlineStr">
        <is>
          <t>UĞUR DUMAN</t>
        </is>
      </c>
      <c r="F859" s="65" t="n"/>
      <c r="G859" s="152" t="n"/>
      <c r="H859" s="152" t="n">
        <v>415</v>
      </c>
      <c r="I859" s="156">
        <f>+I858+(G859-H859)</f>
        <v/>
      </c>
      <c r="J859" s="90" t="n">
        <v>56.45</v>
      </c>
      <c r="K859" s="166" t="n"/>
      <c r="L859" s="158">
        <f>+H859*J859</f>
        <v/>
      </c>
      <c r="M859" s="159">
        <f>SUM(M858+K859-L859)</f>
        <v/>
      </c>
    </row>
    <row r="860">
      <c r="A860" s="151" t="n">
        <v>46091</v>
      </c>
      <c r="B860" s="70" t="n">
        <v>812</v>
      </c>
      <c r="C860" s="115" t="inlineStr">
        <is>
          <t>METİN ERYİĞİT</t>
        </is>
      </c>
      <c r="D860" s="115" t="inlineStr">
        <is>
          <t>34 GBL 998</t>
        </is>
      </c>
      <c r="E860" s="115" t="inlineStr">
        <is>
          <t>ALİ KESKİN</t>
        </is>
      </c>
      <c r="F860" s="65" t="n"/>
      <c r="G860" s="152" t="n"/>
      <c r="H860" s="152" t="n">
        <v>332</v>
      </c>
      <c r="I860" s="156">
        <f>+I859+(G860-H860)</f>
        <v/>
      </c>
      <c r="J860" s="90" t="n">
        <v>56.45</v>
      </c>
      <c r="K860" s="166" t="n"/>
      <c r="L860" s="158">
        <f>+H860*J860</f>
        <v/>
      </c>
      <c r="M860" s="159">
        <f>SUM(M859+K860-L860)</f>
        <v/>
      </c>
    </row>
    <row r="861">
      <c r="A861" s="151" t="n">
        <v>46091</v>
      </c>
      <c r="B861" s="70" t="n">
        <v>458</v>
      </c>
      <c r="C861" s="115" t="inlineStr">
        <is>
          <t>MEGA</t>
        </is>
      </c>
      <c r="D861" s="115" t="inlineStr">
        <is>
          <t>SM350</t>
        </is>
      </c>
      <c r="E861" s="115" t="inlineStr">
        <is>
          <t>MİKAİL</t>
        </is>
      </c>
      <c r="F861" s="65" t="n"/>
      <c r="G861" s="152" t="n"/>
      <c r="H861" s="152" t="n">
        <v>290</v>
      </c>
      <c r="I861" s="156">
        <f>+I860+(G861-H861)</f>
        <v/>
      </c>
      <c r="J861" s="90" t="n">
        <v>56.45</v>
      </c>
      <c r="K861" s="166" t="n"/>
      <c r="L861" s="158">
        <f>+H861*J861</f>
        <v/>
      </c>
      <c r="M861" s="159">
        <f>SUM(M860+K861-L861)</f>
        <v/>
      </c>
    </row>
    <row r="862">
      <c r="A862" s="151" t="n">
        <v>46091</v>
      </c>
      <c r="B862" s="70" t="n">
        <v>459</v>
      </c>
      <c r="C862" s="115" t="inlineStr">
        <is>
          <t>KOZMO</t>
        </is>
      </c>
      <c r="D862" s="115" t="inlineStr">
        <is>
          <t>KAWAZAKİ</t>
        </is>
      </c>
      <c r="E862" s="115" t="inlineStr">
        <is>
          <t>RAMAZAN</t>
        </is>
      </c>
      <c r="F862" s="65" t="n"/>
      <c r="G862" s="152" t="n"/>
      <c r="H862" s="152" t="n">
        <v>346</v>
      </c>
      <c r="I862" s="156">
        <f>+I861+(G862-H862)</f>
        <v/>
      </c>
      <c r="J862" s="90" t="n">
        <v>56.45</v>
      </c>
      <c r="K862" s="166" t="n"/>
      <c r="L862" s="158">
        <f>+H862*J862</f>
        <v/>
      </c>
      <c r="M862" s="159">
        <f>SUM(M861+K862-L862)</f>
        <v/>
      </c>
    </row>
    <row r="863">
      <c r="A863" s="151" t="n">
        <v>46091</v>
      </c>
      <c r="B863" s="70" t="n">
        <v>460</v>
      </c>
      <c r="C863" s="115" t="inlineStr">
        <is>
          <t>KOZMO</t>
        </is>
      </c>
      <c r="D863" s="115" t="inlineStr">
        <is>
          <t>HİTACHİ</t>
        </is>
      </c>
      <c r="E863" s="115" t="inlineStr">
        <is>
          <t>TURGUT</t>
        </is>
      </c>
      <c r="F863" s="65" t="n"/>
      <c r="G863" s="152" t="n"/>
      <c r="H863" s="152" t="n">
        <v>386</v>
      </c>
      <c r="I863" s="156">
        <f>+I862+(G863-H863)</f>
        <v/>
      </c>
      <c r="J863" s="90" t="n">
        <v>56.45</v>
      </c>
      <c r="K863" s="166" t="n"/>
      <c r="L863" s="158">
        <f>+H863*J863</f>
        <v/>
      </c>
      <c r="M863" s="159">
        <f>SUM(M862+K863-L863)</f>
        <v/>
      </c>
    </row>
    <row r="864">
      <c r="A864" s="151" t="n">
        <v>46091</v>
      </c>
      <c r="B864" s="70" t="n">
        <v>461</v>
      </c>
      <c r="C864" s="115" t="inlineStr">
        <is>
          <t>VARLIK</t>
        </is>
      </c>
      <c r="D864" s="115" t="inlineStr">
        <is>
          <t>FORKLİFT</t>
        </is>
      </c>
      <c r="E864" s="115" t="inlineStr">
        <is>
          <t>FAHRİ</t>
        </is>
      </c>
      <c r="F864" s="65" t="n"/>
      <c r="G864" s="152" t="n"/>
      <c r="H864" s="152" t="n">
        <v>66</v>
      </c>
      <c r="I864" s="156">
        <f>+I863+(G864-H864)</f>
        <v/>
      </c>
      <c r="J864" s="90" t="n">
        <v>56.45</v>
      </c>
      <c r="K864" s="166" t="n"/>
      <c r="L864" s="158">
        <f>+H864*J864</f>
        <v/>
      </c>
      <c r="M864" s="159">
        <f>SUM(M863+K864-L864)</f>
        <v/>
      </c>
    </row>
    <row r="865">
      <c r="A865" s="151" t="n">
        <v>46091</v>
      </c>
      <c r="B865" s="70" t="n">
        <v>462</v>
      </c>
      <c r="C865" s="115" t="inlineStr">
        <is>
          <t>EVKUR</t>
        </is>
      </c>
      <c r="D865" s="115" t="inlineStr">
        <is>
          <t>SM350</t>
        </is>
      </c>
      <c r="E865" s="115" t="inlineStr">
        <is>
          <t>TEVFİK</t>
        </is>
      </c>
      <c r="F865" s="65" t="n"/>
      <c r="G865" s="152" t="n"/>
      <c r="H865" s="152" t="n">
        <v>460</v>
      </c>
      <c r="I865" s="156">
        <f>+I864+(G865-H865)</f>
        <v/>
      </c>
      <c r="J865" s="90" t="n">
        <v>56.45</v>
      </c>
      <c r="K865" s="166" t="n"/>
      <c r="L865" s="158">
        <f>+H865*J865</f>
        <v/>
      </c>
      <c r="M865" s="159">
        <f>SUM(M864+K865-L865)</f>
        <v/>
      </c>
    </row>
    <row r="866">
      <c r="A866" s="151" t="n">
        <v>46091</v>
      </c>
      <c r="B866" s="70" t="n">
        <v>463</v>
      </c>
      <c r="C866" s="115" t="inlineStr">
        <is>
          <t>MEGA</t>
        </is>
      </c>
      <c r="D866" s="115" t="inlineStr">
        <is>
          <t>KAWAZAKİ</t>
        </is>
      </c>
      <c r="E866" s="115" t="inlineStr">
        <is>
          <t>RAMAZAN</t>
        </is>
      </c>
      <c r="F866" s="65" t="n"/>
      <c r="G866" s="152" t="n"/>
      <c r="H866" s="152" t="n">
        <v>146</v>
      </c>
      <c r="I866" s="156">
        <f>+I865+(G866-H866)</f>
        <v/>
      </c>
      <c r="J866" s="90" t="n">
        <v>56.45</v>
      </c>
      <c r="K866" s="166" t="n"/>
      <c r="L866" s="158">
        <f>+H866*J866</f>
        <v/>
      </c>
      <c r="M866" s="159">
        <f>SUM(M865+K866-L866)</f>
        <v/>
      </c>
    </row>
    <row r="867">
      <c r="A867" s="151" t="n">
        <v>46091</v>
      </c>
      <c r="B867" s="70" t="n">
        <v>464</v>
      </c>
      <c r="C867" s="115" t="inlineStr">
        <is>
          <t>MEGA</t>
        </is>
      </c>
      <c r="D867" s="115" t="inlineStr">
        <is>
          <t>SM370</t>
        </is>
      </c>
      <c r="E867" s="115" t="inlineStr">
        <is>
          <t>BEKİR</t>
        </is>
      </c>
      <c r="F867" s="65" t="n"/>
      <c r="G867" s="152" t="n"/>
      <c r="H867" s="152" t="n">
        <v>440</v>
      </c>
      <c r="I867" s="156">
        <f>+I866+(G867-H867)</f>
        <v/>
      </c>
      <c r="J867" s="90" t="n">
        <v>56.45</v>
      </c>
      <c r="K867" s="166" t="n"/>
      <c r="L867" s="158">
        <f>+H867*J867</f>
        <v/>
      </c>
      <c r="M867" s="159">
        <f>SUM(M866+K867-L867)</f>
        <v/>
      </c>
    </row>
    <row r="868">
      <c r="A868" s="151" t="n">
        <v>46091</v>
      </c>
      <c r="B868" s="70" t="n">
        <v>465</v>
      </c>
      <c r="C868" s="115" t="inlineStr">
        <is>
          <t>MEGA</t>
        </is>
      </c>
      <c r="D868" s="115" t="inlineStr">
        <is>
          <t>SM300</t>
        </is>
      </c>
      <c r="E868" s="115" t="inlineStr">
        <is>
          <t>TEKİN</t>
        </is>
      </c>
      <c r="F868" s="65" t="n"/>
      <c r="G868" s="152" t="n"/>
      <c r="H868" s="152" t="n">
        <v>356</v>
      </c>
      <c r="I868" s="156">
        <f>+I867+(G868-H868)</f>
        <v/>
      </c>
      <c r="J868" s="90" t="n">
        <v>56.45</v>
      </c>
      <c r="K868" s="166" t="n"/>
      <c r="L868" s="158">
        <f>+H868*J868</f>
        <v/>
      </c>
      <c r="M868" s="159">
        <f>SUM(M867+K868-L868)</f>
        <v/>
      </c>
    </row>
    <row r="869">
      <c r="A869" s="151" t="n">
        <v>46092</v>
      </c>
      <c r="B869" s="70" t="n">
        <v>1345</v>
      </c>
      <c r="C869" s="115" t="inlineStr">
        <is>
          <t>SELİM İNŞAAT</t>
        </is>
      </c>
      <c r="D869" s="115" t="inlineStr">
        <is>
          <t>34 GVZ 199</t>
        </is>
      </c>
      <c r="E869" s="115" t="inlineStr">
        <is>
          <t>HÜSEYİN DENİZ</t>
        </is>
      </c>
      <c r="F869" s="65" t="n">
        <v>228128</v>
      </c>
      <c r="G869" s="152" t="n"/>
      <c r="H869" s="152" t="n">
        <v>497</v>
      </c>
      <c r="I869" s="156">
        <f>+I868+(G869-H869)</f>
        <v/>
      </c>
      <c r="J869" s="90" t="n">
        <v>56.45</v>
      </c>
      <c r="K869" s="166" t="n"/>
      <c r="L869" s="158">
        <f>+H869*J869</f>
        <v/>
      </c>
      <c r="M869" s="159">
        <f>SUM(M868+K869-L869)</f>
        <v/>
      </c>
    </row>
    <row r="870">
      <c r="A870" s="151" t="n">
        <v>46092</v>
      </c>
      <c r="B870" s="70" t="n">
        <v>854</v>
      </c>
      <c r="C870" s="115" t="inlineStr">
        <is>
          <t>SELİM İNŞAAT</t>
        </is>
      </c>
      <c r="D870" s="115" t="inlineStr">
        <is>
          <t>34 EGR 922</t>
        </is>
      </c>
      <c r="E870" s="115" t="inlineStr">
        <is>
          <t>FARUK ÖZEN</t>
        </is>
      </c>
      <c r="F870" s="65" t="n">
        <v>506494</v>
      </c>
      <c r="G870" s="152" t="n"/>
      <c r="H870" s="152" t="n">
        <v>565</v>
      </c>
      <c r="I870" s="156">
        <f>+I869+(G870-H870)</f>
        <v/>
      </c>
      <c r="J870" s="90" t="n">
        <v>56.45</v>
      </c>
      <c r="K870" s="166" t="n"/>
      <c r="L870" s="158">
        <f>+H870*J870</f>
        <v/>
      </c>
      <c r="M870" s="159">
        <f>SUM(M869+K870-L870)</f>
        <v/>
      </c>
    </row>
    <row r="871">
      <c r="A871" s="151" t="n">
        <v>46092</v>
      </c>
      <c r="B871" s="70" t="n">
        <v>4929</v>
      </c>
      <c r="C871" s="115" t="inlineStr">
        <is>
          <t>SELİM İNŞAAT</t>
        </is>
      </c>
      <c r="D871" s="115" t="inlineStr">
        <is>
          <t>34 FBR 742</t>
        </is>
      </c>
      <c r="E871" s="115" t="inlineStr">
        <is>
          <t>ADNAN KOÇ</t>
        </is>
      </c>
      <c r="F871" s="65" t="n">
        <v>367853</v>
      </c>
      <c r="G871" s="152" t="n"/>
      <c r="H871" s="152" t="n">
        <v>511</v>
      </c>
      <c r="I871" s="156">
        <f>+I870+(G871-H871)</f>
        <v/>
      </c>
      <c r="J871" s="90" t="n">
        <v>56.45</v>
      </c>
      <c r="K871" s="166" t="n"/>
      <c r="L871" s="158">
        <f>+H871*J871</f>
        <v/>
      </c>
      <c r="M871" s="159">
        <f>SUM(M870+K871-L871)</f>
        <v/>
      </c>
    </row>
    <row r="872">
      <c r="A872" s="151" t="n">
        <v>46092</v>
      </c>
      <c r="B872" s="70" t="n">
        <v>4172</v>
      </c>
      <c r="C872" s="115" t="inlineStr">
        <is>
          <t>SELİM İNŞAAT</t>
        </is>
      </c>
      <c r="D872" s="115" t="inlineStr">
        <is>
          <t>34 FBR 748</t>
        </is>
      </c>
      <c r="E872" s="115" t="inlineStr">
        <is>
          <t>YAŞAR ÖZKAYA</t>
        </is>
      </c>
      <c r="F872" s="65" t="n">
        <v>325953</v>
      </c>
      <c r="G872" s="152" t="n"/>
      <c r="H872" s="152" t="n">
        <v>403</v>
      </c>
      <c r="I872" s="156">
        <f>+I871+(G872-H872)</f>
        <v/>
      </c>
      <c r="J872" s="90" t="n">
        <v>56.45</v>
      </c>
      <c r="K872" s="166" t="n"/>
      <c r="L872" s="158">
        <f>+H872*J872</f>
        <v/>
      </c>
      <c r="M872" s="159">
        <f>SUM(M871+K872-L872)</f>
        <v/>
      </c>
    </row>
    <row r="873">
      <c r="A873" s="151" t="n">
        <v>46092</v>
      </c>
      <c r="B873" s="70" t="n">
        <v>3334</v>
      </c>
      <c r="C873" s="115" t="inlineStr">
        <is>
          <t>SELİM İNŞAAT</t>
        </is>
      </c>
      <c r="D873" s="115" t="inlineStr">
        <is>
          <t>34  GUS 938</t>
        </is>
      </c>
      <c r="E873" s="115" t="inlineStr">
        <is>
          <t>MEHMET KAYA</t>
        </is>
      </c>
      <c r="F873" s="65" t="n">
        <v>249483</v>
      </c>
      <c r="G873" s="152" t="n"/>
      <c r="H873" s="152" t="n">
        <v>449</v>
      </c>
      <c r="I873" s="156">
        <f>+I872+(G873-H873)</f>
        <v/>
      </c>
      <c r="J873" s="90" t="n">
        <v>56.45</v>
      </c>
      <c r="K873" s="166" t="n"/>
      <c r="L873" s="158">
        <f>+H873*J873</f>
        <v/>
      </c>
      <c r="M873" s="159">
        <f>SUM(M872+K873-L873)</f>
        <v/>
      </c>
    </row>
    <row r="874">
      <c r="A874" s="151" t="n">
        <v>46092</v>
      </c>
      <c r="B874" s="70" t="n">
        <v>3432</v>
      </c>
      <c r="C874" s="115" t="inlineStr">
        <is>
          <t>SELİM İNŞAAT</t>
        </is>
      </c>
      <c r="D874" s="115" t="inlineStr">
        <is>
          <t>34 GVZ 310</t>
        </is>
      </c>
      <c r="E874" s="115" t="inlineStr">
        <is>
          <t>CELAL YÜZBAŞI</t>
        </is>
      </c>
      <c r="F874" s="65" t="n">
        <v>249878</v>
      </c>
      <c r="G874" s="152" t="n"/>
      <c r="H874" s="152" t="n">
        <v>455</v>
      </c>
      <c r="I874" s="156">
        <f>+I873+(G874-H874)</f>
        <v/>
      </c>
      <c r="J874" s="90" t="n">
        <v>56.45</v>
      </c>
      <c r="K874" s="166" t="n"/>
      <c r="L874" s="158">
        <f>+H874*J874</f>
        <v/>
      </c>
      <c r="M874" s="159">
        <f>SUM(M873+K874-L874)</f>
        <v/>
      </c>
    </row>
    <row r="875">
      <c r="A875" s="151" t="n">
        <v>46092</v>
      </c>
      <c r="B875" s="70" t="n">
        <v>3491</v>
      </c>
      <c r="C875" s="115" t="inlineStr">
        <is>
          <t>SELİM İNŞAAT</t>
        </is>
      </c>
      <c r="D875" s="115" t="inlineStr">
        <is>
          <t>34 EDB 754</t>
        </is>
      </c>
      <c r="E875" s="115" t="inlineStr">
        <is>
          <t>MUSTAFA KAYA</t>
        </is>
      </c>
      <c r="F875" s="65" t="n">
        <v>374130</v>
      </c>
      <c r="G875" s="152" t="n"/>
      <c r="H875" s="152" t="n">
        <v>478</v>
      </c>
      <c r="I875" s="156">
        <f>+I874+(G875-H875)</f>
        <v/>
      </c>
      <c r="J875" s="90" t="n">
        <v>56.45</v>
      </c>
      <c r="K875" s="166" t="n"/>
      <c r="L875" s="158">
        <f>+H875*J875</f>
        <v/>
      </c>
      <c r="M875" s="159">
        <f>SUM(M874+K875-L875)</f>
        <v/>
      </c>
    </row>
    <row r="876">
      <c r="A876" s="151" t="n">
        <v>46092</v>
      </c>
      <c r="B876" s="70" t="n">
        <v>518</v>
      </c>
      <c r="C876" s="115" t="inlineStr">
        <is>
          <t>SELİM İNŞAAT</t>
        </is>
      </c>
      <c r="D876" s="115" t="inlineStr">
        <is>
          <t>34 EGR 737</t>
        </is>
      </c>
      <c r="E876" s="115" t="inlineStr">
        <is>
          <t>CEM MUHTAR</t>
        </is>
      </c>
      <c r="F876" s="65" t="n">
        <v>463652</v>
      </c>
      <c r="G876" s="152" t="n"/>
      <c r="H876" s="152" t="n">
        <v>538</v>
      </c>
      <c r="I876" s="156">
        <f>+I875+(G876-H876)</f>
        <v/>
      </c>
      <c r="J876" s="90" t="n">
        <v>56.45</v>
      </c>
      <c r="K876" s="166" t="n"/>
      <c r="L876" s="158">
        <f>+H876*J876</f>
        <v/>
      </c>
      <c r="M876" s="159">
        <f>SUM(M875+K876-L876)</f>
        <v/>
      </c>
    </row>
    <row r="877">
      <c r="A877" s="151" t="n">
        <v>46092</v>
      </c>
      <c r="B877" s="70" t="n">
        <v>3047</v>
      </c>
      <c r="C877" s="115" t="inlineStr">
        <is>
          <t>SELİM İNŞAAT</t>
        </is>
      </c>
      <c r="D877" s="115" t="inlineStr">
        <is>
          <t>34 FBR 781</t>
        </is>
      </c>
      <c r="E877" s="115" t="inlineStr">
        <is>
          <t>MEVLÜT POLAT</t>
        </is>
      </c>
      <c r="F877" s="65" t="n">
        <v>364166</v>
      </c>
      <c r="G877" s="152" t="n"/>
      <c r="H877" s="152" t="n">
        <v>435</v>
      </c>
      <c r="I877" s="156">
        <f>+I876+(G877-H877)</f>
        <v/>
      </c>
      <c r="J877" s="90" t="n">
        <v>56.45</v>
      </c>
      <c r="K877" s="166" t="n"/>
      <c r="L877" s="158">
        <f>+H877*J877</f>
        <v/>
      </c>
      <c r="M877" s="159">
        <f>SUM(M876+K877-L877)</f>
        <v/>
      </c>
    </row>
    <row r="878">
      <c r="A878" s="151" t="n">
        <v>46092</v>
      </c>
      <c r="B878" s="70" t="n">
        <v>4517</v>
      </c>
      <c r="C878" s="115" t="inlineStr">
        <is>
          <t>SELİM İNŞAAT</t>
        </is>
      </c>
      <c r="D878" s="115" t="inlineStr">
        <is>
          <t>34 DTV 352</t>
        </is>
      </c>
      <c r="E878" s="115" t="inlineStr">
        <is>
          <t>AZİZ ORUÇ</t>
        </is>
      </c>
      <c r="F878" s="65" t="n">
        <v>478119</v>
      </c>
      <c r="G878" s="152" t="n"/>
      <c r="H878" s="152" t="n">
        <v>382</v>
      </c>
      <c r="I878" s="156">
        <f>+I877+(G878-H878)</f>
        <v/>
      </c>
      <c r="J878" s="90" t="n">
        <v>56.45</v>
      </c>
      <c r="K878" s="166" t="n"/>
      <c r="L878" s="158">
        <f>+H878*J878</f>
        <v/>
      </c>
      <c r="M878" s="159">
        <f>SUM(M877+K878-L878)</f>
        <v/>
      </c>
    </row>
    <row r="879">
      <c r="A879" s="151" t="n">
        <v>46092</v>
      </c>
      <c r="B879" s="70" t="n">
        <v>3394</v>
      </c>
      <c r="C879" s="115" t="inlineStr">
        <is>
          <t>SELİM İNŞAAT</t>
        </is>
      </c>
      <c r="D879" s="115" t="inlineStr">
        <is>
          <t>34 EDC 162</t>
        </is>
      </c>
      <c r="E879" s="115" t="inlineStr">
        <is>
          <t>YAKUP GÜNER</t>
        </is>
      </c>
      <c r="F879" s="65" t="n">
        <v>417951</v>
      </c>
      <c r="G879" s="152" t="n"/>
      <c r="H879" s="152" t="n">
        <v>505</v>
      </c>
      <c r="I879" s="156">
        <f>+I878+(G879-H879)</f>
        <v/>
      </c>
      <c r="J879" s="90" t="n">
        <v>56.45</v>
      </c>
      <c r="K879" s="166" t="n"/>
      <c r="L879" s="158">
        <f>+H879*J879</f>
        <v/>
      </c>
      <c r="M879" s="159">
        <f>SUM(M878+K879-L879)</f>
        <v/>
      </c>
    </row>
    <row r="880">
      <c r="A880" s="151" t="n">
        <v>46092</v>
      </c>
      <c r="B880" s="70" t="n">
        <v>2546</v>
      </c>
      <c r="C880" s="115" t="inlineStr">
        <is>
          <t>AZGÜN YAPI</t>
        </is>
      </c>
      <c r="D880" s="115" t="inlineStr">
        <is>
          <t>34 MKT 593</t>
        </is>
      </c>
      <c r="E880" s="115" t="inlineStr">
        <is>
          <t>TURGUT ÇATAL</t>
        </is>
      </c>
      <c r="F880" s="65" t="n"/>
      <c r="G880" s="152" t="n"/>
      <c r="H880" s="152" t="n">
        <v>426</v>
      </c>
      <c r="I880" s="156">
        <f>+I879+(G880-H880)</f>
        <v/>
      </c>
      <c r="J880" s="90" t="n">
        <v>56.45</v>
      </c>
      <c r="K880" s="166" t="n"/>
      <c r="L880" s="158">
        <f>+H880*J880</f>
        <v/>
      </c>
      <c r="M880" s="159">
        <f>SUM(M879+K880-L880)</f>
        <v/>
      </c>
    </row>
    <row r="881">
      <c r="A881" s="151" t="n">
        <v>46092</v>
      </c>
      <c r="B881" s="70" t="n">
        <v>3289</v>
      </c>
      <c r="C881" s="115" t="inlineStr">
        <is>
          <t>AZGÜN YAPI</t>
        </is>
      </c>
      <c r="D881" s="115" t="inlineStr">
        <is>
          <t xml:space="preserve">34 DTV 263 </t>
        </is>
      </c>
      <c r="E881" s="115" t="inlineStr">
        <is>
          <t>DURSUN ALİ GÜREK</t>
        </is>
      </c>
      <c r="F881" s="65" t="n"/>
      <c r="G881" s="152" t="n"/>
      <c r="H881" s="152" t="n">
        <v>349</v>
      </c>
      <c r="I881" s="156">
        <f>+I880+(G881-H881)</f>
        <v/>
      </c>
      <c r="J881" s="90" t="n">
        <v>56.45</v>
      </c>
      <c r="K881" s="166" t="n"/>
      <c r="L881" s="158">
        <f>+H881*J881</f>
        <v/>
      </c>
      <c r="M881" s="159">
        <f>SUM(M880+K881-L881)</f>
        <v/>
      </c>
    </row>
    <row r="882">
      <c r="A882" s="151" t="n">
        <v>46092</v>
      </c>
      <c r="B882" s="70" t="n">
        <v>1393</v>
      </c>
      <c r="C882" s="115" t="inlineStr">
        <is>
          <t>AZGÜN YAPI</t>
        </is>
      </c>
      <c r="D882" s="115" t="inlineStr">
        <is>
          <t>34 MKT859</t>
        </is>
      </c>
      <c r="E882" s="115" t="inlineStr">
        <is>
          <t>İRFAN DAĞLAR</t>
        </is>
      </c>
      <c r="F882" s="65" t="n"/>
      <c r="G882" s="152" t="n"/>
      <c r="H882" s="152" t="n">
        <v>551</v>
      </c>
      <c r="I882" s="156">
        <f>+I881+(G882-H882)</f>
        <v/>
      </c>
      <c r="J882" s="90" t="n">
        <v>56.45</v>
      </c>
      <c r="K882" s="166" t="n"/>
      <c r="L882" s="158">
        <f>+H882*J882</f>
        <v/>
      </c>
      <c r="M882" s="159">
        <f>SUM(M881+K882-L882)</f>
        <v/>
      </c>
    </row>
    <row r="883">
      <c r="A883" s="151" t="n">
        <v>46092</v>
      </c>
      <c r="B883" s="70" t="n">
        <v>2390</v>
      </c>
      <c r="C883" s="115" t="inlineStr">
        <is>
          <t>SELİM İNŞAAT</t>
        </is>
      </c>
      <c r="D883" s="115" t="inlineStr">
        <is>
          <t>34 FEM 934</t>
        </is>
      </c>
      <c r="E883" s="115" t="inlineStr">
        <is>
          <t>DURSUN ALİ GÜREK</t>
        </is>
      </c>
      <c r="F883" s="65" t="n">
        <v>333839</v>
      </c>
      <c r="G883" s="152" t="n"/>
      <c r="H883" s="152" t="n">
        <v>42</v>
      </c>
      <c r="I883" s="156">
        <f>+I882+(G883-H883)</f>
        <v/>
      </c>
      <c r="J883" s="90" t="n">
        <v>56.45</v>
      </c>
      <c r="K883" s="166" t="n"/>
      <c r="L883" s="158">
        <f>+H883*J883</f>
        <v/>
      </c>
      <c r="M883" s="159">
        <f>SUM(M882+K883-L883)</f>
        <v/>
      </c>
    </row>
    <row r="884">
      <c r="A884" s="151" t="n">
        <v>46092</v>
      </c>
      <c r="B884" s="70" t="n">
        <v>4467</v>
      </c>
      <c r="C884" s="115" t="inlineStr">
        <is>
          <t>SELİM İNŞAAT</t>
        </is>
      </c>
      <c r="D884" s="115" t="inlineStr">
        <is>
          <t>34 DKL 798</t>
        </is>
      </c>
      <c r="E884" s="115" t="inlineStr">
        <is>
          <t>HASAN BAYCA</t>
        </is>
      </c>
      <c r="F884" s="65" t="n">
        <v>81588</v>
      </c>
      <c r="G884" s="152" t="n"/>
      <c r="H884" s="152" t="n">
        <v>370</v>
      </c>
      <c r="I884" s="156">
        <f>+I883+(G884-H884)</f>
        <v/>
      </c>
      <c r="J884" s="90" t="n">
        <v>56.45</v>
      </c>
      <c r="K884" s="166" t="n"/>
      <c r="L884" s="158">
        <f>+H884*J884</f>
        <v/>
      </c>
      <c r="M884" s="159">
        <f>SUM(M883+K884-L884)</f>
        <v/>
      </c>
    </row>
    <row r="885">
      <c r="A885" s="151" t="n">
        <v>46092</v>
      </c>
      <c r="B885" s="70" t="n">
        <v>2593</v>
      </c>
      <c r="C885" s="115" t="inlineStr">
        <is>
          <t>SELİM İNŞAAT</t>
        </is>
      </c>
      <c r="D885" s="115" t="inlineStr">
        <is>
          <t>34 GER 028</t>
        </is>
      </c>
      <c r="E885" s="115" t="inlineStr">
        <is>
          <t>ABDÜLKERİM ERGEN</t>
        </is>
      </c>
      <c r="F885" s="65" t="n">
        <v>60756</v>
      </c>
      <c r="G885" s="152" t="n"/>
      <c r="H885" s="152" t="n">
        <v>382</v>
      </c>
      <c r="I885" s="156">
        <f>+I884+(G885-H885)</f>
        <v/>
      </c>
      <c r="J885" s="90" t="n">
        <v>56.45</v>
      </c>
      <c r="K885" s="166" t="n"/>
      <c r="L885" s="158">
        <f>+H885*J885</f>
        <v/>
      </c>
      <c r="M885" s="159">
        <f>SUM(M884+K885-L885)</f>
        <v/>
      </c>
    </row>
    <row r="886">
      <c r="A886" s="151" t="n">
        <v>46092</v>
      </c>
      <c r="B886" s="70" t="n">
        <v>2982</v>
      </c>
      <c r="C886" s="115" t="inlineStr">
        <is>
          <t>SELİM İNŞAAT</t>
        </is>
      </c>
      <c r="D886" s="115" t="inlineStr">
        <is>
          <t>34 DFE 454</t>
        </is>
      </c>
      <c r="E886" s="115" t="inlineStr">
        <is>
          <t>HÜSEYİN ALIN</t>
        </is>
      </c>
      <c r="F886" s="65" t="n">
        <v>175080</v>
      </c>
      <c r="G886" s="152" t="n"/>
      <c r="H886" s="152" t="n">
        <v>409</v>
      </c>
      <c r="I886" s="156">
        <f>+I885+(G886-H886)</f>
        <v/>
      </c>
      <c r="J886" s="90" t="n">
        <v>56.45</v>
      </c>
      <c r="K886" s="166" t="n"/>
      <c r="L886" s="158">
        <f>+H886*J886</f>
        <v/>
      </c>
      <c r="M886" s="159">
        <f>SUM(M885+K886-L886)</f>
        <v/>
      </c>
    </row>
    <row r="887">
      <c r="A887" s="151" t="n">
        <v>46092</v>
      </c>
      <c r="B887" s="70" t="n">
        <v>3731</v>
      </c>
      <c r="C887" s="115" t="inlineStr">
        <is>
          <t>SELİM İNŞAAT</t>
        </is>
      </c>
      <c r="D887" s="115" t="inlineStr">
        <is>
          <t>34 DKL 866</t>
        </is>
      </c>
      <c r="E887" s="115" t="inlineStr">
        <is>
          <t>SELİMCAN ÖNVER</t>
        </is>
      </c>
      <c r="F887" s="65" t="n">
        <v>82834</v>
      </c>
      <c r="G887" s="152" t="n"/>
      <c r="H887" s="152" t="n">
        <v>344</v>
      </c>
      <c r="I887" s="156">
        <f>+I886+(G887-H887)</f>
        <v/>
      </c>
      <c r="J887" s="90" t="n">
        <v>56.45</v>
      </c>
      <c r="K887" s="166" t="n"/>
      <c r="L887" s="158">
        <f>+H887*J887</f>
        <v/>
      </c>
      <c r="M887" s="159">
        <f>SUM(M886+K887-L887)</f>
        <v/>
      </c>
    </row>
    <row r="888">
      <c r="A888" s="151" t="n">
        <v>46092</v>
      </c>
      <c r="B888" s="70" t="n">
        <v>756</v>
      </c>
      <c r="C888" s="115" t="inlineStr">
        <is>
          <t>METİN ERYİĞİT</t>
        </is>
      </c>
      <c r="D888" s="115" t="inlineStr">
        <is>
          <t>34 EGR 814</t>
        </is>
      </c>
      <c r="E888" s="115" t="inlineStr">
        <is>
          <t>ZİYA İNCE</t>
        </is>
      </c>
      <c r="F888" s="65" t="n"/>
      <c r="G888" s="152" t="n"/>
      <c r="H888" s="152" t="n">
        <v>409</v>
      </c>
      <c r="I888" s="156">
        <f>+I887+(G888-H888)</f>
        <v/>
      </c>
      <c r="J888" s="90" t="n">
        <v>56.45</v>
      </c>
      <c r="K888" s="166" t="n"/>
      <c r="L888" s="158">
        <f>+H888*J888</f>
        <v/>
      </c>
      <c r="M888" s="159">
        <f>SUM(M887+K888-L888)</f>
        <v/>
      </c>
    </row>
    <row r="889">
      <c r="A889" s="151" t="n">
        <v>46092</v>
      </c>
      <c r="B889" s="70" t="n">
        <v>466</v>
      </c>
      <c r="C889" s="115" t="inlineStr">
        <is>
          <t>MEGA</t>
        </is>
      </c>
      <c r="D889" s="115" t="inlineStr">
        <is>
          <t>SM350</t>
        </is>
      </c>
      <c r="E889" s="115" t="inlineStr">
        <is>
          <t>MİKAİL</t>
        </is>
      </c>
      <c r="F889" s="65" t="n"/>
      <c r="G889" s="152" t="n"/>
      <c r="H889" s="152" t="n">
        <v>452</v>
      </c>
      <c r="I889" s="156">
        <f>+I888+(G889-H889)</f>
        <v/>
      </c>
      <c r="J889" s="90" t="n">
        <v>56.45</v>
      </c>
      <c r="K889" s="166" t="n"/>
      <c r="L889" s="158">
        <f>+H889*J889</f>
        <v/>
      </c>
      <c r="M889" s="159">
        <f>SUM(M888+K889-L889)</f>
        <v/>
      </c>
    </row>
    <row r="890">
      <c r="A890" s="151" t="n">
        <v>46092</v>
      </c>
      <c r="B890" s="70" t="n">
        <v>467</v>
      </c>
      <c r="C890" s="115" t="inlineStr">
        <is>
          <t>KOZMO</t>
        </is>
      </c>
      <c r="D890" s="115" t="inlineStr">
        <is>
          <t>HİTACHİ</t>
        </is>
      </c>
      <c r="E890" s="115" t="inlineStr">
        <is>
          <t>TURGUT</t>
        </is>
      </c>
      <c r="F890" s="65" t="n"/>
      <c r="G890" s="152" t="n"/>
      <c r="H890" s="152" t="n">
        <v>356</v>
      </c>
      <c r="I890" s="156">
        <f>+I889+(G890-H890)</f>
        <v/>
      </c>
      <c r="J890" s="90" t="n">
        <v>56.45</v>
      </c>
      <c r="K890" s="166" t="n"/>
      <c r="L890" s="158">
        <f>+H890*J890</f>
        <v/>
      </c>
      <c r="M890" s="159">
        <f>SUM(M889+K890-L890)</f>
        <v/>
      </c>
    </row>
    <row r="891">
      <c r="A891" s="151" t="n">
        <v>46092</v>
      </c>
      <c r="B891" s="70" t="n">
        <v>468</v>
      </c>
      <c r="C891" s="115" t="inlineStr">
        <is>
          <t>VARLIK</t>
        </is>
      </c>
      <c r="D891" s="115" t="inlineStr">
        <is>
          <t>KAWAZAKİ</t>
        </is>
      </c>
      <c r="E891" s="115" t="inlineStr">
        <is>
          <t>RAMAZAN</t>
        </is>
      </c>
      <c r="F891" s="65" t="n"/>
      <c r="G891" s="152" t="n"/>
      <c r="H891" s="152" t="n">
        <v>284</v>
      </c>
      <c r="I891" s="156">
        <f>+I890+(G891-H891)</f>
        <v/>
      </c>
      <c r="J891" s="90" t="n">
        <v>56.45</v>
      </c>
      <c r="K891" s="166" t="n"/>
      <c r="L891" s="158">
        <f>+H891*J891</f>
        <v/>
      </c>
      <c r="M891" s="159">
        <f>SUM(M890+K891-L891)</f>
        <v/>
      </c>
    </row>
    <row r="892">
      <c r="A892" s="151" t="n">
        <v>46092</v>
      </c>
      <c r="B892" s="70" t="n">
        <v>469</v>
      </c>
      <c r="C892" s="115" t="inlineStr">
        <is>
          <t>VARLIK</t>
        </is>
      </c>
      <c r="D892" s="115" t="inlineStr">
        <is>
          <t>JCB</t>
        </is>
      </c>
      <c r="E892" s="115" t="inlineStr">
        <is>
          <t>BAYRAM SANCAK</t>
        </is>
      </c>
      <c r="F892" s="65" t="n"/>
      <c r="G892" s="152" t="n"/>
      <c r="H892" s="152" t="n">
        <v>70</v>
      </c>
      <c r="I892" s="156">
        <f>+I891+(G892-H892)</f>
        <v/>
      </c>
      <c r="J892" s="90" t="n">
        <v>56.45</v>
      </c>
      <c r="K892" s="166" t="n"/>
      <c r="L892" s="158">
        <f>+H892*J892</f>
        <v/>
      </c>
      <c r="M892" s="159">
        <f>SUM(M891+K892-L892)</f>
        <v/>
      </c>
    </row>
    <row r="893">
      <c r="A893" s="151" t="n">
        <v>46092</v>
      </c>
      <c r="B893" s="70" t="n">
        <v>470</v>
      </c>
      <c r="C893" s="115" t="inlineStr">
        <is>
          <t>EVKUR</t>
        </is>
      </c>
      <c r="D893" s="115" t="inlineStr">
        <is>
          <t>KİRALIK KATO</t>
        </is>
      </c>
      <c r="E893" s="115" t="inlineStr">
        <is>
          <t>GÜNEŞ</t>
        </is>
      </c>
      <c r="F893" s="65" t="n"/>
      <c r="G893" s="152" t="n"/>
      <c r="H893" s="152" t="n">
        <v>62</v>
      </c>
      <c r="I893" s="156">
        <f>+I892+(G893-H893)</f>
        <v/>
      </c>
      <c r="J893" s="90" t="n">
        <v>56.45</v>
      </c>
      <c r="K893" s="166" t="n"/>
      <c r="L893" s="158">
        <f>+H893*J893</f>
        <v/>
      </c>
      <c r="M893" s="159">
        <f>SUM(M892+K893-L893)</f>
        <v/>
      </c>
    </row>
    <row r="894">
      <c r="A894" s="151" t="n">
        <v>46092</v>
      </c>
      <c r="B894" s="70" t="n">
        <v>471</v>
      </c>
      <c r="C894" s="115" t="inlineStr">
        <is>
          <t>EVKUR</t>
        </is>
      </c>
      <c r="D894" s="115" t="inlineStr">
        <is>
          <t>SİLİNDİR</t>
        </is>
      </c>
      <c r="E894" s="115" t="inlineStr">
        <is>
          <t>ÖNER</t>
        </is>
      </c>
      <c r="F894" s="65" t="n"/>
      <c r="G894" s="152" t="n"/>
      <c r="H894" s="152" t="n">
        <v>284</v>
      </c>
      <c r="I894" s="156">
        <f>+I893+(G894-H894)</f>
        <v/>
      </c>
      <c r="J894" s="90" t="n">
        <v>56.45</v>
      </c>
      <c r="K894" s="166" t="n"/>
      <c r="L894" s="158">
        <f>+H894*J894</f>
        <v/>
      </c>
      <c r="M894" s="159">
        <f>SUM(M893+K894-L894)</f>
        <v/>
      </c>
    </row>
    <row r="895">
      <c r="A895" s="151" t="n">
        <v>46092</v>
      </c>
      <c r="B895" s="70" t="n">
        <v>472</v>
      </c>
      <c r="C895" s="115" t="inlineStr">
        <is>
          <t>DELİKLİKAYA</t>
        </is>
      </c>
      <c r="D895" s="115" t="inlineStr">
        <is>
          <t>DELİKLİKAYA</t>
        </is>
      </c>
      <c r="E895" s="115" t="inlineStr">
        <is>
          <t>MUHAMMET</t>
        </is>
      </c>
      <c r="F895" s="65" t="n"/>
      <c r="G895" s="152" t="n"/>
      <c r="H895" s="152" t="n">
        <v>175</v>
      </c>
      <c r="I895" s="156">
        <f>+I894+(G895-H895)</f>
        <v/>
      </c>
      <c r="J895" s="90" t="n">
        <v>56.45</v>
      </c>
      <c r="K895" s="166" t="n"/>
      <c r="L895" s="158">
        <f>+H895*J895</f>
        <v/>
      </c>
      <c r="M895" s="159">
        <f>SUM(M894+K895-L895)</f>
        <v/>
      </c>
    </row>
    <row r="896">
      <c r="A896" s="151" t="n">
        <v>46092</v>
      </c>
      <c r="B896" s="70" t="n">
        <v>473</v>
      </c>
      <c r="C896" s="115" t="inlineStr">
        <is>
          <t>CEVİZ</t>
        </is>
      </c>
      <c r="D896" s="115" t="inlineStr">
        <is>
          <t>FORKLİFT</t>
        </is>
      </c>
      <c r="E896" s="115" t="inlineStr">
        <is>
          <t>CEMAL AKYOL</t>
        </is>
      </c>
      <c r="F896" s="65" t="n"/>
      <c r="G896" s="152" t="n"/>
      <c r="H896" s="152" t="n">
        <v>34</v>
      </c>
      <c r="I896" s="156">
        <f>+I895+(G896-H896)</f>
        <v/>
      </c>
      <c r="J896" s="90" t="n">
        <v>56.45</v>
      </c>
      <c r="K896" s="166" t="n"/>
      <c r="L896" s="158">
        <f>+H896*J896</f>
        <v/>
      </c>
      <c r="M896" s="159">
        <f>SUM(M895+K896-L896)</f>
        <v/>
      </c>
    </row>
    <row r="897">
      <c r="A897" s="151" t="n">
        <v>46092</v>
      </c>
      <c r="B897" s="70" t="n">
        <v>474</v>
      </c>
      <c r="C897" s="115" t="inlineStr">
        <is>
          <t>MEGA</t>
        </is>
      </c>
      <c r="D897" s="115" t="inlineStr">
        <is>
          <t>SM300</t>
        </is>
      </c>
      <c r="E897" s="115" t="inlineStr">
        <is>
          <t>TEKİN</t>
        </is>
      </c>
      <c r="F897" s="65" t="n"/>
      <c r="G897" s="152" t="n"/>
      <c r="H897" s="152" t="n">
        <v>382</v>
      </c>
      <c r="I897" s="156">
        <f>+I896+(G897-H897)</f>
        <v/>
      </c>
      <c r="J897" s="90" t="n">
        <v>56.45</v>
      </c>
      <c r="K897" s="166" t="n"/>
      <c r="L897" s="158">
        <f>+H897*J897</f>
        <v/>
      </c>
      <c r="M897" s="159">
        <f>SUM(M896+K897-L897)</f>
        <v/>
      </c>
    </row>
    <row r="898">
      <c r="A898" s="151" t="n">
        <v>46093</v>
      </c>
      <c r="B898" s="70" t="n">
        <v>2798</v>
      </c>
      <c r="C898" s="115" t="inlineStr">
        <is>
          <t>SELİM İNŞAAT</t>
        </is>
      </c>
      <c r="D898" s="115" t="inlineStr">
        <is>
          <t>34 EDC 086</t>
        </is>
      </c>
      <c r="E898" s="115" t="inlineStr">
        <is>
          <t>SEZGİN KOCAGİL</t>
        </is>
      </c>
      <c r="F898" s="65" t="n">
        <v>378353</v>
      </c>
      <c r="G898" s="152" t="n"/>
      <c r="H898" s="152" t="n">
        <v>395</v>
      </c>
      <c r="I898" s="156">
        <f>+I897+(G898-H898)</f>
        <v/>
      </c>
      <c r="J898" s="90" t="n">
        <v>56.45</v>
      </c>
      <c r="K898" s="166" t="n"/>
      <c r="L898" s="158">
        <f>+H898*J898</f>
        <v/>
      </c>
      <c r="M898" s="159">
        <f>SUM(M897+K898-L898)</f>
        <v/>
      </c>
    </row>
    <row r="899">
      <c r="A899" s="151" t="n">
        <v>46093</v>
      </c>
      <c r="B899" s="70" t="n">
        <v>16</v>
      </c>
      <c r="C899" s="115" t="inlineStr">
        <is>
          <t>SELİM İNŞAAT</t>
        </is>
      </c>
      <c r="D899" s="115" t="inlineStr">
        <is>
          <t xml:space="preserve">34 GVZ 268 </t>
        </is>
      </c>
      <c r="E899" s="115" t="inlineStr">
        <is>
          <t>KERİM KARAMAN</t>
        </is>
      </c>
      <c r="F899" s="65" t="n">
        <v>253773</v>
      </c>
      <c r="G899" s="152" t="n"/>
      <c r="H899" s="152" t="n">
        <v>472</v>
      </c>
      <c r="I899" s="156">
        <f>+I898+(G899-H899)</f>
        <v/>
      </c>
      <c r="J899" s="90" t="n">
        <v>56.45</v>
      </c>
      <c r="K899" s="166" t="n"/>
      <c r="L899" s="158">
        <f>+H899*J899</f>
        <v/>
      </c>
      <c r="M899" s="159">
        <f>SUM(M898+K899-L899)</f>
        <v/>
      </c>
    </row>
    <row r="900">
      <c r="A900" s="151" t="n">
        <v>46093</v>
      </c>
      <c r="B900" s="70" t="n">
        <v>4119</v>
      </c>
      <c r="C900" s="115" t="inlineStr">
        <is>
          <t>SELİM İNŞAAT</t>
        </is>
      </c>
      <c r="D900" s="115" t="inlineStr">
        <is>
          <t>34 EDB 659</t>
        </is>
      </c>
      <c r="E900" s="115" t="inlineStr">
        <is>
          <t>YASİN ÇATAKLI</t>
        </is>
      </c>
      <c r="F900" s="65" t="n">
        <v>392590</v>
      </c>
      <c r="G900" s="152" t="n"/>
      <c r="H900" s="152" t="n">
        <v>540</v>
      </c>
      <c r="I900" s="156">
        <f>+I899+(G900-H900)</f>
        <v/>
      </c>
      <c r="J900" s="90" t="n">
        <v>56.45</v>
      </c>
      <c r="K900" s="166" t="n"/>
      <c r="L900" s="158">
        <f>+H900*J900</f>
        <v/>
      </c>
      <c r="M900" s="159">
        <f>SUM(M899+K900-L900)</f>
        <v/>
      </c>
    </row>
    <row r="901">
      <c r="A901" s="151" t="n">
        <v>46093</v>
      </c>
      <c r="B901" s="70" t="n">
        <v>3228</v>
      </c>
      <c r="C901" s="115" t="inlineStr">
        <is>
          <t>SELİM İNŞAAT</t>
        </is>
      </c>
      <c r="D901" s="115" t="inlineStr">
        <is>
          <t>34 EGR 736</t>
        </is>
      </c>
      <c r="E901" s="115" t="inlineStr">
        <is>
          <t>HAKAN ÇAVUŞOĞLU</t>
        </is>
      </c>
      <c r="F901" s="65" t="n">
        <v>441589</v>
      </c>
      <c r="G901" s="152" t="n"/>
      <c r="H901" s="152" t="n">
        <v>557</v>
      </c>
      <c r="I901" s="156">
        <f>+I900+(G901-H901)</f>
        <v/>
      </c>
      <c r="J901" s="90" t="n">
        <v>56.45</v>
      </c>
      <c r="K901" s="166" t="n"/>
      <c r="L901" s="158">
        <f>+H901*J901</f>
        <v/>
      </c>
      <c r="M901" s="159">
        <f>SUM(M900+K901-L901)</f>
        <v/>
      </c>
    </row>
    <row r="902">
      <c r="A902" s="151" t="n">
        <v>46093</v>
      </c>
      <c r="B902" s="70" t="n">
        <v>4976</v>
      </c>
      <c r="C902" s="115" t="inlineStr">
        <is>
          <t>SELİM İNŞAAT</t>
        </is>
      </c>
      <c r="D902" s="115" t="inlineStr">
        <is>
          <t>34 GVZ 745</t>
        </is>
      </c>
      <c r="E902" s="115" t="inlineStr">
        <is>
          <t>MURAT DEMİRBAĞ</t>
        </is>
      </c>
      <c r="F902" s="65" t="n">
        <v>249752</v>
      </c>
      <c r="G902" s="152" t="n"/>
      <c r="H902" s="152" t="n">
        <v>456</v>
      </c>
      <c r="I902" s="156">
        <f>+I901+(G902-H902)</f>
        <v/>
      </c>
      <c r="J902" s="90" t="n">
        <v>56.45</v>
      </c>
      <c r="K902" s="166" t="n"/>
      <c r="L902" s="158">
        <f>+H902*J902</f>
        <v/>
      </c>
      <c r="M902" s="159">
        <f>SUM(M901+K902-L902)</f>
        <v/>
      </c>
    </row>
    <row r="903">
      <c r="A903" s="151" t="n">
        <v>46093</v>
      </c>
      <c r="B903" s="70" t="n">
        <v>4881</v>
      </c>
      <c r="C903" s="115" t="inlineStr">
        <is>
          <t>SELİM İNŞAAT</t>
        </is>
      </c>
      <c r="D903" s="115" t="inlineStr">
        <is>
          <t>34 FBR 705</t>
        </is>
      </c>
      <c r="E903" s="115" t="inlineStr">
        <is>
          <t>MURAT SARI</t>
        </is>
      </c>
      <c r="F903" s="65" t="n">
        <v>364612</v>
      </c>
      <c r="G903" s="152" t="n"/>
      <c r="H903" s="152" t="n">
        <v>496</v>
      </c>
      <c r="I903" s="156">
        <f>+I902+(G903-H903)</f>
        <v/>
      </c>
      <c r="J903" s="90" t="n">
        <v>56.45</v>
      </c>
      <c r="K903" s="166" t="n"/>
      <c r="L903" s="158">
        <f>+H903*J903</f>
        <v/>
      </c>
      <c r="M903" s="159">
        <f>SUM(M902+K903-L903)</f>
        <v/>
      </c>
    </row>
    <row r="904">
      <c r="A904" s="151" t="n">
        <v>46093</v>
      </c>
      <c r="B904" s="70" t="n">
        <v>1633</v>
      </c>
      <c r="C904" s="115" t="inlineStr">
        <is>
          <t>SELİM İNŞAAT</t>
        </is>
      </c>
      <c r="D904" s="115" t="inlineStr">
        <is>
          <t>34 VF 2260</t>
        </is>
      </c>
      <c r="E904" s="115" t="inlineStr">
        <is>
          <t>RECEP SELİM</t>
        </is>
      </c>
      <c r="F904" s="65" t="n">
        <v>202872</v>
      </c>
      <c r="G904" s="152" t="n"/>
      <c r="H904" s="152" t="n">
        <v>66</v>
      </c>
      <c r="I904" s="156">
        <f>+I903+(G904-H904)</f>
        <v/>
      </c>
      <c r="J904" s="90" t="n">
        <v>56.45</v>
      </c>
      <c r="K904" s="166" t="n"/>
      <c r="L904" s="158">
        <f>+H904*J904</f>
        <v/>
      </c>
      <c r="M904" s="159">
        <f>SUM(M903+K904-L904)</f>
        <v/>
      </c>
    </row>
    <row r="905">
      <c r="A905" s="151" t="n">
        <v>46093</v>
      </c>
      <c r="B905" s="70" t="n">
        <v>1774</v>
      </c>
      <c r="C905" s="115" t="inlineStr">
        <is>
          <t>SELİM İNŞAAT</t>
        </is>
      </c>
      <c r="D905" s="115" t="inlineStr">
        <is>
          <t>34 JBA 25</t>
        </is>
      </c>
      <c r="E905" s="115" t="inlineStr">
        <is>
          <t>BAYRAM SANCAK</t>
        </is>
      </c>
      <c r="F905" s="65" t="n">
        <v>348414</v>
      </c>
      <c r="G905" s="152" t="n"/>
      <c r="H905" s="152" t="n">
        <v>54</v>
      </c>
      <c r="I905" s="156">
        <f>+I904+(G905-H905)</f>
        <v/>
      </c>
      <c r="J905" s="90" t="n">
        <v>56.45</v>
      </c>
      <c r="K905" s="166" t="n"/>
      <c r="L905" s="158">
        <f>+H905*J905</f>
        <v/>
      </c>
      <c r="M905" s="159">
        <f>SUM(M904+K905-L905)</f>
        <v/>
      </c>
    </row>
    <row r="906">
      <c r="A906" s="151" t="n">
        <v>46093</v>
      </c>
      <c r="B906" s="70" t="n">
        <v>653</v>
      </c>
      <c r="C906" s="115" t="inlineStr">
        <is>
          <t>SELİM İNŞAAT</t>
        </is>
      </c>
      <c r="D906" s="115" t="inlineStr">
        <is>
          <t>34 GU 945</t>
        </is>
      </c>
      <c r="E906" s="115" t="inlineStr">
        <is>
          <t>YAKUP URUCU</t>
        </is>
      </c>
      <c r="F906" s="65" t="n">
        <v>473501</v>
      </c>
      <c r="G906" s="152" t="n"/>
      <c r="H906" s="152" t="n">
        <v>62</v>
      </c>
      <c r="I906" s="156">
        <f>+I905+(G906-H906)</f>
        <v/>
      </c>
      <c r="J906" s="90" t="n">
        <v>56.45</v>
      </c>
      <c r="K906" s="166" t="n"/>
      <c r="L906" s="158">
        <f>+H906*J906</f>
        <v/>
      </c>
      <c r="M906" s="159">
        <f>SUM(M905+K906-L906)</f>
        <v/>
      </c>
    </row>
    <row r="907">
      <c r="A907" s="151" t="n">
        <v>46093</v>
      </c>
      <c r="B907" s="70" t="n">
        <v>2347</v>
      </c>
      <c r="C907" s="115" t="inlineStr">
        <is>
          <t>SELİM İNŞAAT</t>
        </is>
      </c>
      <c r="D907" s="115" t="inlineStr">
        <is>
          <t>34 DP 4161</t>
        </is>
      </c>
      <c r="E907" s="115" t="inlineStr">
        <is>
          <t>RIFAT KARATAY</t>
        </is>
      </c>
      <c r="F907" s="65" t="n">
        <v>321218</v>
      </c>
      <c r="G907" s="152" t="n"/>
      <c r="H907" s="152" t="n">
        <v>395</v>
      </c>
      <c r="I907" s="156">
        <f>+I906+(G907-H907)</f>
        <v/>
      </c>
      <c r="J907" s="90" t="n">
        <v>56.45</v>
      </c>
      <c r="K907" s="166" t="n"/>
      <c r="L907" s="158">
        <f>+H907*J907</f>
        <v/>
      </c>
      <c r="M907" s="159">
        <f>SUM(M906+K907-L907)</f>
        <v/>
      </c>
    </row>
    <row r="908">
      <c r="A908" s="151" t="n">
        <v>46093</v>
      </c>
      <c r="B908" s="70" t="n">
        <v>623</v>
      </c>
      <c r="C908" s="115" t="inlineStr">
        <is>
          <t>RECEP SELİM OTOKURTARICI</t>
        </is>
      </c>
      <c r="D908" s="115" t="inlineStr">
        <is>
          <t>34 GC 8658</t>
        </is>
      </c>
      <c r="E908" s="115" t="inlineStr">
        <is>
          <t>RECEP SELİM</t>
        </is>
      </c>
      <c r="F908" s="65" t="n"/>
      <c r="G908" s="152" t="n"/>
      <c r="H908" s="152" t="n">
        <v>70</v>
      </c>
      <c r="I908" s="156">
        <f>+I907+(G908-H908)</f>
        <v/>
      </c>
      <c r="J908" s="90" t="n">
        <v>56.45</v>
      </c>
      <c r="K908" s="166" t="n"/>
      <c r="L908" s="158">
        <f>+H908*J908</f>
        <v/>
      </c>
      <c r="M908" s="159">
        <f>SUM(M907+K908-L908)</f>
        <v/>
      </c>
    </row>
    <row r="909">
      <c r="A909" s="151" t="n">
        <v>46093</v>
      </c>
      <c r="B909" s="70" t="n">
        <v>624</v>
      </c>
      <c r="C909" s="115" t="inlineStr">
        <is>
          <t>AHMET SELİM TEMHA</t>
        </is>
      </c>
      <c r="D909" s="115" t="inlineStr">
        <is>
          <t>34 PGT 251</t>
        </is>
      </c>
      <c r="E909" s="115" t="inlineStr">
        <is>
          <t>ERSOY SIĞINMAZ</t>
        </is>
      </c>
      <c r="F909" s="65" t="n"/>
      <c r="G909" s="152" t="n"/>
      <c r="H909" s="152" t="n">
        <v>57</v>
      </c>
      <c r="I909" s="156">
        <f>+I908+(G909-H909)</f>
        <v/>
      </c>
      <c r="J909" s="90" t="n">
        <v>56.45</v>
      </c>
      <c r="K909" s="166" t="n"/>
      <c r="L909" s="158">
        <f>+H909*J909</f>
        <v/>
      </c>
      <c r="M909" s="159">
        <f>SUM(M908+K909-L909)</f>
        <v/>
      </c>
    </row>
    <row r="910">
      <c r="A910" s="151" t="n">
        <v>46093</v>
      </c>
      <c r="B910" s="70" t="n">
        <v>717</v>
      </c>
      <c r="C910" s="115" t="inlineStr">
        <is>
          <t>METİN ERYİĞİT</t>
        </is>
      </c>
      <c r="D910" s="115" t="inlineStr">
        <is>
          <t>34 EGS 013</t>
        </is>
      </c>
      <c r="E910" s="115" t="inlineStr">
        <is>
          <t>UĞUR DUMAN</t>
        </is>
      </c>
      <c r="F910" s="65" t="n"/>
      <c r="G910" s="152" t="n"/>
      <c r="H910" s="152" t="n">
        <v>429</v>
      </c>
      <c r="I910" s="156">
        <f>+I909+(G910-H910)</f>
        <v/>
      </c>
      <c r="J910" s="90" t="n">
        <v>56.45</v>
      </c>
      <c r="K910" s="166" t="n"/>
      <c r="L910" s="158">
        <f>+H910*J910</f>
        <v/>
      </c>
      <c r="M910" s="159">
        <f>SUM(M909+K910-L910)</f>
        <v/>
      </c>
    </row>
    <row r="911">
      <c r="A911" s="151" t="n">
        <v>46093</v>
      </c>
      <c r="B911" s="70" t="n">
        <v>813</v>
      </c>
      <c r="C911" s="115" t="inlineStr">
        <is>
          <t>METİN ERYİĞİT</t>
        </is>
      </c>
      <c r="D911" s="115" t="inlineStr">
        <is>
          <t>34 GBL 998</t>
        </is>
      </c>
      <c r="E911" s="115" t="inlineStr">
        <is>
          <t>ALİ KESKİN</t>
        </is>
      </c>
      <c r="F911" s="65" t="n"/>
      <c r="G911" s="152" t="n"/>
      <c r="H911" s="152" t="n">
        <v>382</v>
      </c>
      <c r="I911" s="156">
        <f>+I910+(G911-H911)</f>
        <v/>
      </c>
      <c r="J911" s="90" t="n">
        <v>56.45</v>
      </c>
      <c r="K911" s="166" t="n"/>
      <c r="L911" s="158">
        <f>+H911*J911</f>
        <v/>
      </c>
      <c r="M911" s="159">
        <f>SUM(M910+K911-L911)</f>
        <v/>
      </c>
    </row>
    <row r="912">
      <c r="A912" s="151" t="n">
        <v>46093</v>
      </c>
      <c r="B912" s="70" t="n">
        <v>475</v>
      </c>
      <c r="C912" s="115" t="inlineStr">
        <is>
          <t>EVKUR</t>
        </is>
      </c>
      <c r="D912" s="115" t="inlineStr">
        <is>
          <t>SM350</t>
        </is>
      </c>
      <c r="E912" s="115" t="inlineStr">
        <is>
          <t>TEVFİK</t>
        </is>
      </c>
      <c r="F912" s="65" t="n"/>
      <c r="G912" s="152" t="n"/>
      <c r="H912" s="152" t="n">
        <v>448</v>
      </c>
      <c r="I912" s="156">
        <f>+I911+(G912-H912)</f>
        <v/>
      </c>
      <c r="J912" s="90" t="n">
        <v>56.45</v>
      </c>
      <c r="K912" s="166" t="n"/>
      <c r="L912" s="158">
        <f>+H912*J912</f>
        <v/>
      </c>
      <c r="M912" s="159">
        <f>SUM(M911+K912-L912)</f>
        <v/>
      </c>
    </row>
    <row r="913">
      <c r="A913" s="151" t="n">
        <v>46093</v>
      </c>
      <c r="B913" s="70" t="n">
        <v>476</v>
      </c>
      <c r="C913" s="115" t="inlineStr">
        <is>
          <t>EVKUR</t>
        </is>
      </c>
      <c r="D913" s="115" t="inlineStr">
        <is>
          <t>JENERATÖR</t>
        </is>
      </c>
      <c r="E913" s="115" t="inlineStr">
        <is>
          <t>GÜNEŞ</t>
        </is>
      </c>
      <c r="F913" s="65" t="n"/>
      <c r="G913" s="152" t="n"/>
      <c r="H913" s="152" t="n">
        <v>147</v>
      </c>
      <c r="I913" s="156">
        <f>+I912+(G913-H913)</f>
        <v/>
      </c>
      <c r="J913" s="90" t="n">
        <v>56.45</v>
      </c>
      <c r="K913" s="166" t="n"/>
      <c r="L913" s="158">
        <f>+H913*J913</f>
        <v/>
      </c>
      <c r="M913" s="159">
        <f>SUM(M912+K913-L913)</f>
        <v/>
      </c>
    </row>
    <row r="914">
      <c r="A914" s="151" t="n">
        <v>46093</v>
      </c>
      <c r="B914" s="70" t="n">
        <v>477</v>
      </c>
      <c r="C914" s="115" t="inlineStr">
        <is>
          <t>MEGA</t>
        </is>
      </c>
      <c r="D914" s="115" t="inlineStr">
        <is>
          <t>SM300</t>
        </is>
      </c>
      <c r="E914" s="115" t="inlineStr">
        <is>
          <t>TEKİN</t>
        </is>
      </c>
      <c r="F914" s="65" t="n"/>
      <c r="G914" s="152" t="n"/>
      <c r="H914" s="152" t="n">
        <v>270</v>
      </c>
      <c r="I914" s="156">
        <f>+I913+(G914-H914)</f>
        <v/>
      </c>
      <c r="J914" s="90" t="n">
        <v>56.45</v>
      </c>
      <c r="K914" s="166" t="n"/>
      <c r="L914" s="158">
        <f>+H914*J914</f>
        <v/>
      </c>
      <c r="M914" s="159">
        <f>SUM(M913+K914-L914)</f>
        <v/>
      </c>
    </row>
    <row r="915">
      <c r="A915" s="151" t="n">
        <v>46093</v>
      </c>
      <c r="B915" s="70" t="n">
        <v>478</v>
      </c>
      <c r="C915" s="115" t="inlineStr">
        <is>
          <t>MEGA</t>
        </is>
      </c>
      <c r="D915" s="115" t="inlineStr">
        <is>
          <t>ZOMLİON</t>
        </is>
      </c>
      <c r="E915" s="115" t="inlineStr">
        <is>
          <t>SALİH</t>
        </is>
      </c>
      <c r="F915" s="65" t="n"/>
      <c r="G915" s="152" t="n"/>
      <c r="H915" s="152" t="n">
        <v>272</v>
      </c>
      <c r="I915" s="156">
        <f>+I914+(G915-H915)</f>
        <v/>
      </c>
      <c r="J915" s="90" t="n">
        <v>56.45</v>
      </c>
      <c r="K915" s="166" t="n"/>
      <c r="L915" s="158">
        <f>+H915*J915</f>
        <v/>
      </c>
      <c r="M915" s="159">
        <f>SUM(M914+K915-L915)</f>
        <v/>
      </c>
    </row>
    <row r="916">
      <c r="A916" s="151" t="n">
        <v>46093</v>
      </c>
      <c r="B916" s="70" t="n">
        <v>479</v>
      </c>
      <c r="C916" s="115" t="inlineStr">
        <is>
          <t>MEGA</t>
        </is>
      </c>
      <c r="D916" s="115" t="inlineStr">
        <is>
          <t>SM370</t>
        </is>
      </c>
      <c r="E916" s="115" t="inlineStr">
        <is>
          <t>BEKİR</t>
        </is>
      </c>
      <c r="F916" s="65" t="n"/>
      <c r="G916" s="152" t="n"/>
      <c r="H916" s="152" t="n">
        <v>537</v>
      </c>
      <c r="I916" s="156">
        <f>+I915+(G916-H916)</f>
        <v/>
      </c>
      <c r="J916" s="90" t="n">
        <v>56.45</v>
      </c>
      <c r="K916" s="166" t="n"/>
      <c r="L916" s="158">
        <f>+H916*J916</f>
        <v/>
      </c>
      <c r="M916" s="159">
        <f>SUM(M915+K916-L916)</f>
        <v/>
      </c>
    </row>
    <row r="917">
      <c r="A917" s="151" t="n">
        <v>46093</v>
      </c>
      <c r="B917" s="70" t="n">
        <v>480</v>
      </c>
      <c r="C917" s="115" t="inlineStr">
        <is>
          <t>MEGA</t>
        </is>
      </c>
      <c r="D917" s="115" t="inlineStr">
        <is>
          <t>34 AZ 2191</t>
        </is>
      </c>
      <c r="E917" s="115" t="inlineStr">
        <is>
          <t>NUMAN KABİL</t>
        </is>
      </c>
      <c r="F917" s="65" t="n"/>
      <c r="G917" s="152" t="n"/>
      <c r="H917" s="152" t="n">
        <v>278</v>
      </c>
      <c r="I917" s="156">
        <f>+I916+(G917-H917)</f>
        <v/>
      </c>
      <c r="J917" s="90" t="n">
        <v>56.45</v>
      </c>
      <c r="K917" s="166" t="n"/>
      <c r="L917" s="158">
        <f>+H917*J917</f>
        <v/>
      </c>
      <c r="M917" s="159">
        <f>SUM(M916+K917-L917)</f>
        <v/>
      </c>
    </row>
    <row r="918">
      <c r="A918" s="151" t="n">
        <v>46093</v>
      </c>
      <c r="B918" s="70" t="n">
        <v>481</v>
      </c>
      <c r="C918" s="115" t="inlineStr">
        <is>
          <t>MEGA</t>
        </is>
      </c>
      <c r="D918" s="115" t="inlineStr">
        <is>
          <t>SM350</t>
        </is>
      </c>
      <c r="E918" s="115" t="inlineStr">
        <is>
          <t>MİKAİL</t>
        </is>
      </c>
      <c r="F918" s="65" t="n"/>
      <c r="G918" s="152" t="n"/>
      <c r="H918" s="152" t="n">
        <v>524</v>
      </c>
      <c r="I918" s="156">
        <f>+I917+(G918-H918)</f>
        <v/>
      </c>
      <c r="J918" s="90" t="n">
        <v>56.45</v>
      </c>
      <c r="K918" s="166" t="n"/>
      <c r="L918" s="158">
        <f>+H918*J918</f>
        <v/>
      </c>
      <c r="M918" s="159">
        <f>SUM(M917+K918-L918)</f>
        <v/>
      </c>
    </row>
    <row r="919">
      <c r="A919" s="167" t="n">
        <v>46094</v>
      </c>
      <c r="B919" s="83" t="n">
        <v>511</v>
      </c>
      <c r="C919" s="84" t="inlineStr">
        <is>
          <t>ÜNSOY TURİZM İNŞ.SAN.VE TİC.A.Ş.</t>
        </is>
      </c>
      <c r="D919" s="84" t="n"/>
      <c r="E919" s="84" t="n"/>
      <c r="F919" s="85" t="n"/>
      <c r="G919" s="168" t="n">
        <v>32457</v>
      </c>
      <c r="H919" s="168" t="n"/>
      <c r="I919" s="168">
        <f>+I918+(G919-H919)</f>
        <v/>
      </c>
      <c r="J919" s="87">
        <f>+K919/G919</f>
        <v/>
      </c>
      <c r="K919" s="169" t="n">
        <v>1835443.36</v>
      </c>
      <c r="L919" s="170">
        <f>+H919*J919</f>
        <v/>
      </c>
      <c r="M919" s="170">
        <f>SUM(M918+K919-L919)</f>
        <v/>
      </c>
    </row>
    <row r="920">
      <c r="A920" s="151" t="n">
        <v>46094</v>
      </c>
      <c r="B920" s="70" t="n">
        <v>855</v>
      </c>
      <c r="C920" s="115" t="inlineStr">
        <is>
          <t>SELİM İNŞAAT</t>
        </is>
      </c>
      <c r="D920" s="115" t="inlineStr">
        <is>
          <t>34 EGR 922</t>
        </is>
      </c>
      <c r="E920" s="115" t="inlineStr">
        <is>
          <t>FARUK ÖZEN</t>
        </is>
      </c>
      <c r="F920" s="65" t="n">
        <v>507140</v>
      </c>
      <c r="G920" s="152" t="n"/>
      <c r="H920" s="152" t="n">
        <v>496</v>
      </c>
      <c r="I920" s="156">
        <f>+I919+(G920-H920)</f>
        <v/>
      </c>
      <c r="J920" s="90" t="n">
        <v>56.55</v>
      </c>
      <c r="K920" s="166" t="n"/>
      <c r="L920" s="158">
        <f>+H920*J920</f>
        <v/>
      </c>
      <c r="M920" s="159">
        <f>SUM(M919+K920-L920)</f>
        <v/>
      </c>
    </row>
    <row r="921">
      <c r="A921" s="151" t="n">
        <v>46094</v>
      </c>
      <c r="B921" s="70" t="n">
        <v>4771</v>
      </c>
      <c r="C921" s="115" t="inlineStr">
        <is>
          <t>SELİM İNŞAAT</t>
        </is>
      </c>
      <c r="D921" s="115" t="inlineStr">
        <is>
          <t>34 DGP 137</t>
        </is>
      </c>
      <c r="E921" s="115" t="inlineStr">
        <is>
          <t>YASİN ÇATAKLI</t>
        </is>
      </c>
      <c r="F921" s="65" t="n">
        <v>477142</v>
      </c>
      <c r="G921" s="152" t="n"/>
      <c r="H921" s="152" t="n">
        <v>397</v>
      </c>
      <c r="I921" s="156">
        <f>+I920+(G921-H921)</f>
        <v/>
      </c>
      <c r="J921" s="90" t="n">
        <v>56.55</v>
      </c>
      <c r="K921" s="166" t="n"/>
      <c r="L921" s="158">
        <f>+H921*J921</f>
        <v/>
      </c>
      <c r="M921" s="159">
        <f>SUM(M920+K921-L921)</f>
        <v/>
      </c>
    </row>
    <row r="922">
      <c r="A922" s="151" t="n">
        <v>46094</v>
      </c>
      <c r="B922" s="70" t="n">
        <v>17</v>
      </c>
      <c r="C922" s="115" t="inlineStr">
        <is>
          <t>SELİM İNŞAAT</t>
        </is>
      </c>
      <c r="D922" s="115" t="inlineStr">
        <is>
          <t xml:space="preserve">34 GVZ 268 </t>
        </is>
      </c>
      <c r="E922" s="115" t="inlineStr">
        <is>
          <t>KERİM KARAMAN</t>
        </is>
      </c>
      <c r="F922" s="65" t="n">
        <v>254208</v>
      </c>
      <c r="G922" s="152" t="n"/>
      <c r="H922" s="152" t="n">
        <v>370</v>
      </c>
      <c r="I922" s="156">
        <f>+I921+(G922-H922)</f>
        <v/>
      </c>
      <c r="J922" s="90" t="n">
        <v>56.55</v>
      </c>
      <c r="K922" s="166" t="n"/>
      <c r="L922" s="158">
        <f>+H922*J922</f>
        <v/>
      </c>
      <c r="M922" s="159">
        <f>SUM(M921+K922-L922)</f>
        <v/>
      </c>
    </row>
    <row r="923">
      <c r="A923" s="151" t="n">
        <v>46094</v>
      </c>
      <c r="B923" s="70" t="n">
        <v>4930</v>
      </c>
      <c r="C923" s="115" t="inlineStr">
        <is>
          <t>SELİM İNŞAAT</t>
        </is>
      </c>
      <c r="D923" s="115" t="inlineStr">
        <is>
          <t>34 FBR 742</t>
        </is>
      </c>
      <c r="E923" s="115" t="inlineStr">
        <is>
          <t>ADNAN KOÇ</t>
        </is>
      </c>
      <c r="F923" s="65" t="n">
        <v>368440</v>
      </c>
      <c r="G923" s="152" t="n"/>
      <c r="H923" s="152" t="n">
        <v>543</v>
      </c>
      <c r="I923" s="156">
        <f>+I922+(G923-H923)</f>
        <v/>
      </c>
      <c r="J923" s="90" t="n">
        <v>56.55</v>
      </c>
      <c r="K923" s="166" t="n"/>
      <c r="L923" s="158">
        <f>+H923*J923</f>
        <v/>
      </c>
      <c r="M923" s="159">
        <f>SUM(M922+K923-L923)</f>
        <v/>
      </c>
    </row>
    <row r="924">
      <c r="A924" s="151" t="n">
        <v>46094</v>
      </c>
      <c r="B924" s="70" t="n">
        <v>4173</v>
      </c>
      <c r="C924" s="115" t="inlineStr">
        <is>
          <t>SELİM İNŞAAT</t>
        </is>
      </c>
      <c r="D924" s="115" t="inlineStr">
        <is>
          <t>34 FBR 748</t>
        </is>
      </c>
      <c r="E924" s="115" t="inlineStr">
        <is>
          <t>YAŞAR ÖZKAYA</t>
        </is>
      </c>
      <c r="F924" s="65" t="n">
        <v>326671</v>
      </c>
      <c r="G924" s="152" t="n"/>
      <c r="H924" s="152" t="n">
        <v>526</v>
      </c>
      <c r="I924" s="156">
        <f>+I923+(G924-H924)</f>
        <v/>
      </c>
      <c r="J924" s="90" t="n">
        <v>56.55</v>
      </c>
      <c r="K924" s="166" t="n"/>
      <c r="L924" s="158">
        <f>+H924*J924</f>
        <v/>
      </c>
      <c r="M924" s="159">
        <f>SUM(M923+K924-L924)</f>
        <v/>
      </c>
    </row>
    <row r="925">
      <c r="A925" s="151" t="n">
        <v>46094</v>
      </c>
      <c r="B925" s="70" t="n">
        <v>910</v>
      </c>
      <c r="C925" s="115" t="inlineStr">
        <is>
          <t>SELİM İNŞAAT</t>
        </is>
      </c>
      <c r="D925" s="115" t="inlineStr">
        <is>
          <t>34 FSG 229</t>
        </is>
      </c>
      <c r="E925" s="115" t="inlineStr">
        <is>
          <t>SİNAN TANRIVERDİ</t>
        </is>
      </c>
      <c r="F925" s="65" t="n">
        <v>302641</v>
      </c>
      <c r="G925" s="152" t="n"/>
      <c r="H925" s="152" t="n">
        <v>490</v>
      </c>
      <c r="I925" s="156">
        <f>+I924+(G925-H925)</f>
        <v/>
      </c>
      <c r="J925" s="90" t="n">
        <v>56.55</v>
      </c>
      <c r="K925" s="166" t="n"/>
      <c r="L925" s="158">
        <f>+H925*J925</f>
        <v/>
      </c>
      <c r="M925" s="159">
        <f>SUM(M924+K925-L925)</f>
        <v/>
      </c>
    </row>
    <row r="926">
      <c r="A926" s="151" t="n">
        <v>46094</v>
      </c>
      <c r="B926" s="70" t="n">
        <v>4882</v>
      </c>
      <c r="C926" s="115" t="inlineStr">
        <is>
          <t>SELİM İNŞAAT</t>
        </is>
      </c>
      <c r="D926" s="115" t="inlineStr">
        <is>
          <t>34 FBR 705</t>
        </is>
      </c>
      <c r="E926" s="115" t="inlineStr">
        <is>
          <t>MURAT SARI</t>
        </is>
      </c>
      <c r="F926" s="65" t="n">
        <v>365062</v>
      </c>
      <c r="G926" s="152" t="n"/>
      <c r="H926" s="152" t="n">
        <v>370</v>
      </c>
      <c r="I926" s="156">
        <f>+I925+(G926-H926)</f>
        <v/>
      </c>
      <c r="J926" s="90" t="n">
        <v>56.55</v>
      </c>
      <c r="K926" s="166" t="n"/>
      <c r="L926" s="158">
        <f>+H926*J926</f>
        <v/>
      </c>
      <c r="M926" s="159">
        <f>SUM(M925+K926-L926)</f>
        <v/>
      </c>
    </row>
    <row r="927">
      <c r="A927" s="151" t="n">
        <v>46094</v>
      </c>
      <c r="B927" s="70" t="n">
        <v>3835</v>
      </c>
      <c r="C927" s="115" t="inlineStr">
        <is>
          <t>SELİM İNŞAAT</t>
        </is>
      </c>
      <c r="D927" s="115" t="inlineStr">
        <is>
          <t>34 GYZ 635</t>
        </is>
      </c>
      <c r="E927" s="115" t="inlineStr">
        <is>
          <t>ADEM DENİZ</t>
        </is>
      </c>
      <c r="F927" s="65" t="n">
        <v>229637</v>
      </c>
      <c r="G927" s="152" t="n"/>
      <c r="H927" s="152" t="n">
        <v>543</v>
      </c>
      <c r="I927" s="156">
        <f>+I926+(G927-H927)</f>
        <v/>
      </c>
      <c r="J927" s="90" t="n">
        <v>56.55</v>
      </c>
      <c r="K927" s="166" t="n"/>
      <c r="L927" s="158">
        <f>+H927*J927</f>
        <v/>
      </c>
      <c r="M927" s="159">
        <f>SUM(M926+K927-L927)</f>
        <v/>
      </c>
    </row>
    <row r="928">
      <c r="A928" s="151" t="n">
        <v>46094</v>
      </c>
      <c r="B928" s="70" t="n">
        <v>3048</v>
      </c>
      <c r="C928" s="115" t="inlineStr">
        <is>
          <t>SELİM İNŞAAT</t>
        </is>
      </c>
      <c r="D928" s="115" t="inlineStr">
        <is>
          <t>34 FBR 781</t>
        </is>
      </c>
      <c r="E928" s="115" t="inlineStr">
        <is>
          <t>MEVLÜT POLAT</t>
        </is>
      </c>
      <c r="F928" s="65" t="n">
        <v>364778</v>
      </c>
      <c r="G928" s="152" t="n"/>
      <c r="H928" s="152" t="n">
        <v>484</v>
      </c>
      <c r="I928" s="156">
        <f>+I927+(G928-H928)</f>
        <v/>
      </c>
      <c r="J928" s="90" t="n">
        <v>56.55</v>
      </c>
      <c r="K928" s="166" t="n"/>
      <c r="L928" s="158">
        <f>+H928*J928</f>
        <v/>
      </c>
      <c r="M928" s="159">
        <f>SUM(M927+K928-L928)</f>
        <v/>
      </c>
    </row>
    <row r="929">
      <c r="A929" s="151" t="n">
        <v>46094</v>
      </c>
      <c r="B929" s="70" t="n">
        <v>4518</v>
      </c>
      <c r="C929" s="115" t="inlineStr">
        <is>
          <t>SELİM İNŞAAT</t>
        </is>
      </c>
      <c r="D929" s="115" t="inlineStr">
        <is>
          <t>34 DTV 352</t>
        </is>
      </c>
      <c r="E929" s="115" t="inlineStr">
        <is>
          <t>AZİZ ORUÇ</t>
        </is>
      </c>
      <c r="F929" s="65" t="n">
        <v>478600</v>
      </c>
      <c r="G929" s="152" t="n"/>
      <c r="H929" s="152" t="n">
        <v>418</v>
      </c>
      <c r="I929" s="156">
        <f>+I928+(G929-H929)</f>
        <v/>
      </c>
      <c r="J929" s="90" t="n">
        <v>56.55</v>
      </c>
      <c r="K929" s="166" t="n"/>
      <c r="L929" s="158">
        <f>+H929*J929</f>
        <v/>
      </c>
      <c r="M929" s="159">
        <f>SUM(M928+K929-L929)</f>
        <v/>
      </c>
    </row>
    <row r="930">
      <c r="A930" s="151" t="n">
        <v>46094</v>
      </c>
      <c r="B930" s="70" t="n">
        <v>3395</v>
      </c>
      <c r="C930" s="115" t="inlineStr">
        <is>
          <t>SELİM İNŞAAT</t>
        </is>
      </c>
      <c r="D930" s="115" t="inlineStr">
        <is>
          <t>34 EDC 162</t>
        </is>
      </c>
      <c r="E930" s="115" t="inlineStr">
        <is>
          <t>YAKUP GÜNER</t>
        </is>
      </c>
      <c r="F930" s="65" t="n">
        <v>418536</v>
      </c>
      <c r="G930" s="152" t="n"/>
      <c r="H930" s="152" t="n">
        <v>456</v>
      </c>
      <c r="I930" s="156">
        <f>+I929+(G930-H930)</f>
        <v/>
      </c>
      <c r="J930" s="90" t="n">
        <v>56.55</v>
      </c>
      <c r="K930" s="166" t="n"/>
      <c r="L930" s="158">
        <f>+H930*J930</f>
        <v/>
      </c>
      <c r="M930" s="159">
        <f>SUM(M929+K930-L930)</f>
        <v/>
      </c>
    </row>
    <row r="931">
      <c r="A931" s="151" t="n">
        <v>46094</v>
      </c>
      <c r="B931" s="70" t="n">
        <v>3290</v>
      </c>
      <c r="C931" s="115" t="inlineStr">
        <is>
          <t>AZGÜN YAPI</t>
        </is>
      </c>
      <c r="D931" s="115" t="inlineStr">
        <is>
          <t xml:space="preserve">34 DTV 263 </t>
        </is>
      </c>
      <c r="E931" s="115" t="inlineStr">
        <is>
          <t>DURSUN ALİ GÜREK</t>
        </is>
      </c>
      <c r="F931" s="65" t="n"/>
      <c r="G931" s="152" t="n"/>
      <c r="H931" s="152" t="n">
        <v>345</v>
      </c>
      <c r="I931" s="156">
        <f>+I930+(G931-H931)</f>
        <v/>
      </c>
      <c r="J931" s="90" t="n">
        <v>56.55</v>
      </c>
      <c r="K931" s="166" t="n"/>
      <c r="L931" s="158">
        <f>+H931*J931</f>
        <v/>
      </c>
      <c r="M931" s="159">
        <f>SUM(M930+K931-L931)</f>
        <v/>
      </c>
    </row>
    <row r="932">
      <c r="A932" s="151" t="n">
        <v>46094</v>
      </c>
      <c r="B932" s="70" t="n">
        <v>1394</v>
      </c>
      <c r="C932" s="115" t="inlineStr">
        <is>
          <t>AZGÜN YAPI</t>
        </is>
      </c>
      <c r="D932" s="115" t="inlineStr">
        <is>
          <t>34 MKT859</t>
        </is>
      </c>
      <c r="E932" s="115" t="inlineStr">
        <is>
          <t>İRFAN DAĞLAR</t>
        </is>
      </c>
      <c r="F932" s="65" t="n"/>
      <c r="G932" s="152" t="n"/>
      <c r="H932" s="152" t="n">
        <v>206</v>
      </c>
      <c r="I932" s="156">
        <f>+I931+(G932-H932)</f>
        <v/>
      </c>
      <c r="J932" s="90" t="n">
        <v>56.55</v>
      </c>
      <c r="K932" s="166" t="n"/>
      <c r="L932" s="158">
        <f>+H932*J932</f>
        <v/>
      </c>
      <c r="M932" s="159">
        <f>SUM(M931+K932-L932)</f>
        <v/>
      </c>
    </row>
    <row r="933">
      <c r="A933" s="151" t="n">
        <v>46094</v>
      </c>
      <c r="B933" s="70" t="n">
        <v>4020</v>
      </c>
      <c r="C933" s="115" t="inlineStr">
        <is>
          <t>SELİM İNŞAAT</t>
        </is>
      </c>
      <c r="D933" s="115" t="inlineStr">
        <is>
          <t>34 AR 7743</t>
        </is>
      </c>
      <c r="E933" s="115" t="inlineStr">
        <is>
          <t>MEHMET SELİM</t>
        </is>
      </c>
      <c r="F933" s="65" t="n">
        <v>374879</v>
      </c>
      <c r="G933" s="152" t="n"/>
      <c r="H933" s="152" t="n">
        <v>59</v>
      </c>
      <c r="I933" s="156">
        <f>+I932+(G933-H933)</f>
        <v/>
      </c>
      <c r="J933" s="90" t="n">
        <v>56.55</v>
      </c>
      <c r="K933" s="166" t="n"/>
      <c r="L933" s="158">
        <f>+H933*J933</f>
        <v/>
      </c>
      <c r="M933" s="159">
        <f>SUM(M932+K933-L933)</f>
        <v/>
      </c>
    </row>
    <row r="934">
      <c r="A934" s="151" t="n">
        <v>46094</v>
      </c>
      <c r="B934" s="70" t="n">
        <v>2391</v>
      </c>
      <c r="C934" s="115" t="inlineStr">
        <is>
          <t>SELİM İNŞAAT</t>
        </is>
      </c>
      <c r="D934" s="115" t="inlineStr">
        <is>
          <t>34 FEM 934</t>
        </is>
      </c>
      <c r="E934" s="115" t="inlineStr">
        <is>
          <t>DURSUN ALİ GÜREK</t>
        </is>
      </c>
      <c r="F934" s="65" t="n">
        <v>334063</v>
      </c>
      <c r="G934" s="152" t="n"/>
      <c r="H934" s="152" t="n">
        <v>45</v>
      </c>
      <c r="I934" s="156">
        <f>+I933+(G934-H934)</f>
        <v/>
      </c>
      <c r="J934" s="90" t="n">
        <v>56.55</v>
      </c>
      <c r="K934" s="166" t="n"/>
      <c r="L934" s="158">
        <f>+H934*J934</f>
        <v/>
      </c>
      <c r="M934" s="159">
        <f>SUM(M933+K934-L934)</f>
        <v/>
      </c>
    </row>
    <row r="935">
      <c r="A935" s="151" t="n">
        <v>46094</v>
      </c>
      <c r="B935" s="70" t="n">
        <v>2983</v>
      </c>
      <c r="C935" s="115" t="inlineStr">
        <is>
          <t>SELİM İNŞAAT</t>
        </is>
      </c>
      <c r="D935" s="115" t="inlineStr">
        <is>
          <t>34 DFE 454</t>
        </is>
      </c>
      <c r="E935" s="115" t="inlineStr">
        <is>
          <t>HÜSEYİN ALIN</t>
        </is>
      </c>
      <c r="F935" s="65" t="n">
        <v>175295</v>
      </c>
      <c r="G935" s="152" t="n"/>
      <c r="H935" s="152" t="n">
        <v>372</v>
      </c>
      <c r="I935" s="156">
        <f>+I934+(G935-H935)</f>
        <v/>
      </c>
      <c r="J935" s="90" t="n">
        <v>56.55</v>
      </c>
      <c r="K935" s="166" t="n"/>
      <c r="L935" s="158">
        <f>+H935*J935</f>
        <v/>
      </c>
      <c r="M935" s="159">
        <f>SUM(M934+K935-L935)</f>
        <v/>
      </c>
    </row>
    <row r="936">
      <c r="A936" s="151" t="n">
        <v>46094</v>
      </c>
      <c r="B936" s="70" t="n">
        <v>3732</v>
      </c>
      <c r="C936" s="115" t="inlineStr">
        <is>
          <t>SELİM İNŞAAT</t>
        </is>
      </c>
      <c r="D936" s="115" t="inlineStr">
        <is>
          <t>34 DKL 866</t>
        </is>
      </c>
      <c r="E936" s="115" t="inlineStr">
        <is>
          <t>SELİMCAN ÖNVER</t>
        </is>
      </c>
      <c r="F936" s="65" t="n">
        <v>83023</v>
      </c>
      <c r="G936" s="152" t="n"/>
      <c r="H936" s="152" t="n">
        <v>362</v>
      </c>
      <c r="I936" s="156">
        <f>+I935+(G936-H936)</f>
        <v/>
      </c>
      <c r="J936" s="90" t="n">
        <v>56.55</v>
      </c>
      <c r="K936" s="166" t="n"/>
      <c r="L936" s="158">
        <f>+H936*J936</f>
        <v/>
      </c>
      <c r="M936" s="159">
        <f>SUM(M935+K936-L936)</f>
        <v/>
      </c>
    </row>
    <row r="937">
      <c r="A937" s="151" t="n">
        <v>46094</v>
      </c>
      <c r="B937" s="70" t="n">
        <v>2896</v>
      </c>
      <c r="C937" s="115" t="inlineStr">
        <is>
          <t>HASAN ZEMİN</t>
        </is>
      </c>
      <c r="D937" s="115" t="inlineStr">
        <is>
          <t>ANKIRAJ</t>
        </is>
      </c>
      <c r="E937" s="115" t="n"/>
      <c r="F937" s="65" t="n"/>
      <c r="G937" s="152" t="n"/>
      <c r="H937" s="152" t="n">
        <v>80</v>
      </c>
      <c r="I937" s="156">
        <f>+I936+(G937-H937)</f>
        <v/>
      </c>
      <c r="J937" s="90" t="n">
        <v>56.55</v>
      </c>
      <c r="K937" s="166" t="n"/>
      <c r="L937" s="158">
        <f>+H937*J937</f>
        <v/>
      </c>
      <c r="M937" s="159">
        <f>SUM(M936+K937-L937)</f>
        <v/>
      </c>
    </row>
    <row r="938">
      <c r="A938" s="151" t="n">
        <v>46094</v>
      </c>
      <c r="B938" s="70" t="n">
        <v>757</v>
      </c>
      <c r="C938" s="115" t="inlineStr">
        <is>
          <t>METİN ERYİĞİT</t>
        </is>
      </c>
      <c r="D938" s="115" t="inlineStr">
        <is>
          <t>34 EGR 814</t>
        </is>
      </c>
      <c r="E938" s="115" t="inlineStr">
        <is>
          <t>ZİYA İNCE</t>
        </is>
      </c>
      <c r="F938" s="65" t="n"/>
      <c r="G938" s="152" t="n"/>
      <c r="H938" s="152" t="n">
        <v>449</v>
      </c>
      <c r="I938" s="156">
        <f>+I937+(G938-H938)</f>
        <v/>
      </c>
      <c r="J938" s="90" t="n">
        <v>56.55</v>
      </c>
      <c r="K938" s="166" t="n"/>
      <c r="L938" s="158">
        <f>+H938*J938</f>
        <v/>
      </c>
      <c r="M938" s="159">
        <f>SUM(M937+K938-L938)</f>
        <v/>
      </c>
    </row>
    <row r="939">
      <c r="A939" s="151" t="n">
        <v>46094</v>
      </c>
      <c r="B939" s="70" t="n">
        <v>814</v>
      </c>
      <c r="C939" s="115" t="inlineStr">
        <is>
          <t>METİN ERYİĞİT</t>
        </is>
      </c>
      <c r="D939" s="115" t="inlineStr">
        <is>
          <t>34 GBL 998</t>
        </is>
      </c>
      <c r="E939" s="115" t="inlineStr">
        <is>
          <t>ALİ KESKİN</t>
        </is>
      </c>
      <c r="F939" s="65" t="n"/>
      <c r="G939" s="152" t="n"/>
      <c r="H939" s="152" t="n">
        <v>214</v>
      </c>
      <c r="I939" s="156">
        <f>+I938+(G939-H939)</f>
        <v/>
      </c>
      <c r="J939" s="90" t="n">
        <v>56.55</v>
      </c>
      <c r="K939" s="166" t="n"/>
      <c r="L939" s="158">
        <f>+H939*J939</f>
        <v/>
      </c>
      <c r="M939" s="159">
        <f>SUM(M938+K939-L939)</f>
        <v/>
      </c>
    </row>
    <row r="940">
      <c r="A940" s="151" t="n">
        <v>46094</v>
      </c>
      <c r="B940" s="70" t="n">
        <v>482</v>
      </c>
      <c r="C940" s="115" t="inlineStr">
        <is>
          <t>MEGA</t>
        </is>
      </c>
      <c r="D940" s="115" t="inlineStr">
        <is>
          <t>SM300</t>
        </is>
      </c>
      <c r="E940" s="115" t="inlineStr">
        <is>
          <t>EMİRCAN</t>
        </is>
      </c>
      <c r="F940" s="65" t="n"/>
      <c r="G940" s="152" t="n"/>
      <c r="H940" s="152" t="n">
        <v>380</v>
      </c>
      <c r="I940" s="156">
        <f>+I939+(G940-H940)</f>
        <v/>
      </c>
      <c r="J940" s="90" t="n">
        <v>56.55</v>
      </c>
      <c r="K940" s="166" t="n"/>
      <c r="L940" s="158">
        <f>+H940*J940</f>
        <v/>
      </c>
      <c r="M940" s="159">
        <f>SUM(M939+K940-L940)</f>
        <v/>
      </c>
    </row>
    <row r="941">
      <c r="A941" s="151" t="n">
        <v>46094</v>
      </c>
      <c r="B941" s="70" t="n">
        <v>483</v>
      </c>
      <c r="C941" s="115" t="inlineStr">
        <is>
          <t>MEGA</t>
        </is>
      </c>
      <c r="D941" s="115" t="inlineStr">
        <is>
          <t>KAWAZAKİ</t>
        </is>
      </c>
      <c r="E941" s="115" t="inlineStr">
        <is>
          <t>RAMAZAN</t>
        </is>
      </c>
      <c r="F941" s="65" t="n"/>
      <c r="G941" s="152" t="n"/>
      <c r="H941" s="152" t="n">
        <v>221</v>
      </c>
      <c r="I941" s="156">
        <f>+I940+(G941-H941)</f>
        <v/>
      </c>
      <c r="J941" s="90" t="n">
        <v>56.55</v>
      </c>
      <c r="K941" s="166" t="n"/>
      <c r="L941" s="158">
        <f>+H941*J941</f>
        <v/>
      </c>
      <c r="M941" s="159">
        <f>SUM(M940+K941-L941)</f>
        <v/>
      </c>
    </row>
    <row r="942">
      <c r="A942" s="151" t="n">
        <v>46095</v>
      </c>
      <c r="B942" s="70" t="n">
        <v>11174</v>
      </c>
      <c r="C942" s="115" t="inlineStr">
        <is>
          <t>SELİM İNŞAAT</t>
        </is>
      </c>
      <c r="D942" s="115" t="inlineStr">
        <is>
          <t>34 HZ 1663</t>
        </is>
      </c>
      <c r="E942" s="115" t="inlineStr">
        <is>
          <t>FATİH ÖZBOLAT</t>
        </is>
      </c>
      <c r="F942" s="65" t="n">
        <v>528149</v>
      </c>
      <c r="G942" s="152" t="n"/>
      <c r="H942" s="152" t="n">
        <v>430</v>
      </c>
      <c r="I942" s="156">
        <f>+I941+(G942-H942)</f>
        <v/>
      </c>
      <c r="J942" s="90" t="n">
        <v>56.55</v>
      </c>
      <c r="K942" s="166" t="n"/>
      <c r="L942" s="158">
        <f>+H942*J942</f>
        <v/>
      </c>
      <c r="M942" s="159">
        <f>SUM(M941+K942-L942)</f>
        <v/>
      </c>
    </row>
    <row r="943">
      <c r="A943" s="151" t="n">
        <v>46095</v>
      </c>
      <c r="B943" s="70" t="n">
        <v>1346</v>
      </c>
      <c r="C943" s="115" t="inlineStr">
        <is>
          <t>SELİM İNŞAAT</t>
        </is>
      </c>
      <c r="D943" s="115" t="inlineStr">
        <is>
          <t>34 GVZ 199</t>
        </is>
      </c>
      <c r="E943" s="115" t="inlineStr">
        <is>
          <t>HÜSEYİN DENİZ</t>
        </is>
      </c>
      <c r="F943" s="65" t="n">
        <v>228610</v>
      </c>
      <c r="G943" s="152" t="n"/>
      <c r="H943" s="152" t="n">
        <v>444</v>
      </c>
      <c r="I943" s="156">
        <f>+I942+(G943-H943)</f>
        <v/>
      </c>
      <c r="J943" s="90" t="n">
        <v>56.55</v>
      </c>
      <c r="K943" s="166" t="n"/>
      <c r="L943" s="158">
        <f>+H943*J943</f>
        <v/>
      </c>
      <c r="M943" s="159">
        <f>SUM(M942+K943-L943)</f>
        <v/>
      </c>
    </row>
    <row r="944">
      <c r="A944" s="151" t="n">
        <v>46095</v>
      </c>
      <c r="B944" s="70" t="n">
        <v>1550</v>
      </c>
      <c r="C944" s="115" t="inlineStr">
        <is>
          <t>SELİM İNŞAAT</t>
        </is>
      </c>
      <c r="D944" s="115" t="inlineStr">
        <is>
          <t>34 GUS 848</t>
        </is>
      </c>
      <c r="E944" s="115" t="inlineStr">
        <is>
          <t>SERDAR BOZKURT</t>
        </is>
      </c>
      <c r="F944" s="65" t="n">
        <v>235868</v>
      </c>
      <c r="G944" s="152" t="n"/>
      <c r="H944" s="152" t="n">
        <v>570</v>
      </c>
      <c r="I944" s="156">
        <f>+I943+(G944-H944)</f>
        <v/>
      </c>
      <c r="J944" s="90" t="n">
        <v>56.55</v>
      </c>
      <c r="K944" s="166" t="n"/>
      <c r="L944" s="158">
        <f>+H944*J944</f>
        <v/>
      </c>
      <c r="M944" s="159">
        <f>SUM(M943+K944-L944)</f>
        <v/>
      </c>
    </row>
    <row r="945">
      <c r="A945" s="151" t="n">
        <v>46095</v>
      </c>
      <c r="B945" s="70" t="n">
        <v>3335</v>
      </c>
      <c r="C945" s="115" t="inlineStr">
        <is>
          <t>SELİM İNŞAAT</t>
        </is>
      </c>
      <c r="D945" s="115" t="inlineStr">
        <is>
          <t>34  GUS 938</t>
        </is>
      </c>
      <c r="E945" s="115" t="inlineStr">
        <is>
          <t>MEHMET KAYA</t>
        </is>
      </c>
      <c r="F945" s="65" t="n">
        <v>250033</v>
      </c>
      <c r="G945" s="152" t="n"/>
      <c r="H945" s="152" t="n">
        <v>435</v>
      </c>
      <c r="I945" s="156">
        <f>+I944+(G945-H945)</f>
        <v/>
      </c>
      <c r="J945" s="90" t="n">
        <v>56.55</v>
      </c>
      <c r="K945" s="166" t="n"/>
      <c r="L945" s="158">
        <f>+H945*J945</f>
        <v/>
      </c>
      <c r="M945" s="159">
        <f>SUM(M944+K945-L945)</f>
        <v/>
      </c>
    </row>
    <row r="946">
      <c r="A946" s="151" t="n">
        <v>46095</v>
      </c>
      <c r="B946" s="70" t="n">
        <v>3492</v>
      </c>
      <c r="C946" s="115" t="inlineStr">
        <is>
          <t>SELİM İNŞAAT</t>
        </is>
      </c>
      <c r="D946" s="115" t="inlineStr">
        <is>
          <t>34 EDB 754</t>
        </is>
      </c>
      <c r="E946" s="115" t="inlineStr">
        <is>
          <t>MUSTAFA KAYA</t>
        </is>
      </c>
      <c r="F946" s="65" t="n">
        <v>374700</v>
      </c>
      <c r="G946" s="152" t="n"/>
      <c r="H946" s="152" t="n">
        <v>405</v>
      </c>
      <c r="I946" s="156">
        <f>+I945+(G946-H946)</f>
        <v/>
      </c>
      <c r="J946" s="90" t="n">
        <v>56.55</v>
      </c>
      <c r="K946" s="166" t="n"/>
      <c r="L946" s="158">
        <f>+H946*J946</f>
        <v/>
      </c>
      <c r="M946" s="159">
        <f>SUM(M945+K946-L946)</f>
        <v/>
      </c>
    </row>
    <row r="947">
      <c r="A947" s="151" t="n">
        <v>46095</v>
      </c>
      <c r="B947" s="70" t="n">
        <v>4977</v>
      </c>
      <c r="C947" s="115" t="inlineStr">
        <is>
          <t>SELİM İNŞAAT</t>
        </is>
      </c>
      <c r="D947" s="115" t="inlineStr">
        <is>
          <t>34 GVZ 745</t>
        </is>
      </c>
      <c r="E947" s="115" t="inlineStr">
        <is>
          <t>MURAT DEMİRBAĞ</t>
        </is>
      </c>
      <c r="F947" s="65" t="n">
        <v>250297</v>
      </c>
      <c r="G947" s="152" t="n"/>
      <c r="H947" s="152" t="n">
        <v>490</v>
      </c>
      <c r="I947" s="156">
        <f>+I946+(G947-H947)</f>
        <v/>
      </c>
      <c r="J947" s="90" t="n">
        <v>56.55</v>
      </c>
      <c r="K947" s="166" t="n"/>
      <c r="L947" s="158">
        <f>+H947*J947</f>
        <v/>
      </c>
      <c r="M947" s="159">
        <f>SUM(M946+K947-L947)</f>
        <v/>
      </c>
    </row>
    <row r="948">
      <c r="A948" s="151" t="n">
        <v>46095</v>
      </c>
      <c r="B948" s="70" t="n">
        <v>519</v>
      </c>
      <c r="C948" s="115" t="inlineStr">
        <is>
          <t>SELİM İNŞAAT</t>
        </is>
      </c>
      <c r="D948" s="115" t="inlineStr">
        <is>
          <t>34 EGR 737</t>
        </is>
      </c>
      <c r="E948" s="115" t="inlineStr">
        <is>
          <t>CEM MUHTAR</t>
        </is>
      </c>
      <c r="F948" s="65" t="n">
        <v>464035</v>
      </c>
      <c r="G948" s="152" t="n"/>
      <c r="H948" s="152" t="n">
        <v>322</v>
      </c>
      <c r="I948" s="156">
        <f>+I947+(G948-H948)</f>
        <v/>
      </c>
      <c r="J948" s="90" t="n">
        <v>56.55</v>
      </c>
      <c r="K948" s="166" t="n"/>
      <c r="L948" s="158">
        <f>+H948*J948</f>
        <v/>
      </c>
      <c r="M948" s="159">
        <f>SUM(M947+K948-L948)</f>
        <v/>
      </c>
    </row>
    <row r="949">
      <c r="A949" s="151" t="n">
        <v>46095</v>
      </c>
      <c r="B949" s="70" t="n">
        <v>2547</v>
      </c>
      <c r="C949" s="115" t="inlineStr">
        <is>
          <t>AZGÜN YAPI</t>
        </is>
      </c>
      <c r="D949" s="115" t="inlineStr">
        <is>
          <t>34 MKT 593</t>
        </is>
      </c>
      <c r="E949" s="115" t="inlineStr">
        <is>
          <t>TURGUT ÇATAL</t>
        </is>
      </c>
      <c r="F949" s="65" t="n"/>
      <c r="G949" s="152" t="n"/>
      <c r="H949" s="152" t="n">
        <v>343</v>
      </c>
      <c r="I949" s="156">
        <f>+I948+(G949-H949)</f>
        <v/>
      </c>
      <c r="J949" s="90" t="n">
        <v>56.55</v>
      </c>
      <c r="K949" s="166" t="n"/>
      <c r="L949" s="158">
        <f>+H949*J949</f>
        <v/>
      </c>
      <c r="M949" s="159">
        <f>SUM(M948+K949-L949)</f>
        <v/>
      </c>
    </row>
    <row r="950">
      <c r="A950" s="151" t="n">
        <v>46095</v>
      </c>
      <c r="B950" s="70" t="n">
        <v>3291</v>
      </c>
      <c r="C950" s="115" t="inlineStr">
        <is>
          <t>AZGÜN YAPI</t>
        </is>
      </c>
      <c r="D950" s="115" t="inlineStr">
        <is>
          <t xml:space="preserve">34 DTV 263 </t>
        </is>
      </c>
      <c r="E950" s="115" t="inlineStr">
        <is>
          <t>DURSUN ALİ GÜREK</t>
        </is>
      </c>
      <c r="F950" s="65" t="n"/>
      <c r="G950" s="152" t="n"/>
      <c r="H950" s="152" t="n">
        <v>277</v>
      </c>
      <c r="I950" s="156">
        <f>+I949+(G950-H950)</f>
        <v/>
      </c>
      <c r="J950" s="90" t="n">
        <v>56.55</v>
      </c>
      <c r="K950" s="166" t="n"/>
      <c r="L950" s="158">
        <f>+H950*J950</f>
        <v/>
      </c>
      <c r="M950" s="159">
        <f>SUM(M949+K950-L950)</f>
        <v/>
      </c>
    </row>
    <row r="951">
      <c r="A951" s="151" t="n">
        <v>46095</v>
      </c>
      <c r="B951" s="70" t="n">
        <v>250</v>
      </c>
      <c r="C951" s="115" t="inlineStr">
        <is>
          <t>SELİM İNŞAAT</t>
        </is>
      </c>
      <c r="D951" s="115" t="inlineStr">
        <is>
          <t>34 JGR 15</t>
        </is>
      </c>
      <c r="E951" s="115" t="inlineStr">
        <is>
          <t>ÖNER DÜNDAR</t>
        </is>
      </c>
      <c r="F951" s="65" t="n">
        <v>331407</v>
      </c>
      <c r="G951" s="152" t="n"/>
      <c r="H951" s="152" t="n">
        <v>84</v>
      </c>
      <c r="I951" s="156">
        <f>+I950+(G951-H951)</f>
        <v/>
      </c>
      <c r="J951" s="90" t="n">
        <v>56.55</v>
      </c>
      <c r="K951" s="166" t="n"/>
      <c r="L951" s="158">
        <f>+H951*J951</f>
        <v/>
      </c>
      <c r="M951" s="159">
        <f>SUM(M950+K951-L951)</f>
        <v/>
      </c>
    </row>
    <row r="952">
      <c r="A952" s="151" t="n">
        <v>46095</v>
      </c>
      <c r="B952" s="70" t="n">
        <v>4468</v>
      </c>
      <c r="C952" s="115" t="inlineStr">
        <is>
          <t>SELİM İNŞAAT</t>
        </is>
      </c>
      <c r="D952" s="115" t="inlineStr">
        <is>
          <t>34 DKL 798</t>
        </is>
      </c>
      <c r="E952" s="115" t="inlineStr">
        <is>
          <t>HASAN BAYCA</t>
        </is>
      </c>
      <c r="F952" s="65" t="n">
        <v>81837</v>
      </c>
      <c r="G952" s="152" t="n"/>
      <c r="H952" s="152" t="n">
        <v>410</v>
      </c>
      <c r="I952" s="156">
        <f>+I951+(G952-H952)</f>
        <v/>
      </c>
      <c r="J952" s="90" t="n">
        <v>56.55</v>
      </c>
      <c r="K952" s="166" t="n"/>
      <c r="L952" s="158">
        <f>+H952*J952</f>
        <v/>
      </c>
      <c r="M952" s="159">
        <f>SUM(M951+K952-L952)</f>
        <v/>
      </c>
    </row>
    <row r="953">
      <c r="A953" s="151" t="n">
        <v>46095</v>
      </c>
      <c r="B953" s="70" t="n">
        <v>2594</v>
      </c>
      <c r="C953" s="115" t="inlineStr">
        <is>
          <t>SELİM İNŞAAT</t>
        </is>
      </c>
      <c r="D953" s="115" t="inlineStr">
        <is>
          <t>34 GER 028</t>
        </is>
      </c>
      <c r="E953" s="115" t="inlineStr">
        <is>
          <t>ABDÜLKERİM ERGEN</t>
        </is>
      </c>
      <c r="F953" s="65" t="n">
        <v>61061</v>
      </c>
      <c r="G953" s="152" t="n"/>
      <c r="H953" s="152" t="n">
        <v>293</v>
      </c>
      <c r="I953" s="156">
        <f>+I952+(G953-H953)</f>
        <v/>
      </c>
      <c r="J953" s="90" t="n">
        <v>56.55</v>
      </c>
      <c r="K953" s="166" t="n"/>
      <c r="L953" s="158">
        <f>+H953*J953</f>
        <v/>
      </c>
      <c r="M953" s="159">
        <f>SUM(M952+K953-L953)</f>
        <v/>
      </c>
    </row>
    <row r="954">
      <c r="A954" s="151" t="n">
        <v>46095</v>
      </c>
      <c r="B954" s="70" t="n">
        <v>2348</v>
      </c>
      <c r="C954" s="115" t="inlineStr">
        <is>
          <t>SELİM İNŞAAT</t>
        </is>
      </c>
      <c r="D954" s="115" t="inlineStr">
        <is>
          <t>34 DP 4161</t>
        </is>
      </c>
      <c r="E954" s="115" t="inlineStr">
        <is>
          <t>RIFAT KARATAY</t>
        </is>
      </c>
      <c r="F954" s="65" t="n">
        <v>321497</v>
      </c>
      <c r="G954" s="152" t="n"/>
      <c r="H954" s="152" t="n">
        <v>300</v>
      </c>
      <c r="I954" s="156">
        <f>+I953+(G954-H954)</f>
        <v/>
      </c>
      <c r="J954" s="90" t="n">
        <v>56.55</v>
      </c>
      <c r="K954" s="166" t="n"/>
      <c r="L954" s="158">
        <f>+H954*J954</f>
        <v/>
      </c>
      <c r="M954" s="159">
        <f>SUM(M953+K954-L954)</f>
        <v/>
      </c>
    </row>
    <row r="955">
      <c r="A955" s="151" t="n">
        <v>46095</v>
      </c>
      <c r="B955" s="70" t="n">
        <v>306</v>
      </c>
      <c r="C955" s="115" t="inlineStr">
        <is>
          <t>SELİM İNŞAAT</t>
        </is>
      </c>
      <c r="D955" s="115" t="inlineStr">
        <is>
          <t>34 GER 445</t>
        </is>
      </c>
      <c r="E955" s="115" t="inlineStr">
        <is>
          <t>MUSTAFA ERYİĞİT</t>
        </is>
      </c>
      <c r="F955" s="65" t="n">
        <v>58400</v>
      </c>
      <c r="G955" s="152" t="n"/>
      <c r="H955" s="152" t="n">
        <v>382</v>
      </c>
      <c r="I955" s="156">
        <f>+I954+(G955-H955)</f>
        <v/>
      </c>
      <c r="J955" s="90" t="n">
        <v>56.55</v>
      </c>
      <c r="K955" s="166" t="n"/>
      <c r="L955" s="158">
        <f>+H955*J955</f>
        <v/>
      </c>
      <c r="M955" s="159">
        <f>SUM(M954+K955-L955)</f>
        <v/>
      </c>
    </row>
    <row r="956">
      <c r="A956" s="151" t="n">
        <v>46095</v>
      </c>
      <c r="B956" s="70" t="n">
        <v>625</v>
      </c>
      <c r="C956" s="115" t="inlineStr">
        <is>
          <t>SELİM İNŞAAT</t>
        </is>
      </c>
      <c r="D956" s="115" t="inlineStr">
        <is>
          <t>34 BUR 461</t>
        </is>
      </c>
      <c r="E956" s="115" t="inlineStr">
        <is>
          <t xml:space="preserve">MUSTAFA ALBAYRAK </t>
        </is>
      </c>
      <c r="F956" s="65" t="n"/>
      <c r="G956" s="152" t="n"/>
      <c r="H956" s="152" t="n">
        <v>64</v>
      </c>
      <c r="I956" s="156">
        <f>+I955+(G956-H956)</f>
        <v/>
      </c>
      <c r="J956" s="90" t="n">
        <v>56.55</v>
      </c>
      <c r="K956" s="166" t="n"/>
      <c r="L956" s="158">
        <f>+H956*J956</f>
        <v/>
      </c>
      <c r="M956" s="159">
        <f>SUM(M955+K956-L956)</f>
        <v/>
      </c>
    </row>
    <row r="957">
      <c r="A957" s="151" t="n">
        <v>46095</v>
      </c>
      <c r="B957" s="70" t="n">
        <v>718</v>
      </c>
      <c r="C957" s="115" t="inlineStr">
        <is>
          <t>METİN ERYİĞİT</t>
        </is>
      </c>
      <c r="D957" s="115" t="inlineStr">
        <is>
          <t>34 EGS 013</t>
        </is>
      </c>
      <c r="E957" s="115" t="inlineStr">
        <is>
          <t>UĞUR DUMAN</t>
        </is>
      </c>
      <c r="F957" s="65" t="n"/>
      <c r="G957" s="152" t="n"/>
      <c r="H957" s="152" t="n">
        <v>322</v>
      </c>
      <c r="I957" s="156">
        <f>+I956+(G957-H957)</f>
        <v/>
      </c>
      <c r="J957" s="90" t="n">
        <v>56.55</v>
      </c>
      <c r="K957" s="166" t="n"/>
      <c r="L957" s="158">
        <f>+H957*J957</f>
        <v/>
      </c>
      <c r="M957" s="159">
        <f>SUM(M956+K957-L957)</f>
        <v/>
      </c>
    </row>
    <row r="958">
      <c r="A958" s="151" t="n">
        <v>46095</v>
      </c>
      <c r="B958" s="70" t="n">
        <v>815</v>
      </c>
      <c r="C958" s="115" t="inlineStr">
        <is>
          <t>METİN ERYİĞİT</t>
        </is>
      </c>
      <c r="D958" s="115" t="inlineStr">
        <is>
          <t>34 GBL 998</t>
        </is>
      </c>
      <c r="E958" s="115" t="inlineStr">
        <is>
          <t>ALİ KESKİN</t>
        </is>
      </c>
      <c r="F958" s="65" t="n"/>
      <c r="G958" s="152" t="n"/>
      <c r="H958" s="152" t="n">
        <v>210</v>
      </c>
      <c r="I958" s="156">
        <f>+I957+(G958-H958)</f>
        <v/>
      </c>
      <c r="J958" s="90" t="n">
        <v>56.55</v>
      </c>
      <c r="K958" s="166" t="n"/>
      <c r="L958" s="158">
        <f>+H958*J958</f>
        <v/>
      </c>
      <c r="M958" s="159">
        <f>SUM(M957+K958-L958)</f>
        <v/>
      </c>
    </row>
    <row r="959">
      <c r="A959" s="151" t="n">
        <v>46095</v>
      </c>
      <c r="B959" s="70" t="n">
        <v>484</v>
      </c>
      <c r="C959" s="115" t="inlineStr">
        <is>
          <t>MEGA</t>
        </is>
      </c>
      <c r="D959" s="115" t="inlineStr">
        <is>
          <t>SM350</t>
        </is>
      </c>
      <c r="E959" s="115" t="inlineStr">
        <is>
          <t>MİKAİL</t>
        </is>
      </c>
      <c r="F959" s="65" t="n"/>
      <c r="G959" s="152" t="n"/>
      <c r="H959" s="152" t="n">
        <v>400</v>
      </c>
      <c r="I959" s="156">
        <f>+I958+(G959-H959)</f>
        <v/>
      </c>
      <c r="J959" s="90" t="n">
        <v>56.55</v>
      </c>
      <c r="K959" s="166" t="n"/>
      <c r="L959" s="158">
        <f>+H959*J959</f>
        <v/>
      </c>
      <c r="M959" s="159">
        <f>SUM(M958+K959-L959)</f>
        <v/>
      </c>
    </row>
    <row r="960">
      <c r="A960" s="151" t="n">
        <v>46095</v>
      </c>
      <c r="B960" s="70" t="n">
        <v>485</v>
      </c>
      <c r="C960" s="115" t="inlineStr">
        <is>
          <t>MEGA</t>
        </is>
      </c>
      <c r="D960" s="115" t="inlineStr">
        <is>
          <t>SM350</t>
        </is>
      </c>
      <c r="E960" s="115" t="inlineStr">
        <is>
          <t>TEVFİK</t>
        </is>
      </c>
      <c r="F960" s="65" t="n"/>
      <c r="G960" s="152" t="n"/>
      <c r="H960" s="152" t="n">
        <v>455</v>
      </c>
      <c r="I960" s="156">
        <f>+I959+(G960-H960)</f>
        <v/>
      </c>
      <c r="J960" s="90" t="n">
        <v>56.55</v>
      </c>
      <c r="K960" s="166" t="n"/>
      <c r="L960" s="158">
        <f>+H960*J960</f>
        <v/>
      </c>
      <c r="M960" s="159">
        <f>SUM(M959+K960-L960)</f>
        <v/>
      </c>
    </row>
    <row r="961">
      <c r="A961" s="151" t="n">
        <v>46095</v>
      </c>
      <c r="B961" s="70" t="n">
        <v>486</v>
      </c>
      <c r="C961" s="115" t="inlineStr">
        <is>
          <t>MEGA</t>
        </is>
      </c>
      <c r="D961" s="115" t="inlineStr">
        <is>
          <t>SM370</t>
        </is>
      </c>
      <c r="E961" s="115" t="inlineStr">
        <is>
          <t>BEKİR</t>
        </is>
      </c>
      <c r="F961" s="65" t="n"/>
      <c r="G961" s="152" t="n"/>
      <c r="H961" s="152" t="n">
        <v>345</v>
      </c>
      <c r="I961" s="156">
        <f>+I960+(G961-H961)</f>
        <v/>
      </c>
      <c r="J961" s="90" t="n">
        <v>56.55</v>
      </c>
      <c r="K961" s="166" t="n"/>
      <c r="L961" s="158">
        <f>+H961*J961</f>
        <v/>
      </c>
      <c r="M961" s="159">
        <f>SUM(M960+K961-L961)</f>
        <v/>
      </c>
    </row>
    <row r="962">
      <c r="A962" s="151" t="n">
        <v>46095</v>
      </c>
      <c r="B962" s="70" t="n">
        <v>487</v>
      </c>
      <c r="C962" s="115" t="inlineStr">
        <is>
          <t>EVKUR</t>
        </is>
      </c>
      <c r="D962" s="115" t="inlineStr">
        <is>
          <t>HİTACHİ</t>
        </is>
      </c>
      <c r="E962" s="115" t="inlineStr">
        <is>
          <t>TURGUT</t>
        </is>
      </c>
      <c r="F962" s="65" t="n"/>
      <c r="G962" s="152" t="n"/>
      <c r="H962" s="152" t="n">
        <v>453</v>
      </c>
      <c r="I962" s="156">
        <f>+I961+(G962-H962)</f>
        <v/>
      </c>
      <c r="J962" s="90" t="n">
        <v>56.55</v>
      </c>
      <c r="K962" s="166" t="n"/>
      <c r="L962" s="158">
        <f>+H962*J962</f>
        <v/>
      </c>
      <c r="M962" s="159">
        <f>SUM(M961+K962-L962)</f>
        <v/>
      </c>
    </row>
    <row r="963">
      <c r="A963" s="151" t="n">
        <v>46095</v>
      </c>
      <c r="B963" s="70" t="n">
        <v>488</v>
      </c>
      <c r="C963" s="115" t="inlineStr">
        <is>
          <t>MEGA</t>
        </is>
      </c>
      <c r="D963" s="115" t="inlineStr">
        <is>
          <t>SM300</t>
        </is>
      </c>
      <c r="E963" s="115" t="inlineStr">
        <is>
          <t>TEKİN</t>
        </is>
      </c>
      <c r="F963" s="65" t="n"/>
      <c r="G963" s="152" t="n"/>
      <c r="H963" s="152" t="n">
        <v>528</v>
      </c>
      <c r="I963" s="156">
        <f>+I962+(G963-H963)</f>
        <v/>
      </c>
      <c r="J963" s="90" t="n">
        <v>56.55</v>
      </c>
      <c r="K963" s="166" t="n"/>
      <c r="L963" s="158">
        <f>+H963*J963</f>
        <v/>
      </c>
      <c r="M963" s="159">
        <f>SUM(M962+K963-L963)</f>
        <v/>
      </c>
    </row>
    <row r="964">
      <c r="A964" s="151" t="n">
        <v>46095</v>
      </c>
      <c r="B964" s="70" t="n">
        <v>489</v>
      </c>
      <c r="C964" s="115" t="inlineStr">
        <is>
          <t>MEGA</t>
        </is>
      </c>
      <c r="D964" s="115" t="inlineStr">
        <is>
          <t>SM370</t>
        </is>
      </c>
      <c r="E964" s="115" t="inlineStr">
        <is>
          <t>BEKİR</t>
        </is>
      </c>
      <c r="F964" s="65" t="n"/>
      <c r="G964" s="152" t="n"/>
      <c r="H964" s="152" t="n">
        <v>250</v>
      </c>
      <c r="I964" s="156">
        <f>+I963+(G964-H964)</f>
        <v/>
      </c>
      <c r="J964" s="90" t="n">
        <v>56.55</v>
      </c>
      <c r="K964" s="166" t="n"/>
      <c r="L964" s="158">
        <f>+H964*J964</f>
        <v/>
      </c>
      <c r="M964" s="159">
        <f>SUM(M963+K964-L964)</f>
        <v/>
      </c>
    </row>
    <row r="965">
      <c r="A965" s="151" t="n">
        <v>46095</v>
      </c>
      <c r="B965" s="70" t="n">
        <v>490</v>
      </c>
      <c r="C965" s="115" t="inlineStr">
        <is>
          <t>MEGA</t>
        </is>
      </c>
      <c r="D965" s="115" t="inlineStr">
        <is>
          <t>SM350</t>
        </is>
      </c>
      <c r="E965" s="115" t="inlineStr">
        <is>
          <t>MİKAİL</t>
        </is>
      </c>
      <c r="F965" s="65" t="n"/>
      <c r="G965" s="152" t="n"/>
      <c r="H965" s="152" t="n">
        <v>300</v>
      </c>
      <c r="I965" s="156">
        <f>+I964+(G965-H965)</f>
        <v/>
      </c>
      <c r="J965" s="90" t="n">
        <v>56.55</v>
      </c>
      <c r="K965" s="166" t="n"/>
      <c r="L965" s="158">
        <f>+H965*J965</f>
        <v/>
      </c>
      <c r="M965" s="159">
        <f>SUM(M964+K965-L965)</f>
        <v/>
      </c>
    </row>
    <row r="966">
      <c r="A966" s="151" t="n">
        <v>46095</v>
      </c>
      <c r="B966" s="70" t="n">
        <v>491</v>
      </c>
      <c r="C966" s="115" t="inlineStr">
        <is>
          <t>MEGA</t>
        </is>
      </c>
      <c r="D966" s="115" t="inlineStr">
        <is>
          <t>KAWAZAKİ</t>
        </is>
      </c>
      <c r="E966" s="115" t="inlineStr">
        <is>
          <t>RAMAZAN</t>
        </is>
      </c>
      <c r="F966" s="65" t="n"/>
      <c r="G966" s="152" t="n"/>
      <c r="H966" s="152" t="n">
        <v>197</v>
      </c>
      <c r="I966" s="156">
        <f>+I965+(G966-H966)</f>
        <v/>
      </c>
      <c r="J966" s="90" t="n">
        <v>56.55</v>
      </c>
      <c r="K966" s="166" t="n"/>
      <c r="L966" s="158">
        <f>+H966*J966</f>
        <v/>
      </c>
      <c r="M966" s="159">
        <f>SUM(M965+K966-L966)</f>
        <v/>
      </c>
    </row>
    <row r="967">
      <c r="A967" s="151" t="n">
        <v>46096</v>
      </c>
      <c r="B967" s="70" t="n">
        <v>4978</v>
      </c>
      <c r="C967" s="115" t="inlineStr">
        <is>
          <t>SELİM İNŞAAT</t>
        </is>
      </c>
      <c r="D967" s="115" t="inlineStr">
        <is>
          <t>34 GVZ 745</t>
        </is>
      </c>
      <c r="E967" s="115" t="inlineStr">
        <is>
          <t>MURAT DEMİRBAĞ</t>
        </is>
      </c>
      <c r="F967" s="65" t="n">
        <v>250680</v>
      </c>
      <c r="G967" s="152" t="n"/>
      <c r="H967" s="152" t="n">
        <v>296</v>
      </c>
      <c r="I967" s="156">
        <f>+I966+(G967-H967)</f>
        <v/>
      </c>
      <c r="J967" s="90" t="n">
        <v>56.55</v>
      </c>
      <c r="K967" s="166" t="n"/>
      <c r="L967" s="158">
        <f>+H967*J967</f>
        <v/>
      </c>
      <c r="M967" s="159">
        <f>SUM(M966+K967-L967)</f>
        <v/>
      </c>
    </row>
    <row r="968">
      <c r="A968" s="151" t="n">
        <v>46096</v>
      </c>
      <c r="B968" s="70" t="n">
        <v>2349</v>
      </c>
      <c r="C968" s="115" t="inlineStr">
        <is>
          <t>SELİM İNŞAAT</t>
        </is>
      </c>
      <c r="D968" s="115" t="inlineStr">
        <is>
          <t>34 DP 4161</t>
        </is>
      </c>
      <c r="E968" s="115" t="inlineStr">
        <is>
          <t>RIFAT KARATAY</t>
        </is>
      </c>
      <c r="F968" s="65" t="n">
        <v>321505</v>
      </c>
      <c r="G968" s="152" t="n"/>
      <c r="H968" s="152" t="n">
        <v>344</v>
      </c>
      <c r="I968" s="156">
        <f>+I967+(G968-H968)</f>
        <v/>
      </c>
      <c r="J968" s="90" t="n">
        <v>56.55</v>
      </c>
      <c r="K968" s="166" t="n"/>
      <c r="L968" s="158">
        <f>+H968*J968</f>
        <v/>
      </c>
      <c r="M968" s="159">
        <f>SUM(M967+K968-L968)</f>
        <v/>
      </c>
    </row>
    <row r="969">
      <c r="A969" s="151" t="n">
        <v>46096</v>
      </c>
      <c r="B969" s="70" t="n">
        <v>3733</v>
      </c>
      <c r="C969" s="115" t="inlineStr">
        <is>
          <t>SELİM İNŞAAT</t>
        </is>
      </c>
      <c r="D969" s="115" t="inlineStr">
        <is>
          <t>34 DKL 866</t>
        </is>
      </c>
      <c r="E969" s="115" t="inlineStr">
        <is>
          <t>SELİMCAN ÖNVER</t>
        </is>
      </c>
      <c r="F969" s="65" t="n">
        <v>83193</v>
      </c>
      <c r="G969" s="152" t="n"/>
      <c r="H969" s="152" t="n">
        <v>290</v>
      </c>
      <c r="I969" s="156">
        <f>+I968+(G969-H969)</f>
        <v/>
      </c>
      <c r="J969" s="90" t="n">
        <v>56.55</v>
      </c>
      <c r="K969" s="166" t="n"/>
      <c r="L969" s="158">
        <f>+H969*J969</f>
        <v/>
      </c>
      <c r="M969" s="159">
        <f>SUM(M968+K969-L969)</f>
        <v/>
      </c>
    </row>
    <row r="970">
      <c r="A970" s="151" t="n">
        <v>46096</v>
      </c>
      <c r="B970" s="70" t="n">
        <v>626</v>
      </c>
      <c r="C970" s="115" t="inlineStr">
        <is>
          <t>AHMET SELİM TEMHA</t>
        </is>
      </c>
      <c r="D970" s="115" t="inlineStr">
        <is>
          <t>MANİTO</t>
        </is>
      </c>
      <c r="E970" s="115" t="inlineStr">
        <is>
          <t>TURGAY ÇIPLAK</t>
        </is>
      </c>
      <c r="F970" s="65" t="n"/>
      <c r="G970" s="152" t="n"/>
      <c r="H970" s="152" t="n">
        <v>130</v>
      </c>
      <c r="I970" s="156">
        <f>+I969+(G970-H970)</f>
        <v/>
      </c>
      <c r="J970" s="90" t="n">
        <v>56.55</v>
      </c>
      <c r="K970" s="166" t="n"/>
      <c r="L970" s="158">
        <f>+H970*J970</f>
        <v/>
      </c>
      <c r="M970" s="159">
        <f>SUM(M969+K970-L970)</f>
        <v/>
      </c>
    </row>
    <row r="971">
      <c r="A971" s="151" t="n">
        <v>46096</v>
      </c>
      <c r="B971" s="70" t="n">
        <v>492</v>
      </c>
      <c r="C971" s="115" t="inlineStr">
        <is>
          <t>MEGA</t>
        </is>
      </c>
      <c r="D971" s="115" t="inlineStr">
        <is>
          <t>KAWAZAKİ</t>
        </is>
      </c>
      <c r="E971" s="115" t="inlineStr">
        <is>
          <t>RAMAZAN</t>
        </is>
      </c>
      <c r="F971" s="65" t="n"/>
      <c r="G971" s="152" t="n"/>
      <c r="H971" s="152" t="n">
        <v>241</v>
      </c>
      <c r="I971" s="156">
        <f>+I970+(G971-H971)</f>
        <v/>
      </c>
      <c r="J971" s="90" t="n">
        <v>56.55</v>
      </c>
      <c r="K971" s="166" t="n"/>
      <c r="L971" s="158">
        <f>+H971*J971</f>
        <v/>
      </c>
      <c r="M971" s="159">
        <f>SUM(M970+K971-L971)</f>
        <v/>
      </c>
    </row>
    <row r="972">
      <c r="A972" s="151" t="n">
        <v>46096</v>
      </c>
      <c r="B972" s="70" t="n">
        <v>493</v>
      </c>
      <c r="C972" s="115" t="inlineStr">
        <is>
          <t>MEGA</t>
        </is>
      </c>
      <c r="D972" s="115" t="inlineStr">
        <is>
          <t>SM350</t>
        </is>
      </c>
      <c r="E972" s="115" t="inlineStr">
        <is>
          <t>MİKAİL</t>
        </is>
      </c>
      <c r="F972" s="65" t="n"/>
      <c r="G972" s="152" t="n"/>
      <c r="H972" s="152" t="n">
        <v>328</v>
      </c>
      <c r="I972" s="156">
        <f>+I971+(G972-H972)</f>
        <v/>
      </c>
      <c r="J972" s="90" t="n">
        <v>56.55</v>
      </c>
      <c r="K972" s="166" t="n"/>
      <c r="L972" s="158">
        <f>+H972*J972</f>
        <v/>
      </c>
      <c r="M972" s="159">
        <f>SUM(M971+K972-L972)</f>
        <v/>
      </c>
    </row>
    <row r="973">
      <c r="A973" s="151" t="n">
        <v>46096</v>
      </c>
      <c r="B973" s="70" t="n">
        <v>494</v>
      </c>
      <c r="C973" s="115" t="inlineStr">
        <is>
          <t>MEGA</t>
        </is>
      </c>
      <c r="D973" s="115" t="inlineStr">
        <is>
          <t>SM350</t>
        </is>
      </c>
      <c r="E973" s="115" t="inlineStr">
        <is>
          <t>TEVFİK</t>
        </is>
      </c>
      <c r="F973" s="65" t="n"/>
      <c r="G973" s="152" t="n"/>
      <c r="H973" s="152" t="n">
        <v>490</v>
      </c>
      <c r="I973" s="156">
        <f>+I972+(G973-H973)</f>
        <v/>
      </c>
      <c r="J973" s="90" t="n">
        <v>56.55</v>
      </c>
      <c r="K973" s="166" t="n"/>
      <c r="L973" s="158">
        <f>+H973*J973</f>
        <v/>
      </c>
      <c r="M973" s="159">
        <f>SUM(M972+K973-L973)</f>
        <v/>
      </c>
    </row>
    <row r="974">
      <c r="A974" s="151" t="n">
        <v>46096</v>
      </c>
      <c r="B974" s="70" t="n">
        <v>495</v>
      </c>
      <c r="C974" s="115" t="inlineStr">
        <is>
          <t>KOZMO</t>
        </is>
      </c>
      <c r="D974" s="115" t="inlineStr">
        <is>
          <t>SM370</t>
        </is>
      </c>
      <c r="E974" s="115" t="inlineStr">
        <is>
          <t>BEKİR</t>
        </is>
      </c>
      <c r="F974" s="65" t="n"/>
      <c r="G974" s="152" t="n"/>
      <c r="H974" s="152" t="n">
        <v>380</v>
      </c>
      <c r="I974" s="156">
        <f>+I973+(G974-H974)</f>
        <v/>
      </c>
      <c r="J974" s="90" t="n">
        <v>56.55</v>
      </c>
      <c r="K974" s="166" t="n"/>
      <c r="L974" s="158">
        <f>+H974*J974</f>
        <v/>
      </c>
      <c r="M974" s="159">
        <f>SUM(M973+K974-L974)</f>
        <v/>
      </c>
    </row>
    <row r="975">
      <c r="A975" s="151" t="n">
        <v>46096</v>
      </c>
      <c r="B975" s="70" t="n">
        <v>496</v>
      </c>
      <c r="C975" s="115" t="inlineStr">
        <is>
          <t>KOZMO</t>
        </is>
      </c>
      <c r="D975" s="115" t="inlineStr">
        <is>
          <t>SM300</t>
        </is>
      </c>
      <c r="E975" s="115" t="inlineStr">
        <is>
          <t>TEKİN</t>
        </is>
      </c>
      <c r="F975" s="65" t="n"/>
      <c r="G975" s="152" t="n"/>
      <c r="H975" s="152" t="n">
        <v>544</v>
      </c>
      <c r="I975" s="156">
        <f>+I974+(G975-H975)</f>
        <v/>
      </c>
      <c r="J975" s="90" t="n">
        <v>56.55</v>
      </c>
      <c r="K975" s="166" t="n"/>
      <c r="L975" s="158">
        <f>+H975*J975</f>
        <v/>
      </c>
      <c r="M975" s="159">
        <f>SUM(M974+K975-L975)</f>
        <v/>
      </c>
    </row>
    <row r="976">
      <c r="A976" s="151" t="n">
        <v>46096</v>
      </c>
      <c r="B976" s="70" t="n">
        <v>497</v>
      </c>
      <c r="C976" s="115" t="inlineStr">
        <is>
          <t>HASALTUN</t>
        </is>
      </c>
      <c r="D976" s="115" t="inlineStr">
        <is>
          <t>HİTACHİ</t>
        </is>
      </c>
      <c r="E976" s="115" t="inlineStr">
        <is>
          <t>TURGUT</t>
        </is>
      </c>
      <c r="F976" s="65" t="n"/>
      <c r="G976" s="152" t="n"/>
      <c r="H976" s="152" t="n">
        <v>460</v>
      </c>
      <c r="I976" s="156">
        <f>+I975+(G976-H976)</f>
        <v/>
      </c>
      <c r="J976" s="90" t="n">
        <v>56.55</v>
      </c>
      <c r="K976" s="166" t="n"/>
      <c r="L976" s="158">
        <f>+H976*J976</f>
        <v/>
      </c>
      <c r="M976" s="159">
        <f>SUM(M975+K976-L976)</f>
        <v/>
      </c>
    </row>
    <row r="977">
      <c r="A977" s="151" t="n">
        <v>46097</v>
      </c>
      <c r="B977" s="70" t="n">
        <v>1395</v>
      </c>
      <c r="C977" s="115" t="inlineStr">
        <is>
          <t>AZGÜN YAPI</t>
        </is>
      </c>
      <c r="D977" s="115" t="inlineStr">
        <is>
          <t>34 MKT 859</t>
        </is>
      </c>
      <c r="E977" s="115" t="inlineStr">
        <is>
          <t>İRFAN DAĞLAR</t>
        </is>
      </c>
      <c r="F977" s="65" t="n"/>
      <c r="G977" s="152" t="n"/>
      <c r="H977" s="152" t="n">
        <v>235</v>
      </c>
      <c r="I977" s="156">
        <f>+I976+(G977-H977)</f>
        <v/>
      </c>
      <c r="J977" s="90" t="n">
        <v>56.55</v>
      </c>
      <c r="K977" s="166" t="n"/>
      <c r="L977" s="158">
        <f>+H977*J977</f>
        <v/>
      </c>
      <c r="M977" s="159">
        <f>SUM(M976+K977-L977)</f>
        <v/>
      </c>
    </row>
    <row r="978">
      <c r="A978" s="151" t="n">
        <v>46097</v>
      </c>
      <c r="B978" s="70" t="n">
        <v>2548</v>
      </c>
      <c r="C978" s="115" t="inlineStr">
        <is>
          <t>AZGÜN YAPI</t>
        </is>
      </c>
      <c r="D978" s="115" t="inlineStr">
        <is>
          <t>34 MKT 593</t>
        </is>
      </c>
      <c r="E978" s="115" t="inlineStr">
        <is>
          <t>TURGUT ÇATAL</t>
        </is>
      </c>
      <c r="F978" s="65" t="n"/>
      <c r="G978" s="152" t="n"/>
      <c r="H978" s="152" t="n">
        <v>306</v>
      </c>
      <c r="I978" s="156">
        <f>+I977+(G978-H978)</f>
        <v/>
      </c>
      <c r="J978" s="90" t="n">
        <v>56.55</v>
      </c>
      <c r="K978" s="166" t="n"/>
      <c r="L978" s="158">
        <f>+H978*J978</f>
        <v/>
      </c>
      <c r="M978" s="159">
        <f>SUM(M977+K978-L978)</f>
        <v/>
      </c>
    </row>
    <row r="979">
      <c r="A979" s="151" t="n">
        <v>46097</v>
      </c>
      <c r="B979" s="70" t="n">
        <v>758</v>
      </c>
      <c r="C979" s="115" t="inlineStr">
        <is>
          <t>METİN ERYİĞİT</t>
        </is>
      </c>
      <c r="D979" s="115" t="inlineStr">
        <is>
          <t>34 EGR 814</t>
        </is>
      </c>
      <c r="E979" s="115" t="inlineStr">
        <is>
          <t>ZİYA İNCE</t>
        </is>
      </c>
      <c r="F979" s="65" t="n">
        <v>611107</v>
      </c>
      <c r="G979" s="146" t="n"/>
      <c r="H979" s="146" t="n">
        <v>481</v>
      </c>
      <c r="I979" s="156">
        <f>+I978+(G979-H979)</f>
        <v/>
      </c>
      <c r="J979" s="90" t="n">
        <v>56.55</v>
      </c>
      <c r="K979" s="166" t="n"/>
      <c r="L979" s="158">
        <f>+H979*J979</f>
        <v/>
      </c>
      <c r="M979" s="159">
        <f>SUM(M978+K979-L979)</f>
        <v/>
      </c>
    </row>
    <row r="980">
      <c r="A980" s="151" t="n">
        <v>46097</v>
      </c>
      <c r="B980" s="70" t="n">
        <v>719</v>
      </c>
      <c r="C980" s="115" t="inlineStr">
        <is>
          <t>METİN ERYİĞİT</t>
        </is>
      </c>
      <c r="D980" s="115" t="inlineStr">
        <is>
          <t>34 EGS 013</t>
        </is>
      </c>
      <c r="E980" s="115" t="inlineStr">
        <is>
          <t>UĞUR DUMAN</t>
        </is>
      </c>
      <c r="F980" s="65" t="n">
        <v>566908</v>
      </c>
      <c r="G980" s="152" t="n"/>
      <c r="H980" s="152" t="n">
        <v>459</v>
      </c>
      <c r="I980" s="156">
        <f>+I979+(G980-H980)</f>
        <v/>
      </c>
      <c r="J980" s="90" t="n">
        <v>56.55</v>
      </c>
      <c r="K980" s="166" t="n"/>
      <c r="L980" s="158">
        <f>+H980*J980</f>
        <v/>
      </c>
      <c r="M980" s="159">
        <f>SUM(M979+K980-L980)</f>
        <v/>
      </c>
    </row>
    <row r="981">
      <c r="A981" s="151" t="n">
        <v>46097</v>
      </c>
      <c r="B981" s="70" t="n">
        <v>816</v>
      </c>
      <c r="C981" s="115" t="inlineStr">
        <is>
          <t>METİN ERYİĞİT</t>
        </is>
      </c>
      <c r="D981" s="115" t="inlineStr">
        <is>
          <t>34 GBL 998</t>
        </is>
      </c>
      <c r="E981" s="115" t="inlineStr">
        <is>
          <t>ALİ KESKİN</t>
        </is>
      </c>
      <c r="F981" s="65" t="n">
        <v>350173</v>
      </c>
      <c r="G981" s="152" t="n"/>
      <c r="H981" s="152" t="n">
        <v>297</v>
      </c>
      <c r="I981" s="156">
        <f>+I980+(G981-H981)</f>
        <v/>
      </c>
      <c r="J981" s="90" t="n">
        <v>56.55</v>
      </c>
      <c r="K981" s="166" t="n"/>
      <c r="L981" s="158">
        <f>+H981*J981</f>
        <v/>
      </c>
      <c r="M981" s="159">
        <f>SUM(M980+K981-L981)</f>
        <v/>
      </c>
    </row>
    <row r="982">
      <c r="A982" s="151" t="n">
        <v>46097</v>
      </c>
      <c r="B982" s="70" t="n">
        <v>498</v>
      </c>
      <c r="C982" s="115" t="inlineStr">
        <is>
          <t>MEGA</t>
        </is>
      </c>
      <c r="D982" s="115" t="inlineStr">
        <is>
          <t>SM350</t>
        </is>
      </c>
      <c r="E982" s="115" t="inlineStr">
        <is>
          <t>MİKAİL</t>
        </is>
      </c>
      <c r="F982" s="65" t="n"/>
      <c r="G982" s="152" t="n"/>
      <c r="H982" s="152" t="n">
        <v>438</v>
      </c>
      <c r="I982" s="156">
        <f>+I981+(G982-H982)</f>
        <v/>
      </c>
      <c r="J982" s="90" t="n">
        <v>56.55</v>
      </c>
      <c r="K982" s="166" t="n"/>
      <c r="L982" s="158">
        <f>+H982*J982</f>
        <v/>
      </c>
      <c r="M982" s="159">
        <f>SUM(M981+K982-L982)</f>
        <v/>
      </c>
    </row>
    <row r="983">
      <c r="A983" s="151" t="n">
        <v>46097</v>
      </c>
      <c r="B983" s="70" t="n">
        <v>499</v>
      </c>
      <c r="C983" s="115" t="inlineStr">
        <is>
          <t>MEGA</t>
        </is>
      </c>
      <c r="D983" s="115" t="inlineStr">
        <is>
          <t>SM350</t>
        </is>
      </c>
      <c r="E983" s="115" t="inlineStr">
        <is>
          <t>TEVFİK</t>
        </is>
      </c>
      <c r="F983" s="65" t="n"/>
      <c r="G983" s="152" t="n"/>
      <c r="H983" s="152" t="n">
        <v>422</v>
      </c>
      <c r="I983" s="156">
        <f>+I982+(G983-H983)</f>
        <v/>
      </c>
      <c r="J983" s="90" t="n">
        <v>56.55</v>
      </c>
      <c r="K983" s="166" t="n"/>
      <c r="L983" s="158">
        <f>+H983*J983</f>
        <v/>
      </c>
      <c r="M983" s="159">
        <f>SUM(M982+K983-L983)</f>
        <v/>
      </c>
    </row>
    <row r="984">
      <c r="A984" s="151" t="n">
        <v>46097</v>
      </c>
      <c r="B984" s="70" t="n">
        <v>500</v>
      </c>
      <c r="C984" s="115" t="inlineStr">
        <is>
          <t>KOZMO</t>
        </is>
      </c>
      <c r="D984" s="115" t="inlineStr">
        <is>
          <t>SM370</t>
        </is>
      </c>
      <c r="E984" s="115" t="inlineStr">
        <is>
          <t>BEKİR</t>
        </is>
      </c>
      <c r="F984" s="65" t="n"/>
      <c r="G984" s="152" t="n"/>
      <c r="H984" s="152" t="n">
        <v>313</v>
      </c>
      <c r="I984" s="156">
        <f>+I983+(G984-H984)</f>
        <v/>
      </c>
      <c r="J984" s="90" t="n">
        <v>56.55</v>
      </c>
      <c r="K984" s="166" t="n"/>
      <c r="L984" s="158">
        <f>+H984*J984</f>
        <v/>
      </c>
      <c r="M984" s="159">
        <f>SUM(M983+K984-L984)</f>
        <v/>
      </c>
    </row>
    <row r="985">
      <c r="A985" s="151" t="n">
        <v>46097</v>
      </c>
      <c r="B985" s="70" t="n">
        <v>1501</v>
      </c>
      <c r="C985" s="115" t="inlineStr">
        <is>
          <t>KOZMO</t>
        </is>
      </c>
      <c r="D985" s="115" t="inlineStr">
        <is>
          <t>SM300</t>
        </is>
      </c>
      <c r="E985" s="115" t="inlineStr">
        <is>
          <t>TEKİN</t>
        </is>
      </c>
      <c r="F985" s="65" t="n"/>
      <c r="G985" s="152" t="n"/>
      <c r="H985" s="152" t="n">
        <v>338</v>
      </c>
      <c r="I985" s="156">
        <f>+I984+(G985-H985)</f>
        <v/>
      </c>
      <c r="J985" s="90" t="n">
        <v>56.55</v>
      </c>
      <c r="K985" s="166" t="n"/>
      <c r="L985" s="158">
        <f>+H985*J985</f>
        <v/>
      </c>
      <c r="M985" s="159">
        <f>SUM(M984+K985-L985)</f>
        <v/>
      </c>
    </row>
    <row r="986">
      <c r="A986" s="151" t="n">
        <v>46097</v>
      </c>
      <c r="B986" s="70" t="n">
        <v>2803</v>
      </c>
      <c r="C986" s="115" t="inlineStr">
        <is>
          <t>SELİM İNŞAAT</t>
        </is>
      </c>
      <c r="D986" s="115" t="inlineStr">
        <is>
          <t>34 EGR 737</t>
        </is>
      </c>
      <c r="E986" s="115" t="inlineStr">
        <is>
          <t>CEM MUHTAR</t>
        </is>
      </c>
      <c r="F986" s="65" t="n">
        <v>464666</v>
      </c>
      <c r="G986" s="152" t="n"/>
      <c r="H986" s="152" t="n">
        <v>539</v>
      </c>
      <c r="I986" s="156">
        <f>+I985+(G986-H986)</f>
        <v/>
      </c>
      <c r="J986" s="90" t="n">
        <v>56.55</v>
      </c>
      <c r="K986" s="166" t="n"/>
      <c r="L986" s="158">
        <f>+H986*J986</f>
        <v/>
      </c>
      <c r="M986" s="159">
        <f>SUM(M985+K986-L986)</f>
        <v/>
      </c>
    </row>
    <row r="987">
      <c r="A987" s="151" t="n">
        <v>46097</v>
      </c>
      <c r="B987" s="70" t="n">
        <v>3336</v>
      </c>
      <c r="C987" s="115" t="inlineStr">
        <is>
          <t>SELİM İNŞAAT</t>
        </is>
      </c>
      <c r="D987" s="115" t="inlineStr">
        <is>
          <t>34 GUS 938</t>
        </is>
      </c>
      <c r="E987" s="115" t="inlineStr">
        <is>
          <t>MEHMET KAYA</t>
        </is>
      </c>
      <c r="F987" s="65" t="n">
        <v>250595</v>
      </c>
      <c r="G987" s="152" t="n"/>
      <c r="H987" s="152" t="n">
        <v>400</v>
      </c>
      <c r="I987" s="156">
        <f>+I986+(G987-H987)</f>
        <v/>
      </c>
      <c r="J987" s="90" t="n">
        <v>56.55</v>
      </c>
      <c r="K987" s="166" t="n"/>
      <c r="L987" s="158">
        <f>+H987*J987</f>
        <v/>
      </c>
      <c r="M987" s="159">
        <f>SUM(M986+K987-L987)</f>
        <v/>
      </c>
    </row>
    <row r="988">
      <c r="A988" s="151" t="n">
        <v>46097</v>
      </c>
      <c r="B988" s="70" t="n">
        <v>3493</v>
      </c>
      <c r="C988" s="115" t="inlineStr">
        <is>
          <t>SELİM İNŞAAT</t>
        </is>
      </c>
      <c r="D988" s="115" t="inlineStr">
        <is>
          <t>34 EDB 754</t>
        </is>
      </c>
      <c r="E988" s="115" t="inlineStr">
        <is>
          <t>MUSTAFA KAYA</t>
        </is>
      </c>
      <c r="F988" s="65" t="n">
        <v>375293</v>
      </c>
      <c r="G988" s="152" t="n"/>
      <c r="H988" s="152" t="n">
        <v>464</v>
      </c>
      <c r="I988" s="156">
        <f>+I987+(G988-H988)</f>
        <v/>
      </c>
      <c r="J988" s="90" t="n">
        <v>56.55</v>
      </c>
      <c r="K988" s="166" t="n"/>
      <c r="L988" s="158">
        <f>+H988*J988</f>
        <v/>
      </c>
      <c r="M988" s="159">
        <f>SUM(M987+K988-L988)</f>
        <v/>
      </c>
    </row>
    <row r="989">
      <c r="A989" s="151" t="n">
        <v>46097</v>
      </c>
      <c r="B989" s="70" t="n">
        <v>4883</v>
      </c>
      <c r="C989" s="115" t="inlineStr">
        <is>
          <t>SELİM İNŞAAT</t>
        </is>
      </c>
      <c r="D989" s="115" t="inlineStr">
        <is>
          <t>34 FBR 705</t>
        </is>
      </c>
      <c r="E989" s="115" t="inlineStr">
        <is>
          <t>MURAT SARI</t>
        </is>
      </c>
      <c r="F989" s="65" t="n">
        <v>365632</v>
      </c>
      <c r="G989" s="152" t="n"/>
      <c r="H989" s="152" t="n">
        <v>456</v>
      </c>
      <c r="I989" s="156">
        <f>+I988+(G989-H989)</f>
        <v/>
      </c>
      <c r="J989" s="90" t="n">
        <v>56.55</v>
      </c>
      <c r="K989" s="166" t="n"/>
      <c r="L989" s="158">
        <f>+H989*J989</f>
        <v/>
      </c>
      <c r="M989" s="159">
        <f>SUM(M988+K989-L989)</f>
        <v/>
      </c>
    </row>
    <row r="990">
      <c r="A990" s="151" t="n">
        <v>46097</v>
      </c>
      <c r="B990" s="70" t="n">
        <v>3433</v>
      </c>
      <c r="C990" s="115" t="inlineStr">
        <is>
          <t>SELİM İNŞAAT</t>
        </is>
      </c>
      <c r="D990" s="115" t="inlineStr">
        <is>
          <t>34 GVZ 310</t>
        </is>
      </c>
      <c r="E990" s="115" t="inlineStr">
        <is>
          <t>CELAL YÜZBAŞI</t>
        </is>
      </c>
      <c r="F990" s="65" t="n">
        <v>250537</v>
      </c>
      <c r="G990" s="152" t="n"/>
      <c r="H990" s="152" t="n">
        <v>500</v>
      </c>
      <c r="I990" s="156">
        <f>+I989+(G990-H990)</f>
        <v/>
      </c>
      <c r="J990" s="90" t="n">
        <v>56.55</v>
      </c>
      <c r="K990" s="166" t="n"/>
      <c r="L990" s="158">
        <f>+H990*J990</f>
        <v/>
      </c>
      <c r="M990" s="159">
        <f>SUM(M989+K990-L990)</f>
        <v/>
      </c>
    </row>
    <row r="991">
      <c r="A991" s="151" t="n">
        <v>46097</v>
      </c>
      <c r="B991" s="70" t="n">
        <v>911</v>
      </c>
      <c r="C991" s="115" t="inlineStr">
        <is>
          <t>SELİM İNŞAAT</t>
        </is>
      </c>
      <c r="D991" s="115" t="inlineStr">
        <is>
          <t>34 FSG 229</t>
        </is>
      </c>
      <c r="E991" s="115" t="inlineStr">
        <is>
          <t>SİNAN TANRIVERDİ</t>
        </is>
      </c>
      <c r="F991" s="65" t="n">
        <v>303357</v>
      </c>
      <c r="G991" s="152" t="n"/>
      <c r="H991" s="152" t="n">
        <v>540</v>
      </c>
      <c r="I991" s="156">
        <f>+I990+(G991-H991)</f>
        <v/>
      </c>
      <c r="J991" s="90" t="n">
        <v>56.55</v>
      </c>
      <c r="K991" s="166" t="n"/>
      <c r="L991" s="158">
        <f>+H991*J991</f>
        <v/>
      </c>
      <c r="M991" s="159">
        <f>SUM(M990+K991-L991)</f>
        <v/>
      </c>
    </row>
    <row r="992">
      <c r="A992" s="151" t="n">
        <v>46097</v>
      </c>
      <c r="B992" s="70" t="n">
        <v>3396</v>
      </c>
      <c r="C992" s="115" t="inlineStr">
        <is>
          <t>SELİM İNŞAAT</t>
        </is>
      </c>
      <c r="D992" s="115" t="inlineStr">
        <is>
          <t>34 EDC 162</t>
        </is>
      </c>
      <c r="E992" s="115" t="inlineStr">
        <is>
          <t>YAKUP GÜNER</t>
        </is>
      </c>
      <c r="F992" s="65" t="n">
        <v>419120</v>
      </c>
      <c r="G992" s="152" t="n"/>
      <c r="H992" s="152" t="n">
        <v>444</v>
      </c>
      <c r="I992" s="156">
        <f>+I991+(G992-H992)</f>
        <v/>
      </c>
      <c r="J992" s="90" t="n">
        <v>56.55</v>
      </c>
      <c r="K992" s="166" t="n"/>
      <c r="L992" s="158">
        <f>+H992*J992</f>
        <v/>
      </c>
      <c r="M992" s="159">
        <f>SUM(M991+K992-L992)</f>
        <v/>
      </c>
    </row>
    <row r="993">
      <c r="A993" s="151" t="n">
        <v>46097</v>
      </c>
      <c r="B993" s="70" t="n">
        <v>2799</v>
      </c>
      <c r="C993" s="115" t="inlineStr">
        <is>
          <t>SELİM İNŞAAT</t>
        </is>
      </c>
      <c r="D993" s="115" t="inlineStr">
        <is>
          <t>34 EDC 086</t>
        </is>
      </c>
      <c r="E993" s="115" t="inlineStr">
        <is>
          <t>SEZGİN KOCAGİL</t>
        </is>
      </c>
      <c r="F993" s="65" t="n">
        <v>379055</v>
      </c>
      <c r="G993" s="152" t="n"/>
      <c r="H993" s="152" t="n">
        <v>499</v>
      </c>
      <c r="I993" s="156">
        <f>+I992+(G993-H993)</f>
        <v/>
      </c>
      <c r="J993" s="90" t="n">
        <v>56.55</v>
      </c>
      <c r="K993" s="166" t="n"/>
      <c r="L993" s="158">
        <f>+H993*J993</f>
        <v/>
      </c>
      <c r="M993" s="159">
        <f>SUM(M992+K993-L993)</f>
        <v/>
      </c>
    </row>
    <row r="994">
      <c r="A994" s="151" t="n">
        <v>46097</v>
      </c>
      <c r="B994" s="70" t="n">
        <v>3836</v>
      </c>
      <c r="C994" s="115" t="inlineStr">
        <is>
          <t>SELİM İNŞAAT</t>
        </is>
      </c>
      <c r="D994" s="115" t="inlineStr">
        <is>
          <t>34 GYZ 635</t>
        </is>
      </c>
      <c r="E994" s="115" t="inlineStr">
        <is>
          <t>ADEM DENİZ</t>
        </is>
      </c>
      <c r="F994" s="65" t="n">
        <v>230334</v>
      </c>
      <c r="G994" s="152" t="n"/>
      <c r="H994" s="152" t="n">
        <v>496</v>
      </c>
      <c r="I994" s="156">
        <f>+I993+(G994-H994)</f>
        <v/>
      </c>
      <c r="J994" s="90" t="n">
        <v>56.55</v>
      </c>
      <c r="K994" s="166" t="n"/>
      <c r="L994" s="158">
        <f>+H994*J994</f>
        <v/>
      </c>
      <c r="M994" s="159">
        <f>SUM(M993+K994-L994)</f>
        <v/>
      </c>
    </row>
    <row r="995">
      <c r="A995" s="151" t="n">
        <v>46097</v>
      </c>
      <c r="B995" s="70" t="n">
        <v>4931</v>
      </c>
      <c r="C995" s="115" t="inlineStr">
        <is>
          <t>SELİM İNŞAAT</t>
        </is>
      </c>
      <c r="D995" s="115" t="inlineStr">
        <is>
          <t>34 FBR 742</t>
        </is>
      </c>
      <c r="E995" s="115" t="inlineStr">
        <is>
          <t>ADNAN KOÇ</t>
        </is>
      </c>
      <c r="F995" s="65" t="n">
        <v>369077</v>
      </c>
      <c r="G995" s="152" t="n"/>
      <c r="H995" s="152" t="n">
        <v>421</v>
      </c>
      <c r="I995" s="156">
        <f>+I994+(G995-H995)</f>
        <v/>
      </c>
      <c r="J995" s="90" t="n">
        <v>56.55</v>
      </c>
      <c r="K995" s="166" t="n"/>
      <c r="L995" s="158">
        <f>+H995*J995</f>
        <v/>
      </c>
      <c r="M995" s="159">
        <f>SUM(M994+K995-L995)</f>
        <v/>
      </c>
    </row>
    <row r="996">
      <c r="A996" s="151" t="n">
        <v>46097</v>
      </c>
      <c r="B996" s="70" t="n">
        <v>101</v>
      </c>
      <c r="C996" s="115" t="inlineStr">
        <is>
          <t>SELİM İNŞAAT</t>
        </is>
      </c>
      <c r="D996" s="115" t="inlineStr">
        <is>
          <t>34 GUS 848</t>
        </is>
      </c>
      <c r="E996" s="115" t="inlineStr">
        <is>
          <t>SERDAR BOZKURT</t>
        </is>
      </c>
      <c r="F996" s="65" t="n">
        <v>236564</v>
      </c>
      <c r="G996" s="152" t="n"/>
      <c r="H996" s="152" t="n">
        <v>474</v>
      </c>
      <c r="I996" s="156">
        <f>+I995+(G996-H996)</f>
        <v/>
      </c>
      <c r="J996" s="90" t="n">
        <v>56.55</v>
      </c>
      <c r="K996" s="166" t="n"/>
      <c r="L996" s="158">
        <f>+H996*J996</f>
        <v/>
      </c>
      <c r="M996" s="159">
        <f>SUM(M995+K996-L996)</f>
        <v/>
      </c>
    </row>
    <row r="997">
      <c r="A997" s="151" t="n">
        <v>46097</v>
      </c>
      <c r="B997" s="70" t="n">
        <v>3049</v>
      </c>
      <c r="C997" s="115" t="inlineStr">
        <is>
          <t>SELİM İNŞAAT</t>
        </is>
      </c>
      <c r="D997" s="115" t="inlineStr">
        <is>
          <t>34 FBR 781</t>
        </is>
      </c>
      <c r="E997" s="115" t="inlineStr">
        <is>
          <t>MEVLÜT POLAT</t>
        </is>
      </c>
      <c r="F997" s="65" t="n">
        <v>365543</v>
      </c>
      <c r="G997" s="152" t="n"/>
      <c r="H997" s="152" t="n">
        <v>540</v>
      </c>
      <c r="I997" s="156">
        <f>+I996+(G997-H997)</f>
        <v/>
      </c>
      <c r="J997" s="90" t="n">
        <v>56.55</v>
      </c>
      <c r="K997" s="166" t="n"/>
      <c r="L997" s="158">
        <f>+H997*J997</f>
        <v/>
      </c>
      <c r="M997" s="159">
        <f>SUM(M996+K997-L997)</f>
        <v/>
      </c>
    </row>
    <row r="998">
      <c r="A998" s="151" t="n">
        <v>46097</v>
      </c>
      <c r="B998" s="70" t="n">
        <v>18</v>
      </c>
      <c r="C998" s="115" t="inlineStr">
        <is>
          <t>SELİM İNŞAAT</t>
        </is>
      </c>
      <c r="D998" s="115" t="inlineStr">
        <is>
          <t>34 GVZ 268</t>
        </is>
      </c>
      <c r="E998" s="115" t="inlineStr">
        <is>
          <t>KERİM KARAMAN</t>
        </is>
      </c>
      <c r="F998" s="65" t="n">
        <v>254770</v>
      </c>
      <c r="G998" s="152" t="n"/>
      <c r="H998" s="152" t="n">
        <v>414</v>
      </c>
      <c r="I998" s="156">
        <f>+I997+(G998-H998)</f>
        <v/>
      </c>
      <c r="J998" s="90" t="n">
        <v>56.55</v>
      </c>
      <c r="K998" s="166" t="n"/>
      <c r="L998" s="158">
        <f>+H998*J998</f>
        <v/>
      </c>
      <c r="M998" s="159">
        <f>SUM(M997+K998-L998)</f>
        <v/>
      </c>
    </row>
    <row r="999">
      <c r="A999" s="151" t="n">
        <v>46097</v>
      </c>
      <c r="B999" s="70" t="n">
        <v>4469</v>
      </c>
      <c r="C999" s="115" t="inlineStr">
        <is>
          <t>SELİM İNŞAAT</t>
        </is>
      </c>
      <c r="D999" s="115" t="inlineStr">
        <is>
          <t>34 DKL 798</t>
        </is>
      </c>
      <c r="E999" s="115" t="inlineStr">
        <is>
          <t>HASAN BAYCA</t>
        </is>
      </c>
      <c r="F999" s="65" t="n">
        <v>82009</v>
      </c>
      <c r="G999" s="152" t="n"/>
      <c r="H999" s="152" t="n">
        <v>297</v>
      </c>
      <c r="I999" s="156">
        <f>+I998+(G999-H999)</f>
        <v/>
      </c>
      <c r="J999" s="90" t="n">
        <v>56.55</v>
      </c>
      <c r="K999" s="166" t="n"/>
      <c r="L999" s="158">
        <f>+H999*J999</f>
        <v/>
      </c>
      <c r="M999" s="159">
        <f>SUM(M998+K999-L999)</f>
        <v/>
      </c>
    </row>
    <row r="1000">
      <c r="A1000" s="151" t="n">
        <v>46097</v>
      </c>
      <c r="B1000" s="70" t="n">
        <v>2984</v>
      </c>
      <c r="C1000" s="115" t="inlineStr">
        <is>
          <t>SELİM İNŞAAT</t>
        </is>
      </c>
      <c r="D1000" s="115" t="inlineStr">
        <is>
          <t>34 DF 454</t>
        </is>
      </c>
      <c r="E1000" s="115" t="inlineStr">
        <is>
          <t>HÜSEYİN ALIN</t>
        </is>
      </c>
      <c r="F1000" s="65" t="n">
        <v>175541</v>
      </c>
      <c r="G1000" s="152" t="n"/>
      <c r="H1000" s="152" t="n">
        <v>394</v>
      </c>
      <c r="I1000" s="156">
        <f>+I999+(G1000-H1000)</f>
        <v/>
      </c>
      <c r="J1000" s="90" t="n">
        <v>56.55</v>
      </c>
      <c r="K1000" s="166" t="n"/>
      <c r="L1000" s="158">
        <f>+H1000*J1000</f>
        <v/>
      </c>
      <c r="M1000" s="159">
        <f>SUM(M999+K1000-L1000)</f>
        <v/>
      </c>
    </row>
    <row r="1001">
      <c r="A1001" s="151" t="n">
        <v>46097</v>
      </c>
      <c r="B1001" s="70" t="n">
        <v>307</v>
      </c>
      <c r="C1001" s="115" t="inlineStr">
        <is>
          <t>SELİM İNŞAAT</t>
        </is>
      </c>
      <c r="D1001" s="115" t="inlineStr">
        <is>
          <t>34 GER 445</t>
        </is>
      </c>
      <c r="E1001" s="115" t="inlineStr">
        <is>
          <t>MUSTAFA ERYİĞİT</t>
        </is>
      </c>
      <c r="F1001" s="65" t="n">
        <v>58614</v>
      </c>
      <c r="G1001" s="152" t="n"/>
      <c r="H1001" s="152" t="n">
        <v>279</v>
      </c>
      <c r="I1001" s="156">
        <f>+I1000+(G1001-H1001)</f>
        <v/>
      </c>
      <c r="J1001" s="90" t="n">
        <v>56.55</v>
      </c>
      <c r="K1001" s="166" t="n"/>
      <c r="L1001" s="158">
        <f>+H1001*J1001</f>
        <v/>
      </c>
      <c r="M1001" s="159">
        <f>SUM(M1000+K1001-L1001)</f>
        <v/>
      </c>
    </row>
    <row r="1002">
      <c r="A1002" s="151" t="n">
        <v>46097</v>
      </c>
      <c r="B1002" s="70" t="n">
        <v>654</v>
      </c>
      <c r="C1002" s="115" t="inlineStr">
        <is>
          <t>SELİM İNŞAAT</t>
        </is>
      </c>
      <c r="D1002" s="115" t="inlineStr">
        <is>
          <t>34 GU 945</t>
        </is>
      </c>
      <c r="E1002" s="115" t="inlineStr">
        <is>
          <t>ÖNER DÜNDAR</t>
        </is>
      </c>
      <c r="F1002" s="65" t="n">
        <v>473821</v>
      </c>
      <c r="G1002" s="152" t="n"/>
      <c r="H1002" s="152" t="n">
        <v>48</v>
      </c>
      <c r="I1002" s="156">
        <f>+I1001+(G1002-H1002)</f>
        <v/>
      </c>
      <c r="J1002" s="90" t="n">
        <v>56.55</v>
      </c>
      <c r="K1002" s="166" t="n"/>
      <c r="L1002" s="158">
        <f>+H1002*J1002</f>
        <v/>
      </c>
      <c r="M1002" s="159">
        <f>SUM(M1001+K1002-L1002)</f>
        <v/>
      </c>
    </row>
    <row r="1003">
      <c r="A1003" s="151" t="n">
        <v>46098</v>
      </c>
      <c r="B1003" s="70" t="n">
        <v>1396</v>
      </c>
      <c r="C1003" s="115" t="inlineStr">
        <is>
          <t>AZGÜN YAPI</t>
        </is>
      </c>
      <c r="D1003" s="115" t="inlineStr">
        <is>
          <t>34 MKT 859</t>
        </is>
      </c>
      <c r="E1003" s="115" t="inlineStr">
        <is>
          <t>İRFAN DAĞLAR</t>
        </is>
      </c>
      <c r="F1003" s="65" t="n"/>
      <c r="G1003" s="152" t="n"/>
      <c r="H1003" s="152" t="n">
        <v>340</v>
      </c>
      <c r="I1003" s="156">
        <f>+I1002+(G1003-H1003)</f>
        <v/>
      </c>
      <c r="J1003" s="90" t="n">
        <v>56.55</v>
      </c>
      <c r="K1003" s="166" t="n"/>
      <c r="L1003" s="158">
        <f>+H1003*J1003</f>
        <v/>
      </c>
      <c r="M1003" s="159">
        <f>SUM(M1002+K1003-L1003)</f>
        <v/>
      </c>
    </row>
    <row r="1004">
      <c r="A1004" s="151" t="n">
        <v>46098</v>
      </c>
      <c r="B1004" s="70" t="n">
        <v>1502</v>
      </c>
      <c r="C1004" s="115" t="inlineStr">
        <is>
          <t>EVKUR</t>
        </is>
      </c>
      <c r="D1004" s="115" t="inlineStr">
        <is>
          <t>KİRALIK KATO</t>
        </is>
      </c>
      <c r="E1004" s="115" t="inlineStr">
        <is>
          <t>GÜNEŞ</t>
        </is>
      </c>
      <c r="F1004" s="65" t="n"/>
      <c r="G1004" s="152" t="n"/>
      <c r="H1004" s="152" t="n">
        <v>76</v>
      </c>
      <c r="I1004" s="156">
        <f>+I1003+(G1004-H1004)</f>
        <v/>
      </c>
      <c r="J1004" s="90" t="n">
        <v>56.55</v>
      </c>
      <c r="K1004" s="166" t="n"/>
      <c r="L1004" s="158">
        <f>+H1004*J1004</f>
        <v/>
      </c>
      <c r="M1004" s="159">
        <f>SUM(M1003+K1004-L1004)</f>
        <v/>
      </c>
    </row>
    <row r="1005">
      <c r="A1005" s="151" t="n">
        <v>46098</v>
      </c>
      <c r="B1005" s="70" t="n">
        <v>1503</v>
      </c>
      <c r="C1005" s="115" t="inlineStr">
        <is>
          <t>EVKUR</t>
        </is>
      </c>
      <c r="D1005" s="115" t="inlineStr">
        <is>
          <t>JENERATÖR</t>
        </is>
      </c>
      <c r="E1005" s="115" t="n"/>
      <c r="F1005" s="65" t="n"/>
      <c r="G1005" s="152" t="n"/>
      <c r="H1005" s="152" t="n">
        <v>164</v>
      </c>
      <c r="I1005" s="156">
        <f>+I1004+(G1005-H1005)</f>
        <v/>
      </c>
      <c r="J1005" s="90" t="n">
        <v>56.55</v>
      </c>
      <c r="K1005" s="166" t="n"/>
      <c r="L1005" s="158">
        <f>+H1005*J1005</f>
        <v/>
      </c>
      <c r="M1005" s="159">
        <f>SUM(M1004+K1005-L1005)</f>
        <v/>
      </c>
    </row>
    <row r="1006">
      <c r="A1006" s="151" t="n">
        <v>46098</v>
      </c>
      <c r="B1006" s="70" t="n">
        <v>1504</v>
      </c>
      <c r="C1006" s="115" t="inlineStr">
        <is>
          <t>VARLIK</t>
        </is>
      </c>
      <c r="D1006" s="115" t="inlineStr">
        <is>
          <t>HİTACHİ</t>
        </is>
      </c>
      <c r="E1006" s="115" t="inlineStr">
        <is>
          <t>TURGUT</t>
        </is>
      </c>
      <c r="F1006" s="65" t="n"/>
      <c r="G1006" s="152" t="n"/>
      <c r="H1006" s="152" t="n">
        <v>503</v>
      </c>
      <c r="I1006" s="156">
        <f>+I1005+(G1006-H1006)</f>
        <v/>
      </c>
      <c r="J1006" s="90" t="n">
        <v>56.55</v>
      </c>
      <c r="K1006" s="166" t="n"/>
      <c r="L1006" s="158">
        <f>+H1006*J1006</f>
        <v/>
      </c>
      <c r="M1006" s="159">
        <f>SUM(M1005+K1006-L1006)</f>
        <v/>
      </c>
    </row>
    <row r="1007">
      <c r="A1007" s="151" t="n">
        <v>46098</v>
      </c>
      <c r="B1007" s="70" t="n">
        <v>1505</v>
      </c>
      <c r="C1007" s="115" t="inlineStr">
        <is>
          <t>MEGA</t>
        </is>
      </c>
      <c r="D1007" s="115" t="inlineStr">
        <is>
          <t>SM350</t>
        </is>
      </c>
      <c r="E1007" s="115" t="inlineStr">
        <is>
          <t>MİKAİL</t>
        </is>
      </c>
      <c r="F1007" s="65" t="n"/>
      <c r="G1007" s="152" t="n"/>
      <c r="H1007" s="152" t="n">
        <v>367</v>
      </c>
      <c r="I1007" s="156">
        <f>+I1006+(G1007-H1007)</f>
        <v/>
      </c>
      <c r="J1007" s="90" t="n">
        <v>56.55</v>
      </c>
      <c r="K1007" s="166" t="n"/>
      <c r="L1007" s="158">
        <f>+H1007*J1007</f>
        <v/>
      </c>
      <c r="M1007" s="159">
        <f>SUM(M1006+K1007-L1007)</f>
        <v/>
      </c>
    </row>
    <row r="1008">
      <c r="A1008" s="151" t="n">
        <v>46098</v>
      </c>
      <c r="B1008" s="70" t="n">
        <v>1506</v>
      </c>
      <c r="C1008" s="115" t="inlineStr">
        <is>
          <t>MEGA</t>
        </is>
      </c>
      <c r="D1008" s="115" t="inlineStr">
        <is>
          <t>KAWAZAKİ</t>
        </is>
      </c>
      <c r="E1008" s="115" t="inlineStr">
        <is>
          <t>RAMAZAN</t>
        </is>
      </c>
      <c r="F1008" s="65" t="n"/>
      <c r="G1008" s="152" t="n"/>
      <c r="H1008" s="152" t="n">
        <v>219</v>
      </c>
      <c r="I1008" s="156">
        <f>+I1007+(G1008-H1008)</f>
        <v/>
      </c>
      <c r="J1008" s="90" t="n">
        <v>56.55</v>
      </c>
      <c r="K1008" s="166" t="n"/>
      <c r="L1008" s="158">
        <f>+H1008*J1008</f>
        <v/>
      </c>
      <c r="M1008" s="159">
        <f>SUM(M1007+K1008-L1008)</f>
        <v/>
      </c>
    </row>
    <row r="1009">
      <c r="A1009" s="151" t="n">
        <v>46098</v>
      </c>
      <c r="B1009" s="70" t="n">
        <v>627</v>
      </c>
      <c r="C1009" s="115" t="inlineStr">
        <is>
          <t>AHMET SELİM TEMHA</t>
        </is>
      </c>
      <c r="D1009" s="115" t="inlineStr">
        <is>
          <t>34 PGT 251</t>
        </is>
      </c>
      <c r="E1009" s="115" t="inlineStr">
        <is>
          <t>ERSOY SIĞINMAZ</t>
        </is>
      </c>
      <c r="F1009" s="65" t="n"/>
      <c r="G1009" s="152" t="n"/>
      <c r="H1009" s="152" t="n">
        <v>45</v>
      </c>
      <c r="I1009" s="156">
        <f>+I1008+(G1009-H1009)</f>
        <v/>
      </c>
      <c r="J1009" s="90" t="n">
        <v>56.55</v>
      </c>
      <c r="K1009" s="166" t="n"/>
      <c r="L1009" s="158">
        <f>+H1009*J1009</f>
        <v/>
      </c>
      <c r="M1009" s="159">
        <f>SUM(M1008+K1009-L1009)</f>
        <v/>
      </c>
    </row>
    <row r="1010">
      <c r="A1010" s="151" t="n">
        <v>46098</v>
      </c>
      <c r="B1010" s="70" t="n">
        <v>4120</v>
      </c>
      <c r="C1010" s="115" t="inlineStr">
        <is>
          <t>SELİM İNŞAAT</t>
        </is>
      </c>
      <c r="D1010" s="115" t="inlineStr">
        <is>
          <t>34 EDB 659</t>
        </is>
      </c>
      <c r="E1010" s="115" t="inlineStr">
        <is>
          <t>YASİN ÇATAKLI</t>
        </is>
      </c>
      <c r="F1010" s="65" t="n">
        <v>393232</v>
      </c>
      <c r="G1010" s="152" t="n"/>
      <c r="H1010" s="152" t="n">
        <v>569</v>
      </c>
      <c r="I1010" s="156">
        <f>+I1009+(G1010-H1010)</f>
        <v/>
      </c>
      <c r="J1010" s="90" t="n">
        <v>56.55</v>
      </c>
      <c r="K1010" s="166" t="n"/>
      <c r="L1010" s="158">
        <f>+H1010*J1010</f>
        <v/>
      </c>
      <c r="M1010" s="159">
        <f>SUM(M1009+K1010-L1010)</f>
        <v/>
      </c>
    </row>
    <row r="1011">
      <c r="A1011" s="151" t="n">
        <v>46098</v>
      </c>
      <c r="B1011" s="70" t="n">
        <v>3229</v>
      </c>
      <c r="C1011" s="115" t="inlineStr">
        <is>
          <t>SELİM İNŞAAT</t>
        </is>
      </c>
      <c r="D1011" s="115" t="inlineStr">
        <is>
          <t>34 EGR 736</t>
        </is>
      </c>
      <c r="E1011" s="115" t="inlineStr">
        <is>
          <t>HAKAN ÇAVUŞOĞLU</t>
        </is>
      </c>
      <c r="F1011" s="65" t="n">
        <v>441961</v>
      </c>
      <c r="G1011" s="152" t="n"/>
      <c r="H1011" s="152" t="n">
        <v>381</v>
      </c>
      <c r="I1011" s="156">
        <f>+I1010+(G1011-H1011)</f>
        <v/>
      </c>
      <c r="J1011" s="90" t="n">
        <v>56.55</v>
      </c>
      <c r="K1011" s="166" t="n"/>
      <c r="L1011" s="158">
        <f>+H1011*J1011</f>
        <v/>
      </c>
      <c r="M1011" s="159">
        <f>SUM(M1010+K1011-L1011)</f>
        <v/>
      </c>
    </row>
    <row r="1012">
      <c r="A1012" s="151" t="n">
        <v>46098</v>
      </c>
      <c r="B1012" s="70" t="n">
        <v>3171</v>
      </c>
      <c r="C1012" s="115" t="inlineStr">
        <is>
          <t>SELİM İNŞAAT</t>
        </is>
      </c>
      <c r="D1012" s="115" t="inlineStr">
        <is>
          <t>34 DTV 599</t>
        </is>
      </c>
      <c r="E1012" s="115" t="inlineStr">
        <is>
          <t>HÜSEYİN DENİZ</t>
        </is>
      </c>
      <c r="F1012" s="65" t="n">
        <v>475216</v>
      </c>
      <c r="G1012" s="152" t="n"/>
      <c r="H1012" s="152" t="n">
        <v>437</v>
      </c>
      <c r="I1012" s="156">
        <f>+I1011+(G1012-H1012)</f>
        <v/>
      </c>
      <c r="J1012" s="90" t="n">
        <v>56.55</v>
      </c>
      <c r="K1012" s="166" t="n"/>
      <c r="L1012" s="158">
        <f>+H1012*J1012</f>
        <v/>
      </c>
      <c r="M1012" s="159">
        <f>SUM(M1011+K1012-L1012)</f>
        <v/>
      </c>
    </row>
    <row r="1013">
      <c r="A1013" s="151" t="n">
        <v>46098</v>
      </c>
      <c r="B1013" s="70" t="n">
        <v>856</v>
      </c>
      <c r="C1013" s="115" t="inlineStr">
        <is>
          <t>SELİM İNŞAAT</t>
        </is>
      </c>
      <c r="D1013" s="115" t="inlineStr">
        <is>
          <t>34 EGR 922</t>
        </is>
      </c>
      <c r="E1013" s="115" t="inlineStr">
        <is>
          <t>FARUK ÖZEN</t>
        </is>
      </c>
      <c r="F1013" s="65" t="n">
        <v>508000</v>
      </c>
      <c r="G1013" s="152" t="n"/>
      <c r="H1013" s="152" t="n">
        <v>569</v>
      </c>
      <c r="I1013" s="156">
        <f>+I1012+(G1013-H1013)</f>
        <v/>
      </c>
      <c r="J1013" s="90" t="n">
        <v>56.55</v>
      </c>
      <c r="K1013" s="166" t="n"/>
      <c r="L1013" s="158">
        <f>+H1013*J1013</f>
        <v/>
      </c>
      <c r="M1013" s="159">
        <f>SUM(M1012+K1013-L1013)</f>
        <v/>
      </c>
    </row>
    <row r="1014">
      <c r="A1014" s="151" t="n">
        <v>46098</v>
      </c>
      <c r="B1014" s="70" t="n">
        <v>3337</v>
      </c>
      <c r="C1014" s="115" t="inlineStr">
        <is>
          <t>SELİM İNŞAAT</t>
        </is>
      </c>
      <c r="D1014" s="115" t="inlineStr">
        <is>
          <t>34 GUS 938</t>
        </is>
      </c>
      <c r="E1014" s="115" t="inlineStr">
        <is>
          <t>MEHMET KAYA</t>
        </is>
      </c>
      <c r="F1014" s="65" t="n">
        <v>250936</v>
      </c>
      <c r="G1014" s="152" t="n"/>
      <c r="H1014" s="152" t="n">
        <v>287</v>
      </c>
      <c r="I1014" s="156">
        <f>+I1013+(G1014-H1014)</f>
        <v/>
      </c>
      <c r="J1014" s="90" t="n">
        <v>56.55</v>
      </c>
      <c r="K1014" s="166" t="n"/>
      <c r="L1014" s="158">
        <f>+H1014*J1014</f>
        <v/>
      </c>
      <c r="M1014" s="159">
        <f>SUM(M1013+K1014-L1014)</f>
        <v/>
      </c>
    </row>
    <row r="1015">
      <c r="A1015" s="151" t="n">
        <v>46098</v>
      </c>
      <c r="B1015" s="70" t="n">
        <v>4932</v>
      </c>
      <c r="C1015" s="115" t="inlineStr">
        <is>
          <t>SELİM İNŞAAT</t>
        </is>
      </c>
      <c r="D1015" s="115" t="inlineStr">
        <is>
          <t>34 FBR 742</t>
        </is>
      </c>
      <c r="E1015" s="115" t="inlineStr">
        <is>
          <t>ADNAN KOÇ</t>
        </is>
      </c>
      <c r="F1015" s="65" t="n">
        <v>369369</v>
      </c>
      <c r="G1015" s="152" t="n"/>
      <c r="H1015" s="152" t="n">
        <v>272</v>
      </c>
      <c r="I1015" s="156">
        <f>+I1014+(G1015-H1015)</f>
        <v/>
      </c>
      <c r="J1015" s="90" t="n">
        <v>56.55</v>
      </c>
      <c r="K1015" s="166" t="n"/>
      <c r="L1015" s="158">
        <f>+H1015*J1015</f>
        <v/>
      </c>
      <c r="M1015" s="159">
        <f>SUM(M1014+K1015-L1015)</f>
        <v/>
      </c>
    </row>
    <row r="1016">
      <c r="A1016" s="151" t="n">
        <v>46098</v>
      </c>
      <c r="B1016" s="70" t="n">
        <v>4519</v>
      </c>
      <c r="C1016" s="115" t="inlineStr">
        <is>
          <t>SELİM İNŞAAT</t>
        </is>
      </c>
      <c r="D1016" s="115" t="inlineStr">
        <is>
          <t>34 DTV 352</t>
        </is>
      </c>
      <c r="E1016" s="115" t="inlineStr">
        <is>
          <t>AZİZ ORUÇ</t>
        </is>
      </c>
      <c r="F1016" s="65" t="n">
        <v>479278</v>
      </c>
      <c r="G1016" s="152" t="n"/>
      <c r="H1016" s="152" t="n">
        <v>540</v>
      </c>
      <c r="I1016" s="156">
        <f>+I1015+(G1016-H1016)</f>
        <v/>
      </c>
      <c r="J1016" s="90" t="n">
        <v>56.55</v>
      </c>
      <c r="K1016" s="166" t="n"/>
      <c r="L1016" s="158">
        <f>+H1016*J1016</f>
        <v/>
      </c>
      <c r="M1016" s="159">
        <f>SUM(M1015+K1016-L1016)</f>
        <v/>
      </c>
    </row>
    <row r="1017">
      <c r="A1017" s="151" t="n">
        <v>46098</v>
      </c>
      <c r="B1017" s="70" t="n">
        <v>4979</v>
      </c>
      <c r="C1017" s="115" t="inlineStr">
        <is>
          <t>SELİM İNŞAAT</t>
        </is>
      </c>
      <c r="D1017" s="115" t="inlineStr">
        <is>
          <t>34 GVZ 745</t>
        </is>
      </c>
      <c r="E1017" s="115" t="inlineStr">
        <is>
          <t>MURAT DEMİRBAŞ</t>
        </is>
      </c>
      <c r="F1017" s="65" t="n">
        <v>251155</v>
      </c>
      <c r="G1017" s="152" t="n"/>
      <c r="H1017" s="152" t="n">
        <v>439</v>
      </c>
      <c r="I1017" s="156">
        <f>+I1016+(G1017-H1017)</f>
        <v/>
      </c>
      <c r="J1017" s="90" t="n">
        <v>56.55</v>
      </c>
      <c r="K1017" s="166" t="n"/>
      <c r="L1017" s="158">
        <f>+H1017*J1017</f>
        <v/>
      </c>
      <c r="M1017" s="159">
        <f>SUM(M1016+K1017-L1017)</f>
        <v/>
      </c>
    </row>
    <row r="1018">
      <c r="A1018" s="151" t="n">
        <v>46098</v>
      </c>
      <c r="B1018" s="70" t="n">
        <v>1347</v>
      </c>
      <c r="C1018" s="115" t="inlineStr">
        <is>
          <t>SELİM İNŞAAT</t>
        </is>
      </c>
      <c r="D1018" s="115" t="inlineStr">
        <is>
          <t>34 GVZ 199</t>
        </is>
      </c>
      <c r="E1018" s="115" t="inlineStr">
        <is>
          <t>HÜSEYİN DENİZ</t>
        </is>
      </c>
      <c r="F1018" s="65" t="n">
        <v>230069</v>
      </c>
      <c r="G1018" s="152" t="n"/>
      <c r="H1018" s="152" t="n">
        <v>321</v>
      </c>
      <c r="I1018" s="156">
        <f>+I1017+(G1018-H1018)</f>
        <v/>
      </c>
      <c r="J1018" s="90" t="n">
        <v>56.55</v>
      </c>
      <c r="K1018" s="166" t="n"/>
      <c r="L1018" s="158">
        <f>+H1018*J1018</f>
        <v/>
      </c>
      <c r="M1018" s="159">
        <f>SUM(M1017+K1018-L1018)</f>
        <v/>
      </c>
    </row>
    <row r="1019">
      <c r="A1019" s="151" t="n">
        <v>46098</v>
      </c>
      <c r="B1019" s="70" t="n">
        <v>4174</v>
      </c>
      <c r="C1019" s="115" t="inlineStr">
        <is>
          <t>SELİM İNŞAAT</t>
        </is>
      </c>
      <c r="D1019" s="115" t="inlineStr">
        <is>
          <t>34 FBR 748</t>
        </is>
      </c>
      <c r="E1019" s="115" t="inlineStr">
        <is>
          <t>YAŞAR ÖZKAYA</t>
        </is>
      </c>
      <c r="F1019" s="65" t="n">
        <v>327382</v>
      </c>
      <c r="G1019" s="152" t="n"/>
      <c r="H1019" s="152" t="n">
        <v>542</v>
      </c>
      <c r="I1019" s="156">
        <f>+I1018+(G1019-H1019)</f>
        <v/>
      </c>
      <c r="J1019" s="90" t="n">
        <v>56.55</v>
      </c>
      <c r="K1019" s="166" t="n"/>
      <c r="L1019" s="158">
        <f>+H1019*J1019</f>
        <v/>
      </c>
      <c r="M1019" s="159">
        <f>SUM(M1018+K1019-L1019)</f>
        <v/>
      </c>
    </row>
    <row r="1020">
      <c r="A1020" s="151" t="n">
        <v>46098</v>
      </c>
      <c r="B1020" s="70" t="n">
        <v>19</v>
      </c>
      <c r="C1020" s="115" t="inlineStr">
        <is>
          <t>SELİM İNŞAAT</t>
        </is>
      </c>
      <c r="D1020" s="115" t="inlineStr">
        <is>
          <t>34 GVZ 268</t>
        </is>
      </c>
      <c r="E1020" s="115" t="inlineStr">
        <is>
          <t>KERİM KARAMAN</t>
        </is>
      </c>
      <c r="F1020" s="65" t="n">
        <v>255107</v>
      </c>
      <c r="G1020" s="152" t="n"/>
      <c r="H1020" s="152" t="n">
        <v>280</v>
      </c>
      <c r="I1020" s="156">
        <f>+I1019+(G1020-H1020)</f>
        <v/>
      </c>
      <c r="J1020" s="90" t="n">
        <v>56.55</v>
      </c>
      <c r="K1020" s="166" t="n"/>
      <c r="L1020" s="158">
        <f>+H1020*J1020</f>
        <v/>
      </c>
      <c r="M1020" s="159">
        <f>SUM(M1019+K1020-L1020)</f>
        <v/>
      </c>
    </row>
    <row r="1021">
      <c r="A1021" s="151" t="n">
        <v>46098</v>
      </c>
      <c r="B1021" s="70" t="n">
        <v>2595</v>
      </c>
      <c r="C1021" s="115" t="inlineStr">
        <is>
          <t>SELİM İNŞAAT</t>
        </is>
      </c>
      <c r="D1021" s="115" t="inlineStr">
        <is>
          <t>34 GER 028</t>
        </is>
      </c>
      <c r="E1021" s="115" t="inlineStr">
        <is>
          <t>ABDÜLKERİM</t>
        </is>
      </c>
      <c r="F1021" s="65" t="n">
        <v>61318</v>
      </c>
      <c r="G1021" s="152" t="n"/>
      <c r="H1021" s="152" t="n">
        <v>394</v>
      </c>
      <c r="I1021" s="156">
        <f>+I1020+(G1021-H1021)</f>
        <v/>
      </c>
      <c r="J1021" s="90" t="n">
        <v>56.55</v>
      </c>
      <c r="K1021" s="166" t="n"/>
      <c r="L1021" s="158">
        <f>+H1021*J1021</f>
        <v/>
      </c>
      <c r="M1021" s="159">
        <f>SUM(M1020+K1021-L1021)</f>
        <v/>
      </c>
    </row>
    <row r="1022">
      <c r="A1022" s="151" t="n">
        <v>46098</v>
      </c>
      <c r="B1022" s="70" t="n">
        <v>3734</v>
      </c>
      <c r="C1022" s="115" t="inlineStr">
        <is>
          <t>SELİM İNŞAAT</t>
        </is>
      </c>
      <c r="D1022" s="115" t="inlineStr">
        <is>
          <t>34 DKL 866</t>
        </is>
      </c>
      <c r="E1022" s="115" t="inlineStr">
        <is>
          <t>SELİMCAN ÖNVER</t>
        </is>
      </c>
      <c r="F1022" s="65" t="n">
        <v>83369</v>
      </c>
      <c r="G1022" s="152" t="n"/>
      <c r="H1022" s="152" t="n">
        <v>262</v>
      </c>
      <c r="I1022" s="156">
        <f>+I1021+(G1022-H1022)</f>
        <v/>
      </c>
      <c r="J1022" s="90" t="n">
        <v>56.55</v>
      </c>
      <c r="K1022" s="166" t="n"/>
      <c r="L1022" s="158">
        <f>+H1022*J1022</f>
        <v/>
      </c>
      <c r="M1022" s="159">
        <f>SUM(M1021+K1022-L1022)</f>
        <v/>
      </c>
    </row>
    <row r="1023">
      <c r="A1023" s="151" t="n">
        <v>46098</v>
      </c>
      <c r="B1023" s="70" t="n">
        <v>2392</v>
      </c>
      <c r="C1023" s="115" t="inlineStr">
        <is>
          <t>SELİM İNŞAAT</t>
        </is>
      </c>
      <c r="D1023" s="115" t="inlineStr">
        <is>
          <t>34 FEM 934</t>
        </is>
      </c>
      <c r="E1023" s="115" t="inlineStr">
        <is>
          <t>DURSUN ALİ GÜREK</t>
        </is>
      </c>
      <c r="F1023" s="65" t="n">
        <v>334323</v>
      </c>
      <c r="G1023" s="152" t="n"/>
      <c r="H1023" s="152" t="n">
        <v>37</v>
      </c>
      <c r="I1023" s="156">
        <f>+I1022+(G1023-H1023)</f>
        <v/>
      </c>
      <c r="J1023" s="90" t="n">
        <v>56.55</v>
      </c>
      <c r="K1023" s="166" t="n"/>
      <c r="L1023" s="158">
        <f>+H1023*J1023</f>
        <v/>
      </c>
      <c r="M1023" s="159">
        <f>SUM(M1022+K1023-L1023)</f>
        <v/>
      </c>
    </row>
    <row r="1024">
      <c r="A1024" s="151" t="n">
        <v>46099</v>
      </c>
      <c r="B1024" s="70" t="n">
        <v>3292</v>
      </c>
      <c r="C1024" s="115" t="inlineStr">
        <is>
          <t>AZGÜN YAPI</t>
        </is>
      </c>
      <c r="D1024" s="115" t="inlineStr">
        <is>
          <t xml:space="preserve">34 DTV 263 </t>
        </is>
      </c>
      <c r="E1024" s="115" t="inlineStr">
        <is>
          <t>DURSUN ALİ GÜREK</t>
        </is>
      </c>
      <c r="F1024" s="65" t="n"/>
      <c r="G1024" s="152" t="n"/>
      <c r="H1024" s="152" t="n">
        <v>428</v>
      </c>
      <c r="I1024" s="156">
        <f>+I1023+(G1024-H1024)</f>
        <v/>
      </c>
      <c r="J1024" s="90" t="n">
        <v>56.55</v>
      </c>
      <c r="K1024" s="166" t="n"/>
      <c r="L1024" s="158">
        <f>+H1024*J1024</f>
        <v/>
      </c>
      <c r="M1024" s="159">
        <f>SUM(M1023+K1024-L1024)</f>
        <v/>
      </c>
    </row>
    <row r="1025">
      <c r="A1025" s="151" t="n">
        <v>46099</v>
      </c>
      <c r="B1025" s="70" t="n">
        <v>817</v>
      </c>
      <c r="C1025" s="115" t="inlineStr">
        <is>
          <t>METİN ERYİĞİT</t>
        </is>
      </c>
      <c r="D1025" s="115" t="inlineStr">
        <is>
          <t>34 GBL 998</t>
        </is>
      </c>
      <c r="E1025" s="115" t="inlineStr">
        <is>
          <t>ALİ KESKİN</t>
        </is>
      </c>
      <c r="F1025" s="65" t="n">
        <v>351154</v>
      </c>
      <c r="G1025" s="152" t="n"/>
      <c r="H1025" s="152" t="n">
        <v>80</v>
      </c>
      <c r="I1025" s="156">
        <f>+I1024+(G1025-H1025)</f>
        <v/>
      </c>
      <c r="J1025" s="90" t="n">
        <v>56.55</v>
      </c>
      <c r="K1025" s="166" t="n"/>
      <c r="L1025" s="158">
        <f>+H1025*J1025</f>
        <v/>
      </c>
      <c r="M1025" s="159">
        <f>SUM(M1024+K1025-L1025)</f>
        <v/>
      </c>
    </row>
    <row r="1026">
      <c r="A1026" s="151" t="n">
        <v>46099</v>
      </c>
      <c r="B1026" s="70" t="n">
        <v>1507</v>
      </c>
      <c r="C1026" s="115" t="inlineStr">
        <is>
          <t>KOZMO</t>
        </is>
      </c>
      <c r="D1026" s="115" t="inlineStr">
        <is>
          <t>SM350</t>
        </is>
      </c>
      <c r="E1026" s="115" t="inlineStr">
        <is>
          <t>BEKİR</t>
        </is>
      </c>
      <c r="F1026" s="65" t="n"/>
      <c r="G1026" s="152" t="n"/>
      <c r="H1026" s="152" t="n">
        <v>250</v>
      </c>
      <c r="I1026" s="156">
        <f>+I1025+(G1026-H1026)</f>
        <v/>
      </c>
      <c r="J1026" s="90" t="n">
        <v>56.55</v>
      </c>
      <c r="K1026" s="166" t="n"/>
      <c r="L1026" s="158">
        <f>+H1026*J1026</f>
        <v/>
      </c>
      <c r="M1026" s="159">
        <f>SUM(M1025+K1026-L1026)</f>
        <v/>
      </c>
    </row>
    <row r="1027">
      <c r="A1027" s="151" t="n">
        <v>46099</v>
      </c>
      <c r="B1027" s="70" t="n">
        <v>1508</v>
      </c>
      <c r="C1027" s="115" t="inlineStr">
        <is>
          <t>MEGA</t>
        </is>
      </c>
      <c r="D1027" s="115" t="inlineStr">
        <is>
          <t>SM350</t>
        </is>
      </c>
      <c r="E1027" s="115" t="inlineStr">
        <is>
          <t>TEVFİK</t>
        </is>
      </c>
      <c r="F1027" s="65" t="n"/>
      <c r="G1027" s="152" t="n"/>
      <c r="H1027" s="152" t="n">
        <v>367</v>
      </c>
      <c r="I1027" s="156">
        <f>+I1026+(G1027-H1027)</f>
        <v/>
      </c>
      <c r="J1027" s="90" t="n">
        <v>56.55</v>
      </c>
      <c r="K1027" s="166" t="n"/>
      <c r="L1027" s="158">
        <f>+H1027*J1027</f>
        <v/>
      </c>
      <c r="M1027" s="159">
        <f>SUM(M1026+K1027-L1027)</f>
        <v/>
      </c>
    </row>
    <row r="1028">
      <c r="A1028" s="151" t="n">
        <v>46099</v>
      </c>
      <c r="B1028" s="70" t="n">
        <v>1509</v>
      </c>
      <c r="C1028" s="115" t="inlineStr">
        <is>
          <t>MEGA</t>
        </is>
      </c>
      <c r="D1028" s="115" t="inlineStr">
        <is>
          <t>KAWAZAKİ</t>
        </is>
      </c>
      <c r="E1028" s="115" t="inlineStr">
        <is>
          <t>RAMAZAN</t>
        </is>
      </c>
      <c r="F1028" s="65" t="n"/>
      <c r="G1028" s="152" t="n"/>
      <c r="H1028" s="152" t="n">
        <v>192</v>
      </c>
      <c r="I1028" s="156">
        <f>+I1027+(G1028-H1028)</f>
        <v/>
      </c>
      <c r="J1028" s="90" t="n">
        <v>56.55</v>
      </c>
      <c r="K1028" s="166" t="n"/>
      <c r="L1028" s="158">
        <f>+H1028*J1028</f>
        <v/>
      </c>
      <c r="M1028" s="159">
        <f>SUM(M1027+K1028-L1028)</f>
        <v/>
      </c>
    </row>
    <row r="1029">
      <c r="A1029" s="151" t="n">
        <v>46099</v>
      </c>
      <c r="B1029" s="70" t="n">
        <v>628</v>
      </c>
      <c r="C1029" s="115" t="inlineStr">
        <is>
          <t>SELİM İNŞAAT</t>
        </is>
      </c>
      <c r="D1029" s="115" t="inlineStr">
        <is>
          <t>34 FVU 827</t>
        </is>
      </c>
      <c r="E1029" s="115" t="inlineStr">
        <is>
          <t>YILMAZ ÇELEBİ</t>
        </is>
      </c>
      <c r="F1029" s="65" t="n"/>
      <c r="G1029" s="65" t="n"/>
      <c r="H1029" s="65" t="n">
        <v>47</v>
      </c>
      <c r="I1029" s="156">
        <f>+I1028+(G1029-H1029)</f>
        <v/>
      </c>
      <c r="J1029" s="90" t="n">
        <v>56.55</v>
      </c>
      <c r="K1029" s="166" t="n"/>
      <c r="L1029" s="158">
        <f>+H1029*J1029</f>
        <v/>
      </c>
      <c r="M1029" s="159">
        <f>SUM(M1028+K1029-L1029)</f>
        <v/>
      </c>
    </row>
    <row r="1030">
      <c r="A1030" s="151" t="n">
        <v>46099</v>
      </c>
      <c r="B1030" s="70" t="n">
        <v>3230</v>
      </c>
      <c r="C1030" s="115" t="inlineStr">
        <is>
          <t>SELİM İNŞAAT</t>
        </is>
      </c>
      <c r="D1030" s="115" t="inlineStr">
        <is>
          <t>34 EGR 736</t>
        </is>
      </c>
      <c r="E1030" s="115" t="inlineStr">
        <is>
          <t>HAKAN ÇAVUŞOĞLU</t>
        </is>
      </c>
      <c r="F1030" s="65" t="n">
        <v>442546</v>
      </c>
      <c r="G1030" s="152" t="n"/>
      <c r="H1030" s="152" t="n">
        <v>429</v>
      </c>
      <c r="I1030" s="156">
        <f>+I1029+(G1030-H1030)</f>
        <v/>
      </c>
      <c r="J1030" s="90" t="n">
        <v>56.55</v>
      </c>
      <c r="K1030" s="166" t="n"/>
      <c r="L1030" s="158">
        <f>+H1030*J1030</f>
        <v/>
      </c>
      <c r="M1030" s="159">
        <f>SUM(M1029+K1030-L1030)</f>
        <v/>
      </c>
    </row>
    <row r="1031">
      <c r="A1031" s="151" t="n">
        <v>46099</v>
      </c>
      <c r="B1031" s="70" t="n">
        <v>4772</v>
      </c>
      <c r="C1031" s="115" t="inlineStr">
        <is>
          <t>SELİM İNŞAAT</t>
        </is>
      </c>
      <c r="D1031" s="115" t="inlineStr">
        <is>
          <t>34 DGP 137</t>
        </is>
      </c>
      <c r="E1031" s="115" t="inlineStr">
        <is>
          <t>MUSTAFA KAYA</t>
        </is>
      </c>
      <c r="F1031" s="65" t="n">
        <v>477771</v>
      </c>
      <c r="G1031" s="152" t="n"/>
      <c r="H1031" s="152" t="n">
        <v>300</v>
      </c>
      <c r="I1031" s="156">
        <f>+I1030+(G1031-H1031)</f>
        <v/>
      </c>
      <c r="J1031" s="90" t="n">
        <v>56.55</v>
      </c>
      <c r="K1031" s="166" t="n"/>
      <c r="L1031" s="158">
        <f>+H1031*J1031</f>
        <v/>
      </c>
      <c r="M1031" s="159">
        <f>SUM(M1030+K1031-L1031)</f>
        <v/>
      </c>
    </row>
    <row r="1032">
      <c r="A1032" s="151" t="n">
        <v>46099</v>
      </c>
      <c r="B1032" s="70" t="n">
        <v>3837</v>
      </c>
      <c r="C1032" s="115" t="inlineStr">
        <is>
          <t>SELİM İNŞAAT</t>
        </is>
      </c>
      <c r="D1032" s="115" t="inlineStr">
        <is>
          <t>34 GYZ 635</t>
        </is>
      </c>
      <c r="E1032" s="115" t="inlineStr">
        <is>
          <t>ADEM DENİZ</t>
        </is>
      </c>
      <c r="F1032" s="65" t="n">
        <v>231048</v>
      </c>
      <c r="G1032" s="152" t="n"/>
      <c r="H1032" s="152" t="n">
        <v>436</v>
      </c>
      <c r="I1032" s="156">
        <f>+I1031+(G1032-H1032)</f>
        <v/>
      </c>
      <c r="J1032" s="90" t="n">
        <v>56.55</v>
      </c>
      <c r="K1032" s="166" t="n"/>
      <c r="L1032" s="158">
        <f>+H1032*J1032</f>
        <v/>
      </c>
      <c r="M1032" s="159">
        <f>SUM(M1031+K1032-L1032)</f>
        <v/>
      </c>
    </row>
    <row r="1033">
      <c r="A1033" s="151" t="n">
        <v>46099</v>
      </c>
      <c r="B1033" s="70" t="n">
        <v>4520</v>
      </c>
      <c r="C1033" s="115" t="inlineStr">
        <is>
          <t>SELİM İNŞAAT</t>
        </is>
      </c>
      <c r="D1033" s="115" t="inlineStr">
        <is>
          <t>34 DTV 352</t>
        </is>
      </c>
      <c r="E1033" s="115" t="inlineStr">
        <is>
          <t>AZİZ ORUÇ</t>
        </is>
      </c>
      <c r="F1033" s="65" t="n">
        <v>479736</v>
      </c>
      <c r="G1033" s="152" t="n"/>
      <c r="H1033" s="152" t="n">
        <v>349</v>
      </c>
      <c r="I1033" s="156">
        <f>+I1032+(G1033-H1033)</f>
        <v/>
      </c>
      <c r="J1033" s="90" t="n">
        <v>56.55</v>
      </c>
      <c r="K1033" s="166" t="n"/>
      <c r="L1033" s="158">
        <f>+H1033*J1033</f>
        <v/>
      </c>
      <c r="M1033" s="159">
        <f>SUM(M1032+K1033-L1033)</f>
        <v/>
      </c>
    </row>
    <row r="1034">
      <c r="A1034" s="151" t="n">
        <v>46099</v>
      </c>
      <c r="B1034" s="70" t="n">
        <v>4980</v>
      </c>
      <c r="C1034" s="115" t="inlineStr">
        <is>
          <t>SELİM İNŞAAT</t>
        </is>
      </c>
      <c r="D1034" s="115" t="inlineStr">
        <is>
          <t>34 GVZ 745</t>
        </is>
      </c>
      <c r="E1034" s="115" t="inlineStr">
        <is>
          <t>MURAT DEMİRBAŞ</t>
        </is>
      </c>
      <c r="F1034" s="65" t="n">
        <v>251855</v>
      </c>
      <c r="G1034" s="152" t="n"/>
      <c r="H1034" s="152" t="n">
        <v>435</v>
      </c>
      <c r="I1034" s="156">
        <f>+I1033+(G1034-H1034)</f>
        <v/>
      </c>
      <c r="J1034" s="90" t="n">
        <v>56.55</v>
      </c>
      <c r="K1034" s="166" t="n"/>
      <c r="L1034" s="158">
        <f>+H1034*J1034</f>
        <v/>
      </c>
      <c r="M1034" s="159">
        <f>SUM(M1033+K1034-L1034)</f>
        <v/>
      </c>
    </row>
    <row r="1035">
      <c r="A1035" s="151" t="n">
        <v>46099</v>
      </c>
      <c r="B1035" s="70" t="n">
        <v>2350</v>
      </c>
      <c r="C1035" s="115" t="inlineStr">
        <is>
          <t>SELİM İNŞAAT</t>
        </is>
      </c>
      <c r="D1035" s="115" t="inlineStr">
        <is>
          <t>34 DP 4161</t>
        </is>
      </c>
      <c r="E1035" s="115" t="inlineStr">
        <is>
          <t>RIFAT KARATAY</t>
        </is>
      </c>
      <c r="F1035" s="65" t="n">
        <v>321770</v>
      </c>
      <c r="G1035" s="152" t="n"/>
      <c r="H1035" s="152" t="n">
        <v>201</v>
      </c>
      <c r="I1035" s="156">
        <f>+I1034+(G1035-H1035)</f>
        <v/>
      </c>
      <c r="J1035" s="90" t="n">
        <v>56.55</v>
      </c>
      <c r="K1035" s="166" t="n"/>
      <c r="L1035" s="158">
        <f>+H1035*J1035</f>
        <v/>
      </c>
      <c r="M1035" s="159">
        <f>SUM(M1034+K1035-L1035)</f>
        <v/>
      </c>
    </row>
    <row r="1036">
      <c r="A1036" s="151" t="n">
        <v>46099</v>
      </c>
      <c r="B1036" s="70" t="n">
        <v>655</v>
      </c>
      <c r="C1036" s="115" t="inlineStr">
        <is>
          <t>SELİM İNŞAAT</t>
        </is>
      </c>
      <c r="D1036" s="115" t="inlineStr">
        <is>
          <t>34 GU 945</t>
        </is>
      </c>
      <c r="E1036" s="115" t="inlineStr">
        <is>
          <t>ÖNER DÜNDAR</t>
        </is>
      </c>
      <c r="F1036" s="65" t="n">
        <v>474057</v>
      </c>
      <c r="G1036" s="152" t="n"/>
      <c r="H1036" s="152" t="n">
        <v>38</v>
      </c>
      <c r="I1036" s="156">
        <f>+I1035+(G1036-H1036)</f>
        <v/>
      </c>
      <c r="J1036" s="90" t="n">
        <v>56.55</v>
      </c>
      <c r="K1036" s="166" t="n"/>
      <c r="L1036" s="158">
        <f>+H1036*J1036</f>
        <v/>
      </c>
      <c r="M1036" s="159">
        <f>SUM(M1035+K1036-L1036)</f>
        <v/>
      </c>
    </row>
    <row r="1037">
      <c r="A1037" s="151" t="n">
        <v>46099</v>
      </c>
      <c r="B1037" s="70" t="n">
        <v>551</v>
      </c>
      <c r="C1037" s="115" t="inlineStr">
        <is>
          <t>SELİM İNŞAAT</t>
        </is>
      </c>
      <c r="D1037" s="115" t="inlineStr">
        <is>
          <t>34 JGR 15</t>
        </is>
      </c>
      <c r="E1037" s="115" t="inlineStr">
        <is>
          <t>ÖNER DÜNDAR</t>
        </is>
      </c>
      <c r="F1037" s="65" t="n">
        <v>331820</v>
      </c>
      <c r="G1037" s="152" t="n"/>
      <c r="H1037" s="152" t="n">
        <v>67</v>
      </c>
      <c r="I1037" s="156">
        <f>+I1036+(G1037-H1037)</f>
        <v/>
      </c>
      <c r="J1037" s="90" t="n">
        <v>56.55</v>
      </c>
      <c r="K1037" s="166" t="n"/>
      <c r="L1037" s="158">
        <f>+H1037*J1037</f>
        <v/>
      </c>
      <c r="M1037" s="159">
        <f>SUM(M1036+K1037-L1037)</f>
        <v/>
      </c>
    </row>
    <row r="1038">
      <c r="A1038" s="151" t="n">
        <v>46099</v>
      </c>
      <c r="B1038" s="70" t="n">
        <v>1634</v>
      </c>
      <c r="C1038" s="115" t="inlineStr">
        <is>
          <t>SELİM İNŞAAT</t>
        </is>
      </c>
      <c r="D1038" s="115" t="inlineStr">
        <is>
          <t>34 VF 2620</t>
        </is>
      </c>
      <c r="E1038" s="115" t="inlineStr">
        <is>
          <t>RECEP SELİM</t>
        </is>
      </c>
      <c r="F1038" s="65" t="n">
        <v>203239</v>
      </c>
      <c r="G1038" s="152" t="n"/>
      <c r="H1038" s="152" t="n">
        <v>58</v>
      </c>
      <c r="I1038" s="156">
        <f>+I1037+(G1038-H1038)</f>
        <v/>
      </c>
      <c r="J1038" s="90" t="n">
        <v>56.55</v>
      </c>
      <c r="K1038" s="166" t="n"/>
      <c r="L1038" s="158">
        <f>+H1038*J1038</f>
        <v/>
      </c>
      <c r="M1038" s="159">
        <f>SUM(M1037+K1038-L1038)</f>
        <v/>
      </c>
    </row>
    <row r="1039">
      <c r="A1039" s="151" t="n">
        <v>46101</v>
      </c>
      <c r="B1039" s="70" t="n">
        <v>759</v>
      </c>
      <c r="C1039" s="115" t="inlineStr">
        <is>
          <t>METİN ERYİĞİT</t>
        </is>
      </c>
      <c r="D1039" s="115" t="inlineStr">
        <is>
          <t>34 EGR 814</t>
        </is>
      </c>
      <c r="E1039" s="115" t="inlineStr">
        <is>
          <t>ZİYA İNCE</t>
        </is>
      </c>
      <c r="F1039" s="65" t="n">
        <v>611925</v>
      </c>
      <c r="G1039" s="152" t="n"/>
      <c r="H1039" s="152" t="n">
        <v>375</v>
      </c>
      <c r="I1039" s="156">
        <f>+I1038+(G1039-H1039)</f>
        <v/>
      </c>
      <c r="J1039" s="90" t="n">
        <v>56.55</v>
      </c>
      <c r="K1039" s="166" t="n"/>
      <c r="L1039" s="158">
        <f>+H1039*J1039</f>
        <v/>
      </c>
      <c r="M1039" s="159">
        <f>SUM(M1038+K1039-L1039)</f>
        <v/>
      </c>
    </row>
    <row r="1040">
      <c r="A1040" s="151" t="n">
        <v>46101</v>
      </c>
      <c r="B1040" s="70" t="n">
        <v>2393</v>
      </c>
      <c r="C1040" s="115" t="inlineStr">
        <is>
          <t>SELİM İNŞAAT</t>
        </is>
      </c>
      <c r="D1040" s="115" t="inlineStr">
        <is>
          <t>34 FEM 934</t>
        </is>
      </c>
      <c r="E1040" s="115" t="inlineStr">
        <is>
          <t>DURSUN ALİ GÜREK</t>
        </is>
      </c>
      <c r="F1040" s="65" t="n">
        <v>334635</v>
      </c>
      <c r="G1040" s="152" t="n"/>
      <c r="H1040" s="152" t="n">
        <v>63</v>
      </c>
      <c r="I1040" s="156">
        <f>+I1039+(G1040-H1040)</f>
        <v/>
      </c>
      <c r="J1040" s="90" t="n">
        <v>56.55</v>
      </c>
      <c r="K1040" s="166" t="n"/>
      <c r="L1040" s="158">
        <f>+H1040*J1040</f>
        <v/>
      </c>
      <c r="M1040" s="159">
        <f>SUM(M1039+K1040-L1040)</f>
        <v/>
      </c>
    </row>
    <row r="1041">
      <c r="A1041" s="167" t="n">
        <v>46104</v>
      </c>
      <c r="B1041" s="83" t="n">
        <v>553</v>
      </c>
      <c r="C1041" s="84" t="inlineStr">
        <is>
          <t>ÜNSOY TURİZM İNŞ.SAN.VE TİC.A.Ş.</t>
        </is>
      </c>
      <c r="D1041" s="84" t="n"/>
      <c r="E1041" s="84" t="n"/>
      <c r="F1041" s="85" t="n"/>
      <c r="G1041" s="168" t="n">
        <v>8043</v>
      </c>
      <c r="H1041" s="168" t="n"/>
      <c r="I1041" s="168">
        <f>+I1040+(G1041-H1041)</f>
        <v/>
      </c>
      <c r="J1041" s="87">
        <f>+K1041/G1041</f>
        <v/>
      </c>
      <c r="K1041" s="169" t="n">
        <v>514752</v>
      </c>
      <c r="L1041" s="170">
        <f>+H1041*J1041</f>
        <v/>
      </c>
      <c r="M1041" s="170">
        <f>SUM(M1040+K1041-L1041)</f>
        <v/>
      </c>
    </row>
    <row r="1042">
      <c r="A1042" s="167" t="n">
        <v>46104</v>
      </c>
      <c r="B1042" s="83" t="n">
        <v>554</v>
      </c>
      <c r="C1042" s="84" t="inlineStr">
        <is>
          <t>ÜNSOY TURİZM İNŞ.SAN.VE TİC.A.Ş.</t>
        </is>
      </c>
      <c r="D1042" s="84" t="n"/>
      <c r="E1042" s="84" t="n"/>
      <c r="F1042" s="85" t="n"/>
      <c r="G1042" s="168" t="n">
        <v>28843</v>
      </c>
      <c r="H1042" s="168" t="n"/>
      <c r="I1042" s="168">
        <f>+I1041+(G1042-H1042)</f>
        <v/>
      </c>
      <c r="J1042" s="87">
        <f>+K1042/G1042</f>
        <v/>
      </c>
      <c r="K1042" s="169" t="n">
        <v>1845952</v>
      </c>
      <c r="L1042" s="170">
        <f>+H1042*J1042</f>
        <v/>
      </c>
      <c r="M1042" s="170">
        <f>SUM(M1041+K1042-L1042)</f>
        <v/>
      </c>
    </row>
    <row r="1043">
      <c r="A1043" s="151" t="n">
        <v>46104</v>
      </c>
      <c r="B1043" s="70" t="n">
        <v>2549</v>
      </c>
      <c r="C1043" s="115" t="inlineStr">
        <is>
          <t>AZGÜN YAPI</t>
        </is>
      </c>
      <c r="D1043" s="115" t="inlineStr">
        <is>
          <t>34 MKT 593</t>
        </is>
      </c>
      <c r="E1043" s="115" t="inlineStr">
        <is>
          <t>TURGUT ÇATAL</t>
        </is>
      </c>
      <c r="F1043" s="65" t="n"/>
      <c r="G1043" s="152" t="n"/>
      <c r="H1043" s="152" t="n">
        <v>448</v>
      </c>
      <c r="I1043" s="156">
        <f>+I1042+(G1043-H1043)</f>
        <v/>
      </c>
      <c r="J1043" s="90" t="n">
        <v>64</v>
      </c>
      <c r="K1043" s="166" t="n"/>
      <c r="L1043" s="158">
        <f>+H1043*J1043</f>
        <v/>
      </c>
      <c r="M1043" s="159">
        <f>SUM(M1042+K1043-L1043)</f>
        <v/>
      </c>
    </row>
    <row r="1044">
      <c r="A1044" s="151" t="n">
        <v>46104</v>
      </c>
      <c r="B1044" s="70" t="n">
        <v>720</v>
      </c>
      <c r="C1044" s="115" t="inlineStr">
        <is>
          <t>METİN ERYİĞİT</t>
        </is>
      </c>
      <c r="D1044" s="115" t="inlineStr">
        <is>
          <t>34 EGS 013</t>
        </is>
      </c>
      <c r="E1044" s="115" t="inlineStr">
        <is>
          <t>UĞUR DUMAN</t>
        </is>
      </c>
      <c r="F1044" s="65" t="n">
        <v>567806</v>
      </c>
      <c r="G1044" s="152" t="n"/>
      <c r="H1044" s="152" t="n">
        <v>457</v>
      </c>
      <c r="I1044" s="156">
        <f>+I1043+(G1044-H1044)</f>
        <v/>
      </c>
      <c r="J1044" s="90" t="n">
        <v>64</v>
      </c>
      <c r="K1044" s="166" t="n"/>
      <c r="L1044" s="158">
        <f>+H1044*J1044</f>
        <v/>
      </c>
      <c r="M1044" s="159">
        <f>SUM(M1043+K1044-L1044)</f>
        <v/>
      </c>
    </row>
    <row r="1045">
      <c r="A1045" s="151" t="n">
        <v>46104</v>
      </c>
      <c r="B1045" s="70" t="n">
        <v>818</v>
      </c>
      <c r="C1045" s="115" t="inlineStr">
        <is>
          <t>METİN ERYİĞİT</t>
        </is>
      </c>
      <c r="D1045" s="115" t="inlineStr">
        <is>
          <t>34 GBL 998</t>
        </is>
      </c>
      <c r="E1045" s="115" t="inlineStr">
        <is>
          <t>ALİ KESKİN</t>
        </is>
      </c>
      <c r="F1045" s="65" t="n">
        <v>351159</v>
      </c>
      <c r="G1045" s="152" t="n"/>
      <c r="H1045" s="152" t="n">
        <v>393</v>
      </c>
      <c r="I1045" s="156">
        <f>+I1044+(G1045-H1045)</f>
        <v/>
      </c>
      <c r="J1045" s="90" t="n">
        <v>64</v>
      </c>
      <c r="K1045" s="166" t="n"/>
      <c r="L1045" s="158">
        <f>+H1045*J1045</f>
        <v/>
      </c>
      <c r="M1045" s="159">
        <f>SUM(M1044+K1045-L1045)</f>
        <v/>
      </c>
    </row>
    <row r="1046">
      <c r="A1046" s="151" t="n">
        <v>46104</v>
      </c>
      <c r="B1046" s="70" t="n">
        <v>2394</v>
      </c>
      <c r="C1046" s="115" t="inlineStr">
        <is>
          <t>SELİM İNŞAAT</t>
        </is>
      </c>
      <c r="D1046" s="115" t="inlineStr">
        <is>
          <t>34 FEM 934</t>
        </is>
      </c>
      <c r="E1046" s="115" t="inlineStr">
        <is>
          <t>DURSUN ALİ GÜREK</t>
        </is>
      </c>
      <c r="F1046" s="65" t="n">
        <v>334912</v>
      </c>
      <c r="G1046" s="152" t="n"/>
      <c r="H1046" s="152" t="n">
        <v>61</v>
      </c>
      <c r="I1046" s="156">
        <f>+I1045+(G1046-H1046)</f>
        <v/>
      </c>
      <c r="J1046" s="90" t="n">
        <v>64</v>
      </c>
      <c r="K1046" s="166" t="n"/>
      <c r="L1046" s="158">
        <f>+H1046*J1046</f>
        <v/>
      </c>
      <c r="M1046" s="159">
        <f>SUM(M1045+K1046-L1046)</f>
        <v/>
      </c>
    </row>
    <row r="1047">
      <c r="A1047" s="151" t="n">
        <v>46105</v>
      </c>
      <c r="B1047" s="70" t="n">
        <v>1397</v>
      </c>
      <c r="C1047" s="115" t="inlineStr">
        <is>
          <t>AZGÜN YAPI</t>
        </is>
      </c>
      <c r="D1047" s="115" t="inlineStr">
        <is>
          <t>34 MKT 859</t>
        </is>
      </c>
      <c r="E1047" s="115" t="inlineStr">
        <is>
          <t>İRFAN DAĞLAR</t>
        </is>
      </c>
      <c r="F1047" s="65" t="n"/>
      <c r="G1047" s="152" t="n"/>
      <c r="H1047" s="152" t="n">
        <v>705</v>
      </c>
      <c r="I1047" s="156">
        <f>+I1046+(G1047-H1047)</f>
        <v/>
      </c>
      <c r="J1047" s="90" t="n">
        <v>64</v>
      </c>
      <c r="K1047" s="166" t="n"/>
      <c r="L1047" s="158">
        <f>+H1047*J1047</f>
        <v/>
      </c>
      <c r="M1047" s="159">
        <f>SUM(M1046+K1047-L1047)</f>
        <v/>
      </c>
    </row>
    <row r="1048">
      <c r="A1048" s="151" t="n">
        <v>46105</v>
      </c>
      <c r="B1048" s="70" t="n">
        <v>3293</v>
      </c>
      <c r="C1048" s="115" t="inlineStr">
        <is>
          <t>AZGÜN YAPI</t>
        </is>
      </c>
      <c r="D1048" s="115" t="inlineStr">
        <is>
          <t xml:space="preserve">34 DTV 263 </t>
        </is>
      </c>
      <c r="E1048" s="115" t="inlineStr">
        <is>
          <t>DURSUN ALİ GÜREK</t>
        </is>
      </c>
      <c r="F1048" s="65" t="n"/>
      <c r="G1048" s="152" t="n"/>
      <c r="H1048" s="152" t="n">
        <v>255</v>
      </c>
      <c r="I1048" s="156">
        <f>+I1047+(G1048-H1048)</f>
        <v/>
      </c>
      <c r="J1048" s="90" t="n">
        <v>64</v>
      </c>
      <c r="K1048" s="166" t="n"/>
      <c r="L1048" s="158">
        <f>+H1048*J1048</f>
        <v/>
      </c>
      <c r="M1048" s="159">
        <f>SUM(M1047+K1048-L1048)</f>
        <v/>
      </c>
    </row>
    <row r="1049">
      <c r="A1049" s="151" t="n">
        <v>46105</v>
      </c>
      <c r="B1049" s="70" t="n">
        <v>2550</v>
      </c>
      <c r="C1049" s="115" t="inlineStr">
        <is>
          <t>AZGÜN YAPI</t>
        </is>
      </c>
      <c r="D1049" s="115" t="inlineStr">
        <is>
          <t>34 MKT 593</t>
        </is>
      </c>
      <c r="E1049" s="115" t="inlineStr">
        <is>
          <t>TURGUT ÇATAL</t>
        </is>
      </c>
      <c r="F1049" s="65" t="n"/>
      <c r="G1049" s="152" t="n"/>
      <c r="H1049" s="152" t="n">
        <v>356</v>
      </c>
      <c r="I1049" s="156">
        <f>+I1048+(G1049-H1049)</f>
        <v/>
      </c>
      <c r="J1049" s="90" t="n">
        <v>64</v>
      </c>
      <c r="K1049" s="166" t="n"/>
      <c r="L1049" s="158">
        <f>+H1049*J1049</f>
        <v/>
      </c>
      <c r="M1049" s="159">
        <f>SUM(M1048+K1049-L1049)</f>
        <v/>
      </c>
    </row>
    <row r="1050">
      <c r="A1050" s="151" t="n">
        <v>46105</v>
      </c>
      <c r="B1050" s="70" t="n">
        <v>760</v>
      </c>
      <c r="C1050" s="115" t="inlineStr">
        <is>
          <t>METİN ERYİĞİT</t>
        </is>
      </c>
      <c r="D1050" s="115" t="inlineStr">
        <is>
          <t>34 EGR 814</t>
        </is>
      </c>
      <c r="E1050" s="115" t="inlineStr">
        <is>
          <t>ZİYA İNCE</t>
        </is>
      </c>
      <c r="F1050" s="65" t="n">
        <v>613025</v>
      </c>
      <c r="G1050" s="152" t="n"/>
      <c r="H1050" s="152" t="n">
        <v>486</v>
      </c>
      <c r="I1050" s="156">
        <f>+I1049+(G1050-H1050)</f>
        <v/>
      </c>
      <c r="J1050" s="90" t="n">
        <v>64</v>
      </c>
      <c r="K1050" s="166" t="n"/>
      <c r="L1050" s="158">
        <f>+H1050*J1050</f>
        <v/>
      </c>
      <c r="M1050" s="159">
        <f>SUM(M1049+K1050-L1050)</f>
        <v/>
      </c>
    </row>
    <row r="1051">
      <c r="A1051" s="151" t="n">
        <v>46105</v>
      </c>
      <c r="B1051" s="70" t="n">
        <v>721</v>
      </c>
      <c r="C1051" s="115" t="inlineStr">
        <is>
          <t>METİN ERYİĞİT</t>
        </is>
      </c>
      <c r="D1051" s="115" t="inlineStr">
        <is>
          <t>34 EGS 013</t>
        </is>
      </c>
      <c r="E1051" s="115" t="inlineStr">
        <is>
          <t>UĞUR DUMAN</t>
        </is>
      </c>
      <c r="F1051" s="65" t="n">
        <v>568839</v>
      </c>
      <c r="G1051" s="152" t="n"/>
      <c r="H1051" s="152" t="n">
        <v>522</v>
      </c>
      <c r="I1051" s="156">
        <f>+I1050+(G1051-H1051)</f>
        <v/>
      </c>
      <c r="J1051" s="90" t="n">
        <v>64</v>
      </c>
      <c r="K1051" s="166" t="n"/>
      <c r="L1051" s="158">
        <f>+H1051*J1051</f>
        <v/>
      </c>
      <c r="M1051" s="159">
        <f>SUM(M1050+K1051-L1051)</f>
        <v/>
      </c>
    </row>
    <row r="1052">
      <c r="A1052" s="151" t="n">
        <v>46105</v>
      </c>
      <c r="B1052" s="70" t="n">
        <v>819</v>
      </c>
      <c r="C1052" s="115" t="inlineStr">
        <is>
          <t>METİN ERYİĞİT</t>
        </is>
      </c>
      <c r="D1052" s="115" t="inlineStr">
        <is>
          <t>34 GBL 998</t>
        </is>
      </c>
      <c r="E1052" s="115" t="inlineStr">
        <is>
          <t>ALİ KESKİN</t>
        </is>
      </c>
      <c r="F1052" s="65" t="n">
        <v>352249</v>
      </c>
      <c r="G1052" s="152" t="n"/>
      <c r="H1052" s="152" t="n">
        <v>463</v>
      </c>
      <c r="I1052" s="156">
        <f>+I1051+(G1052-H1052)</f>
        <v/>
      </c>
      <c r="J1052" s="90" t="n">
        <v>64</v>
      </c>
      <c r="K1052" s="166" t="n"/>
      <c r="L1052" s="158">
        <f>+H1052*J1052</f>
        <v/>
      </c>
      <c r="M1052" s="159">
        <f>SUM(M1051+K1052-L1052)</f>
        <v/>
      </c>
    </row>
    <row r="1053">
      <c r="A1053" s="151" t="n">
        <v>46105</v>
      </c>
      <c r="B1053" s="70" t="n">
        <v>632</v>
      </c>
      <c r="C1053" s="115" t="inlineStr">
        <is>
          <t>SELİM İNŞAAT</t>
        </is>
      </c>
      <c r="D1053" s="115" t="inlineStr">
        <is>
          <t>34 BUR 461</t>
        </is>
      </c>
      <c r="E1053" s="115" t="inlineStr">
        <is>
          <t xml:space="preserve">MUSTAFA ALBAYRAK </t>
        </is>
      </c>
      <c r="F1053" s="65" t="n"/>
      <c r="G1053" s="152" t="n"/>
      <c r="H1053" s="152" t="n">
        <v>67</v>
      </c>
      <c r="I1053" s="156">
        <f>+I1052+(G1053-H1053)</f>
        <v/>
      </c>
      <c r="J1053" s="90" t="n">
        <v>64</v>
      </c>
      <c r="K1053" s="166" t="n"/>
      <c r="L1053" s="158">
        <f>+H1053*J1053</f>
        <v/>
      </c>
      <c r="M1053" s="159">
        <f>SUM(M1052+K1053-L1053)</f>
        <v/>
      </c>
    </row>
    <row r="1054">
      <c r="A1054" s="151" t="n">
        <v>46106</v>
      </c>
      <c r="B1054" s="70" t="n">
        <v>1510</v>
      </c>
      <c r="C1054" s="115" t="inlineStr">
        <is>
          <t>MEGA</t>
        </is>
      </c>
      <c r="D1054" s="115" t="inlineStr">
        <is>
          <t>SM350</t>
        </is>
      </c>
      <c r="E1054" s="115" t="inlineStr">
        <is>
          <t>TEVFİK</t>
        </is>
      </c>
      <c r="F1054" s="65" t="n"/>
      <c r="G1054" s="152" t="n"/>
      <c r="H1054" s="152" t="n">
        <v>354</v>
      </c>
      <c r="I1054" s="156">
        <f>+I1053+(G1054-H1054)</f>
        <v/>
      </c>
      <c r="J1054" s="90" t="n">
        <v>64</v>
      </c>
      <c r="K1054" s="166" t="n"/>
      <c r="L1054" s="158">
        <f>+H1054*J1054</f>
        <v/>
      </c>
      <c r="M1054" s="159">
        <f>SUM(M1053+K1054-L1054)</f>
        <v/>
      </c>
    </row>
    <row r="1055">
      <c r="A1055" s="151" t="n">
        <v>46106</v>
      </c>
      <c r="B1055" s="70" t="n">
        <v>1511</v>
      </c>
      <c r="C1055" s="115" t="inlineStr">
        <is>
          <t>EVKUR</t>
        </is>
      </c>
      <c r="D1055" s="115" t="inlineStr">
        <is>
          <t>KİRALIK KATO</t>
        </is>
      </c>
      <c r="E1055" s="115" t="inlineStr">
        <is>
          <t>GÜNEŞ</t>
        </is>
      </c>
      <c r="F1055" s="65" t="n"/>
      <c r="G1055" s="152" t="n"/>
      <c r="H1055" s="152" t="n">
        <v>69</v>
      </c>
      <c r="I1055" s="156">
        <f>+I1054+(G1055-H1055)</f>
        <v/>
      </c>
      <c r="J1055" s="90" t="n">
        <v>64</v>
      </c>
      <c r="K1055" s="166" t="n"/>
      <c r="L1055" s="158">
        <f>+H1055*J1055</f>
        <v/>
      </c>
      <c r="M1055" s="159">
        <f>SUM(M1054+K1055-L1055)</f>
        <v/>
      </c>
    </row>
    <row r="1056">
      <c r="A1056" s="151" t="n">
        <v>46106</v>
      </c>
      <c r="B1056" s="70" t="n">
        <v>1512</v>
      </c>
      <c r="C1056" s="115" t="inlineStr">
        <is>
          <t>DELİKLİKAYA</t>
        </is>
      </c>
      <c r="D1056" s="115" t="inlineStr">
        <is>
          <t>TORU</t>
        </is>
      </c>
      <c r="E1056" s="115" t="inlineStr">
        <is>
          <t>BURAK ŞENDOĞAN</t>
        </is>
      </c>
      <c r="F1056" s="65" t="n"/>
      <c r="G1056" s="152" t="n"/>
      <c r="H1056" s="152" t="n">
        <v>600</v>
      </c>
      <c r="I1056" s="156">
        <f>+I1055+(G1056-H1056)</f>
        <v/>
      </c>
      <c r="J1056" s="90" t="n">
        <v>64</v>
      </c>
      <c r="K1056" s="166" t="n"/>
      <c r="L1056" s="158">
        <f>+H1056*J1056</f>
        <v/>
      </c>
      <c r="M1056" s="159">
        <f>SUM(M1055+K1056-L1056)</f>
        <v/>
      </c>
    </row>
    <row r="1057">
      <c r="A1057" s="151" t="n">
        <v>46106</v>
      </c>
      <c r="B1057" s="70" t="n">
        <v>4304</v>
      </c>
      <c r="C1057" s="115" t="inlineStr">
        <is>
          <t>SELİM İNŞAAT</t>
        </is>
      </c>
      <c r="D1057" s="115" t="inlineStr">
        <is>
          <t>34 DTV 447</t>
        </is>
      </c>
      <c r="E1057" s="115" t="inlineStr">
        <is>
          <t>ADNAN KOÇ</t>
        </is>
      </c>
      <c r="F1057" s="65" t="n">
        <v>462000</v>
      </c>
      <c r="G1057" s="152" t="n"/>
      <c r="H1057" s="152" t="n">
        <v>558</v>
      </c>
      <c r="I1057" s="156">
        <f>+I1056+(G1057-H1057)</f>
        <v/>
      </c>
      <c r="J1057" s="90" t="n">
        <v>64</v>
      </c>
      <c r="K1057" s="166" t="n"/>
      <c r="L1057" s="158">
        <f>+H1057*J1057</f>
        <v/>
      </c>
      <c r="M1057" s="159">
        <f>SUM(M1056+K1057-L1057)</f>
        <v/>
      </c>
    </row>
    <row r="1058">
      <c r="A1058" s="151" t="n">
        <v>46106</v>
      </c>
      <c r="B1058" s="70" t="n">
        <v>4021</v>
      </c>
      <c r="C1058" s="115" t="inlineStr">
        <is>
          <t>SELİM İNŞAAT</t>
        </is>
      </c>
      <c r="D1058" s="115" t="inlineStr">
        <is>
          <t>34 AR 7743</t>
        </is>
      </c>
      <c r="E1058" s="115" t="inlineStr">
        <is>
          <t>MEHMET SELİM</t>
        </is>
      </c>
      <c r="F1058" s="65" t="n">
        <v>375147</v>
      </c>
      <c r="G1058" s="152" t="n"/>
      <c r="H1058" s="152" t="n">
        <v>62</v>
      </c>
      <c r="I1058" s="156">
        <f>+I1057+(G1058-H1058)</f>
        <v/>
      </c>
      <c r="J1058" s="90" t="n">
        <v>64</v>
      </c>
      <c r="K1058" s="166" t="n"/>
      <c r="L1058" s="158">
        <f>+H1058*J1058</f>
        <v/>
      </c>
      <c r="M1058" s="159">
        <f>SUM(M1057+K1058-L1058)</f>
        <v/>
      </c>
    </row>
    <row r="1059">
      <c r="A1059" s="151" t="n">
        <v>46107</v>
      </c>
      <c r="B1059" s="70" t="n">
        <v>1513</v>
      </c>
      <c r="C1059" s="115" t="inlineStr">
        <is>
          <t>MEGA</t>
        </is>
      </c>
      <c r="D1059" s="115" t="inlineStr">
        <is>
          <t>KAWAZAKİ</t>
        </is>
      </c>
      <c r="E1059" s="115" t="inlineStr">
        <is>
          <t>RAMAZAN</t>
        </is>
      </c>
      <c r="F1059" s="65" t="n"/>
      <c r="G1059" s="152" t="n"/>
      <c r="H1059" s="152" t="n">
        <v>155</v>
      </c>
      <c r="I1059" s="156">
        <f>+I1058+(G1059-H1059)</f>
        <v/>
      </c>
      <c r="J1059" s="90" t="n">
        <v>64</v>
      </c>
      <c r="K1059" s="166" t="n"/>
      <c r="L1059" s="158">
        <f>+H1059*J1059</f>
        <v/>
      </c>
      <c r="M1059" s="159">
        <f>SUM(M1058+K1059-L1059)</f>
        <v/>
      </c>
    </row>
    <row r="1060">
      <c r="A1060" s="151" t="n">
        <v>46107</v>
      </c>
      <c r="B1060" s="70" t="n">
        <v>1514</v>
      </c>
      <c r="C1060" s="115" t="inlineStr">
        <is>
          <t>MEGA</t>
        </is>
      </c>
      <c r="D1060" s="115" t="inlineStr">
        <is>
          <t>SM350</t>
        </is>
      </c>
      <c r="E1060" s="115" t="inlineStr">
        <is>
          <t>TEVFİK</t>
        </is>
      </c>
      <c r="F1060" s="65" t="n"/>
      <c r="G1060" s="152" t="n"/>
      <c r="H1060" s="152" t="n">
        <v>453</v>
      </c>
      <c r="I1060" s="156">
        <f>+I1059+(G1060-H1060)</f>
        <v/>
      </c>
      <c r="J1060" s="90" t="n">
        <v>64</v>
      </c>
      <c r="K1060" s="166" t="n"/>
      <c r="L1060" s="158">
        <f>+H1060*J1060</f>
        <v/>
      </c>
      <c r="M1060" s="159">
        <f>SUM(M1059+K1060-L1060)</f>
        <v/>
      </c>
    </row>
    <row r="1061">
      <c r="A1061" s="151" t="n">
        <v>46107</v>
      </c>
      <c r="B1061" s="70" t="n">
        <v>1515</v>
      </c>
      <c r="C1061" s="115" t="inlineStr">
        <is>
          <t>KOZMO</t>
        </is>
      </c>
      <c r="D1061" s="115" t="inlineStr">
        <is>
          <t>SM370</t>
        </is>
      </c>
      <c r="E1061" s="115" t="inlineStr">
        <is>
          <t>BEKİR</t>
        </is>
      </c>
      <c r="F1061" s="65" t="n"/>
      <c r="G1061" s="152" t="n"/>
      <c r="H1061" s="152" t="n">
        <v>351</v>
      </c>
      <c r="I1061" s="156">
        <f>+I1060+(G1061-H1061)</f>
        <v/>
      </c>
      <c r="J1061" s="90" t="n">
        <v>64</v>
      </c>
      <c r="K1061" s="166" t="n"/>
      <c r="L1061" s="158">
        <f>+H1061*J1061</f>
        <v/>
      </c>
      <c r="M1061" s="159">
        <f>SUM(M1060+K1061-L1061)</f>
        <v/>
      </c>
    </row>
    <row r="1062">
      <c r="A1062" s="151" t="n">
        <v>46107</v>
      </c>
      <c r="B1062" s="70" t="n">
        <v>1516</v>
      </c>
      <c r="C1062" s="115" t="inlineStr">
        <is>
          <t>KOZMO</t>
        </is>
      </c>
      <c r="D1062" s="115" t="inlineStr">
        <is>
          <t>SM350</t>
        </is>
      </c>
      <c r="E1062" s="115" t="inlineStr">
        <is>
          <t>MİKAİL</t>
        </is>
      </c>
      <c r="F1062" s="65" t="n"/>
      <c r="G1062" s="152" t="n"/>
      <c r="H1062" s="152" t="n">
        <v>413</v>
      </c>
      <c r="I1062" s="156">
        <f>+I1061+(G1062-H1062)</f>
        <v/>
      </c>
      <c r="J1062" s="90" t="n">
        <v>64</v>
      </c>
      <c r="K1062" s="166" t="n"/>
      <c r="L1062" s="158">
        <f>+H1062*J1062</f>
        <v/>
      </c>
      <c r="M1062" s="159">
        <f>SUM(M1061+K1062-L1062)</f>
        <v/>
      </c>
    </row>
    <row r="1063">
      <c r="A1063" s="151" t="n">
        <v>46107</v>
      </c>
      <c r="B1063" s="70" t="n">
        <v>4773</v>
      </c>
      <c r="C1063" s="115" t="inlineStr">
        <is>
          <t>SELİM İNŞAAT</t>
        </is>
      </c>
      <c r="D1063" s="115" t="inlineStr">
        <is>
          <t>34 DGP 137</t>
        </is>
      </c>
      <c r="E1063" s="115" t="inlineStr">
        <is>
          <t>MUSTAFA KAYA</t>
        </is>
      </c>
      <c r="F1063" s="65" t="n">
        <v>477970</v>
      </c>
      <c r="G1063" s="152" t="n"/>
      <c r="H1063" s="152" t="n">
        <v>130</v>
      </c>
      <c r="I1063" s="156">
        <f>+I1062+(G1063-H1063)</f>
        <v/>
      </c>
      <c r="J1063" s="90" t="n">
        <v>64</v>
      </c>
      <c r="K1063" s="166" t="n"/>
      <c r="L1063" s="158">
        <f>+H1063*J1063</f>
        <v/>
      </c>
      <c r="M1063" s="159">
        <f>SUM(M1062+K1063-L1063)</f>
        <v/>
      </c>
    </row>
    <row r="1064">
      <c r="A1064" s="151" t="n">
        <v>46107</v>
      </c>
      <c r="B1064" s="70" t="n">
        <v>4470</v>
      </c>
      <c r="C1064" s="115" t="inlineStr">
        <is>
          <t>SELİM İNŞAAT</t>
        </is>
      </c>
      <c r="D1064" s="115" t="inlineStr">
        <is>
          <t>34 DKL 798</t>
        </is>
      </c>
      <c r="E1064" s="115" t="inlineStr">
        <is>
          <t>HASAN BAYCA</t>
        </is>
      </c>
      <c r="F1064" s="65" t="n">
        <v>82251</v>
      </c>
      <c r="G1064" s="152" t="n"/>
      <c r="H1064" s="152" t="n">
        <v>273</v>
      </c>
      <c r="I1064" s="156">
        <f>+I1063+(G1064-H1064)</f>
        <v/>
      </c>
      <c r="J1064" s="90" t="n">
        <v>64</v>
      </c>
      <c r="K1064" s="166" t="n"/>
      <c r="L1064" s="158">
        <f>+H1064*J1064</f>
        <v/>
      </c>
      <c r="M1064" s="159">
        <f>SUM(M1063+K1064-L1064)</f>
        <v/>
      </c>
    </row>
    <row r="1065">
      <c r="A1065" s="151" t="n">
        <v>46107</v>
      </c>
      <c r="B1065" s="70" t="n">
        <v>3735</v>
      </c>
      <c r="C1065" s="115" t="inlineStr">
        <is>
          <t>SELİM İNŞAAT</t>
        </is>
      </c>
      <c r="D1065" s="115" t="inlineStr">
        <is>
          <t>34 DKL 866</t>
        </is>
      </c>
      <c r="E1065" s="115" t="inlineStr">
        <is>
          <t>SELİMCAN ÖNVER</t>
        </is>
      </c>
      <c r="F1065" s="65" t="n">
        <v>83567</v>
      </c>
      <c r="G1065" s="152" t="n"/>
      <c r="H1065" s="152" t="n">
        <v>282</v>
      </c>
      <c r="I1065" s="156">
        <f>+I1064+(G1065-H1065)</f>
        <v/>
      </c>
      <c r="J1065" s="90" t="n">
        <v>64</v>
      </c>
      <c r="K1065" s="166" t="n"/>
      <c r="L1065" s="158">
        <f>+H1065*J1065</f>
        <v/>
      </c>
      <c r="M1065" s="159">
        <f>SUM(M1064+K1065-L1065)</f>
        <v/>
      </c>
    </row>
    <row r="1066">
      <c r="A1066" s="151" t="n">
        <v>46107</v>
      </c>
      <c r="B1066" s="70" t="n">
        <v>656</v>
      </c>
      <c r="C1066" s="115" t="inlineStr">
        <is>
          <t>SELİM İNŞAAT</t>
        </is>
      </c>
      <c r="D1066" s="115" t="inlineStr">
        <is>
          <t>34 GU 945</t>
        </is>
      </c>
      <c r="E1066" s="115" t="inlineStr">
        <is>
          <t>ÖNER DÜNDAR</t>
        </is>
      </c>
      <c r="F1066" s="65" t="n">
        <v>474411</v>
      </c>
      <c r="G1066" s="152" t="n"/>
      <c r="H1066" s="152" t="n">
        <v>56</v>
      </c>
      <c r="I1066" s="156">
        <f>+I1065+(G1066-H1066)</f>
        <v/>
      </c>
      <c r="J1066" s="90" t="n">
        <v>64</v>
      </c>
      <c r="K1066" s="166" t="n"/>
      <c r="L1066" s="158">
        <f>+H1066*J1066</f>
        <v/>
      </c>
      <c r="M1066" s="159">
        <f>SUM(M1065+K1066-L1066)</f>
        <v/>
      </c>
    </row>
    <row r="1067">
      <c r="A1067" s="151" t="n">
        <v>46107</v>
      </c>
      <c r="B1067" s="70" t="n">
        <v>552</v>
      </c>
      <c r="C1067" s="115" t="inlineStr">
        <is>
          <t>SELİM İNŞAAT</t>
        </is>
      </c>
      <c r="D1067" s="115" t="inlineStr">
        <is>
          <t>34 JGR 15</t>
        </is>
      </c>
      <c r="E1067" s="115" t="inlineStr">
        <is>
          <t>ÖNER DÜNDAR</t>
        </is>
      </c>
      <c r="F1067" s="65" t="n">
        <v>332142</v>
      </c>
      <c r="G1067" s="152" t="n"/>
      <c r="H1067" s="152" t="n">
        <v>57</v>
      </c>
      <c r="I1067" s="156">
        <f>+I1066+(G1067-H1067)</f>
        <v/>
      </c>
      <c r="J1067" s="90" t="n">
        <v>64</v>
      </c>
      <c r="K1067" s="166" t="n"/>
      <c r="L1067" s="158">
        <f>+H1067*J1067</f>
        <v/>
      </c>
      <c r="M1067" s="159">
        <f>SUM(M1066+K1067-L1067)</f>
        <v/>
      </c>
    </row>
    <row r="1068">
      <c r="A1068" s="151" t="n">
        <v>46107</v>
      </c>
      <c r="B1068" s="70" t="n">
        <v>1635</v>
      </c>
      <c r="C1068" s="115" t="inlineStr">
        <is>
          <t>SELİM İNŞAAT</t>
        </is>
      </c>
      <c r="D1068" s="115" t="inlineStr">
        <is>
          <t>34 VF 2620</t>
        </is>
      </c>
      <c r="E1068" s="115" t="inlineStr">
        <is>
          <t>RECEP SELİM</t>
        </is>
      </c>
      <c r="F1068" s="65" t="n">
        <v>203426</v>
      </c>
      <c r="G1068" s="152" t="n"/>
      <c r="H1068" s="152" t="n">
        <v>50</v>
      </c>
      <c r="I1068" s="156">
        <f>+I1067+(G1068-H1068)</f>
        <v/>
      </c>
      <c r="J1068" s="90" t="n">
        <v>64</v>
      </c>
      <c r="K1068" s="166" t="n"/>
      <c r="L1068" s="158">
        <f>+H1068*J1068</f>
        <v/>
      </c>
      <c r="M1068" s="159">
        <f>SUM(M1067+K1068-L1068)</f>
        <v/>
      </c>
    </row>
    <row r="1069">
      <c r="A1069" s="151" t="n">
        <v>46108</v>
      </c>
      <c r="B1069" s="70" t="n">
        <v>1517</v>
      </c>
      <c r="C1069" s="115" t="inlineStr">
        <is>
          <t>CEVİZ</t>
        </is>
      </c>
      <c r="D1069" s="115" t="inlineStr">
        <is>
          <t>34 ZS 8646</t>
        </is>
      </c>
      <c r="E1069" s="115" t="inlineStr">
        <is>
          <t>CEMAL AKYOL</t>
        </is>
      </c>
      <c r="F1069" s="65" t="n"/>
      <c r="G1069" s="152" t="n"/>
      <c r="H1069" s="152" t="n">
        <v>62</v>
      </c>
      <c r="I1069" s="156">
        <f>+I1068+(G1069-H1069)</f>
        <v/>
      </c>
      <c r="J1069" s="90" t="n">
        <v>64</v>
      </c>
      <c r="K1069" s="166" t="n"/>
      <c r="L1069" s="158">
        <f>+H1069*J1069</f>
        <v/>
      </c>
      <c r="M1069" s="159">
        <f>SUM(M1068+K1069-L1069)</f>
        <v/>
      </c>
    </row>
    <row r="1070">
      <c r="A1070" s="151" t="n">
        <v>46108</v>
      </c>
      <c r="B1070" s="70" t="n">
        <v>1518</v>
      </c>
      <c r="C1070" s="115" t="inlineStr">
        <is>
          <t>MEGA</t>
        </is>
      </c>
      <c r="D1070" s="115" t="inlineStr">
        <is>
          <t>KAWAZAKİ</t>
        </is>
      </c>
      <c r="E1070" s="115" t="inlineStr">
        <is>
          <t>RAMAZAN</t>
        </is>
      </c>
      <c r="F1070" s="65" t="n"/>
      <c r="G1070" s="152" t="n"/>
      <c r="H1070" s="152" t="n">
        <v>212</v>
      </c>
      <c r="I1070" s="156">
        <f>+I1069+(G1070-H1070)</f>
        <v/>
      </c>
      <c r="J1070" s="90" t="n">
        <v>64</v>
      </c>
      <c r="K1070" s="166" t="n"/>
      <c r="L1070" s="158">
        <f>+H1070*J1070</f>
        <v/>
      </c>
      <c r="M1070" s="159">
        <f>SUM(M1069+K1070-L1070)</f>
        <v/>
      </c>
    </row>
    <row r="1071">
      <c r="A1071" s="151" t="n">
        <v>46108</v>
      </c>
      <c r="B1071" s="70" t="n">
        <v>1519</v>
      </c>
      <c r="C1071" s="115" t="inlineStr">
        <is>
          <t>MEGA</t>
        </is>
      </c>
      <c r="D1071" s="115" t="inlineStr">
        <is>
          <t>SM350</t>
        </is>
      </c>
      <c r="E1071" s="115" t="inlineStr">
        <is>
          <t>MİKAİL</t>
        </is>
      </c>
      <c r="F1071" s="65" t="n"/>
      <c r="G1071" s="152" t="n"/>
      <c r="H1071" s="152" t="n">
        <v>400</v>
      </c>
      <c r="I1071" s="156">
        <f>+I1070+(G1071-H1071)</f>
        <v/>
      </c>
      <c r="J1071" s="90" t="n">
        <v>64</v>
      </c>
      <c r="K1071" s="166" t="n"/>
      <c r="L1071" s="158">
        <f>+H1071*J1071</f>
        <v/>
      </c>
      <c r="M1071" s="159">
        <f>SUM(M1070+K1071-L1071)</f>
        <v/>
      </c>
    </row>
    <row r="1072">
      <c r="A1072" s="151" t="n">
        <v>46108</v>
      </c>
      <c r="B1072" s="70" t="n">
        <v>1520</v>
      </c>
      <c r="C1072" s="115" t="inlineStr">
        <is>
          <t>HASALTUN</t>
        </is>
      </c>
      <c r="D1072" s="115" t="inlineStr">
        <is>
          <t>SİLİNDİR</t>
        </is>
      </c>
      <c r="E1072" s="115" t="inlineStr">
        <is>
          <t>KÖKSAL</t>
        </is>
      </c>
      <c r="F1072" s="65" t="n"/>
      <c r="G1072" s="152" t="n"/>
      <c r="H1072" s="152" t="n">
        <v>295</v>
      </c>
      <c r="I1072" s="156">
        <f>+I1071+(G1072-H1072)</f>
        <v/>
      </c>
      <c r="J1072" s="90" t="n">
        <v>64</v>
      </c>
      <c r="K1072" s="166" t="n"/>
      <c r="L1072" s="158">
        <f>+H1072*J1072</f>
        <v/>
      </c>
      <c r="M1072" s="159">
        <f>SUM(M1071+K1072-L1072)</f>
        <v/>
      </c>
    </row>
    <row r="1073">
      <c r="A1073" s="151" t="n">
        <v>46108</v>
      </c>
      <c r="B1073" s="70" t="n">
        <v>1521</v>
      </c>
      <c r="C1073" s="115" t="inlineStr">
        <is>
          <t>HASALTUN</t>
        </is>
      </c>
      <c r="D1073" s="115" t="inlineStr">
        <is>
          <t>MANİTO</t>
        </is>
      </c>
      <c r="E1073" s="115" t="inlineStr">
        <is>
          <t>MUHAMMET</t>
        </is>
      </c>
      <c r="F1073" s="65" t="n"/>
      <c r="G1073" s="152" t="n"/>
      <c r="H1073" s="152" t="n">
        <v>247</v>
      </c>
      <c r="I1073" s="156">
        <f>+I1072+(G1073-H1073)</f>
        <v/>
      </c>
      <c r="J1073" s="90" t="n">
        <v>64</v>
      </c>
      <c r="K1073" s="166" t="n"/>
      <c r="L1073" s="158">
        <f>+H1073*J1073</f>
        <v/>
      </c>
      <c r="M1073" s="159">
        <f>SUM(M1072+K1073-L1073)</f>
        <v/>
      </c>
    </row>
    <row r="1074">
      <c r="A1074" s="151" t="n">
        <v>46108</v>
      </c>
      <c r="B1074" s="70" t="n">
        <v>1522</v>
      </c>
      <c r="C1074" s="115" t="inlineStr">
        <is>
          <t>HASALTUN</t>
        </is>
      </c>
      <c r="D1074" s="115" t="inlineStr">
        <is>
          <t>JCB</t>
        </is>
      </c>
      <c r="E1074" s="115" t="inlineStr">
        <is>
          <t>BAYRAM SANCAK</t>
        </is>
      </c>
      <c r="F1074" s="65" t="n"/>
      <c r="G1074" s="152" t="n"/>
      <c r="H1074" s="152" t="n">
        <v>40</v>
      </c>
      <c r="I1074" s="156">
        <f>+I1073+(G1074-H1074)</f>
        <v/>
      </c>
      <c r="J1074" s="90" t="n">
        <v>64</v>
      </c>
      <c r="K1074" s="166" t="n"/>
      <c r="L1074" s="158">
        <f>+H1074*J1074</f>
        <v/>
      </c>
      <c r="M1074" s="159">
        <f>SUM(M1073+K1074-L1074)</f>
        <v/>
      </c>
    </row>
    <row r="1075">
      <c r="A1075" s="151" t="n">
        <v>46108</v>
      </c>
      <c r="B1075" s="70" t="n">
        <v>629</v>
      </c>
      <c r="C1075" s="115" t="inlineStr">
        <is>
          <t>AHMET SELİM TEMHA</t>
        </is>
      </c>
      <c r="D1075" s="115" t="inlineStr">
        <is>
          <t>34 PGT 251</t>
        </is>
      </c>
      <c r="E1075" s="115" t="inlineStr">
        <is>
          <t>ERSOY SIĞINMAZ</t>
        </is>
      </c>
      <c r="F1075" s="65" t="n"/>
      <c r="G1075" s="152" t="n"/>
      <c r="H1075" s="152" t="n">
        <v>57</v>
      </c>
      <c r="I1075" s="156">
        <f>+I1074+(G1075-H1075)</f>
        <v/>
      </c>
      <c r="J1075" s="90" t="n">
        <v>64</v>
      </c>
      <c r="K1075" s="166" t="n"/>
      <c r="L1075" s="158">
        <f>+H1075*J1075</f>
        <v/>
      </c>
      <c r="M1075" s="159">
        <f>SUM(M1074+K1075-L1075)</f>
        <v/>
      </c>
    </row>
    <row r="1076">
      <c r="A1076" s="151" t="n">
        <v>46108</v>
      </c>
      <c r="B1076" s="70" t="n">
        <v>2985</v>
      </c>
      <c r="C1076" s="115" t="inlineStr">
        <is>
          <t>SELİM İNŞAAT</t>
        </is>
      </c>
      <c r="D1076" s="115" t="inlineStr">
        <is>
          <t>34 DF 454</t>
        </is>
      </c>
      <c r="E1076" s="115" t="inlineStr">
        <is>
          <t>HÜSEYİN ALIN</t>
        </is>
      </c>
      <c r="F1076" s="65" t="n">
        <v>175867</v>
      </c>
      <c r="G1076" s="152" t="n"/>
      <c r="H1076" s="152" t="n">
        <v>290</v>
      </c>
      <c r="I1076" s="156">
        <f>+I1075+(G1076-H1076)</f>
        <v/>
      </c>
      <c r="J1076" s="90" t="n">
        <v>64</v>
      </c>
      <c r="K1076" s="166" t="n"/>
      <c r="L1076" s="158">
        <f>+H1076*J1076</f>
        <v/>
      </c>
      <c r="M1076" s="159">
        <f>SUM(M1075+K1076-L1076)</f>
        <v/>
      </c>
    </row>
    <row r="1077">
      <c r="A1077" s="151" t="n">
        <v>46108</v>
      </c>
      <c r="B1077" s="70" t="n">
        <v>1775</v>
      </c>
      <c r="C1077" s="115" t="inlineStr">
        <is>
          <t>SELİM İNŞAAT</t>
        </is>
      </c>
      <c r="D1077" s="115" t="inlineStr">
        <is>
          <t>34 JBA 25</t>
        </is>
      </c>
      <c r="E1077" s="115" t="inlineStr">
        <is>
          <t>TURKAN SEVİNDİK</t>
        </is>
      </c>
      <c r="F1077" s="65" t="n">
        <v>348697</v>
      </c>
      <c r="G1077" s="152" t="n"/>
      <c r="H1077" s="152" t="n">
        <v>57</v>
      </c>
      <c r="I1077" s="156">
        <f>+I1076+(G1077-H1077)</f>
        <v/>
      </c>
      <c r="J1077" s="90" t="n">
        <v>64</v>
      </c>
      <c r="K1077" s="166" t="n"/>
      <c r="L1077" s="158">
        <f>+H1077*J1077</f>
        <v/>
      </c>
      <c r="M1077" s="159">
        <f>SUM(M1076+K1077-L1077)</f>
        <v/>
      </c>
    </row>
    <row r="1078">
      <c r="A1078" s="151" t="n">
        <v>46109</v>
      </c>
      <c r="B1078" s="70" t="n">
        <v>712</v>
      </c>
      <c r="C1078" s="115" t="inlineStr">
        <is>
          <t>METİN ERYİĞİT</t>
        </is>
      </c>
      <c r="D1078" s="115" t="inlineStr">
        <is>
          <t>34 EGS 013</t>
        </is>
      </c>
      <c r="E1078" s="115" t="inlineStr">
        <is>
          <t>UĞUR DUMAN</t>
        </is>
      </c>
      <c r="F1078" s="65" t="n"/>
      <c r="G1078" s="152" t="n"/>
      <c r="H1078" s="152" t="n">
        <v>387</v>
      </c>
      <c r="I1078" s="156">
        <f>+I1077+(G1078-H1078)</f>
        <v/>
      </c>
      <c r="J1078" s="90" t="n">
        <v>64</v>
      </c>
      <c r="K1078" s="166" t="n"/>
      <c r="L1078" s="158">
        <f>+H1078*J1078</f>
        <v/>
      </c>
      <c r="M1078" s="159">
        <f>SUM(M1077+K1078-L1078)</f>
        <v/>
      </c>
    </row>
    <row r="1079">
      <c r="A1079" s="151" t="n">
        <v>46109</v>
      </c>
      <c r="B1079" s="70" t="n">
        <v>1398</v>
      </c>
      <c r="C1079" s="115" t="inlineStr">
        <is>
          <t>AZGÜN YAPI</t>
        </is>
      </c>
      <c r="D1079" s="115" t="inlineStr">
        <is>
          <t>34 MKT 859</t>
        </is>
      </c>
      <c r="E1079" s="115" t="inlineStr">
        <is>
          <t>İRFAN DAĞLAR</t>
        </is>
      </c>
      <c r="F1079" s="65" t="n"/>
      <c r="G1079" s="152" t="n"/>
      <c r="H1079" s="152" t="n">
        <v>178</v>
      </c>
      <c r="I1079" s="156">
        <f>+I1078+(G1079-H1079)</f>
        <v/>
      </c>
      <c r="J1079" s="90" t="n">
        <v>64</v>
      </c>
      <c r="K1079" s="166" t="n"/>
      <c r="L1079" s="158">
        <f>+H1079*J1079</f>
        <v/>
      </c>
      <c r="M1079" s="159">
        <f>SUM(M1078+K1079-L1079)</f>
        <v/>
      </c>
    </row>
    <row r="1080">
      <c r="A1080" s="151" t="n">
        <v>46109</v>
      </c>
      <c r="B1080" s="70" t="n">
        <v>1801</v>
      </c>
      <c r="C1080" s="115" t="inlineStr">
        <is>
          <t>AZGÜN YAPI</t>
        </is>
      </c>
      <c r="D1080" s="115" t="inlineStr">
        <is>
          <t>34 MKT 593</t>
        </is>
      </c>
      <c r="E1080" s="115" t="inlineStr">
        <is>
          <t>TURGUT ÇATAL</t>
        </is>
      </c>
      <c r="F1080" s="65" t="n"/>
      <c r="G1080" s="152" t="n"/>
      <c r="H1080" s="152" t="n">
        <v>349</v>
      </c>
      <c r="I1080" s="156">
        <f>+I1079+(G1080-H1080)</f>
        <v/>
      </c>
      <c r="J1080" s="90" t="n">
        <v>64</v>
      </c>
      <c r="K1080" s="166" t="n"/>
      <c r="L1080" s="158">
        <f>+H1080*J1080</f>
        <v/>
      </c>
      <c r="M1080" s="159">
        <f>SUM(M1079+K1080-L1080)</f>
        <v/>
      </c>
    </row>
    <row r="1081">
      <c r="A1081" s="151" t="n">
        <v>46109</v>
      </c>
      <c r="B1081" s="70" t="n">
        <v>761</v>
      </c>
      <c r="C1081" s="115" t="inlineStr">
        <is>
          <t>METİN ERYİĞİT</t>
        </is>
      </c>
      <c r="D1081" s="115" t="inlineStr">
        <is>
          <t>34 EGR 814</t>
        </is>
      </c>
      <c r="E1081" s="115" t="inlineStr">
        <is>
          <t>ZİYA İNCE</t>
        </is>
      </c>
      <c r="F1081" s="65" t="n">
        <v>614039</v>
      </c>
      <c r="G1081" s="152" t="n"/>
      <c r="H1081" s="152" t="n">
        <v>423</v>
      </c>
      <c r="I1081" s="156">
        <f>+I1080+(G1081-H1081)</f>
        <v/>
      </c>
      <c r="J1081" s="90" t="n">
        <v>64</v>
      </c>
      <c r="K1081" s="166" t="n"/>
      <c r="L1081" s="158">
        <f>+H1081*J1081</f>
        <v/>
      </c>
      <c r="M1081" s="159">
        <f>SUM(M1080+K1081-L1081)</f>
        <v/>
      </c>
    </row>
    <row r="1082">
      <c r="A1082" s="151" t="n">
        <v>46109</v>
      </c>
      <c r="B1082" s="70" t="n">
        <v>820</v>
      </c>
      <c r="C1082" s="115" t="inlineStr">
        <is>
          <t>METİN ERYİĞİT</t>
        </is>
      </c>
      <c r="D1082" s="115" t="inlineStr">
        <is>
          <t>34 GBL 998</t>
        </is>
      </c>
      <c r="E1082" s="115" t="inlineStr">
        <is>
          <t>ALİ KESKİN</t>
        </is>
      </c>
      <c r="F1082" s="65" t="n">
        <v>353228</v>
      </c>
      <c r="G1082" s="152" t="n"/>
      <c r="H1082" s="152" t="n">
        <v>415</v>
      </c>
      <c r="I1082" s="156">
        <f>+I1081+(G1082-H1082)</f>
        <v/>
      </c>
      <c r="J1082" s="90" t="n">
        <v>64</v>
      </c>
      <c r="K1082" s="166" t="n"/>
      <c r="L1082" s="158">
        <f>+H1082*J1082</f>
        <v/>
      </c>
      <c r="M1082" s="159">
        <f>SUM(M1081+K1082-L1082)</f>
        <v/>
      </c>
    </row>
    <row r="1083">
      <c r="A1083" s="151" t="n">
        <v>46109</v>
      </c>
      <c r="B1083" s="70" t="n">
        <v>630</v>
      </c>
      <c r="C1083" s="115" t="inlineStr">
        <is>
          <t>MAHMUT VİNÇ</t>
        </is>
      </c>
      <c r="D1083" s="115" t="inlineStr">
        <is>
          <t>34 AH 5401</t>
        </is>
      </c>
      <c r="E1083" s="115" t="inlineStr">
        <is>
          <t>YASİN DEMİR</t>
        </is>
      </c>
      <c r="F1083" s="65" t="n"/>
      <c r="G1083" s="152" t="n"/>
      <c r="H1083" s="152" t="n">
        <v>93</v>
      </c>
      <c r="I1083" s="156">
        <f>+I1082+(G1083-H1083)</f>
        <v/>
      </c>
      <c r="J1083" s="90" t="n">
        <v>64</v>
      </c>
      <c r="K1083" s="166" t="n"/>
      <c r="L1083" s="158">
        <f>+H1083*J1083</f>
        <v/>
      </c>
      <c r="M1083" s="159">
        <f>SUM(M1082+K1083-L1083)</f>
        <v/>
      </c>
    </row>
    <row r="1084">
      <c r="A1084" s="151" t="n">
        <v>46109</v>
      </c>
      <c r="B1084" s="70" t="n">
        <v>2803</v>
      </c>
      <c r="C1084" s="115" t="inlineStr">
        <is>
          <t>SELİM İNŞAAT</t>
        </is>
      </c>
      <c r="D1084" s="115" t="inlineStr">
        <is>
          <t>34 EGR 737</t>
        </is>
      </c>
      <c r="E1084" s="115" t="inlineStr">
        <is>
          <t>CEM MUHTAR</t>
        </is>
      </c>
      <c r="F1084" s="65" t="n">
        <v>465307</v>
      </c>
      <c r="G1084" s="152" t="n"/>
      <c r="H1084" s="152" t="n">
        <v>180</v>
      </c>
      <c r="I1084" s="156">
        <f>+I1083+(G1084-H1084)</f>
        <v/>
      </c>
      <c r="J1084" s="90" t="n">
        <v>64</v>
      </c>
      <c r="K1084" s="166" t="n"/>
      <c r="L1084" s="158">
        <f>+H1084*J1084</f>
        <v/>
      </c>
      <c r="M1084" s="159">
        <f>SUM(M1083+K1084-L1084)</f>
        <v/>
      </c>
    </row>
    <row r="1085">
      <c r="A1085" s="151" t="n">
        <v>46111</v>
      </c>
      <c r="B1085" s="70" t="n">
        <v>657</v>
      </c>
      <c r="C1085" s="115" t="inlineStr">
        <is>
          <t>SELİM İNŞAAT</t>
        </is>
      </c>
      <c r="D1085" s="115" t="inlineStr">
        <is>
          <t>34 GU 945</t>
        </is>
      </c>
      <c r="E1085" s="115" t="inlineStr">
        <is>
          <t>ÖNER DÜNDAR</t>
        </is>
      </c>
      <c r="F1085" s="65" t="n">
        <v>474647</v>
      </c>
      <c r="G1085" s="152" t="n"/>
      <c r="H1085" s="152" t="n">
        <v>49</v>
      </c>
      <c r="I1085" s="156">
        <f>+I1084+(G1085-H1085)</f>
        <v/>
      </c>
      <c r="J1085" s="90" t="n">
        <v>64</v>
      </c>
      <c r="K1085" s="166" t="n"/>
      <c r="L1085" s="158">
        <f>+H1085*J1085</f>
        <v/>
      </c>
      <c r="M1085" s="159">
        <f>SUM(M1084+K1085-L1085)</f>
        <v/>
      </c>
    </row>
    <row r="1086">
      <c r="A1086" s="151" t="n">
        <v>46111</v>
      </c>
      <c r="B1086" s="70" t="n">
        <v>2395</v>
      </c>
      <c r="C1086" s="115" t="inlineStr">
        <is>
          <t>SELİM İNŞAAT</t>
        </is>
      </c>
      <c r="D1086" s="115" t="inlineStr">
        <is>
          <t>34 FEM 934</t>
        </is>
      </c>
      <c r="E1086" s="115" t="inlineStr">
        <is>
          <t>DURSUN ALİ GÜREK</t>
        </is>
      </c>
      <c r="F1086" s="65" t="n">
        <v>335349</v>
      </c>
      <c r="G1086" s="152" t="n"/>
      <c r="H1086" s="152" t="n">
        <v>58</v>
      </c>
      <c r="I1086" s="156">
        <f>+I1085+(G1086-H1086)</f>
        <v/>
      </c>
      <c r="J1086" s="90" t="n">
        <v>64</v>
      </c>
      <c r="K1086" s="166" t="n"/>
      <c r="L1086" s="158">
        <f>+H1086*J1086</f>
        <v/>
      </c>
      <c r="M1086" s="159">
        <f>SUM(M1085+K1086-L1086)</f>
        <v/>
      </c>
    </row>
    <row r="1087">
      <c r="A1087" s="151" t="n">
        <v>46111</v>
      </c>
      <c r="B1087" s="70" t="n">
        <v>4022</v>
      </c>
      <c r="C1087" s="115" t="inlineStr">
        <is>
          <t>SELİM İNŞAAT</t>
        </is>
      </c>
      <c r="D1087" s="115" t="inlineStr">
        <is>
          <t>34 AR 7743</t>
        </is>
      </c>
      <c r="E1087" s="115" t="inlineStr">
        <is>
          <t>MEHMET SELİM</t>
        </is>
      </c>
      <c r="F1087" s="65" t="n">
        <v>375461</v>
      </c>
      <c r="G1087" s="152" t="n"/>
      <c r="H1087" s="152" t="n">
        <v>64</v>
      </c>
      <c r="I1087" s="156">
        <f>+I1086+(G1087-H1087)</f>
        <v/>
      </c>
      <c r="J1087" s="90" t="n">
        <v>64</v>
      </c>
      <c r="K1087" s="166" t="n"/>
      <c r="L1087" s="158">
        <f>+H1087*J1087</f>
        <v/>
      </c>
      <c r="M1087" s="159">
        <f>SUM(M1086+K1087-L1087)</f>
        <v/>
      </c>
    </row>
    <row r="1088">
      <c r="A1088" s="151" t="n">
        <v>46112</v>
      </c>
      <c r="B1088" s="70" t="n">
        <v>631</v>
      </c>
      <c r="C1088" s="115" t="inlineStr">
        <is>
          <t>AHMET SELİM TEMHA</t>
        </is>
      </c>
      <c r="D1088" s="115" t="inlineStr">
        <is>
          <t>FORKLİFT</t>
        </is>
      </c>
      <c r="E1088" s="115" t="n"/>
      <c r="F1088" s="65" t="n"/>
      <c r="G1088" s="152" t="n"/>
      <c r="H1088" s="152" t="n">
        <v>120</v>
      </c>
      <c r="I1088" s="156">
        <f>+I1087+(G1088-H1088)</f>
        <v/>
      </c>
      <c r="J1088" s="90" t="n">
        <v>64</v>
      </c>
      <c r="K1088" s="166" t="n"/>
      <c r="L1088" s="158">
        <f>+H1088*J1088</f>
        <v/>
      </c>
      <c r="M1088" s="159">
        <f>SUM(M1087+K1088-L1088)</f>
        <v/>
      </c>
    </row>
    <row r="1089">
      <c r="A1089" s="151" t="n">
        <v>46112</v>
      </c>
      <c r="B1089" s="70" t="n">
        <v>1285</v>
      </c>
      <c r="C1089" s="115" t="inlineStr">
        <is>
          <t>SELİM İNŞAAT</t>
        </is>
      </c>
      <c r="D1089" s="115" t="inlineStr">
        <is>
          <t>34 DSN 621</t>
        </is>
      </c>
      <c r="E1089" s="115" t="inlineStr">
        <is>
          <t>TURAN SEVİNDİK</t>
        </is>
      </c>
      <c r="F1089" s="65" t="n">
        <v>439154</v>
      </c>
      <c r="G1089" s="152" t="n"/>
      <c r="H1089" s="152" t="n">
        <v>300</v>
      </c>
      <c r="I1089" s="156">
        <f>+I1088+(G1089-H1089)</f>
        <v/>
      </c>
      <c r="J1089" s="90" t="n">
        <v>64</v>
      </c>
      <c r="K1089" s="166" t="n"/>
      <c r="L1089" s="158">
        <f>+H1089*J1089</f>
        <v/>
      </c>
      <c r="M1089" s="159">
        <f>SUM(M1088+K1089-L1089)</f>
        <v/>
      </c>
    </row>
    <row r="1090">
      <c r="A1090" s="151" t="n">
        <v>46113</v>
      </c>
      <c r="B1090" s="70" t="n">
        <v>553</v>
      </c>
      <c r="C1090" s="115" t="inlineStr">
        <is>
          <t>SELİM İNŞAAT</t>
        </is>
      </c>
      <c r="D1090" s="115" t="inlineStr">
        <is>
          <t>34 JGR 15</t>
        </is>
      </c>
      <c r="E1090" s="115" t="inlineStr">
        <is>
          <t>ÖNER DÜNDAR</t>
        </is>
      </c>
      <c r="F1090" s="65" t="n">
        <v>332482</v>
      </c>
      <c r="G1090" s="152" t="n"/>
      <c r="H1090" s="152" t="n">
        <v>52</v>
      </c>
      <c r="I1090" s="156">
        <f>+I1089+(G1090-H1090)</f>
        <v/>
      </c>
      <c r="J1090" s="90" t="n">
        <v>64</v>
      </c>
      <c r="K1090" s="166" t="n"/>
      <c r="L1090" s="158">
        <f>+H1090*J1090</f>
        <v/>
      </c>
      <c r="M1090" s="159">
        <f>SUM(M1089+K1090-L1090)</f>
        <v/>
      </c>
    </row>
    <row r="1091">
      <c r="A1091" s="151" t="n">
        <v>46113</v>
      </c>
      <c r="B1091" s="70" t="n">
        <v>4023</v>
      </c>
      <c r="C1091" s="115" t="inlineStr">
        <is>
          <t>SELİM İNŞAAT</t>
        </is>
      </c>
      <c r="D1091" s="115" t="inlineStr">
        <is>
          <t>34 AR 7743</t>
        </is>
      </c>
      <c r="E1091" s="115" t="inlineStr">
        <is>
          <t>MEHMET SELİM</t>
        </is>
      </c>
      <c r="F1091" s="65" t="n">
        <v>375649</v>
      </c>
      <c r="G1091" s="152" t="n"/>
      <c r="H1091" s="152" t="n">
        <v>25</v>
      </c>
      <c r="I1091" s="156">
        <f>+I1090+(G1091-H1091)</f>
        <v/>
      </c>
      <c r="J1091" s="90" t="n">
        <v>64</v>
      </c>
      <c r="K1091" s="166" t="n"/>
      <c r="L1091" s="158">
        <f>+H1091*J1091</f>
        <v/>
      </c>
      <c r="M1091" s="159">
        <f>SUM(M1090+K1091-L1091)</f>
        <v/>
      </c>
    </row>
    <row r="1092">
      <c r="A1092" s="151" t="n">
        <v>46113</v>
      </c>
      <c r="B1092" s="70" t="n">
        <v>2596</v>
      </c>
      <c r="C1092" s="115" t="inlineStr">
        <is>
          <t>SELİM İNŞAAT</t>
        </is>
      </c>
      <c r="D1092" s="115" t="inlineStr">
        <is>
          <t>34 GER 028</t>
        </is>
      </c>
      <c r="E1092" s="115" t="inlineStr">
        <is>
          <t>ABDULKERİM ERGEN</t>
        </is>
      </c>
      <c r="F1092" s="65" t="n">
        <v>61604</v>
      </c>
      <c r="G1092" s="152" t="n"/>
      <c r="H1092" s="152" t="n">
        <v>290</v>
      </c>
      <c r="I1092" s="156">
        <f>+I1091+(G1092-H1092)</f>
        <v/>
      </c>
      <c r="J1092" s="90" t="n">
        <v>64</v>
      </c>
      <c r="K1092" s="166" t="n"/>
      <c r="L1092" s="158">
        <f>+H1092*J1092</f>
        <v/>
      </c>
      <c r="M1092" s="159">
        <f>SUM(M1091+K1092-L1092)</f>
        <v/>
      </c>
    </row>
    <row r="1093">
      <c r="A1093" s="151" t="n">
        <v>46113</v>
      </c>
      <c r="B1093" s="70" t="n">
        <v>2800</v>
      </c>
      <c r="C1093" s="115" t="inlineStr">
        <is>
          <t>SELİM İNŞAAT</t>
        </is>
      </c>
      <c r="D1093" s="115" t="inlineStr">
        <is>
          <t>34 EDC 086</t>
        </is>
      </c>
      <c r="E1093" s="115" t="inlineStr">
        <is>
          <t>SEZGİN KOCAGİL</t>
        </is>
      </c>
      <c r="F1093" s="65" t="n">
        <v>379275</v>
      </c>
      <c r="G1093" s="152" t="n"/>
      <c r="H1093" s="152" t="n">
        <v>234</v>
      </c>
      <c r="I1093" s="156">
        <f>+I1092+(G1093-H1093)</f>
        <v/>
      </c>
      <c r="J1093" s="90" t="n">
        <v>64</v>
      </c>
      <c r="K1093" s="166" t="n"/>
      <c r="L1093" s="158">
        <f>+H1093*J1093</f>
        <v/>
      </c>
      <c r="M1093" s="159">
        <f>SUM(M1092+K1093-L1093)</f>
        <v/>
      </c>
    </row>
    <row r="1094">
      <c r="A1094" s="151" t="n">
        <v>46113</v>
      </c>
      <c r="B1094" s="70" t="n">
        <v>722</v>
      </c>
      <c r="C1094" s="115" t="inlineStr">
        <is>
          <t>METİN ERYİĞİT</t>
        </is>
      </c>
      <c r="D1094" s="115" t="inlineStr">
        <is>
          <t>34 EGS 013</t>
        </is>
      </c>
      <c r="E1094" s="115" t="inlineStr">
        <is>
          <t>UĞUR DUMAN</t>
        </is>
      </c>
      <c r="F1094" s="115" t="n">
        <v>569803</v>
      </c>
      <c r="G1094" s="152" t="n"/>
      <c r="H1094" s="152" t="n">
        <v>467</v>
      </c>
      <c r="I1094" s="156">
        <f>+I1093+(G1094-H1094)</f>
        <v/>
      </c>
      <c r="J1094" s="90" t="n">
        <v>64</v>
      </c>
      <c r="K1094" s="166" t="n"/>
      <c r="L1094" s="158">
        <f>+H1094*J1094</f>
        <v/>
      </c>
      <c r="M1094" s="159">
        <f>SUM(M1093+K1094-L1094)</f>
        <v/>
      </c>
    </row>
    <row r="1095">
      <c r="A1095" s="151" t="n">
        <v>46113</v>
      </c>
      <c r="B1095" s="70" t="n">
        <v>633</v>
      </c>
      <c r="C1095" s="152" t="inlineStr">
        <is>
          <t>RECEP SELİM OTOKURTARICI</t>
        </is>
      </c>
      <c r="D1095" s="115" t="inlineStr">
        <is>
          <t>34 GC 8658</t>
        </is>
      </c>
      <c r="E1095" s="115" t="inlineStr">
        <is>
          <t>RECEP SELİM</t>
        </is>
      </c>
      <c r="F1095" s="115" t="n"/>
      <c r="G1095" s="152" t="n"/>
      <c r="H1095" s="152" t="n">
        <v>74</v>
      </c>
      <c r="I1095" s="156">
        <f>+I1094+(G1095-H1095)</f>
        <v/>
      </c>
      <c r="J1095" s="90" t="n">
        <v>64</v>
      </c>
      <c r="K1095" s="166" t="n"/>
      <c r="L1095" s="158">
        <f>+H1095*J1095</f>
        <v/>
      </c>
      <c r="M1095" s="159">
        <f>SUM(M1094+K1095-L1095)</f>
        <v/>
      </c>
    </row>
    <row r="1096">
      <c r="A1096" s="151" t="n">
        <v>46113</v>
      </c>
      <c r="B1096" s="70" t="n">
        <v>634</v>
      </c>
      <c r="C1096" s="152" t="inlineStr">
        <is>
          <t>AHMET SELİM TEMHA</t>
        </is>
      </c>
      <c r="D1096" s="115" t="inlineStr">
        <is>
          <t>34 PGT 251</t>
        </is>
      </c>
      <c r="E1096" s="115" t="inlineStr">
        <is>
          <t>ERSOY SIĞINMAZ</t>
        </is>
      </c>
      <c r="F1096" s="115" t="n"/>
      <c r="G1096" s="152" t="n"/>
      <c r="H1096" s="152" t="n">
        <v>46</v>
      </c>
      <c r="I1096" s="156">
        <f>+I1095+(G1096-H1096)</f>
        <v/>
      </c>
      <c r="J1096" s="90" t="n">
        <v>64</v>
      </c>
      <c r="K1096" s="166" t="n"/>
      <c r="L1096" s="158">
        <f>+H1096*J1096</f>
        <v/>
      </c>
      <c r="M1096" s="159">
        <f>SUM(M1095+K1096-L1096)</f>
        <v/>
      </c>
    </row>
    <row r="1097">
      <c r="A1097" s="151" t="n">
        <v>46113</v>
      </c>
      <c r="B1097" s="70" t="n">
        <v>641</v>
      </c>
      <c r="C1097" s="152" t="inlineStr">
        <is>
          <t>AHMET SELİM TEMHA</t>
        </is>
      </c>
      <c r="D1097" s="115" t="inlineStr">
        <is>
          <t>MANİTO</t>
        </is>
      </c>
      <c r="E1097" s="115" t="inlineStr">
        <is>
          <t>TURGAY ÇIPLAK</t>
        </is>
      </c>
      <c r="F1097" s="115" t="n"/>
      <c r="G1097" s="152" t="n"/>
      <c r="H1097" s="152" t="n">
        <v>118</v>
      </c>
      <c r="I1097" s="156">
        <f>+I1096+(G1097-H1097)</f>
        <v/>
      </c>
      <c r="J1097" s="90" t="n">
        <v>64</v>
      </c>
      <c r="K1097" s="166" t="n"/>
      <c r="L1097" s="158">
        <f>+H1097*J1097</f>
        <v/>
      </c>
      <c r="M1097" s="159">
        <f>SUM(M1096+K1097-L1097)</f>
        <v/>
      </c>
    </row>
    <row r="1098">
      <c r="A1098" s="151" t="n">
        <v>46113</v>
      </c>
      <c r="B1098" s="70" t="n">
        <v>11175</v>
      </c>
      <c r="C1098" s="152" t="inlineStr">
        <is>
          <t>SELİM İNŞAAT</t>
        </is>
      </c>
      <c r="D1098" s="115" t="inlineStr">
        <is>
          <t>34 HZ 1663</t>
        </is>
      </c>
      <c r="E1098" s="115" t="inlineStr">
        <is>
          <t>FATİH ÖZBOLAT</t>
        </is>
      </c>
      <c r="F1098" s="115" t="n">
        <v>528331</v>
      </c>
      <c r="G1098" s="152" t="n"/>
      <c r="H1098" s="152" t="n">
        <v>581</v>
      </c>
      <c r="I1098" s="156">
        <f>+I1097+(G1098-H1098)</f>
        <v/>
      </c>
      <c r="J1098" s="90" t="n">
        <v>64</v>
      </c>
      <c r="K1098" s="166" t="n"/>
      <c r="L1098" s="158">
        <f>+H1098*J1098</f>
        <v/>
      </c>
      <c r="M1098" s="159">
        <f>SUM(M1097+K1098-L1098)</f>
        <v/>
      </c>
    </row>
    <row r="1099">
      <c r="A1099" s="151" t="n">
        <v>46113</v>
      </c>
      <c r="B1099" s="70" t="n">
        <v>1523</v>
      </c>
      <c r="C1099" s="152" t="inlineStr">
        <is>
          <t>MEGA VARLIK</t>
        </is>
      </c>
      <c r="D1099" s="115" t="inlineStr">
        <is>
          <t>SM300</t>
        </is>
      </c>
      <c r="E1099" s="115" t="inlineStr">
        <is>
          <t>TEKİN ŞEYLAN</t>
        </is>
      </c>
      <c r="F1099" s="115" t="n"/>
      <c r="G1099" s="152" t="n"/>
      <c r="H1099" s="152" t="n">
        <v>350</v>
      </c>
      <c r="I1099" s="156">
        <f>+I1098+(G1099-H1099)</f>
        <v/>
      </c>
      <c r="J1099" s="90" t="n">
        <v>64</v>
      </c>
      <c r="K1099" s="166" t="n"/>
      <c r="L1099" s="158">
        <f>+H1099*J1099</f>
        <v/>
      </c>
      <c r="M1099" s="159">
        <f>SUM(M1098+K1099-L1099)</f>
        <v/>
      </c>
    </row>
    <row r="1100">
      <c r="A1100" s="151" t="n">
        <v>46113</v>
      </c>
      <c r="B1100" s="70" t="n">
        <v>1524</v>
      </c>
      <c r="C1100" s="152" t="inlineStr">
        <is>
          <t>EVKUR</t>
        </is>
      </c>
      <c r="D1100" s="115" t="inlineStr">
        <is>
          <t>KİRALIK KATO</t>
        </is>
      </c>
      <c r="E1100" s="115" t="inlineStr">
        <is>
          <t>GÜNEŞ BEYİN TALİMATI</t>
        </is>
      </c>
      <c r="F1100" s="115" t="n"/>
      <c r="G1100" s="152" t="n"/>
      <c r="H1100" s="152" t="n">
        <v>103</v>
      </c>
      <c r="I1100" s="156">
        <f>+I1099+(G1100-H1100)</f>
        <v/>
      </c>
      <c r="J1100" s="90" t="n">
        <v>64</v>
      </c>
      <c r="K1100" s="166" t="n"/>
      <c r="L1100" s="158">
        <f>+H1100*J1100</f>
        <v/>
      </c>
      <c r="M1100" s="159">
        <f>SUM(M1099+K1100-L1100)</f>
        <v/>
      </c>
    </row>
    <row r="1101">
      <c r="A1101" s="151" t="n">
        <v>46113</v>
      </c>
      <c r="B1101" s="70" t="n">
        <v>1525</v>
      </c>
      <c r="C1101" s="152" t="inlineStr">
        <is>
          <t>HASALTUN</t>
        </is>
      </c>
      <c r="D1101" s="115" t="inlineStr">
        <is>
          <t>JCB</t>
        </is>
      </c>
      <c r="E1101" s="115" t="inlineStr">
        <is>
          <t>BAYRAM SANCAK</t>
        </is>
      </c>
      <c r="F1101" s="115" t="n"/>
      <c r="G1101" s="152" t="n"/>
      <c r="H1101" s="152" t="n">
        <v>70</v>
      </c>
      <c r="I1101" s="156">
        <f>+I1100+(G1101-H1101)</f>
        <v/>
      </c>
      <c r="J1101" s="90" t="n">
        <v>64</v>
      </c>
      <c r="K1101" s="166" t="n"/>
      <c r="L1101" s="158">
        <f>+H1101*J1101</f>
        <v/>
      </c>
      <c r="M1101" s="159">
        <f>SUM(M1100+K1101-L1101)</f>
        <v/>
      </c>
    </row>
    <row r="1102">
      <c r="A1102" s="151" t="n">
        <v>46113</v>
      </c>
      <c r="B1102" s="70" t="n">
        <v>1526</v>
      </c>
      <c r="C1102" s="152" t="inlineStr">
        <is>
          <t>HASALTUN</t>
        </is>
      </c>
      <c r="D1102" s="115" t="inlineStr">
        <is>
          <t>HİTACHİ</t>
        </is>
      </c>
      <c r="E1102" s="115" t="inlineStr">
        <is>
          <t xml:space="preserve">TURGUT </t>
        </is>
      </c>
      <c r="F1102" s="115" t="n"/>
      <c r="G1102" s="152" t="n"/>
      <c r="H1102" s="152" t="n">
        <v>371</v>
      </c>
      <c r="I1102" s="156">
        <f>+I1101+(G1102-H1102)</f>
        <v/>
      </c>
      <c r="J1102" s="90" t="n">
        <v>64</v>
      </c>
      <c r="K1102" s="166" t="n"/>
      <c r="L1102" s="158">
        <f>+H1102*J1102</f>
        <v/>
      </c>
      <c r="M1102" s="159">
        <f>SUM(M1101+K1102-L1102)</f>
        <v/>
      </c>
    </row>
    <row r="1103">
      <c r="A1103" s="151" t="n">
        <v>46113</v>
      </c>
      <c r="B1103" s="70" t="n">
        <v>1527</v>
      </c>
      <c r="C1103" s="152" t="inlineStr">
        <is>
          <t>MEGA VARLIK</t>
        </is>
      </c>
      <c r="D1103" s="115" t="inlineStr">
        <is>
          <t>SM350</t>
        </is>
      </c>
      <c r="E1103" s="115" t="inlineStr">
        <is>
          <t>TEVFİK</t>
        </is>
      </c>
      <c r="F1103" s="115" t="n"/>
      <c r="G1103" s="152" t="n"/>
      <c r="H1103" s="152" t="n">
        <v>387</v>
      </c>
      <c r="I1103" s="156">
        <f>+I1102+(G1103-H1103)</f>
        <v/>
      </c>
      <c r="J1103" s="90" t="n">
        <v>64</v>
      </c>
      <c r="K1103" s="166" t="n"/>
      <c r="L1103" s="158">
        <f>+H1103*J1103</f>
        <v/>
      </c>
      <c r="M1103" s="159">
        <f>SUM(M1102+K1103-L1103)</f>
        <v/>
      </c>
    </row>
    <row r="1104">
      <c r="A1104" s="151" t="n">
        <v>46113</v>
      </c>
      <c r="B1104" s="70" t="n">
        <v>1528</v>
      </c>
      <c r="C1104" s="152" t="inlineStr">
        <is>
          <t>MEGA VARLIK</t>
        </is>
      </c>
      <c r="D1104" s="115" t="inlineStr">
        <is>
          <t>SM300</t>
        </is>
      </c>
      <c r="E1104" s="115" t="inlineStr">
        <is>
          <t>TEKİN ŞEYLAN</t>
        </is>
      </c>
      <c r="F1104" s="115" t="n"/>
      <c r="G1104" s="152" t="n"/>
      <c r="H1104" s="152" t="n">
        <v>344</v>
      </c>
      <c r="I1104" s="156">
        <f>+I1103+(G1104-H1104)</f>
        <v/>
      </c>
      <c r="J1104" s="90" t="n">
        <v>64</v>
      </c>
      <c r="K1104" s="166" t="n"/>
      <c r="L1104" s="158">
        <f>+H1104*J1104</f>
        <v/>
      </c>
      <c r="M1104" s="159">
        <f>SUM(M1103+K1104-L1104)</f>
        <v/>
      </c>
    </row>
    <row r="1105">
      <c r="A1105" s="151" t="n">
        <v>46113</v>
      </c>
      <c r="B1105" s="70" t="n">
        <v>1529</v>
      </c>
      <c r="C1105" s="152" t="inlineStr">
        <is>
          <t>MEGA VARLIK</t>
        </is>
      </c>
      <c r="D1105" s="115" t="inlineStr">
        <is>
          <t>KAWAZAKİ</t>
        </is>
      </c>
      <c r="E1105" s="115" t="inlineStr">
        <is>
          <t>RAMAZAN</t>
        </is>
      </c>
      <c r="F1105" s="115" t="n"/>
      <c r="G1105" s="152" t="n"/>
      <c r="H1105" s="152" t="n">
        <v>251</v>
      </c>
      <c r="I1105" s="156">
        <f>+I1104+(G1105-H1105)</f>
        <v/>
      </c>
      <c r="J1105" s="90" t="n">
        <v>64</v>
      </c>
      <c r="K1105" s="166" t="n"/>
      <c r="L1105" s="158">
        <f>+H1105*J1105</f>
        <v/>
      </c>
      <c r="M1105" s="159">
        <f>SUM(M1104+K1105-L1105)</f>
        <v/>
      </c>
    </row>
    <row r="1106">
      <c r="A1106" s="151" t="n">
        <v>46114</v>
      </c>
      <c r="B1106" s="70" t="n">
        <v>196</v>
      </c>
      <c r="C1106" s="115" t="inlineStr">
        <is>
          <t>SELİM İNŞAAT</t>
        </is>
      </c>
      <c r="D1106" s="115" t="inlineStr">
        <is>
          <t>34 TG 7869</t>
        </is>
      </c>
      <c r="E1106" s="115" t="inlineStr">
        <is>
          <t>DURSUN ALİ GÜREK</t>
        </is>
      </c>
      <c r="F1106" s="65" t="n">
        <v>193715</v>
      </c>
      <c r="G1106" s="152" t="n"/>
      <c r="H1106" s="152" t="n">
        <v>347</v>
      </c>
      <c r="I1106" s="156">
        <f>+I1105+(G1106-H1106)</f>
        <v/>
      </c>
      <c r="J1106" s="90" t="n">
        <v>64</v>
      </c>
      <c r="K1106" s="166" t="n"/>
      <c r="L1106" s="158">
        <f>+H1106*J1106</f>
        <v/>
      </c>
      <c r="M1106" s="159">
        <f>SUM(M1105+K1106-L1106)</f>
        <v/>
      </c>
    </row>
    <row r="1107">
      <c r="A1107" s="151" t="n">
        <v>46114</v>
      </c>
      <c r="B1107" s="70" t="n">
        <v>2396</v>
      </c>
      <c r="C1107" s="115" t="inlineStr">
        <is>
          <t>SELİM İNŞAAT</t>
        </is>
      </c>
      <c r="D1107" s="115" t="inlineStr">
        <is>
          <t>34 FEM 934</t>
        </is>
      </c>
      <c r="E1107" s="115" t="inlineStr">
        <is>
          <t>YAKUP URUCU</t>
        </is>
      </c>
      <c r="F1107" s="65" t="n">
        <v>335819</v>
      </c>
      <c r="G1107" s="152" t="n"/>
      <c r="H1107" s="152" t="n">
        <v>48</v>
      </c>
      <c r="I1107" s="156">
        <f>+I1106+(G1107-H1107)</f>
        <v/>
      </c>
      <c r="J1107" s="90" t="n">
        <v>64</v>
      </c>
      <c r="K1107" s="166" t="n"/>
      <c r="L1107" s="158">
        <f>+H1107*J1107</f>
        <v/>
      </c>
      <c r="M1107" s="159">
        <f>SUM(M1106+K1107-L1107)</f>
        <v/>
      </c>
    </row>
    <row r="1108">
      <c r="A1108" s="151" t="n">
        <v>46114</v>
      </c>
      <c r="B1108" s="70" t="n">
        <v>821</v>
      </c>
      <c r="C1108" s="115" t="inlineStr">
        <is>
          <t>METİN ERYİĞİT</t>
        </is>
      </c>
      <c r="D1108" s="115" t="inlineStr">
        <is>
          <t>34 GBL 998</t>
        </is>
      </c>
      <c r="E1108" s="115" t="inlineStr">
        <is>
          <t>ALİ KESKİN</t>
        </is>
      </c>
      <c r="F1108" s="115" t="n">
        <v>354161</v>
      </c>
      <c r="G1108" s="152" t="n"/>
      <c r="H1108" s="152" t="n">
        <v>425</v>
      </c>
      <c r="I1108" s="156">
        <f>+I1107+(G1108-H1108)</f>
        <v/>
      </c>
      <c r="J1108" s="90" t="n">
        <v>64</v>
      </c>
      <c r="K1108" s="166" t="n"/>
      <c r="L1108" s="158">
        <f>+H1108*J1108</f>
        <v/>
      </c>
      <c r="M1108" s="159">
        <f>SUM(M1107+K1108-L1108)</f>
        <v/>
      </c>
    </row>
    <row r="1109">
      <c r="A1109" s="151" t="n">
        <v>46114</v>
      </c>
      <c r="B1109" s="70" t="n">
        <v>762</v>
      </c>
      <c r="C1109" s="115" t="inlineStr">
        <is>
          <t>METİN ERYİĞİT</t>
        </is>
      </c>
      <c r="D1109" s="115" t="inlineStr">
        <is>
          <t>34 EGR 814</t>
        </is>
      </c>
      <c r="E1109" s="115" t="inlineStr">
        <is>
          <t>ZİYA İNCE</t>
        </is>
      </c>
      <c r="F1109" s="115" t="n">
        <v>614954</v>
      </c>
      <c r="G1109" s="152" t="n"/>
      <c r="H1109" s="152" t="n">
        <v>396</v>
      </c>
      <c r="I1109" s="156">
        <f>+I1108+(G1109-H1109)</f>
        <v/>
      </c>
      <c r="J1109" s="90" t="n">
        <v>64</v>
      </c>
      <c r="K1109" s="166" t="n"/>
      <c r="L1109" s="158">
        <f>+H1109*J1109</f>
        <v/>
      </c>
      <c r="M1109" s="159">
        <f>SUM(M1108+K1109-L1109)</f>
        <v/>
      </c>
    </row>
    <row r="1110">
      <c r="A1110" s="151" t="n">
        <v>46114</v>
      </c>
      <c r="B1110" s="70" t="n">
        <v>723</v>
      </c>
      <c r="C1110" s="115" t="inlineStr">
        <is>
          <t>METİN ERYİĞİT</t>
        </is>
      </c>
      <c r="D1110" s="115" t="inlineStr">
        <is>
          <t>34 EGS 013</t>
        </is>
      </c>
      <c r="E1110" s="115" t="inlineStr">
        <is>
          <t>UĞUR DUMAN</t>
        </is>
      </c>
      <c r="F1110" s="115" t="n">
        <v>570797</v>
      </c>
      <c r="G1110" s="152" t="n"/>
      <c r="H1110" s="152" t="n">
        <v>435</v>
      </c>
      <c r="I1110" s="156">
        <f>+I1109+(G1110-H1110)</f>
        <v/>
      </c>
      <c r="J1110" s="90" t="n">
        <v>64</v>
      </c>
      <c r="K1110" s="166" t="n"/>
      <c r="L1110" s="158">
        <f>+H1110*J1110</f>
        <v/>
      </c>
      <c r="M1110" s="159">
        <f>SUM(M1109+K1110-L1110)</f>
        <v/>
      </c>
    </row>
    <row r="1111">
      <c r="A1111" s="151" t="n">
        <v>46114</v>
      </c>
      <c r="B1111" s="70" t="n">
        <v>1399</v>
      </c>
      <c r="C1111" s="152" t="inlineStr">
        <is>
          <t>AZGÜN YAPI</t>
        </is>
      </c>
      <c r="D1111" s="115" t="inlineStr">
        <is>
          <t>34 MKT 859</t>
        </is>
      </c>
      <c r="E1111" s="115" t="inlineStr">
        <is>
          <t>İRFAN DAĞLAR</t>
        </is>
      </c>
      <c r="F1111" s="115" t="n"/>
      <c r="G1111" s="152" t="n"/>
      <c r="H1111" s="152" t="n">
        <v>256</v>
      </c>
      <c r="I1111" s="156">
        <f>+I1110+(G1111-H1111)</f>
        <v/>
      </c>
      <c r="J1111" s="90" t="n">
        <v>64</v>
      </c>
      <c r="K1111" s="166" t="n"/>
      <c r="L1111" s="158">
        <f>+H1111*J1111</f>
        <v/>
      </c>
      <c r="M1111" s="159">
        <f>SUM(M1110+K1111-L1111)</f>
        <v/>
      </c>
    </row>
    <row r="1112">
      <c r="A1112" s="167" t="n">
        <v>46115</v>
      </c>
      <c r="B1112" s="83" t="n">
        <v>641</v>
      </c>
      <c r="C1112" s="84" t="inlineStr">
        <is>
          <t>ÜNSOY TURİZM İNŞ.SAN.VE TİC.A.Ş.</t>
        </is>
      </c>
      <c r="D1112" s="84" t="n"/>
      <c r="E1112" s="84" t="n"/>
      <c r="F1112" s="85" t="n"/>
      <c r="G1112" s="168" t="n">
        <v>31614</v>
      </c>
      <c r="H1112" s="168" t="n"/>
      <c r="I1112" s="168">
        <f>+I1111+(G1112-H1112)</f>
        <v/>
      </c>
      <c r="J1112" s="87">
        <f>+K1112/G1112</f>
        <v/>
      </c>
      <c r="K1112" s="169" t="n">
        <v>2141848.5</v>
      </c>
      <c r="L1112" s="170">
        <f>+H1112*J1112</f>
        <v/>
      </c>
      <c r="M1112" s="170">
        <f>SUM(M1111+K1112-L1112)</f>
        <v/>
      </c>
    </row>
    <row r="1113">
      <c r="A1113" s="151" t="n">
        <v>46116</v>
      </c>
      <c r="B1113" s="70" t="n">
        <v>1534</v>
      </c>
      <c r="C1113" s="152" t="inlineStr">
        <is>
          <t>MEGA VARLIK</t>
        </is>
      </c>
      <c r="D1113" s="115" t="inlineStr">
        <is>
          <t>34 AZ 2191</t>
        </is>
      </c>
      <c r="E1113" s="115" t="inlineStr">
        <is>
          <t>NUMAN KABİL</t>
        </is>
      </c>
      <c r="F1113" s="115" t="n"/>
      <c r="G1113" s="152" t="n"/>
      <c r="H1113" s="152" t="n">
        <v>181</v>
      </c>
      <c r="I1113" s="156">
        <f>+I1112+(G1113-H1113)</f>
        <v/>
      </c>
      <c r="J1113" s="90" t="n">
        <v>67.75</v>
      </c>
      <c r="K1113" s="166" t="n"/>
      <c r="L1113" s="158">
        <f>+H1113*J1113</f>
        <v/>
      </c>
      <c r="M1113" s="159">
        <f>SUM(M1112+K1113-L1113)</f>
        <v/>
      </c>
    </row>
    <row r="1114">
      <c r="A1114" s="151" t="n">
        <v>46118</v>
      </c>
      <c r="B1114" s="70" t="n">
        <v>3736</v>
      </c>
      <c r="C1114" s="115" t="inlineStr">
        <is>
          <t>SELİM İNŞAAT</t>
        </is>
      </c>
      <c r="D1114" s="115" t="inlineStr">
        <is>
          <t>34 DKL 866</t>
        </is>
      </c>
      <c r="E1114" s="115" t="inlineStr">
        <is>
          <t>SELİMCAN ÖNVER</t>
        </is>
      </c>
      <c r="F1114" s="65" t="n">
        <v>83731</v>
      </c>
      <c r="G1114" s="152" t="n"/>
      <c r="H1114" s="152" t="n">
        <v>259</v>
      </c>
      <c r="I1114" s="156">
        <f>+I1113+(G1114-H1114)</f>
        <v/>
      </c>
      <c r="J1114" s="90" t="n">
        <v>67.75</v>
      </c>
      <c r="K1114" s="166" t="n"/>
      <c r="L1114" s="158">
        <f>+H1114*J1114</f>
        <v/>
      </c>
      <c r="M1114" s="159">
        <f>SUM(M1113+K1114-L1114)</f>
        <v/>
      </c>
    </row>
    <row r="1115">
      <c r="A1115" s="151" t="n">
        <v>46118</v>
      </c>
      <c r="B1115" s="70" t="n">
        <v>1351</v>
      </c>
      <c r="C1115" s="115" t="inlineStr">
        <is>
          <t>SELİM İNŞAAT</t>
        </is>
      </c>
      <c r="D1115" s="115" t="inlineStr">
        <is>
          <t>34 DP 4161</t>
        </is>
      </c>
      <c r="E1115" s="115" t="inlineStr">
        <is>
          <t>RIFAT KARATAY</t>
        </is>
      </c>
      <c r="F1115" s="65" t="n">
        <v>322022</v>
      </c>
      <c r="G1115" s="152" t="n"/>
      <c r="H1115" s="152" t="n">
        <v>294</v>
      </c>
      <c r="I1115" s="156">
        <f>+I1114+(G1115-H1115)</f>
        <v/>
      </c>
      <c r="J1115" s="90" t="n">
        <v>67.75</v>
      </c>
      <c r="K1115" s="166" t="n"/>
      <c r="L1115" s="158">
        <f>+H1115*J1115</f>
        <v/>
      </c>
      <c r="M1115" s="159">
        <f>SUM(M1114+K1115-L1115)</f>
        <v/>
      </c>
    </row>
    <row r="1116">
      <c r="A1116" s="151" t="n">
        <v>46118</v>
      </c>
      <c r="B1116" s="70" t="n">
        <v>1636</v>
      </c>
      <c r="C1116" s="115" t="inlineStr">
        <is>
          <t>SELİM İNŞAAT</t>
        </is>
      </c>
      <c r="D1116" s="115" t="inlineStr">
        <is>
          <t>34 VF 2620</t>
        </is>
      </c>
      <c r="E1116" s="115" t="inlineStr">
        <is>
          <t>RECEP SELİM</t>
        </is>
      </c>
      <c r="F1116" s="65" t="n">
        <v>203760</v>
      </c>
      <c r="G1116" s="152" t="n"/>
      <c r="H1116" s="152" t="n">
        <v>62</v>
      </c>
      <c r="I1116" s="156">
        <f>+I1115+(G1116-H1116)</f>
        <v/>
      </c>
      <c r="J1116" s="90" t="n">
        <v>67.75</v>
      </c>
      <c r="K1116" s="166" t="n"/>
      <c r="L1116" s="158">
        <f>+H1116*J1116</f>
        <v/>
      </c>
      <c r="M1116" s="159">
        <f>SUM(M1115+K1116-L1116)</f>
        <v/>
      </c>
    </row>
    <row r="1117">
      <c r="A1117" s="151" t="n">
        <v>46118</v>
      </c>
      <c r="B1117" s="70" t="n">
        <v>4024</v>
      </c>
      <c r="C1117" s="115" t="inlineStr">
        <is>
          <t>SELİM İNŞAAT</t>
        </is>
      </c>
      <c r="D1117" s="115" t="inlineStr">
        <is>
          <t>34 AR 7743</t>
        </is>
      </c>
      <c r="E1117" s="115" t="inlineStr">
        <is>
          <t>MEHMET SELİM</t>
        </is>
      </c>
      <c r="F1117" s="65" t="n">
        <v>375896</v>
      </c>
      <c r="G1117" s="152" t="n"/>
      <c r="H1117" s="152" t="n">
        <v>56</v>
      </c>
      <c r="I1117" s="156">
        <f>+I1116+(G1117-H1117)</f>
        <v/>
      </c>
      <c r="J1117" s="90" t="n">
        <v>67.75</v>
      </c>
      <c r="K1117" s="166" t="n"/>
      <c r="L1117" s="158">
        <f>+H1117*J1117</f>
        <v/>
      </c>
      <c r="M1117" s="159">
        <f>SUM(M1116+K1117-L1117)</f>
        <v/>
      </c>
    </row>
    <row r="1118">
      <c r="A1118" s="151" t="n">
        <v>46118</v>
      </c>
      <c r="B1118" s="70" t="n">
        <v>2397</v>
      </c>
      <c r="C1118" s="115" t="inlineStr">
        <is>
          <t>SELİM İNŞAAT</t>
        </is>
      </c>
      <c r="D1118" s="115" t="inlineStr">
        <is>
          <t>34 FEM 934</t>
        </is>
      </c>
      <c r="E1118" s="115" t="inlineStr">
        <is>
          <t>YAKUP URUCU</t>
        </is>
      </c>
      <c r="F1118" s="65" t="n">
        <v>336156</v>
      </c>
      <c r="G1118" s="152" t="n"/>
      <c r="H1118" s="152" t="n">
        <v>47</v>
      </c>
      <c r="I1118" s="156">
        <f>+I1117+(G1118-H1118)</f>
        <v/>
      </c>
      <c r="J1118" s="90" t="n">
        <v>67.75</v>
      </c>
      <c r="K1118" s="166" t="n"/>
      <c r="L1118" s="158">
        <f>+H1118*J1118</f>
        <v/>
      </c>
      <c r="M1118" s="159">
        <f>SUM(M1117+K1118-L1118)</f>
        <v/>
      </c>
    </row>
    <row r="1119">
      <c r="A1119" s="151" t="n">
        <v>46118</v>
      </c>
      <c r="B1119" s="70" t="n">
        <v>2986</v>
      </c>
      <c r="C1119" s="115" t="inlineStr">
        <is>
          <t>SELİM İNŞAAT</t>
        </is>
      </c>
      <c r="D1119" s="115" t="inlineStr">
        <is>
          <t>34 DFE 454</t>
        </is>
      </c>
      <c r="E1119" s="115" t="inlineStr">
        <is>
          <t>HÜSEYİN ALIN</t>
        </is>
      </c>
      <c r="F1119" s="65" t="n">
        <v>176000</v>
      </c>
      <c r="G1119" s="152" t="n"/>
      <c r="H1119" s="152" t="n">
        <v>263</v>
      </c>
      <c r="I1119" s="156">
        <f>+I1118+(G1119-H1119)</f>
        <v/>
      </c>
      <c r="J1119" s="90" t="n">
        <v>67.75</v>
      </c>
      <c r="K1119" s="166" t="n"/>
      <c r="L1119" s="158">
        <f>+H1119*J1119</f>
        <v/>
      </c>
      <c r="M1119" s="159">
        <f>SUM(M1118+K1119-L1119)</f>
        <v/>
      </c>
    </row>
    <row r="1120">
      <c r="A1120" s="151" t="n">
        <v>46118</v>
      </c>
      <c r="B1120" s="70" t="n">
        <v>658</v>
      </c>
      <c r="C1120" s="115" t="inlineStr">
        <is>
          <t>SELİM İNŞAAT</t>
        </is>
      </c>
      <c r="D1120" s="115" t="inlineStr">
        <is>
          <t>34 GU 945</t>
        </is>
      </c>
      <c r="E1120" s="115" t="inlineStr">
        <is>
          <t>YAKUP URUCU</t>
        </is>
      </c>
      <c r="F1120" s="65" t="n">
        <v>475064</v>
      </c>
      <c r="G1120" s="152" t="n"/>
      <c r="H1120" s="152" t="n">
        <v>67</v>
      </c>
      <c r="I1120" s="156">
        <f>+I1119+(G1120-H1120)</f>
        <v/>
      </c>
      <c r="J1120" s="90" t="n">
        <v>67.75</v>
      </c>
      <c r="K1120" s="166" t="n"/>
      <c r="L1120" s="158">
        <f>+H1120*J1120</f>
        <v/>
      </c>
      <c r="M1120" s="159">
        <f>SUM(M1119+K1120-L1120)</f>
        <v/>
      </c>
    </row>
    <row r="1121">
      <c r="A1121" s="151" t="n">
        <v>46118</v>
      </c>
      <c r="B1121" s="70" t="n">
        <v>153</v>
      </c>
      <c r="C1121" s="115" t="inlineStr">
        <is>
          <t>SELİM İNŞAAT</t>
        </is>
      </c>
      <c r="D1121" s="115" t="inlineStr">
        <is>
          <t>34 FBR 771</t>
        </is>
      </c>
      <c r="E1121" s="115" t="inlineStr">
        <is>
          <t>SALİH YALÇIN</t>
        </is>
      </c>
      <c r="F1121" s="65" t="n">
        <v>352009</v>
      </c>
      <c r="G1121" s="152" t="n"/>
      <c r="H1121" s="152" t="n">
        <v>459</v>
      </c>
      <c r="I1121" s="156">
        <f>+I1120+(G1121-H1121)</f>
        <v/>
      </c>
      <c r="J1121" s="90" t="n">
        <v>67.75</v>
      </c>
      <c r="K1121" s="166" t="n"/>
      <c r="L1121" s="158">
        <f>+H1121*J1121</f>
        <v/>
      </c>
      <c r="M1121" s="159">
        <f>SUM(M1120+K1121-L1121)</f>
        <v/>
      </c>
    </row>
    <row r="1122">
      <c r="A1122" s="151" t="n">
        <v>46118</v>
      </c>
      <c r="B1122" s="70" t="n">
        <v>3494</v>
      </c>
      <c r="C1122" s="115" t="inlineStr">
        <is>
          <t>SELİM İNŞAAT</t>
        </is>
      </c>
      <c r="D1122" s="115" t="inlineStr">
        <is>
          <t>34 EDB 754</t>
        </is>
      </c>
      <c r="E1122" s="115" t="inlineStr">
        <is>
          <t>SELÇUK BASTIK</t>
        </is>
      </c>
      <c r="F1122" s="65" t="n">
        <v>375692</v>
      </c>
      <c r="G1122" s="152" t="n"/>
      <c r="H1122" s="152" t="n">
        <v>346</v>
      </c>
      <c r="I1122" s="156">
        <f>+I1121+(G1122-H1122)</f>
        <v/>
      </c>
      <c r="J1122" s="90" t="n">
        <v>67.75</v>
      </c>
      <c r="K1122" s="166" t="n"/>
      <c r="L1122" s="158">
        <f>+H1122*J1122</f>
        <v/>
      </c>
      <c r="M1122" s="159">
        <f>SUM(M1121+K1122-L1122)</f>
        <v/>
      </c>
    </row>
    <row r="1123">
      <c r="A1123" s="151" t="n">
        <v>46118</v>
      </c>
      <c r="B1123" s="70" t="n">
        <v>4933</v>
      </c>
      <c r="C1123" s="115" t="inlineStr">
        <is>
          <t>SELİM İNŞAAT</t>
        </is>
      </c>
      <c r="D1123" s="115" t="inlineStr">
        <is>
          <t>34 FBR 742</t>
        </is>
      </c>
      <c r="E1123" s="115" t="inlineStr">
        <is>
          <t>ADNAN KOÇ</t>
        </is>
      </c>
      <c r="F1123" s="65" t="n">
        <v>369700</v>
      </c>
      <c r="G1123" s="152" t="n"/>
      <c r="H1123" s="152" t="n">
        <v>325</v>
      </c>
      <c r="I1123" s="156">
        <f>+I1122+(G1123-H1123)</f>
        <v/>
      </c>
      <c r="J1123" s="90" t="n">
        <v>67.75</v>
      </c>
      <c r="K1123" s="166" t="n"/>
      <c r="L1123" s="158">
        <f>+H1123*J1123</f>
        <v/>
      </c>
      <c r="M1123" s="159">
        <f>SUM(M1122+K1123-L1123)</f>
        <v/>
      </c>
    </row>
    <row r="1124">
      <c r="A1124" s="151" t="n">
        <v>46118</v>
      </c>
      <c r="B1124" s="70" t="n">
        <v>33378</v>
      </c>
      <c r="C1124" s="115" t="inlineStr">
        <is>
          <t>SELİM İNŞAAT</t>
        </is>
      </c>
      <c r="D1124" s="115" t="inlineStr">
        <is>
          <t>34 GUS 938</t>
        </is>
      </c>
      <c r="E1124" s="115" t="inlineStr">
        <is>
          <t>MEHMET KAYA</t>
        </is>
      </c>
      <c r="F1124" s="65" t="n">
        <v>251478</v>
      </c>
      <c r="G1124" s="152" t="n"/>
      <c r="H1124" s="152" t="n">
        <v>397</v>
      </c>
      <c r="I1124" s="156">
        <f>+I1123+(G1124-H1124)</f>
        <v/>
      </c>
      <c r="J1124" s="90" t="n">
        <v>67.75</v>
      </c>
      <c r="K1124" s="166" t="n"/>
      <c r="L1124" s="158">
        <f>+H1124*J1124</f>
        <v/>
      </c>
      <c r="M1124" s="159">
        <f>SUM(M1123+K1124-L1124)</f>
        <v/>
      </c>
    </row>
    <row r="1125">
      <c r="A1125" s="151" t="n">
        <v>46118</v>
      </c>
      <c r="B1125" s="70" t="n">
        <v>102</v>
      </c>
      <c r="C1125" s="115" t="inlineStr">
        <is>
          <t>SELİM İNŞAAT</t>
        </is>
      </c>
      <c r="D1125" s="115" t="inlineStr">
        <is>
          <t>34 GUS 848</t>
        </is>
      </c>
      <c r="E1125" s="115" t="inlineStr">
        <is>
          <t>SERDAR BOZKURT</t>
        </is>
      </c>
      <c r="F1125" s="65" t="n">
        <v>237347</v>
      </c>
      <c r="G1125" s="152" t="n"/>
      <c r="H1125" s="152" t="n">
        <v>531</v>
      </c>
      <c r="I1125" s="156">
        <f>+I1124+(G1125-H1125)</f>
        <v/>
      </c>
      <c r="J1125" s="90" t="n">
        <v>67.75</v>
      </c>
      <c r="K1125" s="166" t="n"/>
      <c r="L1125" s="158">
        <f>+H1125*J1125</f>
        <v/>
      </c>
      <c r="M1125" s="159">
        <f>SUM(M1124+K1125-L1125)</f>
        <v/>
      </c>
    </row>
    <row r="1126">
      <c r="A1126" s="151" t="n">
        <v>46118</v>
      </c>
      <c r="B1126" s="70" t="n">
        <v>857</v>
      </c>
      <c r="C1126" s="115" t="inlineStr">
        <is>
          <t>SELİM İNŞAAT</t>
        </is>
      </c>
      <c r="D1126" s="115" t="inlineStr">
        <is>
          <t>34 EGR 922</t>
        </is>
      </c>
      <c r="E1126" s="115" t="inlineStr">
        <is>
          <t>FARUK ÖZEN</t>
        </is>
      </c>
      <c r="F1126" s="65" t="n">
        <v>508881</v>
      </c>
      <c r="G1126" s="152" t="n"/>
      <c r="H1126" s="152" t="n">
        <v>541</v>
      </c>
      <c r="I1126" s="156">
        <f>+I1125+(G1126-H1126)</f>
        <v/>
      </c>
      <c r="J1126" s="90" t="n">
        <v>67.75</v>
      </c>
      <c r="K1126" s="166" t="n"/>
      <c r="L1126" s="158">
        <f>+H1126*J1126</f>
        <v/>
      </c>
      <c r="M1126" s="159">
        <f>SUM(M1125+K1126-L1126)</f>
        <v/>
      </c>
    </row>
    <row r="1127">
      <c r="A1127" s="151" t="n">
        <v>46118</v>
      </c>
      <c r="B1127" s="70" t="n">
        <v>912</v>
      </c>
      <c r="C1127" s="115" t="inlineStr">
        <is>
          <t>SELİM İNŞAAT</t>
        </is>
      </c>
      <c r="D1127" s="115" t="inlineStr">
        <is>
          <t>34 FSG 229</t>
        </is>
      </c>
      <c r="E1127" s="115" t="inlineStr">
        <is>
          <t>SİNAN TANRIVERDİ</t>
        </is>
      </c>
      <c r="F1127" s="65" t="n">
        <v>304076</v>
      </c>
      <c r="G1127" s="152" t="n"/>
      <c r="H1127" s="152" t="n">
        <v>511</v>
      </c>
      <c r="I1127" s="156">
        <f>+I1126+(G1127-H1127)</f>
        <v/>
      </c>
      <c r="J1127" s="90" t="n">
        <v>67.75</v>
      </c>
      <c r="K1127" s="166" t="n"/>
      <c r="L1127" s="158">
        <f>+H1127*J1127</f>
        <v/>
      </c>
      <c r="M1127" s="159">
        <f>SUM(M1126+K1127-L1127)</f>
        <v/>
      </c>
    </row>
    <row r="1128">
      <c r="A1128" s="151" t="n">
        <v>46118</v>
      </c>
      <c r="B1128" s="70" t="n">
        <v>3397</v>
      </c>
      <c r="C1128" s="115" t="inlineStr">
        <is>
          <t>SELİM İNŞAAT</t>
        </is>
      </c>
      <c r="D1128" s="115" t="inlineStr">
        <is>
          <t>34 EDC 162</t>
        </is>
      </c>
      <c r="E1128" s="115" t="inlineStr">
        <is>
          <t xml:space="preserve">YAKUP GÜNER </t>
        </is>
      </c>
      <c r="F1128" s="65" t="n">
        <v>419931</v>
      </c>
      <c r="G1128" s="152" t="n"/>
      <c r="H1128" s="152" t="n">
        <v>494</v>
      </c>
      <c r="I1128" s="156">
        <f>+I1127+(G1128-H1128)</f>
        <v/>
      </c>
      <c r="J1128" s="90" t="n">
        <v>67.75</v>
      </c>
      <c r="K1128" s="166" t="n"/>
      <c r="L1128" s="158">
        <f>+H1128*J1128</f>
        <v/>
      </c>
      <c r="M1128" s="159">
        <f>SUM(M1127+K1128-L1128)</f>
        <v/>
      </c>
    </row>
    <row r="1129">
      <c r="A1129" s="151" t="n">
        <v>46118</v>
      </c>
      <c r="B1129" s="70" t="n">
        <v>1348</v>
      </c>
      <c r="C1129" s="115" t="inlineStr">
        <is>
          <t>SELİM İNŞAAT</t>
        </is>
      </c>
      <c r="D1129" s="115" t="inlineStr">
        <is>
          <t>34 GVZ 199</t>
        </is>
      </c>
      <c r="E1129" s="115" t="inlineStr">
        <is>
          <t>HÜSEYİN DENİZ</t>
        </is>
      </c>
      <c r="F1129" s="65" t="n">
        <v>230853</v>
      </c>
      <c r="G1129" s="152" t="n"/>
      <c r="H1129" s="152" t="n">
        <v>491</v>
      </c>
      <c r="I1129" s="156">
        <f>+I1128+(G1129-H1129)</f>
        <v/>
      </c>
      <c r="J1129" s="90" t="n">
        <v>67.75</v>
      </c>
      <c r="K1129" s="166" t="n"/>
      <c r="L1129" s="158">
        <f>+H1129*J1129</f>
        <v/>
      </c>
      <c r="M1129" s="159">
        <f>SUM(M1128+K1129-L1129)</f>
        <v/>
      </c>
    </row>
    <row r="1130">
      <c r="A1130" s="151" t="n">
        <v>46118</v>
      </c>
      <c r="B1130" s="70" t="n">
        <v>4774</v>
      </c>
      <c r="C1130" s="115" t="inlineStr">
        <is>
          <t>SELİM İNŞAAT</t>
        </is>
      </c>
      <c r="D1130" s="115" t="inlineStr">
        <is>
          <t>34 DGP 137</t>
        </is>
      </c>
      <c r="E1130" s="115" t="inlineStr">
        <is>
          <t>CEM MUHTAR</t>
        </is>
      </c>
      <c r="F1130" s="115" t="n">
        <v>478184</v>
      </c>
      <c r="G1130" s="152" t="n"/>
      <c r="H1130" s="152" t="n">
        <v>459</v>
      </c>
      <c r="I1130" s="156">
        <f>+I1129+(G1130-H1130)</f>
        <v/>
      </c>
      <c r="J1130" s="90" t="n">
        <v>67.75</v>
      </c>
      <c r="K1130" s="166" t="n"/>
      <c r="L1130" s="158">
        <f>+H1130*J1130</f>
        <v/>
      </c>
      <c r="M1130" s="159">
        <f>SUM(M1129+K1130-L1130)</f>
        <v/>
      </c>
    </row>
    <row r="1131">
      <c r="A1131" s="151" t="n">
        <v>46118</v>
      </c>
      <c r="B1131" s="70" t="n">
        <v>822</v>
      </c>
      <c r="C1131" s="115" t="inlineStr">
        <is>
          <t>METİN ERYİĞİT</t>
        </is>
      </c>
      <c r="D1131" s="115" t="inlineStr">
        <is>
          <t>34 GBL 998</t>
        </is>
      </c>
      <c r="E1131" s="115" t="inlineStr">
        <is>
          <t>ALİ KESKİN</t>
        </is>
      </c>
      <c r="F1131" s="115" t="n">
        <v>355153</v>
      </c>
      <c r="G1131" s="152" t="n"/>
      <c r="H1131" s="152" t="n">
        <v>426</v>
      </c>
      <c r="I1131" s="156">
        <f>+I1130+(G1131-H1131)</f>
        <v/>
      </c>
      <c r="J1131" s="90" t="n">
        <v>67.75</v>
      </c>
      <c r="K1131" s="166" t="n"/>
      <c r="L1131" s="158">
        <f>+H1131*J1131</f>
        <v/>
      </c>
      <c r="M1131" s="159">
        <f>SUM(M1130+K1131-L1131)</f>
        <v/>
      </c>
    </row>
    <row r="1132">
      <c r="A1132" s="151" t="n">
        <v>46118</v>
      </c>
      <c r="B1132" s="70" t="n">
        <v>763</v>
      </c>
      <c r="C1132" s="115" t="inlineStr">
        <is>
          <t>METİN ERYİĞİT</t>
        </is>
      </c>
      <c r="D1132" s="115" t="inlineStr">
        <is>
          <t>34 EGR 814</t>
        </is>
      </c>
      <c r="E1132" s="115" t="inlineStr">
        <is>
          <t>ZİYA İNCE</t>
        </is>
      </c>
      <c r="F1132" s="115" t="n">
        <v>615935</v>
      </c>
      <c r="G1132" s="152" t="n"/>
      <c r="H1132" s="152" t="n">
        <v>460</v>
      </c>
      <c r="I1132" s="156">
        <f>+I1131+(G1132-H1132)</f>
        <v/>
      </c>
      <c r="J1132" s="90" t="n">
        <v>67.75</v>
      </c>
      <c r="K1132" s="166" t="n"/>
      <c r="L1132" s="158">
        <f>+H1132*J1132</f>
        <v/>
      </c>
      <c r="M1132" s="159">
        <f>SUM(M1131+K1132-L1132)</f>
        <v/>
      </c>
    </row>
    <row r="1133">
      <c r="A1133" s="151" t="n">
        <v>46118</v>
      </c>
      <c r="B1133" s="70" t="n">
        <v>724</v>
      </c>
      <c r="C1133" s="115" t="inlineStr">
        <is>
          <t>METİN ERYİĞİT</t>
        </is>
      </c>
      <c r="D1133" s="115" t="inlineStr">
        <is>
          <t>34 EGS 013</t>
        </is>
      </c>
      <c r="E1133" s="115" t="inlineStr">
        <is>
          <t>UĞUR DUMAN</t>
        </is>
      </c>
      <c r="F1133" s="115" t="n">
        <v>571604</v>
      </c>
      <c r="G1133" s="152" t="n"/>
      <c r="H1133" s="152" t="n">
        <v>459</v>
      </c>
      <c r="I1133" s="156">
        <f>+I1132+(G1133-H1133)</f>
        <v/>
      </c>
      <c r="J1133" s="90" t="n">
        <v>67.75</v>
      </c>
      <c r="K1133" s="166" t="n"/>
      <c r="L1133" s="158">
        <f>+H1133*J1133</f>
        <v/>
      </c>
      <c r="M1133" s="159">
        <f>SUM(M1132+K1133-L1133)</f>
        <v/>
      </c>
    </row>
    <row r="1134">
      <c r="A1134" s="151" t="n">
        <v>46118</v>
      </c>
      <c r="B1134" s="70" t="n">
        <v>635</v>
      </c>
      <c r="C1134" s="152" t="inlineStr">
        <is>
          <t>AHMET SELİM TEMHA</t>
        </is>
      </c>
      <c r="D1134" s="115" t="inlineStr">
        <is>
          <t>34 PGT 251</t>
        </is>
      </c>
      <c r="E1134" s="115" t="inlineStr">
        <is>
          <t>ERSOY SIĞINMAZ</t>
        </is>
      </c>
      <c r="F1134" s="115" t="n"/>
      <c r="G1134" s="152" t="n"/>
      <c r="H1134" s="152" t="n">
        <v>61</v>
      </c>
      <c r="I1134" s="156">
        <f>+I1133+(G1134-H1134)</f>
        <v/>
      </c>
      <c r="J1134" s="90" t="n">
        <v>67.75</v>
      </c>
      <c r="K1134" s="166" t="n"/>
      <c r="L1134" s="158">
        <f>+H1134*J1134</f>
        <v/>
      </c>
      <c r="M1134" s="159">
        <f>SUM(M1133+K1134-L1134)</f>
        <v/>
      </c>
    </row>
    <row r="1135">
      <c r="A1135" s="151" t="n">
        <v>46118</v>
      </c>
      <c r="B1135" s="70" t="n">
        <v>636</v>
      </c>
      <c r="C1135" s="152" t="inlineStr">
        <is>
          <t>AHMET SELİM TEMHA</t>
        </is>
      </c>
      <c r="D1135" s="115" t="inlineStr">
        <is>
          <t>34 PGT 251</t>
        </is>
      </c>
      <c r="E1135" s="115" t="inlineStr">
        <is>
          <t>ERSOY SIĞINMAZ</t>
        </is>
      </c>
      <c r="F1135" s="115" t="n"/>
      <c r="G1135" s="152" t="n"/>
      <c r="H1135" s="152" t="n">
        <v>55</v>
      </c>
      <c r="I1135" s="156">
        <f>+I1134+(G1135-H1135)</f>
        <v/>
      </c>
      <c r="J1135" s="90" t="n">
        <v>67.75</v>
      </c>
      <c r="K1135" s="166" t="n"/>
      <c r="L1135" s="158">
        <f>+H1135*J1135</f>
        <v/>
      </c>
      <c r="M1135" s="159">
        <f>SUM(M1134+K1135-L1135)</f>
        <v/>
      </c>
    </row>
    <row r="1136">
      <c r="A1136" s="151" t="n">
        <v>46118</v>
      </c>
      <c r="B1136" s="70" t="n">
        <v>637</v>
      </c>
      <c r="C1136" s="152" t="inlineStr">
        <is>
          <t>ENES SELİM VİNÇ</t>
        </is>
      </c>
      <c r="D1136" s="115" t="inlineStr">
        <is>
          <t>34 TB 926</t>
        </is>
      </c>
      <c r="E1136" s="115" t="inlineStr">
        <is>
          <t>ENES SELİM</t>
        </is>
      </c>
      <c r="F1136" s="115" t="n"/>
      <c r="G1136" s="152" t="n"/>
      <c r="H1136" s="152" t="n">
        <v>184</v>
      </c>
      <c r="I1136" s="156">
        <f>+I1135+(G1136-H1136)</f>
        <v/>
      </c>
      <c r="J1136" s="90" t="n">
        <v>67.75</v>
      </c>
      <c r="K1136" s="166" t="n"/>
      <c r="L1136" s="158">
        <f>+H1136*J1136</f>
        <v/>
      </c>
      <c r="M1136" s="159">
        <f>SUM(M1135+K1136-L1136)</f>
        <v/>
      </c>
    </row>
    <row r="1137">
      <c r="A1137" s="151" t="n">
        <v>46118</v>
      </c>
      <c r="B1137" s="70" t="n">
        <v>638</v>
      </c>
      <c r="C1137" s="152" t="inlineStr">
        <is>
          <t>MAHMUT VİNÇ</t>
        </is>
      </c>
      <c r="D1137" s="115" t="inlineStr">
        <is>
          <t>34 AH 5401</t>
        </is>
      </c>
      <c r="E1137" s="115" t="inlineStr">
        <is>
          <t>YASİN DEMİR</t>
        </is>
      </c>
      <c r="F1137" s="115" t="n"/>
      <c r="G1137" s="152" t="n"/>
      <c r="H1137" s="152" t="n">
        <v>123</v>
      </c>
      <c r="I1137" s="156">
        <f>+I1136+(G1137-H1137)</f>
        <v/>
      </c>
      <c r="J1137" s="90" t="n">
        <v>67.75</v>
      </c>
      <c r="K1137" s="166" t="n"/>
      <c r="L1137" s="158">
        <f>+H1137*J1137</f>
        <v/>
      </c>
      <c r="M1137" s="159">
        <f>SUM(M1136+K1137-L1137)</f>
        <v/>
      </c>
    </row>
    <row r="1138">
      <c r="A1138" s="151" t="n">
        <v>46118</v>
      </c>
      <c r="B1138" s="70" t="n">
        <v>3050</v>
      </c>
      <c r="C1138" s="152" t="inlineStr">
        <is>
          <t>SELİM İNŞAAT</t>
        </is>
      </c>
      <c r="D1138" s="115" t="inlineStr">
        <is>
          <t>34 FBR 781</t>
        </is>
      </c>
      <c r="E1138" s="115" t="inlineStr">
        <is>
          <t>MEVLÜT POLAT</t>
        </is>
      </c>
      <c r="F1138" s="115" t="n">
        <v>366226</v>
      </c>
      <c r="G1138" s="152" t="n"/>
      <c r="H1138" s="152" t="n">
        <v>464</v>
      </c>
      <c r="I1138" s="156">
        <f>+I1137+(G1138-H1138)</f>
        <v/>
      </c>
      <c r="J1138" s="90" t="n">
        <v>67.75</v>
      </c>
      <c r="K1138" s="166" t="n"/>
      <c r="L1138" s="158">
        <f>+H1138*J1138</f>
        <v/>
      </c>
      <c r="M1138" s="159">
        <f>SUM(M1137+K1138-L1138)</f>
        <v/>
      </c>
    </row>
    <row r="1139">
      <c r="A1139" s="151" t="n">
        <v>46118</v>
      </c>
      <c r="B1139" s="70" t="n">
        <v>4121</v>
      </c>
      <c r="C1139" s="152" t="inlineStr">
        <is>
          <t>SELİM İNŞAAT</t>
        </is>
      </c>
      <c r="D1139" s="115" t="inlineStr">
        <is>
          <t>34 EDB 659</t>
        </is>
      </c>
      <c r="E1139" s="115" t="inlineStr">
        <is>
          <t>YASİN ÇATAKLI</t>
        </is>
      </c>
      <c r="F1139" s="115" t="n">
        <v>393965</v>
      </c>
      <c r="G1139" s="152" t="n"/>
      <c r="H1139" s="152" t="n">
        <v>509</v>
      </c>
      <c r="I1139" s="156">
        <f>+I1138+(G1139-H1139)</f>
        <v/>
      </c>
      <c r="J1139" s="90" t="n">
        <v>67.75</v>
      </c>
      <c r="K1139" s="166" t="n"/>
      <c r="L1139" s="158">
        <f>+H1139*J1139</f>
        <v/>
      </c>
      <c r="M1139" s="159">
        <f>SUM(M1138+K1139-L1139)</f>
        <v/>
      </c>
    </row>
    <row r="1140">
      <c r="A1140" s="151" t="n">
        <v>46118</v>
      </c>
      <c r="B1140" s="70" t="n">
        <v>4884</v>
      </c>
      <c r="C1140" s="152" t="inlineStr">
        <is>
          <t>SELİM İNŞAAT</t>
        </is>
      </c>
      <c r="D1140" s="115" t="inlineStr">
        <is>
          <t>34 FBR 705</t>
        </is>
      </c>
      <c r="E1140" s="115" t="inlineStr">
        <is>
          <t>MURAT SARI</t>
        </is>
      </c>
      <c r="F1140" s="115" t="n">
        <v>366145</v>
      </c>
      <c r="G1140" s="152" t="n"/>
      <c r="H1140" s="152" t="n">
        <v>406</v>
      </c>
      <c r="I1140" s="156">
        <f>+I1139+(G1140-H1140)</f>
        <v/>
      </c>
      <c r="J1140" s="90" t="n">
        <v>67.75</v>
      </c>
      <c r="K1140" s="166" t="n"/>
      <c r="L1140" s="158">
        <f>+H1140*J1140</f>
        <v/>
      </c>
      <c r="M1140" s="159">
        <f>SUM(M1139+K1140-L1140)</f>
        <v/>
      </c>
    </row>
    <row r="1141">
      <c r="A1141" s="151" t="n">
        <v>46118</v>
      </c>
      <c r="B1141" s="70" t="n">
        <v>3434</v>
      </c>
      <c r="C1141" s="152" t="inlineStr">
        <is>
          <t>SELİM İNŞAAT</t>
        </is>
      </c>
      <c r="D1141" s="115" t="inlineStr">
        <is>
          <t>34 GVZ 310</t>
        </is>
      </c>
      <c r="E1141" s="115" t="inlineStr">
        <is>
          <t>CELAL YÜZBAŞI</t>
        </is>
      </c>
      <c r="F1141" s="115" t="n">
        <v>251375</v>
      </c>
      <c r="G1141" s="152" t="n"/>
      <c r="H1141" s="152" t="n">
        <v>549</v>
      </c>
      <c r="I1141" s="156">
        <f>+I1140+(G1141-H1141)</f>
        <v/>
      </c>
      <c r="J1141" s="90" t="n">
        <v>67.75</v>
      </c>
      <c r="K1141" s="166" t="n"/>
      <c r="L1141" s="158">
        <f>+H1141*J1141</f>
        <v/>
      </c>
      <c r="M1141" s="159">
        <f>SUM(M1140+K1141-L1141)</f>
        <v/>
      </c>
    </row>
    <row r="1142">
      <c r="A1142" s="151" t="n">
        <v>46118</v>
      </c>
      <c r="B1142" s="70" t="n">
        <v>1400</v>
      </c>
      <c r="C1142" s="152" t="inlineStr">
        <is>
          <t>AZGÜN YAPI</t>
        </is>
      </c>
      <c r="D1142" s="115" t="inlineStr">
        <is>
          <t>34 MKT 859</t>
        </is>
      </c>
      <c r="E1142" s="115" t="inlineStr">
        <is>
          <t>İRFAN DAĞLAR</t>
        </is>
      </c>
      <c r="F1142" s="115" t="n"/>
      <c r="G1142" s="152" t="n"/>
      <c r="H1142" s="152" t="n">
        <v>334</v>
      </c>
      <c r="I1142" s="156">
        <f>+I1141+(G1142-H1142)</f>
        <v/>
      </c>
      <c r="J1142" s="90" t="n">
        <v>67.75</v>
      </c>
      <c r="K1142" s="166" t="n"/>
      <c r="L1142" s="158">
        <f>+H1142*J1142</f>
        <v/>
      </c>
      <c r="M1142" s="159">
        <f>SUM(M1141+K1142-L1142)</f>
        <v/>
      </c>
    </row>
    <row r="1143">
      <c r="A1143" s="151" t="n">
        <v>46118</v>
      </c>
      <c r="B1143" s="70" t="n">
        <v>1530</v>
      </c>
      <c r="C1143" s="152" t="inlineStr">
        <is>
          <t xml:space="preserve">CEVİZ MOBİLYA  </t>
        </is>
      </c>
      <c r="D1143" s="115" t="inlineStr">
        <is>
          <t>FORKLİFT</t>
        </is>
      </c>
      <c r="E1143" s="115" t="inlineStr">
        <is>
          <t>CEMAL AKYOL</t>
        </is>
      </c>
      <c r="F1143" s="115" t="n"/>
      <c r="G1143" s="152" t="n"/>
      <c r="H1143" s="152" t="n">
        <v>32</v>
      </c>
      <c r="I1143" s="156">
        <f>+I1142+(G1143-H1143)</f>
        <v/>
      </c>
      <c r="J1143" s="90" t="n">
        <v>67.75</v>
      </c>
      <c r="K1143" s="166" t="n"/>
      <c r="L1143" s="158">
        <f>+H1143*J1143</f>
        <v/>
      </c>
      <c r="M1143" s="159">
        <f>SUM(M1142+K1143-L1143)</f>
        <v/>
      </c>
    </row>
    <row r="1144">
      <c r="A1144" s="151" t="n">
        <v>46118</v>
      </c>
      <c r="B1144" s="70" t="n">
        <v>1531</v>
      </c>
      <c r="C1144" s="152" t="inlineStr">
        <is>
          <t xml:space="preserve">CEVİZ MOBİLYA  </t>
        </is>
      </c>
      <c r="D1144" s="115" t="inlineStr">
        <is>
          <t>FORKLİFT</t>
        </is>
      </c>
      <c r="E1144" s="115" t="inlineStr">
        <is>
          <t>CEMAL AKYOL</t>
        </is>
      </c>
      <c r="F1144" s="115" t="n"/>
      <c r="G1144" s="152" t="n"/>
      <c r="H1144" s="152" t="n">
        <v>54</v>
      </c>
      <c r="I1144" s="156">
        <f>+I1143+(G1144-H1144)</f>
        <v/>
      </c>
      <c r="J1144" s="90" t="n">
        <v>67.75</v>
      </c>
      <c r="K1144" s="166" t="n"/>
      <c r="L1144" s="158">
        <f>+H1144*J1144</f>
        <v/>
      </c>
      <c r="M1144" s="159">
        <f>SUM(M1143+K1144-L1144)</f>
        <v/>
      </c>
    </row>
    <row r="1145">
      <c r="A1145" s="151" t="n">
        <v>46118</v>
      </c>
      <c r="B1145" s="70" t="n">
        <v>1532</v>
      </c>
      <c r="C1145" s="152" t="inlineStr">
        <is>
          <t>MEGA VARLIK</t>
        </is>
      </c>
      <c r="D1145" s="115" t="inlineStr">
        <is>
          <t>SM350</t>
        </is>
      </c>
      <c r="E1145" s="115" t="inlineStr">
        <is>
          <t xml:space="preserve">MİKAİL BAYILMAZ </t>
        </is>
      </c>
      <c r="F1145" s="115" t="n"/>
      <c r="G1145" s="152" t="n"/>
      <c r="H1145" s="152" t="n">
        <v>421</v>
      </c>
      <c r="I1145" s="156">
        <f>+I1144+(G1145-H1145)</f>
        <v/>
      </c>
      <c r="J1145" s="90" t="n">
        <v>67.75</v>
      </c>
      <c r="K1145" s="166" t="n"/>
      <c r="L1145" s="158">
        <f>+H1145*J1145</f>
        <v/>
      </c>
      <c r="M1145" s="159">
        <f>SUM(M1144+K1145-L1145)</f>
        <v/>
      </c>
    </row>
    <row r="1146">
      <c r="A1146" s="151" t="n">
        <v>46118</v>
      </c>
      <c r="B1146" s="70" t="n">
        <v>1533</v>
      </c>
      <c r="C1146" s="152" t="inlineStr">
        <is>
          <t>MEGA VARLIK</t>
        </is>
      </c>
      <c r="D1146" s="115" t="inlineStr">
        <is>
          <t>SM350</t>
        </is>
      </c>
      <c r="E1146" s="115" t="inlineStr">
        <is>
          <t>TEVFİK</t>
        </is>
      </c>
      <c r="F1146" s="115" t="n"/>
      <c r="G1146" s="152" t="n"/>
      <c r="H1146" s="152" t="n">
        <v>458</v>
      </c>
      <c r="I1146" s="156">
        <f>+I1145+(G1146-H1146)</f>
        <v/>
      </c>
      <c r="J1146" s="90" t="n">
        <v>67.75</v>
      </c>
      <c r="K1146" s="166" t="n"/>
      <c r="L1146" s="158">
        <f>+H1146*J1146</f>
        <v/>
      </c>
      <c r="M1146" s="159">
        <f>SUM(M1145+K1146-L1146)</f>
        <v/>
      </c>
    </row>
    <row r="1147">
      <c r="A1147" s="151" t="n">
        <v>46118</v>
      </c>
      <c r="B1147" s="70" t="n">
        <v>1535</v>
      </c>
      <c r="C1147" s="152" t="inlineStr">
        <is>
          <t>MEGA VARLIK</t>
        </is>
      </c>
      <c r="D1147" s="115" t="inlineStr">
        <is>
          <t>ZOMLİON</t>
        </is>
      </c>
      <c r="E1147" s="115" t="inlineStr">
        <is>
          <t>SALİH YALÇIN</t>
        </is>
      </c>
      <c r="F1147" s="115" t="n"/>
      <c r="G1147" s="152" t="n"/>
      <c r="H1147" s="152" t="n">
        <v>267</v>
      </c>
      <c r="I1147" s="156">
        <f>+I1146+(G1147-H1147)</f>
        <v/>
      </c>
      <c r="J1147" s="90" t="n">
        <v>67.75</v>
      </c>
      <c r="K1147" s="166" t="n"/>
      <c r="L1147" s="158">
        <f>+H1147*J1147</f>
        <v/>
      </c>
      <c r="M1147" s="159">
        <f>SUM(M1146+K1147-L1147)</f>
        <v/>
      </c>
    </row>
    <row r="1148">
      <c r="A1148" s="151" t="n">
        <v>46118</v>
      </c>
      <c r="B1148" s="70" t="n">
        <v>1536</v>
      </c>
      <c r="C1148" s="152" t="inlineStr">
        <is>
          <t>KOZMO</t>
        </is>
      </c>
      <c r="D1148" s="115" t="inlineStr">
        <is>
          <t>SM370</t>
        </is>
      </c>
      <c r="E1148" s="115" t="inlineStr">
        <is>
          <t>BEKİR</t>
        </is>
      </c>
      <c r="F1148" s="115" t="n"/>
      <c r="G1148" s="152" t="n"/>
      <c r="H1148" s="152" t="n">
        <v>470</v>
      </c>
      <c r="I1148" s="156">
        <f>+I1147+(G1148-H1148)</f>
        <v/>
      </c>
      <c r="J1148" s="90" t="n">
        <v>67.75</v>
      </c>
      <c r="K1148" s="166" t="n"/>
      <c r="L1148" s="158">
        <f>+H1148*J1148</f>
        <v/>
      </c>
      <c r="M1148" s="159">
        <f>SUM(M1147+K1148-L1148)</f>
        <v/>
      </c>
    </row>
    <row r="1149">
      <c r="A1149" s="151" t="n">
        <v>46118</v>
      </c>
      <c r="B1149" s="70" t="n">
        <v>1537</v>
      </c>
      <c r="C1149" s="152" t="inlineStr">
        <is>
          <t>KOZMO</t>
        </is>
      </c>
      <c r="D1149" s="115" t="inlineStr">
        <is>
          <t>SM300</t>
        </is>
      </c>
      <c r="E1149" s="115" t="inlineStr">
        <is>
          <t>TEKİN ŞEYLAN</t>
        </is>
      </c>
      <c r="F1149" s="115" t="n"/>
      <c r="G1149" s="152" t="n"/>
      <c r="H1149" s="152" t="n">
        <v>200</v>
      </c>
      <c r="I1149" s="156">
        <f>+I1148+(G1149-H1149)</f>
        <v/>
      </c>
      <c r="J1149" s="90" t="n">
        <v>67.75</v>
      </c>
      <c r="K1149" s="166" t="n"/>
      <c r="L1149" s="158">
        <f>+H1149*J1149</f>
        <v/>
      </c>
      <c r="M1149" s="159">
        <f>SUM(M1148+K1149-L1149)</f>
        <v/>
      </c>
    </row>
    <row r="1150">
      <c r="A1150" s="151" t="n">
        <v>46118</v>
      </c>
      <c r="B1150" s="70" t="n">
        <v>1538</v>
      </c>
      <c r="C1150" s="152" t="inlineStr">
        <is>
          <t>VARLIK</t>
        </is>
      </c>
      <c r="D1150" s="115" t="inlineStr">
        <is>
          <t>KAWAZAKİ</t>
        </is>
      </c>
      <c r="E1150" s="115" t="inlineStr">
        <is>
          <t>RAMAZAN</t>
        </is>
      </c>
      <c r="F1150" s="115" t="n"/>
      <c r="G1150" s="152" t="n"/>
      <c r="H1150" s="152" t="n">
        <v>292</v>
      </c>
      <c r="I1150" s="156">
        <f>+I1149+(G1150-H1150)</f>
        <v/>
      </c>
      <c r="J1150" s="90" t="n">
        <v>67.75</v>
      </c>
      <c r="K1150" s="166" t="n"/>
      <c r="L1150" s="158">
        <f>+H1150*J1150</f>
        <v/>
      </c>
      <c r="M1150" s="159">
        <f>SUM(M1149+K1150-L1150)</f>
        <v/>
      </c>
    </row>
    <row r="1151">
      <c r="A1151" s="151" t="n">
        <v>46118</v>
      </c>
      <c r="B1151" s="70" t="n">
        <v>1539</v>
      </c>
      <c r="C1151" s="152" t="inlineStr">
        <is>
          <t>VARLIK</t>
        </is>
      </c>
      <c r="D1151" s="115" t="inlineStr">
        <is>
          <t>HİTACHİ</t>
        </is>
      </c>
      <c r="E1151" s="115" t="inlineStr">
        <is>
          <t>TURGUT SANCAK</t>
        </is>
      </c>
      <c r="F1151" s="115" t="n"/>
      <c r="G1151" s="152" t="n"/>
      <c r="H1151" s="152" t="n">
        <v>447</v>
      </c>
      <c r="I1151" s="156">
        <f>+I1150+(G1151-H1151)</f>
        <v/>
      </c>
      <c r="J1151" s="90" t="n">
        <v>67.75</v>
      </c>
      <c r="K1151" s="166" t="n"/>
      <c r="L1151" s="158">
        <f>+H1151*J1151</f>
        <v/>
      </c>
      <c r="M1151" s="159">
        <f>SUM(M1150+K1151-L1151)</f>
        <v/>
      </c>
    </row>
    <row r="1152">
      <c r="A1152" s="151" t="n">
        <v>46118</v>
      </c>
      <c r="B1152" s="70" t="n">
        <v>1540</v>
      </c>
      <c r="C1152" s="152" t="inlineStr">
        <is>
          <t>EVKUR</t>
        </is>
      </c>
      <c r="D1152" s="115" t="inlineStr">
        <is>
          <t>SİLİNDİR KİRALIK</t>
        </is>
      </c>
      <c r="E1152" s="115" t="inlineStr">
        <is>
          <t>KÖKSAL GÜLLÜK</t>
        </is>
      </c>
      <c r="F1152" s="115" t="n"/>
      <c r="G1152" s="152" t="n"/>
      <c r="H1152" s="152" t="n">
        <v>276</v>
      </c>
      <c r="I1152" s="156">
        <f>+I1151+(G1152-H1152)</f>
        <v/>
      </c>
      <c r="J1152" s="90" t="n">
        <v>67.75</v>
      </c>
      <c r="K1152" s="166" t="n"/>
      <c r="L1152" s="158">
        <f>+H1152*J1152</f>
        <v/>
      </c>
      <c r="M1152" s="159">
        <f>SUM(M1151+K1152-L1152)</f>
        <v/>
      </c>
    </row>
    <row r="1153">
      <c r="A1153" s="151" t="n">
        <v>46119</v>
      </c>
      <c r="B1153" s="70" t="n">
        <v>4471</v>
      </c>
      <c r="C1153" s="115" t="inlineStr">
        <is>
          <t>SELİM İNŞAAT</t>
        </is>
      </c>
      <c r="D1153" s="115" t="inlineStr">
        <is>
          <t>34 DKL 798</t>
        </is>
      </c>
      <c r="E1153" s="115" t="inlineStr">
        <is>
          <t>HASAN BAYCA</t>
        </is>
      </c>
      <c r="F1153" s="65" t="n">
        <v>82477</v>
      </c>
      <c r="G1153" s="152" t="n"/>
      <c r="H1153" s="152" t="n">
        <v>298</v>
      </c>
      <c r="I1153" s="156">
        <f>+I1152+(G1153-H1153)</f>
        <v/>
      </c>
      <c r="J1153" s="90" t="n">
        <v>67.75</v>
      </c>
      <c r="K1153" s="166" t="n"/>
      <c r="L1153" s="158">
        <f>+H1153*J1153</f>
        <v/>
      </c>
      <c r="M1153" s="159">
        <f>SUM(M1152+K1153-L1153)</f>
        <v/>
      </c>
    </row>
    <row r="1154">
      <c r="A1154" s="151" t="n">
        <v>46119</v>
      </c>
      <c r="B1154" s="70" t="n">
        <v>308</v>
      </c>
      <c r="C1154" s="115" t="inlineStr">
        <is>
          <t>SELİM İNŞAAT</t>
        </is>
      </c>
      <c r="D1154" s="115" t="inlineStr">
        <is>
          <t>34 GER 445</t>
        </is>
      </c>
      <c r="E1154" s="115" t="inlineStr">
        <is>
          <t>MUSTAFA ERYİĞİT</t>
        </is>
      </c>
      <c r="F1154" s="65" t="n">
        <v>58880</v>
      </c>
      <c r="G1154" s="152" t="n"/>
      <c r="H1154" s="152" t="n">
        <v>281</v>
      </c>
      <c r="I1154" s="156">
        <f>+I1153+(G1154-H1154)</f>
        <v/>
      </c>
      <c r="J1154" s="90" t="n">
        <v>67.75</v>
      </c>
      <c r="K1154" s="166" t="n"/>
      <c r="L1154" s="158">
        <f>+H1154*J1154</f>
        <v/>
      </c>
      <c r="M1154" s="159">
        <f>SUM(M1153+K1154-L1154)</f>
        <v/>
      </c>
    </row>
    <row r="1155">
      <c r="A1155" s="151" t="n">
        <v>46119</v>
      </c>
      <c r="B1155" s="70" t="n">
        <v>3231</v>
      </c>
      <c r="C1155" s="115" t="inlineStr">
        <is>
          <t>SELİM İNŞAAT</t>
        </is>
      </c>
      <c r="D1155" s="115" t="inlineStr">
        <is>
          <t>34 EGR 736</t>
        </is>
      </c>
      <c r="E1155" s="115" t="inlineStr">
        <is>
          <t>HAKAN ÇAVUŞOĞLU</t>
        </is>
      </c>
      <c r="F1155" s="65" t="n">
        <v>443271</v>
      </c>
      <c r="G1155" s="152" t="n"/>
      <c r="H1155" s="152" t="n">
        <v>463</v>
      </c>
      <c r="I1155" s="156">
        <f>+I1154+(G1155-H1155)</f>
        <v/>
      </c>
      <c r="J1155" s="90" t="n">
        <v>67.75</v>
      </c>
      <c r="K1155" s="166" t="n"/>
      <c r="L1155" s="158">
        <f>+H1155*J1155</f>
        <v/>
      </c>
      <c r="M1155" s="159">
        <f>SUM(M1154+K1155-L1155)</f>
        <v/>
      </c>
    </row>
    <row r="1156">
      <c r="A1156" s="151" t="n">
        <v>46119</v>
      </c>
      <c r="B1156" s="70" t="n">
        <v>4775</v>
      </c>
      <c r="C1156" s="115" t="inlineStr">
        <is>
          <t>SELİM İNŞAAT</t>
        </is>
      </c>
      <c r="D1156" s="115" t="inlineStr">
        <is>
          <t>34 DGP 137</t>
        </is>
      </c>
      <c r="E1156" s="115" t="inlineStr">
        <is>
          <t>CEM MUHTAR</t>
        </is>
      </c>
      <c r="F1156" s="115" t="n">
        <v>478472</v>
      </c>
      <c r="G1156" s="152" t="n"/>
      <c r="H1156" s="152" t="n">
        <v>425</v>
      </c>
      <c r="I1156" s="156">
        <f>+I1155+(G1156-H1156)</f>
        <v/>
      </c>
      <c r="J1156" s="90" t="n">
        <v>67.75</v>
      </c>
      <c r="K1156" s="166" t="n"/>
      <c r="L1156" s="158">
        <f>+H1156*J1156</f>
        <v/>
      </c>
      <c r="M1156" s="159">
        <f>SUM(M1155+K1156-L1156)</f>
        <v/>
      </c>
    </row>
    <row r="1157">
      <c r="A1157" s="151" t="n">
        <v>46119</v>
      </c>
      <c r="B1157" s="70" t="n">
        <v>823</v>
      </c>
      <c r="C1157" s="115" t="inlineStr">
        <is>
          <t>METİN ERYİĞİT</t>
        </is>
      </c>
      <c r="D1157" s="115" t="inlineStr">
        <is>
          <t>34 GBL 998</t>
        </is>
      </c>
      <c r="E1157" s="115" t="inlineStr">
        <is>
          <t>ALİ KESKİN</t>
        </is>
      </c>
      <c r="F1157" s="115" t="n">
        <v>355901</v>
      </c>
      <c r="G1157" s="152" t="n"/>
      <c r="H1157" s="152" t="n">
        <v>348</v>
      </c>
      <c r="I1157" s="156">
        <f>+I1156+(G1157-H1157)</f>
        <v/>
      </c>
      <c r="J1157" s="90" t="n">
        <v>67.75</v>
      </c>
      <c r="K1157" s="166" t="n"/>
      <c r="L1157" s="158">
        <f>+H1157*J1157</f>
        <v/>
      </c>
      <c r="M1157" s="159">
        <f>SUM(M1156+K1157-L1157)</f>
        <v/>
      </c>
    </row>
    <row r="1158">
      <c r="A1158" s="151" t="n">
        <v>46119</v>
      </c>
      <c r="B1158" s="70" t="n">
        <v>764</v>
      </c>
      <c r="C1158" s="115" t="inlineStr">
        <is>
          <t>METİN ERYİĞİT</t>
        </is>
      </c>
      <c r="D1158" s="115" t="inlineStr">
        <is>
          <t>34 EGR 814</t>
        </is>
      </c>
      <c r="E1158" s="115" t="inlineStr">
        <is>
          <t>ZİYA İNCE</t>
        </is>
      </c>
      <c r="F1158" s="115" t="n">
        <v>616668</v>
      </c>
      <c r="G1158" s="152" t="n"/>
      <c r="H1158" s="152" t="n">
        <v>365</v>
      </c>
      <c r="I1158" s="156">
        <f>+I1157+(G1158-H1158)</f>
        <v/>
      </c>
      <c r="J1158" s="90" t="n">
        <v>67.75</v>
      </c>
      <c r="K1158" s="166" t="n"/>
      <c r="L1158" s="158">
        <f>+H1158*J1158</f>
        <v/>
      </c>
      <c r="M1158" s="159">
        <f>SUM(M1157+K1158-L1158)</f>
        <v/>
      </c>
    </row>
    <row r="1159">
      <c r="A1159" s="151" t="n">
        <v>46119</v>
      </c>
      <c r="B1159" s="70" t="n">
        <v>3294</v>
      </c>
      <c r="C1159" s="152" t="inlineStr">
        <is>
          <t>AZGÜN YAPI</t>
        </is>
      </c>
      <c r="D1159" s="115" t="inlineStr">
        <is>
          <t xml:space="preserve">34 DTV 263 </t>
        </is>
      </c>
      <c r="E1159" s="115" t="inlineStr">
        <is>
          <t>DURSUN ALİ GÜREK</t>
        </is>
      </c>
      <c r="F1159" s="115" t="n"/>
      <c r="G1159" s="152" t="n"/>
      <c r="H1159" s="152" t="n">
        <v>412</v>
      </c>
      <c r="I1159" s="156">
        <f>+I1158+(G1159-H1159)</f>
        <v/>
      </c>
      <c r="J1159" s="90" t="n">
        <v>67.75</v>
      </c>
      <c r="K1159" s="166" t="n"/>
      <c r="L1159" s="158">
        <f>+H1159*J1159</f>
        <v/>
      </c>
      <c r="M1159" s="159">
        <f>SUM(M1158+K1159-L1159)</f>
        <v/>
      </c>
    </row>
    <row r="1160">
      <c r="A1160" s="151" t="n">
        <v>46119</v>
      </c>
      <c r="B1160" s="70" t="n">
        <v>1401</v>
      </c>
      <c r="C1160" s="152" t="inlineStr">
        <is>
          <t>AZGÜN YAPI</t>
        </is>
      </c>
      <c r="D1160" s="115" t="inlineStr">
        <is>
          <t>34 MKT 859</t>
        </is>
      </c>
      <c r="E1160" s="115" t="inlineStr">
        <is>
          <t>İRFAN DAĞLAR</t>
        </is>
      </c>
      <c r="F1160" s="115" t="n"/>
      <c r="G1160" s="152" t="n"/>
      <c r="H1160" s="152" t="n">
        <v>315</v>
      </c>
      <c r="I1160" s="156">
        <f>+I1159+(G1160-H1160)</f>
        <v/>
      </c>
      <c r="J1160" s="90" t="n">
        <v>67.75</v>
      </c>
      <c r="K1160" s="166" t="n"/>
      <c r="L1160" s="158">
        <f>+H1160*J1160</f>
        <v/>
      </c>
      <c r="M1160" s="159">
        <f>SUM(M1159+K1160-L1160)</f>
        <v/>
      </c>
    </row>
    <row r="1161">
      <c r="A1161" s="151" t="n">
        <v>46119</v>
      </c>
      <c r="B1161" s="70" t="n">
        <v>1541</v>
      </c>
      <c r="C1161" s="152" t="inlineStr">
        <is>
          <t>MEGA VARLIK</t>
        </is>
      </c>
      <c r="D1161" s="115" t="inlineStr">
        <is>
          <t>SM350</t>
        </is>
      </c>
      <c r="E1161" s="115" t="inlineStr">
        <is>
          <t>TEVFİK</t>
        </is>
      </c>
      <c r="F1161" s="115" t="n"/>
      <c r="G1161" s="152" t="n"/>
      <c r="H1161" s="152" t="n">
        <v>390</v>
      </c>
      <c r="I1161" s="156">
        <f>+I1160+(G1161-H1161)</f>
        <v/>
      </c>
      <c r="J1161" s="90" t="n">
        <v>67.75</v>
      </c>
      <c r="K1161" s="166" t="n"/>
      <c r="L1161" s="158">
        <f>+H1161*J1161</f>
        <v/>
      </c>
      <c r="M1161" s="159">
        <f>SUM(M1160+K1161-L1161)</f>
        <v/>
      </c>
    </row>
    <row r="1162">
      <c r="A1162" s="151" t="n">
        <v>46119</v>
      </c>
      <c r="B1162" s="70" t="n">
        <v>1542</v>
      </c>
      <c r="C1162" s="152" t="inlineStr">
        <is>
          <t>KOZMO</t>
        </is>
      </c>
      <c r="D1162" s="115" t="inlineStr">
        <is>
          <t>SM300</t>
        </is>
      </c>
      <c r="E1162" s="115" t="inlineStr">
        <is>
          <t>TEKİN ŞEYLAN</t>
        </is>
      </c>
      <c r="F1162" s="115" t="n"/>
      <c r="G1162" s="152" t="n"/>
      <c r="H1162" s="152" t="n">
        <v>509</v>
      </c>
      <c r="I1162" s="156">
        <f>+I1161+(G1162-H1162)</f>
        <v/>
      </c>
      <c r="J1162" s="90" t="n">
        <v>67.75</v>
      </c>
      <c r="K1162" s="166" t="n"/>
      <c r="L1162" s="158">
        <f>+H1162*J1162</f>
        <v/>
      </c>
      <c r="M1162" s="159">
        <f>SUM(M1161+K1162-L1162)</f>
        <v/>
      </c>
    </row>
    <row r="1163">
      <c r="A1163" s="151" t="n">
        <v>46119</v>
      </c>
      <c r="B1163" s="70" t="n">
        <v>1543</v>
      </c>
      <c r="C1163" s="152" t="inlineStr">
        <is>
          <t>KOZMO</t>
        </is>
      </c>
      <c r="D1163" s="115" t="inlineStr">
        <is>
          <t>SM350</t>
        </is>
      </c>
      <c r="E1163" s="115" t="inlineStr">
        <is>
          <t xml:space="preserve">MİKAİL BAYILMAZ </t>
        </is>
      </c>
      <c r="F1163" s="115" t="n"/>
      <c r="G1163" s="152" t="n"/>
      <c r="H1163" s="152" t="n">
        <v>412</v>
      </c>
      <c r="I1163" s="156">
        <f>+I1162+(G1163-H1163)</f>
        <v/>
      </c>
      <c r="J1163" s="90" t="n">
        <v>67.75</v>
      </c>
      <c r="K1163" s="166" t="n"/>
      <c r="L1163" s="158">
        <f>+H1163*J1163</f>
        <v/>
      </c>
      <c r="M1163" s="159">
        <f>SUM(M1162+K1163-L1163)</f>
        <v/>
      </c>
    </row>
    <row r="1164">
      <c r="A1164" s="151" t="n">
        <v>46119</v>
      </c>
      <c r="B1164" s="70" t="n">
        <v>1544</v>
      </c>
      <c r="C1164" s="152" t="inlineStr">
        <is>
          <t>KOZMO</t>
        </is>
      </c>
      <c r="D1164" s="115" t="inlineStr">
        <is>
          <t>SM370</t>
        </is>
      </c>
      <c r="E1164" s="115" t="inlineStr">
        <is>
          <t>MEHMET ALİ</t>
        </is>
      </c>
      <c r="F1164" s="115" t="n"/>
      <c r="G1164" s="152" t="n"/>
      <c r="H1164" s="152" t="n">
        <v>335</v>
      </c>
      <c r="I1164" s="156">
        <f>+I1163+(G1164-H1164)</f>
        <v/>
      </c>
      <c r="J1164" s="90" t="n">
        <v>67.75</v>
      </c>
      <c r="K1164" s="166" t="n"/>
      <c r="L1164" s="158">
        <f>+H1164*J1164</f>
        <v/>
      </c>
      <c r="M1164" s="159">
        <f>SUM(M1163+K1164-L1164)</f>
        <v/>
      </c>
    </row>
    <row r="1165">
      <c r="A1165" s="151" t="n">
        <v>46119</v>
      </c>
      <c r="B1165" s="70" t="n">
        <v>1545</v>
      </c>
      <c r="C1165" s="152" t="inlineStr">
        <is>
          <t>EVKUR</t>
        </is>
      </c>
      <c r="D1165" s="115" t="inlineStr">
        <is>
          <t>KİRALIK KATO</t>
        </is>
      </c>
      <c r="E1165" s="115" t="inlineStr">
        <is>
          <t>GÜNEŞ BEYİN TALİMATI</t>
        </is>
      </c>
      <c r="F1165" s="115" t="n"/>
      <c r="G1165" s="152" t="n"/>
      <c r="H1165" s="152" t="n">
        <v>82</v>
      </c>
      <c r="I1165" s="156">
        <f>+I1164+(G1165-H1165)</f>
        <v/>
      </c>
      <c r="J1165" s="90" t="n">
        <v>67.75</v>
      </c>
      <c r="K1165" s="166" t="n"/>
      <c r="L1165" s="158">
        <f>+H1165*J1165</f>
        <v/>
      </c>
      <c r="M1165" s="159">
        <f>SUM(M1164+K1165-L1165)</f>
        <v/>
      </c>
    </row>
    <row r="1166">
      <c r="A1166" s="151" t="n">
        <v>46119</v>
      </c>
      <c r="B1166" s="70" t="n">
        <v>1546</v>
      </c>
      <c r="C1166" s="152" t="inlineStr">
        <is>
          <t>VARLIK</t>
        </is>
      </c>
      <c r="D1166" s="115" t="inlineStr">
        <is>
          <t>KAWAZAKİ</t>
        </is>
      </c>
      <c r="E1166" s="115" t="inlineStr">
        <is>
          <t>RAMAZAN</t>
        </is>
      </c>
      <c r="F1166" s="115" t="n"/>
      <c r="G1166" s="152" t="n"/>
      <c r="H1166" s="152" t="n">
        <v>238</v>
      </c>
      <c r="I1166" s="156">
        <f>+I1165+(G1166-H1166)</f>
        <v/>
      </c>
      <c r="J1166" s="90" t="n">
        <v>67.75</v>
      </c>
      <c r="K1166" s="166" t="n"/>
      <c r="L1166" s="158">
        <f>+H1166*J1166</f>
        <v/>
      </c>
      <c r="M1166" s="159">
        <f>SUM(M1165+K1166-L1166)</f>
        <v/>
      </c>
    </row>
    <row r="1167">
      <c r="A1167" s="151" t="n">
        <v>46119</v>
      </c>
      <c r="B1167" s="70" t="n">
        <v>1547</v>
      </c>
      <c r="C1167" s="152" t="inlineStr">
        <is>
          <t>VARLIK</t>
        </is>
      </c>
      <c r="D1167" s="115" t="inlineStr">
        <is>
          <t>HİTACHİ</t>
        </is>
      </c>
      <c r="E1167" s="115" t="inlineStr">
        <is>
          <t>TURGUT ÇATAL</t>
        </is>
      </c>
      <c r="F1167" s="115" t="n"/>
      <c r="G1167" s="152" t="n"/>
      <c r="H1167" s="152" t="n">
        <v>283</v>
      </c>
      <c r="I1167" s="156">
        <f>+I1166+(G1167-H1167)</f>
        <v/>
      </c>
      <c r="J1167" s="90" t="n">
        <v>67.75</v>
      </c>
      <c r="K1167" s="166" t="n"/>
      <c r="L1167" s="158">
        <f>+H1167*J1167</f>
        <v/>
      </c>
      <c r="M1167" s="159">
        <f>SUM(M1166+K1167-L1167)</f>
        <v/>
      </c>
    </row>
    <row r="1168">
      <c r="A1168" s="151" t="n">
        <v>46119</v>
      </c>
      <c r="B1168" s="70" t="n">
        <v>1548</v>
      </c>
      <c r="C1168" s="152" t="inlineStr">
        <is>
          <t>GARAJ</t>
        </is>
      </c>
      <c r="D1168" s="115" t="inlineStr">
        <is>
          <t>SİLİNDİR TAMİRİ</t>
        </is>
      </c>
      <c r="E1168" s="115" t="inlineStr">
        <is>
          <t>ERDAL</t>
        </is>
      </c>
      <c r="F1168" s="115" t="n"/>
      <c r="G1168" s="152" t="n"/>
      <c r="H1168" s="152" t="n">
        <v>15</v>
      </c>
      <c r="I1168" s="156">
        <f>+I1167+(G1168-H1168)</f>
        <v/>
      </c>
      <c r="J1168" s="90" t="n">
        <v>67.75</v>
      </c>
      <c r="K1168" s="166" t="n"/>
      <c r="L1168" s="158">
        <f>+H1168*J1168</f>
        <v/>
      </c>
      <c r="M1168" s="159">
        <f>SUM(M1167+K1168-L1168)</f>
        <v/>
      </c>
    </row>
    <row r="1169">
      <c r="A1169" s="151" t="n">
        <v>46120</v>
      </c>
      <c r="B1169" s="70" t="n">
        <v>554</v>
      </c>
      <c r="C1169" s="115" t="inlineStr">
        <is>
          <t>SELİM İNŞAAT</t>
        </is>
      </c>
      <c r="D1169" s="115" t="inlineStr">
        <is>
          <t>34 JGR 15</t>
        </is>
      </c>
      <c r="E1169" s="115" t="inlineStr">
        <is>
          <t>ÖNER DÜNDAR</t>
        </is>
      </c>
      <c r="F1169" s="65" t="n">
        <v>332904</v>
      </c>
      <c r="G1169" s="152" t="n"/>
      <c r="H1169" s="152" t="n">
        <v>67</v>
      </c>
      <c r="I1169" s="156">
        <f>+I1168+(G1169-H1169)</f>
        <v/>
      </c>
      <c r="J1169" s="90" t="n">
        <v>67.75</v>
      </c>
      <c r="K1169" s="166" t="n"/>
      <c r="L1169" s="158">
        <f>+H1169*J1169</f>
        <v/>
      </c>
      <c r="M1169" s="159">
        <f>SUM(M1168+K1169-L1169)</f>
        <v/>
      </c>
    </row>
    <row r="1170">
      <c r="A1170" s="151" t="n">
        <v>46120</v>
      </c>
      <c r="B1170" s="70" t="n">
        <v>154</v>
      </c>
      <c r="C1170" s="115" t="inlineStr">
        <is>
          <t>SELİM İNŞAAT</t>
        </is>
      </c>
      <c r="D1170" s="115" t="inlineStr">
        <is>
          <t>34 FBR 771</t>
        </is>
      </c>
      <c r="E1170" s="115" t="inlineStr">
        <is>
          <t>SALİH YALÇIN</t>
        </is>
      </c>
      <c r="F1170" s="65" t="n">
        <v>352612</v>
      </c>
      <c r="G1170" s="152" t="n"/>
      <c r="H1170" s="152" t="n">
        <v>448</v>
      </c>
      <c r="I1170" s="156">
        <f>+I1169+(G1170-H1170)</f>
        <v/>
      </c>
      <c r="J1170" s="90" t="n">
        <v>67.75</v>
      </c>
      <c r="K1170" s="166" t="n"/>
      <c r="L1170" s="158">
        <f>+H1170*J1170</f>
        <v/>
      </c>
      <c r="M1170" s="159">
        <f>SUM(M1169+K1170-L1170)</f>
        <v/>
      </c>
    </row>
    <row r="1171">
      <c r="A1171" s="151" t="n">
        <v>46120</v>
      </c>
      <c r="B1171" s="70" t="n">
        <v>3495</v>
      </c>
      <c r="C1171" s="115" t="inlineStr">
        <is>
          <t>SELİM İNŞAAT</t>
        </is>
      </c>
      <c r="D1171" s="115" t="inlineStr">
        <is>
          <t>34 EDB 754</t>
        </is>
      </c>
      <c r="E1171" s="115" t="inlineStr">
        <is>
          <t>SELÇUK BASTIK</t>
        </is>
      </c>
      <c r="F1171" s="65" t="n">
        <v>376068</v>
      </c>
      <c r="G1171" s="152" t="n"/>
      <c r="H1171" s="152" t="n">
        <v>345</v>
      </c>
      <c r="I1171" s="156">
        <f>+I1170+(G1171-H1171)</f>
        <v/>
      </c>
      <c r="J1171" s="90" t="n">
        <v>67.75</v>
      </c>
      <c r="K1171" s="166" t="n"/>
      <c r="L1171" s="158">
        <f>+H1171*J1171</f>
        <v/>
      </c>
      <c r="M1171" s="159">
        <f>SUM(M1170+K1171-L1171)</f>
        <v/>
      </c>
    </row>
    <row r="1172">
      <c r="A1172" s="151" t="n">
        <v>46120</v>
      </c>
      <c r="B1172" s="70" t="n">
        <v>4981</v>
      </c>
      <c r="C1172" s="115" t="inlineStr">
        <is>
          <t>SELİM İNŞAAT</t>
        </is>
      </c>
      <c r="D1172" s="115" t="inlineStr">
        <is>
          <t>34 GVZ 745</t>
        </is>
      </c>
      <c r="E1172" s="115" t="inlineStr">
        <is>
          <t>MURAT DEMİRBAŞ</t>
        </is>
      </c>
      <c r="F1172" s="65" t="n">
        <v>252411</v>
      </c>
      <c r="G1172" s="152" t="n"/>
      <c r="H1172" s="152" t="n">
        <v>397</v>
      </c>
      <c r="I1172" s="156">
        <f>+I1171+(G1172-H1172)</f>
        <v/>
      </c>
      <c r="J1172" s="90" t="n">
        <v>67.75</v>
      </c>
      <c r="K1172" s="166" t="n"/>
      <c r="L1172" s="158">
        <f>+H1172*J1172</f>
        <v/>
      </c>
      <c r="M1172" s="159">
        <f>SUM(M1171+K1172-L1172)</f>
        <v/>
      </c>
    </row>
    <row r="1173">
      <c r="A1173" s="151" t="n">
        <v>46120</v>
      </c>
      <c r="B1173" s="70" t="n">
        <v>20</v>
      </c>
      <c r="C1173" s="115" t="inlineStr">
        <is>
          <t>SELİM İNŞAAT</t>
        </is>
      </c>
      <c r="D1173" s="115" t="inlineStr">
        <is>
          <t>34 GVZ 268</t>
        </is>
      </c>
      <c r="E1173" s="115" t="inlineStr">
        <is>
          <t>KERİM KARAMAN</t>
        </is>
      </c>
      <c r="F1173" s="65" t="n">
        <v>255581</v>
      </c>
      <c r="G1173" s="152" t="n"/>
      <c r="H1173" s="152" t="n">
        <v>411</v>
      </c>
      <c r="I1173" s="156">
        <f>+I1172+(G1173-H1173)</f>
        <v/>
      </c>
      <c r="J1173" s="90" t="n">
        <v>67.75</v>
      </c>
      <c r="K1173" s="166" t="n"/>
      <c r="L1173" s="158">
        <f>+H1173*J1173</f>
        <v/>
      </c>
      <c r="M1173" s="159">
        <f>SUM(M1172+K1173-L1173)</f>
        <v/>
      </c>
    </row>
    <row r="1174">
      <c r="A1174" s="151" t="n">
        <v>46120</v>
      </c>
      <c r="B1174" s="70" t="n">
        <v>3838</v>
      </c>
      <c r="C1174" s="115" t="inlineStr">
        <is>
          <t>SELİM İNŞAAT</t>
        </is>
      </c>
      <c r="D1174" s="115" t="inlineStr">
        <is>
          <t>34 GYZ 635</t>
        </is>
      </c>
      <c r="E1174" s="115" t="inlineStr">
        <is>
          <t>ADEM DENİZ</t>
        </is>
      </c>
      <c r="F1174" s="65" t="n">
        <v>231763</v>
      </c>
      <c r="G1174" s="152" t="n"/>
      <c r="H1174" s="152" t="n">
        <v>502</v>
      </c>
      <c r="I1174" s="156">
        <f>+I1173+(G1174-H1174)</f>
        <v/>
      </c>
      <c r="J1174" s="90" t="n">
        <v>67.75</v>
      </c>
      <c r="K1174" s="166" t="n"/>
      <c r="L1174" s="158">
        <f>+H1174*J1174</f>
        <v/>
      </c>
      <c r="M1174" s="159">
        <f>SUM(M1173+K1174-L1174)</f>
        <v/>
      </c>
    </row>
    <row r="1175">
      <c r="A1175" s="151" t="n">
        <v>46120</v>
      </c>
      <c r="B1175" s="70" t="n">
        <v>913</v>
      </c>
      <c r="C1175" s="115" t="inlineStr">
        <is>
          <t>SELİM İNŞAAT</t>
        </is>
      </c>
      <c r="D1175" s="115" t="inlineStr">
        <is>
          <t>34 FSG 229</t>
        </is>
      </c>
      <c r="E1175" s="115" t="inlineStr">
        <is>
          <t>SİNAN TANRIVERDİ</t>
        </is>
      </c>
      <c r="F1175" s="65" t="n">
        <v>304742</v>
      </c>
      <c r="G1175" s="152" t="n"/>
      <c r="H1175" s="152" t="n">
        <v>517</v>
      </c>
      <c r="I1175" s="156">
        <f>+I1174+(G1175-H1175)</f>
        <v/>
      </c>
      <c r="J1175" s="90" t="n">
        <v>67.75</v>
      </c>
      <c r="K1175" s="166" t="n"/>
      <c r="L1175" s="158">
        <f>+H1175*J1175</f>
        <v/>
      </c>
      <c r="M1175" s="159">
        <f>SUM(M1174+K1175-L1175)</f>
        <v/>
      </c>
    </row>
    <row r="1176">
      <c r="A1176" s="151" t="n">
        <v>46120</v>
      </c>
      <c r="B1176" s="70" t="n">
        <v>4521</v>
      </c>
      <c r="C1176" s="115" t="inlineStr">
        <is>
          <t>SELİM İNŞAAT</t>
        </is>
      </c>
      <c r="D1176" s="115" t="inlineStr">
        <is>
          <t>34 DTV 352</t>
        </is>
      </c>
      <c r="E1176" s="115" t="inlineStr">
        <is>
          <t>AZİZ ORUÇ</t>
        </is>
      </c>
      <c r="F1176" s="65" t="n">
        <v>480344</v>
      </c>
      <c r="G1176" s="152" t="n"/>
      <c r="H1176" s="152" t="n">
        <v>496</v>
      </c>
      <c r="I1176" s="156">
        <f>+I1175+(G1176-H1176)</f>
        <v/>
      </c>
      <c r="J1176" s="90" t="n">
        <v>67.75</v>
      </c>
      <c r="K1176" s="166" t="n"/>
      <c r="L1176" s="158">
        <f>+H1176*J1176</f>
        <v/>
      </c>
      <c r="M1176" s="159">
        <f>SUM(M1175+K1176-L1176)</f>
        <v/>
      </c>
    </row>
    <row r="1177">
      <c r="A1177" s="151" t="n">
        <v>46120</v>
      </c>
      <c r="B1177" s="70" t="n">
        <v>3398</v>
      </c>
      <c r="C1177" s="115" t="inlineStr">
        <is>
          <t>SELİM İNŞAAT</t>
        </is>
      </c>
      <c r="D1177" s="115" t="inlineStr">
        <is>
          <t>34 EDC 162</t>
        </is>
      </c>
      <c r="E1177" s="115" t="inlineStr">
        <is>
          <t xml:space="preserve">YAKUP GÜNER </t>
        </is>
      </c>
      <c r="F1177" s="65" t="n">
        <v>420593</v>
      </c>
      <c r="G1177" s="152" t="n"/>
      <c r="H1177" s="152" t="n">
        <v>514</v>
      </c>
      <c r="I1177" s="156">
        <f>+I1176+(G1177-H1177)</f>
        <v/>
      </c>
      <c r="J1177" s="90" t="n">
        <v>67.75</v>
      </c>
      <c r="K1177" s="166" t="n"/>
      <c r="L1177" s="158">
        <f>+H1177*J1177</f>
        <v/>
      </c>
      <c r="M1177" s="159">
        <f>SUM(M1176+K1177-L1177)</f>
        <v/>
      </c>
    </row>
    <row r="1178">
      <c r="A1178" s="151" t="n">
        <v>46120</v>
      </c>
      <c r="B1178" s="70" t="n">
        <v>725</v>
      </c>
      <c r="C1178" s="115" t="inlineStr">
        <is>
          <t>METİN ERYİĞİT</t>
        </is>
      </c>
      <c r="D1178" s="115" t="inlineStr">
        <is>
          <t>34 EGS 013</t>
        </is>
      </c>
      <c r="E1178" s="115" t="inlineStr">
        <is>
          <t>UĞUR DUMAN</t>
        </is>
      </c>
      <c r="F1178" s="115" t="n">
        <v>572424</v>
      </c>
      <c r="G1178" s="152" t="n"/>
      <c r="H1178" s="152" t="n">
        <v>394</v>
      </c>
      <c r="I1178" s="156">
        <f>+I1177+(G1178-H1178)</f>
        <v/>
      </c>
      <c r="J1178" s="90" t="n">
        <v>67.75</v>
      </c>
      <c r="K1178" s="166" t="n"/>
      <c r="L1178" s="158">
        <f>+H1178*J1178</f>
        <v/>
      </c>
      <c r="M1178" s="159">
        <f>SUM(M1177+K1178-L1178)</f>
        <v/>
      </c>
    </row>
    <row r="1179">
      <c r="A1179" s="151" t="n">
        <v>46120</v>
      </c>
      <c r="B1179" s="70" t="n">
        <v>1051</v>
      </c>
      <c r="C1179" s="152" t="inlineStr">
        <is>
          <t>SELİM İNŞAAT</t>
        </is>
      </c>
      <c r="D1179" s="115" t="inlineStr">
        <is>
          <t>34 FBR 781</t>
        </is>
      </c>
      <c r="E1179" s="115" t="inlineStr">
        <is>
          <t>MEVLÜT POLAT</t>
        </is>
      </c>
      <c r="F1179" s="115" t="n">
        <v>366865</v>
      </c>
      <c r="G1179" s="152" t="n"/>
      <c r="H1179" s="152" t="n">
        <v>485</v>
      </c>
      <c r="I1179" s="156">
        <f>+I1178+(G1179-H1179)</f>
        <v/>
      </c>
      <c r="J1179" s="90" t="n">
        <v>67.75</v>
      </c>
      <c r="K1179" s="166" t="n"/>
      <c r="L1179" s="158">
        <f>+H1179*J1179</f>
        <v/>
      </c>
      <c r="M1179" s="159">
        <f>SUM(M1178+K1179-L1179)</f>
        <v/>
      </c>
    </row>
    <row r="1180">
      <c r="A1180" s="151" t="n">
        <v>46120</v>
      </c>
      <c r="B1180" s="70" t="n">
        <v>953</v>
      </c>
      <c r="C1180" s="152" t="inlineStr">
        <is>
          <t>SELİM İNŞAAT</t>
        </is>
      </c>
      <c r="D1180" s="115" t="inlineStr">
        <is>
          <t>34 DSN 636</t>
        </is>
      </c>
      <c r="E1180" s="115" t="inlineStr">
        <is>
          <t>SELÇUK BASTIK</t>
        </is>
      </c>
      <c r="F1180" s="115" t="n">
        <v>435237</v>
      </c>
      <c r="G1180" s="152" t="n"/>
      <c r="H1180" s="152" t="n">
        <v>546</v>
      </c>
      <c r="I1180" s="156">
        <f>+I1179+(G1180-H1180)</f>
        <v/>
      </c>
      <c r="J1180" s="90" t="n">
        <v>67.75</v>
      </c>
      <c r="K1180" s="166" t="n"/>
      <c r="L1180" s="158">
        <f>+H1180*J1180</f>
        <v/>
      </c>
      <c r="M1180" s="159">
        <f>SUM(M1179+K1180-L1180)</f>
        <v/>
      </c>
    </row>
    <row r="1181">
      <c r="A1181" s="151" t="n">
        <v>46120</v>
      </c>
      <c r="B1181" s="70" t="n">
        <v>4885</v>
      </c>
      <c r="C1181" s="152" t="inlineStr">
        <is>
          <t>SELİM İNŞAAT</t>
        </is>
      </c>
      <c r="D1181" s="115" t="inlineStr">
        <is>
          <t>34 FBR 705</t>
        </is>
      </c>
      <c r="E1181" s="115" t="inlineStr">
        <is>
          <t>MURAT SARI</t>
        </is>
      </c>
      <c r="F1181" s="115" t="n">
        <v>366526</v>
      </c>
      <c r="G1181" s="152" t="n"/>
      <c r="H1181" s="152" t="n">
        <v>340</v>
      </c>
      <c r="I1181" s="156">
        <f>+I1180+(G1181-H1181)</f>
        <v/>
      </c>
      <c r="J1181" s="90" t="n">
        <v>67.75</v>
      </c>
      <c r="K1181" s="166" t="n"/>
      <c r="L1181" s="158">
        <f>+H1181*J1181</f>
        <v/>
      </c>
      <c r="M1181" s="159">
        <f>SUM(M1180+K1181-L1181)</f>
        <v/>
      </c>
    </row>
    <row r="1182">
      <c r="A1182" s="151" t="n">
        <v>46120</v>
      </c>
      <c r="B1182" s="70" t="n">
        <v>1549</v>
      </c>
      <c r="C1182" s="152" t="inlineStr">
        <is>
          <t>KOZMO</t>
        </is>
      </c>
      <c r="D1182" s="115" t="inlineStr">
        <is>
          <t>SM350</t>
        </is>
      </c>
      <c r="E1182" s="115" t="inlineStr">
        <is>
          <t>TEVFİK</t>
        </is>
      </c>
      <c r="F1182" s="115" t="n"/>
      <c r="G1182" s="152" t="n"/>
      <c r="H1182" s="152" t="n">
        <v>510</v>
      </c>
      <c r="I1182" s="156">
        <f>+I1181+(G1182-H1182)</f>
        <v/>
      </c>
      <c r="J1182" s="90" t="n">
        <v>67.75</v>
      </c>
      <c r="K1182" s="166" t="n"/>
      <c r="L1182" s="158">
        <f>+H1182*J1182</f>
        <v/>
      </c>
      <c r="M1182" s="159">
        <f>SUM(M1181+K1182-L1182)</f>
        <v/>
      </c>
    </row>
    <row r="1183">
      <c r="A1183" s="151" t="n">
        <v>46120</v>
      </c>
      <c r="B1183" s="70" t="n">
        <v>1550</v>
      </c>
      <c r="C1183" s="152" t="inlineStr">
        <is>
          <t>KOZMO</t>
        </is>
      </c>
      <c r="D1183" s="115" t="inlineStr">
        <is>
          <t>SM350</t>
        </is>
      </c>
      <c r="E1183" s="115" t="inlineStr">
        <is>
          <t xml:space="preserve">MİKAİL BAYILMAZ </t>
        </is>
      </c>
      <c r="F1183" s="115" t="n"/>
      <c r="G1183" s="152" t="n"/>
      <c r="H1183" s="152" t="n">
        <v>363</v>
      </c>
      <c r="I1183" s="156">
        <f>+I1182+(G1183-H1183)</f>
        <v/>
      </c>
      <c r="J1183" s="90" t="n">
        <v>67.75</v>
      </c>
      <c r="K1183" s="166" t="n"/>
      <c r="L1183" s="158">
        <f>+H1183*J1183</f>
        <v/>
      </c>
      <c r="M1183" s="159">
        <f>SUM(M1182+K1183-L1183)</f>
        <v/>
      </c>
    </row>
    <row r="1184">
      <c r="A1184" s="151" t="n">
        <v>46120</v>
      </c>
      <c r="B1184" s="70" t="n">
        <v>1551</v>
      </c>
      <c r="C1184" s="152" t="inlineStr">
        <is>
          <t>KOZMO</t>
        </is>
      </c>
      <c r="D1184" s="115" t="inlineStr">
        <is>
          <t>SM300</t>
        </is>
      </c>
      <c r="E1184" s="115" t="inlineStr">
        <is>
          <t>TEKİN</t>
        </is>
      </c>
      <c r="F1184" s="115" t="n"/>
      <c r="G1184" s="152" t="n"/>
      <c r="H1184" s="152" t="n">
        <v>393</v>
      </c>
      <c r="I1184" s="156">
        <f>+I1183+(G1184-H1184)</f>
        <v/>
      </c>
      <c r="J1184" s="90" t="n">
        <v>67.75</v>
      </c>
      <c r="K1184" s="166" t="n"/>
      <c r="L1184" s="158">
        <f>+H1184*J1184</f>
        <v/>
      </c>
      <c r="M1184" s="159">
        <f>SUM(M1183+K1184-L1184)</f>
        <v/>
      </c>
    </row>
    <row r="1185">
      <c r="A1185" s="151" t="n">
        <v>46120</v>
      </c>
      <c r="B1185" s="70" t="n">
        <v>1552</v>
      </c>
      <c r="C1185" s="152" t="inlineStr">
        <is>
          <t>KOZMO</t>
        </is>
      </c>
      <c r="D1185" s="115" t="inlineStr">
        <is>
          <t>SM 370</t>
        </is>
      </c>
      <c r="E1185" s="115" t="inlineStr">
        <is>
          <t>EMİRCAN</t>
        </is>
      </c>
      <c r="F1185" s="115" t="n"/>
      <c r="G1185" s="146" t="n"/>
      <c r="H1185" s="146" t="n">
        <v>400</v>
      </c>
      <c r="I1185" s="156">
        <f>+I1184+(G1185-H1185)</f>
        <v/>
      </c>
      <c r="J1185" s="90" t="n">
        <v>67.75</v>
      </c>
      <c r="K1185" s="166" t="n"/>
      <c r="L1185" s="158">
        <f>+H1185*J1185</f>
        <v/>
      </c>
      <c r="M1185" s="159">
        <f>SUM(M1184+K1185-L1185)</f>
        <v/>
      </c>
    </row>
    <row r="1186">
      <c r="A1186" s="151" t="n">
        <v>46120</v>
      </c>
      <c r="B1186" s="70" t="n">
        <v>1553</v>
      </c>
      <c r="C1186" s="152" t="inlineStr">
        <is>
          <t>VARLIK</t>
        </is>
      </c>
      <c r="D1186" s="115" t="inlineStr">
        <is>
          <t>KAWAZAKİ</t>
        </is>
      </c>
      <c r="E1186" s="115" t="inlineStr">
        <is>
          <t>RAMAZAN</t>
        </is>
      </c>
      <c r="F1186" s="115" t="n"/>
      <c r="G1186" s="152" t="n"/>
      <c r="H1186" s="152" t="n">
        <v>339</v>
      </c>
      <c r="I1186" s="156">
        <f>+I1185+(G1186-H1186)</f>
        <v/>
      </c>
      <c r="J1186" s="90" t="n">
        <v>67.75</v>
      </c>
      <c r="K1186" s="166" t="n"/>
      <c r="L1186" s="158">
        <f>+H1186*J1186</f>
        <v/>
      </c>
      <c r="M1186" s="159">
        <f>SUM(M1185+K1186-L1186)</f>
        <v/>
      </c>
    </row>
    <row r="1187">
      <c r="A1187" s="151" t="n">
        <v>46120</v>
      </c>
      <c r="B1187" s="70" t="n">
        <v>1554</v>
      </c>
      <c r="C1187" s="152" t="inlineStr">
        <is>
          <t>KOZMO</t>
        </is>
      </c>
      <c r="D1187" s="115" t="inlineStr">
        <is>
          <t>HİTACHİ</t>
        </is>
      </c>
      <c r="E1187" s="115" t="inlineStr">
        <is>
          <t>TURGUT ÇATAL</t>
        </is>
      </c>
      <c r="F1187" s="115" t="n"/>
      <c r="G1187" s="152" t="n"/>
      <c r="H1187" s="152" t="n">
        <v>341</v>
      </c>
      <c r="I1187" s="156">
        <f>+I1186+(G1187-H1187)</f>
        <v/>
      </c>
      <c r="J1187" s="90" t="n">
        <v>67.75</v>
      </c>
      <c r="K1187" s="166" t="n"/>
      <c r="L1187" s="158">
        <f>+H1187*J1187</f>
        <v/>
      </c>
      <c r="M1187" s="159">
        <f>SUM(M1186+K1187-L1187)</f>
        <v/>
      </c>
    </row>
    <row r="1188">
      <c r="A1188" s="151" t="n">
        <v>46121</v>
      </c>
      <c r="B1188" s="70" t="n">
        <v>4472</v>
      </c>
      <c r="C1188" s="115" t="inlineStr">
        <is>
          <t>SELİM İNŞAAT</t>
        </is>
      </c>
      <c r="D1188" s="115" t="inlineStr">
        <is>
          <t>34 DKL 798</t>
        </is>
      </c>
      <c r="E1188" s="115" t="inlineStr">
        <is>
          <t>HASAN BAYCA</t>
        </is>
      </c>
      <c r="F1188" s="65" t="n">
        <v>82651</v>
      </c>
      <c r="G1188" s="152" t="n"/>
      <c r="H1188" s="152" t="n">
        <v>259</v>
      </c>
      <c r="I1188" s="156">
        <f>+I1187+(G1188-H1188)</f>
        <v/>
      </c>
      <c r="J1188" s="90" t="n">
        <v>67.75</v>
      </c>
      <c r="K1188" s="166" t="n"/>
      <c r="L1188" s="158">
        <f>+H1188*J1188</f>
        <v/>
      </c>
      <c r="M1188" s="159">
        <f>SUM(M1187+K1188-L1188)</f>
        <v/>
      </c>
    </row>
    <row r="1189">
      <c r="A1189" s="151" t="n">
        <v>46121</v>
      </c>
      <c r="B1189" s="70" t="n">
        <v>3737</v>
      </c>
      <c r="C1189" s="115" t="inlineStr">
        <is>
          <t>SELİM İNŞAAT</t>
        </is>
      </c>
      <c r="D1189" s="115" t="inlineStr">
        <is>
          <t>34 DKL 866</t>
        </is>
      </c>
      <c r="E1189" s="115" t="inlineStr">
        <is>
          <t>SELİMCAN ÖNVER</t>
        </is>
      </c>
      <c r="F1189" s="65" t="n">
        <v>83966</v>
      </c>
      <c r="G1189" s="152" t="n"/>
      <c r="H1189" s="152" t="n">
        <v>298</v>
      </c>
      <c r="I1189" s="156">
        <f>+I1188+(G1189-H1189)</f>
        <v/>
      </c>
      <c r="J1189" s="90" t="n">
        <v>67.75</v>
      </c>
      <c r="K1189" s="166" t="n"/>
      <c r="L1189" s="158">
        <f>+H1189*J1189</f>
        <v/>
      </c>
      <c r="M1189" s="159">
        <f>SUM(M1188+K1189-L1189)</f>
        <v/>
      </c>
    </row>
    <row r="1190">
      <c r="A1190" s="151" t="n">
        <v>46121</v>
      </c>
      <c r="B1190" s="70" t="n">
        <v>2597</v>
      </c>
      <c r="C1190" s="115" t="inlineStr">
        <is>
          <t>SELİM İNŞAAT</t>
        </is>
      </c>
      <c r="D1190" s="115" t="inlineStr">
        <is>
          <t>34 GER 028</t>
        </is>
      </c>
      <c r="E1190" s="115" t="inlineStr">
        <is>
          <t>ABDULKERİM ERGEN</t>
        </is>
      </c>
      <c r="F1190" s="65" t="n">
        <v>61876</v>
      </c>
      <c r="G1190" s="152" t="n"/>
      <c r="H1190" s="152" t="n">
        <v>296</v>
      </c>
      <c r="I1190" s="156">
        <f>+I1189+(G1190-H1190)</f>
        <v/>
      </c>
      <c r="J1190" s="90" t="n">
        <v>67.75</v>
      </c>
      <c r="K1190" s="166" t="n"/>
      <c r="L1190" s="158">
        <f>+H1190*J1190</f>
        <v/>
      </c>
      <c r="M1190" s="159">
        <f>SUM(M1189+K1190-L1190)</f>
        <v/>
      </c>
    </row>
    <row r="1191">
      <c r="A1191" s="151" t="n">
        <v>46121</v>
      </c>
      <c r="B1191" s="70" t="n">
        <v>3621</v>
      </c>
      <c r="C1191" s="115" t="inlineStr">
        <is>
          <t>SELİM İNŞAAT</t>
        </is>
      </c>
      <c r="D1191" s="115" t="inlineStr">
        <is>
          <t>34 EDB 922</t>
        </is>
      </c>
      <c r="E1191" s="115" t="inlineStr">
        <is>
          <t>SELÇUK BASTIK</t>
        </is>
      </c>
      <c r="F1191" s="65" t="n">
        <v>406521</v>
      </c>
      <c r="G1191" s="152" t="n"/>
      <c r="H1191" s="152" t="n">
        <v>365</v>
      </c>
      <c r="I1191" s="156">
        <f>+I1190+(G1191-H1191)</f>
        <v/>
      </c>
      <c r="J1191" s="90" t="n">
        <v>67.75</v>
      </c>
      <c r="K1191" s="166" t="n"/>
      <c r="L1191" s="158">
        <f>+H1191*J1191</f>
        <v/>
      </c>
      <c r="M1191" s="159">
        <f>SUM(M1190+K1191-L1191)</f>
        <v/>
      </c>
    </row>
    <row r="1192">
      <c r="A1192" s="151" t="n">
        <v>46121</v>
      </c>
      <c r="B1192" s="70" t="n">
        <v>4982</v>
      </c>
      <c r="C1192" s="115" t="inlineStr">
        <is>
          <t>SELİM İNŞAAT</t>
        </is>
      </c>
      <c r="D1192" s="115" t="inlineStr">
        <is>
          <t>34 GVZ 745</t>
        </is>
      </c>
      <c r="E1192" s="115" t="inlineStr">
        <is>
          <t>MURAT DEMİRBAŞ</t>
        </is>
      </c>
      <c r="F1192" s="65" t="n">
        <v>252726</v>
      </c>
      <c r="G1192" s="152" t="n"/>
      <c r="H1192" s="152" t="n">
        <v>243</v>
      </c>
      <c r="I1192" s="156">
        <f>+I1191+(G1192-H1192)</f>
        <v/>
      </c>
      <c r="J1192" s="90" t="n">
        <v>67.75</v>
      </c>
      <c r="K1192" s="166" t="n"/>
      <c r="L1192" s="158">
        <f>+H1192*J1192</f>
        <v/>
      </c>
      <c r="M1192" s="159">
        <f>SUM(M1191+K1192-L1192)</f>
        <v/>
      </c>
    </row>
    <row r="1193">
      <c r="A1193" s="151" t="n">
        <v>46121</v>
      </c>
      <c r="B1193" s="70" t="n">
        <v>4934</v>
      </c>
      <c r="C1193" s="115" t="inlineStr">
        <is>
          <t>SELİM İNŞAAT</t>
        </is>
      </c>
      <c r="D1193" s="115" t="inlineStr">
        <is>
          <t>34 FBR 742</t>
        </is>
      </c>
      <c r="E1193" s="115" t="inlineStr">
        <is>
          <t>ADNAN KOÇ</t>
        </is>
      </c>
      <c r="F1193" s="65" t="n">
        <v>370421</v>
      </c>
      <c r="G1193" s="152" t="n"/>
      <c r="H1193" s="152" t="n">
        <v>512</v>
      </c>
      <c r="I1193" s="156">
        <f>+I1192+(G1193-H1193)</f>
        <v/>
      </c>
      <c r="J1193" s="90" t="n">
        <v>67.75</v>
      </c>
      <c r="K1193" s="166" t="n"/>
      <c r="L1193" s="158">
        <f>+H1193*J1193</f>
        <v/>
      </c>
      <c r="M1193" s="159">
        <f>SUM(M1192+K1193-L1193)</f>
        <v/>
      </c>
    </row>
    <row r="1194">
      <c r="A1194" s="151" t="n">
        <v>46121</v>
      </c>
      <c r="B1194" s="70" t="n">
        <v>3339</v>
      </c>
      <c r="C1194" s="115" t="inlineStr">
        <is>
          <t>SELİM İNŞAAT</t>
        </is>
      </c>
      <c r="D1194" s="115" t="inlineStr">
        <is>
          <t>34 GUS 938</t>
        </is>
      </c>
      <c r="E1194" s="115" t="inlineStr">
        <is>
          <t>MEHMET KAYA</t>
        </is>
      </c>
      <c r="F1194" s="65" t="n">
        <v>252100</v>
      </c>
      <c r="G1194" s="152" t="n"/>
      <c r="H1194" s="152" t="n">
        <v>439</v>
      </c>
      <c r="I1194" s="156">
        <f>+I1193+(G1194-H1194)</f>
        <v/>
      </c>
      <c r="J1194" s="90" t="n">
        <v>67.75</v>
      </c>
      <c r="K1194" s="166" t="n"/>
      <c r="L1194" s="158">
        <f>+H1194*J1194</f>
        <v/>
      </c>
      <c r="M1194" s="159">
        <f>SUM(M1193+K1194-L1194)</f>
        <v/>
      </c>
    </row>
    <row r="1195">
      <c r="A1195" s="151" t="n">
        <v>46121</v>
      </c>
      <c r="B1195" s="70" t="n">
        <v>1349</v>
      </c>
      <c r="C1195" s="115" t="inlineStr">
        <is>
          <t>SELİM İNŞAAT</t>
        </is>
      </c>
      <c r="D1195" s="115" t="inlineStr">
        <is>
          <t>34 GVZ 199</t>
        </is>
      </c>
      <c r="E1195" s="115" t="inlineStr">
        <is>
          <t>HÜSEYİN DENİZ</t>
        </is>
      </c>
      <c r="F1195" s="65" t="n">
        <v>231537</v>
      </c>
      <c r="G1195" s="152" t="n"/>
      <c r="H1195" s="152" t="n">
        <v>423</v>
      </c>
      <c r="I1195" s="156">
        <f>+I1194+(G1195-H1195)</f>
        <v/>
      </c>
      <c r="J1195" s="90" t="n">
        <v>67.75</v>
      </c>
      <c r="K1195" s="166" t="n"/>
      <c r="L1195" s="158">
        <f>+H1195*J1195</f>
        <v/>
      </c>
      <c r="M1195" s="159">
        <f>SUM(M1194+K1195-L1195)</f>
        <v/>
      </c>
    </row>
    <row r="1196">
      <c r="A1196" s="151" t="n">
        <v>46121</v>
      </c>
      <c r="B1196" s="70" t="n">
        <v>824</v>
      </c>
      <c r="C1196" s="115" t="inlineStr">
        <is>
          <t>METİN ERYİĞİT</t>
        </is>
      </c>
      <c r="D1196" s="115" t="inlineStr">
        <is>
          <t>34 GBL 998</t>
        </is>
      </c>
      <c r="E1196" s="115" t="inlineStr">
        <is>
          <t>ALİ KESKİN</t>
        </is>
      </c>
      <c r="F1196" s="115" t="n">
        <v>356943</v>
      </c>
      <c r="G1196" s="152" t="n"/>
      <c r="H1196" s="152" t="n">
        <v>447</v>
      </c>
      <c r="I1196" s="156">
        <f>+I1195+(G1196-H1196)</f>
        <v/>
      </c>
      <c r="J1196" s="90" t="n">
        <v>67.75</v>
      </c>
      <c r="K1196" s="166" t="n"/>
      <c r="L1196" s="158">
        <f>+H1196*J1196</f>
        <v/>
      </c>
      <c r="M1196" s="159">
        <f>SUM(M1195+K1196-L1196)</f>
        <v/>
      </c>
    </row>
    <row r="1197">
      <c r="A1197" s="151" t="n">
        <v>46121</v>
      </c>
      <c r="B1197" s="70" t="n">
        <v>765</v>
      </c>
      <c r="C1197" s="115" t="inlineStr">
        <is>
          <t>METİN ERYİĞİT</t>
        </is>
      </c>
      <c r="D1197" s="115" t="inlineStr">
        <is>
          <t>34 EGR 814</t>
        </is>
      </c>
      <c r="E1197" s="115" t="inlineStr">
        <is>
          <t>ZİYA İNCE</t>
        </is>
      </c>
      <c r="F1197" s="115" t="n">
        <v>617732</v>
      </c>
      <c r="G1197" s="152" t="n"/>
      <c r="H1197" s="152" t="n">
        <v>479</v>
      </c>
      <c r="I1197" s="156">
        <f>+I1196+(G1197-H1197)</f>
        <v/>
      </c>
      <c r="J1197" s="90" t="n">
        <v>67.75</v>
      </c>
      <c r="K1197" s="166" t="n"/>
      <c r="L1197" s="158">
        <f>+H1197*J1197</f>
        <v/>
      </c>
      <c r="M1197" s="159">
        <f>SUM(M1196+K1197-L1197)</f>
        <v/>
      </c>
    </row>
    <row r="1198">
      <c r="A1198" s="151" t="n">
        <v>46121</v>
      </c>
      <c r="B1198" s="70" t="n">
        <v>4122</v>
      </c>
      <c r="C1198" s="152" t="inlineStr">
        <is>
          <t>SELİM İNŞAAT</t>
        </is>
      </c>
      <c r="D1198" s="115" t="inlineStr">
        <is>
          <t>34 EDB 659</t>
        </is>
      </c>
      <c r="E1198" s="115" t="inlineStr">
        <is>
          <t>YASİN ÇATAKLI</t>
        </is>
      </c>
      <c r="F1198" s="115" t="n">
        <v>394640</v>
      </c>
      <c r="G1198" s="152" t="n"/>
      <c r="H1198" s="152" t="n">
        <v>520</v>
      </c>
      <c r="I1198" s="156">
        <f>+I1197+(G1198-H1198)</f>
        <v/>
      </c>
      <c r="J1198" s="90" t="n">
        <v>67.75</v>
      </c>
      <c r="K1198" s="166" t="n"/>
      <c r="L1198" s="158">
        <f>+H1198*J1198</f>
        <v/>
      </c>
      <c r="M1198" s="159">
        <f>SUM(M1197+K1198-L1198)</f>
        <v/>
      </c>
    </row>
    <row r="1199">
      <c r="A1199" s="151" t="n">
        <v>46121</v>
      </c>
      <c r="B1199" s="70" t="n">
        <v>3295</v>
      </c>
      <c r="C1199" s="152" t="inlineStr">
        <is>
          <t>AZGÜN YAPI</t>
        </is>
      </c>
      <c r="D1199" s="115" t="inlineStr">
        <is>
          <t xml:space="preserve">34 DTV 263 </t>
        </is>
      </c>
      <c r="E1199" s="115" t="inlineStr">
        <is>
          <t>DURSUN ALİ GÜREK</t>
        </is>
      </c>
      <c r="F1199" s="115" t="n"/>
      <c r="G1199" s="152" t="n"/>
      <c r="H1199" s="152" t="n">
        <v>385</v>
      </c>
      <c r="I1199" s="156">
        <f>+I1198+(G1199-H1199)</f>
        <v/>
      </c>
      <c r="J1199" s="90" t="n">
        <v>67.75</v>
      </c>
      <c r="K1199" s="166" t="n"/>
      <c r="L1199" s="158">
        <f>+H1199*J1199</f>
        <v/>
      </c>
      <c r="M1199" s="159">
        <f>SUM(M1198+K1199-L1199)</f>
        <v/>
      </c>
    </row>
    <row r="1200">
      <c r="A1200" s="151" t="n">
        <v>46121</v>
      </c>
      <c r="B1200" s="70" t="n">
        <v>1402</v>
      </c>
      <c r="C1200" s="152" t="inlineStr">
        <is>
          <t>AZGÜN YAPI</t>
        </is>
      </c>
      <c r="D1200" s="115" t="inlineStr">
        <is>
          <t>34 MKT 859</t>
        </is>
      </c>
      <c r="E1200" s="115" t="inlineStr">
        <is>
          <t>İRFAN DAĞLAR</t>
        </is>
      </c>
      <c r="F1200" s="115" t="n"/>
      <c r="G1200" s="152" t="n"/>
      <c r="H1200" s="152" t="n">
        <v>867</v>
      </c>
      <c r="I1200" s="156">
        <f>+I1199+(G1200-H1200)</f>
        <v/>
      </c>
      <c r="J1200" s="90" t="n">
        <v>67.75</v>
      </c>
      <c r="K1200" s="166" t="n"/>
      <c r="L1200" s="158">
        <f>+H1200*J1200</f>
        <v/>
      </c>
      <c r="M1200" s="159">
        <f>SUM(M1199+K1200-L1200)</f>
        <v/>
      </c>
    </row>
    <row r="1201">
      <c r="A1201" s="151" t="n">
        <v>46121</v>
      </c>
      <c r="B1201" s="70" t="n">
        <v>1555</v>
      </c>
      <c r="C1201" s="152" t="inlineStr">
        <is>
          <t>VARLIK</t>
        </is>
      </c>
      <c r="D1201" s="115" t="inlineStr">
        <is>
          <t>RT650 SARI VİNÇ</t>
        </is>
      </c>
      <c r="E1201" s="115" t="inlineStr">
        <is>
          <t>ALİHAN DUMAN</t>
        </is>
      </c>
      <c r="F1201" s="115" t="n"/>
      <c r="G1201" s="152" t="n"/>
      <c r="H1201" s="152" t="n">
        <v>320</v>
      </c>
      <c r="I1201" s="156">
        <f>+I1200+(G1201-H1201)</f>
        <v/>
      </c>
      <c r="J1201" s="90" t="n">
        <v>67.75</v>
      </c>
      <c r="K1201" s="166" t="n"/>
      <c r="L1201" s="158">
        <f>+H1201*J1201</f>
        <v/>
      </c>
      <c r="M1201" s="159">
        <f>SUM(M1200+K1201-L1201)</f>
        <v/>
      </c>
    </row>
    <row r="1202">
      <c r="A1202" s="151" t="n">
        <v>46121</v>
      </c>
      <c r="B1202" s="70" t="n">
        <v>1556</v>
      </c>
      <c r="C1202" s="152" t="inlineStr">
        <is>
          <t>KOZMO</t>
        </is>
      </c>
      <c r="D1202" s="115" t="inlineStr">
        <is>
          <t>SM350</t>
        </is>
      </c>
      <c r="E1202" s="115" t="inlineStr">
        <is>
          <t xml:space="preserve">MİKAİL BAYILMAZ </t>
        </is>
      </c>
      <c r="F1202" s="115" t="n"/>
      <c r="G1202" s="152" t="n"/>
      <c r="H1202" s="152" t="n">
        <v>439</v>
      </c>
      <c r="I1202" s="156">
        <f>+I1201+(G1202-H1202)</f>
        <v/>
      </c>
      <c r="J1202" s="90" t="n">
        <v>67.75</v>
      </c>
      <c r="K1202" s="166" t="n"/>
      <c r="L1202" s="158">
        <f>+H1202*J1202</f>
        <v/>
      </c>
      <c r="M1202" s="159">
        <f>SUM(M1201+K1202-L1202)</f>
        <v/>
      </c>
    </row>
    <row r="1203">
      <c r="A1203" s="151" t="n">
        <v>46121</v>
      </c>
      <c r="B1203" s="70" t="n">
        <v>1557</v>
      </c>
      <c r="C1203" s="152" t="inlineStr">
        <is>
          <t>KOZMO</t>
        </is>
      </c>
      <c r="D1203" s="115" t="inlineStr">
        <is>
          <t>SM300</t>
        </is>
      </c>
      <c r="E1203" s="115" t="inlineStr">
        <is>
          <t>TEKİN ŞEYLAN</t>
        </is>
      </c>
      <c r="F1203" s="115" t="n"/>
      <c r="G1203" s="152" t="n"/>
      <c r="H1203" s="152" t="n">
        <v>407</v>
      </c>
      <c r="I1203" s="156">
        <f>+I1202+(G1203-H1203)</f>
        <v/>
      </c>
      <c r="J1203" s="90" t="n">
        <v>67.75</v>
      </c>
      <c r="K1203" s="166" t="n"/>
      <c r="L1203" s="158">
        <f>+H1203*J1203</f>
        <v/>
      </c>
      <c r="M1203" s="159">
        <f>SUM(M1202+K1203-L1203)</f>
        <v/>
      </c>
    </row>
    <row r="1204">
      <c r="A1204" s="151" t="n">
        <v>46121</v>
      </c>
      <c r="B1204" s="70" t="n">
        <v>1558</v>
      </c>
      <c r="C1204" s="152" t="inlineStr">
        <is>
          <t>KOZMO</t>
        </is>
      </c>
      <c r="D1204" s="115" t="inlineStr">
        <is>
          <t>SM370</t>
        </is>
      </c>
      <c r="E1204" s="115" t="inlineStr">
        <is>
          <t>EMİRCAN</t>
        </is>
      </c>
      <c r="F1204" s="115" t="n"/>
      <c r="G1204" s="152" t="n"/>
      <c r="H1204" s="152" t="n">
        <v>350</v>
      </c>
      <c r="I1204" s="156">
        <f>+I1203+(G1204-H1204)</f>
        <v/>
      </c>
      <c r="J1204" s="90" t="n">
        <v>67.75</v>
      </c>
      <c r="K1204" s="166" t="n"/>
      <c r="L1204" s="158">
        <f>+H1204*J1204</f>
        <v/>
      </c>
      <c r="M1204" s="159">
        <f>SUM(M1203+K1204-L1204)</f>
        <v/>
      </c>
    </row>
    <row r="1205">
      <c r="A1205" s="151" t="n">
        <v>46121</v>
      </c>
      <c r="B1205" s="70" t="n">
        <v>1559</v>
      </c>
      <c r="C1205" s="152" t="inlineStr">
        <is>
          <t>KOZMO</t>
        </is>
      </c>
      <c r="D1205" s="115" t="inlineStr">
        <is>
          <t>KAWAZAKİ</t>
        </is>
      </c>
      <c r="E1205" s="115" t="inlineStr">
        <is>
          <t>RAMAZAN</t>
        </is>
      </c>
      <c r="F1205" s="115" t="n"/>
      <c r="G1205" s="152" t="n"/>
      <c r="H1205" s="152" t="n">
        <v>363</v>
      </c>
      <c r="I1205" s="156">
        <f>+I1204+(G1205-H1205)</f>
        <v/>
      </c>
      <c r="J1205" s="90" t="n">
        <v>67.75</v>
      </c>
      <c r="K1205" s="166" t="n"/>
      <c r="L1205" s="158">
        <f>+H1205*J1205</f>
        <v/>
      </c>
      <c r="M1205" s="159">
        <f>SUM(M1204+K1205-L1205)</f>
        <v/>
      </c>
    </row>
    <row r="1206">
      <c r="A1206" s="151" t="n">
        <v>46121</v>
      </c>
      <c r="B1206" s="70" t="n">
        <v>1560</v>
      </c>
      <c r="C1206" s="152" t="inlineStr">
        <is>
          <t>VARLIK</t>
        </is>
      </c>
      <c r="D1206" s="115" t="inlineStr">
        <is>
          <t>HİTACHİ</t>
        </is>
      </c>
      <c r="E1206" s="115" t="inlineStr">
        <is>
          <t>TURGUT ÇATAL</t>
        </is>
      </c>
      <c r="F1206" s="115" t="n"/>
      <c r="G1206" s="152" t="n"/>
      <c r="H1206" s="152" t="n">
        <v>4436</v>
      </c>
      <c r="I1206" s="156">
        <f>+I1205+(G1206-H1206)</f>
        <v/>
      </c>
      <c r="J1206" s="90" t="n">
        <v>67.75</v>
      </c>
      <c r="K1206" s="166" t="n"/>
      <c r="L1206" s="158">
        <f>+H1206*J1206</f>
        <v/>
      </c>
      <c r="M1206" s="159">
        <f>SUM(M1205+K1206-L1206)</f>
        <v/>
      </c>
    </row>
    <row r="1207">
      <c r="A1207" s="151" t="n">
        <v>46121</v>
      </c>
      <c r="B1207" s="70" t="n">
        <v>1561</v>
      </c>
      <c r="C1207" s="152" t="inlineStr">
        <is>
          <t>MEGA VARLIK</t>
        </is>
      </c>
      <c r="D1207" s="115" t="inlineStr">
        <is>
          <t>SM350</t>
        </is>
      </c>
      <c r="E1207" s="115" t="inlineStr">
        <is>
          <t>TEVFİK</t>
        </is>
      </c>
      <c r="F1207" s="115" t="n"/>
      <c r="G1207" s="152" t="n"/>
      <c r="H1207" s="152" t="n">
        <v>391</v>
      </c>
      <c r="I1207" s="156">
        <f>+I1206+(G1207-H1207)</f>
        <v/>
      </c>
      <c r="J1207" s="90" t="n">
        <v>67.75</v>
      </c>
      <c r="K1207" s="166" t="n"/>
      <c r="L1207" s="158">
        <f>+H1207*J1207</f>
        <v/>
      </c>
      <c r="M1207" s="159">
        <f>SUM(M1206+K1207-L1207)</f>
        <v/>
      </c>
    </row>
    <row r="1208">
      <c r="A1208" s="151" t="n">
        <v>46122</v>
      </c>
      <c r="B1208" s="70" t="n">
        <v>1637</v>
      </c>
      <c r="C1208" s="115" t="inlineStr">
        <is>
          <t>SELİM İNŞAAT</t>
        </is>
      </c>
      <c r="D1208" s="115" t="inlineStr">
        <is>
          <t>34 VF 2620</t>
        </is>
      </c>
      <c r="E1208" s="115" t="inlineStr">
        <is>
          <t>RECEP SELİM</t>
        </is>
      </c>
      <c r="F1208" s="65" t="n">
        <v>204083</v>
      </c>
      <c r="G1208" s="152" t="n"/>
      <c r="H1208" s="152" t="n">
        <v>60</v>
      </c>
      <c r="I1208" s="156">
        <f>+I1207+(G1208-H1208)</f>
        <v/>
      </c>
      <c r="J1208" s="90" t="n">
        <v>67.75</v>
      </c>
      <c r="K1208" s="166" t="n"/>
      <c r="L1208" s="158">
        <f>+H1208*J1208</f>
        <v/>
      </c>
      <c r="M1208" s="159">
        <f>SUM(M1207+K1208-L1208)</f>
        <v/>
      </c>
    </row>
    <row r="1209">
      <c r="A1209" s="151" t="n">
        <v>46122</v>
      </c>
      <c r="B1209" s="70" t="n">
        <v>4025</v>
      </c>
      <c r="C1209" s="115" t="inlineStr">
        <is>
          <t>SELİM İNŞAAT</t>
        </is>
      </c>
      <c r="D1209" s="115" t="inlineStr">
        <is>
          <t>34 AR 7743</t>
        </is>
      </c>
      <c r="E1209" s="115" t="inlineStr">
        <is>
          <t>MEHMET SELİM</t>
        </is>
      </c>
      <c r="F1209" s="65" t="n">
        <v>376094</v>
      </c>
      <c r="G1209" s="152" t="n"/>
      <c r="H1209" s="152" t="n">
        <v>40</v>
      </c>
      <c r="I1209" s="156">
        <f>+I1208+(G1209-H1209)</f>
        <v/>
      </c>
      <c r="J1209" s="90" t="n">
        <v>67.75</v>
      </c>
      <c r="K1209" s="166" t="n"/>
      <c r="L1209" s="158">
        <f>+H1209*J1209</f>
        <v/>
      </c>
      <c r="M1209" s="159">
        <f>SUM(M1208+K1209-L1209)</f>
        <v/>
      </c>
    </row>
    <row r="1210">
      <c r="A1210" s="151" t="n">
        <v>46122</v>
      </c>
      <c r="B1210" s="70" t="n">
        <v>309</v>
      </c>
      <c r="C1210" s="115" t="inlineStr">
        <is>
          <t>SELİM İNŞAAT</t>
        </is>
      </c>
      <c r="D1210" s="115" t="inlineStr">
        <is>
          <t>34 GER 445</t>
        </is>
      </c>
      <c r="E1210" s="115" t="inlineStr">
        <is>
          <t>MUSTAFA ERYİĞİT</t>
        </is>
      </c>
      <c r="F1210" s="65" t="n">
        <v>59111</v>
      </c>
      <c r="G1210" s="152" t="n"/>
      <c r="H1210" s="152" t="n">
        <v>294</v>
      </c>
      <c r="I1210" s="156">
        <f>+I1209+(G1210-H1210)</f>
        <v/>
      </c>
      <c r="J1210" s="90" t="n">
        <v>67.75</v>
      </c>
      <c r="K1210" s="166" t="n"/>
      <c r="L1210" s="158">
        <f>+H1210*J1210</f>
        <v/>
      </c>
      <c r="M1210" s="159">
        <f>SUM(M1209+K1210-L1210)</f>
        <v/>
      </c>
    </row>
    <row r="1211">
      <c r="A1211" s="151" t="n">
        <v>46122</v>
      </c>
      <c r="B1211" s="70" t="n">
        <v>4522</v>
      </c>
      <c r="C1211" s="115" t="inlineStr">
        <is>
          <t>SELİM İNŞAAT</t>
        </is>
      </c>
      <c r="D1211" s="115" t="inlineStr">
        <is>
          <t>34 DTV 352</t>
        </is>
      </c>
      <c r="E1211" s="115" t="inlineStr">
        <is>
          <t>AZİZ ORUÇ</t>
        </is>
      </c>
      <c r="F1211" s="65" t="n">
        <v>480681</v>
      </c>
      <c r="G1211" s="152" t="n"/>
      <c r="H1211" s="152" t="n">
        <v>332</v>
      </c>
      <c r="I1211" s="156">
        <f>+I1210+(G1211-H1211)</f>
        <v/>
      </c>
      <c r="J1211" s="90" t="n">
        <v>67.75</v>
      </c>
      <c r="K1211" s="166" t="n"/>
      <c r="L1211" s="158">
        <f>+H1211*J1211</f>
        <v/>
      </c>
      <c r="M1211" s="159">
        <f>SUM(M1210+K1211-L1211)</f>
        <v/>
      </c>
    </row>
    <row r="1212">
      <c r="A1212" s="151" t="n">
        <v>46122</v>
      </c>
      <c r="B1212" s="70" t="n">
        <v>639</v>
      </c>
      <c r="C1212" s="152" t="inlineStr">
        <is>
          <t>AHMET SELİM TEMHA</t>
        </is>
      </c>
      <c r="D1212" s="115" t="inlineStr">
        <is>
          <t>34 PGT 251</t>
        </is>
      </c>
      <c r="E1212" s="115" t="inlineStr">
        <is>
          <t>ERSOY SIĞINMAZ</t>
        </is>
      </c>
      <c r="F1212" s="115" t="n"/>
      <c r="G1212" s="152" t="n"/>
      <c r="H1212" s="152" t="n">
        <v>39</v>
      </c>
      <c r="I1212" s="156">
        <f>+I1211+(G1212-H1212)</f>
        <v/>
      </c>
      <c r="J1212" s="90" t="n">
        <v>67.75</v>
      </c>
      <c r="K1212" s="166" t="n"/>
      <c r="L1212" s="158">
        <f>+H1212*J1212</f>
        <v/>
      </c>
      <c r="M1212" s="159">
        <f>SUM(M1211+K1212-L1212)</f>
        <v/>
      </c>
    </row>
    <row r="1213">
      <c r="A1213" s="151" t="n">
        <v>46122</v>
      </c>
      <c r="B1213" s="70" t="n">
        <v>1562</v>
      </c>
      <c r="C1213" s="152" t="inlineStr">
        <is>
          <t>KOZMO</t>
        </is>
      </c>
      <c r="D1213" s="115" t="inlineStr">
        <is>
          <t>JCB</t>
        </is>
      </c>
      <c r="E1213" s="115" t="inlineStr">
        <is>
          <t>BAYRAM SANCAK</t>
        </is>
      </c>
      <c r="F1213" s="115" t="n"/>
      <c r="G1213" s="152" t="n"/>
      <c r="H1213" s="152" t="n">
        <v>66</v>
      </c>
      <c r="I1213" s="156">
        <f>+I1212+(G1213-H1213)</f>
        <v/>
      </c>
      <c r="J1213" s="90" t="n">
        <v>67.75</v>
      </c>
      <c r="K1213" s="166" t="n"/>
      <c r="L1213" s="158">
        <f>+H1213*J1213</f>
        <v/>
      </c>
      <c r="M1213" s="159">
        <f>SUM(M1212+K1213-L1213)</f>
        <v/>
      </c>
    </row>
    <row r="1214">
      <c r="A1214" s="151" t="n">
        <v>46122</v>
      </c>
      <c r="B1214" s="70" t="n">
        <v>1563</v>
      </c>
      <c r="C1214" s="152" t="inlineStr">
        <is>
          <t>MEGA VARLIK</t>
        </is>
      </c>
      <c r="D1214" s="115" t="inlineStr">
        <is>
          <t>KAWAZAKİ</t>
        </is>
      </c>
      <c r="E1214" s="115" t="inlineStr">
        <is>
          <t>RAMAZAN</t>
        </is>
      </c>
      <c r="F1214" s="115" t="n"/>
      <c r="G1214" s="152" t="n"/>
      <c r="H1214" s="152" t="n">
        <v>260</v>
      </c>
      <c r="I1214" s="156">
        <f>+I1213+(G1214-H1214)</f>
        <v/>
      </c>
      <c r="J1214" s="90" t="n">
        <v>67.75</v>
      </c>
      <c r="K1214" s="166" t="n"/>
      <c r="L1214" s="158">
        <f>+H1214*J1214</f>
        <v/>
      </c>
      <c r="M1214" s="159">
        <f>SUM(M1213+K1214-L1214)</f>
        <v/>
      </c>
    </row>
    <row r="1215">
      <c r="A1215" s="167" t="n">
        <v>46123</v>
      </c>
      <c r="B1215" s="83" t="n">
        <v>717</v>
      </c>
      <c r="C1215" s="84" t="inlineStr">
        <is>
          <t>ÜNSOY TURİZM İNŞ.SAN.VE TİC.A.Ş.</t>
        </is>
      </c>
      <c r="D1215" s="84" t="n"/>
      <c r="E1215" s="84" t="n"/>
      <c r="F1215" s="85" t="n"/>
      <c r="G1215" s="168" t="n">
        <v>24710</v>
      </c>
      <c r="H1215" s="168" t="n"/>
      <c r="I1215" s="168">
        <f>+I1214+(G1215-H1215)</f>
        <v/>
      </c>
      <c r="J1215" s="87">
        <f>+K1215/G1215</f>
        <v/>
      </c>
      <c r="K1215" s="169" t="n">
        <v>1598737</v>
      </c>
      <c r="L1215" s="170">
        <f>+H1215*J1215</f>
        <v/>
      </c>
      <c r="M1215" s="170">
        <f>SUM(M1214+K1215-L1215)</f>
        <v/>
      </c>
    </row>
    <row r="1216">
      <c r="A1216" s="151" t="n">
        <v>46123</v>
      </c>
      <c r="B1216" s="70" t="n">
        <v>4473</v>
      </c>
      <c r="C1216" s="115" t="inlineStr">
        <is>
          <t>SELİM İNŞAAT</t>
        </is>
      </c>
      <c r="D1216" s="115" t="inlineStr">
        <is>
          <t>34 DKL 798</t>
        </is>
      </c>
      <c r="E1216" s="115" t="inlineStr">
        <is>
          <t>HASAN BAYCA</t>
        </is>
      </c>
      <c r="F1216" s="65" t="n">
        <v>82748</v>
      </c>
      <c r="G1216" s="152" t="n"/>
      <c r="H1216" s="152" t="n">
        <v>191</v>
      </c>
      <c r="I1216" s="156">
        <f>+I1215+(G1216-H1216)</f>
        <v/>
      </c>
      <c r="J1216" s="90" t="n">
        <v>64.7</v>
      </c>
      <c r="K1216" s="166" t="n"/>
      <c r="L1216" s="158">
        <f>+H1216*J1216</f>
        <v/>
      </c>
      <c r="M1216" s="159">
        <f>SUM(M1215+K1216-L1216)</f>
        <v/>
      </c>
    </row>
    <row r="1217">
      <c r="A1217" s="151" t="n">
        <v>46123</v>
      </c>
      <c r="B1217" s="70" t="n">
        <v>3738</v>
      </c>
      <c r="C1217" s="115" t="inlineStr">
        <is>
          <t>SELİM İNŞAAT</t>
        </is>
      </c>
      <c r="D1217" s="115" t="inlineStr">
        <is>
          <t>34 DKL 866</t>
        </is>
      </c>
      <c r="E1217" s="115" t="inlineStr">
        <is>
          <t>SELİMCAN ÖNVER</t>
        </is>
      </c>
      <c r="F1217" s="65" t="n">
        <v>84070</v>
      </c>
      <c r="G1217" s="152" t="n"/>
      <c r="H1217" s="152" t="n">
        <v>214</v>
      </c>
      <c r="I1217" s="156">
        <f>+I1216+(G1217-H1217)</f>
        <v/>
      </c>
      <c r="J1217" s="90" t="n">
        <v>64.7</v>
      </c>
      <c r="K1217" s="166" t="n"/>
      <c r="L1217" s="158">
        <f>+H1217*J1217</f>
        <v/>
      </c>
      <c r="M1217" s="159">
        <f>SUM(M1216+K1217-L1217)</f>
        <v/>
      </c>
    </row>
    <row r="1218">
      <c r="A1218" s="151" t="n">
        <v>46123</v>
      </c>
      <c r="B1218" s="70" t="n">
        <v>2398</v>
      </c>
      <c r="C1218" s="115" t="inlineStr">
        <is>
          <t>SELİM İNŞAAT</t>
        </is>
      </c>
      <c r="D1218" s="115" t="inlineStr">
        <is>
          <t>34 FEM 934</t>
        </is>
      </c>
      <c r="E1218" s="115" t="inlineStr">
        <is>
          <t>YAKUP URUCU</t>
        </is>
      </c>
      <c r="F1218" s="65" t="n">
        <v>336573</v>
      </c>
      <c r="G1218" s="152" t="n"/>
      <c r="H1218" s="152" t="n">
        <v>66</v>
      </c>
      <c r="I1218" s="156">
        <f>+I1217+(G1218-H1218)</f>
        <v/>
      </c>
      <c r="J1218" s="90" t="n">
        <v>64.7</v>
      </c>
      <c r="K1218" s="166" t="n"/>
      <c r="L1218" s="158">
        <f>+H1218*J1218</f>
        <v/>
      </c>
      <c r="M1218" s="159">
        <f>SUM(M1217+K1218-L1218)</f>
        <v/>
      </c>
    </row>
    <row r="1219">
      <c r="A1219" s="151" t="n">
        <v>46123</v>
      </c>
      <c r="B1219" s="70" t="n">
        <v>2987</v>
      </c>
      <c r="C1219" s="115" t="inlineStr">
        <is>
          <t>SELİM İNŞAAT</t>
        </is>
      </c>
      <c r="D1219" s="115" t="inlineStr">
        <is>
          <t>34 DFE 454</t>
        </is>
      </c>
      <c r="E1219" s="115" t="inlineStr">
        <is>
          <t>HÜSEYİN ALIN</t>
        </is>
      </c>
      <c r="F1219" s="65" t="n">
        <v>176292</v>
      </c>
      <c r="G1219" s="152" t="n"/>
      <c r="H1219" s="152" t="n">
        <v>297</v>
      </c>
      <c r="I1219" s="156">
        <f>+I1218+(G1219-H1219)</f>
        <v/>
      </c>
      <c r="J1219" s="90" t="n">
        <v>64.7</v>
      </c>
      <c r="K1219" s="166" t="n"/>
      <c r="L1219" s="158">
        <f>+H1219*J1219</f>
        <v/>
      </c>
      <c r="M1219" s="159">
        <f>SUM(M1218+K1219-L1219)</f>
        <v/>
      </c>
    </row>
    <row r="1220">
      <c r="A1220" s="151" t="n">
        <v>46123</v>
      </c>
      <c r="B1220" s="70" t="n">
        <v>659</v>
      </c>
      <c r="C1220" s="115" t="inlineStr">
        <is>
          <t>SELİM İNŞAAT</t>
        </is>
      </c>
      <c r="D1220" s="115" t="inlineStr">
        <is>
          <t>34 GU 945</t>
        </is>
      </c>
      <c r="E1220" s="115" t="inlineStr">
        <is>
          <t>YAKUP URUCU</t>
        </is>
      </c>
      <c r="F1220" s="65" t="n">
        <v>475424</v>
      </c>
      <c r="G1220" s="152" t="n"/>
      <c r="H1220" s="152" t="n">
        <v>69</v>
      </c>
      <c r="I1220" s="156">
        <f>+I1219+(G1220-H1220)</f>
        <v/>
      </c>
      <c r="J1220" s="90" t="n">
        <v>64.7</v>
      </c>
      <c r="K1220" s="166" t="n"/>
      <c r="L1220" s="158">
        <f>+H1220*J1220</f>
        <v/>
      </c>
      <c r="M1220" s="159">
        <f>SUM(M1219+K1220-L1220)</f>
        <v/>
      </c>
    </row>
    <row r="1221">
      <c r="A1221" s="151" t="n">
        <v>46123</v>
      </c>
      <c r="B1221" s="70" t="n">
        <v>3232</v>
      </c>
      <c r="C1221" s="115" t="inlineStr">
        <is>
          <t>SELİM İNŞAAT</t>
        </is>
      </c>
      <c r="D1221" s="115" t="inlineStr">
        <is>
          <t>34 EGR 736</t>
        </is>
      </c>
      <c r="E1221" s="115" t="inlineStr">
        <is>
          <t>HAKAN ÇAVUŞOĞLU</t>
        </is>
      </c>
      <c r="F1221" s="65" t="n">
        <v>443730</v>
      </c>
      <c r="G1221" s="152" t="n"/>
      <c r="H1221" s="152" t="n">
        <v>435</v>
      </c>
      <c r="I1221" s="156">
        <f>+I1220+(G1221-H1221)</f>
        <v/>
      </c>
      <c r="J1221" s="90" t="n">
        <v>64.7</v>
      </c>
      <c r="K1221" s="166" t="n"/>
      <c r="L1221" s="158">
        <f>+H1221*J1221</f>
        <v/>
      </c>
      <c r="M1221" s="159">
        <f>SUM(M1220+K1221-L1221)</f>
        <v/>
      </c>
    </row>
    <row r="1222">
      <c r="A1222" s="151" t="n">
        <v>46123</v>
      </c>
      <c r="B1222" s="70" t="n">
        <v>155</v>
      </c>
      <c r="C1222" s="115" t="inlineStr">
        <is>
          <t>SELİM İNŞAAT</t>
        </is>
      </c>
      <c r="D1222" s="115" t="inlineStr">
        <is>
          <t>34 FBR 771</t>
        </is>
      </c>
      <c r="E1222" s="115" t="inlineStr">
        <is>
          <t>SALİH YALÇIN</t>
        </is>
      </c>
      <c r="F1222" s="65" t="n">
        <v>353144</v>
      </c>
      <c r="G1222" s="152" t="n"/>
      <c r="H1222" s="152" t="n">
        <v>372</v>
      </c>
      <c r="I1222" s="156">
        <f>+I1221+(G1222-H1222)</f>
        <v/>
      </c>
      <c r="J1222" s="90" t="n">
        <v>64.7</v>
      </c>
      <c r="K1222" s="166" t="n"/>
      <c r="L1222" s="158">
        <f>+H1222*J1222</f>
        <v/>
      </c>
      <c r="M1222" s="159">
        <f>SUM(M1221+K1222-L1222)</f>
        <v/>
      </c>
    </row>
    <row r="1223">
      <c r="A1223" s="151" t="n">
        <v>46123</v>
      </c>
      <c r="B1223" s="70" t="n">
        <v>1751</v>
      </c>
      <c r="C1223" s="115" t="inlineStr">
        <is>
          <t>SELİM İNŞAAT</t>
        </is>
      </c>
      <c r="D1223" s="115" t="inlineStr">
        <is>
          <t>34 EDC 086</t>
        </is>
      </c>
      <c r="E1223" s="115" t="inlineStr">
        <is>
          <t>SEZGİN KOCAGİL</t>
        </is>
      </c>
      <c r="F1223" s="65" t="n">
        <v>379832</v>
      </c>
      <c r="G1223" s="152" t="n"/>
      <c r="H1223" s="152" t="n">
        <v>474</v>
      </c>
      <c r="I1223" s="156">
        <f>+I1222+(G1223-H1223)</f>
        <v/>
      </c>
      <c r="J1223" s="90" t="n">
        <v>64.7</v>
      </c>
      <c r="K1223" s="166" t="n"/>
      <c r="L1223" s="158">
        <f>+H1223*J1223</f>
        <v/>
      </c>
      <c r="M1223" s="159">
        <f>SUM(M1222+K1223-L1223)</f>
        <v/>
      </c>
    </row>
    <row r="1224">
      <c r="A1224" s="151" t="n">
        <v>46123</v>
      </c>
      <c r="B1224" s="70" t="n">
        <v>21</v>
      </c>
      <c r="C1224" s="115" t="inlineStr">
        <is>
          <t>SELİM İNŞAAT</t>
        </is>
      </c>
      <c r="D1224" s="115" t="inlineStr">
        <is>
          <t>34 GVZ 268</t>
        </is>
      </c>
      <c r="E1224" s="115" t="inlineStr">
        <is>
          <t>KERİM KARAMAN</t>
        </is>
      </c>
      <c r="F1224" s="65" t="n">
        <v>256181</v>
      </c>
      <c r="G1224" s="152" t="n"/>
      <c r="H1224" s="152" t="n">
        <v>440</v>
      </c>
      <c r="I1224" s="156">
        <f>+I1223+(G1224-H1224)</f>
        <v/>
      </c>
      <c r="J1224" s="90" t="n">
        <v>64.7</v>
      </c>
      <c r="K1224" s="166" t="n"/>
      <c r="L1224" s="158">
        <f>+H1224*J1224</f>
        <v/>
      </c>
      <c r="M1224" s="159">
        <f>SUM(M1223+K1224-L1224)</f>
        <v/>
      </c>
    </row>
    <row r="1225">
      <c r="A1225" s="151" t="n">
        <v>46123</v>
      </c>
      <c r="B1225" s="70" t="n">
        <v>3340</v>
      </c>
      <c r="C1225" s="115" t="inlineStr">
        <is>
          <t>SELİM İNŞAAT</t>
        </is>
      </c>
      <c r="D1225" s="115" t="inlineStr">
        <is>
          <t>34 GUS 938</t>
        </is>
      </c>
      <c r="E1225" s="115" t="inlineStr">
        <is>
          <t>MEHMET KAYA</t>
        </is>
      </c>
      <c r="F1225" s="65" t="n">
        <v>252358</v>
      </c>
      <c r="G1225" s="152" t="n"/>
      <c r="H1225" s="152" t="n">
        <v>267</v>
      </c>
      <c r="I1225" s="156">
        <f>+I1224+(G1225-H1225)</f>
        <v/>
      </c>
      <c r="J1225" s="90" t="n">
        <v>64.7</v>
      </c>
      <c r="K1225" s="166" t="n"/>
      <c r="L1225" s="158">
        <f>+H1225*J1225</f>
        <v/>
      </c>
      <c r="M1225" s="159">
        <f>SUM(M1224+K1225-L1225)</f>
        <v/>
      </c>
    </row>
    <row r="1226">
      <c r="A1226" s="151" t="n">
        <v>46123</v>
      </c>
      <c r="B1226" s="70" t="n">
        <v>103</v>
      </c>
      <c r="C1226" s="115" t="inlineStr">
        <is>
          <t>SELİM İNŞAAT</t>
        </is>
      </c>
      <c r="D1226" s="115" t="inlineStr">
        <is>
          <t>34 GUS 848</t>
        </is>
      </c>
      <c r="E1226" s="115" t="inlineStr">
        <is>
          <t>SERDAR BOZKURT</t>
        </is>
      </c>
      <c r="F1226" s="65" t="n">
        <v>238059</v>
      </c>
      <c r="G1226" s="152" t="n"/>
      <c r="H1226" s="152" t="n">
        <v>520</v>
      </c>
      <c r="I1226" s="156">
        <f>+I1225+(G1226-H1226)</f>
        <v/>
      </c>
      <c r="J1226" s="90" t="n">
        <v>64.7</v>
      </c>
      <c r="K1226" s="166" t="n"/>
      <c r="L1226" s="158">
        <f>+H1226*J1226</f>
        <v/>
      </c>
      <c r="M1226" s="159">
        <f>SUM(M1225+K1226-L1226)</f>
        <v/>
      </c>
    </row>
    <row r="1227">
      <c r="A1227" s="151" t="n">
        <v>46123</v>
      </c>
      <c r="B1227" s="70" t="n">
        <v>858</v>
      </c>
      <c r="C1227" s="115" t="inlineStr">
        <is>
          <t>SELİM İNŞAAT</t>
        </is>
      </c>
      <c r="D1227" s="115" t="inlineStr">
        <is>
          <t>34 EGR 922</t>
        </is>
      </c>
      <c r="E1227" s="115" t="inlineStr">
        <is>
          <t>FARUK ÖZEN</t>
        </is>
      </c>
      <c r="F1227" s="65" t="n">
        <v>509650</v>
      </c>
      <c r="G1227" s="152" t="n"/>
      <c r="H1227" s="152" t="n">
        <v>537</v>
      </c>
      <c r="I1227" s="156">
        <f>+I1226+(G1227-H1227)</f>
        <v/>
      </c>
      <c r="J1227" s="90" t="n">
        <v>64.7</v>
      </c>
      <c r="K1227" s="166" t="n"/>
      <c r="L1227" s="158">
        <f>+H1227*J1227</f>
        <v/>
      </c>
      <c r="M1227" s="159">
        <f>SUM(M1226+K1227-L1227)</f>
        <v/>
      </c>
    </row>
    <row r="1228">
      <c r="A1228" s="151" t="n">
        <v>46123</v>
      </c>
      <c r="B1228" s="70" t="n">
        <v>3399</v>
      </c>
      <c r="C1228" s="115" t="inlineStr">
        <is>
          <t>SELİM İNŞAAT</t>
        </is>
      </c>
      <c r="D1228" s="115" t="inlineStr">
        <is>
          <t>34 EDC 162</t>
        </is>
      </c>
      <c r="E1228" s="115" t="inlineStr">
        <is>
          <t xml:space="preserve">YAKUP GÜNER </t>
        </is>
      </c>
      <c r="F1228" s="65" t="n">
        <v>421029</v>
      </c>
      <c r="G1228" s="152" t="n"/>
      <c r="H1228" s="152" t="n">
        <v>427</v>
      </c>
      <c r="I1228" s="156">
        <f>+I1227+(G1228-H1228)</f>
        <v/>
      </c>
      <c r="J1228" s="90" t="n">
        <v>64.7</v>
      </c>
      <c r="K1228" s="166" t="n"/>
      <c r="L1228" s="158">
        <f>+H1228*J1228</f>
        <v/>
      </c>
      <c r="M1228" s="159">
        <f>SUM(M1227+K1228-L1228)</f>
        <v/>
      </c>
    </row>
    <row r="1229">
      <c r="A1229" s="151" t="n">
        <v>46123</v>
      </c>
      <c r="B1229" s="70" t="n">
        <v>825</v>
      </c>
      <c r="C1229" s="115" t="inlineStr">
        <is>
          <t>METİN ERYİĞİT</t>
        </is>
      </c>
      <c r="D1229" s="115" t="inlineStr">
        <is>
          <t>34 GBL 998</t>
        </is>
      </c>
      <c r="E1229" s="115" t="inlineStr">
        <is>
          <t>ALİ KESKİN</t>
        </is>
      </c>
      <c r="F1229" s="115" t="n">
        <v>357930</v>
      </c>
      <c r="G1229" s="152" t="n"/>
      <c r="H1229" s="152" t="n">
        <v>405</v>
      </c>
      <c r="I1229" s="156">
        <f>+I1228+(G1229-H1229)</f>
        <v/>
      </c>
      <c r="J1229" s="90" t="n">
        <v>64.7</v>
      </c>
      <c r="K1229" s="166" t="n"/>
      <c r="L1229" s="158">
        <f>+H1229*J1229</f>
        <v/>
      </c>
      <c r="M1229" s="159">
        <f>SUM(M1228+K1229-L1229)</f>
        <v/>
      </c>
    </row>
    <row r="1230">
      <c r="A1230" s="151" t="n">
        <v>46123</v>
      </c>
      <c r="B1230" s="70" t="n">
        <v>766</v>
      </c>
      <c r="C1230" s="115" t="inlineStr">
        <is>
          <t>METİN ERYİĞİT</t>
        </is>
      </c>
      <c r="D1230" s="115" t="inlineStr">
        <is>
          <t>34 EGR 814</t>
        </is>
      </c>
      <c r="E1230" s="115" t="inlineStr">
        <is>
          <t>ZİYA İNCE</t>
        </is>
      </c>
      <c r="F1230" s="115" t="n">
        <v>618508</v>
      </c>
      <c r="G1230" s="152" t="n"/>
      <c r="H1230" s="152" t="n">
        <v>338</v>
      </c>
      <c r="I1230" s="156">
        <f>+I1229+(G1230-H1230)</f>
        <v/>
      </c>
      <c r="J1230" s="90" t="n">
        <v>64.7</v>
      </c>
      <c r="K1230" s="166" t="n"/>
      <c r="L1230" s="158">
        <f>+H1230*J1230</f>
        <v/>
      </c>
      <c r="M1230" s="159">
        <f>SUM(M1229+K1230-L1230)</f>
        <v/>
      </c>
    </row>
    <row r="1231">
      <c r="A1231" s="151" t="n">
        <v>46123</v>
      </c>
      <c r="B1231" s="70" t="n">
        <v>1052</v>
      </c>
      <c r="C1231" s="152" t="inlineStr">
        <is>
          <t>SELİM İNŞAAT</t>
        </is>
      </c>
      <c r="D1231" s="115" t="inlineStr">
        <is>
          <t>34 FBR 781</t>
        </is>
      </c>
      <c r="E1231" s="115" t="inlineStr">
        <is>
          <t>MEVLÜT POLAT</t>
        </is>
      </c>
      <c r="F1231" s="115" t="n">
        <v>367383</v>
      </c>
      <c r="G1231" s="152" t="n"/>
      <c r="H1231" s="152" t="n">
        <v>412</v>
      </c>
      <c r="I1231" s="156">
        <f>+I1230+(G1231-H1231)</f>
        <v/>
      </c>
      <c r="J1231" s="90" t="n">
        <v>64.7</v>
      </c>
      <c r="K1231" s="166" t="n"/>
      <c r="L1231" s="158">
        <f>+H1231*J1231</f>
        <v/>
      </c>
      <c r="M1231" s="159">
        <f>SUM(M1230+K1231-L1231)</f>
        <v/>
      </c>
    </row>
    <row r="1232">
      <c r="A1232" s="151" t="n">
        <v>46123</v>
      </c>
      <c r="B1232" s="70" t="n">
        <v>4886</v>
      </c>
      <c r="C1232" s="152" t="inlineStr">
        <is>
          <t>SELİM İNŞAAT</t>
        </is>
      </c>
      <c r="D1232" s="115" t="inlineStr">
        <is>
          <t>34 FBR 705</t>
        </is>
      </c>
      <c r="E1232" s="115" t="inlineStr">
        <is>
          <t>MURAT SARI</t>
        </is>
      </c>
      <c r="F1232" s="115" t="n">
        <v>367130</v>
      </c>
      <c r="G1232" s="152" t="n"/>
      <c r="H1232" s="152" t="n">
        <v>455</v>
      </c>
      <c r="I1232" s="156">
        <f>+I1231+(G1232-H1232)</f>
        <v/>
      </c>
      <c r="J1232" s="90" t="n">
        <v>64.7</v>
      </c>
      <c r="K1232" s="166" t="n"/>
      <c r="L1232" s="158">
        <f>+H1232*J1232</f>
        <v/>
      </c>
      <c r="M1232" s="159">
        <f>SUM(M1231+K1232-L1232)</f>
        <v/>
      </c>
    </row>
    <row r="1233">
      <c r="A1233" s="151" t="n">
        <v>46123</v>
      </c>
      <c r="B1233" s="70" t="n">
        <v>3435</v>
      </c>
      <c r="C1233" s="152" t="inlineStr">
        <is>
          <t>SELİM İNŞAAT</t>
        </is>
      </c>
      <c r="D1233" s="115" t="inlineStr">
        <is>
          <t>34 GVZ 310</t>
        </is>
      </c>
      <c r="E1233" s="115" t="inlineStr">
        <is>
          <t>CELAL YÜZBAŞI</t>
        </is>
      </c>
      <c r="F1233" s="115" t="n">
        <v>252118</v>
      </c>
      <c r="G1233" s="152" t="n"/>
      <c r="H1233" s="152" t="n">
        <v>509</v>
      </c>
      <c r="I1233" s="156">
        <f>+I1232+(G1233-H1233)</f>
        <v/>
      </c>
      <c r="J1233" s="90" t="n">
        <v>64.7</v>
      </c>
      <c r="K1233" s="166" t="n"/>
      <c r="L1233" s="158">
        <f>+H1233*J1233</f>
        <v/>
      </c>
      <c r="M1233" s="159">
        <f>SUM(M1232+K1233-L1233)</f>
        <v/>
      </c>
    </row>
    <row r="1234">
      <c r="A1234" s="151" t="n">
        <v>46123</v>
      </c>
      <c r="B1234" s="70" t="n">
        <v>4175</v>
      </c>
      <c r="C1234" s="152" t="inlineStr">
        <is>
          <t>SELİM İNŞAAT</t>
        </is>
      </c>
      <c r="D1234" s="115" t="inlineStr">
        <is>
          <t>34 FBR 748</t>
        </is>
      </c>
      <c r="E1234" s="115" t="inlineStr">
        <is>
          <t>YAŞAR ÖZKAYA</t>
        </is>
      </c>
      <c r="F1234" s="115" t="n">
        <v>328227</v>
      </c>
      <c r="G1234" s="152" t="n"/>
      <c r="H1234" s="152" t="n">
        <v>525</v>
      </c>
      <c r="I1234" s="156">
        <f>+I1233+(G1234-H1234)</f>
        <v/>
      </c>
      <c r="J1234" s="90" t="n">
        <v>64.7</v>
      </c>
      <c r="K1234" s="166" t="n"/>
      <c r="L1234" s="158">
        <f>+H1234*J1234</f>
        <v/>
      </c>
      <c r="M1234" s="159">
        <f>SUM(M1233+K1234-L1234)</f>
        <v/>
      </c>
    </row>
    <row r="1235">
      <c r="A1235" s="151" t="n">
        <v>46123</v>
      </c>
      <c r="B1235" s="70" t="n">
        <v>1564</v>
      </c>
      <c r="C1235" s="152" t="inlineStr">
        <is>
          <t>VARLIK</t>
        </is>
      </c>
      <c r="D1235" s="115" t="inlineStr">
        <is>
          <t>SİLİNDİR KİRALIK</t>
        </is>
      </c>
      <c r="E1235" s="115" t="inlineStr">
        <is>
          <t>KÖKSAL GÜLLÜK</t>
        </is>
      </c>
      <c r="F1235" s="115" t="n"/>
      <c r="G1235" s="152" t="n"/>
      <c r="H1235" s="152" t="n">
        <v>375</v>
      </c>
      <c r="I1235" s="156">
        <f>+I1234+(G1235-H1235)</f>
        <v/>
      </c>
      <c r="J1235" s="90" t="n">
        <v>64.7</v>
      </c>
      <c r="K1235" s="166" t="n"/>
      <c r="L1235" s="158">
        <f>+H1235*J1235</f>
        <v/>
      </c>
      <c r="M1235" s="159">
        <f>SUM(M1234+K1235-L1235)</f>
        <v/>
      </c>
    </row>
    <row r="1236">
      <c r="A1236" s="151" t="n">
        <v>46123</v>
      </c>
      <c r="B1236" s="70" t="n">
        <v>1565</v>
      </c>
      <c r="C1236" s="152" t="n"/>
      <c r="D1236" s="115" t="inlineStr">
        <is>
          <t>KİRALIK KATO</t>
        </is>
      </c>
      <c r="E1236" s="115" t="inlineStr">
        <is>
          <t>GÜNEŞ BEYİN TALİMATI</t>
        </is>
      </c>
      <c r="F1236" s="115" t="n"/>
      <c r="G1236" s="152" t="n"/>
      <c r="H1236" s="152" t="n">
        <v>124</v>
      </c>
      <c r="I1236" s="156">
        <f>+I1235+(G1236-H1236)</f>
        <v/>
      </c>
      <c r="J1236" s="90" t="n">
        <v>64.7</v>
      </c>
      <c r="K1236" s="166" t="n"/>
      <c r="L1236" s="158">
        <f>+H1236*J1236</f>
        <v/>
      </c>
      <c r="M1236" s="159">
        <f>SUM(M1235+K1236-L1236)</f>
        <v/>
      </c>
    </row>
    <row r="1237">
      <c r="A1237" s="151" t="n">
        <v>46123</v>
      </c>
      <c r="B1237" s="70" t="n">
        <v>1566</v>
      </c>
      <c r="C1237" s="152" t="inlineStr">
        <is>
          <t>VARLIK</t>
        </is>
      </c>
      <c r="D1237" s="115" t="inlineStr">
        <is>
          <t>HİTACHİ</t>
        </is>
      </c>
      <c r="E1237" s="115" t="inlineStr">
        <is>
          <t>TURGUT SANCAK</t>
        </is>
      </c>
      <c r="F1237" s="115" t="n"/>
      <c r="G1237" s="152" t="n"/>
      <c r="H1237" s="152" t="n">
        <v>316</v>
      </c>
      <c r="I1237" s="156">
        <f>+I1236+(G1237-H1237)</f>
        <v/>
      </c>
      <c r="J1237" s="90" t="n">
        <v>64.7</v>
      </c>
      <c r="K1237" s="166" t="n"/>
      <c r="L1237" s="158">
        <f>+H1237*J1237</f>
        <v/>
      </c>
      <c r="M1237" s="159">
        <f>SUM(M1236+K1237-L1237)</f>
        <v/>
      </c>
    </row>
    <row r="1238">
      <c r="A1238" s="151" t="n">
        <v>46123</v>
      </c>
      <c r="B1238" s="70" t="n">
        <v>1567</v>
      </c>
      <c r="C1238" s="152" t="inlineStr">
        <is>
          <t>VARLIK</t>
        </is>
      </c>
      <c r="D1238" s="115" t="inlineStr">
        <is>
          <t>KAWAZAKİ</t>
        </is>
      </c>
      <c r="E1238" s="115" t="inlineStr">
        <is>
          <t>RAMAZAN</t>
        </is>
      </c>
      <c r="F1238" s="115" t="n"/>
      <c r="G1238" s="152" t="n"/>
      <c r="H1238" s="152" t="n">
        <v>146</v>
      </c>
      <c r="I1238" s="156">
        <f>+I1237+(G1238-H1238)</f>
        <v/>
      </c>
      <c r="J1238" s="90" t="n">
        <v>64.7</v>
      </c>
      <c r="K1238" s="166" t="n"/>
      <c r="L1238" s="158">
        <f>+H1238*J1238</f>
        <v/>
      </c>
      <c r="M1238" s="159">
        <f>SUM(M1237+K1238-L1238)</f>
        <v/>
      </c>
    </row>
    <row r="1239">
      <c r="A1239" s="151" t="n">
        <v>46123</v>
      </c>
      <c r="B1239" s="70" t="n">
        <v>1568</v>
      </c>
      <c r="C1239" s="152" t="inlineStr">
        <is>
          <t>KOZMO</t>
        </is>
      </c>
      <c r="D1239" s="115" t="inlineStr">
        <is>
          <t>SM350</t>
        </is>
      </c>
      <c r="E1239" s="115" t="inlineStr">
        <is>
          <t xml:space="preserve">MİKAİL BAYILMAZ </t>
        </is>
      </c>
      <c r="F1239" s="115" t="n"/>
      <c r="G1239" s="152" t="n"/>
      <c r="H1239" s="152" t="n">
        <v>417</v>
      </c>
      <c r="I1239" s="156">
        <f>+I1238+(G1239-H1239)</f>
        <v/>
      </c>
      <c r="J1239" s="90" t="n">
        <v>64.7</v>
      </c>
      <c r="K1239" s="166" t="n"/>
      <c r="L1239" s="158">
        <f>+H1239*J1239</f>
        <v/>
      </c>
      <c r="M1239" s="159">
        <f>SUM(M1238+K1239-L1239)</f>
        <v/>
      </c>
    </row>
    <row r="1240">
      <c r="A1240" s="151" t="n">
        <v>46123</v>
      </c>
      <c r="B1240" s="70" t="n">
        <v>1569</v>
      </c>
      <c r="C1240" s="152" t="inlineStr">
        <is>
          <t>KOZMO</t>
        </is>
      </c>
      <c r="D1240" s="115" t="inlineStr">
        <is>
          <t>SM370</t>
        </is>
      </c>
      <c r="E1240" s="115" t="inlineStr">
        <is>
          <t>EMİRCAN</t>
        </is>
      </c>
      <c r="F1240" s="115" t="n"/>
      <c r="G1240" s="152" t="n"/>
      <c r="H1240" s="152" t="n">
        <v>485</v>
      </c>
      <c r="I1240" s="156">
        <f>+I1239+(G1240-H1240)</f>
        <v/>
      </c>
      <c r="J1240" s="90" t="n">
        <v>64.7</v>
      </c>
      <c r="K1240" s="166" t="n"/>
      <c r="L1240" s="158">
        <f>+H1240*J1240</f>
        <v/>
      </c>
      <c r="M1240" s="159">
        <f>SUM(M1239+K1240-L1240)</f>
        <v/>
      </c>
    </row>
    <row r="1241">
      <c r="A1241" s="151" t="n">
        <v>46123</v>
      </c>
      <c r="B1241" s="70" t="n">
        <v>1570</v>
      </c>
      <c r="C1241" s="152" t="inlineStr">
        <is>
          <t>KOZMO</t>
        </is>
      </c>
      <c r="D1241" s="115" t="inlineStr">
        <is>
          <t>SM300</t>
        </is>
      </c>
      <c r="E1241" s="115" t="inlineStr">
        <is>
          <t>TEKİN ŞEYLAN</t>
        </is>
      </c>
      <c r="F1241" s="115" t="n"/>
      <c r="G1241" s="152" t="n"/>
      <c r="H1241" s="152" t="n">
        <v>453</v>
      </c>
      <c r="I1241" s="156">
        <f>+I1240+(G1241-H1241)</f>
        <v/>
      </c>
      <c r="J1241" s="90" t="n">
        <v>64.7</v>
      </c>
      <c r="K1241" s="166" t="n"/>
      <c r="L1241" s="158">
        <f>+H1241*J1241</f>
        <v/>
      </c>
      <c r="M1241" s="159">
        <f>SUM(M1240+K1241-L1241)</f>
        <v/>
      </c>
    </row>
    <row r="1242">
      <c r="A1242" s="151" t="n">
        <v>46123</v>
      </c>
      <c r="B1242" s="70" t="n">
        <v>1571</v>
      </c>
      <c r="C1242" s="152" t="inlineStr">
        <is>
          <t xml:space="preserve">CEVİZ MOBİLYA  </t>
        </is>
      </c>
      <c r="D1242" s="115" t="inlineStr">
        <is>
          <t>34 GCY 009</t>
        </is>
      </c>
      <c r="E1242" s="115" t="inlineStr">
        <is>
          <t>CEMAL AKYOL</t>
        </is>
      </c>
      <c r="F1242" s="115" t="n"/>
      <c r="G1242" s="152" t="n"/>
      <c r="H1242" s="152" t="n">
        <v>97</v>
      </c>
      <c r="I1242" s="156">
        <f>+I1241+(G1242-H1242)</f>
        <v/>
      </c>
      <c r="J1242" s="90" t="n">
        <v>64.7</v>
      </c>
      <c r="K1242" s="166" t="n"/>
      <c r="L1242" s="158">
        <f>+H1242*J1242</f>
        <v/>
      </c>
      <c r="M1242" s="159">
        <f>SUM(M1241+K1242-L1242)</f>
        <v/>
      </c>
    </row>
    <row r="1243">
      <c r="A1243" s="151" t="n">
        <v>46123</v>
      </c>
      <c r="B1243" s="70" t="n">
        <v>1572</v>
      </c>
      <c r="C1243" s="152" t="inlineStr">
        <is>
          <t>MEGA VARLIK</t>
        </is>
      </c>
      <c r="D1243" s="115" t="inlineStr">
        <is>
          <t>34 AZ 2191</t>
        </is>
      </c>
      <c r="E1243" s="115" t="inlineStr">
        <is>
          <t>NUMAN KABİL</t>
        </is>
      </c>
      <c r="F1243" s="115" t="n"/>
      <c r="G1243" s="152" t="n"/>
      <c r="H1243" s="152" t="n">
        <v>197</v>
      </c>
      <c r="I1243" s="156">
        <f>+I1242+(G1243-H1243)</f>
        <v/>
      </c>
      <c r="J1243" s="90" t="n">
        <v>64.7</v>
      </c>
      <c r="K1243" s="166" t="n"/>
      <c r="L1243" s="158">
        <f>+H1243*J1243</f>
        <v/>
      </c>
      <c r="M1243" s="159">
        <f>SUM(M1242+K1243-L1243)</f>
        <v/>
      </c>
    </row>
    <row r="1244">
      <c r="A1244" s="151" t="n">
        <v>46123</v>
      </c>
      <c r="B1244" s="70" t="n">
        <v>1573</v>
      </c>
      <c r="C1244" s="152" t="inlineStr">
        <is>
          <t>MEGA VARLIK</t>
        </is>
      </c>
      <c r="D1244" s="115" t="inlineStr">
        <is>
          <t>SM350</t>
        </is>
      </c>
      <c r="E1244" s="115" t="inlineStr">
        <is>
          <t>TEVFİK</t>
        </is>
      </c>
      <c r="F1244" s="115" t="n"/>
      <c r="G1244" s="152" t="n"/>
      <c r="H1244" s="152" t="n">
        <v>282</v>
      </c>
      <c r="I1244" s="156">
        <f>+I1243+(G1244-H1244)</f>
        <v/>
      </c>
      <c r="J1244" s="90" t="n">
        <v>64.7</v>
      </c>
      <c r="K1244" s="166" t="n"/>
      <c r="L1244" s="158">
        <f>+H1244*J1244</f>
        <v/>
      </c>
      <c r="M1244" s="159">
        <f>SUM(M1243+K1244-L1244)</f>
        <v/>
      </c>
    </row>
    <row r="1245">
      <c r="A1245" s="151" t="n">
        <v>46123</v>
      </c>
      <c r="B1245" s="70" t="n">
        <v>1574</v>
      </c>
      <c r="C1245" s="152" t="inlineStr">
        <is>
          <t>MEGA VARLIK</t>
        </is>
      </c>
      <c r="D1245" s="115" t="inlineStr">
        <is>
          <t>SM350</t>
        </is>
      </c>
      <c r="E1245" s="115" t="inlineStr">
        <is>
          <t>TEVFİK</t>
        </is>
      </c>
      <c r="F1245" s="115" t="n"/>
      <c r="G1245" s="152" t="n"/>
      <c r="H1245" s="152" t="n">
        <v>445</v>
      </c>
      <c r="I1245" s="156">
        <f>+I1244+(G1245-H1245)</f>
        <v/>
      </c>
      <c r="J1245" s="90" t="n">
        <v>64.7</v>
      </c>
      <c r="K1245" s="166" t="n"/>
      <c r="L1245" s="158">
        <f>+H1245*J1245</f>
        <v/>
      </c>
      <c r="M1245" s="159">
        <f>SUM(M1244+K1245-L1245)</f>
        <v/>
      </c>
    </row>
    <row r="1246">
      <c r="A1246" s="151" t="n">
        <v>46124</v>
      </c>
      <c r="B1246" s="70" t="n">
        <v>4935</v>
      </c>
      <c r="C1246" s="115" t="inlineStr">
        <is>
          <t>SELİM İNŞAAT</t>
        </is>
      </c>
      <c r="D1246" s="115" t="inlineStr">
        <is>
          <t>34 FBR 742</t>
        </is>
      </c>
      <c r="E1246" s="115" t="inlineStr">
        <is>
          <t>ADNAN KOÇ</t>
        </is>
      </c>
      <c r="F1246" s="65" t="n">
        <v>370887</v>
      </c>
      <c r="G1246" s="152" t="n"/>
      <c r="H1246" s="152" t="n">
        <v>400</v>
      </c>
      <c r="I1246" s="156">
        <f>+I1245+(G1246-H1246)</f>
        <v/>
      </c>
      <c r="J1246" s="90" t="n">
        <v>64.7</v>
      </c>
      <c r="K1246" s="166" t="n"/>
      <c r="L1246" s="158">
        <f>+H1246*J1246</f>
        <v/>
      </c>
      <c r="M1246" s="159">
        <f>SUM(M1245+K1246-L1246)</f>
        <v/>
      </c>
    </row>
    <row r="1247">
      <c r="A1247" s="151" t="n">
        <v>46124</v>
      </c>
      <c r="B1247" s="70" t="n">
        <v>640</v>
      </c>
      <c r="C1247" s="152" t="inlineStr">
        <is>
          <t>SELİM İNŞAAT</t>
        </is>
      </c>
      <c r="D1247" s="115" t="inlineStr">
        <is>
          <t xml:space="preserve">ŞOK MARKET </t>
        </is>
      </c>
      <c r="E1247" s="115" t="inlineStr">
        <is>
          <t>JENARATÖR</t>
        </is>
      </c>
      <c r="F1247" s="115" t="n"/>
      <c r="G1247" s="152" t="n"/>
      <c r="H1247" s="152" t="n">
        <v>11</v>
      </c>
      <c r="I1247" s="156">
        <f>+I1246+(G1247-H1247)</f>
        <v/>
      </c>
      <c r="J1247" s="90" t="n">
        <v>64.7</v>
      </c>
      <c r="K1247" s="166" t="n"/>
      <c r="L1247" s="158">
        <f>+H1247*J1247</f>
        <v/>
      </c>
      <c r="M1247" s="159">
        <f>SUM(M1246+K1247-L1247)</f>
        <v/>
      </c>
    </row>
    <row r="1248">
      <c r="A1248" s="151" t="n">
        <v>46124</v>
      </c>
      <c r="B1248" s="70" t="n">
        <v>1575</v>
      </c>
      <c r="C1248" s="152" t="inlineStr">
        <is>
          <t>KOZMO</t>
        </is>
      </c>
      <c r="D1248" s="115" t="inlineStr">
        <is>
          <t>SM370</t>
        </is>
      </c>
      <c r="E1248" s="115" t="inlineStr">
        <is>
          <t>EMİRCAN</t>
        </is>
      </c>
      <c r="F1248" s="115" t="n"/>
      <c r="G1248" s="152" t="n"/>
      <c r="H1248" s="152" t="n">
        <v>392</v>
      </c>
      <c r="I1248" s="156">
        <f>+I1247+(G1248-H1248)</f>
        <v/>
      </c>
      <c r="J1248" s="90" t="n">
        <v>64.7</v>
      </c>
      <c r="K1248" s="166" t="n"/>
      <c r="L1248" s="158">
        <f>+H1248*J1248</f>
        <v/>
      </c>
      <c r="M1248" s="159">
        <f>SUM(M1247+K1248-L1248)</f>
        <v/>
      </c>
    </row>
    <row r="1249">
      <c r="A1249" s="151" t="n">
        <v>46124</v>
      </c>
      <c r="B1249" s="70" t="n">
        <v>1576</v>
      </c>
      <c r="C1249" s="152" t="inlineStr">
        <is>
          <t>KOZMO</t>
        </is>
      </c>
      <c r="D1249" s="115" t="inlineStr">
        <is>
          <t>SM350</t>
        </is>
      </c>
      <c r="E1249" s="115" t="inlineStr">
        <is>
          <t xml:space="preserve">MİKAİL BAYILMAZ </t>
        </is>
      </c>
      <c r="F1249" s="115" t="n"/>
      <c r="G1249" s="152" t="n"/>
      <c r="H1249" s="152" t="n">
        <v>414</v>
      </c>
      <c r="I1249" s="156">
        <f>+I1248+(G1249-H1249)</f>
        <v/>
      </c>
      <c r="J1249" s="90" t="n">
        <v>64.7</v>
      </c>
      <c r="K1249" s="166" t="n"/>
      <c r="L1249" s="158">
        <f>+H1249*J1249</f>
        <v/>
      </c>
      <c r="M1249" s="159">
        <f>SUM(M1248+K1249-L1249)</f>
        <v/>
      </c>
    </row>
    <row r="1250">
      <c r="A1250" s="151" t="n">
        <v>46124</v>
      </c>
      <c r="B1250" s="70" t="n">
        <v>1577</v>
      </c>
      <c r="C1250" s="152" t="inlineStr">
        <is>
          <t>KOZMO</t>
        </is>
      </c>
      <c r="D1250" s="115" t="inlineStr">
        <is>
          <t>SM300</t>
        </is>
      </c>
      <c r="E1250" s="115" t="inlineStr">
        <is>
          <t>TEKİN ŞEYLAN</t>
        </is>
      </c>
      <c r="F1250" s="115" t="n"/>
      <c r="G1250" s="152" t="n"/>
      <c r="H1250" s="152" t="n">
        <v>434</v>
      </c>
      <c r="I1250" s="156">
        <f>+I1249+(G1250-H1250)</f>
        <v/>
      </c>
      <c r="J1250" s="90" t="n">
        <v>64.7</v>
      </c>
      <c r="K1250" s="166" t="n"/>
      <c r="L1250" s="158">
        <f>+H1250*J1250</f>
        <v/>
      </c>
      <c r="M1250" s="159">
        <f>SUM(M1249+K1250-L1250)</f>
        <v/>
      </c>
    </row>
    <row r="1251">
      <c r="A1251" s="151" t="n">
        <v>46124</v>
      </c>
      <c r="B1251" s="70" t="n">
        <v>1578</v>
      </c>
      <c r="C1251" s="152" t="inlineStr">
        <is>
          <t>VARLIK</t>
        </is>
      </c>
      <c r="D1251" s="115" t="inlineStr">
        <is>
          <t>HİTACHİ</t>
        </is>
      </c>
      <c r="E1251" s="115" t="inlineStr">
        <is>
          <t>TURGUT SANCAK</t>
        </is>
      </c>
      <c r="F1251" s="115" t="n"/>
      <c r="G1251" s="152" t="n"/>
      <c r="H1251" s="152" t="n">
        <v>332</v>
      </c>
      <c r="I1251" s="156">
        <f>+I1250+(G1251-H1251)</f>
        <v/>
      </c>
      <c r="J1251" s="90" t="n">
        <v>64.7</v>
      </c>
      <c r="K1251" s="166" t="n"/>
      <c r="L1251" s="158">
        <f>+H1251*J1251</f>
        <v/>
      </c>
      <c r="M1251" s="159">
        <f>SUM(M1250+K1251-L1251)</f>
        <v/>
      </c>
    </row>
    <row r="1252">
      <c r="A1252" s="151" t="n">
        <v>46124</v>
      </c>
      <c r="B1252" s="70" t="n">
        <v>1580</v>
      </c>
      <c r="C1252" s="152" t="inlineStr">
        <is>
          <t>EVKUR</t>
        </is>
      </c>
      <c r="D1252" s="115" t="inlineStr">
        <is>
          <t>MANİTO</t>
        </is>
      </c>
      <c r="E1252" s="115" t="inlineStr">
        <is>
          <t>MUHAMMET</t>
        </is>
      </c>
      <c r="F1252" s="115" t="n"/>
      <c r="G1252" s="152" t="n"/>
      <c r="H1252" s="152" t="n">
        <v>242</v>
      </c>
      <c r="I1252" s="156">
        <f>+I1251+(G1252-H1252)</f>
        <v/>
      </c>
      <c r="J1252" s="90" t="n">
        <v>64.7</v>
      </c>
      <c r="K1252" s="166" t="n"/>
      <c r="L1252" s="158">
        <f>+H1252*J1252</f>
        <v/>
      </c>
      <c r="M1252" s="159">
        <f>SUM(M1251+K1252-L1252)</f>
        <v/>
      </c>
    </row>
    <row r="1253">
      <c r="A1253" s="151" t="n">
        <v>46125</v>
      </c>
      <c r="B1253" s="70" t="n">
        <v>1776</v>
      </c>
      <c r="C1253" s="115" t="inlineStr">
        <is>
          <t>SELİM İNŞAAT</t>
        </is>
      </c>
      <c r="D1253" s="115" t="inlineStr">
        <is>
          <t>34 JBA 25</t>
        </is>
      </c>
      <c r="E1253" s="115" t="inlineStr">
        <is>
          <t>HÜSEYİN ALIN</t>
        </is>
      </c>
      <c r="F1253" s="65" t="n">
        <v>349072</v>
      </c>
      <c r="G1253" s="152" t="n"/>
      <c r="H1253" s="152" t="n">
        <v>70</v>
      </c>
      <c r="I1253" s="156">
        <f>+I1252+(G1253-H1253)</f>
        <v/>
      </c>
      <c r="J1253" s="90" t="n">
        <v>64.7</v>
      </c>
      <c r="K1253" s="166" t="n"/>
      <c r="L1253" s="158">
        <f>+H1253*J1253</f>
        <v/>
      </c>
      <c r="M1253" s="159">
        <f>SUM(M1252+K1253-L1253)</f>
        <v/>
      </c>
    </row>
    <row r="1254">
      <c r="A1254" s="151" t="n">
        <v>46125</v>
      </c>
      <c r="B1254" s="70" t="n">
        <v>555</v>
      </c>
      <c r="C1254" s="115" t="inlineStr">
        <is>
          <t>SELİM İNŞAAT</t>
        </is>
      </c>
      <c r="D1254" s="115" t="inlineStr">
        <is>
          <t>34 JGR 15</t>
        </is>
      </c>
      <c r="E1254" s="115" t="inlineStr">
        <is>
          <t>ÖNER DÜNDAR</t>
        </is>
      </c>
      <c r="F1254" s="65" t="n">
        <v>333349</v>
      </c>
      <c r="G1254" s="152" t="n"/>
      <c r="H1254" s="152" t="n">
        <v>67</v>
      </c>
      <c r="I1254" s="156">
        <f>+I1253+(G1254-H1254)</f>
        <v/>
      </c>
      <c r="J1254" s="90" t="n">
        <v>64.7</v>
      </c>
      <c r="K1254" s="166" t="n"/>
      <c r="L1254" s="158">
        <f>+H1254*J1254</f>
        <v/>
      </c>
      <c r="M1254" s="159">
        <f>SUM(M1253+K1254-L1254)</f>
        <v/>
      </c>
    </row>
    <row r="1255">
      <c r="A1255" s="151" t="n">
        <v>46125</v>
      </c>
      <c r="B1255" s="70" t="n">
        <v>4026</v>
      </c>
      <c r="C1255" s="115" t="inlineStr">
        <is>
          <t>SELİM İNŞAAT</t>
        </is>
      </c>
      <c r="D1255" s="115" t="inlineStr">
        <is>
          <t>34 AR 7743</t>
        </is>
      </c>
      <c r="E1255" s="115" t="inlineStr">
        <is>
          <t>MEHMET SELİM</t>
        </is>
      </c>
      <c r="F1255" s="65" t="n">
        <v>376354</v>
      </c>
      <c r="G1255" s="152" t="n"/>
      <c r="H1255" s="152" t="n">
        <v>47</v>
      </c>
      <c r="I1255" s="156">
        <f>+I1254+(G1255-H1255)</f>
        <v/>
      </c>
      <c r="J1255" s="90" t="n">
        <v>64.7</v>
      </c>
      <c r="K1255" s="166" t="n"/>
      <c r="L1255" s="158">
        <f>+H1255*J1255</f>
        <v/>
      </c>
      <c r="M1255" s="159">
        <f>SUM(M1254+K1255-L1255)</f>
        <v/>
      </c>
    </row>
    <row r="1256">
      <c r="A1256" s="151" t="n">
        <v>46125</v>
      </c>
      <c r="B1256" s="70" t="n">
        <v>197</v>
      </c>
      <c r="C1256" s="115" t="inlineStr">
        <is>
          <t>SELİM İNŞAAT</t>
        </is>
      </c>
      <c r="D1256" s="115" t="inlineStr">
        <is>
          <t>34 TG 7869</t>
        </is>
      </c>
      <c r="E1256" s="115" t="inlineStr">
        <is>
          <t>DURSUN ALİ GÜREK</t>
        </is>
      </c>
      <c r="F1256" s="65" t="n">
        <v>193977</v>
      </c>
      <c r="G1256" s="152" t="n"/>
      <c r="H1256" s="152" t="n">
        <v>307</v>
      </c>
      <c r="I1256" s="156">
        <f>+I1255+(G1256-H1256)</f>
        <v/>
      </c>
      <c r="J1256" s="90" t="n">
        <v>64.7</v>
      </c>
      <c r="K1256" s="166" t="n"/>
      <c r="L1256" s="158">
        <f>+H1256*J1256</f>
        <v/>
      </c>
      <c r="M1256" s="159">
        <f>SUM(M1255+K1256-L1256)</f>
        <v/>
      </c>
    </row>
    <row r="1257">
      <c r="A1257" s="151" t="n">
        <v>46125</v>
      </c>
      <c r="B1257" s="70" t="n">
        <v>2399</v>
      </c>
      <c r="C1257" s="115" t="inlineStr">
        <is>
          <t>SELİM İNŞAAT</t>
        </is>
      </c>
      <c r="D1257" s="115" t="inlineStr">
        <is>
          <t>34 FEM 934</t>
        </is>
      </c>
      <c r="E1257" s="115" t="inlineStr">
        <is>
          <t>YAKUP URUCU</t>
        </is>
      </c>
      <c r="F1257" s="65" t="n">
        <v>336755</v>
      </c>
      <c r="G1257" s="152" t="n"/>
      <c r="H1257" s="152" t="n">
        <v>38</v>
      </c>
      <c r="I1257" s="156">
        <f>+I1256+(G1257-H1257)</f>
        <v/>
      </c>
      <c r="J1257" s="90" t="n">
        <v>64.7</v>
      </c>
      <c r="K1257" s="166" t="n"/>
      <c r="L1257" s="158">
        <f>+H1257*J1257</f>
        <v/>
      </c>
      <c r="M1257" s="159">
        <f>SUM(M1256+K1257-L1257)</f>
        <v/>
      </c>
    </row>
    <row r="1258">
      <c r="A1258" s="151" t="n">
        <v>46125</v>
      </c>
      <c r="B1258" s="70" t="n">
        <v>156</v>
      </c>
      <c r="C1258" s="115" t="inlineStr">
        <is>
          <t>SELİM İNŞAAT</t>
        </is>
      </c>
      <c r="D1258" s="115" t="inlineStr">
        <is>
          <t>34 FBR 771</t>
        </is>
      </c>
      <c r="E1258" s="115" t="inlineStr">
        <is>
          <t>SALİH YALÇIN</t>
        </is>
      </c>
      <c r="F1258" s="65" t="n">
        <v>353583</v>
      </c>
      <c r="G1258" s="152" t="n"/>
      <c r="H1258" s="152" t="n">
        <v>329</v>
      </c>
      <c r="I1258" s="156">
        <f>+I1257+(G1258-H1258)</f>
        <v/>
      </c>
      <c r="J1258" s="90" t="n">
        <v>64.7</v>
      </c>
      <c r="K1258" s="166" t="n"/>
      <c r="L1258" s="158">
        <f>+H1258*J1258</f>
        <v/>
      </c>
      <c r="M1258" s="159">
        <f>SUM(M1257+K1258-L1258)</f>
        <v/>
      </c>
    </row>
    <row r="1259">
      <c r="A1259" s="151" t="n">
        <v>46125</v>
      </c>
      <c r="B1259" s="70" t="n">
        <v>3496</v>
      </c>
      <c r="C1259" s="115" t="inlineStr">
        <is>
          <t>SELİM İNŞAAT</t>
        </is>
      </c>
      <c r="D1259" s="115" t="inlineStr">
        <is>
          <t>34 EDB 754</t>
        </is>
      </c>
      <c r="E1259" s="115" t="inlineStr">
        <is>
          <t>SELÇUK BASTIK</t>
        </is>
      </c>
      <c r="F1259" s="65" t="n">
        <v>376545</v>
      </c>
      <c r="G1259" s="152" t="n"/>
      <c r="H1259" s="152" t="n">
        <v>378</v>
      </c>
      <c r="I1259" s="156">
        <f>+I1258+(G1259-H1259)</f>
        <v/>
      </c>
      <c r="J1259" s="90" t="n">
        <v>64.7</v>
      </c>
      <c r="K1259" s="166" t="n"/>
      <c r="L1259" s="158">
        <f>+H1259*J1259</f>
        <v/>
      </c>
      <c r="M1259" s="159">
        <f>SUM(M1258+K1259-L1259)</f>
        <v/>
      </c>
    </row>
    <row r="1260">
      <c r="A1260" s="151" t="n">
        <v>46125</v>
      </c>
      <c r="B1260" s="70" t="n">
        <v>4983</v>
      </c>
      <c r="C1260" s="115" t="inlineStr">
        <is>
          <t>SELİM İNŞAAT</t>
        </is>
      </c>
      <c r="D1260" s="115" t="inlineStr">
        <is>
          <t>34 GVZ 745</t>
        </is>
      </c>
      <c r="E1260" s="115" t="inlineStr">
        <is>
          <t>MURAT DEMİRBAŞ</t>
        </is>
      </c>
      <c r="F1260" s="65" t="n">
        <v>253289</v>
      </c>
      <c r="G1260" s="152" t="n"/>
      <c r="H1260" s="152" t="n">
        <v>414</v>
      </c>
      <c r="I1260" s="156">
        <f>+I1259+(G1260-H1260)</f>
        <v/>
      </c>
      <c r="J1260" s="90" t="n">
        <v>64.7</v>
      </c>
      <c r="K1260" s="166" t="n"/>
      <c r="L1260" s="158">
        <f>+H1260*J1260</f>
        <v/>
      </c>
      <c r="M1260" s="159">
        <f>SUM(M1259+K1260-L1260)</f>
        <v/>
      </c>
    </row>
    <row r="1261">
      <c r="A1261" s="151" t="n">
        <v>46125</v>
      </c>
      <c r="B1261" s="70" t="n">
        <v>3839</v>
      </c>
      <c r="C1261" s="115" t="inlineStr">
        <is>
          <t>SELİM İNŞAAT</t>
        </is>
      </c>
      <c r="D1261" s="115" t="inlineStr">
        <is>
          <t>34 GYZ 635</t>
        </is>
      </c>
      <c r="E1261" s="115" t="inlineStr">
        <is>
          <t>ADEM DENİZ</t>
        </is>
      </c>
      <c r="F1261" s="65" t="n">
        <v>232480</v>
      </c>
      <c r="G1261" s="152" t="n"/>
      <c r="H1261" s="152" t="n">
        <v>509</v>
      </c>
      <c r="I1261" s="156">
        <f>+I1260+(G1261-H1261)</f>
        <v/>
      </c>
      <c r="J1261" s="90" t="n">
        <v>64.7</v>
      </c>
      <c r="K1261" s="166" t="n"/>
      <c r="L1261" s="158">
        <f>+H1261*J1261</f>
        <v/>
      </c>
      <c r="M1261" s="159">
        <f>SUM(M1260+K1261-L1261)</f>
        <v/>
      </c>
    </row>
    <row r="1262">
      <c r="A1262" s="151" t="n">
        <v>46125</v>
      </c>
      <c r="B1262" s="70" t="n">
        <v>914</v>
      </c>
      <c r="C1262" s="115" t="inlineStr">
        <is>
          <t>SELİM İNŞAAT</t>
        </is>
      </c>
      <c r="D1262" s="115" t="inlineStr">
        <is>
          <t>34 FSG 229</t>
        </is>
      </c>
      <c r="E1262" s="115" t="inlineStr">
        <is>
          <t>SİNAN TANRIVERDİ</t>
        </is>
      </c>
      <c r="F1262" s="65" t="n">
        <v>305482</v>
      </c>
      <c r="G1262" s="152" t="n"/>
      <c r="H1262" s="152" t="n">
        <v>501</v>
      </c>
      <c r="I1262" s="156">
        <f>+I1261+(G1262-H1262)</f>
        <v/>
      </c>
      <c r="J1262" s="90" t="n">
        <v>64.7</v>
      </c>
      <c r="K1262" s="166" t="n"/>
      <c r="L1262" s="158">
        <f>+H1262*J1262</f>
        <v/>
      </c>
      <c r="M1262" s="159">
        <f>SUM(M1261+K1262-L1262)</f>
        <v/>
      </c>
    </row>
    <row r="1263">
      <c r="A1263" s="151" t="n">
        <v>46125</v>
      </c>
      <c r="B1263" s="70" t="n">
        <v>4523</v>
      </c>
      <c r="C1263" s="115" t="inlineStr">
        <is>
          <t>SELİM İNŞAAT</t>
        </is>
      </c>
      <c r="D1263" s="115" t="inlineStr">
        <is>
          <t>34 DTV 352</t>
        </is>
      </c>
      <c r="E1263" s="115" t="inlineStr">
        <is>
          <t>AZİZ ORUÇ</t>
        </is>
      </c>
      <c r="F1263" s="65" t="n">
        <v>481377</v>
      </c>
      <c r="G1263" s="152" t="n"/>
      <c r="H1263" s="152" t="n">
        <v>474</v>
      </c>
      <c r="I1263" s="156">
        <f>+I1262+(G1263-H1263)</f>
        <v/>
      </c>
      <c r="J1263" s="90" t="n">
        <v>64.7</v>
      </c>
      <c r="K1263" s="166" t="n"/>
      <c r="L1263" s="158">
        <f>+H1263*J1263</f>
        <v/>
      </c>
      <c r="M1263" s="159">
        <f>SUM(M1262+K1263-L1263)</f>
        <v/>
      </c>
    </row>
    <row r="1264">
      <c r="A1264" s="151" t="n">
        <v>46125</v>
      </c>
      <c r="B1264" s="70" t="n">
        <v>3400</v>
      </c>
      <c r="C1264" s="115" t="inlineStr">
        <is>
          <t>SELİM İNŞAAT</t>
        </is>
      </c>
      <c r="D1264" s="115" t="inlineStr">
        <is>
          <t>34 EDC 162</t>
        </is>
      </c>
      <c r="E1264" s="115" t="inlineStr">
        <is>
          <t xml:space="preserve">YAKUP GÜNER </t>
        </is>
      </c>
      <c r="F1264" s="65" t="n">
        <v>421693</v>
      </c>
      <c r="G1264" s="152" t="n"/>
      <c r="H1264" s="152" t="n">
        <v>420</v>
      </c>
      <c r="I1264" s="156">
        <f>+I1263+(G1264-H1264)</f>
        <v/>
      </c>
      <c r="J1264" s="90" t="n">
        <v>64.7</v>
      </c>
      <c r="K1264" s="166" t="n"/>
      <c r="L1264" s="158">
        <f>+H1264*J1264</f>
        <v/>
      </c>
      <c r="M1264" s="159">
        <f>SUM(M1263+K1264-L1264)</f>
        <v/>
      </c>
    </row>
    <row r="1265">
      <c r="A1265" s="151" t="n">
        <v>46125</v>
      </c>
      <c r="B1265" s="70" t="n">
        <v>1350</v>
      </c>
      <c r="C1265" s="115" t="inlineStr">
        <is>
          <t>SELİM İNŞAAT</t>
        </is>
      </c>
      <c r="D1265" s="115" t="inlineStr">
        <is>
          <t>34 GVZ 199</t>
        </is>
      </c>
      <c r="E1265" s="115" t="inlineStr">
        <is>
          <t>HÜSEYİN DENİZ</t>
        </is>
      </c>
      <c r="F1265" s="65" t="n">
        <v>232172</v>
      </c>
      <c r="G1265" s="152" t="n"/>
      <c r="H1265" s="152" t="n">
        <v>450</v>
      </c>
      <c r="I1265" s="156">
        <f>+I1264+(G1265-H1265)</f>
        <v/>
      </c>
      <c r="J1265" s="90" t="n">
        <v>64.7</v>
      </c>
      <c r="K1265" s="166" t="n"/>
      <c r="L1265" s="158">
        <f>+H1265*J1265</f>
        <v/>
      </c>
      <c r="M1265" s="159">
        <f>SUM(M1264+K1265-L1265)</f>
        <v/>
      </c>
    </row>
    <row r="1266">
      <c r="A1266" s="151" t="n">
        <v>46125</v>
      </c>
      <c r="B1266" s="70" t="n">
        <v>4420</v>
      </c>
      <c r="C1266" s="115" t="inlineStr">
        <is>
          <t>SELİM İNŞAAT</t>
        </is>
      </c>
      <c r="D1266" s="115" t="inlineStr">
        <is>
          <t>34 DTV 409</t>
        </is>
      </c>
      <c r="E1266" s="115" t="inlineStr">
        <is>
          <t>DURSUN ALİ GÜREK</t>
        </is>
      </c>
      <c r="F1266" s="115" t="n">
        <v>455209</v>
      </c>
      <c r="G1266" s="152" t="n"/>
      <c r="H1266" s="152" t="n">
        <v>493</v>
      </c>
      <c r="I1266" s="156">
        <f>+I1265+(G1266-H1266)</f>
        <v/>
      </c>
      <c r="J1266" s="90" t="n">
        <v>64.7</v>
      </c>
      <c r="K1266" s="166" t="n"/>
      <c r="L1266" s="158">
        <f>+H1266*J1266</f>
        <v/>
      </c>
      <c r="M1266" s="159">
        <f>SUM(M1265+K1266-L1266)</f>
        <v/>
      </c>
    </row>
    <row r="1267">
      <c r="A1267" s="151" t="n">
        <v>46125</v>
      </c>
      <c r="B1267" s="70" t="n">
        <v>767</v>
      </c>
      <c r="C1267" s="115" t="inlineStr">
        <is>
          <t>METİN ERYİĞİT</t>
        </is>
      </c>
      <c r="D1267" s="115" t="inlineStr">
        <is>
          <t>34 EGR 814</t>
        </is>
      </c>
      <c r="E1267" s="115" t="inlineStr">
        <is>
          <t>ZİYA İNCE</t>
        </is>
      </c>
      <c r="F1267" s="115" t="n">
        <v>619251</v>
      </c>
      <c r="G1267" s="152" t="n"/>
      <c r="H1267" s="152" t="n">
        <v>339</v>
      </c>
      <c r="I1267" s="156">
        <f>+I1266+(G1267-H1267)</f>
        <v/>
      </c>
      <c r="J1267" s="90" t="n">
        <v>64.7</v>
      </c>
      <c r="K1267" s="166" t="n"/>
      <c r="L1267" s="158">
        <f>+H1267*J1267</f>
        <v/>
      </c>
      <c r="M1267" s="159">
        <f>SUM(M1266+K1267-L1267)</f>
        <v/>
      </c>
    </row>
    <row r="1268">
      <c r="A1268" s="151" t="n">
        <v>46125</v>
      </c>
      <c r="B1268" s="70" t="n">
        <v>642</v>
      </c>
      <c r="C1268" s="152" t="inlineStr">
        <is>
          <t>SELİM İNŞAAT</t>
        </is>
      </c>
      <c r="D1268" s="115" t="inlineStr">
        <is>
          <t>SS MİSAFİR</t>
        </is>
      </c>
      <c r="E1268" s="115" t="inlineStr">
        <is>
          <t>KURBANLIK</t>
        </is>
      </c>
      <c r="F1268" s="115" t="n"/>
      <c r="G1268" s="152" t="n"/>
      <c r="H1268" s="152" t="n">
        <v>40</v>
      </c>
      <c r="I1268" s="156">
        <f>+I1267+(G1268-H1268)</f>
        <v/>
      </c>
      <c r="J1268" s="90" t="n">
        <v>64.7</v>
      </c>
      <c r="K1268" s="166" t="n"/>
      <c r="L1268" s="158">
        <f>+H1268*J1268</f>
        <v/>
      </c>
      <c r="M1268" s="159">
        <f>SUM(M1267+K1268-L1268)</f>
        <v/>
      </c>
    </row>
    <row r="1269">
      <c r="A1269" s="151" t="n">
        <v>46125</v>
      </c>
      <c r="B1269" s="70" t="n">
        <v>954</v>
      </c>
      <c r="C1269" s="152" t="inlineStr">
        <is>
          <t>SELİM İNŞAAT</t>
        </is>
      </c>
      <c r="D1269" s="115" t="inlineStr">
        <is>
          <t>34 DSN 636</t>
        </is>
      </c>
      <c r="E1269" s="115" t="inlineStr">
        <is>
          <t>SELÇUK BASTIK</t>
        </is>
      </c>
      <c r="F1269" s="115" t="n">
        <v>435958</v>
      </c>
      <c r="G1269" s="152" t="n"/>
      <c r="H1269" s="152" t="n">
        <v>475</v>
      </c>
      <c r="I1269" s="156">
        <f>+I1268+(G1269-H1269)</f>
        <v/>
      </c>
      <c r="J1269" s="90" t="n">
        <v>64.7</v>
      </c>
      <c r="K1269" s="166" t="n"/>
      <c r="L1269" s="158">
        <f>+H1269*J1269</f>
        <v/>
      </c>
      <c r="M1269" s="159">
        <f>SUM(M1268+K1269-L1269)</f>
        <v/>
      </c>
    </row>
    <row r="1270">
      <c r="A1270" s="151" t="n">
        <v>46125</v>
      </c>
      <c r="B1270" s="70" t="n">
        <v>3436</v>
      </c>
      <c r="C1270" s="152" t="inlineStr">
        <is>
          <t>SELİM İNŞAAT</t>
        </is>
      </c>
      <c r="D1270" s="115" t="inlineStr">
        <is>
          <t>34 GVZ 310</t>
        </is>
      </c>
      <c r="E1270" s="115" t="inlineStr">
        <is>
          <t>CELAL YÜZBAŞI</t>
        </is>
      </c>
      <c r="F1270" s="115" t="n">
        <v>252667</v>
      </c>
      <c r="G1270" s="152" t="n"/>
      <c r="H1270" s="152" t="n">
        <v>429</v>
      </c>
      <c r="I1270" s="156">
        <f>+I1269+(G1270-H1270)</f>
        <v/>
      </c>
      <c r="J1270" s="90" t="n">
        <v>64.7</v>
      </c>
      <c r="K1270" s="166" t="n"/>
      <c r="L1270" s="158">
        <f>+H1270*J1270</f>
        <v/>
      </c>
      <c r="M1270" s="159">
        <f>SUM(M1269+K1270-L1270)</f>
        <v/>
      </c>
    </row>
    <row r="1271">
      <c r="A1271" s="151" t="n">
        <v>46125</v>
      </c>
      <c r="B1271" s="70" t="n">
        <v>4176</v>
      </c>
      <c r="C1271" s="152" t="inlineStr">
        <is>
          <t>SELİM İNŞAAT</t>
        </is>
      </c>
      <c r="D1271" s="115" t="inlineStr">
        <is>
          <t>34 FBR 748</t>
        </is>
      </c>
      <c r="E1271" s="115" t="inlineStr">
        <is>
          <t>YAŞAR ÖZKAYA</t>
        </is>
      </c>
      <c r="F1271" s="115" t="n">
        <v>328983</v>
      </c>
      <c r="G1271" s="152" t="n"/>
      <c r="H1271" s="152" t="n">
        <v>548</v>
      </c>
      <c r="I1271" s="156">
        <f>+I1270+(G1271-H1271)</f>
        <v/>
      </c>
      <c r="J1271" s="90" t="n">
        <v>64.7</v>
      </c>
      <c r="K1271" s="166" t="n"/>
      <c r="L1271" s="158">
        <f>+H1271*J1271</f>
        <v/>
      </c>
      <c r="M1271" s="159">
        <f>SUM(M1270+K1271-L1271)</f>
        <v/>
      </c>
    </row>
    <row r="1272">
      <c r="A1272" s="151" t="n">
        <v>46125</v>
      </c>
      <c r="B1272" s="70" t="n">
        <v>1403</v>
      </c>
      <c r="C1272" s="152" t="inlineStr">
        <is>
          <t>AZGÜN YAPI</t>
        </is>
      </c>
      <c r="D1272" s="115" t="inlineStr">
        <is>
          <t>34 MKT 859</t>
        </is>
      </c>
      <c r="E1272" s="115" t="inlineStr">
        <is>
          <t>İRFAN DAĞLAR</t>
        </is>
      </c>
      <c r="F1272" s="115" t="n"/>
      <c r="G1272" s="152" t="n"/>
      <c r="H1272" s="152" t="n">
        <v>623</v>
      </c>
      <c r="I1272" s="156">
        <f>+I1271+(G1272-H1272)</f>
        <v/>
      </c>
      <c r="J1272" s="90" t="n">
        <v>64.7</v>
      </c>
      <c r="K1272" s="166" t="n"/>
      <c r="L1272" s="158">
        <f>+H1272*J1272</f>
        <v/>
      </c>
      <c r="M1272" s="159">
        <f>SUM(M1271+K1272-L1272)</f>
        <v/>
      </c>
    </row>
    <row r="1273">
      <c r="A1273" s="151" t="n">
        <v>46125</v>
      </c>
      <c r="B1273" s="70" t="n">
        <v>1579</v>
      </c>
      <c r="C1273" s="152" t="inlineStr">
        <is>
          <t>VARLIK</t>
        </is>
      </c>
      <c r="D1273" s="115" t="inlineStr">
        <is>
          <t>KAWAZAKİ</t>
        </is>
      </c>
      <c r="E1273" s="115" t="inlineStr">
        <is>
          <t>RAMAZAN</t>
        </is>
      </c>
      <c r="F1273" s="115" t="n"/>
      <c r="G1273" s="152" t="n"/>
      <c r="H1273" s="152" t="n">
        <v>350</v>
      </c>
      <c r="I1273" s="156">
        <f>+I1272+(G1273-H1273)</f>
        <v/>
      </c>
      <c r="J1273" s="90" t="n">
        <v>64.7</v>
      </c>
      <c r="K1273" s="166" t="n"/>
      <c r="L1273" s="158">
        <f>+H1273*J1273</f>
        <v/>
      </c>
      <c r="M1273" s="159">
        <f>SUM(M1272+K1273-L1273)</f>
        <v/>
      </c>
    </row>
    <row r="1274">
      <c r="A1274" s="151" t="n">
        <v>46125</v>
      </c>
      <c r="B1274" s="70" t="n">
        <v>1581</v>
      </c>
      <c r="C1274" s="152" t="inlineStr">
        <is>
          <t>MEGA VARLIK</t>
        </is>
      </c>
      <c r="D1274" s="115" t="inlineStr">
        <is>
          <t>SM350</t>
        </is>
      </c>
      <c r="E1274" s="115" t="inlineStr">
        <is>
          <t>TEVFİK</t>
        </is>
      </c>
      <c r="F1274" s="115" t="n"/>
      <c r="G1274" s="152" t="n"/>
      <c r="H1274" s="152" t="n">
        <v>289</v>
      </c>
      <c r="I1274" s="156">
        <f>+I1273+(G1274-H1274)</f>
        <v/>
      </c>
      <c r="J1274" s="90" t="n">
        <v>64.7</v>
      </c>
      <c r="K1274" s="166" t="n"/>
      <c r="L1274" s="158">
        <f>+H1274*J1274</f>
        <v/>
      </c>
      <c r="M1274" s="159">
        <f>SUM(M1273+K1274-L1274)</f>
        <v/>
      </c>
    </row>
    <row r="1275">
      <c r="A1275" s="151" t="n">
        <v>46125</v>
      </c>
      <c r="B1275" s="70" t="n">
        <v>1582</v>
      </c>
      <c r="C1275" s="152" t="inlineStr">
        <is>
          <t>KOZMO</t>
        </is>
      </c>
      <c r="D1275" s="115" t="inlineStr">
        <is>
          <t>SM300</t>
        </is>
      </c>
      <c r="E1275" s="115" t="inlineStr">
        <is>
          <t>ONUR</t>
        </is>
      </c>
      <c r="F1275" s="115" t="n"/>
      <c r="G1275" s="152" t="n"/>
      <c r="H1275" s="152" t="n">
        <v>277</v>
      </c>
      <c r="I1275" s="156">
        <f>+I1274+(G1275-H1275)</f>
        <v/>
      </c>
      <c r="J1275" s="90" t="n">
        <v>64.7</v>
      </c>
      <c r="K1275" s="166" t="n"/>
      <c r="L1275" s="158">
        <f>+H1275*J1275</f>
        <v/>
      </c>
      <c r="M1275" s="159">
        <f>SUM(M1274+K1275-L1275)</f>
        <v/>
      </c>
    </row>
    <row r="1276">
      <c r="A1276" s="151" t="n">
        <v>46125</v>
      </c>
      <c r="B1276" s="70" t="n">
        <v>1583</v>
      </c>
      <c r="C1276" s="152" t="inlineStr">
        <is>
          <t>KOZMO</t>
        </is>
      </c>
      <c r="D1276" s="115" t="inlineStr">
        <is>
          <t>SM350</t>
        </is>
      </c>
      <c r="E1276" s="115" t="inlineStr">
        <is>
          <t>YAKUP</t>
        </is>
      </c>
      <c r="F1276" s="115" t="n"/>
      <c r="G1276" s="152" t="n"/>
      <c r="H1276" s="152" t="n">
        <v>287</v>
      </c>
      <c r="I1276" s="156">
        <f>+I1275+(G1276-H1276)</f>
        <v/>
      </c>
      <c r="J1276" s="90" t="n">
        <v>64.7</v>
      </c>
      <c r="K1276" s="166" t="n"/>
      <c r="L1276" s="158">
        <f>+H1276*J1276</f>
        <v/>
      </c>
      <c r="M1276" s="159">
        <f>SUM(M1275+K1276-L1276)</f>
        <v/>
      </c>
    </row>
    <row r="1277">
      <c r="A1277" s="151" t="n">
        <v>46125</v>
      </c>
      <c r="B1277" s="70" t="n">
        <v>1584</v>
      </c>
      <c r="C1277" s="152" t="inlineStr">
        <is>
          <t>KOZMO</t>
        </is>
      </c>
      <c r="D1277" s="115" t="inlineStr">
        <is>
          <t>SM370</t>
        </is>
      </c>
      <c r="E1277" s="115" t="inlineStr">
        <is>
          <t>ADEM DENİZ</t>
        </is>
      </c>
      <c r="F1277" s="115" t="n"/>
      <c r="G1277" s="152" t="n"/>
      <c r="H1277" s="152" t="n">
        <v>350</v>
      </c>
      <c r="I1277" s="156">
        <f>+I1276+(G1277-H1277)</f>
        <v/>
      </c>
      <c r="J1277" s="90" t="n">
        <v>64.7</v>
      </c>
      <c r="K1277" s="166" t="n"/>
      <c r="L1277" s="158">
        <f>+H1277*J1277</f>
        <v/>
      </c>
      <c r="M1277" s="159">
        <f>SUM(M1276+K1277-L1277)</f>
        <v/>
      </c>
    </row>
    <row r="1278">
      <c r="A1278" s="151" t="n">
        <v>46125</v>
      </c>
      <c r="B1278" s="70" t="n">
        <v>1585</v>
      </c>
      <c r="C1278" s="152" t="inlineStr">
        <is>
          <t>VARLIK</t>
        </is>
      </c>
      <c r="D1278" s="115" t="inlineStr">
        <is>
          <t>HİTACHİ</t>
        </is>
      </c>
      <c r="E1278" s="115" t="inlineStr">
        <is>
          <t>TURGUT SANCAK</t>
        </is>
      </c>
      <c r="F1278" s="115" t="n"/>
      <c r="G1278" s="152" t="n"/>
      <c r="H1278" s="152" t="n">
        <v>256</v>
      </c>
      <c r="I1278" s="156">
        <f>+I1277+(G1278-H1278)</f>
        <v/>
      </c>
      <c r="J1278" s="90" t="n">
        <v>64.7</v>
      </c>
      <c r="K1278" s="166" t="n"/>
      <c r="L1278" s="158">
        <f>+H1278*J1278</f>
        <v/>
      </c>
      <c r="M1278" s="159">
        <f>SUM(M1277+K1278-L1278)</f>
        <v/>
      </c>
    </row>
    <row r="1279">
      <c r="A1279" s="151" t="n">
        <v>46125</v>
      </c>
      <c r="B1279" s="70" t="n">
        <v>1586</v>
      </c>
      <c r="C1279" s="152" t="inlineStr">
        <is>
          <t>KOZMO</t>
        </is>
      </c>
      <c r="D1279" s="115" t="inlineStr">
        <is>
          <t>KAWAZAKİ</t>
        </is>
      </c>
      <c r="E1279" s="115" t="inlineStr">
        <is>
          <t>RAMAZAN</t>
        </is>
      </c>
      <c r="F1279" s="115" t="n"/>
      <c r="G1279" s="152" t="n"/>
      <c r="H1279" s="152" t="n">
        <v>289</v>
      </c>
      <c r="I1279" s="156">
        <f>+I1278+(G1279-H1279)</f>
        <v/>
      </c>
      <c r="J1279" s="90" t="n">
        <v>64.7</v>
      </c>
      <c r="K1279" s="166" t="n"/>
      <c r="L1279" s="158">
        <f>+H1279*J1279</f>
        <v/>
      </c>
      <c r="M1279" s="159">
        <f>SUM(M1278+K1279-L1279)</f>
        <v/>
      </c>
    </row>
    <row r="1280">
      <c r="A1280" s="167" t="n">
        <v>46126</v>
      </c>
      <c r="B1280" s="83" t="n">
        <v>740</v>
      </c>
      <c r="C1280" s="84" t="inlineStr">
        <is>
          <t>ÜNSOY TURİZM İNŞ.SAN.VE TİC.A.Ş.</t>
        </is>
      </c>
      <c r="D1280" s="84" t="n"/>
      <c r="E1280" s="84" t="n"/>
      <c r="F1280" s="85" t="n"/>
      <c r="G1280" s="168" t="n">
        <v>31631</v>
      </c>
      <c r="H1280" s="168" t="n"/>
      <c r="I1280" s="168">
        <f>+I1279+(G1280-H1280)</f>
        <v/>
      </c>
      <c r="J1280" s="100">
        <f>+K1280/G1280</f>
        <v/>
      </c>
      <c r="K1280" s="173" t="n">
        <v>1981365.84</v>
      </c>
      <c r="L1280" s="170">
        <f>+H1280*J1280</f>
        <v/>
      </c>
      <c r="M1280" s="170">
        <f>SUM(M1279+K1280-L1280)</f>
        <v/>
      </c>
    </row>
    <row r="1281">
      <c r="A1281" s="151" t="n">
        <v>46126</v>
      </c>
      <c r="B1281" s="70" t="n">
        <v>3739</v>
      </c>
      <c r="C1281" s="115" t="inlineStr">
        <is>
          <t>SELİM İNŞAAT</t>
        </is>
      </c>
      <c r="D1281" s="115" t="inlineStr">
        <is>
          <t>34 DKL 866</t>
        </is>
      </c>
      <c r="E1281" s="115" t="inlineStr">
        <is>
          <t>SELİMCAN ÖNVER</t>
        </is>
      </c>
      <c r="F1281" s="65" t="n">
        <v>84251</v>
      </c>
      <c r="G1281" s="152" t="n"/>
      <c r="H1281" s="152" t="n">
        <v>237</v>
      </c>
      <c r="I1281" s="156">
        <f>+I1280+(G1281-H1281)</f>
        <v/>
      </c>
      <c r="J1281" s="102" t="n">
        <v>62.64</v>
      </c>
      <c r="K1281" s="166" t="n"/>
      <c r="L1281" s="158">
        <f>+H1281*J1281</f>
        <v/>
      </c>
      <c r="M1281" s="159">
        <f>SUM(M1280+K1281-L1281)</f>
        <v/>
      </c>
    </row>
    <row r="1282">
      <c r="A1282" s="151" t="n">
        <v>46126</v>
      </c>
      <c r="B1282" s="70" t="n">
        <v>1352</v>
      </c>
      <c r="C1282" s="115" t="inlineStr">
        <is>
          <t>SELİM İNŞAAT</t>
        </is>
      </c>
      <c r="D1282" s="115" t="inlineStr">
        <is>
          <t>34 DP 4161</t>
        </is>
      </c>
      <c r="E1282" s="115" t="inlineStr">
        <is>
          <t>RIFAT KARATAY</t>
        </is>
      </c>
      <c r="F1282" s="65" t="n">
        <v>322225</v>
      </c>
      <c r="G1282" s="152" t="n"/>
      <c r="H1282" s="152" t="n">
        <v>249</v>
      </c>
      <c r="I1282" s="156">
        <f>+I1281+(G1282-H1282)</f>
        <v/>
      </c>
      <c r="J1282" s="102" t="n">
        <v>62.64</v>
      </c>
      <c r="K1282" s="166" t="n"/>
      <c r="L1282" s="158">
        <f>+H1282*J1282</f>
        <v/>
      </c>
      <c r="M1282" s="159">
        <f>SUM(M1281+K1282-L1282)</f>
        <v/>
      </c>
    </row>
    <row r="1283">
      <c r="A1283" s="151" t="n">
        <v>46126</v>
      </c>
      <c r="B1283" s="70" t="n">
        <v>1286</v>
      </c>
      <c r="C1283" s="115" t="inlineStr">
        <is>
          <t>SELİM İNŞAAT</t>
        </is>
      </c>
      <c r="D1283" s="115" t="inlineStr">
        <is>
          <t>34 DSN 621</t>
        </is>
      </c>
      <c r="E1283" s="115" t="inlineStr">
        <is>
          <t>YASİN ÇATAKLI</t>
        </is>
      </c>
      <c r="F1283" s="65" t="n">
        <v>439382</v>
      </c>
      <c r="G1283" s="152" t="n"/>
      <c r="H1283" s="152" t="n">
        <v>510</v>
      </c>
      <c r="I1283" s="156">
        <f>+I1282+(G1283-H1283)</f>
        <v/>
      </c>
      <c r="J1283" s="102" t="n">
        <v>62.64</v>
      </c>
      <c r="K1283" s="166" t="n"/>
      <c r="L1283" s="158">
        <f>+H1283*J1283</f>
        <v/>
      </c>
      <c r="M1283" s="159">
        <f>SUM(M1282+K1283-L1283)</f>
        <v/>
      </c>
    </row>
    <row r="1284">
      <c r="A1284" s="151" t="n">
        <v>46126</v>
      </c>
      <c r="B1284" s="70" t="n">
        <v>4936</v>
      </c>
      <c r="C1284" s="115" t="inlineStr">
        <is>
          <t>SELİM İNŞAAT</t>
        </is>
      </c>
      <c r="D1284" s="115" t="inlineStr">
        <is>
          <t>34 FBR 742</t>
        </is>
      </c>
      <c r="E1284" s="115" t="inlineStr">
        <is>
          <t>ADNAN KOÇ</t>
        </is>
      </c>
      <c r="F1284" s="65" t="n">
        <v>371405</v>
      </c>
      <c r="G1284" s="152" t="n"/>
      <c r="H1284" s="152" t="n">
        <v>350</v>
      </c>
      <c r="I1284" s="156">
        <f>+I1283+(G1284-H1284)</f>
        <v/>
      </c>
      <c r="J1284" s="102" t="n">
        <v>62.64</v>
      </c>
      <c r="K1284" s="166" t="n"/>
      <c r="L1284" s="158">
        <f>+H1284*J1284</f>
        <v/>
      </c>
      <c r="M1284" s="159">
        <f>SUM(M1283+K1284-L1284)</f>
        <v/>
      </c>
    </row>
    <row r="1285">
      <c r="A1285" s="151" t="n">
        <v>46126</v>
      </c>
      <c r="B1285" s="70" t="n">
        <v>826</v>
      </c>
      <c r="C1285" s="115" t="inlineStr">
        <is>
          <t>METİN ERYİĞİT</t>
        </is>
      </c>
      <c r="D1285" s="115" t="inlineStr">
        <is>
          <t>34 GBL 998</t>
        </is>
      </c>
      <c r="E1285" s="115" t="inlineStr">
        <is>
          <t>ALİ KESKİN</t>
        </is>
      </c>
      <c r="F1285" s="115" t="n">
        <v>358485</v>
      </c>
      <c r="G1285" s="152" t="n"/>
      <c r="H1285" s="152" t="n">
        <v>281</v>
      </c>
      <c r="I1285" s="156">
        <f>+I1284+(G1285-H1285)</f>
        <v/>
      </c>
      <c r="J1285" s="102" t="n">
        <v>62.64</v>
      </c>
      <c r="K1285" s="166" t="n"/>
      <c r="L1285" s="158">
        <f>+H1285*J1285</f>
        <v/>
      </c>
      <c r="M1285" s="159">
        <f>SUM(M1284+K1285-L1285)</f>
        <v/>
      </c>
    </row>
    <row r="1286">
      <c r="A1286" s="151" t="n">
        <v>46126</v>
      </c>
      <c r="B1286" s="70" t="n">
        <v>643</v>
      </c>
      <c r="C1286" s="152" t="inlineStr">
        <is>
          <t>AHMET SELİM TEMHA</t>
        </is>
      </c>
      <c r="D1286" s="115" t="inlineStr">
        <is>
          <t>34 PGT 251</t>
        </is>
      </c>
      <c r="E1286" s="115" t="inlineStr">
        <is>
          <t>ERSOY SIĞINMAZ</t>
        </is>
      </c>
      <c r="F1286" s="115" t="n"/>
      <c r="G1286" s="152" t="n"/>
      <c r="H1286" s="152" t="n">
        <v>117</v>
      </c>
      <c r="I1286" s="156">
        <f>+I1285+(G1286-H1286)</f>
        <v/>
      </c>
      <c r="J1286" s="102" t="n">
        <v>62.64</v>
      </c>
      <c r="K1286" s="166" t="n"/>
      <c r="L1286" s="158">
        <f>+H1286*J1286</f>
        <v/>
      </c>
      <c r="M1286" s="159">
        <f>SUM(M1285+K1286-L1286)</f>
        <v/>
      </c>
    </row>
    <row r="1287">
      <c r="A1287" s="151" t="n">
        <v>46126</v>
      </c>
      <c r="B1287" s="70" t="n">
        <v>1587</v>
      </c>
      <c r="C1287" s="152" t="inlineStr">
        <is>
          <t>MEGA VARLIK</t>
        </is>
      </c>
      <c r="D1287" s="115" t="inlineStr">
        <is>
          <t>SM350</t>
        </is>
      </c>
      <c r="E1287" s="115" t="inlineStr">
        <is>
          <t>TEVFİK</t>
        </is>
      </c>
      <c r="F1287" s="115" t="n"/>
      <c r="G1287" s="152" t="n"/>
      <c r="H1287" s="152" t="n">
        <v>210</v>
      </c>
      <c r="I1287" s="156">
        <f>+I1286+(G1287-H1287)</f>
        <v/>
      </c>
      <c r="J1287" s="102" t="n">
        <v>62.64</v>
      </c>
      <c r="K1287" s="166" t="n"/>
      <c r="L1287" s="158">
        <f>+H1287*J1287</f>
        <v/>
      </c>
      <c r="M1287" s="159">
        <f>SUM(M1286+K1287-L1287)</f>
        <v/>
      </c>
    </row>
    <row r="1288">
      <c r="A1288" s="151" t="n">
        <v>46126</v>
      </c>
      <c r="B1288" s="70" t="n">
        <v>1588</v>
      </c>
      <c r="C1288" s="152" t="inlineStr">
        <is>
          <t>MEGA VARLIK</t>
        </is>
      </c>
      <c r="D1288" s="115" t="inlineStr">
        <is>
          <t>SM350</t>
        </is>
      </c>
      <c r="E1288" s="115" t="inlineStr">
        <is>
          <t>TEVFİK</t>
        </is>
      </c>
      <c r="F1288" s="115" t="n"/>
      <c r="G1288" s="152" t="n"/>
      <c r="H1288" s="152" t="n">
        <v>458</v>
      </c>
      <c r="I1288" s="156">
        <f>+I1287+(G1288-H1288)</f>
        <v/>
      </c>
      <c r="J1288" s="102" t="n">
        <v>62.64</v>
      </c>
      <c r="K1288" s="166" t="n"/>
      <c r="L1288" s="158">
        <f>+H1288*J1288</f>
        <v/>
      </c>
      <c r="M1288" s="159">
        <f>SUM(M1287+K1288-L1288)</f>
        <v/>
      </c>
    </row>
    <row r="1289">
      <c r="A1289" s="151" t="n">
        <v>46126</v>
      </c>
      <c r="B1289" s="70" t="n">
        <v>1589</v>
      </c>
      <c r="C1289" s="152" t="inlineStr">
        <is>
          <t>KOZMO</t>
        </is>
      </c>
      <c r="D1289" s="115" t="inlineStr">
        <is>
          <t>SİLİNDİR</t>
        </is>
      </c>
      <c r="E1289" s="115" t="inlineStr">
        <is>
          <t>MEHMET ALİ</t>
        </is>
      </c>
      <c r="F1289" s="115" t="n"/>
      <c r="G1289" s="152" t="n"/>
      <c r="H1289" s="152" t="n">
        <v>278</v>
      </c>
      <c r="I1289" s="156">
        <f>+I1288+(G1289-H1289)</f>
        <v/>
      </c>
      <c r="J1289" s="102" t="n">
        <v>62.64</v>
      </c>
      <c r="K1289" s="166" t="n"/>
      <c r="L1289" s="158">
        <f>+H1289*J1289</f>
        <v/>
      </c>
      <c r="M1289" s="159">
        <f>SUM(M1288+K1289-L1289)</f>
        <v/>
      </c>
    </row>
    <row r="1290">
      <c r="A1290" s="151" t="n">
        <v>46126</v>
      </c>
      <c r="B1290" s="70" t="n">
        <v>1590</v>
      </c>
      <c r="C1290" s="152" t="inlineStr">
        <is>
          <t>KOZMO</t>
        </is>
      </c>
      <c r="D1290" s="115" t="inlineStr">
        <is>
          <t>JCB</t>
        </is>
      </c>
      <c r="E1290" s="115" t="inlineStr">
        <is>
          <t>BAYRAM SANCAK</t>
        </is>
      </c>
      <c r="F1290" s="115" t="n"/>
      <c r="G1290" s="152" t="n"/>
      <c r="H1290" s="152" t="n">
        <v>54</v>
      </c>
      <c r="I1290" s="156">
        <f>+I1289+(G1290-H1290)</f>
        <v/>
      </c>
      <c r="J1290" s="102" t="n">
        <v>62.64</v>
      </c>
      <c r="K1290" s="166" t="n"/>
      <c r="L1290" s="158">
        <f>+H1290*J1290</f>
        <v/>
      </c>
      <c r="M1290" s="159">
        <f>SUM(M1289+K1290-L1290)</f>
        <v/>
      </c>
    </row>
    <row r="1291">
      <c r="A1291" s="151" t="n">
        <v>46126</v>
      </c>
      <c r="B1291" s="70" t="n">
        <v>1591</v>
      </c>
      <c r="C1291" s="152" t="inlineStr">
        <is>
          <t>KOZMO</t>
        </is>
      </c>
      <c r="D1291" s="115" t="inlineStr">
        <is>
          <t>SM300</t>
        </is>
      </c>
      <c r="E1291" s="115" t="inlineStr">
        <is>
          <t>ONUR</t>
        </is>
      </c>
      <c r="F1291" s="115" t="n"/>
      <c r="G1291" s="152" t="n"/>
      <c r="H1291" s="152" t="n">
        <v>312</v>
      </c>
      <c r="I1291" s="156">
        <f>+I1290+(G1291-H1291)</f>
        <v/>
      </c>
      <c r="J1291" s="102" t="n">
        <v>62.64</v>
      </c>
      <c r="K1291" s="166" t="n"/>
      <c r="L1291" s="158">
        <f>+H1291*J1291</f>
        <v/>
      </c>
      <c r="M1291" s="159">
        <f>SUM(M1290+K1291-L1291)</f>
        <v/>
      </c>
    </row>
    <row r="1292">
      <c r="A1292" s="151" t="n">
        <v>46126</v>
      </c>
      <c r="B1292" s="70" t="n">
        <v>1592</v>
      </c>
      <c r="C1292" s="152" t="inlineStr">
        <is>
          <t>EVKUR</t>
        </is>
      </c>
      <c r="D1292" s="115" t="inlineStr">
        <is>
          <t>KİRALIK KATO</t>
        </is>
      </c>
      <c r="E1292" s="115" t="inlineStr">
        <is>
          <t>GÜNEŞ BEYİN TALİMATI</t>
        </is>
      </c>
      <c r="F1292" s="115" t="n"/>
      <c r="G1292" s="152" t="n"/>
      <c r="H1292" s="152" t="n">
        <v>58</v>
      </c>
      <c r="I1292" s="156">
        <f>+I1291+(G1292-H1292)</f>
        <v/>
      </c>
      <c r="J1292" s="102" t="n">
        <v>62.64</v>
      </c>
      <c r="K1292" s="166" t="n"/>
      <c r="L1292" s="158">
        <f>+H1292*J1292</f>
        <v/>
      </c>
      <c r="M1292" s="159">
        <f>SUM(M1291+K1292-L1292)</f>
        <v/>
      </c>
    </row>
    <row r="1293">
      <c r="A1293" s="151" t="n">
        <v>46126</v>
      </c>
      <c r="B1293" s="70" t="n">
        <v>1593</v>
      </c>
      <c r="C1293" s="152" t="inlineStr">
        <is>
          <t>KOZMO</t>
        </is>
      </c>
      <c r="D1293" s="115" t="inlineStr">
        <is>
          <t>SM350</t>
        </is>
      </c>
      <c r="E1293" s="115" t="inlineStr">
        <is>
          <t>YAKUP</t>
        </is>
      </c>
      <c r="F1293" s="115" t="n"/>
      <c r="G1293" s="152" t="n"/>
      <c r="H1293" s="152" t="n">
        <v>332</v>
      </c>
      <c r="I1293" s="156">
        <f>+I1292+(G1293-H1293)</f>
        <v/>
      </c>
      <c r="J1293" s="102" t="n">
        <v>62.64</v>
      </c>
      <c r="K1293" s="166" t="n"/>
      <c r="L1293" s="158">
        <f>+H1293*J1293</f>
        <v/>
      </c>
      <c r="M1293" s="159">
        <f>SUM(M1292+K1293-L1293)</f>
        <v/>
      </c>
    </row>
    <row r="1294">
      <c r="A1294" s="151" t="n">
        <v>46126</v>
      </c>
      <c r="B1294" s="70" t="n">
        <v>1594</v>
      </c>
      <c r="C1294" s="152" t="inlineStr">
        <is>
          <t>KOZMO</t>
        </is>
      </c>
      <c r="D1294" s="115" t="inlineStr">
        <is>
          <t>SM370</t>
        </is>
      </c>
      <c r="E1294" s="115" t="inlineStr">
        <is>
          <t>ADEM DENİZ</t>
        </is>
      </c>
      <c r="F1294" s="115" t="n"/>
      <c r="G1294" s="152" t="n"/>
      <c r="H1294" s="152" t="n">
        <v>363</v>
      </c>
      <c r="I1294" s="156">
        <f>+I1293+(G1294-H1294)</f>
        <v/>
      </c>
      <c r="J1294" s="102" t="n">
        <v>62.64</v>
      </c>
      <c r="K1294" s="166" t="n"/>
      <c r="L1294" s="158">
        <f>+H1294*J1294</f>
        <v/>
      </c>
      <c r="M1294" s="159">
        <f>SUM(M1293+K1294-L1294)</f>
        <v/>
      </c>
    </row>
    <row r="1295">
      <c r="A1295" s="151" t="n">
        <v>46126</v>
      </c>
      <c r="B1295" s="70" t="n">
        <v>1595</v>
      </c>
      <c r="C1295" s="152" t="inlineStr">
        <is>
          <t>VARLIK</t>
        </is>
      </c>
      <c r="D1295" s="115" t="inlineStr">
        <is>
          <t>HİTACHİ</t>
        </is>
      </c>
      <c r="E1295" s="115" t="inlineStr">
        <is>
          <t>TURGUT SANCAK</t>
        </is>
      </c>
      <c r="F1295" s="115" t="n"/>
      <c r="G1295" s="152" t="n"/>
      <c r="H1295" s="152" t="n">
        <v>345</v>
      </c>
      <c r="I1295" s="156">
        <f>+I1294+(G1295-H1295)</f>
        <v/>
      </c>
      <c r="J1295" s="102" t="n">
        <v>62.64</v>
      </c>
      <c r="K1295" s="166" t="n"/>
      <c r="L1295" s="158">
        <f>+H1295*J1295</f>
        <v/>
      </c>
      <c r="M1295" s="159">
        <f>SUM(M1294+K1295-L1295)</f>
        <v/>
      </c>
    </row>
    <row r="1296">
      <c r="A1296" s="151" t="n">
        <v>46126</v>
      </c>
      <c r="B1296" s="70" t="n">
        <v>1596</v>
      </c>
      <c r="C1296" s="152" t="inlineStr">
        <is>
          <t>VARLIK</t>
        </is>
      </c>
      <c r="D1296" s="115" t="inlineStr">
        <is>
          <t>KAWAZAKİ</t>
        </is>
      </c>
      <c r="E1296" s="115" t="inlineStr">
        <is>
          <t>RAMAZAN</t>
        </is>
      </c>
      <c r="F1296" s="115" t="n"/>
      <c r="G1296" s="152" t="n"/>
      <c r="H1296" s="152" t="n">
        <v>293</v>
      </c>
      <c r="I1296" s="156">
        <f>+I1295+(G1296-H1296)</f>
        <v/>
      </c>
      <c r="J1296" s="102" t="n">
        <v>62.64</v>
      </c>
      <c r="K1296" s="166" t="n"/>
      <c r="L1296" s="158">
        <f>+H1296*J1296</f>
        <v/>
      </c>
      <c r="M1296" s="159">
        <f>SUM(M1295+K1296-L1296)</f>
        <v/>
      </c>
    </row>
    <row r="1297">
      <c r="A1297" s="151" t="n">
        <v>46127</v>
      </c>
      <c r="B1297" s="70" t="n">
        <v>4474</v>
      </c>
      <c r="C1297" s="115" t="inlineStr">
        <is>
          <t>SELİM İNŞAAT</t>
        </is>
      </c>
      <c r="D1297" s="115" t="inlineStr">
        <is>
          <t>34 DKL 798</t>
        </is>
      </c>
      <c r="E1297" s="115" t="inlineStr">
        <is>
          <t>HASAN BAYCA</t>
        </is>
      </c>
      <c r="F1297" s="65" t="n">
        <v>82970</v>
      </c>
      <c r="G1297" s="152" t="n"/>
      <c r="H1297" s="152" t="n">
        <v>289</v>
      </c>
      <c r="I1297" s="156">
        <f>+I1296+(G1297-H1297)</f>
        <v/>
      </c>
      <c r="J1297" s="102" t="n">
        <v>62.64</v>
      </c>
      <c r="K1297" s="166" t="n"/>
      <c r="L1297" s="158">
        <f>+H1297*J1297</f>
        <v/>
      </c>
      <c r="M1297" s="159">
        <f>SUM(M1296+K1297-L1297)</f>
        <v/>
      </c>
    </row>
    <row r="1298">
      <c r="A1298" s="151" t="n">
        <v>46127</v>
      </c>
      <c r="B1298" s="70" t="n">
        <v>1638</v>
      </c>
      <c r="C1298" s="115" t="inlineStr">
        <is>
          <t>SELİM İNŞAAT</t>
        </is>
      </c>
      <c r="D1298" s="115" t="inlineStr">
        <is>
          <t>34 VF 2620</t>
        </is>
      </c>
      <c r="E1298" s="115" t="inlineStr">
        <is>
          <t>RECEP SELİM</t>
        </is>
      </c>
      <c r="F1298" s="65" t="n">
        <v>204518</v>
      </c>
      <c r="G1298" s="152" t="n"/>
      <c r="H1298" s="152" t="n">
        <v>63</v>
      </c>
      <c r="I1298" s="156">
        <f>+I1297+(G1298-H1298)</f>
        <v/>
      </c>
      <c r="J1298" s="102" t="n">
        <v>62.64</v>
      </c>
      <c r="K1298" s="166" t="n"/>
      <c r="L1298" s="158">
        <f>+H1298*J1298</f>
        <v/>
      </c>
      <c r="M1298" s="159">
        <f>SUM(M1297+K1298-L1298)</f>
        <v/>
      </c>
    </row>
    <row r="1299">
      <c r="A1299" s="151" t="n">
        <v>46127</v>
      </c>
      <c r="B1299" s="70" t="n">
        <v>2400</v>
      </c>
      <c r="C1299" s="115" t="inlineStr">
        <is>
          <t>SELİM İNŞAAT</t>
        </is>
      </c>
      <c r="D1299" s="115" t="inlineStr">
        <is>
          <t>34 FEM 934</t>
        </is>
      </c>
      <c r="E1299" s="115" t="inlineStr">
        <is>
          <t>YAKUP URUCU</t>
        </is>
      </c>
      <c r="F1299" s="65" t="n">
        <v>336898</v>
      </c>
      <c r="G1299" s="152" t="n"/>
      <c r="H1299" s="152" t="n">
        <v>64</v>
      </c>
      <c r="I1299" s="156">
        <f>+I1298+(G1299-H1299)</f>
        <v/>
      </c>
      <c r="J1299" s="102" t="n">
        <v>62.64</v>
      </c>
      <c r="K1299" s="166" t="n"/>
      <c r="L1299" s="158">
        <f>+H1299*J1299</f>
        <v/>
      </c>
      <c r="M1299" s="159">
        <f>SUM(M1298+K1299-L1299)</f>
        <v/>
      </c>
    </row>
    <row r="1300">
      <c r="A1300" s="151" t="n">
        <v>46127</v>
      </c>
      <c r="B1300" s="70" t="n">
        <v>310</v>
      </c>
      <c r="C1300" s="115" t="inlineStr">
        <is>
          <t>SELİM İNŞAAT</t>
        </is>
      </c>
      <c r="D1300" s="115" t="inlineStr">
        <is>
          <t>34GER 445</t>
        </is>
      </c>
      <c r="E1300" s="115" t="inlineStr">
        <is>
          <t>MUSTAFA ERYİĞİT</t>
        </is>
      </c>
      <c r="F1300" s="65" t="n">
        <v>59352</v>
      </c>
      <c r="G1300" s="152" t="n"/>
      <c r="H1300" s="152" t="n">
        <v>284</v>
      </c>
      <c r="I1300" s="156">
        <f>+I1299+(G1300-H1300)</f>
        <v/>
      </c>
      <c r="J1300" s="102" t="n">
        <v>62.64</v>
      </c>
      <c r="K1300" s="166" t="n"/>
      <c r="L1300" s="158">
        <f>+H1300*J1300</f>
        <v/>
      </c>
      <c r="M1300" s="159">
        <f>SUM(M1299+K1300-L1300)</f>
        <v/>
      </c>
    </row>
    <row r="1301">
      <c r="A1301" s="151" t="n">
        <v>46127</v>
      </c>
      <c r="B1301" s="70" t="n">
        <v>3622</v>
      </c>
      <c r="C1301" s="115" t="inlineStr">
        <is>
          <t>SELİM İNŞAAT</t>
        </is>
      </c>
      <c r="D1301" s="115" t="inlineStr">
        <is>
          <t>34 EDB 922</t>
        </is>
      </c>
      <c r="E1301" s="115" t="inlineStr">
        <is>
          <t>SELÇUK BASTIK</t>
        </is>
      </c>
      <c r="F1301" s="65" t="n">
        <v>407301</v>
      </c>
      <c r="G1301" s="152" t="n"/>
      <c r="H1301" s="152" t="n">
        <v>568</v>
      </c>
      <c r="I1301" s="156">
        <f>+I1300+(G1301-H1301)</f>
        <v/>
      </c>
      <c r="J1301" s="102" t="n">
        <v>62.64</v>
      </c>
      <c r="K1301" s="166" t="n"/>
      <c r="L1301" s="158">
        <f>+H1301*J1301</f>
        <v/>
      </c>
      <c r="M1301" s="159">
        <f>SUM(M1300+K1301-L1301)</f>
        <v/>
      </c>
    </row>
    <row r="1302">
      <c r="A1302" s="151" t="n">
        <v>46127</v>
      </c>
      <c r="B1302" s="70" t="n">
        <v>3233</v>
      </c>
      <c r="C1302" s="115" t="inlineStr">
        <is>
          <t>SELİM İNŞAAT</t>
        </is>
      </c>
      <c r="D1302" s="115" t="inlineStr">
        <is>
          <t>34 EGR 736</t>
        </is>
      </c>
      <c r="E1302" s="115" t="inlineStr">
        <is>
          <t>HAKAN ÇAVUŞOĞLU</t>
        </is>
      </c>
      <c r="F1302" s="65" t="n">
        <v>444685</v>
      </c>
      <c r="G1302" s="152" t="n"/>
      <c r="H1302" s="152" t="n">
        <v>408</v>
      </c>
      <c r="I1302" s="156">
        <f>+I1301+(G1302-H1302)</f>
        <v/>
      </c>
      <c r="J1302" s="102" t="n">
        <v>62.64</v>
      </c>
      <c r="K1302" s="166" t="n"/>
      <c r="L1302" s="158">
        <f>+H1302*J1302</f>
        <v/>
      </c>
      <c r="M1302" s="159">
        <f>SUM(M1301+K1302-L1302)</f>
        <v/>
      </c>
    </row>
    <row r="1303">
      <c r="A1303" s="151" t="n">
        <v>46127</v>
      </c>
      <c r="B1303" s="70" t="n">
        <v>157</v>
      </c>
      <c r="C1303" s="115" t="inlineStr">
        <is>
          <t>SELİM İNŞAAT</t>
        </is>
      </c>
      <c r="D1303" s="115" t="inlineStr">
        <is>
          <t>34 FBR 771</t>
        </is>
      </c>
      <c r="E1303" s="115" t="inlineStr">
        <is>
          <t>SALİH YALÇIN</t>
        </is>
      </c>
      <c r="F1303" s="65" t="n">
        <v>354086</v>
      </c>
      <c r="G1303" s="152" t="n"/>
      <c r="H1303" s="152" t="n">
        <v>364</v>
      </c>
      <c r="I1303" s="156">
        <f>+I1302+(G1303-H1303)</f>
        <v/>
      </c>
      <c r="J1303" s="102" t="n">
        <v>62.64</v>
      </c>
      <c r="K1303" s="166" t="n"/>
      <c r="L1303" s="158">
        <f>+H1303*J1303</f>
        <v/>
      </c>
      <c r="M1303" s="159">
        <f>SUM(M1302+K1303-L1303)</f>
        <v/>
      </c>
    </row>
    <row r="1304">
      <c r="A1304" s="151" t="n">
        <v>46127</v>
      </c>
      <c r="B1304" s="70" t="n">
        <v>1752</v>
      </c>
      <c r="C1304" s="115" t="inlineStr">
        <is>
          <t>SELİM İNŞAAT</t>
        </is>
      </c>
      <c r="D1304" s="115" t="inlineStr">
        <is>
          <t>34 EDC 086</t>
        </is>
      </c>
      <c r="E1304" s="115" t="inlineStr">
        <is>
          <t>SEZGİN KOCAGİL</t>
        </is>
      </c>
      <c r="F1304" s="65" t="n">
        <v>380653</v>
      </c>
      <c r="G1304" s="152" t="n"/>
      <c r="H1304" s="152" t="n">
        <v>517</v>
      </c>
      <c r="I1304" s="156">
        <f>+I1303+(G1304-H1304)</f>
        <v/>
      </c>
      <c r="J1304" s="102" t="n">
        <v>62.64</v>
      </c>
      <c r="K1304" s="166" t="n"/>
      <c r="L1304" s="158">
        <f>+H1304*J1304</f>
        <v/>
      </c>
      <c r="M1304" s="159">
        <f>SUM(M1303+K1304-L1304)</f>
        <v/>
      </c>
    </row>
    <row r="1305">
      <c r="A1305" s="151" t="n">
        <v>46127</v>
      </c>
      <c r="B1305" s="70" t="n">
        <v>3497</v>
      </c>
      <c r="C1305" s="115" t="inlineStr">
        <is>
          <t>SELİM İNŞAAT</t>
        </is>
      </c>
      <c r="D1305" s="115" t="inlineStr">
        <is>
          <t>34 EDB 754</t>
        </is>
      </c>
      <c r="E1305" s="115" t="inlineStr">
        <is>
          <t>SELÇUK BASTIK</t>
        </is>
      </c>
      <c r="F1305" s="65" t="n">
        <v>377121</v>
      </c>
      <c r="G1305" s="152" t="n"/>
      <c r="H1305" s="152" t="n">
        <v>470</v>
      </c>
      <c r="I1305" s="156">
        <f>+I1304+(G1305-H1305)</f>
        <v/>
      </c>
      <c r="J1305" s="102" t="n">
        <v>62.64</v>
      </c>
      <c r="K1305" s="166" t="n"/>
      <c r="L1305" s="158">
        <f>+H1305*J1305</f>
        <v/>
      </c>
      <c r="M1305" s="159">
        <f>SUM(M1304+K1305-L1305)</f>
        <v/>
      </c>
    </row>
    <row r="1306">
      <c r="A1306" s="151" t="n">
        <v>46127</v>
      </c>
      <c r="B1306" s="70" t="n">
        <v>4984</v>
      </c>
      <c r="C1306" s="115" t="inlineStr">
        <is>
          <t>SELİM İNŞAAT</t>
        </is>
      </c>
      <c r="D1306" s="115" t="inlineStr">
        <is>
          <t>34 GVZ 745</t>
        </is>
      </c>
      <c r="E1306" s="115" t="inlineStr">
        <is>
          <t>MURAT DEMİRBAŞ</t>
        </is>
      </c>
      <c r="F1306" s="65" t="n">
        <v>253867</v>
      </c>
      <c r="G1306" s="152" t="n"/>
      <c r="H1306" s="152" t="n">
        <v>427</v>
      </c>
      <c r="I1306" s="156">
        <f>+I1305+(G1306-H1306)</f>
        <v/>
      </c>
      <c r="J1306" s="102" t="n">
        <v>62.64</v>
      </c>
      <c r="K1306" s="166" t="n"/>
      <c r="L1306" s="158">
        <f>+H1306*J1306</f>
        <v/>
      </c>
      <c r="M1306" s="159">
        <f>SUM(M1305+K1306-L1306)</f>
        <v/>
      </c>
    </row>
    <row r="1307">
      <c r="A1307" s="151" t="n">
        <v>46127</v>
      </c>
      <c r="B1307" s="70" t="n">
        <v>4937</v>
      </c>
      <c r="C1307" s="115" t="inlineStr">
        <is>
          <t>SELİM İNŞAAT</t>
        </is>
      </c>
      <c r="D1307" s="115" t="inlineStr">
        <is>
          <t>34 FBR 742</t>
        </is>
      </c>
      <c r="E1307" s="115" t="inlineStr">
        <is>
          <t>ADNAN KOÇ</t>
        </is>
      </c>
      <c r="F1307" s="65" t="n">
        <v>371841</v>
      </c>
      <c r="G1307" s="152" t="n"/>
      <c r="H1307" s="152" t="n">
        <v>327</v>
      </c>
      <c r="I1307" s="156">
        <f>+I1306+(G1307-H1307)</f>
        <v/>
      </c>
      <c r="J1307" s="102" t="n">
        <v>62.64</v>
      </c>
      <c r="K1307" s="166" t="n"/>
      <c r="L1307" s="158">
        <f>+H1307*J1307</f>
        <v/>
      </c>
      <c r="M1307" s="159">
        <f>SUM(M1306+K1307-L1307)</f>
        <v/>
      </c>
    </row>
    <row r="1308">
      <c r="A1308" s="151" t="n">
        <v>46127</v>
      </c>
      <c r="B1308" s="70" t="n">
        <v>22</v>
      </c>
      <c r="C1308" s="115" t="inlineStr">
        <is>
          <t>SELİM İNŞAAT</t>
        </is>
      </c>
      <c r="D1308" s="115" t="inlineStr">
        <is>
          <t>34 GVZ 268</t>
        </is>
      </c>
      <c r="E1308" s="115" t="inlineStr">
        <is>
          <t>KERİM KARAMAN</t>
        </is>
      </c>
      <c r="F1308" s="65" t="n">
        <v>256861</v>
      </c>
      <c r="G1308" s="152" t="n"/>
      <c r="H1308" s="152" t="n">
        <v>480</v>
      </c>
      <c r="I1308" s="156">
        <f>+I1307+(G1308-H1308)</f>
        <v/>
      </c>
      <c r="J1308" s="102" t="n">
        <v>62.64</v>
      </c>
      <c r="K1308" s="166" t="n"/>
      <c r="L1308" s="158">
        <f>+H1308*J1308</f>
        <v/>
      </c>
      <c r="M1308" s="159">
        <f>SUM(M1307+K1308-L1308)</f>
        <v/>
      </c>
    </row>
    <row r="1309">
      <c r="A1309" s="151" t="n">
        <v>46127</v>
      </c>
      <c r="B1309" s="70" t="n">
        <v>3840</v>
      </c>
      <c r="C1309" s="115" t="inlineStr">
        <is>
          <t>SELİM İNŞAAT</t>
        </is>
      </c>
      <c r="D1309" s="115" t="inlineStr">
        <is>
          <t>34 GYZ 635</t>
        </is>
      </c>
      <c r="E1309" s="115" t="inlineStr">
        <is>
          <t>ADEM DENİZ</t>
        </is>
      </c>
      <c r="F1309" s="65" t="n">
        <v>233284</v>
      </c>
      <c r="G1309" s="152" t="n"/>
      <c r="H1309" s="152" t="n">
        <v>482</v>
      </c>
      <c r="I1309" s="156">
        <f>+I1308+(G1309-H1309)</f>
        <v/>
      </c>
      <c r="J1309" s="102" t="n">
        <v>62.64</v>
      </c>
      <c r="K1309" s="166" t="n"/>
      <c r="L1309" s="158">
        <f>+H1309*J1309</f>
        <v/>
      </c>
      <c r="M1309" s="159">
        <f>SUM(M1308+K1309-L1309)</f>
        <v/>
      </c>
    </row>
    <row r="1310">
      <c r="A1310" s="151" t="n">
        <v>46127</v>
      </c>
      <c r="B1310" s="70" t="n">
        <v>3341</v>
      </c>
      <c r="C1310" s="115" t="inlineStr">
        <is>
          <t>SELİM İNŞAAT</t>
        </is>
      </c>
      <c r="D1310" s="115" t="inlineStr">
        <is>
          <t>34 GUS 938</t>
        </is>
      </c>
      <c r="E1310" s="115" t="inlineStr">
        <is>
          <t>MEHMET KAYA</t>
        </is>
      </c>
      <c r="F1310" s="65" t="n">
        <v>253103</v>
      </c>
      <c r="G1310" s="152" t="n"/>
      <c r="H1310" s="152" t="n">
        <v>543</v>
      </c>
      <c r="I1310" s="156">
        <f>+I1309+(G1310-H1310)</f>
        <v/>
      </c>
      <c r="J1310" s="102" t="n">
        <v>62.64</v>
      </c>
      <c r="K1310" s="166" t="n"/>
      <c r="L1310" s="158">
        <f>+H1310*J1310</f>
        <v/>
      </c>
      <c r="M1310" s="159">
        <f>SUM(M1309+K1310-L1310)</f>
        <v/>
      </c>
    </row>
    <row r="1311">
      <c r="A1311" s="151" t="n">
        <v>46127</v>
      </c>
      <c r="B1311" s="70" t="n">
        <v>104</v>
      </c>
      <c r="C1311" s="115" t="inlineStr">
        <is>
          <t>SELİM İNŞAAT</t>
        </is>
      </c>
      <c r="D1311" s="115" t="inlineStr">
        <is>
          <t>34 GUS 848</t>
        </is>
      </c>
      <c r="E1311" s="115" t="inlineStr">
        <is>
          <t>SERDAR BOZKURT</t>
        </is>
      </c>
      <c r="F1311" s="65" t="n">
        <v>238798</v>
      </c>
      <c r="G1311" s="152" t="n"/>
      <c r="H1311" s="152" t="n">
        <v>515</v>
      </c>
      <c r="I1311" s="156">
        <f>+I1310+(G1311-H1311)</f>
        <v/>
      </c>
      <c r="J1311" s="102" t="n">
        <v>62.64</v>
      </c>
      <c r="K1311" s="166" t="n"/>
      <c r="L1311" s="158">
        <f>+H1311*J1311</f>
        <v/>
      </c>
      <c r="M1311" s="159">
        <f>SUM(M1310+K1311-L1311)</f>
        <v/>
      </c>
    </row>
    <row r="1312">
      <c r="A1312" s="151" t="n">
        <v>46127</v>
      </c>
      <c r="B1312" s="70" t="n">
        <v>3868</v>
      </c>
      <c r="C1312" s="115" t="inlineStr">
        <is>
          <t>SELİM İNŞAAT</t>
        </is>
      </c>
      <c r="D1312" s="115" t="inlineStr">
        <is>
          <t>34 DRU 690</t>
        </is>
      </c>
      <c r="E1312" s="115" t="inlineStr">
        <is>
          <t>MEHMET KAYA</t>
        </is>
      </c>
      <c r="F1312" s="65" t="n">
        <v>461484</v>
      </c>
      <c r="G1312" s="152" t="n"/>
      <c r="H1312" s="152" t="n">
        <v>548</v>
      </c>
      <c r="I1312" s="156">
        <f>+I1311+(G1312-H1312)</f>
        <v/>
      </c>
      <c r="J1312" s="102" t="n">
        <v>62.64</v>
      </c>
      <c r="K1312" s="166" t="n"/>
      <c r="L1312" s="158">
        <f>+H1312*J1312</f>
        <v/>
      </c>
      <c r="M1312" s="159">
        <f>SUM(M1311+K1312-L1312)</f>
        <v/>
      </c>
    </row>
    <row r="1313">
      <c r="A1313" s="151" t="n">
        <v>46127</v>
      </c>
      <c r="B1313" s="70" t="n">
        <v>768</v>
      </c>
      <c r="C1313" s="115" t="inlineStr">
        <is>
          <t>METİN ERYİĞİT</t>
        </is>
      </c>
      <c r="D1313" s="115" t="inlineStr">
        <is>
          <t>34 EGR 814</t>
        </is>
      </c>
      <c r="E1313" s="115" t="inlineStr">
        <is>
          <t>ZİYA İNCE</t>
        </is>
      </c>
      <c r="F1313" s="115" t="n">
        <v>620303</v>
      </c>
      <c r="G1313" s="152" t="n"/>
      <c r="H1313" s="152" t="n">
        <v>495</v>
      </c>
      <c r="I1313" s="156">
        <f>+I1312+(G1313-H1313)</f>
        <v/>
      </c>
      <c r="J1313" s="102" t="n">
        <v>62.64</v>
      </c>
      <c r="K1313" s="166" t="n"/>
      <c r="L1313" s="158">
        <f>+H1313*J1313</f>
        <v/>
      </c>
      <c r="M1313" s="159">
        <f>SUM(M1312+K1313-L1313)</f>
        <v/>
      </c>
    </row>
    <row r="1314">
      <c r="A1314" s="151" t="n">
        <v>46127</v>
      </c>
      <c r="B1314" s="70" t="n">
        <v>644</v>
      </c>
      <c r="C1314" s="152" t="inlineStr">
        <is>
          <t>AHMET SELİM TEMHA</t>
        </is>
      </c>
      <c r="D1314" s="115" t="inlineStr">
        <is>
          <t>MANİTO</t>
        </is>
      </c>
      <c r="E1314" s="115" t="inlineStr">
        <is>
          <t>TURGAY ÇIPLAK</t>
        </is>
      </c>
      <c r="F1314" s="115" t="n"/>
      <c r="G1314" s="152" t="n"/>
      <c r="H1314" s="152" t="n">
        <v>129</v>
      </c>
      <c r="I1314" s="156">
        <f>+I1313+(G1314-H1314)</f>
        <v/>
      </c>
      <c r="J1314" s="102" t="n">
        <v>62.64</v>
      </c>
      <c r="K1314" s="166" t="n"/>
      <c r="L1314" s="158">
        <f>+H1314*J1314</f>
        <v/>
      </c>
      <c r="M1314" s="159">
        <f>SUM(M1313+K1314-L1314)</f>
        <v/>
      </c>
    </row>
    <row r="1315">
      <c r="A1315" s="151" t="n">
        <v>46127</v>
      </c>
      <c r="B1315" s="70" t="n">
        <v>1597</v>
      </c>
      <c r="C1315" s="152" t="inlineStr">
        <is>
          <t>MEGA VARLIK</t>
        </is>
      </c>
      <c r="D1315" s="115" t="inlineStr">
        <is>
          <t>FORKLİFT</t>
        </is>
      </c>
      <c r="E1315" s="115" t="inlineStr">
        <is>
          <t>FAHRİ</t>
        </is>
      </c>
      <c r="F1315" s="115" t="n"/>
      <c r="G1315" s="152" t="n"/>
      <c r="H1315" s="152" t="n">
        <v>48</v>
      </c>
      <c r="I1315" s="156">
        <f>+I1314+(G1315-H1315)</f>
        <v/>
      </c>
      <c r="J1315" s="102" t="n">
        <v>62.64</v>
      </c>
      <c r="K1315" s="166" t="n"/>
      <c r="L1315" s="158">
        <f>+H1315*J1315</f>
        <v/>
      </c>
      <c r="M1315" s="159">
        <f>SUM(M1314+K1315-L1315)</f>
        <v/>
      </c>
    </row>
    <row r="1316">
      <c r="A1316" s="151" t="n">
        <v>46127</v>
      </c>
      <c r="B1316" s="70" t="n">
        <v>1598</v>
      </c>
      <c r="C1316" s="152" t="inlineStr">
        <is>
          <t xml:space="preserve">CEVİZ MOBİLYA  </t>
        </is>
      </c>
      <c r="D1316" s="115" t="inlineStr">
        <is>
          <t>34 GA 9415</t>
        </is>
      </c>
      <c r="E1316" s="115" t="inlineStr">
        <is>
          <t>CEMAL AKYOL</t>
        </is>
      </c>
      <c r="F1316" s="115" t="n"/>
      <c r="G1316" s="152" t="n"/>
      <c r="H1316" s="152" t="n">
        <v>122</v>
      </c>
      <c r="I1316" s="156">
        <f>+I1315+(G1316-H1316)</f>
        <v/>
      </c>
      <c r="J1316" s="102" t="n">
        <v>62.64</v>
      </c>
      <c r="K1316" s="166" t="n"/>
      <c r="L1316" s="158">
        <f>+H1316*J1316</f>
        <v/>
      </c>
      <c r="M1316" s="159">
        <f>SUM(M1315+K1316-L1316)</f>
        <v/>
      </c>
    </row>
    <row r="1317">
      <c r="A1317" s="151" t="n">
        <v>46127</v>
      </c>
      <c r="B1317" s="70" t="n">
        <v>1599</v>
      </c>
      <c r="C1317" s="152" t="inlineStr">
        <is>
          <t>VARLIK</t>
        </is>
      </c>
      <c r="D1317" s="115" t="inlineStr">
        <is>
          <t>KAWAZAKİ</t>
        </is>
      </c>
      <c r="E1317" s="115" t="inlineStr">
        <is>
          <t>RAMAZAN</t>
        </is>
      </c>
      <c r="F1317" s="115" t="n"/>
      <c r="G1317" s="152" t="n"/>
      <c r="H1317" s="152" t="n">
        <v>207</v>
      </c>
      <c r="I1317" s="156">
        <f>+I1316+(G1317-H1317)</f>
        <v/>
      </c>
      <c r="J1317" s="102" t="n">
        <v>62.64</v>
      </c>
      <c r="K1317" s="166" t="n"/>
      <c r="L1317" s="158">
        <f>+H1317*J1317</f>
        <v/>
      </c>
      <c r="M1317" s="159">
        <f>SUM(M1316+K1317-L1317)</f>
        <v/>
      </c>
    </row>
    <row r="1318">
      <c r="A1318" s="151" t="n">
        <v>46127</v>
      </c>
      <c r="B1318" s="70" t="n">
        <v>1600</v>
      </c>
      <c r="C1318" s="152" t="inlineStr">
        <is>
          <t>VARLIK</t>
        </is>
      </c>
      <c r="D1318" s="115" t="inlineStr">
        <is>
          <t>HİTACHİ</t>
        </is>
      </c>
      <c r="E1318" s="115" t="inlineStr">
        <is>
          <t>TURGUT SANCAK</t>
        </is>
      </c>
      <c r="F1318" s="115" t="n"/>
      <c r="G1318" s="152" t="n"/>
      <c r="H1318" s="152" t="n">
        <v>291</v>
      </c>
      <c r="I1318" s="156">
        <f>+I1317+(G1318-H1318)</f>
        <v/>
      </c>
      <c r="J1318" s="102" t="n">
        <v>62.64</v>
      </c>
      <c r="K1318" s="166" t="n"/>
      <c r="L1318" s="158">
        <f>+H1318*J1318</f>
        <v/>
      </c>
      <c r="M1318" s="159">
        <f>SUM(M1317+K1318-L1318)</f>
        <v/>
      </c>
    </row>
    <row r="1319">
      <c r="A1319" s="151" t="n">
        <v>46127</v>
      </c>
      <c r="B1319" s="70" t="n">
        <v>1601</v>
      </c>
      <c r="C1319" s="152" t="inlineStr">
        <is>
          <t>KOZMO</t>
        </is>
      </c>
      <c r="D1319" s="115" t="inlineStr">
        <is>
          <t>SM350</t>
        </is>
      </c>
      <c r="E1319" s="115" t="inlineStr">
        <is>
          <t>YAKUP</t>
        </is>
      </c>
      <c r="F1319" s="115" t="n"/>
      <c r="G1319" s="152" t="n"/>
      <c r="H1319" s="152" t="n">
        <v>402</v>
      </c>
      <c r="I1319" s="156">
        <f>+I1318+(G1319-H1319)</f>
        <v/>
      </c>
      <c r="J1319" s="102" t="n">
        <v>62.64</v>
      </c>
      <c r="K1319" s="166" t="n"/>
      <c r="L1319" s="158">
        <f>+H1319*J1319</f>
        <v/>
      </c>
      <c r="M1319" s="159">
        <f>SUM(M1318+K1319-L1319)</f>
        <v/>
      </c>
    </row>
    <row r="1320">
      <c r="A1320" s="151" t="n">
        <v>46127</v>
      </c>
      <c r="B1320" s="70" t="n">
        <v>1602</v>
      </c>
      <c r="C1320" s="152" t="inlineStr">
        <is>
          <t>KOZMO</t>
        </is>
      </c>
      <c r="D1320" s="115" t="inlineStr">
        <is>
          <t>SM300</t>
        </is>
      </c>
      <c r="E1320" s="115" t="inlineStr">
        <is>
          <t>ONUR</t>
        </is>
      </c>
      <c r="F1320" s="115" t="n"/>
      <c r="G1320" s="152" t="n"/>
      <c r="H1320" s="152" t="n">
        <v>380</v>
      </c>
      <c r="I1320" s="156">
        <f>+I1319+(G1320-H1320)</f>
        <v/>
      </c>
      <c r="J1320" s="102" t="n">
        <v>62.64</v>
      </c>
      <c r="K1320" s="166" t="n"/>
      <c r="L1320" s="158">
        <f>+H1320*J1320</f>
        <v/>
      </c>
      <c r="M1320" s="159">
        <f>SUM(M1319+K1320-L1320)</f>
        <v/>
      </c>
    </row>
    <row r="1321">
      <c r="A1321" s="151" t="n">
        <v>46127</v>
      </c>
      <c r="B1321" s="70" t="n">
        <v>1603</v>
      </c>
      <c r="C1321" s="152" t="inlineStr">
        <is>
          <t>KOZMO</t>
        </is>
      </c>
      <c r="D1321" s="115" t="inlineStr">
        <is>
          <t>SM370</t>
        </is>
      </c>
      <c r="E1321" s="115" t="inlineStr">
        <is>
          <t>ADEM DENİZ</t>
        </is>
      </c>
      <c r="F1321" s="115" t="n"/>
      <c r="G1321" s="152" t="n"/>
      <c r="H1321" s="152" t="n">
        <v>430</v>
      </c>
      <c r="I1321" s="156">
        <f>+I1320+(G1321-H1321)</f>
        <v/>
      </c>
      <c r="J1321" s="102" t="n">
        <v>62.64</v>
      </c>
      <c r="K1321" s="166" t="n"/>
      <c r="L1321" s="158">
        <f>+H1321*J1321</f>
        <v/>
      </c>
      <c r="M1321" s="159">
        <f>SUM(M1320+K1321-L1321)</f>
        <v/>
      </c>
    </row>
    <row r="1322">
      <c r="A1322" s="151" t="n">
        <v>46127</v>
      </c>
      <c r="B1322" s="70" t="n">
        <v>1604</v>
      </c>
      <c r="C1322" s="152" t="inlineStr">
        <is>
          <t>MEGA VARLIK</t>
        </is>
      </c>
      <c r="D1322" s="115" t="inlineStr">
        <is>
          <t>SM350</t>
        </is>
      </c>
      <c r="E1322" s="115" t="inlineStr">
        <is>
          <t>TEVFİK</t>
        </is>
      </c>
      <c r="F1322" s="115" t="n"/>
      <c r="G1322" s="152" t="n"/>
      <c r="H1322" s="152" t="n">
        <v>329</v>
      </c>
      <c r="I1322" s="156">
        <f>+I1321+(G1322-H1322)</f>
        <v/>
      </c>
      <c r="J1322" s="102" t="n">
        <v>62.64</v>
      </c>
      <c r="K1322" s="166" t="n"/>
      <c r="L1322" s="158">
        <f>+H1322*J1322</f>
        <v/>
      </c>
      <c r="M1322" s="159">
        <f>SUM(M1321+K1322-L1322)</f>
        <v/>
      </c>
    </row>
    <row r="1323">
      <c r="A1323" s="167" t="n">
        <v>46135</v>
      </c>
      <c r="B1323" s="83" t="n">
        <v>802</v>
      </c>
      <c r="C1323" s="84" t="inlineStr">
        <is>
          <t>ÜNSOY TURİZM İNŞ.SAN.VE TİC.A.Ş.</t>
        </is>
      </c>
      <c r="D1323" s="84" t="n"/>
      <c r="E1323" s="84" t="n"/>
      <c r="F1323" s="85" t="n"/>
      <c r="G1323" s="168" t="n">
        <v>31576</v>
      </c>
      <c r="H1323" s="168" t="n"/>
      <c r="I1323" s="168">
        <f>+I1322+(G1323-H1323)</f>
        <v/>
      </c>
      <c r="J1323" s="87" t="n">
        <v>49.875</v>
      </c>
      <c r="K1323" s="169" t="n">
        <v>1889823.6</v>
      </c>
      <c r="L1323" s="170">
        <f>+H1323*J1323</f>
        <v/>
      </c>
      <c r="M1323" s="170">
        <f>SUM(M1322+K1323-L1323)</f>
        <v/>
      </c>
    </row>
    <row r="1324">
      <c r="A1324" s="167" t="n">
        <v>46142</v>
      </c>
      <c r="B1324" s="83" t="n">
        <v>837</v>
      </c>
      <c r="C1324" s="84" t="inlineStr">
        <is>
          <t>ÜNSOY TURİZM İNŞ.SAN.VE TİC.A.Ş.</t>
        </is>
      </c>
      <c r="D1324" s="84" t="n"/>
      <c r="E1324" s="84" t="n"/>
      <c r="F1324" s="85" t="n"/>
      <c r="G1324" s="168" t="n">
        <v>31667</v>
      </c>
      <c r="H1324" s="168" t="n"/>
      <c r="I1324" s="168">
        <f>+I1323+(G1324-H1324)</f>
        <v/>
      </c>
      <c r="J1324" s="87" t="n">
        <v>51.458</v>
      </c>
      <c r="K1324" s="169" t="n">
        <v>1995437.25</v>
      </c>
      <c r="L1324" s="170">
        <f>+H1324*J1324</f>
        <v/>
      </c>
      <c r="M1324" s="170">
        <f>SUM(M1323+K1324-L1324)</f>
        <v/>
      </c>
    </row>
    <row r="1325">
      <c r="A1325" s="116" t="n">
        <v>46134</v>
      </c>
      <c r="B1325" s="115" t="n">
        <v>1053</v>
      </c>
      <c r="C1325" s="115" t="inlineStr">
        <is>
          <t>SELİM İNŞAAT</t>
        </is>
      </c>
      <c r="D1325" s="115" t="inlineStr">
        <is>
          <t>34 FBR 781</t>
        </is>
      </c>
      <c r="E1325" s="115" t="inlineStr">
        <is>
          <t>MEVLÜT POLAT</t>
        </is>
      </c>
      <c r="F1325" s="115" t="n">
        <v>368177</v>
      </c>
      <c r="G1325" s="156" t="n"/>
      <c r="H1325" s="152" t="n">
        <v>539</v>
      </c>
      <c r="I1325" s="156">
        <f>+I1324+(G1325-H1325)</f>
        <v/>
      </c>
      <c r="J1325" s="90" t="n"/>
      <c r="K1325" s="166" t="n"/>
      <c r="L1325" s="158">
        <f>+H1325*J1325</f>
        <v/>
      </c>
      <c r="M1325" s="159">
        <f>SUM(M1324+K1325-L1325)</f>
        <v/>
      </c>
    </row>
    <row r="1326">
      <c r="A1326" s="116" t="n">
        <v>46140</v>
      </c>
      <c r="B1326" s="115" t="n">
        <v>1054</v>
      </c>
      <c r="C1326" s="115" t="inlineStr">
        <is>
          <t>SELİM İNŞAAT</t>
        </is>
      </c>
      <c r="D1326" s="115" t="inlineStr">
        <is>
          <t>34 FBR 781</t>
        </is>
      </c>
      <c r="E1326" s="115" t="inlineStr">
        <is>
          <t>MEVLÜT POLAT</t>
        </is>
      </c>
      <c r="F1326" s="115" t="n">
        <v>368994</v>
      </c>
      <c r="G1326" s="156" t="n"/>
      <c r="H1326" s="152" t="n">
        <v>514</v>
      </c>
      <c r="I1326" s="156">
        <f>+I1325+(G1326-H1326)</f>
        <v/>
      </c>
      <c r="J1326" s="90" t="n"/>
      <c r="K1326" s="166" t="n"/>
      <c r="L1326" s="158">
        <f>+H1326*J1326</f>
        <v/>
      </c>
      <c r="M1326" s="159">
        <f>SUM(M1325+K1326-L1326)</f>
        <v/>
      </c>
    </row>
    <row r="1327">
      <c r="A1327" s="116" t="n">
        <v>46142</v>
      </c>
      <c r="B1327" s="115" t="n">
        <v>1055</v>
      </c>
      <c r="C1327" s="115" t="inlineStr">
        <is>
          <t>SELİM İNŞAAT</t>
        </is>
      </c>
      <c r="D1327" s="115" t="inlineStr">
        <is>
          <t>34 FBR 781</t>
        </is>
      </c>
      <c r="E1327" s="115" t="inlineStr">
        <is>
          <t>MEVLÜT POLAT</t>
        </is>
      </c>
      <c r="F1327" s="115" t="n">
        <v>369551</v>
      </c>
      <c r="G1327" s="156" t="n"/>
      <c r="H1327" s="152" t="n">
        <v>540</v>
      </c>
      <c r="I1327" s="156">
        <f>+I1326+(G1327-H1327)</f>
        <v/>
      </c>
      <c r="J1327" s="90" t="n"/>
      <c r="K1327" s="166" t="n"/>
      <c r="L1327" s="158">
        <f>+H1327*J1327</f>
        <v/>
      </c>
      <c r="M1327" s="159">
        <f>SUM(M1326+K1327-L1327)</f>
        <v/>
      </c>
    </row>
    <row r="1328">
      <c r="A1328" s="116" t="n">
        <v>46136</v>
      </c>
      <c r="B1328" s="115" t="n">
        <v>3869</v>
      </c>
      <c r="C1328" s="115" t="inlineStr">
        <is>
          <t>SELİM İNŞAAT</t>
        </is>
      </c>
      <c r="D1328" s="115" t="inlineStr">
        <is>
          <t>34 DRU 690</t>
        </is>
      </c>
      <c r="E1328" s="115" t="inlineStr">
        <is>
          <t>SİNAN TANRIVERDİ</t>
        </is>
      </c>
      <c r="F1328" s="115" t="n">
        <v>462302</v>
      </c>
      <c r="G1328" s="156" t="n"/>
      <c r="H1328" s="152" t="n">
        <v>554</v>
      </c>
      <c r="I1328" s="156" t="n"/>
      <c r="J1328" s="90" t="n"/>
      <c r="K1328" s="166" t="n"/>
      <c r="L1328" s="158">
        <f>+H1328*J1328</f>
        <v/>
      </c>
      <c r="M1328" s="159" t="n"/>
    </row>
    <row r="1329">
      <c r="A1329" s="116" t="n">
        <v>46139</v>
      </c>
      <c r="B1329" s="115" t="n">
        <v>3870</v>
      </c>
      <c r="C1329" s="115" t="inlineStr">
        <is>
          <t>SELİM İNŞAAT</t>
        </is>
      </c>
      <c r="D1329" s="115" t="inlineStr">
        <is>
          <t>34 DRU 690</t>
        </is>
      </c>
      <c r="E1329" s="115" t="inlineStr">
        <is>
          <t>SİNAN TANRIVERDİ</t>
        </is>
      </c>
      <c r="F1329" s="115" t="n">
        <v>463171</v>
      </c>
      <c r="G1329" s="156" t="n"/>
      <c r="H1329" s="152" t="n">
        <v>550</v>
      </c>
      <c r="I1329" s="156" t="n"/>
      <c r="J1329" s="90" t="n"/>
      <c r="K1329" s="166" t="n"/>
      <c r="L1329" s="158">
        <f>+H1329*J1329</f>
        <v/>
      </c>
      <c r="M1329" s="159" t="n"/>
    </row>
    <row r="1330">
      <c r="A1330" s="116" t="n">
        <v>46142</v>
      </c>
      <c r="B1330" s="115" t="n">
        <v>3871</v>
      </c>
      <c r="C1330" s="115" t="inlineStr">
        <is>
          <t>SELİM İNŞAAT</t>
        </is>
      </c>
      <c r="D1330" s="115" t="inlineStr">
        <is>
          <t>34 DRU 690</t>
        </is>
      </c>
      <c r="E1330" s="115" t="inlineStr">
        <is>
          <t>SİNAN TANRIVERDİ</t>
        </is>
      </c>
      <c r="F1330" s="115" t="n">
        <v>463802</v>
      </c>
      <c r="G1330" s="156" t="n"/>
      <c r="H1330" s="152" t="n">
        <v>454</v>
      </c>
      <c r="I1330" s="156" t="n"/>
      <c r="J1330" s="90" t="n"/>
      <c r="K1330" s="166" t="n"/>
      <c r="L1330" s="158">
        <f>+H1330*J1330</f>
        <v/>
      </c>
      <c r="M1330" s="159" t="n"/>
    </row>
    <row r="1331">
      <c r="A1331" s="116" t="n">
        <v>46130</v>
      </c>
      <c r="B1331" s="115" t="n">
        <v>158</v>
      </c>
      <c r="C1331" s="115" t="inlineStr">
        <is>
          <t>SELİM İNŞAAT</t>
        </is>
      </c>
      <c r="D1331" s="115" t="inlineStr">
        <is>
          <t>34 FBR 771</t>
        </is>
      </c>
      <c r="E1331" s="115" t="inlineStr">
        <is>
          <t>SALİH YALÇIN</t>
        </is>
      </c>
      <c r="F1331" s="115" t="n">
        <v>354933</v>
      </c>
      <c r="G1331" s="156" t="n"/>
      <c r="H1331" s="152" t="n">
        <v>541</v>
      </c>
      <c r="I1331" s="156" t="n"/>
      <c r="J1331" s="90" t="n"/>
      <c r="K1331" s="166" t="n"/>
      <c r="L1331" s="158">
        <f>+H1331*J1331</f>
        <v/>
      </c>
      <c r="M1331" s="159" t="n"/>
    </row>
    <row r="1332">
      <c r="A1332" s="116" t="n">
        <v>46133</v>
      </c>
      <c r="B1332" s="115" t="n">
        <v>159</v>
      </c>
      <c r="C1332" s="115" t="inlineStr">
        <is>
          <t>SELİM İNŞAAT</t>
        </is>
      </c>
      <c r="D1332" s="115" t="inlineStr">
        <is>
          <t>34 FBR 771</t>
        </is>
      </c>
      <c r="E1332" s="115" t="inlineStr">
        <is>
          <t>SALİH YALÇIN</t>
        </is>
      </c>
      <c r="F1332" s="115" t="n">
        <v>355640</v>
      </c>
      <c r="G1332" s="156" t="n"/>
      <c r="H1332" s="152" t="n">
        <v>430</v>
      </c>
      <c r="I1332" s="156" t="n"/>
      <c r="J1332" s="90" t="n"/>
      <c r="K1332" s="166" t="n"/>
      <c r="L1332" s="158">
        <f>+H1332*J1332</f>
        <v/>
      </c>
      <c r="M1332" s="159" t="n"/>
    </row>
    <row r="1333">
      <c r="A1333" s="116" t="n">
        <v>46134</v>
      </c>
      <c r="B1333" s="115" t="n">
        <v>160</v>
      </c>
      <c r="C1333" s="115" t="inlineStr">
        <is>
          <t>SELİM İNŞAAT</t>
        </is>
      </c>
      <c r="D1333" s="115" t="inlineStr">
        <is>
          <t>34 FBR 771</t>
        </is>
      </c>
      <c r="E1333" s="115" t="inlineStr">
        <is>
          <t>SALİH YALÇIN</t>
        </is>
      </c>
      <c r="F1333" s="115" t="n">
        <v>356113</v>
      </c>
      <c r="G1333" s="156" t="n"/>
      <c r="H1333" s="152" t="n">
        <v>340</v>
      </c>
      <c r="I1333" s="156" t="n"/>
      <c r="J1333" s="90" t="n"/>
      <c r="K1333" s="166" t="n"/>
      <c r="L1333" s="158">
        <f>+H1333*J1333</f>
        <v/>
      </c>
      <c r="M1333" s="159" t="n"/>
    </row>
    <row r="1334">
      <c r="A1334" s="116" t="n">
        <v>46137</v>
      </c>
      <c r="B1334" s="115" t="n">
        <v>161</v>
      </c>
      <c r="C1334" s="115" t="inlineStr">
        <is>
          <t>SELİM İNŞAAT</t>
        </is>
      </c>
      <c r="D1334" s="115" t="inlineStr">
        <is>
          <t>34 FBR 771</t>
        </is>
      </c>
      <c r="E1334" s="115" t="inlineStr">
        <is>
          <t>SALİH YALÇIN</t>
        </is>
      </c>
      <c r="F1334" s="115" t="n">
        <v>356947</v>
      </c>
      <c r="G1334" s="156" t="n"/>
      <c r="H1334" s="152" t="n">
        <v>517</v>
      </c>
      <c r="I1334" s="156" t="n"/>
      <c r="J1334" s="90" t="n"/>
      <c r="K1334" s="166" t="n"/>
      <c r="L1334" s="158">
        <f>+H1334*J1334</f>
        <v/>
      </c>
      <c r="M1334" s="159" t="n"/>
    </row>
    <row r="1335">
      <c r="A1335" s="116" t="n">
        <v>46140</v>
      </c>
      <c r="B1335" s="115" t="n">
        <v>162</v>
      </c>
      <c r="C1335" s="115" t="inlineStr">
        <is>
          <t>SELİM İNŞAAT</t>
        </is>
      </c>
      <c r="D1335" s="115" t="inlineStr">
        <is>
          <t>34 FBR 771</t>
        </is>
      </c>
      <c r="E1335" s="115" t="inlineStr">
        <is>
          <t>SALİH YALÇIN</t>
        </is>
      </c>
      <c r="F1335" s="115" t="n">
        <v>357565</v>
      </c>
      <c r="G1335" s="156" t="n"/>
      <c r="H1335" s="152" t="n">
        <v>477</v>
      </c>
      <c r="I1335" s="156" t="n"/>
      <c r="J1335" s="90" t="n"/>
      <c r="K1335" s="166" t="n"/>
      <c r="L1335" s="158">
        <f>+H1335*J1335</f>
        <v/>
      </c>
      <c r="M1335" s="159" t="n"/>
    </row>
    <row r="1336">
      <c r="A1336" s="116" t="n">
        <v>46142</v>
      </c>
      <c r="B1336" s="115" t="n">
        <v>163</v>
      </c>
      <c r="C1336" s="115" t="inlineStr">
        <is>
          <t>SELİM İNŞAAT</t>
        </is>
      </c>
      <c r="D1336" s="115" t="inlineStr">
        <is>
          <t>34 FBR 771</t>
        </is>
      </c>
      <c r="E1336" s="115" t="inlineStr">
        <is>
          <t>SALİH YALÇIN</t>
        </is>
      </c>
      <c r="F1336" s="115" t="n">
        <v>358120</v>
      </c>
      <c r="G1336" s="156" t="n"/>
      <c r="H1336" s="152" t="n">
        <v>416</v>
      </c>
      <c r="I1336" s="156" t="n"/>
      <c r="J1336" s="90" t="n"/>
      <c r="K1336" s="166" t="n"/>
      <c r="L1336" s="158">
        <f>+H1336*J1336</f>
        <v/>
      </c>
      <c r="M1336" s="159" t="n"/>
    </row>
    <row r="1337">
      <c r="A1337" s="116" t="n">
        <v>46132</v>
      </c>
      <c r="B1337" s="115" t="n">
        <v>3841</v>
      </c>
      <c r="C1337" s="115" t="inlineStr">
        <is>
          <t>SELİM İNŞAAT</t>
        </is>
      </c>
      <c r="D1337" s="115" t="inlineStr">
        <is>
          <t>34 GYZ 635</t>
        </is>
      </c>
      <c r="E1337" s="115" t="inlineStr">
        <is>
          <t>ADEM DENİZ</t>
        </is>
      </c>
      <c r="F1337" s="115" t="n">
        <v>234372</v>
      </c>
      <c r="G1337" s="156" t="n"/>
      <c r="H1337" s="152" t="n">
        <v>510</v>
      </c>
      <c r="I1337" s="156" t="n"/>
      <c r="J1337" s="90" t="n"/>
      <c r="K1337" s="166" t="n"/>
      <c r="L1337" s="158">
        <f>+H1337*J1337</f>
        <v/>
      </c>
      <c r="M1337" s="159" t="n"/>
    </row>
    <row r="1338">
      <c r="A1338" s="116" t="n">
        <v>46136</v>
      </c>
      <c r="B1338" s="115" t="n">
        <v>3842</v>
      </c>
      <c r="C1338" s="115" t="inlineStr">
        <is>
          <t>SELİM İNŞAAT</t>
        </is>
      </c>
      <c r="D1338" s="115" t="inlineStr">
        <is>
          <t>34 GYZ 635</t>
        </is>
      </c>
      <c r="E1338" s="115" t="inlineStr">
        <is>
          <t>ADEM DENİZ</t>
        </is>
      </c>
      <c r="F1338" s="115" t="n">
        <v>235210</v>
      </c>
      <c r="G1338" s="156" t="n"/>
      <c r="H1338" s="152" t="n">
        <v>472</v>
      </c>
      <c r="I1338" s="156" t="n"/>
      <c r="J1338" s="90" t="n"/>
      <c r="K1338" s="166" t="n"/>
      <c r="L1338" s="158">
        <f>+H1338*J1338</f>
        <v/>
      </c>
      <c r="M1338" s="159" t="n"/>
    </row>
    <row r="1339">
      <c r="A1339" s="116" t="n">
        <v>46138</v>
      </c>
      <c r="B1339" s="115" t="n">
        <v>3843</v>
      </c>
      <c r="C1339" s="115" t="inlineStr">
        <is>
          <t>SELİM İNŞAAT</t>
        </is>
      </c>
      <c r="D1339" s="115" t="inlineStr">
        <is>
          <t>34 GYZ 635</t>
        </is>
      </c>
      <c r="E1339" s="115" t="inlineStr">
        <is>
          <t>ADEM DENİZ</t>
        </is>
      </c>
      <c r="F1339" s="115" t="n">
        <v>235936</v>
      </c>
      <c r="G1339" s="156" t="n"/>
      <c r="H1339" s="152" t="n">
        <v>491</v>
      </c>
      <c r="I1339" s="156" t="n"/>
      <c r="J1339" s="90" t="n"/>
      <c r="K1339" s="166" t="n"/>
      <c r="L1339" s="158">
        <f>+H1339*J1339</f>
        <v/>
      </c>
      <c r="M1339" s="159" t="n"/>
    </row>
    <row r="1340">
      <c r="A1340" s="116" t="n">
        <v>46140</v>
      </c>
      <c r="B1340" s="115" t="n">
        <v>3844</v>
      </c>
      <c r="C1340" s="115" t="inlineStr">
        <is>
          <t>SELİM İNŞAAT</t>
        </is>
      </c>
      <c r="D1340" s="115" t="inlineStr">
        <is>
          <t>34 GYZ 635</t>
        </is>
      </c>
      <c r="E1340" s="115" t="inlineStr">
        <is>
          <t>ADEM DENİZ</t>
        </is>
      </c>
      <c r="F1340" s="115" t="n">
        <v>236379</v>
      </c>
      <c r="G1340" s="156" t="n"/>
      <c r="H1340" s="152" t="n">
        <v>372</v>
      </c>
      <c r="I1340" s="156" t="n"/>
      <c r="J1340" s="90" t="n"/>
      <c r="K1340" s="166" t="n"/>
      <c r="L1340" s="158">
        <f>+H1340*J1340</f>
        <v/>
      </c>
      <c r="M1340" s="159" t="n"/>
    </row>
    <row r="1341">
      <c r="A1341" s="116" t="n">
        <v>46142</v>
      </c>
      <c r="B1341" s="115" t="n">
        <v>3845</v>
      </c>
      <c r="C1341" s="115" t="inlineStr">
        <is>
          <t>SELİM İNŞAAT</t>
        </is>
      </c>
      <c r="D1341" s="115" t="inlineStr">
        <is>
          <t>34 GYZ 635</t>
        </is>
      </c>
      <c r="E1341" s="115" t="inlineStr">
        <is>
          <t>ADEM DENİZ</t>
        </is>
      </c>
      <c r="F1341" s="115" t="n">
        <v>236978</v>
      </c>
      <c r="G1341" s="156" t="n"/>
      <c r="H1341" s="152" t="n">
        <v>394</v>
      </c>
      <c r="I1341" s="156" t="n"/>
      <c r="J1341" s="90" t="n"/>
      <c r="K1341" s="166" t="n"/>
      <c r="L1341" s="158">
        <f>+H1341*J1341</f>
        <v/>
      </c>
      <c r="M1341" s="159" t="n"/>
    </row>
    <row r="1342">
      <c r="A1342" s="116" t="n">
        <v>46129</v>
      </c>
      <c r="B1342" s="115" t="n">
        <v>4985</v>
      </c>
      <c r="C1342" s="115" t="inlineStr">
        <is>
          <t>SELİM İNŞAAT</t>
        </is>
      </c>
      <c r="D1342" s="115" t="inlineStr">
        <is>
          <t>34 GVZ 745</t>
        </is>
      </c>
      <c r="E1342" s="115" t="inlineStr">
        <is>
          <t>MURAT DEMİRBAŞ</t>
        </is>
      </c>
      <c r="F1342" s="115" t="n">
        <v>254500</v>
      </c>
      <c r="G1342" s="156" t="n"/>
      <c r="H1342" s="152" t="n">
        <v>436</v>
      </c>
      <c r="I1342" s="156" t="n"/>
      <c r="J1342" s="90" t="n"/>
      <c r="K1342" s="166" t="n"/>
      <c r="L1342" s="158">
        <f>+H1342*J1342</f>
        <v/>
      </c>
      <c r="M1342" s="159" t="n"/>
    </row>
    <row r="1343">
      <c r="A1343" s="116" t="n">
        <v>46130</v>
      </c>
      <c r="B1343" s="115" t="n">
        <v>4986</v>
      </c>
      <c r="C1343" s="115" t="inlineStr">
        <is>
          <t>SELİM İNŞAAT</t>
        </is>
      </c>
      <c r="D1343" s="115" t="inlineStr">
        <is>
          <t>34 GVZ 745</t>
        </is>
      </c>
      <c r="E1343" s="115" t="inlineStr">
        <is>
          <t>MURAT DEMİRBAŞ</t>
        </is>
      </c>
      <c r="F1343" s="115" t="n">
        <v>255013</v>
      </c>
      <c r="G1343" s="156" t="n"/>
      <c r="H1343" s="152" t="n">
        <v>243</v>
      </c>
      <c r="I1343" s="156" t="n"/>
      <c r="J1343" s="90" t="n"/>
      <c r="K1343" s="166" t="n"/>
      <c r="L1343" s="158">
        <f>+H1343*J1343</f>
        <v/>
      </c>
      <c r="M1343" s="159" t="n"/>
    </row>
    <row r="1344">
      <c r="A1344" s="116" t="n">
        <v>46133</v>
      </c>
      <c r="B1344" s="115" t="n">
        <v>4987</v>
      </c>
      <c r="C1344" s="115" t="inlineStr">
        <is>
          <t>SELİM İNŞAAT</t>
        </is>
      </c>
      <c r="D1344" s="115" t="inlineStr">
        <is>
          <t>34 GVZ 745</t>
        </is>
      </c>
      <c r="E1344" s="115" t="inlineStr">
        <is>
          <t>MURAT DEMİRBAŞ</t>
        </is>
      </c>
      <c r="F1344" s="115" t="n">
        <v>255879</v>
      </c>
      <c r="G1344" s="156" t="n"/>
      <c r="H1344" s="152" t="n">
        <v>531</v>
      </c>
      <c r="I1344" s="156" t="n"/>
      <c r="J1344" s="90" t="n"/>
      <c r="K1344" s="166" t="n"/>
      <c r="L1344" s="158">
        <f>+H1344*J1344</f>
        <v/>
      </c>
      <c r="M1344" s="159" t="n"/>
    </row>
    <row r="1345">
      <c r="A1345" s="116" t="n">
        <v>46137</v>
      </c>
      <c r="B1345" s="115" t="n">
        <v>4988</v>
      </c>
      <c r="C1345" s="115" t="inlineStr">
        <is>
          <t>SELİM İNŞAAT</t>
        </is>
      </c>
      <c r="D1345" s="115" t="inlineStr">
        <is>
          <t>34 GVZ 745</t>
        </is>
      </c>
      <c r="E1345" s="115" t="inlineStr">
        <is>
          <t>MURAT DEMİRBAŞ</t>
        </is>
      </c>
      <c r="F1345" s="115" t="n">
        <v>256721</v>
      </c>
      <c r="G1345" s="156" t="n"/>
      <c r="H1345" s="152" t="n">
        <v>517</v>
      </c>
      <c r="I1345" s="156" t="n"/>
      <c r="J1345" s="90" t="n"/>
      <c r="K1345" s="166" t="n"/>
      <c r="L1345" s="158">
        <f>+H1345*J1345</f>
        <v/>
      </c>
      <c r="M1345" s="159" t="n"/>
    </row>
    <row r="1346">
      <c r="A1346" s="116" t="n">
        <v>46140</v>
      </c>
      <c r="B1346" s="115" t="n">
        <v>4989</v>
      </c>
      <c r="C1346" s="115" t="inlineStr">
        <is>
          <t>SELİM İNŞAAT</t>
        </is>
      </c>
      <c r="D1346" s="115" t="inlineStr">
        <is>
          <t>34 GVZ 745</t>
        </is>
      </c>
      <c r="E1346" s="115" t="inlineStr">
        <is>
          <t>MURAT DEMİRBAŞ</t>
        </is>
      </c>
      <c r="F1346" s="115" t="n">
        <v>257182</v>
      </c>
      <c r="G1346" s="156" t="n"/>
      <c r="H1346" s="152" t="n">
        <v>382</v>
      </c>
      <c r="I1346" s="156" t="n"/>
      <c r="J1346" s="90" t="n"/>
      <c r="K1346" s="166" t="n"/>
      <c r="L1346" s="158">
        <f>+H1346*J1346</f>
        <v/>
      </c>
      <c r="M1346" s="159" t="n"/>
    </row>
    <row r="1347">
      <c r="A1347" s="116" t="n">
        <v>46142</v>
      </c>
      <c r="B1347" s="115" t="n">
        <v>4990</v>
      </c>
      <c r="C1347" s="115" t="inlineStr">
        <is>
          <t>SELİM İNŞAAT</t>
        </is>
      </c>
      <c r="D1347" s="115" t="inlineStr">
        <is>
          <t>34 GVZ 745</t>
        </is>
      </c>
      <c r="E1347" s="115" t="inlineStr">
        <is>
          <t>MURAT DEMİRBAŞ</t>
        </is>
      </c>
      <c r="F1347" s="115" t="n">
        <v>257732</v>
      </c>
      <c r="G1347" s="156" t="n"/>
      <c r="H1347" s="152" t="n">
        <v>416</v>
      </c>
      <c r="I1347" s="156" t="n"/>
      <c r="J1347" s="90" t="n"/>
      <c r="K1347" s="166" t="n"/>
      <c r="L1347" s="158">
        <f>+H1347*J1347</f>
        <v/>
      </c>
      <c r="M1347" s="159" t="n"/>
    </row>
    <row r="1348">
      <c r="A1348" s="116" t="n">
        <v>46129</v>
      </c>
      <c r="B1348" s="115" t="n">
        <v>3234</v>
      </c>
      <c r="C1348" s="115" t="inlineStr">
        <is>
          <t>SELİM İNŞAAT</t>
        </is>
      </c>
      <c r="D1348" s="115" t="inlineStr">
        <is>
          <t>34 FBR 736</t>
        </is>
      </c>
      <c r="E1348" s="115" t="inlineStr">
        <is>
          <t>HAKAN ÇAVUŞOĞLU</t>
        </is>
      </c>
      <c r="F1348" s="115" t="n">
        <v>445071</v>
      </c>
      <c r="G1348" s="156" t="n"/>
      <c r="H1348" s="152" t="n">
        <v>400</v>
      </c>
      <c r="I1348" s="156" t="n"/>
      <c r="J1348" s="90" t="n"/>
      <c r="K1348" s="166" t="n"/>
      <c r="L1348" s="158">
        <f>+H1348*J1348</f>
        <v/>
      </c>
      <c r="M1348" s="159" t="n"/>
    </row>
    <row r="1349">
      <c r="A1349" s="116" t="n">
        <v>46130</v>
      </c>
      <c r="B1349" s="115" t="n">
        <v>3235</v>
      </c>
      <c r="C1349" s="115" t="inlineStr">
        <is>
          <t>SELİM İNŞAAT</t>
        </is>
      </c>
      <c r="D1349" s="115" t="inlineStr">
        <is>
          <t>34 FBR 736</t>
        </is>
      </c>
      <c r="E1349" s="115" t="inlineStr">
        <is>
          <t>HAKAN ÇAVUŞOĞLU</t>
        </is>
      </c>
      <c r="F1349" s="115" t="n">
        <v>445424</v>
      </c>
      <c r="G1349" s="156" t="n"/>
      <c r="H1349" s="152" t="n">
        <v>527</v>
      </c>
      <c r="I1349" s="156" t="n"/>
      <c r="J1349" s="90" t="n"/>
      <c r="K1349" s="166" t="n"/>
      <c r="L1349" s="158">
        <f>+H1349*J1349</f>
        <v/>
      </c>
      <c r="M1349" s="159" t="n"/>
    </row>
    <row r="1350">
      <c r="A1350" s="116" t="n">
        <v>46133</v>
      </c>
      <c r="B1350" s="115" t="n">
        <v>3236</v>
      </c>
      <c r="C1350" s="115" t="inlineStr">
        <is>
          <t>SELİM İNŞAAT</t>
        </is>
      </c>
      <c r="D1350" s="115" t="inlineStr">
        <is>
          <t>34 FBR 736</t>
        </is>
      </c>
      <c r="E1350" s="115" t="inlineStr">
        <is>
          <t>HAKAN ÇAVUŞOĞLU</t>
        </is>
      </c>
      <c r="F1350" s="115" t="n">
        <v>446012</v>
      </c>
      <c r="G1350" s="156" t="n"/>
      <c r="H1350" s="152" t="n">
        <v>300</v>
      </c>
      <c r="I1350" s="156" t="n"/>
      <c r="J1350" s="90" t="n"/>
      <c r="K1350" s="166" t="n"/>
      <c r="L1350" s="158">
        <f>+H1350*J1350</f>
        <v/>
      </c>
      <c r="M1350" s="159" t="n"/>
    </row>
    <row r="1351">
      <c r="A1351" s="116" t="n">
        <v>46136</v>
      </c>
      <c r="B1351" s="115" t="n">
        <v>3237</v>
      </c>
      <c r="C1351" s="115" t="inlineStr">
        <is>
          <t>SELİM İNŞAAT</t>
        </is>
      </c>
      <c r="D1351" s="115" t="inlineStr">
        <is>
          <t>34 FBR 736</t>
        </is>
      </c>
      <c r="E1351" s="115" t="inlineStr">
        <is>
          <t>HAKAN ÇAVUŞOĞLU</t>
        </is>
      </c>
      <c r="F1351" s="115" t="n">
        <v>446358</v>
      </c>
      <c r="G1351" s="156" t="n"/>
      <c r="H1351" s="152" t="n">
        <v>426</v>
      </c>
      <c r="I1351" s="156" t="n"/>
      <c r="J1351" s="90" t="n"/>
      <c r="K1351" s="166" t="n"/>
      <c r="L1351" s="158">
        <f>+H1351*J1351</f>
        <v/>
      </c>
      <c r="M1351" s="159" t="n"/>
    </row>
    <row r="1352">
      <c r="A1352" s="116" t="n">
        <v>46137</v>
      </c>
      <c r="B1352" s="115" t="n">
        <v>3238</v>
      </c>
      <c r="C1352" s="115" t="inlineStr">
        <is>
          <t>SELİM İNŞAAT</t>
        </is>
      </c>
      <c r="D1352" s="115" t="inlineStr">
        <is>
          <t>34 FBR 736</t>
        </is>
      </c>
      <c r="E1352" s="115" t="inlineStr">
        <is>
          <t>HAKAN ÇAVUŞOĞLU</t>
        </is>
      </c>
      <c r="F1352" s="115" t="n">
        <v>446938</v>
      </c>
      <c r="G1352" s="156" t="n"/>
      <c r="H1352" s="152" t="n">
        <v>448</v>
      </c>
      <c r="I1352" s="156" t="n"/>
      <c r="J1352" s="90" t="n"/>
      <c r="K1352" s="166" t="n"/>
      <c r="L1352" s="158">
        <f>+H1352*J1352</f>
        <v/>
      </c>
      <c r="M1352" s="159" t="n"/>
    </row>
    <row r="1353">
      <c r="A1353" s="116" t="n">
        <v>46140</v>
      </c>
      <c r="B1353" s="115" t="n">
        <v>3239</v>
      </c>
      <c r="C1353" s="115" t="inlineStr">
        <is>
          <t>SELİM İNŞAAT</t>
        </is>
      </c>
      <c r="D1353" s="115" t="inlineStr">
        <is>
          <t>34 FBR 736</t>
        </is>
      </c>
      <c r="E1353" s="115" t="inlineStr">
        <is>
          <t>HAKAN ÇAVUŞOĞLU</t>
        </is>
      </c>
      <c r="F1353" s="115" t="n">
        <v>447510</v>
      </c>
      <c r="G1353" s="156" t="n"/>
      <c r="H1353" s="152" t="n">
        <v>490</v>
      </c>
      <c r="I1353" s="156" t="n"/>
      <c r="J1353" s="90" t="n"/>
      <c r="K1353" s="166" t="n"/>
      <c r="L1353" s="158">
        <f>+H1353*J1353</f>
        <v/>
      </c>
      <c r="M1353" s="159" t="n"/>
    </row>
    <row r="1354">
      <c r="A1354" s="116" t="n">
        <v>46141</v>
      </c>
      <c r="B1354" s="115" t="n">
        <v>3240</v>
      </c>
      <c r="C1354" s="115" t="inlineStr">
        <is>
          <t>SELİM İNŞAAT</t>
        </is>
      </c>
      <c r="D1354" s="115" t="inlineStr">
        <is>
          <t>34 FBR 736</t>
        </is>
      </c>
      <c r="E1354" s="115" t="inlineStr">
        <is>
          <t>HAKAN ÇAVUŞOĞLU</t>
        </is>
      </c>
      <c r="F1354" s="115" t="n">
        <v>447798</v>
      </c>
      <c r="G1354" s="156" t="n"/>
      <c r="H1354" s="152" t="n">
        <v>253</v>
      </c>
      <c r="I1354" s="156" t="n"/>
      <c r="J1354" s="90" t="n"/>
      <c r="K1354" s="166" t="n"/>
      <c r="L1354" s="158">
        <f>+H1354*J1354</f>
        <v/>
      </c>
      <c r="M1354" s="159" t="n"/>
    </row>
    <row r="1355">
      <c r="A1355" s="116" t="n">
        <v>46132</v>
      </c>
      <c r="B1355" s="115" t="n">
        <v>1753</v>
      </c>
      <c r="C1355" s="115" t="inlineStr">
        <is>
          <t>SELİM İNŞAAT</t>
        </is>
      </c>
      <c r="D1355" s="115" t="inlineStr">
        <is>
          <t>34 EDC 086</t>
        </is>
      </c>
      <c r="E1355" s="115" t="inlineStr">
        <is>
          <t>ZİYA İNCE</t>
        </is>
      </c>
      <c r="F1355" s="115" t="n">
        <v>381394</v>
      </c>
      <c r="G1355" s="156" t="n"/>
      <c r="H1355" s="152" t="n">
        <v>503</v>
      </c>
      <c r="I1355" s="156" t="n"/>
      <c r="J1355" s="90" t="n"/>
      <c r="K1355" s="166" t="n"/>
      <c r="L1355" s="158">
        <f>+H1355*J1355</f>
        <v/>
      </c>
      <c r="M1355" s="159" t="n"/>
    </row>
    <row r="1356">
      <c r="A1356" s="116" t="n">
        <v>46136</v>
      </c>
      <c r="B1356" s="115" t="n">
        <v>1754</v>
      </c>
      <c r="C1356" s="115" t="inlineStr">
        <is>
          <t>SELİM İNŞAAT</t>
        </is>
      </c>
      <c r="D1356" s="115" t="inlineStr">
        <is>
          <t>34 EDC 086</t>
        </is>
      </c>
      <c r="E1356" s="115" t="inlineStr">
        <is>
          <t>ZİYA İNCE</t>
        </is>
      </c>
      <c r="F1356" s="115" t="n">
        <v>382303</v>
      </c>
      <c r="G1356" s="156" t="n"/>
      <c r="H1356" s="152" t="n">
        <v>537</v>
      </c>
      <c r="I1356" s="156" t="n"/>
      <c r="J1356" s="90" t="n"/>
      <c r="K1356" s="166" t="n"/>
      <c r="L1356" s="158">
        <f>+H1356*J1356</f>
        <v/>
      </c>
      <c r="M1356" s="159" t="n"/>
    </row>
    <row r="1357">
      <c r="A1357" s="116" t="n">
        <v>46139</v>
      </c>
      <c r="B1357" s="115" t="n">
        <v>1755</v>
      </c>
      <c r="C1357" s="115" t="inlineStr">
        <is>
          <t>SELİM İNŞAAT</t>
        </is>
      </c>
      <c r="D1357" s="115" t="inlineStr">
        <is>
          <t>34 EDC 086</t>
        </is>
      </c>
      <c r="E1357" s="115" t="inlineStr">
        <is>
          <t>ZİYA İNCE</t>
        </is>
      </c>
      <c r="F1357" s="115" t="n">
        <v>382986</v>
      </c>
      <c r="G1357" s="156" t="n"/>
      <c r="H1357" s="152" t="n">
        <v>464</v>
      </c>
      <c r="I1357" s="156" t="n"/>
      <c r="J1357" s="90" t="n"/>
      <c r="K1357" s="166" t="n"/>
      <c r="L1357" s="158">
        <f>+H1357*J1357</f>
        <v/>
      </c>
      <c r="M1357" s="159" t="n"/>
    </row>
    <row r="1358">
      <c r="A1358" s="116" t="n">
        <v>46141</v>
      </c>
      <c r="B1358" s="115" t="n">
        <v>1756</v>
      </c>
      <c r="C1358" s="115" t="inlineStr">
        <is>
          <t>SELİM İNŞAAT</t>
        </is>
      </c>
      <c r="D1358" s="115" t="inlineStr">
        <is>
          <t>34 EDC 086</t>
        </is>
      </c>
      <c r="E1358" s="115" t="inlineStr">
        <is>
          <t>ZİYA İNCE</t>
        </is>
      </c>
      <c r="F1358" s="115" t="n">
        <v>383583</v>
      </c>
      <c r="G1358" s="156" t="n"/>
      <c r="H1358" s="152" t="n">
        <v>410</v>
      </c>
      <c r="I1358" s="156" t="n"/>
      <c r="J1358" s="90" t="n"/>
      <c r="K1358" s="166" t="n"/>
      <c r="L1358" s="158">
        <f>+H1358*J1358</f>
        <v/>
      </c>
      <c r="M1358" s="159" t="n"/>
    </row>
    <row r="1359">
      <c r="A1359" s="116" t="n">
        <v>46130</v>
      </c>
      <c r="B1359" s="115" t="n">
        <v>4938</v>
      </c>
      <c r="C1359" s="115" t="inlineStr">
        <is>
          <t>SELİM İNŞAAT</t>
        </is>
      </c>
      <c r="D1359" s="115" t="inlineStr">
        <is>
          <t>34 FBR 742</t>
        </is>
      </c>
      <c r="E1359" s="115" t="inlineStr">
        <is>
          <t>ADNAN KOÇ</t>
        </is>
      </c>
      <c r="F1359" s="115" t="n">
        <v>372354</v>
      </c>
      <c r="G1359" s="156" t="n"/>
      <c r="H1359" s="152" t="n">
        <v>393</v>
      </c>
      <c r="I1359" s="156" t="n"/>
      <c r="J1359" s="90" t="n"/>
      <c r="K1359" s="166" t="n"/>
      <c r="L1359" s="158">
        <f>+H1359*J1359</f>
        <v/>
      </c>
      <c r="M1359" s="159" t="n"/>
    </row>
    <row r="1360">
      <c r="A1360" s="116" t="n">
        <v>46132</v>
      </c>
      <c r="B1360" s="115" t="n">
        <v>4939</v>
      </c>
      <c r="C1360" s="115" t="inlineStr">
        <is>
          <t>SELİM İNŞAAT</t>
        </is>
      </c>
      <c r="D1360" s="115" t="inlineStr">
        <is>
          <t>34 FBR 742</t>
        </is>
      </c>
      <c r="E1360" s="115" t="inlineStr">
        <is>
          <t>ADNAN KOÇ</t>
        </is>
      </c>
      <c r="F1360" s="115" t="n">
        <v>372702</v>
      </c>
      <c r="G1360" s="156" t="n"/>
      <c r="H1360" s="152" t="n">
        <v>306</v>
      </c>
      <c r="I1360" s="156" t="n"/>
      <c r="J1360" s="90" t="n"/>
      <c r="K1360" s="166" t="n"/>
      <c r="L1360" s="158">
        <f>+H1360*J1360</f>
        <v/>
      </c>
      <c r="M1360" s="159" t="n"/>
    </row>
    <row r="1361">
      <c r="A1361" s="116" t="n">
        <v>46136</v>
      </c>
      <c r="B1361" s="115" t="n">
        <v>4940</v>
      </c>
      <c r="C1361" s="115" t="inlineStr">
        <is>
          <t>SELİM İNŞAAT</t>
        </is>
      </c>
      <c r="D1361" s="115" t="inlineStr">
        <is>
          <t>34 FBR 742</t>
        </is>
      </c>
      <c r="E1361" s="115" t="inlineStr">
        <is>
          <t>ADNAN KOÇ</t>
        </is>
      </c>
      <c r="F1361" s="115" t="n">
        <v>373282</v>
      </c>
      <c r="G1361" s="156" t="n"/>
      <c r="H1361" s="152" t="n">
        <v>395</v>
      </c>
      <c r="I1361" s="156" t="n"/>
      <c r="J1361" s="90" t="n"/>
      <c r="K1361" s="166" t="n"/>
      <c r="L1361" s="158">
        <f>+H1361*J1361</f>
        <v/>
      </c>
      <c r="M1361" s="159" t="n"/>
    </row>
    <row r="1362">
      <c r="A1362" s="116" t="n">
        <v>46137</v>
      </c>
      <c r="B1362" s="115" t="n">
        <v>4941</v>
      </c>
      <c r="C1362" s="115" t="inlineStr">
        <is>
          <t>SELİM İNŞAAT</t>
        </is>
      </c>
      <c r="D1362" s="115" t="inlineStr">
        <is>
          <t>34 FBR 742</t>
        </is>
      </c>
      <c r="E1362" s="115" t="inlineStr">
        <is>
          <t>ADNAN KOÇ</t>
        </is>
      </c>
      <c r="F1362" s="115" t="n">
        <v>373710</v>
      </c>
      <c r="G1362" s="156" t="n"/>
      <c r="H1362" s="152" t="n">
        <v>300</v>
      </c>
      <c r="I1362" s="156" t="n"/>
      <c r="J1362" s="90" t="n"/>
      <c r="K1362" s="166" t="n"/>
      <c r="L1362" s="158">
        <f>+H1362*J1362</f>
        <v/>
      </c>
      <c r="M1362" s="159" t="n"/>
    </row>
    <row r="1363">
      <c r="A1363" s="116" t="n">
        <v>46139</v>
      </c>
      <c r="B1363" s="115" t="n">
        <v>4942</v>
      </c>
      <c r="C1363" s="115" t="inlineStr">
        <is>
          <t>SELİM İNŞAAT</t>
        </is>
      </c>
      <c r="D1363" s="115" t="inlineStr">
        <is>
          <t>34 FBR 742</t>
        </is>
      </c>
      <c r="E1363" s="115" t="inlineStr">
        <is>
          <t>ADNAN KOÇ</t>
        </is>
      </c>
      <c r="F1363" s="115" t="n">
        <v>373998</v>
      </c>
      <c r="G1363" s="156" t="n"/>
      <c r="H1363" s="152" t="n">
        <v>279</v>
      </c>
      <c r="I1363" s="156" t="n"/>
      <c r="J1363" s="90" t="n"/>
      <c r="K1363" s="166" t="n"/>
      <c r="L1363" s="158">
        <f>+H1363*J1363</f>
        <v/>
      </c>
      <c r="M1363" s="159" t="n"/>
    </row>
    <row r="1364">
      <c r="A1364" s="116" t="n">
        <v>46141</v>
      </c>
      <c r="B1364" s="115" t="n">
        <v>4943</v>
      </c>
      <c r="C1364" s="115" t="inlineStr">
        <is>
          <t>SELİM İNŞAAT</t>
        </is>
      </c>
      <c r="D1364" s="115" t="inlineStr">
        <is>
          <t>34 FBR 742</t>
        </is>
      </c>
      <c r="E1364" s="115" t="inlineStr">
        <is>
          <t>ADNAN KOÇ</t>
        </is>
      </c>
      <c r="F1364" s="115" t="n">
        <v>374576</v>
      </c>
      <c r="G1364" s="156" t="n"/>
      <c r="H1364" s="152" t="n">
        <v>424</v>
      </c>
      <c r="I1364" s="156" t="n"/>
      <c r="J1364" s="90" t="n"/>
      <c r="K1364" s="166" t="n"/>
      <c r="L1364" s="158">
        <f>+H1364*J1364</f>
        <v/>
      </c>
      <c r="M1364" s="159" t="n"/>
    </row>
    <row r="1365">
      <c r="A1365" s="116" t="n">
        <v>46129</v>
      </c>
      <c r="B1365" s="115" t="n">
        <v>23</v>
      </c>
      <c r="C1365" s="115" t="inlineStr">
        <is>
          <t>SELİM İNŞAAT</t>
        </is>
      </c>
      <c r="D1365" s="115" t="inlineStr">
        <is>
          <t>34 GVZ 268</t>
        </is>
      </c>
      <c r="E1365" s="115" t="inlineStr">
        <is>
          <t>KERİM KARAMAN</t>
        </is>
      </c>
      <c r="F1365" s="115" t="n">
        <v>257482</v>
      </c>
      <c r="G1365" s="156" t="n"/>
      <c r="H1365" s="152" t="n">
        <v>417</v>
      </c>
      <c r="I1365" s="156" t="n"/>
      <c r="J1365" s="90" t="n"/>
      <c r="K1365" s="166" t="n"/>
      <c r="L1365" s="158">
        <f>+H1365*J1365</f>
        <v/>
      </c>
      <c r="M1365" s="159" t="n"/>
    </row>
    <row r="1366">
      <c r="A1366" s="116" t="n">
        <v>46132</v>
      </c>
      <c r="B1366" s="115" t="n">
        <v>24</v>
      </c>
      <c r="C1366" s="115" t="inlineStr">
        <is>
          <t>SELİM İNŞAAT</t>
        </is>
      </c>
      <c r="D1366" s="115" t="inlineStr">
        <is>
          <t>34 GVZ 268</t>
        </is>
      </c>
      <c r="E1366" s="115" t="inlineStr">
        <is>
          <t>KERİM KARAMAN</t>
        </is>
      </c>
      <c r="F1366" s="115" t="n">
        <v>258342</v>
      </c>
      <c r="G1366" s="156" t="n"/>
      <c r="H1366" s="152" t="n">
        <v>522</v>
      </c>
      <c r="I1366" s="156" t="n"/>
      <c r="J1366" s="90" t="n"/>
      <c r="K1366" s="166" t="n"/>
      <c r="L1366" s="158">
        <f>+H1366*J1366</f>
        <v/>
      </c>
      <c r="M1366" s="159" t="n"/>
    </row>
    <row r="1367">
      <c r="A1367" s="116" t="n">
        <v>46136</v>
      </c>
      <c r="B1367" s="115" t="n">
        <v>25</v>
      </c>
      <c r="C1367" s="115" t="inlineStr">
        <is>
          <t>SELİM İNŞAAT</t>
        </is>
      </c>
      <c r="D1367" s="115" t="inlineStr">
        <is>
          <t>34 GVZ 268</t>
        </is>
      </c>
      <c r="E1367" s="115" t="inlineStr">
        <is>
          <t>KERİM KARAMAN</t>
        </is>
      </c>
      <c r="F1367" s="115" t="n">
        <v>259070</v>
      </c>
      <c r="G1367" s="156" t="n"/>
      <c r="H1367" s="152" t="n">
        <v>474</v>
      </c>
      <c r="I1367" s="156" t="n"/>
      <c r="J1367" s="90" t="n"/>
      <c r="K1367" s="166" t="n"/>
      <c r="L1367" s="158">
        <f>+H1367*J1367</f>
        <v/>
      </c>
      <c r="M1367" s="159" t="n"/>
    </row>
    <row r="1368">
      <c r="A1368" s="116" t="n">
        <v>46139</v>
      </c>
      <c r="B1368" s="115" t="n">
        <v>26</v>
      </c>
      <c r="C1368" s="115" t="inlineStr">
        <is>
          <t>SELİM İNŞAAT</t>
        </is>
      </c>
      <c r="D1368" s="115" t="inlineStr">
        <is>
          <t>34 GVZ 268</t>
        </is>
      </c>
      <c r="E1368" s="115" t="inlineStr">
        <is>
          <t>KERİM KARAMAN</t>
        </is>
      </c>
      <c r="F1368" s="115" t="n">
        <v>259720</v>
      </c>
      <c r="G1368" s="156" t="n"/>
      <c r="H1368" s="152" t="n">
        <v>447</v>
      </c>
      <c r="I1368" s="156" t="n"/>
      <c r="J1368" s="90" t="n"/>
      <c r="K1368" s="166" t="n"/>
      <c r="L1368" s="158">
        <f>+H1368*J1368</f>
        <v/>
      </c>
      <c r="M1368" s="159" t="n"/>
    </row>
    <row r="1369">
      <c r="A1369" s="116" t="n">
        <v>46129</v>
      </c>
      <c r="B1369" s="115" t="n">
        <v>4887</v>
      </c>
      <c r="C1369" s="115" t="inlineStr">
        <is>
          <t>SELİM İNŞAAT</t>
        </is>
      </c>
      <c r="D1369" s="115" t="inlineStr">
        <is>
          <t>34 FBR 705</t>
        </is>
      </c>
      <c r="E1369" s="115" t="inlineStr">
        <is>
          <t>MURAT SARI</t>
        </is>
      </c>
      <c r="F1369" s="115" t="n">
        <v>367828</v>
      </c>
      <c r="G1369" s="156" t="n"/>
      <c r="H1369" s="152" t="n">
        <v>512</v>
      </c>
      <c r="I1369" s="156" t="n"/>
      <c r="J1369" s="90" t="n"/>
      <c r="K1369" s="166" t="n"/>
      <c r="L1369" s="158">
        <f>+H1369*J1369</f>
        <v/>
      </c>
      <c r="M1369" s="159" t="n"/>
    </row>
    <row r="1370">
      <c r="A1370" s="116" t="n">
        <v>46131</v>
      </c>
      <c r="B1370" s="115" t="n">
        <v>4888</v>
      </c>
      <c r="C1370" s="115" t="inlineStr">
        <is>
          <t>SELİM İNŞAAT</t>
        </is>
      </c>
      <c r="D1370" s="115" t="inlineStr">
        <is>
          <t>34 FBR 705</t>
        </is>
      </c>
      <c r="E1370" s="115" t="inlineStr">
        <is>
          <t>MURAT SARI</t>
        </is>
      </c>
      <c r="F1370" s="115" t="n">
        <v>368346</v>
      </c>
      <c r="G1370" s="156" t="n"/>
      <c r="H1370" s="152" t="n">
        <v>401</v>
      </c>
      <c r="I1370" s="156" t="n"/>
      <c r="J1370" s="90" t="n"/>
      <c r="K1370" s="166" t="n"/>
      <c r="L1370" s="158">
        <f>+H1370*J1370</f>
        <v/>
      </c>
      <c r="M1370" s="159" t="n"/>
    </row>
    <row r="1371">
      <c r="A1371" s="116" t="n">
        <v>46133</v>
      </c>
      <c r="B1371" s="115" t="n">
        <v>4889</v>
      </c>
      <c r="C1371" s="115" t="inlineStr">
        <is>
          <t>SELİM İNŞAAT</t>
        </is>
      </c>
      <c r="D1371" s="115" t="inlineStr">
        <is>
          <t>34 FBR 705</t>
        </is>
      </c>
      <c r="E1371" s="115" t="inlineStr">
        <is>
          <t>MURAT SARI</t>
        </is>
      </c>
      <c r="F1371" s="115" t="n">
        <v>368820</v>
      </c>
      <c r="G1371" s="156" t="n"/>
      <c r="H1371" s="152" t="n">
        <v>348</v>
      </c>
      <c r="I1371" s="156" t="n"/>
      <c r="J1371" s="90" t="n"/>
      <c r="K1371" s="166" t="n"/>
      <c r="L1371" s="158">
        <f>+H1371*J1371</f>
        <v/>
      </c>
      <c r="M1371" s="159" t="n"/>
    </row>
    <row r="1372">
      <c r="A1372" s="116" t="n">
        <v>46134</v>
      </c>
      <c r="B1372" s="115" t="n">
        <v>4890</v>
      </c>
      <c r="C1372" s="115" t="inlineStr">
        <is>
          <t>SELİM İNŞAAT</t>
        </is>
      </c>
      <c r="D1372" s="115" t="inlineStr">
        <is>
          <t>34 FBR 705</t>
        </is>
      </c>
      <c r="E1372" s="115" t="inlineStr">
        <is>
          <t>MURAT SARI</t>
        </is>
      </c>
      <c r="F1372" s="115" t="n">
        <v>369201</v>
      </c>
      <c r="G1372" s="156" t="n"/>
      <c r="H1372" s="152" t="n">
        <v>320</v>
      </c>
      <c r="I1372" s="156" t="n"/>
      <c r="J1372" s="90" t="n"/>
      <c r="K1372" s="166" t="n"/>
      <c r="L1372" s="158">
        <f>+H1372*J1372</f>
        <v/>
      </c>
      <c r="M1372" s="159" t="n"/>
    </row>
    <row r="1373">
      <c r="A1373" s="116" t="n">
        <v>46137</v>
      </c>
      <c r="B1373" s="115" t="n">
        <v>4891</v>
      </c>
      <c r="C1373" s="115" t="inlineStr">
        <is>
          <t>SELİM İNŞAAT</t>
        </is>
      </c>
      <c r="D1373" s="115" t="inlineStr">
        <is>
          <t>34 FBR 705</t>
        </is>
      </c>
      <c r="E1373" s="115" t="inlineStr">
        <is>
          <t>MURAT SARI</t>
        </is>
      </c>
      <c r="F1373" s="115" t="n">
        <v>369830</v>
      </c>
      <c r="G1373" s="156" t="n"/>
      <c r="H1373" s="152" t="n">
        <v>441</v>
      </c>
      <c r="I1373" s="156" t="n"/>
      <c r="J1373" s="90" t="n"/>
      <c r="K1373" s="166" t="n"/>
      <c r="L1373" s="158">
        <f>+H1373*J1373</f>
        <v/>
      </c>
      <c r="M1373" s="159" t="n"/>
    </row>
    <row r="1374">
      <c r="A1374" s="116" t="n">
        <v>46139</v>
      </c>
      <c r="B1374" s="115" t="n">
        <v>4892</v>
      </c>
      <c r="C1374" s="115" t="inlineStr">
        <is>
          <t>SELİM İNŞAAT</t>
        </is>
      </c>
      <c r="D1374" s="115" t="inlineStr">
        <is>
          <t>34 FBR 705</t>
        </is>
      </c>
      <c r="E1374" s="115" t="inlineStr">
        <is>
          <t>MURAT SARI</t>
        </is>
      </c>
      <c r="F1374" s="115" t="n">
        <v>370093</v>
      </c>
      <c r="G1374" s="156" t="n"/>
      <c r="H1374" s="152" t="n">
        <v>285</v>
      </c>
      <c r="I1374" s="156" t="n"/>
      <c r="J1374" s="90" t="n"/>
      <c r="K1374" s="166" t="n"/>
      <c r="L1374" s="158">
        <f>+H1374*J1374</f>
        <v/>
      </c>
      <c r="M1374" s="159" t="n"/>
    </row>
    <row r="1375">
      <c r="A1375" s="116" t="n">
        <v>46141</v>
      </c>
      <c r="B1375" s="115" t="n">
        <v>4893</v>
      </c>
      <c r="C1375" s="115" t="inlineStr">
        <is>
          <t>SELİM İNŞAAT</t>
        </is>
      </c>
      <c r="D1375" s="115" t="inlineStr">
        <is>
          <t>34 FBR 705</t>
        </is>
      </c>
      <c r="E1375" s="115" t="inlineStr">
        <is>
          <t>MURAT SARI</t>
        </is>
      </c>
      <c r="F1375" s="115" t="n">
        <v>370650</v>
      </c>
      <c r="G1375" s="156" t="n"/>
      <c r="H1375" s="152" t="n">
        <v>438</v>
      </c>
      <c r="I1375" s="156" t="n"/>
      <c r="J1375" s="90" t="n"/>
      <c r="K1375" s="166" t="n"/>
      <c r="L1375" s="158">
        <f>+H1375*J1375</f>
        <v/>
      </c>
      <c r="M1375" s="159" t="n"/>
    </row>
    <row r="1376">
      <c r="A1376" s="116" t="n">
        <v>46132</v>
      </c>
      <c r="B1376" s="115" t="n">
        <v>3342</v>
      </c>
      <c r="C1376" s="115" t="inlineStr">
        <is>
          <t>SELİM İNŞAAT</t>
        </is>
      </c>
      <c r="D1376" s="115" t="inlineStr">
        <is>
          <t>34 GUS 938</t>
        </is>
      </c>
      <c r="E1376" s="115" t="inlineStr">
        <is>
          <t>MEHMET KAYA</t>
        </is>
      </c>
      <c r="F1376" s="115" t="n">
        <v>254183</v>
      </c>
      <c r="G1376" s="156" t="n"/>
      <c r="H1376" s="152" t="n">
        <v>481</v>
      </c>
      <c r="I1376" s="156" t="n"/>
      <c r="J1376" s="90" t="n"/>
      <c r="K1376" s="166" t="n"/>
      <c r="L1376" s="158">
        <f>+H1376*J1376</f>
        <v/>
      </c>
      <c r="M1376" s="159" t="n"/>
    </row>
    <row r="1377">
      <c r="A1377" s="116" t="n">
        <v>46134</v>
      </c>
      <c r="B1377" s="115" t="n">
        <v>3343</v>
      </c>
      <c r="C1377" s="115" t="inlineStr">
        <is>
          <t>SELİM İNŞAAT</t>
        </is>
      </c>
      <c r="D1377" s="115" t="inlineStr">
        <is>
          <t>34 GUS 938</t>
        </is>
      </c>
      <c r="E1377" s="115" t="inlineStr">
        <is>
          <t>MEHMET KAYA</t>
        </is>
      </c>
      <c r="F1377" s="115" t="n">
        <v>254554</v>
      </c>
      <c r="G1377" s="156" t="n"/>
      <c r="H1377" s="152" t="n">
        <v>264</v>
      </c>
      <c r="I1377" s="156" t="n"/>
      <c r="J1377" s="90" t="n"/>
      <c r="K1377" s="166" t="n"/>
      <c r="L1377" s="158">
        <f>+H1377*J1377</f>
        <v/>
      </c>
      <c r="M1377" s="159" t="n"/>
    </row>
    <row r="1378">
      <c r="A1378" s="116" t="n">
        <v>46137</v>
      </c>
      <c r="B1378" s="115" t="n">
        <v>3344</v>
      </c>
      <c r="C1378" s="115" t="inlineStr">
        <is>
          <t>SELİM İNŞAAT</t>
        </is>
      </c>
      <c r="D1378" s="115" t="inlineStr">
        <is>
          <t>34 GUS 938</t>
        </is>
      </c>
      <c r="E1378" s="115" t="inlineStr">
        <is>
          <t>MEHMET KAYA</t>
        </is>
      </c>
      <c r="F1378" s="115" t="n">
        <v>255223</v>
      </c>
      <c r="G1378" s="156" t="n"/>
      <c r="H1378" s="152" t="n">
        <v>460</v>
      </c>
      <c r="I1378" s="156" t="n"/>
      <c r="J1378" s="90" t="n"/>
      <c r="K1378" s="166" t="n"/>
      <c r="L1378" s="158">
        <f>+H1378*J1378</f>
        <v/>
      </c>
      <c r="M1378" s="159" t="n"/>
    </row>
    <row r="1379">
      <c r="A1379" s="116" t="n">
        <v>46141</v>
      </c>
      <c r="B1379" s="115" t="n">
        <v>3345</v>
      </c>
      <c r="C1379" s="115" t="inlineStr">
        <is>
          <t>SELİM İNŞAAT</t>
        </is>
      </c>
      <c r="D1379" s="115" t="inlineStr">
        <is>
          <t>34 GUS 938</t>
        </is>
      </c>
      <c r="E1379" s="115" t="inlineStr">
        <is>
          <t>MEHMET KAYA</t>
        </is>
      </c>
      <c r="F1379" s="115" t="n">
        <v>255843</v>
      </c>
      <c r="G1379" s="156" t="n"/>
      <c r="H1379" s="152" t="n">
        <v>445</v>
      </c>
      <c r="I1379" s="156" t="n"/>
      <c r="J1379" s="90" t="n"/>
      <c r="K1379" s="166" t="n"/>
      <c r="L1379" s="158">
        <f>+H1379*J1379</f>
        <v/>
      </c>
      <c r="M1379" s="159" t="n"/>
    </row>
    <row r="1380">
      <c r="A1380" s="116" t="n">
        <v>46129</v>
      </c>
      <c r="B1380" s="115" t="n">
        <v>3437</v>
      </c>
      <c r="C1380" s="115" t="inlineStr">
        <is>
          <t>SELİM İNŞAAT</t>
        </is>
      </c>
      <c r="D1380" s="115" t="inlineStr">
        <is>
          <t>34 GVZ 310</t>
        </is>
      </c>
      <c r="E1380" s="115" t="inlineStr">
        <is>
          <t>CELAL YÜZBAŞI</t>
        </is>
      </c>
      <c r="F1380" s="115" t="n">
        <v>253386</v>
      </c>
      <c r="G1380" s="156" t="n"/>
      <c r="H1380" s="152" t="n">
        <v>435</v>
      </c>
      <c r="I1380" s="156" t="n"/>
      <c r="J1380" s="90" t="n"/>
      <c r="K1380" s="166" t="n"/>
      <c r="L1380" s="158">
        <f>+H1380*J1380</f>
        <v/>
      </c>
      <c r="M1380" s="159" t="n"/>
    </row>
    <row r="1381">
      <c r="A1381" s="116" t="n">
        <v>46132</v>
      </c>
      <c r="B1381" s="115" t="n">
        <v>3438</v>
      </c>
      <c r="C1381" s="115" t="inlineStr">
        <is>
          <t>SELİM İNŞAAT</t>
        </is>
      </c>
      <c r="D1381" s="115" t="inlineStr">
        <is>
          <t>34 GVZ 310</t>
        </is>
      </c>
      <c r="E1381" s="115" t="inlineStr">
        <is>
          <t>CELAL YÜZBAŞI</t>
        </is>
      </c>
      <c r="F1381" s="115" t="n">
        <v>254135</v>
      </c>
      <c r="G1381" s="156" t="n"/>
      <c r="H1381" s="152" t="n">
        <v>240</v>
      </c>
      <c r="I1381" s="156" t="n"/>
      <c r="J1381" s="90" t="n"/>
      <c r="K1381" s="166" t="n"/>
      <c r="L1381" s="158">
        <f>+H1381*J1381</f>
        <v/>
      </c>
      <c r="M1381" s="159" t="n"/>
    </row>
    <row r="1382">
      <c r="A1382" s="116" t="n">
        <v>46136</v>
      </c>
      <c r="B1382" s="115" t="n">
        <v>3439</v>
      </c>
      <c r="C1382" s="115" t="inlineStr">
        <is>
          <t>SELİM İNŞAAT</t>
        </is>
      </c>
      <c r="D1382" s="115" t="inlineStr">
        <is>
          <t>34 GVZ 310</t>
        </is>
      </c>
      <c r="E1382" s="115" t="inlineStr">
        <is>
          <t>CELAL YÜZBAŞI</t>
        </is>
      </c>
      <c r="F1382" s="115" t="n">
        <v>254896</v>
      </c>
      <c r="G1382" s="156" t="n"/>
      <c r="H1382" s="152" t="n">
        <v>400</v>
      </c>
      <c r="I1382" s="156" t="n"/>
      <c r="J1382" s="90" t="n"/>
      <c r="K1382" s="166" t="n"/>
      <c r="L1382" s="158">
        <f>+H1382*J1382</f>
        <v/>
      </c>
      <c r="M1382" s="159" t="n"/>
    </row>
    <row r="1383">
      <c r="A1383" s="116" t="n">
        <v>46129</v>
      </c>
      <c r="B1383" s="115" t="n">
        <v>3498</v>
      </c>
      <c r="C1383" s="115" t="inlineStr">
        <is>
          <t>SELİM İNŞAAT</t>
        </is>
      </c>
      <c r="D1383" s="115" t="inlineStr">
        <is>
          <t>34 EDB 754</t>
        </is>
      </c>
      <c r="E1383" s="115" t="inlineStr">
        <is>
          <t>SELÇUK BASTIK</t>
        </is>
      </c>
      <c r="F1383" s="115" t="n">
        <v>377743</v>
      </c>
      <c r="G1383" s="156" t="n"/>
      <c r="H1383" s="152" t="n">
        <v>462</v>
      </c>
      <c r="I1383" s="156" t="n"/>
      <c r="J1383" s="90" t="n"/>
      <c r="K1383" s="166" t="n"/>
      <c r="L1383" s="158">
        <f>+H1383*J1383</f>
        <v/>
      </c>
      <c r="M1383" s="159" t="n"/>
    </row>
    <row r="1384">
      <c r="A1384" s="116" t="n">
        <v>46130</v>
      </c>
      <c r="B1384" s="115" t="n">
        <v>3499</v>
      </c>
      <c r="C1384" s="115" t="inlineStr">
        <is>
          <t>SELİM İNŞAAT</t>
        </is>
      </c>
      <c r="D1384" s="115" t="inlineStr">
        <is>
          <t>34 EDB 754</t>
        </is>
      </c>
      <c r="E1384" s="115" t="inlineStr">
        <is>
          <t>SELÇUK BASTIK</t>
        </is>
      </c>
      <c r="F1384" s="115" t="n">
        <v>378256</v>
      </c>
      <c r="G1384" s="156" t="n"/>
      <c r="H1384" s="152" t="n">
        <v>355</v>
      </c>
      <c r="I1384" s="156" t="n"/>
      <c r="J1384" s="90" t="n"/>
      <c r="K1384" s="166" t="n"/>
      <c r="L1384" s="158">
        <f>+H1384*J1384</f>
        <v/>
      </c>
      <c r="M1384" s="159" t="n"/>
    </row>
    <row r="1385">
      <c r="A1385" s="116" t="n">
        <v>46133</v>
      </c>
      <c r="B1385" s="115" t="n">
        <v>3500</v>
      </c>
      <c r="C1385" s="115" t="inlineStr">
        <is>
          <t>SELİM İNŞAAT</t>
        </is>
      </c>
      <c r="D1385" s="115" t="inlineStr">
        <is>
          <t>34 EDB 754</t>
        </is>
      </c>
      <c r="E1385" s="115" t="inlineStr">
        <is>
          <t>SELÇUK BASTIK</t>
        </is>
      </c>
      <c r="F1385" s="115" t="n">
        <v>379117</v>
      </c>
      <c r="G1385" s="156" t="n"/>
      <c r="H1385" s="152" t="n">
        <v>510</v>
      </c>
      <c r="I1385" s="156" t="n"/>
      <c r="J1385" s="90" t="n"/>
      <c r="K1385" s="166" t="n"/>
      <c r="L1385" s="158">
        <f>+H1385*J1385</f>
        <v/>
      </c>
      <c r="M1385" s="159" t="n"/>
    </row>
    <row r="1386">
      <c r="A1386" s="116" t="n">
        <v>46129</v>
      </c>
      <c r="B1386" s="115" t="n">
        <v>4524</v>
      </c>
      <c r="C1386" s="115" t="inlineStr">
        <is>
          <t>SELİM İNŞAAT</t>
        </is>
      </c>
      <c r="D1386" s="115" t="inlineStr">
        <is>
          <t>34 DTV 352</t>
        </is>
      </c>
      <c r="E1386" s="115" t="inlineStr">
        <is>
          <t>AZİZ ORUÇ</t>
        </is>
      </c>
      <c r="F1386" s="115" t="n">
        <v>482095</v>
      </c>
      <c r="G1386" s="156" t="n"/>
      <c r="H1386" s="152" t="n">
        <v>541</v>
      </c>
      <c r="I1386" s="156" t="n"/>
      <c r="J1386" s="90" t="n"/>
      <c r="K1386" s="166" t="n"/>
      <c r="L1386" s="158">
        <f>+H1386*J1386</f>
        <v/>
      </c>
      <c r="M1386" s="159" t="n"/>
    </row>
    <row r="1387">
      <c r="A1387" s="116" t="n">
        <v>46139</v>
      </c>
      <c r="B1387" s="115" t="n">
        <v>425</v>
      </c>
      <c r="C1387" s="115" t="inlineStr">
        <is>
          <t>SELİM İNŞAAT</t>
        </is>
      </c>
      <c r="D1387" s="115" t="inlineStr">
        <is>
          <t>34 DTV 352</t>
        </is>
      </c>
      <c r="E1387" s="115" t="inlineStr">
        <is>
          <t>AZİZ ORUÇ</t>
        </is>
      </c>
      <c r="F1387" s="115" t="n">
        <v>482792</v>
      </c>
      <c r="G1387" s="156" t="n"/>
      <c r="H1387" s="152" t="n">
        <v>483</v>
      </c>
      <c r="I1387" s="156" t="n"/>
      <c r="J1387" s="90" t="n"/>
      <c r="K1387" s="166" t="n"/>
      <c r="L1387" s="158">
        <f>+H1387*J1387</f>
        <v/>
      </c>
      <c r="M1387" s="159" t="n"/>
    </row>
    <row r="1388">
      <c r="A1388" s="116" t="n">
        <v>46133</v>
      </c>
      <c r="B1388" s="115" t="n">
        <v>3172</v>
      </c>
      <c r="C1388" s="115" t="inlineStr">
        <is>
          <t>SELİM İNŞAAT</t>
        </is>
      </c>
      <c r="D1388" s="115" t="inlineStr">
        <is>
          <t>34 DTV 599</t>
        </is>
      </c>
      <c r="E1388" s="115" t="inlineStr">
        <is>
          <t>YASİN ÇATAKLI</t>
        </is>
      </c>
      <c r="F1388" s="115" t="n">
        <v>476020</v>
      </c>
      <c r="G1388" s="156" t="n"/>
      <c r="H1388" s="152" t="n">
        <v>540</v>
      </c>
      <c r="I1388" s="156" t="n"/>
      <c r="J1388" s="90" t="n"/>
      <c r="K1388" s="166" t="n"/>
      <c r="L1388" s="158">
        <f>+H1388*J1388</f>
        <v/>
      </c>
      <c r="M1388" s="159" t="n"/>
    </row>
    <row r="1389">
      <c r="A1389" s="116" t="n">
        <v>46139</v>
      </c>
      <c r="B1389" s="115" t="n">
        <v>3173</v>
      </c>
      <c r="C1389" s="115" t="inlineStr">
        <is>
          <t>SELİM İNŞAAT</t>
        </is>
      </c>
      <c r="D1389" s="115" t="inlineStr">
        <is>
          <t>34 DTV 599</t>
        </is>
      </c>
      <c r="E1389" s="115" t="inlineStr">
        <is>
          <t>YASİN ÇATAKLI</t>
        </is>
      </c>
      <c r="F1389" s="115" t="n">
        <v>476668</v>
      </c>
      <c r="G1389" s="156" t="n"/>
      <c r="H1389" s="152" t="n">
        <v>529</v>
      </c>
      <c r="I1389" s="156" t="n"/>
      <c r="J1389" s="90" t="n"/>
      <c r="K1389" s="166" t="n"/>
      <c r="L1389" s="158">
        <f>+H1389*J1389</f>
        <v/>
      </c>
      <c r="M1389" s="159" t="n"/>
    </row>
    <row r="1390">
      <c r="A1390" s="116" t="n">
        <v>46128</v>
      </c>
      <c r="B1390" s="115" t="n">
        <v>4123</v>
      </c>
      <c r="C1390" s="115" t="inlineStr">
        <is>
          <t>SELİM İNŞAAT</t>
        </is>
      </c>
      <c r="D1390" s="115" t="inlineStr">
        <is>
          <t>34 EDB 659</t>
        </is>
      </c>
      <c r="E1390" s="115" t="inlineStr">
        <is>
          <t>YASİN ÇATAKLI</t>
        </is>
      </c>
      <c r="F1390" s="115" t="n">
        <v>395320</v>
      </c>
      <c r="G1390" s="156" t="n"/>
      <c r="H1390" s="152" t="n">
        <v>526</v>
      </c>
      <c r="I1390" s="156" t="n"/>
      <c r="J1390" s="90" t="n"/>
      <c r="K1390" s="166" t="n"/>
      <c r="L1390" s="158">
        <f>+H1390*J1390</f>
        <v/>
      </c>
      <c r="M1390" s="159" t="n"/>
    </row>
    <row r="1391">
      <c r="A1391" s="116" t="n">
        <v>46136</v>
      </c>
      <c r="B1391" s="115" t="n">
        <v>4124</v>
      </c>
      <c r="C1391" s="115" t="inlineStr">
        <is>
          <t>SELİM İNŞAAT</t>
        </is>
      </c>
      <c r="D1391" s="115" t="inlineStr">
        <is>
          <t>34 EDB 659</t>
        </is>
      </c>
      <c r="E1391" s="115" t="inlineStr">
        <is>
          <t>YASİN ÇATAKLI</t>
        </is>
      </c>
      <c r="F1391" s="115" t="n">
        <v>395962</v>
      </c>
      <c r="G1391" s="156" t="n"/>
      <c r="H1391" s="152" t="n">
        <v>487</v>
      </c>
      <c r="I1391" s="156" t="n"/>
      <c r="J1391" s="90" t="n"/>
      <c r="K1391" s="166" t="n"/>
      <c r="L1391" s="158">
        <f>+H1391*J1391</f>
        <v/>
      </c>
      <c r="M1391" s="159" t="n"/>
    </row>
    <row r="1392">
      <c r="A1392" s="116" t="n">
        <v>46139</v>
      </c>
      <c r="B1392" s="115" t="n">
        <v>4125</v>
      </c>
      <c r="C1392" s="115" t="inlineStr">
        <is>
          <t>SELİM İNŞAAT</t>
        </is>
      </c>
      <c r="D1392" s="115" t="inlineStr">
        <is>
          <t>34 EDB 659</t>
        </is>
      </c>
      <c r="E1392" s="115" t="inlineStr">
        <is>
          <t>YASİN ÇATAKLI</t>
        </is>
      </c>
      <c r="F1392" s="115" t="n">
        <v>396689</v>
      </c>
      <c r="G1392" s="156" t="n"/>
      <c r="H1392" s="152" t="n">
        <v>480</v>
      </c>
      <c r="I1392" s="156" t="n"/>
      <c r="J1392" s="90" t="n"/>
      <c r="K1392" s="166" t="n"/>
      <c r="L1392" s="158">
        <f>+H1392*J1392</f>
        <v/>
      </c>
      <c r="M1392" s="159" t="n"/>
    </row>
    <row r="1393">
      <c r="A1393" s="116" t="n">
        <v>46141</v>
      </c>
      <c r="B1393" s="115" t="n">
        <v>4126</v>
      </c>
      <c r="C1393" s="115" t="inlineStr">
        <is>
          <t>SELİM İNŞAAT</t>
        </is>
      </c>
      <c r="D1393" s="115" t="inlineStr">
        <is>
          <t>34 EDB 659</t>
        </is>
      </c>
      <c r="E1393" s="115" t="inlineStr">
        <is>
          <t>YASİN ÇATAKLI</t>
        </is>
      </c>
      <c r="F1393" s="115" t="n">
        <v>397153</v>
      </c>
      <c r="G1393" s="156" t="n"/>
      <c r="H1393" s="152" t="n">
        <v>404</v>
      </c>
      <c r="I1393" s="156" t="n"/>
      <c r="J1393" s="90" t="n"/>
      <c r="K1393" s="166" t="n"/>
      <c r="L1393" s="158">
        <f>+H1393*J1393</f>
        <v/>
      </c>
      <c r="M1393" s="159" t="n"/>
    </row>
    <row r="1394">
      <c r="A1394" s="116" t="n">
        <v>46128</v>
      </c>
      <c r="B1394" s="115" t="n">
        <v>859</v>
      </c>
      <c r="C1394" s="115" t="inlineStr">
        <is>
          <t>SELİM İNŞAAT</t>
        </is>
      </c>
      <c r="D1394" s="115" t="inlineStr">
        <is>
          <t>34 EGR 922</t>
        </is>
      </c>
      <c r="E1394" s="115" t="inlineStr">
        <is>
          <t>FARUK ÖZEN</t>
        </is>
      </c>
      <c r="F1394" s="115" t="n">
        <v>510344</v>
      </c>
      <c r="G1394" s="156" t="n"/>
      <c r="H1394" s="152" t="n">
        <v>458</v>
      </c>
      <c r="I1394" s="156" t="n"/>
      <c r="J1394" s="90" t="n"/>
      <c r="K1394" s="166" t="n"/>
      <c r="L1394" s="158">
        <f>+H1394*J1394</f>
        <v/>
      </c>
      <c r="M1394" s="159" t="n"/>
    </row>
    <row r="1395">
      <c r="A1395" s="116" t="n">
        <v>46132</v>
      </c>
      <c r="B1395" s="115" t="n">
        <v>860</v>
      </c>
      <c r="C1395" s="115" t="inlineStr">
        <is>
          <t>SELİM İNŞAAT</t>
        </is>
      </c>
      <c r="D1395" s="115" t="inlineStr">
        <is>
          <t>34 EGR 922</t>
        </is>
      </c>
      <c r="E1395" s="115" t="inlineStr">
        <is>
          <t>FARUK ÖZEN</t>
        </is>
      </c>
      <c r="F1395" s="115" t="n">
        <v>511195</v>
      </c>
      <c r="G1395" s="156" t="n"/>
      <c r="H1395" s="152" t="n">
        <v>510</v>
      </c>
      <c r="I1395" s="156" t="n"/>
      <c r="J1395" s="90" t="n"/>
      <c r="K1395" s="166" t="n"/>
      <c r="L1395" s="158">
        <f>+H1395*J1395</f>
        <v/>
      </c>
      <c r="M1395" s="159" t="n"/>
    </row>
    <row r="1396">
      <c r="A1396" s="116" t="n">
        <v>46133</v>
      </c>
      <c r="B1396" s="115" t="n">
        <v>861</v>
      </c>
      <c r="C1396" s="115" t="inlineStr">
        <is>
          <t>SELİM İNŞAAT</t>
        </is>
      </c>
      <c r="D1396" s="115" t="inlineStr">
        <is>
          <t>34 EGR 922</t>
        </is>
      </c>
      <c r="E1396" s="115" t="inlineStr">
        <is>
          <t>FARUK ÖZEN</t>
        </is>
      </c>
      <c r="F1396" s="115" t="n">
        <v>511628</v>
      </c>
      <c r="G1396" s="156" t="n"/>
      <c r="H1396" s="152" t="n">
        <v>350</v>
      </c>
      <c r="I1396" s="156" t="n"/>
      <c r="J1396" s="90" t="n"/>
      <c r="K1396" s="166" t="n"/>
      <c r="L1396" s="158">
        <f>+H1396*J1396</f>
        <v/>
      </c>
      <c r="M1396" s="159" t="n"/>
    </row>
    <row r="1397">
      <c r="A1397" s="116" t="n">
        <v>46137</v>
      </c>
      <c r="B1397" s="115" t="n">
        <v>862</v>
      </c>
      <c r="C1397" s="115" t="inlineStr">
        <is>
          <t>SELİM İNŞAAT</t>
        </is>
      </c>
      <c r="D1397" s="115" t="inlineStr">
        <is>
          <t>34 EGR 922</t>
        </is>
      </c>
      <c r="E1397" s="115" t="inlineStr">
        <is>
          <t>FARUK ÖZEN</t>
        </is>
      </c>
      <c r="F1397" s="115" t="n">
        <v>512397</v>
      </c>
      <c r="G1397" s="156" t="n"/>
      <c r="H1397" s="152" t="n">
        <v>517</v>
      </c>
      <c r="I1397" s="156" t="n"/>
      <c r="J1397" s="90" t="n"/>
      <c r="K1397" s="166" t="n"/>
      <c r="L1397" s="158">
        <f>+H1397*J1397</f>
        <v/>
      </c>
      <c r="M1397" s="159" t="n"/>
    </row>
    <row r="1398">
      <c r="A1398" s="116" t="n">
        <v>46142</v>
      </c>
      <c r="B1398" s="115" t="n">
        <v>863</v>
      </c>
      <c r="C1398" s="115" t="inlineStr">
        <is>
          <t>SELİM İNŞAAT</t>
        </is>
      </c>
      <c r="D1398" s="115" t="inlineStr">
        <is>
          <t>34 EGR 922</t>
        </is>
      </c>
      <c r="E1398" s="115" t="inlineStr">
        <is>
          <t>FARUK ÖZEN</t>
        </is>
      </c>
      <c r="F1398" s="115" t="n">
        <v>513279</v>
      </c>
      <c r="G1398" s="156" t="n"/>
      <c r="H1398" s="152" t="n">
        <v>547</v>
      </c>
      <c r="I1398" s="156" t="n"/>
      <c r="J1398" s="90" t="n"/>
      <c r="K1398" s="166" t="n"/>
      <c r="L1398" s="158">
        <f>+H1398*J1398</f>
        <v/>
      </c>
      <c r="M1398" s="159" t="n"/>
    </row>
    <row r="1399">
      <c r="A1399" s="116" t="n">
        <v>46126</v>
      </c>
      <c r="B1399" s="115" t="n">
        <v>4177</v>
      </c>
      <c r="C1399" s="115" t="inlineStr">
        <is>
          <t>SELİM İNŞAAT</t>
        </is>
      </c>
      <c r="D1399" s="115" t="inlineStr">
        <is>
          <t>34 FBR 748</t>
        </is>
      </c>
      <c r="E1399" s="115" t="inlineStr">
        <is>
          <t>MURAT SARI</t>
        </is>
      </c>
      <c r="F1399" s="115" t="n">
        <v>329637</v>
      </c>
      <c r="G1399" s="156" t="n"/>
      <c r="H1399" s="152" t="n">
        <v>510</v>
      </c>
      <c r="I1399" s="156" t="n"/>
      <c r="J1399" s="90" t="n"/>
      <c r="K1399" s="166" t="n"/>
      <c r="L1399" s="158">
        <f>+H1399*J1399</f>
        <v/>
      </c>
      <c r="M1399" s="159" t="n"/>
    </row>
    <row r="1400">
      <c r="A1400" s="116" t="n">
        <v>46132</v>
      </c>
      <c r="B1400" s="115" t="n">
        <v>4178</v>
      </c>
      <c r="C1400" s="115" t="inlineStr">
        <is>
          <t>SELİM İNŞAAT</t>
        </is>
      </c>
      <c r="D1400" s="115" t="inlineStr">
        <is>
          <t>34 FBR 748</t>
        </is>
      </c>
      <c r="E1400" s="115" t="inlineStr">
        <is>
          <t>MURAT SARI</t>
        </is>
      </c>
      <c r="F1400" s="115" t="n">
        <v>330576</v>
      </c>
      <c r="G1400" s="156" t="n"/>
      <c r="H1400" s="152" t="n">
        <v>498</v>
      </c>
      <c r="I1400" s="156" t="n"/>
      <c r="J1400" s="90" t="n"/>
      <c r="K1400" s="166" t="n"/>
      <c r="L1400" s="158">
        <f>+H1400*J1400</f>
        <v/>
      </c>
      <c r="M1400" s="159" t="n"/>
    </row>
    <row r="1401">
      <c r="A1401" s="116" t="n">
        <v>46133</v>
      </c>
      <c r="B1401" s="115" t="n">
        <v>4179</v>
      </c>
      <c r="C1401" s="115" t="inlineStr">
        <is>
          <t>SELİM İNŞAAT</t>
        </is>
      </c>
      <c r="D1401" s="115" t="inlineStr">
        <is>
          <t>34 FBR 748</t>
        </is>
      </c>
      <c r="E1401" s="115" t="inlineStr">
        <is>
          <t>MURAT SARI</t>
        </is>
      </c>
      <c r="F1401" s="115" t="n">
        <v>331229</v>
      </c>
      <c r="G1401" s="156" t="n"/>
      <c r="H1401" s="152" t="n">
        <v>455</v>
      </c>
      <c r="I1401" s="156" t="n"/>
      <c r="J1401" s="90" t="n"/>
      <c r="K1401" s="166" t="n"/>
      <c r="L1401" s="158">
        <f>+H1401*J1401</f>
        <v/>
      </c>
      <c r="M1401" s="159" t="n"/>
    </row>
    <row r="1402">
      <c r="A1402" s="116" t="n">
        <v>46139</v>
      </c>
      <c r="B1402" s="115" t="n">
        <v>4180</v>
      </c>
      <c r="C1402" s="115" t="inlineStr">
        <is>
          <t>SELİM İNŞAAT</t>
        </is>
      </c>
      <c r="D1402" s="115" t="inlineStr">
        <is>
          <t>34 FBR 748</t>
        </is>
      </c>
      <c r="E1402" s="115" t="inlineStr">
        <is>
          <t>MURAT SARI</t>
        </is>
      </c>
      <c r="F1402" s="115" t="n">
        <v>332032</v>
      </c>
      <c r="G1402" s="156" t="n"/>
      <c r="H1402" s="152" t="n">
        <v>531</v>
      </c>
      <c r="I1402" s="156" t="n"/>
      <c r="J1402" s="90" t="n"/>
      <c r="K1402" s="166" t="n"/>
      <c r="L1402" s="158">
        <f>+H1402*J1402</f>
        <v/>
      </c>
      <c r="M1402" s="159" t="n"/>
    </row>
    <row r="1403">
      <c r="A1403" s="116" t="n">
        <v>46140</v>
      </c>
      <c r="B1403" s="115" t="n">
        <v>4181</v>
      </c>
      <c r="C1403" s="115" t="inlineStr">
        <is>
          <t>SELİM İNŞAAT</t>
        </is>
      </c>
      <c r="D1403" s="115" t="inlineStr">
        <is>
          <t>34 FBR 748</t>
        </is>
      </c>
      <c r="E1403" s="115" t="inlineStr">
        <is>
          <t>MURAT SARI</t>
        </is>
      </c>
      <c r="F1403" s="115" t="n">
        <v>332551</v>
      </c>
      <c r="G1403" s="156" t="n"/>
      <c r="H1403" s="152" t="n">
        <v>425</v>
      </c>
      <c r="I1403" s="156" t="n"/>
      <c r="J1403" s="90" t="n"/>
      <c r="K1403" s="166" t="n"/>
      <c r="L1403" s="158">
        <f>+H1403*J1403</f>
        <v/>
      </c>
      <c r="M1403" s="159" t="n"/>
    </row>
    <row r="1404">
      <c r="A1404" s="116" t="n">
        <v>46142</v>
      </c>
      <c r="B1404" s="115" t="n">
        <v>4182</v>
      </c>
      <c r="C1404" s="115" t="inlineStr">
        <is>
          <t>SELİM İNŞAAT</t>
        </is>
      </c>
      <c r="D1404" s="115" t="inlineStr">
        <is>
          <t>34 FBR 748</t>
        </is>
      </c>
      <c r="E1404" s="115" t="inlineStr">
        <is>
          <t>MURAT SARI</t>
        </is>
      </c>
      <c r="F1404" s="115" t="n">
        <v>332950</v>
      </c>
      <c r="G1404" s="156" t="n"/>
      <c r="H1404" s="152" t="n">
        <v>353</v>
      </c>
      <c r="I1404" s="156" t="n"/>
      <c r="J1404" s="90" t="n"/>
      <c r="K1404" s="166" t="n"/>
      <c r="L1404" s="158">
        <f>+H1404*J1404</f>
        <v/>
      </c>
      <c r="M1404" s="159" t="n"/>
    </row>
    <row r="1405">
      <c r="A1405" s="116" t="n">
        <v>46128</v>
      </c>
      <c r="B1405" s="115" t="n">
        <v>1701</v>
      </c>
      <c r="C1405" s="115" t="inlineStr">
        <is>
          <t>SELİM İNŞAAT</t>
        </is>
      </c>
      <c r="D1405" s="115" t="inlineStr">
        <is>
          <t>34 EDC 162</t>
        </is>
      </c>
      <c r="E1405" s="115" t="inlineStr">
        <is>
          <t>YAKUP GÜNER</t>
        </is>
      </c>
      <c r="F1405" s="115" t="n">
        <v>422340</v>
      </c>
      <c r="G1405" s="156" t="n"/>
      <c r="H1405" s="152" t="n">
        <v>467</v>
      </c>
      <c r="I1405" s="156" t="n"/>
      <c r="J1405" s="90" t="n"/>
      <c r="K1405" s="166" t="n"/>
      <c r="L1405" s="158">
        <f>+H1405*J1405</f>
        <v/>
      </c>
      <c r="M1405" s="159" t="n"/>
    </row>
    <row r="1406">
      <c r="A1406" s="116" t="n">
        <v>46130</v>
      </c>
      <c r="B1406" s="115" t="n">
        <v>1702</v>
      </c>
      <c r="C1406" s="115" t="inlineStr">
        <is>
          <t>SELİM İNŞAAT</t>
        </is>
      </c>
      <c r="D1406" s="115" t="inlineStr">
        <is>
          <t>34 EDC 162</t>
        </is>
      </c>
      <c r="E1406" s="115" t="inlineStr">
        <is>
          <t>YAKUP GÜNER</t>
        </is>
      </c>
      <c r="F1406" s="115" t="n">
        <v>422870</v>
      </c>
      <c r="G1406" s="156" t="n"/>
      <c r="H1406" s="152" t="n">
        <v>410</v>
      </c>
      <c r="I1406" s="156" t="n"/>
      <c r="J1406" s="90" t="n"/>
      <c r="K1406" s="166" t="n"/>
      <c r="L1406" s="158">
        <f>+H1406*J1406</f>
        <v/>
      </c>
      <c r="M1406" s="159" t="n"/>
    </row>
    <row r="1407">
      <c r="A1407" s="116" t="n">
        <v>46136</v>
      </c>
      <c r="B1407" s="115" t="n">
        <v>1703</v>
      </c>
      <c r="C1407" s="115" t="inlineStr">
        <is>
          <t>SELİM İNŞAAT</t>
        </is>
      </c>
      <c r="D1407" s="115" t="inlineStr">
        <is>
          <t>34 EDC 162</t>
        </is>
      </c>
      <c r="E1407" s="115" t="inlineStr">
        <is>
          <t>YAKUP GÜNER</t>
        </is>
      </c>
      <c r="F1407" s="115" t="n">
        <v>423445</v>
      </c>
      <c r="G1407" s="156" t="n"/>
      <c r="H1407" s="152" t="n">
        <v>419</v>
      </c>
      <c r="I1407" s="156" t="n"/>
      <c r="J1407" s="90" t="n"/>
      <c r="K1407" s="166" t="n"/>
      <c r="L1407" s="158">
        <f>+H1407*J1407</f>
        <v/>
      </c>
      <c r="M1407" s="159" t="n"/>
    </row>
    <row r="1408">
      <c r="A1408" s="116" t="n">
        <v>46137</v>
      </c>
      <c r="B1408" s="115" t="n">
        <v>1704</v>
      </c>
      <c r="C1408" s="115" t="inlineStr">
        <is>
          <t>SELİM İNŞAAT</t>
        </is>
      </c>
      <c r="D1408" s="115" t="inlineStr">
        <is>
          <t>34 EDC 162</t>
        </is>
      </c>
      <c r="E1408" s="115" t="inlineStr">
        <is>
          <t>YAKUP GÜNER</t>
        </is>
      </c>
      <c r="F1408" s="115" t="n">
        <v>424165</v>
      </c>
      <c r="G1408" s="156" t="n"/>
      <c r="H1408" s="152" t="n">
        <v>462</v>
      </c>
      <c r="I1408" s="156" t="n"/>
      <c r="J1408" s="90" t="n"/>
      <c r="K1408" s="166" t="n"/>
      <c r="L1408" s="158">
        <f>+H1408*J1408</f>
        <v/>
      </c>
      <c r="M1408" s="159" t="n"/>
    </row>
    <row r="1409">
      <c r="A1409" s="116" t="n">
        <v>46141</v>
      </c>
      <c r="B1409" s="115" t="n">
        <v>1705</v>
      </c>
      <c r="C1409" s="115" t="inlineStr">
        <is>
          <t>SELİM İNŞAAT</t>
        </is>
      </c>
      <c r="D1409" s="115" t="inlineStr">
        <is>
          <t>34 EDC 162</t>
        </is>
      </c>
      <c r="E1409" s="115" t="inlineStr">
        <is>
          <t>YAKUP GÜNER</t>
        </is>
      </c>
      <c r="F1409" s="115" t="n">
        <v>424768</v>
      </c>
      <c r="G1409" s="156" t="n"/>
      <c r="H1409" s="152" t="n">
        <v>468</v>
      </c>
      <c r="I1409" s="156" t="n"/>
      <c r="J1409" s="90" t="n"/>
      <c r="K1409" s="166" t="n"/>
      <c r="L1409" s="158">
        <f>+H1409*J1409</f>
        <v/>
      </c>
      <c r="M1409" s="159" t="n"/>
    </row>
    <row r="1410">
      <c r="A1410" s="116" t="n">
        <v>46142</v>
      </c>
      <c r="B1410" s="115" t="n">
        <v>1706</v>
      </c>
      <c r="C1410" s="115" t="inlineStr">
        <is>
          <t>SELİM İNŞAAT</t>
        </is>
      </c>
      <c r="D1410" s="115" t="inlineStr">
        <is>
          <t>34 EDC 162</t>
        </is>
      </c>
      <c r="E1410" s="115" t="inlineStr">
        <is>
          <t>YAKUP GÜNER</t>
        </is>
      </c>
      <c r="F1410" s="115" t="n">
        <v>425238</v>
      </c>
      <c r="G1410" s="156" t="n"/>
      <c r="H1410" s="152" t="n">
        <v>375</v>
      </c>
      <c r="I1410" s="156" t="n"/>
      <c r="J1410" s="90" t="n"/>
      <c r="K1410" s="166" t="n"/>
      <c r="L1410" s="158">
        <f>+H1410*J1410</f>
        <v/>
      </c>
      <c r="M1410" s="159" t="n"/>
    </row>
    <row r="1411">
      <c r="A1411" s="116" t="n">
        <v>46128</v>
      </c>
      <c r="B1411" s="115" t="n">
        <v>915</v>
      </c>
      <c r="C1411" s="115" t="inlineStr">
        <is>
          <t>SELİM İNŞAAT</t>
        </is>
      </c>
      <c r="D1411" s="115" t="inlineStr">
        <is>
          <t>34 FSG 229</t>
        </is>
      </c>
      <c r="E1411" s="115" t="inlineStr">
        <is>
          <t>SİNAN TANRIVERDİ</t>
        </is>
      </c>
      <c r="F1411" s="115" t="n">
        <v>306129</v>
      </c>
      <c r="G1411" s="156" t="n"/>
      <c r="H1411" s="152" t="n">
        <v>345</v>
      </c>
      <c r="I1411" s="156" t="n"/>
      <c r="J1411" s="90" t="n"/>
      <c r="K1411" s="166" t="n"/>
      <c r="L1411" s="158">
        <f>+H1411*J1411</f>
        <v/>
      </c>
      <c r="M1411" s="159" t="n"/>
    </row>
    <row r="1412">
      <c r="A1412" s="116" t="n">
        <v>46132</v>
      </c>
      <c r="B1412" s="115" t="n">
        <v>916</v>
      </c>
      <c r="C1412" s="115" t="inlineStr">
        <is>
          <t>SELİM İNŞAAT</t>
        </is>
      </c>
      <c r="D1412" s="115" t="inlineStr">
        <is>
          <t>34 FSG 229</t>
        </is>
      </c>
      <c r="E1412" s="115" t="inlineStr">
        <is>
          <t>SİNAN TANRIVERDİ</t>
        </is>
      </c>
      <c r="F1412" s="115" t="n">
        <v>306893</v>
      </c>
      <c r="G1412" s="156" t="n"/>
      <c r="H1412" s="152" t="n">
        <v>412</v>
      </c>
      <c r="I1412" s="156" t="n"/>
      <c r="J1412" s="90" t="n"/>
      <c r="K1412" s="166" t="n"/>
      <c r="L1412" s="158">
        <f>+H1412*J1412</f>
        <v/>
      </c>
      <c r="M1412" s="159" t="n"/>
    </row>
    <row r="1413">
      <c r="A1413" s="116" t="n">
        <v>46142</v>
      </c>
      <c r="B1413" s="115" t="n">
        <v>917</v>
      </c>
      <c r="C1413" s="115" t="inlineStr">
        <is>
          <t>SELİM İNŞAAT</t>
        </is>
      </c>
      <c r="D1413" s="115" t="inlineStr">
        <is>
          <t>34 FSG 229</t>
        </is>
      </c>
      <c r="E1413" s="115" t="inlineStr">
        <is>
          <t>SİNAN TANRIVERDİ</t>
        </is>
      </c>
      <c r="F1413" s="115" t="n">
        <v>307512</v>
      </c>
      <c r="G1413" s="156" t="n"/>
      <c r="H1413" s="152" t="n">
        <v>405</v>
      </c>
      <c r="I1413" s="156" t="n"/>
      <c r="J1413" s="90" t="n"/>
      <c r="K1413" s="166" t="n"/>
      <c r="L1413" s="158">
        <f>+H1413*J1413</f>
        <v/>
      </c>
      <c r="M1413" s="159" t="n"/>
    </row>
    <row r="1414">
      <c r="A1414" s="116" t="n">
        <v>46128</v>
      </c>
      <c r="B1414" s="115" t="n">
        <v>1301</v>
      </c>
      <c r="C1414" s="115" t="inlineStr">
        <is>
          <t>SELİM İNŞAAT</t>
        </is>
      </c>
      <c r="D1414" s="115" t="inlineStr">
        <is>
          <t>34 GVZ 199</t>
        </is>
      </c>
      <c r="E1414" s="115" t="inlineStr">
        <is>
          <t>HÜSEYİN DENİZ</t>
        </is>
      </c>
      <c r="F1414" s="115" t="n">
        <v>233019</v>
      </c>
      <c r="G1414" s="156" t="n"/>
      <c r="H1414" s="152" t="n">
        <v>483</v>
      </c>
      <c r="I1414" s="156" t="n"/>
      <c r="J1414" s="90" t="n"/>
      <c r="K1414" s="166" t="n"/>
      <c r="L1414" s="158">
        <f>+H1414*J1414</f>
        <v/>
      </c>
      <c r="M1414" s="159" t="n"/>
    </row>
    <row r="1415">
      <c r="A1415" s="116" t="n">
        <v>46133</v>
      </c>
      <c r="B1415" s="115" t="n">
        <v>1302</v>
      </c>
      <c r="C1415" s="115" t="inlineStr">
        <is>
          <t>SELİM İNŞAAT</t>
        </is>
      </c>
      <c r="D1415" s="115" t="inlineStr">
        <is>
          <t>34 GVZ 199</t>
        </is>
      </c>
      <c r="E1415" s="115" t="inlineStr">
        <is>
          <t>HÜSEYİN DENİZ</t>
        </is>
      </c>
      <c r="F1415" s="115" t="n">
        <v>234098</v>
      </c>
      <c r="G1415" s="156" t="n"/>
      <c r="H1415" s="152" t="n">
        <v>540</v>
      </c>
      <c r="I1415" s="156" t="n"/>
      <c r="J1415" s="90" t="n"/>
      <c r="K1415" s="166" t="n"/>
      <c r="L1415" s="158">
        <f>+H1415*J1415</f>
        <v/>
      </c>
      <c r="M1415" s="159" t="n"/>
    </row>
    <row r="1416">
      <c r="A1416" s="116" t="n">
        <v>46137</v>
      </c>
      <c r="B1416" s="115" t="n">
        <v>1303</v>
      </c>
      <c r="C1416" s="115" t="inlineStr">
        <is>
          <t>SELİM İNŞAAT</t>
        </is>
      </c>
      <c r="D1416" s="115" t="inlineStr">
        <is>
          <t>34 GVZ 199</t>
        </is>
      </c>
      <c r="E1416" s="115" t="inlineStr">
        <is>
          <t>HÜSEYİN DENİZ</t>
        </is>
      </c>
      <c r="F1416" s="115" t="n">
        <v>235129</v>
      </c>
      <c r="G1416" s="156" t="n"/>
      <c r="H1416" s="152" t="n">
        <v>549</v>
      </c>
      <c r="I1416" s="156" t="n"/>
      <c r="J1416" s="90" t="n"/>
      <c r="K1416" s="166" t="n"/>
      <c r="L1416" s="158">
        <f>+H1416*J1416</f>
        <v/>
      </c>
      <c r="M1416" s="159" t="n"/>
    </row>
    <row r="1417">
      <c r="A1417" s="116" t="n">
        <v>46141</v>
      </c>
      <c r="B1417" s="115" t="n">
        <v>1304</v>
      </c>
      <c r="C1417" s="115" t="inlineStr">
        <is>
          <t>SELİM İNŞAAT</t>
        </is>
      </c>
      <c r="D1417" s="115" t="inlineStr">
        <is>
          <t>34 GVZ 199</t>
        </is>
      </c>
      <c r="E1417" s="115" t="inlineStr">
        <is>
          <t>HÜSEYİN DENİZ</t>
        </is>
      </c>
      <c r="F1417" s="115" t="n">
        <v>235858</v>
      </c>
      <c r="G1417" s="156" t="n"/>
      <c r="H1417" s="152" t="n">
        <v>471</v>
      </c>
      <c r="I1417" s="156" t="n"/>
      <c r="J1417" s="90" t="n"/>
      <c r="K1417" s="166" t="n"/>
      <c r="L1417" s="158">
        <f>+H1417*J1417</f>
        <v/>
      </c>
      <c r="M1417" s="159" t="n"/>
    </row>
    <row r="1418">
      <c r="A1418" s="116" t="n">
        <v>46142</v>
      </c>
      <c r="B1418" s="115" t="n">
        <v>1305</v>
      </c>
      <c r="C1418" s="115" t="inlineStr">
        <is>
          <t>SELİM İNŞAAT</t>
        </is>
      </c>
      <c r="D1418" s="115" t="inlineStr">
        <is>
          <t>34 GVZ 199</t>
        </is>
      </c>
      <c r="E1418" s="115" t="inlineStr">
        <is>
          <t>HÜSEYİN DENİZ</t>
        </is>
      </c>
      <c r="F1418" s="115" t="n">
        <v>236179</v>
      </c>
      <c r="G1418" s="156" t="n"/>
      <c r="H1418" s="152" t="n">
        <v>254</v>
      </c>
      <c r="I1418" s="156" t="n"/>
      <c r="J1418" s="90" t="n"/>
      <c r="K1418" s="166" t="n"/>
      <c r="L1418" s="158">
        <f>+H1418*J1418</f>
        <v/>
      </c>
      <c r="M1418" s="159" t="n"/>
    </row>
    <row r="1419">
      <c r="A1419" s="116" t="n">
        <v>46132</v>
      </c>
      <c r="B1419" s="115" t="n">
        <v>3623</v>
      </c>
      <c r="C1419" s="115" t="inlineStr">
        <is>
          <t>SELİM İNŞAAT</t>
        </is>
      </c>
      <c r="D1419" s="115" t="inlineStr">
        <is>
          <t>34 EDB 922</t>
        </is>
      </c>
      <c r="E1419" s="115" t="inlineStr">
        <is>
          <t>MEVLÜT POLAT</t>
        </is>
      </c>
      <c r="F1419" s="115" t="n">
        <v>407956</v>
      </c>
      <c r="G1419" s="156" t="n"/>
      <c r="H1419" s="152" t="n">
        <v>536</v>
      </c>
      <c r="I1419" s="156" t="n"/>
      <c r="J1419" s="90" t="n"/>
      <c r="K1419" s="166" t="n"/>
      <c r="L1419" s="158">
        <f>+H1419*J1419</f>
        <v/>
      </c>
      <c r="M1419" s="159" t="n"/>
    </row>
    <row r="1420">
      <c r="A1420" s="116" t="n">
        <v>46135</v>
      </c>
      <c r="B1420" s="115" t="n">
        <v>3624</v>
      </c>
      <c r="C1420" s="115" t="inlineStr">
        <is>
          <t>SELİM İNŞAAT</t>
        </is>
      </c>
      <c r="D1420" s="115" t="inlineStr">
        <is>
          <t>34 EDB 922</t>
        </is>
      </c>
      <c r="E1420" s="115" t="inlineStr">
        <is>
          <t>MEVLÜT POLAT</t>
        </is>
      </c>
      <c r="F1420" s="115" t="n">
        <v>408386</v>
      </c>
      <c r="G1420" s="156" t="n"/>
      <c r="H1420" s="152" t="n">
        <v>347</v>
      </c>
      <c r="I1420" s="156" t="n"/>
      <c r="J1420" s="90" t="n"/>
      <c r="K1420" s="166" t="n"/>
      <c r="L1420" s="158">
        <f>+H1420*J1420</f>
        <v/>
      </c>
      <c r="M1420" s="159" t="n"/>
    </row>
    <row r="1421">
      <c r="A1421" s="116" t="n">
        <v>46136</v>
      </c>
      <c r="B1421" s="115" t="n">
        <v>522</v>
      </c>
      <c r="C1421" s="115" t="inlineStr">
        <is>
          <t>SELİM İNŞAAT</t>
        </is>
      </c>
      <c r="D1421" s="115" t="inlineStr">
        <is>
          <t>34 EGR 737</t>
        </is>
      </c>
      <c r="E1421" s="115" t="inlineStr">
        <is>
          <t>SERDAR BOZKURT</t>
        </is>
      </c>
      <c r="F1421" s="115" t="n">
        <v>465313</v>
      </c>
      <c r="G1421" s="156" t="n"/>
      <c r="H1421" s="152" t="n">
        <v>527</v>
      </c>
      <c r="I1421" s="156" t="n"/>
      <c r="J1421" s="90" t="n"/>
      <c r="K1421" s="166" t="n"/>
      <c r="L1421" s="158">
        <f>+H1421*J1421</f>
        <v/>
      </c>
      <c r="M1421" s="159" t="n"/>
    </row>
    <row r="1422">
      <c r="A1422" s="116" t="n">
        <v>46137</v>
      </c>
      <c r="B1422" s="115" t="n">
        <v>11176</v>
      </c>
      <c r="C1422" s="115" t="inlineStr">
        <is>
          <t>SELİM İNŞAAT</t>
        </is>
      </c>
      <c r="D1422" s="115" t="inlineStr">
        <is>
          <t>34 HZ 1663</t>
        </is>
      </c>
      <c r="E1422" s="115" t="inlineStr">
        <is>
          <t>ÖNER DÜNDAR</t>
        </is>
      </c>
      <c r="F1422" s="115" t="n">
        <v>528839</v>
      </c>
      <c r="G1422" s="156" t="n"/>
      <c r="H1422" s="152" t="n">
        <v>501</v>
      </c>
      <c r="I1422" s="156" t="n"/>
      <c r="J1422" s="90" t="n"/>
      <c r="K1422" s="166" t="n"/>
      <c r="L1422" s="158">
        <f>+H1422*J1422</f>
        <v/>
      </c>
      <c r="M1422" s="159" t="n"/>
    </row>
    <row r="1423">
      <c r="A1423" s="116" t="n">
        <v>46129</v>
      </c>
      <c r="B1423" s="115" t="n">
        <v>4819</v>
      </c>
      <c r="C1423" s="115" t="inlineStr">
        <is>
          <t>SELİM İNŞAAT</t>
        </is>
      </c>
      <c r="D1423" s="115" t="inlineStr">
        <is>
          <t>34 EDB 559</t>
        </is>
      </c>
      <c r="E1423" s="115" t="inlineStr">
        <is>
          <t>YAKUP GÜNER</t>
        </is>
      </c>
      <c r="F1423" s="115" t="n">
        <v>363992</v>
      </c>
      <c r="G1423" s="156" t="n"/>
      <c r="H1423" s="152" t="n">
        <v>430</v>
      </c>
      <c r="I1423" s="156" t="n"/>
      <c r="J1423" s="90" t="n"/>
      <c r="K1423" s="166" t="n"/>
      <c r="L1423" s="158">
        <f>+H1423*J1423</f>
        <v/>
      </c>
      <c r="M1423" s="159" t="n"/>
    </row>
    <row r="1424">
      <c r="A1424" s="116" t="n">
        <v>46137</v>
      </c>
      <c r="B1424" s="115" t="n">
        <v>2897</v>
      </c>
      <c r="C1424" s="115" t="inlineStr">
        <is>
          <t>HASAN ZEMİN</t>
        </is>
      </c>
      <c r="D1424" s="115" t="inlineStr">
        <is>
          <t>KAZIK MAKİNESİ</t>
        </is>
      </c>
      <c r="E1424" s="115" t="inlineStr">
        <is>
          <t>HASAN ZEMİN</t>
        </is>
      </c>
      <c r="F1424" s="115" t="n"/>
      <c r="G1424" s="156" t="n"/>
      <c r="H1424" s="152" t="n">
        <v>373</v>
      </c>
      <c r="I1424" s="156" t="n"/>
      <c r="J1424" s="90" t="n"/>
      <c r="K1424" s="166" t="n"/>
      <c r="L1424" s="158">
        <f>+H1424*J1424</f>
        <v/>
      </c>
      <c r="M1424" s="159" t="n"/>
    </row>
    <row r="1425">
      <c r="A1425" s="116" t="n">
        <v>46140</v>
      </c>
      <c r="B1425" s="115" t="n">
        <v>2898</v>
      </c>
      <c r="C1425" s="115" t="inlineStr">
        <is>
          <t>HASAN ZEMİN</t>
        </is>
      </c>
      <c r="D1425" s="115" t="inlineStr">
        <is>
          <t>KAZIK MAKİNESİ</t>
        </is>
      </c>
      <c r="E1425" s="115" t="inlineStr">
        <is>
          <t>HASAN ZEMİN</t>
        </is>
      </c>
      <c r="F1425" s="115" t="n"/>
      <c r="G1425" s="156" t="n"/>
      <c r="H1425" s="152" t="n">
        <v>38</v>
      </c>
      <c r="I1425" s="156" t="n"/>
      <c r="J1425" s="90" t="n"/>
      <c r="K1425" s="166" t="n"/>
      <c r="L1425" s="158">
        <f>+H1425*J1425</f>
        <v/>
      </c>
      <c r="M1425" s="159" t="n"/>
    </row>
    <row r="1426">
      <c r="A1426" s="116" t="n">
        <v>46128</v>
      </c>
      <c r="B1426" s="115" t="n">
        <v>645</v>
      </c>
      <c r="C1426" s="115" t="inlineStr">
        <is>
          <t>AHMET SELİM TEMHA</t>
        </is>
      </c>
      <c r="D1426" s="115" t="inlineStr">
        <is>
          <t>34 PGT 251</t>
        </is>
      </c>
      <c r="E1426" s="115" t="inlineStr">
        <is>
          <t>ERSOY SIĞINMAZ</t>
        </is>
      </c>
      <c r="F1426" s="115" t="n"/>
      <c r="G1426" s="156" t="n"/>
      <c r="H1426" s="152" t="n">
        <v>31</v>
      </c>
      <c r="I1426" s="156" t="n"/>
      <c r="J1426" s="90" t="n"/>
      <c r="K1426" s="166" t="n"/>
      <c r="L1426" s="158">
        <f>+H1426*J1426</f>
        <v/>
      </c>
      <c r="M1426" s="159" t="n"/>
    </row>
    <row r="1427">
      <c r="A1427" s="116" t="n">
        <v>46129</v>
      </c>
      <c r="B1427" s="115" t="n">
        <v>646</v>
      </c>
      <c r="C1427" s="115" t="inlineStr">
        <is>
          <t>AHMET SELİM TEMHA</t>
        </is>
      </c>
      <c r="D1427" s="115" t="inlineStr">
        <is>
          <t>34 PGT 251</t>
        </is>
      </c>
      <c r="E1427" s="115" t="inlineStr">
        <is>
          <t>ERSOY SIĞINMAZ</t>
        </is>
      </c>
      <c r="F1427" s="115" t="n"/>
      <c r="G1427" s="156" t="n"/>
      <c r="H1427" s="152" t="n">
        <v>73</v>
      </c>
      <c r="I1427" s="156" t="n"/>
      <c r="J1427" s="90" t="n"/>
      <c r="K1427" s="166" t="n"/>
      <c r="L1427" s="158">
        <f>+H1427*J1427</f>
        <v/>
      </c>
      <c r="M1427" s="159" t="n"/>
    </row>
    <row r="1428">
      <c r="A1428" s="116" t="n">
        <v>46129</v>
      </c>
      <c r="B1428" s="115" t="n">
        <v>647</v>
      </c>
      <c r="C1428" s="115" t="inlineStr">
        <is>
          <t>AHMET SELİM TEMHA</t>
        </is>
      </c>
      <c r="D1428" s="115" t="inlineStr">
        <is>
          <t>34 PGT 251</t>
        </is>
      </c>
      <c r="E1428" s="115" t="inlineStr">
        <is>
          <t>ERSOY SIĞINMAZ</t>
        </is>
      </c>
      <c r="F1428" s="115" t="n"/>
      <c r="G1428" s="156" t="n"/>
      <c r="H1428" s="152" t="n">
        <v>190</v>
      </c>
      <c r="I1428" s="156" t="n"/>
      <c r="J1428" s="90" t="n"/>
      <c r="K1428" s="166" t="n"/>
      <c r="L1428" s="158">
        <f>+H1428*J1428</f>
        <v/>
      </c>
      <c r="M1428" s="159" t="n"/>
    </row>
    <row r="1429">
      <c r="A1429" s="116" t="n">
        <v>46135</v>
      </c>
      <c r="B1429" s="115" t="n">
        <v>648</v>
      </c>
      <c r="C1429" s="115" t="inlineStr">
        <is>
          <t>AHMET SELİM TEMHA</t>
        </is>
      </c>
      <c r="D1429" s="115" t="inlineStr">
        <is>
          <t>34 PGT 251</t>
        </is>
      </c>
      <c r="E1429" s="115" t="inlineStr">
        <is>
          <t>ERSOY SIĞINMAZ</t>
        </is>
      </c>
      <c r="F1429" s="115" t="n"/>
      <c r="G1429" s="156" t="n"/>
      <c r="H1429" s="152" t="n">
        <v>30</v>
      </c>
      <c r="I1429" s="156" t="n"/>
      <c r="J1429" s="90" t="n"/>
      <c r="K1429" s="166" t="n"/>
      <c r="L1429" s="158">
        <f>+H1429*J1429</f>
        <v/>
      </c>
      <c r="M1429" s="159" t="n"/>
    </row>
    <row r="1430">
      <c r="A1430" s="116" t="n">
        <v>46135</v>
      </c>
      <c r="B1430" s="115" t="n">
        <v>649</v>
      </c>
      <c r="C1430" s="115" t="inlineStr">
        <is>
          <t>AHMET SELİM TEMHA</t>
        </is>
      </c>
      <c r="D1430" s="115" t="inlineStr">
        <is>
          <t>34 PGT 251</t>
        </is>
      </c>
      <c r="E1430" s="115" t="inlineStr">
        <is>
          <t>ERSOY SIĞINMAZ</t>
        </is>
      </c>
      <c r="F1430" s="115" t="n"/>
      <c r="G1430" s="156" t="n"/>
      <c r="H1430" s="152" t="n">
        <v>70</v>
      </c>
      <c r="I1430" s="156" t="n"/>
      <c r="J1430" s="90" t="n"/>
      <c r="K1430" s="166" t="n"/>
      <c r="L1430" s="158">
        <f>+H1430*J1430</f>
        <v/>
      </c>
      <c r="M1430" s="159" t="n"/>
    </row>
    <row r="1431">
      <c r="A1431" s="116" t="n">
        <v>46136</v>
      </c>
      <c r="B1431" s="115" t="n">
        <v>650</v>
      </c>
      <c r="C1431" s="115" t="inlineStr">
        <is>
          <t>AHMET SELİM TEMHA</t>
        </is>
      </c>
      <c r="D1431" s="115" t="inlineStr">
        <is>
          <t>34 PGT 251</t>
        </is>
      </c>
      <c r="E1431" s="115" t="inlineStr">
        <is>
          <t>ERSOY SIĞINMAZ</t>
        </is>
      </c>
      <c r="F1431" s="115" t="n"/>
      <c r="G1431" s="156" t="n"/>
      <c r="H1431" s="152" t="n">
        <v>151</v>
      </c>
      <c r="I1431" s="156" t="n"/>
      <c r="J1431" s="90" t="n"/>
      <c r="K1431" s="166" t="n"/>
      <c r="L1431" s="158">
        <f>+H1431*J1431</f>
        <v/>
      </c>
      <c r="M1431" s="159" t="n"/>
    </row>
    <row r="1432">
      <c r="A1432" s="116" t="n">
        <v>46132</v>
      </c>
      <c r="B1432" s="115" t="n">
        <v>1251</v>
      </c>
      <c r="C1432" s="115" t="inlineStr">
        <is>
          <t>AHMET SELİM TEMHA</t>
        </is>
      </c>
      <c r="D1432" s="115" t="inlineStr">
        <is>
          <t>34 PGT 251</t>
        </is>
      </c>
      <c r="E1432" s="115" t="inlineStr">
        <is>
          <t>ERSOY SIĞINMAZ</t>
        </is>
      </c>
      <c r="F1432" s="115" t="n"/>
      <c r="G1432" s="156" t="n"/>
      <c r="H1432" s="152" t="n">
        <v>119</v>
      </c>
      <c r="I1432" s="156" t="n"/>
      <c r="J1432" s="90" t="n"/>
      <c r="K1432" s="166" t="n"/>
      <c r="L1432" s="158">
        <f>+H1432*J1432</f>
        <v/>
      </c>
      <c r="M1432" s="159" t="n"/>
    </row>
    <row r="1433">
      <c r="A1433" s="116" t="n">
        <v>46138</v>
      </c>
      <c r="B1433" s="115" t="n">
        <v>1252</v>
      </c>
      <c r="C1433" s="115" t="inlineStr">
        <is>
          <t>AHMET SELİM TEMHA</t>
        </is>
      </c>
      <c r="D1433" s="115" t="inlineStr">
        <is>
          <t>34 PGT 251</t>
        </is>
      </c>
      <c r="E1433" s="115" t="inlineStr">
        <is>
          <t>ERSOY SIĞINMAZ</t>
        </is>
      </c>
      <c r="F1433" s="115" t="n"/>
      <c r="G1433" s="156" t="n"/>
      <c r="H1433" s="152" t="n">
        <v>57</v>
      </c>
      <c r="I1433" s="156" t="n"/>
      <c r="J1433" s="90" t="n"/>
      <c r="K1433" s="166" t="n"/>
      <c r="L1433" s="158">
        <f>+H1433*J1433</f>
        <v/>
      </c>
      <c r="M1433" s="159" t="n"/>
    </row>
    <row r="1434">
      <c r="A1434" s="116" t="n">
        <v>46139</v>
      </c>
      <c r="B1434" s="115" t="n">
        <v>1253</v>
      </c>
      <c r="C1434" s="115" t="inlineStr">
        <is>
          <t>AHMET SELİM TEMHA</t>
        </is>
      </c>
      <c r="D1434" s="115" t="inlineStr">
        <is>
          <t>34 TB 926</t>
        </is>
      </c>
      <c r="E1434" s="115" t="inlineStr">
        <is>
          <t>ENES SELİM</t>
        </is>
      </c>
      <c r="F1434" s="115" t="n"/>
      <c r="G1434" s="156" t="n"/>
      <c r="H1434" s="152" t="n">
        <v>210</v>
      </c>
      <c r="I1434" s="156" t="n"/>
      <c r="J1434" s="90" t="n"/>
      <c r="K1434" s="166" t="n"/>
      <c r="L1434" s="158" t="n"/>
      <c r="M1434" s="159" t="n"/>
    </row>
    <row r="1435">
      <c r="A1435" s="116" t="n">
        <v>46140</v>
      </c>
      <c r="B1435" s="115" t="n">
        <v>1254</v>
      </c>
      <c r="C1435" s="115" t="inlineStr">
        <is>
          <t>AHMET SELİM TEMHA</t>
        </is>
      </c>
      <c r="D1435" s="115" t="inlineStr">
        <is>
          <t>FORKLİFT</t>
        </is>
      </c>
      <c r="E1435" s="115" t="inlineStr">
        <is>
          <t>SIVACI İSMAİL</t>
        </is>
      </c>
      <c r="F1435" s="115" t="n"/>
      <c r="G1435" s="156" t="n"/>
      <c r="H1435" s="152" t="n">
        <v>33</v>
      </c>
      <c r="I1435" s="156" t="n"/>
      <c r="J1435" s="90" t="n"/>
      <c r="K1435" s="166" t="n"/>
      <c r="L1435" s="158" t="n"/>
      <c r="M1435" s="159" t="n"/>
    </row>
    <row r="1436">
      <c r="A1436" s="116" t="n">
        <v>46142</v>
      </c>
      <c r="B1436" s="115" t="n">
        <v>1255</v>
      </c>
      <c r="C1436" s="115" t="inlineStr">
        <is>
          <t>AHMET SELİM TEMHA</t>
        </is>
      </c>
      <c r="D1436" s="115" t="inlineStr">
        <is>
          <t>FORKLİFT</t>
        </is>
      </c>
      <c r="E1436" s="115" t="inlineStr">
        <is>
          <t>SIVACI İSMAİL</t>
        </is>
      </c>
      <c r="F1436" s="115" t="n"/>
      <c r="G1436" s="156" t="n"/>
      <c r="H1436" s="152" t="n">
        <v>47</v>
      </c>
      <c r="I1436" s="156" t="n"/>
      <c r="J1436" s="90" t="n"/>
      <c r="K1436" s="166" t="n"/>
      <c r="L1436" s="158" t="n"/>
      <c r="M1436" s="159" t="n"/>
    </row>
    <row r="1437">
      <c r="A1437" s="116" t="n">
        <v>46143</v>
      </c>
      <c r="B1437" s="115" t="n">
        <v>1256</v>
      </c>
      <c r="C1437" s="115" t="inlineStr">
        <is>
          <t>AHMET SELİM TEMHA</t>
        </is>
      </c>
      <c r="D1437" s="115" t="inlineStr">
        <is>
          <t>34 GC 8658</t>
        </is>
      </c>
      <c r="E1437" s="115" t="inlineStr">
        <is>
          <t>RECEP SELİM</t>
        </is>
      </c>
      <c r="F1437" s="115" t="n"/>
      <c r="G1437" s="156" t="n"/>
      <c r="H1437" s="152" t="n">
        <v>30</v>
      </c>
      <c r="I1437" s="156" t="n"/>
      <c r="J1437" s="90" t="n"/>
      <c r="K1437" s="166" t="n"/>
      <c r="L1437" s="158" t="n"/>
      <c r="M1437" s="159" t="n"/>
    </row>
    <row r="1438">
      <c r="A1438" s="116" t="n">
        <v>46132</v>
      </c>
      <c r="B1438" s="115" t="n">
        <v>726</v>
      </c>
      <c r="C1438" s="115" t="inlineStr">
        <is>
          <t>METİN ERYİĞİT</t>
        </is>
      </c>
      <c r="D1438" s="115" t="inlineStr">
        <is>
          <t>34 EGS 013</t>
        </is>
      </c>
      <c r="E1438" s="115" t="inlineStr">
        <is>
          <t>UĞUR DUMAN</t>
        </is>
      </c>
      <c r="F1438" s="115" t="n">
        <v>573191</v>
      </c>
      <c r="G1438" s="156" t="n"/>
      <c r="H1438" s="152" t="n">
        <v>422</v>
      </c>
      <c r="I1438" s="156" t="n"/>
      <c r="J1438" s="90" t="n"/>
      <c r="K1438" s="166" t="n"/>
      <c r="L1438" s="158" t="n"/>
      <c r="M1438" s="159" t="n"/>
    </row>
    <row r="1439">
      <c r="A1439" s="116" t="n">
        <v>46134</v>
      </c>
      <c r="B1439" s="115" t="n">
        <v>727</v>
      </c>
      <c r="C1439" s="115" t="inlineStr">
        <is>
          <t>METİN ERYİĞİT</t>
        </is>
      </c>
      <c r="D1439" s="115" t="inlineStr">
        <is>
          <t>34 EGS 013</t>
        </is>
      </c>
      <c r="E1439" s="115" t="inlineStr">
        <is>
          <t>UĞUR DUMAN</t>
        </is>
      </c>
      <c r="F1439" s="115" t="n">
        <v>574017</v>
      </c>
      <c r="G1439" s="156" t="n"/>
      <c r="H1439" s="152" t="n">
        <v>749</v>
      </c>
      <c r="I1439" s="156" t="n"/>
      <c r="J1439" s="90" t="n"/>
      <c r="K1439" s="166" t="n"/>
      <c r="L1439" s="158" t="n"/>
      <c r="M1439" s="159" t="n"/>
    </row>
    <row r="1440">
      <c r="A1440" s="116" t="n">
        <v>46136</v>
      </c>
      <c r="B1440" s="115" t="n">
        <v>728</v>
      </c>
      <c r="C1440" s="115" t="inlineStr">
        <is>
          <t>METİN ERYİĞİT</t>
        </is>
      </c>
      <c r="D1440" s="115" t="inlineStr">
        <is>
          <t>34 EGS 013</t>
        </is>
      </c>
      <c r="E1440" s="115" t="inlineStr">
        <is>
          <t>UĞUR DUMAN</t>
        </is>
      </c>
      <c r="F1440" s="115" t="n">
        <v>574829</v>
      </c>
      <c r="G1440" s="156" t="n"/>
      <c r="H1440" s="152" t="n">
        <v>452</v>
      </c>
      <c r="I1440" s="156" t="n"/>
      <c r="J1440" s="90" t="n"/>
      <c r="K1440" s="166" t="n"/>
      <c r="L1440" s="158" t="n"/>
      <c r="M1440" s="159" t="n"/>
    </row>
    <row r="1441">
      <c r="A1441" s="116" t="n">
        <v>46139</v>
      </c>
      <c r="B1441" s="115" t="n">
        <v>729</v>
      </c>
      <c r="C1441" s="115" t="inlineStr">
        <is>
          <t>METİN ERYİĞİT</t>
        </is>
      </c>
      <c r="D1441" s="115" t="inlineStr">
        <is>
          <t>34 EGS 013</t>
        </is>
      </c>
      <c r="E1441" s="115" t="inlineStr">
        <is>
          <t>UĞUR DUMAN</t>
        </is>
      </c>
      <c r="F1441" s="115" t="n">
        <v>575461</v>
      </c>
      <c r="G1441" s="156" t="n"/>
      <c r="H1441" s="152" t="n">
        <v>378</v>
      </c>
      <c r="I1441" s="156" t="n"/>
      <c r="J1441" s="90" t="n"/>
      <c r="K1441" s="166" t="n"/>
      <c r="L1441" s="158" t="n"/>
      <c r="M1441" s="159" t="n"/>
    </row>
    <row r="1442">
      <c r="A1442" s="116" t="n">
        <v>46141</v>
      </c>
      <c r="B1442" s="115" t="n">
        <v>730</v>
      </c>
      <c r="C1442" s="115" t="inlineStr">
        <is>
          <t>METİN ERYİĞİT</t>
        </is>
      </c>
      <c r="D1442" s="115" t="inlineStr">
        <is>
          <t>34 EGS 013</t>
        </is>
      </c>
      <c r="E1442" s="115" t="inlineStr">
        <is>
          <t>UĞUR DUMAN</t>
        </is>
      </c>
      <c r="F1442" s="115" t="n">
        <v>576270</v>
      </c>
      <c r="G1442" s="156" t="n"/>
      <c r="H1442" s="152" t="n">
        <v>422</v>
      </c>
      <c r="I1442" s="156" t="n"/>
      <c r="J1442" s="90" t="n"/>
      <c r="K1442" s="166" t="n"/>
      <c r="L1442" s="158" t="n"/>
      <c r="M1442" s="159" t="n"/>
    </row>
    <row r="1443">
      <c r="A1443" s="116" t="n">
        <v>46142</v>
      </c>
      <c r="B1443" s="115" t="n">
        <v>731</v>
      </c>
      <c r="C1443" s="115" t="inlineStr">
        <is>
          <t>METİN ERYİĞİT</t>
        </is>
      </c>
      <c r="D1443" s="115" t="inlineStr">
        <is>
          <t>34 EGS 013</t>
        </is>
      </c>
      <c r="E1443" s="115" t="inlineStr">
        <is>
          <t>UĞUR DUMAN</t>
        </is>
      </c>
      <c r="F1443" s="115" t="n">
        <v>576984</v>
      </c>
      <c r="G1443" s="156" t="n"/>
      <c r="H1443" s="152" t="n">
        <v>365</v>
      </c>
      <c r="I1443" s="156" t="n"/>
      <c r="J1443" s="90" t="n"/>
      <c r="K1443" s="166" t="n"/>
      <c r="L1443" s="158" t="n"/>
      <c r="M1443" s="159" t="n"/>
    </row>
    <row r="1444">
      <c r="A1444" s="116" t="n">
        <v>46128</v>
      </c>
      <c r="B1444" s="115" t="n">
        <v>827</v>
      </c>
      <c r="C1444" s="115" t="inlineStr">
        <is>
          <t>METİN ERYİĞİT</t>
        </is>
      </c>
      <c r="D1444" s="115" t="inlineStr">
        <is>
          <t>34 GBL 998</t>
        </is>
      </c>
      <c r="E1444" s="115" t="inlineStr">
        <is>
          <t>ALİ KESKİN</t>
        </is>
      </c>
      <c r="F1444" s="115" t="n">
        <v>359360</v>
      </c>
      <c r="G1444" s="156" t="n"/>
      <c r="H1444" s="152" t="n">
        <v>414</v>
      </c>
      <c r="I1444" s="156" t="n"/>
      <c r="J1444" s="90" t="n"/>
      <c r="K1444" s="166" t="n"/>
      <c r="L1444" s="158" t="n"/>
      <c r="M1444" s="159" t="n"/>
    </row>
    <row r="1445">
      <c r="A1445" s="116" t="n">
        <v>46129</v>
      </c>
      <c r="B1445" s="115" t="n">
        <v>828</v>
      </c>
      <c r="C1445" s="115" t="inlineStr">
        <is>
          <t>METİN ERYİĞİT</t>
        </is>
      </c>
      <c r="D1445" s="115" t="inlineStr">
        <is>
          <t>34 GBL 998</t>
        </is>
      </c>
      <c r="E1445" s="115" t="inlineStr">
        <is>
          <t>ALİ KESKİN</t>
        </is>
      </c>
      <c r="F1445" s="115" t="n">
        <v>359899</v>
      </c>
      <c r="G1445" s="156" t="n"/>
      <c r="H1445" s="152" t="n">
        <v>239</v>
      </c>
      <c r="I1445" s="156" t="n"/>
      <c r="J1445" s="90" t="n"/>
      <c r="K1445" s="166" t="n"/>
      <c r="L1445" s="158" t="n"/>
      <c r="M1445" s="159" t="n"/>
    </row>
    <row r="1446">
      <c r="A1446" s="116" t="n">
        <v>46132</v>
      </c>
      <c r="B1446" s="115" t="n">
        <v>829</v>
      </c>
      <c r="C1446" s="115" t="inlineStr">
        <is>
          <t>METİN ERYİĞİT</t>
        </is>
      </c>
      <c r="D1446" s="115" t="inlineStr">
        <is>
          <t>34 GBL 998</t>
        </is>
      </c>
      <c r="E1446" s="115" t="inlineStr">
        <is>
          <t>ALİ KESKİN</t>
        </is>
      </c>
      <c r="F1446" s="115" t="n">
        <v>360770</v>
      </c>
      <c r="G1446" s="156" t="n"/>
      <c r="H1446" s="152" t="n">
        <v>407</v>
      </c>
      <c r="I1446" s="156" t="n"/>
      <c r="J1446" s="90" t="n"/>
      <c r="K1446" s="166" t="n"/>
      <c r="L1446" s="158" t="n"/>
      <c r="M1446" s="159" t="n"/>
    </row>
    <row r="1447">
      <c r="A1447" s="116" t="n">
        <v>46133</v>
      </c>
      <c r="B1447" s="115" t="n">
        <v>830</v>
      </c>
      <c r="C1447" s="115" t="inlineStr">
        <is>
          <t>METİN ERYİĞİT</t>
        </is>
      </c>
      <c r="D1447" s="115" t="inlineStr">
        <is>
          <t>34 GBL 998</t>
        </is>
      </c>
      <c r="E1447" s="115" t="inlineStr">
        <is>
          <t>ALİ KESKİN</t>
        </is>
      </c>
      <c r="F1447" s="115" t="n">
        <v>361424</v>
      </c>
      <c r="G1447" s="156" t="n"/>
      <c r="H1447" s="152" t="n">
        <v>290</v>
      </c>
      <c r="I1447" s="156" t="n"/>
      <c r="J1447" s="90" t="n"/>
      <c r="K1447" s="166" t="n"/>
      <c r="L1447" s="158" t="n"/>
      <c r="M1447" s="159" t="n"/>
    </row>
    <row r="1448">
      <c r="A1448" s="116" t="n">
        <v>46134</v>
      </c>
      <c r="B1448" s="115" t="n">
        <v>831</v>
      </c>
      <c r="C1448" s="115" t="inlineStr">
        <is>
          <t>METİN ERYİĞİT</t>
        </is>
      </c>
      <c r="D1448" s="115" t="inlineStr">
        <is>
          <t>34 GBL 998</t>
        </is>
      </c>
      <c r="E1448" s="115" t="inlineStr">
        <is>
          <t>ALİ KESKİN</t>
        </is>
      </c>
      <c r="F1448" s="115" t="n">
        <v>361904</v>
      </c>
      <c r="G1448" s="156" t="n"/>
      <c r="H1448" s="152" t="n">
        <v>279</v>
      </c>
      <c r="I1448" s="156" t="n"/>
      <c r="J1448" s="90" t="n"/>
      <c r="K1448" s="166" t="n"/>
      <c r="L1448" s="158" t="n"/>
      <c r="M1448" s="159" t="n"/>
    </row>
    <row r="1449">
      <c r="A1449" s="116" t="n">
        <v>46136</v>
      </c>
      <c r="B1449" s="115" t="n">
        <v>832</v>
      </c>
      <c r="C1449" s="115" t="inlineStr">
        <is>
          <t>METİN ERYİĞİT</t>
        </is>
      </c>
      <c r="D1449" s="115" t="inlineStr">
        <is>
          <t>34 GBL 998</t>
        </is>
      </c>
      <c r="E1449" s="115" t="inlineStr">
        <is>
          <t>ALİ KESKİN</t>
        </is>
      </c>
      <c r="F1449" s="115" t="n">
        <v>362763</v>
      </c>
      <c r="G1449" s="156" t="n"/>
      <c r="H1449" s="152" t="n">
        <v>438</v>
      </c>
      <c r="I1449" s="156" t="n"/>
      <c r="J1449" s="90" t="n"/>
      <c r="K1449" s="166" t="n"/>
      <c r="L1449" s="158" t="n"/>
      <c r="M1449" s="159" t="n"/>
    </row>
    <row r="1450">
      <c r="A1450" s="116" t="n">
        <v>46139</v>
      </c>
      <c r="B1450" s="115" t="n">
        <v>833</v>
      </c>
      <c r="C1450" s="115" t="inlineStr">
        <is>
          <t>METİN ERYİĞİT</t>
        </is>
      </c>
      <c r="D1450" s="115" t="inlineStr">
        <is>
          <t>34 GBL 998</t>
        </is>
      </c>
      <c r="E1450" s="115" t="inlineStr">
        <is>
          <t>ALİ KESKİN</t>
        </is>
      </c>
      <c r="F1450" s="115" t="n">
        <v>363400</v>
      </c>
      <c r="G1450" s="156" t="n"/>
      <c r="H1450" s="152" t="n">
        <v>326</v>
      </c>
      <c r="I1450" s="156" t="n"/>
      <c r="J1450" s="90" t="n"/>
      <c r="K1450" s="166" t="n"/>
      <c r="L1450" s="158" t="n"/>
      <c r="M1450" s="159" t="n"/>
    </row>
    <row r="1451">
      <c r="A1451" s="116" t="n">
        <v>46141</v>
      </c>
      <c r="B1451" s="115" t="n">
        <v>834</v>
      </c>
      <c r="C1451" s="115" t="inlineStr">
        <is>
          <t>METİN ERYİĞİT</t>
        </is>
      </c>
      <c r="D1451" s="115" t="inlineStr">
        <is>
          <t>34 GBL 998</t>
        </is>
      </c>
      <c r="E1451" s="115" t="inlineStr">
        <is>
          <t>ALİ KESKİN</t>
        </is>
      </c>
      <c r="F1451" s="115" t="n">
        <v>364298</v>
      </c>
      <c r="G1451" s="156" t="n"/>
      <c r="H1451" s="152" t="n">
        <v>419</v>
      </c>
      <c r="I1451" s="156" t="n"/>
      <c r="J1451" s="90" t="n"/>
      <c r="K1451" s="166" t="n"/>
      <c r="L1451" s="158" t="n"/>
      <c r="M1451" s="159" t="n"/>
    </row>
    <row r="1452">
      <c r="A1452" s="116" t="n">
        <v>46142</v>
      </c>
      <c r="B1452" s="115" t="n">
        <v>835</v>
      </c>
      <c r="C1452" s="115" t="inlineStr">
        <is>
          <t>METİN ERYİĞİT</t>
        </is>
      </c>
      <c r="D1452" s="115" t="inlineStr">
        <is>
          <t>34 GBL 998</t>
        </is>
      </c>
      <c r="E1452" s="115" t="inlineStr">
        <is>
          <t>ALİ KESKİN</t>
        </is>
      </c>
      <c r="F1452" s="115" t="n">
        <v>364928</v>
      </c>
      <c r="G1452" s="156" t="n"/>
      <c r="H1452" s="152" t="n">
        <v>301</v>
      </c>
      <c r="I1452" s="156" t="n"/>
      <c r="J1452" s="90" t="n"/>
      <c r="K1452" s="166" t="n"/>
      <c r="L1452" s="158" t="n"/>
      <c r="M1452" s="159" t="n"/>
    </row>
    <row r="1453">
      <c r="A1453" s="116" t="n">
        <v>46129</v>
      </c>
      <c r="B1453" s="115" t="n">
        <v>769</v>
      </c>
      <c r="C1453" s="115" t="inlineStr">
        <is>
          <t>METİN ERYİĞİT</t>
        </is>
      </c>
      <c r="D1453" s="115" t="inlineStr">
        <is>
          <t>34 EGR 814</t>
        </is>
      </c>
      <c r="E1453" s="115" t="inlineStr">
        <is>
          <t>SEZGİN KOCAGİL</t>
        </is>
      </c>
      <c r="F1453" s="115" t="n">
        <v>621184</v>
      </c>
      <c r="G1453" s="156" t="n"/>
      <c r="H1453" s="152" t="n">
        <v>443</v>
      </c>
      <c r="I1453" s="156" t="n"/>
      <c r="J1453" s="90" t="n"/>
      <c r="K1453" s="166" t="n"/>
      <c r="L1453" s="158" t="n"/>
      <c r="M1453" s="159" t="n"/>
    </row>
    <row r="1454">
      <c r="A1454" s="116" t="n">
        <v>46132</v>
      </c>
      <c r="B1454" s="115" t="n">
        <v>770</v>
      </c>
      <c r="C1454" s="115" t="inlineStr">
        <is>
          <t>METİN ERYİĞİT</t>
        </is>
      </c>
      <c r="D1454" s="115" t="inlineStr">
        <is>
          <t>34 EGR 814</t>
        </is>
      </c>
      <c r="E1454" s="115" t="inlineStr">
        <is>
          <t>SEZGİN KOCAGİL</t>
        </is>
      </c>
      <c r="F1454" s="115" t="n">
        <v>621843</v>
      </c>
      <c r="G1454" s="156" t="n"/>
      <c r="H1454" s="152" t="n">
        <v>345</v>
      </c>
      <c r="I1454" s="156" t="n"/>
      <c r="J1454" s="90" t="n"/>
      <c r="K1454" s="166" t="n"/>
      <c r="L1454" s="158" t="n"/>
      <c r="M1454" s="159" t="n"/>
    </row>
    <row r="1455">
      <c r="A1455" s="116" t="n">
        <v>46133</v>
      </c>
      <c r="B1455" s="115" t="n">
        <v>771</v>
      </c>
      <c r="C1455" s="115" t="inlineStr">
        <is>
          <t>METİN ERYİĞİT</t>
        </is>
      </c>
      <c r="D1455" s="115" t="inlineStr">
        <is>
          <t>34 EGR 814</t>
        </is>
      </c>
      <c r="E1455" s="115" t="inlineStr">
        <is>
          <t>SEZGİN KOCAGİL</t>
        </is>
      </c>
      <c r="F1455" s="115" t="n">
        <v>622814</v>
      </c>
      <c r="G1455" s="156" t="n"/>
      <c r="H1455" s="152" t="n">
        <v>500</v>
      </c>
      <c r="I1455" s="156" t="n"/>
      <c r="J1455" s="90" t="n"/>
      <c r="K1455" s="166" t="n"/>
      <c r="L1455" s="158" t="n"/>
      <c r="M1455" s="159" t="n"/>
    </row>
    <row r="1456">
      <c r="A1456" s="116" t="n">
        <v>46135</v>
      </c>
      <c r="B1456" s="115" t="n">
        <v>772</v>
      </c>
      <c r="C1456" s="115" t="inlineStr">
        <is>
          <t>METİN ERYİĞİT</t>
        </is>
      </c>
      <c r="D1456" s="115" t="inlineStr">
        <is>
          <t>34 EGR 814</t>
        </is>
      </c>
      <c r="E1456" s="115" t="inlineStr">
        <is>
          <t>SEZGİN KOCAGİL</t>
        </is>
      </c>
      <c r="F1456" s="115" t="n">
        <v>623628</v>
      </c>
      <c r="G1456" s="156" t="n"/>
      <c r="H1456" s="152" t="n">
        <v>490</v>
      </c>
      <c r="I1456" s="156" t="n"/>
      <c r="J1456" s="90" t="n"/>
      <c r="K1456" s="166" t="n"/>
      <c r="L1456" s="158" t="n"/>
      <c r="M1456" s="159" t="n"/>
    </row>
    <row r="1457">
      <c r="A1457" s="116" t="n">
        <v>46137</v>
      </c>
      <c r="B1457" s="115" t="n">
        <v>773</v>
      </c>
      <c r="C1457" s="115" t="inlineStr">
        <is>
          <t>METİN ERYİĞİT</t>
        </is>
      </c>
      <c r="D1457" s="115" t="inlineStr">
        <is>
          <t>34 EGR 814</t>
        </is>
      </c>
      <c r="E1457" s="115" t="inlineStr">
        <is>
          <t>SEZGİN KOCAGİL</t>
        </is>
      </c>
      <c r="F1457" s="115" t="n">
        <v>624481</v>
      </c>
      <c r="G1457" s="156" t="n"/>
      <c r="H1457" s="152" t="n">
        <v>449</v>
      </c>
      <c r="I1457" s="156" t="n"/>
      <c r="J1457" s="90" t="n"/>
      <c r="K1457" s="166" t="n"/>
      <c r="L1457" s="158" t="n"/>
      <c r="M1457" s="159" t="n"/>
    </row>
    <row r="1458">
      <c r="A1458" s="116" t="n">
        <v>46140</v>
      </c>
      <c r="B1458" s="115" t="n">
        <v>774</v>
      </c>
      <c r="C1458" s="115" t="inlineStr">
        <is>
          <t>METİN ERYİĞİT</t>
        </is>
      </c>
      <c r="D1458" s="115" t="inlineStr">
        <is>
          <t>34 EGR 814</t>
        </is>
      </c>
      <c r="E1458" s="115" t="inlineStr">
        <is>
          <t>SEZGİN KOCAGİL</t>
        </is>
      </c>
      <c r="F1458" s="115" t="n">
        <v>625250</v>
      </c>
      <c r="G1458" s="156" t="n"/>
      <c r="H1458" s="152" t="n">
        <v>442</v>
      </c>
      <c r="I1458" s="156" t="n"/>
      <c r="J1458" s="90" t="n"/>
      <c r="K1458" s="166" t="n"/>
      <c r="L1458" s="158" t="n"/>
      <c r="M1458" s="159" t="n"/>
    </row>
    <row r="1459">
      <c r="A1459" s="116" t="n">
        <v>46142</v>
      </c>
      <c r="B1459" s="115" t="n">
        <v>775</v>
      </c>
      <c r="C1459" s="115" t="inlineStr">
        <is>
          <t>METİN ERYİĞİT</t>
        </is>
      </c>
      <c r="D1459" s="115" t="inlineStr">
        <is>
          <t>34 EGR 814</t>
        </is>
      </c>
      <c r="E1459" s="115" t="inlineStr">
        <is>
          <t>SEZGİN KOCAGİL</t>
        </is>
      </c>
      <c r="F1459" s="115" t="n">
        <v>626178</v>
      </c>
      <c r="G1459" s="156" t="n"/>
      <c r="H1459" s="152" t="n">
        <v>485</v>
      </c>
      <c r="I1459" s="156" t="n"/>
      <c r="J1459" s="90" t="n"/>
      <c r="K1459" s="166" t="n"/>
      <c r="L1459" s="158" t="n"/>
      <c r="M1459" s="159" t="n"/>
    </row>
    <row r="1460">
      <c r="A1460" s="116" t="n">
        <v>46129</v>
      </c>
      <c r="B1460" s="115" t="n">
        <v>3296</v>
      </c>
      <c r="C1460" s="115" t="inlineStr">
        <is>
          <t>AZGÜN YAPI</t>
        </is>
      </c>
      <c r="D1460" s="115" t="inlineStr">
        <is>
          <t xml:space="preserve">34 DTV 263 </t>
        </is>
      </c>
      <c r="E1460" s="115" t="inlineStr">
        <is>
          <t>DURSUN ALİ GÜREK</t>
        </is>
      </c>
      <c r="F1460" s="115" t="n">
        <v>448702</v>
      </c>
      <c r="G1460" s="156" t="n"/>
      <c r="H1460" s="152" t="n">
        <v>341</v>
      </c>
      <c r="I1460" s="156" t="n"/>
      <c r="J1460" s="90" t="n"/>
      <c r="K1460" s="166" t="n"/>
      <c r="L1460" s="158" t="n"/>
      <c r="M1460" s="159" t="n"/>
    </row>
    <row r="1461">
      <c r="A1461" s="116" t="n">
        <v>46134</v>
      </c>
      <c r="B1461" s="115" t="n">
        <v>3297</v>
      </c>
      <c r="C1461" s="115" t="inlineStr">
        <is>
          <t>AZGÜN YAPI</t>
        </is>
      </c>
      <c r="D1461" s="115" t="inlineStr">
        <is>
          <t xml:space="preserve">34 DTV 263 </t>
        </is>
      </c>
      <c r="E1461" s="115" t="inlineStr">
        <is>
          <t>DURSUN ALİ GÜREK</t>
        </is>
      </c>
      <c r="F1461" s="115" t="n">
        <v>449386</v>
      </c>
      <c r="G1461" s="156" t="n"/>
      <c r="H1461" s="152" t="n">
        <v>345</v>
      </c>
      <c r="I1461" s="156" t="n"/>
      <c r="J1461" s="90" t="n"/>
      <c r="K1461" s="166" t="n"/>
      <c r="L1461" s="158" t="n"/>
      <c r="M1461" s="159" t="n"/>
    </row>
    <row r="1462">
      <c r="A1462" s="116" t="n">
        <v>46139</v>
      </c>
      <c r="B1462" s="115" t="n">
        <v>3298</v>
      </c>
      <c r="C1462" s="115" t="inlineStr">
        <is>
          <t>AZGÜN YAPI</t>
        </is>
      </c>
      <c r="D1462" s="115" t="inlineStr">
        <is>
          <t xml:space="preserve">34 DTV 263 </t>
        </is>
      </c>
      <c r="E1462" s="115" t="inlineStr">
        <is>
          <t>DURSUN ALİ GÜREK</t>
        </is>
      </c>
      <c r="F1462" s="115" t="n">
        <v>449828</v>
      </c>
      <c r="G1462" s="156" t="n"/>
      <c r="H1462" s="152" t="n">
        <v>256</v>
      </c>
      <c r="I1462" s="156" t="n"/>
      <c r="J1462" s="90" t="n"/>
      <c r="K1462" s="166" t="n"/>
      <c r="L1462" s="158" t="n"/>
      <c r="M1462" s="159" t="n"/>
    </row>
    <row r="1463">
      <c r="A1463" s="116" t="n">
        <v>46141</v>
      </c>
      <c r="B1463" s="115" t="n">
        <v>3299</v>
      </c>
      <c r="C1463" s="115" t="inlineStr">
        <is>
          <t>AZGÜN YAPI</t>
        </is>
      </c>
      <c r="D1463" s="115" t="inlineStr">
        <is>
          <t xml:space="preserve">34 DTV 263 </t>
        </is>
      </c>
      <c r="E1463" s="115" t="inlineStr">
        <is>
          <t>DURSUN ALİ GÜREK</t>
        </is>
      </c>
      <c r="F1463" s="115" t="n">
        <v>450629</v>
      </c>
      <c r="G1463" s="156" t="n"/>
      <c r="H1463" s="152" t="n">
        <v>384</v>
      </c>
      <c r="I1463" s="156" t="n"/>
      <c r="J1463" s="90" t="n"/>
      <c r="K1463" s="166" t="n"/>
      <c r="L1463" s="158" t="n"/>
      <c r="M1463" s="159" t="n"/>
    </row>
    <row r="1464">
      <c r="A1464" s="116" t="n">
        <v>46133</v>
      </c>
      <c r="B1464" s="115" t="n">
        <v>1802</v>
      </c>
      <c r="C1464" s="115" t="inlineStr">
        <is>
          <t>AZGÜN YAPI</t>
        </is>
      </c>
      <c r="D1464" s="115" t="inlineStr">
        <is>
          <t>34 MKT 593</t>
        </is>
      </c>
      <c r="E1464" s="115" t="inlineStr">
        <is>
          <t>TURGUT ÇATAL</t>
        </is>
      </c>
      <c r="F1464" s="115" t="n">
        <v>103378</v>
      </c>
      <c r="G1464" s="156" t="n"/>
      <c r="H1464" s="152" t="n">
        <v>328</v>
      </c>
      <c r="I1464" s="156" t="n"/>
      <c r="J1464" s="90" t="n"/>
      <c r="K1464" s="166" t="n"/>
      <c r="L1464" s="158" t="n"/>
      <c r="M1464" s="159" t="n"/>
    </row>
    <row r="1465">
      <c r="A1465" s="116" t="n">
        <v>46135</v>
      </c>
      <c r="B1465" s="115" t="n">
        <v>1803</v>
      </c>
      <c r="C1465" s="115" t="inlineStr">
        <is>
          <t>AZGÜN YAPI</t>
        </is>
      </c>
      <c r="D1465" s="115" t="inlineStr">
        <is>
          <t>34 MKT 593</t>
        </is>
      </c>
      <c r="E1465" s="115" t="inlineStr">
        <is>
          <t>TURGUT ÇATAL</t>
        </is>
      </c>
      <c r="F1465" s="115" t="n">
        <v>103889</v>
      </c>
      <c r="G1465" s="156" t="n"/>
      <c r="H1465" s="152" t="n">
        <v>257</v>
      </c>
      <c r="I1465" s="156" t="n"/>
      <c r="J1465" s="90" t="n"/>
      <c r="K1465" s="166" t="n"/>
      <c r="L1465" s="158" t="n"/>
      <c r="M1465" s="159" t="n"/>
    </row>
    <row r="1466">
      <c r="A1466" s="116" t="n">
        <v>46137</v>
      </c>
      <c r="B1466" s="115" t="n">
        <v>1804</v>
      </c>
      <c r="C1466" s="115" t="inlineStr">
        <is>
          <t>AZGÜN YAPI</t>
        </is>
      </c>
      <c r="D1466" s="115" t="inlineStr">
        <is>
          <t>34 MKT 593</t>
        </is>
      </c>
      <c r="E1466" s="115" t="inlineStr">
        <is>
          <t>TURGUT ÇATAL</t>
        </is>
      </c>
      <c r="F1466" s="115" t="n">
        <v>104696</v>
      </c>
      <c r="G1466" s="156" t="n"/>
      <c r="H1466" s="152" t="n">
        <v>360</v>
      </c>
      <c r="I1466" s="156" t="n"/>
      <c r="J1466" s="90" t="n"/>
      <c r="K1466" s="166" t="n"/>
      <c r="L1466" s="158" t="n"/>
      <c r="M1466" s="159" t="n"/>
    </row>
    <row r="1467">
      <c r="A1467" s="116" t="n">
        <v>46140</v>
      </c>
      <c r="B1467" s="115" t="n">
        <v>1805</v>
      </c>
      <c r="C1467" s="115" t="inlineStr">
        <is>
          <t>AZGÜN YAPI</t>
        </is>
      </c>
      <c r="D1467" s="115" t="inlineStr">
        <is>
          <t>34 MKT 593</t>
        </is>
      </c>
      <c r="E1467" s="115" t="inlineStr">
        <is>
          <t>TURGUT ÇATAL</t>
        </is>
      </c>
      <c r="F1467" s="115" t="n">
        <v>105502</v>
      </c>
      <c r="G1467" s="156" t="n"/>
      <c r="H1467" s="152" t="n">
        <v>380</v>
      </c>
      <c r="I1467" s="156" t="n"/>
      <c r="J1467" s="90" t="n"/>
      <c r="K1467" s="166" t="n"/>
      <c r="L1467" s="158" t="n"/>
      <c r="M1467" s="159" t="n"/>
    </row>
    <row r="1468">
      <c r="A1468" s="116" t="n">
        <v>46142</v>
      </c>
      <c r="B1468" s="115" t="n">
        <v>1806</v>
      </c>
      <c r="C1468" s="115" t="inlineStr">
        <is>
          <t>AZGÜN YAPI</t>
        </is>
      </c>
      <c r="D1468" s="115" t="inlineStr">
        <is>
          <t>34 MKT 593</t>
        </is>
      </c>
      <c r="E1468" s="115" t="inlineStr">
        <is>
          <t>TURGUT ÇATAL</t>
        </is>
      </c>
      <c r="F1468" s="115" t="n">
        <v>106406</v>
      </c>
      <c r="G1468" s="156" t="n"/>
      <c r="H1468" s="152" t="n">
        <v>366</v>
      </c>
      <c r="I1468" s="156" t="n"/>
      <c r="J1468" s="90" t="n"/>
      <c r="K1468" s="166" t="n"/>
      <c r="L1468" s="158" t="n"/>
      <c r="M1468" s="159" t="n"/>
    </row>
    <row r="1469">
      <c r="A1469" s="116" t="n">
        <v>46128</v>
      </c>
      <c r="B1469" s="115" t="n">
        <v>1404</v>
      </c>
      <c r="C1469" s="115" t="inlineStr">
        <is>
          <t>AZGÜN YAPI</t>
        </is>
      </c>
      <c r="D1469" s="115" t="inlineStr">
        <is>
          <t>34 MKT 859</t>
        </is>
      </c>
      <c r="E1469" s="115" t="inlineStr">
        <is>
          <t>İRFAN DAĞLAR</t>
        </is>
      </c>
      <c r="F1469" s="115" t="n">
        <v>113812</v>
      </c>
      <c r="G1469" s="156" t="n"/>
      <c r="H1469" s="152" t="n">
        <v>302</v>
      </c>
      <c r="I1469" s="156" t="n"/>
      <c r="J1469" s="90" t="n"/>
      <c r="K1469" s="166" t="n"/>
      <c r="L1469" s="158" t="n"/>
      <c r="M1469" s="159" t="n"/>
    </row>
    <row r="1470">
      <c r="A1470" s="116" t="n">
        <v>46130</v>
      </c>
      <c r="B1470" s="115" t="n">
        <v>1405</v>
      </c>
      <c r="C1470" s="115" t="inlineStr">
        <is>
          <t>AZGÜN YAPI</t>
        </is>
      </c>
      <c r="D1470" s="115" t="inlineStr">
        <is>
          <t>34 MKT 859</t>
        </is>
      </c>
      <c r="E1470" s="115" t="inlineStr">
        <is>
          <t>İRFAN DAĞLAR</t>
        </is>
      </c>
      <c r="F1470" s="115" t="n">
        <v>114841</v>
      </c>
      <c r="G1470" s="156" t="n"/>
      <c r="H1470" s="152" t="n">
        <v>385</v>
      </c>
      <c r="I1470" s="156" t="n"/>
      <c r="J1470" s="90" t="n"/>
      <c r="K1470" s="166" t="n"/>
      <c r="L1470" s="158" t="n"/>
      <c r="M1470" s="159" t="n"/>
    </row>
    <row r="1471">
      <c r="A1471" s="116" t="n">
        <v>46133</v>
      </c>
      <c r="B1471" s="115" t="n">
        <v>1406</v>
      </c>
      <c r="C1471" s="115" t="inlineStr">
        <is>
          <t>AZGÜN YAPI</t>
        </is>
      </c>
      <c r="D1471" s="115" t="inlineStr">
        <is>
          <t>34 MKT 859</t>
        </is>
      </c>
      <c r="E1471" s="115" t="inlineStr">
        <is>
          <t>İRFAN DAĞLAR</t>
        </is>
      </c>
      <c r="F1471" s="115" t="n">
        <v>115831</v>
      </c>
      <c r="G1471" s="156" t="n"/>
      <c r="H1471" s="152" t="n">
        <v>391</v>
      </c>
      <c r="I1471" s="156" t="n"/>
      <c r="J1471" s="90" t="n"/>
      <c r="K1471" s="166" t="n"/>
      <c r="L1471" s="158" t="n"/>
      <c r="M1471" s="159" t="n"/>
    </row>
    <row r="1472">
      <c r="A1472" s="116" t="n">
        <v>46135</v>
      </c>
      <c r="B1472" s="115" t="n">
        <v>1407</v>
      </c>
      <c r="C1472" s="115" t="inlineStr">
        <is>
          <t>AZGÜN YAPI</t>
        </is>
      </c>
      <c r="D1472" s="115" t="inlineStr">
        <is>
          <t>34 MKT 859</t>
        </is>
      </c>
      <c r="E1472" s="115" t="inlineStr">
        <is>
          <t>İRFAN DAĞLAR</t>
        </is>
      </c>
      <c r="F1472" s="115" t="n">
        <v>116642</v>
      </c>
      <c r="G1472" s="156" t="n"/>
      <c r="H1472" s="156" t="n">
        <v>790</v>
      </c>
      <c r="I1472" s="156" t="n"/>
      <c r="J1472" s="90" t="n"/>
      <c r="K1472" s="166" t="n"/>
      <c r="L1472" s="158" t="n"/>
      <c r="M1472" s="159" t="n"/>
    </row>
    <row r="1473">
      <c r="A1473" s="116" t="n">
        <v>46137</v>
      </c>
      <c r="B1473" s="115" t="n">
        <v>1408</v>
      </c>
      <c r="C1473" s="115" t="inlineStr">
        <is>
          <t>AZGÜN YAPI</t>
        </is>
      </c>
      <c r="D1473" s="115" t="inlineStr">
        <is>
          <t>34 MKT 859</t>
        </is>
      </c>
      <c r="E1473" s="115" t="inlineStr">
        <is>
          <t>İRFAN DAĞLAR</t>
        </is>
      </c>
      <c r="F1473" s="115" t="n">
        <v>117497</v>
      </c>
      <c r="G1473" s="156" t="n"/>
      <c r="H1473" s="152" t="n">
        <v>406</v>
      </c>
      <c r="I1473" s="156" t="n"/>
      <c r="J1473" s="90" t="n"/>
      <c r="K1473" s="166" t="n"/>
      <c r="L1473" s="158" t="n"/>
      <c r="M1473" s="159" t="n"/>
    </row>
    <row r="1474">
      <c r="A1474" s="116" t="n">
        <v>46140</v>
      </c>
      <c r="B1474" s="115" t="n">
        <v>1409</v>
      </c>
      <c r="C1474" s="115" t="inlineStr">
        <is>
          <t>AZGÜN YAPI</t>
        </is>
      </c>
      <c r="D1474" s="115" t="inlineStr">
        <is>
          <t>34 MKT 859</t>
        </is>
      </c>
      <c r="E1474" s="115" t="inlineStr">
        <is>
          <t>İRFAN DAĞLAR</t>
        </is>
      </c>
      <c r="F1474" s="115" t="n">
        <v>118467</v>
      </c>
      <c r="G1474" s="156" t="n"/>
      <c r="H1474" s="152" t="n">
        <v>230</v>
      </c>
      <c r="I1474" s="156" t="n"/>
      <c r="J1474" s="90" t="n"/>
      <c r="K1474" s="166" t="n"/>
      <c r="L1474" s="158" t="n"/>
      <c r="M1474" s="159" t="n"/>
    </row>
    <row r="1475">
      <c r="A1475" s="116" t="n">
        <v>46142</v>
      </c>
      <c r="B1475" s="115" t="n">
        <v>1410</v>
      </c>
      <c r="C1475" s="115" t="inlineStr">
        <is>
          <t>AZGÜN YAPI</t>
        </is>
      </c>
      <c r="D1475" s="115" t="inlineStr">
        <is>
          <t>34 MKT 859</t>
        </is>
      </c>
      <c r="E1475" s="115" t="inlineStr">
        <is>
          <t>İRFAN DAĞLAR</t>
        </is>
      </c>
      <c r="F1475" s="115" t="n">
        <v>119368</v>
      </c>
      <c r="G1475" s="156" t="n"/>
      <c r="H1475" s="152" t="n">
        <v>325</v>
      </c>
      <c r="I1475" s="156" t="n"/>
      <c r="J1475" s="90" t="n"/>
      <c r="K1475" s="166" t="n"/>
      <c r="L1475" s="158" t="n"/>
      <c r="M1475" s="159" t="n"/>
    </row>
    <row r="1476">
      <c r="A1476" s="116" t="n">
        <v>46141</v>
      </c>
      <c r="B1476" s="115" t="n">
        <v>105</v>
      </c>
      <c r="C1476" s="115" t="inlineStr">
        <is>
          <t>SELİM İNŞAAT</t>
        </is>
      </c>
      <c r="D1476" s="115" t="inlineStr">
        <is>
          <t>34 GUS 848</t>
        </is>
      </c>
      <c r="E1476" s="115" t="inlineStr">
        <is>
          <t>SERDAR BOZKURT</t>
        </is>
      </c>
      <c r="F1476" s="115" t="n">
        <v>239514</v>
      </c>
      <c r="G1476" s="156" t="n"/>
      <c r="H1476" s="152" t="n">
        <v>413</v>
      </c>
      <c r="I1476" s="156" t="n"/>
      <c r="J1476" s="90" t="n"/>
      <c r="K1476" s="166" t="n"/>
      <c r="L1476" s="158" t="n"/>
      <c r="M1476" s="159" t="n"/>
    </row>
    <row r="1477">
      <c r="A1477" s="116" t="n">
        <v>46136</v>
      </c>
      <c r="B1477" s="115" t="n">
        <v>4364</v>
      </c>
      <c r="C1477" s="115" t="inlineStr">
        <is>
          <t>SELİM İNŞAAT</t>
        </is>
      </c>
      <c r="D1477" s="115" t="inlineStr">
        <is>
          <t>34 EDB 829</t>
        </is>
      </c>
      <c r="E1477" s="115" t="inlineStr">
        <is>
          <t>FATİH ÖZBOLAT</t>
        </is>
      </c>
      <c r="F1477" s="115" t="n">
        <v>355590</v>
      </c>
      <c r="G1477" s="156" t="n"/>
      <c r="H1477" s="152" t="n">
        <v>472</v>
      </c>
      <c r="I1477" s="156" t="n"/>
      <c r="J1477" s="90" t="n"/>
      <c r="K1477" s="166" t="n"/>
      <c r="L1477" s="158" t="n"/>
      <c r="M1477" s="159" t="n"/>
    </row>
    <row r="1478">
      <c r="A1478" s="116" t="n">
        <v>46128</v>
      </c>
      <c r="B1478" s="115" t="n">
        <v>2598</v>
      </c>
      <c r="C1478" s="115" t="inlineStr">
        <is>
          <t>SELİM İNŞAAT</t>
        </is>
      </c>
      <c r="D1478" s="115" t="inlineStr">
        <is>
          <t>34 GER 028</t>
        </is>
      </c>
      <c r="E1478" s="115" t="inlineStr">
        <is>
          <t>ABDÜLKERİM ERGEN</t>
        </is>
      </c>
      <c r="F1478" s="115" t="n">
        <v>62114</v>
      </c>
      <c r="G1478" s="156" t="n"/>
      <c r="H1478" s="152" t="n">
        <v>278</v>
      </c>
      <c r="I1478" s="156" t="n"/>
      <c r="J1478" s="90" t="n"/>
      <c r="K1478" s="166" t="n"/>
      <c r="L1478" s="158" t="n"/>
      <c r="M1478" s="159" t="n"/>
    </row>
    <row r="1479">
      <c r="A1479" s="116" t="n">
        <v>46132</v>
      </c>
      <c r="B1479" s="115" t="n">
        <v>2599</v>
      </c>
      <c r="C1479" s="115" t="inlineStr">
        <is>
          <t>SELİM İNŞAAT</t>
        </is>
      </c>
      <c r="D1479" s="115" t="inlineStr">
        <is>
          <t>34 GER 028</t>
        </is>
      </c>
      <c r="E1479" s="115" t="inlineStr">
        <is>
          <t>ABDÜLKERİM ERGEN</t>
        </is>
      </c>
      <c r="F1479" s="115" t="n">
        <v>62404</v>
      </c>
      <c r="G1479" s="156" t="n"/>
      <c r="H1479" s="152" t="n">
        <v>290</v>
      </c>
      <c r="I1479" s="156" t="n"/>
      <c r="J1479" s="90" t="n"/>
      <c r="K1479" s="166" t="n"/>
      <c r="L1479" s="158" t="n"/>
      <c r="M1479" s="159" t="n"/>
    </row>
    <row r="1480">
      <c r="A1480" s="116" t="n">
        <v>46136</v>
      </c>
      <c r="B1480" s="115" t="n">
        <v>2600</v>
      </c>
      <c r="C1480" s="115" t="inlineStr">
        <is>
          <t>SELİM İNŞAAT</t>
        </is>
      </c>
      <c r="D1480" s="115" t="inlineStr">
        <is>
          <t>34 GER 028</t>
        </is>
      </c>
      <c r="E1480" s="115" t="inlineStr">
        <is>
          <t>ABDÜLKERİM ERGEN</t>
        </is>
      </c>
      <c r="F1480" s="115" t="n">
        <v>62681</v>
      </c>
      <c r="G1480" s="156" t="n"/>
      <c r="H1480" s="152" t="n">
        <v>267</v>
      </c>
      <c r="I1480" s="156" t="n"/>
      <c r="J1480" s="90" t="n"/>
      <c r="K1480" s="166" t="n"/>
      <c r="L1480" s="158" t="n"/>
      <c r="M1480" s="159" t="n"/>
    </row>
    <row r="1481">
      <c r="A1481" s="116" t="n">
        <v>46138</v>
      </c>
      <c r="B1481" s="115" t="n">
        <v>1851</v>
      </c>
      <c r="C1481" s="115" t="inlineStr">
        <is>
          <t>SELİM İNŞAAT</t>
        </is>
      </c>
      <c r="D1481" s="115" t="inlineStr">
        <is>
          <t>34 GER 028</t>
        </is>
      </c>
      <c r="E1481" s="115" t="inlineStr">
        <is>
          <t>ABDÜLKERİM ERGEN</t>
        </is>
      </c>
      <c r="F1481" s="115" t="n">
        <v>62881</v>
      </c>
      <c r="G1481" s="156" t="n"/>
      <c r="H1481" s="152" t="n">
        <v>204</v>
      </c>
      <c r="I1481" s="156" t="n"/>
      <c r="J1481" s="90" t="n"/>
      <c r="K1481" s="166" t="n"/>
      <c r="L1481" s="158" t="n"/>
      <c r="M1481" s="159" t="n"/>
    </row>
    <row r="1482">
      <c r="A1482" s="116" t="n">
        <v>46142</v>
      </c>
      <c r="B1482" s="115" t="n">
        <v>1852</v>
      </c>
      <c r="C1482" s="115" t="inlineStr">
        <is>
          <t>SELİM İNŞAAT</t>
        </is>
      </c>
      <c r="D1482" s="115" t="inlineStr">
        <is>
          <t>34 GER 028</t>
        </is>
      </c>
      <c r="E1482" s="115" t="inlineStr">
        <is>
          <t>ABDÜLKERİM ERGEN</t>
        </is>
      </c>
      <c r="F1482" s="115" t="n">
        <v>63197</v>
      </c>
      <c r="G1482" s="156" t="n"/>
      <c r="H1482" s="152" t="n">
        <v>280</v>
      </c>
      <c r="I1482" s="156" t="n"/>
      <c r="J1482" s="90" t="n"/>
      <c r="K1482" s="166" t="n"/>
      <c r="L1482" s="158" t="n"/>
      <c r="M1482" s="159" t="n"/>
    </row>
    <row r="1483">
      <c r="A1483" s="116" t="n">
        <v>46130</v>
      </c>
      <c r="B1483" s="115" t="n">
        <v>2988</v>
      </c>
      <c r="C1483" s="115" t="inlineStr">
        <is>
          <t>SELİM İNŞAAT</t>
        </is>
      </c>
      <c r="D1483" s="115" t="inlineStr">
        <is>
          <t>34 DFE 454</t>
        </is>
      </c>
      <c r="E1483" s="115" t="inlineStr">
        <is>
          <t>HÜSEYİN ALIN</t>
        </is>
      </c>
      <c r="F1483" s="115" t="n">
        <v>176600</v>
      </c>
      <c r="G1483" s="156" t="n"/>
      <c r="H1483" s="152" t="n">
        <v>256</v>
      </c>
      <c r="I1483" s="156" t="n"/>
      <c r="J1483" s="90" t="n"/>
      <c r="K1483" s="166" t="n"/>
      <c r="L1483" s="158" t="n"/>
      <c r="M1483" s="159" t="n"/>
    </row>
    <row r="1484">
      <c r="A1484" s="116" t="n">
        <v>46133</v>
      </c>
      <c r="B1484" s="115" t="n">
        <v>2989</v>
      </c>
      <c r="C1484" s="115" t="inlineStr">
        <is>
          <t>SELİM İNŞAAT</t>
        </is>
      </c>
      <c r="D1484" s="115" t="inlineStr">
        <is>
          <t>34 DFE 454</t>
        </is>
      </c>
      <c r="E1484" s="115" t="inlineStr">
        <is>
          <t>HÜSEYİN ALIN</t>
        </is>
      </c>
      <c r="F1484" s="115" t="n">
        <v>176825</v>
      </c>
      <c r="G1484" s="156" t="n"/>
      <c r="H1484" s="152" t="n">
        <v>282</v>
      </c>
      <c r="I1484" s="156" t="n"/>
      <c r="J1484" s="90" t="n"/>
      <c r="K1484" s="166" t="n"/>
      <c r="L1484" s="158" t="n"/>
      <c r="M1484" s="159" t="n"/>
    </row>
    <row r="1485">
      <c r="A1485" s="116" t="n">
        <v>46137</v>
      </c>
      <c r="B1485" s="115" t="n">
        <v>2990</v>
      </c>
      <c r="C1485" s="115" t="inlineStr">
        <is>
          <t>SELİM İNŞAAT</t>
        </is>
      </c>
      <c r="D1485" s="115" t="inlineStr">
        <is>
          <t>34 DFE 454</t>
        </is>
      </c>
      <c r="E1485" s="115" t="inlineStr">
        <is>
          <t>HÜSEYİN ALIN</t>
        </is>
      </c>
      <c r="F1485" s="115" t="n">
        <v>177065</v>
      </c>
      <c r="G1485" s="156" t="n"/>
      <c r="H1485" s="152" t="n">
        <v>247</v>
      </c>
      <c r="I1485" s="156" t="n"/>
      <c r="J1485" s="90" t="n"/>
      <c r="K1485" s="166" t="n"/>
      <c r="L1485" s="158" t="n"/>
      <c r="M1485" s="159" t="n"/>
    </row>
    <row r="1486">
      <c r="A1486" s="116" t="n">
        <v>46140</v>
      </c>
      <c r="B1486" s="115" t="n">
        <v>2991</v>
      </c>
      <c r="C1486" s="115" t="inlineStr">
        <is>
          <t>SELİM İNŞAAT</t>
        </is>
      </c>
      <c r="D1486" s="115" t="inlineStr">
        <is>
          <t>34 DFE 454</t>
        </is>
      </c>
      <c r="E1486" s="115" t="inlineStr">
        <is>
          <t>HÜSEYİN ALIN</t>
        </is>
      </c>
      <c r="F1486" s="115" t="n">
        <v>177181</v>
      </c>
      <c r="G1486" s="156" t="n"/>
      <c r="H1486" s="152" t="n">
        <v>214</v>
      </c>
      <c r="I1486" s="156" t="n"/>
      <c r="J1486" s="90" t="n"/>
      <c r="K1486" s="166" t="n"/>
      <c r="L1486" s="158" t="n"/>
      <c r="M1486" s="159" t="n"/>
    </row>
    <row r="1487">
      <c r="A1487" s="116" t="n">
        <v>46130</v>
      </c>
      <c r="B1487" s="115" t="n">
        <v>1353</v>
      </c>
      <c r="C1487" s="115" t="inlineStr">
        <is>
          <t>SELİM İNŞAAT</t>
        </is>
      </c>
      <c r="D1487" s="115" t="inlineStr">
        <is>
          <t>34 DP 4161</t>
        </is>
      </c>
      <c r="E1487" s="115" t="inlineStr">
        <is>
          <t>RIFAT KARATAY</t>
        </is>
      </c>
      <c r="F1487" s="115" t="n">
        <v>322501</v>
      </c>
      <c r="G1487" s="156" t="n"/>
      <c r="H1487" s="152" t="n">
        <v>276</v>
      </c>
      <c r="I1487" s="156" t="n"/>
      <c r="J1487" s="90" t="n"/>
      <c r="K1487" s="166" t="n"/>
      <c r="L1487" s="158" t="n"/>
      <c r="M1487" s="159" t="n"/>
    </row>
    <row r="1488">
      <c r="A1488" s="116" t="n">
        <v>46140</v>
      </c>
      <c r="B1488" s="115" t="n">
        <v>1354</v>
      </c>
      <c r="C1488" s="115" t="inlineStr">
        <is>
          <t>SELİM İNŞAAT</t>
        </is>
      </c>
      <c r="D1488" s="115" t="inlineStr">
        <is>
          <t>34 DP 4161</t>
        </is>
      </c>
      <c r="E1488" s="115" t="inlineStr">
        <is>
          <t>RIFAT KARATAY</t>
        </is>
      </c>
      <c r="F1488" s="115" t="n">
        <v>322725</v>
      </c>
      <c r="G1488" s="156" t="n"/>
      <c r="H1488" s="152" t="n">
        <v>269</v>
      </c>
      <c r="I1488" s="156" t="n"/>
      <c r="J1488" s="90" t="n"/>
      <c r="K1488" s="166" t="n"/>
      <c r="L1488" s="158" t="n"/>
      <c r="M1488" s="159" t="n"/>
    </row>
    <row r="1489">
      <c r="A1489" s="116" t="n">
        <v>46129</v>
      </c>
      <c r="B1489" s="115" t="n">
        <v>3740</v>
      </c>
      <c r="C1489" s="115" t="inlineStr">
        <is>
          <t>SELİM İNŞAAT</t>
        </is>
      </c>
      <c r="D1489" s="115" t="inlineStr">
        <is>
          <t>34 DKL 866</t>
        </is>
      </c>
      <c r="E1489" s="115" t="inlineStr">
        <is>
          <t>SELİMCAN ÖNVER</t>
        </is>
      </c>
      <c r="F1489" s="115" t="n">
        <v>84444</v>
      </c>
      <c r="G1489" s="156" t="n"/>
      <c r="H1489" s="152" t="n">
        <v>242</v>
      </c>
      <c r="I1489" s="156" t="n"/>
      <c r="J1489" s="90" t="n"/>
      <c r="K1489" s="166" t="n"/>
      <c r="L1489" s="158" t="n"/>
      <c r="M1489" s="159" t="n"/>
    </row>
    <row r="1490">
      <c r="A1490" s="116" t="n">
        <v>46131</v>
      </c>
      <c r="B1490" s="115" t="n">
        <v>3741</v>
      </c>
      <c r="C1490" s="115" t="inlineStr">
        <is>
          <t>SELİM İNŞAAT</t>
        </is>
      </c>
      <c r="D1490" s="115" t="inlineStr">
        <is>
          <t>34 DKL 866</t>
        </is>
      </c>
      <c r="E1490" s="115" t="inlineStr">
        <is>
          <t>SELİMCAN ÖNVER</t>
        </is>
      </c>
      <c r="F1490" s="115" t="n">
        <v>84540</v>
      </c>
      <c r="G1490" s="156" t="n"/>
      <c r="H1490" s="152" t="n">
        <v>171</v>
      </c>
      <c r="I1490" s="156" t="n"/>
      <c r="J1490" s="90" t="n"/>
      <c r="K1490" s="166" t="n"/>
      <c r="L1490" s="158" t="n"/>
      <c r="M1490" s="159" t="n"/>
    </row>
    <row r="1491">
      <c r="A1491" s="116" t="n">
        <v>46133</v>
      </c>
      <c r="B1491" s="115" t="n">
        <v>3742</v>
      </c>
      <c r="C1491" s="115" t="inlineStr">
        <is>
          <t>SELİM İNŞAAT</t>
        </is>
      </c>
      <c r="D1491" s="115" t="inlineStr">
        <is>
          <t>34 DKL 866</t>
        </is>
      </c>
      <c r="E1491" s="115" t="inlineStr">
        <is>
          <t>SELİMCAN ÖNVER</t>
        </is>
      </c>
      <c r="F1491" s="115" t="n">
        <v>84761</v>
      </c>
      <c r="G1491" s="156" t="n"/>
      <c r="H1491" s="152" t="n">
        <v>280</v>
      </c>
      <c r="I1491" s="156" t="n"/>
      <c r="J1491" s="90" t="n"/>
      <c r="K1491" s="166" t="n"/>
      <c r="L1491" s="158" t="n"/>
      <c r="M1491" s="159" t="n"/>
    </row>
    <row r="1492">
      <c r="A1492" s="116" t="n">
        <v>46137</v>
      </c>
      <c r="B1492" s="115" t="n">
        <v>3743</v>
      </c>
      <c r="C1492" s="115" t="inlineStr">
        <is>
          <t>SELİM İNŞAAT</t>
        </is>
      </c>
      <c r="D1492" s="115" t="inlineStr">
        <is>
          <t>34 DKL 866</t>
        </is>
      </c>
      <c r="E1492" s="115" t="inlineStr">
        <is>
          <t>SELİMCAN ÖNVER</t>
        </is>
      </c>
      <c r="F1492" s="115" t="n">
        <v>84848</v>
      </c>
      <c r="G1492" s="156" t="n"/>
      <c r="H1492" s="152" t="n">
        <v>194</v>
      </c>
      <c r="I1492" s="156" t="n"/>
      <c r="J1492" s="90" t="n"/>
      <c r="K1492" s="166" t="n"/>
      <c r="L1492" s="158" t="n"/>
      <c r="M1492" s="159" t="n"/>
    </row>
    <row r="1493">
      <c r="A1493" s="116" t="n">
        <v>46139</v>
      </c>
      <c r="B1493" s="115" t="n">
        <v>3744</v>
      </c>
      <c r="C1493" s="115" t="inlineStr">
        <is>
          <t>SELİM İNŞAAT</t>
        </is>
      </c>
      <c r="D1493" s="115" t="inlineStr">
        <is>
          <t>34 DKL 866</t>
        </is>
      </c>
      <c r="E1493" s="115" t="inlineStr">
        <is>
          <t>SELİMCAN ÖNVER</t>
        </is>
      </c>
      <c r="F1493" s="115" t="n">
        <v>84931</v>
      </c>
      <c r="G1493" s="156" t="n"/>
      <c r="H1493" s="152" t="n">
        <v>185</v>
      </c>
      <c r="I1493" s="156" t="n"/>
      <c r="J1493" s="90" t="n"/>
      <c r="K1493" s="166" t="n"/>
      <c r="L1493" s="158" t="n"/>
      <c r="M1493" s="159" t="n"/>
    </row>
    <row r="1494">
      <c r="A1494" s="116" t="n">
        <v>46142</v>
      </c>
      <c r="B1494" s="115" t="n">
        <v>3745</v>
      </c>
      <c r="C1494" s="115" t="inlineStr">
        <is>
          <t>SELİM İNŞAAT</t>
        </is>
      </c>
      <c r="D1494" s="115" t="inlineStr">
        <is>
          <t>34 DKL 866</t>
        </is>
      </c>
      <c r="E1494" s="115" t="inlineStr">
        <is>
          <t>SELİMCAN ÖNVER</t>
        </is>
      </c>
      <c r="F1494" s="115" t="n">
        <v>85047</v>
      </c>
      <c r="G1494" s="156" t="n"/>
      <c r="H1494" s="152" t="n">
        <v>198</v>
      </c>
      <c r="I1494" s="156" t="n"/>
      <c r="J1494" s="90" t="n"/>
      <c r="K1494" s="166" t="n"/>
      <c r="L1494" s="158" t="n"/>
      <c r="M1494" s="159" t="n"/>
    </row>
    <row r="1495">
      <c r="A1495" s="116" t="n">
        <v>46130</v>
      </c>
      <c r="B1495" s="115" t="n">
        <v>4475</v>
      </c>
      <c r="C1495" s="115" t="inlineStr">
        <is>
          <t>SELİM İNŞAAT</t>
        </is>
      </c>
      <c r="D1495" s="115" t="inlineStr">
        <is>
          <t>34 DKL 798</t>
        </is>
      </c>
      <c r="E1495" s="115" t="inlineStr">
        <is>
          <t>HASAN BAYCA</t>
        </is>
      </c>
      <c r="F1495" s="115" t="n">
        <v>83164</v>
      </c>
      <c r="G1495" s="156" t="n"/>
      <c r="H1495" s="152" t="n">
        <v>242</v>
      </c>
      <c r="I1495" s="156" t="n"/>
      <c r="J1495" s="90" t="n"/>
      <c r="K1495" s="166" t="n"/>
      <c r="L1495" s="158" t="n"/>
      <c r="M1495" s="159" t="n"/>
    </row>
    <row r="1496">
      <c r="A1496" s="116" t="n">
        <v>46136</v>
      </c>
      <c r="B1496" s="115" t="n">
        <v>4476</v>
      </c>
      <c r="C1496" s="115" t="inlineStr">
        <is>
          <t>SELİM İNŞAAT</t>
        </is>
      </c>
      <c r="D1496" s="115" t="inlineStr">
        <is>
          <t>34 DKL 798</t>
        </is>
      </c>
      <c r="E1496" s="115" t="inlineStr">
        <is>
          <t>HASAN BAYCA</t>
        </is>
      </c>
      <c r="F1496" s="115" t="n">
        <v>83425</v>
      </c>
      <c r="G1496" s="156" t="n"/>
      <c r="H1496" s="152" t="n">
        <v>240</v>
      </c>
      <c r="I1496" s="156" t="n"/>
      <c r="J1496" s="90" t="n"/>
      <c r="K1496" s="166" t="n"/>
      <c r="L1496" s="158" t="n"/>
      <c r="M1496" s="159" t="n"/>
    </row>
    <row r="1497">
      <c r="A1497" s="116" t="n">
        <v>46138</v>
      </c>
      <c r="B1497" s="115" t="n">
        <v>4477</v>
      </c>
      <c r="C1497" s="115" t="inlineStr">
        <is>
          <t>SELİM İNŞAAT</t>
        </is>
      </c>
      <c r="D1497" s="115" t="inlineStr">
        <is>
          <t>34 DKL 798</t>
        </is>
      </c>
      <c r="E1497" s="115" t="inlineStr">
        <is>
          <t>HASAN BAYCA</t>
        </is>
      </c>
      <c r="F1497" s="115" t="n">
        <v>83509</v>
      </c>
      <c r="G1497" s="156" t="n"/>
      <c r="H1497" s="152" t="n">
        <v>192</v>
      </c>
      <c r="I1497" s="156" t="n"/>
      <c r="J1497" s="90" t="n"/>
      <c r="K1497" s="166" t="n"/>
      <c r="L1497" s="158" t="n"/>
      <c r="M1497" s="159" t="n"/>
    </row>
    <row r="1498">
      <c r="A1498" s="116" t="n">
        <v>46142</v>
      </c>
      <c r="B1498" s="115" t="n">
        <v>4478</v>
      </c>
      <c r="C1498" s="115" t="inlineStr">
        <is>
          <t>SELİM İNŞAAT</t>
        </is>
      </c>
      <c r="D1498" s="115" t="inlineStr">
        <is>
          <t>34 DKL 798</t>
        </is>
      </c>
      <c r="E1498" s="115" t="inlineStr">
        <is>
          <t>HASAN BAYCA</t>
        </is>
      </c>
      <c r="F1498" s="115" t="n">
        <v>83665</v>
      </c>
      <c r="G1498" s="156" t="n"/>
      <c r="H1498" s="152" t="n">
        <v>221</v>
      </c>
      <c r="I1498" s="156" t="n"/>
      <c r="J1498" s="90" t="n"/>
      <c r="K1498" s="166" t="n"/>
      <c r="L1498" s="158" t="n"/>
      <c r="M1498" s="159" t="n"/>
    </row>
    <row r="1499">
      <c r="A1499" s="116" t="n">
        <v>46130</v>
      </c>
      <c r="B1499" s="115" t="n">
        <v>311</v>
      </c>
      <c r="C1499" s="115" t="inlineStr">
        <is>
          <t>SELİM İNŞAAT</t>
        </is>
      </c>
      <c r="D1499" s="115" t="inlineStr">
        <is>
          <t>34 GER 445</t>
        </is>
      </c>
      <c r="E1499" s="115" t="inlineStr">
        <is>
          <t>SERVET KARANFİL</t>
        </is>
      </c>
      <c r="F1499" s="115" t="n">
        <v>59592</v>
      </c>
      <c r="G1499" s="156" t="n"/>
      <c r="H1499" s="152" t="n">
        <v>247</v>
      </c>
      <c r="I1499" s="156" t="n"/>
      <c r="J1499" s="90" t="n"/>
      <c r="K1499" s="166" t="n"/>
      <c r="L1499" s="158" t="n"/>
      <c r="M1499" s="159" t="n"/>
    </row>
    <row r="1500">
      <c r="A1500" s="116" t="n">
        <v>46137</v>
      </c>
      <c r="B1500" s="115" t="n">
        <v>312</v>
      </c>
      <c r="C1500" s="115" t="inlineStr">
        <is>
          <t>SELİM İNŞAAT</t>
        </is>
      </c>
      <c r="D1500" s="115" t="inlineStr">
        <is>
          <t>34 GER 445</t>
        </is>
      </c>
      <c r="E1500" s="115" t="inlineStr">
        <is>
          <t>SERVET KARANFİL</t>
        </is>
      </c>
      <c r="F1500" s="115" t="n">
        <v>59904</v>
      </c>
      <c r="G1500" s="156" t="n"/>
      <c r="H1500" s="152" t="n">
        <v>243</v>
      </c>
      <c r="I1500" s="156" t="n"/>
      <c r="J1500" s="90" t="n"/>
      <c r="K1500" s="166" t="n"/>
      <c r="L1500" s="158" t="n"/>
      <c r="M1500" s="159" t="n"/>
    </row>
    <row r="1501">
      <c r="A1501" s="116" t="n">
        <v>46141</v>
      </c>
      <c r="B1501" s="115" t="n">
        <v>313</v>
      </c>
      <c r="C1501" s="115" t="inlineStr">
        <is>
          <t>SELİM İNŞAAT</t>
        </is>
      </c>
      <c r="D1501" s="115" t="inlineStr">
        <is>
          <t>34 GER 445</t>
        </is>
      </c>
      <c r="E1501" s="115" t="inlineStr">
        <is>
          <t>SERVET KARANFİL</t>
        </is>
      </c>
      <c r="F1501" s="115" t="n">
        <v>60252</v>
      </c>
      <c r="G1501" s="156" t="n"/>
      <c r="H1501" s="152" t="n">
        <v>246</v>
      </c>
      <c r="I1501" s="156" t="n"/>
      <c r="J1501" s="90" t="n"/>
      <c r="K1501" s="166" t="n"/>
      <c r="L1501" s="158" t="n"/>
      <c r="M1501" s="159" t="n"/>
    </row>
    <row r="1502">
      <c r="A1502" s="116" t="n">
        <v>46130</v>
      </c>
      <c r="B1502" s="115" t="n">
        <v>1639</v>
      </c>
      <c r="C1502" s="115" t="inlineStr">
        <is>
          <t>SELİM İNŞAAT</t>
        </is>
      </c>
      <c r="D1502" s="115" t="inlineStr">
        <is>
          <t>34 VF 2620</t>
        </is>
      </c>
      <c r="E1502" s="115" t="inlineStr">
        <is>
          <t>RECEP SELİM</t>
        </is>
      </c>
      <c r="F1502" s="115" t="n">
        <v>204996</v>
      </c>
      <c r="G1502" s="156" t="n"/>
      <c r="H1502" s="152" t="n">
        <v>74</v>
      </c>
      <c r="I1502" s="156" t="n"/>
      <c r="J1502" s="90" t="n"/>
      <c r="K1502" s="166" t="n"/>
      <c r="L1502" s="158" t="n"/>
      <c r="M1502" s="159" t="n"/>
    </row>
    <row r="1503">
      <c r="A1503" s="116" t="n">
        <v>46136</v>
      </c>
      <c r="B1503" s="115" t="n">
        <v>1640</v>
      </c>
      <c r="C1503" s="115" t="inlineStr">
        <is>
          <t>SELİM İNŞAAT</t>
        </is>
      </c>
      <c r="D1503" s="115" t="inlineStr">
        <is>
          <t>34 VF 2620</t>
        </is>
      </c>
      <c r="E1503" s="115" t="inlineStr">
        <is>
          <t>RECEP SELİM</t>
        </is>
      </c>
      <c r="F1503" s="115" t="n">
        <v>205460</v>
      </c>
      <c r="G1503" s="156" t="n"/>
      <c r="H1503" s="152" t="n">
        <v>64</v>
      </c>
      <c r="I1503" s="156">
        <f>+I1327+(G1503-H1503)</f>
        <v/>
      </c>
      <c r="J1503" s="90" t="n"/>
      <c r="K1503" s="166" t="n"/>
      <c r="L1503" s="158">
        <f>+H1503*J1503</f>
        <v/>
      </c>
      <c r="M1503" s="159">
        <f>SUM(M1327+K1503-L1503)</f>
        <v/>
      </c>
    </row>
    <row r="1504">
      <c r="A1504" s="116" t="n">
        <v>46142</v>
      </c>
      <c r="B1504" s="115" t="n">
        <v>1641</v>
      </c>
      <c r="C1504" s="115" t="inlineStr">
        <is>
          <t>SELİM İNŞAAT</t>
        </is>
      </c>
      <c r="D1504" s="115" t="inlineStr">
        <is>
          <t>34 VF 2620</t>
        </is>
      </c>
      <c r="E1504" s="115" t="inlineStr">
        <is>
          <t>RECEP SELİM</t>
        </is>
      </c>
      <c r="F1504" s="115" t="n">
        <v>205823</v>
      </c>
      <c r="G1504" s="156" t="n"/>
      <c r="H1504" s="152" t="n">
        <v>66</v>
      </c>
      <c r="I1504" s="156">
        <f>+I1503+(G1504-H1504)</f>
        <v/>
      </c>
      <c r="J1504" s="90" t="n"/>
      <c r="K1504" s="166" t="n"/>
      <c r="L1504" s="158">
        <f>+H1504*J1504</f>
        <v/>
      </c>
      <c r="M1504" s="159">
        <f>SUM(M1503+K1504-L1504)</f>
        <v/>
      </c>
    </row>
    <row r="1505">
      <c r="A1505" s="116" t="n">
        <v>46132</v>
      </c>
      <c r="B1505" s="115" t="n">
        <v>1777</v>
      </c>
      <c r="C1505" s="115" t="inlineStr">
        <is>
          <t>SELİM İNŞAAT</t>
        </is>
      </c>
      <c r="D1505" s="115" t="inlineStr">
        <is>
          <t>34 JBA 25</t>
        </is>
      </c>
      <c r="E1505" s="115" t="inlineStr">
        <is>
          <t>ABDURAHMAN SERDAN</t>
        </is>
      </c>
      <c r="F1505" s="115" t="n">
        <v>349552</v>
      </c>
      <c r="G1505" s="156" t="n"/>
      <c r="H1505" s="152" t="n">
        <v>60</v>
      </c>
      <c r="I1505" s="156">
        <f>+I1504+(G1505-H1505)</f>
        <v/>
      </c>
      <c r="J1505" s="90" t="n"/>
      <c r="K1505" s="166" t="n"/>
      <c r="L1505" s="158">
        <f>+H1505*J1505</f>
        <v/>
      </c>
      <c r="M1505" s="159">
        <f>SUM(M1504+K1505-L1505)</f>
        <v/>
      </c>
    </row>
    <row r="1506">
      <c r="A1506" s="116" t="n">
        <v>46142</v>
      </c>
      <c r="B1506" s="115" t="n">
        <v>1778</v>
      </c>
      <c r="C1506" s="115" t="inlineStr">
        <is>
          <t>SELİM İNŞAAT</t>
        </is>
      </c>
      <c r="D1506" s="115" t="inlineStr">
        <is>
          <t>34 JBA 25</t>
        </is>
      </c>
      <c r="E1506" s="115" t="inlineStr">
        <is>
          <t>ABDURAHMAN SERDAN</t>
        </is>
      </c>
      <c r="F1506" s="115" t="n">
        <v>350054</v>
      </c>
      <c r="G1506" s="156" t="n"/>
      <c r="H1506" s="152" t="n">
        <v>72</v>
      </c>
      <c r="I1506" s="156">
        <f>+I1505+(G1506-H1506)</f>
        <v/>
      </c>
      <c r="J1506" s="90" t="n"/>
      <c r="K1506" s="166" t="n"/>
      <c r="L1506" s="158">
        <f>+H1506*J1506</f>
        <v/>
      </c>
      <c r="M1506" s="159">
        <f>SUM(M1505+K1506-L1506)</f>
        <v/>
      </c>
    </row>
    <row r="1507">
      <c r="A1507" s="116" t="n">
        <v>46129</v>
      </c>
      <c r="B1507" s="115" t="n">
        <v>556</v>
      </c>
      <c r="C1507" s="115" t="inlineStr">
        <is>
          <t>SELİM İNŞAAT</t>
        </is>
      </c>
      <c r="D1507" s="115" t="inlineStr">
        <is>
          <t>34 JGR 15</t>
        </is>
      </c>
      <c r="E1507" s="115" t="inlineStr">
        <is>
          <t>ÖNER DÜNDAR</t>
        </is>
      </c>
      <c r="F1507" s="115" t="n">
        <v>333625</v>
      </c>
      <c r="G1507" s="156" t="n"/>
      <c r="H1507" s="152" t="n">
        <v>56</v>
      </c>
      <c r="I1507" s="156">
        <f>+I1506+(G1507-H1507)</f>
        <v/>
      </c>
      <c r="J1507" s="90" t="n"/>
      <c r="K1507" s="166" t="n"/>
      <c r="L1507" s="158">
        <f>+H1507*J1507</f>
        <v/>
      </c>
      <c r="M1507" s="159">
        <f>SUM(M1506+K1507-L1507)</f>
        <v/>
      </c>
    </row>
    <row r="1508">
      <c r="A1508" s="116" t="n">
        <v>46132</v>
      </c>
      <c r="B1508" s="115" t="n">
        <v>557</v>
      </c>
      <c r="C1508" s="115" t="inlineStr">
        <is>
          <t>SELİM İNŞAAT</t>
        </is>
      </c>
      <c r="D1508" s="115" t="inlineStr">
        <is>
          <t>34 JGR 15</t>
        </is>
      </c>
      <c r="E1508" s="115" t="inlineStr">
        <is>
          <t>ÖNER DÜNDAR</t>
        </is>
      </c>
      <c r="F1508" s="115" t="n">
        <v>333802</v>
      </c>
      <c r="G1508" s="156" t="n"/>
      <c r="H1508" s="152" t="n">
        <v>30</v>
      </c>
      <c r="I1508" s="156">
        <f>+I1507+(G1508-H1508)</f>
        <v/>
      </c>
      <c r="J1508" s="90" t="n"/>
      <c r="K1508" s="166" t="n"/>
      <c r="L1508" s="158">
        <f>+H1508*J1508</f>
        <v/>
      </c>
      <c r="M1508" s="159">
        <f>SUM(M1507+K1508-L1508)</f>
        <v/>
      </c>
    </row>
    <row r="1509">
      <c r="A1509" s="116" t="n">
        <v>46139</v>
      </c>
      <c r="B1509" s="115" t="n">
        <v>558</v>
      </c>
      <c r="C1509" s="115" t="inlineStr">
        <is>
          <t>SELİM İNŞAAT</t>
        </is>
      </c>
      <c r="D1509" s="115" t="inlineStr">
        <is>
          <t>34 JGR 15</t>
        </is>
      </c>
      <c r="E1509" s="115" t="inlineStr">
        <is>
          <t>ÖNER DÜNDAR</t>
        </is>
      </c>
      <c r="F1509" s="115" t="n">
        <v>334177</v>
      </c>
      <c r="G1509" s="156" t="n"/>
      <c r="H1509" s="152" t="n">
        <v>64</v>
      </c>
      <c r="I1509" s="156">
        <f>+I1508+(G1509-H1509)</f>
        <v/>
      </c>
      <c r="J1509" s="90" t="n"/>
      <c r="K1509" s="166" t="n"/>
      <c r="L1509" s="158">
        <f>+H1509*J1509</f>
        <v/>
      </c>
      <c r="M1509" s="159">
        <f>SUM(M1508+K1509-L1509)</f>
        <v/>
      </c>
    </row>
    <row r="1510">
      <c r="A1510" s="116" t="n">
        <v>46142</v>
      </c>
      <c r="B1510" s="115" t="n">
        <v>559</v>
      </c>
      <c r="C1510" s="115" t="inlineStr">
        <is>
          <t>SELİM İNŞAAT</t>
        </is>
      </c>
      <c r="D1510" s="115" t="inlineStr">
        <is>
          <t>34 JGR 15</t>
        </is>
      </c>
      <c r="E1510" s="115" t="inlineStr">
        <is>
          <t>ÖNER DÜNDAR</t>
        </is>
      </c>
      <c r="F1510" s="115" t="n">
        <v>334340</v>
      </c>
      <c r="G1510" s="156" t="n"/>
      <c r="H1510" s="152" t="n">
        <v>34</v>
      </c>
      <c r="I1510" s="156">
        <f>+I1509+(G1510-H1510)</f>
        <v/>
      </c>
      <c r="J1510" s="90" t="n"/>
      <c r="K1510" s="166" t="n"/>
      <c r="L1510" s="158">
        <f>+H1510*J1510</f>
        <v/>
      </c>
      <c r="M1510" s="159">
        <f>SUM(M1509+K1510-L1510)</f>
        <v/>
      </c>
    </row>
    <row r="1511">
      <c r="A1511" s="116" t="n">
        <v>46131</v>
      </c>
      <c r="B1511" s="115" t="n">
        <v>1901</v>
      </c>
      <c r="C1511" s="115" t="inlineStr">
        <is>
          <t>SELİM İNŞAAT</t>
        </is>
      </c>
      <c r="D1511" s="115" t="inlineStr">
        <is>
          <t>34 FEM 934</t>
        </is>
      </c>
      <c r="E1511" s="115" t="inlineStr">
        <is>
          <t>RECEP SELİM</t>
        </is>
      </c>
      <c r="F1511" s="115" t="n">
        <v>337392</v>
      </c>
      <c r="G1511" s="156" t="n"/>
      <c r="H1511" s="152" t="n">
        <v>84</v>
      </c>
      <c r="I1511" s="156">
        <f>+I1510+(G1511-H1511)</f>
        <v/>
      </c>
      <c r="J1511" s="90" t="n"/>
      <c r="K1511" s="166" t="n"/>
      <c r="L1511" s="158">
        <f>+H1511*J1511</f>
        <v/>
      </c>
      <c r="M1511" s="159">
        <f>SUM(M1510+K1511-L1511)</f>
        <v/>
      </c>
    </row>
    <row r="1512">
      <c r="A1512" s="116" t="n">
        <v>46135</v>
      </c>
      <c r="B1512" s="115" t="n">
        <v>1902</v>
      </c>
      <c r="C1512" s="115" t="inlineStr">
        <is>
          <t>SELİM İNŞAAT</t>
        </is>
      </c>
      <c r="D1512" s="115" t="inlineStr">
        <is>
          <t>34 FEM 934</t>
        </is>
      </c>
      <c r="E1512" s="115" t="inlineStr">
        <is>
          <t>RECEP SELİM</t>
        </is>
      </c>
      <c r="F1512" s="115" t="n">
        <v>337753</v>
      </c>
      <c r="G1512" s="156" t="n"/>
      <c r="H1512" s="152" t="n">
        <v>64</v>
      </c>
      <c r="I1512" s="156">
        <f>+I1511+(G1512-H1512)</f>
        <v/>
      </c>
      <c r="J1512" s="90" t="n"/>
      <c r="K1512" s="166" t="n"/>
      <c r="L1512" s="158">
        <f>+H1512*J1512</f>
        <v/>
      </c>
      <c r="M1512" s="159">
        <f>SUM(M1511+K1512-L1512)</f>
        <v/>
      </c>
    </row>
    <row r="1513">
      <c r="A1513" s="116" t="n">
        <v>46140</v>
      </c>
      <c r="B1513" s="115" t="n">
        <v>1903</v>
      </c>
      <c r="C1513" s="115" t="inlineStr">
        <is>
          <t>SELİM İNŞAAT</t>
        </is>
      </c>
      <c r="D1513" s="115" t="inlineStr">
        <is>
          <t>34 FEM 934</t>
        </is>
      </c>
      <c r="E1513" s="115" t="inlineStr">
        <is>
          <t>RECEP SELİM</t>
        </is>
      </c>
      <c r="F1513" s="115" t="n">
        <v>338150</v>
      </c>
      <c r="G1513" s="156" t="n"/>
      <c r="H1513" s="152" t="n">
        <v>62</v>
      </c>
      <c r="I1513" s="156">
        <f>+I1512+(G1513-H1513)</f>
        <v/>
      </c>
      <c r="J1513" s="90" t="n"/>
      <c r="K1513" s="166" t="n"/>
      <c r="L1513" s="158">
        <f>+H1513*J1513</f>
        <v/>
      </c>
      <c r="M1513" s="159">
        <f>SUM(M1512+K1513-L1513)</f>
        <v/>
      </c>
    </row>
    <row r="1514">
      <c r="A1514" s="116" t="n">
        <v>46128</v>
      </c>
      <c r="B1514" s="115" t="n">
        <v>4027</v>
      </c>
      <c r="C1514" s="115" t="inlineStr">
        <is>
          <t>SELİM İNŞAAT</t>
        </is>
      </c>
      <c r="D1514" s="115" t="inlineStr">
        <is>
          <t>34 AR 7743</t>
        </is>
      </c>
      <c r="E1514" s="115" t="inlineStr">
        <is>
          <t>MEHMET SELİM</t>
        </is>
      </c>
      <c r="F1514" s="115" t="n">
        <v>376610</v>
      </c>
      <c r="G1514" s="156" t="n"/>
      <c r="H1514" s="152" t="n">
        <v>55</v>
      </c>
      <c r="I1514" s="156">
        <f>+I1513+(G1514-H1514)</f>
        <v/>
      </c>
      <c r="J1514" s="90" t="n"/>
      <c r="K1514" s="166" t="n"/>
      <c r="L1514" s="158">
        <f>+H1514*J1514</f>
        <v/>
      </c>
      <c r="M1514" s="159">
        <f>SUM(M1513+K1514-L1514)</f>
        <v/>
      </c>
    </row>
    <row r="1515">
      <c r="A1515" s="116" t="n">
        <v>46130</v>
      </c>
      <c r="B1515" s="115" t="n">
        <v>4028</v>
      </c>
      <c r="C1515" s="115" t="inlineStr">
        <is>
          <t>SELİM İNŞAAT</t>
        </is>
      </c>
      <c r="D1515" s="115" t="inlineStr">
        <is>
          <t>34 AR 7743</t>
        </is>
      </c>
      <c r="E1515" s="115" t="inlineStr">
        <is>
          <t>MEHMET SELİM</t>
        </is>
      </c>
      <c r="F1515" s="115" t="n">
        <v>376844</v>
      </c>
      <c r="G1515" s="156" t="n"/>
      <c r="H1515" s="152" t="n">
        <v>52</v>
      </c>
      <c r="I1515" s="156">
        <f>+I1514+(G1515-H1515)</f>
        <v/>
      </c>
      <c r="J1515" s="90" t="n"/>
      <c r="K1515" s="166" t="n"/>
      <c r="L1515" s="158">
        <f>+H1515*J1515</f>
        <v/>
      </c>
      <c r="M1515" s="159">
        <f>SUM(M1514+K1515-L1515)</f>
        <v/>
      </c>
    </row>
    <row r="1516">
      <c r="A1516" s="116" t="n">
        <v>46134</v>
      </c>
      <c r="B1516" s="115" t="n">
        <v>4029</v>
      </c>
      <c r="C1516" s="115" t="inlineStr">
        <is>
          <t>SELİM İNŞAAT</t>
        </is>
      </c>
      <c r="D1516" s="115" t="inlineStr">
        <is>
          <t>34 AR 7743</t>
        </is>
      </c>
      <c r="E1516" s="115" t="inlineStr">
        <is>
          <t>MEHMET SELİM</t>
        </is>
      </c>
      <c r="F1516" s="115" t="n">
        <v>377141</v>
      </c>
      <c r="G1516" s="156" t="n"/>
      <c r="H1516" s="152" t="n">
        <v>60</v>
      </c>
      <c r="I1516" s="156">
        <f>+I1515+(G1516-H1516)</f>
        <v/>
      </c>
      <c r="J1516" s="90" t="n"/>
      <c r="K1516" s="166" t="n"/>
      <c r="L1516" s="158">
        <f>+H1516*J1516</f>
        <v/>
      </c>
      <c r="M1516" s="159">
        <f>SUM(M1515+K1516-L1516)</f>
        <v/>
      </c>
    </row>
    <row r="1517">
      <c r="A1517" s="116" t="n">
        <v>46138</v>
      </c>
      <c r="B1517" s="115" t="n">
        <v>4030</v>
      </c>
      <c r="C1517" s="115" t="inlineStr">
        <is>
          <t>SELİM İNŞAAT</t>
        </is>
      </c>
      <c r="D1517" s="115" t="inlineStr">
        <is>
          <t>34 AR 7743</t>
        </is>
      </c>
      <c r="E1517" s="115" t="inlineStr">
        <is>
          <t>MEHMET SELİM</t>
        </is>
      </c>
      <c r="F1517" s="115" t="n">
        <v>377394</v>
      </c>
      <c r="G1517" s="156" t="n"/>
      <c r="H1517" s="152" t="n">
        <v>56</v>
      </c>
      <c r="I1517" s="156">
        <f>+I1516+(G1517-H1517)</f>
        <v/>
      </c>
      <c r="J1517" s="90" t="n"/>
      <c r="K1517" s="166" t="n"/>
      <c r="L1517" s="158">
        <f>+H1517*J1517</f>
        <v/>
      </c>
      <c r="M1517" s="159">
        <f>SUM(M1516+K1517-L1517)</f>
        <v/>
      </c>
    </row>
    <row r="1518">
      <c r="A1518" s="116" t="n">
        <v>46141</v>
      </c>
      <c r="B1518" s="115" t="n">
        <v>4031</v>
      </c>
      <c r="C1518" s="115" t="inlineStr">
        <is>
          <t>SELİM İNŞAAT</t>
        </is>
      </c>
      <c r="D1518" s="115" t="inlineStr">
        <is>
          <t>34 AR 7743</t>
        </is>
      </c>
      <c r="E1518" s="115" t="inlineStr">
        <is>
          <t>MEHMET SELİM</t>
        </is>
      </c>
      <c r="F1518" s="115" t="n">
        <v>377686</v>
      </c>
      <c r="G1518" s="156" t="n"/>
      <c r="H1518" s="152" t="n">
        <v>54</v>
      </c>
      <c r="I1518" s="156">
        <f>+I1517+(G1518-H1518)</f>
        <v/>
      </c>
      <c r="J1518" s="90" t="n"/>
      <c r="K1518" s="166" t="n"/>
      <c r="L1518" s="158">
        <f>+H1518*J1518</f>
        <v/>
      </c>
      <c r="M1518" s="159">
        <f>SUM(M1517+K1518-L1518)</f>
        <v/>
      </c>
    </row>
    <row r="1519">
      <c r="A1519" s="116" t="n">
        <v>46130</v>
      </c>
      <c r="B1519" s="115" t="n">
        <v>660</v>
      </c>
      <c r="C1519" s="115" t="inlineStr">
        <is>
          <t>SELİM İNŞAAT</t>
        </is>
      </c>
      <c r="D1519" s="115" t="inlineStr">
        <is>
          <t>34 GU 945</t>
        </is>
      </c>
      <c r="E1519" s="115" t="inlineStr">
        <is>
          <t>TURAN SEVİNDİK</t>
        </is>
      </c>
      <c r="F1519" s="115" t="n">
        <v>475733</v>
      </c>
      <c r="G1519" s="156" t="n"/>
      <c r="H1519" s="152" t="n">
        <v>50</v>
      </c>
      <c r="I1519" s="156">
        <f>+I1518+(G1519-H1519)</f>
        <v/>
      </c>
      <c r="J1519" s="90" t="n"/>
      <c r="K1519" s="166" t="n"/>
      <c r="L1519" s="158">
        <f>+H1519*J1519</f>
        <v/>
      </c>
      <c r="M1519" s="159">
        <f>SUM(M1518+K1519-L1519)</f>
        <v/>
      </c>
    </row>
    <row r="1520">
      <c r="A1520" s="116" t="n">
        <v>46135</v>
      </c>
      <c r="B1520" s="115" t="n">
        <v>661</v>
      </c>
      <c r="C1520" s="115" t="inlineStr">
        <is>
          <t>SELİM İNŞAAT</t>
        </is>
      </c>
      <c r="D1520" s="115" t="inlineStr">
        <is>
          <t>34 GU 945</t>
        </is>
      </c>
      <c r="E1520" s="115" t="inlineStr">
        <is>
          <t>TURAN SEVİNDİK</t>
        </is>
      </c>
      <c r="F1520" s="115" t="n">
        <v>476235</v>
      </c>
      <c r="G1520" s="156" t="n"/>
      <c r="H1520" s="152" t="n">
        <v>67</v>
      </c>
      <c r="I1520" s="156">
        <f>+I1519+(G1520-H1520)</f>
        <v/>
      </c>
      <c r="J1520" s="90" t="n"/>
      <c r="K1520" s="166" t="n"/>
      <c r="L1520" s="158">
        <f>+H1520*J1520</f>
        <v/>
      </c>
      <c r="M1520" s="159">
        <f>SUM(M1519+K1520-L1520)</f>
        <v/>
      </c>
    </row>
    <row r="1521">
      <c r="A1521" s="116" t="n">
        <v>46137</v>
      </c>
      <c r="B1521" s="115" t="n">
        <v>662</v>
      </c>
      <c r="C1521" s="115" t="inlineStr">
        <is>
          <t>SELİM İNŞAAT</t>
        </is>
      </c>
      <c r="D1521" s="115" t="inlineStr">
        <is>
          <t>34 GU 945</t>
        </is>
      </c>
      <c r="E1521" s="115" t="inlineStr">
        <is>
          <t>TURAN SEVİNDİK</t>
        </is>
      </c>
      <c r="F1521" s="115" t="n">
        <v>476682</v>
      </c>
      <c r="G1521" s="156" t="n"/>
      <c r="H1521" s="152" t="n">
        <v>64</v>
      </c>
      <c r="I1521" s="156">
        <f>+I1520+(G1521-H1521)</f>
        <v/>
      </c>
      <c r="J1521" s="90" t="n"/>
      <c r="K1521" s="166" t="n"/>
      <c r="L1521" s="158">
        <f>+H1521*J1521</f>
        <v/>
      </c>
      <c r="M1521" s="159">
        <f>SUM(M1520+K1521-L1521)</f>
        <v/>
      </c>
    </row>
    <row r="1522">
      <c r="A1522" s="116" t="n">
        <v>46141</v>
      </c>
      <c r="B1522" s="115" t="n">
        <v>663</v>
      </c>
      <c r="C1522" s="115" t="inlineStr">
        <is>
          <t>SELİM İNŞAAT</t>
        </is>
      </c>
      <c r="D1522" s="115" t="inlineStr">
        <is>
          <t>34 GU 945</t>
        </is>
      </c>
      <c r="E1522" s="115" t="inlineStr">
        <is>
          <t>TURAN SEVİNDİK</t>
        </is>
      </c>
      <c r="F1522" s="115" t="n">
        <v>477189</v>
      </c>
      <c r="G1522" s="156" t="n"/>
      <c r="H1522" s="152" t="n">
        <v>71</v>
      </c>
      <c r="I1522" s="156">
        <f>+I1521+(G1522-H1522)</f>
        <v/>
      </c>
      <c r="J1522" s="90" t="n"/>
      <c r="K1522" s="166" t="n"/>
      <c r="L1522" s="158">
        <f>+H1522*J1522</f>
        <v/>
      </c>
      <c r="M1522" s="159">
        <f>SUM(M1521+K1522-L1522)</f>
        <v/>
      </c>
    </row>
    <row r="1523">
      <c r="A1523" s="116" t="n">
        <v>46128</v>
      </c>
      <c r="B1523" s="115" t="n">
        <v>1605</v>
      </c>
      <c r="C1523" s="115" t="inlineStr">
        <is>
          <t>SELİM İNŞAAT</t>
        </is>
      </c>
      <c r="D1523" s="115" t="inlineStr">
        <is>
          <t>JCB</t>
        </is>
      </c>
      <c r="E1523" s="115" t="inlineStr">
        <is>
          <t>BAYRAM SANCAK</t>
        </is>
      </c>
      <c r="F1523" s="115" t="n"/>
      <c r="G1523" s="156" t="n"/>
      <c r="H1523" s="152" t="n">
        <v>82</v>
      </c>
      <c r="I1523" s="156">
        <f>+I1522+(G1523-H1523)</f>
        <v/>
      </c>
      <c r="J1523" s="90" t="n"/>
      <c r="K1523" s="166" t="n"/>
      <c r="L1523" s="158">
        <f>+H1523*J1523</f>
        <v/>
      </c>
      <c r="M1523" s="159">
        <f>SUM(M1522+K1523-L1523)</f>
        <v/>
      </c>
    </row>
    <row r="1524">
      <c r="A1524" s="116" t="n">
        <v>46128</v>
      </c>
      <c r="B1524" s="115" t="n">
        <v>1606</v>
      </c>
      <c r="C1524" s="115" t="inlineStr">
        <is>
          <t xml:space="preserve">CEVİZ MOBİLYA  </t>
        </is>
      </c>
      <c r="D1524" s="115" t="inlineStr">
        <is>
          <t>ERDAL SESSİZ</t>
        </is>
      </c>
      <c r="E1524" s="115" t="inlineStr">
        <is>
          <t>CEMAL AKYOL</t>
        </is>
      </c>
      <c r="F1524" s="115" t="n"/>
      <c r="G1524" s="156" t="n"/>
      <c r="H1524" s="152" t="n">
        <v>58</v>
      </c>
      <c r="I1524" s="156">
        <f>+I1523+(G1524-H1524)</f>
        <v/>
      </c>
      <c r="J1524" s="90" t="n"/>
      <c r="K1524" s="166" t="n"/>
      <c r="L1524" s="158">
        <f>+H1524*J1524</f>
        <v/>
      </c>
      <c r="M1524" s="159">
        <f>SUM(M1523+K1524-L1524)</f>
        <v/>
      </c>
    </row>
    <row r="1525">
      <c r="A1525" s="116" t="n">
        <v>46128</v>
      </c>
      <c r="B1525" s="115" t="n">
        <v>1607</v>
      </c>
      <c r="C1525" s="115" t="inlineStr">
        <is>
          <t>MEGA VARLIK</t>
        </is>
      </c>
      <c r="D1525" s="115" t="inlineStr">
        <is>
          <t>SM350</t>
        </is>
      </c>
      <c r="E1525" s="115" t="inlineStr">
        <is>
          <t>TEVFİK</t>
        </is>
      </c>
      <c r="F1525" s="115" t="n"/>
      <c r="G1525" s="156" t="n"/>
      <c r="H1525" s="152" t="n">
        <v>356</v>
      </c>
      <c r="I1525" s="156">
        <f>+I1524+(G1525-H1525)</f>
        <v/>
      </c>
      <c r="J1525" s="90" t="n"/>
      <c r="K1525" s="166" t="n"/>
      <c r="L1525" s="158">
        <f>+H1525*J1525</f>
        <v/>
      </c>
      <c r="M1525" s="159">
        <f>SUM(M1524+K1525-L1525)</f>
        <v/>
      </c>
    </row>
    <row r="1526">
      <c r="A1526" s="116" t="n">
        <v>46128</v>
      </c>
      <c r="B1526" s="115" t="n">
        <v>1608</v>
      </c>
      <c r="C1526" s="115" t="inlineStr">
        <is>
          <t>VARLIK</t>
        </is>
      </c>
      <c r="D1526" s="115" t="inlineStr">
        <is>
          <t>FORKLİFT</t>
        </is>
      </c>
      <c r="E1526" s="115" t="inlineStr">
        <is>
          <t>FAHRİ</t>
        </is>
      </c>
      <c r="F1526" s="115" t="n"/>
      <c r="G1526" s="156" t="n"/>
      <c r="H1526" s="152" t="n">
        <v>38</v>
      </c>
      <c r="I1526" s="156">
        <f>+I1525+(G1526-H1526)</f>
        <v/>
      </c>
      <c r="J1526" s="90" t="n"/>
      <c r="K1526" s="166" t="n"/>
      <c r="L1526" s="158">
        <f>+H1526*J1526</f>
        <v/>
      </c>
      <c r="M1526" s="159">
        <f>SUM(M1525+K1526-L1526)</f>
        <v/>
      </c>
    </row>
    <row r="1527">
      <c r="A1527" s="116" t="n">
        <v>46128</v>
      </c>
      <c r="B1527" s="115" t="n">
        <v>1609</v>
      </c>
      <c r="C1527" s="115" t="inlineStr">
        <is>
          <t>VARLIK</t>
        </is>
      </c>
      <c r="D1527" s="115" t="inlineStr">
        <is>
          <t>HİTACHİ</t>
        </is>
      </c>
      <c r="E1527" s="115" t="inlineStr">
        <is>
          <t>TURGUT</t>
        </is>
      </c>
      <c r="F1527" s="115" t="n"/>
      <c r="G1527" s="156" t="n"/>
      <c r="H1527" s="152" t="n">
        <v>317</v>
      </c>
      <c r="I1527" s="156">
        <f>+I1526+(G1527-H1527)</f>
        <v/>
      </c>
      <c r="J1527" s="90" t="n"/>
      <c r="K1527" s="166" t="n"/>
      <c r="L1527" s="158">
        <f>+H1527*J1527</f>
        <v/>
      </c>
      <c r="M1527" s="159">
        <f>SUM(M1526+K1527-L1527)</f>
        <v/>
      </c>
    </row>
    <row r="1528">
      <c r="A1528" s="116" t="n">
        <v>46128</v>
      </c>
      <c r="B1528" s="115" t="n">
        <v>1610</v>
      </c>
      <c r="C1528" s="115" t="inlineStr">
        <is>
          <t>VARLIK</t>
        </is>
      </c>
      <c r="D1528" s="115" t="inlineStr">
        <is>
          <t>KAWAZAKİ</t>
        </is>
      </c>
      <c r="E1528" s="115" t="inlineStr">
        <is>
          <t>RAMAZAN</t>
        </is>
      </c>
      <c r="F1528" s="115" t="n"/>
      <c r="G1528" s="156" t="n"/>
      <c r="H1528" s="152" t="n">
        <v>248</v>
      </c>
      <c r="I1528" s="156">
        <f>+I1527+(G1528-H1528)</f>
        <v/>
      </c>
      <c r="J1528" s="90" t="n"/>
      <c r="K1528" s="166" t="n"/>
      <c r="L1528" s="158">
        <f>+H1528*J1528</f>
        <v/>
      </c>
      <c r="M1528" s="159">
        <f>SUM(M1527+K1528-L1528)</f>
        <v/>
      </c>
    </row>
    <row r="1529">
      <c r="A1529" s="116" t="n">
        <v>46128</v>
      </c>
      <c r="B1529" s="115" t="n">
        <v>1611</v>
      </c>
      <c r="C1529" s="115" t="inlineStr">
        <is>
          <t>KOZMO</t>
        </is>
      </c>
      <c r="D1529" s="115" t="inlineStr">
        <is>
          <t>SM350</t>
        </is>
      </c>
      <c r="E1529" s="115" t="inlineStr">
        <is>
          <t>YAKUP</t>
        </is>
      </c>
      <c r="F1529" s="115" t="n"/>
      <c r="G1529" s="156" t="n"/>
      <c r="H1529" s="152" t="n">
        <v>359</v>
      </c>
      <c r="I1529" s="156">
        <f>+I1528+(G1529-H1529)</f>
        <v/>
      </c>
      <c r="J1529" s="90" t="n"/>
      <c r="K1529" s="166" t="n"/>
      <c r="L1529" s="158">
        <f>+H1529*J1529</f>
        <v/>
      </c>
      <c r="M1529" s="159">
        <f>SUM(M1528+K1529-L1529)</f>
        <v/>
      </c>
    </row>
    <row r="1530">
      <c r="A1530" s="116" t="n">
        <v>46129</v>
      </c>
      <c r="B1530" s="115" t="n">
        <v>1612</v>
      </c>
      <c r="C1530" s="115" t="inlineStr">
        <is>
          <t>KOZMO</t>
        </is>
      </c>
      <c r="D1530" s="115" t="inlineStr">
        <is>
          <t>SM300</t>
        </is>
      </c>
      <c r="E1530" s="115" t="inlineStr">
        <is>
          <t>ONUR</t>
        </is>
      </c>
      <c r="F1530" s="115" t="n"/>
      <c r="G1530" s="156" t="n"/>
      <c r="H1530" s="152" t="n">
        <v>425</v>
      </c>
      <c r="I1530" s="156">
        <f>+I1529+(G1530-H1530)</f>
        <v/>
      </c>
      <c r="J1530" s="90" t="n"/>
      <c r="K1530" s="166" t="n"/>
      <c r="L1530" s="158">
        <f>+H1530*J1530</f>
        <v/>
      </c>
      <c r="M1530" s="159">
        <f>SUM(M1529+K1530-L1530)</f>
        <v/>
      </c>
    </row>
    <row r="1531">
      <c r="A1531" s="116" t="n">
        <v>46129</v>
      </c>
      <c r="B1531" s="115" t="n">
        <v>1613</v>
      </c>
      <c r="C1531" s="115" t="inlineStr">
        <is>
          <t>KOZMO</t>
        </is>
      </c>
      <c r="D1531" s="115" t="inlineStr">
        <is>
          <t>SM370</t>
        </is>
      </c>
      <c r="E1531" s="115" t="inlineStr">
        <is>
          <t>ADEM ÇEÇEN</t>
        </is>
      </c>
      <c r="F1531" s="115" t="n"/>
      <c r="G1531" s="156" t="n"/>
      <c r="H1531" s="152" t="n">
        <v>540</v>
      </c>
      <c r="I1531" s="156">
        <f>+I1530+(G1531-H1531)</f>
        <v/>
      </c>
      <c r="J1531" s="90" t="n"/>
      <c r="K1531" s="166" t="n"/>
      <c r="L1531" s="158">
        <f>+H1531*J1531</f>
        <v/>
      </c>
      <c r="M1531" s="159">
        <f>SUM(M1530+K1531-L1531)</f>
        <v/>
      </c>
    </row>
    <row r="1532">
      <c r="A1532" s="116" t="n">
        <v>46129</v>
      </c>
      <c r="B1532" s="115" t="n">
        <v>1614</v>
      </c>
      <c r="C1532" s="115" t="inlineStr">
        <is>
          <t>VARLIK</t>
        </is>
      </c>
      <c r="D1532" s="115" t="inlineStr">
        <is>
          <t>KAWAZAKİ</t>
        </is>
      </c>
      <c r="E1532" s="115" t="inlineStr">
        <is>
          <t>RAMAZAN</t>
        </is>
      </c>
      <c r="F1532" s="115" t="n"/>
      <c r="G1532" s="156" t="n"/>
      <c r="H1532" s="152" t="n">
        <v>209</v>
      </c>
      <c r="I1532" s="156" t="n"/>
      <c r="J1532" s="90" t="n"/>
      <c r="K1532" s="166" t="n"/>
      <c r="L1532" s="158">
        <f>+H1532*J1532</f>
        <v/>
      </c>
      <c r="M1532" s="159" t="n"/>
    </row>
    <row r="1533">
      <c r="A1533" s="116" t="n">
        <v>46129</v>
      </c>
      <c r="B1533" s="115" t="n">
        <v>1615</v>
      </c>
      <c r="C1533" s="115" t="inlineStr">
        <is>
          <t>VARLIK</t>
        </is>
      </c>
      <c r="D1533" s="115" t="inlineStr">
        <is>
          <t>SM350</t>
        </is>
      </c>
      <c r="E1533" s="115" t="inlineStr">
        <is>
          <t>YAKUP</t>
        </is>
      </c>
      <c r="F1533" s="115" t="n"/>
      <c r="G1533" s="156" t="n"/>
      <c r="H1533" s="152" t="n">
        <v>456</v>
      </c>
      <c r="I1533" s="156" t="n"/>
      <c r="J1533" s="90" t="n"/>
      <c r="K1533" s="166" t="n"/>
      <c r="L1533" s="158">
        <f>+H1533*J1533</f>
        <v/>
      </c>
      <c r="M1533" s="159" t="n"/>
    </row>
    <row r="1534">
      <c r="A1534" s="116" t="n">
        <v>46129</v>
      </c>
      <c r="B1534" s="115" t="n">
        <v>1616</v>
      </c>
      <c r="C1534" s="115" t="inlineStr">
        <is>
          <t>MEGA VARLIK</t>
        </is>
      </c>
      <c r="D1534" s="115" t="inlineStr">
        <is>
          <t>SM350</t>
        </is>
      </c>
      <c r="E1534" s="115" t="inlineStr">
        <is>
          <t>TEVFİK</t>
        </is>
      </c>
      <c r="F1534" s="115" t="n"/>
      <c r="G1534" s="156" t="n"/>
      <c r="H1534" s="152" t="n">
        <v>306</v>
      </c>
      <c r="I1534" s="156" t="n"/>
      <c r="J1534" s="90" t="n"/>
      <c r="K1534" s="166" t="n"/>
      <c r="L1534" s="158">
        <f>+H1534*J1534</f>
        <v/>
      </c>
      <c r="M1534" s="159" t="n"/>
    </row>
    <row r="1535">
      <c r="A1535" s="116" t="n">
        <v>46130</v>
      </c>
      <c r="B1535" s="115" t="n">
        <v>1617</v>
      </c>
      <c r="C1535" s="115" t="inlineStr">
        <is>
          <t>MEGA VARLIK</t>
        </is>
      </c>
      <c r="D1535" s="115" t="inlineStr">
        <is>
          <t>34 AZ 2191</t>
        </is>
      </c>
      <c r="E1535" s="115" t="inlineStr">
        <is>
          <t>NUMAN KABİL</t>
        </is>
      </c>
      <c r="F1535" s="115" t="n"/>
      <c r="G1535" s="156" t="n"/>
      <c r="H1535" s="152" t="n">
        <v>245</v>
      </c>
      <c r="I1535" s="156" t="n"/>
      <c r="J1535" s="90" t="n"/>
      <c r="K1535" s="166" t="n"/>
      <c r="L1535" s="158">
        <f>+H1535*J1535</f>
        <v/>
      </c>
      <c r="M1535" s="159" t="n"/>
    </row>
    <row r="1536">
      <c r="A1536" s="116" t="n">
        <v>46130</v>
      </c>
      <c r="B1536" s="115" t="n">
        <v>1618</v>
      </c>
      <c r="C1536" s="115" t="inlineStr">
        <is>
          <t>VARLIK</t>
        </is>
      </c>
      <c r="D1536" s="115" t="inlineStr">
        <is>
          <t>ZOMLİON</t>
        </is>
      </c>
      <c r="E1536" s="115" t="inlineStr">
        <is>
          <t>SALİH ŞOLAN</t>
        </is>
      </c>
      <c r="F1536" s="115" t="n"/>
      <c r="G1536" s="156" t="n"/>
      <c r="H1536" s="152" t="n">
        <v>275</v>
      </c>
      <c r="I1536" s="156" t="n"/>
      <c r="J1536" s="90" t="n"/>
      <c r="K1536" s="166" t="n"/>
      <c r="L1536" s="158">
        <f>+H1536*J1536</f>
        <v/>
      </c>
      <c r="M1536" s="159" t="n"/>
    </row>
    <row r="1537">
      <c r="A1537" s="116" t="n">
        <v>46130</v>
      </c>
      <c r="B1537" s="115" t="n">
        <v>1619</v>
      </c>
      <c r="C1537" s="115" t="inlineStr">
        <is>
          <t>VARLIK</t>
        </is>
      </c>
      <c r="D1537" s="115" t="inlineStr">
        <is>
          <t>HİTACHİ</t>
        </is>
      </c>
      <c r="E1537" s="115" t="inlineStr">
        <is>
          <t>TURGUT</t>
        </is>
      </c>
      <c r="F1537" s="115" t="n"/>
      <c r="G1537" s="156" t="n"/>
      <c r="H1537" s="152" t="n">
        <v>498</v>
      </c>
      <c r="I1537" s="156" t="n"/>
      <c r="J1537" s="90" t="n"/>
      <c r="K1537" s="166" t="n"/>
      <c r="L1537" s="158">
        <f>+H1537*J1537</f>
        <v/>
      </c>
      <c r="M1537" s="159" t="n"/>
    </row>
    <row r="1538">
      <c r="A1538" s="116" t="n">
        <v>46130</v>
      </c>
      <c r="B1538" s="115" t="n">
        <v>1620</v>
      </c>
      <c r="C1538" s="115" t="inlineStr">
        <is>
          <t>VARLIK</t>
        </is>
      </c>
      <c r="D1538" s="115" t="inlineStr">
        <is>
          <t>KAWAZAKİ</t>
        </is>
      </c>
      <c r="E1538" s="115" t="inlineStr">
        <is>
          <t>RAMAZAN</t>
        </is>
      </c>
      <c r="F1538" s="115" t="n"/>
      <c r="G1538" s="156" t="n"/>
      <c r="H1538" s="152" t="n">
        <v>211</v>
      </c>
      <c r="I1538" s="156" t="n"/>
      <c r="J1538" s="90" t="n"/>
      <c r="K1538" s="166" t="n"/>
      <c r="L1538" s="158">
        <f>+H1538*J1538</f>
        <v/>
      </c>
      <c r="M1538" s="159" t="n"/>
    </row>
    <row r="1539">
      <c r="A1539" s="116" t="n">
        <v>46130</v>
      </c>
      <c r="B1539" s="115" t="n">
        <v>1621</v>
      </c>
      <c r="C1539" s="115" t="inlineStr">
        <is>
          <t>KOZMO</t>
        </is>
      </c>
      <c r="D1539" s="115" t="inlineStr">
        <is>
          <t>SM350</t>
        </is>
      </c>
      <c r="E1539" s="115" t="inlineStr">
        <is>
          <t>YAKUP</t>
        </is>
      </c>
      <c r="F1539" s="115" t="n"/>
      <c r="G1539" s="156" t="n"/>
      <c r="H1539" s="152" t="n">
        <v>340</v>
      </c>
      <c r="I1539" s="156" t="n"/>
      <c r="J1539" s="90" t="n"/>
      <c r="K1539" s="166" t="n"/>
      <c r="L1539" s="158">
        <f>+H1539*J1539</f>
        <v/>
      </c>
      <c r="M1539" s="159" t="n"/>
    </row>
    <row r="1540">
      <c r="A1540" s="116" t="n">
        <v>46130</v>
      </c>
      <c r="B1540" s="115" t="n">
        <v>1622</v>
      </c>
      <c r="C1540" s="115" t="inlineStr">
        <is>
          <t>KOZMO</t>
        </is>
      </c>
      <c r="D1540" s="115" t="inlineStr">
        <is>
          <t>SM370</t>
        </is>
      </c>
      <c r="E1540" s="115" t="inlineStr">
        <is>
          <t>ADEM</t>
        </is>
      </c>
      <c r="F1540" s="115" t="n"/>
      <c r="G1540" s="156" t="n"/>
      <c r="H1540" s="152" t="n">
        <v>400</v>
      </c>
      <c r="I1540" s="156" t="n"/>
      <c r="J1540" s="90" t="n"/>
      <c r="K1540" s="166" t="n"/>
      <c r="L1540" s="158">
        <f>+H1540*J1540</f>
        <v/>
      </c>
      <c r="M1540" s="159" t="n"/>
    </row>
    <row r="1541">
      <c r="A1541" s="116" t="n">
        <v>46130</v>
      </c>
      <c r="B1541" s="115" t="n">
        <v>1623</v>
      </c>
      <c r="C1541" s="115" t="inlineStr">
        <is>
          <t>KOZMO</t>
        </is>
      </c>
      <c r="D1541" s="115" t="inlineStr">
        <is>
          <t>SİLİNDİR</t>
        </is>
      </c>
      <c r="E1541" s="115" t="inlineStr">
        <is>
          <t>MEHMETALİ</t>
        </is>
      </c>
      <c r="F1541" s="115" t="n"/>
      <c r="G1541" s="156" t="n"/>
      <c r="H1541" s="152" t="n">
        <v>175</v>
      </c>
      <c r="I1541" s="156" t="n"/>
      <c r="J1541" s="90" t="n"/>
      <c r="K1541" s="166" t="n"/>
      <c r="L1541" s="158">
        <f>+H1541*J1541</f>
        <v/>
      </c>
      <c r="M1541" s="159" t="n"/>
    </row>
    <row r="1542">
      <c r="A1542" s="116" t="n">
        <v>46132</v>
      </c>
      <c r="B1542" s="115" t="n">
        <v>1624</v>
      </c>
      <c r="C1542" s="115" t="inlineStr">
        <is>
          <t>MEGA VARLIK</t>
        </is>
      </c>
      <c r="D1542" s="115" t="inlineStr">
        <is>
          <t>SM350</t>
        </is>
      </c>
      <c r="E1542" s="115" t="inlineStr">
        <is>
          <t>TEVFİK</t>
        </is>
      </c>
      <c r="F1542" s="115" t="n"/>
      <c r="G1542" s="156" t="n"/>
      <c r="H1542" s="152" t="n">
        <v>500</v>
      </c>
      <c r="I1542" s="156" t="n"/>
      <c r="J1542" s="90" t="n"/>
      <c r="K1542" s="166" t="n"/>
      <c r="L1542" s="158">
        <f>+H1542*J1542</f>
        <v/>
      </c>
      <c r="M1542" s="159" t="n"/>
    </row>
    <row r="1543">
      <c r="A1543" s="116" t="n">
        <v>46132</v>
      </c>
      <c r="B1543" s="115" t="n">
        <v>1625</v>
      </c>
      <c r="C1543" s="115" t="inlineStr">
        <is>
          <t>MEGA VARLIK</t>
        </is>
      </c>
      <c r="D1543" s="115" t="inlineStr">
        <is>
          <t>FORKLİFT</t>
        </is>
      </c>
      <c r="E1543" s="115" t="inlineStr">
        <is>
          <t>FAHRİ</t>
        </is>
      </c>
      <c r="F1543" s="115" t="n"/>
      <c r="G1543" s="156" t="n"/>
      <c r="H1543" s="152" t="n">
        <v>51</v>
      </c>
      <c r="I1543" s="156" t="n"/>
      <c r="J1543" s="90" t="n"/>
      <c r="K1543" s="166" t="n"/>
      <c r="L1543" s="158">
        <f>+H1543*J1543</f>
        <v/>
      </c>
      <c r="M1543" s="159" t="n"/>
    </row>
    <row r="1544">
      <c r="A1544" s="116" t="n">
        <v>46132</v>
      </c>
      <c r="B1544" s="115" t="n">
        <v>1626</v>
      </c>
      <c r="C1544" s="115" t="inlineStr">
        <is>
          <t>MEGA VARLIK</t>
        </is>
      </c>
      <c r="D1544" s="115" t="inlineStr">
        <is>
          <t>JCB</t>
        </is>
      </c>
      <c r="E1544" s="115" t="inlineStr">
        <is>
          <t>BAYRAM SANCAK</t>
        </is>
      </c>
      <c r="F1544" s="115" t="n"/>
      <c r="G1544" s="156" t="n"/>
      <c r="H1544" s="152" t="n">
        <v>78</v>
      </c>
      <c r="I1544" s="156" t="n"/>
      <c r="J1544" s="90" t="n"/>
      <c r="K1544" s="166" t="n"/>
      <c r="L1544" s="158">
        <f>+H1544*J1544</f>
        <v/>
      </c>
      <c r="M1544" s="159" t="n"/>
    </row>
    <row r="1545">
      <c r="A1545" s="116" t="n">
        <v>46131</v>
      </c>
      <c r="B1545" s="115" t="n">
        <v>1627</v>
      </c>
      <c r="C1545" s="115" t="inlineStr">
        <is>
          <t>MEGA VARLIK</t>
        </is>
      </c>
      <c r="D1545" s="115" t="inlineStr">
        <is>
          <t>SM350</t>
        </is>
      </c>
      <c r="E1545" s="115" t="inlineStr">
        <is>
          <t>TEVFİK</t>
        </is>
      </c>
      <c r="F1545" s="115" t="n"/>
      <c r="G1545" s="156" t="n"/>
      <c r="H1545" s="152" t="n">
        <v>340</v>
      </c>
      <c r="I1545" s="156" t="n"/>
      <c r="J1545" s="90" t="n"/>
      <c r="K1545" s="166" t="n"/>
      <c r="L1545" s="158">
        <f>+H1545*J1545</f>
        <v/>
      </c>
      <c r="M1545" s="159" t="n"/>
    </row>
    <row r="1546">
      <c r="A1546" s="116" t="n">
        <v>46131</v>
      </c>
      <c r="B1546" s="115" t="n">
        <v>1628</v>
      </c>
      <c r="C1546" s="115" t="inlineStr">
        <is>
          <t>KOZMO</t>
        </is>
      </c>
      <c r="D1546" s="115" t="inlineStr">
        <is>
          <t>SM300</t>
        </is>
      </c>
      <c r="E1546" s="115" t="inlineStr">
        <is>
          <t>ONUR</t>
        </is>
      </c>
      <c r="F1546" s="115" t="n"/>
      <c r="G1546" s="156" t="n"/>
      <c r="H1546" s="152" t="n">
        <v>273</v>
      </c>
      <c r="I1546" s="156" t="n"/>
      <c r="J1546" s="90" t="n"/>
      <c r="K1546" s="166" t="n"/>
      <c r="L1546" s="158">
        <f>+H1546*J1546</f>
        <v/>
      </c>
      <c r="M1546" s="159" t="n"/>
    </row>
    <row r="1547">
      <c r="A1547" s="116" t="n">
        <v>46131</v>
      </c>
      <c r="B1547" s="115" t="n">
        <v>1629</v>
      </c>
      <c r="C1547" s="115" t="inlineStr">
        <is>
          <t>KOZMO</t>
        </is>
      </c>
      <c r="D1547" s="115" t="inlineStr">
        <is>
          <t>SİLİNDİR</t>
        </is>
      </c>
      <c r="E1547" s="115" t="inlineStr">
        <is>
          <t>MEHMETALİ</t>
        </is>
      </c>
      <c r="F1547" s="115" t="n"/>
      <c r="G1547" s="156" t="n"/>
      <c r="H1547" s="152" t="n">
        <v>275</v>
      </c>
      <c r="I1547" s="156" t="n"/>
      <c r="J1547" s="90" t="n"/>
      <c r="K1547" s="166" t="n"/>
      <c r="L1547" s="158">
        <f>+H1547*J1547</f>
        <v/>
      </c>
      <c r="M1547" s="159" t="n"/>
    </row>
    <row r="1548">
      <c r="A1548" s="116" t="n">
        <v>46131</v>
      </c>
      <c r="B1548" s="115" t="n">
        <v>1630</v>
      </c>
      <c r="C1548" s="115" t="inlineStr">
        <is>
          <t>VARLIK</t>
        </is>
      </c>
      <c r="D1548" s="115" t="inlineStr">
        <is>
          <t>KAWAZAKİ</t>
        </is>
      </c>
      <c r="E1548" s="115" t="inlineStr">
        <is>
          <t>RAMAZAN</t>
        </is>
      </c>
      <c r="F1548" s="115" t="n"/>
      <c r="G1548" s="156" t="n"/>
      <c r="H1548" s="152" t="n">
        <v>204</v>
      </c>
      <c r="I1548" s="156" t="n"/>
      <c r="J1548" s="90" t="n"/>
      <c r="K1548" s="166" t="n"/>
      <c r="L1548" s="158">
        <f>+H1548*J1548</f>
        <v/>
      </c>
      <c r="M1548" s="159" t="n"/>
    </row>
    <row r="1549">
      <c r="A1549" s="116" t="n">
        <v>46131</v>
      </c>
      <c r="B1549" s="115" t="n">
        <v>1631</v>
      </c>
      <c r="C1549" s="115" t="inlineStr">
        <is>
          <t>VARLIK</t>
        </is>
      </c>
      <c r="D1549" s="115" t="inlineStr">
        <is>
          <t>SM370</t>
        </is>
      </c>
      <c r="E1549" s="115" t="inlineStr">
        <is>
          <t>ADEM</t>
        </is>
      </c>
      <c r="F1549" s="115" t="n"/>
      <c r="G1549" s="156" t="n"/>
      <c r="H1549" s="152" t="n">
        <v>426</v>
      </c>
      <c r="I1549" s="156" t="n"/>
      <c r="J1549" s="90" t="n"/>
      <c r="K1549" s="166" t="n"/>
      <c r="L1549" s="158">
        <f>+H1549*J1549</f>
        <v/>
      </c>
      <c r="M1549" s="159" t="n"/>
    </row>
    <row r="1550">
      <c r="A1550" s="116" t="n">
        <v>46131</v>
      </c>
      <c r="B1550" s="115" t="n">
        <v>1632</v>
      </c>
      <c r="C1550" s="115" t="inlineStr">
        <is>
          <t xml:space="preserve">CEVİZ MOBİLYA  </t>
        </is>
      </c>
      <c r="D1550" s="115" t="inlineStr">
        <is>
          <t>SM350</t>
        </is>
      </c>
      <c r="E1550" s="115" t="inlineStr">
        <is>
          <t>YAKUP</t>
        </is>
      </c>
      <c r="F1550" s="115" t="n"/>
      <c r="G1550" s="156" t="n"/>
      <c r="H1550" s="152" t="n">
        <v>220</v>
      </c>
      <c r="I1550" s="156" t="n"/>
      <c r="J1550" s="90" t="n"/>
      <c r="K1550" s="166" t="n"/>
      <c r="L1550" s="158">
        <f>+H1550*J1550</f>
        <v/>
      </c>
      <c r="M1550" s="159" t="n"/>
    </row>
    <row r="1551">
      <c r="A1551" s="116" t="n">
        <v>46132</v>
      </c>
      <c r="B1551" s="115" t="n">
        <v>1633</v>
      </c>
      <c r="C1551" s="115" t="inlineStr">
        <is>
          <t>MEGA VARLIK</t>
        </is>
      </c>
      <c r="D1551" s="115" t="inlineStr">
        <is>
          <t>MANİTO</t>
        </is>
      </c>
      <c r="E1551" s="115" t="inlineStr">
        <is>
          <t>MUHAMMET</t>
        </is>
      </c>
      <c r="F1551" s="115" t="n"/>
      <c r="G1551" s="156" t="n"/>
      <c r="H1551" s="152" t="n">
        <v>228</v>
      </c>
      <c r="I1551" s="156" t="n"/>
      <c r="J1551" s="90" t="n"/>
      <c r="K1551" s="166" t="n"/>
      <c r="L1551" s="158">
        <f>+H1551*J1551</f>
        <v/>
      </c>
      <c r="M1551" s="159" t="n"/>
    </row>
    <row r="1552">
      <c r="A1552" s="116" t="n">
        <v>46132</v>
      </c>
      <c r="B1552" s="115" t="n">
        <v>1634</v>
      </c>
      <c r="C1552" s="115" t="inlineStr">
        <is>
          <t>KOZMO</t>
        </is>
      </c>
      <c r="D1552" s="115" t="inlineStr">
        <is>
          <t>SM350</t>
        </is>
      </c>
      <c r="E1552" s="115" t="inlineStr">
        <is>
          <t>YAKUP</t>
        </is>
      </c>
      <c r="F1552" s="115" t="n"/>
      <c r="G1552" s="156" t="n"/>
      <c r="H1552" s="152" t="n">
        <v>361</v>
      </c>
      <c r="I1552" s="156" t="n"/>
      <c r="J1552" s="90" t="n"/>
      <c r="K1552" s="166" t="n"/>
      <c r="L1552" s="158">
        <f>+H1552*J1552</f>
        <v/>
      </c>
      <c r="M1552" s="159" t="n"/>
    </row>
    <row r="1553">
      <c r="A1553" s="116" t="n">
        <v>46132</v>
      </c>
      <c r="B1553" s="115" t="n">
        <v>1635</v>
      </c>
      <c r="C1553" s="115" t="inlineStr">
        <is>
          <t>KOZMO</t>
        </is>
      </c>
      <c r="D1553" s="115" t="inlineStr">
        <is>
          <t>HİTACHİ</t>
        </is>
      </c>
      <c r="E1553" s="115" t="inlineStr">
        <is>
          <t>TURGUT</t>
        </is>
      </c>
      <c r="F1553" s="115" t="n"/>
      <c r="G1553" s="156" t="n"/>
      <c r="H1553" s="152" t="n">
        <v>425</v>
      </c>
      <c r="I1553" s="156" t="n"/>
      <c r="J1553" s="90" t="n"/>
      <c r="K1553" s="166" t="n"/>
      <c r="L1553" s="158">
        <f>+H1553*J1553</f>
        <v/>
      </c>
      <c r="M1553" s="159" t="n"/>
    </row>
    <row r="1554">
      <c r="A1554" s="116" t="n">
        <v>46132</v>
      </c>
      <c r="B1554" s="115" t="n">
        <v>1636</v>
      </c>
      <c r="C1554" s="115" t="inlineStr">
        <is>
          <t>VARLIK</t>
        </is>
      </c>
      <c r="D1554" s="115" t="inlineStr">
        <is>
          <t xml:space="preserve">KAVASAKI </t>
        </is>
      </c>
      <c r="E1554" s="115" t="inlineStr">
        <is>
          <t>RAMAZAN</t>
        </is>
      </c>
      <c r="F1554" s="115" t="n"/>
      <c r="G1554" s="156" t="n"/>
      <c r="H1554" s="152" t="n">
        <v>220</v>
      </c>
      <c r="I1554" s="156" t="n"/>
      <c r="J1554" s="90" t="n"/>
      <c r="K1554" s="166" t="n"/>
      <c r="L1554" s="158">
        <f>+H1554*J1554</f>
        <v/>
      </c>
      <c r="M1554" s="159" t="n"/>
    </row>
    <row r="1555">
      <c r="A1555" s="116" t="n">
        <v>46132</v>
      </c>
      <c r="B1555" s="115" t="n">
        <v>1637</v>
      </c>
      <c r="C1555" s="115" t="inlineStr">
        <is>
          <t>HASALTUN</t>
        </is>
      </c>
      <c r="D1555" s="115" t="inlineStr">
        <is>
          <t>SM300</t>
        </is>
      </c>
      <c r="E1555" s="115" t="inlineStr">
        <is>
          <t>ONUR</t>
        </is>
      </c>
      <c r="F1555" s="115" t="n"/>
      <c r="G1555" s="156" t="n"/>
      <c r="H1555" s="152" t="n">
        <v>294</v>
      </c>
      <c r="I1555" s="156" t="n"/>
      <c r="J1555" s="90" t="n"/>
      <c r="K1555" s="166" t="n"/>
      <c r="L1555" s="158">
        <f>+H1555*J1555</f>
        <v/>
      </c>
      <c r="M1555" s="159" t="n"/>
    </row>
    <row r="1556">
      <c r="A1556" s="116" t="n">
        <v>46133</v>
      </c>
      <c r="B1556" s="115" t="n">
        <v>1638</v>
      </c>
      <c r="C1556" s="115" t="inlineStr">
        <is>
          <t>MEGA VARLIK</t>
        </is>
      </c>
      <c r="D1556" s="115" t="inlineStr">
        <is>
          <t>FORKLİFT</t>
        </is>
      </c>
      <c r="E1556" s="115" t="inlineStr">
        <is>
          <t>FAHRİ</t>
        </is>
      </c>
      <c r="F1556" s="115" t="n"/>
      <c r="G1556" s="156" t="n"/>
      <c r="H1556" s="152" t="n">
        <v>47</v>
      </c>
      <c r="I1556" s="156" t="n"/>
      <c r="J1556" s="90" t="n"/>
      <c r="K1556" s="166" t="n"/>
      <c r="L1556" s="158">
        <f>+H1556*J1556</f>
        <v/>
      </c>
      <c r="M1556" s="159" t="n"/>
    </row>
    <row r="1557">
      <c r="A1557" s="116" t="n">
        <v>46133</v>
      </c>
      <c r="B1557" s="115" t="n">
        <v>1639</v>
      </c>
      <c r="C1557" s="115" t="inlineStr">
        <is>
          <t>DELİKLİKAYA</t>
        </is>
      </c>
      <c r="D1557" s="115" t="n"/>
      <c r="E1557" s="115" t="inlineStr">
        <is>
          <t>BURAK ŞENDOĞAN</t>
        </is>
      </c>
      <c r="F1557" s="115" t="n"/>
      <c r="G1557" s="156" t="n"/>
      <c r="H1557" s="152" t="n">
        <v>441</v>
      </c>
      <c r="I1557" s="156" t="n"/>
      <c r="J1557" s="90" t="n"/>
      <c r="K1557" s="166" t="n"/>
      <c r="L1557" s="158">
        <f>+H1557*J1557</f>
        <v/>
      </c>
      <c r="M1557" s="159" t="n"/>
    </row>
    <row r="1558">
      <c r="A1558" s="116" t="n">
        <v>46133</v>
      </c>
      <c r="B1558" s="115" t="n">
        <v>1640</v>
      </c>
      <c r="C1558" s="115" t="inlineStr">
        <is>
          <t>KOZMO</t>
        </is>
      </c>
      <c r="D1558" s="115" t="inlineStr">
        <is>
          <t>SM300</t>
        </is>
      </c>
      <c r="E1558" s="115" t="inlineStr">
        <is>
          <t>ONUR</t>
        </is>
      </c>
      <c r="F1558" s="115" t="n"/>
      <c r="G1558" s="156" t="n"/>
      <c r="H1558" s="152" t="n">
        <v>284</v>
      </c>
      <c r="I1558" s="156" t="n"/>
      <c r="J1558" s="90" t="n"/>
      <c r="K1558" s="166" t="n"/>
      <c r="L1558" s="158">
        <f>+H1558*J1558</f>
        <v/>
      </c>
      <c r="M1558" s="159" t="n"/>
    </row>
    <row r="1559">
      <c r="A1559" s="116" t="n">
        <v>46133</v>
      </c>
      <c r="B1559" s="115" t="n">
        <v>1641</v>
      </c>
      <c r="C1559" s="115" t="inlineStr">
        <is>
          <t>KOZMO</t>
        </is>
      </c>
      <c r="D1559" s="115" t="inlineStr">
        <is>
          <t>SM350</t>
        </is>
      </c>
      <c r="E1559" s="115" t="inlineStr">
        <is>
          <t>YAKUP</t>
        </is>
      </c>
      <c r="F1559" s="115" t="n"/>
      <c r="G1559" s="156" t="n"/>
      <c r="H1559" s="152" t="n">
        <v>312</v>
      </c>
      <c r="I1559" s="156" t="n"/>
      <c r="J1559" s="90" t="n"/>
      <c r="K1559" s="166" t="n"/>
      <c r="L1559" s="158">
        <f>+H1559*J1559</f>
        <v/>
      </c>
      <c r="M1559" s="159" t="n"/>
    </row>
    <row r="1560">
      <c r="A1560" s="116" t="n">
        <v>46133</v>
      </c>
      <c r="B1560" s="115" t="n">
        <v>1642</v>
      </c>
      <c r="C1560" s="115" t="inlineStr">
        <is>
          <t>KOZMO</t>
        </is>
      </c>
      <c r="D1560" s="115" t="inlineStr">
        <is>
          <t>SM370</t>
        </is>
      </c>
      <c r="E1560" s="115" t="inlineStr">
        <is>
          <t>ADEM</t>
        </is>
      </c>
      <c r="F1560" s="115" t="n"/>
      <c r="G1560" s="156" t="n"/>
      <c r="H1560" s="152" t="n">
        <v>466</v>
      </c>
      <c r="I1560" s="156" t="n"/>
      <c r="J1560" s="90" t="n"/>
      <c r="K1560" s="166" t="n"/>
      <c r="L1560" s="158">
        <f>+H1560*J1560</f>
        <v/>
      </c>
      <c r="M1560" s="159" t="n"/>
    </row>
    <row r="1561">
      <c r="A1561" s="116" t="n">
        <v>46133</v>
      </c>
      <c r="B1561" s="115" t="n">
        <v>1643</v>
      </c>
      <c r="C1561" s="115" t="inlineStr">
        <is>
          <t xml:space="preserve">CEVİZ MOBİLYA  </t>
        </is>
      </c>
      <c r="D1561" s="115" t="n"/>
      <c r="E1561" s="115" t="inlineStr">
        <is>
          <t>İSMAİL</t>
        </is>
      </c>
      <c r="F1561" s="115" t="n"/>
      <c r="G1561" s="156" t="n"/>
      <c r="H1561" s="152" t="n">
        <v>50</v>
      </c>
      <c r="I1561" s="156" t="n"/>
      <c r="J1561" s="90" t="n"/>
      <c r="K1561" s="166" t="n"/>
      <c r="L1561" s="158">
        <f>+H1561*J1561</f>
        <v/>
      </c>
      <c r="M1561" s="159" t="n"/>
    </row>
    <row r="1562">
      <c r="A1562" s="116" t="n">
        <v>46133</v>
      </c>
      <c r="B1562" s="115" t="n">
        <v>1644</v>
      </c>
      <c r="C1562" s="115" t="inlineStr">
        <is>
          <t>MEGA VARLIK</t>
        </is>
      </c>
      <c r="D1562" s="115" t="inlineStr">
        <is>
          <t>KAWAZAKİ</t>
        </is>
      </c>
      <c r="E1562" s="115" t="inlineStr">
        <is>
          <t>RAMAZAN</t>
        </is>
      </c>
      <c r="F1562" s="115" t="n"/>
      <c r="G1562" s="156" t="n"/>
      <c r="H1562" s="152" t="n">
        <v>270</v>
      </c>
      <c r="I1562" s="156" t="n"/>
      <c r="J1562" s="90" t="n"/>
      <c r="K1562" s="166" t="n"/>
      <c r="L1562" s="158">
        <f>+H1562*J1562</f>
        <v/>
      </c>
      <c r="M1562" s="159" t="n"/>
    </row>
    <row r="1563">
      <c r="A1563" s="116" t="n">
        <v>46135</v>
      </c>
      <c r="B1563" s="115" t="n">
        <v>1645</v>
      </c>
      <c r="C1563" s="115" t="inlineStr">
        <is>
          <t>MEGA VARLIK</t>
        </is>
      </c>
      <c r="D1563" s="115" t="inlineStr">
        <is>
          <t>SM350</t>
        </is>
      </c>
      <c r="E1563" s="115" t="inlineStr">
        <is>
          <t>TEVFİK</t>
        </is>
      </c>
      <c r="F1563" s="115" t="n"/>
      <c r="G1563" s="156" t="n"/>
      <c r="H1563" s="152" t="n">
        <v>279</v>
      </c>
      <c r="I1563" s="156" t="n"/>
      <c r="J1563" s="90" t="n"/>
      <c r="K1563" s="166" t="n"/>
      <c r="L1563" s="158">
        <f>+H1563*J1563</f>
        <v/>
      </c>
      <c r="M1563" s="159" t="n"/>
    </row>
    <row r="1564">
      <c r="A1564" s="116" t="n">
        <v>46136</v>
      </c>
      <c r="B1564" s="115" t="n">
        <v>1646</v>
      </c>
      <c r="C1564" s="115" t="inlineStr">
        <is>
          <t xml:space="preserve">CEVİZ MOBİLYA  </t>
        </is>
      </c>
      <c r="D1564" s="115" t="inlineStr">
        <is>
          <t>34 GCY 009 FORK</t>
        </is>
      </c>
      <c r="E1564" s="115" t="inlineStr">
        <is>
          <t>CEMAL AKYOL</t>
        </is>
      </c>
      <c r="F1564" s="115" t="n"/>
      <c r="G1564" s="156" t="n"/>
      <c r="H1564" s="152" t="n">
        <v>83</v>
      </c>
      <c r="I1564" s="156" t="n"/>
      <c r="J1564" s="90" t="n"/>
      <c r="K1564" s="166" t="n"/>
      <c r="L1564" s="158">
        <f>+H1564*J1564</f>
        <v/>
      </c>
      <c r="M1564" s="159" t="n"/>
    </row>
    <row r="1565">
      <c r="A1565" s="116" t="n">
        <v>46136</v>
      </c>
      <c r="B1565" s="115" t="n">
        <v>1647</v>
      </c>
      <c r="C1565" s="115" t="inlineStr">
        <is>
          <t>MEGA VARLIK</t>
        </is>
      </c>
      <c r="D1565" s="115" t="inlineStr">
        <is>
          <t>SM350</t>
        </is>
      </c>
      <c r="E1565" s="115" t="inlineStr">
        <is>
          <t>TEVFİK</t>
        </is>
      </c>
      <c r="F1565" s="115" t="n"/>
      <c r="G1565" s="156" t="n"/>
      <c r="H1565" s="152" t="n">
        <v>271</v>
      </c>
      <c r="I1565" s="156" t="n"/>
      <c r="J1565" s="90" t="n"/>
      <c r="K1565" s="166" t="n"/>
      <c r="L1565" s="158">
        <f>+H1565*J1565</f>
        <v/>
      </c>
      <c r="M1565" s="159" t="n"/>
    </row>
    <row r="1566">
      <c r="A1566" s="116" t="n">
        <v>46136</v>
      </c>
      <c r="B1566" s="115" t="n">
        <v>1648</v>
      </c>
      <c r="C1566" s="115" t="inlineStr">
        <is>
          <t>VARLIK</t>
        </is>
      </c>
      <c r="D1566" s="115" t="inlineStr">
        <is>
          <t>HİTACHİ</t>
        </is>
      </c>
      <c r="E1566" s="115" t="inlineStr">
        <is>
          <t>TURGUT</t>
        </is>
      </c>
      <c r="F1566" s="115" t="n"/>
      <c r="G1566" s="156" t="n"/>
      <c r="H1566" s="152" t="n">
        <v>445</v>
      </c>
      <c r="I1566" s="156" t="n"/>
      <c r="J1566" s="90" t="n"/>
      <c r="K1566" s="166" t="n"/>
      <c r="L1566" s="158">
        <f>+H1566*J1566</f>
        <v/>
      </c>
      <c r="M1566" s="159" t="n"/>
    </row>
    <row r="1567">
      <c r="A1567" s="116" t="n">
        <v>46136</v>
      </c>
      <c r="B1567" s="115" t="n">
        <v>1649</v>
      </c>
      <c r="C1567" s="115" t="inlineStr">
        <is>
          <t>VARLIK</t>
        </is>
      </c>
      <c r="D1567" s="115" t="inlineStr">
        <is>
          <t>FORKLİFT</t>
        </is>
      </c>
      <c r="E1567" s="115" t="inlineStr">
        <is>
          <t>FAHRİ</t>
        </is>
      </c>
      <c r="F1567" s="115" t="n"/>
      <c r="G1567" s="156" t="n"/>
      <c r="H1567" s="152" t="n">
        <v>43</v>
      </c>
      <c r="I1567" s="156" t="n"/>
      <c r="J1567" s="90" t="n"/>
      <c r="K1567" s="166" t="n"/>
      <c r="L1567" s="158">
        <f>+H1567*J1567</f>
        <v/>
      </c>
      <c r="M1567" s="159" t="n"/>
    </row>
    <row r="1568">
      <c r="A1568" s="116" t="n">
        <v>46136</v>
      </c>
      <c r="B1568" s="115" t="n">
        <v>1650</v>
      </c>
      <c r="C1568" s="115" t="n"/>
      <c r="D1568" s="115" t="inlineStr">
        <is>
          <t>JCB</t>
        </is>
      </c>
      <c r="E1568" s="115" t="inlineStr">
        <is>
          <t>BAYRAM SANCAK</t>
        </is>
      </c>
      <c r="F1568" s="115" t="n"/>
      <c r="G1568" s="156" t="n"/>
      <c r="H1568" s="152" t="n">
        <v>48</v>
      </c>
      <c r="I1568" s="156" t="n"/>
      <c r="J1568" s="90" t="n"/>
      <c r="K1568" s="166" t="n"/>
      <c r="L1568" s="158">
        <f>+H1568*J1568</f>
        <v/>
      </c>
      <c r="M1568" s="159" t="n"/>
    </row>
    <row r="1569">
      <c r="A1569" s="116" t="n">
        <v>46119</v>
      </c>
      <c r="B1569" s="115" t="n">
        <v>1651</v>
      </c>
      <c r="C1569" s="115" t="inlineStr">
        <is>
          <t>SELİM İNŞAAT</t>
        </is>
      </c>
      <c r="D1569" s="115" t="inlineStr">
        <is>
          <t>34 AZ 2191</t>
        </is>
      </c>
      <c r="E1569" s="115" t="inlineStr">
        <is>
          <t>NUMAN KABİL</t>
        </is>
      </c>
      <c r="F1569" s="115" t="n"/>
      <c r="G1569" s="156" t="n"/>
      <c r="H1569" s="152" t="n">
        <v>232</v>
      </c>
      <c r="I1569" s="156" t="n"/>
      <c r="J1569" s="90" t="n"/>
      <c r="K1569" s="166" t="n"/>
      <c r="L1569" s="158">
        <f>+H1569*J1569</f>
        <v/>
      </c>
      <c r="M1569" s="159" t="n"/>
    </row>
    <row r="1570">
      <c r="A1570" s="116" t="n">
        <v>46137</v>
      </c>
      <c r="B1570" s="115" t="n">
        <v>1652</v>
      </c>
      <c r="C1570" s="115" t="inlineStr">
        <is>
          <t>KOZMO</t>
        </is>
      </c>
      <c r="D1570" s="115" t="inlineStr">
        <is>
          <t>SM350</t>
        </is>
      </c>
      <c r="E1570" s="115" t="inlineStr">
        <is>
          <t>YAKUP</t>
        </is>
      </c>
      <c r="F1570" s="115" t="n"/>
      <c r="G1570" s="156" t="n"/>
      <c r="H1570" s="152" t="n">
        <v>429</v>
      </c>
      <c r="I1570" s="156" t="n"/>
      <c r="J1570" s="90" t="n"/>
      <c r="K1570" s="166" t="n"/>
      <c r="L1570" s="158">
        <f>+H1570*J1570</f>
        <v/>
      </c>
      <c r="M1570" s="159" t="n"/>
    </row>
    <row r="1571">
      <c r="A1571" s="116" t="n">
        <v>46137</v>
      </c>
      <c r="B1571" s="115" t="n">
        <v>1653</v>
      </c>
      <c r="C1571" s="115" t="inlineStr">
        <is>
          <t>MEGA VARLIK</t>
        </is>
      </c>
      <c r="D1571" s="115" t="inlineStr">
        <is>
          <t>FORKLİFT</t>
        </is>
      </c>
      <c r="E1571" s="115" t="inlineStr">
        <is>
          <t>FAHRİ</t>
        </is>
      </c>
      <c r="F1571" s="115" t="n"/>
      <c r="G1571" s="156" t="n"/>
      <c r="H1571" s="152" t="n">
        <v>46</v>
      </c>
      <c r="I1571" s="156" t="n"/>
      <c r="J1571" s="90" t="n"/>
      <c r="K1571" s="166" t="n"/>
      <c r="L1571" s="158">
        <f>+H1571*J1571</f>
        <v/>
      </c>
      <c r="M1571" s="159" t="n"/>
    </row>
    <row r="1572">
      <c r="A1572" s="116" t="n">
        <v>46137</v>
      </c>
      <c r="B1572" s="115" t="n">
        <v>1654</v>
      </c>
      <c r="C1572" s="115" t="inlineStr">
        <is>
          <t>MEGA VARLIK</t>
        </is>
      </c>
      <c r="D1572" s="115" t="inlineStr">
        <is>
          <t>FORKLİFT</t>
        </is>
      </c>
      <c r="E1572" s="115" t="inlineStr">
        <is>
          <t>FAHRİ</t>
        </is>
      </c>
      <c r="F1572" s="115" t="n"/>
      <c r="G1572" s="156" t="n"/>
      <c r="H1572" s="152" t="n">
        <v>47</v>
      </c>
      <c r="I1572" s="156" t="n"/>
      <c r="J1572" s="90" t="n"/>
      <c r="K1572" s="166" t="n"/>
      <c r="L1572" s="158">
        <f>+H1572*J1572</f>
        <v/>
      </c>
      <c r="M1572" s="159" t="n"/>
    </row>
    <row r="1573">
      <c r="A1573" s="116" t="n">
        <v>46137</v>
      </c>
      <c r="B1573" s="115" t="n">
        <v>1655</v>
      </c>
      <c r="C1573" s="115" t="n"/>
      <c r="D1573" s="115" t="inlineStr">
        <is>
          <t>JCB</t>
        </is>
      </c>
      <c r="E1573" s="115" t="inlineStr">
        <is>
          <t>BAYRAM SANCAK</t>
        </is>
      </c>
      <c r="F1573" s="115" t="n"/>
      <c r="G1573" s="156" t="n"/>
      <c r="H1573" s="152" t="n">
        <v>37</v>
      </c>
      <c r="I1573" s="156" t="n"/>
      <c r="J1573" s="90" t="n"/>
      <c r="K1573" s="166" t="n"/>
      <c r="L1573" s="158">
        <f>+H1573*J1573</f>
        <v/>
      </c>
      <c r="M1573" s="159" t="n"/>
    </row>
    <row r="1574">
      <c r="A1574" s="116" t="n">
        <v>46137</v>
      </c>
      <c r="B1574" s="115" t="n">
        <v>1656</v>
      </c>
      <c r="C1574" s="115" t="inlineStr">
        <is>
          <t>KOZMO</t>
        </is>
      </c>
      <c r="D1574" s="115" t="inlineStr">
        <is>
          <t>SM300</t>
        </is>
      </c>
      <c r="E1574" s="115" t="inlineStr">
        <is>
          <t>ONUR</t>
        </is>
      </c>
      <c r="F1574" s="115" t="n"/>
      <c r="G1574" s="156" t="n"/>
      <c r="H1574" s="152" t="n">
        <v>376</v>
      </c>
      <c r="I1574" s="156" t="n"/>
      <c r="J1574" s="90" t="n"/>
      <c r="K1574" s="166" t="n"/>
      <c r="L1574" s="158">
        <f>+H1574*J1574</f>
        <v/>
      </c>
      <c r="M1574" s="159" t="n"/>
    </row>
    <row r="1575">
      <c r="A1575" s="116" t="n">
        <v>46137</v>
      </c>
      <c r="B1575" s="115" t="n">
        <v>1657</v>
      </c>
      <c r="C1575" s="115" t="inlineStr">
        <is>
          <t>NADAS</t>
        </is>
      </c>
      <c r="D1575" s="115" t="inlineStr">
        <is>
          <t>RT650 SARI VİNÇ</t>
        </is>
      </c>
      <c r="E1575" s="115" t="inlineStr">
        <is>
          <t>ALİHAN DUMAN</t>
        </is>
      </c>
      <c r="F1575" s="115" t="n"/>
      <c r="G1575" s="156" t="n"/>
      <c r="H1575" s="152" t="n">
        <v>214</v>
      </c>
      <c r="I1575" s="156" t="n"/>
      <c r="J1575" s="90" t="n"/>
      <c r="K1575" s="166" t="n"/>
      <c r="L1575" s="158">
        <f>+H1575*J1575</f>
        <v/>
      </c>
      <c r="M1575" s="159" t="n"/>
    </row>
    <row r="1576">
      <c r="A1576" s="116" t="n">
        <v>46137</v>
      </c>
      <c r="B1576" s="115" t="n">
        <v>1658</v>
      </c>
      <c r="C1576" s="115" t="inlineStr">
        <is>
          <t>NADAS</t>
        </is>
      </c>
      <c r="D1576" s="115" t="inlineStr">
        <is>
          <t>34 AZ 2191</t>
        </is>
      </c>
      <c r="E1576" s="115" t="inlineStr">
        <is>
          <t>NUMAN KABİL</t>
        </is>
      </c>
      <c r="F1576" s="115" t="n"/>
      <c r="G1576" s="156" t="n"/>
      <c r="H1576" s="152" t="n">
        <v>230</v>
      </c>
      <c r="I1576" s="156" t="n"/>
      <c r="J1576" s="90" t="n"/>
      <c r="K1576" s="166" t="n"/>
      <c r="L1576" s="158">
        <f>+H1576*J1576</f>
        <v/>
      </c>
      <c r="M1576" s="159" t="n"/>
    </row>
    <row r="1577">
      <c r="A1577" s="116" t="n">
        <v>46137</v>
      </c>
      <c r="B1577" s="115" t="n">
        <v>1659</v>
      </c>
      <c r="C1577" s="115" t="inlineStr">
        <is>
          <t>VARLIK</t>
        </is>
      </c>
      <c r="D1577" s="115" t="inlineStr">
        <is>
          <t>SM370</t>
        </is>
      </c>
      <c r="E1577" s="115" t="inlineStr">
        <is>
          <t>ADEM ÇEÇEN</t>
        </is>
      </c>
      <c r="F1577" s="115" t="n"/>
      <c r="G1577" s="156" t="n"/>
      <c r="H1577" s="152" t="n">
        <v>429</v>
      </c>
      <c r="I1577" s="156" t="n"/>
      <c r="J1577" s="90" t="n"/>
      <c r="K1577" s="166" t="n"/>
      <c r="L1577" s="158">
        <f>+H1577*J1577</f>
        <v/>
      </c>
      <c r="M1577" s="159" t="n"/>
    </row>
    <row r="1578">
      <c r="A1578" s="116" t="n">
        <v>46137</v>
      </c>
      <c r="B1578" s="115" t="n">
        <v>1660</v>
      </c>
      <c r="C1578" s="115" t="inlineStr">
        <is>
          <t>VARLIK</t>
        </is>
      </c>
      <c r="D1578" s="115" t="inlineStr">
        <is>
          <t>HİTACHİ</t>
        </is>
      </c>
      <c r="E1578" s="115" t="inlineStr">
        <is>
          <t>TURGUT</t>
        </is>
      </c>
      <c r="F1578" s="115" t="n"/>
      <c r="G1578" s="156" t="n"/>
      <c r="H1578" s="152" t="n">
        <v>293</v>
      </c>
      <c r="I1578" s="156" t="n"/>
      <c r="J1578" s="90" t="n"/>
      <c r="K1578" s="166" t="n"/>
      <c r="L1578" s="158">
        <f>+H1578*J1578</f>
        <v/>
      </c>
      <c r="M1578" s="159" t="n"/>
    </row>
    <row r="1579">
      <c r="A1579" s="116" t="n">
        <v>46137</v>
      </c>
      <c r="B1579" s="115" t="n">
        <v>1661</v>
      </c>
      <c r="C1579" s="115" t="inlineStr">
        <is>
          <t>VARLIK</t>
        </is>
      </c>
      <c r="D1579" s="115" t="inlineStr">
        <is>
          <t>SİLİNDİR</t>
        </is>
      </c>
      <c r="E1579" s="115" t="inlineStr">
        <is>
          <t>ÖNER DÜNDAR</t>
        </is>
      </c>
      <c r="F1579" s="115" t="n"/>
      <c r="G1579" s="156" t="n"/>
      <c r="H1579" s="152" t="n">
        <v>200</v>
      </c>
      <c r="I1579" s="156" t="n"/>
      <c r="J1579" s="90" t="n"/>
      <c r="K1579" s="166" t="n"/>
      <c r="L1579" s="158">
        <f>+H1579*J1579</f>
        <v/>
      </c>
      <c r="M1579" s="159" t="n"/>
    </row>
    <row r="1580">
      <c r="A1580" s="116" t="n">
        <v>46137</v>
      </c>
      <c r="B1580" s="115" t="n">
        <v>1662</v>
      </c>
      <c r="C1580" s="115" t="inlineStr">
        <is>
          <t>EVKUR</t>
        </is>
      </c>
      <c r="D1580" s="115" t="inlineStr">
        <is>
          <t>KİRALIK KATO</t>
        </is>
      </c>
      <c r="E1580" s="115" t="inlineStr">
        <is>
          <t>GÜNEŞ</t>
        </is>
      </c>
      <c r="F1580" s="115" t="n"/>
      <c r="G1580" s="156" t="n"/>
      <c r="H1580" s="152" t="n">
        <v>83</v>
      </c>
      <c r="I1580" s="156" t="n"/>
      <c r="J1580" s="90" t="n"/>
      <c r="K1580" s="166" t="n"/>
      <c r="L1580" s="158">
        <f>+H1580*J1580</f>
        <v/>
      </c>
      <c r="M1580" s="159" t="n"/>
    </row>
    <row r="1581">
      <c r="A1581" s="116" t="n">
        <v>46138</v>
      </c>
      <c r="B1581" s="115" t="n">
        <v>1663</v>
      </c>
      <c r="C1581" s="115" t="inlineStr">
        <is>
          <t>KOZMO</t>
        </is>
      </c>
      <c r="D1581" s="115" t="inlineStr">
        <is>
          <t>SM300</t>
        </is>
      </c>
      <c r="E1581" s="115" t="inlineStr">
        <is>
          <t>ONUR</t>
        </is>
      </c>
      <c r="F1581" s="115" t="n"/>
      <c r="G1581" s="156" t="n"/>
      <c r="H1581" s="152" t="n">
        <v>300</v>
      </c>
      <c r="I1581" s="156" t="n"/>
      <c r="J1581" s="90" t="n"/>
      <c r="K1581" s="166" t="n"/>
      <c r="L1581" s="158">
        <f>+H1581*J1581</f>
        <v/>
      </c>
      <c r="M1581" s="159" t="n"/>
    </row>
    <row r="1582">
      <c r="A1582" s="116" t="n">
        <v>46138</v>
      </c>
      <c r="B1582" s="115" t="n">
        <v>1664</v>
      </c>
      <c r="C1582" s="115" t="inlineStr">
        <is>
          <t>VARLIK</t>
        </is>
      </c>
      <c r="D1582" s="115" t="inlineStr">
        <is>
          <t>SM350</t>
        </is>
      </c>
      <c r="E1582" s="115" t="inlineStr">
        <is>
          <t>YAKUP</t>
        </is>
      </c>
      <c r="F1582" s="115" t="n"/>
      <c r="G1582" s="156" t="n"/>
      <c r="H1582" s="152" t="n">
        <v>315</v>
      </c>
      <c r="I1582" s="156" t="n"/>
      <c r="J1582" s="90" t="n"/>
      <c r="K1582" s="166" t="n"/>
      <c r="L1582" s="158">
        <f>+H1582*J1582</f>
        <v/>
      </c>
      <c r="M1582" s="159" t="n"/>
    </row>
    <row r="1583">
      <c r="A1583" s="116" t="n">
        <v>46138</v>
      </c>
      <c r="B1583" s="115" t="n">
        <v>1665</v>
      </c>
      <c r="C1583" s="115" t="inlineStr">
        <is>
          <t>VARLIK</t>
        </is>
      </c>
      <c r="D1583" s="115" t="inlineStr">
        <is>
          <t>SM370</t>
        </is>
      </c>
      <c r="E1583" s="115" t="inlineStr">
        <is>
          <t>ADEM</t>
        </is>
      </c>
      <c r="F1583" s="115" t="n"/>
      <c r="G1583" s="156" t="n"/>
      <c r="H1583" s="152" t="n">
        <v>277</v>
      </c>
      <c r="I1583" s="156" t="n"/>
      <c r="J1583" s="90" t="n"/>
      <c r="K1583" s="166" t="n"/>
      <c r="L1583" s="158">
        <f>+H1583*J1583</f>
        <v/>
      </c>
      <c r="M1583" s="159" t="n"/>
    </row>
    <row r="1584">
      <c r="A1584" s="116" t="n">
        <v>46138</v>
      </c>
      <c r="B1584" s="115" t="n">
        <v>1666</v>
      </c>
      <c r="C1584" s="115" t="inlineStr">
        <is>
          <t>MEGA VARLIK</t>
        </is>
      </c>
      <c r="D1584" s="115" t="inlineStr">
        <is>
          <t>ZOMLİON</t>
        </is>
      </c>
      <c r="E1584" s="115" t="inlineStr">
        <is>
          <t>SALİH ŞOLAN</t>
        </is>
      </c>
      <c r="F1584" s="115" t="n"/>
      <c r="G1584" s="156" t="n"/>
      <c r="H1584" s="152" t="n">
        <v>274</v>
      </c>
      <c r="I1584" s="156" t="n"/>
      <c r="J1584" s="90" t="n"/>
      <c r="K1584" s="166" t="n"/>
      <c r="L1584" s="158">
        <f>+H1584*J1584</f>
        <v/>
      </c>
      <c r="M1584" s="159" t="n"/>
    </row>
    <row r="1585">
      <c r="A1585" s="116" t="n">
        <v>46138</v>
      </c>
      <c r="B1585" s="115" t="n">
        <v>1667</v>
      </c>
      <c r="C1585" s="115" t="inlineStr">
        <is>
          <t>MEGA VARLIK</t>
        </is>
      </c>
      <c r="D1585" s="115" t="inlineStr">
        <is>
          <t>SM350</t>
        </is>
      </c>
      <c r="E1585" s="115" t="inlineStr">
        <is>
          <t>TEVFİK</t>
        </is>
      </c>
      <c r="F1585" s="115" t="n"/>
      <c r="G1585" s="156" t="n"/>
      <c r="H1585" s="152" t="n">
        <v>370</v>
      </c>
      <c r="I1585" s="156" t="n"/>
      <c r="J1585" s="90" t="n"/>
      <c r="K1585" s="166" t="n"/>
      <c r="L1585" s="158">
        <f>+H1585*J1585</f>
        <v/>
      </c>
      <c r="M1585" s="159" t="n"/>
    </row>
    <row r="1586">
      <c r="A1586" s="116" t="n">
        <v>46137</v>
      </c>
      <c r="B1586" s="115" t="n">
        <v>1668</v>
      </c>
      <c r="C1586" s="115" t="inlineStr">
        <is>
          <t>MEGA VARLIK</t>
        </is>
      </c>
      <c r="D1586" s="115" t="inlineStr">
        <is>
          <t>SM350</t>
        </is>
      </c>
      <c r="E1586" s="115" t="inlineStr">
        <is>
          <t>TEVFİK</t>
        </is>
      </c>
      <c r="F1586" s="115" t="n"/>
      <c r="G1586" s="156" t="n"/>
      <c r="H1586" s="152" t="n">
        <v>270</v>
      </c>
      <c r="I1586" s="156" t="n"/>
      <c r="J1586" s="90" t="n"/>
      <c r="K1586" s="166" t="n"/>
      <c r="L1586" s="158">
        <f>+H1586*J1586</f>
        <v/>
      </c>
      <c r="M1586" s="159" t="n"/>
    </row>
    <row r="1587">
      <c r="A1587" s="116" t="n">
        <v>46139</v>
      </c>
      <c r="B1587" s="115" t="n">
        <v>1669</v>
      </c>
      <c r="C1587" s="115" t="n"/>
      <c r="D1587" s="115" t="inlineStr">
        <is>
          <t>JCB</t>
        </is>
      </c>
      <c r="E1587" s="115" t="inlineStr">
        <is>
          <t>BAYRAM SANCAK</t>
        </is>
      </c>
      <c r="F1587" s="115" t="n"/>
      <c r="G1587" s="156" t="n"/>
      <c r="H1587" s="152" t="n">
        <v>50</v>
      </c>
      <c r="I1587" s="156" t="n"/>
      <c r="J1587" s="90" t="n"/>
      <c r="K1587" s="166" t="n"/>
      <c r="L1587" s="158">
        <f>+H1587*J1587</f>
        <v/>
      </c>
      <c r="M1587" s="159" t="n"/>
    </row>
    <row r="1588">
      <c r="A1588" s="116" t="n">
        <v>46139</v>
      </c>
      <c r="B1588" s="115" t="n">
        <v>1670</v>
      </c>
      <c r="C1588" s="115" t="inlineStr">
        <is>
          <t>VARLIK</t>
        </is>
      </c>
      <c r="D1588" s="115" t="inlineStr">
        <is>
          <t>HİTACHİ</t>
        </is>
      </c>
      <c r="E1588" s="115" t="inlineStr">
        <is>
          <t>TURGUT</t>
        </is>
      </c>
      <c r="F1588" s="115" t="n"/>
      <c r="G1588" s="156" t="n"/>
      <c r="H1588" s="152" t="n">
        <v>400</v>
      </c>
      <c r="I1588" s="156" t="n"/>
      <c r="J1588" s="90" t="n"/>
      <c r="K1588" s="166" t="n"/>
      <c r="L1588" s="158">
        <f>+H1588*J1588</f>
        <v/>
      </c>
      <c r="M1588" s="159" t="n"/>
    </row>
    <row r="1589">
      <c r="A1589" s="116" t="n">
        <v>46139</v>
      </c>
      <c r="B1589" s="115" t="n">
        <v>1671</v>
      </c>
      <c r="C1589" s="115" t="inlineStr">
        <is>
          <t>VARLIK</t>
        </is>
      </c>
      <c r="D1589" s="115" t="inlineStr">
        <is>
          <t>SİLİNDİR</t>
        </is>
      </c>
      <c r="E1589" s="115" t="inlineStr">
        <is>
          <t>ÖNER DÜNDAR</t>
        </is>
      </c>
      <c r="F1589" s="115" t="n"/>
      <c r="G1589" s="156" t="n"/>
      <c r="H1589" s="152" t="n">
        <v>245</v>
      </c>
      <c r="I1589" s="156" t="n"/>
      <c r="J1589" s="90" t="n"/>
      <c r="K1589" s="166" t="n"/>
      <c r="L1589" s="158">
        <f>+H1589*J1589</f>
        <v/>
      </c>
      <c r="M1589" s="159" t="n"/>
    </row>
    <row r="1590">
      <c r="A1590" s="116" t="n">
        <v>46139</v>
      </c>
      <c r="B1590" s="115" t="n">
        <v>1672</v>
      </c>
      <c r="C1590" s="115" t="inlineStr">
        <is>
          <t>KOZMO</t>
        </is>
      </c>
      <c r="D1590" s="115" t="inlineStr">
        <is>
          <t>KAWASAKİ</t>
        </is>
      </c>
      <c r="E1590" s="115" t="inlineStr">
        <is>
          <t>RAMAZAN</t>
        </is>
      </c>
      <c r="F1590" s="115" t="n"/>
      <c r="G1590" s="156" t="n"/>
      <c r="H1590" s="152" t="n">
        <v>147</v>
      </c>
      <c r="I1590" s="156" t="n"/>
      <c r="J1590" s="90" t="n"/>
      <c r="K1590" s="166" t="n"/>
      <c r="L1590" s="158">
        <f>+H1590*J1590</f>
        <v/>
      </c>
      <c r="M1590" s="159" t="n"/>
    </row>
    <row r="1591">
      <c r="A1591" s="116" t="n">
        <v>46140</v>
      </c>
      <c r="B1591" s="115" t="n">
        <v>1673</v>
      </c>
      <c r="C1591" s="115" t="inlineStr">
        <is>
          <t>KOZMO</t>
        </is>
      </c>
      <c r="D1591" s="115" t="inlineStr">
        <is>
          <t>SM350</t>
        </is>
      </c>
      <c r="E1591" s="115" t="inlineStr">
        <is>
          <t>TEVFİK</t>
        </is>
      </c>
      <c r="F1591" s="115" t="n"/>
      <c r="G1591" s="156" t="n"/>
      <c r="H1591" s="152" t="n">
        <v>450</v>
      </c>
      <c r="I1591" s="156" t="n"/>
      <c r="J1591" s="90" t="n"/>
      <c r="K1591" s="166" t="n"/>
      <c r="L1591" s="158">
        <f>+H1591*J1591</f>
        <v/>
      </c>
      <c r="M1591" s="159" t="n"/>
    </row>
    <row r="1592">
      <c r="A1592" s="116" t="n">
        <v>46140</v>
      </c>
      <c r="B1592" s="115" t="n">
        <v>1674</v>
      </c>
      <c r="C1592" s="115" t="inlineStr">
        <is>
          <t>VARLIK</t>
        </is>
      </c>
      <c r="D1592" s="115" t="inlineStr">
        <is>
          <t>SM300</t>
        </is>
      </c>
      <c r="E1592" s="115" t="inlineStr">
        <is>
          <t>YUSUF</t>
        </is>
      </c>
      <c r="F1592" s="115" t="n"/>
      <c r="G1592" s="156" t="n"/>
      <c r="H1592" s="152" t="n">
        <v>319</v>
      </c>
      <c r="I1592" s="156" t="n"/>
      <c r="J1592" s="90" t="n"/>
      <c r="K1592" s="166" t="n"/>
      <c r="L1592" s="158">
        <f>+H1592*J1592</f>
        <v/>
      </c>
      <c r="M1592" s="159" t="n"/>
    </row>
    <row r="1593">
      <c r="A1593" s="116" t="n">
        <v>46140</v>
      </c>
      <c r="B1593" s="115" t="n">
        <v>1675</v>
      </c>
      <c r="C1593" s="115" t="inlineStr">
        <is>
          <t>MEGA VARLIK</t>
        </is>
      </c>
      <c r="D1593" s="115" t="inlineStr">
        <is>
          <t>SM370</t>
        </is>
      </c>
      <c r="E1593" s="115" t="inlineStr">
        <is>
          <t>ONUR</t>
        </is>
      </c>
      <c r="F1593" s="115" t="n"/>
      <c r="G1593" s="156" t="n"/>
      <c r="H1593" s="152" t="n">
        <v>450</v>
      </c>
      <c r="I1593" s="156" t="n"/>
      <c r="J1593" s="90" t="n"/>
      <c r="K1593" s="166" t="n"/>
      <c r="L1593" s="158">
        <f>+H1593*J1593</f>
        <v/>
      </c>
      <c r="M1593" s="159" t="n"/>
    </row>
    <row r="1594">
      <c r="A1594" s="116" t="n">
        <v>46140</v>
      </c>
      <c r="B1594" s="115" t="n">
        <v>1676</v>
      </c>
      <c r="C1594" s="115" t="inlineStr">
        <is>
          <t xml:space="preserve">CEVİZ MOBİLYA  </t>
        </is>
      </c>
      <c r="D1594" s="115" t="inlineStr">
        <is>
          <t>SM350</t>
        </is>
      </c>
      <c r="E1594" s="115" t="inlineStr">
        <is>
          <t>M.YANARDAĞ</t>
        </is>
      </c>
      <c r="F1594" s="115" t="n"/>
      <c r="G1594" s="156" t="n"/>
      <c r="H1594" s="152" t="n">
        <v>447</v>
      </c>
      <c r="I1594" s="156" t="n"/>
      <c r="J1594" s="90" t="n"/>
      <c r="K1594" s="166" t="n"/>
      <c r="L1594" s="158">
        <f>+H1594*J1594</f>
        <v/>
      </c>
      <c r="M1594" s="159" t="n"/>
    </row>
    <row r="1595">
      <c r="A1595" s="116" t="n">
        <v>46140</v>
      </c>
      <c r="B1595" s="115" t="n">
        <v>1677</v>
      </c>
      <c r="C1595" s="115" t="inlineStr">
        <is>
          <t>MEGA VARLIK</t>
        </is>
      </c>
      <c r="D1595" s="115" t="inlineStr">
        <is>
          <t>34 EU 0188</t>
        </is>
      </c>
      <c r="E1595" s="115" t="inlineStr">
        <is>
          <t>CEMAL AKYOL</t>
        </is>
      </c>
      <c r="F1595" s="115" t="n"/>
      <c r="G1595" s="156" t="n"/>
      <c r="H1595" s="152" t="n">
        <v>55</v>
      </c>
      <c r="I1595" s="156" t="n"/>
      <c r="J1595" s="90" t="n"/>
      <c r="K1595" s="166" t="n"/>
      <c r="L1595" s="158">
        <f>+H1595*J1595</f>
        <v/>
      </c>
      <c r="M1595" s="159" t="n"/>
    </row>
    <row r="1596">
      <c r="A1596" s="116" t="n">
        <v>46140</v>
      </c>
      <c r="B1596" s="115" t="n">
        <v>1678</v>
      </c>
      <c r="C1596" s="115" t="inlineStr">
        <is>
          <t>MEGA VARLIK</t>
        </is>
      </c>
      <c r="D1596" s="115" t="inlineStr">
        <is>
          <t>34 AZ 2191</t>
        </is>
      </c>
      <c r="E1596" s="115" t="inlineStr">
        <is>
          <t>NUMAN KABİL</t>
        </is>
      </c>
      <c r="F1596" s="115" t="n"/>
      <c r="G1596" s="156" t="n"/>
      <c r="H1596" s="152" t="n">
        <v>173</v>
      </c>
      <c r="I1596" s="156" t="n"/>
      <c r="J1596" s="90" t="n"/>
      <c r="K1596" s="166" t="n"/>
      <c r="L1596" s="158">
        <f>+H1596*J1596</f>
        <v/>
      </c>
      <c r="M1596" s="159" t="n"/>
    </row>
    <row r="1597">
      <c r="A1597" s="116" t="n">
        <v>46140</v>
      </c>
      <c r="B1597" s="115" t="n">
        <v>1679</v>
      </c>
      <c r="C1597" s="115" t="inlineStr">
        <is>
          <t>MEGA VARLIK</t>
        </is>
      </c>
      <c r="D1597" s="115" t="inlineStr">
        <is>
          <t>FORKLİFT</t>
        </is>
      </c>
      <c r="E1597" s="115" t="inlineStr">
        <is>
          <t>FAHRİ</t>
        </is>
      </c>
      <c r="F1597" s="115" t="n"/>
      <c r="G1597" s="156" t="n"/>
      <c r="H1597" s="152" t="n">
        <v>32</v>
      </c>
      <c r="I1597" s="156" t="n"/>
      <c r="J1597" s="90" t="n"/>
      <c r="K1597" s="166" t="n"/>
      <c r="L1597" s="158">
        <f>+H1597*J1597</f>
        <v/>
      </c>
      <c r="M1597" s="159" t="n"/>
    </row>
    <row r="1598">
      <c r="A1598" s="116" t="n">
        <v>46140</v>
      </c>
      <c r="B1598" s="115" t="n">
        <v>1680</v>
      </c>
      <c r="C1598" s="115" t="inlineStr">
        <is>
          <t xml:space="preserve">CEVİZ MOBİLYA  </t>
        </is>
      </c>
      <c r="D1598" s="115" t="inlineStr">
        <is>
          <t>34 GA 9415</t>
        </is>
      </c>
      <c r="E1598" s="115" t="inlineStr">
        <is>
          <t>CEMAL AKYOL</t>
        </is>
      </c>
      <c r="F1598" s="115" t="n"/>
      <c r="G1598" s="156" t="n"/>
      <c r="H1598" s="152" t="n">
        <v>136</v>
      </c>
      <c r="I1598" s="156" t="n"/>
      <c r="J1598" s="90" t="n"/>
      <c r="K1598" s="166" t="n"/>
      <c r="L1598" s="158">
        <f>+H1598*J1598</f>
        <v/>
      </c>
      <c r="M1598" s="159" t="n"/>
    </row>
    <row r="1599">
      <c r="A1599" s="116" t="n">
        <v>46141</v>
      </c>
      <c r="B1599" s="115" t="n">
        <v>1681</v>
      </c>
      <c r="C1599" s="115" t="inlineStr">
        <is>
          <t>MEGA VARLIK</t>
        </is>
      </c>
      <c r="D1599" s="115" t="inlineStr">
        <is>
          <t>MANİTO</t>
        </is>
      </c>
      <c r="E1599" s="115" t="inlineStr">
        <is>
          <t>MUHAMMED</t>
        </is>
      </c>
      <c r="F1599" s="115" t="n"/>
      <c r="G1599" s="156" t="n"/>
      <c r="H1599" s="152" t="n">
        <v>242</v>
      </c>
      <c r="I1599" s="156" t="n"/>
      <c r="J1599" s="90" t="n"/>
      <c r="K1599" s="166" t="n"/>
      <c r="L1599" s="158">
        <f>+H1599*J1599</f>
        <v/>
      </c>
      <c r="M1599" s="159" t="n"/>
    </row>
    <row r="1600">
      <c r="A1600" s="116" t="n">
        <v>46141</v>
      </c>
      <c r="B1600" s="115" t="n">
        <v>1682</v>
      </c>
      <c r="C1600" s="115" t="inlineStr">
        <is>
          <t>MEGA VARLIK</t>
        </is>
      </c>
      <c r="D1600" s="115" t="inlineStr">
        <is>
          <t>HİTACHİ</t>
        </is>
      </c>
      <c r="E1600" s="115" t="inlineStr">
        <is>
          <t>TURGUT</t>
        </is>
      </c>
      <c r="F1600" s="115" t="n"/>
      <c r="G1600" s="156" t="n"/>
      <c r="H1600" s="152" t="n">
        <v>432</v>
      </c>
      <c r="I1600" s="156" t="n"/>
      <c r="J1600" s="90" t="n"/>
      <c r="K1600" s="166" t="n"/>
      <c r="L1600" s="158">
        <f>+H1600*J1600</f>
        <v/>
      </c>
      <c r="M1600" s="159" t="n"/>
    </row>
    <row r="1601">
      <c r="A1601" s="116" t="n">
        <v>46141</v>
      </c>
      <c r="B1601" s="115" t="n">
        <v>1683</v>
      </c>
      <c r="C1601" s="115" t="inlineStr">
        <is>
          <t xml:space="preserve">CEVİZ MOBİLYA  </t>
        </is>
      </c>
      <c r="D1601" s="115" t="inlineStr">
        <is>
          <t>34 ZS 8646</t>
        </is>
      </c>
      <c r="E1601" s="115" t="inlineStr">
        <is>
          <t>CEMAL AKYOL</t>
        </is>
      </c>
      <c r="F1601" s="115" t="n"/>
      <c r="G1601" s="156" t="n"/>
      <c r="H1601" s="152" t="n">
        <v>61</v>
      </c>
      <c r="I1601" s="156" t="n"/>
      <c r="J1601" s="90" t="n"/>
      <c r="K1601" s="166" t="n"/>
      <c r="L1601" s="158">
        <f>+H1601*J1601</f>
        <v/>
      </c>
      <c r="M1601" s="159" t="n"/>
    </row>
    <row r="1602">
      <c r="A1602" s="116" t="n">
        <v>46142</v>
      </c>
      <c r="B1602" s="115" t="n">
        <v>1684</v>
      </c>
      <c r="C1602" s="115" t="inlineStr">
        <is>
          <t xml:space="preserve">CEVİZ MOBİLYA  </t>
        </is>
      </c>
      <c r="D1602" s="115" t="inlineStr">
        <is>
          <t>34 GCY 009</t>
        </is>
      </c>
      <c r="E1602" s="115" t="inlineStr">
        <is>
          <t>CEMAL AKYOL</t>
        </is>
      </c>
      <c r="F1602" s="115" t="n"/>
      <c r="G1602" s="156" t="n"/>
      <c r="H1602" s="152" t="n">
        <v>82</v>
      </c>
      <c r="I1602" s="156" t="n"/>
      <c r="J1602" s="90" t="n"/>
      <c r="K1602" s="166" t="n"/>
      <c r="L1602" s="158">
        <f>+H1602*J1602</f>
        <v/>
      </c>
      <c r="M1602" s="159" t="n"/>
    </row>
    <row r="1603">
      <c r="A1603" s="116" t="n">
        <v>46142</v>
      </c>
      <c r="B1603" s="115" t="n">
        <v>1685</v>
      </c>
      <c r="C1603" s="115" t="inlineStr">
        <is>
          <t>MEGA VARLIK</t>
        </is>
      </c>
      <c r="D1603" s="115" t="inlineStr">
        <is>
          <t>FORKLİFT</t>
        </is>
      </c>
      <c r="E1603" s="115" t="inlineStr">
        <is>
          <t>FAHRİ</t>
        </is>
      </c>
      <c r="F1603" s="115" t="n"/>
      <c r="G1603" s="156" t="n"/>
      <c r="H1603" s="152" t="n">
        <v>47</v>
      </c>
      <c r="I1603" s="156" t="n"/>
      <c r="J1603" s="90" t="n"/>
      <c r="K1603" s="166" t="n"/>
      <c r="L1603" s="158">
        <f>+H1603*J1603</f>
        <v/>
      </c>
      <c r="M1603" s="159" t="n"/>
    </row>
    <row r="1604">
      <c r="A1604" s="116" t="n">
        <v>46142</v>
      </c>
      <c r="B1604" s="115" t="n">
        <v>1686</v>
      </c>
      <c r="C1604" s="115" t="inlineStr">
        <is>
          <t>MEGA VARLIK</t>
        </is>
      </c>
      <c r="D1604" s="115" t="inlineStr">
        <is>
          <t>SİLİNDİR</t>
        </is>
      </c>
      <c r="E1604" s="115" t="inlineStr">
        <is>
          <t>ATABEK</t>
        </is>
      </c>
      <c r="F1604" s="115" t="n"/>
      <c r="G1604" s="156" t="n"/>
      <c r="H1604" s="152" t="n">
        <v>213</v>
      </c>
      <c r="I1604" s="156" t="n"/>
      <c r="J1604" s="90" t="n"/>
      <c r="K1604" s="166" t="n"/>
      <c r="L1604" s="158">
        <f>+H1604*J1604</f>
        <v/>
      </c>
      <c r="M1604" s="159" t="n"/>
    </row>
    <row r="1605">
      <c r="A1605" s="116" t="n">
        <v>46142</v>
      </c>
      <c r="B1605" s="115" t="n">
        <v>1687</v>
      </c>
      <c r="C1605" s="115" t="inlineStr">
        <is>
          <t>MEGA VARLIK</t>
        </is>
      </c>
      <c r="D1605" s="115" t="inlineStr">
        <is>
          <t>SM350</t>
        </is>
      </c>
      <c r="E1605" s="115" t="inlineStr">
        <is>
          <t>TEVFİK</t>
        </is>
      </c>
      <c r="F1605" s="115" t="n"/>
      <c r="G1605" s="156" t="n"/>
      <c r="H1605" s="152" t="n">
        <v>319</v>
      </c>
      <c r="I1605" s="156" t="n"/>
      <c r="J1605" s="90" t="n"/>
      <c r="K1605" s="166" t="n"/>
      <c r="L1605" s="158">
        <f>+H1605*J1605</f>
        <v/>
      </c>
      <c r="M1605" s="159" t="n"/>
    </row>
    <row r="1606">
      <c r="A1606" s="116" t="n">
        <v>46141</v>
      </c>
      <c r="B1606" s="115" t="n">
        <v>1688</v>
      </c>
      <c r="C1606" s="115" t="inlineStr">
        <is>
          <t xml:space="preserve">GÜRSES </t>
        </is>
      </c>
      <c r="D1606" s="115" t="inlineStr">
        <is>
          <t>SM350</t>
        </is>
      </c>
      <c r="E1606" s="115" t="inlineStr">
        <is>
          <t>YAKUP</t>
        </is>
      </c>
      <c r="F1606" s="115" t="n"/>
      <c r="G1606" s="156" t="n"/>
      <c r="H1606" s="152" t="n">
        <v>391</v>
      </c>
      <c r="I1606" s="156" t="n"/>
      <c r="J1606" s="90" t="n"/>
      <c r="K1606" s="166" t="n"/>
      <c r="L1606" s="158">
        <f>+H1606*J1606</f>
        <v/>
      </c>
      <c r="M1606" s="159" t="n"/>
    </row>
    <row r="1607">
      <c r="A1607" s="116" t="n">
        <v>46142</v>
      </c>
      <c r="B1607" s="115" t="n">
        <v>1689</v>
      </c>
      <c r="C1607" s="115" t="inlineStr">
        <is>
          <t>KOZMO</t>
        </is>
      </c>
      <c r="D1607" s="115" t="inlineStr">
        <is>
          <t>SM300</t>
        </is>
      </c>
      <c r="E1607" s="115" t="inlineStr">
        <is>
          <t>ONUR</t>
        </is>
      </c>
      <c r="F1607" s="115" t="n"/>
      <c r="G1607" s="156" t="n"/>
      <c r="H1607" s="152" t="n">
        <v>420</v>
      </c>
      <c r="I1607" s="156" t="n"/>
      <c r="J1607" s="90" t="n"/>
      <c r="K1607" s="166" t="n"/>
      <c r="L1607" s="158">
        <f>+H1607*J1607</f>
        <v/>
      </c>
      <c r="M1607" s="159" t="n"/>
    </row>
    <row r="1608">
      <c r="A1608" s="116" t="n">
        <v>46142</v>
      </c>
      <c r="B1608" s="115" t="n">
        <v>1690</v>
      </c>
      <c r="C1608" s="115" t="inlineStr">
        <is>
          <t>KOZMO</t>
        </is>
      </c>
      <c r="D1608" s="115" t="inlineStr">
        <is>
          <t>SM350</t>
        </is>
      </c>
      <c r="E1608" s="115" t="inlineStr">
        <is>
          <t>TEVFİK</t>
        </is>
      </c>
      <c r="F1608" s="115" t="n"/>
      <c r="G1608" s="156" t="n"/>
      <c r="H1608" s="152" t="n">
        <v>475</v>
      </c>
      <c r="I1608" s="156" t="n"/>
      <c r="J1608" s="90" t="n"/>
      <c r="K1608" s="166" t="n"/>
      <c r="L1608" s="158">
        <f>+H1608*J1608</f>
        <v/>
      </c>
      <c r="M1608" s="159" t="n"/>
    </row>
    <row r="1609">
      <c r="A1609" s="116" t="n">
        <v>46142</v>
      </c>
      <c r="B1609" s="115" t="n">
        <v>1691</v>
      </c>
      <c r="C1609" s="115" t="inlineStr">
        <is>
          <t>VARLIK</t>
        </is>
      </c>
      <c r="D1609" s="115" t="inlineStr">
        <is>
          <t>HİTACHİ</t>
        </is>
      </c>
      <c r="E1609" s="115" t="inlineStr">
        <is>
          <t>TURGUT</t>
        </is>
      </c>
      <c r="F1609" s="115" t="n"/>
      <c r="G1609" s="156" t="n"/>
      <c r="H1609" s="152" t="n">
        <v>242</v>
      </c>
      <c r="I1609" s="156" t="n"/>
      <c r="J1609" s="90" t="n"/>
      <c r="K1609" s="166" t="n"/>
      <c r="L1609" s="158">
        <f>+H1609*J1609</f>
        <v/>
      </c>
      <c r="M1609" s="159" t="n"/>
    </row>
    <row r="1610">
      <c r="A1610" s="116" t="n">
        <v>46142</v>
      </c>
      <c r="B1610" s="115" t="n">
        <v>1692</v>
      </c>
      <c r="C1610" s="115" t="inlineStr">
        <is>
          <t>VARLIK</t>
        </is>
      </c>
      <c r="D1610" s="115" t="inlineStr">
        <is>
          <t>SM350</t>
        </is>
      </c>
      <c r="E1610" s="115" t="inlineStr">
        <is>
          <t>YAKUP</t>
        </is>
      </c>
      <c r="F1610" s="115" t="n"/>
      <c r="G1610" s="156" t="n"/>
      <c r="H1610" s="152" t="n">
        <v>300</v>
      </c>
      <c r="I1610" s="156" t="n"/>
      <c r="J1610" s="90" t="n"/>
      <c r="K1610" s="166" t="n"/>
      <c r="L1610" s="158">
        <f>+H1610*J1610</f>
        <v/>
      </c>
      <c r="M1610" s="159" t="n"/>
    </row>
    <row r="1611">
      <c r="A1611" s="116" t="n">
        <v>46142</v>
      </c>
      <c r="B1611" s="115" t="n">
        <v>1693</v>
      </c>
      <c r="C1611" s="115" t="inlineStr">
        <is>
          <t>VARLIK</t>
        </is>
      </c>
      <c r="D1611" s="115" t="inlineStr">
        <is>
          <t>SM370</t>
        </is>
      </c>
      <c r="E1611" s="115" t="inlineStr">
        <is>
          <t>ADEM</t>
        </is>
      </c>
      <c r="F1611" s="115" t="n"/>
      <c r="G1611" s="156" t="n"/>
      <c r="H1611" s="152" t="n">
        <v>491</v>
      </c>
      <c r="I1611" s="156" t="n"/>
      <c r="J1611" s="90" t="n"/>
      <c r="K1611" s="166" t="n"/>
      <c r="L1611" s="158">
        <f>+H1611*J1611</f>
        <v/>
      </c>
      <c r="M1611" s="159" t="n"/>
    </row>
    <row r="1612">
      <c r="A1612" s="116" t="n">
        <v>46142</v>
      </c>
      <c r="B1612" s="115" t="n">
        <v>1694</v>
      </c>
      <c r="C1612" s="115" t="inlineStr">
        <is>
          <t>VARLIK</t>
        </is>
      </c>
      <c r="D1612" s="115" t="inlineStr">
        <is>
          <t>SİLİNDİR</t>
        </is>
      </c>
      <c r="E1612" s="115" t="inlineStr">
        <is>
          <t>ATABEK</t>
        </is>
      </c>
      <c r="F1612" s="115" t="n"/>
      <c r="G1612" s="156" t="n"/>
      <c r="H1612" s="152" t="n">
        <v>160</v>
      </c>
      <c r="I1612" s="156" t="n"/>
      <c r="J1612" s="90" t="n"/>
      <c r="K1612" s="166" t="n"/>
      <c r="L1612" s="158">
        <f>+H1612*J1612</f>
        <v/>
      </c>
      <c r="M1612" s="159" t="n"/>
    </row>
    <row r="1613">
      <c r="A1613" s="116" t="n">
        <v>46157</v>
      </c>
      <c r="B1613" s="115" t="n">
        <v>11177</v>
      </c>
      <c r="C1613" s="115" t="inlineStr">
        <is>
          <t>SELİM İNŞAAT</t>
        </is>
      </c>
      <c r="D1613" s="115" t="inlineStr">
        <is>
          <t>34 HZ 1663</t>
        </is>
      </c>
      <c r="E1613" s="115" t="inlineStr">
        <is>
          <t>ÖNER DÜNDAR</t>
        </is>
      </c>
      <c r="F1613" s="115" t="n">
        <v>529420</v>
      </c>
      <c r="G1613" s="156" t="n"/>
      <c r="H1613" s="152" t="n">
        <v>345</v>
      </c>
      <c r="I1613" s="156" t="n"/>
      <c r="J1613" s="90" t="n"/>
      <c r="K1613" s="166" t="n"/>
      <c r="L1613" s="158">
        <f>+H1613*J1613</f>
        <v/>
      </c>
      <c r="M1613" s="159" t="n"/>
    </row>
    <row r="1614">
      <c r="A1614" s="116" t="n">
        <v>46149</v>
      </c>
      <c r="B1614" s="115" t="n">
        <v>1287</v>
      </c>
      <c r="C1614" s="115" t="inlineStr">
        <is>
          <t>SELİM İNŞAAT</t>
        </is>
      </c>
      <c r="D1614" s="115" t="inlineStr">
        <is>
          <t>34 DSN 621</t>
        </is>
      </c>
      <c r="E1614" s="115" t="inlineStr">
        <is>
          <t>MEHMETALİ</t>
        </is>
      </c>
      <c r="F1614" s="115" t="n">
        <v>440120</v>
      </c>
      <c r="G1614" s="156" t="n"/>
      <c r="H1614" s="152" t="n">
        <v>521</v>
      </c>
      <c r="I1614" s="156" t="n"/>
      <c r="J1614" s="90" t="n"/>
      <c r="K1614" s="166" t="n"/>
      <c r="L1614" s="158">
        <f>+H1614*J1614</f>
        <v/>
      </c>
      <c r="M1614" s="159" t="n"/>
    </row>
    <row r="1615">
      <c r="A1615" s="116" t="n">
        <v>46187</v>
      </c>
      <c r="B1615" s="115" t="n">
        <v>1288</v>
      </c>
      <c r="C1615" s="115" t="inlineStr">
        <is>
          <t>SELİM İNŞAAT</t>
        </is>
      </c>
      <c r="D1615" s="115" t="inlineStr">
        <is>
          <t>34 DSN 621</t>
        </is>
      </c>
      <c r="E1615" s="115" t="inlineStr">
        <is>
          <t>MEHMETALİ</t>
        </is>
      </c>
      <c r="F1615" s="115" t="n">
        <v>440718</v>
      </c>
      <c r="G1615" s="156" t="n"/>
      <c r="H1615" s="152" t="n">
        <v>502</v>
      </c>
      <c r="I1615" s="156" t="n"/>
      <c r="J1615" s="90" t="n"/>
      <c r="K1615" s="166" t="n"/>
      <c r="L1615" s="158">
        <f>+H1615*J1615</f>
        <v/>
      </c>
      <c r="M1615" s="159" t="n"/>
    </row>
    <row r="1616">
      <c r="A1616" s="116" t="n">
        <v>46153</v>
      </c>
      <c r="B1616" s="115" t="n">
        <v>4305</v>
      </c>
      <c r="C1616" s="115" t="inlineStr">
        <is>
          <t>SELİM İNŞAAT</t>
        </is>
      </c>
      <c r="D1616" s="115" t="inlineStr">
        <is>
          <t>34 DTV 447</t>
        </is>
      </c>
      <c r="E1616" s="115" t="inlineStr">
        <is>
          <t>MURAT DEMİRBAŞ</t>
        </is>
      </c>
      <c r="F1616" s="115" t="n">
        <v>462461</v>
      </c>
      <c r="G1616" s="156" t="n"/>
      <c r="H1616" s="152" t="n">
        <v>450</v>
      </c>
      <c r="I1616" s="156" t="n"/>
      <c r="J1616" s="90" t="n"/>
      <c r="K1616" s="166" t="n"/>
      <c r="L1616" s="158">
        <f>+H1616*J1616</f>
        <v/>
      </c>
      <c r="M1616" s="159" t="n"/>
    </row>
    <row r="1617">
      <c r="A1617" s="116" t="n">
        <v>46154</v>
      </c>
      <c r="B1617" s="115" t="n">
        <v>4306</v>
      </c>
      <c r="C1617" s="115" t="inlineStr">
        <is>
          <t>SELİM İNŞAAT</t>
        </is>
      </c>
      <c r="D1617" s="115" t="inlineStr">
        <is>
          <t>34 DTV 447</t>
        </is>
      </c>
      <c r="E1617" s="115" t="inlineStr">
        <is>
          <t>MURAT DEMİRBAŞ</t>
        </is>
      </c>
      <c r="F1617" s="115" t="n">
        <v>463011</v>
      </c>
      <c r="G1617" s="156" t="n"/>
      <c r="H1617" s="152" t="n">
        <v>449</v>
      </c>
      <c r="I1617" s="156" t="n"/>
      <c r="J1617" s="90" t="n"/>
      <c r="K1617" s="166" t="n"/>
      <c r="L1617" s="158">
        <f>+H1617*J1617</f>
        <v/>
      </c>
      <c r="M1617" s="159" t="n"/>
    </row>
    <row r="1618">
      <c r="A1618" s="116" t="n">
        <v>46153</v>
      </c>
      <c r="B1618" s="115" t="n">
        <v>3174</v>
      </c>
      <c r="C1618" s="115" t="inlineStr">
        <is>
          <t>SELİM İNŞAAT</t>
        </is>
      </c>
      <c r="D1618" s="115" t="inlineStr">
        <is>
          <t>34 DTV 599</t>
        </is>
      </c>
      <c r="E1618" s="115" t="inlineStr">
        <is>
          <t>CELAL YÜZBAŞI</t>
        </is>
      </c>
      <c r="F1618" s="115" t="n">
        <v>477440</v>
      </c>
      <c r="G1618" s="156" t="n"/>
      <c r="H1618" s="152" t="n">
        <v>531</v>
      </c>
      <c r="I1618" s="156" t="n"/>
      <c r="J1618" s="90" t="n"/>
      <c r="K1618" s="166" t="n"/>
      <c r="L1618" s="158">
        <f>+H1618*J1618</f>
        <v/>
      </c>
      <c r="M1618" s="159" t="n"/>
    </row>
    <row r="1619">
      <c r="A1619" s="116" t="n">
        <v>46157</v>
      </c>
      <c r="B1619" s="115" t="n">
        <v>3175</v>
      </c>
      <c r="C1619" s="115" t="inlineStr">
        <is>
          <t>SELİM İNŞAAT</t>
        </is>
      </c>
      <c r="D1619" s="115" t="inlineStr">
        <is>
          <t>34 GYZ 635</t>
        </is>
      </c>
      <c r="E1619" s="115" t="inlineStr">
        <is>
          <t>SELÇUK BASTIK</t>
        </is>
      </c>
      <c r="F1619" s="115" t="n">
        <v>478001</v>
      </c>
      <c r="G1619" s="156" t="n"/>
      <c r="H1619" s="152" t="n">
        <v>455</v>
      </c>
      <c r="I1619" s="156" t="n"/>
      <c r="J1619" s="90" t="n"/>
      <c r="K1619" s="166" t="n"/>
      <c r="L1619" s="158">
        <f>+H1619*J1619</f>
        <v/>
      </c>
      <c r="M1619" s="159" t="n"/>
    </row>
    <row r="1620">
      <c r="A1620" s="116" t="n">
        <v>46149</v>
      </c>
      <c r="B1620" s="115" t="n">
        <v>4365</v>
      </c>
      <c r="C1620" s="115" t="inlineStr">
        <is>
          <t>SELİM İNŞAAT</t>
        </is>
      </c>
      <c r="D1620" s="115" t="inlineStr">
        <is>
          <t>34 EDB 829</t>
        </is>
      </c>
      <c r="E1620" s="115" t="inlineStr">
        <is>
          <t>FATİH ÖZBOLAT</t>
        </is>
      </c>
      <c r="F1620" s="115" t="n">
        <v>356456</v>
      </c>
      <c r="G1620" s="156" t="n"/>
      <c r="H1620" s="152" t="n">
        <v>500</v>
      </c>
      <c r="I1620" s="156" t="n"/>
      <c r="J1620" s="90" t="n"/>
      <c r="K1620" s="166" t="n"/>
      <c r="L1620" s="158">
        <f>+H1620*J1620</f>
        <v/>
      </c>
      <c r="M1620" s="159" t="n"/>
    </row>
    <row r="1621">
      <c r="A1621" s="116" t="n">
        <v>46157</v>
      </c>
      <c r="B1621" s="115" t="n">
        <v>4366</v>
      </c>
      <c r="C1621" s="115" t="inlineStr">
        <is>
          <t>SELİM İNŞAAT</t>
        </is>
      </c>
      <c r="D1621" s="115" t="inlineStr">
        <is>
          <t>34 EDB 829</t>
        </is>
      </c>
      <c r="E1621" s="115" t="inlineStr">
        <is>
          <t>FATİH ÖZBOLAT</t>
        </is>
      </c>
      <c r="F1621" s="115" t="n">
        <v>357084</v>
      </c>
      <c r="G1621" s="156" t="n"/>
      <c r="H1621" s="152" t="n">
        <v>480</v>
      </c>
      <c r="I1621" s="156" t="n"/>
      <c r="J1621" s="90" t="n"/>
      <c r="K1621" s="166" t="n"/>
      <c r="L1621" s="158">
        <f>+H1621*J1621</f>
        <v/>
      </c>
      <c r="M1621" s="159" t="n"/>
    </row>
    <row r="1622">
      <c r="A1622" s="116" t="n">
        <v>46146</v>
      </c>
      <c r="B1622" s="115" t="n">
        <v>202</v>
      </c>
      <c r="C1622" s="115" t="inlineStr">
        <is>
          <t>SELİM İNŞAAT</t>
        </is>
      </c>
      <c r="D1622" s="115" t="inlineStr">
        <is>
          <t>34 DSN 536</t>
        </is>
      </c>
      <c r="E1622" s="115" t="inlineStr">
        <is>
          <t>DURSUN ALİ GÜREK</t>
        </is>
      </c>
      <c r="F1622" s="115" t="n">
        <v>443629</v>
      </c>
      <c r="G1622" s="156" t="n"/>
      <c r="H1622" s="152" t="n">
        <v>520</v>
      </c>
      <c r="I1622" s="156" t="n"/>
      <c r="J1622" s="90" t="n"/>
      <c r="K1622" s="166" t="n"/>
      <c r="L1622" s="158">
        <f>+H1622*J1622</f>
        <v/>
      </c>
      <c r="M1622" s="159" t="n"/>
    </row>
    <row r="1623">
      <c r="A1623" s="116" t="n">
        <v>46155</v>
      </c>
      <c r="B1623" s="115" t="n">
        <v>203</v>
      </c>
      <c r="C1623" s="115" t="inlineStr">
        <is>
          <t>SELİM İNŞAAT</t>
        </is>
      </c>
      <c r="D1623" s="115" t="inlineStr">
        <is>
          <t>34 DSN 536</t>
        </is>
      </c>
      <c r="E1623" s="115" t="inlineStr">
        <is>
          <t>DURSUN ALİ GÜREK</t>
        </is>
      </c>
      <c r="F1623" s="115" t="n">
        <v>444338</v>
      </c>
      <c r="G1623" s="156" t="n"/>
      <c r="H1623" s="152" t="n">
        <v>469</v>
      </c>
      <c r="I1623" s="156" t="n"/>
      <c r="J1623" s="90" t="n"/>
      <c r="K1623" s="166" t="n"/>
      <c r="L1623" s="158">
        <f>+H1623*J1623</f>
        <v/>
      </c>
      <c r="M1623" s="159" t="n"/>
    </row>
    <row r="1624">
      <c r="A1624" s="116" t="n">
        <v>46158</v>
      </c>
      <c r="B1624" s="115" t="n">
        <v>955</v>
      </c>
      <c r="C1624" s="115" t="inlineStr">
        <is>
          <t>SELİM İNŞAAT</t>
        </is>
      </c>
      <c r="D1624" s="115" t="inlineStr">
        <is>
          <t>34 DSN 636</t>
        </is>
      </c>
      <c r="E1624" s="115" t="inlineStr">
        <is>
          <t>KERİM KARAMAN</t>
        </is>
      </c>
      <c r="F1624" s="115" t="n">
        <v>436525</v>
      </c>
      <c r="G1624" s="156" t="n"/>
      <c r="H1624" s="152" t="n">
        <v>437</v>
      </c>
      <c r="I1624" s="156" t="n"/>
      <c r="J1624" s="90" t="n"/>
      <c r="K1624" s="166" t="n"/>
      <c r="L1624" s="158">
        <f>+H1624*J1624</f>
        <v/>
      </c>
      <c r="M1624" s="159" t="n"/>
    </row>
    <row r="1625">
      <c r="A1625" s="116" t="n">
        <v>46149</v>
      </c>
      <c r="B1625" s="115" t="n">
        <v>956</v>
      </c>
      <c r="C1625" s="115" t="inlineStr">
        <is>
          <t>SELİM İNŞAAT</t>
        </is>
      </c>
      <c r="D1625" s="115" t="inlineStr">
        <is>
          <t>34 DSN 636</t>
        </is>
      </c>
      <c r="E1625" s="115" t="inlineStr">
        <is>
          <t>KERİM KARAMAN</t>
        </is>
      </c>
      <c r="F1625" s="115" t="n">
        <v>437067</v>
      </c>
      <c r="G1625" s="156" t="n"/>
      <c r="H1625" s="152" t="n">
        <v>397</v>
      </c>
      <c r="I1625" s="156" t="n"/>
      <c r="J1625" s="90" t="n"/>
      <c r="K1625" s="166" t="n"/>
      <c r="L1625" s="158">
        <f>+H1625*J1625</f>
        <v/>
      </c>
      <c r="M1625" s="159" t="n"/>
    </row>
    <row r="1626">
      <c r="A1626" s="116" t="n">
        <v>46150</v>
      </c>
      <c r="B1626" s="115" t="n">
        <v>957</v>
      </c>
      <c r="C1626" s="115" t="inlineStr">
        <is>
          <t>SELİM İNŞAAT</t>
        </is>
      </c>
      <c r="D1626" s="115" t="inlineStr">
        <is>
          <t>34 DSN 636</t>
        </is>
      </c>
      <c r="E1626" s="115" t="inlineStr">
        <is>
          <t>KERİM KARAMAN</t>
        </is>
      </c>
      <c r="F1626" s="115" t="n">
        <v>437475</v>
      </c>
      <c r="G1626" s="156" t="n"/>
      <c r="H1626" s="152" t="n">
        <v>314</v>
      </c>
      <c r="I1626" s="156" t="n"/>
      <c r="J1626" s="90" t="n"/>
      <c r="K1626" s="166" t="n"/>
      <c r="L1626" s="158">
        <f>+H1626*J1626</f>
        <v/>
      </c>
      <c r="M1626" s="159" t="n"/>
    </row>
    <row r="1627">
      <c r="A1627" s="116" t="n">
        <v>46153</v>
      </c>
      <c r="B1627" s="115" t="n">
        <v>957</v>
      </c>
      <c r="C1627" s="115" t="inlineStr">
        <is>
          <t>SELİM İNŞAAT</t>
        </is>
      </c>
      <c r="D1627" s="115" t="inlineStr">
        <is>
          <t>34 DSN 636</t>
        </is>
      </c>
      <c r="E1627" s="115" t="inlineStr">
        <is>
          <t>KERİM KARAMAN</t>
        </is>
      </c>
      <c r="F1627" s="115" t="n">
        <v>438012</v>
      </c>
      <c r="G1627" s="156" t="n"/>
      <c r="H1627" s="152" t="n">
        <v>425</v>
      </c>
      <c r="I1627" s="156" t="n"/>
      <c r="J1627" s="90" t="n"/>
      <c r="K1627" s="166" t="n"/>
      <c r="L1627" s="158">
        <f>+H1627*J1627</f>
        <v/>
      </c>
      <c r="M1627" s="159" t="n"/>
    </row>
    <row r="1628">
      <c r="A1628" s="116" t="n">
        <v>46154</v>
      </c>
      <c r="B1628" s="115" t="n">
        <v>959</v>
      </c>
      <c r="C1628" s="115" t="inlineStr">
        <is>
          <t>SELİM İNŞAAT</t>
        </is>
      </c>
      <c r="D1628" s="115" t="inlineStr">
        <is>
          <t>34 DSN 636</t>
        </is>
      </c>
      <c r="E1628" s="115" t="inlineStr">
        <is>
          <t>KERİM KARAMAN</t>
        </is>
      </c>
      <c r="F1628" s="115" t="n">
        <v>438703</v>
      </c>
      <c r="G1628" s="156" t="n"/>
      <c r="H1628" s="152" t="n">
        <v>412</v>
      </c>
      <c r="I1628" s="156" t="n"/>
      <c r="J1628" s="90" t="n"/>
      <c r="K1628" s="166" t="n"/>
      <c r="L1628" s="158">
        <f>+H1628*J1628</f>
        <v/>
      </c>
      <c r="M1628" s="159" t="n"/>
    </row>
    <row r="1629">
      <c r="A1629" s="116" t="n">
        <v>46157</v>
      </c>
      <c r="B1629" s="115" t="n">
        <v>960</v>
      </c>
      <c r="C1629" s="115" t="inlineStr">
        <is>
          <t>SELİM İNŞAAT</t>
        </is>
      </c>
      <c r="D1629" s="115" t="inlineStr">
        <is>
          <t>34 DSN 636</t>
        </is>
      </c>
      <c r="E1629" s="115" t="inlineStr">
        <is>
          <t>KERİM KARAMAN</t>
        </is>
      </c>
      <c r="F1629" s="115" t="n">
        <v>439403</v>
      </c>
      <c r="G1629" s="156" t="n"/>
      <c r="H1629" s="152" t="n">
        <v>476</v>
      </c>
      <c r="I1629" s="156" t="n"/>
      <c r="J1629" s="90" t="n"/>
      <c r="K1629" s="166" t="n"/>
      <c r="L1629" s="158">
        <f>+H1629*J1629</f>
        <v/>
      </c>
      <c r="M1629" s="159" t="n"/>
    </row>
    <row r="1630">
      <c r="A1630" s="116" t="n">
        <v>46147</v>
      </c>
      <c r="B1630" s="115" t="n">
        <v>3846</v>
      </c>
      <c r="C1630" s="115" t="inlineStr">
        <is>
          <t>SELİM İNŞAAT</t>
        </is>
      </c>
      <c r="D1630" s="115" t="inlineStr">
        <is>
          <t>34 GYZ 635</t>
        </is>
      </c>
      <c r="E1630" s="115" t="inlineStr">
        <is>
          <t>SELÇUK BASTIK</t>
        </is>
      </c>
      <c r="F1630" s="115" t="n">
        <v>237533</v>
      </c>
      <c r="G1630" s="156" t="n"/>
      <c r="H1630" s="152" t="n">
        <v>425</v>
      </c>
      <c r="I1630" s="156" t="n"/>
      <c r="J1630" s="90" t="n"/>
      <c r="K1630" s="166" t="n"/>
      <c r="L1630" s="158">
        <f>+H1630*J1630</f>
        <v/>
      </c>
      <c r="M1630" s="159" t="n"/>
    </row>
    <row r="1631">
      <c r="A1631" s="116" t="n">
        <v>46149</v>
      </c>
      <c r="B1631" s="115" t="n">
        <v>3847</v>
      </c>
      <c r="C1631" s="115" t="inlineStr">
        <is>
          <t>SELİM İNŞAAT</t>
        </is>
      </c>
      <c r="D1631" s="115" t="inlineStr">
        <is>
          <t>34 GYZ 635</t>
        </is>
      </c>
      <c r="E1631" s="115" t="inlineStr">
        <is>
          <t>SELÇUK BASTIK</t>
        </is>
      </c>
      <c r="F1631" s="115" t="n">
        <v>238220</v>
      </c>
      <c r="G1631" s="156" t="n"/>
      <c r="H1631" s="152" t="n">
        <v>445</v>
      </c>
      <c r="I1631" s="156" t="n"/>
      <c r="J1631" s="90" t="n"/>
      <c r="K1631" s="166" t="n"/>
      <c r="L1631" s="158">
        <f>+H1631*J1631</f>
        <v/>
      </c>
      <c r="M1631" s="159" t="n"/>
    </row>
    <row r="1632">
      <c r="A1632" s="116" t="n">
        <v>46151</v>
      </c>
      <c r="B1632" s="115" t="n">
        <v>3848</v>
      </c>
      <c r="C1632" s="115" t="inlineStr">
        <is>
          <t>SELİM İNŞAAT</t>
        </is>
      </c>
      <c r="D1632" s="115" t="inlineStr">
        <is>
          <t>34 GYZ 635</t>
        </is>
      </c>
      <c r="E1632" s="115" t="inlineStr">
        <is>
          <t>SELÇUK BASTIK</t>
        </is>
      </c>
      <c r="F1632" s="115" t="n">
        <v>238994</v>
      </c>
      <c r="G1632" s="156" t="n"/>
      <c r="H1632" s="152" t="n">
        <v>435</v>
      </c>
      <c r="I1632" s="156" t="n"/>
      <c r="J1632" s="90" t="n"/>
      <c r="K1632" s="166" t="n"/>
      <c r="L1632" s="158">
        <f>+H1632*J1632</f>
        <v/>
      </c>
      <c r="M1632" s="159" t="n"/>
    </row>
    <row r="1633">
      <c r="A1633" s="116" t="n">
        <v>46153</v>
      </c>
      <c r="B1633" s="115" t="n">
        <v>3849</v>
      </c>
      <c r="C1633" s="115" t="inlineStr">
        <is>
          <t>SELİM İNŞAAT</t>
        </is>
      </c>
      <c r="D1633" s="115" t="inlineStr">
        <is>
          <t>34 GYZ 635</t>
        </is>
      </c>
      <c r="E1633" s="115" t="inlineStr">
        <is>
          <t>SELÇUK BASTIK</t>
        </is>
      </c>
      <c r="F1633" s="115" t="n">
        <v>239422</v>
      </c>
      <c r="G1633" s="156" t="n"/>
      <c r="H1633" s="152" t="n">
        <v>329</v>
      </c>
      <c r="I1633" s="156" t="n"/>
      <c r="J1633" s="90" t="n"/>
      <c r="K1633" s="166" t="n"/>
      <c r="L1633" s="158">
        <f>+H1633*J1633</f>
        <v/>
      </c>
      <c r="M1633" s="159" t="n"/>
    </row>
    <row r="1634">
      <c r="A1634" s="116" t="n">
        <v>46155</v>
      </c>
      <c r="B1634" s="115" t="n">
        <v>3850</v>
      </c>
      <c r="C1634" s="115" t="inlineStr">
        <is>
          <t>SELİM İNŞAAT</t>
        </is>
      </c>
      <c r="D1634" s="115" t="inlineStr">
        <is>
          <t>34 GYZ 635</t>
        </is>
      </c>
      <c r="E1634" s="115" t="inlineStr">
        <is>
          <t>SELÇUK BASTIK</t>
        </is>
      </c>
      <c r="F1634" s="115" t="n">
        <v>240202</v>
      </c>
      <c r="G1634" s="156" t="n"/>
      <c r="H1634" s="152" t="n">
        <v>400</v>
      </c>
      <c r="I1634" s="156" t="n"/>
      <c r="J1634" s="90" t="n"/>
      <c r="K1634" s="166" t="n"/>
      <c r="L1634" s="158">
        <f>+H1634*J1634</f>
        <v/>
      </c>
      <c r="M1634" s="159" t="n"/>
    </row>
    <row r="1635">
      <c r="A1635" s="116" t="n">
        <v>46157</v>
      </c>
      <c r="B1635" s="115" t="n">
        <v>2001</v>
      </c>
      <c r="C1635" s="115" t="inlineStr">
        <is>
          <t>SELİM İNŞAAT</t>
        </is>
      </c>
      <c r="D1635" s="115" t="inlineStr">
        <is>
          <t>34 GYZ 635</t>
        </is>
      </c>
      <c r="E1635" s="115" t="inlineStr">
        <is>
          <t>SELÇUK BASTIK</t>
        </is>
      </c>
      <c r="F1635" s="115" t="n">
        <v>240905</v>
      </c>
      <c r="G1635" s="156" t="n"/>
      <c r="H1635" s="152" t="n">
        <v>466</v>
      </c>
      <c r="I1635" s="156" t="n"/>
      <c r="J1635" s="90" t="n"/>
      <c r="K1635" s="166" t="n"/>
      <c r="L1635" s="158">
        <f>+H1635*J1635</f>
        <v/>
      </c>
      <c r="M1635" s="159" t="n"/>
    </row>
    <row r="1636">
      <c r="A1636" s="116" t="n">
        <v>46147</v>
      </c>
      <c r="B1636" s="115" t="n">
        <v>4991</v>
      </c>
      <c r="C1636" s="115" t="inlineStr">
        <is>
          <t>SELİM İNŞAAT</t>
        </is>
      </c>
      <c r="D1636" s="115" t="inlineStr">
        <is>
          <t>34 GVZ 745</t>
        </is>
      </c>
      <c r="E1636" s="115" t="inlineStr">
        <is>
          <t>MURAT DEMİRBAŞ</t>
        </is>
      </c>
      <c r="F1636" s="115" t="n">
        <v>258304</v>
      </c>
      <c r="G1636" s="156" t="n"/>
      <c r="H1636" s="152" t="n">
        <v>420</v>
      </c>
      <c r="I1636" s="156" t="n"/>
      <c r="J1636" s="90" t="n"/>
      <c r="K1636" s="166" t="n"/>
      <c r="L1636" s="158">
        <f>+H1636*J1636</f>
        <v/>
      </c>
      <c r="M1636" s="159" t="n"/>
    </row>
    <row r="1637">
      <c r="A1637" s="116" t="n">
        <v>46149</v>
      </c>
      <c r="B1637" s="115" t="n">
        <v>4992</v>
      </c>
      <c r="C1637" s="115" t="inlineStr">
        <is>
          <t>SELİM İNŞAAT</t>
        </is>
      </c>
      <c r="D1637" s="115" t="inlineStr">
        <is>
          <t>34 GVZ 745</t>
        </is>
      </c>
      <c r="E1637" s="115" t="inlineStr">
        <is>
          <t>MURAT DEMİRBAŞ</t>
        </is>
      </c>
      <c r="F1637" s="115" t="n">
        <v>259036</v>
      </c>
      <c r="G1637" s="156" t="n"/>
      <c r="H1637" s="152" t="n">
        <v>456</v>
      </c>
      <c r="I1637" s="156" t="n"/>
      <c r="J1637" s="90" t="n"/>
      <c r="K1637" s="166" t="n"/>
      <c r="L1637" s="158">
        <f>+H1637*J1637</f>
        <v/>
      </c>
      <c r="M1637" s="159" t="n"/>
    </row>
    <row r="1638">
      <c r="A1638" s="116" t="n">
        <v>46154</v>
      </c>
      <c r="B1638" s="115" t="n">
        <v>4993</v>
      </c>
      <c r="C1638" s="115" t="inlineStr">
        <is>
          <t>SELİM İNŞAAT</t>
        </is>
      </c>
      <c r="D1638" s="115" t="inlineStr">
        <is>
          <t>34 GVZ 745</t>
        </is>
      </c>
      <c r="E1638" s="115" t="inlineStr">
        <is>
          <t>MURAT DEMİRBAŞ</t>
        </is>
      </c>
      <c r="F1638" s="115" t="n">
        <v>259994</v>
      </c>
      <c r="G1638" s="156" t="n"/>
      <c r="H1638" s="152" t="n">
        <v>511</v>
      </c>
      <c r="I1638" s="156" t="n"/>
      <c r="J1638" s="90" t="n"/>
      <c r="K1638" s="166" t="n"/>
      <c r="L1638" s="158">
        <f>+H1638*J1638</f>
        <v/>
      </c>
      <c r="M1638" s="159" t="n"/>
    </row>
    <row r="1639">
      <c r="A1639" s="116" t="n">
        <v>46157</v>
      </c>
      <c r="B1639" s="115" t="n">
        <v>4994</v>
      </c>
      <c r="C1639" s="115" t="inlineStr">
        <is>
          <t>SELİM İNŞAAT</t>
        </is>
      </c>
      <c r="D1639" s="115" t="inlineStr">
        <is>
          <t>34 GVZ 745</t>
        </is>
      </c>
      <c r="E1639" s="115" t="inlineStr">
        <is>
          <t>MURAT DEMİRBAŞ</t>
        </is>
      </c>
      <c r="F1639" s="115" t="n">
        <v>260665</v>
      </c>
      <c r="G1639" s="156" t="n"/>
      <c r="H1639" s="152" t="n">
        <v>497</v>
      </c>
      <c r="I1639" s="156" t="n"/>
      <c r="J1639" s="90" t="n"/>
      <c r="K1639" s="166" t="n"/>
      <c r="L1639" s="158">
        <f>+H1639*J1639</f>
        <v/>
      </c>
      <c r="M1639" s="159" t="n"/>
    </row>
    <row r="1640">
      <c r="A1640" s="116" t="n">
        <v>46147</v>
      </c>
      <c r="B1640" s="115" t="n">
        <v>1306</v>
      </c>
      <c r="C1640" s="115" t="inlineStr">
        <is>
          <t>SELİM İNŞAAT</t>
        </is>
      </c>
      <c r="D1640" s="115" t="inlineStr">
        <is>
          <t>34 GVZ 199</t>
        </is>
      </c>
      <c r="E1640" s="115" t="inlineStr">
        <is>
          <t>HÜSEYİN DENİZ</t>
        </is>
      </c>
      <c r="F1640" s="115" t="n">
        <v>236463</v>
      </c>
      <c r="G1640" s="156" t="n"/>
      <c r="H1640" s="152" t="n">
        <v>260</v>
      </c>
      <c r="I1640" s="156" t="n"/>
      <c r="J1640" s="90" t="n"/>
      <c r="K1640" s="166" t="n"/>
      <c r="L1640" s="158">
        <f>+H1640*J1640</f>
        <v/>
      </c>
      <c r="M1640" s="159" t="n"/>
    </row>
    <row r="1641">
      <c r="A1641" s="116" t="n">
        <v>46149</v>
      </c>
      <c r="B1641" s="115" t="n">
        <v>1307</v>
      </c>
      <c r="C1641" s="115" t="inlineStr">
        <is>
          <t>SELİM İNŞAAT</t>
        </is>
      </c>
      <c r="D1641" s="115" t="inlineStr">
        <is>
          <t>34 GVZ 199</t>
        </is>
      </c>
      <c r="E1641" s="115" t="inlineStr">
        <is>
          <t>HÜSEYİN DENİZ</t>
        </is>
      </c>
      <c r="F1641" s="115" t="n">
        <v>237196</v>
      </c>
      <c r="G1641" s="156" t="n"/>
      <c r="H1641" s="152" t="n">
        <v>455</v>
      </c>
      <c r="I1641" s="156" t="n"/>
      <c r="J1641" s="90" t="n"/>
      <c r="K1641" s="166" t="n"/>
      <c r="L1641" s="158">
        <f>+H1641*J1641</f>
        <v/>
      </c>
      <c r="M1641" s="159" t="n"/>
    </row>
    <row r="1642">
      <c r="A1642" s="116" t="n">
        <v>46152</v>
      </c>
      <c r="B1642" s="115" t="n">
        <v>1308</v>
      </c>
      <c r="C1642" s="115" t="inlineStr">
        <is>
          <t>SELİM İNŞAAT</t>
        </is>
      </c>
      <c r="D1642" s="115" t="inlineStr">
        <is>
          <t>34 GVZ 199</t>
        </is>
      </c>
      <c r="E1642" s="115" t="inlineStr">
        <is>
          <t>HÜSEYİN DENİZ</t>
        </is>
      </c>
      <c r="F1642" s="115" t="n">
        <v>238216</v>
      </c>
      <c r="G1642" s="156" t="n"/>
      <c r="H1642" s="152" t="n">
        <v>497</v>
      </c>
      <c r="I1642" s="156" t="n"/>
      <c r="J1642" s="90" t="n"/>
      <c r="K1642" s="166" t="n"/>
      <c r="L1642" s="158">
        <f>+H1642*J1642</f>
        <v/>
      </c>
      <c r="M1642" s="159" t="n"/>
    </row>
    <row r="1643">
      <c r="A1643" s="116" t="n">
        <v>46155</v>
      </c>
      <c r="B1643" s="115" t="n">
        <v>1309</v>
      </c>
      <c r="C1643" s="115" t="inlineStr">
        <is>
          <t>SELİM İNŞAAT</t>
        </is>
      </c>
      <c r="D1643" s="115" t="inlineStr">
        <is>
          <t>34 GVZ 199</t>
        </is>
      </c>
      <c r="E1643" s="115" t="inlineStr">
        <is>
          <t>HÜSEYİN DENİZ</t>
        </is>
      </c>
      <c r="F1643" s="115" t="n">
        <v>239119</v>
      </c>
      <c r="G1643" s="156" t="n"/>
      <c r="H1643" s="152" t="n">
        <v>492</v>
      </c>
      <c r="I1643" s="156" t="n"/>
      <c r="J1643" s="90" t="n"/>
      <c r="K1643" s="166" t="n"/>
      <c r="L1643" s="158">
        <f>+H1643*J1643</f>
        <v/>
      </c>
      <c r="M1643" s="159" t="n"/>
    </row>
    <row r="1644">
      <c r="A1644" s="116" t="n">
        <v>46148</v>
      </c>
      <c r="B1644" s="115" t="n">
        <v>1451</v>
      </c>
      <c r="C1644" s="115" t="inlineStr">
        <is>
          <t>SELİM İNŞAAT</t>
        </is>
      </c>
      <c r="D1644" s="115" t="inlineStr">
        <is>
          <t>34 EDB 754</t>
        </is>
      </c>
      <c r="E1644" s="115" t="inlineStr">
        <is>
          <t>AZİZ ORUÇ</t>
        </is>
      </c>
      <c r="F1644" s="115" t="n">
        <v>379650</v>
      </c>
      <c r="G1644" s="156" t="n"/>
      <c r="H1644" s="152" t="n">
        <v>435</v>
      </c>
      <c r="I1644" s="156" t="n"/>
      <c r="J1644" s="90" t="n"/>
      <c r="K1644" s="166" t="n"/>
      <c r="L1644" s="158">
        <f>+H1644*J1644</f>
        <v/>
      </c>
      <c r="M1644" s="159" t="n"/>
    </row>
    <row r="1645">
      <c r="A1645" s="116" t="n">
        <v>46149</v>
      </c>
      <c r="B1645" s="115" t="n">
        <v>1452</v>
      </c>
      <c r="C1645" s="115" t="inlineStr">
        <is>
          <t>SELİM İNŞAAT</t>
        </is>
      </c>
      <c r="D1645" s="115" t="inlineStr">
        <is>
          <t>34 EDB 754</t>
        </is>
      </c>
      <c r="E1645" s="115" t="inlineStr">
        <is>
          <t>AZİZ ORUÇ</t>
        </is>
      </c>
      <c r="F1645" s="115" t="n">
        <v>380209</v>
      </c>
      <c r="G1645" s="156" t="n"/>
      <c r="H1645" s="152" t="n">
        <v>408</v>
      </c>
      <c r="I1645" s="156" t="n"/>
      <c r="J1645" s="90" t="n"/>
      <c r="K1645" s="166" t="n"/>
      <c r="L1645" s="158">
        <f>+H1645*J1645</f>
        <v/>
      </c>
      <c r="M1645" s="159" t="n"/>
    </row>
    <row r="1646">
      <c r="A1646" s="116" t="n">
        <v>46151</v>
      </c>
      <c r="B1646" s="115" t="n">
        <v>1453</v>
      </c>
      <c r="C1646" s="115" t="inlineStr">
        <is>
          <t>SELİM İNŞAAT</t>
        </is>
      </c>
      <c r="D1646" s="115" t="inlineStr">
        <is>
          <t>34 EDB 754</t>
        </is>
      </c>
      <c r="E1646" s="115" t="inlineStr">
        <is>
          <t>AZİZ ORUÇ</t>
        </is>
      </c>
      <c r="F1646" s="115" t="n">
        <v>380854</v>
      </c>
      <c r="G1646" s="156" t="n"/>
      <c r="H1646" s="152" t="n">
        <v>472</v>
      </c>
      <c r="I1646" s="156" t="n"/>
      <c r="J1646" s="90" t="n"/>
      <c r="K1646" s="166" t="n"/>
      <c r="L1646" s="158">
        <f>+H1646*J1646</f>
        <v/>
      </c>
      <c r="M1646" s="159" t="n"/>
    </row>
    <row r="1647">
      <c r="A1647" s="116" t="n">
        <v>46154</v>
      </c>
      <c r="B1647" s="115" t="n">
        <v>1454</v>
      </c>
      <c r="C1647" s="115" t="inlineStr">
        <is>
          <t>SELİM İNŞAAT</t>
        </is>
      </c>
      <c r="D1647" s="115" t="inlineStr">
        <is>
          <t>34 EDB 754</t>
        </is>
      </c>
      <c r="E1647" s="115" t="inlineStr">
        <is>
          <t>AZİZ ORUÇ</t>
        </is>
      </c>
      <c r="F1647" s="115" t="n">
        <v>381209</v>
      </c>
      <c r="G1647" s="156" t="n"/>
      <c r="H1647" s="152" t="n">
        <v>294</v>
      </c>
      <c r="I1647" s="156" t="n"/>
      <c r="J1647" s="90" t="n"/>
      <c r="K1647" s="166" t="n"/>
      <c r="L1647" s="158">
        <f>+H1647*J1647</f>
        <v/>
      </c>
      <c r="M1647" s="159" t="n"/>
    </row>
    <row r="1648">
      <c r="A1648" s="116" t="n">
        <v>46157</v>
      </c>
      <c r="B1648" s="115" t="n">
        <v>1455</v>
      </c>
      <c r="C1648" s="115" t="inlineStr">
        <is>
          <t>SELİM İNŞAAT</t>
        </is>
      </c>
      <c r="D1648" s="115" t="inlineStr">
        <is>
          <t>34 EDB 754</t>
        </is>
      </c>
      <c r="E1648" s="115" t="inlineStr">
        <is>
          <t>AZİZ ORUÇ</t>
        </is>
      </c>
      <c r="F1648" s="115" t="n">
        <v>381638</v>
      </c>
      <c r="G1648" s="156" t="n"/>
      <c r="H1648" s="152" t="n">
        <v>376</v>
      </c>
      <c r="I1648" s="156" t="n"/>
      <c r="J1648" s="90" t="n"/>
      <c r="K1648" s="166" t="n"/>
      <c r="L1648" s="158">
        <f>+H1648*J1648</f>
        <v/>
      </c>
      <c r="M1648" s="159" t="n"/>
    </row>
    <row r="1649">
      <c r="A1649" s="116" t="n">
        <v>46157</v>
      </c>
      <c r="B1649" s="115" t="n">
        <v>1456</v>
      </c>
      <c r="C1649" s="115" t="inlineStr">
        <is>
          <t>SELİM İNŞAAT</t>
        </is>
      </c>
      <c r="D1649" s="115" t="inlineStr">
        <is>
          <t>34 EDB 754</t>
        </is>
      </c>
      <c r="E1649" s="115" t="inlineStr">
        <is>
          <t>AZİZ ORUÇ</t>
        </is>
      </c>
      <c r="F1649" s="115" t="n">
        <v>382158</v>
      </c>
      <c r="G1649" s="156" t="n"/>
      <c r="H1649" s="152" t="n">
        <v>454</v>
      </c>
      <c r="I1649" s="156" t="n"/>
      <c r="J1649" s="90" t="n"/>
      <c r="K1649" s="166" t="n"/>
      <c r="L1649" s="158">
        <f>+H1649*J1649</f>
        <v/>
      </c>
      <c r="M1649" s="159" t="n"/>
    </row>
    <row r="1650">
      <c r="A1650" s="116" t="n">
        <v>46150</v>
      </c>
      <c r="B1650" s="115" t="n">
        <v>4820</v>
      </c>
      <c r="C1650" s="115" t="inlineStr">
        <is>
          <t>SELİM İNŞAAT</t>
        </is>
      </c>
      <c r="D1650" s="115" t="inlineStr">
        <is>
          <t>34 EDB 559</t>
        </is>
      </c>
      <c r="E1650" s="115" t="inlineStr">
        <is>
          <t>SELAMETTİN KORKMAZ</t>
        </is>
      </c>
      <c r="F1650" s="115" t="n">
        <v>364639</v>
      </c>
      <c r="G1650" s="156" t="n"/>
      <c r="H1650" s="152" t="n">
        <v>503</v>
      </c>
      <c r="I1650" s="156" t="n"/>
      <c r="J1650" s="90" t="n"/>
      <c r="K1650" s="166" t="n"/>
      <c r="L1650" s="158">
        <f>+H1650*J1650</f>
        <v/>
      </c>
      <c r="M1650" s="159" t="n"/>
    </row>
    <row r="1651">
      <c r="A1651" s="116" t="n">
        <v>46155</v>
      </c>
      <c r="B1651" s="115" t="n">
        <v>4821</v>
      </c>
      <c r="C1651" s="115" t="inlineStr">
        <is>
          <t>SELİM İNŞAAT</t>
        </is>
      </c>
      <c r="D1651" s="115" t="inlineStr">
        <is>
          <t>34 EDB 559</t>
        </is>
      </c>
      <c r="E1651" s="115" t="inlineStr">
        <is>
          <t>SELAMETTİN KORKMAZ</t>
        </is>
      </c>
      <c r="F1651" s="115" t="n">
        <v>365334</v>
      </c>
      <c r="G1651" s="156" t="n"/>
      <c r="H1651" s="152" t="n">
        <v>510</v>
      </c>
      <c r="I1651" s="156" t="n"/>
      <c r="J1651" s="90" t="n"/>
      <c r="K1651" s="166" t="n"/>
      <c r="L1651" s="158">
        <f>+H1651*J1651</f>
        <v/>
      </c>
      <c r="M1651" s="159" t="n"/>
    </row>
    <row r="1652">
      <c r="A1652" s="116" t="n">
        <v>46157</v>
      </c>
      <c r="B1652" s="115" t="n">
        <v>4822</v>
      </c>
      <c r="C1652" s="115" t="inlineStr">
        <is>
          <t>SELİM İNŞAAT</t>
        </is>
      </c>
      <c r="D1652" s="115" t="inlineStr">
        <is>
          <t>34 EDB 559</t>
        </is>
      </c>
      <c r="E1652" s="115" t="inlineStr">
        <is>
          <t>SELAMETTİN KORKMAZ</t>
        </is>
      </c>
      <c r="F1652" s="115" t="n">
        <v>365963</v>
      </c>
      <c r="G1652" s="156" t="n"/>
      <c r="H1652" s="152" t="n">
        <v>425</v>
      </c>
      <c r="I1652" s="156" t="n"/>
      <c r="J1652" s="90" t="n"/>
      <c r="K1652" s="166" t="n"/>
      <c r="L1652" s="158">
        <f>+H1652*J1652</f>
        <v/>
      </c>
      <c r="M1652" s="159" t="n"/>
    </row>
    <row r="1653">
      <c r="A1653" s="116" t="n">
        <v>46147</v>
      </c>
      <c r="B1653" s="115" t="n">
        <v>164</v>
      </c>
      <c r="C1653" s="115" t="inlineStr">
        <is>
          <t>SELİM İNŞAAT</t>
        </is>
      </c>
      <c r="D1653" s="115" t="inlineStr">
        <is>
          <t>34 FBR 771</t>
        </is>
      </c>
      <c r="E1653" s="115" t="inlineStr">
        <is>
          <t>SALİH YALÇIN</t>
        </is>
      </c>
      <c r="F1653" s="115" t="n">
        <v>358723</v>
      </c>
      <c r="G1653" s="156" t="n"/>
      <c r="H1653" s="152" t="n">
        <v>440</v>
      </c>
      <c r="I1653" s="156" t="n"/>
      <c r="J1653" s="90" t="n"/>
      <c r="K1653" s="166" t="n"/>
      <c r="L1653" s="158">
        <f>+H1653*J1653</f>
        <v/>
      </c>
      <c r="M1653" s="159" t="n"/>
    </row>
    <row r="1654">
      <c r="A1654" s="116" t="n">
        <v>46149</v>
      </c>
      <c r="B1654" s="115" t="n">
        <v>165</v>
      </c>
      <c r="C1654" s="115" t="inlineStr">
        <is>
          <t>SELİM İNŞAAT</t>
        </is>
      </c>
      <c r="D1654" s="115" t="inlineStr">
        <is>
          <t>34 FBR 771</t>
        </is>
      </c>
      <c r="E1654" s="115" t="inlineStr">
        <is>
          <t>SALİH YALÇIN</t>
        </is>
      </c>
      <c r="F1654" s="115" t="n">
        <v>359654</v>
      </c>
      <c r="G1654" s="156" t="n"/>
      <c r="H1654" s="152" t="n">
        <v>463</v>
      </c>
      <c r="I1654" s="156" t="n"/>
      <c r="J1654" s="90" t="n"/>
      <c r="K1654" s="166" t="n"/>
      <c r="L1654" s="158">
        <f>+H1654*J1654</f>
        <v/>
      </c>
      <c r="M1654" s="159" t="n"/>
    </row>
    <row r="1655">
      <c r="A1655" s="116" t="n">
        <v>46151</v>
      </c>
      <c r="B1655" s="115" t="n">
        <v>166</v>
      </c>
      <c r="C1655" s="115" t="inlineStr">
        <is>
          <t>SELİM İNŞAAT</t>
        </is>
      </c>
      <c r="D1655" s="115" t="inlineStr">
        <is>
          <t>34 FBR 771</t>
        </is>
      </c>
      <c r="E1655" s="115" t="inlineStr">
        <is>
          <t>SALİH YALÇIN</t>
        </is>
      </c>
      <c r="F1655" s="115" t="n">
        <v>360376</v>
      </c>
      <c r="G1655" s="156" t="n"/>
      <c r="H1655" s="152" t="n">
        <v>420</v>
      </c>
      <c r="I1655" s="156" t="n"/>
      <c r="J1655" s="90" t="n"/>
      <c r="K1655" s="166" t="n"/>
      <c r="L1655" s="158">
        <f>+H1655*J1655</f>
        <v/>
      </c>
      <c r="M1655" s="159" t="n"/>
    </row>
    <row r="1656">
      <c r="A1656" s="116" t="n">
        <v>46154</v>
      </c>
      <c r="B1656" s="115" t="n">
        <v>167</v>
      </c>
      <c r="C1656" s="115" t="inlineStr">
        <is>
          <t>SELİM İNŞAAT</t>
        </is>
      </c>
      <c r="D1656" s="115" t="inlineStr">
        <is>
          <t>34 FBR 771</t>
        </is>
      </c>
      <c r="E1656" s="115" t="inlineStr">
        <is>
          <t>SALİH YALÇIN</t>
        </is>
      </c>
      <c r="F1656" s="115" t="n">
        <v>361195</v>
      </c>
      <c r="G1656" s="156" t="n"/>
      <c r="H1656" s="152" t="n">
        <v>515</v>
      </c>
      <c r="I1656" s="156" t="n"/>
      <c r="J1656" s="90" t="n"/>
      <c r="K1656" s="166" t="n"/>
      <c r="L1656" s="158">
        <f>+H1656*J1656</f>
        <v/>
      </c>
      <c r="M1656" s="159" t="n"/>
    </row>
    <row r="1657">
      <c r="A1657" s="116" t="n">
        <v>46156</v>
      </c>
      <c r="B1657" s="115" t="n">
        <v>168</v>
      </c>
      <c r="C1657" s="115" t="inlineStr">
        <is>
          <t>SELİM İNŞAAT</t>
        </is>
      </c>
      <c r="D1657" s="115" t="inlineStr">
        <is>
          <t>34 FBR 771</t>
        </is>
      </c>
      <c r="E1657" s="115" t="inlineStr">
        <is>
          <t>SALİH YALÇIN</t>
        </is>
      </c>
      <c r="F1657" s="115" t="n">
        <v>361840</v>
      </c>
      <c r="G1657" s="156" t="n"/>
      <c r="H1657" s="152" t="n">
        <v>329</v>
      </c>
      <c r="I1657" s="156" t="n"/>
      <c r="J1657" s="90" t="n"/>
      <c r="K1657" s="166" t="n"/>
      <c r="L1657" s="158">
        <f>+H1657*J1657</f>
        <v/>
      </c>
      <c r="M1657" s="159" t="n"/>
    </row>
    <row r="1658">
      <c r="A1658" s="116" t="n">
        <v>46157</v>
      </c>
      <c r="B1658" s="115" t="n">
        <v>169</v>
      </c>
      <c r="C1658" s="115" t="inlineStr">
        <is>
          <t>SELİM İNŞAAT</t>
        </is>
      </c>
      <c r="D1658" s="115" t="inlineStr">
        <is>
          <t>34 FBR 771</t>
        </is>
      </c>
      <c r="E1658" s="115" t="inlineStr">
        <is>
          <t>SALİH YALÇIN</t>
        </is>
      </c>
      <c r="F1658" s="115" t="n">
        <v>362177</v>
      </c>
      <c r="G1658" s="156" t="n"/>
      <c r="H1658" s="152" t="n">
        <v>231</v>
      </c>
      <c r="I1658" s="156" t="n"/>
      <c r="J1658" s="90" t="n"/>
      <c r="K1658" s="166" t="n"/>
      <c r="L1658" s="158">
        <f>+H1658*J1658</f>
        <v/>
      </c>
      <c r="M1658" s="159" t="n"/>
    </row>
    <row r="1659">
      <c r="A1659" s="116" t="n">
        <v>46148</v>
      </c>
      <c r="B1659" s="115" t="n">
        <v>3625</v>
      </c>
      <c r="C1659" s="115" t="inlineStr">
        <is>
          <t>SELİM İNŞAAT</t>
        </is>
      </c>
      <c r="D1659" s="115" t="inlineStr">
        <is>
          <t>34 EDB 922</t>
        </is>
      </c>
      <c r="E1659" s="115" t="inlineStr">
        <is>
          <t>MEHMET KAYA</t>
        </is>
      </c>
      <c r="F1659" s="115" t="n">
        <v>408951</v>
      </c>
      <c r="G1659" s="156" t="n"/>
      <c r="H1659" s="152" t="n">
        <v>488</v>
      </c>
      <c r="I1659" s="156" t="n"/>
      <c r="J1659" s="90" t="n"/>
      <c r="K1659" s="166" t="n"/>
      <c r="L1659" s="158">
        <f>+H1659*J1659</f>
        <v/>
      </c>
      <c r="M1659" s="159" t="n"/>
    </row>
    <row r="1660">
      <c r="A1660" s="116" t="n">
        <v>46150</v>
      </c>
      <c r="B1660" s="115" t="n">
        <v>3626</v>
      </c>
      <c r="C1660" s="115" t="inlineStr">
        <is>
          <t>SELİM İNŞAAT</t>
        </is>
      </c>
      <c r="D1660" s="115" t="inlineStr">
        <is>
          <t>34 EDB 922</t>
        </is>
      </c>
      <c r="E1660" s="115" t="inlineStr">
        <is>
          <t>MEHMET KAYA</t>
        </is>
      </c>
      <c r="F1660" s="115" t="n">
        <v>409683</v>
      </c>
      <c r="G1660" s="156" t="n"/>
      <c r="H1660" s="152" t="n">
        <v>517</v>
      </c>
      <c r="I1660" s="156" t="n"/>
      <c r="J1660" s="90" t="n"/>
      <c r="K1660" s="166" t="n"/>
      <c r="L1660" s="158">
        <f>+H1660*J1660</f>
        <v/>
      </c>
      <c r="M1660" s="159" t="n"/>
    </row>
    <row r="1661">
      <c r="A1661" s="116" t="n">
        <v>46153</v>
      </c>
      <c r="B1661" s="115" t="n">
        <v>3627</v>
      </c>
      <c r="C1661" s="115" t="inlineStr">
        <is>
          <t>SELİM İNŞAAT</t>
        </is>
      </c>
      <c r="D1661" s="115" t="inlineStr">
        <is>
          <t>34 EDB 922</t>
        </is>
      </c>
      <c r="E1661" s="115" t="inlineStr">
        <is>
          <t>MEHMET KAYA</t>
        </is>
      </c>
      <c r="F1661" s="115" t="n">
        <v>410306</v>
      </c>
      <c r="G1661" s="156" t="n"/>
      <c r="H1661" s="152" t="n">
        <v>474</v>
      </c>
      <c r="I1661" s="156" t="n"/>
      <c r="J1661" s="90" t="n"/>
      <c r="K1661" s="166" t="n"/>
      <c r="L1661" s="158">
        <f>+H1661*J1661</f>
        <v/>
      </c>
      <c r="M1661" s="159" t="n"/>
    </row>
    <row r="1662">
      <c r="A1662" s="116" t="n">
        <v>46155</v>
      </c>
      <c r="B1662" s="115" t="n">
        <v>3628</v>
      </c>
      <c r="C1662" s="115" t="inlineStr">
        <is>
          <t>SELİM İNŞAAT</t>
        </is>
      </c>
      <c r="D1662" s="115" t="inlineStr">
        <is>
          <t>34 EDB 922</t>
        </is>
      </c>
      <c r="E1662" s="115" t="inlineStr">
        <is>
          <t>MEHMET KAYA</t>
        </is>
      </c>
      <c r="F1662" s="115" t="n">
        <v>411022</v>
      </c>
      <c r="G1662" s="156" t="n"/>
      <c r="H1662" s="152" t="n">
        <v>513</v>
      </c>
      <c r="I1662" s="156" t="n"/>
      <c r="J1662" s="90" t="n"/>
      <c r="K1662" s="166" t="n"/>
      <c r="L1662" s="158">
        <f>+H1662*J1662</f>
        <v/>
      </c>
      <c r="M1662" s="159" t="n"/>
    </row>
    <row r="1663">
      <c r="A1663" s="116" t="n">
        <v>46157</v>
      </c>
      <c r="B1663" s="115" t="n">
        <v>3629</v>
      </c>
      <c r="C1663" s="115" t="inlineStr">
        <is>
          <t>SELİM İNŞAAT</t>
        </is>
      </c>
      <c r="D1663" s="115" t="inlineStr">
        <is>
          <t>34 EDB 922</t>
        </is>
      </c>
      <c r="E1663" s="115" t="inlineStr">
        <is>
          <t>MEHMET KAYA</t>
        </is>
      </c>
      <c r="F1663" s="115" t="n">
        <v>411712</v>
      </c>
      <c r="G1663" s="156" t="n"/>
      <c r="H1663" s="152" t="n">
        <v>482</v>
      </c>
      <c r="I1663" s="156" t="n"/>
      <c r="J1663" s="90" t="n"/>
      <c r="K1663" s="166" t="n"/>
      <c r="L1663" s="158">
        <f>+H1663*J1663</f>
        <v/>
      </c>
      <c r="M1663" s="159" t="n"/>
    </row>
    <row r="1664">
      <c r="A1664" s="116" t="n">
        <v>46149</v>
      </c>
      <c r="B1664" s="115" t="n">
        <v>3346</v>
      </c>
      <c r="C1664" s="115" t="inlineStr">
        <is>
          <t>SELİM İNŞAAT</t>
        </is>
      </c>
      <c r="D1664" s="115" t="inlineStr">
        <is>
          <t>34 GUS 938</t>
        </is>
      </c>
      <c r="E1664" s="115" t="inlineStr">
        <is>
          <t>MEHMET KAYA</t>
        </is>
      </c>
      <c r="F1664" s="115" t="n">
        <v>256257</v>
      </c>
      <c r="G1664" s="156" t="n"/>
      <c r="H1664" s="152" t="n">
        <v>350</v>
      </c>
      <c r="I1664" s="156" t="n"/>
      <c r="J1664" s="90" t="n"/>
      <c r="K1664" s="166" t="n"/>
      <c r="L1664" s="158">
        <f>+H1664*J1664</f>
        <v/>
      </c>
      <c r="M1664" s="159" t="n"/>
    </row>
    <row r="1665">
      <c r="A1665" s="116" t="n">
        <v>46152</v>
      </c>
      <c r="B1665" s="115" t="n">
        <v>3347</v>
      </c>
      <c r="C1665" s="115" t="inlineStr">
        <is>
          <t>SELİM İNŞAAT</t>
        </is>
      </c>
      <c r="D1665" s="115" t="inlineStr">
        <is>
          <t>34 GUS 938</t>
        </is>
      </c>
      <c r="E1665" s="115" t="inlineStr">
        <is>
          <t>MEHMET KAYA</t>
        </is>
      </c>
      <c r="F1665" s="115" t="n">
        <v>257078</v>
      </c>
      <c r="G1665" s="156" t="n"/>
      <c r="H1665" s="152" t="n">
        <v>476</v>
      </c>
      <c r="I1665" s="156" t="n"/>
      <c r="J1665" s="90" t="n"/>
      <c r="K1665" s="166" t="n"/>
      <c r="L1665" s="158">
        <f>+H1665*J1665</f>
        <v/>
      </c>
      <c r="M1665" s="159" t="n"/>
    </row>
    <row r="1666">
      <c r="A1666" s="116" t="n">
        <v>46154</v>
      </c>
      <c r="B1666" s="115" t="n">
        <v>3348</v>
      </c>
      <c r="C1666" s="115" t="inlineStr">
        <is>
          <t>SELİM İNŞAAT</t>
        </is>
      </c>
      <c r="D1666" s="115" t="inlineStr">
        <is>
          <t>34 GUS 938</t>
        </is>
      </c>
      <c r="E1666" s="115" t="inlineStr">
        <is>
          <t>MEHMET KAYA</t>
        </is>
      </c>
      <c r="F1666" s="115" t="n">
        <v>257861</v>
      </c>
      <c r="G1666" s="156" t="n"/>
      <c r="H1666" s="152" t="n">
        <v>385</v>
      </c>
      <c r="I1666" s="156" t="n"/>
      <c r="J1666" s="90" t="n"/>
      <c r="K1666" s="166" t="n"/>
      <c r="L1666" s="158">
        <f>+H1666*J1666</f>
        <v/>
      </c>
      <c r="M1666" s="159" t="n"/>
    </row>
    <row r="1667">
      <c r="A1667" s="116" t="n">
        <v>46156</v>
      </c>
      <c r="B1667" s="115" t="n">
        <v>3349</v>
      </c>
      <c r="C1667" s="115" t="inlineStr">
        <is>
          <t>SELİM İNŞAAT</t>
        </is>
      </c>
      <c r="D1667" s="115" t="inlineStr">
        <is>
          <t>34 GUS 938</t>
        </is>
      </c>
      <c r="E1667" s="115" t="inlineStr">
        <is>
          <t>MEHMET KAYA</t>
        </is>
      </c>
      <c r="F1667" s="115" t="n">
        <v>258317</v>
      </c>
      <c r="G1667" s="156" t="n"/>
      <c r="H1667" s="152" t="n">
        <v>332</v>
      </c>
      <c r="I1667" s="156" t="n"/>
      <c r="J1667" s="90" t="n"/>
      <c r="K1667" s="166" t="n"/>
      <c r="L1667" s="158">
        <f>+H1667*J1667</f>
        <v/>
      </c>
      <c r="M1667" s="159" t="n"/>
    </row>
    <row r="1668">
      <c r="A1668" s="116" t="n">
        <v>46157</v>
      </c>
      <c r="B1668" s="115" t="n">
        <v>3350</v>
      </c>
      <c r="C1668" s="115" t="inlineStr">
        <is>
          <t>SELİM İNŞAAT</t>
        </is>
      </c>
      <c r="D1668" s="115" t="inlineStr">
        <is>
          <t>34 GUS 938</t>
        </is>
      </c>
      <c r="E1668" s="115" t="inlineStr">
        <is>
          <t>MEHMET KAYA</t>
        </is>
      </c>
      <c r="F1668" s="115" t="n">
        <v>258736</v>
      </c>
      <c r="G1668" s="156" t="n"/>
      <c r="H1668" s="152" t="n">
        <v>329</v>
      </c>
      <c r="I1668" s="156" t="n"/>
      <c r="J1668" s="90" t="n"/>
      <c r="K1668" s="166" t="n"/>
      <c r="L1668" s="158">
        <f>+H1668*J1668</f>
        <v/>
      </c>
      <c r="M1668" s="159" t="n"/>
    </row>
    <row r="1669">
      <c r="A1669" s="116" t="n">
        <v>46153</v>
      </c>
      <c r="B1669" s="115" t="n">
        <v>523</v>
      </c>
      <c r="C1669" s="115" t="inlineStr">
        <is>
          <t>SELİM İNŞAAT</t>
        </is>
      </c>
      <c r="D1669" s="115" t="inlineStr">
        <is>
          <t>34 EGR 737</t>
        </is>
      </c>
      <c r="E1669" s="115" t="inlineStr">
        <is>
          <t>CEM MUHTAR</t>
        </is>
      </c>
      <c r="F1669" s="115" t="n">
        <v>466</v>
      </c>
      <c r="G1669" s="156" t="n"/>
      <c r="H1669" s="152" t="n">
        <v>515</v>
      </c>
      <c r="I1669" s="156" t="n"/>
      <c r="J1669" s="90" t="n"/>
      <c r="K1669" s="166" t="n"/>
      <c r="L1669" s="158">
        <f>+H1669*J1669</f>
        <v/>
      </c>
      <c r="M1669" s="159" t="n"/>
    </row>
    <row r="1670">
      <c r="A1670" s="116" t="n">
        <v>46155</v>
      </c>
      <c r="B1670" s="115" t="n">
        <v>524</v>
      </c>
      <c r="C1670" s="115" t="inlineStr">
        <is>
          <t>SELİM İNŞAAT</t>
        </is>
      </c>
      <c r="D1670" s="115" t="inlineStr">
        <is>
          <t>34 EGR 737</t>
        </is>
      </c>
      <c r="E1670" s="115" t="inlineStr">
        <is>
          <t>CEM MUHTAR</t>
        </is>
      </c>
      <c r="F1670" s="115" t="n">
        <v>466904</v>
      </c>
      <c r="G1670" s="156" t="n"/>
      <c r="H1670" s="152" t="n">
        <v>490</v>
      </c>
      <c r="I1670" s="156" t="n"/>
      <c r="J1670" s="90" t="n"/>
      <c r="K1670" s="166" t="n"/>
      <c r="L1670" s="158">
        <f>+H1670*J1670</f>
        <v/>
      </c>
      <c r="M1670" s="159" t="n"/>
    </row>
    <row r="1671">
      <c r="A1671" s="116" t="n">
        <v>46157</v>
      </c>
      <c r="B1671" s="115" t="n">
        <v>525</v>
      </c>
      <c r="C1671" s="115" t="inlineStr">
        <is>
          <t>SELİM İNŞAAT</t>
        </is>
      </c>
      <c r="D1671" s="115" t="inlineStr">
        <is>
          <t>34 EGR 737</t>
        </is>
      </c>
      <c r="E1671" s="115" t="inlineStr">
        <is>
          <t>CEM MUHTAR</t>
        </is>
      </c>
      <c r="F1671" s="115" t="n">
        <v>467606</v>
      </c>
      <c r="G1671" s="156" t="n"/>
      <c r="H1671" s="152" t="n">
        <v>474</v>
      </c>
      <c r="I1671" s="156" t="n"/>
      <c r="J1671" s="90" t="n"/>
      <c r="K1671" s="166" t="n"/>
      <c r="L1671" s="158">
        <f>+H1671*J1671</f>
        <v/>
      </c>
      <c r="M1671" s="159" t="n"/>
    </row>
    <row r="1672">
      <c r="A1672" s="116" t="n">
        <v>46146</v>
      </c>
      <c r="B1672" s="115" t="n">
        <v>1707</v>
      </c>
      <c r="C1672" s="115" t="inlineStr">
        <is>
          <t>SELİM İNŞAAT</t>
        </is>
      </c>
      <c r="D1672" s="115" t="inlineStr">
        <is>
          <t>34 EDC 162</t>
        </is>
      </c>
      <c r="E1672" s="115" t="inlineStr">
        <is>
          <t xml:space="preserve">YAKUP GÜNER </t>
        </is>
      </c>
      <c r="F1672" s="115" t="n">
        <v>425607</v>
      </c>
      <c r="G1672" s="156" t="n"/>
      <c r="H1672" s="152" t="n">
        <v>301</v>
      </c>
      <c r="I1672" s="156" t="n"/>
      <c r="J1672" s="90" t="n"/>
      <c r="K1672" s="166" t="n"/>
      <c r="L1672" s="158">
        <f>+H1672*J1672</f>
        <v/>
      </c>
      <c r="M1672" s="159" t="n"/>
    </row>
    <row r="1673">
      <c r="A1673" s="116" t="n">
        <v>46149</v>
      </c>
      <c r="B1673" s="115" t="n">
        <v>1708</v>
      </c>
      <c r="C1673" s="115" t="inlineStr">
        <is>
          <t>SELİM İNŞAAT</t>
        </is>
      </c>
      <c r="D1673" s="115" t="inlineStr">
        <is>
          <t>34 EDC 162</t>
        </is>
      </c>
      <c r="E1673" s="115" t="inlineStr">
        <is>
          <t xml:space="preserve">YAKUP GÜNER </t>
        </is>
      </c>
      <c r="F1673" s="115" t="n">
        <v>426471</v>
      </c>
      <c r="G1673" s="156" t="n"/>
      <c r="H1673" s="152" t="n">
        <v>421</v>
      </c>
      <c r="I1673" s="156" t="n"/>
      <c r="J1673" s="90" t="n"/>
      <c r="K1673" s="166" t="n"/>
      <c r="L1673" s="158">
        <f>+H1673*J1673</f>
        <v/>
      </c>
      <c r="M1673" s="159" t="n"/>
    </row>
    <row r="1674">
      <c r="A1674" s="116" t="n">
        <v>46152</v>
      </c>
      <c r="B1674" s="115" t="n">
        <v>1709</v>
      </c>
      <c r="C1674" s="115" t="inlineStr">
        <is>
          <t>SELİM İNŞAAT</t>
        </is>
      </c>
      <c r="D1674" s="115" t="inlineStr">
        <is>
          <t>34 EDC 162</t>
        </is>
      </c>
      <c r="E1674" s="115" t="inlineStr">
        <is>
          <t xml:space="preserve">YAKUP GÜNER </t>
        </is>
      </c>
      <c r="F1674" s="115" t="n">
        <v>427216</v>
      </c>
      <c r="G1674" s="156" t="n"/>
      <c r="H1674" s="152" t="n">
        <v>431</v>
      </c>
      <c r="I1674" s="156" t="n"/>
      <c r="J1674" s="90" t="n"/>
      <c r="K1674" s="166" t="n"/>
      <c r="L1674" s="158">
        <f>+H1674*J1674</f>
        <v/>
      </c>
      <c r="M1674" s="159" t="n"/>
    </row>
    <row r="1675">
      <c r="A1675" s="116" t="n">
        <v>46154</v>
      </c>
      <c r="B1675" s="115" t="n">
        <v>1710</v>
      </c>
      <c r="C1675" s="115" t="inlineStr">
        <is>
          <t>SELİM İNŞAAT</t>
        </is>
      </c>
      <c r="D1675" s="115" t="inlineStr">
        <is>
          <t>34 EDC 162</t>
        </is>
      </c>
      <c r="E1675" s="115" t="inlineStr">
        <is>
          <t xml:space="preserve">YAKUP GÜNER </t>
        </is>
      </c>
      <c r="F1675" s="115" t="n">
        <v>427929</v>
      </c>
      <c r="G1675" s="156" t="n"/>
      <c r="H1675" s="152" t="n">
        <v>478</v>
      </c>
      <c r="I1675" s="156" t="n"/>
      <c r="J1675" s="90" t="n"/>
      <c r="K1675" s="166" t="n"/>
      <c r="L1675" s="158">
        <f>+H1675*J1675</f>
        <v/>
      </c>
      <c r="M1675" s="159" t="n"/>
    </row>
    <row r="1676">
      <c r="A1676" s="116" t="n">
        <v>46156</v>
      </c>
      <c r="B1676" s="115" t="n">
        <v>1711</v>
      </c>
      <c r="C1676" s="115" t="inlineStr">
        <is>
          <t>SELİM İNŞAAT</t>
        </is>
      </c>
      <c r="D1676" s="115" t="inlineStr">
        <is>
          <t>34 EDC 162</t>
        </is>
      </c>
      <c r="E1676" s="115" t="inlineStr">
        <is>
          <t xml:space="preserve">YAKUP GÜNER </t>
        </is>
      </c>
      <c r="F1676" s="115" t="n">
        <v>428438</v>
      </c>
      <c r="G1676" s="156" t="n"/>
      <c r="H1676" s="152" t="n">
        <v>396</v>
      </c>
      <c r="I1676" s="156" t="n"/>
      <c r="J1676" s="90" t="n"/>
      <c r="K1676" s="166" t="n"/>
      <c r="L1676" s="158">
        <f>+H1676*J1676</f>
        <v/>
      </c>
      <c r="M1676" s="159" t="n"/>
    </row>
    <row r="1677">
      <c r="A1677" s="116" t="n">
        <v>46147</v>
      </c>
      <c r="B1677" s="115" t="n">
        <v>864</v>
      </c>
      <c r="C1677" s="115" t="inlineStr">
        <is>
          <t>SELİM İNŞAAT</t>
        </is>
      </c>
      <c r="D1677" s="115" t="inlineStr">
        <is>
          <t>34 EGR 922</t>
        </is>
      </c>
      <c r="E1677" s="115" t="inlineStr">
        <is>
          <t>FARUK ÖZEN</t>
        </is>
      </c>
      <c r="F1677" s="115" t="n">
        <v>513810</v>
      </c>
      <c r="G1677" s="156" t="n"/>
      <c r="H1677" s="152" t="n">
        <v>405</v>
      </c>
      <c r="I1677" s="156" t="n"/>
      <c r="J1677" s="90" t="n"/>
      <c r="K1677" s="166" t="n"/>
      <c r="L1677" s="158">
        <f>+H1677*J1677</f>
        <v/>
      </c>
      <c r="M1677" s="159" t="n"/>
    </row>
    <row r="1678">
      <c r="A1678" s="116" t="n">
        <v>46150</v>
      </c>
      <c r="B1678" s="115" t="n">
        <v>865</v>
      </c>
      <c r="C1678" s="115" t="inlineStr">
        <is>
          <t>SELİM İNŞAAT</t>
        </is>
      </c>
      <c r="D1678" s="115" t="inlineStr">
        <is>
          <t>34 EGR 922</t>
        </is>
      </c>
      <c r="E1678" s="115" t="inlineStr">
        <is>
          <t>FARUK ÖZEN</t>
        </is>
      </c>
      <c r="F1678" s="115" t="n">
        <v>514547</v>
      </c>
      <c r="G1678" s="156" t="n"/>
      <c r="H1678" s="152" t="n">
        <v>528</v>
      </c>
      <c r="I1678" s="156" t="n"/>
      <c r="J1678" s="90" t="n"/>
      <c r="K1678" s="166" t="n"/>
      <c r="L1678" s="158">
        <f>+H1678*J1678</f>
        <v/>
      </c>
      <c r="M1678" s="159" t="n"/>
    </row>
    <row r="1679">
      <c r="A1679" s="116" t="n">
        <v>46153</v>
      </c>
      <c r="B1679" s="115" t="n">
        <v>866</v>
      </c>
      <c r="C1679" s="115" t="inlineStr">
        <is>
          <t>SELİM İNŞAAT</t>
        </is>
      </c>
      <c r="D1679" s="115" t="inlineStr">
        <is>
          <t>34 EGR 922</t>
        </is>
      </c>
      <c r="E1679" s="115" t="inlineStr">
        <is>
          <t>FARUK ÖZEN</t>
        </is>
      </c>
      <c r="F1679" s="115" t="n">
        <v>515462</v>
      </c>
      <c r="G1679" s="156" t="n"/>
      <c r="H1679" s="152" t="n">
        <v>518</v>
      </c>
      <c r="I1679" s="156" t="n"/>
      <c r="J1679" s="90" t="n"/>
      <c r="K1679" s="166" t="n"/>
      <c r="L1679" s="158">
        <f>+H1679*J1679</f>
        <v/>
      </c>
      <c r="M1679" s="159" t="n"/>
    </row>
    <row r="1680">
      <c r="A1680" s="116" t="n">
        <v>46155</v>
      </c>
      <c r="B1680" s="115" t="n">
        <v>867</v>
      </c>
      <c r="C1680" s="115" t="inlineStr">
        <is>
          <t>SELİM İNŞAAT</t>
        </is>
      </c>
      <c r="D1680" s="115" t="inlineStr">
        <is>
          <t>34 EGR 922</t>
        </is>
      </c>
      <c r="E1680" s="115" t="inlineStr">
        <is>
          <t>FARUK ÖZEN</t>
        </is>
      </c>
      <c r="F1680" s="115" t="n">
        <v>516451</v>
      </c>
      <c r="G1680" s="156" t="n"/>
      <c r="H1680" s="152" t="n">
        <v>511</v>
      </c>
      <c r="I1680" s="156" t="n"/>
      <c r="J1680" s="90" t="n"/>
      <c r="K1680" s="166" t="n"/>
      <c r="L1680" s="158">
        <f>+H1680*J1680</f>
        <v/>
      </c>
      <c r="M1680" s="159" t="n"/>
    </row>
    <row r="1681">
      <c r="A1681" s="116" t="n">
        <v>46157</v>
      </c>
      <c r="B1681" s="115" t="n">
        <v>868</v>
      </c>
      <c r="C1681" s="115" t="inlineStr">
        <is>
          <t>SELİM İNŞAAT</t>
        </is>
      </c>
      <c r="D1681" s="115" t="inlineStr">
        <is>
          <t>34 EGR 922</t>
        </is>
      </c>
      <c r="E1681" s="115" t="inlineStr">
        <is>
          <t>FARUK ÖZEN</t>
        </is>
      </c>
      <c r="F1681" s="115" t="n">
        <v>517039</v>
      </c>
      <c r="G1681" s="156" t="n"/>
      <c r="H1681" s="152" t="n">
        <v>472</v>
      </c>
      <c r="I1681" s="156" t="n"/>
      <c r="J1681" s="90" t="n"/>
      <c r="K1681" s="166" t="n"/>
      <c r="L1681" s="158">
        <f>+H1681*J1681</f>
        <v/>
      </c>
      <c r="M1681" s="159" t="n"/>
    </row>
    <row r="1682">
      <c r="A1682" s="116" t="n">
        <v>46147</v>
      </c>
      <c r="B1682" s="115" t="n">
        <v>4944</v>
      </c>
      <c r="C1682" s="115" t="inlineStr">
        <is>
          <t>SELİM İNŞAAT</t>
        </is>
      </c>
      <c r="D1682" s="115" t="inlineStr">
        <is>
          <t>34 FBR 742</t>
        </is>
      </c>
      <c r="E1682" s="115" t="inlineStr">
        <is>
          <t>ADNAN KOÇ</t>
        </is>
      </c>
      <c r="F1682" s="115" t="n">
        <v>375185</v>
      </c>
      <c r="G1682" s="156" t="n"/>
      <c r="H1682" s="152" t="n">
        <v>425</v>
      </c>
      <c r="I1682" s="156" t="n"/>
      <c r="J1682" s="90" t="n"/>
      <c r="K1682" s="166" t="n"/>
      <c r="L1682" s="158">
        <f>+H1682*J1682</f>
        <v/>
      </c>
      <c r="M1682" s="159" t="n"/>
    </row>
    <row r="1683">
      <c r="A1683" s="116" t="n">
        <v>46149</v>
      </c>
      <c r="B1683" s="115" t="n">
        <v>4945</v>
      </c>
      <c r="C1683" s="115" t="inlineStr">
        <is>
          <t>SELİM İNŞAAT</t>
        </is>
      </c>
      <c r="D1683" s="115" t="inlineStr">
        <is>
          <t>34 FBR 742</t>
        </is>
      </c>
      <c r="E1683" s="115" t="inlineStr">
        <is>
          <t>ADNAN KOÇ</t>
        </is>
      </c>
      <c r="F1683" s="115" t="n">
        <v>375763</v>
      </c>
      <c r="G1683" s="156" t="n"/>
      <c r="H1683" s="152" t="n">
        <v>405</v>
      </c>
      <c r="I1683" s="156" t="n"/>
      <c r="J1683" s="90" t="n"/>
      <c r="K1683" s="166" t="n"/>
      <c r="L1683" s="158">
        <f>+H1683*J1683</f>
        <v/>
      </c>
      <c r="M1683" s="159" t="n"/>
    </row>
    <row r="1684">
      <c r="A1684" s="116" t="n">
        <v>46152</v>
      </c>
      <c r="B1684" s="115" t="n">
        <v>4946</v>
      </c>
      <c r="C1684" s="115" t="inlineStr">
        <is>
          <t>SELİM İNŞAAT</t>
        </is>
      </c>
      <c r="D1684" s="115" t="inlineStr">
        <is>
          <t>34 FBR 742</t>
        </is>
      </c>
      <c r="E1684" s="115" t="inlineStr">
        <is>
          <t>ADNAN KOÇ</t>
        </is>
      </c>
      <c r="F1684" s="115" t="n">
        <v>376241</v>
      </c>
      <c r="G1684" s="156" t="n"/>
      <c r="H1684" s="152" t="n">
        <v>345</v>
      </c>
      <c r="I1684" s="156" t="n"/>
      <c r="J1684" s="90" t="n"/>
      <c r="K1684" s="166" t="n"/>
      <c r="L1684" s="158">
        <f>+H1684*J1684</f>
        <v/>
      </c>
      <c r="M1684" s="159" t="n"/>
    </row>
    <row r="1685">
      <c r="A1685" s="116" t="n">
        <v>46154</v>
      </c>
      <c r="B1685" s="115" t="n">
        <v>4947</v>
      </c>
      <c r="C1685" s="115" t="inlineStr">
        <is>
          <t>SELİM İNŞAAT</t>
        </is>
      </c>
      <c r="D1685" s="115" t="inlineStr">
        <is>
          <t>34 FBR 742</t>
        </is>
      </c>
      <c r="E1685" s="115" t="inlineStr">
        <is>
          <t>ADNAN KOÇ</t>
        </is>
      </c>
      <c r="F1685" s="115" t="n">
        <v>376775</v>
      </c>
      <c r="G1685" s="156" t="n"/>
      <c r="H1685" s="152" t="n">
        <v>395</v>
      </c>
      <c r="I1685" s="156" t="n"/>
      <c r="J1685" s="90" t="n"/>
      <c r="K1685" s="166" t="n"/>
      <c r="L1685" s="158">
        <f>+H1685*J1685</f>
        <v/>
      </c>
      <c r="M1685" s="159" t="n"/>
    </row>
    <row r="1686">
      <c r="A1686" s="116" t="n">
        <v>46155</v>
      </c>
      <c r="B1686" s="115" t="n">
        <v>4948</v>
      </c>
      <c r="C1686" s="115" t="inlineStr">
        <is>
          <t>SELİM İNŞAAT</t>
        </is>
      </c>
      <c r="D1686" s="115" t="inlineStr">
        <is>
          <t>34 FBR 742</t>
        </is>
      </c>
      <c r="E1686" s="115" t="inlineStr">
        <is>
          <t>ADNAN KOÇ</t>
        </is>
      </c>
      <c r="F1686" s="115" t="n">
        <v>377126</v>
      </c>
      <c r="G1686" s="156" t="n"/>
      <c r="H1686" s="152" t="n">
        <v>322</v>
      </c>
      <c r="I1686" s="156" t="n"/>
      <c r="J1686" s="90" t="n"/>
      <c r="K1686" s="166" t="n"/>
      <c r="L1686" s="158">
        <f>+H1686*J1686</f>
        <v/>
      </c>
      <c r="M1686" s="159" t="n"/>
    </row>
    <row r="1687">
      <c r="A1687" s="116" t="n">
        <v>46156</v>
      </c>
      <c r="B1687" s="115" t="n">
        <v>4949</v>
      </c>
      <c r="C1687" s="115" t="inlineStr">
        <is>
          <t>SELİM İNŞAAT</t>
        </is>
      </c>
      <c r="D1687" s="115" t="inlineStr">
        <is>
          <t>34 FBR 742</t>
        </is>
      </c>
      <c r="E1687" s="115" t="inlineStr">
        <is>
          <t>ADNAN KOÇ</t>
        </is>
      </c>
      <c r="F1687" s="115" t="n">
        <v>377421</v>
      </c>
      <c r="G1687" s="156" t="n"/>
      <c r="H1687" s="152" t="n">
        <v>171</v>
      </c>
      <c r="I1687" s="156" t="n"/>
      <c r="J1687" s="90" t="n"/>
      <c r="K1687" s="166" t="n"/>
      <c r="L1687" s="158">
        <f>+H1687*J1687</f>
        <v/>
      </c>
      <c r="M1687" s="159" t="n"/>
    </row>
    <row r="1688">
      <c r="A1688" s="116" t="n">
        <v>46157</v>
      </c>
      <c r="B1688" s="115" t="n">
        <v>4950</v>
      </c>
      <c r="C1688" s="115" t="inlineStr">
        <is>
          <t>SELİM İNŞAAT</t>
        </is>
      </c>
      <c r="D1688" s="115" t="inlineStr">
        <is>
          <t>34 FBR 742</t>
        </is>
      </c>
      <c r="E1688" s="115" t="inlineStr">
        <is>
          <t>ADNAN KOÇ</t>
        </is>
      </c>
      <c r="F1688" s="115" t="n">
        <v>377739</v>
      </c>
      <c r="G1688" s="156" t="n"/>
      <c r="H1688" s="152" t="n">
        <v>314</v>
      </c>
      <c r="I1688" s="156" t="n"/>
      <c r="J1688" s="90" t="n"/>
      <c r="K1688" s="166" t="n"/>
      <c r="L1688" s="158">
        <f>+H1688*J1688</f>
        <v/>
      </c>
      <c r="M1688" s="159" t="n"/>
    </row>
    <row r="1689">
      <c r="A1689" s="116" t="n">
        <v>46146</v>
      </c>
      <c r="B1689" s="115" t="n">
        <v>27</v>
      </c>
      <c r="C1689" s="115" t="inlineStr">
        <is>
          <t>SELİM İNŞAAT</t>
        </is>
      </c>
      <c r="D1689" s="115" t="inlineStr">
        <is>
          <t>34 GVZ 268</t>
        </is>
      </c>
      <c r="E1689" s="115" t="inlineStr">
        <is>
          <t>KERİM KARAMAN</t>
        </is>
      </c>
      <c r="F1689" s="115" t="n">
        <v>259878</v>
      </c>
      <c r="G1689" s="156" t="n"/>
      <c r="H1689" s="152" t="n">
        <v>221</v>
      </c>
      <c r="I1689" s="156" t="n"/>
      <c r="J1689" s="90" t="n"/>
      <c r="K1689" s="166" t="n"/>
      <c r="L1689" s="158">
        <f>+H1689*J1689</f>
        <v/>
      </c>
      <c r="M1689" s="159" t="n"/>
    </row>
    <row r="1690">
      <c r="A1690" s="116" t="n">
        <v>46148</v>
      </c>
      <c r="B1690" s="115" t="n">
        <v>28</v>
      </c>
      <c r="C1690" s="115" t="inlineStr">
        <is>
          <t>SELİM İNŞAAT</t>
        </is>
      </c>
      <c r="D1690" s="115" t="inlineStr">
        <is>
          <t>34 GVZ 268</t>
        </is>
      </c>
      <c r="E1690" s="115" t="inlineStr">
        <is>
          <t>KERİM KARAMAN</t>
        </is>
      </c>
      <c r="F1690" s="115" t="n">
        <v>260568</v>
      </c>
      <c r="G1690" s="156" t="n"/>
      <c r="H1690" s="152" t="n">
        <v>481</v>
      </c>
      <c r="I1690" s="156" t="n"/>
      <c r="J1690" s="90" t="n"/>
      <c r="K1690" s="166" t="n"/>
      <c r="L1690" s="158">
        <f>+H1690*J1690</f>
        <v/>
      </c>
      <c r="M1690" s="159" t="n"/>
    </row>
    <row r="1691">
      <c r="A1691" s="116" t="n">
        <v>46150</v>
      </c>
      <c r="B1691" s="115" t="n">
        <v>29</v>
      </c>
      <c r="C1691" s="115" t="inlineStr">
        <is>
          <t>SELİM İNŞAAT</t>
        </is>
      </c>
      <c r="D1691" s="115" t="inlineStr">
        <is>
          <t>34 GVZ 268</t>
        </is>
      </c>
      <c r="E1691" s="115" t="inlineStr">
        <is>
          <t>KERİM KARAMAN</t>
        </is>
      </c>
      <c r="F1691" s="115" t="n">
        <v>261241</v>
      </c>
      <c r="G1691" s="156" t="n"/>
      <c r="H1691" s="152" t="n">
        <v>440</v>
      </c>
      <c r="I1691" s="156" t="n"/>
      <c r="J1691" s="90" t="n"/>
      <c r="K1691" s="166" t="n"/>
      <c r="L1691" s="158">
        <f>+H1691*J1691</f>
        <v/>
      </c>
      <c r="M1691" s="159" t="n"/>
    </row>
    <row r="1692">
      <c r="A1692" s="116" t="n">
        <v>46153</v>
      </c>
      <c r="B1692" s="115" t="n">
        <v>30</v>
      </c>
      <c r="C1692" s="115" t="inlineStr">
        <is>
          <t>SELİM İNŞAAT</t>
        </is>
      </c>
      <c r="D1692" s="115" t="inlineStr">
        <is>
          <t>34 GVZ 268</t>
        </is>
      </c>
      <c r="E1692" s="115" t="inlineStr">
        <is>
          <t>KERİM KARAMAN</t>
        </is>
      </c>
      <c r="F1692" s="115" t="n">
        <v>262148</v>
      </c>
      <c r="G1692" s="156" t="n"/>
      <c r="H1692" s="152" t="n">
        <v>394</v>
      </c>
      <c r="I1692" s="156" t="n"/>
      <c r="J1692" s="90" t="n"/>
      <c r="K1692" s="166" t="n"/>
      <c r="L1692" s="158">
        <f>+H1692*J1692</f>
        <v/>
      </c>
      <c r="M1692" s="159" t="n"/>
    </row>
    <row r="1693">
      <c r="A1693" s="116" t="n">
        <v>46155</v>
      </c>
      <c r="B1693" s="115" t="n">
        <v>31</v>
      </c>
      <c r="C1693" s="115" t="inlineStr">
        <is>
          <t>SELİM İNŞAAT</t>
        </is>
      </c>
      <c r="D1693" s="115" t="inlineStr">
        <is>
          <t>34 GVZ 268</t>
        </is>
      </c>
      <c r="E1693" s="115" t="inlineStr">
        <is>
          <t>KERİM KARAMAN</t>
        </is>
      </c>
      <c r="F1693" s="115" t="n">
        <v>262850</v>
      </c>
      <c r="G1693" s="156" t="n"/>
      <c r="H1693" s="152" t="n">
        <v>483</v>
      </c>
      <c r="I1693" s="156" t="n"/>
      <c r="J1693" s="90" t="n"/>
      <c r="K1693" s="166" t="n"/>
      <c r="L1693" s="158">
        <f>+H1693*J1693</f>
        <v/>
      </c>
      <c r="M1693" s="159" t="n"/>
    </row>
    <row r="1694">
      <c r="A1694" s="116" t="n">
        <v>46157</v>
      </c>
      <c r="B1694" s="115" t="n">
        <v>32</v>
      </c>
      <c r="C1694" s="115" t="inlineStr">
        <is>
          <t>SELİM İNŞAAT</t>
        </is>
      </c>
      <c r="D1694" s="115" t="inlineStr">
        <is>
          <t>34 GVZ 268</t>
        </is>
      </c>
      <c r="E1694" s="115" t="inlineStr">
        <is>
          <t>KERİM KARAMAN</t>
        </is>
      </c>
      <c r="F1694" s="115" t="n">
        <v>263476</v>
      </c>
      <c r="G1694" s="156" t="n"/>
      <c r="H1694" s="152" t="n">
        <v>477</v>
      </c>
      <c r="I1694" s="156" t="n"/>
      <c r="J1694" s="90" t="n"/>
      <c r="K1694" s="166" t="n"/>
      <c r="L1694" s="158">
        <f>+H1694*J1694</f>
        <v/>
      </c>
      <c r="M1694" s="159" t="n"/>
    </row>
    <row r="1695">
      <c r="A1695" s="116" t="n">
        <v>46150</v>
      </c>
      <c r="B1695" s="115" t="n">
        <v>4129</v>
      </c>
      <c r="C1695" s="115" t="inlineStr">
        <is>
          <t>SELİM İNŞAAT</t>
        </is>
      </c>
      <c r="D1695" s="115" t="inlineStr">
        <is>
          <t>34 EDB 659</t>
        </is>
      </c>
      <c r="E1695" s="115" t="inlineStr">
        <is>
          <t>FAHRİ</t>
        </is>
      </c>
      <c r="F1695" s="115" t="n">
        <v>397688</v>
      </c>
      <c r="G1695" s="156" t="n"/>
      <c r="H1695" s="152" t="n">
        <v>407</v>
      </c>
      <c r="I1695" s="156" t="n"/>
      <c r="J1695" s="90" t="n"/>
      <c r="K1695" s="166" t="n"/>
      <c r="L1695" s="158">
        <f>+H1695*J1695</f>
        <v/>
      </c>
      <c r="M1695" s="159" t="n"/>
    </row>
    <row r="1696">
      <c r="A1696" s="116" t="n">
        <v>46154</v>
      </c>
      <c r="B1696" s="115" t="n">
        <v>4130</v>
      </c>
      <c r="C1696" s="115" t="inlineStr">
        <is>
          <t>SELİM İNŞAAT</t>
        </is>
      </c>
      <c r="D1696" s="115" t="inlineStr">
        <is>
          <t>34 EDB 659</t>
        </is>
      </c>
      <c r="E1696" s="115" t="inlineStr">
        <is>
          <t>FAHRİ</t>
        </is>
      </c>
      <c r="F1696" s="115" t="n">
        <v>398440</v>
      </c>
      <c r="G1696" s="156" t="n"/>
      <c r="H1696" s="152" t="n">
        <v>489</v>
      </c>
      <c r="I1696" s="156" t="n"/>
      <c r="J1696" s="90" t="n"/>
      <c r="K1696" s="166" t="n"/>
      <c r="L1696" s="158">
        <f>+H1696*J1696</f>
        <v/>
      </c>
      <c r="M1696" s="159" t="n"/>
    </row>
    <row r="1697">
      <c r="A1697" s="116" t="n">
        <v>46157</v>
      </c>
      <c r="B1697" s="115" t="n">
        <v>4131</v>
      </c>
      <c r="C1697" s="115" t="inlineStr">
        <is>
          <t>SELİM İNŞAAT</t>
        </is>
      </c>
      <c r="D1697" s="115" t="inlineStr">
        <is>
          <t>34 EDB 659</t>
        </is>
      </c>
      <c r="E1697" s="115" t="inlineStr">
        <is>
          <t>FAHRİ</t>
        </is>
      </c>
      <c r="F1697" s="115" t="n">
        <v>399114</v>
      </c>
      <c r="G1697" s="156" t="n"/>
      <c r="H1697" s="152" t="n">
        <v>431</v>
      </c>
      <c r="I1697" s="156" t="n"/>
      <c r="J1697" s="90" t="n"/>
      <c r="K1697" s="166" t="n"/>
      <c r="L1697" s="158">
        <f>+H1697*J1697</f>
        <v/>
      </c>
      <c r="M1697" s="159" t="n"/>
    </row>
    <row r="1698">
      <c r="A1698" s="116" t="n">
        <v>46147</v>
      </c>
      <c r="B1698" s="115" t="n">
        <v>4894</v>
      </c>
      <c r="C1698" s="115" t="inlineStr">
        <is>
          <t>SELİM İNŞAAT</t>
        </is>
      </c>
      <c r="D1698" s="115" t="inlineStr">
        <is>
          <t>34 FBR 705</t>
        </is>
      </c>
      <c r="E1698" s="115" t="inlineStr">
        <is>
          <t>MURAT SARI</t>
        </is>
      </c>
      <c r="F1698" s="115" t="n">
        <v>371284</v>
      </c>
      <c r="G1698" s="156" t="n"/>
      <c r="H1698" s="152" t="n">
        <v>482</v>
      </c>
      <c r="I1698" s="156" t="n"/>
      <c r="J1698" s="90" t="n"/>
      <c r="K1698" s="166" t="n"/>
      <c r="L1698" s="158">
        <f>+H1698*J1698</f>
        <v/>
      </c>
      <c r="M1698" s="159" t="n"/>
    </row>
    <row r="1699">
      <c r="A1699" s="116" t="n">
        <v>46148</v>
      </c>
      <c r="B1699" s="115" t="n">
        <v>4895</v>
      </c>
      <c r="C1699" s="115" t="inlineStr">
        <is>
          <t>SELİM İNŞAAT</t>
        </is>
      </c>
      <c r="D1699" s="115" t="inlineStr">
        <is>
          <t>34 FBR 705</t>
        </is>
      </c>
      <c r="E1699" s="115" t="inlineStr">
        <is>
          <t>MURAT SARI</t>
        </is>
      </c>
      <c r="F1699" s="115" t="n">
        <v>371712</v>
      </c>
      <c r="G1699" s="156" t="n"/>
      <c r="H1699" s="152" t="n">
        <v>371</v>
      </c>
      <c r="I1699" s="156" t="n"/>
      <c r="J1699" s="90" t="n"/>
      <c r="K1699" s="166" t="n"/>
      <c r="L1699" s="158">
        <f>+H1699*J1699</f>
        <v/>
      </c>
      <c r="M1699" s="159" t="n"/>
    </row>
    <row r="1700">
      <c r="A1700" s="116" t="n">
        <v>46150</v>
      </c>
      <c r="B1700" s="115" t="n">
        <v>4896</v>
      </c>
      <c r="C1700" s="115" t="inlineStr">
        <is>
          <t>SELİM İNŞAAT</t>
        </is>
      </c>
      <c r="D1700" s="115" t="inlineStr">
        <is>
          <t>34 FBR 705</t>
        </is>
      </c>
      <c r="E1700" s="115" t="inlineStr">
        <is>
          <t>MURAT SARI</t>
        </is>
      </c>
      <c r="F1700" s="115" t="n">
        <v>372306</v>
      </c>
      <c r="G1700" s="156" t="n"/>
      <c r="H1700" s="152" t="n">
        <v>427</v>
      </c>
      <c r="I1700" s="156" t="n"/>
      <c r="J1700" s="90" t="n"/>
      <c r="K1700" s="166" t="n"/>
      <c r="L1700" s="158">
        <f>+H1700*J1700</f>
        <v/>
      </c>
      <c r="M1700" s="159" t="n"/>
    </row>
    <row r="1701">
      <c r="A1701" s="116" t="n">
        <v>46151</v>
      </c>
      <c r="B1701" s="115" t="n">
        <v>4897</v>
      </c>
      <c r="C1701" s="115" t="inlineStr">
        <is>
          <t>SELİM İNŞAAT</t>
        </is>
      </c>
      <c r="D1701" s="115" t="inlineStr">
        <is>
          <t>34 FBR 705</t>
        </is>
      </c>
      <c r="E1701" s="115" t="inlineStr">
        <is>
          <t>MURAT SARI</t>
        </is>
      </c>
      <c r="F1701" s="115" t="n">
        <v>372605</v>
      </c>
      <c r="G1701" s="156" t="n"/>
      <c r="H1701" s="152" t="n">
        <v>260</v>
      </c>
      <c r="I1701" s="156" t="n"/>
      <c r="J1701" s="90" t="n"/>
      <c r="K1701" s="166" t="n"/>
      <c r="L1701" s="158">
        <f>+H1701*J1701</f>
        <v/>
      </c>
      <c r="M1701" s="159" t="n"/>
    </row>
    <row r="1702">
      <c r="A1702" s="116" t="n">
        <v>46154</v>
      </c>
      <c r="B1702" s="115" t="n">
        <v>4898</v>
      </c>
      <c r="C1702" s="115" t="inlineStr">
        <is>
          <t>SELİM İNŞAAT</t>
        </is>
      </c>
      <c r="D1702" s="115" t="inlineStr">
        <is>
          <t>34 FBR 705</t>
        </is>
      </c>
      <c r="E1702" s="115" t="inlineStr">
        <is>
          <t>MURAT SARI</t>
        </is>
      </c>
      <c r="F1702" s="115" t="n">
        <v>373452</v>
      </c>
      <c r="G1702" s="156" t="n"/>
      <c r="H1702" s="152" t="n">
        <v>493</v>
      </c>
      <c r="I1702" s="156" t="n"/>
      <c r="J1702" s="90" t="n"/>
      <c r="K1702" s="166" t="n"/>
      <c r="L1702" s="158">
        <f>+H1702*J1702</f>
        <v/>
      </c>
      <c r="M1702" s="159" t="n"/>
    </row>
    <row r="1703">
      <c r="A1703" s="116" t="n">
        <v>46155</v>
      </c>
      <c r="B1703" s="115" t="n">
        <v>4899</v>
      </c>
      <c r="C1703" s="115" t="inlineStr">
        <is>
          <t>SELİM İNŞAAT</t>
        </is>
      </c>
      <c r="D1703" s="115" t="inlineStr">
        <is>
          <t>34 FBR 705</t>
        </is>
      </c>
      <c r="E1703" s="115" t="inlineStr">
        <is>
          <t>MURAT SARI</t>
        </is>
      </c>
      <c r="F1703" s="115" t="n">
        <v>373784</v>
      </c>
      <c r="G1703" s="156" t="n"/>
      <c r="H1703" s="152" t="n">
        <v>294</v>
      </c>
      <c r="I1703" s="156" t="n"/>
      <c r="J1703" s="90" t="n"/>
      <c r="K1703" s="166" t="n"/>
      <c r="L1703" s="158">
        <f>+H1703*J1703</f>
        <v/>
      </c>
      <c r="M1703" s="159" t="n"/>
    </row>
    <row r="1704">
      <c r="A1704" s="116" t="n">
        <v>46157</v>
      </c>
      <c r="B1704" s="115" t="n">
        <v>4900</v>
      </c>
      <c r="C1704" s="115" t="inlineStr">
        <is>
          <t>SELİM İNŞAAT</t>
        </is>
      </c>
      <c r="D1704" s="115" t="inlineStr">
        <is>
          <t>34 FBR 705</t>
        </is>
      </c>
      <c r="E1704" s="115" t="inlineStr">
        <is>
          <t>MURAT SARI</t>
        </is>
      </c>
      <c r="F1704" s="115" t="n">
        <v>374282</v>
      </c>
      <c r="G1704" s="156" t="n"/>
      <c r="H1704" s="152" t="n">
        <v>498</v>
      </c>
      <c r="I1704" s="156" t="n"/>
      <c r="J1704" s="90" t="n"/>
      <c r="K1704" s="166" t="n"/>
      <c r="L1704" s="158">
        <f>+H1704*J1704</f>
        <v/>
      </c>
      <c r="M1704" s="159" t="n"/>
    </row>
    <row r="1705">
      <c r="A1705" s="116" t="n">
        <v>46146</v>
      </c>
      <c r="B1705" s="115" t="n">
        <v>3443</v>
      </c>
      <c r="C1705" s="115" t="inlineStr">
        <is>
          <t>SELİM İNŞAAT</t>
        </is>
      </c>
      <c r="D1705" s="115" t="inlineStr">
        <is>
          <t>34 GVZ 310</t>
        </is>
      </c>
      <c r="E1705" s="115" t="inlineStr">
        <is>
          <t>CELAL YÜZBAŞI</t>
        </is>
      </c>
      <c r="F1705" s="115" t="n">
        <v>255342</v>
      </c>
      <c r="G1705" s="156" t="n"/>
      <c r="H1705" s="152" t="n">
        <v>343</v>
      </c>
      <c r="I1705" s="156" t="n"/>
      <c r="J1705" s="90" t="n"/>
      <c r="K1705" s="166" t="n"/>
      <c r="L1705" s="158">
        <f>+H1705*J1705</f>
        <v/>
      </c>
      <c r="M1705" s="159" t="n"/>
    </row>
    <row r="1706">
      <c r="A1706" s="116" t="n">
        <v>46149</v>
      </c>
      <c r="B1706" s="115" t="n">
        <v>3444</v>
      </c>
      <c r="C1706" s="115" t="inlineStr">
        <is>
          <t>SELİM İNŞAAT</t>
        </is>
      </c>
      <c r="D1706" s="115" t="inlineStr">
        <is>
          <t>34 GVZ 310</t>
        </is>
      </c>
      <c r="E1706" s="115" t="inlineStr">
        <is>
          <t>CELAL YÜZBAŞI</t>
        </is>
      </c>
      <c r="F1706" s="115" t="n">
        <v>256167</v>
      </c>
      <c r="G1706" s="156" t="n"/>
      <c r="H1706" s="152" t="n">
        <v>462</v>
      </c>
      <c r="I1706" s="156" t="n"/>
      <c r="J1706" s="90" t="n"/>
      <c r="K1706" s="166" t="n"/>
      <c r="L1706" s="158">
        <f>+H1706*J1706</f>
        <v/>
      </c>
      <c r="M1706" s="159" t="n"/>
    </row>
    <row r="1707">
      <c r="A1707" s="116" t="n">
        <v>46150</v>
      </c>
      <c r="B1707" s="115" t="n">
        <v>3445</v>
      </c>
      <c r="C1707" s="115" t="inlineStr">
        <is>
          <t>SELİM İNŞAAT</t>
        </is>
      </c>
      <c r="D1707" s="115" t="inlineStr">
        <is>
          <t>34 GVZ 310</t>
        </is>
      </c>
      <c r="E1707" s="115" t="inlineStr">
        <is>
          <t>CELAL YÜZBAŞI</t>
        </is>
      </c>
      <c r="F1707" s="115" t="n">
        <v>256810</v>
      </c>
      <c r="G1707" s="156" t="n"/>
      <c r="H1707" s="152" t="n">
        <v>432</v>
      </c>
      <c r="I1707" s="156" t="n"/>
      <c r="J1707" s="90" t="n"/>
      <c r="K1707" s="166" t="n"/>
      <c r="L1707" s="158">
        <f>+H1707*J1707</f>
        <v/>
      </c>
      <c r="M1707" s="159" t="n"/>
    </row>
    <row r="1708">
      <c r="A1708" s="116" t="n">
        <v>46157</v>
      </c>
      <c r="B1708" s="115" t="n">
        <v>3446</v>
      </c>
      <c r="C1708" s="115" t="inlineStr">
        <is>
          <t>SELİM İNŞAAT</t>
        </is>
      </c>
      <c r="D1708" s="115" t="inlineStr">
        <is>
          <t>34 GVZ 310</t>
        </is>
      </c>
      <c r="E1708" s="115" t="inlineStr">
        <is>
          <t>CELAL YÜZBAŞI</t>
        </is>
      </c>
      <c r="F1708" s="115" t="n">
        <v>257487</v>
      </c>
      <c r="G1708" s="156" t="n"/>
      <c r="H1708" s="152" t="n">
        <v>398</v>
      </c>
      <c r="I1708" s="156" t="n"/>
      <c r="J1708" s="90" t="n"/>
      <c r="K1708" s="166" t="n"/>
      <c r="L1708" s="158">
        <f>+H1708*J1708</f>
        <v/>
      </c>
      <c r="M1708" s="159" t="n"/>
    </row>
    <row r="1709">
      <c r="A1709" s="116" t="n">
        <v>46146</v>
      </c>
      <c r="B1709" s="115" t="n">
        <v>3241</v>
      </c>
      <c r="C1709" s="115" t="inlineStr">
        <is>
          <t>SELİM İNŞAAT</t>
        </is>
      </c>
      <c r="D1709" s="115" t="inlineStr">
        <is>
          <t>34 EGR 736</t>
        </is>
      </c>
      <c r="E1709" s="115" t="inlineStr">
        <is>
          <t>HAKAN ÇAVUŞOĞLU</t>
        </is>
      </c>
      <c r="F1709" s="115" t="n">
        <v>448216</v>
      </c>
      <c r="G1709" s="156" t="n"/>
      <c r="H1709" s="152" t="n">
        <v>379</v>
      </c>
      <c r="I1709" s="156" t="n"/>
      <c r="J1709" s="90" t="n"/>
      <c r="K1709" s="166" t="n"/>
      <c r="L1709" s="158">
        <f>+H1709*J1709</f>
        <v/>
      </c>
      <c r="M1709" s="159" t="n"/>
    </row>
    <row r="1710">
      <c r="A1710" s="116" t="n">
        <v>46149</v>
      </c>
      <c r="B1710" s="115" t="n">
        <v>3242</v>
      </c>
      <c r="C1710" s="115" t="inlineStr">
        <is>
          <t>SELİM İNŞAAT</t>
        </is>
      </c>
      <c r="D1710" s="115" t="inlineStr">
        <is>
          <t>34 EGR 736</t>
        </is>
      </c>
      <c r="E1710" s="115" t="inlineStr">
        <is>
          <t>HAKAN ÇAVUŞOĞLU</t>
        </is>
      </c>
      <c r="F1710" s="115" t="n">
        <v>448930</v>
      </c>
      <c r="G1710" s="156" t="n"/>
      <c r="H1710" s="152" t="n">
        <v>497</v>
      </c>
      <c r="I1710" s="156" t="n"/>
      <c r="J1710" s="90" t="n"/>
      <c r="K1710" s="166" t="n"/>
      <c r="L1710" s="158">
        <f>+H1710*J1710</f>
        <v/>
      </c>
      <c r="M1710" s="159" t="n"/>
    </row>
    <row r="1711">
      <c r="A1711" s="116" t="n">
        <v>46150</v>
      </c>
      <c r="B1711" s="115" t="n">
        <v>3243</v>
      </c>
      <c r="C1711" s="115" t="inlineStr">
        <is>
          <t>SELİM İNŞAAT</t>
        </is>
      </c>
      <c r="D1711" s="115" t="inlineStr">
        <is>
          <t>34 EGR 736</t>
        </is>
      </c>
      <c r="E1711" s="115" t="inlineStr">
        <is>
          <t>HAKAN ÇAVUŞOĞLU</t>
        </is>
      </c>
      <c r="F1711" s="115" t="n">
        <v>449751</v>
      </c>
      <c r="G1711" s="156" t="n"/>
      <c r="H1711" s="152" t="n">
        <v>459</v>
      </c>
      <c r="I1711" s="156" t="n"/>
      <c r="J1711" s="90" t="n"/>
      <c r="K1711" s="166" t="n"/>
      <c r="L1711" s="158">
        <f>+H1711*J1711</f>
        <v/>
      </c>
      <c r="M1711" s="159" t="n"/>
    </row>
    <row r="1712">
      <c r="A1712" s="116" t="n">
        <v>46155</v>
      </c>
      <c r="B1712" s="115" t="n">
        <v>3244</v>
      </c>
      <c r="C1712" s="115" t="inlineStr">
        <is>
          <t>SELİM İNŞAAT</t>
        </is>
      </c>
      <c r="D1712" s="115" t="inlineStr">
        <is>
          <t>34 EGR 736</t>
        </is>
      </c>
      <c r="E1712" s="115" t="inlineStr">
        <is>
          <t>HAKAN ÇAVUŞOĞLU</t>
        </is>
      </c>
      <c r="F1712" s="115" t="n">
        <v>450489</v>
      </c>
      <c r="G1712" s="156" t="n"/>
      <c r="H1712" s="152" t="n">
        <v>480</v>
      </c>
      <c r="I1712" s="156" t="n"/>
      <c r="J1712" s="90" t="n"/>
      <c r="K1712" s="166" t="n"/>
      <c r="L1712" s="158">
        <f>+H1712*J1712</f>
        <v/>
      </c>
      <c r="M1712" s="159" t="n"/>
    </row>
    <row r="1713">
      <c r="A1713" s="116" t="n">
        <v>46147</v>
      </c>
      <c r="B1713" s="115" t="n">
        <v>4526</v>
      </c>
      <c r="C1713" s="115" t="inlineStr">
        <is>
          <t>SELİM İNŞAAT</t>
        </is>
      </c>
      <c r="D1713" s="115" t="inlineStr">
        <is>
          <t>34 DTV 352</t>
        </is>
      </c>
      <c r="E1713" s="115" t="inlineStr">
        <is>
          <t>FAHRİ YEŞİLBAĞ</t>
        </is>
      </c>
      <c r="F1713" s="115" t="n">
        <v>483367</v>
      </c>
      <c r="G1713" s="156" t="n"/>
      <c r="H1713" s="152" t="n">
        <v>454</v>
      </c>
      <c r="I1713" s="156" t="n"/>
      <c r="J1713" s="90" t="n"/>
      <c r="K1713" s="166" t="n"/>
      <c r="L1713" s="158">
        <f>+H1713*J1713</f>
        <v/>
      </c>
      <c r="M1713" s="159" t="n"/>
    </row>
    <row r="1714">
      <c r="A1714" s="116" t="n">
        <v>46153</v>
      </c>
      <c r="B1714" s="115" t="n">
        <v>4527</v>
      </c>
      <c r="C1714" s="115" t="inlineStr">
        <is>
          <t>SELİM İNŞAAT</t>
        </is>
      </c>
      <c r="D1714" s="115" t="inlineStr">
        <is>
          <t>34 DTV 352</t>
        </is>
      </c>
      <c r="E1714" s="115" t="inlineStr">
        <is>
          <t>FAHRİ YEŞİLBAĞ</t>
        </is>
      </c>
      <c r="F1714" s="115" t="n">
        <v>484077</v>
      </c>
      <c r="G1714" s="156" t="n"/>
      <c r="H1714" s="152" t="n">
        <v>397</v>
      </c>
      <c r="I1714" s="156" t="n"/>
      <c r="J1714" s="90" t="n"/>
      <c r="K1714" s="166" t="n"/>
      <c r="L1714" s="158">
        <f>+H1714*J1714</f>
        <v/>
      </c>
      <c r="M1714" s="159" t="n"/>
    </row>
    <row r="1715">
      <c r="A1715" s="116" t="n">
        <v>46155</v>
      </c>
      <c r="B1715" s="115" t="n">
        <v>4528</v>
      </c>
      <c r="C1715" s="115" t="inlineStr">
        <is>
          <t>SELİM İNŞAAT</t>
        </is>
      </c>
      <c r="D1715" s="115" t="inlineStr">
        <is>
          <t>34 DTV 352</t>
        </is>
      </c>
      <c r="E1715" s="115" t="inlineStr">
        <is>
          <t>FAHRİ YEŞİLBAĞ</t>
        </is>
      </c>
      <c r="F1715" s="115" t="n">
        <v>484520</v>
      </c>
      <c r="G1715" s="156" t="n"/>
      <c r="H1715" s="152" t="n">
        <v>369</v>
      </c>
      <c r="I1715" s="156" t="n"/>
      <c r="J1715" s="90" t="n"/>
      <c r="K1715" s="166" t="n"/>
      <c r="L1715" s="158">
        <f>+H1715*J1715</f>
        <v/>
      </c>
      <c r="M1715" s="159" t="n"/>
    </row>
    <row r="1716">
      <c r="A1716" s="116" t="n">
        <v>46156</v>
      </c>
      <c r="B1716" s="115" t="n">
        <v>4529</v>
      </c>
      <c r="C1716" s="115" t="inlineStr">
        <is>
          <t>SELİM İNŞAAT</t>
        </is>
      </c>
      <c r="D1716" s="115" t="inlineStr">
        <is>
          <t>34 DTV 352</t>
        </is>
      </c>
      <c r="E1716" s="115" t="inlineStr">
        <is>
          <t>FAHRİ YEŞİLBAĞ</t>
        </is>
      </c>
      <c r="F1716" s="115" t="n">
        <v>485231</v>
      </c>
      <c r="G1716" s="156" t="n"/>
      <c r="H1716" s="152" t="n">
        <v>481</v>
      </c>
      <c r="I1716" s="156" t="n"/>
      <c r="J1716" s="90" t="n"/>
      <c r="K1716" s="166" t="n"/>
      <c r="L1716" s="158">
        <f>+H1716*J1716</f>
        <v/>
      </c>
      <c r="M1716" s="159" t="n"/>
    </row>
    <row r="1717">
      <c r="A1717" s="116" t="n">
        <v>46147</v>
      </c>
      <c r="B1717" s="115" t="n">
        <v>1056</v>
      </c>
      <c r="C1717" s="115" t="inlineStr">
        <is>
          <t>SELİM İNŞAAT</t>
        </is>
      </c>
      <c r="D1717" s="115" t="inlineStr">
        <is>
          <t>34 FBR 781</t>
        </is>
      </c>
      <c r="E1717" s="115" t="inlineStr">
        <is>
          <t>MEVLÜT POLAT</t>
        </is>
      </c>
      <c r="F1717" s="115" t="n">
        <v>370121</v>
      </c>
      <c r="G1717" s="156" t="n"/>
      <c r="H1717" s="152" t="n">
        <v>438</v>
      </c>
      <c r="I1717" s="156" t="n"/>
      <c r="J1717" s="90" t="n"/>
      <c r="K1717" s="166" t="n"/>
      <c r="L1717" s="158">
        <f>+H1717*J1717</f>
        <v/>
      </c>
      <c r="M1717" s="159" t="n"/>
    </row>
    <row r="1718">
      <c r="A1718" s="116" t="n">
        <v>46150</v>
      </c>
      <c r="B1718" s="115" t="n">
        <v>1057</v>
      </c>
      <c r="C1718" s="115" t="inlineStr">
        <is>
          <t>SELİM İNŞAAT</t>
        </is>
      </c>
      <c r="D1718" s="115" t="inlineStr">
        <is>
          <t>34 FBR 781</t>
        </is>
      </c>
      <c r="E1718" s="115" t="inlineStr">
        <is>
          <t>MEVLÜT POLAT</t>
        </is>
      </c>
      <c r="F1718" s="115" t="n">
        <v>370726</v>
      </c>
      <c r="G1718" s="156" t="n"/>
      <c r="H1718" s="152" t="n">
        <v>462</v>
      </c>
      <c r="I1718" s="156" t="n"/>
      <c r="J1718" s="90" t="n"/>
      <c r="K1718" s="166" t="n"/>
      <c r="L1718" s="158">
        <f>+H1718*J1718</f>
        <v/>
      </c>
      <c r="M1718" s="159" t="n"/>
    </row>
    <row r="1719">
      <c r="A1719" s="116" t="n">
        <v>46155</v>
      </c>
      <c r="B1719" s="115" t="n">
        <v>1058</v>
      </c>
      <c r="C1719" s="115" t="inlineStr">
        <is>
          <t>SELİM İNŞAAT</t>
        </is>
      </c>
      <c r="D1719" s="115" t="inlineStr">
        <is>
          <t>34 FBR 781</t>
        </is>
      </c>
      <c r="E1719" s="115" t="inlineStr">
        <is>
          <t>MEVLÜT POLAT</t>
        </is>
      </c>
      <c r="F1719" s="115" t="n">
        <v>371093</v>
      </c>
      <c r="G1719" s="156" t="n"/>
      <c r="H1719" s="152" t="n">
        <v>213</v>
      </c>
      <c r="I1719" s="156" t="n"/>
      <c r="J1719" s="90" t="n"/>
      <c r="K1719" s="166" t="n"/>
      <c r="L1719" s="158">
        <f>+H1719*J1719</f>
        <v/>
      </c>
      <c r="M1719" s="159" t="n"/>
    </row>
    <row r="1720">
      <c r="A1720" s="116" t="n">
        <v>46157</v>
      </c>
      <c r="B1720" s="115" t="n">
        <v>1059</v>
      </c>
      <c r="C1720" s="115" t="inlineStr">
        <is>
          <t>SELİM İNŞAAT</t>
        </is>
      </c>
      <c r="D1720" s="115" t="inlineStr">
        <is>
          <t>34 FBR 781</t>
        </is>
      </c>
      <c r="E1720" s="115" t="inlineStr">
        <is>
          <t>MEVLÜT POLAT</t>
        </is>
      </c>
      <c r="F1720" s="115" t="n">
        <v>371662</v>
      </c>
      <c r="G1720" s="156" t="n"/>
      <c r="H1720" s="152" t="n">
        <v>357</v>
      </c>
      <c r="I1720" s="156" t="n"/>
      <c r="J1720" s="90" t="n"/>
      <c r="K1720" s="166" t="n"/>
      <c r="L1720" s="158">
        <f>+H1720*J1720</f>
        <v/>
      </c>
      <c r="M1720" s="159" t="n"/>
    </row>
    <row r="1721">
      <c r="A1721" s="116" t="n">
        <v>46146</v>
      </c>
      <c r="B1721" s="115" t="n">
        <v>106</v>
      </c>
      <c r="C1721" s="115" t="inlineStr">
        <is>
          <t>SELİM İNŞAAT</t>
        </is>
      </c>
      <c r="D1721" s="115" t="inlineStr">
        <is>
          <t>34 GUS 848</t>
        </is>
      </c>
      <c r="E1721" s="115" t="inlineStr">
        <is>
          <t>SERDAR BOZKURT</t>
        </is>
      </c>
      <c r="F1721" s="115" t="n">
        <v>240145</v>
      </c>
      <c r="G1721" s="156" t="n"/>
      <c r="H1721" s="152" t="n">
        <v>424</v>
      </c>
      <c r="I1721" s="156" t="n"/>
      <c r="J1721" s="90" t="n"/>
      <c r="K1721" s="166" t="n"/>
      <c r="L1721" s="158">
        <f>+H1721*J1721</f>
        <v/>
      </c>
      <c r="M1721" s="159" t="n"/>
    </row>
    <row r="1722">
      <c r="A1722" s="116" t="n">
        <v>46149</v>
      </c>
      <c r="B1722" s="115" t="n">
        <v>107</v>
      </c>
      <c r="C1722" s="115" t="inlineStr">
        <is>
          <t>SELİM İNŞAAT</t>
        </is>
      </c>
      <c r="D1722" s="115" t="inlineStr">
        <is>
          <t>34 GUS 848</t>
        </is>
      </c>
      <c r="E1722" s="115" t="inlineStr">
        <is>
          <t>SERDAR BOZKURT</t>
        </is>
      </c>
      <c r="F1722" s="115" t="n">
        <v>240871</v>
      </c>
      <c r="G1722" s="156" t="n"/>
      <c r="H1722" s="152" t="n">
        <v>493</v>
      </c>
      <c r="I1722" s="156" t="n"/>
      <c r="J1722" s="90" t="n"/>
      <c r="K1722" s="166" t="n"/>
      <c r="L1722" s="158">
        <f>+H1722*J1722</f>
        <v/>
      </c>
      <c r="M1722" s="159" t="n"/>
    </row>
    <row r="1723">
      <c r="A1723" s="116" t="n">
        <v>46151</v>
      </c>
      <c r="B1723" s="115" t="n">
        <v>108</v>
      </c>
      <c r="C1723" s="115" t="inlineStr">
        <is>
          <t>SELİM İNŞAAT</t>
        </is>
      </c>
      <c r="D1723" s="115" t="inlineStr">
        <is>
          <t>34 GUS 848</t>
        </is>
      </c>
      <c r="E1723" s="115" t="inlineStr">
        <is>
          <t>SERDAR BOZKURT</t>
        </is>
      </c>
      <c r="F1723" s="115" t="n">
        <v>241875</v>
      </c>
      <c r="G1723" s="156" t="n"/>
      <c r="H1723" s="152" t="n">
        <v>463</v>
      </c>
      <c r="I1723" s="156" t="n"/>
      <c r="J1723" s="90" t="n"/>
      <c r="K1723" s="166" t="n"/>
      <c r="L1723" s="158">
        <f>+H1723*J1723</f>
        <v/>
      </c>
      <c r="M1723" s="159" t="n"/>
    </row>
    <row r="1724">
      <c r="A1724" s="116" t="n">
        <v>46154</v>
      </c>
      <c r="B1724" s="115" t="n">
        <v>109</v>
      </c>
      <c r="C1724" s="115" t="inlineStr">
        <is>
          <t>SELİM İNŞAAT</t>
        </is>
      </c>
      <c r="D1724" s="115" t="inlineStr">
        <is>
          <t>34 GUS 848</t>
        </is>
      </c>
      <c r="E1724" s="115" t="inlineStr">
        <is>
          <t>SERDAR BOZKURT</t>
        </is>
      </c>
      <c r="F1724" s="115" t="n">
        <v>242665</v>
      </c>
      <c r="G1724" s="156" t="n"/>
      <c r="H1724" s="152" t="n">
        <v>490</v>
      </c>
      <c r="I1724" s="156" t="n"/>
      <c r="J1724" s="90" t="n"/>
      <c r="K1724" s="166" t="n"/>
      <c r="L1724" s="158">
        <f>+H1724*J1724</f>
        <v/>
      </c>
      <c r="M1724" s="159" t="n"/>
    </row>
    <row r="1725">
      <c r="A1725" s="116" t="n">
        <v>46157</v>
      </c>
      <c r="B1725" s="115" t="n">
        <v>110</v>
      </c>
      <c r="C1725" s="115" t="inlineStr">
        <is>
          <t>SELİM İNŞAAT</t>
        </is>
      </c>
      <c r="D1725" s="115" t="inlineStr">
        <is>
          <t>34 GUS 848</t>
        </is>
      </c>
      <c r="E1725" s="115" t="inlineStr">
        <is>
          <t>SERDAR BOZKURT</t>
        </is>
      </c>
      <c r="F1725" s="115" t="n">
        <v>243524</v>
      </c>
      <c r="G1725" s="156" t="n"/>
      <c r="H1725" s="152" t="n">
        <v>462</v>
      </c>
      <c r="I1725" s="156" t="n"/>
      <c r="J1725" s="90" t="n"/>
      <c r="K1725" s="166" t="n"/>
      <c r="L1725" s="158">
        <f>+H1725*J1725</f>
        <v/>
      </c>
      <c r="M1725" s="159" t="n"/>
    </row>
    <row r="1726">
      <c r="A1726" s="116" t="n">
        <v>46149</v>
      </c>
      <c r="B1726" s="115" t="n">
        <v>4183</v>
      </c>
      <c r="C1726" s="115" t="inlineStr">
        <is>
          <t>SELİM İNŞAAT</t>
        </is>
      </c>
      <c r="D1726" s="115" t="inlineStr">
        <is>
          <t>34 FBR 748</t>
        </is>
      </c>
      <c r="E1726" s="115" t="inlineStr">
        <is>
          <t>YAŞAR ÖZKAYA</t>
        </is>
      </c>
      <c r="F1726" s="115" t="n">
        <v>333452</v>
      </c>
      <c r="G1726" s="156" t="n"/>
      <c r="H1726" s="152" t="n">
        <v>400</v>
      </c>
      <c r="I1726" s="156" t="n"/>
      <c r="J1726" s="90" t="n"/>
      <c r="K1726" s="166" t="n"/>
      <c r="L1726" s="158">
        <f>+H1726*J1726</f>
        <v/>
      </c>
      <c r="M1726" s="159" t="n"/>
    </row>
    <row r="1727">
      <c r="A1727" s="116" t="n">
        <v>46150</v>
      </c>
      <c r="B1727" s="115" t="n">
        <v>4184</v>
      </c>
      <c r="C1727" s="115" t="inlineStr">
        <is>
          <t>SELİM İNŞAAT</t>
        </is>
      </c>
      <c r="D1727" s="115" t="inlineStr">
        <is>
          <t>34 FBR 748</t>
        </is>
      </c>
      <c r="E1727" s="115" t="inlineStr">
        <is>
          <t>YAŞAR ÖZKAYA</t>
        </is>
      </c>
      <c r="F1727" s="115" t="n">
        <v>334161</v>
      </c>
      <c r="G1727" s="156" t="n"/>
      <c r="H1727" s="152" t="n">
        <v>437</v>
      </c>
      <c r="I1727" s="156" t="n"/>
      <c r="J1727" s="90" t="n"/>
      <c r="K1727" s="166" t="n"/>
      <c r="L1727" s="158">
        <f>+H1727*J1727</f>
        <v/>
      </c>
      <c r="M1727" s="159" t="n"/>
    </row>
    <row r="1728">
      <c r="A1728" s="116" t="n">
        <v>46152</v>
      </c>
      <c r="B1728" s="115" t="n">
        <v>4185</v>
      </c>
      <c r="C1728" s="115" t="inlineStr">
        <is>
          <t>SELİM İNŞAAT</t>
        </is>
      </c>
      <c r="D1728" s="115" t="inlineStr">
        <is>
          <t>34 FBR 748</t>
        </is>
      </c>
      <c r="E1728" s="115" t="inlineStr">
        <is>
          <t>YAŞAR ÖZKAYA</t>
        </is>
      </c>
      <c r="F1728" s="115" t="n">
        <v>334860</v>
      </c>
      <c r="G1728" s="156" t="n"/>
      <c r="H1728" s="152" t="n">
        <v>432</v>
      </c>
      <c r="I1728" s="156" t="n"/>
      <c r="J1728" s="90" t="n"/>
      <c r="K1728" s="166" t="n"/>
      <c r="L1728" s="158">
        <f>+H1728*J1728</f>
        <v/>
      </c>
      <c r="M1728" s="159" t="n"/>
    </row>
    <row r="1729">
      <c r="A1729" s="116" t="n">
        <v>46155</v>
      </c>
      <c r="B1729" s="115" t="n">
        <v>4186</v>
      </c>
      <c r="C1729" s="115" t="inlineStr">
        <is>
          <t>SELİM İNŞAAT</t>
        </is>
      </c>
      <c r="D1729" s="115" t="inlineStr">
        <is>
          <t>34 FBR 748</t>
        </is>
      </c>
      <c r="E1729" s="115" t="inlineStr">
        <is>
          <t>YAŞAR ÖZKAYA</t>
        </is>
      </c>
      <c r="F1729" s="115" t="n">
        <v>335706</v>
      </c>
      <c r="G1729" s="156" t="n"/>
      <c r="H1729" s="152" t="n">
        <v>534</v>
      </c>
      <c r="I1729" s="156" t="n"/>
      <c r="J1729" s="90" t="n"/>
      <c r="K1729" s="166" t="n"/>
      <c r="L1729" s="158">
        <f>+H1729*J1729</f>
        <v/>
      </c>
      <c r="M1729" s="159" t="n"/>
    </row>
    <row r="1730">
      <c r="A1730" s="116" t="n">
        <v>46157</v>
      </c>
      <c r="B1730" s="115" t="n">
        <v>4187</v>
      </c>
      <c r="C1730" s="115" t="inlineStr">
        <is>
          <t>SELİM İNŞAAT</t>
        </is>
      </c>
      <c r="D1730" s="115" t="inlineStr">
        <is>
          <t>34 FBR 748</t>
        </is>
      </c>
      <c r="E1730" s="115" t="inlineStr">
        <is>
          <t>YAŞAR ÖZKAYA</t>
        </is>
      </c>
      <c r="F1730" s="115" t="n">
        <v>336314</v>
      </c>
      <c r="G1730" s="156" t="n"/>
      <c r="H1730" s="152" t="n">
        <v>215</v>
      </c>
      <c r="I1730" s="156" t="n"/>
      <c r="J1730" s="90" t="n"/>
      <c r="K1730" s="166" t="n"/>
      <c r="L1730" s="158">
        <f>+H1730*J1730</f>
        <v/>
      </c>
      <c r="M1730" s="159" t="n"/>
    </row>
    <row r="1731">
      <c r="A1731" s="116" t="n">
        <v>46146</v>
      </c>
      <c r="B1731" s="115" t="n">
        <v>1757</v>
      </c>
      <c r="C1731" s="115" t="inlineStr">
        <is>
          <t>SELİM İNŞAAT</t>
        </is>
      </c>
      <c r="D1731" s="115" t="inlineStr">
        <is>
          <t>34 EDC 086</t>
        </is>
      </c>
      <c r="E1731" s="115" t="inlineStr">
        <is>
          <t>ZİYA İNCE</t>
        </is>
      </c>
      <c r="F1731" s="115" t="n">
        <v>384015</v>
      </c>
      <c r="G1731" s="156" t="n"/>
      <c r="H1731" s="152" t="n">
        <v>344</v>
      </c>
      <c r="I1731" s="156" t="n"/>
      <c r="J1731" s="90" t="n"/>
      <c r="K1731" s="166" t="n"/>
      <c r="L1731" s="158">
        <f>+H1731*J1731</f>
        <v/>
      </c>
      <c r="M1731" s="159" t="n"/>
    </row>
    <row r="1732">
      <c r="A1732" s="116" t="n">
        <v>46149</v>
      </c>
      <c r="B1732" s="115" t="n">
        <v>1758</v>
      </c>
      <c r="C1732" s="115" t="inlineStr">
        <is>
          <t>SELİM İNŞAAT</t>
        </is>
      </c>
      <c r="D1732" s="115" t="inlineStr">
        <is>
          <t>34 EDC 086</t>
        </is>
      </c>
      <c r="E1732" s="115" t="inlineStr">
        <is>
          <t>ZİYA İNCE</t>
        </is>
      </c>
      <c r="F1732" s="115" t="n">
        <v>384847</v>
      </c>
      <c r="G1732" s="156" t="n"/>
      <c r="H1732" s="152" t="n">
        <v>523</v>
      </c>
      <c r="I1732" s="156" t="n"/>
      <c r="J1732" s="90" t="n"/>
      <c r="K1732" s="166" t="n"/>
      <c r="L1732" s="158">
        <f>+H1732*J1732</f>
        <v/>
      </c>
      <c r="M1732" s="159" t="n"/>
    </row>
    <row r="1733">
      <c r="A1733" s="116" t="n">
        <v>46154</v>
      </c>
      <c r="B1733" s="115" t="n">
        <v>1759</v>
      </c>
      <c r="C1733" s="115" t="inlineStr">
        <is>
          <t>SELİM İNŞAAT</t>
        </is>
      </c>
      <c r="D1733" s="115" t="inlineStr">
        <is>
          <t>34 EDC 086</t>
        </is>
      </c>
      <c r="E1733" s="115" t="inlineStr">
        <is>
          <t>ZİYA İNCE</t>
        </is>
      </c>
      <c r="F1733" s="115" t="n">
        <v>385760</v>
      </c>
      <c r="G1733" s="156" t="n"/>
      <c r="H1733" s="152" t="n">
        <v>509</v>
      </c>
      <c r="I1733" s="156" t="n"/>
      <c r="J1733" s="90" t="n"/>
      <c r="K1733" s="166" t="n"/>
      <c r="L1733" s="158">
        <f>+H1733*J1733</f>
        <v/>
      </c>
      <c r="M1733" s="159" t="n"/>
    </row>
    <row r="1734">
      <c r="A1734" s="116" t="n">
        <v>46157</v>
      </c>
      <c r="B1734" s="115" t="n">
        <v>1760</v>
      </c>
      <c r="C1734" s="115" t="inlineStr">
        <is>
          <t>SELİM İNŞAAT</t>
        </is>
      </c>
      <c r="D1734" s="115" t="inlineStr">
        <is>
          <t>34 EDC 086</t>
        </is>
      </c>
      <c r="E1734" s="115" t="inlineStr">
        <is>
          <t>ZİYA İNCE</t>
        </is>
      </c>
      <c r="F1734" s="115" t="n">
        <v>386694</v>
      </c>
      <c r="G1734" s="156" t="n"/>
      <c r="H1734" s="152" t="n">
        <v>493</v>
      </c>
      <c r="I1734" s="156" t="n"/>
      <c r="J1734" s="90" t="n"/>
      <c r="K1734" s="166" t="n"/>
      <c r="L1734" s="158">
        <f>+H1734*J1734</f>
        <v/>
      </c>
      <c r="M1734" s="159" t="n"/>
    </row>
    <row r="1735">
      <c r="A1735" s="116" t="n">
        <v>46147</v>
      </c>
      <c r="B1735" s="115" t="n">
        <v>918</v>
      </c>
      <c r="C1735" s="115" t="inlineStr">
        <is>
          <t>SELİM İNŞAAT</t>
        </is>
      </c>
      <c r="D1735" s="115" t="inlineStr">
        <is>
          <t>34 FSG 229</t>
        </is>
      </c>
      <c r="E1735" s="115" t="inlineStr">
        <is>
          <t>SİNAN TANRIVERDİ</t>
        </is>
      </c>
      <c r="F1735" s="115" t="n">
        <v>308057</v>
      </c>
      <c r="G1735" s="156" t="n"/>
      <c r="H1735" s="152" t="n">
        <v>445</v>
      </c>
      <c r="I1735" s="156" t="n"/>
      <c r="J1735" s="90" t="n"/>
      <c r="K1735" s="166" t="n"/>
      <c r="L1735" s="158">
        <f>+H1735*J1735</f>
        <v/>
      </c>
      <c r="M1735" s="159" t="n"/>
    </row>
    <row r="1736">
      <c r="A1736" s="116" t="n">
        <v>46149</v>
      </c>
      <c r="B1736" s="115" t="n">
        <v>919</v>
      </c>
      <c r="C1736" s="115" t="inlineStr">
        <is>
          <t>SELİM İNŞAAT</t>
        </is>
      </c>
      <c r="D1736" s="115" t="inlineStr">
        <is>
          <t>34 FSG 229</t>
        </is>
      </c>
      <c r="E1736" s="115" t="inlineStr">
        <is>
          <t>SİNAN TANRIVERDİ</t>
        </is>
      </c>
      <c r="F1736" s="115" t="n">
        <v>308579</v>
      </c>
      <c r="G1736" s="156" t="n"/>
      <c r="H1736" s="152" t="n">
        <v>369</v>
      </c>
      <c r="I1736" s="156" t="n"/>
      <c r="J1736" s="90" t="n"/>
      <c r="K1736" s="166" t="n"/>
      <c r="L1736" s="158">
        <f>+H1736*J1736</f>
        <v/>
      </c>
      <c r="M1736" s="159" t="n"/>
    </row>
    <row r="1737">
      <c r="A1737" s="116" t="n">
        <v>46152</v>
      </c>
      <c r="B1737" s="115" t="n">
        <v>920</v>
      </c>
      <c r="C1737" s="115" t="inlineStr">
        <is>
          <t>SELİM İNŞAAT</t>
        </is>
      </c>
      <c r="D1737" s="115" t="inlineStr">
        <is>
          <t>34 FSG 229</t>
        </is>
      </c>
      <c r="E1737" s="115" t="inlineStr">
        <is>
          <t>SİNAN TANRIVERDİ</t>
        </is>
      </c>
      <c r="F1737" s="115" t="n">
        <v>309126</v>
      </c>
      <c r="G1737" s="156" t="n"/>
      <c r="H1737" s="152" t="n">
        <v>349</v>
      </c>
      <c r="I1737" s="156" t="n"/>
      <c r="J1737" s="90" t="n"/>
      <c r="K1737" s="166" t="n"/>
      <c r="L1737" s="158">
        <f>+H1737*J1737</f>
        <v/>
      </c>
      <c r="M1737" s="159" t="n"/>
    </row>
    <row r="1738">
      <c r="A1738" s="116" t="n">
        <v>46154</v>
      </c>
      <c r="B1738" s="115" t="n">
        <v>921</v>
      </c>
      <c r="C1738" s="115" t="inlineStr">
        <is>
          <t>SELİM İNŞAAT</t>
        </is>
      </c>
      <c r="D1738" s="115" t="inlineStr">
        <is>
          <t>34 FSG 229</t>
        </is>
      </c>
      <c r="E1738" s="115" t="inlineStr">
        <is>
          <t>SİNAN TANRIVERDİ</t>
        </is>
      </c>
      <c r="F1738" s="115" t="n">
        <v>309834</v>
      </c>
      <c r="G1738" s="156" t="n"/>
      <c r="H1738" s="152" t="n">
        <v>479</v>
      </c>
      <c r="I1738" s="156" t="n"/>
      <c r="J1738" s="90" t="n"/>
      <c r="K1738" s="166" t="n"/>
      <c r="L1738" s="158">
        <f>+H1738*J1738</f>
        <v/>
      </c>
      <c r="M1738" s="159" t="n"/>
    </row>
    <row r="1739">
      <c r="A1739" s="116" t="n">
        <v>46156</v>
      </c>
      <c r="B1739" s="115" t="n">
        <v>922</v>
      </c>
      <c r="C1739" s="115" t="inlineStr">
        <is>
          <t>SELİM İNŞAAT</t>
        </is>
      </c>
      <c r="D1739" s="115" t="inlineStr">
        <is>
          <t>34 FSG 229</t>
        </is>
      </c>
      <c r="E1739" s="115" t="inlineStr">
        <is>
          <t>SİNAN TANRIVERDİ</t>
        </is>
      </c>
      <c r="F1739" s="115" t="n">
        <v>310426</v>
      </c>
      <c r="G1739" s="156" t="n"/>
      <c r="H1739" s="152" t="n">
        <v>467</v>
      </c>
      <c r="I1739" s="156" t="n"/>
      <c r="J1739" s="90" t="n"/>
      <c r="K1739" s="166" t="n"/>
      <c r="L1739" s="158">
        <f>+H1739*J1739</f>
        <v/>
      </c>
      <c r="M1739" s="159" t="n"/>
    </row>
    <row r="1740">
      <c r="A1740" s="114" t="n">
        <v>46154</v>
      </c>
      <c r="B1740" s="115" t="n">
        <v>198</v>
      </c>
      <c r="C1740" s="115" t="inlineStr">
        <is>
          <t>SELİM İNŞAAT</t>
        </is>
      </c>
      <c r="D1740" s="115" t="inlineStr">
        <is>
          <t>34 TG 7869</t>
        </is>
      </c>
      <c r="E1740" s="115" t="inlineStr">
        <is>
          <t>BEYTULAH ALTINEL</t>
        </is>
      </c>
      <c r="F1740" s="115" t="n">
        <v>194239</v>
      </c>
      <c r="G1740" s="156" t="n"/>
      <c r="H1740" s="152" t="n">
        <v>200</v>
      </c>
      <c r="I1740" s="156" t="n"/>
      <c r="J1740" s="90" t="n"/>
      <c r="K1740" s="166" t="n"/>
      <c r="L1740" s="158">
        <f>+H1740*J1740</f>
        <v/>
      </c>
      <c r="M1740" s="159" t="n"/>
    </row>
    <row r="1741">
      <c r="A1741" s="114" t="n">
        <v>46157</v>
      </c>
      <c r="B1741" s="115" t="n">
        <v>1779</v>
      </c>
      <c r="C1741" s="115" t="inlineStr">
        <is>
          <t>SELİM İNŞAAT</t>
        </is>
      </c>
      <c r="D1741" s="115" t="inlineStr">
        <is>
          <t>34 JBA 25</t>
        </is>
      </c>
      <c r="E1741" s="115" t="inlineStr">
        <is>
          <t>RİFAT KARATAY</t>
        </is>
      </c>
      <c r="F1741" s="115" t="n">
        <v>1779</v>
      </c>
      <c r="G1741" s="156" t="n"/>
      <c r="H1741" s="152" t="n">
        <v>62</v>
      </c>
      <c r="I1741" s="156" t="n"/>
      <c r="J1741" s="90" t="n"/>
      <c r="K1741" s="166" t="n"/>
      <c r="L1741" s="158">
        <f>+H1741*J1741</f>
        <v/>
      </c>
      <c r="M1741" s="159" t="n"/>
    </row>
    <row r="1742">
      <c r="A1742" s="114" t="n">
        <v>46144</v>
      </c>
      <c r="B1742" s="115" t="n">
        <v>4032</v>
      </c>
      <c r="C1742" s="115" t="inlineStr">
        <is>
          <t>SELİM İNŞAAT</t>
        </is>
      </c>
      <c r="D1742" s="115" t="inlineStr">
        <is>
          <t>34 AR 7743</t>
        </is>
      </c>
      <c r="E1742" s="115" t="inlineStr">
        <is>
          <t>MEHMET SELİM</t>
        </is>
      </c>
      <c r="F1742" s="115" t="n">
        <v>377986</v>
      </c>
      <c r="G1742" s="156" t="n"/>
      <c r="H1742" s="152" t="n">
        <v>58</v>
      </c>
      <c r="I1742" s="156" t="n"/>
      <c r="J1742" s="90" t="n"/>
      <c r="K1742" s="166" t="n"/>
      <c r="L1742" s="158">
        <f>+H1742*J1742</f>
        <v/>
      </c>
      <c r="M1742" s="159" t="n"/>
    </row>
    <row r="1743">
      <c r="A1743" s="114" t="n">
        <v>46147</v>
      </c>
      <c r="B1743" s="115" t="n">
        <v>4033</v>
      </c>
      <c r="C1743" s="115" t="inlineStr">
        <is>
          <t>SELİM İNŞAAT</t>
        </is>
      </c>
      <c r="D1743" s="115" t="inlineStr">
        <is>
          <t>34 AR 7743</t>
        </is>
      </c>
      <c r="E1743" s="115" t="inlineStr">
        <is>
          <t>MEHMET SELİM</t>
        </is>
      </c>
      <c r="F1743" s="115" t="n">
        <v>378194</v>
      </c>
      <c r="G1743" s="156" t="n"/>
      <c r="H1743" s="152" t="n">
        <v>47</v>
      </c>
      <c r="I1743" s="156" t="n"/>
      <c r="J1743" s="90" t="n"/>
      <c r="K1743" s="166" t="n"/>
      <c r="L1743" s="158">
        <f>+H1743*J1743</f>
        <v/>
      </c>
      <c r="M1743" s="159" t="n"/>
    </row>
    <row r="1744">
      <c r="A1744" s="114" t="n">
        <v>46150</v>
      </c>
      <c r="B1744" s="115" t="n">
        <v>4034</v>
      </c>
      <c r="C1744" s="115" t="inlineStr">
        <is>
          <t>SELİM İNŞAAT</t>
        </is>
      </c>
      <c r="D1744" s="115" t="inlineStr">
        <is>
          <t>34 AR 7743</t>
        </is>
      </c>
      <c r="E1744" s="115" t="inlineStr">
        <is>
          <t>MEHMET SELİM</t>
        </is>
      </c>
      <c r="F1744" s="115" t="n">
        <v>378483</v>
      </c>
      <c r="G1744" s="156" t="n"/>
      <c r="H1744" s="152" t="n">
        <v>57</v>
      </c>
      <c r="I1744" s="156" t="n"/>
      <c r="J1744" s="90" t="n"/>
      <c r="K1744" s="166" t="n"/>
      <c r="L1744" s="158">
        <f>+H1744*J1744</f>
        <v/>
      </c>
      <c r="M1744" s="159" t="n"/>
    </row>
    <row r="1745">
      <c r="A1745" s="114" t="n">
        <v>46153</v>
      </c>
      <c r="B1745" s="115" t="n">
        <v>4035</v>
      </c>
      <c r="C1745" s="115" t="inlineStr">
        <is>
          <t>SELİM İNŞAAT</t>
        </is>
      </c>
      <c r="D1745" s="115" t="inlineStr">
        <is>
          <t>34 AR 7743</t>
        </is>
      </c>
      <c r="E1745" s="115" t="inlineStr">
        <is>
          <t>MEHMET SELİM</t>
        </is>
      </c>
      <c r="F1745" s="115" t="n">
        <v>378641</v>
      </c>
      <c r="G1745" s="156" t="n"/>
      <c r="H1745" s="152" t="n">
        <v>30</v>
      </c>
      <c r="I1745" s="156" t="n"/>
      <c r="J1745" s="90" t="n"/>
      <c r="K1745" s="166" t="n"/>
      <c r="L1745" s="158">
        <f>+H1745*J1745</f>
        <v/>
      </c>
      <c r="M1745" s="159" t="n"/>
    </row>
    <row r="1746">
      <c r="A1746" s="114" t="n">
        <v>46155</v>
      </c>
      <c r="B1746" s="115" t="n">
        <v>4036</v>
      </c>
      <c r="C1746" s="115" t="inlineStr">
        <is>
          <t>SELİM İNŞAAT</t>
        </is>
      </c>
      <c r="D1746" s="115" t="inlineStr">
        <is>
          <t>34 AR 7743</t>
        </is>
      </c>
      <c r="E1746" s="115" t="inlineStr">
        <is>
          <t>MEHMET SELİM</t>
        </is>
      </c>
      <c r="F1746" s="115" t="n">
        <v>378925</v>
      </c>
      <c r="G1746" s="156" t="n"/>
      <c r="H1746" s="152" t="n">
        <v>58</v>
      </c>
      <c r="I1746" s="156" t="n"/>
      <c r="J1746" s="90" t="n"/>
      <c r="K1746" s="166" t="n"/>
      <c r="L1746" s="158">
        <f>+H1746*J1746</f>
        <v/>
      </c>
      <c r="M1746" s="159" t="n"/>
    </row>
    <row r="1747">
      <c r="A1747" s="114" t="n">
        <v>46157</v>
      </c>
      <c r="B1747" s="115" t="n">
        <v>4037</v>
      </c>
      <c r="C1747" s="115" t="inlineStr">
        <is>
          <t>SELİM İNŞAAT</t>
        </is>
      </c>
      <c r="D1747" s="115" t="inlineStr">
        <is>
          <t>34 AR 7743</t>
        </is>
      </c>
      <c r="E1747" s="115" t="inlineStr">
        <is>
          <t>MEHMET SELİM</t>
        </is>
      </c>
      <c r="F1747" s="115" t="n">
        <v>379172</v>
      </c>
      <c r="G1747" s="156" t="n"/>
      <c r="H1747" s="152" t="n">
        <v>50</v>
      </c>
      <c r="I1747" s="156" t="n"/>
      <c r="J1747" s="90" t="n"/>
      <c r="K1747" s="166" t="n"/>
      <c r="L1747" s="158">
        <f>+H1747*J1747</f>
        <v/>
      </c>
      <c r="M1747" s="159" t="n"/>
    </row>
    <row r="1748">
      <c r="A1748" s="114" t="n">
        <v>46144</v>
      </c>
      <c r="B1748" s="115" t="n">
        <v>1904</v>
      </c>
      <c r="C1748" s="115" t="inlineStr">
        <is>
          <t>SELİM İNŞAAT</t>
        </is>
      </c>
      <c r="D1748" s="115" t="inlineStr">
        <is>
          <t>34 FEM 934</t>
        </is>
      </c>
      <c r="E1748" s="115" t="inlineStr">
        <is>
          <t>HÜSEYİN ALIN</t>
        </is>
      </c>
      <c r="F1748" s="115" t="n">
        <v>338497</v>
      </c>
      <c r="G1748" s="156" t="n"/>
      <c r="H1748" s="152" t="n">
        <v>54</v>
      </c>
      <c r="I1748" s="156" t="n"/>
      <c r="J1748" s="90" t="n"/>
      <c r="K1748" s="166" t="n"/>
      <c r="L1748" s="158">
        <f>+H1748*J1748</f>
        <v/>
      </c>
      <c r="M1748" s="159" t="n"/>
    </row>
    <row r="1749">
      <c r="A1749" s="114" t="n">
        <v>46150</v>
      </c>
      <c r="B1749" s="115" t="n">
        <v>1905</v>
      </c>
      <c r="C1749" s="115" t="inlineStr">
        <is>
          <t>SELİM İNŞAAT</t>
        </is>
      </c>
      <c r="D1749" s="115" t="inlineStr">
        <is>
          <t>34 FEM 934</t>
        </is>
      </c>
      <c r="E1749" s="115" t="inlineStr">
        <is>
          <t>HÜSEYİN ALIN</t>
        </is>
      </c>
      <c r="F1749" s="115" t="n">
        <v>338885</v>
      </c>
      <c r="G1749" s="156" t="n"/>
      <c r="H1749" s="152" t="n">
        <v>81</v>
      </c>
      <c r="I1749" s="156" t="n"/>
      <c r="J1749" s="90" t="n"/>
      <c r="K1749" s="166" t="n"/>
      <c r="L1749" s="158">
        <f>+H1749*J1749</f>
        <v/>
      </c>
      <c r="M1749" s="159" t="n"/>
    </row>
    <row r="1750">
      <c r="A1750" s="114" t="n">
        <v>46156</v>
      </c>
      <c r="B1750" s="115" t="n">
        <v>1906</v>
      </c>
      <c r="C1750" s="115" t="inlineStr">
        <is>
          <t>SELİM İNŞAAT</t>
        </is>
      </c>
      <c r="D1750" s="115" t="inlineStr">
        <is>
          <t>34 FEM 934</t>
        </is>
      </c>
      <c r="E1750" s="115" t="inlineStr">
        <is>
          <t>HÜSEYİN ALIN</t>
        </is>
      </c>
      <c r="F1750" s="115" t="n">
        <v>339362</v>
      </c>
      <c r="G1750" s="156" t="n"/>
      <c r="H1750" s="152" t="n">
        <v>72</v>
      </c>
      <c r="I1750" s="156" t="n"/>
      <c r="J1750" s="90" t="n"/>
      <c r="K1750" s="166" t="n"/>
      <c r="L1750" s="158">
        <f>+H1750*J1750</f>
        <v/>
      </c>
      <c r="M1750" s="159" t="n"/>
    </row>
    <row r="1751">
      <c r="A1751" s="114" t="n">
        <v>46146</v>
      </c>
      <c r="B1751" s="115" t="n">
        <v>664</v>
      </c>
      <c r="C1751" s="115" t="inlineStr">
        <is>
          <t>SELİM İNŞAAT</t>
        </is>
      </c>
      <c r="D1751" s="115" t="inlineStr">
        <is>
          <t>34 GU 945</t>
        </is>
      </c>
      <c r="E1751" s="115" t="inlineStr">
        <is>
          <t>YAKUP URUCU</t>
        </is>
      </c>
      <c r="F1751" s="115" t="n">
        <v>477465</v>
      </c>
      <c r="G1751" s="156" t="n"/>
      <c r="H1751" s="152" t="n">
        <v>54</v>
      </c>
      <c r="I1751" s="156" t="n"/>
      <c r="J1751" s="90" t="n"/>
      <c r="K1751" s="166" t="n"/>
      <c r="L1751" s="158">
        <f>+H1751*J1751</f>
        <v/>
      </c>
      <c r="M1751" s="159" t="n"/>
    </row>
    <row r="1752">
      <c r="A1752" s="114" t="n">
        <v>46150</v>
      </c>
      <c r="B1752" s="115" t="n">
        <v>665</v>
      </c>
      <c r="C1752" s="115" t="inlineStr">
        <is>
          <t>SELİM İNŞAAT</t>
        </is>
      </c>
      <c r="D1752" s="115" t="inlineStr">
        <is>
          <t>34 GU 945</t>
        </is>
      </c>
      <c r="E1752" s="115" t="inlineStr">
        <is>
          <t>YAKUP URUCU</t>
        </is>
      </c>
      <c r="F1752" s="115" t="n">
        <v>477741</v>
      </c>
      <c r="G1752" s="156" t="n"/>
      <c r="H1752" s="152" t="n">
        <v>56</v>
      </c>
      <c r="I1752" s="156" t="n"/>
      <c r="J1752" s="90" t="n"/>
      <c r="K1752" s="166" t="n"/>
      <c r="L1752" s="158">
        <f>+H1752*J1752</f>
        <v/>
      </c>
      <c r="M1752" s="159" t="n"/>
    </row>
    <row r="1753">
      <c r="A1753" s="114" t="n">
        <v>46154</v>
      </c>
      <c r="B1753" s="115" t="n">
        <v>666</v>
      </c>
      <c r="C1753" s="115" t="inlineStr">
        <is>
          <t>SELİM İNŞAAT</t>
        </is>
      </c>
      <c r="D1753" s="115" t="inlineStr">
        <is>
          <t>34 GU 945</t>
        </is>
      </c>
      <c r="E1753" s="115" t="inlineStr">
        <is>
          <t>YAKUP URUCU</t>
        </is>
      </c>
      <c r="F1753" s="115" t="n">
        <v>478067</v>
      </c>
      <c r="G1753" s="156" t="n"/>
      <c r="H1753" s="152" t="n">
        <v>51</v>
      </c>
      <c r="I1753" s="156" t="n"/>
      <c r="J1753" s="90" t="n"/>
      <c r="K1753" s="166" t="n"/>
      <c r="L1753" s="158">
        <f>+H1753*J1753</f>
        <v/>
      </c>
      <c r="M1753" s="159" t="n"/>
    </row>
    <row r="1754">
      <c r="A1754" s="114" t="n">
        <v>46157</v>
      </c>
      <c r="B1754" s="115" t="n">
        <v>667</v>
      </c>
      <c r="C1754" s="115" t="inlineStr">
        <is>
          <t>SELİM İNŞAAT</t>
        </is>
      </c>
      <c r="D1754" s="115" t="inlineStr">
        <is>
          <t>34 GU 945</t>
        </is>
      </c>
      <c r="E1754" s="115" t="inlineStr">
        <is>
          <t>YAKUP URUCU</t>
        </is>
      </c>
      <c r="F1754" s="115" t="n">
        <v>478393</v>
      </c>
      <c r="G1754" s="156" t="n"/>
      <c r="H1754" s="152" t="n">
        <v>55</v>
      </c>
      <c r="I1754" s="156" t="n"/>
      <c r="J1754" s="90" t="n"/>
      <c r="K1754" s="166" t="n"/>
      <c r="L1754" s="158">
        <f>+H1754*J1754</f>
        <v/>
      </c>
      <c r="M1754" s="159" t="n"/>
    </row>
    <row r="1755">
      <c r="A1755" s="114" t="n">
        <v>46148</v>
      </c>
      <c r="B1755" s="115" t="n">
        <v>1357</v>
      </c>
      <c r="C1755" s="115" t="inlineStr">
        <is>
          <t>SELİM İNŞAAT</t>
        </is>
      </c>
      <c r="D1755" s="115" t="inlineStr">
        <is>
          <t>34 DP 4161</t>
        </is>
      </c>
      <c r="E1755" s="115" t="inlineStr">
        <is>
          <t>RİFAT KARATAY</t>
        </is>
      </c>
      <c r="F1755" s="115" t="n">
        <v>322892</v>
      </c>
      <c r="G1755" s="156" t="n"/>
      <c r="H1755" s="152" t="n">
        <v>241</v>
      </c>
      <c r="I1755" s="156" t="n"/>
      <c r="J1755" s="90" t="n"/>
      <c r="K1755" s="166" t="n"/>
      <c r="L1755" s="158">
        <f>+H1755*J1755</f>
        <v/>
      </c>
      <c r="M1755" s="159" t="n"/>
    </row>
    <row r="1756">
      <c r="A1756" s="114" t="n">
        <v>46154</v>
      </c>
      <c r="B1756" s="115" t="n">
        <v>1358</v>
      </c>
      <c r="C1756" s="115" t="inlineStr">
        <is>
          <t>SELİM İNŞAAT</t>
        </is>
      </c>
      <c r="D1756" s="115" t="inlineStr">
        <is>
          <t>34 DP 4161</t>
        </is>
      </c>
      <c r="E1756" s="115" t="inlineStr">
        <is>
          <t>RİFAT KARATAY</t>
        </is>
      </c>
      <c r="F1756" s="115" t="n">
        <v>323181</v>
      </c>
      <c r="G1756" s="156" t="n"/>
      <c r="H1756" s="152" t="n">
        <v>206</v>
      </c>
      <c r="I1756" s="156" t="n"/>
      <c r="J1756" s="90" t="n"/>
      <c r="K1756" s="166" t="n"/>
      <c r="L1756" s="158">
        <f>+H1756*J1756</f>
        <v/>
      </c>
      <c r="M1756" s="159" t="n"/>
    </row>
    <row r="1757">
      <c r="A1757" s="114" t="n">
        <v>46157</v>
      </c>
      <c r="B1757" s="115" t="n">
        <v>1359</v>
      </c>
      <c r="C1757" s="115" t="inlineStr">
        <is>
          <t>SELİM İNŞAAT</t>
        </is>
      </c>
      <c r="D1757" s="115" t="inlineStr">
        <is>
          <t>34 DP 4161</t>
        </is>
      </c>
      <c r="E1757" s="115" t="inlineStr">
        <is>
          <t>RİFAT KARATAY</t>
        </is>
      </c>
      <c r="F1757" s="115" t="n">
        <v>323338</v>
      </c>
      <c r="G1757" s="156" t="n"/>
      <c r="H1757" s="152" t="n">
        <v>221</v>
      </c>
      <c r="I1757" s="156" t="n"/>
      <c r="J1757" s="90" t="n"/>
      <c r="K1757" s="166" t="n"/>
      <c r="L1757" s="158">
        <f>+H1757*J1757</f>
        <v/>
      </c>
      <c r="M1757" s="159" t="n"/>
    </row>
    <row r="1758">
      <c r="A1758" s="114" t="n">
        <v>46148</v>
      </c>
      <c r="B1758" s="115" t="n">
        <v>3746</v>
      </c>
      <c r="C1758" s="115" t="inlineStr">
        <is>
          <t>SELİM İNŞAAT</t>
        </is>
      </c>
      <c r="D1758" s="115" t="inlineStr">
        <is>
          <t>34 DKL 866</t>
        </is>
      </c>
      <c r="E1758" s="115" t="inlineStr">
        <is>
          <t>SELİMCAN ÖNVER</t>
        </is>
      </c>
      <c r="F1758" s="115" t="n">
        <v>85200</v>
      </c>
      <c r="G1758" s="156" t="n"/>
      <c r="H1758" s="152" t="n">
        <v>243</v>
      </c>
      <c r="I1758" s="156" t="n"/>
      <c r="J1758" s="90" t="n"/>
      <c r="K1758" s="166" t="n"/>
      <c r="L1758" s="158">
        <f>+H1758*J1758</f>
        <v/>
      </c>
      <c r="M1758" s="159" t="n"/>
    </row>
    <row r="1759">
      <c r="A1759" s="114" t="n">
        <v>46152</v>
      </c>
      <c r="B1759" s="115" t="n">
        <v>3747</v>
      </c>
      <c r="C1759" s="115" t="inlineStr">
        <is>
          <t>SELİM İNŞAAT</t>
        </is>
      </c>
      <c r="D1759" s="115" t="inlineStr">
        <is>
          <t>34 DKL 866</t>
        </is>
      </c>
      <c r="E1759" s="115" t="inlineStr">
        <is>
          <t>SELİMCAN ÖNVER</t>
        </is>
      </c>
      <c r="F1759" s="115" t="n">
        <v>85370</v>
      </c>
      <c r="G1759" s="156" t="n"/>
      <c r="H1759" s="152" t="n">
        <v>203</v>
      </c>
      <c r="I1759" s="156" t="n"/>
      <c r="J1759" s="90" t="n"/>
      <c r="K1759" s="166" t="n"/>
      <c r="L1759" s="158">
        <f>+H1759*J1759</f>
        <v/>
      </c>
      <c r="M1759" s="159" t="n"/>
    </row>
    <row r="1760">
      <c r="A1760" s="114" t="n">
        <v>46154</v>
      </c>
      <c r="B1760" s="115" t="n">
        <v>3748</v>
      </c>
      <c r="C1760" s="115" t="inlineStr">
        <is>
          <t>SELİM İNŞAAT</t>
        </is>
      </c>
      <c r="D1760" s="115" t="inlineStr">
        <is>
          <t>34 DKL 866</t>
        </is>
      </c>
      <c r="E1760" s="115" t="inlineStr">
        <is>
          <t>SELİMCAN ÖNVER</t>
        </is>
      </c>
      <c r="F1760" s="115" t="n">
        <v>85509</v>
      </c>
      <c r="G1760" s="156" t="n"/>
      <c r="H1760" s="152" t="n">
        <v>197</v>
      </c>
      <c r="I1760" s="156" t="n"/>
      <c r="J1760" s="90" t="n"/>
      <c r="K1760" s="166" t="n"/>
      <c r="L1760" s="158">
        <f>+H1760*J1760</f>
        <v/>
      </c>
      <c r="M1760" s="159" t="n"/>
    </row>
    <row r="1761">
      <c r="A1761" s="114" t="n">
        <v>46157</v>
      </c>
      <c r="B1761" s="115" t="n">
        <v>3749</v>
      </c>
      <c r="C1761" s="115" t="inlineStr">
        <is>
          <t>SELİM İNŞAAT</t>
        </is>
      </c>
      <c r="D1761" s="115" t="inlineStr">
        <is>
          <t>34 DKL 866</t>
        </is>
      </c>
      <c r="E1761" s="115" t="inlineStr">
        <is>
          <t>SELİMCAN ÖNVER</t>
        </is>
      </c>
      <c r="F1761" s="115" t="n">
        <v>85732</v>
      </c>
      <c r="G1761" s="156" t="n"/>
      <c r="H1761" s="152" t="n">
        <v>195</v>
      </c>
      <c r="I1761" s="156" t="n"/>
      <c r="J1761" s="90" t="n"/>
      <c r="K1761" s="166" t="n"/>
      <c r="L1761" s="158">
        <f>+H1761*J1761</f>
        <v/>
      </c>
      <c r="M1761" s="159" t="n"/>
    </row>
    <row r="1762">
      <c r="A1762" s="114" t="n">
        <v>46149</v>
      </c>
      <c r="B1762" s="115" t="n">
        <v>4479</v>
      </c>
      <c r="C1762" s="115" t="inlineStr">
        <is>
          <t>SELİM İNŞAAT</t>
        </is>
      </c>
      <c r="D1762" s="115" t="inlineStr">
        <is>
          <t>34 DKL 798</t>
        </is>
      </c>
      <c r="E1762" s="115" t="inlineStr">
        <is>
          <t>HASAN BAYCA</t>
        </is>
      </c>
      <c r="F1762" s="115" t="n">
        <v>83833</v>
      </c>
      <c r="G1762" s="156" t="n"/>
      <c r="H1762" s="152" t="n">
        <v>225</v>
      </c>
      <c r="I1762" s="156" t="n"/>
      <c r="J1762" s="90" t="n"/>
      <c r="K1762" s="166" t="n"/>
      <c r="L1762" s="158">
        <f>+H1762*J1762</f>
        <v/>
      </c>
      <c r="M1762" s="159" t="n"/>
    </row>
    <row r="1763">
      <c r="A1763" s="114" t="n">
        <v>46152</v>
      </c>
      <c r="B1763" s="115" t="n">
        <v>4480</v>
      </c>
      <c r="C1763" s="115" t="inlineStr">
        <is>
          <t>SELİM İNŞAAT</t>
        </is>
      </c>
      <c r="D1763" s="115" t="inlineStr">
        <is>
          <t>34 DKL 798</t>
        </is>
      </c>
      <c r="E1763" s="115" t="inlineStr">
        <is>
          <t>HASAN BAYCA</t>
        </is>
      </c>
      <c r="F1763" s="115" t="n">
        <v>84056</v>
      </c>
      <c r="G1763" s="156" t="n"/>
      <c r="H1763" s="152" t="n">
        <v>221</v>
      </c>
      <c r="I1763" s="156" t="n"/>
      <c r="J1763" s="90" t="n"/>
      <c r="K1763" s="166" t="n"/>
      <c r="L1763" s="158">
        <f>+H1763*J1763</f>
        <v/>
      </c>
      <c r="M1763" s="159" t="n"/>
    </row>
    <row r="1764">
      <c r="A1764" s="114" t="n">
        <v>46157</v>
      </c>
      <c r="B1764" s="115" t="n">
        <v>4481</v>
      </c>
      <c r="C1764" s="115" t="inlineStr">
        <is>
          <t>SELİM İNŞAAT</t>
        </is>
      </c>
      <c r="D1764" s="115" t="inlineStr">
        <is>
          <t>34 DKL 798</t>
        </is>
      </c>
      <c r="E1764" s="115" t="inlineStr">
        <is>
          <t>HASAN BAYCA</t>
        </is>
      </c>
      <c r="F1764" s="115" t="n">
        <v>84296</v>
      </c>
      <c r="G1764" s="156" t="n"/>
      <c r="H1764" s="152" t="n">
        <v>240</v>
      </c>
      <c r="I1764" s="156" t="n"/>
      <c r="J1764" s="90" t="n"/>
      <c r="K1764" s="166" t="n"/>
      <c r="L1764" s="158">
        <f>+H1764*J1764</f>
        <v/>
      </c>
      <c r="M1764" s="159" t="n"/>
    </row>
    <row r="1765">
      <c r="A1765" s="114" t="n">
        <v>46148</v>
      </c>
      <c r="B1765" s="115" t="n">
        <v>314</v>
      </c>
      <c r="C1765" s="115" t="inlineStr">
        <is>
          <t>SELİM İNŞAAT</t>
        </is>
      </c>
      <c r="D1765" s="115" t="inlineStr">
        <is>
          <t>34 GER 445</t>
        </is>
      </c>
      <c r="E1765" s="115" t="inlineStr">
        <is>
          <t>MUSTAFA ERYİĞİT</t>
        </is>
      </c>
      <c r="F1765" s="115" t="n">
        <v>60580</v>
      </c>
      <c r="G1765" s="156" t="n"/>
      <c r="H1765" s="152" t="n">
        <v>236</v>
      </c>
      <c r="I1765" s="156" t="n"/>
      <c r="J1765" s="90" t="n"/>
      <c r="K1765" s="166" t="n"/>
      <c r="L1765" s="158">
        <f>+H1765*J1765</f>
        <v/>
      </c>
      <c r="M1765" s="159" t="n"/>
    </row>
    <row r="1766">
      <c r="A1766" s="114" t="n">
        <v>46154</v>
      </c>
      <c r="B1766" s="115" t="n">
        <v>315</v>
      </c>
      <c r="C1766" s="115" t="inlineStr">
        <is>
          <t>SELİM İNŞAAT</t>
        </is>
      </c>
      <c r="D1766" s="115" t="inlineStr">
        <is>
          <t>34 GER 445</t>
        </is>
      </c>
      <c r="E1766" s="115" t="inlineStr">
        <is>
          <t>MUSTAFA ERYİĞİT</t>
        </is>
      </c>
      <c r="F1766" s="115" t="n">
        <v>60825</v>
      </c>
      <c r="G1766" s="156" t="n"/>
      <c r="H1766" s="152" t="n">
        <v>214</v>
      </c>
      <c r="I1766" s="156" t="n"/>
      <c r="J1766" s="90" t="n"/>
      <c r="K1766" s="166" t="n"/>
      <c r="L1766" s="158">
        <f>+H1766*J1766</f>
        <v/>
      </c>
      <c r="M1766" s="159" t="n"/>
    </row>
    <row r="1767">
      <c r="A1767" s="114" t="n">
        <v>46157</v>
      </c>
      <c r="B1767" s="115" t="n">
        <v>316</v>
      </c>
      <c r="C1767" s="115" t="inlineStr">
        <is>
          <t>SELİM İNŞAAT</t>
        </is>
      </c>
      <c r="D1767" s="115" t="inlineStr">
        <is>
          <t>34 GER 445</t>
        </is>
      </c>
      <c r="E1767" s="115" t="inlineStr">
        <is>
          <t>MUSTAFA ERYİĞİT</t>
        </is>
      </c>
      <c r="F1767" s="115" t="n">
        <v>61083</v>
      </c>
      <c r="G1767" s="156" t="n"/>
      <c r="H1767" s="152" t="n">
        <v>239</v>
      </c>
      <c r="I1767" s="156" t="n"/>
      <c r="J1767" s="90" t="n"/>
      <c r="K1767" s="166" t="n"/>
      <c r="L1767" s="158">
        <f>+H1767*J1767</f>
        <v/>
      </c>
      <c r="M1767" s="159" t="n"/>
    </row>
    <row r="1768">
      <c r="A1768" s="114" t="n">
        <v>46149</v>
      </c>
      <c r="B1768" s="115" t="n">
        <v>560</v>
      </c>
      <c r="C1768" s="115" t="inlineStr">
        <is>
          <t>SELİM İNŞAAT</t>
        </is>
      </c>
      <c r="D1768" s="115" t="inlineStr">
        <is>
          <t>34 JGR 15</t>
        </is>
      </c>
      <c r="E1768" s="115" t="inlineStr">
        <is>
          <t>ÖNER DÜNDAR</t>
        </is>
      </c>
      <c r="F1768" s="115" t="n">
        <v>334737</v>
      </c>
      <c r="G1768" s="156" t="n"/>
      <c r="H1768" s="152" t="n">
        <v>80</v>
      </c>
      <c r="I1768" s="156" t="n"/>
      <c r="J1768" s="90" t="n"/>
      <c r="K1768" s="166" t="n"/>
      <c r="L1768" s="158">
        <f>+H1768*J1768</f>
        <v/>
      </c>
      <c r="M1768" s="159" t="n"/>
    </row>
    <row r="1769">
      <c r="A1769" s="114" t="n">
        <v>46156</v>
      </c>
      <c r="B1769" s="115" t="n">
        <v>561</v>
      </c>
      <c r="C1769" s="115" t="inlineStr">
        <is>
          <t>SELİM İNŞAAT</t>
        </is>
      </c>
      <c r="D1769" s="115" t="inlineStr">
        <is>
          <t>34 JGR 15</t>
        </is>
      </c>
      <c r="E1769" s="115" t="inlineStr">
        <is>
          <t>ÖNER DÜNDAR</t>
        </is>
      </c>
      <c r="F1769" s="115" t="n">
        <v>335098</v>
      </c>
      <c r="G1769" s="156" t="n"/>
      <c r="H1769" s="152" t="n">
        <v>66</v>
      </c>
      <c r="I1769" s="156" t="n"/>
      <c r="J1769" s="90" t="n"/>
      <c r="K1769" s="166" t="n"/>
      <c r="L1769" s="158">
        <f>+H1769*J1769</f>
        <v/>
      </c>
      <c r="M1769" s="159" t="n"/>
    </row>
    <row r="1770">
      <c r="A1770" s="114" t="n">
        <v>46150</v>
      </c>
      <c r="B1770" s="115" t="n">
        <v>1642</v>
      </c>
      <c r="C1770" s="115" t="inlineStr">
        <is>
          <t>SELİM İNŞAAT</t>
        </is>
      </c>
      <c r="D1770" s="115" t="inlineStr">
        <is>
          <t>34 VF 2620</t>
        </is>
      </c>
      <c r="E1770" s="115" t="inlineStr">
        <is>
          <t>RECEP SELİM</t>
        </is>
      </c>
      <c r="F1770" s="115" t="n">
        <v>206191</v>
      </c>
      <c r="G1770" s="156" t="n"/>
      <c r="H1770" s="152" t="n">
        <v>77</v>
      </c>
      <c r="I1770" s="156" t="n"/>
      <c r="J1770" s="90" t="n"/>
      <c r="K1770" s="166" t="n"/>
      <c r="L1770" s="158">
        <f>+H1770*J1770</f>
        <v/>
      </c>
      <c r="M1770" s="159" t="n"/>
    </row>
    <row r="1771">
      <c r="A1771" s="114" t="n">
        <v>46156</v>
      </c>
      <c r="B1771" s="115" t="n">
        <v>1643</v>
      </c>
      <c r="C1771" s="115" t="inlineStr">
        <is>
          <t>SELİM İNŞAAT</t>
        </is>
      </c>
      <c r="D1771" s="115" t="inlineStr">
        <is>
          <t>34 VF 2620</t>
        </is>
      </c>
      <c r="E1771" s="115" t="inlineStr">
        <is>
          <t>RECEP SELİM</t>
        </is>
      </c>
      <c r="F1771" s="115" t="n">
        <v>206491</v>
      </c>
      <c r="G1771" s="156" t="n"/>
      <c r="H1771" s="152" t="n">
        <v>62</v>
      </c>
      <c r="I1771" s="156" t="n"/>
      <c r="J1771" s="90" t="n"/>
      <c r="K1771" s="166" t="n"/>
      <c r="L1771" s="158">
        <f>+H1771*J1771</f>
        <v/>
      </c>
      <c r="M1771" s="159" t="n"/>
    </row>
    <row r="1772">
      <c r="A1772" s="114" t="n">
        <v>46150</v>
      </c>
      <c r="B1772" s="115" t="n">
        <v>1853</v>
      </c>
      <c r="C1772" s="115" t="inlineStr">
        <is>
          <t>SELİM İNŞAAT</t>
        </is>
      </c>
      <c r="D1772" s="115" t="inlineStr">
        <is>
          <t>34 GER 028</t>
        </is>
      </c>
      <c r="E1772" s="115" t="inlineStr">
        <is>
          <t>ABDULKERİM ERGEN</t>
        </is>
      </c>
      <c r="F1772" s="115" t="n">
        <v>63527</v>
      </c>
      <c r="G1772" s="156" t="n"/>
      <c r="H1772" s="152" t="n">
        <v>245</v>
      </c>
      <c r="I1772" s="156" t="n"/>
      <c r="J1772" s="90" t="n"/>
      <c r="K1772" s="166" t="n"/>
      <c r="L1772" s="158">
        <f>+H1772*J1772</f>
        <v/>
      </c>
      <c r="M1772" s="159" t="n"/>
    </row>
    <row r="1773">
      <c r="A1773" s="114" t="n">
        <v>46154</v>
      </c>
      <c r="B1773" s="115" t="n">
        <v>1854</v>
      </c>
      <c r="C1773" s="115" t="inlineStr">
        <is>
          <t>SELİM İNŞAAT</t>
        </is>
      </c>
      <c r="D1773" s="115" t="inlineStr">
        <is>
          <t>34 GER 028</t>
        </is>
      </c>
      <c r="E1773" s="115" t="inlineStr">
        <is>
          <t>ABDULKERİM ERGEN</t>
        </is>
      </c>
      <c r="F1773" s="115" t="n">
        <v>63836</v>
      </c>
      <c r="G1773" s="156" t="n"/>
      <c r="H1773" s="152" t="n">
        <v>219</v>
      </c>
      <c r="I1773" s="156" t="n"/>
      <c r="J1773" s="90" t="n"/>
      <c r="K1773" s="166" t="n"/>
      <c r="L1773" s="158">
        <f>+H1773*J1773</f>
        <v/>
      </c>
      <c r="M1773" s="159" t="n"/>
    </row>
    <row r="1774">
      <c r="A1774" s="114" t="n">
        <v>46148</v>
      </c>
      <c r="B1774" s="115" t="n">
        <v>2992</v>
      </c>
      <c r="C1774" s="115" t="inlineStr">
        <is>
          <t>SELİM İNŞAAT</t>
        </is>
      </c>
      <c r="D1774" s="115" t="inlineStr">
        <is>
          <t>34 DFE 454</t>
        </is>
      </c>
      <c r="E1774" s="115" t="inlineStr">
        <is>
          <t>HÜSEYİN ALIN</t>
        </is>
      </c>
      <c r="F1774" s="115" t="n">
        <v>177416</v>
      </c>
      <c r="G1774" s="156" t="n"/>
      <c r="H1774" s="152" t="n">
        <v>242</v>
      </c>
      <c r="I1774" s="156" t="n"/>
      <c r="J1774" s="90" t="n"/>
      <c r="K1774" s="166" t="n"/>
      <c r="L1774" s="158">
        <f>+H1774*J1774</f>
        <v/>
      </c>
      <c r="M1774" s="159" t="n"/>
    </row>
    <row r="1775">
      <c r="A1775" s="114" t="n">
        <v>46153</v>
      </c>
      <c r="B1775" s="115" t="n">
        <v>2993</v>
      </c>
      <c r="C1775" s="115" t="inlineStr">
        <is>
          <t>SELİM İNŞAAT</t>
        </is>
      </c>
      <c r="D1775" s="115" t="inlineStr">
        <is>
          <t>34 DFE 454</t>
        </is>
      </c>
      <c r="E1775" s="115" t="inlineStr">
        <is>
          <t>HÜSEYİN ALIN</t>
        </is>
      </c>
      <c r="F1775" s="115" t="n">
        <v>177654</v>
      </c>
      <c r="G1775" s="156" t="n"/>
      <c r="H1775" s="152" t="n">
        <v>230</v>
      </c>
      <c r="I1775" s="156" t="n"/>
      <c r="J1775" s="90" t="n"/>
      <c r="K1775" s="166" t="n"/>
      <c r="L1775" s="158">
        <f>+H1775*J1775</f>
        <v/>
      </c>
      <c r="M1775" s="159" t="n"/>
    </row>
    <row r="1776">
      <c r="A1776" s="114" t="n">
        <v>46144</v>
      </c>
      <c r="B1776" s="115" t="n">
        <v>1257</v>
      </c>
      <c r="C1776" s="115" t="inlineStr">
        <is>
          <t>AHMET SELİM TEMHA</t>
        </is>
      </c>
      <c r="D1776" s="115" t="inlineStr">
        <is>
          <t>34 PGT 251</t>
        </is>
      </c>
      <c r="E1776" s="115" t="inlineStr">
        <is>
          <t>ERSOY SIĞINMAZ</t>
        </is>
      </c>
      <c r="F1776" s="115" t="n"/>
      <c r="G1776" s="156" t="n"/>
      <c r="H1776" s="152" t="n">
        <v>61</v>
      </c>
      <c r="I1776" s="156" t="n"/>
      <c r="J1776" s="90" t="n"/>
      <c r="K1776" s="166" t="n"/>
      <c r="L1776" s="158">
        <f>+H1776*J1776</f>
        <v/>
      </c>
      <c r="M1776" s="159" t="n"/>
    </row>
    <row r="1777">
      <c r="A1777" s="114" t="n">
        <v>46146</v>
      </c>
      <c r="B1777" s="115" t="n">
        <v>1258</v>
      </c>
      <c r="C1777" s="115" t="inlineStr">
        <is>
          <t>AHMET SELİM TEMHA</t>
        </is>
      </c>
      <c r="D1777" s="115" t="inlineStr">
        <is>
          <t>MANİTO</t>
        </is>
      </c>
      <c r="E1777" s="115" t="inlineStr">
        <is>
          <t>TURGAY ÇIPLAK</t>
        </is>
      </c>
      <c r="F1777" s="115" t="n"/>
      <c r="G1777" s="156" t="n"/>
      <c r="H1777" s="152" t="n">
        <v>137</v>
      </c>
      <c r="I1777" s="156" t="n"/>
      <c r="J1777" s="90" t="n"/>
      <c r="K1777" s="166" t="n"/>
      <c r="L1777" s="158">
        <f>+H1777*J1777</f>
        <v/>
      </c>
      <c r="M1777" s="159" t="n"/>
    </row>
    <row r="1778">
      <c r="A1778" s="114" t="n">
        <v>46148</v>
      </c>
      <c r="B1778" s="115" t="n">
        <v>1259</v>
      </c>
      <c r="C1778" s="115" t="inlineStr">
        <is>
          <t>MAHMUT VİNÇ</t>
        </is>
      </c>
      <c r="D1778" s="115" t="inlineStr">
        <is>
          <t>34 AH 5401</t>
        </is>
      </c>
      <c r="E1778" s="115" t="inlineStr">
        <is>
          <t>HAMİT DEMİR</t>
        </is>
      </c>
      <c r="F1778" s="115" t="n"/>
      <c r="G1778" s="156" t="n"/>
      <c r="H1778" s="152" t="n">
        <v>69</v>
      </c>
      <c r="I1778" s="156" t="n"/>
      <c r="J1778" s="90" t="n"/>
      <c r="K1778" s="166" t="n"/>
      <c r="L1778" s="158">
        <f>+H1778*J1778</f>
        <v/>
      </c>
      <c r="M1778" s="159" t="n"/>
    </row>
    <row r="1779">
      <c r="A1779" s="114" t="n">
        <v>46148</v>
      </c>
      <c r="B1779" s="115" t="n">
        <v>1260</v>
      </c>
      <c r="C1779" s="115" t="inlineStr">
        <is>
          <t>RECEP SELİM OTOKURTARICI</t>
        </is>
      </c>
      <c r="D1779" s="115" t="inlineStr">
        <is>
          <t>34 GC 8658</t>
        </is>
      </c>
      <c r="E1779" s="115" t="inlineStr">
        <is>
          <t>RECEP SELİM</t>
        </is>
      </c>
      <c r="F1779" s="115" t="n"/>
      <c r="G1779" s="156" t="n"/>
      <c r="H1779" s="152" t="n">
        <v>70</v>
      </c>
      <c r="I1779" s="156" t="n"/>
      <c r="J1779" s="90" t="n"/>
      <c r="K1779" s="166" t="n"/>
      <c r="L1779" s="158">
        <f>+H1779*J1779</f>
        <v/>
      </c>
      <c r="M1779" s="159" t="n"/>
    </row>
    <row r="1780">
      <c r="A1780" s="114" t="n">
        <v>46148</v>
      </c>
      <c r="B1780" s="115" t="n">
        <v>1261</v>
      </c>
      <c r="C1780" s="115" t="inlineStr">
        <is>
          <t>AHMET SELİM TEMHA</t>
        </is>
      </c>
      <c r="D1780" s="115" t="inlineStr">
        <is>
          <t>34 PGT 251</t>
        </is>
      </c>
      <c r="E1780" s="115" t="inlineStr">
        <is>
          <t>ERSOY SIĞINMAZ</t>
        </is>
      </c>
      <c r="F1780" s="115" t="n"/>
      <c r="G1780" s="156" t="n"/>
      <c r="H1780" s="152" t="n">
        <v>62</v>
      </c>
      <c r="I1780" s="156" t="n"/>
      <c r="J1780" s="90" t="n"/>
      <c r="K1780" s="166" t="n"/>
      <c r="L1780" s="158">
        <f>+H1780*J1780</f>
        <v/>
      </c>
      <c r="M1780" s="159" t="n"/>
    </row>
    <row r="1781">
      <c r="A1781" s="114" t="n">
        <v>46149</v>
      </c>
      <c r="B1781" s="115" t="n">
        <v>1262</v>
      </c>
      <c r="C1781" s="115" t="inlineStr">
        <is>
          <t>AHMET SELİM TEMHA</t>
        </is>
      </c>
      <c r="D1781" s="115" t="inlineStr">
        <is>
          <t>34 PGT 251</t>
        </is>
      </c>
      <c r="E1781" s="115" t="inlineStr">
        <is>
          <t>ERSOY SIĞINMAZ</t>
        </is>
      </c>
      <c r="F1781" s="115" t="n"/>
      <c r="G1781" s="156" t="n"/>
      <c r="H1781" s="152" t="n">
        <v>51</v>
      </c>
      <c r="I1781" s="156" t="n"/>
      <c r="J1781" s="90" t="n"/>
      <c r="K1781" s="166" t="n"/>
      <c r="L1781" s="158">
        <f>+H1781*J1781</f>
        <v/>
      </c>
      <c r="M1781" s="159" t="n"/>
    </row>
    <row r="1782">
      <c r="A1782" s="114" t="n">
        <v>46151</v>
      </c>
      <c r="B1782" s="115" t="n">
        <v>1263</v>
      </c>
      <c r="C1782" s="115" t="inlineStr">
        <is>
          <t>ENES VİNÇ</t>
        </is>
      </c>
      <c r="D1782" s="115" t="inlineStr">
        <is>
          <t>34 TB 926</t>
        </is>
      </c>
      <c r="E1782" s="115" t="inlineStr">
        <is>
          <t>ENES SELİM</t>
        </is>
      </c>
      <c r="F1782" s="115" t="n"/>
      <c r="G1782" s="156" t="n"/>
      <c r="H1782" s="152" t="n">
        <v>230</v>
      </c>
      <c r="I1782" s="156" t="n"/>
      <c r="J1782" s="90" t="n"/>
      <c r="K1782" s="166" t="n"/>
      <c r="L1782" s="158">
        <f>+H1782*J1782</f>
        <v/>
      </c>
      <c r="M1782" s="159" t="n"/>
    </row>
    <row r="1783">
      <c r="A1783" s="114" t="n">
        <v>46151</v>
      </c>
      <c r="B1783" s="115" t="n">
        <v>1264</v>
      </c>
      <c r="C1783" s="115" t="inlineStr">
        <is>
          <t>MAHMUT VİNÇ</t>
        </is>
      </c>
      <c r="D1783" s="115" t="inlineStr">
        <is>
          <t>34 AH 5401</t>
        </is>
      </c>
      <c r="E1783" s="115" t="inlineStr">
        <is>
          <t>YASİN DEMİR</t>
        </is>
      </c>
      <c r="F1783" s="115" t="n"/>
      <c r="G1783" s="156" t="n"/>
      <c r="H1783" s="152" t="n">
        <v>74</v>
      </c>
      <c r="I1783" s="156" t="n"/>
      <c r="J1783" s="90" t="n"/>
      <c r="K1783" s="166" t="n"/>
      <c r="L1783" s="158">
        <f>+H1783*J1783</f>
        <v/>
      </c>
      <c r="M1783" s="159" t="n"/>
    </row>
    <row r="1784">
      <c r="A1784" s="114" t="n">
        <v>46151</v>
      </c>
      <c r="B1784" s="115" t="n">
        <v>1265</v>
      </c>
      <c r="C1784" s="115" t="inlineStr">
        <is>
          <t>AHMET SELİM TEMHA</t>
        </is>
      </c>
      <c r="D1784" s="115" t="inlineStr">
        <is>
          <t>MANİTO</t>
        </is>
      </c>
      <c r="E1784" s="115" t="inlineStr">
        <is>
          <t>TURGAY ÇIPLAK</t>
        </is>
      </c>
      <c r="F1784" s="115" t="n"/>
      <c r="G1784" s="156" t="n"/>
      <c r="H1784" s="152" t="n">
        <v>108</v>
      </c>
      <c r="I1784" s="156" t="n"/>
      <c r="J1784" s="90" t="n"/>
      <c r="K1784" s="166" t="n"/>
      <c r="L1784" s="158">
        <f>+H1784*J1784</f>
        <v/>
      </c>
      <c r="M1784" s="159" t="n"/>
    </row>
    <row r="1785">
      <c r="A1785" s="114" t="n">
        <v>46151</v>
      </c>
      <c r="B1785" s="115" t="n">
        <v>1266</v>
      </c>
      <c r="C1785" s="115" t="inlineStr">
        <is>
          <t>AGA HAFRİYAT</t>
        </is>
      </c>
      <c r="D1785" s="115" t="inlineStr">
        <is>
          <t>34 AGA 254</t>
        </is>
      </c>
      <c r="E1785" s="115" t="inlineStr">
        <is>
          <t>METİN ERYİĞİT</t>
        </is>
      </c>
      <c r="F1785" s="115" t="n"/>
      <c r="G1785" s="156" t="n"/>
      <c r="H1785" s="152" t="n">
        <v>76</v>
      </c>
      <c r="I1785" s="156" t="n"/>
      <c r="J1785" s="90" t="n"/>
      <c r="K1785" s="166" t="n"/>
      <c r="L1785" s="158">
        <f>+H1785*J1785</f>
        <v/>
      </c>
      <c r="M1785" s="159" t="n"/>
    </row>
    <row r="1786">
      <c r="A1786" s="114" t="n">
        <v>46153</v>
      </c>
      <c r="B1786" s="115" t="n">
        <v>1267</v>
      </c>
      <c r="C1786" s="115" t="inlineStr">
        <is>
          <t>AHMET SELİM TEMHA</t>
        </is>
      </c>
      <c r="D1786" s="115" t="inlineStr">
        <is>
          <t>BİDON</t>
        </is>
      </c>
      <c r="E1786" s="115" t="inlineStr">
        <is>
          <t>SIVACI İSMAİL</t>
        </is>
      </c>
      <c r="F1786" s="115" t="n"/>
      <c r="G1786" s="156" t="n"/>
      <c r="H1786" s="152" t="n">
        <v>31</v>
      </c>
      <c r="I1786" s="156" t="n"/>
      <c r="J1786" s="90" t="n"/>
      <c r="K1786" s="166" t="n"/>
      <c r="L1786" s="158">
        <f>+H1786*J1786</f>
        <v/>
      </c>
      <c r="M1786" s="159" t="n"/>
    </row>
    <row r="1787">
      <c r="A1787" s="114" t="n">
        <v>46154</v>
      </c>
      <c r="B1787" s="115" t="n">
        <v>1268</v>
      </c>
      <c r="C1787" s="115" t="inlineStr">
        <is>
          <t>SELİM İNŞAAT</t>
        </is>
      </c>
      <c r="D1787" s="115" t="inlineStr">
        <is>
          <t>34 FVU 827</t>
        </is>
      </c>
      <c r="E1787" s="115" t="inlineStr">
        <is>
          <t>YILMAZ ÇELEBİ</t>
        </is>
      </c>
      <c r="F1787" s="115" t="n"/>
      <c r="G1787" s="156" t="n"/>
      <c r="H1787" s="152" t="n">
        <v>30</v>
      </c>
      <c r="I1787" s="156" t="n"/>
      <c r="J1787" s="90" t="n"/>
      <c r="K1787" s="166" t="n"/>
      <c r="L1787" s="158">
        <f>+H1787*J1787</f>
        <v/>
      </c>
      <c r="M1787" s="159" t="n"/>
    </row>
    <row r="1788">
      <c r="A1788" s="114" t="n">
        <v>46154</v>
      </c>
      <c r="B1788" s="115" t="n">
        <v>1269</v>
      </c>
      <c r="C1788" s="115" t="inlineStr">
        <is>
          <t>AHMET SELİM TEMHA</t>
        </is>
      </c>
      <c r="D1788" s="115" t="inlineStr">
        <is>
          <t>34 PGT 251</t>
        </is>
      </c>
      <c r="E1788" s="115" t="inlineStr">
        <is>
          <t>ERSOY SIĞINMAZ</t>
        </is>
      </c>
      <c r="F1788" s="115" t="n"/>
      <c r="G1788" s="156" t="n"/>
      <c r="H1788" s="152" t="n">
        <v>39</v>
      </c>
      <c r="I1788" s="156" t="n"/>
      <c r="J1788" s="90" t="n"/>
      <c r="K1788" s="166" t="n"/>
      <c r="L1788" s="158">
        <f>+H1788*J1788</f>
        <v/>
      </c>
      <c r="M1788" s="159" t="n"/>
    </row>
    <row r="1789">
      <c r="A1789" s="114" t="n">
        <v>46156</v>
      </c>
      <c r="B1789" s="115" t="n">
        <v>1270</v>
      </c>
      <c r="C1789" s="115" t="inlineStr">
        <is>
          <t>AHMET SELİM TEMHA</t>
        </is>
      </c>
      <c r="D1789" s="115" t="inlineStr">
        <is>
          <t>34 PGT 251</t>
        </is>
      </c>
      <c r="E1789" s="115" t="inlineStr">
        <is>
          <t>ERSOY SIĞINMAZ</t>
        </is>
      </c>
      <c r="F1789" s="115" t="n"/>
      <c r="G1789" s="156" t="n"/>
      <c r="H1789" s="152" t="n">
        <v>45</v>
      </c>
      <c r="I1789" s="156" t="n"/>
      <c r="J1789" s="90" t="n"/>
      <c r="K1789" s="166" t="n"/>
      <c r="L1789" s="158">
        <f>+H1789*J1789</f>
        <v/>
      </c>
      <c r="M1789" s="159" t="n"/>
    </row>
    <row r="1790">
      <c r="A1790" s="114" t="n">
        <v>46158</v>
      </c>
      <c r="B1790" s="115" t="n">
        <v>1271</v>
      </c>
      <c r="C1790" s="115" t="inlineStr">
        <is>
          <t>MEGA VARLIK</t>
        </is>
      </c>
      <c r="D1790" s="115" t="inlineStr">
        <is>
          <t>FORKLİFT</t>
        </is>
      </c>
      <c r="E1790" s="115" t="inlineStr">
        <is>
          <t>FAHRİ</t>
        </is>
      </c>
      <c r="F1790" s="115" t="n"/>
      <c r="G1790" s="156" t="n"/>
      <c r="H1790" s="152" t="n">
        <v>41</v>
      </c>
      <c r="I1790" s="156" t="n"/>
      <c r="J1790" s="90" t="n"/>
      <c r="K1790" s="166" t="n"/>
      <c r="L1790" s="158">
        <f>+H1790*J1790</f>
        <v/>
      </c>
      <c r="M1790" s="159" t="n"/>
    </row>
    <row r="1791">
      <c r="A1791" s="114" t="n">
        <v>46158</v>
      </c>
      <c r="B1791" s="115" t="n">
        <v>1272</v>
      </c>
      <c r="C1791" s="115" t="inlineStr">
        <is>
          <t>AHMET SELİM TEMHA</t>
        </is>
      </c>
      <c r="D1791" s="115" t="inlineStr">
        <is>
          <t>FORKLİFT</t>
        </is>
      </c>
      <c r="E1791" s="115" t="inlineStr">
        <is>
          <t>OĞUZHAN</t>
        </is>
      </c>
      <c r="F1791" s="115" t="n"/>
      <c r="G1791" s="156" t="n"/>
      <c r="H1791" s="152" t="n">
        <v>37</v>
      </c>
      <c r="I1791" s="156" t="n"/>
      <c r="J1791" s="90" t="n"/>
      <c r="K1791" s="166" t="n"/>
      <c r="L1791" s="158">
        <f>+H1791*J1791</f>
        <v/>
      </c>
      <c r="M1791" s="159" t="n"/>
    </row>
    <row r="1792">
      <c r="A1792" s="114" t="n">
        <v>46150</v>
      </c>
      <c r="B1792" s="115" t="n">
        <v>2899</v>
      </c>
      <c r="C1792" s="115" t="inlineStr">
        <is>
          <t>HASAN ZEMİN</t>
        </is>
      </c>
      <c r="D1792" s="115" t="inlineStr">
        <is>
          <t>KAZIK MAKİNESİ</t>
        </is>
      </c>
      <c r="E1792" s="115" t="n"/>
      <c r="F1792" s="115" t="n"/>
      <c r="G1792" s="156" t="n"/>
      <c r="H1792" s="152" t="n">
        <v>573</v>
      </c>
      <c r="I1792" s="156" t="n"/>
      <c r="J1792" s="90" t="n"/>
      <c r="K1792" s="166" t="n"/>
      <c r="L1792" s="158">
        <f>+H1792*J1792</f>
        <v/>
      </c>
      <c r="M1792" s="159" t="n"/>
    </row>
    <row r="1793">
      <c r="A1793" s="114" t="n">
        <v>46151</v>
      </c>
      <c r="B1793" s="115" t="n">
        <v>2900</v>
      </c>
      <c r="C1793" s="115" t="inlineStr">
        <is>
          <t>HASAN ZEMİN</t>
        </is>
      </c>
      <c r="D1793" s="115" t="inlineStr">
        <is>
          <t>KAZIK MAKİNESİ</t>
        </is>
      </c>
      <c r="E1793" s="115" t="n"/>
      <c r="F1793" s="115" t="n"/>
      <c r="G1793" s="156" t="n"/>
      <c r="H1793" s="152" t="n">
        <v>373</v>
      </c>
      <c r="I1793" s="156" t="n"/>
      <c r="J1793" s="90" t="n"/>
      <c r="K1793" s="166" t="n"/>
      <c r="L1793" s="158">
        <f>+H1793*J1793</f>
        <v/>
      </c>
      <c r="M1793" s="159" t="n"/>
    </row>
    <row r="1794">
      <c r="A1794" s="114" t="n">
        <v>46153</v>
      </c>
      <c r="B1794" s="115" t="n">
        <v>2901</v>
      </c>
      <c r="C1794" s="115" t="inlineStr">
        <is>
          <t>HASAN ZEMİN</t>
        </is>
      </c>
      <c r="D1794" s="115" t="inlineStr">
        <is>
          <t>KAZIK MAKİNESİ</t>
        </is>
      </c>
      <c r="E1794" s="115" t="n"/>
      <c r="F1794" s="115" t="n"/>
      <c r="G1794" s="156" t="n"/>
      <c r="H1794" s="152" t="n">
        <v>520</v>
      </c>
      <c r="I1794" s="156" t="n"/>
      <c r="J1794" s="90" t="n"/>
      <c r="K1794" s="166" t="n"/>
      <c r="L1794" s="158">
        <f>+H1794*J1794</f>
        <v/>
      </c>
      <c r="M1794" s="159" t="n"/>
    </row>
    <row r="1795">
      <c r="A1795" s="114" t="n">
        <v>46157</v>
      </c>
      <c r="B1795" s="115" t="n">
        <v>2902</v>
      </c>
      <c r="C1795" s="115" t="inlineStr">
        <is>
          <t>HASAN ZEMİN</t>
        </is>
      </c>
      <c r="D1795" s="115" t="inlineStr">
        <is>
          <t>KAZIK MAKİNESİ</t>
        </is>
      </c>
      <c r="E1795" s="115" t="n"/>
      <c r="F1795" s="115" t="n"/>
      <c r="G1795" s="156" t="n"/>
      <c r="H1795" s="152" t="n">
        <v>436</v>
      </c>
      <c r="I1795" s="156" t="n"/>
      <c r="J1795" s="90" t="n"/>
      <c r="K1795" s="166" t="n"/>
      <c r="L1795" s="158">
        <f>+H1795*J1795</f>
        <v/>
      </c>
      <c r="M1795" s="159" t="n"/>
    </row>
    <row r="1796">
      <c r="A1796" s="114" t="n">
        <v>46158</v>
      </c>
      <c r="B1796" s="115" t="n">
        <v>2903</v>
      </c>
      <c r="C1796" s="115" t="inlineStr">
        <is>
          <t>HASAN ZEMİN</t>
        </is>
      </c>
      <c r="D1796" s="115" t="inlineStr">
        <is>
          <t>KAZIK MAKİNESİ</t>
        </is>
      </c>
      <c r="E1796" s="115" t="n"/>
      <c r="F1796" s="115" t="n"/>
      <c r="G1796" s="156" t="n"/>
      <c r="H1796" s="152" t="n">
        <v>270</v>
      </c>
      <c r="I1796" s="156" t="n"/>
      <c r="J1796" s="90" t="n"/>
      <c r="K1796" s="166" t="n"/>
      <c r="L1796" s="158">
        <f>+H1796*J1796</f>
        <v/>
      </c>
      <c r="M1796" s="159" t="n"/>
    </row>
    <row r="1797">
      <c r="A1797" s="114" t="n">
        <v>46158</v>
      </c>
      <c r="B1797" s="115" t="n">
        <v>2904</v>
      </c>
      <c r="C1797" s="115" t="inlineStr">
        <is>
          <t>HASAN ZEMİN</t>
        </is>
      </c>
      <c r="D1797" s="115" t="inlineStr">
        <is>
          <t>KAZIK MAKİNESİ</t>
        </is>
      </c>
      <c r="E1797" s="115" t="n"/>
      <c r="F1797" s="115" t="n"/>
      <c r="G1797" s="156" t="n"/>
      <c r="H1797" s="152" t="n">
        <v>135</v>
      </c>
      <c r="I1797" s="156" t="n"/>
      <c r="J1797" s="90" t="n"/>
      <c r="K1797" s="166" t="n"/>
      <c r="L1797" s="158">
        <f>+H1797*J1797</f>
        <v/>
      </c>
      <c r="M1797" s="159" t="n"/>
    </row>
    <row r="1798">
      <c r="A1798" s="114" t="n">
        <v>46144</v>
      </c>
      <c r="B1798" s="115" t="n">
        <v>1807</v>
      </c>
      <c r="C1798" s="115" t="inlineStr">
        <is>
          <t>AZGÜN YAPI</t>
        </is>
      </c>
      <c r="D1798" s="115" t="inlineStr">
        <is>
          <t>34 MKT 593</t>
        </is>
      </c>
      <c r="E1798" s="115" t="inlineStr">
        <is>
          <t>TURGUT ÇATAL</t>
        </is>
      </c>
      <c r="F1798" s="115" t="n"/>
      <c r="G1798" s="156" t="n"/>
      <c r="H1798" s="152" t="n">
        <v>342</v>
      </c>
      <c r="I1798" s="156" t="n"/>
      <c r="J1798" s="90" t="n"/>
      <c r="K1798" s="166" t="n"/>
      <c r="L1798" s="158">
        <f>+H1798*J1798</f>
        <v/>
      </c>
      <c r="M1798" s="159" t="n"/>
    </row>
    <row r="1799">
      <c r="A1799" s="114" t="n">
        <v>46147</v>
      </c>
      <c r="B1799" s="115" t="n">
        <v>1808</v>
      </c>
      <c r="C1799" s="115" t="inlineStr">
        <is>
          <t>AZGÜN YAPI</t>
        </is>
      </c>
      <c r="D1799" s="115" t="inlineStr">
        <is>
          <t>34 MKT 593</t>
        </is>
      </c>
      <c r="E1799" s="115" t="inlineStr">
        <is>
          <t>TURGUT ÇATAL</t>
        </is>
      </c>
      <c r="F1799" s="115" t="n"/>
      <c r="G1799" s="156" t="n"/>
      <c r="H1799" s="152" t="n">
        <v>290</v>
      </c>
      <c r="I1799" s="156" t="n"/>
      <c r="J1799" s="90" t="n"/>
      <c r="K1799" s="166" t="n"/>
      <c r="L1799" s="158">
        <f>+H1799*J1799</f>
        <v/>
      </c>
      <c r="M1799" s="159" t="n"/>
    </row>
    <row r="1800">
      <c r="A1800" s="114" t="n">
        <v>46149</v>
      </c>
      <c r="B1800" s="115" t="n">
        <v>1809</v>
      </c>
      <c r="C1800" s="115" t="inlineStr">
        <is>
          <t>AZGÜN YAPI</t>
        </is>
      </c>
      <c r="D1800" s="115" t="inlineStr">
        <is>
          <t>34 MKT 593</t>
        </is>
      </c>
      <c r="E1800" s="115" t="inlineStr">
        <is>
          <t>TURGUT ÇATAL</t>
        </is>
      </c>
      <c r="F1800" s="115" t="n"/>
      <c r="G1800" s="156" t="n"/>
      <c r="H1800" s="152" t="n">
        <v>407</v>
      </c>
      <c r="I1800" s="156" t="n"/>
      <c r="J1800" s="90" t="n"/>
      <c r="K1800" s="166" t="n"/>
      <c r="L1800" s="158">
        <f>+H1800*J1800</f>
        <v/>
      </c>
      <c r="M1800" s="159" t="n"/>
    </row>
    <row r="1801">
      <c r="A1801" s="114" t="n">
        <v>46151</v>
      </c>
      <c r="B1801" s="115" t="n">
        <v>1810</v>
      </c>
      <c r="C1801" s="115" t="inlineStr">
        <is>
          <t>AZGÜN YAPI</t>
        </is>
      </c>
      <c r="D1801" s="115" t="inlineStr">
        <is>
          <t>34 MKT 593</t>
        </is>
      </c>
      <c r="E1801" s="115" t="inlineStr">
        <is>
          <t>TURGUT ÇATAL</t>
        </is>
      </c>
      <c r="F1801" s="115" t="n"/>
      <c r="G1801" s="156" t="n"/>
      <c r="H1801" s="152" t="n">
        <v>404</v>
      </c>
      <c r="I1801" s="156" t="n"/>
      <c r="J1801" s="90" t="n"/>
      <c r="K1801" s="166" t="n"/>
      <c r="L1801" s="158">
        <f>+H1801*J1801</f>
        <v/>
      </c>
      <c r="M1801" s="159" t="n"/>
    </row>
    <row r="1802">
      <c r="A1802" s="114" t="n">
        <v>46154</v>
      </c>
      <c r="B1802" s="115" t="n">
        <v>1811</v>
      </c>
      <c r="C1802" s="115" t="inlineStr">
        <is>
          <t>AZGÜN YAPI</t>
        </is>
      </c>
      <c r="D1802" s="115" t="inlineStr">
        <is>
          <t>34 MKT 593</t>
        </is>
      </c>
      <c r="E1802" s="115" t="inlineStr">
        <is>
          <t>TURGUT ÇATAL</t>
        </is>
      </c>
      <c r="F1802" s="115" t="n"/>
      <c r="G1802" s="156" t="n"/>
      <c r="H1802" s="152" t="n">
        <v>340</v>
      </c>
      <c r="I1802" s="156" t="n"/>
      <c r="J1802" s="90" t="n"/>
      <c r="K1802" s="166" t="n"/>
      <c r="L1802" s="158">
        <f>+H1802*J1802</f>
        <v/>
      </c>
      <c r="M1802" s="159" t="n"/>
    </row>
    <row r="1803">
      <c r="A1803" s="114" t="n">
        <v>46156</v>
      </c>
      <c r="B1803" s="115" t="n">
        <v>1812</v>
      </c>
      <c r="C1803" s="115" t="inlineStr">
        <is>
          <t>AZGÜN YAPI</t>
        </is>
      </c>
      <c r="D1803" s="115" t="inlineStr">
        <is>
          <t>34 MKT 593</t>
        </is>
      </c>
      <c r="E1803" s="115" t="inlineStr">
        <is>
          <t>TURGUT ÇATAL</t>
        </is>
      </c>
      <c r="F1803" s="115" t="n"/>
      <c r="G1803" s="156" t="n"/>
      <c r="H1803" s="152" t="n">
        <v>317</v>
      </c>
      <c r="I1803" s="156" t="n"/>
      <c r="J1803" s="90" t="n"/>
      <c r="K1803" s="166" t="n"/>
      <c r="L1803" s="158">
        <f>+H1803*J1803</f>
        <v/>
      </c>
      <c r="M1803" s="159" t="n"/>
    </row>
    <row r="1804">
      <c r="A1804" s="114" t="n">
        <v>46157</v>
      </c>
      <c r="B1804" s="115" t="n">
        <v>1813</v>
      </c>
      <c r="C1804" s="115" t="inlineStr">
        <is>
          <t>AZGÜN YAPI</t>
        </is>
      </c>
      <c r="D1804" s="115" t="inlineStr">
        <is>
          <t>34 MKT 593</t>
        </is>
      </c>
      <c r="E1804" s="115" t="inlineStr">
        <is>
          <t>TURGUT ÇATAL</t>
        </is>
      </c>
      <c r="F1804" s="115" t="n"/>
      <c r="G1804" s="156" t="n"/>
      <c r="H1804" s="152" t="n">
        <v>236</v>
      </c>
      <c r="I1804" s="156" t="n"/>
      <c r="J1804" s="90" t="n"/>
      <c r="K1804" s="166" t="n"/>
      <c r="L1804" s="158">
        <f>+H1804*J1804</f>
        <v/>
      </c>
      <c r="M1804" s="159" t="n"/>
    </row>
    <row r="1805">
      <c r="A1805" s="114" t="n">
        <v>46144</v>
      </c>
      <c r="B1805" s="115" t="n">
        <v>3300</v>
      </c>
      <c r="C1805" s="115" t="inlineStr">
        <is>
          <t>AZGÜN YAPI</t>
        </is>
      </c>
      <c r="D1805" s="115" t="inlineStr">
        <is>
          <t xml:space="preserve">34 DTV 263 </t>
        </is>
      </c>
      <c r="E1805" s="115" t="inlineStr">
        <is>
          <t>DURSUN ALİ GÜREK</t>
        </is>
      </c>
      <c r="F1805" s="115" t="n"/>
      <c r="G1805" s="156" t="n"/>
      <c r="H1805" s="152" t="n">
        <v>435</v>
      </c>
      <c r="I1805" s="156" t="n"/>
      <c r="J1805" s="90" t="n"/>
      <c r="K1805" s="166" t="n"/>
      <c r="L1805" s="158">
        <f>+H1805*J1805</f>
        <v/>
      </c>
      <c r="M1805" s="159" t="n"/>
    </row>
    <row r="1806">
      <c r="A1806" s="114" t="n">
        <v>46146</v>
      </c>
      <c r="B1806" s="115" t="n">
        <v>3301</v>
      </c>
      <c r="C1806" s="115" t="inlineStr">
        <is>
          <t>AZGÜN YAPI</t>
        </is>
      </c>
      <c r="D1806" s="115" t="inlineStr">
        <is>
          <t xml:space="preserve">34 DTV 263 </t>
        </is>
      </c>
      <c r="E1806" s="115" t="inlineStr">
        <is>
          <t>DURSUN ALİ GÜREK</t>
        </is>
      </c>
      <c r="F1806" s="115" t="n"/>
      <c r="G1806" s="156" t="n"/>
      <c r="H1806" s="152" t="n">
        <v>291</v>
      </c>
      <c r="I1806" s="156" t="n"/>
      <c r="J1806" s="90" t="n"/>
      <c r="K1806" s="166" t="n"/>
      <c r="L1806" s="158">
        <f>+H1806*J1806</f>
        <v/>
      </c>
      <c r="M1806" s="159" t="n"/>
    </row>
    <row r="1807">
      <c r="A1807" s="114" t="n">
        <v>46148</v>
      </c>
      <c r="B1807" s="115" t="n">
        <v>3302</v>
      </c>
      <c r="C1807" s="115" t="inlineStr">
        <is>
          <t>AZGÜN YAPI</t>
        </is>
      </c>
      <c r="D1807" s="115" t="inlineStr">
        <is>
          <t xml:space="preserve">34 DTV 263 </t>
        </is>
      </c>
      <c r="E1807" s="115" t="inlineStr">
        <is>
          <t>DURSUN ALİ GÜREK</t>
        </is>
      </c>
      <c r="F1807" s="115" t="n"/>
      <c r="G1807" s="156" t="n"/>
      <c r="H1807" s="152" t="n">
        <v>371</v>
      </c>
      <c r="I1807" s="156" t="n"/>
      <c r="J1807" s="90" t="n"/>
      <c r="K1807" s="166" t="n"/>
      <c r="L1807" s="158">
        <f>+H1807*J1807</f>
        <v/>
      </c>
      <c r="M1807" s="159" t="n"/>
    </row>
    <row r="1808">
      <c r="A1808" s="114" t="n">
        <v>46150</v>
      </c>
      <c r="B1808" s="115" t="n">
        <v>3303</v>
      </c>
      <c r="C1808" s="115" t="inlineStr">
        <is>
          <t>AZGÜN YAPI</t>
        </is>
      </c>
      <c r="D1808" s="115" t="inlineStr">
        <is>
          <t xml:space="preserve">34 DTV 263 </t>
        </is>
      </c>
      <c r="E1808" s="115" t="inlineStr">
        <is>
          <t>DURSUN ALİ GÜREK</t>
        </is>
      </c>
      <c r="F1808" s="115" t="n"/>
      <c r="G1808" s="156" t="n"/>
      <c r="H1808" s="152" t="n">
        <v>399</v>
      </c>
      <c r="I1808" s="156" t="n"/>
      <c r="J1808" s="90" t="n"/>
      <c r="K1808" s="166" t="n"/>
      <c r="L1808" s="158">
        <f>+H1808*J1808</f>
        <v/>
      </c>
      <c r="M1808" s="159" t="n"/>
    </row>
    <row r="1809">
      <c r="A1809" s="114" t="n">
        <v>46154</v>
      </c>
      <c r="B1809" s="115" t="n">
        <v>3304</v>
      </c>
      <c r="C1809" s="115" t="inlineStr">
        <is>
          <t>AZGÜN YAPI</t>
        </is>
      </c>
      <c r="D1809" s="115" t="inlineStr">
        <is>
          <t xml:space="preserve">34 DTV 263 </t>
        </is>
      </c>
      <c r="E1809" s="115" t="inlineStr">
        <is>
          <t>DURSUN ALİ GÜREK</t>
        </is>
      </c>
      <c r="F1809" s="115" t="n"/>
      <c r="G1809" s="156" t="n"/>
      <c r="H1809" s="152" t="n">
        <v>310</v>
      </c>
      <c r="I1809" s="156" t="n"/>
      <c r="J1809" s="90" t="n"/>
      <c r="K1809" s="166" t="n"/>
      <c r="L1809" s="158">
        <f>+H1809*J1809</f>
        <v/>
      </c>
      <c r="M1809" s="159" t="n"/>
    </row>
    <row r="1810">
      <c r="A1810" s="114" t="n">
        <v>46156</v>
      </c>
      <c r="B1810" s="115" t="n">
        <v>3305</v>
      </c>
      <c r="C1810" s="115" t="inlineStr">
        <is>
          <t>AZGÜN YAPI</t>
        </is>
      </c>
      <c r="D1810" s="115" t="inlineStr">
        <is>
          <t xml:space="preserve">34 DTV 263 </t>
        </is>
      </c>
      <c r="E1810" s="115" t="inlineStr">
        <is>
          <t>DURSUN ALİ GÜREK</t>
        </is>
      </c>
      <c r="F1810" s="115" t="n"/>
      <c r="G1810" s="156" t="n"/>
      <c r="H1810" s="152" t="n">
        <v>362</v>
      </c>
      <c r="I1810" s="156" t="n"/>
      <c r="J1810" s="90" t="n"/>
      <c r="K1810" s="166" t="n"/>
      <c r="L1810" s="158">
        <f>+H1810*J1810</f>
        <v/>
      </c>
      <c r="M1810" s="159" t="n"/>
    </row>
    <row r="1811">
      <c r="A1811" s="114" t="n">
        <v>46144</v>
      </c>
      <c r="B1811" s="115" t="n">
        <v>1411</v>
      </c>
      <c r="C1811" s="115" t="inlineStr">
        <is>
          <t>AZGÜN YAPI</t>
        </is>
      </c>
      <c r="D1811" s="115" t="inlineStr">
        <is>
          <t>34 MKT 859</t>
        </is>
      </c>
      <c r="E1811" s="115" t="inlineStr">
        <is>
          <t>İRFAN DAĞLAR</t>
        </is>
      </c>
      <c r="F1811" s="115" t="n"/>
      <c r="G1811" s="156" t="n"/>
      <c r="H1811" s="152" t="n">
        <v>354</v>
      </c>
      <c r="I1811" s="156" t="n"/>
      <c r="J1811" s="90" t="n"/>
      <c r="K1811" s="166" t="n"/>
      <c r="L1811" s="158">
        <f>+H1811*J1811</f>
        <v/>
      </c>
      <c r="M1811" s="159" t="n"/>
    </row>
    <row r="1812">
      <c r="A1812" s="114" t="n">
        <v>46147</v>
      </c>
      <c r="B1812" s="115" t="n">
        <v>1412</v>
      </c>
      <c r="C1812" s="115" t="inlineStr">
        <is>
          <t>AZGÜN YAPI</t>
        </is>
      </c>
      <c r="D1812" s="115" t="inlineStr">
        <is>
          <t>34 MKT 859</t>
        </is>
      </c>
      <c r="E1812" s="115" t="inlineStr">
        <is>
          <t>İRFAN DAĞLAR</t>
        </is>
      </c>
      <c r="F1812" s="115" t="n"/>
      <c r="G1812" s="156" t="n"/>
      <c r="H1812" s="152" t="n">
        <v>170</v>
      </c>
      <c r="I1812" s="156" t="n"/>
      <c r="J1812" s="90" t="n"/>
      <c r="K1812" s="166" t="n"/>
      <c r="L1812" s="158">
        <f>+H1812*J1812</f>
        <v/>
      </c>
      <c r="M1812" s="159" t="n"/>
    </row>
    <row r="1813">
      <c r="A1813" s="114" t="n">
        <v>46148</v>
      </c>
      <c r="B1813" s="115" t="n">
        <v>1413</v>
      </c>
      <c r="C1813" s="115" t="inlineStr">
        <is>
          <t>AZGÜN YAPI</t>
        </is>
      </c>
      <c r="D1813" s="115" t="inlineStr">
        <is>
          <t>34 MKT 859</t>
        </is>
      </c>
      <c r="E1813" s="115" t="inlineStr">
        <is>
          <t>İRFAN DAĞLAR</t>
        </is>
      </c>
      <c r="F1813" s="115" t="n"/>
      <c r="G1813" s="156" t="n"/>
      <c r="H1813" s="152" t="n">
        <v>265</v>
      </c>
      <c r="I1813" s="156" t="n"/>
      <c r="J1813" s="90" t="n"/>
      <c r="K1813" s="166" t="n"/>
      <c r="L1813" s="158">
        <f>+H1813*J1813</f>
        <v/>
      </c>
      <c r="M1813" s="159" t="n"/>
    </row>
    <row r="1814">
      <c r="A1814" s="114" t="n">
        <v>46150</v>
      </c>
      <c r="B1814" s="115" t="n">
        <v>1414</v>
      </c>
      <c r="C1814" s="115" t="inlineStr">
        <is>
          <t>AZGÜN YAPI</t>
        </is>
      </c>
      <c r="D1814" s="115" t="inlineStr">
        <is>
          <t>34 MKT 859</t>
        </is>
      </c>
      <c r="E1814" s="115" t="inlineStr">
        <is>
          <t>İRFAN DAĞLAR</t>
        </is>
      </c>
      <c r="F1814" s="115" t="n"/>
      <c r="G1814" s="156" t="n"/>
      <c r="H1814" s="152" t="n">
        <v>393</v>
      </c>
      <c r="I1814" s="156" t="n"/>
      <c r="J1814" s="90" t="n"/>
      <c r="K1814" s="166" t="n"/>
      <c r="L1814" s="158">
        <f>+H1814*J1814</f>
        <v/>
      </c>
      <c r="M1814" s="159" t="n"/>
    </row>
    <row r="1815">
      <c r="A1815" s="114" t="n">
        <v>46153</v>
      </c>
      <c r="B1815" s="115" t="n">
        <v>1415</v>
      </c>
      <c r="C1815" s="115" t="inlineStr">
        <is>
          <t>AZGÜN YAPI</t>
        </is>
      </c>
      <c r="D1815" s="115" t="inlineStr">
        <is>
          <t>34 MKT 859</t>
        </is>
      </c>
      <c r="E1815" s="115" t="inlineStr">
        <is>
          <t>İRFAN DAĞLAR</t>
        </is>
      </c>
      <c r="F1815" s="115" t="n"/>
      <c r="G1815" s="156" t="n"/>
      <c r="H1815" s="152" t="n">
        <v>404</v>
      </c>
      <c r="I1815" s="156" t="n"/>
      <c r="J1815" s="90" t="n"/>
      <c r="K1815" s="166" t="n"/>
      <c r="L1815" s="158">
        <f>+H1815*J1815</f>
        <v/>
      </c>
      <c r="M1815" s="159" t="n"/>
    </row>
    <row r="1816">
      <c r="A1816" s="114" t="n">
        <v>46156</v>
      </c>
      <c r="B1816" s="115" t="n">
        <v>1416</v>
      </c>
      <c r="C1816" s="115" t="inlineStr">
        <is>
          <t>AZGÜN YAPI</t>
        </is>
      </c>
      <c r="D1816" s="115" t="inlineStr">
        <is>
          <t>34 MKT 859</t>
        </is>
      </c>
      <c r="E1816" s="115" t="inlineStr">
        <is>
          <t>İRFAN DAĞLAR</t>
        </is>
      </c>
      <c r="F1816" s="115" t="n"/>
      <c r="G1816" s="156" t="n"/>
      <c r="H1816" s="152" t="n">
        <v>305</v>
      </c>
      <c r="I1816" s="156" t="n"/>
      <c r="J1816" s="90" t="n"/>
      <c r="K1816" s="166" t="n"/>
      <c r="L1816" s="158">
        <f>+H1816*J1816</f>
        <v/>
      </c>
      <c r="M1816" s="159" t="n"/>
    </row>
    <row r="1817">
      <c r="A1817" s="114" t="n">
        <v>46144</v>
      </c>
      <c r="B1817" s="115" t="n">
        <v>836</v>
      </c>
      <c r="C1817" s="115" t="inlineStr">
        <is>
          <t>METİN ERYİĞİT</t>
        </is>
      </c>
      <c r="D1817" s="115" t="inlineStr">
        <is>
          <t>34 GBL 998</t>
        </is>
      </c>
      <c r="E1817" s="115" t="inlineStr">
        <is>
          <t>ALİ KESKİN</t>
        </is>
      </c>
      <c r="F1817" s="115" t="n">
        <v>365642</v>
      </c>
      <c r="G1817" s="156" t="n"/>
      <c r="H1817" s="152" t="n">
        <v>349</v>
      </c>
      <c r="I1817" s="156" t="n"/>
      <c r="J1817" s="90" t="n"/>
      <c r="K1817" s="166" t="n"/>
      <c r="L1817" s="158">
        <f>+H1817*J1817</f>
        <v/>
      </c>
      <c r="M1817" s="159" t="n"/>
    </row>
    <row r="1818">
      <c r="A1818" s="114" t="n">
        <v>46147</v>
      </c>
      <c r="B1818" s="115" t="n">
        <v>837</v>
      </c>
      <c r="C1818" s="115" t="inlineStr">
        <is>
          <t>METİN ERYİĞİT</t>
        </is>
      </c>
      <c r="D1818" s="115" t="inlineStr">
        <is>
          <t>34 GBL 998</t>
        </is>
      </c>
      <c r="E1818" s="115" t="inlineStr">
        <is>
          <t>ALİ KESKİN</t>
        </is>
      </c>
      <c r="F1818" s="115" t="n">
        <v>366317</v>
      </c>
      <c r="G1818" s="156" t="n"/>
      <c r="H1818" s="152" t="n">
        <v>384</v>
      </c>
      <c r="I1818" s="156" t="n"/>
      <c r="J1818" s="90" t="n"/>
      <c r="K1818" s="166" t="n"/>
      <c r="L1818" s="158">
        <f>+H1818*J1818</f>
        <v/>
      </c>
      <c r="M1818" s="159" t="n"/>
    </row>
    <row r="1819">
      <c r="A1819" s="114" t="n">
        <v>46149</v>
      </c>
      <c r="B1819" s="115" t="n">
        <v>838</v>
      </c>
      <c r="C1819" s="115" t="inlineStr">
        <is>
          <t>METİN ERYİĞİT</t>
        </is>
      </c>
      <c r="D1819" s="115" t="inlineStr">
        <is>
          <t>34 GBL 998</t>
        </is>
      </c>
      <c r="E1819" s="115" t="inlineStr">
        <is>
          <t>ALİ KESKİN</t>
        </is>
      </c>
      <c r="F1819" s="115" t="n">
        <v>367158</v>
      </c>
      <c r="G1819" s="156" t="n"/>
      <c r="H1819" s="152" t="n">
        <v>426</v>
      </c>
      <c r="I1819" s="156" t="n"/>
      <c r="J1819" s="90" t="n"/>
      <c r="K1819" s="166" t="n"/>
      <c r="L1819" s="158">
        <f>+H1819*J1819</f>
        <v/>
      </c>
      <c r="M1819" s="159" t="n"/>
    </row>
    <row r="1820">
      <c r="A1820" s="114" t="n">
        <v>46151</v>
      </c>
      <c r="B1820" s="115" t="n">
        <v>839</v>
      </c>
      <c r="C1820" s="115" t="inlineStr">
        <is>
          <t>METİN ERYİĞİT</t>
        </is>
      </c>
      <c r="D1820" s="115" t="inlineStr">
        <is>
          <t>34 GBL 998</t>
        </is>
      </c>
      <c r="E1820" s="115" t="inlineStr">
        <is>
          <t>ALİ KESKİN</t>
        </is>
      </c>
      <c r="F1820" s="115" t="n">
        <v>367881</v>
      </c>
      <c r="G1820" s="156" t="n"/>
      <c r="H1820" s="152" t="n">
        <v>351</v>
      </c>
      <c r="I1820" s="156" t="n"/>
      <c r="J1820" s="90" t="n"/>
      <c r="K1820" s="166" t="n"/>
      <c r="L1820" s="158">
        <f>+H1820*J1820</f>
        <v/>
      </c>
      <c r="M1820" s="159" t="n"/>
    </row>
    <row r="1821">
      <c r="A1821" s="114" t="n">
        <v>46154</v>
      </c>
      <c r="B1821" s="115" t="n">
        <v>840</v>
      </c>
      <c r="C1821" s="115" t="inlineStr">
        <is>
          <t>METİN ERYİĞİT</t>
        </is>
      </c>
      <c r="D1821" s="115" t="inlineStr">
        <is>
          <t>34 GBL 998</t>
        </is>
      </c>
      <c r="E1821" s="115" t="inlineStr">
        <is>
          <t>ALİ KESKİN</t>
        </is>
      </c>
      <c r="F1821" s="115" t="n">
        <v>368604</v>
      </c>
      <c r="G1821" s="156" t="n"/>
      <c r="H1821" s="152" t="n">
        <v>353</v>
      </c>
      <c r="I1821" s="156" t="n"/>
      <c r="J1821" s="90" t="n"/>
      <c r="K1821" s="166" t="n"/>
      <c r="L1821" s="158">
        <f>+H1821*J1821</f>
        <v/>
      </c>
      <c r="M1821" s="159" t="n"/>
    </row>
    <row r="1822">
      <c r="A1822" s="114" t="n">
        <v>46156</v>
      </c>
      <c r="B1822" s="115" t="n">
        <v>841</v>
      </c>
      <c r="C1822" s="115" t="inlineStr">
        <is>
          <t>METİN ERYİĞİT</t>
        </is>
      </c>
      <c r="D1822" s="115" t="inlineStr">
        <is>
          <t>34 GBL 998</t>
        </is>
      </c>
      <c r="E1822" s="115" t="inlineStr">
        <is>
          <t>ALİ KESKİN</t>
        </is>
      </c>
      <c r="F1822" s="115" t="n">
        <v>369405</v>
      </c>
      <c r="G1822" s="156" t="n"/>
      <c r="H1822" s="152" t="n">
        <v>373</v>
      </c>
      <c r="I1822" s="156" t="n"/>
      <c r="J1822" s="90" t="n"/>
      <c r="K1822" s="166" t="n"/>
      <c r="L1822" s="158">
        <f>+H1822*J1822</f>
        <v/>
      </c>
      <c r="M1822" s="159" t="n"/>
    </row>
    <row r="1823">
      <c r="A1823" s="114" t="n">
        <v>46157</v>
      </c>
      <c r="B1823" s="115" t="n">
        <v>842</v>
      </c>
      <c r="C1823" s="115" t="inlineStr">
        <is>
          <t>METİN ERYİĞİT</t>
        </is>
      </c>
      <c r="D1823" s="115" t="inlineStr">
        <is>
          <t>34 EGR 814</t>
        </is>
      </c>
      <c r="E1823" s="115" t="inlineStr">
        <is>
          <t>SEZGİN KOCAGİL</t>
        </is>
      </c>
      <c r="F1823" s="115" t="n">
        <v>369785</v>
      </c>
      <c r="G1823" s="156" t="n"/>
      <c r="H1823" s="152" t="n">
        <v>191</v>
      </c>
      <c r="I1823" s="156" t="n"/>
      <c r="J1823" s="90" t="n"/>
      <c r="K1823" s="166" t="n"/>
      <c r="L1823" s="158">
        <f>+H1823*J1823</f>
        <v/>
      </c>
      <c r="M1823" s="159" t="n"/>
    </row>
    <row r="1824">
      <c r="A1824" s="114" t="n">
        <v>46144</v>
      </c>
      <c r="B1824" s="115" t="n">
        <v>776</v>
      </c>
      <c r="C1824" s="115" t="inlineStr">
        <is>
          <t>METİN ERYİĞİT</t>
        </is>
      </c>
      <c r="D1824" s="115" t="inlineStr">
        <is>
          <t>34 EGR 814</t>
        </is>
      </c>
      <c r="E1824" s="115" t="inlineStr">
        <is>
          <t>SEZGİN KOCAGİL</t>
        </is>
      </c>
      <c r="F1824" s="115" t="n">
        <v>626963</v>
      </c>
      <c r="G1824" s="156" t="n"/>
      <c r="H1824" s="152" t="n">
        <v>412</v>
      </c>
      <c r="I1824" s="156" t="n"/>
      <c r="J1824" s="90" t="n"/>
      <c r="K1824" s="166" t="n"/>
      <c r="L1824" s="158">
        <f>+H1824*J1824</f>
        <v/>
      </c>
      <c r="M1824" s="159" t="n"/>
    </row>
    <row r="1825">
      <c r="A1825" s="114" t="n">
        <v>46147</v>
      </c>
      <c r="B1825" s="115" t="n">
        <v>777</v>
      </c>
      <c r="C1825" s="115" t="inlineStr">
        <is>
          <t>METİN ERYİĞİT</t>
        </is>
      </c>
      <c r="D1825" s="115" t="inlineStr">
        <is>
          <t>34 EGR 814</t>
        </is>
      </c>
      <c r="E1825" s="115" t="inlineStr">
        <is>
          <t>SEZGİN KOCAGİL</t>
        </is>
      </c>
      <c r="F1825" s="115" t="n">
        <v>627620</v>
      </c>
      <c r="G1825" s="156" t="n"/>
      <c r="H1825" s="152" t="n">
        <v>391</v>
      </c>
      <c r="I1825" s="156" t="n"/>
      <c r="J1825" s="90" t="n"/>
      <c r="K1825" s="166" t="n"/>
      <c r="L1825" s="158">
        <f>+H1825*J1825</f>
        <v/>
      </c>
      <c r="M1825" s="159" t="n"/>
    </row>
    <row r="1826">
      <c r="A1826" s="114" t="n">
        <v>46149</v>
      </c>
      <c r="B1826" s="115" t="n">
        <v>778</v>
      </c>
      <c r="C1826" s="115" t="inlineStr">
        <is>
          <t>METİN ERYİĞİT</t>
        </is>
      </c>
      <c r="D1826" s="115" t="inlineStr">
        <is>
          <t>34 EGR 814</t>
        </is>
      </c>
      <c r="E1826" s="115" t="inlineStr">
        <is>
          <t>SEZGİN KOCAGİL</t>
        </is>
      </c>
      <c r="F1826" s="115" t="n">
        <v>628444</v>
      </c>
      <c r="G1826" s="156" t="n"/>
      <c r="H1826" s="152" t="n">
        <v>396</v>
      </c>
      <c r="I1826" s="156" t="n"/>
      <c r="J1826" s="90" t="n"/>
      <c r="K1826" s="166" t="n"/>
      <c r="L1826" s="158">
        <f>+H1826*J1826</f>
        <v/>
      </c>
      <c r="M1826" s="159" t="n"/>
    </row>
    <row r="1827">
      <c r="A1827" s="114" t="n">
        <v>46151</v>
      </c>
      <c r="B1827" s="115" t="n">
        <v>779</v>
      </c>
      <c r="C1827" s="115" t="inlineStr">
        <is>
          <t>METİN ERYİĞİT</t>
        </is>
      </c>
      <c r="D1827" s="115" t="inlineStr">
        <is>
          <t>34 EGR 814</t>
        </is>
      </c>
      <c r="E1827" s="115" t="inlineStr">
        <is>
          <t>SEZGİN KOCAGİL</t>
        </is>
      </c>
      <c r="F1827" s="115" t="n">
        <v>629347</v>
      </c>
      <c r="G1827" s="156" t="n"/>
      <c r="H1827" s="152" t="n">
        <v>529</v>
      </c>
      <c r="I1827" s="156" t="n"/>
      <c r="J1827" s="90" t="n"/>
      <c r="K1827" s="166" t="n"/>
      <c r="L1827" s="158">
        <f>+H1827*J1827</f>
        <v/>
      </c>
      <c r="M1827" s="159" t="n"/>
    </row>
    <row r="1828">
      <c r="A1828" s="114" t="n">
        <v>46154</v>
      </c>
      <c r="B1828" s="115" t="n">
        <v>780</v>
      </c>
      <c r="C1828" s="115" t="inlineStr">
        <is>
          <t>METİN ERYİĞİT</t>
        </is>
      </c>
      <c r="D1828" s="115" t="inlineStr">
        <is>
          <t>34 EGR 814</t>
        </is>
      </c>
      <c r="E1828" s="115" t="inlineStr">
        <is>
          <t>SEZGİN KOCAGİL</t>
        </is>
      </c>
      <c r="F1828" s="115" t="n">
        <v>630282</v>
      </c>
      <c r="G1828" s="156" t="n"/>
      <c r="H1828" s="152" t="n">
        <v>479</v>
      </c>
      <c r="I1828" s="156" t="n"/>
      <c r="J1828" s="90" t="n"/>
      <c r="K1828" s="166" t="n"/>
      <c r="L1828" s="158">
        <f>+H1828*J1828</f>
        <v/>
      </c>
      <c r="M1828" s="159" t="n"/>
    </row>
    <row r="1829">
      <c r="A1829" s="114" t="n">
        <v>46156</v>
      </c>
      <c r="B1829" s="115" t="n">
        <v>781</v>
      </c>
      <c r="C1829" s="115" t="inlineStr">
        <is>
          <t>METİN ERYİĞİT</t>
        </is>
      </c>
      <c r="D1829" s="115" t="inlineStr">
        <is>
          <t>34 EGR 814</t>
        </is>
      </c>
      <c r="E1829" s="115" t="inlineStr">
        <is>
          <t>SEZGİN KOCAGİL</t>
        </is>
      </c>
      <c r="F1829" s="115" t="n">
        <v>631055</v>
      </c>
      <c r="G1829" s="156" t="n"/>
      <c r="H1829" s="152" t="n">
        <v>425</v>
      </c>
      <c r="I1829" s="156" t="n"/>
      <c r="J1829" s="90" t="n"/>
      <c r="K1829" s="166" t="n"/>
      <c r="L1829" s="158">
        <f>+H1829*J1829</f>
        <v/>
      </c>
      <c r="M1829" s="159" t="n"/>
    </row>
    <row r="1830">
      <c r="A1830" s="114" t="n">
        <v>46157</v>
      </c>
      <c r="B1830" s="115" t="n">
        <v>782</v>
      </c>
      <c r="C1830" s="115" t="inlineStr">
        <is>
          <t>METİN ERYİĞİT</t>
        </is>
      </c>
      <c r="D1830" s="115" t="inlineStr">
        <is>
          <t>34 EGR 814</t>
        </is>
      </c>
      <c r="E1830" s="115" t="inlineStr">
        <is>
          <t>SEZGİN KOCAGİL</t>
        </is>
      </c>
      <c r="F1830" s="115" t="n">
        <v>631496</v>
      </c>
      <c r="G1830" s="156" t="n"/>
      <c r="H1830" s="152" t="n">
        <v>249</v>
      </c>
      <c r="I1830" s="156" t="n"/>
      <c r="J1830" s="90" t="n"/>
      <c r="K1830" s="166" t="n"/>
      <c r="L1830" s="158">
        <f>+H1830*J1830</f>
        <v/>
      </c>
      <c r="M1830" s="159" t="n"/>
    </row>
    <row r="1831">
      <c r="A1831" s="114" t="n">
        <v>46144</v>
      </c>
      <c r="B1831" s="115" t="n">
        <v>732</v>
      </c>
      <c r="C1831" s="115" t="inlineStr">
        <is>
          <t>METİN ERYİĞİT</t>
        </is>
      </c>
      <c r="D1831" s="115" t="inlineStr">
        <is>
          <t>34 EGS 013</t>
        </is>
      </c>
      <c r="E1831" s="115" t="inlineStr">
        <is>
          <t>UĞUR DUMAN</t>
        </is>
      </c>
      <c r="F1831" s="115" t="n">
        <v>577680</v>
      </c>
      <c r="G1831" s="156" t="n"/>
      <c r="H1831" s="152" t="n">
        <v>402</v>
      </c>
      <c r="I1831" s="156" t="n"/>
      <c r="J1831" s="90" t="n"/>
      <c r="K1831" s="166" t="n"/>
      <c r="L1831" s="158">
        <f>+H1831*J1831</f>
        <v/>
      </c>
      <c r="M1831" s="159" t="n"/>
    </row>
    <row r="1832">
      <c r="A1832" s="114" t="n">
        <v>46147</v>
      </c>
      <c r="B1832" s="115" t="n">
        <v>733</v>
      </c>
      <c r="C1832" s="115" t="inlineStr">
        <is>
          <t>METİN ERYİĞİT</t>
        </is>
      </c>
      <c r="D1832" s="115" t="inlineStr">
        <is>
          <t>34 EGS 013</t>
        </is>
      </c>
      <c r="E1832" s="115" t="inlineStr">
        <is>
          <t>UĞUR DUMAN</t>
        </is>
      </c>
      <c r="F1832" s="115" t="n">
        <v>578429</v>
      </c>
      <c r="G1832" s="156" t="n"/>
      <c r="H1832" s="152" t="n">
        <v>435</v>
      </c>
      <c r="I1832" s="156" t="n"/>
      <c r="J1832" s="90" t="n"/>
      <c r="K1832" s="166" t="n"/>
      <c r="L1832" s="158">
        <f>+H1832*J1832</f>
        <v/>
      </c>
      <c r="M1832" s="159" t="n"/>
    </row>
    <row r="1833">
      <c r="A1833" s="114" t="n">
        <v>46148</v>
      </c>
      <c r="B1833" s="115" t="n">
        <v>734</v>
      </c>
      <c r="C1833" s="115" t="inlineStr">
        <is>
          <t>METİN ERYİĞİT</t>
        </is>
      </c>
      <c r="D1833" s="115" t="inlineStr">
        <is>
          <t>34 EGS 013</t>
        </is>
      </c>
      <c r="E1833" s="115" t="inlineStr">
        <is>
          <t>UĞUR DUMAN</t>
        </is>
      </c>
      <c r="F1833" s="115" t="n">
        <v>579062</v>
      </c>
      <c r="G1833" s="156" t="n"/>
      <c r="H1833" s="152" t="n">
        <v>375</v>
      </c>
      <c r="I1833" s="156" t="n"/>
      <c r="J1833" s="90" t="n"/>
      <c r="K1833" s="166" t="n"/>
      <c r="L1833" s="158">
        <f>+H1833*J1833</f>
        <v/>
      </c>
      <c r="M1833" s="159" t="n"/>
    </row>
    <row r="1834">
      <c r="A1834" s="114" t="n">
        <v>46150</v>
      </c>
      <c r="B1834" s="115" t="n">
        <v>735</v>
      </c>
      <c r="C1834" s="115" t="inlineStr">
        <is>
          <t>METİN ERYİĞİT</t>
        </is>
      </c>
      <c r="D1834" s="115" t="inlineStr">
        <is>
          <t>34 EGS 013</t>
        </is>
      </c>
      <c r="E1834" s="115" t="inlineStr">
        <is>
          <t>UĞUR DUMAN</t>
        </is>
      </c>
      <c r="F1834" s="115" t="n">
        <v>579869</v>
      </c>
      <c r="G1834" s="156" t="n"/>
      <c r="H1834" s="152" t="n">
        <v>465</v>
      </c>
      <c r="I1834" s="156" t="n"/>
      <c r="J1834" s="90" t="n"/>
      <c r="K1834" s="166" t="n"/>
      <c r="L1834" s="158">
        <f>+H1834*J1834</f>
        <v/>
      </c>
      <c r="M1834" s="159" t="n"/>
    </row>
    <row r="1835">
      <c r="A1835" s="114" t="n">
        <v>46153</v>
      </c>
      <c r="B1835" s="115" t="n">
        <v>736</v>
      </c>
      <c r="C1835" s="115" t="inlineStr">
        <is>
          <t>METİN ERYİĞİT</t>
        </is>
      </c>
      <c r="D1835" s="115" t="inlineStr">
        <is>
          <t>34 EGS 013</t>
        </is>
      </c>
      <c r="E1835" s="115" t="inlineStr">
        <is>
          <t>UĞUR DUMAN</t>
        </is>
      </c>
      <c r="F1835" s="115" t="n">
        <v>580732</v>
      </c>
      <c r="G1835" s="156" t="n"/>
      <c r="H1835" s="152" t="n">
        <v>426</v>
      </c>
      <c r="I1835" s="156">
        <f>+I1531+(G1835-H1835)</f>
        <v/>
      </c>
      <c r="J1835" s="90" t="n"/>
      <c r="K1835" s="166" t="n"/>
      <c r="L1835" s="158">
        <f>+H1835*J1835</f>
        <v/>
      </c>
      <c r="M1835" s="159">
        <f>SUM(M1531+K1835-L1835)</f>
        <v/>
      </c>
    </row>
    <row r="1836">
      <c r="A1836" s="114" t="n">
        <v>46155</v>
      </c>
      <c r="B1836" s="115" t="n">
        <v>737</v>
      </c>
      <c r="C1836" s="115" t="inlineStr">
        <is>
          <t>METİN ERYİĞİT</t>
        </is>
      </c>
      <c r="D1836" s="115" t="inlineStr">
        <is>
          <t>34 EGS 013</t>
        </is>
      </c>
      <c r="E1836" s="115" t="inlineStr">
        <is>
          <t>UĞUR DUMAN</t>
        </is>
      </c>
      <c r="F1836" s="115" t="n">
        <v>581428</v>
      </c>
      <c r="G1836" s="156" t="n"/>
      <c r="H1836" s="152" t="n">
        <v>426</v>
      </c>
      <c r="I1836" s="156">
        <f>+I1835+(G1836-H1836)</f>
        <v/>
      </c>
      <c r="J1836" s="90" t="n"/>
      <c r="K1836" s="166" t="n"/>
      <c r="L1836" s="158">
        <f>+H1836*J1836</f>
        <v/>
      </c>
      <c r="M1836" s="159">
        <f>SUM(M1835+K1836-L1836)</f>
        <v/>
      </c>
    </row>
    <row r="1837">
      <c r="A1837" s="114" t="n">
        <v>46157</v>
      </c>
      <c r="B1837" s="115" t="n">
        <v>738</v>
      </c>
      <c r="C1837" s="115" t="inlineStr">
        <is>
          <t>METİN ERYİĞİT</t>
        </is>
      </c>
      <c r="D1837" s="115" t="inlineStr">
        <is>
          <t>34 EGS 013</t>
        </is>
      </c>
      <c r="E1837" s="115" t="inlineStr">
        <is>
          <t>UĞUR DUMAN</t>
        </is>
      </c>
      <c r="F1837" s="115" t="n">
        <v>582245</v>
      </c>
      <c r="G1837" s="156" t="n"/>
      <c r="H1837" s="152" t="n">
        <v>507</v>
      </c>
      <c r="I1837" s="156">
        <f>+I1836+(G1837-H1837)</f>
        <v/>
      </c>
      <c r="J1837" s="90" t="n"/>
      <c r="K1837" s="166" t="n"/>
      <c r="L1837" s="158">
        <f>+H1837*J1837</f>
        <v/>
      </c>
      <c r="M1837" s="159">
        <f>SUM(M1836+K1837-L1837)</f>
        <v/>
      </c>
    </row>
    <row r="1838">
      <c r="A1838" s="114" t="n">
        <v>46140</v>
      </c>
      <c r="B1838" s="115" t="n">
        <v>1695</v>
      </c>
      <c r="C1838" s="115" t="inlineStr">
        <is>
          <t>MEGA VARLIK</t>
        </is>
      </c>
      <c r="D1838" s="115" t="inlineStr">
        <is>
          <t>SM 350</t>
        </is>
      </c>
      <c r="E1838" s="115" t="inlineStr">
        <is>
          <t>MUHAMMED</t>
        </is>
      </c>
      <c r="F1838" s="115" t="n"/>
      <c r="G1838" s="156" t="n"/>
      <c r="H1838" s="152" t="n">
        <v>497</v>
      </c>
      <c r="I1838" s="156">
        <f>+I1837+(G1838-H1838)</f>
        <v/>
      </c>
      <c r="J1838" s="90" t="n"/>
      <c r="K1838" s="166" t="n"/>
      <c r="L1838" s="158">
        <f>+H1838*J1838</f>
        <v/>
      </c>
      <c r="M1838" s="159">
        <f>SUM(M1837+K1838-L1838)</f>
        <v/>
      </c>
    </row>
    <row r="1839">
      <c r="A1839" s="114" t="n">
        <v>46146</v>
      </c>
      <c r="B1839" s="115" t="n">
        <v>1696</v>
      </c>
      <c r="C1839" s="115" t="inlineStr">
        <is>
          <t>VARLIK</t>
        </is>
      </c>
      <c r="D1839" s="115" t="inlineStr">
        <is>
          <t>HİTACHİ</t>
        </is>
      </c>
      <c r="E1839" s="115" t="inlineStr">
        <is>
          <t>TURGUT</t>
        </is>
      </c>
      <c r="F1839" s="115" t="n"/>
      <c r="G1839" s="156" t="n"/>
      <c r="H1839" s="152" t="n">
        <v>522</v>
      </c>
      <c r="I1839" s="156">
        <f>+I1838+(G1839-H1839)</f>
        <v/>
      </c>
      <c r="J1839" s="90" t="n"/>
      <c r="K1839" s="166" t="n"/>
      <c r="L1839" s="158">
        <f>+H1839*J1839</f>
        <v/>
      </c>
      <c r="M1839" s="159">
        <f>SUM(M1838+K1839-L1839)</f>
        <v/>
      </c>
    </row>
    <row r="1840">
      <c r="A1840" s="114" t="n">
        <v>46146</v>
      </c>
      <c r="B1840" s="115" t="n">
        <v>1697</v>
      </c>
      <c r="C1840" s="115" t="inlineStr">
        <is>
          <t>VARLIK</t>
        </is>
      </c>
      <c r="D1840" s="115" t="inlineStr">
        <is>
          <t>SM 350</t>
        </is>
      </c>
      <c r="E1840" s="115" t="inlineStr">
        <is>
          <t>MUHAMMED</t>
        </is>
      </c>
      <c r="F1840" s="115" t="n"/>
      <c r="G1840" s="156" t="n"/>
      <c r="H1840" s="152" t="n">
        <v>332</v>
      </c>
      <c r="I1840" s="156">
        <f>+I1839+(G1840-H1840)</f>
        <v/>
      </c>
      <c r="J1840" s="90" t="n"/>
      <c r="K1840" s="166" t="n"/>
      <c r="L1840" s="158">
        <f>+H1840*J1840</f>
        <v/>
      </c>
      <c r="M1840" s="159">
        <f>SUM(M1839+K1840-L1840)</f>
        <v/>
      </c>
    </row>
    <row r="1841">
      <c r="A1841" s="114" t="n">
        <v>46146</v>
      </c>
      <c r="B1841" s="115" t="n">
        <v>1698</v>
      </c>
      <c r="C1841" s="115" t="inlineStr">
        <is>
          <t>VARLIK</t>
        </is>
      </c>
      <c r="D1841" s="115" t="inlineStr">
        <is>
          <t>SİLİNDİR</t>
        </is>
      </c>
      <c r="E1841" s="115" t="inlineStr">
        <is>
          <t>ATABEK</t>
        </is>
      </c>
      <c r="F1841" s="115" t="n"/>
      <c r="G1841" s="156" t="n"/>
      <c r="H1841" s="152" t="n">
        <v>176</v>
      </c>
      <c r="I1841" s="156">
        <f>+I1840+(G1841-H1841)</f>
        <v/>
      </c>
      <c r="J1841" s="90" t="n"/>
      <c r="K1841" s="166" t="n"/>
      <c r="L1841" s="158">
        <f>+H1841*J1841</f>
        <v/>
      </c>
      <c r="M1841" s="159">
        <f>SUM(M1840+K1841-L1841)</f>
        <v/>
      </c>
    </row>
    <row r="1842">
      <c r="A1842" s="114" t="n">
        <v>46146</v>
      </c>
      <c r="B1842" s="115" t="n">
        <v>1699</v>
      </c>
      <c r="C1842" s="115" t="inlineStr">
        <is>
          <t>MEGA VARLIK</t>
        </is>
      </c>
      <c r="D1842" s="115" t="inlineStr">
        <is>
          <t>SM 350</t>
        </is>
      </c>
      <c r="E1842" s="115" t="inlineStr">
        <is>
          <t>TEVFİK</t>
        </is>
      </c>
      <c r="F1842" s="115" t="n"/>
      <c r="G1842" s="156" t="n"/>
      <c r="H1842" s="152" t="n">
        <v>367</v>
      </c>
      <c r="I1842" s="156">
        <f>+I1841+(G1842-H1842)</f>
        <v/>
      </c>
      <c r="J1842" s="90" t="n"/>
      <c r="K1842" s="166" t="n"/>
      <c r="L1842" s="158">
        <f>+H1842*J1842</f>
        <v/>
      </c>
      <c r="M1842" s="159">
        <f>SUM(M1841+K1842-L1842)</f>
        <v/>
      </c>
    </row>
    <row r="1843">
      <c r="A1843" s="114" t="n">
        <v>46147</v>
      </c>
      <c r="B1843" s="115" t="n">
        <v>1700</v>
      </c>
      <c r="C1843" s="115" t="inlineStr">
        <is>
          <t>KOZMO</t>
        </is>
      </c>
      <c r="D1843" s="115" t="inlineStr">
        <is>
          <t>SM370</t>
        </is>
      </c>
      <c r="E1843" s="115" t="inlineStr">
        <is>
          <t>YUSUF</t>
        </is>
      </c>
      <c r="F1843" s="115" t="n"/>
      <c r="G1843" s="156" t="n"/>
      <c r="H1843" s="152" t="n">
        <v>540</v>
      </c>
      <c r="I1843" s="156">
        <f>+I1842+(G1843-H1843)</f>
        <v/>
      </c>
      <c r="J1843" s="90" t="n"/>
      <c r="K1843" s="166" t="n"/>
      <c r="L1843" s="158">
        <f>+H1843*J1843</f>
        <v/>
      </c>
      <c r="M1843" s="159">
        <f>SUM(M1842+K1843-L1843)</f>
        <v/>
      </c>
    </row>
    <row r="1844">
      <c r="A1844" s="114" t="n">
        <v>46147</v>
      </c>
      <c r="B1844" s="115" t="n">
        <v>2701</v>
      </c>
      <c r="C1844" s="115" t="inlineStr">
        <is>
          <t>KOZMO</t>
        </is>
      </c>
      <c r="D1844" s="115" t="inlineStr">
        <is>
          <t>SM300</t>
        </is>
      </c>
      <c r="E1844" s="115" t="inlineStr">
        <is>
          <t>ONUR</t>
        </is>
      </c>
      <c r="F1844" s="115" t="n"/>
      <c r="G1844" s="156" t="n"/>
      <c r="H1844" s="152" t="n">
        <v>476</v>
      </c>
      <c r="I1844" s="156">
        <f>+I1843+(G1844-H1844)</f>
        <v/>
      </c>
      <c r="J1844" s="90" t="n"/>
      <c r="K1844" s="166" t="n"/>
      <c r="L1844" s="158">
        <f>+H1844*J1844</f>
        <v/>
      </c>
      <c r="M1844" s="159">
        <f>SUM(M1843+K1844-L1844)</f>
        <v/>
      </c>
    </row>
    <row r="1845">
      <c r="A1845" s="114" t="n">
        <v>46147</v>
      </c>
      <c r="B1845" s="115" t="n">
        <v>2702</v>
      </c>
      <c r="C1845" s="115" t="inlineStr">
        <is>
          <t>MEGA VARLIK</t>
        </is>
      </c>
      <c r="D1845" s="115" t="inlineStr">
        <is>
          <t>SM350</t>
        </is>
      </c>
      <c r="E1845" s="115" t="inlineStr">
        <is>
          <t>TEVFİK</t>
        </is>
      </c>
      <c r="F1845" s="115" t="n"/>
      <c r="G1845" s="156" t="n"/>
      <c r="H1845" s="152" t="n">
        <v>263</v>
      </c>
      <c r="I1845" s="156">
        <f>+I1844+(G1845-H1845)</f>
        <v/>
      </c>
      <c r="J1845" s="90" t="n"/>
      <c r="K1845" s="166" t="n"/>
      <c r="L1845" s="158">
        <f>+H1845*J1845</f>
        <v/>
      </c>
      <c r="M1845" s="159">
        <f>SUM(M1844+K1845-L1845)</f>
        <v/>
      </c>
    </row>
    <row r="1846">
      <c r="A1846" s="114" t="n">
        <v>46147</v>
      </c>
      <c r="B1846" s="115" t="n">
        <v>2703</v>
      </c>
      <c r="C1846" s="115" t="inlineStr">
        <is>
          <t>MEGA VARLIK</t>
        </is>
      </c>
      <c r="D1846" s="115" t="inlineStr">
        <is>
          <t>FORKLİFT</t>
        </is>
      </c>
      <c r="E1846" s="115" t="inlineStr">
        <is>
          <t>FAHRİ</t>
        </is>
      </c>
      <c r="F1846" s="115" t="n"/>
      <c r="G1846" s="156" t="n"/>
      <c r="H1846" s="152" t="n">
        <v>44</v>
      </c>
      <c r="I1846" s="156">
        <f>+I1845+(G1846-H1846)</f>
        <v/>
      </c>
      <c r="J1846" s="90" t="n"/>
      <c r="K1846" s="166" t="n"/>
      <c r="L1846" s="158">
        <f>+H1846*J1846</f>
        <v/>
      </c>
      <c r="M1846" s="159">
        <f>SUM(M1845+K1846-L1846)</f>
        <v/>
      </c>
    </row>
    <row r="1847">
      <c r="A1847" s="114" t="n">
        <v>46148</v>
      </c>
      <c r="B1847" s="115" t="n">
        <v>2704</v>
      </c>
      <c r="C1847" s="115" t="n"/>
      <c r="D1847" s="115" t="inlineStr">
        <is>
          <t>34 AZ 2191</t>
        </is>
      </c>
      <c r="E1847" s="115" t="inlineStr">
        <is>
          <t>NUMAN KABİL</t>
        </is>
      </c>
      <c r="F1847" s="115" t="n"/>
      <c r="G1847" s="156" t="n"/>
      <c r="H1847" s="152" t="n">
        <v>231</v>
      </c>
      <c r="I1847" s="156">
        <f>+I1846+(G1847-H1847)</f>
        <v/>
      </c>
      <c r="J1847" s="90" t="n"/>
      <c r="K1847" s="166" t="n"/>
      <c r="L1847" s="158">
        <f>+H1847*J1847</f>
        <v/>
      </c>
      <c r="M1847" s="159">
        <f>SUM(M1846+K1847-L1847)</f>
        <v/>
      </c>
    </row>
    <row r="1848">
      <c r="A1848" s="114" t="n">
        <v>46148</v>
      </c>
      <c r="B1848" s="115" t="n">
        <v>2705</v>
      </c>
      <c r="C1848" s="115" t="inlineStr">
        <is>
          <t>VARLIK</t>
        </is>
      </c>
      <c r="D1848" s="115" t="inlineStr">
        <is>
          <t>SİLİNDİR</t>
        </is>
      </c>
      <c r="E1848" s="115" t="inlineStr">
        <is>
          <t>ATABEK</t>
        </is>
      </c>
      <c r="F1848" s="115" t="n"/>
      <c r="G1848" s="156" t="n"/>
      <c r="H1848" s="152" t="n">
        <v>230</v>
      </c>
      <c r="I1848" s="156">
        <f>+I1847+(G1848-H1848)</f>
        <v/>
      </c>
      <c r="J1848" s="90" t="n"/>
      <c r="K1848" s="166" t="n"/>
      <c r="L1848" s="158">
        <f>+H1848*J1848</f>
        <v/>
      </c>
      <c r="M1848" s="159">
        <f>SUM(M1847+K1848-L1848)</f>
        <v/>
      </c>
    </row>
    <row r="1849">
      <c r="A1849" s="114" t="n">
        <v>46148</v>
      </c>
      <c r="B1849" s="115" t="n">
        <v>2706</v>
      </c>
      <c r="C1849" s="115" t="inlineStr">
        <is>
          <t>VARLIK</t>
        </is>
      </c>
      <c r="D1849" s="115" t="inlineStr">
        <is>
          <t>HİTACHİ</t>
        </is>
      </c>
      <c r="E1849" s="115" t="inlineStr">
        <is>
          <t>TURGUT</t>
        </is>
      </c>
      <c r="F1849" s="115" t="n"/>
      <c r="G1849" s="156" t="n"/>
      <c r="H1849" s="152" t="n">
        <v>420</v>
      </c>
      <c r="I1849" s="156">
        <f>+I1848+(G1849-H1849)</f>
        <v/>
      </c>
      <c r="J1849" s="90" t="n"/>
      <c r="K1849" s="166" t="n"/>
      <c r="L1849" s="158">
        <f>+H1849*J1849</f>
        <v/>
      </c>
      <c r="M1849" s="159">
        <f>SUM(M1848+K1849-L1849)</f>
        <v/>
      </c>
    </row>
    <row r="1850">
      <c r="A1850" s="114" t="n">
        <v>46148</v>
      </c>
      <c r="B1850" s="115" t="n">
        <v>2707</v>
      </c>
      <c r="C1850" s="115" t="inlineStr">
        <is>
          <t>VARLIK</t>
        </is>
      </c>
      <c r="D1850" s="115" t="inlineStr">
        <is>
          <t>FORKLİFT</t>
        </is>
      </c>
      <c r="E1850" s="115" t="inlineStr">
        <is>
          <t>FAHRİ</t>
        </is>
      </c>
      <c r="F1850" s="115" t="n"/>
      <c r="G1850" s="156" t="n"/>
      <c r="H1850" s="152" t="n">
        <v>45</v>
      </c>
      <c r="I1850" s="156">
        <f>+I1849+(G1850-H1850)</f>
        <v/>
      </c>
      <c r="J1850" s="90" t="n"/>
      <c r="K1850" s="166" t="n"/>
      <c r="L1850" s="158">
        <f>+H1850*J1850</f>
        <v/>
      </c>
      <c r="M1850" s="159">
        <f>SUM(M1849+K1850-L1850)</f>
        <v/>
      </c>
    </row>
    <row r="1851">
      <c r="A1851" s="114" t="n">
        <v>46148</v>
      </c>
      <c r="B1851" s="115" t="n">
        <v>2708</v>
      </c>
      <c r="C1851" s="115" t="inlineStr">
        <is>
          <t>CAKYOL</t>
        </is>
      </c>
      <c r="D1851" s="115" t="inlineStr">
        <is>
          <t>RT650 SARI VİNÇ</t>
        </is>
      </c>
      <c r="E1851" s="115" t="inlineStr">
        <is>
          <t>ALİHAN DUMAN</t>
        </is>
      </c>
      <c r="F1851" s="115" t="n"/>
      <c r="G1851" s="156" t="n"/>
      <c r="H1851" s="152" t="n">
        <v>195</v>
      </c>
      <c r="I1851" s="156">
        <f>+I1850+(G1851-H1851)</f>
        <v/>
      </c>
      <c r="J1851" s="90" t="n"/>
      <c r="K1851" s="166" t="n"/>
      <c r="L1851" s="158">
        <f>+H1851*J1851</f>
        <v/>
      </c>
      <c r="M1851" s="159">
        <f>SUM(M1850+K1851-L1851)</f>
        <v/>
      </c>
    </row>
    <row r="1852">
      <c r="A1852" s="114" t="n">
        <v>46148</v>
      </c>
      <c r="B1852" s="115" t="n">
        <v>2709</v>
      </c>
      <c r="C1852" s="115" t="inlineStr">
        <is>
          <t>KOZMO</t>
        </is>
      </c>
      <c r="D1852" s="115" t="inlineStr">
        <is>
          <t>SM300</t>
        </is>
      </c>
      <c r="E1852" s="115" t="inlineStr">
        <is>
          <t>ONUR</t>
        </is>
      </c>
      <c r="F1852" s="115" t="n"/>
      <c r="G1852" s="156" t="n"/>
      <c r="H1852" s="152" t="n">
        <v>265</v>
      </c>
      <c r="I1852" s="156">
        <f>+I1851+(G1852-H1852)</f>
        <v/>
      </c>
      <c r="J1852" s="90" t="n"/>
      <c r="K1852" s="166" t="n"/>
      <c r="L1852" s="158">
        <f>+H1852*J1852</f>
        <v/>
      </c>
      <c r="M1852" s="159">
        <f>SUM(M1851+K1852-L1852)</f>
        <v/>
      </c>
    </row>
    <row r="1853">
      <c r="A1853" s="114" t="n">
        <v>46148</v>
      </c>
      <c r="B1853" s="115" t="n">
        <v>2710</v>
      </c>
      <c r="C1853" s="115" t="inlineStr">
        <is>
          <t>KOZMO</t>
        </is>
      </c>
      <c r="D1853" s="115" t="inlineStr">
        <is>
          <t>SM350</t>
        </is>
      </c>
      <c r="E1853" s="115" t="inlineStr">
        <is>
          <t>TEVFİK</t>
        </is>
      </c>
      <c r="F1853" s="115" t="n"/>
      <c r="G1853" s="156" t="n"/>
      <c r="H1853" s="152" t="n">
        <v>400</v>
      </c>
      <c r="I1853" s="156">
        <f>+I1852+(G1853-H1853)</f>
        <v/>
      </c>
      <c r="J1853" s="90" t="n"/>
      <c r="K1853" s="166" t="n"/>
      <c r="L1853" s="158">
        <f>+H1853*J1853</f>
        <v/>
      </c>
      <c r="M1853" s="159">
        <f>SUM(M1852+K1853-L1853)</f>
        <v/>
      </c>
    </row>
    <row r="1854">
      <c r="A1854" s="114" t="n">
        <v>46148</v>
      </c>
      <c r="B1854" s="115" t="n">
        <v>2711</v>
      </c>
      <c r="C1854" s="115" t="inlineStr">
        <is>
          <t>KOZMO</t>
        </is>
      </c>
      <c r="D1854" s="115" t="inlineStr">
        <is>
          <t>SM350</t>
        </is>
      </c>
      <c r="E1854" s="115" t="inlineStr">
        <is>
          <t>MUHAMMED</t>
        </is>
      </c>
      <c r="F1854" s="115" t="n"/>
      <c r="G1854" s="156" t="n"/>
      <c r="H1854" s="152" t="n">
        <v>334</v>
      </c>
      <c r="I1854" s="156">
        <f>+I1853+(G1854-H1854)</f>
        <v/>
      </c>
      <c r="J1854" s="90" t="n"/>
      <c r="K1854" s="166" t="n"/>
      <c r="L1854" s="158">
        <f>+H1854*J1854</f>
        <v/>
      </c>
      <c r="M1854" s="159">
        <f>SUM(M1853+K1854-L1854)</f>
        <v/>
      </c>
    </row>
    <row r="1855">
      <c r="A1855" s="114" t="n">
        <v>46149</v>
      </c>
      <c r="B1855" s="115" t="n">
        <v>2712</v>
      </c>
      <c r="C1855" s="115" t="inlineStr">
        <is>
          <t>KOZMO</t>
        </is>
      </c>
      <c r="D1855" s="115" t="inlineStr">
        <is>
          <t>SM350</t>
        </is>
      </c>
      <c r="E1855" s="115" t="inlineStr">
        <is>
          <t>TEVFİK</t>
        </is>
      </c>
      <c r="F1855" s="115" t="n"/>
      <c r="G1855" s="156" t="n"/>
      <c r="H1855" s="152" t="n">
        <v>375</v>
      </c>
      <c r="I1855" s="156">
        <f>+I1854+(G1855-H1855)</f>
        <v/>
      </c>
      <c r="J1855" s="90" t="n"/>
      <c r="K1855" s="166" t="n"/>
      <c r="L1855" s="158">
        <f>+H1855*J1855</f>
        <v/>
      </c>
      <c r="M1855" s="159">
        <f>SUM(M1854+K1855-L1855)</f>
        <v/>
      </c>
    </row>
    <row r="1856">
      <c r="A1856" s="114" t="n">
        <v>46149</v>
      </c>
      <c r="B1856" s="115" t="n">
        <v>2713</v>
      </c>
      <c r="C1856" s="115" t="inlineStr">
        <is>
          <t>KOZMO</t>
        </is>
      </c>
      <c r="D1856" s="115" t="inlineStr">
        <is>
          <t>SM300</t>
        </is>
      </c>
      <c r="E1856" s="115" t="inlineStr">
        <is>
          <t>ONUR</t>
        </is>
      </c>
      <c r="F1856" s="115" t="n"/>
      <c r="G1856" s="156" t="n"/>
      <c r="H1856" s="152" t="n">
        <v>310</v>
      </c>
      <c r="I1856" s="156">
        <f>+I1855+(G1856-H1856)</f>
        <v/>
      </c>
      <c r="J1856" s="90" t="n"/>
      <c r="K1856" s="166" t="n"/>
      <c r="L1856" s="158">
        <f>+H1856*J1856</f>
        <v/>
      </c>
      <c r="M1856" s="159">
        <f>SUM(M1855+K1856-L1856)</f>
        <v/>
      </c>
    </row>
    <row r="1857">
      <c r="A1857" s="114" t="n">
        <v>46149</v>
      </c>
      <c r="B1857" s="115" t="n">
        <v>2714</v>
      </c>
      <c r="C1857" s="115" t="inlineStr">
        <is>
          <t>KOZMO</t>
        </is>
      </c>
      <c r="D1857" s="115" t="inlineStr">
        <is>
          <t>SM350</t>
        </is>
      </c>
      <c r="E1857" s="115" t="inlineStr">
        <is>
          <t>MUHAMMED</t>
        </is>
      </c>
      <c r="F1857" s="115" t="n"/>
      <c r="G1857" s="156" t="n"/>
      <c r="H1857" s="152" t="n">
        <v>339</v>
      </c>
      <c r="I1857" s="156">
        <f>+I1856+(G1857-H1857)</f>
        <v/>
      </c>
      <c r="J1857" s="90" t="n"/>
      <c r="K1857" s="166" t="n"/>
      <c r="L1857" s="158">
        <f>+H1857*J1857</f>
        <v/>
      </c>
      <c r="M1857" s="159">
        <f>SUM(M1856+K1857-L1857)</f>
        <v/>
      </c>
    </row>
    <row r="1858">
      <c r="A1858" s="114" t="n">
        <v>46149</v>
      </c>
      <c r="B1858" s="115" t="n">
        <v>2715</v>
      </c>
      <c r="C1858" s="115" t="inlineStr">
        <is>
          <t>VARLIK</t>
        </is>
      </c>
      <c r="D1858" s="115" t="inlineStr">
        <is>
          <t>SM370</t>
        </is>
      </c>
      <c r="E1858" s="115" t="inlineStr">
        <is>
          <t>YUSUF</t>
        </is>
      </c>
      <c r="F1858" s="115" t="n"/>
      <c r="G1858" s="156" t="n"/>
      <c r="H1858" s="152" t="n">
        <v>507</v>
      </c>
      <c r="I1858" s="156">
        <f>+I1857+(G1858-H1858)</f>
        <v/>
      </c>
      <c r="J1858" s="90" t="n"/>
      <c r="K1858" s="166" t="n"/>
      <c r="L1858" s="158">
        <f>+H1858*J1858</f>
        <v/>
      </c>
      <c r="M1858" s="159">
        <f>SUM(M1857+K1858-L1858)</f>
        <v/>
      </c>
    </row>
    <row r="1859">
      <c r="A1859" s="114" t="n">
        <v>46149</v>
      </c>
      <c r="B1859" s="115" t="n">
        <v>2716</v>
      </c>
      <c r="C1859" s="115" t="inlineStr">
        <is>
          <t>CAKYOL</t>
        </is>
      </c>
      <c r="D1859" s="115" t="inlineStr">
        <is>
          <t>34 GCY 009</t>
        </is>
      </c>
      <c r="E1859" s="115" t="inlineStr">
        <is>
          <t>CEMAL AKYOL</t>
        </is>
      </c>
      <c r="F1859" s="115" t="n"/>
      <c r="G1859" s="156" t="n"/>
      <c r="H1859" s="152" t="n">
        <v>64</v>
      </c>
      <c r="I1859" s="156">
        <f>+I1858+(G1859-H1859)</f>
        <v/>
      </c>
      <c r="J1859" s="90" t="n"/>
      <c r="K1859" s="166" t="n"/>
      <c r="L1859" s="158">
        <f>+H1859*J1859</f>
        <v/>
      </c>
      <c r="M1859" s="159">
        <f>SUM(M1858+K1859-L1859)</f>
        <v/>
      </c>
    </row>
    <row r="1860">
      <c r="A1860" s="114" t="n">
        <v>46150</v>
      </c>
      <c r="B1860" s="115" t="n">
        <v>2717</v>
      </c>
      <c r="C1860" s="115" t="inlineStr">
        <is>
          <t>VARLIK</t>
        </is>
      </c>
      <c r="D1860" s="115" t="inlineStr">
        <is>
          <t>HİTACHİ</t>
        </is>
      </c>
      <c r="E1860" s="115" t="inlineStr">
        <is>
          <t>TURGUT</t>
        </is>
      </c>
      <c r="F1860" s="115" t="n"/>
      <c r="G1860" s="156" t="n"/>
      <c r="H1860" s="152" t="n">
        <v>520</v>
      </c>
      <c r="I1860" s="156">
        <f>+I1859+(G1860-H1860)</f>
        <v/>
      </c>
      <c r="J1860" s="90" t="n"/>
      <c r="K1860" s="166" t="n"/>
      <c r="L1860" s="158">
        <f>+H1860*J1860</f>
        <v/>
      </c>
      <c r="M1860" s="159">
        <f>SUM(M1859+K1860-L1860)</f>
        <v/>
      </c>
    </row>
    <row r="1861">
      <c r="A1861" s="114" t="n">
        <v>46150</v>
      </c>
      <c r="B1861" s="115" t="n">
        <v>2718</v>
      </c>
      <c r="C1861" s="115" t="inlineStr">
        <is>
          <t>VARLIK</t>
        </is>
      </c>
      <c r="D1861" s="115" t="inlineStr">
        <is>
          <t>SM350</t>
        </is>
      </c>
      <c r="E1861" s="115" t="inlineStr">
        <is>
          <t>YUSUF</t>
        </is>
      </c>
      <c r="F1861" s="115" t="n"/>
      <c r="G1861" s="156" t="n"/>
      <c r="H1861" s="152" t="n">
        <v>378</v>
      </c>
      <c r="I1861" s="156">
        <f>+I1860+(G1861-H1861)</f>
        <v/>
      </c>
      <c r="J1861" s="90" t="n"/>
      <c r="K1861" s="166" t="n"/>
      <c r="L1861" s="158">
        <f>+H1861*J1861</f>
        <v/>
      </c>
      <c r="M1861" s="159">
        <f>SUM(M1860+K1861-L1861)</f>
        <v/>
      </c>
    </row>
    <row r="1862">
      <c r="A1862" s="114" t="n">
        <v>46150</v>
      </c>
      <c r="B1862" s="115" t="n">
        <v>2719</v>
      </c>
      <c r="C1862" s="115" t="inlineStr">
        <is>
          <t>EVKUR</t>
        </is>
      </c>
      <c r="D1862" s="115" t="inlineStr">
        <is>
          <t>KİRALIK KATO</t>
        </is>
      </c>
      <c r="E1862" s="115" t="inlineStr">
        <is>
          <t xml:space="preserve">GÜNEŞ </t>
        </is>
      </c>
      <c r="F1862" s="115" t="n"/>
      <c r="G1862" s="156" t="n"/>
      <c r="H1862" s="152" t="n">
        <v>79</v>
      </c>
      <c r="I1862" s="156">
        <f>+I1861+(G1862-H1862)</f>
        <v/>
      </c>
      <c r="J1862" s="90" t="n"/>
      <c r="K1862" s="166" t="n"/>
      <c r="L1862" s="158">
        <f>+H1862*J1862</f>
        <v/>
      </c>
      <c r="M1862" s="159">
        <f>SUM(M1861+K1862-L1862)</f>
        <v/>
      </c>
    </row>
    <row r="1863">
      <c r="A1863" s="114" t="n">
        <v>46150</v>
      </c>
      <c r="B1863" s="115" t="n">
        <v>2720</v>
      </c>
      <c r="C1863" s="115" t="inlineStr">
        <is>
          <t>MEGA VARLIK</t>
        </is>
      </c>
      <c r="D1863" s="115" t="inlineStr">
        <is>
          <t>FORKLİFT</t>
        </is>
      </c>
      <c r="E1863" s="115" t="inlineStr">
        <is>
          <t>FAHRİ</t>
        </is>
      </c>
      <c r="F1863" s="115" t="n"/>
      <c r="G1863" s="156" t="n"/>
      <c r="H1863" s="152" t="n">
        <v>82</v>
      </c>
      <c r="I1863" s="156">
        <f>+I1862+(G1863-H1863)</f>
        <v/>
      </c>
      <c r="J1863" s="90" t="n"/>
      <c r="K1863" s="166" t="n"/>
      <c r="L1863" s="158">
        <f>+H1863*J1863</f>
        <v/>
      </c>
      <c r="M1863" s="159">
        <f>SUM(M1862+K1863-L1863)</f>
        <v/>
      </c>
    </row>
    <row r="1864">
      <c r="A1864" s="114" t="n">
        <v>46150</v>
      </c>
      <c r="B1864" s="115" t="n">
        <v>2721</v>
      </c>
      <c r="C1864" s="115" t="inlineStr">
        <is>
          <t>MEGA VARLIK</t>
        </is>
      </c>
      <c r="D1864" s="115" t="inlineStr">
        <is>
          <t>ZOMLİON</t>
        </is>
      </c>
      <c r="E1864" s="115" t="inlineStr">
        <is>
          <t>SALİH ŞOLAN</t>
        </is>
      </c>
      <c r="F1864" s="115" t="n"/>
      <c r="G1864" s="156" t="n"/>
      <c r="H1864" s="152" t="n">
        <v>245</v>
      </c>
      <c r="I1864" s="156">
        <f>+I1863+(G1864-H1864)</f>
        <v/>
      </c>
      <c r="J1864" s="90" t="n"/>
      <c r="K1864" s="166" t="n"/>
      <c r="L1864" s="158">
        <f>+H1864*J1864</f>
        <v/>
      </c>
      <c r="M1864" s="159">
        <f>SUM(M1863+K1864-L1864)</f>
        <v/>
      </c>
    </row>
    <row r="1865">
      <c r="A1865" s="114" t="n">
        <v>46150</v>
      </c>
      <c r="B1865" s="115" t="n">
        <v>2722</v>
      </c>
      <c r="C1865" s="115" t="inlineStr">
        <is>
          <t>KOZMO</t>
        </is>
      </c>
      <c r="D1865" s="115" t="inlineStr">
        <is>
          <t>SM350</t>
        </is>
      </c>
      <c r="E1865" s="115" t="inlineStr">
        <is>
          <t>MUHAMMED</t>
        </is>
      </c>
      <c r="F1865" s="115" t="n"/>
      <c r="G1865" s="156" t="n"/>
      <c r="H1865" s="152" t="n">
        <v>367</v>
      </c>
      <c r="I1865" s="156">
        <f>+I1864+(G1865-H1865)</f>
        <v/>
      </c>
      <c r="J1865" s="90" t="n"/>
      <c r="K1865" s="166" t="n"/>
      <c r="L1865" s="158">
        <f>+H1865*J1865</f>
        <v/>
      </c>
      <c r="M1865" s="159">
        <f>SUM(M1864+K1865-L1865)</f>
        <v/>
      </c>
    </row>
    <row r="1866">
      <c r="A1866" s="114" t="n">
        <v>46150</v>
      </c>
      <c r="B1866" s="115" t="n">
        <v>2723</v>
      </c>
      <c r="C1866" s="115" t="inlineStr">
        <is>
          <t>KOZMO</t>
        </is>
      </c>
      <c r="D1866" s="115" t="inlineStr">
        <is>
          <t>SM300</t>
        </is>
      </c>
      <c r="E1866" s="115" t="inlineStr">
        <is>
          <t>ONUR</t>
        </is>
      </c>
      <c r="F1866" s="115" t="n"/>
      <c r="G1866" s="156" t="n"/>
      <c r="H1866" s="152" t="n">
        <v>301</v>
      </c>
      <c r="I1866" s="156">
        <f>+I1865+(G1866-H1866)</f>
        <v/>
      </c>
      <c r="J1866" s="90" t="n"/>
      <c r="K1866" s="166" t="n"/>
      <c r="L1866" s="158">
        <f>+H1866*J1866</f>
        <v/>
      </c>
      <c r="M1866" s="159">
        <f>SUM(M1865+K1866-L1866)</f>
        <v/>
      </c>
    </row>
    <row r="1867">
      <c r="A1867" s="114" t="n">
        <v>46150</v>
      </c>
      <c r="B1867" s="115" t="n">
        <v>2724</v>
      </c>
      <c r="C1867" s="115" t="inlineStr">
        <is>
          <t>KOZMO</t>
        </is>
      </c>
      <c r="D1867" s="115" t="inlineStr">
        <is>
          <t>SİLİNDİR</t>
        </is>
      </c>
      <c r="E1867" s="115" t="inlineStr">
        <is>
          <t>ATABEK</t>
        </is>
      </c>
      <c r="F1867" s="115" t="n"/>
      <c r="G1867" s="156" t="n"/>
      <c r="H1867" s="152" t="n">
        <v>195</v>
      </c>
      <c r="I1867" s="156">
        <f>+I1866+(G1867-H1867)</f>
        <v/>
      </c>
      <c r="J1867" s="90" t="n"/>
      <c r="K1867" s="166" t="n"/>
      <c r="L1867" s="158">
        <f>+H1867*J1867</f>
        <v/>
      </c>
      <c r="M1867" s="159">
        <f>SUM(M1866+K1867-L1867)</f>
        <v/>
      </c>
    </row>
    <row r="1868">
      <c r="A1868" s="114" t="n">
        <v>46150</v>
      </c>
      <c r="B1868" s="115" t="n">
        <v>2725</v>
      </c>
      <c r="C1868" s="115" t="inlineStr">
        <is>
          <t>KOZMO</t>
        </is>
      </c>
      <c r="D1868" s="115" t="inlineStr">
        <is>
          <t>SM350</t>
        </is>
      </c>
      <c r="E1868" s="115" t="inlineStr">
        <is>
          <t>TEVFİK</t>
        </is>
      </c>
      <c r="F1868" s="115" t="n"/>
      <c r="G1868" s="156" t="n"/>
      <c r="H1868" s="152" t="n">
        <v>250</v>
      </c>
      <c r="I1868" s="156">
        <f>+I1867+(G1868-H1868)</f>
        <v/>
      </c>
      <c r="J1868" s="90" t="n"/>
      <c r="K1868" s="166" t="n"/>
      <c r="L1868" s="158">
        <f>+H1868*J1868</f>
        <v/>
      </c>
      <c r="M1868" s="159">
        <f>SUM(M1867+K1868-L1868)</f>
        <v/>
      </c>
    </row>
    <row r="1869">
      <c r="A1869" s="114" t="n">
        <v>46150</v>
      </c>
      <c r="B1869" s="115" t="n">
        <v>2726</v>
      </c>
      <c r="C1869" s="115" t="n"/>
      <c r="D1869" s="115" t="inlineStr">
        <is>
          <t>JCB</t>
        </is>
      </c>
      <c r="E1869" s="115" t="inlineStr">
        <is>
          <t>BAYRAM SANCAK</t>
        </is>
      </c>
      <c r="F1869" s="115" t="n"/>
      <c r="G1869" s="156" t="n"/>
      <c r="H1869" s="152" t="n">
        <v>56</v>
      </c>
      <c r="I1869" s="156">
        <f>+I1868+(G1869-H1869)</f>
        <v/>
      </c>
      <c r="J1869" s="90" t="n"/>
      <c r="K1869" s="166" t="n"/>
      <c r="L1869" s="158">
        <f>+H1869*J1869</f>
        <v/>
      </c>
      <c r="M1869" s="159">
        <f>SUM(M1868+K1869-L1869)</f>
        <v/>
      </c>
    </row>
    <row r="1870">
      <c r="A1870" s="114" t="n">
        <v>46151</v>
      </c>
      <c r="B1870" s="115" t="n">
        <v>2727</v>
      </c>
      <c r="C1870" s="115" t="inlineStr">
        <is>
          <t>EVKUR</t>
        </is>
      </c>
      <c r="D1870" s="115" t="inlineStr">
        <is>
          <t>JENERATÖR</t>
        </is>
      </c>
      <c r="E1870" s="115" t="inlineStr">
        <is>
          <t xml:space="preserve">GÜNEŞ </t>
        </is>
      </c>
      <c r="F1870" s="115" t="n"/>
      <c r="G1870" s="156" t="n"/>
      <c r="H1870" s="152" t="n">
        <v>140</v>
      </c>
      <c r="I1870" s="156">
        <f>+I1869+(G1870-H1870)</f>
        <v/>
      </c>
      <c r="J1870" s="90" t="n"/>
      <c r="K1870" s="166" t="n"/>
      <c r="L1870" s="158">
        <f>+H1870*J1870</f>
        <v/>
      </c>
      <c r="M1870" s="159">
        <f>SUM(M1869+K1870-L1870)</f>
        <v/>
      </c>
    </row>
    <row r="1871">
      <c r="A1871" s="114" t="n">
        <v>46151</v>
      </c>
      <c r="B1871" s="115" t="n">
        <v>2728</v>
      </c>
      <c r="C1871" s="115" t="inlineStr">
        <is>
          <t>TORU İNŞAAT DELİKLİKAYA</t>
        </is>
      </c>
      <c r="D1871" s="115" t="n"/>
      <c r="E1871" s="115" t="inlineStr">
        <is>
          <t>BURAK ŞENDOĞAN</t>
        </is>
      </c>
      <c r="F1871" s="115" t="n"/>
      <c r="G1871" s="156" t="n"/>
      <c r="H1871" s="152" t="n">
        <v>274</v>
      </c>
      <c r="I1871" s="156">
        <f>+I1870+(G1871-H1871)</f>
        <v/>
      </c>
      <c r="J1871" s="90" t="n"/>
      <c r="K1871" s="166" t="n"/>
      <c r="L1871" s="158">
        <f>+H1871*J1871</f>
        <v/>
      </c>
      <c r="M1871" s="159">
        <f>SUM(M1870+K1871-L1871)</f>
        <v/>
      </c>
    </row>
    <row r="1872">
      <c r="A1872" s="114" t="n">
        <v>46152</v>
      </c>
      <c r="B1872" s="115" t="n">
        <v>2729</v>
      </c>
      <c r="C1872" s="115" t="inlineStr">
        <is>
          <t>MEGA VARLIK</t>
        </is>
      </c>
      <c r="D1872" s="115" t="inlineStr">
        <is>
          <t>HİTACHİ</t>
        </is>
      </c>
      <c r="E1872" s="115" t="inlineStr">
        <is>
          <t>TURGUT</t>
        </is>
      </c>
      <c r="F1872" s="115" t="n"/>
      <c r="G1872" s="156" t="n"/>
      <c r="H1872" s="152" t="n">
        <v>450</v>
      </c>
      <c r="I1872" s="156">
        <f>+I1871+(G1872-H1872)</f>
        <v/>
      </c>
      <c r="J1872" s="90" t="n"/>
      <c r="K1872" s="166" t="n"/>
      <c r="L1872" s="158">
        <f>+H1872*J1872</f>
        <v/>
      </c>
      <c r="M1872" s="159">
        <f>SUM(M1871+K1872-L1872)</f>
        <v/>
      </c>
    </row>
    <row r="1873">
      <c r="A1873" s="114" t="n">
        <v>46152</v>
      </c>
      <c r="B1873" s="115" t="n">
        <v>2730</v>
      </c>
      <c r="C1873" s="115" t="inlineStr">
        <is>
          <t>KOZMO</t>
        </is>
      </c>
      <c r="D1873" s="115" t="inlineStr">
        <is>
          <t>SM300</t>
        </is>
      </c>
      <c r="E1873" s="115" t="inlineStr">
        <is>
          <t>ONUR</t>
        </is>
      </c>
      <c r="F1873" s="115" t="n"/>
      <c r="G1873" s="156" t="n"/>
      <c r="H1873" s="152" t="n">
        <v>392</v>
      </c>
      <c r="I1873" s="156">
        <f>+I1872+(G1873-H1873)</f>
        <v/>
      </c>
      <c r="J1873" s="90" t="n"/>
      <c r="K1873" s="166" t="n"/>
      <c r="L1873" s="158">
        <f>+H1873*J1873</f>
        <v/>
      </c>
      <c r="M1873" s="159">
        <f>SUM(M1872+K1873-L1873)</f>
        <v/>
      </c>
    </row>
    <row r="1874">
      <c r="A1874" s="114" t="n">
        <v>46152</v>
      </c>
      <c r="B1874" s="115" t="n">
        <v>2731</v>
      </c>
      <c r="C1874" s="115" t="inlineStr">
        <is>
          <t>KOZMO</t>
        </is>
      </c>
      <c r="D1874" s="115" t="inlineStr">
        <is>
          <t>SM350</t>
        </is>
      </c>
      <c r="E1874" s="115" t="inlineStr">
        <is>
          <t>MUHAMMED</t>
        </is>
      </c>
      <c r="F1874" s="115" t="n"/>
      <c r="G1874" s="156" t="n"/>
      <c r="H1874" s="152" t="n">
        <v>460</v>
      </c>
      <c r="I1874" s="156">
        <f>+I1873+(G1874-H1874)</f>
        <v/>
      </c>
      <c r="J1874" s="90" t="n"/>
      <c r="K1874" s="166" t="n"/>
      <c r="L1874" s="158">
        <f>+H1874*J1874</f>
        <v/>
      </c>
      <c r="M1874" s="159">
        <f>SUM(M1873+K1874-L1874)</f>
        <v/>
      </c>
    </row>
    <row r="1875">
      <c r="A1875" s="114" t="n">
        <v>46152</v>
      </c>
      <c r="B1875" s="115" t="n">
        <v>2732</v>
      </c>
      <c r="C1875" s="115" t="inlineStr">
        <is>
          <t>KOZMO</t>
        </is>
      </c>
      <c r="D1875" s="115" t="inlineStr">
        <is>
          <t>SİLİNDİR</t>
        </is>
      </c>
      <c r="E1875" s="115" t="inlineStr">
        <is>
          <t>ATABEK</t>
        </is>
      </c>
      <c r="F1875" s="115" t="n"/>
      <c r="G1875" s="156" t="n"/>
      <c r="H1875" s="152" t="n">
        <v>189</v>
      </c>
      <c r="I1875" s="156">
        <f>+I1874+(G1875-H1875)</f>
        <v/>
      </c>
      <c r="J1875" s="90" t="n"/>
      <c r="K1875" s="166" t="n"/>
      <c r="L1875" s="158">
        <f>+H1875*J1875</f>
        <v/>
      </c>
      <c r="M1875" s="159">
        <f>SUM(M1874+K1875-L1875)</f>
        <v/>
      </c>
    </row>
    <row r="1876">
      <c r="A1876" s="114" t="n">
        <v>46152</v>
      </c>
      <c r="B1876" s="115" t="n">
        <v>2733</v>
      </c>
      <c r="C1876" s="115" t="n"/>
      <c r="D1876" s="115" t="inlineStr">
        <is>
          <t>JCB</t>
        </is>
      </c>
      <c r="E1876" s="115" t="inlineStr">
        <is>
          <t>BAYRAM SANCAK</t>
        </is>
      </c>
      <c r="F1876" s="115" t="n"/>
      <c r="G1876" s="156" t="n"/>
      <c r="H1876" s="152" t="n">
        <v>46</v>
      </c>
      <c r="I1876" s="156">
        <f>+I1875+(G1876-H1876)</f>
        <v/>
      </c>
      <c r="J1876" s="90" t="n"/>
      <c r="K1876" s="166" t="n"/>
      <c r="L1876" s="158">
        <f>+H1876*J1876</f>
        <v/>
      </c>
      <c r="M1876" s="159">
        <f>SUM(M1875+K1876-L1876)</f>
        <v/>
      </c>
    </row>
    <row r="1877">
      <c r="A1877" s="114" t="n">
        <v>46152</v>
      </c>
      <c r="B1877" s="115" t="n">
        <v>2734</v>
      </c>
      <c r="C1877" s="115" t="inlineStr">
        <is>
          <t>KOZMO</t>
        </is>
      </c>
      <c r="D1877" s="115" t="inlineStr">
        <is>
          <t>SM350</t>
        </is>
      </c>
      <c r="E1877" s="115" t="inlineStr">
        <is>
          <t>TEVFİK</t>
        </is>
      </c>
      <c r="F1877" s="115" t="n"/>
      <c r="G1877" s="156" t="n"/>
      <c r="H1877" s="152" t="n">
        <v>350</v>
      </c>
      <c r="I1877" s="156">
        <f>+I1876+(G1877-H1877)</f>
        <v/>
      </c>
      <c r="J1877" s="90" t="n"/>
      <c r="K1877" s="166" t="n"/>
      <c r="L1877" s="158">
        <f>+H1877*J1877</f>
        <v/>
      </c>
      <c r="M1877" s="159">
        <f>SUM(M1876+K1877-L1877)</f>
        <v/>
      </c>
    </row>
    <row r="1878">
      <c r="A1878" s="114" t="n">
        <v>46152</v>
      </c>
      <c r="B1878" s="115" t="n">
        <v>2735</v>
      </c>
      <c r="C1878" s="115" t="inlineStr">
        <is>
          <t>VARLIK</t>
        </is>
      </c>
      <c r="D1878" s="115" t="inlineStr">
        <is>
          <t>SM370</t>
        </is>
      </c>
      <c r="E1878" s="115" t="inlineStr">
        <is>
          <t>YUSUF</t>
        </is>
      </c>
      <c r="F1878" s="115" t="n"/>
      <c r="G1878" s="156" t="n"/>
      <c r="H1878" s="152" t="n">
        <v>441</v>
      </c>
      <c r="I1878" s="156">
        <f>+I1877+(G1878-H1878)</f>
        <v/>
      </c>
      <c r="J1878" s="90" t="n"/>
      <c r="K1878" s="166" t="n"/>
      <c r="L1878" s="158">
        <f>+H1878*J1878</f>
        <v/>
      </c>
      <c r="M1878" s="159">
        <f>SUM(M1877+K1878-L1878)</f>
        <v/>
      </c>
    </row>
    <row r="1879">
      <c r="A1879" s="114" t="n">
        <v>46153</v>
      </c>
      <c r="B1879" s="115" t="n">
        <v>2736</v>
      </c>
      <c r="C1879" s="115" t="n"/>
      <c r="D1879" s="115" t="inlineStr">
        <is>
          <t>JCB</t>
        </is>
      </c>
      <c r="E1879" s="115" t="inlineStr">
        <is>
          <t>BAYRAM SANCAK</t>
        </is>
      </c>
      <c r="F1879" s="115" t="n"/>
      <c r="G1879" s="156" t="n"/>
      <c r="H1879" s="152" t="n">
        <v>53</v>
      </c>
      <c r="I1879" s="156">
        <f>+I1878+(G1879-H1879)</f>
        <v/>
      </c>
      <c r="J1879" s="90" t="n"/>
      <c r="K1879" s="166" t="n"/>
      <c r="L1879" s="158">
        <f>+H1879*J1879</f>
        <v/>
      </c>
      <c r="M1879" s="159">
        <f>SUM(M1878+K1879-L1879)</f>
        <v/>
      </c>
    </row>
    <row r="1880">
      <c r="A1880" s="114" t="n">
        <v>46153</v>
      </c>
      <c r="B1880" s="115" t="n">
        <v>2737</v>
      </c>
      <c r="C1880" s="115" t="inlineStr">
        <is>
          <t>KOZMO</t>
        </is>
      </c>
      <c r="D1880" s="115" t="inlineStr">
        <is>
          <t>SM300</t>
        </is>
      </c>
      <c r="E1880" s="115" t="inlineStr">
        <is>
          <t>ONUR</t>
        </is>
      </c>
      <c r="F1880" s="115" t="n"/>
      <c r="G1880" s="156" t="n"/>
      <c r="H1880" s="152" t="n">
        <v>426</v>
      </c>
      <c r="I1880" s="156">
        <f>+I1879+(G1880-H1880)</f>
        <v/>
      </c>
      <c r="J1880" s="90" t="n"/>
      <c r="K1880" s="166" t="n"/>
      <c r="L1880" s="158">
        <f>+H1880*J1880</f>
        <v/>
      </c>
      <c r="M1880" s="159">
        <f>SUM(M1879+K1880-L1880)</f>
        <v/>
      </c>
    </row>
    <row r="1881">
      <c r="A1881" s="114" t="n">
        <v>46153</v>
      </c>
      <c r="B1881" s="115" t="n">
        <v>2738</v>
      </c>
      <c r="C1881" s="115" t="inlineStr">
        <is>
          <t>KOZMO</t>
        </is>
      </c>
      <c r="D1881" s="115" t="inlineStr">
        <is>
          <t>SM350</t>
        </is>
      </c>
      <c r="E1881" s="115" t="inlineStr">
        <is>
          <t>MUHAMMED</t>
        </is>
      </c>
      <c r="F1881" s="115" t="n"/>
      <c r="G1881" s="156" t="n"/>
      <c r="H1881" s="152" t="n">
        <v>393</v>
      </c>
      <c r="I1881" s="156">
        <f>+I1880+(G1881-H1881)</f>
        <v/>
      </c>
      <c r="J1881" s="90" t="n"/>
      <c r="K1881" s="166" t="n"/>
      <c r="L1881" s="158">
        <f>+H1881*J1881</f>
        <v/>
      </c>
      <c r="M1881" s="159">
        <f>SUM(M1880+K1881-L1881)</f>
        <v/>
      </c>
    </row>
    <row r="1882">
      <c r="A1882" s="114" t="n">
        <v>46154</v>
      </c>
      <c r="B1882" s="115" t="n">
        <v>2739</v>
      </c>
      <c r="C1882" s="115" t="inlineStr">
        <is>
          <t>MEGA VARLIK</t>
        </is>
      </c>
      <c r="D1882" s="115" t="inlineStr">
        <is>
          <t>FORKLİFT</t>
        </is>
      </c>
      <c r="E1882" s="115" t="inlineStr">
        <is>
          <t>FAHRİ</t>
        </is>
      </c>
      <c r="F1882" s="115" t="n"/>
      <c r="G1882" s="156" t="n"/>
      <c r="H1882" s="152" t="n">
        <v>37</v>
      </c>
      <c r="I1882" s="156">
        <f>+I1881+(G1882-H1882)</f>
        <v/>
      </c>
      <c r="J1882" s="90" t="n"/>
      <c r="K1882" s="166" t="n"/>
      <c r="L1882" s="158">
        <f>+H1882*J1882</f>
        <v/>
      </c>
      <c r="M1882" s="159">
        <f>SUM(M1881+K1882-L1882)</f>
        <v/>
      </c>
    </row>
    <row r="1883">
      <c r="A1883" s="114" t="n">
        <v>46154</v>
      </c>
      <c r="B1883" s="115" t="n">
        <v>2740</v>
      </c>
      <c r="C1883" s="115" t="inlineStr">
        <is>
          <t>CAKYOL</t>
        </is>
      </c>
      <c r="D1883" s="115" t="inlineStr">
        <is>
          <t>34 EU 0188</t>
        </is>
      </c>
      <c r="E1883" s="115" t="inlineStr">
        <is>
          <t>CANER</t>
        </is>
      </c>
      <c r="F1883" s="115" t="n"/>
      <c r="G1883" s="156" t="n"/>
      <c r="H1883" s="152" t="n">
        <v>79</v>
      </c>
      <c r="I1883" s="156">
        <f>+I1882+(G1883-H1883)</f>
        <v/>
      </c>
      <c r="J1883" s="90" t="n"/>
      <c r="K1883" s="166" t="n"/>
      <c r="L1883" s="158">
        <f>+H1883*J1883</f>
        <v/>
      </c>
      <c r="M1883" s="159">
        <f>SUM(M1882+K1883-L1883)</f>
        <v/>
      </c>
    </row>
    <row r="1884">
      <c r="A1884" s="114" t="n">
        <v>46154</v>
      </c>
      <c r="B1884" s="115" t="n">
        <v>2741</v>
      </c>
      <c r="C1884" s="115" t="inlineStr">
        <is>
          <t>CAKYOL</t>
        </is>
      </c>
      <c r="D1884" s="115" t="inlineStr">
        <is>
          <t>34 PAY 001</t>
        </is>
      </c>
      <c r="E1884" s="115" t="inlineStr">
        <is>
          <t>SERKAN</t>
        </is>
      </c>
      <c r="F1884" s="115" t="n"/>
      <c r="G1884" s="156" t="n"/>
      <c r="H1884" s="152" t="n">
        <v>49</v>
      </c>
      <c r="I1884" s="156">
        <f>+I1883+(G1884-H1884)</f>
        <v/>
      </c>
      <c r="J1884" s="90" t="n"/>
      <c r="K1884" s="166" t="n"/>
      <c r="L1884" s="158">
        <f>+H1884*J1884</f>
        <v/>
      </c>
      <c r="M1884" s="159">
        <f>SUM(M1883+K1884-L1884)</f>
        <v/>
      </c>
    </row>
    <row r="1885">
      <c r="A1885" s="114" t="n">
        <v>46147</v>
      </c>
      <c r="B1885" s="115" t="n">
        <v>2742</v>
      </c>
      <c r="C1885" s="115" t="inlineStr">
        <is>
          <t>CAKYOL</t>
        </is>
      </c>
      <c r="D1885" s="115" t="inlineStr">
        <is>
          <t>34 ZS 8646</t>
        </is>
      </c>
      <c r="E1885" s="115" t="inlineStr">
        <is>
          <t>CANER</t>
        </is>
      </c>
      <c r="F1885" s="115" t="n"/>
      <c r="G1885" s="156" t="n"/>
      <c r="H1885" s="152" t="n">
        <v>56</v>
      </c>
      <c r="I1885" s="156">
        <f>+I1884+(G1885-H1885)</f>
        <v/>
      </c>
      <c r="J1885" s="90" t="n"/>
      <c r="K1885" s="166" t="n"/>
      <c r="L1885" s="158">
        <f>+H1885*J1885</f>
        <v/>
      </c>
      <c r="M1885" s="159">
        <f>SUM(M1884+K1885-L1885)</f>
        <v/>
      </c>
    </row>
    <row r="1886">
      <c r="A1886" s="114" t="n">
        <v>46147</v>
      </c>
      <c r="B1886" s="115" t="n">
        <v>2743</v>
      </c>
      <c r="C1886" s="115" t="inlineStr">
        <is>
          <t>CAKYOL</t>
        </is>
      </c>
      <c r="D1886" s="115" t="inlineStr">
        <is>
          <t>34 EU 0188</t>
        </is>
      </c>
      <c r="E1886" s="115" t="inlineStr">
        <is>
          <t>CANER</t>
        </is>
      </c>
      <c r="F1886" s="115" t="n"/>
      <c r="G1886" s="156" t="n"/>
      <c r="H1886" s="152" t="n">
        <v>88</v>
      </c>
      <c r="I1886" s="156">
        <f>+I1885+(G1886-H1886)</f>
        <v/>
      </c>
      <c r="J1886" s="90" t="n"/>
      <c r="K1886" s="166" t="n"/>
      <c r="L1886" s="158">
        <f>+H1886*J1886</f>
        <v/>
      </c>
      <c r="M1886" s="159">
        <f>SUM(M1885+K1886-L1886)</f>
        <v/>
      </c>
    </row>
    <row r="1887">
      <c r="A1887" s="114" t="n">
        <v>46147</v>
      </c>
      <c r="B1887" s="115" t="n">
        <v>2744</v>
      </c>
      <c r="C1887" s="115" t="inlineStr">
        <is>
          <t>CAKYOL</t>
        </is>
      </c>
      <c r="D1887" s="115" t="inlineStr">
        <is>
          <t>34 GA 9415</t>
        </is>
      </c>
      <c r="E1887" s="115" t="inlineStr">
        <is>
          <t>SERKAN</t>
        </is>
      </c>
      <c r="F1887" s="115" t="n"/>
      <c r="G1887" s="156" t="n"/>
      <c r="H1887" s="152" t="n">
        <v>100</v>
      </c>
      <c r="I1887" s="156">
        <f>+I1886+(G1887-H1887)</f>
        <v/>
      </c>
      <c r="J1887" s="90" t="n"/>
      <c r="K1887" s="166" t="n"/>
      <c r="L1887" s="158">
        <f>+H1887*J1887</f>
        <v/>
      </c>
      <c r="M1887" s="159">
        <f>SUM(M1886+K1887-L1887)</f>
        <v/>
      </c>
    </row>
    <row r="1888">
      <c r="A1888" s="114" t="n">
        <v>46154</v>
      </c>
      <c r="B1888" s="115" t="n">
        <v>2745</v>
      </c>
      <c r="C1888" s="115" t="inlineStr">
        <is>
          <t>VARLIK</t>
        </is>
      </c>
      <c r="D1888" s="115" t="inlineStr">
        <is>
          <t>HİTACHİ</t>
        </is>
      </c>
      <c r="E1888" s="115" t="inlineStr">
        <is>
          <t>TURGUT</t>
        </is>
      </c>
      <c r="F1888" s="115" t="n"/>
      <c r="G1888" s="156" t="n"/>
      <c r="H1888" s="152" t="n">
        <v>389</v>
      </c>
      <c r="I1888" s="156">
        <f>+I1887+(G1888-H1888)</f>
        <v/>
      </c>
      <c r="J1888" s="90" t="n"/>
      <c r="K1888" s="166" t="n"/>
      <c r="L1888" s="158">
        <f>+H1888*J1888</f>
        <v/>
      </c>
      <c r="M1888" s="159">
        <f>SUM(M1887+K1888-L1888)</f>
        <v/>
      </c>
    </row>
    <row r="1889">
      <c r="A1889" s="114" t="n">
        <v>46154</v>
      </c>
      <c r="B1889" s="115" t="n">
        <v>2746</v>
      </c>
      <c r="C1889" s="115" t="inlineStr">
        <is>
          <t>VARLIK</t>
        </is>
      </c>
      <c r="D1889" s="115" t="inlineStr">
        <is>
          <t>SM370</t>
        </is>
      </c>
      <c r="E1889" s="115" t="inlineStr">
        <is>
          <t>YUSUF</t>
        </is>
      </c>
      <c r="F1889" s="115" t="n"/>
      <c r="G1889" s="156" t="n"/>
      <c r="H1889" s="152" t="n">
        <v>550</v>
      </c>
      <c r="I1889" s="156">
        <f>+I1888+(G1889-H1889)</f>
        <v/>
      </c>
      <c r="J1889" s="90" t="n"/>
      <c r="K1889" s="166" t="n"/>
      <c r="L1889" s="158">
        <f>+H1889*J1889</f>
        <v/>
      </c>
      <c r="M1889" s="159">
        <f>SUM(M1888+K1889-L1889)</f>
        <v/>
      </c>
    </row>
    <row r="1890">
      <c r="A1890" s="114" t="n">
        <v>46154</v>
      </c>
      <c r="B1890" s="115" t="n">
        <v>2747</v>
      </c>
      <c r="C1890" s="115" t="inlineStr">
        <is>
          <t>KOZMO</t>
        </is>
      </c>
      <c r="D1890" s="115" t="inlineStr">
        <is>
          <t>SM350</t>
        </is>
      </c>
      <c r="E1890" s="115" t="inlineStr">
        <is>
          <t>MUHAMMED</t>
        </is>
      </c>
      <c r="F1890" s="115" t="n"/>
      <c r="G1890" s="156" t="n"/>
      <c r="H1890" s="152" t="n">
        <v>315</v>
      </c>
      <c r="I1890" s="156">
        <f>+I1889+(G1890-H1890)</f>
        <v/>
      </c>
      <c r="J1890" s="90" t="n"/>
      <c r="K1890" s="166" t="n"/>
      <c r="L1890" s="158">
        <f>+H1890*J1890</f>
        <v/>
      </c>
      <c r="M1890" s="159">
        <f>SUM(M1889+K1890-L1890)</f>
        <v/>
      </c>
    </row>
    <row r="1891">
      <c r="A1891" s="114" t="n">
        <v>46154</v>
      </c>
      <c r="B1891" s="115" t="n">
        <v>2748</v>
      </c>
      <c r="C1891" s="115" t="inlineStr">
        <is>
          <t>KOZMO</t>
        </is>
      </c>
      <c r="D1891" s="115" t="inlineStr">
        <is>
          <t>SM300</t>
        </is>
      </c>
      <c r="E1891" s="115" t="inlineStr">
        <is>
          <t>ONUR</t>
        </is>
      </c>
      <c r="F1891" s="115" t="n"/>
      <c r="G1891" s="156" t="n"/>
      <c r="H1891" s="152" t="n">
        <v>310</v>
      </c>
      <c r="I1891" s="156">
        <f>+I1890+(G1891-H1891)</f>
        <v/>
      </c>
      <c r="J1891" s="90" t="n"/>
      <c r="K1891" s="166" t="n"/>
      <c r="L1891" s="158">
        <f>+H1891*J1891</f>
        <v/>
      </c>
      <c r="M1891" s="159">
        <f>SUM(M1890+K1891-L1891)</f>
        <v/>
      </c>
    </row>
    <row r="1892">
      <c r="A1892" s="114" t="n">
        <v>46154</v>
      </c>
      <c r="B1892" s="115" t="n">
        <v>2749</v>
      </c>
      <c r="C1892" s="115" t="inlineStr">
        <is>
          <t>CAKYOL</t>
        </is>
      </c>
      <c r="D1892" s="115" t="inlineStr">
        <is>
          <t>RT650 SARI VİNÇ</t>
        </is>
      </c>
      <c r="E1892" s="115" t="inlineStr">
        <is>
          <t>CEMAL AKYOL</t>
        </is>
      </c>
      <c r="F1892" s="115" t="n"/>
      <c r="G1892" s="156" t="n"/>
      <c r="H1892" s="152" t="n">
        <v>129</v>
      </c>
      <c r="I1892" s="156">
        <f>+I1891+(G1892-H1892)</f>
        <v/>
      </c>
      <c r="J1892" s="90" t="n"/>
      <c r="K1892" s="166" t="n"/>
      <c r="L1892" s="158">
        <f>+H1892*J1892</f>
        <v/>
      </c>
      <c r="M1892" s="159">
        <f>SUM(M1891+K1892-L1892)</f>
        <v/>
      </c>
    </row>
    <row r="1893">
      <c r="A1893" s="114" t="n">
        <v>46154</v>
      </c>
      <c r="B1893" s="115" t="n">
        <v>2750</v>
      </c>
      <c r="C1893" s="115" t="inlineStr">
        <is>
          <t>KOZMO</t>
        </is>
      </c>
      <c r="D1893" s="115" t="inlineStr">
        <is>
          <t>SM350</t>
        </is>
      </c>
      <c r="E1893" s="115" t="inlineStr">
        <is>
          <t>TEVFİK</t>
        </is>
      </c>
      <c r="F1893" s="115" t="n"/>
      <c r="G1893" s="156" t="n"/>
      <c r="H1893" s="152" t="n">
        <v>400</v>
      </c>
      <c r="I1893" s="156">
        <f>+I1892+(G1893-H1893)</f>
        <v/>
      </c>
      <c r="J1893" s="90" t="n"/>
      <c r="K1893" s="166" t="n"/>
      <c r="L1893" s="158">
        <f>+H1893*J1893</f>
        <v/>
      </c>
      <c r="M1893" s="159">
        <f>SUM(M1892+K1893-L1893)</f>
        <v/>
      </c>
    </row>
    <row r="1894">
      <c r="A1894" s="114" t="n">
        <v>46153</v>
      </c>
      <c r="B1894" s="115" t="n">
        <v>2751</v>
      </c>
      <c r="C1894" s="115" t="inlineStr">
        <is>
          <t>KOZMO</t>
        </is>
      </c>
      <c r="D1894" s="115" t="inlineStr">
        <is>
          <t>SM350</t>
        </is>
      </c>
      <c r="E1894" s="115" t="inlineStr">
        <is>
          <t>TEVFİK</t>
        </is>
      </c>
      <c r="F1894" s="115" t="n"/>
      <c r="G1894" s="156" t="n"/>
      <c r="H1894" s="152" t="n">
        <v>455</v>
      </c>
      <c r="I1894" s="156">
        <f>+I1893+(G1894-H1894)</f>
        <v/>
      </c>
      <c r="J1894" s="90" t="n"/>
      <c r="K1894" s="166" t="n"/>
      <c r="L1894" s="158">
        <f>+H1894*J1894</f>
        <v/>
      </c>
      <c r="M1894" s="159">
        <f>SUM(M1893+K1894-L1894)</f>
        <v/>
      </c>
    </row>
    <row r="1895">
      <c r="A1895" s="114" t="n">
        <v>46155</v>
      </c>
      <c r="B1895" s="115" t="n">
        <v>2752</v>
      </c>
      <c r="C1895" s="115" t="inlineStr">
        <is>
          <t>KOZMO</t>
        </is>
      </c>
      <c r="D1895" s="115" t="inlineStr">
        <is>
          <t>SM350</t>
        </is>
      </c>
      <c r="E1895" s="115" t="inlineStr">
        <is>
          <t>ONUR</t>
        </is>
      </c>
      <c r="F1895" s="115" t="n"/>
      <c r="G1895" s="156" t="n"/>
      <c r="H1895" s="152" t="n">
        <v>290</v>
      </c>
      <c r="I1895" s="156">
        <f>+I1894+(G1895-H1895)</f>
        <v/>
      </c>
      <c r="J1895" s="90" t="n"/>
      <c r="K1895" s="166" t="n"/>
      <c r="L1895" s="158">
        <f>+H1895*J1895</f>
        <v/>
      </c>
      <c r="M1895" s="159">
        <f>SUM(M1894+K1895-L1895)</f>
        <v/>
      </c>
    </row>
    <row r="1896">
      <c r="A1896" s="114" t="n">
        <v>46155</v>
      </c>
      <c r="B1896" s="115" t="n">
        <v>2753</v>
      </c>
      <c r="C1896" s="115" t="inlineStr">
        <is>
          <t>KOZMO</t>
        </is>
      </c>
      <c r="D1896" s="115" t="inlineStr">
        <is>
          <t>SM350</t>
        </is>
      </c>
      <c r="E1896" s="115" t="inlineStr">
        <is>
          <t>MUHAMMED</t>
        </is>
      </c>
      <c r="F1896" s="115" t="n"/>
      <c r="G1896" s="156" t="n"/>
      <c r="H1896" s="152" t="n">
        <v>377</v>
      </c>
      <c r="I1896" s="156">
        <f>+I1895+(G1896-H1896)</f>
        <v/>
      </c>
      <c r="J1896" s="90" t="n"/>
      <c r="K1896" s="166" t="n"/>
      <c r="L1896" s="158">
        <f>+H1896*J1896</f>
        <v/>
      </c>
      <c r="M1896" s="159">
        <f>SUM(M1895+K1896-L1896)</f>
        <v/>
      </c>
    </row>
    <row r="1897">
      <c r="A1897" s="114" t="n">
        <v>46155</v>
      </c>
      <c r="B1897" s="115" t="n">
        <v>2754</v>
      </c>
      <c r="C1897" s="115" t="inlineStr">
        <is>
          <t>VARLIK</t>
        </is>
      </c>
      <c r="D1897" s="115" t="inlineStr">
        <is>
          <t>SM350</t>
        </is>
      </c>
      <c r="E1897" s="115" t="inlineStr">
        <is>
          <t>YUSUF</t>
        </is>
      </c>
      <c r="F1897" s="115" t="n"/>
      <c r="G1897" s="156" t="n"/>
      <c r="H1897" s="152" t="n">
        <v>360</v>
      </c>
      <c r="I1897" s="156">
        <f>+I1896+(G1897-H1897)</f>
        <v/>
      </c>
      <c r="J1897" s="90" t="n"/>
      <c r="K1897" s="166" t="n"/>
      <c r="L1897" s="158">
        <f>+H1897*J1897</f>
        <v/>
      </c>
      <c r="M1897" s="159">
        <f>SUM(M1896+K1897-L1897)</f>
        <v/>
      </c>
    </row>
    <row r="1898">
      <c r="A1898" s="114" t="n">
        <v>46156</v>
      </c>
      <c r="B1898" s="115" t="n">
        <v>2755</v>
      </c>
      <c r="C1898" s="115" t="inlineStr">
        <is>
          <t>KOZMO</t>
        </is>
      </c>
      <c r="D1898" s="115" t="inlineStr">
        <is>
          <t>SM350</t>
        </is>
      </c>
      <c r="E1898" s="115" t="inlineStr">
        <is>
          <t>TEVFİK</t>
        </is>
      </c>
      <c r="F1898" s="115" t="n"/>
      <c r="G1898" s="156" t="n"/>
      <c r="H1898" s="152" t="n">
        <v>523</v>
      </c>
      <c r="I1898" s="156">
        <f>+I1897+(G1898-H1898)</f>
        <v/>
      </c>
      <c r="J1898" s="90" t="n"/>
      <c r="K1898" s="166" t="n"/>
      <c r="L1898" s="158">
        <f>+H1898*J1898</f>
        <v/>
      </c>
      <c r="M1898" s="159">
        <f>SUM(M1897+K1898-L1898)</f>
        <v/>
      </c>
    </row>
    <row r="1899">
      <c r="A1899" s="114" t="n">
        <v>46156</v>
      </c>
      <c r="B1899" s="115" t="n">
        <v>2756</v>
      </c>
      <c r="C1899" s="115" t="inlineStr">
        <is>
          <t>KOZMO</t>
        </is>
      </c>
      <c r="D1899" s="115" t="inlineStr">
        <is>
          <t>SM300</t>
        </is>
      </c>
      <c r="E1899" s="115" t="inlineStr">
        <is>
          <t>ONUR</t>
        </is>
      </c>
      <c r="F1899" s="115" t="n"/>
      <c r="G1899" s="156" t="n"/>
      <c r="H1899" s="152" t="n">
        <v>238</v>
      </c>
      <c r="I1899" s="156">
        <f>+I1898+(G1899-H1899)</f>
        <v/>
      </c>
      <c r="J1899" s="90" t="n"/>
      <c r="K1899" s="166" t="n"/>
      <c r="L1899" s="158">
        <f>+H1899*J1899</f>
        <v/>
      </c>
      <c r="M1899" s="159">
        <f>SUM(M1898+K1899-L1899)</f>
        <v/>
      </c>
    </row>
    <row r="1900">
      <c r="A1900" s="114" t="n">
        <v>46156</v>
      </c>
      <c r="B1900" s="115" t="n">
        <v>2757</v>
      </c>
      <c r="C1900" s="115" t="inlineStr">
        <is>
          <t>KOZMO</t>
        </is>
      </c>
      <c r="D1900" s="115" t="inlineStr">
        <is>
          <t>SM350</t>
        </is>
      </c>
      <c r="E1900" s="115" t="inlineStr">
        <is>
          <t>MUHAMMED</t>
        </is>
      </c>
      <c r="F1900" s="115" t="n"/>
      <c r="G1900" s="156" t="n"/>
      <c r="H1900" s="152" t="n">
        <v>254</v>
      </c>
      <c r="I1900" s="156">
        <f>+I1899+(G1900-H1900)</f>
        <v/>
      </c>
      <c r="J1900" s="90" t="n"/>
      <c r="K1900" s="166" t="n"/>
      <c r="L1900" s="158">
        <f>+H1900*J1900</f>
        <v/>
      </c>
      <c r="M1900" s="159">
        <f>SUM(M1899+K1900-L1900)</f>
        <v/>
      </c>
    </row>
    <row r="1901">
      <c r="A1901" s="114" t="n">
        <v>46156</v>
      </c>
      <c r="B1901" s="115" t="n">
        <v>2758</v>
      </c>
      <c r="C1901" s="115" t="inlineStr">
        <is>
          <t>EVKUR</t>
        </is>
      </c>
      <c r="D1901" s="115" t="inlineStr">
        <is>
          <t>JENERATÖR</t>
        </is>
      </c>
      <c r="E1901" s="115" t="inlineStr">
        <is>
          <t xml:space="preserve">GÜNEŞ </t>
        </is>
      </c>
      <c r="F1901" s="115" t="n"/>
      <c r="G1901" s="156" t="n"/>
      <c r="H1901" s="152" t="n">
        <v>204</v>
      </c>
      <c r="I1901" s="156">
        <f>+I1900+(G1901-H1901)</f>
        <v/>
      </c>
      <c r="J1901" s="90" t="n"/>
      <c r="K1901" s="166" t="n"/>
      <c r="L1901" s="158">
        <f>+H1901*J1901</f>
        <v/>
      </c>
      <c r="M1901" s="159">
        <f>SUM(M1900+K1901-L1901)</f>
        <v/>
      </c>
    </row>
    <row r="1902">
      <c r="A1902" s="114" t="n">
        <v>46156</v>
      </c>
      <c r="B1902" s="115" t="n">
        <v>2759</v>
      </c>
      <c r="C1902" s="115" t="inlineStr">
        <is>
          <t>EVKUR</t>
        </is>
      </c>
      <c r="D1902" s="115" t="inlineStr">
        <is>
          <t>KİRALIK KATO</t>
        </is>
      </c>
      <c r="E1902" s="115" t="inlineStr">
        <is>
          <t xml:space="preserve">GÜNEŞ </t>
        </is>
      </c>
      <c r="F1902" s="115" t="n"/>
      <c r="G1902" s="156" t="n"/>
      <c r="H1902" s="152" t="n">
        <v>69</v>
      </c>
      <c r="I1902" s="156">
        <f>+I1901+(G1902-H1902)</f>
        <v/>
      </c>
      <c r="J1902" s="90" t="n"/>
      <c r="K1902" s="166" t="n"/>
      <c r="L1902" s="158">
        <f>+H1902*J1902</f>
        <v/>
      </c>
      <c r="M1902" s="159">
        <f>SUM(M1901+K1902-L1902)</f>
        <v/>
      </c>
    </row>
    <row r="1903">
      <c r="A1903" s="114" t="n">
        <v>46156</v>
      </c>
      <c r="B1903" s="115" t="n">
        <v>2760</v>
      </c>
      <c r="C1903" s="115" t="inlineStr">
        <is>
          <t>KOZMO</t>
        </is>
      </c>
      <c r="D1903" s="115" t="inlineStr">
        <is>
          <t>SİLİNDİR</t>
        </is>
      </c>
      <c r="E1903" s="115" t="inlineStr">
        <is>
          <t>ATABEK</t>
        </is>
      </c>
      <c r="F1903" s="115" t="n"/>
      <c r="G1903" s="156" t="n"/>
      <c r="H1903" s="152" t="n">
        <v>260</v>
      </c>
      <c r="I1903" s="156">
        <f>+I1902+(G1903-H1903)</f>
        <v/>
      </c>
      <c r="J1903" s="90" t="n"/>
      <c r="K1903" s="166" t="n"/>
      <c r="L1903" s="158">
        <f>+H1903*J1903</f>
        <v/>
      </c>
      <c r="M1903" s="159">
        <f>SUM(M1902+K1903-L1903)</f>
        <v/>
      </c>
    </row>
    <row r="1904">
      <c r="A1904" s="114" t="n">
        <v>46156</v>
      </c>
      <c r="B1904" s="115" t="n">
        <v>2761</v>
      </c>
      <c r="C1904" s="115" t="inlineStr">
        <is>
          <t>CAKYOL</t>
        </is>
      </c>
      <c r="D1904" s="115" t="inlineStr">
        <is>
          <t>34 ZS 8646</t>
        </is>
      </c>
      <c r="E1904" s="115" t="inlineStr">
        <is>
          <t>İSMAİL</t>
        </is>
      </c>
      <c r="F1904" s="115" t="n"/>
      <c r="G1904" s="156" t="n"/>
      <c r="H1904" s="152" t="n">
        <v>56</v>
      </c>
      <c r="I1904" s="156">
        <f>+I1903+(G1904-H1904)</f>
        <v/>
      </c>
      <c r="J1904" s="90" t="n"/>
      <c r="K1904" s="166" t="n"/>
      <c r="L1904" s="158">
        <f>+H1904*J1904</f>
        <v/>
      </c>
      <c r="M1904" s="159">
        <f>SUM(M1903+K1904-L1904)</f>
        <v/>
      </c>
    </row>
    <row r="1905">
      <c r="A1905" s="114" t="n">
        <v>46156</v>
      </c>
      <c r="B1905" s="115" t="n">
        <v>2762</v>
      </c>
      <c r="C1905" s="115" t="inlineStr">
        <is>
          <t>CAKYOL</t>
        </is>
      </c>
      <c r="D1905" s="115" t="inlineStr">
        <is>
          <t>34 GA 9415</t>
        </is>
      </c>
      <c r="E1905" s="115" t="inlineStr">
        <is>
          <t>İSMAİL</t>
        </is>
      </c>
      <c r="F1905" s="115" t="n"/>
      <c r="G1905" s="156" t="n"/>
      <c r="H1905" s="152" t="n">
        <v>85</v>
      </c>
      <c r="I1905" s="156">
        <f>+I1904+(G1905-H1905)</f>
        <v/>
      </c>
      <c r="J1905" s="90" t="n"/>
      <c r="K1905" s="166" t="n"/>
      <c r="L1905" s="158">
        <f>+H1905*J1905</f>
        <v/>
      </c>
      <c r="M1905" s="159">
        <f>SUM(M1904+K1905-L1905)</f>
        <v/>
      </c>
    </row>
    <row r="1906">
      <c r="A1906" s="114" t="n">
        <v>46156</v>
      </c>
      <c r="B1906" s="115" t="n">
        <v>2763</v>
      </c>
      <c r="C1906" s="115" t="inlineStr">
        <is>
          <t>CAKYOL</t>
        </is>
      </c>
      <c r="D1906" s="115" t="inlineStr">
        <is>
          <t>34 GCY 009</t>
        </is>
      </c>
      <c r="E1906" s="115" t="inlineStr">
        <is>
          <t>İSMAİL</t>
        </is>
      </c>
      <c r="F1906" s="115" t="n"/>
      <c r="G1906" s="156" t="n"/>
      <c r="H1906" s="152" t="n">
        <v>40</v>
      </c>
      <c r="I1906" s="156">
        <f>+I1905+(G1906-H1906)</f>
        <v/>
      </c>
      <c r="J1906" s="90" t="n"/>
      <c r="K1906" s="166" t="n"/>
      <c r="L1906" s="158">
        <f>+H1906*J1906</f>
        <v/>
      </c>
      <c r="M1906" s="159">
        <f>SUM(M1905+K1906-L1906)</f>
        <v/>
      </c>
    </row>
    <row r="1907">
      <c r="A1907" s="114" t="n">
        <v>46156</v>
      </c>
      <c r="B1907" s="115" t="n">
        <v>2764</v>
      </c>
      <c r="C1907" s="115" t="n"/>
      <c r="D1907" s="115" t="inlineStr">
        <is>
          <t>JCB</t>
        </is>
      </c>
      <c r="E1907" s="115" t="inlineStr">
        <is>
          <t>BAYRAM SANCAK</t>
        </is>
      </c>
      <c r="F1907" s="115" t="n"/>
      <c r="G1907" s="156" t="n"/>
      <c r="H1907" s="152" t="n">
        <v>78</v>
      </c>
      <c r="I1907" s="156">
        <f>+I1906+(G1907-H1907)</f>
        <v/>
      </c>
      <c r="J1907" s="90" t="n"/>
      <c r="K1907" s="166" t="n"/>
      <c r="L1907" s="158">
        <f>+H1907*J1907</f>
        <v/>
      </c>
      <c r="M1907" s="159">
        <f>SUM(M1906+K1907-L1907)</f>
        <v/>
      </c>
    </row>
    <row r="1908">
      <c r="A1908" s="114" t="n">
        <v>46156</v>
      </c>
      <c r="B1908" s="115" t="n">
        <v>2765</v>
      </c>
      <c r="C1908" s="115" t="inlineStr">
        <is>
          <t>MEGA VARLIK</t>
        </is>
      </c>
      <c r="D1908" s="115" t="inlineStr">
        <is>
          <t>FORKLİFT</t>
        </is>
      </c>
      <c r="E1908" s="115" t="inlineStr">
        <is>
          <t>FAHRİ</t>
        </is>
      </c>
      <c r="F1908" s="115" t="n"/>
      <c r="G1908" s="156" t="n"/>
      <c r="H1908" s="152" t="n">
        <v>34</v>
      </c>
      <c r="I1908" s="156">
        <f>+I1907+(G1908-H1908)</f>
        <v/>
      </c>
      <c r="J1908" s="90" t="n"/>
      <c r="K1908" s="166" t="n"/>
      <c r="L1908" s="158">
        <f>+H1908*J1908</f>
        <v/>
      </c>
      <c r="M1908" s="159">
        <f>SUM(M1907+K1908-L1908)</f>
        <v/>
      </c>
    </row>
    <row r="1909">
      <c r="A1909" s="114" t="n">
        <v>46156</v>
      </c>
      <c r="B1909" s="115" t="n">
        <v>2766</v>
      </c>
      <c r="C1909" s="115" t="inlineStr">
        <is>
          <t>MEGA VARLIK</t>
        </is>
      </c>
      <c r="D1909" s="115" t="inlineStr">
        <is>
          <t>34 AZ 2191</t>
        </is>
      </c>
      <c r="E1909" s="115" t="inlineStr">
        <is>
          <t>NUMAN KABİL</t>
        </is>
      </c>
      <c r="F1909" s="115" t="n"/>
      <c r="G1909" s="156" t="n"/>
      <c r="H1909" s="152" t="n">
        <v>237</v>
      </c>
      <c r="I1909" s="156">
        <f>+I1908+(G1909-H1909)</f>
        <v/>
      </c>
      <c r="J1909" s="90" t="n"/>
      <c r="K1909" s="166" t="n"/>
      <c r="L1909" s="158">
        <f>+H1909*J1909</f>
        <v/>
      </c>
      <c r="M1909" s="159">
        <f>SUM(M1908+K1909-L1909)</f>
        <v/>
      </c>
    </row>
    <row r="1910">
      <c r="A1910" s="114" t="n">
        <v>46157</v>
      </c>
      <c r="B1910" s="115" t="n">
        <v>2767</v>
      </c>
      <c r="C1910" s="115" t="inlineStr">
        <is>
          <t>ŞEN KASAP</t>
        </is>
      </c>
      <c r="D1910" s="115" t="inlineStr">
        <is>
          <t>SM370</t>
        </is>
      </c>
      <c r="E1910" s="115" t="inlineStr">
        <is>
          <t>YUSUF</t>
        </is>
      </c>
      <c r="F1910" s="115" t="n"/>
      <c r="G1910" s="156" t="n"/>
      <c r="H1910" s="152" t="n">
        <v>510</v>
      </c>
      <c r="I1910" s="156">
        <f>+I1909+(G1910-H1910)</f>
        <v/>
      </c>
      <c r="J1910" s="90" t="n"/>
      <c r="K1910" s="166" t="n"/>
      <c r="L1910" s="158">
        <f>+H1910*J1910</f>
        <v/>
      </c>
      <c r="M1910" s="159">
        <f>SUM(M1909+K1910-L1910)</f>
        <v/>
      </c>
    </row>
    <row r="1911">
      <c r="A1911" s="114" t="n">
        <v>46157</v>
      </c>
      <c r="B1911" s="115" t="n">
        <v>2768</v>
      </c>
      <c r="C1911" s="115" t="inlineStr">
        <is>
          <t>KOZMO</t>
        </is>
      </c>
      <c r="D1911" s="115" t="inlineStr">
        <is>
          <t>SM350</t>
        </is>
      </c>
      <c r="E1911" s="115" t="inlineStr">
        <is>
          <t>TEVFİK</t>
        </is>
      </c>
      <c r="F1911" s="115" t="n"/>
      <c r="G1911" s="156" t="n"/>
      <c r="H1911" s="152" t="n">
        <v>350</v>
      </c>
      <c r="I1911" s="156">
        <f>+I1910+(G1911-H1911)</f>
        <v/>
      </c>
      <c r="J1911" s="90" t="n"/>
      <c r="K1911" s="166" t="n"/>
      <c r="L1911" s="158">
        <f>+H1911*J1911</f>
        <v/>
      </c>
      <c r="M1911" s="159">
        <f>SUM(M1910+K1911-L1911)</f>
        <v/>
      </c>
    </row>
    <row r="1912">
      <c r="A1912" s="114" t="n">
        <v>46157</v>
      </c>
      <c r="B1912" s="115" t="n">
        <v>2769</v>
      </c>
      <c r="C1912" s="115" t="inlineStr">
        <is>
          <t>KOZMO</t>
        </is>
      </c>
      <c r="D1912" s="115" t="inlineStr">
        <is>
          <t>SM300</t>
        </is>
      </c>
      <c r="E1912" s="115" t="inlineStr">
        <is>
          <t>ONUR</t>
        </is>
      </c>
      <c r="F1912" s="115" t="n"/>
      <c r="G1912" s="156" t="n"/>
      <c r="H1912" s="152" t="n">
        <v>307</v>
      </c>
      <c r="I1912" s="156">
        <f>+I1911+(G1912-H1912)</f>
        <v/>
      </c>
      <c r="J1912" s="90" t="n"/>
      <c r="K1912" s="166" t="n"/>
      <c r="L1912" s="158">
        <f>+H1912*J1912</f>
        <v/>
      </c>
      <c r="M1912" s="159">
        <f>SUM(M1911+K1912-L1912)</f>
        <v/>
      </c>
    </row>
    <row r="1913">
      <c r="A1913" s="114" t="n">
        <v>46157</v>
      </c>
      <c r="B1913" s="115" t="n">
        <v>2770</v>
      </c>
      <c r="C1913" s="115" t="inlineStr">
        <is>
          <t>KOZMO</t>
        </is>
      </c>
      <c r="D1913" s="115" t="inlineStr">
        <is>
          <t>SİLİNDİR</t>
        </is>
      </c>
      <c r="E1913" s="115" t="inlineStr">
        <is>
          <t>ATABEK</t>
        </is>
      </c>
      <c r="F1913" s="115" t="n"/>
      <c r="G1913" s="156" t="n"/>
      <c r="H1913" s="152" t="n">
        <v>206</v>
      </c>
      <c r="I1913" s="156">
        <f>+I1912+(G1913-H1913)</f>
        <v/>
      </c>
      <c r="J1913" s="90" t="n"/>
      <c r="K1913" s="166" t="n"/>
      <c r="L1913" s="158">
        <f>+H1913*J1913</f>
        <v/>
      </c>
      <c r="M1913" s="159">
        <f>SUM(M1912+K1913-L1913)</f>
        <v/>
      </c>
    </row>
    <row r="1914">
      <c r="A1914" s="114" t="n"/>
      <c r="B1914" s="115" t="n"/>
      <c r="C1914" s="115" t="n"/>
      <c r="D1914" s="115" t="n"/>
      <c r="E1914" s="115" t="n"/>
      <c r="F1914" s="115" t="n"/>
      <c r="G1914" s="156" t="n"/>
      <c r="H1914" s="152" t="n"/>
      <c r="I1914" s="156">
        <f>+I1913+(G1914-H1914)</f>
        <v/>
      </c>
      <c r="J1914" s="90" t="n"/>
      <c r="K1914" s="166" t="n"/>
      <c r="L1914" s="158">
        <f>+H1914*J1914</f>
        <v/>
      </c>
      <c r="M1914" s="159">
        <f>SUM(M1913+K1914-L1914)</f>
        <v/>
      </c>
    </row>
    <row r="1915">
      <c r="A1915" s="114" t="n"/>
      <c r="B1915" s="115" t="n"/>
      <c r="C1915" s="115" t="n"/>
      <c r="D1915" s="115" t="n"/>
      <c r="E1915" s="115" t="n"/>
      <c r="F1915" s="115" t="n"/>
      <c r="G1915" s="156" t="n"/>
      <c r="H1915" s="152" t="n"/>
      <c r="I1915" s="156">
        <f>+I1914+(G1915-H1915)</f>
        <v/>
      </c>
      <c r="J1915" s="90" t="n"/>
      <c r="K1915" s="166" t="n"/>
      <c r="L1915" s="158">
        <f>+H1915*J1915</f>
        <v/>
      </c>
      <c r="M1915" s="159">
        <f>SUM(M1914+K1915-L1915)</f>
        <v/>
      </c>
    </row>
    <row r="1916">
      <c r="A1916" s="114" t="n">
        <v>46160</v>
      </c>
      <c r="B1916" s="115" t="n">
        <v>3176</v>
      </c>
      <c r="C1916" s="115" t="inlineStr">
        <is>
          <t>SELİM İNŞAAT</t>
        </is>
      </c>
      <c r="D1916" s="115" t="inlineStr">
        <is>
          <t>34 DTV 599</t>
        </is>
      </c>
      <c r="E1916" s="115" t="inlineStr">
        <is>
          <t>YAKUP GÜNER</t>
        </is>
      </c>
      <c r="F1916" s="115" t="n">
        <v>478716</v>
      </c>
      <c r="G1916" s="156" t="n"/>
      <c r="H1916" s="152" t="n">
        <v>555</v>
      </c>
      <c r="I1916" s="156">
        <f>+I1915+(G1916-H1916)</f>
        <v/>
      </c>
      <c r="J1916" s="90" t="n"/>
      <c r="K1916" s="166" t="n"/>
      <c r="L1916" s="158">
        <f>+H1916*J1916</f>
        <v/>
      </c>
      <c r="M1916" s="159">
        <f>SUM(M1915+K1916-L1916)</f>
        <v/>
      </c>
    </row>
    <row r="1917">
      <c r="A1917" s="114" t="n">
        <v>46160</v>
      </c>
      <c r="B1917" s="115" t="n">
        <v>1712</v>
      </c>
      <c r="C1917" s="115" t="inlineStr">
        <is>
          <t>SELİM İNŞAAT</t>
        </is>
      </c>
      <c r="D1917" s="115" t="inlineStr">
        <is>
          <t>34 EDC 162</t>
        </is>
      </c>
      <c r="E1917" s="115" t="inlineStr">
        <is>
          <t>YAKUP GÜNER</t>
        </is>
      </c>
      <c r="F1917" s="115" t="n">
        <v>428897</v>
      </c>
      <c r="G1917" s="156" t="n"/>
      <c r="H1917" s="152" t="n">
        <v>357</v>
      </c>
      <c r="I1917" s="156">
        <f>+I1916+(G1917-H1917)</f>
        <v/>
      </c>
      <c r="J1917" s="90" t="n"/>
      <c r="K1917" s="166" t="n"/>
      <c r="L1917" s="158">
        <f>+H1917*J1917</f>
        <v/>
      </c>
      <c r="M1917" s="159">
        <f>SUM(M1916+K1917-L1917)</f>
        <v/>
      </c>
    </row>
    <row r="1918">
      <c r="A1918" s="114" t="n">
        <v>46158</v>
      </c>
      <c r="B1918" s="115" t="n">
        <v>3245</v>
      </c>
      <c r="C1918" s="115" t="inlineStr">
        <is>
          <t>SELİM İNŞAAT</t>
        </is>
      </c>
      <c r="D1918" s="115" t="inlineStr">
        <is>
          <t>34 EGR 736</t>
        </is>
      </c>
      <c r="E1918" s="115" t="inlineStr">
        <is>
          <t>HAKAN ÇAVUŞOĞLU</t>
        </is>
      </c>
      <c r="F1918" s="115" t="n">
        <v>451223</v>
      </c>
      <c r="G1918" s="156" t="n"/>
      <c r="H1918" s="152" t="n">
        <v>548</v>
      </c>
      <c r="I1918" s="156">
        <f>+I1917+(G1918-H1918)</f>
        <v/>
      </c>
      <c r="J1918" s="90" t="n"/>
      <c r="K1918" s="166" t="n"/>
      <c r="L1918" s="158">
        <f>+H1918*J1918</f>
        <v/>
      </c>
      <c r="M1918" s="159">
        <f>SUM(M1917+K1918-L1918)</f>
        <v/>
      </c>
    </row>
    <row r="1919">
      <c r="A1919" s="114" t="n">
        <v>46158</v>
      </c>
      <c r="B1919" s="115" t="n">
        <v>2994</v>
      </c>
      <c r="C1919" s="115" t="inlineStr">
        <is>
          <t>SELİM İNŞAAT</t>
        </is>
      </c>
      <c r="D1919" s="115" t="inlineStr">
        <is>
          <t>34 DFE 454</t>
        </is>
      </c>
      <c r="E1919" s="115" t="inlineStr">
        <is>
          <t>HÜSEYİN ALIN</t>
        </is>
      </c>
      <c r="F1919" s="115" t="n">
        <v>177917</v>
      </c>
      <c r="G1919" s="156" t="n"/>
      <c r="H1919" s="152" t="n">
        <v>296</v>
      </c>
      <c r="I1919" s="156">
        <f>+I1918+(G1919-H1919)</f>
        <v/>
      </c>
      <c r="J1919" s="90" t="n"/>
      <c r="K1919" s="166" t="n"/>
      <c r="L1919" s="158">
        <f>+H1919*J1919</f>
        <v/>
      </c>
      <c r="M1919" s="159">
        <f>SUM(M1918+K1919-L1919)</f>
        <v/>
      </c>
    </row>
    <row r="1920">
      <c r="A1920" s="114" t="n">
        <v>46160</v>
      </c>
      <c r="B1920" s="115" t="n">
        <v>1855</v>
      </c>
      <c r="C1920" s="115" t="inlineStr">
        <is>
          <t>SELİM İNŞAAT</t>
        </is>
      </c>
      <c r="D1920" s="115" t="inlineStr">
        <is>
          <t>34 GER 028</t>
        </is>
      </c>
      <c r="E1920" s="115" t="inlineStr">
        <is>
          <t>ABDULKERİM ERGEN</t>
        </is>
      </c>
      <c r="F1920" s="115" t="n">
        <v>64121</v>
      </c>
      <c r="G1920" s="156" t="n"/>
      <c r="H1920" s="152" t="n">
        <v>296</v>
      </c>
      <c r="I1920" s="156">
        <f>+I1919+(G1920-H1920)</f>
        <v/>
      </c>
      <c r="J1920" s="90" t="n"/>
      <c r="K1920" s="166" t="n"/>
      <c r="L1920" s="158">
        <f>+H1920*J1920</f>
        <v/>
      </c>
      <c r="M1920" s="159">
        <f>SUM(M1919+K1920-L1920)</f>
        <v/>
      </c>
    </row>
    <row r="1921">
      <c r="A1921" s="114" t="n">
        <v>46161</v>
      </c>
      <c r="B1921" s="115" t="n">
        <v>1358</v>
      </c>
      <c r="C1921" s="115" t="inlineStr">
        <is>
          <t>SELİM İNŞAAT</t>
        </is>
      </c>
      <c r="D1921" s="115" t="inlineStr">
        <is>
          <t>34 DP 4161</t>
        </is>
      </c>
      <c r="E1921" s="115" t="inlineStr">
        <is>
          <t>RİFAT KARATAY</t>
        </is>
      </c>
      <c r="F1921" s="115" t="n">
        <v>323530</v>
      </c>
      <c r="G1921" s="156" t="n"/>
      <c r="H1921" s="152" t="n">
        <v>293</v>
      </c>
      <c r="I1921" s="156">
        <f>+I1920+(G1921-H1921)</f>
        <v/>
      </c>
      <c r="J1921" s="90" t="n"/>
      <c r="K1921" s="166" t="n"/>
      <c r="L1921" s="158">
        <f>+H1921*J1921</f>
        <v/>
      </c>
      <c r="M1921" s="159">
        <f>SUM(M1920+K1921-L1921)</f>
        <v/>
      </c>
    </row>
    <row r="1922">
      <c r="A1922" s="114" t="n">
        <v>46160</v>
      </c>
      <c r="B1922" s="115" t="n">
        <v>4482</v>
      </c>
      <c r="C1922" s="115" t="inlineStr">
        <is>
          <t>SELİM İNŞAAT</t>
        </is>
      </c>
      <c r="D1922" s="115" t="inlineStr">
        <is>
          <t>34 DKL 798</t>
        </is>
      </c>
      <c r="E1922" s="115" t="inlineStr">
        <is>
          <t>HASAN BAYCA</t>
        </is>
      </c>
      <c r="F1922" s="115" t="n">
        <v>84482</v>
      </c>
      <c r="G1922" s="156" t="n"/>
      <c r="H1922" s="152" t="n">
        <v>234</v>
      </c>
      <c r="I1922" s="156">
        <f>+I1921+(G1922-H1922)</f>
        <v/>
      </c>
      <c r="J1922" s="90" t="n"/>
      <c r="K1922" s="166" t="n"/>
      <c r="L1922" s="158">
        <f>+H1922*J1922</f>
        <v/>
      </c>
      <c r="M1922" s="159">
        <f>SUM(M1921+K1922-L1922)</f>
        <v/>
      </c>
    </row>
    <row r="1923">
      <c r="A1923" s="114" t="n">
        <v>46160</v>
      </c>
      <c r="B1923" s="115" t="n">
        <v>3750</v>
      </c>
      <c r="C1923" s="115" t="inlineStr">
        <is>
          <t>SELİM İNŞAAT</t>
        </is>
      </c>
      <c r="D1923" s="115" t="inlineStr">
        <is>
          <t>34 DKL 866</t>
        </is>
      </c>
      <c r="E1923" s="115" t="inlineStr">
        <is>
          <t>SELİMCAN ÖNVER</t>
        </is>
      </c>
      <c r="F1923" s="115" t="n">
        <v>85926</v>
      </c>
      <c r="G1923" s="156" t="n"/>
      <c r="H1923" s="152" t="n">
        <v>262</v>
      </c>
      <c r="I1923" s="156">
        <f>+I1922+(G1923-H1923)</f>
        <v/>
      </c>
      <c r="J1923" s="90" t="n"/>
      <c r="K1923" s="166" t="n"/>
      <c r="L1923" s="158">
        <f>+H1923*J1923</f>
        <v/>
      </c>
      <c r="M1923" s="159">
        <f>SUM(M1922+K1923-L1923)</f>
        <v/>
      </c>
    </row>
    <row r="1924">
      <c r="A1924" s="114" t="n">
        <v>46162</v>
      </c>
      <c r="B1924" s="115" t="n">
        <v>1101</v>
      </c>
      <c r="C1924" s="115" t="inlineStr">
        <is>
          <t>SELİM İNŞAAT</t>
        </is>
      </c>
      <c r="D1924" s="115" t="inlineStr">
        <is>
          <t>34 DKL 866</t>
        </is>
      </c>
      <c r="E1924" s="115" t="inlineStr">
        <is>
          <t>SELİMCAN ÖNVER</t>
        </is>
      </c>
      <c r="F1924" s="115" t="n">
        <v>86035</v>
      </c>
      <c r="G1924" s="156" t="n"/>
      <c r="H1924" s="152" t="n">
        <v>220</v>
      </c>
      <c r="I1924" s="156">
        <f>+I1923+(G1924-H1924)</f>
        <v/>
      </c>
      <c r="J1924" s="90" t="n"/>
      <c r="K1924" s="166" t="n"/>
      <c r="L1924" s="158">
        <f>+H1924*J1924</f>
        <v/>
      </c>
      <c r="M1924" s="159">
        <f>SUM(M1923+K1924-L1924)</f>
        <v/>
      </c>
    </row>
    <row r="1925">
      <c r="A1925" s="114" t="n">
        <v>46161</v>
      </c>
      <c r="B1925" s="115" t="n">
        <v>1907</v>
      </c>
      <c r="C1925" s="115" t="inlineStr">
        <is>
          <t>SELİM İNŞAAT</t>
        </is>
      </c>
      <c r="D1925" s="115" t="inlineStr">
        <is>
          <t>34 FEM 934</t>
        </is>
      </c>
      <c r="E1925" s="115" t="inlineStr">
        <is>
          <t>TURAN SEVİNDİK</t>
        </is>
      </c>
      <c r="F1925" s="115" t="n">
        <v>339740</v>
      </c>
      <c r="G1925" s="156" t="n"/>
      <c r="H1925" s="152" t="n">
        <v>65</v>
      </c>
      <c r="I1925" s="156">
        <f>+I1924+(G1925-H1925)</f>
        <v/>
      </c>
      <c r="J1925" s="90" t="n"/>
      <c r="K1925" s="166" t="n"/>
      <c r="L1925" s="158">
        <f>+H1925*J1925</f>
        <v/>
      </c>
      <c r="M1925" s="159">
        <f>SUM(M1924+K1925-L1925)</f>
        <v/>
      </c>
    </row>
    <row r="1926">
      <c r="A1926" s="114" t="n">
        <v>46164</v>
      </c>
      <c r="B1926" s="115" t="n">
        <v>1908</v>
      </c>
      <c r="C1926" s="115" t="inlineStr">
        <is>
          <t>SELİM İNŞAAT</t>
        </is>
      </c>
      <c r="D1926" s="115" t="inlineStr">
        <is>
          <t>34 FEM 934</t>
        </is>
      </c>
      <c r="E1926" s="115" t="inlineStr">
        <is>
          <t>TURAN SEVİNDİK</t>
        </is>
      </c>
      <c r="F1926" s="115" t="n">
        <v>340287</v>
      </c>
      <c r="G1926" s="156" t="n"/>
      <c r="H1926" s="152" t="n">
        <v>79</v>
      </c>
      <c r="I1926" s="156">
        <f>+I1925+(G1926-H1926)</f>
        <v/>
      </c>
      <c r="J1926" s="90" t="n"/>
      <c r="K1926" s="166" t="n"/>
      <c r="L1926" s="158">
        <f>+H1926*J1926</f>
        <v/>
      </c>
      <c r="M1926" s="159">
        <f>SUM(M1925+K1926-L1926)</f>
        <v/>
      </c>
    </row>
    <row r="1927">
      <c r="A1927" s="114" t="n">
        <v>46170</v>
      </c>
      <c r="B1927" s="115" t="n">
        <v>1909</v>
      </c>
      <c r="C1927" s="115" t="inlineStr">
        <is>
          <t>SELİM İNŞAAT</t>
        </is>
      </c>
      <c r="D1927" s="115" t="inlineStr">
        <is>
          <t>34 FEM 934</t>
        </is>
      </c>
      <c r="E1927" s="115" t="inlineStr">
        <is>
          <t>TURAN SEVİNDİK</t>
        </is>
      </c>
      <c r="F1927" s="115" t="n">
        <v>340826</v>
      </c>
      <c r="G1927" s="156" t="n"/>
      <c r="H1927" s="152" t="n">
        <v>87</v>
      </c>
      <c r="I1927" s="156">
        <f>+I1926+(G1927-H1927)</f>
        <v/>
      </c>
      <c r="J1927" s="90" t="n"/>
      <c r="K1927" s="166" t="n"/>
      <c r="L1927" s="158">
        <f>+H1927*J1927</f>
        <v/>
      </c>
      <c r="M1927" s="159">
        <f>SUM(M1926+K1927-L1927)</f>
        <v/>
      </c>
    </row>
    <row r="1928">
      <c r="A1928" s="114" t="n">
        <v>46165</v>
      </c>
      <c r="B1928" s="115" t="n">
        <v>1780</v>
      </c>
      <c r="C1928" s="115" t="inlineStr">
        <is>
          <t>SELİM İNŞAAT</t>
        </is>
      </c>
      <c r="D1928" s="115" t="inlineStr">
        <is>
          <t>34 JBA 25</t>
        </is>
      </c>
      <c r="E1928" s="115" t="inlineStr">
        <is>
          <t>ABDURAHMAN SERDAN</t>
        </is>
      </c>
      <c r="F1928" s="115" t="n">
        <v>350931</v>
      </c>
      <c r="G1928" s="156" t="n"/>
      <c r="H1928" s="152" t="n">
        <v>84</v>
      </c>
      <c r="I1928" s="156">
        <f>+I1927+(G1928-H1928)</f>
        <v/>
      </c>
      <c r="J1928" s="90" t="n"/>
      <c r="K1928" s="166" t="n"/>
      <c r="L1928" s="158">
        <f>+H1928*J1928</f>
        <v/>
      </c>
      <c r="M1928" s="159">
        <f>SUM(M1927+K1928-L1928)</f>
        <v/>
      </c>
    </row>
    <row r="1929">
      <c r="A1929" s="114" t="n">
        <v>46170</v>
      </c>
      <c r="B1929" s="115" t="n">
        <v>1781</v>
      </c>
      <c r="C1929" s="115" t="inlineStr">
        <is>
          <t>SELİM İNŞAAT</t>
        </is>
      </c>
      <c r="D1929" s="115" t="inlineStr">
        <is>
          <t>34 JBA 25</t>
        </is>
      </c>
      <c r="E1929" s="115" t="inlineStr">
        <is>
          <t>ABDURAHMAN SERDAN</t>
        </is>
      </c>
      <c r="F1929" s="115" t="n">
        <v>351438</v>
      </c>
      <c r="G1929" s="156" t="n"/>
      <c r="H1929" s="152" t="n">
        <v>79</v>
      </c>
      <c r="I1929" s="156">
        <f>+I1928+(G1929-H1929)</f>
        <v/>
      </c>
      <c r="J1929" s="90" t="n"/>
      <c r="K1929" s="166" t="n"/>
      <c r="L1929" s="158">
        <f>+H1929*J1929</f>
        <v/>
      </c>
      <c r="M1929" s="159">
        <f>SUM(M1928+K1929-L1929)</f>
        <v/>
      </c>
    </row>
    <row r="1930">
      <c r="A1930" s="114" t="n">
        <v>46162</v>
      </c>
      <c r="B1930" s="115" t="n">
        <v>562</v>
      </c>
      <c r="C1930" s="115" t="inlineStr">
        <is>
          <t>SELİM İNŞAAT</t>
        </is>
      </c>
      <c r="D1930" s="115" t="inlineStr">
        <is>
          <t>34 JGR 15</t>
        </is>
      </c>
      <c r="E1930" s="115" t="inlineStr">
        <is>
          <t>ÖNER DÜNDAR</t>
        </is>
      </c>
      <c r="F1930" s="115" t="n">
        <v>335618</v>
      </c>
      <c r="G1930" s="156" t="n"/>
      <c r="H1930" s="152" t="n">
        <v>84</v>
      </c>
      <c r="I1930" s="156">
        <f>+I1929+(G1930-H1930)</f>
        <v/>
      </c>
      <c r="J1930" s="90" t="n"/>
      <c r="K1930" s="166" t="n"/>
      <c r="L1930" s="158">
        <f>+H1930*J1930</f>
        <v/>
      </c>
      <c r="M1930" s="159">
        <f>SUM(M1929+K1930-L1930)</f>
        <v/>
      </c>
    </row>
    <row r="1931">
      <c r="A1931" s="114" t="n">
        <v>46168</v>
      </c>
      <c r="B1931" s="115" t="n">
        <v>563</v>
      </c>
      <c r="C1931" s="115" t="inlineStr">
        <is>
          <t>SELİM İNŞAAT</t>
        </is>
      </c>
      <c r="D1931" s="115" t="inlineStr">
        <is>
          <t>34 JGR 15</t>
        </is>
      </c>
      <c r="E1931" s="115" t="inlineStr">
        <is>
          <t>ÖNER DÜNDAR</t>
        </is>
      </c>
      <c r="F1931" s="115" t="n">
        <v>336173</v>
      </c>
      <c r="G1931" s="156" t="n"/>
      <c r="H1931" s="152" t="n">
        <v>104</v>
      </c>
      <c r="I1931" s="156">
        <f>+I1930+(G1931-H1931)</f>
        <v/>
      </c>
      <c r="J1931" s="90" t="n"/>
      <c r="K1931" s="166" t="n"/>
      <c r="L1931" s="158">
        <f>+H1931*J1931</f>
        <v/>
      </c>
      <c r="M1931" s="159">
        <f>SUM(M1930+K1931-L1931)</f>
        <v/>
      </c>
    </row>
    <row r="1932">
      <c r="A1932" s="114" t="n">
        <v>46159</v>
      </c>
      <c r="B1932" s="115" t="n">
        <v>668</v>
      </c>
      <c r="C1932" s="115" t="inlineStr">
        <is>
          <t>SELİM İNŞAAT</t>
        </is>
      </c>
      <c r="D1932" s="115" t="inlineStr">
        <is>
          <t xml:space="preserve">34 GU 945 </t>
        </is>
      </c>
      <c r="E1932" s="115" t="inlineStr">
        <is>
          <t>YAKUP URUCU</t>
        </is>
      </c>
      <c r="F1932" s="115" t="n">
        <v>478750</v>
      </c>
      <c r="G1932" s="156" t="n"/>
      <c r="H1932" s="152" t="n">
        <v>65</v>
      </c>
      <c r="I1932" s="156">
        <f>+I1931+(G1932-H1932)</f>
        <v/>
      </c>
      <c r="J1932" s="90" t="n"/>
      <c r="K1932" s="166" t="n"/>
      <c r="L1932" s="158">
        <f>+H1932*J1932</f>
        <v/>
      </c>
      <c r="M1932" s="159">
        <f>SUM(M1931+K1932-L1932)</f>
        <v/>
      </c>
    </row>
    <row r="1933">
      <c r="A1933" s="114" t="n">
        <v>46161</v>
      </c>
      <c r="B1933" s="115" t="n">
        <v>669</v>
      </c>
      <c r="C1933" s="115" t="inlineStr">
        <is>
          <t>SELİM İNŞAAT</t>
        </is>
      </c>
      <c r="D1933" s="115" t="inlineStr">
        <is>
          <t xml:space="preserve">34 GU 945 </t>
        </is>
      </c>
      <c r="E1933" s="115" t="inlineStr">
        <is>
          <t>YAKUP URUCU</t>
        </is>
      </c>
      <c r="F1933" s="115" t="n">
        <v>478921</v>
      </c>
      <c r="G1933" s="156" t="n"/>
      <c r="H1933" s="152" t="n">
        <v>49</v>
      </c>
      <c r="I1933" s="156">
        <f>+I1932+(G1933-H1933)</f>
        <v/>
      </c>
      <c r="J1933" s="90" t="n"/>
      <c r="K1933" s="166" t="n"/>
      <c r="L1933" s="158">
        <f>+H1933*J1933</f>
        <v/>
      </c>
      <c r="M1933" s="159">
        <f>SUM(M1932+K1933-L1933)</f>
        <v/>
      </c>
    </row>
    <row r="1934">
      <c r="A1934" s="114" t="n">
        <v>46164</v>
      </c>
      <c r="B1934" s="115" t="n">
        <v>670</v>
      </c>
      <c r="C1934" s="115" t="inlineStr">
        <is>
          <t>SELİM İNŞAAT</t>
        </is>
      </c>
      <c r="D1934" s="115" t="inlineStr">
        <is>
          <t xml:space="preserve">34 GU 945 </t>
        </is>
      </c>
      <c r="E1934" s="115" t="inlineStr">
        <is>
          <t>YAKUP URUCU</t>
        </is>
      </c>
      <c r="F1934" s="115" t="n">
        <v>479265</v>
      </c>
      <c r="G1934" s="156" t="n"/>
      <c r="H1934" s="152" t="n">
        <v>68</v>
      </c>
      <c r="I1934" s="156">
        <f>+I1933+(G1934-H1934)</f>
        <v/>
      </c>
      <c r="J1934" s="90" t="n"/>
      <c r="K1934" s="166" t="n"/>
      <c r="L1934" s="158">
        <f>+H1934*J1934</f>
        <v/>
      </c>
      <c r="M1934" s="159">
        <f>SUM(M1933+K1934-L1934)</f>
        <v/>
      </c>
    </row>
    <row r="1935">
      <c r="A1935" s="114" t="n">
        <v>46165</v>
      </c>
      <c r="B1935" s="115" t="n">
        <v>671</v>
      </c>
      <c r="C1935" s="115" t="inlineStr">
        <is>
          <t>SELİM İNŞAAT</t>
        </is>
      </c>
      <c r="D1935" s="115" t="inlineStr">
        <is>
          <t xml:space="preserve">34 GU 945 </t>
        </is>
      </c>
      <c r="E1935" s="115" t="inlineStr">
        <is>
          <t>YAKUP URUCU</t>
        </is>
      </c>
      <c r="F1935" s="115" t="n">
        <v>479323</v>
      </c>
      <c r="G1935" s="156" t="n"/>
      <c r="H1935" s="152" t="n">
        <v>44</v>
      </c>
      <c r="I1935" s="156">
        <f>+I1934+(G1935-H1935)</f>
        <v/>
      </c>
      <c r="J1935" s="90" t="n"/>
      <c r="K1935" s="166" t="n"/>
      <c r="L1935" s="158">
        <f>+H1935*J1935</f>
        <v/>
      </c>
      <c r="M1935" s="159">
        <f>SUM(M1934+K1935-L1935)</f>
        <v/>
      </c>
    </row>
    <row r="1936">
      <c r="A1936" s="114" t="n">
        <v>46160</v>
      </c>
      <c r="B1936" s="115" t="n">
        <v>1644</v>
      </c>
      <c r="C1936" s="115" t="inlineStr">
        <is>
          <t>SELİM İNŞAAT</t>
        </is>
      </c>
      <c r="D1936" s="115" t="inlineStr">
        <is>
          <t>34 VF 2620</t>
        </is>
      </c>
      <c r="E1936" s="115" t="inlineStr">
        <is>
          <t>RECEP SELİM</t>
        </is>
      </c>
      <c r="F1936" s="115" t="n">
        <v>206662</v>
      </c>
      <c r="G1936" s="156" t="n"/>
      <c r="H1936" s="152" t="n">
        <v>44</v>
      </c>
      <c r="I1936" s="156">
        <f>+I1935+(G1936-H1936)</f>
        <v/>
      </c>
      <c r="J1936" s="90" t="n"/>
      <c r="K1936" s="166" t="n"/>
      <c r="L1936" s="158">
        <f>+H1936*J1936</f>
        <v/>
      </c>
      <c r="M1936" s="159">
        <f>SUM(M1935+K1936-L1936)</f>
        <v/>
      </c>
    </row>
    <row r="1937">
      <c r="A1937" s="114" t="n">
        <v>46162</v>
      </c>
      <c r="B1937" s="115" t="n">
        <v>1645</v>
      </c>
      <c r="C1937" s="115" t="inlineStr">
        <is>
          <t>SELİM İNŞAAT</t>
        </is>
      </c>
      <c r="D1937" s="115" t="inlineStr">
        <is>
          <t>34 VF 2620</t>
        </is>
      </c>
      <c r="E1937" s="115" t="inlineStr">
        <is>
          <t>RECEP SELİM</t>
        </is>
      </c>
      <c r="F1937" s="115" t="n">
        <v>207040</v>
      </c>
      <c r="G1937" s="156" t="n"/>
      <c r="H1937" s="152" t="n">
        <v>76</v>
      </c>
      <c r="I1937" s="156">
        <f>+I1936+(G1937-H1937)</f>
        <v/>
      </c>
      <c r="J1937" s="90" t="n"/>
      <c r="K1937" s="166" t="n"/>
      <c r="L1937" s="158">
        <f>+H1937*J1937</f>
        <v/>
      </c>
      <c r="M1937" s="159">
        <f>SUM(M1936+K1937-L1937)</f>
        <v/>
      </c>
    </row>
    <row r="1938">
      <c r="A1938" s="114" t="n">
        <v>46161</v>
      </c>
      <c r="B1938" s="115" t="n">
        <v>4038</v>
      </c>
      <c r="C1938" s="115" t="inlineStr">
        <is>
          <t>SELİM İNŞAAT</t>
        </is>
      </c>
      <c r="D1938" s="115" t="inlineStr">
        <is>
          <t>34 AR 7743</t>
        </is>
      </c>
      <c r="E1938" s="115" t="inlineStr">
        <is>
          <t>MEHMET SELİM</t>
        </is>
      </c>
      <c r="F1938" s="115" t="n">
        <v>379452</v>
      </c>
      <c r="G1938" s="156" t="n"/>
      <c r="H1938" s="152" t="n">
        <v>64</v>
      </c>
      <c r="I1938" s="156">
        <f>+I1937+(G1938-H1938)</f>
        <v/>
      </c>
      <c r="J1938" s="90" t="n"/>
      <c r="K1938" s="166" t="n"/>
      <c r="L1938" s="158">
        <f>+H1938*J1938</f>
        <v/>
      </c>
      <c r="M1938" s="159">
        <f>SUM(M1937+K1938-L1938)</f>
        <v/>
      </c>
    </row>
    <row r="1939">
      <c r="A1939" s="114" t="n">
        <v>46164</v>
      </c>
      <c r="B1939" s="115" t="n">
        <v>4039</v>
      </c>
      <c r="C1939" s="115" t="inlineStr">
        <is>
          <t>SELİM İNŞAAT</t>
        </is>
      </c>
      <c r="D1939" s="115" t="inlineStr">
        <is>
          <t>34 AR 7743</t>
        </is>
      </c>
      <c r="E1939" s="115" t="inlineStr">
        <is>
          <t>MEHMET SELİM</t>
        </is>
      </c>
      <c r="F1939" s="115" t="n">
        <v>379762</v>
      </c>
      <c r="G1939" s="156" t="n"/>
      <c r="H1939" s="152" t="n">
        <v>63</v>
      </c>
      <c r="I1939" s="156">
        <f>+I1938+(G1939-H1939)</f>
        <v/>
      </c>
      <c r="J1939" s="90" t="n"/>
      <c r="K1939" s="166" t="n"/>
      <c r="L1939" s="158">
        <f>+H1939*J1939</f>
        <v/>
      </c>
      <c r="M1939" s="159">
        <f>SUM(M1938+K1939-L1939)</f>
        <v/>
      </c>
    </row>
    <row r="1940">
      <c r="A1940" s="114" t="n">
        <v>46158</v>
      </c>
      <c r="B1940" s="115" t="n">
        <v>1417</v>
      </c>
      <c r="C1940" s="115" t="inlineStr">
        <is>
          <t>AZGÜN YAPI</t>
        </is>
      </c>
      <c r="D1940" s="115" t="inlineStr">
        <is>
          <t>34 MKT 859</t>
        </is>
      </c>
      <c r="E1940" s="115" t="inlineStr">
        <is>
          <t>İRFAN DAĞLAR</t>
        </is>
      </c>
      <c r="F1940" s="115" t="n"/>
      <c r="G1940" s="156" t="n"/>
      <c r="H1940" s="152" t="n">
        <v>391</v>
      </c>
      <c r="I1940" s="156" t="n"/>
      <c r="J1940" s="90" t="n"/>
      <c r="K1940" s="166" t="n"/>
      <c r="L1940" s="158">
        <f>+H1940*J1940</f>
        <v/>
      </c>
      <c r="M1940" s="159" t="n"/>
    </row>
    <row r="1941">
      <c r="A1941" s="114" t="n">
        <v>46160</v>
      </c>
      <c r="B1941" s="115" t="n">
        <v>1418</v>
      </c>
      <c r="C1941" s="115" t="inlineStr">
        <is>
          <t>AZGÜN YAPI</t>
        </is>
      </c>
      <c r="D1941" s="115" t="inlineStr">
        <is>
          <t>34 MKT 859</t>
        </is>
      </c>
      <c r="E1941" s="115" t="inlineStr">
        <is>
          <t>İRFAN DAĞLAR</t>
        </is>
      </c>
      <c r="F1941" s="115" t="n"/>
      <c r="G1941" s="156" t="n"/>
      <c r="H1941" s="152" t="n">
        <v>313</v>
      </c>
      <c r="I1941" s="156" t="n"/>
      <c r="J1941" s="90" t="n"/>
      <c r="K1941" s="166" t="n"/>
      <c r="L1941" s="158">
        <f>+H1941*J1941</f>
        <v/>
      </c>
      <c r="M1941" s="159" t="n"/>
    </row>
    <row r="1942">
      <c r="A1942" s="114" t="n">
        <v>46162</v>
      </c>
      <c r="B1942" s="115" t="n">
        <v>1419</v>
      </c>
      <c r="C1942" s="115" t="inlineStr">
        <is>
          <t>AZGÜN YAPI</t>
        </is>
      </c>
      <c r="D1942" s="115" t="inlineStr">
        <is>
          <t>34 MKT 859</t>
        </is>
      </c>
      <c r="E1942" s="115" t="inlineStr">
        <is>
          <t>İRFAN DAĞLAR</t>
        </is>
      </c>
      <c r="F1942" s="115" t="n"/>
      <c r="G1942" s="156" t="n"/>
      <c r="H1942" s="152" t="n">
        <v>381</v>
      </c>
      <c r="I1942" s="156" t="n"/>
      <c r="J1942" s="90" t="n"/>
      <c r="K1942" s="166" t="n"/>
      <c r="L1942" s="158">
        <f>+H1942*J1942</f>
        <v/>
      </c>
      <c r="M1942" s="159" t="n"/>
    </row>
    <row r="1943">
      <c r="A1943" s="114" t="n">
        <v>46158</v>
      </c>
      <c r="B1943" s="115" t="n">
        <v>2306</v>
      </c>
      <c r="C1943" s="115" t="inlineStr">
        <is>
          <t>AZGÜN YAPI</t>
        </is>
      </c>
      <c r="D1943" s="115" t="inlineStr">
        <is>
          <t>34 DTV 263</t>
        </is>
      </c>
      <c r="E1943" s="115" t="inlineStr">
        <is>
          <t>DURSUN ALİ GÜREK</t>
        </is>
      </c>
      <c r="F1943" s="115" t="n"/>
      <c r="G1943" s="156" t="n"/>
      <c r="H1943" s="152" t="n">
        <v>330</v>
      </c>
      <c r="I1943" s="156" t="n"/>
      <c r="J1943" s="90" t="n"/>
      <c r="K1943" s="166" t="n"/>
      <c r="L1943" s="158">
        <f>+H1943*J1943</f>
        <v/>
      </c>
      <c r="M1943" s="159" t="n"/>
    </row>
    <row r="1944">
      <c r="A1944" s="114" t="n">
        <v>46160</v>
      </c>
      <c r="B1944" s="115" t="n">
        <v>2307</v>
      </c>
      <c r="C1944" s="115" t="inlineStr">
        <is>
          <t>AZGÜN YAPI</t>
        </is>
      </c>
      <c r="D1944" s="115" t="inlineStr">
        <is>
          <t>34 DTV 263</t>
        </is>
      </c>
      <c r="E1944" s="115" t="inlineStr">
        <is>
          <t>DURSUN ALİ GÜREK</t>
        </is>
      </c>
      <c r="F1944" s="115" t="n"/>
      <c r="G1944" s="156" t="n"/>
      <c r="H1944" s="152" t="n">
        <v>316</v>
      </c>
      <c r="I1944" s="156" t="n"/>
      <c r="J1944" s="90" t="n"/>
      <c r="K1944" s="166" t="n"/>
      <c r="L1944" s="158">
        <f>+H1944*J1944</f>
        <v/>
      </c>
      <c r="M1944" s="159" t="n"/>
    </row>
    <row r="1945">
      <c r="A1945" s="114" t="n">
        <v>46164</v>
      </c>
      <c r="B1945" s="115" t="n">
        <v>2308</v>
      </c>
      <c r="C1945" s="115" t="inlineStr">
        <is>
          <t>AZGÜN YAPI</t>
        </is>
      </c>
      <c r="D1945" s="115" t="inlineStr">
        <is>
          <t>34 DTV 263</t>
        </is>
      </c>
      <c r="E1945" s="115" t="inlineStr">
        <is>
          <t>DURSUN ALİ GÜREK</t>
        </is>
      </c>
      <c r="F1945" s="115" t="n"/>
      <c r="G1945" s="156" t="n"/>
      <c r="H1945" s="152" t="n">
        <v>384</v>
      </c>
      <c r="I1945" s="156" t="n"/>
      <c r="J1945" s="90" t="n"/>
      <c r="K1945" s="166" t="n"/>
      <c r="L1945" s="158">
        <f>+H1945*J1945</f>
        <v/>
      </c>
      <c r="M1945" s="159" t="n"/>
    </row>
    <row r="1946">
      <c r="A1946" s="114" t="n">
        <v>46159</v>
      </c>
      <c r="B1946" s="115" t="n">
        <v>1814</v>
      </c>
      <c r="C1946" s="115" t="inlineStr">
        <is>
          <t>AZGÜN YAPI</t>
        </is>
      </c>
      <c r="D1946" s="115" t="inlineStr">
        <is>
          <t xml:space="preserve">34 MKT 593 </t>
        </is>
      </c>
      <c r="E1946" s="115" t="inlineStr">
        <is>
          <t>TURGUT ÇATAL</t>
        </is>
      </c>
      <c r="F1946" s="115" t="n"/>
      <c r="G1946" s="156" t="n"/>
      <c r="H1946" s="152" t="n">
        <v>355</v>
      </c>
      <c r="I1946" s="156" t="n"/>
      <c r="J1946" s="90" t="n"/>
      <c r="K1946" s="166" t="n"/>
      <c r="L1946" s="158">
        <f>+H1946*J1946</f>
        <v/>
      </c>
      <c r="M1946" s="159" t="n"/>
    </row>
    <row r="1947">
      <c r="A1947" s="114" t="n">
        <v>46161</v>
      </c>
      <c r="B1947" s="115" t="n">
        <v>1815</v>
      </c>
      <c r="C1947" s="115" t="inlineStr">
        <is>
          <t>AZGÜN YAPI</t>
        </is>
      </c>
      <c r="D1947" s="115" t="inlineStr">
        <is>
          <t xml:space="preserve">34 MKT 593 </t>
        </is>
      </c>
      <c r="E1947" s="115" t="inlineStr">
        <is>
          <t>TURGUT ÇATAL</t>
        </is>
      </c>
      <c r="F1947" s="115" t="n"/>
      <c r="G1947" s="156" t="n"/>
      <c r="H1947" s="152" t="n">
        <v>358</v>
      </c>
      <c r="I1947" s="156" t="n"/>
      <c r="J1947" s="90" t="n"/>
      <c r="K1947" s="166" t="n"/>
      <c r="L1947" s="158">
        <f>+H1947*J1947</f>
        <v/>
      </c>
      <c r="M1947" s="159" t="n"/>
    </row>
    <row r="1948">
      <c r="A1948" s="114" t="n">
        <v>46164</v>
      </c>
      <c r="B1948" s="115" t="n">
        <v>1816</v>
      </c>
      <c r="C1948" s="115" t="inlineStr">
        <is>
          <t>AZGÜN YAPI</t>
        </is>
      </c>
      <c r="D1948" s="115" t="inlineStr">
        <is>
          <t xml:space="preserve">34 MKT 593 </t>
        </is>
      </c>
      <c r="E1948" s="115" t="inlineStr">
        <is>
          <t>TURGUT ÇATAL</t>
        </is>
      </c>
      <c r="F1948" s="115" t="n"/>
      <c r="G1948" s="156" t="n"/>
      <c r="H1948" s="152" t="n">
        <v>392</v>
      </c>
      <c r="I1948" s="156" t="n"/>
      <c r="J1948" s="90" t="n"/>
      <c r="K1948" s="166" t="n"/>
      <c r="L1948" s="158">
        <f>+H1948*J1948</f>
        <v/>
      </c>
      <c r="M1948" s="159" t="n"/>
    </row>
    <row r="1949">
      <c r="A1949" s="114" t="n">
        <v>46159</v>
      </c>
      <c r="B1949" s="115" t="n">
        <v>843</v>
      </c>
      <c r="C1949" s="115" t="inlineStr">
        <is>
          <t>METİN ERYİĞİT</t>
        </is>
      </c>
      <c r="D1949" s="115" t="inlineStr">
        <is>
          <t>34 GBL 998</t>
        </is>
      </c>
      <c r="E1949" s="115" t="inlineStr">
        <is>
          <t>ALİ KESKİN</t>
        </is>
      </c>
      <c r="F1949" s="115" t="n">
        <v>370734</v>
      </c>
      <c r="G1949" s="156" t="n"/>
      <c r="H1949" s="152" t="n">
        <v>434</v>
      </c>
      <c r="I1949" s="156" t="n"/>
      <c r="J1949" s="90" t="n"/>
      <c r="K1949" s="166" t="n"/>
      <c r="L1949" s="158">
        <f>+H1949*J1949</f>
        <v/>
      </c>
      <c r="M1949" s="159" t="n"/>
    </row>
    <row r="1950">
      <c r="A1950" s="114" t="n">
        <v>46161</v>
      </c>
      <c r="B1950" s="115" t="n">
        <v>844</v>
      </c>
      <c r="C1950" s="115" t="inlineStr">
        <is>
          <t>METİN ERYİĞİT</t>
        </is>
      </c>
      <c r="D1950" s="115" t="inlineStr">
        <is>
          <t>34 GBL 998</t>
        </is>
      </c>
      <c r="E1950" s="115" t="inlineStr">
        <is>
          <t>ALİ KESKİN</t>
        </is>
      </c>
      <c r="F1950" s="115" t="n">
        <v>371434</v>
      </c>
      <c r="G1950" s="156" t="n"/>
      <c r="H1950" s="152" t="n">
        <v>349</v>
      </c>
      <c r="I1950" s="156" t="n"/>
      <c r="J1950" s="90" t="n"/>
      <c r="K1950" s="166" t="n"/>
      <c r="L1950" s="158">
        <f>+H1950*J1950</f>
        <v/>
      </c>
      <c r="M1950" s="159" t="n"/>
    </row>
    <row r="1951">
      <c r="A1951" s="114" t="n">
        <v>46162</v>
      </c>
      <c r="B1951" s="115" t="n">
        <v>845</v>
      </c>
      <c r="C1951" s="115" t="inlineStr">
        <is>
          <t>METİN ERYİĞİT</t>
        </is>
      </c>
      <c r="D1951" s="115" t="inlineStr">
        <is>
          <t>34 GBL 998</t>
        </is>
      </c>
      <c r="E1951" s="115" t="inlineStr">
        <is>
          <t>ALİ KESKİN</t>
        </is>
      </c>
      <c r="F1951" s="115" t="n">
        <v>371950</v>
      </c>
      <c r="G1951" s="156" t="n"/>
      <c r="H1951" s="152" t="n">
        <v>235</v>
      </c>
      <c r="I1951" s="156" t="n"/>
      <c r="J1951" s="90" t="n"/>
      <c r="K1951" s="166" t="n"/>
      <c r="L1951" s="158">
        <f>+H1951*J1951</f>
        <v/>
      </c>
      <c r="M1951" s="159" t="n"/>
    </row>
    <row r="1952">
      <c r="A1952" s="114" t="n">
        <v>46164</v>
      </c>
      <c r="B1952" s="115" t="n">
        <v>846</v>
      </c>
      <c r="C1952" s="115" t="inlineStr">
        <is>
          <t>METİN ERYİĞİT</t>
        </is>
      </c>
      <c r="D1952" s="115" t="inlineStr">
        <is>
          <t>34 GBL 998</t>
        </is>
      </c>
      <c r="E1952" s="115" t="inlineStr">
        <is>
          <t>ALİ KESKİN</t>
        </is>
      </c>
      <c r="F1952" s="115" t="n">
        <v>372478</v>
      </c>
      <c r="G1952" s="156" t="n"/>
      <c r="H1952" s="152" t="n">
        <v>198</v>
      </c>
      <c r="I1952" s="156" t="n"/>
      <c r="J1952" s="90" t="n"/>
      <c r="K1952" s="166" t="n"/>
      <c r="L1952" s="158">
        <f>+H1952*J1952</f>
        <v/>
      </c>
      <c r="M1952" s="159" t="n"/>
    </row>
    <row r="1953">
      <c r="A1953" s="114" t="n">
        <v>46159</v>
      </c>
      <c r="B1953" s="115" t="n">
        <v>783</v>
      </c>
      <c r="C1953" s="115" t="inlineStr">
        <is>
          <t>METİN ERYİĞİT</t>
        </is>
      </c>
      <c r="D1953" s="115" t="inlineStr">
        <is>
          <t>34 EGR 814</t>
        </is>
      </c>
      <c r="E1953" s="115" t="inlineStr">
        <is>
          <t>SEZGİN KOCAGİL</t>
        </is>
      </c>
      <c r="F1953" s="115" t="n">
        <v>632288</v>
      </c>
      <c r="G1953" s="156" t="n"/>
      <c r="H1953" s="152" t="n">
        <v>440</v>
      </c>
      <c r="I1953" s="156" t="n"/>
      <c r="J1953" s="90" t="n"/>
      <c r="K1953" s="166" t="n"/>
      <c r="L1953" s="158">
        <f>+H1953*J1953</f>
        <v/>
      </c>
      <c r="M1953" s="159" t="n"/>
    </row>
    <row r="1954">
      <c r="A1954" s="114" t="n">
        <v>46161</v>
      </c>
      <c r="B1954" s="115" t="n">
        <v>784</v>
      </c>
      <c r="C1954" s="115" t="inlineStr">
        <is>
          <t>METİN ERYİĞİT</t>
        </is>
      </c>
      <c r="D1954" s="115" t="inlineStr">
        <is>
          <t>34 EGR 814</t>
        </is>
      </c>
      <c r="E1954" s="115" t="inlineStr">
        <is>
          <t>SEZGİN KOCAGİL</t>
        </is>
      </c>
      <c r="F1954" s="115" t="n">
        <v>633043</v>
      </c>
      <c r="G1954" s="156" t="n"/>
      <c r="H1954" s="152" t="n">
        <v>250</v>
      </c>
      <c r="I1954" s="156" t="n"/>
      <c r="J1954" s="90" t="n"/>
      <c r="K1954" s="166" t="n"/>
      <c r="L1954" s="158">
        <f>+H1954*J1954</f>
        <v/>
      </c>
      <c r="M1954" s="159" t="n"/>
    </row>
    <row r="1955">
      <c r="A1955" s="114" t="n">
        <v>46162</v>
      </c>
      <c r="B1955" s="115" t="n">
        <v>785</v>
      </c>
      <c r="C1955" s="115" t="inlineStr">
        <is>
          <t>METİN ERYİĞİT</t>
        </is>
      </c>
      <c r="D1955" s="115" t="inlineStr">
        <is>
          <t>34 EGR 814</t>
        </is>
      </c>
      <c r="E1955" s="115" t="inlineStr">
        <is>
          <t>SEZGİN KOCAGİL</t>
        </is>
      </c>
      <c r="F1955" s="115" t="n">
        <v>633557</v>
      </c>
      <c r="G1955" s="156" t="n"/>
      <c r="H1955" s="152" t="n">
        <v>455</v>
      </c>
      <c r="I1955" s="156" t="n"/>
      <c r="J1955" s="90" t="n"/>
      <c r="K1955" s="166" t="n"/>
      <c r="L1955" s="158">
        <f>+H1955*J1955</f>
        <v/>
      </c>
      <c r="M1955" s="159" t="n"/>
    </row>
    <row r="1956">
      <c r="A1956" s="114" t="n">
        <v>46164</v>
      </c>
      <c r="B1956" s="115" t="n">
        <v>786</v>
      </c>
      <c r="C1956" s="115" t="inlineStr">
        <is>
          <t>METİN ERYİĞİT</t>
        </is>
      </c>
      <c r="D1956" s="115" t="inlineStr">
        <is>
          <t>34 EGR 814</t>
        </is>
      </c>
      <c r="E1956" s="115" t="inlineStr">
        <is>
          <t>SEZGİN KOCAGİL</t>
        </is>
      </c>
      <c r="F1956" s="115" t="n">
        <v>634052</v>
      </c>
      <c r="G1956" s="156" t="n"/>
      <c r="H1956" s="152" t="n">
        <v>229</v>
      </c>
      <c r="I1956" s="156" t="n"/>
      <c r="J1956" s="90" t="n"/>
      <c r="K1956" s="166" t="n"/>
      <c r="L1956" s="158">
        <f>+H1956*J1956</f>
        <v/>
      </c>
      <c r="M1956" s="159" t="n"/>
    </row>
    <row r="1957">
      <c r="A1957" s="114" t="n">
        <v>46158</v>
      </c>
      <c r="B1957" s="115" t="n">
        <v>739</v>
      </c>
      <c r="C1957" s="115" t="inlineStr">
        <is>
          <t>METİN ERYİĞİT</t>
        </is>
      </c>
      <c r="D1957" s="115" t="inlineStr">
        <is>
          <t>34 EGS 013</t>
        </is>
      </c>
      <c r="E1957" s="115" t="inlineStr">
        <is>
          <t>UĞUR DUMAN</t>
        </is>
      </c>
      <c r="F1957" s="115" t="n">
        <v>582544</v>
      </c>
      <c r="G1957" s="156" t="n"/>
      <c r="H1957" s="152" t="n">
        <v>184</v>
      </c>
      <c r="I1957" s="156" t="n"/>
      <c r="J1957" s="90" t="n"/>
      <c r="K1957" s="166" t="n"/>
      <c r="L1957" s="158">
        <f>+H1957*J1957</f>
        <v/>
      </c>
      <c r="M1957" s="159" t="n"/>
    </row>
    <row r="1958">
      <c r="A1958" s="114" t="n">
        <v>46160</v>
      </c>
      <c r="B1958" s="115" t="n">
        <v>740</v>
      </c>
      <c r="C1958" s="115" t="inlineStr">
        <is>
          <t>METİN ERYİĞİT</t>
        </is>
      </c>
      <c r="D1958" s="115" t="inlineStr">
        <is>
          <t>34 EGS 013</t>
        </is>
      </c>
      <c r="E1958" s="115" t="inlineStr">
        <is>
          <t>UĞUR DUMAN</t>
        </is>
      </c>
      <c r="F1958" s="115" t="n">
        <v>583333</v>
      </c>
      <c r="G1958" s="156" t="n"/>
      <c r="H1958" s="152" t="n">
        <v>405</v>
      </c>
      <c r="I1958" s="156" t="n"/>
      <c r="J1958" s="90" t="n"/>
      <c r="K1958" s="166" t="n"/>
      <c r="L1958" s="158">
        <f>+H1958*J1958</f>
        <v/>
      </c>
      <c r="M1958" s="159" t="n"/>
    </row>
    <row r="1959">
      <c r="A1959" s="114" t="n">
        <v>46162</v>
      </c>
      <c r="B1959" s="115" t="n">
        <v>741</v>
      </c>
      <c r="C1959" s="115" t="inlineStr">
        <is>
          <t>METİN ERYİĞİT</t>
        </is>
      </c>
      <c r="D1959" s="115" t="inlineStr">
        <is>
          <t>34 EGS 013</t>
        </is>
      </c>
      <c r="E1959" s="115" t="inlineStr">
        <is>
          <t>UĞUR DUMAN</t>
        </is>
      </c>
      <c r="F1959" s="115" t="n">
        <v>584212</v>
      </c>
      <c r="G1959" s="156" t="n"/>
      <c r="H1959" s="152" t="n">
        <v>453</v>
      </c>
      <c r="I1959" s="156" t="n"/>
      <c r="J1959" s="90" t="n"/>
      <c r="K1959" s="166" t="n"/>
      <c r="L1959" s="158">
        <f>+H1959*J1959</f>
        <v/>
      </c>
      <c r="M1959" s="159" t="n"/>
    </row>
    <row r="1960">
      <c r="A1960" s="114" t="n">
        <v>46164</v>
      </c>
      <c r="B1960" s="115" t="n">
        <v>742</v>
      </c>
      <c r="C1960" s="115" t="inlineStr">
        <is>
          <t>METİN ERYİĞİT</t>
        </is>
      </c>
      <c r="D1960" s="115" t="inlineStr">
        <is>
          <t>34 EGS 013</t>
        </is>
      </c>
      <c r="E1960" s="115" t="inlineStr">
        <is>
          <t>UĞUR DUMAN</t>
        </is>
      </c>
      <c r="F1960" s="115" t="n">
        <v>585208</v>
      </c>
      <c r="G1960" s="156" t="n"/>
      <c r="H1960" s="152" t="n">
        <v>387</v>
      </c>
      <c r="I1960" s="156" t="n"/>
      <c r="J1960" s="90" t="n"/>
      <c r="K1960" s="166" t="n"/>
      <c r="L1960" s="158">
        <f>+H1960*J1960</f>
        <v/>
      </c>
      <c r="M1960" s="159" t="n"/>
    </row>
    <row r="1961">
      <c r="A1961" s="114" t="n">
        <v>46161</v>
      </c>
      <c r="B1961" s="115" t="n">
        <v>2905</v>
      </c>
      <c r="C1961" s="115" t="inlineStr">
        <is>
          <t>HASAN ZEMİN</t>
        </is>
      </c>
      <c r="D1961" s="115" t="inlineStr">
        <is>
          <t>KAZIK MAKİNASI</t>
        </is>
      </c>
      <c r="E1961" s="115" t="inlineStr">
        <is>
          <t>KOZMO</t>
        </is>
      </c>
      <c r="F1961" s="115" t="n"/>
      <c r="G1961" s="156" t="n"/>
      <c r="H1961" s="152" t="n">
        <v>242</v>
      </c>
      <c r="I1961" s="156" t="n"/>
      <c r="J1961" s="90" t="n"/>
      <c r="K1961" s="166" t="n"/>
      <c r="L1961" s="158">
        <f>+H1961*J1961</f>
        <v/>
      </c>
      <c r="M1961" s="159" t="n"/>
    </row>
    <row r="1962">
      <c r="A1962" s="114" t="n">
        <v>46162</v>
      </c>
      <c r="B1962" s="115" t="n">
        <v>2906</v>
      </c>
      <c r="C1962" s="115" t="inlineStr">
        <is>
          <t>HASAN ZEMİN</t>
        </is>
      </c>
      <c r="D1962" s="115" t="inlineStr">
        <is>
          <t>KAZIK MAKİNASI</t>
        </is>
      </c>
      <c r="E1962" s="115" t="inlineStr">
        <is>
          <t>KOZMO</t>
        </is>
      </c>
      <c r="F1962" s="115" t="n"/>
      <c r="G1962" s="156" t="n"/>
      <c r="H1962" s="152" t="n">
        <v>259</v>
      </c>
      <c r="I1962" s="156" t="n"/>
      <c r="J1962" s="90" t="n"/>
      <c r="K1962" s="166" t="n"/>
      <c r="L1962" s="158">
        <f>+H1962*J1962</f>
        <v/>
      </c>
      <c r="M1962" s="159" t="n"/>
    </row>
    <row r="1963">
      <c r="A1963" s="114" t="n">
        <v>46159</v>
      </c>
      <c r="B1963" s="115" t="n">
        <v>1273</v>
      </c>
      <c r="C1963" s="115" t="inlineStr">
        <is>
          <t>MAHMUT VİNÇ</t>
        </is>
      </c>
      <c r="D1963" s="115" t="inlineStr">
        <is>
          <t>34 AH 5401</t>
        </is>
      </c>
      <c r="E1963" s="115" t="inlineStr">
        <is>
          <t>YASİN DEMİR</t>
        </is>
      </c>
      <c r="F1963" s="115" t="n"/>
      <c r="G1963" s="156" t="n"/>
      <c r="H1963" s="152" t="n">
        <v>52</v>
      </c>
      <c r="I1963" s="156" t="n"/>
      <c r="J1963" s="90" t="n"/>
      <c r="K1963" s="166" t="n"/>
      <c r="L1963" s="158">
        <f>+H1963*J1963</f>
        <v/>
      </c>
      <c r="M1963" s="159" t="n"/>
    </row>
    <row r="1964">
      <c r="A1964" s="114" t="n">
        <v>46160</v>
      </c>
      <c r="B1964" s="115" t="n">
        <v>1274</v>
      </c>
      <c r="C1964" s="115" t="inlineStr">
        <is>
          <t>AHMET SELİM TEMHA</t>
        </is>
      </c>
      <c r="D1964" s="115" t="inlineStr">
        <is>
          <t xml:space="preserve">34 PGT 251 </t>
        </is>
      </c>
      <c r="E1964" s="115" t="inlineStr">
        <is>
          <t>ERSOY SIĞINMAZ</t>
        </is>
      </c>
      <c r="F1964" s="115" t="n"/>
      <c r="G1964" s="156" t="n"/>
      <c r="H1964" s="152" t="n">
        <v>61</v>
      </c>
      <c r="I1964" s="156" t="n"/>
      <c r="J1964" s="90" t="n"/>
      <c r="K1964" s="166" t="n"/>
      <c r="L1964" s="158">
        <f>+H1964*J1964</f>
        <v/>
      </c>
      <c r="M1964" s="159" t="n"/>
    </row>
    <row r="1965">
      <c r="A1965" s="114" t="n">
        <v>46161</v>
      </c>
      <c r="B1965" s="115" t="n">
        <v>1275</v>
      </c>
      <c r="C1965" s="115" t="inlineStr">
        <is>
          <t>RECEP SELİM OTO KURTARICI</t>
        </is>
      </c>
      <c r="D1965" s="115" t="inlineStr">
        <is>
          <t>34 GC 8658</t>
        </is>
      </c>
      <c r="E1965" s="115" t="inlineStr">
        <is>
          <t>RECEP SELİM</t>
        </is>
      </c>
      <c r="F1965" s="115" t="n"/>
      <c r="G1965" s="156" t="n"/>
      <c r="H1965" s="152" t="n">
        <v>66</v>
      </c>
      <c r="I1965" s="156" t="n"/>
      <c r="J1965" s="90" t="n"/>
      <c r="K1965" s="166" t="n"/>
      <c r="L1965" s="158">
        <f>+H1965*J1965</f>
        <v/>
      </c>
      <c r="M1965" s="159" t="n"/>
    </row>
    <row r="1966">
      <c r="A1966" s="114" t="n">
        <v>46160</v>
      </c>
      <c r="B1966" s="115" t="n">
        <v>1276</v>
      </c>
      <c r="C1966" s="115" t="inlineStr">
        <is>
          <t>ENES SELİM</t>
        </is>
      </c>
      <c r="D1966" s="115" t="inlineStr">
        <is>
          <t>34 TB 926</t>
        </is>
      </c>
      <c r="E1966" s="115" t="inlineStr">
        <is>
          <t>ENES SELİM</t>
        </is>
      </c>
      <c r="F1966" s="115" t="n"/>
      <c r="G1966" s="156" t="n"/>
      <c r="H1966" s="152" t="n">
        <v>201</v>
      </c>
      <c r="I1966" s="156" t="n"/>
      <c r="J1966" s="90" t="n"/>
      <c r="K1966" s="166" t="n"/>
      <c r="L1966" s="158">
        <f>+H1966*J1966</f>
        <v/>
      </c>
      <c r="M1966" s="159" t="n"/>
    </row>
    <row r="1967">
      <c r="A1967" s="114" t="n">
        <v>46161</v>
      </c>
      <c r="B1967" s="115" t="n">
        <v>1277</v>
      </c>
      <c r="C1967" s="115" t="inlineStr">
        <is>
          <t>AHMET SELİM TEMHA</t>
        </is>
      </c>
      <c r="D1967" s="115" t="inlineStr">
        <is>
          <t>MANİTO</t>
        </is>
      </c>
      <c r="E1967" s="115" t="inlineStr">
        <is>
          <t>TURGAY ÇIPLAK</t>
        </is>
      </c>
      <c r="F1967" s="115" t="n"/>
      <c r="G1967" s="156" t="n"/>
      <c r="H1967" s="152" t="n">
        <v>115</v>
      </c>
      <c r="I1967" s="156" t="n"/>
      <c r="J1967" s="90" t="n"/>
      <c r="K1967" s="166" t="n"/>
      <c r="L1967" s="158">
        <f>+H1967*J1967</f>
        <v/>
      </c>
      <c r="M1967" s="159" t="n"/>
    </row>
    <row r="1968">
      <c r="A1968" s="114" t="n">
        <v>46161</v>
      </c>
      <c r="B1968" s="115" t="n">
        <v>1278</v>
      </c>
      <c r="C1968" s="115" t="inlineStr">
        <is>
          <t>AHMET SELİM TEMHA</t>
        </is>
      </c>
      <c r="D1968" s="115" t="inlineStr">
        <is>
          <t>FORKLİF</t>
        </is>
      </c>
      <c r="E1968" s="115" t="inlineStr">
        <is>
          <t>TOLGA</t>
        </is>
      </c>
      <c r="F1968" s="115" t="n"/>
      <c r="G1968" s="156" t="n"/>
      <c r="H1968" s="152" t="n">
        <v>30</v>
      </c>
      <c r="I1968" s="156" t="n"/>
      <c r="J1968" s="90" t="n"/>
      <c r="K1968" s="166" t="n"/>
      <c r="L1968" s="158">
        <f>+H1968*J1968</f>
        <v/>
      </c>
      <c r="M1968" s="159" t="n"/>
    </row>
    <row r="1969">
      <c r="A1969" s="114" t="n">
        <v>46163</v>
      </c>
      <c r="B1969" s="115" t="n">
        <v>1279</v>
      </c>
      <c r="C1969" s="115" t="inlineStr">
        <is>
          <t>AHMET SELİM TEMHA</t>
        </is>
      </c>
      <c r="D1969" s="115" t="inlineStr">
        <is>
          <t>34 PGT 251</t>
        </is>
      </c>
      <c r="E1969" s="115" t="inlineStr">
        <is>
          <t>ERSOY SIĞINMAZ</t>
        </is>
      </c>
      <c r="F1969" s="115" t="n"/>
      <c r="G1969" s="156" t="n"/>
      <c r="H1969" s="152" t="n">
        <v>37</v>
      </c>
      <c r="I1969" s="156" t="n"/>
      <c r="J1969" s="90" t="n"/>
      <c r="K1969" s="166" t="n"/>
      <c r="L1969" s="158">
        <f>+H1969*J1969</f>
        <v/>
      </c>
      <c r="M1969" s="159" t="n"/>
    </row>
    <row r="1970">
      <c r="A1970" s="114" t="n">
        <v>46164</v>
      </c>
      <c r="B1970" s="115" t="n">
        <v>1280</v>
      </c>
      <c r="C1970" s="115" t="inlineStr">
        <is>
          <t>MAHMUT VİNÇ</t>
        </is>
      </c>
      <c r="D1970" s="115" t="inlineStr">
        <is>
          <t>34 AH 5401</t>
        </is>
      </c>
      <c r="E1970" s="115" t="inlineStr">
        <is>
          <t>YASİN DEMİR</t>
        </is>
      </c>
      <c r="F1970" s="115" t="n"/>
      <c r="G1970" s="156" t="n"/>
      <c r="H1970" s="152" t="n">
        <v>101</v>
      </c>
      <c r="I1970" s="156" t="n"/>
      <c r="J1970" s="90" t="n"/>
      <c r="K1970" s="166" t="n"/>
      <c r="L1970" s="158">
        <f>+H1970*J1970</f>
        <v/>
      </c>
      <c r="M1970" s="159" t="n"/>
    </row>
    <row r="1971">
      <c r="A1971" s="114" t="n">
        <v>46165</v>
      </c>
      <c r="B1971" s="115" t="n">
        <v>1281</v>
      </c>
      <c r="C1971" s="115" t="inlineStr">
        <is>
          <t>SELİM İNŞAAT</t>
        </is>
      </c>
      <c r="D1971" s="115" t="inlineStr">
        <is>
          <t>34 FVU 827</t>
        </is>
      </c>
      <c r="E1971" s="115" t="inlineStr">
        <is>
          <t>YILMAZ ÇELEBİ</t>
        </is>
      </c>
      <c r="F1971" s="115" t="n"/>
      <c r="G1971" s="156" t="n"/>
      <c r="H1971" s="152" t="n">
        <v>48</v>
      </c>
      <c r="I1971" s="156" t="n"/>
      <c r="J1971" s="90" t="n"/>
      <c r="K1971" s="166" t="n"/>
      <c r="L1971" s="158">
        <f>+H1971*J1971</f>
        <v/>
      </c>
      <c r="M1971" s="159" t="n"/>
    </row>
    <row r="1972">
      <c r="A1972" s="114" t="n">
        <v>46166</v>
      </c>
      <c r="B1972" s="115" t="n">
        <v>1282</v>
      </c>
      <c r="C1972" s="115" t="inlineStr">
        <is>
          <t>SELİM İNŞAAT</t>
        </is>
      </c>
      <c r="D1972" s="115" t="inlineStr">
        <is>
          <t>34 BUR 461</t>
        </is>
      </c>
      <c r="E1972" s="115" t="inlineStr">
        <is>
          <t>MUSTAFA ALBAYRAK</t>
        </is>
      </c>
      <c r="F1972" s="115" t="n"/>
      <c r="G1972" s="156" t="n"/>
      <c r="H1972" s="152" t="n">
        <v>51</v>
      </c>
      <c r="I1972" s="156" t="n"/>
      <c r="J1972" s="90" t="n"/>
      <c r="K1972" s="166" t="n"/>
      <c r="L1972" s="158">
        <f>+H1972*J1972</f>
        <v/>
      </c>
      <c r="M1972" s="159" t="n"/>
    </row>
    <row r="1973">
      <c r="A1973" s="114" t="n">
        <v>46169</v>
      </c>
      <c r="B1973" s="115" t="n">
        <v>1283</v>
      </c>
      <c r="C1973" s="115" t="inlineStr">
        <is>
          <t>SELİM İNŞAAT</t>
        </is>
      </c>
      <c r="D1973" s="115" t="inlineStr">
        <is>
          <t>34 BUR 461</t>
        </is>
      </c>
      <c r="E1973" s="115" t="inlineStr">
        <is>
          <t>MUSTAFA ALBAYRAK</t>
        </is>
      </c>
      <c r="F1973" s="115" t="n"/>
      <c r="G1973" s="156" t="n"/>
      <c r="H1973" s="152" t="n">
        <v>55</v>
      </c>
      <c r="I1973" s="156" t="n"/>
      <c r="J1973" s="90" t="n"/>
      <c r="K1973" s="166" t="n"/>
      <c r="L1973" s="158">
        <f>+H1973*J1973</f>
        <v/>
      </c>
      <c r="M1973" s="159" t="n"/>
    </row>
    <row r="1974">
      <c r="A1974" s="114" t="n">
        <v>46158</v>
      </c>
      <c r="B1974" s="115" t="n">
        <v>2771</v>
      </c>
      <c r="C1974" s="115" t="inlineStr">
        <is>
          <t>KOZMO</t>
        </is>
      </c>
      <c r="D1974" s="115" t="inlineStr">
        <is>
          <t>ZOMLİYON</t>
        </is>
      </c>
      <c r="E1974" s="115" t="inlineStr">
        <is>
          <t>SALİH</t>
        </is>
      </c>
      <c r="F1974" s="115" t="n"/>
      <c r="G1974" s="156" t="n"/>
      <c r="H1974" s="152" t="n">
        <v>240</v>
      </c>
      <c r="I1974" s="156" t="n"/>
      <c r="J1974" s="90" t="n"/>
      <c r="K1974" s="166" t="n"/>
      <c r="L1974" s="158">
        <f>+H1974*J1974</f>
        <v/>
      </c>
      <c r="M1974" s="159" t="n"/>
    </row>
    <row r="1975">
      <c r="A1975" s="114" t="n">
        <v>46158</v>
      </c>
      <c r="B1975" s="115" t="n">
        <v>2772</v>
      </c>
      <c r="C1975" s="115" t="inlineStr">
        <is>
          <t>SELİM İNŞAAT</t>
        </is>
      </c>
      <c r="D1975" s="115" t="inlineStr">
        <is>
          <t xml:space="preserve">JENERATÖR </t>
        </is>
      </c>
      <c r="E1975" s="115" t="n"/>
      <c r="F1975" s="115" t="n"/>
      <c r="G1975" s="156" t="n"/>
      <c r="H1975" s="152" t="n">
        <v>137</v>
      </c>
      <c r="I1975" s="156" t="n"/>
      <c r="J1975" s="90" t="n"/>
      <c r="K1975" s="166" t="n"/>
      <c r="L1975" s="158">
        <f>+H1975*J1975</f>
        <v/>
      </c>
      <c r="M1975" s="159" t="n"/>
    </row>
    <row r="1976">
      <c r="A1976" s="114" t="n">
        <v>46159</v>
      </c>
      <c r="B1976" s="115" t="n">
        <v>2773</v>
      </c>
      <c r="C1976" s="115" t="inlineStr">
        <is>
          <t>GARAJ</t>
        </is>
      </c>
      <c r="D1976" s="115" t="inlineStr">
        <is>
          <t>SM300</t>
        </is>
      </c>
      <c r="E1976" s="115" t="inlineStr">
        <is>
          <t xml:space="preserve">TURGUT </t>
        </is>
      </c>
      <c r="F1976" s="115" t="n"/>
      <c r="G1976" s="156" t="n"/>
      <c r="H1976" s="152" t="n">
        <v>371</v>
      </c>
      <c r="I1976" s="156" t="n"/>
      <c r="J1976" s="90" t="n"/>
      <c r="K1976" s="166" t="n"/>
      <c r="L1976" s="158">
        <f>+H1976*J1976</f>
        <v/>
      </c>
      <c r="M1976" s="159" t="n"/>
    </row>
    <row r="1977">
      <c r="A1977" s="114" t="n">
        <v>46160</v>
      </c>
      <c r="B1977" s="115" t="n">
        <v>2774</v>
      </c>
      <c r="C1977" s="115" t="inlineStr">
        <is>
          <t>MEGA VARLIK</t>
        </is>
      </c>
      <c r="D1977" s="115" t="inlineStr">
        <is>
          <t>FORKLİF</t>
        </is>
      </c>
      <c r="E1977" s="115" t="inlineStr">
        <is>
          <t>FAHRİ</t>
        </is>
      </c>
      <c r="F1977" s="115" t="n"/>
      <c r="G1977" s="156" t="n"/>
      <c r="H1977" s="152" t="n">
        <v>74</v>
      </c>
      <c r="I1977" s="156" t="n"/>
      <c r="J1977" s="90" t="n"/>
      <c r="K1977" s="166" t="n"/>
      <c r="L1977" s="158">
        <f>+H1977*J1977</f>
        <v/>
      </c>
      <c r="M1977" s="159" t="n"/>
    </row>
    <row r="1978">
      <c r="A1978" s="114" t="n">
        <v>46160</v>
      </c>
      <c r="B1978" s="115" t="n">
        <v>2775</v>
      </c>
      <c r="C1978" s="115" t="inlineStr">
        <is>
          <t>ŞEN KASAP</t>
        </is>
      </c>
      <c r="D1978" s="115" t="inlineStr">
        <is>
          <t>SM350</t>
        </is>
      </c>
      <c r="E1978" s="115" t="inlineStr">
        <is>
          <t>TEVFİK</t>
        </is>
      </c>
      <c r="F1978" s="115" t="n"/>
      <c r="G1978" s="156" t="n"/>
      <c r="H1978" s="152" t="n">
        <v>537</v>
      </c>
      <c r="I1978" s="156" t="n"/>
      <c r="J1978" s="90" t="n"/>
      <c r="K1978" s="166" t="n"/>
      <c r="L1978" s="158">
        <f>+H1978*J1978</f>
        <v/>
      </c>
      <c r="M1978" s="159" t="n"/>
    </row>
    <row r="1979">
      <c r="A1979" s="114" t="n">
        <v>46160</v>
      </c>
      <c r="B1979" s="115" t="n">
        <v>2776</v>
      </c>
      <c r="C1979" s="115" t="inlineStr">
        <is>
          <t>VARLIK</t>
        </is>
      </c>
      <c r="D1979" s="115" t="inlineStr">
        <is>
          <t>SM330</t>
        </is>
      </c>
      <c r="E1979" s="115" t="inlineStr">
        <is>
          <t>TURGUT</t>
        </is>
      </c>
      <c r="F1979" s="115" t="n"/>
      <c r="G1979" s="156" t="n"/>
      <c r="H1979" s="152" t="n">
        <v>525</v>
      </c>
      <c r="I1979" s="156" t="n"/>
      <c r="J1979" s="90" t="n"/>
      <c r="K1979" s="166" t="n"/>
      <c r="L1979" s="158">
        <f>+H1979*J1979</f>
        <v/>
      </c>
      <c r="M1979" s="159" t="n"/>
    </row>
    <row r="1980">
      <c r="A1980" s="114" t="n">
        <v>46160</v>
      </c>
      <c r="B1980" s="115" t="n">
        <v>2777</v>
      </c>
      <c r="C1980" s="115" t="inlineStr">
        <is>
          <t>VARLIK</t>
        </is>
      </c>
      <c r="D1980" s="115" t="inlineStr">
        <is>
          <t>SM350</t>
        </is>
      </c>
      <c r="E1980" s="115" t="inlineStr">
        <is>
          <t>MUHAMMED</t>
        </is>
      </c>
      <c r="F1980" s="115" t="n"/>
      <c r="G1980" s="156" t="n"/>
      <c r="H1980" s="152" t="n">
        <v>427</v>
      </c>
      <c r="I1980" s="156" t="n"/>
      <c r="J1980" s="90" t="n"/>
      <c r="K1980" s="166" t="n"/>
      <c r="L1980" s="158">
        <f>+H1980*J1980</f>
        <v/>
      </c>
      <c r="M1980" s="159" t="n"/>
    </row>
    <row r="1981">
      <c r="A1981" s="114" t="n">
        <v>46160</v>
      </c>
      <c r="B1981" s="115" t="n">
        <v>2778</v>
      </c>
      <c r="C1981" s="115" t="inlineStr">
        <is>
          <t>HASALTUN</t>
        </is>
      </c>
      <c r="D1981" s="115" t="inlineStr">
        <is>
          <t>SİLİNDİR</t>
        </is>
      </c>
      <c r="E1981" s="115" t="inlineStr">
        <is>
          <t>ATABEK</t>
        </is>
      </c>
      <c r="F1981" s="115" t="n"/>
      <c r="G1981" s="156" t="n"/>
      <c r="H1981" s="152" t="n">
        <v>212</v>
      </c>
      <c r="I1981" s="156" t="n"/>
      <c r="J1981" s="90" t="n"/>
      <c r="K1981" s="166" t="n"/>
      <c r="L1981" s="158">
        <f>+H1981*J1981</f>
        <v/>
      </c>
      <c r="M1981" s="159" t="n"/>
    </row>
    <row r="1982">
      <c r="A1982" s="114" t="n">
        <v>46160</v>
      </c>
      <c r="B1982" s="115" t="n">
        <v>2779</v>
      </c>
      <c r="C1982" s="115" t="inlineStr">
        <is>
          <t>HASALTUN</t>
        </is>
      </c>
      <c r="D1982" s="115" t="inlineStr">
        <is>
          <t>SM300</t>
        </is>
      </c>
      <c r="E1982" s="115" t="inlineStr">
        <is>
          <t>ONUR</t>
        </is>
      </c>
      <c r="F1982" s="115" t="n"/>
      <c r="G1982" s="156" t="n"/>
      <c r="H1982" s="152" t="n">
        <v>412</v>
      </c>
      <c r="I1982" s="156" t="n"/>
      <c r="J1982" s="90" t="n"/>
      <c r="K1982" s="166" t="n"/>
      <c r="L1982" s="158">
        <f>+H1982*J1982</f>
        <v/>
      </c>
      <c r="M1982" s="159" t="n"/>
    </row>
    <row r="1983">
      <c r="A1983" s="114" t="n">
        <v>46160</v>
      </c>
      <c r="B1983" s="115" t="n">
        <v>2780</v>
      </c>
      <c r="C1983" s="115" t="inlineStr">
        <is>
          <t>EVKUR</t>
        </is>
      </c>
      <c r="D1983" s="115" t="inlineStr">
        <is>
          <t>KİRALIK KATO</t>
        </is>
      </c>
      <c r="E1983" s="115" t="inlineStr">
        <is>
          <t>GÜNEŞ</t>
        </is>
      </c>
      <c r="F1983" s="115" t="n"/>
      <c r="G1983" s="156" t="n"/>
      <c r="H1983" s="152" t="n">
        <v>38</v>
      </c>
      <c r="I1983" s="156" t="n"/>
      <c r="J1983" s="90" t="n"/>
      <c r="K1983" s="166" t="n"/>
      <c r="L1983" s="158">
        <f>+H1983*J1983</f>
        <v/>
      </c>
      <c r="M1983" s="159" t="n"/>
    </row>
    <row r="1984">
      <c r="A1984" s="114" t="n">
        <v>46160</v>
      </c>
      <c r="B1984" s="115" t="n">
        <v>2781</v>
      </c>
      <c r="C1984" s="115" t="inlineStr">
        <is>
          <t>CAKYOL</t>
        </is>
      </c>
      <c r="D1984" s="115" t="inlineStr">
        <is>
          <t>SARI VİNÇ</t>
        </is>
      </c>
      <c r="E1984" s="115" t="inlineStr">
        <is>
          <t>ALİHAN</t>
        </is>
      </c>
      <c r="F1984" s="115" t="n"/>
      <c r="G1984" s="156" t="n"/>
      <c r="H1984" s="152" t="n">
        <v>248</v>
      </c>
      <c r="I1984" s="156" t="n"/>
      <c r="J1984" s="90" t="n"/>
      <c r="K1984" s="166" t="n"/>
      <c r="L1984" s="158">
        <f>+H1984*J1984</f>
        <v/>
      </c>
      <c r="M1984" s="159" t="n"/>
    </row>
    <row r="1985">
      <c r="A1985" s="114" t="n">
        <v>46161</v>
      </c>
      <c r="B1985" s="115" t="n">
        <v>2782</v>
      </c>
      <c r="C1985" s="117" t="inlineStr">
        <is>
          <t>VARLIK</t>
        </is>
      </c>
      <c r="D1985" s="115" t="inlineStr">
        <is>
          <t>SM370</t>
        </is>
      </c>
      <c r="E1985" s="115" t="inlineStr">
        <is>
          <t>YUSUF</t>
        </is>
      </c>
      <c r="F1985" s="115" t="n"/>
      <c r="G1985" s="156" t="n"/>
      <c r="H1985" s="152" t="n">
        <v>560</v>
      </c>
      <c r="I1985" s="156" t="n"/>
      <c r="J1985" s="90" t="n"/>
      <c r="K1985" s="166" t="n"/>
      <c r="L1985" s="158">
        <f>+H1985*J1985</f>
        <v/>
      </c>
      <c r="M1985" s="159" t="n"/>
    </row>
    <row r="1986">
      <c r="A1986" s="114" t="n">
        <v>46161</v>
      </c>
      <c r="B1986" s="115" t="n">
        <v>2783</v>
      </c>
      <c r="C1986" s="117" t="inlineStr">
        <is>
          <t>CAKYOL</t>
        </is>
      </c>
      <c r="D1986" s="115" t="inlineStr">
        <is>
          <t>34 AGL 697/FORKLİF</t>
        </is>
      </c>
      <c r="E1986" s="115" t="n"/>
      <c r="F1986" s="115" t="n"/>
      <c r="G1986" s="156" t="n"/>
      <c r="H1986" s="152" t="n">
        <v>103</v>
      </c>
      <c r="I1986" s="156">
        <f>+I1939+(G1986-H1986)</f>
        <v/>
      </c>
      <c r="J1986" s="90" t="n"/>
      <c r="K1986" s="166" t="n"/>
      <c r="L1986" s="158">
        <f>+H1986*J1986</f>
        <v/>
      </c>
      <c r="M1986" s="159">
        <f>SUM(M1939+K1986-L1986)</f>
        <v/>
      </c>
    </row>
    <row r="1987">
      <c r="A1987" s="114" t="n">
        <v>46161</v>
      </c>
      <c r="B1987" s="115" t="n">
        <v>2784</v>
      </c>
      <c r="C1987" s="115" t="inlineStr">
        <is>
          <t>KOZMO</t>
        </is>
      </c>
      <c r="D1987" s="115" t="inlineStr">
        <is>
          <t>JCB</t>
        </is>
      </c>
      <c r="E1987" s="115" t="inlineStr">
        <is>
          <t>BAYRAM</t>
        </is>
      </c>
      <c r="F1987" s="115" t="n"/>
      <c r="G1987" s="156" t="n"/>
      <c r="H1987" s="152" t="n">
        <v>64</v>
      </c>
      <c r="I1987" s="156">
        <f>+I1986+(G1987-H1987)</f>
        <v/>
      </c>
      <c r="J1987" s="90" t="n"/>
      <c r="K1987" s="166" t="n"/>
      <c r="L1987" s="158">
        <f>+H1987*J1987</f>
        <v/>
      </c>
      <c r="M1987" s="159">
        <f>SUM(M1986+K1987-L1987)</f>
        <v/>
      </c>
    </row>
    <row r="1988">
      <c r="A1988" s="114" t="n">
        <v>46162</v>
      </c>
      <c r="B1988" s="115" t="n">
        <v>2785</v>
      </c>
      <c r="C1988" s="115" t="inlineStr">
        <is>
          <t>KOZMO</t>
        </is>
      </c>
      <c r="D1988" s="115" t="inlineStr">
        <is>
          <t xml:space="preserve">JENERATÖR </t>
        </is>
      </c>
      <c r="E1988" s="115" t="n"/>
      <c r="F1988" s="115" t="n"/>
      <c r="G1988" s="156" t="n"/>
      <c r="H1988" s="152" t="n">
        <v>54</v>
      </c>
      <c r="I1988" s="156">
        <f>+I1987+(G1988-H1988)</f>
        <v/>
      </c>
      <c r="J1988" s="90" t="n"/>
      <c r="K1988" s="166" t="n"/>
      <c r="L1988" s="158">
        <f>+H1988*J1988</f>
        <v/>
      </c>
      <c r="M1988" s="159">
        <f>SUM(M1987+K1988-L1988)</f>
        <v/>
      </c>
    </row>
    <row r="1989">
      <c r="A1989" s="114" t="n">
        <v>46162</v>
      </c>
      <c r="B1989" s="115" t="n">
        <v>2786</v>
      </c>
      <c r="C1989" s="115" t="inlineStr">
        <is>
          <t>VARLIK</t>
        </is>
      </c>
      <c r="D1989" s="115" t="inlineStr">
        <is>
          <t>SM350</t>
        </is>
      </c>
      <c r="E1989" s="115" t="inlineStr">
        <is>
          <t>TEVFİK</t>
        </is>
      </c>
      <c r="F1989" s="115" t="n"/>
      <c r="G1989" s="156" t="n"/>
      <c r="H1989" s="152" t="n">
        <v>523</v>
      </c>
      <c r="I1989" s="156">
        <f>+I1988+(G1989-H1989)</f>
        <v/>
      </c>
      <c r="J1989" s="90" t="n"/>
      <c r="K1989" s="166" t="n"/>
      <c r="L1989" s="158">
        <f>+H1989*J1989</f>
        <v/>
      </c>
      <c r="M1989" s="159">
        <f>SUM(M1988+K1989-L1989)</f>
        <v/>
      </c>
    </row>
    <row r="1990">
      <c r="A1990" s="114" t="n">
        <v>46162</v>
      </c>
      <c r="B1990" s="115" t="n">
        <v>2787</v>
      </c>
      <c r="C1990" s="115" t="inlineStr">
        <is>
          <t>VARLIK</t>
        </is>
      </c>
      <c r="D1990" s="115" t="inlineStr">
        <is>
          <t>SM330</t>
        </is>
      </c>
      <c r="E1990" s="115" t="inlineStr">
        <is>
          <t>TURGUT</t>
        </is>
      </c>
      <c r="F1990" s="115" t="n"/>
      <c r="G1990" s="156" t="n"/>
      <c r="H1990" s="152" t="n">
        <v>455</v>
      </c>
      <c r="I1990" s="156">
        <f>+I1989+(G1990-H1990)</f>
        <v/>
      </c>
      <c r="J1990" s="90" t="n"/>
      <c r="K1990" s="166" t="n"/>
      <c r="L1990" s="158">
        <f>+H1990*J1990</f>
        <v/>
      </c>
      <c r="M1990" s="159">
        <f>SUM(M1989+K1990-L1990)</f>
        <v/>
      </c>
    </row>
    <row r="1991">
      <c r="A1991" s="114" t="n">
        <v>46162</v>
      </c>
      <c r="B1991" s="115" t="n">
        <v>2788</v>
      </c>
      <c r="C1991" s="115" t="inlineStr">
        <is>
          <t>MEGA VARLIK</t>
        </is>
      </c>
      <c r="D1991" s="115" t="inlineStr">
        <is>
          <t>SM370</t>
        </is>
      </c>
      <c r="E1991" s="115" t="inlineStr">
        <is>
          <t>YUSUF</t>
        </is>
      </c>
      <c r="F1991" s="115" t="n"/>
      <c r="G1991" s="156" t="n"/>
      <c r="H1991" s="152" t="n">
        <v>440</v>
      </c>
      <c r="I1991" s="156">
        <f>+I1990+(G1991-H1991)</f>
        <v/>
      </c>
      <c r="J1991" s="90" t="n"/>
      <c r="K1991" s="166" t="n"/>
      <c r="L1991" s="158">
        <f>+H1991*J1991</f>
        <v/>
      </c>
      <c r="M1991" s="159">
        <f>SUM(M1990+K1991-L1991)</f>
        <v/>
      </c>
    </row>
    <row r="1992">
      <c r="A1992" s="114" t="n">
        <v>46162</v>
      </c>
      <c r="B1992" s="115" t="n">
        <v>2789</v>
      </c>
      <c r="C1992" s="115" t="inlineStr">
        <is>
          <t>SELİM İNŞAAT</t>
        </is>
      </c>
      <c r="D1992" s="115" t="inlineStr">
        <is>
          <t>MANİTO</t>
        </is>
      </c>
      <c r="E1992" s="115" t="inlineStr">
        <is>
          <t>MUHAMMED</t>
        </is>
      </c>
      <c r="F1992" s="115" t="n"/>
      <c r="G1992" s="156" t="n"/>
      <c r="H1992" s="152" t="n">
        <v>246</v>
      </c>
      <c r="I1992" s="156">
        <f>+I1991+(G1992-H1992)</f>
        <v/>
      </c>
      <c r="J1992" s="90" t="n"/>
      <c r="K1992" s="166" t="n"/>
      <c r="L1992" s="158">
        <f>+H1992*J1992</f>
        <v/>
      </c>
      <c r="M1992" s="159">
        <f>SUM(M1991+K1992-L1992)</f>
        <v/>
      </c>
    </row>
    <row r="1993">
      <c r="A1993" s="114" t="n">
        <v>46162</v>
      </c>
      <c r="B1993" s="115" t="n">
        <v>2790</v>
      </c>
      <c r="C1993" s="115" t="inlineStr">
        <is>
          <t>KOZMO</t>
        </is>
      </c>
      <c r="D1993" s="115" t="inlineStr">
        <is>
          <t>34 AZ2191</t>
        </is>
      </c>
      <c r="E1993" s="115" t="inlineStr">
        <is>
          <t>NUMAN</t>
        </is>
      </c>
      <c r="F1993" s="115" t="n"/>
      <c r="G1993" s="156" t="n"/>
      <c r="H1993" s="152" t="n">
        <v>274</v>
      </c>
      <c r="I1993" s="156">
        <f>+I1992+(G1993-H1993)</f>
        <v/>
      </c>
      <c r="J1993" s="90" t="n"/>
      <c r="K1993" s="166" t="n"/>
      <c r="L1993" s="158">
        <f>+H1993*J1993</f>
        <v/>
      </c>
      <c r="M1993" s="159">
        <f>SUM(M1992+K1993-L1993)</f>
        <v/>
      </c>
    </row>
    <row r="1994">
      <c r="A1994" s="114" t="n">
        <v>46163</v>
      </c>
      <c r="B1994" s="115" t="n">
        <v>2791</v>
      </c>
      <c r="C1994" s="115" t="inlineStr">
        <is>
          <t>KOZMO</t>
        </is>
      </c>
      <c r="D1994" s="115" t="inlineStr">
        <is>
          <t>SM350</t>
        </is>
      </c>
      <c r="E1994" s="115" t="inlineStr">
        <is>
          <t>MUHAMMED</t>
        </is>
      </c>
      <c r="F1994" s="115" t="n"/>
      <c r="G1994" s="156" t="n"/>
      <c r="H1994" s="152" t="n">
        <v>586</v>
      </c>
      <c r="I1994" s="156">
        <f>+I1993+(G1994-H1994)</f>
        <v/>
      </c>
      <c r="J1994" s="90" t="n"/>
      <c r="K1994" s="166" t="n"/>
      <c r="L1994" s="158">
        <f>+H1994*J1994</f>
        <v/>
      </c>
      <c r="M1994" s="159">
        <f>SUM(M1993+K1994-L1994)</f>
        <v/>
      </c>
    </row>
    <row r="1995">
      <c r="A1995" s="114" t="n">
        <v>46164</v>
      </c>
      <c r="B1995" s="115" t="n">
        <v>2792</v>
      </c>
      <c r="C1995" s="115" t="inlineStr">
        <is>
          <t>KOZMO</t>
        </is>
      </c>
      <c r="D1995" s="115" t="inlineStr">
        <is>
          <t xml:space="preserve">JENERATÖR </t>
        </is>
      </c>
      <c r="E1995" s="115" t="n"/>
      <c r="F1995" s="115" t="n"/>
      <c r="G1995" s="156" t="n"/>
      <c r="H1995" s="152" t="n">
        <v>42</v>
      </c>
      <c r="I1995" s="156">
        <f>+I1994+(G1995-H1995)</f>
        <v/>
      </c>
      <c r="J1995" s="90" t="n"/>
      <c r="K1995" s="166" t="n"/>
      <c r="L1995" s="158">
        <f>+H1995*J1995</f>
        <v/>
      </c>
      <c r="M1995" s="159">
        <f>SUM(M1994+K1995-L1995)</f>
        <v/>
      </c>
    </row>
    <row r="1996">
      <c r="A1996" s="114" t="n">
        <v>46164</v>
      </c>
      <c r="B1996" s="115" t="n">
        <v>2793</v>
      </c>
      <c r="C1996" s="115" t="inlineStr">
        <is>
          <t>KOZMO</t>
        </is>
      </c>
      <c r="D1996" s="115" t="inlineStr">
        <is>
          <t>SM350</t>
        </is>
      </c>
      <c r="E1996" s="115" t="inlineStr">
        <is>
          <t>TEVFİK</t>
        </is>
      </c>
      <c r="F1996" s="115" t="n"/>
      <c r="G1996" s="156" t="n"/>
      <c r="H1996" s="152" t="n">
        <v>378</v>
      </c>
      <c r="I1996" s="156">
        <f>+I1995+(G1996-H1996)</f>
        <v/>
      </c>
      <c r="J1996" s="90" t="n"/>
      <c r="K1996" s="166" t="n"/>
      <c r="L1996" s="158">
        <f>+H1996*J1996</f>
        <v/>
      </c>
      <c r="M1996" s="159">
        <f>SUM(M1995+K1996-L1996)</f>
        <v/>
      </c>
    </row>
    <row r="1997">
      <c r="A1997" s="114" t="n">
        <v>46164</v>
      </c>
      <c r="B1997" s="115" t="n">
        <v>2794</v>
      </c>
      <c r="C1997" s="115" t="inlineStr">
        <is>
          <t>CAKYOL</t>
        </is>
      </c>
      <c r="D1997" s="115" t="inlineStr">
        <is>
          <t>34 GCY 009</t>
        </is>
      </c>
      <c r="E1997" s="115" t="n"/>
      <c r="F1997" s="115" t="n"/>
      <c r="G1997" s="156" t="n"/>
      <c r="H1997" s="152" t="n">
        <v>56</v>
      </c>
      <c r="I1997" s="156">
        <f>+I1996+(G1997-H1997)</f>
        <v/>
      </c>
      <c r="J1997" s="90" t="n"/>
      <c r="K1997" s="166" t="n"/>
      <c r="L1997" s="158">
        <f>+H1997*J1997</f>
        <v/>
      </c>
      <c r="M1997" s="159">
        <f>SUM(M1996+K1997-L1997)</f>
        <v/>
      </c>
    </row>
    <row r="1998">
      <c r="A1998" s="114" t="n">
        <v>46165</v>
      </c>
      <c r="B1998" s="115" t="n">
        <v>2795</v>
      </c>
      <c r="C1998" s="115" t="inlineStr">
        <is>
          <t>MEGA VARLIK</t>
        </is>
      </c>
      <c r="D1998" s="115" t="inlineStr">
        <is>
          <t>ZOMLİYON</t>
        </is>
      </c>
      <c r="E1998" s="115" t="inlineStr">
        <is>
          <t>SALİH</t>
        </is>
      </c>
      <c r="F1998" s="115" t="n"/>
      <c r="G1998" s="156" t="n"/>
      <c r="H1998" s="152" t="n">
        <v>284</v>
      </c>
      <c r="I1998" s="156">
        <f>+I1997+(G1998-H1998)</f>
        <v/>
      </c>
      <c r="J1998" s="90" t="n"/>
      <c r="K1998" s="166" t="n"/>
      <c r="L1998" s="158">
        <f>+H1998*J1998</f>
        <v/>
      </c>
      <c r="M1998" s="159">
        <f>SUM(M1997+K1998-L1998)</f>
        <v/>
      </c>
    </row>
    <row r="1999">
      <c r="A1999" s="114" t="n">
        <v>46165</v>
      </c>
      <c r="B1999" s="115" t="n">
        <v>2796</v>
      </c>
      <c r="C1999" s="115" t="inlineStr">
        <is>
          <t>SELİM İNŞAAT</t>
        </is>
      </c>
      <c r="D1999" s="115" t="inlineStr">
        <is>
          <t>FORKLİF</t>
        </is>
      </c>
      <c r="E1999" s="115" t="inlineStr">
        <is>
          <t>FAHRİ</t>
        </is>
      </c>
      <c r="F1999" s="115" t="n"/>
      <c r="G1999" s="156" t="n"/>
      <c r="H1999" s="152" t="n">
        <v>32</v>
      </c>
      <c r="I1999" s="156">
        <f>+I1998+(G1999-H1999)</f>
        <v/>
      </c>
      <c r="J1999" s="90" t="n"/>
      <c r="K1999" s="166" t="n"/>
      <c r="L1999" s="158">
        <f>+H1999*J1999</f>
        <v/>
      </c>
      <c r="M1999" s="159">
        <f>SUM(M1998+K1999-L1999)</f>
        <v/>
      </c>
    </row>
    <row r="2000">
      <c r="A2000" s="114" t="n">
        <v>46165</v>
      </c>
      <c r="B2000" s="115" t="n">
        <v>2797</v>
      </c>
      <c r="C2000" s="115" t="inlineStr">
        <is>
          <t>CAKYOL</t>
        </is>
      </c>
      <c r="D2000" s="115" t="inlineStr">
        <is>
          <t>34 EU 0188</t>
        </is>
      </c>
      <c r="E2000" s="115" t="inlineStr">
        <is>
          <t>SELÇUK</t>
        </is>
      </c>
      <c r="F2000" s="115" t="n"/>
      <c r="G2000" s="156" t="n"/>
      <c r="H2000" s="152" t="n">
        <v>49</v>
      </c>
      <c r="I2000" s="156">
        <f>+I1999+(G2000-H2000)</f>
        <v/>
      </c>
      <c r="J2000" s="90" t="n"/>
      <c r="K2000" s="166" t="n"/>
      <c r="L2000" s="158">
        <f>+H2000*J2000</f>
        <v/>
      </c>
      <c r="M2000" s="159">
        <f>SUM(M1999+K2000-L2000)</f>
        <v/>
      </c>
    </row>
    <row r="2001">
      <c r="A2001" s="114" t="n">
        <v>46165</v>
      </c>
      <c r="B2001" s="115" t="n">
        <v>2798</v>
      </c>
      <c r="C2001" s="115" t="inlineStr">
        <is>
          <t>SELİM İNŞAAT</t>
        </is>
      </c>
      <c r="D2001" s="115" t="inlineStr">
        <is>
          <t>JCB</t>
        </is>
      </c>
      <c r="E2001" s="115" t="inlineStr">
        <is>
          <t>BAYRAM</t>
        </is>
      </c>
      <c r="F2001" s="115" t="n"/>
      <c r="G2001" s="156" t="n"/>
      <c r="H2001" s="152" t="n">
        <v>74</v>
      </c>
      <c r="I2001" s="156">
        <f>+I2000+(G2001-H2001)</f>
        <v/>
      </c>
      <c r="J2001" s="90" t="n"/>
      <c r="K2001" s="166" t="n"/>
      <c r="L2001" s="158">
        <f>+H2001*J2001</f>
        <v/>
      </c>
      <c r="M2001" s="159">
        <f>SUM(M2000+K2001-L2001)</f>
        <v/>
      </c>
    </row>
    <row r="2002">
      <c r="A2002" s="114" t="n">
        <v>46160</v>
      </c>
      <c r="B2002" s="115" t="n">
        <v>1761</v>
      </c>
      <c r="C2002" s="115" t="inlineStr">
        <is>
          <t>SELİM İNŞAAT</t>
        </is>
      </c>
      <c r="D2002" s="115" t="inlineStr">
        <is>
          <t>34 EDC 086</t>
        </is>
      </c>
      <c r="E2002" s="115" t="inlineStr">
        <is>
          <t>ZİYA İNCE</t>
        </is>
      </c>
      <c r="F2002" s="115" t="n">
        <v>387340</v>
      </c>
      <c r="G2002" s="156" t="n"/>
      <c r="H2002" s="152" t="n">
        <v>429</v>
      </c>
      <c r="I2002" s="156">
        <f>+I2001+(G2002-H2002)</f>
        <v/>
      </c>
      <c r="J2002" s="90" t="n"/>
      <c r="K2002" s="166" t="n"/>
      <c r="L2002" s="158">
        <f>+H2002*J2002</f>
        <v/>
      </c>
      <c r="M2002" s="159">
        <f>SUM(M2001+K2002-L2002)</f>
        <v/>
      </c>
    </row>
    <row r="2003">
      <c r="A2003" s="114" t="n">
        <v>46165</v>
      </c>
      <c r="B2003" s="115" t="n">
        <v>1762</v>
      </c>
      <c r="C2003" s="115" t="inlineStr">
        <is>
          <t>SELİM İNŞAAT</t>
        </is>
      </c>
      <c r="D2003" s="115" t="inlineStr">
        <is>
          <t>34 EDC 086</t>
        </is>
      </c>
      <c r="E2003" s="115" t="inlineStr">
        <is>
          <t>ZİYA İNCE</t>
        </is>
      </c>
      <c r="F2003" s="115" t="n">
        <v>388134</v>
      </c>
      <c r="G2003" s="156" t="n"/>
      <c r="H2003" s="152" t="n">
        <v>438</v>
      </c>
      <c r="I2003" s="156">
        <f>+I2002+(G2003-H2003)</f>
        <v/>
      </c>
      <c r="J2003" s="90" t="n"/>
      <c r="K2003" s="166" t="n"/>
      <c r="L2003" s="158">
        <f>+H2003*J2003</f>
        <v/>
      </c>
      <c r="M2003" s="159">
        <f>SUM(M2002+K2003-L2003)</f>
        <v/>
      </c>
    </row>
    <row r="2004">
      <c r="A2004" s="114" t="n">
        <v>46160</v>
      </c>
      <c r="B2004" s="115" t="n">
        <v>3630</v>
      </c>
      <c r="C2004" s="115" t="inlineStr">
        <is>
          <t>SELİM İNŞAAT</t>
        </is>
      </c>
      <c r="D2004" s="115" t="inlineStr">
        <is>
          <t>34 EDB 922</t>
        </is>
      </c>
      <c r="E2004" s="115" t="inlineStr">
        <is>
          <t>SERVET KARANFİL</t>
        </is>
      </c>
      <c r="F2004" s="115" t="n">
        <v>412220</v>
      </c>
      <c r="G2004" s="156" t="n"/>
      <c r="H2004" s="152" t="n">
        <v>455</v>
      </c>
      <c r="I2004" s="156">
        <f>+I2003+(G2004-H2004)</f>
        <v/>
      </c>
      <c r="J2004" s="90" t="n"/>
      <c r="K2004" s="166" t="n"/>
      <c r="L2004" s="158">
        <f>+H2004*J2004</f>
        <v/>
      </c>
      <c r="M2004" s="159">
        <f>SUM(M2003+K2004-L2004)</f>
        <v/>
      </c>
    </row>
    <row r="2005">
      <c r="A2005" s="114" t="n">
        <v>46162</v>
      </c>
      <c r="B2005" s="115" t="n">
        <v>3631</v>
      </c>
      <c r="C2005" s="115" t="inlineStr">
        <is>
          <t>SELİM İNŞAAT</t>
        </is>
      </c>
      <c r="D2005" s="115" t="inlineStr">
        <is>
          <t>34 EDB 922</t>
        </is>
      </c>
      <c r="E2005" s="115" t="inlineStr">
        <is>
          <t>SERVET KARANFİL</t>
        </is>
      </c>
      <c r="F2005" s="115" t="n">
        <v>412972</v>
      </c>
      <c r="G2005" s="156" t="n"/>
      <c r="H2005" s="152" t="n">
        <v>525</v>
      </c>
      <c r="I2005" s="156">
        <f>+I2004+(G2005-H2005)</f>
        <v/>
      </c>
      <c r="J2005" s="90" t="n"/>
      <c r="K2005" s="166" t="n"/>
      <c r="L2005" s="158">
        <f>+H2005*J2005</f>
        <v/>
      </c>
      <c r="M2005" s="159">
        <f>SUM(M2004+K2005-L2005)</f>
        <v/>
      </c>
    </row>
    <row r="2006">
      <c r="A2006" s="114" t="n">
        <v>46161</v>
      </c>
      <c r="B2006" s="115" t="n">
        <v>33</v>
      </c>
      <c r="C2006" s="115" t="inlineStr">
        <is>
          <t>SELİM İNŞAAT</t>
        </is>
      </c>
      <c r="D2006" s="115" t="inlineStr">
        <is>
          <t>34 GVZ 268</t>
        </is>
      </c>
      <c r="E2006" s="115" t="inlineStr">
        <is>
          <t>KERİM KARAMAN</t>
        </is>
      </c>
      <c r="F2006" s="115" t="n">
        <v>264208</v>
      </c>
      <c r="G2006" s="156" t="n"/>
      <c r="H2006" s="152" t="n">
        <v>450</v>
      </c>
      <c r="I2006" s="156">
        <f>+I2005+(G2006-H2006)</f>
        <v/>
      </c>
      <c r="J2006" s="90" t="n"/>
      <c r="K2006" s="166" t="n"/>
      <c r="L2006" s="158">
        <f>+H2006*J2006</f>
        <v/>
      </c>
      <c r="M2006" s="159">
        <f>SUM(M2005+K2006-L2006)</f>
        <v/>
      </c>
    </row>
    <row r="2007">
      <c r="A2007" s="114" t="n">
        <v>46162</v>
      </c>
      <c r="B2007" s="115" t="n">
        <v>34</v>
      </c>
      <c r="C2007" s="115" t="inlineStr">
        <is>
          <t>SELİM İNŞAAT</t>
        </is>
      </c>
      <c r="D2007" s="115" t="inlineStr">
        <is>
          <t>34 GVZ 268</t>
        </is>
      </c>
      <c r="E2007" s="115" t="inlineStr">
        <is>
          <t>KERİM KARAMAN</t>
        </is>
      </c>
      <c r="F2007" s="115" t="n">
        <v>265118</v>
      </c>
      <c r="G2007" s="156" t="n"/>
      <c r="H2007" s="152" t="n">
        <v>461</v>
      </c>
      <c r="I2007" s="156">
        <f>+I2006+(G2007-H2007)</f>
        <v/>
      </c>
      <c r="J2007" s="90" t="n"/>
      <c r="K2007" s="166" t="n"/>
      <c r="L2007" s="158">
        <f>+H2007*J2007</f>
        <v/>
      </c>
      <c r="M2007" s="159">
        <f>SUM(M2006+K2007-L2007)</f>
        <v/>
      </c>
    </row>
    <row r="2008">
      <c r="A2008" s="114" t="n">
        <v>46160</v>
      </c>
      <c r="B2008" s="115" t="n">
        <v>204</v>
      </c>
      <c r="C2008" s="115" t="inlineStr">
        <is>
          <t>SELİM İNŞAAT</t>
        </is>
      </c>
      <c r="D2008" s="115" t="inlineStr">
        <is>
          <t>34 DSN 536</t>
        </is>
      </c>
      <c r="E2008" s="115" t="inlineStr">
        <is>
          <t>SİNAN TANRIVERDİ</t>
        </is>
      </c>
      <c r="F2008" s="115" t="n">
        <v>444972</v>
      </c>
      <c r="G2008" s="156" t="n"/>
      <c r="H2008" s="152" t="n">
        <v>470</v>
      </c>
      <c r="I2008" s="156">
        <f>+I2007+(G2008-H2008)</f>
        <v/>
      </c>
      <c r="J2008" s="90" t="n"/>
      <c r="K2008" s="166" t="n"/>
      <c r="L2008" s="158">
        <f>+H2008*J2008</f>
        <v/>
      </c>
      <c r="M2008" s="159">
        <f>SUM(M2007+K2008-L2008)</f>
        <v/>
      </c>
    </row>
    <row r="2009">
      <c r="A2009" s="114" t="n">
        <v>46161</v>
      </c>
      <c r="B2009" s="115" t="n">
        <v>205</v>
      </c>
      <c r="C2009" s="115" t="inlineStr">
        <is>
          <t>SELİM İNŞAAT</t>
        </is>
      </c>
      <c r="D2009" s="115" t="inlineStr">
        <is>
          <t>34 DSN 536</t>
        </is>
      </c>
      <c r="E2009" s="115" t="inlineStr">
        <is>
          <t>SİNAN TANRIVERDİ</t>
        </is>
      </c>
      <c r="F2009" s="115" t="n">
        <v>445723</v>
      </c>
      <c r="G2009" s="156" t="n"/>
      <c r="H2009" s="152" t="n">
        <v>466</v>
      </c>
      <c r="I2009" s="156">
        <f>+I2008+(G2009-H2009)</f>
        <v/>
      </c>
      <c r="J2009" s="90" t="n"/>
      <c r="K2009" s="166" t="n"/>
      <c r="L2009" s="158">
        <f>+H2009*J2009</f>
        <v/>
      </c>
      <c r="M2009" s="159">
        <f>SUM(M2008+K2009-L2009)</f>
        <v/>
      </c>
    </row>
    <row r="2010">
      <c r="A2010" s="114" t="n">
        <v>46158</v>
      </c>
      <c r="B2010" s="115" t="n">
        <v>961</v>
      </c>
      <c r="C2010" s="115" t="inlineStr">
        <is>
          <t>SELİM İNŞAAT</t>
        </is>
      </c>
      <c r="D2010" s="115" t="inlineStr">
        <is>
          <t>34 DSN 636</t>
        </is>
      </c>
      <c r="E2010" s="115" t="inlineStr">
        <is>
          <t>YAVUZ SELİMTAŞ</t>
        </is>
      </c>
      <c r="F2010" s="115" t="n">
        <v>439784</v>
      </c>
      <c r="G2010" s="156" t="n"/>
      <c r="H2010" s="152" t="n">
        <v>301</v>
      </c>
      <c r="I2010" s="156">
        <f>+I2009+(G2010-H2010)</f>
        <v/>
      </c>
      <c r="J2010" s="90" t="n"/>
      <c r="K2010" s="166" t="n"/>
      <c r="L2010" s="158">
        <f>+H2010*J2010</f>
        <v/>
      </c>
      <c r="M2010" s="159">
        <f>SUM(M2009+K2010-L2010)</f>
        <v/>
      </c>
    </row>
    <row r="2011">
      <c r="A2011" s="114" t="n">
        <v>46161</v>
      </c>
      <c r="B2011" s="115" t="n">
        <v>962</v>
      </c>
      <c r="C2011" s="115" t="inlineStr">
        <is>
          <t>SELİM İNŞAAT</t>
        </is>
      </c>
      <c r="D2011" s="115" t="inlineStr">
        <is>
          <t>34 DSN 636</t>
        </is>
      </c>
      <c r="E2011" s="115" t="inlineStr">
        <is>
          <t>YAVUZ SELİMTAŞ</t>
        </is>
      </c>
      <c r="F2011" s="115" t="n">
        <v>440487</v>
      </c>
      <c r="G2011" s="156" t="n"/>
      <c r="H2011" s="152" t="n">
        <v>459</v>
      </c>
      <c r="I2011" s="156">
        <f>+I2010+(G2011-H2011)</f>
        <v/>
      </c>
      <c r="J2011" s="90" t="n"/>
      <c r="K2011" s="166" t="n"/>
      <c r="L2011" s="158">
        <f>+H2011*J2011</f>
        <v/>
      </c>
      <c r="M2011" s="159">
        <f>SUM(M2010+K2011-L2011)</f>
        <v/>
      </c>
    </row>
    <row r="2012">
      <c r="A2012" s="114" t="n">
        <v>46164</v>
      </c>
      <c r="B2012" s="115" t="n">
        <v>963</v>
      </c>
      <c r="C2012" s="115" t="inlineStr">
        <is>
          <t>SELİM İNŞAAT</t>
        </is>
      </c>
      <c r="D2012" s="115" t="inlineStr">
        <is>
          <t>34 DSN 636</t>
        </is>
      </c>
      <c r="E2012" s="115" t="inlineStr">
        <is>
          <t>YAVUZ SELİMTAŞ</t>
        </is>
      </c>
      <c r="F2012" s="115" t="n">
        <v>441289</v>
      </c>
      <c r="G2012" s="156" t="n"/>
      <c r="H2012" s="152" t="n">
        <v>438</v>
      </c>
      <c r="I2012" s="156">
        <f>+I2011+(G2012-H2012)</f>
        <v/>
      </c>
      <c r="J2012" s="90" t="n"/>
      <c r="K2012" s="166" t="n"/>
      <c r="L2012" s="158">
        <f>+H2012*J2012</f>
        <v/>
      </c>
      <c r="M2012" s="159">
        <f>SUM(M2011+K2012-L2012)</f>
        <v/>
      </c>
    </row>
    <row r="2013">
      <c r="A2013" s="114" t="n">
        <v>46160</v>
      </c>
      <c r="B2013" s="115" t="n">
        <v>170</v>
      </c>
      <c r="C2013" s="115" t="inlineStr">
        <is>
          <t>SELİM İNŞAAT</t>
        </is>
      </c>
      <c r="D2013" s="115" t="inlineStr">
        <is>
          <t>34 FBR 771</t>
        </is>
      </c>
      <c r="E2013" s="115" t="inlineStr">
        <is>
          <t>SALİH YALÇIN</t>
        </is>
      </c>
      <c r="F2013" s="115" t="n">
        <v>362495</v>
      </c>
      <c r="G2013" s="156" t="n"/>
      <c r="H2013" s="152" t="n">
        <v>351</v>
      </c>
      <c r="I2013" s="156">
        <f>+I2012+(G2013-H2013)</f>
        <v/>
      </c>
      <c r="J2013" s="90" t="n"/>
      <c r="K2013" s="166" t="n"/>
      <c r="L2013" s="158">
        <f>+H2013*J2013</f>
        <v/>
      </c>
      <c r="M2013" s="159">
        <f>SUM(M2012+K2013-L2013)</f>
        <v/>
      </c>
    </row>
    <row r="2014">
      <c r="A2014" s="114" t="n">
        <v>46162</v>
      </c>
      <c r="B2014" s="115" t="n">
        <v>171</v>
      </c>
      <c r="C2014" s="115" t="inlineStr">
        <is>
          <t>SELİM İNŞAAT</t>
        </is>
      </c>
      <c r="D2014" s="115" t="inlineStr">
        <is>
          <t>34 FBR 771</t>
        </is>
      </c>
      <c r="E2014" s="115" t="inlineStr">
        <is>
          <t>SALİH YALÇIN</t>
        </is>
      </c>
      <c r="F2014" s="115" t="n">
        <v>363100</v>
      </c>
      <c r="G2014" s="156" t="n"/>
      <c r="H2014" s="152" t="n">
        <v>400</v>
      </c>
      <c r="I2014" s="156">
        <f>+I2013+(G2014-H2014)</f>
        <v/>
      </c>
      <c r="J2014" s="90" t="n"/>
      <c r="K2014" s="166" t="n"/>
      <c r="L2014" s="158">
        <f>+H2014*J2014</f>
        <v/>
      </c>
      <c r="M2014" s="159">
        <f>SUM(M2013+K2014-L2014)</f>
        <v/>
      </c>
    </row>
    <row r="2015">
      <c r="A2015" s="114" t="n">
        <v>46164</v>
      </c>
      <c r="B2015" s="115" t="n">
        <v>172</v>
      </c>
      <c r="C2015" s="115" t="inlineStr">
        <is>
          <t>SELİM İNŞAAT</t>
        </is>
      </c>
      <c r="D2015" s="115" t="inlineStr">
        <is>
          <t>34 FBR 771</t>
        </is>
      </c>
      <c r="E2015" s="115" t="inlineStr">
        <is>
          <t>SALİH YALÇIN</t>
        </is>
      </c>
      <c r="F2015" s="115" t="n">
        <v>363836</v>
      </c>
      <c r="G2015" s="156" t="n"/>
      <c r="H2015" s="152" t="n">
        <v>372</v>
      </c>
      <c r="I2015" s="156">
        <f>+I2014+(G2015-H2015)</f>
        <v/>
      </c>
      <c r="J2015" s="90" t="n"/>
      <c r="K2015" s="166" t="n"/>
      <c r="L2015" s="158">
        <f>+H2015*J2015</f>
        <v/>
      </c>
      <c r="M2015" s="159">
        <f>SUM(M2014+K2015-L2015)</f>
        <v/>
      </c>
    </row>
    <row r="2016">
      <c r="A2016" s="114" t="n">
        <v>46161</v>
      </c>
      <c r="B2016" s="115" t="n">
        <v>4530</v>
      </c>
      <c r="C2016" s="115" t="inlineStr">
        <is>
          <t>SELİM İNŞAAT</t>
        </is>
      </c>
      <c r="D2016" s="115" t="inlineStr">
        <is>
          <t>34 DTV 352</t>
        </is>
      </c>
      <c r="E2016" s="115" t="inlineStr">
        <is>
          <t>YUSUF</t>
        </is>
      </c>
      <c r="F2016" s="115" t="n">
        <v>485726</v>
      </c>
      <c r="G2016" s="156" t="n"/>
      <c r="H2016" s="152" t="n">
        <v>391</v>
      </c>
      <c r="I2016" s="156" t="n"/>
      <c r="J2016" s="90" t="n"/>
      <c r="K2016" s="166" t="n"/>
      <c r="L2016" s="158">
        <f>+H2016*J2016</f>
        <v/>
      </c>
      <c r="M2016" s="159" t="n"/>
    </row>
    <row r="2017">
      <c r="A2017" s="114" t="n">
        <v>46164</v>
      </c>
      <c r="B2017" s="115" t="n">
        <v>4531</v>
      </c>
      <c r="C2017" s="115" t="inlineStr">
        <is>
          <t>SELİM İNŞAAT</t>
        </is>
      </c>
      <c r="D2017" s="115" t="inlineStr">
        <is>
          <t>34 DTV 352</t>
        </is>
      </c>
      <c r="E2017" s="115" t="inlineStr">
        <is>
          <t>YUSUF</t>
        </is>
      </c>
      <c r="F2017" s="115" t="n">
        <v>486474</v>
      </c>
      <c r="G2017" s="156" t="n"/>
      <c r="H2017" s="152" t="n">
        <v>431</v>
      </c>
      <c r="I2017" s="156" t="n"/>
      <c r="J2017" s="90" t="n"/>
      <c r="K2017" s="166" t="n"/>
      <c r="L2017" s="158">
        <f>+H2017*J2017</f>
        <v/>
      </c>
      <c r="M2017" s="159" t="n"/>
    </row>
    <row r="2018">
      <c r="A2018" s="114" t="n">
        <v>46160</v>
      </c>
      <c r="B2018" s="115" t="n">
        <v>1201</v>
      </c>
      <c r="C2018" s="115" t="inlineStr">
        <is>
          <t>SELİM İNŞAAT</t>
        </is>
      </c>
      <c r="D2018" s="115" t="inlineStr">
        <is>
          <t>34 FBR 705</t>
        </is>
      </c>
      <c r="E2018" s="115" t="inlineStr">
        <is>
          <t>MURAT SARI</t>
        </is>
      </c>
      <c r="F2018" s="115" t="n">
        <v>374920</v>
      </c>
      <c r="G2018" s="156" t="n"/>
      <c r="H2018" s="152" t="n">
        <v>403</v>
      </c>
      <c r="I2018" s="156" t="n"/>
      <c r="J2018" s="90" t="n"/>
      <c r="K2018" s="166" t="n"/>
      <c r="L2018" s="158">
        <f>+H2018*J2018</f>
        <v/>
      </c>
      <c r="M2018" s="159" t="n"/>
    </row>
    <row r="2019">
      <c r="A2019" s="114" t="n">
        <v>46161</v>
      </c>
      <c r="B2019" s="115" t="n">
        <v>1202</v>
      </c>
      <c r="C2019" s="115" t="inlineStr">
        <is>
          <t>SELİM İNŞAAT</t>
        </is>
      </c>
      <c r="D2019" s="115" t="inlineStr">
        <is>
          <t>34 FBR 705</t>
        </is>
      </c>
      <c r="E2019" s="115" t="inlineStr">
        <is>
          <t>MURAT SARI</t>
        </is>
      </c>
      <c r="F2019" s="115" t="n">
        <v>375752</v>
      </c>
      <c r="G2019" s="156" t="n"/>
      <c r="H2019" s="152" t="n">
        <v>525</v>
      </c>
      <c r="I2019" s="156" t="n"/>
      <c r="J2019" s="90" t="n"/>
      <c r="K2019" s="166" t="n"/>
      <c r="L2019" s="158">
        <f>+H2019*J2019</f>
        <v/>
      </c>
      <c r="M2019" s="159" t="n"/>
    </row>
    <row r="2020">
      <c r="A2020" s="114" t="n">
        <v>46164</v>
      </c>
      <c r="B2020" s="115" t="n">
        <v>1203</v>
      </c>
      <c r="C2020" s="115" t="inlineStr">
        <is>
          <t>SELİM İNŞAAT</t>
        </is>
      </c>
      <c r="D2020" s="115" t="inlineStr">
        <is>
          <t>34 FBR 705</t>
        </is>
      </c>
      <c r="E2020" s="115" t="inlineStr">
        <is>
          <t>MURAT SARI</t>
        </is>
      </c>
      <c r="F2020" s="115" t="n">
        <v>376543</v>
      </c>
      <c r="G2020" s="156" t="n"/>
      <c r="H2020" s="152" t="n">
        <v>484</v>
      </c>
      <c r="I2020" s="156" t="n"/>
      <c r="J2020" s="90" t="n"/>
      <c r="K2020" s="166" t="n"/>
      <c r="L2020" s="158">
        <f>+H2020*J2020</f>
        <v/>
      </c>
      <c r="M2020" s="159" t="n"/>
    </row>
    <row r="2021">
      <c r="A2021" s="114" t="n">
        <v>46160</v>
      </c>
      <c r="B2021" s="115" t="n">
        <v>1457</v>
      </c>
      <c r="C2021" s="115" t="inlineStr">
        <is>
          <t>SELİM İNŞAAT</t>
        </is>
      </c>
      <c r="D2021" s="115" t="inlineStr">
        <is>
          <t>34 EDB 754</t>
        </is>
      </c>
      <c r="E2021" s="115" t="inlineStr">
        <is>
          <t>AZİZ ORUÇ</t>
        </is>
      </c>
      <c r="F2021" s="115" t="n">
        <v>382472</v>
      </c>
      <c r="G2021" s="156" t="n"/>
      <c r="H2021" s="152" t="n">
        <v>296</v>
      </c>
      <c r="I2021" s="156" t="n"/>
      <c r="J2021" s="90" t="n"/>
      <c r="K2021" s="166" t="n"/>
      <c r="L2021" s="158">
        <f>+H2021*J2021</f>
        <v/>
      </c>
      <c r="M2021" s="159" t="n"/>
    </row>
    <row r="2022">
      <c r="A2022" s="114" t="n">
        <v>46161</v>
      </c>
      <c r="B2022" s="115" t="n">
        <v>1458</v>
      </c>
      <c r="C2022" s="115" t="inlineStr">
        <is>
          <t>SELİM İNŞAAT</t>
        </is>
      </c>
      <c r="D2022" s="115" t="inlineStr">
        <is>
          <t>34 EDB 754</t>
        </is>
      </c>
      <c r="E2022" s="115" t="inlineStr">
        <is>
          <t>AZİZ ORUÇ</t>
        </is>
      </c>
      <c r="F2022" s="115" t="n">
        <v>383144</v>
      </c>
      <c r="G2022" s="156" t="n"/>
      <c r="H2022" s="152" t="n">
        <v>452</v>
      </c>
      <c r="I2022" s="156" t="n"/>
      <c r="J2022" s="90" t="n"/>
      <c r="K2022" s="166" t="n"/>
      <c r="L2022" s="158">
        <f>+H2022*J2022</f>
        <v/>
      </c>
      <c r="M2022" s="159" t="n"/>
    </row>
    <row r="2023">
      <c r="A2023" s="114" t="n">
        <v>46162</v>
      </c>
      <c r="B2023" s="115" t="n">
        <v>1459</v>
      </c>
      <c r="C2023" s="115" t="inlineStr">
        <is>
          <t>SELİM İNŞAAT</t>
        </is>
      </c>
      <c r="D2023" s="115" t="inlineStr">
        <is>
          <t>34 EDB 754</t>
        </is>
      </c>
      <c r="E2023" s="115" t="inlineStr">
        <is>
          <t>AZİZ ORUÇ</t>
        </is>
      </c>
      <c r="F2023" s="115" t="n">
        <v>383570</v>
      </c>
      <c r="G2023" s="156" t="n"/>
      <c r="H2023" s="152" t="n">
        <v>288</v>
      </c>
      <c r="I2023" s="156" t="n"/>
      <c r="J2023" s="90" t="n"/>
      <c r="K2023" s="166" t="n"/>
      <c r="L2023" s="158">
        <f>+H2023*J2023</f>
        <v/>
      </c>
      <c r="M2023" s="159" t="n"/>
    </row>
    <row r="2024">
      <c r="A2024" s="114" t="n">
        <v>46160</v>
      </c>
      <c r="B2024" s="115" t="n">
        <v>52526</v>
      </c>
      <c r="C2024" s="115" t="inlineStr">
        <is>
          <t>SELİM İNŞAAT</t>
        </is>
      </c>
      <c r="D2024" s="115" t="inlineStr">
        <is>
          <t>34 EGR 737</t>
        </is>
      </c>
      <c r="E2024" s="115" t="inlineStr">
        <is>
          <t>CEM MUHTAR</t>
        </is>
      </c>
      <c r="F2024" s="115" t="n">
        <v>467984</v>
      </c>
      <c r="G2024" s="156" t="n"/>
      <c r="H2024" s="152" t="n">
        <v>335</v>
      </c>
      <c r="I2024" s="156" t="n"/>
      <c r="J2024" s="90" t="n"/>
      <c r="K2024" s="166" t="n"/>
      <c r="L2024" s="158">
        <f>+H2024*J2024</f>
        <v/>
      </c>
      <c r="M2024" s="159" t="n"/>
    </row>
    <row r="2025">
      <c r="A2025" s="114" t="n">
        <v>46162</v>
      </c>
      <c r="B2025" s="115" t="n">
        <v>527</v>
      </c>
      <c r="C2025" s="115" t="inlineStr">
        <is>
          <t>SELİM İNŞAAT</t>
        </is>
      </c>
      <c r="D2025" s="115" t="inlineStr">
        <is>
          <t>34 EGR 737</t>
        </is>
      </c>
      <c r="E2025" s="115" t="inlineStr">
        <is>
          <t>CEM MUHTAR</t>
        </is>
      </c>
      <c r="F2025" s="115" t="n">
        <v>468674</v>
      </c>
      <c r="G2025" s="156" t="n"/>
      <c r="H2025" s="152" t="n">
        <v>503</v>
      </c>
      <c r="I2025" s="156" t="n"/>
      <c r="J2025" s="90" t="n"/>
      <c r="K2025" s="166" t="n"/>
      <c r="L2025" s="158">
        <f>+H2025*J2025</f>
        <v/>
      </c>
      <c r="M2025" s="159" t="n"/>
    </row>
    <row r="2026">
      <c r="A2026" s="114" t="n">
        <v>46164</v>
      </c>
      <c r="B2026" s="115" t="n">
        <v>528</v>
      </c>
      <c r="C2026" s="115" t="inlineStr">
        <is>
          <t>SELİM İNŞAAT</t>
        </is>
      </c>
      <c r="D2026" s="115" t="inlineStr">
        <is>
          <t>34 EGR 737</t>
        </is>
      </c>
      <c r="E2026" s="115" t="inlineStr">
        <is>
          <t>CEM MUHTAR</t>
        </is>
      </c>
      <c r="F2026" s="115" t="n">
        <v>459562</v>
      </c>
      <c r="G2026" s="156" t="n"/>
      <c r="H2026" s="152" t="n">
        <v>498</v>
      </c>
      <c r="I2026" s="156" t="n"/>
      <c r="J2026" s="90" t="n"/>
      <c r="K2026" s="166" t="n"/>
      <c r="L2026" s="158">
        <f>+H2026*J2026</f>
        <v/>
      </c>
      <c r="M2026" s="159" t="n"/>
    </row>
    <row r="2027">
      <c r="A2027" s="114" t="n">
        <v>46160</v>
      </c>
      <c r="B2027" s="115" t="n">
        <v>2351</v>
      </c>
      <c r="C2027" s="115" t="inlineStr">
        <is>
          <t>SELİM İNŞAAT</t>
        </is>
      </c>
      <c r="D2027" s="115" t="inlineStr">
        <is>
          <t>34 GUS 938</t>
        </is>
      </c>
      <c r="E2027" s="115" t="inlineStr">
        <is>
          <t>MEHMET KAYA</t>
        </is>
      </c>
      <c r="F2027" s="115" t="n">
        <v>259075</v>
      </c>
      <c r="G2027" s="156" t="n"/>
      <c r="H2027" s="152" t="n">
        <v>337</v>
      </c>
      <c r="I2027" s="156" t="n"/>
      <c r="J2027" s="90" t="n"/>
      <c r="K2027" s="166" t="n"/>
      <c r="L2027" s="158">
        <f>+H2027*J2027</f>
        <v/>
      </c>
      <c r="M2027" s="159" t="n"/>
    </row>
    <row r="2028">
      <c r="A2028" s="114" t="n">
        <v>46161</v>
      </c>
      <c r="B2028" s="115" t="n">
        <v>2352</v>
      </c>
      <c r="C2028" s="115" t="inlineStr">
        <is>
          <t>SELİM İNŞAAT</t>
        </is>
      </c>
      <c r="D2028" s="115" t="inlineStr">
        <is>
          <t>34 GUS 938</t>
        </is>
      </c>
      <c r="E2028" s="115" t="inlineStr">
        <is>
          <t>MEHMET KAYA</t>
        </is>
      </c>
      <c r="F2028" s="115" t="n">
        <v>259817</v>
      </c>
      <c r="G2028" s="156" t="n"/>
      <c r="H2028" s="152" t="n">
        <v>438</v>
      </c>
      <c r="I2028" s="156" t="n"/>
      <c r="J2028" s="90" t="n"/>
      <c r="K2028" s="166" t="n"/>
      <c r="L2028" s="158">
        <f>+H2028*J2028</f>
        <v/>
      </c>
      <c r="M2028" s="159" t="n"/>
    </row>
    <row r="2029">
      <c r="A2029" s="114" t="n">
        <v>46162</v>
      </c>
      <c r="B2029" s="115" t="n">
        <v>2353</v>
      </c>
      <c r="C2029" s="115" t="inlineStr">
        <is>
          <t>SELİM İNŞAAT</t>
        </is>
      </c>
      <c r="D2029" s="115" t="inlineStr">
        <is>
          <t>34 GUS 938</t>
        </is>
      </c>
      <c r="E2029" s="115" t="inlineStr">
        <is>
          <t>MEHMET KAYA</t>
        </is>
      </c>
      <c r="F2029" s="115" t="n">
        <v>260245</v>
      </c>
      <c r="G2029" s="156" t="n"/>
      <c r="H2029" s="152" t="n">
        <v>265</v>
      </c>
      <c r="I2029" s="156" t="n"/>
      <c r="J2029" s="90" t="n"/>
      <c r="K2029" s="166" t="n"/>
      <c r="L2029" s="158">
        <f>+H2029*J2029</f>
        <v/>
      </c>
      <c r="M2029" s="159" t="n"/>
    </row>
    <row r="2030">
      <c r="A2030" s="114" t="n">
        <v>46160</v>
      </c>
      <c r="B2030" s="115" t="n">
        <v>4188</v>
      </c>
      <c r="C2030" s="115" t="inlineStr">
        <is>
          <t>SELİM İNŞAAT</t>
        </is>
      </c>
      <c r="D2030" s="115" t="inlineStr">
        <is>
          <t>34 FBR 748</t>
        </is>
      </c>
      <c r="E2030" s="115" t="inlineStr">
        <is>
          <t>YAŞAR ÖZKAYA</t>
        </is>
      </c>
      <c r="F2030" s="115" t="n">
        <v>336641</v>
      </c>
      <c r="G2030" s="156" t="n"/>
      <c r="H2030" s="152" t="n">
        <v>541</v>
      </c>
      <c r="I2030" s="156" t="n"/>
      <c r="J2030" s="90" t="n"/>
      <c r="K2030" s="166" t="n"/>
      <c r="L2030" s="158">
        <f>+H2030*J2030</f>
        <v/>
      </c>
      <c r="M2030" s="159" t="n"/>
    </row>
    <row r="2031">
      <c r="A2031" s="114" t="n">
        <v>46161</v>
      </c>
      <c r="B2031" s="115" t="n">
        <v>4189</v>
      </c>
      <c r="C2031" s="115" t="inlineStr">
        <is>
          <t>SELİM İNŞAAT</t>
        </is>
      </c>
      <c r="D2031" s="115" t="inlineStr">
        <is>
          <t>34 FBR 748</t>
        </is>
      </c>
      <c r="E2031" s="115" t="inlineStr">
        <is>
          <t>YAŞAR ÖZKAYA</t>
        </is>
      </c>
      <c r="F2031" s="115" t="n">
        <v>337288</v>
      </c>
      <c r="G2031" s="156" t="n"/>
      <c r="H2031" s="152" t="n">
        <v>410</v>
      </c>
      <c r="I2031" s="156" t="n"/>
      <c r="J2031" s="90" t="n"/>
      <c r="K2031" s="166" t="n"/>
      <c r="L2031" s="158">
        <f>+H2031*J2031</f>
        <v/>
      </c>
      <c r="M2031" s="159" t="n"/>
    </row>
    <row r="2032">
      <c r="A2032" s="114" t="n">
        <v>46165</v>
      </c>
      <c r="B2032" s="115" t="n">
        <v>4190</v>
      </c>
      <c r="C2032" s="115" t="inlineStr">
        <is>
          <t>SELİM İNŞAAT</t>
        </is>
      </c>
      <c r="D2032" s="115" t="inlineStr">
        <is>
          <t>34 FBR 748</t>
        </is>
      </c>
      <c r="E2032" s="115" t="inlineStr">
        <is>
          <t>YAŞAR ÖZKAYA</t>
        </is>
      </c>
      <c r="F2032" s="115" t="n">
        <v>338178</v>
      </c>
      <c r="G2032" s="156" t="n"/>
      <c r="H2032" s="152" t="n">
        <v>458</v>
      </c>
      <c r="I2032" s="156" t="n"/>
      <c r="J2032" s="90" t="n"/>
      <c r="K2032" s="166" t="n"/>
      <c r="L2032" s="158">
        <f>+H2032*J2032</f>
        <v/>
      </c>
      <c r="M2032" s="159" t="n"/>
    </row>
    <row r="2033">
      <c r="A2033" s="114" t="n">
        <v>46160</v>
      </c>
      <c r="B2033" s="115" t="n">
        <v>2251</v>
      </c>
      <c r="C2033" s="115" t="inlineStr">
        <is>
          <t>SELİM İNŞAAT</t>
        </is>
      </c>
      <c r="D2033" s="115" t="inlineStr">
        <is>
          <t>34 FBR 742</t>
        </is>
      </c>
      <c r="E2033" s="115" t="inlineStr">
        <is>
          <t>ADNAN KOÇ</t>
        </is>
      </c>
      <c r="F2033" s="115" t="n">
        <v>378064</v>
      </c>
      <c r="G2033" s="156" t="n"/>
      <c r="H2033" s="152" t="n">
        <v>300</v>
      </c>
      <c r="I2033" s="156" t="n"/>
      <c r="J2033" s="90" t="n"/>
      <c r="K2033" s="166" t="n"/>
      <c r="L2033" s="158">
        <f>+H2033*J2033</f>
        <v/>
      </c>
      <c r="M2033" s="159" t="n"/>
    </row>
    <row r="2034">
      <c r="A2034" s="114" t="n">
        <v>46161</v>
      </c>
      <c r="B2034" s="115" t="n">
        <v>2252</v>
      </c>
      <c r="C2034" s="115" t="inlineStr">
        <is>
          <t>SELİM İNŞAAT</t>
        </is>
      </c>
      <c r="D2034" s="115" t="inlineStr">
        <is>
          <t>34 FBR 742</t>
        </is>
      </c>
      <c r="E2034" s="115" t="inlineStr">
        <is>
          <t>ADNAN KOÇ</t>
        </is>
      </c>
      <c r="F2034" s="115" t="n">
        <v>378729</v>
      </c>
      <c r="G2034" s="156" t="n"/>
      <c r="H2034" s="152" t="n">
        <v>402</v>
      </c>
      <c r="I2034" s="156" t="n"/>
      <c r="J2034" s="90" t="n"/>
      <c r="K2034" s="166" t="n"/>
      <c r="L2034" s="158">
        <f>+H2034*J2034</f>
        <v/>
      </c>
      <c r="M2034" s="159" t="n"/>
    </row>
    <row r="2035">
      <c r="A2035" s="114" t="n">
        <v>46164</v>
      </c>
      <c r="B2035" s="115" t="n">
        <v>2253</v>
      </c>
      <c r="C2035" s="115" t="inlineStr">
        <is>
          <t>SELİM İNŞAAT</t>
        </is>
      </c>
      <c r="D2035" s="115" t="inlineStr">
        <is>
          <t>34 FBR 742</t>
        </is>
      </c>
      <c r="E2035" s="115" t="inlineStr">
        <is>
          <t>ADNAN KOÇ</t>
        </is>
      </c>
      <c r="F2035" s="115" t="n">
        <v>379648</v>
      </c>
      <c r="G2035" s="156" t="n"/>
      <c r="H2035" s="152" t="n">
        <v>521</v>
      </c>
      <c r="I2035" s="156" t="n"/>
      <c r="J2035" s="90" t="n"/>
      <c r="K2035" s="166" t="n"/>
      <c r="L2035" s="158">
        <f>+H2035*J2035</f>
        <v/>
      </c>
      <c r="M2035" s="159" t="n"/>
    </row>
    <row r="2036">
      <c r="A2036" s="114" t="n">
        <v>46159</v>
      </c>
      <c r="B2036" s="115" t="n">
        <v>4995</v>
      </c>
      <c r="C2036" s="115" t="inlineStr">
        <is>
          <t>SELİM İNŞAAT</t>
        </is>
      </c>
      <c r="D2036" s="115" t="inlineStr">
        <is>
          <t>34 GVZ 745</t>
        </is>
      </c>
      <c r="E2036" s="115" t="inlineStr">
        <is>
          <t>MURAT DEMİRBAŞ</t>
        </is>
      </c>
      <c r="F2036" s="115" t="n">
        <v>261431</v>
      </c>
      <c r="G2036" s="156" t="n"/>
      <c r="H2036" s="152" t="n">
        <v>464</v>
      </c>
      <c r="I2036" s="156" t="n"/>
      <c r="J2036" s="90" t="n"/>
      <c r="K2036" s="166" t="n"/>
      <c r="L2036" s="158">
        <f>+H2036*J2036</f>
        <v/>
      </c>
      <c r="M2036" s="159" t="n"/>
    </row>
    <row r="2037">
      <c r="A2037" s="114" t="n">
        <v>46161</v>
      </c>
      <c r="B2037" s="115" t="n">
        <v>4996</v>
      </c>
      <c r="C2037" s="115" t="inlineStr">
        <is>
          <t>SELİM İNŞAAT</t>
        </is>
      </c>
      <c r="D2037" s="115" t="inlineStr">
        <is>
          <t>34 GVZ 745</t>
        </is>
      </c>
      <c r="E2037" s="115" t="inlineStr">
        <is>
          <t>MURAT DEMİRBAŞ</t>
        </is>
      </c>
      <c r="F2037" s="115" t="n">
        <v>262186</v>
      </c>
      <c r="G2037" s="156" t="n"/>
      <c r="H2037" s="152" t="n">
        <v>447</v>
      </c>
      <c r="I2037" s="156" t="n"/>
      <c r="J2037" s="90" t="n"/>
      <c r="K2037" s="166" t="n"/>
      <c r="L2037" s="158">
        <f>+H2037*J2037</f>
        <v/>
      </c>
      <c r="M2037" s="159" t="n"/>
    </row>
    <row r="2038">
      <c r="A2038" s="114" t="n">
        <v>46164</v>
      </c>
      <c r="B2038" s="115" t="n">
        <v>4997</v>
      </c>
      <c r="C2038" s="115" t="inlineStr">
        <is>
          <t>SELİM İNŞAAT</t>
        </is>
      </c>
      <c r="D2038" s="115" t="inlineStr">
        <is>
          <t>34 GVZ 745</t>
        </is>
      </c>
      <c r="E2038" s="115" t="inlineStr">
        <is>
          <t>MURAT DEMİRBAŞ</t>
        </is>
      </c>
      <c r="F2038" s="115" t="n">
        <v>262935</v>
      </c>
      <c r="G2038" s="156" t="n"/>
      <c r="H2038" s="152" t="n">
        <v>422</v>
      </c>
      <c r="I2038" s="156" t="n"/>
      <c r="J2038" s="90" t="n"/>
      <c r="K2038" s="166" t="n"/>
      <c r="L2038" s="158">
        <f>+H2038*J2038</f>
        <v/>
      </c>
      <c r="M2038" s="159" t="n"/>
    </row>
    <row r="2039">
      <c r="A2039" s="114" t="n">
        <v>46159</v>
      </c>
      <c r="B2039" s="115" t="n">
        <v>2002</v>
      </c>
      <c r="C2039" s="115" t="inlineStr">
        <is>
          <t>SELİM İNŞAAT</t>
        </is>
      </c>
      <c r="D2039" s="115" t="inlineStr">
        <is>
          <t>34 GYZ 635</t>
        </is>
      </c>
      <c r="E2039" s="115" t="inlineStr">
        <is>
          <t>SELÇUK BASTIK</t>
        </is>
      </c>
      <c r="F2039" s="115" t="n">
        <v>241675</v>
      </c>
      <c r="G2039" s="156" t="n"/>
      <c r="H2039" s="152" t="n">
        <v>461</v>
      </c>
      <c r="I2039" s="156" t="n"/>
      <c r="J2039" s="90" t="n"/>
      <c r="K2039" s="166" t="n"/>
      <c r="L2039" s="158">
        <f>+H2039*J2039</f>
        <v/>
      </c>
      <c r="M2039" s="159" t="n"/>
    </row>
    <row r="2040">
      <c r="A2040" s="114" t="n">
        <v>46161</v>
      </c>
      <c r="B2040" s="115" t="n">
        <v>2003</v>
      </c>
      <c r="C2040" s="115" t="inlineStr">
        <is>
          <t>SELİM İNŞAAT</t>
        </is>
      </c>
      <c r="D2040" s="115" t="inlineStr">
        <is>
          <t>34 GYZ 635</t>
        </is>
      </c>
      <c r="E2040" s="115" t="inlineStr">
        <is>
          <t>SELÇUK BASTIK</t>
        </is>
      </c>
      <c r="F2040" s="115" t="n">
        <v>242436</v>
      </c>
      <c r="G2040" s="156" t="n"/>
      <c r="H2040" s="152" t="n">
        <v>456</v>
      </c>
      <c r="I2040" s="156" t="n"/>
      <c r="J2040" s="90" t="n"/>
      <c r="K2040" s="166" t="n"/>
      <c r="L2040" s="158">
        <f>+H2040*J2040</f>
        <v/>
      </c>
      <c r="M2040" s="159" t="n"/>
    </row>
    <row r="2041">
      <c r="A2041" s="114" t="n">
        <v>46159</v>
      </c>
      <c r="B2041" s="115" t="n">
        <v>1060</v>
      </c>
      <c r="C2041" s="115" t="inlineStr">
        <is>
          <t>SELİM İNŞAAT</t>
        </is>
      </c>
      <c r="D2041" s="115" t="inlineStr">
        <is>
          <t>34 FBR 781</t>
        </is>
      </c>
      <c r="E2041" s="115" t="inlineStr">
        <is>
          <t>MEVLÜT POLAT</t>
        </is>
      </c>
      <c r="F2041" s="115" t="n">
        <v>372400</v>
      </c>
      <c r="G2041" s="156" t="n"/>
      <c r="H2041" s="152" t="n">
        <v>486</v>
      </c>
      <c r="I2041" s="156" t="n"/>
      <c r="J2041" s="90" t="n"/>
      <c r="K2041" s="166" t="n"/>
      <c r="L2041" s="158">
        <f>+H2041*J2041</f>
        <v/>
      </c>
      <c r="M2041" s="159" t="n"/>
    </row>
    <row r="2042">
      <c r="A2042" s="114" t="n">
        <v>46161</v>
      </c>
      <c r="B2042" s="115" t="n">
        <v>1061</v>
      </c>
      <c r="C2042" s="115" t="inlineStr">
        <is>
          <t>SELİM İNŞAAT</t>
        </is>
      </c>
      <c r="D2042" s="115" t="inlineStr">
        <is>
          <t>34 FBR 781</t>
        </is>
      </c>
      <c r="E2042" s="115" t="inlineStr">
        <is>
          <t>MEVLÜT POLAT</t>
        </is>
      </c>
      <c r="F2042" s="115" t="n">
        <v>373287</v>
      </c>
      <c r="G2042" s="156" t="n"/>
      <c r="H2042" s="152" t="n">
        <v>535</v>
      </c>
      <c r="I2042" s="156" t="n"/>
      <c r="J2042" s="90" t="n"/>
      <c r="K2042" s="166" t="n"/>
      <c r="L2042" s="158">
        <f>+H2042*J2042</f>
        <v/>
      </c>
      <c r="M2042" s="159" t="n"/>
    </row>
    <row r="2043">
      <c r="A2043" s="114" t="n">
        <v>46159</v>
      </c>
      <c r="B2043" s="115" t="n">
        <v>111</v>
      </c>
      <c r="C2043" s="115" t="inlineStr">
        <is>
          <t>SELİM İNŞAAT</t>
        </is>
      </c>
      <c r="D2043" s="115" t="inlineStr">
        <is>
          <t>34 GUS 848</t>
        </is>
      </c>
      <c r="E2043" s="115" t="inlineStr">
        <is>
          <t>SERDAR BOZKURT</t>
        </is>
      </c>
      <c r="F2043" s="115" t="n">
        <v>244343</v>
      </c>
      <c r="G2043" s="156" t="n"/>
      <c r="H2043" s="152" t="n">
        <v>470</v>
      </c>
      <c r="I2043" s="156" t="n"/>
      <c r="J2043" s="90" t="n"/>
      <c r="K2043" s="166" t="n"/>
      <c r="L2043" s="158">
        <f>+H2043*J2043</f>
        <v/>
      </c>
      <c r="M2043" s="159" t="n"/>
    </row>
    <row r="2044">
      <c r="A2044" s="114" t="n">
        <v>46162</v>
      </c>
      <c r="B2044" s="115" t="n">
        <v>112</v>
      </c>
      <c r="C2044" s="115" t="inlineStr">
        <is>
          <t>SELİM İNŞAAT</t>
        </is>
      </c>
      <c r="D2044" s="115" t="inlineStr">
        <is>
          <t>34 GUS 848</t>
        </is>
      </c>
      <c r="E2044" s="115" t="inlineStr">
        <is>
          <t>SERDAR BOZKURT</t>
        </is>
      </c>
      <c r="F2044" s="115" t="n">
        <v>244983</v>
      </c>
      <c r="G2044" s="156" t="n"/>
      <c r="H2044" s="152" t="n">
        <v>394</v>
      </c>
      <c r="I2044" s="156" t="n"/>
      <c r="J2044" s="90" t="n"/>
      <c r="K2044" s="166" t="n"/>
      <c r="L2044" s="158">
        <f>+H2044*J2044</f>
        <v/>
      </c>
      <c r="M2044" s="159" t="n"/>
    </row>
    <row r="2045">
      <c r="A2045" s="114" t="n">
        <v>46159</v>
      </c>
      <c r="B2045" s="115" t="n">
        <v>869</v>
      </c>
      <c r="C2045" s="115" t="inlineStr">
        <is>
          <t>SELİM İNŞAAT</t>
        </is>
      </c>
      <c r="D2045" s="115" t="inlineStr">
        <is>
          <t>34 EGR 922</t>
        </is>
      </c>
      <c r="E2045" s="115" t="inlineStr">
        <is>
          <t>FARUK ÖZEN</t>
        </is>
      </c>
      <c r="F2045" s="115" t="n">
        <v>517787</v>
      </c>
      <c r="G2045" s="156" t="n"/>
      <c r="H2045" s="152" t="n">
        <v>420</v>
      </c>
      <c r="I2045" s="156" t="n"/>
      <c r="J2045" s="90" t="n"/>
      <c r="K2045" s="166" t="n"/>
      <c r="L2045" s="158">
        <f>+H2045*J2045</f>
        <v/>
      </c>
      <c r="M2045" s="159" t="n"/>
    </row>
    <row r="2046">
      <c r="A2046" s="114" t="n">
        <v>46161</v>
      </c>
      <c r="B2046" s="115" t="n">
        <v>870</v>
      </c>
      <c r="C2046" s="115" t="inlineStr">
        <is>
          <t>SELİM İNŞAAT</t>
        </is>
      </c>
      <c r="D2046" s="115" t="inlineStr">
        <is>
          <t>34 EGR 922</t>
        </is>
      </c>
      <c r="E2046" s="115" t="inlineStr">
        <is>
          <t>FARUK ÖZEN</t>
        </is>
      </c>
      <c r="F2046" s="115" t="n">
        <v>518427</v>
      </c>
      <c r="G2046" s="156" t="n"/>
      <c r="H2046" s="152" t="n">
        <v>416</v>
      </c>
      <c r="I2046" s="156" t="n"/>
      <c r="J2046" s="90" t="n"/>
      <c r="K2046" s="166" t="n"/>
      <c r="L2046" s="158">
        <f>+H2046*J2046</f>
        <v/>
      </c>
      <c r="M2046" s="159" t="n"/>
    </row>
    <row r="2047">
      <c r="A2047" s="114" t="n">
        <v>46158</v>
      </c>
      <c r="B2047" s="115" t="n">
        <v>4130</v>
      </c>
      <c r="C2047" s="115" t="inlineStr">
        <is>
          <t>SELİM İNŞAAT</t>
        </is>
      </c>
      <c r="D2047" s="115" t="inlineStr">
        <is>
          <t>34 EDB 659</t>
        </is>
      </c>
      <c r="E2047" s="115" t="inlineStr">
        <is>
          <t>FAHRİ</t>
        </is>
      </c>
      <c r="F2047" s="115" t="n">
        <v>398807</v>
      </c>
      <c r="G2047" s="156" t="n"/>
      <c r="H2047" s="152" t="n">
        <v>454</v>
      </c>
      <c r="I2047" s="156" t="n"/>
      <c r="J2047" s="90" t="n"/>
      <c r="K2047" s="166" t="n"/>
      <c r="L2047" s="158">
        <f>+H2047*J2047</f>
        <v/>
      </c>
      <c r="M2047" s="159" t="n"/>
    </row>
    <row r="2048">
      <c r="A2048" s="114" t="n">
        <v>46162</v>
      </c>
      <c r="B2048" s="115" t="n">
        <v>4131</v>
      </c>
      <c r="C2048" s="115" t="inlineStr">
        <is>
          <t>SELİM İNŞAAT</t>
        </is>
      </c>
      <c r="D2048" s="115" t="inlineStr">
        <is>
          <t>34 EDB 659</t>
        </is>
      </c>
      <c r="E2048" s="115" t="inlineStr">
        <is>
          <t>FAHRİ</t>
        </is>
      </c>
      <c r="F2048" s="115" t="n">
        <v>400502</v>
      </c>
      <c r="G2048" s="156" t="n"/>
      <c r="H2048" s="152" t="n">
        <v>452</v>
      </c>
      <c r="I2048" s="156" t="n"/>
      <c r="J2048" s="90" t="n"/>
      <c r="K2048" s="166" t="n"/>
      <c r="L2048" s="158">
        <f>+H2048*J2048</f>
        <v/>
      </c>
      <c r="M2048" s="159" t="n"/>
    </row>
    <row r="2049">
      <c r="A2049" s="114" t="n">
        <v>46164</v>
      </c>
      <c r="B2049" s="115" t="n">
        <v>4132</v>
      </c>
      <c r="C2049" s="115" t="inlineStr">
        <is>
          <t>SELİM İNŞAAT</t>
        </is>
      </c>
      <c r="D2049" s="115" t="inlineStr">
        <is>
          <t>34 EDB 659</t>
        </is>
      </c>
      <c r="E2049" s="115" t="inlineStr">
        <is>
          <t>FAHRİ</t>
        </is>
      </c>
      <c r="F2049" s="115" t="n">
        <v>401035</v>
      </c>
      <c r="G2049" s="156" t="n"/>
      <c r="H2049" s="152" t="n">
        <v>322</v>
      </c>
      <c r="I2049" s="156" t="n"/>
      <c r="J2049" s="90" t="n"/>
      <c r="K2049" s="166" t="n"/>
      <c r="L2049" s="158">
        <f>+H2049*J2049</f>
        <v/>
      </c>
      <c r="M2049" s="159" t="n"/>
    </row>
    <row r="2050">
      <c r="A2050" s="114" t="n">
        <v>46174</v>
      </c>
      <c r="B2050" s="115" t="n">
        <v>4133</v>
      </c>
      <c r="C2050" s="115" t="inlineStr">
        <is>
          <t>SELİM İNŞAAT</t>
        </is>
      </c>
      <c r="D2050" s="115" t="inlineStr">
        <is>
          <t>34 EDB 659</t>
        </is>
      </c>
      <c r="E2050" s="115" t="inlineStr">
        <is>
          <t>FAHRİ</t>
        </is>
      </c>
      <c r="F2050" s="115" t="n">
        <v>401792</v>
      </c>
      <c r="G2050" s="156" t="n"/>
      <c r="H2050" s="152" t="n">
        <v>421</v>
      </c>
      <c r="I2050" s="156" t="n"/>
      <c r="J2050" s="90" t="n"/>
      <c r="K2050" s="166" t="n"/>
      <c r="L2050" s="158">
        <f>+H2050*J2050</f>
        <v/>
      </c>
      <c r="M2050" s="159" t="n"/>
    </row>
    <row r="2051">
      <c r="A2051" s="114" t="n">
        <v>46158</v>
      </c>
      <c r="B2051" s="115" t="n">
        <v>4823</v>
      </c>
      <c r="C2051" s="115" t="inlineStr">
        <is>
          <t>SELİM İNŞAAT</t>
        </is>
      </c>
      <c r="D2051" s="115" t="inlineStr">
        <is>
          <t>34 EDB 559</t>
        </is>
      </c>
      <c r="E2051" s="115" t="inlineStr">
        <is>
          <t>SELAMETTİN KORKMAZ</t>
        </is>
      </c>
      <c r="F2051" s="115" t="n">
        <v>366595</v>
      </c>
      <c r="G2051" s="156" t="n"/>
      <c r="H2051" s="152" t="n">
        <v>506</v>
      </c>
      <c r="I2051" s="156" t="n"/>
      <c r="J2051" s="90" t="n"/>
      <c r="K2051" s="166" t="n"/>
      <c r="L2051" s="158">
        <f>+H2051*J2051</f>
        <v/>
      </c>
      <c r="M2051" s="159" t="n"/>
    </row>
    <row r="2052">
      <c r="A2052" s="114" t="n">
        <v>46162</v>
      </c>
      <c r="B2052" s="115" t="n">
        <v>4824</v>
      </c>
      <c r="C2052" s="115" t="inlineStr">
        <is>
          <t>SELİM İNŞAAT</t>
        </is>
      </c>
      <c r="D2052" s="115" t="inlineStr">
        <is>
          <t>34 EDB 559</t>
        </is>
      </c>
      <c r="E2052" s="115" t="inlineStr">
        <is>
          <t>SELAMETTİN KORKMAZ</t>
        </is>
      </c>
      <c r="F2052" s="115" t="n">
        <v>367228</v>
      </c>
      <c r="G2052" s="156" t="n"/>
      <c r="H2052" s="152" t="n">
        <v>392</v>
      </c>
      <c r="I2052" s="156" t="n"/>
      <c r="J2052" s="90" t="n"/>
      <c r="K2052" s="166" t="n"/>
      <c r="L2052" s="158">
        <f>+H2052*J2052</f>
        <v/>
      </c>
      <c r="M2052" s="159" t="n"/>
    </row>
    <row r="2053">
      <c r="A2053" s="114" t="n">
        <v>46164</v>
      </c>
      <c r="B2053" s="115" t="n">
        <v>4825</v>
      </c>
      <c r="C2053" s="115" t="inlineStr">
        <is>
          <t>SELİM İNŞAAT</t>
        </is>
      </c>
      <c r="D2053" s="115" t="inlineStr">
        <is>
          <t>34 EDB 559</t>
        </is>
      </c>
      <c r="E2053" s="115" t="inlineStr">
        <is>
          <t>SELAMETTİN KORKMAZ</t>
        </is>
      </c>
      <c r="F2053" s="115" t="n">
        <v>367648</v>
      </c>
      <c r="G2053" s="156" t="n"/>
      <c r="H2053" s="152" t="n">
        <v>307</v>
      </c>
      <c r="I2053" s="156" t="n"/>
      <c r="J2053" s="90" t="n"/>
      <c r="K2053" s="166" t="n"/>
      <c r="L2053" s="158">
        <f>+H2053*J2053</f>
        <v/>
      </c>
      <c r="M2053" s="159" t="n"/>
    </row>
    <row r="2054">
      <c r="A2054" s="114" t="n">
        <v>46158</v>
      </c>
      <c r="B2054" s="115" t="n">
        <v>3444</v>
      </c>
      <c r="C2054" s="115" t="inlineStr">
        <is>
          <t>SELİM İNŞAAT</t>
        </is>
      </c>
      <c r="D2054" s="115" t="inlineStr">
        <is>
          <t>34 GVZ 310</t>
        </is>
      </c>
      <c r="E2054" s="115" t="inlineStr">
        <is>
          <t>CELAL YÜZBAŞI</t>
        </is>
      </c>
      <c r="F2054" s="115" t="n">
        <v>258044</v>
      </c>
      <c r="G2054" s="156" t="n"/>
      <c r="H2054" s="152" t="n">
        <v>415</v>
      </c>
      <c r="I2054" s="156" t="n"/>
      <c r="J2054" s="90" t="n"/>
      <c r="K2054" s="166" t="n"/>
      <c r="L2054" s="158">
        <f>+H2054*J2054</f>
        <v/>
      </c>
      <c r="M2054" s="159" t="n"/>
    </row>
    <row r="2055">
      <c r="A2055" s="114" t="n">
        <v>46159</v>
      </c>
      <c r="B2055" s="115" t="n">
        <v>3445</v>
      </c>
      <c r="C2055" s="115" t="inlineStr">
        <is>
          <t>SELİM İNŞAAT</t>
        </is>
      </c>
      <c r="D2055" s="115" t="inlineStr">
        <is>
          <t>34 GVZ 310</t>
        </is>
      </c>
      <c r="E2055" s="115" t="inlineStr">
        <is>
          <t>CELAL YÜZBAŞI</t>
        </is>
      </c>
      <c r="F2055" s="115" t="n">
        <v>258449</v>
      </c>
      <c r="G2055" s="156" t="n"/>
      <c r="H2055" s="152" t="n">
        <v>295</v>
      </c>
      <c r="I2055" s="156" t="n"/>
      <c r="J2055" s="90" t="n"/>
      <c r="K2055" s="166" t="n"/>
      <c r="L2055" s="158">
        <f>+H2055*J2055</f>
        <v/>
      </c>
      <c r="M2055" s="159" t="n"/>
    </row>
    <row r="2056">
      <c r="A2056" s="114" t="n">
        <v>46162</v>
      </c>
      <c r="B2056" s="115" t="n">
        <v>3446</v>
      </c>
      <c r="C2056" s="115" t="inlineStr">
        <is>
          <t>SELİM İNŞAAT</t>
        </is>
      </c>
      <c r="D2056" s="115" t="inlineStr">
        <is>
          <t>34 GVZ 310</t>
        </is>
      </c>
      <c r="E2056" s="115" t="inlineStr">
        <is>
          <t>CELAL YÜZBAŞI</t>
        </is>
      </c>
      <c r="F2056" s="115" t="n">
        <v>259144</v>
      </c>
      <c r="G2056" s="156" t="n"/>
      <c r="H2056" s="152" t="n">
        <v>425</v>
      </c>
      <c r="I2056" s="156" t="n"/>
      <c r="J2056" s="90" t="n"/>
      <c r="K2056" s="166" t="n"/>
      <c r="L2056" s="158">
        <f>+H2056*J2056</f>
        <v/>
      </c>
      <c r="M2056" s="159" t="n"/>
    </row>
    <row r="2057">
      <c r="A2057" s="114" t="n">
        <v>46165</v>
      </c>
      <c r="B2057" s="115" t="n">
        <v>3447</v>
      </c>
      <c r="C2057" s="115" t="inlineStr">
        <is>
          <t>SELİM İNŞAAT</t>
        </is>
      </c>
      <c r="D2057" s="115" t="inlineStr">
        <is>
          <t>34 GVZ 310</t>
        </is>
      </c>
      <c r="E2057" s="115" t="inlineStr">
        <is>
          <t>CELAL YÜZBAŞI</t>
        </is>
      </c>
      <c r="F2057" s="115" t="n">
        <v>259889</v>
      </c>
      <c r="G2057" s="156" t="n"/>
      <c r="H2057" s="152" t="n">
        <v>386</v>
      </c>
      <c r="I2057" s="156" t="n"/>
      <c r="J2057" s="90" t="n"/>
      <c r="K2057" s="166" t="n"/>
      <c r="L2057" s="158">
        <f>+H2057*J2057</f>
        <v/>
      </c>
      <c r="M2057" s="159" t="n"/>
    </row>
    <row r="2058">
      <c r="A2058" s="114" t="n">
        <v>46158</v>
      </c>
      <c r="B2058" s="115" t="n">
        <v>1310</v>
      </c>
      <c r="C2058" s="115" t="inlineStr">
        <is>
          <t>SELİM İNŞAAT</t>
        </is>
      </c>
      <c r="D2058" s="115" t="inlineStr">
        <is>
          <t>34 GVZ 199</t>
        </is>
      </c>
      <c r="E2058" s="115" t="inlineStr">
        <is>
          <t>HÜSEYİN DENİZ</t>
        </is>
      </c>
      <c r="F2058" s="115" t="n">
        <v>240072</v>
      </c>
      <c r="G2058" s="156" t="n"/>
      <c r="H2058" s="152" t="n">
        <v>522</v>
      </c>
      <c r="I2058" s="156" t="n"/>
      <c r="J2058" s="90" t="n"/>
      <c r="K2058" s="166" t="n"/>
      <c r="L2058" s="158">
        <f>+H2058*J2058</f>
        <v/>
      </c>
      <c r="M2058" s="159" t="n"/>
    </row>
    <row r="2059">
      <c r="A2059" s="114" t="n">
        <v>46164</v>
      </c>
      <c r="B2059" s="115" t="n">
        <v>1311</v>
      </c>
      <c r="C2059" s="115" t="inlineStr">
        <is>
          <t>SELİM İNŞAAT</t>
        </is>
      </c>
      <c r="D2059" s="115" t="inlineStr">
        <is>
          <t>34 GVZ 199</t>
        </is>
      </c>
      <c r="E2059" s="115" t="inlineStr">
        <is>
          <t>HÜSEYİN DENİZ</t>
        </is>
      </c>
      <c r="F2059" s="115" t="n">
        <v>241043</v>
      </c>
      <c r="G2059" s="156" t="n"/>
      <c r="H2059" s="152" t="n">
        <v>539</v>
      </c>
      <c r="I2059" s="156" t="n"/>
      <c r="J2059" s="90" t="n"/>
      <c r="K2059" s="166" t="n"/>
      <c r="L2059" s="158">
        <f>+H2059*J2059</f>
        <v/>
      </c>
      <c r="M2059" s="159" t="n"/>
    </row>
    <row r="2060">
      <c r="A2060" s="114" t="n">
        <v>46158</v>
      </c>
      <c r="B2060" s="115" t="n">
        <v>1289</v>
      </c>
      <c r="C2060" s="115" t="inlineStr">
        <is>
          <t>SELİM İNŞAAT</t>
        </is>
      </c>
      <c r="D2060" s="115" t="inlineStr">
        <is>
          <t>34 DSN 621</t>
        </is>
      </c>
      <c r="E2060" s="115" t="inlineStr">
        <is>
          <t>MEHMETALİ BOZBEŞPARMAK</t>
        </is>
      </c>
      <c r="F2060" s="115" t="n">
        <v>441345</v>
      </c>
      <c r="G2060" s="156" t="n"/>
      <c r="H2060" s="152" t="n">
        <v>540</v>
      </c>
      <c r="I2060" s="156" t="n"/>
      <c r="J2060" s="90" t="n"/>
      <c r="K2060" s="166" t="n"/>
      <c r="L2060" s="158">
        <f>+H2060*J2060</f>
        <v/>
      </c>
      <c r="M2060" s="159" t="n"/>
    </row>
    <row r="2061">
      <c r="A2061" s="114" t="n">
        <v>46161</v>
      </c>
      <c r="B2061" s="115" t="n">
        <v>1290</v>
      </c>
      <c r="C2061" s="115" t="inlineStr">
        <is>
          <t>SELİM İNŞAAT</t>
        </is>
      </c>
      <c r="D2061" s="115" t="inlineStr">
        <is>
          <t>34 DSN 621</t>
        </is>
      </c>
      <c r="E2061" s="115" t="inlineStr">
        <is>
          <t>MEHMETALİ BOZBEŞPARMAK</t>
        </is>
      </c>
      <c r="F2061" s="115" t="n">
        <v>441802</v>
      </c>
      <c r="G2061" s="156" t="n"/>
      <c r="H2061" s="152" t="n">
        <v>338</v>
      </c>
      <c r="I2061" s="156" t="n"/>
      <c r="J2061" s="90" t="n"/>
      <c r="K2061" s="166" t="n"/>
      <c r="L2061" s="158">
        <f>+H2061*J2061</f>
        <v/>
      </c>
      <c r="M2061" s="159" t="n"/>
    </row>
    <row r="2062">
      <c r="A2062" s="118" t="n">
        <v>46164</v>
      </c>
      <c r="B2062" s="119" t="n">
        <v>1291</v>
      </c>
      <c r="C2062" s="119" t="inlineStr">
        <is>
          <t>SELİM İNŞAAT</t>
        </is>
      </c>
      <c r="D2062" s="119" t="inlineStr">
        <is>
          <t>34 DSN 621</t>
        </is>
      </c>
      <c r="E2062" s="119" t="inlineStr">
        <is>
          <t>MEHMETALİ BOZBEŞPARMAK</t>
        </is>
      </c>
      <c r="F2062" s="119" t="n">
        <v>442497</v>
      </c>
      <c r="G2062" s="174" t="n"/>
      <c r="H2062" s="175" t="n">
        <v>425</v>
      </c>
      <c r="I2062" s="174" t="n"/>
      <c r="J2062" s="122" t="n"/>
      <c r="K2062" s="176" t="n"/>
      <c r="L2062" s="177">
        <f>+H2062*J2062</f>
        <v/>
      </c>
      <c r="M2062" s="177" t="n"/>
    </row>
    <row r="2063">
      <c r="A2063" s="114" t="n">
        <v>46176</v>
      </c>
      <c r="B2063" s="115" t="n">
        <v>11178</v>
      </c>
      <c r="C2063" s="115" t="inlineStr">
        <is>
          <t>SELİM İNŞAAT</t>
        </is>
      </c>
      <c r="D2063" s="115" t="inlineStr">
        <is>
          <t>34 HZ 1663</t>
        </is>
      </c>
      <c r="E2063" s="115" t="inlineStr">
        <is>
          <t>ÖNER DÜNDAR</t>
        </is>
      </c>
      <c r="F2063" s="115" t="n">
        <v>529650</v>
      </c>
      <c r="G2063" s="156" t="n"/>
      <c r="H2063" s="152" t="n">
        <v>427</v>
      </c>
      <c r="I2063" s="156" t="n"/>
      <c r="J2063" s="90" t="n"/>
      <c r="K2063" s="166" t="n"/>
      <c r="L2063" s="158">
        <f>+H2063*J2063</f>
        <v/>
      </c>
      <c r="M2063" s="159" t="n"/>
    </row>
    <row r="2064">
      <c r="A2064" s="114" t="n">
        <v>46176</v>
      </c>
      <c r="B2064" s="115" t="n">
        <v>4134</v>
      </c>
      <c r="C2064" s="115" t="inlineStr">
        <is>
          <t>SELİM İNŞAAT</t>
        </is>
      </c>
      <c r="D2064" s="115" t="inlineStr">
        <is>
          <t>34 EDB 659</t>
        </is>
      </c>
      <c r="E2064" s="115" t="inlineStr">
        <is>
          <t>FAHRİ</t>
        </is>
      </c>
      <c r="F2064" s="115" t="n">
        <v>402431</v>
      </c>
      <c r="G2064" s="156" t="n"/>
      <c r="H2064" s="152" t="n">
        <v>438</v>
      </c>
      <c r="I2064" s="156" t="n"/>
      <c r="J2064" s="90" t="n"/>
      <c r="K2064" s="166" t="n"/>
      <c r="L2064" s="158">
        <f>+H2064*J2064</f>
        <v/>
      </c>
      <c r="M2064" s="159" t="n"/>
    </row>
    <row r="2065">
      <c r="A2065" s="114" t="n">
        <v>46179</v>
      </c>
      <c r="B2065" s="115" t="n">
        <v>4135</v>
      </c>
      <c r="C2065" s="115" t="inlineStr">
        <is>
          <t>SELİM İNŞAAT</t>
        </is>
      </c>
      <c r="D2065" s="115" t="inlineStr">
        <is>
          <t>34 EDB 659</t>
        </is>
      </c>
      <c r="E2065" s="115" t="inlineStr">
        <is>
          <t>FAHRİ</t>
        </is>
      </c>
      <c r="F2065" s="115" t="n">
        <v>403084</v>
      </c>
      <c r="G2065" s="156" t="n"/>
      <c r="H2065" s="152" t="n">
        <v>463</v>
      </c>
      <c r="I2065" s="156" t="n"/>
      <c r="J2065" s="90" t="n"/>
      <c r="K2065" s="166" t="n"/>
      <c r="L2065" s="158">
        <f>+H2065*J2065</f>
        <v/>
      </c>
      <c r="M2065" s="159" t="n"/>
    </row>
    <row r="2066">
      <c r="A2066" s="114" t="n">
        <v>46183</v>
      </c>
      <c r="B2066" s="115" t="n">
        <v>4136</v>
      </c>
      <c r="C2066" s="115" t="inlineStr">
        <is>
          <t>SELİM İNŞAAT</t>
        </is>
      </c>
      <c r="D2066" s="115" t="inlineStr">
        <is>
          <t>34 EDB 659</t>
        </is>
      </c>
      <c r="E2066" s="115" t="inlineStr">
        <is>
          <t>FAHRİ</t>
        </is>
      </c>
      <c r="F2066" s="115" t="n">
        <v>403844</v>
      </c>
      <c r="G2066" s="156" t="n"/>
      <c r="H2066" s="152" t="n">
        <v>483</v>
      </c>
      <c r="I2066" s="156" t="n"/>
      <c r="J2066" s="90" t="n"/>
      <c r="K2066" s="166" t="n"/>
      <c r="L2066" s="158">
        <f>+H2066*J2066</f>
        <v/>
      </c>
      <c r="M2066" s="159" t="n"/>
    </row>
    <row r="2067">
      <c r="A2067" s="114" t="n">
        <v>46185</v>
      </c>
      <c r="B2067" s="115" t="n">
        <v>4137</v>
      </c>
      <c r="C2067" s="115" t="inlineStr">
        <is>
          <t>SELİM İNŞAAT</t>
        </is>
      </c>
      <c r="D2067" s="115" t="inlineStr">
        <is>
          <t>34 EDB 659</t>
        </is>
      </c>
      <c r="E2067" s="115" t="inlineStr">
        <is>
          <t>FAHRİ</t>
        </is>
      </c>
      <c r="F2067" s="115" t="n">
        <v>404704</v>
      </c>
      <c r="G2067" s="156" t="n"/>
      <c r="H2067" s="152" t="n">
        <v>500</v>
      </c>
      <c r="I2067" s="156" t="n"/>
      <c r="J2067" s="90" t="n"/>
      <c r="K2067" s="166" t="n"/>
      <c r="L2067" s="158">
        <f>+H2067*J2067</f>
        <v/>
      </c>
      <c r="M2067" s="159" t="n"/>
    </row>
    <row r="2068">
      <c r="A2068" s="114" t="n">
        <v>46188</v>
      </c>
      <c r="B2068" s="115" t="n">
        <v>4138</v>
      </c>
      <c r="C2068" s="115" t="inlineStr">
        <is>
          <t>SELİM İNŞAAT</t>
        </is>
      </c>
      <c r="D2068" s="115" t="inlineStr">
        <is>
          <t>34 EDB 659</t>
        </is>
      </c>
      <c r="E2068" s="115" t="inlineStr">
        <is>
          <t>FAHRİ</t>
        </is>
      </c>
      <c r="F2068" s="115" t="n">
        <v>405218</v>
      </c>
      <c r="G2068" s="156" t="n"/>
      <c r="H2068" s="152" t="n">
        <v>380</v>
      </c>
      <c r="I2068" s="156" t="n"/>
      <c r="J2068" s="90" t="n"/>
      <c r="K2068" s="166" t="n"/>
      <c r="L2068" s="158">
        <f>+H2068*J2068</f>
        <v/>
      </c>
      <c r="M2068" s="159" t="n"/>
    </row>
    <row r="2069">
      <c r="A2069" s="114" t="n">
        <v>46176</v>
      </c>
      <c r="B2069" s="115" t="n">
        <v>1292</v>
      </c>
      <c r="C2069" s="115" t="inlineStr">
        <is>
          <t>SELİM İNŞAAT</t>
        </is>
      </c>
      <c r="D2069" s="115" t="inlineStr">
        <is>
          <t>34 DSN 621</t>
        </is>
      </c>
      <c r="E2069" s="115" t="inlineStr">
        <is>
          <t>SİNAN TANRIVERDİ</t>
        </is>
      </c>
      <c r="F2069" s="115" t="n">
        <v>443276</v>
      </c>
      <c r="G2069" s="156" t="n"/>
      <c r="H2069" s="152" t="n">
        <v>495</v>
      </c>
      <c r="I2069" s="156" t="n"/>
      <c r="J2069" s="90" t="n"/>
      <c r="K2069" s="166" t="n"/>
      <c r="L2069" s="158">
        <f>+H2069*J2069</f>
        <v/>
      </c>
      <c r="M2069" s="159" t="n"/>
    </row>
    <row r="2070">
      <c r="A2070" s="114" t="n">
        <v>46184</v>
      </c>
      <c r="B2070" s="115" t="n">
        <v>1293</v>
      </c>
      <c r="C2070" s="115" t="inlineStr">
        <is>
          <t>SELİM İNŞAAT</t>
        </is>
      </c>
      <c r="D2070" s="115" t="inlineStr">
        <is>
          <t>34 DSN 621</t>
        </is>
      </c>
      <c r="E2070" s="115" t="inlineStr">
        <is>
          <t>SİNAN TANRIVERDİ</t>
        </is>
      </c>
      <c r="F2070" s="115" t="n">
        <v>443870</v>
      </c>
      <c r="G2070" s="156" t="n"/>
      <c r="H2070" s="152" t="n">
        <v>453</v>
      </c>
      <c r="I2070" s="156" t="n"/>
      <c r="J2070" s="90" t="n"/>
      <c r="K2070" s="166" t="n"/>
      <c r="L2070" s="158">
        <f>+H2070*J2070</f>
        <v/>
      </c>
      <c r="M2070" s="159" t="n"/>
    </row>
    <row r="2071">
      <c r="A2071" s="114" t="n">
        <v>46174</v>
      </c>
      <c r="B2071" s="115" t="n">
        <v>206</v>
      </c>
      <c r="C2071" s="115" t="inlineStr">
        <is>
          <t>SELİM İNŞAAT</t>
        </is>
      </c>
      <c r="D2071" s="115" t="inlineStr">
        <is>
          <t>34 DSN 536</t>
        </is>
      </c>
      <c r="E2071" s="115" t="inlineStr">
        <is>
          <t>SİNAN TANRIVERDİ</t>
        </is>
      </c>
      <c r="F2071" s="115" t="n">
        <v>445630</v>
      </c>
      <c r="G2071" s="156" t="n"/>
      <c r="H2071" s="152" t="n">
        <v>412</v>
      </c>
      <c r="I2071" s="156" t="n"/>
      <c r="J2071" s="90" t="n"/>
      <c r="K2071" s="166" t="n"/>
      <c r="L2071" s="158">
        <f>+H2071*J2071</f>
        <v/>
      </c>
      <c r="M2071" s="159" t="n"/>
    </row>
    <row r="2072">
      <c r="A2072" s="114" t="n">
        <v>46176</v>
      </c>
      <c r="B2072" s="115" t="n">
        <v>207</v>
      </c>
      <c r="C2072" s="115" t="inlineStr">
        <is>
          <t>SELİM İNŞAAT</t>
        </is>
      </c>
      <c r="D2072" s="115" t="inlineStr">
        <is>
          <t>34 DSN 536</t>
        </is>
      </c>
      <c r="E2072" s="115" t="inlineStr">
        <is>
          <t>SİNAN TANRIVERDİ</t>
        </is>
      </c>
      <c r="F2072" s="115" t="n">
        <v>446429</v>
      </c>
      <c r="G2072" s="156" t="n"/>
      <c r="H2072" s="152" t="n">
        <v>546</v>
      </c>
      <c r="I2072" s="156" t="n"/>
      <c r="J2072" s="90" t="n"/>
      <c r="K2072" s="166" t="n"/>
      <c r="L2072" s="158">
        <f>+H2072*J2072</f>
        <v/>
      </c>
      <c r="M2072" s="159" t="n"/>
    </row>
    <row r="2073">
      <c r="A2073" s="114" t="n">
        <v>46177</v>
      </c>
      <c r="B2073" s="115" t="n">
        <v>208</v>
      </c>
      <c r="C2073" s="115" t="inlineStr">
        <is>
          <t>SELİM İNŞAAT</t>
        </is>
      </c>
      <c r="D2073" s="115" t="inlineStr">
        <is>
          <t>34 DSN 536</t>
        </is>
      </c>
      <c r="E2073" s="115" t="inlineStr">
        <is>
          <t>SİNAN TANRIVERDİ</t>
        </is>
      </c>
      <c r="F2073" s="115" t="n">
        <v>446877</v>
      </c>
      <c r="G2073" s="156" t="n"/>
      <c r="H2073" s="152" t="n">
        <v>382</v>
      </c>
      <c r="I2073" s="156" t="n"/>
      <c r="J2073" s="90" t="n"/>
      <c r="K2073" s="166" t="n"/>
      <c r="L2073" s="158">
        <f>+H2073*J2073</f>
        <v/>
      </c>
      <c r="M2073" s="159" t="n"/>
    </row>
    <row r="2074">
      <c r="A2074" s="114" t="n">
        <v>46179</v>
      </c>
      <c r="B2074" s="115" t="n">
        <v>209</v>
      </c>
      <c r="C2074" s="115" t="inlineStr">
        <is>
          <t>SELİM İNŞAAT</t>
        </is>
      </c>
      <c r="D2074" s="115" t="inlineStr">
        <is>
          <t>34 DSN 536</t>
        </is>
      </c>
      <c r="E2074" s="115" t="inlineStr">
        <is>
          <t>SİNAN TANRIVERDİ</t>
        </is>
      </c>
      <c r="F2074" s="115" t="n">
        <v>447433</v>
      </c>
      <c r="G2074" s="156" t="n"/>
      <c r="H2074" s="152" t="n">
        <v>396</v>
      </c>
      <c r="I2074" s="156" t="n"/>
      <c r="J2074" s="90" t="n"/>
      <c r="K2074" s="166" t="n"/>
      <c r="L2074" s="158">
        <f>+H2074*J2074</f>
        <v/>
      </c>
      <c r="M2074" s="159" t="n"/>
    </row>
    <row r="2075">
      <c r="A2075" s="114" t="n">
        <v>46176</v>
      </c>
      <c r="B2075" s="115" t="n">
        <v>4367</v>
      </c>
      <c r="C2075" s="115" t="inlineStr">
        <is>
          <t>SELİM İNŞAAT</t>
        </is>
      </c>
      <c r="D2075" s="115" t="inlineStr">
        <is>
          <t>34 EDB 829</t>
        </is>
      </c>
      <c r="E2075" s="115" t="inlineStr">
        <is>
          <t>FATİH ÖZPOLAT</t>
        </is>
      </c>
      <c r="F2075" s="115" t="n">
        <v>457460</v>
      </c>
      <c r="G2075" s="156" t="n"/>
      <c r="H2075" s="152" t="n">
        <v>410</v>
      </c>
      <c r="I2075" s="156" t="n"/>
      <c r="J2075" s="90" t="n"/>
      <c r="K2075" s="166" t="n"/>
      <c r="L2075" s="158">
        <f>+H2075*J2075</f>
        <v/>
      </c>
      <c r="M2075" s="159" t="n"/>
    </row>
    <row r="2076">
      <c r="A2076" s="114" t="n">
        <v>46184</v>
      </c>
      <c r="B2076" s="115" t="n">
        <v>4368</v>
      </c>
      <c r="C2076" s="115" t="inlineStr">
        <is>
          <t>SELİM İNŞAAT</t>
        </is>
      </c>
      <c r="D2076" s="115" t="inlineStr">
        <is>
          <t>34 EDB 829</t>
        </is>
      </c>
      <c r="E2076" s="115" t="inlineStr">
        <is>
          <t>FATİH ÖZPOLAT</t>
        </is>
      </c>
      <c r="F2076" s="115" t="n">
        <v>358190</v>
      </c>
      <c r="G2076" s="156" t="n"/>
      <c r="H2076" s="152" t="n">
        <v>541</v>
      </c>
      <c r="I2076" s="156" t="n"/>
      <c r="J2076" s="90" t="n"/>
      <c r="K2076" s="166" t="n"/>
      <c r="L2076" s="158">
        <f>+H2076*J2076</f>
        <v/>
      </c>
      <c r="M2076" s="159" t="n"/>
    </row>
    <row r="2077">
      <c r="A2077" s="114" t="n">
        <v>46174</v>
      </c>
      <c r="B2077" s="115" t="n">
        <v>1204</v>
      </c>
      <c r="C2077" s="115" t="inlineStr">
        <is>
          <t>SELİM İNŞAAT</t>
        </is>
      </c>
      <c r="D2077" s="115" t="inlineStr">
        <is>
          <t>34 GUS 848</t>
        </is>
      </c>
      <c r="E2077" s="115" t="inlineStr">
        <is>
          <t>SERDAR BOZKURT</t>
        </is>
      </c>
      <c r="F2077" s="115" t="n">
        <v>246102</v>
      </c>
      <c r="G2077" s="156" t="n"/>
      <c r="H2077" s="152" t="n">
        <v>540</v>
      </c>
      <c r="I2077" s="156" t="n"/>
      <c r="J2077" s="90" t="n"/>
      <c r="K2077" s="166" t="n"/>
      <c r="L2077" s="158">
        <f>+H2077*J2077</f>
        <v/>
      </c>
      <c r="M2077" s="159" t="n"/>
    </row>
    <row r="2078">
      <c r="A2078" s="114" t="n">
        <v>46176</v>
      </c>
      <c r="B2078" s="115" t="n">
        <v>1205</v>
      </c>
      <c r="C2078" s="115" t="inlineStr">
        <is>
          <t>SELİM İNŞAAT</t>
        </is>
      </c>
      <c r="D2078" s="115" t="inlineStr">
        <is>
          <t>34 GUS 848</t>
        </is>
      </c>
      <c r="E2078" s="115" t="inlineStr">
        <is>
          <t>SERDAR BOZKURT</t>
        </is>
      </c>
      <c r="F2078" s="115" t="n">
        <v>246856</v>
      </c>
      <c r="G2078" s="156" t="n"/>
      <c r="H2078" s="152" t="n">
        <v>492</v>
      </c>
      <c r="I2078" s="156" t="n"/>
      <c r="J2078" s="90" t="n"/>
      <c r="K2078" s="166" t="n"/>
      <c r="L2078" s="158">
        <f>+H2078*J2078</f>
        <v/>
      </c>
      <c r="M2078" s="159" t="n"/>
    </row>
    <row r="2079">
      <c r="A2079" s="114" t="n">
        <v>46179</v>
      </c>
      <c r="B2079" s="115" t="n">
        <v>1206</v>
      </c>
      <c r="C2079" s="115" t="inlineStr">
        <is>
          <t>SELİM İNŞAAT</t>
        </is>
      </c>
      <c r="D2079" s="115" t="inlineStr">
        <is>
          <t>34 GUS 848</t>
        </is>
      </c>
      <c r="E2079" s="115" t="inlineStr">
        <is>
          <t>SERDAR BOZKURT</t>
        </is>
      </c>
      <c r="F2079" s="115" t="n">
        <v>247757</v>
      </c>
      <c r="G2079" s="156" t="n"/>
      <c r="H2079" s="152" t="n">
        <v>541</v>
      </c>
      <c r="I2079" s="156" t="n"/>
      <c r="J2079" s="90" t="n"/>
      <c r="K2079" s="166" t="n"/>
      <c r="L2079" s="158">
        <f>+H2079*J2079</f>
        <v/>
      </c>
      <c r="M2079" s="159" t="n"/>
    </row>
    <row r="2080">
      <c r="A2080" s="114" t="n">
        <v>46182</v>
      </c>
      <c r="B2080" s="115" t="n">
        <v>1207</v>
      </c>
      <c r="C2080" s="115" t="inlineStr">
        <is>
          <t>SELİM İNŞAAT</t>
        </is>
      </c>
      <c r="D2080" s="115" t="inlineStr">
        <is>
          <t>34 GUS 848</t>
        </is>
      </c>
      <c r="E2080" s="115" t="inlineStr">
        <is>
          <t>SERDAR BOZKURT</t>
        </is>
      </c>
      <c r="F2080" s="115" t="n">
        <v>248349</v>
      </c>
      <c r="G2080" s="156" t="n"/>
      <c r="H2080" s="152" t="n">
        <v>394</v>
      </c>
      <c r="I2080" s="156" t="n"/>
      <c r="J2080" s="90" t="n"/>
      <c r="K2080" s="166" t="n"/>
      <c r="L2080" s="158">
        <f>+H2080*J2080</f>
        <v/>
      </c>
      <c r="M2080" s="159" t="n"/>
    </row>
    <row r="2081">
      <c r="A2081" s="114" t="n">
        <v>46184</v>
      </c>
      <c r="B2081" s="115" t="n">
        <v>1208</v>
      </c>
      <c r="C2081" s="115" t="inlineStr">
        <is>
          <t>SELİM İNŞAAT</t>
        </is>
      </c>
      <c r="D2081" s="115" t="inlineStr">
        <is>
          <t>34 GUS 848</t>
        </is>
      </c>
      <c r="E2081" s="115" t="inlineStr">
        <is>
          <t>SERDAR BOZKURT</t>
        </is>
      </c>
      <c r="F2081" s="115" t="n">
        <v>249266</v>
      </c>
      <c r="G2081" s="156" t="n"/>
      <c r="H2081" s="152" t="n">
        <v>541</v>
      </c>
      <c r="I2081" s="156" t="n"/>
      <c r="J2081" s="90" t="n"/>
      <c r="K2081" s="166" t="n"/>
      <c r="L2081" s="158">
        <f>+H2081*J2081</f>
        <v/>
      </c>
      <c r="M2081" s="159" t="n"/>
    </row>
    <row r="2082">
      <c r="A2082" s="114" t="n">
        <v>46188</v>
      </c>
      <c r="B2082" s="115" t="n">
        <v>1209</v>
      </c>
      <c r="C2082" s="115" t="inlineStr">
        <is>
          <t>SELİM İNŞAAT</t>
        </is>
      </c>
      <c r="D2082" s="115" t="inlineStr">
        <is>
          <t>34 GUS 848</t>
        </is>
      </c>
      <c r="E2082" s="115" t="inlineStr">
        <is>
          <t>SERDAR BOZKURT</t>
        </is>
      </c>
      <c r="F2082" s="115" t="n">
        <v>250068</v>
      </c>
      <c r="G2082" s="156" t="n"/>
      <c r="H2082" s="152" t="n">
        <v>529</v>
      </c>
      <c r="I2082" s="156" t="n"/>
      <c r="J2082" s="90" t="n"/>
      <c r="K2082" s="166" t="n"/>
      <c r="L2082" s="158">
        <f>+H2082*J2082</f>
        <v/>
      </c>
      <c r="M2082" s="159" t="n"/>
    </row>
    <row r="2083">
      <c r="A2083" s="114" t="n">
        <v>46174</v>
      </c>
      <c r="B2083" s="115" t="n">
        <v>113</v>
      </c>
      <c r="C2083" s="115" t="inlineStr">
        <is>
          <t>SELİM İNŞAAT</t>
        </is>
      </c>
      <c r="D2083" s="115" t="inlineStr">
        <is>
          <t>34 FBR 705</t>
        </is>
      </c>
      <c r="E2083" s="115" t="inlineStr">
        <is>
          <t>MURAT SARI</t>
        </is>
      </c>
      <c r="F2083" s="115" t="n">
        <v>377334</v>
      </c>
      <c r="G2083" s="156" t="n"/>
      <c r="H2083" s="152" t="n">
        <v>487</v>
      </c>
      <c r="I2083" s="156" t="n"/>
      <c r="J2083" s="90" t="n"/>
      <c r="K2083" s="166" t="n"/>
      <c r="L2083" s="158">
        <f>+H2083*J2083</f>
        <v/>
      </c>
      <c r="M2083" s="159" t="n"/>
    </row>
    <row r="2084">
      <c r="A2084" s="114" t="n">
        <v>46176</v>
      </c>
      <c r="B2084" s="115" t="n">
        <v>114</v>
      </c>
      <c r="C2084" s="115" t="inlineStr">
        <is>
          <t>SELİM İNŞAAT</t>
        </is>
      </c>
      <c r="D2084" s="115" t="inlineStr">
        <is>
          <t>34 FBR 705</t>
        </is>
      </c>
      <c r="E2084" s="115" t="inlineStr">
        <is>
          <t>MURAT SARI</t>
        </is>
      </c>
      <c r="F2084" s="115" t="n">
        <v>377727</v>
      </c>
      <c r="G2084" s="156" t="n"/>
      <c r="H2084" s="152" t="n">
        <v>397</v>
      </c>
      <c r="I2084" s="156" t="n"/>
      <c r="J2084" s="90" t="n"/>
      <c r="K2084" s="166" t="n"/>
      <c r="L2084" s="158">
        <f>+H2084*J2084</f>
        <v/>
      </c>
      <c r="M2084" s="159" t="n"/>
    </row>
    <row r="2085">
      <c r="A2085" s="114" t="n">
        <v>46177</v>
      </c>
      <c r="B2085" s="115" t="n">
        <v>115</v>
      </c>
      <c r="C2085" s="115" t="inlineStr">
        <is>
          <t>SELİM İNŞAAT</t>
        </is>
      </c>
      <c r="D2085" s="115" t="inlineStr">
        <is>
          <t>34 FBR 705</t>
        </is>
      </c>
      <c r="E2085" s="115" t="inlineStr">
        <is>
          <t>MURAT SARI</t>
        </is>
      </c>
      <c r="F2085" s="115" t="n">
        <v>378227</v>
      </c>
      <c r="G2085" s="156" t="n"/>
      <c r="H2085" s="152" t="n">
        <v>394</v>
      </c>
      <c r="I2085" s="156" t="n"/>
      <c r="J2085" s="90" t="n"/>
      <c r="K2085" s="166" t="n"/>
      <c r="L2085" s="158">
        <f>+H2085*J2085</f>
        <v/>
      </c>
      <c r="M2085" s="159" t="n"/>
    </row>
    <row r="2086">
      <c r="A2086" s="114" t="n">
        <v>46179</v>
      </c>
      <c r="B2086" s="115" t="n">
        <v>116</v>
      </c>
      <c r="C2086" s="115" t="inlineStr">
        <is>
          <t>SELİM İNŞAAT</t>
        </is>
      </c>
      <c r="D2086" s="115" t="inlineStr">
        <is>
          <t>34 FBR 705</t>
        </is>
      </c>
      <c r="E2086" s="115" t="inlineStr">
        <is>
          <t>MURAT SARI</t>
        </is>
      </c>
      <c r="F2086" s="115" t="n">
        <v>378852</v>
      </c>
      <c r="G2086" s="156" t="n"/>
      <c r="H2086" s="152" t="n">
        <v>469</v>
      </c>
      <c r="I2086" s="156" t="n"/>
      <c r="J2086" s="90" t="n"/>
      <c r="K2086" s="166" t="n"/>
      <c r="L2086" s="158">
        <f>+H2086*J2086</f>
        <v/>
      </c>
      <c r="M2086" s="159" t="n"/>
    </row>
    <row r="2087">
      <c r="A2087" s="114" t="n">
        <v>46182</v>
      </c>
      <c r="B2087" s="115" t="n">
        <v>117</v>
      </c>
      <c r="C2087" s="115" t="inlineStr">
        <is>
          <t>SELİM İNŞAAT</t>
        </is>
      </c>
      <c r="D2087" s="115" t="inlineStr">
        <is>
          <t>34 FBR 705</t>
        </is>
      </c>
      <c r="E2087" s="115" t="inlineStr">
        <is>
          <t>MURAT SARI</t>
        </is>
      </c>
      <c r="F2087" s="115" t="n">
        <v>379243</v>
      </c>
      <c r="G2087" s="156" t="n"/>
      <c r="H2087" s="152" t="n">
        <v>336</v>
      </c>
      <c r="I2087" s="156" t="n"/>
      <c r="J2087" s="90" t="n"/>
      <c r="K2087" s="166" t="n"/>
      <c r="L2087" s="158">
        <f>+H2087*J2087</f>
        <v/>
      </c>
      <c r="M2087" s="159" t="n"/>
    </row>
    <row r="2088">
      <c r="A2088" s="114" t="n">
        <v>46183</v>
      </c>
      <c r="B2088" s="115" t="n">
        <v>118</v>
      </c>
      <c r="C2088" s="115" t="inlineStr">
        <is>
          <t>SELİM İNŞAAT</t>
        </is>
      </c>
      <c r="D2088" s="115" t="inlineStr">
        <is>
          <t>34 FBR 705</t>
        </is>
      </c>
      <c r="E2088" s="115" t="inlineStr">
        <is>
          <t>MURAT SARI</t>
        </is>
      </c>
      <c r="F2088" s="115" t="n">
        <v>379593</v>
      </c>
      <c r="G2088" s="156" t="n"/>
      <c r="H2088" s="152" t="n">
        <v>279</v>
      </c>
      <c r="I2088" s="156" t="n"/>
      <c r="J2088" s="90" t="n"/>
      <c r="K2088" s="166" t="n"/>
      <c r="L2088" s="158">
        <f>+H2088*J2088</f>
        <v/>
      </c>
      <c r="M2088" s="159" t="n"/>
    </row>
    <row r="2089">
      <c r="A2089" s="114" t="n">
        <v>46185</v>
      </c>
      <c r="B2089" s="115" t="n">
        <v>119</v>
      </c>
      <c r="C2089" s="115" t="inlineStr">
        <is>
          <t>SELİM İNŞAAT</t>
        </is>
      </c>
      <c r="D2089" s="115" t="inlineStr">
        <is>
          <t>34 FBR 705</t>
        </is>
      </c>
      <c r="E2089" s="115" t="inlineStr">
        <is>
          <t>MURAT SARI</t>
        </is>
      </c>
      <c r="F2089" s="115" t="n">
        <v>380159</v>
      </c>
      <c r="G2089" s="156" t="n"/>
      <c r="H2089" s="152" t="n">
        <v>426</v>
      </c>
      <c r="I2089" s="156" t="n"/>
      <c r="J2089" s="90" t="n"/>
      <c r="K2089" s="166" t="n"/>
      <c r="L2089" s="158">
        <f>+H2089*J2089</f>
        <v/>
      </c>
      <c r="M2089" s="159" t="n"/>
    </row>
    <row r="2090">
      <c r="A2090" s="114" t="n">
        <v>46188</v>
      </c>
      <c r="B2090" s="115" t="n">
        <v>120</v>
      </c>
      <c r="C2090" s="115" t="inlineStr">
        <is>
          <t>SELİM İNŞAAT</t>
        </is>
      </c>
      <c r="D2090" s="115" t="inlineStr">
        <is>
          <t>34 FBR 705</t>
        </is>
      </c>
      <c r="E2090" s="115" t="inlineStr">
        <is>
          <t>MURAT SARI</t>
        </is>
      </c>
      <c r="F2090" s="115" t="n">
        <v>380935</v>
      </c>
      <c r="G2090" s="156" t="n"/>
      <c r="H2090" s="152" t="n">
        <v>508</v>
      </c>
      <c r="I2090" s="156" t="n"/>
      <c r="J2090" s="90" t="n"/>
      <c r="K2090" s="166" t="n"/>
      <c r="L2090" s="158" t="n"/>
      <c r="M2090" s="159" t="n"/>
    </row>
    <row r="2091">
      <c r="A2091" s="114" t="n">
        <v>46175</v>
      </c>
      <c r="B2091" s="115" t="n">
        <v>1312</v>
      </c>
      <c r="C2091" s="115" t="inlineStr">
        <is>
          <t>SELİM İNŞAAT</t>
        </is>
      </c>
      <c r="D2091" s="115" t="inlineStr">
        <is>
          <t>34 GVZ 199</t>
        </is>
      </c>
      <c r="E2091" s="115" t="inlineStr">
        <is>
          <t>HÜSEYİN DENİZ</t>
        </is>
      </c>
      <c r="F2091" s="115" t="n">
        <v>242209</v>
      </c>
      <c r="G2091" s="156" t="n"/>
      <c r="H2091" s="152" t="n">
        <v>540</v>
      </c>
      <c r="I2091" s="156" t="n"/>
      <c r="J2091" s="90" t="n"/>
      <c r="K2091" s="166" t="n"/>
      <c r="L2091" s="158" t="n"/>
      <c r="M2091" s="159" t="n"/>
    </row>
    <row r="2092">
      <c r="A2092" s="114" t="n">
        <v>46178</v>
      </c>
      <c r="B2092" s="115" t="n">
        <v>1313</v>
      </c>
      <c r="C2092" s="115" t="inlineStr">
        <is>
          <t>SELİM İNŞAAT</t>
        </is>
      </c>
      <c r="D2092" s="115" t="inlineStr">
        <is>
          <t>34 GVZ 199</t>
        </is>
      </c>
      <c r="E2092" s="115" t="inlineStr">
        <is>
          <t>HÜSEYİN DENİZ</t>
        </is>
      </c>
      <c r="F2092" s="115" t="n">
        <v>242775</v>
      </c>
      <c r="G2092" s="156" t="n"/>
      <c r="H2092" s="152" t="n">
        <v>380</v>
      </c>
      <c r="I2092" s="156" t="n"/>
      <c r="J2092" s="90" t="n"/>
      <c r="K2092" s="166" t="n"/>
      <c r="L2092" s="158" t="n"/>
      <c r="M2092" s="159" t="n"/>
    </row>
    <row r="2093">
      <c r="A2093" s="114" t="n">
        <v>46181</v>
      </c>
      <c r="B2093" s="115" t="n">
        <v>1314</v>
      </c>
      <c r="C2093" s="115" t="inlineStr">
        <is>
          <t>SELİM İNŞAAT</t>
        </is>
      </c>
      <c r="D2093" s="115" t="inlineStr">
        <is>
          <t>34 GVZ 199</t>
        </is>
      </c>
      <c r="E2093" s="115" t="inlineStr">
        <is>
          <t>HÜSEYİN DENİZ</t>
        </is>
      </c>
      <c r="F2093" s="115" t="n">
        <v>243338</v>
      </c>
      <c r="G2093" s="156" t="n"/>
      <c r="H2093" s="152" t="n">
        <v>356</v>
      </c>
      <c r="I2093" s="156" t="n"/>
      <c r="J2093" s="90" t="n"/>
      <c r="K2093" s="166" t="n"/>
      <c r="L2093" s="158" t="n"/>
      <c r="M2093" s="159" t="n"/>
    </row>
    <row r="2094">
      <c r="A2094" s="114" t="n">
        <v>46183</v>
      </c>
      <c r="B2094" s="115" t="n">
        <v>1315</v>
      </c>
      <c r="C2094" s="115" t="inlineStr">
        <is>
          <t>SELİM İNŞAAT</t>
        </is>
      </c>
      <c r="D2094" s="115" t="inlineStr">
        <is>
          <t>34 GVZ 199</t>
        </is>
      </c>
      <c r="E2094" s="115" t="inlineStr">
        <is>
          <t>HÜSEYİN DENİZ</t>
        </is>
      </c>
      <c r="F2094" s="115" t="n">
        <v>244000</v>
      </c>
      <c r="G2094" s="156" t="n"/>
      <c r="H2094" s="152" t="n">
        <v>394</v>
      </c>
      <c r="I2094" s="156" t="n"/>
      <c r="J2094" s="90" t="n"/>
      <c r="K2094" s="166" t="n"/>
      <c r="L2094" s="158" t="n"/>
      <c r="M2094" s="159" t="n"/>
    </row>
    <row r="2095">
      <c r="A2095" s="114" t="n">
        <v>46186</v>
      </c>
      <c r="B2095" s="115" t="n">
        <v>1316</v>
      </c>
      <c r="C2095" s="115" t="inlineStr">
        <is>
          <t>SELİM İNŞAAT</t>
        </is>
      </c>
      <c r="D2095" s="115" t="inlineStr">
        <is>
          <t>34 GVZ 199</t>
        </is>
      </c>
      <c r="E2095" s="115" t="inlineStr">
        <is>
          <t>HÜSEYİN DENİZ</t>
        </is>
      </c>
      <c r="F2095" s="115" t="n">
        <v>244599</v>
      </c>
      <c r="G2095" s="156" t="n"/>
      <c r="H2095" s="152" t="n">
        <v>360</v>
      </c>
      <c r="I2095" s="156" t="n"/>
      <c r="J2095" s="90" t="n"/>
      <c r="K2095" s="166" t="n"/>
      <c r="L2095" s="158" t="n"/>
      <c r="M2095" s="159" t="n"/>
    </row>
    <row r="2096">
      <c r="A2096" s="114" t="n">
        <v>46174</v>
      </c>
      <c r="B2096" s="115" t="n">
        <v>4191</v>
      </c>
      <c r="C2096" s="115" t="inlineStr">
        <is>
          <t>SELİM İNŞAAT</t>
        </is>
      </c>
      <c r="D2096" s="115" t="inlineStr">
        <is>
          <t>34 FBR 748</t>
        </is>
      </c>
      <c r="E2096" s="115" t="inlineStr">
        <is>
          <t>YAŞAR ÖZKAYA</t>
        </is>
      </c>
      <c r="F2096" s="115" t="n">
        <v>339011</v>
      </c>
      <c r="G2096" s="156" t="n"/>
      <c r="H2096" s="152" t="n">
        <v>488</v>
      </c>
      <c r="I2096" s="156" t="n"/>
      <c r="J2096" s="90" t="n"/>
      <c r="K2096" s="166" t="n"/>
      <c r="L2096" s="158" t="n"/>
      <c r="M2096" s="159" t="n"/>
    </row>
    <row r="2097">
      <c r="A2097" s="114" t="n">
        <v>46177</v>
      </c>
      <c r="B2097" s="115" t="n">
        <v>4192</v>
      </c>
      <c r="C2097" s="115" t="inlineStr">
        <is>
          <t>SELİM İNŞAAT</t>
        </is>
      </c>
      <c r="D2097" s="115" t="inlineStr">
        <is>
          <t>34 FBR 748</t>
        </is>
      </c>
      <c r="E2097" s="115" t="inlineStr">
        <is>
          <t>YAŞAR ÖZKAYA</t>
        </is>
      </c>
      <c r="F2097" s="115" t="n">
        <v>339743</v>
      </c>
      <c r="G2097" s="156" t="n"/>
      <c r="H2097" s="152" t="n">
        <v>543</v>
      </c>
      <c r="I2097" s="156" t="n"/>
      <c r="J2097" s="90" t="n"/>
      <c r="K2097" s="166" t="n"/>
      <c r="L2097" s="158" t="n"/>
      <c r="M2097" s="159" t="n"/>
    </row>
    <row r="2098">
      <c r="A2098" s="114" t="n">
        <v>46179</v>
      </c>
      <c r="B2098" s="115" t="n">
        <v>4193</v>
      </c>
      <c r="C2098" s="115" t="inlineStr">
        <is>
          <t>SELİM İNŞAAT</t>
        </is>
      </c>
      <c r="D2098" s="115" t="inlineStr">
        <is>
          <t>34 FBR 748</t>
        </is>
      </c>
      <c r="E2098" s="115" t="inlineStr">
        <is>
          <t>YAŞAR ÖZKAYA</t>
        </is>
      </c>
      <c r="F2098" s="115" t="n">
        <v>340576</v>
      </c>
      <c r="G2098" s="156" t="n"/>
      <c r="H2098" s="152" t="n">
        <v>538</v>
      </c>
      <c r="I2098" s="156" t="n"/>
      <c r="J2098" s="90" t="n"/>
      <c r="K2098" s="166" t="n"/>
      <c r="L2098" s="158" t="n"/>
      <c r="M2098" s="159" t="n"/>
    </row>
    <row r="2099">
      <c r="A2099" s="114" t="n">
        <v>46184</v>
      </c>
      <c r="B2099" s="115" t="n">
        <v>4194</v>
      </c>
      <c r="C2099" s="115" t="inlineStr">
        <is>
          <t>SELİM İNŞAAT</t>
        </is>
      </c>
      <c r="D2099" s="115" t="inlineStr">
        <is>
          <t>34 FBR 748</t>
        </is>
      </c>
      <c r="E2099" s="115" t="inlineStr">
        <is>
          <t>YAŞAR ÖZKAYA</t>
        </is>
      </c>
      <c r="F2099" s="115" t="n">
        <v>341410</v>
      </c>
      <c r="G2099" s="156" t="n"/>
      <c r="H2099" s="152" t="n">
        <v>510</v>
      </c>
      <c r="I2099" s="156" t="n"/>
      <c r="J2099" s="90" t="n"/>
      <c r="K2099" s="166" t="n"/>
      <c r="L2099" s="158" t="n"/>
      <c r="M2099" s="159" t="n"/>
    </row>
    <row r="2100">
      <c r="A2100" s="114" t="n">
        <v>46188</v>
      </c>
      <c r="B2100" s="115" t="n">
        <v>4195</v>
      </c>
      <c r="C2100" s="115" t="inlineStr">
        <is>
          <t>SELİM İNŞAAT</t>
        </is>
      </c>
      <c r="D2100" s="115" t="inlineStr">
        <is>
          <t>34 FBR 748</t>
        </is>
      </c>
      <c r="E2100" s="115" t="inlineStr">
        <is>
          <t>YAŞAR ÖZKAYA</t>
        </is>
      </c>
      <c r="F2100" s="115" t="n">
        <v>342192</v>
      </c>
      <c r="G2100" s="156" t="n"/>
      <c r="H2100" s="152" t="n">
        <v>523</v>
      </c>
      <c r="I2100" s="156" t="n"/>
      <c r="J2100" s="90" t="n"/>
      <c r="K2100" s="166" t="n"/>
      <c r="L2100" s="158" t="n"/>
      <c r="M2100" s="159" t="n"/>
    </row>
    <row r="2101">
      <c r="A2101" s="114" t="n">
        <v>46174</v>
      </c>
      <c r="B2101" s="115" t="n">
        <v>1062</v>
      </c>
      <c r="C2101" s="115" t="inlineStr">
        <is>
          <t>SELİM İNŞAAT</t>
        </is>
      </c>
      <c r="D2101" s="115" t="inlineStr">
        <is>
          <t>34 FBR 781</t>
        </is>
      </c>
      <c r="E2101" s="115" t="inlineStr">
        <is>
          <t>MEVLÜT POLAT</t>
        </is>
      </c>
      <c r="F2101" s="115" t="n">
        <v>374332</v>
      </c>
      <c r="G2101" s="156" t="n"/>
      <c r="H2101" s="152" t="n">
        <v>519</v>
      </c>
      <c r="I2101" s="156" t="n"/>
      <c r="J2101" s="90" t="n"/>
      <c r="K2101" s="166" t="n"/>
      <c r="L2101" s="158" t="n"/>
      <c r="M2101" s="159" t="n"/>
    </row>
    <row r="2102">
      <c r="A2102" s="114" t="n">
        <v>46175</v>
      </c>
      <c r="B2102" s="115" t="n">
        <v>1063</v>
      </c>
      <c r="C2102" s="115" t="inlineStr">
        <is>
          <t>SELİM İNŞAAT</t>
        </is>
      </c>
      <c r="D2102" s="115" t="inlineStr">
        <is>
          <t>34 FBR 781</t>
        </is>
      </c>
      <c r="E2102" s="115" t="inlineStr">
        <is>
          <t>MEVLÜT POLAT</t>
        </is>
      </c>
      <c r="F2102" s="115" t="n">
        <v>375086</v>
      </c>
      <c r="G2102" s="156" t="n"/>
      <c r="H2102" s="152" t="n">
        <v>541</v>
      </c>
      <c r="I2102" s="156" t="n"/>
      <c r="J2102" s="90" t="n"/>
      <c r="K2102" s="166" t="n"/>
      <c r="L2102" s="158" t="n"/>
      <c r="M2102" s="159" t="n"/>
    </row>
    <row r="2103">
      <c r="A2103" s="114" t="n">
        <v>46177</v>
      </c>
      <c r="B2103" s="115" t="n">
        <v>1064</v>
      </c>
      <c r="C2103" s="115" t="inlineStr">
        <is>
          <t>SELİM İNŞAAT</t>
        </is>
      </c>
      <c r="D2103" s="115" t="inlineStr">
        <is>
          <t>34 FBR 781</t>
        </is>
      </c>
      <c r="E2103" s="115" t="inlineStr">
        <is>
          <t>MEVLÜT POLAT</t>
        </is>
      </c>
      <c r="F2103" s="115" t="n">
        <v>375718</v>
      </c>
      <c r="G2103" s="156" t="n"/>
      <c r="H2103" s="152" t="n">
        <v>499</v>
      </c>
      <c r="I2103" s="156" t="n"/>
      <c r="J2103" s="90" t="n"/>
      <c r="K2103" s="166" t="n"/>
      <c r="L2103" s="158" t="n"/>
      <c r="M2103" s="159" t="n"/>
    </row>
    <row r="2104">
      <c r="A2104" s="114" t="n">
        <v>46179</v>
      </c>
      <c r="B2104" s="115" t="n">
        <v>1065</v>
      </c>
      <c r="C2104" s="115" t="inlineStr">
        <is>
          <t>SELİM İNŞAAT</t>
        </is>
      </c>
      <c r="D2104" s="115" t="inlineStr">
        <is>
          <t>34 FBR 781</t>
        </is>
      </c>
      <c r="E2104" s="115" t="inlineStr">
        <is>
          <t>MEVLÜT POLAT</t>
        </is>
      </c>
      <c r="F2104" s="115" t="n">
        <v>376511</v>
      </c>
      <c r="G2104" s="156" t="n"/>
      <c r="H2104" s="152" t="n">
        <v>512</v>
      </c>
      <c r="I2104" s="156" t="n"/>
      <c r="J2104" s="90" t="n"/>
      <c r="K2104" s="166" t="n"/>
      <c r="L2104" s="158" t="n"/>
      <c r="M2104" s="159" t="n"/>
    </row>
    <row r="2105">
      <c r="A2105" s="114" t="n">
        <v>46183</v>
      </c>
      <c r="B2105" s="115" t="n">
        <v>1066</v>
      </c>
      <c r="C2105" s="115" t="inlineStr">
        <is>
          <t>SELİM İNŞAAT</t>
        </is>
      </c>
      <c r="D2105" s="115" t="inlineStr">
        <is>
          <t>34 FBR 781</t>
        </is>
      </c>
      <c r="E2105" s="115" t="inlineStr">
        <is>
          <t>MEVLÜT POLAT</t>
        </is>
      </c>
      <c r="F2105" s="115" t="n">
        <v>377106</v>
      </c>
      <c r="G2105" s="156" t="n"/>
      <c r="H2105" s="152" t="n">
        <v>484</v>
      </c>
      <c r="I2105" s="156" t="n"/>
      <c r="J2105" s="90" t="n"/>
      <c r="K2105" s="166" t="n"/>
      <c r="L2105" s="158" t="n"/>
      <c r="M2105" s="159" t="n"/>
    </row>
    <row r="2106">
      <c r="A2106" s="114" t="n">
        <v>46186</v>
      </c>
      <c r="B2106" s="115" t="n">
        <v>1067</v>
      </c>
      <c r="C2106" s="115" t="inlineStr">
        <is>
          <t>SELİM İNŞAAT</t>
        </is>
      </c>
      <c r="D2106" s="115" t="inlineStr">
        <is>
          <t>34 FBR 781</t>
        </is>
      </c>
      <c r="E2106" s="115" t="inlineStr">
        <is>
          <t>MEVLÜT POLAT</t>
        </is>
      </c>
      <c r="F2106" s="115" t="n">
        <v>377945</v>
      </c>
      <c r="G2106" s="156" t="n"/>
      <c r="H2106" s="152" t="n">
        <v>545</v>
      </c>
      <c r="I2106" s="156" t="n"/>
      <c r="J2106" s="90" t="n"/>
      <c r="K2106" s="166" t="n"/>
      <c r="L2106" s="158" t="n"/>
      <c r="M2106" s="159" t="n"/>
    </row>
    <row r="2107">
      <c r="A2107" s="114" t="n">
        <v>46188</v>
      </c>
      <c r="B2107" s="115" t="n">
        <v>1068</v>
      </c>
      <c r="C2107" s="115" t="inlineStr">
        <is>
          <t>SELİM İNŞAAT</t>
        </is>
      </c>
      <c r="D2107" s="115" t="inlineStr">
        <is>
          <t>34 FBR 781</t>
        </is>
      </c>
      <c r="E2107" s="115" t="inlineStr">
        <is>
          <t>MEVLÜT POLAT</t>
        </is>
      </c>
      <c r="F2107" s="115" t="n">
        <v>378333</v>
      </c>
      <c r="G2107" s="156" t="n"/>
      <c r="H2107" s="152" t="n">
        <v>320</v>
      </c>
      <c r="I2107" s="156" t="n"/>
      <c r="J2107" s="90" t="n"/>
      <c r="K2107" s="166" t="n"/>
      <c r="L2107" s="158" t="n"/>
      <c r="M2107" s="159" t="n"/>
    </row>
    <row r="2108">
      <c r="A2108" s="114" t="n">
        <v>46174</v>
      </c>
      <c r="B2108" s="115" t="n">
        <v>36</v>
      </c>
      <c r="C2108" s="115" t="inlineStr">
        <is>
          <t>SELİM İNŞAAT</t>
        </is>
      </c>
      <c r="D2108" s="115" t="inlineStr">
        <is>
          <t>34 GUS 268</t>
        </is>
      </c>
      <c r="E2108" s="115" t="inlineStr">
        <is>
          <t>KERİM KARAMAN</t>
        </is>
      </c>
      <c r="F2108" s="115" t="n">
        <v>266846</v>
      </c>
      <c r="G2108" s="156" t="n"/>
      <c r="H2108" s="152" t="n">
        <v>466</v>
      </c>
      <c r="I2108" s="156" t="n"/>
      <c r="J2108" s="90" t="n"/>
      <c r="K2108" s="166" t="n"/>
      <c r="L2108" s="158" t="n"/>
      <c r="M2108" s="159" t="n"/>
    </row>
    <row r="2109">
      <c r="A2109" s="114" t="n">
        <v>46176</v>
      </c>
      <c r="B2109" s="115" t="n">
        <v>37</v>
      </c>
      <c r="C2109" s="115" t="inlineStr">
        <is>
          <t>SELİM İNŞAAT</t>
        </is>
      </c>
      <c r="D2109" s="115" t="inlineStr">
        <is>
          <t>34 GUS 268</t>
        </is>
      </c>
      <c r="E2109" s="115" t="inlineStr">
        <is>
          <t>KERİM KARAMAN</t>
        </is>
      </c>
      <c r="F2109" s="115" t="n">
        <v>267542</v>
      </c>
      <c r="G2109" s="156" t="n"/>
      <c r="H2109" s="152" t="n">
        <v>468</v>
      </c>
      <c r="I2109" s="156" t="n"/>
      <c r="J2109" s="90" t="n"/>
      <c r="K2109" s="166" t="n"/>
      <c r="L2109" s="158" t="n"/>
      <c r="M2109" s="159" t="n"/>
    </row>
    <row r="2110">
      <c r="A2110" s="114" t="n">
        <v>46179</v>
      </c>
      <c r="B2110" s="115" t="n">
        <v>38</v>
      </c>
      <c r="C2110" s="115" t="inlineStr">
        <is>
          <t>SELİM İNŞAAT</t>
        </is>
      </c>
      <c r="D2110" s="115" t="inlineStr">
        <is>
          <t>34 GUS 268</t>
        </is>
      </c>
      <c r="E2110" s="115" t="inlineStr">
        <is>
          <t>KERİM KARAMAN</t>
        </is>
      </c>
      <c r="F2110" s="115" t="n">
        <v>268414</v>
      </c>
      <c r="G2110" s="156" t="n"/>
      <c r="H2110" s="152" t="n">
        <v>547</v>
      </c>
      <c r="I2110" s="156" t="n"/>
      <c r="J2110" s="90" t="n"/>
      <c r="K2110" s="166" t="n"/>
      <c r="L2110" s="158" t="n"/>
      <c r="M2110" s="159" t="n"/>
    </row>
    <row r="2111">
      <c r="A2111" s="114" t="n">
        <v>46182</v>
      </c>
      <c r="B2111" s="115" t="n">
        <v>39</v>
      </c>
      <c r="C2111" s="115" t="inlineStr">
        <is>
          <t>SELİM İNŞAAT</t>
        </is>
      </c>
      <c r="D2111" s="115" t="inlineStr">
        <is>
          <t>34 GUS 268</t>
        </is>
      </c>
      <c r="E2111" s="115" t="inlineStr">
        <is>
          <t>KERİM KARAMAN</t>
        </is>
      </c>
      <c r="F2111" s="115" t="n">
        <v>269102</v>
      </c>
      <c r="G2111" s="156" t="n"/>
      <c r="H2111" s="152" t="n">
        <v>453</v>
      </c>
      <c r="I2111" s="156" t="n"/>
      <c r="J2111" s="90" t="n"/>
      <c r="K2111" s="166" t="n"/>
      <c r="L2111" s="158" t="n"/>
      <c r="M2111" s="159" t="n"/>
    </row>
    <row r="2112">
      <c r="A2112" s="114" t="n">
        <v>46184</v>
      </c>
      <c r="B2112" s="115" t="n">
        <v>40</v>
      </c>
      <c r="C2112" s="115" t="inlineStr">
        <is>
          <t>SELİM İNŞAAT</t>
        </is>
      </c>
      <c r="D2112" s="115" t="inlineStr">
        <is>
          <t>34 GUS 268</t>
        </is>
      </c>
      <c r="E2112" s="115" t="inlineStr">
        <is>
          <t>KERİM KARAMAN</t>
        </is>
      </c>
      <c r="F2112" s="115" t="n">
        <v>269804</v>
      </c>
      <c r="G2112" s="156" t="n"/>
      <c r="H2112" s="152" t="n">
        <v>448</v>
      </c>
      <c r="I2112" s="156" t="n"/>
      <c r="J2112" s="90" t="n"/>
      <c r="K2112" s="166" t="n"/>
      <c r="L2112" s="158" t="n"/>
      <c r="M2112" s="159" t="n"/>
    </row>
    <row r="2113">
      <c r="A2113" s="114" t="n">
        <v>46186</v>
      </c>
      <c r="B2113" s="115" t="n">
        <v>41</v>
      </c>
      <c r="C2113" s="115" t="inlineStr">
        <is>
          <t>SELİM İNŞAAT</t>
        </is>
      </c>
      <c r="D2113" s="115" t="inlineStr">
        <is>
          <t>34 GUS 268</t>
        </is>
      </c>
      <c r="E2113" s="115" t="inlineStr">
        <is>
          <t>KERİM KARAMAN</t>
        </is>
      </c>
      <c r="F2113" s="115" t="n">
        <v>270578</v>
      </c>
      <c r="G2113" s="156" t="n"/>
      <c r="H2113" s="152" t="n">
        <v>461</v>
      </c>
      <c r="I2113" s="156" t="n"/>
      <c r="J2113" s="90" t="n"/>
      <c r="K2113" s="166" t="n"/>
      <c r="L2113" s="158" t="n"/>
      <c r="M2113" s="159" t="n"/>
    </row>
    <row r="2114">
      <c r="A2114" s="114" t="n">
        <v>46174</v>
      </c>
      <c r="B2114" s="115" t="n">
        <v>1763</v>
      </c>
      <c r="C2114" s="115" t="inlineStr">
        <is>
          <t>SELİM İNŞAAT</t>
        </is>
      </c>
      <c r="D2114" s="115" t="inlineStr">
        <is>
          <t>34 EDC 086</t>
        </is>
      </c>
      <c r="E2114" s="115" t="inlineStr">
        <is>
          <t>ZİYA İNCE</t>
        </is>
      </c>
      <c r="F2114" s="115" t="n">
        <v>389072</v>
      </c>
      <c r="G2114" s="156" t="n"/>
      <c r="H2114" s="152" t="n">
        <v>495</v>
      </c>
      <c r="I2114" s="156" t="n"/>
      <c r="J2114" s="90" t="n"/>
      <c r="K2114" s="166" t="n"/>
      <c r="L2114" s="158" t="n"/>
      <c r="M2114" s="159" t="n"/>
    </row>
    <row r="2115">
      <c r="A2115" s="114" t="n">
        <v>46176</v>
      </c>
      <c r="B2115" s="115" t="n">
        <v>1764</v>
      </c>
      <c r="C2115" s="115" t="inlineStr">
        <is>
          <t>SELİM İNŞAAT</t>
        </is>
      </c>
      <c r="D2115" s="115" t="inlineStr">
        <is>
          <t>34 EDC 086</t>
        </is>
      </c>
      <c r="E2115" s="115" t="inlineStr">
        <is>
          <t>ZİYA İNCE</t>
        </is>
      </c>
      <c r="F2115" s="115" t="n">
        <v>389710</v>
      </c>
      <c r="G2115" s="156" t="n"/>
      <c r="H2115" s="152" t="n">
        <v>434</v>
      </c>
      <c r="I2115" s="156" t="n"/>
      <c r="J2115" s="90" t="n"/>
      <c r="K2115" s="166" t="n"/>
      <c r="L2115" s="158" t="n"/>
      <c r="M2115" s="159" t="n"/>
    </row>
    <row r="2116">
      <c r="A2116" s="114" t="n">
        <v>46179</v>
      </c>
      <c r="B2116" s="115" t="n">
        <v>1765</v>
      </c>
      <c r="C2116" s="115" t="inlineStr">
        <is>
          <t>SELİM İNŞAAT</t>
        </is>
      </c>
      <c r="D2116" s="115" t="inlineStr">
        <is>
          <t>34 EDC 086</t>
        </is>
      </c>
      <c r="E2116" s="115" t="inlineStr">
        <is>
          <t>ZİYA İNCE</t>
        </is>
      </c>
      <c r="F2116" s="115" t="n">
        <v>390494</v>
      </c>
      <c r="G2116" s="156" t="n"/>
      <c r="H2116" s="152" t="n">
        <v>531</v>
      </c>
      <c r="I2116" s="156" t="n"/>
      <c r="J2116" s="90" t="n"/>
      <c r="K2116" s="166" t="n"/>
      <c r="L2116" s="158" t="n"/>
      <c r="M2116" s="159" t="n"/>
    </row>
    <row r="2117">
      <c r="A2117" s="114" t="n">
        <v>46184</v>
      </c>
      <c r="B2117" s="115" t="n">
        <v>1766</v>
      </c>
      <c r="C2117" s="115" t="inlineStr">
        <is>
          <t>SELİM İNŞAAT</t>
        </is>
      </c>
      <c r="D2117" s="115" t="inlineStr">
        <is>
          <t>34 EDC 086</t>
        </is>
      </c>
      <c r="E2117" s="115" t="inlineStr">
        <is>
          <t>ZİYA İNCE</t>
        </is>
      </c>
      <c r="F2117" s="115" t="n">
        <v>391350</v>
      </c>
      <c r="G2117" s="156" t="n"/>
      <c r="H2117" s="152" t="n">
        <v>541</v>
      </c>
      <c r="I2117" s="156" t="n"/>
      <c r="J2117" s="90" t="n"/>
      <c r="K2117" s="166" t="n"/>
      <c r="L2117" s="158" t="n"/>
      <c r="M2117" s="159" t="n"/>
    </row>
    <row r="2118">
      <c r="A2118" s="114" t="n">
        <v>46188</v>
      </c>
      <c r="B2118" s="115" t="n">
        <v>1767</v>
      </c>
      <c r="C2118" s="115" t="inlineStr">
        <is>
          <t>SELİM İNŞAAT</t>
        </is>
      </c>
      <c r="D2118" s="115" t="inlineStr">
        <is>
          <t>34 EDC 086</t>
        </is>
      </c>
      <c r="E2118" s="115" t="inlineStr">
        <is>
          <t>ZİYA İNCE</t>
        </is>
      </c>
      <c r="F2118" s="115" t="n">
        <v>392204</v>
      </c>
      <c r="G2118" s="156" t="n"/>
      <c r="H2118" s="152" t="n">
        <v>548</v>
      </c>
      <c r="I2118" s="156" t="n"/>
      <c r="J2118" s="90" t="n"/>
      <c r="K2118" s="166" t="n"/>
      <c r="L2118" s="158" t="n"/>
      <c r="M2118" s="159" t="n"/>
    </row>
    <row r="2119">
      <c r="A2119" s="114" t="n">
        <v>46176</v>
      </c>
      <c r="B2119" s="115" t="n">
        <v>923</v>
      </c>
      <c r="C2119" s="115" t="inlineStr">
        <is>
          <t>SELİM İNŞAAT</t>
        </is>
      </c>
      <c r="D2119" s="115" t="inlineStr">
        <is>
          <t>34 FSG 229</t>
        </is>
      </c>
      <c r="E2119" s="115" t="inlineStr">
        <is>
          <t>SİNAN TANRIVERDİ</t>
        </is>
      </c>
      <c r="F2119" s="115" t="n">
        <v>310011</v>
      </c>
      <c r="G2119" s="156" t="n"/>
      <c r="H2119" s="152" t="n">
        <v>521</v>
      </c>
      <c r="I2119" s="156" t="n"/>
      <c r="J2119" s="90" t="n"/>
      <c r="K2119" s="166" t="n"/>
      <c r="L2119" s="158" t="n"/>
      <c r="M2119" s="159" t="n"/>
    </row>
    <row r="2120">
      <c r="A2120" s="114" t="n">
        <v>46179</v>
      </c>
      <c r="B2120" s="115" t="n">
        <v>924</v>
      </c>
      <c r="C2120" s="115" t="inlineStr">
        <is>
          <t>SELİM İNŞAAT</t>
        </is>
      </c>
      <c r="D2120" s="115" t="inlineStr">
        <is>
          <t>34 FSG 229</t>
        </is>
      </c>
      <c r="E2120" s="115" t="inlineStr">
        <is>
          <t>SİNAN TANRIVERDİ</t>
        </is>
      </c>
      <c r="F2120" s="115" t="n">
        <v>310740</v>
      </c>
      <c r="G2120" s="156" t="n"/>
      <c r="H2120" s="152" t="n">
        <v>498</v>
      </c>
      <c r="I2120" s="156" t="n"/>
      <c r="J2120" s="90" t="n"/>
      <c r="K2120" s="166" t="n"/>
      <c r="L2120" s="158" t="n"/>
      <c r="M2120" s="159" t="n"/>
    </row>
    <row r="2121">
      <c r="A2121" s="114" t="n">
        <v>46181</v>
      </c>
      <c r="B2121" s="115" t="n">
        <v>925</v>
      </c>
      <c r="C2121" s="115" t="inlineStr">
        <is>
          <t>SELİM İNŞAAT</t>
        </is>
      </c>
      <c r="D2121" s="115" t="inlineStr">
        <is>
          <t>34 FSG 229</t>
        </is>
      </c>
      <c r="E2121" s="115" t="inlineStr">
        <is>
          <t>SİNAN TANRIVERDİ</t>
        </is>
      </c>
      <c r="F2121" s="115" t="n">
        <v>311059</v>
      </c>
      <c r="G2121" s="156" t="n"/>
      <c r="H2121" s="152" t="n">
        <v>416</v>
      </c>
      <c r="I2121" s="156" t="n"/>
      <c r="J2121" s="90" t="n"/>
      <c r="K2121" s="166" t="n"/>
      <c r="L2121" s="158" t="n"/>
      <c r="M2121" s="159" t="n"/>
    </row>
    <row r="2122">
      <c r="A2122" s="114" t="n">
        <v>46184</v>
      </c>
      <c r="B2122" s="115" t="n">
        <v>926</v>
      </c>
      <c r="C2122" s="115" t="inlineStr">
        <is>
          <t>SELİM İNŞAAT</t>
        </is>
      </c>
      <c r="D2122" s="115" t="inlineStr">
        <is>
          <t>34 FSG 229</t>
        </is>
      </c>
      <c r="E2122" s="115" t="inlineStr">
        <is>
          <t>SİNAN TANRIVERDİ</t>
        </is>
      </c>
      <c r="F2122" s="115" t="n">
        <v>311540</v>
      </c>
      <c r="G2122" s="156" t="n"/>
      <c r="H2122" s="152" t="n">
        <v>403</v>
      </c>
      <c r="I2122" s="156" t="n"/>
      <c r="J2122" s="90" t="n"/>
      <c r="K2122" s="166" t="n"/>
      <c r="L2122" s="158" t="n"/>
      <c r="M2122" s="159" t="n"/>
    </row>
    <row r="2123">
      <c r="A2123" s="114" t="n">
        <v>46185</v>
      </c>
      <c r="B2123" s="115" t="n">
        <v>927</v>
      </c>
      <c r="C2123" s="115" t="inlineStr">
        <is>
          <t>SELİM İNŞAAT</t>
        </is>
      </c>
      <c r="D2123" s="115" t="inlineStr">
        <is>
          <t>34 FSG 229</t>
        </is>
      </c>
      <c r="E2123" s="115" t="inlineStr">
        <is>
          <t>SİNAN TANRIVERDİ</t>
        </is>
      </c>
      <c r="F2123" s="115" t="n">
        <v>312182</v>
      </c>
      <c r="G2123" s="156" t="n"/>
      <c r="H2123" s="152" t="n">
        <v>472</v>
      </c>
      <c r="I2123" s="156" t="n"/>
      <c r="J2123" s="90" t="n"/>
      <c r="K2123" s="166" t="n"/>
      <c r="L2123" s="158" t="n"/>
      <c r="M2123" s="159" t="n"/>
    </row>
    <row r="2124">
      <c r="A2124" s="114" t="n">
        <v>46188</v>
      </c>
      <c r="B2124" s="115" t="n">
        <v>928</v>
      </c>
      <c r="C2124" s="115" t="inlineStr">
        <is>
          <t>SELİM İNŞAAT</t>
        </is>
      </c>
      <c r="D2124" s="115" t="inlineStr">
        <is>
          <t>34 FSG 229</t>
        </is>
      </c>
      <c r="E2124" s="115" t="inlineStr">
        <is>
          <t>SİNAN TANRIVERDİ</t>
        </is>
      </c>
      <c r="F2124" s="115" t="n">
        <v>312776</v>
      </c>
      <c r="G2124" s="156" t="n"/>
      <c r="H2124" s="152" t="n">
        <v>449</v>
      </c>
      <c r="I2124" s="156" t="n"/>
      <c r="J2124" s="90" t="n"/>
      <c r="K2124" s="166" t="n"/>
      <c r="L2124" s="158" t="n"/>
      <c r="M2124" s="159" t="n"/>
    </row>
    <row r="2125">
      <c r="A2125" s="114" t="n">
        <v>46175</v>
      </c>
      <c r="B2125" s="115" t="n">
        <v>4826</v>
      </c>
      <c r="C2125" s="115" t="inlineStr">
        <is>
          <t>SELİM İNŞAAT</t>
        </is>
      </c>
      <c r="D2125" s="115" t="inlineStr">
        <is>
          <t>34 EDB 559</t>
        </is>
      </c>
      <c r="E2125" s="115" t="inlineStr">
        <is>
          <t>SELAMETTİN KORKMAZ</t>
        </is>
      </c>
      <c r="F2125" s="115" t="n">
        <v>368597</v>
      </c>
      <c r="G2125" s="156" t="n"/>
      <c r="H2125" s="152" t="n">
        <v>456</v>
      </c>
      <c r="I2125" s="156" t="n"/>
      <c r="J2125" s="90" t="n"/>
      <c r="K2125" s="166" t="n"/>
      <c r="L2125" s="158" t="n"/>
      <c r="M2125" s="159" t="n"/>
    </row>
    <row r="2126">
      <c r="A2126" s="114" t="n">
        <v>46177</v>
      </c>
      <c r="B2126" s="115" t="n">
        <v>4827</v>
      </c>
      <c r="C2126" s="115" t="inlineStr">
        <is>
          <t>SELİM İNŞAAT</t>
        </is>
      </c>
      <c r="D2126" s="115" t="inlineStr">
        <is>
          <t>34 EDB 559</t>
        </is>
      </c>
      <c r="E2126" s="115" t="inlineStr">
        <is>
          <t>SELAMETTİN KORKMAZ</t>
        </is>
      </c>
      <c r="F2126" s="115" t="n">
        <v>369051</v>
      </c>
      <c r="G2126" s="156" t="n"/>
      <c r="H2126" s="152" t="n">
        <v>375</v>
      </c>
      <c r="I2126" s="156" t="n"/>
      <c r="J2126" s="90" t="n"/>
      <c r="K2126" s="166" t="n"/>
      <c r="L2126" s="158" t="n"/>
      <c r="M2126" s="159" t="n"/>
    </row>
    <row r="2127">
      <c r="A2127" s="114" t="n">
        <v>46179</v>
      </c>
      <c r="B2127" s="115" t="n">
        <v>4828</v>
      </c>
      <c r="C2127" s="115" t="inlineStr">
        <is>
          <t>SELİM İNŞAAT</t>
        </is>
      </c>
      <c r="D2127" s="115" t="inlineStr">
        <is>
          <t>34 EDB 559</t>
        </is>
      </c>
      <c r="E2127" s="115" t="inlineStr">
        <is>
          <t>SELAMETTİN KORKMAZ</t>
        </is>
      </c>
      <c r="F2127" s="115" t="n">
        <v>369663</v>
      </c>
      <c r="G2127" s="156" t="n"/>
      <c r="H2127" s="152" t="n">
        <v>434</v>
      </c>
      <c r="I2127" s="156" t="n"/>
      <c r="J2127" s="90" t="n"/>
      <c r="K2127" s="166" t="n"/>
      <c r="L2127" s="158" t="n"/>
      <c r="M2127" s="159" t="n"/>
    </row>
    <row r="2128">
      <c r="A2128" s="114" t="n">
        <v>46183</v>
      </c>
      <c r="B2128" s="115" t="n">
        <v>4829</v>
      </c>
      <c r="C2128" s="115" t="inlineStr">
        <is>
          <t>SELİM İNŞAAT</t>
        </is>
      </c>
      <c r="D2128" s="115" t="inlineStr">
        <is>
          <t>34 EDB 559</t>
        </is>
      </c>
      <c r="E2128" s="115" t="inlineStr">
        <is>
          <t>SELAMETTİN KORKMAZ</t>
        </is>
      </c>
      <c r="F2128" s="115" t="n">
        <v>370145</v>
      </c>
      <c r="G2128" s="156" t="n"/>
      <c r="H2128" s="152" t="n">
        <v>390</v>
      </c>
      <c r="I2128" s="156" t="n"/>
      <c r="J2128" s="90" t="n"/>
      <c r="K2128" s="166" t="n"/>
      <c r="L2128" s="158" t="n"/>
      <c r="M2128" s="159" t="n"/>
    </row>
    <row r="2129">
      <c r="A2129" s="114" t="n">
        <v>46184</v>
      </c>
      <c r="B2129" s="115" t="n">
        <v>4830</v>
      </c>
      <c r="C2129" s="115" t="inlineStr">
        <is>
          <t>SELİM İNŞAAT</t>
        </is>
      </c>
      <c r="D2129" s="115" t="inlineStr">
        <is>
          <t>34 EDB 559</t>
        </is>
      </c>
      <c r="E2129" s="115" t="inlineStr">
        <is>
          <t>SELAMETTİN KORKMAZ</t>
        </is>
      </c>
      <c r="F2129" s="115" t="n">
        <v>370740</v>
      </c>
      <c r="G2129" s="156" t="n"/>
      <c r="H2129" s="152" t="n">
        <v>398</v>
      </c>
      <c r="I2129" s="156" t="n"/>
      <c r="J2129" s="90" t="n"/>
      <c r="K2129" s="166" t="n"/>
      <c r="L2129" s="158" t="n"/>
      <c r="M2129" s="159" t="n"/>
    </row>
    <row r="2130">
      <c r="A2130" s="114" t="n">
        <v>46188</v>
      </c>
      <c r="B2130" s="115" t="n">
        <v>4831</v>
      </c>
      <c r="C2130" s="115" t="inlineStr">
        <is>
          <t>SELİM İNŞAAT</t>
        </is>
      </c>
      <c r="D2130" s="115" t="inlineStr">
        <is>
          <t>34 EDB 559</t>
        </is>
      </c>
      <c r="E2130" s="115" t="inlineStr">
        <is>
          <t>SELAMETTİN KORKMAZ</t>
        </is>
      </c>
      <c r="F2130" s="115" t="n">
        <v>371591</v>
      </c>
      <c r="G2130" s="156" t="n"/>
      <c r="H2130" s="152" t="n">
        <v>543</v>
      </c>
      <c r="I2130" s="156" t="n"/>
      <c r="J2130" s="90" t="n"/>
      <c r="K2130" s="166" t="n"/>
      <c r="L2130" s="158" t="n"/>
      <c r="M2130" s="159" t="n"/>
    </row>
    <row r="2131">
      <c r="A2131" s="114" t="n">
        <v>46174</v>
      </c>
      <c r="B2131" s="115" t="n">
        <v>4998</v>
      </c>
      <c r="C2131" s="115" t="inlineStr">
        <is>
          <t>SELİM İNŞAAT</t>
        </is>
      </c>
      <c r="D2131" s="115" t="inlineStr">
        <is>
          <t>34 GVZ 745</t>
        </is>
      </c>
      <c r="E2131" s="115" t="inlineStr">
        <is>
          <t>MURAT DEMİRBAŞ</t>
        </is>
      </c>
      <c r="F2131" s="115" t="n">
        <v>263842</v>
      </c>
      <c r="G2131" s="156" t="n"/>
      <c r="H2131" s="152" t="n">
        <v>486</v>
      </c>
      <c r="I2131" s="156" t="n"/>
      <c r="J2131" s="90" t="n"/>
      <c r="K2131" s="166" t="n"/>
      <c r="L2131" s="158" t="n"/>
      <c r="M2131" s="159" t="n"/>
    </row>
    <row r="2132">
      <c r="A2132" s="114" t="n">
        <v>46176</v>
      </c>
      <c r="B2132" s="115" t="n">
        <v>4999</v>
      </c>
      <c r="C2132" s="115" t="inlineStr">
        <is>
          <t>SELİM İNŞAAT</t>
        </is>
      </c>
      <c r="D2132" s="115" t="inlineStr">
        <is>
          <t>34 GVZ 745</t>
        </is>
      </c>
      <c r="E2132" s="115" t="inlineStr">
        <is>
          <t>MURAT DEMİRBAŞ</t>
        </is>
      </c>
      <c r="F2132" s="115" t="n">
        <v>264285</v>
      </c>
      <c r="G2132" s="156" t="n"/>
      <c r="H2132" s="152" t="n">
        <v>373</v>
      </c>
      <c r="I2132" s="156" t="n"/>
      <c r="J2132" s="90" t="n"/>
      <c r="K2132" s="166" t="n"/>
      <c r="L2132" s="158" t="n"/>
      <c r="M2132" s="159" t="n"/>
    </row>
    <row r="2133">
      <c r="A2133" s="114" t="n">
        <v>46177</v>
      </c>
      <c r="B2133" s="115" t="n">
        <v>5000</v>
      </c>
      <c r="C2133" s="115" t="inlineStr">
        <is>
          <t>SELİM İNŞAAT</t>
        </is>
      </c>
      <c r="D2133" s="115" t="inlineStr">
        <is>
          <t>34 GVZ 745</t>
        </is>
      </c>
      <c r="E2133" s="115" t="inlineStr">
        <is>
          <t>MURAT DEMİRBAŞ</t>
        </is>
      </c>
      <c r="F2133" s="115" t="n">
        <v>264761</v>
      </c>
      <c r="G2133" s="156" t="n"/>
      <c r="H2133" s="152" t="n">
        <v>356</v>
      </c>
      <c r="I2133" s="156" t="n"/>
      <c r="J2133" s="90" t="n"/>
      <c r="K2133" s="166" t="n"/>
      <c r="L2133" s="158" t="n"/>
      <c r="M2133" s="159" t="n"/>
    </row>
    <row r="2134">
      <c r="A2134" s="114" t="n">
        <v>46179</v>
      </c>
      <c r="B2134" s="115" t="n">
        <v>3001</v>
      </c>
      <c r="C2134" s="115" t="inlineStr">
        <is>
          <t>SELİM İNŞAAT</t>
        </is>
      </c>
      <c r="D2134" s="115" t="inlineStr">
        <is>
          <t>34 GVZ 745</t>
        </is>
      </c>
      <c r="E2134" s="115" t="inlineStr">
        <is>
          <t>MURAT DEMİRBAŞ</t>
        </is>
      </c>
      <c r="F2134" s="115" t="n">
        <v>265661</v>
      </c>
      <c r="G2134" s="156" t="n"/>
      <c r="H2134" s="152" t="n">
        <v>524</v>
      </c>
      <c r="I2134" s="156" t="n"/>
      <c r="J2134" s="90" t="n"/>
      <c r="K2134" s="166" t="n"/>
      <c r="L2134" s="158" t="n"/>
      <c r="M2134" s="159" t="n"/>
    </row>
    <row r="2135">
      <c r="A2135" s="114" t="n">
        <v>46183</v>
      </c>
      <c r="B2135" s="115" t="n">
        <v>3002</v>
      </c>
      <c r="C2135" s="115" t="inlineStr">
        <is>
          <t>SELİM İNŞAAT</t>
        </is>
      </c>
      <c r="D2135" s="115" t="inlineStr">
        <is>
          <t>34 GVZ 745</t>
        </is>
      </c>
      <c r="E2135" s="115" t="inlineStr">
        <is>
          <t>MURAT DEMİRBAŞ</t>
        </is>
      </c>
      <c r="F2135" s="115" t="n">
        <v>266291</v>
      </c>
      <c r="G2135" s="156" t="n"/>
      <c r="H2135" s="152" t="n">
        <v>428</v>
      </c>
      <c r="I2135" s="156" t="n"/>
      <c r="J2135" s="90" t="n"/>
      <c r="K2135" s="166" t="n"/>
      <c r="L2135" s="158" t="n"/>
      <c r="M2135" s="159" t="n"/>
    </row>
    <row r="2136">
      <c r="A2136" s="114" t="n">
        <v>46184</v>
      </c>
      <c r="B2136" s="115" t="n">
        <v>3003</v>
      </c>
      <c r="C2136" s="115" t="inlineStr">
        <is>
          <t>SELİM İNŞAAT</t>
        </is>
      </c>
      <c r="D2136" s="115" t="inlineStr">
        <is>
          <t>34 GVZ 745</t>
        </is>
      </c>
      <c r="E2136" s="115" t="inlineStr">
        <is>
          <t>MURAT DEMİRBAŞ</t>
        </is>
      </c>
      <c r="F2136" s="115" t="n">
        <v>266788</v>
      </c>
      <c r="G2136" s="156" t="n"/>
      <c r="H2136" s="152" t="n">
        <v>362</v>
      </c>
      <c r="I2136" s="156" t="n"/>
      <c r="J2136" s="90" t="n"/>
      <c r="K2136" s="166" t="n"/>
      <c r="L2136" s="158" t="n"/>
      <c r="M2136" s="159" t="n"/>
    </row>
    <row r="2137">
      <c r="A2137" s="114" t="n">
        <v>46185</v>
      </c>
      <c r="B2137" s="115" t="n">
        <v>3004</v>
      </c>
      <c r="C2137" s="115" t="inlineStr">
        <is>
          <t>SELİM İNŞAAT</t>
        </is>
      </c>
      <c r="D2137" s="115" t="inlineStr">
        <is>
          <t>34 GVZ 745</t>
        </is>
      </c>
      <c r="E2137" s="115" t="inlineStr">
        <is>
          <t>MURAT DEMİRBAŞ</t>
        </is>
      </c>
      <c r="F2137" s="115" t="n">
        <v>267077</v>
      </c>
      <c r="G2137" s="156" t="n"/>
      <c r="H2137" s="152" t="n">
        <v>238</v>
      </c>
      <c r="I2137" s="156" t="n"/>
      <c r="J2137" s="90" t="n"/>
      <c r="K2137" s="166" t="n"/>
      <c r="L2137" s="158" t="n"/>
      <c r="M2137" s="159" t="n"/>
    </row>
    <row r="2138">
      <c r="A2138" s="114" t="n">
        <v>46188</v>
      </c>
      <c r="B2138" s="115" t="n">
        <v>3005</v>
      </c>
      <c r="C2138" s="115" t="inlineStr">
        <is>
          <t>SELİM İNŞAAT</t>
        </is>
      </c>
      <c r="D2138" s="115" t="inlineStr">
        <is>
          <t>34 GVZ 745</t>
        </is>
      </c>
      <c r="E2138" s="115" t="inlineStr">
        <is>
          <t>MURAT DEMİRBAŞ</t>
        </is>
      </c>
      <c r="F2138" s="115" t="n">
        <v>267727</v>
      </c>
      <c r="G2138" s="156" t="n"/>
      <c r="H2138" s="152" t="n">
        <v>456</v>
      </c>
      <c r="I2138" s="156" t="n"/>
      <c r="J2138" s="90" t="n"/>
      <c r="K2138" s="166" t="n"/>
      <c r="L2138" s="158" t="n"/>
      <c r="M2138" s="159" t="n"/>
    </row>
    <row r="2139">
      <c r="A2139" s="114" t="n">
        <v>46176</v>
      </c>
      <c r="B2139" s="115" t="n">
        <v>3448</v>
      </c>
      <c r="C2139" s="115" t="inlineStr">
        <is>
          <t>SELİM İNŞAAT</t>
        </is>
      </c>
      <c r="D2139" s="115" t="inlineStr">
        <is>
          <t>34 GVZ 310</t>
        </is>
      </c>
      <c r="E2139" s="115" t="inlineStr">
        <is>
          <t>CELAL YÜZBAŞI</t>
        </is>
      </c>
      <c r="F2139" s="115" t="n">
        <v>260739</v>
      </c>
      <c r="G2139" s="156" t="n"/>
      <c r="H2139" s="152" t="n">
        <v>483</v>
      </c>
      <c r="I2139" s="156" t="n"/>
      <c r="J2139" s="90" t="n"/>
      <c r="K2139" s="166" t="n"/>
      <c r="L2139" s="158" t="n"/>
      <c r="M2139" s="159" t="n"/>
    </row>
    <row r="2140">
      <c r="A2140" s="114" t="n">
        <v>46177</v>
      </c>
      <c r="B2140" s="115" t="n">
        <v>3449</v>
      </c>
      <c r="C2140" s="115" t="inlineStr">
        <is>
          <t>SELİM İNŞAAT</t>
        </is>
      </c>
      <c r="D2140" s="115" t="inlineStr">
        <is>
          <t>34 GVZ 310</t>
        </is>
      </c>
      <c r="E2140" s="115" t="inlineStr">
        <is>
          <t>CELAL YÜZBAŞI</t>
        </is>
      </c>
      <c r="F2140" s="115" t="n">
        <v>261020</v>
      </c>
      <c r="G2140" s="156" t="n"/>
      <c r="H2140" s="152" t="n">
        <v>355</v>
      </c>
      <c r="I2140" s="156" t="n"/>
      <c r="J2140" s="90" t="n"/>
      <c r="K2140" s="166" t="n"/>
      <c r="L2140" s="158" t="n"/>
      <c r="M2140" s="159" t="n"/>
    </row>
    <row r="2141">
      <c r="A2141" s="114" t="n">
        <v>46179</v>
      </c>
      <c r="B2141" s="115" t="n">
        <v>3450</v>
      </c>
      <c r="C2141" s="115" t="inlineStr">
        <is>
          <t>SELİM İNŞAAT</t>
        </is>
      </c>
      <c r="D2141" s="115" t="inlineStr">
        <is>
          <t>34 GVZ 310</t>
        </is>
      </c>
      <c r="E2141" s="115" t="inlineStr">
        <is>
          <t>CELAL YÜZBAŞI</t>
        </is>
      </c>
      <c r="F2141" s="115" t="n">
        <v>261655</v>
      </c>
      <c r="G2141" s="156" t="n"/>
      <c r="H2141" s="152" t="n">
        <v>463</v>
      </c>
      <c r="I2141" s="156" t="n"/>
      <c r="J2141" s="90" t="n"/>
      <c r="K2141" s="166" t="n"/>
      <c r="L2141" s="158" t="n"/>
      <c r="M2141" s="159" t="n"/>
    </row>
    <row r="2142">
      <c r="A2142" s="114" t="n">
        <v>46181</v>
      </c>
      <c r="B2142" s="115" t="n">
        <v>3451</v>
      </c>
      <c r="C2142" s="115" t="inlineStr">
        <is>
          <t>SELİM İNŞAAT</t>
        </is>
      </c>
      <c r="D2142" s="115" t="inlineStr">
        <is>
          <t>34 GVZ 310</t>
        </is>
      </c>
      <c r="E2142" s="115" t="inlineStr">
        <is>
          <t>CELAL YÜZBAŞI</t>
        </is>
      </c>
      <c r="F2142" s="115" t="n">
        <v>262104</v>
      </c>
      <c r="G2142" s="156" t="n"/>
      <c r="H2142" s="152" t="n">
        <v>310</v>
      </c>
      <c r="I2142" s="156" t="n"/>
      <c r="J2142" s="90" t="n"/>
      <c r="K2142" s="166" t="n"/>
      <c r="L2142" s="158" t="n"/>
      <c r="M2142" s="159" t="n"/>
    </row>
    <row r="2143">
      <c r="A2143" s="114" t="n">
        <v>46184</v>
      </c>
      <c r="B2143" s="115" t="n">
        <v>3452</v>
      </c>
      <c r="C2143" s="115" t="inlineStr">
        <is>
          <t>SELİM İNŞAAT</t>
        </is>
      </c>
      <c r="D2143" s="115" t="inlineStr">
        <is>
          <t>34 GVZ 310</t>
        </is>
      </c>
      <c r="E2143" s="115" t="inlineStr">
        <is>
          <t>CELAL YÜZBAŞI</t>
        </is>
      </c>
      <c r="F2143" s="115" t="n">
        <v>262857</v>
      </c>
      <c r="G2143" s="156" t="n"/>
      <c r="H2143" s="152" t="n">
        <v>500</v>
      </c>
      <c r="I2143" s="156" t="n"/>
      <c r="J2143" s="90" t="n"/>
      <c r="K2143" s="166" t="n"/>
      <c r="L2143" s="158" t="n"/>
      <c r="M2143" s="159" t="n"/>
    </row>
    <row r="2144">
      <c r="A2144" s="114" t="n">
        <v>46186</v>
      </c>
      <c r="B2144" s="115" t="n">
        <v>3453</v>
      </c>
      <c r="C2144" s="115" t="inlineStr">
        <is>
          <t>SELİM İNŞAAT</t>
        </is>
      </c>
      <c r="D2144" s="115" t="inlineStr">
        <is>
          <t>34 GVZ 310</t>
        </is>
      </c>
      <c r="E2144" s="115" t="inlineStr">
        <is>
          <t>CELAL YÜZBAŞI</t>
        </is>
      </c>
      <c r="F2144" s="115" t="n">
        <v>263512</v>
      </c>
      <c r="G2144" s="156" t="n"/>
      <c r="H2144" s="152" t="n">
        <v>456</v>
      </c>
      <c r="I2144" s="156" t="n"/>
      <c r="J2144" s="90" t="n"/>
      <c r="K2144" s="166" t="n"/>
      <c r="L2144" s="158" t="n"/>
      <c r="M2144" s="159" t="n"/>
    </row>
    <row r="2145">
      <c r="A2145" s="114" t="n">
        <v>46164</v>
      </c>
      <c r="B2145" s="115" t="n">
        <v>2004</v>
      </c>
      <c r="C2145" s="115" t="inlineStr">
        <is>
          <t>SELİM İNŞAAT</t>
        </is>
      </c>
      <c r="D2145" s="115" t="inlineStr">
        <is>
          <t>34 GYZ 635</t>
        </is>
      </c>
      <c r="E2145" s="115" t="inlineStr">
        <is>
          <t>SELÇUK BASTIK</t>
        </is>
      </c>
      <c r="F2145" s="115" t="n">
        <v>2432001</v>
      </c>
      <c r="G2145" s="156" t="n"/>
      <c r="H2145" s="152" t="n">
        <v>356</v>
      </c>
      <c r="I2145" s="156" t="n"/>
      <c r="J2145" s="90" t="n"/>
      <c r="K2145" s="166" t="n"/>
      <c r="L2145" s="158" t="n"/>
      <c r="M2145" s="159" t="n"/>
    </row>
    <row r="2146">
      <c r="A2146" s="114" t="n">
        <v>46174</v>
      </c>
      <c r="B2146" s="115" t="n">
        <v>2005</v>
      </c>
      <c r="C2146" s="115" t="inlineStr">
        <is>
          <t>SELİM İNŞAAT</t>
        </is>
      </c>
      <c r="D2146" s="115" t="inlineStr">
        <is>
          <t>34 GYZ 635</t>
        </is>
      </c>
      <c r="E2146" s="115" t="inlineStr">
        <is>
          <t>SELÇUK BASTIK</t>
        </is>
      </c>
      <c r="F2146" s="115" t="n">
        <v>243893</v>
      </c>
      <c r="G2146" s="156" t="n"/>
      <c r="H2146" s="152" t="n">
        <v>410</v>
      </c>
      <c r="I2146" s="156" t="n"/>
      <c r="J2146" s="90" t="n"/>
      <c r="K2146" s="166" t="n"/>
      <c r="L2146" s="158" t="n"/>
      <c r="M2146" s="159" t="n"/>
    </row>
    <row r="2147">
      <c r="A2147" s="114" t="n">
        <v>46177</v>
      </c>
      <c r="B2147" s="115" t="n">
        <v>2006</v>
      </c>
      <c r="C2147" s="115" t="inlineStr">
        <is>
          <t>SELİM İNŞAAT</t>
        </is>
      </c>
      <c r="D2147" s="115" t="inlineStr">
        <is>
          <t>34 GYZ 635</t>
        </is>
      </c>
      <c r="E2147" s="115" t="inlineStr">
        <is>
          <t>SELÇUK BASTIK</t>
        </is>
      </c>
      <c r="F2147" s="115" t="n">
        <v>244599</v>
      </c>
      <c r="G2147" s="156" t="n"/>
      <c r="H2147" s="152" t="n">
        <v>512</v>
      </c>
      <c r="I2147" s="156" t="n"/>
      <c r="J2147" s="90" t="n"/>
      <c r="K2147" s="166" t="n"/>
      <c r="L2147" s="158" t="n"/>
      <c r="M2147" s="159" t="n"/>
    </row>
    <row r="2148">
      <c r="A2148" s="114" t="n">
        <v>46179</v>
      </c>
      <c r="B2148" s="115" t="n">
        <v>2007</v>
      </c>
      <c r="C2148" s="115" t="inlineStr">
        <is>
          <t>SELİM İNŞAAT</t>
        </is>
      </c>
      <c r="D2148" s="115" t="inlineStr">
        <is>
          <t>34 GYZ 635</t>
        </is>
      </c>
      <c r="E2148" s="115" t="inlineStr">
        <is>
          <t>SELÇUK BASTIK</t>
        </is>
      </c>
      <c r="F2148" s="115" t="n">
        <v>245505</v>
      </c>
      <c r="G2148" s="156" t="n"/>
      <c r="H2148" s="152" t="n">
        <v>521</v>
      </c>
      <c r="I2148" s="156" t="n"/>
      <c r="J2148" s="90" t="n"/>
      <c r="K2148" s="166" t="n"/>
      <c r="L2148" s="158" t="n"/>
      <c r="M2148" s="159" t="n"/>
    </row>
    <row r="2149">
      <c r="A2149" s="114" t="n">
        <v>46183</v>
      </c>
      <c r="B2149" s="115" t="n">
        <v>2008</v>
      </c>
      <c r="C2149" s="115" t="inlineStr">
        <is>
          <t>SELİM İNŞAAT</t>
        </is>
      </c>
      <c r="D2149" s="115" t="inlineStr">
        <is>
          <t>34 GYZ 635</t>
        </is>
      </c>
      <c r="E2149" s="115" t="inlineStr">
        <is>
          <t>SELÇUK BASTIK</t>
        </is>
      </c>
      <c r="F2149" s="115" t="n">
        <v>246136</v>
      </c>
      <c r="G2149" s="156" t="n"/>
      <c r="H2149" s="152" t="n">
        <v>422</v>
      </c>
      <c r="I2149" s="156" t="n"/>
      <c r="J2149" s="90" t="n"/>
      <c r="K2149" s="166" t="n"/>
      <c r="L2149" s="158" t="n"/>
      <c r="M2149" s="159" t="n"/>
    </row>
    <row r="2150">
      <c r="A2150" s="114" t="n">
        <v>46185</v>
      </c>
      <c r="B2150" s="115" t="n">
        <v>2009</v>
      </c>
      <c r="C2150" s="115" t="inlineStr">
        <is>
          <t>SELİM İNŞAAT</t>
        </is>
      </c>
      <c r="D2150" s="115" t="inlineStr">
        <is>
          <t>34 GYZ 635</t>
        </is>
      </c>
      <c r="E2150" s="115" t="inlineStr">
        <is>
          <t>SELÇUK BASTIK</t>
        </is>
      </c>
      <c r="F2150" s="115" t="n">
        <v>246898</v>
      </c>
      <c r="G2150" s="156" t="n"/>
      <c r="H2150" s="152" t="n">
        <v>465</v>
      </c>
      <c r="I2150" s="156" t="n"/>
      <c r="J2150" s="90" t="n"/>
      <c r="K2150" s="166" t="n"/>
      <c r="L2150" s="158" t="n"/>
      <c r="M2150" s="159" t="n"/>
    </row>
    <row r="2151">
      <c r="A2151" s="114" t="n">
        <v>46188</v>
      </c>
      <c r="B2151" s="115" t="n">
        <v>2010</v>
      </c>
      <c r="C2151" s="115" t="inlineStr">
        <is>
          <t>SELİM İNŞAAT</t>
        </is>
      </c>
      <c r="D2151" s="115" t="inlineStr">
        <is>
          <t>34 GYZ 635</t>
        </is>
      </c>
      <c r="E2151" s="115" t="inlineStr">
        <is>
          <t>SELÇUK BASTIK</t>
        </is>
      </c>
      <c r="F2151" s="115" t="n">
        <v>247546</v>
      </c>
      <c r="G2151" s="156" t="n"/>
      <c r="H2151" s="152" t="n">
        <v>424</v>
      </c>
      <c r="I2151" s="156" t="n"/>
      <c r="J2151" s="90" t="n"/>
      <c r="K2151" s="166" t="n"/>
      <c r="L2151" s="158" t="n"/>
      <c r="M2151" s="159" t="n"/>
    </row>
    <row r="2152">
      <c r="A2152" s="114" t="n">
        <v>46174</v>
      </c>
      <c r="B2152" s="115" t="n">
        <v>3177</v>
      </c>
      <c r="C2152" s="115" t="inlineStr">
        <is>
          <t>SELİM İNŞAAT</t>
        </is>
      </c>
      <c r="D2152" s="115" t="inlineStr">
        <is>
          <t>34 DTV 599</t>
        </is>
      </c>
      <c r="E2152" s="115" t="inlineStr">
        <is>
          <t>YAKUP GÜNER</t>
        </is>
      </c>
      <c r="F2152" s="115" t="n">
        <v>479075</v>
      </c>
      <c r="G2152" s="156" t="n"/>
      <c r="H2152" s="152" t="n">
        <v>295</v>
      </c>
      <c r="I2152" s="156" t="n"/>
      <c r="J2152" s="90" t="n"/>
      <c r="K2152" s="166" t="n"/>
      <c r="L2152" s="158" t="n"/>
      <c r="M2152" s="159" t="n"/>
    </row>
    <row r="2153">
      <c r="A2153" s="114" t="n">
        <v>46178</v>
      </c>
      <c r="B2153" s="115" t="n">
        <v>3178</v>
      </c>
      <c r="C2153" s="115" t="inlineStr">
        <is>
          <t>SELİM İNŞAAT</t>
        </is>
      </c>
      <c r="D2153" s="115" t="inlineStr">
        <is>
          <t>34 DTV 599</t>
        </is>
      </c>
      <c r="E2153" s="115" t="inlineStr">
        <is>
          <t>YAKUP GÜNER</t>
        </is>
      </c>
      <c r="F2153" s="115" t="n">
        <v>479974</v>
      </c>
      <c r="G2153" s="156" t="n"/>
      <c r="H2153" s="152" t="n">
        <v>532</v>
      </c>
      <c r="I2153" s="156" t="n"/>
      <c r="J2153" s="90" t="n"/>
      <c r="K2153" s="166" t="n"/>
      <c r="L2153" s="158" t="n"/>
      <c r="M2153" s="159" t="n"/>
    </row>
    <row r="2154">
      <c r="A2154" s="114" t="n">
        <v>46182</v>
      </c>
      <c r="B2154" s="115" t="n">
        <v>3179</v>
      </c>
      <c r="C2154" s="115" t="inlineStr">
        <is>
          <t>SELİM İNŞAAT</t>
        </is>
      </c>
      <c r="D2154" s="115" t="inlineStr">
        <is>
          <t>34 DTV 599</t>
        </is>
      </c>
      <c r="E2154" s="115" t="inlineStr">
        <is>
          <t>YAKUP GÜNER</t>
        </is>
      </c>
      <c r="F2154" s="115" t="n">
        <v>480343</v>
      </c>
      <c r="G2154" s="156" t="n"/>
      <c r="H2154" s="152" t="n">
        <v>447</v>
      </c>
      <c r="I2154" s="156" t="n"/>
      <c r="J2154" s="90" t="n"/>
      <c r="K2154" s="166" t="n"/>
      <c r="L2154" s="158" t="n"/>
      <c r="M2154" s="159" t="n"/>
    </row>
    <row r="2155">
      <c r="A2155" s="114" t="n">
        <v>46185</v>
      </c>
      <c r="B2155" s="115" t="n">
        <v>3180</v>
      </c>
      <c r="C2155" s="115" t="inlineStr">
        <is>
          <t>SELİM İNŞAAT</t>
        </is>
      </c>
      <c r="D2155" s="115" t="inlineStr">
        <is>
          <t>34 DTV 599</t>
        </is>
      </c>
      <c r="E2155" s="115" t="inlineStr">
        <is>
          <t>YAKUP GÜNER</t>
        </is>
      </c>
      <c r="F2155" s="115" t="n">
        <v>481017</v>
      </c>
      <c r="G2155" s="156" t="n"/>
      <c r="H2155" s="152" t="n">
        <v>500</v>
      </c>
      <c r="I2155" s="156" t="n"/>
      <c r="J2155" s="90" t="n"/>
      <c r="K2155" s="166" t="n"/>
      <c r="L2155" s="158" t="n"/>
      <c r="M2155" s="159" t="n"/>
    </row>
    <row r="2156">
      <c r="A2156" s="114" t="n">
        <v>46188</v>
      </c>
      <c r="B2156" s="115" t="n">
        <v>3181</v>
      </c>
      <c r="C2156" s="115" t="inlineStr">
        <is>
          <t>SELİM İNŞAAT</t>
        </is>
      </c>
      <c r="D2156" s="115" t="inlineStr">
        <is>
          <t>34 DTV 599</t>
        </is>
      </c>
      <c r="E2156" s="115" t="inlineStr">
        <is>
          <t>YAKUP GÜNER</t>
        </is>
      </c>
      <c r="F2156" s="115" t="n">
        <v>481668</v>
      </c>
      <c r="G2156" s="156" t="n"/>
      <c r="H2156" s="152" t="n">
        <v>440</v>
      </c>
      <c r="I2156" s="156" t="n"/>
      <c r="J2156" s="90" t="n"/>
      <c r="K2156" s="166" t="n"/>
      <c r="L2156" s="158" t="n"/>
      <c r="M2156" s="159" t="n"/>
    </row>
    <row r="2157">
      <c r="A2157" s="114" t="n">
        <v>46174</v>
      </c>
      <c r="B2157" s="115" t="n">
        <v>42500</v>
      </c>
      <c r="C2157" s="115" t="inlineStr">
        <is>
          <t>SELİM İNŞAAT</t>
        </is>
      </c>
      <c r="D2157" s="115" t="inlineStr">
        <is>
          <t>34 DTV 447</t>
        </is>
      </c>
      <c r="E2157" s="115" t="inlineStr">
        <is>
          <t>HAKAN ÇAVUŞOĞLU</t>
        </is>
      </c>
      <c r="F2157" s="115" t="n">
        <v>463100</v>
      </c>
      <c r="G2157" s="156" t="n"/>
      <c r="H2157" s="152" t="n">
        <v>543</v>
      </c>
      <c r="I2157" s="156" t="n"/>
      <c r="J2157" s="90" t="n"/>
      <c r="K2157" s="166" t="n"/>
      <c r="L2157" s="158" t="n"/>
      <c r="M2157" s="159" t="n"/>
    </row>
    <row r="2158">
      <c r="A2158" s="114" t="n">
        <v>46176</v>
      </c>
      <c r="B2158" s="115" t="n">
        <v>4307</v>
      </c>
      <c r="C2158" s="115" t="inlineStr">
        <is>
          <t>SELİM İNŞAAT</t>
        </is>
      </c>
      <c r="D2158" s="115" t="inlineStr">
        <is>
          <t>34 DTV 447</t>
        </is>
      </c>
      <c r="E2158" s="115" t="inlineStr">
        <is>
          <t>HAKAN ÇAVUŞOĞLU</t>
        </is>
      </c>
      <c r="F2158" s="115" t="n">
        <v>463673</v>
      </c>
      <c r="G2158" s="156" t="n"/>
      <c r="H2158" s="152" t="n">
        <v>538</v>
      </c>
      <c r="I2158" s="156" t="n"/>
      <c r="J2158" s="90" t="n"/>
      <c r="K2158" s="166" t="n"/>
      <c r="L2158" s="158" t="n"/>
      <c r="M2158" s="159" t="n"/>
    </row>
    <row r="2159">
      <c r="A2159" s="114" t="n">
        <v>46179</v>
      </c>
      <c r="B2159" s="115" t="n">
        <v>4308</v>
      </c>
      <c r="C2159" s="115" t="inlineStr">
        <is>
          <t>SELİM İNŞAAT</t>
        </is>
      </c>
      <c r="D2159" s="115" t="inlineStr">
        <is>
          <t>34 DTV 447</t>
        </is>
      </c>
      <c r="E2159" s="115" t="inlineStr">
        <is>
          <t>HAKAN ÇAVUŞOĞLU</t>
        </is>
      </c>
      <c r="F2159" s="115" t="n">
        <v>464211</v>
      </c>
      <c r="G2159" s="156" t="n"/>
      <c r="H2159" s="152" t="n">
        <v>484</v>
      </c>
      <c r="I2159" s="156" t="n"/>
      <c r="J2159" s="90" t="inlineStr">
        <is>
          <t> </t>
        </is>
      </c>
      <c r="K2159" s="166" t="n"/>
      <c r="L2159" s="158" t="n"/>
      <c r="M2159" s="159" t="n"/>
    </row>
    <row r="2160">
      <c r="A2160" s="114" t="n">
        <v>46181</v>
      </c>
      <c r="B2160" s="115" t="n">
        <v>4309</v>
      </c>
      <c r="C2160" s="115" t="inlineStr">
        <is>
          <t>SELİM İNŞAAT</t>
        </is>
      </c>
      <c r="D2160" s="115" t="inlineStr">
        <is>
          <t>34 DTV 447</t>
        </is>
      </c>
      <c r="E2160" s="115" t="inlineStr">
        <is>
          <t>HAKAN ÇAVUŞOĞLU</t>
        </is>
      </c>
      <c r="F2160" s="115" t="n">
        <v>464546</v>
      </c>
      <c r="G2160" s="156" t="n"/>
      <c r="H2160" s="152" t="n">
        <v>299</v>
      </c>
      <c r="I2160" s="156" t="n"/>
      <c r="J2160" s="90" t="n"/>
      <c r="K2160" s="166" t="n"/>
      <c r="L2160" s="158" t="n"/>
      <c r="M2160" s="159" t="n"/>
    </row>
    <row r="2161">
      <c r="A2161" s="114" t="n">
        <v>46183</v>
      </c>
      <c r="B2161" s="115" t="n">
        <v>4310</v>
      </c>
      <c r="C2161" s="115" t="inlineStr">
        <is>
          <t>SELİM İNŞAAT</t>
        </is>
      </c>
      <c r="D2161" s="115" t="inlineStr">
        <is>
          <t>34 DTV 447</t>
        </is>
      </c>
      <c r="E2161" s="115" t="inlineStr">
        <is>
          <t>HAKAN ÇAVUŞOĞLU</t>
        </is>
      </c>
      <c r="F2161" s="115" t="n">
        <v>464955</v>
      </c>
      <c r="G2161" s="156" t="n"/>
      <c r="H2161" s="152" t="n">
        <v>366</v>
      </c>
      <c r="I2161" s="156" t="n"/>
      <c r="J2161" s="90" t="n"/>
      <c r="K2161" s="166" t="n"/>
      <c r="L2161" s="158" t="n"/>
      <c r="M2161" s="159" t="n"/>
    </row>
    <row r="2162">
      <c r="A2162" s="114" t="n">
        <v>46185</v>
      </c>
      <c r="B2162" s="115" t="n">
        <v>4311</v>
      </c>
      <c r="C2162" s="115" t="inlineStr">
        <is>
          <t>SELİM İNŞAAT</t>
        </is>
      </c>
      <c r="D2162" s="115" t="inlineStr">
        <is>
          <t>34 DTV 447</t>
        </is>
      </c>
      <c r="E2162" s="115" t="inlineStr">
        <is>
          <t>HAKAN ÇAVUŞOĞLU</t>
        </is>
      </c>
      <c r="F2162" s="115" t="n">
        <v>465580</v>
      </c>
      <c r="G2162" s="156" t="n"/>
      <c r="H2162" s="152" t="n">
        <v>527</v>
      </c>
      <c r="I2162" s="156" t="n"/>
      <c r="J2162" s="90" t="n"/>
      <c r="K2162" s="166" t="n"/>
      <c r="L2162" s="158" t="n"/>
      <c r="M2162" s="159" t="n"/>
    </row>
    <row r="2163">
      <c r="A2163" s="114" t="n">
        <v>46188</v>
      </c>
      <c r="B2163" s="115" t="n">
        <v>4312</v>
      </c>
      <c r="C2163" s="115" t="inlineStr">
        <is>
          <t>SELİM İNŞAAT</t>
        </is>
      </c>
      <c r="D2163" s="115" t="inlineStr">
        <is>
          <t>34 DTV 447</t>
        </is>
      </c>
      <c r="E2163" s="115" t="inlineStr">
        <is>
          <t>HAKAN ÇAVUŞOĞLU</t>
        </is>
      </c>
      <c r="F2163" s="115" t="n">
        <v>466263</v>
      </c>
      <c r="G2163" s="156" t="n"/>
      <c r="H2163" s="152" t="n">
        <v>520</v>
      </c>
      <c r="I2163" s="156" t="n"/>
      <c r="J2163" s="90" t="n"/>
      <c r="K2163" s="166" t="n"/>
      <c r="L2163" s="158" t="n"/>
      <c r="M2163" s="159" t="n"/>
    </row>
    <row r="2164">
      <c r="A2164" s="114" t="n">
        <v>46174</v>
      </c>
      <c r="B2164" s="115" t="n">
        <v>42501</v>
      </c>
      <c r="C2164" s="115" t="inlineStr">
        <is>
          <t>SELİM İNŞAAT</t>
        </is>
      </c>
      <c r="D2164" s="115" t="inlineStr">
        <is>
          <t>34 DTV 352</t>
        </is>
      </c>
      <c r="E2164" s="115" t="inlineStr">
        <is>
          <t>YUSUF</t>
        </is>
      </c>
      <c r="F2164" s="115" t="n">
        <v>487141</v>
      </c>
      <c r="G2164" s="156" t="n"/>
      <c r="H2164" s="152" t="n">
        <v>540</v>
      </c>
      <c r="I2164" s="156" t="n"/>
      <c r="J2164" s="90" t="n"/>
      <c r="K2164" s="166" t="n"/>
      <c r="L2164" s="158" t="n"/>
      <c r="M2164" s="159" t="n"/>
    </row>
    <row r="2165">
      <c r="A2165" s="114" t="n">
        <v>46176</v>
      </c>
      <c r="B2165" s="115" t="n">
        <v>4532</v>
      </c>
      <c r="C2165" s="115" t="inlineStr">
        <is>
          <t>SELİM İNŞAAT</t>
        </is>
      </c>
      <c r="D2165" s="115" t="inlineStr">
        <is>
          <t>34 DTV 352</t>
        </is>
      </c>
      <c r="E2165" s="115" t="inlineStr">
        <is>
          <t>YUSUF</t>
        </is>
      </c>
      <c r="F2165" s="115" t="n">
        <v>487428</v>
      </c>
      <c r="G2165" s="156" t="n"/>
      <c r="H2165" s="152" t="n">
        <v>510</v>
      </c>
      <c r="I2165" s="156" t="n"/>
      <c r="J2165" s="90" t="n"/>
      <c r="K2165" s="166" t="n"/>
      <c r="L2165" s="158" t="n"/>
      <c r="M2165" s="159" t="n"/>
    </row>
    <row r="2166">
      <c r="A2166" s="114" t="n">
        <v>46179</v>
      </c>
      <c r="B2166" s="115" t="n">
        <v>4533</v>
      </c>
      <c r="C2166" s="115" t="inlineStr">
        <is>
          <t>SELİM İNŞAAT</t>
        </is>
      </c>
      <c r="D2166" s="115" t="inlineStr">
        <is>
          <t>34 DTV 352</t>
        </is>
      </c>
      <c r="E2166" s="115" t="inlineStr">
        <is>
          <t>YUSUF</t>
        </is>
      </c>
      <c r="F2166" s="115" t="n">
        <v>487958</v>
      </c>
      <c r="G2166" s="156" t="n"/>
      <c r="H2166" s="152" t="n">
        <v>463</v>
      </c>
      <c r="I2166" s="156" t="n"/>
      <c r="J2166" s="90" t="n"/>
      <c r="K2166" s="166" t="n"/>
      <c r="L2166" s="158" t="n"/>
      <c r="M2166" s="159" t="n"/>
    </row>
    <row r="2167">
      <c r="A2167" s="114" t="n">
        <v>46182</v>
      </c>
      <c r="B2167" s="115" t="n">
        <v>4534</v>
      </c>
      <c r="C2167" s="115" t="inlineStr">
        <is>
          <t>SELİM İNŞAAT</t>
        </is>
      </c>
      <c r="D2167" s="115" t="inlineStr">
        <is>
          <t>34 DTV 352</t>
        </is>
      </c>
      <c r="E2167" s="115" t="inlineStr">
        <is>
          <t>YUSUF</t>
        </is>
      </c>
      <c r="F2167" s="115" t="n">
        <v>488729</v>
      </c>
      <c r="G2167" s="156" t="n"/>
      <c r="H2167" s="152" t="n">
        <v>543</v>
      </c>
      <c r="I2167" s="156" t="n"/>
      <c r="J2167" s="90" t="n"/>
      <c r="K2167" s="166" t="n"/>
      <c r="L2167" s="158" t="n"/>
      <c r="M2167" s="159" t="n"/>
    </row>
    <row r="2168">
      <c r="A2168" s="114" t="n">
        <v>46184</v>
      </c>
      <c r="B2168" s="115" t="n">
        <v>4535</v>
      </c>
      <c r="C2168" s="115" t="inlineStr">
        <is>
          <t>SELİM İNŞAAT</t>
        </is>
      </c>
      <c r="D2168" s="115" t="inlineStr">
        <is>
          <t>34 DTV 352</t>
        </is>
      </c>
      <c r="E2168" s="115" t="inlineStr">
        <is>
          <t>YUSUF</t>
        </is>
      </c>
      <c r="F2168" s="115" t="n">
        <v>489320</v>
      </c>
      <c r="G2168" s="156" t="n"/>
      <c r="H2168" s="152" t="n">
        <v>477</v>
      </c>
      <c r="I2168" s="156" t="n"/>
      <c r="J2168" s="90" t="n"/>
      <c r="K2168" s="166" t="n"/>
      <c r="L2168" s="158" t="n"/>
      <c r="M2168" s="159" t="n"/>
    </row>
    <row r="2169">
      <c r="A2169" s="114" t="n">
        <v>46186</v>
      </c>
      <c r="B2169" s="115" t="n">
        <v>4536</v>
      </c>
      <c r="C2169" s="115" t="inlineStr">
        <is>
          <t>SELİM İNŞAAT</t>
        </is>
      </c>
      <c r="D2169" s="115" t="inlineStr">
        <is>
          <t>34 DTV 352</t>
        </is>
      </c>
      <c r="E2169" s="115" t="inlineStr">
        <is>
          <t>YUSUF</t>
        </is>
      </c>
      <c r="F2169" s="115" t="n">
        <v>489951</v>
      </c>
      <c r="G2169" s="156" t="n"/>
      <c r="H2169" s="152" t="n">
        <v>486</v>
      </c>
      <c r="I2169" s="156" t="n"/>
      <c r="J2169" s="90" t="n"/>
      <c r="K2169" s="166" t="n"/>
      <c r="L2169" s="158" t="n"/>
      <c r="M2169" s="159" t="n"/>
    </row>
    <row r="2170">
      <c r="A2170" s="114" t="n">
        <v>46188</v>
      </c>
      <c r="B2170" s="115" t="n">
        <v>4537</v>
      </c>
      <c r="C2170" s="115" t="inlineStr">
        <is>
          <t>SELİM İNŞAAT</t>
        </is>
      </c>
      <c r="D2170" s="115" t="inlineStr">
        <is>
          <t>34 DTV 352</t>
        </is>
      </c>
      <c r="E2170" s="115" t="inlineStr">
        <is>
          <t>YUSUF</t>
        </is>
      </c>
      <c r="F2170" s="115" t="n">
        <v>490348</v>
      </c>
      <c r="G2170" s="156" t="n"/>
      <c r="H2170" s="152" t="n">
        <v>341</v>
      </c>
      <c r="I2170" s="156" t="n"/>
      <c r="J2170" s="90" t="n"/>
      <c r="K2170" s="166" t="n"/>
      <c r="L2170" s="158" t="n"/>
      <c r="M2170" s="159" t="n"/>
    </row>
    <row r="2171">
      <c r="A2171" s="114" t="n">
        <v>46174</v>
      </c>
      <c r="B2171" s="115" t="n">
        <v>2354</v>
      </c>
      <c r="C2171" s="115" t="inlineStr">
        <is>
          <t>SELİM İNŞAAT</t>
        </is>
      </c>
      <c r="D2171" s="115" t="inlineStr">
        <is>
          <t>34 GUS 938</t>
        </is>
      </c>
      <c r="E2171" s="115" t="inlineStr">
        <is>
          <t>MEHMET KAYA</t>
        </is>
      </c>
      <c r="F2171" s="115" t="n">
        <v>261033</v>
      </c>
      <c r="G2171" s="156" t="n"/>
      <c r="H2171" s="152" t="n">
        <v>410</v>
      </c>
      <c r="I2171" s="156" t="n"/>
      <c r="J2171" s="90" t="n"/>
      <c r="K2171" s="166" t="n"/>
      <c r="L2171" s="158" t="n"/>
      <c r="M2171" s="159" t="n"/>
    </row>
    <row r="2172">
      <c r="A2172" s="114" t="n">
        <v>46175</v>
      </c>
      <c r="B2172" s="115" t="n">
        <v>2355</v>
      </c>
      <c r="C2172" s="115" t="inlineStr">
        <is>
          <t>SELİM İNŞAAT</t>
        </is>
      </c>
      <c r="D2172" s="115" t="inlineStr">
        <is>
          <t>34 GUS 938</t>
        </is>
      </c>
      <c r="E2172" s="115" t="inlineStr">
        <is>
          <t>MEHMET KAYA</t>
        </is>
      </c>
      <c r="F2172" s="115" t="n">
        <v>261765</v>
      </c>
      <c r="G2172" s="156" t="n"/>
      <c r="H2172" s="152" t="n">
        <v>468</v>
      </c>
      <c r="I2172" s="156" t="n"/>
      <c r="J2172" s="90" t="n"/>
      <c r="K2172" s="166" t="n"/>
      <c r="L2172" s="158" t="n"/>
      <c r="M2172" s="159" t="n"/>
    </row>
    <row r="2173">
      <c r="A2173" s="114" t="n">
        <v>46178</v>
      </c>
      <c r="B2173" s="115" t="n">
        <v>2356</v>
      </c>
      <c r="C2173" s="115" t="inlineStr">
        <is>
          <t>SELİM İNŞAAT</t>
        </is>
      </c>
      <c r="D2173" s="115" t="inlineStr">
        <is>
          <t>34 GUS 938</t>
        </is>
      </c>
      <c r="E2173" s="115" t="inlineStr">
        <is>
          <t>MEHMET KAYA</t>
        </is>
      </c>
      <c r="F2173" s="115" t="n">
        <v>262499</v>
      </c>
      <c r="G2173" s="156" t="n"/>
      <c r="H2173" s="152" t="n">
        <v>460</v>
      </c>
      <c r="I2173" s="156" t="n"/>
      <c r="J2173" s="90" t="n"/>
      <c r="K2173" s="166" t="n"/>
      <c r="L2173" s="158" t="n"/>
      <c r="M2173" s="159" t="n"/>
    </row>
    <row r="2174">
      <c r="A2174" s="114" t="n">
        <v>46181</v>
      </c>
      <c r="B2174" s="115" t="n">
        <v>2357</v>
      </c>
      <c r="C2174" s="115" t="inlineStr">
        <is>
          <t>SELİM İNŞAAT</t>
        </is>
      </c>
      <c r="D2174" s="115" t="inlineStr">
        <is>
          <t>34 GUS 938</t>
        </is>
      </c>
      <c r="E2174" s="115" t="inlineStr">
        <is>
          <t>MEHMET KAYA</t>
        </is>
      </c>
      <c r="F2174" s="115" t="n">
        <v>262927</v>
      </c>
      <c r="G2174" s="156" t="n"/>
      <c r="H2174" s="152" t="n">
        <v>305</v>
      </c>
      <c r="I2174" s="156" t="n"/>
      <c r="J2174" s="90" t="n"/>
      <c r="K2174" s="166" t="n"/>
      <c r="L2174" s="158" t="n"/>
      <c r="M2174" s="159" t="n"/>
    </row>
    <row r="2175">
      <c r="A2175" s="114" t="n">
        <v>46183</v>
      </c>
      <c r="B2175" s="115" t="n">
        <v>2358</v>
      </c>
      <c r="C2175" s="115" t="inlineStr">
        <is>
          <t>SELİM İNŞAAT</t>
        </is>
      </c>
      <c r="D2175" s="115" t="inlineStr">
        <is>
          <t>34 GUS 938</t>
        </is>
      </c>
      <c r="E2175" s="115" t="inlineStr">
        <is>
          <t>MEHMET KAYA</t>
        </is>
      </c>
      <c r="F2175" s="115" t="n">
        <v>263165</v>
      </c>
      <c r="G2175" s="156" t="n"/>
      <c r="H2175" s="152" t="n">
        <v>335</v>
      </c>
      <c r="I2175" s="156" t="n"/>
      <c r="J2175" s="90" t="n"/>
      <c r="K2175" s="166" t="n"/>
      <c r="L2175" s="158" t="n"/>
      <c r="M2175" s="159" t="n"/>
    </row>
    <row r="2176">
      <c r="A2176" s="114" t="n">
        <v>46185</v>
      </c>
      <c r="B2176" s="115" t="n">
        <v>2359</v>
      </c>
      <c r="C2176" s="115" t="inlineStr">
        <is>
          <t>SELİM İNŞAAT</t>
        </is>
      </c>
      <c r="D2176" s="115" t="inlineStr">
        <is>
          <t>34 GUS 938</t>
        </is>
      </c>
      <c r="E2176" s="115" t="inlineStr">
        <is>
          <t>MEHMET KAYA</t>
        </is>
      </c>
      <c r="F2176" s="115" t="n">
        <v>263984</v>
      </c>
      <c r="G2176" s="156" t="n"/>
      <c r="H2176" s="152" t="n">
        <v>405</v>
      </c>
      <c r="I2176" s="156" t="n"/>
      <c r="J2176" s="90" t="n"/>
      <c r="K2176" s="166" t="n"/>
      <c r="L2176" s="158" t="n"/>
      <c r="M2176" s="159" t="n"/>
    </row>
    <row r="2177">
      <c r="A2177" s="114" t="n">
        <v>46186</v>
      </c>
      <c r="B2177" s="115" t="n">
        <v>2360</v>
      </c>
      <c r="C2177" s="115" t="inlineStr">
        <is>
          <t>SELİM İNŞAAT</t>
        </is>
      </c>
      <c r="D2177" s="115" t="inlineStr">
        <is>
          <t>34 GUS 938</t>
        </is>
      </c>
      <c r="E2177" s="115" t="inlineStr">
        <is>
          <t>MEHMET KAYA</t>
        </is>
      </c>
      <c r="F2177" s="115" t="n">
        <v>264509</v>
      </c>
      <c r="G2177" s="156" t="n"/>
      <c r="H2177" s="152" t="n">
        <v>339</v>
      </c>
      <c r="I2177" s="156" t="n"/>
      <c r="J2177" s="90" t="n"/>
      <c r="K2177" s="166" t="n"/>
      <c r="L2177" s="158" t="n"/>
      <c r="M2177" s="159" t="n"/>
    </row>
    <row r="2178">
      <c r="A2178" s="114" t="n">
        <v>46188</v>
      </c>
      <c r="B2178" s="115" t="n">
        <v>2361</v>
      </c>
      <c r="C2178" s="115" t="inlineStr">
        <is>
          <t>SELİM İNŞAAT</t>
        </is>
      </c>
      <c r="D2178" s="115" t="inlineStr">
        <is>
          <t>34 GUS 938</t>
        </is>
      </c>
      <c r="E2178" s="115" t="inlineStr">
        <is>
          <t>MEHMET KAYA</t>
        </is>
      </c>
      <c r="F2178" s="115" t="n">
        <v>265071</v>
      </c>
      <c r="G2178" s="156" t="n"/>
      <c r="H2178" s="152" t="n">
        <v>385</v>
      </c>
      <c r="I2178" s="156" t="n"/>
      <c r="J2178" s="90" t="n"/>
      <c r="K2178" s="166" t="n"/>
      <c r="L2178" s="158" t="n"/>
      <c r="M2178" s="159" t="n"/>
    </row>
    <row r="2179">
      <c r="A2179" s="114" t="n">
        <v>46174</v>
      </c>
      <c r="B2179" s="115" t="n">
        <v>4401</v>
      </c>
      <c r="C2179" s="115" t="inlineStr">
        <is>
          <t>SELİM İNŞAAT</t>
        </is>
      </c>
      <c r="D2179" s="115" t="inlineStr">
        <is>
          <t>34 EDB 922</t>
        </is>
      </c>
      <c r="E2179" s="115" t="inlineStr">
        <is>
          <t>SERVET KARANFİL</t>
        </is>
      </c>
      <c r="F2179" s="115" t="n">
        <v>413586</v>
      </c>
      <c r="G2179" s="156" t="n"/>
      <c r="H2179" s="152" t="n">
        <v>540</v>
      </c>
      <c r="I2179" s="156" t="n"/>
      <c r="J2179" s="90" t="n"/>
      <c r="K2179" s="166" t="n"/>
      <c r="L2179" s="158" t="n"/>
      <c r="M2179" s="159" t="n"/>
    </row>
    <row r="2180">
      <c r="A2180" s="114" t="n">
        <v>46176</v>
      </c>
      <c r="B2180" s="115" t="n">
        <v>3632</v>
      </c>
      <c r="C2180" s="115" t="inlineStr">
        <is>
          <t>SELİM İNŞAAT</t>
        </is>
      </c>
      <c r="D2180" s="115" t="inlineStr">
        <is>
          <t>34 EDB 922</t>
        </is>
      </c>
      <c r="E2180" s="115" t="inlineStr">
        <is>
          <t>SERVET KARANFİL</t>
        </is>
      </c>
      <c r="F2180" s="115" t="n">
        <v>413986</v>
      </c>
      <c r="G2180" s="156" t="n"/>
      <c r="H2180" s="152" t="n">
        <v>532</v>
      </c>
      <c r="I2180" s="156" t="n"/>
      <c r="J2180" s="90" t="n"/>
      <c r="K2180" s="166" t="n"/>
      <c r="L2180" s="158" t="n"/>
      <c r="M2180" s="159" t="n"/>
    </row>
    <row r="2181">
      <c r="A2181" s="114" t="n">
        <v>46177</v>
      </c>
      <c r="B2181" s="115" t="n">
        <v>3633</v>
      </c>
      <c r="C2181" s="115" t="inlineStr">
        <is>
          <t>SELİM İNŞAAT</t>
        </is>
      </c>
      <c r="D2181" s="115" t="inlineStr">
        <is>
          <t>34 EDB 922</t>
        </is>
      </c>
      <c r="E2181" s="115" t="inlineStr">
        <is>
          <t>SERVET KARANFİL</t>
        </is>
      </c>
      <c r="F2181" s="115" t="n">
        <v>414326</v>
      </c>
      <c r="G2181" s="156" t="n"/>
      <c r="H2181" s="152" t="n">
        <v>547</v>
      </c>
      <c r="I2181" s="156" t="n"/>
      <c r="J2181" s="90" t="n"/>
      <c r="K2181" s="166" t="n"/>
      <c r="L2181" s="158" t="n"/>
      <c r="M2181" s="159" t="n"/>
    </row>
    <row r="2182">
      <c r="A2182" s="114" t="n">
        <v>46178</v>
      </c>
      <c r="B2182" s="115" t="n">
        <v>3634</v>
      </c>
      <c r="C2182" s="115" t="inlineStr">
        <is>
          <t>SELİM İNŞAAT</t>
        </is>
      </c>
      <c r="D2182" s="115" t="inlineStr">
        <is>
          <t>34 EDB 922</t>
        </is>
      </c>
      <c r="E2182" s="115" t="inlineStr">
        <is>
          <t>SERVET KARANFİL</t>
        </is>
      </c>
      <c r="F2182" s="115" t="n">
        <v>414928</v>
      </c>
      <c r="G2182" s="156" t="n"/>
      <c r="H2182" s="152" t="n">
        <v>512</v>
      </c>
      <c r="I2182" s="156" t="n"/>
      <c r="J2182" s="90" t="n"/>
      <c r="K2182" s="166" t="n"/>
      <c r="L2182" s="158" t="n"/>
      <c r="M2182" s="159" t="n"/>
    </row>
    <row r="2183">
      <c r="A2183" s="114" t="n">
        <v>46181</v>
      </c>
      <c r="B2183" s="115" t="n">
        <v>3635</v>
      </c>
      <c r="C2183" s="115" t="inlineStr">
        <is>
          <t>SELİM İNŞAAT</t>
        </is>
      </c>
      <c r="D2183" s="115" t="inlineStr">
        <is>
          <t>34 EDB 922</t>
        </is>
      </c>
      <c r="E2183" s="115" t="inlineStr">
        <is>
          <t>SERVET KARANFİL</t>
        </is>
      </c>
      <c r="F2183" s="115" t="n">
        <v>415389</v>
      </c>
      <c r="G2183" s="156" t="n"/>
      <c r="H2183" s="152" t="n">
        <v>420</v>
      </c>
      <c r="I2183" s="156" t="n"/>
      <c r="J2183" s="90" t="n"/>
      <c r="K2183" s="166" t="n"/>
      <c r="L2183" s="158" t="n"/>
      <c r="M2183" s="159" t="n"/>
    </row>
    <row r="2184">
      <c r="A2184" s="114" t="n">
        <v>46188</v>
      </c>
      <c r="B2184" s="115" t="n">
        <v>3636</v>
      </c>
      <c r="C2184" s="115" t="inlineStr">
        <is>
          <t>SELİM İNŞAAT</t>
        </is>
      </c>
      <c r="D2184" s="115" t="inlineStr">
        <is>
          <t>34 EDB 922</t>
        </is>
      </c>
      <c r="E2184" s="115" t="inlineStr">
        <is>
          <t>SERVET KARANFİL</t>
        </is>
      </c>
      <c r="F2184" s="115" t="n">
        <v>416045</v>
      </c>
      <c r="G2184" s="156" t="n"/>
      <c r="H2184" s="152" t="n">
        <v>550</v>
      </c>
      <c r="I2184" s="156" t="n"/>
      <c r="J2184" s="90" t="n"/>
      <c r="K2184" s="166" t="n"/>
      <c r="L2184" s="158" t="n"/>
      <c r="M2184" s="159" t="n"/>
    </row>
    <row r="2185">
      <c r="A2185" s="114" t="n">
        <v>46174</v>
      </c>
      <c r="B2185" s="115" t="n">
        <v>2254</v>
      </c>
      <c r="C2185" s="115" t="inlineStr">
        <is>
          <t>SELİM İNŞAAT</t>
        </is>
      </c>
      <c r="D2185" s="115" t="inlineStr">
        <is>
          <t>34 FBR 742</t>
        </is>
      </c>
      <c r="E2185" s="115" t="inlineStr">
        <is>
          <t>ADNAN KOÇ</t>
        </is>
      </c>
      <c r="F2185" s="115" t="n">
        <v>380110</v>
      </c>
      <c r="G2185" s="156" t="n"/>
      <c r="H2185" s="152" t="n">
        <v>300</v>
      </c>
      <c r="I2185" s="156" t="n"/>
      <c r="J2185" s="90" t="n"/>
      <c r="K2185" s="166" t="n"/>
      <c r="L2185" s="158" t="n"/>
      <c r="M2185" s="159" t="n"/>
    </row>
    <row r="2186">
      <c r="A2186" s="114" t="n">
        <v>46175</v>
      </c>
      <c r="B2186" s="115" t="n">
        <v>2255</v>
      </c>
      <c r="C2186" s="115" t="inlineStr">
        <is>
          <t>SELİM İNŞAAT</t>
        </is>
      </c>
      <c r="D2186" s="115" t="inlineStr">
        <is>
          <t>34 FBR 742</t>
        </is>
      </c>
      <c r="E2186" s="115" t="inlineStr">
        <is>
          <t>ADNAN KOÇ</t>
        </is>
      </c>
      <c r="F2186" s="115" t="n">
        <v>380486</v>
      </c>
      <c r="G2186" s="156" t="n"/>
      <c r="H2186" s="152" t="n">
        <v>304</v>
      </c>
      <c r="I2186" s="156" t="n"/>
      <c r="J2186" s="90" t="n"/>
      <c r="K2186" s="166" t="n"/>
      <c r="L2186" s="158" t="n"/>
      <c r="M2186" s="159" t="n"/>
    </row>
    <row r="2187">
      <c r="A2187" s="114" t="n">
        <v>46177</v>
      </c>
      <c r="B2187" s="115" t="n">
        <v>2256</v>
      </c>
      <c r="C2187" s="115" t="inlineStr">
        <is>
          <t>SELİM İNŞAAT</t>
        </is>
      </c>
      <c r="D2187" s="115" t="inlineStr">
        <is>
          <t>34 FBR 742</t>
        </is>
      </c>
      <c r="E2187" s="115" t="inlineStr">
        <is>
          <t>ADNAN KOÇ</t>
        </is>
      </c>
      <c r="F2187" s="115" t="n">
        <v>381034</v>
      </c>
      <c r="G2187" s="156" t="n"/>
      <c r="H2187" s="152" t="n">
        <v>429</v>
      </c>
      <c r="I2187" s="156" t="n"/>
      <c r="J2187" s="90" t="n"/>
      <c r="K2187" s="166" t="n"/>
      <c r="L2187" s="158" t="n"/>
      <c r="M2187" s="159" t="n"/>
    </row>
    <row r="2188">
      <c r="A2188" s="114" t="n">
        <v>46179</v>
      </c>
      <c r="B2188" s="115" t="n">
        <v>2257</v>
      </c>
      <c r="C2188" s="115" t="inlineStr">
        <is>
          <t>SELİM İNŞAAT</t>
        </is>
      </c>
      <c r="D2188" s="115" t="inlineStr">
        <is>
          <t>34 FBR 742</t>
        </is>
      </c>
      <c r="E2188" s="115" t="inlineStr">
        <is>
          <t>ADNAN KOÇ</t>
        </is>
      </c>
      <c r="F2188" s="115" t="n">
        <v>381864</v>
      </c>
      <c r="G2188" s="156" t="n"/>
      <c r="H2188" s="152" t="n">
        <v>541</v>
      </c>
      <c r="I2188" s="156" t="n"/>
      <c r="J2188" s="90" t="n"/>
      <c r="K2188" s="166" t="n"/>
      <c r="L2188" s="158" t="n"/>
      <c r="M2188" s="159" t="n"/>
    </row>
    <row r="2189">
      <c r="A2189" s="114" t="n">
        <v>46183</v>
      </c>
      <c r="B2189" s="115" t="n">
        <v>2258</v>
      </c>
      <c r="C2189" s="115" t="inlineStr">
        <is>
          <t>SELİM İNŞAAT</t>
        </is>
      </c>
      <c r="D2189" s="115" t="inlineStr">
        <is>
          <t>34 FBR 742</t>
        </is>
      </c>
      <c r="E2189" s="115" t="inlineStr">
        <is>
          <t>ADNAN KOÇ</t>
        </is>
      </c>
      <c r="F2189" s="115" t="n">
        <v>382334</v>
      </c>
      <c r="G2189" s="156" t="n"/>
      <c r="H2189" s="152" t="n">
        <v>385</v>
      </c>
      <c r="I2189" s="156" t="n"/>
      <c r="J2189" s="90" t="n"/>
      <c r="K2189" s="166" t="n"/>
      <c r="L2189" s="158" t="n"/>
      <c r="M2189" s="159" t="n"/>
    </row>
    <row r="2190">
      <c r="A2190" s="114" t="n">
        <v>46183</v>
      </c>
      <c r="B2190" s="115" t="n">
        <v>2259</v>
      </c>
      <c r="C2190" s="115" t="inlineStr">
        <is>
          <t>SELİM İNŞAAT</t>
        </is>
      </c>
      <c r="D2190" s="115" t="inlineStr">
        <is>
          <t>34 FBR 742</t>
        </is>
      </c>
      <c r="E2190" s="115" t="inlineStr">
        <is>
          <t>ADNAN KOÇ</t>
        </is>
      </c>
      <c r="F2190" s="115" t="n">
        <v>382710</v>
      </c>
      <c r="G2190" s="156" t="n"/>
      <c r="H2190" s="152" t="n">
        <v>257</v>
      </c>
      <c r="I2190" s="156" t="n"/>
      <c r="J2190" s="90" t="n"/>
      <c r="K2190" s="166" t="n"/>
      <c r="L2190" s="158" t="n"/>
      <c r="M2190" s="159" t="n"/>
    </row>
    <row r="2191">
      <c r="A2191" s="114" t="n">
        <v>46184</v>
      </c>
      <c r="B2191" s="115" t="n">
        <v>2260</v>
      </c>
      <c r="C2191" s="115" t="inlineStr">
        <is>
          <t>SELİM İNŞAAT</t>
        </is>
      </c>
      <c r="D2191" s="115" t="inlineStr">
        <is>
          <t>34 FBR 742</t>
        </is>
      </c>
      <c r="E2191" s="115" t="inlineStr">
        <is>
          <t>ADNAN KOÇ</t>
        </is>
      </c>
      <c r="F2191" s="115" t="n">
        <v>383063</v>
      </c>
      <c r="G2191" s="156" t="n"/>
      <c r="H2191" s="152" t="n">
        <v>200</v>
      </c>
      <c r="I2191" s="156" t="n"/>
      <c r="J2191" s="90" t="n"/>
      <c r="K2191" s="166" t="n"/>
      <c r="L2191" s="158" t="n"/>
      <c r="M2191" s="159" t="n"/>
    </row>
    <row r="2192">
      <c r="A2192" s="114" t="n">
        <v>46186</v>
      </c>
      <c r="B2192" s="115" t="n">
        <v>2261</v>
      </c>
      <c r="C2192" s="115" t="inlineStr">
        <is>
          <t>SELİM İNŞAAT</t>
        </is>
      </c>
      <c r="D2192" s="115" t="inlineStr">
        <is>
          <t>34 FBR 742</t>
        </is>
      </c>
      <c r="E2192" s="115" t="inlineStr">
        <is>
          <t>ADNAN KOÇ</t>
        </is>
      </c>
      <c r="F2192" s="115" t="n">
        <v>383480</v>
      </c>
      <c r="G2192" s="156" t="n"/>
      <c r="H2192" s="152" t="n">
        <v>313</v>
      </c>
      <c r="I2192" s="156" t="n"/>
      <c r="J2192" s="90" t="n"/>
      <c r="K2192" s="166" t="n"/>
      <c r="L2192" s="158" t="n"/>
      <c r="M2192" s="159" t="n"/>
    </row>
    <row r="2193">
      <c r="A2193" s="114" t="n">
        <v>46188</v>
      </c>
      <c r="B2193" s="115" t="n">
        <v>2262</v>
      </c>
      <c r="C2193" s="115" t="inlineStr">
        <is>
          <t>SELİM İNŞAAT</t>
        </is>
      </c>
      <c r="D2193" s="115" t="inlineStr">
        <is>
          <t>34 FBR 742</t>
        </is>
      </c>
      <c r="E2193" s="115" t="inlineStr">
        <is>
          <t>ADNAN KOÇ</t>
        </is>
      </c>
      <c r="F2193" s="115" t="n">
        <v>384223</v>
      </c>
      <c r="G2193" s="156" t="n"/>
      <c r="H2193" s="152" t="n">
        <v>490</v>
      </c>
      <c r="I2193" s="156" t="n"/>
      <c r="J2193" s="90" t="n"/>
      <c r="K2193" s="166" t="n"/>
      <c r="L2193" s="158" t="n"/>
      <c r="M2193" s="159" t="n"/>
    </row>
    <row r="2194">
      <c r="A2194" s="114" t="n">
        <v>46174</v>
      </c>
      <c r="B2194" s="115" t="n">
        <v>871</v>
      </c>
      <c r="C2194" s="115" t="inlineStr">
        <is>
          <t>SELİM İNŞAAT</t>
        </is>
      </c>
      <c r="D2194" s="115" t="inlineStr">
        <is>
          <t>34 EGR 922</t>
        </is>
      </c>
      <c r="E2194" s="115" t="inlineStr">
        <is>
          <t>FARUK ÖZEN</t>
        </is>
      </c>
      <c r="F2194" s="115" t="n">
        <v>519561</v>
      </c>
      <c r="G2194" s="156" t="n"/>
      <c r="H2194" s="152" t="n">
        <v>540</v>
      </c>
      <c r="I2194" s="156" t="n"/>
      <c r="J2194" s="90" t="n"/>
      <c r="K2194" s="166" t="n"/>
      <c r="L2194" s="158" t="n"/>
      <c r="M2194" s="159" t="n"/>
    </row>
    <row r="2195">
      <c r="A2195" s="114" t="n">
        <v>46176</v>
      </c>
      <c r="B2195" s="115" t="n">
        <v>872</v>
      </c>
      <c r="C2195" s="115" t="inlineStr">
        <is>
          <t>SELİM İNŞAAT</t>
        </is>
      </c>
      <c r="D2195" s="115" t="inlineStr">
        <is>
          <t>34 EGR 922</t>
        </is>
      </c>
      <c r="E2195" s="115" t="inlineStr">
        <is>
          <t>FARUK ÖZEN</t>
        </is>
      </c>
      <c r="F2195" s="115" t="n">
        <v>520331</v>
      </c>
      <c r="G2195" s="156" t="n"/>
      <c r="H2195" s="152" t="n">
        <v>533</v>
      </c>
      <c r="I2195" s="156" t="n"/>
      <c r="J2195" s="90" t="n"/>
      <c r="K2195" s="166" t="n"/>
      <c r="L2195" s="158" t="n"/>
      <c r="M2195" s="159" t="n"/>
    </row>
    <row r="2196">
      <c r="A2196" s="114" t="n">
        <v>46179</v>
      </c>
      <c r="B2196" s="115" t="n">
        <v>873</v>
      </c>
      <c r="C2196" s="115" t="inlineStr">
        <is>
          <t>SELİM İNŞAAT</t>
        </is>
      </c>
      <c r="D2196" s="115" t="inlineStr">
        <is>
          <t>34 EGR 922</t>
        </is>
      </c>
      <c r="E2196" s="115" t="inlineStr">
        <is>
          <t>FARUK ÖZEN</t>
        </is>
      </c>
      <c r="F2196" s="115" t="n">
        <v>521000</v>
      </c>
      <c r="G2196" s="156" t="n"/>
      <c r="H2196" s="152" t="n">
        <v>507</v>
      </c>
      <c r="I2196" s="156" t="n"/>
      <c r="J2196" s="90" t="n"/>
      <c r="K2196" s="166" t="n"/>
      <c r="L2196" s="158" t="n"/>
      <c r="M2196" s="159" t="n"/>
    </row>
    <row r="2197">
      <c r="A2197" s="114" t="n">
        <v>46181</v>
      </c>
      <c r="B2197" s="115" t="n">
        <v>874</v>
      </c>
      <c r="C2197" s="115" t="inlineStr">
        <is>
          <t>SELİM İNŞAAT</t>
        </is>
      </c>
      <c r="D2197" s="115" t="inlineStr">
        <is>
          <t>34 EGR 922</t>
        </is>
      </c>
      <c r="E2197" s="115" t="inlineStr">
        <is>
          <t>FARUK ÖZEN</t>
        </is>
      </c>
      <c r="F2197" s="115" t="n">
        <v>521490</v>
      </c>
      <c r="G2197" s="156" t="n"/>
      <c r="H2197" s="152" t="n">
        <v>493</v>
      </c>
      <c r="I2197" s="156" t="n"/>
      <c r="J2197" s="90" t="n"/>
      <c r="K2197" s="166" t="n"/>
      <c r="L2197" s="158" t="n"/>
      <c r="M2197" s="159" t="n"/>
    </row>
    <row r="2198">
      <c r="A2198" s="114" t="n">
        <v>46184</v>
      </c>
      <c r="B2198" s="115" t="n">
        <v>875</v>
      </c>
      <c r="C2198" s="115" t="inlineStr">
        <is>
          <t>SELİM İNŞAAT</t>
        </is>
      </c>
      <c r="D2198" s="115" t="inlineStr">
        <is>
          <t>34 EGR 922</t>
        </is>
      </c>
      <c r="E2198" s="115" t="inlineStr">
        <is>
          <t>FARUK ÖZEN</t>
        </is>
      </c>
      <c r="F2198" s="115" t="n">
        <v>522100</v>
      </c>
      <c r="G2198" s="156" t="n"/>
      <c r="H2198" s="152" t="n">
        <v>489</v>
      </c>
      <c r="I2198" s="156" t="n"/>
      <c r="J2198" s="90" t="n"/>
      <c r="K2198" s="166" t="n"/>
      <c r="L2198" s="158" t="n"/>
      <c r="M2198" s="159" t="n"/>
    </row>
    <row r="2199">
      <c r="A2199" s="114" t="n">
        <v>46186</v>
      </c>
      <c r="B2199" s="115" t="n">
        <v>876</v>
      </c>
      <c r="C2199" s="115" t="inlineStr">
        <is>
          <t>SELİM İNŞAAT</t>
        </is>
      </c>
      <c r="D2199" s="115" t="inlineStr">
        <is>
          <t>34 EGR 922</t>
        </is>
      </c>
      <c r="E2199" s="115" t="inlineStr">
        <is>
          <t>FARUK ÖZEN</t>
        </is>
      </c>
      <c r="F2199" s="115" t="n">
        <v>522746</v>
      </c>
      <c r="G2199" s="156" t="n"/>
      <c r="H2199" s="152" t="n">
        <v>545</v>
      </c>
      <c r="I2199" s="156" t="n"/>
      <c r="J2199" s="90" t="n"/>
      <c r="K2199" s="166" t="n"/>
      <c r="L2199" s="158" t="n"/>
      <c r="M2199" s="159" t="n"/>
    </row>
    <row r="2200">
      <c r="A2200" s="114" t="n">
        <v>46174</v>
      </c>
      <c r="B2200" s="115" t="n">
        <v>1713</v>
      </c>
      <c r="C2200" s="115" t="inlineStr">
        <is>
          <t>SELİM İNŞAAT</t>
        </is>
      </c>
      <c r="D2200" s="115" t="inlineStr">
        <is>
          <t>34 EDC 162</t>
        </is>
      </c>
      <c r="E2200" s="115" t="inlineStr">
        <is>
          <t>YAKUP GÜNER</t>
        </is>
      </c>
      <c r="F2200" s="115" t="n">
        <v>429553</v>
      </c>
      <c r="G2200" s="156" t="n"/>
      <c r="H2200" s="152" t="n">
        <v>420</v>
      </c>
      <c r="I2200" s="156" t="n"/>
      <c r="J2200" s="90" t="n"/>
      <c r="K2200" s="166" t="n"/>
      <c r="L2200" s="158" t="n"/>
      <c r="M2200" s="159" t="n"/>
    </row>
    <row r="2201">
      <c r="A2201" s="114" t="n">
        <v>46175</v>
      </c>
      <c r="B2201" s="115" t="n">
        <v>1714</v>
      </c>
      <c r="C2201" s="115" t="inlineStr">
        <is>
          <t>SELİM İNŞAAT</t>
        </is>
      </c>
      <c r="D2201" s="115" t="inlineStr">
        <is>
          <t>34 EDC 162</t>
        </is>
      </c>
      <c r="E2201" s="115" t="inlineStr">
        <is>
          <t>YAKUP GÜNER</t>
        </is>
      </c>
      <c r="F2201" s="115" t="n">
        <v>430295</v>
      </c>
      <c r="G2201" s="156" t="n"/>
      <c r="H2201" s="152" t="n">
        <v>513</v>
      </c>
      <c r="I2201" s="156" t="n"/>
      <c r="J2201" s="90" t="n"/>
      <c r="K2201" s="166" t="n"/>
      <c r="L2201" s="158" t="n"/>
      <c r="M2201" s="159" t="n"/>
    </row>
    <row r="2202">
      <c r="A2202" s="114" t="n">
        <v>46177</v>
      </c>
      <c r="B2202" s="115" t="n">
        <v>1715</v>
      </c>
      <c r="C2202" s="115" t="inlineStr">
        <is>
          <t>SELİM İNŞAAT</t>
        </is>
      </c>
      <c r="D2202" s="115" t="inlineStr">
        <is>
          <t>34 EDC 162</t>
        </is>
      </c>
      <c r="E2202" s="115" t="inlineStr">
        <is>
          <t>YAKUP GÜNER</t>
        </is>
      </c>
      <c r="F2202" s="115" t="n">
        <v>430951</v>
      </c>
      <c r="G2202" s="156" t="n"/>
      <c r="H2202" s="152" t="n">
        <v>483</v>
      </c>
      <c r="I2202" s="156" t="n"/>
      <c r="J2202" s="90" t="n"/>
      <c r="K2202" s="166" t="n"/>
      <c r="L2202" s="158" t="n"/>
      <c r="M2202" s="159" t="n"/>
    </row>
    <row r="2203">
      <c r="A2203" s="114" t="n">
        <v>46179</v>
      </c>
      <c r="B2203" s="115" t="n">
        <v>1716</v>
      </c>
      <c r="C2203" s="115" t="inlineStr">
        <is>
          <t>SELİM İNŞAAT</t>
        </is>
      </c>
      <c r="D2203" s="115" t="inlineStr">
        <is>
          <t>34 EDC 162</t>
        </is>
      </c>
      <c r="E2203" s="115" t="inlineStr">
        <is>
          <t>YAKUP GÜNER</t>
        </is>
      </c>
      <c r="F2203" s="115" t="n">
        <v>431580</v>
      </c>
      <c r="G2203" s="156" t="n"/>
      <c r="H2203" s="152" t="n">
        <v>467</v>
      </c>
      <c r="I2203" s="156" t="n"/>
      <c r="J2203" s="90" t="n"/>
      <c r="K2203" s="166" t="n"/>
      <c r="L2203" s="158" t="n"/>
      <c r="M2203" s="159" t="n"/>
    </row>
    <row r="2204">
      <c r="A2204" s="114" t="n">
        <v>46183</v>
      </c>
      <c r="B2204" s="115" t="n">
        <v>1717</v>
      </c>
      <c r="C2204" s="115" t="inlineStr">
        <is>
          <t>SELİM İNŞAAT</t>
        </is>
      </c>
      <c r="D2204" s="115" t="inlineStr">
        <is>
          <t>34 EDC 162</t>
        </is>
      </c>
      <c r="E2204" s="115" t="inlineStr">
        <is>
          <t>YAKUP GÜNER</t>
        </is>
      </c>
      <c r="F2204" s="115" t="n">
        <v>432338</v>
      </c>
      <c r="G2204" s="156" t="n"/>
      <c r="H2204" s="152" t="n">
        <v>500</v>
      </c>
      <c r="I2204" s="156" t="n"/>
      <c r="J2204" s="90" t="n"/>
      <c r="K2204" s="166" t="n"/>
      <c r="L2204" s="158" t="n"/>
      <c r="M2204" s="159" t="n"/>
    </row>
    <row r="2205">
      <c r="A2205" s="114" t="n">
        <v>46185</v>
      </c>
      <c r="B2205" s="115" t="n">
        <v>1718</v>
      </c>
      <c r="C2205" s="115" t="inlineStr">
        <is>
          <t>SELİM İNŞAAT</t>
        </is>
      </c>
      <c r="D2205" s="115" t="inlineStr">
        <is>
          <t>34 EDC 162</t>
        </is>
      </c>
      <c r="E2205" s="115" t="inlineStr">
        <is>
          <t>YAKUP GÜNER</t>
        </is>
      </c>
      <c r="F2205" s="115" t="n">
        <v>432911</v>
      </c>
      <c r="G2205" s="156" t="n"/>
      <c r="H2205" s="152" t="n">
        <v>393</v>
      </c>
      <c r="I2205" s="156" t="n"/>
      <c r="J2205" s="90" t="n"/>
      <c r="K2205" s="166" t="n"/>
      <c r="L2205" s="158" t="n"/>
      <c r="M2205" s="159" t="n"/>
    </row>
    <row r="2206">
      <c r="A2206" s="114" t="n">
        <v>46188</v>
      </c>
      <c r="B2206" s="115" t="n">
        <v>1719</v>
      </c>
      <c r="C2206" s="115" t="inlineStr">
        <is>
          <t>SELİM İNŞAAT</t>
        </is>
      </c>
      <c r="D2206" s="115" t="inlineStr">
        <is>
          <t>34 EDC 162</t>
        </is>
      </c>
      <c r="E2206" s="115" t="inlineStr">
        <is>
          <t>YAKUP GÜNER</t>
        </is>
      </c>
      <c r="F2206" s="115" t="n">
        <v>433549</v>
      </c>
      <c r="G2206" s="156" t="n"/>
      <c r="H2206" s="152" t="n">
        <v>459</v>
      </c>
      <c r="I2206" s="156" t="n"/>
      <c r="J2206" s="90" t="n"/>
      <c r="K2206" s="166" t="n"/>
      <c r="L2206" s="158" t="n"/>
      <c r="M2206" s="159" t="n"/>
    </row>
    <row r="2207">
      <c r="A2207" s="114" t="n">
        <v>46174</v>
      </c>
      <c r="B2207" s="115" t="n">
        <v>964</v>
      </c>
      <c r="C2207" s="115" t="inlineStr">
        <is>
          <t>SELİM İNŞAAT</t>
        </is>
      </c>
      <c r="D2207" s="115" t="inlineStr">
        <is>
          <t>34 DSN 636</t>
        </is>
      </c>
      <c r="E2207" s="115" t="inlineStr">
        <is>
          <t>YAVUZ SELİMTAŞ</t>
        </is>
      </c>
      <c r="F2207" s="115" t="n">
        <v>442007</v>
      </c>
      <c r="G2207" s="156" t="n"/>
      <c r="H2207" s="152" t="n">
        <v>470</v>
      </c>
      <c r="I2207" s="156" t="n"/>
      <c r="J2207" s="90" t="n"/>
      <c r="K2207" s="166" t="n"/>
      <c r="L2207" s="158" t="n"/>
      <c r="M2207" s="159" t="n"/>
    </row>
    <row r="2208">
      <c r="A2208" s="114" t="n">
        <v>46176</v>
      </c>
      <c r="B2208" s="115" t="n">
        <v>965</v>
      </c>
      <c r="C2208" s="115" t="inlineStr">
        <is>
          <t>SELİM İNŞAAT</t>
        </is>
      </c>
      <c r="D2208" s="115" t="inlineStr">
        <is>
          <t>34 DSN 636</t>
        </is>
      </c>
      <c r="E2208" s="115" t="inlineStr">
        <is>
          <t>YAVUZ SELİMTAŞ</t>
        </is>
      </c>
      <c r="F2208" s="115" t="n">
        <v>442640</v>
      </c>
      <c r="G2208" s="156" t="n"/>
      <c r="H2208" s="152" t="n">
        <v>382</v>
      </c>
      <c r="I2208" s="156" t="n"/>
      <c r="J2208" s="90" t="n"/>
      <c r="K2208" s="166" t="n"/>
      <c r="L2208" s="158" t="n"/>
      <c r="M2208" s="159" t="n"/>
    </row>
    <row r="2209">
      <c r="A2209" s="114" t="n">
        <v>46177</v>
      </c>
      <c r="B2209" s="115" t="n">
        <v>966</v>
      </c>
      <c r="C2209" s="115" t="inlineStr">
        <is>
          <t>SELİM İNŞAAT</t>
        </is>
      </c>
      <c r="D2209" s="115" t="inlineStr">
        <is>
          <t>34 DSN 636</t>
        </is>
      </c>
      <c r="E2209" s="115" t="inlineStr">
        <is>
          <t>YAVUZ SELİMTAŞ</t>
        </is>
      </c>
      <c r="F2209" s="115" t="n">
        <v>442987</v>
      </c>
      <c r="G2209" s="156" t="n"/>
      <c r="H2209" s="152" t="n">
        <v>337</v>
      </c>
      <c r="I2209" s="156" t="n"/>
      <c r="J2209" s="90" t="n"/>
      <c r="K2209" s="166" t="n"/>
      <c r="L2209" s="158" t="n"/>
      <c r="M2209" s="159" t="n"/>
    </row>
    <row r="2210">
      <c r="A2210" s="114" t="n">
        <v>46179</v>
      </c>
      <c r="B2210" s="115" t="n">
        <v>967</v>
      </c>
      <c r="C2210" s="115" t="inlineStr">
        <is>
          <t>SELİM İNŞAAT</t>
        </is>
      </c>
      <c r="D2210" s="115" t="inlineStr">
        <is>
          <t>34 DSN 636</t>
        </is>
      </c>
      <c r="E2210" s="115" t="inlineStr">
        <is>
          <t>YAVUZ SELİMTAŞ</t>
        </is>
      </c>
      <c r="F2210" s="115" t="n">
        <v>443681</v>
      </c>
      <c r="G2210" s="156" t="n"/>
      <c r="H2210" s="152" t="n">
        <v>497</v>
      </c>
      <c r="I2210" s="156" t="n"/>
      <c r="J2210" s="90" t="n"/>
      <c r="K2210" s="166" t="n"/>
      <c r="L2210" s="158" t="n"/>
      <c r="M2210" s="159" t="n"/>
    </row>
    <row r="2211">
      <c r="A2211" s="114" t="n">
        <v>46181</v>
      </c>
      <c r="B2211" s="115" t="n">
        <v>968</v>
      </c>
      <c r="C2211" s="115" t="inlineStr">
        <is>
          <t>SELİM İNŞAAT</t>
        </is>
      </c>
      <c r="D2211" s="115" t="inlineStr">
        <is>
          <t>34 DSN 636</t>
        </is>
      </c>
      <c r="E2211" s="115" t="inlineStr">
        <is>
          <t>YAVUZ SELİMTAŞ</t>
        </is>
      </c>
      <c r="F2211" s="115" t="n">
        <v>443957</v>
      </c>
      <c r="G2211" s="156" t="n"/>
      <c r="H2211" s="152" t="n">
        <v>278</v>
      </c>
      <c r="I2211" s="156" t="n"/>
      <c r="J2211" s="90" t="n"/>
      <c r="K2211" s="166" t="n"/>
      <c r="L2211" s="158">
        <f>+H2211*J2211</f>
        <v/>
      </c>
      <c r="M2211" s="159">
        <f>SUM(M2015+K2211-L2211)</f>
        <v/>
      </c>
    </row>
    <row r="2212">
      <c r="A2212" s="114" t="n">
        <v>46183</v>
      </c>
      <c r="B2212" s="115" t="n">
        <v>969</v>
      </c>
      <c r="C2212" s="115" t="inlineStr">
        <is>
          <t>SELİM İNŞAAT</t>
        </is>
      </c>
      <c r="D2212" s="115" t="inlineStr">
        <is>
          <t>34 DSN 636</t>
        </is>
      </c>
      <c r="E2212" s="115" t="inlineStr">
        <is>
          <t>YAVUZ SELİMTAŞ</t>
        </is>
      </c>
      <c r="F2212" s="115" t="n">
        <v>444369</v>
      </c>
      <c r="G2212" s="156" t="n"/>
      <c r="H2212" s="152" t="n">
        <v>358</v>
      </c>
      <c r="I2212" s="156" t="n"/>
      <c r="J2212" s="90" t="n"/>
      <c r="K2212" s="166" t="n"/>
      <c r="L2212" s="158">
        <f>+H2212*J2212</f>
        <v/>
      </c>
      <c r="M2212" s="159">
        <f>SUM(M2211+K2212-L2212)</f>
        <v/>
      </c>
    </row>
    <row r="2213">
      <c r="A2213" s="114" t="n">
        <v>46185</v>
      </c>
      <c r="B2213" s="115" t="n">
        <v>970</v>
      </c>
      <c r="C2213" s="115" t="inlineStr">
        <is>
          <t>SELİM İNŞAAT</t>
        </is>
      </c>
      <c r="D2213" s="115" t="inlineStr">
        <is>
          <t>34 DSN 636</t>
        </is>
      </c>
      <c r="E2213" s="115" t="inlineStr">
        <is>
          <t>YAVUZ SELİMTAŞ</t>
        </is>
      </c>
      <c r="F2213" s="115" t="n">
        <v>444936</v>
      </c>
      <c r="G2213" s="156" t="n"/>
      <c r="H2213" s="152" t="n">
        <v>484</v>
      </c>
      <c r="I2213" s="156" t="n"/>
      <c r="J2213" s="90" t="n"/>
      <c r="K2213" s="166" t="n"/>
      <c r="L2213" s="158">
        <f>+H2213*J2213</f>
        <v/>
      </c>
      <c r="M2213" s="159">
        <f>SUM(M2212+K2213-L2213)</f>
        <v/>
      </c>
    </row>
    <row r="2214">
      <c r="A2214" s="114" t="n">
        <v>46174</v>
      </c>
      <c r="B2214" s="115" t="n">
        <v>4100</v>
      </c>
      <c r="C2214" s="115" t="inlineStr">
        <is>
          <t>SELİM İNŞAAT</t>
        </is>
      </c>
      <c r="D2214" s="115" t="inlineStr">
        <is>
          <t>34 FBR 771</t>
        </is>
      </c>
      <c r="E2214" s="115" t="inlineStr">
        <is>
          <t>SALİH YALÇIN</t>
        </is>
      </c>
      <c r="F2214" s="115" t="n">
        <v>364100</v>
      </c>
      <c r="G2214" s="156" t="n"/>
      <c r="H2214" s="152" t="n">
        <v>445</v>
      </c>
      <c r="I2214" s="156" t="n"/>
      <c r="J2214" s="90" t="n"/>
      <c r="K2214" s="166" t="n"/>
      <c r="L2214" s="158">
        <f>+H2214*J2214</f>
        <v/>
      </c>
      <c r="M2214" s="159">
        <f>SUM(M2213+K2214-L2214)</f>
        <v/>
      </c>
    </row>
    <row r="2215">
      <c r="A2215" s="114" t="n">
        <v>46176</v>
      </c>
      <c r="B2215" s="115" t="n">
        <v>173</v>
      </c>
      <c r="C2215" s="115" t="inlineStr">
        <is>
          <t>SELİM İNŞAAT</t>
        </is>
      </c>
      <c r="D2215" s="115" t="inlineStr">
        <is>
          <t>34 FBR 771</t>
        </is>
      </c>
      <c r="E2215" s="115" t="inlineStr">
        <is>
          <t>SALİH YALÇIN</t>
        </is>
      </c>
      <c r="F2215" s="115" t="n">
        <v>364565</v>
      </c>
      <c r="G2215" s="156" t="n"/>
      <c r="H2215" s="152" t="n">
        <v>490</v>
      </c>
      <c r="I2215" s="156" t="n"/>
      <c r="J2215" s="90" t="n"/>
      <c r="K2215" s="166" t="n"/>
      <c r="L2215" s="158">
        <f>+H2215*J2215</f>
        <v/>
      </c>
      <c r="M2215" s="159" t="n"/>
    </row>
    <row r="2216">
      <c r="A2216" s="114" t="n">
        <v>46177</v>
      </c>
      <c r="B2216" s="115" t="n">
        <v>174</v>
      </c>
      <c r="C2216" s="115" t="inlineStr">
        <is>
          <t>SELİM İNŞAAT</t>
        </is>
      </c>
      <c r="D2216" s="115" t="inlineStr">
        <is>
          <t>34 FBR 771</t>
        </is>
      </c>
      <c r="E2216" s="115" t="inlineStr">
        <is>
          <t>SALİH YALÇIN</t>
        </is>
      </c>
      <c r="F2216" s="115" t="n">
        <v>364926</v>
      </c>
      <c r="G2216" s="156" t="n"/>
      <c r="H2216" s="152" t="n">
        <v>334</v>
      </c>
      <c r="I2216" s="156" t="n"/>
      <c r="J2216" s="90" t="n"/>
      <c r="K2216" s="166" t="n"/>
      <c r="L2216" s="158">
        <f>+H2216*J2216</f>
        <v/>
      </c>
      <c r="M2216" s="159" t="n"/>
    </row>
    <row r="2217">
      <c r="A2217" s="114" t="n">
        <v>46181</v>
      </c>
      <c r="B2217" s="115" t="n">
        <v>175</v>
      </c>
      <c r="C2217" s="115" t="inlineStr">
        <is>
          <t>SELİM İNŞAAT</t>
        </is>
      </c>
      <c r="D2217" s="115" t="inlineStr">
        <is>
          <t>34 FBR 771</t>
        </is>
      </c>
      <c r="E2217" s="115" t="inlineStr">
        <is>
          <t>SALİH YALÇIN</t>
        </is>
      </c>
      <c r="F2217" s="115" t="n">
        <v>365674</v>
      </c>
      <c r="G2217" s="156" t="n"/>
      <c r="H2217" s="152" t="n">
        <v>475</v>
      </c>
      <c r="I2217" s="156" t="n"/>
      <c r="J2217" s="90" t="n"/>
      <c r="K2217" s="166" t="n"/>
      <c r="L2217" s="158">
        <f>+H2217*J2217</f>
        <v/>
      </c>
      <c r="M2217" s="159" t="n"/>
    </row>
    <row r="2218">
      <c r="A2218" s="114" t="n">
        <v>46183</v>
      </c>
      <c r="B2218" s="115" t="n">
        <v>176</v>
      </c>
      <c r="C2218" s="115" t="inlineStr">
        <is>
          <t>SELİM İNŞAAT</t>
        </is>
      </c>
      <c r="D2218" s="115" t="inlineStr">
        <is>
          <t>34 FBR 771</t>
        </is>
      </c>
      <c r="E2218" s="115" t="inlineStr">
        <is>
          <t>SALİH YALÇIN</t>
        </is>
      </c>
      <c r="F2218" s="115" t="n">
        <v>366477</v>
      </c>
      <c r="G2218" s="156" t="n"/>
      <c r="H2218" s="152" t="n">
        <v>488</v>
      </c>
      <c r="I2218" s="156" t="n"/>
      <c r="J2218" s="90" t="n"/>
      <c r="K2218" s="166" t="n"/>
      <c r="L2218" s="158">
        <f>+H2218*J2218</f>
        <v/>
      </c>
      <c r="M2218" s="159" t="n"/>
    </row>
    <row r="2219">
      <c r="A2219" s="114" t="n">
        <v>46185</v>
      </c>
      <c r="B2219" s="115" t="n">
        <v>177</v>
      </c>
      <c r="C2219" s="115" t="inlineStr">
        <is>
          <t>SELİM İNŞAAT</t>
        </is>
      </c>
      <c r="D2219" s="115" t="inlineStr">
        <is>
          <t>34 FBR 771</t>
        </is>
      </c>
      <c r="E2219" s="115" t="inlineStr">
        <is>
          <t>SALİH YALÇIN</t>
        </is>
      </c>
      <c r="F2219" s="115" t="n">
        <v>366976</v>
      </c>
      <c r="G2219" s="156" t="n"/>
      <c r="H2219" s="152" t="n">
        <v>350</v>
      </c>
      <c r="I2219" s="156" t="n"/>
      <c r="J2219" s="90" t="n"/>
      <c r="K2219" s="166" t="n"/>
      <c r="L2219" s="158">
        <f>+H2219*J2219</f>
        <v/>
      </c>
      <c r="M2219" s="159" t="n"/>
    </row>
    <row r="2220">
      <c r="A2220" s="114" t="n">
        <v>46188</v>
      </c>
      <c r="B2220" s="115" t="n">
        <v>178</v>
      </c>
      <c r="C2220" s="115" t="inlineStr">
        <is>
          <t>SELİM İNŞAAT</t>
        </is>
      </c>
      <c r="D2220" s="115" t="inlineStr">
        <is>
          <t>34 FBR 771</t>
        </is>
      </c>
      <c r="E2220" s="115" t="inlineStr">
        <is>
          <t>SALİH YALÇIN</t>
        </is>
      </c>
      <c r="F2220" s="115" t="n">
        <v>367728</v>
      </c>
      <c r="G2220" s="156" t="n"/>
      <c r="H2220" s="152" t="n">
        <v>468</v>
      </c>
      <c r="I2220" s="156" t="n"/>
      <c r="J2220" s="90" t="n"/>
      <c r="K2220" s="166" t="n"/>
      <c r="L2220" s="158">
        <f>+H2220*J2220</f>
        <v/>
      </c>
      <c r="M2220" s="159" t="n"/>
    </row>
    <row r="2221">
      <c r="A2221" s="114" t="n">
        <v>46174</v>
      </c>
      <c r="B2221" s="115" t="n">
        <v>5012</v>
      </c>
      <c r="C2221" s="115" t="inlineStr">
        <is>
          <t>SELİM İNŞAAT</t>
        </is>
      </c>
      <c r="D2221" s="115" t="inlineStr">
        <is>
          <t>34 EDB 754</t>
        </is>
      </c>
      <c r="E2221" s="115" t="inlineStr">
        <is>
          <t>AZİZ ORUÇ</t>
        </is>
      </c>
      <c r="F2221" s="115" t="n">
        <v>384020</v>
      </c>
      <c r="G2221" s="156" t="n"/>
      <c r="H2221" s="152" t="n">
        <v>439</v>
      </c>
      <c r="I2221" s="156" t="n"/>
      <c r="J2221" s="90" t="n"/>
      <c r="K2221" s="166" t="n"/>
      <c r="L2221" s="158">
        <f>+H2221*J2221</f>
        <v/>
      </c>
      <c r="M2221" s="159" t="n"/>
    </row>
    <row r="2222">
      <c r="A2222" s="114" t="n">
        <v>46175</v>
      </c>
      <c r="B2222" s="115" t="n">
        <v>1460</v>
      </c>
      <c r="C2222" s="115" t="inlineStr">
        <is>
          <t>SELİM İNŞAAT</t>
        </is>
      </c>
      <c r="D2222" s="115" t="inlineStr">
        <is>
          <t>34 EDB 754</t>
        </is>
      </c>
      <c r="E2222" s="115" t="inlineStr">
        <is>
          <t>AZİZ ORUÇ</t>
        </is>
      </c>
      <c r="F2222" s="115" t="n">
        <v>384343</v>
      </c>
      <c r="G2222" s="156" t="n"/>
      <c r="H2222" s="152" t="n">
        <v>410</v>
      </c>
      <c r="I2222" s="156" t="n"/>
      <c r="J2222" s="90" t="n"/>
      <c r="K2222" s="166" t="n"/>
      <c r="L2222" s="158">
        <f>+H2222*J2222</f>
        <v/>
      </c>
      <c r="M2222" s="159" t="n"/>
    </row>
    <row r="2223">
      <c r="A2223" s="114" t="n">
        <v>46177</v>
      </c>
      <c r="B2223" s="115" t="n">
        <v>1461</v>
      </c>
      <c r="C2223" s="115" t="inlineStr">
        <is>
          <t>SELİM İNŞAAT</t>
        </is>
      </c>
      <c r="D2223" s="115" t="inlineStr">
        <is>
          <t>34 EDB 754</t>
        </is>
      </c>
      <c r="E2223" s="115" t="inlineStr">
        <is>
          <t>AZİZ ORUÇ</t>
        </is>
      </c>
      <c r="F2223" s="115" t="n">
        <v>385084</v>
      </c>
      <c r="G2223" s="156" t="n"/>
      <c r="H2223" s="152" t="n">
        <v>529</v>
      </c>
      <c r="I2223" s="156" t="n"/>
      <c r="J2223" s="90" t="n"/>
      <c r="K2223" s="166" t="n"/>
      <c r="L2223" s="158">
        <f>+H2223*J2223</f>
        <v/>
      </c>
      <c r="M2223" s="159" t="n"/>
    </row>
    <row r="2224">
      <c r="A2224" s="114" t="n">
        <v>46179</v>
      </c>
      <c r="B2224" s="115" t="n">
        <v>1462</v>
      </c>
      <c r="C2224" s="115" t="inlineStr">
        <is>
          <t>SELİM İNŞAAT</t>
        </is>
      </c>
      <c r="D2224" s="115" t="inlineStr">
        <is>
          <t>34 EDB 754</t>
        </is>
      </c>
      <c r="E2224" s="115" t="inlineStr">
        <is>
          <t>AZİZ ORUÇ</t>
        </is>
      </c>
      <c r="F2224" s="115" t="n">
        <v>385446</v>
      </c>
      <c r="G2224" s="156" t="n"/>
      <c r="H2224" s="152" t="n">
        <v>342</v>
      </c>
      <c r="I2224" s="156" t="n"/>
      <c r="J2224" s="90" t="n"/>
      <c r="K2224" s="166" t="n"/>
      <c r="L2224" s="158">
        <f>+H2224*J2224</f>
        <v/>
      </c>
      <c r="M2224" s="159" t="n"/>
    </row>
    <row r="2225">
      <c r="A2225" s="114" t="n">
        <v>46181</v>
      </c>
      <c r="B2225" s="115" t="n">
        <v>1463</v>
      </c>
      <c r="C2225" s="115" t="inlineStr">
        <is>
          <t>SELİM İNŞAAT</t>
        </is>
      </c>
      <c r="D2225" s="115" t="inlineStr">
        <is>
          <t>34 EDB 754</t>
        </is>
      </c>
      <c r="E2225" s="115" t="inlineStr">
        <is>
          <t>AZİZ ORUÇ</t>
        </is>
      </c>
      <c r="F2225" s="115" t="n">
        <v>385909</v>
      </c>
      <c r="G2225" s="156" t="n"/>
      <c r="H2225" s="152" t="n">
        <v>363</v>
      </c>
      <c r="I2225" s="156" t="n"/>
      <c r="J2225" s="90" t="n"/>
      <c r="K2225" s="166" t="n"/>
      <c r="L2225" s="158">
        <f>+H2225*J2225</f>
        <v/>
      </c>
      <c r="M2225" s="159" t="n"/>
    </row>
    <row r="2226">
      <c r="A2226" s="114" t="n">
        <v>46183</v>
      </c>
      <c r="B2226" s="115" t="n">
        <v>1464</v>
      </c>
      <c r="C2226" s="115" t="inlineStr">
        <is>
          <t>SELİM İNŞAAT</t>
        </is>
      </c>
      <c r="D2226" s="115" t="inlineStr">
        <is>
          <t>34 EDB 754</t>
        </is>
      </c>
      <c r="E2226" s="115" t="inlineStr">
        <is>
          <t>AZİZ ORUÇ</t>
        </is>
      </c>
      <c r="F2226" s="115" t="n">
        <v>386394</v>
      </c>
      <c r="G2226" s="156" t="n"/>
      <c r="H2226" s="152" t="n">
        <v>421</v>
      </c>
      <c r="I2226" s="156" t="n"/>
      <c r="J2226" s="90" t="n"/>
      <c r="K2226" s="166" t="n"/>
      <c r="L2226" s="158">
        <f>+H2226*J2226</f>
        <v/>
      </c>
      <c r="M2226" s="159" t="n"/>
    </row>
    <row r="2227">
      <c r="A2227" s="114" t="n">
        <v>46184</v>
      </c>
      <c r="B2227" s="115" t="n">
        <v>1465</v>
      </c>
      <c r="C2227" s="115" t="inlineStr">
        <is>
          <t>SELİM İNŞAAT</t>
        </is>
      </c>
      <c r="D2227" s="115" t="inlineStr">
        <is>
          <t>34 EDB 754</t>
        </is>
      </c>
      <c r="E2227" s="115" t="inlineStr">
        <is>
          <t>AZİZ ORUÇ</t>
        </is>
      </c>
      <c r="F2227" s="115" t="n">
        <v>386927</v>
      </c>
      <c r="G2227" s="156" t="n"/>
      <c r="H2227" s="152" t="n">
        <v>390</v>
      </c>
      <c r="I2227" s="156" t="n"/>
      <c r="J2227" s="90" t="n"/>
      <c r="K2227" s="166" t="n"/>
      <c r="L2227" s="158">
        <f>+H2227*J2227</f>
        <v/>
      </c>
      <c r="M2227" s="159" t="n"/>
    </row>
    <row r="2228">
      <c r="A2228" s="114" t="n">
        <v>46186</v>
      </c>
      <c r="B2228" s="115" t="n">
        <v>1466</v>
      </c>
      <c r="C2228" s="115" t="inlineStr">
        <is>
          <t>SELİM İNŞAAT</t>
        </is>
      </c>
      <c r="D2228" s="115" t="inlineStr">
        <is>
          <t>34 EDB 754</t>
        </is>
      </c>
      <c r="E2228" s="115" t="inlineStr">
        <is>
          <t>AZİZ ORUÇ</t>
        </is>
      </c>
      <c r="F2228" s="115" t="n">
        <v>387417</v>
      </c>
      <c r="G2228" s="156" t="n"/>
      <c r="H2228" s="152" t="n">
        <v>360</v>
      </c>
      <c r="I2228" s="156" t="n"/>
      <c r="J2228" s="90" t="n"/>
      <c r="K2228" s="166" t="n"/>
      <c r="L2228" s="158">
        <f>+H2228*J2228</f>
        <v/>
      </c>
      <c r="M2228" s="159" t="n"/>
    </row>
    <row r="2229">
      <c r="A2229" s="114" t="n">
        <v>46174</v>
      </c>
      <c r="B2229" s="115" t="n">
        <v>529</v>
      </c>
      <c r="C2229" s="115" t="inlineStr">
        <is>
          <t>SELİM İNŞAAT</t>
        </is>
      </c>
      <c r="D2229" s="115" t="inlineStr">
        <is>
          <t>34 EGR 737</t>
        </is>
      </c>
      <c r="E2229" s="115" t="inlineStr">
        <is>
          <t>CEM MUHTAR</t>
        </is>
      </c>
      <c r="F2229" s="115" t="n">
        <v>470070</v>
      </c>
      <c r="G2229" s="156" t="n"/>
      <c r="H2229" s="152" t="n">
        <v>323</v>
      </c>
      <c r="I2229" s="156" t="n"/>
      <c r="J2229" s="90" t="n"/>
      <c r="K2229" s="166" t="n"/>
      <c r="L2229" s="158">
        <f>+H2229*J2229</f>
        <v/>
      </c>
      <c r="M2229" s="159" t="n"/>
    </row>
    <row r="2230">
      <c r="A2230" s="114" t="n">
        <v>46175</v>
      </c>
      <c r="B2230" s="115" t="n">
        <v>530</v>
      </c>
      <c r="C2230" s="115" t="inlineStr">
        <is>
          <t>SELİM İNŞAAT</t>
        </is>
      </c>
      <c r="D2230" s="115" t="inlineStr">
        <is>
          <t>34 EGR 737</t>
        </is>
      </c>
      <c r="E2230" s="115" t="inlineStr">
        <is>
          <t>CEM MUHTAR</t>
        </is>
      </c>
      <c r="F2230" s="115" t="n">
        <v>470801</v>
      </c>
      <c r="G2230" s="156" t="n"/>
      <c r="H2230" s="152" t="n">
        <v>452</v>
      </c>
      <c r="I2230" s="156" t="n"/>
      <c r="J2230" s="90" t="n"/>
      <c r="K2230" s="166" t="n"/>
      <c r="L2230" s="158">
        <f>+H2230*J2230</f>
        <v/>
      </c>
      <c r="M2230" s="159" t="n"/>
    </row>
    <row r="2231">
      <c r="A2231" s="114" t="n">
        <v>46176</v>
      </c>
      <c r="B2231" s="115" t="n">
        <v>531</v>
      </c>
      <c r="C2231" s="115" t="inlineStr">
        <is>
          <t>SELİM İNŞAAT</t>
        </is>
      </c>
      <c r="D2231" s="115" t="inlineStr">
        <is>
          <t>34 EGR 737</t>
        </is>
      </c>
      <c r="E2231" s="115" t="inlineStr">
        <is>
          <t>CEM MUHTAR</t>
        </is>
      </c>
      <c r="F2231" s="115" t="n">
        <v>470922</v>
      </c>
      <c r="G2231" s="156" t="n"/>
      <c r="H2231" s="152" t="n">
        <v>260</v>
      </c>
      <c r="I2231" s="156" t="n"/>
      <c r="J2231" s="90" t="n"/>
      <c r="K2231" s="166" t="n"/>
      <c r="L2231" s="158">
        <f>+H2231*J2231</f>
        <v/>
      </c>
      <c r="M2231" s="159" t="n"/>
    </row>
    <row r="2232">
      <c r="A2232" s="114" t="n">
        <v>46179</v>
      </c>
      <c r="B2232" s="115" t="n">
        <v>532</v>
      </c>
      <c r="C2232" s="115" t="inlineStr">
        <is>
          <t>SELİM İNŞAAT</t>
        </is>
      </c>
      <c r="D2232" s="115" t="inlineStr">
        <is>
          <t>34 EGR 737</t>
        </is>
      </c>
      <c r="E2232" s="115" t="inlineStr">
        <is>
          <t>CEM MUHTAR</t>
        </is>
      </c>
      <c r="F2232" s="115" t="n">
        <v>471535</v>
      </c>
      <c r="G2232" s="156" t="n"/>
      <c r="H2232" s="152" t="n">
        <v>493</v>
      </c>
      <c r="I2232" s="156" t="n"/>
      <c r="J2232" s="90" t="n"/>
      <c r="K2232" s="166" t="n"/>
      <c r="L2232" s="158">
        <f>+H2232*J2232</f>
        <v/>
      </c>
      <c r="M2232" s="159" t="n"/>
    </row>
    <row r="2233">
      <c r="A2233" s="114" t="n">
        <v>46181</v>
      </c>
      <c r="B2233" s="115" t="n">
        <v>533</v>
      </c>
      <c r="C2233" s="115" t="inlineStr">
        <is>
          <t>SELİM İNŞAAT</t>
        </is>
      </c>
      <c r="D2233" s="115" t="inlineStr">
        <is>
          <t>34 EGR 737</t>
        </is>
      </c>
      <c r="E2233" s="115" t="inlineStr">
        <is>
          <t>CEM MUHTAR</t>
        </is>
      </c>
      <c r="F2233" s="115" t="n">
        <v>471988</v>
      </c>
      <c r="G2233" s="156" t="n"/>
      <c r="H2233" s="152" t="n">
        <v>349</v>
      </c>
      <c r="I2233" s="156" t="n"/>
      <c r="J2233" s="90" t="n"/>
      <c r="K2233" s="166" t="n"/>
      <c r="L2233" s="158">
        <f>+H2233*J2233</f>
        <v/>
      </c>
      <c r="M2233" s="159" t="n"/>
    </row>
    <row r="2234">
      <c r="A2234" s="114" t="n">
        <v>46184</v>
      </c>
      <c r="B2234" s="115" t="n">
        <v>534</v>
      </c>
      <c r="C2234" s="115" t="inlineStr">
        <is>
          <t>SELİM İNŞAAT</t>
        </is>
      </c>
      <c r="D2234" s="115" t="inlineStr">
        <is>
          <t>34 EGR 737</t>
        </is>
      </c>
      <c r="E2234" s="115" t="inlineStr">
        <is>
          <t>CEM MUHTAR</t>
        </is>
      </c>
      <c r="F2234" s="115" t="n">
        <v>432610</v>
      </c>
      <c r="G2234" s="156" t="n"/>
      <c r="H2234" s="152" t="n">
        <v>455</v>
      </c>
      <c r="I2234" s="156" t="n"/>
      <c r="J2234" s="90" t="n"/>
      <c r="K2234" s="166" t="n"/>
      <c r="L2234" s="158">
        <f>+H2234*J2234</f>
        <v/>
      </c>
      <c r="M2234" s="159" t="n"/>
    </row>
    <row r="2235">
      <c r="A2235" s="114" t="n">
        <v>46185</v>
      </c>
      <c r="B2235" s="115" t="n">
        <v>535</v>
      </c>
      <c r="C2235" s="115" t="inlineStr">
        <is>
          <t>SELİM İNŞAAT</t>
        </is>
      </c>
      <c r="D2235" s="115" t="inlineStr">
        <is>
          <t>34 EGR 737</t>
        </is>
      </c>
      <c r="E2235" s="115" t="inlineStr">
        <is>
          <t>CEM MUHTAR</t>
        </is>
      </c>
      <c r="F2235" s="115" t="n">
        <v>433091</v>
      </c>
      <c r="G2235" s="156" t="n"/>
      <c r="H2235" s="152" t="n">
        <v>406</v>
      </c>
      <c r="I2235" s="156" t="n"/>
      <c r="J2235" s="90" t="n"/>
      <c r="K2235" s="166" t="n"/>
      <c r="L2235" s="158">
        <f>+H2235*J2235</f>
        <v/>
      </c>
      <c r="M2235" s="159">
        <f>SUM(M2214+K2235-L2235)</f>
        <v/>
      </c>
    </row>
    <row r="2236">
      <c r="A2236" s="114" t="n">
        <v>46188</v>
      </c>
      <c r="B2236" s="115" t="n">
        <v>536</v>
      </c>
      <c r="C2236" s="115" t="inlineStr">
        <is>
          <t>SELİM İNŞAAT</t>
        </is>
      </c>
      <c r="D2236" s="115" t="inlineStr">
        <is>
          <t>34 EGR 737</t>
        </is>
      </c>
      <c r="E2236" s="115" t="inlineStr">
        <is>
          <t>CEM MUHTAR</t>
        </is>
      </c>
      <c r="F2236" s="115" t="n">
        <v>473472</v>
      </c>
      <c r="G2236" s="156" t="n"/>
      <c r="H2236" s="152" t="n">
        <v>347</v>
      </c>
      <c r="I2236" s="156" t="n"/>
      <c r="J2236" s="90" t="n"/>
      <c r="K2236" s="166" t="n"/>
      <c r="L2236" s="158">
        <f>+H2236*J2236</f>
        <v/>
      </c>
      <c r="M2236" s="159">
        <f>SUM(M2235+K2236-L2236)</f>
        <v/>
      </c>
    </row>
    <row r="2237">
      <c r="A2237" s="114" t="n">
        <v>46174</v>
      </c>
      <c r="B2237" s="115" t="n">
        <v>1284</v>
      </c>
      <c r="C2237" s="115" t="inlineStr">
        <is>
          <t>ENES SELİM</t>
        </is>
      </c>
      <c r="D2237" s="115" t="inlineStr">
        <is>
          <t>34 TB 926</t>
        </is>
      </c>
      <c r="E2237" s="115" t="inlineStr">
        <is>
          <t>ENES SELİM</t>
        </is>
      </c>
      <c r="F2237" s="115" t="n"/>
      <c r="G2237" s="156" t="n"/>
      <c r="H2237" s="152" t="n">
        <v>240</v>
      </c>
      <c r="I2237" s="156" t="n"/>
      <c r="J2237" s="90" t="n"/>
      <c r="K2237" s="166" t="n"/>
      <c r="L2237" s="158">
        <f>+H2237*J2237</f>
        <v/>
      </c>
      <c r="M2237" s="159" t="n"/>
    </row>
    <row r="2238">
      <c r="A2238" s="114" t="n">
        <v>46176</v>
      </c>
      <c r="B2238" s="115" t="n">
        <v>1285</v>
      </c>
      <c r="C2238" s="115" t="inlineStr">
        <is>
          <t>AHMET SELİM TEMHA</t>
        </is>
      </c>
      <c r="D2238" s="115" t="inlineStr">
        <is>
          <t>34 PGT 251</t>
        </is>
      </c>
      <c r="E2238" s="115" t="inlineStr">
        <is>
          <t>TURGAY ÇIPLAK</t>
        </is>
      </c>
      <c r="F2238" s="115" t="n"/>
      <c r="G2238" s="156" t="n"/>
      <c r="H2238" s="152" t="n">
        <v>51</v>
      </c>
      <c r="I2238" s="156" t="n"/>
      <c r="J2238" s="90" t="n"/>
      <c r="K2238" s="166" t="n"/>
      <c r="L2238" s="158">
        <f>+H2238*J2238</f>
        <v/>
      </c>
      <c r="M2238" s="159" t="n"/>
    </row>
    <row r="2239">
      <c r="A2239" s="114" t="n">
        <v>46177</v>
      </c>
      <c r="B2239" s="115" t="n">
        <v>1286</v>
      </c>
      <c r="C2239" s="115" t="inlineStr">
        <is>
          <t>AHMET SELİM TEMHA</t>
        </is>
      </c>
      <c r="D2239" s="115" t="inlineStr">
        <is>
          <t>34 PGT 251</t>
        </is>
      </c>
      <c r="E2239" s="115" t="inlineStr">
        <is>
          <t>TURGAY ÇIPLAK</t>
        </is>
      </c>
      <c r="F2239" s="115" t="n"/>
      <c r="G2239" s="156" t="n"/>
      <c r="H2239" s="152" t="n">
        <v>32</v>
      </c>
      <c r="I2239" s="156" t="n"/>
      <c r="J2239" s="90" t="n"/>
      <c r="K2239" s="166" t="n"/>
      <c r="L2239" s="158">
        <f>+H2239*J2239</f>
        <v/>
      </c>
      <c r="M2239" s="159" t="n"/>
    </row>
    <row r="2240">
      <c r="A2240" s="114" t="n">
        <v>46181</v>
      </c>
      <c r="B2240" s="115" t="n">
        <v>1287</v>
      </c>
      <c r="C2240" s="115" t="inlineStr">
        <is>
          <t>AHMET SELİM TEMHA</t>
        </is>
      </c>
      <c r="D2240" s="115" t="inlineStr">
        <is>
          <t>34 PGT 251</t>
        </is>
      </c>
      <c r="E2240" s="115" t="inlineStr">
        <is>
          <t>ERSOY SIĞINMAZ</t>
        </is>
      </c>
      <c r="F2240" s="115" t="n"/>
      <c r="G2240" s="156" t="n"/>
      <c r="H2240" s="152" t="n">
        <v>54</v>
      </c>
      <c r="I2240" s="156" t="n"/>
      <c r="J2240" s="90" t="n"/>
      <c r="K2240" s="166" t="n"/>
      <c r="L2240" s="158">
        <f>+H2240*J2240</f>
        <v/>
      </c>
      <c r="M2240" s="159" t="n"/>
    </row>
    <row r="2241">
      <c r="A2241" s="114" t="n">
        <v>46181</v>
      </c>
      <c r="B2241" s="115" t="n">
        <v>1288</v>
      </c>
      <c r="C2241" s="115" t="inlineStr">
        <is>
          <t>AHMET SELİM TEMHA</t>
        </is>
      </c>
      <c r="D2241" s="115" t="inlineStr">
        <is>
          <t>FORKLİF</t>
        </is>
      </c>
      <c r="E2241" s="115" t="inlineStr">
        <is>
          <t>ERSOY SIĞINMAZ</t>
        </is>
      </c>
      <c r="F2241" s="115" t="n"/>
      <c r="G2241" s="156" t="n"/>
      <c r="H2241" s="152" t="n">
        <v>97</v>
      </c>
      <c r="I2241" s="156" t="n"/>
      <c r="J2241" s="90" t="n"/>
      <c r="K2241" s="166" t="n"/>
      <c r="L2241" s="158">
        <f>+H2241*J2241</f>
        <v/>
      </c>
      <c r="M2241" s="159" t="n"/>
    </row>
    <row r="2242">
      <c r="A2242" s="114" t="n">
        <v>46177</v>
      </c>
      <c r="B2242" s="115" t="n">
        <v>1289</v>
      </c>
      <c r="C2242" s="115" t="inlineStr">
        <is>
          <t>SELİM İNŞAAT</t>
        </is>
      </c>
      <c r="D2242" s="115" t="inlineStr">
        <is>
          <t>34 FVU 827</t>
        </is>
      </c>
      <c r="E2242" s="115" t="inlineStr">
        <is>
          <t>YILMAZ ÇELEBİ</t>
        </is>
      </c>
      <c r="F2242" s="115" t="n"/>
      <c r="G2242" s="156" t="n"/>
      <c r="H2242" s="152" t="n">
        <v>40</v>
      </c>
      <c r="I2242" s="156" t="n"/>
      <c r="J2242" s="90" t="n"/>
      <c r="K2242" s="166" t="n"/>
      <c r="L2242" s="158">
        <f>+H2242*J2242</f>
        <v/>
      </c>
      <c r="M2242" s="159" t="n"/>
    </row>
    <row r="2243">
      <c r="A2243" s="114" t="n">
        <v>46183</v>
      </c>
      <c r="B2243" s="115" t="n">
        <v>1290</v>
      </c>
      <c r="C2243" s="115" t="inlineStr">
        <is>
          <t>AHMET SELİM TEMHA</t>
        </is>
      </c>
      <c r="D2243" s="115" t="inlineStr">
        <is>
          <t>34 PGT 251</t>
        </is>
      </c>
      <c r="E2243" s="115" t="inlineStr">
        <is>
          <t>ERSOY SIĞINMAZ</t>
        </is>
      </c>
      <c r="F2243" s="115" t="n"/>
      <c r="G2243" s="156" t="n"/>
      <c r="H2243" s="152" t="n">
        <v>31</v>
      </c>
      <c r="I2243" s="156" t="n"/>
      <c r="J2243" s="90" t="n"/>
      <c r="K2243" s="166" t="n"/>
      <c r="L2243" s="158">
        <f>+H2243*J2243</f>
        <v/>
      </c>
      <c r="M2243" s="159" t="n"/>
    </row>
    <row r="2244">
      <c r="A2244" s="114" t="n">
        <v>46183</v>
      </c>
      <c r="B2244" s="115" t="n">
        <v>1291</v>
      </c>
      <c r="C2244" s="115" t="inlineStr">
        <is>
          <t>MAHMUT VİNÇ</t>
        </is>
      </c>
      <c r="D2244" s="115" t="inlineStr">
        <is>
          <t>34 AH 5401</t>
        </is>
      </c>
      <c r="E2244" s="115" t="inlineStr">
        <is>
          <t>YASİN DEMİR</t>
        </is>
      </c>
      <c r="F2244" s="115" t="n"/>
      <c r="G2244" s="156" t="n"/>
      <c r="H2244" s="152" t="n">
        <v>70</v>
      </c>
      <c r="I2244" s="156" t="n"/>
      <c r="J2244" s="90" t="n"/>
      <c r="K2244" s="166" t="n"/>
      <c r="L2244" s="158">
        <f>+H2244*J2244</f>
        <v/>
      </c>
      <c r="M2244" s="159" t="n"/>
    </row>
    <row r="2245">
      <c r="A2245" s="114" t="n">
        <v>46183</v>
      </c>
      <c r="B2245" s="115" t="n">
        <v>1292</v>
      </c>
      <c r="C2245" s="115" t="inlineStr">
        <is>
          <t>RECEP SELİM OTO KURTARICI</t>
        </is>
      </c>
      <c r="D2245" s="115" t="inlineStr">
        <is>
          <t>34 GC 8658</t>
        </is>
      </c>
      <c r="E2245" s="115" t="inlineStr">
        <is>
          <t>RECEP SELİM</t>
        </is>
      </c>
      <c r="F2245" s="115" t="n"/>
      <c r="G2245" s="156" t="n"/>
      <c r="H2245" s="152" t="n">
        <v>67</v>
      </c>
      <c r="I2245" s="156" t="n"/>
      <c r="J2245" s="90" t="n"/>
      <c r="K2245" s="166" t="n"/>
      <c r="L2245" s="158">
        <f>+H2245*J2245</f>
        <v/>
      </c>
      <c r="M2245" s="159" t="n"/>
    </row>
    <row r="2246">
      <c r="A2246" s="114" t="n">
        <v>46184</v>
      </c>
      <c r="B2246" s="115" t="n">
        <v>1293</v>
      </c>
      <c r="C2246" s="115" t="inlineStr">
        <is>
          <t>AHMET SELİM TEMHA</t>
        </is>
      </c>
      <c r="D2246" s="115" t="inlineStr">
        <is>
          <t>34 PGT 251</t>
        </is>
      </c>
      <c r="E2246" s="115" t="inlineStr">
        <is>
          <t>ERSOY SIĞINMAZ</t>
        </is>
      </c>
      <c r="F2246" s="115" t="n"/>
      <c r="G2246" s="156" t="n"/>
      <c r="H2246" s="152" t="n">
        <v>31</v>
      </c>
      <c r="I2246" s="156" t="n"/>
      <c r="J2246" s="90" t="n"/>
      <c r="K2246" s="166" t="n"/>
      <c r="L2246" s="158">
        <f>+H2246*J2246</f>
        <v/>
      </c>
      <c r="M2246" s="159" t="n"/>
    </row>
    <row r="2247">
      <c r="A2247" s="114" t="n">
        <v>46185</v>
      </c>
      <c r="B2247" s="115" t="n">
        <v>1294</v>
      </c>
      <c r="C2247" s="115" t="inlineStr">
        <is>
          <t>ENES SELİM</t>
        </is>
      </c>
      <c r="D2247" s="115" t="inlineStr">
        <is>
          <t>34 TB 926</t>
        </is>
      </c>
      <c r="E2247" s="115" t="inlineStr">
        <is>
          <t>ENES SELİM</t>
        </is>
      </c>
      <c r="F2247" s="115" t="n"/>
      <c r="G2247" s="156" t="n"/>
      <c r="H2247" s="152" t="n">
        <v>246</v>
      </c>
      <c r="I2247" s="156" t="n"/>
      <c r="J2247" s="90" t="n"/>
      <c r="K2247" s="166" t="n"/>
      <c r="L2247" s="158">
        <f>+H2247*J2247</f>
        <v/>
      </c>
      <c r="M2247" s="159" t="n"/>
    </row>
    <row r="2248">
      <c r="A2248" s="114" t="n">
        <v>46188</v>
      </c>
      <c r="B2248" s="115" t="n">
        <v>1295</v>
      </c>
      <c r="C2248" s="115" t="inlineStr">
        <is>
          <t>AHMET SELİM TEMHA</t>
        </is>
      </c>
      <c r="D2248" s="115" t="inlineStr">
        <is>
          <t>34 PGT 251</t>
        </is>
      </c>
      <c r="E2248" s="115" t="inlineStr">
        <is>
          <t>ERSOY SIĞINMAZ</t>
        </is>
      </c>
      <c r="F2248" s="115" t="n"/>
      <c r="G2248" s="156" t="n"/>
      <c r="H2248" s="152" t="n">
        <v>52</v>
      </c>
      <c r="I2248" s="156" t="n"/>
      <c r="J2248" s="90" t="n"/>
      <c r="K2248" s="166" t="n"/>
      <c r="L2248" s="158">
        <f>+H2248*J2248</f>
        <v/>
      </c>
      <c r="M2248" s="159" t="n"/>
    </row>
    <row r="2249">
      <c r="A2249" s="114" t="n">
        <v>46183</v>
      </c>
      <c r="B2249" s="115" t="n">
        <v>2907</v>
      </c>
      <c r="C2249" s="115" t="inlineStr">
        <is>
          <t>HASAN ZEMİN</t>
        </is>
      </c>
      <c r="D2249" s="115" t="inlineStr">
        <is>
          <t>KAZIK MAKİNASI</t>
        </is>
      </c>
      <c r="E2249" s="115" t="n"/>
      <c r="F2249" s="115" t="n"/>
      <c r="G2249" s="156" t="n"/>
      <c r="H2249" s="152" t="n">
        <v>250</v>
      </c>
      <c r="I2249" s="156" t="n"/>
      <c r="J2249" s="90" t="n"/>
      <c r="K2249" s="166" t="n"/>
      <c r="L2249" s="158">
        <f>+H2249*J2249</f>
        <v/>
      </c>
      <c r="M2249" s="159" t="n"/>
    </row>
    <row r="2250">
      <c r="A2250" s="114" t="n">
        <v>46184</v>
      </c>
      <c r="B2250" s="115" t="n">
        <v>2908</v>
      </c>
      <c r="C2250" s="115" t="inlineStr">
        <is>
          <t>HASAN ZEMİN</t>
        </is>
      </c>
      <c r="D2250" s="115" t="inlineStr">
        <is>
          <t>KAZIK MAKİNASI</t>
        </is>
      </c>
      <c r="E2250" s="115" t="n"/>
      <c r="F2250" s="115" t="n"/>
      <c r="G2250" s="156" t="n"/>
      <c r="H2250" s="152" t="n">
        <v>450</v>
      </c>
      <c r="I2250" s="156" t="n"/>
      <c r="J2250" s="90" t="n"/>
      <c r="K2250" s="166" t="n"/>
      <c r="L2250" s="158">
        <f>+H2250*J2250</f>
        <v/>
      </c>
      <c r="M2250" s="159" t="n"/>
    </row>
    <row r="2251">
      <c r="A2251" s="114" t="n">
        <v>46187</v>
      </c>
      <c r="B2251" s="115" t="n">
        <v>2909</v>
      </c>
      <c r="C2251" s="115" t="inlineStr">
        <is>
          <t>HASAN ZEMİN</t>
        </is>
      </c>
      <c r="D2251" s="115" t="inlineStr">
        <is>
          <t>KAZIK MAKİNASI</t>
        </is>
      </c>
      <c r="E2251" s="115" t="n"/>
      <c r="F2251" s="115" t="n"/>
      <c r="G2251" s="156" t="n"/>
      <c r="H2251" s="152" t="n">
        <v>382</v>
      </c>
      <c r="I2251" s="156" t="n"/>
      <c r="J2251" s="90" t="n"/>
      <c r="K2251" s="166" t="n"/>
      <c r="L2251" s="158">
        <f>+H2251*J2251</f>
        <v/>
      </c>
      <c r="M2251" s="159" t="n"/>
    </row>
    <row r="2252">
      <c r="A2252" s="114" t="n">
        <v>46188</v>
      </c>
      <c r="B2252" s="115" t="n">
        <v>2910</v>
      </c>
      <c r="C2252" s="115" t="inlineStr">
        <is>
          <t>HASAN ZEMİN</t>
        </is>
      </c>
      <c r="D2252" s="115" t="inlineStr">
        <is>
          <t>KAZIK MAKİNASI</t>
        </is>
      </c>
      <c r="E2252" s="115" t="n"/>
      <c r="F2252" s="115" t="n"/>
      <c r="G2252" s="156" t="n"/>
      <c r="H2252" s="152" t="n">
        <v>293</v>
      </c>
      <c r="I2252" s="156" t="n"/>
      <c r="J2252" s="90" t="n"/>
      <c r="K2252" s="166" t="n"/>
      <c r="L2252" s="158">
        <f>+H2252*J2252</f>
        <v/>
      </c>
      <c r="M2252" s="159" t="n"/>
    </row>
    <row r="2253">
      <c r="A2253" s="114" t="n">
        <v>46184</v>
      </c>
      <c r="B2253" s="115" t="n">
        <v>1782</v>
      </c>
      <c r="C2253" s="115" t="inlineStr">
        <is>
          <t>SELİM İNŞAAT</t>
        </is>
      </c>
      <c r="D2253" s="115" t="inlineStr">
        <is>
          <t>34 JBA 25</t>
        </is>
      </c>
      <c r="E2253" s="115" t="inlineStr">
        <is>
          <t>BAYRAM</t>
        </is>
      </c>
      <c r="F2253" s="115" t="n">
        <v>351851</v>
      </c>
      <c r="G2253" s="156" t="n"/>
      <c r="H2253" s="152" t="n">
        <v>62</v>
      </c>
      <c r="I2253" s="156" t="n"/>
      <c r="J2253" s="90" t="n"/>
      <c r="K2253" s="166" t="n"/>
      <c r="L2253" s="158">
        <f>+H2253*J2253</f>
        <v/>
      </c>
      <c r="M2253" s="159" t="n"/>
    </row>
    <row r="2254">
      <c r="A2254" s="114" t="n">
        <v>46174</v>
      </c>
      <c r="B2254" s="115" t="n">
        <v>1856</v>
      </c>
      <c r="C2254" s="115" t="inlineStr">
        <is>
          <t>SELİM İNŞAAT</t>
        </is>
      </c>
      <c r="D2254" s="115" t="inlineStr">
        <is>
          <t>34 GER 028</t>
        </is>
      </c>
      <c r="E2254" s="115" t="inlineStr">
        <is>
          <t>ABDULKERİM ERGEN</t>
        </is>
      </c>
      <c r="F2254" s="115" t="n">
        <v>64372</v>
      </c>
      <c r="G2254" s="156" t="n"/>
      <c r="H2254" s="152" t="n">
        <v>290</v>
      </c>
      <c r="I2254" s="156" t="n"/>
      <c r="J2254" s="90" t="n"/>
      <c r="K2254" s="166" t="n"/>
      <c r="L2254" s="158">
        <f>+H2254*J2254</f>
        <v/>
      </c>
      <c r="M2254" s="159" t="n"/>
    </row>
    <row r="2255">
      <c r="A2255" s="114" t="n">
        <v>46179</v>
      </c>
      <c r="B2255" s="115" t="n">
        <v>1857</v>
      </c>
      <c r="C2255" s="115" t="inlineStr">
        <is>
          <t>SELİM İNŞAAT</t>
        </is>
      </c>
      <c r="D2255" s="115" t="inlineStr">
        <is>
          <t>34 GER 028</t>
        </is>
      </c>
      <c r="E2255" s="115" t="inlineStr">
        <is>
          <t>ABDULKERİM ERGEN</t>
        </is>
      </c>
      <c r="F2255" s="115" t="n">
        <v>64662</v>
      </c>
      <c r="G2255" s="156" t="n"/>
      <c r="H2255" s="152" t="n">
        <v>281</v>
      </c>
      <c r="I2255" s="156" t="n"/>
      <c r="J2255" s="90" t="n"/>
      <c r="K2255" s="166" t="n"/>
      <c r="L2255" s="158">
        <f>+H2255*J2255</f>
        <v/>
      </c>
      <c r="M2255" s="159" t="n"/>
    </row>
    <row r="2256">
      <c r="A2256" s="114" t="n">
        <v>46182</v>
      </c>
      <c r="B2256" s="115" t="n">
        <v>1858</v>
      </c>
      <c r="C2256" s="115" t="inlineStr">
        <is>
          <t>SELİM İNŞAAT</t>
        </is>
      </c>
      <c r="D2256" s="115" t="inlineStr">
        <is>
          <t>34 GER 028</t>
        </is>
      </c>
      <c r="E2256" s="115" t="inlineStr">
        <is>
          <t>ABDULKERİM ERGEN</t>
        </is>
      </c>
      <c r="F2256" s="115" t="n">
        <v>64909</v>
      </c>
      <c r="G2256" s="156" t="n"/>
      <c r="H2256" s="152" t="n">
        <v>276</v>
      </c>
      <c r="I2256" s="156" t="n"/>
      <c r="J2256" s="90" t="n"/>
      <c r="K2256" s="166" t="n"/>
      <c r="L2256" s="158">
        <f>+H2256*J2256</f>
        <v/>
      </c>
      <c r="M2256" s="159" t="n"/>
    </row>
    <row r="2257">
      <c r="A2257" s="114" t="n">
        <v>46186</v>
      </c>
      <c r="B2257" s="115" t="n">
        <v>1859</v>
      </c>
      <c r="C2257" s="115" t="inlineStr">
        <is>
          <t>SELİM İNŞAAT</t>
        </is>
      </c>
      <c r="D2257" s="115" t="inlineStr">
        <is>
          <t>34 GER 028</t>
        </is>
      </c>
      <c r="E2257" s="115" t="inlineStr">
        <is>
          <t>ABDULKERİM ERGEN</t>
        </is>
      </c>
      <c r="F2257" s="115" t="n">
        <v>65222</v>
      </c>
      <c r="G2257" s="156" t="n"/>
      <c r="H2257" s="152" t="n">
        <v>293</v>
      </c>
      <c r="I2257" s="156" t="n"/>
      <c r="J2257" s="90" t="n"/>
      <c r="K2257" s="166" t="n"/>
      <c r="L2257" s="158">
        <f>+H2257*J2257</f>
        <v/>
      </c>
      <c r="M2257" s="159" t="n"/>
    </row>
    <row r="2258">
      <c r="A2258" s="114" t="n">
        <v>46174</v>
      </c>
      <c r="B2258" s="115" t="n">
        <v>1359</v>
      </c>
      <c r="C2258" s="115" t="inlineStr">
        <is>
          <t>SELİM İNŞAAT</t>
        </is>
      </c>
      <c r="D2258" s="115" t="inlineStr">
        <is>
          <t>34 DP 4161</t>
        </is>
      </c>
      <c r="E2258" s="115" t="inlineStr">
        <is>
          <t>RİFAT KARATAY</t>
        </is>
      </c>
      <c r="F2258" s="115" t="n">
        <v>323650</v>
      </c>
      <c r="G2258" s="156" t="n"/>
      <c r="H2258" s="152" t="n">
        <v>255</v>
      </c>
      <c r="I2258" s="156" t="n"/>
      <c r="J2258" s="90" t="n"/>
      <c r="K2258" s="166" t="n"/>
      <c r="L2258" s="158">
        <f>+H2258*J2258</f>
        <v/>
      </c>
      <c r="M2258" s="159" t="n"/>
    </row>
    <row r="2259">
      <c r="A2259" s="114" t="n">
        <v>46179</v>
      </c>
      <c r="B2259" s="115" t="n">
        <v>1360</v>
      </c>
      <c r="C2259" s="115" t="inlineStr">
        <is>
          <t>SELİM İNŞAAT</t>
        </is>
      </c>
      <c r="D2259" s="115" t="inlineStr">
        <is>
          <t>34 DP 4161</t>
        </is>
      </c>
      <c r="E2259" s="115" t="inlineStr">
        <is>
          <t>RİFAT KARATAY</t>
        </is>
      </c>
      <c r="F2259" s="115" t="n">
        <v>323876</v>
      </c>
      <c r="G2259" s="156" t="n"/>
      <c r="H2259" s="152" t="n">
        <v>278</v>
      </c>
      <c r="I2259" s="156" t="n"/>
      <c r="J2259" s="90" t="n"/>
      <c r="K2259" s="166" t="n"/>
      <c r="L2259" s="158">
        <f>+H2259*J2259</f>
        <v/>
      </c>
      <c r="M2259" s="159" t="n"/>
    </row>
    <row r="2260">
      <c r="A2260" s="114" t="n">
        <v>46182</v>
      </c>
      <c r="B2260" s="115" t="n">
        <v>1361</v>
      </c>
      <c r="C2260" s="115" t="inlineStr">
        <is>
          <t>SELİM İNŞAAT</t>
        </is>
      </c>
      <c r="D2260" s="115" t="inlineStr">
        <is>
          <t>34 DP 4161</t>
        </is>
      </c>
      <c r="E2260" s="115" t="inlineStr">
        <is>
          <t>RİFAT KARATAY</t>
        </is>
      </c>
      <c r="F2260" s="115" t="n">
        <v>324061</v>
      </c>
      <c r="G2260" s="156" t="n"/>
      <c r="H2260" s="152" t="n">
        <v>271</v>
      </c>
      <c r="I2260" s="156" t="n"/>
      <c r="J2260" s="90" t="n"/>
      <c r="K2260" s="166" t="n"/>
      <c r="L2260" s="158">
        <f>+H2260*J2260</f>
        <v/>
      </c>
      <c r="M2260" s="159" t="n"/>
    </row>
    <row r="2261">
      <c r="A2261" s="114" t="n">
        <v>46186</v>
      </c>
      <c r="B2261" s="115" t="n">
        <v>1362</v>
      </c>
      <c r="C2261" s="115" t="inlineStr">
        <is>
          <t>SELİM İNŞAAT</t>
        </is>
      </c>
      <c r="D2261" s="115" t="inlineStr">
        <is>
          <t>34 DP 4161</t>
        </is>
      </c>
      <c r="E2261" s="115" t="inlineStr">
        <is>
          <t>RİFAT KARATAY</t>
        </is>
      </c>
      <c r="F2261" s="115" t="n">
        <v>324313</v>
      </c>
      <c r="G2261" s="156" t="n"/>
      <c r="H2261" s="152" t="n">
        <v>297</v>
      </c>
      <c r="I2261" s="156" t="n"/>
      <c r="J2261" s="90" t="n"/>
      <c r="K2261" s="166" t="n"/>
      <c r="L2261" s="158">
        <f>+H2261*J2261</f>
        <v/>
      </c>
      <c r="M2261" s="159" t="n"/>
    </row>
    <row r="2262">
      <c r="A2262" s="114" t="n">
        <v>46189</v>
      </c>
      <c r="B2262" s="115" t="n">
        <v>1363</v>
      </c>
      <c r="C2262" s="115" t="inlineStr">
        <is>
          <t>SELİM İNŞAAT</t>
        </is>
      </c>
      <c r="D2262" s="115" t="inlineStr">
        <is>
          <t>34 DP 4161</t>
        </is>
      </c>
      <c r="E2262" s="115" t="inlineStr">
        <is>
          <t>RİFAT KARATAY</t>
        </is>
      </c>
      <c r="F2262" s="115" t="n">
        <v>324483</v>
      </c>
      <c r="G2262" s="156" t="n"/>
      <c r="H2262" s="152" t="n">
        <v>251</v>
      </c>
      <c r="I2262" s="156" t="n"/>
      <c r="J2262" s="90" t="n"/>
      <c r="K2262" s="166" t="n"/>
      <c r="L2262" s="158">
        <f>+H2262*J2262</f>
        <v/>
      </c>
      <c r="M2262" s="159" t="n"/>
    </row>
    <row r="2263">
      <c r="A2263" s="114" t="n">
        <v>46176</v>
      </c>
      <c r="B2263" s="115" t="n">
        <v>1646</v>
      </c>
      <c r="C2263" s="115" t="inlineStr">
        <is>
          <t>SELİM İNŞAAT</t>
        </is>
      </c>
      <c r="D2263" s="115" t="inlineStr">
        <is>
          <t>34 VF 2620</t>
        </is>
      </c>
      <c r="E2263" s="115" t="inlineStr">
        <is>
          <t>RECEP SELİM</t>
        </is>
      </c>
      <c r="F2263" s="115" t="n">
        <v>207484</v>
      </c>
      <c r="G2263" s="156" t="n"/>
      <c r="H2263" s="152" t="n">
        <v>79</v>
      </c>
      <c r="I2263" s="156" t="n"/>
      <c r="J2263" s="90" t="n"/>
      <c r="K2263" s="166" t="n"/>
      <c r="L2263" s="158">
        <f>+H2263*J2263</f>
        <v/>
      </c>
      <c r="M2263" s="159" t="n"/>
    </row>
    <row r="2264">
      <c r="A2264" s="114" t="n">
        <v>46180</v>
      </c>
      <c r="B2264" s="115" t="n">
        <v>1647</v>
      </c>
      <c r="C2264" s="115" t="inlineStr">
        <is>
          <t>SELİM İNŞAAT</t>
        </is>
      </c>
      <c r="D2264" s="115" t="inlineStr">
        <is>
          <t>34 VF 2620</t>
        </is>
      </c>
      <c r="E2264" s="115" t="inlineStr">
        <is>
          <t>RECEP SELİM</t>
        </is>
      </c>
      <c r="F2264" s="115" t="n">
        <v>207730</v>
      </c>
      <c r="G2264" s="156" t="n"/>
      <c r="H2264" s="152" t="n">
        <v>67</v>
      </c>
      <c r="I2264" s="156" t="n"/>
      <c r="J2264" s="90" t="n"/>
      <c r="K2264" s="166" t="n"/>
      <c r="L2264" s="158">
        <f>+H2264*J2264</f>
        <v/>
      </c>
      <c r="M2264" s="159" t="n"/>
    </row>
    <row r="2265">
      <c r="A2265" s="114" t="n">
        <v>46186</v>
      </c>
      <c r="B2265" s="115" t="n">
        <v>1648</v>
      </c>
      <c r="C2265" s="115" t="inlineStr">
        <is>
          <t>SELİM İNŞAAT</t>
        </is>
      </c>
      <c r="D2265" s="115" t="inlineStr">
        <is>
          <t>34 VF 2620</t>
        </is>
      </c>
      <c r="E2265" s="115" t="inlineStr">
        <is>
          <t>RECEP SELİM</t>
        </is>
      </c>
      <c r="F2265" s="115" t="n">
        <v>208188</v>
      </c>
      <c r="G2265" s="156" t="n"/>
      <c r="H2265" s="152" t="n">
        <v>73</v>
      </c>
      <c r="I2265" s="156" t="n"/>
      <c r="J2265" s="90" t="n"/>
      <c r="K2265" s="166" t="n"/>
      <c r="L2265" s="158">
        <f>+H2265*J2265</f>
        <v/>
      </c>
      <c r="M2265" s="159" t="n"/>
    </row>
    <row r="2266">
      <c r="A2266" s="114" t="n">
        <v>46174</v>
      </c>
      <c r="B2266" s="115" t="n">
        <v>564</v>
      </c>
      <c r="C2266" s="115" t="inlineStr">
        <is>
          <t>SELİM İNŞAAT</t>
        </is>
      </c>
      <c r="D2266" s="115" t="inlineStr">
        <is>
          <t>34 JGR 15</t>
        </is>
      </c>
      <c r="E2266" s="115" t="inlineStr">
        <is>
          <t>ÖNER DÜNDAR</t>
        </is>
      </c>
      <c r="F2266" s="115" t="n">
        <v>337054</v>
      </c>
      <c r="G2266" s="156" t="n"/>
      <c r="H2266" s="152" t="n">
        <v>82</v>
      </c>
      <c r="I2266" s="156" t="n"/>
      <c r="J2266" s="90" t="n"/>
      <c r="K2266" s="166" t="n"/>
      <c r="L2266" s="158">
        <f>+H2266*J2266</f>
        <v/>
      </c>
      <c r="M2266" s="159" t="n"/>
    </row>
    <row r="2267">
      <c r="A2267" s="114" t="n">
        <v>46181</v>
      </c>
      <c r="B2267" s="115" t="n">
        <v>565</v>
      </c>
      <c r="C2267" s="115" t="inlineStr">
        <is>
          <t>SELİM İNŞAAT</t>
        </is>
      </c>
      <c r="D2267" s="115" t="inlineStr">
        <is>
          <t>34 JGR 15</t>
        </is>
      </c>
      <c r="E2267" s="115" t="inlineStr">
        <is>
          <t>ÖNER DÜNDAR</t>
        </is>
      </c>
      <c r="F2267" s="115" t="n">
        <v>337644</v>
      </c>
      <c r="G2267" s="156" t="n"/>
      <c r="H2267" s="152" t="n">
        <v>99</v>
      </c>
      <c r="I2267" s="156" t="n"/>
      <c r="J2267" s="90" t="n"/>
      <c r="K2267" s="166" t="n"/>
      <c r="L2267" s="158">
        <f>+H2267*J2267</f>
        <v/>
      </c>
      <c r="M2267" s="159" t="n"/>
    </row>
    <row r="2268">
      <c r="A2268" s="114" t="n">
        <v>46184</v>
      </c>
      <c r="B2268" s="115" t="n">
        <v>566</v>
      </c>
      <c r="C2268" s="115" t="inlineStr">
        <is>
          <t>SELİM İNŞAAT</t>
        </is>
      </c>
      <c r="D2268" s="115" t="inlineStr">
        <is>
          <t>34 JGR 15</t>
        </is>
      </c>
      <c r="E2268" s="115" t="inlineStr">
        <is>
          <t>ÖNER DÜNDAR</t>
        </is>
      </c>
      <c r="F2268" s="115" t="n">
        <v>337940</v>
      </c>
      <c r="G2268" s="156" t="n"/>
      <c r="H2268" s="152" t="n">
        <v>65</v>
      </c>
      <c r="I2268" s="156" t="n"/>
      <c r="J2268" s="90" t="n"/>
      <c r="K2268" s="166" t="n"/>
      <c r="L2268" s="158">
        <f>+H2268*J2268</f>
        <v/>
      </c>
      <c r="M2268" s="159" t="n"/>
    </row>
    <row r="2269">
      <c r="A2269" s="114" t="n">
        <v>46176</v>
      </c>
      <c r="B2269" s="115" t="n">
        <v>672</v>
      </c>
      <c r="C2269" s="115" t="inlineStr">
        <is>
          <t>SELİM İNŞAAT</t>
        </is>
      </c>
      <c r="D2269" s="115" t="inlineStr">
        <is>
          <t xml:space="preserve">34 GU 945 </t>
        </is>
      </c>
      <c r="E2269" s="115" t="inlineStr">
        <is>
          <t>RİFAT KARATAY</t>
        </is>
      </c>
      <c r="F2269" s="115" t="n">
        <v>479702</v>
      </c>
      <c r="G2269" s="156" t="n"/>
      <c r="H2269" s="152" t="n">
        <v>75</v>
      </c>
      <c r="I2269" s="156" t="n"/>
      <c r="J2269" s="90" t="n"/>
      <c r="K2269" s="166" t="n"/>
      <c r="L2269" s="158">
        <f>+H2269*J2269</f>
        <v/>
      </c>
      <c r="M2269" s="159" t="n"/>
    </row>
    <row r="2270">
      <c r="A2270" s="114" t="n">
        <v>46180</v>
      </c>
      <c r="B2270" s="115" t="n">
        <v>673</v>
      </c>
      <c r="C2270" s="115" t="inlineStr">
        <is>
          <t>SELİM İNŞAAT</t>
        </is>
      </c>
      <c r="D2270" s="115" t="inlineStr">
        <is>
          <t xml:space="preserve">34 GU 945 </t>
        </is>
      </c>
      <c r="E2270" s="115" t="inlineStr">
        <is>
          <t>RİFAT KARATAY</t>
        </is>
      </c>
      <c r="F2270" s="115" t="n">
        <v>480124</v>
      </c>
      <c r="G2270" s="156" t="n"/>
      <c r="H2270" s="152" t="n">
        <v>58</v>
      </c>
      <c r="I2270" s="156" t="n"/>
      <c r="J2270" s="90" t="n"/>
      <c r="K2270" s="166" t="n"/>
      <c r="L2270" s="158">
        <f>+H2270*J2270</f>
        <v/>
      </c>
      <c r="M2270" s="159" t="n"/>
    </row>
    <row r="2271">
      <c r="A2271" s="114" t="n">
        <v>46181</v>
      </c>
      <c r="B2271" s="115" t="n">
        <v>674</v>
      </c>
      <c r="C2271" s="115" t="inlineStr">
        <is>
          <t>SELİM İNŞAAT</t>
        </is>
      </c>
      <c r="D2271" s="115" t="inlineStr">
        <is>
          <t xml:space="preserve">34 GU 945 </t>
        </is>
      </c>
      <c r="E2271" s="115" t="inlineStr">
        <is>
          <t>RİFAT KARATAY</t>
        </is>
      </c>
      <c r="F2271" s="115" t="n">
        <v>480187</v>
      </c>
      <c r="G2271" s="156" t="n"/>
      <c r="H2271" s="152" t="n">
        <v>52</v>
      </c>
      <c r="I2271" s="156" t="n"/>
      <c r="J2271" s="90" t="n"/>
      <c r="K2271" s="166" t="n"/>
      <c r="L2271" s="158">
        <f>+H2271*J2271</f>
        <v/>
      </c>
      <c r="M2271" s="159" t="n"/>
    </row>
    <row r="2272">
      <c r="A2272" s="114" t="n">
        <v>46184</v>
      </c>
      <c r="B2272" s="115" t="n">
        <v>675</v>
      </c>
      <c r="C2272" s="115" t="inlineStr">
        <is>
          <t>SELİM İNŞAAT</t>
        </is>
      </c>
      <c r="D2272" s="115" t="inlineStr">
        <is>
          <t xml:space="preserve">34 GU 945 </t>
        </is>
      </c>
      <c r="E2272" s="115" t="inlineStr">
        <is>
          <t>RİFAT KARATAY</t>
        </is>
      </c>
      <c r="F2272" s="115" t="n">
        <v>480646</v>
      </c>
      <c r="G2272" s="156" t="n"/>
      <c r="H2272" s="152" t="n">
        <v>68</v>
      </c>
      <c r="I2272" s="156" t="n"/>
      <c r="J2272" s="90" t="n"/>
      <c r="K2272" s="166" t="n"/>
      <c r="L2272" s="158">
        <f>+H2272*J2272</f>
        <v/>
      </c>
      <c r="M2272" s="159" t="n"/>
    </row>
    <row r="2273">
      <c r="A2273" s="114" t="n">
        <v>46188</v>
      </c>
      <c r="B2273" s="115" t="n">
        <v>676</v>
      </c>
      <c r="C2273" s="115" t="inlineStr">
        <is>
          <t>SELİM İNŞAAT</t>
        </is>
      </c>
      <c r="D2273" s="115" t="inlineStr">
        <is>
          <t xml:space="preserve">34 GU 945 </t>
        </is>
      </c>
      <c r="E2273" s="115" t="inlineStr">
        <is>
          <t>RİFAT KARATAY</t>
        </is>
      </c>
      <c r="F2273" s="115" t="n">
        <v>481085</v>
      </c>
      <c r="G2273" s="156" t="n"/>
      <c r="H2273" s="152" t="n">
        <v>67</v>
      </c>
      <c r="I2273" s="156" t="n"/>
      <c r="J2273" s="90" t="n"/>
      <c r="K2273" s="166" t="n"/>
      <c r="L2273" s="158">
        <f>+H2273*J2273</f>
        <v/>
      </c>
      <c r="M2273" s="159" t="n"/>
    </row>
    <row r="2274">
      <c r="A2274" s="114" t="n">
        <v>46177</v>
      </c>
      <c r="B2274" s="115" t="n">
        <v>1910</v>
      </c>
      <c r="C2274" s="115" t="inlineStr">
        <is>
          <t>SELİM İNŞAAT</t>
        </is>
      </c>
      <c r="D2274" s="115" t="inlineStr">
        <is>
          <t>34 FEM 934</t>
        </is>
      </c>
      <c r="E2274" s="115" t="inlineStr">
        <is>
          <t>RİFAT KARATAY</t>
        </is>
      </c>
      <c r="F2274" s="115" t="n">
        <v>341112</v>
      </c>
      <c r="G2274" s="156" t="n"/>
      <c r="H2274" s="152" t="n">
        <v>66</v>
      </c>
      <c r="I2274" s="156" t="n"/>
      <c r="J2274" s="90" t="n"/>
      <c r="K2274" s="166" t="n"/>
      <c r="L2274" s="158">
        <f>+H2274*J2274</f>
        <v/>
      </c>
      <c r="M2274" s="159" t="n"/>
    </row>
    <row r="2275">
      <c r="A2275" s="114" t="n">
        <v>46181</v>
      </c>
      <c r="B2275" s="115" t="n">
        <v>1911</v>
      </c>
      <c r="C2275" s="115" t="inlineStr">
        <is>
          <t>SELİM İNŞAAT</t>
        </is>
      </c>
      <c r="D2275" s="115" t="inlineStr">
        <is>
          <t>34 FEM 934</t>
        </is>
      </c>
      <c r="E2275" s="115" t="inlineStr">
        <is>
          <t>RİFAT KARATAY</t>
        </is>
      </c>
      <c r="F2275" s="115" t="n">
        <v>341390</v>
      </c>
      <c r="G2275" s="156" t="n"/>
      <c r="H2275" s="152" t="n">
        <v>59</v>
      </c>
      <c r="I2275" s="156" t="n"/>
      <c r="J2275" s="90" t="n"/>
      <c r="K2275" s="166" t="n"/>
      <c r="L2275" s="158">
        <f>+H2275*J2275</f>
        <v/>
      </c>
      <c r="M2275" s="159" t="n"/>
    </row>
    <row r="2276">
      <c r="A2276" s="114" t="n">
        <v>46187</v>
      </c>
      <c r="B2276" s="115" t="n">
        <v>1912</v>
      </c>
      <c r="C2276" s="115" t="inlineStr">
        <is>
          <t>SELİM İNŞAAT</t>
        </is>
      </c>
      <c r="D2276" s="115" t="inlineStr">
        <is>
          <t>34 FEM 934</t>
        </is>
      </c>
      <c r="E2276" s="115" t="inlineStr">
        <is>
          <t>RİFAT KARATAY</t>
        </is>
      </c>
      <c r="F2276" s="115" t="n">
        <v>341743</v>
      </c>
      <c r="G2276" s="156" t="n"/>
      <c r="H2276" s="152" t="n">
        <v>71</v>
      </c>
      <c r="I2276" s="156" t="n"/>
      <c r="J2276" s="90" t="n"/>
      <c r="K2276" s="166" t="n"/>
      <c r="L2276" s="158">
        <f>+H2276*J2276</f>
        <v/>
      </c>
      <c r="M2276" s="159" t="n"/>
    </row>
    <row r="2277">
      <c r="A2277" s="114" t="n">
        <v>46175</v>
      </c>
      <c r="B2277" s="115" t="n">
        <v>1102</v>
      </c>
      <c r="C2277" s="115" t="inlineStr">
        <is>
          <t>SELİM İNŞAAT</t>
        </is>
      </c>
      <c r="D2277" s="115" t="inlineStr">
        <is>
          <t>34 DKL 866</t>
        </is>
      </c>
      <c r="E2277" s="115" t="inlineStr">
        <is>
          <t>SELİMCAN ÖNVER</t>
        </is>
      </c>
      <c r="F2277" s="115" t="n">
        <v>86266</v>
      </c>
      <c r="G2277" s="156" t="n"/>
      <c r="H2277" s="152" t="n">
        <v>240</v>
      </c>
      <c r="I2277" s="156" t="n"/>
      <c r="J2277" s="90" t="n"/>
      <c r="K2277" s="166" t="n"/>
      <c r="L2277" s="158">
        <f>+H2277*J2277</f>
        <v/>
      </c>
      <c r="M2277" s="159" t="n"/>
    </row>
    <row r="2278">
      <c r="A2278" s="114" t="n">
        <v>46177</v>
      </c>
      <c r="B2278" s="115" t="n">
        <v>1103</v>
      </c>
      <c r="C2278" s="115" t="inlineStr">
        <is>
          <t>SELİM İNŞAAT</t>
        </is>
      </c>
      <c r="D2278" s="115" t="inlineStr">
        <is>
          <t>34 DKL 866</t>
        </is>
      </c>
      <c r="E2278" s="115" t="inlineStr">
        <is>
          <t>SELİMCAN ÖNVER</t>
        </is>
      </c>
      <c r="F2278" s="115" t="n">
        <v>86682</v>
      </c>
      <c r="G2278" s="156" t="n"/>
      <c r="H2278" s="152" t="n">
        <v>246</v>
      </c>
      <c r="I2278" s="156" t="n"/>
      <c r="J2278" s="90" t="n"/>
      <c r="K2278" s="166" t="n"/>
      <c r="L2278" s="158">
        <f>+H2278*J2278</f>
        <v/>
      </c>
      <c r="M2278" s="159" t="n"/>
    </row>
    <row r="2279">
      <c r="A2279" s="114" t="n">
        <v>46179</v>
      </c>
      <c r="B2279" s="115" t="n">
        <v>1104</v>
      </c>
      <c r="C2279" s="115" t="inlineStr">
        <is>
          <t>SELİM İNŞAAT</t>
        </is>
      </c>
      <c r="D2279" s="115" t="inlineStr">
        <is>
          <t>34 DKL 866</t>
        </is>
      </c>
      <c r="E2279" s="115" t="inlineStr">
        <is>
          <t>SELİMCAN ÖNVER</t>
        </is>
      </c>
      <c r="F2279" s="115" t="n">
        <v>86520</v>
      </c>
      <c r="G2279" s="156" t="n"/>
      <c r="H2279" s="152" t="n">
        <v>270</v>
      </c>
      <c r="I2279" s="156" t="n"/>
      <c r="J2279" s="90" t="n"/>
      <c r="K2279" s="166" t="n"/>
      <c r="L2279" s="158">
        <f>+H2279*J2279</f>
        <v/>
      </c>
      <c r="M2279" s="159" t="n"/>
    </row>
    <row r="2280">
      <c r="A2280" s="114" t="n">
        <v>46181</v>
      </c>
      <c r="B2280" s="115" t="n">
        <v>1105</v>
      </c>
      <c r="C2280" s="115" t="inlineStr">
        <is>
          <t>SELİM İNŞAAT</t>
        </is>
      </c>
      <c r="D2280" s="115" t="inlineStr">
        <is>
          <t>34 DKL 866</t>
        </is>
      </c>
      <c r="E2280" s="115" t="inlineStr">
        <is>
          <t>SELİMCAN ÖNVER</t>
        </is>
      </c>
      <c r="F2280" s="115" t="n">
        <v>86647</v>
      </c>
      <c r="G2280" s="156" t="n"/>
      <c r="H2280" s="152" t="n">
        <v>198</v>
      </c>
      <c r="I2280" s="156" t="n"/>
      <c r="J2280" s="90" t="n"/>
      <c r="K2280" s="166" t="n"/>
      <c r="L2280" s="158">
        <f>+H2280*J2280</f>
        <v/>
      </c>
      <c r="M2280" s="159" t="n"/>
    </row>
    <row r="2281">
      <c r="A2281" s="114" t="n">
        <v>46183</v>
      </c>
      <c r="B2281" s="115" t="n">
        <v>1106</v>
      </c>
      <c r="C2281" s="115" t="inlineStr">
        <is>
          <t>SELİM İNŞAAT</t>
        </is>
      </c>
      <c r="D2281" s="115" t="inlineStr">
        <is>
          <t>34 DKL 866</t>
        </is>
      </c>
      <c r="E2281" s="115" t="inlineStr">
        <is>
          <t>SELİMCAN ÖNVER</t>
        </is>
      </c>
      <c r="F2281" s="115" t="n">
        <v>86790</v>
      </c>
      <c r="G2281" s="156" t="n"/>
      <c r="H2281" s="152" t="n">
        <v>274</v>
      </c>
      <c r="I2281" s="156" t="n"/>
      <c r="J2281" s="90" t="n"/>
      <c r="K2281" s="166" t="n"/>
      <c r="L2281" s="158">
        <f>+H2281*J2281</f>
        <v/>
      </c>
      <c r="M2281" s="159" t="n"/>
    </row>
    <row r="2282">
      <c r="A2282" s="114" t="n">
        <v>46185</v>
      </c>
      <c r="B2282" s="115" t="n">
        <v>1107</v>
      </c>
      <c r="C2282" s="115" t="inlineStr">
        <is>
          <t>SELİM İNŞAAT</t>
        </is>
      </c>
      <c r="D2282" s="115" t="inlineStr">
        <is>
          <t>34 DKL 866</t>
        </is>
      </c>
      <c r="E2282" s="115" t="inlineStr">
        <is>
          <t>SELİMCAN ÖNVER</t>
        </is>
      </c>
      <c r="F2282" s="115" t="n">
        <v>86930</v>
      </c>
      <c r="G2282" s="156" t="n"/>
      <c r="H2282" s="152" t="n">
        <v>228</v>
      </c>
      <c r="I2282" s="156" t="n"/>
      <c r="J2282" s="90" t="n"/>
      <c r="K2282" s="166" t="n"/>
      <c r="L2282" s="158">
        <f>+H2282*J2282</f>
        <v/>
      </c>
      <c r="M2282" s="159" t="n"/>
    </row>
    <row r="2283">
      <c r="A2283" s="114" t="n">
        <v>46188</v>
      </c>
      <c r="B2283" s="115" t="n">
        <v>1108</v>
      </c>
      <c r="C2283" s="115" t="inlineStr">
        <is>
          <t>SELİM İNŞAAT</t>
        </is>
      </c>
      <c r="D2283" s="115" t="inlineStr">
        <is>
          <t>34 DKL 866</t>
        </is>
      </c>
      <c r="E2283" s="115" t="inlineStr">
        <is>
          <t>SELİMCAN ÖNVER</t>
        </is>
      </c>
      <c r="F2283" s="115" t="n">
        <v>87138</v>
      </c>
      <c r="G2283" s="156" t="n"/>
      <c r="H2283" s="152" t="n">
        <v>266</v>
      </c>
      <c r="I2283" s="156" t="n"/>
      <c r="J2283" s="90" t="n"/>
      <c r="K2283" s="166" t="n"/>
      <c r="L2283" s="158">
        <f>+H2283*J2283</f>
        <v/>
      </c>
      <c r="M2283" s="159" t="n"/>
    </row>
    <row r="2284">
      <c r="A2284" s="114" t="n">
        <v>46174</v>
      </c>
      <c r="B2284" s="115" t="n">
        <v>317</v>
      </c>
      <c r="C2284" s="115" t="inlineStr">
        <is>
          <t>SELİM İNŞAAT</t>
        </is>
      </c>
      <c r="D2284" s="115" t="inlineStr">
        <is>
          <t>34 GER 445</t>
        </is>
      </c>
      <c r="E2284" s="115" t="inlineStr">
        <is>
          <t>SERVET KARANFİL</t>
        </is>
      </c>
      <c r="F2284" s="115" t="n">
        <v>61370</v>
      </c>
      <c r="G2284" s="156" t="n"/>
      <c r="H2284" s="152" t="n">
        <v>290</v>
      </c>
      <c r="I2284" s="156" t="n"/>
      <c r="J2284" s="90" t="n"/>
      <c r="K2284" s="166" t="n"/>
      <c r="L2284" s="158">
        <f>+H2284*J2284</f>
        <v/>
      </c>
      <c r="M2284" s="159" t="n"/>
    </row>
    <row r="2285">
      <c r="A2285" s="114" t="n">
        <v>46178</v>
      </c>
      <c r="B2285" s="115" t="n">
        <v>318</v>
      </c>
      <c r="C2285" s="115" t="inlineStr">
        <is>
          <t>SELİM İNŞAAT</t>
        </is>
      </c>
      <c r="D2285" s="115" t="inlineStr">
        <is>
          <t>34 GER 445</t>
        </is>
      </c>
      <c r="E2285" s="115" t="inlineStr">
        <is>
          <t>SERVET KARANFİL</t>
        </is>
      </c>
      <c r="F2285" s="115" t="n">
        <v>61577</v>
      </c>
      <c r="G2285" s="156" t="n"/>
      <c r="H2285" s="152" t="n">
        <v>291</v>
      </c>
      <c r="I2285" s="156" t="n"/>
      <c r="J2285" s="90" t="n"/>
      <c r="K2285" s="166" t="n"/>
      <c r="L2285" s="158">
        <f>+H2285*J2285</f>
        <v/>
      </c>
      <c r="M2285" s="159" t="n"/>
    </row>
    <row r="2286">
      <c r="A2286" s="114" t="n">
        <v>46181</v>
      </c>
      <c r="B2286" s="115" t="n">
        <v>319</v>
      </c>
      <c r="C2286" s="115" t="inlineStr">
        <is>
          <t>SELİM İNŞAAT</t>
        </is>
      </c>
      <c r="D2286" s="115" t="inlineStr">
        <is>
          <t>34 GER 445</t>
        </is>
      </c>
      <c r="E2286" s="115" t="inlineStr">
        <is>
          <t>SERVET KARANFİL</t>
        </is>
      </c>
      <c r="F2286" s="115" t="n">
        <v>6170</v>
      </c>
      <c r="G2286" s="156" t="n"/>
      <c r="H2286" s="152" t="n">
        <v>278</v>
      </c>
      <c r="I2286" s="156" t="n"/>
      <c r="J2286" s="90" t="n"/>
      <c r="K2286" s="166" t="n"/>
      <c r="L2286" s="158">
        <f>+H2286*J2286</f>
        <v/>
      </c>
      <c r="M2286" s="159" t="n"/>
    </row>
    <row r="2287">
      <c r="A2287" s="114" t="n">
        <v>46184</v>
      </c>
      <c r="B2287" s="115" t="n">
        <v>320</v>
      </c>
      <c r="C2287" s="115" t="inlineStr">
        <is>
          <t>SELİM İNŞAAT</t>
        </is>
      </c>
      <c r="D2287" s="115" t="inlineStr">
        <is>
          <t>34 GER 445</t>
        </is>
      </c>
      <c r="E2287" s="115" t="inlineStr">
        <is>
          <t>SERVET KARANFİL</t>
        </is>
      </c>
      <c r="F2287" s="115" t="n">
        <v>61979</v>
      </c>
      <c r="G2287" s="156" t="n"/>
      <c r="H2287" s="152" t="n">
        <v>297</v>
      </c>
      <c r="I2287" s="156" t="n"/>
      <c r="J2287" s="90" t="n"/>
      <c r="K2287" s="166" t="n"/>
      <c r="L2287" s="158">
        <f>+H2287*J2287</f>
        <v/>
      </c>
      <c r="M2287" s="159" t="n"/>
    </row>
    <row r="2288">
      <c r="A2288" s="114" t="n">
        <v>46188</v>
      </c>
      <c r="B2288" s="115" t="n">
        <v>321</v>
      </c>
      <c r="C2288" s="115" t="inlineStr">
        <is>
          <t>SELİM İNŞAAT</t>
        </is>
      </c>
      <c r="D2288" s="115" t="inlineStr">
        <is>
          <t>34 GER 445</t>
        </is>
      </c>
      <c r="E2288" s="115" t="inlineStr">
        <is>
          <t>SERVET KARANFİL</t>
        </is>
      </c>
      <c r="F2288" s="115" t="n">
        <v>62256</v>
      </c>
      <c r="G2288" s="156" t="n"/>
      <c r="H2288" s="152" t="n">
        <v>288</v>
      </c>
      <c r="I2288" s="156" t="n"/>
      <c r="J2288" s="90" t="n"/>
      <c r="K2288" s="166" t="n"/>
      <c r="L2288" s="158">
        <f>+H2288*J2288</f>
        <v/>
      </c>
      <c r="M2288" s="159" t="n"/>
    </row>
    <row r="2289">
      <c r="A2289" s="114" t="n">
        <v>46174</v>
      </c>
      <c r="B2289" s="115" t="n">
        <v>2995</v>
      </c>
      <c r="C2289" s="115" t="inlineStr">
        <is>
          <t>SELİM İNŞAAT</t>
        </is>
      </c>
      <c r="D2289" s="115" t="inlineStr">
        <is>
          <t>34 DFE 454</t>
        </is>
      </c>
      <c r="E2289" s="115" t="inlineStr">
        <is>
          <t>HÜSEYİN DENİZ</t>
        </is>
      </c>
      <c r="F2289" s="115" t="n">
        <v>178207</v>
      </c>
      <c r="G2289" s="156" t="n"/>
      <c r="H2289" s="152" t="n">
        <v>297</v>
      </c>
      <c r="I2289" s="156" t="n"/>
      <c r="J2289" s="90" t="n"/>
      <c r="K2289" s="166" t="n"/>
      <c r="L2289" s="158">
        <f>+H2289*J2289</f>
        <v/>
      </c>
      <c r="M2289" s="159" t="n"/>
    </row>
    <row r="2290">
      <c r="A2290" s="114" t="n">
        <v>46177</v>
      </c>
      <c r="B2290" s="115" t="n">
        <v>2996</v>
      </c>
      <c r="C2290" s="115" t="inlineStr">
        <is>
          <t>SELİM İNŞAAT</t>
        </is>
      </c>
      <c r="D2290" s="115" t="inlineStr">
        <is>
          <t>34 DFE 454</t>
        </is>
      </c>
      <c r="E2290" s="115" t="inlineStr">
        <is>
          <t>HÜSEYİN DENİZ</t>
        </is>
      </c>
      <c r="F2290" s="115" t="n">
        <v>178385</v>
      </c>
      <c r="G2290" s="156" t="n"/>
      <c r="H2290" s="152" t="n">
        <v>294</v>
      </c>
      <c r="I2290" s="156" t="n"/>
      <c r="J2290" s="90" t="n"/>
      <c r="K2290" s="166" t="n"/>
      <c r="L2290" s="158">
        <f>+H2290*J2290</f>
        <v/>
      </c>
      <c r="M2290" s="159" t="n"/>
    </row>
    <row r="2291">
      <c r="A2291" s="114" t="n">
        <v>46184</v>
      </c>
      <c r="B2291" s="115" t="n">
        <v>2997</v>
      </c>
      <c r="C2291" s="115" t="inlineStr">
        <is>
          <t>SELİM İNŞAAT</t>
        </is>
      </c>
      <c r="D2291" s="115" t="inlineStr">
        <is>
          <t>34 DFE 454</t>
        </is>
      </c>
      <c r="E2291" s="115" t="inlineStr">
        <is>
          <t>HÜSEYİN DENİZ</t>
        </is>
      </c>
      <c r="F2291" s="115" t="n">
        <v>178705</v>
      </c>
      <c r="G2291" s="156" t="n"/>
      <c r="H2291" s="152" t="n">
        <v>299</v>
      </c>
      <c r="I2291" s="156" t="n"/>
      <c r="J2291" s="90" t="n"/>
      <c r="K2291" s="166" t="n"/>
      <c r="L2291" s="158">
        <f>+H2291*J2291</f>
        <v/>
      </c>
      <c r="M2291" s="159" t="n"/>
    </row>
    <row r="2292">
      <c r="A2292" s="114" t="n">
        <v>46188</v>
      </c>
      <c r="B2292" s="115" t="n">
        <v>2998</v>
      </c>
      <c r="C2292" s="115" t="inlineStr">
        <is>
          <t>SELİM İNŞAAT</t>
        </is>
      </c>
      <c r="D2292" s="115" t="inlineStr">
        <is>
          <t>34 DFE 454</t>
        </is>
      </c>
      <c r="E2292" s="115" t="inlineStr">
        <is>
          <t>HÜSEYİN DENİZ</t>
        </is>
      </c>
      <c r="F2292" s="115" t="n">
        <v>179084</v>
      </c>
      <c r="G2292" s="156" t="n"/>
      <c r="H2292" s="152" t="n">
        <v>346</v>
      </c>
      <c r="I2292" s="156" t="n"/>
      <c r="J2292" s="90" t="n"/>
      <c r="K2292" s="166" t="n"/>
      <c r="L2292" s="158">
        <f>+H2292*J2292</f>
        <v/>
      </c>
      <c r="M2292" s="159" t="n"/>
    </row>
    <row r="2293">
      <c r="A2293" s="114" t="n">
        <v>46177</v>
      </c>
      <c r="B2293" s="115" t="n">
        <v>4040</v>
      </c>
      <c r="C2293" s="115" t="inlineStr">
        <is>
          <t>SELİM İNŞAAT</t>
        </is>
      </c>
      <c r="D2293" s="115" t="inlineStr">
        <is>
          <t>34 AR 7743</t>
        </is>
      </c>
      <c r="E2293" s="115" t="inlineStr">
        <is>
          <t>MEHMET SELİM</t>
        </is>
      </c>
      <c r="F2293" s="115" t="n">
        <v>480022</v>
      </c>
      <c r="G2293" s="156" t="n"/>
      <c r="H2293" s="152" t="n">
        <v>67</v>
      </c>
      <c r="I2293" s="156" t="n"/>
      <c r="J2293" s="90" t="n"/>
      <c r="K2293" s="166" t="n"/>
      <c r="L2293" s="158">
        <f>+H2293*J2293</f>
        <v/>
      </c>
      <c r="M2293" s="159" t="n"/>
    </row>
    <row r="2294">
      <c r="A2294" s="114" t="n">
        <v>46180</v>
      </c>
      <c r="B2294" s="115" t="n">
        <v>4041</v>
      </c>
      <c r="C2294" s="115" t="inlineStr">
        <is>
          <t>SELİM İNŞAAT</t>
        </is>
      </c>
      <c r="D2294" s="115" t="inlineStr">
        <is>
          <t>34 AR 7743</t>
        </is>
      </c>
      <c r="E2294" s="115" t="inlineStr">
        <is>
          <t>MEHMET SELİM</t>
        </is>
      </c>
      <c r="F2294" s="115" t="n">
        <v>380294</v>
      </c>
      <c r="G2294" s="156" t="n"/>
      <c r="H2294" s="152" t="n">
        <v>69</v>
      </c>
      <c r="I2294" s="156" t="n"/>
      <c r="J2294" s="90" t="n"/>
      <c r="K2294" s="166" t="n"/>
      <c r="L2294" s="158">
        <f>+H2294*J2294</f>
        <v/>
      </c>
      <c r="M2294" s="159" t="n"/>
    </row>
    <row r="2295">
      <c r="A2295" s="114" t="n">
        <v>46184</v>
      </c>
      <c r="B2295" s="115" t="n">
        <v>4042</v>
      </c>
      <c r="C2295" s="115" t="inlineStr">
        <is>
          <t>SELİM İNŞAAT</t>
        </is>
      </c>
      <c r="D2295" s="115" t="inlineStr">
        <is>
          <t>34 AR 7743</t>
        </is>
      </c>
      <c r="E2295" s="115" t="inlineStr">
        <is>
          <t>MEHMET SELİM</t>
        </is>
      </c>
      <c r="F2295" s="115" t="n">
        <v>380570</v>
      </c>
      <c r="G2295" s="156" t="n"/>
      <c r="H2295" s="152" t="n">
        <v>72</v>
      </c>
      <c r="I2295" s="156" t="n"/>
      <c r="J2295" s="90" t="n"/>
      <c r="K2295" s="166" t="n"/>
      <c r="L2295" s="158">
        <f>+H2295*J2295</f>
        <v/>
      </c>
      <c r="M2295" s="159" t="n"/>
    </row>
    <row r="2296">
      <c r="A2296" s="114" t="n">
        <v>46188</v>
      </c>
      <c r="B2296" s="115" t="n">
        <v>4043</v>
      </c>
      <c r="C2296" s="115" t="inlineStr">
        <is>
          <t>SELİM İNŞAAT</t>
        </is>
      </c>
      <c r="D2296" s="115" t="inlineStr">
        <is>
          <t>34 AR 7743</t>
        </is>
      </c>
      <c r="E2296" s="115" t="inlineStr">
        <is>
          <t>MEHMET SELİM</t>
        </is>
      </c>
      <c r="F2296" s="115" t="n">
        <v>380846</v>
      </c>
      <c r="G2296" s="156" t="n"/>
      <c r="H2296" s="152" t="n">
        <v>73</v>
      </c>
      <c r="I2296" s="156" t="n"/>
      <c r="J2296" s="90" t="n"/>
      <c r="K2296" s="166" t="n"/>
      <c r="L2296" s="158">
        <f>+H2296*J2296</f>
        <v/>
      </c>
      <c r="M2296" s="159" t="n"/>
    </row>
    <row r="2297">
      <c r="A2297" s="114" t="n">
        <v>46174</v>
      </c>
      <c r="B2297" s="115" t="n">
        <v>4483</v>
      </c>
      <c r="C2297" s="115" t="inlineStr">
        <is>
          <t>SELİM İNŞAAT</t>
        </is>
      </c>
      <c r="D2297" s="115" t="inlineStr">
        <is>
          <t>34 DKL 798</t>
        </is>
      </c>
      <c r="E2297" s="115" t="inlineStr">
        <is>
          <t>HASAN BAYCA</t>
        </is>
      </c>
      <c r="F2297" s="115" t="n">
        <v>84661</v>
      </c>
      <c r="G2297" s="156" t="n"/>
      <c r="H2297" s="152" t="n">
        <v>297</v>
      </c>
      <c r="I2297" s="156" t="n"/>
      <c r="J2297" s="90" t="n"/>
      <c r="K2297" s="166" t="n"/>
      <c r="L2297" s="158">
        <f>+H2297*J2297</f>
        <v/>
      </c>
      <c r="M2297" s="159" t="n"/>
    </row>
    <row r="2298">
      <c r="A2298" s="114" t="n">
        <v>46177</v>
      </c>
      <c r="B2298" s="115" t="n">
        <v>4484</v>
      </c>
      <c r="C2298" s="115" t="inlineStr">
        <is>
          <t>SELİM İNŞAAT</t>
        </is>
      </c>
      <c r="D2298" s="115" t="inlineStr">
        <is>
          <t>34 DKL 798</t>
        </is>
      </c>
      <c r="E2298" s="115" t="inlineStr">
        <is>
          <t>HASAN BAYCA</t>
        </is>
      </c>
      <c r="F2298" s="115" t="n">
        <v>84829</v>
      </c>
      <c r="G2298" s="156" t="n"/>
      <c r="H2298" s="152" t="n">
        <v>293</v>
      </c>
      <c r="I2298" s="156" t="n"/>
      <c r="J2298" s="90" t="n"/>
      <c r="K2298" s="166" t="n"/>
      <c r="L2298" s="158">
        <f>+H2298*J2298</f>
        <v/>
      </c>
      <c r="M2298" s="159" t="n"/>
    </row>
    <row r="2299">
      <c r="A2299" s="114" t="n">
        <v>46179</v>
      </c>
      <c r="B2299" s="115" t="n">
        <v>4485</v>
      </c>
      <c r="C2299" s="115" t="inlineStr">
        <is>
          <t>SELİM İNŞAAT</t>
        </is>
      </c>
      <c r="D2299" s="115" t="inlineStr">
        <is>
          <t>34 DKL 798</t>
        </is>
      </c>
      <c r="E2299" s="115" t="inlineStr">
        <is>
          <t>HASAN BAYCA</t>
        </is>
      </c>
      <c r="F2299" s="115" t="n">
        <v>85011</v>
      </c>
      <c r="G2299" s="156" t="n"/>
      <c r="H2299" s="152" t="n">
        <v>284</v>
      </c>
      <c r="I2299" s="156" t="n"/>
      <c r="J2299" s="90" t="n"/>
      <c r="K2299" s="166" t="n"/>
      <c r="L2299" s="158">
        <f>+H2299*J2299</f>
        <v/>
      </c>
      <c r="M2299" s="159" t="n"/>
    </row>
    <row r="2300">
      <c r="A2300" s="114" t="n">
        <v>46182</v>
      </c>
      <c r="B2300" s="115" t="n">
        <v>4486</v>
      </c>
      <c r="C2300" s="115" t="inlineStr">
        <is>
          <t>SELİM İNŞAAT</t>
        </is>
      </c>
      <c r="D2300" s="115" t="inlineStr">
        <is>
          <t>34 DKL 798</t>
        </is>
      </c>
      <c r="E2300" s="115" t="inlineStr">
        <is>
          <t>HASAN BAYCA</t>
        </is>
      </c>
      <c r="F2300" s="115" t="n">
        <v>85213</v>
      </c>
      <c r="G2300" s="156" t="n"/>
      <c r="H2300" s="152" t="n">
        <v>298</v>
      </c>
      <c r="I2300" s="156" t="n"/>
      <c r="J2300" s="90" t="n"/>
      <c r="K2300" s="166" t="n"/>
      <c r="L2300" s="158">
        <f>+H2300*J2300</f>
        <v/>
      </c>
      <c r="M2300" s="159" t="n"/>
    </row>
    <row r="2301">
      <c r="A2301" s="114" t="n">
        <v>46185</v>
      </c>
      <c r="B2301" s="115" t="n">
        <v>4487</v>
      </c>
      <c r="C2301" s="115" t="inlineStr">
        <is>
          <t>SELİM İNŞAAT</t>
        </is>
      </c>
      <c r="D2301" s="115" t="inlineStr">
        <is>
          <t>34 DKL 798</t>
        </is>
      </c>
      <c r="E2301" s="115" t="inlineStr">
        <is>
          <t>HASAN BAYCA</t>
        </is>
      </c>
      <c r="F2301" s="115" t="n">
        <v>85425</v>
      </c>
      <c r="G2301" s="156" t="n"/>
      <c r="H2301" s="152" t="n">
        <v>300</v>
      </c>
      <c r="I2301" s="156" t="n"/>
      <c r="J2301" s="90" t="n"/>
      <c r="K2301" s="166" t="n"/>
      <c r="L2301" s="158">
        <f>+H2301*J2301</f>
        <v/>
      </c>
      <c r="M2301" s="159" t="n"/>
    </row>
    <row r="2302">
      <c r="A2302" s="114" t="n">
        <v>46188</v>
      </c>
      <c r="B2302" s="115" t="n">
        <v>4488</v>
      </c>
      <c r="C2302" s="115" t="inlineStr">
        <is>
          <t>SELİM İNŞAAT</t>
        </is>
      </c>
      <c r="D2302" s="115" t="inlineStr">
        <is>
          <t>34 DKL 798</t>
        </is>
      </c>
      <c r="E2302" s="115" t="inlineStr">
        <is>
          <t>HASAN BAYCA</t>
        </is>
      </c>
      <c r="F2302" s="115" t="n">
        <v>85635</v>
      </c>
      <c r="G2302" s="156" t="n"/>
      <c r="H2302" s="152" t="n">
        <v>295</v>
      </c>
      <c r="I2302" s="156" t="n"/>
      <c r="J2302" s="90" t="n"/>
      <c r="K2302" s="166" t="n"/>
      <c r="L2302" s="158">
        <f>+H2302*J2302</f>
        <v/>
      </c>
      <c r="M2302" s="159" t="n"/>
    </row>
    <row r="2303">
      <c r="A2303" s="114" t="n">
        <v>46174</v>
      </c>
      <c r="B2303" s="115" t="n">
        <v>787</v>
      </c>
      <c r="C2303" s="115" t="inlineStr">
        <is>
          <t>METİN ERYİĞİT</t>
        </is>
      </c>
      <c r="D2303" s="115" t="inlineStr">
        <is>
          <t>34 EGR 814</t>
        </is>
      </c>
      <c r="E2303" s="115" t="inlineStr">
        <is>
          <t>SEZGİN KOCAGİL</t>
        </is>
      </c>
      <c r="F2303" s="115" t="n">
        <v>634509</v>
      </c>
      <c r="G2303" s="156" t="n"/>
      <c r="H2303" s="152" t="n">
        <v>200</v>
      </c>
      <c r="I2303" s="156" t="n"/>
      <c r="J2303" s="90" t="n"/>
      <c r="K2303" s="166" t="n"/>
      <c r="L2303" s="158">
        <f>+H2303*J2303</f>
        <v/>
      </c>
      <c r="M2303" s="159" t="n"/>
    </row>
    <row r="2304">
      <c r="A2304" s="114" t="n">
        <v>46175</v>
      </c>
      <c r="B2304" s="115" t="n">
        <v>788</v>
      </c>
      <c r="C2304" s="115" t="inlineStr">
        <is>
          <t>METİN ERYİĞİT</t>
        </is>
      </c>
      <c r="D2304" s="115" t="inlineStr">
        <is>
          <t>34 EGR 814</t>
        </is>
      </c>
      <c r="E2304" s="115" t="inlineStr">
        <is>
          <t>SEZGİN KOCAGİL</t>
        </is>
      </c>
      <c r="F2304" s="115" t="n">
        <v>635231</v>
      </c>
      <c r="G2304" s="156" t="n"/>
      <c r="H2304" s="152" t="n">
        <v>420</v>
      </c>
      <c r="I2304" s="156" t="n"/>
      <c r="J2304" s="90" t="n"/>
      <c r="K2304" s="166" t="n"/>
      <c r="L2304" s="158">
        <f>+H2304*J2304</f>
        <v/>
      </c>
      <c r="M2304" s="159" t="n"/>
    </row>
    <row r="2305">
      <c r="A2305" s="114" t="n">
        <v>46177</v>
      </c>
      <c r="B2305" s="115" t="n">
        <v>789</v>
      </c>
      <c r="C2305" s="115" t="inlineStr">
        <is>
          <t>METİN ERYİĞİT</t>
        </is>
      </c>
      <c r="D2305" s="115" t="inlineStr">
        <is>
          <t>34 EGR 814</t>
        </is>
      </c>
      <c r="E2305" s="115" t="inlineStr">
        <is>
          <t>SEZGİN KOCAGİL</t>
        </is>
      </c>
      <c r="F2305" s="115" t="n">
        <v>635874</v>
      </c>
      <c r="G2305" s="156" t="n"/>
      <c r="H2305" s="152" t="n">
        <v>398</v>
      </c>
      <c r="I2305" s="156" t="n"/>
      <c r="J2305" s="90" t="n"/>
      <c r="K2305" s="166" t="n"/>
      <c r="L2305" s="158">
        <f>+H2305*J2305</f>
        <v/>
      </c>
      <c r="M2305" s="159" t="n"/>
    </row>
    <row r="2306">
      <c r="A2306" s="114" t="n">
        <v>46179</v>
      </c>
      <c r="B2306" s="115" t="n">
        <v>790</v>
      </c>
      <c r="C2306" s="115" t="inlineStr">
        <is>
          <t>METİN ERYİĞİT</t>
        </is>
      </c>
      <c r="D2306" s="115" t="inlineStr">
        <is>
          <t>34 EGR 814</t>
        </is>
      </c>
      <c r="E2306" s="115" t="inlineStr">
        <is>
          <t>SEZGİN KOCAGİL</t>
        </is>
      </c>
      <c r="F2306" s="115" t="n">
        <v>636626</v>
      </c>
      <c r="G2306" s="156" t="n"/>
      <c r="H2306" s="152" t="n">
        <v>433</v>
      </c>
      <c r="I2306" s="156" t="n"/>
      <c r="J2306" s="90" t="n"/>
      <c r="K2306" s="166" t="n"/>
      <c r="L2306" s="158">
        <f>+H2306*J2306</f>
        <v/>
      </c>
      <c r="M2306" s="159" t="n"/>
    </row>
    <row r="2307">
      <c r="A2307" s="114" t="n">
        <v>46183</v>
      </c>
      <c r="B2307" s="115" t="n">
        <v>791</v>
      </c>
      <c r="C2307" s="115" t="inlineStr">
        <is>
          <t>METİN ERYİĞİT</t>
        </is>
      </c>
      <c r="D2307" s="115" t="inlineStr">
        <is>
          <t>34 EGR 814</t>
        </is>
      </c>
      <c r="E2307" s="115" t="inlineStr">
        <is>
          <t>SEZGİN KOCAGİL</t>
        </is>
      </c>
      <c r="F2307" s="115" t="n">
        <v>637360</v>
      </c>
      <c r="G2307" s="156" t="n"/>
      <c r="H2307" s="152" t="n">
        <v>385</v>
      </c>
      <c r="I2307" s="156" t="n"/>
      <c r="J2307" s="90" t="n"/>
      <c r="K2307" s="166" t="n"/>
      <c r="L2307" s="158">
        <f>+H2307*J2307</f>
        <v/>
      </c>
      <c r="M2307" s="159" t="n"/>
    </row>
    <row r="2308">
      <c r="A2308" s="114" t="n">
        <v>46185</v>
      </c>
      <c r="B2308" s="115" t="n">
        <v>792</v>
      </c>
      <c r="C2308" s="115" t="inlineStr">
        <is>
          <t>METİN ERYİĞİT</t>
        </is>
      </c>
      <c r="D2308" s="115" t="inlineStr">
        <is>
          <t>34 EGR 814</t>
        </is>
      </c>
      <c r="E2308" s="115" t="inlineStr">
        <is>
          <t>SEZGİN KOCAGİL</t>
        </is>
      </c>
      <c r="F2308" s="115" t="n">
        <v>638094</v>
      </c>
      <c r="G2308" s="156" t="n"/>
      <c r="H2308" s="152" t="n">
        <v>445</v>
      </c>
      <c r="I2308" s="156" t="n"/>
      <c r="J2308" s="90" t="n"/>
      <c r="K2308" s="166" t="n"/>
      <c r="L2308" s="158">
        <f>+H2308*J2308</f>
        <v/>
      </c>
      <c r="M2308" s="159" t="n"/>
    </row>
    <row r="2309">
      <c r="A2309" s="114" t="n">
        <v>46186</v>
      </c>
      <c r="B2309" s="115" t="n">
        <v>793</v>
      </c>
      <c r="C2309" s="115" t="inlineStr">
        <is>
          <t>METİN ERYİĞİT</t>
        </is>
      </c>
      <c r="D2309" s="115" t="inlineStr">
        <is>
          <t>34 EGR 814</t>
        </is>
      </c>
      <c r="E2309" s="115" t="inlineStr">
        <is>
          <t>SEZGİN KOCAGİL</t>
        </is>
      </c>
      <c r="F2309" s="115" t="n">
        <v>638450</v>
      </c>
      <c r="G2309" s="156" t="n"/>
      <c r="H2309" s="152" t="n">
        <v>215</v>
      </c>
      <c r="I2309" s="156" t="n"/>
      <c r="J2309" s="90" t="n"/>
      <c r="K2309" s="166" t="n"/>
      <c r="L2309" s="158">
        <f>+H2309*J2309</f>
        <v/>
      </c>
      <c r="M2309" s="159" t="n"/>
    </row>
    <row r="2310">
      <c r="A2310" s="114" t="n">
        <v>46188</v>
      </c>
      <c r="B2310" s="115" t="n">
        <v>794</v>
      </c>
      <c r="C2310" s="115" t="inlineStr">
        <is>
          <t>METİN ERYİĞİT</t>
        </is>
      </c>
      <c r="D2310" s="115" t="inlineStr">
        <is>
          <t>34 EGR 814</t>
        </is>
      </c>
      <c r="E2310" s="115" t="inlineStr">
        <is>
          <t>SEZGİN KOCAGİL</t>
        </is>
      </c>
      <c r="F2310" s="115" t="n">
        <v>639254</v>
      </c>
      <c r="G2310" s="156" t="n"/>
      <c r="H2310" s="152" t="n">
        <v>150</v>
      </c>
      <c r="I2310" s="156" t="n"/>
      <c r="J2310" s="90" t="n"/>
      <c r="K2310" s="166" t="n"/>
      <c r="L2310" s="158">
        <f>+H2310*J2310</f>
        <v/>
      </c>
      <c r="M2310" s="159" t="n"/>
    </row>
    <row r="2311">
      <c r="A2311" s="114" t="n">
        <v>46188</v>
      </c>
      <c r="B2311" s="115" t="n">
        <v>795</v>
      </c>
      <c r="C2311" s="115" t="inlineStr">
        <is>
          <t>METİN ERYİĞİT</t>
        </is>
      </c>
      <c r="D2311" s="115" t="inlineStr">
        <is>
          <t>34 EGR 814</t>
        </is>
      </c>
      <c r="E2311" s="115" t="inlineStr">
        <is>
          <t>SEZGİN KOCAGİL</t>
        </is>
      </c>
      <c r="F2311" s="115" t="n">
        <v>639424</v>
      </c>
      <c r="G2311" s="156" t="n"/>
      <c r="H2311" s="152" t="n">
        <v>364</v>
      </c>
      <c r="I2311" s="156" t="n"/>
      <c r="J2311" s="90" t="n"/>
      <c r="K2311" s="166" t="n"/>
      <c r="L2311" s="158">
        <f>+H2311*J2311</f>
        <v/>
      </c>
      <c r="M2311" s="159" t="n"/>
    </row>
    <row r="2312">
      <c r="A2312" s="114" t="n">
        <v>46174</v>
      </c>
      <c r="B2312" s="115" t="n">
        <v>743</v>
      </c>
      <c r="C2312" s="115" t="inlineStr">
        <is>
          <t>METİN ERYİĞİT</t>
        </is>
      </c>
      <c r="D2312" s="115" t="inlineStr">
        <is>
          <t>34 EGS 013</t>
        </is>
      </c>
      <c r="E2312" s="115" t="inlineStr">
        <is>
          <t>UĞUR DUMAN</t>
        </is>
      </c>
      <c r="F2312" s="115" t="n">
        <v>585966</v>
      </c>
      <c r="G2312" s="156" t="n"/>
      <c r="H2312" s="152" t="n">
        <v>396</v>
      </c>
      <c r="I2312" s="156" t="n"/>
      <c r="J2312" s="90" t="n"/>
      <c r="K2312" s="166" t="n"/>
      <c r="L2312" s="158">
        <f>+H2312*J2312</f>
        <v/>
      </c>
      <c r="M2312" s="159" t="n"/>
    </row>
    <row r="2313">
      <c r="A2313" s="114" t="n">
        <v>46175</v>
      </c>
      <c r="B2313" s="115" t="n">
        <v>744</v>
      </c>
      <c r="C2313" s="115" t="inlineStr">
        <is>
          <t>METİN ERYİĞİT</t>
        </is>
      </c>
      <c r="D2313" s="115" t="inlineStr">
        <is>
          <t>34 EGS 013</t>
        </is>
      </c>
      <c r="E2313" s="115" t="inlineStr">
        <is>
          <t>UĞUR DUMAN</t>
        </is>
      </c>
      <c r="F2313" s="115" t="n">
        <v>586515</v>
      </c>
      <c r="G2313" s="156" t="n"/>
      <c r="H2313" s="152" t="n">
        <v>325</v>
      </c>
      <c r="I2313" s="156" t="n"/>
      <c r="J2313" s="90" t="n"/>
      <c r="K2313" s="166" t="n"/>
      <c r="L2313" s="158">
        <f>+H2313*J2313</f>
        <v/>
      </c>
      <c r="M2313" s="159" t="n"/>
    </row>
    <row r="2314">
      <c r="A2314" s="114" t="n">
        <v>46177</v>
      </c>
      <c r="B2314" s="115" t="n">
        <v>745</v>
      </c>
      <c r="C2314" s="115" t="inlineStr">
        <is>
          <t>METİN ERYİĞİT</t>
        </is>
      </c>
      <c r="D2314" s="115" t="inlineStr">
        <is>
          <t>34 EGS 013</t>
        </is>
      </c>
      <c r="E2314" s="115" t="inlineStr">
        <is>
          <t>UĞUR DUMAN</t>
        </is>
      </c>
      <c r="F2314" s="115" t="n">
        <v>587156</v>
      </c>
      <c r="G2314" s="156" t="n"/>
      <c r="H2314" s="152" t="n">
        <v>379</v>
      </c>
      <c r="I2314" s="156" t="n"/>
      <c r="J2314" s="90" t="n"/>
      <c r="K2314" s="166" t="n"/>
      <c r="L2314" s="158">
        <f>+H2314*J2314</f>
        <v/>
      </c>
      <c r="M2314" s="159" t="n"/>
    </row>
    <row r="2315">
      <c r="A2315" s="114" t="n">
        <v>46180</v>
      </c>
      <c r="B2315" s="115" t="n">
        <v>746</v>
      </c>
      <c r="C2315" s="115" t="inlineStr">
        <is>
          <t>METİN ERYİĞİT</t>
        </is>
      </c>
      <c r="D2315" s="115" t="inlineStr">
        <is>
          <t>34 EGS 013</t>
        </is>
      </c>
      <c r="E2315" s="115" t="inlineStr">
        <is>
          <t>UĞUR DUMAN</t>
        </is>
      </c>
      <c r="F2315" s="115" t="n">
        <v>587927</v>
      </c>
      <c r="G2315" s="156" t="n"/>
      <c r="H2315" s="152" t="n">
        <v>433</v>
      </c>
      <c r="I2315" s="156" t="n"/>
      <c r="J2315" s="90" t="n"/>
      <c r="K2315" s="166" t="n"/>
      <c r="L2315" s="158">
        <f>+H2315*J2315</f>
        <v/>
      </c>
      <c r="M2315" s="159" t="n"/>
    </row>
    <row r="2316">
      <c r="A2316" s="114" t="n">
        <v>46182</v>
      </c>
      <c r="B2316" s="115" t="n">
        <v>747</v>
      </c>
      <c r="C2316" s="115" t="inlineStr">
        <is>
          <t>METİN ERYİĞİT</t>
        </is>
      </c>
      <c r="D2316" s="115" t="inlineStr">
        <is>
          <t>34 EGS 013</t>
        </is>
      </c>
      <c r="E2316" s="115" t="inlineStr">
        <is>
          <t>UĞUR DUMAN</t>
        </is>
      </c>
      <c r="F2316" s="115" t="n">
        <v>588635</v>
      </c>
      <c r="G2316" s="156" t="n"/>
      <c r="H2316" s="152" t="n">
        <v>378</v>
      </c>
      <c r="I2316" s="156" t="n"/>
      <c r="J2316" s="90" t="n"/>
      <c r="K2316" s="166" t="n"/>
      <c r="L2316" s="158">
        <f>+H2316*J2316</f>
        <v/>
      </c>
      <c r="M2316" s="159" t="n"/>
    </row>
    <row r="2317">
      <c r="A2317" s="114" t="n">
        <v>46184</v>
      </c>
      <c r="B2317" s="115" t="n">
        <v>748</v>
      </c>
      <c r="C2317" s="115" t="inlineStr">
        <is>
          <t>METİN ERYİĞİT</t>
        </is>
      </c>
      <c r="D2317" s="115" t="inlineStr">
        <is>
          <t>34 EGS 013</t>
        </is>
      </c>
      <c r="E2317" s="115" t="inlineStr">
        <is>
          <t>UĞUR DUMAN</t>
        </is>
      </c>
      <c r="F2317" s="115" t="n">
        <v>589382</v>
      </c>
      <c r="G2317" s="156" t="n"/>
      <c r="H2317" s="152" t="n">
        <v>425</v>
      </c>
      <c r="I2317" s="156" t="n"/>
      <c r="J2317" s="90" t="n"/>
      <c r="K2317" s="166" t="n"/>
      <c r="L2317" s="158">
        <f>+H2317*J2317</f>
        <v/>
      </c>
      <c r="M2317" s="159" t="n"/>
    </row>
    <row r="2318">
      <c r="A2318" s="114" t="n">
        <v>46186</v>
      </c>
      <c r="B2318" s="115" t="n">
        <v>749</v>
      </c>
      <c r="C2318" s="115" t="inlineStr">
        <is>
          <t>METİN ERYİĞİT</t>
        </is>
      </c>
      <c r="D2318" s="115" t="inlineStr">
        <is>
          <t>34 EGS 013</t>
        </is>
      </c>
      <c r="E2318" s="115" t="inlineStr">
        <is>
          <t>UĞUR DUMAN</t>
        </is>
      </c>
      <c r="F2318" s="115" t="n">
        <v>590196</v>
      </c>
      <c r="G2318" s="156" t="n"/>
      <c r="H2318" s="152" t="n">
        <v>444</v>
      </c>
      <c r="I2318" s="156" t="n"/>
      <c r="J2318" s="90" t="n"/>
      <c r="K2318" s="166" t="n"/>
      <c r="L2318" s="158">
        <f>+H2318*J2318</f>
        <v/>
      </c>
      <c r="M2318" s="159" t="n"/>
    </row>
    <row r="2319">
      <c r="A2319" s="114" t="n">
        <v>46174</v>
      </c>
      <c r="B2319" s="115" t="n">
        <v>847</v>
      </c>
      <c r="C2319" s="115" t="inlineStr">
        <is>
          <t>METİN ERYİĞİT</t>
        </is>
      </c>
      <c r="D2319" s="115" t="inlineStr">
        <is>
          <t>34 GBL 998</t>
        </is>
      </c>
      <c r="E2319" s="115" t="inlineStr">
        <is>
          <t>ALİ KESKİN</t>
        </is>
      </c>
      <c r="F2319" s="115" t="n">
        <v>373287</v>
      </c>
      <c r="G2319" s="156" t="n"/>
      <c r="H2319" s="152" t="n">
        <v>367</v>
      </c>
      <c r="I2319" s="156" t="n"/>
      <c r="J2319" s="90" t="n"/>
      <c r="K2319" s="166" t="n"/>
      <c r="L2319" s="158">
        <f>+H2319*J2319</f>
        <v/>
      </c>
      <c r="M2319" s="159" t="n"/>
    </row>
    <row r="2320">
      <c r="A2320" s="114" t="n">
        <v>46176</v>
      </c>
      <c r="B2320" s="115" t="n">
        <v>848</v>
      </c>
      <c r="C2320" s="115" t="inlineStr">
        <is>
          <t>METİN ERYİĞİT</t>
        </is>
      </c>
      <c r="D2320" s="115" t="inlineStr">
        <is>
          <t>34 GBL 998</t>
        </is>
      </c>
      <c r="E2320" s="115" t="inlineStr">
        <is>
          <t>ALİ KESKİN</t>
        </is>
      </c>
      <c r="F2320" s="115" t="n">
        <v>373936</v>
      </c>
      <c r="G2320" s="156" t="n"/>
      <c r="H2320" s="152" t="n">
        <v>380</v>
      </c>
      <c r="I2320" s="156" t="n"/>
      <c r="J2320" s="90" t="n"/>
      <c r="K2320" s="166" t="n"/>
      <c r="L2320" s="158">
        <f>+H2320*J2320</f>
        <v/>
      </c>
      <c r="M2320" s="159" t="n"/>
    </row>
    <row r="2321">
      <c r="A2321" s="114" t="n">
        <v>46178</v>
      </c>
      <c r="B2321" s="115" t="n">
        <v>849</v>
      </c>
      <c r="C2321" s="115" t="inlineStr">
        <is>
          <t>METİN ERYİĞİT</t>
        </is>
      </c>
      <c r="D2321" s="115" t="inlineStr">
        <is>
          <t>34 GBL 998</t>
        </is>
      </c>
      <c r="E2321" s="115" t="inlineStr">
        <is>
          <t>ALİ KESKİN</t>
        </is>
      </c>
      <c r="F2321" s="115" t="n">
        <v>374580</v>
      </c>
      <c r="G2321" s="156" t="n"/>
      <c r="H2321" s="152" t="n">
        <v>349</v>
      </c>
      <c r="I2321" s="156" t="n"/>
      <c r="J2321" s="90" t="n"/>
      <c r="K2321" s="166" t="n"/>
      <c r="L2321" s="158">
        <f>+H2321*J2321</f>
        <v/>
      </c>
      <c r="M2321" s="159" t="n"/>
    </row>
    <row r="2322">
      <c r="A2322" s="114" t="n">
        <v>46181</v>
      </c>
      <c r="B2322" s="115" t="n">
        <v>850</v>
      </c>
      <c r="C2322" s="115" t="inlineStr">
        <is>
          <t>METİN ERYİĞİT</t>
        </is>
      </c>
      <c r="D2322" s="115" t="inlineStr">
        <is>
          <t>34 GBL 998</t>
        </is>
      </c>
      <c r="E2322" s="115" t="inlineStr">
        <is>
          <t>ALİ KESKİN</t>
        </is>
      </c>
      <c r="F2322" s="115" t="n">
        <v>375324</v>
      </c>
      <c r="G2322" s="156" t="n"/>
      <c r="H2322" s="152" t="n">
        <v>346</v>
      </c>
      <c r="I2322" s="156" t="n"/>
      <c r="J2322" s="90" t="n"/>
      <c r="K2322" s="166" t="n"/>
      <c r="L2322" s="158">
        <f>+H2322*J2322</f>
        <v/>
      </c>
      <c r="M2322" s="159" t="n"/>
    </row>
    <row r="2323">
      <c r="A2323" s="114" t="n">
        <v>46183</v>
      </c>
      <c r="B2323" s="115" t="n">
        <v>851</v>
      </c>
      <c r="C2323" s="115" t="inlineStr">
        <is>
          <t>METİN ERYİĞİT</t>
        </is>
      </c>
      <c r="D2323" s="115" t="inlineStr">
        <is>
          <t>34 GBL 998</t>
        </is>
      </c>
      <c r="E2323" s="115" t="inlineStr">
        <is>
          <t>ALİ KESKİN</t>
        </is>
      </c>
      <c r="F2323" s="115" t="n">
        <v>375977</v>
      </c>
      <c r="G2323" s="156" t="n"/>
      <c r="H2323" s="152" t="n">
        <v>338</v>
      </c>
      <c r="I2323" s="156" t="n"/>
      <c r="J2323" s="90" t="n"/>
      <c r="K2323" s="166" t="n"/>
      <c r="L2323" s="158">
        <f>+H2323*J2323</f>
        <v/>
      </c>
      <c r="M2323" s="159" t="n"/>
    </row>
    <row r="2324">
      <c r="A2324" s="114" t="n">
        <v>46185</v>
      </c>
      <c r="B2324" s="115" t="n">
        <v>852</v>
      </c>
      <c r="C2324" s="115" t="inlineStr">
        <is>
          <t>METİN ERYİĞİT</t>
        </is>
      </c>
      <c r="D2324" s="115" t="inlineStr">
        <is>
          <t>34 GBL 998</t>
        </is>
      </c>
      <c r="E2324" s="115" t="inlineStr">
        <is>
          <t>ALİ KESKİN</t>
        </is>
      </c>
      <c r="F2324" s="115" t="n">
        <v>376799</v>
      </c>
      <c r="G2324" s="156" t="n"/>
      <c r="H2324" s="152" t="n">
        <v>397</v>
      </c>
      <c r="I2324" s="156" t="n"/>
      <c r="J2324" s="90" t="n"/>
      <c r="K2324" s="166" t="n"/>
      <c r="L2324" s="158">
        <f>+H2324*J2324</f>
        <v/>
      </c>
      <c r="M2324" s="159" t="n"/>
    </row>
    <row r="2325">
      <c r="A2325" s="114" t="n">
        <v>46188</v>
      </c>
      <c r="B2325" s="115" t="n">
        <v>853</v>
      </c>
      <c r="C2325" s="115" t="inlineStr">
        <is>
          <t>METİN ERYİĞİT</t>
        </is>
      </c>
      <c r="D2325" s="115" t="inlineStr">
        <is>
          <t>34 GBL 998</t>
        </is>
      </c>
      <c r="E2325" s="115" t="inlineStr">
        <is>
          <t>ALİ KESKİN</t>
        </is>
      </c>
      <c r="F2325" s="115" t="n">
        <v>377755</v>
      </c>
      <c r="G2325" s="156" t="n"/>
      <c r="H2325" s="152" t="n">
        <v>457</v>
      </c>
      <c r="I2325" s="156" t="n"/>
      <c r="J2325" s="90" t="n"/>
      <c r="K2325" s="166" t="n"/>
      <c r="L2325" s="158">
        <f>+H2325*J2325</f>
        <v/>
      </c>
      <c r="M2325" s="159" t="n"/>
    </row>
    <row r="2326">
      <c r="A2326" s="114" t="n">
        <v>46174</v>
      </c>
      <c r="B2326" s="115" t="n">
        <v>1420</v>
      </c>
      <c r="C2326" s="115" t="inlineStr">
        <is>
          <t>AZGÜN YAPI</t>
        </is>
      </c>
      <c r="D2326" s="115" t="inlineStr">
        <is>
          <t>34 MKT 859</t>
        </is>
      </c>
      <c r="E2326" s="115" t="inlineStr">
        <is>
          <t>İRFAN DAĞLAR</t>
        </is>
      </c>
      <c r="F2326" s="115" t="n"/>
      <c r="G2326" s="156" t="n"/>
      <c r="H2326" s="152" t="n">
        <v>306</v>
      </c>
      <c r="I2326" s="156" t="n"/>
      <c r="J2326" s="90" t="n"/>
      <c r="K2326" s="166" t="n"/>
      <c r="L2326" s="158">
        <f>+H2326*J2326</f>
        <v/>
      </c>
      <c r="M2326" s="159" t="n"/>
    </row>
    <row r="2327">
      <c r="A2327" s="114" t="n">
        <v>46175</v>
      </c>
      <c r="B2327" s="115" t="n">
        <v>1421</v>
      </c>
      <c r="C2327" s="115" t="inlineStr">
        <is>
          <t>AZGÜN YAPI</t>
        </is>
      </c>
      <c r="D2327" s="115" t="inlineStr">
        <is>
          <t>34 MKT 859</t>
        </is>
      </c>
      <c r="E2327" s="115" t="inlineStr">
        <is>
          <t>İRFAN DAĞLAR</t>
        </is>
      </c>
      <c r="F2327" s="115" t="n"/>
      <c r="G2327" s="156" t="n"/>
      <c r="H2327" s="152" t="n">
        <v>352</v>
      </c>
      <c r="I2327" s="156" t="n"/>
      <c r="J2327" s="90" t="n"/>
      <c r="K2327" s="166" t="n"/>
      <c r="L2327" s="158">
        <f>+H2327*J2327</f>
        <v/>
      </c>
      <c r="M2327" s="159" t="n"/>
    </row>
    <row r="2328">
      <c r="A2328" s="114" t="n">
        <v>46177</v>
      </c>
      <c r="B2328" s="115" t="n">
        <v>1422</v>
      </c>
      <c r="C2328" s="115" t="inlineStr">
        <is>
          <t>AZGÜN YAPI</t>
        </is>
      </c>
      <c r="D2328" s="115" t="inlineStr">
        <is>
          <t>34 MKT 859</t>
        </is>
      </c>
      <c r="E2328" s="115" t="inlineStr">
        <is>
          <t>İRFAN DAĞLAR</t>
        </is>
      </c>
      <c r="F2328" s="115" t="n"/>
      <c r="G2328" s="156" t="n"/>
      <c r="H2328" s="152" t="n">
        <v>296</v>
      </c>
      <c r="I2328" s="156" t="n"/>
      <c r="J2328" s="90" t="n"/>
      <c r="K2328" s="166" t="n"/>
      <c r="L2328" s="158">
        <f>+H2328*J2328</f>
        <v/>
      </c>
      <c r="M2328" s="159" t="n"/>
    </row>
    <row r="2329">
      <c r="A2329" s="114" t="n">
        <v>46179</v>
      </c>
      <c r="B2329" s="115" t="n">
        <v>1423</v>
      </c>
      <c r="C2329" s="115" t="inlineStr">
        <is>
          <t>AZGÜN YAPI</t>
        </is>
      </c>
      <c r="D2329" s="115" t="inlineStr">
        <is>
          <t>34 MKT 859</t>
        </is>
      </c>
      <c r="E2329" s="115" t="inlineStr">
        <is>
          <t>İRFAN DAĞLAR</t>
        </is>
      </c>
      <c r="F2329" s="115" t="n"/>
      <c r="G2329" s="156" t="n"/>
      <c r="H2329" s="152" t="n">
        <v>345</v>
      </c>
      <c r="I2329" s="156" t="n"/>
      <c r="J2329" s="90" t="n"/>
      <c r="K2329" s="166" t="n"/>
      <c r="L2329" s="158">
        <f>+H2329*J2329</f>
        <v/>
      </c>
      <c r="M2329" s="159" t="n"/>
    </row>
    <row r="2330">
      <c r="A2330" s="114" t="n">
        <v>46174</v>
      </c>
      <c r="B2330" s="115" t="n">
        <v>2309</v>
      </c>
      <c r="C2330" s="115" t="inlineStr">
        <is>
          <t>AZGÜN YAPI</t>
        </is>
      </c>
      <c r="D2330" s="115" t="inlineStr">
        <is>
          <t>34 DTV 263</t>
        </is>
      </c>
      <c r="E2330" s="115" t="inlineStr">
        <is>
          <t>DURSUN ALİ GÜREK</t>
        </is>
      </c>
      <c r="F2330" s="115" t="n"/>
      <c r="G2330" s="156" t="n"/>
      <c r="H2330" s="152" t="n">
        <v>296</v>
      </c>
      <c r="I2330" s="156" t="n"/>
      <c r="J2330" s="90" t="n"/>
      <c r="K2330" s="166" t="n"/>
      <c r="L2330" s="158">
        <f>+H2330*J2330</f>
        <v/>
      </c>
      <c r="M2330" s="159" t="n"/>
    </row>
    <row r="2331">
      <c r="A2331" s="114" t="n">
        <v>46176</v>
      </c>
      <c r="B2331" s="115" t="n">
        <v>2310</v>
      </c>
      <c r="C2331" s="115" t="inlineStr">
        <is>
          <t>AZGÜN YAPI</t>
        </is>
      </c>
      <c r="D2331" s="115" t="inlineStr">
        <is>
          <t>34 DTV 263</t>
        </is>
      </c>
      <c r="E2331" s="115" t="inlineStr">
        <is>
          <t>DURSUN ALİ GÜREK</t>
        </is>
      </c>
      <c r="F2331" s="115" t="n"/>
      <c r="G2331" s="156" t="n"/>
      <c r="H2331" s="152" t="n">
        <v>363</v>
      </c>
      <c r="I2331" s="156" t="n"/>
      <c r="J2331" s="90" t="n"/>
      <c r="K2331" s="166" t="n"/>
      <c r="L2331" s="158">
        <f>+H2331*J2331</f>
        <v/>
      </c>
      <c r="M2331" s="159" t="n"/>
    </row>
    <row r="2332">
      <c r="A2332" s="114" t="n">
        <v>46178</v>
      </c>
      <c r="B2332" s="115" t="n">
        <v>2311</v>
      </c>
      <c r="C2332" s="115" t="inlineStr">
        <is>
          <t>AZGÜN YAPI</t>
        </is>
      </c>
      <c r="D2332" s="115" t="inlineStr">
        <is>
          <t>34 DTV 263</t>
        </is>
      </c>
      <c r="E2332" s="115" t="inlineStr">
        <is>
          <t>DURSUN ALİ GÜREK</t>
        </is>
      </c>
      <c r="F2332" s="115" t="n"/>
      <c r="G2332" s="156" t="n"/>
      <c r="H2332" s="152" t="n">
        <v>294</v>
      </c>
      <c r="I2332" s="156" t="n"/>
      <c r="J2332" s="90" t="n"/>
      <c r="K2332" s="166" t="n"/>
      <c r="L2332" s="158">
        <f>+H2332*J2332</f>
        <v/>
      </c>
      <c r="M2332" s="159" t="n"/>
    </row>
    <row r="2333">
      <c r="A2333" s="114" t="n">
        <v>46182</v>
      </c>
      <c r="B2333" s="115" t="n">
        <v>2312</v>
      </c>
      <c r="C2333" s="115" t="inlineStr">
        <is>
          <t>AZGÜN YAPI</t>
        </is>
      </c>
      <c r="D2333" s="115" t="inlineStr">
        <is>
          <t>34 DTV 263</t>
        </is>
      </c>
      <c r="E2333" s="115" t="inlineStr">
        <is>
          <t>DURSUN ALİ GÜREK</t>
        </is>
      </c>
      <c r="F2333" s="115" t="n"/>
      <c r="G2333" s="156" t="n"/>
      <c r="H2333" s="152" t="n">
        <v>395</v>
      </c>
      <c r="I2333" s="156" t="n"/>
      <c r="J2333" s="90" t="n"/>
      <c r="K2333" s="166" t="n"/>
      <c r="L2333" s="158">
        <f>+H2333*J2333</f>
        <v/>
      </c>
      <c r="M2333" s="159" t="n"/>
    </row>
    <row r="2334">
      <c r="A2334" s="114" t="n">
        <v>46184</v>
      </c>
      <c r="B2334" s="115" t="n">
        <v>2313</v>
      </c>
      <c r="C2334" s="115" t="inlineStr">
        <is>
          <t>AZGÜN YAPI</t>
        </is>
      </c>
      <c r="D2334" s="115" t="inlineStr">
        <is>
          <t>34 DTV 263</t>
        </is>
      </c>
      <c r="E2334" s="115" t="inlineStr">
        <is>
          <t>DURSUN ALİ GÜREK</t>
        </is>
      </c>
      <c r="F2334" s="115" t="n"/>
      <c r="G2334" s="156" t="n"/>
      <c r="H2334" s="152" t="n">
        <v>335</v>
      </c>
      <c r="I2334" s="156" t="n"/>
      <c r="J2334" s="90" t="n"/>
      <c r="K2334" s="166" t="n"/>
      <c r="L2334" s="158">
        <f>+H2334*J2334</f>
        <v/>
      </c>
      <c r="M2334" s="159" t="n"/>
    </row>
    <row r="2335">
      <c r="A2335" s="114" t="n">
        <v>46185</v>
      </c>
      <c r="B2335" s="115" t="n">
        <v>2314</v>
      </c>
      <c r="C2335" s="115" t="inlineStr">
        <is>
          <t>AZGÜN YAPI</t>
        </is>
      </c>
      <c r="D2335" s="115" t="inlineStr">
        <is>
          <t>34 DTV 263</t>
        </is>
      </c>
      <c r="E2335" s="115" t="inlineStr">
        <is>
          <t>DURSUN ALİ GÜREK</t>
        </is>
      </c>
      <c r="F2335" s="115" t="n"/>
      <c r="G2335" s="156" t="n"/>
      <c r="H2335" s="152" t="n">
        <v>342</v>
      </c>
      <c r="I2335" s="156" t="n"/>
      <c r="J2335" s="90" t="n"/>
      <c r="K2335" s="166" t="n"/>
      <c r="L2335" s="158">
        <f>+H2335*J2335</f>
        <v/>
      </c>
      <c r="M2335" s="159" t="n"/>
    </row>
    <row r="2336">
      <c r="A2336" s="114" t="n">
        <v>46174</v>
      </c>
      <c r="B2336" s="115" t="n">
        <v>1817</v>
      </c>
      <c r="C2336" s="115" t="inlineStr">
        <is>
          <t>AZGÜN YAPI</t>
        </is>
      </c>
      <c r="D2336" s="115" t="inlineStr">
        <is>
          <t xml:space="preserve">34 MKT 593 </t>
        </is>
      </c>
      <c r="E2336" s="115" t="inlineStr">
        <is>
          <t>TURGUT ÇATAL</t>
        </is>
      </c>
      <c r="F2336" s="115" t="n"/>
      <c r="G2336" s="156" t="n"/>
      <c r="H2336" s="152" t="n">
        <v>150</v>
      </c>
      <c r="I2336" s="156" t="n"/>
      <c r="J2336" s="90" t="n"/>
      <c r="K2336" s="166" t="n"/>
      <c r="L2336" s="158">
        <f>+H2336*J2336</f>
        <v/>
      </c>
      <c r="M2336" s="159" t="n"/>
    </row>
    <row r="2337">
      <c r="A2337" s="114" t="n">
        <v>46175</v>
      </c>
      <c r="B2337" s="115" t="n">
        <v>1818</v>
      </c>
      <c r="C2337" s="115" t="inlineStr">
        <is>
          <t>AZGÜN YAPI</t>
        </is>
      </c>
      <c r="D2337" s="115" t="inlineStr">
        <is>
          <t xml:space="preserve">34 MKT 593 </t>
        </is>
      </c>
      <c r="E2337" s="115" t="inlineStr">
        <is>
          <t>TURGUT ÇATAL</t>
        </is>
      </c>
      <c r="F2337" s="115" t="n"/>
      <c r="G2337" s="156" t="n"/>
      <c r="H2337" s="152" t="n">
        <v>324</v>
      </c>
      <c r="I2337" s="156" t="n"/>
      <c r="J2337" s="90" t="n"/>
      <c r="K2337" s="166" t="n"/>
      <c r="L2337" s="158">
        <f>+H2337*J2337</f>
        <v/>
      </c>
      <c r="M2337" s="159" t="n"/>
    </row>
    <row r="2338">
      <c r="A2338" s="114" t="n">
        <v>46177</v>
      </c>
      <c r="B2338" s="115" t="n">
        <v>1819</v>
      </c>
      <c r="C2338" s="115" t="inlineStr">
        <is>
          <t>AZGÜN YAPI</t>
        </is>
      </c>
      <c r="D2338" s="115" t="inlineStr">
        <is>
          <t xml:space="preserve">34 MKT 593 </t>
        </is>
      </c>
      <c r="E2338" s="115" t="inlineStr">
        <is>
          <t>TURGUT ÇATAL</t>
        </is>
      </c>
      <c r="F2338" s="115" t="n"/>
      <c r="G2338" s="156" t="n"/>
      <c r="H2338" s="152" t="n">
        <v>273</v>
      </c>
      <c r="I2338" s="156" t="n"/>
      <c r="J2338" s="90" t="n"/>
      <c r="K2338" s="166" t="n"/>
      <c r="L2338" s="158">
        <f>+H2338*J2338</f>
        <v/>
      </c>
      <c r="M2338" s="159" t="n"/>
    </row>
    <row r="2339">
      <c r="A2339" s="114" t="n">
        <v>46179</v>
      </c>
      <c r="B2339" s="115" t="n">
        <v>1820</v>
      </c>
      <c r="C2339" s="115" t="inlineStr">
        <is>
          <t>AZGÜN YAPI</t>
        </is>
      </c>
      <c r="D2339" s="115" t="inlineStr">
        <is>
          <t xml:space="preserve">34 MKT 593 </t>
        </is>
      </c>
      <c r="E2339" s="115" t="inlineStr">
        <is>
          <t>TURGUT ÇATAL</t>
        </is>
      </c>
      <c r="F2339" s="115" t="n"/>
      <c r="G2339" s="156" t="n"/>
      <c r="H2339" s="152" t="n">
        <v>325</v>
      </c>
      <c r="I2339" s="156" t="n"/>
      <c r="J2339" s="90" t="n"/>
      <c r="K2339" s="166" t="n"/>
      <c r="L2339" s="158">
        <f>+H2339*J2339</f>
        <v/>
      </c>
      <c r="M2339" s="159" t="n"/>
    </row>
    <row r="2340">
      <c r="A2340" s="114" t="n">
        <v>46182</v>
      </c>
      <c r="B2340" s="115" t="n">
        <v>1821</v>
      </c>
      <c r="C2340" s="115" t="inlineStr">
        <is>
          <t>AZGÜN YAPI</t>
        </is>
      </c>
      <c r="D2340" s="115" t="inlineStr">
        <is>
          <t xml:space="preserve">34 MKT 593 </t>
        </is>
      </c>
      <c r="E2340" s="115" t="inlineStr">
        <is>
          <t>TURGUT ÇATAL</t>
        </is>
      </c>
      <c r="F2340" s="115" t="n"/>
      <c r="G2340" s="156" t="n"/>
      <c r="H2340" s="152" t="n">
        <v>310</v>
      </c>
      <c r="I2340" s="156" t="n"/>
      <c r="J2340" s="90" t="n"/>
      <c r="K2340" s="166" t="n"/>
      <c r="L2340" s="158">
        <f>+H2340*J2340</f>
        <v/>
      </c>
      <c r="M2340" s="159" t="n"/>
    </row>
    <row r="2341">
      <c r="A2341" s="114" t="n">
        <v>46184</v>
      </c>
      <c r="B2341" s="115" t="n">
        <v>1822</v>
      </c>
      <c r="C2341" s="115" t="inlineStr">
        <is>
          <t>AZGÜN YAPI</t>
        </is>
      </c>
      <c r="D2341" s="115" t="inlineStr">
        <is>
          <t xml:space="preserve">34 MKT 593 </t>
        </is>
      </c>
      <c r="E2341" s="115" t="inlineStr">
        <is>
          <t>TURGUT ÇATAL</t>
        </is>
      </c>
      <c r="F2341" s="115" t="n"/>
      <c r="G2341" s="156" t="n"/>
      <c r="H2341" s="152" t="n">
        <v>326</v>
      </c>
      <c r="I2341" s="156" t="n"/>
      <c r="J2341" s="90" t="n"/>
      <c r="K2341" s="166" t="n"/>
      <c r="L2341" s="158">
        <f>+H2341*J2341</f>
        <v/>
      </c>
      <c r="M2341" s="159" t="n"/>
    </row>
    <row r="2342">
      <c r="A2342" s="114" t="n">
        <v>46185</v>
      </c>
      <c r="B2342" s="115" t="n">
        <v>1823</v>
      </c>
      <c r="C2342" s="115" t="inlineStr">
        <is>
          <t>AZGÜN YAPI</t>
        </is>
      </c>
      <c r="D2342" s="115" t="inlineStr">
        <is>
          <t xml:space="preserve">34 MKT 593 </t>
        </is>
      </c>
      <c r="E2342" s="115" t="inlineStr">
        <is>
          <t>TURGUT ÇATAL</t>
        </is>
      </c>
      <c r="F2342" s="115" t="n"/>
      <c r="G2342" s="156" t="n"/>
      <c r="H2342" s="152" t="n">
        <v>160</v>
      </c>
      <c r="I2342" s="156" t="n"/>
      <c r="J2342" s="90" t="n"/>
      <c r="K2342" s="166" t="n"/>
      <c r="L2342" s="158">
        <f>+H2342*J2342</f>
        <v/>
      </c>
      <c r="M2342" s="159" t="n"/>
    </row>
    <row r="2343">
      <c r="A2343" s="114" t="n">
        <v>46188</v>
      </c>
      <c r="B2343" s="115" t="n">
        <v>1824</v>
      </c>
      <c r="C2343" s="115" t="inlineStr">
        <is>
          <t>AZGÜN YAPI</t>
        </is>
      </c>
      <c r="D2343" s="115" t="inlineStr">
        <is>
          <t xml:space="preserve">34 MKT 593 </t>
        </is>
      </c>
      <c r="E2343" s="115" t="inlineStr">
        <is>
          <t>TURGUT ÇATAL</t>
        </is>
      </c>
      <c r="F2343" s="115" t="n"/>
      <c r="G2343" s="156" t="n"/>
      <c r="H2343" s="152" t="n">
        <v>418</v>
      </c>
      <c r="I2343" s="156" t="n"/>
      <c r="J2343" s="90" t="n"/>
      <c r="K2343" s="166" t="n"/>
      <c r="L2343" s="158">
        <f>+H2343*J2343</f>
        <v/>
      </c>
      <c r="M2343" s="159" t="n"/>
    </row>
    <row r="2344">
      <c r="A2344" s="114" t="n">
        <v>46174</v>
      </c>
      <c r="B2344" s="115" t="n">
        <v>2799</v>
      </c>
      <c r="C2344" s="115" t="inlineStr">
        <is>
          <t>VARLIK</t>
        </is>
      </c>
      <c r="D2344" s="115" t="inlineStr">
        <is>
          <t>SM 330</t>
        </is>
      </c>
      <c r="E2344" s="115" t="inlineStr">
        <is>
          <t>TURGUT ÇATAL</t>
        </is>
      </c>
      <c r="F2344" s="115" t="n"/>
      <c r="G2344" s="156" t="n"/>
      <c r="H2344" s="152" t="n">
        <v>439</v>
      </c>
      <c r="I2344" s="156" t="n"/>
      <c r="J2344" s="90" t="n"/>
      <c r="K2344" s="166" t="n"/>
      <c r="L2344" s="158">
        <f>+H2344*J2344</f>
        <v/>
      </c>
      <c r="M2344" s="159" t="n"/>
    </row>
    <row r="2345">
      <c r="A2345" s="114" t="n">
        <v>46174</v>
      </c>
      <c r="B2345" s="115" t="n">
        <v>2800</v>
      </c>
      <c r="C2345" s="115" t="inlineStr">
        <is>
          <t>VARLIK</t>
        </is>
      </c>
      <c r="D2345" s="115" t="inlineStr">
        <is>
          <t>SM 350</t>
        </is>
      </c>
      <c r="E2345" s="115" t="inlineStr">
        <is>
          <t>MUHAMMED</t>
        </is>
      </c>
      <c r="F2345" s="115" t="n"/>
      <c r="G2345" s="156" t="n"/>
      <c r="H2345" s="152" t="n">
        <v>476</v>
      </c>
      <c r="I2345" s="156" t="n"/>
      <c r="J2345" s="90" t="n"/>
      <c r="K2345" s="166" t="n"/>
      <c r="L2345" s="158">
        <f>+H2345*J2345</f>
        <v/>
      </c>
      <c r="M2345" s="159" t="n"/>
    </row>
    <row r="2346">
      <c r="A2346" s="114" t="n">
        <v>46174</v>
      </c>
      <c r="B2346" s="115" t="n">
        <v>2801</v>
      </c>
      <c r="C2346" s="115" t="inlineStr">
        <is>
          <t>ŞEN KASAP</t>
        </is>
      </c>
      <c r="D2346" s="115" t="inlineStr">
        <is>
          <t>SM 370</t>
        </is>
      </c>
      <c r="E2346" s="115" t="inlineStr">
        <is>
          <t>YUSUF</t>
        </is>
      </c>
      <c r="F2346" s="115" t="n"/>
      <c r="G2346" s="156" t="n"/>
      <c r="H2346" s="152" t="n">
        <v>440</v>
      </c>
      <c r="I2346" s="156" t="n"/>
      <c r="J2346" s="90" t="n"/>
      <c r="K2346" s="166" t="n"/>
      <c r="L2346" s="158">
        <f>+H2346*J2346</f>
        <v/>
      </c>
      <c r="M2346" s="159" t="n"/>
    </row>
    <row r="2347">
      <c r="A2347" s="114" t="n">
        <v>46174</v>
      </c>
      <c r="B2347" s="115" t="n">
        <v>2802</v>
      </c>
      <c r="C2347" s="115" t="inlineStr">
        <is>
          <t>CAKYOL</t>
        </is>
      </c>
      <c r="D2347" s="115" t="inlineStr">
        <is>
          <t>34 EV 0188</t>
        </is>
      </c>
      <c r="E2347" s="115" t="inlineStr">
        <is>
          <t>SİNAN</t>
        </is>
      </c>
      <c r="F2347" s="115" t="n"/>
      <c r="G2347" s="156" t="n"/>
      <c r="H2347" s="152" t="n">
        <v>53</v>
      </c>
      <c r="I2347" s="156" t="n"/>
      <c r="J2347" s="90" t="n"/>
      <c r="K2347" s="166" t="n"/>
      <c r="L2347" s="158">
        <f>+H2347*J2347</f>
        <v/>
      </c>
      <c r="M2347" s="159" t="n"/>
    </row>
    <row r="2348">
      <c r="A2348" s="114" t="n">
        <v>46174</v>
      </c>
      <c r="B2348" s="115" t="n">
        <v>2803</v>
      </c>
      <c r="C2348" s="115" t="inlineStr">
        <is>
          <t>CAKYOL</t>
        </is>
      </c>
      <c r="D2348" s="115" t="inlineStr">
        <is>
          <t>34 GCY 009</t>
        </is>
      </c>
      <c r="E2348" s="115" t="inlineStr">
        <is>
          <t>SİNAN</t>
        </is>
      </c>
      <c r="F2348" s="115" t="n"/>
      <c r="G2348" s="156" t="n"/>
      <c r="H2348" s="152" t="n">
        <v>59</v>
      </c>
      <c r="I2348" s="156" t="n"/>
      <c r="J2348" s="90" t="n"/>
      <c r="K2348" s="166" t="n"/>
      <c r="L2348" s="158">
        <f>+H2348*J2348</f>
        <v/>
      </c>
      <c r="M2348" s="159" t="n"/>
    </row>
    <row r="2349">
      <c r="A2349" s="114" t="n">
        <v>46175</v>
      </c>
      <c r="B2349" s="115" t="n">
        <v>2804</v>
      </c>
      <c r="C2349" s="115" t="inlineStr">
        <is>
          <t>VARLIK</t>
        </is>
      </c>
      <c r="D2349" s="115" t="inlineStr">
        <is>
          <t>SM 370</t>
        </is>
      </c>
      <c r="E2349" s="115" t="inlineStr">
        <is>
          <t>RAMAZAN</t>
        </is>
      </c>
      <c r="F2349" s="115" t="n"/>
      <c r="G2349" s="156" t="n"/>
      <c r="H2349" s="152" t="n">
        <v>550</v>
      </c>
      <c r="I2349" s="156" t="n"/>
      <c r="J2349" s="90" t="n"/>
      <c r="K2349" s="166" t="n"/>
      <c r="L2349" s="158">
        <f>+H2349*J2349</f>
        <v/>
      </c>
      <c r="M2349" s="159" t="n"/>
    </row>
    <row r="2350">
      <c r="A2350" s="114" t="n">
        <v>46175</v>
      </c>
      <c r="B2350" s="115" t="n">
        <v>2805</v>
      </c>
      <c r="C2350" s="115" t="inlineStr">
        <is>
          <t>VARLIK</t>
        </is>
      </c>
      <c r="D2350" s="115" t="inlineStr">
        <is>
          <t>SM330</t>
        </is>
      </c>
      <c r="E2350" s="115" t="inlineStr">
        <is>
          <t>TURGUT</t>
        </is>
      </c>
      <c r="F2350" s="115" t="n"/>
      <c r="G2350" s="156" t="n"/>
      <c r="H2350" s="152" t="n">
        <v>450</v>
      </c>
      <c r="I2350" s="156" t="n"/>
      <c r="J2350" s="90" t="n"/>
      <c r="K2350" s="166" t="n"/>
      <c r="L2350" s="158">
        <f>+H2350*J2350</f>
        <v/>
      </c>
      <c r="M2350" s="159" t="n"/>
    </row>
    <row r="2351">
      <c r="A2351" s="114" t="n">
        <v>46175</v>
      </c>
      <c r="B2351" s="115" t="n">
        <v>2806</v>
      </c>
      <c r="C2351" s="115" t="inlineStr">
        <is>
          <t>HASALTUN</t>
        </is>
      </c>
      <c r="D2351" s="115" t="inlineStr">
        <is>
          <t>SİLİNDİR</t>
        </is>
      </c>
      <c r="E2351" s="115" t="inlineStr">
        <is>
          <t>ATABEK</t>
        </is>
      </c>
      <c r="F2351" s="115" t="n"/>
      <c r="G2351" s="156" t="n"/>
      <c r="H2351" s="152" t="n">
        <v>271</v>
      </c>
      <c r="I2351" s="156" t="n"/>
      <c r="J2351" s="90" t="n"/>
      <c r="K2351" s="166" t="n"/>
      <c r="L2351" s="158">
        <f>+H2351*J2351</f>
        <v/>
      </c>
      <c r="M2351" s="159" t="n"/>
    </row>
    <row r="2352">
      <c r="A2352" s="114" t="n">
        <v>46175</v>
      </c>
      <c r="B2352" s="115" t="n">
        <v>2807</v>
      </c>
      <c r="C2352" s="115" t="inlineStr">
        <is>
          <t>ŞEN KASAP</t>
        </is>
      </c>
      <c r="D2352" s="115" t="inlineStr">
        <is>
          <t>SM 350</t>
        </is>
      </c>
      <c r="E2352" s="115" t="inlineStr">
        <is>
          <t>TEVFİK</t>
        </is>
      </c>
      <c r="F2352" s="115" t="n"/>
      <c r="G2352" s="156" t="n"/>
      <c r="H2352" s="152" t="n">
        <v>519</v>
      </c>
      <c r="I2352" s="156" t="n"/>
      <c r="J2352" s="90" t="n"/>
      <c r="K2352" s="166" t="n"/>
      <c r="L2352" s="158">
        <f>+H2352*J2352</f>
        <v/>
      </c>
      <c r="M2352" s="159" t="n"/>
    </row>
    <row r="2353">
      <c r="A2353" s="114" t="n">
        <v>46175</v>
      </c>
      <c r="B2353" s="115" t="n">
        <v>2808</v>
      </c>
      <c r="C2353" s="115" t="inlineStr">
        <is>
          <t>MEGA VARLIK</t>
        </is>
      </c>
      <c r="D2353" s="115" t="inlineStr">
        <is>
          <t>SM 350</t>
        </is>
      </c>
      <c r="E2353" s="115" t="inlineStr">
        <is>
          <t>YAKUP</t>
        </is>
      </c>
      <c r="F2353" s="115" t="n"/>
      <c r="G2353" s="156" t="n"/>
      <c r="H2353" s="152" t="n">
        <v>262</v>
      </c>
      <c r="I2353" s="156" t="n"/>
      <c r="J2353" s="90" t="n"/>
      <c r="K2353" s="166" t="n"/>
      <c r="L2353" s="158">
        <f>+H2353*J2353</f>
        <v/>
      </c>
      <c r="M2353" s="159" t="n"/>
    </row>
    <row r="2354">
      <c r="A2354" s="114" t="n">
        <v>46175</v>
      </c>
      <c r="B2354" s="115" t="n">
        <v>2809</v>
      </c>
      <c r="C2354" s="115" t="inlineStr">
        <is>
          <t>MEGA VARLIK</t>
        </is>
      </c>
      <c r="D2354" s="115" t="inlineStr">
        <is>
          <t>FORKLİF</t>
        </is>
      </c>
      <c r="E2354" s="115" t="inlineStr">
        <is>
          <t>FAHRİ</t>
        </is>
      </c>
      <c r="F2354" s="115" t="n"/>
      <c r="G2354" s="156" t="n"/>
      <c r="H2354" s="152" t="n">
        <v>75</v>
      </c>
      <c r="I2354" s="156" t="n"/>
      <c r="J2354" s="90" t="n"/>
      <c r="K2354" s="166" t="n"/>
      <c r="L2354" s="158">
        <f>+H2354*J2354</f>
        <v/>
      </c>
      <c r="M2354" s="159" t="n"/>
    </row>
    <row r="2355">
      <c r="A2355" s="114" t="n">
        <v>46175</v>
      </c>
      <c r="B2355" s="115" t="n">
        <v>2810</v>
      </c>
      <c r="C2355" s="115" t="inlineStr">
        <is>
          <t>CAKYOL</t>
        </is>
      </c>
      <c r="D2355" s="115" t="inlineStr">
        <is>
          <t>34 ZS 8546</t>
        </is>
      </c>
      <c r="E2355" s="115" t="inlineStr">
        <is>
          <t>SİNAN</t>
        </is>
      </c>
      <c r="F2355" s="115" t="n"/>
      <c r="G2355" s="156" t="n"/>
      <c r="H2355" s="152" t="n">
        <v>63</v>
      </c>
      <c r="I2355" s="156" t="n"/>
      <c r="J2355" s="90" t="n"/>
      <c r="K2355" s="166" t="n"/>
      <c r="L2355" s="158">
        <f>+H2355*J2355</f>
        <v/>
      </c>
      <c r="M2355" s="159" t="n"/>
    </row>
    <row r="2356">
      <c r="A2356" s="114" t="n">
        <v>46175</v>
      </c>
      <c r="B2356" s="115" t="n">
        <v>2811</v>
      </c>
      <c r="C2356" s="115" t="inlineStr">
        <is>
          <t>CAKYOL</t>
        </is>
      </c>
      <c r="D2356" s="115" t="inlineStr">
        <is>
          <t>34 GA 9415</t>
        </is>
      </c>
      <c r="E2356" s="115" t="inlineStr">
        <is>
          <t>İSMAİL</t>
        </is>
      </c>
      <c r="F2356" s="115" t="n"/>
      <c r="G2356" s="156" t="n"/>
      <c r="H2356" s="152" t="n">
        <v>101</v>
      </c>
      <c r="I2356" s="156" t="n"/>
      <c r="J2356" s="90" t="n"/>
      <c r="K2356" s="166" t="n"/>
      <c r="L2356" s="158">
        <f>+H2356*J2356</f>
        <v/>
      </c>
      <c r="M2356" s="159" t="n"/>
    </row>
    <row r="2357">
      <c r="A2357" s="114" t="n">
        <v>46176</v>
      </c>
      <c r="B2357" s="115" t="n">
        <v>2812</v>
      </c>
      <c r="C2357" s="115" t="inlineStr">
        <is>
          <t>ŞEN KASAP</t>
        </is>
      </c>
      <c r="D2357" s="115" t="inlineStr">
        <is>
          <t>SM300</t>
        </is>
      </c>
      <c r="E2357" s="115" t="inlineStr">
        <is>
          <t>ONUR</t>
        </is>
      </c>
      <c r="F2357" s="115" t="n"/>
      <c r="G2357" s="156" t="n"/>
      <c r="H2357" s="152" t="n">
        <v>490</v>
      </c>
      <c r="I2357" s="156" t="n"/>
      <c r="J2357" s="90" t="n"/>
      <c r="K2357" s="166" t="n"/>
      <c r="L2357" s="158">
        <f>+H2357*J2357</f>
        <v/>
      </c>
      <c r="M2357" s="159" t="n"/>
    </row>
    <row r="2358">
      <c r="A2358" s="114" t="n">
        <v>46176</v>
      </c>
      <c r="B2358" s="115" t="n">
        <v>2813</v>
      </c>
      <c r="C2358" s="115" t="inlineStr">
        <is>
          <t>ŞEN KASAP</t>
        </is>
      </c>
      <c r="D2358" s="115" t="inlineStr">
        <is>
          <t>SM350</t>
        </is>
      </c>
      <c r="E2358" s="115" t="inlineStr">
        <is>
          <t>YAKUP</t>
        </is>
      </c>
      <c r="F2358" s="115" t="n"/>
      <c r="G2358" s="156" t="n"/>
      <c r="H2358" s="152" t="n">
        <v>360</v>
      </c>
      <c r="I2358" s="156" t="n"/>
      <c r="J2358" s="90" t="n"/>
      <c r="K2358" s="166" t="n"/>
      <c r="L2358" s="158">
        <f>+H2358*J2358</f>
        <v/>
      </c>
      <c r="M2358" s="159" t="n"/>
    </row>
    <row r="2359">
      <c r="A2359" s="114" t="n">
        <v>46176</v>
      </c>
      <c r="B2359" s="115" t="n">
        <v>2814</v>
      </c>
      <c r="C2359" s="115" t="inlineStr">
        <is>
          <t>ŞEN KASAP</t>
        </is>
      </c>
      <c r="D2359" s="115" t="inlineStr">
        <is>
          <t>SM350</t>
        </is>
      </c>
      <c r="E2359" s="115" t="inlineStr">
        <is>
          <t>TEVFİK</t>
        </is>
      </c>
      <c r="F2359" s="115" t="n"/>
      <c r="G2359" s="156" t="n"/>
      <c r="H2359" s="152" t="n">
        <v>360</v>
      </c>
      <c r="I2359" s="156" t="n"/>
      <c r="J2359" s="90" t="n"/>
      <c r="K2359" s="166" t="n"/>
      <c r="L2359" s="158">
        <f>+H2359*J2359</f>
        <v/>
      </c>
      <c r="M2359" s="159" t="n"/>
    </row>
    <row r="2360">
      <c r="A2360" s="114" t="n">
        <v>46176</v>
      </c>
      <c r="B2360" s="115" t="n">
        <v>2815</v>
      </c>
      <c r="C2360" s="115" t="inlineStr">
        <is>
          <t>VARLIK</t>
        </is>
      </c>
      <c r="D2360" s="115" t="inlineStr">
        <is>
          <t>SM 370</t>
        </is>
      </c>
      <c r="E2360" s="115" t="inlineStr">
        <is>
          <t>YUSUF</t>
        </is>
      </c>
      <c r="F2360" s="115" t="n"/>
      <c r="G2360" s="156" t="n"/>
      <c r="H2360" s="152" t="n">
        <v>350</v>
      </c>
      <c r="I2360" s="156" t="n"/>
      <c r="J2360" s="90" t="n"/>
      <c r="K2360" s="166" t="n"/>
      <c r="L2360" s="158">
        <f>+H2360*J2360</f>
        <v/>
      </c>
      <c r="M2360" s="159" t="n"/>
    </row>
    <row r="2361">
      <c r="A2361" s="114" t="n">
        <v>46176</v>
      </c>
      <c r="B2361" s="115" t="n">
        <v>2816</v>
      </c>
      <c r="C2361" s="115" t="inlineStr">
        <is>
          <t>VARLIK</t>
        </is>
      </c>
      <c r="D2361" s="115" t="inlineStr">
        <is>
          <t>SM 330</t>
        </is>
      </c>
      <c r="E2361" s="115" t="inlineStr">
        <is>
          <t>TURGUT</t>
        </is>
      </c>
      <c r="F2361" s="115" t="n"/>
      <c r="G2361" s="156" t="n"/>
      <c r="H2361" s="152" t="n">
        <v>335</v>
      </c>
      <c r="I2361" s="156" t="n"/>
      <c r="J2361" s="90" t="n"/>
      <c r="K2361" s="166" t="n"/>
      <c r="L2361" s="158">
        <f>+H2361*J2361</f>
        <v/>
      </c>
      <c r="M2361" s="159" t="n"/>
    </row>
    <row r="2362">
      <c r="A2362" s="114" t="n">
        <v>46176</v>
      </c>
      <c r="B2362" s="115" t="n">
        <v>2817</v>
      </c>
      <c r="C2362" s="115" t="inlineStr">
        <is>
          <t>CAKYOL</t>
        </is>
      </c>
      <c r="D2362" s="115" t="inlineStr">
        <is>
          <t>34 GA 9415</t>
        </is>
      </c>
      <c r="E2362" s="115" t="inlineStr">
        <is>
          <t>İSMAİL</t>
        </is>
      </c>
      <c r="F2362" s="115" t="n"/>
      <c r="G2362" s="156" t="n"/>
      <c r="H2362" s="152" t="n">
        <v>95</v>
      </c>
      <c r="I2362" s="156" t="n"/>
      <c r="J2362" s="90" t="n"/>
      <c r="K2362" s="166" t="n"/>
      <c r="L2362" s="158">
        <f>+H2362*J2362</f>
        <v/>
      </c>
      <c r="M2362" s="159" t="n"/>
    </row>
    <row r="2363">
      <c r="A2363" s="114" t="n">
        <v>46177</v>
      </c>
      <c r="B2363" s="115" t="n">
        <v>2818</v>
      </c>
      <c r="C2363" s="115" t="inlineStr">
        <is>
          <t>KOZMO</t>
        </is>
      </c>
      <c r="D2363" s="115" t="inlineStr">
        <is>
          <t xml:space="preserve">JENERATÖR </t>
        </is>
      </c>
      <c r="E2363" s="115" t="n"/>
      <c r="F2363" s="115" t="n"/>
      <c r="G2363" s="156" t="n"/>
      <c r="H2363" s="152" t="n">
        <v>173</v>
      </c>
      <c r="I2363" s="156" t="n"/>
      <c r="J2363" s="90" t="n"/>
      <c r="K2363" s="166" t="n"/>
      <c r="L2363" s="158">
        <f>+H2363*J2363</f>
        <v/>
      </c>
      <c r="M2363" s="159" t="n"/>
    </row>
    <row r="2364">
      <c r="A2364" s="114" t="n">
        <v>46177</v>
      </c>
      <c r="B2364" s="115" t="n">
        <v>2819</v>
      </c>
      <c r="C2364" s="115" t="inlineStr">
        <is>
          <t>EVKUR</t>
        </is>
      </c>
      <c r="D2364" s="115" t="inlineStr">
        <is>
          <t>SM350</t>
        </is>
      </c>
      <c r="E2364" s="115" t="inlineStr">
        <is>
          <t>YAKUP</t>
        </is>
      </c>
      <c r="F2364" s="115" t="n"/>
      <c r="G2364" s="156" t="n"/>
      <c r="H2364" s="152" t="n">
        <v>375</v>
      </c>
      <c r="I2364" s="156" t="n"/>
      <c r="J2364" s="90" t="n"/>
      <c r="K2364" s="166" t="n"/>
      <c r="L2364" s="158">
        <f>+H2364*J2364</f>
        <v/>
      </c>
      <c r="M2364" s="159" t="n"/>
    </row>
    <row r="2365">
      <c r="A2365" s="114" t="n">
        <v>46177</v>
      </c>
      <c r="B2365" s="115" t="n">
        <v>2820</v>
      </c>
      <c r="C2365" s="115" t="inlineStr">
        <is>
          <t>SELİM İNŞAAT</t>
        </is>
      </c>
      <c r="D2365" s="115" t="inlineStr">
        <is>
          <t>JCB</t>
        </is>
      </c>
      <c r="E2365" s="115" t="inlineStr">
        <is>
          <t>BAYRAM</t>
        </is>
      </c>
      <c r="F2365" s="115" t="n"/>
      <c r="G2365" s="156" t="n"/>
      <c r="H2365" s="152" t="n">
        <v>56</v>
      </c>
      <c r="I2365" s="156" t="n"/>
      <c r="J2365" s="90" t="n"/>
      <c r="K2365" s="166" t="n"/>
      <c r="L2365" s="158">
        <f>+H2365*J2365</f>
        <v/>
      </c>
      <c r="M2365" s="159" t="n"/>
    </row>
    <row r="2366">
      <c r="A2366" s="114" t="n">
        <v>46179</v>
      </c>
      <c r="B2366" s="115" t="n">
        <v>2821</v>
      </c>
      <c r="C2366" s="115" t="inlineStr">
        <is>
          <t>MEGA VARLIK</t>
        </is>
      </c>
      <c r="D2366" s="115" t="inlineStr">
        <is>
          <t>FORKLİF</t>
        </is>
      </c>
      <c r="E2366" s="115" t="inlineStr">
        <is>
          <t>FAHRİ</t>
        </is>
      </c>
      <c r="F2366" s="115" t="n"/>
      <c r="G2366" s="156" t="n"/>
      <c r="H2366" s="152" t="n">
        <v>74</v>
      </c>
      <c r="I2366" s="156" t="n"/>
      <c r="J2366" s="90" t="n"/>
      <c r="K2366" s="166" t="n"/>
      <c r="L2366" s="158">
        <f>+H2366*J2366</f>
        <v/>
      </c>
      <c r="M2366" s="159" t="n"/>
    </row>
    <row r="2367">
      <c r="A2367" s="114" t="n">
        <v>46178</v>
      </c>
      <c r="B2367" s="115" t="n">
        <v>2822</v>
      </c>
      <c r="C2367" s="115" t="inlineStr">
        <is>
          <t>VARLIK</t>
        </is>
      </c>
      <c r="D2367" s="115" t="inlineStr">
        <is>
          <t>SM370</t>
        </is>
      </c>
      <c r="E2367" s="115" t="inlineStr">
        <is>
          <t>YUSUF</t>
        </is>
      </c>
      <c r="F2367" s="115" t="n"/>
      <c r="G2367" s="156" t="n"/>
      <c r="H2367" s="152" t="n">
        <v>598</v>
      </c>
      <c r="I2367" s="156" t="n"/>
      <c r="J2367" s="90" t="n"/>
      <c r="K2367" s="166" t="n"/>
      <c r="L2367" s="158">
        <f>+H2367*J2367</f>
        <v/>
      </c>
      <c r="M2367" s="159" t="n"/>
    </row>
    <row r="2368">
      <c r="A2368" s="114" t="n">
        <v>46178</v>
      </c>
      <c r="B2368" s="115" t="n">
        <v>2823</v>
      </c>
      <c r="C2368" s="115" t="inlineStr">
        <is>
          <t>VARLIK</t>
        </is>
      </c>
      <c r="D2368" s="115" t="inlineStr">
        <is>
          <t>SM330</t>
        </is>
      </c>
      <c r="E2368" s="115" t="inlineStr">
        <is>
          <t>TURGUT</t>
        </is>
      </c>
      <c r="F2368" s="115" t="n"/>
      <c r="G2368" s="156" t="n"/>
      <c r="H2368" s="152" t="n">
        <v>590</v>
      </c>
      <c r="I2368" s="156" t="n"/>
      <c r="J2368" s="90" t="n"/>
      <c r="K2368" s="166" t="n"/>
      <c r="L2368" s="158">
        <f>+H2368*J2368</f>
        <v/>
      </c>
      <c r="M2368" s="159" t="n"/>
    </row>
    <row r="2369">
      <c r="A2369" s="114" t="n">
        <v>46178</v>
      </c>
      <c r="B2369" s="115" t="n">
        <v>2824</v>
      </c>
      <c r="C2369" s="115" t="inlineStr">
        <is>
          <t>EVKUR</t>
        </is>
      </c>
      <c r="D2369" s="115" t="inlineStr">
        <is>
          <t>KİRALIK KATO</t>
        </is>
      </c>
      <c r="E2369" s="115" t="inlineStr">
        <is>
          <t>GÜNEŞ</t>
        </is>
      </c>
      <c r="F2369" s="115" t="n"/>
      <c r="G2369" s="156" t="n"/>
      <c r="H2369" s="152" t="n">
        <v>80</v>
      </c>
      <c r="I2369" s="156" t="n"/>
      <c r="J2369" s="90" t="n"/>
      <c r="K2369" s="166" t="n"/>
      <c r="L2369" s="158">
        <f>+H2369*J2369</f>
        <v/>
      </c>
      <c r="M2369" s="159" t="n"/>
    </row>
    <row r="2370">
      <c r="A2370" s="114" t="n">
        <v>46178</v>
      </c>
      <c r="B2370" s="115" t="n">
        <v>2825</v>
      </c>
      <c r="C2370" s="115" t="inlineStr">
        <is>
          <t>ŞEN KASAP</t>
        </is>
      </c>
      <c r="D2370" s="115" t="inlineStr">
        <is>
          <t>SM350</t>
        </is>
      </c>
      <c r="E2370" s="115" t="inlineStr">
        <is>
          <t>ONUR</t>
        </is>
      </c>
      <c r="F2370" s="115" t="n"/>
      <c r="G2370" s="156" t="n"/>
      <c r="H2370" s="152" t="n">
        <v>562</v>
      </c>
      <c r="I2370" s="156" t="n"/>
      <c r="J2370" s="90" t="n"/>
      <c r="K2370" s="166" t="n"/>
      <c r="L2370" s="158">
        <f>+H2370*J2370</f>
        <v/>
      </c>
      <c r="M2370" s="159" t="n"/>
    </row>
    <row r="2371">
      <c r="A2371" s="114" t="n">
        <v>46178</v>
      </c>
      <c r="B2371" s="115" t="n">
        <v>2826</v>
      </c>
      <c r="C2371" s="115" t="inlineStr">
        <is>
          <t>ŞEN KASAP</t>
        </is>
      </c>
      <c r="D2371" s="115" t="inlineStr">
        <is>
          <t>SM300</t>
        </is>
      </c>
      <c r="E2371" s="115" t="inlineStr">
        <is>
          <t>ONUR</t>
        </is>
      </c>
      <c r="F2371" s="115" t="n"/>
      <c r="G2371" s="156" t="n"/>
      <c r="H2371" s="152" t="n">
        <v>380</v>
      </c>
      <c r="I2371" s="156" t="n"/>
      <c r="J2371" s="90" t="n"/>
      <c r="K2371" s="166" t="n"/>
      <c r="L2371" s="158">
        <f>+H2371*J2371</f>
        <v/>
      </c>
      <c r="M2371" s="159" t="n"/>
    </row>
    <row r="2372">
      <c r="A2372" s="114" t="n">
        <v>46178</v>
      </c>
      <c r="B2372" s="115" t="n">
        <v>2827</v>
      </c>
      <c r="C2372" s="115" t="inlineStr">
        <is>
          <t>ŞEN KASAP</t>
        </is>
      </c>
      <c r="D2372" s="115" t="inlineStr">
        <is>
          <t>SM350</t>
        </is>
      </c>
      <c r="E2372" s="115" t="inlineStr">
        <is>
          <t>YAKUP</t>
        </is>
      </c>
      <c r="F2372" s="115" t="n"/>
      <c r="G2372" s="156" t="n"/>
      <c r="H2372" s="152" t="n">
        <v>410</v>
      </c>
      <c r="I2372" s="156" t="n"/>
      <c r="J2372" s="90" t="n"/>
      <c r="K2372" s="166" t="n"/>
      <c r="L2372" s="158">
        <f>+H2372*J2372</f>
        <v/>
      </c>
      <c r="M2372" s="159" t="n"/>
    </row>
    <row r="2373">
      <c r="A2373" s="114" t="n">
        <v>46179</v>
      </c>
      <c r="B2373" s="115" t="n">
        <v>2828</v>
      </c>
      <c r="C2373" s="115" t="inlineStr">
        <is>
          <t xml:space="preserve">TORU İNŞAAT </t>
        </is>
      </c>
      <c r="D2373" s="115" t="inlineStr">
        <is>
          <t>DELİKLİKAYA</t>
        </is>
      </c>
      <c r="E2373" s="115" t="inlineStr">
        <is>
          <t>BURAK ŞENDOĞAN</t>
        </is>
      </c>
      <c r="F2373" s="115" t="n"/>
      <c r="G2373" s="156" t="n"/>
      <c r="H2373" s="152" t="n">
        <v>300</v>
      </c>
      <c r="I2373" s="156" t="n"/>
      <c r="J2373" s="90" t="n"/>
      <c r="K2373" s="166" t="n"/>
      <c r="L2373" s="158">
        <f>+H2373*J2373</f>
        <v/>
      </c>
      <c r="M2373" s="159" t="n"/>
    </row>
    <row r="2374">
      <c r="A2374" s="114" t="n">
        <v>46179</v>
      </c>
      <c r="B2374" s="115" t="n">
        <v>2829</v>
      </c>
      <c r="C2374" s="115" t="inlineStr">
        <is>
          <t>VARLIK</t>
        </is>
      </c>
      <c r="D2374" s="115" t="inlineStr">
        <is>
          <t>SM 370</t>
        </is>
      </c>
      <c r="E2374" s="115" t="inlineStr">
        <is>
          <t>YUSUF</t>
        </is>
      </c>
      <c r="F2374" s="115" t="n"/>
      <c r="G2374" s="156" t="n"/>
      <c r="H2374" s="152" t="n">
        <v>450</v>
      </c>
      <c r="I2374" s="156" t="n"/>
      <c r="J2374" s="90" t="n"/>
      <c r="K2374" s="166" t="n"/>
      <c r="L2374" s="158">
        <f>+H2374*J2374</f>
        <v/>
      </c>
      <c r="M2374" s="159" t="n"/>
    </row>
    <row r="2375">
      <c r="A2375" s="114" t="n">
        <v>46179</v>
      </c>
      <c r="B2375" s="115" t="n">
        <v>2830</v>
      </c>
      <c r="C2375" s="115" t="inlineStr">
        <is>
          <t>SELİM İNŞAAT</t>
        </is>
      </c>
      <c r="D2375" s="115" t="inlineStr">
        <is>
          <t>JCB</t>
        </is>
      </c>
      <c r="E2375" s="115" t="inlineStr">
        <is>
          <t>BAYRAM</t>
        </is>
      </c>
      <c r="F2375" s="115" t="n"/>
      <c r="G2375" s="156" t="n"/>
      <c r="H2375" s="152" t="n">
        <v>74</v>
      </c>
      <c r="I2375" s="156" t="n"/>
      <c r="J2375" s="90" t="n"/>
      <c r="K2375" s="166" t="n"/>
      <c r="L2375" s="158">
        <f>+H2375*J2375</f>
        <v/>
      </c>
      <c r="M2375" s="159" t="n"/>
    </row>
    <row r="2376">
      <c r="A2376" s="114" t="n">
        <v>46180</v>
      </c>
      <c r="B2376" s="115" t="n">
        <v>2831</v>
      </c>
      <c r="C2376" s="115" t="inlineStr">
        <is>
          <t>CAKYOL</t>
        </is>
      </c>
      <c r="D2376" s="115" t="inlineStr">
        <is>
          <t>VİNÇ</t>
        </is>
      </c>
      <c r="E2376" s="115" t="inlineStr">
        <is>
          <t>ALİHAN</t>
        </is>
      </c>
      <c r="F2376" s="115" t="n"/>
      <c r="G2376" s="156" t="n"/>
      <c r="H2376" s="152" t="n">
        <v>290</v>
      </c>
      <c r="I2376" s="156" t="n"/>
      <c r="J2376" s="90" t="n"/>
      <c r="K2376" s="166" t="n"/>
      <c r="L2376" s="158">
        <f>+H2376*J2376</f>
        <v/>
      </c>
      <c r="M2376" s="159" t="n"/>
    </row>
    <row r="2377">
      <c r="A2377" s="114" t="n">
        <v>46180</v>
      </c>
      <c r="B2377" s="115" t="n">
        <v>2832</v>
      </c>
      <c r="C2377" s="115" t="inlineStr">
        <is>
          <t>VARLIK</t>
        </is>
      </c>
      <c r="D2377" s="115" t="inlineStr">
        <is>
          <t>SM 330</t>
        </is>
      </c>
      <c r="E2377" s="115" t="inlineStr">
        <is>
          <t>TURGUT</t>
        </is>
      </c>
      <c r="F2377" s="115" t="n"/>
      <c r="G2377" s="156" t="n"/>
      <c r="H2377" s="152" t="n">
        <v>450</v>
      </c>
      <c r="I2377" s="156" t="n"/>
      <c r="J2377" s="90" t="n"/>
      <c r="K2377" s="166" t="n"/>
      <c r="L2377" s="158">
        <f>+H2377*J2377</f>
        <v/>
      </c>
      <c r="M2377" s="159" t="n"/>
    </row>
    <row r="2378">
      <c r="A2378" s="114" t="n">
        <v>46180</v>
      </c>
      <c r="B2378" s="115" t="n">
        <v>2833</v>
      </c>
      <c r="C2378" s="115" t="inlineStr">
        <is>
          <t>ŞEN KASAP</t>
        </is>
      </c>
      <c r="D2378" s="115" t="inlineStr">
        <is>
          <t>SM350</t>
        </is>
      </c>
      <c r="E2378" s="115" t="inlineStr">
        <is>
          <t>YAKUP</t>
        </is>
      </c>
      <c r="F2378" s="115" t="n"/>
      <c r="G2378" s="156" t="n"/>
      <c r="H2378" s="152" t="n">
        <v>442</v>
      </c>
      <c r="I2378" s="156" t="n"/>
      <c r="J2378" s="90" t="n"/>
      <c r="K2378" s="166" t="n"/>
      <c r="L2378" s="158">
        <f>+H2378*J2378</f>
        <v/>
      </c>
      <c r="M2378" s="159" t="n"/>
    </row>
    <row r="2379">
      <c r="A2379" s="114" t="n">
        <v>46180</v>
      </c>
      <c r="B2379" s="115" t="n">
        <v>2834</v>
      </c>
      <c r="C2379" s="115" t="inlineStr">
        <is>
          <t>ŞEN KASAP</t>
        </is>
      </c>
      <c r="D2379" s="115" t="inlineStr">
        <is>
          <t>SM 350</t>
        </is>
      </c>
      <c r="E2379" s="115" t="inlineStr">
        <is>
          <t>TEVFİK</t>
        </is>
      </c>
      <c r="F2379" s="115" t="n"/>
      <c r="G2379" s="156" t="n"/>
      <c r="H2379" s="152" t="n">
        <v>400</v>
      </c>
      <c r="I2379" s="156" t="n"/>
      <c r="J2379" s="90" t="n"/>
      <c r="K2379" s="166" t="n"/>
      <c r="L2379" s="158">
        <f>+H2379*J2379</f>
        <v/>
      </c>
      <c r="M2379" s="159" t="n"/>
    </row>
    <row r="2380">
      <c r="A2380" s="114" t="n">
        <v>46180</v>
      </c>
      <c r="B2380" s="115" t="n">
        <v>2835</v>
      </c>
      <c r="C2380" s="115" t="inlineStr">
        <is>
          <t>ŞEN KASAP</t>
        </is>
      </c>
      <c r="D2380" s="115" t="inlineStr">
        <is>
          <t>SM 300</t>
        </is>
      </c>
      <c r="E2380" s="115" t="inlineStr">
        <is>
          <t>ONUR</t>
        </is>
      </c>
      <c r="F2380" s="115" t="n"/>
      <c r="G2380" s="156" t="n"/>
      <c r="H2380" s="152" t="n">
        <v>445</v>
      </c>
      <c r="I2380" s="156" t="n"/>
      <c r="J2380" s="90" t="n"/>
      <c r="K2380" s="166" t="n"/>
      <c r="L2380" s="158">
        <f>+H2380*J2380</f>
        <v/>
      </c>
      <c r="M2380" s="159" t="n"/>
    </row>
    <row r="2381">
      <c r="A2381" s="114" t="n">
        <v>46181</v>
      </c>
      <c r="B2381" s="115" t="n">
        <v>2836</v>
      </c>
      <c r="C2381" s="115" t="inlineStr">
        <is>
          <t>SELİM İNŞAAT</t>
        </is>
      </c>
      <c r="D2381" s="115" t="inlineStr">
        <is>
          <t>JCB</t>
        </is>
      </c>
      <c r="E2381" s="115" t="inlineStr">
        <is>
          <t>BAYRAM</t>
        </is>
      </c>
      <c r="F2381" s="115" t="n"/>
      <c r="G2381" s="156" t="n"/>
      <c r="H2381" s="152" t="n">
        <v>76</v>
      </c>
      <c r="I2381" s="156" t="n"/>
      <c r="J2381" s="90" t="n"/>
      <c r="K2381" s="166" t="n"/>
      <c r="L2381" s="158">
        <f>+H2381*J2381</f>
        <v/>
      </c>
      <c r="M2381" s="159" t="n"/>
    </row>
    <row r="2382">
      <c r="A2382" s="114" t="n">
        <v>46181</v>
      </c>
      <c r="B2382" s="115" t="n">
        <v>2837</v>
      </c>
      <c r="C2382" s="115" t="inlineStr">
        <is>
          <t>MEGA VARLIK</t>
        </is>
      </c>
      <c r="D2382" s="115" t="inlineStr">
        <is>
          <t>FORKLİF</t>
        </is>
      </c>
      <c r="E2382" s="115" t="inlineStr">
        <is>
          <t>FAHRİ</t>
        </is>
      </c>
      <c r="F2382" s="115" t="n"/>
      <c r="G2382" s="156" t="n"/>
      <c r="H2382" s="152" t="n">
        <v>32</v>
      </c>
      <c r="I2382" s="156" t="n"/>
      <c r="J2382" s="90" t="n"/>
      <c r="K2382" s="166" t="n"/>
      <c r="L2382" s="158">
        <f>+H2382*J2382</f>
        <v/>
      </c>
      <c r="M2382" s="159" t="n"/>
    </row>
    <row r="2383">
      <c r="A2383" s="114" t="n">
        <v>46181</v>
      </c>
      <c r="B2383" s="115" t="n">
        <v>2838</v>
      </c>
      <c r="C2383" s="115" t="inlineStr">
        <is>
          <t>KOZMO</t>
        </is>
      </c>
      <c r="D2383" s="115" t="inlineStr">
        <is>
          <t>SM370</t>
        </is>
      </c>
      <c r="E2383" s="115" t="inlineStr">
        <is>
          <t>YUSUF</t>
        </is>
      </c>
      <c r="F2383" s="115" t="n"/>
      <c r="G2383" s="156" t="n"/>
      <c r="H2383" s="152" t="n">
        <v>420</v>
      </c>
      <c r="I2383" s="156" t="n"/>
      <c r="J2383" s="90" t="n"/>
      <c r="K2383" s="166" t="n"/>
      <c r="L2383" s="158">
        <f>+H2383*J2383</f>
        <v/>
      </c>
      <c r="M2383" s="159" t="n"/>
    </row>
    <row r="2384">
      <c r="A2384" s="114" t="n">
        <v>46181</v>
      </c>
      <c r="B2384" s="115" t="n">
        <v>2839</v>
      </c>
      <c r="C2384" s="115" t="inlineStr">
        <is>
          <t>KOZMO</t>
        </is>
      </c>
      <c r="D2384" s="115" t="inlineStr">
        <is>
          <t>SİLİNDİR</t>
        </is>
      </c>
      <c r="E2384" s="115" t="inlineStr">
        <is>
          <t>ATABEK</t>
        </is>
      </c>
      <c r="F2384" s="115" t="n"/>
      <c r="G2384" s="156" t="n"/>
      <c r="H2384" s="152" t="n">
        <v>275</v>
      </c>
      <c r="I2384" s="156" t="n"/>
      <c r="J2384" s="90" t="n"/>
      <c r="K2384" s="166" t="n"/>
      <c r="L2384" s="158">
        <f>+H2384*J2384</f>
        <v/>
      </c>
      <c r="M2384" s="159" t="n"/>
    </row>
    <row r="2385">
      <c r="A2385" s="114" t="n">
        <v>46181</v>
      </c>
      <c r="B2385" s="115" t="n">
        <v>2840</v>
      </c>
      <c r="C2385" s="115" t="inlineStr">
        <is>
          <t>ŞEN KASAP</t>
        </is>
      </c>
      <c r="D2385" s="115" t="inlineStr">
        <is>
          <t>SM 350</t>
        </is>
      </c>
      <c r="E2385" s="115" t="inlineStr">
        <is>
          <t>YAKUP</t>
        </is>
      </c>
      <c r="F2385" s="115" t="n"/>
      <c r="G2385" s="156" t="n"/>
      <c r="H2385" s="152" t="n">
        <v>280</v>
      </c>
      <c r="I2385" s="156" t="n"/>
      <c r="J2385" s="90" t="n"/>
      <c r="K2385" s="166" t="n"/>
      <c r="L2385" s="158">
        <f>+H2385*J2385</f>
        <v/>
      </c>
      <c r="M2385" s="159" t="n"/>
    </row>
    <row r="2386">
      <c r="A2386" s="114" t="n">
        <v>46181</v>
      </c>
      <c r="B2386" s="115" t="n">
        <v>2841</v>
      </c>
      <c r="C2386" s="115" t="inlineStr">
        <is>
          <t>ŞEN KASAP</t>
        </is>
      </c>
      <c r="D2386" s="115" t="inlineStr">
        <is>
          <t>SM350</t>
        </is>
      </c>
      <c r="E2386" s="115" t="inlineStr">
        <is>
          <t>TEVFİK</t>
        </is>
      </c>
      <c r="F2386" s="115" t="n"/>
      <c r="G2386" s="156" t="n"/>
      <c r="H2386" s="152" t="n">
        <v>384</v>
      </c>
      <c r="I2386" s="156" t="n"/>
      <c r="J2386" s="90" t="n"/>
      <c r="K2386" s="166" t="n"/>
      <c r="L2386" s="158">
        <f>+H2386*J2386</f>
        <v/>
      </c>
      <c r="M2386" s="159" t="n"/>
    </row>
    <row r="2387">
      <c r="A2387" s="114" t="n">
        <v>46181</v>
      </c>
      <c r="B2387" s="115" t="n">
        <v>2842</v>
      </c>
      <c r="C2387" s="115" t="inlineStr">
        <is>
          <t>ŞEN KASAP</t>
        </is>
      </c>
      <c r="D2387" s="115" t="inlineStr">
        <is>
          <t>SM300</t>
        </is>
      </c>
      <c r="E2387" s="115" t="inlineStr">
        <is>
          <t>ONUR</t>
        </is>
      </c>
      <c r="F2387" s="115" t="n"/>
      <c r="G2387" s="156" t="n"/>
      <c r="H2387" s="152" t="n">
        <v>265</v>
      </c>
      <c r="I2387" s="156" t="n"/>
      <c r="J2387" s="90" t="n"/>
      <c r="K2387" s="166" t="n"/>
      <c r="L2387" s="158">
        <f>+H2387*J2387</f>
        <v/>
      </c>
      <c r="M2387" s="159" t="n"/>
    </row>
    <row r="2388">
      <c r="A2388" s="114" t="n">
        <v>46182</v>
      </c>
      <c r="B2388" s="115" t="n">
        <v>2843</v>
      </c>
      <c r="C2388" s="115" t="inlineStr">
        <is>
          <t>KOZMO</t>
        </is>
      </c>
      <c r="D2388" s="115" t="inlineStr">
        <is>
          <t xml:space="preserve">JENERATÖR </t>
        </is>
      </c>
      <c r="E2388" s="117" t="n"/>
      <c r="F2388" s="115" t="n"/>
      <c r="G2388" s="156" t="n"/>
      <c r="H2388" s="152" t="n">
        <v>60</v>
      </c>
      <c r="I2388" s="156" t="n"/>
      <c r="J2388" s="90" t="n"/>
      <c r="K2388" s="166" t="n"/>
      <c r="L2388" s="158">
        <f>+H2388*J2388</f>
        <v/>
      </c>
      <c r="M2388" s="159" t="n"/>
    </row>
    <row r="2389">
      <c r="A2389" s="114" t="n">
        <v>46182</v>
      </c>
      <c r="B2389" s="115" t="n">
        <v>2844</v>
      </c>
      <c r="C2389" s="115" t="inlineStr">
        <is>
          <t>CAKYOL</t>
        </is>
      </c>
      <c r="D2389" s="115" t="inlineStr">
        <is>
          <t>34 GCY 009</t>
        </is>
      </c>
      <c r="E2389" s="115" t="inlineStr">
        <is>
          <t>ERDAL</t>
        </is>
      </c>
      <c r="F2389" s="115" t="n"/>
      <c r="G2389" s="156" t="n"/>
      <c r="H2389" s="152" t="n">
        <v>46</v>
      </c>
      <c r="I2389" s="156" t="n"/>
      <c r="J2389" s="90" t="n"/>
      <c r="K2389" s="166" t="n"/>
      <c r="L2389" s="158">
        <f>+H2389*J2389</f>
        <v/>
      </c>
      <c r="M2389" s="159" t="n"/>
    </row>
    <row r="2390">
      <c r="A2390" s="114" t="n">
        <v>46183</v>
      </c>
      <c r="B2390" s="115" t="n">
        <v>2845</v>
      </c>
      <c r="C2390" s="115" t="inlineStr">
        <is>
          <t>SELİM İNŞAAT</t>
        </is>
      </c>
      <c r="D2390" s="115" t="inlineStr">
        <is>
          <t>34 AZ2191</t>
        </is>
      </c>
      <c r="E2390" s="115" t="inlineStr">
        <is>
          <t>NUMAN</t>
        </is>
      </c>
      <c r="F2390" s="115" t="n"/>
      <c r="G2390" s="156" t="n"/>
      <c r="H2390" s="152" t="n">
        <v>285</v>
      </c>
      <c r="I2390" s="156" t="n"/>
      <c r="J2390" s="90" t="n"/>
      <c r="K2390" s="166" t="n"/>
      <c r="L2390" s="158">
        <f>+H2390*J2390</f>
        <v/>
      </c>
      <c r="M2390" s="159" t="n"/>
    </row>
    <row r="2391">
      <c r="A2391" s="114" t="n">
        <v>46183</v>
      </c>
      <c r="B2391" s="115" t="n">
        <v>2846</v>
      </c>
      <c r="C2391" s="115" t="inlineStr">
        <is>
          <t>CAKYOL</t>
        </is>
      </c>
      <c r="D2391" s="115" t="inlineStr">
        <is>
          <t>34 PAY 001</t>
        </is>
      </c>
      <c r="E2391" s="115" t="n"/>
      <c r="F2391" s="115" t="n"/>
      <c r="G2391" s="156" t="n"/>
      <c r="H2391" s="152" t="n">
        <v>65</v>
      </c>
      <c r="I2391" s="156" t="n"/>
      <c r="J2391" s="90" t="n"/>
      <c r="K2391" s="166" t="n"/>
      <c r="L2391" s="158">
        <f>+H2391*J2391</f>
        <v/>
      </c>
      <c r="M2391" s="159" t="n"/>
    </row>
    <row r="2392">
      <c r="A2392" s="114" t="n">
        <v>46183</v>
      </c>
      <c r="B2392" s="115" t="n">
        <v>2847</v>
      </c>
      <c r="C2392" s="115" t="inlineStr">
        <is>
          <t>ŞEN KASAP</t>
        </is>
      </c>
      <c r="D2392" s="115" t="inlineStr">
        <is>
          <t>SM350</t>
        </is>
      </c>
      <c r="E2392" s="115" t="inlineStr">
        <is>
          <t>TEVFİK</t>
        </is>
      </c>
      <c r="F2392" s="115" t="n"/>
      <c r="G2392" s="156" t="n"/>
      <c r="H2392" s="152" t="n">
        <v>500</v>
      </c>
      <c r="I2392" s="156" t="n"/>
      <c r="J2392" s="90" t="n"/>
      <c r="K2392" s="166" t="n"/>
      <c r="L2392" s="158">
        <f>+H2392*J2392</f>
        <v/>
      </c>
      <c r="M2392" s="159" t="n"/>
    </row>
    <row r="2393">
      <c r="A2393" s="114" t="n">
        <v>46183</v>
      </c>
      <c r="B2393" s="115" t="n">
        <v>2848</v>
      </c>
      <c r="C2393" s="115" t="inlineStr">
        <is>
          <t>ŞEN KASAP</t>
        </is>
      </c>
      <c r="D2393" s="115" t="inlineStr">
        <is>
          <t>SM350</t>
        </is>
      </c>
      <c r="E2393" s="115" t="inlineStr">
        <is>
          <t>YAKUP</t>
        </is>
      </c>
      <c r="F2393" s="115" t="n"/>
      <c r="G2393" s="156" t="n"/>
      <c r="H2393" s="152" t="n">
        <v>406</v>
      </c>
      <c r="I2393" s="156" t="n"/>
      <c r="J2393" s="90" t="n"/>
      <c r="K2393" s="166" t="n"/>
      <c r="L2393" s="158">
        <f>+H2393*J2393</f>
        <v/>
      </c>
      <c r="M2393" s="159" t="n"/>
    </row>
    <row r="2394">
      <c r="A2394" s="114" t="n">
        <v>46183</v>
      </c>
      <c r="B2394" s="115" t="n">
        <v>2849</v>
      </c>
      <c r="C2394" s="115" t="inlineStr">
        <is>
          <t>ŞEN KASAP</t>
        </is>
      </c>
      <c r="D2394" s="115" t="inlineStr">
        <is>
          <t>SM300</t>
        </is>
      </c>
      <c r="E2394" s="115" t="inlineStr">
        <is>
          <t>ONUR</t>
        </is>
      </c>
      <c r="F2394" s="115" t="n"/>
      <c r="G2394" s="156" t="n"/>
      <c r="H2394" s="152" t="n">
        <v>393</v>
      </c>
      <c r="I2394" s="156" t="n"/>
      <c r="J2394" s="90" t="n"/>
      <c r="K2394" s="166" t="n"/>
      <c r="L2394" s="158">
        <f>+H2394*J2394</f>
        <v/>
      </c>
      <c r="M2394" s="159" t="n"/>
    </row>
    <row r="2395">
      <c r="A2395" s="114" t="n">
        <v>46183</v>
      </c>
      <c r="B2395" s="115" t="n">
        <v>2850</v>
      </c>
      <c r="C2395" s="115" t="inlineStr">
        <is>
          <t>SELİM İNŞAAT</t>
        </is>
      </c>
      <c r="D2395" s="115" t="inlineStr">
        <is>
          <t>JCB</t>
        </is>
      </c>
      <c r="E2395" s="115" t="inlineStr">
        <is>
          <t>BAYRAM</t>
        </is>
      </c>
      <c r="F2395" s="115" t="n"/>
      <c r="G2395" s="156" t="n"/>
      <c r="H2395" s="152" t="n">
        <v>74</v>
      </c>
      <c r="I2395" s="156" t="n"/>
      <c r="J2395" s="90" t="n"/>
      <c r="K2395" s="166" t="n"/>
      <c r="L2395" s="158">
        <f>+H2395*J2395</f>
        <v/>
      </c>
      <c r="M2395" s="159" t="n"/>
    </row>
    <row r="2396">
      <c r="A2396" s="114" t="n">
        <v>46183</v>
      </c>
      <c r="B2396" s="115" t="n">
        <v>2851</v>
      </c>
      <c r="C2396" s="115" t="inlineStr">
        <is>
          <t>EVKUR</t>
        </is>
      </c>
      <c r="D2396" s="115" t="inlineStr">
        <is>
          <t>ZOMLİYON</t>
        </is>
      </c>
      <c r="E2396" s="115" t="inlineStr">
        <is>
          <t xml:space="preserve">SALİH </t>
        </is>
      </c>
      <c r="F2396" s="115" t="n"/>
      <c r="G2396" s="156" t="n"/>
      <c r="H2396" s="152" t="n">
        <v>276</v>
      </c>
      <c r="I2396" s="156" t="n"/>
      <c r="J2396" s="90" t="n"/>
      <c r="K2396" s="166" t="n"/>
      <c r="L2396" s="158">
        <f>+H2396*J2396</f>
        <v/>
      </c>
      <c r="M2396" s="159" t="n"/>
    </row>
    <row r="2397">
      <c r="A2397" s="114" t="n">
        <v>46183</v>
      </c>
      <c r="B2397" s="115" t="n">
        <v>2852</v>
      </c>
      <c r="C2397" s="115" t="inlineStr">
        <is>
          <t>EVKUR</t>
        </is>
      </c>
      <c r="D2397" s="115" t="inlineStr">
        <is>
          <t>KİRALIK KATO</t>
        </is>
      </c>
      <c r="E2397" s="115" t="inlineStr">
        <is>
          <t>GÜNEŞ</t>
        </is>
      </c>
      <c r="F2397" s="115" t="n"/>
      <c r="G2397" s="156" t="n"/>
      <c r="H2397" s="152" t="n">
        <v>29</v>
      </c>
      <c r="I2397" s="156" t="n"/>
      <c r="J2397" s="90" t="n"/>
      <c r="K2397" s="166" t="n"/>
      <c r="L2397" s="158">
        <f>+H2397*J2397</f>
        <v/>
      </c>
      <c r="M2397" s="159" t="n"/>
    </row>
    <row r="2398">
      <c r="A2398" s="114" t="n">
        <v>46183</v>
      </c>
      <c r="B2398" s="115" t="n">
        <v>2853</v>
      </c>
      <c r="C2398" s="115" t="inlineStr">
        <is>
          <t>KOZMO</t>
        </is>
      </c>
      <c r="D2398" s="115" t="inlineStr">
        <is>
          <t>SM370</t>
        </is>
      </c>
      <c r="E2398" s="115" t="inlineStr">
        <is>
          <t>YUSUF</t>
        </is>
      </c>
      <c r="F2398" s="115" t="n"/>
      <c r="G2398" s="156" t="n"/>
      <c r="H2398" s="152" t="n">
        <v>482</v>
      </c>
      <c r="I2398" s="156" t="n"/>
      <c r="J2398" s="90" t="n"/>
      <c r="K2398" s="166" t="n"/>
      <c r="L2398" s="158">
        <f>+H2398*J2398</f>
        <v/>
      </c>
      <c r="M2398" s="159" t="n"/>
    </row>
    <row r="2399">
      <c r="A2399" s="114" t="n">
        <v>46184</v>
      </c>
      <c r="B2399" s="115" t="n">
        <v>2854</v>
      </c>
      <c r="C2399" s="115" t="inlineStr">
        <is>
          <t>CAKYOL</t>
        </is>
      </c>
      <c r="D2399" s="115" t="inlineStr">
        <is>
          <t>FORKLİF</t>
        </is>
      </c>
      <c r="E2399" s="115" t="inlineStr">
        <is>
          <t>CEMAL AKYOL</t>
        </is>
      </c>
      <c r="F2399" s="115" t="n"/>
      <c r="G2399" s="156" t="n"/>
      <c r="H2399" s="152" t="n">
        <v>130</v>
      </c>
      <c r="I2399" s="156" t="n"/>
      <c r="J2399" s="90" t="n"/>
      <c r="K2399" s="166" t="n"/>
      <c r="L2399" s="158">
        <f>+H2399*J2399</f>
        <v/>
      </c>
      <c r="M2399" s="159" t="n"/>
    </row>
    <row r="2400">
      <c r="A2400" s="114" t="n">
        <v>46184</v>
      </c>
      <c r="B2400" s="115" t="n">
        <v>2855</v>
      </c>
      <c r="C2400" s="115" t="inlineStr">
        <is>
          <t>KOZMO</t>
        </is>
      </c>
      <c r="D2400" s="115" t="inlineStr">
        <is>
          <t>SM370</t>
        </is>
      </c>
      <c r="E2400" s="115" t="inlineStr">
        <is>
          <t>YUSUF</t>
        </is>
      </c>
      <c r="F2400" s="115" t="n"/>
      <c r="G2400" s="156" t="n"/>
      <c r="H2400" s="152" t="n">
        <v>550</v>
      </c>
      <c r="I2400" s="156" t="n"/>
      <c r="J2400" s="90" t="n"/>
      <c r="K2400" s="166" t="n"/>
      <c r="L2400" s="158">
        <f>+H2400*J2400</f>
        <v/>
      </c>
      <c r="M2400" s="159" t="n"/>
    </row>
    <row r="2401">
      <c r="A2401" s="114" t="n">
        <v>46184</v>
      </c>
      <c r="B2401" s="115" t="n">
        <v>2856</v>
      </c>
      <c r="C2401" s="115" t="inlineStr">
        <is>
          <t>MEGA VARLIK</t>
        </is>
      </c>
      <c r="D2401" s="115" t="inlineStr">
        <is>
          <t>SM350</t>
        </is>
      </c>
      <c r="E2401" s="115" t="inlineStr">
        <is>
          <t>TEVFİK</t>
        </is>
      </c>
      <c r="F2401" s="115" t="n"/>
      <c r="G2401" s="156" t="n"/>
      <c r="H2401" s="152" t="n">
        <v>398</v>
      </c>
      <c r="I2401" s="156" t="n"/>
      <c r="J2401" s="90" t="n"/>
      <c r="K2401" s="166" t="n"/>
      <c r="L2401" s="158">
        <f>+H2401*J2401</f>
        <v/>
      </c>
      <c r="M2401" s="159" t="n"/>
    </row>
    <row r="2402">
      <c r="A2402" s="114" t="n">
        <v>46185</v>
      </c>
      <c r="B2402" s="115" t="n">
        <v>2857</v>
      </c>
      <c r="C2402" s="115" t="inlineStr">
        <is>
          <t>MEGA VARLIK</t>
        </is>
      </c>
      <c r="D2402" s="115" t="inlineStr">
        <is>
          <t>FORKLİF</t>
        </is>
      </c>
      <c r="E2402" s="115" t="inlineStr">
        <is>
          <t>FAHRİ</t>
        </is>
      </c>
      <c r="F2402" s="115" t="n"/>
      <c r="G2402" s="156" t="n"/>
      <c r="H2402" s="152" t="n">
        <v>33</v>
      </c>
      <c r="I2402" s="156" t="n"/>
      <c r="J2402" s="90" t="n"/>
      <c r="K2402" s="166" t="n"/>
      <c r="L2402" s="158">
        <f>+H2402*J2402</f>
        <v/>
      </c>
      <c r="M2402" s="159" t="n"/>
    </row>
    <row r="2403">
      <c r="A2403" s="114" t="n">
        <v>46185</v>
      </c>
      <c r="B2403" s="115" t="n">
        <v>2858</v>
      </c>
      <c r="C2403" s="115" t="inlineStr">
        <is>
          <t>ŞEN KASAP</t>
        </is>
      </c>
      <c r="D2403" s="115" t="inlineStr">
        <is>
          <t>SM300</t>
        </is>
      </c>
      <c r="E2403" s="115" t="inlineStr">
        <is>
          <t>ONUR</t>
        </is>
      </c>
      <c r="F2403" s="115" t="n"/>
      <c r="G2403" s="156" t="n"/>
      <c r="H2403" s="152" t="n">
        <v>320</v>
      </c>
      <c r="I2403" s="156" t="n"/>
      <c r="J2403" s="90" t="n"/>
      <c r="K2403" s="166" t="n"/>
      <c r="L2403" s="158">
        <f>+H2403*J2403</f>
        <v/>
      </c>
      <c r="M2403" s="159" t="n"/>
    </row>
    <row r="2404">
      <c r="A2404" s="114" t="n">
        <v>46185</v>
      </c>
      <c r="B2404" s="115" t="n">
        <v>2859</v>
      </c>
      <c r="C2404" s="115" t="inlineStr">
        <is>
          <t>ŞEN KASAP</t>
        </is>
      </c>
      <c r="D2404" s="115" t="inlineStr">
        <is>
          <t>SM350</t>
        </is>
      </c>
      <c r="E2404" s="115" t="inlineStr">
        <is>
          <t>YAKUP</t>
        </is>
      </c>
      <c r="F2404" s="115" t="n"/>
      <c r="G2404" s="156" t="n"/>
      <c r="H2404" s="152" t="n">
        <v>400</v>
      </c>
      <c r="I2404" s="156" t="n"/>
      <c r="J2404" s="90" t="n"/>
      <c r="K2404" s="166" t="n"/>
      <c r="L2404" s="158">
        <f>+H2404*J2404</f>
        <v/>
      </c>
      <c r="M2404" s="159" t="n"/>
    </row>
    <row r="2405">
      <c r="A2405" s="114" t="n">
        <v>46185</v>
      </c>
      <c r="B2405" s="115" t="n">
        <v>2860</v>
      </c>
      <c r="C2405" s="115" t="inlineStr">
        <is>
          <t>HASALTUN</t>
        </is>
      </c>
      <c r="D2405" s="115" t="inlineStr">
        <is>
          <t>SİLİNDİR</t>
        </is>
      </c>
      <c r="E2405" s="115" t="inlineStr">
        <is>
          <t>ATABEK</t>
        </is>
      </c>
      <c r="F2405" s="115" t="n"/>
      <c r="G2405" s="156" t="n"/>
      <c r="H2405" s="152" t="n">
        <v>150</v>
      </c>
      <c r="I2405" s="156" t="n"/>
      <c r="J2405" s="90" t="n"/>
      <c r="K2405" s="166" t="n"/>
      <c r="L2405" s="158">
        <f>+H2405*J2405</f>
        <v/>
      </c>
      <c r="M2405" s="159" t="n"/>
    </row>
    <row r="2406">
      <c r="A2406" s="114" t="n">
        <v>46185</v>
      </c>
      <c r="B2406" s="115" t="n">
        <v>2861</v>
      </c>
      <c r="C2406" s="115" t="inlineStr">
        <is>
          <t>VARLIK</t>
        </is>
      </c>
      <c r="D2406" s="115" t="inlineStr">
        <is>
          <t>MANİTO</t>
        </is>
      </c>
      <c r="E2406" s="115" t="inlineStr">
        <is>
          <t>MUHAMMED</t>
        </is>
      </c>
      <c r="F2406" s="115" t="n"/>
      <c r="G2406" s="156" t="n"/>
      <c r="H2406" s="152" t="n">
        <v>200</v>
      </c>
      <c r="I2406" s="156" t="n"/>
      <c r="J2406" s="90" t="n"/>
      <c r="K2406" s="166" t="n"/>
      <c r="L2406" s="158">
        <f>+H2406*J2406</f>
        <v/>
      </c>
      <c r="M2406" s="159" t="n"/>
    </row>
    <row r="2407">
      <c r="A2407" s="114" t="n">
        <v>46185</v>
      </c>
      <c r="B2407" s="115" t="n">
        <v>2862</v>
      </c>
      <c r="C2407" s="115" t="inlineStr">
        <is>
          <t>VARLIK</t>
        </is>
      </c>
      <c r="D2407" s="115" t="inlineStr">
        <is>
          <t>SM330</t>
        </is>
      </c>
      <c r="E2407" s="115" t="inlineStr">
        <is>
          <t>TURGUT</t>
        </is>
      </c>
      <c r="F2407" s="115" t="n"/>
      <c r="G2407" s="156" t="n"/>
      <c r="H2407" s="152" t="n">
        <v>480</v>
      </c>
      <c r="I2407" s="156" t="n"/>
      <c r="J2407" s="90" t="n"/>
      <c r="K2407" s="166" t="n"/>
      <c r="L2407" s="158">
        <f>+H2407*J2407</f>
        <v/>
      </c>
      <c r="M2407" s="159" t="n"/>
    </row>
    <row r="2408">
      <c r="A2408" s="114" t="n">
        <v>46186</v>
      </c>
      <c r="B2408" s="115" t="n">
        <v>2863</v>
      </c>
      <c r="C2408" s="115" t="inlineStr">
        <is>
          <t>ŞEN KASAP</t>
        </is>
      </c>
      <c r="D2408" s="115" t="inlineStr">
        <is>
          <t>SM370</t>
        </is>
      </c>
      <c r="E2408" s="115" t="inlineStr">
        <is>
          <t>YUSUF</t>
        </is>
      </c>
      <c r="F2408" s="115" t="n"/>
      <c r="G2408" s="156" t="n"/>
      <c r="H2408" s="152" t="n">
        <v>550</v>
      </c>
      <c r="I2408" s="156" t="n"/>
      <c r="J2408" s="90" t="n"/>
      <c r="K2408" s="166" t="n"/>
      <c r="L2408" s="158">
        <f>+H2408*J2408</f>
        <v/>
      </c>
      <c r="M2408" s="159" t="n"/>
    </row>
    <row r="2409">
      <c r="A2409" s="114" t="n">
        <v>46186</v>
      </c>
      <c r="B2409" s="115" t="n">
        <v>2864</v>
      </c>
      <c r="C2409" s="115" t="inlineStr">
        <is>
          <t>KOZMO</t>
        </is>
      </c>
      <c r="D2409" s="115" t="inlineStr">
        <is>
          <t>SİLİNDİR</t>
        </is>
      </c>
      <c r="E2409" s="115" t="inlineStr">
        <is>
          <t>ATABEK</t>
        </is>
      </c>
      <c r="F2409" s="115" t="n"/>
      <c r="G2409" s="156" t="n"/>
      <c r="H2409" s="152" t="n">
        <v>350</v>
      </c>
      <c r="I2409" s="156" t="n"/>
      <c r="J2409" s="90" t="n"/>
      <c r="K2409" s="166" t="n"/>
      <c r="L2409" s="158">
        <f>+H2409*J2409</f>
        <v/>
      </c>
      <c r="M2409" s="159" t="n"/>
    </row>
    <row r="2410">
      <c r="A2410" s="114" t="n">
        <v>46188</v>
      </c>
      <c r="B2410" s="115" t="n">
        <v>2865</v>
      </c>
      <c r="C2410" s="115" t="inlineStr">
        <is>
          <t>MEGA VARLIK</t>
        </is>
      </c>
      <c r="D2410" s="115" t="inlineStr">
        <is>
          <t>SM350</t>
        </is>
      </c>
      <c r="E2410" s="115" t="inlineStr">
        <is>
          <t>TEVFİK</t>
        </is>
      </c>
      <c r="F2410" s="115" t="n"/>
      <c r="G2410" s="156" t="n"/>
      <c r="H2410" s="152" t="n">
        <v>420</v>
      </c>
      <c r="I2410" s="156" t="n"/>
      <c r="J2410" s="90" t="n"/>
      <c r="K2410" s="166" t="n"/>
      <c r="L2410" s="158">
        <f>+H2410*J2410</f>
        <v/>
      </c>
      <c r="M2410" s="159" t="n"/>
    </row>
    <row r="2411">
      <c r="A2411" s="114" t="n">
        <v>46184</v>
      </c>
      <c r="B2411" s="115" t="n">
        <v>2866</v>
      </c>
      <c r="C2411" s="115" t="inlineStr">
        <is>
          <t>CAKYOL</t>
        </is>
      </c>
      <c r="D2411" s="115" t="inlineStr">
        <is>
          <t>34 GCY 009</t>
        </is>
      </c>
      <c r="E2411" s="115" t="inlineStr">
        <is>
          <t>ERDAL</t>
        </is>
      </c>
      <c r="F2411" s="115" t="n"/>
      <c r="G2411" s="156" t="n"/>
      <c r="H2411" s="152" t="n">
        <v>24</v>
      </c>
      <c r="I2411" s="156" t="n"/>
      <c r="J2411" s="90" t="n"/>
      <c r="K2411" s="166" t="n"/>
      <c r="L2411" s="158">
        <f>+H2411*J2411</f>
        <v/>
      </c>
      <c r="M2411" s="159" t="n"/>
    </row>
    <row r="2412">
      <c r="A2412" s="114" t="n">
        <v>46185</v>
      </c>
      <c r="B2412" s="115" t="n">
        <v>2867</v>
      </c>
      <c r="C2412" s="115" t="inlineStr">
        <is>
          <t>CAKYOL</t>
        </is>
      </c>
      <c r="D2412" s="115" t="inlineStr">
        <is>
          <t>34 ZS 8546</t>
        </is>
      </c>
      <c r="E2412" s="115" t="inlineStr">
        <is>
          <t>İSMAİL</t>
        </is>
      </c>
      <c r="F2412" s="115" t="n"/>
      <c r="G2412" s="156" t="n"/>
      <c r="H2412" s="152" t="n">
        <v>56</v>
      </c>
      <c r="I2412" s="156" t="n"/>
      <c r="J2412" s="90" t="n"/>
      <c r="K2412" s="166" t="n"/>
      <c r="L2412" s="158">
        <f>+H2412*J2412</f>
        <v/>
      </c>
      <c r="M2412" s="159" t="n"/>
    </row>
    <row r="2413">
      <c r="A2413" s="114" t="n">
        <v>46186</v>
      </c>
      <c r="B2413" s="115" t="n">
        <v>2868</v>
      </c>
      <c r="C2413" s="115" t="inlineStr">
        <is>
          <t>CAKYOL</t>
        </is>
      </c>
      <c r="D2413" s="115" t="inlineStr">
        <is>
          <t>34 GA 9415</t>
        </is>
      </c>
      <c r="E2413" s="115" t="inlineStr">
        <is>
          <t>SERKAN</t>
        </is>
      </c>
      <c r="F2413" s="115" t="n"/>
      <c r="G2413" s="156" t="n"/>
      <c r="H2413" s="152" t="n">
        <v>83</v>
      </c>
      <c r="I2413" s="156" t="n"/>
      <c r="J2413" s="90" t="n"/>
      <c r="K2413" s="166" t="n"/>
      <c r="L2413" s="158">
        <f>+H2413*J2413</f>
        <v/>
      </c>
      <c r="M2413" s="159" t="n"/>
    </row>
    <row r="2414">
      <c r="A2414" s="114" t="n">
        <v>46188</v>
      </c>
      <c r="B2414" s="115" t="n">
        <v>2869</v>
      </c>
      <c r="C2414" s="115" t="inlineStr">
        <is>
          <t>CAKYOL</t>
        </is>
      </c>
      <c r="D2414" s="115" t="inlineStr">
        <is>
          <t>34 GCY 009</t>
        </is>
      </c>
      <c r="E2414" s="115" t="inlineStr">
        <is>
          <t>İSMAİL</t>
        </is>
      </c>
      <c r="F2414" s="115" t="n"/>
      <c r="G2414" s="156" t="n"/>
      <c r="H2414" s="152" t="n">
        <v>53</v>
      </c>
      <c r="I2414" s="156" t="n"/>
      <c r="J2414" s="90" t="n"/>
      <c r="K2414" s="166" t="n"/>
      <c r="L2414" s="158">
        <f>+H2414*J2414</f>
        <v/>
      </c>
      <c r="M2414" s="159" t="n"/>
    </row>
    <row r="2415">
      <c r="A2415" s="114" t="n">
        <v>46188</v>
      </c>
      <c r="B2415" s="115" t="n">
        <v>2870</v>
      </c>
      <c r="C2415" s="115" t="inlineStr">
        <is>
          <t>MEGA VARLIK</t>
        </is>
      </c>
      <c r="D2415" s="115" t="inlineStr">
        <is>
          <t>FORKLİF</t>
        </is>
      </c>
      <c r="E2415" s="115" t="inlineStr">
        <is>
          <t>FAHRİ</t>
        </is>
      </c>
      <c r="F2415" s="115" t="n"/>
      <c r="G2415" s="156" t="n"/>
      <c r="H2415" s="152" t="n">
        <v>55</v>
      </c>
      <c r="I2415" s="156" t="n"/>
      <c r="J2415" s="90" t="n"/>
      <c r="K2415" s="166" t="n"/>
      <c r="L2415" s="158">
        <f>+H2415*J2415</f>
        <v/>
      </c>
      <c r="M2415" s="159" t="n"/>
    </row>
    <row r="2416">
      <c r="A2416" s="114" t="n">
        <v>46188</v>
      </c>
      <c r="B2416" s="115" t="n">
        <v>2871</v>
      </c>
      <c r="C2416" s="115" t="inlineStr">
        <is>
          <t>ŞEN KASAP</t>
        </is>
      </c>
      <c r="D2416" s="115" t="inlineStr">
        <is>
          <t>SM350</t>
        </is>
      </c>
      <c r="E2416" s="115" t="inlineStr">
        <is>
          <t>YAKUP</t>
        </is>
      </c>
      <c r="F2416" s="115" t="n"/>
      <c r="G2416" s="156" t="n"/>
      <c r="H2416" s="152" t="n">
        <v>462</v>
      </c>
      <c r="I2416" s="156" t="n"/>
      <c r="J2416" s="90" t="n"/>
      <c r="K2416" s="166" t="n"/>
      <c r="L2416" s="158">
        <f>+H2416*J2416</f>
        <v/>
      </c>
      <c r="M2416" s="159" t="n"/>
    </row>
    <row r="2417">
      <c r="A2417" s="125" t="n">
        <v>46188</v>
      </c>
      <c r="B2417" s="94" t="n">
        <v>2872</v>
      </c>
      <c r="C2417" s="94" t="inlineStr">
        <is>
          <t>ŞEN KASAP</t>
        </is>
      </c>
      <c r="D2417" s="94" t="inlineStr">
        <is>
          <t>SM370</t>
        </is>
      </c>
      <c r="E2417" s="94" t="inlineStr">
        <is>
          <t>YUSUF</t>
        </is>
      </c>
      <c r="F2417" s="94" t="n"/>
      <c r="G2417" s="168" t="n"/>
      <c r="H2417" s="171" t="n">
        <v>550</v>
      </c>
      <c r="I2417" s="168" t="n"/>
      <c r="J2417" s="98" t="n"/>
      <c r="K2417" s="172" t="n"/>
      <c r="L2417" s="170">
        <f>+H2417*J2417</f>
        <v/>
      </c>
      <c r="M2417" s="170" t="n"/>
    </row>
    <row r="2418">
      <c r="A2418" s="114" t="n">
        <v>46190</v>
      </c>
      <c r="B2418" s="115" t="n">
        <v>2911</v>
      </c>
      <c r="C2418" s="115" t="inlineStr">
        <is>
          <t>HASAN ZEMİN</t>
        </is>
      </c>
      <c r="D2418" s="115" t="inlineStr">
        <is>
          <t>KAZIK MAKİNASI</t>
        </is>
      </c>
      <c r="E2418" s="115" t="n"/>
      <c r="F2418" s="115" t="n"/>
      <c r="G2418" s="156" t="n"/>
      <c r="H2418" s="152" t="n">
        <v>290</v>
      </c>
      <c r="I2418" s="156" t="n"/>
      <c r="J2418" s="90" t="n"/>
      <c r="K2418" s="166" t="n"/>
      <c r="L2418" s="158">
        <f>+H2418*J2418</f>
        <v/>
      </c>
      <c r="M2418" s="159" t="n"/>
    </row>
    <row r="2419">
      <c r="A2419" s="114" t="n">
        <v>46191</v>
      </c>
      <c r="B2419" s="115" t="n">
        <v>2912</v>
      </c>
      <c r="C2419" s="115" t="inlineStr">
        <is>
          <t>HASAN ZEMİN</t>
        </is>
      </c>
      <c r="D2419" s="115" t="inlineStr">
        <is>
          <t>KAZIK MAKİNASI</t>
        </is>
      </c>
      <c r="E2419" s="115" t="n"/>
      <c r="F2419" s="115" t="n"/>
      <c r="G2419" s="156" t="n"/>
      <c r="H2419" s="152" t="n">
        <v>280</v>
      </c>
      <c r="I2419" s="156" t="n"/>
      <c r="J2419" s="90" t="n"/>
      <c r="K2419" s="166" t="n"/>
      <c r="L2419" s="158">
        <f>+H2419*J2419</f>
        <v/>
      </c>
      <c r="M2419" s="159" t="n"/>
    </row>
    <row r="2420">
      <c r="A2420" s="114" t="n">
        <v>46195</v>
      </c>
      <c r="B2420" s="115" t="n">
        <v>2913</v>
      </c>
      <c r="C2420" s="115" t="inlineStr">
        <is>
          <t>HASAN ZEMİN</t>
        </is>
      </c>
      <c r="D2420" s="115" t="inlineStr">
        <is>
          <t>KAZIK MAKİNASI</t>
        </is>
      </c>
      <c r="E2420" s="115" t="n"/>
      <c r="F2420" s="115" t="n"/>
      <c r="G2420" s="156" t="n"/>
      <c r="H2420" s="152" t="n">
        <v>321</v>
      </c>
      <c r="I2420" s="156" t="n"/>
      <c r="J2420" s="90" t="n"/>
      <c r="K2420" s="166" t="n"/>
      <c r="L2420" s="158">
        <f>+H2420*J2420</f>
        <v/>
      </c>
      <c r="M2420" s="159" t="n"/>
    </row>
    <row r="2421">
      <c r="A2421" s="114" t="n">
        <v>46198</v>
      </c>
      <c r="B2421" s="115" t="n">
        <v>2914</v>
      </c>
      <c r="C2421" s="115" t="inlineStr">
        <is>
          <t>HASAN ZEMİN</t>
        </is>
      </c>
      <c r="D2421" s="115" t="inlineStr">
        <is>
          <t>KAZIK MAKİNASI</t>
        </is>
      </c>
      <c r="E2421" s="115" t="n"/>
      <c r="F2421" s="115" t="n"/>
      <c r="G2421" s="156" t="n"/>
      <c r="H2421" s="152" t="n">
        <v>220</v>
      </c>
      <c r="I2421" s="156" t="n"/>
      <c r="J2421" s="90" t="n"/>
      <c r="K2421" s="166" t="n"/>
      <c r="L2421" s="158">
        <f>+H2421*J2421</f>
        <v/>
      </c>
      <c r="M2421" s="159" t="n"/>
    </row>
    <row r="2422">
      <c r="A2422" s="114" t="n">
        <v>46203</v>
      </c>
      <c r="B2422" s="115" t="n">
        <v>2915</v>
      </c>
      <c r="C2422" s="115" t="inlineStr">
        <is>
          <t>HASAN ZEMİN</t>
        </is>
      </c>
      <c r="D2422" s="115" t="inlineStr">
        <is>
          <t>KAZIK MAKİNASI</t>
        </is>
      </c>
      <c r="E2422" s="115" t="n"/>
      <c r="F2422" s="115" t="n"/>
      <c r="G2422" s="156" t="n"/>
      <c r="H2422" s="152" t="n">
        <v>203</v>
      </c>
      <c r="I2422" s="156" t="n"/>
      <c r="J2422" s="90" t="n"/>
      <c r="K2422" s="166" t="n"/>
      <c r="L2422" s="158">
        <f>+H2422*J2422</f>
        <v/>
      </c>
      <c r="M2422" s="159" t="n"/>
    </row>
    <row r="2423">
      <c r="A2423" s="114" t="n">
        <v>46199</v>
      </c>
      <c r="B2423" s="115" t="n">
        <v>2916</v>
      </c>
      <c r="C2423" s="115" t="inlineStr">
        <is>
          <t>HASAN ZEMİN</t>
        </is>
      </c>
      <c r="D2423" s="115" t="inlineStr">
        <is>
          <t>KAZIK MAKİNASI</t>
        </is>
      </c>
      <c r="E2423" s="115" t="n"/>
      <c r="F2423" s="115" t="n"/>
      <c r="G2423" s="156" t="n"/>
      <c r="H2423" s="152" t="n">
        <v>179</v>
      </c>
      <c r="I2423" s="156" t="n"/>
      <c r="J2423" s="90" t="n"/>
      <c r="K2423" s="166" t="n"/>
      <c r="L2423" s="158">
        <f>+H2423*J2423</f>
        <v/>
      </c>
      <c r="M2423" s="159" t="n"/>
    </row>
    <row r="2424">
      <c r="A2424" s="114" t="n">
        <v>46200</v>
      </c>
      <c r="B2424" s="115" t="n">
        <v>2917</v>
      </c>
      <c r="C2424" s="115" t="inlineStr">
        <is>
          <t>HASAN ZEMİN</t>
        </is>
      </c>
      <c r="D2424" s="115" t="inlineStr">
        <is>
          <t>KAZIK MAKİNASI</t>
        </is>
      </c>
      <c r="E2424" s="115" t="n"/>
      <c r="F2424" s="115" t="n"/>
      <c r="G2424" s="156" t="n"/>
      <c r="H2424" s="152" t="n">
        <v>350</v>
      </c>
      <c r="I2424" s="156" t="n"/>
      <c r="J2424" s="90" t="n"/>
      <c r="K2424" s="166" t="n"/>
      <c r="L2424" s="158">
        <f>+H2424*J2424</f>
        <v/>
      </c>
      <c r="M2424" s="159" t="n"/>
    </row>
    <row r="2425">
      <c r="A2425" s="114" t="n">
        <v>46202</v>
      </c>
      <c r="B2425" s="115" t="n">
        <v>2918</v>
      </c>
      <c r="C2425" s="115" t="inlineStr">
        <is>
          <t>HASAN ZEMİN</t>
        </is>
      </c>
      <c r="D2425" s="115" t="inlineStr">
        <is>
          <t>KAZIK MAKİNASI</t>
        </is>
      </c>
      <c r="E2425" s="115" t="n"/>
      <c r="F2425" s="115" t="n"/>
      <c r="G2425" s="156" t="n"/>
      <c r="H2425" s="152" t="n">
        <v>403</v>
      </c>
      <c r="I2425" s="156" t="n"/>
      <c r="J2425" s="90" t="n"/>
      <c r="K2425" s="166" t="n"/>
      <c r="L2425" s="158">
        <f>+H2425*J2425</f>
        <v/>
      </c>
      <c r="M2425" s="159" t="n"/>
    </row>
    <row r="2426">
      <c r="A2426" s="114" t="n">
        <v>46202</v>
      </c>
      <c r="B2426" s="115" t="n">
        <v>2919</v>
      </c>
      <c r="C2426" s="115" t="inlineStr">
        <is>
          <t>HASAN ZEMİN</t>
        </is>
      </c>
      <c r="D2426" s="115" t="inlineStr">
        <is>
          <t>KAZIK MAKİNASI</t>
        </is>
      </c>
      <c r="E2426" s="115" t="n"/>
      <c r="F2426" s="115" t="n"/>
      <c r="G2426" s="156" t="n"/>
      <c r="H2426" s="152" t="n">
        <v>227</v>
      </c>
      <c r="I2426" s="156" t="n"/>
      <c r="J2426" s="90" t="n"/>
      <c r="K2426" s="166" t="n"/>
      <c r="L2426" s="158">
        <f>+H2426*J2426</f>
        <v/>
      </c>
      <c r="M2426" s="159" t="n"/>
    </row>
    <row r="2427">
      <c r="A2427" s="114" t="n">
        <v>46190</v>
      </c>
      <c r="B2427" s="115" t="n">
        <v>2854</v>
      </c>
      <c r="C2427" s="115" t="inlineStr">
        <is>
          <t>METİN ERYİĞİT</t>
        </is>
      </c>
      <c r="D2427" s="115" t="inlineStr">
        <is>
          <t>34 GBL 998</t>
        </is>
      </c>
      <c r="E2427" s="115" t="inlineStr">
        <is>
          <t>ALİ KESKİN</t>
        </is>
      </c>
      <c r="F2427" s="115" t="n">
        <v>378621</v>
      </c>
      <c r="G2427" s="156" t="n"/>
      <c r="H2427" s="152" t="n">
        <v>416</v>
      </c>
      <c r="I2427" s="156" t="n"/>
      <c r="J2427" s="90" t="n"/>
      <c r="K2427" s="166" t="n"/>
      <c r="L2427" s="158">
        <f>+H2427*J2427</f>
        <v/>
      </c>
      <c r="M2427" s="159" t="n"/>
    </row>
    <row r="2428">
      <c r="A2428" s="114" t="n">
        <v>46192</v>
      </c>
      <c r="B2428" s="115" t="n">
        <v>2855</v>
      </c>
      <c r="C2428" s="115" t="inlineStr">
        <is>
          <t>METİN ERYİĞİT</t>
        </is>
      </c>
      <c r="D2428" s="115" t="inlineStr">
        <is>
          <t>34 GBL 998</t>
        </is>
      </c>
      <c r="E2428" s="115" t="inlineStr">
        <is>
          <t>ALİ KESKİN</t>
        </is>
      </c>
      <c r="F2428" s="115" t="n">
        <v>379348</v>
      </c>
      <c r="G2428" s="156" t="n"/>
      <c r="H2428" s="152" t="n">
        <v>389</v>
      </c>
      <c r="I2428" s="156" t="n"/>
      <c r="J2428" s="90" t="n"/>
      <c r="K2428" s="166" t="n"/>
      <c r="L2428" s="158">
        <f>+H2428*J2428</f>
        <v/>
      </c>
      <c r="M2428" s="159" t="n"/>
    </row>
    <row r="2429">
      <c r="A2429" s="114" t="n">
        <v>46195</v>
      </c>
      <c r="B2429" s="115" t="n">
        <v>2856</v>
      </c>
      <c r="C2429" s="115" t="inlineStr">
        <is>
          <t>METİN ERYİĞİT</t>
        </is>
      </c>
      <c r="D2429" s="115" t="inlineStr">
        <is>
          <t>34 GBL 998</t>
        </is>
      </c>
      <c r="E2429" s="115" t="inlineStr">
        <is>
          <t>ALİ KESKİN</t>
        </is>
      </c>
      <c r="F2429" s="115" t="n">
        <v>379950</v>
      </c>
      <c r="G2429" s="156" t="n"/>
      <c r="H2429" s="152" t="n">
        <v>334</v>
      </c>
      <c r="I2429" s="156" t="n"/>
      <c r="J2429" s="90" t="n"/>
      <c r="K2429" s="166" t="n"/>
      <c r="L2429" s="158">
        <f>+H2429*J2429</f>
        <v/>
      </c>
      <c r="M2429" s="159" t="n"/>
    </row>
    <row r="2430">
      <c r="A2430" s="114" t="n">
        <v>46196</v>
      </c>
      <c r="B2430" s="115" t="n">
        <v>2857</v>
      </c>
      <c r="C2430" s="115" t="inlineStr">
        <is>
          <t>METİN ERYİĞİT</t>
        </is>
      </c>
      <c r="D2430" s="115" t="inlineStr">
        <is>
          <t>34 GBL 998</t>
        </is>
      </c>
      <c r="E2430" s="115" t="inlineStr">
        <is>
          <t>ALİ KESKİN</t>
        </is>
      </c>
      <c r="F2430" s="115" t="n">
        <v>380457</v>
      </c>
      <c r="G2430" s="156" t="n"/>
      <c r="H2430" s="152" t="n">
        <v>267</v>
      </c>
      <c r="I2430" s="156" t="n"/>
      <c r="J2430" s="90" t="n"/>
      <c r="K2430" s="166" t="n"/>
      <c r="L2430" s="158">
        <f>+H2430*J2430</f>
        <v/>
      </c>
      <c r="M2430" s="159" t="n"/>
    </row>
    <row r="2431">
      <c r="A2431" s="114" t="n">
        <v>46198</v>
      </c>
      <c r="B2431" s="115" t="n">
        <v>2858</v>
      </c>
      <c r="C2431" s="115" t="inlineStr">
        <is>
          <t>METİN ERYİĞİT</t>
        </is>
      </c>
      <c r="D2431" s="115" t="inlineStr">
        <is>
          <t>34 GBL 998</t>
        </is>
      </c>
      <c r="E2431" s="115" t="inlineStr">
        <is>
          <t>ALİ KESKİN</t>
        </is>
      </c>
      <c r="F2431" s="115" t="n">
        <v>381396</v>
      </c>
      <c r="G2431" s="156" t="n"/>
      <c r="H2431" s="152" t="n">
        <v>465</v>
      </c>
      <c r="I2431" s="156" t="n"/>
      <c r="J2431" s="90" t="n"/>
      <c r="K2431" s="166" t="n"/>
      <c r="L2431" s="158">
        <f>+H2431*J2431</f>
        <v/>
      </c>
      <c r="M2431" s="159" t="n"/>
    </row>
    <row r="2432">
      <c r="A2432" s="114" t="n">
        <v>46200</v>
      </c>
      <c r="B2432" s="115" t="n">
        <v>2859</v>
      </c>
      <c r="C2432" s="115" t="inlineStr">
        <is>
          <t>METİN ERYİĞİT</t>
        </is>
      </c>
      <c r="D2432" s="115" t="inlineStr">
        <is>
          <t>34 GBL 998</t>
        </is>
      </c>
      <c r="E2432" s="115" t="inlineStr">
        <is>
          <t>ALİ KESKİN</t>
        </is>
      </c>
      <c r="F2432" s="115" t="n">
        <v>382079</v>
      </c>
      <c r="G2432" s="156" t="n"/>
      <c r="H2432" s="152" t="n">
        <v>345</v>
      </c>
      <c r="I2432" s="156" t="n"/>
      <c r="J2432" s="90" t="n"/>
      <c r="K2432" s="166" t="n"/>
      <c r="L2432" s="158">
        <f>+H2432*J2432</f>
        <v/>
      </c>
      <c r="M2432" s="159" t="n"/>
    </row>
    <row r="2433">
      <c r="A2433" s="114" t="n">
        <v>46202</v>
      </c>
      <c r="B2433" s="115" t="n">
        <v>2860</v>
      </c>
      <c r="C2433" s="115" t="inlineStr">
        <is>
          <t>METİN ERYİĞİT</t>
        </is>
      </c>
      <c r="D2433" s="115" t="inlineStr">
        <is>
          <t>34 GBL 998</t>
        </is>
      </c>
      <c r="E2433" s="115" t="inlineStr">
        <is>
          <t>ALİ KESKİN</t>
        </is>
      </c>
      <c r="F2433" s="115" t="n">
        <v>382844</v>
      </c>
      <c r="G2433" s="156" t="n"/>
      <c r="H2433" s="152" t="n">
        <v>467</v>
      </c>
      <c r="I2433" s="156" t="n"/>
      <c r="J2433" s="90" t="n"/>
      <c r="K2433" s="166" t="n"/>
      <c r="L2433" s="158">
        <f>+H2433*J2433</f>
        <v/>
      </c>
      <c r="M2433" s="159" t="n"/>
    </row>
    <row r="2434">
      <c r="A2434" s="114" t="n">
        <v>46190</v>
      </c>
      <c r="B2434" s="115" t="n">
        <v>796</v>
      </c>
      <c r="C2434" s="115" t="inlineStr">
        <is>
          <t>METİN ERYİĞİT</t>
        </is>
      </c>
      <c r="D2434" s="115" t="inlineStr">
        <is>
          <t>34 EGR 814</t>
        </is>
      </c>
      <c r="E2434" s="115" t="inlineStr">
        <is>
          <t>SEZGİN KOCAGİL</t>
        </is>
      </c>
      <c r="F2434" s="115" t="n">
        <v>640171</v>
      </c>
      <c r="G2434" s="156" t="n"/>
      <c r="H2434" s="152" t="n">
        <v>443</v>
      </c>
      <c r="I2434" s="156" t="n"/>
      <c r="J2434" s="90" t="n"/>
      <c r="K2434" s="166" t="n"/>
      <c r="L2434" s="158">
        <f>+H2434*J2434</f>
        <v/>
      </c>
      <c r="M2434" s="159" t="n"/>
    </row>
    <row r="2435">
      <c r="A2435" s="114" t="n">
        <v>46192</v>
      </c>
      <c r="B2435" s="115" t="n">
        <v>797</v>
      </c>
      <c r="C2435" s="115" t="inlineStr">
        <is>
          <t>METİN ERYİĞİT</t>
        </is>
      </c>
      <c r="D2435" s="115" t="inlineStr">
        <is>
          <t>34 EGR 814</t>
        </is>
      </c>
      <c r="E2435" s="115" t="inlineStr">
        <is>
          <t>SEZGİN KOCAGİL</t>
        </is>
      </c>
      <c r="F2435" s="115" t="n">
        <v>640885</v>
      </c>
      <c r="G2435" s="156" t="n"/>
      <c r="H2435" s="152" t="n">
        <v>428</v>
      </c>
      <c r="I2435" s="156" t="n"/>
      <c r="J2435" s="90" t="n"/>
      <c r="K2435" s="166" t="n"/>
      <c r="L2435" s="158">
        <f>+H2435*J2435</f>
        <v/>
      </c>
      <c r="M2435" s="159" t="n"/>
    </row>
    <row r="2436">
      <c r="A2436" s="114" t="n">
        <v>46195</v>
      </c>
      <c r="B2436" s="115" t="n">
        <v>798</v>
      </c>
      <c r="C2436" s="115" t="inlineStr">
        <is>
          <t>METİN ERYİĞİT</t>
        </is>
      </c>
      <c r="D2436" s="115" t="inlineStr">
        <is>
          <t>34 EGR 814</t>
        </is>
      </c>
      <c r="E2436" s="115" t="inlineStr">
        <is>
          <t>SEZGİN KOCAGİL</t>
        </is>
      </c>
      <c r="F2436" s="115" t="n">
        <v>641588</v>
      </c>
      <c r="G2436" s="156" t="n"/>
      <c r="H2436" s="152" t="n">
        <v>462</v>
      </c>
      <c r="I2436" s="156" t="n"/>
      <c r="J2436" s="90" t="n"/>
      <c r="K2436" s="166" t="n"/>
      <c r="L2436" s="158">
        <f>+H2436*J2436</f>
        <v/>
      </c>
      <c r="M2436" s="159" t="n"/>
    </row>
    <row r="2437">
      <c r="A2437" s="114" t="n">
        <v>46197</v>
      </c>
      <c r="B2437" s="115" t="n">
        <v>799</v>
      </c>
      <c r="C2437" s="115" t="inlineStr">
        <is>
          <t>METİN ERYİĞİT</t>
        </is>
      </c>
      <c r="D2437" s="115" t="inlineStr">
        <is>
          <t>34 EGR 814</t>
        </is>
      </c>
      <c r="E2437" s="115" t="inlineStr">
        <is>
          <t>SEZGİN KOCAGİL</t>
        </is>
      </c>
      <c r="F2437" s="115" t="n">
        <v>642384</v>
      </c>
      <c r="G2437" s="156" t="n"/>
      <c r="H2437" s="152" t="n">
        <v>507</v>
      </c>
      <c r="I2437" s="156" t="n"/>
      <c r="J2437" s="90" t="n"/>
      <c r="K2437" s="166" t="n"/>
      <c r="L2437" s="158">
        <f>+H2437*J2437</f>
        <v/>
      </c>
      <c r="M2437" s="159" t="n"/>
    </row>
    <row r="2438">
      <c r="A2438" s="114" t="n">
        <v>46200</v>
      </c>
      <c r="B2438" s="115" t="n">
        <v>800</v>
      </c>
      <c r="C2438" s="115" t="inlineStr">
        <is>
          <t>METİN ERYİĞİT</t>
        </is>
      </c>
      <c r="D2438" s="115" t="inlineStr">
        <is>
          <t>34 EGR 814</t>
        </is>
      </c>
      <c r="E2438" s="115" t="inlineStr">
        <is>
          <t>SEZGİN KOCAGİL</t>
        </is>
      </c>
      <c r="F2438" s="115" t="n">
        <v>643185</v>
      </c>
      <c r="G2438" s="156" t="n"/>
      <c r="H2438" s="152" t="n">
        <v>445</v>
      </c>
      <c r="I2438" s="156" t="n"/>
      <c r="J2438" s="90" t="n"/>
      <c r="K2438" s="166" t="n"/>
      <c r="L2438" s="158">
        <f>+H2438*J2438</f>
        <v/>
      </c>
      <c r="M2438" s="159" t="n"/>
    </row>
    <row r="2439">
      <c r="A2439" s="114" t="n">
        <v>46201</v>
      </c>
      <c r="B2439" s="115" t="n">
        <v>801</v>
      </c>
      <c r="C2439" s="115" t="inlineStr">
        <is>
          <t>METİN ERYİĞİT</t>
        </is>
      </c>
      <c r="D2439" s="115" t="inlineStr">
        <is>
          <t>34 EGR 814</t>
        </is>
      </c>
      <c r="E2439" s="115" t="inlineStr">
        <is>
          <t>SEZGİN KOCAGİL</t>
        </is>
      </c>
      <c r="F2439" s="115" t="n">
        <v>643894</v>
      </c>
      <c r="G2439" s="156" t="n"/>
      <c r="H2439" s="152" t="n">
        <v>389</v>
      </c>
      <c r="I2439" s="156" t="n"/>
      <c r="J2439" s="90" t="n"/>
      <c r="K2439" s="166" t="n"/>
      <c r="L2439" s="158">
        <f>+H2439*J2439</f>
        <v/>
      </c>
      <c r="M2439" s="159" t="n"/>
    </row>
    <row r="2440">
      <c r="A2440" s="114" t="n">
        <v>46203</v>
      </c>
      <c r="B2440" s="115" t="n">
        <v>802</v>
      </c>
      <c r="C2440" s="115" t="inlineStr">
        <is>
          <t>METİN ERYİĞİT</t>
        </is>
      </c>
      <c r="D2440" s="115" t="inlineStr">
        <is>
          <t>34 EGR 814</t>
        </is>
      </c>
      <c r="E2440" s="115" t="inlineStr">
        <is>
          <t>SEZGİN KOCAGİL</t>
        </is>
      </c>
      <c r="F2440" s="115" t="n">
        <v>644631</v>
      </c>
      <c r="G2440" s="156" t="n"/>
      <c r="H2440" s="152" t="n">
        <v>365</v>
      </c>
      <c r="I2440" s="156" t="n"/>
      <c r="J2440" s="90" t="n"/>
      <c r="K2440" s="166" t="n"/>
      <c r="L2440" s="158">
        <f>+H2440*J2440</f>
        <v/>
      </c>
      <c r="M2440" s="159" t="n"/>
    </row>
    <row r="2441">
      <c r="A2441" s="114" t="n">
        <v>46189</v>
      </c>
      <c r="B2441" s="115" t="n">
        <v>750</v>
      </c>
      <c r="C2441" s="115" t="inlineStr">
        <is>
          <t>METİN ERYİĞİT</t>
        </is>
      </c>
      <c r="D2441" s="115" t="inlineStr">
        <is>
          <t>34 EGS 013</t>
        </is>
      </c>
      <c r="E2441" s="115" t="inlineStr">
        <is>
          <t>UĞUR DUMAN</t>
        </is>
      </c>
      <c r="F2441" s="115" t="n">
        <v>590945</v>
      </c>
      <c r="G2441" s="156" t="n"/>
      <c r="H2441" s="152" t="n">
        <v>435</v>
      </c>
      <c r="I2441" s="156" t="n"/>
      <c r="J2441" s="90" t="n"/>
      <c r="K2441" s="166" t="n"/>
      <c r="L2441" s="158">
        <f>+H2441*J2441</f>
        <v/>
      </c>
      <c r="M2441" s="159" t="n"/>
    </row>
    <row r="2442">
      <c r="A2442" s="114" t="n">
        <v>46191</v>
      </c>
      <c r="B2442" s="115" t="n">
        <v>751</v>
      </c>
      <c r="C2442" s="115" t="inlineStr">
        <is>
          <t>METİN ERYİĞİT</t>
        </is>
      </c>
      <c r="D2442" s="115" t="inlineStr">
        <is>
          <t>34 EGS 013</t>
        </is>
      </c>
      <c r="E2442" s="115" t="inlineStr">
        <is>
          <t>UĞUR DUMAN</t>
        </is>
      </c>
      <c r="F2442" s="115" t="n">
        <v>591699</v>
      </c>
      <c r="G2442" s="156" t="n"/>
      <c r="H2442" s="152" t="n">
        <v>417</v>
      </c>
      <c r="I2442" s="156" t="n"/>
      <c r="J2442" s="90" t="n"/>
      <c r="K2442" s="166" t="n"/>
      <c r="L2442" s="158">
        <f>+H2442*J2442</f>
        <v/>
      </c>
      <c r="M2442" s="159" t="n"/>
    </row>
    <row r="2443">
      <c r="A2443" s="114" t="n">
        <v>46193</v>
      </c>
      <c r="B2443" s="115" t="n">
        <v>752</v>
      </c>
      <c r="C2443" s="115" t="inlineStr">
        <is>
          <t>METİN ERYİĞİT</t>
        </is>
      </c>
      <c r="D2443" s="115" t="inlineStr">
        <is>
          <t>34 EGS 013</t>
        </is>
      </c>
      <c r="E2443" s="115" t="inlineStr">
        <is>
          <t>UĞUR DUMAN</t>
        </is>
      </c>
      <c r="F2443" s="115" t="n">
        <v>592397</v>
      </c>
      <c r="G2443" s="156" t="n"/>
      <c r="H2443" s="152" t="n">
        <v>415</v>
      </c>
      <c r="I2443" s="156" t="n"/>
      <c r="J2443" s="90" t="n"/>
      <c r="K2443" s="166" t="n"/>
      <c r="L2443" s="158">
        <f>+H2443*J2443</f>
        <v/>
      </c>
      <c r="M2443" s="159" t="n"/>
    </row>
    <row r="2444">
      <c r="A2444" s="114" t="n">
        <v>46197</v>
      </c>
      <c r="B2444" s="115" t="n">
        <v>753</v>
      </c>
      <c r="C2444" s="115" t="inlineStr">
        <is>
          <t>METİN ERYİĞİT</t>
        </is>
      </c>
      <c r="D2444" s="115" t="inlineStr">
        <is>
          <t>34 EGS 013</t>
        </is>
      </c>
      <c r="E2444" s="115" t="inlineStr">
        <is>
          <t>UĞUR DUMAN</t>
        </is>
      </c>
      <c r="F2444" s="115" t="n">
        <v>593201</v>
      </c>
      <c r="G2444" s="156" t="n"/>
      <c r="H2444" s="152" t="n">
        <v>494</v>
      </c>
      <c r="I2444" s="156" t="n"/>
      <c r="J2444" s="90" t="n"/>
      <c r="K2444" s="166" t="n"/>
      <c r="L2444" s="158">
        <f>+H2444*J2444</f>
        <v/>
      </c>
      <c r="M2444" s="159" t="n"/>
    </row>
    <row r="2445">
      <c r="A2445" s="114" t="n">
        <v>46199</v>
      </c>
      <c r="B2445" s="115" t="n">
        <v>754</v>
      </c>
      <c r="C2445" s="115" t="inlineStr">
        <is>
          <t>METİN ERYİĞİT</t>
        </is>
      </c>
      <c r="D2445" s="115" t="inlineStr">
        <is>
          <t>34 EGS 013</t>
        </is>
      </c>
      <c r="E2445" s="115" t="inlineStr">
        <is>
          <t>UĞUR DUMAN</t>
        </is>
      </c>
      <c r="F2445" s="115" t="n">
        <v>593829</v>
      </c>
      <c r="G2445" s="156" t="n"/>
      <c r="H2445" s="152" t="n">
        <v>380</v>
      </c>
      <c r="I2445" s="156" t="n"/>
      <c r="J2445" s="90" t="n"/>
      <c r="K2445" s="166" t="n"/>
      <c r="L2445" s="158">
        <f>+H2445*J2445</f>
        <v/>
      </c>
      <c r="M2445" s="159" t="n"/>
    </row>
    <row r="2446">
      <c r="A2446" s="114" t="n">
        <v>46201</v>
      </c>
      <c r="B2446" s="115" t="n">
        <v>755</v>
      </c>
      <c r="C2446" s="115" t="inlineStr">
        <is>
          <t>METİN ERYİĞİT</t>
        </is>
      </c>
      <c r="D2446" s="115" t="inlineStr">
        <is>
          <t>34 EGS 013</t>
        </is>
      </c>
      <c r="E2446" s="115" t="inlineStr">
        <is>
          <t>UĞUR DUMAN</t>
        </is>
      </c>
      <c r="F2446" s="115" t="n">
        <v>594651</v>
      </c>
      <c r="G2446" s="156" t="n"/>
      <c r="H2446" s="152" t="n">
        <v>480</v>
      </c>
      <c r="I2446" s="156" t="n"/>
      <c r="J2446" s="90" t="n"/>
      <c r="K2446" s="166" t="n"/>
      <c r="L2446" s="158">
        <f>+H2446*J2446</f>
        <v/>
      </c>
      <c r="M2446" s="159" t="n"/>
    </row>
    <row r="2447">
      <c r="A2447" s="114" t="n">
        <v>46203</v>
      </c>
      <c r="B2447" s="115" t="n">
        <v>756</v>
      </c>
      <c r="C2447" s="115" t="inlineStr">
        <is>
          <t>METİN ERYİĞİT</t>
        </is>
      </c>
      <c r="D2447" s="115" t="inlineStr">
        <is>
          <t>34 EGS 013</t>
        </is>
      </c>
      <c r="E2447" s="115" t="inlineStr">
        <is>
          <t>UĞUR DUMAN</t>
        </is>
      </c>
      <c r="F2447" s="115" t="n">
        <v>595253</v>
      </c>
      <c r="G2447" s="156" t="n"/>
      <c r="H2447" s="152" t="n">
        <v>383</v>
      </c>
      <c r="I2447" s="156" t="n"/>
      <c r="J2447" s="90" t="n"/>
      <c r="K2447" s="166" t="n"/>
      <c r="L2447" s="158">
        <f>+H2447*J2447</f>
        <v/>
      </c>
      <c r="M2447" s="159" t="n"/>
    </row>
    <row r="2448">
      <c r="A2448" s="114" t="n">
        <v>46190</v>
      </c>
      <c r="B2448" s="115" t="n">
        <v>1424</v>
      </c>
      <c r="C2448" s="115" t="inlineStr">
        <is>
          <t>AZGÜN YAPI</t>
        </is>
      </c>
      <c r="D2448" s="115" t="inlineStr">
        <is>
          <t>34 MKT 859</t>
        </is>
      </c>
      <c r="E2448" s="115" t="inlineStr">
        <is>
          <t>ZİYA İNCE</t>
        </is>
      </c>
      <c r="F2448" s="115" t="n"/>
      <c r="G2448" s="156" t="n"/>
      <c r="H2448" s="152" t="n">
        <v>462</v>
      </c>
      <c r="I2448" s="156" t="n"/>
      <c r="J2448" s="90" t="n"/>
      <c r="K2448" s="166" t="n"/>
      <c r="L2448" s="158">
        <f>+H2448*J2448</f>
        <v/>
      </c>
      <c r="M2448" s="159" t="n"/>
    </row>
    <row r="2449">
      <c r="A2449" s="114" t="n">
        <v>46193</v>
      </c>
      <c r="B2449" s="115" t="n">
        <v>1425</v>
      </c>
      <c r="C2449" s="115" t="inlineStr">
        <is>
          <t>AZGÜN YAPI</t>
        </is>
      </c>
      <c r="D2449" s="115" t="inlineStr">
        <is>
          <t>34 MKT 859</t>
        </is>
      </c>
      <c r="E2449" s="115" t="inlineStr">
        <is>
          <t>ZİYA İNCE</t>
        </is>
      </c>
      <c r="F2449" s="115" t="n"/>
      <c r="G2449" s="156" t="n"/>
      <c r="H2449" s="152" t="n">
        <v>452</v>
      </c>
      <c r="I2449" s="156" t="n"/>
      <c r="J2449" s="90" t="n"/>
      <c r="K2449" s="166" t="n"/>
      <c r="L2449" s="158">
        <f>+H2449*J2449</f>
        <v/>
      </c>
      <c r="M2449" s="159" t="n"/>
    </row>
    <row r="2450">
      <c r="A2450" s="114" t="n">
        <v>46195</v>
      </c>
      <c r="B2450" s="115" t="n">
        <v>1426</v>
      </c>
      <c r="C2450" s="115" t="inlineStr">
        <is>
          <t>AZGÜN YAPI</t>
        </is>
      </c>
      <c r="D2450" s="115" t="inlineStr">
        <is>
          <t>34 MKT 859</t>
        </is>
      </c>
      <c r="E2450" s="115" t="inlineStr">
        <is>
          <t>ZİYA İNCE</t>
        </is>
      </c>
      <c r="F2450" s="115" t="n"/>
      <c r="G2450" s="156" t="n"/>
      <c r="H2450" s="152" t="n">
        <v>288</v>
      </c>
      <c r="I2450" s="156" t="n"/>
      <c r="J2450" s="90" t="n"/>
      <c r="K2450" s="166" t="n"/>
      <c r="L2450" s="158">
        <f>+H2450*J2450</f>
        <v/>
      </c>
      <c r="M2450" s="159" t="n"/>
    </row>
    <row r="2451">
      <c r="A2451" s="114" t="n">
        <v>46198</v>
      </c>
      <c r="B2451" s="115" t="n">
        <v>1427</v>
      </c>
      <c r="C2451" s="115" t="inlineStr">
        <is>
          <t>AZGÜN YAPI</t>
        </is>
      </c>
      <c r="D2451" s="115" t="inlineStr">
        <is>
          <t>34 MKT 859</t>
        </is>
      </c>
      <c r="E2451" s="115" t="inlineStr">
        <is>
          <t>ZİYA İNCE</t>
        </is>
      </c>
      <c r="F2451" s="115" t="n"/>
      <c r="G2451" s="156" t="n"/>
      <c r="H2451" s="152" t="n">
        <v>530</v>
      </c>
      <c r="I2451" s="156" t="n"/>
      <c r="J2451" s="90" t="n"/>
      <c r="K2451" s="166" t="n"/>
      <c r="L2451" s="158">
        <f>+H2451*J2451</f>
        <v/>
      </c>
      <c r="M2451" s="159" t="n"/>
    </row>
    <row r="2452">
      <c r="A2452" s="114" t="n">
        <v>46201</v>
      </c>
      <c r="B2452" s="115" t="n">
        <v>1428</v>
      </c>
      <c r="C2452" s="115" t="inlineStr">
        <is>
          <t>AZGÜN YAPI</t>
        </is>
      </c>
      <c r="D2452" s="115" t="inlineStr">
        <is>
          <t>34 MKT 859</t>
        </is>
      </c>
      <c r="E2452" s="115" t="inlineStr">
        <is>
          <t>ZİYA İNCE</t>
        </is>
      </c>
      <c r="F2452" s="115" t="n"/>
      <c r="G2452" s="156" t="n"/>
      <c r="H2452" s="152" t="n">
        <v>521</v>
      </c>
      <c r="I2452" s="156" t="n"/>
      <c r="J2452" s="90" t="n"/>
      <c r="K2452" s="166" t="n"/>
      <c r="L2452" s="158">
        <f>+H2452*J2452</f>
        <v/>
      </c>
      <c r="M2452" s="159" t="n"/>
    </row>
    <row r="2453">
      <c r="A2453" s="114" t="n">
        <v>46202</v>
      </c>
      <c r="B2453" s="115" t="n">
        <v>1429</v>
      </c>
      <c r="C2453" s="115" t="inlineStr">
        <is>
          <t>AZGÜN YAPI</t>
        </is>
      </c>
      <c r="D2453" s="115" t="inlineStr">
        <is>
          <t>34 MKT 859</t>
        </is>
      </c>
      <c r="E2453" s="115" t="inlineStr">
        <is>
          <t>ZİYA İNCE</t>
        </is>
      </c>
      <c r="F2453" s="115" t="n"/>
      <c r="G2453" s="156" t="n"/>
      <c r="H2453" s="152" t="n">
        <v>315</v>
      </c>
      <c r="I2453" s="156" t="n"/>
      <c r="J2453" s="90" t="n"/>
      <c r="K2453" s="166" t="n"/>
      <c r="L2453" s="158">
        <f>+H2453*J2453</f>
        <v/>
      </c>
      <c r="M2453" s="159" t="n"/>
    </row>
    <row r="2454">
      <c r="A2454" s="114" t="n">
        <v>46190</v>
      </c>
      <c r="B2454" s="115" t="n">
        <v>1825</v>
      </c>
      <c r="C2454" s="115" t="inlineStr">
        <is>
          <t>AZGÜN YAPI</t>
        </is>
      </c>
      <c r="D2454" s="115" t="inlineStr">
        <is>
          <t xml:space="preserve">34 MKT 593 </t>
        </is>
      </c>
      <c r="E2454" s="115" t="inlineStr">
        <is>
          <t>TURGUT ÇATAL</t>
        </is>
      </c>
      <c r="F2454" s="115" t="n"/>
      <c r="G2454" s="156" t="n"/>
      <c r="H2454" s="152" t="n">
        <v>278</v>
      </c>
      <c r="I2454" s="156" t="n"/>
      <c r="J2454" s="90" t="n"/>
      <c r="K2454" s="166" t="n"/>
      <c r="L2454" s="158">
        <f>+H2454*J2454</f>
        <v/>
      </c>
      <c r="M2454" s="159" t="n"/>
    </row>
    <row r="2455">
      <c r="A2455" s="114" t="n">
        <v>46192</v>
      </c>
      <c r="B2455" s="115" t="n">
        <v>1826</v>
      </c>
      <c r="C2455" s="115" t="inlineStr">
        <is>
          <t>AZGÜN YAPI</t>
        </is>
      </c>
      <c r="D2455" s="115" t="inlineStr">
        <is>
          <t xml:space="preserve">34 MKT 593 </t>
        </is>
      </c>
      <c r="E2455" s="115" t="inlineStr">
        <is>
          <t>TURGUT ÇATAL</t>
        </is>
      </c>
      <c r="F2455" s="115" t="n"/>
      <c r="G2455" s="156" t="n"/>
      <c r="H2455" s="152" t="n">
        <v>432</v>
      </c>
      <c r="I2455" s="156" t="n"/>
      <c r="J2455" s="90" t="n"/>
      <c r="K2455" s="166" t="n"/>
      <c r="L2455" s="158">
        <f>+H2455*J2455</f>
        <v/>
      </c>
      <c r="M2455" s="159" t="n"/>
    </row>
    <row r="2456">
      <c r="A2456" s="114" t="n">
        <v>46195</v>
      </c>
      <c r="B2456" s="115" t="n">
        <v>1827</v>
      </c>
      <c r="C2456" s="115" t="inlineStr">
        <is>
          <t>AZGÜN YAPI</t>
        </is>
      </c>
      <c r="D2456" s="115" t="inlineStr">
        <is>
          <t xml:space="preserve">34 MKT 593 </t>
        </is>
      </c>
      <c r="E2456" s="115" t="inlineStr">
        <is>
          <t>TURGUT ÇATAL</t>
        </is>
      </c>
      <c r="F2456" s="115" t="n"/>
      <c r="G2456" s="156" t="n"/>
      <c r="H2456" s="152" t="n">
        <v>337</v>
      </c>
      <c r="I2456" s="156" t="n"/>
      <c r="J2456" s="90" t="n"/>
      <c r="K2456" s="166" t="n"/>
      <c r="L2456" s="158">
        <f>+H2456*J2456</f>
        <v/>
      </c>
      <c r="M2456" s="159" t="n"/>
    </row>
    <row r="2457">
      <c r="A2457" s="114" t="n">
        <v>46197</v>
      </c>
      <c r="B2457" s="115" t="n">
        <v>1828</v>
      </c>
      <c r="C2457" s="115" t="inlineStr">
        <is>
          <t>AZGÜN YAPI</t>
        </is>
      </c>
      <c r="D2457" s="115" t="inlineStr">
        <is>
          <t xml:space="preserve">34 MKT 593 </t>
        </is>
      </c>
      <c r="E2457" s="115" t="inlineStr">
        <is>
          <t>TURGUT ÇATAL</t>
        </is>
      </c>
      <c r="F2457" s="115" t="n"/>
      <c r="G2457" s="156" t="n"/>
      <c r="H2457" s="152" t="n">
        <v>388</v>
      </c>
      <c r="I2457" s="156" t="n"/>
      <c r="J2457" s="90" t="n"/>
      <c r="K2457" s="166" t="n"/>
      <c r="L2457" s="158">
        <f>+H2457*J2457</f>
        <v/>
      </c>
      <c r="M2457" s="159" t="n"/>
    </row>
    <row r="2458">
      <c r="A2458" s="114" t="n">
        <v>46199</v>
      </c>
      <c r="B2458" s="115" t="n">
        <v>1829</v>
      </c>
      <c r="C2458" s="115" t="inlineStr">
        <is>
          <t>AZGÜN YAPI</t>
        </is>
      </c>
      <c r="D2458" s="115" t="inlineStr">
        <is>
          <t xml:space="preserve">34 MKT 593 </t>
        </is>
      </c>
      <c r="E2458" s="115" t="inlineStr">
        <is>
          <t>TURGUT ÇATAL</t>
        </is>
      </c>
      <c r="F2458" s="115" t="n"/>
      <c r="G2458" s="156" t="n"/>
      <c r="H2458" s="152" t="n">
        <v>359</v>
      </c>
      <c r="I2458" s="156" t="n"/>
      <c r="J2458" s="90" t="n"/>
      <c r="K2458" s="166" t="n"/>
      <c r="L2458" s="158">
        <f>+H2458*J2458</f>
        <v/>
      </c>
      <c r="M2458" s="159" t="n"/>
    </row>
    <row r="2459">
      <c r="A2459" s="114" t="n">
        <v>46201</v>
      </c>
      <c r="B2459" s="115" t="n">
        <v>1830</v>
      </c>
      <c r="C2459" s="115" t="inlineStr">
        <is>
          <t>AZGÜN YAPI</t>
        </is>
      </c>
      <c r="D2459" s="115" t="inlineStr">
        <is>
          <t xml:space="preserve">34 MKT 593 </t>
        </is>
      </c>
      <c r="E2459" s="115" t="inlineStr">
        <is>
          <t>TURGUT ÇATAL</t>
        </is>
      </c>
      <c r="F2459" s="115" t="n"/>
      <c r="G2459" s="156" t="n"/>
      <c r="H2459" s="152" t="n">
        <v>436</v>
      </c>
      <c r="I2459" s="156" t="n"/>
      <c r="J2459" s="90" t="n"/>
      <c r="K2459" s="166" t="n"/>
      <c r="L2459" s="158">
        <f>+H2459*J2459</f>
        <v/>
      </c>
      <c r="M2459" s="159" t="n"/>
    </row>
    <row r="2460">
      <c r="A2460" s="114" t="n">
        <v>46203</v>
      </c>
      <c r="B2460" s="115" t="n">
        <v>1831</v>
      </c>
      <c r="C2460" s="115" t="inlineStr">
        <is>
          <t>AZGÜN YAPI</t>
        </is>
      </c>
      <c r="D2460" s="115" t="inlineStr">
        <is>
          <t xml:space="preserve">34 MKT 593 </t>
        </is>
      </c>
      <c r="E2460" s="115" t="inlineStr">
        <is>
          <t>TURGUT ÇATAL</t>
        </is>
      </c>
      <c r="F2460" s="115" t="n"/>
      <c r="G2460" s="156" t="n"/>
      <c r="H2460" s="152" t="n">
        <v>314</v>
      </c>
      <c r="I2460" s="156" t="n"/>
      <c r="J2460" s="90" t="n"/>
      <c r="K2460" s="166" t="n"/>
      <c r="L2460" s="158">
        <f>+H2460*J2460</f>
        <v/>
      </c>
      <c r="M2460" s="159" t="n"/>
    </row>
    <row r="2461">
      <c r="A2461" s="114" t="n">
        <v>46197</v>
      </c>
      <c r="B2461" s="115" t="n">
        <v>1151</v>
      </c>
      <c r="C2461" s="115" t="inlineStr">
        <is>
          <t>AZGÜN YAPI</t>
        </is>
      </c>
      <c r="D2461" s="115" t="inlineStr">
        <is>
          <t>34 PZC 890</t>
        </is>
      </c>
      <c r="E2461" s="115" t="inlineStr">
        <is>
          <t>SERDAR KARAKIZ</t>
        </is>
      </c>
      <c r="F2461" s="115" t="n"/>
      <c r="G2461" s="156" t="n"/>
      <c r="H2461" s="152" t="n">
        <v>480</v>
      </c>
      <c r="I2461" s="156" t="n"/>
      <c r="J2461" s="90" t="n"/>
      <c r="K2461" s="166" t="n"/>
      <c r="L2461" s="158">
        <f>+H2461*J2461</f>
        <v/>
      </c>
      <c r="M2461" s="159" t="n"/>
    </row>
    <row r="2462">
      <c r="A2462" s="114" t="n">
        <v>46199</v>
      </c>
      <c r="B2462" s="115" t="n">
        <v>1152</v>
      </c>
      <c r="C2462" s="115" t="inlineStr">
        <is>
          <t>AZGÜN YAPI</t>
        </is>
      </c>
      <c r="D2462" s="115" t="inlineStr">
        <is>
          <t>34 PZC 890</t>
        </is>
      </c>
      <c r="E2462" s="115" t="inlineStr">
        <is>
          <t>SERDAR KARAKIZ</t>
        </is>
      </c>
      <c r="F2462" s="115" t="n"/>
      <c r="G2462" s="156" t="n"/>
      <c r="H2462" s="152" t="n">
        <v>529</v>
      </c>
      <c r="I2462" s="156" t="n"/>
      <c r="J2462" s="90" t="n"/>
      <c r="K2462" s="166" t="n"/>
      <c r="L2462" s="158">
        <f>+H2462*J2462</f>
        <v/>
      </c>
      <c r="M2462" s="159" t="n"/>
    </row>
    <row r="2463">
      <c r="A2463" s="114" t="n">
        <v>46201</v>
      </c>
      <c r="B2463" s="115" t="n">
        <v>1153</v>
      </c>
      <c r="C2463" s="115" t="inlineStr">
        <is>
          <t>AZGÜN YAPI</t>
        </is>
      </c>
      <c r="D2463" s="115" t="inlineStr">
        <is>
          <t>34 PZC 890</t>
        </is>
      </c>
      <c r="E2463" s="115" t="inlineStr">
        <is>
          <t>SERDAR KARAKIZ</t>
        </is>
      </c>
      <c r="F2463" s="115" t="n"/>
      <c r="G2463" s="156" t="n"/>
      <c r="H2463" s="152" t="n">
        <v>556</v>
      </c>
      <c r="I2463" s="156" t="n"/>
      <c r="J2463" s="90" t="n"/>
      <c r="K2463" s="166" t="n"/>
      <c r="L2463" s="158">
        <f>+H2463*J2463</f>
        <v/>
      </c>
      <c r="M2463" s="159" t="n"/>
    </row>
    <row r="2464">
      <c r="A2464" s="114" t="n">
        <v>46193</v>
      </c>
      <c r="B2464" s="115" t="n">
        <v>1154</v>
      </c>
      <c r="C2464" s="115" t="inlineStr">
        <is>
          <t>AZGÜN YAPI</t>
        </is>
      </c>
      <c r="D2464" s="115" t="inlineStr">
        <is>
          <t>34 DTV 263</t>
        </is>
      </c>
      <c r="E2464" s="115" t="inlineStr">
        <is>
          <t xml:space="preserve"> DURSUN DAĞ</t>
        </is>
      </c>
      <c r="F2464" s="115" t="n"/>
      <c r="G2464" s="156" t="n"/>
      <c r="H2464" s="152" t="n">
        <v>538</v>
      </c>
      <c r="I2464" s="156" t="n"/>
      <c r="J2464" s="90" t="n"/>
      <c r="K2464" s="166" t="n"/>
      <c r="L2464" s="158">
        <f>+H2464*J2464</f>
        <v/>
      </c>
      <c r="M2464" s="159" t="n"/>
    </row>
    <row r="2465">
      <c r="A2465" s="114" t="n">
        <v>46196</v>
      </c>
      <c r="B2465" s="115" t="n">
        <v>1155</v>
      </c>
      <c r="C2465" s="115" t="inlineStr">
        <is>
          <t>AZGÜN YAPI</t>
        </is>
      </c>
      <c r="D2465" s="115" t="inlineStr">
        <is>
          <t>34 DTV 263</t>
        </is>
      </c>
      <c r="E2465" s="115" t="inlineStr">
        <is>
          <t xml:space="preserve"> DURSUN DAĞ</t>
        </is>
      </c>
      <c r="F2465" s="115" t="n"/>
      <c r="G2465" s="156" t="n"/>
      <c r="H2465" s="152" t="n">
        <v>440</v>
      </c>
      <c r="I2465" s="156" t="n"/>
      <c r="J2465" s="90" t="n"/>
      <c r="K2465" s="166" t="n"/>
      <c r="L2465" s="158">
        <f>+H2465*J2465</f>
        <v/>
      </c>
      <c r="M2465" s="159" t="n"/>
    </row>
    <row r="2466">
      <c r="A2466" s="114" t="n">
        <v>46198</v>
      </c>
      <c r="B2466" s="115" t="n">
        <v>1156</v>
      </c>
      <c r="C2466" s="115" t="inlineStr">
        <is>
          <t>AZGÜN YAPI</t>
        </is>
      </c>
      <c r="D2466" s="115" t="inlineStr">
        <is>
          <t>34 DTV 263</t>
        </is>
      </c>
      <c r="E2466" s="115" t="inlineStr">
        <is>
          <t xml:space="preserve"> DURSUN DAĞ</t>
        </is>
      </c>
      <c r="F2466" s="115" t="n"/>
      <c r="G2466" s="156" t="n"/>
      <c r="H2466" s="152" t="n">
        <v>451</v>
      </c>
      <c r="I2466" s="156" t="n"/>
      <c r="J2466" s="90" t="n"/>
      <c r="K2466" s="166" t="n"/>
      <c r="L2466" s="158">
        <f>+H2466*J2466</f>
        <v/>
      </c>
      <c r="M2466" s="159" t="n"/>
    </row>
    <row r="2467">
      <c r="A2467" s="114" t="n">
        <v>46199</v>
      </c>
      <c r="B2467" s="115" t="n">
        <v>1157</v>
      </c>
      <c r="C2467" s="115" t="inlineStr">
        <is>
          <t>AZGÜN YAPI</t>
        </is>
      </c>
      <c r="D2467" s="115" t="inlineStr">
        <is>
          <t>34 DTV 263</t>
        </is>
      </c>
      <c r="E2467" s="115" t="inlineStr">
        <is>
          <t xml:space="preserve"> DURSUN DAĞ</t>
        </is>
      </c>
      <c r="F2467" s="115" t="n"/>
      <c r="G2467" s="156" t="n"/>
      <c r="H2467" s="152" t="n">
        <v>372</v>
      </c>
      <c r="I2467" s="156" t="n"/>
      <c r="J2467" s="90" t="n"/>
      <c r="K2467" s="166" t="n"/>
      <c r="L2467" s="158">
        <f>+H2467*J2467</f>
        <v/>
      </c>
      <c r="M2467" s="159" t="n"/>
    </row>
    <row r="2468">
      <c r="A2468" s="114" t="n">
        <v>46201</v>
      </c>
      <c r="B2468" s="115" t="n">
        <v>1158</v>
      </c>
      <c r="C2468" s="115" t="inlineStr">
        <is>
          <t>AZGÜN YAPI</t>
        </is>
      </c>
      <c r="D2468" s="115" t="inlineStr">
        <is>
          <t>34 DTV 263</t>
        </is>
      </c>
      <c r="E2468" s="115" t="inlineStr">
        <is>
          <t xml:space="preserve"> DURSUN DAĞ</t>
        </is>
      </c>
      <c r="F2468" s="115" t="n"/>
      <c r="G2468" s="156" t="n"/>
      <c r="H2468" s="152" t="n">
        <v>462</v>
      </c>
      <c r="I2468" s="156" t="n"/>
      <c r="J2468" s="90" t="n"/>
      <c r="K2468" s="166" t="n"/>
      <c r="L2468" s="158">
        <f>+H2468*J2468</f>
        <v/>
      </c>
      <c r="M2468" s="159" t="n"/>
    </row>
    <row r="2469">
      <c r="A2469" s="114" t="n">
        <v>46202</v>
      </c>
      <c r="B2469" s="115" t="n">
        <v>1159</v>
      </c>
      <c r="C2469" s="115" t="inlineStr">
        <is>
          <t>AZGÜN YAPI</t>
        </is>
      </c>
      <c r="D2469" s="115" t="inlineStr">
        <is>
          <t>34 DTV 263</t>
        </is>
      </c>
      <c r="E2469" s="115" t="inlineStr">
        <is>
          <t xml:space="preserve"> DURSUN DAĞ</t>
        </is>
      </c>
      <c r="F2469" s="115" t="n"/>
      <c r="G2469" s="156" t="n"/>
      <c r="H2469" s="152" t="n">
        <v>458</v>
      </c>
      <c r="I2469" s="156" t="n"/>
      <c r="J2469" s="90" t="n"/>
      <c r="K2469" s="166" t="n"/>
      <c r="L2469" s="158">
        <f>+H2469*J2469</f>
        <v/>
      </c>
      <c r="M2469" s="159" t="n"/>
    </row>
    <row r="2470">
      <c r="A2470" s="114" t="n">
        <v>46189</v>
      </c>
      <c r="B2470" s="115" t="n">
        <v>4873</v>
      </c>
      <c r="C2470" s="115" t="inlineStr">
        <is>
          <t>ŞEN KASAP</t>
        </is>
      </c>
      <c r="D2470" s="115" t="inlineStr">
        <is>
          <t>SM 300</t>
        </is>
      </c>
      <c r="E2470" s="115" t="inlineStr">
        <is>
          <t>ONUR</t>
        </is>
      </c>
      <c r="F2470" s="115" t="n"/>
      <c r="G2470" s="156" t="n"/>
      <c r="H2470" s="152" t="n">
        <v>521</v>
      </c>
      <c r="I2470" s="156" t="n"/>
      <c r="J2470" s="90" t="n"/>
      <c r="K2470" s="166" t="n"/>
      <c r="L2470" s="158">
        <f>+H2470*J2470</f>
        <v/>
      </c>
      <c r="M2470" s="159" t="n"/>
    </row>
    <row r="2471">
      <c r="A2471" s="114" t="n">
        <v>46189</v>
      </c>
      <c r="B2471" s="115" t="n">
        <v>4874</v>
      </c>
      <c r="C2471" s="115" t="inlineStr">
        <is>
          <t>ŞEN KASAP</t>
        </is>
      </c>
      <c r="D2471" s="115" t="inlineStr">
        <is>
          <t>SM 350</t>
        </is>
      </c>
      <c r="E2471" s="115" t="inlineStr">
        <is>
          <t>YAKUP</t>
        </is>
      </c>
      <c r="F2471" s="115" t="n"/>
      <c r="G2471" s="156" t="n"/>
      <c r="H2471" s="152" t="n">
        <v>302</v>
      </c>
      <c r="I2471" s="156" t="n"/>
      <c r="J2471" s="90" t="n"/>
      <c r="K2471" s="166" t="n"/>
      <c r="L2471" s="158">
        <f>+H2471*J2471</f>
        <v/>
      </c>
      <c r="M2471" s="159" t="n"/>
    </row>
    <row r="2472">
      <c r="A2472" s="114" t="n">
        <v>46189</v>
      </c>
      <c r="B2472" s="115" t="n">
        <v>4875</v>
      </c>
      <c r="C2472" s="115" t="inlineStr">
        <is>
          <t>CAKYOL</t>
        </is>
      </c>
      <c r="D2472" s="115" t="inlineStr">
        <is>
          <t>SARI VİNÇ</t>
        </is>
      </c>
      <c r="E2472" s="115" t="inlineStr">
        <is>
          <t>ALİHAN</t>
        </is>
      </c>
      <c r="F2472" s="115" t="n"/>
      <c r="G2472" s="156" t="n"/>
      <c r="H2472" s="152" t="n">
        <v>153</v>
      </c>
      <c r="I2472" s="156" t="n"/>
      <c r="J2472" s="90" t="n"/>
      <c r="K2472" s="166" t="n"/>
      <c r="L2472" s="158">
        <f>+H2472*J2472</f>
        <v/>
      </c>
      <c r="M2472" s="159" t="n"/>
    </row>
    <row r="2473">
      <c r="A2473" s="114" t="n">
        <v>46189</v>
      </c>
      <c r="B2473" s="115" t="n">
        <v>4876</v>
      </c>
      <c r="C2473" s="115" t="inlineStr">
        <is>
          <t>VARLIK</t>
        </is>
      </c>
      <c r="D2473" s="115" t="inlineStr">
        <is>
          <t>SM 330</t>
        </is>
      </c>
      <c r="E2473" s="115" t="inlineStr">
        <is>
          <t>TURGUT</t>
        </is>
      </c>
      <c r="F2473" s="115" t="n"/>
      <c r="G2473" s="156" t="n"/>
      <c r="H2473" s="152" t="n">
        <v>454</v>
      </c>
      <c r="I2473" s="156" t="n"/>
      <c r="J2473" s="90" t="n"/>
      <c r="K2473" s="166" t="n"/>
      <c r="L2473" s="158">
        <f>+H2473*J2473</f>
        <v/>
      </c>
      <c r="M2473" s="159" t="n"/>
    </row>
    <row r="2474">
      <c r="A2474" s="114" t="n">
        <v>46189</v>
      </c>
      <c r="B2474" s="115" t="n">
        <v>4877</v>
      </c>
      <c r="C2474" s="115" t="inlineStr">
        <is>
          <t>CAKYOL</t>
        </is>
      </c>
      <c r="D2474" s="115" t="inlineStr">
        <is>
          <t>34 PAY 001</t>
        </is>
      </c>
      <c r="E2474" s="115" t="inlineStr">
        <is>
          <t>AHMET</t>
        </is>
      </c>
      <c r="F2474" s="115" t="n"/>
      <c r="G2474" s="156" t="n"/>
      <c r="H2474" s="152" t="n">
        <v>112</v>
      </c>
      <c r="I2474" s="156" t="n"/>
      <c r="J2474" s="90" t="n"/>
      <c r="K2474" s="166" t="n"/>
      <c r="L2474" s="158">
        <f>+H2474*J2474</f>
        <v/>
      </c>
      <c r="M2474" s="159" t="n"/>
    </row>
    <row r="2475">
      <c r="A2475" s="114" t="n">
        <v>46189</v>
      </c>
      <c r="B2475" s="115" t="n">
        <v>4878</v>
      </c>
      <c r="C2475" s="115" t="inlineStr">
        <is>
          <t>SELİM İNŞAAT</t>
        </is>
      </c>
      <c r="D2475" s="115" t="inlineStr">
        <is>
          <t>JCB</t>
        </is>
      </c>
      <c r="E2475" s="115" t="inlineStr">
        <is>
          <t>BAYRAM</t>
        </is>
      </c>
      <c r="F2475" s="115" t="n"/>
      <c r="G2475" s="156" t="n"/>
      <c r="H2475" s="152" t="n">
        <v>68</v>
      </c>
      <c r="I2475" s="156" t="n"/>
      <c r="J2475" s="90" t="n"/>
      <c r="K2475" s="166" t="n"/>
      <c r="L2475" s="158">
        <f>+H2475*J2475</f>
        <v/>
      </c>
      <c r="M2475" s="159" t="n"/>
    </row>
    <row r="2476">
      <c r="A2476" s="114" t="n">
        <v>46190</v>
      </c>
      <c r="B2476" s="115" t="n">
        <v>4879</v>
      </c>
      <c r="C2476" s="115" t="inlineStr">
        <is>
          <t>ŞEN KASAP</t>
        </is>
      </c>
      <c r="D2476" s="115" t="inlineStr">
        <is>
          <t>SM 370</t>
        </is>
      </c>
      <c r="E2476" s="115" t="inlineStr">
        <is>
          <t>YUSUF</t>
        </is>
      </c>
      <c r="F2476" s="115" t="n"/>
      <c r="G2476" s="156" t="n"/>
      <c r="H2476" s="152" t="n">
        <v>317</v>
      </c>
      <c r="I2476" s="156" t="n"/>
      <c r="J2476" s="90" t="n"/>
      <c r="K2476" s="166" t="n"/>
      <c r="L2476" s="158">
        <f>+H2476*J2476</f>
        <v/>
      </c>
      <c r="M2476" s="159" t="n"/>
    </row>
    <row r="2477">
      <c r="A2477" s="114" t="n">
        <v>46190</v>
      </c>
      <c r="B2477" s="115" t="n">
        <v>4880</v>
      </c>
      <c r="C2477" s="115" t="inlineStr">
        <is>
          <t>EVKUR</t>
        </is>
      </c>
      <c r="D2477" s="115" t="inlineStr">
        <is>
          <t>KİRALIK KATO</t>
        </is>
      </c>
      <c r="E2477" s="115" t="inlineStr">
        <is>
          <t>GÜNEŞ</t>
        </is>
      </c>
      <c r="F2477" s="115" t="n"/>
      <c r="G2477" s="156" t="n"/>
      <c r="H2477" s="152" t="n">
        <v>68</v>
      </c>
      <c r="I2477" s="156" t="n"/>
      <c r="J2477" s="90" t="n"/>
      <c r="K2477" s="166" t="n"/>
      <c r="L2477" s="158">
        <f>+H2477*J2477</f>
        <v/>
      </c>
      <c r="M2477" s="159" t="n"/>
    </row>
    <row r="2478">
      <c r="A2478" s="114" t="n">
        <v>46190</v>
      </c>
      <c r="B2478" s="115" t="n">
        <v>4881</v>
      </c>
      <c r="C2478" s="115" t="inlineStr">
        <is>
          <t>EVKUR</t>
        </is>
      </c>
      <c r="D2478" s="115" t="inlineStr">
        <is>
          <t xml:space="preserve">JENERATÖR </t>
        </is>
      </c>
      <c r="E2478" s="115" t="n"/>
      <c r="F2478" s="115" t="n"/>
      <c r="G2478" s="156" t="n"/>
      <c r="H2478" s="152" t="n">
        <v>497</v>
      </c>
      <c r="I2478" s="156" t="n"/>
      <c r="J2478" s="90" t="n"/>
      <c r="K2478" s="166" t="n"/>
      <c r="L2478" s="158">
        <f>+H2478*J2478</f>
        <v/>
      </c>
      <c r="M2478" s="159" t="n"/>
    </row>
    <row r="2479">
      <c r="A2479" s="114" t="n">
        <v>46190</v>
      </c>
      <c r="B2479" s="115" t="n">
        <v>4882</v>
      </c>
      <c r="C2479" s="115" t="inlineStr">
        <is>
          <t>ŞEN KASAP</t>
        </is>
      </c>
      <c r="D2479" s="115" t="inlineStr">
        <is>
          <t>SM 300</t>
        </is>
      </c>
      <c r="E2479" s="115" t="inlineStr">
        <is>
          <t>ONUR</t>
        </is>
      </c>
      <c r="F2479" s="115" t="n"/>
      <c r="G2479" s="156" t="n"/>
      <c r="H2479" s="152" t="n">
        <v>379</v>
      </c>
      <c r="I2479" s="156" t="n"/>
      <c r="J2479" s="90" t="n"/>
      <c r="K2479" s="166" t="n"/>
      <c r="L2479" s="158">
        <f>+H2479*J2479</f>
        <v/>
      </c>
      <c r="M2479" s="159" t="n"/>
    </row>
    <row r="2480">
      <c r="A2480" s="114" t="n">
        <v>46190</v>
      </c>
      <c r="B2480" s="115" t="n">
        <v>4883</v>
      </c>
      <c r="C2480" s="115" t="inlineStr">
        <is>
          <t>ŞEN KASAP</t>
        </is>
      </c>
      <c r="D2480" s="115" t="inlineStr">
        <is>
          <t>SM 350</t>
        </is>
      </c>
      <c r="E2480" s="115" t="inlineStr">
        <is>
          <t>YAKUP</t>
        </is>
      </c>
      <c r="F2480" s="115" t="n"/>
      <c r="G2480" s="156" t="n"/>
      <c r="H2480" s="152" t="n">
        <v>386</v>
      </c>
      <c r="I2480" s="156" t="n"/>
      <c r="J2480" s="90" t="n"/>
      <c r="K2480" s="166" t="n"/>
      <c r="L2480" s="158">
        <f>+H2480*J2480</f>
        <v/>
      </c>
      <c r="M2480" s="159" t="n"/>
    </row>
    <row r="2481">
      <c r="A2481" s="114" t="n">
        <v>46190</v>
      </c>
      <c r="B2481" s="115" t="n">
        <v>4884</v>
      </c>
      <c r="C2481" s="115" t="inlineStr">
        <is>
          <t>ŞEN KASAP</t>
        </is>
      </c>
      <c r="D2481" s="115" t="inlineStr">
        <is>
          <t>SM 370</t>
        </is>
      </c>
      <c r="E2481" s="115" t="inlineStr">
        <is>
          <t>YUSUF</t>
        </is>
      </c>
      <c r="F2481" s="115" t="n"/>
      <c r="G2481" s="156" t="n"/>
      <c r="H2481" s="152" t="n">
        <v>492</v>
      </c>
      <c r="I2481" s="156" t="n"/>
      <c r="J2481" s="90" t="n"/>
      <c r="K2481" s="166" t="n"/>
      <c r="L2481" s="158">
        <f>+H2481*J2481</f>
        <v/>
      </c>
      <c r="M2481" s="159" t="n"/>
    </row>
    <row r="2482">
      <c r="A2482" s="114" t="n">
        <v>46190</v>
      </c>
      <c r="B2482" s="115" t="n">
        <v>4885</v>
      </c>
      <c r="C2482" s="115" t="inlineStr">
        <is>
          <t>VARLIK</t>
        </is>
      </c>
      <c r="D2482" s="115" t="inlineStr">
        <is>
          <t>KAVASAKİ</t>
        </is>
      </c>
      <c r="E2482" s="115" t="inlineStr">
        <is>
          <t>RAMAZAN</t>
        </is>
      </c>
      <c r="F2482" s="115" t="n"/>
      <c r="G2482" s="156" t="n"/>
      <c r="H2482" s="152" t="n">
        <v>273</v>
      </c>
      <c r="I2482" s="156" t="n"/>
      <c r="J2482" s="90" t="n"/>
      <c r="K2482" s="166" t="n"/>
      <c r="L2482" s="158">
        <f>+H2482*J2482</f>
        <v/>
      </c>
      <c r="M2482" s="159" t="n"/>
    </row>
    <row r="2483">
      <c r="A2483" s="114" t="n">
        <v>46191</v>
      </c>
      <c r="B2483" s="115" t="n">
        <v>4886</v>
      </c>
      <c r="C2483" s="115" t="inlineStr">
        <is>
          <t>VARLIK</t>
        </is>
      </c>
      <c r="D2483" s="115" t="inlineStr">
        <is>
          <t>SM 370</t>
        </is>
      </c>
      <c r="E2483" s="115" t="inlineStr">
        <is>
          <t>YUSUF</t>
        </is>
      </c>
      <c r="F2483" s="115" t="n"/>
      <c r="G2483" s="156" t="n"/>
      <c r="H2483" s="152" t="n">
        <v>451</v>
      </c>
      <c r="I2483" s="156" t="n"/>
      <c r="J2483" s="90" t="n"/>
      <c r="K2483" s="166" t="n"/>
      <c r="L2483" s="158">
        <f>+H2483*J2483</f>
        <v/>
      </c>
      <c r="M2483" s="159" t="n"/>
    </row>
    <row r="2484">
      <c r="A2484" s="114" t="n">
        <v>46190</v>
      </c>
      <c r="B2484" s="115" t="n">
        <v>4887</v>
      </c>
      <c r="C2484" s="115" t="inlineStr">
        <is>
          <t>MEGA VARLIK</t>
        </is>
      </c>
      <c r="D2484" s="115" t="inlineStr">
        <is>
          <t>SM 350</t>
        </is>
      </c>
      <c r="E2484" s="115" t="inlineStr">
        <is>
          <t>TEVFİK</t>
        </is>
      </c>
      <c r="F2484" s="115" t="n"/>
      <c r="G2484" s="156" t="n"/>
      <c r="H2484" s="152" t="n">
        <v>421</v>
      </c>
      <c r="I2484" s="156" t="n"/>
      <c r="J2484" s="90" t="n"/>
      <c r="K2484" s="166" t="n"/>
      <c r="L2484" s="158">
        <f>+H2484*J2484</f>
        <v/>
      </c>
      <c r="M2484" s="159" t="n"/>
    </row>
    <row r="2485">
      <c r="A2485" s="114" t="n">
        <v>46191</v>
      </c>
      <c r="B2485" s="115" t="n">
        <v>4888</v>
      </c>
      <c r="C2485" s="115" t="inlineStr">
        <is>
          <t>MEGA VARLIK</t>
        </is>
      </c>
      <c r="D2485" s="115" t="inlineStr">
        <is>
          <t>34 AZ2191</t>
        </is>
      </c>
      <c r="E2485" s="115" t="inlineStr">
        <is>
          <t>NUMAN</t>
        </is>
      </c>
      <c r="F2485" s="115" t="n"/>
      <c r="G2485" s="156" t="n"/>
      <c r="H2485" s="152" t="n">
        <v>220</v>
      </c>
      <c r="I2485" s="156" t="n"/>
      <c r="J2485" s="90" t="n"/>
      <c r="K2485" s="166" t="n"/>
      <c r="L2485" s="158">
        <f>+H2485*J2485</f>
        <v/>
      </c>
      <c r="M2485" s="159" t="n"/>
    </row>
    <row r="2486">
      <c r="A2486" s="114" t="n">
        <v>46192</v>
      </c>
      <c r="B2486" s="115" t="n">
        <v>4889</v>
      </c>
      <c r="C2486" s="115" t="inlineStr">
        <is>
          <t>MEGA VARLIK</t>
        </is>
      </c>
      <c r="D2486" s="115" t="inlineStr">
        <is>
          <t>FORKLİF</t>
        </is>
      </c>
      <c r="E2486" s="115" t="inlineStr">
        <is>
          <t>FAHRİ</t>
        </is>
      </c>
      <c r="F2486" s="115" t="n"/>
      <c r="G2486" s="156" t="n"/>
      <c r="H2486" s="152" t="n">
        <v>34</v>
      </c>
      <c r="I2486" s="156" t="n"/>
      <c r="J2486" s="90" t="n"/>
      <c r="K2486" s="166" t="n"/>
      <c r="L2486" s="158">
        <f>+H2486*J2486</f>
        <v/>
      </c>
      <c r="M2486" s="159" t="n"/>
    </row>
    <row r="2487">
      <c r="A2487" s="114" t="n">
        <v>46192</v>
      </c>
      <c r="B2487" s="115" t="n">
        <v>4890</v>
      </c>
      <c r="C2487" s="115" t="inlineStr">
        <is>
          <t>ŞEN KASAP</t>
        </is>
      </c>
      <c r="D2487" s="115" t="inlineStr">
        <is>
          <t xml:space="preserve">SM 300 </t>
        </is>
      </c>
      <c r="E2487" s="115" t="inlineStr">
        <is>
          <t>ONUR</t>
        </is>
      </c>
      <c r="F2487" s="115" t="n"/>
      <c r="G2487" s="156" t="n"/>
      <c r="H2487" s="152" t="n">
        <v>374</v>
      </c>
      <c r="I2487" s="156" t="n"/>
      <c r="J2487" s="90" t="n"/>
      <c r="K2487" s="166" t="n"/>
      <c r="L2487" s="158">
        <f>+H2487*J2487</f>
        <v/>
      </c>
      <c r="M2487" s="159" t="n"/>
    </row>
    <row r="2488">
      <c r="A2488" s="114" t="n">
        <v>46192</v>
      </c>
      <c r="B2488" s="115" t="n">
        <v>4891</v>
      </c>
      <c r="C2488" s="115" t="inlineStr">
        <is>
          <t>ŞEN KASAP</t>
        </is>
      </c>
      <c r="D2488" s="115" t="inlineStr">
        <is>
          <t>SM 370</t>
        </is>
      </c>
      <c r="E2488" s="115" t="inlineStr">
        <is>
          <t>YUSUF</t>
        </is>
      </c>
      <c r="F2488" s="115" t="n"/>
      <c r="G2488" s="156" t="n"/>
      <c r="H2488" s="152" t="n">
        <v>487</v>
      </c>
      <c r="I2488" s="156" t="n"/>
      <c r="J2488" s="90" t="n"/>
      <c r="K2488" s="166" t="n"/>
      <c r="L2488" s="158">
        <f>+H2488*J2488</f>
        <v/>
      </c>
      <c r="M2488" s="159" t="n"/>
    </row>
    <row r="2489">
      <c r="A2489" s="114" t="n">
        <v>46192</v>
      </c>
      <c r="B2489" s="115" t="n">
        <v>4892</v>
      </c>
      <c r="C2489" s="115" t="inlineStr">
        <is>
          <t>ŞEN KASAP</t>
        </is>
      </c>
      <c r="D2489" s="115" t="inlineStr">
        <is>
          <t>SM 350</t>
        </is>
      </c>
      <c r="E2489" s="115" t="inlineStr">
        <is>
          <t>YAKUP</t>
        </is>
      </c>
      <c r="F2489" s="115" t="n"/>
      <c r="G2489" s="156" t="n"/>
      <c r="H2489" s="152" t="n">
        <v>570</v>
      </c>
      <c r="I2489" s="156" t="n"/>
      <c r="J2489" s="90" t="n"/>
      <c r="K2489" s="166" t="n"/>
      <c r="L2489" s="158">
        <f>+H2489*J2489</f>
        <v/>
      </c>
      <c r="M2489" s="159" t="n"/>
    </row>
    <row r="2490">
      <c r="A2490" s="114" t="n">
        <v>46192</v>
      </c>
      <c r="B2490" s="115" t="n">
        <v>4893</v>
      </c>
      <c r="C2490" s="115" t="inlineStr">
        <is>
          <t>ŞEN KASAP</t>
        </is>
      </c>
      <c r="D2490" s="115" t="inlineStr">
        <is>
          <t>MANİTO</t>
        </is>
      </c>
      <c r="E2490" s="115" t="inlineStr">
        <is>
          <t>MUHAMMED</t>
        </is>
      </c>
      <c r="F2490" s="115" t="n"/>
      <c r="G2490" s="156" t="n"/>
      <c r="H2490" s="152" t="n">
        <v>289</v>
      </c>
      <c r="I2490" s="156" t="n"/>
      <c r="J2490" s="90" t="n"/>
      <c r="K2490" s="166" t="n"/>
      <c r="L2490" s="158">
        <f>+H2490*J2490</f>
        <v/>
      </c>
      <c r="M2490" s="159" t="n"/>
    </row>
    <row r="2491">
      <c r="A2491" s="114" t="n">
        <v>46192</v>
      </c>
      <c r="B2491" s="115" t="n">
        <v>4894</v>
      </c>
      <c r="C2491" s="115" t="inlineStr">
        <is>
          <t>VARLIK</t>
        </is>
      </c>
      <c r="D2491" s="115" t="inlineStr">
        <is>
          <t>KAVASAKİ</t>
        </is>
      </c>
      <c r="E2491" s="115" t="inlineStr">
        <is>
          <t>RAMAZAN</t>
        </is>
      </c>
      <c r="F2491" s="115" t="n"/>
      <c r="G2491" s="156" t="n"/>
      <c r="H2491" s="152" t="n">
        <v>277</v>
      </c>
      <c r="I2491" s="156" t="n"/>
      <c r="J2491" s="90" t="n"/>
      <c r="K2491" s="166" t="n"/>
      <c r="L2491" s="158">
        <f>+H2491*J2491</f>
        <v/>
      </c>
      <c r="M2491" s="159" t="n"/>
    </row>
    <row r="2492">
      <c r="A2492" s="114" t="n">
        <v>46193</v>
      </c>
      <c r="B2492" s="115" t="n">
        <v>4895</v>
      </c>
      <c r="C2492" s="115" t="inlineStr">
        <is>
          <t>MEGA VARLIK</t>
        </is>
      </c>
      <c r="D2492" s="115" t="inlineStr">
        <is>
          <t>SİLİNDİR</t>
        </is>
      </c>
      <c r="E2492" s="115" t="inlineStr">
        <is>
          <t>ATABEK</t>
        </is>
      </c>
      <c r="F2492" s="115" t="n"/>
      <c r="G2492" s="156" t="n"/>
      <c r="H2492" s="152" t="n">
        <v>246</v>
      </c>
      <c r="I2492" s="156" t="n"/>
      <c r="J2492" s="90" t="n"/>
      <c r="K2492" s="166" t="n"/>
      <c r="L2492" s="158">
        <f>+H2492*J2492</f>
        <v/>
      </c>
      <c r="M2492" s="159" t="n"/>
    </row>
    <row r="2493">
      <c r="A2493" s="114" t="n">
        <v>46193</v>
      </c>
      <c r="B2493" s="115" t="n">
        <v>4896</v>
      </c>
      <c r="C2493" s="115" t="inlineStr">
        <is>
          <t>MEGA VARLIK</t>
        </is>
      </c>
      <c r="D2493" s="115" t="inlineStr">
        <is>
          <t>SM 350</t>
        </is>
      </c>
      <c r="E2493" s="115" t="inlineStr">
        <is>
          <t>TEVFİK</t>
        </is>
      </c>
      <c r="F2493" s="115" t="n"/>
      <c r="G2493" s="156" t="n"/>
      <c r="H2493" s="152" t="n">
        <v>439</v>
      </c>
      <c r="I2493" s="156" t="n"/>
      <c r="J2493" s="90" t="n"/>
      <c r="K2493" s="166" t="n"/>
      <c r="L2493" s="158">
        <f>+H2493*J2493</f>
        <v/>
      </c>
      <c r="M2493" s="159" t="n"/>
    </row>
    <row r="2494">
      <c r="A2494" s="114" t="n">
        <v>46193</v>
      </c>
      <c r="B2494" s="115" t="n">
        <v>4897</v>
      </c>
      <c r="C2494" s="115" t="inlineStr">
        <is>
          <t>MEGA VARLIK</t>
        </is>
      </c>
      <c r="D2494" s="115" t="inlineStr">
        <is>
          <t>JCB</t>
        </is>
      </c>
      <c r="E2494" s="115" t="inlineStr">
        <is>
          <t>BAYRAM</t>
        </is>
      </c>
      <c r="F2494" s="115" t="n"/>
      <c r="G2494" s="156" t="n"/>
      <c r="H2494" s="152" t="n">
        <v>50</v>
      </c>
      <c r="I2494" s="156" t="n"/>
      <c r="J2494" s="90" t="n"/>
      <c r="K2494" s="166" t="n"/>
      <c r="L2494" s="158">
        <f>+H2494*J2494</f>
        <v/>
      </c>
      <c r="M2494" s="159" t="n"/>
    </row>
    <row r="2495">
      <c r="A2495" s="114" t="n">
        <v>46193</v>
      </c>
      <c r="B2495" s="115" t="n">
        <v>4898</v>
      </c>
      <c r="C2495" s="115" t="inlineStr">
        <is>
          <t>CAKYOL</t>
        </is>
      </c>
      <c r="D2495" s="115" t="inlineStr">
        <is>
          <t>34 GA 9415</t>
        </is>
      </c>
      <c r="E2495" s="115" t="inlineStr">
        <is>
          <t>SERKAN</t>
        </is>
      </c>
      <c r="F2495" s="115" t="n"/>
      <c r="G2495" s="156" t="n"/>
      <c r="H2495" s="152" t="n">
        <v>186</v>
      </c>
      <c r="I2495" s="156" t="n"/>
      <c r="J2495" s="90" t="n"/>
      <c r="K2495" s="166" t="n"/>
      <c r="L2495" s="158">
        <f>+H2495*J2495</f>
        <v/>
      </c>
      <c r="M2495" s="159" t="n"/>
    </row>
    <row r="2496">
      <c r="A2496" s="114" t="n">
        <v>46193</v>
      </c>
      <c r="B2496" s="115" t="n">
        <v>4899</v>
      </c>
      <c r="C2496" s="115" t="inlineStr">
        <is>
          <t>CAKYOL</t>
        </is>
      </c>
      <c r="D2496" s="115" t="inlineStr">
        <is>
          <t>34 ZS 8546</t>
        </is>
      </c>
      <c r="E2496" s="115" t="inlineStr">
        <is>
          <t>İSMAİL</t>
        </is>
      </c>
      <c r="F2496" s="115" t="n"/>
      <c r="G2496" s="156" t="n"/>
      <c r="H2496" s="152" t="n">
        <v>53</v>
      </c>
      <c r="I2496" s="156" t="n"/>
      <c r="J2496" s="90" t="n"/>
      <c r="K2496" s="166" t="n"/>
      <c r="L2496" s="158">
        <f>+H2496*J2496</f>
        <v/>
      </c>
      <c r="M2496" s="159" t="n"/>
    </row>
    <row r="2497">
      <c r="A2497" s="114" t="n">
        <v>46193</v>
      </c>
      <c r="B2497" s="115" t="n">
        <v>4900</v>
      </c>
      <c r="C2497" s="115" t="inlineStr">
        <is>
          <t>CAKYOL</t>
        </is>
      </c>
      <c r="D2497" s="115" t="inlineStr">
        <is>
          <t>34 PAY 001</t>
        </is>
      </c>
      <c r="E2497" s="115" t="inlineStr">
        <is>
          <t>ERDAL</t>
        </is>
      </c>
      <c r="F2497" s="115" t="n"/>
      <c r="G2497" s="156" t="n"/>
      <c r="H2497" s="152" t="n">
        <v>58</v>
      </c>
      <c r="I2497" s="156" t="n"/>
      <c r="J2497" s="90" t="n"/>
      <c r="K2497" s="166" t="n"/>
      <c r="L2497" s="158">
        <f>+H2497*J2497</f>
        <v/>
      </c>
      <c r="M2497" s="159" t="n"/>
    </row>
    <row r="2498">
      <c r="A2498" s="114" t="n">
        <v>46193</v>
      </c>
      <c r="B2498" s="115" t="n">
        <v>3901</v>
      </c>
      <c r="C2498" s="115" t="inlineStr">
        <is>
          <t>VARLIK</t>
        </is>
      </c>
      <c r="D2498" s="115" t="inlineStr">
        <is>
          <t>SM 330</t>
        </is>
      </c>
      <c r="E2498" s="115" t="inlineStr">
        <is>
          <t>TURGUT</t>
        </is>
      </c>
      <c r="F2498" s="115" t="n"/>
      <c r="G2498" s="156" t="n"/>
      <c r="H2498" s="152" t="n">
        <v>570</v>
      </c>
      <c r="I2498" s="156" t="n"/>
      <c r="J2498" s="90" t="n"/>
      <c r="K2498" s="166" t="n"/>
      <c r="L2498" s="158">
        <f>+H2498*J2498</f>
        <v/>
      </c>
      <c r="M2498" s="159" t="n"/>
    </row>
    <row r="2499">
      <c r="A2499" s="114" t="n">
        <v>46193</v>
      </c>
      <c r="B2499" s="115" t="n">
        <v>3902</v>
      </c>
      <c r="C2499" s="115" t="inlineStr">
        <is>
          <t>VARLIK</t>
        </is>
      </c>
      <c r="D2499" s="115" t="inlineStr">
        <is>
          <t>KAVASAKİ</t>
        </is>
      </c>
      <c r="E2499" s="115" t="inlineStr">
        <is>
          <t>RAMAZAN</t>
        </is>
      </c>
      <c r="F2499" s="115" t="n"/>
      <c r="G2499" s="156" t="n"/>
      <c r="H2499" s="152" t="n">
        <v>226</v>
      </c>
      <c r="I2499" s="156" t="n"/>
      <c r="J2499" s="90" t="n"/>
      <c r="K2499" s="166" t="n"/>
      <c r="L2499" s="158">
        <f>+H2499*J2499</f>
        <v/>
      </c>
      <c r="M2499" s="159" t="n"/>
    </row>
    <row r="2500">
      <c r="A2500" s="114" t="n">
        <v>46193</v>
      </c>
      <c r="B2500" s="115" t="n">
        <v>3903</v>
      </c>
      <c r="C2500" s="115" t="inlineStr">
        <is>
          <t>ŞEN KASAP</t>
        </is>
      </c>
      <c r="D2500" s="115" t="inlineStr">
        <is>
          <t>SM 350</t>
        </is>
      </c>
      <c r="E2500" s="115" t="inlineStr">
        <is>
          <t>YAKUP</t>
        </is>
      </c>
      <c r="F2500" s="115" t="n"/>
      <c r="G2500" s="156" t="n"/>
      <c r="H2500" s="152" t="n">
        <v>399</v>
      </c>
      <c r="I2500" s="156" t="n"/>
      <c r="J2500" s="90" t="n"/>
      <c r="K2500" s="166" t="n"/>
      <c r="L2500" s="158">
        <f>+H2500*J2500</f>
        <v/>
      </c>
      <c r="M2500" s="159" t="n"/>
    </row>
    <row r="2501">
      <c r="A2501" s="114" t="n">
        <v>46193</v>
      </c>
      <c r="B2501" s="115" t="n">
        <v>3904</v>
      </c>
      <c r="C2501" s="115" t="inlineStr">
        <is>
          <t xml:space="preserve">TORU İNŞAAT </t>
        </is>
      </c>
      <c r="D2501" s="115" t="inlineStr">
        <is>
          <t>FORKLİF</t>
        </is>
      </c>
      <c r="E2501" s="115" t="n"/>
      <c r="F2501" s="115" t="n"/>
      <c r="G2501" s="156" t="n"/>
      <c r="H2501" s="152" t="n">
        <v>46</v>
      </c>
      <c r="I2501" s="156" t="n"/>
      <c r="J2501" s="90" t="n"/>
      <c r="K2501" s="166" t="n"/>
      <c r="L2501" s="158">
        <f>+H2501*J2501</f>
        <v/>
      </c>
      <c r="M2501" s="159" t="n"/>
    </row>
    <row r="2502">
      <c r="A2502" s="114" t="n">
        <v>46193</v>
      </c>
      <c r="B2502" s="115" t="n">
        <v>3905</v>
      </c>
      <c r="C2502" s="115" t="inlineStr">
        <is>
          <t xml:space="preserve">TORU İNŞAAT </t>
        </is>
      </c>
      <c r="D2502" s="115" t="inlineStr">
        <is>
          <t>MANİTO</t>
        </is>
      </c>
      <c r="E2502" s="115" t="n"/>
      <c r="F2502" s="115" t="n"/>
      <c r="G2502" s="156" t="n"/>
      <c r="H2502" s="152" t="n">
        <v>189</v>
      </c>
      <c r="I2502" s="156" t="n"/>
      <c r="J2502" s="90" t="n"/>
      <c r="K2502" s="166" t="n"/>
      <c r="L2502" s="158">
        <f>+H2502*J2502</f>
        <v/>
      </c>
      <c r="M2502" s="159" t="n"/>
    </row>
    <row r="2503">
      <c r="A2503" s="114" t="n">
        <v>46193</v>
      </c>
      <c r="B2503" s="115" t="n">
        <v>3906</v>
      </c>
      <c r="C2503" s="115" t="inlineStr">
        <is>
          <t xml:space="preserve">TORU İNŞAAT </t>
        </is>
      </c>
      <c r="D2503" s="115" t="inlineStr">
        <is>
          <t>TANK</t>
        </is>
      </c>
      <c r="E2503" s="115" t="n"/>
      <c r="F2503" s="115" t="n"/>
      <c r="G2503" s="156" t="n"/>
      <c r="H2503" s="152" t="n">
        <v>201</v>
      </c>
      <c r="I2503" s="156" t="n"/>
      <c r="J2503" s="90" t="n"/>
      <c r="K2503" s="166" t="n"/>
      <c r="L2503" s="158">
        <f>+H2503*J2503</f>
        <v/>
      </c>
      <c r="M2503" s="159" t="n"/>
    </row>
    <row r="2504">
      <c r="A2504" s="114" t="n">
        <v>46195</v>
      </c>
      <c r="B2504" s="115" t="n">
        <v>3907</v>
      </c>
      <c r="C2504" s="115" t="inlineStr">
        <is>
          <t>CAKYOL</t>
        </is>
      </c>
      <c r="D2504" s="115" t="inlineStr">
        <is>
          <t>34 GCY 009</t>
        </is>
      </c>
      <c r="E2504" s="115" t="inlineStr">
        <is>
          <t>ERDAL</t>
        </is>
      </c>
      <c r="F2504" s="115" t="n"/>
      <c r="G2504" s="156" t="n"/>
      <c r="H2504" s="152" t="n">
        <v>53</v>
      </c>
      <c r="I2504" s="156" t="n"/>
      <c r="J2504" s="90" t="n"/>
      <c r="K2504" s="166" t="n"/>
      <c r="L2504" s="158">
        <f>+H2504*J2504</f>
        <v/>
      </c>
      <c r="M2504" s="159" t="n"/>
    </row>
    <row r="2505">
      <c r="A2505" s="114" t="n">
        <v>46195</v>
      </c>
      <c r="B2505" s="115" t="n">
        <v>3908</v>
      </c>
      <c r="C2505" s="115" t="inlineStr">
        <is>
          <t>MEGA VARLIK</t>
        </is>
      </c>
      <c r="D2505" s="115" t="inlineStr">
        <is>
          <t>FORKLİF</t>
        </is>
      </c>
      <c r="E2505" s="115" t="inlineStr">
        <is>
          <t>FAHRİ</t>
        </is>
      </c>
      <c r="F2505" s="115" t="n"/>
      <c r="G2505" s="156" t="n"/>
      <c r="H2505" s="152" t="n">
        <v>25</v>
      </c>
      <c r="I2505" s="156" t="n"/>
      <c r="J2505" s="90" t="n"/>
      <c r="K2505" s="166" t="n"/>
      <c r="L2505" s="158">
        <f>+H2505*J2505</f>
        <v/>
      </c>
      <c r="M2505" s="159" t="n"/>
    </row>
    <row r="2506">
      <c r="A2506" s="114" t="n">
        <v>46195</v>
      </c>
      <c r="B2506" s="115" t="n">
        <v>3909</v>
      </c>
      <c r="C2506" s="115" t="inlineStr">
        <is>
          <t>MEGA VARLIK</t>
        </is>
      </c>
      <c r="D2506" s="115" t="inlineStr">
        <is>
          <t>FORKLİF</t>
        </is>
      </c>
      <c r="E2506" s="115" t="inlineStr">
        <is>
          <t>FAHRİ</t>
        </is>
      </c>
      <c r="F2506" s="115" t="n"/>
      <c r="G2506" s="156" t="n"/>
      <c r="H2506" s="152" t="n">
        <v>35</v>
      </c>
      <c r="I2506" s="156" t="n"/>
      <c r="J2506" s="90" t="n"/>
      <c r="K2506" s="166" t="n"/>
      <c r="L2506" s="158">
        <f>+H2506*J2506</f>
        <v/>
      </c>
      <c r="M2506" s="159" t="n"/>
    </row>
    <row r="2507">
      <c r="A2507" s="114" t="n">
        <v>46195</v>
      </c>
      <c r="B2507" s="115" t="n">
        <v>3910</v>
      </c>
      <c r="C2507" s="115" t="inlineStr">
        <is>
          <t>ŞEN KASAP</t>
        </is>
      </c>
      <c r="D2507" s="115" t="inlineStr">
        <is>
          <t>SM 370</t>
        </is>
      </c>
      <c r="E2507" s="115" t="inlineStr">
        <is>
          <t>YUSUF</t>
        </is>
      </c>
      <c r="F2507" s="115" t="n"/>
      <c r="G2507" s="156" t="n"/>
      <c r="H2507" s="152" t="n">
        <v>570</v>
      </c>
      <c r="I2507" s="156" t="n"/>
      <c r="J2507" s="90" t="n"/>
      <c r="K2507" s="166" t="n"/>
      <c r="L2507" s="158">
        <f>+H2507*J2507</f>
        <v/>
      </c>
      <c r="M2507" s="159" t="n"/>
    </row>
    <row r="2508">
      <c r="A2508" s="114" t="n">
        <v>46195</v>
      </c>
      <c r="B2508" s="115" t="n">
        <v>3911</v>
      </c>
      <c r="C2508" s="115" t="inlineStr">
        <is>
          <t>ŞEN KASAP</t>
        </is>
      </c>
      <c r="D2508" s="115" t="inlineStr">
        <is>
          <t>SM 350</t>
        </is>
      </c>
      <c r="E2508" s="115" t="inlineStr">
        <is>
          <t>YAKUP</t>
        </is>
      </c>
      <c r="F2508" s="115" t="n"/>
      <c r="G2508" s="156" t="n"/>
      <c r="H2508" s="152" t="n">
        <v>305</v>
      </c>
      <c r="I2508" s="156" t="n"/>
      <c r="J2508" s="90" t="n"/>
      <c r="K2508" s="166" t="n"/>
      <c r="L2508" s="158">
        <f>+H2508*J2508</f>
        <v/>
      </c>
      <c r="M2508" s="159" t="n"/>
    </row>
    <row r="2509">
      <c r="A2509" s="114" t="n">
        <v>46195</v>
      </c>
      <c r="B2509" s="115" t="n">
        <v>3912</v>
      </c>
      <c r="C2509" s="115" t="inlineStr">
        <is>
          <t>ŞEN KASAP</t>
        </is>
      </c>
      <c r="D2509" s="115" t="inlineStr">
        <is>
          <t>SM 300</t>
        </is>
      </c>
      <c r="E2509" s="115" t="inlineStr">
        <is>
          <t>ONUR</t>
        </is>
      </c>
      <c r="F2509" s="115" t="n"/>
      <c r="G2509" s="156" t="n"/>
      <c r="H2509" s="152" t="n">
        <v>358</v>
      </c>
      <c r="I2509" s="156" t="n"/>
      <c r="J2509" s="90" t="n"/>
      <c r="K2509" s="166" t="n"/>
      <c r="L2509" s="158">
        <f>+H2509*J2509</f>
        <v/>
      </c>
      <c r="M2509" s="159" t="n"/>
    </row>
    <row r="2510">
      <c r="A2510" s="114" t="n">
        <v>46196</v>
      </c>
      <c r="B2510" s="115" t="n">
        <v>3913</v>
      </c>
      <c r="C2510" s="115" t="inlineStr">
        <is>
          <t>VARLIK</t>
        </is>
      </c>
      <c r="D2510" s="115" t="inlineStr">
        <is>
          <t>SM 330</t>
        </is>
      </c>
      <c r="E2510" s="115" t="inlineStr">
        <is>
          <t>TURGUT</t>
        </is>
      </c>
      <c r="F2510" s="115" t="n"/>
      <c r="G2510" s="156" t="n"/>
      <c r="H2510" s="152" t="n">
        <v>550</v>
      </c>
      <c r="I2510" s="156" t="n"/>
      <c r="J2510" s="90" t="n"/>
      <c r="K2510" s="166" t="n"/>
      <c r="L2510" s="158">
        <f>+H2510*J2510</f>
        <v/>
      </c>
      <c r="M2510" s="159" t="n"/>
    </row>
    <row r="2511">
      <c r="A2511" s="114" t="n">
        <v>46196</v>
      </c>
      <c r="B2511" s="115" t="n">
        <v>3914</v>
      </c>
      <c r="C2511" s="115" t="inlineStr">
        <is>
          <t>VARLIK</t>
        </is>
      </c>
      <c r="D2511" s="115" t="inlineStr">
        <is>
          <t>KAVASAKİ</t>
        </is>
      </c>
      <c r="E2511" s="115" t="inlineStr">
        <is>
          <t>RAMAZAN</t>
        </is>
      </c>
      <c r="F2511" s="115" t="n"/>
      <c r="G2511" s="156" t="n"/>
      <c r="H2511" s="152" t="n">
        <v>225</v>
      </c>
      <c r="I2511" s="156" t="n"/>
      <c r="J2511" s="90" t="n"/>
      <c r="K2511" s="166" t="n"/>
      <c r="L2511" s="158">
        <f>+H2511*J2511</f>
        <v/>
      </c>
      <c r="M2511" s="159" t="n"/>
    </row>
    <row r="2512">
      <c r="A2512" s="114" t="n">
        <v>46196</v>
      </c>
      <c r="B2512" s="115" t="n">
        <v>3915</v>
      </c>
      <c r="C2512" s="115" t="inlineStr">
        <is>
          <t>MEGA VARLIK</t>
        </is>
      </c>
      <c r="D2512" s="115" t="inlineStr">
        <is>
          <t>JCB</t>
        </is>
      </c>
      <c r="E2512" s="115" t="inlineStr">
        <is>
          <t>BAYRAM</t>
        </is>
      </c>
      <c r="F2512" s="115" t="n"/>
      <c r="G2512" s="156" t="n"/>
      <c r="H2512" s="152" t="n">
        <v>69</v>
      </c>
      <c r="I2512" s="156" t="n"/>
      <c r="J2512" s="90" t="n"/>
      <c r="K2512" s="166" t="n"/>
      <c r="L2512" s="158">
        <f>+H2512*J2512</f>
        <v/>
      </c>
      <c r="M2512" s="159" t="n"/>
    </row>
    <row r="2513">
      <c r="A2513" s="114" t="n">
        <v>46196</v>
      </c>
      <c r="B2513" s="115" t="n">
        <v>3916</v>
      </c>
      <c r="C2513" s="115" t="inlineStr">
        <is>
          <t>MEGA VARLIK</t>
        </is>
      </c>
      <c r="D2513" s="115" t="inlineStr">
        <is>
          <t>34 AZ2191</t>
        </is>
      </c>
      <c r="E2513" s="115" t="inlineStr">
        <is>
          <t>NUMAN</t>
        </is>
      </c>
      <c r="F2513" s="115" t="n"/>
      <c r="G2513" s="156" t="n"/>
      <c r="H2513" s="152" t="n">
        <v>245</v>
      </c>
      <c r="I2513" s="156" t="n"/>
      <c r="J2513" s="90" t="n"/>
      <c r="K2513" s="166" t="n"/>
      <c r="L2513" s="158">
        <f>+H2513*J2513</f>
        <v/>
      </c>
      <c r="M2513" s="159" t="n"/>
    </row>
    <row r="2514">
      <c r="A2514" s="114" t="n">
        <v>46197</v>
      </c>
      <c r="B2514" s="115" t="n">
        <v>3917</v>
      </c>
      <c r="C2514" s="115" t="inlineStr">
        <is>
          <t>MEGA VARLIK</t>
        </is>
      </c>
      <c r="D2514" s="115" t="inlineStr">
        <is>
          <t>FORKLİF</t>
        </is>
      </c>
      <c r="E2514" s="115" t="inlineStr">
        <is>
          <t>FAHRİ</t>
        </is>
      </c>
      <c r="F2514" s="115" t="n"/>
      <c r="G2514" s="156" t="n"/>
      <c r="H2514" s="152" t="n">
        <v>25</v>
      </c>
      <c r="I2514" s="156" t="n"/>
      <c r="J2514" s="90" t="n"/>
      <c r="K2514" s="166" t="n"/>
      <c r="L2514" s="158">
        <f>+H2514*J2514</f>
        <v/>
      </c>
      <c r="M2514" s="159" t="n"/>
    </row>
    <row r="2515">
      <c r="A2515" s="114" t="n">
        <v>46197</v>
      </c>
      <c r="B2515" s="115" t="n">
        <v>3918</v>
      </c>
      <c r="C2515" s="115" t="inlineStr">
        <is>
          <t>CAKYOL</t>
        </is>
      </c>
      <c r="D2515" s="115" t="inlineStr">
        <is>
          <t>34 PAY 001</t>
        </is>
      </c>
      <c r="E2515" s="115" t="inlineStr">
        <is>
          <t>AHMET</t>
        </is>
      </c>
      <c r="F2515" s="115" t="n"/>
      <c r="G2515" s="156" t="n"/>
      <c r="H2515" s="152" t="n">
        <v>56</v>
      </c>
      <c r="I2515" s="156" t="n"/>
      <c r="J2515" s="90" t="n"/>
      <c r="K2515" s="166" t="n"/>
      <c r="L2515" s="158">
        <f>+H2515*J2515</f>
        <v/>
      </c>
      <c r="M2515" s="159" t="n"/>
    </row>
    <row r="2516">
      <c r="A2516" s="114" t="n">
        <v>46197</v>
      </c>
      <c r="B2516" s="115" t="n">
        <v>3919</v>
      </c>
      <c r="C2516" s="115" t="inlineStr">
        <is>
          <t>MEGA VARLIK</t>
        </is>
      </c>
      <c r="D2516" s="115" t="inlineStr">
        <is>
          <t>SM 350</t>
        </is>
      </c>
      <c r="E2516" s="115" t="inlineStr">
        <is>
          <t>TEVFİK</t>
        </is>
      </c>
      <c r="F2516" s="115" t="n"/>
      <c r="G2516" s="156" t="n"/>
      <c r="H2516" s="152" t="n">
        <v>415</v>
      </c>
      <c r="I2516" s="156" t="n"/>
      <c r="J2516" s="90" t="n"/>
      <c r="K2516" s="166" t="n"/>
      <c r="L2516" s="158">
        <f>+H2516*J2516</f>
        <v/>
      </c>
      <c r="M2516" s="159" t="n"/>
    </row>
    <row r="2517">
      <c r="A2517" s="114" t="n">
        <v>46197</v>
      </c>
      <c r="B2517" s="115" t="n">
        <v>3920</v>
      </c>
      <c r="C2517" s="115" t="inlineStr">
        <is>
          <t>ŞEN KASAP</t>
        </is>
      </c>
      <c r="D2517" s="115" t="inlineStr">
        <is>
          <t>SM 350</t>
        </is>
      </c>
      <c r="E2517" s="115" t="inlineStr">
        <is>
          <t>YAKUP</t>
        </is>
      </c>
      <c r="F2517" s="115" t="n"/>
      <c r="G2517" s="156" t="n"/>
      <c r="H2517" s="152" t="n">
        <v>442</v>
      </c>
      <c r="I2517" s="156" t="n"/>
      <c r="J2517" s="90" t="n"/>
      <c r="K2517" s="166" t="n"/>
      <c r="L2517" s="158">
        <f>+H2517*J2517</f>
        <v/>
      </c>
      <c r="M2517" s="159" t="n"/>
    </row>
    <row r="2518">
      <c r="A2518" s="114" t="n">
        <v>46197</v>
      </c>
      <c r="B2518" s="115" t="n">
        <v>3921</v>
      </c>
      <c r="C2518" s="115" t="inlineStr">
        <is>
          <t>ŞEN KASAP</t>
        </is>
      </c>
      <c r="D2518" s="115" t="inlineStr">
        <is>
          <t>SM 370</t>
        </is>
      </c>
      <c r="E2518" s="115" t="inlineStr">
        <is>
          <t>YUSUF</t>
        </is>
      </c>
      <c r="F2518" s="115" t="n"/>
      <c r="G2518" s="156" t="n"/>
      <c r="H2518" s="152" t="n">
        <v>500</v>
      </c>
      <c r="I2518" s="156" t="n"/>
      <c r="J2518" s="90" t="n"/>
      <c r="K2518" s="166" t="n"/>
      <c r="L2518" s="158">
        <f>+H2518*J2518</f>
        <v/>
      </c>
      <c r="M2518" s="159" t="n"/>
    </row>
    <row r="2519">
      <c r="A2519" s="114" t="n">
        <v>46197</v>
      </c>
      <c r="B2519" s="115" t="n">
        <v>3922</v>
      </c>
      <c r="C2519" s="115" t="inlineStr">
        <is>
          <t>EVKUR</t>
        </is>
      </c>
      <c r="D2519" s="115" t="inlineStr">
        <is>
          <t>KİRALIK KATO</t>
        </is>
      </c>
      <c r="E2519" s="115" t="inlineStr">
        <is>
          <t>GÜNEŞ</t>
        </is>
      </c>
      <c r="F2519" s="115" t="n"/>
      <c r="G2519" s="156" t="n"/>
      <c r="H2519" s="152" t="n">
        <v>78</v>
      </c>
      <c r="I2519" s="156" t="n"/>
      <c r="J2519" s="90" t="n"/>
      <c r="K2519" s="166" t="n"/>
      <c r="L2519" s="158">
        <f>+H2519*J2519</f>
        <v/>
      </c>
      <c r="M2519" s="159" t="n"/>
    </row>
    <row r="2520">
      <c r="A2520" s="114" t="n">
        <v>46198</v>
      </c>
      <c r="B2520" s="115" t="n">
        <v>3923</v>
      </c>
      <c r="C2520" s="115" t="inlineStr">
        <is>
          <t>MEGA VARLIK</t>
        </is>
      </c>
      <c r="D2520" s="115" t="inlineStr">
        <is>
          <t>ZOMLİYON</t>
        </is>
      </c>
      <c r="E2520" s="115" t="inlineStr">
        <is>
          <t xml:space="preserve">SALİH </t>
        </is>
      </c>
      <c r="F2520" s="115" t="n"/>
      <c r="G2520" s="156" t="n"/>
      <c r="H2520" s="152" t="n">
        <v>275</v>
      </c>
      <c r="I2520" s="156" t="n"/>
      <c r="J2520" s="90" t="n"/>
      <c r="K2520" s="166" t="n"/>
      <c r="L2520" s="158">
        <f>+H2520*J2520</f>
        <v/>
      </c>
      <c r="M2520" s="159" t="n"/>
    </row>
    <row r="2521">
      <c r="A2521" s="114" t="n">
        <v>46198</v>
      </c>
      <c r="B2521" s="115" t="n">
        <v>3924</v>
      </c>
      <c r="C2521" s="115" t="inlineStr">
        <is>
          <t>VARLIK</t>
        </is>
      </c>
      <c r="D2521" s="115" t="inlineStr">
        <is>
          <t>SM 330</t>
        </is>
      </c>
      <c r="E2521" s="115" t="inlineStr">
        <is>
          <t>TURGUT</t>
        </is>
      </c>
      <c r="F2521" s="115" t="n"/>
      <c r="G2521" s="156" t="n"/>
      <c r="H2521" s="152" t="n">
        <v>394</v>
      </c>
      <c r="I2521" s="156" t="n"/>
      <c r="J2521" s="90" t="n"/>
      <c r="K2521" s="166" t="n"/>
      <c r="L2521" s="158">
        <f>+H2521*J2521</f>
        <v/>
      </c>
      <c r="M2521" s="159" t="n"/>
    </row>
    <row r="2522">
      <c r="A2522" s="114" t="n">
        <v>46198</v>
      </c>
      <c r="B2522" s="115" t="n">
        <v>3925</v>
      </c>
      <c r="C2522" s="115" t="inlineStr">
        <is>
          <t>VARLIK</t>
        </is>
      </c>
      <c r="D2522" s="115" t="inlineStr">
        <is>
          <t>KAVASAKİ</t>
        </is>
      </c>
      <c r="E2522" s="115" t="inlineStr">
        <is>
          <t>RAMAZAN</t>
        </is>
      </c>
      <c r="F2522" s="115" t="n"/>
      <c r="G2522" s="156" t="n"/>
      <c r="H2522" s="152" t="n">
        <v>181</v>
      </c>
      <c r="I2522" s="156" t="n"/>
      <c r="J2522" s="90" t="n"/>
      <c r="K2522" s="166" t="n"/>
      <c r="L2522" s="158">
        <f>+H2522*J2522</f>
        <v/>
      </c>
      <c r="M2522" s="159" t="n"/>
    </row>
    <row r="2523">
      <c r="A2523" s="114" t="n">
        <v>46198</v>
      </c>
      <c r="B2523" s="115" t="n">
        <v>3926</v>
      </c>
      <c r="C2523" s="115" t="inlineStr">
        <is>
          <t>ŞEN KASAP</t>
        </is>
      </c>
      <c r="D2523" s="115" t="inlineStr">
        <is>
          <t>SM 350</t>
        </is>
      </c>
      <c r="E2523" s="115" t="inlineStr">
        <is>
          <t>YAKUP</t>
        </is>
      </c>
      <c r="F2523" s="115" t="n"/>
      <c r="G2523" s="156" t="n"/>
      <c r="H2523" s="152" t="n">
        <v>331</v>
      </c>
      <c r="I2523" s="156" t="n"/>
      <c r="J2523" s="90" t="n"/>
      <c r="K2523" s="166" t="n"/>
      <c r="L2523" s="158">
        <f>+H2523*J2523</f>
        <v/>
      </c>
      <c r="M2523" s="159" t="n"/>
    </row>
    <row r="2524">
      <c r="A2524" s="114" t="n">
        <v>46199</v>
      </c>
      <c r="B2524" s="115" t="n">
        <v>3927</v>
      </c>
      <c r="C2524" s="115" t="inlineStr">
        <is>
          <t>ŞEN KASAP</t>
        </is>
      </c>
      <c r="D2524" s="115" t="inlineStr">
        <is>
          <t>SM 370</t>
        </is>
      </c>
      <c r="E2524" s="115" t="inlineStr">
        <is>
          <t>YUSUF</t>
        </is>
      </c>
      <c r="F2524" s="115" t="n"/>
      <c r="G2524" s="156" t="n"/>
      <c r="H2524" s="152" t="n">
        <v>570</v>
      </c>
      <c r="I2524" s="156" t="n"/>
      <c r="J2524" s="90" t="n"/>
      <c r="K2524" s="166" t="n"/>
      <c r="L2524" s="158">
        <f>+H2524*J2524</f>
        <v/>
      </c>
      <c r="M2524" s="159" t="n"/>
    </row>
    <row r="2525">
      <c r="A2525" s="114" t="n">
        <v>46199</v>
      </c>
      <c r="B2525" s="115" t="n">
        <v>3928</v>
      </c>
      <c r="C2525" s="115" t="inlineStr">
        <is>
          <t>ŞEN KASAP</t>
        </is>
      </c>
      <c r="D2525" s="115" t="inlineStr">
        <is>
          <t>SM 350</t>
        </is>
      </c>
      <c r="E2525" s="115" t="inlineStr">
        <is>
          <t>TEVFİK</t>
        </is>
      </c>
      <c r="F2525" s="115" t="n"/>
      <c r="G2525" s="156" t="n"/>
      <c r="H2525" s="152" t="n">
        <v>330</v>
      </c>
      <c r="I2525" s="156" t="n"/>
      <c r="J2525" s="90" t="n"/>
      <c r="K2525" s="166" t="n"/>
      <c r="L2525" s="158">
        <f>+H2525*J2525</f>
        <v/>
      </c>
      <c r="M2525" s="159" t="n"/>
    </row>
    <row r="2526">
      <c r="A2526" s="114" t="n">
        <v>46199</v>
      </c>
      <c r="B2526" s="115" t="n">
        <v>3929</v>
      </c>
      <c r="C2526" s="115" t="inlineStr">
        <is>
          <t>ŞEN KASAP</t>
        </is>
      </c>
      <c r="D2526" s="115" t="inlineStr">
        <is>
          <t>SM 300</t>
        </is>
      </c>
      <c r="E2526" s="115" t="inlineStr">
        <is>
          <t>ONUR</t>
        </is>
      </c>
      <c r="F2526" s="115" t="n"/>
      <c r="G2526" s="156" t="n"/>
      <c r="H2526" s="152" t="n">
        <v>365</v>
      </c>
      <c r="I2526" s="156" t="n"/>
      <c r="J2526" s="90" t="n"/>
      <c r="K2526" s="166" t="n"/>
      <c r="L2526" s="158">
        <f>+H2526*J2526</f>
        <v/>
      </c>
      <c r="M2526" s="159" t="n"/>
    </row>
    <row r="2527">
      <c r="A2527" s="114" t="n">
        <v>46199</v>
      </c>
      <c r="B2527" s="115" t="n">
        <v>3930</v>
      </c>
      <c r="C2527" s="115" t="inlineStr">
        <is>
          <t>MEGA VARLIK</t>
        </is>
      </c>
      <c r="D2527" s="115" t="inlineStr">
        <is>
          <t>FORKLİF</t>
        </is>
      </c>
      <c r="E2527" s="115" t="inlineStr">
        <is>
          <t>FAHRİ</t>
        </is>
      </c>
      <c r="F2527" s="115" t="n"/>
      <c r="G2527" s="156" t="n"/>
      <c r="H2527" s="152" t="n">
        <v>25</v>
      </c>
      <c r="I2527" s="156" t="n"/>
      <c r="J2527" s="90" t="n"/>
      <c r="K2527" s="166" t="n"/>
      <c r="L2527" s="158">
        <f>+H2527*J2527</f>
        <v/>
      </c>
      <c r="M2527" s="159" t="n"/>
    </row>
    <row r="2528">
      <c r="A2528" s="114" t="n">
        <v>46199</v>
      </c>
      <c r="B2528" s="115" t="n">
        <v>3931</v>
      </c>
      <c r="C2528" s="115" t="inlineStr">
        <is>
          <t>MEGA VARLIK</t>
        </is>
      </c>
      <c r="D2528" s="115" t="inlineStr">
        <is>
          <t>SİLİNDİR</t>
        </is>
      </c>
      <c r="E2528" s="115" t="inlineStr">
        <is>
          <t>ATABEK</t>
        </is>
      </c>
      <c r="F2528" s="115" t="n"/>
      <c r="G2528" s="156" t="n"/>
      <c r="H2528" s="152" t="n">
        <v>227</v>
      </c>
      <c r="I2528" s="156" t="n"/>
      <c r="J2528" s="90" t="n"/>
      <c r="K2528" s="166" t="n"/>
      <c r="L2528" s="158">
        <f>+H2528*J2528</f>
        <v/>
      </c>
      <c r="M2528" s="159" t="n"/>
    </row>
    <row r="2529">
      <c r="A2529" s="114" t="n">
        <v>46199</v>
      </c>
      <c r="B2529" s="115" t="n">
        <v>3932</v>
      </c>
      <c r="C2529" s="115" t="inlineStr">
        <is>
          <t>CAKYOL</t>
        </is>
      </c>
      <c r="D2529" s="115" t="inlineStr">
        <is>
          <t>34 GA 9415</t>
        </is>
      </c>
      <c r="E2529" s="115" t="inlineStr">
        <is>
          <t>SERKAN</t>
        </is>
      </c>
      <c r="F2529" s="115" t="n"/>
      <c r="G2529" s="156" t="n"/>
      <c r="H2529" s="152" t="n">
        <v>125</v>
      </c>
      <c r="I2529" s="156" t="n"/>
      <c r="J2529" s="90" t="n"/>
      <c r="K2529" s="166" t="n"/>
      <c r="L2529" s="158">
        <f>+H2529*J2529</f>
        <v/>
      </c>
      <c r="M2529" s="159" t="n"/>
    </row>
    <row r="2530">
      <c r="A2530" s="114" t="n">
        <v>46199</v>
      </c>
      <c r="B2530" s="115" t="n">
        <v>3933</v>
      </c>
      <c r="C2530" s="115" t="inlineStr">
        <is>
          <t>MEGA VARLIK</t>
        </is>
      </c>
      <c r="D2530" s="115" t="inlineStr">
        <is>
          <t>FORKLİF</t>
        </is>
      </c>
      <c r="E2530" s="115" t="inlineStr">
        <is>
          <t>FAHRİ</t>
        </is>
      </c>
      <c r="F2530" s="115" t="n"/>
      <c r="G2530" s="156" t="n"/>
      <c r="H2530" s="152" t="n">
        <v>33</v>
      </c>
      <c r="I2530" s="156" t="n"/>
      <c r="J2530" s="90" t="n"/>
      <c r="K2530" s="166" t="n"/>
      <c r="L2530" s="158">
        <f>+H2530*J2530</f>
        <v/>
      </c>
      <c r="M2530" s="159" t="n"/>
    </row>
    <row r="2531">
      <c r="A2531" s="114" t="n">
        <v>46199</v>
      </c>
      <c r="B2531" s="115" t="n">
        <v>3934</v>
      </c>
      <c r="C2531" s="115" t="inlineStr">
        <is>
          <t>MEGA VARLIK</t>
        </is>
      </c>
      <c r="D2531" s="115" t="inlineStr">
        <is>
          <t>KAVASAKİ</t>
        </is>
      </c>
      <c r="E2531" s="115" t="inlineStr">
        <is>
          <t>RAMAZAN</t>
        </is>
      </c>
      <c r="F2531" s="115" t="n"/>
      <c r="G2531" s="156" t="n"/>
      <c r="H2531" s="152" t="n">
        <v>226</v>
      </c>
      <c r="I2531" s="156" t="n"/>
      <c r="J2531" s="90" t="n"/>
      <c r="K2531" s="166" t="n"/>
      <c r="L2531" s="158">
        <f>+H2531*J2531</f>
        <v/>
      </c>
      <c r="M2531" s="159" t="n"/>
    </row>
    <row r="2532">
      <c r="A2532" s="114" t="n">
        <v>46200</v>
      </c>
      <c r="B2532" s="115" t="n">
        <v>3935</v>
      </c>
      <c r="C2532" s="115" t="inlineStr">
        <is>
          <t>CAKYOL</t>
        </is>
      </c>
      <c r="D2532" s="115" t="inlineStr">
        <is>
          <t>34 PAY 001</t>
        </is>
      </c>
      <c r="E2532" s="115" t="inlineStr">
        <is>
          <t>HAMZA</t>
        </is>
      </c>
      <c r="F2532" s="115" t="n"/>
      <c r="G2532" s="156" t="n"/>
      <c r="H2532" s="152" t="n">
        <v>55</v>
      </c>
      <c r="I2532" s="156" t="n"/>
      <c r="J2532" s="90" t="n"/>
      <c r="K2532" s="166" t="n"/>
      <c r="L2532" s="158">
        <f>+H2532*J2532</f>
        <v/>
      </c>
      <c r="M2532" s="159" t="n"/>
    </row>
    <row r="2533">
      <c r="A2533" s="114" t="n">
        <v>46200</v>
      </c>
      <c r="B2533" s="115" t="n">
        <v>3936</v>
      </c>
      <c r="C2533" s="115" t="inlineStr">
        <is>
          <t>MEGA VARLIK</t>
        </is>
      </c>
      <c r="D2533" s="115" t="inlineStr">
        <is>
          <t>SM 350</t>
        </is>
      </c>
      <c r="E2533" s="115" t="inlineStr">
        <is>
          <t>TEVFİK</t>
        </is>
      </c>
      <c r="F2533" s="115" t="n"/>
      <c r="G2533" s="156" t="n"/>
      <c r="H2533" s="152" t="n">
        <v>420</v>
      </c>
      <c r="I2533" s="156" t="n"/>
      <c r="J2533" s="90" t="n"/>
      <c r="K2533" s="166" t="n"/>
      <c r="L2533" s="158">
        <f>+H2533*J2533</f>
        <v/>
      </c>
      <c r="M2533" s="159" t="n"/>
    </row>
    <row r="2534">
      <c r="A2534" s="114" t="n">
        <v>46200</v>
      </c>
      <c r="B2534" s="115" t="n">
        <v>3937</v>
      </c>
      <c r="C2534" s="115" t="inlineStr">
        <is>
          <t>MEGA VARLIK</t>
        </is>
      </c>
      <c r="D2534" s="115" t="inlineStr">
        <is>
          <t>FORKLİF</t>
        </is>
      </c>
      <c r="E2534" s="115" t="inlineStr">
        <is>
          <t>FAHRİ</t>
        </is>
      </c>
      <c r="F2534" s="115" t="n"/>
      <c r="G2534" s="156" t="n"/>
      <c r="H2534" s="152" t="n">
        <v>25</v>
      </c>
      <c r="I2534" s="156" t="n"/>
      <c r="J2534" s="90" t="n"/>
      <c r="K2534" s="166" t="n"/>
      <c r="L2534" s="158">
        <f>+H2534*J2534</f>
        <v/>
      </c>
      <c r="M2534" s="159" t="n"/>
    </row>
    <row r="2535">
      <c r="A2535" s="114" t="n">
        <v>46200</v>
      </c>
      <c r="B2535" s="115" t="n">
        <v>3938</v>
      </c>
      <c r="C2535" s="115" t="inlineStr">
        <is>
          <t>ŞEN KASAP</t>
        </is>
      </c>
      <c r="D2535" s="115" t="inlineStr">
        <is>
          <t>SM 300</t>
        </is>
      </c>
      <c r="E2535" s="115" t="inlineStr">
        <is>
          <t>ONUR</t>
        </is>
      </c>
      <c r="F2535" s="115" t="n"/>
      <c r="G2535" s="156" t="n"/>
      <c r="H2535" s="152" t="n">
        <v>399</v>
      </c>
      <c r="I2535" s="156" t="n"/>
      <c r="J2535" s="90" t="n"/>
      <c r="K2535" s="166" t="n"/>
      <c r="L2535" s="158">
        <f>+H2535*J2535</f>
        <v/>
      </c>
      <c r="M2535" s="159" t="n"/>
    </row>
    <row r="2536">
      <c r="A2536" s="114" t="n">
        <v>46200</v>
      </c>
      <c r="B2536" s="115" t="n">
        <v>3939</v>
      </c>
      <c r="C2536" s="115" t="inlineStr">
        <is>
          <t>ŞEN KASAP</t>
        </is>
      </c>
      <c r="D2536" s="115" t="inlineStr">
        <is>
          <t>SM 370</t>
        </is>
      </c>
      <c r="E2536" s="115" t="inlineStr">
        <is>
          <t>YUSUF</t>
        </is>
      </c>
      <c r="F2536" s="115" t="n"/>
      <c r="G2536" s="156" t="n"/>
      <c r="H2536" s="152" t="n">
        <v>490</v>
      </c>
      <c r="I2536" s="156" t="n"/>
      <c r="J2536" s="90" t="n"/>
      <c r="K2536" s="166" t="n"/>
      <c r="L2536" s="158">
        <f>+H2536*J2536</f>
        <v/>
      </c>
      <c r="M2536" s="159" t="n"/>
    </row>
    <row r="2537">
      <c r="A2537" s="114" t="n">
        <v>46200</v>
      </c>
      <c r="B2537" s="115" t="n">
        <v>3940</v>
      </c>
      <c r="C2537" s="115" t="inlineStr">
        <is>
          <t>ŞEN KASAP</t>
        </is>
      </c>
      <c r="D2537" s="115" t="inlineStr">
        <is>
          <t xml:space="preserve">SM 350 </t>
        </is>
      </c>
      <c r="E2537" s="115" t="inlineStr">
        <is>
          <t>YAKUP</t>
        </is>
      </c>
      <c r="F2537" s="115" t="n"/>
      <c r="G2537" s="156" t="n"/>
      <c r="H2537" s="152" t="n">
        <v>358</v>
      </c>
      <c r="I2537" s="156" t="n"/>
      <c r="J2537" s="90" t="n"/>
      <c r="K2537" s="166" t="n"/>
      <c r="L2537" s="158">
        <f>+H2537*J2537</f>
        <v/>
      </c>
      <c r="M2537" s="159" t="n"/>
    </row>
    <row r="2538">
      <c r="A2538" s="114" t="n">
        <v>46200</v>
      </c>
      <c r="B2538" s="115" t="n">
        <v>3941</v>
      </c>
      <c r="C2538" s="115" t="inlineStr">
        <is>
          <t>VARLIK</t>
        </is>
      </c>
      <c r="D2538" s="115" t="inlineStr">
        <is>
          <t>SM 330</t>
        </is>
      </c>
      <c r="E2538" s="115" t="inlineStr">
        <is>
          <t>TURGUT</t>
        </is>
      </c>
      <c r="F2538" s="115" t="n"/>
      <c r="G2538" s="156" t="n"/>
      <c r="H2538" s="152" t="n">
        <v>590</v>
      </c>
      <c r="I2538" s="156" t="n"/>
      <c r="J2538" s="90" t="n"/>
      <c r="K2538" s="166" t="n"/>
      <c r="L2538" s="158">
        <f>+H2538*J2538</f>
        <v/>
      </c>
      <c r="M2538" s="159" t="n"/>
    </row>
    <row r="2539">
      <c r="A2539" s="114" t="n">
        <v>46200</v>
      </c>
      <c r="B2539" s="115" t="n">
        <v>3942</v>
      </c>
      <c r="C2539" s="115" t="inlineStr">
        <is>
          <t>VARLIK</t>
        </is>
      </c>
      <c r="D2539" s="115" t="inlineStr">
        <is>
          <t>KAVASAKİ</t>
        </is>
      </c>
      <c r="E2539" s="115" t="inlineStr">
        <is>
          <t>RAMAZAN</t>
        </is>
      </c>
      <c r="F2539" s="115" t="n"/>
      <c r="G2539" s="156" t="n"/>
      <c r="H2539" s="152" t="n">
        <v>234</v>
      </c>
      <c r="I2539" s="156" t="n"/>
      <c r="J2539" s="90" t="n"/>
      <c r="K2539" s="166" t="n"/>
      <c r="L2539" s="158">
        <f>+H2539*J2539</f>
        <v/>
      </c>
      <c r="M2539" s="159" t="n"/>
    </row>
    <row r="2540">
      <c r="A2540" s="114" t="n">
        <v>46200</v>
      </c>
      <c r="B2540" s="115" t="n">
        <v>3943</v>
      </c>
      <c r="C2540" s="115" t="inlineStr">
        <is>
          <t>VARLIK</t>
        </is>
      </c>
      <c r="D2540" s="115" t="inlineStr">
        <is>
          <t>MANİTO</t>
        </is>
      </c>
      <c r="E2540" s="115" t="inlineStr">
        <is>
          <t>MUHAMMED</t>
        </is>
      </c>
      <c r="F2540" s="115" t="n"/>
      <c r="G2540" s="156" t="n"/>
      <c r="H2540" s="152" t="n">
        <v>248</v>
      </c>
      <c r="I2540" s="156" t="n"/>
      <c r="J2540" s="90" t="n"/>
      <c r="K2540" s="166" t="n"/>
      <c r="L2540" s="158">
        <f>+H2540*J2540</f>
        <v/>
      </c>
      <c r="M2540" s="159" t="n"/>
    </row>
    <row r="2541">
      <c r="A2541" s="114" t="n">
        <v>46201</v>
      </c>
      <c r="B2541" s="115" t="n">
        <v>3944</v>
      </c>
      <c r="C2541" s="115" t="inlineStr">
        <is>
          <t>EVKUR</t>
        </is>
      </c>
      <c r="D2541" s="115" t="inlineStr">
        <is>
          <t>KİRALIK KATO</t>
        </is>
      </c>
      <c r="E2541" s="115" t="inlineStr">
        <is>
          <t>GÜNEŞ</t>
        </is>
      </c>
      <c r="F2541" s="115" t="n"/>
      <c r="G2541" s="156" t="n"/>
      <c r="H2541" s="152" t="n">
        <v>48</v>
      </c>
      <c r="I2541" s="156" t="n"/>
      <c r="J2541" s="90" t="n"/>
      <c r="K2541" s="166" t="n"/>
      <c r="L2541" s="158">
        <f>+H2541*J2541</f>
        <v/>
      </c>
      <c r="M2541" s="159" t="n"/>
    </row>
    <row r="2542">
      <c r="A2542" s="114" t="n">
        <v>46201</v>
      </c>
      <c r="B2542" s="115" t="n">
        <v>3945</v>
      </c>
      <c r="C2542" s="115" t="inlineStr">
        <is>
          <t>VARLIK</t>
        </is>
      </c>
      <c r="D2542" s="115" t="inlineStr">
        <is>
          <t>SM 330</t>
        </is>
      </c>
      <c r="E2542" s="115" t="inlineStr">
        <is>
          <t>TURGUT</t>
        </is>
      </c>
      <c r="F2542" s="115" t="n"/>
      <c r="G2542" s="156" t="n"/>
      <c r="H2542" s="152" t="n">
        <v>397</v>
      </c>
      <c r="I2542" s="156" t="n"/>
      <c r="J2542" s="90" t="n"/>
      <c r="K2542" s="166" t="n"/>
      <c r="L2542" s="158">
        <f>+H2542*J2542</f>
        <v/>
      </c>
      <c r="M2542" s="159" t="n"/>
    </row>
    <row r="2543">
      <c r="A2543" s="114" t="n">
        <v>46201</v>
      </c>
      <c r="B2543" s="115" t="n">
        <v>3946</v>
      </c>
      <c r="C2543" s="115" t="inlineStr">
        <is>
          <t>VARLIK</t>
        </is>
      </c>
      <c r="D2543" s="115" t="inlineStr">
        <is>
          <t>KAVASAKİ</t>
        </is>
      </c>
      <c r="E2543" s="115" t="inlineStr">
        <is>
          <t>RAMAZAN</t>
        </is>
      </c>
      <c r="F2543" s="115" t="n"/>
      <c r="G2543" s="156" t="n"/>
      <c r="H2543" s="152" t="n">
        <v>219</v>
      </c>
      <c r="I2543" s="156" t="n"/>
      <c r="J2543" s="90" t="n"/>
      <c r="K2543" s="166" t="n"/>
      <c r="L2543" s="158">
        <f>+H2543*J2543</f>
        <v/>
      </c>
      <c r="M2543" s="159" t="n"/>
    </row>
    <row r="2544">
      <c r="A2544" s="114" t="n">
        <v>46201</v>
      </c>
      <c r="B2544" s="115" t="n">
        <v>3947</v>
      </c>
      <c r="C2544" s="115" t="inlineStr">
        <is>
          <t>ŞEN KASAP</t>
        </is>
      </c>
      <c r="D2544" s="115" t="inlineStr">
        <is>
          <t>SM 370</t>
        </is>
      </c>
      <c r="E2544" s="115" t="inlineStr">
        <is>
          <t>YUSUF</t>
        </is>
      </c>
      <c r="F2544" s="115" t="n"/>
      <c r="G2544" s="156" t="n"/>
      <c r="H2544" s="152" t="n">
        <v>461</v>
      </c>
      <c r="I2544" s="156" t="n"/>
      <c r="J2544" s="90" t="n"/>
      <c r="K2544" s="166" t="n"/>
      <c r="L2544" s="158">
        <f>+H2544*J2544</f>
        <v/>
      </c>
      <c r="M2544" s="159" t="n"/>
    </row>
    <row r="2545">
      <c r="A2545" s="114" t="n">
        <v>46201</v>
      </c>
      <c r="B2545" s="115" t="n">
        <v>3948</v>
      </c>
      <c r="C2545" s="115" t="inlineStr">
        <is>
          <t>ŞEN KASAP</t>
        </is>
      </c>
      <c r="D2545" s="115" t="inlineStr">
        <is>
          <t>SM 300</t>
        </is>
      </c>
      <c r="E2545" s="115" t="inlineStr">
        <is>
          <t>ONUR</t>
        </is>
      </c>
      <c r="F2545" s="115" t="n"/>
      <c r="G2545" s="156" t="n"/>
      <c r="H2545" s="152" t="n">
        <v>340</v>
      </c>
      <c r="I2545" s="156" t="n"/>
      <c r="J2545" s="90" t="n"/>
      <c r="K2545" s="166" t="n"/>
      <c r="L2545" s="158">
        <f>+H2545*J2545</f>
        <v/>
      </c>
      <c r="M2545" s="159" t="n"/>
    </row>
    <row r="2546">
      <c r="A2546" s="114" t="n">
        <v>46201</v>
      </c>
      <c r="B2546" s="115" t="n">
        <v>3949</v>
      </c>
      <c r="C2546" s="115" t="inlineStr">
        <is>
          <t>ŞEN KASAP</t>
        </is>
      </c>
      <c r="D2546" s="115" t="inlineStr">
        <is>
          <t>SM 350</t>
        </is>
      </c>
      <c r="E2546" s="115" t="inlineStr">
        <is>
          <t>YAKUP</t>
        </is>
      </c>
      <c r="F2546" s="115" t="n"/>
      <c r="G2546" s="156" t="n"/>
      <c r="H2546" s="152" t="n">
        <v>257</v>
      </c>
      <c r="I2546" s="156" t="n"/>
      <c r="J2546" s="90" t="n"/>
      <c r="K2546" s="166" t="n"/>
      <c r="L2546" s="158">
        <f>+H2546*J2546</f>
        <v/>
      </c>
      <c r="M2546" s="159" t="n"/>
    </row>
    <row r="2547">
      <c r="A2547" s="114" t="n">
        <v>46202</v>
      </c>
      <c r="B2547" s="115" t="n">
        <v>3950</v>
      </c>
      <c r="C2547" s="115" t="inlineStr">
        <is>
          <t>ŞEN KASAP</t>
        </is>
      </c>
      <c r="D2547" s="115" t="inlineStr">
        <is>
          <t>SM 350</t>
        </is>
      </c>
      <c r="E2547" s="115" t="inlineStr">
        <is>
          <t>YAKUP</t>
        </is>
      </c>
      <c r="F2547" s="115" t="n"/>
      <c r="G2547" s="156" t="n"/>
      <c r="H2547" s="152" t="n">
        <v>433</v>
      </c>
      <c r="I2547" s="156" t="n"/>
      <c r="J2547" s="90" t="n"/>
      <c r="K2547" s="166" t="n"/>
      <c r="L2547" s="158">
        <f>+H2547*J2547</f>
        <v/>
      </c>
      <c r="M2547" s="159" t="n"/>
    </row>
    <row r="2548">
      <c r="A2548" s="114" t="n">
        <v>46202</v>
      </c>
      <c r="B2548" s="115" t="n">
        <v>3951</v>
      </c>
      <c r="C2548" s="115" t="inlineStr">
        <is>
          <t>VARLIK</t>
        </is>
      </c>
      <c r="D2548" s="115" t="inlineStr">
        <is>
          <t>SM 330</t>
        </is>
      </c>
      <c r="E2548" s="115" t="inlineStr">
        <is>
          <t>TURGUT</t>
        </is>
      </c>
      <c r="F2548" s="115" t="n"/>
      <c r="G2548" s="156" t="n"/>
      <c r="H2548" s="152" t="n">
        <v>285</v>
      </c>
      <c r="I2548" s="156" t="n"/>
      <c r="J2548" s="90" t="n"/>
      <c r="K2548" s="166" t="n"/>
      <c r="L2548" s="158">
        <f>+H2548*J2548</f>
        <v/>
      </c>
      <c r="M2548" s="159" t="n"/>
    </row>
    <row r="2549">
      <c r="A2549" s="114" t="n">
        <v>46202</v>
      </c>
      <c r="B2549" s="115" t="n">
        <v>3952</v>
      </c>
      <c r="C2549" s="115" t="inlineStr">
        <is>
          <t>VARLIK</t>
        </is>
      </c>
      <c r="D2549" s="115" t="inlineStr">
        <is>
          <t>KAVASAKİ</t>
        </is>
      </c>
      <c r="E2549" s="115" t="inlineStr">
        <is>
          <t>RAMAZAN</t>
        </is>
      </c>
      <c r="F2549" s="115" t="n"/>
      <c r="G2549" s="156" t="n"/>
      <c r="H2549" s="152" t="n">
        <v>159</v>
      </c>
      <c r="I2549" s="156" t="n"/>
      <c r="J2549" s="90" t="n"/>
      <c r="K2549" s="166" t="n"/>
      <c r="L2549" s="158">
        <f>+H2549*J2549</f>
        <v/>
      </c>
      <c r="M2549" s="159" t="n"/>
    </row>
    <row r="2550">
      <c r="A2550" s="114" t="n">
        <v>46202</v>
      </c>
      <c r="B2550" s="115" t="n">
        <v>3953</v>
      </c>
      <c r="C2550" s="115" t="n"/>
      <c r="D2550" s="115" t="inlineStr">
        <is>
          <t>34 AZ2191</t>
        </is>
      </c>
      <c r="E2550" s="115" t="inlineStr">
        <is>
          <t>NUMAN</t>
        </is>
      </c>
      <c r="F2550" s="115" t="n"/>
      <c r="G2550" s="156" t="n"/>
      <c r="H2550" s="152" t="n">
        <v>222</v>
      </c>
      <c r="I2550" s="156" t="n"/>
      <c r="J2550" s="90" t="n"/>
      <c r="K2550" s="166" t="n"/>
      <c r="L2550" s="158" t="n"/>
      <c r="M2550" s="159" t="n"/>
    </row>
    <row r="2551">
      <c r="A2551" s="114" t="n">
        <v>46202</v>
      </c>
      <c r="B2551" s="115" t="n">
        <v>3954</v>
      </c>
      <c r="C2551" s="115" t="inlineStr">
        <is>
          <t>CAKYOL</t>
        </is>
      </c>
      <c r="D2551" s="115" t="inlineStr">
        <is>
          <t>34 GCY 009</t>
        </is>
      </c>
      <c r="E2551" s="115" t="inlineStr">
        <is>
          <t>İSMAİL</t>
        </is>
      </c>
      <c r="F2551" s="115" t="n"/>
      <c r="G2551" s="156" t="n"/>
      <c r="H2551" s="152" t="n">
        <v>55</v>
      </c>
      <c r="I2551" s="156" t="n"/>
      <c r="J2551" s="90" t="n"/>
      <c r="K2551" s="166" t="n"/>
      <c r="L2551" s="158" t="n"/>
      <c r="M2551" s="159" t="n"/>
    </row>
    <row r="2552">
      <c r="A2552" s="114" t="n">
        <v>46202</v>
      </c>
      <c r="B2552" s="115" t="n">
        <v>3955</v>
      </c>
      <c r="C2552" s="115" t="inlineStr">
        <is>
          <t>CAKYOL</t>
        </is>
      </c>
      <c r="D2552" s="115" t="inlineStr">
        <is>
          <t>34 ZS 8546</t>
        </is>
      </c>
      <c r="E2552" s="115" t="inlineStr">
        <is>
          <t>BARIŞ</t>
        </is>
      </c>
      <c r="F2552" s="115" t="n"/>
      <c r="G2552" s="156" t="n"/>
      <c r="H2552" s="152" t="n">
        <v>56</v>
      </c>
      <c r="I2552" s="156" t="n"/>
      <c r="J2552" s="90" t="n"/>
      <c r="K2552" s="166" t="n"/>
      <c r="L2552" s="158" t="n"/>
      <c r="M2552" s="159" t="n"/>
    </row>
    <row r="2553">
      <c r="A2553" s="114" t="n">
        <v>46203</v>
      </c>
      <c r="B2553" s="115" t="n">
        <v>3956</v>
      </c>
      <c r="C2553" s="115" t="inlineStr">
        <is>
          <t xml:space="preserve">TORU İNŞAAT </t>
        </is>
      </c>
      <c r="D2553" s="115" t="inlineStr">
        <is>
          <t>VİNÇ TANK</t>
        </is>
      </c>
      <c r="E2553" s="115" t="n"/>
      <c r="F2553" s="115" t="n"/>
      <c r="G2553" s="156" t="n"/>
      <c r="H2553" s="152" t="n">
        <v>550</v>
      </c>
      <c r="I2553" s="156" t="n"/>
      <c r="J2553" s="90" t="n"/>
      <c r="K2553" s="166" t="n"/>
      <c r="L2553" s="158" t="n"/>
      <c r="M2553" s="159" t="n"/>
    </row>
    <row r="2554">
      <c r="A2554" s="114" t="n">
        <v>46203</v>
      </c>
      <c r="B2554" s="115" t="n">
        <v>3957</v>
      </c>
      <c r="C2554" s="115" t="inlineStr">
        <is>
          <t>MEGA VARLIK</t>
        </is>
      </c>
      <c r="D2554" s="115" t="inlineStr">
        <is>
          <t>FORKLİF</t>
        </is>
      </c>
      <c r="E2554" s="115" t="inlineStr">
        <is>
          <t>FAHRİ</t>
        </is>
      </c>
      <c r="F2554" s="115" t="n"/>
      <c r="G2554" s="156" t="n"/>
      <c r="H2554" s="152" t="n">
        <v>46</v>
      </c>
      <c r="I2554" s="156" t="n"/>
      <c r="J2554" s="90" t="n"/>
      <c r="K2554" s="166" t="n"/>
      <c r="L2554" s="158" t="n"/>
      <c r="M2554" s="159" t="n"/>
    </row>
    <row r="2555">
      <c r="A2555" s="114" t="n">
        <v>46203</v>
      </c>
      <c r="B2555" s="115" t="n">
        <v>3958</v>
      </c>
      <c r="C2555" s="115" t="inlineStr">
        <is>
          <t>ŞEN KASAP</t>
        </is>
      </c>
      <c r="D2555" s="115" t="inlineStr">
        <is>
          <t>SM 370</t>
        </is>
      </c>
      <c r="E2555" s="115" t="inlineStr">
        <is>
          <t>YUSUF</t>
        </is>
      </c>
      <c r="F2555" s="115" t="n"/>
      <c r="G2555" s="156" t="n"/>
      <c r="H2555" s="152" t="n">
        <v>359</v>
      </c>
      <c r="I2555" s="156" t="n"/>
      <c r="J2555" s="90" t="n"/>
      <c r="K2555" s="166" t="n"/>
      <c r="L2555" s="158" t="n"/>
      <c r="M2555" s="159" t="n"/>
    </row>
    <row r="2556">
      <c r="A2556" s="114" t="n">
        <v>46203</v>
      </c>
      <c r="B2556" s="115" t="n">
        <v>3959</v>
      </c>
      <c r="C2556" s="115" t="inlineStr">
        <is>
          <t>ŞEN KASAP</t>
        </is>
      </c>
      <c r="D2556" s="115" t="inlineStr">
        <is>
          <t>SM 350</t>
        </is>
      </c>
      <c r="E2556" s="115" t="inlineStr">
        <is>
          <t>YAKUP</t>
        </is>
      </c>
      <c r="F2556" s="115" t="n"/>
      <c r="G2556" s="156" t="n"/>
      <c r="H2556" s="152" t="n">
        <v>445</v>
      </c>
      <c r="I2556" s="156" t="n"/>
      <c r="J2556" s="90" t="n"/>
      <c r="K2556" s="166" t="n"/>
      <c r="L2556" s="158" t="n"/>
      <c r="M2556" s="159" t="n"/>
    </row>
    <row r="2557">
      <c r="A2557" s="114" t="n">
        <v>46203</v>
      </c>
      <c r="B2557" s="115" t="n">
        <v>3960</v>
      </c>
      <c r="C2557" s="115" t="inlineStr">
        <is>
          <t>ŞEN KASAP</t>
        </is>
      </c>
      <c r="D2557" s="115" t="inlineStr">
        <is>
          <t>SM 350</t>
        </is>
      </c>
      <c r="E2557" s="115" t="inlineStr">
        <is>
          <t>YUSUF</t>
        </is>
      </c>
      <c r="F2557" s="115" t="n"/>
      <c r="G2557" s="156" t="n"/>
      <c r="H2557" s="152" t="n">
        <v>340</v>
      </c>
      <c r="I2557" s="156" t="n"/>
      <c r="J2557" s="90" t="n"/>
      <c r="K2557" s="166" t="n"/>
      <c r="L2557" s="158" t="n"/>
      <c r="M2557" s="159" t="n"/>
    </row>
    <row r="2558">
      <c r="A2558" s="114" t="n">
        <v>46203</v>
      </c>
      <c r="B2558" s="115" t="n">
        <v>3961</v>
      </c>
      <c r="C2558" s="115" t="inlineStr">
        <is>
          <t>VARLIK</t>
        </is>
      </c>
      <c r="D2558" s="115" t="inlineStr">
        <is>
          <t>SİLİNDİR</t>
        </is>
      </c>
      <c r="E2558" s="115" t="inlineStr">
        <is>
          <t>ATABEK</t>
        </is>
      </c>
      <c r="F2558" s="115" t="n"/>
      <c r="G2558" s="156" t="n"/>
      <c r="H2558" s="152" t="n">
        <v>280</v>
      </c>
      <c r="I2558" s="156" t="n"/>
      <c r="J2558" s="90" t="n"/>
      <c r="K2558" s="166" t="n"/>
      <c r="L2558" s="158" t="n"/>
      <c r="M2558" s="159" t="n"/>
    </row>
    <row r="2559">
      <c r="A2559" s="114" t="n">
        <v>46203</v>
      </c>
      <c r="B2559" s="115" t="n">
        <v>3962</v>
      </c>
      <c r="C2559" s="115" t="inlineStr">
        <is>
          <t>MEGA VARLIK</t>
        </is>
      </c>
      <c r="D2559" s="115" t="inlineStr">
        <is>
          <t>KAVASAKİ</t>
        </is>
      </c>
      <c r="E2559" s="115" t="inlineStr">
        <is>
          <t>RAMAZAN</t>
        </is>
      </c>
      <c r="F2559" s="115" t="n"/>
      <c r="G2559" s="156" t="n"/>
      <c r="H2559" s="152" t="n">
        <v>167</v>
      </c>
      <c r="I2559" s="156" t="n"/>
      <c r="J2559" s="90" t="n"/>
      <c r="K2559" s="166" t="n"/>
      <c r="L2559" s="158" t="n"/>
      <c r="M2559" s="159" t="n"/>
    </row>
    <row r="2560">
      <c r="A2560" s="114" t="n">
        <v>46190</v>
      </c>
      <c r="B2560" s="115" t="n">
        <v>1296</v>
      </c>
      <c r="C2560" s="115" t="inlineStr">
        <is>
          <t>AHMET SELİM TEMHA</t>
        </is>
      </c>
      <c r="D2560" s="115" t="inlineStr">
        <is>
          <t>MANİTO</t>
        </is>
      </c>
      <c r="E2560" s="115" t="inlineStr">
        <is>
          <t>TURGAY ÇIPLAK</t>
        </is>
      </c>
      <c r="F2560" s="115" t="n"/>
      <c r="G2560" s="156" t="n"/>
      <c r="H2560" s="152" t="n">
        <v>140</v>
      </c>
      <c r="I2560" s="156" t="n"/>
      <c r="J2560" s="90" t="n"/>
      <c r="K2560" s="166" t="n"/>
      <c r="L2560" s="158" t="n"/>
      <c r="M2560" s="159" t="n"/>
    </row>
    <row r="2561">
      <c r="A2561" s="114" t="n">
        <v>46192</v>
      </c>
      <c r="B2561" s="115" t="n">
        <v>1297</v>
      </c>
      <c r="C2561" s="115" t="inlineStr">
        <is>
          <t>MAHMUT VİNÇ</t>
        </is>
      </c>
      <c r="D2561" s="115" t="inlineStr">
        <is>
          <t>34 AH 5401</t>
        </is>
      </c>
      <c r="E2561" s="115" t="inlineStr">
        <is>
          <t>YASİN DEMİR</t>
        </is>
      </c>
      <c r="F2561" s="115" t="n"/>
      <c r="G2561" s="156" t="n"/>
      <c r="H2561" s="152" t="n">
        <v>73</v>
      </c>
      <c r="I2561" s="156" t="n"/>
      <c r="J2561" s="90" t="n"/>
      <c r="K2561" s="166" t="n"/>
      <c r="L2561" s="158" t="n"/>
      <c r="M2561" s="159" t="n"/>
    </row>
    <row r="2562">
      <c r="A2562" s="114" t="n">
        <v>46193</v>
      </c>
      <c r="B2562" s="115" t="n">
        <v>1298</v>
      </c>
      <c r="C2562" s="115" t="inlineStr">
        <is>
          <t>AHMET SELİM TEMHA</t>
        </is>
      </c>
      <c r="D2562" s="115" t="inlineStr">
        <is>
          <t>34 PGT 251</t>
        </is>
      </c>
      <c r="E2562" s="115" t="inlineStr">
        <is>
          <t>ERSOY SIĞINMAZ</t>
        </is>
      </c>
      <c r="F2562" s="115" t="n"/>
      <c r="G2562" s="156" t="n"/>
      <c r="H2562" s="152" t="n">
        <v>82</v>
      </c>
      <c r="I2562" s="156" t="n"/>
      <c r="J2562" s="90" t="n"/>
      <c r="K2562" s="166" t="n"/>
      <c r="L2562" s="158" t="n"/>
      <c r="M2562" s="159" t="n"/>
    </row>
    <row r="2563">
      <c r="A2563" s="114" t="n">
        <v>46197</v>
      </c>
      <c r="B2563" s="115" t="n">
        <v>1299</v>
      </c>
      <c r="C2563" s="115" t="inlineStr">
        <is>
          <t>AHMET SELİM TEMHA</t>
        </is>
      </c>
      <c r="D2563" s="115" t="inlineStr">
        <is>
          <t>FORKLİF</t>
        </is>
      </c>
      <c r="E2563" s="115" t="n"/>
      <c r="F2563" s="115" t="n"/>
      <c r="G2563" s="156" t="n"/>
      <c r="H2563" s="152" t="n">
        <v>48</v>
      </c>
      <c r="I2563" s="156" t="n"/>
      <c r="J2563" s="90" t="n"/>
      <c r="K2563" s="166" t="n"/>
      <c r="L2563" s="158" t="n"/>
      <c r="M2563" s="159" t="n"/>
    </row>
    <row r="2564">
      <c r="A2564" s="114" t="n">
        <v>46197</v>
      </c>
      <c r="B2564" s="115" t="n">
        <v>1300</v>
      </c>
      <c r="C2564" s="115" t="inlineStr">
        <is>
          <t>AHMET SELİM TEMHA</t>
        </is>
      </c>
      <c r="D2564" s="115" t="inlineStr">
        <is>
          <t>34 AT 5452</t>
        </is>
      </c>
      <c r="E2564" s="115" t="inlineStr">
        <is>
          <t>İSMAİL</t>
        </is>
      </c>
      <c r="F2564" s="115" t="n"/>
      <c r="G2564" s="156" t="n"/>
      <c r="H2564" s="152" t="n">
        <v>62</v>
      </c>
      <c r="I2564" s="156" t="n"/>
      <c r="J2564" s="90" t="n"/>
      <c r="K2564" s="166" t="n"/>
      <c r="L2564" s="158" t="n"/>
      <c r="M2564" s="159" t="n"/>
    </row>
    <row r="2565">
      <c r="A2565" s="114" t="n">
        <v>46198</v>
      </c>
      <c r="B2565" s="115" t="n">
        <v>3301</v>
      </c>
      <c r="C2565" s="115" t="inlineStr">
        <is>
          <t>CAKYOL</t>
        </is>
      </c>
      <c r="D2565" s="115" t="inlineStr">
        <is>
          <t>SARI VİNÇ</t>
        </is>
      </c>
      <c r="E2565" s="115" t="inlineStr">
        <is>
          <t>ALİHAN</t>
        </is>
      </c>
      <c r="F2565" s="115" t="n"/>
      <c r="G2565" s="156" t="n"/>
      <c r="H2565" s="152" t="n">
        <v>187</v>
      </c>
      <c r="I2565" s="156" t="n"/>
      <c r="J2565" s="90" t="n"/>
      <c r="K2565" s="166" t="n"/>
      <c r="L2565" s="158" t="n"/>
      <c r="M2565" s="159" t="n"/>
    </row>
    <row r="2566">
      <c r="A2566" s="114" t="n">
        <v>46200</v>
      </c>
      <c r="B2566" s="115" t="n">
        <v>3302</v>
      </c>
      <c r="C2566" s="115" t="inlineStr">
        <is>
          <t>MAHMUT VİNÇ</t>
        </is>
      </c>
      <c r="D2566" s="115" t="inlineStr">
        <is>
          <t>34 AH 5401</t>
        </is>
      </c>
      <c r="E2566" s="115" t="inlineStr">
        <is>
          <t>MAHMUT</t>
        </is>
      </c>
      <c r="F2566" s="115" t="n"/>
      <c r="G2566" s="156" t="n"/>
      <c r="H2566" s="152" t="n">
        <v>78</v>
      </c>
      <c r="I2566" s="156" t="n"/>
      <c r="J2566" s="90" t="n"/>
      <c r="K2566" s="166" t="n"/>
      <c r="L2566" s="158" t="n"/>
      <c r="M2566" s="159" t="n"/>
    </row>
    <row r="2567">
      <c r="A2567" s="114" t="n">
        <v>46198</v>
      </c>
      <c r="B2567" s="115" t="n">
        <v>3303</v>
      </c>
      <c r="C2567" s="115" t="inlineStr">
        <is>
          <t>AHMET SELİM TEMHA</t>
        </is>
      </c>
      <c r="D2567" s="115" t="inlineStr">
        <is>
          <t>34 PGT 251</t>
        </is>
      </c>
      <c r="E2567" s="115" t="inlineStr">
        <is>
          <t>ERSOY SIĞINMAZ</t>
        </is>
      </c>
      <c r="F2567" s="115" t="n"/>
      <c r="G2567" s="156" t="n"/>
      <c r="H2567" s="152" t="n">
        <v>54</v>
      </c>
      <c r="I2567" s="156" t="n"/>
      <c r="J2567" s="90" t="n"/>
      <c r="K2567" s="166" t="n"/>
      <c r="L2567" s="158" t="n"/>
      <c r="M2567" s="159" t="n"/>
    </row>
    <row r="2568">
      <c r="A2568" s="114" t="n">
        <v>46203</v>
      </c>
      <c r="B2568" s="115" t="n">
        <v>3304</v>
      </c>
      <c r="C2568" s="115" t="inlineStr">
        <is>
          <t>AHMET SELİM TEMHA</t>
        </is>
      </c>
      <c r="D2568" s="115" t="inlineStr">
        <is>
          <t>FORKLİF</t>
        </is>
      </c>
      <c r="E2568" s="115" t="n"/>
      <c r="F2568" s="115" t="n"/>
      <c r="G2568" s="156" t="n"/>
      <c r="H2568" s="152" t="n">
        <v>47</v>
      </c>
      <c r="I2568" s="156" t="n"/>
      <c r="J2568" s="90" t="n"/>
      <c r="K2568" s="166" t="n"/>
      <c r="L2568" s="158" t="n"/>
      <c r="M2568" s="159" t="n"/>
    </row>
    <row r="2569">
      <c r="A2569" s="114" t="n">
        <v>46203</v>
      </c>
      <c r="B2569" s="115" t="n">
        <v>3305</v>
      </c>
      <c r="C2569" s="115" t="inlineStr">
        <is>
          <t>AHMET SELİM TEMHA</t>
        </is>
      </c>
      <c r="D2569" s="115" t="inlineStr">
        <is>
          <t>ZOMLİYON</t>
        </is>
      </c>
      <c r="E2569" s="115" t="n"/>
      <c r="F2569" s="115" t="n"/>
      <c r="G2569" s="156" t="n"/>
      <c r="H2569" s="152" t="n">
        <v>137</v>
      </c>
      <c r="I2569" s="156" t="n"/>
      <c r="J2569" s="90" t="n"/>
      <c r="K2569" s="166" t="n"/>
      <c r="L2569" s="158" t="n"/>
      <c r="M2569" s="159" t="n"/>
    </row>
    <row r="2570">
      <c r="A2570" s="114" t="n">
        <v>46203</v>
      </c>
      <c r="B2570" s="115" t="n">
        <v>199</v>
      </c>
      <c r="C2570" s="115" t="inlineStr">
        <is>
          <t>SELİM İNŞAAT</t>
        </is>
      </c>
      <c r="D2570" s="115" t="inlineStr">
        <is>
          <t>34 TG 7869</t>
        </is>
      </c>
      <c r="E2570" s="115" t="inlineStr">
        <is>
          <t>DURSUN ALİ GÜREK</t>
        </is>
      </c>
      <c r="F2570" s="115" t="n"/>
      <c r="G2570" s="156" t="n"/>
      <c r="H2570" s="152" t="n">
        <v>298</v>
      </c>
      <c r="I2570" s="156" t="n"/>
      <c r="J2570" s="90" t="n"/>
      <c r="K2570" s="166" t="n"/>
      <c r="L2570" s="158" t="n"/>
      <c r="M2570" s="159" t="n"/>
    </row>
    <row r="2571">
      <c r="A2571" s="114" t="n">
        <v>46190</v>
      </c>
      <c r="B2571" s="115" t="n">
        <v>1109</v>
      </c>
      <c r="C2571" s="115" t="inlineStr">
        <is>
          <t>SELİM İNŞAAT</t>
        </is>
      </c>
      <c r="D2571" s="115" t="inlineStr">
        <is>
          <t>34 DKL 866</t>
        </is>
      </c>
      <c r="E2571" s="115" t="inlineStr">
        <is>
          <t>SELİMCAN ÖNVER</t>
        </is>
      </c>
      <c r="F2571" s="115" t="n">
        <v>87275</v>
      </c>
      <c r="G2571" s="156" t="n"/>
      <c r="H2571" s="152" t="n">
        <v>255</v>
      </c>
      <c r="I2571" s="156" t="n"/>
      <c r="J2571" s="90" t="n"/>
      <c r="K2571" s="166" t="n"/>
      <c r="L2571" s="158" t="n"/>
      <c r="M2571" s="159" t="n"/>
    </row>
    <row r="2572">
      <c r="A2572" s="114" t="n">
        <v>46192</v>
      </c>
      <c r="B2572" s="115" t="n">
        <v>1120</v>
      </c>
      <c r="C2572" s="115" t="inlineStr">
        <is>
          <t>SELİM İNŞAAT</t>
        </is>
      </c>
      <c r="D2572" s="115" t="inlineStr">
        <is>
          <t>34 DKL 866</t>
        </is>
      </c>
      <c r="E2572" s="115" t="inlineStr">
        <is>
          <t>SELİMCAN ÖNVER</t>
        </is>
      </c>
      <c r="F2572" s="115" t="n">
        <v>87436</v>
      </c>
      <c r="G2572" s="156" t="n"/>
      <c r="H2572" s="152" t="n">
        <v>250</v>
      </c>
      <c r="I2572" s="156" t="n"/>
      <c r="J2572" s="90" t="n"/>
      <c r="K2572" s="166" t="n"/>
      <c r="L2572" s="158" t="n"/>
      <c r="M2572" s="159" t="n"/>
    </row>
    <row r="2573">
      <c r="A2573" s="114" t="n">
        <v>46195</v>
      </c>
      <c r="B2573" s="115" t="n">
        <v>1131</v>
      </c>
      <c r="C2573" s="115" t="inlineStr">
        <is>
          <t>SELİM İNŞAAT</t>
        </is>
      </c>
      <c r="D2573" s="115" t="inlineStr">
        <is>
          <t>34 DKL 866</t>
        </is>
      </c>
      <c r="E2573" s="115" t="inlineStr">
        <is>
          <t>SELİMCAN ÖNVER</t>
        </is>
      </c>
      <c r="F2573" s="115" t="n">
        <v>87662</v>
      </c>
      <c r="G2573" s="156" t="n"/>
      <c r="H2573" s="152" t="n">
        <v>267</v>
      </c>
      <c r="I2573" s="156" t="n"/>
      <c r="J2573" s="90" t="n"/>
      <c r="K2573" s="166" t="n"/>
      <c r="L2573" s="158" t="n"/>
      <c r="M2573" s="159" t="n"/>
    </row>
    <row r="2574">
      <c r="A2574" s="114" t="n">
        <v>46197</v>
      </c>
      <c r="B2574" s="115" t="n">
        <v>1142</v>
      </c>
      <c r="C2574" s="115" t="inlineStr">
        <is>
          <t>SELİM İNŞAAT</t>
        </is>
      </c>
      <c r="D2574" s="115" t="inlineStr">
        <is>
          <t>34 DKL 866</t>
        </is>
      </c>
      <c r="E2574" s="115" t="inlineStr">
        <is>
          <t>SELİMCAN ÖNVER</t>
        </is>
      </c>
      <c r="F2574" s="115" t="n">
        <v>87873</v>
      </c>
      <c r="G2574" s="156" t="n"/>
      <c r="H2574" s="152" t="n">
        <v>285</v>
      </c>
      <c r="I2574" s="156" t="n"/>
      <c r="J2574" s="90" t="n"/>
      <c r="K2574" s="166" t="n"/>
      <c r="L2574" s="158" t="n"/>
      <c r="M2574" s="159" t="n"/>
    </row>
    <row r="2575">
      <c r="A2575" s="114" t="n">
        <v>46198</v>
      </c>
      <c r="B2575" s="115" t="n">
        <v>1153</v>
      </c>
      <c r="C2575" s="115" t="inlineStr">
        <is>
          <t>SELİM İNŞAAT</t>
        </is>
      </c>
      <c r="D2575" s="115" t="inlineStr">
        <is>
          <t>34 DKL 866</t>
        </is>
      </c>
      <c r="E2575" s="115" t="inlineStr">
        <is>
          <t>SELİMCAN ÖNVER</t>
        </is>
      </c>
      <c r="F2575" s="115" t="n">
        <v>87998</v>
      </c>
      <c r="G2575" s="156" t="n"/>
      <c r="H2575" s="152" t="n">
        <v>211</v>
      </c>
      <c r="I2575" s="156" t="n"/>
      <c r="J2575" s="90" t="n"/>
      <c r="K2575" s="166" t="n"/>
      <c r="L2575" s="158" t="n"/>
      <c r="M2575" s="159" t="n"/>
    </row>
    <row r="2576">
      <c r="A2576" s="114" t="n">
        <v>46201</v>
      </c>
      <c r="B2576" s="115" t="n">
        <v>1164</v>
      </c>
      <c r="C2576" s="115" t="inlineStr">
        <is>
          <t>SELİM İNŞAAT</t>
        </is>
      </c>
      <c r="D2576" s="115" t="inlineStr">
        <is>
          <t>34 DKL 866</t>
        </is>
      </c>
      <c r="E2576" s="115" t="inlineStr">
        <is>
          <t>SELİMCAN ÖNVER</t>
        </is>
      </c>
      <c r="F2576" s="115" t="n">
        <v>88238</v>
      </c>
      <c r="G2576" s="156" t="n"/>
      <c r="H2576" s="152" t="n">
        <v>283</v>
      </c>
      <c r="I2576" s="156" t="n"/>
      <c r="J2576" s="90" t="n"/>
      <c r="K2576" s="166" t="n"/>
      <c r="L2576" s="158" t="n"/>
      <c r="M2576" s="159" t="n"/>
    </row>
    <row r="2577">
      <c r="A2577" s="114" t="n">
        <v>46202</v>
      </c>
      <c r="B2577" s="115" t="n">
        <v>1175</v>
      </c>
      <c r="C2577" s="115" t="inlineStr">
        <is>
          <t>SELİM İNŞAAT</t>
        </is>
      </c>
      <c r="D2577" s="115" t="inlineStr">
        <is>
          <t>34 DKL 866</t>
        </is>
      </c>
      <c r="E2577" s="115" t="inlineStr">
        <is>
          <t>SELİMCAN ÖNVER</t>
        </is>
      </c>
      <c r="F2577" s="115" t="n">
        <v>88370</v>
      </c>
      <c r="G2577" s="156" t="n"/>
      <c r="H2577" s="152" t="n">
        <v>190</v>
      </c>
      <c r="I2577" s="156" t="n"/>
      <c r="J2577" s="90" t="n"/>
      <c r="K2577" s="166" t="n"/>
      <c r="L2577" s="158" t="n"/>
      <c r="M2577" s="159" t="n"/>
    </row>
    <row r="2578">
      <c r="A2578" s="114" t="n">
        <v>46203</v>
      </c>
      <c r="B2578" s="115" t="n">
        <v>1186</v>
      </c>
      <c r="C2578" s="115" t="inlineStr">
        <is>
          <t>SELİM İNŞAAT</t>
        </is>
      </c>
      <c r="D2578" s="115" t="inlineStr">
        <is>
          <t>34 DKL 866</t>
        </is>
      </c>
      <c r="E2578" s="115" t="inlineStr">
        <is>
          <t>SELİMCAN ÖNVER</t>
        </is>
      </c>
      <c r="F2578" s="115" t="n">
        <v>88439</v>
      </c>
      <c r="G2578" s="156" t="n"/>
      <c r="H2578" s="152" t="n">
        <v>233</v>
      </c>
      <c r="I2578" s="156" t="n"/>
      <c r="J2578" s="90" t="n"/>
      <c r="K2578" s="166" t="n"/>
      <c r="L2578" s="158" t="n"/>
      <c r="M2578" s="159" t="n"/>
    </row>
    <row r="2579">
      <c r="A2579" s="114" t="n">
        <v>46191</v>
      </c>
      <c r="B2579" s="115" t="n">
        <v>4489</v>
      </c>
      <c r="C2579" s="115" t="inlineStr">
        <is>
          <t>SELİM İNŞAAT</t>
        </is>
      </c>
      <c r="D2579" s="115" t="inlineStr">
        <is>
          <t>34 DKL 798</t>
        </is>
      </c>
      <c r="E2579" s="115" t="inlineStr">
        <is>
          <t>HASAN BAYCA</t>
        </is>
      </c>
      <c r="F2579" s="115" t="n">
        <v>85864</v>
      </c>
      <c r="G2579" s="156" t="n"/>
      <c r="H2579" s="152" t="n">
        <v>298</v>
      </c>
      <c r="I2579" s="156" t="n"/>
      <c r="J2579" s="90" t="n"/>
      <c r="K2579" s="166" t="n"/>
      <c r="L2579" s="158" t="n"/>
      <c r="M2579" s="159" t="n"/>
    </row>
    <row r="2580">
      <c r="A2580" s="114" t="n">
        <v>46193</v>
      </c>
      <c r="B2580" s="115" t="n">
        <v>4490</v>
      </c>
      <c r="C2580" s="115" t="inlineStr">
        <is>
          <t>SELİM İNŞAAT</t>
        </is>
      </c>
      <c r="D2580" s="115" t="inlineStr">
        <is>
          <t>34 DKL 798</t>
        </is>
      </c>
      <c r="E2580" s="115" t="inlineStr">
        <is>
          <t>HASAN BAYCA</t>
        </is>
      </c>
      <c r="F2580" s="115" t="n">
        <v>86044</v>
      </c>
      <c r="G2580" s="156" t="n"/>
      <c r="H2580" s="152" t="n">
        <v>280</v>
      </c>
      <c r="I2580" s="156" t="n"/>
      <c r="J2580" s="90" t="n"/>
      <c r="K2580" s="166" t="n"/>
      <c r="L2580" s="158" t="n"/>
      <c r="M2580" s="159" t="n"/>
    </row>
    <row r="2581">
      <c r="A2581" s="114" t="n">
        <v>46197</v>
      </c>
      <c r="B2581" s="115" t="n">
        <v>4491</v>
      </c>
      <c r="C2581" s="115" t="inlineStr">
        <is>
          <t>SELİM İNŞAAT</t>
        </is>
      </c>
      <c r="D2581" s="115" t="inlineStr">
        <is>
          <t>34 DKL 798</t>
        </is>
      </c>
      <c r="E2581" s="115" t="inlineStr">
        <is>
          <t>HASAN BAYCA</t>
        </is>
      </c>
      <c r="F2581" s="115" t="n">
        <v>86334</v>
      </c>
      <c r="G2581" s="156" t="n"/>
      <c r="H2581" s="152" t="n">
        <v>270</v>
      </c>
      <c r="I2581" s="156" t="n"/>
      <c r="J2581" s="90" t="n"/>
      <c r="K2581" s="166" t="n"/>
      <c r="L2581" s="158" t="n"/>
      <c r="M2581" s="159" t="n"/>
    </row>
    <row r="2582">
      <c r="A2582" s="114" t="n">
        <v>46200</v>
      </c>
      <c r="B2582" s="115" t="n">
        <v>4492</v>
      </c>
      <c r="C2582" s="115" t="inlineStr">
        <is>
          <t>SELİM İNŞAAT</t>
        </is>
      </c>
      <c r="D2582" s="115" t="inlineStr">
        <is>
          <t>34 DKL 798</t>
        </is>
      </c>
      <c r="E2582" s="115" t="inlineStr">
        <is>
          <t>HASAN BAYCA</t>
        </is>
      </c>
      <c r="F2582" s="115" t="n">
        <v>86569</v>
      </c>
      <c r="G2582" s="156" t="n"/>
      <c r="H2582" s="152" t="n">
        <v>294</v>
      </c>
      <c r="I2582" s="156" t="n"/>
      <c r="J2582" s="90" t="n"/>
      <c r="K2582" s="166" t="n"/>
      <c r="L2582" s="158" t="n"/>
      <c r="M2582" s="159" t="n"/>
    </row>
    <row r="2583">
      <c r="A2583" s="114" t="n">
        <v>46203</v>
      </c>
      <c r="B2583" s="115" t="n">
        <v>4493</v>
      </c>
      <c r="C2583" s="115" t="inlineStr">
        <is>
          <t>SELİM İNŞAAT</t>
        </is>
      </c>
      <c r="D2583" s="115" t="inlineStr">
        <is>
          <t>34 DKL 798</t>
        </is>
      </c>
      <c r="E2583" s="115" t="inlineStr">
        <is>
          <t>HASAN BAYCA</t>
        </is>
      </c>
      <c r="F2583" s="115" t="n">
        <v>86824</v>
      </c>
      <c r="G2583" s="156" t="n"/>
      <c r="H2583" s="152" t="n">
        <v>281</v>
      </c>
      <c r="I2583" s="156" t="n"/>
      <c r="J2583" s="90" t="n"/>
      <c r="K2583" s="166" t="n"/>
      <c r="L2583" s="158" t="n"/>
      <c r="M2583" s="159" t="n"/>
    </row>
    <row r="2584">
      <c r="A2584" s="114" t="n">
        <v>46191</v>
      </c>
      <c r="B2584" s="115" t="n">
        <v>2999</v>
      </c>
      <c r="C2584" s="115" t="inlineStr">
        <is>
          <t>SELİM İNŞAAT</t>
        </is>
      </c>
      <c r="D2584" s="115" t="inlineStr">
        <is>
          <t>34 DFE 454</t>
        </is>
      </c>
      <c r="E2584" s="115" t="inlineStr">
        <is>
          <t>HÜSEYİN ALIN</t>
        </is>
      </c>
      <c r="F2584" s="115" t="n">
        <v>179308</v>
      </c>
      <c r="G2584" s="156" t="n"/>
      <c r="H2584" s="152" t="n">
        <v>296</v>
      </c>
      <c r="I2584" s="156" t="n"/>
      <c r="J2584" s="90" t="n"/>
      <c r="K2584" s="166" t="n"/>
      <c r="L2584" s="158" t="n"/>
      <c r="M2584" s="159" t="n"/>
    </row>
    <row r="2585">
      <c r="A2585" s="114" t="n">
        <v>46195</v>
      </c>
      <c r="B2585" s="115" t="n">
        <v>3000</v>
      </c>
      <c r="C2585" s="115" t="inlineStr">
        <is>
          <t>SELİM İNŞAAT</t>
        </is>
      </c>
      <c r="D2585" s="115" t="inlineStr">
        <is>
          <t>34 DFE 454</t>
        </is>
      </c>
      <c r="E2585" s="115" t="inlineStr">
        <is>
          <t>HÜSEYİN ALIN</t>
        </is>
      </c>
      <c r="F2585" s="115" t="n">
        <v>179572</v>
      </c>
      <c r="G2585" s="156" t="n"/>
      <c r="H2585" s="152" t="n">
        <v>282</v>
      </c>
      <c r="I2585" s="156" t="n"/>
      <c r="J2585" s="90" t="n"/>
      <c r="K2585" s="166" t="n"/>
      <c r="L2585" s="158" t="n"/>
      <c r="M2585" s="159" t="n"/>
    </row>
    <row r="2586">
      <c r="A2586" s="114" t="n">
        <v>46198</v>
      </c>
      <c r="B2586" s="115" t="n">
        <v>1001</v>
      </c>
      <c r="C2586" s="115" t="inlineStr">
        <is>
          <t>SELİM İNŞAAT</t>
        </is>
      </c>
      <c r="D2586" s="115" t="inlineStr">
        <is>
          <t>34 DFE 454</t>
        </is>
      </c>
      <c r="E2586" s="115" t="inlineStr">
        <is>
          <t>HÜSEYİN ALIN</t>
        </is>
      </c>
      <c r="F2586" s="115" t="n">
        <v>179884</v>
      </c>
      <c r="G2586" s="156" t="n"/>
      <c r="H2586" s="152" t="n">
        <v>297</v>
      </c>
      <c r="I2586" s="156" t="n"/>
      <c r="J2586" s="90" t="n"/>
      <c r="K2586" s="166" t="n"/>
      <c r="L2586" s="158" t="n"/>
      <c r="M2586" s="159" t="n"/>
    </row>
    <row r="2587">
      <c r="A2587" s="114" t="n">
        <v>46202</v>
      </c>
      <c r="B2587" s="115" t="n">
        <v>1002</v>
      </c>
      <c r="C2587" s="115" t="inlineStr">
        <is>
          <t>SELİM İNŞAAT</t>
        </is>
      </c>
      <c r="D2587" s="115" t="inlineStr">
        <is>
          <t>34 DFE 454</t>
        </is>
      </c>
      <c r="E2587" s="115" t="inlineStr">
        <is>
          <t>HÜSEYİN ALIN</t>
        </is>
      </c>
      <c r="F2587" s="115" t="n">
        <v>180181</v>
      </c>
      <c r="G2587" s="156" t="n"/>
      <c r="H2587" s="152" t="n">
        <v>290</v>
      </c>
      <c r="I2587" s="156" t="n"/>
      <c r="J2587" s="90" t="n"/>
      <c r="K2587" s="166" t="n"/>
      <c r="L2587" s="158" t="n"/>
      <c r="M2587" s="159" t="n"/>
    </row>
    <row r="2588">
      <c r="A2588" s="114" t="n">
        <v>46190</v>
      </c>
      <c r="B2588" s="115" t="n">
        <v>1364</v>
      </c>
      <c r="C2588" s="115" t="inlineStr">
        <is>
          <t>SELİM İNŞAAT</t>
        </is>
      </c>
      <c r="D2588" s="115" t="inlineStr">
        <is>
          <t>34 DP 4161</t>
        </is>
      </c>
      <c r="E2588" s="115" t="inlineStr">
        <is>
          <t>RİFAT KARATAY</t>
        </is>
      </c>
      <c r="F2588" s="115" t="n">
        <v>324621</v>
      </c>
      <c r="G2588" s="156" t="n"/>
      <c r="H2588" s="152" t="n">
        <v>232</v>
      </c>
      <c r="I2588" s="156" t="n"/>
      <c r="J2588" s="90" t="n"/>
      <c r="K2588" s="166" t="n"/>
      <c r="L2588" s="158" t="n"/>
      <c r="M2588" s="159" t="n"/>
    </row>
    <row r="2589">
      <c r="A2589" s="114" t="n">
        <v>46193</v>
      </c>
      <c r="B2589" s="115" t="n">
        <v>1365</v>
      </c>
      <c r="C2589" s="115" t="inlineStr">
        <is>
          <t>SELİM İNŞAAT</t>
        </is>
      </c>
      <c r="D2589" s="115" t="inlineStr">
        <is>
          <t>34 DP 4161</t>
        </is>
      </c>
      <c r="E2589" s="115" t="inlineStr">
        <is>
          <t>RİFAT KARATAY</t>
        </is>
      </c>
      <c r="F2589" s="115" t="n">
        <v>324838</v>
      </c>
      <c r="G2589" s="156" t="n"/>
      <c r="H2589" s="152" t="n">
        <v>290</v>
      </c>
      <c r="I2589" s="156" t="n"/>
      <c r="J2589" s="90" t="n"/>
      <c r="K2589" s="166" t="n"/>
      <c r="L2589" s="158" t="n"/>
      <c r="M2589" s="159" t="n"/>
    </row>
    <row r="2590">
      <c r="A2590" s="114" t="n">
        <v>46197</v>
      </c>
      <c r="B2590" s="115" t="n">
        <v>1366</v>
      </c>
      <c r="C2590" s="115" t="inlineStr">
        <is>
          <t>SELİM İNŞAAT</t>
        </is>
      </c>
      <c r="D2590" s="115" t="inlineStr">
        <is>
          <t>34 DP 4161</t>
        </is>
      </c>
      <c r="E2590" s="115" t="inlineStr">
        <is>
          <t>RİFAT KARATAY</t>
        </is>
      </c>
      <c r="F2590" s="115" t="n">
        <v>325124</v>
      </c>
      <c r="G2590" s="156" t="n"/>
      <c r="H2590" s="152" t="n">
        <v>289</v>
      </c>
      <c r="I2590" s="156" t="n"/>
      <c r="J2590" s="90" t="n"/>
      <c r="K2590" s="166" t="n"/>
      <c r="L2590" s="158" t="n"/>
      <c r="M2590" s="159" t="n"/>
    </row>
    <row r="2591">
      <c r="A2591" s="114" t="n">
        <v>46199</v>
      </c>
      <c r="B2591" s="115" t="n">
        <v>1367</v>
      </c>
      <c r="C2591" s="115" t="inlineStr">
        <is>
          <t>SELİM İNŞAAT</t>
        </is>
      </c>
      <c r="D2591" s="115" t="inlineStr">
        <is>
          <t>34 DP 4161</t>
        </is>
      </c>
      <c r="E2591" s="115" t="inlineStr">
        <is>
          <t>RİFAT KARATAY</t>
        </is>
      </c>
      <c r="F2591" s="115" t="n">
        <v>325314</v>
      </c>
      <c r="G2591" s="156" t="n"/>
      <c r="H2591" s="152" t="n">
        <v>277</v>
      </c>
      <c r="I2591" s="156" t="n"/>
      <c r="J2591" s="90" t="n"/>
      <c r="K2591" s="166" t="n"/>
      <c r="L2591" s="158" t="n"/>
      <c r="M2591" s="159" t="n"/>
    </row>
    <row r="2592">
      <c r="A2592" s="114" t="n">
        <v>46201</v>
      </c>
      <c r="B2592" s="115" t="n">
        <v>1368</v>
      </c>
      <c r="C2592" s="115" t="inlineStr">
        <is>
          <t>SELİM İNŞAAT</t>
        </is>
      </c>
      <c r="D2592" s="115" t="inlineStr">
        <is>
          <t>34 DP 4161</t>
        </is>
      </c>
      <c r="E2592" s="115" t="inlineStr">
        <is>
          <t>RİFAT KARATAY</t>
        </is>
      </c>
      <c r="F2592" s="115" t="n">
        <v>325500</v>
      </c>
      <c r="G2592" s="156" t="n"/>
      <c r="H2592" s="152" t="n">
        <v>480</v>
      </c>
      <c r="I2592" s="156" t="n"/>
      <c r="J2592" s="90" t="n"/>
      <c r="K2592" s="166" t="n"/>
      <c r="L2592" s="158" t="n"/>
      <c r="M2592" s="159" t="n"/>
    </row>
    <row r="2593">
      <c r="A2593" s="114" t="n">
        <v>46203</v>
      </c>
      <c r="B2593" s="115" t="n">
        <v>1369</v>
      </c>
      <c r="C2593" s="115" t="inlineStr">
        <is>
          <t>SELİM İNŞAAT</t>
        </is>
      </c>
      <c r="D2593" s="115" t="inlineStr">
        <is>
          <t>34 DP 4161</t>
        </is>
      </c>
      <c r="E2593" s="115" t="inlineStr">
        <is>
          <t>RİFAT KARATAY</t>
        </is>
      </c>
      <c r="F2593" s="115" t="n">
        <v>325734</v>
      </c>
      <c r="G2593" s="156" t="n"/>
      <c r="H2593" s="152" t="n">
        <v>297</v>
      </c>
      <c r="I2593" s="156" t="n"/>
      <c r="J2593" s="90" t="n"/>
      <c r="K2593" s="166" t="n"/>
      <c r="L2593" s="158" t="n"/>
      <c r="M2593" s="159" t="n"/>
    </row>
    <row r="2594">
      <c r="A2594" s="114" t="n">
        <v>46190</v>
      </c>
      <c r="B2594" s="115" t="n">
        <v>1860</v>
      </c>
      <c r="C2594" s="115" t="inlineStr">
        <is>
          <t>SELİM İNŞAAT</t>
        </is>
      </c>
      <c r="D2594" s="115" t="inlineStr">
        <is>
          <t>34 GER 028</t>
        </is>
      </c>
      <c r="E2594" s="115" t="inlineStr">
        <is>
          <t>ABDULKERİM ERGEN</t>
        </is>
      </c>
      <c r="F2594" s="115" t="n">
        <v>65511</v>
      </c>
      <c r="G2594" s="156" t="n"/>
      <c r="H2594" s="152" t="n">
        <v>287</v>
      </c>
      <c r="I2594" s="156" t="n"/>
      <c r="J2594" s="90" t="n"/>
      <c r="K2594" s="166" t="n"/>
      <c r="L2594" s="158" t="n"/>
      <c r="M2594" s="159" t="n"/>
    </row>
    <row r="2595">
      <c r="A2595" s="114" t="n">
        <v>46193</v>
      </c>
      <c r="B2595" s="115" t="n">
        <v>1861</v>
      </c>
      <c r="C2595" s="115" t="inlineStr">
        <is>
          <t>SELİM İNŞAAT</t>
        </is>
      </c>
      <c r="D2595" s="115" t="inlineStr">
        <is>
          <t>34 GER 028</t>
        </is>
      </c>
      <c r="E2595" s="115" t="inlineStr">
        <is>
          <t>ABDULKERİM ERGEN</t>
        </is>
      </c>
      <c r="F2595" s="115" t="n">
        <v>65803</v>
      </c>
      <c r="G2595" s="156" t="n"/>
      <c r="H2595" s="152" t="n">
        <v>275</v>
      </c>
      <c r="I2595" s="156" t="n"/>
      <c r="J2595" s="90" t="n"/>
      <c r="K2595" s="166" t="n"/>
      <c r="L2595" s="158" t="n"/>
      <c r="M2595" s="159" t="n"/>
    </row>
    <row r="2596">
      <c r="A2596" s="114" t="n">
        <v>46197</v>
      </c>
      <c r="B2596" s="115" t="n">
        <v>1862</v>
      </c>
      <c r="C2596" s="115" t="inlineStr">
        <is>
          <t>SELİM İNŞAAT</t>
        </is>
      </c>
      <c r="D2596" s="115" t="inlineStr">
        <is>
          <t>34 GER 028</t>
        </is>
      </c>
      <c r="E2596" s="115" t="inlineStr">
        <is>
          <t>ABDULKERİM ERGEN</t>
        </is>
      </c>
      <c r="F2596" s="115" t="n">
        <v>66134</v>
      </c>
      <c r="G2596" s="156" t="n"/>
      <c r="H2596" s="152" t="n">
        <v>270</v>
      </c>
      <c r="I2596" s="156" t="n"/>
      <c r="J2596" s="90" t="n"/>
      <c r="K2596" s="166" t="n"/>
      <c r="L2596" s="158" t="n"/>
      <c r="M2596" s="159" t="n"/>
    </row>
    <row r="2597">
      <c r="A2597" s="114" t="n">
        <v>46199</v>
      </c>
      <c r="B2597" s="115" t="n">
        <v>1863</v>
      </c>
      <c r="C2597" s="115" t="inlineStr">
        <is>
          <t>SELİM İNŞAAT</t>
        </is>
      </c>
      <c r="D2597" s="115" t="inlineStr">
        <is>
          <t>34 GER 028</t>
        </is>
      </c>
      <c r="E2597" s="115" t="inlineStr">
        <is>
          <t>ABDULKERİM ERGEN</t>
        </is>
      </c>
      <c r="F2597" s="115" t="n">
        <v>66347</v>
      </c>
      <c r="G2597" s="156" t="n"/>
      <c r="H2597" s="152" t="n">
        <v>270</v>
      </c>
      <c r="I2597" s="156" t="n"/>
      <c r="J2597" s="90" t="n"/>
      <c r="K2597" s="166" t="n"/>
      <c r="L2597" s="158" t="n"/>
      <c r="M2597" s="159" t="n"/>
    </row>
    <row r="2598">
      <c r="A2598" s="114" t="n">
        <v>46202</v>
      </c>
      <c r="B2598" s="115" t="n">
        <v>1864</v>
      </c>
      <c r="C2598" s="115" t="inlineStr">
        <is>
          <t>SELİM İNŞAAT</t>
        </is>
      </c>
      <c r="D2598" s="115" t="inlineStr">
        <is>
          <t>34 GER 028</t>
        </is>
      </c>
      <c r="E2598" s="115" t="inlineStr">
        <is>
          <t>ABDULKERİM ERGEN</t>
        </is>
      </c>
      <c r="F2598" s="115" t="n">
        <v>66617</v>
      </c>
      <c r="G2598" s="156" t="n"/>
      <c r="H2598" s="152" t="n">
        <v>290</v>
      </c>
      <c r="I2598" s="156" t="n"/>
      <c r="J2598" s="90" t="n"/>
      <c r="K2598" s="166" t="n"/>
      <c r="L2598" s="158" t="n"/>
      <c r="M2598" s="159" t="n"/>
    </row>
    <row r="2599">
      <c r="A2599" s="114" t="n">
        <v>46191</v>
      </c>
      <c r="B2599" s="115" t="n">
        <v>322</v>
      </c>
      <c r="C2599" s="115" t="inlineStr">
        <is>
          <t>SELİM İNŞAAT</t>
        </is>
      </c>
      <c r="D2599" s="115" t="inlineStr">
        <is>
          <t>34 GER 445</t>
        </is>
      </c>
      <c r="E2599" s="115" t="inlineStr">
        <is>
          <t>BEYTULLAH</t>
        </is>
      </c>
      <c r="F2599" s="115" t="n">
        <v>62487</v>
      </c>
      <c r="G2599" s="156" t="n"/>
      <c r="H2599" s="152" t="n">
        <v>288</v>
      </c>
      <c r="I2599" s="156" t="n"/>
      <c r="J2599" s="90" t="n"/>
      <c r="K2599" s="166" t="n"/>
      <c r="L2599" s="158" t="n"/>
      <c r="M2599" s="159" t="n"/>
    </row>
    <row r="2600">
      <c r="A2600" s="114" t="n">
        <v>46195</v>
      </c>
      <c r="B2600" s="115" t="n">
        <v>323</v>
      </c>
      <c r="C2600" s="115" t="inlineStr">
        <is>
          <t>SELİM İNŞAAT</t>
        </is>
      </c>
      <c r="D2600" s="115" t="inlineStr">
        <is>
          <t>34 GER 445</t>
        </is>
      </c>
      <c r="E2600" s="115" t="inlineStr">
        <is>
          <t>BEYTULLAH</t>
        </is>
      </c>
      <c r="F2600" s="115" t="n">
        <v>62815</v>
      </c>
      <c r="G2600" s="156" t="n"/>
      <c r="H2600" s="152" t="n">
        <v>296</v>
      </c>
      <c r="I2600" s="156" t="n"/>
      <c r="J2600" s="90" t="n"/>
      <c r="K2600" s="166" t="n"/>
      <c r="L2600" s="158" t="n"/>
      <c r="M2600" s="159" t="n"/>
    </row>
    <row r="2601">
      <c r="A2601" s="114" t="n">
        <v>46198</v>
      </c>
      <c r="B2601" s="115" t="n">
        <v>324</v>
      </c>
      <c r="C2601" s="115" t="inlineStr">
        <is>
          <t>SELİM İNŞAAT</t>
        </is>
      </c>
      <c r="D2601" s="115" t="inlineStr">
        <is>
          <t>34 GER 445</t>
        </is>
      </c>
      <c r="E2601" s="115" t="inlineStr">
        <is>
          <t>BEYTULLAH</t>
        </is>
      </c>
      <c r="F2601" s="115" t="n">
        <v>63118</v>
      </c>
      <c r="G2601" s="156" t="n"/>
      <c r="H2601" s="152" t="n">
        <v>273</v>
      </c>
      <c r="I2601" s="156" t="n"/>
      <c r="J2601" s="90" t="n"/>
      <c r="K2601" s="166" t="n"/>
      <c r="L2601" s="158" t="n"/>
      <c r="M2601" s="159" t="n"/>
    </row>
    <row r="2602">
      <c r="A2602" s="114" t="n">
        <v>46201</v>
      </c>
      <c r="B2602" s="115" t="n">
        <v>325</v>
      </c>
      <c r="C2602" s="115" t="inlineStr">
        <is>
          <t>SELİM İNŞAAT</t>
        </is>
      </c>
      <c r="D2602" s="115" t="inlineStr">
        <is>
          <t>34 GER 445</t>
        </is>
      </c>
      <c r="E2602" s="115" t="inlineStr">
        <is>
          <t>BEYTULLAH</t>
        </is>
      </c>
      <c r="F2602" s="115" t="n">
        <v>63384</v>
      </c>
      <c r="G2602" s="156" t="n"/>
      <c r="H2602" s="152" t="n">
        <v>275</v>
      </c>
      <c r="I2602" s="156" t="n"/>
      <c r="J2602" s="90" t="n"/>
      <c r="K2602" s="166" t="n"/>
      <c r="L2602" s="158" t="n"/>
      <c r="M2602" s="159" t="n"/>
    </row>
    <row r="2603">
      <c r="A2603" s="114" t="n">
        <v>46203</v>
      </c>
      <c r="B2603" s="115" t="n">
        <v>326</v>
      </c>
      <c r="C2603" s="115" t="inlineStr">
        <is>
          <t>SELİM İNŞAAT</t>
        </is>
      </c>
      <c r="D2603" s="115" t="inlineStr">
        <is>
          <t>34 GER 445</t>
        </is>
      </c>
      <c r="E2603" s="115" t="inlineStr">
        <is>
          <t>BEYTULLAH</t>
        </is>
      </c>
      <c r="F2603" s="115" t="n">
        <v>63594</v>
      </c>
      <c r="G2603" s="156" t="n"/>
      <c r="H2603" s="152" t="n">
        <v>247</v>
      </c>
      <c r="I2603" s="156" t="n"/>
      <c r="J2603" s="90" t="n"/>
      <c r="K2603" s="166" t="n"/>
      <c r="L2603" s="158" t="n"/>
      <c r="M2603" s="159" t="n"/>
    </row>
    <row r="2604">
      <c r="A2604" s="114" t="n">
        <v>46190</v>
      </c>
      <c r="B2604" s="115" t="n">
        <v>4044</v>
      </c>
      <c r="C2604" s="115" t="inlineStr">
        <is>
          <t>SELİM İNŞAAT</t>
        </is>
      </c>
      <c r="D2604" s="115" t="inlineStr">
        <is>
          <t>34 AR 7743</t>
        </is>
      </c>
      <c r="E2604" s="115" t="inlineStr">
        <is>
          <t>MEHMET SELİM</t>
        </is>
      </c>
      <c r="F2604" s="115" t="n">
        <v>381280</v>
      </c>
      <c r="G2604" s="156" t="n"/>
      <c r="H2604" s="152" t="n">
        <v>65</v>
      </c>
      <c r="I2604" s="156" t="n"/>
      <c r="J2604" s="90" t="n"/>
      <c r="K2604" s="166" t="n"/>
      <c r="L2604" s="158" t="n"/>
      <c r="M2604" s="159" t="n"/>
    </row>
    <row r="2605">
      <c r="A2605" s="114" t="n">
        <v>46194</v>
      </c>
      <c r="B2605" s="115" t="n">
        <v>4045</v>
      </c>
      <c r="C2605" s="115" t="inlineStr">
        <is>
          <t>SELİM İNŞAAT</t>
        </is>
      </c>
      <c r="D2605" s="115" t="inlineStr">
        <is>
          <t>34 AR 7743</t>
        </is>
      </c>
      <c r="E2605" s="115" t="inlineStr">
        <is>
          <t>MEHMET SELİM</t>
        </is>
      </c>
      <c r="F2605" s="115" t="n">
        <v>381357</v>
      </c>
      <c r="G2605" s="156" t="n"/>
      <c r="H2605" s="152" t="n">
        <v>56</v>
      </c>
      <c r="I2605" s="156" t="n"/>
      <c r="J2605" s="90" t="n"/>
      <c r="K2605" s="166" t="n"/>
      <c r="L2605" s="158" t="n"/>
      <c r="M2605" s="159" t="n"/>
    </row>
    <row r="2606">
      <c r="A2606" s="114" t="n">
        <v>46197</v>
      </c>
      <c r="B2606" s="115" t="n">
        <v>4046</v>
      </c>
      <c r="C2606" s="115" t="inlineStr">
        <is>
          <t>SELİM İNŞAAT</t>
        </is>
      </c>
      <c r="D2606" s="115" t="inlineStr">
        <is>
          <t>34 AR 7743</t>
        </is>
      </c>
      <c r="E2606" s="115" t="inlineStr">
        <is>
          <t>MEHMET SELİM</t>
        </is>
      </c>
      <c r="F2606" s="115" t="n">
        <v>381704</v>
      </c>
      <c r="G2606" s="156" t="n"/>
      <c r="H2606" s="152" t="n">
        <v>56</v>
      </c>
      <c r="I2606" s="156" t="n"/>
      <c r="J2606" s="90" t="n"/>
      <c r="K2606" s="166" t="n"/>
      <c r="L2606" s="158" t="n"/>
      <c r="M2606" s="159" t="n"/>
    </row>
    <row r="2607">
      <c r="A2607" s="114" t="n">
        <v>46200</v>
      </c>
      <c r="B2607" s="115" t="n">
        <v>4047</v>
      </c>
      <c r="C2607" s="115" t="inlineStr">
        <is>
          <t>SELİM İNŞAAT</t>
        </is>
      </c>
      <c r="D2607" s="115" t="inlineStr">
        <is>
          <t>34 AR 7743</t>
        </is>
      </c>
      <c r="E2607" s="115" t="inlineStr">
        <is>
          <t>MEHMET SELİM</t>
        </is>
      </c>
      <c r="F2607" s="115" t="n">
        <v>382000</v>
      </c>
      <c r="G2607" s="156" t="n"/>
      <c r="H2607" s="152" t="n">
        <v>67</v>
      </c>
      <c r="I2607" s="156" t="n"/>
      <c r="J2607" s="90" t="n"/>
      <c r="K2607" s="166" t="n"/>
      <c r="L2607" s="158" t="n"/>
      <c r="M2607" s="159" t="n"/>
    </row>
    <row r="2608">
      <c r="A2608" s="114" t="n">
        <v>46192</v>
      </c>
      <c r="B2608" s="115" t="n">
        <v>677</v>
      </c>
      <c r="C2608" s="115" t="inlineStr">
        <is>
          <t>SELİM İNŞAAT</t>
        </is>
      </c>
      <c r="D2608" s="115" t="inlineStr">
        <is>
          <t xml:space="preserve">34 GU 945 </t>
        </is>
      </c>
      <c r="E2608" s="115" t="inlineStr">
        <is>
          <t>TURAN SEVİNDİK</t>
        </is>
      </c>
      <c r="F2608" s="115" t="n">
        <v>481437</v>
      </c>
      <c r="G2608" s="156" t="n"/>
      <c r="H2608" s="152" t="n">
        <v>66</v>
      </c>
      <c r="I2608" s="156" t="n"/>
      <c r="J2608" s="90" t="n"/>
      <c r="K2608" s="166" t="n"/>
      <c r="L2608" s="158" t="n"/>
      <c r="M2608" s="159" t="n"/>
    </row>
    <row r="2609">
      <c r="A2609" s="114" t="n">
        <v>46194</v>
      </c>
      <c r="B2609" s="115" t="n">
        <v>678</v>
      </c>
      <c r="C2609" s="115" t="inlineStr">
        <is>
          <t>SELİM İNŞAAT</t>
        </is>
      </c>
      <c r="D2609" s="115" t="inlineStr">
        <is>
          <t xml:space="preserve">34 GU 945 </t>
        </is>
      </c>
      <c r="E2609" s="115" t="inlineStr">
        <is>
          <t>TURAN SEVİNDİK</t>
        </is>
      </c>
      <c r="F2609" s="115" t="n">
        <v>481640</v>
      </c>
      <c r="G2609" s="156" t="n"/>
      <c r="H2609" s="152" t="n">
        <v>61</v>
      </c>
      <c r="I2609" s="156" t="n"/>
      <c r="J2609" s="90" t="n"/>
      <c r="K2609" s="166" t="n"/>
      <c r="L2609" s="158" t="n"/>
      <c r="M2609" s="159" t="n"/>
    </row>
    <row r="2610">
      <c r="A2610" s="114" t="n">
        <v>46196</v>
      </c>
      <c r="B2610" s="115" t="n">
        <v>679</v>
      </c>
      <c r="C2610" s="115" t="inlineStr">
        <is>
          <t>SELİM İNŞAAT</t>
        </is>
      </c>
      <c r="D2610" s="115" t="inlineStr">
        <is>
          <t xml:space="preserve">34 GU 945 </t>
        </is>
      </c>
      <c r="E2610" s="115" t="inlineStr">
        <is>
          <t>TURAN SEVİNDİK</t>
        </is>
      </c>
      <c r="F2610" s="115" t="n">
        <v>481938</v>
      </c>
      <c r="G2610" s="156" t="n"/>
      <c r="H2610" s="152" t="n">
        <v>65</v>
      </c>
      <c r="I2610" s="156" t="n"/>
      <c r="J2610" s="90" t="n"/>
      <c r="K2610" s="166" t="n"/>
      <c r="L2610" s="158" t="n"/>
      <c r="M2610" s="159" t="n"/>
    </row>
    <row r="2611">
      <c r="A2611" s="114" t="n">
        <v>46197</v>
      </c>
      <c r="B2611" s="115" t="n">
        <v>680</v>
      </c>
      <c r="C2611" s="115" t="inlineStr">
        <is>
          <t>SELİM İNŞAAT</t>
        </is>
      </c>
      <c r="D2611" s="115" t="inlineStr">
        <is>
          <t xml:space="preserve">34 GU 945 </t>
        </is>
      </c>
      <c r="E2611" s="115" t="inlineStr">
        <is>
          <t>TURAN SEVİNDİK</t>
        </is>
      </c>
      <c r="F2611" s="115" t="n">
        <v>482197</v>
      </c>
      <c r="G2611" s="156" t="n"/>
      <c r="H2611" s="152" t="n">
        <v>60</v>
      </c>
      <c r="I2611" s="156" t="n"/>
      <c r="J2611" s="90" t="n"/>
      <c r="K2611" s="166" t="n"/>
      <c r="L2611" s="158" t="n"/>
      <c r="M2611" s="159" t="n"/>
    </row>
    <row r="2612">
      <c r="A2612" s="114" t="n">
        <v>46198</v>
      </c>
      <c r="B2612" s="115" t="n">
        <v>681</v>
      </c>
      <c r="C2612" s="115" t="inlineStr">
        <is>
          <t>SELİM İNŞAAT</t>
        </is>
      </c>
      <c r="D2612" s="115" t="inlineStr">
        <is>
          <t xml:space="preserve">34 GU 945 </t>
        </is>
      </c>
      <c r="E2612" s="115" t="inlineStr">
        <is>
          <t>TURAN SEVİNDİK</t>
        </is>
      </c>
      <c r="F2612" s="115" t="n">
        <v>482515</v>
      </c>
      <c r="G2612" s="156" t="n"/>
      <c r="H2612" s="152" t="n">
        <v>59</v>
      </c>
      <c r="I2612" s="156" t="n"/>
      <c r="J2612" s="90" t="n"/>
      <c r="K2612" s="166" t="n"/>
      <c r="L2612" s="158" t="n"/>
      <c r="M2612" s="159" t="n"/>
    </row>
    <row r="2613">
      <c r="A2613" s="114" t="n">
        <v>46203</v>
      </c>
      <c r="B2613" s="115" t="n">
        <v>682</v>
      </c>
      <c r="C2613" s="115" t="inlineStr">
        <is>
          <t>SELİM İNŞAAT</t>
        </is>
      </c>
      <c r="D2613" s="115" t="inlineStr">
        <is>
          <t xml:space="preserve">34 GU 945 </t>
        </is>
      </c>
      <c r="E2613" s="115" t="inlineStr">
        <is>
          <t>TURAN SEVİNDİK</t>
        </is>
      </c>
      <c r="F2613" s="115" t="n">
        <v>482908</v>
      </c>
      <c r="G2613" s="156" t="n"/>
      <c r="H2613" s="152" t="n">
        <v>67</v>
      </c>
      <c r="I2613" s="156" t="n"/>
      <c r="J2613" s="90" t="n"/>
      <c r="K2613" s="166" t="n"/>
      <c r="L2613" s="158" t="n"/>
      <c r="M2613" s="159" t="n"/>
    </row>
    <row r="2614">
      <c r="A2614" s="114" t="n">
        <v>46189</v>
      </c>
      <c r="B2614" s="115" t="n">
        <v>567</v>
      </c>
      <c r="C2614" s="115" t="inlineStr">
        <is>
          <t>SELİM İNŞAAT</t>
        </is>
      </c>
      <c r="D2614" s="115" t="inlineStr">
        <is>
          <t>34 JGR 15</t>
        </is>
      </c>
      <c r="E2614" s="115" t="inlineStr">
        <is>
          <t>ÖNER DÜNDAR</t>
        </is>
      </c>
      <c r="F2614" s="115" t="n">
        <v>338210</v>
      </c>
      <c r="G2614" s="156" t="n"/>
      <c r="H2614" s="152" t="n">
        <v>56</v>
      </c>
      <c r="I2614" s="156" t="n"/>
      <c r="J2614" s="90" t="n"/>
      <c r="K2614" s="166" t="n"/>
      <c r="L2614" s="158" t="n"/>
      <c r="M2614" s="159" t="n"/>
    </row>
    <row r="2615">
      <c r="A2615" s="114" t="n">
        <v>46198</v>
      </c>
      <c r="B2615" s="115" t="n">
        <v>568</v>
      </c>
      <c r="C2615" s="115" t="inlineStr">
        <is>
          <t>SELİM İNŞAAT</t>
        </is>
      </c>
      <c r="D2615" s="115" t="inlineStr">
        <is>
          <t>34 JGR 15</t>
        </is>
      </c>
      <c r="E2615" s="115" t="inlineStr">
        <is>
          <t>ÖNER DÜNDAR</t>
        </is>
      </c>
      <c r="F2615" s="115" t="n">
        <v>338647</v>
      </c>
      <c r="G2615" s="156" t="n"/>
      <c r="H2615" s="152" t="n">
        <v>66</v>
      </c>
      <c r="I2615" s="156" t="n"/>
      <c r="J2615" s="90" t="n"/>
      <c r="K2615" s="166" t="n"/>
      <c r="L2615" s="158" t="n"/>
      <c r="M2615" s="159" t="n"/>
    </row>
    <row r="2616">
      <c r="A2616" s="114" t="n">
        <v>46201</v>
      </c>
      <c r="B2616" s="115" t="n">
        <v>569</v>
      </c>
      <c r="C2616" s="115" t="inlineStr">
        <is>
          <t>SELİM İNŞAAT</t>
        </is>
      </c>
      <c r="D2616" s="115" t="inlineStr">
        <is>
          <t>34 JGR 15</t>
        </is>
      </c>
      <c r="E2616" s="115" t="inlineStr">
        <is>
          <t>ÖNER DÜNDAR</t>
        </is>
      </c>
      <c r="F2616" s="115" t="n">
        <v>338892</v>
      </c>
      <c r="G2616" s="156" t="n"/>
      <c r="H2616" s="152" t="n">
        <v>64</v>
      </c>
      <c r="I2616" s="156" t="n"/>
      <c r="J2616" s="90" t="n"/>
      <c r="K2616" s="166" t="n"/>
      <c r="L2616" s="158" t="n"/>
      <c r="M2616" s="159" t="n"/>
    </row>
    <row r="2617">
      <c r="A2617" s="114" t="n">
        <v>46202</v>
      </c>
      <c r="B2617" s="115" t="n">
        <v>570</v>
      </c>
      <c r="C2617" s="115" t="inlineStr">
        <is>
          <t>SELİM İNŞAAT</t>
        </is>
      </c>
      <c r="D2617" s="115" t="inlineStr">
        <is>
          <t>34 JGR 15</t>
        </is>
      </c>
      <c r="E2617" s="115" t="inlineStr">
        <is>
          <t>ÖNER DÜNDAR</t>
        </is>
      </c>
      <c r="F2617" s="115" t="n">
        <v>339097</v>
      </c>
      <c r="G2617" s="156" t="n"/>
      <c r="H2617" s="152" t="n">
        <v>54</v>
      </c>
      <c r="I2617" s="156" t="n"/>
      <c r="J2617" s="90" t="n"/>
      <c r="K2617" s="166" t="n"/>
      <c r="L2617" s="158" t="n"/>
      <c r="M2617" s="159" t="n"/>
    </row>
    <row r="2618">
      <c r="A2618" s="114" t="n">
        <v>46193</v>
      </c>
      <c r="B2618" s="115" t="n">
        <v>1913</v>
      </c>
      <c r="C2618" s="115" t="inlineStr">
        <is>
          <t>SELİM İNŞAAT</t>
        </is>
      </c>
      <c r="D2618" s="115" t="inlineStr">
        <is>
          <t>34 FEM 934</t>
        </is>
      </c>
      <c r="E2618" s="115" t="inlineStr">
        <is>
          <t>SELİMCAN ÖNVER</t>
        </is>
      </c>
      <c r="F2618" s="115" t="n">
        <v>342227</v>
      </c>
      <c r="G2618" s="156" t="n"/>
      <c r="H2618" s="152" t="n">
        <v>66</v>
      </c>
      <c r="I2618" s="156" t="n"/>
      <c r="J2618" s="90" t="n"/>
      <c r="K2618" s="166" t="n"/>
      <c r="L2618" s="158" t="n"/>
      <c r="M2618" s="159" t="n"/>
    </row>
    <row r="2619">
      <c r="A2619" s="114" t="n">
        <v>46196</v>
      </c>
      <c r="B2619" s="115" t="n">
        <v>1914</v>
      </c>
      <c r="C2619" s="115" t="inlineStr">
        <is>
          <t>SELİM İNŞAAT</t>
        </is>
      </c>
      <c r="D2619" s="115" t="inlineStr">
        <is>
          <t>34 FEM 934</t>
        </is>
      </c>
      <c r="E2619" s="115" t="inlineStr">
        <is>
          <t>SELİMCAN ÖNVER</t>
        </is>
      </c>
      <c r="F2619" s="115" t="n">
        <v>342566</v>
      </c>
      <c r="G2619" s="156" t="n"/>
      <c r="H2619" s="152" t="n">
        <v>69</v>
      </c>
      <c r="I2619" s="156" t="n"/>
      <c r="J2619" s="90" t="n"/>
      <c r="K2619" s="166" t="n"/>
      <c r="L2619" s="158" t="n"/>
      <c r="M2619" s="159" t="n"/>
    </row>
    <row r="2620">
      <c r="A2620" s="114" t="n">
        <v>46201</v>
      </c>
      <c r="B2620" s="115" t="n">
        <v>1915</v>
      </c>
      <c r="C2620" s="115" t="inlineStr">
        <is>
          <t>SELİM İNŞAAT</t>
        </is>
      </c>
      <c r="D2620" s="115" t="inlineStr">
        <is>
          <t>34 FEM 934</t>
        </is>
      </c>
      <c r="E2620" s="115" t="inlineStr">
        <is>
          <t>SELİMCAN ÖNVER</t>
        </is>
      </c>
      <c r="F2620" s="115" t="n">
        <v>342889</v>
      </c>
      <c r="G2620" s="156" t="n"/>
      <c r="H2620" s="152" t="n">
        <v>65</v>
      </c>
      <c r="I2620" s="156" t="n"/>
      <c r="J2620" s="90" t="n"/>
      <c r="K2620" s="166" t="n"/>
      <c r="L2620" s="158" t="n"/>
      <c r="M2620" s="159" t="n"/>
    </row>
    <row r="2621">
      <c r="A2621" s="114" t="n">
        <v>46192</v>
      </c>
      <c r="B2621" s="115" t="n">
        <v>1649</v>
      </c>
      <c r="C2621" s="115" t="inlineStr">
        <is>
          <t>SELİM İNŞAAT</t>
        </is>
      </c>
      <c r="D2621" s="115" t="inlineStr">
        <is>
          <t>34 VF 2620</t>
        </is>
      </c>
      <c r="E2621" s="115" t="inlineStr">
        <is>
          <t>RECEP SELİM</t>
        </is>
      </c>
      <c r="F2621" s="115" t="n">
        <v>208549</v>
      </c>
      <c r="G2621" s="156" t="n"/>
      <c r="H2621" s="152" t="n">
        <v>67</v>
      </c>
      <c r="I2621" s="156" t="n"/>
      <c r="J2621" s="90" t="n"/>
      <c r="K2621" s="166" t="n"/>
      <c r="L2621" s="158" t="n"/>
      <c r="M2621" s="159" t="n"/>
    </row>
    <row r="2622">
      <c r="A2622" s="114" t="n">
        <v>46198</v>
      </c>
      <c r="B2622" s="115" t="n">
        <v>1650</v>
      </c>
      <c r="C2622" s="115" t="inlineStr">
        <is>
          <t>SELİM İNŞAAT</t>
        </is>
      </c>
      <c r="D2622" s="115" t="inlineStr">
        <is>
          <t>34 VF 2620</t>
        </is>
      </c>
      <c r="E2622" s="115" t="inlineStr">
        <is>
          <t>RECEP SELİM</t>
        </is>
      </c>
      <c r="F2622" s="115" t="n">
        <v>208940</v>
      </c>
      <c r="G2622" s="156" t="n"/>
      <c r="H2622" s="152" t="n">
        <v>69</v>
      </c>
      <c r="I2622" s="156" t="n"/>
      <c r="J2622" s="90" t="n"/>
      <c r="K2622" s="166" t="n"/>
      <c r="L2622" s="158" t="n"/>
      <c r="M2622" s="159" t="n"/>
    </row>
    <row r="2623">
      <c r="A2623" s="114" t="n">
        <v>46200</v>
      </c>
      <c r="B2623" s="115" t="n">
        <v>1651</v>
      </c>
      <c r="C2623" s="115" t="inlineStr">
        <is>
          <t>SELİM İNŞAAT</t>
        </is>
      </c>
      <c r="D2623" s="115" t="inlineStr">
        <is>
          <t>34 VF 2620</t>
        </is>
      </c>
      <c r="E2623" s="115" t="inlineStr">
        <is>
          <t>RECEP SELİM</t>
        </is>
      </c>
      <c r="F2623" s="115" t="n">
        <v>209333</v>
      </c>
      <c r="G2623" s="156" t="n"/>
      <c r="H2623" s="152" t="n">
        <v>65</v>
      </c>
      <c r="I2623" s="156" t="n"/>
      <c r="J2623" s="90" t="n"/>
      <c r="K2623" s="166" t="n"/>
      <c r="L2623" s="158" t="n"/>
      <c r="M2623" s="159" t="n"/>
    </row>
    <row r="2624">
      <c r="A2624" s="114" t="n">
        <v>46195</v>
      </c>
      <c r="B2624" s="115" t="n">
        <v>1783</v>
      </c>
      <c r="C2624" s="115" t="inlineStr">
        <is>
          <t>SELİM İNŞAAT</t>
        </is>
      </c>
      <c r="D2624" s="115" t="inlineStr">
        <is>
          <t>34 JBA 25</t>
        </is>
      </c>
      <c r="E2624" s="115" t="inlineStr">
        <is>
          <t>BAYRAM</t>
        </is>
      </c>
      <c r="F2624" s="115" t="n">
        <v>352237</v>
      </c>
      <c r="G2624" s="156" t="n"/>
      <c r="H2624" s="152" t="n">
        <v>68</v>
      </c>
      <c r="I2624" s="156" t="n"/>
      <c r="J2624" s="90" t="n"/>
      <c r="K2624" s="166" t="n"/>
      <c r="L2624" s="158" t="n"/>
      <c r="M2624" s="159" t="n"/>
    </row>
    <row r="2625">
      <c r="A2625" s="114" t="n">
        <v>46203</v>
      </c>
      <c r="B2625" s="115" t="n">
        <v>1784</v>
      </c>
      <c r="C2625" s="115" t="inlineStr">
        <is>
          <t>SELİM İNŞAAT</t>
        </is>
      </c>
      <c r="D2625" s="115" t="inlineStr">
        <is>
          <t>34 JBA 25</t>
        </is>
      </c>
      <c r="E2625" s="115" t="inlineStr">
        <is>
          <t>BAYRAM</t>
        </is>
      </c>
      <c r="F2625" s="115" t="n">
        <v>352683</v>
      </c>
      <c r="G2625" s="156" t="n"/>
      <c r="H2625" s="152" t="n">
        <v>67</v>
      </c>
      <c r="I2625" s="156" t="n"/>
      <c r="J2625" s="90" t="n"/>
      <c r="K2625" s="166" t="n"/>
      <c r="L2625" s="158" t="n"/>
      <c r="M2625" s="159" t="n"/>
    </row>
    <row r="2626">
      <c r="A2626" s="114" t="n">
        <v>46196</v>
      </c>
      <c r="B2626" s="115" t="n">
        <v>11179</v>
      </c>
      <c r="C2626" s="115" t="inlineStr">
        <is>
          <t>SELİM İNŞAAT</t>
        </is>
      </c>
      <c r="D2626" s="115" t="inlineStr">
        <is>
          <t>34 HZ 1663</t>
        </is>
      </c>
      <c r="E2626" s="115" t="inlineStr">
        <is>
          <t>FATİH ÖZPOLAT</t>
        </is>
      </c>
      <c r="F2626" s="115" t="n">
        <v>529975</v>
      </c>
      <c r="G2626" s="156" t="n"/>
      <c r="H2626" s="152" t="n">
        <v>590</v>
      </c>
      <c r="I2626" s="156" t="n"/>
      <c r="J2626" s="90" t="n"/>
      <c r="K2626" s="166" t="n"/>
      <c r="L2626" s="158" t="n"/>
      <c r="M2626" s="159" t="n"/>
    </row>
    <row r="2627">
      <c r="A2627" s="114" t="n">
        <v>46199</v>
      </c>
      <c r="B2627" s="115" t="n">
        <v>210</v>
      </c>
      <c r="C2627" s="115" t="inlineStr">
        <is>
          <t>SELİM İNŞAAT</t>
        </is>
      </c>
      <c r="D2627" s="115" t="inlineStr">
        <is>
          <t>34 DSN 536</t>
        </is>
      </c>
      <c r="E2627" s="115" t="inlineStr">
        <is>
          <t>ADNAN KOÇ</t>
        </is>
      </c>
      <c r="F2627" s="115" t="n">
        <v>448297</v>
      </c>
      <c r="G2627" s="156" t="n"/>
      <c r="H2627" s="152" t="n">
        <v>590</v>
      </c>
      <c r="I2627" s="156" t="n"/>
      <c r="J2627" s="90" t="n"/>
      <c r="K2627" s="166" t="n"/>
      <c r="L2627" s="158" t="n"/>
      <c r="M2627" s="159" t="n"/>
    </row>
    <row r="2628">
      <c r="A2628" s="114" t="n">
        <v>46202</v>
      </c>
      <c r="B2628" s="115" t="n">
        <v>211</v>
      </c>
      <c r="C2628" s="115" t="inlineStr">
        <is>
          <t>SELİM İNŞAAT</t>
        </is>
      </c>
      <c r="D2628" s="115" t="inlineStr">
        <is>
          <t>34 DSN 536</t>
        </is>
      </c>
      <c r="E2628" s="115" t="inlineStr">
        <is>
          <t>ADNAN KOÇ</t>
        </is>
      </c>
      <c r="F2628" s="115" t="n">
        <v>448756</v>
      </c>
      <c r="G2628" s="156" t="n"/>
      <c r="H2628" s="152" t="n">
        <v>358</v>
      </c>
      <c r="I2628" s="156" t="n"/>
      <c r="J2628" s="90" t="n"/>
      <c r="K2628" s="166" t="n"/>
      <c r="L2628" s="158" t="n"/>
      <c r="M2628" s="159" t="n"/>
    </row>
    <row r="2629">
      <c r="A2629" s="114" t="n">
        <v>46189</v>
      </c>
      <c r="B2629" s="115" t="n">
        <v>876</v>
      </c>
      <c r="C2629" s="115" t="inlineStr">
        <is>
          <t>SELİM İNŞAAT</t>
        </is>
      </c>
      <c r="D2629" s="115" t="inlineStr">
        <is>
          <t>34 EGR 922</t>
        </is>
      </c>
      <c r="E2629" s="115" t="inlineStr">
        <is>
          <t>FARUK ÖZEN</t>
        </is>
      </c>
      <c r="F2629" s="115" t="n">
        <v>523467</v>
      </c>
      <c r="G2629" s="156" t="n"/>
      <c r="H2629" s="152" t="n">
        <v>486</v>
      </c>
      <c r="I2629" s="156" t="n"/>
      <c r="J2629" s="90" t="n"/>
      <c r="K2629" s="166" t="n"/>
      <c r="L2629" s="158" t="n"/>
      <c r="M2629" s="159" t="n"/>
    </row>
    <row r="2630">
      <c r="A2630" s="114" t="n">
        <v>46195</v>
      </c>
      <c r="B2630" s="115" t="n">
        <v>877</v>
      </c>
      <c r="C2630" s="115" t="inlineStr">
        <is>
          <t>SELİM İNŞAAT</t>
        </is>
      </c>
      <c r="D2630" s="115" t="inlineStr">
        <is>
          <t>34 EGR 922</t>
        </is>
      </c>
      <c r="E2630" s="115" t="inlineStr">
        <is>
          <t>FARUK ÖZEN</t>
        </is>
      </c>
      <c r="F2630" s="115" t="n">
        <v>524061</v>
      </c>
      <c r="G2630" s="156" t="n"/>
      <c r="H2630" s="152" t="n">
        <v>455</v>
      </c>
      <c r="I2630" s="156" t="n"/>
      <c r="J2630" s="90" t="n"/>
      <c r="K2630" s="166" t="n"/>
      <c r="L2630" s="158" t="n"/>
      <c r="M2630" s="159" t="n"/>
    </row>
    <row r="2631">
      <c r="A2631" s="114" t="n">
        <v>46191</v>
      </c>
      <c r="B2631" s="115" t="n">
        <v>4313</v>
      </c>
      <c r="C2631" s="115" t="inlineStr">
        <is>
          <t>SELİM İNŞAAT</t>
        </is>
      </c>
      <c r="D2631" s="115" t="inlineStr">
        <is>
          <t>34 DTV 447</t>
        </is>
      </c>
      <c r="E2631" s="115" t="inlineStr">
        <is>
          <t>DURSUN ALİ GÜREK</t>
        </is>
      </c>
      <c r="F2631" s="115" t="n">
        <v>466875</v>
      </c>
      <c r="G2631" s="156" t="n"/>
      <c r="H2631" s="152" t="n">
        <v>490</v>
      </c>
      <c r="I2631" s="156" t="n"/>
      <c r="J2631" s="90" t="n"/>
      <c r="K2631" s="166" t="n"/>
      <c r="L2631" s="158" t="n"/>
      <c r="M2631" s="159" t="n"/>
    </row>
    <row r="2632">
      <c r="A2632" s="114" t="n">
        <v>46203</v>
      </c>
      <c r="B2632" s="115" t="n">
        <v>4314</v>
      </c>
      <c r="C2632" s="115" t="inlineStr">
        <is>
          <t>SELİM İNŞAAT</t>
        </is>
      </c>
      <c r="D2632" s="115" t="inlineStr">
        <is>
          <t>34 DTV 447</t>
        </is>
      </c>
      <c r="E2632" s="115" t="inlineStr">
        <is>
          <t>DURSUN ALİ GÜREK</t>
        </is>
      </c>
      <c r="F2632" s="115" t="n">
        <v>467442</v>
      </c>
      <c r="G2632" s="156" t="n"/>
      <c r="H2632" s="152" t="n">
        <v>447</v>
      </c>
      <c r="I2632" s="156" t="n"/>
      <c r="J2632" s="90" t="n"/>
      <c r="K2632" s="166" t="n"/>
      <c r="L2632" s="158" t="n"/>
      <c r="M2632" s="159" t="n"/>
    </row>
    <row r="2633">
      <c r="A2633" s="114" t="n">
        <v>46190</v>
      </c>
      <c r="B2633" s="115" t="n">
        <v>1069</v>
      </c>
      <c r="C2633" s="115" t="inlineStr">
        <is>
          <t>SELİM İNŞAAT</t>
        </is>
      </c>
      <c r="D2633" s="115" t="inlineStr">
        <is>
          <t>34 FBR 781</t>
        </is>
      </c>
      <c r="E2633" s="115" t="inlineStr">
        <is>
          <t>MEVLÜT POLAT</t>
        </is>
      </c>
      <c r="F2633" s="115" t="n">
        <v>379151</v>
      </c>
      <c r="G2633" s="156" t="n"/>
      <c r="H2633" s="152" t="n">
        <v>523</v>
      </c>
      <c r="I2633" s="156" t="n"/>
      <c r="J2633" s="90" t="n"/>
      <c r="K2633" s="166" t="n"/>
      <c r="L2633" s="158" t="n"/>
      <c r="M2633" s="159" t="n"/>
    </row>
    <row r="2634">
      <c r="A2634" s="114" t="n">
        <v>46192</v>
      </c>
      <c r="B2634" s="115" t="n">
        <v>1070</v>
      </c>
      <c r="C2634" s="115" t="inlineStr">
        <is>
          <t>SELİM İNŞAAT</t>
        </is>
      </c>
      <c r="D2634" s="115" t="inlineStr">
        <is>
          <t>34 FBR 781</t>
        </is>
      </c>
      <c r="E2634" s="115" t="inlineStr">
        <is>
          <t>MEVLÜT POLAT</t>
        </is>
      </c>
      <c r="F2634" s="115" t="n">
        <v>379746</v>
      </c>
      <c r="G2634" s="156" t="n"/>
      <c r="H2634" s="152" t="n">
        <v>459</v>
      </c>
      <c r="I2634" s="156" t="n"/>
      <c r="J2634" s="90" t="n"/>
      <c r="K2634" s="166" t="n"/>
      <c r="L2634" s="158" t="n"/>
      <c r="M2634" s="159" t="n"/>
    </row>
    <row r="2635">
      <c r="A2635" s="114" t="n">
        <v>46193</v>
      </c>
      <c r="B2635" s="115" t="n">
        <v>1071</v>
      </c>
      <c r="C2635" s="115" t="inlineStr">
        <is>
          <t>SELİM İNŞAAT</t>
        </is>
      </c>
      <c r="D2635" s="115" t="inlineStr">
        <is>
          <t>34 FBR 781</t>
        </is>
      </c>
      <c r="E2635" s="115" t="inlineStr">
        <is>
          <t>MEVLÜT POLAT</t>
        </is>
      </c>
      <c r="F2635" s="115" t="n">
        <v>380216</v>
      </c>
      <c r="G2635" s="156" t="n"/>
      <c r="H2635" s="152" t="n">
        <v>340</v>
      </c>
      <c r="I2635" s="156" t="n"/>
      <c r="J2635" s="90" t="n"/>
      <c r="K2635" s="166" t="n"/>
      <c r="L2635" s="158" t="n"/>
      <c r="M2635" s="159" t="n"/>
    </row>
    <row r="2636">
      <c r="A2636" s="114" t="n">
        <v>46196</v>
      </c>
      <c r="B2636" s="115" t="n">
        <v>1072</v>
      </c>
      <c r="C2636" s="115" t="inlineStr">
        <is>
          <t>SELİM İNŞAAT</t>
        </is>
      </c>
      <c r="D2636" s="115" t="inlineStr">
        <is>
          <t>34 FBR 781</t>
        </is>
      </c>
      <c r="E2636" s="115" t="inlineStr">
        <is>
          <t>MEVLÜT POLAT</t>
        </is>
      </c>
      <c r="F2636" s="115" t="n">
        <v>381044</v>
      </c>
      <c r="G2636" s="156" t="n"/>
      <c r="H2636" s="152" t="n">
        <v>565</v>
      </c>
      <c r="I2636" s="156" t="n"/>
      <c r="J2636" s="90" t="n"/>
      <c r="K2636" s="166" t="n"/>
      <c r="L2636" s="158" t="n"/>
      <c r="M2636" s="159" t="n"/>
    </row>
    <row r="2637">
      <c r="A2637" s="114" t="n">
        <v>46198</v>
      </c>
      <c r="B2637" s="115" t="n">
        <v>1073</v>
      </c>
      <c r="C2637" s="115" t="inlineStr">
        <is>
          <t>SELİM İNŞAAT</t>
        </is>
      </c>
      <c r="D2637" s="115" t="inlineStr">
        <is>
          <t>34 FBR 781</t>
        </is>
      </c>
      <c r="E2637" s="115" t="inlineStr">
        <is>
          <t>MEVLÜT POLAT</t>
        </is>
      </c>
      <c r="F2637" s="115" t="n">
        <v>381936</v>
      </c>
      <c r="G2637" s="156" t="n"/>
      <c r="H2637" s="152" t="n">
        <v>563</v>
      </c>
      <c r="I2637" s="156" t="n"/>
      <c r="J2637" s="90" t="n"/>
      <c r="K2637" s="166" t="n"/>
      <c r="L2637" s="158" t="n"/>
      <c r="M2637" s="159" t="n"/>
    </row>
    <row r="2638">
      <c r="A2638" s="114" t="n">
        <v>46200</v>
      </c>
      <c r="B2638" s="115" t="n">
        <v>1074</v>
      </c>
      <c r="C2638" s="115" t="inlineStr">
        <is>
          <t>SELİM İNŞAAT</t>
        </is>
      </c>
      <c r="D2638" s="115" t="inlineStr">
        <is>
          <t>34 FBR 781</t>
        </is>
      </c>
      <c r="E2638" s="115" t="inlineStr">
        <is>
          <t>MEVLÜT POLAT</t>
        </is>
      </c>
      <c r="F2638" s="115" t="n">
        <v>382760</v>
      </c>
      <c r="G2638" s="156" t="n"/>
      <c r="H2638" s="152" t="n">
        <v>564</v>
      </c>
      <c r="I2638" s="156" t="n"/>
      <c r="J2638" s="90" t="n"/>
      <c r="K2638" s="166" t="n"/>
      <c r="L2638" s="158" t="n"/>
      <c r="M2638" s="159" t="n"/>
    </row>
    <row r="2639">
      <c r="A2639" s="114" t="n">
        <v>46202</v>
      </c>
      <c r="B2639" s="115" t="n">
        <v>1075</v>
      </c>
      <c r="C2639" s="115" t="inlineStr">
        <is>
          <t>SELİM İNŞAAT</t>
        </is>
      </c>
      <c r="D2639" s="115" t="inlineStr">
        <is>
          <t>34 FBR 781</t>
        </is>
      </c>
      <c r="E2639" s="115" t="inlineStr">
        <is>
          <t>MEVLÜT POLAT</t>
        </is>
      </c>
      <c r="F2639" s="115" t="n">
        <v>383637</v>
      </c>
      <c r="G2639" s="156" t="n"/>
      <c r="H2639" s="152" t="n">
        <v>541</v>
      </c>
      <c r="I2639" s="156" t="n"/>
      <c r="J2639" s="90" t="n"/>
      <c r="K2639" s="166" t="n"/>
      <c r="L2639" s="158" t="n"/>
      <c r="M2639" s="159" t="n"/>
    </row>
    <row r="2640">
      <c r="A2640" s="114" t="n">
        <v>46190</v>
      </c>
      <c r="B2640" s="115" t="n">
        <v>1768</v>
      </c>
      <c r="C2640" s="115" t="inlineStr">
        <is>
          <t>SELİM İNŞAAT</t>
        </is>
      </c>
      <c r="D2640" s="115" t="inlineStr">
        <is>
          <t>34 EDC 086</t>
        </is>
      </c>
      <c r="E2640" s="115" t="inlineStr">
        <is>
          <t>İRFAN DAĞLAR</t>
        </is>
      </c>
      <c r="F2640" s="115" t="n">
        <v>392834</v>
      </c>
      <c r="G2640" s="156" t="n"/>
      <c r="H2640" s="152" t="n">
        <v>401</v>
      </c>
      <c r="I2640" s="156" t="n"/>
      <c r="J2640" s="90" t="n"/>
      <c r="K2640" s="166" t="n"/>
      <c r="L2640" s="158" t="n"/>
      <c r="M2640" s="159" t="n"/>
    </row>
    <row r="2641">
      <c r="A2641" s="114" t="n">
        <v>46193</v>
      </c>
      <c r="B2641" s="115" t="n">
        <v>1769</v>
      </c>
      <c r="C2641" s="115" t="inlineStr">
        <is>
          <t>SELİM İNŞAAT</t>
        </is>
      </c>
      <c r="D2641" s="115" t="inlineStr">
        <is>
          <t>34 EDC 086</t>
        </is>
      </c>
      <c r="E2641" s="115" t="inlineStr">
        <is>
          <t>İRFAN DAĞLAR</t>
        </is>
      </c>
      <c r="F2641" s="115" t="n">
        <v>393578</v>
      </c>
      <c r="G2641" s="156" t="n"/>
      <c r="H2641" s="152" t="n">
        <v>517</v>
      </c>
      <c r="I2641" s="156" t="n"/>
      <c r="J2641" s="90" t="n"/>
      <c r="K2641" s="166" t="n"/>
      <c r="L2641" s="158" t="n"/>
      <c r="M2641" s="159" t="n"/>
    </row>
    <row r="2642">
      <c r="A2642" s="114" t="n">
        <v>46196</v>
      </c>
      <c r="B2642" s="115" t="n">
        <v>1770</v>
      </c>
      <c r="C2642" s="115" t="inlineStr">
        <is>
          <t>SELİM İNŞAAT</t>
        </is>
      </c>
      <c r="D2642" s="115" t="inlineStr">
        <is>
          <t>34 EDC 086</t>
        </is>
      </c>
      <c r="E2642" s="115" t="inlineStr">
        <is>
          <t>İRFAN DAĞLAR</t>
        </is>
      </c>
      <c r="F2642" s="115" t="n">
        <v>394071</v>
      </c>
      <c r="G2642" s="156" t="n"/>
      <c r="H2642" s="152" t="n">
        <v>462</v>
      </c>
      <c r="I2642" s="156" t="n"/>
      <c r="J2642" s="90" t="n"/>
      <c r="K2642" s="166" t="n"/>
      <c r="L2642" s="158" t="n"/>
      <c r="M2642" s="159" t="n"/>
    </row>
    <row r="2643">
      <c r="A2643" s="114" t="n">
        <v>46197</v>
      </c>
      <c r="B2643" s="115" t="n">
        <v>1771</v>
      </c>
      <c r="C2643" s="115" t="inlineStr">
        <is>
          <t>SELİM İNŞAAT</t>
        </is>
      </c>
      <c r="D2643" s="115" t="inlineStr">
        <is>
          <t>34 EDC 086</t>
        </is>
      </c>
      <c r="E2643" s="115" t="inlineStr">
        <is>
          <t>İRFAN DAĞLAR</t>
        </is>
      </c>
      <c r="F2643" s="115" t="n">
        <v>394776</v>
      </c>
      <c r="G2643" s="156" t="n"/>
      <c r="H2643" s="152" t="n">
        <v>363</v>
      </c>
      <c r="I2643" s="156" t="n"/>
      <c r="J2643" s="90" t="n"/>
      <c r="K2643" s="166" t="n"/>
      <c r="L2643" s="158" t="n"/>
      <c r="M2643" s="159" t="n"/>
    </row>
    <row r="2644">
      <c r="A2644" s="114" t="n">
        <v>46199</v>
      </c>
      <c r="B2644" s="115" t="n">
        <v>1772</v>
      </c>
      <c r="C2644" s="115" t="inlineStr">
        <is>
          <t>SELİM İNŞAAT</t>
        </is>
      </c>
      <c r="D2644" s="115" t="inlineStr">
        <is>
          <t>34 EDC 086</t>
        </is>
      </c>
      <c r="E2644" s="115" t="inlineStr">
        <is>
          <t>İRFAN DAĞLAR</t>
        </is>
      </c>
      <c r="F2644" s="115" t="n">
        <v>395396</v>
      </c>
      <c r="G2644" s="156" t="n"/>
      <c r="H2644" s="152" t="n">
        <v>422</v>
      </c>
      <c r="I2644" s="156" t="n"/>
      <c r="J2644" s="90" t="n"/>
      <c r="K2644" s="166" t="n"/>
      <c r="L2644" s="158" t="n"/>
      <c r="M2644" s="159" t="n"/>
    </row>
    <row r="2645">
      <c r="A2645" s="114" t="n">
        <v>46201</v>
      </c>
      <c r="B2645" s="115" t="n">
        <v>1773</v>
      </c>
      <c r="C2645" s="115" t="inlineStr">
        <is>
          <t>SELİM İNŞAAT</t>
        </is>
      </c>
      <c r="D2645" s="115" t="inlineStr">
        <is>
          <t>34 EDC 086</t>
        </is>
      </c>
      <c r="E2645" s="115" t="inlineStr">
        <is>
          <t>İRFAN DAĞLAR</t>
        </is>
      </c>
      <c r="F2645" s="115" t="n">
        <v>396035</v>
      </c>
      <c r="G2645" s="156" t="n"/>
      <c r="H2645" s="152" t="n">
        <v>426</v>
      </c>
      <c r="I2645" s="156" t="n"/>
      <c r="J2645" s="90" t="n"/>
      <c r="K2645" s="166" t="n"/>
      <c r="L2645" s="158" t="n"/>
      <c r="M2645" s="159" t="n"/>
    </row>
    <row r="2646">
      <c r="A2646" s="114" t="n">
        <v>46202</v>
      </c>
      <c r="B2646" s="115" t="n">
        <v>1774</v>
      </c>
      <c r="C2646" s="115" t="inlineStr">
        <is>
          <t>SELİM İNŞAAT</t>
        </is>
      </c>
      <c r="D2646" s="115" t="inlineStr">
        <is>
          <t>34 EDC 086</t>
        </is>
      </c>
      <c r="E2646" s="115" t="inlineStr">
        <is>
          <t>İRFAN DAĞLAR</t>
        </is>
      </c>
      <c r="F2646" s="115" t="n">
        <v>396499</v>
      </c>
      <c r="G2646" s="156" t="n"/>
      <c r="H2646" s="152" t="n">
        <v>336</v>
      </c>
      <c r="I2646" s="156" t="n"/>
      <c r="J2646" s="90" t="n"/>
      <c r="K2646" s="166" t="n"/>
      <c r="L2646" s="158" t="n"/>
      <c r="M2646" s="159" t="n"/>
    </row>
    <row r="2647">
      <c r="A2647" s="114" t="n">
        <v>46190</v>
      </c>
      <c r="B2647" s="115" t="n">
        <v>3637</v>
      </c>
      <c r="C2647" s="115" t="inlineStr">
        <is>
          <t>SELİM İNŞAAT</t>
        </is>
      </c>
      <c r="D2647" s="115" t="inlineStr">
        <is>
          <t>34 EDB 922</t>
        </is>
      </c>
      <c r="E2647" s="115" t="inlineStr">
        <is>
          <t>SERVET KARANFİL</t>
        </is>
      </c>
      <c r="F2647" s="115" t="n">
        <v>416754</v>
      </c>
      <c r="G2647" s="156" t="n"/>
      <c r="H2647" s="152" t="n">
        <v>549</v>
      </c>
      <c r="I2647" s="156" t="n"/>
      <c r="J2647" s="90" t="n"/>
      <c r="K2647" s="166" t="n"/>
      <c r="L2647" s="158" t="n"/>
      <c r="M2647" s="159" t="n"/>
    </row>
    <row r="2648">
      <c r="A2648" s="114" t="n">
        <v>46192</v>
      </c>
      <c r="B2648" s="115" t="n">
        <v>3638</v>
      </c>
      <c r="C2648" s="115" t="inlineStr">
        <is>
          <t>SELİM İNŞAAT</t>
        </is>
      </c>
      <c r="D2648" s="115" t="inlineStr">
        <is>
          <t>34 EDB 922</t>
        </is>
      </c>
      <c r="E2648" s="115" t="inlineStr">
        <is>
          <t>SERVET KARANFİL</t>
        </is>
      </c>
      <c r="F2648" s="115" t="n">
        <v>417391</v>
      </c>
      <c r="G2648" s="156" t="n"/>
      <c r="H2648" s="152" t="n">
        <v>567</v>
      </c>
      <c r="I2648" s="156" t="n"/>
      <c r="J2648" s="90" t="n"/>
      <c r="K2648" s="166" t="n"/>
      <c r="L2648" s="158" t="n"/>
      <c r="M2648" s="159" t="n"/>
    </row>
    <row r="2649">
      <c r="A2649" s="114" t="n">
        <v>46195</v>
      </c>
      <c r="B2649" s="115" t="n">
        <v>3639</v>
      </c>
      <c r="C2649" s="115" t="inlineStr">
        <is>
          <t>SELİM İNŞAAT</t>
        </is>
      </c>
      <c r="D2649" s="115" t="inlineStr">
        <is>
          <t>34 EDB 922</t>
        </is>
      </c>
      <c r="E2649" s="115" t="inlineStr">
        <is>
          <t>SERVET KARANFİL</t>
        </is>
      </c>
      <c r="F2649" s="115" t="n">
        <v>418108</v>
      </c>
      <c r="G2649" s="156" t="n"/>
      <c r="H2649" s="152" t="n">
        <v>598</v>
      </c>
      <c r="I2649" s="156" t="n"/>
      <c r="J2649" s="90" t="n"/>
      <c r="K2649" s="166" t="n"/>
      <c r="L2649" s="158" t="n"/>
      <c r="M2649" s="159" t="n"/>
    </row>
    <row r="2650">
      <c r="A2650" s="114" t="n">
        <v>46197</v>
      </c>
      <c r="B2650" s="115" t="n">
        <v>3640</v>
      </c>
      <c r="C2650" s="115" t="inlineStr">
        <is>
          <t>SELİM İNŞAAT</t>
        </is>
      </c>
      <c r="D2650" s="115" t="inlineStr">
        <is>
          <t>34 EDB 922</t>
        </is>
      </c>
      <c r="E2650" s="115" t="inlineStr">
        <is>
          <t>SERVET KARANFİL</t>
        </is>
      </c>
      <c r="F2650" s="115" t="n">
        <v>418722</v>
      </c>
      <c r="G2650" s="156" t="n"/>
      <c r="H2650" s="152" t="n">
        <v>505</v>
      </c>
      <c r="I2650" s="156" t="n"/>
      <c r="J2650" s="90" t="n"/>
      <c r="K2650" s="166" t="n"/>
      <c r="L2650" s="158" t="n"/>
      <c r="M2650" s="159" t="n"/>
    </row>
    <row r="2651">
      <c r="A2651" s="114" t="n">
        <v>46199</v>
      </c>
      <c r="B2651" s="115" t="n">
        <v>3641</v>
      </c>
      <c r="C2651" s="115" t="inlineStr">
        <is>
          <t>SELİM İNŞAAT</t>
        </is>
      </c>
      <c r="D2651" s="115" t="inlineStr">
        <is>
          <t>34 EDB 922</t>
        </is>
      </c>
      <c r="E2651" s="115" t="inlineStr">
        <is>
          <t>SERVET KARANFİL</t>
        </is>
      </c>
      <c r="F2651" s="115" t="n">
        <v>419378</v>
      </c>
      <c r="G2651" s="156" t="n"/>
      <c r="H2651" s="152" t="n">
        <v>535</v>
      </c>
      <c r="I2651" s="156" t="n"/>
      <c r="J2651" s="90" t="n"/>
      <c r="K2651" s="166" t="n"/>
      <c r="L2651" s="158" t="n"/>
      <c r="M2651" s="159" t="n"/>
    </row>
    <row r="2652">
      <c r="A2652" s="114" t="n">
        <v>46200</v>
      </c>
      <c r="B2652" s="115" t="n">
        <v>3642</v>
      </c>
      <c r="C2652" s="115" t="inlineStr">
        <is>
          <t>SELİM İNŞAAT</t>
        </is>
      </c>
      <c r="D2652" s="115" t="inlineStr">
        <is>
          <t>34 EDB 922</t>
        </is>
      </c>
      <c r="E2652" s="115" t="inlineStr">
        <is>
          <t>SERVET KARANFİL</t>
        </is>
      </c>
      <c r="F2652" s="115" t="n">
        <v>419695</v>
      </c>
      <c r="G2652" s="156" t="n"/>
      <c r="H2652" s="152" t="n">
        <v>322</v>
      </c>
      <c r="I2652" s="156" t="n"/>
      <c r="J2652" s="90" t="n"/>
      <c r="K2652" s="166" t="n"/>
      <c r="L2652" s="158" t="n"/>
      <c r="M2652" s="159" t="n"/>
    </row>
    <row r="2653">
      <c r="A2653" s="114" t="n">
        <v>46202</v>
      </c>
      <c r="B2653" s="115" t="n">
        <v>3643</v>
      </c>
      <c r="C2653" s="115" t="inlineStr">
        <is>
          <t>SELİM İNŞAAT</t>
        </is>
      </c>
      <c r="D2653" s="115" t="inlineStr">
        <is>
          <t>34 EDB 922</t>
        </is>
      </c>
      <c r="E2653" s="115" t="inlineStr">
        <is>
          <t>SERVET KARANFİL</t>
        </is>
      </c>
      <c r="F2653" s="115" t="n">
        <v>420190</v>
      </c>
      <c r="G2653" s="156" t="n"/>
      <c r="H2653" s="152" t="n">
        <v>459</v>
      </c>
      <c r="I2653" s="156" t="n"/>
      <c r="J2653" s="90" t="n"/>
      <c r="K2653" s="166" t="n"/>
      <c r="L2653" s="158" t="n"/>
      <c r="M2653" s="159" t="n"/>
    </row>
    <row r="2654">
      <c r="A2654" s="114" t="n">
        <v>46189</v>
      </c>
      <c r="B2654" s="115" t="n">
        <v>4139</v>
      </c>
      <c r="C2654" s="115" t="inlineStr">
        <is>
          <t>SELİM İNŞAAT</t>
        </is>
      </c>
      <c r="D2654" s="115" t="inlineStr">
        <is>
          <t>34 EDB 659</t>
        </is>
      </c>
      <c r="E2654" s="115" t="inlineStr">
        <is>
          <t>MÜCAHİT BOZBEŞ</t>
        </is>
      </c>
      <c r="F2654" s="115" t="n">
        <v>405682</v>
      </c>
      <c r="G2654" s="156" t="n"/>
      <c r="H2654" s="152" t="n">
        <v>320</v>
      </c>
      <c r="I2654" s="156" t="n"/>
      <c r="J2654" s="90" t="n"/>
      <c r="K2654" s="166" t="n"/>
      <c r="L2654" s="158" t="n"/>
      <c r="M2654" s="159" t="n"/>
    </row>
    <row r="2655">
      <c r="A2655" s="114" t="n">
        <v>46196</v>
      </c>
      <c r="B2655" s="115" t="n">
        <v>4140</v>
      </c>
      <c r="C2655" s="115" t="inlineStr">
        <is>
          <t>SELİM İNŞAAT</t>
        </is>
      </c>
      <c r="D2655" s="115" t="inlineStr">
        <is>
          <t>34 EDB 659</t>
        </is>
      </c>
      <c r="E2655" s="115" t="inlineStr">
        <is>
          <t>MÜCAHİT BOZBEŞ</t>
        </is>
      </c>
      <c r="F2655" s="115" t="n">
        <v>406154</v>
      </c>
      <c r="G2655" s="156" t="n"/>
      <c r="H2655" s="152" t="n">
        <v>418</v>
      </c>
      <c r="I2655" s="156" t="n"/>
      <c r="J2655" s="90" t="n"/>
      <c r="K2655" s="166" t="n"/>
      <c r="L2655" s="158" t="n"/>
      <c r="M2655" s="159" t="n"/>
    </row>
    <row r="2656">
      <c r="A2656" s="114" t="n">
        <v>46199</v>
      </c>
      <c r="B2656" s="115" t="n">
        <v>4141</v>
      </c>
      <c r="C2656" s="115" t="inlineStr">
        <is>
          <t>SELİM İNŞAAT</t>
        </is>
      </c>
      <c r="D2656" s="115" t="inlineStr">
        <is>
          <t>34 EDB 659</t>
        </is>
      </c>
      <c r="E2656" s="115" t="inlineStr">
        <is>
          <t>MÜCAHİT BOZBEŞ</t>
        </is>
      </c>
      <c r="F2656" s="115" t="n">
        <v>407062</v>
      </c>
      <c r="G2656" s="156" t="n"/>
      <c r="H2656" s="152" t="n">
        <v>585</v>
      </c>
      <c r="I2656" s="156" t="n"/>
      <c r="J2656" s="90" t="n"/>
      <c r="K2656" s="166" t="n"/>
      <c r="L2656" s="158" t="n"/>
      <c r="M2656" s="159" t="n"/>
    </row>
    <row r="2657">
      <c r="A2657" s="114" t="n">
        <v>46201</v>
      </c>
      <c r="B2657" s="115" t="n">
        <v>4142</v>
      </c>
      <c r="C2657" s="115" t="inlineStr">
        <is>
          <t>SELİM İNŞAAT</t>
        </is>
      </c>
      <c r="D2657" s="115" t="inlineStr">
        <is>
          <t>34 EDB 659</t>
        </is>
      </c>
      <c r="E2657" s="115" t="inlineStr">
        <is>
          <t>MÜCAHİT BOZBEŞ</t>
        </is>
      </c>
      <c r="F2657" s="115" t="n">
        <v>407675</v>
      </c>
      <c r="G2657" s="156" t="n"/>
      <c r="H2657" s="152" t="n">
        <v>414</v>
      </c>
      <c r="I2657" s="156" t="n"/>
      <c r="J2657" s="90" t="n"/>
      <c r="K2657" s="166" t="n"/>
      <c r="L2657" s="158" t="n"/>
      <c r="M2657" s="159" t="n"/>
    </row>
    <row r="2658">
      <c r="A2658" s="114" t="n">
        <v>46190</v>
      </c>
      <c r="B2658" s="115" t="n">
        <v>1212</v>
      </c>
      <c r="C2658" s="115" t="inlineStr">
        <is>
          <t>SELİM İNŞAAT</t>
        </is>
      </c>
      <c r="D2658" s="115" t="inlineStr">
        <is>
          <t>34 FBR 705</t>
        </is>
      </c>
      <c r="E2658" s="115" t="inlineStr">
        <is>
          <t>MURAT SARI</t>
        </is>
      </c>
      <c r="F2658" s="115" t="n">
        <v>381566</v>
      </c>
      <c r="G2658" s="156" t="n"/>
      <c r="H2658" s="152" t="n">
        <v>464</v>
      </c>
      <c r="I2658" s="156" t="n"/>
      <c r="J2658" s="90" t="n"/>
      <c r="K2658" s="166" t="n"/>
      <c r="L2658" s="158" t="n"/>
      <c r="M2658" s="159" t="n"/>
    </row>
    <row r="2659">
      <c r="A2659" s="114" t="n">
        <v>46192</v>
      </c>
      <c r="B2659" s="115" t="n">
        <v>1213</v>
      </c>
      <c r="C2659" s="115" t="inlineStr">
        <is>
          <t>SELİM İNŞAAT</t>
        </is>
      </c>
      <c r="D2659" s="115" t="inlineStr">
        <is>
          <t>34 FBR 705</t>
        </is>
      </c>
      <c r="E2659" s="115" t="inlineStr">
        <is>
          <t>MURAT SARI</t>
        </is>
      </c>
      <c r="F2659" s="115" t="n">
        <v>382213</v>
      </c>
      <c r="G2659" s="156" t="n"/>
      <c r="H2659" s="152" t="n">
        <v>507</v>
      </c>
      <c r="I2659" s="156" t="n"/>
      <c r="J2659" s="90" t="n"/>
      <c r="K2659" s="166" t="n"/>
      <c r="L2659" s="158" t="n"/>
      <c r="M2659" s="159" t="n"/>
    </row>
    <row r="2660">
      <c r="A2660" s="114" t="n">
        <v>46193</v>
      </c>
      <c r="B2660" s="115" t="n">
        <v>1214</v>
      </c>
      <c r="C2660" s="115" t="inlineStr">
        <is>
          <t>SELİM İNŞAAT</t>
        </is>
      </c>
      <c r="D2660" s="115" t="inlineStr">
        <is>
          <t>34 FBR 705</t>
        </is>
      </c>
      <c r="E2660" s="115" t="inlineStr">
        <is>
          <t>MURAT SARI</t>
        </is>
      </c>
      <c r="F2660" s="115" t="n">
        <v>382573</v>
      </c>
      <c r="G2660" s="156" t="n"/>
      <c r="H2660" s="152" t="n">
        <v>304</v>
      </c>
      <c r="I2660" s="156" t="n"/>
      <c r="J2660" s="90" t="n"/>
      <c r="K2660" s="166" t="n"/>
      <c r="L2660" s="158" t="n"/>
      <c r="M2660" s="159" t="n"/>
    </row>
    <row r="2661">
      <c r="A2661" s="114" t="n">
        <v>46196</v>
      </c>
      <c r="B2661" s="115" t="n">
        <v>1215</v>
      </c>
      <c r="C2661" s="115" t="inlineStr">
        <is>
          <t>SELİM İNŞAAT</t>
        </is>
      </c>
      <c r="D2661" s="115" t="inlineStr">
        <is>
          <t>34 FBR 705</t>
        </is>
      </c>
      <c r="E2661" s="115" t="inlineStr">
        <is>
          <t>MURAT SARI</t>
        </is>
      </c>
      <c r="F2661" s="115" t="n">
        <v>383276</v>
      </c>
      <c r="G2661" s="156" t="n"/>
      <c r="H2661" s="152" t="n">
        <v>495</v>
      </c>
      <c r="I2661" s="156" t="n"/>
      <c r="J2661" s="90" t="n"/>
      <c r="K2661" s="166" t="n"/>
      <c r="L2661" s="158" t="n"/>
      <c r="M2661" s="159" t="n"/>
    </row>
    <row r="2662">
      <c r="A2662" s="114" t="n">
        <v>46198</v>
      </c>
      <c r="B2662" s="115" t="n">
        <v>1216</v>
      </c>
      <c r="C2662" s="115" t="inlineStr">
        <is>
          <t>SELİM İNŞAAT</t>
        </is>
      </c>
      <c r="D2662" s="115" t="inlineStr">
        <is>
          <t>34 FBR 705</t>
        </is>
      </c>
      <c r="E2662" s="115" t="inlineStr">
        <is>
          <t>MURAT SARI</t>
        </is>
      </c>
      <c r="F2662" s="115" t="n">
        <v>383869</v>
      </c>
      <c r="G2662" s="156" t="n"/>
      <c r="H2662" s="152" t="n">
        <v>475</v>
      </c>
      <c r="I2662" s="156" t="n"/>
      <c r="J2662" s="90" t="n"/>
      <c r="K2662" s="166" t="n"/>
      <c r="L2662" s="158" t="n"/>
      <c r="M2662" s="159" t="n"/>
    </row>
    <row r="2663">
      <c r="A2663" s="114" t="n">
        <v>46202</v>
      </c>
      <c r="B2663" s="115" t="n">
        <v>1217</v>
      </c>
      <c r="C2663" s="115" t="inlineStr">
        <is>
          <t>SELİM İNŞAAT</t>
        </is>
      </c>
      <c r="D2663" s="115" t="inlineStr">
        <is>
          <t>34 FBR 705</t>
        </is>
      </c>
      <c r="E2663" s="115" t="inlineStr">
        <is>
          <t>MURAT SARI</t>
        </is>
      </c>
      <c r="F2663" s="115" t="n">
        <v>384277</v>
      </c>
      <c r="G2663" s="156" t="n"/>
      <c r="H2663" s="156" t="n">
        <v>373</v>
      </c>
      <c r="I2663" s="156" t="n"/>
      <c r="J2663" s="90" t="n"/>
      <c r="K2663" s="166" t="n"/>
      <c r="L2663" s="158" t="n"/>
      <c r="M2663" s="159" t="n"/>
    </row>
    <row r="2664">
      <c r="A2664" s="114" t="n">
        <v>46203</v>
      </c>
      <c r="B2664" s="115" t="n">
        <v>1218</v>
      </c>
      <c r="C2664" s="115" t="inlineStr">
        <is>
          <t>SELİM İNŞAAT</t>
        </is>
      </c>
      <c r="D2664" s="115" t="inlineStr">
        <is>
          <t>34 FBR 705</t>
        </is>
      </c>
      <c r="E2664" s="115" t="inlineStr">
        <is>
          <t>MURAT SARI</t>
        </is>
      </c>
      <c r="F2664" s="115" t="n">
        <v>384769</v>
      </c>
      <c r="G2664" s="156" t="n"/>
      <c r="H2664" s="152" t="n">
        <v>391</v>
      </c>
      <c r="I2664" s="156" t="n"/>
      <c r="J2664" s="90" t="n"/>
      <c r="K2664" s="166" t="n"/>
      <c r="L2664" s="158" t="n"/>
      <c r="M2664" s="159" t="n"/>
    </row>
    <row r="2665">
      <c r="A2665" s="114" t="n">
        <v>46190</v>
      </c>
      <c r="B2665" s="115" t="n">
        <v>3454</v>
      </c>
      <c r="C2665" s="115" t="inlineStr">
        <is>
          <t>SELİM İNŞAAT</t>
        </is>
      </c>
      <c r="D2665" s="115" t="inlineStr">
        <is>
          <t>34 GVZ 310</t>
        </is>
      </c>
      <c r="E2665" s="115" t="inlineStr">
        <is>
          <t>CELAL YÜZBAŞI</t>
        </is>
      </c>
      <c r="F2665" s="115" t="n">
        <v>264320</v>
      </c>
      <c r="G2665" s="156" t="n"/>
      <c r="H2665" s="152" t="n">
        <v>484</v>
      </c>
      <c r="I2665" s="156" t="n"/>
      <c r="J2665" s="90" t="n"/>
      <c r="K2665" s="166" t="n"/>
      <c r="L2665" s="158" t="n"/>
      <c r="M2665" s="159" t="n"/>
    </row>
    <row r="2666">
      <c r="A2666" s="114" t="n">
        <v>46191</v>
      </c>
      <c r="B2666" s="115" t="n">
        <v>3455</v>
      </c>
      <c r="C2666" s="115" t="inlineStr">
        <is>
          <t>SELİM İNŞAAT</t>
        </is>
      </c>
      <c r="D2666" s="115" t="inlineStr">
        <is>
          <t>34 GVZ 310</t>
        </is>
      </c>
      <c r="E2666" s="115" t="inlineStr">
        <is>
          <t>CELAL YÜZBAŞI</t>
        </is>
      </c>
      <c r="F2666" s="115" t="n">
        <v>264720</v>
      </c>
      <c r="G2666" s="156" t="n"/>
      <c r="H2666" s="152" t="n">
        <v>300</v>
      </c>
      <c r="I2666" s="156" t="n"/>
      <c r="J2666" s="90" t="n"/>
      <c r="K2666" s="166" t="n"/>
      <c r="L2666" s="158" t="n"/>
      <c r="M2666" s="159" t="n"/>
    </row>
    <row r="2667">
      <c r="A2667" s="114" t="n">
        <v>46193</v>
      </c>
      <c r="B2667" s="115" t="n">
        <v>3456</v>
      </c>
      <c r="C2667" s="115" t="inlineStr">
        <is>
          <t>SELİM İNŞAAT</t>
        </is>
      </c>
      <c r="D2667" s="115" t="inlineStr">
        <is>
          <t>34 GVZ 310</t>
        </is>
      </c>
      <c r="E2667" s="115" t="inlineStr">
        <is>
          <t>CELAL YÜZBAŞI</t>
        </is>
      </c>
      <c r="F2667" s="115" t="n">
        <v>265552</v>
      </c>
      <c r="G2667" s="156" t="n"/>
      <c r="H2667" s="152" t="n">
        <v>505</v>
      </c>
      <c r="I2667" s="156" t="n"/>
      <c r="J2667" s="90" t="n"/>
      <c r="K2667" s="166" t="n"/>
      <c r="L2667" s="158" t="n"/>
      <c r="M2667" s="159" t="n"/>
    </row>
    <row r="2668">
      <c r="A2668" s="114" t="n">
        <v>46196</v>
      </c>
      <c r="B2668" s="115" t="n">
        <v>3457</v>
      </c>
      <c r="C2668" s="115" t="inlineStr">
        <is>
          <t>SELİM İNŞAAT</t>
        </is>
      </c>
      <c r="D2668" s="115" t="inlineStr">
        <is>
          <t>34 GVZ 310</t>
        </is>
      </c>
      <c r="E2668" s="115" t="inlineStr">
        <is>
          <t>CELAL YÜZBAŞI</t>
        </is>
      </c>
      <c r="F2668" s="115" t="n">
        <v>266218</v>
      </c>
      <c r="G2668" s="156" t="n"/>
      <c r="H2668" s="152" t="n">
        <v>437</v>
      </c>
      <c r="I2668" s="156" t="n"/>
      <c r="J2668" s="90" t="n"/>
      <c r="K2668" s="166" t="n"/>
      <c r="L2668" s="158" t="n"/>
      <c r="M2668" s="159" t="n"/>
    </row>
    <row r="2669">
      <c r="A2669" s="114" t="n">
        <v>46199</v>
      </c>
      <c r="B2669" s="115" t="n">
        <v>3458</v>
      </c>
      <c r="C2669" s="115" t="inlineStr">
        <is>
          <t>SELİM İNŞAAT</t>
        </is>
      </c>
      <c r="D2669" s="115" t="inlineStr">
        <is>
          <t>34 GVZ 310</t>
        </is>
      </c>
      <c r="E2669" s="115" t="inlineStr">
        <is>
          <t>CELAL YÜZBAŞI</t>
        </is>
      </c>
      <c r="F2669" s="115" t="n">
        <v>267059</v>
      </c>
      <c r="G2669" s="156" t="n"/>
      <c r="H2669" s="152" t="n">
        <v>519</v>
      </c>
      <c r="I2669" s="156" t="n"/>
      <c r="J2669" s="90" t="n"/>
      <c r="K2669" s="166" t="n"/>
      <c r="L2669" s="158" t="n"/>
      <c r="M2669" s="159" t="n"/>
    </row>
    <row r="2670">
      <c r="A2670" s="114" t="n">
        <v>46201</v>
      </c>
      <c r="B2670" s="115" t="n">
        <v>3459</v>
      </c>
      <c r="C2670" s="115" t="inlineStr">
        <is>
          <t>SELİM İNŞAAT</t>
        </is>
      </c>
      <c r="D2670" s="115" t="inlineStr">
        <is>
          <t>34 GVZ 310</t>
        </is>
      </c>
      <c r="E2670" s="115" t="inlineStr">
        <is>
          <t>CELAL YÜZBAŞI</t>
        </is>
      </c>
      <c r="F2670" s="115" t="n">
        <v>267911</v>
      </c>
      <c r="G2670" s="156" t="n"/>
      <c r="H2670" s="152" t="n">
        <v>500</v>
      </c>
      <c r="I2670" s="156" t="n"/>
      <c r="J2670" s="90" t="n"/>
      <c r="K2670" s="166" t="n"/>
      <c r="L2670" s="158" t="n"/>
      <c r="M2670" s="159" t="n"/>
    </row>
    <row r="2671">
      <c r="A2671" s="114" t="n">
        <v>46203</v>
      </c>
      <c r="B2671" s="115" t="n">
        <v>3460</v>
      </c>
      <c r="C2671" s="115" t="inlineStr">
        <is>
          <t>SELİM İNŞAAT</t>
        </is>
      </c>
      <c r="D2671" s="115" t="inlineStr">
        <is>
          <t>34 GVZ 310</t>
        </is>
      </c>
      <c r="E2671" s="115" t="inlineStr">
        <is>
          <t>CELAL YÜZBAŞI</t>
        </is>
      </c>
      <c r="F2671" s="115" t="n">
        <v>268652</v>
      </c>
      <c r="G2671" s="156" t="n"/>
      <c r="H2671" s="152" t="n">
        <v>490</v>
      </c>
      <c r="I2671" s="156" t="n"/>
      <c r="J2671" s="90" t="n"/>
      <c r="K2671" s="166" t="n"/>
      <c r="L2671" s="158" t="n"/>
      <c r="M2671" s="159" t="n"/>
    </row>
    <row r="2672">
      <c r="A2672" s="114" t="n">
        <v>46189</v>
      </c>
      <c r="B2672" s="115" t="n">
        <v>42</v>
      </c>
      <c r="C2672" s="115" t="inlineStr">
        <is>
          <t>SELİM İNŞAAT</t>
        </is>
      </c>
      <c r="D2672" s="115" t="inlineStr">
        <is>
          <t>34 GVZ 268</t>
        </is>
      </c>
      <c r="E2672" s="115" t="inlineStr">
        <is>
          <t>KERİM KARAMAN</t>
        </is>
      </c>
      <c r="F2672" s="115" t="n">
        <v>271383</v>
      </c>
      <c r="G2672" s="156" t="n"/>
      <c r="H2672" s="152" t="n">
        <v>485</v>
      </c>
      <c r="I2672" s="156" t="n"/>
      <c r="J2672" s="90" t="n"/>
      <c r="K2672" s="166" t="n"/>
      <c r="L2672" s="158" t="n"/>
      <c r="M2672" s="159" t="n"/>
    </row>
    <row r="2673">
      <c r="A2673" s="114" t="n">
        <v>46191</v>
      </c>
      <c r="B2673" s="115" t="n">
        <v>43</v>
      </c>
      <c r="C2673" s="115" t="inlineStr">
        <is>
          <t>SELİM İNŞAAT</t>
        </is>
      </c>
      <c r="D2673" s="115" t="inlineStr">
        <is>
          <t>34 GVZ 268</t>
        </is>
      </c>
      <c r="E2673" s="115" t="inlineStr">
        <is>
          <t>KERİM KARAMAN</t>
        </is>
      </c>
      <c r="F2673" s="115" t="n">
        <v>272111</v>
      </c>
      <c r="G2673" s="156" t="n"/>
      <c r="H2673" s="152" t="n">
        <v>454</v>
      </c>
      <c r="I2673" s="156" t="n"/>
      <c r="J2673" s="90" t="n"/>
      <c r="K2673" s="166" t="n"/>
      <c r="L2673" s="158" t="n"/>
      <c r="M2673" s="159" t="n"/>
    </row>
    <row r="2674">
      <c r="A2674" s="114" t="n">
        <v>46193</v>
      </c>
      <c r="B2674" s="115" t="n">
        <v>44</v>
      </c>
      <c r="C2674" s="115" t="inlineStr">
        <is>
          <t>SELİM İNŞAAT</t>
        </is>
      </c>
      <c r="D2674" s="115" t="inlineStr">
        <is>
          <t>34 GVZ 268</t>
        </is>
      </c>
      <c r="E2674" s="115" t="inlineStr">
        <is>
          <t>KERİM KARAMAN</t>
        </is>
      </c>
      <c r="F2674" s="115" t="n">
        <v>272972</v>
      </c>
      <c r="G2674" s="156" t="n"/>
      <c r="H2674" s="152" t="n">
        <v>578</v>
      </c>
      <c r="I2674" s="156" t="n"/>
      <c r="J2674" s="90" t="n"/>
      <c r="K2674" s="166" t="n"/>
      <c r="L2674" s="158" t="n"/>
      <c r="M2674" s="159" t="n"/>
    </row>
    <row r="2675">
      <c r="A2675" s="114" t="n">
        <v>46196</v>
      </c>
      <c r="B2675" s="115" t="n">
        <v>45</v>
      </c>
      <c r="C2675" s="115" t="inlineStr">
        <is>
          <t>SELİM İNŞAAT</t>
        </is>
      </c>
      <c r="D2675" s="115" t="inlineStr">
        <is>
          <t>34 GVZ 268</t>
        </is>
      </c>
      <c r="E2675" s="115" t="inlineStr">
        <is>
          <t>KERİM KARAMAN</t>
        </is>
      </c>
      <c r="F2675" s="115" t="n">
        <v>273747</v>
      </c>
      <c r="G2675" s="156" t="n"/>
      <c r="H2675" s="152" t="n">
        <v>494</v>
      </c>
      <c r="I2675" s="156" t="n"/>
      <c r="J2675" s="90" t="n"/>
      <c r="K2675" s="166" t="n"/>
      <c r="L2675" s="158" t="n"/>
      <c r="M2675" s="159" t="n"/>
    </row>
    <row r="2676">
      <c r="A2676" s="114" t="n">
        <v>46198</v>
      </c>
      <c r="B2676" s="115" t="n">
        <v>46</v>
      </c>
      <c r="C2676" s="115" t="inlineStr">
        <is>
          <t>SELİM İNŞAAT</t>
        </is>
      </c>
      <c r="D2676" s="115" t="inlineStr">
        <is>
          <t>34 GVZ 268</t>
        </is>
      </c>
      <c r="E2676" s="115" t="inlineStr">
        <is>
          <t>KERİM KARAMAN</t>
        </is>
      </c>
      <c r="F2676" s="115" t="n">
        <v>274486</v>
      </c>
      <c r="G2676" s="156" t="n"/>
      <c r="H2676" s="152" t="n">
        <v>515</v>
      </c>
      <c r="I2676" s="156" t="n"/>
      <c r="J2676" s="90" t="n"/>
      <c r="K2676" s="166" t="n"/>
      <c r="L2676" s="158" t="n"/>
      <c r="M2676" s="159" t="n"/>
    </row>
    <row r="2677">
      <c r="A2677" s="114" t="n">
        <v>46199</v>
      </c>
      <c r="B2677" s="115" t="n">
        <v>47</v>
      </c>
      <c r="C2677" s="115" t="inlineStr">
        <is>
          <t>SELİM İNŞAAT</t>
        </is>
      </c>
      <c r="D2677" s="115" t="inlineStr">
        <is>
          <t>34 GVZ 268</t>
        </is>
      </c>
      <c r="E2677" s="115" t="inlineStr">
        <is>
          <t>KERİM KARAMAN</t>
        </is>
      </c>
      <c r="F2677" s="115" t="n">
        <v>275180</v>
      </c>
      <c r="G2677" s="156" t="n"/>
      <c r="H2677" s="152" t="n">
        <v>379</v>
      </c>
      <c r="I2677" s="156" t="n"/>
      <c r="J2677" s="90" t="n"/>
      <c r="K2677" s="166" t="n"/>
      <c r="L2677" s="158" t="n"/>
      <c r="M2677" s="159" t="n"/>
    </row>
    <row r="2678">
      <c r="A2678" s="114" t="n">
        <v>46201</v>
      </c>
      <c r="B2678" s="115" t="n">
        <v>48</v>
      </c>
      <c r="C2678" s="115" t="inlineStr">
        <is>
          <t>SELİM İNŞAAT</t>
        </is>
      </c>
      <c r="D2678" s="115" t="inlineStr">
        <is>
          <t>34 GVZ 268</t>
        </is>
      </c>
      <c r="E2678" s="115" t="inlineStr">
        <is>
          <t>KERİM KARAMAN</t>
        </is>
      </c>
      <c r="F2678" s="115" t="n">
        <v>276174</v>
      </c>
      <c r="G2678" s="156" t="n"/>
      <c r="H2678" s="152" t="n">
        <v>541</v>
      </c>
      <c r="I2678" s="156" t="n"/>
      <c r="J2678" s="90" t="n"/>
      <c r="K2678" s="166" t="n"/>
      <c r="L2678" s="158" t="n"/>
      <c r="M2678" s="159" t="n"/>
    </row>
    <row r="2679">
      <c r="A2679" s="114" t="n">
        <v>46203</v>
      </c>
      <c r="B2679" s="115" t="n">
        <v>49</v>
      </c>
      <c r="C2679" s="115" t="inlineStr">
        <is>
          <t>SELİM İNŞAAT</t>
        </is>
      </c>
      <c r="D2679" s="115" t="inlineStr">
        <is>
          <t>34 GVZ 268</t>
        </is>
      </c>
      <c r="E2679" s="115" t="inlineStr">
        <is>
          <t>KERİM KARAMAN</t>
        </is>
      </c>
      <c r="F2679" s="115" t="n">
        <v>276903</v>
      </c>
      <c r="G2679" s="156" t="n"/>
      <c r="H2679" s="152" t="n">
        <v>489</v>
      </c>
      <c r="I2679" s="156" t="n"/>
      <c r="J2679" s="90" t="n"/>
      <c r="K2679" s="166" t="n"/>
      <c r="L2679" s="158" t="n"/>
      <c r="M2679" s="159" t="n"/>
    </row>
    <row r="2680">
      <c r="A2680" s="114" t="n">
        <v>46189</v>
      </c>
      <c r="B2680" s="115" t="n">
        <v>2011</v>
      </c>
      <c r="C2680" s="115" t="inlineStr">
        <is>
          <t>SELİM İNŞAAT</t>
        </is>
      </c>
      <c r="D2680" s="115" t="inlineStr">
        <is>
          <t>34 GYZ 635</t>
        </is>
      </c>
      <c r="E2680" s="115" t="inlineStr">
        <is>
          <t>SELÇUK BASTIK</t>
        </is>
      </c>
      <c r="F2680" s="115" t="n">
        <v>248068</v>
      </c>
      <c r="G2680" s="156" t="n"/>
      <c r="H2680" s="152" t="n">
        <v>344</v>
      </c>
      <c r="I2680" s="156" t="n"/>
      <c r="J2680" s="90" t="n"/>
      <c r="K2680" s="166" t="n"/>
      <c r="L2680" s="158" t="n"/>
      <c r="M2680" s="159" t="n"/>
    </row>
    <row r="2681">
      <c r="A2681" s="114" t="n">
        <v>46191</v>
      </c>
      <c r="B2681" s="115" t="n">
        <v>2012</v>
      </c>
      <c r="C2681" s="115" t="inlineStr">
        <is>
          <t>SELİM İNŞAAT</t>
        </is>
      </c>
      <c r="D2681" s="115" t="inlineStr">
        <is>
          <t>34 GYZ 635</t>
        </is>
      </c>
      <c r="E2681" s="115" t="inlineStr">
        <is>
          <t>SELÇUK BASTIK</t>
        </is>
      </c>
      <c r="F2681" s="115" t="n">
        <v>248756</v>
      </c>
      <c r="G2681" s="156" t="n"/>
      <c r="H2681" s="152" t="n">
        <v>468</v>
      </c>
      <c r="I2681" s="156" t="n"/>
      <c r="J2681" s="90" t="n"/>
      <c r="K2681" s="166" t="n"/>
      <c r="L2681" s="158" t="n"/>
      <c r="M2681" s="159" t="n"/>
    </row>
    <row r="2682">
      <c r="A2682" s="114" t="n">
        <v>46193</v>
      </c>
      <c r="B2682" s="115" t="n">
        <v>2013</v>
      </c>
      <c r="C2682" s="115" t="inlineStr">
        <is>
          <t>SELİM İNŞAAT</t>
        </is>
      </c>
      <c r="D2682" s="115" t="inlineStr">
        <is>
          <t>34 GYZ 635</t>
        </is>
      </c>
      <c r="E2682" s="115" t="inlineStr">
        <is>
          <t>SELÇUK BASTIK</t>
        </is>
      </c>
      <c r="F2682" s="115" t="n">
        <v>249522</v>
      </c>
      <c r="G2682" s="156" t="n"/>
      <c r="H2682" s="152" t="n">
        <v>475</v>
      </c>
      <c r="I2682" s="156" t="n"/>
      <c r="J2682" s="90" t="n"/>
      <c r="K2682" s="166" t="n"/>
      <c r="L2682" s="158" t="n"/>
      <c r="M2682" s="159" t="n"/>
    </row>
    <row r="2683">
      <c r="A2683" s="114" t="n">
        <v>46196</v>
      </c>
      <c r="B2683" s="115" t="n">
        <v>2014</v>
      </c>
      <c r="C2683" s="115" t="inlineStr">
        <is>
          <t>SELİM İNŞAAT</t>
        </is>
      </c>
      <c r="D2683" s="115" t="inlineStr">
        <is>
          <t>34 GYZ 635</t>
        </is>
      </c>
      <c r="E2683" s="115" t="inlineStr">
        <is>
          <t>SELÇUK BASTIK</t>
        </is>
      </c>
      <c r="F2683" s="115" t="n">
        <v>250159</v>
      </c>
      <c r="G2683" s="156" t="n"/>
      <c r="H2683" s="152" t="n">
        <v>397</v>
      </c>
      <c r="I2683" s="156" t="n"/>
      <c r="J2683" s="90" t="n"/>
      <c r="K2683" s="166" t="n"/>
      <c r="L2683" s="158" t="n"/>
      <c r="M2683" s="159" t="n"/>
    </row>
    <row r="2684">
      <c r="A2684" s="114" t="n">
        <v>46198</v>
      </c>
      <c r="B2684" s="115" t="n">
        <v>2015</v>
      </c>
      <c r="C2684" s="115" t="inlineStr">
        <is>
          <t>SELİM İNŞAAT</t>
        </is>
      </c>
      <c r="D2684" s="115" t="inlineStr">
        <is>
          <t>34 GYZ 635</t>
        </is>
      </c>
      <c r="E2684" s="115" t="inlineStr">
        <is>
          <t>SELÇUK BASTIK</t>
        </is>
      </c>
      <c r="F2684" s="115" t="n">
        <v>250758</v>
      </c>
      <c r="G2684" s="156" t="n"/>
      <c r="H2684" s="152" t="n">
        <v>404</v>
      </c>
      <c r="I2684" s="156" t="n"/>
      <c r="J2684" s="90" t="n"/>
      <c r="K2684" s="166" t="n"/>
      <c r="L2684" s="158" t="n"/>
      <c r="M2684" s="159" t="n"/>
    </row>
    <row r="2685">
      <c r="A2685" s="114" t="n">
        <v>46200</v>
      </c>
      <c r="B2685" s="115" t="n">
        <v>2016</v>
      </c>
      <c r="C2685" s="115" t="inlineStr">
        <is>
          <t>SELİM İNŞAAT</t>
        </is>
      </c>
      <c r="D2685" s="115" t="inlineStr">
        <is>
          <t>34 GYZ 635</t>
        </is>
      </c>
      <c r="E2685" s="115" t="inlineStr">
        <is>
          <t>SELÇUK BASTIK</t>
        </is>
      </c>
      <c r="F2685" s="115" t="n">
        <v>251459</v>
      </c>
      <c r="G2685" s="156" t="n"/>
      <c r="H2685" s="152" t="n">
        <v>448</v>
      </c>
      <c r="I2685" s="156" t="n"/>
      <c r="J2685" s="90" t="n"/>
      <c r="K2685" s="166" t="n"/>
      <c r="L2685" s="158" t="n"/>
      <c r="M2685" s="159" t="n"/>
    </row>
    <row r="2686">
      <c r="A2686" s="114" t="n">
        <v>46201</v>
      </c>
      <c r="B2686" s="115" t="n">
        <v>2017</v>
      </c>
      <c r="C2686" s="115" t="inlineStr">
        <is>
          <t>SELİM İNŞAAT</t>
        </is>
      </c>
      <c r="D2686" s="115" t="inlineStr">
        <is>
          <t>34 GYZ 635</t>
        </is>
      </c>
      <c r="E2686" s="115" t="inlineStr">
        <is>
          <t>SELÇUK BASTIK</t>
        </is>
      </c>
      <c r="F2686" s="115" t="n">
        <v>252170</v>
      </c>
      <c r="G2686" s="156" t="n"/>
      <c r="H2686" s="152" t="n">
        <v>421</v>
      </c>
      <c r="I2686" s="156" t="n"/>
      <c r="J2686" s="90" t="n"/>
      <c r="K2686" s="166" t="n"/>
      <c r="L2686" s="158" t="n"/>
      <c r="M2686" s="159" t="n"/>
    </row>
    <row r="2687">
      <c r="A2687" s="114" t="n">
        <v>46202</v>
      </c>
      <c r="B2687" s="115" t="n">
        <v>2018</v>
      </c>
      <c r="C2687" s="115" t="inlineStr">
        <is>
          <t>SELİM İNŞAAT</t>
        </is>
      </c>
      <c r="D2687" s="115" t="inlineStr">
        <is>
          <t>34 GYZ 635</t>
        </is>
      </c>
      <c r="E2687" s="115" t="inlineStr">
        <is>
          <t>SELÇUK BASTIK</t>
        </is>
      </c>
      <c r="F2687" s="115" t="n">
        <v>252467</v>
      </c>
      <c r="G2687" s="156" t="n"/>
      <c r="H2687" s="152" t="n">
        <v>317</v>
      </c>
      <c r="I2687" s="156" t="n"/>
      <c r="J2687" s="90" t="n"/>
      <c r="K2687" s="166" t="n"/>
      <c r="L2687" s="158" t="n"/>
      <c r="M2687" s="159" t="n"/>
    </row>
    <row r="2688">
      <c r="A2688" s="114" t="n">
        <v>46203</v>
      </c>
      <c r="B2688" s="115" t="n">
        <v>2019</v>
      </c>
      <c r="C2688" s="115" t="inlineStr">
        <is>
          <t>SELİM İNŞAAT</t>
        </is>
      </c>
      <c r="D2688" s="115" t="inlineStr">
        <is>
          <t>34 GYZ 635</t>
        </is>
      </c>
      <c r="E2688" s="115" t="inlineStr">
        <is>
          <t>SELÇUK BASTIK</t>
        </is>
      </c>
      <c r="F2688" s="115" t="n">
        <v>253067</v>
      </c>
      <c r="G2688" s="156" t="n"/>
      <c r="H2688" s="152" t="n">
        <v>391</v>
      </c>
      <c r="I2688" s="156" t="n"/>
      <c r="J2688" s="90" t="n"/>
      <c r="K2688" s="166" t="n"/>
      <c r="L2688" s="158" t="n"/>
      <c r="M2688" s="159" t="n"/>
    </row>
    <row r="2689">
      <c r="A2689" s="114" t="n">
        <v>46189</v>
      </c>
      <c r="B2689" s="115" t="n">
        <v>3006</v>
      </c>
      <c r="C2689" s="115" t="inlineStr">
        <is>
          <t>SELİM İNŞAAT</t>
        </is>
      </c>
      <c r="D2689" s="115" t="inlineStr">
        <is>
          <t>34 GVZ 745</t>
        </is>
      </c>
      <c r="E2689" s="115" t="inlineStr">
        <is>
          <t>MURAT DEMİRBAŞ</t>
        </is>
      </c>
      <c r="F2689" s="115" t="n">
        <v>268248</v>
      </c>
      <c r="G2689" s="156" t="n"/>
      <c r="H2689" s="152" t="n">
        <v>351</v>
      </c>
      <c r="I2689" s="156" t="n"/>
      <c r="J2689" s="90" t="n"/>
      <c r="K2689" s="166" t="n"/>
      <c r="L2689" s="158" t="n"/>
      <c r="M2689" s="159" t="n"/>
    </row>
    <row r="2690">
      <c r="A2690" s="114" t="n">
        <v>46191</v>
      </c>
      <c r="B2690" s="115" t="n">
        <v>3007</v>
      </c>
      <c r="C2690" s="115" t="inlineStr">
        <is>
          <t>SELİM İNŞAAT</t>
        </is>
      </c>
      <c r="D2690" s="115" t="inlineStr">
        <is>
          <t>34 GVZ 745</t>
        </is>
      </c>
      <c r="E2690" s="115" t="inlineStr">
        <is>
          <t>MURAT DEMİRBAŞ</t>
        </is>
      </c>
      <c r="F2690" s="115" t="n">
        <v>262974</v>
      </c>
      <c r="G2690" s="156" t="n"/>
      <c r="H2690" s="152" t="n">
        <v>506</v>
      </c>
      <c r="I2690" s="156" t="n"/>
      <c r="J2690" s="90" t="n"/>
      <c r="K2690" s="166" t="n"/>
      <c r="L2690" s="158" t="n"/>
      <c r="M2690" s="159" t="n"/>
    </row>
    <row r="2691">
      <c r="A2691" s="114" t="n">
        <v>46193</v>
      </c>
      <c r="B2691" s="115" t="n">
        <v>3008</v>
      </c>
      <c r="C2691" s="115" t="inlineStr">
        <is>
          <t>SELİM İNŞAAT</t>
        </is>
      </c>
      <c r="D2691" s="115" t="inlineStr">
        <is>
          <t>34 GVZ 745</t>
        </is>
      </c>
      <c r="E2691" s="115" t="inlineStr">
        <is>
          <t>MURAT DEMİRBAŞ</t>
        </is>
      </c>
      <c r="F2691" s="115" t="n">
        <v>269828</v>
      </c>
      <c r="G2691" s="156" t="n"/>
      <c r="H2691" s="152" t="n">
        <v>558</v>
      </c>
      <c r="I2691" s="156" t="n"/>
      <c r="J2691" s="90" t="n"/>
      <c r="K2691" s="166" t="n"/>
      <c r="L2691" s="158" t="n"/>
      <c r="M2691" s="159" t="n"/>
    </row>
    <row r="2692">
      <c r="A2692" s="114" t="n">
        <v>46196</v>
      </c>
      <c r="B2692" s="115" t="n">
        <v>3009</v>
      </c>
      <c r="C2692" s="115" t="inlineStr">
        <is>
          <t>SELİM İNŞAAT</t>
        </is>
      </c>
      <c r="D2692" s="115" t="inlineStr">
        <is>
          <t>34 GVZ 745</t>
        </is>
      </c>
      <c r="E2692" s="115" t="inlineStr">
        <is>
          <t>MURAT DEMİRBAŞ</t>
        </is>
      </c>
      <c r="F2692" s="115" t="n">
        <v>270559</v>
      </c>
      <c r="G2692" s="156" t="n"/>
      <c r="H2692" s="152" t="n">
        <v>468</v>
      </c>
      <c r="I2692" s="156" t="n"/>
      <c r="J2692" s="90" t="n"/>
      <c r="K2692" s="166" t="n"/>
      <c r="L2692" s="158" t="n"/>
      <c r="M2692" s="159" t="n"/>
    </row>
    <row r="2693">
      <c r="A2693" s="114" t="n">
        <v>46197</v>
      </c>
      <c r="B2693" s="115" t="n">
        <v>3010</v>
      </c>
      <c r="C2693" s="115" t="inlineStr">
        <is>
          <t>SELİM İNŞAAT</t>
        </is>
      </c>
      <c r="D2693" s="115" t="inlineStr">
        <is>
          <t>34 GVZ 745</t>
        </is>
      </c>
      <c r="E2693" s="115" t="inlineStr">
        <is>
          <t>MURAT DEMİRBAŞ</t>
        </is>
      </c>
      <c r="F2693" s="115" t="n">
        <v>270973</v>
      </c>
      <c r="G2693" s="156" t="n"/>
      <c r="H2693" s="152" t="n">
        <v>339</v>
      </c>
      <c r="I2693" s="156" t="n"/>
      <c r="J2693" s="90" t="n"/>
      <c r="K2693" s="166" t="n"/>
      <c r="L2693" s="158" t="n"/>
      <c r="M2693" s="159" t="n"/>
    </row>
    <row r="2694">
      <c r="A2694" s="114" t="n">
        <v>46198</v>
      </c>
      <c r="B2694" s="115" t="n">
        <v>3011</v>
      </c>
      <c r="C2694" s="115" t="inlineStr">
        <is>
          <t>SELİM İNŞAAT</t>
        </is>
      </c>
      <c r="D2694" s="115" t="inlineStr">
        <is>
          <t>34 GVZ 745</t>
        </is>
      </c>
      <c r="E2694" s="115" t="inlineStr">
        <is>
          <t>MURAT DEMİRBAŞ</t>
        </is>
      </c>
      <c r="F2694" s="115" t="n">
        <v>271451</v>
      </c>
      <c r="G2694" s="156" t="n"/>
      <c r="H2694" s="152" t="n">
        <v>337</v>
      </c>
      <c r="I2694" s="156" t="n"/>
      <c r="J2694" s="90" t="n"/>
      <c r="K2694" s="166" t="n"/>
      <c r="L2694" s="158" t="n"/>
      <c r="M2694" s="159" t="n"/>
    </row>
    <row r="2695">
      <c r="A2695" s="114" t="n">
        <v>46200</v>
      </c>
      <c r="B2695" s="115" t="n">
        <v>3012</v>
      </c>
      <c r="C2695" s="115" t="inlineStr">
        <is>
          <t>SELİM İNŞAAT</t>
        </is>
      </c>
      <c r="D2695" s="115" t="inlineStr">
        <is>
          <t>34 GVZ 745</t>
        </is>
      </c>
      <c r="E2695" s="115" t="inlineStr">
        <is>
          <t>MURAT DEMİRBAŞ</t>
        </is>
      </c>
      <c r="F2695" s="115" t="n">
        <v>271971</v>
      </c>
      <c r="G2695" s="156" t="n"/>
      <c r="H2695" s="152" t="n">
        <v>388</v>
      </c>
      <c r="I2695" s="156" t="n"/>
      <c r="J2695" s="90" t="n"/>
      <c r="K2695" s="166" t="n"/>
      <c r="L2695" s="158" t="n"/>
      <c r="M2695" s="159" t="n"/>
    </row>
    <row r="2696">
      <c r="A2696" s="114" t="n">
        <v>46201</v>
      </c>
      <c r="B2696" s="115" t="n">
        <v>3013</v>
      </c>
      <c r="C2696" s="115" t="inlineStr">
        <is>
          <t>SELİM İNŞAAT</t>
        </is>
      </c>
      <c r="D2696" s="115" t="inlineStr">
        <is>
          <t>34 GVZ 745</t>
        </is>
      </c>
      <c r="E2696" s="115" t="inlineStr">
        <is>
          <t>MURAT DEMİRBAŞ</t>
        </is>
      </c>
      <c r="F2696" s="115" t="n">
        <v>272673</v>
      </c>
      <c r="G2696" s="156" t="n"/>
      <c r="H2696" s="152" t="n">
        <v>444</v>
      </c>
      <c r="I2696" s="156" t="n"/>
      <c r="J2696" s="90" t="n"/>
      <c r="K2696" s="166" t="n"/>
      <c r="L2696" s="158" t="n"/>
      <c r="M2696" s="159" t="n"/>
    </row>
    <row r="2697">
      <c r="A2697" s="114" t="n">
        <v>46202</v>
      </c>
      <c r="B2697" s="115" t="n">
        <v>3014</v>
      </c>
      <c r="C2697" s="115" t="inlineStr">
        <is>
          <t>SELİM İNŞAAT</t>
        </is>
      </c>
      <c r="D2697" s="115" t="inlineStr">
        <is>
          <t>34 GVZ 745</t>
        </is>
      </c>
      <c r="E2697" s="115" t="inlineStr">
        <is>
          <t>MURAT DEMİRBAŞ</t>
        </is>
      </c>
      <c r="F2697" s="115" t="n">
        <v>273061</v>
      </c>
      <c r="G2697" s="156" t="n"/>
      <c r="H2697" s="152" t="n">
        <v>314</v>
      </c>
      <c r="I2697" s="156" t="n"/>
      <c r="J2697" s="90" t="n"/>
      <c r="K2697" s="166" t="n"/>
      <c r="L2697" s="158" t="n"/>
      <c r="M2697" s="159" t="n"/>
    </row>
    <row r="2698">
      <c r="A2698" s="114" t="n">
        <v>46203</v>
      </c>
      <c r="B2698" s="115" t="n">
        <v>3015</v>
      </c>
      <c r="C2698" s="115" t="inlineStr">
        <is>
          <t>SELİM İNŞAAT</t>
        </is>
      </c>
      <c r="D2698" s="115" t="inlineStr">
        <is>
          <t>34 GVZ 745</t>
        </is>
      </c>
      <c r="E2698" s="115" t="inlineStr">
        <is>
          <t>MURAT DEMİRBAŞ</t>
        </is>
      </c>
      <c r="F2698" s="115" t="n">
        <v>373552</v>
      </c>
      <c r="G2698" s="156" t="n"/>
      <c r="H2698" s="152" t="n">
        <v>392</v>
      </c>
      <c r="I2698" s="156" t="n"/>
      <c r="J2698" s="90" t="n"/>
      <c r="K2698" s="166" t="n"/>
      <c r="L2698" s="158" t="n"/>
      <c r="M2698" s="159" t="n"/>
    </row>
    <row r="2699">
      <c r="A2699" s="114" t="n">
        <v>46190</v>
      </c>
      <c r="B2699" s="115" t="n">
        <v>1720</v>
      </c>
      <c r="C2699" s="115" t="inlineStr">
        <is>
          <t>SELİM İNŞAAT</t>
        </is>
      </c>
      <c r="D2699" s="115" t="inlineStr">
        <is>
          <t>34 EDC 162</t>
        </is>
      </c>
      <c r="E2699" s="115" t="inlineStr">
        <is>
          <t>YAKUP</t>
        </is>
      </c>
      <c r="F2699" s="115" t="n">
        <v>434447</v>
      </c>
      <c r="G2699" s="156" t="n"/>
      <c r="H2699" s="152" t="n">
        <v>515</v>
      </c>
      <c r="I2699" s="156" t="n"/>
      <c r="J2699" s="90" t="n"/>
      <c r="K2699" s="166" t="n"/>
      <c r="L2699" s="158" t="n"/>
      <c r="M2699" s="159" t="n"/>
    </row>
    <row r="2700">
      <c r="A2700" s="114" t="n">
        <v>46192</v>
      </c>
      <c r="B2700" s="115" t="n">
        <v>1721</v>
      </c>
      <c r="C2700" s="115" t="inlineStr">
        <is>
          <t>SELİM İNŞAAT</t>
        </is>
      </c>
      <c r="D2700" s="115" t="inlineStr">
        <is>
          <t>34 EDC 162</t>
        </is>
      </c>
      <c r="E2700" s="115" t="inlineStr">
        <is>
          <t>YAKUP</t>
        </is>
      </c>
      <c r="F2700" s="115" t="n">
        <v>434918</v>
      </c>
      <c r="G2700" s="156" t="n"/>
      <c r="H2700" s="152" t="n">
        <v>401</v>
      </c>
      <c r="I2700" s="156" t="n"/>
      <c r="J2700" s="90" t="n"/>
      <c r="K2700" s="166" t="n"/>
      <c r="L2700" s="158" t="n"/>
      <c r="M2700" s="159" t="n"/>
    </row>
    <row r="2701">
      <c r="A2701" s="114" t="n">
        <v>46195</v>
      </c>
      <c r="B2701" s="115" t="n">
        <v>1722</v>
      </c>
      <c r="C2701" s="115" t="inlineStr">
        <is>
          <t>SELİM İNŞAAT</t>
        </is>
      </c>
      <c r="D2701" s="115" t="inlineStr">
        <is>
          <t>34 EDC 162</t>
        </is>
      </c>
      <c r="E2701" s="115" t="inlineStr">
        <is>
          <t>YAKUP</t>
        </is>
      </c>
      <c r="F2701" s="115" t="n">
        <v>435461</v>
      </c>
      <c r="G2701" s="156" t="n"/>
      <c r="H2701" s="152" t="n">
        <v>366</v>
      </c>
      <c r="I2701" s="156" t="n"/>
      <c r="J2701" s="90" t="n"/>
      <c r="K2701" s="166" t="n"/>
      <c r="L2701" s="158" t="n"/>
      <c r="M2701" s="159" t="n"/>
    </row>
    <row r="2702">
      <c r="A2702" s="114" t="n">
        <v>46197</v>
      </c>
      <c r="B2702" s="115" t="n">
        <v>1723</v>
      </c>
      <c r="C2702" s="115" t="inlineStr">
        <is>
          <t>SELİM İNŞAAT</t>
        </is>
      </c>
      <c r="D2702" s="115" t="inlineStr">
        <is>
          <t>34 EDC 162</t>
        </is>
      </c>
      <c r="E2702" s="115" t="inlineStr">
        <is>
          <t>YAKUP</t>
        </is>
      </c>
      <c r="F2702" s="115" t="n">
        <v>436091</v>
      </c>
      <c r="G2702" s="156" t="n"/>
      <c r="H2702" s="152" t="n">
        <v>436</v>
      </c>
      <c r="I2702" s="156" t="n"/>
      <c r="J2702" s="90" t="n"/>
      <c r="K2702" s="166" t="n"/>
      <c r="L2702" s="158" t="n"/>
      <c r="M2702" s="159" t="n"/>
    </row>
    <row r="2703">
      <c r="A2703" s="114" t="n">
        <v>46199</v>
      </c>
      <c r="B2703" s="115" t="n">
        <v>1724</v>
      </c>
      <c r="C2703" s="115" t="inlineStr">
        <is>
          <t>SELİM İNŞAAT</t>
        </is>
      </c>
      <c r="D2703" s="115" t="inlineStr">
        <is>
          <t>34 EDC 162</t>
        </is>
      </c>
      <c r="E2703" s="115" t="inlineStr">
        <is>
          <t>YAKUP</t>
        </is>
      </c>
      <c r="F2703" s="115" t="n">
        <v>436783</v>
      </c>
      <c r="G2703" s="156" t="n"/>
      <c r="H2703" s="152" t="n">
        <v>469</v>
      </c>
      <c r="I2703" s="156" t="n"/>
      <c r="J2703" s="90" t="n"/>
      <c r="K2703" s="166" t="n"/>
      <c r="L2703" s="158" t="n"/>
      <c r="M2703" s="159" t="n"/>
    </row>
    <row r="2704">
      <c r="A2704" s="114" t="n">
        <v>46200</v>
      </c>
      <c r="B2704" s="115" t="n">
        <v>1725</v>
      </c>
      <c r="C2704" s="115" t="inlineStr">
        <is>
          <t>SELİM İNŞAAT</t>
        </is>
      </c>
      <c r="D2704" s="115" t="inlineStr">
        <is>
          <t>34 EDC 162</t>
        </is>
      </c>
      <c r="E2704" s="115" t="inlineStr">
        <is>
          <t>YAKUP</t>
        </is>
      </c>
      <c r="F2704" s="115" t="n">
        <v>437309</v>
      </c>
      <c r="G2704" s="156" t="n"/>
      <c r="H2704" s="152" t="n">
        <v>400</v>
      </c>
      <c r="I2704" s="156" t="n"/>
      <c r="J2704" s="90" t="n"/>
      <c r="K2704" s="166" t="n"/>
      <c r="L2704" s="158" t="n"/>
      <c r="M2704" s="159" t="n"/>
    </row>
    <row r="2705">
      <c r="A2705" s="114" t="n">
        <v>46202</v>
      </c>
      <c r="B2705" s="115" t="n">
        <v>1726</v>
      </c>
      <c r="C2705" s="115" t="inlineStr">
        <is>
          <t>SELİM İNŞAAT</t>
        </is>
      </c>
      <c r="D2705" s="115" t="inlineStr">
        <is>
          <t>34 EDC 162</t>
        </is>
      </c>
      <c r="E2705" s="115" t="inlineStr">
        <is>
          <t>YAKUP</t>
        </is>
      </c>
      <c r="F2705" s="115" t="n">
        <v>437720</v>
      </c>
      <c r="G2705" s="156" t="n"/>
      <c r="H2705" s="152" t="n">
        <v>355</v>
      </c>
      <c r="I2705" s="156" t="n"/>
      <c r="J2705" s="90" t="n"/>
      <c r="K2705" s="166" t="n"/>
      <c r="L2705" s="158" t="n"/>
      <c r="M2705" s="159" t="n"/>
    </row>
    <row r="2706">
      <c r="A2706" s="114" t="n">
        <v>46191</v>
      </c>
      <c r="B2706" s="115" t="n">
        <v>971</v>
      </c>
      <c r="C2706" s="115" t="inlineStr">
        <is>
          <t>SELİM İNŞAAT</t>
        </is>
      </c>
      <c r="D2706" s="115" t="inlineStr">
        <is>
          <t>34 DSN 636</t>
        </is>
      </c>
      <c r="E2706" s="115" t="inlineStr">
        <is>
          <t>MEHMETALİ BOZBEŞPARMAK</t>
        </is>
      </c>
      <c r="F2706" s="115" t="n">
        <v>445789</v>
      </c>
      <c r="G2706" s="156" t="n"/>
      <c r="H2706" s="152" t="n">
        <v>531</v>
      </c>
      <c r="I2706" s="156" t="n"/>
      <c r="J2706" s="90" t="n"/>
      <c r="K2706" s="166" t="n"/>
      <c r="L2706" s="158" t="n"/>
      <c r="M2706" s="159" t="n"/>
    </row>
    <row r="2707">
      <c r="A2707" s="114" t="n">
        <v>46193</v>
      </c>
      <c r="B2707" s="115" t="n">
        <v>972</v>
      </c>
      <c r="C2707" s="115" t="inlineStr">
        <is>
          <t>SELİM İNŞAAT</t>
        </is>
      </c>
      <c r="D2707" s="115" t="inlineStr">
        <is>
          <t>34 DSN 636</t>
        </is>
      </c>
      <c r="E2707" s="115" t="inlineStr">
        <is>
          <t>MEHMETALİ BOZBEŞPARMAK</t>
        </is>
      </c>
      <c r="F2707" s="115" t="n">
        <v>446624</v>
      </c>
      <c r="G2707" s="156" t="n"/>
      <c r="H2707" s="152" t="n">
        <v>586</v>
      </c>
      <c r="I2707" s="156" t="n"/>
      <c r="J2707" s="90" t="n"/>
      <c r="K2707" s="166" t="n"/>
      <c r="L2707" s="158" t="n"/>
      <c r="M2707" s="159" t="n"/>
    </row>
    <row r="2708">
      <c r="A2708" s="114" t="n">
        <v>46196</v>
      </c>
      <c r="B2708" s="115" t="n">
        <v>973</v>
      </c>
      <c r="C2708" s="115" t="inlineStr">
        <is>
          <t>SELİM İNŞAAT</t>
        </is>
      </c>
      <c r="D2708" s="115" t="inlineStr">
        <is>
          <t>34 DSN 636</t>
        </is>
      </c>
      <c r="E2708" s="115" t="inlineStr">
        <is>
          <t>MEHMETALİ BOZBEŞPARMAK</t>
        </is>
      </c>
      <c r="F2708" s="115" t="n">
        <v>447156</v>
      </c>
      <c r="G2708" s="156" t="n"/>
      <c r="H2708" s="152" t="n">
        <v>400</v>
      </c>
      <c r="I2708" s="156" t="n"/>
      <c r="J2708" s="90" t="n"/>
      <c r="K2708" s="166" t="n"/>
      <c r="L2708" s="158" t="n"/>
      <c r="M2708" s="159" t="n"/>
    </row>
    <row r="2709">
      <c r="A2709" s="114" t="n">
        <v>46198</v>
      </c>
      <c r="B2709" s="115" t="n">
        <v>974</v>
      </c>
      <c r="C2709" s="115" t="inlineStr">
        <is>
          <t>SELİM İNŞAAT</t>
        </is>
      </c>
      <c r="D2709" s="115" t="inlineStr">
        <is>
          <t>34 DSN 636</t>
        </is>
      </c>
      <c r="E2709" s="115" t="inlineStr">
        <is>
          <t>MEHMETALİ BOZBEŞPARMAK</t>
        </is>
      </c>
      <c r="F2709" s="115" t="n">
        <v>448074</v>
      </c>
      <c r="G2709" s="156" t="n"/>
      <c r="H2709" s="152" t="n">
        <v>580</v>
      </c>
      <c r="I2709" s="156" t="n"/>
      <c r="J2709" s="90" t="n"/>
      <c r="K2709" s="166" t="n"/>
      <c r="L2709" s="158" t="n"/>
      <c r="M2709" s="159" t="n"/>
    </row>
    <row r="2710">
      <c r="A2710" s="114" t="n">
        <v>46200</v>
      </c>
      <c r="B2710" s="115" t="n">
        <v>975</v>
      </c>
      <c r="C2710" s="115" t="inlineStr">
        <is>
          <t>SELİM İNŞAAT</t>
        </is>
      </c>
      <c r="D2710" s="115" t="inlineStr">
        <is>
          <t>34 DSN 636</t>
        </is>
      </c>
      <c r="E2710" s="115" t="inlineStr">
        <is>
          <t>MEHMETALİ BOZBEŞPARMAK</t>
        </is>
      </c>
      <c r="F2710" s="115" t="n">
        <v>448782</v>
      </c>
      <c r="G2710" s="156" t="n"/>
      <c r="H2710" s="152" t="n">
        <v>450</v>
      </c>
      <c r="I2710" s="156" t="n"/>
      <c r="J2710" s="90" t="n"/>
      <c r="K2710" s="166" t="n"/>
      <c r="L2710" s="158" t="n"/>
      <c r="M2710" s="159" t="n"/>
    </row>
    <row r="2711">
      <c r="A2711" s="114" t="n">
        <v>46201</v>
      </c>
      <c r="B2711" s="115" t="n">
        <v>976</v>
      </c>
      <c r="C2711" s="115" t="inlineStr">
        <is>
          <t>SELİM İNŞAAT</t>
        </is>
      </c>
      <c r="D2711" s="115" t="inlineStr">
        <is>
          <t>34 DSN 636</t>
        </is>
      </c>
      <c r="E2711" s="115" t="inlineStr">
        <is>
          <t>MEHMETALİ BOZBEŞPARMAK</t>
        </is>
      </c>
      <c r="F2711" s="115" t="n">
        <v>449387</v>
      </c>
      <c r="G2711" s="156" t="n"/>
      <c r="H2711" s="152" t="n">
        <v>400</v>
      </c>
      <c r="I2711" s="156" t="n"/>
      <c r="J2711" s="90" t="n"/>
      <c r="K2711" s="166" t="n"/>
      <c r="L2711" s="158" t="n"/>
      <c r="M2711" s="159" t="n"/>
    </row>
    <row r="2712">
      <c r="A2712" s="114" t="n">
        <v>46189</v>
      </c>
      <c r="B2712" s="115" t="n">
        <v>1467</v>
      </c>
      <c r="C2712" s="115" t="inlineStr">
        <is>
          <t>SELİM İNŞAAT</t>
        </is>
      </c>
      <c r="D2712" s="115" t="inlineStr">
        <is>
          <t>34 EDB 754</t>
        </is>
      </c>
      <c r="E2712" s="115" t="inlineStr">
        <is>
          <t>AZİZ ORUÇ</t>
        </is>
      </c>
      <c r="F2712" s="115" t="n">
        <v>387970</v>
      </c>
      <c r="G2712" s="156" t="n"/>
      <c r="H2712" s="152" t="n">
        <v>407</v>
      </c>
      <c r="I2712" s="156" t="n"/>
      <c r="J2712" s="90" t="n"/>
      <c r="K2712" s="166" t="n"/>
      <c r="L2712" s="158" t="n"/>
      <c r="M2712" s="159" t="n"/>
    </row>
    <row r="2713">
      <c r="A2713" s="114" t="n">
        <v>46192</v>
      </c>
      <c r="B2713" s="115" t="n">
        <v>1468</v>
      </c>
      <c r="C2713" s="115" t="inlineStr">
        <is>
          <t>SELİM İNŞAAT</t>
        </is>
      </c>
      <c r="D2713" s="115" t="inlineStr">
        <is>
          <t>34 EDB 754</t>
        </is>
      </c>
      <c r="E2713" s="115" t="inlineStr">
        <is>
          <t>AZİZ ORUÇ</t>
        </is>
      </c>
      <c r="F2713" s="115" t="n">
        <v>388633</v>
      </c>
      <c r="G2713" s="156" t="n"/>
      <c r="H2713" s="152" t="n">
        <v>482</v>
      </c>
      <c r="I2713" s="156" t="n"/>
      <c r="J2713" s="90" t="n"/>
      <c r="K2713" s="166" t="n"/>
      <c r="L2713" s="158" t="n"/>
      <c r="M2713" s="159" t="n"/>
    </row>
    <row r="2714">
      <c r="A2714" s="114" t="n">
        <v>46193</v>
      </c>
      <c r="B2714" s="115" t="n">
        <v>1469</v>
      </c>
      <c r="C2714" s="115" t="inlineStr">
        <is>
          <t>SELİM İNŞAAT</t>
        </is>
      </c>
      <c r="D2714" s="115" t="inlineStr">
        <is>
          <t>34 EDB 754</t>
        </is>
      </c>
      <c r="E2714" s="115" t="inlineStr">
        <is>
          <t>AZİZ ORUÇ</t>
        </is>
      </c>
      <c r="F2714" s="115" t="n">
        <v>388931</v>
      </c>
      <c r="G2714" s="156" t="n"/>
      <c r="H2714" s="152" t="n">
        <v>246</v>
      </c>
      <c r="I2714" s="156" t="n"/>
      <c r="J2714" s="90" t="n"/>
      <c r="K2714" s="166" t="n"/>
      <c r="L2714" s="158" t="n"/>
      <c r="M2714" s="159" t="n"/>
    </row>
    <row r="2715">
      <c r="A2715" s="114" t="n">
        <v>46196</v>
      </c>
      <c r="B2715" s="115" t="n">
        <v>1470</v>
      </c>
      <c r="C2715" s="115" t="inlineStr">
        <is>
          <t>SELİM İNŞAAT</t>
        </is>
      </c>
      <c r="D2715" s="115" t="inlineStr">
        <is>
          <t>34 EDB 754</t>
        </is>
      </c>
      <c r="E2715" s="115" t="inlineStr">
        <is>
          <t>AZİZ ORUÇ</t>
        </is>
      </c>
      <c r="F2715" s="115" t="n">
        <v>389572</v>
      </c>
      <c r="G2715" s="156" t="n"/>
      <c r="H2715" s="152" t="n">
        <v>465</v>
      </c>
      <c r="I2715" s="156" t="n"/>
      <c r="J2715" s="90" t="n"/>
      <c r="K2715" s="166" t="n"/>
      <c r="L2715" s="158" t="n"/>
      <c r="M2715" s="159" t="n"/>
    </row>
    <row r="2716">
      <c r="A2716" s="114" t="n">
        <v>46199</v>
      </c>
      <c r="B2716" s="115" t="n">
        <v>1471</v>
      </c>
      <c r="C2716" s="115" t="inlineStr">
        <is>
          <t>SELİM İNŞAAT</t>
        </is>
      </c>
      <c r="D2716" s="115" t="inlineStr">
        <is>
          <t>34 EDB 754</t>
        </is>
      </c>
      <c r="E2716" s="115" t="inlineStr">
        <is>
          <t>AZİZ ORUÇ</t>
        </is>
      </c>
      <c r="F2716" s="115" t="n">
        <v>390056</v>
      </c>
      <c r="G2716" s="156" t="n"/>
      <c r="H2716" s="152" t="n">
        <v>400</v>
      </c>
      <c r="I2716" s="156" t="n"/>
      <c r="J2716" s="90" t="n"/>
      <c r="K2716" s="166" t="n"/>
      <c r="L2716" s="158" t="n"/>
      <c r="M2716" s="159" t="n"/>
    </row>
    <row r="2717">
      <c r="A2717" s="114" t="n">
        <v>46200</v>
      </c>
      <c r="B2717" s="115" t="n">
        <v>1472</v>
      </c>
      <c r="C2717" s="115" t="inlineStr">
        <is>
          <t>SELİM İNŞAAT</t>
        </is>
      </c>
      <c r="D2717" s="115" t="inlineStr">
        <is>
          <t>34 EDB 754</t>
        </is>
      </c>
      <c r="E2717" s="115" t="inlineStr">
        <is>
          <t>AZİZ ORUÇ</t>
        </is>
      </c>
      <c r="F2717" s="115" t="n">
        <v>390820</v>
      </c>
      <c r="G2717" s="156" t="n"/>
      <c r="H2717" s="152" t="n">
        <v>539</v>
      </c>
      <c r="I2717" s="156" t="n"/>
      <c r="J2717" s="90" t="n"/>
      <c r="K2717" s="166" t="n"/>
      <c r="L2717" s="158" t="n"/>
      <c r="M2717" s="159" t="n"/>
    </row>
    <row r="2718">
      <c r="A2718" s="114" t="n">
        <v>46202</v>
      </c>
      <c r="B2718" s="115" t="n">
        <v>1473</v>
      </c>
      <c r="C2718" s="115" t="inlineStr">
        <is>
          <t>SELİM İNŞAAT</t>
        </is>
      </c>
      <c r="D2718" s="115" t="inlineStr">
        <is>
          <t>34 EDB 754</t>
        </is>
      </c>
      <c r="E2718" s="115" t="inlineStr">
        <is>
          <t>AZİZ ORUÇ</t>
        </is>
      </c>
      <c r="F2718" s="115" t="n">
        <v>391696</v>
      </c>
      <c r="G2718" s="156" t="n"/>
      <c r="H2718" s="152" t="n">
        <v>580</v>
      </c>
      <c r="I2718" s="156" t="n"/>
      <c r="J2718" s="90" t="n"/>
      <c r="K2718" s="166" t="n"/>
      <c r="L2718" s="158" t="n"/>
      <c r="M2718" s="159" t="n"/>
    </row>
    <row r="2719">
      <c r="A2719" s="114" t="n">
        <v>46190</v>
      </c>
      <c r="B2719" s="115" t="n">
        <v>179</v>
      </c>
      <c r="C2719" s="115" t="inlineStr">
        <is>
          <t>SELİM İNŞAAT</t>
        </is>
      </c>
      <c r="D2719" s="115" t="inlineStr">
        <is>
          <t>34 FBR 771</t>
        </is>
      </c>
      <c r="E2719" s="115" t="inlineStr">
        <is>
          <t xml:space="preserve">SALİH </t>
        </is>
      </c>
      <c r="F2719" s="115" t="n">
        <v>368355</v>
      </c>
      <c r="G2719" s="156" t="n"/>
      <c r="H2719" s="152" t="n">
        <v>407</v>
      </c>
      <c r="I2719" s="156" t="n"/>
      <c r="J2719" s="90" t="n"/>
      <c r="K2719" s="166" t="n"/>
      <c r="L2719" s="158" t="n"/>
      <c r="M2719" s="159" t="n"/>
    </row>
    <row r="2720">
      <c r="A2720" s="114" t="n">
        <v>46193</v>
      </c>
      <c r="B2720" s="115" t="n">
        <v>180</v>
      </c>
      <c r="C2720" s="115" t="inlineStr">
        <is>
          <t>SELİM İNŞAAT</t>
        </is>
      </c>
      <c r="D2720" s="115" t="inlineStr">
        <is>
          <t>34 FBR 771</t>
        </is>
      </c>
      <c r="E2720" s="115" t="inlineStr">
        <is>
          <t xml:space="preserve">SALİH </t>
        </is>
      </c>
      <c r="F2720" s="115" t="n">
        <v>369032</v>
      </c>
      <c r="G2720" s="156" t="n"/>
      <c r="H2720" s="152" t="n">
        <v>479</v>
      </c>
      <c r="I2720" s="156" t="n"/>
      <c r="J2720" s="90" t="n"/>
      <c r="K2720" s="166" t="n"/>
      <c r="L2720" s="158" t="n"/>
      <c r="M2720" s="159" t="n"/>
    </row>
    <row r="2721">
      <c r="A2721" s="114" t="n">
        <v>46196</v>
      </c>
      <c r="B2721" s="115" t="n">
        <v>181</v>
      </c>
      <c r="C2721" s="115" t="inlineStr">
        <is>
          <t>SELİM İNŞAAT</t>
        </is>
      </c>
      <c r="D2721" s="115" t="inlineStr">
        <is>
          <t>34 FBR 771</t>
        </is>
      </c>
      <c r="E2721" s="115" t="inlineStr">
        <is>
          <t xml:space="preserve">SALİH </t>
        </is>
      </c>
      <c r="F2721" s="115" t="n">
        <v>369765</v>
      </c>
      <c r="G2721" s="156" t="n"/>
      <c r="H2721" s="152" t="n">
        <v>458</v>
      </c>
      <c r="I2721" s="156" t="n"/>
      <c r="J2721" s="90" t="n"/>
      <c r="K2721" s="166" t="n"/>
      <c r="L2721" s="158" t="n"/>
      <c r="M2721" s="159" t="n"/>
    </row>
    <row r="2722">
      <c r="A2722" s="114" t="n">
        <v>46199</v>
      </c>
      <c r="B2722" s="115" t="n">
        <v>182</v>
      </c>
      <c r="C2722" s="115" t="inlineStr">
        <is>
          <t>SELİM İNŞAAT</t>
        </is>
      </c>
      <c r="D2722" s="115" t="inlineStr">
        <is>
          <t>34 FBR 771</t>
        </is>
      </c>
      <c r="E2722" s="115" t="inlineStr">
        <is>
          <t xml:space="preserve">SALİH </t>
        </is>
      </c>
      <c r="F2722" s="115" t="n">
        <v>370714</v>
      </c>
      <c r="G2722" s="156" t="n"/>
      <c r="H2722" s="152" t="n">
        <v>571</v>
      </c>
      <c r="I2722" s="156" t="n"/>
      <c r="J2722" s="90" t="n"/>
      <c r="K2722" s="166" t="n"/>
      <c r="L2722" s="158" t="n"/>
      <c r="M2722" s="159" t="n"/>
    </row>
    <row r="2723">
      <c r="A2723" s="114" t="n">
        <v>46201</v>
      </c>
      <c r="B2723" s="115" t="n">
        <v>183</v>
      </c>
      <c r="C2723" s="115" t="inlineStr">
        <is>
          <t>SELİM İNŞAAT</t>
        </is>
      </c>
      <c r="D2723" s="115" t="inlineStr">
        <is>
          <t>34 FBR 771</t>
        </is>
      </c>
      <c r="E2723" s="115" t="inlineStr">
        <is>
          <t xml:space="preserve">SALİH </t>
        </is>
      </c>
      <c r="F2723" s="115" t="n">
        <v>371560</v>
      </c>
      <c r="G2723" s="156" t="n"/>
      <c r="H2723" s="152" t="n">
        <v>510</v>
      </c>
      <c r="I2723" s="156" t="n"/>
      <c r="J2723" s="90" t="n"/>
      <c r="K2723" s="166" t="n"/>
      <c r="L2723" s="158" t="n"/>
      <c r="M2723" s="159" t="n"/>
    </row>
    <row r="2724">
      <c r="A2724" s="114" t="n">
        <v>46203</v>
      </c>
      <c r="B2724" s="115" t="n">
        <v>184</v>
      </c>
      <c r="C2724" s="115" t="inlineStr">
        <is>
          <t>SELİM İNŞAAT</t>
        </is>
      </c>
      <c r="D2724" s="115" t="inlineStr">
        <is>
          <t>34 FBR 771</t>
        </is>
      </c>
      <c r="E2724" s="115" t="inlineStr">
        <is>
          <t xml:space="preserve">SALİH </t>
        </is>
      </c>
      <c r="F2724" s="115" t="n">
        <v>372203</v>
      </c>
      <c r="G2724" s="156" t="n"/>
      <c r="H2724" s="152" t="n">
        <v>446</v>
      </c>
      <c r="I2724" s="156" t="n"/>
      <c r="J2724" s="90" t="n"/>
      <c r="K2724" s="166" t="n"/>
      <c r="L2724" s="158" t="n"/>
      <c r="M2724" s="159" t="n"/>
    </row>
    <row r="2725">
      <c r="A2725" s="114" t="n">
        <v>46189</v>
      </c>
      <c r="B2725" s="115" t="n">
        <v>3182</v>
      </c>
      <c r="C2725" s="115" t="inlineStr">
        <is>
          <t>SELİM İNŞAAT</t>
        </is>
      </c>
      <c r="D2725" s="115" t="inlineStr">
        <is>
          <t>34 DTV 599</t>
        </is>
      </c>
      <c r="E2725" s="115" t="inlineStr">
        <is>
          <t>ADNAN KOÇ</t>
        </is>
      </c>
      <c r="F2725" s="115" t="n">
        <v>482052</v>
      </c>
      <c r="G2725" s="156" t="n"/>
      <c r="H2725" s="152" t="n">
        <v>284</v>
      </c>
      <c r="I2725" s="156" t="n"/>
      <c r="J2725" s="90" t="n"/>
      <c r="K2725" s="166" t="n"/>
      <c r="L2725" s="158" t="n"/>
      <c r="M2725" s="159" t="n"/>
    </row>
    <row r="2726">
      <c r="A2726" s="114" t="n">
        <v>46191</v>
      </c>
      <c r="B2726" s="115" t="n">
        <v>3183</v>
      </c>
      <c r="C2726" s="115" t="inlineStr">
        <is>
          <t>SELİM İNŞAAT</t>
        </is>
      </c>
      <c r="D2726" s="115" t="inlineStr">
        <is>
          <t>34 DTV 599</t>
        </is>
      </c>
      <c r="E2726" s="115" t="inlineStr">
        <is>
          <t>ADNAN KOÇ</t>
        </is>
      </c>
      <c r="F2726" s="115" t="n">
        <v>482749</v>
      </c>
      <c r="G2726" s="156" t="n"/>
      <c r="H2726" s="152" t="n">
        <v>454</v>
      </c>
      <c r="I2726" s="156" t="n"/>
      <c r="J2726" s="90" t="n"/>
      <c r="K2726" s="166" t="n"/>
      <c r="L2726" s="158" t="n"/>
      <c r="M2726" s="159" t="n"/>
    </row>
    <row r="2727">
      <c r="A2727" s="114" t="n">
        <v>46193</v>
      </c>
      <c r="B2727" s="115" t="n">
        <v>3184</v>
      </c>
      <c r="C2727" s="115" t="inlineStr">
        <is>
          <t>SELİM İNŞAAT</t>
        </is>
      </c>
      <c r="D2727" s="115" t="inlineStr">
        <is>
          <t>34 DTV 599</t>
        </is>
      </c>
      <c r="E2727" s="115" t="inlineStr">
        <is>
          <t>ADNAN KOÇ</t>
        </is>
      </c>
      <c r="F2727" s="115" t="n">
        <v>483256</v>
      </c>
      <c r="G2727" s="156" t="n"/>
      <c r="H2727" s="152" t="n">
        <v>351</v>
      </c>
      <c r="I2727" s="156" t="n"/>
      <c r="J2727" s="90" t="n"/>
      <c r="K2727" s="166" t="n"/>
      <c r="L2727" s="158" t="n"/>
      <c r="M2727" s="159" t="n"/>
    </row>
    <row r="2728">
      <c r="A2728" s="114" t="n">
        <v>46196</v>
      </c>
      <c r="B2728" s="115" t="n">
        <v>3185</v>
      </c>
      <c r="C2728" s="115" t="inlineStr">
        <is>
          <t>SELİM İNŞAAT</t>
        </is>
      </c>
      <c r="D2728" s="115" t="inlineStr">
        <is>
          <t>34 DTV 599</t>
        </is>
      </c>
      <c r="E2728" s="115" t="inlineStr">
        <is>
          <t>ADNAN KOÇ</t>
        </is>
      </c>
      <c r="F2728" s="115" t="n">
        <v>483971</v>
      </c>
      <c r="G2728" s="156" t="n"/>
      <c r="H2728" s="152" t="n">
        <v>445</v>
      </c>
      <c r="I2728" s="156" t="n"/>
      <c r="J2728" s="90" t="n"/>
      <c r="K2728" s="166" t="n"/>
      <c r="L2728" s="158" t="n"/>
      <c r="M2728" s="159" t="n"/>
    </row>
    <row r="2729">
      <c r="A2729" s="114" t="n">
        <v>46197</v>
      </c>
      <c r="B2729" s="115" t="n">
        <v>3186</v>
      </c>
      <c r="C2729" s="115" t="inlineStr">
        <is>
          <t>SELİM İNŞAAT</t>
        </is>
      </c>
      <c r="D2729" s="115" t="inlineStr">
        <is>
          <t>34 DTV 599</t>
        </is>
      </c>
      <c r="E2729" s="115" t="inlineStr">
        <is>
          <t>ADNAN KOÇ</t>
        </is>
      </c>
      <c r="F2729" s="115" t="n">
        <v>484301</v>
      </c>
      <c r="G2729" s="156" t="n"/>
      <c r="H2729" s="152" t="n">
        <v>258</v>
      </c>
      <c r="I2729" s="156" t="n"/>
      <c r="J2729" s="90" t="n"/>
      <c r="K2729" s="166" t="n"/>
      <c r="L2729" s="158" t="n"/>
      <c r="M2729" s="159" t="n"/>
    </row>
    <row r="2730">
      <c r="A2730" s="114" t="n">
        <v>46190</v>
      </c>
      <c r="B2730" s="115" t="n">
        <v>119</v>
      </c>
      <c r="C2730" s="115" t="inlineStr">
        <is>
          <t>SELİM İNŞAAT</t>
        </is>
      </c>
      <c r="D2730" s="115" t="inlineStr">
        <is>
          <t>34 GUS 848</t>
        </is>
      </c>
      <c r="E2730" s="115" t="inlineStr">
        <is>
          <t>SERDAR BOZKURT</t>
        </is>
      </c>
      <c r="F2730" s="115" t="n">
        <v>250924</v>
      </c>
      <c r="G2730" s="156" t="n"/>
      <c r="H2730" s="152" t="n">
        <v>505</v>
      </c>
      <c r="I2730" s="156" t="n"/>
      <c r="J2730" s="90" t="n"/>
      <c r="K2730" s="166" t="n"/>
      <c r="L2730" s="158" t="n"/>
      <c r="M2730" s="159" t="n"/>
    </row>
    <row r="2731">
      <c r="A2731" s="114" t="n">
        <v>46192</v>
      </c>
      <c r="B2731" s="115" t="n">
        <v>120</v>
      </c>
      <c r="C2731" s="115" t="inlineStr">
        <is>
          <t>SELİM İNŞAAT</t>
        </is>
      </c>
      <c r="D2731" s="115" t="inlineStr">
        <is>
          <t>34 GUS 848</t>
        </is>
      </c>
      <c r="E2731" s="115" t="inlineStr">
        <is>
          <t>SERDAR BOZKURT</t>
        </is>
      </c>
      <c r="F2731" s="115" t="n">
        <v>251705</v>
      </c>
      <c r="G2731" s="156" t="n"/>
      <c r="H2731" s="152" t="n">
        <v>540</v>
      </c>
      <c r="I2731" s="156" t="n"/>
      <c r="J2731" s="90" t="n"/>
      <c r="K2731" s="166" t="n"/>
      <c r="L2731" s="158" t="n"/>
      <c r="M2731" s="159" t="n"/>
    </row>
    <row r="2732">
      <c r="A2732" s="114" t="n">
        <v>46196</v>
      </c>
      <c r="B2732" s="115" t="n">
        <v>121</v>
      </c>
      <c r="C2732" s="115" t="inlineStr">
        <is>
          <t>SELİM İNŞAAT</t>
        </is>
      </c>
      <c r="D2732" s="115" t="inlineStr">
        <is>
          <t>34 GUS 848</t>
        </is>
      </c>
      <c r="E2732" s="115" t="inlineStr">
        <is>
          <t>SERDAR BOZKURT</t>
        </is>
      </c>
      <c r="F2732" s="115" t="n">
        <v>252353</v>
      </c>
      <c r="G2732" s="156" t="n"/>
      <c r="H2732" s="152" t="n">
        <v>464</v>
      </c>
      <c r="I2732" s="156" t="n"/>
      <c r="J2732" s="90" t="n"/>
      <c r="K2732" s="166" t="n"/>
      <c r="L2732" s="158" t="n"/>
      <c r="M2732" s="159" t="n"/>
    </row>
    <row r="2733">
      <c r="A2733" s="114" t="n">
        <v>46198</v>
      </c>
      <c r="B2733" s="115" t="n">
        <v>122</v>
      </c>
      <c r="C2733" s="115" t="inlineStr">
        <is>
          <t>SELİM İNŞAAT</t>
        </is>
      </c>
      <c r="D2733" s="115" t="inlineStr">
        <is>
          <t>34 GUS 848</t>
        </is>
      </c>
      <c r="E2733" s="115" t="inlineStr">
        <is>
          <t>SERDAR BOZKURT</t>
        </is>
      </c>
      <c r="F2733" s="115" t="n">
        <v>253150</v>
      </c>
      <c r="G2733" s="156" t="n"/>
      <c r="H2733" s="152" t="n">
        <v>528</v>
      </c>
      <c r="I2733" s="156" t="n"/>
      <c r="J2733" s="90" t="n"/>
      <c r="K2733" s="166" t="n"/>
      <c r="L2733" s="158" t="n"/>
      <c r="M2733" s="159" t="n"/>
    </row>
    <row r="2734">
      <c r="A2734" s="114" t="n">
        <v>46200</v>
      </c>
      <c r="B2734" s="115" t="n">
        <v>123</v>
      </c>
      <c r="C2734" s="115" t="inlineStr">
        <is>
          <t>SELİM İNŞAAT</t>
        </is>
      </c>
      <c r="D2734" s="115" t="inlineStr">
        <is>
          <t>34 GUS 848</t>
        </is>
      </c>
      <c r="E2734" s="115" t="inlineStr">
        <is>
          <t>SERDAR BOZKURT</t>
        </is>
      </c>
      <c r="F2734" s="115" t="n">
        <v>254033</v>
      </c>
      <c r="G2734" s="156" t="n"/>
      <c r="H2734" s="152" t="n">
        <v>522</v>
      </c>
      <c r="I2734" s="156" t="n"/>
      <c r="J2734" s="90" t="n"/>
      <c r="K2734" s="166" t="n"/>
      <c r="L2734" s="158" t="n"/>
      <c r="M2734" s="159" t="n"/>
    </row>
    <row r="2735">
      <c r="A2735" s="114" t="n">
        <v>46203</v>
      </c>
      <c r="B2735" s="115" t="n">
        <v>124</v>
      </c>
      <c r="C2735" s="115" t="inlineStr">
        <is>
          <t>SELİM İNŞAAT</t>
        </is>
      </c>
      <c r="D2735" s="115" t="inlineStr">
        <is>
          <t>34 GUS 848</t>
        </is>
      </c>
      <c r="E2735" s="115" t="inlineStr">
        <is>
          <t>SERDAR BOZKURT</t>
        </is>
      </c>
      <c r="F2735" s="115" t="n">
        <v>254848</v>
      </c>
      <c r="G2735" s="156" t="n"/>
      <c r="H2735" s="152" t="n">
        <v>568</v>
      </c>
      <c r="I2735" s="156" t="n"/>
      <c r="J2735" s="90" t="n"/>
      <c r="K2735" s="166" t="n"/>
      <c r="L2735" s="158" t="n"/>
      <c r="M2735" s="159" t="n"/>
    </row>
    <row r="2736">
      <c r="A2736" s="114" t="n">
        <v>46191</v>
      </c>
      <c r="B2736" s="115" t="n">
        <v>4832</v>
      </c>
      <c r="C2736" s="115" t="inlineStr">
        <is>
          <t>SELİM İNŞAAT</t>
        </is>
      </c>
      <c r="D2736" s="115" t="inlineStr">
        <is>
          <t>34 EDB 559</t>
        </is>
      </c>
      <c r="E2736" s="115" t="inlineStr">
        <is>
          <t>SELAMETTİN KORKMAZ</t>
        </is>
      </c>
      <c r="F2736" s="115" t="n">
        <v>372189</v>
      </c>
      <c r="G2736" s="156" t="n"/>
      <c r="H2736" s="152" t="n">
        <v>438</v>
      </c>
      <c r="I2736" s="156" t="n"/>
      <c r="J2736" s="90" t="n"/>
      <c r="K2736" s="166" t="n"/>
      <c r="L2736" s="158" t="n"/>
      <c r="M2736" s="159" t="n"/>
    </row>
    <row r="2737">
      <c r="A2737" s="114" t="n">
        <v>46192</v>
      </c>
      <c r="B2737" s="115" t="n">
        <v>4833</v>
      </c>
      <c r="C2737" s="115" t="inlineStr">
        <is>
          <t>SELİM İNŞAAT</t>
        </is>
      </c>
      <c r="D2737" s="115" t="inlineStr">
        <is>
          <t>34 EDB 559</t>
        </is>
      </c>
      <c r="E2737" s="115" t="inlineStr">
        <is>
          <t>SELAMETTİN KORKMAZ</t>
        </is>
      </c>
      <c r="F2737" s="115" t="n">
        <v>372550</v>
      </c>
      <c r="G2737" s="156" t="n"/>
      <c r="H2737" s="152" t="n">
        <v>315</v>
      </c>
      <c r="I2737" s="156" t="n"/>
      <c r="J2737" s="90" t="n"/>
      <c r="K2737" s="166" t="n"/>
      <c r="L2737" s="158" t="n"/>
      <c r="M2737" s="159" t="n"/>
    </row>
    <row r="2738">
      <c r="A2738" s="114" t="n">
        <v>46193</v>
      </c>
      <c r="B2738" s="115" t="n">
        <v>4834</v>
      </c>
      <c r="C2738" s="115" t="inlineStr">
        <is>
          <t>SELİM İNŞAAT</t>
        </is>
      </c>
      <c r="D2738" s="115" t="inlineStr">
        <is>
          <t>34 EDB 559</t>
        </is>
      </c>
      <c r="E2738" s="115" t="inlineStr">
        <is>
          <t>SELAMETTİN KORKMAZ</t>
        </is>
      </c>
      <c r="F2738" s="115" t="n">
        <v>373101</v>
      </c>
      <c r="G2738" s="156" t="n"/>
      <c r="H2738" s="152" t="n">
        <v>376</v>
      </c>
      <c r="I2738" s="156" t="n"/>
      <c r="J2738" s="90" t="n"/>
      <c r="K2738" s="166" t="n"/>
      <c r="L2738" s="158" t="n"/>
      <c r="M2738" s="159" t="n"/>
    </row>
    <row r="2739">
      <c r="A2739" s="114" t="n">
        <v>46196</v>
      </c>
      <c r="B2739" s="115" t="n">
        <v>4835</v>
      </c>
      <c r="C2739" s="115" t="inlineStr">
        <is>
          <t>SELİM İNŞAAT</t>
        </is>
      </c>
      <c r="D2739" s="115" t="inlineStr">
        <is>
          <t>34 EDB 559</t>
        </is>
      </c>
      <c r="E2739" s="115" t="inlineStr">
        <is>
          <t>SELAMETTİN KORKMAZ</t>
        </is>
      </c>
      <c r="F2739" s="115" t="n">
        <v>373757</v>
      </c>
      <c r="G2739" s="156" t="n"/>
      <c r="H2739" s="152" t="n">
        <v>427</v>
      </c>
      <c r="I2739" s="156" t="n"/>
      <c r="J2739" s="90" t="n"/>
      <c r="K2739" s="166" t="n"/>
      <c r="L2739" s="158" t="n"/>
      <c r="M2739" s="159" t="n"/>
    </row>
    <row r="2740">
      <c r="A2740" s="114" t="n">
        <v>46198</v>
      </c>
      <c r="B2740" s="115" t="n">
        <v>4836</v>
      </c>
      <c r="C2740" s="115" t="inlineStr">
        <is>
          <t>SELİM İNŞAAT</t>
        </is>
      </c>
      <c r="D2740" s="115" t="inlineStr">
        <is>
          <t>34 EDB 559</t>
        </is>
      </c>
      <c r="E2740" s="115" t="inlineStr">
        <is>
          <t>SELAMETTİN KORKMAZ</t>
        </is>
      </c>
      <c r="F2740" s="115" t="n">
        <v>374297</v>
      </c>
      <c r="G2740" s="156" t="n"/>
      <c r="H2740" s="152" t="n">
        <v>400</v>
      </c>
      <c r="I2740" s="156" t="n"/>
      <c r="J2740" s="90" t="n"/>
      <c r="K2740" s="166" t="n"/>
      <c r="L2740" s="158" t="n"/>
      <c r="M2740" s="159" t="n"/>
    </row>
    <row r="2741">
      <c r="A2741" s="114" t="n">
        <v>46200</v>
      </c>
      <c r="B2741" s="115" t="n">
        <v>4837</v>
      </c>
      <c r="C2741" s="115" t="inlineStr">
        <is>
          <t>SELİM İNŞAAT</t>
        </is>
      </c>
      <c r="D2741" s="115" t="inlineStr">
        <is>
          <t>34 EDB 559</t>
        </is>
      </c>
      <c r="E2741" s="115" t="inlineStr">
        <is>
          <t>SELAMETTİN KORKMAZ</t>
        </is>
      </c>
      <c r="F2741" s="115" t="n">
        <v>374989</v>
      </c>
      <c r="G2741" s="156" t="n"/>
      <c r="H2741" s="152" t="n">
        <v>436</v>
      </c>
      <c r="I2741" s="156" t="n"/>
      <c r="J2741" s="90" t="n"/>
      <c r="K2741" s="166" t="n"/>
      <c r="L2741" s="158" t="n"/>
      <c r="M2741" s="159" t="n"/>
    </row>
    <row r="2742">
      <c r="A2742" s="114" t="n">
        <v>46202</v>
      </c>
      <c r="B2742" s="115" t="n">
        <v>4838</v>
      </c>
      <c r="C2742" s="115" t="inlineStr">
        <is>
          <t>SELİM İNŞAAT</t>
        </is>
      </c>
      <c r="D2742" s="115" t="inlineStr">
        <is>
          <t>34 EDB 559</t>
        </is>
      </c>
      <c r="E2742" s="115" t="inlineStr">
        <is>
          <t>SELAMETTİN KORKMAZ</t>
        </is>
      </c>
      <c r="F2742" s="115" t="n">
        <v>375216</v>
      </c>
      <c r="G2742" s="156" t="n"/>
      <c r="H2742" s="152" t="n">
        <v>245</v>
      </c>
      <c r="I2742" s="156" t="n"/>
      <c r="J2742" s="90" t="n"/>
      <c r="K2742" s="166" t="n"/>
      <c r="L2742" s="158" t="n"/>
      <c r="M2742" s="159" t="n"/>
    </row>
    <row r="2743">
      <c r="A2743" s="114" t="n">
        <v>46189</v>
      </c>
      <c r="B2743" s="115" t="n">
        <v>1317</v>
      </c>
      <c r="C2743" s="115" t="inlineStr">
        <is>
          <t>SELİM İNŞAAT</t>
        </is>
      </c>
      <c r="D2743" s="115" t="inlineStr">
        <is>
          <t>34 GVZ 199</t>
        </is>
      </c>
      <c r="E2743" s="115" t="inlineStr">
        <is>
          <t>HÜSEYİN DENİZ</t>
        </is>
      </c>
      <c r="F2743" s="115" t="n">
        <v>245518</v>
      </c>
      <c r="G2743" s="156" t="n"/>
      <c r="H2743" s="152" t="n">
        <v>478</v>
      </c>
      <c r="I2743" s="156" t="n"/>
      <c r="J2743" s="90" t="n"/>
      <c r="K2743" s="166" t="n"/>
      <c r="L2743" s="158" t="n"/>
      <c r="M2743" s="159" t="n"/>
    </row>
    <row r="2744">
      <c r="A2744" s="114" t="n">
        <v>46195</v>
      </c>
      <c r="B2744" s="115" t="n">
        <v>1318</v>
      </c>
      <c r="C2744" s="115" t="inlineStr">
        <is>
          <t>SELİM İNŞAAT</t>
        </is>
      </c>
      <c r="D2744" s="115" t="inlineStr">
        <is>
          <t>34 GVZ 199</t>
        </is>
      </c>
      <c r="E2744" s="115" t="inlineStr">
        <is>
          <t>HÜSEYİN DENİZ</t>
        </is>
      </c>
      <c r="F2744" s="115" t="n">
        <v>246425</v>
      </c>
      <c r="G2744" s="156" t="n"/>
      <c r="H2744" s="152" t="n">
        <v>513</v>
      </c>
      <c r="I2744" s="156" t="n"/>
      <c r="J2744" s="90" t="n"/>
      <c r="K2744" s="166" t="n"/>
      <c r="L2744" s="158" t="n"/>
      <c r="M2744" s="159" t="n"/>
    </row>
    <row r="2745">
      <c r="A2745" s="114" t="n">
        <v>46197</v>
      </c>
      <c r="B2745" s="115" t="n">
        <v>1319</v>
      </c>
      <c r="C2745" s="115" t="inlineStr">
        <is>
          <t>SELİM İNŞAAT</t>
        </is>
      </c>
      <c r="D2745" s="115" t="inlineStr">
        <is>
          <t>34 GVZ 199</t>
        </is>
      </c>
      <c r="E2745" s="115" t="inlineStr">
        <is>
          <t>HÜSEYİN DENİZ</t>
        </is>
      </c>
      <c r="F2745" s="115" t="n">
        <v>247313</v>
      </c>
      <c r="G2745" s="156" t="n"/>
      <c r="H2745" s="152" t="n">
        <v>540</v>
      </c>
      <c r="I2745" s="156" t="n"/>
      <c r="J2745" s="90" t="n"/>
      <c r="K2745" s="166" t="n"/>
      <c r="L2745" s="158" t="n"/>
      <c r="M2745" s="159" t="n"/>
    </row>
    <row r="2746">
      <c r="A2746" s="114" t="n">
        <v>46200</v>
      </c>
      <c r="B2746" s="115" t="n">
        <v>1320</v>
      </c>
      <c r="C2746" s="115" t="inlineStr">
        <is>
          <t>SELİM İNŞAAT</t>
        </is>
      </c>
      <c r="D2746" s="115" t="inlineStr">
        <is>
          <t>34 GVZ 199</t>
        </is>
      </c>
      <c r="E2746" s="115" t="inlineStr">
        <is>
          <t>HÜSEYİN DENİZ</t>
        </is>
      </c>
      <c r="F2746" s="115" t="n">
        <v>248027</v>
      </c>
      <c r="G2746" s="156" t="n"/>
      <c r="H2746" s="152" t="n">
        <v>429</v>
      </c>
      <c r="I2746" s="156" t="n"/>
      <c r="J2746" s="90" t="n"/>
      <c r="K2746" s="166" t="n"/>
      <c r="L2746" s="158" t="n"/>
      <c r="M2746" s="159" t="n"/>
    </row>
    <row r="2747">
      <c r="A2747" s="114" t="n">
        <v>46202</v>
      </c>
      <c r="B2747" s="115" t="n">
        <v>1321</v>
      </c>
      <c r="C2747" s="115" t="inlineStr">
        <is>
          <t>SELİM İNŞAAT</t>
        </is>
      </c>
      <c r="D2747" s="115" t="inlineStr">
        <is>
          <t>34 GVZ 199</t>
        </is>
      </c>
      <c r="E2747" s="115" t="inlineStr">
        <is>
          <t>HÜSEYİN DENİZ</t>
        </is>
      </c>
      <c r="F2747" s="115" t="n">
        <v>248661</v>
      </c>
      <c r="G2747" s="156" t="n"/>
      <c r="H2747" s="152" t="n">
        <v>395</v>
      </c>
      <c r="I2747" s="156" t="n"/>
      <c r="J2747" s="90" t="n"/>
      <c r="K2747" s="166" t="n"/>
      <c r="L2747" s="158" t="n"/>
      <c r="M2747" s="159" t="n"/>
    </row>
    <row r="2748">
      <c r="A2748" s="114" t="n">
        <v>46189</v>
      </c>
      <c r="B2748" s="115" t="n">
        <v>4369</v>
      </c>
      <c r="C2748" s="115" t="inlineStr">
        <is>
          <t>SELİM İNŞAAT</t>
        </is>
      </c>
      <c r="D2748" s="115" t="inlineStr">
        <is>
          <t>34 EDB 829</t>
        </is>
      </c>
      <c r="E2748" s="115" t="inlineStr">
        <is>
          <t>ADNAN KOÇ</t>
        </is>
      </c>
      <c r="F2748" s="115" t="n">
        <v>358964</v>
      </c>
      <c r="G2748" s="156" t="n"/>
      <c r="H2748" s="152" t="n">
        <v>512</v>
      </c>
      <c r="I2748" s="156" t="n"/>
      <c r="J2748" s="90" t="n"/>
      <c r="K2748" s="166" t="n"/>
      <c r="L2748" s="158" t="n"/>
      <c r="M2748" s="159" t="n"/>
    </row>
    <row r="2749">
      <c r="A2749" s="114" t="n">
        <v>46191</v>
      </c>
      <c r="B2749" s="115" t="n">
        <v>4370</v>
      </c>
      <c r="C2749" s="115" t="inlineStr">
        <is>
          <t>SELİM İNŞAAT</t>
        </is>
      </c>
      <c r="D2749" s="115" t="inlineStr">
        <is>
          <t>34 EDB 829</t>
        </is>
      </c>
      <c r="E2749" s="115" t="inlineStr">
        <is>
          <t>ADNAN KOÇ</t>
        </is>
      </c>
      <c r="F2749" s="115" t="n">
        <v>359487</v>
      </c>
      <c r="G2749" s="156" t="n"/>
      <c r="H2749" s="152" t="n">
        <v>434</v>
      </c>
      <c r="I2749" s="156" t="n"/>
      <c r="J2749" s="90" t="n"/>
      <c r="K2749" s="166" t="n"/>
      <c r="L2749" s="158" t="n"/>
      <c r="M2749" s="159" t="n"/>
    </row>
    <row r="2750">
      <c r="A2750" s="114" t="n">
        <v>46193</v>
      </c>
      <c r="B2750" s="115" t="n">
        <v>4371</v>
      </c>
      <c r="C2750" s="115" t="inlineStr">
        <is>
          <t>SELİM İNŞAAT</t>
        </is>
      </c>
      <c r="D2750" s="115" t="inlineStr">
        <is>
          <t>34 EDB 829</t>
        </is>
      </c>
      <c r="E2750" s="115" t="inlineStr">
        <is>
          <t>ADNAN KOÇ</t>
        </is>
      </c>
      <c r="F2750" s="115" t="n">
        <v>360090</v>
      </c>
      <c r="G2750" s="156" t="n"/>
      <c r="H2750" s="152" t="n">
        <v>472</v>
      </c>
      <c r="I2750" s="156" t="n"/>
      <c r="J2750" s="90" t="n"/>
      <c r="K2750" s="166" t="n"/>
      <c r="L2750" s="158" t="n"/>
      <c r="M2750" s="159" t="n"/>
    </row>
    <row r="2751">
      <c r="A2751" s="114" t="n">
        <v>46197</v>
      </c>
      <c r="B2751" s="115" t="n">
        <v>4372</v>
      </c>
      <c r="C2751" s="115" t="inlineStr">
        <is>
          <t>SELİM İNŞAAT</t>
        </is>
      </c>
      <c r="D2751" s="115" t="inlineStr">
        <is>
          <t>34 EDB 829</t>
        </is>
      </c>
      <c r="E2751" s="115" t="inlineStr">
        <is>
          <t>ADNAN KOÇ</t>
        </is>
      </c>
      <c r="F2751" s="115" t="n">
        <v>360717</v>
      </c>
      <c r="G2751" s="156" t="n"/>
      <c r="H2751" s="152" t="n">
        <v>513</v>
      </c>
      <c r="I2751" s="156" t="n"/>
      <c r="J2751" s="90" t="n"/>
      <c r="K2751" s="166" t="n"/>
      <c r="L2751" s="158" t="n"/>
      <c r="M2751" s="159" t="n"/>
    </row>
    <row r="2752">
      <c r="A2752" s="114" t="n">
        <v>46199</v>
      </c>
      <c r="B2752" s="115" t="n">
        <v>4373</v>
      </c>
      <c r="C2752" s="115" t="inlineStr">
        <is>
          <t>SELİM İNŞAAT</t>
        </is>
      </c>
      <c r="D2752" s="115" t="inlineStr">
        <is>
          <t>34 EDB 829</t>
        </is>
      </c>
      <c r="E2752" s="115" t="inlineStr">
        <is>
          <t>ADNAN KOÇ</t>
        </is>
      </c>
      <c r="F2752" s="115" t="n">
        <v>361360</v>
      </c>
      <c r="G2752" s="156" t="n"/>
      <c r="H2752" s="152" t="n">
        <v>490</v>
      </c>
      <c r="I2752" s="156" t="n"/>
      <c r="J2752" s="90" t="n"/>
      <c r="K2752" s="166" t="n"/>
      <c r="L2752" s="158" t="n"/>
      <c r="M2752" s="159" t="n"/>
    </row>
    <row r="2753">
      <c r="A2753" s="114" t="n">
        <v>46203</v>
      </c>
      <c r="B2753" s="115" t="n">
        <v>4374</v>
      </c>
      <c r="C2753" s="115" t="inlineStr">
        <is>
          <t>SELİM İNŞAAT</t>
        </is>
      </c>
      <c r="D2753" s="115" t="inlineStr">
        <is>
          <t>34 EDB 829</t>
        </is>
      </c>
      <c r="E2753" s="115" t="inlineStr">
        <is>
          <t>ADNAN KOÇ</t>
        </is>
      </c>
      <c r="F2753" s="115" t="n">
        <v>362091</v>
      </c>
      <c r="G2753" s="156" t="n"/>
      <c r="H2753" s="152" t="n">
        <v>494</v>
      </c>
      <c r="I2753" s="156" t="n"/>
      <c r="J2753" s="90" t="n"/>
      <c r="K2753" s="166" t="n"/>
      <c r="L2753" s="158" t="n"/>
      <c r="M2753" s="159" t="n"/>
    </row>
    <row r="2754">
      <c r="A2754" s="114" t="n">
        <v>46191</v>
      </c>
      <c r="B2754" s="115" t="n">
        <v>927</v>
      </c>
      <c r="C2754" s="115" t="inlineStr">
        <is>
          <t>SELİM İNŞAAT</t>
        </is>
      </c>
      <c r="D2754" s="115" t="inlineStr">
        <is>
          <t>34 FSG 229</t>
        </is>
      </c>
      <c r="E2754" s="115" t="inlineStr">
        <is>
          <t>SİNAN</t>
        </is>
      </c>
      <c r="F2754" s="115" t="n">
        <v>313414</v>
      </c>
      <c r="G2754" s="156" t="n"/>
      <c r="H2754" s="152" t="n">
        <v>476</v>
      </c>
      <c r="I2754" s="156" t="n"/>
      <c r="J2754" s="90" t="n"/>
      <c r="K2754" s="166" t="n"/>
      <c r="L2754" s="158" t="n"/>
      <c r="M2754" s="159" t="n"/>
    </row>
    <row r="2755">
      <c r="A2755" s="114" t="n">
        <v>46193</v>
      </c>
      <c r="B2755" s="115" t="n">
        <v>928</v>
      </c>
      <c r="C2755" s="115" t="inlineStr">
        <is>
          <t>SELİM İNŞAAT</t>
        </is>
      </c>
      <c r="D2755" s="115" t="inlineStr">
        <is>
          <t>34 FSG 229</t>
        </is>
      </c>
      <c r="E2755" s="115" t="inlineStr">
        <is>
          <t>SİNAN</t>
        </is>
      </c>
      <c r="F2755" s="115" t="n">
        <v>314070</v>
      </c>
      <c r="G2755" s="156" t="n"/>
      <c r="H2755" s="152" t="n">
        <v>535</v>
      </c>
      <c r="I2755" s="156" t="n"/>
      <c r="J2755" s="90" t="n"/>
      <c r="K2755" s="166" t="n"/>
      <c r="L2755" s="158" t="n"/>
      <c r="M2755" s="159" t="n"/>
    </row>
    <row r="2756">
      <c r="A2756" s="114" t="n">
        <v>46196</v>
      </c>
      <c r="B2756" s="115" t="n">
        <v>929</v>
      </c>
      <c r="C2756" s="115" t="inlineStr">
        <is>
          <t>SELİM İNŞAAT</t>
        </is>
      </c>
      <c r="D2756" s="115" t="inlineStr">
        <is>
          <t>34 FSG 229</t>
        </is>
      </c>
      <c r="E2756" s="115" t="inlineStr">
        <is>
          <t>SİNAN</t>
        </is>
      </c>
      <c r="F2756" s="115" t="n">
        <v>314660</v>
      </c>
      <c r="G2756" s="156" t="n"/>
      <c r="H2756" s="152" t="n">
        <v>465</v>
      </c>
      <c r="I2756" s="156" t="n"/>
      <c r="J2756" s="90" t="n"/>
      <c r="K2756" s="166" t="n"/>
      <c r="L2756" s="158" t="n"/>
      <c r="M2756" s="159" t="n"/>
    </row>
    <row r="2757">
      <c r="A2757" s="114" t="n">
        <v>46198</v>
      </c>
      <c r="B2757" s="115" t="n">
        <v>930</v>
      </c>
      <c r="C2757" s="115" t="inlineStr">
        <is>
          <t>SELİM İNŞAAT</t>
        </is>
      </c>
      <c r="D2757" s="115" t="inlineStr">
        <is>
          <t>34 FSG 229</t>
        </is>
      </c>
      <c r="E2757" s="115" t="inlineStr">
        <is>
          <t>SİNAN</t>
        </is>
      </c>
      <c r="F2757" s="115" t="n">
        <v>315267</v>
      </c>
      <c r="G2757" s="156" t="n"/>
      <c r="H2757" s="152" t="n">
        <v>510</v>
      </c>
      <c r="I2757" s="156" t="n"/>
      <c r="J2757" s="90" t="n"/>
      <c r="K2757" s="166" t="n"/>
      <c r="L2757" s="158" t="n"/>
      <c r="M2757" s="159" t="n"/>
    </row>
    <row r="2758">
      <c r="A2758" s="114" t="n">
        <v>46200</v>
      </c>
      <c r="B2758" s="115" t="n">
        <v>931</v>
      </c>
      <c r="C2758" s="115" t="inlineStr">
        <is>
          <t>SELİM İNŞAAT</t>
        </is>
      </c>
      <c r="D2758" s="115" t="inlineStr">
        <is>
          <t>34 FSG 229</t>
        </is>
      </c>
      <c r="E2758" s="115" t="inlineStr">
        <is>
          <t>SİNAN</t>
        </is>
      </c>
      <c r="F2758" s="115" t="n">
        <v>315889</v>
      </c>
      <c r="G2758" s="156" t="n"/>
      <c r="H2758" s="152" t="n">
        <v>478</v>
      </c>
      <c r="I2758" s="156" t="n"/>
      <c r="J2758" s="90" t="n"/>
      <c r="K2758" s="166" t="n"/>
      <c r="L2758" s="158" t="n"/>
      <c r="M2758" s="159" t="n"/>
    </row>
    <row r="2759">
      <c r="A2759" s="114" t="n">
        <v>46202</v>
      </c>
      <c r="B2759" s="115" t="n">
        <v>932</v>
      </c>
      <c r="C2759" s="115" t="inlineStr">
        <is>
          <t>SELİM İNŞAAT</t>
        </is>
      </c>
      <c r="D2759" s="115" t="inlineStr">
        <is>
          <t>34 FSG 229</t>
        </is>
      </c>
      <c r="E2759" s="115" t="inlineStr">
        <is>
          <t>SİNAN</t>
        </is>
      </c>
      <c r="F2759" s="115" t="n">
        <v>316541</v>
      </c>
      <c r="G2759" s="156" t="n"/>
      <c r="H2759" s="152" t="n">
        <v>490</v>
      </c>
      <c r="I2759" s="156" t="n"/>
      <c r="J2759" s="90" t="n"/>
      <c r="K2759" s="166" t="n"/>
      <c r="L2759" s="158" t="n"/>
      <c r="M2759" s="159" t="n"/>
    </row>
    <row r="2760">
      <c r="A2760" s="114" t="n">
        <v>46203</v>
      </c>
      <c r="B2760" s="115" t="n">
        <v>933</v>
      </c>
      <c r="C2760" s="115" t="inlineStr">
        <is>
          <t>SELİM İNŞAAT</t>
        </is>
      </c>
      <c r="D2760" s="115" t="inlineStr">
        <is>
          <t>34 FSG 229</t>
        </is>
      </c>
      <c r="E2760" s="115" t="inlineStr">
        <is>
          <t>SİNAN</t>
        </is>
      </c>
      <c r="F2760" s="115" t="n">
        <v>317131</v>
      </c>
      <c r="G2760" s="156" t="n"/>
      <c r="H2760" s="152" t="n">
        <v>522</v>
      </c>
      <c r="I2760" s="156" t="n"/>
      <c r="J2760" s="90" t="n"/>
      <c r="K2760" s="166" t="n"/>
      <c r="L2760" s="158" t="n"/>
      <c r="M2760" s="159" t="n"/>
    </row>
    <row r="2761">
      <c r="A2761" s="114" t="n">
        <v>46190</v>
      </c>
      <c r="B2761" s="115" t="n">
        <v>2362</v>
      </c>
      <c r="C2761" s="115" t="inlineStr">
        <is>
          <t>SELİM İNŞAAT</t>
        </is>
      </c>
      <c r="D2761" s="115" t="inlineStr">
        <is>
          <t>34 GUS 938</t>
        </is>
      </c>
      <c r="E2761" s="115" t="inlineStr">
        <is>
          <t>MEHMET KAYA</t>
        </is>
      </c>
      <c r="F2761" s="115" t="n">
        <v>265718</v>
      </c>
      <c r="G2761" s="156" t="n"/>
      <c r="H2761" s="152" t="n">
        <v>414</v>
      </c>
      <c r="I2761" s="156" t="n"/>
      <c r="J2761" s="90" t="n"/>
      <c r="K2761" s="166" t="n"/>
      <c r="L2761" s="158" t="n"/>
      <c r="M2761" s="159" t="n"/>
    </row>
    <row r="2762">
      <c r="A2762" s="114" t="n">
        <v>46192</v>
      </c>
      <c r="B2762" s="115" t="n">
        <v>2363</v>
      </c>
      <c r="C2762" s="115" t="inlineStr">
        <is>
          <t>SELİM İNŞAAT</t>
        </is>
      </c>
      <c r="D2762" s="115" t="inlineStr">
        <is>
          <t>34 GUS 938</t>
        </is>
      </c>
      <c r="E2762" s="115" t="inlineStr">
        <is>
          <t>MEHMET KAYA</t>
        </is>
      </c>
      <c r="F2762" s="115" t="n">
        <v>266504</v>
      </c>
      <c r="G2762" s="156" t="n"/>
      <c r="H2762" s="152" t="n">
        <v>501</v>
      </c>
      <c r="I2762" s="156" t="n"/>
      <c r="J2762" s="90" t="n"/>
      <c r="K2762" s="166" t="n"/>
      <c r="L2762" s="158" t="n"/>
      <c r="M2762" s="159" t="n"/>
    </row>
    <row r="2763">
      <c r="A2763" s="114" t="n">
        <v>46196</v>
      </c>
      <c r="B2763" s="115" t="n">
        <v>2364</v>
      </c>
      <c r="C2763" s="115" t="inlineStr">
        <is>
          <t>SELİM İNŞAAT</t>
        </is>
      </c>
      <c r="D2763" s="115" t="inlineStr">
        <is>
          <t>34 GUS 938</t>
        </is>
      </c>
      <c r="E2763" s="115" t="inlineStr">
        <is>
          <t>MEHMET KAYA</t>
        </is>
      </c>
      <c r="F2763" s="115" t="n">
        <v>267134</v>
      </c>
      <c r="G2763" s="156" t="n"/>
      <c r="H2763" s="152" t="n">
        <v>432</v>
      </c>
      <c r="I2763" s="156" t="n"/>
      <c r="J2763" s="90" t="n"/>
      <c r="K2763" s="166" t="n"/>
      <c r="L2763" s="158" t="n"/>
      <c r="M2763" s="159" t="n"/>
    </row>
    <row r="2764">
      <c r="A2764" s="114" t="n">
        <v>46197</v>
      </c>
      <c r="B2764" s="115" t="n">
        <v>2365</v>
      </c>
      <c r="C2764" s="115" t="inlineStr">
        <is>
          <t>SELİM İNŞAAT</t>
        </is>
      </c>
      <c r="D2764" s="115" t="inlineStr">
        <is>
          <t>34 GUS 938</t>
        </is>
      </c>
      <c r="E2764" s="115" t="inlineStr">
        <is>
          <t>MEHMET KAYA</t>
        </is>
      </c>
      <c r="F2764" s="115" t="n">
        <v>267876</v>
      </c>
      <c r="G2764" s="156" t="n"/>
      <c r="H2764" s="152" t="n">
        <v>480</v>
      </c>
      <c r="I2764" s="156" t="n"/>
      <c r="J2764" s="90" t="n"/>
      <c r="K2764" s="166" t="n"/>
      <c r="L2764" s="158" t="n"/>
      <c r="M2764" s="159" t="n"/>
    </row>
    <row r="2765">
      <c r="A2765" s="114" t="n">
        <v>46199</v>
      </c>
      <c r="B2765" s="115" t="n">
        <v>2366</v>
      </c>
      <c r="C2765" s="115" t="inlineStr">
        <is>
          <t>SELİM İNŞAAT</t>
        </is>
      </c>
      <c r="D2765" s="115" t="inlineStr">
        <is>
          <t>34 GUS 938</t>
        </is>
      </c>
      <c r="E2765" s="115" t="inlineStr">
        <is>
          <t>MEHMET KAYA</t>
        </is>
      </c>
      <c r="F2765" s="115" t="n">
        <v>268569</v>
      </c>
      <c r="G2765" s="156" t="n"/>
      <c r="H2765" s="152" t="n">
        <v>422</v>
      </c>
      <c r="I2765" s="156" t="n"/>
      <c r="J2765" s="90" t="n"/>
      <c r="K2765" s="166" t="n"/>
      <c r="L2765" s="158" t="n"/>
      <c r="M2765" s="159" t="n"/>
    </row>
    <row r="2766">
      <c r="A2766" s="114" t="n">
        <v>46200</v>
      </c>
      <c r="B2766" s="115" t="n">
        <v>2367</v>
      </c>
      <c r="C2766" s="115" t="inlineStr">
        <is>
          <t>SELİM İNŞAAT</t>
        </is>
      </c>
      <c r="D2766" s="115" t="inlineStr">
        <is>
          <t>34 GUS 938</t>
        </is>
      </c>
      <c r="E2766" s="115" t="inlineStr">
        <is>
          <t>MEHMET KAYA</t>
        </is>
      </c>
      <c r="F2766" s="115" t="n">
        <v>269225</v>
      </c>
      <c r="G2766" s="156" t="n"/>
      <c r="H2766" s="152" t="n">
        <v>407</v>
      </c>
      <c r="I2766" s="156" t="n"/>
      <c r="J2766" s="90" t="n"/>
      <c r="K2766" s="166" t="n"/>
      <c r="L2766" s="158" t="n"/>
      <c r="M2766" s="159" t="n"/>
    </row>
    <row r="2767">
      <c r="A2767" s="114" t="n">
        <v>46202</v>
      </c>
      <c r="B2767" s="115" t="n">
        <v>2368</v>
      </c>
      <c r="C2767" s="115" t="inlineStr">
        <is>
          <t>SELİM İNŞAAT</t>
        </is>
      </c>
      <c r="D2767" s="115" t="inlineStr">
        <is>
          <t>34 GUS 938</t>
        </is>
      </c>
      <c r="E2767" s="115" t="inlineStr">
        <is>
          <t>MEHMET KAYA</t>
        </is>
      </c>
      <c r="F2767" s="115" t="n">
        <v>269903</v>
      </c>
      <c r="G2767" s="156" t="n"/>
      <c r="H2767" s="152" t="n">
        <v>412</v>
      </c>
      <c r="I2767" s="156" t="n"/>
      <c r="J2767" s="90" t="n"/>
      <c r="K2767" s="166" t="n"/>
      <c r="L2767" s="158" t="n"/>
      <c r="M2767" s="159" t="n"/>
    </row>
    <row r="2768">
      <c r="A2768" s="114" t="n">
        <v>46189</v>
      </c>
      <c r="B2768" s="115" t="n">
        <v>4538</v>
      </c>
      <c r="C2768" s="115" t="inlineStr">
        <is>
          <t>SELİM İNŞAAT</t>
        </is>
      </c>
      <c r="D2768" s="115" t="inlineStr">
        <is>
          <t>34 DTV 352</t>
        </is>
      </c>
      <c r="E2768" s="115" t="inlineStr">
        <is>
          <t>YUSUF</t>
        </is>
      </c>
      <c r="F2768" s="115" t="n">
        <v>490776</v>
      </c>
      <c r="G2768" s="156" t="n"/>
      <c r="H2768" s="152" t="n">
        <v>314</v>
      </c>
      <c r="I2768" s="156" t="n"/>
      <c r="J2768" s="90" t="n"/>
      <c r="K2768" s="166" t="n"/>
      <c r="L2768" s="158" t="n"/>
      <c r="M2768" s="159" t="n"/>
    </row>
    <row r="2769">
      <c r="A2769" s="114" t="n">
        <v>46191</v>
      </c>
      <c r="B2769" s="115" t="n">
        <v>4539</v>
      </c>
      <c r="C2769" s="115" t="inlineStr">
        <is>
          <t>SELİM İNŞAAT</t>
        </is>
      </c>
      <c r="D2769" s="115" t="inlineStr">
        <is>
          <t>34 DTV 352</t>
        </is>
      </c>
      <c r="E2769" s="115" t="inlineStr">
        <is>
          <t>YUSUF</t>
        </is>
      </c>
      <c r="F2769" s="115" t="n">
        <v>491368</v>
      </c>
      <c r="G2769" s="156" t="n"/>
      <c r="H2769" s="152" t="n">
        <v>471</v>
      </c>
      <c r="I2769" s="156" t="n"/>
      <c r="J2769" s="90" t="n"/>
      <c r="K2769" s="166" t="n"/>
      <c r="L2769" s="158" t="n"/>
      <c r="M2769" s="159" t="n"/>
    </row>
    <row r="2770">
      <c r="A2770" s="114" t="n">
        <v>46193</v>
      </c>
      <c r="B2770" s="115" t="n">
        <v>4540</v>
      </c>
      <c r="C2770" s="115" t="inlineStr">
        <is>
          <t>SELİM İNŞAAT</t>
        </is>
      </c>
      <c r="D2770" s="115" t="inlineStr">
        <is>
          <t>34 DTV 352</t>
        </is>
      </c>
      <c r="E2770" s="115" t="inlineStr">
        <is>
          <t>YUSUF</t>
        </is>
      </c>
      <c r="F2770" s="115" t="n">
        <v>492138</v>
      </c>
      <c r="G2770" s="156" t="n"/>
      <c r="H2770" s="152" t="n">
        <v>560</v>
      </c>
      <c r="I2770" s="156" t="n"/>
      <c r="J2770" s="90" t="n"/>
      <c r="K2770" s="166" t="n"/>
      <c r="L2770" s="158" t="n"/>
      <c r="M2770" s="159" t="n"/>
    </row>
    <row r="2771">
      <c r="A2771" s="114" t="n">
        <v>46197</v>
      </c>
      <c r="B2771" s="115" t="n">
        <v>4541</v>
      </c>
      <c r="C2771" s="115" t="inlineStr">
        <is>
          <t>SELİM İNŞAAT</t>
        </is>
      </c>
      <c r="D2771" s="115" t="inlineStr">
        <is>
          <t>34 DTV 352</t>
        </is>
      </c>
      <c r="E2771" s="115" t="inlineStr">
        <is>
          <t>YUSUF</t>
        </is>
      </c>
      <c r="F2771" s="115" t="n">
        <v>492535</v>
      </c>
      <c r="G2771" s="156" t="n"/>
      <c r="H2771" s="152" t="n">
        <v>368</v>
      </c>
      <c r="I2771" s="156" t="n"/>
      <c r="J2771" s="90" t="n"/>
      <c r="K2771" s="166" t="n"/>
      <c r="L2771" s="158" t="n"/>
      <c r="M2771" s="159" t="n"/>
    </row>
    <row r="2772">
      <c r="A2772" s="114" t="n">
        <v>46198</v>
      </c>
      <c r="B2772" s="115" t="n">
        <v>4542</v>
      </c>
      <c r="C2772" s="115" t="inlineStr">
        <is>
          <t>SELİM İNŞAAT</t>
        </is>
      </c>
      <c r="D2772" s="115" t="inlineStr">
        <is>
          <t>34 DTV 352</t>
        </is>
      </c>
      <c r="E2772" s="115" t="inlineStr">
        <is>
          <t>YUSUF</t>
        </is>
      </c>
      <c r="F2772" s="115" t="n">
        <v>493002</v>
      </c>
      <c r="G2772" s="156" t="n"/>
      <c r="H2772" s="152" t="n">
        <v>346</v>
      </c>
      <c r="I2772" s="156" t="n"/>
      <c r="J2772" s="90" t="n"/>
      <c r="K2772" s="166" t="n"/>
      <c r="L2772" s="158" t="n"/>
      <c r="M2772" s="159" t="n"/>
    </row>
    <row r="2773">
      <c r="A2773" s="114" t="n">
        <v>46200</v>
      </c>
      <c r="B2773" s="115" t="n">
        <v>4543</v>
      </c>
      <c r="C2773" s="115" t="inlineStr">
        <is>
          <t>SELİM İNŞAAT</t>
        </is>
      </c>
      <c r="D2773" s="115" t="inlineStr">
        <is>
          <t>34 DTV 352</t>
        </is>
      </c>
      <c r="E2773" s="115" t="inlineStr">
        <is>
          <t>YUSUF</t>
        </is>
      </c>
      <c r="F2773" s="115" t="n">
        <v>493339</v>
      </c>
      <c r="G2773" s="156" t="n"/>
      <c r="H2773" s="152" t="n">
        <v>315</v>
      </c>
      <c r="I2773" s="156" t="n"/>
      <c r="J2773" s="90" t="n"/>
      <c r="K2773" s="166" t="n"/>
      <c r="L2773" s="158" t="n"/>
      <c r="M2773" s="159" t="n"/>
    </row>
    <row r="2774">
      <c r="A2774" s="114" t="n">
        <v>46202</v>
      </c>
      <c r="B2774" s="115" t="n">
        <v>4544</v>
      </c>
      <c r="C2774" s="115" t="inlineStr">
        <is>
          <t>SELİM İNŞAAT</t>
        </is>
      </c>
      <c r="D2774" s="115" t="inlineStr">
        <is>
          <t>34 DTV 352</t>
        </is>
      </c>
      <c r="E2774" s="115" t="inlineStr">
        <is>
          <t>YUSUF</t>
        </is>
      </c>
      <c r="F2774" s="115" t="n">
        <v>493768</v>
      </c>
      <c r="G2774" s="156" t="n"/>
      <c r="H2774" s="152" t="n">
        <v>347</v>
      </c>
      <c r="I2774" s="156" t="n"/>
      <c r="J2774" s="90" t="n"/>
      <c r="K2774" s="166" t="n"/>
      <c r="L2774" s="158" t="n"/>
      <c r="M2774" s="159" t="n"/>
    </row>
    <row r="2775">
      <c r="A2775" s="114" t="n">
        <v>46189</v>
      </c>
      <c r="B2775" s="115" t="n">
        <v>4196</v>
      </c>
      <c r="C2775" s="115" t="inlineStr">
        <is>
          <t>SELİM İNŞAAT</t>
        </is>
      </c>
      <c r="D2775" s="115" t="inlineStr">
        <is>
          <t>34 FBR 748</t>
        </is>
      </c>
      <c r="E2775" s="115" t="inlineStr">
        <is>
          <t>YAŞAR ÖZKAYA</t>
        </is>
      </c>
      <c r="F2775" s="115" t="n">
        <v>342785</v>
      </c>
      <c r="G2775" s="156" t="n"/>
      <c r="H2775" s="152" t="n">
        <v>432</v>
      </c>
      <c r="I2775" s="156" t="n"/>
      <c r="J2775" s="90" t="n"/>
      <c r="K2775" s="166" t="n"/>
      <c r="L2775" s="158" t="n"/>
      <c r="M2775" s="159" t="n"/>
    </row>
    <row r="2776">
      <c r="A2776" s="114" t="n">
        <v>46191</v>
      </c>
      <c r="B2776" s="115" t="n">
        <v>4197</v>
      </c>
      <c r="C2776" s="115" t="inlineStr">
        <is>
          <t>SELİM İNŞAAT</t>
        </is>
      </c>
      <c r="D2776" s="115" t="inlineStr">
        <is>
          <t>34 FBR 748</t>
        </is>
      </c>
      <c r="E2776" s="115" t="inlineStr">
        <is>
          <t>YAŞAR ÖZKAYA</t>
        </is>
      </c>
      <c r="F2776" s="115" t="n">
        <v>343334</v>
      </c>
      <c r="G2776" s="156" t="n"/>
      <c r="H2776" s="152" t="n">
        <v>431</v>
      </c>
      <c r="I2776" s="156" t="n"/>
      <c r="J2776" s="90" t="n"/>
      <c r="K2776" s="166" t="n"/>
      <c r="L2776" s="158" t="n"/>
      <c r="M2776" s="159" t="n"/>
    </row>
    <row r="2777">
      <c r="A2777" s="114" t="n">
        <v>46193</v>
      </c>
      <c r="B2777" s="115" t="n">
        <v>4198</v>
      </c>
      <c r="C2777" s="115" t="inlineStr">
        <is>
          <t>SELİM İNŞAAT</t>
        </is>
      </c>
      <c r="D2777" s="115" t="inlineStr">
        <is>
          <t>34 FBR 748</t>
        </is>
      </c>
      <c r="E2777" s="115" t="inlineStr">
        <is>
          <t>YAŞAR ÖZKAYA</t>
        </is>
      </c>
      <c r="F2777" s="115" t="n">
        <v>344071</v>
      </c>
      <c r="G2777" s="156" t="n"/>
      <c r="H2777" s="152" t="n">
        <v>510</v>
      </c>
      <c r="I2777" s="156" t="n"/>
      <c r="J2777" s="90" t="n"/>
      <c r="K2777" s="166" t="n"/>
      <c r="L2777" s="158" t="n"/>
      <c r="M2777" s="159" t="n"/>
    </row>
    <row r="2778">
      <c r="A2778" s="114" t="n">
        <v>46197</v>
      </c>
      <c r="B2778" s="115" t="n">
        <v>4199</v>
      </c>
      <c r="C2778" s="115" t="inlineStr">
        <is>
          <t>SELİM İNŞAAT</t>
        </is>
      </c>
      <c r="D2778" s="115" t="inlineStr">
        <is>
          <t>34 FBR 748</t>
        </is>
      </c>
      <c r="E2778" s="115" t="inlineStr">
        <is>
          <t>YAŞAR ÖZKAYA</t>
        </is>
      </c>
      <c r="F2778" s="115" t="n">
        <v>344809</v>
      </c>
      <c r="G2778" s="156" t="n"/>
      <c r="H2778" s="152" t="n">
        <v>504</v>
      </c>
      <c r="I2778" s="156" t="n"/>
      <c r="J2778" s="90" t="n"/>
      <c r="K2778" s="166" t="n"/>
      <c r="L2778" s="158" t="n"/>
      <c r="M2778" s="159" t="n"/>
    </row>
    <row r="2779">
      <c r="A2779" s="114" t="n">
        <v>46199</v>
      </c>
      <c r="B2779" s="115" t="n">
        <v>4200</v>
      </c>
      <c r="C2779" s="115" t="inlineStr">
        <is>
          <t>SELİM İNŞAAT</t>
        </is>
      </c>
      <c r="D2779" s="115" t="inlineStr">
        <is>
          <t>34 FBR 748</t>
        </is>
      </c>
      <c r="E2779" s="115" t="inlineStr">
        <is>
          <t>YAŞAR ÖZKAYA</t>
        </is>
      </c>
      <c r="F2779" s="115" t="n">
        <v>345673</v>
      </c>
      <c r="G2779" s="156" t="n"/>
      <c r="H2779" s="152" t="n">
        <v>554</v>
      </c>
      <c r="I2779" s="156" t="n"/>
      <c r="J2779" s="90" t="n"/>
      <c r="K2779" s="166" t="n"/>
      <c r="L2779" s="158" t="n"/>
      <c r="M2779" s="159" t="n"/>
    </row>
    <row r="2780">
      <c r="A2780" s="114" t="n">
        <v>46201</v>
      </c>
      <c r="B2780" s="115" t="n">
        <v>2201</v>
      </c>
      <c r="C2780" s="115" t="inlineStr">
        <is>
          <t>SELİM İNŞAAT</t>
        </is>
      </c>
      <c r="D2780" s="115" t="inlineStr">
        <is>
          <t>34 FBR 748</t>
        </is>
      </c>
      <c r="E2780" s="115" t="inlineStr">
        <is>
          <t>YAŞAR ÖZKAYA</t>
        </is>
      </c>
      <c r="F2780" s="115" t="n">
        <v>346612</v>
      </c>
      <c r="G2780" s="156" t="n"/>
      <c r="H2780" s="152" t="n">
        <v>523</v>
      </c>
      <c r="I2780" s="156" t="n"/>
      <c r="J2780" s="90" t="n"/>
      <c r="K2780" s="166" t="n"/>
      <c r="L2780" s="158" t="n"/>
      <c r="M2780" s="159" t="n"/>
    </row>
    <row r="2781">
      <c r="A2781" s="114" t="n">
        <v>46203</v>
      </c>
      <c r="B2781" s="115" t="n">
        <v>2202</v>
      </c>
      <c r="C2781" s="115" t="inlineStr">
        <is>
          <t>SELİM İNŞAAT</t>
        </is>
      </c>
      <c r="D2781" s="115" t="inlineStr">
        <is>
          <t>34 FBR 748</t>
        </is>
      </c>
      <c r="E2781" s="115" t="inlineStr">
        <is>
          <t>YAŞAR ÖZKAYA</t>
        </is>
      </c>
      <c r="F2781" s="115" t="n">
        <v>347372</v>
      </c>
      <c r="G2781" s="156" t="n"/>
      <c r="H2781" s="152" t="n">
        <v>563</v>
      </c>
      <c r="I2781" s="156" t="n"/>
      <c r="J2781" s="90" t="n"/>
      <c r="K2781" s="166" t="n"/>
      <c r="L2781" s="158" t="n"/>
      <c r="M2781" s="159" t="n"/>
    </row>
    <row r="2782">
      <c r="A2782" s="114" t="n">
        <v>46191</v>
      </c>
      <c r="B2782" s="115" t="n">
        <v>1294</v>
      </c>
      <c r="C2782" s="115" t="inlineStr">
        <is>
          <t>SELİM İNŞAAT</t>
        </is>
      </c>
      <c r="D2782" s="115" t="inlineStr">
        <is>
          <t>34 DSN 621</t>
        </is>
      </c>
      <c r="E2782" s="115" t="inlineStr">
        <is>
          <t>FATİH ÖZPOLAT</t>
        </is>
      </c>
      <c r="F2782" s="115" t="n">
        <v>444737</v>
      </c>
      <c r="G2782" s="156" t="n"/>
      <c r="H2782" s="152" t="n">
        <v>567</v>
      </c>
      <c r="I2782" s="156" t="n"/>
      <c r="J2782" s="90" t="n"/>
      <c r="K2782" s="166" t="n"/>
      <c r="L2782" s="158" t="n"/>
      <c r="M2782" s="159" t="n"/>
    </row>
    <row r="2783">
      <c r="A2783" s="114" t="n">
        <v>46193</v>
      </c>
      <c r="B2783" s="115" t="n">
        <v>1295</v>
      </c>
      <c r="C2783" s="115" t="inlineStr">
        <is>
          <t>SELİM İNŞAAT</t>
        </is>
      </c>
      <c r="D2783" s="115" t="inlineStr">
        <is>
          <t>34 DSN 621</t>
        </is>
      </c>
      <c r="E2783" s="115" t="inlineStr">
        <is>
          <t>FATİH ÖZPOLAT</t>
        </is>
      </c>
      <c r="F2783" s="115" t="n">
        <v>445425</v>
      </c>
      <c r="G2783" s="156" t="n"/>
      <c r="H2783" s="152" t="n">
        <v>523</v>
      </c>
      <c r="I2783" s="156" t="n"/>
      <c r="J2783" s="90" t="n"/>
      <c r="K2783" s="166" t="n"/>
      <c r="L2783" s="158" t="n"/>
      <c r="M2783" s="159" t="n"/>
    </row>
    <row r="2784">
      <c r="A2784" s="114" t="n">
        <v>46197</v>
      </c>
      <c r="B2784" s="115" t="n">
        <v>1296</v>
      </c>
      <c r="C2784" s="115" t="inlineStr">
        <is>
          <t>SELİM İNŞAAT</t>
        </is>
      </c>
      <c r="D2784" s="115" t="inlineStr">
        <is>
          <t>34 DSN 621</t>
        </is>
      </c>
      <c r="E2784" s="115" t="inlineStr">
        <is>
          <t>FATİH ÖZPOLAT</t>
        </is>
      </c>
      <c r="F2784" s="115" t="n">
        <v>446203</v>
      </c>
      <c r="G2784" s="156" t="n"/>
      <c r="H2784" s="152" t="n">
        <v>495</v>
      </c>
      <c r="I2784" s="156" t="n"/>
      <c r="J2784" s="90" t="n"/>
      <c r="K2784" s="166" t="n"/>
      <c r="L2784" s="158" t="n"/>
      <c r="M2784" s="159" t="n"/>
    </row>
    <row r="2785">
      <c r="A2785" s="114" t="n">
        <v>46199</v>
      </c>
      <c r="B2785" s="115" t="n">
        <v>1297</v>
      </c>
      <c r="C2785" s="115" t="inlineStr">
        <is>
          <t>SELİM İNŞAAT</t>
        </is>
      </c>
      <c r="D2785" s="115" t="inlineStr">
        <is>
          <t>34 DSN 621</t>
        </is>
      </c>
      <c r="E2785" s="115" t="inlineStr">
        <is>
          <t>FATİH ÖZPOLAT</t>
        </is>
      </c>
      <c r="F2785" s="115" t="n">
        <v>446755</v>
      </c>
      <c r="G2785" s="156" t="n"/>
      <c r="H2785" s="152" t="n">
        <v>618</v>
      </c>
      <c r="I2785" s="156" t="n"/>
      <c r="J2785" s="90" t="n"/>
      <c r="K2785" s="166" t="n"/>
      <c r="L2785" s="158" t="n"/>
      <c r="M2785" s="159" t="n"/>
    </row>
    <row r="2786">
      <c r="A2786" s="114" t="n">
        <v>46202</v>
      </c>
      <c r="B2786" s="115" t="n">
        <v>1298</v>
      </c>
      <c r="C2786" s="115" t="inlineStr">
        <is>
          <t>SELİM İNŞAAT</t>
        </is>
      </c>
      <c r="D2786" s="115" t="inlineStr">
        <is>
          <t>34 DSN 621</t>
        </is>
      </c>
      <c r="E2786" s="115" t="inlineStr">
        <is>
          <t>FATİH ÖZPOLAT</t>
        </is>
      </c>
      <c r="F2786" s="115" t="n">
        <v>447668</v>
      </c>
      <c r="G2786" s="156" t="n"/>
      <c r="H2786" s="152" t="n">
        <v>564</v>
      </c>
      <c r="I2786" s="156" t="n"/>
      <c r="J2786" s="90" t="n"/>
      <c r="K2786" s="166" t="n"/>
      <c r="L2786" s="158" t="n"/>
      <c r="M2786" s="159" t="n"/>
    </row>
    <row r="2787">
      <c r="A2787" s="114" t="n">
        <v>46190</v>
      </c>
      <c r="B2787" s="115" t="n">
        <v>537</v>
      </c>
      <c r="C2787" s="115" t="inlineStr">
        <is>
          <t>SELİM İNŞAAT</t>
        </is>
      </c>
      <c r="D2787" s="115" t="inlineStr">
        <is>
          <t>34 EGR 737</t>
        </is>
      </c>
      <c r="E2787" s="115" t="inlineStr">
        <is>
          <t>CEM MUHTAR</t>
        </is>
      </c>
      <c r="F2787" s="115" t="n">
        <v>473941</v>
      </c>
      <c r="G2787" s="156" t="n"/>
      <c r="H2787" s="152" t="n">
        <v>394</v>
      </c>
      <c r="I2787" s="156" t="n"/>
      <c r="J2787" s="90" t="n"/>
      <c r="K2787" s="166" t="n"/>
      <c r="L2787" s="158" t="n"/>
      <c r="M2787" s="159" t="n"/>
    </row>
    <row r="2788">
      <c r="A2788" s="114" t="n">
        <v>46193</v>
      </c>
      <c r="B2788" s="115" t="n">
        <v>538</v>
      </c>
      <c r="C2788" s="115" t="inlineStr">
        <is>
          <t>SELİM İNŞAAT</t>
        </is>
      </c>
      <c r="D2788" s="115" t="inlineStr">
        <is>
          <t>34 EGR 737</t>
        </is>
      </c>
      <c r="E2788" s="115" t="inlineStr">
        <is>
          <t>CEM MUHTAR</t>
        </is>
      </c>
      <c r="F2788" s="115" t="n">
        <v>474639</v>
      </c>
      <c r="G2788" s="156" t="n"/>
      <c r="H2788" s="152" t="n">
        <v>547</v>
      </c>
      <c r="I2788" s="156" t="n"/>
      <c r="J2788" s="90" t="n"/>
      <c r="K2788" s="166" t="n"/>
      <c r="L2788" s="158" t="n"/>
      <c r="M2788" s="159" t="n"/>
    </row>
    <row r="2789">
      <c r="A2789" s="114" t="n">
        <v>46197</v>
      </c>
      <c r="B2789" s="115" t="n">
        <v>539</v>
      </c>
      <c r="C2789" s="115" t="inlineStr">
        <is>
          <t>SELİM İNŞAAT</t>
        </is>
      </c>
      <c r="D2789" s="115" t="inlineStr">
        <is>
          <t>34 EGR 737</t>
        </is>
      </c>
      <c r="E2789" s="115" t="inlineStr">
        <is>
          <t>CEM MUHTAR</t>
        </is>
      </c>
      <c r="F2789" s="115" t="n">
        <v>475155</v>
      </c>
      <c r="G2789" s="156" t="n"/>
      <c r="H2789" s="152" t="n">
        <v>450</v>
      </c>
      <c r="I2789" s="156" t="n"/>
      <c r="J2789" s="90" t="n"/>
      <c r="K2789" s="166" t="n"/>
      <c r="L2789" s="158" t="n"/>
      <c r="M2789" s="159" t="n"/>
    </row>
    <row r="2790">
      <c r="A2790" s="114" t="n">
        <v>46198</v>
      </c>
      <c r="B2790" s="115" t="n">
        <v>540</v>
      </c>
      <c r="C2790" s="115" t="inlineStr">
        <is>
          <t>SELİM İNŞAAT</t>
        </is>
      </c>
      <c r="D2790" s="115" t="inlineStr">
        <is>
          <t>34 EGR 737</t>
        </is>
      </c>
      <c r="E2790" s="115" t="inlineStr">
        <is>
          <t>CEM MUHTAR</t>
        </is>
      </c>
      <c r="F2790" s="115" t="n">
        <v>475828</v>
      </c>
      <c r="G2790" s="156" t="n"/>
      <c r="H2790" s="152" t="n">
        <v>468</v>
      </c>
      <c r="I2790" s="156" t="n"/>
      <c r="J2790" s="90" t="n"/>
      <c r="K2790" s="166" t="n"/>
      <c r="L2790" s="158" t="n"/>
      <c r="M2790" s="159" t="n"/>
    </row>
    <row r="2791">
      <c r="A2791" s="114" t="n">
        <v>46200</v>
      </c>
      <c r="B2791" s="115" t="n">
        <v>541</v>
      </c>
      <c r="C2791" s="115" t="inlineStr">
        <is>
          <t>SELİM İNŞAAT</t>
        </is>
      </c>
      <c r="D2791" s="115" t="inlineStr">
        <is>
          <t>34 EGR 737</t>
        </is>
      </c>
      <c r="E2791" s="115" t="inlineStr">
        <is>
          <t>CEM MUHTAR</t>
        </is>
      </c>
      <c r="F2791" s="115" t="n">
        <v>476564</v>
      </c>
      <c r="G2791" s="156" t="n"/>
      <c r="H2791" s="152" t="n">
        <v>518</v>
      </c>
      <c r="I2791" s="156" t="n"/>
      <c r="J2791" s="90" t="n"/>
      <c r="K2791" s="166" t="n"/>
      <c r="L2791" s="158" t="n"/>
      <c r="M2791" s="159" t="n"/>
    </row>
    <row r="2792">
      <c r="A2792" s="126" t="n">
        <v>46203</v>
      </c>
      <c r="B2792" s="127" t="n">
        <v>542</v>
      </c>
      <c r="C2792" s="127" t="inlineStr">
        <is>
          <t>SELİM İNŞAAT</t>
        </is>
      </c>
      <c r="D2792" s="127" t="inlineStr">
        <is>
          <t>34 EGR 737</t>
        </is>
      </c>
      <c r="E2792" s="127" t="inlineStr">
        <is>
          <t>CEM MUHTAR</t>
        </is>
      </c>
      <c r="F2792" s="127" t="n">
        <v>477085</v>
      </c>
      <c r="G2792" s="178" t="n"/>
      <c r="H2792" s="179" t="n">
        <v>441</v>
      </c>
      <c r="I2792" s="178" t="n"/>
      <c r="J2792" s="90" t="n"/>
      <c r="K2792" s="166" t="n"/>
      <c r="L2792" s="158" t="n"/>
      <c r="M2792" s="159" t="n"/>
    </row>
    <row r="2793">
      <c r="A2793" s="114" t="n">
        <v>46211</v>
      </c>
      <c r="B2793" s="115" t="n">
        <v>2920</v>
      </c>
      <c r="C2793" s="115" t="inlineStr">
        <is>
          <t>HASAN ZEMİN</t>
        </is>
      </c>
      <c r="D2793" s="115" t="inlineStr">
        <is>
          <t>KAZIK MAKİNASI</t>
        </is>
      </c>
      <c r="E2793" s="115" t="n"/>
      <c r="F2793" s="115" t="n"/>
      <c r="G2793" s="156" t="n"/>
      <c r="H2793" s="152" t="n">
        <v>267</v>
      </c>
      <c r="I2793" s="156" t="n"/>
      <c r="J2793" s="90" t="n"/>
      <c r="K2793" s="166" t="n"/>
      <c r="L2793" s="158" t="n"/>
      <c r="M2793" s="159" t="n"/>
    </row>
    <row r="2794">
      <c r="A2794" s="114" t="n">
        <v>46213</v>
      </c>
      <c r="B2794" s="115" t="n">
        <v>2921</v>
      </c>
      <c r="C2794" s="115" t="inlineStr">
        <is>
          <t>HASAN ZEMİN</t>
        </is>
      </c>
      <c r="D2794" s="115" t="inlineStr">
        <is>
          <t>KAZIK MAKİNASI</t>
        </is>
      </c>
      <c r="E2794" s="115" t="n"/>
      <c r="F2794" s="115" t="n"/>
      <c r="G2794" s="156" t="n"/>
      <c r="H2794" s="152" t="n">
        <v>404</v>
      </c>
      <c r="I2794" s="156" t="n"/>
      <c r="J2794" s="90" t="n"/>
      <c r="K2794" s="166" t="n"/>
      <c r="L2794" s="158" t="n"/>
      <c r="M2794" s="159" t="n"/>
    </row>
    <row r="2795">
      <c r="A2795" s="114" t="n">
        <v>46210</v>
      </c>
      <c r="B2795" s="115" t="n">
        <v>2922</v>
      </c>
      <c r="C2795" s="115" t="inlineStr">
        <is>
          <t>HASAN ZEMİN</t>
        </is>
      </c>
      <c r="D2795" s="115" t="inlineStr">
        <is>
          <t>KAZIK MAKİNASI</t>
        </is>
      </c>
      <c r="E2795" s="115" t="n"/>
      <c r="F2795" s="115" t="n"/>
      <c r="G2795" s="156" t="n"/>
      <c r="H2795" s="152" t="n">
        <v>444</v>
      </c>
      <c r="I2795" s="156" t="n"/>
      <c r="J2795" s="90" t="n"/>
      <c r="K2795" s="166" t="n"/>
      <c r="L2795" s="158" t="n"/>
      <c r="M2795" s="159" t="n"/>
    </row>
    <row r="2796">
      <c r="A2796" s="114" t="n">
        <v>46217</v>
      </c>
      <c r="B2796" s="115" t="n">
        <v>2923</v>
      </c>
      <c r="C2796" s="115" t="inlineStr">
        <is>
          <t>HASAN ZEMİN</t>
        </is>
      </c>
      <c r="D2796" s="115" t="inlineStr">
        <is>
          <t>KAZIK MAKİNASI</t>
        </is>
      </c>
      <c r="E2796" s="115" t="n"/>
      <c r="F2796" s="115" t="n"/>
      <c r="G2796" s="156" t="n"/>
      <c r="H2796" s="152" t="n">
        <v>424</v>
      </c>
      <c r="I2796" s="156" t="n"/>
      <c r="J2796" s="90" t="n"/>
      <c r="K2796" s="166" t="n"/>
      <c r="L2796" s="158" t="n"/>
      <c r="M2796" s="159" t="n"/>
    </row>
    <row r="2797">
      <c r="A2797" s="114" t="n">
        <v>46218</v>
      </c>
      <c r="B2797" s="115" t="n">
        <v>2924</v>
      </c>
      <c r="C2797" s="115" t="inlineStr">
        <is>
          <t>HASAN ZEMİN</t>
        </is>
      </c>
      <c r="D2797" s="115" t="inlineStr">
        <is>
          <t>KAZIK MAKİNASI</t>
        </is>
      </c>
      <c r="E2797" s="115" t="n"/>
      <c r="F2797" s="115" t="n"/>
      <c r="G2797" s="156" t="n"/>
      <c r="H2797" s="152" t="n">
        <v>190</v>
      </c>
      <c r="I2797" s="156" t="n"/>
      <c r="J2797" s="90" t="n"/>
      <c r="K2797" s="166" t="n"/>
      <c r="L2797" s="158" t="n"/>
      <c r="M2797" s="159" t="n"/>
    </row>
    <row r="2798">
      <c r="A2798" s="114" t="n">
        <v>46205</v>
      </c>
      <c r="B2798" s="115" t="n">
        <v>3803</v>
      </c>
      <c r="C2798" s="115" t="inlineStr">
        <is>
          <t>METİN ERYİĞİT</t>
        </is>
      </c>
      <c r="D2798" s="115" t="inlineStr">
        <is>
          <t>34 EGR 814</t>
        </is>
      </c>
      <c r="E2798" s="115" t="inlineStr">
        <is>
          <t>SEZGİN KOCAGİL</t>
        </is>
      </c>
      <c r="F2798" s="115" t="n">
        <v>645243</v>
      </c>
      <c r="G2798" s="156" t="n"/>
      <c r="H2798" s="152" t="n">
        <v>414</v>
      </c>
      <c r="I2798" s="156" t="n"/>
      <c r="J2798" s="90" t="n"/>
      <c r="K2798" s="166" t="n"/>
      <c r="L2798" s="158" t="n"/>
      <c r="M2798" s="159" t="n"/>
    </row>
    <row r="2799">
      <c r="A2799" s="114" t="n">
        <v>46206</v>
      </c>
      <c r="B2799" s="115" t="n">
        <v>3804</v>
      </c>
      <c r="C2799" s="115" t="inlineStr">
        <is>
          <t>METİN ERYİĞİT</t>
        </is>
      </c>
      <c r="D2799" s="115" t="inlineStr">
        <is>
          <t>34 EGR 814</t>
        </is>
      </c>
      <c r="E2799" s="115" t="inlineStr">
        <is>
          <t>SEZGİN KOCAGİL</t>
        </is>
      </c>
      <c r="F2799" s="115" t="n">
        <v>645978</v>
      </c>
      <c r="G2799" s="156" t="n"/>
      <c r="H2799" s="152" t="n">
        <v>408</v>
      </c>
      <c r="I2799" s="156" t="n"/>
      <c r="J2799" s="90" t="n"/>
      <c r="K2799" s="166" t="n"/>
      <c r="L2799" s="158" t="n"/>
      <c r="M2799" s="159" t="n"/>
    </row>
    <row r="2800">
      <c r="A2800" s="114" t="n">
        <v>46208</v>
      </c>
      <c r="B2800" s="115" t="n">
        <v>3805</v>
      </c>
      <c r="C2800" s="115" t="inlineStr">
        <is>
          <t>METİN ERYİĞİT</t>
        </is>
      </c>
      <c r="D2800" s="115" t="inlineStr">
        <is>
          <t>34 EGR 814</t>
        </is>
      </c>
      <c r="E2800" s="115" t="inlineStr">
        <is>
          <t>SEZGİN KOCAGİL</t>
        </is>
      </c>
      <c r="F2800" s="115" t="n">
        <v>646795</v>
      </c>
      <c r="G2800" s="156" t="n"/>
      <c r="H2800" s="152" t="n">
        <v>418</v>
      </c>
      <c r="I2800" s="156" t="n"/>
      <c r="J2800" s="90" t="n"/>
      <c r="K2800" s="166" t="n"/>
      <c r="L2800" s="158" t="n"/>
      <c r="M2800" s="159" t="n"/>
    </row>
    <row r="2801">
      <c r="A2801" s="114" t="n">
        <v>46210</v>
      </c>
      <c r="B2801" s="115" t="n">
        <v>3806</v>
      </c>
      <c r="C2801" s="115" t="inlineStr">
        <is>
          <t>METİN ERYİĞİT</t>
        </is>
      </c>
      <c r="D2801" s="115" t="inlineStr">
        <is>
          <t>34 EGR 814</t>
        </is>
      </c>
      <c r="E2801" s="115" t="inlineStr">
        <is>
          <t>SEZGİN KOCAGİL</t>
        </is>
      </c>
      <c r="F2801" s="115" t="n">
        <v>647530</v>
      </c>
      <c r="G2801" s="156" t="n"/>
      <c r="H2801" s="152" t="n">
        <v>413</v>
      </c>
      <c r="I2801" s="156" t="n"/>
      <c r="J2801" s="90" t="n"/>
      <c r="K2801" s="166" t="n"/>
      <c r="L2801" s="158" t="n"/>
      <c r="M2801" s="159" t="n"/>
    </row>
    <row r="2802">
      <c r="A2802" s="114" t="n">
        <v>46212</v>
      </c>
      <c r="B2802" s="115" t="n">
        <v>3807</v>
      </c>
      <c r="C2802" s="115" t="inlineStr">
        <is>
          <t>METİN ERYİĞİT</t>
        </is>
      </c>
      <c r="D2802" s="115" t="inlineStr">
        <is>
          <t>34 EGR 814</t>
        </is>
      </c>
      <c r="E2802" s="115" t="inlineStr">
        <is>
          <t>SEZGİN KOCAGİL</t>
        </is>
      </c>
      <c r="F2802" s="115" t="n">
        <v>648271</v>
      </c>
      <c r="G2802" s="156" t="n"/>
      <c r="H2802" s="152" t="n">
        <v>428</v>
      </c>
      <c r="I2802" s="156" t="n"/>
      <c r="J2802" s="90" t="n"/>
      <c r="K2802" s="166" t="n"/>
      <c r="L2802" s="158" t="n"/>
      <c r="M2802" s="159" t="n"/>
    </row>
    <row r="2803">
      <c r="A2803" s="114" t="n">
        <v>46213</v>
      </c>
      <c r="B2803" s="115" t="n">
        <v>3808</v>
      </c>
      <c r="C2803" s="115" t="inlineStr">
        <is>
          <t>METİN ERYİĞİT</t>
        </is>
      </c>
      <c r="D2803" s="115" t="inlineStr">
        <is>
          <t>34 EGR 814</t>
        </is>
      </c>
      <c r="E2803" s="115" t="inlineStr">
        <is>
          <t>SEZGİN KOCAGİL</t>
        </is>
      </c>
      <c r="F2803" s="115" t="n">
        <v>648804</v>
      </c>
      <c r="G2803" s="156" t="n"/>
      <c r="H2803" s="152" t="n">
        <v>326</v>
      </c>
      <c r="I2803" s="156" t="n"/>
      <c r="J2803" s="90" t="n"/>
      <c r="K2803" s="166" t="n"/>
      <c r="L2803" s="158" t="n"/>
      <c r="M2803" s="159" t="n"/>
    </row>
    <row r="2804">
      <c r="A2804" s="114" t="n">
        <v>46216</v>
      </c>
      <c r="B2804" s="115" t="n">
        <v>3809</v>
      </c>
      <c r="C2804" s="115" t="inlineStr">
        <is>
          <t>METİN ERYİĞİT</t>
        </is>
      </c>
      <c r="D2804" s="115" t="inlineStr">
        <is>
          <t>34 EGR 814</t>
        </is>
      </c>
      <c r="E2804" s="115" t="inlineStr">
        <is>
          <t>SEZGİN KOCAGİL</t>
        </is>
      </c>
      <c r="F2804" s="115" t="n">
        <v>649752</v>
      </c>
      <c r="G2804" s="156" t="n"/>
      <c r="H2804" s="152" t="n">
        <v>490</v>
      </c>
      <c r="I2804" s="156" t="n"/>
      <c r="J2804" s="90" t="n"/>
      <c r="K2804" s="166" t="n"/>
      <c r="L2804" s="158" t="n"/>
      <c r="M2804" s="159" t="n"/>
    </row>
    <row r="2805">
      <c r="A2805" s="114" t="n">
        <v>46217</v>
      </c>
      <c r="B2805" s="115" t="n">
        <v>3810</v>
      </c>
      <c r="C2805" s="115" t="inlineStr">
        <is>
          <t>METİN ERYİĞİT</t>
        </is>
      </c>
      <c r="D2805" s="115" t="inlineStr">
        <is>
          <t>34 EGR 814</t>
        </is>
      </c>
      <c r="E2805" s="115" t="inlineStr">
        <is>
          <t>SEZGİN KOCAGİL</t>
        </is>
      </c>
      <c r="F2805" s="115" t="n">
        <v>650587</v>
      </c>
      <c r="G2805" s="156" t="n"/>
      <c r="H2805" s="152" t="n">
        <v>200</v>
      </c>
      <c r="I2805" s="156" t="n"/>
      <c r="J2805" s="90" t="n"/>
      <c r="K2805" s="166" t="n"/>
      <c r="L2805" s="158" t="n"/>
      <c r="M2805" s="159" t="n"/>
    </row>
    <row r="2806">
      <c r="A2806" s="114" t="n">
        <v>46218</v>
      </c>
      <c r="B2806" s="115" t="n">
        <v>3811</v>
      </c>
      <c r="C2806" s="115" t="inlineStr">
        <is>
          <t>METİN ERYİĞİT</t>
        </is>
      </c>
      <c r="D2806" s="115" t="inlineStr">
        <is>
          <t>34 EGR 814</t>
        </is>
      </c>
      <c r="E2806" s="115" t="inlineStr">
        <is>
          <t>SEZGİN KOCAGİL</t>
        </is>
      </c>
      <c r="F2806" s="115" t="n">
        <v>650761</v>
      </c>
      <c r="G2806" s="156" t="n"/>
      <c r="H2806" s="152" t="n">
        <v>330</v>
      </c>
      <c r="I2806" s="156" t="n"/>
      <c r="J2806" s="90" t="n"/>
      <c r="K2806" s="166" t="n"/>
      <c r="L2806" s="158" t="n"/>
      <c r="M2806" s="159" t="n"/>
    </row>
    <row r="2807">
      <c r="A2807" s="114" t="n">
        <v>46205</v>
      </c>
      <c r="B2807" s="115" t="n">
        <v>3757</v>
      </c>
      <c r="C2807" s="115" t="inlineStr">
        <is>
          <t>METİN ERYİĞİT</t>
        </is>
      </c>
      <c r="D2807" s="115" t="inlineStr">
        <is>
          <t>34 EGS 013</t>
        </is>
      </c>
      <c r="E2807" s="115" t="inlineStr">
        <is>
          <t>UĞUR DUMAN</t>
        </is>
      </c>
      <c r="F2807" s="115" t="n">
        <v>596037</v>
      </c>
      <c r="G2807" s="156" t="n"/>
      <c r="H2807" s="152" t="n">
        <v>463</v>
      </c>
      <c r="I2807" s="156" t="n"/>
      <c r="J2807" s="90" t="n"/>
      <c r="K2807" s="166" t="n"/>
      <c r="L2807" s="158" t="n"/>
      <c r="M2807" s="159" t="n"/>
    </row>
    <row r="2808">
      <c r="A2808" s="114" t="n">
        <v>46206</v>
      </c>
      <c r="B2808" s="115" t="n">
        <v>3758</v>
      </c>
      <c r="C2808" s="115" t="inlineStr">
        <is>
          <t>METİN ERYİĞİT</t>
        </is>
      </c>
      <c r="D2808" s="115" t="inlineStr">
        <is>
          <t>34 EGS 013</t>
        </is>
      </c>
      <c r="E2808" s="115" t="inlineStr">
        <is>
          <t>UĞUR DUMAN</t>
        </is>
      </c>
      <c r="F2808" s="115" t="n">
        <v>596624</v>
      </c>
      <c r="G2808" s="156" t="n"/>
      <c r="H2808" s="152" t="n">
        <v>370</v>
      </c>
      <c r="I2808" s="156" t="n"/>
      <c r="J2808" s="90" t="n"/>
      <c r="K2808" s="166" t="n"/>
      <c r="L2808" s="158" t="n"/>
      <c r="M2808" s="159" t="n"/>
    </row>
    <row r="2809">
      <c r="A2809" s="114" t="n">
        <v>46208</v>
      </c>
      <c r="B2809" s="115" t="n">
        <v>3759</v>
      </c>
      <c r="C2809" s="115" t="inlineStr">
        <is>
          <t>METİN ERYİĞİT</t>
        </is>
      </c>
      <c r="D2809" s="115" t="inlineStr">
        <is>
          <t>34 EGS 013</t>
        </is>
      </c>
      <c r="E2809" s="115" t="inlineStr">
        <is>
          <t>UĞUR DUMAN</t>
        </is>
      </c>
      <c r="F2809" s="115" t="n">
        <v>597612</v>
      </c>
      <c r="G2809" s="156" t="n"/>
      <c r="H2809" s="152" t="n">
        <v>494</v>
      </c>
      <c r="I2809" s="156" t="n"/>
      <c r="J2809" s="90" t="n"/>
      <c r="K2809" s="166" t="n"/>
      <c r="L2809" s="158" t="n"/>
      <c r="M2809" s="159" t="n"/>
    </row>
    <row r="2810">
      <c r="A2810" s="114" t="n">
        <v>46210</v>
      </c>
      <c r="B2810" s="115" t="n">
        <v>3760</v>
      </c>
      <c r="C2810" s="115" t="inlineStr">
        <is>
          <t>METİN ERYİĞİT</t>
        </is>
      </c>
      <c r="D2810" s="115" t="inlineStr">
        <is>
          <t>34 EGS 013</t>
        </is>
      </c>
      <c r="E2810" s="115" t="inlineStr">
        <is>
          <t>UĞUR DUMAN</t>
        </is>
      </c>
      <c r="F2810" s="115" t="n">
        <v>598354</v>
      </c>
      <c r="G2810" s="156" t="n"/>
      <c r="H2810" s="152" t="n">
        <v>417</v>
      </c>
      <c r="I2810" s="156" t="n"/>
      <c r="J2810" s="90" t="n"/>
      <c r="K2810" s="166" t="n"/>
      <c r="L2810" s="158" t="n"/>
      <c r="M2810" s="159" t="n"/>
    </row>
    <row r="2811">
      <c r="A2811" s="114" t="n">
        <v>46212</v>
      </c>
      <c r="B2811" s="115" t="n">
        <v>3761</v>
      </c>
      <c r="C2811" s="115" t="inlineStr">
        <is>
          <t>METİN ERYİĞİT</t>
        </is>
      </c>
      <c r="D2811" s="115" t="inlineStr">
        <is>
          <t>34 EGS 013</t>
        </is>
      </c>
      <c r="E2811" s="115" t="inlineStr">
        <is>
          <t>UĞUR DUMAN</t>
        </is>
      </c>
      <c r="F2811" s="115" t="n">
        <v>599050</v>
      </c>
      <c r="G2811" s="156" t="n"/>
      <c r="H2811" s="152" t="n">
        <v>402</v>
      </c>
      <c r="I2811" s="156" t="n"/>
      <c r="J2811" s="90" t="n"/>
      <c r="K2811" s="166" t="n"/>
      <c r="L2811" s="158" t="n"/>
      <c r="M2811" s="159" t="n"/>
    </row>
    <row r="2812">
      <c r="A2812" s="114" t="n">
        <v>46214</v>
      </c>
      <c r="B2812" s="115" t="n">
        <v>3762</v>
      </c>
      <c r="C2812" s="115" t="inlineStr">
        <is>
          <t>METİN ERYİĞİT</t>
        </is>
      </c>
      <c r="D2812" s="115" t="inlineStr">
        <is>
          <t>34 EGS 013</t>
        </is>
      </c>
      <c r="E2812" s="115" t="inlineStr">
        <is>
          <t>UĞUR DUMAN</t>
        </is>
      </c>
      <c r="F2812" s="115" t="n">
        <v>599762</v>
      </c>
      <c r="G2812" s="156" t="n"/>
      <c r="H2812" s="152" t="n">
        <v>440</v>
      </c>
      <c r="I2812" s="156" t="n"/>
      <c r="J2812" s="90" t="n"/>
      <c r="K2812" s="166" t="n"/>
      <c r="L2812" s="158" t="n"/>
      <c r="M2812" s="159" t="n"/>
    </row>
    <row r="2813">
      <c r="A2813" s="114" t="n">
        <v>46217</v>
      </c>
      <c r="B2813" s="115" t="n">
        <v>3763</v>
      </c>
      <c r="C2813" s="115" t="inlineStr">
        <is>
          <t>METİN ERYİĞİT</t>
        </is>
      </c>
      <c r="D2813" s="115" t="inlineStr">
        <is>
          <t>34 EGS 013</t>
        </is>
      </c>
      <c r="E2813" s="115" t="inlineStr">
        <is>
          <t>UĞUR DUMAN</t>
        </is>
      </c>
      <c r="F2813" s="115" t="n">
        <v>600624</v>
      </c>
      <c r="G2813" s="156" t="n"/>
      <c r="H2813" s="152" t="n">
        <v>467</v>
      </c>
      <c r="I2813" s="156" t="n"/>
      <c r="J2813" s="90" t="n"/>
      <c r="K2813" s="166" t="n"/>
      <c r="L2813" s="158" t="n"/>
      <c r="M2813" s="159" t="n"/>
    </row>
    <row r="2814">
      <c r="A2814" s="114" t="n">
        <v>46204</v>
      </c>
      <c r="B2814" s="115" t="n">
        <v>2861</v>
      </c>
      <c r="C2814" s="115" t="inlineStr">
        <is>
          <t>METİN ERYİĞİT</t>
        </is>
      </c>
      <c r="D2814" s="115" t="inlineStr">
        <is>
          <t>34 GBL 998</t>
        </is>
      </c>
      <c r="E2814" s="115" t="inlineStr">
        <is>
          <t>ALİ KESKİN</t>
        </is>
      </c>
      <c r="F2814" s="115" t="n">
        <v>383650</v>
      </c>
      <c r="G2814" s="156" t="n"/>
      <c r="H2814" s="152" t="n">
        <v>411</v>
      </c>
      <c r="I2814" s="156" t="n"/>
      <c r="J2814" s="90" t="n"/>
      <c r="K2814" s="166" t="n"/>
      <c r="L2814" s="158" t="n"/>
      <c r="M2814" s="159" t="n"/>
    </row>
    <row r="2815">
      <c r="A2815" s="114" t="n">
        <v>46206</v>
      </c>
      <c r="B2815" s="115" t="n">
        <v>2862</v>
      </c>
      <c r="C2815" s="115" t="inlineStr">
        <is>
          <t>METİN ERYİĞİT</t>
        </is>
      </c>
      <c r="D2815" s="115" t="inlineStr">
        <is>
          <t>34 GBL 998</t>
        </is>
      </c>
      <c r="E2815" s="115" t="inlineStr">
        <is>
          <t>ALİ KESKİN</t>
        </is>
      </c>
      <c r="F2815" s="115" t="n">
        <v>384326</v>
      </c>
      <c r="G2815" s="156" t="n"/>
      <c r="H2815" s="152" t="n">
        <v>364</v>
      </c>
      <c r="I2815" s="156" t="n"/>
      <c r="J2815" s="90" t="n"/>
      <c r="K2815" s="166" t="n"/>
      <c r="L2815" s="158" t="n"/>
      <c r="M2815" s="159" t="n"/>
    </row>
    <row r="2816">
      <c r="A2816" s="114" t="n">
        <v>46207</v>
      </c>
      <c r="B2816" s="115" t="n">
        <v>2863</v>
      </c>
      <c r="C2816" s="115" t="inlineStr">
        <is>
          <t>METİN ERYİĞİT</t>
        </is>
      </c>
      <c r="D2816" s="115" t="inlineStr">
        <is>
          <t>34 GBL 998</t>
        </is>
      </c>
      <c r="E2816" s="115" t="inlineStr">
        <is>
          <t>ALİ KESKİN</t>
        </is>
      </c>
      <c r="F2816" s="115" t="n">
        <v>385081</v>
      </c>
      <c r="G2816" s="156" t="n"/>
      <c r="H2816" s="152" t="n">
        <v>373</v>
      </c>
      <c r="I2816" s="156" t="n"/>
      <c r="J2816" s="90" t="n"/>
      <c r="K2816" s="166" t="n"/>
      <c r="L2816" s="158" t="n"/>
      <c r="M2816" s="159" t="n"/>
    </row>
    <row r="2817">
      <c r="A2817" s="114" t="n">
        <v>46209</v>
      </c>
      <c r="B2817" s="115" t="n">
        <v>2864</v>
      </c>
      <c r="C2817" s="115" t="inlineStr">
        <is>
          <t>METİN ERYİĞİT</t>
        </is>
      </c>
      <c r="D2817" s="115" t="inlineStr">
        <is>
          <t>34 GBL 998</t>
        </is>
      </c>
      <c r="E2817" s="115" t="inlineStr">
        <is>
          <t>ALİ KESKİN</t>
        </is>
      </c>
      <c r="F2817" s="115" t="n">
        <v>386056</v>
      </c>
      <c r="G2817" s="156" t="n"/>
      <c r="H2817" s="152" t="n">
        <v>250</v>
      </c>
      <c r="I2817" s="156" t="n"/>
      <c r="J2817" s="90" t="n"/>
      <c r="K2817" s="166" t="n"/>
      <c r="L2817" s="158" t="n"/>
      <c r="M2817" s="159" t="n"/>
    </row>
    <row r="2818">
      <c r="A2818" s="114" t="n">
        <v>46210</v>
      </c>
      <c r="B2818" s="115" t="n">
        <v>2865</v>
      </c>
      <c r="C2818" s="115" t="inlineStr">
        <is>
          <t>METİN ERYİĞİT</t>
        </is>
      </c>
      <c r="D2818" s="115" t="inlineStr">
        <is>
          <t>34 GBL 998</t>
        </is>
      </c>
      <c r="E2818" s="115" t="inlineStr">
        <is>
          <t>ALİ KESKİN</t>
        </is>
      </c>
      <c r="F2818" s="115" t="n">
        <v>386266</v>
      </c>
      <c r="G2818" s="156" t="n"/>
      <c r="H2818" s="152" t="n">
        <v>332</v>
      </c>
      <c r="I2818" s="156" t="n"/>
      <c r="J2818" s="90" t="n"/>
      <c r="K2818" s="166" t="n"/>
      <c r="L2818" s="158" t="n"/>
      <c r="M2818" s="159" t="n"/>
    </row>
    <row r="2819">
      <c r="A2819" s="114" t="n">
        <v>46212</v>
      </c>
      <c r="B2819" s="115" t="n">
        <v>2866</v>
      </c>
      <c r="C2819" s="115" t="inlineStr">
        <is>
          <t>METİN ERYİĞİT</t>
        </is>
      </c>
      <c r="D2819" s="115" t="inlineStr">
        <is>
          <t>34 GBL 998</t>
        </is>
      </c>
      <c r="E2819" s="115" t="inlineStr">
        <is>
          <t>ALİ KESKİN</t>
        </is>
      </c>
      <c r="F2819" s="115" t="n">
        <v>387118</v>
      </c>
      <c r="G2819" s="156" t="n"/>
      <c r="H2819" s="152" t="n">
        <v>477</v>
      </c>
      <c r="I2819" s="156" t="n"/>
      <c r="J2819" s="90" t="n"/>
      <c r="K2819" s="166" t="n"/>
      <c r="L2819" s="158" t="n"/>
      <c r="M2819" s="159" t="n"/>
    </row>
    <row r="2820">
      <c r="A2820" s="114" t="n">
        <v>46214</v>
      </c>
      <c r="B2820" s="115" t="n">
        <v>2867</v>
      </c>
      <c r="C2820" s="115" t="inlineStr">
        <is>
          <t>METİN ERYİĞİT</t>
        </is>
      </c>
      <c r="D2820" s="115" t="inlineStr">
        <is>
          <t>34 GBL 998</t>
        </is>
      </c>
      <c r="E2820" s="115" t="inlineStr">
        <is>
          <t>ALİ KESKİN</t>
        </is>
      </c>
      <c r="F2820" s="115" t="n">
        <v>387954</v>
      </c>
      <c r="G2820" s="156" t="n"/>
      <c r="H2820" s="152" t="n">
        <v>438</v>
      </c>
      <c r="I2820" s="156" t="n"/>
      <c r="J2820" s="90" t="n"/>
      <c r="K2820" s="166" t="n"/>
      <c r="L2820" s="158" t="n"/>
      <c r="M2820" s="159" t="n"/>
    </row>
    <row r="2821">
      <c r="A2821" s="114" t="n">
        <v>46217</v>
      </c>
      <c r="B2821" s="115" t="n">
        <v>2868</v>
      </c>
      <c r="C2821" s="115" t="inlineStr">
        <is>
          <t>METİN ERYİĞİT</t>
        </is>
      </c>
      <c r="D2821" s="115" t="inlineStr">
        <is>
          <t>34 GBL 998</t>
        </is>
      </c>
      <c r="E2821" s="115" t="inlineStr">
        <is>
          <t>ALİ KESKİN</t>
        </is>
      </c>
      <c r="F2821" s="115" t="n">
        <v>388847</v>
      </c>
      <c r="G2821" s="156" t="n"/>
      <c r="H2821" s="152" t="n">
        <v>428</v>
      </c>
      <c r="I2821" s="156" t="n"/>
      <c r="J2821" s="90" t="n"/>
      <c r="K2821" s="166" t="n"/>
      <c r="L2821" s="158" t="n"/>
      <c r="M2821" s="159" t="n"/>
    </row>
    <row r="2822">
      <c r="A2822" s="114" t="n">
        <v>46205</v>
      </c>
      <c r="B2822" s="115" t="n">
        <v>1832</v>
      </c>
      <c r="C2822" s="115" t="inlineStr">
        <is>
          <t>AZGÜN YAPI</t>
        </is>
      </c>
      <c r="D2822" s="115" t="inlineStr">
        <is>
          <t xml:space="preserve">34 MKT 593 </t>
        </is>
      </c>
      <c r="E2822" s="115" t="inlineStr">
        <is>
          <t>TURGUT ÇATAL</t>
        </is>
      </c>
      <c r="F2822" s="115" t="n"/>
      <c r="G2822" s="156" t="n"/>
      <c r="H2822" s="152" t="n">
        <v>407</v>
      </c>
      <c r="I2822" s="156" t="n"/>
      <c r="J2822" s="90" t="n"/>
      <c r="K2822" s="166" t="n"/>
      <c r="L2822" s="158" t="n"/>
      <c r="M2822" s="159" t="n"/>
    </row>
    <row r="2823">
      <c r="A2823" s="114" t="n">
        <v>46206</v>
      </c>
      <c r="B2823" s="115" t="n">
        <v>1833</v>
      </c>
      <c r="C2823" s="115" t="inlineStr">
        <is>
          <t>AZGÜN YAPI</t>
        </is>
      </c>
      <c r="D2823" s="115" t="inlineStr">
        <is>
          <t xml:space="preserve">34 MKT 593 </t>
        </is>
      </c>
      <c r="E2823" s="115" t="inlineStr">
        <is>
          <t>TURGUT ÇATAL</t>
        </is>
      </c>
      <c r="F2823" s="115" t="n"/>
      <c r="G2823" s="156" t="n"/>
      <c r="H2823" s="152" t="n">
        <v>274</v>
      </c>
      <c r="I2823" s="156" t="n"/>
      <c r="J2823" s="90" t="n"/>
      <c r="K2823" s="166" t="n"/>
      <c r="L2823" s="158" t="n"/>
      <c r="M2823" s="159" t="n"/>
    </row>
    <row r="2824">
      <c r="A2824" s="114" t="n">
        <v>46208</v>
      </c>
      <c r="B2824" s="115" t="n">
        <v>1834</v>
      </c>
      <c r="C2824" s="115" t="inlineStr">
        <is>
          <t>AZGÜN YAPI</t>
        </is>
      </c>
      <c r="D2824" s="115" t="inlineStr">
        <is>
          <t xml:space="preserve">34 MKT 593 </t>
        </is>
      </c>
      <c r="E2824" s="115" t="inlineStr">
        <is>
          <t>TURGUT ÇATAL</t>
        </is>
      </c>
      <c r="F2824" s="115" t="n"/>
      <c r="G2824" s="156" t="n"/>
      <c r="H2824" s="152" t="n">
        <v>385</v>
      </c>
      <c r="I2824" s="156" t="n"/>
      <c r="J2824" s="90" t="n"/>
      <c r="K2824" s="166" t="n"/>
      <c r="L2824" s="158" t="n"/>
      <c r="M2824" s="159" t="n"/>
    </row>
    <row r="2825">
      <c r="A2825" s="114" t="n">
        <v>46210</v>
      </c>
      <c r="B2825" s="115" t="n">
        <v>1835</v>
      </c>
      <c r="C2825" s="115" t="inlineStr">
        <is>
          <t>AZGÜN YAPI</t>
        </is>
      </c>
      <c r="D2825" s="115" t="inlineStr">
        <is>
          <t xml:space="preserve">34 MKT 593 </t>
        </is>
      </c>
      <c r="E2825" s="115" t="inlineStr">
        <is>
          <t>TURGUT ÇATAL</t>
        </is>
      </c>
      <c r="F2825" s="115" t="n"/>
      <c r="G2825" s="156" t="n"/>
      <c r="H2825" s="152" t="n">
        <v>351</v>
      </c>
      <c r="I2825" s="156" t="n"/>
      <c r="J2825" s="90" t="n"/>
      <c r="K2825" s="166" t="n"/>
      <c r="L2825" s="158" t="n"/>
      <c r="M2825" s="159" t="n"/>
    </row>
    <row r="2826">
      <c r="A2826" s="114" t="n">
        <v>46213</v>
      </c>
      <c r="B2826" s="115" t="n">
        <v>1836</v>
      </c>
      <c r="C2826" s="115" t="inlineStr">
        <is>
          <t>AZGÜN YAPI</t>
        </is>
      </c>
      <c r="D2826" s="115" t="inlineStr">
        <is>
          <t xml:space="preserve">34 MKT 593 </t>
        </is>
      </c>
      <c r="E2826" s="115" t="inlineStr">
        <is>
          <t>TURGUT ÇATAL</t>
        </is>
      </c>
      <c r="F2826" s="115" t="n"/>
      <c r="G2826" s="156" t="n"/>
      <c r="H2826" s="152" t="n">
        <v>296</v>
      </c>
      <c r="I2826" s="156" t="n"/>
      <c r="J2826" s="90" t="n"/>
      <c r="K2826" s="166" t="n"/>
      <c r="L2826" s="158" t="n"/>
      <c r="M2826" s="159" t="n"/>
    </row>
    <row r="2827">
      <c r="A2827" s="114" t="n">
        <v>46214</v>
      </c>
      <c r="B2827" s="115" t="n">
        <v>1837</v>
      </c>
      <c r="C2827" s="115" t="inlineStr">
        <is>
          <t>AZGÜN YAPI</t>
        </is>
      </c>
      <c r="D2827" s="115" t="inlineStr">
        <is>
          <t xml:space="preserve">34 MKT 593 </t>
        </is>
      </c>
      <c r="E2827" s="115" t="inlineStr">
        <is>
          <t>TURGUT ÇATAL</t>
        </is>
      </c>
      <c r="F2827" s="115" t="n"/>
      <c r="G2827" s="156" t="n"/>
      <c r="H2827" s="152" t="n">
        <v>312</v>
      </c>
      <c r="I2827" s="156" t="n"/>
      <c r="J2827" s="90" t="n"/>
      <c r="K2827" s="166" t="n"/>
      <c r="L2827" s="158" t="n"/>
      <c r="M2827" s="159" t="n"/>
    </row>
    <row r="2828">
      <c r="A2828" s="114" t="n">
        <v>46217</v>
      </c>
      <c r="B2828" s="115" t="n">
        <v>1838</v>
      </c>
      <c r="C2828" s="115" t="inlineStr">
        <is>
          <t>AZGÜN YAPI</t>
        </is>
      </c>
      <c r="D2828" s="115" t="inlineStr">
        <is>
          <t xml:space="preserve">34 MKT 593 </t>
        </is>
      </c>
      <c r="E2828" s="115" t="inlineStr">
        <is>
          <t>TURGUT ÇATAL</t>
        </is>
      </c>
      <c r="F2828" s="115" t="n"/>
      <c r="G2828" s="156" t="n"/>
      <c r="H2828" s="152" t="n">
        <v>326</v>
      </c>
      <c r="I2828" s="156" t="n"/>
      <c r="J2828" s="90" t="n"/>
      <c r="K2828" s="166" t="n"/>
      <c r="L2828" s="158" t="n"/>
      <c r="M2828" s="159" t="n"/>
    </row>
    <row r="2829">
      <c r="A2829" s="114" t="n">
        <v>46218</v>
      </c>
      <c r="B2829" s="115" t="n">
        <v>1839</v>
      </c>
      <c r="C2829" s="115" t="inlineStr">
        <is>
          <t>AZGÜN YAPI</t>
        </is>
      </c>
      <c r="D2829" s="115" t="inlineStr">
        <is>
          <t xml:space="preserve">34 MKT 593 </t>
        </is>
      </c>
      <c r="E2829" s="115" t="inlineStr">
        <is>
          <t>TURGUT ÇATAL</t>
        </is>
      </c>
      <c r="F2829" s="115" t="n"/>
      <c r="G2829" s="156" t="n"/>
      <c r="H2829" s="152" t="n">
        <v>307</v>
      </c>
      <c r="I2829" s="156" t="n"/>
      <c r="J2829" s="90" t="n"/>
      <c r="K2829" s="166" t="n"/>
      <c r="L2829" s="158" t="n"/>
      <c r="M2829" s="159" t="n"/>
    </row>
    <row r="2830">
      <c r="A2830" s="114" t="n">
        <v>46204</v>
      </c>
      <c r="B2830" s="115" t="n">
        <v>2321</v>
      </c>
      <c r="C2830" s="115" t="inlineStr">
        <is>
          <t>AZGÜN YAPI</t>
        </is>
      </c>
      <c r="D2830" s="115" t="inlineStr">
        <is>
          <t>34 DTV 263</t>
        </is>
      </c>
      <c r="E2830" s="115" t="inlineStr">
        <is>
          <t>DURSUN ALİ GÜREK</t>
        </is>
      </c>
      <c r="F2830" s="115" t="n"/>
      <c r="G2830" s="156" t="n"/>
      <c r="H2830" s="152" t="n">
        <v>395</v>
      </c>
      <c r="I2830" s="156" t="n"/>
      <c r="J2830" s="90" t="n"/>
      <c r="K2830" s="166" t="n"/>
      <c r="L2830" s="158" t="n"/>
      <c r="M2830" s="159" t="n"/>
    </row>
    <row r="2831">
      <c r="A2831" s="114" t="n">
        <v>46205</v>
      </c>
      <c r="B2831" s="115" t="n">
        <v>2322</v>
      </c>
      <c r="C2831" s="115" t="inlineStr">
        <is>
          <t>AZGÜN YAPI</t>
        </is>
      </c>
      <c r="D2831" s="115" t="inlineStr">
        <is>
          <t>34 DTV 263</t>
        </is>
      </c>
      <c r="E2831" s="115" t="inlineStr">
        <is>
          <t>DURSUN ALİ GÜREK</t>
        </is>
      </c>
      <c r="F2831" s="115" t="n"/>
      <c r="G2831" s="156" t="n"/>
      <c r="H2831" s="152" t="n">
        <v>438</v>
      </c>
      <c r="I2831" s="156" t="n"/>
      <c r="J2831" s="90" t="n"/>
      <c r="K2831" s="166" t="n"/>
      <c r="L2831" s="158" t="n"/>
      <c r="M2831" s="159" t="n"/>
    </row>
    <row r="2832">
      <c r="A2832" s="114" t="n">
        <v>46207</v>
      </c>
      <c r="B2832" s="115" t="n">
        <v>2323</v>
      </c>
      <c r="C2832" s="115" t="inlineStr">
        <is>
          <t>AZGÜN YAPI</t>
        </is>
      </c>
      <c r="D2832" s="115" t="inlineStr">
        <is>
          <t>34 DTV 263</t>
        </is>
      </c>
      <c r="E2832" s="115" t="inlineStr">
        <is>
          <t>DURSUN ALİ GÜREK</t>
        </is>
      </c>
      <c r="F2832" s="115" t="n"/>
      <c r="G2832" s="156" t="n"/>
      <c r="H2832" s="152" t="n">
        <v>389</v>
      </c>
      <c r="I2832" s="156" t="n"/>
      <c r="J2832" s="90" t="n"/>
      <c r="K2832" s="166" t="n"/>
      <c r="L2832" s="158" t="n"/>
      <c r="M2832" s="159" t="n"/>
    </row>
    <row r="2833">
      <c r="A2833" s="114" t="n">
        <v>46209</v>
      </c>
      <c r="B2833" s="115" t="n">
        <v>2324</v>
      </c>
      <c r="C2833" s="115" t="inlineStr">
        <is>
          <t>AZGÜN YAPI</t>
        </is>
      </c>
      <c r="D2833" s="115" t="inlineStr">
        <is>
          <t>34 DTV 263</t>
        </is>
      </c>
      <c r="E2833" s="115" t="inlineStr">
        <is>
          <t>DURSUN ALİ GÜREK</t>
        </is>
      </c>
      <c r="F2833" s="115" t="n"/>
      <c r="G2833" s="156" t="n"/>
      <c r="H2833" s="152" t="n">
        <v>497</v>
      </c>
      <c r="I2833" s="156" t="n"/>
      <c r="J2833" s="90" t="n"/>
      <c r="K2833" s="166" t="n"/>
      <c r="L2833" s="158" t="n"/>
      <c r="M2833" s="159" t="n"/>
    </row>
    <row r="2834">
      <c r="A2834" s="114" t="n">
        <v>46212</v>
      </c>
      <c r="B2834" s="115" t="n">
        <v>2325</v>
      </c>
      <c r="C2834" s="115" t="inlineStr">
        <is>
          <t>AZGÜN YAPI</t>
        </is>
      </c>
      <c r="D2834" s="115" t="inlineStr">
        <is>
          <t>34 DTV 263</t>
        </is>
      </c>
      <c r="E2834" s="115" t="inlineStr">
        <is>
          <t>DURSUN ALİ GÜREK</t>
        </is>
      </c>
      <c r="F2834" s="115" t="n"/>
      <c r="G2834" s="156" t="n"/>
      <c r="H2834" s="152" t="n">
        <v>519</v>
      </c>
      <c r="I2834" s="156" t="n"/>
      <c r="J2834" s="90" t="n"/>
      <c r="K2834" s="166" t="n"/>
      <c r="L2834" s="158" t="n"/>
      <c r="M2834" s="159" t="n"/>
    </row>
    <row r="2835">
      <c r="A2835" s="114" t="n">
        <v>46214</v>
      </c>
      <c r="B2835" s="115" t="n">
        <v>2326</v>
      </c>
      <c r="C2835" s="115" t="inlineStr">
        <is>
          <t>AZGÜN YAPI</t>
        </is>
      </c>
      <c r="D2835" s="115" t="inlineStr">
        <is>
          <t>34 DTV 263</t>
        </is>
      </c>
      <c r="E2835" s="115" t="inlineStr">
        <is>
          <t>DURSUN ALİ GÜREK</t>
        </is>
      </c>
      <c r="F2835" s="115" t="n"/>
      <c r="G2835" s="156" t="n"/>
      <c r="H2835" s="152" t="n">
        <v>437</v>
      </c>
      <c r="I2835" s="156" t="n"/>
      <c r="J2835" s="90" t="n"/>
      <c r="K2835" s="166" t="n"/>
      <c r="L2835" s="158" t="n"/>
      <c r="M2835" s="159" t="n"/>
    </row>
    <row r="2836">
      <c r="A2836" s="114" t="n">
        <v>46217</v>
      </c>
      <c r="B2836" s="115" t="n">
        <v>2327</v>
      </c>
      <c r="C2836" s="115" t="inlineStr">
        <is>
          <t>AZGÜN YAPI</t>
        </is>
      </c>
      <c r="D2836" s="115" t="inlineStr">
        <is>
          <t>34 DTV 263</t>
        </is>
      </c>
      <c r="E2836" s="115" t="inlineStr">
        <is>
          <t>DURSUN ALİ GÜREK</t>
        </is>
      </c>
      <c r="F2836" s="115" t="n"/>
      <c r="G2836" s="156" t="n"/>
      <c r="H2836" s="152" t="n">
        <v>355</v>
      </c>
      <c r="I2836" s="156" t="n"/>
      <c r="J2836" s="90" t="n"/>
      <c r="K2836" s="166" t="n"/>
      <c r="L2836" s="158" t="n"/>
      <c r="M2836" s="159" t="n"/>
    </row>
    <row r="2837">
      <c r="A2837" s="114" t="n">
        <v>46218</v>
      </c>
      <c r="B2837" s="115" t="n">
        <v>2328</v>
      </c>
      <c r="C2837" s="115" t="inlineStr">
        <is>
          <t>AZGÜN YAPI</t>
        </is>
      </c>
      <c r="D2837" s="115" t="inlineStr">
        <is>
          <t>34 DTV 263</t>
        </is>
      </c>
      <c r="E2837" s="115" t="inlineStr">
        <is>
          <t>DURSUN ALİ GÜREK</t>
        </is>
      </c>
      <c r="F2837" s="115" t="n"/>
      <c r="G2837" s="156" t="n"/>
      <c r="H2837" s="152" t="n">
        <v>400</v>
      </c>
      <c r="I2837" s="156" t="n"/>
      <c r="J2837" s="90" t="n"/>
      <c r="K2837" s="166" t="n"/>
      <c r="L2837" s="158" t="n"/>
      <c r="M2837" s="159" t="n"/>
    </row>
    <row r="2838">
      <c r="A2838" s="114" t="n">
        <v>46205</v>
      </c>
      <c r="B2838" s="115" t="n">
        <v>1154</v>
      </c>
      <c r="C2838" s="115" t="inlineStr">
        <is>
          <t>AZGÜN YAPI</t>
        </is>
      </c>
      <c r="D2838" s="115" t="inlineStr">
        <is>
          <t>34 PZC 890</t>
        </is>
      </c>
      <c r="E2838" s="115" t="inlineStr">
        <is>
          <t>RECEP SELİM</t>
        </is>
      </c>
      <c r="F2838" s="115" t="n"/>
      <c r="G2838" s="156" t="n"/>
      <c r="H2838" s="152" t="n">
        <v>200</v>
      </c>
      <c r="I2838" s="156" t="n"/>
      <c r="J2838" s="90" t="n"/>
      <c r="K2838" s="166" t="n"/>
      <c r="L2838" s="158" t="n"/>
      <c r="M2838" s="159" t="n"/>
    </row>
    <row r="2839">
      <c r="A2839" s="114" t="n">
        <v>46209</v>
      </c>
      <c r="B2839" s="115" t="n">
        <v>1155</v>
      </c>
      <c r="C2839" s="115" t="inlineStr">
        <is>
          <t>AZGÜN YAPI</t>
        </is>
      </c>
      <c r="D2839" s="115" t="inlineStr">
        <is>
          <t>34 PZC 890</t>
        </is>
      </c>
      <c r="E2839" s="115" t="inlineStr">
        <is>
          <t>RECEP SELİM</t>
        </is>
      </c>
      <c r="F2839" s="115" t="n"/>
      <c r="G2839" s="156" t="n"/>
      <c r="H2839" s="152" t="n">
        <v>378</v>
      </c>
      <c r="I2839" s="156" t="n"/>
      <c r="J2839" s="90" t="n"/>
      <c r="K2839" s="166" t="n"/>
      <c r="L2839" s="158" t="n"/>
      <c r="M2839" s="159" t="n"/>
    </row>
    <row r="2840">
      <c r="A2840" s="114" t="n">
        <v>46217</v>
      </c>
      <c r="B2840" s="115" t="n">
        <v>1156</v>
      </c>
      <c r="C2840" s="115" t="inlineStr">
        <is>
          <t>AZGÜN YAPI</t>
        </is>
      </c>
      <c r="D2840" s="115" t="inlineStr">
        <is>
          <t>34 PZC 890</t>
        </is>
      </c>
      <c r="E2840" s="115" t="inlineStr">
        <is>
          <t>RECEP SELİM</t>
        </is>
      </c>
      <c r="F2840" s="115" t="n"/>
      <c r="G2840" s="156" t="n"/>
      <c r="H2840" s="152" t="n">
        <v>180</v>
      </c>
      <c r="I2840" s="156" t="n"/>
      <c r="J2840" s="90" t="n"/>
      <c r="K2840" s="166" t="n"/>
      <c r="L2840" s="158" t="n"/>
      <c r="M2840" s="159" t="n"/>
    </row>
    <row r="2841">
      <c r="A2841" s="114" t="n">
        <v>46204</v>
      </c>
      <c r="B2841" s="115" t="n">
        <v>1430</v>
      </c>
      <c r="C2841" s="115" t="inlineStr">
        <is>
          <t>AZGÜN YAPI</t>
        </is>
      </c>
      <c r="D2841" s="115" t="inlineStr">
        <is>
          <t>34 MKT 859</t>
        </is>
      </c>
      <c r="E2841" s="115" t="inlineStr">
        <is>
          <t>ZİYA İNCE</t>
        </is>
      </c>
      <c r="F2841" s="115" t="n"/>
      <c r="G2841" s="156" t="n"/>
      <c r="H2841" s="152" t="n">
        <v>405</v>
      </c>
      <c r="I2841" s="156" t="n"/>
      <c r="J2841" s="90" t="n"/>
      <c r="K2841" s="166" t="n"/>
      <c r="L2841" s="158" t="n"/>
      <c r="M2841" s="159" t="n"/>
    </row>
    <row r="2842">
      <c r="A2842" s="114" t="n">
        <v>46206</v>
      </c>
      <c r="B2842" s="115" t="n">
        <v>1431</v>
      </c>
      <c r="C2842" s="115" t="inlineStr">
        <is>
          <t>AZGÜN YAPI</t>
        </is>
      </c>
      <c r="D2842" s="115" t="inlineStr">
        <is>
          <t>34 MKT 859</t>
        </is>
      </c>
      <c r="E2842" s="115" t="inlineStr">
        <is>
          <t>ZİYA İNCE</t>
        </is>
      </c>
      <c r="F2842" s="115" t="n"/>
      <c r="G2842" s="156" t="n"/>
      <c r="H2842" s="152" t="n">
        <v>412</v>
      </c>
      <c r="I2842" s="156" t="n"/>
      <c r="J2842" s="90" t="n"/>
      <c r="K2842" s="166" t="n"/>
      <c r="L2842" s="158" t="n"/>
      <c r="M2842" s="159" t="n"/>
    </row>
    <row r="2843">
      <c r="A2843" s="114" t="n">
        <v>46208</v>
      </c>
      <c r="B2843" s="115" t="n">
        <v>1432</v>
      </c>
      <c r="C2843" s="115" t="inlineStr">
        <is>
          <t>AZGÜN YAPI</t>
        </is>
      </c>
      <c r="D2843" s="115" t="inlineStr">
        <is>
          <t>34 MKT 859</t>
        </is>
      </c>
      <c r="E2843" s="115" t="inlineStr">
        <is>
          <t>ZİYA İNCE</t>
        </is>
      </c>
      <c r="F2843" s="115" t="n"/>
      <c r="G2843" s="156" t="n"/>
      <c r="H2843" s="152" t="n">
        <v>418</v>
      </c>
      <c r="I2843" s="156" t="n"/>
      <c r="J2843" s="90" t="n"/>
      <c r="K2843" s="166" t="n"/>
      <c r="L2843" s="158" t="n"/>
      <c r="M2843" s="159" t="n"/>
    </row>
    <row r="2844">
      <c r="A2844" s="114" t="n">
        <v>46210</v>
      </c>
      <c r="B2844" s="115" t="n">
        <v>1433</v>
      </c>
      <c r="C2844" s="115" t="inlineStr">
        <is>
          <t>AZGÜN YAPI</t>
        </is>
      </c>
      <c r="D2844" s="115" t="inlineStr">
        <is>
          <t>34 MKT 859</t>
        </is>
      </c>
      <c r="E2844" s="115" t="inlineStr">
        <is>
          <t>ZİYA İNCE</t>
        </is>
      </c>
      <c r="F2844" s="115" t="n"/>
      <c r="G2844" s="156" t="n"/>
      <c r="H2844" s="152" t="n">
        <v>383</v>
      </c>
      <c r="I2844" s="156" t="n"/>
      <c r="J2844" s="90" t="n"/>
      <c r="K2844" s="166" t="n"/>
      <c r="L2844" s="158" t="n"/>
      <c r="M2844" s="159" t="n"/>
    </row>
    <row r="2845">
      <c r="A2845" s="114" t="n">
        <v>46213</v>
      </c>
      <c r="B2845" s="115" t="n">
        <v>1434</v>
      </c>
      <c r="C2845" s="115" t="inlineStr">
        <is>
          <t>AZGÜN YAPI</t>
        </is>
      </c>
      <c r="D2845" s="115" t="inlineStr">
        <is>
          <t>34 MKT 859</t>
        </is>
      </c>
      <c r="E2845" s="115" t="inlineStr">
        <is>
          <t>ZİYA İNCE</t>
        </is>
      </c>
      <c r="F2845" s="115" t="n"/>
      <c r="G2845" s="156" t="n"/>
      <c r="H2845" s="152" t="n">
        <v>360</v>
      </c>
      <c r="I2845" s="156" t="n"/>
      <c r="J2845" s="90" t="n"/>
      <c r="K2845" s="166" t="n"/>
      <c r="L2845" s="158" t="n"/>
      <c r="M2845" s="159" t="n"/>
    </row>
    <row r="2846">
      <c r="A2846" s="114" t="n">
        <v>46214</v>
      </c>
      <c r="B2846" s="115" t="n">
        <v>1435</v>
      </c>
      <c r="C2846" s="115" t="inlineStr">
        <is>
          <t>AZGÜN YAPI</t>
        </is>
      </c>
      <c r="D2846" s="115" t="inlineStr">
        <is>
          <t>34 MKT 859</t>
        </is>
      </c>
      <c r="E2846" s="115" t="inlineStr">
        <is>
          <t>ZİYA İNCE</t>
        </is>
      </c>
      <c r="F2846" s="115" t="n"/>
      <c r="G2846" s="156" t="n"/>
      <c r="H2846" s="152" t="n">
        <v>337</v>
      </c>
      <c r="I2846" s="156" t="n"/>
      <c r="J2846" s="90" t="n"/>
      <c r="K2846" s="166" t="n"/>
      <c r="L2846" s="158" t="n"/>
      <c r="M2846" s="159" t="n"/>
    </row>
    <row r="2847">
      <c r="A2847" s="114" t="n">
        <v>46216</v>
      </c>
      <c r="B2847" s="115" t="n">
        <v>1436</v>
      </c>
      <c r="C2847" s="115" t="inlineStr">
        <is>
          <t>AZGÜN YAPI</t>
        </is>
      </c>
      <c r="D2847" s="115" t="inlineStr">
        <is>
          <t>34 MKT 859</t>
        </is>
      </c>
      <c r="E2847" s="115" t="inlineStr">
        <is>
          <t>ZİYA İNCE</t>
        </is>
      </c>
      <c r="F2847" s="115" t="n"/>
      <c r="G2847" s="156" t="n"/>
      <c r="H2847" s="152" t="n">
        <v>320</v>
      </c>
      <c r="I2847" s="156" t="n"/>
      <c r="J2847" s="90" t="n"/>
      <c r="K2847" s="166" t="n"/>
      <c r="L2847" s="158" t="n"/>
      <c r="M2847" s="159" t="n"/>
    </row>
    <row r="2848">
      <c r="A2848" s="114" t="n">
        <v>46218</v>
      </c>
      <c r="B2848" s="115" t="n">
        <v>1437</v>
      </c>
      <c r="C2848" s="115" t="inlineStr">
        <is>
          <t>AZGÜN YAPI</t>
        </is>
      </c>
      <c r="D2848" s="115" t="inlineStr">
        <is>
          <t>34 MKT 859</t>
        </is>
      </c>
      <c r="E2848" s="115" t="inlineStr">
        <is>
          <t>ZİYA İNCE</t>
        </is>
      </c>
      <c r="F2848" s="115" t="n"/>
      <c r="G2848" s="156" t="n"/>
      <c r="H2848" s="152" t="n">
        <v>317</v>
      </c>
      <c r="I2848" s="156" t="n"/>
      <c r="J2848" s="90" t="n"/>
      <c r="K2848" s="166" t="n"/>
      <c r="L2848" s="158" t="n"/>
      <c r="M2848" s="159" t="n"/>
    </row>
    <row r="2849">
      <c r="A2849" s="114" t="n">
        <v>46204</v>
      </c>
      <c r="B2849" s="115" t="n">
        <v>3306</v>
      </c>
      <c r="C2849" s="115" t="inlineStr">
        <is>
          <t>MAHMUT VİNÇ</t>
        </is>
      </c>
      <c r="D2849" s="115" t="inlineStr">
        <is>
          <t>34 AH 5401</t>
        </is>
      </c>
      <c r="E2849" s="115" t="inlineStr">
        <is>
          <t>YASİN DEMİR</t>
        </is>
      </c>
      <c r="F2849" s="115" t="n"/>
      <c r="G2849" s="156" t="n"/>
      <c r="H2849" s="152" t="n">
        <v>34</v>
      </c>
      <c r="I2849" s="156" t="n"/>
      <c r="J2849" s="90" t="n"/>
      <c r="K2849" s="166" t="n"/>
      <c r="L2849" s="158" t="n"/>
      <c r="M2849" s="159" t="n"/>
    </row>
    <row r="2850">
      <c r="A2850" s="114" t="n">
        <v>46209</v>
      </c>
      <c r="B2850" s="115" t="n">
        <v>3307</v>
      </c>
      <c r="C2850" s="115" t="inlineStr">
        <is>
          <t>AHMET SELİM TEMHA</t>
        </is>
      </c>
      <c r="D2850" s="115" t="inlineStr">
        <is>
          <t>34 PGT 251</t>
        </is>
      </c>
      <c r="E2850" s="115" t="inlineStr">
        <is>
          <t>ERSOY SIĞINMAZ</t>
        </is>
      </c>
      <c r="F2850" s="115" t="n"/>
      <c r="G2850" s="156" t="n"/>
      <c r="H2850" s="152" t="n">
        <v>42</v>
      </c>
      <c r="I2850" s="156" t="n"/>
      <c r="J2850" s="90" t="n"/>
      <c r="K2850" s="166" t="n"/>
      <c r="L2850" s="158" t="n"/>
      <c r="M2850" s="159" t="n"/>
    </row>
    <row r="2851">
      <c r="A2851" s="114" t="n">
        <v>46204</v>
      </c>
      <c r="B2851" s="115" t="n">
        <v>3308</v>
      </c>
      <c r="C2851" s="115" t="inlineStr">
        <is>
          <t>AHMET SELİM TEMHA</t>
        </is>
      </c>
      <c r="D2851" s="115" t="inlineStr">
        <is>
          <t>34 PGT 251</t>
        </is>
      </c>
      <c r="E2851" s="115" t="inlineStr">
        <is>
          <t>ERSOY SIĞINMAZ</t>
        </is>
      </c>
      <c r="F2851" s="115" t="n"/>
      <c r="G2851" s="156" t="n"/>
      <c r="H2851" s="152" t="n">
        <v>50</v>
      </c>
      <c r="I2851" s="156" t="n"/>
      <c r="J2851" s="90" t="n"/>
      <c r="K2851" s="166" t="n"/>
      <c r="L2851" s="158" t="n"/>
      <c r="M2851" s="159" t="n"/>
    </row>
    <row r="2852">
      <c r="A2852" s="114" t="n">
        <v>46210</v>
      </c>
      <c r="B2852" s="115" t="n">
        <v>3309</v>
      </c>
      <c r="C2852" s="115" t="inlineStr">
        <is>
          <t>RECEP SELİM OTO KURTARICI</t>
        </is>
      </c>
      <c r="D2852" s="115" t="inlineStr">
        <is>
          <t>34 GC 8658</t>
        </is>
      </c>
      <c r="E2852" s="115" t="inlineStr">
        <is>
          <t>RECEP SELİM</t>
        </is>
      </c>
      <c r="F2852" s="115" t="n"/>
      <c r="G2852" s="156" t="n"/>
      <c r="H2852" s="152" t="n">
        <v>68</v>
      </c>
      <c r="I2852" s="156" t="n"/>
      <c r="J2852" s="90" t="n"/>
      <c r="K2852" s="166" t="n"/>
      <c r="L2852" s="158" t="n"/>
      <c r="M2852" s="159" t="n"/>
    </row>
    <row r="2853">
      <c r="A2853" s="114" t="n">
        <v>46211</v>
      </c>
      <c r="B2853" s="115" t="n">
        <v>3310</v>
      </c>
      <c r="C2853" s="115" t="inlineStr">
        <is>
          <t>MAHMUT VİNÇ</t>
        </is>
      </c>
      <c r="D2853" s="115" t="inlineStr">
        <is>
          <t>34 AH 5401</t>
        </is>
      </c>
      <c r="E2853" s="115" t="inlineStr">
        <is>
          <t>MAHMUT</t>
        </is>
      </c>
      <c r="F2853" s="115" t="n"/>
      <c r="G2853" s="156" t="n"/>
      <c r="H2853" s="152" t="n">
        <v>64</v>
      </c>
      <c r="I2853" s="156" t="n"/>
      <c r="J2853" s="90" t="n"/>
      <c r="K2853" s="166" t="n"/>
      <c r="L2853" s="158" t="n"/>
      <c r="M2853" s="159" t="n"/>
    </row>
    <row r="2854">
      <c r="A2854" s="114" t="n">
        <v>46214</v>
      </c>
      <c r="B2854" s="115" t="n">
        <v>3311</v>
      </c>
      <c r="C2854" s="115" t="inlineStr">
        <is>
          <t>AHMET SELİM TEMHA</t>
        </is>
      </c>
      <c r="D2854" s="115" t="inlineStr">
        <is>
          <t>MANİTO</t>
        </is>
      </c>
      <c r="E2854" s="115" t="n"/>
      <c r="F2854" s="115" t="n"/>
      <c r="G2854" s="156" t="n"/>
      <c r="H2854" s="152" t="n">
        <v>128</v>
      </c>
      <c r="I2854" s="156" t="n"/>
      <c r="J2854" s="90" t="n"/>
      <c r="K2854" s="166" t="n"/>
      <c r="L2854" s="158" t="n"/>
      <c r="M2854" s="159" t="n"/>
    </row>
    <row r="2855">
      <c r="A2855" s="114" t="n">
        <v>46214</v>
      </c>
      <c r="B2855" s="115" t="n">
        <v>3312</v>
      </c>
      <c r="C2855" s="115" t="inlineStr">
        <is>
          <t>SELİM İNŞAAT</t>
        </is>
      </c>
      <c r="D2855" s="115" t="inlineStr">
        <is>
          <t>34 FVU 827</t>
        </is>
      </c>
      <c r="E2855" s="115" t="inlineStr">
        <is>
          <t>YILMAZ ÇELEBİ</t>
        </is>
      </c>
      <c r="F2855" s="115" t="n"/>
      <c r="G2855" s="156" t="n"/>
      <c r="H2855" s="152" t="n">
        <v>46</v>
      </c>
      <c r="I2855" s="156" t="n"/>
      <c r="J2855" s="90" t="n"/>
      <c r="K2855" s="166" t="n"/>
      <c r="L2855" s="158" t="n"/>
      <c r="M2855" s="159" t="n"/>
    </row>
    <row r="2856">
      <c r="A2856" s="114" t="n">
        <v>46215</v>
      </c>
      <c r="B2856" s="115" t="n">
        <v>3313</v>
      </c>
      <c r="C2856" s="115" t="inlineStr">
        <is>
          <t>AHMET SELİM TEMHA</t>
        </is>
      </c>
      <c r="D2856" s="115" t="inlineStr">
        <is>
          <t>34 PGT 251</t>
        </is>
      </c>
      <c r="E2856" s="115" t="inlineStr">
        <is>
          <t>ERSOY SIĞINMAZ</t>
        </is>
      </c>
      <c r="F2856" s="115" t="n"/>
      <c r="G2856" s="156" t="n"/>
      <c r="H2856" s="152" t="n">
        <v>57</v>
      </c>
      <c r="I2856" s="156" t="n"/>
      <c r="J2856" s="90" t="n"/>
      <c r="K2856" s="166" t="n"/>
      <c r="L2856" s="158" t="n"/>
      <c r="M2856" s="159" t="n"/>
    </row>
    <row r="2857">
      <c r="A2857" s="114" t="n">
        <v>46216</v>
      </c>
      <c r="B2857" s="115" t="n">
        <v>3314</v>
      </c>
      <c r="C2857" s="115" t="inlineStr">
        <is>
          <t>ENES SELİM</t>
        </is>
      </c>
      <c r="D2857" s="115" t="inlineStr">
        <is>
          <t>34 TB 926</t>
        </is>
      </c>
      <c r="E2857" s="115" t="inlineStr">
        <is>
          <t>ENES SELİM</t>
        </is>
      </c>
      <c r="F2857" s="115" t="n"/>
      <c r="G2857" s="156" t="n"/>
      <c r="H2857" s="152" t="n">
        <v>210</v>
      </c>
      <c r="I2857" s="156" t="n"/>
      <c r="J2857" s="90" t="n"/>
      <c r="K2857" s="166" t="n"/>
      <c r="L2857" s="158" t="n"/>
      <c r="M2857" s="159" t="n"/>
    </row>
    <row r="2858">
      <c r="A2858" s="114" t="n">
        <v>46216</v>
      </c>
      <c r="B2858" s="115" t="n">
        <v>3315</v>
      </c>
      <c r="C2858" s="115" t="inlineStr">
        <is>
          <t>AHMET SELİM TEMHA</t>
        </is>
      </c>
      <c r="D2858" s="115" t="inlineStr">
        <is>
          <t>MANİTO</t>
        </is>
      </c>
      <c r="E2858" s="115" t="inlineStr">
        <is>
          <t>MUHAMMED</t>
        </is>
      </c>
      <c r="F2858" s="115" t="n"/>
      <c r="G2858" s="156" t="n"/>
      <c r="H2858" s="152" t="n">
        <v>120</v>
      </c>
      <c r="I2858" s="156" t="n"/>
      <c r="J2858" s="90" t="n"/>
      <c r="K2858" s="166" t="n"/>
      <c r="L2858" s="158" t="n"/>
      <c r="M2858" s="159" t="n"/>
    </row>
    <row r="2859">
      <c r="A2859" s="114" t="n">
        <v>46218</v>
      </c>
      <c r="B2859" s="115" t="n">
        <v>3316</v>
      </c>
      <c r="C2859" s="115" t="inlineStr">
        <is>
          <t>MAHMUT VİNÇ</t>
        </is>
      </c>
      <c r="D2859" s="115" t="inlineStr">
        <is>
          <t>34 AH 5401</t>
        </is>
      </c>
      <c r="E2859" s="115" t="inlineStr">
        <is>
          <t>MAHMUT</t>
        </is>
      </c>
      <c r="F2859" s="115" t="n"/>
      <c r="G2859" s="156" t="n"/>
      <c r="H2859" s="152" t="n">
        <v>64</v>
      </c>
      <c r="I2859" s="156" t="n"/>
      <c r="J2859" s="90" t="n"/>
      <c r="K2859" s="166" t="n"/>
      <c r="L2859" s="158" t="n"/>
      <c r="M2859" s="159" t="n"/>
    </row>
    <row r="2860">
      <c r="A2860" s="114" t="n">
        <v>46204</v>
      </c>
      <c r="B2860" s="115" t="n">
        <v>2963</v>
      </c>
      <c r="C2860" s="115" t="inlineStr">
        <is>
          <t>MEGA VARLIK</t>
        </is>
      </c>
      <c r="D2860" s="115" t="inlineStr">
        <is>
          <t>FORKLİF</t>
        </is>
      </c>
      <c r="E2860" s="115" t="inlineStr">
        <is>
          <t>FAHRİ</t>
        </is>
      </c>
      <c r="F2860" s="115" t="n"/>
      <c r="G2860" s="156" t="n"/>
      <c r="H2860" s="152" t="n">
        <v>37</v>
      </c>
      <c r="I2860" s="156" t="n"/>
      <c r="J2860" s="90" t="n"/>
      <c r="K2860" s="166" t="n"/>
      <c r="L2860" s="158" t="n"/>
      <c r="M2860" s="159" t="n"/>
    </row>
    <row r="2861">
      <c r="A2861" s="114" t="n">
        <v>46204</v>
      </c>
      <c r="B2861" s="115" t="n">
        <v>2964</v>
      </c>
      <c r="C2861" s="115" t="inlineStr">
        <is>
          <t>MEGA VARLIK</t>
        </is>
      </c>
      <c r="D2861" s="115" t="inlineStr">
        <is>
          <t>SM350</t>
        </is>
      </c>
      <c r="E2861" s="115" t="inlineStr">
        <is>
          <t>TEVFİK</t>
        </is>
      </c>
      <c r="F2861" s="115" t="n"/>
      <c r="G2861" s="156" t="n"/>
      <c r="H2861" s="152" t="n">
        <v>426</v>
      </c>
      <c r="I2861" s="156" t="n"/>
      <c r="J2861" s="90" t="n"/>
      <c r="K2861" s="166" t="n"/>
      <c r="L2861" s="158" t="n"/>
      <c r="M2861" s="159" t="n"/>
    </row>
    <row r="2862">
      <c r="A2862" s="114" t="n">
        <v>46204</v>
      </c>
      <c r="B2862" s="115" t="n">
        <v>2965</v>
      </c>
      <c r="C2862" s="115" t="inlineStr">
        <is>
          <t>CAKYOL</t>
        </is>
      </c>
      <c r="D2862" s="115" t="inlineStr">
        <is>
          <t>34 PAY 001</t>
        </is>
      </c>
      <c r="E2862" s="115" t="inlineStr">
        <is>
          <t>HAMZA</t>
        </is>
      </c>
      <c r="F2862" s="115" t="n"/>
      <c r="G2862" s="156" t="n"/>
      <c r="H2862" s="152" t="n">
        <v>59</v>
      </c>
      <c r="I2862" s="156" t="n"/>
      <c r="J2862" s="90" t="n"/>
      <c r="K2862" s="166" t="n"/>
      <c r="L2862" s="158" t="n"/>
      <c r="M2862" s="159" t="n"/>
    </row>
    <row r="2863">
      <c r="A2863" s="114" t="n">
        <v>46205</v>
      </c>
      <c r="B2863" s="115" t="n">
        <v>2966</v>
      </c>
      <c r="C2863" s="115" t="inlineStr">
        <is>
          <t>ŞEN KASAP</t>
        </is>
      </c>
      <c r="D2863" s="115" t="inlineStr">
        <is>
          <t>SM370</t>
        </is>
      </c>
      <c r="E2863" s="115" t="inlineStr">
        <is>
          <t>YUSUF</t>
        </is>
      </c>
      <c r="F2863" s="115" t="n"/>
      <c r="G2863" s="156" t="n"/>
      <c r="H2863" s="152" t="n">
        <v>448</v>
      </c>
      <c r="I2863" s="156" t="n"/>
      <c r="J2863" s="90" t="n"/>
      <c r="K2863" s="166" t="n"/>
      <c r="L2863" s="158" t="n"/>
      <c r="M2863" s="159" t="n"/>
    </row>
    <row r="2864">
      <c r="A2864" s="114" t="n">
        <v>46205</v>
      </c>
      <c r="B2864" s="115" t="n">
        <v>2967</v>
      </c>
      <c r="C2864" s="115" t="inlineStr">
        <is>
          <t>ŞEN KASAP</t>
        </is>
      </c>
      <c r="D2864" s="115" t="inlineStr">
        <is>
          <t>SM350</t>
        </is>
      </c>
      <c r="E2864" s="115" t="inlineStr">
        <is>
          <t>YAKUP</t>
        </is>
      </c>
      <c r="F2864" s="115" t="n"/>
      <c r="G2864" s="156" t="n"/>
      <c r="H2864" s="152" t="n">
        <v>478</v>
      </c>
      <c r="I2864" s="156" t="n"/>
      <c r="J2864" s="90" t="n"/>
      <c r="K2864" s="166" t="n"/>
      <c r="L2864" s="158" t="n"/>
      <c r="M2864" s="159" t="n"/>
    </row>
    <row r="2865">
      <c r="A2865" s="114" t="n">
        <v>46205</v>
      </c>
      <c r="B2865" s="115" t="n">
        <v>2968</v>
      </c>
      <c r="C2865" s="115" t="inlineStr">
        <is>
          <t>ŞEN KASAP</t>
        </is>
      </c>
      <c r="D2865" s="115" t="inlineStr">
        <is>
          <t>SM300</t>
        </is>
      </c>
      <c r="E2865" s="115" t="inlineStr">
        <is>
          <t>ONUR</t>
        </is>
      </c>
      <c r="F2865" s="115" t="n"/>
      <c r="G2865" s="156" t="n"/>
      <c r="H2865" s="152" t="n">
        <v>402</v>
      </c>
      <c r="I2865" s="156" t="n"/>
      <c r="J2865" s="90" t="n"/>
      <c r="K2865" s="166" t="n"/>
      <c r="L2865" s="158" t="n"/>
      <c r="M2865" s="159" t="n"/>
    </row>
    <row r="2866">
      <c r="A2866" s="114" t="n">
        <v>46205</v>
      </c>
      <c r="B2866" s="115" t="n">
        <v>2969</v>
      </c>
      <c r="C2866" s="115" t="inlineStr">
        <is>
          <t>VARLIK</t>
        </is>
      </c>
      <c r="D2866" s="115" t="inlineStr">
        <is>
          <t>SM330</t>
        </is>
      </c>
      <c r="E2866" s="115" t="inlineStr">
        <is>
          <t>TURGUT</t>
        </is>
      </c>
      <c r="F2866" s="115" t="n"/>
      <c r="G2866" s="156" t="n"/>
      <c r="H2866" s="152" t="n">
        <v>590</v>
      </c>
      <c r="I2866" s="156" t="n"/>
      <c r="J2866" s="90" t="n"/>
      <c r="K2866" s="166" t="n"/>
      <c r="L2866" s="158" t="n"/>
      <c r="M2866" s="159" t="n"/>
    </row>
    <row r="2867">
      <c r="A2867" s="114" t="n">
        <v>46205</v>
      </c>
      <c r="B2867" s="115" t="n">
        <v>2970</v>
      </c>
      <c r="C2867" s="115" t="inlineStr">
        <is>
          <t>MEGA VARLIK</t>
        </is>
      </c>
      <c r="D2867" s="115" t="inlineStr">
        <is>
          <t>KAVASAKİ</t>
        </is>
      </c>
      <c r="E2867" s="115" t="inlineStr">
        <is>
          <t>RAMAZAN</t>
        </is>
      </c>
      <c r="F2867" s="115" t="n"/>
      <c r="G2867" s="156" t="n"/>
      <c r="H2867" s="152" t="n">
        <v>190</v>
      </c>
      <c r="I2867" s="156" t="n"/>
      <c r="J2867" s="90" t="n"/>
      <c r="K2867" s="166" t="n"/>
      <c r="L2867" s="158" t="n"/>
      <c r="M2867" s="159" t="n"/>
    </row>
    <row r="2868">
      <c r="A2868" s="114" t="n">
        <v>46205</v>
      </c>
      <c r="B2868" s="115" t="n">
        <v>2971</v>
      </c>
      <c r="C2868" s="115" t="inlineStr">
        <is>
          <t>SELİM İNŞAAT</t>
        </is>
      </c>
      <c r="D2868" s="115" t="inlineStr">
        <is>
          <t>JCB</t>
        </is>
      </c>
      <c r="E2868" s="115" t="inlineStr">
        <is>
          <t>BAYRAM</t>
        </is>
      </c>
      <c r="F2868" s="115" t="n"/>
      <c r="G2868" s="156" t="n"/>
      <c r="H2868" s="152" t="n">
        <v>80</v>
      </c>
      <c r="I2868" s="156" t="n"/>
      <c r="J2868" s="90" t="n"/>
      <c r="K2868" s="166" t="n"/>
      <c r="L2868" s="158" t="n"/>
      <c r="M2868" s="159" t="n"/>
    </row>
    <row r="2869">
      <c r="A2869" s="114" t="n">
        <v>46206</v>
      </c>
      <c r="B2869" s="115" t="n">
        <v>2972</v>
      </c>
      <c r="C2869" s="115" t="inlineStr">
        <is>
          <t>CAKYOL</t>
        </is>
      </c>
      <c r="D2869" s="115" t="inlineStr">
        <is>
          <t>34 GA 9415</t>
        </is>
      </c>
      <c r="E2869" s="115" t="inlineStr">
        <is>
          <t>İSMAİL</t>
        </is>
      </c>
      <c r="F2869" s="115" t="n"/>
      <c r="G2869" s="156" t="n"/>
      <c r="H2869" s="152" t="n">
        <v>69</v>
      </c>
      <c r="I2869" s="156" t="n"/>
      <c r="J2869" s="90" t="n"/>
      <c r="K2869" s="166" t="n"/>
      <c r="L2869" s="158" t="n"/>
      <c r="M2869" s="159" t="n"/>
    </row>
    <row r="2870">
      <c r="A2870" s="114" t="n">
        <v>46206</v>
      </c>
      <c r="B2870" s="115" t="n">
        <v>2973</v>
      </c>
      <c r="C2870" s="115" t="inlineStr">
        <is>
          <t>MEGA VARLIK</t>
        </is>
      </c>
      <c r="D2870" s="115" t="inlineStr">
        <is>
          <t>ZOMLİYON</t>
        </is>
      </c>
      <c r="E2870" s="115" t="inlineStr">
        <is>
          <t xml:space="preserve">SALİH </t>
        </is>
      </c>
      <c r="F2870" s="115" t="n"/>
      <c r="G2870" s="156" t="n"/>
      <c r="H2870" s="152" t="n">
        <v>280</v>
      </c>
      <c r="I2870" s="156" t="n"/>
      <c r="J2870" s="90" t="n"/>
      <c r="K2870" s="166" t="n"/>
      <c r="L2870" s="158" t="n"/>
      <c r="M2870" s="159" t="n"/>
    </row>
    <row r="2871">
      <c r="A2871" s="114" t="n">
        <v>46206</v>
      </c>
      <c r="B2871" s="115" t="n">
        <v>2974</v>
      </c>
      <c r="C2871" s="115" t="inlineStr">
        <is>
          <t>ŞEN KASAP</t>
        </is>
      </c>
      <c r="D2871" s="115" t="inlineStr">
        <is>
          <t>SM370</t>
        </is>
      </c>
      <c r="E2871" s="115" t="inlineStr">
        <is>
          <t>YUSUF</t>
        </is>
      </c>
      <c r="F2871" s="115" t="n"/>
      <c r="G2871" s="156" t="n"/>
      <c r="H2871" s="152" t="n">
        <v>433</v>
      </c>
      <c r="I2871" s="156" t="n"/>
      <c r="J2871" s="90" t="n"/>
      <c r="K2871" s="166" t="n"/>
      <c r="L2871" s="158" t="n"/>
      <c r="M2871" s="159" t="n"/>
    </row>
    <row r="2872">
      <c r="A2872" s="114" t="n">
        <v>46206</v>
      </c>
      <c r="B2872" s="115" t="n">
        <v>2975</v>
      </c>
      <c r="C2872" s="115" t="inlineStr">
        <is>
          <t>ŞEN KASAP</t>
        </is>
      </c>
      <c r="D2872" s="115" t="inlineStr">
        <is>
          <t>SM350</t>
        </is>
      </c>
      <c r="E2872" s="115" t="inlineStr">
        <is>
          <t>YAKUP</t>
        </is>
      </c>
      <c r="F2872" s="115" t="n"/>
      <c r="G2872" s="156" t="n"/>
      <c r="H2872" s="152" t="n">
        <v>413</v>
      </c>
      <c r="I2872" s="156" t="n"/>
      <c r="J2872" s="90" t="n"/>
      <c r="K2872" s="166" t="n"/>
      <c r="L2872" s="158" t="n"/>
      <c r="M2872" s="159" t="n"/>
    </row>
    <row r="2873">
      <c r="A2873" s="114" t="n">
        <v>46206</v>
      </c>
      <c r="B2873" s="115" t="n">
        <v>2976</v>
      </c>
      <c r="C2873" s="115" t="inlineStr">
        <is>
          <t>ŞEN KASAP</t>
        </is>
      </c>
      <c r="D2873" s="115" t="inlineStr">
        <is>
          <t>SM 350</t>
        </is>
      </c>
      <c r="E2873" s="115" t="inlineStr">
        <is>
          <t>YUSUF</t>
        </is>
      </c>
      <c r="F2873" s="115" t="n"/>
      <c r="G2873" s="156" t="n"/>
      <c r="H2873" s="152" t="n">
        <v>420</v>
      </c>
      <c r="I2873" s="156" t="n"/>
      <c r="J2873" s="90" t="n"/>
      <c r="K2873" s="166" t="n"/>
      <c r="L2873" s="158" t="n"/>
      <c r="M2873" s="159" t="n"/>
    </row>
    <row r="2874">
      <c r="A2874" s="114" t="n">
        <v>46206</v>
      </c>
      <c r="B2874" s="115" t="n">
        <v>2977</v>
      </c>
      <c r="C2874" s="115" t="inlineStr">
        <is>
          <t>ŞEN KASAP</t>
        </is>
      </c>
      <c r="D2874" s="115" t="inlineStr">
        <is>
          <t>SM300</t>
        </is>
      </c>
      <c r="E2874" s="115" t="inlineStr">
        <is>
          <t>ONUR</t>
        </is>
      </c>
      <c r="F2874" s="115" t="n"/>
      <c r="G2874" s="156" t="n"/>
      <c r="H2874" s="152" t="n">
        <v>408</v>
      </c>
      <c r="I2874" s="156" t="n"/>
      <c r="J2874" s="90" t="n"/>
      <c r="K2874" s="166" t="n"/>
      <c r="L2874" s="158" t="n"/>
      <c r="M2874" s="159" t="n"/>
    </row>
    <row r="2875">
      <c r="A2875" s="114" t="n">
        <v>46206</v>
      </c>
      <c r="B2875" s="115" t="n">
        <v>2978</v>
      </c>
      <c r="C2875" s="115" t="inlineStr">
        <is>
          <t>MEGA VARLIK</t>
        </is>
      </c>
      <c r="D2875" s="115" t="inlineStr">
        <is>
          <t>FORKLİF</t>
        </is>
      </c>
      <c r="E2875" s="115" t="inlineStr">
        <is>
          <t>FAHRİ</t>
        </is>
      </c>
      <c r="F2875" s="115" t="n"/>
      <c r="G2875" s="156" t="n"/>
      <c r="H2875" s="152" t="n">
        <v>44</v>
      </c>
      <c r="I2875" s="156" t="n"/>
      <c r="J2875" s="90" t="n"/>
      <c r="K2875" s="166" t="n"/>
      <c r="L2875" s="158" t="n"/>
      <c r="M2875" s="159" t="n"/>
    </row>
    <row r="2876">
      <c r="A2876" s="114" t="n">
        <v>46207</v>
      </c>
      <c r="B2876" s="115" t="n">
        <v>2979</v>
      </c>
      <c r="C2876" s="115" t="inlineStr">
        <is>
          <t>SELİM İNŞAAT</t>
        </is>
      </c>
      <c r="D2876" s="115" t="inlineStr">
        <is>
          <t>34 AZ2191</t>
        </is>
      </c>
      <c r="E2876" s="115" t="inlineStr">
        <is>
          <t>NUMAN</t>
        </is>
      </c>
      <c r="F2876" s="115" t="n"/>
      <c r="G2876" s="156" t="n"/>
      <c r="H2876" s="152" t="n">
        <v>254</v>
      </c>
      <c r="I2876" s="156" t="n"/>
      <c r="J2876" s="90" t="n"/>
      <c r="K2876" s="166" t="n"/>
      <c r="L2876" s="158" t="n"/>
      <c r="M2876" s="159" t="n"/>
    </row>
    <row r="2877">
      <c r="A2877" s="114" t="n">
        <v>46207</v>
      </c>
      <c r="B2877" s="115" t="n">
        <v>2980</v>
      </c>
      <c r="C2877" s="115" t="inlineStr">
        <is>
          <t>MEGA VARLIK</t>
        </is>
      </c>
      <c r="D2877" s="115" t="inlineStr">
        <is>
          <t>SM350</t>
        </is>
      </c>
      <c r="E2877" s="115" t="inlineStr">
        <is>
          <t>TEVFİK</t>
        </is>
      </c>
      <c r="F2877" s="115" t="n"/>
      <c r="G2877" s="156" t="n"/>
      <c r="H2877" s="152" t="n">
        <v>377</v>
      </c>
      <c r="I2877" s="156" t="n"/>
      <c r="J2877" s="90" t="n"/>
      <c r="K2877" s="166" t="n"/>
      <c r="L2877" s="158" t="n"/>
      <c r="M2877" s="159" t="n"/>
    </row>
    <row r="2878">
      <c r="A2878" s="114" t="n">
        <v>46207</v>
      </c>
      <c r="B2878" s="115" t="n">
        <v>2981</v>
      </c>
      <c r="C2878" s="115" t="inlineStr">
        <is>
          <t>MEGA VARLIK</t>
        </is>
      </c>
      <c r="D2878" s="115" t="inlineStr">
        <is>
          <t>KAVASAKİ</t>
        </is>
      </c>
      <c r="E2878" s="115" t="inlineStr">
        <is>
          <t>RAMAZAN</t>
        </is>
      </c>
      <c r="F2878" s="115" t="n"/>
      <c r="G2878" s="156" t="n"/>
      <c r="H2878" s="152" t="n">
        <v>288</v>
      </c>
      <c r="I2878" s="156" t="n"/>
      <c r="J2878" s="90" t="n"/>
      <c r="K2878" s="166" t="n"/>
      <c r="L2878" s="158" t="n"/>
      <c r="M2878" s="159" t="n"/>
    </row>
    <row r="2879">
      <c r="A2879" s="114" t="n">
        <v>46207</v>
      </c>
      <c r="B2879" s="115" t="n">
        <v>2982</v>
      </c>
      <c r="C2879" s="115" t="inlineStr">
        <is>
          <t>CAKYOL</t>
        </is>
      </c>
      <c r="D2879" s="115" t="inlineStr">
        <is>
          <t>34 GA 9415</t>
        </is>
      </c>
      <c r="E2879" s="115" t="inlineStr">
        <is>
          <t>İSMAİL</t>
        </is>
      </c>
      <c r="F2879" s="115" t="n"/>
      <c r="G2879" s="156" t="n"/>
      <c r="H2879" s="152" t="n">
        <v>63</v>
      </c>
      <c r="I2879" s="156" t="n"/>
      <c r="J2879" s="90" t="n"/>
      <c r="K2879" s="166" t="n"/>
      <c r="L2879" s="158" t="n"/>
      <c r="M2879" s="159" t="n"/>
    </row>
    <row r="2880">
      <c r="A2880" s="114" t="n">
        <v>46207</v>
      </c>
      <c r="B2880" s="115" t="n">
        <v>2983</v>
      </c>
      <c r="C2880" s="115" t="inlineStr">
        <is>
          <t>VARLIK</t>
        </is>
      </c>
      <c r="D2880" s="115" t="inlineStr">
        <is>
          <t>SM330</t>
        </is>
      </c>
      <c r="E2880" s="115" t="inlineStr">
        <is>
          <t>TURGUT</t>
        </is>
      </c>
      <c r="F2880" s="115" t="n"/>
      <c r="G2880" s="156" t="n"/>
      <c r="H2880" s="152" t="n">
        <v>574</v>
      </c>
      <c r="I2880" s="156" t="n"/>
      <c r="J2880" s="90" t="n"/>
      <c r="K2880" s="166" t="n"/>
      <c r="L2880" s="158" t="n"/>
      <c r="M2880" s="159" t="n"/>
    </row>
    <row r="2881">
      <c r="A2881" s="114" t="n">
        <v>46207</v>
      </c>
      <c r="B2881" s="115" t="n">
        <v>2984</v>
      </c>
      <c r="C2881" s="115" t="inlineStr">
        <is>
          <t>VARLIK</t>
        </is>
      </c>
      <c r="D2881" s="115" t="inlineStr">
        <is>
          <t>SİLİNDİR</t>
        </is>
      </c>
      <c r="E2881" s="115" t="inlineStr">
        <is>
          <t>ATABEK</t>
        </is>
      </c>
      <c r="F2881" s="115" t="n"/>
      <c r="G2881" s="156" t="n"/>
      <c r="H2881" s="152" t="n">
        <v>125</v>
      </c>
      <c r="I2881" s="156" t="n"/>
      <c r="J2881" s="90" t="n"/>
      <c r="K2881" s="166" t="n"/>
      <c r="L2881" s="158" t="n"/>
      <c r="M2881" s="159" t="n"/>
    </row>
    <row r="2882">
      <c r="A2882" s="114" t="n">
        <v>46207</v>
      </c>
      <c r="B2882" s="115" t="n">
        <v>2985</v>
      </c>
      <c r="C2882" s="115" t="inlineStr">
        <is>
          <t>MEGA VARLIK</t>
        </is>
      </c>
      <c r="D2882" s="115" t="inlineStr">
        <is>
          <t>KAVASAKİ</t>
        </is>
      </c>
      <c r="E2882" s="115" t="inlineStr">
        <is>
          <t>RAMAZAN</t>
        </is>
      </c>
      <c r="F2882" s="115" t="n"/>
      <c r="G2882" s="156" t="n"/>
      <c r="H2882" s="152" t="n">
        <v>268</v>
      </c>
      <c r="I2882" s="156" t="n"/>
      <c r="J2882" s="90" t="n"/>
      <c r="K2882" s="166" t="n"/>
      <c r="L2882" s="158" t="n"/>
      <c r="M2882" s="159" t="n"/>
    </row>
    <row r="2883">
      <c r="A2883" s="114" t="n">
        <v>46208</v>
      </c>
      <c r="B2883" s="115" t="n">
        <v>2986</v>
      </c>
      <c r="C2883" s="115" t="inlineStr">
        <is>
          <t>CAKYOL</t>
        </is>
      </c>
      <c r="D2883" s="115" t="inlineStr">
        <is>
          <t>34 PAY 001</t>
        </is>
      </c>
      <c r="E2883" s="115" t="inlineStr">
        <is>
          <t>HAMZA</t>
        </is>
      </c>
      <c r="F2883" s="115" t="n"/>
      <c r="G2883" s="156" t="n"/>
      <c r="H2883" s="152" t="n">
        <v>43</v>
      </c>
      <c r="I2883" s="156" t="n"/>
      <c r="J2883" s="90" t="n"/>
      <c r="K2883" s="166" t="n"/>
      <c r="L2883" s="158" t="n"/>
      <c r="M2883" s="159" t="n"/>
    </row>
    <row r="2884">
      <c r="A2884" s="114" t="n">
        <v>46208</v>
      </c>
      <c r="B2884" s="115" t="n">
        <v>2987</v>
      </c>
      <c r="C2884" s="115" t="inlineStr">
        <is>
          <t>MEGA VARLIK</t>
        </is>
      </c>
      <c r="D2884" s="115" t="inlineStr">
        <is>
          <t>KAVASAKİ</t>
        </is>
      </c>
      <c r="E2884" s="115" t="inlineStr">
        <is>
          <t>RAMAZAN</t>
        </is>
      </c>
      <c r="F2884" s="115" t="n"/>
      <c r="G2884" s="156" t="n"/>
      <c r="H2884" s="152" t="n">
        <v>158</v>
      </c>
      <c r="I2884" s="156" t="n"/>
      <c r="J2884" s="90" t="n"/>
      <c r="K2884" s="166" t="n"/>
      <c r="L2884" s="158" t="n"/>
      <c r="M2884" s="159" t="n"/>
    </row>
    <row r="2885">
      <c r="A2885" s="114" t="n">
        <v>46208</v>
      </c>
      <c r="B2885" s="115" t="n">
        <v>2988</v>
      </c>
      <c r="C2885" s="115" t="inlineStr">
        <is>
          <t>CAKYOL</t>
        </is>
      </c>
      <c r="D2885" s="115" t="inlineStr">
        <is>
          <t>SARI VİNÇ</t>
        </is>
      </c>
      <c r="E2885" s="115" t="inlineStr">
        <is>
          <t>ALİHAN</t>
        </is>
      </c>
      <c r="F2885" s="115" t="n"/>
      <c r="G2885" s="156" t="n"/>
      <c r="H2885" s="152" t="n">
        <v>235</v>
      </c>
      <c r="I2885" s="156" t="n"/>
      <c r="J2885" s="90" t="n"/>
      <c r="K2885" s="166" t="n"/>
      <c r="L2885" s="158" t="n"/>
      <c r="M2885" s="159" t="n"/>
    </row>
    <row r="2886">
      <c r="A2886" s="114" t="n">
        <v>46208</v>
      </c>
      <c r="B2886" s="115" t="n">
        <v>2989</v>
      </c>
      <c r="C2886" s="115" t="inlineStr">
        <is>
          <t>ŞEN KASAP</t>
        </is>
      </c>
      <c r="D2886" s="115" t="inlineStr">
        <is>
          <t>SM300</t>
        </is>
      </c>
      <c r="E2886" s="115" t="inlineStr">
        <is>
          <t>ONUR</t>
        </is>
      </c>
      <c r="F2886" s="115" t="n"/>
      <c r="G2886" s="156" t="n"/>
      <c r="H2886" s="152" t="n">
        <v>381</v>
      </c>
      <c r="I2886" s="156" t="n"/>
      <c r="J2886" s="90" t="n"/>
      <c r="K2886" s="166" t="n"/>
      <c r="L2886" s="158" t="n"/>
      <c r="M2886" s="159" t="n"/>
    </row>
    <row r="2887">
      <c r="A2887" s="114" t="n">
        <v>46208</v>
      </c>
      <c r="B2887" s="115" t="n">
        <v>2990</v>
      </c>
      <c r="C2887" s="115" t="inlineStr">
        <is>
          <t>ŞEN KASAP</t>
        </is>
      </c>
      <c r="D2887" s="115" t="inlineStr">
        <is>
          <t>SM370</t>
        </is>
      </c>
      <c r="E2887" s="115" t="inlineStr">
        <is>
          <t>YUSUF</t>
        </is>
      </c>
      <c r="F2887" s="115" t="n"/>
      <c r="G2887" s="156" t="n"/>
      <c r="H2887" s="152" t="n">
        <v>410</v>
      </c>
      <c r="I2887" s="156" t="n"/>
      <c r="J2887" s="90" t="n"/>
      <c r="K2887" s="166" t="n"/>
      <c r="L2887" s="158" t="n"/>
      <c r="M2887" s="159" t="n"/>
    </row>
    <row r="2888">
      <c r="A2888" s="114" t="n">
        <v>46208</v>
      </c>
      <c r="B2888" s="115" t="n">
        <v>2991</v>
      </c>
      <c r="C2888" s="115" t="inlineStr">
        <is>
          <t>ŞEN KASAP</t>
        </is>
      </c>
      <c r="D2888" s="115" t="inlineStr">
        <is>
          <t>SM350</t>
        </is>
      </c>
      <c r="E2888" s="115" t="inlineStr">
        <is>
          <t>YAKUP</t>
        </is>
      </c>
      <c r="F2888" s="115" t="n"/>
      <c r="G2888" s="156" t="n"/>
      <c r="H2888" s="152" t="n">
        <v>461</v>
      </c>
      <c r="I2888" s="156" t="n"/>
      <c r="J2888" s="90" t="n"/>
      <c r="K2888" s="166" t="n"/>
      <c r="L2888" s="158" t="n"/>
      <c r="M2888" s="159" t="n"/>
    </row>
    <row r="2889">
      <c r="A2889" s="114" t="n">
        <v>46208</v>
      </c>
      <c r="B2889" s="115" t="n">
        <v>2992</v>
      </c>
      <c r="C2889" s="115" t="inlineStr">
        <is>
          <t>VARLIK</t>
        </is>
      </c>
      <c r="D2889" s="115" t="inlineStr">
        <is>
          <t>MANİTO</t>
        </is>
      </c>
      <c r="E2889" s="115" t="inlineStr">
        <is>
          <t>MUHAMMED</t>
        </is>
      </c>
      <c r="F2889" s="115" t="n"/>
      <c r="G2889" s="156" t="n"/>
      <c r="H2889" s="152" t="n">
        <v>235</v>
      </c>
      <c r="I2889" s="156" t="n"/>
      <c r="J2889" s="90" t="n"/>
      <c r="K2889" s="166" t="n"/>
      <c r="L2889" s="158" t="n"/>
      <c r="M2889" s="159" t="n"/>
    </row>
    <row r="2890">
      <c r="A2890" s="114" t="n">
        <v>46208</v>
      </c>
      <c r="B2890" s="115" t="n">
        <v>2993</v>
      </c>
      <c r="C2890" s="115" t="inlineStr">
        <is>
          <t>VARLIK</t>
        </is>
      </c>
      <c r="D2890" s="115" t="inlineStr">
        <is>
          <t>SİLİNDİR</t>
        </is>
      </c>
      <c r="E2890" s="115" t="inlineStr">
        <is>
          <t>ATABEK</t>
        </is>
      </c>
      <c r="F2890" s="115" t="n"/>
      <c r="G2890" s="156" t="n"/>
      <c r="H2890" s="152" t="n">
        <v>286</v>
      </c>
      <c r="I2890" s="156" t="n"/>
      <c r="J2890" s="90" t="n"/>
      <c r="K2890" s="166" t="n"/>
      <c r="L2890" s="158" t="n"/>
      <c r="M2890" s="159" t="n"/>
    </row>
    <row r="2891">
      <c r="A2891" s="114" t="n">
        <v>46209</v>
      </c>
      <c r="B2891" s="115" t="n">
        <v>2994</v>
      </c>
      <c r="C2891" s="115" t="inlineStr">
        <is>
          <t>ŞEN KASAP</t>
        </is>
      </c>
      <c r="D2891" s="115" t="inlineStr">
        <is>
          <t>SM350</t>
        </is>
      </c>
      <c r="E2891" s="115" t="inlineStr">
        <is>
          <t>YAKUP</t>
        </is>
      </c>
      <c r="F2891" s="115" t="n"/>
      <c r="G2891" s="156" t="n"/>
      <c r="H2891" s="152" t="n">
        <v>387</v>
      </c>
      <c r="I2891" s="156" t="n"/>
      <c r="J2891" s="90" t="n"/>
      <c r="K2891" s="166" t="n"/>
      <c r="L2891" s="158" t="n"/>
      <c r="M2891" s="159" t="n"/>
    </row>
    <row r="2892">
      <c r="A2892" s="114" t="n">
        <v>46209</v>
      </c>
      <c r="B2892" s="115" t="n">
        <v>2995</v>
      </c>
      <c r="C2892" s="115" t="inlineStr">
        <is>
          <t>ŞEN KASAP</t>
        </is>
      </c>
      <c r="D2892" s="115" t="inlineStr">
        <is>
          <t>SM300</t>
        </is>
      </c>
      <c r="E2892" s="115" t="inlineStr">
        <is>
          <t>ONUR</t>
        </is>
      </c>
      <c r="F2892" s="115" t="n"/>
      <c r="G2892" s="156" t="n"/>
      <c r="H2892" s="152" t="n">
        <v>335</v>
      </c>
      <c r="I2892" s="156" t="n"/>
      <c r="J2892" s="90" t="n"/>
      <c r="K2892" s="166" t="n"/>
      <c r="L2892" s="158" t="n"/>
      <c r="M2892" s="159" t="n"/>
    </row>
    <row r="2893">
      <c r="A2893" s="114" t="n">
        <v>46209</v>
      </c>
      <c r="B2893" s="115" t="n">
        <v>2996</v>
      </c>
      <c r="C2893" s="115" t="inlineStr">
        <is>
          <t>ŞEN KASAP</t>
        </is>
      </c>
      <c r="D2893" s="115" t="inlineStr">
        <is>
          <t>SM370</t>
        </is>
      </c>
      <c r="E2893" s="115" t="inlineStr">
        <is>
          <t>YUSUF</t>
        </is>
      </c>
      <c r="F2893" s="115" t="n"/>
      <c r="G2893" s="156" t="n"/>
      <c r="H2893" s="152" t="n">
        <v>462</v>
      </c>
      <c r="I2893" s="156" t="n"/>
      <c r="J2893" s="90" t="n"/>
      <c r="K2893" s="166" t="n"/>
      <c r="L2893" s="158" t="n"/>
      <c r="M2893" s="159" t="n"/>
    </row>
    <row r="2894">
      <c r="A2894" s="114" t="n">
        <v>46209</v>
      </c>
      <c r="B2894" s="115" t="n">
        <v>2997</v>
      </c>
      <c r="C2894" s="115" t="inlineStr">
        <is>
          <t>KOZMO</t>
        </is>
      </c>
      <c r="D2894" s="115" t="inlineStr">
        <is>
          <t>SM300</t>
        </is>
      </c>
      <c r="E2894" s="115" t="inlineStr">
        <is>
          <t>TURGUT</t>
        </is>
      </c>
      <c r="F2894" s="115" t="n"/>
      <c r="G2894" s="156" t="n"/>
      <c r="H2894" s="152" t="n">
        <v>590</v>
      </c>
      <c r="I2894" s="156" t="n"/>
      <c r="J2894" s="90" t="n"/>
      <c r="K2894" s="166" t="n"/>
      <c r="L2894" s="158" t="n"/>
      <c r="M2894" s="159" t="n"/>
    </row>
    <row r="2895">
      <c r="A2895" s="114" t="n">
        <v>46209</v>
      </c>
      <c r="B2895" s="115" t="n">
        <v>2998</v>
      </c>
      <c r="C2895" s="115" t="inlineStr">
        <is>
          <t>VARLIK</t>
        </is>
      </c>
      <c r="D2895" s="115" t="inlineStr">
        <is>
          <t>KAVASAKİ</t>
        </is>
      </c>
      <c r="E2895" s="115" t="inlineStr">
        <is>
          <t>RAMAZAN</t>
        </is>
      </c>
      <c r="F2895" s="115" t="n"/>
      <c r="G2895" s="156" t="n"/>
      <c r="H2895" s="152" t="n">
        <v>218</v>
      </c>
      <c r="I2895" s="156" t="n"/>
      <c r="J2895" s="90" t="n"/>
      <c r="K2895" s="166" t="n"/>
      <c r="L2895" s="158" t="n"/>
      <c r="M2895" s="159" t="n"/>
    </row>
    <row r="2896">
      <c r="A2896" s="114" t="n">
        <v>46209</v>
      </c>
      <c r="B2896" s="115" t="n">
        <v>2999</v>
      </c>
      <c r="C2896" s="115" t="inlineStr">
        <is>
          <t>MEGA VARLIK</t>
        </is>
      </c>
      <c r="D2896" s="115" t="inlineStr">
        <is>
          <t>FORKLİF</t>
        </is>
      </c>
      <c r="E2896" s="115" t="inlineStr">
        <is>
          <t>FAHRİ</t>
        </is>
      </c>
      <c r="F2896" s="115" t="n"/>
      <c r="G2896" s="156" t="n"/>
      <c r="H2896" s="152" t="n">
        <v>90</v>
      </c>
      <c r="I2896" s="156" t="n"/>
      <c r="J2896" s="90" t="n"/>
      <c r="K2896" s="166" t="n"/>
      <c r="L2896" s="158" t="n"/>
      <c r="M2896" s="159" t="n"/>
    </row>
    <row r="2897">
      <c r="A2897" s="114" t="n">
        <v>46210</v>
      </c>
      <c r="B2897" s="115" t="n">
        <v>3000</v>
      </c>
      <c r="C2897" s="115" t="inlineStr">
        <is>
          <t>CAKYOL</t>
        </is>
      </c>
      <c r="D2897" s="115" t="inlineStr">
        <is>
          <t>34 GCY 009</t>
        </is>
      </c>
      <c r="E2897" s="115" t="inlineStr">
        <is>
          <t>ERDAL</t>
        </is>
      </c>
      <c r="F2897" s="115" t="n"/>
      <c r="G2897" s="156" t="n"/>
      <c r="H2897" s="152" t="n">
        <v>55</v>
      </c>
      <c r="I2897" s="156" t="n"/>
      <c r="J2897" s="90" t="n"/>
      <c r="K2897" s="166" t="n"/>
      <c r="L2897" s="158" t="n"/>
      <c r="M2897" s="159" t="n"/>
    </row>
    <row r="2898">
      <c r="A2898" s="114" t="n">
        <v>46210</v>
      </c>
      <c r="B2898" s="115" t="n">
        <v>3401</v>
      </c>
      <c r="C2898" s="115" t="inlineStr">
        <is>
          <t>ŞEN KASAP</t>
        </is>
      </c>
      <c r="D2898" s="115" t="inlineStr">
        <is>
          <t>SM350</t>
        </is>
      </c>
      <c r="E2898" s="115" t="inlineStr">
        <is>
          <t>YAKUP</t>
        </is>
      </c>
      <c r="F2898" s="115" t="n"/>
      <c r="G2898" s="156" t="n"/>
      <c r="H2898" s="152" t="n">
        <v>346</v>
      </c>
      <c r="I2898" s="156" t="n"/>
      <c r="J2898" s="90" t="n"/>
      <c r="K2898" s="166" t="n"/>
      <c r="L2898" s="158" t="n"/>
      <c r="M2898" s="159" t="n"/>
    </row>
    <row r="2899">
      <c r="A2899" s="114" t="n">
        <v>46211</v>
      </c>
      <c r="B2899" s="115" t="n">
        <v>3402</v>
      </c>
      <c r="C2899" s="115" t="inlineStr">
        <is>
          <t>ŞEN KASAP</t>
        </is>
      </c>
      <c r="D2899" s="115" t="inlineStr">
        <is>
          <t>SM370</t>
        </is>
      </c>
      <c r="E2899" s="115" t="inlineStr">
        <is>
          <t>YUSUF</t>
        </is>
      </c>
      <c r="F2899" s="115" t="n"/>
      <c r="G2899" s="156" t="n"/>
      <c r="H2899" s="152" t="n">
        <v>382</v>
      </c>
      <c r="I2899" s="156" t="n"/>
      <c r="J2899" s="90" t="n"/>
      <c r="K2899" s="166" t="n"/>
      <c r="L2899" s="158" t="n"/>
      <c r="M2899" s="159" t="n"/>
    </row>
    <row r="2900">
      <c r="A2900" s="114" t="n">
        <v>46211</v>
      </c>
      <c r="B2900" s="115" t="n">
        <v>3403</v>
      </c>
      <c r="C2900" s="115" t="inlineStr">
        <is>
          <t>ŞEN KASAP</t>
        </is>
      </c>
      <c r="D2900" s="115" t="inlineStr">
        <is>
          <t>SM350</t>
        </is>
      </c>
      <c r="E2900" s="115" t="inlineStr">
        <is>
          <t>YAKUP</t>
        </is>
      </c>
      <c r="F2900" s="115" t="n"/>
      <c r="G2900" s="156" t="n"/>
      <c r="H2900" s="152" t="n">
        <v>372</v>
      </c>
      <c r="I2900" s="156" t="n"/>
      <c r="J2900" s="90" t="n"/>
      <c r="K2900" s="166" t="n"/>
      <c r="L2900" s="158" t="n"/>
      <c r="M2900" s="159" t="n"/>
    </row>
    <row r="2901">
      <c r="A2901" s="114" t="n">
        <v>46211</v>
      </c>
      <c r="B2901" s="115" t="n">
        <v>3404</v>
      </c>
      <c r="C2901" s="115" t="inlineStr">
        <is>
          <t>VARLIK</t>
        </is>
      </c>
      <c r="D2901" s="115" t="inlineStr">
        <is>
          <t>SM350</t>
        </is>
      </c>
      <c r="E2901" s="115" t="inlineStr">
        <is>
          <t>TURGUT</t>
        </is>
      </c>
      <c r="F2901" s="115" t="n"/>
      <c r="G2901" s="156" t="n"/>
      <c r="H2901" s="152" t="n">
        <v>540</v>
      </c>
      <c r="I2901" s="156" t="n"/>
      <c r="J2901" s="90" t="n"/>
      <c r="K2901" s="166" t="n"/>
      <c r="L2901" s="158" t="n"/>
      <c r="M2901" s="159" t="n"/>
    </row>
    <row r="2902">
      <c r="A2902" s="114" t="n">
        <v>46211</v>
      </c>
      <c r="B2902" s="115" t="n">
        <v>3405</v>
      </c>
      <c r="C2902" s="115" t="inlineStr">
        <is>
          <t>VARLIK</t>
        </is>
      </c>
      <c r="D2902" s="115" t="inlineStr">
        <is>
          <t>SM300</t>
        </is>
      </c>
      <c r="E2902" s="115" t="inlineStr">
        <is>
          <t>ONUR</t>
        </is>
      </c>
      <c r="F2902" s="115" t="n"/>
      <c r="G2902" s="156" t="n"/>
      <c r="H2902" s="152" t="n">
        <v>379</v>
      </c>
      <c r="I2902" s="156" t="n"/>
      <c r="J2902" s="90" t="n"/>
      <c r="K2902" s="166" t="n"/>
      <c r="L2902" s="158" t="n"/>
      <c r="M2902" s="159" t="n"/>
    </row>
    <row r="2903">
      <c r="A2903" s="114" t="n">
        <v>46211</v>
      </c>
      <c r="B2903" s="115" t="n">
        <v>3406</v>
      </c>
      <c r="C2903" s="115" t="inlineStr">
        <is>
          <t>VARLIK</t>
        </is>
      </c>
      <c r="D2903" s="115" t="inlineStr">
        <is>
          <t>KAVASAKİ</t>
        </is>
      </c>
      <c r="E2903" s="115" t="inlineStr">
        <is>
          <t>RAMAZAN</t>
        </is>
      </c>
      <c r="F2903" s="115" t="n"/>
      <c r="G2903" s="156" t="n"/>
      <c r="H2903" s="152" t="n">
        <v>252</v>
      </c>
      <c r="I2903" s="156" t="n"/>
      <c r="J2903" s="90" t="n"/>
      <c r="K2903" s="166" t="n"/>
      <c r="L2903" s="158" t="n"/>
      <c r="M2903" s="159" t="n"/>
    </row>
    <row r="2904">
      <c r="A2904" s="114" t="n">
        <v>46211</v>
      </c>
      <c r="B2904" s="115" t="n">
        <v>3407</v>
      </c>
      <c r="C2904" s="115" t="inlineStr">
        <is>
          <t>VARLIK</t>
        </is>
      </c>
      <c r="D2904" s="115" t="inlineStr">
        <is>
          <t>FORKLİF</t>
        </is>
      </c>
      <c r="E2904" s="115" t="inlineStr">
        <is>
          <t>FAHRİ</t>
        </is>
      </c>
      <c r="F2904" s="115" t="n"/>
      <c r="G2904" s="156" t="n"/>
      <c r="H2904" s="152" t="n">
        <v>34</v>
      </c>
      <c r="I2904" s="156" t="n"/>
      <c r="J2904" s="90" t="n"/>
      <c r="K2904" s="166" t="n"/>
      <c r="L2904" s="158" t="n"/>
      <c r="M2904" s="159" t="n"/>
    </row>
    <row r="2905">
      <c r="A2905" s="114" t="n">
        <v>46212</v>
      </c>
      <c r="B2905" s="115" t="n">
        <v>3408</v>
      </c>
      <c r="C2905" s="115" t="inlineStr">
        <is>
          <t>SELİM İNŞAAT</t>
        </is>
      </c>
      <c r="D2905" s="115" t="inlineStr">
        <is>
          <t>JCB</t>
        </is>
      </c>
      <c r="E2905" s="115" t="inlineStr">
        <is>
          <t>BAYRAM</t>
        </is>
      </c>
      <c r="F2905" s="115" t="n"/>
      <c r="G2905" s="156" t="n"/>
      <c r="H2905" s="152" t="n">
        <v>61</v>
      </c>
      <c r="I2905" s="156" t="n"/>
      <c r="J2905" s="90" t="n"/>
      <c r="K2905" s="166" t="n"/>
      <c r="L2905" s="158" t="n"/>
      <c r="M2905" s="159" t="n"/>
    </row>
    <row r="2906">
      <c r="A2906" s="114" t="n">
        <v>46213</v>
      </c>
      <c r="B2906" s="115" t="n">
        <v>3409</v>
      </c>
      <c r="C2906" s="115" t="inlineStr">
        <is>
          <t>HASALTUN</t>
        </is>
      </c>
      <c r="D2906" s="115" t="inlineStr">
        <is>
          <t>SİLİNDİR</t>
        </is>
      </c>
      <c r="E2906" s="115" t="inlineStr">
        <is>
          <t>ATABEK</t>
        </is>
      </c>
      <c r="F2906" s="115" t="n"/>
      <c r="G2906" s="156" t="n"/>
      <c r="H2906" s="152" t="n">
        <v>290</v>
      </c>
      <c r="I2906" s="156" t="n"/>
      <c r="J2906" s="90" t="n"/>
      <c r="K2906" s="166" t="n"/>
      <c r="L2906" s="158" t="n"/>
      <c r="M2906" s="159" t="n"/>
    </row>
    <row r="2907">
      <c r="A2907" s="114" t="n">
        <v>46213</v>
      </c>
      <c r="B2907" s="115" t="n">
        <v>3410</v>
      </c>
      <c r="C2907" s="115" t="inlineStr">
        <is>
          <t>ŞEN KASAP</t>
        </is>
      </c>
      <c r="D2907" s="115" t="inlineStr">
        <is>
          <t>SM350</t>
        </is>
      </c>
      <c r="E2907" s="115" t="inlineStr">
        <is>
          <t>YAKUP</t>
        </is>
      </c>
      <c r="F2907" s="115" t="n"/>
      <c r="G2907" s="156" t="n"/>
      <c r="H2907" s="152" t="n">
        <v>500</v>
      </c>
      <c r="I2907" s="156" t="n"/>
      <c r="J2907" s="90" t="n"/>
      <c r="K2907" s="166" t="n"/>
      <c r="L2907" s="158" t="n"/>
      <c r="M2907" s="159" t="n"/>
    </row>
    <row r="2908">
      <c r="A2908" s="114" t="n">
        <v>46213</v>
      </c>
      <c r="B2908" s="115" t="n">
        <v>3411</v>
      </c>
      <c r="C2908" s="115" t="inlineStr">
        <is>
          <t>ŞEN KASAP</t>
        </is>
      </c>
      <c r="D2908" s="115" t="inlineStr">
        <is>
          <t>SM370</t>
        </is>
      </c>
      <c r="E2908" s="115" t="inlineStr">
        <is>
          <t>YUSUF</t>
        </is>
      </c>
      <c r="F2908" s="115" t="n"/>
      <c r="G2908" s="156" t="n"/>
      <c r="H2908" s="152" t="n">
        <v>520</v>
      </c>
      <c r="I2908" s="156" t="n"/>
      <c r="J2908" s="90" t="n"/>
      <c r="K2908" s="166" t="n"/>
      <c r="L2908" s="158" t="n"/>
      <c r="M2908" s="159" t="n"/>
    </row>
    <row r="2909">
      <c r="A2909" s="114" t="n">
        <v>46213</v>
      </c>
      <c r="B2909" s="115" t="n">
        <v>3412</v>
      </c>
      <c r="C2909" s="115" t="inlineStr">
        <is>
          <t>HASALTUN</t>
        </is>
      </c>
      <c r="D2909" s="115" t="inlineStr">
        <is>
          <t>SM300</t>
        </is>
      </c>
      <c r="E2909" s="115" t="inlineStr">
        <is>
          <t>ONUR</t>
        </is>
      </c>
      <c r="F2909" s="115" t="n"/>
      <c r="G2909" s="156" t="n"/>
      <c r="H2909" s="152" t="n">
        <v>466</v>
      </c>
      <c r="I2909" s="156" t="n"/>
      <c r="J2909" s="90" t="n"/>
      <c r="K2909" s="166" t="n"/>
      <c r="L2909" s="158" t="n"/>
      <c r="M2909" s="159" t="n"/>
    </row>
    <row r="2910">
      <c r="A2910" s="114" t="n">
        <v>46213</v>
      </c>
      <c r="B2910" s="115" t="n">
        <v>3413</v>
      </c>
      <c r="C2910" s="115" t="inlineStr">
        <is>
          <t>HASALTUN</t>
        </is>
      </c>
      <c r="D2910" s="115" t="inlineStr">
        <is>
          <t>KAVASAKİ</t>
        </is>
      </c>
      <c r="E2910" s="115" t="inlineStr">
        <is>
          <t>RAMAZAN</t>
        </is>
      </c>
      <c r="F2910" s="115" t="n"/>
      <c r="G2910" s="156" t="n"/>
      <c r="H2910" s="152" t="n">
        <v>243</v>
      </c>
      <c r="I2910" s="156" t="n"/>
      <c r="J2910" s="90" t="n"/>
      <c r="K2910" s="166" t="n"/>
      <c r="L2910" s="158" t="n"/>
      <c r="M2910" s="159" t="n"/>
    </row>
    <row r="2911">
      <c r="A2911" s="114" t="n">
        <v>46213</v>
      </c>
      <c r="B2911" s="115" t="n">
        <v>3414</v>
      </c>
      <c r="C2911" s="115" t="inlineStr">
        <is>
          <t>EVKUR</t>
        </is>
      </c>
      <c r="D2911" s="115" t="inlineStr">
        <is>
          <t>KİRALIK KATO</t>
        </is>
      </c>
      <c r="E2911" s="115" t="inlineStr">
        <is>
          <t>GÜNEŞ</t>
        </is>
      </c>
      <c r="F2911" s="115" t="n"/>
      <c r="G2911" s="156" t="n"/>
      <c r="H2911" s="152" t="n">
        <v>79</v>
      </c>
      <c r="I2911" s="156" t="n"/>
      <c r="J2911" s="90" t="n"/>
      <c r="K2911" s="166" t="n"/>
      <c r="L2911" s="158" t="n"/>
      <c r="M2911" s="159" t="n"/>
    </row>
    <row r="2912">
      <c r="A2912" s="114" t="n">
        <v>46213</v>
      </c>
      <c r="B2912" s="115" t="n">
        <v>3415</v>
      </c>
      <c r="C2912" s="115" t="inlineStr">
        <is>
          <t>VARLIK</t>
        </is>
      </c>
      <c r="D2912" s="115" t="inlineStr">
        <is>
          <t>SM330</t>
        </is>
      </c>
      <c r="E2912" s="115" t="inlineStr">
        <is>
          <t>TURGUT</t>
        </is>
      </c>
      <c r="F2912" s="115" t="n"/>
      <c r="G2912" s="156" t="n"/>
      <c r="H2912" s="152" t="n">
        <v>380</v>
      </c>
      <c r="I2912" s="156" t="n"/>
      <c r="J2912" s="90" t="n"/>
      <c r="K2912" s="166" t="n"/>
      <c r="L2912" s="158" t="n"/>
      <c r="M2912" s="159" t="n"/>
    </row>
    <row r="2913">
      <c r="A2913" s="114" t="n">
        <v>46212</v>
      </c>
      <c r="B2913" s="115" t="n">
        <v>3416</v>
      </c>
      <c r="C2913" s="115" t="inlineStr">
        <is>
          <t>VARLIK</t>
        </is>
      </c>
      <c r="D2913" s="115" t="inlineStr">
        <is>
          <t xml:space="preserve">SM300 </t>
        </is>
      </c>
      <c r="E2913" s="115" t="inlineStr">
        <is>
          <t>YAKUP</t>
        </is>
      </c>
      <c r="F2913" s="115" t="n"/>
      <c r="G2913" s="156" t="n"/>
      <c r="H2913" s="152" t="n">
        <v>451</v>
      </c>
      <c r="I2913" s="156" t="n"/>
      <c r="J2913" s="90" t="n"/>
      <c r="K2913" s="166" t="n"/>
      <c r="L2913" s="158" t="n"/>
      <c r="M2913" s="159" t="n"/>
    </row>
    <row r="2914">
      <c r="A2914" s="114" t="n">
        <v>46212</v>
      </c>
      <c r="B2914" s="115" t="n">
        <v>3417</v>
      </c>
      <c r="C2914" s="115" t="inlineStr">
        <is>
          <t>VARLIK</t>
        </is>
      </c>
      <c r="D2914" s="115" t="inlineStr">
        <is>
          <t>KAVASAKİ</t>
        </is>
      </c>
      <c r="E2914" s="115" t="inlineStr">
        <is>
          <t>RAMAZAN</t>
        </is>
      </c>
      <c r="F2914" s="115" t="n"/>
      <c r="G2914" s="156" t="n"/>
      <c r="H2914" s="152" t="n">
        <v>197</v>
      </c>
      <c r="I2914" s="156" t="n"/>
      <c r="J2914" s="90" t="n"/>
      <c r="K2914" s="166" t="n"/>
      <c r="L2914" s="158" t="n"/>
      <c r="M2914" s="159" t="n"/>
    </row>
    <row r="2915">
      <c r="A2915" s="114" t="n">
        <v>46212</v>
      </c>
      <c r="B2915" s="115" t="n">
        <v>3418</v>
      </c>
      <c r="C2915" s="115" t="inlineStr">
        <is>
          <t>HASALTUN</t>
        </is>
      </c>
      <c r="D2915" s="115" t="inlineStr">
        <is>
          <t>SM300</t>
        </is>
      </c>
      <c r="E2915" s="115" t="inlineStr">
        <is>
          <t>ONUR</t>
        </is>
      </c>
      <c r="F2915" s="115" t="n"/>
      <c r="G2915" s="156" t="n"/>
      <c r="H2915" s="152" t="n">
        <v>363</v>
      </c>
      <c r="I2915" s="156" t="n"/>
      <c r="J2915" s="90" t="n"/>
      <c r="K2915" s="166" t="n"/>
      <c r="L2915" s="158" t="n"/>
      <c r="M2915" s="159" t="n"/>
    </row>
    <row r="2916">
      <c r="A2916" s="114" t="n">
        <v>46213</v>
      </c>
      <c r="B2916" s="115" t="n">
        <v>3419</v>
      </c>
      <c r="C2916" s="115" t="inlineStr">
        <is>
          <t>CAKYOL</t>
        </is>
      </c>
      <c r="D2916" s="115" t="inlineStr">
        <is>
          <t>34 PAY 001</t>
        </is>
      </c>
      <c r="E2916" s="115" t="inlineStr">
        <is>
          <t>HAMZA</t>
        </is>
      </c>
      <c r="F2916" s="115" t="n"/>
      <c r="G2916" s="156" t="n"/>
      <c r="H2916" s="152" t="n">
        <v>69</v>
      </c>
      <c r="I2916" s="156" t="n"/>
      <c r="J2916" s="90" t="n"/>
      <c r="K2916" s="166" t="n"/>
      <c r="L2916" s="158" t="n"/>
      <c r="M2916" s="159" t="n"/>
    </row>
    <row r="2917">
      <c r="A2917" s="114" t="n">
        <v>46213</v>
      </c>
      <c r="B2917" s="115" t="n">
        <v>3420</v>
      </c>
      <c r="C2917" s="115" t="inlineStr">
        <is>
          <t>MEGA VARLIK</t>
        </is>
      </c>
      <c r="D2917" s="115" t="inlineStr">
        <is>
          <t>FORKLİF</t>
        </is>
      </c>
      <c r="E2917" s="115" t="inlineStr">
        <is>
          <t>FAHRİ</t>
        </is>
      </c>
      <c r="F2917" s="115" t="n"/>
      <c r="G2917" s="156" t="n"/>
      <c r="H2917" s="152" t="n">
        <v>77</v>
      </c>
      <c r="I2917" s="156" t="n"/>
      <c r="J2917" s="90" t="n"/>
      <c r="K2917" s="166" t="n"/>
      <c r="L2917" s="158" t="n"/>
      <c r="M2917" s="159" t="n"/>
    </row>
    <row r="2918">
      <c r="A2918" s="114" t="n">
        <v>46214</v>
      </c>
      <c r="B2918" s="115" t="n">
        <v>3421</v>
      </c>
      <c r="C2918" s="115" t="inlineStr">
        <is>
          <t>SELİM İNŞAAT</t>
        </is>
      </c>
      <c r="D2918" s="115" t="inlineStr">
        <is>
          <t>34 AZ2191</t>
        </is>
      </c>
      <c r="E2918" s="115" t="inlineStr">
        <is>
          <t>NUMAN</t>
        </is>
      </c>
      <c r="F2918" s="115" t="n"/>
      <c r="G2918" s="156" t="n"/>
      <c r="H2918" s="152" t="n">
        <v>265</v>
      </c>
      <c r="I2918" s="156" t="n"/>
      <c r="J2918" s="90" t="n"/>
      <c r="K2918" s="166" t="n"/>
      <c r="L2918" s="158" t="n"/>
      <c r="M2918" s="159" t="n"/>
    </row>
    <row r="2919">
      <c r="A2919" s="114" t="n">
        <v>46214</v>
      </c>
      <c r="B2919" s="115" t="n">
        <v>3422</v>
      </c>
      <c r="C2919" s="115" t="inlineStr">
        <is>
          <t>VARLIK</t>
        </is>
      </c>
      <c r="D2919" s="115" t="inlineStr">
        <is>
          <t>SM330</t>
        </is>
      </c>
      <c r="E2919" s="115" t="inlineStr">
        <is>
          <t>TURGUT</t>
        </is>
      </c>
      <c r="F2919" s="115" t="n"/>
      <c r="G2919" s="156" t="n"/>
      <c r="H2919" s="152" t="n">
        <v>322</v>
      </c>
      <c r="I2919" s="156" t="n"/>
      <c r="J2919" s="90" t="n"/>
      <c r="K2919" s="166" t="n"/>
      <c r="L2919" s="158" t="n"/>
      <c r="M2919" s="159" t="n"/>
    </row>
    <row r="2920">
      <c r="A2920" s="114" t="n">
        <v>46214</v>
      </c>
      <c r="B2920" s="115" t="n">
        <v>3423</v>
      </c>
      <c r="C2920" s="115" t="inlineStr">
        <is>
          <t>VARLIK</t>
        </is>
      </c>
      <c r="D2920" s="115" t="inlineStr">
        <is>
          <t>KAVASAKİ</t>
        </is>
      </c>
      <c r="E2920" s="115" t="inlineStr">
        <is>
          <t>RAMAZAN</t>
        </is>
      </c>
      <c r="F2920" s="115" t="n"/>
      <c r="G2920" s="156" t="n"/>
      <c r="H2920" s="152" t="n">
        <v>176</v>
      </c>
      <c r="I2920" s="156" t="n"/>
      <c r="J2920" s="90" t="n"/>
      <c r="K2920" s="166" t="n"/>
      <c r="L2920" s="158" t="n"/>
      <c r="M2920" s="159" t="n"/>
    </row>
    <row r="2921">
      <c r="A2921" s="114" t="n">
        <v>46214</v>
      </c>
      <c r="B2921" s="115" t="n">
        <v>3424</v>
      </c>
      <c r="C2921" s="115" t="inlineStr">
        <is>
          <t>HASALTUN</t>
        </is>
      </c>
      <c r="D2921" s="115" t="inlineStr">
        <is>
          <t>SM300</t>
        </is>
      </c>
      <c r="E2921" s="115" t="inlineStr">
        <is>
          <t>ONUR</t>
        </is>
      </c>
      <c r="F2921" s="115" t="n"/>
      <c r="G2921" s="156" t="n"/>
      <c r="H2921" s="152" t="n">
        <v>358</v>
      </c>
      <c r="I2921" s="156" t="n"/>
      <c r="J2921" s="90" t="n"/>
      <c r="K2921" s="166" t="n"/>
      <c r="L2921" s="158" t="n"/>
      <c r="M2921" s="159" t="n"/>
    </row>
    <row r="2922">
      <c r="A2922" s="114" t="n">
        <v>46214</v>
      </c>
      <c r="B2922" s="115" t="n">
        <v>3425</v>
      </c>
      <c r="C2922" s="115" t="inlineStr">
        <is>
          <t>HASALTUN</t>
        </is>
      </c>
      <c r="D2922" s="115" t="inlineStr">
        <is>
          <t>SİLİNDİR</t>
        </is>
      </c>
      <c r="E2922" s="115" t="inlineStr">
        <is>
          <t>ATABEK</t>
        </is>
      </c>
      <c r="F2922" s="115" t="n"/>
      <c r="G2922" s="156" t="n"/>
      <c r="H2922" s="152" t="n">
        <v>329</v>
      </c>
      <c r="I2922" s="156" t="n"/>
      <c r="J2922" s="90" t="n"/>
      <c r="K2922" s="166" t="n"/>
      <c r="L2922" s="158" t="n"/>
      <c r="M2922" s="159" t="n"/>
    </row>
    <row r="2923">
      <c r="A2923" s="114" t="n">
        <v>46214</v>
      </c>
      <c r="B2923" s="115" t="n">
        <v>3426</v>
      </c>
      <c r="C2923" s="115" t="inlineStr">
        <is>
          <t>MEGA VARLIK</t>
        </is>
      </c>
      <c r="D2923" s="115" t="inlineStr">
        <is>
          <t>ZOMLİYON</t>
        </is>
      </c>
      <c r="E2923" s="115" t="inlineStr">
        <is>
          <t xml:space="preserve">SALİH </t>
        </is>
      </c>
      <c r="F2923" s="115" t="n"/>
      <c r="G2923" s="156" t="n"/>
      <c r="H2923" s="152" t="n">
        <v>297</v>
      </c>
      <c r="I2923" s="156" t="n"/>
      <c r="J2923" s="90" t="n"/>
      <c r="K2923" s="166" t="n"/>
      <c r="L2923" s="158" t="n"/>
      <c r="M2923" s="159" t="n"/>
    </row>
    <row r="2924">
      <c r="A2924" s="114" t="n">
        <v>46214</v>
      </c>
      <c r="B2924" s="115" t="n">
        <v>3427</v>
      </c>
      <c r="C2924" s="115" t="inlineStr">
        <is>
          <t>ŞEN KASAP</t>
        </is>
      </c>
      <c r="D2924" s="115" t="inlineStr">
        <is>
          <t>SM370</t>
        </is>
      </c>
      <c r="E2924" s="115" t="inlineStr">
        <is>
          <t>YUSUF</t>
        </is>
      </c>
      <c r="F2924" s="115" t="n"/>
      <c r="G2924" s="156" t="n"/>
      <c r="H2924" s="152" t="n">
        <v>541</v>
      </c>
      <c r="I2924" s="156" t="n"/>
      <c r="J2924" s="90" t="n"/>
      <c r="K2924" s="166" t="n"/>
      <c r="L2924" s="158" t="n"/>
      <c r="M2924" s="159" t="n"/>
    </row>
    <row r="2925">
      <c r="A2925" s="114" t="n">
        <v>46214</v>
      </c>
      <c r="B2925" s="115" t="n">
        <v>3428</v>
      </c>
      <c r="C2925" s="115" t="inlineStr">
        <is>
          <t>ŞEN KASAP</t>
        </is>
      </c>
      <c r="D2925" s="115" t="inlineStr">
        <is>
          <t>SM350</t>
        </is>
      </c>
      <c r="E2925" s="115" t="inlineStr">
        <is>
          <t>YAKUP</t>
        </is>
      </c>
      <c r="F2925" s="115" t="n"/>
      <c r="G2925" s="156" t="n"/>
      <c r="H2925" s="152" t="n">
        <v>475</v>
      </c>
      <c r="I2925" s="156" t="n"/>
      <c r="J2925" s="90" t="n"/>
      <c r="K2925" s="166" t="n"/>
      <c r="L2925" s="158" t="n"/>
      <c r="M2925" s="159" t="n"/>
    </row>
    <row r="2926">
      <c r="A2926" s="114" t="n">
        <v>46216</v>
      </c>
      <c r="B2926" s="115" t="n">
        <v>3429</v>
      </c>
      <c r="C2926" s="115" t="inlineStr">
        <is>
          <t xml:space="preserve">TORU İNŞAAT </t>
        </is>
      </c>
      <c r="D2926" s="115" t="inlineStr">
        <is>
          <t>TANK</t>
        </is>
      </c>
      <c r="E2926" s="115" t="n"/>
      <c r="F2926" s="115" t="n"/>
      <c r="G2926" s="156" t="n"/>
      <c r="H2926" s="152" t="n">
        <v>343</v>
      </c>
      <c r="I2926" s="156" t="n"/>
      <c r="J2926" s="90" t="n"/>
      <c r="K2926" s="166" t="n"/>
      <c r="L2926" s="158" t="n"/>
      <c r="M2926" s="159" t="n"/>
    </row>
    <row r="2927">
      <c r="A2927" s="114" t="n">
        <v>46216</v>
      </c>
      <c r="B2927" s="115" t="n">
        <v>3430</v>
      </c>
      <c r="C2927" s="115" t="inlineStr">
        <is>
          <t>CAKYOL</t>
        </is>
      </c>
      <c r="D2927" s="115" t="n"/>
      <c r="E2927" s="115" t="inlineStr">
        <is>
          <t>ARDA PALET</t>
        </is>
      </c>
      <c r="F2927" s="115" t="n"/>
      <c r="G2927" s="156" t="n"/>
      <c r="H2927" s="152" t="n">
        <v>73</v>
      </c>
      <c r="I2927" s="156" t="n"/>
      <c r="J2927" s="90" t="n"/>
      <c r="K2927" s="166" t="n"/>
      <c r="L2927" s="158" t="n"/>
      <c r="M2927" s="159" t="n"/>
    </row>
    <row r="2928">
      <c r="A2928" s="114" t="n">
        <v>46216</v>
      </c>
      <c r="B2928" s="115" t="n">
        <v>3431</v>
      </c>
      <c r="C2928" s="115" t="inlineStr">
        <is>
          <t>ŞEN KASAP</t>
        </is>
      </c>
      <c r="D2928" s="115" t="inlineStr">
        <is>
          <t>SM350</t>
        </is>
      </c>
      <c r="E2928" s="115" t="inlineStr">
        <is>
          <t>YUSUF</t>
        </is>
      </c>
      <c r="F2928" s="115" t="n"/>
      <c r="G2928" s="156" t="n"/>
      <c r="H2928" s="152" t="n">
        <v>593</v>
      </c>
      <c r="I2928" s="156" t="n"/>
      <c r="J2928" s="90" t="n"/>
      <c r="K2928" s="166" t="n"/>
      <c r="L2928" s="158" t="n"/>
      <c r="M2928" s="159" t="n"/>
    </row>
    <row r="2929">
      <c r="A2929" s="114" t="n">
        <v>46216</v>
      </c>
      <c r="B2929" s="115" t="n">
        <v>3432</v>
      </c>
      <c r="C2929" s="115" t="inlineStr">
        <is>
          <t>ŞEN KASAP</t>
        </is>
      </c>
      <c r="D2929" s="115" t="inlineStr">
        <is>
          <t>SM370</t>
        </is>
      </c>
      <c r="E2929" s="115" t="inlineStr">
        <is>
          <t>YAKUP</t>
        </is>
      </c>
      <c r="F2929" s="115" t="n"/>
      <c r="G2929" s="156" t="n"/>
      <c r="H2929" s="152" t="n">
        <v>561</v>
      </c>
      <c r="I2929" s="156" t="n"/>
      <c r="J2929" s="90" t="n"/>
      <c r="K2929" s="166" t="n"/>
      <c r="L2929" s="158" t="n"/>
      <c r="M2929" s="159" t="n"/>
    </row>
    <row r="2930">
      <c r="A2930" s="114" t="n">
        <v>46216</v>
      </c>
      <c r="B2930" s="115" t="n">
        <v>3433</v>
      </c>
      <c r="C2930" s="115" t="inlineStr">
        <is>
          <t>VARLIK</t>
        </is>
      </c>
      <c r="D2930" s="115" t="inlineStr">
        <is>
          <t>FORKLİF</t>
        </is>
      </c>
      <c r="E2930" s="115" t="inlineStr">
        <is>
          <t>FAHRİ</t>
        </is>
      </c>
      <c r="F2930" s="115" t="n"/>
      <c r="G2930" s="156" t="n"/>
      <c r="H2930" s="152" t="n">
        <v>36</v>
      </c>
      <c r="I2930" s="156" t="n"/>
      <c r="J2930" s="90" t="n"/>
      <c r="K2930" s="166" t="n"/>
      <c r="L2930" s="158" t="n"/>
      <c r="M2930" s="159" t="n"/>
    </row>
    <row r="2931">
      <c r="A2931" s="114" t="n">
        <v>46216</v>
      </c>
      <c r="B2931" s="115" t="n">
        <v>3434</v>
      </c>
      <c r="C2931" s="115" t="inlineStr">
        <is>
          <t>CAKYOL</t>
        </is>
      </c>
      <c r="D2931" s="115" t="inlineStr">
        <is>
          <t>34 ZS 8546</t>
        </is>
      </c>
      <c r="E2931" s="115" t="inlineStr">
        <is>
          <t>İSMAİL</t>
        </is>
      </c>
      <c r="F2931" s="115" t="n"/>
      <c r="G2931" s="156" t="n"/>
      <c r="H2931" s="152" t="n">
        <v>61</v>
      </c>
      <c r="I2931" s="156" t="n"/>
      <c r="J2931" s="90" t="n"/>
      <c r="K2931" s="166" t="n"/>
      <c r="L2931" s="158" t="n"/>
      <c r="M2931" s="159" t="n"/>
    </row>
    <row r="2932">
      <c r="A2932" s="114" t="n">
        <v>46216</v>
      </c>
      <c r="B2932" s="115" t="n">
        <v>3435</v>
      </c>
      <c r="C2932" s="115" t="inlineStr">
        <is>
          <t>MEGA VARLIK</t>
        </is>
      </c>
      <c r="D2932" s="115" t="inlineStr">
        <is>
          <t>SM350</t>
        </is>
      </c>
      <c r="E2932" s="115" t="inlineStr">
        <is>
          <t>TEVFİK</t>
        </is>
      </c>
      <c r="F2932" s="115" t="n"/>
      <c r="G2932" s="156" t="n"/>
      <c r="H2932" s="152" t="n">
        <v>370</v>
      </c>
      <c r="I2932" s="156" t="n"/>
      <c r="J2932" s="90" t="n"/>
      <c r="K2932" s="166" t="n"/>
      <c r="L2932" s="158" t="n"/>
      <c r="M2932" s="159" t="n"/>
    </row>
    <row r="2933">
      <c r="A2933" s="114" t="n">
        <v>46217</v>
      </c>
      <c r="B2933" s="115" t="n">
        <v>3436</v>
      </c>
      <c r="C2933" s="115" t="inlineStr">
        <is>
          <t>VARLIK</t>
        </is>
      </c>
      <c r="D2933" s="115" t="inlineStr">
        <is>
          <t>SM300</t>
        </is>
      </c>
      <c r="E2933" s="115" t="inlineStr">
        <is>
          <t>ONUR</t>
        </is>
      </c>
      <c r="F2933" s="115" t="n"/>
      <c r="G2933" s="156" t="n"/>
      <c r="H2933" s="152" t="n">
        <v>403</v>
      </c>
      <c r="I2933" s="156" t="n"/>
      <c r="J2933" s="90" t="n"/>
      <c r="K2933" s="166" t="n"/>
      <c r="L2933" s="158" t="n"/>
      <c r="M2933" s="159" t="n"/>
    </row>
    <row r="2934">
      <c r="A2934" s="114" t="n">
        <v>46217</v>
      </c>
      <c r="B2934" s="115" t="n">
        <v>3437</v>
      </c>
      <c r="C2934" s="115" t="inlineStr">
        <is>
          <t>VARLIK</t>
        </is>
      </c>
      <c r="D2934" s="115" t="inlineStr">
        <is>
          <t>SM330</t>
        </is>
      </c>
      <c r="E2934" s="115" t="inlineStr">
        <is>
          <t>TURGUT</t>
        </is>
      </c>
      <c r="F2934" s="115" t="n"/>
      <c r="G2934" s="156" t="n"/>
      <c r="H2934" s="152" t="n">
        <v>335</v>
      </c>
      <c r="I2934" s="156" t="n"/>
      <c r="J2934" s="90" t="n"/>
      <c r="K2934" s="166" t="n"/>
      <c r="L2934" s="158" t="n"/>
      <c r="M2934" s="159" t="n"/>
    </row>
    <row r="2935">
      <c r="A2935" s="114" t="n">
        <v>46217</v>
      </c>
      <c r="B2935" s="115" t="n">
        <v>3438</v>
      </c>
      <c r="C2935" s="115" t="inlineStr">
        <is>
          <t>VARLIK</t>
        </is>
      </c>
      <c r="D2935" s="115" t="inlineStr">
        <is>
          <t>KAVASAKİ</t>
        </is>
      </c>
      <c r="E2935" s="115" t="inlineStr">
        <is>
          <t>RAMAZAN</t>
        </is>
      </c>
      <c r="F2935" s="115" t="n"/>
      <c r="G2935" s="156" t="n"/>
      <c r="H2935" s="152" t="n">
        <v>255</v>
      </c>
      <c r="I2935" s="156" t="n"/>
      <c r="J2935" s="90" t="n"/>
      <c r="K2935" s="166" t="n"/>
      <c r="L2935" s="158" t="n"/>
      <c r="M2935" s="159" t="n"/>
    </row>
    <row r="2936">
      <c r="A2936" s="114" t="n">
        <v>46217</v>
      </c>
      <c r="B2936" s="115" t="n">
        <v>3439</v>
      </c>
      <c r="C2936" s="115" t="inlineStr">
        <is>
          <t>VARLIK</t>
        </is>
      </c>
      <c r="D2936" s="115" t="inlineStr">
        <is>
          <t>SİLİNDİR</t>
        </is>
      </c>
      <c r="E2936" s="115" t="inlineStr">
        <is>
          <t>ATABEK</t>
        </is>
      </c>
      <c r="F2936" s="115" t="n"/>
      <c r="G2936" s="156" t="n"/>
      <c r="H2936" s="152" t="n">
        <v>365</v>
      </c>
      <c r="I2936" s="156" t="n"/>
      <c r="J2936" s="90" t="n"/>
      <c r="K2936" s="166" t="n"/>
      <c r="L2936" s="158" t="n"/>
      <c r="M2936" s="159" t="n"/>
    </row>
    <row r="2937">
      <c r="A2937" s="114" t="n">
        <v>46217</v>
      </c>
      <c r="B2937" s="115" t="n">
        <v>3440</v>
      </c>
      <c r="C2937" s="115" t="inlineStr">
        <is>
          <t>SELİM İNŞAAT</t>
        </is>
      </c>
      <c r="D2937" s="115" t="inlineStr">
        <is>
          <t>JCB</t>
        </is>
      </c>
      <c r="E2937" s="115" t="inlineStr">
        <is>
          <t>BAYRAM</t>
        </is>
      </c>
      <c r="F2937" s="115" t="n"/>
      <c r="G2937" s="156" t="n"/>
      <c r="H2937" s="152" t="n">
        <v>51</v>
      </c>
      <c r="I2937" s="156" t="n"/>
      <c r="J2937" s="90" t="n"/>
      <c r="K2937" s="166" t="n"/>
      <c r="L2937" s="158" t="n"/>
      <c r="M2937" s="159" t="n"/>
    </row>
    <row r="2938">
      <c r="A2938" s="114" t="n">
        <v>46217</v>
      </c>
      <c r="B2938" s="115" t="n">
        <v>3441</v>
      </c>
      <c r="C2938" s="115" t="inlineStr">
        <is>
          <t>CAKYOL</t>
        </is>
      </c>
      <c r="D2938" s="115" t="inlineStr">
        <is>
          <t>34 PAY 001</t>
        </is>
      </c>
      <c r="E2938" s="115" t="inlineStr">
        <is>
          <t>HAMZA</t>
        </is>
      </c>
      <c r="F2938" s="115" t="n"/>
      <c r="G2938" s="156" t="n"/>
      <c r="H2938" s="152" t="n">
        <v>94</v>
      </c>
      <c r="I2938" s="156" t="n"/>
      <c r="J2938" s="90" t="n"/>
      <c r="K2938" s="166" t="n"/>
      <c r="L2938" s="158" t="n"/>
      <c r="M2938" s="159" t="n"/>
    </row>
    <row r="2939">
      <c r="A2939" s="114" t="n">
        <v>46217</v>
      </c>
      <c r="B2939" s="115" t="n">
        <v>3442</v>
      </c>
      <c r="C2939" s="115" t="inlineStr">
        <is>
          <t>MEGA VARLIK</t>
        </is>
      </c>
      <c r="D2939" s="115" t="inlineStr">
        <is>
          <t>FORKLİF</t>
        </is>
      </c>
      <c r="E2939" s="115" t="inlineStr">
        <is>
          <t>FAHRİ</t>
        </is>
      </c>
      <c r="F2939" s="115" t="n"/>
      <c r="G2939" s="156" t="n"/>
      <c r="H2939" s="152" t="n">
        <v>54</v>
      </c>
      <c r="I2939" s="156" t="n"/>
      <c r="J2939" s="90" t="n"/>
      <c r="K2939" s="166" t="n"/>
      <c r="L2939" s="158" t="n"/>
      <c r="M2939" s="159" t="n"/>
    </row>
    <row r="2940">
      <c r="A2940" s="114" t="n">
        <v>46218</v>
      </c>
      <c r="B2940" s="115" t="n">
        <v>3443</v>
      </c>
      <c r="C2940" s="115" t="inlineStr">
        <is>
          <t>ŞEN KASAP</t>
        </is>
      </c>
      <c r="D2940" s="115" t="inlineStr">
        <is>
          <t>SM350</t>
        </is>
      </c>
      <c r="E2940" s="115" t="inlineStr">
        <is>
          <t>YAKUP</t>
        </is>
      </c>
      <c r="F2940" s="115" t="n"/>
      <c r="G2940" s="156" t="n"/>
      <c r="H2940" s="152" t="n">
        <v>550</v>
      </c>
      <c r="I2940" s="156" t="n"/>
      <c r="J2940" s="90" t="n"/>
      <c r="K2940" s="166" t="n"/>
      <c r="L2940" s="158" t="n"/>
      <c r="M2940" s="159" t="n"/>
    </row>
    <row r="2941">
      <c r="A2941" s="114" t="n">
        <v>46218</v>
      </c>
      <c r="B2941" s="115" t="n">
        <v>3444</v>
      </c>
      <c r="C2941" s="115" t="inlineStr">
        <is>
          <t>ŞEN KASAP</t>
        </is>
      </c>
      <c r="D2941" s="115" t="inlineStr">
        <is>
          <t>SM370</t>
        </is>
      </c>
      <c r="E2941" s="115" t="inlineStr">
        <is>
          <t>YUSUF</t>
        </is>
      </c>
      <c r="F2941" s="115" t="n"/>
      <c r="G2941" s="156" t="n"/>
      <c r="H2941" s="152" t="n">
        <v>565</v>
      </c>
      <c r="I2941" s="156" t="n"/>
      <c r="J2941" s="90" t="n"/>
      <c r="K2941" s="166" t="n"/>
      <c r="L2941" s="158" t="n"/>
      <c r="M2941" s="159" t="n"/>
    </row>
    <row r="2942">
      <c r="A2942" s="114" t="n">
        <v>46218</v>
      </c>
      <c r="B2942" s="115" t="n">
        <v>3445</v>
      </c>
      <c r="C2942" s="115" t="inlineStr">
        <is>
          <t>MEGA VARLIK</t>
        </is>
      </c>
      <c r="D2942" s="115" t="inlineStr">
        <is>
          <t>SM350</t>
        </is>
      </c>
      <c r="E2942" s="115" t="inlineStr">
        <is>
          <t>TEVFİK</t>
        </is>
      </c>
      <c r="F2942" s="115" t="n"/>
      <c r="G2942" s="156" t="n"/>
      <c r="H2942" s="152" t="n">
        <v>463</v>
      </c>
      <c r="I2942" s="156" t="n"/>
      <c r="J2942" s="90" t="n"/>
      <c r="K2942" s="166" t="n"/>
      <c r="L2942" s="158" t="n"/>
      <c r="M2942" s="159" t="n"/>
    </row>
    <row r="2943">
      <c r="A2943" s="114" t="n">
        <v>46218</v>
      </c>
      <c r="B2943" s="115" t="n">
        <v>3446</v>
      </c>
      <c r="C2943" s="115" t="inlineStr">
        <is>
          <t>ŞEN KASAP</t>
        </is>
      </c>
      <c r="D2943" s="115" t="inlineStr">
        <is>
          <t>SM300</t>
        </is>
      </c>
      <c r="E2943" s="115" t="inlineStr">
        <is>
          <t>ONUR</t>
        </is>
      </c>
      <c r="F2943" s="115" t="n"/>
      <c r="G2943" s="156" t="n"/>
      <c r="H2943" s="152" t="n">
        <v>372</v>
      </c>
      <c r="I2943" s="156" t="n"/>
      <c r="J2943" s="90" t="n"/>
      <c r="K2943" s="166" t="n"/>
      <c r="L2943" s="158" t="n"/>
      <c r="M2943" s="159" t="n"/>
    </row>
    <row r="2944">
      <c r="A2944" s="114" t="n">
        <v>46218</v>
      </c>
      <c r="B2944" s="115" t="n">
        <v>3447</v>
      </c>
      <c r="C2944" s="115" t="inlineStr">
        <is>
          <t>VARLIK</t>
        </is>
      </c>
      <c r="D2944" s="115" t="inlineStr">
        <is>
          <t>34 AZ2191</t>
        </is>
      </c>
      <c r="E2944" s="115" t="inlineStr">
        <is>
          <t>NUMAN</t>
        </is>
      </c>
      <c r="F2944" s="115" t="n"/>
      <c r="G2944" s="156" t="n"/>
      <c r="H2944" s="152" t="n">
        <v>237</v>
      </c>
      <c r="I2944" s="156" t="n"/>
      <c r="J2944" s="90" t="n"/>
      <c r="K2944" s="166" t="n"/>
      <c r="L2944" s="158" t="n"/>
      <c r="M2944" s="159" t="n"/>
    </row>
    <row r="2945">
      <c r="A2945" s="114" t="n">
        <v>46218</v>
      </c>
      <c r="B2945" s="115" t="n">
        <v>3448</v>
      </c>
      <c r="C2945" s="115" t="inlineStr">
        <is>
          <t>VARLIK</t>
        </is>
      </c>
      <c r="D2945" s="115" t="inlineStr">
        <is>
          <t>SM330</t>
        </is>
      </c>
      <c r="E2945" s="115" t="inlineStr">
        <is>
          <t>TURGUT</t>
        </is>
      </c>
      <c r="F2945" s="115" t="n"/>
      <c r="G2945" s="156" t="n"/>
      <c r="H2945" s="152" t="n">
        <v>432</v>
      </c>
      <c r="I2945" s="156" t="n"/>
      <c r="J2945" s="90" t="n"/>
      <c r="K2945" s="166" t="n"/>
      <c r="L2945" s="158" t="n"/>
      <c r="M2945" s="159" t="n"/>
    </row>
    <row r="2946">
      <c r="A2946" s="114" t="n">
        <v>46218</v>
      </c>
      <c r="B2946" s="115" t="n">
        <v>3449</v>
      </c>
      <c r="C2946" s="115" t="inlineStr">
        <is>
          <t>VARLIK</t>
        </is>
      </c>
      <c r="D2946" s="115" t="inlineStr">
        <is>
          <t>FORKLİF</t>
        </is>
      </c>
      <c r="E2946" s="115" t="inlineStr">
        <is>
          <t>FAHRİ</t>
        </is>
      </c>
      <c r="F2946" s="115" t="n"/>
      <c r="G2946" s="156" t="n"/>
      <c r="H2946" s="152" t="n">
        <v>21</v>
      </c>
      <c r="I2946" s="156" t="n"/>
      <c r="J2946" s="90" t="n"/>
      <c r="K2946" s="166" t="n"/>
      <c r="L2946" s="158" t="n"/>
      <c r="M2946" s="159" t="n"/>
    </row>
    <row r="2947">
      <c r="A2947" s="114" t="n">
        <v>46204</v>
      </c>
      <c r="B2947" s="115" t="n">
        <v>1117</v>
      </c>
      <c r="C2947" s="115" t="inlineStr">
        <is>
          <t>SELİM İNŞAAT</t>
        </is>
      </c>
      <c r="D2947" s="115" t="inlineStr">
        <is>
          <t>34 DKL 866</t>
        </is>
      </c>
      <c r="E2947" s="115" t="inlineStr">
        <is>
          <t>SELİMCAN ÖNVER</t>
        </is>
      </c>
      <c r="F2947" s="115" t="n">
        <v>88586</v>
      </c>
      <c r="G2947" s="156" t="n"/>
      <c r="H2947" s="152" t="n">
        <v>200</v>
      </c>
      <c r="I2947" s="156" t="n"/>
      <c r="J2947" s="90" t="n"/>
      <c r="K2947" s="166" t="n"/>
      <c r="L2947" s="158" t="n"/>
      <c r="M2947" s="159" t="n"/>
    </row>
    <row r="2948">
      <c r="A2948" s="114" t="n">
        <v>46206</v>
      </c>
      <c r="B2948" s="115" t="n">
        <v>1118</v>
      </c>
      <c r="C2948" s="115" t="inlineStr">
        <is>
          <t>SELİM İNŞAAT</t>
        </is>
      </c>
      <c r="D2948" s="115" t="inlineStr">
        <is>
          <t>34 DKL 866</t>
        </is>
      </c>
      <c r="E2948" s="115" t="inlineStr">
        <is>
          <t>SELİMCAN ÖNVER</t>
        </is>
      </c>
      <c r="F2948" s="115" t="n">
        <v>88777</v>
      </c>
      <c r="G2948" s="156" t="n"/>
      <c r="H2948" s="152" t="n">
        <v>248</v>
      </c>
      <c r="I2948" s="156" t="n"/>
      <c r="J2948" s="90" t="n"/>
      <c r="K2948" s="166" t="n"/>
      <c r="L2948" s="158" t="n"/>
      <c r="M2948" s="159" t="n"/>
    </row>
    <row r="2949">
      <c r="A2949" s="114" t="n">
        <v>46208</v>
      </c>
      <c r="B2949" s="115" t="n">
        <v>1119</v>
      </c>
      <c r="C2949" s="115" t="inlineStr">
        <is>
          <t>SELİM İNŞAAT</t>
        </is>
      </c>
      <c r="D2949" s="115" t="inlineStr">
        <is>
          <t>34 DKL 866</t>
        </is>
      </c>
      <c r="E2949" s="115" t="inlineStr">
        <is>
          <t>SELİMCAN ÖNVER</t>
        </is>
      </c>
      <c r="F2949" s="115" t="n">
        <v>89004</v>
      </c>
      <c r="G2949" s="156" t="n"/>
      <c r="H2949" s="152" t="n">
        <v>245</v>
      </c>
      <c r="I2949" s="156" t="n"/>
      <c r="J2949" s="90" t="n"/>
      <c r="K2949" s="166" t="n"/>
      <c r="L2949" s="158" t="n"/>
      <c r="M2949" s="159" t="n"/>
    </row>
    <row r="2950">
      <c r="A2950" s="114" t="n">
        <v>46209</v>
      </c>
      <c r="B2950" s="115" t="n">
        <v>1120</v>
      </c>
      <c r="C2950" s="115" t="inlineStr">
        <is>
          <t>SELİM İNŞAAT</t>
        </is>
      </c>
      <c r="D2950" s="115" t="inlineStr">
        <is>
          <t>34 DKL 866</t>
        </is>
      </c>
      <c r="E2950" s="115" t="inlineStr">
        <is>
          <t>SELİMCAN ÖNVER</t>
        </is>
      </c>
      <c r="F2950" s="115" t="n">
        <v>89115</v>
      </c>
      <c r="G2950" s="156" t="n"/>
      <c r="H2950" s="152" t="n">
        <v>206</v>
      </c>
      <c r="I2950" s="156" t="n"/>
      <c r="J2950" s="90" t="n"/>
      <c r="K2950" s="166" t="n"/>
      <c r="L2950" s="158" t="n"/>
      <c r="M2950" s="159" t="n"/>
    </row>
    <row r="2951">
      <c r="A2951" s="114" t="n">
        <v>46211</v>
      </c>
      <c r="B2951" s="115" t="n">
        <v>1121</v>
      </c>
      <c r="C2951" s="115" t="inlineStr">
        <is>
          <t>SELİM İNŞAAT</t>
        </is>
      </c>
      <c r="D2951" s="115" t="inlineStr">
        <is>
          <t>34 DKL 866</t>
        </is>
      </c>
      <c r="E2951" s="115" t="inlineStr">
        <is>
          <t>SELİMCAN ÖNVER</t>
        </is>
      </c>
      <c r="F2951" s="115" t="n">
        <v>89276</v>
      </c>
      <c r="G2951" s="156" t="n"/>
      <c r="H2951" s="152" t="n">
        <v>250</v>
      </c>
      <c r="I2951" s="156" t="n"/>
      <c r="J2951" s="90" t="n"/>
      <c r="K2951" s="166" t="n"/>
      <c r="L2951" s="158" t="n"/>
      <c r="M2951" s="159" t="n"/>
    </row>
    <row r="2952">
      <c r="A2952" s="114" t="n">
        <v>46213</v>
      </c>
      <c r="B2952" s="115" t="n">
        <v>1122</v>
      </c>
      <c r="C2952" s="115" t="inlineStr">
        <is>
          <t>SELİM İNŞAAT</t>
        </is>
      </c>
      <c r="D2952" s="115" t="inlineStr">
        <is>
          <t>34 DKL 866</t>
        </is>
      </c>
      <c r="E2952" s="115" t="inlineStr">
        <is>
          <t>SELİMCAN ÖNVER</t>
        </is>
      </c>
      <c r="F2952" s="115" t="n">
        <v>89430</v>
      </c>
      <c r="G2952" s="156" t="n"/>
      <c r="H2952" s="152" t="n">
        <v>241</v>
      </c>
      <c r="I2952" s="156" t="n"/>
      <c r="J2952" s="90" t="n"/>
      <c r="K2952" s="166" t="n"/>
      <c r="L2952" s="158" t="n"/>
      <c r="M2952" s="159" t="n"/>
    </row>
    <row r="2953">
      <c r="A2953" s="114" t="n">
        <v>46215</v>
      </c>
      <c r="B2953" s="115" t="n">
        <v>1123</v>
      </c>
      <c r="C2953" s="115" t="inlineStr">
        <is>
          <t>SELİM İNŞAAT</t>
        </is>
      </c>
      <c r="D2953" s="115" t="inlineStr">
        <is>
          <t>34 DKL 866</t>
        </is>
      </c>
      <c r="E2953" s="115" t="inlineStr">
        <is>
          <t>SELİMCAN ÖNVER</t>
        </is>
      </c>
      <c r="F2953" s="115" t="n">
        <v>89584</v>
      </c>
      <c r="G2953" s="156" t="n"/>
      <c r="H2953" s="152" t="n">
        <v>221</v>
      </c>
      <c r="I2953" s="156" t="n"/>
      <c r="J2953" s="90" t="n"/>
      <c r="K2953" s="166" t="n"/>
      <c r="L2953" s="158" t="n"/>
      <c r="M2953" s="159" t="n"/>
    </row>
    <row r="2954">
      <c r="A2954" s="114" t="n">
        <v>46217</v>
      </c>
      <c r="B2954" s="115" t="n">
        <v>1124</v>
      </c>
      <c r="C2954" s="115" t="inlineStr">
        <is>
          <t>SELİM İNŞAAT</t>
        </is>
      </c>
      <c r="D2954" s="115" t="inlineStr">
        <is>
          <t>34 DKL 866</t>
        </is>
      </c>
      <c r="E2954" s="115" t="inlineStr">
        <is>
          <t>SELİMCAN ÖNVER</t>
        </is>
      </c>
      <c r="F2954" s="115" t="n">
        <v>89775</v>
      </c>
      <c r="G2954" s="156" t="n"/>
      <c r="H2954" s="152" t="n">
        <v>240</v>
      </c>
      <c r="I2954" s="156" t="n"/>
      <c r="J2954" s="90" t="n"/>
      <c r="K2954" s="166" t="n"/>
      <c r="L2954" s="158" t="n"/>
      <c r="M2954" s="159" t="n"/>
    </row>
    <row r="2955">
      <c r="A2955" s="114" t="n">
        <v>46204</v>
      </c>
      <c r="B2955" s="115" t="n">
        <v>1370</v>
      </c>
      <c r="C2955" s="115" t="inlineStr">
        <is>
          <t>SELİM İNŞAAT</t>
        </is>
      </c>
      <c r="D2955" s="115" t="inlineStr">
        <is>
          <t>34 DP 4161</t>
        </is>
      </c>
      <c r="E2955" s="115" t="inlineStr">
        <is>
          <t>RİFAT KARATAY</t>
        </is>
      </c>
      <c r="F2955" s="115" t="n">
        <v>325839</v>
      </c>
      <c r="G2955" s="156" t="n"/>
      <c r="H2955" s="152" t="n">
        <v>194</v>
      </c>
      <c r="I2955" s="156" t="n"/>
      <c r="J2955" s="90" t="n"/>
      <c r="K2955" s="166" t="n"/>
      <c r="L2955" s="158" t="n"/>
      <c r="M2955" s="159" t="n"/>
    </row>
    <row r="2956">
      <c r="A2956" s="114" t="n">
        <v>46206</v>
      </c>
      <c r="B2956" s="115" t="n">
        <v>1371</v>
      </c>
      <c r="C2956" s="115" t="inlineStr">
        <is>
          <t>SELİM İNŞAAT</t>
        </is>
      </c>
      <c r="D2956" s="115" t="inlineStr">
        <is>
          <t>34 DP 4161</t>
        </is>
      </c>
      <c r="E2956" s="115" t="inlineStr">
        <is>
          <t>RİFAT KARATAY</t>
        </is>
      </c>
      <c r="F2956" s="115" t="n">
        <v>326022</v>
      </c>
      <c r="G2956" s="156" t="n"/>
      <c r="H2956" s="152" t="n">
        <v>254</v>
      </c>
      <c r="I2956" s="156" t="n"/>
      <c r="J2956" s="90" t="n"/>
      <c r="K2956" s="166" t="n"/>
      <c r="L2956" s="158" t="n"/>
      <c r="M2956" s="159" t="n"/>
    </row>
    <row r="2957">
      <c r="A2957" s="114" t="n">
        <v>46208</v>
      </c>
      <c r="B2957" s="115" t="n">
        <v>1372</v>
      </c>
      <c r="C2957" s="115" t="inlineStr">
        <is>
          <t>SELİM İNŞAAT</t>
        </is>
      </c>
      <c r="D2957" s="115" t="inlineStr">
        <is>
          <t>34 DP 4161</t>
        </is>
      </c>
      <c r="E2957" s="115" t="inlineStr">
        <is>
          <t>RİFAT KARATAY</t>
        </is>
      </c>
      <c r="F2957" s="115" t="n">
        <v>326215</v>
      </c>
      <c r="G2957" s="156" t="n"/>
      <c r="H2957" s="152" t="n">
        <v>240</v>
      </c>
      <c r="I2957" s="156" t="n"/>
      <c r="J2957" s="90" t="n"/>
      <c r="K2957" s="166" t="n"/>
      <c r="L2957" s="158" t="n"/>
      <c r="M2957" s="159" t="n"/>
    </row>
    <row r="2958">
      <c r="A2958" s="114" t="n">
        <v>46211</v>
      </c>
      <c r="B2958" s="115" t="n">
        <v>1373</v>
      </c>
      <c r="C2958" s="115" t="inlineStr">
        <is>
          <t>SELİM İNŞAAT</t>
        </is>
      </c>
      <c r="D2958" s="115" t="inlineStr">
        <is>
          <t>34 DP 4161</t>
        </is>
      </c>
      <c r="E2958" s="115" t="inlineStr">
        <is>
          <t>RİFAT KARATAY</t>
        </is>
      </c>
      <c r="F2958" s="115" t="n">
        <v>326432</v>
      </c>
      <c r="G2958" s="156" t="n"/>
      <c r="H2958" s="152" t="n">
        <v>249</v>
      </c>
      <c r="I2958" s="156" t="n"/>
      <c r="J2958" s="90" t="n"/>
      <c r="K2958" s="166" t="n"/>
      <c r="L2958" s="158" t="n"/>
      <c r="M2958" s="159" t="n"/>
    </row>
    <row r="2959">
      <c r="A2959" s="114" t="n">
        <v>46205</v>
      </c>
      <c r="B2959" s="115" t="n">
        <v>1865</v>
      </c>
      <c r="C2959" s="115" t="inlineStr">
        <is>
          <t>SELİM İNŞAAT</t>
        </is>
      </c>
      <c r="D2959" s="115" t="inlineStr">
        <is>
          <t>34 GER 028</t>
        </is>
      </c>
      <c r="E2959" s="115" t="inlineStr">
        <is>
          <t>ABDULKERİM ERGEN</t>
        </is>
      </c>
      <c r="F2959" s="115" t="n">
        <v>66815</v>
      </c>
      <c r="G2959" s="156" t="n"/>
      <c r="H2959" s="152" t="n">
        <v>258</v>
      </c>
      <c r="I2959" s="156" t="n"/>
      <c r="J2959" s="90" t="n"/>
      <c r="K2959" s="166" t="n"/>
      <c r="L2959" s="158" t="n"/>
      <c r="M2959" s="159" t="n"/>
    </row>
    <row r="2960">
      <c r="A2960" s="114" t="n">
        <v>46208</v>
      </c>
      <c r="B2960" s="115" t="n">
        <v>1866</v>
      </c>
      <c r="C2960" s="115" t="inlineStr">
        <is>
          <t>SELİM İNŞAAT</t>
        </is>
      </c>
      <c r="D2960" s="115" t="inlineStr">
        <is>
          <t>34 GER 028</t>
        </is>
      </c>
      <c r="E2960" s="115" t="inlineStr">
        <is>
          <t>ABDULKERİM ERGEN</t>
        </is>
      </c>
      <c r="F2960" s="115" t="n">
        <v>67093</v>
      </c>
      <c r="G2960" s="156" t="n"/>
      <c r="H2960" s="152" t="n">
        <v>278</v>
      </c>
      <c r="I2960" s="156" t="n"/>
      <c r="J2960" s="90" t="n"/>
      <c r="K2960" s="166" t="n"/>
      <c r="L2960" s="158" t="n"/>
      <c r="M2960" s="159" t="n"/>
    </row>
    <row r="2961">
      <c r="A2961" s="114" t="n">
        <v>46210</v>
      </c>
      <c r="B2961" s="115" t="n">
        <v>1867</v>
      </c>
      <c r="C2961" s="115" t="inlineStr">
        <is>
          <t>SELİM İNŞAAT</t>
        </is>
      </c>
      <c r="D2961" s="115" t="inlineStr">
        <is>
          <t>34 GER 028</t>
        </is>
      </c>
      <c r="E2961" s="115" t="inlineStr">
        <is>
          <t>ABDULKERİM ERGEN</t>
        </is>
      </c>
      <c r="F2961" s="115" t="n">
        <v>67352</v>
      </c>
      <c r="G2961" s="156" t="n"/>
      <c r="H2961" s="152" t="n">
        <v>241</v>
      </c>
      <c r="I2961" s="156" t="n"/>
      <c r="J2961" s="90" t="n"/>
      <c r="K2961" s="166" t="n"/>
      <c r="L2961" s="158" t="n"/>
      <c r="M2961" s="159" t="n"/>
    </row>
    <row r="2962">
      <c r="A2962" s="114" t="n">
        <v>46213</v>
      </c>
      <c r="B2962" s="115" t="n">
        <v>1868</v>
      </c>
      <c r="C2962" s="115" t="inlineStr">
        <is>
          <t>SELİM İNŞAAT</t>
        </is>
      </c>
      <c r="D2962" s="115" t="inlineStr">
        <is>
          <t>34 GER 028</t>
        </is>
      </c>
      <c r="E2962" s="115" t="inlineStr">
        <is>
          <t>ABDULKERİM ERGEN</t>
        </is>
      </c>
      <c r="F2962" s="115" t="n">
        <v>67543</v>
      </c>
      <c r="G2962" s="156" t="n"/>
      <c r="H2962" s="152" t="n">
        <v>260</v>
      </c>
      <c r="I2962" s="156" t="n"/>
      <c r="J2962" s="90" t="n"/>
      <c r="K2962" s="166" t="n"/>
      <c r="L2962" s="158" t="n"/>
      <c r="M2962" s="159" t="n"/>
    </row>
    <row r="2963">
      <c r="A2963" s="114" t="n">
        <v>46216</v>
      </c>
      <c r="B2963" s="115" t="n">
        <v>1869</v>
      </c>
      <c r="C2963" s="115" t="inlineStr">
        <is>
          <t>SELİM İNŞAAT</t>
        </is>
      </c>
      <c r="D2963" s="115" t="inlineStr">
        <is>
          <t>34 GER 028</t>
        </is>
      </c>
      <c r="E2963" s="115" t="inlineStr">
        <is>
          <t>ABDULKERİM ERGEN</t>
        </is>
      </c>
      <c r="F2963" s="115" t="n">
        <v>67803</v>
      </c>
      <c r="G2963" s="156" t="n"/>
      <c r="H2963" s="152" t="n">
        <v>278</v>
      </c>
      <c r="I2963" s="156" t="n"/>
      <c r="J2963" s="90" t="n"/>
      <c r="K2963" s="166" t="n"/>
      <c r="L2963" s="158" t="n"/>
      <c r="M2963" s="159" t="n"/>
    </row>
    <row r="2964">
      <c r="A2964" s="114" t="n">
        <v>46207</v>
      </c>
      <c r="B2964" s="115" t="n">
        <v>327</v>
      </c>
      <c r="C2964" s="115" t="inlineStr">
        <is>
          <t>SELİM İNŞAAT</t>
        </is>
      </c>
      <c r="D2964" s="115" t="inlineStr">
        <is>
          <t>34 GER 445</t>
        </is>
      </c>
      <c r="E2964" s="115" t="inlineStr">
        <is>
          <t>BEYTULLAH</t>
        </is>
      </c>
      <c r="F2964" s="115" t="n">
        <v>63890</v>
      </c>
      <c r="G2964" s="156" t="n"/>
      <c r="H2964" s="152" t="n">
        <v>277</v>
      </c>
      <c r="I2964" s="156" t="n"/>
      <c r="J2964" s="90" t="n"/>
      <c r="K2964" s="166" t="n"/>
      <c r="L2964" s="158" t="n"/>
      <c r="M2964" s="159" t="n"/>
    </row>
    <row r="2965">
      <c r="A2965" s="114" t="n">
        <v>46209</v>
      </c>
      <c r="B2965" s="115" t="n">
        <v>328</v>
      </c>
      <c r="C2965" s="115" t="inlineStr">
        <is>
          <t>SELİM İNŞAAT</t>
        </is>
      </c>
      <c r="D2965" s="115" t="inlineStr">
        <is>
          <t>34 GER 445</t>
        </is>
      </c>
      <c r="E2965" s="115" t="inlineStr">
        <is>
          <t>BEYTULLAH</t>
        </is>
      </c>
      <c r="F2965" s="115" t="n">
        <v>64188</v>
      </c>
      <c r="G2965" s="156" t="n"/>
      <c r="H2965" s="152" t="n">
        <v>278</v>
      </c>
      <c r="I2965" s="156" t="n"/>
      <c r="J2965" s="90" t="n"/>
      <c r="K2965" s="166" t="n"/>
      <c r="L2965" s="158" t="n"/>
      <c r="M2965" s="159" t="n"/>
    </row>
    <row r="2966">
      <c r="A2966" s="114" t="n">
        <v>46211</v>
      </c>
      <c r="B2966" s="115" t="n">
        <v>329</v>
      </c>
      <c r="C2966" s="115" t="inlineStr">
        <is>
          <t>SELİM İNŞAAT</t>
        </is>
      </c>
      <c r="D2966" s="115" t="inlineStr">
        <is>
          <t>34 GER 445</t>
        </is>
      </c>
      <c r="E2966" s="115" t="inlineStr">
        <is>
          <t>BEYTULLAH</t>
        </is>
      </c>
      <c r="F2966" s="115" t="n">
        <v>64342</v>
      </c>
      <c r="G2966" s="156" t="n"/>
      <c r="H2966" s="152" t="n">
        <v>290</v>
      </c>
      <c r="I2966" s="156" t="n"/>
      <c r="J2966" s="90" t="n"/>
      <c r="K2966" s="166" t="n"/>
      <c r="L2966" s="158" t="n"/>
      <c r="M2966" s="159" t="n"/>
    </row>
    <row r="2967">
      <c r="A2967" s="114" t="n">
        <v>46214</v>
      </c>
      <c r="B2967" s="115" t="n">
        <v>330</v>
      </c>
      <c r="C2967" s="115" t="inlineStr">
        <is>
          <t>SELİM İNŞAAT</t>
        </is>
      </c>
      <c r="D2967" s="115" t="inlineStr">
        <is>
          <t>34 GER 445</t>
        </is>
      </c>
      <c r="E2967" s="115" t="inlineStr">
        <is>
          <t>BEYTULLAH</t>
        </is>
      </c>
      <c r="F2967" s="115" t="n">
        <v>64530</v>
      </c>
      <c r="G2967" s="156" t="n"/>
      <c r="H2967" s="152" t="n">
        <v>260</v>
      </c>
      <c r="I2967" s="156" t="n"/>
      <c r="J2967" s="90" t="n"/>
      <c r="K2967" s="166" t="n"/>
      <c r="L2967" s="158" t="n"/>
      <c r="M2967" s="159" t="n"/>
    </row>
    <row r="2968">
      <c r="A2968" s="114" t="n">
        <v>46217</v>
      </c>
      <c r="B2968" s="115" t="n">
        <v>331</v>
      </c>
      <c r="C2968" s="115" t="inlineStr">
        <is>
          <t>SELİM İNŞAAT</t>
        </is>
      </c>
      <c r="D2968" s="115" t="inlineStr">
        <is>
          <t>34 GER 445</t>
        </is>
      </c>
      <c r="E2968" s="115" t="inlineStr">
        <is>
          <t>BEYTULLAH</t>
        </is>
      </c>
      <c r="F2968" s="115" t="n">
        <v>64753</v>
      </c>
      <c r="G2968" s="156" t="n"/>
      <c r="H2968" s="152" t="n">
        <v>249</v>
      </c>
      <c r="I2968" s="156" t="n"/>
      <c r="J2968" s="90" t="n"/>
      <c r="K2968" s="166" t="n"/>
      <c r="L2968" s="158" t="n"/>
      <c r="M2968" s="159" t="n"/>
    </row>
    <row r="2969">
      <c r="A2969" s="114" t="n">
        <v>46204</v>
      </c>
      <c r="B2969" s="115" t="n">
        <v>4048</v>
      </c>
      <c r="C2969" s="115" t="inlineStr">
        <is>
          <t>SELİM İNŞAAT</t>
        </is>
      </c>
      <c r="D2969" s="115" t="inlineStr">
        <is>
          <t>34 AR 7743</t>
        </is>
      </c>
      <c r="E2969" s="115" t="inlineStr">
        <is>
          <t>MEHMET SELİM</t>
        </is>
      </c>
      <c r="F2969" s="115" t="n">
        <v>382300</v>
      </c>
      <c r="G2969" s="156" t="n"/>
      <c r="H2969" s="152" t="n">
        <v>68</v>
      </c>
      <c r="I2969" s="156" t="n"/>
      <c r="J2969" s="90" t="n"/>
      <c r="K2969" s="166" t="n"/>
      <c r="L2969" s="158" t="n"/>
      <c r="M2969" s="159" t="n"/>
    </row>
    <row r="2970">
      <c r="A2970" s="114" t="n">
        <v>46206</v>
      </c>
      <c r="B2970" s="115" t="n">
        <v>4049</v>
      </c>
      <c r="C2970" s="115" t="inlineStr">
        <is>
          <t>SELİM İNŞAAT</t>
        </is>
      </c>
      <c r="D2970" s="115" t="inlineStr">
        <is>
          <t>34 AR 7743</t>
        </is>
      </c>
      <c r="E2970" s="115" t="inlineStr">
        <is>
          <t>MEHMET SELİM</t>
        </is>
      </c>
      <c r="F2970" s="115" t="n">
        <v>382448</v>
      </c>
      <c r="G2970" s="156" t="n"/>
      <c r="H2970" s="152" t="n">
        <v>59</v>
      </c>
      <c r="I2970" s="156" t="n"/>
      <c r="J2970" s="90" t="n"/>
      <c r="K2970" s="166" t="n"/>
      <c r="L2970" s="158" t="n"/>
      <c r="M2970" s="159" t="n"/>
    </row>
    <row r="2971">
      <c r="A2971" s="114" t="n">
        <v>46212</v>
      </c>
      <c r="B2971" s="115" t="n">
        <v>4050</v>
      </c>
      <c r="C2971" s="115" t="inlineStr">
        <is>
          <t>SELİM İNŞAAT</t>
        </is>
      </c>
      <c r="D2971" s="115" t="inlineStr">
        <is>
          <t>34 AR 7743</t>
        </is>
      </c>
      <c r="E2971" s="115" t="inlineStr">
        <is>
          <t>MEHMET SELİM</t>
        </is>
      </c>
      <c r="F2971" s="115" t="n">
        <v>382747</v>
      </c>
      <c r="G2971" s="156" t="n"/>
      <c r="H2971" s="152" t="n">
        <v>64</v>
      </c>
      <c r="I2971" s="156" t="n"/>
      <c r="J2971" s="90" t="n"/>
      <c r="K2971" s="166" t="n"/>
      <c r="L2971" s="158" t="n"/>
      <c r="M2971" s="159" t="n"/>
    </row>
    <row r="2972">
      <c r="A2972" s="114" t="n">
        <v>46216</v>
      </c>
      <c r="B2972" s="115" t="n">
        <v>4051</v>
      </c>
      <c r="C2972" s="115" t="inlineStr">
        <is>
          <t>SELİM İNŞAAT</t>
        </is>
      </c>
      <c r="D2972" s="115" t="inlineStr">
        <is>
          <t>34 AR 7743</t>
        </is>
      </c>
      <c r="E2972" s="115" t="inlineStr">
        <is>
          <t>MEHMET SELİM</t>
        </is>
      </c>
      <c r="F2972" s="115" t="n">
        <v>383018</v>
      </c>
      <c r="G2972" s="156" t="n"/>
      <c r="H2972" s="152" t="n">
        <v>60</v>
      </c>
      <c r="I2972" s="156" t="n"/>
      <c r="J2972" s="90" t="n"/>
      <c r="K2972" s="166" t="n"/>
      <c r="L2972" s="158" t="n"/>
      <c r="M2972" s="159" t="n"/>
    </row>
    <row r="2973">
      <c r="A2973" s="114" t="n">
        <v>46205</v>
      </c>
      <c r="B2973" s="115" t="n">
        <v>1003</v>
      </c>
      <c r="C2973" s="115" t="inlineStr">
        <is>
          <t>SELİM İNŞAAT</t>
        </is>
      </c>
      <c r="D2973" s="115" t="inlineStr">
        <is>
          <t>34 DFE 454</t>
        </is>
      </c>
      <c r="E2973" s="115" t="inlineStr">
        <is>
          <t>HÜSEYİN ALIN</t>
        </is>
      </c>
      <c r="F2973" s="115" t="n">
        <v>180474</v>
      </c>
      <c r="G2973" s="156" t="n"/>
      <c r="H2973" s="152" t="n">
        <v>294</v>
      </c>
      <c r="I2973" s="156" t="n"/>
      <c r="J2973" s="90" t="n"/>
      <c r="K2973" s="166" t="n"/>
      <c r="L2973" s="158" t="n"/>
      <c r="M2973" s="159" t="n"/>
    </row>
    <row r="2974">
      <c r="A2974" s="114" t="n">
        <v>46209</v>
      </c>
      <c r="B2974" s="115" t="n">
        <v>1004</v>
      </c>
      <c r="C2974" s="115" t="inlineStr">
        <is>
          <t>SELİM İNŞAAT</t>
        </is>
      </c>
      <c r="D2974" s="115" t="inlineStr">
        <is>
          <t>34 DFE 454</t>
        </is>
      </c>
      <c r="E2974" s="115" t="inlineStr">
        <is>
          <t>HÜSEYİN ALIN</t>
        </is>
      </c>
      <c r="F2974" s="115" t="n">
        <v>180788</v>
      </c>
      <c r="G2974" s="156" t="n"/>
      <c r="H2974" s="152" t="n">
        <v>289</v>
      </c>
      <c r="I2974" s="156" t="n"/>
      <c r="J2974" s="90" t="n"/>
      <c r="K2974" s="166" t="n"/>
      <c r="L2974" s="158" t="n"/>
      <c r="M2974" s="159" t="n"/>
    </row>
    <row r="2975">
      <c r="A2975" s="114" t="n">
        <v>46213</v>
      </c>
      <c r="B2975" s="115" t="n">
        <v>1005</v>
      </c>
      <c r="C2975" s="115" t="inlineStr">
        <is>
          <t>SELİM İNŞAAT</t>
        </is>
      </c>
      <c r="D2975" s="115" t="inlineStr">
        <is>
          <t>34 DFE 454</t>
        </is>
      </c>
      <c r="E2975" s="115" t="inlineStr">
        <is>
          <t>HÜSEYİN ALIN</t>
        </is>
      </c>
      <c r="F2975" s="115" t="n">
        <v>181033</v>
      </c>
      <c r="G2975" s="156" t="n"/>
      <c r="H2975" s="152" t="n">
        <v>272</v>
      </c>
      <c r="I2975" s="156" t="n"/>
      <c r="J2975" s="90" t="n"/>
      <c r="K2975" s="166" t="n"/>
      <c r="L2975" s="158" t="n"/>
      <c r="M2975" s="159" t="n"/>
    </row>
    <row r="2976">
      <c r="A2976" s="114" t="n">
        <v>46216</v>
      </c>
      <c r="B2976" s="115" t="n">
        <v>1006</v>
      </c>
      <c r="C2976" s="115" t="inlineStr">
        <is>
          <t>SELİM İNŞAAT</t>
        </is>
      </c>
      <c r="D2976" s="115" t="inlineStr">
        <is>
          <t>34 DFE 454</t>
        </is>
      </c>
      <c r="E2976" s="115" t="inlineStr">
        <is>
          <t>HÜSEYİN ALIN</t>
        </is>
      </c>
      <c r="F2976" s="115" t="n">
        <v>181260</v>
      </c>
      <c r="G2976" s="156" t="n"/>
      <c r="H2976" s="152" t="n">
        <v>285</v>
      </c>
      <c r="I2976" s="156" t="n"/>
      <c r="J2976" s="90" t="n"/>
      <c r="K2976" s="166" t="n"/>
      <c r="L2976" s="158" t="n"/>
      <c r="M2976" s="159" t="n"/>
    </row>
    <row r="2977">
      <c r="A2977" s="114" t="n">
        <v>46205</v>
      </c>
      <c r="B2977" s="115" t="n">
        <v>2652</v>
      </c>
      <c r="C2977" s="115" t="inlineStr">
        <is>
          <t>SELİM İNŞAAT</t>
        </is>
      </c>
      <c r="D2977" s="115" t="inlineStr">
        <is>
          <t>34 VF 2620</t>
        </is>
      </c>
      <c r="E2977" s="115" t="inlineStr">
        <is>
          <t>RECEP SELİM</t>
        </is>
      </c>
      <c r="F2977" s="115" t="n">
        <v>209670</v>
      </c>
      <c r="G2977" s="156" t="n"/>
      <c r="H2977" s="152" t="n">
        <v>73</v>
      </c>
      <c r="I2977" s="156" t="n"/>
      <c r="J2977" s="90" t="n"/>
      <c r="K2977" s="166" t="n"/>
      <c r="L2977" s="158" t="n"/>
      <c r="M2977" s="159" t="n"/>
    </row>
    <row r="2978">
      <c r="A2978" s="114" t="n">
        <v>46209</v>
      </c>
      <c r="B2978" s="115" t="n">
        <v>2653</v>
      </c>
      <c r="C2978" s="115" t="inlineStr">
        <is>
          <t>SELİM İNŞAAT</t>
        </is>
      </c>
      <c r="D2978" s="115" t="inlineStr">
        <is>
          <t>34 VF 2620</t>
        </is>
      </c>
      <c r="E2978" s="115" t="inlineStr">
        <is>
          <t>RECEP SELİM</t>
        </is>
      </c>
      <c r="F2978" s="115" t="n">
        <v>210098</v>
      </c>
      <c r="G2978" s="156" t="n"/>
      <c r="H2978" s="152" t="n">
        <v>68</v>
      </c>
      <c r="I2978" s="156" t="n"/>
      <c r="J2978" s="90" t="n"/>
      <c r="K2978" s="166" t="n"/>
      <c r="L2978" s="158" t="n"/>
      <c r="M2978" s="159" t="n"/>
    </row>
    <row r="2979">
      <c r="A2979" s="114" t="n">
        <v>46213</v>
      </c>
      <c r="B2979" s="115" t="n">
        <v>2654</v>
      </c>
      <c r="C2979" s="115" t="inlineStr">
        <is>
          <t>SELİM İNŞAAT</t>
        </is>
      </c>
      <c r="D2979" s="115" t="inlineStr">
        <is>
          <t>34 VF 2620</t>
        </is>
      </c>
      <c r="E2979" s="115" t="inlineStr">
        <is>
          <t>RECEP SELİM</t>
        </is>
      </c>
      <c r="F2979" s="115" t="n">
        <v>210497</v>
      </c>
      <c r="G2979" s="156" t="n"/>
      <c r="H2979" s="152" t="n">
        <v>75</v>
      </c>
      <c r="I2979" s="156" t="n"/>
      <c r="J2979" s="90" t="n"/>
      <c r="K2979" s="166" t="n"/>
      <c r="L2979" s="158" t="n"/>
      <c r="M2979" s="159" t="n"/>
    </row>
    <row r="2980">
      <c r="A2980" s="114" t="n">
        <v>46218</v>
      </c>
      <c r="B2980" s="115" t="n">
        <v>2655</v>
      </c>
      <c r="C2980" s="115" t="inlineStr">
        <is>
          <t>SELİM İNŞAAT</t>
        </is>
      </c>
      <c r="D2980" s="115" t="inlineStr">
        <is>
          <t>34 VF 2620</t>
        </is>
      </c>
      <c r="E2980" s="115" t="inlineStr">
        <is>
          <t>RECEP SELİM</t>
        </is>
      </c>
      <c r="F2980" s="115" t="n">
        <v>210824</v>
      </c>
      <c r="G2980" s="156" t="n"/>
      <c r="H2980" s="152" t="n">
        <v>64</v>
      </c>
      <c r="I2980" s="156" t="n"/>
      <c r="J2980" s="90" t="n"/>
      <c r="K2980" s="166" t="n"/>
      <c r="L2980" s="158" t="n"/>
      <c r="M2980" s="159" t="n"/>
    </row>
    <row r="2981">
      <c r="A2981" s="114" t="n">
        <v>46204</v>
      </c>
      <c r="B2981" s="115" t="n">
        <v>4494</v>
      </c>
      <c r="C2981" s="115" t="inlineStr">
        <is>
          <t>SELİM İNŞAAT</t>
        </is>
      </c>
      <c r="D2981" s="115" t="inlineStr">
        <is>
          <t>34 DKL 798</t>
        </is>
      </c>
      <c r="E2981" s="115" t="inlineStr">
        <is>
          <t>HASAN BAYCA</t>
        </is>
      </c>
      <c r="F2981" s="115" t="n">
        <v>86945</v>
      </c>
      <c r="G2981" s="156" t="n"/>
      <c r="H2981" s="152" t="n">
        <v>211</v>
      </c>
      <c r="I2981" s="156" t="n"/>
      <c r="J2981" s="90" t="n"/>
      <c r="K2981" s="166" t="n"/>
      <c r="L2981" s="158" t="n"/>
      <c r="M2981" s="159" t="n"/>
    </row>
    <row r="2982">
      <c r="A2982" s="114" t="n">
        <v>46206</v>
      </c>
      <c r="B2982" s="115" t="n">
        <v>4495</v>
      </c>
      <c r="C2982" s="115" t="inlineStr">
        <is>
          <t>SELİM İNŞAAT</t>
        </is>
      </c>
      <c r="D2982" s="115" t="inlineStr">
        <is>
          <t>34 DKL 798</t>
        </is>
      </c>
      <c r="E2982" s="115" t="inlineStr">
        <is>
          <t>HASAN BAYCA</t>
        </is>
      </c>
      <c r="F2982" s="115" t="n">
        <v>87110</v>
      </c>
      <c r="G2982" s="156" t="n"/>
      <c r="H2982" s="152" t="n">
        <v>240</v>
      </c>
      <c r="I2982" s="156" t="n"/>
      <c r="J2982" s="90" t="n"/>
      <c r="K2982" s="166" t="n"/>
      <c r="L2982" s="158" t="n"/>
      <c r="M2982" s="159" t="n"/>
    </row>
    <row r="2983">
      <c r="A2983" s="114" t="n">
        <v>46212</v>
      </c>
      <c r="B2983" s="115" t="n">
        <v>4496</v>
      </c>
      <c r="C2983" s="115" t="inlineStr">
        <is>
          <t>SELİM İNŞAAT</t>
        </is>
      </c>
      <c r="D2983" s="115" t="inlineStr">
        <is>
          <t>34 DKL 798</t>
        </is>
      </c>
      <c r="E2983" s="115" t="inlineStr">
        <is>
          <t>HASAN BAYCA</t>
        </is>
      </c>
      <c r="F2983" s="115" t="n">
        <v>87377</v>
      </c>
      <c r="G2983" s="156" t="n"/>
      <c r="H2983" s="152" t="n">
        <v>274</v>
      </c>
      <c r="I2983" s="156" t="n"/>
      <c r="J2983" s="90" t="n"/>
      <c r="K2983" s="166" t="n"/>
      <c r="L2983" s="158" t="n"/>
      <c r="M2983" s="159" t="n"/>
    </row>
    <row r="2984">
      <c r="A2984" s="114" t="n">
        <v>46214</v>
      </c>
      <c r="B2984" s="115" t="n">
        <v>4497</v>
      </c>
      <c r="C2984" s="115" t="inlineStr">
        <is>
          <t>SELİM İNŞAAT</t>
        </is>
      </c>
      <c r="D2984" s="115" t="inlineStr">
        <is>
          <t>34 DKL 798</t>
        </is>
      </c>
      <c r="E2984" s="115" t="inlineStr">
        <is>
          <t>HASAN BAYCA</t>
        </is>
      </c>
      <c r="F2984" s="115" t="n">
        <v>87635</v>
      </c>
      <c r="G2984" s="156" t="n"/>
      <c r="H2984" s="152" t="n">
        <v>281</v>
      </c>
      <c r="I2984" s="156" t="n"/>
      <c r="J2984" s="90" t="n"/>
      <c r="K2984" s="166" t="n"/>
      <c r="L2984" s="158" t="n"/>
      <c r="M2984" s="159" t="n"/>
    </row>
    <row r="2985">
      <c r="A2985" s="114" t="n">
        <v>46216</v>
      </c>
      <c r="B2985" s="115" t="n">
        <v>4498</v>
      </c>
      <c r="C2985" s="115" t="inlineStr">
        <is>
          <t>SELİM İNŞAAT</t>
        </is>
      </c>
      <c r="D2985" s="115" t="inlineStr">
        <is>
          <t>34 DKL 798</t>
        </is>
      </c>
      <c r="E2985" s="115" t="inlineStr">
        <is>
          <t>HASAN BAYCA</t>
        </is>
      </c>
      <c r="F2985" s="115" t="n">
        <v>87749</v>
      </c>
      <c r="G2985" s="156" t="n"/>
      <c r="H2985" s="152" t="n">
        <v>226</v>
      </c>
      <c r="I2985" s="156" t="n"/>
      <c r="J2985" s="90" t="n"/>
      <c r="K2985" s="166" t="n"/>
      <c r="L2985" s="158" t="n"/>
      <c r="M2985" s="159" t="n"/>
    </row>
    <row r="2986">
      <c r="A2986" s="114" t="n">
        <v>46218</v>
      </c>
      <c r="B2986" s="115" t="n">
        <v>4499</v>
      </c>
      <c r="C2986" s="115" t="inlineStr">
        <is>
          <t>SELİM İNŞAAT</t>
        </is>
      </c>
      <c r="D2986" s="115" t="inlineStr">
        <is>
          <t>34 DKL 798</t>
        </is>
      </c>
      <c r="E2986" s="115" t="inlineStr">
        <is>
          <t>HASAN BAYCA</t>
        </is>
      </c>
      <c r="F2986" s="115" t="n">
        <v>87938</v>
      </c>
      <c r="G2986" s="156" t="n"/>
      <c r="H2986" s="152" t="n">
        <v>264</v>
      </c>
      <c r="I2986" s="156" t="n"/>
      <c r="J2986" s="90" t="n"/>
      <c r="K2986" s="166" t="n"/>
      <c r="L2986" s="158" t="n"/>
      <c r="M2986" s="159" t="n"/>
    </row>
    <row r="2987">
      <c r="A2987" s="114" t="n">
        <v>46209</v>
      </c>
      <c r="B2987" s="115" t="n">
        <v>4450</v>
      </c>
      <c r="C2987" s="115" t="inlineStr">
        <is>
          <t>SELİM İNŞAAT</t>
        </is>
      </c>
      <c r="D2987" s="115" t="inlineStr">
        <is>
          <t>34 DKL 798</t>
        </is>
      </c>
      <c r="E2987" s="115" t="inlineStr">
        <is>
          <t>HASAN BAYCA</t>
        </is>
      </c>
      <c r="F2987" s="115" t="n">
        <v>88101</v>
      </c>
      <c r="G2987" s="156" t="n"/>
      <c r="H2987" s="152" t="n">
        <v>244</v>
      </c>
      <c r="I2987" s="156" t="n"/>
      <c r="J2987" s="90" t="n"/>
      <c r="K2987" s="166" t="n"/>
      <c r="L2987" s="158" t="n"/>
      <c r="M2987" s="159" t="n"/>
    </row>
    <row r="2988">
      <c r="A2988" s="114" t="n">
        <v>46208</v>
      </c>
      <c r="B2988" s="115" t="n">
        <v>571</v>
      </c>
      <c r="C2988" s="115" t="inlineStr">
        <is>
          <t>SELİM İNŞAAT</t>
        </is>
      </c>
      <c r="D2988" s="115" t="inlineStr">
        <is>
          <t>34 JGR 15</t>
        </is>
      </c>
      <c r="E2988" s="115" t="inlineStr">
        <is>
          <t>DURSUN ALİ GÜREK</t>
        </is>
      </c>
      <c r="F2988" s="115" t="n">
        <v>339311</v>
      </c>
      <c r="G2988" s="156" t="n"/>
      <c r="H2988" s="152" t="n">
        <v>70</v>
      </c>
      <c r="I2988" s="156" t="n"/>
      <c r="J2988" s="90" t="n"/>
      <c r="K2988" s="166" t="n"/>
      <c r="L2988" s="158" t="n"/>
      <c r="M2988" s="159" t="n"/>
    </row>
    <row r="2989">
      <c r="A2989" s="114" t="n">
        <v>46214</v>
      </c>
      <c r="B2989" s="115" t="n">
        <v>572</v>
      </c>
      <c r="C2989" s="115" t="inlineStr">
        <is>
          <t>SELİM İNŞAAT</t>
        </is>
      </c>
      <c r="D2989" s="115" t="inlineStr">
        <is>
          <t>34 JGR 15</t>
        </is>
      </c>
      <c r="E2989" s="115" t="inlineStr">
        <is>
          <t>DURSUN ALİ GÜREK</t>
        </is>
      </c>
      <c r="F2989" s="115" t="n">
        <v>339817</v>
      </c>
      <c r="G2989" s="156" t="n"/>
      <c r="H2989" s="152" t="n">
        <v>77</v>
      </c>
      <c r="I2989" s="156" t="n"/>
      <c r="J2989" s="90" t="n"/>
      <c r="K2989" s="166" t="n"/>
      <c r="L2989" s="158" t="n"/>
      <c r="M2989" s="159" t="n"/>
    </row>
    <row r="2990">
      <c r="A2990" s="114" t="n">
        <v>46217</v>
      </c>
      <c r="B2990" s="115" t="n">
        <v>573</v>
      </c>
      <c r="C2990" s="115" t="inlineStr">
        <is>
          <t>SELİM İNŞAAT</t>
        </is>
      </c>
      <c r="D2990" s="115" t="inlineStr">
        <is>
          <t>34 JGR 15</t>
        </is>
      </c>
      <c r="E2990" s="115" t="inlineStr">
        <is>
          <t>DURSUN ALİ GÜREK</t>
        </is>
      </c>
      <c r="F2990" s="115" t="n">
        <v>340022</v>
      </c>
      <c r="G2990" s="156" t="n"/>
      <c r="H2990" s="152" t="n">
        <v>66</v>
      </c>
      <c r="I2990" s="156" t="n"/>
      <c r="J2990" s="90" t="n"/>
      <c r="K2990" s="166" t="n"/>
      <c r="L2990" s="158" t="n"/>
      <c r="M2990" s="159" t="n"/>
    </row>
    <row r="2991">
      <c r="A2991" s="114" t="n">
        <v>46204</v>
      </c>
      <c r="B2991" s="115" t="n">
        <v>1916</v>
      </c>
      <c r="C2991" s="115" t="inlineStr">
        <is>
          <t>SELİM İNŞAAT</t>
        </is>
      </c>
      <c r="D2991" s="115" t="inlineStr">
        <is>
          <t>34 FEM 934</t>
        </is>
      </c>
      <c r="E2991" s="115" t="inlineStr">
        <is>
          <t>RİFAT KARATAY</t>
        </is>
      </c>
      <c r="F2991" s="115" t="n">
        <v>343210</v>
      </c>
      <c r="G2991" s="156" t="n"/>
      <c r="H2991" s="152" t="n">
        <v>67</v>
      </c>
      <c r="I2991" s="156" t="n"/>
      <c r="J2991" s="90" t="n"/>
      <c r="K2991" s="166" t="n"/>
      <c r="L2991" s="158" t="n"/>
      <c r="M2991" s="159" t="n"/>
    </row>
    <row r="2992">
      <c r="A2992" s="114" t="n">
        <v>46206</v>
      </c>
      <c r="B2992" s="115" t="n">
        <v>1917</v>
      </c>
      <c r="C2992" s="115" t="inlineStr">
        <is>
          <t>SELİM İNŞAAT</t>
        </is>
      </c>
      <c r="D2992" s="115" t="inlineStr">
        <is>
          <t>34 FEM 934</t>
        </is>
      </c>
      <c r="E2992" s="115" t="inlineStr">
        <is>
          <t>RİFAT KARATAY</t>
        </is>
      </c>
      <c r="F2992" s="115" t="n">
        <v>343501</v>
      </c>
      <c r="G2992" s="156" t="n"/>
      <c r="H2992" s="152" t="n">
        <v>65</v>
      </c>
      <c r="I2992" s="156" t="n"/>
      <c r="J2992" s="90" t="n"/>
      <c r="K2992" s="166" t="n"/>
      <c r="L2992" s="158" t="n"/>
      <c r="M2992" s="159" t="n"/>
    </row>
    <row r="2993">
      <c r="A2993" s="114" t="n">
        <v>46209</v>
      </c>
      <c r="B2993" s="115" t="n">
        <v>1918</v>
      </c>
      <c r="C2993" s="115" t="inlineStr">
        <is>
          <t>SELİM İNŞAAT</t>
        </is>
      </c>
      <c r="D2993" s="115" t="inlineStr">
        <is>
          <t>34 FEM 934</t>
        </is>
      </c>
      <c r="E2993" s="115" t="inlineStr">
        <is>
          <t>RİFAT KARATAY</t>
        </is>
      </c>
      <c r="F2993" s="115" t="n">
        <v>343796</v>
      </c>
      <c r="G2993" s="156" t="n"/>
      <c r="H2993" s="152" t="n">
        <v>68</v>
      </c>
      <c r="I2993" s="156" t="n"/>
      <c r="J2993" s="90" t="n"/>
      <c r="K2993" s="166" t="n"/>
      <c r="L2993" s="158" t="n"/>
      <c r="M2993" s="159" t="n"/>
    </row>
    <row r="2994">
      <c r="A2994" s="114" t="n">
        <v>46212</v>
      </c>
      <c r="B2994" s="115" t="n">
        <v>1919</v>
      </c>
      <c r="C2994" s="115" t="inlineStr">
        <is>
          <t>SELİM İNŞAAT</t>
        </is>
      </c>
      <c r="D2994" s="115" t="inlineStr">
        <is>
          <t>34 FEM 934</t>
        </is>
      </c>
      <c r="E2994" s="115" t="inlineStr">
        <is>
          <t>RİFAT KARATAY</t>
        </is>
      </c>
      <c r="F2994" s="115" t="n">
        <v>344242</v>
      </c>
      <c r="G2994" s="156" t="n"/>
      <c r="H2994" s="152" t="n">
        <v>65</v>
      </c>
      <c r="I2994" s="156" t="n"/>
      <c r="J2994" s="90" t="n"/>
      <c r="K2994" s="166" t="n"/>
      <c r="L2994" s="158" t="n"/>
      <c r="M2994" s="159" t="n"/>
    </row>
    <row r="2995">
      <c r="A2995" s="114" t="n">
        <v>46214</v>
      </c>
      <c r="B2995" s="115" t="n">
        <v>1920</v>
      </c>
      <c r="C2995" s="115" t="inlineStr">
        <is>
          <t>SELİM İNŞAAT</t>
        </is>
      </c>
      <c r="D2995" s="115" t="inlineStr">
        <is>
          <t>34 FEM 934</t>
        </is>
      </c>
      <c r="E2995" s="115" t="inlineStr">
        <is>
          <t>RİFAT KARATAY</t>
        </is>
      </c>
      <c r="F2995" s="115" t="n">
        <v>344593</v>
      </c>
      <c r="G2995" s="156" t="n"/>
      <c r="H2995" s="152" t="n">
        <v>52</v>
      </c>
      <c r="I2995" s="156" t="n"/>
      <c r="J2995" s="90" t="n"/>
      <c r="K2995" s="166" t="n"/>
      <c r="L2995" s="158" t="n"/>
      <c r="M2995" s="159" t="n"/>
    </row>
    <row r="2996">
      <c r="A2996" s="114" t="n">
        <v>46218</v>
      </c>
      <c r="B2996" s="115" t="n">
        <v>1921</v>
      </c>
      <c r="C2996" s="115" t="inlineStr">
        <is>
          <t>SELİM İNŞAAT</t>
        </is>
      </c>
      <c r="D2996" s="115" t="inlineStr">
        <is>
          <t>34 FEM 934</t>
        </is>
      </c>
      <c r="E2996" s="115" t="inlineStr">
        <is>
          <t>RİFAT KARATAY</t>
        </is>
      </c>
      <c r="F2996" s="115" t="n">
        <v>344807</v>
      </c>
      <c r="G2996" s="156" t="n"/>
      <c r="H2996" s="152" t="n">
        <v>64</v>
      </c>
      <c r="I2996" s="156" t="n"/>
      <c r="J2996" s="90" t="n"/>
      <c r="K2996" s="166" t="n"/>
      <c r="L2996" s="158" t="n"/>
      <c r="M2996" s="159" t="n"/>
    </row>
    <row r="2997">
      <c r="A2997" s="114" t="n">
        <v>46207</v>
      </c>
      <c r="B2997" s="115" t="n">
        <v>683</v>
      </c>
      <c r="C2997" s="115" t="inlineStr">
        <is>
          <t>SELİM İNŞAAT</t>
        </is>
      </c>
      <c r="D2997" s="115" t="inlineStr">
        <is>
          <t xml:space="preserve">34 GU 945 </t>
        </is>
      </c>
      <c r="E2997" s="115" t="inlineStr">
        <is>
          <t>ÖNER DÜNDAR</t>
        </is>
      </c>
      <c r="F2997" s="115" t="n">
        <v>483276</v>
      </c>
      <c r="G2997" s="156" t="n"/>
      <c r="H2997" s="152" t="n">
        <v>62</v>
      </c>
      <c r="I2997" s="156" t="n"/>
      <c r="J2997" s="90" t="n"/>
      <c r="K2997" s="166" t="n"/>
      <c r="L2997" s="158" t="n"/>
      <c r="M2997" s="159" t="n"/>
    </row>
    <row r="2998">
      <c r="A2998" s="114" t="n">
        <v>46210</v>
      </c>
      <c r="B2998" s="115" t="n">
        <v>684</v>
      </c>
      <c r="C2998" s="115" t="inlineStr">
        <is>
          <t>SELİM İNŞAAT</t>
        </is>
      </c>
      <c r="D2998" s="115" t="inlineStr">
        <is>
          <t xml:space="preserve">34 GU 945 </t>
        </is>
      </c>
      <c r="E2998" s="115" t="inlineStr">
        <is>
          <t>ÖNER DÜNDAR</t>
        </is>
      </c>
      <c r="F2998" s="115" t="n">
        <v>483591</v>
      </c>
      <c r="G2998" s="156" t="n"/>
      <c r="H2998" s="152" t="n">
        <v>68</v>
      </c>
      <c r="I2998" s="156" t="n"/>
      <c r="J2998" s="90" t="n"/>
      <c r="K2998" s="166" t="n"/>
      <c r="L2998" s="158" t="n"/>
      <c r="M2998" s="159" t="n"/>
    </row>
    <row r="2999">
      <c r="A2999" s="114" t="n">
        <v>46213</v>
      </c>
      <c r="B2999" s="115" t="n">
        <v>685</v>
      </c>
      <c r="C2999" s="115" t="inlineStr">
        <is>
          <t>SELİM İNŞAAT</t>
        </is>
      </c>
      <c r="D2999" s="115" t="inlineStr">
        <is>
          <t xml:space="preserve">34 GU 945 </t>
        </is>
      </c>
      <c r="E2999" s="115" t="inlineStr">
        <is>
          <t>ÖNER DÜNDAR</t>
        </is>
      </c>
      <c r="F2999" s="115" t="n">
        <v>483897</v>
      </c>
      <c r="G2999" s="156" t="n"/>
      <c r="H2999" s="152" t="n">
        <v>66</v>
      </c>
      <c r="I2999" s="156" t="n"/>
      <c r="J2999" s="90" t="n"/>
      <c r="K2999" s="166" t="n"/>
      <c r="L2999" s="158" t="n"/>
      <c r="M2999" s="159" t="n"/>
    </row>
    <row r="3000">
      <c r="A3000" s="114" t="n">
        <v>46218</v>
      </c>
      <c r="B3000" s="115" t="n">
        <v>686</v>
      </c>
      <c r="C3000" s="115" t="inlineStr">
        <is>
          <t>SELİM İNŞAAT</t>
        </is>
      </c>
      <c r="D3000" s="115" t="inlineStr">
        <is>
          <t xml:space="preserve">34 GU 945 </t>
        </is>
      </c>
      <c r="E3000" s="115" t="inlineStr">
        <is>
          <t>ÖNER DÜNDAR</t>
        </is>
      </c>
      <c r="F3000" s="115" t="n">
        <v>484334</v>
      </c>
      <c r="G3000" s="156" t="n"/>
      <c r="H3000" s="152" t="n">
        <v>67</v>
      </c>
      <c r="I3000" s="156" t="n"/>
      <c r="J3000" s="90" t="n"/>
      <c r="K3000" s="166" t="n"/>
      <c r="L3000" s="158" t="n"/>
      <c r="M3000" s="159" t="n"/>
    </row>
    <row r="3001">
      <c r="A3001" s="114" t="n">
        <v>46220</v>
      </c>
      <c r="B3001" s="115" t="n">
        <v>687</v>
      </c>
      <c r="C3001" s="115" t="inlineStr">
        <is>
          <t>SELİM İNŞAAT</t>
        </is>
      </c>
      <c r="D3001" s="115" t="inlineStr">
        <is>
          <t xml:space="preserve">34 GU 945 </t>
        </is>
      </c>
      <c r="E3001" s="115" t="inlineStr">
        <is>
          <t>ÖNER DÜNDAR</t>
        </is>
      </c>
      <c r="F3001" s="115" t="n">
        <v>484589</v>
      </c>
      <c r="G3001" s="156" t="n"/>
      <c r="H3001" s="152" t="n">
        <v>49</v>
      </c>
      <c r="I3001" s="156" t="n"/>
      <c r="J3001" s="90" t="n"/>
      <c r="K3001" s="166" t="n"/>
      <c r="L3001" s="158" t="n"/>
      <c r="M3001" s="159" t="n"/>
    </row>
    <row r="3002">
      <c r="A3002" s="114" t="n">
        <v>46208</v>
      </c>
      <c r="B3002" s="115" t="n">
        <v>1785</v>
      </c>
      <c r="C3002" s="115" t="inlineStr">
        <is>
          <t>SELİM İNŞAAT</t>
        </is>
      </c>
      <c r="D3002" s="115" t="inlineStr">
        <is>
          <t>34 JBA 25</t>
        </is>
      </c>
      <c r="E3002" s="115" t="inlineStr">
        <is>
          <t>BAYRAM</t>
        </is>
      </c>
      <c r="F3002" s="115" t="n">
        <v>353056</v>
      </c>
      <c r="G3002" s="156" t="n"/>
      <c r="H3002" s="152" t="n">
        <v>67</v>
      </c>
      <c r="I3002" s="156" t="n"/>
      <c r="J3002" s="90" t="n"/>
      <c r="K3002" s="166" t="n"/>
      <c r="L3002" s="158" t="n"/>
      <c r="M3002" s="159" t="n"/>
    </row>
    <row r="3003">
      <c r="A3003" s="114" t="n">
        <v>46205</v>
      </c>
      <c r="B3003" s="115" t="n">
        <v>3461</v>
      </c>
      <c r="C3003" s="115" t="inlineStr">
        <is>
          <t>SELİM İNŞAAT</t>
        </is>
      </c>
      <c r="D3003" s="115" t="inlineStr">
        <is>
          <t>34 GVZ 310</t>
        </is>
      </c>
      <c r="E3003" s="115" t="inlineStr">
        <is>
          <t>CELAL YÜZBAŞI</t>
        </is>
      </c>
      <c r="F3003" s="115" t="n">
        <v>269273</v>
      </c>
      <c r="G3003" s="156" t="n"/>
      <c r="H3003" s="152" t="n">
        <v>448</v>
      </c>
      <c r="I3003" s="156" t="n"/>
      <c r="J3003" s="90" t="n"/>
      <c r="K3003" s="166" t="n"/>
      <c r="L3003" s="158" t="n"/>
      <c r="M3003" s="159" t="n"/>
    </row>
    <row r="3004">
      <c r="A3004" s="114" t="n">
        <v>46206</v>
      </c>
      <c r="B3004" s="115" t="n">
        <v>3462</v>
      </c>
      <c r="C3004" s="115" t="inlineStr">
        <is>
          <t>SELİM İNŞAAT</t>
        </is>
      </c>
      <c r="D3004" s="115" t="inlineStr">
        <is>
          <t>34 GVZ 310</t>
        </is>
      </c>
      <c r="E3004" s="115" t="inlineStr">
        <is>
          <t>CELAL YÜZBAŞI</t>
        </is>
      </c>
      <c r="F3004" s="115" t="n">
        <v>269871</v>
      </c>
      <c r="G3004" s="156" t="n"/>
      <c r="H3004" s="152" t="n">
        <v>398</v>
      </c>
      <c r="I3004" s="156" t="n"/>
      <c r="J3004" s="90" t="n"/>
      <c r="K3004" s="166" t="n"/>
      <c r="L3004" s="158" t="n"/>
      <c r="M3004" s="159" t="n"/>
    </row>
    <row r="3005">
      <c r="A3005" s="114" t="n">
        <v>46208</v>
      </c>
      <c r="B3005" s="115" t="n">
        <v>3463</v>
      </c>
      <c r="C3005" s="115" t="inlineStr">
        <is>
          <t>SELİM İNŞAAT</t>
        </is>
      </c>
      <c r="D3005" s="115" t="inlineStr">
        <is>
          <t>34 GVZ 310</t>
        </is>
      </c>
      <c r="E3005" s="115" t="inlineStr">
        <is>
          <t>CELAL YÜZBAŞI</t>
        </is>
      </c>
      <c r="F3005" s="115" t="n">
        <v>270552</v>
      </c>
      <c r="G3005" s="156" t="n"/>
      <c r="H3005" s="152" t="n">
        <v>429</v>
      </c>
      <c r="I3005" s="156" t="n"/>
      <c r="J3005" s="90" t="n"/>
      <c r="K3005" s="166" t="n"/>
      <c r="L3005" s="158" t="n"/>
      <c r="M3005" s="159" t="n"/>
    </row>
    <row r="3006">
      <c r="A3006" s="114" t="n">
        <v>46210</v>
      </c>
      <c r="B3006" s="115" t="n">
        <v>3464</v>
      </c>
      <c r="C3006" s="115" t="inlineStr">
        <is>
          <t>SELİM İNŞAAT</t>
        </is>
      </c>
      <c r="D3006" s="115" t="inlineStr">
        <is>
          <t>34 GVZ 310</t>
        </is>
      </c>
      <c r="E3006" s="115" t="inlineStr">
        <is>
          <t>CELAL YÜZBAŞI</t>
        </is>
      </c>
      <c r="F3006" s="115" t="n">
        <v>271261</v>
      </c>
      <c r="G3006" s="156" t="n"/>
      <c r="H3006" s="152" t="n">
        <v>449</v>
      </c>
      <c r="I3006" s="156" t="n"/>
      <c r="J3006" s="90" t="n"/>
      <c r="K3006" s="166" t="n"/>
      <c r="L3006" s="158" t="n"/>
      <c r="M3006" s="159" t="n"/>
    </row>
    <row r="3007">
      <c r="A3007" s="114" t="n">
        <v>46212</v>
      </c>
      <c r="B3007" s="115" t="n">
        <v>3465</v>
      </c>
      <c r="C3007" s="115" t="inlineStr">
        <is>
          <t>SELİM İNŞAAT</t>
        </is>
      </c>
      <c r="D3007" s="115" t="inlineStr">
        <is>
          <t>34 GVZ 310</t>
        </is>
      </c>
      <c r="E3007" s="115" t="inlineStr">
        <is>
          <t>CELAL YÜZBAŞI</t>
        </is>
      </c>
      <c r="F3007" s="115" t="n">
        <v>271784</v>
      </c>
      <c r="G3007" s="156" t="n"/>
      <c r="H3007" s="152" t="n">
        <v>375</v>
      </c>
      <c r="I3007" s="156" t="n"/>
      <c r="J3007" s="90" t="n"/>
      <c r="K3007" s="166" t="n"/>
      <c r="L3007" s="158" t="n"/>
      <c r="M3007" s="159" t="n"/>
    </row>
    <row r="3008">
      <c r="A3008" s="114" t="n">
        <v>46214</v>
      </c>
      <c r="B3008" s="115" t="n">
        <v>3466</v>
      </c>
      <c r="C3008" s="115" t="inlineStr">
        <is>
          <t>SELİM İNŞAAT</t>
        </is>
      </c>
      <c r="D3008" s="115" t="inlineStr">
        <is>
          <t>34 GVZ 310</t>
        </is>
      </c>
      <c r="E3008" s="115" t="inlineStr">
        <is>
          <t>CELAL YÜZBAŞI</t>
        </is>
      </c>
      <c r="F3008" s="115" t="n">
        <v>272482</v>
      </c>
      <c r="G3008" s="156" t="n"/>
      <c r="H3008" s="152" t="n">
        <v>484</v>
      </c>
      <c r="I3008" s="156" t="n"/>
      <c r="J3008" s="90" t="n"/>
      <c r="K3008" s="166" t="n"/>
      <c r="L3008" s="158" t="n"/>
      <c r="M3008" s="159" t="n"/>
    </row>
    <row r="3009">
      <c r="A3009" s="114" t="n">
        <v>46217</v>
      </c>
      <c r="B3009" s="115" t="n">
        <v>3467</v>
      </c>
      <c r="C3009" s="115" t="inlineStr">
        <is>
          <t>SELİM İNŞAAT</t>
        </is>
      </c>
      <c r="D3009" s="115" t="inlineStr">
        <is>
          <t>34 GVZ 310</t>
        </is>
      </c>
      <c r="E3009" s="115" t="inlineStr">
        <is>
          <t>CELAL YÜZBAŞI</t>
        </is>
      </c>
      <c r="F3009" s="115" t="n">
        <v>273041</v>
      </c>
      <c r="G3009" s="156" t="n"/>
      <c r="H3009" s="152" t="n">
        <v>390</v>
      </c>
      <c r="I3009" s="156" t="n"/>
      <c r="J3009" s="90" t="n"/>
      <c r="K3009" s="166" t="n"/>
      <c r="L3009" s="158" t="n"/>
      <c r="M3009" s="159" t="n"/>
    </row>
    <row r="3010">
      <c r="A3010" s="114" t="n">
        <v>46205</v>
      </c>
      <c r="B3010" s="115" t="n">
        <v>543</v>
      </c>
      <c r="C3010" s="115" t="inlineStr">
        <is>
          <t>SELİM İNŞAAT</t>
        </is>
      </c>
      <c r="D3010" s="115" t="inlineStr">
        <is>
          <t>34 EGR 737</t>
        </is>
      </c>
      <c r="E3010" s="115" t="inlineStr">
        <is>
          <t>CEM MUHTAR</t>
        </is>
      </c>
      <c r="F3010" s="115" t="n">
        <v>477767</v>
      </c>
      <c r="G3010" s="156" t="n"/>
      <c r="H3010" s="152" t="n">
        <v>519</v>
      </c>
      <c r="I3010" s="156" t="n"/>
      <c r="J3010" s="90" t="n"/>
      <c r="K3010" s="166" t="n"/>
      <c r="L3010" s="158" t="n"/>
      <c r="M3010" s="159" t="n"/>
    </row>
    <row r="3011">
      <c r="A3011" s="114" t="n">
        <v>46206</v>
      </c>
      <c r="B3011" s="115" t="n">
        <v>544</v>
      </c>
      <c r="C3011" s="115" t="inlineStr">
        <is>
          <t>SELİM İNŞAAT</t>
        </is>
      </c>
      <c r="D3011" s="115" t="inlineStr">
        <is>
          <t>34 EGR 737</t>
        </is>
      </c>
      <c r="E3011" s="115" t="inlineStr">
        <is>
          <t>CEM MUHTAR</t>
        </is>
      </c>
      <c r="F3011" s="115" t="n">
        <v>478143</v>
      </c>
      <c r="G3011" s="156" t="n"/>
      <c r="H3011" s="152" t="n">
        <v>338</v>
      </c>
      <c r="I3011" s="156" t="n"/>
      <c r="J3011" s="90" t="n"/>
      <c r="K3011" s="166" t="n"/>
      <c r="L3011" s="158" t="n"/>
      <c r="M3011" s="159" t="n"/>
    </row>
    <row r="3012">
      <c r="A3012" s="114" t="n">
        <v>46207</v>
      </c>
      <c r="B3012" s="115" t="n">
        <v>545</v>
      </c>
      <c r="C3012" s="115" t="inlineStr">
        <is>
          <t>SELİM İNŞAAT</t>
        </is>
      </c>
      <c r="D3012" s="115" t="inlineStr">
        <is>
          <t>34 EGR 737</t>
        </is>
      </c>
      <c r="E3012" s="115" t="inlineStr">
        <is>
          <t>CEM MUHTAR</t>
        </is>
      </c>
      <c r="F3012" s="115" t="n">
        <v>478588</v>
      </c>
      <c r="G3012" s="156" t="n"/>
      <c r="H3012" s="152" t="n">
        <v>310</v>
      </c>
      <c r="I3012" s="156" t="n"/>
      <c r="J3012" s="90" t="n"/>
      <c r="K3012" s="166" t="n"/>
      <c r="L3012" s="158" t="n"/>
      <c r="M3012" s="159" t="n"/>
    </row>
    <row r="3013">
      <c r="A3013" s="114" t="n">
        <v>46209</v>
      </c>
      <c r="B3013" s="115" t="n">
        <v>546</v>
      </c>
      <c r="C3013" s="115" t="inlineStr">
        <is>
          <t>SELİM İNŞAAT</t>
        </is>
      </c>
      <c r="D3013" s="115" t="inlineStr">
        <is>
          <t>34 EGR 737</t>
        </is>
      </c>
      <c r="E3013" s="115" t="inlineStr">
        <is>
          <t>CEM MUHTAR</t>
        </is>
      </c>
      <c r="F3013" s="115" t="n">
        <v>479093</v>
      </c>
      <c r="G3013" s="156" t="n"/>
      <c r="H3013" s="152" t="n">
        <v>378</v>
      </c>
      <c r="I3013" s="156" t="n"/>
      <c r="J3013" s="90" t="n"/>
      <c r="K3013" s="166" t="n"/>
      <c r="L3013" s="158" t="n"/>
      <c r="M3013" s="159" t="n"/>
    </row>
    <row r="3014">
      <c r="A3014" s="114" t="n">
        <v>46212</v>
      </c>
      <c r="B3014" s="115" t="n">
        <v>547</v>
      </c>
      <c r="C3014" s="115" t="inlineStr">
        <is>
          <t>SELİM İNŞAAT</t>
        </is>
      </c>
      <c r="D3014" s="115" t="inlineStr">
        <is>
          <t>34 EGR 737</t>
        </is>
      </c>
      <c r="E3014" s="115" t="inlineStr">
        <is>
          <t>CEM MUHTAR</t>
        </is>
      </c>
      <c r="F3014" s="115" t="n">
        <v>479549</v>
      </c>
      <c r="G3014" s="156" t="n"/>
      <c r="H3014" s="152" t="n">
        <v>341</v>
      </c>
      <c r="I3014" s="156" t="n"/>
      <c r="J3014" s="90" t="n"/>
      <c r="K3014" s="166" t="n"/>
      <c r="L3014" s="158" t="n"/>
      <c r="M3014" s="159" t="n"/>
    </row>
    <row r="3015">
      <c r="A3015" s="114" t="n">
        <v>46213</v>
      </c>
      <c r="B3015" s="115" t="n">
        <v>548</v>
      </c>
      <c r="C3015" s="115" t="inlineStr">
        <is>
          <t>SELİM İNŞAAT</t>
        </is>
      </c>
      <c r="D3015" s="115" t="inlineStr">
        <is>
          <t>34 EGR 737</t>
        </is>
      </c>
      <c r="E3015" s="115" t="inlineStr">
        <is>
          <t>CEM MUHTAR</t>
        </is>
      </c>
      <c r="F3015" s="115" t="n">
        <v>480004</v>
      </c>
      <c r="G3015" s="156" t="n"/>
      <c r="H3015" s="152" t="n">
        <v>290</v>
      </c>
      <c r="I3015" s="156" t="n"/>
      <c r="J3015" s="90" t="n"/>
      <c r="K3015" s="166" t="n"/>
      <c r="L3015" s="158" t="n"/>
      <c r="M3015" s="159" t="n"/>
    </row>
    <row r="3016">
      <c r="A3016" s="114" t="n">
        <v>46214</v>
      </c>
      <c r="B3016" s="115" t="n">
        <v>549</v>
      </c>
      <c r="C3016" s="115" t="inlineStr">
        <is>
          <t>SELİM İNŞAAT</t>
        </is>
      </c>
      <c r="D3016" s="115" t="inlineStr">
        <is>
          <t>34 EGR 737</t>
        </is>
      </c>
      <c r="E3016" s="115" t="inlineStr">
        <is>
          <t>CEM MUHTAR</t>
        </is>
      </c>
      <c r="F3016" s="115" t="n">
        <v>480413</v>
      </c>
      <c r="G3016" s="156" t="n"/>
      <c r="H3016" s="152" t="n">
        <v>253</v>
      </c>
      <c r="I3016" s="156" t="n"/>
      <c r="J3016" s="90" t="n"/>
      <c r="K3016" s="166" t="n"/>
      <c r="L3016" s="158" t="n"/>
      <c r="M3016" s="159" t="n"/>
    </row>
    <row r="3017">
      <c r="A3017" s="114" t="n">
        <v>46217</v>
      </c>
      <c r="B3017" s="115" t="n">
        <v>550</v>
      </c>
      <c r="C3017" s="115" t="inlineStr">
        <is>
          <t>SELİM İNŞAAT</t>
        </is>
      </c>
      <c r="D3017" s="115" t="inlineStr">
        <is>
          <t>34 EGR 737</t>
        </is>
      </c>
      <c r="E3017" s="115" t="inlineStr">
        <is>
          <t>CEM MUHTAR</t>
        </is>
      </c>
      <c r="F3017" s="115" t="n">
        <v>480880</v>
      </c>
      <c r="G3017" s="156" t="n"/>
      <c r="H3017" s="152" t="n">
        <v>381</v>
      </c>
      <c r="I3017" s="156" t="n"/>
      <c r="J3017" s="90" t="n"/>
      <c r="K3017" s="166" t="n"/>
      <c r="L3017" s="158" t="n"/>
      <c r="M3017" s="159" t="n"/>
    </row>
    <row r="3018">
      <c r="A3018" s="114" t="n">
        <v>46219</v>
      </c>
      <c r="B3018" s="115" t="n">
        <v>551</v>
      </c>
      <c r="C3018" s="115" t="inlineStr">
        <is>
          <t>SELİM İNŞAAT</t>
        </is>
      </c>
      <c r="D3018" s="115" t="inlineStr">
        <is>
          <t>34 EGR 737</t>
        </is>
      </c>
      <c r="E3018" s="115" t="inlineStr">
        <is>
          <t>CEM MUHTAR</t>
        </is>
      </c>
      <c r="F3018" s="115" t="n">
        <v>481679</v>
      </c>
      <c r="G3018" s="156" t="n"/>
      <c r="H3018" s="152" t="n">
        <v>541</v>
      </c>
      <c r="I3018" s="156" t="n"/>
      <c r="J3018" s="90" t="n"/>
      <c r="K3018" s="166" t="n"/>
      <c r="L3018" s="158" t="n"/>
      <c r="M3018" s="159" t="n"/>
    </row>
    <row r="3019">
      <c r="A3019" s="114" t="n">
        <v>46204</v>
      </c>
      <c r="B3019" s="115" t="n">
        <v>977</v>
      </c>
      <c r="C3019" s="115" t="inlineStr">
        <is>
          <t>SELİM İNŞAAT</t>
        </is>
      </c>
      <c r="D3019" s="115" t="inlineStr">
        <is>
          <t>34 DSN 636</t>
        </is>
      </c>
      <c r="E3019" s="115" t="inlineStr">
        <is>
          <t>MEHMETALİ BOZBEŞPARMAK</t>
        </is>
      </c>
      <c r="F3019" s="115" t="n">
        <v>450222</v>
      </c>
      <c r="G3019" s="156" t="n"/>
      <c r="H3019" s="152" t="n">
        <v>200</v>
      </c>
      <c r="I3019" s="156" t="n"/>
      <c r="J3019" s="90" t="n"/>
      <c r="K3019" s="166" t="n"/>
      <c r="L3019" s="158" t="n"/>
      <c r="M3019" s="159" t="n"/>
    </row>
    <row r="3020">
      <c r="A3020" s="114" t="n">
        <v>46205</v>
      </c>
      <c r="B3020" s="115" t="n">
        <v>978</v>
      </c>
      <c r="C3020" s="115" t="inlineStr">
        <is>
          <t>SELİM İNŞAAT</t>
        </is>
      </c>
      <c r="D3020" s="115" t="inlineStr">
        <is>
          <t>34 DSN 636</t>
        </is>
      </c>
      <c r="E3020" s="115" t="inlineStr">
        <is>
          <t>MEHMETALİ BOZBEŞPARMAK</t>
        </is>
      </c>
      <c r="F3020" s="115" t="n">
        <v>450364</v>
      </c>
      <c r="G3020" s="156" t="n"/>
      <c r="H3020" s="152" t="n">
        <v>443</v>
      </c>
      <c r="I3020" s="156" t="n"/>
      <c r="J3020" s="90" t="n"/>
      <c r="K3020" s="166" t="n"/>
      <c r="L3020" s="158" t="n"/>
      <c r="M3020" s="159" t="n"/>
    </row>
    <row r="3021">
      <c r="A3021" s="114" t="n">
        <v>46206</v>
      </c>
      <c r="B3021" s="115" t="n">
        <v>979</v>
      </c>
      <c r="C3021" s="115" t="inlineStr">
        <is>
          <t>SELİM İNŞAAT</t>
        </is>
      </c>
      <c r="D3021" s="115" t="inlineStr">
        <is>
          <t>34 DSN 636</t>
        </is>
      </c>
      <c r="E3021" s="115" t="inlineStr">
        <is>
          <t>MEHMETALİ BOZBEŞPARMAK</t>
        </is>
      </c>
      <c r="F3021" s="115" t="n">
        <v>450852</v>
      </c>
      <c r="G3021" s="156" t="n"/>
      <c r="H3021" s="152" t="n">
        <v>234</v>
      </c>
      <c r="I3021" s="156" t="n"/>
      <c r="J3021" s="90" t="n"/>
      <c r="K3021" s="166" t="n"/>
      <c r="L3021" s="158" t="n"/>
      <c r="M3021" s="159" t="n"/>
    </row>
    <row r="3022">
      <c r="A3022" s="114" t="n">
        <v>46208</v>
      </c>
      <c r="B3022" s="115" t="n">
        <v>980</v>
      </c>
      <c r="C3022" s="115" t="inlineStr">
        <is>
          <t>SELİM İNŞAAT</t>
        </is>
      </c>
      <c r="D3022" s="115" t="inlineStr">
        <is>
          <t>34 DSN 636</t>
        </is>
      </c>
      <c r="E3022" s="115" t="inlineStr">
        <is>
          <t>MEHMETALİ BOZBEŞPARMAK</t>
        </is>
      </c>
      <c r="F3022" s="115" t="n">
        <v>451644</v>
      </c>
      <c r="G3022" s="156" t="n"/>
      <c r="H3022" s="152" t="n">
        <v>500</v>
      </c>
      <c r="I3022" s="156" t="n"/>
      <c r="J3022" s="90" t="n"/>
      <c r="K3022" s="166" t="n"/>
      <c r="L3022" s="158" t="n"/>
      <c r="M3022" s="159" t="n"/>
    </row>
    <row r="3023">
      <c r="A3023" s="114" t="n">
        <v>46210</v>
      </c>
      <c r="B3023" s="115" t="n">
        <v>981</v>
      </c>
      <c r="C3023" s="115" t="inlineStr">
        <is>
          <t>SELİM İNŞAAT</t>
        </is>
      </c>
      <c r="D3023" s="115" t="inlineStr">
        <is>
          <t>34 DSN 636</t>
        </is>
      </c>
      <c r="E3023" s="115" t="inlineStr">
        <is>
          <t>MEHMETALİ BOZBEŞPARMAK</t>
        </is>
      </c>
      <c r="F3023" s="115" t="n">
        <v>452511</v>
      </c>
      <c r="G3023" s="156" t="n"/>
      <c r="H3023" s="152" t="n">
        <v>554</v>
      </c>
      <c r="I3023" s="156" t="n"/>
      <c r="J3023" s="90" t="n"/>
      <c r="K3023" s="166" t="n"/>
      <c r="L3023" s="158" t="n"/>
      <c r="M3023" s="159" t="n"/>
    </row>
    <row r="3024">
      <c r="A3024" s="114" t="n">
        <v>46213</v>
      </c>
      <c r="B3024" s="115" t="n">
        <v>982</v>
      </c>
      <c r="C3024" s="115" t="inlineStr">
        <is>
          <t>SELİM İNŞAAT</t>
        </is>
      </c>
      <c r="D3024" s="115" t="inlineStr">
        <is>
          <t>34 DSN 636</t>
        </is>
      </c>
      <c r="E3024" s="115" t="inlineStr">
        <is>
          <t>MEHMETALİ BOZBEŞPARMAK</t>
        </is>
      </c>
      <c r="F3024" s="115" t="n">
        <v>453364</v>
      </c>
      <c r="G3024" s="156" t="n"/>
      <c r="H3024" s="152" t="n">
        <v>552</v>
      </c>
      <c r="I3024" s="156" t="n"/>
      <c r="J3024" s="90" t="n"/>
      <c r="K3024" s="166" t="n"/>
      <c r="L3024" s="158" t="n"/>
      <c r="M3024" s="159" t="n"/>
    </row>
    <row r="3025">
      <c r="A3025" s="114" t="n">
        <v>46216</v>
      </c>
      <c r="B3025" s="115" t="n">
        <v>983</v>
      </c>
      <c r="C3025" s="115" t="inlineStr">
        <is>
          <t>SELİM İNŞAAT</t>
        </is>
      </c>
      <c r="D3025" s="115" t="inlineStr">
        <is>
          <t>34 DSN 636</t>
        </is>
      </c>
      <c r="E3025" s="115" t="inlineStr">
        <is>
          <t>MEHMETALİ BOZBEŞPARMAK</t>
        </is>
      </c>
      <c r="F3025" s="115" t="n">
        <v>454379</v>
      </c>
      <c r="G3025" s="156" t="n"/>
      <c r="H3025" s="152" t="n">
        <v>589</v>
      </c>
      <c r="I3025" s="156" t="n"/>
      <c r="J3025" s="90" t="n"/>
      <c r="K3025" s="166" t="n"/>
      <c r="L3025" s="158" t="n"/>
      <c r="M3025" s="159" t="n"/>
    </row>
    <row r="3026">
      <c r="A3026" s="114" t="n">
        <v>46210</v>
      </c>
      <c r="B3026" s="115" t="n">
        <v>878</v>
      </c>
      <c r="C3026" s="115" t="inlineStr">
        <is>
          <t>SELİM İNŞAAT</t>
        </is>
      </c>
      <c r="D3026" s="115" t="inlineStr">
        <is>
          <t>34 EGR 922</t>
        </is>
      </c>
      <c r="E3026" s="115" t="inlineStr">
        <is>
          <t>FARUK ÖZEN</t>
        </is>
      </c>
      <c r="F3026" s="115" t="n">
        <v>524855</v>
      </c>
      <c r="G3026" s="156" t="n"/>
      <c r="H3026" s="152" t="n">
        <v>521</v>
      </c>
      <c r="I3026" s="156" t="n"/>
      <c r="J3026" s="90" t="n"/>
      <c r="K3026" s="166" t="n"/>
      <c r="L3026" s="158" t="n"/>
      <c r="M3026" s="159" t="n"/>
    </row>
    <row r="3027">
      <c r="A3027" s="114" t="n">
        <v>46212</v>
      </c>
      <c r="B3027" s="115" t="n">
        <v>879</v>
      </c>
      <c r="C3027" s="115" t="inlineStr">
        <is>
          <t>SELİM İNŞAAT</t>
        </is>
      </c>
      <c r="D3027" s="115" t="inlineStr">
        <is>
          <t>34 EGR 922</t>
        </is>
      </c>
      <c r="E3027" s="115" t="inlineStr">
        <is>
          <t>FARUK ÖZEN</t>
        </is>
      </c>
      <c r="F3027" s="115" t="n">
        <v>525523</v>
      </c>
      <c r="G3027" s="156" t="n"/>
      <c r="H3027" s="152" t="n">
        <v>457</v>
      </c>
      <c r="I3027" s="156" t="n"/>
      <c r="J3027" s="90" t="n"/>
      <c r="K3027" s="166" t="n"/>
      <c r="L3027" s="158" t="n"/>
      <c r="M3027" s="159" t="n"/>
    </row>
    <row r="3028">
      <c r="A3028" s="114" t="n">
        <v>46216</v>
      </c>
      <c r="B3028" s="115" t="n">
        <v>880</v>
      </c>
      <c r="C3028" s="115" t="inlineStr">
        <is>
          <t>SELİM İNŞAAT</t>
        </is>
      </c>
      <c r="D3028" s="115" t="inlineStr">
        <is>
          <t>34 EGR 922</t>
        </is>
      </c>
      <c r="E3028" s="115" t="inlineStr">
        <is>
          <t>FARUK ÖZEN</t>
        </is>
      </c>
      <c r="F3028" s="115" t="n">
        <v>526514</v>
      </c>
      <c r="G3028" s="156" t="n"/>
      <c r="H3028" s="152" t="n">
        <v>587</v>
      </c>
      <c r="I3028" s="156" t="n"/>
      <c r="J3028" s="90" t="n"/>
      <c r="K3028" s="166" t="n"/>
      <c r="L3028" s="158" t="n"/>
      <c r="M3028" s="159" t="n"/>
    </row>
    <row r="3029">
      <c r="A3029" s="114" t="n">
        <v>46205</v>
      </c>
      <c r="B3029" s="115" t="n">
        <v>125</v>
      </c>
      <c r="C3029" s="115" t="inlineStr">
        <is>
          <t>SELİM İNŞAAT</t>
        </is>
      </c>
      <c r="D3029" s="115" t="inlineStr">
        <is>
          <t>34 GUS 848</t>
        </is>
      </c>
      <c r="E3029" s="115" t="inlineStr">
        <is>
          <t>SERDAR BOZKURT</t>
        </is>
      </c>
      <c r="F3029" s="115" t="n">
        <v>255726</v>
      </c>
      <c r="G3029" s="156" t="n"/>
      <c r="H3029" s="152" t="n">
        <v>550</v>
      </c>
      <c r="I3029" s="156" t="n"/>
      <c r="J3029" s="90" t="n"/>
      <c r="K3029" s="166" t="n"/>
      <c r="L3029" s="158" t="n"/>
      <c r="M3029" s="159" t="n"/>
    </row>
    <row r="3030">
      <c r="A3030" s="114" t="n">
        <v>46207</v>
      </c>
      <c r="B3030" s="115" t="n">
        <v>126</v>
      </c>
      <c r="C3030" s="115" t="inlineStr">
        <is>
          <t>SELİM İNŞAAT</t>
        </is>
      </c>
      <c r="D3030" s="115" t="inlineStr">
        <is>
          <t>34 GUS 848</t>
        </is>
      </c>
      <c r="E3030" s="115" t="inlineStr">
        <is>
          <t>SERDAR BOZKURT</t>
        </is>
      </c>
      <c r="F3030" s="115" t="n">
        <v>256617</v>
      </c>
      <c r="G3030" s="156" t="n"/>
      <c r="H3030" s="152" t="n">
        <v>542</v>
      </c>
      <c r="I3030" s="156" t="n"/>
      <c r="J3030" s="90" t="n"/>
      <c r="K3030" s="166" t="n"/>
      <c r="L3030" s="158" t="n"/>
      <c r="M3030" s="159" t="n"/>
    </row>
    <row r="3031">
      <c r="A3031" s="114" t="n">
        <v>46208</v>
      </c>
      <c r="B3031" s="115" t="n">
        <v>127</v>
      </c>
      <c r="C3031" s="115" t="inlineStr">
        <is>
          <t>SELİM İNŞAAT</t>
        </is>
      </c>
      <c r="D3031" s="115" t="inlineStr">
        <is>
          <t>34 GUS 848</t>
        </is>
      </c>
      <c r="E3031" s="115" t="inlineStr">
        <is>
          <t>SERDAR BOZKURT</t>
        </is>
      </c>
      <c r="F3031" s="115" t="n">
        <v>257304</v>
      </c>
      <c r="G3031" s="156" t="n"/>
      <c r="H3031" s="152" t="n">
        <v>424</v>
      </c>
      <c r="I3031" s="156" t="n"/>
      <c r="J3031" s="90" t="n"/>
      <c r="K3031" s="166" t="n"/>
      <c r="L3031" s="158" t="n"/>
      <c r="M3031" s="159" t="n"/>
    </row>
    <row r="3032">
      <c r="A3032" s="114" t="n">
        <v>46210</v>
      </c>
      <c r="B3032" s="115" t="n">
        <v>128</v>
      </c>
      <c r="C3032" s="115" t="inlineStr">
        <is>
          <t>SELİM İNŞAAT</t>
        </is>
      </c>
      <c r="D3032" s="115" t="inlineStr">
        <is>
          <t>34 GUS 848</t>
        </is>
      </c>
      <c r="E3032" s="115" t="inlineStr">
        <is>
          <t>SERDAR BOZKURT</t>
        </is>
      </c>
      <c r="F3032" s="115" t="n">
        <v>258173</v>
      </c>
      <c r="G3032" s="156" t="n"/>
      <c r="H3032" s="152" t="n">
        <v>531</v>
      </c>
      <c r="I3032" s="156" t="n"/>
      <c r="J3032" s="90" t="n"/>
      <c r="K3032" s="166" t="n"/>
      <c r="L3032" s="158" t="n"/>
      <c r="M3032" s="159" t="n"/>
    </row>
    <row r="3033">
      <c r="A3033" s="114" t="n">
        <v>46213</v>
      </c>
      <c r="B3033" s="115" t="n">
        <v>129</v>
      </c>
      <c r="C3033" s="115" t="inlineStr">
        <is>
          <t>SELİM İNŞAAT</t>
        </is>
      </c>
      <c r="D3033" s="115" t="inlineStr">
        <is>
          <t>34 GUS 848</t>
        </is>
      </c>
      <c r="E3033" s="115" t="inlineStr">
        <is>
          <t>SERDAR BOZKURT</t>
        </is>
      </c>
      <c r="F3033" s="115" t="n">
        <v>259124</v>
      </c>
      <c r="G3033" s="156" t="n"/>
      <c r="H3033" s="152" t="n">
        <v>580</v>
      </c>
      <c r="I3033" s="156" t="n"/>
      <c r="J3033" s="90" t="n"/>
      <c r="K3033" s="166" t="n"/>
      <c r="L3033" s="158" t="n"/>
      <c r="M3033" s="159" t="n"/>
    </row>
    <row r="3034">
      <c r="A3034" s="114" t="n">
        <v>46217</v>
      </c>
      <c r="B3034" s="115" t="n">
        <v>130</v>
      </c>
      <c r="C3034" s="115" t="inlineStr">
        <is>
          <t>SELİM İNŞAAT</t>
        </is>
      </c>
      <c r="D3034" s="115" t="inlineStr">
        <is>
          <t>34 GUS 848</t>
        </is>
      </c>
      <c r="E3034" s="115" t="inlineStr">
        <is>
          <t>SERDAR BOZKURT</t>
        </is>
      </c>
      <c r="F3034" s="115" t="n">
        <v>259915</v>
      </c>
      <c r="G3034" s="156" t="n"/>
      <c r="H3034" s="152" t="n">
        <v>520</v>
      </c>
      <c r="I3034" s="156" t="n"/>
      <c r="J3034" s="90" t="n"/>
      <c r="K3034" s="166" t="n"/>
      <c r="L3034" s="158" t="n"/>
      <c r="M3034" s="159" t="n"/>
    </row>
    <row r="3035">
      <c r="A3035" s="114" t="n">
        <v>46204</v>
      </c>
      <c r="B3035" s="115" t="n">
        <v>1474</v>
      </c>
      <c r="C3035" s="115" t="inlineStr">
        <is>
          <t>SELİM İNŞAAT</t>
        </is>
      </c>
      <c r="D3035" s="115" t="inlineStr">
        <is>
          <t>34 EDB 754</t>
        </is>
      </c>
      <c r="E3035" s="115" t="inlineStr">
        <is>
          <t>MÜCAHİT BOZBEŞ</t>
        </is>
      </c>
      <c r="F3035" s="115" t="n">
        <v>392228</v>
      </c>
      <c r="G3035" s="156" t="n"/>
      <c r="H3035" s="152" t="n">
        <v>448</v>
      </c>
      <c r="I3035" s="156" t="n"/>
      <c r="J3035" s="90" t="n"/>
      <c r="K3035" s="166" t="n"/>
      <c r="L3035" s="158" t="n"/>
      <c r="M3035" s="159" t="n"/>
    </row>
    <row r="3036">
      <c r="A3036" s="114" t="n">
        <v>46207</v>
      </c>
      <c r="B3036" s="115" t="n">
        <v>1475</v>
      </c>
      <c r="C3036" s="115" t="inlineStr">
        <is>
          <t>SELİM İNŞAAT</t>
        </is>
      </c>
      <c r="D3036" s="115" t="inlineStr">
        <is>
          <t>34 EDB 754</t>
        </is>
      </c>
      <c r="E3036" s="115" t="inlineStr">
        <is>
          <t>MÜCAHİT BOZBEŞ</t>
        </is>
      </c>
      <c r="F3036" s="115" t="n">
        <v>392832</v>
      </c>
      <c r="G3036" s="156" t="n"/>
      <c r="H3036" s="152" t="n">
        <v>520</v>
      </c>
      <c r="I3036" s="156" t="n"/>
      <c r="J3036" s="90" t="n"/>
      <c r="K3036" s="166" t="n"/>
      <c r="L3036" s="158" t="n"/>
      <c r="M3036" s="159" t="n"/>
    </row>
    <row r="3037">
      <c r="A3037" s="114" t="n">
        <v>46208</v>
      </c>
      <c r="B3037" s="115" t="n">
        <v>1476</v>
      </c>
      <c r="C3037" s="115" t="inlineStr">
        <is>
          <t>SELİM İNŞAAT</t>
        </is>
      </c>
      <c r="D3037" s="115" t="inlineStr">
        <is>
          <t>34 EDB 754</t>
        </is>
      </c>
      <c r="E3037" s="115" t="inlineStr">
        <is>
          <t>MÜCAHİT BOZBEŞ</t>
        </is>
      </c>
      <c r="F3037" s="115" t="n">
        <v>393442</v>
      </c>
      <c r="G3037" s="156" t="n"/>
      <c r="H3037" s="152" t="n">
        <v>414</v>
      </c>
      <c r="I3037" s="156" t="n"/>
      <c r="J3037" s="90" t="n"/>
      <c r="K3037" s="166" t="n"/>
      <c r="L3037" s="158" t="n"/>
      <c r="M3037" s="159" t="n"/>
    </row>
    <row r="3038">
      <c r="A3038" s="114" t="n">
        <v>46209</v>
      </c>
      <c r="B3038" s="115" t="n">
        <v>1477</v>
      </c>
      <c r="C3038" s="115" t="inlineStr">
        <is>
          <t>SELİM İNŞAAT</t>
        </is>
      </c>
      <c r="D3038" s="115" t="inlineStr">
        <is>
          <t>34 EDB 754</t>
        </is>
      </c>
      <c r="E3038" s="115" t="inlineStr">
        <is>
          <t>MÜCAHİT BOZBEŞ</t>
        </is>
      </c>
      <c r="F3038" s="115" t="n">
        <v>394017</v>
      </c>
      <c r="G3038" s="156" t="n"/>
      <c r="H3038" s="152" t="n">
        <v>382</v>
      </c>
      <c r="I3038" s="156" t="n"/>
      <c r="J3038" s="90" t="n"/>
      <c r="K3038" s="166" t="n"/>
      <c r="L3038" s="158" t="n"/>
      <c r="M3038" s="159" t="n"/>
    </row>
    <row r="3039">
      <c r="A3039" s="114" t="n">
        <v>46210</v>
      </c>
      <c r="B3039" s="115" t="n">
        <v>1478</v>
      </c>
      <c r="C3039" s="115" t="inlineStr">
        <is>
          <t>SELİM İNŞAAT</t>
        </is>
      </c>
      <c r="D3039" s="115" t="inlineStr">
        <is>
          <t>34 EDB 754</t>
        </is>
      </c>
      <c r="E3039" s="115" t="inlineStr">
        <is>
          <t>MÜCAHİT BOZBEŞ</t>
        </is>
      </c>
      <c r="F3039" s="115" t="n">
        <v>394357</v>
      </c>
      <c r="G3039" s="156" t="n"/>
      <c r="H3039" s="152" t="n">
        <v>285</v>
      </c>
      <c r="I3039" s="156" t="n"/>
      <c r="J3039" s="90" t="n"/>
      <c r="K3039" s="166" t="n"/>
      <c r="L3039" s="158" t="n"/>
      <c r="M3039" s="159" t="n"/>
    </row>
    <row r="3040">
      <c r="A3040" s="114" t="n">
        <v>46212</v>
      </c>
      <c r="B3040" s="115" t="n">
        <v>1479</v>
      </c>
      <c r="C3040" s="115" t="inlineStr">
        <is>
          <t>SELİM İNŞAAT</t>
        </is>
      </c>
      <c r="D3040" s="115" t="inlineStr">
        <is>
          <t>34 EDB 754</t>
        </is>
      </c>
      <c r="E3040" s="115" t="inlineStr">
        <is>
          <t>MÜCAHİT BOZBEŞ</t>
        </is>
      </c>
      <c r="F3040" s="115" t="n">
        <v>394885</v>
      </c>
      <c r="G3040" s="156" t="n"/>
      <c r="H3040" s="152" t="n">
        <v>444</v>
      </c>
      <c r="I3040" s="156" t="n"/>
      <c r="J3040" s="90" t="n"/>
      <c r="K3040" s="166" t="n"/>
      <c r="L3040" s="158" t="n"/>
      <c r="M3040" s="159" t="n"/>
    </row>
    <row r="3041">
      <c r="A3041" s="114" t="n">
        <v>46214</v>
      </c>
      <c r="B3041" s="115" t="n">
        <v>1480</v>
      </c>
      <c r="C3041" s="115" t="inlineStr">
        <is>
          <t>SELİM İNŞAAT</t>
        </is>
      </c>
      <c r="D3041" s="115" t="inlineStr">
        <is>
          <t>34 EDB 754</t>
        </is>
      </c>
      <c r="E3041" s="115" t="inlineStr">
        <is>
          <t>MÜCAHİT BOZBEŞ</t>
        </is>
      </c>
      <c r="F3041" s="115" t="n">
        <v>395454</v>
      </c>
      <c r="G3041" s="156" t="n"/>
      <c r="H3041" s="152" t="n">
        <v>414</v>
      </c>
      <c r="I3041" s="156" t="n"/>
      <c r="J3041" s="90" t="n"/>
      <c r="K3041" s="166" t="n"/>
      <c r="L3041" s="158" t="n"/>
      <c r="M3041" s="159" t="n"/>
    </row>
    <row r="3042">
      <c r="A3042" s="114" t="n">
        <v>46217</v>
      </c>
      <c r="B3042" s="115" t="n">
        <v>1481</v>
      </c>
      <c r="C3042" s="115" t="inlineStr">
        <is>
          <t>SELİM İNŞAAT</t>
        </is>
      </c>
      <c r="D3042" s="115" t="inlineStr">
        <is>
          <t>34 EDB 754</t>
        </is>
      </c>
      <c r="E3042" s="115" t="inlineStr">
        <is>
          <t>MÜCAHİT BOZBEŞ</t>
        </is>
      </c>
      <c r="F3042" s="115" t="n">
        <v>396121</v>
      </c>
      <c r="G3042" s="156" t="n"/>
      <c r="H3042" s="152" t="n">
        <v>486</v>
      </c>
      <c r="I3042" s="156" t="n"/>
      <c r="J3042" s="90" t="n"/>
      <c r="K3042" s="166" t="n"/>
      <c r="L3042" s="158" t="n"/>
      <c r="M3042" s="159" t="n"/>
    </row>
    <row r="3043">
      <c r="A3043" s="114" t="n">
        <v>46218</v>
      </c>
      <c r="B3043" s="115" t="n">
        <v>1482</v>
      </c>
      <c r="C3043" s="115" t="inlineStr">
        <is>
          <t>SELİM İNŞAAT</t>
        </is>
      </c>
      <c r="D3043" s="115" t="inlineStr">
        <is>
          <t>34 EDB 754</t>
        </is>
      </c>
      <c r="E3043" s="115" t="inlineStr">
        <is>
          <t>MÜCAHİT BOZBEŞ</t>
        </is>
      </c>
      <c r="F3043" s="115" t="n">
        <v>396526</v>
      </c>
      <c r="G3043" s="156" t="n"/>
      <c r="H3043" s="152" t="n">
        <v>226</v>
      </c>
      <c r="I3043" s="156" t="n"/>
      <c r="J3043" s="90" t="n"/>
      <c r="K3043" s="166" t="n"/>
      <c r="L3043" s="158" t="n"/>
      <c r="M3043" s="159" t="n"/>
    </row>
    <row r="3044">
      <c r="A3044" s="114" t="n">
        <v>46205</v>
      </c>
      <c r="B3044" s="115" t="n">
        <v>1322</v>
      </c>
      <c r="C3044" s="115" t="inlineStr">
        <is>
          <t>SELİM İNŞAAT</t>
        </is>
      </c>
      <c r="D3044" s="115" t="inlineStr">
        <is>
          <t>34 GVZ 199</t>
        </is>
      </c>
      <c r="E3044" s="115" t="inlineStr">
        <is>
          <t>HÜSEYİN DENİZ</t>
        </is>
      </c>
      <c r="F3044" s="115" t="n">
        <v>249406</v>
      </c>
      <c r="G3044" s="156" t="n"/>
      <c r="H3044" s="152" t="n">
        <v>447</v>
      </c>
      <c r="I3044" s="156" t="n"/>
      <c r="J3044" s="90" t="n"/>
      <c r="K3044" s="166" t="n"/>
      <c r="L3044" s="158" t="n"/>
      <c r="M3044" s="159" t="n"/>
    </row>
    <row r="3045">
      <c r="A3045" s="114" t="n">
        <v>46208</v>
      </c>
      <c r="B3045" s="115" t="n">
        <v>1323</v>
      </c>
      <c r="C3045" s="115" t="inlineStr">
        <is>
          <t>SELİM İNŞAAT</t>
        </is>
      </c>
      <c r="D3045" s="115" t="inlineStr">
        <is>
          <t>34 GVZ 199</t>
        </is>
      </c>
      <c r="E3045" s="115" t="inlineStr">
        <is>
          <t>HÜSEYİN DENİZ</t>
        </is>
      </c>
      <c r="F3045" s="115" t="n">
        <v>250318</v>
      </c>
      <c r="G3045" s="156" t="n"/>
      <c r="H3045" s="152" t="n">
        <v>547</v>
      </c>
      <c r="I3045" s="156" t="n"/>
      <c r="J3045" s="90" t="n"/>
      <c r="K3045" s="166" t="n"/>
      <c r="L3045" s="158" t="n"/>
      <c r="M3045" s="159" t="n"/>
    </row>
    <row r="3046">
      <c r="A3046" s="114" t="n">
        <v>46210</v>
      </c>
      <c r="B3046" s="115" t="n">
        <v>1324</v>
      </c>
      <c r="C3046" s="115" t="inlineStr">
        <is>
          <t>SELİM İNŞAAT</t>
        </is>
      </c>
      <c r="D3046" s="115" t="inlineStr">
        <is>
          <t>34 GVZ 199</t>
        </is>
      </c>
      <c r="E3046" s="115" t="inlineStr">
        <is>
          <t>HÜSEYİN DENİZ</t>
        </is>
      </c>
      <c r="F3046" s="115" t="n">
        <v>251296</v>
      </c>
      <c r="G3046" s="156" t="n"/>
      <c r="H3046" s="152" t="n">
        <v>585</v>
      </c>
      <c r="I3046" s="156" t="n"/>
      <c r="J3046" s="90" t="n"/>
      <c r="K3046" s="166" t="n"/>
      <c r="L3046" s="158" t="n"/>
      <c r="M3046" s="159" t="n"/>
    </row>
    <row r="3047">
      <c r="A3047" s="114" t="n">
        <v>46211</v>
      </c>
      <c r="B3047" s="115" t="n">
        <v>1325</v>
      </c>
      <c r="C3047" s="115" t="inlineStr">
        <is>
          <t>SELİM İNŞAAT</t>
        </is>
      </c>
      <c r="D3047" s="115" t="inlineStr">
        <is>
          <t>34 GVZ 199</t>
        </is>
      </c>
      <c r="E3047" s="115" t="inlineStr">
        <is>
          <t>HÜSEYİN DENİZ</t>
        </is>
      </c>
      <c r="F3047" s="115" t="n">
        <v>252163</v>
      </c>
      <c r="G3047" s="156" t="n"/>
      <c r="H3047" s="152" t="n">
        <v>521</v>
      </c>
      <c r="I3047" s="156" t="n"/>
      <c r="J3047" s="90" t="n"/>
      <c r="K3047" s="166" t="n"/>
      <c r="L3047" s="158" t="n"/>
      <c r="M3047" s="159" t="n"/>
    </row>
    <row r="3048">
      <c r="A3048" s="114" t="n">
        <v>46214</v>
      </c>
      <c r="B3048" s="115" t="n">
        <v>1326</v>
      </c>
      <c r="C3048" s="115" t="inlineStr">
        <is>
          <t>SELİM İNŞAAT</t>
        </is>
      </c>
      <c r="D3048" s="115" t="inlineStr">
        <is>
          <t>34 GVZ 199</t>
        </is>
      </c>
      <c r="E3048" s="115" t="inlineStr">
        <is>
          <t>HÜSEYİN DENİZ</t>
        </is>
      </c>
      <c r="F3048" s="115" t="n">
        <v>253131</v>
      </c>
      <c r="G3048" s="156" t="n"/>
      <c r="H3048" s="152" t="n">
        <v>565</v>
      </c>
      <c r="I3048" s="156" t="n"/>
      <c r="J3048" s="90" t="n"/>
      <c r="K3048" s="166" t="n"/>
      <c r="L3048" s="158" t="n"/>
      <c r="M3048" s="159" t="n"/>
    </row>
    <row r="3049">
      <c r="A3049" s="114" t="n">
        <v>46216</v>
      </c>
      <c r="B3049" s="115" t="n">
        <v>1327</v>
      </c>
      <c r="C3049" s="115" t="inlineStr">
        <is>
          <t>SELİM İNŞAAT</t>
        </is>
      </c>
      <c r="D3049" s="115" t="inlineStr">
        <is>
          <t>34 GVZ 199</t>
        </is>
      </c>
      <c r="E3049" s="115" t="inlineStr">
        <is>
          <t>HÜSEYİN DENİZ</t>
        </is>
      </c>
      <c r="F3049" s="115" t="n">
        <v>253486</v>
      </c>
      <c r="G3049" s="156" t="n"/>
      <c r="H3049" s="152" t="n">
        <v>270</v>
      </c>
      <c r="I3049" s="156" t="n"/>
      <c r="J3049" s="90" t="n"/>
      <c r="K3049" s="166" t="n"/>
      <c r="L3049" s="158" t="n"/>
      <c r="M3049" s="159" t="n"/>
    </row>
    <row r="3050">
      <c r="A3050" s="114" t="n">
        <v>46218</v>
      </c>
      <c r="B3050" s="115" t="n">
        <v>1328</v>
      </c>
      <c r="C3050" s="115" t="inlineStr">
        <is>
          <t>SELİM İNŞAAT</t>
        </is>
      </c>
      <c r="D3050" s="115" t="inlineStr">
        <is>
          <t>34 GVZ 199</t>
        </is>
      </c>
      <c r="E3050" s="115" t="inlineStr">
        <is>
          <t>HÜSEYİN DENİZ</t>
        </is>
      </c>
      <c r="F3050" s="115" t="n">
        <v>254468</v>
      </c>
      <c r="G3050" s="156" t="n"/>
      <c r="H3050" s="152" t="n">
        <v>558</v>
      </c>
      <c r="I3050" s="156" t="n"/>
      <c r="J3050" s="90" t="n"/>
      <c r="K3050" s="166" t="n"/>
      <c r="L3050" s="158" t="n"/>
      <c r="M3050" s="159" t="n"/>
    </row>
    <row r="3051">
      <c r="A3051" s="114" t="n">
        <v>46205</v>
      </c>
      <c r="B3051" s="115" t="n">
        <v>50</v>
      </c>
      <c r="C3051" s="115" t="inlineStr">
        <is>
          <t>SELİM İNŞAAT</t>
        </is>
      </c>
      <c r="D3051" s="115" t="inlineStr">
        <is>
          <t>34 DTV 268</t>
        </is>
      </c>
      <c r="E3051" s="115" t="inlineStr">
        <is>
          <t>KERİM KARAMAN</t>
        </is>
      </c>
      <c r="F3051" s="115" t="n">
        <v>277611</v>
      </c>
      <c r="G3051" s="156" t="n"/>
      <c r="H3051" s="152" t="n">
        <v>441</v>
      </c>
      <c r="I3051" s="156" t="n"/>
      <c r="J3051" s="90" t="n"/>
      <c r="K3051" s="166" t="n"/>
      <c r="L3051" s="158" t="n"/>
      <c r="M3051" s="159" t="n"/>
    </row>
    <row r="3052">
      <c r="A3052" s="114" t="n">
        <v>46206</v>
      </c>
      <c r="B3052" s="115" t="n">
        <v>51</v>
      </c>
      <c r="C3052" s="115" t="inlineStr">
        <is>
          <t>SELİM İNŞAAT</t>
        </is>
      </c>
      <c r="D3052" s="115" t="inlineStr">
        <is>
          <t>34 DTV 268</t>
        </is>
      </c>
      <c r="E3052" s="115" t="inlineStr">
        <is>
          <t>KERİM KARAMAN</t>
        </is>
      </c>
      <c r="F3052" s="115" t="n">
        <v>278040</v>
      </c>
      <c r="G3052" s="156" t="n"/>
      <c r="H3052" s="152" t="n">
        <v>304</v>
      </c>
      <c r="I3052" s="156" t="n"/>
      <c r="J3052" s="90" t="n"/>
      <c r="K3052" s="166" t="n"/>
      <c r="L3052" s="158" t="n"/>
      <c r="M3052" s="159" t="n"/>
    </row>
    <row r="3053">
      <c r="A3053" s="114" t="n">
        <v>46209</v>
      </c>
      <c r="B3053" s="115" t="n">
        <v>52</v>
      </c>
      <c r="C3053" s="115" t="inlineStr">
        <is>
          <t>SELİM İNŞAAT</t>
        </is>
      </c>
      <c r="D3053" s="115" t="inlineStr">
        <is>
          <t>34 DTV 268</t>
        </is>
      </c>
      <c r="E3053" s="115" t="inlineStr">
        <is>
          <t>KERİM KARAMAN</t>
        </is>
      </c>
      <c r="F3053" s="115" t="n">
        <v>279008</v>
      </c>
      <c r="G3053" s="156" t="n"/>
      <c r="H3053" s="152" t="n">
        <v>565</v>
      </c>
      <c r="I3053" s="156" t="n"/>
      <c r="J3053" s="90" t="n"/>
      <c r="K3053" s="166" t="n"/>
      <c r="L3053" s="158" t="n"/>
      <c r="M3053" s="159" t="n"/>
    </row>
    <row r="3054">
      <c r="A3054" s="114" t="n">
        <v>46210</v>
      </c>
      <c r="B3054" s="115" t="n">
        <v>53</v>
      </c>
      <c r="C3054" s="115" t="inlineStr">
        <is>
          <t>SELİM İNŞAAT</t>
        </is>
      </c>
      <c r="D3054" s="115" t="inlineStr">
        <is>
          <t>34 DTV 268</t>
        </is>
      </c>
      <c r="E3054" s="115" t="inlineStr">
        <is>
          <t>KERİM KARAMAN</t>
        </is>
      </c>
      <c r="F3054" s="115" t="n">
        <v>279744</v>
      </c>
      <c r="G3054" s="156" t="n"/>
      <c r="H3054" s="152" t="n">
        <v>456</v>
      </c>
      <c r="I3054" s="156" t="n"/>
      <c r="J3054" s="90" t="n"/>
      <c r="K3054" s="166" t="n"/>
      <c r="L3054" s="158" t="n"/>
      <c r="M3054" s="159" t="n"/>
    </row>
    <row r="3055">
      <c r="A3055" s="114" t="n">
        <v>46213</v>
      </c>
      <c r="B3055" s="115" t="n">
        <v>54</v>
      </c>
      <c r="C3055" s="115" t="inlineStr">
        <is>
          <t>SELİM İNŞAAT</t>
        </is>
      </c>
      <c r="D3055" s="115" t="inlineStr">
        <is>
          <t>34 DTV 268</t>
        </is>
      </c>
      <c r="E3055" s="115" t="inlineStr">
        <is>
          <t>KERİM KARAMAN</t>
        </is>
      </c>
      <c r="F3055" s="115" t="n">
        <v>280423</v>
      </c>
      <c r="G3055" s="156" t="n"/>
      <c r="H3055" s="152" t="n">
        <v>455</v>
      </c>
      <c r="I3055" s="156" t="n"/>
      <c r="J3055" s="90" t="n"/>
      <c r="K3055" s="166" t="n"/>
      <c r="L3055" s="158" t="n"/>
      <c r="M3055" s="159" t="n"/>
    </row>
    <row r="3056">
      <c r="A3056" s="114" t="n">
        <v>46216</v>
      </c>
      <c r="B3056" s="115" t="n">
        <v>55</v>
      </c>
      <c r="C3056" s="115" t="inlineStr">
        <is>
          <t>SELİM İNŞAAT</t>
        </is>
      </c>
      <c r="D3056" s="115" t="inlineStr">
        <is>
          <t>34 DTV 268</t>
        </is>
      </c>
      <c r="E3056" s="115" t="inlineStr">
        <is>
          <t>KERİM KARAMAN</t>
        </is>
      </c>
      <c r="F3056" s="115" t="n">
        <v>271292</v>
      </c>
      <c r="G3056" s="156" t="n"/>
      <c r="H3056" s="152" t="n">
        <v>514</v>
      </c>
      <c r="I3056" s="156" t="n"/>
      <c r="J3056" s="90" t="n"/>
      <c r="K3056" s="166" t="n"/>
      <c r="L3056" s="158" t="n"/>
      <c r="M3056" s="159" t="n"/>
    </row>
    <row r="3057">
      <c r="A3057" s="114" t="n">
        <v>46218</v>
      </c>
      <c r="B3057" s="115" t="n">
        <v>56</v>
      </c>
      <c r="C3057" s="115" t="inlineStr">
        <is>
          <t>SELİM İNŞAAT</t>
        </is>
      </c>
      <c r="D3057" s="115" t="inlineStr">
        <is>
          <t>34 DTV 268</t>
        </is>
      </c>
      <c r="E3057" s="115" t="inlineStr">
        <is>
          <t>KERİM KARAMAN</t>
        </is>
      </c>
      <c r="F3057" s="115" t="n">
        <v>282181</v>
      </c>
      <c r="G3057" s="156" t="n"/>
      <c r="H3057" s="152" t="n">
        <v>505</v>
      </c>
      <c r="I3057" s="156" t="n"/>
      <c r="J3057" s="90" t="n"/>
      <c r="K3057" s="166" t="n"/>
      <c r="L3057" s="158" t="n"/>
      <c r="M3057" s="159" t="n"/>
    </row>
    <row r="3058">
      <c r="A3058" s="114" t="n">
        <v>46207</v>
      </c>
      <c r="B3058" s="115" t="n">
        <v>1300</v>
      </c>
      <c r="C3058" s="115" t="inlineStr">
        <is>
          <t>SELİM İNŞAAT</t>
        </is>
      </c>
      <c r="D3058" s="115" t="inlineStr">
        <is>
          <t>34 DSN 621</t>
        </is>
      </c>
      <c r="E3058" s="115" t="inlineStr">
        <is>
          <t>MUSTAFA YENİAY</t>
        </is>
      </c>
      <c r="F3058" s="115" t="n">
        <v>449137</v>
      </c>
      <c r="G3058" s="156" t="n"/>
      <c r="H3058" s="152" t="n">
        <v>495</v>
      </c>
      <c r="I3058" s="156" t="n"/>
      <c r="J3058" s="90" t="n"/>
      <c r="K3058" s="166" t="n"/>
      <c r="L3058" s="158" t="n"/>
      <c r="M3058" s="159" t="n"/>
    </row>
    <row r="3059">
      <c r="A3059" s="114" t="n">
        <v>46211</v>
      </c>
      <c r="B3059" s="115" t="n">
        <v>1301</v>
      </c>
      <c r="C3059" s="115" t="inlineStr">
        <is>
          <t>SELİM İNŞAAT</t>
        </is>
      </c>
      <c r="D3059" s="115" t="inlineStr">
        <is>
          <t>34 DSN 621</t>
        </is>
      </c>
      <c r="E3059" s="115" t="inlineStr">
        <is>
          <t>MUSTAFA YENİAY</t>
        </is>
      </c>
      <c r="F3059" s="115" t="n">
        <v>450011</v>
      </c>
      <c r="G3059" s="156" t="n"/>
      <c r="H3059" s="152" t="n">
        <v>542</v>
      </c>
      <c r="I3059" s="156" t="n"/>
      <c r="J3059" s="90" t="n"/>
      <c r="K3059" s="166" t="n"/>
      <c r="L3059" s="158" t="n"/>
      <c r="M3059" s="159" t="n"/>
    </row>
    <row r="3060">
      <c r="A3060" s="114" t="n">
        <v>46212</v>
      </c>
      <c r="B3060" s="115" t="n">
        <v>1302</v>
      </c>
      <c r="C3060" s="115" t="inlineStr">
        <is>
          <t>SELİM İNŞAAT</t>
        </is>
      </c>
      <c r="D3060" s="115" t="inlineStr">
        <is>
          <t>34 DSN 621</t>
        </is>
      </c>
      <c r="E3060" s="115" t="inlineStr">
        <is>
          <t>MUSTAFA YENİAY</t>
        </is>
      </c>
      <c r="F3060" s="115" t="n">
        <v>450624</v>
      </c>
      <c r="G3060" s="156" t="n"/>
      <c r="H3060" s="152" t="n">
        <v>407</v>
      </c>
      <c r="I3060" s="156" t="n"/>
      <c r="J3060" s="90" t="n"/>
      <c r="K3060" s="166" t="n"/>
      <c r="L3060" s="158" t="n"/>
      <c r="M3060" s="159" t="n"/>
    </row>
    <row r="3061">
      <c r="A3061" s="114" t="n">
        <v>46214</v>
      </c>
      <c r="B3061" s="115" t="n">
        <v>1303</v>
      </c>
      <c r="C3061" s="115" t="inlineStr">
        <is>
          <t>SELİM İNŞAAT</t>
        </is>
      </c>
      <c r="D3061" s="115" t="inlineStr">
        <is>
          <t>34 DSN 621</t>
        </is>
      </c>
      <c r="E3061" s="115" t="inlineStr">
        <is>
          <t>MUSTAFA YENİAY</t>
        </is>
      </c>
      <c r="F3061" s="115" t="n">
        <v>451297</v>
      </c>
      <c r="G3061" s="156" t="n"/>
      <c r="H3061" s="152" t="n">
        <v>474</v>
      </c>
      <c r="I3061" s="156" t="n"/>
      <c r="J3061" s="90" t="n"/>
      <c r="K3061" s="166" t="n"/>
      <c r="L3061" s="158" t="n"/>
      <c r="M3061" s="159" t="n"/>
    </row>
    <row r="3062">
      <c r="A3062" s="114" t="n">
        <v>46216</v>
      </c>
      <c r="B3062" s="115" t="n">
        <v>1304</v>
      </c>
      <c r="C3062" s="115" t="inlineStr">
        <is>
          <t>SELİM İNŞAAT</t>
        </is>
      </c>
      <c r="D3062" s="115" t="inlineStr">
        <is>
          <t>34 DSN 621</t>
        </is>
      </c>
      <c r="E3062" s="115" t="inlineStr">
        <is>
          <t>MUSTAFA YENİAY</t>
        </is>
      </c>
      <c r="F3062" s="115" t="n">
        <v>451834</v>
      </c>
      <c r="G3062" s="156" t="n"/>
      <c r="H3062" s="152" t="n">
        <v>397</v>
      </c>
      <c r="I3062" s="156" t="n"/>
      <c r="J3062" s="90" t="n"/>
      <c r="K3062" s="166" t="n"/>
      <c r="L3062" s="158" t="n"/>
      <c r="M3062" s="159" t="n"/>
    </row>
    <row r="3063">
      <c r="A3063" s="114" t="n">
        <v>46204</v>
      </c>
      <c r="B3063" s="115" t="n">
        <v>3644</v>
      </c>
      <c r="C3063" s="115" t="inlineStr">
        <is>
          <t>SELİM İNŞAAT</t>
        </is>
      </c>
      <c r="D3063" s="115" t="inlineStr">
        <is>
          <t>34 EDB 922</t>
        </is>
      </c>
      <c r="E3063" s="115" t="inlineStr">
        <is>
          <t>SERVET KARANFİL</t>
        </is>
      </c>
      <c r="F3063" s="115" t="n">
        <v>420769</v>
      </c>
      <c r="G3063" s="156" t="n"/>
      <c r="H3063" s="152" t="n">
        <v>498</v>
      </c>
      <c r="I3063" s="156" t="n"/>
      <c r="J3063" s="90" t="n"/>
      <c r="K3063" s="166" t="n"/>
      <c r="L3063" s="158" t="n"/>
      <c r="M3063" s="159" t="n"/>
    </row>
    <row r="3064">
      <c r="A3064" s="114" t="n">
        <v>46206</v>
      </c>
      <c r="B3064" s="115" t="n">
        <v>3645</v>
      </c>
      <c r="C3064" s="115" t="inlineStr">
        <is>
          <t>SELİM İNŞAAT</t>
        </is>
      </c>
      <c r="D3064" s="115" t="inlineStr">
        <is>
          <t>34 EDB 922</t>
        </is>
      </c>
      <c r="E3064" s="115" t="inlineStr">
        <is>
          <t>SERVET KARANFİL</t>
        </is>
      </c>
      <c r="F3064" s="115" t="n">
        <v>421298</v>
      </c>
      <c r="G3064" s="156" t="n"/>
      <c r="H3064" s="152" t="n">
        <v>500</v>
      </c>
      <c r="I3064" s="156" t="n"/>
      <c r="J3064" s="90" t="n"/>
      <c r="K3064" s="166" t="n"/>
      <c r="L3064" s="158" t="n"/>
      <c r="M3064" s="159" t="n"/>
    </row>
    <row r="3065">
      <c r="A3065" s="114" t="n">
        <v>46207</v>
      </c>
      <c r="B3065" s="115" t="n">
        <v>3646</v>
      </c>
      <c r="C3065" s="115" t="inlineStr">
        <is>
          <t>SELİM İNŞAAT</t>
        </is>
      </c>
      <c r="D3065" s="115" t="inlineStr">
        <is>
          <t>34 EDB 922</t>
        </is>
      </c>
      <c r="E3065" s="115" t="inlineStr">
        <is>
          <t>SERVET KARANFİL</t>
        </is>
      </c>
      <c r="F3065" s="115" t="n">
        <v>422101</v>
      </c>
      <c r="G3065" s="156" t="n"/>
      <c r="H3065" s="152" t="n">
        <v>512</v>
      </c>
      <c r="I3065" s="156" t="n"/>
      <c r="J3065" s="90" t="n"/>
      <c r="K3065" s="166" t="n"/>
      <c r="L3065" s="158" t="n"/>
      <c r="M3065" s="159" t="n"/>
    </row>
    <row r="3066">
      <c r="A3066" s="114" t="n">
        <v>46208</v>
      </c>
      <c r="B3066" s="115" t="n">
        <v>3647</v>
      </c>
      <c r="C3066" s="115" t="inlineStr">
        <is>
          <t>SELİM İNŞAAT</t>
        </is>
      </c>
      <c r="D3066" s="115" t="inlineStr">
        <is>
          <t>34 EDB 922</t>
        </is>
      </c>
      <c r="E3066" s="115" t="inlineStr">
        <is>
          <t>SERVET KARANFİL</t>
        </is>
      </c>
      <c r="F3066" s="115" t="n">
        <v>422564</v>
      </c>
      <c r="G3066" s="156" t="n"/>
      <c r="H3066" s="152" t="n">
        <v>400</v>
      </c>
      <c r="I3066" s="156" t="n"/>
      <c r="J3066" s="90" t="n"/>
      <c r="K3066" s="166" t="n"/>
      <c r="L3066" s="158" t="n"/>
      <c r="M3066" s="159" t="n"/>
    </row>
    <row r="3067">
      <c r="A3067" s="114" t="n">
        <v>46210</v>
      </c>
      <c r="B3067" s="115" t="n">
        <v>3648</v>
      </c>
      <c r="C3067" s="115" t="inlineStr">
        <is>
          <t>SELİM İNŞAAT</t>
        </is>
      </c>
      <c r="D3067" s="115" t="inlineStr">
        <is>
          <t>34 EDB 922</t>
        </is>
      </c>
      <c r="E3067" s="115" t="inlineStr">
        <is>
          <t>SERVET KARANFİL</t>
        </is>
      </c>
      <c r="F3067" s="115" t="n">
        <v>423196</v>
      </c>
      <c r="G3067" s="156" t="n"/>
      <c r="H3067" s="152" t="n">
        <v>542</v>
      </c>
      <c r="I3067" s="156" t="n"/>
      <c r="J3067" s="90" t="n"/>
      <c r="K3067" s="166" t="n"/>
      <c r="L3067" s="158" t="n"/>
      <c r="M3067" s="159" t="n"/>
    </row>
    <row r="3068">
      <c r="A3068" s="114" t="n">
        <v>46213</v>
      </c>
      <c r="B3068" s="115" t="n">
        <v>3649</v>
      </c>
      <c r="C3068" s="115" t="inlineStr">
        <is>
          <t>SELİM İNŞAAT</t>
        </is>
      </c>
      <c r="D3068" s="115" t="inlineStr">
        <is>
          <t>34 EDB 922</t>
        </is>
      </c>
      <c r="E3068" s="115" t="inlineStr">
        <is>
          <t>SERVET KARANFİL</t>
        </is>
      </c>
      <c r="F3068" s="115" t="n">
        <v>423833</v>
      </c>
      <c r="G3068" s="156" t="n"/>
      <c r="H3068" s="152" t="n">
        <v>473</v>
      </c>
      <c r="I3068" s="156" t="n"/>
      <c r="J3068" s="90" t="n"/>
      <c r="K3068" s="166" t="n"/>
      <c r="L3068" s="158" t="n"/>
      <c r="M3068" s="159" t="n"/>
    </row>
    <row r="3069">
      <c r="A3069" s="114" t="n">
        <v>46214</v>
      </c>
      <c r="B3069" s="115" t="n">
        <v>3650</v>
      </c>
      <c r="C3069" s="115" t="inlineStr">
        <is>
          <t>SELİM İNŞAAT</t>
        </is>
      </c>
      <c r="D3069" s="115" t="inlineStr">
        <is>
          <t>34 EDB 922</t>
        </is>
      </c>
      <c r="E3069" s="115" t="inlineStr">
        <is>
          <t>SERVET KARANFİL</t>
        </is>
      </c>
      <c r="F3069" s="115" t="n">
        <v>424482</v>
      </c>
      <c r="G3069" s="156" t="n"/>
      <c r="H3069" s="152" t="n">
        <v>506</v>
      </c>
      <c r="I3069" s="156" t="n"/>
      <c r="J3069" s="90" t="n"/>
      <c r="K3069" s="166" t="n"/>
      <c r="L3069" s="158" t="n"/>
      <c r="M3069" s="159" t="n"/>
    </row>
    <row r="3070">
      <c r="A3070" s="114" t="n">
        <v>46218</v>
      </c>
      <c r="B3070" s="115" t="n">
        <v>3651</v>
      </c>
      <c r="C3070" s="115" t="inlineStr">
        <is>
          <t>SELİM İNŞAAT</t>
        </is>
      </c>
      <c r="D3070" s="115" t="inlineStr">
        <is>
          <t>34 EDB 922</t>
        </is>
      </c>
      <c r="E3070" s="115" t="inlineStr">
        <is>
          <t>SERVET KARANFİL</t>
        </is>
      </c>
      <c r="F3070" s="115" t="n">
        <v>425166</v>
      </c>
      <c r="G3070" s="156" t="n"/>
      <c r="H3070" s="152" t="n">
        <v>483</v>
      </c>
      <c r="I3070" s="156" t="n"/>
      <c r="J3070" s="90" t="n"/>
      <c r="K3070" s="166" t="n"/>
      <c r="L3070" s="158" t="n"/>
      <c r="M3070" s="159" t="n"/>
    </row>
    <row r="3071">
      <c r="A3071" s="114" t="n">
        <v>46204</v>
      </c>
      <c r="B3071" s="115" t="n">
        <v>1775</v>
      </c>
      <c r="C3071" s="115" t="inlineStr">
        <is>
          <t>SELİM İNŞAAT</t>
        </is>
      </c>
      <c r="D3071" s="115" t="inlineStr">
        <is>
          <t>34 EDC 086</t>
        </is>
      </c>
      <c r="E3071" s="115" t="inlineStr">
        <is>
          <t>İRFAN DAĞLAR</t>
        </is>
      </c>
      <c r="F3071" s="115" t="n">
        <v>397016</v>
      </c>
      <c r="G3071" s="156" t="n"/>
      <c r="H3071" s="152" t="n">
        <v>404</v>
      </c>
      <c r="I3071" s="156" t="n"/>
      <c r="J3071" s="90" t="n"/>
      <c r="K3071" s="166" t="n"/>
      <c r="L3071" s="158" t="n"/>
      <c r="M3071" s="159" t="n"/>
    </row>
    <row r="3072">
      <c r="A3072" s="114" t="n">
        <v>46205</v>
      </c>
      <c r="B3072" s="115" t="n">
        <v>1776</v>
      </c>
      <c r="C3072" s="115" t="inlineStr">
        <is>
          <t>SELİM İNŞAAT</t>
        </is>
      </c>
      <c r="D3072" s="115" t="inlineStr">
        <is>
          <t>34 EDC 086</t>
        </is>
      </c>
      <c r="E3072" s="115" t="inlineStr">
        <is>
          <t>İRFAN DAĞLAR</t>
        </is>
      </c>
      <c r="F3072" s="115" t="n">
        <v>397608</v>
      </c>
      <c r="G3072" s="156" t="n"/>
      <c r="H3072" s="152" t="n">
        <v>423</v>
      </c>
      <c r="I3072" s="156" t="n"/>
      <c r="J3072" s="90" t="n"/>
      <c r="K3072" s="166" t="n"/>
      <c r="L3072" s="158" t="n"/>
      <c r="M3072" s="159" t="n"/>
    </row>
    <row r="3073">
      <c r="A3073" s="114" t="n">
        <v>46208</v>
      </c>
      <c r="B3073" s="115" t="n">
        <v>1777</v>
      </c>
      <c r="C3073" s="115" t="inlineStr">
        <is>
          <t>SELİM İNŞAAT</t>
        </is>
      </c>
      <c r="D3073" s="115" t="inlineStr">
        <is>
          <t>34 EDC 086</t>
        </is>
      </c>
      <c r="E3073" s="115" t="inlineStr">
        <is>
          <t>İRFAN DAĞLAR</t>
        </is>
      </c>
      <c r="F3073" s="115" t="n">
        <v>398514</v>
      </c>
      <c r="G3073" s="156" t="n"/>
      <c r="H3073" s="152" t="n">
        <v>564</v>
      </c>
      <c r="I3073" s="156" t="n"/>
      <c r="J3073" s="90" t="n"/>
      <c r="K3073" s="166" t="n"/>
      <c r="L3073" s="158" t="n"/>
      <c r="M3073" s="159" t="n"/>
    </row>
    <row r="3074">
      <c r="A3074" s="114" t="n">
        <v>46209</v>
      </c>
      <c r="B3074" s="115" t="n">
        <v>1778</v>
      </c>
      <c r="C3074" s="115" t="inlineStr">
        <is>
          <t>SELİM İNŞAAT</t>
        </is>
      </c>
      <c r="D3074" s="115" t="inlineStr">
        <is>
          <t>34 EDC 086</t>
        </is>
      </c>
      <c r="E3074" s="115" t="inlineStr">
        <is>
          <t>İRFAN DAĞLAR</t>
        </is>
      </c>
      <c r="F3074" s="115" t="n">
        <v>399080</v>
      </c>
      <c r="G3074" s="156" t="n"/>
      <c r="H3074" s="152" t="n">
        <v>360</v>
      </c>
      <c r="I3074" s="156" t="n"/>
      <c r="J3074" s="90" t="n"/>
      <c r="K3074" s="166" t="n"/>
      <c r="L3074" s="158" t="n"/>
      <c r="M3074" s="159" t="n"/>
    </row>
    <row r="3075">
      <c r="A3075" s="114" t="n">
        <v>46211</v>
      </c>
      <c r="B3075" s="115" t="n">
        <v>1779</v>
      </c>
      <c r="C3075" s="115" t="inlineStr">
        <is>
          <t>SELİM İNŞAAT</t>
        </is>
      </c>
      <c r="D3075" s="115" t="inlineStr">
        <is>
          <t>34 EDC 086</t>
        </is>
      </c>
      <c r="E3075" s="115" t="inlineStr">
        <is>
          <t>İRFAN DAĞLAR</t>
        </is>
      </c>
      <c r="F3075" s="115" t="n">
        <v>399840</v>
      </c>
      <c r="G3075" s="156" t="n"/>
      <c r="H3075" s="152" t="n">
        <v>532</v>
      </c>
      <c r="I3075" s="156" t="n"/>
      <c r="J3075" s="90" t="n"/>
      <c r="K3075" s="166" t="n"/>
      <c r="L3075" s="158" t="n"/>
      <c r="M3075" s="159" t="n"/>
    </row>
    <row r="3076">
      <c r="A3076" s="114" t="n">
        <v>46213</v>
      </c>
      <c r="B3076" s="115" t="n">
        <v>1780</v>
      </c>
      <c r="C3076" s="115" t="inlineStr">
        <is>
          <t>SELİM İNŞAAT</t>
        </is>
      </c>
      <c r="D3076" s="115" t="inlineStr">
        <is>
          <t>34 EDC 086</t>
        </is>
      </c>
      <c r="E3076" s="115" t="inlineStr">
        <is>
          <t>İRFAN DAĞLAR</t>
        </is>
      </c>
      <c r="F3076" s="115" t="n">
        <v>400202</v>
      </c>
      <c r="G3076" s="156" t="n"/>
      <c r="H3076" s="152" t="n">
        <v>300</v>
      </c>
      <c r="I3076" s="156" t="n"/>
      <c r="J3076" s="90" t="n"/>
      <c r="K3076" s="166" t="n"/>
      <c r="L3076" s="158" t="n"/>
      <c r="M3076" s="159" t="n"/>
    </row>
    <row r="3077">
      <c r="A3077" s="114" t="n">
        <v>46214</v>
      </c>
      <c r="B3077" s="115" t="n">
        <v>1781</v>
      </c>
      <c r="C3077" s="115" t="inlineStr">
        <is>
          <t>SELİM İNŞAAT</t>
        </is>
      </c>
      <c r="D3077" s="115" t="inlineStr">
        <is>
          <t>34 EDC 086</t>
        </is>
      </c>
      <c r="E3077" s="115" t="inlineStr">
        <is>
          <t>İRFAN DAĞLAR</t>
        </is>
      </c>
      <c r="F3077" s="115" t="n">
        <v>400938</v>
      </c>
      <c r="G3077" s="156" t="n"/>
      <c r="H3077" s="152" t="n">
        <v>495</v>
      </c>
      <c r="I3077" s="156" t="n"/>
      <c r="J3077" s="90" t="n"/>
      <c r="K3077" s="166" t="n"/>
      <c r="L3077" s="158" t="n"/>
      <c r="M3077" s="159" t="n"/>
    </row>
    <row r="3078">
      <c r="A3078" s="114" t="n">
        <v>46216</v>
      </c>
      <c r="B3078" s="115" t="n">
        <v>1782</v>
      </c>
      <c r="C3078" s="115" t="inlineStr">
        <is>
          <t>SELİM İNŞAAT</t>
        </is>
      </c>
      <c r="D3078" s="115" t="inlineStr">
        <is>
          <t>34 EDC 086</t>
        </is>
      </c>
      <c r="E3078" s="115" t="inlineStr">
        <is>
          <t>İRFAN DAĞLAR</t>
        </is>
      </c>
      <c r="F3078" s="115" t="n">
        <v>401657</v>
      </c>
      <c r="G3078" s="156" t="n"/>
      <c r="H3078" s="152" t="n">
        <v>453</v>
      </c>
      <c r="I3078" s="156" t="n"/>
      <c r="J3078" s="90" t="n"/>
      <c r="K3078" s="166" t="n"/>
      <c r="L3078" s="158" t="n"/>
      <c r="M3078" s="159" t="n"/>
    </row>
    <row r="3079">
      <c r="A3079" s="114" t="n">
        <v>46218</v>
      </c>
      <c r="B3079" s="115" t="n">
        <v>1783</v>
      </c>
      <c r="C3079" s="115" t="inlineStr">
        <is>
          <t>SELİM İNŞAAT</t>
        </is>
      </c>
      <c r="D3079" s="115" t="inlineStr">
        <is>
          <t>34 EDC 086</t>
        </is>
      </c>
      <c r="E3079" s="115" t="inlineStr">
        <is>
          <t>İRFAN DAĞLAR</t>
        </is>
      </c>
      <c r="F3079" s="115" t="n">
        <v>401962</v>
      </c>
      <c r="G3079" s="156" t="n"/>
      <c r="H3079" s="152" t="n">
        <v>250</v>
      </c>
      <c r="I3079" s="156" t="n"/>
      <c r="J3079" s="90" t="n"/>
      <c r="K3079" s="166" t="n"/>
      <c r="L3079" s="158" t="n"/>
      <c r="M3079" s="159" t="n"/>
    </row>
    <row r="3080">
      <c r="A3080" s="114" t="n">
        <v>46204</v>
      </c>
      <c r="B3080" s="115" t="n">
        <v>2369</v>
      </c>
      <c r="C3080" s="115" t="inlineStr">
        <is>
          <t>SELİM İNŞAAT</t>
        </is>
      </c>
      <c r="D3080" s="115" t="inlineStr">
        <is>
          <t>34 GUS 938</t>
        </is>
      </c>
      <c r="E3080" s="115" t="inlineStr">
        <is>
          <t>MEHMET KAYA</t>
        </is>
      </c>
      <c r="F3080" s="115" t="n">
        <v>270416</v>
      </c>
      <c r="G3080" s="156" t="n"/>
      <c r="H3080" s="152" t="n">
        <v>404</v>
      </c>
      <c r="I3080" s="156" t="n"/>
      <c r="J3080" s="90" t="n"/>
      <c r="K3080" s="166" t="n"/>
      <c r="L3080" s="158" t="n"/>
      <c r="M3080" s="159" t="n"/>
    </row>
    <row r="3081">
      <c r="A3081" s="114" t="n">
        <v>46206</v>
      </c>
      <c r="B3081" s="115" t="n">
        <v>2370</v>
      </c>
      <c r="C3081" s="115" t="inlineStr">
        <is>
          <t>SELİM İNŞAAT</t>
        </is>
      </c>
      <c r="D3081" s="115" t="inlineStr">
        <is>
          <t>34 GUS 938</t>
        </is>
      </c>
      <c r="E3081" s="115" t="inlineStr">
        <is>
          <t>MEHMET KAYA</t>
        </is>
      </c>
      <c r="F3081" s="115" t="n">
        <v>271102</v>
      </c>
      <c r="G3081" s="156" t="n"/>
      <c r="H3081" s="152" t="n">
        <v>455</v>
      </c>
      <c r="I3081" s="156" t="n"/>
      <c r="J3081" s="90" t="n"/>
      <c r="K3081" s="166" t="n"/>
      <c r="L3081" s="158" t="n"/>
      <c r="M3081" s="159" t="n"/>
    </row>
    <row r="3082">
      <c r="A3082" s="114" t="n">
        <v>46208</v>
      </c>
      <c r="B3082" s="115" t="n">
        <v>2371</v>
      </c>
      <c r="C3082" s="115" t="inlineStr">
        <is>
          <t>SELİM İNŞAAT</t>
        </is>
      </c>
      <c r="D3082" s="115" t="inlineStr">
        <is>
          <t>34 GUS 938</t>
        </is>
      </c>
      <c r="E3082" s="115" t="inlineStr">
        <is>
          <t>MEHMET KAYA</t>
        </is>
      </c>
      <c r="F3082" s="115" t="n">
        <v>271879</v>
      </c>
      <c r="G3082" s="156" t="n"/>
      <c r="H3082" s="152" t="n">
        <v>473</v>
      </c>
      <c r="I3082" s="156" t="n"/>
      <c r="J3082" s="90" t="n"/>
      <c r="K3082" s="166" t="n"/>
      <c r="L3082" s="158" t="n"/>
      <c r="M3082" s="159" t="n"/>
    </row>
    <row r="3083">
      <c r="A3083" s="114" t="n">
        <v>46209</v>
      </c>
      <c r="B3083" s="115" t="n">
        <v>2372</v>
      </c>
      <c r="C3083" s="115" t="inlineStr">
        <is>
          <t>SELİM İNŞAAT</t>
        </is>
      </c>
      <c r="D3083" s="115" t="inlineStr">
        <is>
          <t>34 GUS 938</t>
        </is>
      </c>
      <c r="E3083" s="115" t="inlineStr">
        <is>
          <t>MEHMET KAYA</t>
        </is>
      </c>
      <c r="F3083" s="115" t="n">
        <v>272396</v>
      </c>
      <c r="G3083" s="156" t="n"/>
      <c r="H3083" s="152" t="n">
        <v>335</v>
      </c>
      <c r="I3083" s="156" t="n"/>
      <c r="J3083" s="90" t="n"/>
      <c r="K3083" s="166" t="n"/>
      <c r="L3083" s="158" t="n"/>
      <c r="M3083" s="159" t="n"/>
    </row>
    <row r="3084">
      <c r="A3084" s="114" t="n">
        <v>46211</v>
      </c>
      <c r="B3084" s="115" t="n">
        <v>2373</v>
      </c>
      <c r="C3084" s="115" t="inlineStr">
        <is>
          <t>SELİM İNŞAAT</t>
        </is>
      </c>
      <c r="D3084" s="115" t="inlineStr">
        <is>
          <t>34 GUS 938</t>
        </is>
      </c>
      <c r="E3084" s="115" t="inlineStr">
        <is>
          <t>MEHMET KAYA</t>
        </is>
      </c>
      <c r="F3084" s="115" t="n">
        <v>273099</v>
      </c>
      <c r="G3084" s="156" t="n"/>
      <c r="H3084" s="152" t="n">
        <v>474</v>
      </c>
      <c r="I3084" s="156" t="n"/>
      <c r="J3084" s="90" t="n"/>
      <c r="K3084" s="166" t="n"/>
      <c r="L3084" s="158" t="n"/>
      <c r="M3084" s="159" t="n"/>
    </row>
    <row r="3085">
      <c r="A3085" s="114" t="n">
        <v>46213</v>
      </c>
      <c r="B3085" s="115" t="n">
        <v>2374</v>
      </c>
      <c r="C3085" s="115" t="inlineStr">
        <is>
          <t>SELİM İNŞAAT</t>
        </is>
      </c>
      <c r="D3085" s="115" t="inlineStr">
        <is>
          <t>34 GUS 938</t>
        </is>
      </c>
      <c r="E3085" s="115" t="inlineStr">
        <is>
          <t>MEHMET KAYA</t>
        </is>
      </c>
      <c r="F3085" s="115" t="n">
        <v>273742</v>
      </c>
      <c r="G3085" s="156" t="n"/>
      <c r="H3085" s="152" t="n">
        <v>416</v>
      </c>
      <c r="I3085" s="156" t="n"/>
      <c r="J3085" s="90" t="n"/>
      <c r="K3085" s="166" t="n"/>
      <c r="L3085" s="158" t="n"/>
      <c r="M3085" s="159" t="n"/>
    </row>
    <row r="3086">
      <c r="A3086" s="114" t="n">
        <v>46214</v>
      </c>
      <c r="B3086" s="115" t="n">
        <v>2375</v>
      </c>
      <c r="C3086" s="115" t="inlineStr">
        <is>
          <t>SELİM İNŞAAT</t>
        </is>
      </c>
      <c r="D3086" s="115" t="inlineStr">
        <is>
          <t>34 GUS 938</t>
        </is>
      </c>
      <c r="E3086" s="115" t="inlineStr">
        <is>
          <t>MEHMET KAYA</t>
        </is>
      </c>
      <c r="F3086" s="115" t="n">
        <v>274464</v>
      </c>
      <c r="G3086" s="156" t="n"/>
      <c r="H3086" s="152" t="n">
        <v>467</v>
      </c>
      <c r="I3086" s="156" t="n"/>
      <c r="J3086" s="90" t="n"/>
      <c r="K3086" s="166" t="n"/>
      <c r="L3086" s="158" t="n"/>
      <c r="M3086" s="159" t="n"/>
    </row>
    <row r="3087">
      <c r="A3087" s="114" t="n">
        <v>46217</v>
      </c>
      <c r="B3087" s="115" t="n">
        <v>2376</v>
      </c>
      <c r="C3087" s="115" t="inlineStr">
        <is>
          <t>SELİM İNŞAAT</t>
        </is>
      </c>
      <c r="D3087" s="115" t="inlineStr">
        <is>
          <t>34 GUS 938</t>
        </is>
      </c>
      <c r="E3087" s="115" t="inlineStr">
        <is>
          <t>MEHMET KAYA</t>
        </is>
      </c>
      <c r="F3087" s="115" t="n">
        <v>274734</v>
      </c>
      <c r="G3087" s="156" t="n"/>
      <c r="H3087" s="152" t="n">
        <v>238</v>
      </c>
      <c r="I3087" s="156" t="n"/>
      <c r="J3087" s="90" t="n"/>
      <c r="K3087" s="166" t="n"/>
      <c r="L3087" s="158" t="n"/>
      <c r="M3087" s="159" t="n"/>
    </row>
    <row r="3088">
      <c r="A3088" s="114" t="n">
        <v>46218</v>
      </c>
      <c r="B3088" s="115" t="n">
        <v>2377</v>
      </c>
      <c r="C3088" s="115" t="inlineStr">
        <is>
          <t>SELİM İNŞAAT</t>
        </is>
      </c>
      <c r="D3088" s="115" t="inlineStr">
        <is>
          <t>34 GUS 938</t>
        </is>
      </c>
      <c r="E3088" s="115" t="inlineStr">
        <is>
          <t>MEHMET KAYA</t>
        </is>
      </c>
      <c r="F3088" s="115" t="n">
        <v>275623</v>
      </c>
      <c r="G3088" s="156" t="n"/>
      <c r="H3088" s="152" t="n">
        <v>508</v>
      </c>
      <c r="I3088" s="156" t="n"/>
      <c r="J3088" s="90" t="n"/>
      <c r="K3088" s="166" t="n"/>
      <c r="L3088" s="158" t="n"/>
      <c r="M3088" s="159" t="n"/>
    </row>
    <row r="3089">
      <c r="A3089" s="114" t="n">
        <v>46205</v>
      </c>
      <c r="B3089" s="115" t="n">
        <v>3016</v>
      </c>
      <c r="C3089" s="115" t="inlineStr">
        <is>
          <t>SELİM İNŞAAT</t>
        </is>
      </c>
      <c r="D3089" s="115" t="inlineStr">
        <is>
          <t>34 GVZ 745</t>
        </is>
      </c>
      <c r="E3089" s="115" t="inlineStr">
        <is>
          <t>MURAT DEMİRBAŞ</t>
        </is>
      </c>
      <c r="F3089" s="115" t="n">
        <v>274262</v>
      </c>
      <c r="G3089" s="156" t="n"/>
      <c r="H3089" s="152" t="n">
        <v>498</v>
      </c>
      <c r="I3089" s="156" t="n"/>
      <c r="J3089" s="90" t="n"/>
      <c r="K3089" s="166" t="n"/>
      <c r="L3089" s="158" t="n"/>
      <c r="M3089" s="159" t="n"/>
    </row>
    <row r="3090">
      <c r="A3090" s="114" t="n">
        <v>46207</v>
      </c>
      <c r="B3090" s="115" t="n">
        <v>3017</v>
      </c>
      <c r="C3090" s="115" t="inlineStr">
        <is>
          <t>SELİM İNŞAAT</t>
        </is>
      </c>
      <c r="D3090" s="115" t="inlineStr">
        <is>
          <t>34 GVZ 745</t>
        </is>
      </c>
      <c r="E3090" s="115" t="inlineStr">
        <is>
          <t>MURAT DEMİRBAŞ</t>
        </is>
      </c>
      <c r="F3090" s="115" t="n">
        <v>275048</v>
      </c>
      <c r="G3090" s="156" t="n"/>
      <c r="H3090" s="152" t="n">
        <v>485</v>
      </c>
      <c r="I3090" s="156" t="n"/>
      <c r="J3090" s="90" t="n"/>
      <c r="K3090" s="166" t="n"/>
      <c r="L3090" s="158" t="n"/>
      <c r="M3090" s="159" t="n"/>
    </row>
    <row r="3091">
      <c r="A3091" s="114" t="n">
        <v>46210</v>
      </c>
      <c r="B3091" s="115" t="n">
        <v>3018</v>
      </c>
      <c r="C3091" s="115" t="inlineStr">
        <is>
          <t>SELİM İNŞAAT</t>
        </is>
      </c>
      <c r="D3091" s="115" t="inlineStr">
        <is>
          <t>34 GVZ 745</t>
        </is>
      </c>
      <c r="E3091" s="115" t="inlineStr">
        <is>
          <t>MURAT DEMİRBAŞ</t>
        </is>
      </c>
      <c r="F3091" s="115" t="n">
        <v>275904</v>
      </c>
      <c r="G3091" s="156" t="n"/>
      <c r="H3091" s="152" t="n">
        <v>532</v>
      </c>
      <c r="I3091" s="156" t="n"/>
      <c r="J3091" s="90" t="n"/>
      <c r="K3091" s="166" t="n"/>
      <c r="L3091" s="158" t="n"/>
      <c r="M3091" s="159" t="n"/>
    </row>
    <row r="3092">
      <c r="A3092" s="114" t="n">
        <v>46211</v>
      </c>
      <c r="B3092" s="115" t="n">
        <v>3019</v>
      </c>
      <c r="C3092" s="115" t="inlineStr">
        <is>
          <t>SELİM İNŞAAT</t>
        </is>
      </c>
      <c r="D3092" s="115" t="inlineStr">
        <is>
          <t>34 GVZ 745</t>
        </is>
      </c>
      <c r="E3092" s="115" t="inlineStr">
        <is>
          <t>MURAT DEMİRBAŞ</t>
        </is>
      </c>
      <c r="F3092" s="115" t="n">
        <v>276346</v>
      </c>
      <c r="G3092" s="156" t="n"/>
      <c r="H3092" s="152" t="n">
        <v>342</v>
      </c>
      <c r="I3092" s="156" t="n"/>
      <c r="J3092" s="90" t="n"/>
      <c r="K3092" s="166" t="n"/>
      <c r="L3092" s="158" t="n"/>
      <c r="M3092" s="159" t="n"/>
    </row>
    <row r="3093">
      <c r="A3093" s="114" t="n">
        <v>46213</v>
      </c>
      <c r="B3093" s="115" t="n">
        <v>3020</v>
      </c>
      <c r="C3093" s="115" t="inlineStr">
        <is>
          <t>SELİM İNŞAAT</t>
        </is>
      </c>
      <c r="D3093" s="115" t="inlineStr">
        <is>
          <t>34 GVZ 745</t>
        </is>
      </c>
      <c r="E3093" s="115" t="inlineStr">
        <is>
          <t>MURAT DEMİRBAŞ</t>
        </is>
      </c>
      <c r="F3093" s="115" t="n">
        <v>277026</v>
      </c>
      <c r="G3093" s="156" t="n"/>
      <c r="H3093" s="152" t="n">
        <v>454</v>
      </c>
      <c r="I3093" s="156" t="n"/>
      <c r="J3093" s="90" t="n"/>
      <c r="K3093" s="166" t="n"/>
      <c r="L3093" s="158" t="n"/>
      <c r="M3093" s="159" t="n"/>
    </row>
    <row r="3094">
      <c r="A3094" s="114" t="n">
        <v>46216</v>
      </c>
      <c r="B3094" s="115" t="n">
        <v>3021</v>
      </c>
      <c r="C3094" s="115" t="inlineStr">
        <is>
          <t>SELİM İNŞAAT</t>
        </is>
      </c>
      <c r="D3094" s="115" t="inlineStr">
        <is>
          <t>34 GVZ 745</t>
        </is>
      </c>
      <c r="E3094" s="115" t="inlineStr">
        <is>
          <t>MURAT DEMİRBAŞ</t>
        </is>
      </c>
      <c r="F3094" s="115" t="n">
        <v>277750</v>
      </c>
      <c r="G3094" s="156" t="n"/>
      <c r="H3094" s="152" t="n">
        <v>477</v>
      </c>
      <c r="I3094" s="156" t="n"/>
      <c r="J3094" s="90" t="n"/>
      <c r="K3094" s="166" t="n"/>
      <c r="L3094" s="158" t="n"/>
      <c r="M3094" s="159" t="n"/>
    </row>
    <row r="3095">
      <c r="A3095" s="114" t="n">
        <v>46217</v>
      </c>
      <c r="B3095" s="115" t="n">
        <v>3022</v>
      </c>
      <c r="C3095" s="115" t="inlineStr">
        <is>
          <t>SELİM İNŞAAT</t>
        </is>
      </c>
      <c r="D3095" s="115" t="inlineStr">
        <is>
          <t>34 GVZ 745</t>
        </is>
      </c>
      <c r="E3095" s="115" t="inlineStr">
        <is>
          <t>MURAT DEMİRBAŞ</t>
        </is>
      </c>
      <c r="F3095" s="115" t="n">
        <v>278336</v>
      </c>
      <c r="G3095" s="156" t="n"/>
      <c r="H3095" s="152" t="n">
        <v>389</v>
      </c>
      <c r="I3095" s="156" t="n"/>
      <c r="J3095" s="90" t="n"/>
      <c r="K3095" s="166" t="n"/>
      <c r="L3095" s="158" t="n"/>
      <c r="M3095" s="159" t="n"/>
    </row>
    <row r="3096">
      <c r="A3096" s="114" t="n">
        <v>46218</v>
      </c>
      <c r="B3096" s="115" t="n">
        <v>3023</v>
      </c>
      <c r="C3096" s="115" t="inlineStr">
        <is>
          <t>SELİM İNŞAAT</t>
        </is>
      </c>
      <c r="D3096" s="115" t="inlineStr">
        <is>
          <t>34 GVZ 745</t>
        </is>
      </c>
      <c r="E3096" s="115" t="inlineStr">
        <is>
          <t>MURAT DEMİRBAŞ</t>
        </is>
      </c>
      <c r="F3096" s="115" t="n">
        <v>278814</v>
      </c>
      <c r="G3096" s="156" t="n"/>
      <c r="H3096" s="152" t="n">
        <v>332</v>
      </c>
      <c r="I3096" s="156" t="n"/>
      <c r="J3096" s="90" t="n"/>
      <c r="K3096" s="166" t="n"/>
      <c r="L3096" s="158" t="n"/>
      <c r="M3096" s="159" t="n"/>
    </row>
    <row r="3097">
      <c r="A3097" s="114" t="n">
        <v>46205</v>
      </c>
      <c r="B3097" s="115" t="n">
        <v>1219</v>
      </c>
      <c r="C3097" s="115" t="inlineStr">
        <is>
          <t>SELİM İNŞAAT</t>
        </is>
      </c>
      <c r="D3097" s="115" t="inlineStr">
        <is>
          <t xml:space="preserve"> 34 FBR 705</t>
        </is>
      </c>
      <c r="E3097" s="115" t="inlineStr">
        <is>
          <t>MURAT SARI</t>
        </is>
      </c>
      <c r="F3097" s="115" t="n">
        <v>385580</v>
      </c>
      <c r="G3097" s="156" t="n"/>
      <c r="H3097" s="152" t="n">
        <v>565</v>
      </c>
      <c r="I3097" s="156" t="n"/>
      <c r="J3097" s="90" t="n"/>
      <c r="K3097" s="166" t="n"/>
      <c r="L3097" s="158" t="n"/>
      <c r="M3097" s="159" t="n"/>
    </row>
    <row r="3098">
      <c r="A3098" s="114" t="n">
        <v>46208</v>
      </c>
      <c r="B3098" s="115" t="n">
        <v>1220</v>
      </c>
      <c r="C3098" s="115" t="inlineStr">
        <is>
          <t>SELİM İNŞAAT</t>
        </is>
      </c>
      <c r="D3098" s="115" t="inlineStr">
        <is>
          <t xml:space="preserve"> 34 FBR 705</t>
        </is>
      </c>
      <c r="E3098" s="115" t="inlineStr">
        <is>
          <t>MURAT SARI</t>
        </is>
      </c>
      <c r="F3098" s="115" t="n">
        <v>386407</v>
      </c>
      <c r="G3098" s="156" t="n"/>
      <c r="H3098" s="152" t="n">
        <v>556</v>
      </c>
      <c r="I3098" s="156" t="n"/>
      <c r="J3098" s="90" t="n"/>
      <c r="K3098" s="166" t="n"/>
      <c r="L3098" s="158" t="n"/>
      <c r="M3098" s="159" t="n"/>
    </row>
    <row r="3099">
      <c r="A3099" s="114" t="n">
        <v>46210</v>
      </c>
      <c r="B3099" s="115" t="n">
        <v>1221</v>
      </c>
      <c r="C3099" s="115" t="inlineStr">
        <is>
          <t>SELİM İNŞAAT</t>
        </is>
      </c>
      <c r="D3099" s="115" t="inlineStr">
        <is>
          <t xml:space="preserve"> 34 FBR 705</t>
        </is>
      </c>
      <c r="E3099" s="115" t="inlineStr">
        <is>
          <t>MURAT SARI</t>
        </is>
      </c>
      <c r="F3099" s="115" t="n">
        <v>387185</v>
      </c>
      <c r="G3099" s="156" t="n"/>
      <c r="H3099" s="152" t="n">
        <v>519</v>
      </c>
      <c r="I3099" s="156" t="n"/>
      <c r="J3099" s="90" t="n"/>
      <c r="K3099" s="166" t="n"/>
      <c r="L3099" s="158" t="n"/>
      <c r="M3099" s="159" t="n"/>
    </row>
    <row r="3100">
      <c r="A3100" s="114" t="n">
        <v>46211</v>
      </c>
      <c r="B3100" s="115" t="n">
        <v>1222</v>
      </c>
      <c r="C3100" s="115" t="inlineStr">
        <is>
          <t>SELİM İNŞAAT</t>
        </is>
      </c>
      <c r="D3100" s="115" t="inlineStr">
        <is>
          <t xml:space="preserve"> 34 FBR 705</t>
        </is>
      </c>
      <c r="E3100" s="115" t="inlineStr">
        <is>
          <t>MURAT SARI</t>
        </is>
      </c>
      <c r="F3100" s="115" t="n">
        <v>387800</v>
      </c>
      <c r="G3100" s="156" t="n"/>
      <c r="H3100" s="152" t="n">
        <v>454</v>
      </c>
      <c r="I3100" s="156" t="n"/>
      <c r="J3100" s="90" t="n"/>
      <c r="K3100" s="166" t="n"/>
      <c r="L3100" s="158" t="n"/>
      <c r="M3100" s="159" t="n"/>
    </row>
    <row r="3101">
      <c r="A3101" s="114" t="n">
        <v>46213</v>
      </c>
      <c r="B3101" s="115" t="n">
        <v>1223</v>
      </c>
      <c r="C3101" s="115" t="inlineStr">
        <is>
          <t>SELİM İNŞAAT</t>
        </is>
      </c>
      <c r="D3101" s="115" t="inlineStr">
        <is>
          <t xml:space="preserve"> 34 FBR 705</t>
        </is>
      </c>
      <c r="E3101" s="115" t="inlineStr">
        <is>
          <t>MURAT SARI</t>
        </is>
      </c>
      <c r="F3101" s="115" t="n">
        <v>388424</v>
      </c>
      <c r="G3101" s="156" t="n"/>
      <c r="H3101" s="152" t="n">
        <v>461</v>
      </c>
      <c r="I3101" s="156" t="n"/>
      <c r="J3101" s="90" t="n"/>
      <c r="K3101" s="166" t="n"/>
      <c r="L3101" s="158" t="n"/>
      <c r="M3101" s="159" t="n"/>
    </row>
    <row r="3102">
      <c r="A3102" s="114" t="n">
        <v>46216</v>
      </c>
      <c r="B3102" s="115" t="n">
        <v>1224</v>
      </c>
      <c r="C3102" s="115" t="inlineStr">
        <is>
          <t>SELİM İNŞAAT</t>
        </is>
      </c>
      <c r="D3102" s="115" t="inlineStr">
        <is>
          <t xml:space="preserve"> 34 FBR 705</t>
        </is>
      </c>
      <c r="E3102" s="115" t="inlineStr">
        <is>
          <t>MURAT SARI</t>
        </is>
      </c>
      <c r="F3102" s="115" t="n">
        <v>389232</v>
      </c>
      <c r="G3102" s="156" t="n"/>
      <c r="H3102" s="152" t="n">
        <v>536</v>
      </c>
      <c r="I3102" s="156" t="n"/>
      <c r="J3102" s="90" t="n"/>
      <c r="K3102" s="166" t="n"/>
      <c r="L3102" s="158" t="n"/>
      <c r="M3102" s="159" t="n"/>
    </row>
    <row r="3103">
      <c r="A3103" s="114" t="n">
        <v>46218</v>
      </c>
      <c r="B3103" s="115" t="n">
        <v>1225</v>
      </c>
      <c r="C3103" s="115" t="inlineStr">
        <is>
          <t>SELİM İNŞAAT</t>
        </is>
      </c>
      <c r="D3103" s="115" t="inlineStr">
        <is>
          <t xml:space="preserve"> 34 FBR 705</t>
        </is>
      </c>
      <c r="E3103" s="115" t="inlineStr">
        <is>
          <t>MURAT SARI</t>
        </is>
      </c>
      <c r="F3103" s="115" t="n">
        <v>389875</v>
      </c>
      <c r="G3103" s="156" t="n"/>
      <c r="H3103" s="152" t="n">
        <v>457</v>
      </c>
      <c r="I3103" s="156" t="n"/>
      <c r="J3103" s="90" t="n"/>
      <c r="K3103" s="166" t="n"/>
      <c r="L3103" s="158" t="n"/>
      <c r="M3103" s="159" t="n"/>
    </row>
    <row r="3104">
      <c r="A3104" s="114" t="n">
        <v>46205</v>
      </c>
      <c r="B3104" s="115" t="n">
        <v>212</v>
      </c>
      <c r="C3104" s="115" t="inlineStr">
        <is>
          <t>SELİM İNŞAAT</t>
        </is>
      </c>
      <c r="D3104" s="115" t="inlineStr">
        <is>
          <t>34 DSN 536</t>
        </is>
      </c>
      <c r="E3104" s="115" t="inlineStr">
        <is>
          <t>ADNAN KOÇ</t>
        </is>
      </c>
      <c r="F3104" s="115" t="n">
        <v>449187</v>
      </c>
      <c r="G3104" s="156" t="n"/>
      <c r="H3104" s="152" t="n">
        <v>343</v>
      </c>
      <c r="I3104" s="156" t="n"/>
      <c r="J3104" s="90" t="n"/>
      <c r="K3104" s="166" t="n"/>
      <c r="L3104" s="158" t="n"/>
      <c r="M3104" s="159" t="n"/>
    </row>
    <row r="3105">
      <c r="A3105" s="114" t="n">
        <v>46206</v>
      </c>
      <c r="B3105" s="115" t="n">
        <v>213</v>
      </c>
      <c r="C3105" s="115" t="inlineStr">
        <is>
          <t>SELİM İNŞAAT</t>
        </is>
      </c>
      <c r="D3105" s="115" t="inlineStr">
        <is>
          <t>34 DSN 536</t>
        </is>
      </c>
      <c r="E3105" s="115" t="inlineStr">
        <is>
          <t>ADNAN KOÇ</t>
        </is>
      </c>
      <c r="F3105" s="115" t="n">
        <v>449786</v>
      </c>
      <c r="G3105" s="156" t="n"/>
      <c r="H3105" s="152" t="n">
        <v>422</v>
      </c>
      <c r="I3105" s="156" t="n"/>
      <c r="J3105" s="90" t="n"/>
      <c r="K3105" s="166" t="n"/>
      <c r="L3105" s="158" t="n"/>
      <c r="M3105" s="159" t="n"/>
    </row>
    <row r="3106">
      <c r="A3106" s="114" t="n">
        <v>46209</v>
      </c>
      <c r="B3106" s="115" t="n">
        <v>214</v>
      </c>
      <c r="C3106" s="115" t="inlineStr">
        <is>
          <t>SELİM İNŞAAT</t>
        </is>
      </c>
      <c r="D3106" s="115" t="inlineStr">
        <is>
          <t>34 DSN 536</t>
        </is>
      </c>
      <c r="E3106" s="115" t="inlineStr">
        <is>
          <t>ADNAN KOÇ</t>
        </is>
      </c>
      <c r="F3106" s="115" t="n">
        <v>450264</v>
      </c>
      <c r="G3106" s="156" t="n"/>
      <c r="H3106" s="152" t="n">
        <v>353</v>
      </c>
      <c r="I3106" s="156" t="n"/>
      <c r="J3106" s="90" t="n"/>
      <c r="K3106" s="166" t="n"/>
      <c r="L3106" s="158" t="n"/>
      <c r="M3106" s="159" t="n"/>
    </row>
    <row r="3107">
      <c r="A3107" s="114" t="n">
        <v>46213</v>
      </c>
      <c r="B3107" s="115" t="n">
        <v>215</v>
      </c>
      <c r="C3107" s="115" t="inlineStr">
        <is>
          <t>SELİM İNŞAAT</t>
        </is>
      </c>
      <c r="D3107" s="115" t="inlineStr">
        <is>
          <t>34 DSN 536</t>
        </is>
      </c>
      <c r="E3107" s="115" t="inlineStr">
        <is>
          <t>ADNAN KOÇ</t>
        </is>
      </c>
      <c r="F3107" s="115" t="n">
        <v>451146</v>
      </c>
      <c r="G3107" s="156" t="n"/>
      <c r="H3107" s="152" t="n">
        <v>565</v>
      </c>
      <c r="I3107" s="156" t="n"/>
      <c r="J3107" s="90" t="n"/>
      <c r="K3107" s="166" t="n"/>
      <c r="L3107" s="158" t="n"/>
      <c r="M3107" s="159" t="n"/>
    </row>
    <row r="3108">
      <c r="A3108" s="114" t="n">
        <v>46216</v>
      </c>
      <c r="B3108" s="115" t="n">
        <v>216</v>
      </c>
      <c r="C3108" s="115" t="inlineStr">
        <is>
          <t>SELİM İNŞAAT</t>
        </is>
      </c>
      <c r="D3108" s="115" t="inlineStr">
        <is>
          <t>34 DSN 536</t>
        </is>
      </c>
      <c r="E3108" s="115" t="inlineStr">
        <is>
          <t>ADNAN KOÇ</t>
        </is>
      </c>
      <c r="F3108" s="115" t="n">
        <v>452028</v>
      </c>
      <c r="G3108" s="156" t="n"/>
      <c r="H3108" s="152" t="n">
        <v>564</v>
      </c>
      <c r="I3108" s="156" t="n"/>
      <c r="J3108" s="90" t="n"/>
      <c r="K3108" s="166" t="n"/>
      <c r="L3108" s="158" t="n"/>
      <c r="M3108" s="159" t="n"/>
    </row>
    <row r="3109">
      <c r="A3109" s="114" t="n">
        <v>46218</v>
      </c>
      <c r="B3109" s="115" t="n">
        <v>217</v>
      </c>
      <c r="C3109" s="115" t="inlineStr">
        <is>
          <t>SELİM İNŞAAT</t>
        </is>
      </c>
      <c r="D3109" s="115" t="inlineStr">
        <is>
          <t>34 DSN 536</t>
        </is>
      </c>
      <c r="E3109" s="115" t="inlineStr">
        <is>
          <t>ADNAN KOÇ</t>
        </is>
      </c>
      <c r="F3109" s="115" t="n">
        <v>452904</v>
      </c>
      <c r="G3109" s="156" t="n"/>
      <c r="H3109" s="152" t="n">
        <v>528</v>
      </c>
      <c r="I3109" s="156" t="n"/>
      <c r="J3109" s="90" t="n"/>
      <c r="K3109" s="166" t="n"/>
      <c r="L3109" s="158" t="n"/>
      <c r="M3109" s="159" t="n"/>
    </row>
    <row r="3110">
      <c r="A3110" s="114" t="n">
        <v>46208</v>
      </c>
      <c r="B3110" s="115" t="n">
        <v>934</v>
      </c>
      <c r="C3110" s="115" t="inlineStr">
        <is>
          <t>SELİM İNŞAAT</t>
        </is>
      </c>
      <c r="D3110" s="115" t="inlineStr">
        <is>
          <t>34 FSG 229</t>
        </is>
      </c>
      <c r="E3110" s="115" t="inlineStr">
        <is>
          <t>SİNAN</t>
        </is>
      </c>
      <c r="F3110" s="115" t="n">
        <v>317780</v>
      </c>
      <c r="G3110" s="156" t="n"/>
      <c r="H3110" s="152" t="n">
        <v>490</v>
      </c>
      <c r="I3110" s="156" t="n"/>
      <c r="J3110" s="90" t="n"/>
      <c r="K3110" s="166" t="n"/>
      <c r="L3110" s="158" t="n"/>
      <c r="M3110" s="159" t="n"/>
    </row>
    <row r="3111">
      <c r="A3111" s="114" t="n">
        <v>46209</v>
      </c>
      <c r="B3111" s="115" t="n">
        <v>935</v>
      </c>
      <c r="C3111" s="115" t="inlineStr">
        <is>
          <t>SELİM İNŞAAT</t>
        </is>
      </c>
      <c r="D3111" s="115" t="inlineStr">
        <is>
          <t>34 FSG 229</t>
        </is>
      </c>
      <c r="E3111" s="115" t="inlineStr">
        <is>
          <t>SİNAN</t>
        </is>
      </c>
      <c r="F3111" s="115" t="n">
        <v>318397</v>
      </c>
      <c r="G3111" s="156" t="n"/>
      <c r="H3111" s="152" t="n">
        <v>455</v>
      </c>
      <c r="I3111" s="156" t="n"/>
      <c r="J3111" s="90" t="n"/>
      <c r="K3111" s="166" t="n"/>
      <c r="L3111" s="158" t="n"/>
      <c r="M3111" s="159" t="n"/>
    </row>
    <row r="3112">
      <c r="A3112" s="114" t="n">
        <v>46212</v>
      </c>
      <c r="B3112" s="115" t="n">
        <v>936</v>
      </c>
      <c r="C3112" s="115" t="inlineStr">
        <is>
          <t>SELİM İNŞAAT</t>
        </is>
      </c>
      <c r="D3112" s="115" t="inlineStr">
        <is>
          <t>34 FSG 229</t>
        </is>
      </c>
      <c r="E3112" s="115" t="inlineStr">
        <is>
          <t>SİNAN</t>
        </is>
      </c>
      <c r="F3112" s="115" t="n">
        <v>318948</v>
      </c>
      <c r="G3112" s="156" t="n"/>
      <c r="H3112" s="152" t="n">
        <v>482</v>
      </c>
      <c r="I3112" s="156" t="n"/>
      <c r="J3112" s="90" t="n"/>
      <c r="K3112" s="166" t="n"/>
      <c r="L3112" s="158" t="n"/>
      <c r="M3112" s="159" t="n"/>
    </row>
    <row r="3113">
      <c r="A3113" s="114" t="n">
        <v>46214</v>
      </c>
      <c r="B3113" s="115" t="n">
        <v>937</v>
      </c>
      <c r="C3113" s="115" t="inlineStr">
        <is>
          <t>SELİM İNŞAAT</t>
        </is>
      </c>
      <c r="D3113" s="115" t="inlineStr">
        <is>
          <t>34 FSG 229</t>
        </is>
      </c>
      <c r="E3113" s="115" t="inlineStr">
        <is>
          <t>SİNAN</t>
        </is>
      </c>
      <c r="F3113" s="115" t="n">
        <v>319434</v>
      </c>
      <c r="G3113" s="156" t="n"/>
      <c r="H3113" s="152" t="n">
        <v>416</v>
      </c>
      <c r="I3113" s="156" t="n"/>
      <c r="J3113" s="90" t="n"/>
      <c r="K3113" s="166" t="n"/>
      <c r="L3113" s="158" t="n"/>
      <c r="M3113" s="159" t="n"/>
    </row>
    <row r="3114">
      <c r="A3114" s="114" t="n">
        <v>46216</v>
      </c>
      <c r="B3114" s="115" t="n">
        <v>938</v>
      </c>
      <c r="C3114" s="115" t="inlineStr">
        <is>
          <t>SELİM İNŞAAT</t>
        </is>
      </c>
      <c r="D3114" s="115" t="inlineStr">
        <is>
          <t>34 FSG 229</t>
        </is>
      </c>
      <c r="E3114" s="115" t="inlineStr">
        <is>
          <t>SİNAN</t>
        </is>
      </c>
      <c r="F3114" s="115" t="n">
        <v>320006</v>
      </c>
      <c r="G3114" s="156" t="n"/>
      <c r="H3114" s="152" t="n">
        <v>420</v>
      </c>
      <c r="I3114" s="156" t="n"/>
      <c r="J3114" s="90" t="n"/>
      <c r="K3114" s="166" t="n"/>
      <c r="L3114" s="158" t="n"/>
      <c r="M3114" s="159" t="n"/>
    </row>
    <row r="3115">
      <c r="A3115" s="114" t="n">
        <v>46218</v>
      </c>
      <c r="B3115" s="115" t="n">
        <v>939</v>
      </c>
      <c r="C3115" s="115" t="inlineStr">
        <is>
          <t>SELİM İNŞAAT</t>
        </is>
      </c>
      <c r="D3115" s="115" t="inlineStr">
        <is>
          <t>34 FSG 229</t>
        </is>
      </c>
      <c r="E3115" s="115" t="inlineStr">
        <is>
          <t>SİNAN</t>
        </is>
      </c>
      <c r="F3115" s="115" t="n">
        <v>320553</v>
      </c>
      <c r="G3115" s="156" t="n"/>
      <c r="H3115" s="152" t="n">
        <v>380</v>
      </c>
      <c r="I3115" s="156" t="n"/>
      <c r="J3115" s="90" t="n"/>
      <c r="K3115" s="166" t="n"/>
      <c r="L3115" s="158" t="n"/>
      <c r="M3115" s="159" t="n"/>
    </row>
    <row r="3116">
      <c r="A3116" s="114" t="n">
        <v>46205</v>
      </c>
      <c r="B3116" s="115" t="n">
        <v>1727</v>
      </c>
      <c r="C3116" s="115" t="inlineStr">
        <is>
          <t>SELİM İNŞAAT</t>
        </is>
      </c>
      <c r="D3116" s="115" t="inlineStr">
        <is>
          <t>34 EDC 162</t>
        </is>
      </c>
      <c r="E3116" s="115" t="inlineStr">
        <is>
          <t>YAKUP</t>
        </is>
      </c>
      <c r="F3116" s="115" t="n">
        <v>438457</v>
      </c>
      <c r="G3116" s="156" t="n"/>
      <c r="H3116" s="152" t="n">
        <v>530</v>
      </c>
      <c r="I3116" s="156" t="n"/>
      <c r="J3116" s="90" t="n"/>
      <c r="K3116" s="166" t="n"/>
      <c r="L3116" s="158" t="n"/>
      <c r="M3116" s="159" t="n"/>
    </row>
    <row r="3117">
      <c r="A3117" s="114" t="n">
        <v>46207</v>
      </c>
      <c r="B3117" s="115" t="n">
        <v>1728</v>
      </c>
      <c r="C3117" s="115" t="inlineStr">
        <is>
          <t>SELİM İNŞAAT</t>
        </is>
      </c>
      <c r="D3117" s="115" t="inlineStr">
        <is>
          <t>34 EDC 162</t>
        </is>
      </c>
      <c r="E3117" s="115" t="inlineStr">
        <is>
          <t>YAKUP</t>
        </is>
      </c>
      <c r="F3117" s="115" t="n">
        <v>439144</v>
      </c>
      <c r="G3117" s="156" t="n"/>
      <c r="H3117" s="152" t="n">
        <v>479</v>
      </c>
      <c r="I3117" s="156" t="n"/>
      <c r="J3117" s="90" t="n"/>
      <c r="K3117" s="166" t="n"/>
      <c r="L3117" s="158" t="n"/>
      <c r="M3117" s="159" t="n"/>
    </row>
    <row r="3118">
      <c r="A3118" s="114" t="n">
        <v>46209</v>
      </c>
      <c r="B3118" s="115" t="n">
        <v>1729</v>
      </c>
      <c r="C3118" s="115" t="inlineStr">
        <is>
          <t>SELİM İNŞAAT</t>
        </is>
      </c>
      <c r="D3118" s="115" t="inlineStr">
        <is>
          <t>34 EDC 162</t>
        </is>
      </c>
      <c r="E3118" s="115" t="inlineStr">
        <is>
          <t>YAKUP</t>
        </is>
      </c>
      <c r="F3118" s="115" t="n">
        <v>439698</v>
      </c>
      <c r="G3118" s="156" t="n"/>
      <c r="H3118" s="152" t="n">
        <v>226</v>
      </c>
      <c r="I3118" s="156" t="n"/>
      <c r="J3118" s="90" t="n"/>
      <c r="K3118" s="166" t="n"/>
      <c r="L3118" s="158" t="n"/>
      <c r="M3118" s="159" t="n"/>
    </row>
    <row r="3119">
      <c r="A3119" s="114" t="n">
        <v>46211</v>
      </c>
      <c r="B3119" s="115" t="n">
        <v>1730</v>
      </c>
      <c r="C3119" s="115" t="inlineStr">
        <is>
          <t>SELİM İNŞAAT</t>
        </is>
      </c>
      <c r="D3119" s="115" t="inlineStr">
        <is>
          <t>34 EDC 162</t>
        </is>
      </c>
      <c r="E3119" s="115" t="inlineStr">
        <is>
          <t>YAKUP</t>
        </is>
      </c>
      <c r="F3119" s="115" t="n">
        <v>440034</v>
      </c>
      <c r="G3119" s="156" t="n"/>
      <c r="H3119" s="152" t="n">
        <v>570</v>
      </c>
      <c r="I3119" s="156" t="n"/>
      <c r="J3119" s="90" t="n"/>
      <c r="K3119" s="166" t="n"/>
      <c r="L3119" s="158" t="n"/>
      <c r="M3119" s="159" t="n"/>
    </row>
    <row r="3120">
      <c r="A3120" s="114" t="n">
        <v>46213</v>
      </c>
      <c r="B3120" s="115" t="n">
        <v>1731</v>
      </c>
      <c r="C3120" s="115" t="inlineStr">
        <is>
          <t>SELİM İNŞAAT</t>
        </is>
      </c>
      <c r="D3120" s="115" t="inlineStr">
        <is>
          <t>34 EDC 162</t>
        </is>
      </c>
      <c r="E3120" s="115" t="inlineStr">
        <is>
          <t>YAKUP</t>
        </is>
      </c>
      <c r="F3120" s="115" t="n">
        <v>440673</v>
      </c>
      <c r="G3120" s="156" t="n"/>
      <c r="H3120" s="152" t="n">
        <v>492</v>
      </c>
      <c r="I3120" s="156" t="n"/>
      <c r="J3120" s="90" t="n"/>
      <c r="K3120" s="166" t="n"/>
      <c r="L3120" s="158" t="n"/>
      <c r="M3120" s="159" t="n"/>
    </row>
    <row r="3121">
      <c r="A3121" s="114" t="n">
        <v>46216</v>
      </c>
      <c r="B3121" s="115" t="n">
        <v>1732</v>
      </c>
      <c r="C3121" s="115" t="inlineStr">
        <is>
          <t>SELİM İNŞAAT</t>
        </is>
      </c>
      <c r="D3121" s="115" t="inlineStr">
        <is>
          <t>34 EDC 162</t>
        </is>
      </c>
      <c r="E3121" s="115" t="inlineStr">
        <is>
          <t>YAKUP</t>
        </is>
      </c>
      <c r="F3121" s="115" t="n">
        <v>441400</v>
      </c>
      <c r="G3121" s="156" t="n"/>
      <c r="H3121" s="152" t="n">
        <v>522</v>
      </c>
      <c r="I3121" s="156" t="n"/>
      <c r="J3121" s="90" t="n"/>
      <c r="K3121" s="166" t="n"/>
      <c r="L3121" s="158" t="n"/>
      <c r="M3121" s="159" t="n"/>
    </row>
    <row r="3122">
      <c r="A3122" s="114" t="n">
        <v>46218</v>
      </c>
      <c r="B3122" s="115" t="n">
        <v>1733</v>
      </c>
      <c r="C3122" s="115" t="inlineStr">
        <is>
          <t>SELİM İNŞAAT</t>
        </is>
      </c>
      <c r="D3122" s="115" t="inlineStr">
        <is>
          <t>34 EDC 162</t>
        </is>
      </c>
      <c r="E3122" s="115" t="inlineStr">
        <is>
          <t>YAKUP</t>
        </is>
      </c>
      <c r="F3122" s="115" t="n">
        <v>442127</v>
      </c>
      <c r="G3122" s="156" t="n"/>
      <c r="H3122" s="152" t="n">
        <v>473</v>
      </c>
      <c r="I3122" s="156" t="n"/>
      <c r="J3122" s="90" t="n"/>
      <c r="K3122" s="166" t="n"/>
      <c r="L3122" s="158" t="n"/>
      <c r="M3122" s="159" t="n"/>
    </row>
    <row r="3123">
      <c r="A3123" s="114" t="n">
        <v>46206</v>
      </c>
      <c r="B3123" s="115" t="n">
        <v>185</v>
      </c>
      <c r="C3123" s="115" t="inlineStr">
        <is>
          <t>SELİM İNŞAAT</t>
        </is>
      </c>
      <c r="D3123" s="115" t="inlineStr">
        <is>
          <t>34 FBR 771</t>
        </is>
      </c>
      <c r="E3123" s="115" t="inlineStr">
        <is>
          <t xml:space="preserve">SALİH </t>
        </is>
      </c>
      <c r="F3123" s="115" t="n">
        <v>372925</v>
      </c>
      <c r="G3123" s="156" t="n"/>
      <c r="H3123" s="152" t="n">
        <v>480</v>
      </c>
      <c r="I3123" s="156" t="n"/>
      <c r="J3123" s="90" t="n"/>
      <c r="K3123" s="166" t="n"/>
      <c r="L3123" s="158" t="n"/>
      <c r="M3123" s="159" t="n"/>
    </row>
    <row r="3124">
      <c r="A3124" s="114" t="n">
        <v>46208</v>
      </c>
      <c r="B3124" s="115" t="n">
        <v>186</v>
      </c>
      <c r="C3124" s="115" t="inlineStr">
        <is>
          <t>SELİM İNŞAAT</t>
        </is>
      </c>
      <c r="D3124" s="115" t="inlineStr">
        <is>
          <t>34 FBR 771</t>
        </is>
      </c>
      <c r="E3124" s="115" t="inlineStr">
        <is>
          <t xml:space="preserve">SALİH </t>
        </is>
      </c>
      <c r="F3124" s="115" t="n">
        <v>373717</v>
      </c>
      <c r="G3124" s="156" t="n"/>
      <c r="H3124" s="152" t="n">
        <v>497</v>
      </c>
      <c r="I3124" s="156" t="n"/>
      <c r="J3124" s="90" t="n"/>
      <c r="K3124" s="166" t="n"/>
      <c r="L3124" s="158" t="n"/>
      <c r="M3124" s="159" t="n"/>
    </row>
    <row r="3125">
      <c r="A3125" s="114" t="n">
        <v>46210</v>
      </c>
      <c r="B3125" s="115" t="n">
        <v>187</v>
      </c>
      <c r="C3125" s="115" t="inlineStr">
        <is>
          <t>SELİM İNŞAAT</t>
        </is>
      </c>
      <c r="D3125" s="115" t="inlineStr">
        <is>
          <t>34 FBR 771</t>
        </is>
      </c>
      <c r="E3125" s="115" t="inlineStr">
        <is>
          <t xml:space="preserve">SALİH </t>
        </is>
      </c>
      <c r="F3125" s="115" t="n">
        <v>374409</v>
      </c>
      <c r="G3125" s="156" t="n"/>
      <c r="H3125" s="152" t="n">
        <v>442</v>
      </c>
      <c r="I3125" s="156" t="n"/>
      <c r="J3125" s="90" t="n"/>
      <c r="K3125" s="166" t="n"/>
      <c r="L3125" s="158" t="n"/>
      <c r="M3125" s="159" t="n"/>
    </row>
    <row r="3126">
      <c r="A3126" s="114" t="n">
        <v>46213</v>
      </c>
      <c r="B3126" s="115" t="n">
        <v>188</v>
      </c>
      <c r="C3126" s="115" t="inlineStr">
        <is>
          <t>SELİM İNŞAAT</t>
        </is>
      </c>
      <c r="D3126" s="115" t="inlineStr">
        <is>
          <t>34 FBR 771</t>
        </is>
      </c>
      <c r="E3126" s="115" t="inlineStr">
        <is>
          <t xml:space="preserve">SALİH </t>
        </is>
      </c>
      <c r="F3126" s="115" t="n">
        <v>375096</v>
      </c>
      <c r="G3126" s="156" t="n"/>
      <c r="H3126" s="152" t="n">
        <v>434</v>
      </c>
      <c r="I3126" s="156" t="n"/>
      <c r="J3126" s="90" t="n"/>
      <c r="K3126" s="166" t="n"/>
      <c r="L3126" s="158" t="n"/>
      <c r="M3126" s="159" t="n"/>
    </row>
    <row r="3127">
      <c r="A3127" s="114" t="n">
        <v>46214</v>
      </c>
      <c r="B3127" s="115" t="n">
        <v>189</v>
      </c>
      <c r="C3127" s="115" t="inlineStr">
        <is>
          <t>SELİM İNŞAAT</t>
        </is>
      </c>
      <c r="D3127" s="115" t="inlineStr">
        <is>
          <t>34 FBR 771</t>
        </is>
      </c>
      <c r="E3127" s="115" t="inlineStr">
        <is>
          <t xml:space="preserve">SALİH </t>
        </is>
      </c>
      <c r="F3127" s="115" t="n">
        <v>375661</v>
      </c>
      <c r="G3127" s="156" t="n"/>
      <c r="H3127" s="152" t="n">
        <v>405</v>
      </c>
      <c r="I3127" s="156" t="n"/>
      <c r="J3127" s="90" t="n"/>
      <c r="K3127" s="166" t="n"/>
      <c r="L3127" s="158" t="n"/>
      <c r="M3127" s="159" t="n"/>
    </row>
    <row r="3128">
      <c r="A3128" s="114" t="n">
        <v>46218</v>
      </c>
      <c r="B3128" s="115" t="n">
        <v>190</v>
      </c>
      <c r="C3128" s="115" t="inlineStr">
        <is>
          <t>SELİM İNŞAAT</t>
        </is>
      </c>
      <c r="D3128" s="115" t="inlineStr">
        <is>
          <t>34 FBR 771</t>
        </is>
      </c>
      <c r="E3128" s="115" t="inlineStr">
        <is>
          <t xml:space="preserve">SALİH </t>
        </is>
      </c>
      <c r="F3128" s="115" t="n">
        <v>376495</v>
      </c>
      <c r="G3128" s="156" t="n"/>
      <c r="H3128" s="152" t="n">
        <v>500</v>
      </c>
      <c r="I3128" s="156" t="n"/>
      <c r="J3128" s="90" t="n"/>
      <c r="K3128" s="166" t="n"/>
      <c r="L3128" s="158" t="n"/>
      <c r="M3128" s="159" t="n"/>
    </row>
    <row r="3129">
      <c r="A3129" s="114" t="n">
        <v>46204</v>
      </c>
      <c r="B3129" s="115" t="n">
        <v>4315</v>
      </c>
      <c r="C3129" s="115" t="inlineStr">
        <is>
          <t>SELİM İNŞAAT</t>
        </is>
      </c>
      <c r="D3129" s="115" t="inlineStr">
        <is>
          <t>34 DTV 447</t>
        </is>
      </c>
      <c r="E3129" s="115" t="inlineStr">
        <is>
          <t>ADNAN KOÇ</t>
        </is>
      </c>
      <c r="F3129" s="115" t="n">
        <v>468032</v>
      </c>
      <c r="G3129" s="156" t="n"/>
      <c r="H3129" s="152" t="n">
        <v>378</v>
      </c>
      <c r="I3129" s="156" t="n"/>
      <c r="J3129" s="90" t="n"/>
      <c r="K3129" s="166" t="n"/>
      <c r="L3129" s="158" t="n"/>
      <c r="M3129" s="159" t="n"/>
    </row>
    <row r="3130">
      <c r="A3130" s="114" t="n">
        <v>46207</v>
      </c>
      <c r="B3130" s="115" t="n">
        <v>4316</v>
      </c>
      <c r="C3130" s="115" t="inlineStr">
        <is>
          <t>SELİM İNŞAAT</t>
        </is>
      </c>
      <c r="D3130" s="115" t="inlineStr">
        <is>
          <t>34 DTV 447</t>
        </is>
      </c>
      <c r="E3130" s="115" t="inlineStr">
        <is>
          <t>ADNAN KOÇ</t>
        </is>
      </c>
      <c r="F3130" s="115" t="n">
        <v>468665</v>
      </c>
      <c r="G3130" s="156" t="n"/>
      <c r="H3130" s="152" t="n">
        <v>452</v>
      </c>
      <c r="I3130" s="156" t="n"/>
      <c r="J3130" s="90" t="n"/>
      <c r="K3130" s="166" t="n"/>
      <c r="L3130" s="158" t="n"/>
      <c r="M3130" s="159" t="n"/>
    </row>
    <row r="3131">
      <c r="A3131" s="114" t="n">
        <v>46209</v>
      </c>
      <c r="B3131" s="115" t="n">
        <v>4317</v>
      </c>
      <c r="C3131" s="115" t="inlineStr">
        <is>
          <t>SELİM İNŞAAT</t>
        </is>
      </c>
      <c r="D3131" s="115" t="inlineStr">
        <is>
          <t>34 DTV 447</t>
        </is>
      </c>
      <c r="E3131" s="115" t="inlineStr">
        <is>
          <t>ADNAN KOÇ</t>
        </is>
      </c>
      <c r="F3131" s="115" t="n">
        <v>469203</v>
      </c>
      <c r="G3131" s="156" t="n"/>
      <c r="H3131" s="152" t="n">
        <v>391</v>
      </c>
      <c r="I3131" s="156" t="n"/>
      <c r="J3131" s="90" t="n"/>
      <c r="K3131" s="166" t="n"/>
      <c r="L3131" s="158" t="n"/>
      <c r="M3131" s="159" t="n"/>
    </row>
    <row r="3132">
      <c r="A3132" s="114" t="n">
        <v>46218</v>
      </c>
      <c r="B3132" s="115" t="n">
        <v>4318</v>
      </c>
      <c r="C3132" s="115" t="inlineStr">
        <is>
          <t>SELİM İNŞAAT</t>
        </is>
      </c>
      <c r="D3132" s="115" t="inlineStr">
        <is>
          <t>34 DTV 447</t>
        </is>
      </c>
      <c r="E3132" s="115" t="inlineStr">
        <is>
          <t>ADNAN KOÇ</t>
        </is>
      </c>
      <c r="F3132" s="115" t="n">
        <v>469774</v>
      </c>
      <c r="G3132" s="156" t="n"/>
      <c r="H3132" s="152" t="n">
        <v>552</v>
      </c>
      <c r="I3132" s="156" t="n"/>
      <c r="J3132" s="90" t="n"/>
      <c r="K3132" s="166" t="n"/>
      <c r="L3132" s="158" t="n"/>
      <c r="M3132" s="159" t="n"/>
    </row>
    <row r="3133">
      <c r="A3133" s="114" t="n">
        <v>46204</v>
      </c>
      <c r="B3133" s="115" t="n">
        <v>4839</v>
      </c>
      <c r="C3133" s="115" t="inlineStr">
        <is>
          <t>SELİM İNŞAAT</t>
        </is>
      </c>
      <c r="D3133" s="115" t="inlineStr">
        <is>
          <t>34 EDB 559</t>
        </is>
      </c>
      <c r="E3133" s="115" t="inlineStr">
        <is>
          <t>SELAMETTİN KORKMAZ</t>
        </is>
      </c>
      <c r="F3133" s="115" t="n">
        <v>375653</v>
      </c>
      <c r="G3133" s="156" t="n"/>
      <c r="H3133" s="152" t="n">
        <v>377</v>
      </c>
      <c r="I3133" s="156" t="n"/>
      <c r="J3133" s="90" t="n"/>
      <c r="K3133" s="166" t="n"/>
      <c r="L3133" s="158" t="n"/>
      <c r="M3133" s="159" t="n"/>
    </row>
    <row r="3134">
      <c r="A3134" s="114" t="n">
        <v>46205</v>
      </c>
      <c r="B3134" s="115" t="n">
        <v>4840</v>
      </c>
      <c r="C3134" s="115" t="inlineStr">
        <is>
          <t>SELİM İNŞAAT</t>
        </is>
      </c>
      <c r="D3134" s="115" t="inlineStr">
        <is>
          <t>34 EDB 559</t>
        </is>
      </c>
      <c r="E3134" s="115" t="inlineStr">
        <is>
          <t>SELAMETTİN KORKMAZ</t>
        </is>
      </c>
      <c r="F3134" s="115" t="n">
        <v>376170</v>
      </c>
      <c r="G3134" s="156" t="n"/>
      <c r="H3134" s="152" t="n">
        <v>407</v>
      </c>
      <c r="I3134" s="156" t="n"/>
      <c r="J3134" s="90" t="n"/>
      <c r="K3134" s="166" t="n"/>
      <c r="L3134" s="158" t="n"/>
      <c r="M3134" s="159" t="n"/>
    </row>
    <row r="3135">
      <c r="A3135" s="114" t="n">
        <v>46207</v>
      </c>
      <c r="B3135" s="115" t="n">
        <v>4841</v>
      </c>
      <c r="C3135" s="115" t="inlineStr">
        <is>
          <t>SELİM İNŞAAT</t>
        </is>
      </c>
      <c r="D3135" s="115" t="inlineStr">
        <is>
          <t>34 EDB 559</t>
        </is>
      </c>
      <c r="E3135" s="115" t="inlineStr">
        <is>
          <t>SELAMETTİN KORKMAZ</t>
        </is>
      </c>
      <c r="F3135" s="115" t="n">
        <v>376757</v>
      </c>
      <c r="G3135" s="156" t="n"/>
      <c r="H3135" s="152" t="n">
        <v>403</v>
      </c>
      <c r="I3135" s="156" t="n"/>
      <c r="J3135" s="90" t="n"/>
      <c r="K3135" s="166" t="n"/>
      <c r="L3135" s="158" t="n"/>
      <c r="M3135" s="159" t="n"/>
    </row>
    <row r="3136">
      <c r="A3136" s="114" t="n">
        <v>46208</v>
      </c>
      <c r="B3136" s="115" t="n">
        <v>4842</v>
      </c>
      <c r="C3136" s="115" t="inlineStr">
        <is>
          <t>SELİM İNŞAAT</t>
        </is>
      </c>
      <c r="D3136" s="115" t="inlineStr">
        <is>
          <t>34 EDB 559</t>
        </is>
      </c>
      <c r="E3136" s="115" t="inlineStr">
        <is>
          <t>SELAMETTİN KORKMAZ</t>
        </is>
      </c>
      <c r="F3136" s="115" t="n">
        <v>377437</v>
      </c>
      <c r="G3136" s="156" t="n"/>
      <c r="H3136" s="152" t="n">
        <v>432</v>
      </c>
      <c r="I3136" s="156" t="n"/>
      <c r="J3136" s="90" t="n"/>
      <c r="K3136" s="166" t="n"/>
      <c r="L3136" s="158" t="n"/>
      <c r="M3136" s="159" t="n"/>
    </row>
    <row r="3137">
      <c r="A3137" s="114" t="n">
        <v>46210</v>
      </c>
      <c r="B3137" s="115" t="n">
        <v>4843</v>
      </c>
      <c r="C3137" s="115" t="inlineStr">
        <is>
          <t>SELİM İNŞAAT</t>
        </is>
      </c>
      <c r="D3137" s="115" t="inlineStr">
        <is>
          <t>34 EDB 559</t>
        </is>
      </c>
      <c r="E3137" s="115" t="inlineStr">
        <is>
          <t>SELAMETTİN KORKMAZ</t>
        </is>
      </c>
      <c r="F3137" s="115" t="n">
        <v>378048</v>
      </c>
      <c r="G3137" s="156" t="n"/>
      <c r="H3137" s="152" t="n">
        <v>412</v>
      </c>
      <c r="I3137" s="156" t="n"/>
      <c r="J3137" s="90" t="n"/>
      <c r="K3137" s="166" t="n"/>
      <c r="L3137" s="158" t="n"/>
      <c r="M3137" s="159" t="n"/>
    </row>
    <row r="3138">
      <c r="A3138" s="114" t="n">
        <v>46211</v>
      </c>
      <c r="B3138" s="115" t="n">
        <v>4844</v>
      </c>
      <c r="C3138" s="115" t="inlineStr">
        <is>
          <t>SELİM İNŞAAT</t>
        </is>
      </c>
      <c r="D3138" s="115" t="inlineStr">
        <is>
          <t>34 EDB 559</t>
        </is>
      </c>
      <c r="E3138" s="115" t="inlineStr">
        <is>
          <t>SELAMETTİN KORKMAZ</t>
        </is>
      </c>
      <c r="F3138" s="115" t="n">
        <v>378465</v>
      </c>
      <c r="G3138" s="156" t="n"/>
      <c r="H3138" s="152" t="n">
        <v>325</v>
      </c>
      <c r="I3138" s="156" t="n"/>
      <c r="J3138" s="90" t="n"/>
      <c r="K3138" s="166" t="n"/>
      <c r="L3138" s="158" t="n"/>
      <c r="M3138" s="159" t="n"/>
    </row>
    <row r="3139">
      <c r="A3139" s="114" t="n">
        <v>46213</v>
      </c>
      <c r="B3139" s="115" t="n">
        <v>4845</v>
      </c>
      <c r="C3139" s="115" t="inlineStr">
        <is>
          <t>SELİM İNŞAAT</t>
        </is>
      </c>
      <c r="D3139" s="115" t="inlineStr">
        <is>
          <t>34 EDB 559</t>
        </is>
      </c>
      <c r="E3139" s="115" t="inlineStr">
        <is>
          <t>SELAMETTİN KORKMAZ</t>
        </is>
      </c>
      <c r="F3139" s="115" t="n">
        <v>378904</v>
      </c>
      <c r="G3139" s="156" t="n"/>
      <c r="H3139" s="152" t="n">
        <v>325</v>
      </c>
      <c r="I3139" s="156" t="n"/>
      <c r="J3139" s="90" t="n"/>
      <c r="K3139" s="166" t="n"/>
      <c r="L3139" s="158" t="n"/>
      <c r="M3139" s="159" t="n"/>
    </row>
    <row r="3140">
      <c r="A3140" s="114" t="n">
        <v>46214</v>
      </c>
      <c r="B3140" s="115" t="n">
        <v>4846</v>
      </c>
      <c r="C3140" s="115" t="inlineStr">
        <is>
          <t>SELİM İNŞAAT</t>
        </is>
      </c>
      <c r="D3140" s="115" t="inlineStr">
        <is>
          <t>34 EDB 559</t>
        </is>
      </c>
      <c r="E3140" s="115" t="inlineStr">
        <is>
          <t>SELAMETTİN KORKMAZ</t>
        </is>
      </c>
      <c r="F3140" s="115" t="n">
        <v>379575</v>
      </c>
      <c r="G3140" s="156" t="n"/>
      <c r="H3140" s="152" t="n">
        <v>460</v>
      </c>
      <c r="I3140" s="156" t="n"/>
      <c r="J3140" s="90" t="n"/>
      <c r="K3140" s="166" t="n"/>
      <c r="L3140" s="158" t="n"/>
      <c r="M3140" s="159" t="n"/>
    </row>
    <row r="3141">
      <c r="A3141" s="114" t="n">
        <v>46217</v>
      </c>
      <c r="B3141" s="115" t="n">
        <v>4847</v>
      </c>
      <c r="C3141" s="115" t="inlineStr">
        <is>
          <t>SELİM İNŞAAT</t>
        </is>
      </c>
      <c r="D3141" s="115" t="inlineStr">
        <is>
          <t>34 EDB 559</t>
        </is>
      </c>
      <c r="E3141" s="115" t="inlineStr">
        <is>
          <t>SELAMETTİN KORKMAZ</t>
        </is>
      </c>
      <c r="F3141" s="115" t="n">
        <v>380274</v>
      </c>
      <c r="G3141" s="156" t="n"/>
      <c r="H3141" s="152" t="n">
        <v>438</v>
      </c>
      <c r="I3141" s="156" t="n"/>
      <c r="J3141" s="90" t="n"/>
      <c r="K3141" s="166" t="n"/>
      <c r="L3141" s="158" t="n"/>
      <c r="M3141" s="159" t="n"/>
    </row>
    <row r="3142">
      <c r="A3142" s="114" t="n">
        <v>46218</v>
      </c>
      <c r="B3142" s="115" t="n">
        <v>4848</v>
      </c>
      <c r="C3142" s="115" t="inlineStr">
        <is>
          <t>SELİM İNŞAAT</t>
        </is>
      </c>
      <c r="D3142" s="115" t="inlineStr">
        <is>
          <t>34 EDB 559</t>
        </is>
      </c>
      <c r="E3142" s="115" t="inlineStr">
        <is>
          <t>SELAMETTİN KORKMAZ</t>
        </is>
      </c>
      <c r="F3142" s="115" t="n">
        <v>380740</v>
      </c>
      <c r="G3142" s="156" t="n"/>
      <c r="H3142" s="152" t="n">
        <v>310</v>
      </c>
      <c r="I3142" s="156" t="n"/>
      <c r="J3142" s="90" t="n"/>
      <c r="K3142" s="166" t="n"/>
      <c r="L3142" s="158" t="n"/>
      <c r="M3142" s="159" t="n"/>
    </row>
    <row r="3143">
      <c r="A3143" s="114" t="n">
        <v>46206</v>
      </c>
      <c r="B3143" s="115" t="n">
        <v>4143</v>
      </c>
      <c r="C3143" s="115" t="inlineStr">
        <is>
          <t>SELİM İNŞAAT</t>
        </is>
      </c>
      <c r="D3143" s="115" t="inlineStr">
        <is>
          <t>34 EDB 659</t>
        </is>
      </c>
      <c r="E3143" s="115" t="inlineStr">
        <is>
          <t>MEHMETALİ BOZBEŞPAR</t>
        </is>
      </c>
      <c r="F3143" s="115" t="n">
        <v>408232</v>
      </c>
      <c r="G3143" s="156" t="n"/>
      <c r="H3143" s="152" t="n">
        <v>413</v>
      </c>
      <c r="I3143" s="156" t="n"/>
      <c r="J3143" s="90" t="n"/>
      <c r="K3143" s="166" t="n"/>
      <c r="L3143" s="158" t="n"/>
      <c r="M3143" s="159" t="n"/>
    </row>
    <row r="3144">
      <c r="A3144" s="114" t="n">
        <v>46208</v>
      </c>
      <c r="B3144" s="115" t="n">
        <v>4144</v>
      </c>
      <c r="C3144" s="115" t="inlineStr">
        <is>
          <t>SELİM İNŞAAT</t>
        </is>
      </c>
      <c r="D3144" s="115" t="inlineStr">
        <is>
          <t>34 EDB 659</t>
        </is>
      </c>
      <c r="E3144" s="115" t="inlineStr">
        <is>
          <t>MEHMETALİ BOZBEŞPAR</t>
        </is>
      </c>
      <c r="F3144" s="115" t="n">
        <v>409026</v>
      </c>
      <c r="G3144" s="156" t="n"/>
      <c r="H3144" s="152" t="n">
        <v>507</v>
      </c>
      <c r="I3144" s="156" t="n"/>
      <c r="J3144" s="90" t="n"/>
      <c r="K3144" s="166" t="n"/>
      <c r="L3144" s="158" t="n"/>
      <c r="M3144" s="159" t="n"/>
    </row>
    <row r="3145">
      <c r="A3145" s="114" t="n">
        <v>46216</v>
      </c>
      <c r="B3145" s="115" t="n">
        <v>4145</v>
      </c>
      <c r="C3145" s="115" t="inlineStr">
        <is>
          <t>SELİM İNŞAAT</t>
        </is>
      </c>
      <c r="D3145" s="115" t="inlineStr">
        <is>
          <t>34 EDB 659</t>
        </is>
      </c>
      <c r="E3145" s="115" t="inlineStr">
        <is>
          <t>MEHMETALİ BOZBEŞPAR</t>
        </is>
      </c>
      <c r="F3145" s="115" t="n">
        <v>409733</v>
      </c>
      <c r="G3145" s="156" t="n"/>
      <c r="H3145" s="152" t="n">
        <v>513</v>
      </c>
      <c r="I3145" s="156" t="n"/>
      <c r="J3145" s="90" t="n"/>
      <c r="K3145" s="166" t="n"/>
      <c r="L3145" s="158" t="n"/>
      <c r="M3145" s="159" t="n"/>
    </row>
    <row r="3146">
      <c r="A3146" s="114" t="n">
        <v>46219</v>
      </c>
      <c r="B3146" s="115" t="n">
        <v>4146</v>
      </c>
      <c r="C3146" s="115" t="inlineStr">
        <is>
          <t>SELİM İNŞAAT</t>
        </is>
      </c>
      <c r="D3146" s="115" t="inlineStr">
        <is>
          <t>34 EDB 659</t>
        </is>
      </c>
      <c r="E3146" s="115" t="inlineStr">
        <is>
          <t>MEHMETALİ BOZBEŞPAR</t>
        </is>
      </c>
      <c r="F3146" s="115" t="n">
        <v>410605</v>
      </c>
      <c r="G3146" s="156" t="n"/>
      <c r="H3146" s="152" t="n">
        <v>560</v>
      </c>
      <c r="I3146" s="156" t="n"/>
      <c r="J3146" s="90" t="n"/>
      <c r="K3146" s="166" t="n"/>
      <c r="L3146" s="158" t="n"/>
      <c r="M3146" s="159" t="n"/>
    </row>
    <row r="3147">
      <c r="A3147" s="114" t="n">
        <v>46205</v>
      </c>
      <c r="B3147" s="115" t="n">
        <v>4375</v>
      </c>
      <c r="C3147" s="115" t="inlineStr">
        <is>
          <t>SELİM İNŞAAT</t>
        </is>
      </c>
      <c r="D3147" s="115" t="inlineStr">
        <is>
          <t>34 EDB 829</t>
        </is>
      </c>
      <c r="E3147" s="115" t="inlineStr">
        <is>
          <t>MÜCAHİT BOZBEŞ</t>
        </is>
      </c>
      <c r="F3147" s="115" t="n">
        <v>362831</v>
      </c>
      <c r="G3147" s="156" t="n"/>
      <c r="H3147" s="152" t="n">
        <v>557</v>
      </c>
      <c r="I3147" s="156" t="n"/>
      <c r="J3147" s="90" t="n"/>
      <c r="K3147" s="166" t="n"/>
      <c r="L3147" s="158" t="n"/>
      <c r="M3147" s="159" t="n"/>
    </row>
    <row r="3148">
      <c r="A3148" s="114" t="n">
        <v>46211</v>
      </c>
      <c r="B3148" s="115" t="n">
        <v>4376</v>
      </c>
      <c r="C3148" s="115" t="inlineStr">
        <is>
          <t>SELİM İNŞAAT</t>
        </is>
      </c>
      <c r="D3148" s="115" t="inlineStr">
        <is>
          <t>34 EDB 829</t>
        </is>
      </c>
      <c r="E3148" s="115" t="inlineStr">
        <is>
          <t>MÜCAHİT BOZBEŞ</t>
        </is>
      </c>
      <c r="F3148" s="115" t="n">
        <v>363595</v>
      </c>
      <c r="G3148" s="156" t="n"/>
      <c r="H3148" s="152" t="n">
        <v>543</v>
      </c>
      <c r="I3148" s="156" t="n"/>
      <c r="J3148" s="90" t="n"/>
      <c r="K3148" s="166" t="n"/>
      <c r="L3148" s="158" t="n"/>
      <c r="M3148" s="159" t="n"/>
    </row>
    <row r="3149">
      <c r="A3149" s="114" t="n">
        <v>46213</v>
      </c>
      <c r="B3149" s="115" t="n">
        <v>4377</v>
      </c>
      <c r="C3149" s="115" t="inlineStr">
        <is>
          <t>SELİM İNŞAAT</t>
        </is>
      </c>
      <c r="D3149" s="115" t="inlineStr">
        <is>
          <t>34 EDB 829</t>
        </is>
      </c>
      <c r="E3149" s="115" t="inlineStr">
        <is>
          <t>MÜCAHİT BOZBEŞ</t>
        </is>
      </c>
      <c r="F3149" s="115" t="n">
        <v>364262</v>
      </c>
      <c r="G3149" s="156" t="n"/>
      <c r="H3149" s="152" t="n">
        <v>512</v>
      </c>
      <c r="I3149" s="156" t="n"/>
      <c r="J3149" s="90" t="n"/>
      <c r="K3149" s="166" t="n"/>
      <c r="L3149" s="158" t="n"/>
      <c r="M3149" s="159" t="n"/>
    </row>
    <row r="3150">
      <c r="A3150" s="114" t="n">
        <v>46216</v>
      </c>
      <c r="B3150" s="115" t="n">
        <v>4378</v>
      </c>
      <c r="C3150" s="115" t="inlineStr">
        <is>
          <t>SELİM İNŞAAT</t>
        </is>
      </c>
      <c r="D3150" s="115" t="inlineStr">
        <is>
          <t>34 EDB 829</t>
        </is>
      </c>
      <c r="E3150" s="115" t="inlineStr">
        <is>
          <t>MÜCAHİT BOZBEŞ</t>
        </is>
      </c>
      <c r="F3150" s="115" t="n">
        <v>365054</v>
      </c>
      <c r="G3150" s="156" t="n"/>
      <c r="H3150" s="152" t="n">
        <v>566</v>
      </c>
      <c r="I3150" s="156" t="n"/>
      <c r="J3150" s="90" t="n"/>
      <c r="K3150" s="166" t="n"/>
      <c r="L3150" s="158" t="n"/>
      <c r="M3150" s="159" t="n"/>
    </row>
    <row r="3151">
      <c r="A3151" s="114" t="n">
        <v>46218</v>
      </c>
      <c r="B3151" s="115" t="n">
        <v>4379</v>
      </c>
      <c r="C3151" s="115" t="inlineStr">
        <is>
          <t>SELİM İNŞAAT</t>
        </is>
      </c>
      <c r="D3151" s="115" t="inlineStr">
        <is>
          <t>34 EDB 829</t>
        </is>
      </c>
      <c r="E3151" s="115" t="inlineStr">
        <is>
          <t>MÜCAHİT BOZBEŞ</t>
        </is>
      </c>
      <c r="F3151" s="115" t="n">
        <v>365923</v>
      </c>
      <c r="G3151" s="156" t="n"/>
      <c r="H3151" s="152" t="n">
        <v>570</v>
      </c>
      <c r="I3151" s="156" t="n"/>
      <c r="J3151" s="90" t="n"/>
      <c r="K3151" s="166" t="n"/>
      <c r="L3151" s="158" t="n"/>
      <c r="M3151" s="159" t="n"/>
    </row>
    <row r="3152">
      <c r="A3152" s="114" t="n">
        <v>46204</v>
      </c>
      <c r="B3152" s="115" t="n">
        <v>4545</v>
      </c>
      <c r="C3152" s="115" t="inlineStr">
        <is>
          <t>SELİM İNŞAAT</t>
        </is>
      </c>
      <c r="D3152" s="115" t="inlineStr">
        <is>
          <t>34 DTV 352</t>
        </is>
      </c>
      <c r="E3152" s="115" t="inlineStr">
        <is>
          <t>YUSUF</t>
        </is>
      </c>
      <c r="F3152" s="115" t="n">
        <v>494249</v>
      </c>
      <c r="G3152" s="156" t="n"/>
      <c r="H3152" s="152" t="n">
        <v>430</v>
      </c>
      <c r="I3152" s="156" t="n"/>
      <c r="J3152" s="90" t="n"/>
      <c r="K3152" s="166" t="n"/>
      <c r="L3152" s="158" t="n"/>
      <c r="M3152" s="159" t="n"/>
    </row>
    <row r="3153">
      <c r="A3153" s="114" t="n">
        <v>46205</v>
      </c>
      <c r="B3153" s="115" t="n">
        <v>4546</v>
      </c>
      <c r="C3153" s="115" t="inlineStr">
        <is>
          <t>SELİM İNŞAAT</t>
        </is>
      </c>
      <c r="D3153" s="115" t="inlineStr">
        <is>
          <t>34 DTV 352</t>
        </is>
      </c>
      <c r="E3153" s="115" t="inlineStr">
        <is>
          <t>YUSUF</t>
        </is>
      </c>
      <c r="F3153" s="115" t="n">
        <v>494642</v>
      </c>
      <c r="G3153" s="156" t="n"/>
      <c r="H3153" s="152" t="n">
        <v>350</v>
      </c>
      <c r="I3153" s="156" t="n"/>
      <c r="J3153" s="90" t="n"/>
      <c r="K3153" s="166" t="n"/>
      <c r="L3153" s="158" t="n"/>
      <c r="M3153" s="159" t="n"/>
    </row>
    <row r="3154">
      <c r="A3154" s="114" t="n">
        <v>46207</v>
      </c>
      <c r="B3154" s="115" t="n">
        <v>4547</v>
      </c>
      <c r="C3154" s="115" t="inlineStr">
        <is>
          <t>SELİM İNŞAAT</t>
        </is>
      </c>
      <c r="D3154" s="115" t="inlineStr">
        <is>
          <t>34 DTV 352</t>
        </is>
      </c>
      <c r="E3154" s="115" t="inlineStr">
        <is>
          <t>YUSUF</t>
        </is>
      </c>
      <c r="F3154" s="115" t="n">
        <v>495287</v>
      </c>
      <c r="G3154" s="156" t="n"/>
      <c r="H3154" s="152" t="n">
        <v>462</v>
      </c>
      <c r="I3154" s="156" t="n"/>
      <c r="J3154" s="90" t="n"/>
      <c r="K3154" s="166" t="n"/>
      <c r="L3154" s="158" t="n"/>
      <c r="M3154" s="159" t="n"/>
    </row>
    <row r="3155">
      <c r="A3155" s="114" t="n">
        <v>46208</v>
      </c>
      <c r="B3155" s="115" t="n">
        <v>4548</v>
      </c>
      <c r="C3155" s="115" t="inlineStr">
        <is>
          <t>SELİM İNŞAAT</t>
        </is>
      </c>
      <c r="D3155" s="115" t="inlineStr">
        <is>
          <t>34 DTV 352</t>
        </is>
      </c>
      <c r="E3155" s="115" t="inlineStr">
        <is>
          <t>YUSUF</t>
        </is>
      </c>
      <c r="F3155" s="115" t="n">
        <v>495802</v>
      </c>
      <c r="G3155" s="156" t="n"/>
      <c r="H3155" s="152" t="n">
        <v>348</v>
      </c>
      <c r="I3155" s="156" t="n"/>
      <c r="J3155" s="90" t="n"/>
      <c r="K3155" s="166" t="n"/>
      <c r="L3155" s="158" t="n"/>
      <c r="M3155" s="159" t="n"/>
    </row>
    <row r="3156">
      <c r="A3156" s="114" t="n">
        <v>46209</v>
      </c>
      <c r="B3156" s="115" t="n">
        <v>4549</v>
      </c>
      <c r="C3156" s="115" t="inlineStr">
        <is>
          <t>SELİM İNŞAAT</t>
        </is>
      </c>
      <c r="D3156" s="115" t="inlineStr">
        <is>
          <t>34 DTV 352</t>
        </is>
      </c>
      <c r="E3156" s="115" t="inlineStr">
        <is>
          <t>YUSUF</t>
        </is>
      </c>
      <c r="F3156" s="115" t="n">
        <v>496179</v>
      </c>
      <c r="G3156" s="156" t="n"/>
      <c r="H3156" s="152" t="n">
        <v>300</v>
      </c>
      <c r="I3156" s="156" t="n"/>
      <c r="J3156" s="90" t="n"/>
      <c r="K3156" s="166" t="n"/>
      <c r="L3156" s="158" t="n"/>
      <c r="M3156" s="159" t="n"/>
    </row>
    <row r="3157">
      <c r="A3157" s="114" t="n">
        <v>46212</v>
      </c>
      <c r="B3157" s="115" t="n">
        <v>4550</v>
      </c>
      <c r="C3157" s="115" t="inlineStr">
        <is>
          <t>SELİM İNŞAAT</t>
        </is>
      </c>
      <c r="D3157" s="115" t="inlineStr">
        <is>
          <t>34 DTV 352</t>
        </is>
      </c>
      <c r="E3157" s="115" t="inlineStr">
        <is>
          <t>YUSUF</t>
        </is>
      </c>
      <c r="F3157" s="115" t="n">
        <v>496833</v>
      </c>
      <c r="G3157" s="156" t="n"/>
      <c r="H3157" s="152" t="n">
        <v>523</v>
      </c>
      <c r="I3157" s="156" t="n"/>
      <c r="J3157" s="90" t="n"/>
      <c r="K3157" s="166" t="n"/>
      <c r="L3157" s="158" t="n"/>
      <c r="M3157" s="159" t="n"/>
    </row>
    <row r="3158">
      <c r="A3158" s="114" t="n">
        <v>46218</v>
      </c>
      <c r="B3158" s="115" t="n">
        <v>4551</v>
      </c>
      <c r="C3158" s="115" t="inlineStr">
        <is>
          <t>SELİM İNŞAAT</t>
        </is>
      </c>
      <c r="D3158" s="115" t="inlineStr">
        <is>
          <t>34 DTV 352</t>
        </is>
      </c>
      <c r="E3158" s="115" t="inlineStr">
        <is>
          <t>YUSUF</t>
        </is>
      </c>
      <c r="F3158" s="115" t="n">
        <v>497441</v>
      </c>
      <c r="G3158" s="156" t="n"/>
      <c r="H3158" s="152" t="n">
        <v>442</v>
      </c>
      <c r="I3158" s="156" t="n"/>
      <c r="J3158" s="90" t="n"/>
      <c r="K3158" s="166" t="n"/>
      <c r="L3158" s="158" t="n"/>
      <c r="M3158" s="159" t="n"/>
    </row>
    <row r="3159">
      <c r="A3159" s="114" t="n">
        <v>46205</v>
      </c>
      <c r="B3159" s="115" t="n">
        <v>2203</v>
      </c>
      <c r="C3159" s="115" t="inlineStr">
        <is>
          <t>SELİM İNŞAAT</t>
        </is>
      </c>
      <c r="D3159" s="115" t="inlineStr">
        <is>
          <t>34 FBR 748</t>
        </is>
      </c>
      <c r="E3159" s="115" t="inlineStr">
        <is>
          <t>YAŞAR ÖZKAYA</t>
        </is>
      </c>
      <c r="F3159" s="115" t="n">
        <v>348072</v>
      </c>
      <c r="G3159" s="156" t="n"/>
      <c r="H3159" s="152" t="n">
        <v>516</v>
      </c>
      <c r="I3159" s="156" t="n"/>
      <c r="J3159" s="90" t="n"/>
      <c r="K3159" s="166" t="n"/>
      <c r="L3159" s="158" t="n"/>
      <c r="M3159" s="159" t="n"/>
    </row>
    <row r="3160">
      <c r="A3160" s="114" t="n">
        <v>46206</v>
      </c>
      <c r="B3160" s="115" t="n">
        <v>2204</v>
      </c>
      <c r="C3160" s="115" t="inlineStr">
        <is>
          <t>SELİM İNŞAAT</t>
        </is>
      </c>
      <c r="D3160" s="115" t="inlineStr">
        <is>
          <t>34 FBR 748</t>
        </is>
      </c>
      <c r="E3160" s="115" t="inlineStr">
        <is>
          <t>YAŞAR ÖZKAYA</t>
        </is>
      </c>
      <c r="F3160" s="115" t="n">
        <v>348414</v>
      </c>
      <c r="G3160" s="156" t="n"/>
      <c r="H3160" s="152" t="n">
        <v>314</v>
      </c>
      <c r="I3160" s="156" t="n"/>
      <c r="J3160" s="90" t="n"/>
      <c r="K3160" s="166" t="n"/>
      <c r="L3160" s="158" t="n"/>
      <c r="M3160" s="159" t="n"/>
    </row>
    <row r="3161">
      <c r="A3161" s="114" t="n">
        <v>46207</v>
      </c>
      <c r="B3161" s="115" t="n">
        <v>2205</v>
      </c>
      <c r="C3161" s="115" t="inlineStr">
        <is>
          <t>SELİM İNŞAAT</t>
        </is>
      </c>
      <c r="D3161" s="115" t="inlineStr">
        <is>
          <t>34 FBR 748</t>
        </is>
      </c>
      <c r="E3161" s="115" t="inlineStr">
        <is>
          <t>YAŞAR ÖZKAYA</t>
        </is>
      </c>
      <c r="F3161" s="115" t="n">
        <v>348864</v>
      </c>
      <c r="G3161" s="156" t="n"/>
      <c r="H3161" s="152" t="n">
        <v>337</v>
      </c>
      <c r="I3161" s="156" t="n"/>
      <c r="J3161" s="90" t="n"/>
      <c r="K3161" s="166" t="n"/>
      <c r="L3161" s="158" t="n"/>
      <c r="M3161" s="159" t="n"/>
    </row>
    <row r="3162">
      <c r="A3162" s="114" t="n">
        <v>46208</v>
      </c>
      <c r="B3162" s="115" t="n">
        <v>2206</v>
      </c>
      <c r="C3162" s="115" t="inlineStr">
        <is>
          <t>SELİM İNŞAAT</t>
        </is>
      </c>
      <c r="D3162" s="115" t="inlineStr">
        <is>
          <t>34 FBR 748</t>
        </is>
      </c>
      <c r="E3162" s="115" t="inlineStr">
        <is>
          <t>YAŞAR ÖZKAYA</t>
        </is>
      </c>
      <c r="F3162" s="115" t="n">
        <v>349347</v>
      </c>
      <c r="G3162" s="156" t="n"/>
      <c r="H3162" s="152" t="n">
        <v>361</v>
      </c>
      <c r="I3162" s="156" t="n"/>
      <c r="J3162" s="90" t="n"/>
      <c r="K3162" s="166" t="n"/>
      <c r="L3162" s="158" t="n"/>
      <c r="M3162" s="159" t="n"/>
    </row>
    <row r="3163">
      <c r="A3163" s="114" t="n">
        <v>46210</v>
      </c>
      <c r="B3163" s="115" t="n">
        <v>2207</v>
      </c>
      <c r="C3163" s="115" t="inlineStr">
        <is>
          <t>SELİM İNŞAAT</t>
        </is>
      </c>
      <c r="D3163" s="115" t="inlineStr">
        <is>
          <t>34 FBR 748</t>
        </is>
      </c>
      <c r="E3163" s="115" t="inlineStr">
        <is>
          <t>YAŞAR ÖZKAYA</t>
        </is>
      </c>
      <c r="F3163" s="115" t="n">
        <v>350062</v>
      </c>
      <c r="G3163" s="156" t="n"/>
      <c r="H3163" s="152" t="n">
        <v>510</v>
      </c>
      <c r="I3163" s="156" t="n"/>
      <c r="J3163" s="90" t="n"/>
      <c r="K3163" s="166" t="n"/>
      <c r="L3163" s="158" t="n"/>
      <c r="M3163" s="159" t="n"/>
    </row>
    <row r="3164">
      <c r="A3164" s="114" t="n">
        <v>46214</v>
      </c>
      <c r="B3164" s="115" t="n">
        <v>2208</v>
      </c>
      <c r="C3164" s="115" t="inlineStr">
        <is>
          <t>SELİM İNŞAAT</t>
        </is>
      </c>
      <c r="D3164" s="115" t="inlineStr">
        <is>
          <t>34 FBR 748</t>
        </is>
      </c>
      <c r="E3164" s="115" t="inlineStr">
        <is>
          <t>YAŞAR ÖZKAYA</t>
        </is>
      </c>
      <c r="F3164" s="115" t="n">
        <v>350723</v>
      </c>
      <c r="G3164" s="156" t="n"/>
      <c r="H3164" s="152" t="n">
        <v>490</v>
      </c>
      <c r="I3164" s="156" t="n"/>
      <c r="J3164" s="90" t="n"/>
      <c r="K3164" s="166" t="n"/>
      <c r="L3164" s="158" t="n"/>
      <c r="M3164" s="159" t="n"/>
    </row>
    <row r="3165">
      <c r="A3165" s="114" t="n">
        <v>46217</v>
      </c>
      <c r="B3165" s="115" t="n">
        <v>2209</v>
      </c>
      <c r="C3165" s="115" t="inlineStr">
        <is>
          <t>SELİM İNŞAAT</t>
        </is>
      </c>
      <c r="D3165" s="115" t="inlineStr">
        <is>
          <t>34 FBR 748</t>
        </is>
      </c>
      <c r="E3165" s="115" t="inlineStr">
        <is>
          <t>YAŞAR ÖZKAYA</t>
        </is>
      </c>
      <c r="F3165" s="115" t="n">
        <v>351143</v>
      </c>
      <c r="G3165" s="156" t="n"/>
      <c r="H3165" s="152" t="n">
        <v>354</v>
      </c>
      <c r="I3165" s="156" t="n"/>
      <c r="J3165" s="90" t="n"/>
      <c r="K3165" s="166" t="n"/>
      <c r="L3165" s="158" t="n"/>
      <c r="M3165" s="159" t="n"/>
    </row>
    <row r="3166">
      <c r="A3166" s="114" t="n">
        <v>46218</v>
      </c>
      <c r="B3166" s="115" t="n">
        <v>2210</v>
      </c>
      <c r="C3166" s="115" t="inlineStr">
        <is>
          <t>SELİM İNŞAAT</t>
        </is>
      </c>
      <c r="D3166" s="115" t="inlineStr">
        <is>
          <t>34 FBR 748</t>
        </is>
      </c>
      <c r="E3166" s="115" t="inlineStr">
        <is>
          <t>YAŞAR ÖZKAYA</t>
        </is>
      </c>
      <c r="F3166" s="115" t="n">
        <v>352007</v>
      </c>
      <c r="G3166" s="156" t="n"/>
      <c r="H3166" s="152" t="n">
        <v>507</v>
      </c>
      <c r="I3166" s="156" t="n"/>
      <c r="J3166" s="90" t="n"/>
      <c r="K3166" s="166" t="n"/>
      <c r="L3166" s="158" t="n"/>
      <c r="M3166" s="159" t="n"/>
    </row>
    <row r="3167">
      <c r="A3167" s="114" t="n">
        <v>46205</v>
      </c>
      <c r="B3167" s="115" t="n">
        <v>2020</v>
      </c>
      <c r="C3167" s="115" t="inlineStr">
        <is>
          <t>SELİM İNŞAAT</t>
        </is>
      </c>
      <c r="D3167" s="115" t="inlineStr">
        <is>
          <t>34 GYZ 635</t>
        </is>
      </c>
      <c r="E3167" s="115" t="inlineStr">
        <is>
          <t>SELÇUK BASTIK</t>
        </is>
      </c>
      <c r="F3167" s="115" t="n">
        <v>253782</v>
      </c>
      <c r="G3167" s="156" t="n"/>
      <c r="H3167" s="152" t="n">
        <v>472</v>
      </c>
      <c r="I3167" s="156" t="n"/>
      <c r="J3167" s="90" t="n"/>
      <c r="K3167" s="166" t="n"/>
      <c r="L3167" s="158" t="n"/>
      <c r="M3167" s="159" t="n"/>
    </row>
    <row r="3168">
      <c r="A3168" s="114" t="n">
        <v>46207</v>
      </c>
      <c r="B3168" s="115" t="n">
        <v>2021</v>
      </c>
      <c r="C3168" s="115" t="inlineStr">
        <is>
          <t>SELİM İNŞAAT</t>
        </is>
      </c>
      <c r="D3168" s="115" t="inlineStr">
        <is>
          <t>34 GYZ 635</t>
        </is>
      </c>
      <c r="E3168" s="115" t="inlineStr">
        <is>
          <t>SELÇUK BASTIK</t>
        </is>
      </c>
      <c r="F3168" s="115" t="n">
        <v>254573</v>
      </c>
      <c r="G3168" s="156" t="n"/>
      <c r="H3168" s="152" t="n">
        <v>482</v>
      </c>
      <c r="I3168" s="156" t="n"/>
      <c r="J3168" s="90" t="n"/>
      <c r="K3168" s="166" t="n"/>
      <c r="L3168" s="158" t="n"/>
      <c r="M3168" s="159" t="n"/>
    </row>
    <row r="3169">
      <c r="A3169" s="114" t="n">
        <v>46209</v>
      </c>
      <c r="B3169" s="115" t="n">
        <v>2022</v>
      </c>
      <c r="C3169" s="115" t="inlineStr">
        <is>
          <t>SELİM İNŞAAT</t>
        </is>
      </c>
      <c r="D3169" s="115" t="inlineStr">
        <is>
          <t>34 GYZ 635</t>
        </is>
      </c>
      <c r="E3169" s="115" t="inlineStr">
        <is>
          <t>SELÇUK BASTIK</t>
        </is>
      </c>
      <c r="F3169" s="115" t="n">
        <v>255265</v>
      </c>
      <c r="G3169" s="156" t="n"/>
      <c r="H3169" s="152" t="n">
        <v>405</v>
      </c>
      <c r="I3169" s="156" t="n"/>
      <c r="J3169" s="90" t="n"/>
      <c r="K3169" s="166" t="n"/>
      <c r="L3169" s="158" t="n"/>
      <c r="M3169" s="159" t="n"/>
    </row>
    <row r="3170">
      <c r="A3170" s="114" t="n">
        <v>46210</v>
      </c>
      <c r="B3170" s="115" t="n">
        <v>2023</v>
      </c>
      <c r="C3170" s="115" t="inlineStr">
        <is>
          <t>SELİM İNŞAAT</t>
        </is>
      </c>
      <c r="D3170" s="115" t="inlineStr">
        <is>
          <t>34 GYZ 635</t>
        </is>
      </c>
      <c r="E3170" s="115" t="inlineStr">
        <is>
          <t>SELÇUK BASTIK</t>
        </is>
      </c>
      <c r="F3170" s="115" t="n">
        <v>255764</v>
      </c>
      <c r="G3170" s="156" t="n"/>
      <c r="H3170" s="152" t="n">
        <v>359</v>
      </c>
      <c r="I3170" s="156" t="n"/>
      <c r="J3170" s="90" t="n"/>
      <c r="K3170" s="166" t="n"/>
      <c r="L3170" s="158" t="n"/>
      <c r="M3170" s="159" t="n"/>
    </row>
    <row r="3171">
      <c r="A3171" s="114" t="n">
        <v>46213</v>
      </c>
      <c r="B3171" s="115" t="n">
        <v>2024</v>
      </c>
      <c r="C3171" s="115" t="inlineStr">
        <is>
          <t>SELİM İNŞAAT</t>
        </is>
      </c>
      <c r="D3171" s="115" t="inlineStr">
        <is>
          <t>34 GYZ 635</t>
        </is>
      </c>
      <c r="E3171" s="115" t="inlineStr">
        <is>
          <t>SELÇUK BASTIK</t>
        </is>
      </c>
      <c r="F3171" s="115" t="n">
        <v>265576</v>
      </c>
      <c r="G3171" s="156" t="n"/>
      <c r="H3171" s="152" t="n">
        <v>492</v>
      </c>
      <c r="I3171" s="156" t="n"/>
      <c r="J3171" s="90" t="n"/>
      <c r="K3171" s="166" t="n"/>
      <c r="L3171" s="158" t="n"/>
      <c r="M3171" s="159" t="n"/>
    </row>
    <row r="3172">
      <c r="A3172" s="114" t="n">
        <v>46216</v>
      </c>
      <c r="B3172" s="115" t="n">
        <v>2025</v>
      </c>
      <c r="C3172" s="115" t="inlineStr">
        <is>
          <t>SELİM İNŞAAT</t>
        </is>
      </c>
      <c r="D3172" s="115" t="inlineStr">
        <is>
          <t>34 GYZ 635</t>
        </is>
      </c>
      <c r="E3172" s="115" t="inlineStr">
        <is>
          <t>SELÇUK BASTIK</t>
        </is>
      </c>
      <c r="F3172" s="115" t="n">
        <v>257312</v>
      </c>
      <c r="G3172" s="156" t="n"/>
      <c r="H3172" s="152" t="n">
        <v>450</v>
      </c>
      <c r="I3172" s="156" t="n"/>
      <c r="J3172" s="90" t="n"/>
      <c r="K3172" s="166" t="n"/>
      <c r="L3172" s="158" t="n"/>
      <c r="M3172" s="159" t="n"/>
    </row>
    <row r="3173">
      <c r="A3173" s="114" t="n">
        <v>46217</v>
      </c>
      <c r="B3173" s="115" t="n">
        <v>2026</v>
      </c>
      <c r="C3173" s="115" t="inlineStr">
        <is>
          <t>SELİM İNŞAAT</t>
        </is>
      </c>
      <c r="D3173" s="115" t="inlineStr">
        <is>
          <t>34 GYZ 635</t>
        </is>
      </c>
      <c r="E3173" s="115" t="inlineStr">
        <is>
          <t>SELÇUK BASTIK</t>
        </is>
      </c>
      <c r="F3173" s="115" t="n">
        <v>257906</v>
      </c>
      <c r="G3173" s="156" t="n"/>
      <c r="H3173" s="152" t="n">
        <v>390</v>
      </c>
      <c r="I3173" s="156" t="n"/>
      <c r="J3173" s="90" t="n"/>
      <c r="K3173" s="166" t="n"/>
      <c r="L3173" s="158" t="n"/>
      <c r="M3173" s="159" t="n"/>
    </row>
    <row r="3174">
      <c r="A3174" s="114" t="n">
        <v>46211</v>
      </c>
      <c r="B3174" s="115" t="n">
        <v>2263</v>
      </c>
      <c r="C3174" s="115" t="inlineStr">
        <is>
          <t>SELİM İNŞAAT</t>
        </is>
      </c>
      <c r="D3174" s="115" t="inlineStr">
        <is>
          <t>34 FBR 742</t>
        </is>
      </c>
      <c r="E3174" s="115" t="inlineStr">
        <is>
          <t>ADNAN KOÇ</t>
        </is>
      </c>
      <c r="F3174" s="115" t="n">
        <v>384626</v>
      </c>
      <c r="G3174" s="156" t="n"/>
      <c r="H3174" s="152" t="n">
        <v>388</v>
      </c>
      <c r="I3174" s="156" t="n"/>
      <c r="J3174" s="90" t="n"/>
      <c r="K3174" s="166" t="n"/>
      <c r="L3174" s="158" t="n"/>
      <c r="M3174" s="159" t="n"/>
    </row>
    <row r="3175">
      <c r="A3175" s="114" t="n">
        <v>46212</v>
      </c>
      <c r="B3175" s="115" t="n">
        <v>2264</v>
      </c>
      <c r="C3175" s="115" t="inlineStr">
        <is>
          <t>SELİM İNŞAAT</t>
        </is>
      </c>
      <c r="D3175" s="115" t="inlineStr">
        <is>
          <t>34 FBR 742</t>
        </is>
      </c>
      <c r="E3175" s="115" t="inlineStr">
        <is>
          <t>ADNAN KOÇ</t>
        </is>
      </c>
      <c r="F3175" s="115" t="n">
        <v>385204</v>
      </c>
      <c r="G3175" s="156" t="n"/>
      <c r="H3175" s="152" t="n">
        <v>419</v>
      </c>
      <c r="I3175" s="156" t="n"/>
      <c r="J3175" s="90" t="n"/>
      <c r="K3175" s="166" t="n"/>
      <c r="L3175" s="158" t="n"/>
      <c r="M3175" s="159" t="n"/>
    </row>
    <row r="3176">
      <c r="A3176" s="114" t="n">
        <v>46214</v>
      </c>
      <c r="B3176" s="115" t="n">
        <v>2265</v>
      </c>
      <c r="C3176" s="115" t="inlineStr">
        <is>
          <t>SELİM İNŞAAT</t>
        </is>
      </c>
      <c r="D3176" s="115" t="inlineStr">
        <is>
          <t>34 FBR 742</t>
        </is>
      </c>
      <c r="E3176" s="115" t="inlineStr">
        <is>
          <t>ADNAN KOÇ</t>
        </is>
      </c>
      <c r="F3176" s="115" t="n">
        <v>386005</v>
      </c>
      <c r="G3176" s="156" t="n"/>
      <c r="H3176" s="152" t="n">
        <v>475</v>
      </c>
      <c r="I3176" s="156" t="n"/>
      <c r="J3176" s="90" t="n"/>
      <c r="K3176" s="166" t="n"/>
      <c r="L3176" s="158" t="n"/>
      <c r="M3176" s="159" t="n"/>
    </row>
    <row r="3177">
      <c r="A3177" s="114" t="n">
        <v>46217</v>
      </c>
      <c r="B3177" s="115" t="n">
        <v>2266</v>
      </c>
      <c r="C3177" s="115" t="inlineStr">
        <is>
          <t>SELİM İNŞAAT</t>
        </is>
      </c>
      <c r="D3177" s="115" t="inlineStr">
        <is>
          <t>34 FBR 742</t>
        </is>
      </c>
      <c r="E3177" s="115" t="inlineStr">
        <is>
          <t>ADNAN KOÇ</t>
        </is>
      </c>
      <c r="F3177" s="115" t="n">
        <v>386706</v>
      </c>
      <c r="G3177" s="156" t="n"/>
      <c r="H3177" s="152" t="n">
        <v>250</v>
      </c>
      <c r="I3177" s="156" t="n"/>
      <c r="J3177" s="90" t="n"/>
      <c r="K3177" s="166" t="n"/>
      <c r="L3177" s="158" t="n"/>
      <c r="M3177" s="159" t="n"/>
    </row>
    <row r="3178">
      <c r="A3178" s="114" t="n">
        <v>46218</v>
      </c>
      <c r="B3178" s="115" t="n">
        <v>2267</v>
      </c>
      <c r="C3178" s="115" t="inlineStr">
        <is>
          <t>SELİM İNŞAAT</t>
        </is>
      </c>
      <c r="D3178" s="115" t="inlineStr">
        <is>
          <t>34 FBR 742</t>
        </is>
      </c>
      <c r="E3178" s="115" t="inlineStr">
        <is>
          <t>ADNAN KOÇ</t>
        </is>
      </c>
      <c r="F3178" s="115" t="n">
        <v>386919</v>
      </c>
      <c r="G3178" s="156" t="n"/>
      <c r="H3178" s="152" t="n">
        <v>472</v>
      </c>
      <c r="I3178" s="156" t="n"/>
      <c r="J3178" s="90" t="n"/>
      <c r="K3178" s="166" t="n"/>
      <c r="L3178" s="158" t="n"/>
      <c r="M3178" s="159" t="n"/>
    </row>
    <row r="3179">
      <c r="A3179" s="114" t="n">
        <v>46219</v>
      </c>
      <c r="B3179" s="115" t="n">
        <v>2052</v>
      </c>
      <c r="C3179" s="115" t="inlineStr">
        <is>
          <t>SELİM İNŞAAT</t>
        </is>
      </c>
      <c r="D3179" s="115" t="inlineStr">
        <is>
          <t>34 AR 7743</t>
        </is>
      </c>
      <c r="E3179" s="115" t="inlineStr">
        <is>
          <t>MEHMET SELİM</t>
        </is>
      </c>
      <c r="F3179" s="115" t="n">
        <v>383562</v>
      </c>
      <c r="G3179" s="156" t="n"/>
      <c r="H3179" s="152" t="n">
        <v>98</v>
      </c>
      <c r="I3179" s="156" t="n"/>
      <c r="J3179" s="90" t="n"/>
      <c r="K3179" s="166" t="n"/>
      <c r="L3179" s="158" t="n"/>
      <c r="M3179" s="159" t="n"/>
    </row>
    <row r="3180">
      <c r="A3180" s="114" t="n">
        <v>46221</v>
      </c>
      <c r="B3180" s="115" t="n">
        <v>2053</v>
      </c>
      <c r="C3180" s="115" t="inlineStr">
        <is>
          <t>SELİM İNŞAAT</t>
        </is>
      </c>
      <c r="D3180" s="115" t="inlineStr">
        <is>
          <t>34 AR 7743</t>
        </is>
      </c>
      <c r="E3180" s="115" t="inlineStr">
        <is>
          <t>MEHMET SELİM</t>
        </is>
      </c>
      <c r="F3180" s="115" t="n">
        <v>383847</v>
      </c>
      <c r="G3180" s="156" t="n"/>
      <c r="H3180" s="152" t="n">
        <v>61</v>
      </c>
      <c r="I3180" s="156" t="n"/>
      <c r="J3180" s="90" t="n"/>
      <c r="K3180" s="166" t="n"/>
      <c r="L3180" s="158" t="n"/>
      <c r="M3180" s="159" t="n"/>
    </row>
    <row r="3181">
      <c r="A3181" s="114" t="n">
        <v>46224</v>
      </c>
      <c r="B3181" s="115" t="n">
        <v>2054</v>
      </c>
      <c r="C3181" s="115" t="inlineStr">
        <is>
          <t>SELİM İNŞAAT</t>
        </is>
      </c>
      <c r="D3181" s="115" t="inlineStr">
        <is>
          <t>34 AR 7743</t>
        </is>
      </c>
      <c r="E3181" s="115" t="inlineStr">
        <is>
          <t>MEHMET SELİM</t>
        </is>
      </c>
      <c r="F3181" s="115" t="n">
        <v>384124</v>
      </c>
      <c r="G3181" s="156" t="n"/>
      <c r="H3181" s="152" t="n">
        <v>73</v>
      </c>
      <c r="I3181" s="156" t="n"/>
      <c r="J3181" s="90" t="n"/>
      <c r="K3181" s="166" t="n"/>
      <c r="L3181" s="158" t="n"/>
      <c r="M3181" s="159" t="n"/>
    </row>
    <row r="3182">
      <c r="A3182" s="114" t="n">
        <v>46227</v>
      </c>
      <c r="B3182" s="115" t="n">
        <v>2055</v>
      </c>
      <c r="C3182" s="115" t="inlineStr">
        <is>
          <t>SELİM İNŞAAT</t>
        </is>
      </c>
      <c r="D3182" s="115" t="inlineStr">
        <is>
          <t>34 AR 7743</t>
        </is>
      </c>
      <c r="E3182" s="115" t="inlineStr">
        <is>
          <t>MEHMET SELİM</t>
        </is>
      </c>
      <c r="F3182" s="115" t="n">
        <v>384444</v>
      </c>
      <c r="G3182" s="156" t="n"/>
      <c r="H3182" s="152" t="n">
        <v>66</v>
      </c>
      <c r="I3182" s="156" t="n"/>
      <c r="J3182" s="90" t="n"/>
      <c r="K3182" s="166" t="n"/>
      <c r="L3182" s="158" t="n"/>
      <c r="M3182" s="159" t="n"/>
    </row>
    <row r="3183">
      <c r="A3183" s="114" t="n">
        <v>46232</v>
      </c>
      <c r="B3183" s="115" t="n">
        <v>2056</v>
      </c>
      <c r="C3183" s="115" t="inlineStr">
        <is>
          <t>SELİM İNŞAAT</t>
        </is>
      </c>
      <c r="D3183" s="115" t="inlineStr">
        <is>
          <t>34 AR 7743</t>
        </is>
      </c>
      <c r="E3183" s="115" t="inlineStr">
        <is>
          <t>MEHMET SELİM</t>
        </is>
      </c>
      <c r="F3183" s="115" t="n">
        <v>384824</v>
      </c>
      <c r="G3183" s="156" t="n"/>
      <c r="H3183" s="152" t="n">
        <v>69</v>
      </c>
      <c r="I3183" s="156" t="n"/>
      <c r="J3183" s="90" t="n"/>
      <c r="K3183" s="166" t="n"/>
      <c r="L3183" s="158" t="n"/>
      <c r="M3183" s="159" t="n"/>
    </row>
    <row r="3184">
      <c r="A3184" s="114" t="n">
        <v>46234</v>
      </c>
      <c r="B3184" s="115" t="n">
        <v>2057</v>
      </c>
      <c r="C3184" s="115" t="inlineStr">
        <is>
          <t>SELİM İNŞAAT</t>
        </is>
      </c>
      <c r="D3184" s="115" t="inlineStr">
        <is>
          <t>34 AR 7743</t>
        </is>
      </c>
      <c r="E3184" s="115" t="inlineStr">
        <is>
          <t>MEHMET SELİM</t>
        </is>
      </c>
      <c r="F3184" s="115" t="n">
        <v>385078</v>
      </c>
      <c r="G3184" s="156" t="n"/>
      <c r="H3184" s="152" t="n">
        <v>58</v>
      </c>
      <c r="I3184" s="156" t="n"/>
      <c r="J3184" s="90" t="n"/>
      <c r="K3184" s="166" t="n"/>
      <c r="L3184" s="158" t="n"/>
      <c r="M3184" s="159" t="n"/>
    </row>
    <row r="3185">
      <c r="A3185" s="114" t="n">
        <v>46219</v>
      </c>
      <c r="B3185" s="115" t="n">
        <v>1125</v>
      </c>
      <c r="C3185" s="115" t="inlineStr">
        <is>
          <t>SELİM İNŞAAT</t>
        </is>
      </c>
      <c r="D3185" s="115" t="inlineStr">
        <is>
          <t>34 DKL 866</t>
        </is>
      </c>
      <c r="E3185" s="115" t="inlineStr">
        <is>
          <t>SELİMCAN ÖNVER</t>
        </is>
      </c>
      <c r="F3185" s="115" t="n">
        <v>90026</v>
      </c>
      <c r="G3185" s="156" t="n"/>
      <c r="H3185" s="152" t="n">
        <v>284</v>
      </c>
      <c r="I3185" s="156" t="n"/>
      <c r="J3185" s="90" t="n"/>
      <c r="K3185" s="166" t="n"/>
      <c r="L3185" s="158" t="n"/>
      <c r="M3185" s="159" t="n"/>
    </row>
    <row r="3186">
      <c r="A3186" s="114" t="n">
        <v>46221</v>
      </c>
      <c r="B3186" s="115" t="n">
        <v>1126</v>
      </c>
      <c r="C3186" s="115" t="inlineStr">
        <is>
          <t>SELİM İNŞAAT</t>
        </is>
      </c>
      <c r="D3186" s="115" t="inlineStr">
        <is>
          <t>34 DKL 866</t>
        </is>
      </c>
      <c r="E3186" s="115" t="inlineStr">
        <is>
          <t>SELİMCAN ÖNVER</t>
        </is>
      </c>
      <c r="F3186" s="115" t="n">
        <v>90212</v>
      </c>
      <c r="G3186" s="156" t="n"/>
      <c r="H3186" s="152" t="n">
        <v>253</v>
      </c>
      <c r="I3186" s="156" t="n"/>
      <c r="J3186" s="90" t="n"/>
      <c r="K3186" s="166" t="n"/>
      <c r="L3186" s="158" t="n"/>
      <c r="M3186" s="159" t="n"/>
    </row>
    <row r="3187">
      <c r="A3187" s="114" t="n">
        <v>46222</v>
      </c>
      <c r="B3187" s="115" t="n">
        <v>1127</v>
      </c>
      <c r="C3187" s="115" t="inlineStr">
        <is>
          <t>SELİM İNŞAAT</t>
        </is>
      </c>
      <c r="D3187" s="115" t="inlineStr">
        <is>
          <t>34 DKL 866</t>
        </is>
      </c>
      <c r="E3187" s="115" t="inlineStr">
        <is>
          <t>SELİMCAN ÖNVER</t>
        </is>
      </c>
      <c r="F3187" s="115" t="n">
        <v>90339</v>
      </c>
      <c r="G3187" s="156" t="n"/>
      <c r="H3187" s="152" t="n">
        <v>209</v>
      </c>
      <c r="I3187" s="156" t="n"/>
      <c r="J3187" s="90" t="n"/>
      <c r="K3187" s="166" t="n"/>
      <c r="L3187" s="158" t="n"/>
      <c r="M3187" s="159" t="n"/>
    </row>
    <row r="3188">
      <c r="A3188" s="114" t="n">
        <v>46224</v>
      </c>
      <c r="B3188" s="115" t="n">
        <v>1128</v>
      </c>
      <c r="C3188" s="115" t="inlineStr">
        <is>
          <t>SELİM İNŞAAT</t>
        </is>
      </c>
      <c r="D3188" s="115" t="inlineStr">
        <is>
          <t>34 DKL 866</t>
        </is>
      </c>
      <c r="E3188" s="115" t="inlineStr">
        <is>
          <t>SELİMCAN ÖNVER</t>
        </is>
      </c>
      <c r="F3188" s="115" t="n">
        <v>90526</v>
      </c>
      <c r="G3188" s="156" t="n"/>
      <c r="H3188" s="152" t="n">
        <v>267</v>
      </c>
      <c r="I3188" s="156" t="n"/>
      <c r="J3188" s="90" t="n"/>
      <c r="K3188" s="166" t="n"/>
      <c r="L3188" s="158" t="n"/>
      <c r="M3188" s="159" t="n"/>
    </row>
    <row r="3189">
      <c r="A3189" s="114" t="n">
        <v>46226</v>
      </c>
      <c r="B3189" s="115" t="n">
        <v>1129</v>
      </c>
      <c r="C3189" s="115" t="inlineStr">
        <is>
          <t>SELİM İNŞAAT</t>
        </is>
      </c>
      <c r="D3189" s="115" t="inlineStr">
        <is>
          <t>34 DKL 866</t>
        </is>
      </c>
      <c r="E3189" s="115" t="inlineStr">
        <is>
          <t>SELİMCAN ÖNVER</t>
        </is>
      </c>
      <c r="F3189" s="115" t="n">
        <v>90736</v>
      </c>
      <c r="G3189" s="156" t="n"/>
      <c r="H3189" s="152" t="n">
        <v>260</v>
      </c>
      <c r="I3189" s="156" t="n"/>
      <c r="J3189" s="90" t="n"/>
      <c r="K3189" s="166" t="n"/>
      <c r="L3189" s="158" t="n"/>
      <c r="M3189" s="159" t="n"/>
    </row>
    <row r="3190">
      <c r="A3190" s="114" t="n">
        <v>46230</v>
      </c>
      <c r="B3190" s="115" t="n">
        <v>1130</v>
      </c>
      <c r="C3190" s="115" t="inlineStr">
        <is>
          <t>SELİM İNŞAAT</t>
        </is>
      </c>
      <c r="D3190" s="115" t="inlineStr">
        <is>
          <t>34 DKL 866</t>
        </is>
      </c>
      <c r="E3190" s="115" t="inlineStr">
        <is>
          <t>SELİMCAN ÖNVER</t>
        </is>
      </c>
      <c r="F3190" s="115" t="n">
        <v>90946</v>
      </c>
      <c r="G3190" s="156" t="n"/>
      <c r="H3190" s="152" t="n">
        <v>262</v>
      </c>
      <c r="I3190" s="156" t="n"/>
      <c r="J3190" s="90" t="n"/>
      <c r="K3190" s="166" t="n"/>
      <c r="L3190" s="158" t="n"/>
      <c r="M3190" s="159" t="n"/>
    </row>
    <row r="3191">
      <c r="A3191" s="114" t="n">
        <v>46233</v>
      </c>
      <c r="B3191" s="115" t="n">
        <v>1131</v>
      </c>
      <c r="C3191" s="115" t="inlineStr">
        <is>
          <t>SELİM İNŞAAT</t>
        </is>
      </c>
      <c r="D3191" s="115" t="inlineStr">
        <is>
          <t>34 DKL 866</t>
        </is>
      </c>
      <c r="E3191" s="115" t="inlineStr">
        <is>
          <t>SELİMCAN ÖNVER</t>
        </is>
      </c>
      <c r="F3191" s="115" t="n">
        <v>91219</v>
      </c>
      <c r="G3191" s="156" t="n"/>
      <c r="H3191" s="152" t="n">
        <v>294</v>
      </c>
      <c r="I3191" s="156" t="n"/>
      <c r="J3191" s="90" t="n"/>
      <c r="K3191" s="166" t="n"/>
      <c r="L3191" s="158" t="n"/>
      <c r="M3191" s="159" t="n"/>
    </row>
    <row r="3192">
      <c r="A3192" s="114" t="n">
        <v>46219</v>
      </c>
      <c r="B3192" s="115" t="n">
        <v>1870</v>
      </c>
      <c r="C3192" s="115" t="inlineStr">
        <is>
          <t>SELİM İNŞAAT</t>
        </is>
      </c>
      <c r="D3192" s="115" t="inlineStr">
        <is>
          <t>34 GER 028</t>
        </is>
      </c>
      <c r="E3192" s="115" t="inlineStr">
        <is>
          <t>ABDULKERİM ERGEN</t>
        </is>
      </c>
      <c r="F3192" s="115" t="n">
        <v>68122</v>
      </c>
      <c r="G3192" s="156" t="n"/>
      <c r="H3192" s="152" t="n">
        <v>297</v>
      </c>
      <c r="I3192" s="156" t="n"/>
      <c r="J3192" s="90" t="n"/>
      <c r="K3192" s="166" t="n"/>
      <c r="L3192" s="158" t="n"/>
      <c r="M3192" s="159" t="n"/>
    </row>
    <row r="3193">
      <c r="A3193" s="114" t="n">
        <v>46222</v>
      </c>
      <c r="B3193" s="115" t="n">
        <v>1871</v>
      </c>
      <c r="C3193" s="115" t="inlineStr">
        <is>
          <t>SELİM İNŞAAT</t>
        </is>
      </c>
      <c r="D3193" s="115" t="inlineStr">
        <is>
          <t>34 GER 028</t>
        </is>
      </c>
      <c r="E3193" s="115" t="inlineStr">
        <is>
          <t>ABDULKERİM ERGEN</t>
        </is>
      </c>
      <c r="F3193" s="115" t="n">
        <v>68389</v>
      </c>
      <c r="G3193" s="156" t="n"/>
      <c r="H3193" s="152" t="n">
        <v>300</v>
      </c>
      <c r="I3193" s="156" t="n"/>
      <c r="J3193" s="90" t="n"/>
      <c r="K3193" s="166" t="n"/>
      <c r="L3193" s="158" t="n"/>
      <c r="M3193" s="159" t="n"/>
    </row>
    <row r="3194">
      <c r="A3194" s="114" t="n">
        <v>46225</v>
      </c>
      <c r="B3194" s="115" t="n">
        <v>1872</v>
      </c>
      <c r="C3194" s="115" t="inlineStr">
        <is>
          <t>SELİM İNŞAAT</t>
        </is>
      </c>
      <c r="D3194" s="115" t="inlineStr">
        <is>
          <t>34 GER 028</t>
        </is>
      </c>
      <c r="E3194" s="115" t="inlineStr">
        <is>
          <t>ABDULKERİM ERGEN</t>
        </is>
      </c>
      <c r="F3194" s="115" t="n">
        <v>68653</v>
      </c>
      <c r="G3194" s="156" t="n"/>
      <c r="H3194" s="152" t="n">
        <v>290</v>
      </c>
      <c r="I3194" s="156" t="n"/>
      <c r="J3194" s="90" t="n"/>
      <c r="K3194" s="166" t="n"/>
      <c r="L3194" s="158" t="n"/>
      <c r="M3194" s="159" t="n"/>
    </row>
    <row r="3195">
      <c r="A3195" s="114" t="n">
        <v>46230</v>
      </c>
      <c r="B3195" s="115" t="n">
        <v>1873</v>
      </c>
      <c r="C3195" s="115" t="inlineStr">
        <is>
          <t>SELİM İNŞAAT</t>
        </is>
      </c>
      <c r="D3195" s="115" t="inlineStr">
        <is>
          <t>34 GER 028</t>
        </is>
      </c>
      <c r="E3195" s="115" t="inlineStr">
        <is>
          <t>ABDULKERİM ERGEN</t>
        </is>
      </c>
      <c r="F3195" s="115" t="n">
        <v>68907</v>
      </c>
      <c r="G3195" s="156" t="n"/>
      <c r="H3195" s="152" t="n">
        <v>289</v>
      </c>
      <c r="I3195" s="156" t="n"/>
      <c r="J3195" s="90" t="n"/>
      <c r="K3195" s="166" t="n"/>
      <c r="L3195" s="158" t="n"/>
      <c r="M3195" s="159" t="n"/>
    </row>
    <row r="3196">
      <c r="A3196" s="114" t="n">
        <v>46233</v>
      </c>
      <c r="B3196" s="115" t="n">
        <v>1874</v>
      </c>
      <c r="C3196" s="115" t="inlineStr">
        <is>
          <t>SELİM İNŞAAT</t>
        </is>
      </c>
      <c r="D3196" s="115" t="inlineStr">
        <is>
          <t>34 GER 028</t>
        </is>
      </c>
      <c r="E3196" s="115" t="inlineStr">
        <is>
          <t>ABDULKERİM ERGEN</t>
        </is>
      </c>
      <c r="F3196" s="115" t="n">
        <v>69235</v>
      </c>
      <c r="G3196" s="156" t="n"/>
      <c r="H3196" s="152" t="n">
        <v>286</v>
      </c>
      <c r="I3196" s="156" t="n"/>
      <c r="J3196" s="90" t="n"/>
      <c r="K3196" s="166" t="n"/>
      <c r="L3196" s="158" t="n"/>
      <c r="M3196" s="159" t="n"/>
    </row>
    <row r="3197">
      <c r="A3197" s="114" t="n">
        <v>46219</v>
      </c>
      <c r="B3197" s="115" t="n">
        <v>332</v>
      </c>
      <c r="C3197" s="115" t="inlineStr">
        <is>
          <t>SELİM İNŞAAT</t>
        </is>
      </c>
      <c r="D3197" s="115" t="inlineStr">
        <is>
          <t>34 GER 445</t>
        </is>
      </c>
      <c r="E3197" s="115" t="inlineStr">
        <is>
          <t>BEYTULLAH</t>
        </is>
      </c>
      <c r="F3197" s="115" t="n">
        <v>64935</v>
      </c>
      <c r="G3197" s="156" t="n"/>
      <c r="H3197" s="152" t="n">
        <v>258</v>
      </c>
      <c r="I3197" s="156" t="n"/>
      <c r="J3197" s="90" t="n"/>
      <c r="K3197" s="166" t="n"/>
      <c r="L3197" s="158" t="n"/>
      <c r="M3197" s="159" t="n"/>
    </row>
    <row r="3198">
      <c r="A3198" s="114" t="n">
        <v>46222</v>
      </c>
      <c r="B3198" s="115" t="n">
        <v>333</v>
      </c>
      <c r="C3198" s="115" t="inlineStr">
        <is>
          <t>SELİM İNŞAAT</t>
        </is>
      </c>
      <c r="D3198" s="115" t="inlineStr">
        <is>
          <t>34 GER 445</t>
        </is>
      </c>
      <c r="E3198" s="115" t="inlineStr">
        <is>
          <t>BEYTULLAH</t>
        </is>
      </c>
      <c r="F3198" s="115" t="n">
        <v>65165</v>
      </c>
      <c r="G3198" s="156" t="n"/>
      <c r="H3198" s="152" t="n">
        <v>280</v>
      </c>
      <c r="I3198" s="156" t="n"/>
      <c r="J3198" s="90" t="n"/>
      <c r="K3198" s="166" t="n"/>
      <c r="L3198" s="158" t="n"/>
      <c r="M3198" s="159" t="n"/>
    </row>
    <row r="3199">
      <c r="A3199" s="114" t="n">
        <v>46224</v>
      </c>
      <c r="B3199" s="115" t="n">
        <v>334</v>
      </c>
      <c r="C3199" s="115" t="inlineStr">
        <is>
          <t>SELİM İNŞAAT</t>
        </is>
      </c>
      <c r="D3199" s="115" t="inlineStr">
        <is>
          <t>34 GER 445</t>
        </is>
      </c>
      <c r="E3199" s="115" t="inlineStr">
        <is>
          <t>BEYTULLAH</t>
        </is>
      </c>
      <c r="F3199" s="115" t="n">
        <v>65415</v>
      </c>
      <c r="G3199" s="156" t="n"/>
      <c r="H3199" s="152" t="n">
        <v>250</v>
      </c>
      <c r="I3199" s="156" t="n"/>
      <c r="J3199" s="90" t="n"/>
      <c r="K3199" s="166" t="n"/>
      <c r="L3199" s="158" t="n"/>
      <c r="M3199" s="159" t="n"/>
    </row>
    <row r="3200">
      <c r="A3200" s="114" t="n">
        <v>46225</v>
      </c>
      <c r="B3200" s="115" t="n">
        <v>335</v>
      </c>
      <c r="C3200" s="115" t="inlineStr">
        <is>
          <t>SELİM İNŞAAT</t>
        </is>
      </c>
      <c r="D3200" s="115" t="inlineStr">
        <is>
          <t>34 GER 445</t>
        </is>
      </c>
      <c r="E3200" s="115" t="inlineStr">
        <is>
          <t>BEYTULLAH</t>
        </is>
      </c>
      <c r="F3200" s="115" t="n">
        <v>65485</v>
      </c>
      <c r="G3200" s="156" t="n"/>
      <c r="H3200" s="152" t="n">
        <v>217</v>
      </c>
      <c r="I3200" s="156" t="n"/>
      <c r="J3200" s="90" t="n"/>
      <c r="K3200" s="166" t="n"/>
      <c r="L3200" s="158" t="n"/>
      <c r="M3200" s="159" t="n"/>
    </row>
    <row r="3201">
      <c r="A3201" s="114" t="n">
        <v>46230</v>
      </c>
      <c r="B3201" s="115" t="n">
        <v>336</v>
      </c>
      <c r="C3201" s="115" t="inlineStr">
        <is>
          <t>SELİM İNŞAAT</t>
        </is>
      </c>
      <c r="D3201" s="115" t="inlineStr">
        <is>
          <t>34 GER 445</t>
        </is>
      </c>
      <c r="E3201" s="115" t="inlineStr">
        <is>
          <t>BEYTULLAH</t>
        </is>
      </c>
      <c r="F3201" s="115" t="n">
        <v>65745</v>
      </c>
      <c r="G3201" s="156" t="n"/>
      <c r="H3201" s="152" t="n">
        <v>293</v>
      </c>
      <c r="I3201" s="156" t="n"/>
      <c r="J3201" s="90" t="n"/>
      <c r="K3201" s="166" t="n"/>
      <c r="L3201" s="158" t="n"/>
      <c r="M3201" s="159" t="n"/>
    </row>
    <row r="3202">
      <c r="A3202" s="114" t="n">
        <v>46233</v>
      </c>
      <c r="B3202" s="115" t="n">
        <v>337</v>
      </c>
      <c r="C3202" s="115" t="inlineStr">
        <is>
          <t>SELİM İNŞAAT</t>
        </is>
      </c>
      <c r="D3202" s="115" t="inlineStr">
        <is>
          <t>34 GER 445</t>
        </is>
      </c>
      <c r="E3202" s="115" t="inlineStr">
        <is>
          <t>BEYTULLAH</t>
        </is>
      </c>
      <c r="F3202" s="115" t="n">
        <v>66028</v>
      </c>
      <c r="G3202" s="156" t="n"/>
      <c r="H3202" s="152" t="n">
        <v>271</v>
      </c>
      <c r="I3202" s="156" t="n"/>
      <c r="J3202" s="90" t="n"/>
      <c r="K3202" s="166" t="n"/>
      <c r="L3202" s="158" t="n"/>
      <c r="M3202" s="159" t="n"/>
    </row>
    <row r="3203">
      <c r="A3203" s="114" t="n">
        <v>46221</v>
      </c>
      <c r="B3203" s="115" t="n">
        <v>3501</v>
      </c>
      <c r="C3203" s="115" t="inlineStr">
        <is>
          <t>SELİM İNŞAAT</t>
        </is>
      </c>
      <c r="D3203" s="115" t="inlineStr">
        <is>
          <t>34 DKL 798</t>
        </is>
      </c>
      <c r="E3203" s="115" t="inlineStr">
        <is>
          <t>HASAN BAYCA</t>
        </is>
      </c>
      <c r="F3203" s="115" t="n">
        <v>88384</v>
      </c>
      <c r="G3203" s="156" t="n"/>
      <c r="H3203" s="152" t="n">
        <v>290</v>
      </c>
      <c r="I3203" s="156" t="n"/>
      <c r="J3203" s="90" t="n"/>
      <c r="K3203" s="166" t="n"/>
      <c r="L3203" s="158" t="n"/>
      <c r="M3203" s="159" t="n"/>
    </row>
    <row r="3204">
      <c r="A3204" s="114" t="n">
        <v>46223</v>
      </c>
      <c r="B3204" s="115" t="n">
        <v>3502</v>
      </c>
      <c r="C3204" s="115" t="inlineStr">
        <is>
          <t>SELİM İNŞAAT</t>
        </is>
      </c>
      <c r="D3204" s="115" t="inlineStr">
        <is>
          <t>34 DKL 798</t>
        </is>
      </c>
      <c r="E3204" s="115" t="inlineStr">
        <is>
          <t>HASAN BAYCA</t>
        </is>
      </c>
      <c r="F3204" s="115" t="n">
        <v>88564</v>
      </c>
      <c r="G3204" s="156" t="n"/>
      <c r="H3204" s="152" t="n">
        <v>264</v>
      </c>
      <c r="I3204" s="156" t="n"/>
      <c r="J3204" s="90" t="n"/>
      <c r="K3204" s="166" t="n"/>
      <c r="L3204" s="158" t="n"/>
      <c r="M3204" s="159" t="n"/>
    </row>
    <row r="3205">
      <c r="A3205" s="114" t="n">
        <v>46226</v>
      </c>
      <c r="B3205" s="115" t="n">
        <v>3503</v>
      </c>
      <c r="C3205" s="115" t="inlineStr">
        <is>
          <t>SELİM İNŞAAT</t>
        </is>
      </c>
      <c r="D3205" s="115" t="inlineStr">
        <is>
          <t>34 DKL 798</t>
        </is>
      </c>
      <c r="E3205" s="115" t="inlineStr">
        <is>
          <t>HASAN BAYCA</t>
        </is>
      </c>
      <c r="F3205" s="115" t="n">
        <v>88878</v>
      </c>
      <c r="G3205" s="156" t="n"/>
      <c r="H3205" s="152" t="n">
        <v>298</v>
      </c>
      <c r="I3205" s="156" t="n"/>
      <c r="J3205" s="90" t="n"/>
      <c r="K3205" s="166" t="n"/>
      <c r="L3205" s="158" t="n"/>
      <c r="M3205" s="159" t="n"/>
    </row>
    <row r="3206">
      <c r="A3206" s="114" t="n">
        <v>46227</v>
      </c>
      <c r="B3206" s="115" t="n">
        <v>3504</v>
      </c>
      <c r="C3206" s="115" t="inlineStr">
        <is>
          <t>SELİM İNŞAAT</t>
        </is>
      </c>
      <c r="D3206" s="115" t="inlineStr">
        <is>
          <t>34 DKL 798</t>
        </is>
      </c>
      <c r="E3206" s="115" t="inlineStr">
        <is>
          <t>HASAN BAYCA</t>
        </is>
      </c>
      <c r="F3206" s="115" t="n">
        <v>88943</v>
      </c>
      <c r="G3206" s="156" t="n"/>
      <c r="H3206" s="152" t="n">
        <v>180</v>
      </c>
      <c r="I3206" s="156" t="n"/>
      <c r="J3206" s="90" t="n"/>
      <c r="K3206" s="166" t="n"/>
      <c r="L3206" s="158" t="n"/>
      <c r="M3206" s="159" t="n"/>
    </row>
    <row r="3207">
      <c r="A3207" s="114" t="n">
        <v>46232</v>
      </c>
      <c r="B3207" s="115" t="n">
        <v>3505</v>
      </c>
      <c r="C3207" s="115" t="inlineStr">
        <is>
          <t>SELİM İNŞAAT</t>
        </is>
      </c>
      <c r="D3207" s="115" t="inlineStr">
        <is>
          <t>34 DKL 798</t>
        </is>
      </c>
      <c r="E3207" s="115" t="inlineStr">
        <is>
          <t>HASAN BAYCA</t>
        </is>
      </c>
      <c r="F3207" s="115" t="n">
        <v>89209</v>
      </c>
      <c r="G3207" s="156" t="n"/>
      <c r="H3207" s="152" t="n">
        <v>290</v>
      </c>
      <c r="I3207" s="156" t="n"/>
      <c r="J3207" s="90" t="n"/>
      <c r="K3207" s="166" t="n"/>
      <c r="L3207" s="158" t="n"/>
      <c r="M3207" s="159" t="n"/>
    </row>
    <row r="3208">
      <c r="A3208" s="114" t="n">
        <v>46220</v>
      </c>
      <c r="B3208" s="115" t="n">
        <v>1007</v>
      </c>
      <c r="C3208" s="115" t="inlineStr">
        <is>
          <t>SELİM İNŞAAT</t>
        </is>
      </c>
      <c r="D3208" s="115" t="inlineStr">
        <is>
          <t>34 DFE 454</t>
        </is>
      </c>
      <c r="E3208" s="115" t="inlineStr">
        <is>
          <t>HÜSEYİN ALIN</t>
        </is>
      </c>
      <c r="F3208" s="115" t="n">
        <v>181526</v>
      </c>
      <c r="G3208" s="156" t="n"/>
      <c r="H3208" s="152" t="n">
        <v>297</v>
      </c>
      <c r="I3208" s="156" t="n"/>
      <c r="J3208" s="90" t="n"/>
      <c r="K3208" s="166" t="n"/>
      <c r="L3208" s="158" t="n"/>
      <c r="M3208" s="159" t="n"/>
    </row>
    <row r="3209">
      <c r="A3209" s="114" t="n">
        <v>46224</v>
      </c>
      <c r="B3209" s="115" t="n">
        <v>1008</v>
      </c>
      <c r="C3209" s="115" t="inlineStr">
        <is>
          <t>SELİM İNŞAAT</t>
        </is>
      </c>
      <c r="D3209" s="115" t="inlineStr">
        <is>
          <t>34 DFE 454</t>
        </is>
      </c>
      <c r="E3209" s="115" t="inlineStr">
        <is>
          <t>HÜSEYİN ALIN</t>
        </is>
      </c>
      <c r="F3209" s="115" t="n">
        <v>181884</v>
      </c>
      <c r="G3209" s="156" t="n"/>
      <c r="H3209" s="152" t="n">
        <v>269</v>
      </c>
      <c r="I3209" s="156" t="n"/>
      <c r="J3209" s="90" t="n"/>
      <c r="K3209" s="166" t="n"/>
      <c r="L3209" s="158" t="n"/>
      <c r="M3209" s="159" t="n"/>
    </row>
    <row r="3210">
      <c r="A3210" s="114" t="n">
        <v>46227</v>
      </c>
      <c r="B3210" s="115" t="n">
        <v>1009</v>
      </c>
      <c r="C3210" s="115" t="inlineStr">
        <is>
          <t>SELİM İNŞAAT</t>
        </is>
      </c>
      <c r="D3210" s="115" t="inlineStr">
        <is>
          <t>34 DFE 454</t>
        </is>
      </c>
      <c r="E3210" s="115" t="inlineStr">
        <is>
          <t>HÜSEYİN ALIN</t>
        </is>
      </c>
      <c r="F3210" s="115" t="n">
        <v>182119</v>
      </c>
      <c r="G3210" s="156" t="n"/>
      <c r="H3210" s="152" t="n">
        <v>298</v>
      </c>
      <c r="I3210" s="156" t="n"/>
      <c r="J3210" s="90" t="n"/>
      <c r="K3210" s="166" t="n"/>
      <c r="L3210" s="158" t="n"/>
      <c r="M3210" s="159" t="n"/>
    </row>
    <row r="3211">
      <c r="A3211" s="114" t="n">
        <v>46232</v>
      </c>
      <c r="B3211" s="115" t="n">
        <v>1010</v>
      </c>
      <c r="C3211" s="115" t="inlineStr">
        <is>
          <t>SELİM İNŞAAT</t>
        </is>
      </c>
      <c r="D3211" s="115" t="inlineStr">
        <is>
          <t>34 DFE 454</t>
        </is>
      </c>
      <c r="E3211" s="115" t="inlineStr">
        <is>
          <t>HÜSEYİN ALIN</t>
        </is>
      </c>
      <c r="F3211" s="115" t="n">
        <v>182350</v>
      </c>
      <c r="G3211" s="156" t="n"/>
      <c r="H3211" s="152" t="n">
        <v>300</v>
      </c>
      <c r="I3211" s="156" t="n"/>
      <c r="J3211" s="90" t="n"/>
      <c r="K3211" s="166" t="n"/>
      <c r="L3211" s="158" t="n"/>
      <c r="M3211" s="159" t="n"/>
    </row>
    <row r="3212">
      <c r="A3212" s="114" t="n">
        <v>46223</v>
      </c>
      <c r="B3212" s="115" t="n">
        <v>2656</v>
      </c>
      <c r="C3212" s="115" t="inlineStr">
        <is>
          <t>SELİM İNŞAAT</t>
        </is>
      </c>
      <c r="D3212" s="115" t="inlineStr">
        <is>
          <t>34 VF 2620</t>
        </is>
      </c>
      <c r="E3212" s="115" t="inlineStr">
        <is>
          <t>RECEP SELİM</t>
        </is>
      </c>
      <c r="F3212" s="115" t="n">
        <v>211142</v>
      </c>
      <c r="G3212" s="156" t="n"/>
      <c r="H3212" s="152" t="n">
        <v>69</v>
      </c>
      <c r="I3212" s="156" t="n"/>
      <c r="J3212" s="90" t="n"/>
      <c r="K3212" s="166" t="n"/>
      <c r="L3212" s="158" t="n"/>
      <c r="M3212" s="159" t="n"/>
    </row>
    <row r="3213">
      <c r="A3213" s="114" t="n">
        <v>46227</v>
      </c>
      <c r="B3213" s="115" t="n">
        <v>2657</v>
      </c>
      <c r="C3213" s="115" t="inlineStr">
        <is>
          <t>SELİM İNŞAAT</t>
        </is>
      </c>
      <c r="D3213" s="115" t="inlineStr">
        <is>
          <t>34 VF 2620</t>
        </is>
      </c>
      <c r="E3213" s="115" t="inlineStr">
        <is>
          <t>RECEP SELİM</t>
        </is>
      </c>
      <c r="F3213" s="115" t="n">
        <v>211481</v>
      </c>
      <c r="G3213" s="156" t="n"/>
      <c r="H3213" s="152" t="n">
        <v>65</v>
      </c>
      <c r="I3213" s="156" t="n"/>
      <c r="J3213" s="90" t="n"/>
      <c r="K3213" s="166" t="n"/>
      <c r="L3213" s="158" t="n"/>
      <c r="M3213" s="159" t="n"/>
    </row>
    <row r="3214">
      <c r="A3214" s="114" t="n">
        <v>46219</v>
      </c>
      <c r="B3214" s="115" t="n">
        <v>1786</v>
      </c>
      <c r="C3214" s="115" t="inlineStr">
        <is>
          <t>SELİM İNŞAAT</t>
        </is>
      </c>
      <c r="D3214" s="115" t="inlineStr">
        <is>
          <t>34 JBA 25</t>
        </is>
      </c>
      <c r="E3214" s="115" t="inlineStr">
        <is>
          <t>BAYRAM</t>
        </is>
      </c>
      <c r="F3214" s="115" t="n">
        <v>343502</v>
      </c>
      <c r="G3214" s="156" t="n"/>
      <c r="H3214" s="152" t="n">
        <v>67</v>
      </c>
      <c r="I3214" s="156" t="n"/>
      <c r="J3214" s="90" t="n"/>
      <c r="K3214" s="166" t="n"/>
      <c r="L3214" s="158" t="n"/>
      <c r="M3214" s="159" t="n"/>
    </row>
    <row r="3215">
      <c r="A3215" s="114" t="n">
        <v>46227</v>
      </c>
      <c r="B3215" s="115" t="n">
        <v>1787</v>
      </c>
      <c r="C3215" s="115" t="inlineStr">
        <is>
          <t>SELİM İNŞAAT</t>
        </is>
      </c>
      <c r="D3215" s="115" t="inlineStr">
        <is>
          <t>34 JBA 25</t>
        </is>
      </c>
      <c r="E3215" s="115" t="inlineStr">
        <is>
          <t>BAYRAM</t>
        </is>
      </c>
      <c r="F3215" s="115" t="n">
        <v>343738</v>
      </c>
      <c r="G3215" s="156" t="n"/>
      <c r="H3215" s="152" t="n">
        <v>68</v>
      </c>
      <c r="I3215" s="156" t="n"/>
      <c r="J3215" s="90" t="n"/>
      <c r="K3215" s="166" t="n"/>
      <c r="L3215" s="158" t="n"/>
      <c r="M3215" s="159" t="n"/>
    </row>
    <row r="3216">
      <c r="A3216" s="114" t="n">
        <v>46221</v>
      </c>
      <c r="B3216" s="115" t="n">
        <v>574</v>
      </c>
      <c r="C3216" s="115" t="inlineStr">
        <is>
          <t>SELİM İNŞAAT</t>
        </is>
      </c>
      <c r="D3216" s="115" t="inlineStr">
        <is>
          <t>34 JGR 15</t>
        </is>
      </c>
      <c r="E3216" s="115" t="inlineStr">
        <is>
          <t>ÖNER DÜNDAR</t>
        </is>
      </c>
      <c r="F3216" s="115" t="n">
        <v>340458</v>
      </c>
      <c r="G3216" s="156" t="n"/>
      <c r="H3216" s="152" t="n">
        <v>77</v>
      </c>
      <c r="I3216" s="156" t="n"/>
      <c r="J3216" s="90" t="n"/>
      <c r="K3216" s="166" t="n"/>
      <c r="L3216" s="158" t="n"/>
      <c r="M3216" s="159" t="n"/>
    </row>
    <row r="3217">
      <c r="A3217" s="114" t="n">
        <v>46224</v>
      </c>
      <c r="B3217" s="115" t="n">
        <v>575</v>
      </c>
      <c r="C3217" s="115" t="inlineStr">
        <is>
          <t>SELİM İNŞAAT</t>
        </is>
      </c>
      <c r="D3217" s="115" t="inlineStr">
        <is>
          <t>34 JGR 15</t>
        </is>
      </c>
      <c r="E3217" s="115" t="inlineStr">
        <is>
          <t>ÖNER DÜNDAR</t>
        </is>
      </c>
      <c r="F3217" s="115" t="n">
        <v>340867</v>
      </c>
      <c r="G3217" s="156" t="n"/>
      <c r="H3217" s="152" t="n">
        <v>76</v>
      </c>
      <c r="I3217" s="156" t="n"/>
      <c r="J3217" s="90" t="n"/>
      <c r="K3217" s="166" t="n"/>
      <c r="L3217" s="158" t="n"/>
      <c r="M3217" s="159" t="n"/>
    </row>
    <row r="3218">
      <c r="A3218" s="114" t="n">
        <v>46232</v>
      </c>
      <c r="B3218" s="115" t="n">
        <v>576</v>
      </c>
      <c r="C3218" s="115" t="inlineStr">
        <is>
          <t>SELİM İNŞAAT</t>
        </is>
      </c>
      <c r="D3218" s="115" t="inlineStr">
        <is>
          <t>34 JGR 15</t>
        </is>
      </c>
      <c r="E3218" s="115" t="inlineStr">
        <is>
          <t>ÖNER DÜNDAR</t>
        </is>
      </c>
      <c r="F3218" s="115" t="n">
        <v>341188</v>
      </c>
      <c r="G3218" s="156" t="n"/>
      <c r="H3218" s="152" t="n">
        <v>63</v>
      </c>
      <c r="I3218" s="156" t="n"/>
      <c r="J3218" s="90" t="n"/>
      <c r="K3218" s="166" t="n"/>
      <c r="L3218" s="158" t="n"/>
      <c r="M3218" s="159" t="n"/>
    </row>
    <row r="3219">
      <c r="A3219" s="114" t="n">
        <v>46220</v>
      </c>
      <c r="B3219" s="115" t="n">
        <v>1922</v>
      </c>
      <c r="C3219" s="115" t="inlineStr">
        <is>
          <t>SELİM İNŞAAT</t>
        </is>
      </c>
      <c r="D3219" s="115" t="inlineStr">
        <is>
          <t>34 FEM 934</t>
        </is>
      </c>
      <c r="E3219" s="115" t="inlineStr">
        <is>
          <t>DURSUN ALİ GÜREK</t>
        </is>
      </c>
      <c r="F3219" s="115" t="n">
        <v>344997</v>
      </c>
      <c r="G3219" s="156" t="n"/>
      <c r="H3219" s="152" t="n">
        <v>61</v>
      </c>
      <c r="I3219" s="156" t="n"/>
      <c r="J3219" s="90" t="n"/>
      <c r="K3219" s="166" t="n"/>
      <c r="L3219" s="158" t="n"/>
      <c r="M3219" s="159" t="n"/>
    </row>
    <row r="3220">
      <c r="A3220" s="114" t="n">
        <v>46224</v>
      </c>
      <c r="B3220" s="115" t="n">
        <v>1923</v>
      </c>
      <c r="C3220" s="115" t="inlineStr">
        <is>
          <t>SELİM İNŞAAT</t>
        </is>
      </c>
      <c r="D3220" s="115" t="inlineStr">
        <is>
          <t>34 FEM 934</t>
        </is>
      </c>
      <c r="E3220" s="115" t="inlineStr">
        <is>
          <t>DURSUN ALİ GÜREK</t>
        </is>
      </c>
      <c r="F3220" s="115" t="n">
        <v>345201</v>
      </c>
      <c r="G3220" s="156" t="n"/>
      <c r="H3220" s="152" t="n">
        <v>65</v>
      </c>
      <c r="I3220" s="156" t="n"/>
      <c r="J3220" s="90" t="n"/>
      <c r="K3220" s="166" t="n"/>
      <c r="L3220" s="158" t="n"/>
      <c r="M3220" s="159" t="n"/>
    </row>
    <row r="3221">
      <c r="A3221" s="114" t="n">
        <v>46226</v>
      </c>
      <c r="B3221" s="115" t="n">
        <v>1924</v>
      </c>
      <c r="C3221" s="115" t="inlineStr">
        <is>
          <t>SELİM İNŞAAT</t>
        </is>
      </c>
      <c r="D3221" s="115" t="inlineStr">
        <is>
          <t>34 FEM 934</t>
        </is>
      </c>
      <c r="E3221" s="115" t="inlineStr">
        <is>
          <t>DURSUN ALİ GÜREK</t>
        </is>
      </c>
      <c r="F3221" s="115" t="n">
        <v>345440</v>
      </c>
      <c r="G3221" s="156" t="n"/>
      <c r="H3221" s="152" t="n">
        <v>63</v>
      </c>
      <c r="I3221" s="156" t="n"/>
      <c r="J3221" s="90" t="n"/>
      <c r="K3221" s="166" t="n"/>
      <c r="L3221" s="158" t="n"/>
      <c r="M3221" s="159" t="n"/>
    </row>
    <row r="3222">
      <c r="A3222" s="114" t="n">
        <v>46228</v>
      </c>
      <c r="B3222" s="115" t="n">
        <v>1925</v>
      </c>
      <c r="C3222" s="115" t="inlineStr">
        <is>
          <t>SELİM İNŞAAT</t>
        </is>
      </c>
      <c r="D3222" s="115" t="inlineStr">
        <is>
          <t>34 FEM 934</t>
        </is>
      </c>
      <c r="E3222" s="115" t="inlineStr">
        <is>
          <t>DURSUN ALİ GÜREK</t>
        </is>
      </c>
      <c r="F3222" s="115" t="n">
        <v>345558</v>
      </c>
      <c r="G3222" s="156" t="n"/>
      <c r="H3222" s="152" t="n">
        <v>40</v>
      </c>
      <c r="I3222" s="156" t="n"/>
      <c r="J3222" s="90" t="n"/>
      <c r="K3222" s="166" t="n"/>
      <c r="L3222" s="158" t="n"/>
      <c r="M3222" s="159" t="n"/>
    </row>
    <row r="3223">
      <c r="A3223" s="114" t="n">
        <v>46230</v>
      </c>
      <c r="B3223" s="115" t="n">
        <v>1926</v>
      </c>
      <c r="C3223" s="115" t="inlineStr">
        <is>
          <t>SELİM İNŞAAT</t>
        </is>
      </c>
      <c r="D3223" s="115" t="inlineStr">
        <is>
          <t>34 FEM 934</t>
        </is>
      </c>
      <c r="E3223" s="115" t="inlineStr">
        <is>
          <t>DURSUN ALİ GÜREK</t>
        </is>
      </c>
      <c r="F3223" s="115" t="n">
        <v>345681</v>
      </c>
      <c r="G3223" s="156" t="n"/>
      <c r="H3223" s="152" t="n">
        <v>55</v>
      </c>
      <c r="I3223" s="156" t="n"/>
      <c r="J3223" s="90" t="n"/>
      <c r="K3223" s="166" t="n"/>
      <c r="L3223" s="158" t="n"/>
      <c r="M3223" s="159" t="n"/>
    </row>
    <row r="3224">
      <c r="A3224" s="114" t="n">
        <v>46233</v>
      </c>
      <c r="B3224" s="115" t="n">
        <v>1927</v>
      </c>
      <c r="C3224" s="115" t="inlineStr">
        <is>
          <t>SELİM İNŞAAT</t>
        </is>
      </c>
      <c r="D3224" s="115" t="inlineStr">
        <is>
          <t>34 FEM 934</t>
        </is>
      </c>
      <c r="E3224" s="115" t="inlineStr">
        <is>
          <t>DURSUN ALİ GÜREK</t>
        </is>
      </c>
      <c r="F3224" s="115" t="n">
        <v>345874</v>
      </c>
      <c r="G3224" s="156" t="n"/>
      <c r="H3224" s="152" t="n">
        <v>43</v>
      </c>
      <c r="I3224" s="156" t="n"/>
      <c r="J3224" s="90" t="n"/>
      <c r="K3224" s="166" t="n"/>
      <c r="L3224" s="158" t="n"/>
      <c r="M3224" s="159" t="n"/>
    </row>
    <row r="3225">
      <c r="A3225" s="114" t="n">
        <v>46225</v>
      </c>
      <c r="B3225" s="115" t="n">
        <v>2151</v>
      </c>
      <c r="C3225" s="115" t="inlineStr">
        <is>
          <t>SELİM İNŞAAT</t>
        </is>
      </c>
      <c r="D3225" s="115" t="inlineStr">
        <is>
          <t>34 RDN 190</t>
        </is>
      </c>
      <c r="E3225" s="115" t="inlineStr">
        <is>
          <t>NUSRET</t>
        </is>
      </c>
      <c r="F3225" s="115" t="n">
        <v>88</v>
      </c>
      <c r="G3225" s="152" t="n"/>
      <c r="H3225" s="152" t="n">
        <v>69</v>
      </c>
      <c r="I3225" s="156" t="n"/>
      <c r="J3225" s="90" t="n"/>
      <c r="K3225" s="166" t="n"/>
      <c r="L3225" s="158" t="n"/>
      <c r="M3225" s="159" t="n"/>
    </row>
    <row r="3226">
      <c r="A3226" s="114" t="n">
        <v>46230</v>
      </c>
      <c r="B3226" s="115" t="n">
        <v>688</v>
      </c>
      <c r="C3226" s="115" t="inlineStr">
        <is>
          <t>SELİM İNŞAAT</t>
        </is>
      </c>
      <c r="D3226" s="115" t="inlineStr">
        <is>
          <t xml:space="preserve">34 GU 945 </t>
        </is>
      </c>
      <c r="E3226" s="115" t="inlineStr">
        <is>
          <t>YAKUP</t>
        </is>
      </c>
      <c r="F3226" s="115" t="n">
        <v>484896</v>
      </c>
      <c r="G3226" s="156" t="n"/>
      <c r="H3226" s="152" t="n">
        <v>61</v>
      </c>
      <c r="I3226" s="156" t="n"/>
      <c r="J3226" s="90" t="n"/>
      <c r="K3226" s="166" t="n"/>
      <c r="L3226" s="158" t="n"/>
      <c r="M3226" s="159" t="n"/>
    </row>
    <row r="3227">
      <c r="A3227" s="114" t="n">
        <v>46234</v>
      </c>
      <c r="B3227" s="115" t="n">
        <v>689</v>
      </c>
      <c r="C3227" s="115" t="inlineStr">
        <is>
          <t>SELİM İNŞAAT</t>
        </is>
      </c>
      <c r="D3227" s="115" t="inlineStr">
        <is>
          <t xml:space="preserve">34 GU 945 </t>
        </is>
      </c>
      <c r="E3227" s="115" t="inlineStr">
        <is>
          <t>YAKUP</t>
        </is>
      </c>
      <c r="F3227" s="115" t="n">
        <v>485131</v>
      </c>
      <c r="G3227" s="156" t="n"/>
      <c r="H3227" s="152" t="n">
        <v>48</v>
      </c>
      <c r="I3227" s="156" t="n"/>
      <c r="J3227" s="90" t="n"/>
      <c r="K3227" s="166" t="n"/>
      <c r="L3227" s="158" t="n"/>
      <c r="M3227" s="159" t="n"/>
    </row>
    <row r="3228">
      <c r="A3228" s="114" t="n">
        <v>46220</v>
      </c>
      <c r="B3228" s="115" t="n">
        <v>1840</v>
      </c>
      <c r="C3228" s="115" t="inlineStr">
        <is>
          <t>AZGÜN YAPI</t>
        </is>
      </c>
      <c r="D3228" s="115" t="inlineStr">
        <is>
          <t xml:space="preserve">34 MKT 593 </t>
        </is>
      </c>
      <c r="E3228" s="115" t="inlineStr">
        <is>
          <t>TURGUT ÇATAL</t>
        </is>
      </c>
      <c r="F3228" s="115" t="n"/>
      <c r="G3228" s="156" t="n"/>
      <c r="H3228" s="152" t="n">
        <v>429</v>
      </c>
      <c r="I3228" s="156" t="n"/>
      <c r="J3228" s="90" t="n"/>
      <c r="K3228" s="166" t="n"/>
      <c r="L3228" s="158" t="n"/>
      <c r="M3228" s="159" t="n"/>
    </row>
    <row r="3229">
      <c r="A3229" s="114" t="n">
        <v>46222</v>
      </c>
      <c r="B3229" s="115" t="n">
        <v>1841</v>
      </c>
      <c r="C3229" s="115" t="inlineStr">
        <is>
          <t>AZGÜN YAPI</t>
        </is>
      </c>
      <c r="D3229" s="115" t="inlineStr">
        <is>
          <t xml:space="preserve">34 MKT 593 </t>
        </is>
      </c>
      <c r="E3229" s="115" t="inlineStr">
        <is>
          <t>TURGUT ÇATAL</t>
        </is>
      </c>
      <c r="F3229" s="115" t="n"/>
      <c r="G3229" s="156" t="n"/>
      <c r="H3229" s="152" t="n">
        <v>408</v>
      </c>
      <c r="I3229" s="156" t="n"/>
      <c r="J3229" s="90" t="n"/>
      <c r="K3229" s="166" t="n"/>
      <c r="L3229" s="158" t="n"/>
      <c r="M3229" s="159" t="n"/>
    </row>
    <row r="3230">
      <c r="A3230" s="114" t="n">
        <v>46224</v>
      </c>
      <c r="B3230" s="115" t="n">
        <v>1842</v>
      </c>
      <c r="C3230" s="115" t="inlineStr">
        <is>
          <t>AZGÜN YAPI</t>
        </is>
      </c>
      <c r="D3230" s="115" t="inlineStr">
        <is>
          <t xml:space="preserve">34 MKT 593 </t>
        </is>
      </c>
      <c r="E3230" s="115" t="inlineStr">
        <is>
          <t>TURGUT ÇATAL</t>
        </is>
      </c>
      <c r="F3230" s="115" t="n"/>
      <c r="G3230" s="156" t="n"/>
      <c r="H3230" s="152" t="n">
        <v>348</v>
      </c>
      <c r="I3230" s="156" t="n"/>
      <c r="J3230" s="90" t="n"/>
      <c r="K3230" s="166" t="n"/>
      <c r="L3230" s="158" t="n"/>
      <c r="M3230" s="159" t="n"/>
    </row>
    <row r="3231">
      <c r="A3231" s="114" t="n">
        <v>46227</v>
      </c>
      <c r="B3231" s="115" t="n">
        <v>1843</v>
      </c>
      <c r="C3231" s="115" t="inlineStr">
        <is>
          <t>AZGÜN YAPI</t>
        </is>
      </c>
      <c r="D3231" s="115" t="inlineStr">
        <is>
          <t xml:space="preserve">34 MKT 593 </t>
        </is>
      </c>
      <c r="E3231" s="115" t="inlineStr">
        <is>
          <t>TURGUT ÇATAL</t>
        </is>
      </c>
      <c r="F3231" s="115" t="n"/>
      <c r="G3231" s="156" t="n"/>
      <c r="H3231" s="152" t="n">
        <v>460</v>
      </c>
      <c r="I3231" s="156" t="n"/>
      <c r="J3231" s="90" t="n"/>
      <c r="K3231" s="166" t="n"/>
      <c r="L3231" s="158" t="n"/>
      <c r="M3231" s="159" t="n"/>
    </row>
    <row r="3232">
      <c r="A3232" s="114" t="n">
        <v>46231</v>
      </c>
      <c r="B3232" s="115" t="n">
        <v>1844</v>
      </c>
      <c r="C3232" s="115" t="inlineStr">
        <is>
          <t>AZGÜN YAPI</t>
        </is>
      </c>
      <c r="D3232" s="115" t="inlineStr">
        <is>
          <t xml:space="preserve">34 MKT 593 </t>
        </is>
      </c>
      <c r="E3232" s="115" t="inlineStr">
        <is>
          <t>TURGUT ÇATAL</t>
        </is>
      </c>
      <c r="F3232" s="115" t="n"/>
      <c r="G3232" s="156" t="n"/>
      <c r="H3232" s="152" t="n">
        <v>458</v>
      </c>
      <c r="I3232" s="156" t="n"/>
      <c r="J3232" s="90" t="n"/>
      <c r="K3232" s="166" t="n"/>
      <c r="L3232" s="158" t="n"/>
      <c r="M3232" s="159" t="n"/>
    </row>
    <row r="3233">
      <c r="A3233" s="114" t="n">
        <v>46233</v>
      </c>
      <c r="B3233" s="115" t="n">
        <v>1845</v>
      </c>
      <c r="C3233" s="115" t="inlineStr">
        <is>
          <t>AZGÜN YAPI</t>
        </is>
      </c>
      <c r="D3233" s="115" t="inlineStr">
        <is>
          <t xml:space="preserve">34 MKT 593 </t>
        </is>
      </c>
      <c r="E3233" s="115" t="inlineStr">
        <is>
          <t>TURGUT ÇATAL</t>
        </is>
      </c>
      <c r="F3233" s="115" t="n"/>
      <c r="G3233" s="156" t="n"/>
      <c r="H3233" s="152" t="n">
        <v>390</v>
      </c>
      <c r="I3233" s="156" t="n"/>
      <c r="J3233" s="90" t="n"/>
      <c r="K3233" s="166" t="n"/>
      <c r="L3233" s="158" t="n"/>
      <c r="M3233" s="159" t="n"/>
    </row>
    <row r="3234">
      <c r="A3234" s="114" t="n">
        <v>46234</v>
      </c>
      <c r="B3234" s="115" t="n">
        <v>1846</v>
      </c>
      <c r="C3234" s="115" t="inlineStr">
        <is>
          <t>AZGÜN YAPI</t>
        </is>
      </c>
      <c r="D3234" s="115" t="inlineStr">
        <is>
          <t xml:space="preserve">34 MKT 593 </t>
        </is>
      </c>
      <c r="E3234" s="115" t="inlineStr">
        <is>
          <t>TURGUT ÇATAL</t>
        </is>
      </c>
      <c r="F3234" s="115" t="n"/>
      <c r="G3234" s="156" t="n"/>
      <c r="H3234" s="152" t="n">
        <v>215</v>
      </c>
      <c r="I3234" s="156" t="n"/>
      <c r="J3234" s="90" t="n"/>
      <c r="K3234" s="166" t="n"/>
      <c r="L3234" s="158" t="n"/>
      <c r="M3234" s="159" t="n"/>
    </row>
    <row r="3235">
      <c r="A3235" s="114" t="n">
        <v>46219</v>
      </c>
      <c r="B3235" s="115" t="n">
        <v>1157</v>
      </c>
      <c r="C3235" s="115" t="inlineStr">
        <is>
          <t>AZGÜN YAPI</t>
        </is>
      </c>
      <c r="D3235" s="115" t="inlineStr">
        <is>
          <t>34 PZC 890</t>
        </is>
      </c>
      <c r="E3235" s="115" t="inlineStr">
        <is>
          <t>ALAADİN KIRAT</t>
        </is>
      </c>
      <c r="F3235" s="115" t="n"/>
      <c r="G3235" s="156" t="n"/>
      <c r="H3235" s="152" t="n">
        <v>561</v>
      </c>
      <c r="I3235" s="156" t="n"/>
      <c r="J3235" s="90" t="n"/>
      <c r="K3235" s="166" t="n"/>
      <c r="L3235" s="158" t="n"/>
      <c r="M3235" s="159" t="n"/>
    </row>
    <row r="3236">
      <c r="A3236" s="114" t="n">
        <v>46221</v>
      </c>
      <c r="B3236" s="115" t="n">
        <v>1158</v>
      </c>
      <c r="C3236" s="115" t="inlineStr">
        <is>
          <t>AZGÜN YAPI</t>
        </is>
      </c>
      <c r="D3236" s="115" t="inlineStr">
        <is>
          <t>34 PZC 890</t>
        </is>
      </c>
      <c r="E3236" s="115" t="inlineStr">
        <is>
          <t>ALAADİN KIRAT</t>
        </is>
      </c>
      <c r="F3236" s="115" t="n"/>
      <c r="G3236" s="156" t="n"/>
      <c r="H3236" s="152" t="n">
        <v>364</v>
      </c>
      <c r="I3236" s="156" t="n"/>
      <c r="J3236" s="90" t="n"/>
      <c r="K3236" s="166" t="n"/>
      <c r="L3236" s="158" t="n"/>
      <c r="M3236" s="159" t="n"/>
    </row>
    <row r="3237">
      <c r="A3237" s="114" t="n">
        <v>46222</v>
      </c>
      <c r="B3237" s="115" t="n">
        <v>1159</v>
      </c>
      <c r="C3237" s="115" t="inlineStr">
        <is>
          <t>AZGÜN YAPI</t>
        </is>
      </c>
      <c r="D3237" s="115" t="inlineStr">
        <is>
          <t>34 PZC 890</t>
        </is>
      </c>
      <c r="E3237" s="115" t="inlineStr">
        <is>
          <t>ALAADİN KIRAT</t>
        </is>
      </c>
      <c r="F3237" s="115" t="n"/>
      <c r="G3237" s="156" t="n"/>
      <c r="H3237" s="152" t="n">
        <v>162</v>
      </c>
      <c r="I3237" s="156" t="n"/>
      <c r="J3237" s="90" t="n"/>
      <c r="K3237" s="166" t="n"/>
      <c r="L3237" s="158" t="n"/>
      <c r="M3237" s="159" t="n"/>
    </row>
    <row r="3238">
      <c r="A3238" s="114" t="n">
        <v>46224</v>
      </c>
      <c r="B3238" s="115" t="n">
        <v>1160</v>
      </c>
      <c r="C3238" s="115" t="inlineStr">
        <is>
          <t>AZGÜN YAPI</t>
        </is>
      </c>
      <c r="D3238" s="115" t="inlineStr">
        <is>
          <t>34 PZC 890</t>
        </is>
      </c>
      <c r="E3238" s="115" t="inlineStr">
        <is>
          <t>ALAADİN KIRAT</t>
        </is>
      </c>
      <c r="F3238" s="115" t="n"/>
      <c r="G3238" s="156" t="n"/>
      <c r="H3238" s="152" t="n">
        <v>384</v>
      </c>
      <c r="I3238" s="156" t="n"/>
      <c r="J3238" s="90" t="n"/>
      <c r="K3238" s="166" t="n"/>
      <c r="L3238" s="158" t="n"/>
      <c r="M3238" s="159" t="n"/>
    </row>
    <row r="3239">
      <c r="A3239" s="114" t="n">
        <v>46225</v>
      </c>
      <c r="B3239" s="115" t="n">
        <v>1161</v>
      </c>
      <c r="C3239" s="115" t="inlineStr">
        <is>
          <t>AZGÜN YAPI</t>
        </is>
      </c>
      <c r="D3239" s="115" t="inlineStr">
        <is>
          <t>34 PZC 890</t>
        </is>
      </c>
      <c r="E3239" s="115" t="inlineStr">
        <is>
          <t>ALAADİN KIRAT</t>
        </is>
      </c>
      <c r="F3239" s="115" t="n"/>
      <c r="G3239" s="156" t="n"/>
      <c r="H3239" s="152" t="n">
        <v>465</v>
      </c>
      <c r="I3239" s="156" t="n"/>
      <c r="J3239" s="90" t="n"/>
      <c r="K3239" s="166" t="n"/>
      <c r="L3239" s="158" t="n"/>
      <c r="M3239" s="159" t="n"/>
    </row>
    <row r="3240">
      <c r="A3240" s="114" t="n">
        <v>46230</v>
      </c>
      <c r="B3240" s="115" t="n">
        <v>1162</v>
      </c>
      <c r="C3240" s="115" t="inlineStr">
        <is>
          <t>AZGÜN YAPI</t>
        </is>
      </c>
      <c r="D3240" s="115" t="inlineStr">
        <is>
          <t>34 PZC 890</t>
        </is>
      </c>
      <c r="E3240" s="115" t="inlineStr">
        <is>
          <t>ALAADİN KIRAT</t>
        </is>
      </c>
      <c r="F3240" s="115" t="n"/>
      <c r="G3240" s="156" t="n"/>
      <c r="H3240" s="152" t="n">
        <v>511</v>
      </c>
      <c r="I3240" s="156" t="n"/>
      <c r="J3240" s="90" t="n"/>
      <c r="K3240" s="166" t="n"/>
      <c r="L3240" s="158" t="n"/>
      <c r="M3240" s="159" t="n"/>
    </row>
    <row r="3241">
      <c r="A3241" s="114" t="n">
        <v>46232</v>
      </c>
      <c r="B3241" s="115" t="n">
        <v>1163</v>
      </c>
      <c r="C3241" s="115" t="inlineStr">
        <is>
          <t>AZGÜN YAPI</t>
        </is>
      </c>
      <c r="D3241" s="115" t="inlineStr">
        <is>
          <t>34 PZC 890</t>
        </is>
      </c>
      <c r="E3241" s="115" t="inlineStr">
        <is>
          <t>ALAADİN KIRAT</t>
        </is>
      </c>
      <c r="F3241" s="115" t="n"/>
      <c r="G3241" s="156" t="n"/>
      <c r="H3241" s="152" t="n">
        <v>470</v>
      </c>
      <c r="I3241" s="156" t="n"/>
      <c r="J3241" s="90" t="n"/>
      <c r="K3241" s="166" t="n"/>
      <c r="L3241" s="158" t="n"/>
      <c r="M3241" s="159" t="n"/>
    </row>
    <row r="3242">
      <c r="A3242" s="114" t="n">
        <v>46220</v>
      </c>
      <c r="B3242" s="115" t="n">
        <v>1438</v>
      </c>
      <c r="C3242" s="115" t="inlineStr">
        <is>
          <t>AZGÜN YAPI</t>
        </is>
      </c>
      <c r="D3242" s="115" t="inlineStr">
        <is>
          <t>34 MKT 859</t>
        </is>
      </c>
      <c r="E3242" s="115" t="inlineStr">
        <is>
          <t>ZİYA İNCE</t>
        </is>
      </c>
      <c r="F3242" s="115" t="n"/>
      <c r="G3242" s="156" t="n"/>
      <c r="H3242" s="152" t="n">
        <v>417</v>
      </c>
      <c r="I3242" s="156" t="n"/>
      <c r="J3242" s="90" t="n"/>
      <c r="K3242" s="166" t="n"/>
      <c r="L3242" s="158" t="n"/>
      <c r="M3242" s="159" t="n"/>
    </row>
    <row r="3243">
      <c r="A3243" s="114" t="n">
        <v>46223</v>
      </c>
      <c r="B3243" s="115" t="n">
        <v>1439</v>
      </c>
      <c r="C3243" s="115" t="inlineStr">
        <is>
          <t>AZGÜN YAPI</t>
        </is>
      </c>
      <c r="D3243" s="115" t="inlineStr">
        <is>
          <t>34 MKT 859</t>
        </is>
      </c>
      <c r="E3243" s="115" t="inlineStr">
        <is>
          <t>ZİYA İNCE</t>
        </is>
      </c>
      <c r="F3243" s="115" t="n"/>
      <c r="G3243" s="156" t="n"/>
      <c r="H3243" s="152" t="n">
        <v>510</v>
      </c>
      <c r="I3243" s="156" t="n"/>
      <c r="J3243" s="90" t="n"/>
      <c r="K3243" s="166" t="n"/>
      <c r="L3243" s="158" t="n"/>
      <c r="M3243" s="159" t="n"/>
    </row>
    <row r="3244">
      <c r="A3244" s="114" t="n">
        <v>46219</v>
      </c>
      <c r="B3244" s="115" t="n">
        <v>3764</v>
      </c>
      <c r="C3244" s="115" t="inlineStr">
        <is>
          <t>METİN ERYİĞİT</t>
        </is>
      </c>
      <c r="D3244" s="115" t="inlineStr">
        <is>
          <t>34 EGS 013</t>
        </is>
      </c>
      <c r="E3244" s="115" t="inlineStr">
        <is>
          <t>UĞUR DUMAN</t>
        </is>
      </c>
      <c r="F3244" s="115" t="n">
        <v>601494</v>
      </c>
      <c r="G3244" s="156" t="n"/>
      <c r="H3244" s="152" t="n">
        <v>455</v>
      </c>
      <c r="I3244" s="156" t="n"/>
      <c r="J3244" s="90" t="n"/>
      <c r="K3244" s="166" t="n"/>
      <c r="L3244" s="158" t="n"/>
      <c r="M3244" s="159" t="n"/>
    </row>
    <row r="3245">
      <c r="A3245" s="114" t="n">
        <v>46220</v>
      </c>
      <c r="B3245" s="115" t="n">
        <v>3765</v>
      </c>
      <c r="C3245" s="115" t="inlineStr">
        <is>
          <t>METİN ERYİĞİT</t>
        </is>
      </c>
      <c r="D3245" s="115" t="inlineStr">
        <is>
          <t>34 EGS 013</t>
        </is>
      </c>
      <c r="E3245" s="115" t="inlineStr">
        <is>
          <t>UĞUR DUMAN</t>
        </is>
      </c>
      <c r="F3245" s="115" t="n">
        <v>602230</v>
      </c>
      <c r="G3245" s="156" t="n"/>
      <c r="H3245" s="152" t="n">
        <v>424</v>
      </c>
      <c r="I3245" s="156" t="n"/>
      <c r="J3245" s="90" t="n"/>
      <c r="K3245" s="166" t="n"/>
      <c r="L3245" s="158" t="n"/>
      <c r="M3245" s="159" t="n"/>
    </row>
    <row r="3246">
      <c r="A3246" s="114" t="n">
        <v>46222</v>
      </c>
      <c r="B3246" s="115" t="n">
        <v>3766</v>
      </c>
      <c r="C3246" s="115" t="inlineStr">
        <is>
          <t>METİN ERYİĞİT</t>
        </is>
      </c>
      <c r="D3246" s="115" t="inlineStr">
        <is>
          <t>34 EGS 013</t>
        </is>
      </c>
      <c r="E3246" s="115" t="inlineStr">
        <is>
          <t>UĞUR DUMAN</t>
        </is>
      </c>
      <c r="F3246" s="115" t="n">
        <v>602920</v>
      </c>
      <c r="G3246" s="156" t="n"/>
      <c r="H3246" s="152" t="n">
        <v>382</v>
      </c>
      <c r="I3246" s="156" t="n"/>
      <c r="J3246" s="90" t="n"/>
      <c r="K3246" s="166" t="n"/>
      <c r="L3246" s="158" t="n"/>
      <c r="M3246" s="159" t="n"/>
    </row>
    <row r="3247">
      <c r="A3247" s="114" t="n">
        <v>46223</v>
      </c>
      <c r="B3247" s="115" t="n">
        <v>3767</v>
      </c>
      <c r="C3247" s="115" t="inlineStr">
        <is>
          <t>METİN ERYİĞİT</t>
        </is>
      </c>
      <c r="D3247" s="115" t="inlineStr">
        <is>
          <t>34 EGS 013</t>
        </is>
      </c>
      <c r="E3247" s="115" t="inlineStr">
        <is>
          <t>UĞUR DUMAN</t>
        </is>
      </c>
      <c r="F3247" s="115" t="n">
        <v>603771</v>
      </c>
      <c r="G3247" s="156" t="n"/>
      <c r="H3247" s="152" t="n">
        <v>400</v>
      </c>
      <c r="I3247" s="156" t="n"/>
      <c r="J3247" s="90" t="n"/>
      <c r="K3247" s="166" t="n"/>
      <c r="L3247" s="158" t="n"/>
      <c r="M3247" s="159" t="n"/>
    </row>
    <row r="3248">
      <c r="A3248" s="114" t="n">
        <v>46225</v>
      </c>
      <c r="B3248" s="115" t="n">
        <v>3768</v>
      </c>
      <c r="C3248" s="115" t="inlineStr">
        <is>
          <t>METİN ERYİĞİT</t>
        </is>
      </c>
      <c r="D3248" s="115" t="inlineStr">
        <is>
          <t>34 EGS 013</t>
        </is>
      </c>
      <c r="E3248" s="115" t="inlineStr">
        <is>
          <t>UĞUR DUMAN</t>
        </is>
      </c>
      <c r="F3248" s="115" t="n">
        <v>604582</v>
      </c>
      <c r="G3248" s="156" t="n"/>
      <c r="H3248" s="152" t="n">
        <v>417</v>
      </c>
      <c r="I3248" s="156" t="n"/>
      <c r="J3248" s="90" t="n"/>
      <c r="K3248" s="166" t="n"/>
      <c r="L3248" s="158" t="n"/>
      <c r="M3248" s="159" t="n"/>
    </row>
    <row r="3249">
      <c r="A3249" s="114" t="n">
        <v>46227</v>
      </c>
      <c r="B3249" s="115" t="n">
        <v>3769</v>
      </c>
      <c r="C3249" s="115" t="inlineStr">
        <is>
          <t>METİN ERYİĞİT</t>
        </is>
      </c>
      <c r="D3249" s="115" t="inlineStr">
        <is>
          <t>34 EGS 013</t>
        </is>
      </c>
      <c r="E3249" s="115" t="inlineStr">
        <is>
          <t>UĞUR DUMAN</t>
        </is>
      </c>
      <c r="F3249" s="115" t="n">
        <v>605408</v>
      </c>
      <c r="G3249" s="156" t="n"/>
      <c r="H3249" s="152" t="n">
        <v>457</v>
      </c>
      <c r="I3249" s="156" t="n"/>
      <c r="J3249" s="90" t="n"/>
      <c r="K3249" s="166" t="n"/>
      <c r="L3249" s="158" t="n"/>
      <c r="M3249" s="159" t="n"/>
    </row>
    <row r="3250">
      <c r="A3250" s="114" t="n">
        <v>46231</v>
      </c>
      <c r="B3250" s="115" t="n">
        <v>3770</v>
      </c>
      <c r="C3250" s="115" t="inlineStr">
        <is>
          <t>METİN ERYİĞİT</t>
        </is>
      </c>
      <c r="D3250" s="115" t="inlineStr">
        <is>
          <t>34 EGS 013</t>
        </is>
      </c>
      <c r="E3250" s="115" t="inlineStr">
        <is>
          <t>UĞUR DUMAN</t>
        </is>
      </c>
      <c r="F3250" s="115" t="n">
        <v>606274</v>
      </c>
      <c r="G3250" s="156" t="n"/>
      <c r="H3250" s="152" t="n">
        <v>473</v>
      </c>
      <c r="I3250" s="156" t="n"/>
      <c r="J3250" s="90" t="n"/>
      <c r="K3250" s="166" t="n"/>
      <c r="L3250" s="158" t="n"/>
      <c r="M3250" s="159" t="n"/>
    </row>
    <row r="3251">
      <c r="A3251" s="114" t="n">
        <v>46232</v>
      </c>
      <c r="B3251" s="115" t="n">
        <v>3771</v>
      </c>
      <c r="C3251" s="115" t="inlineStr">
        <is>
          <t>METİN ERYİĞİT</t>
        </is>
      </c>
      <c r="D3251" s="115" t="inlineStr">
        <is>
          <t>34 EGS 013</t>
        </is>
      </c>
      <c r="E3251" s="115" t="inlineStr">
        <is>
          <t>UĞUR DUMAN</t>
        </is>
      </c>
      <c r="F3251" s="115" t="n">
        <v>606849</v>
      </c>
      <c r="G3251" s="156" t="n"/>
      <c r="H3251" s="152" t="n">
        <v>300</v>
      </c>
      <c r="I3251" s="156" t="n"/>
      <c r="J3251" s="90" t="n"/>
      <c r="K3251" s="166" t="n"/>
      <c r="L3251" s="158" t="n"/>
      <c r="M3251" s="159" t="n"/>
    </row>
    <row r="3252">
      <c r="A3252" s="114" t="n">
        <v>46234</v>
      </c>
      <c r="B3252" s="115" t="n">
        <v>3772</v>
      </c>
      <c r="C3252" s="115" t="inlineStr">
        <is>
          <t>METİN ERYİĞİT</t>
        </is>
      </c>
      <c r="D3252" s="115" t="inlineStr">
        <is>
          <t>34 EGS 013</t>
        </is>
      </c>
      <c r="E3252" s="115" t="inlineStr">
        <is>
          <t>UĞUR DUMAN</t>
        </is>
      </c>
      <c r="F3252" s="115" t="n">
        <v>607570</v>
      </c>
      <c r="G3252" s="156" t="n"/>
      <c r="H3252" s="152" t="n">
        <v>400</v>
      </c>
      <c r="I3252" s="156" t="n"/>
      <c r="J3252" s="90" t="n"/>
      <c r="K3252" s="166" t="n"/>
      <c r="L3252" s="158" t="n"/>
      <c r="M3252" s="159" t="n"/>
    </row>
    <row r="3253">
      <c r="A3253" s="114" t="n">
        <v>46220</v>
      </c>
      <c r="B3253" s="115" t="n">
        <v>3812</v>
      </c>
      <c r="C3253" s="115" t="inlineStr">
        <is>
          <t>METİN ERYİĞİT</t>
        </is>
      </c>
      <c r="D3253" s="115" t="inlineStr">
        <is>
          <t>34 EGR 814</t>
        </is>
      </c>
      <c r="E3253" s="115" t="inlineStr">
        <is>
          <t>SEZGİN KOCAGİL</t>
        </is>
      </c>
      <c r="F3253" s="115" t="n">
        <v>651429</v>
      </c>
      <c r="G3253" s="156" t="n"/>
      <c r="H3253" s="152" t="n">
        <v>374</v>
      </c>
      <c r="I3253" s="156" t="n"/>
      <c r="J3253" s="90" t="n"/>
      <c r="K3253" s="166" t="n"/>
      <c r="L3253" s="158" t="n"/>
      <c r="M3253" s="159" t="n"/>
    </row>
    <row r="3254">
      <c r="A3254" s="114" t="n">
        <v>46222</v>
      </c>
      <c r="B3254" s="115" t="n">
        <v>3813</v>
      </c>
      <c r="C3254" s="115" t="inlineStr">
        <is>
          <t>METİN ERYİĞİT</t>
        </is>
      </c>
      <c r="D3254" s="115" t="inlineStr">
        <is>
          <t>34 EGR 814</t>
        </is>
      </c>
      <c r="E3254" s="115" t="inlineStr">
        <is>
          <t>SEZGİN KOCAGİL</t>
        </is>
      </c>
      <c r="F3254" s="115" t="n">
        <v>652372</v>
      </c>
      <c r="G3254" s="156" t="n"/>
      <c r="H3254" s="152" t="n">
        <v>470</v>
      </c>
      <c r="I3254" s="156" t="n"/>
      <c r="J3254" s="90" t="n"/>
      <c r="K3254" s="166" t="n"/>
      <c r="L3254" s="158" t="n"/>
      <c r="M3254" s="159" t="n"/>
    </row>
    <row r="3255">
      <c r="A3255" s="114" t="n">
        <v>46223</v>
      </c>
      <c r="B3255" s="115" t="n">
        <v>3814</v>
      </c>
      <c r="C3255" s="115" t="inlineStr">
        <is>
          <t>METİN ERYİĞİT</t>
        </is>
      </c>
      <c r="D3255" s="115" t="inlineStr">
        <is>
          <t>34 EGR 814</t>
        </is>
      </c>
      <c r="E3255" s="115" t="inlineStr">
        <is>
          <t>SEZGİN KOCAGİL</t>
        </is>
      </c>
      <c r="F3255" s="115" t="n">
        <v>653028</v>
      </c>
      <c r="G3255" s="156" t="n"/>
      <c r="H3255" s="152" t="n">
        <v>335</v>
      </c>
      <c r="I3255" s="156" t="n"/>
      <c r="J3255" s="90" t="n"/>
      <c r="K3255" s="166" t="n"/>
      <c r="L3255" s="158" t="n"/>
      <c r="M3255" s="159" t="n"/>
    </row>
    <row r="3256">
      <c r="A3256" s="114" t="n">
        <v>46224</v>
      </c>
      <c r="B3256" s="115" t="n">
        <v>3815</v>
      </c>
      <c r="C3256" s="115" t="inlineStr">
        <is>
          <t>METİN ERYİĞİT</t>
        </is>
      </c>
      <c r="D3256" s="115" t="inlineStr">
        <is>
          <t>34 EGR 814</t>
        </is>
      </c>
      <c r="E3256" s="115" t="inlineStr">
        <is>
          <t>SEZGİN KOCAGİL</t>
        </is>
      </c>
      <c r="F3256" s="115" t="n">
        <v>653543</v>
      </c>
      <c r="G3256" s="156" t="n"/>
      <c r="H3256" s="152" t="n">
        <v>256</v>
      </c>
      <c r="I3256" s="156" t="n"/>
      <c r="J3256" s="90" t="n"/>
      <c r="K3256" s="166" t="n"/>
      <c r="L3256" s="158" t="n"/>
      <c r="M3256" s="159" t="n"/>
    </row>
    <row r="3257">
      <c r="A3257" s="114" t="n">
        <v>46226</v>
      </c>
      <c r="B3257" s="115" t="n">
        <v>3816</v>
      </c>
      <c r="C3257" s="115" t="inlineStr">
        <is>
          <t>METİN ERYİĞİT</t>
        </is>
      </c>
      <c r="D3257" s="115" t="inlineStr">
        <is>
          <t>34 EGR 814</t>
        </is>
      </c>
      <c r="E3257" s="115" t="inlineStr">
        <is>
          <t>SEZGİN KOCAGİL</t>
        </is>
      </c>
      <c r="F3257" s="115" t="n">
        <v>654436</v>
      </c>
      <c r="G3257" s="156" t="n"/>
      <c r="H3257" s="152" t="n">
        <v>458</v>
      </c>
      <c r="I3257" s="156" t="n"/>
      <c r="J3257" s="90" t="n"/>
      <c r="K3257" s="166" t="n"/>
      <c r="L3257" s="158" t="n"/>
      <c r="M3257" s="159" t="n"/>
    </row>
    <row r="3258">
      <c r="A3258" s="114" t="n">
        <v>46230</v>
      </c>
      <c r="B3258" s="115" t="n">
        <v>3817</v>
      </c>
      <c r="C3258" s="115" t="inlineStr">
        <is>
          <t>METİN ERYİĞİT</t>
        </is>
      </c>
      <c r="D3258" s="115" t="inlineStr">
        <is>
          <t>34 EGR 814</t>
        </is>
      </c>
      <c r="E3258" s="115" t="inlineStr">
        <is>
          <t>SEZGİN KOCAGİL</t>
        </is>
      </c>
      <c r="F3258" s="115" t="n">
        <v>655280</v>
      </c>
      <c r="G3258" s="156" t="n"/>
      <c r="H3258" s="152" t="n">
        <v>425</v>
      </c>
      <c r="I3258" s="156" t="n"/>
      <c r="J3258" s="90" t="n"/>
      <c r="K3258" s="166" t="n"/>
      <c r="L3258" s="158" t="n"/>
      <c r="M3258" s="159" t="n"/>
    </row>
    <row r="3259">
      <c r="A3259" s="114" t="n">
        <v>46233</v>
      </c>
      <c r="B3259" s="115" t="n">
        <v>3818</v>
      </c>
      <c r="C3259" s="115" t="inlineStr">
        <is>
          <t>METİN ERYİĞİT</t>
        </is>
      </c>
      <c r="D3259" s="115" t="inlineStr">
        <is>
          <t>34 EGR 814</t>
        </is>
      </c>
      <c r="E3259" s="115" t="inlineStr">
        <is>
          <t>SEZGİN KOCAGİL</t>
        </is>
      </c>
      <c r="F3259" s="115" t="n">
        <v>655903</v>
      </c>
      <c r="G3259" s="156" t="n"/>
      <c r="H3259" s="152" t="n">
        <v>330</v>
      </c>
      <c r="I3259" s="156" t="n"/>
      <c r="J3259" s="90" t="n"/>
      <c r="K3259" s="166" t="n"/>
      <c r="L3259" s="158" t="n"/>
      <c r="M3259" s="159" t="n"/>
    </row>
    <row r="3260">
      <c r="A3260" s="114" t="n">
        <v>46234</v>
      </c>
      <c r="B3260" s="115" t="n">
        <v>3819</v>
      </c>
      <c r="C3260" s="115" t="inlineStr">
        <is>
          <t>METİN ERYİĞİT</t>
        </is>
      </c>
      <c r="D3260" s="115" t="inlineStr">
        <is>
          <t>34 EGR 814</t>
        </is>
      </c>
      <c r="E3260" s="115" t="inlineStr">
        <is>
          <t>SEZGİN KOCAGİL</t>
        </is>
      </c>
      <c r="F3260" s="115" t="n">
        <v>656429</v>
      </c>
      <c r="G3260" s="156" t="n"/>
      <c r="H3260" s="152" t="n">
        <v>290</v>
      </c>
      <c r="I3260" s="156" t="n"/>
      <c r="J3260" s="90" t="n"/>
      <c r="K3260" s="166" t="n"/>
      <c r="L3260" s="158" t="n"/>
      <c r="M3260" s="159" t="n"/>
    </row>
    <row r="3261">
      <c r="A3261" s="114" t="n">
        <v>46219</v>
      </c>
      <c r="B3261" s="115" t="n">
        <v>2869</v>
      </c>
      <c r="C3261" s="115" t="inlineStr">
        <is>
          <t>METİN ERYİĞİT</t>
        </is>
      </c>
      <c r="D3261" s="115" t="inlineStr">
        <is>
          <t>34 GBL 998</t>
        </is>
      </c>
      <c r="E3261" s="115" t="inlineStr">
        <is>
          <t>ALİ KESKİN</t>
        </is>
      </c>
      <c r="F3261" s="115" t="n">
        <v>389785</v>
      </c>
      <c r="G3261" s="156" t="n"/>
      <c r="H3261" s="152" t="n">
        <v>448</v>
      </c>
      <c r="I3261" s="156" t="n"/>
      <c r="J3261" s="90" t="n"/>
      <c r="K3261" s="166" t="n"/>
      <c r="L3261" s="158" t="n"/>
      <c r="M3261" s="159" t="n"/>
    </row>
    <row r="3262">
      <c r="A3262" s="114" t="n">
        <v>46222</v>
      </c>
      <c r="B3262" s="115" t="n">
        <v>2870</v>
      </c>
      <c r="C3262" s="115" t="inlineStr">
        <is>
          <t>METİN ERYİĞİT</t>
        </is>
      </c>
      <c r="D3262" s="115" t="inlineStr">
        <is>
          <t>34 GBL 998</t>
        </is>
      </c>
      <c r="E3262" s="115" t="inlineStr">
        <is>
          <t>ALİ KESKİN</t>
        </is>
      </c>
      <c r="F3262" s="115" t="n">
        <v>390297</v>
      </c>
      <c r="G3262" s="156" t="n"/>
      <c r="H3262" s="152" t="n">
        <v>300</v>
      </c>
      <c r="I3262" s="156" t="n"/>
      <c r="J3262" s="90" t="n"/>
      <c r="K3262" s="166" t="n"/>
      <c r="L3262" s="158" t="n"/>
      <c r="M3262" s="159" t="n"/>
    </row>
    <row r="3263">
      <c r="A3263" s="114" t="n">
        <v>46223</v>
      </c>
      <c r="B3263" s="115" t="n">
        <v>2871</v>
      </c>
      <c r="C3263" s="115" t="inlineStr">
        <is>
          <t>METİN ERYİĞİT</t>
        </is>
      </c>
      <c r="D3263" s="115" t="inlineStr">
        <is>
          <t>34 GBL 998</t>
        </is>
      </c>
      <c r="E3263" s="115" t="inlineStr">
        <is>
          <t>ALİ KESKİN</t>
        </is>
      </c>
      <c r="F3263" s="115" t="n">
        <v>391298</v>
      </c>
      <c r="G3263" s="156" t="n"/>
      <c r="H3263" s="152" t="n">
        <v>394</v>
      </c>
      <c r="I3263" s="156" t="n"/>
      <c r="J3263" s="90" t="n"/>
      <c r="K3263" s="166" t="n"/>
      <c r="L3263" s="158" t="n"/>
      <c r="M3263" s="159" t="n"/>
    </row>
    <row r="3264">
      <c r="A3264" s="114" t="n">
        <v>46224</v>
      </c>
      <c r="B3264" s="115" t="n">
        <v>2872</v>
      </c>
      <c r="C3264" s="115" t="inlineStr">
        <is>
          <t>METİN ERYİĞİT</t>
        </is>
      </c>
      <c r="D3264" s="115" t="inlineStr">
        <is>
          <t>34 GBL 998</t>
        </is>
      </c>
      <c r="E3264" s="115" t="inlineStr">
        <is>
          <t>ALİ KESKİN</t>
        </is>
      </c>
      <c r="F3264" s="115" t="n">
        <v>391643</v>
      </c>
      <c r="G3264" s="156" t="n"/>
      <c r="H3264" s="152" t="n">
        <v>150</v>
      </c>
      <c r="I3264" s="156" t="n"/>
      <c r="J3264" s="90" t="n"/>
      <c r="K3264" s="166" t="n"/>
      <c r="L3264" s="158" t="n"/>
      <c r="M3264" s="159" t="n"/>
    </row>
    <row r="3265">
      <c r="A3265" s="114" t="n">
        <v>46225</v>
      </c>
      <c r="B3265" s="115" t="n">
        <v>2873</v>
      </c>
      <c r="C3265" s="115" t="inlineStr">
        <is>
          <t>METİN ERYİĞİT</t>
        </is>
      </c>
      <c r="D3265" s="115" t="inlineStr">
        <is>
          <t>34 GBL 998</t>
        </is>
      </c>
      <c r="E3265" s="115" t="inlineStr">
        <is>
          <t>ALİ KESKİN</t>
        </is>
      </c>
      <c r="F3265" s="115" t="n">
        <v>392539</v>
      </c>
      <c r="G3265" s="156" t="n"/>
      <c r="H3265" s="152" t="n">
        <v>421</v>
      </c>
      <c r="I3265" s="156" t="n"/>
      <c r="J3265" s="90" t="n"/>
      <c r="K3265" s="166" t="n"/>
      <c r="L3265" s="158" t="n"/>
      <c r="M3265" s="159" t="n"/>
    </row>
    <row r="3266">
      <c r="A3266" s="114" t="n">
        <v>46227</v>
      </c>
      <c r="B3266" s="115" t="n">
        <v>2874</v>
      </c>
      <c r="C3266" s="115" t="inlineStr">
        <is>
          <t>METİN ERYİĞİT</t>
        </is>
      </c>
      <c r="D3266" s="115" t="inlineStr">
        <is>
          <t>34 GBL 998</t>
        </is>
      </c>
      <c r="E3266" s="115" t="inlineStr">
        <is>
          <t>ALİ KESKİN</t>
        </is>
      </c>
      <c r="F3266" s="115" t="n">
        <v>393208</v>
      </c>
      <c r="G3266" s="156" t="n"/>
      <c r="H3266" s="152" t="n">
        <v>332</v>
      </c>
      <c r="I3266" s="156" t="n"/>
      <c r="J3266" s="90" t="n"/>
      <c r="K3266" s="166" t="n"/>
      <c r="L3266" s="158" t="n"/>
      <c r="M3266" s="159" t="n"/>
    </row>
    <row r="3267">
      <c r="A3267" s="114" t="n">
        <v>46231</v>
      </c>
      <c r="B3267" s="115" t="n">
        <v>2875</v>
      </c>
      <c r="C3267" s="115" t="inlineStr">
        <is>
          <t>METİN ERYİĞİT</t>
        </is>
      </c>
      <c r="D3267" s="115" t="inlineStr">
        <is>
          <t>34 GBL 998</t>
        </is>
      </c>
      <c r="E3267" s="115" t="inlineStr">
        <is>
          <t>ALİ KESKİN</t>
        </is>
      </c>
      <c r="F3267" s="115" t="n">
        <v>394157</v>
      </c>
      <c r="G3267" s="156" t="n"/>
      <c r="H3267" s="152" t="n">
        <v>457</v>
      </c>
      <c r="I3267" s="156" t="n"/>
      <c r="J3267" s="90" t="n"/>
      <c r="K3267" s="166" t="n"/>
      <c r="L3267" s="158" t="n"/>
      <c r="M3267" s="159" t="n"/>
    </row>
    <row r="3268">
      <c r="A3268" s="114" t="n">
        <v>46232</v>
      </c>
      <c r="B3268" s="115" t="n">
        <v>2876</v>
      </c>
      <c r="C3268" s="115" t="inlineStr">
        <is>
          <t>METİN ERYİĞİT</t>
        </is>
      </c>
      <c r="D3268" s="115" t="inlineStr">
        <is>
          <t>34 GBL 998</t>
        </is>
      </c>
      <c r="E3268" s="115" t="inlineStr">
        <is>
          <t>ALİ KESKİN</t>
        </is>
      </c>
      <c r="F3268" s="115" t="n">
        <v>394640</v>
      </c>
      <c r="G3268" s="156" t="n"/>
      <c r="H3268" s="152" t="n">
        <v>250</v>
      </c>
      <c r="I3268" s="156" t="n"/>
      <c r="J3268" s="90" t="n"/>
      <c r="K3268" s="166" t="n"/>
      <c r="L3268" s="158" t="n"/>
      <c r="M3268" s="159" t="n"/>
    </row>
    <row r="3269">
      <c r="A3269" s="114" t="n">
        <v>46233</v>
      </c>
      <c r="B3269" s="115" t="n">
        <v>2877</v>
      </c>
      <c r="C3269" s="115" t="inlineStr">
        <is>
          <t>METİN ERYİĞİT</t>
        </is>
      </c>
      <c r="D3269" s="115" t="inlineStr">
        <is>
          <t>34 GBL 998</t>
        </is>
      </c>
      <c r="E3269" s="115" t="inlineStr">
        <is>
          <t>ALİ KESKİN</t>
        </is>
      </c>
      <c r="F3269" s="115" t="n">
        <v>395230</v>
      </c>
      <c r="G3269" s="156" t="n"/>
      <c r="H3269" s="152" t="n">
        <v>240</v>
      </c>
      <c r="I3269" s="156" t="n"/>
      <c r="J3269" s="90" t="n"/>
      <c r="K3269" s="166" t="n"/>
      <c r="L3269" s="158" t="n"/>
      <c r="M3269" s="159" t="n"/>
    </row>
    <row r="3270">
      <c r="A3270" s="114" t="n">
        <v>46220</v>
      </c>
      <c r="B3270" s="115" t="n">
        <v>2925</v>
      </c>
      <c r="C3270" s="115" t="inlineStr">
        <is>
          <t>HASAN ZEMİN</t>
        </is>
      </c>
      <c r="D3270" s="115" t="inlineStr">
        <is>
          <t>KAZIK MAKİNASI</t>
        </is>
      </c>
      <c r="E3270" s="115" t="n"/>
      <c r="F3270" s="115" t="n"/>
      <c r="G3270" s="156" t="n"/>
      <c r="H3270" s="152" t="n">
        <v>369</v>
      </c>
      <c r="I3270" s="156" t="n"/>
      <c r="J3270" s="90" t="n"/>
      <c r="K3270" s="166" t="n"/>
      <c r="L3270" s="158" t="n"/>
      <c r="M3270" s="159" t="n"/>
    </row>
    <row r="3271">
      <c r="A3271" s="114" t="n">
        <v>46221</v>
      </c>
      <c r="B3271" s="115" t="n">
        <v>2926</v>
      </c>
      <c r="C3271" s="115" t="inlineStr">
        <is>
          <t>HASAN ZEMİN</t>
        </is>
      </c>
      <c r="D3271" s="115" t="inlineStr">
        <is>
          <t>KAZIK MAKİNASI</t>
        </is>
      </c>
      <c r="E3271" s="115" t="n"/>
      <c r="F3271" s="115" t="n"/>
      <c r="G3271" s="156" t="n"/>
      <c r="H3271" s="152" t="n">
        <v>254</v>
      </c>
      <c r="I3271" s="156" t="n"/>
      <c r="J3271" s="90" t="n"/>
      <c r="K3271" s="166" t="n"/>
      <c r="L3271" s="158" t="n"/>
      <c r="M3271" s="159" t="n"/>
    </row>
    <row r="3272">
      <c r="A3272" s="114" t="n">
        <v>46222</v>
      </c>
      <c r="B3272" s="115" t="n">
        <v>2927</v>
      </c>
      <c r="C3272" s="115" t="inlineStr">
        <is>
          <t>HASAN ZEMİN</t>
        </is>
      </c>
      <c r="D3272" s="115" t="inlineStr">
        <is>
          <t>KAZIK MAKİNASI</t>
        </is>
      </c>
      <c r="E3272" s="115" t="n"/>
      <c r="F3272" s="115" t="n"/>
      <c r="G3272" s="156" t="n"/>
      <c r="H3272" s="152" t="n">
        <v>230</v>
      </c>
      <c r="I3272" s="156" t="n"/>
      <c r="J3272" s="90" t="n"/>
      <c r="K3272" s="166" t="n"/>
      <c r="L3272" s="158" t="n"/>
      <c r="M3272" s="159" t="n"/>
    </row>
    <row r="3273">
      <c r="A3273" s="114" t="n">
        <v>46223</v>
      </c>
      <c r="B3273" s="115" t="n">
        <v>2928</v>
      </c>
      <c r="C3273" s="115" t="inlineStr">
        <is>
          <t>HASAN ZEMİN</t>
        </is>
      </c>
      <c r="D3273" s="115" t="inlineStr">
        <is>
          <t>KAZIK MAKİNASI</t>
        </is>
      </c>
      <c r="E3273" s="115" t="n"/>
      <c r="F3273" s="115" t="n"/>
      <c r="G3273" s="156" t="n"/>
      <c r="H3273" s="152" t="n">
        <v>200</v>
      </c>
      <c r="I3273" s="156" t="n"/>
      <c r="J3273" s="90" t="n"/>
      <c r="K3273" s="166" t="n"/>
      <c r="L3273" s="158" t="n"/>
      <c r="M3273" s="159" t="n"/>
    </row>
    <row r="3274">
      <c r="A3274" s="114" t="n">
        <v>46224</v>
      </c>
      <c r="B3274" s="115" t="n">
        <v>2929</v>
      </c>
      <c r="C3274" s="115" t="inlineStr">
        <is>
          <t>HASAN ZEMİN</t>
        </is>
      </c>
      <c r="D3274" s="115" t="inlineStr">
        <is>
          <t>KAZIK MAKİNASI</t>
        </is>
      </c>
      <c r="E3274" s="115" t="n"/>
      <c r="F3274" s="115" t="n"/>
      <c r="G3274" s="156" t="n"/>
      <c r="H3274" s="152" t="n">
        <v>185</v>
      </c>
      <c r="I3274" s="156" t="n"/>
      <c r="J3274" s="90" t="n"/>
      <c r="K3274" s="166" t="n"/>
      <c r="L3274" s="158" t="n"/>
      <c r="M3274" s="159" t="n"/>
    </row>
    <row r="3275">
      <c r="A3275" s="114" t="n">
        <v>46224</v>
      </c>
      <c r="B3275" s="115" t="n">
        <v>2930</v>
      </c>
      <c r="C3275" s="115" t="inlineStr">
        <is>
          <t>HASAN ZEMİN</t>
        </is>
      </c>
      <c r="D3275" s="115" t="inlineStr">
        <is>
          <t>KAZIK MAKİNASI</t>
        </is>
      </c>
      <c r="E3275" s="115" t="n"/>
      <c r="F3275" s="115" t="n"/>
      <c r="G3275" s="156" t="n"/>
      <c r="H3275" s="152" t="n">
        <v>139</v>
      </c>
      <c r="I3275" s="156" t="n"/>
      <c r="J3275" s="90" t="n"/>
      <c r="K3275" s="166" t="n"/>
      <c r="L3275" s="158" t="n"/>
      <c r="M3275" s="159" t="n"/>
    </row>
    <row r="3276">
      <c r="A3276" s="114" t="n">
        <v>46225</v>
      </c>
      <c r="B3276" s="115" t="n">
        <v>2931</v>
      </c>
      <c r="C3276" s="115" t="inlineStr">
        <is>
          <t>HASAN ZEMİN</t>
        </is>
      </c>
      <c r="D3276" s="115" t="inlineStr">
        <is>
          <t>KAZIK MAKİNASI</t>
        </is>
      </c>
      <c r="E3276" s="115" t="n"/>
      <c r="F3276" s="115" t="n"/>
      <c r="G3276" s="156" t="n"/>
      <c r="H3276" s="152" t="n">
        <v>406</v>
      </c>
      <c r="I3276" s="156" t="n"/>
      <c r="J3276" s="90" t="n"/>
      <c r="K3276" s="166" t="n"/>
      <c r="L3276" s="158" t="n"/>
      <c r="M3276" s="159" t="n"/>
    </row>
    <row r="3277">
      <c r="A3277" s="114" t="n">
        <v>46227</v>
      </c>
      <c r="B3277" s="115" t="n">
        <v>2932</v>
      </c>
      <c r="C3277" s="115" t="inlineStr">
        <is>
          <t>HASAN ZEMİN</t>
        </is>
      </c>
      <c r="D3277" s="115" t="inlineStr">
        <is>
          <t>KAZIK MAKİNASI</t>
        </is>
      </c>
      <c r="E3277" s="115" t="n"/>
      <c r="F3277" s="115" t="n"/>
      <c r="G3277" s="156" t="n"/>
      <c r="H3277" s="152" t="n">
        <v>605</v>
      </c>
      <c r="I3277" s="156" t="n"/>
      <c r="J3277" s="90" t="n"/>
      <c r="K3277" s="166" t="n"/>
      <c r="L3277" s="158" t="n"/>
      <c r="M3277" s="159" t="n"/>
    </row>
    <row r="3278">
      <c r="A3278" s="114" t="n">
        <v>46230</v>
      </c>
      <c r="B3278" s="115" t="n">
        <v>2933</v>
      </c>
      <c r="C3278" s="115" t="inlineStr">
        <is>
          <t>HASAN ZEMİN</t>
        </is>
      </c>
      <c r="D3278" s="115" t="inlineStr">
        <is>
          <t>KAZIK MAKİNASI</t>
        </is>
      </c>
      <c r="E3278" s="115" t="n"/>
      <c r="F3278" s="115" t="n"/>
      <c r="G3278" s="156" t="n"/>
      <c r="H3278" s="152" t="n">
        <v>497</v>
      </c>
      <c r="I3278" s="156" t="n"/>
      <c r="J3278" s="90" t="n"/>
      <c r="K3278" s="166" t="n"/>
      <c r="L3278" s="158" t="n"/>
      <c r="M3278" s="159" t="n"/>
    </row>
    <row r="3279">
      <c r="A3279" s="114" t="n">
        <v>46232</v>
      </c>
      <c r="B3279" s="115" t="n">
        <v>2934</v>
      </c>
      <c r="C3279" s="115" t="inlineStr">
        <is>
          <t>HASAN ZEMİN</t>
        </is>
      </c>
      <c r="D3279" s="115" t="inlineStr">
        <is>
          <t>KAZIK MAKİNASI</t>
        </is>
      </c>
      <c r="E3279" s="115" t="n"/>
      <c r="F3279" s="115" t="n"/>
      <c r="G3279" s="156" t="n"/>
      <c r="H3279" s="152" t="n">
        <v>562</v>
      </c>
      <c r="I3279" s="156" t="n"/>
      <c r="J3279" s="90" t="n"/>
      <c r="K3279" s="166" t="n"/>
      <c r="L3279" s="158" t="n"/>
      <c r="M3279" s="159" t="n"/>
    </row>
    <row r="3280">
      <c r="A3280" s="114" t="n">
        <v>46234</v>
      </c>
      <c r="B3280" s="115" t="n">
        <v>2935</v>
      </c>
      <c r="C3280" s="115" t="inlineStr">
        <is>
          <t>HASAN ZEMİN</t>
        </is>
      </c>
      <c r="D3280" s="115" t="inlineStr">
        <is>
          <t>KAZIK MAKİNASI</t>
        </is>
      </c>
      <c r="E3280" s="115" t="n"/>
      <c r="F3280" s="115" t="n"/>
      <c r="G3280" s="156" t="n"/>
      <c r="H3280" s="152" t="n">
        <v>390</v>
      </c>
      <c r="I3280" s="156" t="n"/>
      <c r="J3280" s="90" t="n"/>
      <c r="K3280" s="166" t="n"/>
      <c r="L3280" s="158" t="n"/>
      <c r="M3280" s="159" t="n"/>
    </row>
    <row r="3281">
      <c r="A3281" s="114" t="n">
        <v>46221</v>
      </c>
      <c r="B3281" s="115" t="n">
        <v>3317</v>
      </c>
      <c r="C3281" s="115" t="inlineStr">
        <is>
          <t>SELİM İNŞAAT</t>
        </is>
      </c>
      <c r="D3281" s="115" t="inlineStr">
        <is>
          <t>34 FVU 827</t>
        </is>
      </c>
      <c r="E3281" s="115" t="inlineStr">
        <is>
          <t>YILMAZ ÇELEBİ</t>
        </is>
      </c>
      <c r="F3281" s="115" t="n"/>
      <c r="G3281" s="156" t="n"/>
      <c r="H3281" s="152" t="n">
        <v>46</v>
      </c>
      <c r="I3281" s="156" t="n"/>
      <c r="J3281" s="90" t="n"/>
      <c r="K3281" s="166" t="n"/>
      <c r="L3281" s="158" t="n"/>
      <c r="M3281" s="159" t="n"/>
    </row>
    <row r="3282">
      <c r="A3282" s="114" t="n">
        <v>46226</v>
      </c>
      <c r="B3282" s="115" t="n">
        <v>3318</v>
      </c>
      <c r="C3282" s="115" t="inlineStr">
        <is>
          <t>MAHMUT VİNÇ</t>
        </is>
      </c>
      <c r="D3282" s="115" t="inlineStr">
        <is>
          <t>34 AH 5401</t>
        </is>
      </c>
      <c r="E3282" s="115" t="inlineStr">
        <is>
          <t>YASİN DEMİR</t>
        </is>
      </c>
      <c r="F3282" s="115" t="n"/>
      <c r="G3282" s="156" t="n"/>
      <c r="H3282" s="152" t="n">
        <v>10</v>
      </c>
      <c r="I3282" s="156" t="n"/>
      <c r="J3282" s="90" t="n"/>
      <c r="K3282" s="166" t="n"/>
      <c r="L3282" s="158" t="n"/>
      <c r="M3282" s="159" t="n"/>
    </row>
    <row r="3283">
      <c r="A3283" s="114" t="n">
        <v>46230</v>
      </c>
      <c r="B3283" s="115" t="n">
        <v>3319</v>
      </c>
      <c r="C3283" s="115" t="inlineStr">
        <is>
          <t>MEGA VARLIK</t>
        </is>
      </c>
      <c r="D3283" s="115" t="inlineStr">
        <is>
          <t>FORKLİF</t>
        </is>
      </c>
      <c r="E3283" s="115" t="inlineStr">
        <is>
          <t>FAHRİ</t>
        </is>
      </c>
      <c r="F3283" s="115" t="n"/>
      <c r="G3283" s="156" t="n"/>
      <c r="H3283" s="152" t="n">
        <v>80</v>
      </c>
      <c r="I3283" s="156" t="n"/>
      <c r="J3283" s="90" t="n"/>
      <c r="K3283" s="166" t="n"/>
      <c r="L3283" s="158" t="n"/>
      <c r="M3283" s="159" t="n"/>
    </row>
    <row r="3284">
      <c r="A3284" s="114" t="n">
        <v>46231</v>
      </c>
      <c r="B3284" s="115" t="n">
        <v>3320</v>
      </c>
      <c r="C3284" s="115" t="inlineStr">
        <is>
          <t>MEGA VARLIK</t>
        </is>
      </c>
      <c r="D3284" s="115" t="inlineStr">
        <is>
          <t>FORKLİF</t>
        </is>
      </c>
      <c r="E3284" s="115" t="inlineStr">
        <is>
          <t>FAHRİ</t>
        </is>
      </c>
      <c r="F3284" s="115" t="n"/>
      <c r="G3284" s="156" t="n"/>
      <c r="H3284" s="152" t="n">
        <v>80</v>
      </c>
      <c r="I3284" s="156" t="n"/>
      <c r="J3284" s="90" t="n"/>
      <c r="K3284" s="166" t="n"/>
      <c r="L3284" s="158" t="n"/>
      <c r="M3284" s="159" t="n"/>
    </row>
    <row r="3285">
      <c r="A3285" s="114" t="n">
        <v>46232</v>
      </c>
      <c r="B3285" s="115" t="n">
        <v>3321</v>
      </c>
      <c r="C3285" s="115" t="inlineStr">
        <is>
          <t>SELİM İNŞAAT</t>
        </is>
      </c>
      <c r="D3285" s="115" t="inlineStr">
        <is>
          <t>34 FVU 827</t>
        </is>
      </c>
      <c r="E3285" s="115" t="inlineStr">
        <is>
          <t>YILMAZ ÇELEBİ</t>
        </is>
      </c>
      <c r="F3285" s="115" t="n"/>
      <c r="G3285" s="156" t="n"/>
      <c r="H3285" s="152" t="n">
        <v>38</v>
      </c>
      <c r="I3285" s="156" t="n"/>
      <c r="J3285" s="90" t="n"/>
      <c r="K3285" s="166" t="n"/>
      <c r="L3285" s="158" t="n"/>
      <c r="M3285" s="159" t="n"/>
    </row>
    <row r="3286">
      <c r="A3286" s="114" t="n">
        <v>46231</v>
      </c>
      <c r="B3286" s="115" t="n">
        <v>3322</v>
      </c>
      <c r="C3286" s="115" t="inlineStr">
        <is>
          <t>RECEP SELİM OTO KURTARICI</t>
        </is>
      </c>
      <c r="D3286" s="115" t="inlineStr">
        <is>
          <t>34 GC 8658</t>
        </is>
      </c>
      <c r="E3286" s="115" t="inlineStr">
        <is>
          <t>RECEP SELİM</t>
        </is>
      </c>
      <c r="F3286" s="115" t="n"/>
      <c r="G3286" s="156" t="n"/>
      <c r="H3286" s="152" t="n">
        <v>70</v>
      </c>
      <c r="I3286" s="156" t="n"/>
      <c r="J3286" s="90" t="n"/>
      <c r="K3286" s="166" t="n"/>
      <c r="L3286" s="158" t="n"/>
      <c r="M3286" s="159" t="n"/>
    </row>
    <row r="3287">
      <c r="A3287" s="114" t="n">
        <v>46234</v>
      </c>
      <c r="B3287" s="115" t="n">
        <v>3323</v>
      </c>
      <c r="C3287" s="115" t="inlineStr">
        <is>
          <t>MEGA VARLIK</t>
        </is>
      </c>
      <c r="D3287" s="115" t="inlineStr">
        <is>
          <t>FORKLİF</t>
        </is>
      </c>
      <c r="E3287" s="115" t="inlineStr">
        <is>
          <t>FAHRİ</t>
        </is>
      </c>
      <c r="F3287" s="115" t="n"/>
      <c r="G3287" s="156" t="n"/>
      <c r="H3287" s="152" t="n">
        <v>35</v>
      </c>
      <c r="I3287" s="156" t="n"/>
      <c r="J3287" s="90" t="n"/>
      <c r="K3287" s="166" t="n"/>
      <c r="L3287" s="158" t="n"/>
      <c r="M3287" s="159" t="n"/>
    </row>
    <row r="3288">
      <c r="A3288" s="114" t="n">
        <v>46219</v>
      </c>
      <c r="B3288" s="115" t="n">
        <v>3450</v>
      </c>
      <c r="C3288" s="115" t="inlineStr">
        <is>
          <t>MEGA VARLIK</t>
        </is>
      </c>
      <c r="D3288" s="115" t="inlineStr">
        <is>
          <t>SM350</t>
        </is>
      </c>
      <c r="E3288" s="115" t="inlineStr">
        <is>
          <t>TEVFİK</t>
        </is>
      </c>
      <c r="F3288" s="115" t="n"/>
      <c r="G3288" s="156" t="n"/>
      <c r="H3288" s="152" t="n">
        <v>430</v>
      </c>
      <c r="I3288" s="156" t="n"/>
      <c r="J3288" s="90" t="n"/>
      <c r="K3288" s="166" t="n"/>
      <c r="L3288" s="158" t="n"/>
      <c r="M3288" s="159" t="n"/>
    </row>
    <row r="3289">
      <c r="A3289" s="114" t="n">
        <v>46219</v>
      </c>
      <c r="B3289" s="115" t="n">
        <v>2401</v>
      </c>
      <c r="C3289" s="115" t="inlineStr">
        <is>
          <t>SELİM İNŞAAT</t>
        </is>
      </c>
      <c r="D3289" s="115" t="inlineStr">
        <is>
          <t>JCB</t>
        </is>
      </c>
      <c r="E3289" s="115" t="inlineStr">
        <is>
          <t>BAYRAM</t>
        </is>
      </c>
      <c r="F3289" s="115" t="n"/>
      <c r="G3289" s="156" t="n"/>
      <c r="H3289" s="152" t="n">
        <v>69</v>
      </c>
      <c r="I3289" s="156" t="n"/>
      <c r="J3289" s="90" t="n"/>
      <c r="K3289" s="166" t="n"/>
      <c r="L3289" s="158" t="n"/>
      <c r="M3289" s="159" t="n"/>
    </row>
    <row r="3290">
      <c r="A3290" s="114" t="n">
        <v>46219</v>
      </c>
      <c r="B3290" s="115" t="n">
        <v>2402</v>
      </c>
      <c r="C3290" s="115" t="inlineStr">
        <is>
          <t>VARLIK</t>
        </is>
      </c>
      <c r="D3290" s="115" t="inlineStr">
        <is>
          <t>KAVASAKİ</t>
        </is>
      </c>
      <c r="E3290" s="115" t="inlineStr">
        <is>
          <t>RAMAZAN</t>
        </is>
      </c>
      <c r="F3290" s="115" t="n"/>
      <c r="G3290" s="156" t="n"/>
      <c r="H3290" s="152" t="n">
        <v>238</v>
      </c>
      <c r="I3290" s="156" t="n"/>
      <c r="J3290" s="90" t="n"/>
      <c r="K3290" s="166" t="n"/>
      <c r="L3290" s="158" t="n"/>
      <c r="M3290" s="159" t="n"/>
    </row>
    <row r="3291">
      <c r="A3291" s="114" t="n">
        <v>46219</v>
      </c>
      <c r="B3291" s="115" t="n">
        <v>2403</v>
      </c>
      <c r="C3291" s="115" t="inlineStr">
        <is>
          <t>ŞEN KASAP</t>
        </is>
      </c>
      <c r="D3291" s="115" t="inlineStr">
        <is>
          <t>SM350</t>
        </is>
      </c>
      <c r="E3291" s="115" t="inlineStr">
        <is>
          <t>YAKUP</t>
        </is>
      </c>
      <c r="F3291" s="115" t="n"/>
      <c r="G3291" s="156" t="n"/>
      <c r="H3291" s="152" t="n">
        <v>510</v>
      </c>
      <c r="I3291" s="156" t="n"/>
      <c r="J3291" s="90" t="n"/>
      <c r="K3291" s="166" t="n"/>
      <c r="L3291" s="158" t="n"/>
      <c r="M3291" s="159" t="n"/>
    </row>
    <row r="3292">
      <c r="A3292" s="114" t="n">
        <v>46219</v>
      </c>
      <c r="B3292" s="115" t="n">
        <v>2404</v>
      </c>
      <c r="C3292" s="115" t="inlineStr">
        <is>
          <t>ŞEN KASAP</t>
        </is>
      </c>
      <c r="D3292" s="115" t="inlineStr">
        <is>
          <t>SM300</t>
        </is>
      </c>
      <c r="E3292" s="115" t="inlineStr">
        <is>
          <t>ONUR</t>
        </is>
      </c>
      <c r="F3292" s="115" t="n"/>
      <c r="G3292" s="156" t="n"/>
      <c r="H3292" s="152" t="n">
        <v>353</v>
      </c>
      <c r="I3292" s="156" t="n"/>
      <c r="J3292" s="90" t="n"/>
      <c r="K3292" s="166" t="n"/>
      <c r="L3292" s="158" t="n"/>
      <c r="M3292" s="159" t="n"/>
    </row>
    <row r="3293">
      <c r="A3293" s="114" t="n">
        <v>46220</v>
      </c>
      <c r="B3293" s="115" t="n">
        <v>2405</v>
      </c>
      <c r="C3293" s="115" t="inlineStr">
        <is>
          <t>ŞEN KASAP</t>
        </is>
      </c>
      <c r="D3293" s="115" t="inlineStr">
        <is>
          <t>SM370</t>
        </is>
      </c>
      <c r="E3293" s="115" t="inlineStr">
        <is>
          <t>YUSUF</t>
        </is>
      </c>
      <c r="F3293" s="115" t="n"/>
      <c r="G3293" s="156" t="n"/>
      <c r="H3293" s="152" t="n">
        <v>590</v>
      </c>
      <c r="I3293" s="156" t="n"/>
      <c r="J3293" s="90" t="n"/>
      <c r="K3293" s="166" t="n"/>
      <c r="L3293" s="158" t="n"/>
      <c r="M3293" s="159" t="n"/>
    </row>
    <row r="3294">
      <c r="A3294" s="114" t="n">
        <v>46220</v>
      </c>
      <c r="B3294" s="115" t="n">
        <v>2406</v>
      </c>
      <c r="C3294" s="115" t="inlineStr">
        <is>
          <t>ŞEN KASAP</t>
        </is>
      </c>
      <c r="D3294" s="115" t="inlineStr">
        <is>
          <t>SM300</t>
        </is>
      </c>
      <c r="E3294" s="115" t="inlineStr">
        <is>
          <t>ONUR</t>
        </is>
      </c>
      <c r="F3294" s="115" t="n"/>
      <c r="G3294" s="156" t="n"/>
      <c r="H3294" s="152" t="n">
        <v>265</v>
      </c>
      <c r="I3294" s="156" t="n"/>
      <c r="J3294" s="90" t="n"/>
      <c r="K3294" s="166" t="n"/>
      <c r="L3294" s="158" t="n"/>
      <c r="M3294" s="159" t="n"/>
    </row>
    <row r="3295">
      <c r="A3295" s="114" t="n">
        <v>46220</v>
      </c>
      <c r="B3295" s="115" t="n">
        <v>2407</v>
      </c>
      <c r="C3295" s="115" t="inlineStr">
        <is>
          <t>VARLIK</t>
        </is>
      </c>
      <c r="D3295" s="115" t="inlineStr">
        <is>
          <t>SM330</t>
        </is>
      </c>
      <c r="E3295" s="115" t="inlineStr">
        <is>
          <t>TURGUT</t>
        </is>
      </c>
      <c r="F3295" s="115" t="n"/>
      <c r="G3295" s="156" t="n"/>
      <c r="H3295" s="152" t="n">
        <v>364</v>
      </c>
      <c r="I3295" s="156" t="n"/>
      <c r="J3295" s="90" t="n"/>
      <c r="K3295" s="166" t="n"/>
      <c r="L3295" s="158" t="n"/>
      <c r="M3295" s="159" t="n"/>
    </row>
    <row r="3296">
      <c r="A3296" s="114" t="n">
        <v>46220</v>
      </c>
      <c r="B3296" s="115" t="n">
        <v>2408</v>
      </c>
      <c r="C3296" s="115" t="inlineStr">
        <is>
          <t>VARLIK</t>
        </is>
      </c>
      <c r="D3296" s="115" t="inlineStr">
        <is>
          <t>SİLİNDİR</t>
        </is>
      </c>
      <c r="E3296" s="115" t="inlineStr">
        <is>
          <t>ATABEK</t>
        </is>
      </c>
      <c r="F3296" s="115" t="n"/>
      <c r="G3296" s="156" t="n"/>
      <c r="H3296" s="152" t="n">
        <v>396</v>
      </c>
      <c r="I3296" s="156" t="n"/>
      <c r="J3296" s="90" t="n"/>
      <c r="K3296" s="166" t="n"/>
      <c r="L3296" s="158" t="n"/>
      <c r="M3296" s="159" t="n"/>
    </row>
    <row r="3297">
      <c r="A3297" s="114" t="n">
        <v>46220</v>
      </c>
      <c r="B3297" s="115" t="n">
        <v>2409</v>
      </c>
      <c r="C3297" s="115" t="inlineStr">
        <is>
          <t>VARLIK</t>
        </is>
      </c>
      <c r="D3297" s="115" t="inlineStr">
        <is>
          <t>KAVASAKİ</t>
        </is>
      </c>
      <c r="E3297" s="115" t="inlineStr">
        <is>
          <t>RAMAZAN</t>
        </is>
      </c>
      <c r="F3297" s="115" t="n"/>
      <c r="G3297" s="156" t="n"/>
      <c r="H3297" s="152" t="n">
        <v>168</v>
      </c>
      <c r="I3297" s="156" t="n"/>
      <c r="J3297" s="90" t="n"/>
      <c r="K3297" s="166" t="n"/>
      <c r="L3297" s="158" t="n"/>
      <c r="M3297" s="159" t="n"/>
    </row>
    <row r="3298">
      <c r="A3298" s="114" t="n">
        <v>46219</v>
      </c>
      <c r="B3298" s="115" t="n">
        <v>2410</v>
      </c>
      <c r="C3298" s="115" t="inlineStr">
        <is>
          <t>MEGA VARLIK</t>
        </is>
      </c>
      <c r="D3298" s="115" t="inlineStr">
        <is>
          <t>ZOMLİYON</t>
        </is>
      </c>
      <c r="E3298" s="115" t="inlineStr">
        <is>
          <t xml:space="preserve">SALİH </t>
        </is>
      </c>
      <c r="F3298" s="115" t="n"/>
      <c r="G3298" s="156" t="n"/>
      <c r="H3298" s="152" t="n">
        <v>291</v>
      </c>
      <c r="I3298" s="156" t="n"/>
      <c r="J3298" s="90" t="n"/>
      <c r="K3298" s="166" t="n"/>
      <c r="L3298" s="158" t="n"/>
      <c r="M3298" s="159" t="n"/>
    </row>
    <row r="3299">
      <c r="A3299" s="114" t="n">
        <v>46221</v>
      </c>
      <c r="B3299" s="115" t="n">
        <v>2411</v>
      </c>
      <c r="C3299" s="115" t="inlineStr">
        <is>
          <t>ŞEN KASAP</t>
        </is>
      </c>
      <c r="D3299" s="115" t="inlineStr">
        <is>
          <t>SM350</t>
        </is>
      </c>
      <c r="E3299" s="115" t="inlineStr">
        <is>
          <t>YAKUP</t>
        </is>
      </c>
      <c r="F3299" s="115" t="n"/>
      <c r="G3299" s="156" t="n"/>
      <c r="H3299" s="152" t="n">
        <v>560</v>
      </c>
      <c r="I3299" s="156" t="n"/>
      <c r="J3299" s="90" t="n"/>
      <c r="K3299" s="166" t="n"/>
      <c r="L3299" s="158" t="n"/>
      <c r="M3299" s="159" t="n"/>
    </row>
    <row r="3300">
      <c r="A3300" s="114" t="n">
        <v>46222</v>
      </c>
      <c r="B3300" s="115" t="n">
        <v>2412</v>
      </c>
      <c r="C3300" s="115" t="inlineStr">
        <is>
          <t>ŞEN KASAP</t>
        </is>
      </c>
      <c r="D3300" s="115" t="inlineStr">
        <is>
          <t>SM300</t>
        </is>
      </c>
      <c r="E3300" s="115" t="inlineStr">
        <is>
          <t>ONUR</t>
        </is>
      </c>
      <c r="F3300" s="115" t="n"/>
      <c r="G3300" s="156" t="n"/>
      <c r="H3300" s="152" t="n">
        <v>286</v>
      </c>
      <c r="I3300" s="156" t="n"/>
      <c r="J3300" s="90" t="n"/>
      <c r="K3300" s="166" t="n"/>
      <c r="L3300" s="158" t="n"/>
      <c r="M3300" s="159" t="n"/>
    </row>
    <row r="3301">
      <c r="A3301" s="114" t="n">
        <v>46222</v>
      </c>
      <c r="B3301" s="115" t="n">
        <v>2413</v>
      </c>
      <c r="C3301" s="115" t="inlineStr">
        <is>
          <t>ŞEN KASAP</t>
        </is>
      </c>
      <c r="D3301" s="115" t="inlineStr">
        <is>
          <t>SM370</t>
        </is>
      </c>
      <c r="E3301" s="115" t="inlineStr">
        <is>
          <t>YUSUF</t>
        </is>
      </c>
      <c r="F3301" s="115" t="n"/>
      <c r="G3301" s="156" t="n"/>
      <c r="H3301" s="152" t="n">
        <v>539</v>
      </c>
      <c r="I3301" s="156" t="n"/>
      <c r="J3301" s="90" t="n"/>
      <c r="K3301" s="166" t="n"/>
      <c r="L3301" s="158" t="n"/>
      <c r="M3301" s="159" t="n"/>
    </row>
    <row r="3302">
      <c r="A3302" s="114" t="n">
        <v>46222</v>
      </c>
      <c r="B3302" s="115" t="n">
        <v>2414</v>
      </c>
      <c r="C3302" s="115" t="inlineStr">
        <is>
          <t>VARLIK</t>
        </is>
      </c>
      <c r="D3302" s="115" t="inlineStr">
        <is>
          <t>KAVASAKİ</t>
        </is>
      </c>
      <c r="E3302" s="115" t="inlineStr">
        <is>
          <t>RAMAZAN</t>
        </is>
      </c>
      <c r="F3302" s="115" t="n"/>
      <c r="G3302" s="156" t="n"/>
      <c r="H3302" s="152" t="n">
        <v>270</v>
      </c>
      <c r="I3302" s="156" t="n"/>
      <c r="J3302" s="90" t="n"/>
      <c r="K3302" s="166" t="n"/>
      <c r="L3302" s="158" t="n"/>
      <c r="M3302" s="159" t="n"/>
    </row>
    <row r="3303">
      <c r="A3303" s="114" t="n">
        <v>46222</v>
      </c>
      <c r="B3303" s="115" t="n">
        <v>2415</v>
      </c>
      <c r="C3303" s="115" t="inlineStr">
        <is>
          <t>MEGA VARLIK</t>
        </is>
      </c>
      <c r="D3303" s="115" t="inlineStr">
        <is>
          <t>SM350</t>
        </is>
      </c>
      <c r="E3303" s="115" t="inlineStr">
        <is>
          <t>TEVFİK</t>
        </is>
      </c>
      <c r="F3303" s="115" t="n"/>
      <c r="G3303" s="156" t="n"/>
      <c r="H3303" s="152" t="n">
        <v>368</v>
      </c>
      <c r="I3303" s="156" t="n"/>
      <c r="J3303" s="90" t="n"/>
      <c r="K3303" s="166" t="n"/>
      <c r="L3303" s="158" t="n"/>
      <c r="M3303" s="159" t="n"/>
    </row>
    <row r="3304">
      <c r="A3304" s="114" t="n">
        <v>46223</v>
      </c>
      <c r="B3304" s="115" t="n">
        <v>2416</v>
      </c>
      <c r="C3304" s="115" t="inlineStr">
        <is>
          <t>CAKYOL ARDAPALET</t>
        </is>
      </c>
      <c r="D3304" s="115" t="inlineStr">
        <is>
          <t>SARI VİNÇ</t>
        </is>
      </c>
      <c r="E3304" s="115" t="inlineStr">
        <is>
          <t>ALİHAN</t>
        </is>
      </c>
      <c r="F3304" s="115" t="n"/>
      <c r="G3304" s="156" t="n"/>
      <c r="H3304" s="152" t="n">
        <v>235</v>
      </c>
      <c r="I3304" s="156" t="n"/>
      <c r="J3304" s="90" t="n"/>
      <c r="K3304" s="166" t="n"/>
      <c r="L3304" s="158" t="n"/>
      <c r="M3304" s="159" t="n"/>
    </row>
    <row r="3305">
      <c r="A3305" s="114" t="n">
        <v>46223</v>
      </c>
      <c r="B3305" s="115" t="n">
        <v>2417</v>
      </c>
      <c r="C3305" s="115" t="inlineStr">
        <is>
          <t>ŞEN KASAP</t>
        </is>
      </c>
      <c r="D3305" s="115" t="inlineStr">
        <is>
          <t>SM350</t>
        </is>
      </c>
      <c r="E3305" s="115" t="inlineStr">
        <is>
          <t>YAKUP</t>
        </is>
      </c>
      <c r="F3305" s="115" t="n"/>
      <c r="G3305" s="156" t="n"/>
      <c r="H3305" s="152" t="n">
        <v>487</v>
      </c>
      <c r="I3305" s="156" t="n"/>
      <c r="J3305" s="90" t="n"/>
      <c r="K3305" s="166" t="n"/>
      <c r="L3305" s="158" t="n"/>
      <c r="M3305" s="159" t="n"/>
    </row>
    <row r="3306">
      <c r="A3306" s="114" t="n">
        <v>46223</v>
      </c>
      <c r="B3306" s="115" t="n">
        <v>2418</v>
      </c>
      <c r="C3306" s="115" t="inlineStr">
        <is>
          <t>ŞEN KASAP</t>
        </is>
      </c>
      <c r="D3306" s="115" t="inlineStr">
        <is>
          <t>SM300</t>
        </is>
      </c>
      <c r="E3306" s="115" t="inlineStr">
        <is>
          <t>ONUR</t>
        </is>
      </c>
      <c r="F3306" s="115" t="n"/>
      <c r="G3306" s="156" t="n"/>
      <c r="H3306" s="152" t="n">
        <v>465</v>
      </c>
      <c r="I3306" s="156" t="n"/>
      <c r="J3306" s="90" t="n"/>
      <c r="K3306" s="166" t="n"/>
      <c r="L3306" s="158" t="n"/>
      <c r="M3306" s="159" t="n"/>
    </row>
    <row r="3307">
      <c r="A3307" s="114" t="n">
        <v>46223</v>
      </c>
      <c r="B3307" s="115" t="n">
        <v>2419</v>
      </c>
      <c r="C3307" s="115" t="inlineStr">
        <is>
          <t>MEGA VARLIK</t>
        </is>
      </c>
      <c r="D3307" s="115" t="inlineStr">
        <is>
          <t>FORKLİF</t>
        </is>
      </c>
      <c r="E3307" s="115" t="inlineStr">
        <is>
          <t>FAHRİ</t>
        </is>
      </c>
      <c r="F3307" s="115" t="n"/>
      <c r="G3307" s="156" t="n"/>
      <c r="H3307" s="152" t="n">
        <v>73</v>
      </c>
      <c r="I3307" s="156" t="n"/>
      <c r="J3307" s="90" t="n"/>
      <c r="K3307" s="166" t="n"/>
      <c r="L3307" s="158" t="n"/>
      <c r="M3307" s="159" t="n"/>
    </row>
    <row r="3308">
      <c r="A3308" s="114" t="n">
        <v>46223</v>
      </c>
      <c r="B3308" s="115" t="n">
        <v>2420</v>
      </c>
      <c r="C3308" s="115" t="inlineStr">
        <is>
          <t>ŞEN KASAP</t>
        </is>
      </c>
      <c r="D3308" s="115" t="inlineStr">
        <is>
          <t>34 AZ2191</t>
        </is>
      </c>
      <c r="E3308" s="115" t="inlineStr">
        <is>
          <t>NUMAN</t>
        </is>
      </c>
      <c r="F3308" s="115" t="n"/>
      <c r="G3308" s="156" t="n"/>
      <c r="H3308" s="152" t="n">
        <v>210</v>
      </c>
      <c r="I3308" s="156" t="n"/>
      <c r="J3308" s="90" t="n"/>
      <c r="K3308" s="166" t="n"/>
      <c r="L3308" s="158" t="n"/>
      <c r="M3308" s="159" t="n"/>
    </row>
    <row r="3309">
      <c r="A3309" s="114" t="n">
        <v>46224</v>
      </c>
      <c r="B3309" s="115" t="n">
        <v>2421</v>
      </c>
      <c r="C3309" s="115" t="inlineStr">
        <is>
          <t>ŞEN KASAP</t>
        </is>
      </c>
      <c r="D3309" s="115" t="inlineStr">
        <is>
          <t>SM300</t>
        </is>
      </c>
      <c r="E3309" s="115" t="inlineStr">
        <is>
          <t>ONUR</t>
        </is>
      </c>
      <c r="F3309" s="115" t="n"/>
      <c r="G3309" s="156" t="n"/>
      <c r="H3309" s="152" t="n">
        <v>353</v>
      </c>
      <c r="I3309" s="156" t="n"/>
      <c r="J3309" s="90" t="n"/>
      <c r="K3309" s="166" t="n"/>
      <c r="L3309" s="158" t="n"/>
      <c r="M3309" s="159" t="n"/>
    </row>
    <row r="3310">
      <c r="A3310" s="114" t="n">
        <v>46224</v>
      </c>
      <c r="B3310" s="115" t="n">
        <v>2422</v>
      </c>
      <c r="C3310" s="115" t="inlineStr">
        <is>
          <t>ŞEN KASAP</t>
        </is>
      </c>
      <c r="D3310" s="115" t="inlineStr">
        <is>
          <t>SM350</t>
        </is>
      </c>
      <c r="E3310" s="115" t="inlineStr">
        <is>
          <t>YAKUP</t>
        </is>
      </c>
      <c r="F3310" s="115" t="n"/>
      <c r="G3310" s="156" t="n"/>
      <c r="H3310" s="152" t="n">
        <v>316</v>
      </c>
      <c r="I3310" s="156" t="n"/>
      <c r="J3310" s="90" t="n"/>
      <c r="K3310" s="166" t="n"/>
      <c r="L3310" s="158" t="n"/>
      <c r="M3310" s="159" t="n"/>
    </row>
    <row r="3311">
      <c r="A3311" s="114" t="n">
        <v>46224</v>
      </c>
      <c r="B3311" s="115" t="n">
        <v>2423</v>
      </c>
      <c r="C3311" s="115" t="inlineStr">
        <is>
          <t xml:space="preserve">TORU İNŞAAT </t>
        </is>
      </c>
      <c r="D3311" s="115" t="inlineStr">
        <is>
          <t>SM370</t>
        </is>
      </c>
      <c r="E3311" s="115" t="inlineStr">
        <is>
          <t>YUSUF</t>
        </is>
      </c>
      <c r="F3311" s="115" t="n"/>
      <c r="G3311" s="156" t="n"/>
      <c r="H3311" s="152" t="n">
        <v>570</v>
      </c>
      <c r="I3311" s="156" t="n"/>
      <c r="J3311" s="90" t="n"/>
      <c r="K3311" s="166" t="n"/>
      <c r="L3311" s="158" t="n"/>
      <c r="M3311" s="159" t="n"/>
    </row>
    <row r="3312">
      <c r="A3312" s="114" t="n">
        <v>46224</v>
      </c>
      <c r="B3312" s="115" t="n">
        <v>2424</v>
      </c>
      <c r="C3312" s="115" t="inlineStr">
        <is>
          <t>VARLIK</t>
        </is>
      </c>
      <c r="D3312" s="115" t="inlineStr">
        <is>
          <t>TANK-VİNÇ</t>
        </is>
      </c>
      <c r="E3312" s="115" t="n"/>
      <c r="F3312" s="115" t="n"/>
      <c r="G3312" s="156" t="n"/>
      <c r="H3312" s="152" t="n">
        <v>580</v>
      </c>
      <c r="I3312" s="156" t="n"/>
      <c r="J3312" s="90" t="n"/>
      <c r="K3312" s="166" t="n"/>
      <c r="L3312" s="158" t="n"/>
      <c r="M3312" s="159" t="n"/>
    </row>
    <row r="3313">
      <c r="A3313" s="114" t="n">
        <v>46224</v>
      </c>
      <c r="B3313" s="115" t="n">
        <v>2425</v>
      </c>
      <c r="C3313" s="115" t="inlineStr">
        <is>
          <t>VARLIK</t>
        </is>
      </c>
      <c r="D3313" s="115" t="inlineStr">
        <is>
          <t>SM330</t>
        </is>
      </c>
      <c r="E3313" s="115" t="inlineStr">
        <is>
          <t>TURGUT</t>
        </is>
      </c>
      <c r="F3313" s="115" t="n"/>
      <c r="G3313" s="156" t="n"/>
      <c r="H3313" s="152" t="n">
        <v>455</v>
      </c>
      <c r="I3313" s="156" t="n"/>
      <c r="J3313" s="90" t="n"/>
      <c r="K3313" s="166" t="n"/>
      <c r="L3313" s="158" t="n"/>
      <c r="M3313" s="159" t="n"/>
    </row>
    <row r="3314">
      <c r="A3314" s="114" t="n">
        <v>46224</v>
      </c>
      <c r="B3314" s="115" t="n">
        <v>2426</v>
      </c>
      <c r="C3314" s="115" t="inlineStr">
        <is>
          <t>VARLIK</t>
        </is>
      </c>
      <c r="D3314" s="115" t="inlineStr">
        <is>
          <t>SM330</t>
        </is>
      </c>
      <c r="E3314" s="115" t="inlineStr">
        <is>
          <t>TURGUT</t>
        </is>
      </c>
      <c r="F3314" s="115" t="n"/>
      <c r="G3314" s="156" t="n"/>
      <c r="H3314" s="152" t="n">
        <v>550</v>
      </c>
      <c r="I3314" s="156" t="n"/>
      <c r="J3314" s="90" t="n"/>
      <c r="K3314" s="166" t="n"/>
      <c r="L3314" s="158" t="n"/>
      <c r="M3314" s="159" t="n"/>
    </row>
    <row r="3315">
      <c r="A3315" s="114" t="n">
        <v>46224</v>
      </c>
      <c r="B3315" s="115" t="n">
        <v>2427</v>
      </c>
      <c r="C3315" s="115" t="inlineStr">
        <is>
          <t>VARLIK</t>
        </is>
      </c>
      <c r="D3315" s="115" t="inlineStr">
        <is>
          <t>SİLİNDİR</t>
        </is>
      </c>
      <c r="E3315" s="115" t="inlineStr">
        <is>
          <t>ATABEK</t>
        </is>
      </c>
      <c r="F3315" s="115" t="n"/>
      <c r="G3315" s="156" t="n"/>
      <c r="H3315" s="152" t="n">
        <v>390</v>
      </c>
      <c r="I3315" s="156" t="n"/>
      <c r="J3315" s="90" t="n"/>
      <c r="K3315" s="166" t="n"/>
      <c r="L3315" s="158" t="n"/>
      <c r="M3315" s="159" t="n"/>
    </row>
    <row r="3316">
      <c r="A3316" s="114" t="n">
        <v>46224</v>
      </c>
      <c r="B3316" s="115" t="n">
        <v>2428</v>
      </c>
      <c r="C3316" s="115" t="inlineStr">
        <is>
          <t>MEGA VARLIK</t>
        </is>
      </c>
      <c r="D3316" s="115" t="inlineStr">
        <is>
          <t>MANİTO</t>
        </is>
      </c>
      <c r="E3316" s="115" t="inlineStr">
        <is>
          <t>MUHAMMED</t>
        </is>
      </c>
      <c r="F3316" s="115" t="n"/>
      <c r="G3316" s="156" t="n"/>
      <c r="H3316" s="152" t="n">
        <v>254</v>
      </c>
      <c r="I3316" s="156" t="n"/>
      <c r="J3316" s="90" t="n"/>
      <c r="K3316" s="166" t="n"/>
      <c r="L3316" s="158" t="n"/>
      <c r="M3316" s="159" t="n"/>
    </row>
    <row r="3317">
      <c r="A3317" s="114" t="n">
        <v>46224</v>
      </c>
      <c r="B3317" s="115" t="n">
        <v>2429</v>
      </c>
      <c r="C3317" s="115" t="inlineStr">
        <is>
          <t>MEGA VARLIK</t>
        </is>
      </c>
      <c r="D3317" s="115" t="inlineStr">
        <is>
          <t>KAVASAKİ</t>
        </is>
      </c>
      <c r="E3317" s="115" t="inlineStr">
        <is>
          <t>RAMAZAN</t>
        </is>
      </c>
      <c r="F3317" s="115" t="n"/>
      <c r="G3317" s="156" t="n"/>
      <c r="H3317" s="152" t="n">
        <v>275</v>
      </c>
      <c r="I3317" s="156" t="n"/>
      <c r="J3317" s="90" t="n"/>
      <c r="K3317" s="166" t="n"/>
      <c r="L3317" s="158" t="n"/>
      <c r="M3317" s="159" t="n"/>
    </row>
    <row r="3318">
      <c r="A3318" s="114" t="n">
        <v>46224</v>
      </c>
      <c r="B3318" s="115" t="n">
        <v>2430</v>
      </c>
      <c r="C3318" s="115" t="inlineStr">
        <is>
          <t>MEGA VARLIK</t>
        </is>
      </c>
      <c r="D3318" s="115" t="inlineStr">
        <is>
          <t>SM350</t>
        </is>
      </c>
      <c r="E3318" s="115" t="inlineStr">
        <is>
          <t>TEVFİK</t>
        </is>
      </c>
      <c r="F3318" s="115" t="n"/>
      <c r="G3318" s="156" t="n"/>
      <c r="H3318" s="152" t="n">
        <v>427</v>
      </c>
      <c r="I3318" s="156" t="n"/>
      <c r="J3318" s="90" t="n"/>
      <c r="K3318" s="166" t="n"/>
      <c r="L3318" s="158" t="n"/>
      <c r="M3318" s="159" t="n"/>
    </row>
    <row r="3319">
      <c r="A3319" s="114" t="n">
        <v>46225</v>
      </c>
      <c r="B3319" s="115" t="n">
        <v>2431</v>
      </c>
      <c r="C3319" s="115" t="inlineStr">
        <is>
          <t>MEGA VARLIK</t>
        </is>
      </c>
      <c r="D3319" s="115" t="inlineStr">
        <is>
          <t>KAVASAKİ</t>
        </is>
      </c>
      <c r="E3319" s="115" t="inlineStr">
        <is>
          <t>RAMAZAN</t>
        </is>
      </c>
      <c r="F3319" s="115" t="n"/>
      <c r="G3319" s="156" t="n"/>
      <c r="H3319" s="152" t="n">
        <v>165</v>
      </c>
      <c r="I3319" s="156" t="n"/>
      <c r="J3319" s="90" t="n"/>
      <c r="K3319" s="166" t="n"/>
      <c r="L3319" s="158" t="n"/>
      <c r="M3319" s="159" t="n"/>
    </row>
    <row r="3320">
      <c r="A3320" s="114" t="n">
        <v>46225</v>
      </c>
      <c r="B3320" s="115" t="n">
        <v>2432</v>
      </c>
      <c r="C3320" s="115" t="inlineStr">
        <is>
          <t>SELİM İNŞAAT</t>
        </is>
      </c>
      <c r="D3320" s="115" t="inlineStr">
        <is>
          <t>JCB</t>
        </is>
      </c>
      <c r="E3320" s="115" t="inlineStr">
        <is>
          <t>BAYRAM</t>
        </is>
      </c>
      <c r="F3320" s="115" t="n"/>
      <c r="G3320" s="156" t="n"/>
      <c r="H3320" s="152" t="n">
        <v>63</v>
      </c>
      <c r="I3320" s="156" t="n"/>
      <c r="J3320" s="90" t="n"/>
      <c r="K3320" s="166" t="n"/>
      <c r="L3320" s="158" t="n"/>
      <c r="M3320" s="159" t="n"/>
    </row>
    <row r="3321">
      <c r="A3321" s="114" t="n">
        <v>46226</v>
      </c>
      <c r="B3321" s="115" t="n">
        <v>2433</v>
      </c>
      <c r="C3321" s="115" t="inlineStr">
        <is>
          <t>ŞEN KASAP</t>
        </is>
      </c>
      <c r="D3321" s="115" t="inlineStr">
        <is>
          <t>SM350</t>
        </is>
      </c>
      <c r="E3321" s="115" t="inlineStr">
        <is>
          <t>TEVFİK</t>
        </is>
      </c>
      <c r="F3321" s="115" t="n"/>
      <c r="G3321" s="156" t="n"/>
      <c r="H3321" s="152" t="n">
        <v>335</v>
      </c>
      <c r="I3321" s="156" t="n"/>
      <c r="J3321" s="90" t="n"/>
      <c r="K3321" s="166" t="n"/>
      <c r="L3321" s="158" t="n"/>
      <c r="M3321" s="159" t="n"/>
    </row>
    <row r="3322">
      <c r="A3322" s="114" t="n">
        <v>46226</v>
      </c>
      <c r="B3322" s="115" t="n">
        <v>2434</v>
      </c>
      <c r="C3322" s="115" t="inlineStr">
        <is>
          <t>ŞEN KASAP</t>
        </is>
      </c>
      <c r="D3322" s="115" t="inlineStr">
        <is>
          <t>SM300</t>
        </is>
      </c>
      <c r="E3322" s="115" t="inlineStr">
        <is>
          <t>ONUR</t>
        </is>
      </c>
      <c r="F3322" s="115" t="n"/>
      <c r="G3322" s="156" t="n"/>
      <c r="H3322" s="152" t="n">
        <v>532</v>
      </c>
      <c r="I3322" s="156" t="n"/>
      <c r="J3322" s="90" t="n"/>
      <c r="K3322" s="166" t="n"/>
      <c r="L3322" s="158" t="n"/>
      <c r="M3322" s="159" t="n"/>
    </row>
    <row r="3323">
      <c r="A3323" s="114" t="n">
        <v>46226</v>
      </c>
      <c r="B3323" s="115" t="n">
        <v>2435</v>
      </c>
      <c r="C3323" s="115" t="inlineStr">
        <is>
          <t>ŞEN KASAP</t>
        </is>
      </c>
      <c r="D3323" s="115" t="inlineStr">
        <is>
          <t>SM350</t>
        </is>
      </c>
      <c r="E3323" s="115" t="inlineStr">
        <is>
          <t>YAKUP</t>
        </is>
      </c>
      <c r="F3323" s="115" t="n"/>
      <c r="G3323" s="156" t="n"/>
      <c r="H3323" s="152" t="n">
        <v>498</v>
      </c>
      <c r="I3323" s="156" t="n"/>
      <c r="J3323" s="90" t="n"/>
      <c r="K3323" s="166" t="n"/>
      <c r="L3323" s="158" t="n"/>
      <c r="M3323" s="159" t="n"/>
    </row>
    <row r="3324">
      <c r="A3324" s="114" t="n">
        <v>46226</v>
      </c>
      <c r="B3324" s="115" t="n">
        <v>2436</v>
      </c>
      <c r="C3324" s="115" t="inlineStr">
        <is>
          <t>ŞEN KASAP</t>
        </is>
      </c>
      <c r="D3324" s="115" t="inlineStr">
        <is>
          <t>SM370</t>
        </is>
      </c>
      <c r="E3324" s="115" t="inlineStr">
        <is>
          <t>YUSUF</t>
        </is>
      </c>
      <c r="F3324" s="115" t="n"/>
      <c r="G3324" s="156" t="n"/>
      <c r="H3324" s="152" t="n">
        <v>505</v>
      </c>
      <c r="I3324" s="156" t="n"/>
      <c r="J3324" s="90" t="n"/>
      <c r="K3324" s="166" t="n"/>
      <c r="L3324" s="158" t="n"/>
      <c r="M3324" s="159" t="n"/>
    </row>
    <row r="3325">
      <c r="A3325" s="114" t="n">
        <v>46226</v>
      </c>
      <c r="B3325" s="115" t="n">
        <v>2437</v>
      </c>
      <c r="C3325" s="115" t="inlineStr">
        <is>
          <t>VARLIK</t>
        </is>
      </c>
      <c r="D3325" s="115" t="inlineStr">
        <is>
          <t>SM330</t>
        </is>
      </c>
      <c r="E3325" s="115" t="inlineStr">
        <is>
          <t>TURGUT</t>
        </is>
      </c>
      <c r="F3325" s="115" t="n"/>
      <c r="G3325" s="156" t="n"/>
      <c r="H3325" s="152" t="n">
        <v>578</v>
      </c>
      <c r="I3325" s="156" t="n"/>
      <c r="J3325" s="90" t="n"/>
      <c r="K3325" s="166" t="n"/>
      <c r="L3325" s="158" t="n"/>
      <c r="M3325" s="159" t="n"/>
    </row>
    <row r="3326">
      <c r="A3326" s="114" t="n">
        <v>46227</v>
      </c>
      <c r="B3326" s="115" t="n">
        <v>2438</v>
      </c>
      <c r="C3326" s="115" t="inlineStr">
        <is>
          <t>ŞEN KASAP</t>
        </is>
      </c>
      <c r="D3326" s="115" t="inlineStr">
        <is>
          <t>SM300</t>
        </is>
      </c>
      <c r="E3326" s="115" t="inlineStr">
        <is>
          <t>ONUR</t>
        </is>
      </c>
      <c r="F3326" s="115" t="n"/>
      <c r="G3326" s="156" t="n"/>
      <c r="H3326" s="152" t="n">
        <v>360</v>
      </c>
      <c r="I3326" s="156" t="n"/>
      <c r="J3326" s="90" t="n"/>
      <c r="K3326" s="166" t="n"/>
      <c r="L3326" s="158" t="n"/>
      <c r="M3326" s="159" t="n"/>
    </row>
    <row r="3327">
      <c r="A3327" s="114" t="n">
        <v>46227</v>
      </c>
      <c r="B3327" s="115" t="n">
        <v>2439</v>
      </c>
      <c r="C3327" s="115" t="inlineStr">
        <is>
          <t>VARLIK</t>
        </is>
      </c>
      <c r="D3327" s="115" t="inlineStr">
        <is>
          <t>KAVASAKİ</t>
        </is>
      </c>
      <c r="E3327" s="115" t="inlineStr">
        <is>
          <t>RAMAZAN</t>
        </is>
      </c>
      <c r="F3327" s="115" t="n"/>
      <c r="G3327" s="156" t="n"/>
      <c r="H3327" s="152" t="n">
        <v>275</v>
      </c>
      <c r="I3327" s="156" t="n"/>
      <c r="J3327" s="90" t="n"/>
      <c r="K3327" s="166" t="n"/>
      <c r="L3327" s="158" t="n"/>
      <c r="M3327" s="159" t="n"/>
    </row>
    <row r="3328">
      <c r="A3328" s="114" t="n">
        <v>46227</v>
      </c>
      <c r="B3328" s="115" t="n">
        <v>2440</v>
      </c>
      <c r="C3328" s="115" t="inlineStr">
        <is>
          <t>VARLIK</t>
        </is>
      </c>
      <c r="D3328" s="115" t="inlineStr">
        <is>
          <t>SM330</t>
        </is>
      </c>
      <c r="E3328" s="115" t="inlineStr">
        <is>
          <t>TURGUT</t>
        </is>
      </c>
      <c r="F3328" s="115" t="n"/>
      <c r="G3328" s="156" t="n"/>
      <c r="H3328" s="152" t="n">
        <v>410</v>
      </c>
      <c r="I3328" s="156" t="n"/>
      <c r="J3328" s="90" t="n"/>
      <c r="K3328" s="166" t="n"/>
      <c r="L3328" s="158" t="n"/>
      <c r="M3328" s="159" t="n"/>
    </row>
    <row r="3329">
      <c r="A3329" s="114" t="n">
        <v>46227</v>
      </c>
      <c r="B3329" s="115" t="n">
        <v>2441</v>
      </c>
      <c r="C3329" s="115" t="inlineStr">
        <is>
          <t>VARLIK</t>
        </is>
      </c>
      <c r="D3329" s="115" t="inlineStr">
        <is>
          <t>SM350</t>
        </is>
      </c>
      <c r="E3329" s="115" t="inlineStr">
        <is>
          <t>YAKUP</t>
        </is>
      </c>
      <c r="F3329" s="115" t="n"/>
      <c r="G3329" s="156" t="n"/>
      <c r="H3329" s="152" t="n">
        <v>330</v>
      </c>
      <c r="I3329" s="156" t="n"/>
      <c r="J3329" s="90" t="n"/>
      <c r="K3329" s="166" t="n"/>
      <c r="L3329" s="158" t="n"/>
      <c r="M3329" s="159" t="n"/>
    </row>
    <row r="3330">
      <c r="A3330" s="114" t="n">
        <v>46227</v>
      </c>
      <c r="B3330" s="115" t="n">
        <v>2442</v>
      </c>
      <c r="C3330" s="115" t="inlineStr">
        <is>
          <t>VARLIK</t>
        </is>
      </c>
      <c r="D3330" s="115" t="inlineStr">
        <is>
          <t>SM350</t>
        </is>
      </c>
      <c r="E3330" s="115" t="inlineStr">
        <is>
          <t>TEVFİK</t>
        </is>
      </c>
      <c r="F3330" s="115" t="n"/>
      <c r="G3330" s="156" t="n"/>
      <c r="H3330" s="152" t="n">
        <v>445</v>
      </c>
      <c r="I3330" s="156" t="n"/>
      <c r="J3330" s="90" t="n"/>
      <c r="K3330" s="166" t="n"/>
      <c r="L3330" s="158" t="n"/>
      <c r="M3330" s="159" t="n"/>
    </row>
    <row r="3331">
      <c r="A3331" s="114" t="n">
        <v>46228</v>
      </c>
      <c r="B3331" s="115" t="n">
        <v>2443</v>
      </c>
      <c r="C3331" s="115" t="inlineStr">
        <is>
          <t>VARLIK</t>
        </is>
      </c>
      <c r="D3331" s="115" t="inlineStr">
        <is>
          <t>SİLİNDİR</t>
        </is>
      </c>
      <c r="E3331" s="115" t="inlineStr">
        <is>
          <t>ATABEK</t>
        </is>
      </c>
      <c r="F3331" s="115" t="n"/>
      <c r="G3331" s="156" t="n"/>
      <c r="H3331" s="152" t="n">
        <v>390</v>
      </c>
      <c r="I3331" s="156" t="n"/>
      <c r="J3331" s="90" t="n"/>
      <c r="K3331" s="166" t="n"/>
      <c r="L3331" s="158" t="n"/>
      <c r="M3331" s="159" t="n"/>
    </row>
    <row r="3332">
      <c r="A3332" s="114" t="n">
        <v>46229</v>
      </c>
      <c r="B3332" s="115" t="n">
        <v>2444</v>
      </c>
      <c r="C3332" s="115" t="inlineStr">
        <is>
          <t>VARLIK</t>
        </is>
      </c>
      <c r="D3332" s="115" t="inlineStr">
        <is>
          <t>SİLİNDİR</t>
        </is>
      </c>
      <c r="E3332" s="115" t="inlineStr">
        <is>
          <t>ATABEK</t>
        </is>
      </c>
      <c r="F3332" s="115" t="n"/>
      <c r="G3332" s="156" t="n"/>
      <c r="H3332" s="152" t="n">
        <v>240</v>
      </c>
      <c r="I3332" s="156" t="n"/>
      <c r="J3332" s="90" t="n"/>
      <c r="K3332" s="166" t="n"/>
      <c r="L3332" s="158" t="n"/>
      <c r="M3332" s="159" t="n"/>
    </row>
    <row r="3333">
      <c r="A3333" s="114" t="n">
        <v>46229</v>
      </c>
      <c r="B3333" s="115" t="n">
        <v>2445</v>
      </c>
      <c r="C3333" s="115" t="inlineStr">
        <is>
          <t>VARLIK</t>
        </is>
      </c>
      <c r="D3333" s="115" t="inlineStr">
        <is>
          <t>KAVASAKİ</t>
        </is>
      </c>
      <c r="E3333" s="115" t="inlineStr">
        <is>
          <t>RAMAZAN</t>
        </is>
      </c>
      <c r="F3333" s="115" t="n"/>
      <c r="G3333" s="156" t="n"/>
      <c r="H3333" s="152" t="n">
        <v>178</v>
      </c>
      <c r="I3333" s="156" t="n"/>
      <c r="J3333" s="90" t="n"/>
      <c r="K3333" s="166" t="n"/>
      <c r="L3333" s="158" t="n"/>
      <c r="M3333" s="159" t="n"/>
    </row>
    <row r="3334">
      <c r="A3334" s="114" t="n">
        <v>46229</v>
      </c>
      <c r="B3334" s="115" t="n">
        <v>2446</v>
      </c>
      <c r="C3334" s="115" t="inlineStr">
        <is>
          <t>VARLIK</t>
        </is>
      </c>
      <c r="D3334" s="115" t="inlineStr">
        <is>
          <t>SM350</t>
        </is>
      </c>
      <c r="E3334" s="115" t="inlineStr">
        <is>
          <t>YAKUP</t>
        </is>
      </c>
      <c r="F3334" s="115" t="n"/>
      <c r="G3334" s="156" t="n"/>
      <c r="H3334" s="152" t="n">
        <v>450</v>
      </c>
      <c r="I3334" s="156" t="n"/>
      <c r="J3334" s="90" t="n"/>
      <c r="K3334" s="166" t="n"/>
      <c r="L3334" s="158" t="n"/>
      <c r="M3334" s="159" t="n"/>
    </row>
    <row r="3335">
      <c r="A3335" s="114" t="n">
        <v>46229</v>
      </c>
      <c r="B3335" s="115" t="n">
        <v>2447</v>
      </c>
      <c r="C3335" s="115" t="inlineStr">
        <is>
          <t>VARLIK</t>
        </is>
      </c>
      <c r="D3335" s="115" t="inlineStr">
        <is>
          <t>JCB</t>
        </is>
      </c>
      <c r="E3335" s="115" t="inlineStr">
        <is>
          <t>BAYRAM</t>
        </is>
      </c>
      <c r="F3335" s="115" t="n"/>
      <c r="G3335" s="156" t="n"/>
      <c r="H3335" s="152" t="n">
        <v>57</v>
      </c>
      <c r="I3335" s="156" t="n"/>
      <c r="J3335" s="90" t="n"/>
      <c r="K3335" s="166" t="n"/>
      <c r="L3335" s="158" t="n"/>
      <c r="M3335" s="159" t="n"/>
    </row>
    <row r="3336">
      <c r="A3336" s="114" t="n">
        <v>46229</v>
      </c>
      <c r="B3336" s="115" t="n">
        <v>2448</v>
      </c>
      <c r="C3336" s="115" t="inlineStr">
        <is>
          <t>VARLIK</t>
        </is>
      </c>
      <c r="D3336" s="115" t="inlineStr">
        <is>
          <t>SM330</t>
        </is>
      </c>
      <c r="E3336" s="115" t="inlineStr">
        <is>
          <t>TURGUT</t>
        </is>
      </c>
      <c r="F3336" s="115" t="n"/>
      <c r="G3336" s="156" t="n"/>
      <c r="H3336" s="152" t="n">
        <v>390</v>
      </c>
      <c r="I3336" s="156" t="n"/>
      <c r="J3336" s="90" t="n"/>
      <c r="K3336" s="166" t="n"/>
      <c r="L3336" s="158" t="n"/>
      <c r="M3336" s="159" t="n"/>
    </row>
    <row r="3337">
      <c r="A3337" s="114" t="n">
        <v>46230</v>
      </c>
      <c r="B3337" s="115" t="n">
        <v>2449</v>
      </c>
      <c r="C3337" s="115" t="n"/>
      <c r="D3337" s="115" t="inlineStr">
        <is>
          <t>MANİTO</t>
        </is>
      </c>
      <c r="E3337" s="115" t="inlineStr">
        <is>
          <t>MUHAMMED</t>
        </is>
      </c>
      <c r="F3337" s="115" t="n"/>
      <c r="G3337" s="156" t="n"/>
      <c r="H3337" s="152" t="n">
        <v>235</v>
      </c>
      <c r="I3337" s="156" t="n"/>
      <c r="J3337" s="90" t="n"/>
      <c r="K3337" s="166" t="n"/>
      <c r="L3337" s="158" t="n"/>
      <c r="M3337" s="159" t="n"/>
    </row>
    <row r="3338">
      <c r="A3338" s="114" t="n">
        <v>46230</v>
      </c>
      <c r="B3338" s="115" t="n">
        <v>2450</v>
      </c>
      <c r="C3338" s="115" t="inlineStr">
        <is>
          <t>ŞEN KASAP</t>
        </is>
      </c>
      <c r="D3338" s="115" t="inlineStr">
        <is>
          <t>SM370</t>
        </is>
      </c>
      <c r="E3338" s="115" t="inlineStr">
        <is>
          <t>YUSUF</t>
        </is>
      </c>
      <c r="F3338" s="115" t="n"/>
      <c r="G3338" s="156" t="n"/>
      <c r="H3338" s="152" t="n">
        <v>590</v>
      </c>
      <c r="I3338" s="156" t="n"/>
      <c r="J3338" s="90" t="n"/>
      <c r="K3338" s="166" t="n"/>
      <c r="L3338" s="158" t="n"/>
      <c r="M3338" s="159" t="n"/>
    </row>
    <row r="3339">
      <c r="A3339" s="114" t="n">
        <v>46230</v>
      </c>
      <c r="B3339" s="115" t="n">
        <v>2451</v>
      </c>
      <c r="C3339" s="115" t="inlineStr">
        <is>
          <t>ŞEN KASAP</t>
        </is>
      </c>
      <c r="D3339" s="115" t="inlineStr">
        <is>
          <t>SM300</t>
        </is>
      </c>
      <c r="E3339" s="115" t="inlineStr">
        <is>
          <t>ONUR</t>
        </is>
      </c>
      <c r="F3339" s="115" t="n"/>
      <c r="G3339" s="156" t="n"/>
      <c r="H3339" s="152" t="n">
        <v>497</v>
      </c>
      <c r="I3339" s="156" t="n"/>
      <c r="J3339" s="90" t="n"/>
      <c r="K3339" s="166" t="n"/>
      <c r="L3339" s="158" t="n"/>
      <c r="M3339" s="159" t="n"/>
    </row>
    <row r="3340">
      <c r="A3340" s="114" t="n">
        <v>46230</v>
      </c>
      <c r="B3340" s="115" t="n">
        <v>2452</v>
      </c>
      <c r="C3340" s="115" t="inlineStr">
        <is>
          <t>VARLIK</t>
        </is>
      </c>
      <c r="D3340" s="115" t="inlineStr">
        <is>
          <t>ZOMLİYON</t>
        </is>
      </c>
      <c r="E3340" s="115" t="inlineStr">
        <is>
          <t xml:space="preserve">SALİH </t>
        </is>
      </c>
      <c r="F3340" s="115" t="n"/>
      <c r="G3340" s="156" t="n"/>
      <c r="H3340" s="152" t="n">
        <v>190</v>
      </c>
      <c r="I3340" s="156" t="n"/>
      <c r="J3340" s="90" t="n"/>
      <c r="K3340" s="166" t="n"/>
      <c r="L3340" s="158" t="n"/>
      <c r="M3340" s="159" t="n"/>
    </row>
    <row r="3341">
      <c r="A3341" s="114" t="n">
        <v>46231</v>
      </c>
      <c r="B3341" s="115" t="n">
        <v>2503</v>
      </c>
      <c r="C3341" s="115" t="inlineStr">
        <is>
          <t>VARLIK</t>
        </is>
      </c>
      <c r="D3341" s="115" t="inlineStr">
        <is>
          <t>SM350</t>
        </is>
      </c>
      <c r="E3341" s="115" t="inlineStr">
        <is>
          <t>ONUR</t>
        </is>
      </c>
      <c r="F3341" s="115" t="n"/>
      <c r="G3341" s="156" t="n"/>
      <c r="H3341" s="152" t="n">
        <v>354</v>
      </c>
      <c r="I3341" s="156" t="n"/>
      <c r="J3341" s="90" t="n"/>
      <c r="K3341" s="166" t="n"/>
      <c r="L3341" s="158" t="n"/>
      <c r="M3341" s="159" t="n"/>
    </row>
    <row r="3342">
      <c r="A3342" s="114" t="n">
        <v>46231</v>
      </c>
      <c r="B3342" s="115" t="n">
        <v>2504</v>
      </c>
      <c r="C3342" s="115" t="inlineStr">
        <is>
          <t>VARLIK</t>
        </is>
      </c>
      <c r="D3342" s="115" t="inlineStr">
        <is>
          <t>34 AZ2191</t>
        </is>
      </c>
      <c r="E3342" s="115" t="inlineStr">
        <is>
          <t>NUMAN</t>
        </is>
      </c>
      <c r="F3342" s="115" t="n"/>
      <c r="G3342" s="156" t="n"/>
      <c r="H3342" s="152" t="n">
        <v>297</v>
      </c>
      <c r="I3342" s="156" t="n"/>
      <c r="J3342" s="90" t="n"/>
      <c r="K3342" s="166" t="n"/>
      <c r="L3342" s="158" t="n"/>
      <c r="M3342" s="159" t="n"/>
    </row>
    <row r="3343">
      <c r="A3343" s="114" t="n">
        <v>46231</v>
      </c>
      <c r="B3343" s="115" t="n">
        <v>2505</v>
      </c>
      <c r="C3343" s="115" t="inlineStr">
        <is>
          <t>VARLIK</t>
        </is>
      </c>
      <c r="D3343" s="115" t="inlineStr">
        <is>
          <t>SM330</t>
        </is>
      </c>
      <c r="E3343" s="115" t="inlineStr">
        <is>
          <t>TURGUT</t>
        </is>
      </c>
      <c r="F3343" s="115" t="n"/>
      <c r="G3343" s="156" t="n"/>
      <c r="H3343" s="152" t="n">
        <v>520</v>
      </c>
      <c r="I3343" s="156" t="n"/>
      <c r="J3343" s="90" t="n"/>
      <c r="K3343" s="166" t="n"/>
      <c r="L3343" s="158" t="n"/>
      <c r="M3343" s="159" t="n"/>
    </row>
    <row r="3344">
      <c r="A3344" s="114" t="n">
        <v>46231</v>
      </c>
      <c r="B3344" s="115" t="n">
        <v>2506</v>
      </c>
      <c r="C3344" s="115" t="inlineStr">
        <is>
          <t>VARLIK</t>
        </is>
      </c>
      <c r="D3344" s="115" t="inlineStr">
        <is>
          <t>KAVASAKİ</t>
        </is>
      </c>
      <c r="E3344" s="115" t="inlineStr">
        <is>
          <t>RAMAZAN</t>
        </is>
      </c>
      <c r="F3344" s="115" t="n"/>
      <c r="G3344" s="156" t="n"/>
      <c r="H3344" s="152" t="n">
        <v>290</v>
      </c>
      <c r="I3344" s="156" t="n"/>
      <c r="J3344" s="90" t="n"/>
      <c r="K3344" s="166" t="n"/>
      <c r="L3344" s="158" t="n"/>
      <c r="M3344" s="159" t="n"/>
    </row>
    <row r="3345">
      <c r="A3345" s="114" t="n">
        <v>46231</v>
      </c>
      <c r="B3345" s="115" t="n">
        <v>2507</v>
      </c>
      <c r="C3345" s="115" t="inlineStr">
        <is>
          <t>ŞEN KASAP</t>
        </is>
      </c>
      <c r="D3345" s="115" t="inlineStr">
        <is>
          <t>SM370</t>
        </is>
      </c>
      <c r="E3345" s="115" t="inlineStr">
        <is>
          <t>YUSUF</t>
        </is>
      </c>
      <c r="F3345" s="115" t="n"/>
      <c r="G3345" s="156" t="n"/>
      <c r="H3345" s="152" t="n">
        <v>468</v>
      </c>
      <c r="I3345" s="156" t="n"/>
      <c r="J3345" s="90" t="n"/>
      <c r="K3345" s="166" t="n"/>
      <c r="L3345" s="158" t="n"/>
      <c r="M3345" s="159" t="n"/>
    </row>
    <row r="3346">
      <c r="A3346" s="114" t="n">
        <v>46231</v>
      </c>
      <c r="B3346" s="115" t="n">
        <v>2508</v>
      </c>
      <c r="C3346" s="115" t="inlineStr">
        <is>
          <t>MEGA VARLIK</t>
        </is>
      </c>
      <c r="D3346" s="115" t="inlineStr">
        <is>
          <t>SİLİNDİR</t>
        </is>
      </c>
      <c r="E3346" s="115" t="inlineStr">
        <is>
          <t>ATABEK</t>
        </is>
      </c>
      <c r="F3346" s="115" t="n"/>
      <c r="G3346" s="156" t="n"/>
      <c r="H3346" s="152" t="n">
        <v>320</v>
      </c>
      <c r="I3346" s="156" t="n"/>
      <c r="J3346" s="90" t="n"/>
      <c r="K3346" s="166" t="n"/>
      <c r="L3346" s="158" t="n"/>
      <c r="M3346" s="159" t="n"/>
    </row>
    <row r="3347">
      <c r="A3347" s="114" t="n">
        <v>46231</v>
      </c>
      <c r="B3347" s="115" t="n">
        <v>2509</v>
      </c>
      <c r="C3347" s="115" t="inlineStr">
        <is>
          <t>MEGA VARLIK</t>
        </is>
      </c>
      <c r="D3347" s="115" t="inlineStr">
        <is>
          <t>SM350</t>
        </is>
      </c>
      <c r="E3347" s="115" t="inlineStr">
        <is>
          <t>TEVFİK</t>
        </is>
      </c>
      <c r="F3347" s="115" t="n"/>
      <c r="G3347" s="156" t="n"/>
      <c r="H3347" s="152" t="n">
        <v>435</v>
      </c>
      <c r="I3347" s="156" t="n"/>
      <c r="J3347" s="90" t="n"/>
      <c r="K3347" s="166" t="n"/>
      <c r="L3347" s="158" t="n"/>
      <c r="M3347" s="159" t="n"/>
    </row>
    <row r="3348">
      <c r="A3348" s="114" t="n">
        <v>46231</v>
      </c>
      <c r="B3348" s="115" t="n">
        <v>2510</v>
      </c>
      <c r="C3348" s="115" t="inlineStr">
        <is>
          <t>EVKUR</t>
        </is>
      </c>
      <c r="D3348" s="115" t="inlineStr">
        <is>
          <t>KİRALIK KATO</t>
        </is>
      </c>
      <c r="E3348" s="115" t="inlineStr">
        <is>
          <t>GÜNEŞ</t>
        </is>
      </c>
      <c r="F3348" s="115" t="n"/>
      <c r="G3348" s="156" t="n"/>
      <c r="H3348" s="152" t="n">
        <v>101</v>
      </c>
      <c r="I3348" s="156" t="n"/>
      <c r="J3348" s="90" t="n"/>
      <c r="K3348" s="166" t="n"/>
      <c r="L3348" s="158" t="n"/>
      <c r="M3348" s="159" t="n"/>
    </row>
    <row r="3349">
      <c r="A3349" s="114" t="n">
        <v>46231</v>
      </c>
      <c r="B3349" s="115" t="n">
        <v>2511</v>
      </c>
      <c r="C3349" s="115" t="inlineStr">
        <is>
          <t>ŞEN KASAP</t>
        </is>
      </c>
      <c r="D3349" s="115" t="inlineStr">
        <is>
          <t>SM300</t>
        </is>
      </c>
      <c r="E3349" s="115" t="inlineStr">
        <is>
          <t>YAKUP</t>
        </is>
      </c>
      <c r="F3349" s="115" t="n"/>
      <c r="G3349" s="156" t="n"/>
      <c r="H3349" s="152" t="n">
        <v>430</v>
      </c>
      <c r="I3349" s="156" t="n"/>
      <c r="J3349" s="90" t="n"/>
      <c r="K3349" s="166" t="n"/>
      <c r="L3349" s="158" t="n"/>
      <c r="M3349" s="159" t="n"/>
    </row>
    <row r="3350">
      <c r="A3350" s="114" t="n">
        <v>46232</v>
      </c>
      <c r="B3350" s="115" t="n">
        <v>2512</v>
      </c>
      <c r="C3350" s="115" t="inlineStr">
        <is>
          <t>ŞEN KASAP</t>
        </is>
      </c>
      <c r="D3350" s="115" t="inlineStr">
        <is>
          <t>SM370</t>
        </is>
      </c>
      <c r="E3350" s="115" t="inlineStr">
        <is>
          <t>YUSUF</t>
        </is>
      </c>
      <c r="F3350" s="115" t="n"/>
      <c r="G3350" s="156" t="n"/>
      <c r="H3350" s="152" t="n">
        <v>450</v>
      </c>
      <c r="I3350" s="156" t="n"/>
      <c r="J3350" s="90" t="n"/>
      <c r="K3350" s="166" t="n"/>
      <c r="L3350" s="158" t="n"/>
      <c r="M3350" s="159" t="n"/>
    </row>
    <row r="3351">
      <c r="A3351" s="114" t="n">
        <v>46232</v>
      </c>
      <c r="B3351" s="115" t="n">
        <v>2513</v>
      </c>
      <c r="C3351" s="115" t="inlineStr">
        <is>
          <t>ŞEN KASAP</t>
        </is>
      </c>
      <c r="D3351" s="115" t="inlineStr">
        <is>
          <t>SM300</t>
        </is>
      </c>
      <c r="E3351" s="115" t="inlineStr">
        <is>
          <t>YAKUP</t>
        </is>
      </c>
      <c r="F3351" s="115" t="n"/>
      <c r="G3351" s="156" t="n"/>
      <c r="H3351" s="152" t="n">
        <v>425</v>
      </c>
      <c r="I3351" s="156" t="n"/>
      <c r="J3351" s="90" t="n"/>
      <c r="K3351" s="166" t="n"/>
      <c r="L3351" s="158" t="n"/>
      <c r="M3351" s="159" t="n"/>
    </row>
    <row r="3352">
      <c r="A3352" s="114" t="n">
        <v>46232</v>
      </c>
      <c r="B3352" s="115" t="n">
        <v>2514</v>
      </c>
      <c r="C3352" s="115" t="inlineStr">
        <is>
          <t>EVKUR</t>
        </is>
      </c>
      <c r="D3352" s="115" t="inlineStr">
        <is>
          <t xml:space="preserve">JENERATÖR </t>
        </is>
      </c>
      <c r="E3352" s="115" t="n"/>
      <c r="F3352" s="115" t="n"/>
      <c r="G3352" s="156" t="n"/>
      <c r="H3352" s="152" t="n">
        <v>213</v>
      </c>
      <c r="I3352" s="156" t="n"/>
      <c r="J3352" s="90" t="n"/>
      <c r="K3352" s="166" t="n"/>
      <c r="L3352" s="158" t="n"/>
      <c r="M3352" s="159" t="n"/>
    </row>
    <row r="3353">
      <c r="A3353" s="114" t="n">
        <v>46233</v>
      </c>
      <c r="B3353" s="115" t="n">
        <v>2515</v>
      </c>
      <c r="C3353" s="115" t="inlineStr">
        <is>
          <t>VARLIK</t>
        </is>
      </c>
      <c r="D3353" s="115" t="inlineStr">
        <is>
          <t>KAVASAKİ</t>
        </is>
      </c>
      <c r="E3353" s="115" t="inlineStr">
        <is>
          <t>RAMAZAN</t>
        </is>
      </c>
      <c r="F3353" s="115" t="n"/>
      <c r="G3353" s="156" t="n"/>
      <c r="H3353" s="152" t="n">
        <v>292</v>
      </c>
      <c r="I3353" s="156" t="n"/>
      <c r="J3353" s="90" t="n"/>
      <c r="K3353" s="166" t="n"/>
      <c r="L3353" s="158" t="n"/>
      <c r="M3353" s="159" t="n"/>
    </row>
    <row r="3354">
      <c r="A3354" s="114" t="n">
        <v>46233</v>
      </c>
      <c r="B3354" s="115" t="n">
        <v>2516</v>
      </c>
      <c r="C3354" s="115" t="inlineStr">
        <is>
          <t>VARLIK</t>
        </is>
      </c>
      <c r="D3354" s="115" t="inlineStr">
        <is>
          <t>SM350</t>
        </is>
      </c>
      <c r="E3354" s="115" t="inlineStr">
        <is>
          <t>ONUR</t>
        </is>
      </c>
      <c r="F3354" s="115" t="n"/>
      <c r="G3354" s="156" t="n"/>
      <c r="H3354" s="152" t="n">
        <v>472</v>
      </c>
      <c r="I3354" s="156" t="n"/>
      <c r="J3354" s="90" t="n"/>
      <c r="K3354" s="166" t="n"/>
      <c r="L3354" s="158" t="n"/>
      <c r="M3354" s="159" t="n"/>
    </row>
    <row r="3355">
      <c r="A3355" s="114" t="n">
        <v>46233</v>
      </c>
      <c r="B3355" s="115" t="n">
        <v>2517</v>
      </c>
      <c r="C3355" s="115" t="inlineStr">
        <is>
          <t>ŞEN KASAP</t>
        </is>
      </c>
      <c r="D3355" s="115" t="inlineStr">
        <is>
          <t>SM370</t>
        </is>
      </c>
      <c r="E3355" s="115" t="inlineStr">
        <is>
          <t>YUSUF</t>
        </is>
      </c>
      <c r="F3355" s="115" t="n"/>
      <c r="G3355" s="156" t="n"/>
      <c r="H3355" s="152" t="n">
        <v>365</v>
      </c>
      <c r="I3355" s="156" t="n"/>
      <c r="J3355" s="90" t="n"/>
      <c r="K3355" s="166" t="n"/>
      <c r="L3355" s="158" t="n"/>
      <c r="M3355" s="159" t="n"/>
    </row>
    <row r="3356">
      <c r="A3356" s="114" t="n">
        <v>46233</v>
      </c>
      <c r="B3356" s="115" t="n">
        <v>2518</v>
      </c>
      <c r="C3356" s="115" t="inlineStr">
        <is>
          <t>ŞEN KASAP</t>
        </is>
      </c>
      <c r="D3356" s="115" t="inlineStr">
        <is>
          <t>SM300</t>
        </is>
      </c>
      <c r="E3356" s="115" t="inlineStr">
        <is>
          <t>YAKUP</t>
        </is>
      </c>
      <c r="F3356" s="115" t="n"/>
      <c r="G3356" s="156" t="n"/>
      <c r="H3356" s="152" t="n">
        <v>340</v>
      </c>
      <c r="I3356" s="156" t="n"/>
      <c r="J3356" s="90" t="n"/>
      <c r="K3356" s="166" t="n"/>
      <c r="L3356" s="158" t="n"/>
      <c r="M3356" s="159" t="n"/>
    </row>
    <row r="3357">
      <c r="A3357" s="114" t="n">
        <v>46233</v>
      </c>
      <c r="B3357" s="115" t="n">
        <v>2519</v>
      </c>
      <c r="C3357" s="115" t="inlineStr">
        <is>
          <t>MEGA VARLIK</t>
        </is>
      </c>
      <c r="D3357" s="115" t="inlineStr">
        <is>
          <t>ZOMLİYON</t>
        </is>
      </c>
      <c r="E3357" s="115" t="inlineStr">
        <is>
          <t xml:space="preserve">SALİH </t>
        </is>
      </c>
      <c r="F3357" s="115" t="n"/>
      <c r="G3357" s="156" t="n"/>
      <c r="H3357" s="152" t="n">
        <v>270</v>
      </c>
      <c r="I3357" s="156" t="n"/>
      <c r="J3357" s="90" t="n"/>
      <c r="K3357" s="166" t="n"/>
      <c r="L3357" s="158" t="n"/>
      <c r="M3357" s="159" t="n"/>
    </row>
    <row r="3358">
      <c r="A3358" s="114" t="n">
        <v>46233</v>
      </c>
      <c r="B3358" s="115" t="n">
        <v>2520</v>
      </c>
      <c r="C3358" s="115" t="inlineStr">
        <is>
          <t>MEGA VARLIK</t>
        </is>
      </c>
      <c r="D3358" s="115" t="inlineStr">
        <is>
          <t>SİLİNDİR</t>
        </is>
      </c>
      <c r="E3358" s="115" t="inlineStr">
        <is>
          <t>ATABEK</t>
        </is>
      </c>
      <c r="F3358" s="115" t="n"/>
      <c r="G3358" s="156" t="n"/>
      <c r="H3358" s="152" t="n">
        <v>283</v>
      </c>
      <c r="I3358" s="156" t="n"/>
      <c r="J3358" s="90" t="n"/>
      <c r="K3358" s="166" t="n"/>
      <c r="L3358" s="158" t="n"/>
      <c r="M3358" s="159" t="n"/>
    </row>
    <row r="3359">
      <c r="A3359" s="114" t="n">
        <v>46233</v>
      </c>
      <c r="B3359" s="115" t="n">
        <v>2521</v>
      </c>
      <c r="C3359" s="115" t="inlineStr">
        <is>
          <t>SELİM İNŞAAT</t>
        </is>
      </c>
      <c r="D3359" s="115" t="inlineStr">
        <is>
          <t>JCB</t>
        </is>
      </c>
      <c r="E3359" s="115" t="inlineStr">
        <is>
          <t>BAYRAM</t>
        </is>
      </c>
      <c r="F3359" s="115" t="n"/>
      <c r="G3359" s="156" t="n"/>
      <c r="H3359" s="152" t="n">
        <v>76</v>
      </c>
      <c r="I3359" s="156" t="n"/>
      <c r="J3359" s="90" t="n"/>
      <c r="K3359" s="166" t="n"/>
      <c r="L3359" s="158" t="n"/>
      <c r="M3359" s="159" t="n"/>
    </row>
    <row r="3360">
      <c r="A3360" s="114" t="n">
        <v>46233</v>
      </c>
      <c r="B3360" s="115" t="n">
        <v>2522</v>
      </c>
      <c r="C3360" s="115" t="inlineStr">
        <is>
          <t>MEGA VARLIK</t>
        </is>
      </c>
      <c r="D3360" s="115" t="inlineStr">
        <is>
          <t>SM350</t>
        </is>
      </c>
      <c r="E3360" s="115" t="inlineStr">
        <is>
          <t>TEVFİK</t>
        </is>
      </c>
      <c r="F3360" s="115" t="n"/>
      <c r="G3360" s="156" t="n"/>
      <c r="H3360" s="152" t="n">
        <v>390</v>
      </c>
      <c r="I3360" s="156" t="n"/>
      <c r="J3360" s="90" t="n"/>
      <c r="K3360" s="166" t="n"/>
      <c r="L3360" s="158" t="n"/>
      <c r="M3360" s="159" t="n"/>
    </row>
    <row r="3361">
      <c r="A3361" s="114" t="n">
        <v>46234</v>
      </c>
      <c r="B3361" s="115" t="n">
        <v>2523</v>
      </c>
      <c r="C3361" s="115" t="inlineStr">
        <is>
          <t>HASALTUN</t>
        </is>
      </c>
      <c r="D3361" s="115" t="inlineStr">
        <is>
          <t>SM350</t>
        </is>
      </c>
      <c r="E3361" s="115" t="inlineStr">
        <is>
          <t>TEVFİK</t>
        </is>
      </c>
      <c r="F3361" s="115" t="n"/>
      <c r="G3361" s="156" t="n"/>
      <c r="H3361" s="152" t="n">
        <v>310</v>
      </c>
      <c r="I3361" s="156" t="n"/>
      <c r="J3361" s="90" t="n"/>
      <c r="K3361" s="166" t="n"/>
      <c r="L3361" s="158" t="n"/>
      <c r="M3361" s="159" t="n"/>
    </row>
    <row r="3362">
      <c r="A3362" s="114" t="n">
        <v>46234</v>
      </c>
      <c r="B3362" s="115" t="n">
        <v>2524</v>
      </c>
      <c r="C3362" s="115" t="inlineStr">
        <is>
          <t>HASALTUN</t>
        </is>
      </c>
      <c r="D3362" s="115" t="inlineStr">
        <is>
          <t>YANGIN SÖN.</t>
        </is>
      </c>
      <c r="E3362" s="115" t="inlineStr">
        <is>
          <t>SİSTEM TANKI</t>
        </is>
      </c>
      <c r="F3362" s="115" t="n"/>
      <c r="G3362" s="156" t="n"/>
      <c r="H3362" s="152" t="n">
        <v>80</v>
      </c>
      <c r="I3362" s="156" t="n"/>
      <c r="J3362" s="90" t="n"/>
      <c r="K3362" s="166" t="n"/>
      <c r="L3362" s="158" t="n"/>
      <c r="M3362" s="159" t="n"/>
    </row>
    <row r="3363">
      <c r="A3363" s="114" t="n">
        <v>46234</v>
      </c>
      <c r="B3363" s="115" t="n">
        <v>2525</v>
      </c>
      <c r="C3363" s="115" t="inlineStr">
        <is>
          <t>ŞEN KASAP</t>
        </is>
      </c>
      <c r="D3363" s="115" t="inlineStr">
        <is>
          <t>SM370</t>
        </is>
      </c>
      <c r="E3363" s="115" t="inlineStr">
        <is>
          <t>YUSUF</t>
        </is>
      </c>
      <c r="F3363" s="115" t="n"/>
      <c r="G3363" s="156" t="n"/>
      <c r="H3363" s="152" t="n">
        <v>435</v>
      </c>
      <c r="I3363" s="156" t="n"/>
      <c r="J3363" s="90" t="n"/>
      <c r="K3363" s="166" t="n"/>
      <c r="L3363" s="158" t="n"/>
      <c r="M3363" s="159" t="n"/>
    </row>
    <row r="3364">
      <c r="A3364" s="114" t="n">
        <v>46234</v>
      </c>
      <c r="B3364" s="115" t="n">
        <v>2526</v>
      </c>
      <c r="C3364" s="115" t="inlineStr">
        <is>
          <t>ŞEN KASAP</t>
        </is>
      </c>
      <c r="D3364" s="115" t="inlineStr">
        <is>
          <t>SM350</t>
        </is>
      </c>
      <c r="E3364" s="115" t="inlineStr">
        <is>
          <t>ONUR</t>
        </is>
      </c>
      <c r="F3364" s="115" t="n"/>
      <c r="G3364" s="156" t="n"/>
      <c r="H3364" s="152" t="n">
        <v>448</v>
      </c>
      <c r="I3364" s="156" t="n"/>
      <c r="J3364" s="90" t="n"/>
      <c r="K3364" s="166" t="n"/>
      <c r="L3364" s="158" t="n"/>
      <c r="M3364" s="159" t="n"/>
    </row>
    <row r="3365">
      <c r="A3365" s="114" t="n">
        <v>46234</v>
      </c>
      <c r="B3365" s="115" t="n">
        <v>2527</v>
      </c>
      <c r="C3365" s="115" t="inlineStr">
        <is>
          <t>ŞEN KASAP</t>
        </is>
      </c>
      <c r="D3365" s="115" t="inlineStr">
        <is>
          <t>SM300</t>
        </is>
      </c>
      <c r="E3365" s="115" t="inlineStr">
        <is>
          <t>YAKUP</t>
        </is>
      </c>
      <c r="F3365" s="115" t="n"/>
      <c r="G3365" s="156" t="n"/>
      <c r="H3365" s="152" t="n">
        <v>340</v>
      </c>
      <c r="I3365" s="156" t="n"/>
      <c r="J3365" s="90" t="n"/>
      <c r="K3365" s="166" t="n"/>
      <c r="L3365" s="158" t="n"/>
      <c r="M3365" s="159" t="n"/>
    </row>
    <row r="3366">
      <c r="A3366" s="114" t="n">
        <v>46234</v>
      </c>
      <c r="B3366" s="115" t="n">
        <v>2528</v>
      </c>
      <c r="C3366" s="115" t="inlineStr">
        <is>
          <t>VARLIK</t>
        </is>
      </c>
      <c r="D3366" s="115" t="inlineStr">
        <is>
          <t>SM330</t>
        </is>
      </c>
      <c r="E3366" s="115" t="inlineStr">
        <is>
          <t>TURGUT</t>
        </is>
      </c>
      <c r="F3366" s="115" t="n"/>
      <c r="G3366" s="156" t="n"/>
      <c r="H3366" s="152" t="n">
        <v>530</v>
      </c>
      <c r="I3366" s="156" t="n"/>
      <c r="J3366" s="90" t="n"/>
      <c r="K3366" s="166" t="n"/>
      <c r="L3366" s="158" t="n"/>
      <c r="M3366" s="159" t="n"/>
    </row>
    <row r="3367">
      <c r="A3367" s="114" t="n">
        <v>46219</v>
      </c>
      <c r="B3367" s="115" t="n">
        <v>11180</v>
      </c>
      <c r="C3367" s="115" t="inlineStr">
        <is>
          <t>SELİM İNŞAAT</t>
        </is>
      </c>
      <c r="D3367" s="115" t="inlineStr">
        <is>
          <t>34 HZ 1663</t>
        </is>
      </c>
      <c r="E3367" s="115" t="inlineStr">
        <is>
          <t>FATİH ÖZPOLAT</t>
        </is>
      </c>
      <c r="F3367" s="115" t="n">
        <v>530758</v>
      </c>
      <c r="G3367" s="156" t="n"/>
      <c r="H3367" s="152" t="n">
        <v>598</v>
      </c>
      <c r="I3367" s="156" t="n"/>
      <c r="J3367" s="90" t="n"/>
      <c r="K3367" s="166" t="n"/>
      <c r="L3367" s="158" t="n"/>
      <c r="M3367" s="159" t="n"/>
    </row>
    <row r="3368">
      <c r="A3368" s="114" t="n">
        <v>46230</v>
      </c>
      <c r="B3368" s="115" t="n">
        <v>4421</v>
      </c>
      <c r="C3368" s="115" t="inlineStr">
        <is>
          <t>SELİM İNŞAAT</t>
        </is>
      </c>
      <c r="D3368" s="115" t="inlineStr">
        <is>
          <t>34 DTV 409</t>
        </is>
      </c>
      <c r="E3368" s="115" t="inlineStr">
        <is>
          <t>DURSUN ALİ GÜREK</t>
        </is>
      </c>
      <c r="F3368" s="115" t="n">
        <v>455742</v>
      </c>
      <c r="G3368" s="156" t="n"/>
      <c r="H3368" s="152" t="n">
        <v>200</v>
      </c>
      <c r="I3368" s="156" t="n"/>
      <c r="J3368" s="90" t="n"/>
      <c r="K3368" s="166" t="n"/>
      <c r="L3368" s="158" t="n"/>
      <c r="M3368" s="159" t="n"/>
    </row>
    <row r="3369">
      <c r="A3369" s="114" t="n">
        <v>46233</v>
      </c>
      <c r="B3369" s="115" t="n">
        <v>4422</v>
      </c>
      <c r="C3369" s="115" t="inlineStr">
        <is>
          <t>SELİM İNŞAAT</t>
        </is>
      </c>
      <c r="D3369" s="115" t="inlineStr">
        <is>
          <t>34 DTV 409</t>
        </is>
      </c>
      <c r="E3369" s="115" t="inlineStr">
        <is>
          <t>DURSUN ALİ GÜREK</t>
        </is>
      </c>
      <c r="F3369" s="115" t="n">
        <v>455940</v>
      </c>
      <c r="G3369" s="156" t="n"/>
      <c r="H3369" s="152" t="n">
        <v>300</v>
      </c>
      <c r="I3369" s="156" t="n"/>
      <c r="J3369" s="90" t="n"/>
      <c r="K3369" s="166" t="n"/>
      <c r="L3369" s="158" t="n"/>
      <c r="M3369" s="159" t="n"/>
    </row>
    <row r="3370">
      <c r="A3370" s="114" t="n">
        <v>46221</v>
      </c>
      <c r="B3370" s="115" t="n">
        <v>2211</v>
      </c>
      <c r="C3370" s="115" t="inlineStr">
        <is>
          <t>SELİM İNŞAAT</t>
        </is>
      </c>
      <c r="D3370" s="115" t="inlineStr">
        <is>
          <t>34 FBR 748</t>
        </is>
      </c>
      <c r="E3370" s="115" t="inlineStr">
        <is>
          <t>YAŞAR ÖZKAYA</t>
        </is>
      </c>
      <c r="F3370" s="115" t="n">
        <v>352966</v>
      </c>
      <c r="G3370" s="156" t="n"/>
      <c r="H3370" s="152" t="n">
        <v>592</v>
      </c>
      <c r="I3370" s="156" t="n"/>
      <c r="J3370" s="90" t="n"/>
      <c r="K3370" s="166" t="n"/>
      <c r="L3370" s="158" t="n"/>
      <c r="M3370" s="159" t="n"/>
    </row>
    <row r="3371">
      <c r="A3371" s="114" t="n">
        <v>46223</v>
      </c>
      <c r="B3371" s="115" t="n">
        <v>2212</v>
      </c>
      <c r="C3371" s="115" t="inlineStr">
        <is>
          <t>SELİM İNŞAAT</t>
        </is>
      </c>
      <c r="D3371" s="115" t="inlineStr">
        <is>
          <t>34 FBR 748</t>
        </is>
      </c>
      <c r="E3371" s="115" t="inlineStr">
        <is>
          <t>YAŞAR ÖZKAYA</t>
        </is>
      </c>
      <c r="F3371" s="115" t="n">
        <v>353790</v>
      </c>
      <c r="G3371" s="156" t="n"/>
      <c r="H3371" s="152" t="n">
        <v>507</v>
      </c>
      <c r="I3371" s="156" t="n"/>
      <c r="J3371" s="90" t="n"/>
      <c r="K3371" s="166" t="n"/>
      <c r="L3371" s="158" t="n"/>
      <c r="M3371" s="159" t="n"/>
    </row>
    <row r="3372">
      <c r="A3372" s="114" t="n">
        <v>46225</v>
      </c>
      <c r="B3372" s="115" t="n">
        <v>2213</v>
      </c>
      <c r="C3372" s="115" t="inlineStr">
        <is>
          <t>SELİM İNŞAAT</t>
        </is>
      </c>
      <c r="D3372" s="115" t="inlineStr">
        <is>
          <t>34 FBR 748</t>
        </is>
      </c>
      <c r="E3372" s="115" t="inlineStr">
        <is>
          <t>YAŞAR ÖZKAYA</t>
        </is>
      </c>
      <c r="F3372" s="115" t="n">
        <v>354637</v>
      </c>
      <c r="G3372" s="156" t="n"/>
      <c r="H3372" s="152" t="n">
        <v>560</v>
      </c>
      <c r="I3372" s="156" t="n"/>
      <c r="J3372" s="90" t="n"/>
      <c r="K3372" s="166" t="n"/>
      <c r="L3372" s="158" t="n"/>
      <c r="M3372" s="159" t="n"/>
    </row>
    <row r="3373">
      <c r="A3373" s="114" t="n">
        <v>46230</v>
      </c>
      <c r="B3373" s="115" t="n">
        <v>2214</v>
      </c>
      <c r="C3373" s="115" t="inlineStr">
        <is>
          <t>SELİM İNŞAAT</t>
        </is>
      </c>
      <c r="D3373" s="115" t="inlineStr">
        <is>
          <t>34 FBR 748</t>
        </is>
      </c>
      <c r="E3373" s="115" t="inlineStr">
        <is>
          <t>YAŞAR ÖZKAYA</t>
        </is>
      </c>
      <c r="F3373" s="115" t="n">
        <v>355308</v>
      </c>
      <c r="G3373" s="156" t="n"/>
      <c r="H3373" s="152" t="n">
        <v>455</v>
      </c>
      <c r="I3373" s="156" t="n"/>
      <c r="J3373" s="90" t="n"/>
      <c r="K3373" s="166" t="n"/>
      <c r="L3373" s="158" t="n"/>
      <c r="M3373" s="159" t="n"/>
    </row>
    <row r="3374">
      <c r="A3374" s="114" t="n">
        <v>46232</v>
      </c>
      <c r="B3374" s="115" t="n">
        <v>2215</v>
      </c>
      <c r="C3374" s="115" t="inlineStr">
        <is>
          <t>SELİM İNŞAAT</t>
        </is>
      </c>
      <c r="D3374" s="115" t="inlineStr">
        <is>
          <t>34 FBR 748</t>
        </is>
      </c>
      <c r="E3374" s="115" t="inlineStr">
        <is>
          <t>YAŞAR ÖZKAYA</t>
        </is>
      </c>
      <c r="F3374" s="115" t="n">
        <v>356108</v>
      </c>
      <c r="G3374" s="156" t="n"/>
      <c r="H3374" s="152" t="n">
        <v>506</v>
      </c>
      <c r="I3374" s="156" t="n"/>
      <c r="J3374" s="90" t="n"/>
      <c r="K3374" s="166" t="n"/>
      <c r="L3374" s="158" t="n"/>
      <c r="M3374" s="159" t="n"/>
    </row>
    <row r="3375">
      <c r="A3375" s="114" t="n">
        <v>46234</v>
      </c>
      <c r="B3375" s="115" t="n">
        <v>2216</v>
      </c>
      <c r="C3375" s="115" t="inlineStr">
        <is>
          <t>SELİM İNŞAAT</t>
        </is>
      </c>
      <c r="D3375" s="115" t="inlineStr">
        <is>
          <t>34 FBR 748</t>
        </is>
      </c>
      <c r="E3375" s="115" t="inlineStr">
        <is>
          <t>YAŞAR ÖZKAYA</t>
        </is>
      </c>
      <c r="F3375" s="115" t="n">
        <v>356608</v>
      </c>
      <c r="G3375" s="156" t="n"/>
      <c r="H3375" s="152" t="n">
        <v>375</v>
      </c>
      <c r="I3375" s="156" t="n"/>
      <c r="J3375" s="90" t="n"/>
      <c r="K3375" s="166" t="n"/>
      <c r="L3375" s="158" t="n"/>
      <c r="M3375" s="159" t="n"/>
    </row>
    <row r="3376">
      <c r="A3376" s="114" t="n">
        <v>46220</v>
      </c>
      <c r="B3376" s="115" t="n">
        <v>1226</v>
      </c>
      <c r="C3376" s="115" t="inlineStr">
        <is>
          <t>SELİM İNŞAAT</t>
        </is>
      </c>
      <c r="D3376" s="115" t="inlineStr">
        <is>
          <t>34 FBR 705</t>
        </is>
      </c>
      <c r="E3376" s="115" t="inlineStr">
        <is>
          <t>MURAT SARI</t>
        </is>
      </c>
      <c r="F3376" s="115" t="n">
        <v>390663</v>
      </c>
      <c r="G3376" s="156" t="n"/>
      <c r="H3376" s="152" t="n">
        <v>514</v>
      </c>
      <c r="I3376" s="156" t="n"/>
      <c r="J3376" s="90" t="n"/>
      <c r="K3376" s="166" t="n"/>
      <c r="L3376" s="158" t="n"/>
      <c r="M3376" s="159" t="n"/>
    </row>
    <row r="3377">
      <c r="A3377" s="114" t="n">
        <v>46222</v>
      </c>
      <c r="B3377" s="115" t="n">
        <v>1227</v>
      </c>
      <c r="C3377" s="115" t="inlineStr">
        <is>
          <t>SELİM İNŞAAT</t>
        </is>
      </c>
      <c r="D3377" s="115" t="inlineStr">
        <is>
          <t>34 FBR 705</t>
        </is>
      </c>
      <c r="E3377" s="115" t="inlineStr">
        <is>
          <t>MURAT SARI</t>
        </is>
      </c>
      <c r="F3377" s="115" t="n">
        <v>391236</v>
      </c>
      <c r="G3377" s="156" t="n"/>
      <c r="H3377" s="152" t="n">
        <v>411</v>
      </c>
      <c r="I3377" s="156" t="n"/>
      <c r="J3377" s="90" t="n"/>
      <c r="K3377" s="166" t="n"/>
      <c r="L3377" s="158" t="n"/>
      <c r="M3377" s="159" t="n"/>
    </row>
    <row r="3378">
      <c r="A3378" s="114" t="n">
        <v>46225</v>
      </c>
      <c r="B3378" s="115" t="n">
        <v>1228</v>
      </c>
      <c r="C3378" s="115" t="inlineStr">
        <is>
          <t>SELİM İNŞAAT</t>
        </is>
      </c>
      <c r="D3378" s="115" t="inlineStr">
        <is>
          <t>34 FBR 705</t>
        </is>
      </c>
      <c r="E3378" s="115" t="inlineStr">
        <is>
          <t>MURAT SARI</t>
        </is>
      </c>
      <c r="F3378" s="115" t="n">
        <v>391970</v>
      </c>
      <c r="G3378" s="156" t="n"/>
      <c r="H3378" s="152" t="n">
        <v>458</v>
      </c>
      <c r="I3378" s="156" t="n"/>
      <c r="J3378" s="90" t="n"/>
      <c r="K3378" s="166" t="n"/>
      <c r="L3378" s="158" t="n"/>
      <c r="M3378" s="159" t="n"/>
    </row>
    <row r="3379">
      <c r="A3379" s="114" t="n">
        <v>46226</v>
      </c>
      <c r="B3379" s="115" t="n">
        <v>1229</v>
      </c>
      <c r="C3379" s="115" t="inlineStr">
        <is>
          <t>SELİM İNŞAAT</t>
        </is>
      </c>
      <c r="D3379" s="115" t="inlineStr">
        <is>
          <t>34 FBR 705</t>
        </is>
      </c>
      <c r="E3379" s="115" t="inlineStr">
        <is>
          <t>MURAT SARI</t>
        </is>
      </c>
      <c r="F3379" s="115" t="n">
        <v>392516</v>
      </c>
      <c r="G3379" s="156" t="n"/>
      <c r="H3379" s="152" t="n">
        <v>381</v>
      </c>
      <c r="I3379" s="156" t="n"/>
      <c r="J3379" s="90" t="n"/>
      <c r="K3379" s="166" t="n"/>
      <c r="L3379" s="158" t="n"/>
      <c r="M3379" s="159" t="n"/>
    </row>
    <row r="3380">
      <c r="A3380" s="114" t="n">
        <v>46230</v>
      </c>
      <c r="B3380" s="115" t="n">
        <v>1230</v>
      </c>
      <c r="C3380" s="115" t="inlineStr">
        <is>
          <t>SELİM İNŞAAT</t>
        </is>
      </c>
      <c r="D3380" s="115" t="inlineStr">
        <is>
          <t>34 FBR 705</t>
        </is>
      </c>
      <c r="E3380" s="115" t="inlineStr">
        <is>
          <t>MURAT SARI</t>
        </is>
      </c>
      <c r="F3380" s="115" t="n">
        <v>393057</v>
      </c>
      <c r="G3380" s="156" t="n"/>
      <c r="H3380" s="152" t="n">
        <v>376</v>
      </c>
      <c r="I3380" s="156" t="n"/>
      <c r="J3380" s="90" t="n"/>
      <c r="K3380" s="166" t="n"/>
      <c r="L3380" s="158" t="n"/>
      <c r="M3380" s="159" t="n"/>
    </row>
    <row r="3381">
      <c r="A3381" s="114" t="n">
        <v>46231</v>
      </c>
      <c r="B3381" s="115" t="n">
        <v>1231</v>
      </c>
      <c r="C3381" s="115" t="inlineStr">
        <is>
          <t>SELİM İNŞAAT</t>
        </is>
      </c>
      <c r="D3381" s="115" t="inlineStr">
        <is>
          <t>34 FBR 705</t>
        </is>
      </c>
      <c r="E3381" s="115" t="inlineStr">
        <is>
          <t>MURAT SARI</t>
        </is>
      </c>
      <c r="F3381" s="115" t="n">
        <v>393318</v>
      </c>
      <c r="G3381" s="156" t="n"/>
      <c r="H3381" s="152" t="n">
        <v>269</v>
      </c>
      <c r="I3381" s="156" t="n"/>
      <c r="J3381" s="90" t="n"/>
      <c r="K3381" s="166" t="n"/>
      <c r="L3381" s="158" t="n"/>
      <c r="M3381" s="159" t="n"/>
    </row>
    <row r="3382">
      <c r="A3382" s="114" t="n">
        <v>46234</v>
      </c>
      <c r="B3382" s="115" t="n">
        <v>1232</v>
      </c>
      <c r="C3382" s="115" t="inlineStr">
        <is>
          <t>SELİM İNŞAAT</t>
        </is>
      </c>
      <c r="D3382" s="115" t="inlineStr">
        <is>
          <t>34 FBR 705</t>
        </is>
      </c>
      <c r="E3382" s="115" t="inlineStr">
        <is>
          <t>MURAT SARI</t>
        </is>
      </c>
      <c r="F3382" s="115" t="n">
        <v>393960</v>
      </c>
      <c r="G3382" s="156" t="n"/>
      <c r="H3382" s="152" t="n">
        <v>520</v>
      </c>
      <c r="I3382" s="156" t="n"/>
      <c r="J3382" s="90" t="n"/>
      <c r="K3382" s="166" t="n"/>
      <c r="L3382" s="158" t="n"/>
      <c r="M3382" s="159" t="n"/>
    </row>
    <row r="3383">
      <c r="A3383" s="114" t="n">
        <v>46223</v>
      </c>
      <c r="B3383" s="115" t="n">
        <v>4380</v>
      </c>
      <c r="C3383" s="115" t="inlineStr">
        <is>
          <t>SELİM İNŞAAT</t>
        </is>
      </c>
      <c r="D3383" s="115" t="inlineStr">
        <is>
          <t>34 EDB 829</t>
        </is>
      </c>
      <c r="E3383" s="115" t="inlineStr">
        <is>
          <t xml:space="preserve">MAHİR </t>
        </is>
      </c>
      <c r="F3383" s="115" t="n">
        <v>366733</v>
      </c>
      <c r="G3383" s="156" t="n"/>
      <c r="H3383" s="152" t="n">
        <v>561</v>
      </c>
      <c r="I3383" s="156" t="n"/>
      <c r="J3383" s="90" t="n"/>
      <c r="K3383" s="166" t="n"/>
      <c r="L3383" s="158" t="n"/>
      <c r="M3383" s="159" t="n"/>
    </row>
    <row r="3384">
      <c r="A3384" s="114" t="n">
        <v>46227</v>
      </c>
      <c r="B3384" s="115" t="n">
        <v>4381</v>
      </c>
      <c r="C3384" s="115" t="inlineStr">
        <is>
          <t>SELİM İNŞAAT</t>
        </is>
      </c>
      <c r="D3384" s="115" t="inlineStr">
        <is>
          <t>34 EDB 829</t>
        </is>
      </c>
      <c r="E3384" s="115" t="inlineStr">
        <is>
          <t xml:space="preserve">MAHİR </t>
        </is>
      </c>
      <c r="F3384" s="115" t="n">
        <v>367572</v>
      </c>
      <c r="G3384" s="156" t="n"/>
      <c r="H3384" s="152" t="n">
        <v>537</v>
      </c>
      <c r="I3384" s="156" t="n"/>
      <c r="J3384" s="90" t="n"/>
      <c r="K3384" s="166" t="n"/>
      <c r="L3384" s="158" t="n"/>
      <c r="M3384" s="159" t="n"/>
    </row>
    <row r="3385">
      <c r="A3385" s="114" t="n">
        <v>46232</v>
      </c>
      <c r="B3385" s="115" t="n">
        <v>4382</v>
      </c>
      <c r="C3385" s="115" t="inlineStr">
        <is>
          <t>SELİM İNŞAAT</t>
        </is>
      </c>
      <c r="D3385" s="115" t="inlineStr">
        <is>
          <t>34 EDB 829</t>
        </is>
      </c>
      <c r="E3385" s="115" t="inlineStr">
        <is>
          <t xml:space="preserve">MAHİR </t>
        </is>
      </c>
      <c r="F3385" s="115" t="n">
        <v>368469</v>
      </c>
      <c r="G3385" s="156" t="n"/>
      <c r="H3385" s="152" t="n">
        <v>600</v>
      </c>
      <c r="I3385" s="156" t="n"/>
      <c r="J3385" s="90" t="n"/>
      <c r="K3385" s="166" t="n"/>
      <c r="L3385" s="158" t="n"/>
      <c r="M3385" s="159" t="n"/>
    </row>
    <row r="3386">
      <c r="A3386" s="114" t="n">
        <v>46234</v>
      </c>
      <c r="B3386" s="115" t="n">
        <v>4383</v>
      </c>
      <c r="C3386" s="115" t="inlineStr">
        <is>
          <t>SELİM İNŞAAT</t>
        </is>
      </c>
      <c r="D3386" s="115" t="inlineStr">
        <is>
          <t>34 EDB 829</t>
        </is>
      </c>
      <c r="E3386" s="115" t="inlineStr">
        <is>
          <t xml:space="preserve">MAHİR </t>
        </is>
      </c>
      <c r="F3386" s="115" t="n">
        <v>369095</v>
      </c>
      <c r="G3386" s="156" t="n"/>
      <c r="H3386" s="152" t="n">
        <v>452</v>
      </c>
      <c r="I3386" s="156" t="n"/>
      <c r="J3386" s="90" t="n"/>
      <c r="K3386" s="166" t="n"/>
      <c r="L3386" s="158" t="n"/>
      <c r="M3386" s="159" t="n"/>
    </row>
    <row r="3387">
      <c r="A3387" s="114" t="n">
        <v>46220</v>
      </c>
      <c r="B3387" s="115" t="n">
        <v>940</v>
      </c>
      <c r="C3387" s="115" t="inlineStr">
        <is>
          <t>SELİM İNŞAAT</t>
        </is>
      </c>
      <c r="D3387" s="115" t="inlineStr">
        <is>
          <t>34 FSG 229</t>
        </is>
      </c>
      <c r="E3387" s="115" t="inlineStr">
        <is>
          <t>SİNAN</t>
        </is>
      </c>
      <c r="F3387" s="115" t="n">
        <v>321231</v>
      </c>
      <c r="G3387" s="156" t="n"/>
      <c r="H3387" s="152" t="n">
        <v>500</v>
      </c>
      <c r="I3387" s="156" t="n"/>
      <c r="J3387" s="90" t="n"/>
      <c r="K3387" s="166" t="n"/>
      <c r="L3387" s="158" t="n"/>
      <c r="M3387" s="159" t="n"/>
    </row>
    <row r="3388">
      <c r="A3388" s="114" t="n">
        <v>46221</v>
      </c>
      <c r="B3388" s="115" t="n">
        <v>941</v>
      </c>
      <c r="C3388" s="115" t="inlineStr">
        <is>
          <t>SELİM İNŞAAT</t>
        </is>
      </c>
      <c r="D3388" s="115" t="inlineStr">
        <is>
          <t>34 FSG 229</t>
        </is>
      </c>
      <c r="E3388" s="115" t="inlineStr">
        <is>
          <t>SİNAN</t>
        </is>
      </c>
      <c r="F3388" s="115" t="n">
        <v>321852</v>
      </c>
      <c r="G3388" s="156" t="n"/>
      <c r="H3388" s="152" t="n">
        <v>455</v>
      </c>
      <c r="I3388" s="156" t="n"/>
      <c r="J3388" s="90" t="n"/>
      <c r="K3388" s="166" t="n"/>
      <c r="L3388" s="158" t="n"/>
      <c r="M3388" s="159" t="n"/>
    </row>
    <row r="3389">
      <c r="A3389" s="114" t="n">
        <v>46224</v>
      </c>
      <c r="B3389" s="115" t="n">
        <v>942</v>
      </c>
      <c r="C3389" s="115" t="inlineStr">
        <is>
          <t>SELİM İNŞAAT</t>
        </is>
      </c>
      <c r="D3389" s="115" t="inlineStr">
        <is>
          <t>34 FSG 229</t>
        </is>
      </c>
      <c r="E3389" s="115" t="inlineStr">
        <is>
          <t>SİNAN</t>
        </is>
      </c>
      <c r="F3389" s="115" t="n">
        <v>322580</v>
      </c>
      <c r="G3389" s="156" t="n"/>
      <c r="H3389" s="152" t="n">
        <v>489</v>
      </c>
      <c r="I3389" s="156" t="n"/>
      <c r="J3389" s="90" t="n"/>
      <c r="K3389" s="166" t="n"/>
      <c r="L3389" s="158" t="n"/>
      <c r="M3389" s="159" t="n"/>
    </row>
    <row r="3390">
      <c r="A3390" s="114" t="n">
        <v>46226</v>
      </c>
      <c r="B3390" s="115" t="n">
        <v>943</v>
      </c>
      <c r="C3390" s="115" t="inlineStr">
        <is>
          <t>SELİM İNŞAAT</t>
        </is>
      </c>
      <c r="D3390" s="115" t="inlineStr">
        <is>
          <t>34 FSG 229</t>
        </is>
      </c>
      <c r="E3390" s="115" t="inlineStr">
        <is>
          <t>SİNAN</t>
        </is>
      </c>
      <c r="F3390" s="115" t="n">
        <v>323208</v>
      </c>
      <c r="G3390" s="156" t="n"/>
      <c r="H3390" s="152" t="n">
        <v>457</v>
      </c>
      <c r="I3390" s="156" t="n"/>
      <c r="J3390" s="90" t="n"/>
      <c r="K3390" s="166" t="n"/>
      <c r="L3390" s="158" t="n"/>
      <c r="M3390" s="159" t="n"/>
    </row>
    <row r="3391">
      <c r="A3391" s="114" t="n">
        <v>46231</v>
      </c>
      <c r="B3391" s="115" t="n">
        <v>944</v>
      </c>
      <c r="C3391" s="115" t="inlineStr">
        <is>
          <t>SELİM İNŞAAT</t>
        </is>
      </c>
      <c r="D3391" s="115" t="inlineStr">
        <is>
          <t>34 FSG 229</t>
        </is>
      </c>
      <c r="E3391" s="115" t="inlineStr">
        <is>
          <t>SİNAN</t>
        </is>
      </c>
      <c r="F3391" s="115" t="n">
        <v>323905</v>
      </c>
      <c r="G3391" s="156" t="n"/>
      <c r="H3391" s="152" t="n">
        <v>480</v>
      </c>
      <c r="I3391" s="156" t="n"/>
      <c r="J3391" s="90" t="n"/>
      <c r="K3391" s="166" t="n"/>
      <c r="L3391" s="158" t="n"/>
      <c r="M3391" s="159" t="n"/>
    </row>
    <row r="3392">
      <c r="A3392" s="114" t="n">
        <v>46232</v>
      </c>
      <c r="B3392" s="115" t="n">
        <v>945</v>
      </c>
      <c r="C3392" s="115" t="inlineStr">
        <is>
          <t>SELİM İNŞAAT</t>
        </is>
      </c>
      <c r="D3392" s="115" t="inlineStr">
        <is>
          <t>34 FSG 229</t>
        </is>
      </c>
      <c r="E3392" s="115" t="inlineStr">
        <is>
          <t>SİNAN</t>
        </is>
      </c>
      <c r="F3392" s="115" t="n">
        <v>324614</v>
      </c>
      <c r="G3392" s="156" t="n"/>
      <c r="H3392" s="152" t="n">
        <v>500</v>
      </c>
      <c r="I3392" s="156" t="n"/>
      <c r="J3392" s="90" t="n"/>
      <c r="K3392" s="166" t="n"/>
      <c r="L3392" s="158" t="n"/>
      <c r="M3392" s="159" t="n"/>
    </row>
    <row r="3393">
      <c r="A3393" s="114" t="n">
        <v>46234</v>
      </c>
      <c r="B3393" s="115" t="n">
        <v>946</v>
      </c>
      <c r="C3393" s="115" t="inlineStr">
        <is>
          <t>SELİM İNŞAAT</t>
        </is>
      </c>
      <c r="D3393" s="115" t="inlineStr">
        <is>
          <t>34 FSG 229</t>
        </is>
      </c>
      <c r="E3393" s="115" t="inlineStr">
        <is>
          <t>SİNAN</t>
        </is>
      </c>
      <c r="F3393" s="115" t="n">
        <v>325333</v>
      </c>
      <c r="G3393" s="156" t="n"/>
      <c r="H3393" s="152" t="n">
        <v>510</v>
      </c>
      <c r="I3393" s="156" t="n"/>
      <c r="J3393" s="90" t="n"/>
      <c r="K3393" s="166" t="n"/>
      <c r="L3393" s="158" t="n"/>
      <c r="M3393" s="159" t="n"/>
    </row>
    <row r="3394">
      <c r="A3394" s="114" t="n">
        <v>46226</v>
      </c>
      <c r="B3394" s="115" t="n">
        <v>4319</v>
      </c>
      <c r="C3394" s="115" t="inlineStr">
        <is>
          <t>SELİM İNŞAAT</t>
        </is>
      </c>
      <c r="D3394" s="115" t="inlineStr">
        <is>
          <t>34 DTV 447</t>
        </is>
      </c>
      <c r="E3394" s="115" t="inlineStr">
        <is>
          <t>ZİYA İNCE</t>
        </is>
      </c>
      <c r="F3394" s="115" t="n">
        <v>470459</v>
      </c>
      <c r="G3394" s="156" t="n"/>
      <c r="H3394" s="152" t="n">
        <v>200</v>
      </c>
      <c r="I3394" s="156" t="n"/>
      <c r="J3394" s="90" t="n"/>
      <c r="K3394" s="166" t="n"/>
      <c r="L3394" s="158" t="n"/>
      <c r="M3394" s="159" t="n"/>
    </row>
    <row r="3395">
      <c r="A3395" s="114" t="n">
        <v>46231</v>
      </c>
      <c r="B3395" s="115" t="n">
        <v>4320</v>
      </c>
      <c r="C3395" s="115" t="inlineStr">
        <is>
          <t>SELİM İNŞAAT</t>
        </is>
      </c>
      <c r="D3395" s="115" t="inlineStr">
        <is>
          <t>34 DTV 447</t>
        </is>
      </c>
      <c r="E3395" s="115" t="inlineStr">
        <is>
          <t>ZİYA İNCE</t>
        </is>
      </c>
      <c r="F3395" s="115" t="n">
        <v>470752</v>
      </c>
      <c r="G3395" s="156" t="n"/>
      <c r="H3395" s="152" t="n">
        <v>510</v>
      </c>
      <c r="I3395" s="156" t="n"/>
      <c r="J3395" s="90" t="n"/>
      <c r="K3395" s="166" t="n"/>
      <c r="L3395" s="158" t="n"/>
      <c r="M3395" s="159" t="n"/>
    </row>
    <row r="3396">
      <c r="A3396" s="114" t="n">
        <v>46232</v>
      </c>
      <c r="B3396" s="115" t="n">
        <v>4321</v>
      </c>
      <c r="C3396" s="115" t="inlineStr">
        <is>
          <t>SELİM İNŞAAT</t>
        </is>
      </c>
      <c r="D3396" s="115" t="inlineStr">
        <is>
          <t>34 DTV 447</t>
        </is>
      </c>
      <c r="E3396" s="115" t="inlineStr">
        <is>
          <t>ZİYA İNCE</t>
        </is>
      </c>
      <c r="F3396" s="115" t="n">
        <v>471575</v>
      </c>
      <c r="G3396" s="156" t="n"/>
      <c r="H3396" s="152" t="n">
        <v>537</v>
      </c>
      <c r="I3396" s="156" t="n"/>
      <c r="J3396" s="90" t="n"/>
      <c r="K3396" s="166" t="n"/>
      <c r="L3396" s="158" t="n"/>
      <c r="M3396" s="159" t="n"/>
    </row>
    <row r="3397">
      <c r="A3397" s="114" t="n">
        <v>46234</v>
      </c>
      <c r="B3397" s="115" t="n">
        <v>4322</v>
      </c>
      <c r="C3397" s="115" t="inlineStr">
        <is>
          <t>SELİM İNŞAAT</t>
        </is>
      </c>
      <c r="D3397" s="115" t="inlineStr">
        <is>
          <t>34 DTV 447</t>
        </is>
      </c>
      <c r="E3397" s="115" t="inlineStr">
        <is>
          <t>ZİYA İNCE</t>
        </is>
      </c>
      <c r="F3397" s="115" t="n">
        <v>472203</v>
      </c>
      <c r="G3397" s="156" t="n"/>
      <c r="H3397" s="152" t="n">
        <v>467</v>
      </c>
      <c r="I3397" s="156" t="n"/>
      <c r="J3397" s="90" t="n"/>
      <c r="K3397" s="166" t="n"/>
      <c r="L3397" s="158" t="n"/>
      <c r="M3397" s="159" t="n"/>
    </row>
    <row r="3398">
      <c r="A3398" s="114" t="n">
        <v>46219</v>
      </c>
      <c r="B3398" s="115" t="n">
        <v>1734</v>
      </c>
      <c r="C3398" s="115" t="inlineStr">
        <is>
          <t>SELİM İNŞAAT</t>
        </is>
      </c>
      <c r="D3398" s="115" t="inlineStr">
        <is>
          <t>34 EDC 162</t>
        </is>
      </c>
      <c r="E3398" s="115" t="inlineStr">
        <is>
          <t>YAKUP</t>
        </is>
      </c>
      <c r="F3398" s="115" t="n">
        <v>442954</v>
      </c>
      <c r="G3398" s="156" t="n"/>
      <c r="H3398" s="152" t="n">
        <v>534</v>
      </c>
      <c r="I3398" s="156" t="n"/>
      <c r="J3398" s="90" t="n"/>
      <c r="K3398" s="166" t="n"/>
      <c r="L3398" s="158" t="n"/>
      <c r="M3398" s="159" t="n"/>
    </row>
    <row r="3399">
      <c r="A3399" s="114" t="n">
        <v>46222</v>
      </c>
      <c r="B3399" s="115" t="n">
        <v>1735</v>
      </c>
      <c r="C3399" s="115" t="inlineStr">
        <is>
          <t>SELİM İNŞAAT</t>
        </is>
      </c>
      <c r="D3399" s="115" t="inlineStr">
        <is>
          <t>34 EDC 162</t>
        </is>
      </c>
      <c r="E3399" s="115" t="inlineStr">
        <is>
          <t>YAKUP</t>
        </is>
      </c>
      <c r="F3399" s="115" t="n">
        <v>443517</v>
      </c>
      <c r="G3399" s="156" t="n"/>
      <c r="H3399" s="152" t="n">
        <v>404</v>
      </c>
      <c r="I3399" s="156" t="n"/>
      <c r="J3399" s="90" t="n"/>
      <c r="K3399" s="166" t="n"/>
      <c r="L3399" s="158" t="n"/>
      <c r="M3399" s="159" t="n"/>
    </row>
    <row r="3400">
      <c r="A3400" s="114" t="n">
        <v>46224</v>
      </c>
      <c r="B3400" s="115" t="n">
        <v>1736</v>
      </c>
      <c r="C3400" s="115" t="inlineStr">
        <is>
          <t>SELİM İNŞAAT</t>
        </is>
      </c>
      <c r="D3400" s="115" t="inlineStr">
        <is>
          <t>34 EDC 162</t>
        </is>
      </c>
      <c r="E3400" s="115" t="inlineStr">
        <is>
          <t>YAKUP</t>
        </is>
      </c>
      <c r="F3400" s="115" t="n">
        <v>444158</v>
      </c>
      <c r="G3400" s="156" t="n"/>
      <c r="H3400" s="152" t="n">
        <v>410</v>
      </c>
      <c r="I3400" s="156" t="n"/>
      <c r="J3400" s="90" t="n"/>
      <c r="K3400" s="166" t="n"/>
      <c r="L3400" s="158" t="n"/>
      <c r="M3400" s="159" t="n"/>
    </row>
    <row r="3401">
      <c r="A3401" s="114" t="n">
        <v>46226</v>
      </c>
      <c r="B3401" s="115" t="n">
        <v>1737</v>
      </c>
      <c r="C3401" s="115" t="inlineStr">
        <is>
          <t>SELİM İNŞAAT</t>
        </is>
      </c>
      <c r="D3401" s="115" t="inlineStr">
        <is>
          <t>34 EDC 162</t>
        </is>
      </c>
      <c r="E3401" s="115" t="inlineStr">
        <is>
          <t>YAKUP</t>
        </is>
      </c>
      <c r="F3401" s="115" t="n">
        <v>444978</v>
      </c>
      <c r="G3401" s="156" t="n"/>
      <c r="H3401" s="152" t="n">
        <v>478</v>
      </c>
      <c r="I3401" s="156" t="n"/>
      <c r="J3401" s="90" t="n"/>
      <c r="K3401" s="166" t="n"/>
      <c r="L3401" s="158" t="n"/>
      <c r="M3401" s="159" t="n"/>
    </row>
    <row r="3402">
      <c r="A3402" s="114" t="n">
        <v>46228</v>
      </c>
      <c r="B3402" s="115" t="n">
        <v>1738</v>
      </c>
      <c r="C3402" s="115" t="inlineStr">
        <is>
          <t>SELİM İNŞAAT</t>
        </is>
      </c>
      <c r="D3402" s="115" t="inlineStr">
        <is>
          <t>34 EDC 162</t>
        </is>
      </c>
      <c r="E3402" s="115" t="inlineStr">
        <is>
          <t>YAKUP</t>
        </is>
      </c>
      <c r="F3402" s="115" t="n">
        <v>445729</v>
      </c>
      <c r="G3402" s="156" t="n"/>
      <c r="H3402" s="152" t="n">
        <v>510</v>
      </c>
      <c r="I3402" s="156" t="n"/>
      <c r="J3402" s="90" t="n"/>
      <c r="K3402" s="166" t="n"/>
      <c r="L3402" s="158" t="n"/>
      <c r="M3402" s="159" t="n"/>
    </row>
    <row r="3403">
      <c r="A3403" s="114" t="n">
        <v>46231</v>
      </c>
      <c r="B3403" s="115" t="n">
        <v>1739</v>
      </c>
      <c r="C3403" s="115" t="inlineStr">
        <is>
          <t>SELİM İNŞAAT</t>
        </is>
      </c>
      <c r="D3403" s="115" t="inlineStr">
        <is>
          <t>34 EDC 162</t>
        </is>
      </c>
      <c r="E3403" s="115" t="inlineStr">
        <is>
          <t>YAKUP</t>
        </is>
      </c>
      <c r="F3403" s="115" t="n">
        <v>446284</v>
      </c>
      <c r="G3403" s="156" t="n"/>
      <c r="H3403" s="152" t="n">
        <v>488</v>
      </c>
      <c r="I3403" s="156" t="n"/>
      <c r="J3403" s="90" t="n"/>
      <c r="K3403" s="166" t="n"/>
      <c r="L3403" s="158" t="n"/>
      <c r="M3403" s="159" t="n"/>
    </row>
    <row r="3404">
      <c r="A3404" s="114" t="n">
        <v>46232</v>
      </c>
      <c r="B3404" s="115" t="n">
        <v>1740</v>
      </c>
      <c r="C3404" s="115" t="inlineStr">
        <is>
          <t>SELİM İNŞAAT</t>
        </is>
      </c>
      <c r="D3404" s="115" t="inlineStr">
        <is>
          <t>34 EDC 162</t>
        </is>
      </c>
      <c r="E3404" s="115" t="inlineStr">
        <is>
          <t>YAKUP</t>
        </is>
      </c>
      <c r="F3404" s="115" t="n">
        <v>446895</v>
      </c>
      <c r="G3404" s="156" t="n"/>
      <c r="H3404" s="152" t="n">
        <v>420</v>
      </c>
      <c r="I3404" s="156" t="n"/>
      <c r="J3404" s="90" t="n"/>
      <c r="K3404" s="166" t="n"/>
      <c r="L3404" s="158" t="n"/>
      <c r="M3404" s="159" t="n"/>
    </row>
    <row r="3405">
      <c r="A3405" s="114" t="n">
        <v>46234</v>
      </c>
      <c r="B3405" s="115" t="n">
        <v>1741</v>
      </c>
      <c r="C3405" s="115" t="inlineStr">
        <is>
          <t>SELİM İNŞAAT</t>
        </is>
      </c>
      <c r="D3405" s="115" t="inlineStr">
        <is>
          <t>34 EDC 162</t>
        </is>
      </c>
      <c r="E3405" s="115" t="inlineStr">
        <is>
          <t>YAKUP</t>
        </is>
      </c>
      <c r="F3405" s="115" t="n">
        <v>447699</v>
      </c>
      <c r="G3405" s="156" t="n"/>
      <c r="H3405" s="152" t="n">
        <v>500</v>
      </c>
      <c r="I3405" s="156" t="n"/>
      <c r="J3405" s="90" t="n"/>
      <c r="K3405" s="166" t="n"/>
      <c r="L3405" s="158" t="n"/>
      <c r="M3405" s="159" t="n"/>
    </row>
    <row r="3406">
      <c r="A3406" s="114" t="n">
        <v>46220</v>
      </c>
      <c r="B3406" s="115" t="n">
        <v>4849</v>
      </c>
      <c r="C3406" s="115" t="inlineStr">
        <is>
          <t>SELİM İNŞAAT</t>
        </is>
      </c>
      <c r="D3406" s="115" t="inlineStr">
        <is>
          <t>34 EDB 559</t>
        </is>
      </c>
      <c r="E3406" s="115" t="inlineStr">
        <is>
          <t>SELAMETTİN KORKMAZ</t>
        </is>
      </c>
      <c r="F3406" s="115" t="n">
        <v>381610</v>
      </c>
      <c r="G3406" s="156" t="n"/>
      <c r="H3406" s="152" t="n">
        <v>496</v>
      </c>
      <c r="I3406" s="156" t="n"/>
      <c r="J3406" s="90" t="n"/>
      <c r="K3406" s="166" t="n"/>
      <c r="L3406" s="158" t="n"/>
      <c r="M3406" s="159" t="n"/>
    </row>
    <row r="3407">
      <c r="A3407" s="114" t="n">
        <v>46231</v>
      </c>
      <c r="B3407" s="115" t="n">
        <v>4850</v>
      </c>
      <c r="C3407" s="115" t="inlineStr">
        <is>
          <t>SELİM İNŞAAT</t>
        </is>
      </c>
      <c r="D3407" s="115" t="inlineStr">
        <is>
          <t>34 EDB 559</t>
        </is>
      </c>
      <c r="E3407" s="115" t="inlineStr">
        <is>
          <t>SELAMETTİN KORKMAZ</t>
        </is>
      </c>
      <c r="F3407" s="115" t="n">
        <v>382515</v>
      </c>
      <c r="G3407" s="156" t="n"/>
      <c r="H3407" s="152" t="n">
        <v>573</v>
      </c>
      <c r="I3407" s="156" t="n"/>
      <c r="J3407" s="90" t="n"/>
      <c r="K3407" s="166" t="n"/>
      <c r="L3407" s="158" t="n"/>
      <c r="M3407" s="159" t="n"/>
    </row>
    <row r="3408">
      <c r="A3408" s="114" t="n">
        <v>46233</v>
      </c>
      <c r="B3408" s="115" t="n">
        <v>3851</v>
      </c>
      <c r="C3408" s="115" t="inlineStr">
        <is>
          <t>SELİM İNŞAAT</t>
        </is>
      </c>
      <c r="D3408" s="115" t="inlineStr">
        <is>
          <t>34 EDB 559</t>
        </is>
      </c>
      <c r="E3408" s="115" t="inlineStr">
        <is>
          <t>SELAMETTİN KORKMAZ</t>
        </is>
      </c>
      <c r="F3408" s="115" t="n">
        <v>383170</v>
      </c>
      <c r="G3408" s="156" t="n"/>
      <c r="H3408" s="152" t="n">
        <v>425</v>
      </c>
      <c r="I3408" s="156" t="n"/>
      <c r="J3408" s="90" t="n"/>
      <c r="K3408" s="166" t="n"/>
      <c r="L3408" s="158" t="n"/>
      <c r="M3408" s="159" t="n"/>
    </row>
    <row r="3409">
      <c r="A3409" s="114" t="n">
        <v>46219</v>
      </c>
      <c r="B3409" s="115" t="n">
        <v>2027</v>
      </c>
      <c r="C3409" s="115" t="inlineStr">
        <is>
          <t>SELİM İNŞAAT</t>
        </is>
      </c>
      <c r="D3409" s="115" t="inlineStr">
        <is>
          <t>34 GYZ 635</t>
        </is>
      </c>
      <c r="E3409" s="115" t="inlineStr">
        <is>
          <t>SELÇUK BASTIK</t>
        </is>
      </c>
      <c r="F3409" s="115" t="n">
        <v>258682</v>
      </c>
      <c r="G3409" s="156" t="n"/>
      <c r="H3409" s="152" t="n">
        <v>449</v>
      </c>
      <c r="I3409" s="156" t="n"/>
      <c r="J3409" s="90" t="n"/>
      <c r="K3409" s="166" t="n"/>
      <c r="L3409" s="158" t="n"/>
      <c r="M3409" s="159" t="n"/>
    </row>
    <row r="3410">
      <c r="A3410" s="114" t="n">
        <v>46221</v>
      </c>
      <c r="B3410" s="115" t="n">
        <v>2028</v>
      </c>
      <c r="C3410" s="115" t="inlineStr">
        <is>
          <t>SELİM İNŞAAT</t>
        </is>
      </c>
      <c r="D3410" s="115" t="inlineStr">
        <is>
          <t>34 GYZ 635</t>
        </is>
      </c>
      <c r="E3410" s="115" t="inlineStr">
        <is>
          <t>SELÇUK BASTIK</t>
        </is>
      </c>
      <c r="F3410" s="115" t="n">
        <v>259342</v>
      </c>
      <c r="G3410" s="156" t="n"/>
      <c r="H3410" s="152" t="n">
        <v>409</v>
      </c>
      <c r="I3410" s="156" t="n"/>
      <c r="J3410" s="90" t="n"/>
      <c r="K3410" s="166" t="n"/>
      <c r="L3410" s="158" t="n"/>
      <c r="M3410" s="159" t="n"/>
    </row>
    <row r="3411">
      <c r="A3411" s="114" t="n">
        <v>46224</v>
      </c>
      <c r="B3411" s="115" t="n">
        <v>2029</v>
      </c>
      <c r="C3411" s="115" t="inlineStr">
        <is>
          <t>SELİM İNŞAAT</t>
        </is>
      </c>
      <c r="D3411" s="115" t="inlineStr">
        <is>
          <t>34 GYZ 635</t>
        </is>
      </c>
      <c r="E3411" s="115" t="inlineStr">
        <is>
          <t>SELÇUK BASTIK</t>
        </is>
      </c>
      <c r="F3411" s="115" t="n">
        <v>260083</v>
      </c>
      <c r="G3411" s="156" t="n"/>
      <c r="H3411" s="152" t="n">
        <v>417</v>
      </c>
      <c r="I3411" s="156" t="n"/>
      <c r="J3411" s="90" t="n"/>
      <c r="K3411" s="166" t="n"/>
      <c r="L3411" s="158" t="n"/>
      <c r="M3411" s="159" t="n"/>
    </row>
    <row r="3412">
      <c r="A3412" s="114" t="n">
        <v>46226</v>
      </c>
      <c r="B3412" s="115" t="n">
        <v>2030</v>
      </c>
      <c r="C3412" s="115" t="inlineStr">
        <is>
          <t>SELİM İNŞAAT</t>
        </is>
      </c>
      <c r="D3412" s="115" t="inlineStr">
        <is>
          <t>34 GYZ 635</t>
        </is>
      </c>
      <c r="E3412" s="115" t="inlineStr">
        <is>
          <t>SELÇUK BASTIK</t>
        </is>
      </c>
      <c r="F3412" s="115" t="n">
        <v>260889</v>
      </c>
      <c r="G3412" s="156" t="n"/>
      <c r="H3412" s="152" t="n">
        <v>450</v>
      </c>
      <c r="I3412" s="156" t="n"/>
      <c r="J3412" s="90" t="n"/>
      <c r="K3412" s="166" t="n"/>
      <c r="L3412" s="158" t="n"/>
      <c r="M3412" s="159" t="n"/>
    </row>
    <row r="3413">
      <c r="A3413" s="114" t="n">
        <v>46231</v>
      </c>
      <c r="B3413" s="115" t="n">
        <v>2031</v>
      </c>
      <c r="C3413" s="115" t="inlineStr">
        <is>
          <t>SELİM İNŞAAT</t>
        </is>
      </c>
      <c r="D3413" s="115" t="inlineStr">
        <is>
          <t>34 GYZ 635</t>
        </is>
      </c>
      <c r="E3413" s="115" t="inlineStr">
        <is>
          <t>SELÇUK BASTIK</t>
        </is>
      </c>
      <c r="F3413" s="115" t="n">
        <v>261683</v>
      </c>
      <c r="G3413" s="156" t="n"/>
      <c r="H3413" s="152" t="n">
        <v>437</v>
      </c>
      <c r="I3413" s="156" t="n"/>
      <c r="J3413" s="90" t="n"/>
      <c r="K3413" s="166" t="n"/>
      <c r="L3413" s="158" t="n"/>
      <c r="M3413" s="159" t="n"/>
    </row>
    <row r="3414">
      <c r="A3414" s="114" t="n">
        <v>46232</v>
      </c>
      <c r="B3414" s="115" t="n">
        <v>2032</v>
      </c>
      <c r="C3414" s="115" t="inlineStr">
        <is>
          <t>SELİM İNŞAAT</t>
        </is>
      </c>
      <c r="D3414" s="115" t="inlineStr">
        <is>
          <t>34 GYZ 635</t>
        </is>
      </c>
      <c r="E3414" s="115" t="inlineStr">
        <is>
          <t>SELÇUK BASTIK</t>
        </is>
      </c>
      <c r="F3414" s="115" t="n">
        <v>262469</v>
      </c>
      <c r="G3414" s="156" t="n"/>
      <c r="H3414" s="152" t="n">
        <v>454</v>
      </c>
      <c r="I3414" s="156" t="n"/>
      <c r="J3414" s="90" t="n"/>
      <c r="K3414" s="166" t="n"/>
      <c r="L3414" s="158" t="n"/>
      <c r="M3414" s="159" t="n"/>
    </row>
    <row r="3415">
      <c r="A3415" s="114" t="n">
        <v>46234</v>
      </c>
      <c r="B3415" s="115" t="n">
        <v>2033</v>
      </c>
      <c r="C3415" s="115" t="inlineStr">
        <is>
          <t>SELİM İNŞAAT</t>
        </is>
      </c>
      <c r="D3415" s="115" t="inlineStr">
        <is>
          <t>34 GYZ 635</t>
        </is>
      </c>
      <c r="E3415" s="115" t="inlineStr">
        <is>
          <t>SELÇUK BASTIK</t>
        </is>
      </c>
      <c r="F3415" s="115" t="n">
        <v>263271</v>
      </c>
      <c r="G3415" s="156" t="n"/>
      <c r="H3415" s="152" t="n">
        <v>469</v>
      </c>
      <c r="I3415" s="156" t="n"/>
      <c r="J3415" s="90" t="n"/>
      <c r="K3415" s="166" t="n"/>
      <c r="L3415" s="158" t="n"/>
      <c r="M3415" s="159" t="n"/>
    </row>
    <row r="3416">
      <c r="A3416" s="114" t="n">
        <v>46219</v>
      </c>
      <c r="B3416" s="115" t="n">
        <v>2555</v>
      </c>
      <c r="C3416" s="115" t="inlineStr">
        <is>
          <t>SELİM İNŞAAT</t>
        </is>
      </c>
      <c r="D3416" s="115" t="inlineStr">
        <is>
          <t>34 DSN 621</t>
        </is>
      </c>
      <c r="E3416" s="115" t="inlineStr">
        <is>
          <t>ALAADİN KIRAT</t>
        </is>
      </c>
      <c r="F3416" s="115" t="n">
        <v>452728</v>
      </c>
      <c r="G3416" s="156" t="n"/>
      <c r="H3416" s="152" t="n">
        <v>554</v>
      </c>
      <c r="I3416" s="156" t="n"/>
      <c r="J3416" s="90" t="n"/>
      <c r="K3416" s="166" t="n"/>
      <c r="L3416" s="158" t="n"/>
      <c r="M3416" s="159" t="n"/>
    </row>
    <row r="3417">
      <c r="A3417" s="114" t="n">
        <v>46222</v>
      </c>
      <c r="B3417" s="115" t="n">
        <v>2556</v>
      </c>
      <c r="C3417" s="115" t="inlineStr">
        <is>
          <t>SELİM İNŞAAT</t>
        </is>
      </c>
      <c r="D3417" s="115" t="inlineStr">
        <is>
          <t>34 DSN 621</t>
        </is>
      </c>
      <c r="E3417" s="115" t="inlineStr">
        <is>
          <t>ALAADİN KIRAT</t>
        </is>
      </c>
      <c r="F3417" s="115" t="n">
        <v>453705</v>
      </c>
      <c r="G3417" s="156" t="n"/>
      <c r="H3417" s="152" t="n">
        <v>560</v>
      </c>
      <c r="I3417" s="156" t="n"/>
      <c r="J3417" s="90" t="n"/>
      <c r="K3417" s="166" t="n"/>
      <c r="L3417" s="158" t="n"/>
      <c r="M3417" s="159" t="n"/>
    </row>
    <row r="3418">
      <c r="A3418" s="114" t="n">
        <v>46223</v>
      </c>
      <c r="B3418" s="115" t="n">
        <v>2557</v>
      </c>
      <c r="C3418" s="115" t="inlineStr">
        <is>
          <t>SELİM İNŞAAT</t>
        </is>
      </c>
      <c r="D3418" s="115" t="inlineStr">
        <is>
          <t>34 DSN 621</t>
        </is>
      </c>
      <c r="E3418" s="115" t="inlineStr">
        <is>
          <t>ALAADİN KIRAT</t>
        </is>
      </c>
      <c r="F3418" s="115" t="n">
        <v>454524</v>
      </c>
      <c r="G3418" s="156" t="n"/>
      <c r="H3418" s="152" t="n">
        <v>494</v>
      </c>
      <c r="I3418" s="156" t="n"/>
      <c r="J3418" s="90" t="n"/>
      <c r="K3418" s="166" t="n"/>
      <c r="L3418" s="158" t="n"/>
      <c r="M3418" s="159" t="n"/>
    </row>
    <row r="3419">
      <c r="A3419" s="114" t="n">
        <v>46225</v>
      </c>
      <c r="B3419" s="115" t="n">
        <v>2558</v>
      </c>
      <c r="C3419" s="115" t="inlineStr">
        <is>
          <t>SELİM İNŞAAT</t>
        </is>
      </c>
      <c r="D3419" s="115" t="inlineStr">
        <is>
          <t>34 DSN 621</t>
        </is>
      </c>
      <c r="E3419" s="115" t="inlineStr">
        <is>
          <t>ALAADİN KIRAT</t>
        </is>
      </c>
      <c r="F3419" s="115" t="n">
        <v>455322</v>
      </c>
      <c r="G3419" s="156" t="n"/>
      <c r="H3419" s="152" t="n">
        <v>500</v>
      </c>
      <c r="I3419" s="156" t="n"/>
      <c r="J3419" s="90" t="n"/>
      <c r="K3419" s="166" t="n"/>
      <c r="L3419" s="158" t="n"/>
      <c r="M3419" s="159" t="n"/>
    </row>
    <row r="3420">
      <c r="A3420" s="114" t="n">
        <v>46230</v>
      </c>
      <c r="B3420" s="115" t="n">
        <v>2559</v>
      </c>
      <c r="C3420" s="115" t="inlineStr">
        <is>
          <t>SELİM İNŞAAT</t>
        </is>
      </c>
      <c r="D3420" s="115" t="inlineStr">
        <is>
          <t>34 DSN 621</t>
        </is>
      </c>
      <c r="E3420" s="115" t="inlineStr">
        <is>
          <t>ALAADİN KIRAT</t>
        </is>
      </c>
      <c r="F3420" s="115" t="n">
        <v>455986</v>
      </c>
      <c r="G3420" s="156" t="n"/>
      <c r="H3420" s="152" t="n">
        <v>435</v>
      </c>
      <c r="I3420" s="156" t="n"/>
      <c r="J3420" s="90" t="n"/>
      <c r="K3420" s="166" t="n"/>
      <c r="L3420" s="158" t="n"/>
      <c r="M3420" s="159" t="n"/>
    </row>
    <row r="3421">
      <c r="A3421" s="114" t="n">
        <v>46231</v>
      </c>
      <c r="B3421" s="115" t="n">
        <v>2560</v>
      </c>
      <c r="C3421" s="115" t="inlineStr">
        <is>
          <t>SELİM İNŞAAT</t>
        </is>
      </c>
      <c r="D3421" s="115" t="inlineStr">
        <is>
          <t>34 DSN 621</t>
        </is>
      </c>
      <c r="E3421" s="115" t="inlineStr">
        <is>
          <t>ALAADİN KIRAT</t>
        </is>
      </c>
      <c r="F3421" s="115" t="n">
        <v>456535</v>
      </c>
      <c r="G3421" s="156" t="n"/>
      <c r="H3421" s="152" t="n">
        <v>368</v>
      </c>
      <c r="I3421" s="156" t="n"/>
      <c r="J3421" s="90" t="n"/>
      <c r="K3421" s="166" t="n"/>
      <c r="L3421" s="158" t="n"/>
      <c r="M3421" s="159" t="n"/>
    </row>
    <row r="3422">
      <c r="A3422" s="114" t="n">
        <v>46224</v>
      </c>
      <c r="B3422" s="115" t="n">
        <v>3187</v>
      </c>
      <c r="C3422" s="115" t="inlineStr">
        <is>
          <t>SELİM İNŞAAT</t>
        </is>
      </c>
      <c r="D3422" s="115" t="inlineStr">
        <is>
          <t>34 DTV 599</t>
        </is>
      </c>
      <c r="E3422" s="115" t="inlineStr">
        <is>
          <t>SELAMETTİN KORKMAZ</t>
        </is>
      </c>
      <c r="F3422" s="115" t="n">
        <v>484859</v>
      </c>
      <c r="G3422" s="156" t="n"/>
      <c r="H3422" s="152" t="n">
        <v>460</v>
      </c>
      <c r="I3422" s="156" t="n"/>
      <c r="J3422" s="90" t="n"/>
      <c r="K3422" s="166" t="n"/>
      <c r="L3422" s="158" t="n"/>
      <c r="M3422" s="159" t="n"/>
    </row>
    <row r="3423">
      <c r="A3423" s="114" t="n">
        <v>46225</v>
      </c>
      <c r="B3423" s="115" t="n">
        <v>3188</v>
      </c>
      <c r="C3423" s="115" t="inlineStr">
        <is>
          <t>SELİM İNŞAAT</t>
        </is>
      </c>
      <c r="D3423" s="115" t="inlineStr">
        <is>
          <t>34 DTV 599</t>
        </is>
      </c>
      <c r="E3423" s="115" t="inlineStr">
        <is>
          <t>SELAMETTİN KORKMAZ</t>
        </is>
      </c>
      <c r="F3423" s="115" t="n">
        <v>485618</v>
      </c>
      <c r="G3423" s="156" t="n"/>
      <c r="H3423" s="152" t="n">
        <v>421</v>
      </c>
      <c r="I3423" s="156" t="n"/>
      <c r="J3423" s="90" t="n"/>
      <c r="K3423" s="166" t="n"/>
      <c r="L3423" s="158" t="n"/>
      <c r="M3423" s="159" t="n"/>
    </row>
    <row r="3424">
      <c r="A3424" s="114" t="n">
        <v>46226</v>
      </c>
      <c r="B3424" s="115" t="n">
        <v>3189</v>
      </c>
      <c r="C3424" s="115" t="inlineStr">
        <is>
          <t>SELİM İNŞAAT</t>
        </is>
      </c>
      <c r="D3424" s="115" t="inlineStr">
        <is>
          <t>34 DTV 599</t>
        </is>
      </c>
      <c r="E3424" s="115" t="inlineStr">
        <is>
          <t>SELAMETTİN KORKMAZ</t>
        </is>
      </c>
      <c r="F3424" s="115" t="n">
        <v>486006</v>
      </c>
      <c r="G3424" s="156" t="n"/>
      <c r="H3424" s="152" t="n">
        <v>293</v>
      </c>
      <c r="I3424" s="156" t="n"/>
      <c r="J3424" s="90" t="n"/>
      <c r="K3424" s="166" t="n"/>
      <c r="L3424" s="158" t="n"/>
      <c r="M3424" s="159" t="n"/>
    </row>
    <row r="3425">
      <c r="A3425" s="114" t="n">
        <v>46230</v>
      </c>
      <c r="B3425" s="115" t="n">
        <v>3190</v>
      </c>
      <c r="C3425" s="115" t="inlineStr">
        <is>
          <t>SELİM İNŞAAT</t>
        </is>
      </c>
      <c r="D3425" s="115" t="inlineStr">
        <is>
          <t>34 DTV 599</t>
        </is>
      </c>
      <c r="E3425" s="115" t="inlineStr">
        <is>
          <t>SELAMETTİN KORKMAZ</t>
        </is>
      </c>
      <c r="F3425" s="115" t="n">
        <v>486615</v>
      </c>
      <c r="G3425" s="156" t="n"/>
      <c r="H3425" s="152" t="n">
        <v>367</v>
      </c>
      <c r="I3425" s="156" t="n"/>
      <c r="J3425" s="90" t="n"/>
      <c r="K3425" s="166" t="n"/>
      <c r="L3425" s="158" t="n"/>
      <c r="M3425" s="159" t="n"/>
    </row>
    <row r="3426">
      <c r="A3426" s="114" t="n">
        <v>46231</v>
      </c>
      <c r="B3426" s="115" t="n">
        <v>3191</v>
      </c>
      <c r="C3426" s="115" t="inlineStr">
        <is>
          <t>SELİM İNŞAAT</t>
        </is>
      </c>
      <c r="D3426" s="115" t="inlineStr">
        <is>
          <t>34 DTV 599</t>
        </is>
      </c>
      <c r="E3426" s="115" t="inlineStr">
        <is>
          <t>SELAMETTİN KORKMAZ</t>
        </is>
      </c>
      <c r="F3426" s="115" t="n">
        <v>487207</v>
      </c>
      <c r="G3426" s="156" t="n"/>
      <c r="H3426" s="152" t="n">
        <v>360</v>
      </c>
      <c r="I3426" s="156" t="n"/>
      <c r="J3426" s="90" t="n"/>
      <c r="K3426" s="166" t="n"/>
      <c r="L3426" s="158" t="n"/>
      <c r="M3426" s="159" t="n"/>
    </row>
    <row r="3427">
      <c r="A3427" s="114" t="n">
        <v>46234</v>
      </c>
      <c r="B3427" s="115" t="n">
        <v>3192</v>
      </c>
      <c r="C3427" s="115" t="inlineStr">
        <is>
          <t>SELİM İNŞAAT</t>
        </is>
      </c>
      <c r="D3427" s="115" t="inlineStr">
        <is>
          <t>34 DTV 599</t>
        </is>
      </c>
      <c r="E3427" s="115" t="inlineStr">
        <is>
          <t>SELAMETTİN KORKMAZ</t>
        </is>
      </c>
      <c r="F3427" s="115" t="n">
        <v>488098</v>
      </c>
      <c r="G3427" s="156" t="n"/>
      <c r="H3427" s="152" t="n">
        <v>549</v>
      </c>
      <c r="I3427" s="156" t="n"/>
      <c r="J3427" s="90" t="n"/>
      <c r="K3427" s="166" t="n"/>
      <c r="L3427" s="158" t="n"/>
      <c r="M3427" s="159" t="n"/>
    </row>
    <row r="3428">
      <c r="A3428" s="114" t="n">
        <v>46220</v>
      </c>
      <c r="B3428" s="115" t="n">
        <v>1784</v>
      </c>
      <c r="C3428" s="115" t="inlineStr">
        <is>
          <t>SELİM İNŞAAT</t>
        </is>
      </c>
      <c r="D3428" s="115" t="inlineStr">
        <is>
          <t>34 EDC 086</t>
        </is>
      </c>
      <c r="E3428" s="115" t="inlineStr">
        <is>
          <t>İRFAN DAĞLAR</t>
        </is>
      </c>
      <c r="F3428" s="115" t="n">
        <v>402797</v>
      </c>
      <c r="G3428" s="156" t="n"/>
      <c r="H3428" s="152" t="n">
        <v>540</v>
      </c>
      <c r="I3428" s="156" t="n"/>
      <c r="J3428" s="90" t="n"/>
      <c r="K3428" s="166" t="n"/>
      <c r="L3428" s="158" t="n"/>
      <c r="M3428" s="159" t="n"/>
    </row>
    <row r="3429">
      <c r="A3429" s="114" t="n">
        <v>46222</v>
      </c>
      <c r="B3429" s="115" t="n">
        <v>1785</v>
      </c>
      <c r="C3429" s="115" t="inlineStr">
        <is>
          <t>SELİM İNŞAAT</t>
        </is>
      </c>
      <c r="D3429" s="115" t="inlineStr">
        <is>
          <t>34 EDC 086</t>
        </is>
      </c>
      <c r="E3429" s="115" t="inlineStr">
        <is>
          <t>İRFAN DAĞLAR</t>
        </is>
      </c>
      <c r="F3429" s="115" t="n">
        <v>403300</v>
      </c>
      <c r="G3429" s="156" t="n"/>
      <c r="H3429" s="152" t="n">
        <v>355</v>
      </c>
      <c r="I3429" s="156" t="n"/>
      <c r="J3429" s="90" t="n"/>
      <c r="K3429" s="166" t="n"/>
      <c r="L3429" s="158" t="n"/>
      <c r="M3429" s="159" t="n"/>
    </row>
    <row r="3430">
      <c r="A3430" s="114" t="n">
        <v>46223</v>
      </c>
      <c r="B3430" s="115" t="n">
        <v>1786</v>
      </c>
      <c r="C3430" s="115" t="inlineStr">
        <is>
          <t>SELİM İNŞAAT</t>
        </is>
      </c>
      <c r="D3430" s="115" t="inlineStr">
        <is>
          <t>34 EDC 086</t>
        </is>
      </c>
      <c r="E3430" s="115" t="inlineStr">
        <is>
          <t>İRFAN DAĞLAR</t>
        </is>
      </c>
      <c r="F3430" s="115" t="n">
        <v>403841</v>
      </c>
      <c r="G3430" s="156" t="n"/>
      <c r="H3430" s="152" t="n">
        <v>344</v>
      </c>
      <c r="I3430" s="156" t="n"/>
      <c r="J3430" s="90" t="n"/>
      <c r="K3430" s="166" t="n"/>
      <c r="L3430" s="158" t="n"/>
      <c r="M3430" s="159" t="n"/>
    </row>
    <row r="3431">
      <c r="A3431" s="114" t="n">
        <v>46224</v>
      </c>
      <c r="B3431" s="115" t="n">
        <v>1787</v>
      </c>
      <c r="C3431" s="115" t="inlineStr">
        <is>
          <t>SELİM İNŞAAT</t>
        </is>
      </c>
      <c r="D3431" s="115" t="inlineStr">
        <is>
          <t>34 EDC 086</t>
        </is>
      </c>
      <c r="E3431" s="115" t="inlineStr">
        <is>
          <t>İRFAN DAĞLAR</t>
        </is>
      </c>
      <c r="F3431" s="115" t="n">
        <v>404537</v>
      </c>
      <c r="G3431" s="156" t="n"/>
      <c r="H3431" s="152" t="n">
        <v>445</v>
      </c>
      <c r="I3431" s="156" t="n"/>
      <c r="J3431" s="90" t="n"/>
      <c r="K3431" s="166" t="n"/>
      <c r="L3431" s="158" t="n"/>
      <c r="M3431" s="159" t="n"/>
    </row>
    <row r="3432">
      <c r="A3432" s="114" t="n">
        <v>46226</v>
      </c>
      <c r="B3432" s="115" t="n">
        <v>1788</v>
      </c>
      <c r="C3432" s="115" t="inlineStr">
        <is>
          <t>SELİM İNŞAAT</t>
        </is>
      </c>
      <c r="D3432" s="115" t="inlineStr">
        <is>
          <t>34 EDC 086</t>
        </is>
      </c>
      <c r="E3432" s="115" t="inlineStr">
        <is>
          <t>İRFAN DAĞLAR</t>
        </is>
      </c>
      <c r="F3432" s="115" t="n">
        <v>405335</v>
      </c>
      <c r="G3432" s="156" t="n"/>
      <c r="H3432" s="152" t="n">
        <v>490</v>
      </c>
      <c r="I3432" s="156" t="n"/>
      <c r="J3432" s="90" t="n"/>
      <c r="K3432" s="166" t="n"/>
      <c r="L3432" s="158" t="n"/>
      <c r="M3432" s="159" t="n"/>
    </row>
    <row r="3433">
      <c r="A3433" s="114" t="n">
        <v>46227</v>
      </c>
      <c r="B3433" s="115" t="n">
        <v>1789</v>
      </c>
      <c r="C3433" s="115" t="inlineStr">
        <is>
          <t>SELİM İNŞAAT</t>
        </is>
      </c>
      <c r="D3433" s="115" t="inlineStr">
        <is>
          <t>34 EDC 086</t>
        </is>
      </c>
      <c r="E3433" s="115" t="inlineStr">
        <is>
          <t>İRFAN DAĞLAR</t>
        </is>
      </c>
      <c r="F3433" s="115" t="n">
        <v>405702</v>
      </c>
      <c r="G3433" s="156" t="n"/>
      <c r="H3433" s="152" t="n">
        <v>294</v>
      </c>
      <c r="I3433" s="156" t="n"/>
      <c r="J3433" s="90" t="n"/>
      <c r="K3433" s="166" t="n"/>
      <c r="L3433" s="158" t="n"/>
      <c r="M3433" s="159" t="n"/>
    </row>
    <row r="3434">
      <c r="A3434" s="114" t="n">
        <v>46231</v>
      </c>
      <c r="B3434" s="115" t="n">
        <v>1790</v>
      </c>
      <c r="C3434" s="115" t="inlineStr">
        <is>
          <t>SELİM İNŞAAT</t>
        </is>
      </c>
      <c r="D3434" s="115" t="inlineStr">
        <is>
          <t>34 EDC 086</t>
        </is>
      </c>
      <c r="E3434" s="115" t="inlineStr">
        <is>
          <t>İRFAN DAĞLAR</t>
        </is>
      </c>
      <c r="F3434" s="115" t="n">
        <v>406199</v>
      </c>
      <c r="G3434" s="156" t="n"/>
      <c r="H3434" s="152" t="n">
        <v>340</v>
      </c>
      <c r="I3434" s="156" t="n"/>
      <c r="J3434" s="90" t="n"/>
      <c r="K3434" s="166" t="n"/>
      <c r="L3434" s="158" t="n"/>
      <c r="M3434" s="159" t="n"/>
    </row>
    <row r="3435">
      <c r="A3435" s="114" t="n">
        <v>46233</v>
      </c>
      <c r="B3435" s="115" t="n">
        <v>1791</v>
      </c>
      <c r="C3435" s="115" t="inlineStr">
        <is>
          <t>SELİM İNŞAAT</t>
        </is>
      </c>
      <c r="D3435" s="115" t="inlineStr">
        <is>
          <t>34 EDC 086</t>
        </is>
      </c>
      <c r="E3435" s="115" t="inlineStr">
        <is>
          <t>İRFAN DAĞLAR</t>
        </is>
      </c>
      <c r="F3435" s="115" t="n">
        <v>407110</v>
      </c>
      <c r="G3435" s="156" t="n"/>
      <c r="H3435" s="152" t="n">
        <v>590</v>
      </c>
      <c r="I3435" s="156" t="n"/>
      <c r="J3435" s="90" t="n"/>
      <c r="K3435" s="166" t="n"/>
      <c r="L3435" s="158" t="n"/>
      <c r="M3435" s="159" t="n"/>
    </row>
    <row r="3436">
      <c r="A3436" s="114" t="n">
        <v>46234</v>
      </c>
      <c r="B3436" s="115" t="n">
        <v>1792</v>
      </c>
      <c r="C3436" s="115" t="inlineStr">
        <is>
          <t>SELİM İNŞAAT</t>
        </is>
      </c>
      <c r="D3436" s="115" t="inlineStr">
        <is>
          <t>34 EDC 086</t>
        </is>
      </c>
      <c r="E3436" s="115" t="inlineStr">
        <is>
          <t>İRFAN DAĞLAR</t>
        </is>
      </c>
      <c r="F3436" s="115" t="n">
        <v>407787</v>
      </c>
      <c r="G3436" s="156" t="n"/>
      <c r="H3436" s="152" t="n">
        <v>487</v>
      </c>
      <c r="I3436" s="156" t="n"/>
      <c r="J3436" s="90" t="n"/>
      <c r="K3436" s="166" t="n"/>
      <c r="L3436" s="158" t="n"/>
      <c r="M3436" s="159" t="n"/>
    </row>
    <row r="3437">
      <c r="A3437" s="114" t="n">
        <v>46220</v>
      </c>
      <c r="B3437" s="115" t="n">
        <v>3652</v>
      </c>
      <c r="C3437" s="115" t="inlineStr">
        <is>
          <t>SELİM İNŞAAT</t>
        </is>
      </c>
      <c r="D3437" s="115" t="inlineStr">
        <is>
          <t>34 EDB 922</t>
        </is>
      </c>
      <c r="E3437" s="115" t="inlineStr">
        <is>
          <t>MUSTAFA YENİAY</t>
        </is>
      </c>
      <c r="F3437" s="115" t="n">
        <v>425806</v>
      </c>
      <c r="G3437" s="156" t="n"/>
      <c r="H3437" s="152" t="n">
        <v>460</v>
      </c>
      <c r="I3437" s="156" t="n"/>
      <c r="J3437" s="90" t="n"/>
      <c r="K3437" s="166" t="n"/>
      <c r="L3437" s="158" t="n"/>
      <c r="M3437" s="159" t="n"/>
    </row>
    <row r="3438">
      <c r="A3438" s="114" t="n">
        <v>46224</v>
      </c>
      <c r="B3438" s="115" t="n">
        <v>3653</v>
      </c>
      <c r="C3438" s="115" t="inlineStr">
        <is>
          <t>SELİM İNŞAAT</t>
        </is>
      </c>
      <c r="D3438" s="115" t="inlineStr">
        <is>
          <t>34 EDB 922</t>
        </is>
      </c>
      <c r="E3438" s="115" t="inlineStr">
        <is>
          <t>MUSTAFA YENİAY</t>
        </is>
      </c>
      <c r="F3438" s="115" t="n">
        <v>426548</v>
      </c>
      <c r="G3438" s="156" t="n"/>
      <c r="H3438" s="152" t="n">
        <v>500</v>
      </c>
      <c r="I3438" s="156" t="n"/>
      <c r="J3438" s="90" t="n"/>
      <c r="K3438" s="166" t="n"/>
      <c r="L3438" s="158" t="n"/>
      <c r="M3438" s="159" t="n"/>
    </row>
    <row r="3439">
      <c r="A3439" s="114" t="n">
        <v>46226</v>
      </c>
      <c r="B3439" s="115" t="n">
        <v>3654</v>
      </c>
      <c r="C3439" s="115" t="inlineStr">
        <is>
          <t>SELİM İNŞAAT</t>
        </is>
      </c>
      <c r="D3439" s="115" t="inlineStr">
        <is>
          <t>34 EDB 922</t>
        </is>
      </c>
      <c r="E3439" s="115" t="inlineStr">
        <is>
          <t>MUSTAFA YENİAY</t>
        </is>
      </c>
      <c r="F3439" s="115" t="n">
        <v>427407</v>
      </c>
      <c r="G3439" s="156" t="n"/>
      <c r="H3439" s="152" t="n">
        <v>587</v>
      </c>
      <c r="I3439" s="156" t="n"/>
      <c r="J3439" s="90" t="n"/>
      <c r="K3439" s="166" t="n"/>
      <c r="L3439" s="158" t="n"/>
      <c r="M3439" s="159" t="n"/>
    </row>
    <row r="3440">
      <c r="A3440" s="114" t="n">
        <v>46231</v>
      </c>
      <c r="B3440" s="115" t="n">
        <v>3655</v>
      </c>
      <c r="C3440" s="115" t="inlineStr">
        <is>
          <t>SELİM İNŞAAT</t>
        </is>
      </c>
      <c r="D3440" s="115" t="inlineStr">
        <is>
          <t>34 EDB 922</t>
        </is>
      </c>
      <c r="E3440" s="115" t="inlineStr">
        <is>
          <t>MUSTAFA YENİAY</t>
        </is>
      </c>
      <c r="F3440" s="115" t="n">
        <v>428099</v>
      </c>
      <c r="G3440" s="156" t="n"/>
      <c r="H3440" s="152" t="n">
        <v>490</v>
      </c>
      <c r="I3440" s="156" t="n"/>
      <c r="J3440" s="90" t="n"/>
      <c r="K3440" s="166" t="n"/>
      <c r="L3440" s="158" t="n"/>
      <c r="M3440" s="159" t="n"/>
    </row>
    <row r="3441">
      <c r="A3441" s="114" t="n">
        <v>46233</v>
      </c>
      <c r="B3441" s="115" t="n">
        <v>3656</v>
      </c>
      <c r="C3441" s="115" t="inlineStr">
        <is>
          <t>SELİM İNŞAAT</t>
        </is>
      </c>
      <c r="D3441" s="115" t="inlineStr">
        <is>
          <t>34 EDB 922</t>
        </is>
      </c>
      <c r="E3441" s="115" t="inlineStr">
        <is>
          <t>MUSTAFA YENİAY</t>
        </is>
      </c>
      <c r="F3441" s="115" t="n">
        <v>428823</v>
      </c>
      <c r="G3441" s="156" t="n"/>
      <c r="H3441" s="152" t="n">
        <v>518</v>
      </c>
      <c r="I3441" s="156" t="n"/>
      <c r="J3441" s="90" t="n"/>
      <c r="K3441" s="166" t="n"/>
      <c r="L3441" s="158" t="n"/>
      <c r="M3441" s="159" t="n"/>
    </row>
    <row r="3442">
      <c r="A3442" s="114" t="n">
        <v>46234</v>
      </c>
      <c r="B3442" s="115" t="n">
        <v>3657</v>
      </c>
      <c r="C3442" s="115" t="inlineStr">
        <is>
          <t>SELİM İNŞAAT</t>
        </is>
      </c>
      <c r="D3442" s="115" t="inlineStr">
        <is>
          <t>34 EDB 922</t>
        </is>
      </c>
      <c r="E3442" s="115" t="inlineStr">
        <is>
          <t>MUSTAFA YENİAY</t>
        </is>
      </c>
      <c r="F3442" s="115" t="n">
        <v>429528</v>
      </c>
      <c r="G3442" s="156" t="n"/>
      <c r="H3442" s="152" t="n">
        <v>508</v>
      </c>
      <c r="I3442" s="156" t="n"/>
      <c r="J3442" s="90" t="n"/>
      <c r="K3442" s="166" t="n"/>
      <c r="L3442" s="158" t="n"/>
      <c r="M3442" s="159" t="n"/>
    </row>
    <row r="3443">
      <c r="A3443" s="114" t="n">
        <v>46221</v>
      </c>
      <c r="B3443" s="115" t="n">
        <v>1329</v>
      </c>
      <c r="C3443" s="115" t="inlineStr">
        <is>
          <t>SELİM İNŞAAT</t>
        </is>
      </c>
      <c r="D3443" s="115" t="inlineStr">
        <is>
          <t>34 GVZ 199</t>
        </is>
      </c>
      <c r="E3443" s="115" t="inlineStr">
        <is>
          <t>HÜSEYİN DENİZ</t>
        </is>
      </c>
      <c r="F3443" s="115" t="n">
        <v>255579</v>
      </c>
      <c r="G3443" s="156" t="n"/>
      <c r="H3443" s="152" t="n">
        <v>590</v>
      </c>
      <c r="I3443" s="156" t="n"/>
      <c r="J3443" s="90" t="n"/>
      <c r="K3443" s="166" t="n"/>
      <c r="L3443" s="158" t="n"/>
      <c r="M3443" s="159" t="n"/>
    </row>
    <row r="3444">
      <c r="A3444" s="114" t="n">
        <v>46224</v>
      </c>
      <c r="B3444" s="115" t="n">
        <v>1330</v>
      </c>
      <c r="C3444" s="115" t="inlineStr">
        <is>
          <t>SELİM İNŞAAT</t>
        </is>
      </c>
      <c r="D3444" s="115" t="inlineStr">
        <is>
          <t>34 GVZ 199</t>
        </is>
      </c>
      <c r="E3444" s="115" t="inlineStr">
        <is>
          <t>HÜSEYİN DENİZ</t>
        </is>
      </c>
      <c r="F3444" s="115" t="n">
        <v>256592</v>
      </c>
      <c r="G3444" s="156" t="n"/>
      <c r="H3444" s="152" t="n">
        <v>497</v>
      </c>
      <c r="I3444" s="156" t="n"/>
      <c r="J3444" s="90" t="n"/>
      <c r="K3444" s="166" t="n"/>
      <c r="L3444" s="158" t="n"/>
      <c r="M3444" s="159" t="n"/>
    </row>
    <row r="3445">
      <c r="A3445" s="114" t="n">
        <v>46226</v>
      </c>
      <c r="B3445" s="115" t="n">
        <v>1331</v>
      </c>
      <c r="C3445" s="115" t="inlineStr">
        <is>
          <t>SELİM İNŞAAT</t>
        </is>
      </c>
      <c r="D3445" s="115" t="inlineStr">
        <is>
          <t>34 GVZ 199</t>
        </is>
      </c>
      <c r="E3445" s="115" t="inlineStr">
        <is>
          <t>HÜSEYİN DENİZ</t>
        </is>
      </c>
      <c r="F3445" s="115" t="n">
        <v>257532</v>
      </c>
      <c r="G3445" s="156" t="n"/>
      <c r="H3445" s="152" t="n">
        <v>551</v>
      </c>
      <c r="I3445" s="156" t="n"/>
      <c r="J3445" s="90" t="n"/>
      <c r="K3445" s="166" t="n"/>
      <c r="L3445" s="158" t="n"/>
      <c r="M3445" s="159" t="n"/>
    </row>
    <row r="3446">
      <c r="A3446" s="114" t="n">
        <v>46231</v>
      </c>
      <c r="B3446" s="115" t="n">
        <v>1332</v>
      </c>
      <c r="C3446" s="115" t="inlineStr">
        <is>
          <t>SELİM İNŞAAT</t>
        </is>
      </c>
      <c r="D3446" s="115" t="inlineStr">
        <is>
          <t>34 GVZ 199</t>
        </is>
      </c>
      <c r="E3446" s="115" t="inlineStr">
        <is>
          <t>HÜSEYİN DENİZ</t>
        </is>
      </c>
      <c r="F3446" s="115" t="n">
        <v>258556</v>
      </c>
      <c r="G3446" s="156" t="n"/>
      <c r="H3446" s="152" t="n">
        <v>568</v>
      </c>
      <c r="I3446" s="156" t="n"/>
      <c r="J3446" s="90" t="n"/>
      <c r="K3446" s="166" t="n"/>
      <c r="L3446" s="158" t="n"/>
      <c r="M3446" s="159" t="n"/>
    </row>
    <row r="3447">
      <c r="A3447" s="114" t="n">
        <v>46234</v>
      </c>
      <c r="B3447" s="115" t="n">
        <v>1333</v>
      </c>
      <c r="C3447" s="115" t="inlineStr">
        <is>
          <t>SELİM İNŞAAT</t>
        </is>
      </c>
      <c r="D3447" s="115" t="inlineStr">
        <is>
          <t>34 GVZ 199</t>
        </is>
      </c>
      <c r="E3447" s="115" t="inlineStr">
        <is>
          <t>HÜSEYİN DENİZ</t>
        </is>
      </c>
      <c r="F3447" s="115" t="n">
        <v>259660</v>
      </c>
      <c r="G3447" s="156" t="n"/>
      <c r="H3447" s="152" t="n">
        <v>540</v>
      </c>
      <c r="I3447" s="156" t="n"/>
      <c r="J3447" s="90" t="n"/>
      <c r="K3447" s="166" t="n"/>
      <c r="L3447" s="158" t="n"/>
      <c r="M3447" s="159" t="n"/>
    </row>
    <row r="3448">
      <c r="A3448" s="114" t="n">
        <v>46219</v>
      </c>
      <c r="B3448" s="115" t="n">
        <v>131</v>
      </c>
      <c r="C3448" s="115" t="inlineStr">
        <is>
          <t>SELİM İNŞAAT</t>
        </is>
      </c>
      <c r="D3448" s="115" t="inlineStr">
        <is>
          <t>34 GUS 848</t>
        </is>
      </c>
      <c r="E3448" s="115" t="inlineStr">
        <is>
          <t>SERDAR BOZKURT</t>
        </is>
      </c>
      <c r="F3448" s="115" t="n">
        <v>260833</v>
      </c>
      <c r="G3448" s="156" t="n"/>
      <c r="H3448" s="152" t="n">
        <v>567</v>
      </c>
      <c r="I3448" s="156" t="n"/>
      <c r="J3448" s="90" t="n"/>
      <c r="K3448" s="166" t="n"/>
      <c r="L3448" s="158" t="n"/>
      <c r="M3448" s="159" t="n"/>
    </row>
    <row r="3449">
      <c r="A3449" s="114" t="n">
        <v>46222</v>
      </c>
      <c r="B3449" s="115" t="n">
        <v>132</v>
      </c>
      <c r="C3449" s="115" t="inlineStr">
        <is>
          <t>SELİM İNŞAAT</t>
        </is>
      </c>
      <c r="D3449" s="115" t="inlineStr">
        <is>
          <t>34 GUS 848</t>
        </is>
      </c>
      <c r="E3449" s="115" t="inlineStr">
        <is>
          <t>SERDAR BOZKURT</t>
        </is>
      </c>
      <c r="F3449" s="115" t="n">
        <v>261897</v>
      </c>
      <c r="G3449" s="156" t="n"/>
      <c r="H3449" s="152" t="n">
        <v>350</v>
      </c>
      <c r="I3449" s="156" t="n"/>
      <c r="J3449" s="90" t="n"/>
      <c r="K3449" s="166" t="n"/>
      <c r="L3449" s="158" t="n"/>
      <c r="M3449" s="159" t="n"/>
    </row>
    <row r="3450">
      <c r="A3450" s="114" t="n">
        <v>46223</v>
      </c>
      <c r="B3450" s="115" t="n">
        <v>133</v>
      </c>
      <c r="C3450" s="115" t="inlineStr">
        <is>
          <t>SELİM İNŞAAT</t>
        </is>
      </c>
      <c r="D3450" s="115" t="inlineStr">
        <is>
          <t>34 GUS 848</t>
        </is>
      </c>
      <c r="E3450" s="115" t="inlineStr">
        <is>
          <t>SERDAR BOZKURT</t>
        </is>
      </c>
      <c r="F3450" s="115" t="n">
        <v>262425</v>
      </c>
      <c r="G3450" s="156" t="n"/>
      <c r="H3450" s="152" t="n">
        <v>570</v>
      </c>
      <c r="I3450" s="156" t="n"/>
      <c r="J3450" s="90" t="n"/>
      <c r="K3450" s="166" t="n"/>
      <c r="L3450" s="158" t="n"/>
      <c r="M3450" s="159" t="n"/>
    </row>
    <row r="3451">
      <c r="A3451" s="114" t="n">
        <v>46226</v>
      </c>
      <c r="B3451" s="115" t="n">
        <v>134</v>
      </c>
      <c r="C3451" s="115" t="inlineStr">
        <is>
          <t>SELİM İNŞAAT</t>
        </is>
      </c>
      <c r="D3451" s="115" t="inlineStr">
        <is>
          <t>34 GUS 848</t>
        </is>
      </c>
      <c r="E3451" s="115" t="inlineStr">
        <is>
          <t>SERDAR BOZKURT</t>
        </is>
      </c>
      <c r="F3451" s="115" t="n">
        <v>263167</v>
      </c>
      <c r="G3451" s="156" t="n"/>
      <c r="H3451" s="152" t="n">
        <v>590</v>
      </c>
      <c r="I3451" s="156" t="n"/>
      <c r="J3451" s="90" t="n"/>
      <c r="K3451" s="166" t="n"/>
      <c r="L3451" s="158" t="n"/>
      <c r="M3451" s="159" t="n"/>
    </row>
    <row r="3452">
      <c r="A3452" s="114" t="n">
        <v>46231</v>
      </c>
      <c r="B3452" s="115" t="n">
        <v>135</v>
      </c>
      <c r="C3452" s="115" t="inlineStr">
        <is>
          <t>SELİM İNŞAAT</t>
        </is>
      </c>
      <c r="D3452" s="115" t="inlineStr">
        <is>
          <t>34 GUS 848</t>
        </is>
      </c>
      <c r="E3452" s="115" t="inlineStr">
        <is>
          <t>SERDAR BOZKURT</t>
        </is>
      </c>
      <c r="F3452" s="115" t="n">
        <v>263704</v>
      </c>
      <c r="G3452" s="156" t="n"/>
      <c r="H3452" s="152" t="n">
        <v>470</v>
      </c>
      <c r="I3452" s="156" t="n"/>
      <c r="J3452" s="90" t="n"/>
      <c r="K3452" s="166" t="n"/>
      <c r="L3452" s="158" t="n"/>
      <c r="M3452" s="159" t="n"/>
    </row>
    <row r="3453">
      <c r="A3453" s="114" t="n">
        <v>46234</v>
      </c>
      <c r="B3453" s="115" t="n">
        <v>136</v>
      </c>
      <c r="C3453" s="115" t="inlineStr">
        <is>
          <t>SELİM İNŞAAT</t>
        </is>
      </c>
      <c r="D3453" s="115" t="inlineStr">
        <is>
          <t>34 GUS 848</t>
        </is>
      </c>
      <c r="E3453" s="115" t="inlineStr">
        <is>
          <t>SERDAR BOZKURT</t>
        </is>
      </c>
      <c r="F3453" s="115" t="n">
        <v>264484</v>
      </c>
      <c r="G3453" s="156" t="n"/>
      <c r="H3453" s="152" t="n">
        <v>586</v>
      </c>
      <c r="I3453" s="156" t="n"/>
      <c r="J3453" s="90" t="n"/>
      <c r="K3453" s="166" t="n"/>
      <c r="L3453" s="158" t="n"/>
      <c r="M3453" s="159" t="n"/>
    </row>
    <row r="3454">
      <c r="A3454" s="114" t="n">
        <v>46221</v>
      </c>
      <c r="B3454" s="115" t="n">
        <v>881</v>
      </c>
      <c r="C3454" s="115" t="inlineStr">
        <is>
          <t>SELİM İNŞAAT</t>
        </is>
      </c>
      <c r="D3454" s="115" t="inlineStr">
        <is>
          <t>34 EGR 922</t>
        </is>
      </c>
      <c r="E3454" s="115" t="inlineStr">
        <is>
          <t>FARUK ÖZEN</t>
        </is>
      </c>
      <c r="F3454" s="115" t="n">
        <v>527190</v>
      </c>
      <c r="G3454" s="156" t="n"/>
      <c r="H3454" s="152" t="n">
        <v>438</v>
      </c>
      <c r="I3454" s="156" t="n"/>
      <c r="J3454" s="90" t="n"/>
      <c r="K3454" s="166" t="n"/>
      <c r="L3454" s="158" t="n"/>
      <c r="M3454" s="159" t="n"/>
    </row>
    <row r="3455">
      <c r="A3455" s="114" t="n">
        <v>46223</v>
      </c>
      <c r="B3455" s="115" t="n">
        <v>882</v>
      </c>
      <c r="C3455" s="115" t="inlineStr">
        <is>
          <t>SELİM İNŞAAT</t>
        </is>
      </c>
      <c r="D3455" s="115" t="inlineStr">
        <is>
          <t>34 EGR 922</t>
        </is>
      </c>
      <c r="E3455" s="115" t="inlineStr">
        <is>
          <t>FARUK ÖZEN</t>
        </is>
      </c>
      <c r="F3455" s="115" t="n">
        <v>528050</v>
      </c>
      <c r="G3455" s="156" t="n"/>
      <c r="H3455" s="152" t="n">
        <v>492</v>
      </c>
      <c r="I3455" s="156" t="n"/>
      <c r="J3455" s="90" t="n"/>
      <c r="K3455" s="166" t="n"/>
      <c r="L3455" s="158" t="n"/>
      <c r="M3455" s="159" t="n"/>
    </row>
    <row r="3456">
      <c r="A3456" s="114" t="n">
        <v>46227</v>
      </c>
      <c r="B3456" s="115" t="n">
        <v>883</v>
      </c>
      <c r="C3456" s="115" t="inlineStr">
        <is>
          <t>SELİM İNŞAAT</t>
        </is>
      </c>
      <c r="D3456" s="115" t="inlineStr">
        <is>
          <t>34 EGR 922</t>
        </is>
      </c>
      <c r="E3456" s="115" t="inlineStr">
        <is>
          <t>FARUK ÖZEN</t>
        </is>
      </c>
      <c r="F3456" s="115" t="n">
        <v>528785</v>
      </c>
      <c r="G3456" s="156" t="n"/>
      <c r="H3456" s="152" t="n">
        <v>484</v>
      </c>
      <c r="I3456" s="156" t="n"/>
      <c r="J3456" s="90" t="n"/>
      <c r="K3456" s="166" t="n"/>
      <c r="L3456" s="158" t="n"/>
      <c r="M3456" s="159" t="n"/>
    </row>
    <row r="3457">
      <c r="A3457" s="114" t="n">
        <v>46232</v>
      </c>
      <c r="B3457" s="115" t="n">
        <v>884</v>
      </c>
      <c r="C3457" s="115" t="inlineStr">
        <is>
          <t>SELİM İNŞAAT</t>
        </is>
      </c>
      <c r="D3457" s="115" t="inlineStr">
        <is>
          <t>34 EGR 922</t>
        </is>
      </c>
      <c r="E3457" s="115" t="inlineStr">
        <is>
          <t>FARUK ÖZEN</t>
        </is>
      </c>
      <c r="F3457" s="115" t="n">
        <v>529668</v>
      </c>
      <c r="G3457" s="156" t="n"/>
      <c r="H3457" s="152" t="n">
        <v>508</v>
      </c>
      <c r="I3457" s="156" t="n"/>
      <c r="J3457" s="90" t="n"/>
      <c r="K3457" s="166" t="n"/>
      <c r="L3457" s="158" t="n"/>
      <c r="M3457" s="159" t="n"/>
    </row>
    <row r="3458">
      <c r="A3458" s="114" t="n">
        <v>46234</v>
      </c>
      <c r="B3458" s="115" t="n">
        <v>885</v>
      </c>
      <c r="C3458" s="115" t="inlineStr">
        <is>
          <t>SELİM İNŞAAT</t>
        </is>
      </c>
      <c r="D3458" s="115" t="inlineStr">
        <is>
          <t>34 EGR 922</t>
        </is>
      </c>
      <c r="E3458" s="115" t="inlineStr">
        <is>
          <t>FARUK ÖZEN</t>
        </is>
      </c>
      <c r="F3458" s="115" t="n">
        <v>530668</v>
      </c>
      <c r="G3458" s="156" t="n"/>
      <c r="H3458" s="152" t="n">
        <v>570</v>
      </c>
      <c r="I3458" s="156" t="n"/>
      <c r="J3458" s="90" t="n"/>
      <c r="K3458" s="166" t="n"/>
      <c r="L3458" s="158" t="n"/>
      <c r="M3458" s="159" t="n"/>
    </row>
    <row r="3459">
      <c r="A3459" s="114" t="n">
        <v>46220</v>
      </c>
      <c r="B3459" s="115" t="n">
        <v>218</v>
      </c>
      <c r="C3459" s="115" t="inlineStr">
        <is>
          <t>SELİM İNŞAAT</t>
        </is>
      </c>
      <c r="D3459" s="115" t="inlineStr">
        <is>
          <t>34 DSN 536</t>
        </is>
      </c>
      <c r="E3459" s="115" t="inlineStr">
        <is>
          <t>MEVLÜT POLAT</t>
        </is>
      </c>
      <c r="F3459" s="115" t="n">
        <v>453784</v>
      </c>
      <c r="G3459" s="156" t="n"/>
      <c r="H3459" s="152" t="n">
        <v>537</v>
      </c>
      <c r="I3459" s="156" t="n"/>
      <c r="J3459" s="90" t="n"/>
      <c r="K3459" s="166" t="n"/>
      <c r="L3459" s="158" t="n"/>
      <c r="M3459" s="159" t="n"/>
    </row>
    <row r="3460">
      <c r="A3460" s="114" t="n">
        <v>46223</v>
      </c>
      <c r="B3460" s="115" t="n">
        <v>219</v>
      </c>
      <c r="C3460" s="115" t="inlineStr">
        <is>
          <t>SELİM İNŞAAT</t>
        </is>
      </c>
      <c r="D3460" s="115" t="inlineStr">
        <is>
          <t>34 DSN 536</t>
        </is>
      </c>
      <c r="E3460" s="115" t="inlineStr">
        <is>
          <t>MEVLÜT POLAT</t>
        </is>
      </c>
      <c r="F3460" s="115" t="n">
        <v>454391</v>
      </c>
      <c r="G3460" s="156" t="n"/>
      <c r="H3460" s="152" t="n">
        <v>497</v>
      </c>
      <c r="I3460" s="156" t="n"/>
      <c r="J3460" s="90" t="n"/>
      <c r="K3460" s="166" t="n"/>
      <c r="L3460" s="158" t="n"/>
      <c r="M3460" s="159" t="n"/>
    </row>
    <row r="3461">
      <c r="A3461" s="114" t="n">
        <v>46225</v>
      </c>
      <c r="B3461" s="115" t="n">
        <v>220</v>
      </c>
      <c r="C3461" s="115" t="inlineStr">
        <is>
          <t>SELİM İNŞAAT</t>
        </is>
      </c>
      <c r="D3461" s="115" t="inlineStr">
        <is>
          <t>34 DSN 536</t>
        </is>
      </c>
      <c r="E3461" s="115" t="inlineStr">
        <is>
          <t>MEVLÜT POLAT</t>
        </is>
      </c>
      <c r="F3461" s="115" t="n">
        <v>455217</v>
      </c>
      <c r="G3461" s="156" t="n"/>
      <c r="H3461" s="152" t="n">
        <v>580</v>
      </c>
      <c r="I3461" s="156" t="n"/>
      <c r="J3461" s="90" t="n"/>
      <c r="K3461" s="166" t="n"/>
      <c r="L3461" s="158" t="n"/>
      <c r="M3461" s="159" t="n"/>
    </row>
    <row r="3462">
      <c r="A3462" s="114" t="n">
        <v>46219</v>
      </c>
      <c r="B3462" s="115" t="n">
        <v>3468</v>
      </c>
      <c r="C3462" s="115" t="inlineStr">
        <is>
          <t>SELİM İNŞAAT</t>
        </is>
      </c>
      <c r="D3462" s="115" t="inlineStr">
        <is>
          <t>34 GVZ 310</t>
        </is>
      </c>
      <c r="E3462" s="115" t="inlineStr">
        <is>
          <t>CELAL YÜZBAŞI</t>
        </is>
      </c>
      <c r="F3462" s="115" t="n">
        <v>273880</v>
      </c>
      <c r="G3462" s="156" t="n"/>
      <c r="H3462" s="152" t="n">
        <v>505</v>
      </c>
      <c r="I3462" s="156" t="n"/>
      <c r="J3462" s="90" t="n"/>
      <c r="K3462" s="166" t="n"/>
      <c r="L3462" s="158" t="n"/>
      <c r="M3462" s="159" t="n"/>
    </row>
    <row r="3463">
      <c r="A3463" s="114" t="n">
        <v>46221</v>
      </c>
      <c r="B3463" s="115" t="n">
        <v>3469</v>
      </c>
      <c r="C3463" s="115" t="inlineStr">
        <is>
          <t>SELİM İNŞAAT</t>
        </is>
      </c>
      <c r="D3463" s="115" t="inlineStr">
        <is>
          <t>34 GVZ 310</t>
        </is>
      </c>
      <c r="E3463" s="115" t="inlineStr">
        <is>
          <t>CELAL YÜZBAŞI</t>
        </is>
      </c>
      <c r="F3463" s="115" t="n">
        <v>274799</v>
      </c>
      <c r="G3463" s="156" t="n"/>
      <c r="H3463" s="152" t="n">
        <v>526</v>
      </c>
      <c r="I3463" s="156" t="n"/>
      <c r="J3463" s="90" t="n"/>
      <c r="K3463" s="166" t="n"/>
      <c r="L3463" s="158" t="n"/>
      <c r="M3463" s="159" t="n"/>
    </row>
    <row r="3464">
      <c r="A3464" s="114" t="n">
        <v>46224</v>
      </c>
      <c r="B3464" s="115" t="n">
        <v>3470</v>
      </c>
      <c r="C3464" s="115" t="inlineStr">
        <is>
          <t>SELİM İNŞAAT</t>
        </is>
      </c>
      <c r="D3464" s="115" t="inlineStr">
        <is>
          <t>34 GVZ 310</t>
        </is>
      </c>
      <c r="E3464" s="115" t="inlineStr">
        <is>
          <t>CELAL YÜZBAŞI</t>
        </is>
      </c>
      <c r="F3464" s="115" t="n">
        <v>275576</v>
      </c>
      <c r="G3464" s="156" t="n"/>
      <c r="H3464" s="152" t="n">
        <v>433</v>
      </c>
      <c r="I3464" s="156" t="n"/>
      <c r="J3464" s="90" t="n"/>
      <c r="K3464" s="166" t="n"/>
      <c r="L3464" s="158" t="n"/>
      <c r="M3464" s="159" t="n"/>
    </row>
    <row r="3465">
      <c r="A3465" s="114" t="n">
        <v>46226</v>
      </c>
      <c r="B3465" s="115" t="n">
        <v>3471</v>
      </c>
      <c r="C3465" s="115" t="inlineStr">
        <is>
          <t>SELİM İNŞAAT</t>
        </is>
      </c>
      <c r="D3465" s="115" t="inlineStr">
        <is>
          <t>34 GVZ 310</t>
        </is>
      </c>
      <c r="E3465" s="115" t="inlineStr">
        <is>
          <t>CELAL YÜZBAŞI</t>
        </is>
      </c>
      <c r="F3465" s="115" t="n">
        <v>276143</v>
      </c>
      <c r="G3465" s="156" t="n"/>
      <c r="H3465" s="152" t="n">
        <v>410</v>
      </c>
      <c r="I3465" s="156" t="n"/>
      <c r="J3465" s="90" t="n"/>
      <c r="K3465" s="166" t="n"/>
      <c r="L3465" s="158" t="n"/>
      <c r="M3465" s="159" t="n"/>
    </row>
    <row r="3466">
      <c r="A3466" s="114" t="n">
        <v>46231</v>
      </c>
      <c r="B3466" s="115" t="n">
        <v>3472</v>
      </c>
      <c r="C3466" s="115" t="inlineStr">
        <is>
          <t>SELİM İNŞAAT</t>
        </is>
      </c>
      <c r="D3466" s="115" t="inlineStr">
        <is>
          <t>34 GVZ 310</t>
        </is>
      </c>
      <c r="E3466" s="115" t="inlineStr">
        <is>
          <t>CELAL YÜZBAŞI</t>
        </is>
      </c>
      <c r="F3466" s="115" t="n">
        <v>276916</v>
      </c>
      <c r="G3466" s="156" t="n"/>
      <c r="H3466" s="152" t="n">
        <v>430</v>
      </c>
      <c r="I3466" s="156" t="n"/>
      <c r="J3466" s="90" t="n"/>
      <c r="K3466" s="166" t="n"/>
      <c r="L3466" s="158" t="n"/>
      <c r="M3466" s="159" t="n"/>
    </row>
    <row r="3467">
      <c r="A3467" s="114" t="n">
        <v>46233</v>
      </c>
      <c r="B3467" s="115" t="n">
        <v>3473</v>
      </c>
      <c r="C3467" s="115" t="inlineStr">
        <is>
          <t>SELİM İNŞAAT</t>
        </is>
      </c>
      <c r="D3467" s="115" t="inlineStr">
        <is>
          <t>34 GVZ 310</t>
        </is>
      </c>
      <c r="E3467" s="115" t="inlineStr">
        <is>
          <t>CELAL YÜZBAŞI</t>
        </is>
      </c>
      <c r="F3467" s="115" t="n">
        <v>277743</v>
      </c>
      <c r="G3467" s="156" t="n"/>
      <c r="H3467" s="152" t="n">
        <v>480</v>
      </c>
      <c r="I3467" s="156" t="n"/>
      <c r="J3467" s="90" t="n"/>
      <c r="K3467" s="166" t="n"/>
      <c r="L3467" s="158" t="n"/>
      <c r="M3467" s="159" t="n"/>
    </row>
    <row r="3468">
      <c r="A3468" s="114" t="n">
        <v>46234</v>
      </c>
      <c r="B3468" s="115" t="n">
        <v>3474</v>
      </c>
      <c r="C3468" s="115" t="inlineStr">
        <is>
          <t>SELİM İNŞAAT</t>
        </is>
      </c>
      <c r="D3468" s="115" t="inlineStr">
        <is>
          <t>34 GVZ 310</t>
        </is>
      </c>
      <c r="E3468" s="115" t="inlineStr">
        <is>
          <t>CELAL YÜZBAŞI</t>
        </is>
      </c>
      <c r="F3468" s="115" t="n">
        <v>278355</v>
      </c>
      <c r="G3468" s="156" t="n"/>
      <c r="H3468" s="152" t="n">
        <v>380</v>
      </c>
      <c r="I3468" s="156" t="n"/>
      <c r="J3468" s="90" t="n"/>
      <c r="K3468" s="166" t="n"/>
      <c r="L3468" s="158" t="n"/>
      <c r="M3468" s="159" t="n"/>
    </row>
    <row r="3469">
      <c r="A3469" s="114" t="n">
        <v>46219</v>
      </c>
      <c r="B3469" s="115" t="n">
        <v>2378</v>
      </c>
      <c r="C3469" s="115" t="inlineStr">
        <is>
          <t>SELİM İNŞAAT</t>
        </is>
      </c>
      <c r="D3469" s="115" t="inlineStr">
        <is>
          <t>34 GUS 938</t>
        </is>
      </c>
      <c r="E3469" s="115" t="inlineStr">
        <is>
          <t>MEHMET KAYA</t>
        </is>
      </c>
      <c r="F3469" s="115" t="n">
        <v>275907</v>
      </c>
      <c r="G3469" s="156" t="n"/>
      <c r="H3469" s="152" t="n">
        <v>237</v>
      </c>
      <c r="I3469" s="156" t="n"/>
      <c r="J3469" s="90" t="n"/>
      <c r="K3469" s="166" t="n"/>
      <c r="L3469" s="158" t="n"/>
      <c r="M3469" s="159" t="n"/>
    </row>
    <row r="3470">
      <c r="A3470" s="114" t="n">
        <v>46222</v>
      </c>
      <c r="B3470" s="115" t="n">
        <v>2379</v>
      </c>
      <c r="C3470" s="115" t="inlineStr">
        <is>
          <t>SELİM İNŞAAT</t>
        </is>
      </c>
      <c r="D3470" s="115" t="inlineStr">
        <is>
          <t>34 GUS 938</t>
        </is>
      </c>
      <c r="E3470" s="115" t="inlineStr">
        <is>
          <t>MEHMET KAYA</t>
        </is>
      </c>
      <c r="F3470" s="115" t="n">
        <v>276833</v>
      </c>
      <c r="G3470" s="156" t="n"/>
      <c r="H3470" s="152" t="n">
        <v>523</v>
      </c>
      <c r="I3470" s="156" t="n"/>
      <c r="J3470" s="90" t="n"/>
      <c r="K3470" s="166" t="n"/>
      <c r="L3470" s="158" t="n"/>
      <c r="M3470" s="159" t="n"/>
    </row>
    <row r="3471">
      <c r="A3471" s="114" t="n">
        <v>46223</v>
      </c>
      <c r="B3471" s="115" t="n">
        <v>2380</v>
      </c>
      <c r="C3471" s="115" t="inlineStr">
        <is>
          <t>SELİM İNŞAAT</t>
        </is>
      </c>
      <c r="D3471" s="115" t="inlineStr">
        <is>
          <t>34 GUS 938</t>
        </is>
      </c>
      <c r="E3471" s="115" t="inlineStr">
        <is>
          <t>MEHMET KAYA</t>
        </is>
      </c>
      <c r="F3471" s="115" t="n">
        <v>277691</v>
      </c>
      <c r="G3471" s="156" t="n"/>
      <c r="H3471" s="152" t="n">
        <v>481</v>
      </c>
      <c r="I3471" s="156" t="n"/>
      <c r="J3471" s="90" t="n"/>
      <c r="K3471" s="166" t="n"/>
      <c r="L3471" s="158" t="n"/>
      <c r="M3471" s="159" t="n"/>
    </row>
    <row r="3472">
      <c r="A3472" s="114" t="n">
        <v>46225</v>
      </c>
      <c r="B3472" s="115" t="n">
        <v>2381</v>
      </c>
      <c r="C3472" s="115" t="inlineStr">
        <is>
          <t>SELİM İNŞAAT</t>
        </is>
      </c>
      <c r="D3472" s="115" t="inlineStr">
        <is>
          <t>34 GUS 938</t>
        </is>
      </c>
      <c r="E3472" s="115" t="inlineStr">
        <is>
          <t>MEHMET KAYA</t>
        </is>
      </c>
      <c r="F3472" s="115" t="n">
        <v>278423</v>
      </c>
      <c r="G3472" s="156" t="n"/>
      <c r="H3472" s="152" t="n">
        <v>443</v>
      </c>
      <c r="I3472" s="156" t="n"/>
      <c r="J3472" s="90" t="n"/>
      <c r="K3472" s="166" t="n"/>
      <c r="L3472" s="158" t="n"/>
      <c r="M3472" s="159" t="n"/>
    </row>
    <row r="3473">
      <c r="A3473" s="114" t="n">
        <v>46227</v>
      </c>
      <c r="B3473" s="115" t="n">
        <v>2382</v>
      </c>
      <c r="C3473" s="115" t="inlineStr">
        <is>
          <t>SELİM İNŞAAT</t>
        </is>
      </c>
      <c r="D3473" s="115" t="inlineStr">
        <is>
          <t>34 GUS 938</t>
        </is>
      </c>
      <c r="E3473" s="115" t="inlineStr">
        <is>
          <t>MEHMET KAYA</t>
        </is>
      </c>
      <c r="F3473" s="115" t="n">
        <v>279205</v>
      </c>
      <c r="G3473" s="156" t="n"/>
      <c r="H3473" s="152" t="n">
        <v>480</v>
      </c>
      <c r="I3473" s="156" t="n"/>
      <c r="J3473" s="90" t="n"/>
      <c r="K3473" s="166" t="n"/>
      <c r="L3473" s="158" t="n"/>
      <c r="M3473" s="159" t="n"/>
    </row>
    <row r="3474">
      <c r="A3474" s="114" t="n">
        <v>46232</v>
      </c>
      <c r="B3474" s="115" t="n">
        <v>2383</v>
      </c>
      <c r="C3474" s="115" t="inlineStr">
        <is>
          <t>SELİM İNŞAAT</t>
        </is>
      </c>
      <c r="D3474" s="115" t="inlineStr">
        <is>
          <t>34 GUS 938</t>
        </is>
      </c>
      <c r="E3474" s="115" t="inlineStr">
        <is>
          <t>MEHMET KAYA</t>
        </is>
      </c>
      <c r="F3474" s="115" t="n">
        <v>279994</v>
      </c>
      <c r="G3474" s="156" t="n"/>
      <c r="H3474" s="152" t="n">
        <v>458</v>
      </c>
      <c r="I3474" s="156" t="n"/>
      <c r="J3474" s="90" t="n"/>
      <c r="K3474" s="166" t="n"/>
      <c r="L3474" s="158" t="n"/>
      <c r="M3474" s="159" t="n"/>
    </row>
    <row r="3475">
      <c r="A3475" s="114" t="n">
        <v>46233</v>
      </c>
      <c r="B3475" s="115" t="n">
        <v>2384</v>
      </c>
      <c r="C3475" s="115" t="inlineStr">
        <is>
          <t>SELİM İNŞAAT</t>
        </is>
      </c>
      <c r="D3475" s="115" t="inlineStr">
        <is>
          <t>34 GUS 938</t>
        </is>
      </c>
      <c r="E3475" s="115" t="inlineStr">
        <is>
          <t>MEHMET KAYA</t>
        </is>
      </c>
      <c r="F3475" s="115" t="n">
        <v>280614</v>
      </c>
      <c r="G3475" s="156" t="n"/>
      <c r="H3475" s="152" t="n">
        <v>375</v>
      </c>
      <c r="I3475" s="156" t="n"/>
      <c r="J3475" s="90" t="n"/>
      <c r="K3475" s="166" t="n"/>
      <c r="L3475" s="158" t="n"/>
      <c r="M3475" s="159" t="n"/>
    </row>
    <row r="3476">
      <c r="A3476" s="114" t="n">
        <v>46234</v>
      </c>
      <c r="B3476" s="115" t="n">
        <v>2385</v>
      </c>
      <c r="C3476" s="115" t="inlineStr">
        <is>
          <t>SELİM İNŞAAT</t>
        </is>
      </c>
      <c r="D3476" s="115" t="inlineStr">
        <is>
          <t>34 GUS 938</t>
        </is>
      </c>
      <c r="E3476" s="115" t="inlineStr">
        <is>
          <t>MEHMET KAYA</t>
        </is>
      </c>
      <c r="F3476" s="115" t="n">
        <v>281043</v>
      </c>
      <c r="G3476" s="156" t="n"/>
      <c r="H3476" s="152" t="n">
        <v>305</v>
      </c>
      <c r="I3476" s="156" t="n"/>
      <c r="J3476" s="90" t="n"/>
      <c r="K3476" s="166" t="n"/>
      <c r="L3476" s="158" t="n"/>
      <c r="M3476" s="159" t="n"/>
    </row>
    <row r="3477">
      <c r="A3477" s="114" t="n">
        <v>46219</v>
      </c>
      <c r="B3477" s="115" t="n">
        <v>3024</v>
      </c>
      <c r="C3477" s="115" t="inlineStr">
        <is>
          <t>SELİM İNŞAAT</t>
        </is>
      </c>
      <c r="D3477" s="115" t="inlineStr">
        <is>
          <t>34 GVZ 745</t>
        </is>
      </c>
      <c r="E3477" s="115" t="inlineStr">
        <is>
          <t>MURAT DEMİRBAŞ</t>
        </is>
      </c>
      <c r="F3477" s="115" t="n">
        <v>279287</v>
      </c>
      <c r="G3477" s="156" t="n"/>
      <c r="H3477" s="152" t="n">
        <v>348</v>
      </c>
      <c r="I3477" s="156" t="n"/>
      <c r="J3477" s="90" t="n"/>
      <c r="K3477" s="166" t="n"/>
      <c r="L3477" s="158" t="n"/>
      <c r="M3477" s="159" t="n"/>
    </row>
    <row r="3478">
      <c r="A3478" s="114" t="n">
        <v>46221</v>
      </c>
      <c r="B3478" s="115" t="n">
        <v>3025</v>
      </c>
      <c r="C3478" s="115" t="inlineStr">
        <is>
          <t>SELİM İNŞAAT</t>
        </is>
      </c>
      <c r="D3478" s="115" t="inlineStr">
        <is>
          <t>34 GVZ 745</t>
        </is>
      </c>
      <c r="E3478" s="115" t="inlineStr">
        <is>
          <t>MURAT DEMİRBAŞ</t>
        </is>
      </c>
      <c r="F3478" s="115" t="n">
        <v>279948</v>
      </c>
      <c r="G3478" s="156" t="n"/>
      <c r="H3478" s="152" t="n">
        <v>409</v>
      </c>
      <c r="I3478" s="156" t="n"/>
      <c r="J3478" s="90" t="n"/>
      <c r="K3478" s="166" t="n"/>
      <c r="L3478" s="158" t="n"/>
      <c r="M3478" s="159" t="n"/>
    </row>
    <row r="3479">
      <c r="A3479" s="114" t="n">
        <v>46223</v>
      </c>
      <c r="B3479" s="115" t="n">
        <v>3026</v>
      </c>
      <c r="C3479" s="115" t="inlineStr">
        <is>
          <t>SELİM İNŞAAT</t>
        </is>
      </c>
      <c r="D3479" s="115" t="inlineStr">
        <is>
          <t>34 GVZ 745</t>
        </is>
      </c>
      <c r="E3479" s="115" t="inlineStr">
        <is>
          <t>MURAT DEMİRBAŞ</t>
        </is>
      </c>
      <c r="F3479" s="115" t="n">
        <v>280447</v>
      </c>
      <c r="G3479" s="156" t="n"/>
      <c r="H3479" s="152" t="n">
        <v>368</v>
      </c>
      <c r="I3479" s="156" t="n"/>
      <c r="J3479" s="90" t="n"/>
      <c r="K3479" s="166" t="n"/>
      <c r="L3479" s="158" t="n"/>
      <c r="M3479" s="159" t="n"/>
    </row>
    <row r="3480">
      <c r="A3480" s="114" t="n">
        <v>46224</v>
      </c>
      <c r="B3480" s="115" t="n">
        <v>3027</v>
      </c>
      <c r="C3480" s="115" t="inlineStr">
        <is>
          <t>SELİM İNŞAAT</t>
        </is>
      </c>
      <c r="D3480" s="115" t="inlineStr">
        <is>
          <t>34 GVZ 745</t>
        </is>
      </c>
      <c r="E3480" s="115" t="inlineStr">
        <is>
          <t>MURAT DEMİRBAŞ</t>
        </is>
      </c>
      <c r="F3480" s="115" t="n">
        <v>281047</v>
      </c>
      <c r="G3480" s="156" t="n"/>
      <c r="H3480" s="152" t="n">
        <v>346</v>
      </c>
      <c r="I3480" s="156" t="n"/>
      <c r="J3480" s="90" t="n"/>
      <c r="K3480" s="166" t="n"/>
      <c r="L3480" s="158" t="n"/>
      <c r="M3480" s="159" t="n"/>
    </row>
    <row r="3481">
      <c r="A3481" s="114" t="n">
        <v>46225</v>
      </c>
      <c r="B3481" s="115" t="n">
        <v>3028</v>
      </c>
      <c r="C3481" s="115" t="inlineStr">
        <is>
          <t>SELİM İNŞAAT</t>
        </is>
      </c>
      <c r="D3481" s="115" t="inlineStr">
        <is>
          <t>34 GVZ 745</t>
        </is>
      </c>
      <c r="E3481" s="115" t="inlineStr">
        <is>
          <t>MURAT DEMİRBAŞ</t>
        </is>
      </c>
      <c r="F3481" s="115" t="n">
        <v>281637</v>
      </c>
      <c r="G3481" s="156" t="n"/>
      <c r="H3481" s="152" t="n">
        <v>380</v>
      </c>
      <c r="I3481" s="156" t="n"/>
      <c r="J3481" s="90" t="n"/>
      <c r="K3481" s="166" t="n"/>
      <c r="L3481" s="158" t="n"/>
      <c r="M3481" s="159" t="n"/>
    </row>
    <row r="3482">
      <c r="A3482" s="114" t="n">
        <v>46227</v>
      </c>
      <c r="B3482" s="115" t="n">
        <v>3029</v>
      </c>
      <c r="C3482" s="115" t="inlineStr">
        <is>
          <t>SELİM İNŞAAT</t>
        </is>
      </c>
      <c r="D3482" s="115" t="inlineStr">
        <is>
          <t>34 GVZ 745</t>
        </is>
      </c>
      <c r="E3482" s="115" t="inlineStr">
        <is>
          <t>MURAT DEMİRBAŞ</t>
        </is>
      </c>
      <c r="F3482" s="115" t="n">
        <v>282393</v>
      </c>
      <c r="G3482" s="156" t="n"/>
      <c r="H3482" s="152" t="n">
        <v>486</v>
      </c>
      <c r="I3482" s="156" t="n"/>
      <c r="J3482" s="90" t="n"/>
      <c r="K3482" s="166" t="n"/>
      <c r="L3482" s="158" t="n"/>
      <c r="M3482" s="159" t="n"/>
    </row>
    <row r="3483">
      <c r="A3483" s="114" t="n">
        <v>46231</v>
      </c>
      <c r="B3483" s="115" t="n">
        <v>3030</v>
      </c>
      <c r="C3483" s="115" t="inlineStr">
        <is>
          <t>SELİM İNŞAAT</t>
        </is>
      </c>
      <c r="D3483" s="115" t="inlineStr">
        <is>
          <t>34 GVZ 745</t>
        </is>
      </c>
      <c r="E3483" s="115" t="inlineStr">
        <is>
          <t>MURAT DEMİRBAŞ</t>
        </is>
      </c>
      <c r="F3483" s="115" t="n">
        <v>283184</v>
      </c>
      <c r="G3483" s="156" t="n"/>
      <c r="H3483" s="152" t="n">
        <v>495</v>
      </c>
      <c r="I3483" s="156" t="n"/>
      <c r="J3483" s="90" t="n"/>
      <c r="K3483" s="166" t="n"/>
      <c r="L3483" s="158" t="n"/>
      <c r="M3483" s="159" t="n"/>
    </row>
    <row r="3484">
      <c r="A3484" s="114" t="n">
        <v>46232</v>
      </c>
      <c r="B3484" s="115" t="n">
        <v>3031</v>
      </c>
      <c r="C3484" s="115" t="inlineStr">
        <is>
          <t>SELİM İNŞAAT</t>
        </is>
      </c>
      <c r="D3484" s="115" t="inlineStr">
        <is>
          <t>34 GVZ 745</t>
        </is>
      </c>
      <c r="E3484" s="115" t="inlineStr">
        <is>
          <t>MURAT DEMİRBAŞ</t>
        </is>
      </c>
      <c r="F3484" s="115" t="n">
        <v>283830</v>
      </c>
      <c r="G3484" s="156" t="n"/>
      <c r="H3484" s="152" t="n">
        <v>443</v>
      </c>
      <c r="I3484" s="156" t="n"/>
      <c r="J3484" s="90" t="n"/>
      <c r="K3484" s="166" t="n"/>
      <c r="L3484" s="158" t="n"/>
      <c r="M3484" s="159" t="n"/>
    </row>
    <row r="3485">
      <c r="A3485" s="114" t="n">
        <v>46234</v>
      </c>
      <c r="B3485" s="115" t="n">
        <v>3032</v>
      </c>
      <c r="C3485" s="115" t="inlineStr">
        <is>
          <t>SELİM İNŞAAT</t>
        </is>
      </c>
      <c r="D3485" s="115" t="inlineStr">
        <is>
          <t>34 GVZ 745</t>
        </is>
      </c>
      <c r="E3485" s="115" t="inlineStr">
        <is>
          <t>MURAT DEMİRBAŞ</t>
        </is>
      </c>
      <c r="F3485" s="115" t="n">
        <v>284737</v>
      </c>
      <c r="G3485" s="156" t="n"/>
      <c r="H3485" s="152" t="n">
        <v>560</v>
      </c>
      <c r="I3485" s="156" t="n"/>
      <c r="J3485" s="90" t="n"/>
      <c r="K3485" s="166" t="n"/>
      <c r="L3485" s="158" t="n"/>
      <c r="M3485" s="159" t="n"/>
    </row>
    <row r="3486">
      <c r="A3486" s="114" t="n">
        <v>46224</v>
      </c>
      <c r="B3486" s="115" t="n">
        <v>984</v>
      </c>
      <c r="C3486" s="115" t="inlineStr">
        <is>
          <t>SELİM İNŞAAT</t>
        </is>
      </c>
      <c r="D3486" s="115" t="inlineStr">
        <is>
          <t>34 DSN 636</t>
        </is>
      </c>
      <c r="E3486" s="115" t="inlineStr">
        <is>
          <t>MEHMET ALİ</t>
        </is>
      </c>
      <c r="F3486" s="115" t="n">
        <v>455043</v>
      </c>
      <c r="G3486" s="156" t="n"/>
      <c r="H3486" s="152" t="n">
        <v>446</v>
      </c>
      <c r="I3486" s="156" t="n"/>
      <c r="J3486" s="90" t="n"/>
      <c r="K3486" s="166" t="n"/>
      <c r="L3486" s="158" t="n"/>
      <c r="M3486" s="159" t="n"/>
    </row>
    <row r="3487">
      <c r="A3487" s="114" t="n">
        <v>46225</v>
      </c>
      <c r="B3487" s="115" t="n">
        <v>985</v>
      </c>
      <c r="C3487" s="115" t="inlineStr">
        <is>
          <t>SELİM İNŞAAT</t>
        </is>
      </c>
      <c r="D3487" s="115" t="inlineStr">
        <is>
          <t>34 DSN 636</t>
        </is>
      </c>
      <c r="E3487" s="115" t="inlineStr">
        <is>
          <t>MEHMET ALİ</t>
        </is>
      </c>
      <c r="F3487" s="115" t="n">
        <v>455450</v>
      </c>
      <c r="G3487" s="156" t="n"/>
      <c r="H3487" s="152" t="n">
        <v>280</v>
      </c>
      <c r="I3487" s="156" t="n"/>
      <c r="J3487" s="90" t="n"/>
      <c r="K3487" s="166" t="n"/>
      <c r="L3487" s="158" t="n"/>
      <c r="M3487" s="159" t="n"/>
    </row>
    <row r="3488">
      <c r="A3488" s="114" t="n">
        <v>46227</v>
      </c>
      <c r="B3488" s="115" t="n">
        <v>986</v>
      </c>
      <c r="C3488" s="115" t="inlineStr">
        <is>
          <t>SELİM İNŞAAT</t>
        </is>
      </c>
      <c r="D3488" s="115" t="inlineStr">
        <is>
          <t>34 DSN 636</t>
        </is>
      </c>
      <c r="E3488" s="115" t="inlineStr">
        <is>
          <t>MEHMET ALİ</t>
        </is>
      </c>
      <c r="F3488" s="115" t="n">
        <v>456243</v>
      </c>
      <c r="G3488" s="156" t="n"/>
      <c r="H3488" s="152" t="n">
        <v>500</v>
      </c>
      <c r="I3488" s="156" t="n"/>
      <c r="J3488" s="90" t="n"/>
      <c r="K3488" s="166" t="n"/>
      <c r="L3488" s="158" t="n"/>
      <c r="M3488" s="159" t="n"/>
    </row>
    <row r="3489">
      <c r="A3489" s="114" t="n">
        <v>46232</v>
      </c>
      <c r="B3489" s="115" t="n">
        <v>987</v>
      </c>
      <c r="C3489" s="115" t="inlineStr">
        <is>
          <t>SELİM İNŞAAT</t>
        </is>
      </c>
      <c r="D3489" s="115" t="inlineStr">
        <is>
          <t>34 DSN 636</t>
        </is>
      </c>
      <c r="E3489" s="115" t="inlineStr">
        <is>
          <t>MEHMET ALİ</t>
        </is>
      </c>
      <c r="F3489" s="115" t="n">
        <v>457208</v>
      </c>
      <c r="G3489" s="156" t="n"/>
      <c r="H3489" s="152" t="n">
        <v>570</v>
      </c>
      <c r="I3489" s="156" t="n"/>
      <c r="J3489" s="90" t="n"/>
      <c r="K3489" s="166" t="n"/>
      <c r="L3489" s="158" t="n"/>
      <c r="M3489" s="159" t="n"/>
    </row>
    <row r="3490">
      <c r="A3490" s="114" t="n">
        <v>46233</v>
      </c>
      <c r="B3490" s="115" t="n">
        <v>988</v>
      </c>
      <c r="C3490" s="115" t="inlineStr">
        <is>
          <t>SELİM İNŞAAT</t>
        </is>
      </c>
      <c r="D3490" s="115" t="inlineStr">
        <is>
          <t>34 DSN 636</t>
        </is>
      </c>
      <c r="E3490" s="115" t="inlineStr">
        <is>
          <t>MEHMET ALİ</t>
        </is>
      </c>
      <c r="F3490" s="115" t="n">
        <v>457906</v>
      </c>
      <c r="G3490" s="156" t="n"/>
      <c r="H3490" s="152" t="n">
        <v>528</v>
      </c>
      <c r="I3490" s="156" t="n"/>
      <c r="J3490" s="90" t="n"/>
      <c r="K3490" s="166" t="n"/>
      <c r="L3490" s="158" t="n"/>
      <c r="M3490" s="159" t="n"/>
    </row>
    <row r="3491">
      <c r="A3491" s="114" t="n">
        <v>46234</v>
      </c>
      <c r="B3491" s="115" t="n">
        <v>989</v>
      </c>
      <c r="C3491" s="115" t="inlineStr">
        <is>
          <t>SELİM İNŞAAT</t>
        </is>
      </c>
      <c r="D3491" s="115" t="inlineStr">
        <is>
          <t>34 DSN 636</t>
        </is>
      </c>
      <c r="E3491" s="115" t="inlineStr">
        <is>
          <t>MEHMET ALİ</t>
        </is>
      </c>
      <c r="F3491" s="115" t="n">
        <v>458230</v>
      </c>
      <c r="G3491" s="156" t="n"/>
      <c r="H3491" s="152" t="n">
        <v>263</v>
      </c>
      <c r="I3491" s="156" t="n"/>
      <c r="J3491" s="90" t="n"/>
      <c r="K3491" s="166" t="n"/>
      <c r="L3491" s="158" t="n"/>
      <c r="M3491" s="159" t="n"/>
    </row>
    <row r="3492">
      <c r="A3492" s="114" t="n">
        <v>46220</v>
      </c>
      <c r="B3492" s="115" t="n">
        <v>4147</v>
      </c>
      <c r="C3492" s="115" t="inlineStr">
        <is>
          <t>SELİM İNŞAAT</t>
        </is>
      </c>
      <c r="D3492" s="115" t="inlineStr">
        <is>
          <t>34 EDB 659</t>
        </is>
      </c>
      <c r="E3492" s="115" t="inlineStr">
        <is>
          <t>MÜCAHİT BOZBEŞ</t>
        </is>
      </c>
      <c r="F3492" s="115" t="n">
        <v>411294</v>
      </c>
      <c r="G3492" s="156" t="n"/>
      <c r="H3492" s="152" t="n">
        <v>441</v>
      </c>
      <c r="I3492" s="156" t="n"/>
      <c r="J3492" s="90" t="n"/>
      <c r="K3492" s="166" t="n"/>
      <c r="L3492" s="158" t="n"/>
      <c r="M3492" s="159" t="n"/>
    </row>
    <row r="3493">
      <c r="A3493" s="114" t="n">
        <v>46221</v>
      </c>
      <c r="B3493" s="115" t="n">
        <v>4148</v>
      </c>
      <c r="C3493" s="115" t="inlineStr">
        <is>
          <t>SELİM İNŞAAT</t>
        </is>
      </c>
      <c r="D3493" s="115" t="inlineStr">
        <is>
          <t>34 EDB 659</t>
        </is>
      </c>
      <c r="E3493" s="115" t="inlineStr">
        <is>
          <t>MÜCAHİT BOZBEŞ</t>
        </is>
      </c>
      <c r="F3493" s="115" t="n">
        <v>411622</v>
      </c>
      <c r="G3493" s="156" t="n"/>
      <c r="H3493" s="152" t="n">
        <v>254</v>
      </c>
      <c r="I3493" s="156" t="n"/>
      <c r="J3493" s="90" t="n"/>
      <c r="K3493" s="166" t="n"/>
      <c r="L3493" s="158" t="n"/>
      <c r="M3493" s="159" t="n"/>
    </row>
    <row r="3494">
      <c r="A3494" s="114" t="n">
        <v>46223</v>
      </c>
      <c r="B3494" s="115" t="n">
        <v>4149</v>
      </c>
      <c r="C3494" s="115" t="inlineStr">
        <is>
          <t>SELİM İNŞAAT</t>
        </is>
      </c>
      <c r="D3494" s="115" t="inlineStr">
        <is>
          <t>34 EDB 659</t>
        </is>
      </c>
      <c r="E3494" s="115" t="inlineStr">
        <is>
          <t>MÜCAHİT BOZBEŞ</t>
        </is>
      </c>
      <c r="F3494" s="115" t="n">
        <v>412443</v>
      </c>
      <c r="G3494" s="156" t="n"/>
      <c r="H3494" s="152" t="n">
        <v>496</v>
      </c>
      <c r="I3494" s="156" t="n"/>
      <c r="J3494" s="90" t="n"/>
      <c r="K3494" s="166" t="n"/>
      <c r="L3494" s="158" t="n"/>
      <c r="M3494" s="159" t="n"/>
    </row>
    <row r="3495">
      <c r="A3495" s="114" t="n">
        <v>46225</v>
      </c>
      <c r="B3495" s="115" t="n">
        <v>4150</v>
      </c>
      <c r="C3495" s="115" t="inlineStr">
        <is>
          <t>SELİM İNŞAAT</t>
        </is>
      </c>
      <c r="D3495" s="115" t="inlineStr">
        <is>
          <t>34 EDB 659</t>
        </is>
      </c>
      <c r="E3495" s="115" t="inlineStr">
        <is>
          <t>MÜCAHİT BOZBEŞ</t>
        </is>
      </c>
      <c r="F3495" s="115" t="n">
        <v>413267</v>
      </c>
      <c r="G3495" s="156" t="n"/>
      <c r="H3495" s="152" t="n">
        <v>478</v>
      </c>
      <c r="I3495" s="156" t="n"/>
      <c r="J3495" s="90" t="n"/>
      <c r="K3495" s="166" t="n"/>
      <c r="L3495" s="158" t="n"/>
      <c r="M3495" s="159" t="n"/>
    </row>
    <row r="3496">
      <c r="A3496" s="114" t="n">
        <v>46227</v>
      </c>
      <c r="B3496" s="115" t="n">
        <v>4151</v>
      </c>
      <c r="C3496" s="115" t="inlineStr">
        <is>
          <t>SELİM İNŞAAT</t>
        </is>
      </c>
      <c r="D3496" s="115" t="inlineStr">
        <is>
          <t>34 EDB 659</t>
        </is>
      </c>
      <c r="E3496" s="115" t="inlineStr">
        <is>
          <t>MÜCAHİT BOZBEŞ</t>
        </is>
      </c>
      <c r="F3496" s="115" t="n">
        <v>414064</v>
      </c>
      <c r="G3496" s="156" t="n"/>
      <c r="H3496" s="152" t="n">
        <v>500</v>
      </c>
      <c r="I3496" s="156" t="n"/>
      <c r="J3496" s="90" t="n"/>
      <c r="K3496" s="166" t="n"/>
      <c r="L3496" s="158" t="n"/>
      <c r="M3496" s="159" t="n"/>
    </row>
    <row r="3497">
      <c r="A3497" s="114" t="n">
        <v>46231</v>
      </c>
      <c r="B3497" s="115" t="n">
        <v>4152</v>
      </c>
      <c r="C3497" s="115" t="inlineStr">
        <is>
          <t>SELİM İNŞAAT</t>
        </is>
      </c>
      <c r="D3497" s="115" t="inlineStr">
        <is>
          <t>34 EDB 659</t>
        </is>
      </c>
      <c r="E3497" s="115" t="inlineStr">
        <is>
          <t>MÜCAHİT BOZBEŞ</t>
        </is>
      </c>
      <c r="F3497" s="115" t="n">
        <v>414844</v>
      </c>
      <c r="G3497" s="156" t="n"/>
      <c r="H3497" s="152" t="n">
        <v>463</v>
      </c>
      <c r="I3497" s="156" t="n"/>
      <c r="J3497" s="90" t="n"/>
      <c r="K3497" s="166" t="n"/>
      <c r="L3497" s="158" t="n"/>
      <c r="M3497" s="159" t="n"/>
    </row>
    <row r="3498">
      <c r="A3498" s="114" t="n">
        <v>46232</v>
      </c>
      <c r="B3498" s="115" t="n">
        <v>4153</v>
      </c>
      <c r="C3498" s="115" t="inlineStr">
        <is>
          <t>SELİM İNŞAAT</t>
        </is>
      </c>
      <c r="D3498" s="115" t="inlineStr">
        <is>
          <t>34 EDB 659</t>
        </is>
      </c>
      <c r="E3498" s="115" t="inlineStr">
        <is>
          <t>MÜCAHİT BOZBEŞ</t>
        </is>
      </c>
      <c r="F3498" s="115" t="n">
        <v>415226</v>
      </c>
      <c r="G3498" s="156" t="n"/>
      <c r="H3498" s="152" t="n">
        <v>337</v>
      </c>
      <c r="I3498" s="156" t="n"/>
      <c r="J3498" s="90" t="n"/>
      <c r="K3498" s="166" t="n"/>
      <c r="L3498" s="158" t="n"/>
      <c r="M3498" s="159" t="n"/>
    </row>
    <row r="3499">
      <c r="A3499" s="114" t="n">
        <v>46233</v>
      </c>
      <c r="B3499" s="115" t="n">
        <v>4154</v>
      </c>
      <c r="C3499" s="115" t="inlineStr">
        <is>
          <t>SELİM İNŞAAT</t>
        </is>
      </c>
      <c r="D3499" s="115" t="inlineStr">
        <is>
          <t>34 EDB 659</t>
        </is>
      </c>
      <c r="E3499" s="115" t="inlineStr">
        <is>
          <t>MÜCAHİT BOZBEŞ</t>
        </is>
      </c>
      <c r="F3499" s="115" t="n">
        <v>415766</v>
      </c>
      <c r="G3499" s="156" t="n"/>
      <c r="H3499" s="152" t="n">
        <v>384</v>
      </c>
      <c r="I3499" s="156" t="n"/>
      <c r="J3499" s="90" t="n"/>
      <c r="K3499" s="166" t="n"/>
      <c r="L3499" s="158" t="n"/>
      <c r="M3499" s="159" t="n"/>
    </row>
    <row r="3500">
      <c r="A3500" s="114" t="n">
        <v>46234</v>
      </c>
      <c r="B3500" s="115" t="n">
        <v>4155</v>
      </c>
      <c r="C3500" s="115" t="inlineStr">
        <is>
          <t>SELİM İNŞAAT</t>
        </is>
      </c>
      <c r="D3500" s="115" t="inlineStr">
        <is>
          <t>34 EDB 659</t>
        </is>
      </c>
      <c r="E3500" s="115" t="inlineStr">
        <is>
          <t>MÜCAHİT BOZBEŞ</t>
        </is>
      </c>
      <c r="F3500" s="115" t="n">
        <v>416250</v>
      </c>
      <c r="G3500" s="156" t="n"/>
      <c r="H3500" s="152" t="n">
        <v>375</v>
      </c>
      <c r="I3500" s="156" t="n"/>
      <c r="J3500" s="90" t="n"/>
      <c r="K3500" s="166" t="n"/>
      <c r="L3500" s="158" t="n"/>
      <c r="M3500" s="159" t="n"/>
    </row>
    <row r="3501">
      <c r="A3501" s="114" t="n">
        <v>46220</v>
      </c>
      <c r="B3501" s="115" t="n">
        <v>2268</v>
      </c>
      <c r="C3501" s="115" t="inlineStr">
        <is>
          <t>SELİM İNŞAAT</t>
        </is>
      </c>
      <c r="D3501" s="115" t="inlineStr">
        <is>
          <t>34 FBR 742</t>
        </is>
      </c>
      <c r="E3501" s="115" t="inlineStr">
        <is>
          <t>ADNAN KOÇ</t>
        </is>
      </c>
      <c r="F3501" s="115" t="n">
        <v>387783</v>
      </c>
      <c r="G3501" s="156" t="n"/>
      <c r="H3501" s="152" t="n">
        <v>530</v>
      </c>
      <c r="I3501" s="156" t="n"/>
      <c r="J3501" s="90" t="n"/>
      <c r="K3501" s="166" t="n"/>
      <c r="L3501" s="158" t="n"/>
      <c r="M3501" s="159" t="n"/>
    </row>
    <row r="3502">
      <c r="A3502" s="114" t="n">
        <v>46223</v>
      </c>
      <c r="B3502" s="115" t="n">
        <v>2269</v>
      </c>
      <c r="C3502" s="115" t="inlineStr">
        <is>
          <t>SELİM İNŞAAT</t>
        </is>
      </c>
      <c r="D3502" s="115" t="inlineStr">
        <is>
          <t>34 FBR 742</t>
        </is>
      </c>
      <c r="E3502" s="115" t="inlineStr">
        <is>
          <t>ADNAN KOÇ</t>
        </is>
      </c>
      <c r="F3502" s="115" t="n">
        <v>388427</v>
      </c>
      <c r="G3502" s="156" t="n"/>
      <c r="H3502" s="152" t="n">
        <v>398</v>
      </c>
      <c r="I3502" s="156" t="n"/>
      <c r="J3502" s="90" t="n"/>
      <c r="K3502" s="166" t="n"/>
      <c r="L3502" s="158" t="n"/>
      <c r="M3502" s="159" t="n"/>
    </row>
    <row r="3503">
      <c r="A3503" s="114" t="n">
        <v>46224</v>
      </c>
      <c r="B3503" s="115" t="n">
        <v>2270</v>
      </c>
      <c r="C3503" s="115" t="inlineStr">
        <is>
          <t>SELİM İNŞAAT</t>
        </is>
      </c>
      <c r="D3503" s="115" t="inlineStr">
        <is>
          <t>34 FBR 742</t>
        </is>
      </c>
      <c r="E3503" s="115" t="inlineStr">
        <is>
          <t>ADNAN KOÇ</t>
        </is>
      </c>
      <c r="F3503" s="115" t="n">
        <v>389219</v>
      </c>
      <c r="G3503" s="156" t="n"/>
      <c r="H3503" s="152" t="n">
        <v>458</v>
      </c>
      <c r="I3503" s="156" t="n"/>
      <c r="J3503" s="90" t="n"/>
      <c r="K3503" s="166" t="n"/>
      <c r="L3503" s="158" t="n"/>
      <c r="M3503" s="159" t="n"/>
    </row>
    <row r="3504">
      <c r="A3504" s="114" t="n">
        <v>46225</v>
      </c>
      <c r="B3504" s="115" t="n">
        <v>2271</v>
      </c>
      <c r="C3504" s="115" t="inlineStr">
        <is>
          <t>SELİM İNŞAAT</t>
        </is>
      </c>
      <c r="D3504" s="115" t="inlineStr">
        <is>
          <t>34 FBR 742</t>
        </is>
      </c>
      <c r="E3504" s="115" t="inlineStr">
        <is>
          <t>ADNAN KOÇ</t>
        </is>
      </c>
      <c r="F3504" s="115" t="n">
        <v>389697</v>
      </c>
      <c r="G3504" s="156" t="n"/>
      <c r="H3504" s="152" t="n">
        <v>452</v>
      </c>
      <c r="I3504" s="156" t="n"/>
      <c r="J3504" s="90" t="n"/>
      <c r="K3504" s="166" t="n"/>
      <c r="L3504" s="158" t="n"/>
      <c r="M3504" s="159" t="n"/>
    </row>
    <row r="3505">
      <c r="A3505" s="114" t="n">
        <v>46227</v>
      </c>
      <c r="B3505" s="115" t="n">
        <v>2272</v>
      </c>
      <c r="C3505" s="115" t="inlineStr">
        <is>
          <t>SELİM İNŞAAT</t>
        </is>
      </c>
      <c r="D3505" s="115" t="inlineStr">
        <is>
          <t>34 FBR 742</t>
        </is>
      </c>
      <c r="E3505" s="115" t="inlineStr">
        <is>
          <t>ADNAN KOÇ</t>
        </is>
      </c>
      <c r="F3505" s="115" t="n">
        <v>390070</v>
      </c>
      <c r="G3505" s="156" t="n"/>
      <c r="H3505" s="152" t="n">
        <v>278</v>
      </c>
      <c r="I3505" s="156" t="n"/>
      <c r="J3505" s="90" t="n"/>
      <c r="K3505" s="166" t="n"/>
      <c r="L3505" s="158" t="n"/>
      <c r="M3505" s="159" t="n"/>
    </row>
    <row r="3506">
      <c r="A3506" s="114" t="n">
        <v>46230</v>
      </c>
      <c r="B3506" s="115" t="n">
        <v>2273</v>
      </c>
      <c r="C3506" s="115" t="inlineStr">
        <is>
          <t>SELİM İNŞAAT</t>
        </is>
      </c>
      <c r="D3506" s="115" t="inlineStr">
        <is>
          <t>34 FBR 742</t>
        </is>
      </c>
      <c r="E3506" s="115" t="inlineStr">
        <is>
          <t>ADNAN KOÇ</t>
        </is>
      </c>
      <c r="F3506" s="115" t="n">
        <v>390436</v>
      </c>
      <c r="G3506" s="156" t="n"/>
      <c r="H3506" s="152" t="n">
        <v>329</v>
      </c>
      <c r="I3506" s="156" t="n"/>
      <c r="J3506" s="90" t="n"/>
      <c r="K3506" s="166" t="n"/>
      <c r="L3506" s="158" t="n"/>
      <c r="M3506" s="159" t="n"/>
    </row>
    <row r="3507">
      <c r="A3507" s="114" t="n">
        <v>46232</v>
      </c>
      <c r="B3507" s="115" t="n">
        <v>2274</v>
      </c>
      <c r="C3507" s="115" t="inlineStr">
        <is>
          <t>SELİM İNŞAAT</t>
        </is>
      </c>
      <c r="D3507" s="115" t="inlineStr">
        <is>
          <t>34 FBR 742</t>
        </is>
      </c>
      <c r="E3507" s="115" t="inlineStr">
        <is>
          <t>ADNAN KOÇ</t>
        </is>
      </c>
      <c r="F3507" s="115" t="n">
        <v>391081</v>
      </c>
      <c r="G3507" s="156" t="n"/>
      <c r="H3507" s="152" t="n">
        <v>426</v>
      </c>
      <c r="I3507" s="156" t="n"/>
      <c r="J3507" s="90" t="n"/>
      <c r="K3507" s="166" t="n"/>
      <c r="L3507" s="158" t="n"/>
      <c r="M3507" s="159" t="n"/>
    </row>
    <row r="3508">
      <c r="A3508" s="114" t="n">
        <v>46233</v>
      </c>
      <c r="B3508" s="115" t="n">
        <v>2275</v>
      </c>
      <c r="C3508" s="115" t="inlineStr">
        <is>
          <t>SELİM İNŞAAT</t>
        </is>
      </c>
      <c r="D3508" s="115" t="inlineStr">
        <is>
          <t>34 FBR 742</t>
        </is>
      </c>
      <c r="E3508" s="115" t="inlineStr">
        <is>
          <t>ADNAN KOÇ</t>
        </is>
      </c>
      <c r="F3508" s="115" t="n">
        <v>391702</v>
      </c>
      <c r="G3508" s="156" t="n"/>
      <c r="H3508" s="152" t="n">
        <v>407</v>
      </c>
      <c r="I3508" s="156" t="n"/>
      <c r="J3508" s="90" t="n"/>
      <c r="K3508" s="166" t="n"/>
      <c r="L3508" s="158" t="n"/>
      <c r="M3508" s="159" t="n"/>
    </row>
    <row r="3509">
      <c r="A3509" s="114" t="n">
        <v>46220</v>
      </c>
      <c r="B3509" s="115" t="n">
        <v>191</v>
      </c>
      <c r="C3509" s="115" t="inlineStr">
        <is>
          <t>SELİM İNŞAAT</t>
        </is>
      </c>
      <c r="D3509" s="115" t="inlineStr">
        <is>
          <t>34 FBR 771</t>
        </is>
      </c>
      <c r="E3509" s="115" t="inlineStr">
        <is>
          <t xml:space="preserve">SALİH </t>
        </is>
      </c>
      <c r="F3509" s="115" t="n">
        <v>377348</v>
      </c>
      <c r="G3509" s="156" t="n"/>
      <c r="H3509" s="152" t="n">
        <v>500</v>
      </c>
      <c r="I3509" s="156" t="n"/>
      <c r="J3509" s="90" t="n"/>
      <c r="K3509" s="166" t="n"/>
      <c r="L3509" s="158" t="n"/>
      <c r="M3509" s="159" t="n"/>
    </row>
    <row r="3510">
      <c r="A3510" s="114" t="n">
        <v>46221</v>
      </c>
      <c r="B3510" s="115" t="n">
        <v>192</v>
      </c>
      <c r="C3510" s="115" t="inlineStr">
        <is>
          <t>SELİM İNŞAAT</t>
        </is>
      </c>
      <c r="D3510" s="115" t="inlineStr">
        <is>
          <t>34 FBR 771</t>
        </is>
      </c>
      <c r="E3510" s="115" t="inlineStr">
        <is>
          <t xml:space="preserve">SALİH </t>
        </is>
      </c>
      <c r="F3510" s="115" t="n">
        <v>378055</v>
      </c>
      <c r="G3510" s="156" t="n"/>
      <c r="H3510" s="152" t="n">
        <v>408</v>
      </c>
      <c r="I3510" s="156" t="n"/>
      <c r="J3510" s="90" t="n"/>
      <c r="K3510" s="166" t="n"/>
      <c r="L3510" s="158" t="n"/>
      <c r="M3510" s="159" t="n"/>
    </row>
    <row r="3511">
      <c r="A3511" s="114" t="n">
        <v>46224</v>
      </c>
      <c r="B3511" s="115" t="n">
        <v>193</v>
      </c>
      <c r="C3511" s="115" t="inlineStr">
        <is>
          <t>SELİM İNŞAAT</t>
        </is>
      </c>
      <c r="D3511" s="115" t="inlineStr">
        <is>
          <t>34 FBR 771</t>
        </is>
      </c>
      <c r="E3511" s="115" t="inlineStr">
        <is>
          <t xml:space="preserve">SALİH </t>
        </is>
      </c>
      <c r="F3511" s="115" t="n">
        <v>378958</v>
      </c>
      <c r="G3511" s="156" t="n"/>
      <c r="H3511" s="152" t="n">
        <v>497</v>
      </c>
      <c r="I3511" s="156" t="n"/>
      <c r="J3511" s="90" t="n"/>
      <c r="K3511" s="166" t="n"/>
      <c r="L3511" s="158" t="n"/>
      <c r="M3511" s="159" t="n"/>
    </row>
    <row r="3512">
      <c r="A3512" s="114" t="n">
        <v>46225</v>
      </c>
      <c r="B3512" s="115" t="n">
        <v>194</v>
      </c>
      <c r="C3512" s="115" t="inlineStr">
        <is>
          <t>SELİM İNŞAAT</t>
        </is>
      </c>
      <c r="D3512" s="115" t="inlineStr">
        <is>
          <t>34 FBR 771</t>
        </is>
      </c>
      <c r="E3512" s="115" t="inlineStr">
        <is>
          <t xml:space="preserve">SALİH </t>
        </is>
      </c>
      <c r="F3512" s="115" t="n">
        <v>379665</v>
      </c>
      <c r="G3512" s="156" t="n"/>
      <c r="H3512" s="152" t="n">
        <v>358</v>
      </c>
      <c r="I3512" s="156" t="n"/>
      <c r="J3512" s="90" t="n"/>
      <c r="K3512" s="166" t="n"/>
      <c r="L3512" s="158" t="n"/>
      <c r="M3512" s="159" t="n"/>
    </row>
    <row r="3513">
      <c r="A3513" s="114" t="n">
        <v>46227</v>
      </c>
      <c r="B3513" s="115" t="n">
        <v>195</v>
      </c>
      <c r="C3513" s="115" t="inlineStr">
        <is>
          <t>SELİM İNŞAAT</t>
        </is>
      </c>
      <c r="D3513" s="115" t="inlineStr">
        <is>
          <t>34 FBR 771</t>
        </is>
      </c>
      <c r="E3513" s="115" t="inlineStr">
        <is>
          <t xml:space="preserve">SALİH </t>
        </is>
      </c>
      <c r="F3513" s="115" t="n">
        <v>380419</v>
      </c>
      <c r="G3513" s="156" t="n"/>
      <c r="H3513" s="152" t="n">
        <v>455</v>
      </c>
      <c r="I3513" s="156" t="n"/>
      <c r="J3513" s="90" t="n"/>
      <c r="K3513" s="166" t="n"/>
      <c r="L3513" s="158" t="n"/>
      <c r="M3513" s="159" t="n"/>
    </row>
    <row r="3514">
      <c r="A3514" s="114" t="n">
        <v>46232</v>
      </c>
      <c r="B3514" s="115" t="n">
        <v>196</v>
      </c>
      <c r="C3514" s="115" t="inlineStr">
        <is>
          <t>SELİM İNŞAAT</t>
        </is>
      </c>
      <c r="D3514" s="115" t="inlineStr">
        <is>
          <t>34 FBR 771</t>
        </is>
      </c>
      <c r="E3514" s="115" t="inlineStr">
        <is>
          <t xml:space="preserve">SALİH </t>
        </is>
      </c>
      <c r="F3514" s="115" t="n">
        <v>381241</v>
      </c>
      <c r="G3514" s="156" t="n"/>
      <c r="H3514" s="152" t="n">
        <v>490</v>
      </c>
      <c r="I3514" s="156" t="n"/>
      <c r="J3514" s="90" t="n"/>
      <c r="K3514" s="166" t="n"/>
      <c r="L3514" s="158" t="n"/>
      <c r="M3514" s="159" t="n"/>
    </row>
    <row r="3515">
      <c r="A3515" s="114" t="n">
        <v>46233</v>
      </c>
      <c r="B3515" s="115" t="n">
        <v>197</v>
      </c>
      <c r="C3515" s="115" t="inlineStr">
        <is>
          <t>SELİM İNŞAAT</t>
        </is>
      </c>
      <c r="D3515" s="115" t="inlineStr">
        <is>
          <t>34 FBR 771</t>
        </is>
      </c>
      <c r="E3515" s="115" t="inlineStr">
        <is>
          <t xml:space="preserve">SALİH </t>
        </is>
      </c>
      <c r="F3515" s="115" t="n">
        <v>382063</v>
      </c>
      <c r="G3515" s="156" t="n"/>
      <c r="H3515" s="152" t="n">
        <v>483</v>
      </c>
      <c r="I3515" s="156" t="n"/>
      <c r="J3515" s="90" t="n"/>
      <c r="K3515" s="166" t="n"/>
      <c r="L3515" s="158" t="n"/>
      <c r="M3515" s="159" t="n"/>
    </row>
    <row r="3516">
      <c r="A3516" s="114" t="n">
        <v>46221</v>
      </c>
      <c r="B3516" s="115" t="n">
        <v>3202</v>
      </c>
      <c r="C3516" s="115" t="inlineStr">
        <is>
          <t>SELİM İNŞAAT</t>
        </is>
      </c>
      <c r="D3516" s="115" t="inlineStr">
        <is>
          <t>34 EGR 737</t>
        </is>
      </c>
      <c r="E3516" s="115" t="inlineStr">
        <is>
          <t>CEM MUHTAR</t>
        </is>
      </c>
      <c r="F3516" s="115" t="n">
        <v>482646</v>
      </c>
      <c r="G3516" s="156" t="n"/>
      <c r="H3516" s="152" t="n">
        <v>590</v>
      </c>
      <c r="I3516" s="156" t="n"/>
      <c r="J3516" s="90" t="n"/>
      <c r="K3516" s="166" t="n"/>
      <c r="L3516" s="158" t="n"/>
      <c r="M3516" s="159" t="n"/>
    </row>
    <row r="3517">
      <c r="A3517" s="114" t="n">
        <v>46223</v>
      </c>
      <c r="B3517" s="115" t="n">
        <v>3203</v>
      </c>
      <c r="C3517" s="115" t="inlineStr">
        <is>
          <t>SELİM İNŞAAT</t>
        </is>
      </c>
      <c r="D3517" s="115" t="inlineStr">
        <is>
          <t>34 EGR 737</t>
        </is>
      </c>
      <c r="E3517" s="115" t="inlineStr">
        <is>
          <t>CEM MUHTAR</t>
        </is>
      </c>
      <c r="F3517" s="115" t="n">
        <v>483291</v>
      </c>
      <c r="G3517" s="156" t="n"/>
      <c r="H3517" s="152" t="n">
        <v>489</v>
      </c>
      <c r="I3517" s="156" t="n"/>
      <c r="J3517" s="90" t="n"/>
      <c r="K3517" s="166" t="n"/>
      <c r="L3517" s="158" t="n"/>
      <c r="M3517" s="159" t="n"/>
    </row>
    <row r="3518">
      <c r="A3518" s="114" t="n">
        <v>46225</v>
      </c>
      <c r="B3518" s="115" t="n">
        <v>3204</v>
      </c>
      <c r="C3518" s="115" t="inlineStr">
        <is>
          <t>SELİM İNŞAAT</t>
        </is>
      </c>
      <c r="D3518" s="115" t="inlineStr">
        <is>
          <t>34 EGR 737</t>
        </is>
      </c>
      <c r="E3518" s="115" t="inlineStr">
        <is>
          <t>CEM MUHTAR</t>
        </is>
      </c>
      <c r="F3518" s="115" t="n">
        <v>484006</v>
      </c>
      <c r="G3518" s="156" t="n"/>
      <c r="H3518" s="152" t="n">
        <v>470</v>
      </c>
      <c r="I3518" s="156" t="n"/>
      <c r="J3518" s="90" t="n"/>
      <c r="K3518" s="166" t="n"/>
      <c r="L3518" s="158" t="n"/>
      <c r="M3518" s="159" t="n"/>
    </row>
    <row r="3519">
      <c r="A3519" s="114" t="n">
        <v>46226</v>
      </c>
      <c r="B3519" s="115" t="n">
        <v>3205</v>
      </c>
      <c r="C3519" s="115" t="inlineStr">
        <is>
          <t>SELİM İNŞAAT</t>
        </is>
      </c>
      <c r="D3519" s="115" t="inlineStr">
        <is>
          <t>34 EGR 737</t>
        </is>
      </c>
      <c r="E3519" s="115" t="inlineStr">
        <is>
          <t>CEM MUHTAR</t>
        </is>
      </c>
      <c r="F3519" s="115" t="n">
        <v>484843</v>
      </c>
      <c r="G3519" s="156" t="n"/>
      <c r="H3519" s="152" t="n">
        <v>578</v>
      </c>
      <c r="I3519" s="156" t="n"/>
      <c r="J3519" s="90" t="n"/>
      <c r="K3519" s="166" t="n"/>
      <c r="L3519" s="158" t="n"/>
      <c r="M3519" s="159" t="n"/>
    </row>
    <row r="3520">
      <c r="A3520" s="114" t="n">
        <v>46232</v>
      </c>
      <c r="B3520" s="115" t="n">
        <v>3206</v>
      </c>
      <c r="C3520" s="115" t="inlineStr">
        <is>
          <t>SELİM İNŞAAT</t>
        </is>
      </c>
      <c r="D3520" s="115" t="inlineStr">
        <is>
          <t>34 EGR 737</t>
        </is>
      </c>
      <c r="E3520" s="115" t="inlineStr">
        <is>
          <t>CEM MUHTAR</t>
        </is>
      </c>
      <c r="F3520" s="115" t="n">
        <v>485458</v>
      </c>
      <c r="G3520" s="156" t="n"/>
      <c r="H3520" s="152" t="n">
        <v>452</v>
      </c>
      <c r="I3520" s="156" t="n"/>
      <c r="J3520" s="90" t="n"/>
      <c r="K3520" s="166" t="n"/>
      <c r="L3520" s="158" t="n"/>
      <c r="M3520" s="159" t="n"/>
    </row>
    <row r="3521">
      <c r="A3521" s="114" t="n">
        <v>46233</v>
      </c>
      <c r="B3521" s="115" t="n">
        <v>3207</v>
      </c>
      <c r="C3521" s="115" t="inlineStr">
        <is>
          <t>SELİM İNŞAAT</t>
        </is>
      </c>
      <c r="D3521" s="115" t="inlineStr">
        <is>
          <t>34 EGR 737</t>
        </is>
      </c>
      <c r="E3521" s="115" t="inlineStr">
        <is>
          <t>CEM MUHTAR</t>
        </is>
      </c>
      <c r="F3521" s="115" t="n">
        <v>486279</v>
      </c>
      <c r="G3521" s="156" t="n"/>
      <c r="H3521" s="152" t="n">
        <v>571</v>
      </c>
      <c r="I3521" s="156" t="n"/>
      <c r="J3521" s="90" t="n"/>
      <c r="K3521" s="166" t="n"/>
      <c r="L3521" s="158" t="n"/>
      <c r="M3521" s="159" t="n"/>
    </row>
    <row r="3522">
      <c r="A3522" s="114" t="n">
        <v>46219</v>
      </c>
      <c r="B3522" s="115" t="n">
        <v>1483</v>
      </c>
      <c r="C3522" s="115" t="inlineStr">
        <is>
          <t>SELİM İNŞAAT</t>
        </is>
      </c>
      <c r="D3522" s="115" t="inlineStr">
        <is>
          <t>34 EDB 754</t>
        </is>
      </c>
      <c r="E3522" s="115" t="inlineStr">
        <is>
          <t>AZİZ ORUÇ</t>
        </is>
      </c>
      <c r="F3522" s="115" t="n">
        <v>397273</v>
      </c>
      <c r="G3522" s="156" t="n"/>
      <c r="H3522" s="152" t="n">
        <v>501</v>
      </c>
      <c r="I3522" s="156" t="n"/>
      <c r="J3522" s="90" t="n"/>
      <c r="K3522" s="166" t="n"/>
      <c r="L3522" s="158" t="n"/>
      <c r="M3522" s="159" t="n"/>
    </row>
    <row r="3523">
      <c r="A3523" s="114" t="n">
        <v>46221</v>
      </c>
      <c r="B3523" s="115" t="n">
        <v>1484</v>
      </c>
      <c r="C3523" s="115" t="inlineStr">
        <is>
          <t>SELİM İNŞAAT</t>
        </is>
      </c>
      <c r="D3523" s="115" t="inlineStr">
        <is>
          <t>34 EDB 754</t>
        </is>
      </c>
      <c r="E3523" s="115" t="inlineStr">
        <is>
          <t>AZİZ ORUÇ</t>
        </is>
      </c>
      <c r="F3523" s="115" t="n">
        <v>397840</v>
      </c>
      <c r="G3523" s="156" t="n"/>
      <c r="H3523" s="152" t="n">
        <v>411</v>
      </c>
      <c r="I3523" s="156" t="n"/>
      <c r="J3523" s="90" t="n"/>
      <c r="K3523" s="166" t="n"/>
      <c r="L3523" s="158" t="n"/>
      <c r="M3523" s="159" t="n"/>
    </row>
    <row r="3524">
      <c r="A3524" s="114" t="n">
        <v>46223</v>
      </c>
      <c r="B3524" s="115" t="n">
        <v>1485</v>
      </c>
      <c r="C3524" s="115" t="inlineStr">
        <is>
          <t>SELİM İNŞAAT</t>
        </is>
      </c>
      <c r="D3524" s="115" t="inlineStr">
        <is>
          <t>34 EDB 754</t>
        </is>
      </c>
      <c r="E3524" s="115" t="inlineStr">
        <is>
          <t>AZİZ ORUÇ</t>
        </is>
      </c>
      <c r="F3524" s="115" t="n">
        <v>398761</v>
      </c>
      <c r="G3524" s="156" t="n"/>
      <c r="H3524" s="152" t="n">
        <v>530</v>
      </c>
      <c r="I3524" s="156" t="n"/>
      <c r="J3524" s="90" t="n"/>
      <c r="K3524" s="166" t="n"/>
      <c r="L3524" s="158" t="n"/>
      <c r="M3524" s="159" t="n"/>
    </row>
    <row r="3525">
      <c r="A3525" s="114" t="n">
        <v>46224</v>
      </c>
      <c r="B3525" s="115" t="n">
        <v>1486</v>
      </c>
      <c r="C3525" s="115" t="inlineStr">
        <is>
          <t>SELİM İNŞAAT</t>
        </is>
      </c>
      <c r="D3525" s="115" t="inlineStr">
        <is>
          <t>34 EDB 754</t>
        </is>
      </c>
      <c r="E3525" s="115" t="inlineStr">
        <is>
          <t>AZİZ ORUÇ</t>
        </is>
      </c>
      <c r="F3525" s="115" t="n">
        <v>399241</v>
      </c>
      <c r="G3525" s="156" t="n"/>
      <c r="H3525" s="152" t="n">
        <v>364</v>
      </c>
      <c r="I3525" s="156" t="n"/>
      <c r="J3525" s="90" t="n"/>
      <c r="K3525" s="166" t="n"/>
      <c r="L3525" s="158" t="n"/>
      <c r="M3525" s="159" t="n"/>
    </row>
    <row r="3526">
      <c r="A3526" s="114" t="n">
        <v>46225</v>
      </c>
      <c r="B3526" s="115" t="n">
        <v>1487</v>
      </c>
      <c r="C3526" s="115" t="inlineStr">
        <is>
          <t>SELİM İNŞAAT</t>
        </is>
      </c>
      <c r="D3526" s="115" t="inlineStr">
        <is>
          <t>34 EDB 754</t>
        </is>
      </c>
      <c r="E3526" s="115" t="inlineStr">
        <is>
          <t>AZİZ ORUÇ</t>
        </is>
      </c>
      <c r="F3526" s="115" t="n">
        <v>400142</v>
      </c>
      <c r="G3526" s="156" t="n"/>
      <c r="H3526" s="152" t="n">
        <v>539</v>
      </c>
      <c r="I3526" s="156" t="n"/>
      <c r="J3526" s="90" t="n"/>
      <c r="K3526" s="166" t="n"/>
      <c r="L3526" s="158" t="n"/>
      <c r="M3526" s="159" t="n"/>
    </row>
    <row r="3527">
      <c r="A3527" s="114" t="n">
        <v>46227</v>
      </c>
      <c r="B3527" s="115" t="n">
        <v>1488</v>
      </c>
      <c r="C3527" s="115" t="inlineStr">
        <is>
          <t>SELİM İNŞAAT</t>
        </is>
      </c>
      <c r="D3527" s="115" t="inlineStr">
        <is>
          <t>34 EDB 754</t>
        </is>
      </c>
      <c r="E3527" s="115" t="inlineStr">
        <is>
          <t>AZİZ ORUÇ</t>
        </is>
      </c>
      <c r="F3527" s="115" t="n">
        <v>400864</v>
      </c>
      <c r="G3527" s="156" t="n"/>
      <c r="H3527" s="152" t="n">
        <v>460</v>
      </c>
      <c r="I3527" s="156" t="n"/>
      <c r="J3527" s="90" t="n"/>
      <c r="K3527" s="166" t="n"/>
      <c r="L3527" s="158" t="n"/>
      <c r="M3527" s="159" t="n"/>
    </row>
    <row r="3528">
      <c r="A3528" s="114" t="n">
        <v>46232</v>
      </c>
      <c r="B3528" s="115" t="n">
        <v>1489</v>
      </c>
      <c r="C3528" s="115" t="inlineStr">
        <is>
          <t>SELİM İNŞAAT</t>
        </is>
      </c>
      <c r="D3528" s="115" t="inlineStr">
        <is>
          <t>34 EDB 754</t>
        </is>
      </c>
      <c r="E3528" s="115" t="inlineStr">
        <is>
          <t>AZİZ ORUÇ</t>
        </is>
      </c>
      <c r="F3528" s="115" t="n">
        <v>401353</v>
      </c>
      <c r="G3528" s="156" t="n"/>
      <c r="H3528" s="152" t="n">
        <v>387</v>
      </c>
      <c r="I3528" s="156" t="n"/>
      <c r="J3528" s="90" t="n"/>
      <c r="K3528" s="166" t="n"/>
      <c r="L3528" s="158" t="n"/>
      <c r="M3528" s="159" t="n"/>
    </row>
    <row r="3529">
      <c r="A3529" s="114" t="n">
        <v>46233</v>
      </c>
      <c r="B3529" s="115" t="n">
        <v>1490</v>
      </c>
      <c r="C3529" s="115" t="inlineStr">
        <is>
          <t>SELİM İNŞAAT</t>
        </is>
      </c>
      <c r="D3529" s="115" t="inlineStr">
        <is>
          <t>34 EDB 754</t>
        </is>
      </c>
      <c r="E3529" s="115" t="inlineStr">
        <is>
          <t>AZİZ ORUÇ</t>
        </is>
      </c>
      <c r="F3529" s="115" t="n">
        <v>401777</v>
      </c>
      <c r="G3529" s="156" t="n"/>
      <c r="H3529" s="152" t="n">
        <v>300</v>
      </c>
      <c r="I3529" s="156" t="n"/>
      <c r="J3529" s="90" t="n"/>
      <c r="K3529" s="166" t="n"/>
      <c r="L3529" s="158" t="n"/>
      <c r="M3529" s="159" t="n"/>
    </row>
    <row r="3530">
      <c r="A3530" s="114" t="n">
        <v>46234</v>
      </c>
      <c r="B3530" s="115" t="n">
        <v>1490</v>
      </c>
      <c r="C3530" s="115" t="inlineStr">
        <is>
          <t>SELİM İNŞAAT</t>
        </is>
      </c>
      <c r="D3530" s="115" t="inlineStr">
        <is>
          <t>34 EDB 754</t>
        </is>
      </c>
      <c r="E3530" s="115" t="inlineStr">
        <is>
          <t>AZİZ ORUÇ</t>
        </is>
      </c>
      <c r="F3530" s="115" t="n">
        <v>402221</v>
      </c>
      <c r="G3530" s="156" t="n"/>
      <c r="H3530" s="152" t="n">
        <v>330</v>
      </c>
      <c r="I3530" s="156" t="n"/>
      <c r="J3530" s="90" t="n"/>
      <c r="K3530" s="166" t="n"/>
      <c r="L3530" s="158" t="n"/>
      <c r="M3530" s="159" t="n"/>
    </row>
    <row r="3531">
      <c r="A3531" s="114" t="n">
        <v>46220</v>
      </c>
      <c r="B3531" s="115" t="n">
        <v>3057</v>
      </c>
      <c r="C3531" s="115" t="inlineStr">
        <is>
          <t>SELİM İNŞAAT</t>
        </is>
      </c>
      <c r="D3531" s="115" t="inlineStr">
        <is>
          <t>34 GVZ 268</t>
        </is>
      </c>
      <c r="E3531" s="115" t="inlineStr">
        <is>
          <t>KERİM KARAMAN</t>
        </is>
      </c>
      <c r="F3531" s="115" t="n">
        <v>283054</v>
      </c>
      <c r="G3531" s="156" t="n"/>
      <c r="H3531" s="152" t="n">
        <v>511</v>
      </c>
      <c r="I3531" s="156" t="n"/>
      <c r="J3531" s="90" t="n"/>
      <c r="K3531" s="166" t="n"/>
      <c r="L3531" s="158" t="n"/>
      <c r="M3531" s="159" t="n"/>
    </row>
    <row r="3532">
      <c r="A3532" s="114" t="n">
        <v>46222</v>
      </c>
      <c r="B3532" s="115" t="n">
        <v>3058</v>
      </c>
      <c r="C3532" s="115" t="inlineStr">
        <is>
          <t>SELİM İNŞAAT</t>
        </is>
      </c>
      <c r="D3532" s="115" t="inlineStr">
        <is>
          <t>34 GVZ 268</t>
        </is>
      </c>
      <c r="E3532" s="115" t="inlineStr">
        <is>
          <t>KERİM KARAMAN</t>
        </is>
      </c>
      <c r="F3532" s="115" t="n">
        <v>284106</v>
      </c>
      <c r="G3532" s="156" t="n"/>
      <c r="H3532" s="152" t="n">
        <v>562</v>
      </c>
      <c r="I3532" s="156" t="n"/>
      <c r="J3532" s="90" t="n"/>
      <c r="K3532" s="166" t="n"/>
      <c r="L3532" s="158" t="n"/>
      <c r="M3532" s="159" t="n"/>
    </row>
    <row r="3533">
      <c r="A3533" s="114" t="n">
        <v>46224</v>
      </c>
      <c r="B3533" s="115" t="n">
        <v>3059</v>
      </c>
      <c r="C3533" s="115" t="inlineStr">
        <is>
          <t>SELİM İNŞAAT</t>
        </is>
      </c>
      <c r="D3533" s="115" t="inlineStr">
        <is>
          <t>34 GVZ 268</t>
        </is>
      </c>
      <c r="E3533" s="115" t="inlineStr">
        <is>
          <t>KERİM KARAMAN</t>
        </is>
      </c>
      <c r="F3533" s="115" t="n">
        <v>284802</v>
      </c>
      <c r="G3533" s="156" t="n"/>
      <c r="H3533" s="152" t="n">
        <v>409</v>
      </c>
      <c r="I3533" s="156" t="n"/>
      <c r="J3533" s="90" t="n"/>
      <c r="K3533" s="166" t="n"/>
      <c r="L3533" s="158" t="n"/>
      <c r="M3533" s="159" t="n"/>
    </row>
    <row r="3534">
      <c r="A3534" s="114" t="n">
        <v>46226</v>
      </c>
      <c r="B3534" s="115" t="n">
        <v>3060</v>
      </c>
      <c r="C3534" s="115" t="inlineStr">
        <is>
          <t>SELİM İNŞAAT</t>
        </is>
      </c>
      <c r="D3534" s="115" t="inlineStr">
        <is>
          <t>34 GVZ 268</t>
        </is>
      </c>
      <c r="E3534" s="115" t="inlineStr">
        <is>
          <t>KERİM KARAMAN</t>
        </is>
      </c>
      <c r="F3534" s="115" t="n">
        <v>285616</v>
      </c>
      <c r="G3534" s="156" t="n"/>
      <c r="H3534" s="152" t="n">
        <v>482</v>
      </c>
      <c r="I3534" s="156" t="n"/>
      <c r="J3534" s="90" t="n"/>
      <c r="K3534" s="166" t="n"/>
      <c r="L3534" s="158" t="n"/>
      <c r="M3534" s="159" t="n"/>
    </row>
    <row r="3535">
      <c r="A3535" s="114" t="n">
        <v>46231</v>
      </c>
      <c r="B3535" s="115" t="n">
        <v>3061</v>
      </c>
      <c r="C3535" s="115" t="inlineStr">
        <is>
          <t>SELİM İNŞAAT</t>
        </is>
      </c>
      <c r="D3535" s="115" t="inlineStr">
        <is>
          <t>34 GVZ 268</t>
        </is>
      </c>
      <c r="E3535" s="115" t="inlineStr">
        <is>
          <t>KERİM KARAMAN</t>
        </is>
      </c>
      <c r="F3535" s="115" t="n">
        <v>286480</v>
      </c>
      <c r="G3535" s="156" t="n"/>
      <c r="H3535" s="152" t="n">
        <v>535</v>
      </c>
      <c r="I3535" s="156" t="n"/>
      <c r="J3535" s="90" t="n"/>
      <c r="K3535" s="166" t="n"/>
      <c r="L3535" s="158" t="n"/>
      <c r="M3535" s="159" t="n"/>
    </row>
    <row r="3536">
      <c r="A3536" s="114" t="n">
        <v>46234</v>
      </c>
      <c r="B3536" s="115" t="n">
        <v>3062</v>
      </c>
      <c r="C3536" s="115" t="inlineStr">
        <is>
          <t>SELİM İNŞAAT</t>
        </is>
      </c>
      <c r="D3536" s="115" t="inlineStr">
        <is>
          <t>34 GVZ 268</t>
        </is>
      </c>
      <c r="E3536" s="115" t="inlineStr">
        <is>
          <t>KERİM KARAMAN</t>
        </is>
      </c>
      <c r="F3536" s="115" t="n">
        <v>287235</v>
      </c>
      <c r="G3536" s="156" t="n"/>
      <c r="H3536" s="152" t="n">
        <v>570</v>
      </c>
      <c r="I3536" s="156" t="n"/>
      <c r="J3536" s="90" t="n"/>
      <c r="K3536" s="166" t="n"/>
      <c r="L3536" s="158" t="n"/>
      <c r="M3536" s="159" t="n"/>
    </row>
    <row r="3537">
      <c r="A3537" s="114" t="n">
        <v>46219</v>
      </c>
      <c r="B3537" s="115" t="n">
        <v>3552</v>
      </c>
      <c r="C3537" s="115" t="inlineStr">
        <is>
          <t>SELİM İNŞAAT</t>
        </is>
      </c>
      <c r="D3537" s="115" t="inlineStr">
        <is>
          <t>34 DTV 352</t>
        </is>
      </c>
      <c r="E3537" s="115" t="inlineStr">
        <is>
          <t>YAŞAR ÖZKAYA</t>
        </is>
      </c>
      <c r="F3537" s="115" t="n">
        <v>498211</v>
      </c>
      <c r="G3537" s="156" t="n"/>
      <c r="H3537" s="152" t="n">
        <v>482</v>
      </c>
      <c r="I3537" s="156" t="n"/>
      <c r="J3537" s="90" t="n"/>
      <c r="K3537" s="166" t="n"/>
      <c r="L3537" s="158" t="n"/>
      <c r="M3537" s="159" t="n"/>
    </row>
    <row r="3538">
      <c r="A3538" s="114" t="n">
        <v>46220</v>
      </c>
      <c r="B3538" s="115" t="n">
        <v>3553</v>
      </c>
      <c r="C3538" s="115" t="inlineStr">
        <is>
          <t>SELİM İNŞAAT</t>
        </is>
      </c>
      <c r="D3538" s="115" t="inlineStr">
        <is>
          <t>34 DTV 352</t>
        </is>
      </c>
      <c r="E3538" s="115" t="inlineStr">
        <is>
          <t>YAŞAR ÖZKAYA</t>
        </is>
      </c>
      <c r="F3538" s="115" t="n">
        <v>498610</v>
      </c>
      <c r="G3538" s="156" t="n"/>
      <c r="H3538" s="152" t="n">
        <v>288</v>
      </c>
      <c r="I3538" s="156" t="n"/>
      <c r="J3538" s="90" t="n"/>
      <c r="K3538" s="166" t="n"/>
      <c r="L3538" s="158" t="n"/>
      <c r="M3538" s="159" t="n"/>
    </row>
    <row r="3539">
      <c r="A3539" s="114" t="n">
        <v>46221</v>
      </c>
      <c r="B3539" s="115" t="n">
        <v>3554</v>
      </c>
      <c r="C3539" s="115" t="inlineStr">
        <is>
          <t>SELİM İNŞAAT</t>
        </is>
      </c>
      <c r="D3539" s="115" t="inlineStr">
        <is>
          <t>34 DTV 352</t>
        </is>
      </c>
      <c r="E3539" s="115" t="inlineStr">
        <is>
          <t>YAŞAR ÖZKAYA</t>
        </is>
      </c>
      <c r="F3539" s="115" t="n">
        <v>498934</v>
      </c>
      <c r="G3539" s="156" t="n"/>
      <c r="H3539" s="152" t="n">
        <v>252</v>
      </c>
      <c r="I3539" s="156" t="n"/>
      <c r="J3539" s="90" t="n"/>
      <c r="K3539" s="166" t="n"/>
      <c r="L3539" s="158" t="n"/>
      <c r="M3539" s="159" t="n"/>
    </row>
    <row r="3540">
      <c r="A3540" s="114" t="n">
        <v>46223</v>
      </c>
      <c r="B3540" s="115" t="n">
        <v>3555</v>
      </c>
      <c r="C3540" s="115" t="inlineStr">
        <is>
          <t>SELİM İNŞAAT</t>
        </is>
      </c>
      <c r="D3540" s="115" t="inlineStr">
        <is>
          <t>34 DTV 352</t>
        </is>
      </c>
      <c r="E3540" s="115" t="inlineStr">
        <is>
          <t>YAŞAR ÖZKAYA</t>
        </is>
      </c>
      <c r="F3540" s="115" t="n">
        <v>499744</v>
      </c>
      <c r="G3540" s="156" t="n"/>
      <c r="H3540" s="152" t="n">
        <v>496</v>
      </c>
      <c r="I3540" s="156" t="n"/>
      <c r="J3540" s="90" t="n"/>
      <c r="K3540" s="166" t="n"/>
      <c r="L3540" s="158" t="n"/>
      <c r="M3540" s="159" t="n"/>
    </row>
    <row r="3541">
      <c r="A3541" s="114" t="n">
        <v>46226</v>
      </c>
      <c r="B3541" s="115" t="n">
        <v>3556</v>
      </c>
      <c r="C3541" s="115" t="inlineStr">
        <is>
          <t>SELİM İNŞAAT</t>
        </is>
      </c>
      <c r="D3541" s="115" t="inlineStr">
        <is>
          <t>34 DTV 352</t>
        </is>
      </c>
      <c r="E3541" s="115" t="inlineStr">
        <is>
          <t>YAŞAR ÖZKAYA</t>
        </is>
      </c>
      <c r="F3541" s="115" t="n">
        <v>500496</v>
      </c>
      <c r="G3541" s="156" t="n"/>
      <c r="H3541" s="152" t="n">
        <v>516</v>
      </c>
      <c r="I3541" s="156" t="n"/>
      <c r="J3541" s="90" t="n"/>
      <c r="K3541" s="166" t="n"/>
      <c r="L3541" s="158" t="n"/>
      <c r="M3541" s="159" t="n"/>
    </row>
    <row r="3542">
      <c r="A3542" s="114" t="n">
        <v>46230</v>
      </c>
      <c r="B3542" s="115" t="n">
        <v>3557</v>
      </c>
      <c r="C3542" s="115" t="inlineStr">
        <is>
          <t>SELİM İNŞAAT</t>
        </is>
      </c>
      <c r="D3542" s="115" t="inlineStr">
        <is>
          <t>34 DTV 352</t>
        </is>
      </c>
      <c r="E3542" s="115" t="inlineStr">
        <is>
          <t>YAŞAR ÖZKAYA</t>
        </is>
      </c>
      <c r="F3542" s="115" t="n">
        <v>501273</v>
      </c>
      <c r="G3542" s="156" t="n"/>
      <c r="H3542" s="152" t="n">
        <v>480</v>
      </c>
      <c r="I3542" s="156" t="n"/>
      <c r="J3542" s="90" t="n"/>
      <c r="K3542" s="166" t="n"/>
      <c r="L3542" s="158" t="n"/>
      <c r="M3542" s="159" t="n"/>
    </row>
    <row r="3543">
      <c r="A3543" s="114" t="n">
        <v>46233</v>
      </c>
      <c r="B3543" s="115" t="n">
        <v>3558</v>
      </c>
      <c r="C3543" s="115" t="inlineStr">
        <is>
          <t>SELİM İNŞAAT</t>
        </is>
      </c>
      <c r="D3543" s="115" t="inlineStr">
        <is>
          <t>34 DTV 352</t>
        </is>
      </c>
      <c r="E3543" s="115" t="inlineStr">
        <is>
          <t>YAŞAR ÖZKAYA</t>
        </is>
      </c>
      <c r="F3543" s="115" t="n">
        <v>502144</v>
      </c>
      <c r="G3543" s="156" t="n"/>
      <c r="H3543" s="152" t="n">
        <v>550</v>
      </c>
      <c r="I3543" s="156" t="n"/>
      <c r="J3543" s="90" t="n"/>
      <c r="K3543" s="166" t="n"/>
      <c r="L3543" s="158" t="n"/>
      <c r="M3543" s="159" t="n"/>
    </row>
    <row r="3544">
      <c r="A3544" s="114" t="n">
        <v>46235</v>
      </c>
      <c r="B3544" s="115" t="n">
        <v>2529</v>
      </c>
      <c r="C3544" s="115" t="inlineStr">
        <is>
          <t>VARLIK</t>
        </is>
      </c>
      <c r="D3544" s="115" t="inlineStr">
        <is>
          <t>KAVASAKİ</t>
        </is>
      </c>
      <c r="E3544" s="115" t="inlineStr">
        <is>
          <t>RAMAZAN</t>
        </is>
      </c>
      <c r="F3544" s="115" t="n"/>
      <c r="G3544" s="156" t="n"/>
      <c r="H3544" s="152" t="n">
        <v>339</v>
      </c>
      <c r="I3544" s="156" t="n"/>
      <c r="J3544" s="90" t="n"/>
      <c r="K3544" s="166" t="n"/>
      <c r="L3544" s="158" t="n"/>
      <c r="M3544" s="159" t="n"/>
    </row>
    <row r="3545">
      <c r="A3545" s="114" t="n">
        <v>46235</v>
      </c>
      <c r="B3545" s="115" t="n">
        <v>2530</v>
      </c>
      <c r="C3545" s="115" t="n"/>
      <c r="D3545" s="115" t="inlineStr">
        <is>
          <t>34 AZ2191</t>
        </is>
      </c>
      <c r="E3545" s="115" t="inlineStr">
        <is>
          <t>NUMAN</t>
        </is>
      </c>
      <c r="F3545" s="115" t="n"/>
      <c r="G3545" s="156" t="n"/>
      <c r="H3545" s="152" t="n">
        <v>274</v>
      </c>
      <c r="I3545" s="156" t="n"/>
      <c r="J3545" s="90" t="n"/>
      <c r="K3545" s="166" t="n"/>
      <c r="L3545" s="158" t="n"/>
      <c r="M3545" s="159" t="n"/>
    </row>
    <row r="3546">
      <c r="A3546" s="114" t="n">
        <v>46235</v>
      </c>
      <c r="B3546" s="115" t="n">
        <v>2531</v>
      </c>
      <c r="C3546" s="115" t="inlineStr">
        <is>
          <t>VARLIK</t>
        </is>
      </c>
      <c r="D3546" s="115" t="inlineStr">
        <is>
          <t>SİLİNDİR</t>
        </is>
      </c>
      <c r="E3546" s="115" t="inlineStr">
        <is>
          <t>ATABEK</t>
        </is>
      </c>
      <c r="F3546" s="115" t="n"/>
      <c r="G3546" s="156" t="n"/>
      <c r="H3546" s="152" t="n">
        <v>330</v>
      </c>
      <c r="I3546" s="156" t="n"/>
      <c r="J3546" s="90" t="n"/>
      <c r="K3546" s="166" t="n"/>
      <c r="L3546" s="158" t="n"/>
      <c r="M3546" s="159" t="n"/>
    </row>
    <row r="3547">
      <c r="A3547" s="114" t="n">
        <v>46235</v>
      </c>
      <c r="B3547" s="115" t="n">
        <v>2532</v>
      </c>
      <c r="C3547" s="115" t="inlineStr">
        <is>
          <t>VARLIK</t>
        </is>
      </c>
      <c r="D3547" s="115" t="inlineStr">
        <is>
          <t>SM350</t>
        </is>
      </c>
      <c r="E3547" s="115" t="inlineStr">
        <is>
          <t>TURGUT</t>
        </is>
      </c>
      <c r="F3547" s="115" t="n"/>
      <c r="G3547" s="156" t="n"/>
      <c r="H3547" s="152" t="n">
        <v>293</v>
      </c>
      <c r="I3547" s="156" t="n"/>
      <c r="J3547" s="90" t="n"/>
      <c r="K3547" s="166" t="n"/>
      <c r="L3547" s="158" t="n"/>
      <c r="M3547" s="159" t="n"/>
    </row>
    <row r="3548">
      <c r="A3548" s="114" t="n">
        <v>46236</v>
      </c>
      <c r="B3548" s="115" t="n">
        <v>2533</v>
      </c>
      <c r="C3548" s="115" t="inlineStr">
        <is>
          <t>ŞEN KASAP</t>
        </is>
      </c>
      <c r="D3548" s="115" t="inlineStr">
        <is>
          <t>SM370</t>
        </is>
      </c>
      <c r="E3548" s="115" t="inlineStr">
        <is>
          <t>YUSUF</t>
        </is>
      </c>
      <c r="F3548" s="115" t="n"/>
      <c r="G3548" s="156" t="n"/>
      <c r="H3548" s="152" t="n">
        <v>334</v>
      </c>
      <c r="I3548" s="156" t="n"/>
      <c r="J3548" s="90" t="n"/>
      <c r="K3548" s="166" t="n"/>
      <c r="L3548" s="158" t="n"/>
      <c r="M3548" s="159" t="n"/>
    </row>
    <row r="3549">
      <c r="A3549" s="114" t="n">
        <v>46236</v>
      </c>
      <c r="B3549" s="115" t="n">
        <v>2534</v>
      </c>
      <c r="C3549" s="115" t="inlineStr">
        <is>
          <t>VARLIK</t>
        </is>
      </c>
      <c r="D3549" s="115" t="inlineStr">
        <is>
          <t>KAVASAKİ</t>
        </is>
      </c>
      <c r="E3549" s="115" t="inlineStr">
        <is>
          <t>RAMAZAN</t>
        </is>
      </c>
      <c r="F3549" s="115" t="n"/>
      <c r="G3549" s="156" t="n"/>
      <c r="H3549" s="152" t="n">
        <v>249</v>
      </c>
      <c r="I3549" s="156" t="n"/>
      <c r="J3549" s="90" t="n"/>
      <c r="K3549" s="166" t="n"/>
      <c r="L3549" s="158" t="n"/>
      <c r="M3549" s="159" t="n"/>
    </row>
    <row r="3550">
      <c r="A3550" s="114" t="n">
        <v>46236</v>
      </c>
      <c r="B3550" s="115" t="n">
        <v>2535</v>
      </c>
      <c r="C3550" s="115" t="inlineStr">
        <is>
          <t>VARLIK</t>
        </is>
      </c>
      <c r="D3550" s="115" t="inlineStr">
        <is>
          <t>SM330</t>
        </is>
      </c>
      <c r="E3550" s="115" t="inlineStr">
        <is>
          <t>TURGUT</t>
        </is>
      </c>
      <c r="F3550" s="115" t="n"/>
      <c r="G3550" s="156" t="n"/>
      <c r="H3550" s="152" t="n">
        <v>450</v>
      </c>
      <c r="I3550" s="156" t="n"/>
      <c r="J3550" s="90" t="n"/>
      <c r="K3550" s="166" t="n"/>
      <c r="L3550" s="158" t="n"/>
      <c r="M3550" s="159" t="n"/>
    </row>
    <row r="3551">
      <c r="A3551" s="114" t="n">
        <v>46236</v>
      </c>
      <c r="B3551" s="115" t="n">
        <v>2536</v>
      </c>
      <c r="C3551" s="115" t="inlineStr">
        <is>
          <t>VARLIK</t>
        </is>
      </c>
      <c r="D3551" s="115" t="inlineStr">
        <is>
          <t>SM350</t>
        </is>
      </c>
      <c r="E3551" s="115" t="inlineStr">
        <is>
          <t>ONUR</t>
        </is>
      </c>
      <c r="F3551" s="115" t="n"/>
      <c r="G3551" s="156" t="n"/>
      <c r="H3551" s="152" t="n">
        <v>532</v>
      </c>
      <c r="I3551" s="156" t="n"/>
      <c r="J3551" s="90" t="n"/>
      <c r="K3551" s="166" t="n"/>
      <c r="L3551" s="158" t="n"/>
      <c r="M3551" s="159" t="n"/>
    </row>
    <row r="3552">
      <c r="A3552" s="114" t="n">
        <v>46236</v>
      </c>
      <c r="B3552" s="115" t="n">
        <v>2537</v>
      </c>
      <c r="C3552" s="115" t="inlineStr">
        <is>
          <t>EVKUR</t>
        </is>
      </c>
      <c r="D3552" s="115" t="inlineStr">
        <is>
          <t>SM350</t>
        </is>
      </c>
      <c r="E3552" s="115" t="inlineStr">
        <is>
          <t>TEVFİK</t>
        </is>
      </c>
      <c r="F3552" s="115" t="n"/>
      <c r="G3552" s="156" t="n"/>
      <c r="H3552" s="152" t="n">
        <v>442</v>
      </c>
      <c r="I3552" s="156" t="n"/>
      <c r="J3552" s="90" t="n"/>
      <c r="K3552" s="166" t="n"/>
      <c r="L3552" s="158" t="n"/>
      <c r="M3552" s="159" t="n"/>
    </row>
    <row r="3553">
      <c r="A3553" s="114" t="n">
        <v>46236</v>
      </c>
      <c r="B3553" s="115" t="n">
        <v>2538</v>
      </c>
      <c r="C3553" s="115" t="inlineStr">
        <is>
          <t>SELİM İNŞAAT</t>
        </is>
      </c>
      <c r="D3553" s="115" t="inlineStr">
        <is>
          <t>JCB</t>
        </is>
      </c>
      <c r="E3553" s="115" t="inlineStr">
        <is>
          <t>BAYRAM</t>
        </is>
      </c>
      <c r="F3553" s="115" t="n"/>
      <c r="G3553" s="156" t="n"/>
      <c r="H3553" s="152" t="n">
        <v>78</v>
      </c>
      <c r="I3553" s="156" t="n"/>
      <c r="J3553" s="90" t="n"/>
      <c r="K3553" s="166" t="n"/>
      <c r="L3553" s="158" t="n"/>
      <c r="M3553" s="159" t="n"/>
    </row>
    <row r="3554">
      <c r="A3554" s="114" t="n">
        <v>46237</v>
      </c>
      <c r="B3554" s="115" t="n">
        <v>2539</v>
      </c>
      <c r="C3554" s="115" t="inlineStr">
        <is>
          <t>ŞEN KASAP</t>
        </is>
      </c>
      <c r="D3554" s="115" t="inlineStr">
        <is>
          <t>SM300</t>
        </is>
      </c>
      <c r="E3554" s="115" t="inlineStr">
        <is>
          <t>YAKUP</t>
        </is>
      </c>
      <c r="F3554" s="115" t="n"/>
      <c r="G3554" s="156" t="n"/>
      <c r="H3554" s="152" t="n">
        <v>500</v>
      </c>
      <c r="I3554" s="156" t="n"/>
      <c r="J3554" s="90" t="n"/>
      <c r="K3554" s="166" t="n"/>
      <c r="L3554" s="158" t="n"/>
      <c r="M3554" s="159" t="n"/>
    </row>
    <row r="3555">
      <c r="A3555" s="114" t="n">
        <v>46237</v>
      </c>
      <c r="B3555" s="115" t="n">
        <v>2540</v>
      </c>
      <c r="C3555" s="115" t="inlineStr">
        <is>
          <t>VARLIK</t>
        </is>
      </c>
      <c r="D3555" s="115" t="inlineStr">
        <is>
          <t>SM330</t>
        </is>
      </c>
      <c r="E3555" s="115" t="inlineStr">
        <is>
          <t>TURGUT</t>
        </is>
      </c>
      <c r="F3555" s="115" t="n"/>
      <c r="G3555" s="156" t="n"/>
      <c r="H3555" s="152" t="n">
        <v>360</v>
      </c>
      <c r="I3555" s="156" t="n"/>
      <c r="J3555" s="90" t="n"/>
      <c r="K3555" s="166" t="n"/>
      <c r="L3555" s="158" t="n"/>
      <c r="M3555" s="159" t="n"/>
    </row>
    <row r="3556">
      <c r="A3556" s="114" t="n">
        <v>46237</v>
      </c>
      <c r="B3556" s="115" t="n">
        <v>2541</v>
      </c>
      <c r="C3556" s="115" t="inlineStr">
        <is>
          <t>VARLIK</t>
        </is>
      </c>
      <c r="D3556" s="115" t="inlineStr">
        <is>
          <t>SM350</t>
        </is>
      </c>
      <c r="E3556" s="115" t="inlineStr">
        <is>
          <t>ONUR</t>
        </is>
      </c>
      <c r="F3556" s="115" t="n"/>
      <c r="G3556" s="156" t="n"/>
      <c r="H3556" s="152" t="n">
        <v>300</v>
      </c>
      <c r="I3556" s="156" t="n"/>
      <c r="J3556" s="90" t="n"/>
      <c r="K3556" s="166" t="n"/>
      <c r="L3556" s="158" t="n"/>
      <c r="M3556" s="159" t="n"/>
    </row>
    <row r="3557">
      <c r="A3557" s="114" t="n">
        <v>46237</v>
      </c>
      <c r="B3557" s="115" t="n">
        <v>2542</v>
      </c>
      <c r="C3557" s="115" t="inlineStr">
        <is>
          <t>VARLIK</t>
        </is>
      </c>
      <c r="D3557" s="115" t="inlineStr">
        <is>
          <t>KAVASAKİ</t>
        </is>
      </c>
      <c r="E3557" s="115" t="inlineStr">
        <is>
          <t>RAMAZAN</t>
        </is>
      </c>
      <c r="F3557" s="115" t="n"/>
      <c r="G3557" s="156" t="n"/>
      <c r="H3557" s="152" t="n">
        <v>248</v>
      </c>
      <c r="I3557" s="156" t="n"/>
      <c r="J3557" s="90" t="n"/>
      <c r="K3557" s="166" t="n"/>
      <c r="L3557" s="158" t="n"/>
      <c r="M3557" s="159" t="n"/>
    </row>
    <row r="3558">
      <c r="A3558" s="114" t="n">
        <v>46237</v>
      </c>
      <c r="B3558" s="115" t="n">
        <v>2543</v>
      </c>
      <c r="C3558" s="115" t="inlineStr">
        <is>
          <t>VARLIK</t>
        </is>
      </c>
      <c r="D3558" s="115" t="inlineStr">
        <is>
          <t>SİLİNDİR</t>
        </is>
      </c>
      <c r="E3558" s="115" t="inlineStr">
        <is>
          <t>ATABEK</t>
        </is>
      </c>
      <c r="F3558" s="115" t="n"/>
      <c r="G3558" s="156" t="n"/>
      <c r="H3558" s="152" t="n">
        <v>290</v>
      </c>
      <c r="I3558" s="156" t="n"/>
      <c r="J3558" s="90" t="n"/>
      <c r="K3558" s="166" t="n"/>
      <c r="L3558" s="158" t="n"/>
      <c r="M3558" s="159" t="n"/>
    </row>
    <row r="3559">
      <c r="A3559" s="114" t="n">
        <v>46238</v>
      </c>
      <c r="B3559" s="115" t="n">
        <v>2544</v>
      </c>
      <c r="C3559" s="115" t="inlineStr">
        <is>
          <t>ŞEN KASAP</t>
        </is>
      </c>
      <c r="D3559" s="115" t="inlineStr">
        <is>
          <t>SM350</t>
        </is>
      </c>
      <c r="E3559" s="115" t="inlineStr">
        <is>
          <t>TEVFİK</t>
        </is>
      </c>
      <c r="F3559" s="115" t="n"/>
      <c r="G3559" s="156" t="n"/>
      <c r="H3559" s="152" t="n">
        <v>245</v>
      </c>
      <c r="I3559" s="156" t="n"/>
      <c r="J3559" s="90" t="n"/>
      <c r="K3559" s="166" t="n"/>
      <c r="L3559" s="158" t="n"/>
      <c r="M3559" s="159" t="n"/>
    </row>
    <row r="3560">
      <c r="A3560" s="114" t="n">
        <v>46238</v>
      </c>
      <c r="B3560" s="115" t="n">
        <v>2545</v>
      </c>
      <c r="C3560" s="115" t="inlineStr">
        <is>
          <t>ŞEN KASAP</t>
        </is>
      </c>
      <c r="D3560" s="115" t="inlineStr">
        <is>
          <t>SM370</t>
        </is>
      </c>
      <c r="E3560" s="115" t="inlineStr">
        <is>
          <t>YUSUF</t>
        </is>
      </c>
      <c r="F3560" s="115" t="n"/>
      <c r="G3560" s="156" t="n"/>
      <c r="H3560" s="152" t="n">
        <v>580</v>
      </c>
      <c r="I3560" s="156" t="n"/>
      <c r="J3560" s="90" t="n"/>
      <c r="K3560" s="166" t="n"/>
      <c r="L3560" s="158" t="n"/>
      <c r="M3560" s="159" t="n"/>
    </row>
    <row r="3561">
      <c r="A3561" s="114" t="n">
        <v>46238</v>
      </c>
      <c r="B3561" s="115" t="n">
        <v>2546</v>
      </c>
      <c r="C3561" s="115" t="inlineStr">
        <is>
          <t>ŞEN KASAP</t>
        </is>
      </c>
      <c r="D3561" s="115" t="inlineStr">
        <is>
          <t>SM300</t>
        </is>
      </c>
      <c r="E3561" s="115" t="inlineStr">
        <is>
          <t>YAKUP</t>
        </is>
      </c>
      <c r="F3561" s="115" t="n"/>
      <c r="G3561" s="156" t="n"/>
      <c r="H3561" s="152" t="n">
        <v>250</v>
      </c>
      <c r="I3561" s="156" t="n"/>
      <c r="J3561" s="90" t="n"/>
      <c r="K3561" s="166" t="n"/>
      <c r="L3561" s="158" t="n"/>
      <c r="M3561" s="159" t="n"/>
    </row>
    <row r="3562">
      <c r="A3562" s="114" t="n">
        <v>46238</v>
      </c>
      <c r="B3562" s="115" t="n">
        <v>2547</v>
      </c>
      <c r="C3562" s="115" t="inlineStr">
        <is>
          <t>VARLIK</t>
        </is>
      </c>
      <c r="D3562" s="115" t="inlineStr">
        <is>
          <t>SM350</t>
        </is>
      </c>
      <c r="E3562" s="115" t="inlineStr">
        <is>
          <t>ONUR</t>
        </is>
      </c>
      <c r="F3562" s="115" t="n"/>
      <c r="G3562" s="156" t="n"/>
      <c r="H3562" s="152" t="n">
        <v>307</v>
      </c>
      <c r="I3562" s="156" t="n"/>
      <c r="J3562" s="90" t="n"/>
      <c r="K3562" s="166" t="n"/>
      <c r="L3562" s="158" t="n"/>
      <c r="M3562" s="159" t="n"/>
    </row>
    <row r="3563">
      <c r="A3563" s="114" t="n">
        <v>46238</v>
      </c>
      <c r="B3563" s="115" t="n">
        <v>2548</v>
      </c>
      <c r="C3563" s="115" t="inlineStr">
        <is>
          <t>VARLIK</t>
        </is>
      </c>
      <c r="D3563" s="115" t="inlineStr">
        <is>
          <t>KAVASAKİ</t>
        </is>
      </c>
      <c r="E3563" s="115" t="inlineStr">
        <is>
          <t>RAMAZAN</t>
        </is>
      </c>
      <c r="F3563" s="115" t="n"/>
      <c r="G3563" s="156" t="n"/>
      <c r="H3563" s="152" t="n">
        <v>167</v>
      </c>
      <c r="I3563" s="156" t="n"/>
      <c r="J3563" s="90" t="n"/>
      <c r="K3563" s="166" t="n"/>
      <c r="L3563" s="158" t="n"/>
      <c r="M3563" s="159" t="n"/>
    </row>
    <row r="3564">
      <c r="A3564" s="114" t="n">
        <v>46238</v>
      </c>
      <c r="B3564" s="115" t="n">
        <v>2549</v>
      </c>
      <c r="C3564" s="115" t="inlineStr">
        <is>
          <t>VARLIK</t>
        </is>
      </c>
      <c r="D3564" s="115" t="inlineStr">
        <is>
          <t>SM330</t>
        </is>
      </c>
      <c r="E3564" s="115" t="inlineStr">
        <is>
          <t>TURGUT</t>
        </is>
      </c>
      <c r="F3564" s="115" t="n"/>
      <c r="G3564" s="156" t="n"/>
      <c r="H3564" s="152" t="n">
        <v>365</v>
      </c>
      <c r="I3564" s="156" t="n"/>
      <c r="J3564" s="90" t="n"/>
      <c r="K3564" s="166" t="n"/>
      <c r="L3564" s="158" t="n"/>
      <c r="M3564" s="159" t="n"/>
    </row>
    <row r="3565">
      <c r="A3565" s="114" t="n">
        <v>46238</v>
      </c>
      <c r="B3565" s="115" t="n">
        <v>2550</v>
      </c>
      <c r="C3565" s="115" t="inlineStr">
        <is>
          <t>MEGA VARLIK</t>
        </is>
      </c>
      <c r="D3565" s="115" t="inlineStr">
        <is>
          <t>MANİTO</t>
        </is>
      </c>
      <c r="E3565" s="115" t="inlineStr">
        <is>
          <t>MUHAMMED</t>
        </is>
      </c>
      <c r="F3565" s="115" t="n"/>
      <c r="G3565" s="156" t="n"/>
      <c r="H3565" s="152" t="n">
        <v>280</v>
      </c>
      <c r="I3565" s="156" t="n"/>
      <c r="J3565" s="90" t="n"/>
      <c r="K3565" s="166" t="n"/>
      <c r="L3565" s="158" t="n"/>
      <c r="M3565" s="159" t="n"/>
    </row>
    <row r="3566">
      <c r="A3566" s="114" t="n">
        <v>46239</v>
      </c>
      <c r="B3566" s="115" t="n">
        <v>2601</v>
      </c>
      <c r="C3566" s="115" t="inlineStr">
        <is>
          <t>SELİM İNŞAAT</t>
        </is>
      </c>
      <c r="D3566" s="115" t="inlineStr">
        <is>
          <t>JCB</t>
        </is>
      </c>
      <c r="E3566" s="115" t="inlineStr">
        <is>
          <t>BAYRAM</t>
        </is>
      </c>
      <c r="F3566" s="115" t="n"/>
      <c r="G3566" s="156" t="n"/>
      <c r="H3566" s="152" t="n">
        <v>69</v>
      </c>
      <c r="I3566" s="156" t="n"/>
      <c r="J3566" s="90" t="n"/>
      <c r="K3566" s="166" t="n"/>
      <c r="L3566" s="158" t="n"/>
      <c r="M3566" s="159" t="n"/>
    </row>
    <row r="3567">
      <c r="A3567" s="114" t="n">
        <v>46240</v>
      </c>
      <c r="B3567" s="115" t="n">
        <v>2602</v>
      </c>
      <c r="C3567" s="115" t="inlineStr">
        <is>
          <t xml:space="preserve">TORU İNŞAAT </t>
        </is>
      </c>
      <c r="D3567" s="115" t="inlineStr">
        <is>
          <t>VİNÇ TANK</t>
        </is>
      </c>
      <c r="E3567" s="115" t="n"/>
      <c r="F3567" s="115" t="n"/>
      <c r="G3567" s="156" t="n"/>
      <c r="H3567" s="152" t="n">
        <v>501</v>
      </c>
      <c r="I3567" s="156" t="n"/>
      <c r="J3567" s="90" t="n"/>
      <c r="K3567" s="166" t="n"/>
      <c r="L3567" s="158" t="n"/>
      <c r="M3567" s="159" t="n"/>
    </row>
    <row r="3568">
      <c r="A3568" s="114" t="n">
        <v>46240</v>
      </c>
      <c r="B3568" s="115" t="n">
        <v>2603</v>
      </c>
      <c r="C3568" s="115" t="inlineStr">
        <is>
          <t>ARDA PALET</t>
        </is>
      </c>
      <c r="D3568" s="115" t="inlineStr">
        <is>
          <t>SARI VİNÇ</t>
        </is>
      </c>
      <c r="E3568" s="115" t="inlineStr">
        <is>
          <t>ALİHAN</t>
        </is>
      </c>
      <c r="F3568" s="115" t="n"/>
      <c r="G3568" s="156" t="n"/>
      <c r="H3568" s="152" t="n">
        <v>268</v>
      </c>
      <c r="I3568" s="156" t="n"/>
      <c r="J3568" s="90" t="n"/>
      <c r="K3568" s="166" t="n"/>
      <c r="L3568" s="158" t="n"/>
      <c r="M3568" s="159" t="n"/>
    </row>
    <row r="3569">
      <c r="A3569" s="114" t="n">
        <v>46240</v>
      </c>
      <c r="B3569" s="115" t="n">
        <v>2604</v>
      </c>
      <c r="C3569" s="115" t="inlineStr">
        <is>
          <t>VARLIK</t>
        </is>
      </c>
      <c r="D3569" s="115" t="inlineStr">
        <is>
          <t>SM350</t>
        </is>
      </c>
      <c r="E3569" s="115" t="inlineStr">
        <is>
          <t>TURGUT</t>
        </is>
      </c>
      <c r="F3569" s="115" t="n"/>
      <c r="G3569" s="156" t="n"/>
      <c r="H3569" s="152" t="n">
        <v>448</v>
      </c>
      <c r="I3569" s="156" t="n"/>
      <c r="J3569" s="90" t="n"/>
      <c r="K3569" s="166" t="n"/>
      <c r="L3569" s="158" t="n"/>
      <c r="M3569" s="159" t="n"/>
    </row>
    <row r="3570">
      <c r="A3570" s="114" t="n">
        <v>46240</v>
      </c>
      <c r="B3570" s="115" t="n">
        <v>2605</v>
      </c>
      <c r="C3570" s="115" t="inlineStr">
        <is>
          <t>VARLIK</t>
        </is>
      </c>
      <c r="D3570" s="115" t="inlineStr">
        <is>
          <t>SM330</t>
        </is>
      </c>
      <c r="E3570" s="115" t="inlineStr">
        <is>
          <t>ONUR</t>
        </is>
      </c>
      <c r="F3570" s="115" t="n"/>
      <c r="G3570" s="156" t="n"/>
      <c r="H3570" s="152" t="n">
        <v>426</v>
      </c>
      <c r="I3570" s="156" t="n"/>
      <c r="J3570" s="90" t="n"/>
      <c r="K3570" s="166" t="n"/>
      <c r="L3570" s="158" t="n"/>
      <c r="M3570" s="159" t="n"/>
    </row>
    <row r="3571">
      <c r="A3571" s="114" t="n">
        <v>46240</v>
      </c>
      <c r="B3571" s="115" t="n">
        <v>2606</v>
      </c>
      <c r="C3571" s="115" t="inlineStr">
        <is>
          <t>VARLIK</t>
        </is>
      </c>
      <c r="D3571" s="115" t="inlineStr">
        <is>
          <t>SİLİNDİR</t>
        </is>
      </c>
      <c r="E3571" s="115" t="inlineStr">
        <is>
          <t>ATABEK</t>
        </is>
      </c>
      <c r="F3571" s="115" t="n"/>
      <c r="G3571" s="156" t="n"/>
      <c r="H3571" s="152" t="n">
        <v>330</v>
      </c>
      <c r="I3571" s="156" t="n"/>
      <c r="J3571" s="90" t="n"/>
      <c r="K3571" s="166" t="n"/>
      <c r="L3571" s="158" t="n"/>
      <c r="M3571" s="159" t="n"/>
    </row>
    <row r="3572">
      <c r="A3572" s="114" t="n">
        <v>46240</v>
      </c>
      <c r="B3572" s="115" t="n">
        <v>2607</v>
      </c>
      <c r="C3572" s="115" t="inlineStr">
        <is>
          <t>VARLIK</t>
        </is>
      </c>
      <c r="D3572" s="115" t="inlineStr">
        <is>
          <t>KAVASAKİ</t>
        </is>
      </c>
      <c r="E3572" s="115" t="inlineStr">
        <is>
          <t>RAMAZAN</t>
        </is>
      </c>
      <c r="F3572" s="115" t="n"/>
      <c r="G3572" s="156" t="n"/>
      <c r="H3572" s="152" t="n">
        <v>269</v>
      </c>
      <c r="I3572" s="156" t="n"/>
      <c r="J3572" s="90" t="n"/>
      <c r="K3572" s="166" t="n"/>
      <c r="L3572" s="158" t="n"/>
      <c r="M3572" s="159" t="n"/>
    </row>
    <row r="3573">
      <c r="A3573" s="114" t="n">
        <v>46240</v>
      </c>
      <c r="B3573" s="115" t="n">
        <v>2608</v>
      </c>
      <c r="C3573" s="115" t="inlineStr">
        <is>
          <t>EVKUR</t>
        </is>
      </c>
      <c r="D3573" s="115" t="inlineStr">
        <is>
          <t>KİRALIK KATO</t>
        </is>
      </c>
      <c r="E3573" s="115" t="inlineStr">
        <is>
          <t>GÜNEŞ</t>
        </is>
      </c>
      <c r="F3573" s="115" t="n"/>
      <c r="G3573" s="156" t="n"/>
      <c r="H3573" s="152" t="n">
        <v>82</v>
      </c>
      <c r="I3573" s="156" t="n"/>
      <c r="J3573" s="90" t="n"/>
      <c r="K3573" s="166" t="n"/>
      <c r="L3573" s="158" t="n"/>
      <c r="M3573" s="159" t="n"/>
    </row>
    <row r="3574">
      <c r="A3574" s="114" t="n">
        <v>46240</v>
      </c>
      <c r="B3574" s="115" t="n">
        <v>2609</v>
      </c>
      <c r="C3574" s="115" t="inlineStr">
        <is>
          <t>ŞEN KASAP</t>
        </is>
      </c>
      <c r="D3574" s="115" t="inlineStr">
        <is>
          <t>SM350</t>
        </is>
      </c>
      <c r="E3574" s="115" t="inlineStr">
        <is>
          <t>TEVFİK</t>
        </is>
      </c>
      <c r="F3574" s="115" t="n"/>
      <c r="G3574" s="156" t="n"/>
      <c r="H3574" s="152" t="n">
        <v>500</v>
      </c>
      <c r="I3574" s="156" t="n"/>
      <c r="J3574" s="90" t="n"/>
      <c r="K3574" s="166" t="n"/>
      <c r="L3574" s="158" t="n"/>
      <c r="M3574" s="159" t="n"/>
    </row>
    <row r="3575">
      <c r="A3575" s="114" t="n">
        <v>46240</v>
      </c>
      <c r="B3575" s="115" t="n">
        <v>2610</v>
      </c>
      <c r="C3575" s="115" t="inlineStr">
        <is>
          <t>ŞEN KASAP</t>
        </is>
      </c>
      <c r="D3575" s="115" t="inlineStr">
        <is>
          <t>SM300</t>
        </is>
      </c>
      <c r="E3575" s="115" t="inlineStr">
        <is>
          <t>YAKUP</t>
        </is>
      </c>
      <c r="F3575" s="115" t="n"/>
      <c r="G3575" s="156" t="n"/>
      <c r="H3575" s="152" t="n">
        <v>470</v>
      </c>
      <c r="I3575" s="156" t="n"/>
      <c r="J3575" s="90" t="n"/>
      <c r="K3575" s="166" t="n"/>
      <c r="L3575" s="158" t="n"/>
      <c r="M3575" s="159" t="n"/>
    </row>
    <row r="3576">
      <c r="A3576" s="114" t="n">
        <v>46240</v>
      </c>
      <c r="B3576" s="115" t="n">
        <v>2611</v>
      </c>
      <c r="C3576" s="115" t="inlineStr">
        <is>
          <t>ŞEN KASAP</t>
        </is>
      </c>
      <c r="D3576" s="115" t="inlineStr">
        <is>
          <t>SM370</t>
        </is>
      </c>
      <c r="E3576" s="115" t="inlineStr">
        <is>
          <t>YUSUF</t>
        </is>
      </c>
      <c r="F3576" s="115" t="n"/>
      <c r="G3576" s="156" t="n"/>
      <c r="H3576" s="152" t="n">
        <v>330</v>
      </c>
      <c r="I3576" s="156" t="n"/>
      <c r="J3576" s="90" t="n"/>
      <c r="K3576" s="166" t="n"/>
      <c r="L3576" s="158" t="n"/>
      <c r="M3576" s="159" t="n"/>
    </row>
    <row r="3577">
      <c r="A3577" s="114" t="n">
        <v>46241</v>
      </c>
      <c r="B3577" s="115" t="n">
        <v>2612</v>
      </c>
      <c r="C3577" s="115" t="inlineStr">
        <is>
          <t>ŞEN KASAP</t>
        </is>
      </c>
      <c r="D3577" s="115" t="inlineStr">
        <is>
          <t>SM370</t>
        </is>
      </c>
      <c r="E3577" s="115" t="inlineStr">
        <is>
          <t>YUSUF</t>
        </is>
      </c>
      <c r="F3577" s="115" t="n"/>
      <c r="G3577" s="156" t="n"/>
      <c r="H3577" s="152" t="n">
        <v>457</v>
      </c>
      <c r="I3577" s="156" t="n"/>
      <c r="J3577" s="90" t="n"/>
      <c r="K3577" s="166" t="n"/>
      <c r="L3577" s="158" t="n"/>
      <c r="M3577" s="159" t="n"/>
    </row>
    <row r="3578">
      <c r="A3578" s="114" t="n">
        <v>46241</v>
      </c>
      <c r="B3578" s="115" t="n">
        <v>2613</v>
      </c>
      <c r="C3578" s="115" t="inlineStr">
        <is>
          <t>ŞEN KASAP</t>
        </is>
      </c>
      <c r="D3578" s="115" t="inlineStr">
        <is>
          <t xml:space="preserve">SM300 </t>
        </is>
      </c>
      <c r="E3578" s="115" t="inlineStr">
        <is>
          <t>YAKUP</t>
        </is>
      </c>
      <c r="F3578" s="115" t="n"/>
      <c r="G3578" s="156" t="n"/>
      <c r="H3578" s="152" t="n">
        <v>288</v>
      </c>
      <c r="I3578" s="156" t="n"/>
      <c r="J3578" s="90" t="n"/>
      <c r="K3578" s="166" t="n"/>
      <c r="L3578" s="158" t="n"/>
      <c r="M3578" s="159" t="n"/>
    </row>
    <row r="3579">
      <c r="A3579" s="114" t="n">
        <v>46241</v>
      </c>
      <c r="B3579" s="115" t="n">
        <v>2614</v>
      </c>
      <c r="C3579" s="115" t="inlineStr">
        <is>
          <t>VARLIK</t>
        </is>
      </c>
      <c r="D3579" s="115" t="inlineStr">
        <is>
          <t>KAVASAKİ</t>
        </is>
      </c>
      <c r="E3579" s="115" t="inlineStr">
        <is>
          <t>RAMAZAN</t>
        </is>
      </c>
      <c r="F3579" s="115" t="n"/>
      <c r="G3579" s="156" t="n"/>
      <c r="H3579" s="152" t="n">
        <v>324</v>
      </c>
      <c r="I3579" s="156" t="n"/>
      <c r="J3579" s="90" t="n"/>
      <c r="K3579" s="166" t="n"/>
      <c r="L3579" s="158" t="n"/>
      <c r="M3579" s="159" t="n"/>
    </row>
    <row r="3580">
      <c r="A3580" s="114" t="n">
        <v>46241</v>
      </c>
      <c r="B3580" s="115" t="n">
        <v>2615</v>
      </c>
      <c r="C3580" s="115" t="inlineStr">
        <is>
          <t>VARLIK</t>
        </is>
      </c>
      <c r="D3580" s="115" t="inlineStr">
        <is>
          <t>SM330</t>
        </is>
      </c>
      <c r="E3580" s="115" t="inlineStr">
        <is>
          <t>TURGUT</t>
        </is>
      </c>
      <c r="F3580" s="115" t="n"/>
      <c r="G3580" s="156" t="n"/>
      <c r="H3580" s="152" t="n">
        <v>415</v>
      </c>
      <c r="I3580" s="156" t="n"/>
      <c r="J3580" s="90" t="n"/>
      <c r="K3580" s="166" t="n"/>
      <c r="L3580" s="158" t="n"/>
      <c r="M3580" s="159" t="n"/>
    </row>
    <row r="3581">
      <c r="A3581" s="114" t="n">
        <v>46241</v>
      </c>
      <c r="B3581" s="115" t="n">
        <v>2616</v>
      </c>
      <c r="C3581" s="115" t="inlineStr">
        <is>
          <t>VARLIK</t>
        </is>
      </c>
      <c r="D3581" s="115" t="inlineStr">
        <is>
          <t>SM350</t>
        </is>
      </c>
      <c r="E3581" s="115" t="inlineStr">
        <is>
          <t>ONUR</t>
        </is>
      </c>
      <c r="F3581" s="115" t="n"/>
      <c r="G3581" s="156" t="n"/>
      <c r="H3581" s="152" t="n">
        <v>269</v>
      </c>
      <c r="I3581" s="156" t="n"/>
      <c r="J3581" s="90" t="n"/>
      <c r="K3581" s="166" t="n"/>
      <c r="L3581" s="158" t="n"/>
      <c r="M3581" s="159" t="n"/>
    </row>
    <row r="3582">
      <c r="A3582" s="114" t="n">
        <v>46242</v>
      </c>
      <c r="B3582" s="115" t="n">
        <v>2617</v>
      </c>
      <c r="C3582" s="115" t="inlineStr">
        <is>
          <t>EVKUR</t>
        </is>
      </c>
      <c r="D3582" s="115" t="inlineStr">
        <is>
          <t>SM350</t>
        </is>
      </c>
      <c r="E3582" s="115" t="inlineStr">
        <is>
          <t>TEVFİK</t>
        </is>
      </c>
      <c r="F3582" s="115" t="n"/>
      <c r="G3582" s="156" t="n"/>
      <c r="H3582" s="152" t="n">
        <v>440</v>
      </c>
      <c r="I3582" s="156" t="n"/>
      <c r="J3582" s="90" t="n"/>
      <c r="K3582" s="166" t="n"/>
      <c r="L3582" s="158" t="n"/>
      <c r="M3582" s="159" t="n"/>
    </row>
    <row r="3583">
      <c r="A3583" s="114" t="n">
        <v>46242</v>
      </c>
      <c r="B3583" s="115" t="n">
        <v>2618</v>
      </c>
      <c r="C3583" s="115" t="inlineStr">
        <is>
          <t>VARLIK</t>
        </is>
      </c>
      <c r="D3583" s="115" t="inlineStr">
        <is>
          <t>SM350</t>
        </is>
      </c>
      <c r="E3583" s="115" t="inlineStr">
        <is>
          <t>ONUR</t>
        </is>
      </c>
      <c r="F3583" s="115" t="n"/>
      <c r="G3583" s="156" t="n"/>
      <c r="H3583" s="152" t="n">
        <v>515</v>
      </c>
      <c r="I3583" s="156" t="n"/>
      <c r="J3583" s="90" t="n"/>
      <c r="K3583" s="166" t="n"/>
      <c r="L3583" s="158" t="n"/>
      <c r="M3583" s="159" t="n"/>
    </row>
    <row r="3584">
      <c r="A3584" s="114" t="n">
        <v>46242</v>
      </c>
      <c r="B3584" s="115" t="n">
        <v>2619</v>
      </c>
      <c r="C3584" s="115" t="inlineStr">
        <is>
          <t>VARLIK</t>
        </is>
      </c>
      <c r="D3584" s="115" t="inlineStr">
        <is>
          <t>KAVASAKİ</t>
        </is>
      </c>
      <c r="E3584" s="115" t="inlineStr">
        <is>
          <t>RAMAZAN</t>
        </is>
      </c>
      <c r="F3584" s="115" t="n"/>
      <c r="G3584" s="156" t="n"/>
      <c r="H3584" s="152" t="n">
        <v>200</v>
      </c>
      <c r="I3584" s="156" t="n"/>
      <c r="J3584" s="90" t="n"/>
      <c r="K3584" s="166" t="n"/>
      <c r="L3584" s="158" t="n"/>
      <c r="M3584" s="159" t="n"/>
    </row>
    <row r="3585">
      <c r="A3585" s="114" t="n">
        <v>46242</v>
      </c>
      <c r="B3585" s="115" t="n">
        <v>2620</v>
      </c>
      <c r="C3585" s="115" t="inlineStr">
        <is>
          <t>VARLIK</t>
        </is>
      </c>
      <c r="D3585" s="115" t="inlineStr">
        <is>
          <t>SM330</t>
        </is>
      </c>
      <c r="E3585" s="115" t="inlineStr">
        <is>
          <t>TURGUT</t>
        </is>
      </c>
      <c r="F3585" s="115" t="n"/>
      <c r="G3585" s="156" t="n"/>
      <c r="H3585" s="152" t="n">
        <v>384</v>
      </c>
      <c r="I3585" s="156" t="n"/>
      <c r="J3585" s="90" t="n"/>
      <c r="K3585" s="166" t="n"/>
      <c r="L3585" s="158" t="n"/>
      <c r="M3585" s="159" t="n"/>
    </row>
    <row r="3586">
      <c r="A3586" s="114" t="n">
        <v>46242</v>
      </c>
      <c r="B3586" s="115" t="n">
        <v>2621</v>
      </c>
      <c r="C3586" s="115" t="inlineStr">
        <is>
          <t>VARLIK</t>
        </is>
      </c>
      <c r="D3586" s="115" t="inlineStr">
        <is>
          <t>SİLİNDİR</t>
        </is>
      </c>
      <c r="E3586" s="115" t="inlineStr">
        <is>
          <t>ATABEK</t>
        </is>
      </c>
      <c r="F3586" s="115" t="n"/>
      <c r="G3586" s="156" t="n"/>
      <c r="H3586" s="152" t="n">
        <v>340</v>
      </c>
      <c r="I3586" s="156" t="n"/>
      <c r="J3586" s="90" t="n"/>
      <c r="K3586" s="166" t="n"/>
      <c r="L3586" s="158" t="n"/>
      <c r="M3586" s="159" t="n"/>
    </row>
    <row r="3587">
      <c r="A3587" s="114" t="n">
        <v>46242</v>
      </c>
      <c r="B3587" s="115" t="n">
        <v>2622</v>
      </c>
      <c r="C3587" s="115" t="inlineStr">
        <is>
          <t>KOZMO</t>
        </is>
      </c>
      <c r="D3587" s="115" t="inlineStr">
        <is>
          <t>ZOMLİYON</t>
        </is>
      </c>
      <c r="E3587" s="115" t="inlineStr">
        <is>
          <t xml:space="preserve">SALİH </t>
        </is>
      </c>
      <c r="F3587" s="115" t="n"/>
      <c r="G3587" s="156" t="n"/>
      <c r="H3587" s="152" t="n">
        <v>285</v>
      </c>
      <c r="I3587" s="156" t="n"/>
      <c r="J3587" s="90" t="n"/>
      <c r="K3587" s="166" t="n"/>
      <c r="L3587" s="158" t="n"/>
      <c r="M3587" s="159" t="n"/>
    </row>
    <row r="3588">
      <c r="A3588" s="114" t="n">
        <v>46244</v>
      </c>
      <c r="B3588" s="115" t="n">
        <v>2623</v>
      </c>
      <c r="C3588" s="115" t="inlineStr">
        <is>
          <t>ŞEN KASAP</t>
        </is>
      </c>
      <c r="D3588" s="115" t="inlineStr">
        <is>
          <t>SM300</t>
        </is>
      </c>
      <c r="E3588" s="115" t="inlineStr">
        <is>
          <t>YAKUP</t>
        </is>
      </c>
      <c r="F3588" s="115" t="n"/>
      <c r="G3588" s="156" t="n"/>
      <c r="H3588" s="152" t="n">
        <v>390</v>
      </c>
      <c r="I3588" s="156" t="n"/>
      <c r="J3588" s="90" t="n"/>
      <c r="K3588" s="166" t="n"/>
      <c r="L3588" s="158" t="n"/>
      <c r="M3588" s="159" t="n"/>
    </row>
    <row r="3589">
      <c r="A3589" s="114" t="n">
        <v>46244</v>
      </c>
      <c r="B3589" s="115" t="n">
        <v>2624</v>
      </c>
      <c r="C3589" s="115" t="inlineStr">
        <is>
          <t>ŞEN KASAP</t>
        </is>
      </c>
      <c r="D3589" s="115" t="inlineStr">
        <is>
          <t>SM370</t>
        </is>
      </c>
      <c r="E3589" s="115" t="inlineStr">
        <is>
          <t>YUSUF</t>
        </is>
      </c>
      <c r="F3589" s="115" t="n"/>
      <c r="G3589" s="156" t="n"/>
      <c r="H3589" s="152" t="n">
        <v>510</v>
      </c>
      <c r="I3589" s="156" t="n"/>
      <c r="J3589" s="90" t="n"/>
      <c r="K3589" s="166" t="n"/>
      <c r="L3589" s="158" t="n"/>
      <c r="M3589" s="159" t="n"/>
    </row>
    <row r="3590">
      <c r="A3590" s="114" t="n">
        <v>46244</v>
      </c>
      <c r="B3590" s="115" t="n">
        <v>2625</v>
      </c>
      <c r="C3590" s="115" t="inlineStr">
        <is>
          <t>VARLIK</t>
        </is>
      </c>
      <c r="D3590" s="115" t="inlineStr">
        <is>
          <t>SM330</t>
        </is>
      </c>
      <c r="E3590" s="115" t="inlineStr">
        <is>
          <t>TURGUT</t>
        </is>
      </c>
      <c r="F3590" s="115" t="n"/>
      <c r="G3590" s="156" t="n"/>
      <c r="H3590" s="152" t="n">
        <v>408</v>
      </c>
      <c r="I3590" s="156" t="n"/>
      <c r="J3590" s="90" t="n"/>
      <c r="K3590" s="166" t="n"/>
      <c r="L3590" s="158" t="n"/>
      <c r="M3590" s="159" t="n"/>
    </row>
    <row r="3591">
      <c r="A3591" s="114" t="n">
        <v>46244</v>
      </c>
      <c r="B3591" s="115" t="n">
        <v>2626</v>
      </c>
      <c r="C3591" s="115" t="inlineStr">
        <is>
          <t>VARLIK</t>
        </is>
      </c>
      <c r="D3591" s="115" t="inlineStr">
        <is>
          <t>KAVASAKİ</t>
        </is>
      </c>
      <c r="E3591" s="115" t="inlineStr">
        <is>
          <t>RAMAZAN</t>
        </is>
      </c>
      <c r="F3591" s="115" t="n"/>
      <c r="G3591" s="156" t="n"/>
      <c r="H3591" s="152" t="n">
        <v>209</v>
      </c>
      <c r="I3591" s="156" t="n"/>
      <c r="J3591" s="90" t="n"/>
      <c r="K3591" s="166" t="n"/>
      <c r="L3591" s="158" t="n"/>
      <c r="M3591" s="159" t="n"/>
    </row>
    <row r="3592">
      <c r="A3592" s="114" t="n">
        <v>46244</v>
      </c>
      <c r="B3592" s="115" t="n">
        <v>2627</v>
      </c>
      <c r="C3592" s="115" t="inlineStr">
        <is>
          <t>VARLIK</t>
        </is>
      </c>
      <c r="D3592" s="115" t="inlineStr">
        <is>
          <t>SM350</t>
        </is>
      </c>
      <c r="E3592" s="115" t="inlineStr">
        <is>
          <t>ONUR</t>
        </is>
      </c>
      <c r="F3592" s="115" t="n"/>
      <c r="G3592" s="156" t="n"/>
      <c r="H3592" s="152" t="n">
        <v>295</v>
      </c>
      <c r="I3592" s="156" t="n"/>
      <c r="J3592" s="90" t="n"/>
      <c r="K3592" s="166" t="n"/>
      <c r="L3592" s="158" t="n"/>
      <c r="M3592" s="159" t="n"/>
    </row>
    <row r="3593">
      <c r="A3593" s="114" t="n">
        <v>46245</v>
      </c>
      <c r="B3593" s="115" t="n">
        <v>2628</v>
      </c>
      <c r="C3593" s="115" t="inlineStr">
        <is>
          <t>ŞEN KASAP</t>
        </is>
      </c>
      <c r="D3593" s="115" t="inlineStr">
        <is>
          <t>SM300</t>
        </is>
      </c>
      <c r="E3593" s="115" t="inlineStr">
        <is>
          <t>YAKUP</t>
        </is>
      </c>
      <c r="F3593" s="115" t="n"/>
      <c r="G3593" s="156" t="n"/>
      <c r="H3593" s="152" t="n">
        <v>398</v>
      </c>
      <c r="I3593" s="156" t="n"/>
      <c r="J3593" s="90" t="n"/>
      <c r="K3593" s="166" t="n"/>
      <c r="L3593" s="158" t="n"/>
      <c r="M3593" s="159" t="n"/>
    </row>
    <row r="3594">
      <c r="A3594" s="114" t="n">
        <v>46245</v>
      </c>
      <c r="B3594" s="115" t="n">
        <v>2629</v>
      </c>
      <c r="C3594" s="115" t="inlineStr">
        <is>
          <t>ŞEN KASAP</t>
        </is>
      </c>
      <c r="D3594" s="115" t="inlineStr">
        <is>
          <t>SM350</t>
        </is>
      </c>
      <c r="E3594" s="115" t="inlineStr">
        <is>
          <t>TEVFİK</t>
        </is>
      </c>
      <c r="F3594" s="115" t="n"/>
      <c r="G3594" s="156" t="n"/>
      <c r="H3594" s="152" t="n">
        <v>313</v>
      </c>
      <c r="I3594" s="156" t="n"/>
      <c r="J3594" s="90" t="n"/>
      <c r="K3594" s="166" t="n"/>
      <c r="L3594" s="158" t="n"/>
      <c r="M3594" s="159" t="n"/>
    </row>
    <row r="3595">
      <c r="A3595" s="114" t="n">
        <v>46245</v>
      </c>
      <c r="B3595" s="115" t="n">
        <v>2630</v>
      </c>
      <c r="C3595" s="115" t="inlineStr">
        <is>
          <t>VARLIK</t>
        </is>
      </c>
      <c r="D3595" s="115" t="inlineStr">
        <is>
          <t>SM370</t>
        </is>
      </c>
      <c r="E3595" s="115" t="inlineStr">
        <is>
          <t>YUSUF</t>
        </is>
      </c>
      <c r="F3595" s="115" t="n"/>
      <c r="G3595" s="156" t="n"/>
      <c r="H3595" s="152" t="n">
        <v>400</v>
      </c>
      <c r="I3595" s="156" t="n"/>
      <c r="J3595" s="90" t="n"/>
      <c r="K3595" s="166" t="n"/>
      <c r="L3595" s="158" t="n"/>
      <c r="M3595" s="159" t="n"/>
    </row>
    <row r="3596">
      <c r="A3596" s="114" t="n">
        <v>46245</v>
      </c>
      <c r="B3596" s="115" t="n">
        <v>2631</v>
      </c>
      <c r="C3596" s="115" t="inlineStr">
        <is>
          <t>VARLIK</t>
        </is>
      </c>
      <c r="D3596" s="115" t="inlineStr">
        <is>
          <t>KAVASAKİ</t>
        </is>
      </c>
      <c r="E3596" s="115" t="inlineStr">
        <is>
          <t>RAMAZAN</t>
        </is>
      </c>
      <c r="F3596" s="115" t="n"/>
      <c r="G3596" s="156" t="n"/>
      <c r="H3596" s="152" t="n">
        <v>260</v>
      </c>
      <c r="I3596" s="156" t="n"/>
      <c r="J3596" s="90" t="n"/>
      <c r="K3596" s="166" t="n"/>
      <c r="L3596" s="158" t="n"/>
      <c r="M3596" s="159" t="n"/>
    </row>
    <row r="3597">
      <c r="A3597" s="114" t="n">
        <v>46245</v>
      </c>
      <c r="B3597" s="115" t="n">
        <v>2632</v>
      </c>
      <c r="C3597" s="115" t="inlineStr">
        <is>
          <t>VARLIK</t>
        </is>
      </c>
      <c r="D3597" s="115" t="inlineStr">
        <is>
          <t>SM350</t>
        </is>
      </c>
      <c r="E3597" s="115" t="inlineStr">
        <is>
          <t>ONUR</t>
        </is>
      </c>
      <c r="F3597" s="115" t="n"/>
      <c r="G3597" s="156" t="n"/>
      <c r="H3597" s="152" t="n">
        <v>400</v>
      </c>
      <c r="I3597" s="156" t="n"/>
      <c r="J3597" s="90" t="n"/>
      <c r="K3597" s="166" t="n"/>
      <c r="L3597" s="158" t="n"/>
      <c r="M3597" s="159" t="n"/>
    </row>
    <row r="3598">
      <c r="A3598" s="114" t="n">
        <v>46245</v>
      </c>
      <c r="B3598" s="115" t="n">
        <v>2633</v>
      </c>
      <c r="C3598" s="115" t="inlineStr">
        <is>
          <t>VARLIK</t>
        </is>
      </c>
      <c r="D3598" s="115" t="inlineStr">
        <is>
          <t>SM330</t>
        </is>
      </c>
      <c r="E3598" s="115" t="inlineStr">
        <is>
          <t>TURGUT</t>
        </is>
      </c>
      <c r="F3598" s="115" t="n"/>
      <c r="G3598" s="156" t="n"/>
      <c r="H3598" s="152" t="n">
        <v>395</v>
      </c>
      <c r="I3598" s="156" t="n"/>
      <c r="J3598" s="90" t="n"/>
      <c r="K3598" s="166" t="n"/>
      <c r="L3598" s="158" t="n"/>
      <c r="M3598" s="159" t="n"/>
    </row>
    <row r="3599">
      <c r="A3599" s="114" t="n">
        <v>46246</v>
      </c>
      <c r="B3599" s="115" t="n">
        <v>2634</v>
      </c>
      <c r="C3599" s="115" t="inlineStr">
        <is>
          <t>ŞEN KASAP</t>
        </is>
      </c>
      <c r="D3599" s="115" t="inlineStr">
        <is>
          <t>SM350</t>
        </is>
      </c>
      <c r="E3599" s="115" t="inlineStr">
        <is>
          <t>TEVFİK</t>
        </is>
      </c>
      <c r="F3599" s="115" t="n"/>
      <c r="G3599" s="156" t="n"/>
      <c r="H3599" s="152" t="n">
        <v>360</v>
      </c>
      <c r="I3599" s="156" t="n"/>
      <c r="J3599" s="90" t="n"/>
      <c r="K3599" s="166" t="n"/>
      <c r="L3599" s="158" t="n"/>
      <c r="M3599" s="159" t="n"/>
    </row>
    <row r="3600">
      <c r="A3600" s="114" t="n">
        <v>46246</v>
      </c>
      <c r="B3600" s="115" t="n">
        <v>2635</v>
      </c>
      <c r="C3600" s="115" t="inlineStr">
        <is>
          <t>VARLIK</t>
        </is>
      </c>
      <c r="D3600" s="115" t="inlineStr">
        <is>
          <t>KAVASAKİ</t>
        </is>
      </c>
      <c r="E3600" s="115" t="inlineStr">
        <is>
          <t>RAMAZAN</t>
        </is>
      </c>
      <c r="F3600" s="115" t="n"/>
      <c r="G3600" s="156" t="n"/>
      <c r="H3600" s="152" t="n">
        <v>225</v>
      </c>
      <c r="I3600" s="156" t="n"/>
      <c r="J3600" s="90" t="n"/>
      <c r="K3600" s="166" t="n"/>
      <c r="L3600" s="158" t="n"/>
      <c r="M3600" s="159" t="n"/>
    </row>
    <row r="3601">
      <c r="A3601" s="114" t="n">
        <v>46246</v>
      </c>
      <c r="B3601" s="115" t="n">
        <v>2636</v>
      </c>
      <c r="C3601" s="115" t="inlineStr">
        <is>
          <t>VARLIK</t>
        </is>
      </c>
      <c r="D3601" s="115" t="inlineStr">
        <is>
          <t>SM330</t>
        </is>
      </c>
      <c r="E3601" s="115" t="inlineStr">
        <is>
          <t>TURGUT</t>
        </is>
      </c>
      <c r="F3601" s="115" t="n"/>
      <c r="G3601" s="156" t="n"/>
      <c r="H3601" s="152" t="n">
        <v>370</v>
      </c>
      <c r="I3601" s="156" t="n"/>
      <c r="J3601" s="90" t="n"/>
      <c r="K3601" s="166" t="n"/>
      <c r="L3601" s="158" t="n"/>
      <c r="M3601" s="159" t="n"/>
    </row>
    <row r="3602">
      <c r="A3602" s="114" t="n">
        <v>46246</v>
      </c>
      <c r="B3602" s="115" t="n">
        <v>2637</v>
      </c>
      <c r="C3602" s="115" t="inlineStr">
        <is>
          <t>VARLIK</t>
        </is>
      </c>
      <c r="D3602" s="115" t="inlineStr">
        <is>
          <t>SİLİNDİR</t>
        </is>
      </c>
      <c r="E3602" s="115" t="inlineStr">
        <is>
          <t>ATABEK</t>
        </is>
      </c>
      <c r="F3602" s="115" t="n"/>
      <c r="G3602" s="156" t="n"/>
      <c r="H3602" s="152" t="n">
        <v>315</v>
      </c>
      <c r="I3602" s="156" t="n"/>
      <c r="J3602" s="90" t="n"/>
      <c r="K3602" s="166" t="n"/>
      <c r="L3602" s="158" t="n"/>
      <c r="M3602" s="159" t="n"/>
    </row>
    <row r="3603">
      <c r="A3603" s="114" t="n">
        <v>46246</v>
      </c>
      <c r="B3603" s="115" t="n">
        <v>2638</v>
      </c>
      <c r="C3603" s="115" t="inlineStr">
        <is>
          <t>MEGA VARLIK</t>
        </is>
      </c>
      <c r="D3603" s="115" t="inlineStr">
        <is>
          <t>MANİTO</t>
        </is>
      </c>
      <c r="E3603" s="115" t="inlineStr">
        <is>
          <t>MUHAMMED</t>
        </is>
      </c>
      <c r="F3603" s="115" t="n"/>
      <c r="G3603" s="156" t="n"/>
      <c r="H3603" s="152" t="n">
        <v>270</v>
      </c>
      <c r="I3603" s="156" t="n"/>
      <c r="J3603" s="90" t="n"/>
      <c r="K3603" s="166" t="n"/>
      <c r="L3603" s="158" t="n"/>
      <c r="M3603" s="159" t="n"/>
    </row>
    <row r="3604">
      <c r="A3604" s="114" t="n">
        <v>46246</v>
      </c>
      <c r="B3604" s="115" t="n">
        <v>2639</v>
      </c>
      <c r="C3604" s="115" t="inlineStr">
        <is>
          <t>SELİM İNŞAAT</t>
        </is>
      </c>
      <c r="D3604" s="115" t="inlineStr">
        <is>
          <t>34 AZ2191</t>
        </is>
      </c>
      <c r="E3604" s="115" t="inlineStr">
        <is>
          <t>NUMAN</t>
        </is>
      </c>
      <c r="F3604" s="115" t="n"/>
      <c r="G3604" s="156" t="n"/>
      <c r="H3604" s="152" t="n">
        <v>291</v>
      </c>
      <c r="I3604" s="156" t="n"/>
      <c r="J3604" s="90" t="n"/>
      <c r="K3604" s="166" t="n"/>
      <c r="L3604" s="158" t="n"/>
      <c r="M3604" s="159" t="n"/>
    </row>
    <row r="3605">
      <c r="A3605" s="114" t="n">
        <v>46247</v>
      </c>
      <c r="B3605" s="115" t="n">
        <v>2640</v>
      </c>
      <c r="C3605" s="115" t="inlineStr">
        <is>
          <t>VARLIK</t>
        </is>
      </c>
      <c r="D3605" s="115" t="inlineStr">
        <is>
          <t>SM370</t>
        </is>
      </c>
      <c r="E3605" s="115" t="inlineStr">
        <is>
          <t>YUSUF</t>
        </is>
      </c>
      <c r="F3605" s="115" t="n"/>
      <c r="G3605" s="156" t="n"/>
      <c r="H3605" s="152" t="n">
        <v>580</v>
      </c>
      <c r="I3605" s="156" t="n"/>
      <c r="J3605" s="90" t="n"/>
      <c r="K3605" s="166" t="n"/>
      <c r="L3605" s="158" t="n"/>
      <c r="M3605" s="159" t="n"/>
    </row>
    <row r="3606">
      <c r="A3606" s="114" t="n">
        <v>46247</v>
      </c>
      <c r="B3606" s="115" t="n">
        <v>2641</v>
      </c>
      <c r="C3606" s="115" t="inlineStr">
        <is>
          <t>VARLIK</t>
        </is>
      </c>
      <c r="D3606" s="115" t="inlineStr">
        <is>
          <t>SM330</t>
        </is>
      </c>
      <c r="E3606" s="115" t="inlineStr">
        <is>
          <t>TURGUT</t>
        </is>
      </c>
      <c r="F3606" s="115" t="n"/>
      <c r="G3606" s="156" t="n"/>
      <c r="H3606" s="152" t="n">
        <v>375</v>
      </c>
      <c r="I3606" s="156" t="n"/>
      <c r="J3606" s="90" t="n"/>
      <c r="K3606" s="166" t="n"/>
      <c r="L3606" s="158" t="n"/>
      <c r="M3606" s="159" t="n"/>
    </row>
    <row r="3607">
      <c r="A3607" s="114" t="n">
        <v>46247</v>
      </c>
      <c r="B3607" s="115" t="n">
        <v>2642</v>
      </c>
      <c r="C3607" s="115" t="inlineStr">
        <is>
          <t>VARLIK</t>
        </is>
      </c>
      <c r="D3607" s="115" t="inlineStr">
        <is>
          <t>SM350</t>
        </is>
      </c>
      <c r="E3607" s="115" t="inlineStr">
        <is>
          <t>ONUR</t>
        </is>
      </c>
      <c r="F3607" s="115" t="n"/>
      <c r="G3607" s="156" t="n"/>
      <c r="H3607" s="152" t="n">
        <v>360</v>
      </c>
      <c r="I3607" s="156" t="n"/>
      <c r="J3607" s="90" t="n"/>
      <c r="K3607" s="166" t="n"/>
      <c r="L3607" s="158" t="n"/>
      <c r="M3607" s="159" t="n"/>
    </row>
    <row r="3608">
      <c r="A3608" s="114" t="n">
        <v>46247</v>
      </c>
      <c r="B3608" s="115" t="n">
        <v>2643</v>
      </c>
      <c r="C3608" s="115" t="inlineStr">
        <is>
          <t>SELİM İNŞAAT</t>
        </is>
      </c>
      <c r="D3608" s="115" t="inlineStr">
        <is>
          <t>KAVASAKİ</t>
        </is>
      </c>
      <c r="E3608" s="115" t="inlineStr">
        <is>
          <t>RAMAZAN</t>
        </is>
      </c>
      <c r="F3608" s="115" t="n"/>
      <c r="G3608" s="156" t="n"/>
      <c r="H3608" s="152" t="n">
        <v>240</v>
      </c>
      <c r="I3608" s="156" t="n"/>
      <c r="J3608" s="90" t="n"/>
      <c r="K3608" s="166" t="n"/>
      <c r="L3608" s="158" t="n"/>
      <c r="M3608" s="159" t="n"/>
    </row>
    <row r="3609">
      <c r="A3609" s="114" t="n">
        <v>46247</v>
      </c>
      <c r="B3609" s="115" t="n">
        <v>2644</v>
      </c>
      <c r="C3609" s="115" t="inlineStr">
        <is>
          <t>ŞEN KASAP</t>
        </is>
      </c>
      <c r="D3609" s="115" t="inlineStr">
        <is>
          <t>JCB</t>
        </is>
      </c>
      <c r="E3609" s="115" t="inlineStr">
        <is>
          <t>BAYRAM</t>
        </is>
      </c>
      <c r="F3609" s="115" t="n"/>
      <c r="G3609" s="156" t="n"/>
      <c r="H3609" s="152" t="n">
        <v>123</v>
      </c>
      <c r="I3609" s="156" t="n"/>
      <c r="J3609" s="90" t="n"/>
      <c r="K3609" s="166" t="n"/>
      <c r="L3609" s="158" t="n"/>
      <c r="M3609" s="159" t="n"/>
    </row>
    <row r="3610">
      <c r="A3610" s="114" t="n">
        <v>46247</v>
      </c>
      <c r="B3610" s="115" t="n">
        <v>2645</v>
      </c>
      <c r="C3610" s="115" t="inlineStr">
        <is>
          <t>ŞEN KASAP</t>
        </is>
      </c>
      <c r="D3610" s="115" t="inlineStr">
        <is>
          <t>SM300</t>
        </is>
      </c>
      <c r="E3610" s="115" t="inlineStr">
        <is>
          <t>YAKUP</t>
        </is>
      </c>
      <c r="F3610" s="115" t="n"/>
      <c r="G3610" s="156" t="n"/>
      <c r="H3610" s="152" t="n">
        <v>450</v>
      </c>
      <c r="I3610" s="156" t="n"/>
      <c r="J3610" s="90" t="n"/>
      <c r="K3610" s="166" t="n"/>
      <c r="L3610" s="158" t="n"/>
      <c r="M3610" s="159" t="n"/>
    </row>
    <row r="3611">
      <c r="A3611" s="114" t="n">
        <v>46247</v>
      </c>
      <c r="B3611" s="115" t="n">
        <v>2646</v>
      </c>
      <c r="C3611" s="115" t="inlineStr">
        <is>
          <t>ŞEN KASAP</t>
        </is>
      </c>
      <c r="D3611" s="115" t="inlineStr">
        <is>
          <t>SM350</t>
        </is>
      </c>
      <c r="E3611" s="115" t="inlineStr">
        <is>
          <t>TEVFİK</t>
        </is>
      </c>
      <c r="F3611" s="115" t="n"/>
      <c r="G3611" s="156" t="n"/>
      <c r="H3611" s="152" t="n">
        <v>512</v>
      </c>
      <c r="I3611" s="156" t="n"/>
      <c r="J3611" s="90" t="n"/>
      <c r="K3611" s="166" t="n"/>
      <c r="L3611" s="158" t="n"/>
      <c r="M3611" s="159" t="n"/>
    </row>
    <row r="3612">
      <c r="A3612" s="114" t="n">
        <v>46248</v>
      </c>
      <c r="B3612" s="115" t="n">
        <v>2647</v>
      </c>
      <c r="C3612" s="115" t="inlineStr">
        <is>
          <t>EVKUR</t>
        </is>
      </c>
      <c r="D3612" s="115" t="inlineStr">
        <is>
          <t>KİRALIK KATO</t>
        </is>
      </c>
      <c r="E3612" s="115" t="inlineStr">
        <is>
          <t>GÜNEŞ</t>
        </is>
      </c>
      <c r="F3612" s="115" t="n"/>
      <c r="G3612" s="156" t="n"/>
      <c r="H3612" s="152" t="n">
        <v>95</v>
      </c>
      <c r="I3612" s="156" t="n"/>
      <c r="J3612" s="90" t="n"/>
      <c r="K3612" s="166" t="n"/>
      <c r="L3612" s="158" t="n"/>
      <c r="M3612" s="159" t="n"/>
    </row>
    <row r="3613">
      <c r="A3613" s="114" t="n">
        <v>46248</v>
      </c>
      <c r="B3613" s="115" t="n">
        <v>2648</v>
      </c>
      <c r="C3613" s="115" t="inlineStr">
        <is>
          <t>VARLIK</t>
        </is>
      </c>
      <c r="D3613" s="115" t="inlineStr">
        <is>
          <t>SİLİNDİR</t>
        </is>
      </c>
      <c r="E3613" s="115" t="inlineStr">
        <is>
          <t>ATABEK</t>
        </is>
      </c>
      <c r="F3613" s="115" t="n"/>
      <c r="G3613" s="156" t="n"/>
      <c r="H3613" s="152" t="n">
        <v>323</v>
      </c>
      <c r="I3613" s="156" t="n"/>
      <c r="J3613" s="90" t="n"/>
      <c r="K3613" s="166" t="n"/>
      <c r="L3613" s="158" t="n"/>
      <c r="M3613" s="159" t="n"/>
    </row>
    <row r="3614">
      <c r="A3614" s="114" t="n">
        <v>46248</v>
      </c>
      <c r="B3614" s="115" t="n">
        <v>2649</v>
      </c>
      <c r="C3614" s="115" t="inlineStr">
        <is>
          <t>VARLIK</t>
        </is>
      </c>
      <c r="D3614" s="115" t="inlineStr">
        <is>
          <t>SM350</t>
        </is>
      </c>
      <c r="E3614" s="115" t="inlineStr">
        <is>
          <t>TURGUT</t>
        </is>
      </c>
      <c r="F3614" s="115" t="n"/>
      <c r="G3614" s="156" t="n"/>
      <c r="H3614" s="152" t="n">
        <v>490</v>
      </c>
      <c r="I3614" s="156" t="n"/>
      <c r="J3614" s="90" t="n"/>
      <c r="K3614" s="166" t="n"/>
      <c r="L3614" s="158" t="n"/>
      <c r="M3614" s="159" t="n"/>
    </row>
    <row r="3615">
      <c r="A3615" s="114" t="n">
        <v>46248</v>
      </c>
      <c r="B3615" s="115" t="n">
        <v>2650</v>
      </c>
      <c r="C3615" s="115" t="inlineStr">
        <is>
          <t>VARLIK</t>
        </is>
      </c>
      <c r="D3615" s="115" t="inlineStr">
        <is>
          <t>KAVASAKİ</t>
        </is>
      </c>
      <c r="E3615" s="115" t="inlineStr">
        <is>
          <t>RAMAZAN</t>
        </is>
      </c>
      <c r="F3615" s="115" t="n"/>
      <c r="G3615" s="156" t="n"/>
      <c r="H3615" s="152" t="n">
        <v>272</v>
      </c>
      <c r="I3615" s="156" t="n"/>
      <c r="J3615" s="90" t="n"/>
      <c r="K3615" s="166" t="n"/>
      <c r="L3615" s="158" t="n"/>
      <c r="M3615" s="159" t="n"/>
    </row>
    <row r="3616">
      <c r="A3616" s="114" t="n">
        <v>46248</v>
      </c>
      <c r="B3616" s="115" t="n">
        <v>3701</v>
      </c>
      <c r="C3616" s="115" t="inlineStr">
        <is>
          <t>VARLIK</t>
        </is>
      </c>
      <c r="D3616" s="115" t="inlineStr">
        <is>
          <t>SM330</t>
        </is>
      </c>
      <c r="E3616" s="115" t="inlineStr">
        <is>
          <t>ONUR</t>
        </is>
      </c>
      <c r="F3616" s="115" t="n"/>
      <c r="G3616" s="156" t="n"/>
      <c r="H3616" s="152" t="n">
        <v>420</v>
      </c>
      <c r="I3616" s="156" t="n"/>
      <c r="J3616" s="90" t="n"/>
      <c r="K3616" s="166" t="n"/>
      <c r="L3616" s="158" t="n"/>
      <c r="M3616" s="159" t="n"/>
    </row>
    <row r="3617">
      <c r="A3617" s="114" t="n">
        <v>46248</v>
      </c>
      <c r="B3617" s="115" t="n">
        <v>3702</v>
      </c>
      <c r="C3617" s="115" t="inlineStr">
        <is>
          <t>VARLIK</t>
        </is>
      </c>
      <c r="D3617" s="115" t="inlineStr">
        <is>
          <t>SM370</t>
        </is>
      </c>
      <c r="E3617" s="115" t="inlineStr">
        <is>
          <t>YUSUF</t>
        </is>
      </c>
      <c r="F3617" s="115" t="n"/>
      <c r="G3617" s="156" t="n"/>
      <c r="H3617" s="152" t="n">
        <v>430</v>
      </c>
      <c r="I3617" s="156" t="n"/>
      <c r="J3617" s="90" t="n"/>
      <c r="K3617" s="166" t="n"/>
      <c r="L3617" s="158" t="n"/>
      <c r="M3617" s="159" t="n"/>
    </row>
    <row r="3618">
      <c r="A3618" s="114" t="n">
        <v>46248</v>
      </c>
      <c r="B3618" s="115" t="n">
        <v>3703</v>
      </c>
      <c r="C3618" s="115" t="inlineStr">
        <is>
          <t>SELİM İNŞAAT</t>
        </is>
      </c>
      <c r="D3618" s="115" t="inlineStr">
        <is>
          <t>JCB</t>
        </is>
      </c>
      <c r="E3618" s="115" t="inlineStr">
        <is>
          <t>BAYRAM</t>
        </is>
      </c>
      <c r="F3618" s="115" t="n"/>
      <c r="G3618" s="156" t="n"/>
      <c r="H3618" s="152" t="n">
        <v>45</v>
      </c>
      <c r="I3618" s="156" t="n"/>
      <c r="J3618" s="90" t="n"/>
      <c r="K3618" s="166" t="n"/>
      <c r="L3618" s="158" t="n"/>
      <c r="M3618" s="159" t="n"/>
    </row>
    <row r="3619">
      <c r="A3619" s="114" t="n">
        <v>46249</v>
      </c>
      <c r="B3619" s="115" t="n">
        <v>3704</v>
      </c>
      <c r="C3619" s="115" t="inlineStr">
        <is>
          <t>MEGA VARLIK</t>
        </is>
      </c>
      <c r="D3619" s="115" t="inlineStr">
        <is>
          <t>SM350</t>
        </is>
      </c>
      <c r="E3619" s="115" t="inlineStr">
        <is>
          <t>TEVFİK</t>
        </is>
      </c>
      <c r="F3619" s="115" t="n"/>
      <c r="G3619" s="156" t="n"/>
      <c r="H3619" s="152" t="n">
        <v>520</v>
      </c>
      <c r="I3619" s="156" t="n"/>
      <c r="J3619" s="90" t="n"/>
      <c r="K3619" s="166" t="n"/>
      <c r="L3619" s="158" t="n"/>
      <c r="M3619" s="159" t="n"/>
    </row>
    <row r="3620">
      <c r="A3620" s="114" t="n">
        <v>46249</v>
      </c>
      <c r="B3620" s="115" t="n">
        <v>3705</v>
      </c>
      <c r="C3620" s="115" t="inlineStr">
        <is>
          <t xml:space="preserve">TORU İNŞAAT </t>
        </is>
      </c>
      <c r="D3620" s="115" t="inlineStr">
        <is>
          <t>VİNÇ TANK</t>
        </is>
      </c>
      <c r="E3620" s="115" t="n"/>
      <c r="F3620" s="115" t="n"/>
      <c r="G3620" s="156" t="n"/>
      <c r="H3620" s="152" t="n">
        <v>500</v>
      </c>
      <c r="I3620" s="156" t="n"/>
      <c r="J3620" s="90" t="n"/>
      <c r="K3620" s="166" t="n"/>
      <c r="L3620" s="158" t="n"/>
      <c r="M3620" s="159" t="n"/>
    </row>
    <row r="3621">
      <c r="A3621" s="114" t="n">
        <v>46249</v>
      </c>
      <c r="B3621" s="115" t="n">
        <v>3706</v>
      </c>
      <c r="C3621" s="115" t="inlineStr">
        <is>
          <t>ŞEN KASAP</t>
        </is>
      </c>
      <c r="D3621" s="115" t="inlineStr">
        <is>
          <t>SM300</t>
        </is>
      </c>
      <c r="E3621" s="115" t="inlineStr">
        <is>
          <t>YAKUP</t>
        </is>
      </c>
      <c r="F3621" s="115" t="n"/>
      <c r="G3621" s="156" t="n"/>
      <c r="H3621" s="152" t="n">
        <v>420</v>
      </c>
      <c r="I3621" s="156" t="n"/>
      <c r="J3621" s="90" t="n"/>
      <c r="K3621" s="166" t="n"/>
      <c r="L3621" s="158" t="n"/>
      <c r="M3621" s="159" t="n"/>
    </row>
    <row r="3622">
      <c r="A3622" s="114" t="n">
        <v>46249</v>
      </c>
      <c r="B3622" s="115" t="n">
        <v>3707</v>
      </c>
      <c r="C3622" s="115" t="inlineStr">
        <is>
          <t>ŞEN KASAP</t>
        </is>
      </c>
      <c r="D3622" s="115" t="inlineStr">
        <is>
          <t>SM370</t>
        </is>
      </c>
      <c r="E3622" s="115" t="inlineStr">
        <is>
          <t>YUSUF</t>
        </is>
      </c>
      <c r="F3622" s="115" t="n"/>
      <c r="G3622" s="156" t="n"/>
      <c r="H3622" s="152" t="n">
        <v>378</v>
      </c>
      <c r="I3622" s="156" t="n"/>
      <c r="J3622" s="90" t="n"/>
      <c r="K3622" s="166" t="n"/>
      <c r="L3622" s="158" t="n"/>
      <c r="M3622" s="159" t="n"/>
    </row>
    <row r="3623">
      <c r="A3623" s="114" t="n">
        <v>46249</v>
      </c>
      <c r="B3623" s="115" t="n">
        <v>3708</v>
      </c>
      <c r="C3623" s="115" t="inlineStr">
        <is>
          <t>VARLIK</t>
        </is>
      </c>
      <c r="D3623" s="115" t="inlineStr">
        <is>
          <t>SM330</t>
        </is>
      </c>
      <c r="E3623" s="115" t="inlineStr">
        <is>
          <t>TURGUT</t>
        </is>
      </c>
      <c r="F3623" s="115" t="n"/>
      <c r="G3623" s="156" t="n"/>
      <c r="H3623" s="152" t="n">
        <v>415</v>
      </c>
      <c r="I3623" s="156" t="n"/>
      <c r="J3623" s="90" t="n"/>
      <c r="K3623" s="166" t="n"/>
      <c r="L3623" s="158" t="n"/>
      <c r="M3623" s="159" t="n"/>
    </row>
    <row r="3624">
      <c r="A3624" s="114" t="n">
        <v>46249</v>
      </c>
      <c r="B3624" s="115" t="n">
        <v>3709</v>
      </c>
      <c r="C3624" s="115" t="inlineStr">
        <is>
          <t>VARLIK</t>
        </is>
      </c>
      <c r="D3624" s="115" t="inlineStr">
        <is>
          <t>KAVASAKİ</t>
        </is>
      </c>
      <c r="E3624" s="115" t="inlineStr">
        <is>
          <t>RAMAZAN</t>
        </is>
      </c>
      <c r="F3624" s="115" t="n"/>
      <c r="G3624" s="156" t="n"/>
      <c r="H3624" s="152" t="n">
        <v>260</v>
      </c>
      <c r="I3624" s="156" t="n"/>
      <c r="J3624" s="90" t="n"/>
      <c r="K3624" s="166" t="n"/>
      <c r="L3624" s="158" t="n"/>
      <c r="M3624" s="159" t="n"/>
    </row>
    <row r="3625">
      <c r="A3625" s="114" t="n">
        <v>46249</v>
      </c>
      <c r="B3625" s="115" t="n">
        <v>3710</v>
      </c>
      <c r="C3625" s="115" t="inlineStr">
        <is>
          <t>EVKUR</t>
        </is>
      </c>
      <c r="D3625" s="115" t="inlineStr">
        <is>
          <t xml:space="preserve">JENERATÖR </t>
        </is>
      </c>
      <c r="E3625" s="115" t="inlineStr">
        <is>
          <t>GÜNEŞ</t>
        </is>
      </c>
      <c r="F3625" s="115" t="n"/>
      <c r="G3625" s="156" t="n"/>
      <c r="H3625" s="152" t="n">
        <v>192</v>
      </c>
      <c r="I3625" s="156" t="n"/>
      <c r="J3625" s="90" t="n"/>
      <c r="K3625" s="166" t="n"/>
      <c r="L3625" s="158" t="n"/>
      <c r="M3625" s="159" t="n"/>
    </row>
    <row r="3626">
      <c r="A3626" s="114" t="n">
        <v>46249</v>
      </c>
      <c r="B3626" s="115" t="n">
        <v>3711</v>
      </c>
      <c r="C3626" s="115" t="inlineStr">
        <is>
          <t>MEGA VARLIK</t>
        </is>
      </c>
      <c r="D3626" s="115" t="inlineStr">
        <is>
          <t>SİLİNDİR</t>
        </is>
      </c>
      <c r="E3626" s="115" t="inlineStr">
        <is>
          <t>ATABEK</t>
        </is>
      </c>
      <c r="F3626" s="115" t="n"/>
      <c r="G3626" s="156" t="n"/>
      <c r="H3626" s="152" t="n">
        <v>270</v>
      </c>
      <c r="I3626" s="156" t="n"/>
      <c r="J3626" s="90" t="n"/>
      <c r="K3626" s="166" t="n"/>
      <c r="L3626" s="158" t="n"/>
      <c r="M3626" s="159" t="n"/>
    </row>
    <row r="3627">
      <c r="A3627" s="114" t="n">
        <v>46249</v>
      </c>
      <c r="B3627" s="115" t="n">
        <v>3712</v>
      </c>
      <c r="C3627" s="115" t="inlineStr">
        <is>
          <t>ŞEN KASAP</t>
        </is>
      </c>
      <c r="D3627" s="115" t="inlineStr">
        <is>
          <t>SM300</t>
        </is>
      </c>
      <c r="E3627" s="115" t="inlineStr">
        <is>
          <t>YAKUP</t>
        </is>
      </c>
      <c r="F3627" s="115" t="n"/>
      <c r="G3627" s="156" t="n"/>
      <c r="H3627" s="152" t="n">
        <v>370</v>
      </c>
      <c r="I3627" s="156" t="n"/>
      <c r="J3627" s="90" t="n"/>
      <c r="K3627" s="166" t="n"/>
      <c r="L3627" s="158" t="n"/>
      <c r="M3627" s="159" t="n"/>
    </row>
    <row r="3628">
      <c r="A3628" s="114" t="n">
        <v>46249</v>
      </c>
      <c r="B3628" s="115" t="n">
        <v>3713</v>
      </c>
      <c r="C3628" s="115" t="inlineStr">
        <is>
          <t>ŞEN KASAP</t>
        </is>
      </c>
      <c r="D3628" s="115" t="inlineStr">
        <is>
          <t>SM350</t>
        </is>
      </c>
      <c r="E3628" s="115" t="inlineStr">
        <is>
          <t>ONUR</t>
        </is>
      </c>
      <c r="F3628" s="115" t="n"/>
      <c r="G3628" s="156" t="n"/>
      <c r="H3628" s="152" t="n">
        <v>480</v>
      </c>
      <c r="I3628" s="156" t="n"/>
      <c r="J3628" s="90" t="n"/>
      <c r="K3628" s="166" t="n"/>
      <c r="L3628" s="158" t="n"/>
      <c r="M3628" s="159" t="n"/>
    </row>
    <row r="3629">
      <c r="A3629" s="114" t="n">
        <v>46249</v>
      </c>
      <c r="B3629" s="115" t="n">
        <v>3714</v>
      </c>
      <c r="C3629" s="115" t="inlineStr">
        <is>
          <t>HASALTUN</t>
        </is>
      </c>
      <c r="D3629" s="115" t="inlineStr">
        <is>
          <t>KAVASAKİ</t>
        </is>
      </c>
      <c r="E3629" s="115" t="inlineStr">
        <is>
          <t>RAMAZAN</t>
        </is>
      </c>
      <c r="F3629" s="115" t="n"/>
      <c r="G3629" s="156" t="n"/>
      <c r="H3629" s="152" t="n">
        <v>260</v>
      </c>
      <c r="I3629" s="156" t="n"/>
      <c r="J3629" s="90" t="n"/>
      <c r="K3629" s="166" t="n"/>
      <c r="L3629" s="158" t="n"/>
      <c r="M3629" s="159" t="n"/>
    </row>
    <row r="3630">
      <c r="A3630" s="114" t="n">
        <v>46249</v>
      </c>
      <c r="B3630" s="115" t="n">
        <v>3715</v>
      </c>
      <c r="C3630" s="115" t="inlineStr">
        <is>
          <t>HASALTUN</t>
        </is>
      </c>
      <c r="D3630" s="115" t="inlineStr">
        <is>
          <t>SM370</t>
        </is>
      </c>
      <c r="E3630" s="115" t="inlineStr">
        <is>
          <t>YUSUF</t>
        </is>
      </c>
      <c r="F3630" s="115" t="n"/>
      <c r="G3630" s="156" t="n"/>
      <c r="H3630" s="152" t="n">
        <v>452</v>
      </c>
      <c r="I3630" s="156" t="n"/>
      <c r="J3630" s="90" t="n"/>
      <c r="K3630" s="166" t="n"/>
      <c r="L3630" s="158" t="n"/>
      <c r="M3630" s="159" t="n"/>
    </row>
    <row r="3631">
      <c r="A3631" s="114" t="n">
        <v>46249</v>
      </c>
      <c r="B3631" s="115" t="n">
        <v>3716</v>
      </c>
      <c r="C3631" s="115" t="inlineStr">
        <is>
          <t>HASALTUN</t>
        </is>
      </c>
      <c r="D3631" s="115" t="inlineStr">
        <is>
          <t>SM330</t>
        </is>
      </c>
      <c r="E3631" s="115" t="inlineStr">
        <is>
          <t>TURGUT</t>
        </is>
      </c>
      <c r="F3631" s="115" t="n"/>
      <c r="G3631" s="156" t="n"/>
      <c r="H3631" s="152" t="n">
        <v>470</v>
      </c>
      <c r="I3631" s="156" t="n"/>
      <c r="J3631" s="90" t="n"/>
      <c r="K3631" s="166" t="n"/>
      <c r="L3631" s="158" t="n"/>
      <c r="M3631" s="159" t="n"/>
    </row>
    <row r="3632">
      <c r="A3632" s="114" t="n">
        <v>46237</v>
      </c>
      <c r="B3632" s="115" t="n">
        <v>3324</v>
      </c>
      <c r="C3632" s="115" t="inlineStr">
        <is>
          <t>SELİM İNŞAAT</t>
        </is>
      </c>
      <c r="D3632" s="115" t="inlineStr">
        <is>
          <t>34 BUR 461</t>
        </is>
      </c>
      <c r="E3632" s="115" t="inlineStr">
        <is>
          <t>MUSTAFA</t>
        </is>
      </c>
      <c r="F3632" s="115" t="n"/>
      <c r="G3632" s="156" t="n"/>
      <c r="H3632" s="152" t="n">
        <v>53</v>
      </c>
      <c r="I3632" s="156" t="n"/>
      <c r="J3632" s="90" t="n"/>
      <c r="K3632" s="166" t="n"/>
      <c r="L3632" s="158" t="n"/>
      <c r="M3632" s="159" t="n"/>
    </row>
    <row r="3633">
      <c r="A3633" s="114" t="n">
        <v>46237</v>
      </c>
      <c r="B3633" s="115" t="n">
        <v>3325</v>
      </c>
      <c r="C3633" s="115" t="inlineStr">
        <is>
          <t>MAHMUT VİNÇ</t>
        </is>
      </c>
      <c r="D3633" s="115" t="inlineStr">
        <is>
          <t>34 AH 5401</t>
        </is>
      </c>
      <c r="E3633" s="115" t="inlineStr">
        <is>
          <t>YASİN DEMİR</t>
        </is>
      </c>
      <c r="F3633" s="115" t="n"/>
      <c r="G3633" s="156" t="n"/>
      <c r="H3633" s="152" t="n">
        <v>66</v>
      </c>
      <c r="I3633" s="156" t="n"/>
      <c r="J3633" s="90" t="n"/>
      <c r="K3633" s="166" t="n"/>
      <c r="L3633" s="158" t="n"/>
      <c r="M3633" s="159" t="n"/>
    </row>
    <row r="3634">
      <c r="A3634" s="114" t="n">
        <v>46237</v>
      </c>
      <c r="B3634" s="115" t="n">
        <v>3326</v>
      </c>
      <c r="C3634" s="115" t="inlineStr">
        <is>
          <t>SELİM İNŞAAT</t>
        </is>
      </c>
      <c r="D3634" s="115" t="inlineStr">
        <is>
          <t>ZABITA</t>
        </is>
      </c>
      <c r="E3634" s="115" t="n"/>
      <c r="F3634" s="115" t="n"/>
      <c r="G3634" s="156" t="n"/>
      <c r="H3634" s="152" t="n">
        <v>58</v>
      </c>
      <c r="I3634" s="156" t="n"/>
      <c r="J3634" s="90" t="n"/>
      <c r="K3634" s="166" t="n"/>
      <c r="L3634" s="158" t="n"/>
      <c r="M3634" s="159" t="n"/>
    </row>
    <row r="3635">
      <c r="A3635" s="114" t="n">
        <v>46238</v>
      </c>
      <c r="B3635" s="115" t="n">
        <v>3327</v>
      </c>
      <c r="C3635" s="115" t="inlineStr">
        <is>
          <t>ŞEN KASAP</t>
        </is>
      </c>
      <c r="D3635" s="115" t="inlineStr">
        <is>
          <t>FORKLİF</t>
        </is>
      </c>
      <c r="E3635" s="115" t="inlineStr">
        <is>
          <t>FAHRİ</t>
        </is>
      </c>
      <c r="F3635" s="115" t="n"/>
      <c r="G3635" s="156" t="n"/>
      <c r="H3635" s="152" t="n">
        <v>29</v>
      </c>
      <c r="I3635" s="156" t="n"/>
      <c r="J3635" s="90" t="n"/>
      <c r="K3635" s="166" t="n"/>
      <c r="L3635" s="158" t="n"/>
      <c r="M3635" s="159" t="n"/>
    </row>
    <row r="3636">
      <c r="A3636" s="114" t="n">
        <v>46238</v>
      </c>
      <c r="B3636" s="115" t="n">
        <v>3328</v>
      </c>
      <c r="C3636" s="115" t="inlineStr">
        <is>
          <t>ENES SELİM</t>
        </is>
      </c>
      <c r="D3636" s="115" t="inlineStr">
        <is>
          <t>34 TB 926</t>
        </is>
      </c>
      <c r="E3636" s="115" t="inlineStr">
        <is>
          <t>ENES</t>
        </is>
      </c>
      <c r="F3636" s="115" t="n"/>
      <c r="G3636" s="156" t="n"/>
      <c r="H3636" s="152" t="n">
        <v>210</v>
      </c>
      <c r="I3636" s="156" t="n"/>
      <c r="J3636" s="90" t="n"/>
      <c r="K3636" s="166" t="n"/>
      <c r="L3636" s="158" t="n"/>
      <c r="M3636" s="159" t="n"/>
    </row>
    <row r="3637">
      <c r="A3637" s="114" t="n">
        <v>46238</v>
      </c>
      <c r="B3637" s="115" t="n">
        <v>3329</v>
      </c>
      <c r="C3637" s="115" t="inlineStr">
        <is>
          <t>AHMET SELİM TEMHA</t>
        </is>
      </c>
      <c r="D3637" s="115" t="inlineStr">
        <is>
          <t>MANİTO</t>
        </is>
      </c>
      <c r="E3637" s="115" t="inlineStr">
        <is>
          <t>TURGAY</t>
        </is>
      </c>
      <c r="F3637" s="115" t="n"/>
      <c r="G3637" s="156" t="n"/>
      <c r="H3637" s="152" t="n">
        <v>137</v>
      </c>
      <c r="I3637" s="156" t="n"/>
      <c r="J3637" s="90" t="n"/>
      <c r="K3637" s="166" t="n"/>
      <c r="L3637" s="158" t="n"/>
      <c r="M3637" s="159" t="n"/>
    </row>
    <row r="3638">
      <c r="A3638" s="114" t="n">
        <v>46238</v>
      </c>
      <c r="B3638" s="115" t="n">
        <v>3330</v>
      </c>
      <c r="C3638" s="115" t="inlineStr">
        <is>
          <t>SELİM İNŞAAT</t>
        </is>
      </c>
      <c r="D3638" s="115" t="inlineStr">
        <is>
          <t>34 BUR 461</t>
        </is>
      </c>
      <c r="E3638" s="115" t="inlineStr">
        <is>
          <t>MUSTAFA</t>
        </is>
      </c>
      <c r="F3638" s="115" t="n"/>
      <c r="G3638" s="156" t="n"/>
      <c r="H3638" s="152" t="n">
        <v>24</v>
      </c>
      <c r="I3638" s="156" t="n"/>
      <c r="J3638" s="90" t="n"/>
      <c r="K3638" s="166" t="n"/>
      <c r="L3638" s="158" t="n"/>
      <c r="M3638" s="159" t="n"/>
    </row>
    <row r="3639">
      <c r="A3639" s="114" t="n">
        <v>46238</v>
      </c>
      <c r="B3639" s="115" t="n">
        <v>3331</v>
      </c>
      <c r="C3639" s="115" t="inlineStr">
        <is>
          <t>MEGA VARLIK</t>
        </is>
      </c>
      <c r="D3639" s="115" t="inlineStr">
        <is>
          <t>FORKLİF</t>
        </is>
      </c>
      <c r="E3639" s="115" t="inlineStr">
        <is>
          <t>FAHRİ</t>
        </is>
      </c>
      <c r="F3639" s="115" t="n"/>
      <c r="G3639" s="156" t="n"/>
      <c r="H3639" s="152" t="n">
        <v>48</v>
      </c>
      <c r="I3639" s="156" t="n"/>
      <c r="J3639" s="90" t="n"/>
      <c r="K3639" s="166" t="n"/>
      <c r="L3639" s="158" t="n"/>
      <c r="M3639" s="159" t="n"/>
    </row>
    <row r="3640">
      <c r="A3640" s="114" t="n">
        <v>46239</v>
      </c>
      <c r="B3640" s="115" t="n">
        <v>3332</v>
      </c>
      <c r="C3640" s="115" t="inlineStr">
        <is>
          <t>AHMET SELİM TEMHA</t>
        </is>
      </c>
      <c r="D3640" s="115" t="inlineStr">
        <is>
          <t>34 PGT 251</t>
        </is>
      </c>
      <c r="E3640" s="115" t="inlineStr">
        <is>
          <t>TURGAY</t>
        </is>
      </c>
      <c r="F3640" s="115" t="n"/>
      <c r="G3640" s="156" t="n"/>
      <c r="H3640" s="152" t="n">
        <v>47</v>
      </c>
      <c r="I3640" s="156" t="n"/>
      <c r="J3640" s="90" t="n"/>
      <c r="K3640" s="166" t="n"/>
      <c r="L3640" s="158" t="n"/>
      <c r="M3640" s="159" t="n"/>
    </row>
    <row r="3641">
      <c r="A3641" s="114" t="n">
        <v>46241</v>
      </c>
      <c r="B3641" s="115" t="n">
        <v>3333</v>
      </c>
      <c r="C3641" s="115" t="inlineStr">
        <is>
          <t>MEGA VARLIK</t>
        </is>
      </c>
      <c r="D3641" s="115" t="inlineStr">
        <is>
          <t>FORKLİF</t>
        </is>
      </c>
      <c r="E3641" s="115" t="inlineStr">
        <is>
          <t>FAHRİ</t>
        </is>
      </c>
      <c r="F3641" s="115" t="n"/>
      <c r="G3641" s="156" t="n"/>
      <c r="H3641" s="152" t="n">
        <v>30</v>
      </c>
      <c r="I3641" s="156" t="n"/>
      <c r="J3641" s="90" t="n"/>
      <c r="K3641" s="166" t="n"/>
      <c r="L3641" s="158" t="n"/>
      <c r="M3641" s="159" t="n"/>
    </row>
    <row r="3642">
      <c r="A3642" s="114" t="n">
        <v>46241</v>
      </c>
      <c r="B3642" s="115" t="n">
        <v>3334</v>
      </c>
      <c r="C3642" s="115" t="inlineStr">
        <is>
          <t>MAHMUT VİNÇ</t>
        </is>
      </c>
      <c r="D3642" s="115" t="inlineStr">
        <is>
          <t>34 AH 5401</t>
        </is>
      </c>
      <c r="E3642" s="115" t="inlineStr">
        <is>
          <t>YASİN DEMİR</t>
        </is>
      </c>
      <c r="F3642" s="115" t="n"/>
      <c r="G3642" s="156" t="n"/>
      <c r="H3642" s="152" t="n">
        <v>80</v>
      </c>
      <c r="I3642" s="156" t="n"/>
      <c r="J3642" s="90" t="n"/>
      <c r="K3642" s="166" t="n"/>
      <c r="L3642" s="158" t="n"/>
      <c r="M3642" s="159" t="n"/>
    </row>
    <row r="3643">
      <c r="A3643" s="114" t="n">
        <v>46242</v>
      </c>
      <c r="B3643" s="115" t="n">
        <v>3335</v>
      </c>
      <c r="C3643" s="115" t="inlineStr">
        <is>
          <t>MEGA VARLIK</t>
        </is>
      </c>
      <c r="D3643" s="115" t="inlineStr">
        <is>
          <t>FORKLİF</t>
        </is>
      </c>
      <c r="E3643" s="115" t="inlineStr">
        <is>
          <t>FAHRİ</t>
        </is>
      </c>
      <c r="F3643" s="115" t="n"/>
      <c r="G3643" s="156" t="n"/>
      <c r="H3643" s="152" t="n">
        <v>30</v>
      </c>
      <c r="I3643" s="156" t="n"/>
      <c r="J3643" s="90" t="n"/>
      <c r="K3643" s="166" t="n"/>
      <c r="L3643" s="158" t="n"/>
      <c r="M3643" s="159" t="n"/>
    </row>
    <row r="3644">
      <c r="A3644" s="114" t="n">
        <v>46244</v>
      </c>
      <c r="B3644" s="115" t="n">
        <v>3336</v>
      </c>
      <c r="C3644" s="115" t="inlineStr">
        <is>
          <t>SELİM İNŞAAT</t>
        </is>
      </c>
      <c r="D3644" s="115" t="inlineStr">
        <is>
          <t>34 RFF 573</t>
        </is>
      </c>
      <c r="E3644" s="115" t="inlineStr">
        <is>
          <t>YILMAZ ÇELEBİ</t>
        </is>
      </c>
      <c r="F3644" s="115" t="n"/>
      <c r="G3644" s="156" t="n"/>
      <c r="H3644" s="152" t="n">
        <v>18</v>
      </c>
      <c r="I3644" s="156" t="n"/>
      <c r="J3644" s="90" t="n"/>
      <c r="K3644" s="166" t="n"/>
      <c r="L3644" s="158" t="n"/>
      <c r="M3644" s="159" t="n"/>
    </row>
    <row r="3645">
      <c r="A3645" s="114" t="n">
        <v>46244</v>
      </c>
      <c r="B3645" s="115" t="n">
        <v>3337</v>
      </c>
      <c r="C3645" s="115" t="inlineStr">
        <is>
          <t>AHMET SELİM TEMHA</t>
        </is>
      </c>
      <c r="D3645" s="115" t="inlineStr">
        <is>
          <t>34 PGT 251</t>
        </is>
      </c>
      <c r="E3645" s="115" t="inlineStr">
        <is>
          <t>ERSOY</t>
        </is>
      </c>
      <c r="F3645" s="115" t="n"/>
      <c r="G3645" s="156" t="n"/>
      <c r="H3645" s="152" t="n">
        <v>31</v>
      </c>
      <c r="I3645" s="156" t="n"/>
      <c r="J3645" s="90" t="n"/>
      <c r="K3645" s="166" t="n"/>
      <c r="L3645" s="158" t="n"/>
      <c r="M3645" s="159" t="n"/>
    </row>
    <row r="3646">
      <c r="A3646" s="114" t="n">
        <v>46246</v>
      </c>
      <c r="B3646" s="115" t="n">
        <v>3338</v>
      </c>
      <c r="C3646" s="115" t="inlineStr">
        <is>
          <t>MEGA VARLIK</t>
        </is>
      </c>
      <c r="D3646" s="115" t="inlineStr">
        <is>
          <t>FORKLİF</t>
        </is>
      </c>
      <c r="E3646" s="115" t="inlineStr">
        <is>
          <t>FAHRİ</t>
        </is>
      </c>
      <c r="F3646" s="115" t="n"/>
      <c r="G3646" s="156" t="n"/>
      <c r="H3646" s="152" t="n">
        <v>30</v>
      </c>
      <c r="I3646" s="156" t="n"/>
      <c r="J3646" s="90" t="n"/>
      <c r="K3646" s="166" t="n"/>
      <c r="L3646" s="158" t="n"/>
      <c r="M3646" s="159" t="n"/>
    </row>
    <row r="3647">
      <c r="A3647" s="114" t="n">
        <v>46247</v>
      </c>
      <c r="B3647" s="115" t="n">
        <v>3339</v>
      </c>
      <c r="C3647" s="115" t="inlineStr">
        <is>
          <t>MEGA VARLIK</t>
        </is>
      </c>
      <c r="D3647" s="115" t="inlineStr">
        <is>
          <t>FORKLİF</t>
        </is>
      </c>
      <c r="E3647" s="115" t="inlineStr">
        <is>
          <t>FAHRİ</t>
        </is>
      </c>
      <c r="F3647" s="115" t="n"/>
      <c r="G3647" s="156" t="n"/>
      <c r="H3647" s="152" t="n">
        <v>73</v>
      </c>
      <c r="I3647" s="156" t="n"/>
      <c r="J3647" s="90" t="n"/>
      <c r="K3647" s="166" t="n"/>
      <c r="L3647" s="158" t="n"/>
      <c r="M3647" s="159" t="n"/>
    </row>
    <row r="3648">
      <c r="A3648" s="114" t="n">
        <v>46247</v>
      </c>
      <c r="B3648" s="115" t="n">
        <v>3340</v>
      </c>
      <c r="C3648" s="115" t="inlineStr">
        <is>
          <t>AHMET SELİM TEMHA</t>
        </is>
      </c>
      <c r="D3648" s="115" t="inlineStr">
        <is>
          <t>34 PGT 251</t>
        </is>
      </c>
      <c r="E3648" s="115" t="inlineStr">
        <is>
          <t>ERSOY</t>
        </is>
      </c>
      <c r="F3648" s="115" t="n"/>
      <c r="G3648" s="156" t="n"/>
      <c r="H3648" s="152" t="n">
        <v>50</v>
      </c>
      <c r="I3648" s="156" t="n"/>
      <c r="J3648" s="90" t="n"/>
      <c r="K3648" s="166" t="n"/>
      <c r="L3648" s="158" t="n"/>
      <c r="M3648" s="159" t="n"/>
    </row>
    <row r="3649">
      <c r="A3649" s="114" t="n">
        <v>46248</v>
      </c>
      <c r="B3649" s="115" t="n">
        <v>3341</v>
      </c>
      <c r="C3649" s="115" t="inlineStr">
        <is>
          <t>MAHMUT VİNÇ</t>
        </is>
      </c>
      <c r="D3649" s="115" t="inlineStr">
        <is>
          <t>34 AH 5401</t>
        </is>
      </c>
      <c r="E3649" s="115" t="inlineStr">
        <is>
          <t>MAHMUT</t>
        </is>
      </c>
      <c r="F3649" s="115" t="n"/>
      <c r="G3649" s="156" t="n"/>
      <c r="H3649" s="152" t="n">
        <v>74</v>
      </c>
      <c r="I3649" s="156" t="n"/>
      <c r="J3649" s="90" t="n"/>
      <c r="K3649" s="166" t="n"/>
      <c r="L3649" s="158" t="n"/>
      <c r="M3649" s="159" t="n"/>
    </row>
    <row r="3650">
      <c r="A3650" s="114" t="n">
        <v>46237</v>
      </c>
      <c r="B3650" s="115" t="n">
        <v>2936</v>
      </c>
      <c r="C3650" s="115" t="inlineStr">
        <is>
          <t>HASAN ZEMİN</t>
        </is>
      </c>
      <c r="D3650" s="115" t="inlineStr">
        <is>
          <t>KAZIK MAKİNASI</t>
        </is>
      </c>
      <c r="E3650" s="115" t="n"/>
      <c r="F3650" s="115" t="n"/>
      <c r="G3650" s="156" t="n"/>
      <c r="H3650" s="152" t="n">
        <v>321</v>
      </c>
      <c r="I3650" s="156" t="n"/>
      <c r="J3650" s="90" t="n"/>
      <c r="K3650" s="166" t="n"/>
      <c r="L3650" s="158" t="n"/>
      <c r="M3650" s="159" t="n"/>
    </row>
    <row r="3651">
      <c r="A3651" s="114" t="n">
        <v>46238</v>
      </c>
      <c r="B3651" s="115" t="n">
        <v>2937</v>
      </c>
      <c r="C3651" s="115" t="inlineStr">
        <is>
          <t>HASAN ZEMİN</t>
        </is>
      </c>
      <c r="D3651" s="115" t="inlineStr">
        <is>
          <t>KAZIK MAKİNASI</t>
        </is>
      </c>
      <c r="E3651" s="115" t="n"/>
      <c r="F3651" s="115" t="n"/>
      <c r="G3651" s="156" t="n"/>
      <c r="H3651" s="152" t="n">
        <v>424</v>
      </c>
      <c r="I3651" s="156" t="n"/>
      <c r="J3651" s="90" t="n"/>
      <c r="K3651" s="166" t="n"/>
      <c r="L3651" s="158" t="n"/>
      <c r="M3651" s="159" t="n"/>
    </row>
    <row r="3652">
      <c r="A3652" s="114" t="n">
        <v>46239</v>
      </c>
      <c r="B3652" s="115" t="n">
        <v>2938</v>
      </c>
      <c r="C3652" s="115" t="inlineStr">
        <is>
          <t>HASAN ZEMİN</t>
        </is>
      </c>
      <c r="D3652" s="115" t="inlineStr">
        <is>
          <t>KAZIK MAKİNASI</t>
        </is>
      </c>
      <c r="E3652" s="115" t="n"/>
      <c r="F3652" s="115" t="n"/>
      <c r="G3652" s="156" t="n"/>
      <c r="H3652" s="152" t="n">
        <v>74</v>
      </c>
      <c r="I3652" s="156" t="n"/>
      <c r="J3652" s="90" t="n"/>
      <c r="K3652" s="166" t="n"/>
      <c r="L3652" s="158" t="n"/>
      <c r="M3652" s="159" t="n"/>
    </row>
    <row r="3653">
      <c r="A3653" s="114" t="n">
        <v>46240</v>
      </c>
      <c r="B3653" s="115" t="n">
        <v>2939</v>
      </c>
      <c r="C3653" s="115" t="inlineStr">
        <is>
          <t>HASAN ZEMİN</t>
        </is>
      </c>
      <c r="D3653" s="115" t="inlineStr">
        <is>
          <t>KAZIK MAKİNASI</t>
        </is>
      </c>
      <c r="E3653" s="115" t="n"/>
      <c r="F3653" s="115" t="n"/>
      <c r="G3653" s="156" t="n"/>
      <c r="H3653" s="152" t="n">
        <v>192</v>
      </c>
      <c r="I3653" s="156" t="n"/>
      <c r="J3653" s="90" t="n"/>
      <c r="K3653" s="166" t="n"/>
      <c r="L3653" s="158" t="n"/>
      <c r="M3653" s="159" t="n"/>
    </row>
    <row r="3654">
      <c r="A3654" s="114" t="n">
        <v>46240</v>
      </c>
      <c r="B3654" s="115" t="n">
        <v>2940</v>
      </c>
      <c r="C3654" s="115" t="inlineStr">
        <is>
          <t>HASAN ZEMİN</t>
        </is>
      </c>
      <c r="D3654" s="115" t="inlineStr">
        <is>
          <t>KAZIK MAKİNASI</t>
        </is>
      </c>
      <c r="E3654" s="115" t="n"/>
      <c r="F3654" s="115" t="n"/>
      <c r="G3654" s="156" t="n"/>
      <c r="H3654" s="152" t="n">
        <v>385</v>
      </c>
      <c r="I3654" s="156" t="n"/>
      <c r="J3654" s="90" t="n"/>
      <c r="K3654" s="166" t="n"/>
      <c r="L3654" s="158" t="n"/>
      <c r="M3654" s="159" t="n"/>
    </row>
    <row r="3655">
      <c r="A3655" s="114" t="n">
        <v>46241</v>
      </c>
      <c r="B3655" s="115" t="n">
        <v>2941</v>
      </c>
      <c r="C3655" s="115" t="inlineStr">
        <is>
          <t>HASAN ZEMİN</t>
        </is>
      </c>
      <c r="D3655" s="115" t="inlineStr">
        <is>
          <t>KAZIK MAKİNASI</t>
        </is>
      </c>
      <c r="E3655" s="115" t="n"/>
      <c r="F3655" s="115" t="n"/>
      <c r="G3655" s="156" t="n"/>
      <c r="H3655" s="152" t="n">
        <v>369</v>
      </c>
      <c r="I3655" s="156" t="n"/>
      <c r="J3655" s="90" t="n"/>
      <c r="K3655" s="166" t="n"/>
      <c r="L3655" s="158" t="n"/>
      <c r="M3655" s="159" t="n"/>
    </row>
    <row r="3656">
      <c r="A3656" s="114" t="n">
        <v>46242</v>
      </c>
      <c r="B3656" s="115" t="n">
        <v>2942</v>
      </c>
      <c r="C3656" s="115" t="inlineStr">
        <is>
          <t>HASAN ZEMİN</t>
        </is>
      </c>
      <c r="D3656" s="115" t="inlineStr">
        <is>
          <t>KAZIK MAKİNASI</t>
        </is>
      </c>
      <c r="E3656" s="115" t="n"/>
      <c r="F3656" s="115" t="n"/>
      <c r="G3656" s="156" t="n"/>
      <c r="H3656" s="152" t="n">
        <v>228</v>
      </c>
      <c r="I3656" s="156" t="n"/>
      <c r="J3656" s="90" t="n"/>
      <c r="K3656" s="166" t="n"/>
      <c r="L3656" s="158" t="n"/>
      <c r="M3656" s="159" t="n"/>
    </row>
    <row r="3657">
      <c r="A3657" s="114" t="n">
        <v>46244</v>
      </c>
      <c r="B3657" s="115" t="n">
        <v>2943</v>
      </c>
      <c r="C3657" s="115" t="inlineStr">
        <is>
          <t>HASAN ZEMİN</t>
        </is>
      </c>
      <c r="D3657" s="115" t="inlineStr">
        <is>
          <t>KAZIK MAKİNASI</t>
        </is>
      </c>
      <c r="E3657" s="115" t="n"/>
      <c r="F3657" s="115" t="n"/>
      <c r="G3657" s="156" t="n"/>
      <c r="H3657" s="152" t="n">
        <v>390</v>
      </c>
      <c r="I3657" s="156" t="n"/>
      <c r="J3657" s="90" t="n"/>
      <c r="K3657" s="166" t="n"/>
      <c r="L3657" s="158" t="n"/>
      <c r="M3657" s="159" t="n"/>
    </row>
    <row r="3658">
      <c r="A3658" s="114" t="n">
        <v>46244</v>
      </c>
      <c r="B3658" s="115" t="n">
        <v>2944</v>
      </c>
      <c r="C3658" s="115" t="inlineStr">
        <is>
          <t>HASAN ZEMİN</t>
        </is>
      </c>
      <c r="D3658" s="115" t="inlineStr">
        <is>
          <t>KAZIK MAKİNASI</t>
        </is>
      </c>
      <c r="E3658" s="115" t="n"/>
      <c r="F3658" s="115" t="n"/>
      <c r="G3658" s="156" t="n"/>
      <c r="H3658" s="152" t="n">
        <v>192</v>
      </c>
      <c r="I3658" s="156" t="n"/>
      <c r="J3658" s="90" t="n"/>
      <c r="K3658" s="166" t="n"/>
      <c r="L3658" s="158" t="n"/>
      <c r="M3658" s="159" t="n"/>
    </row>
    <row r="3659">
      <c r="A3659" s="114" t="n">
        <v>46246</v>
      </c>
      <c r="B3659" s="115" t="n">
        <v>2945</v>
      </c>
      <c r="C3659" s="115" t="inlineStr">
        <is>
          <t>HASAN ZEMİN</t>
        </is>
      </c>
      <c r="D3659" s="115" t="inlineStr">
        <is>
          <t>KAZIK MAKİNASI</t>
        </is>
      </c>
      <c r="E3659" s="115" t="n"/>
      <c r="F3659" s="115" t="n"/>
      <c r="G3659" s="156" t="n"/>
      <c r="H3659" s="152" t="n">
        <v>416</v>
      </c>
      <c r="I3659" s="156" t="n"/>
      <c r="J3659" s="90" t="n"/>
      <c r="K3659" s="166" t="n"/>
      <c r="L3659" s="158" t="n"/>
      <c r="M3659" s="159" t="n"/>
    </row>
    <row r="3660">
      <c r="A3660" s="114" t="n">
        <v>46247</v>
      </c>
      <c r="B3660" s="115" t="n">
        <v>2946</v>
      </c>
      <c r="C3660" s="115" t="inlineStr">
        <is>
          <t>HASAN ZEMİN</t>
        </is>
      </c>
      <c r="D3660" s="115" t="inlineStr">
        <is>
          <t>KAZIK MAKİNASI</t>
        </is>
      </c>
      <c r="E3660" s="115" t="n"/>
      <c r="F3660" s="115" t="n"/>
      <c r="G3660" s="156" t="n"/>
      <c r="H3660" s="152" t="n">
        <v>300</v>
      </c>
      <c r="I3660" s="156" t="n"/>
      <c r="J3660" s="90" t="n"/>
      <c r="K3660" s="166" t="n"/>
      <c r="L3660" s="158" t="n"/>
      <c r="M3660" s="159" t="n"/>
    </row>
    <row r="3661">
      <c r="A3661" s="114" t="n">
        <v>46249</v>
      </c>
      <c r="B3661" s="115" t="n">
        <v>2947</v>
      </c>
      <c r="C3661" s="115" t="inlineStr">
        <is>
          <t>HASAN ZEMİN</t>
        </is>
      </c>
      <c r="D3661" s="115" t="inlineStr">
        <is>
          <t>KAZIK MAKİNASI</t>
        </is>
      </c>
      <c r="E3661" s="115" t="n"/>
      <c r="F3661" s="115" t="n"/>
      <c r="G3661" s="156" t="n"/>
      <c r="H3661" s="152" t="n">
        <v>329</v>
      </c>
      <c r="I3661" s="156" t="n"/>
      <c r="J3661" s="90" t="n"/>
      <c r="K3661" s="166" t="n"/>
      <c r="L3661" s="158" t="n"/>
      <c r="M3661" s="159" t="n"/>
    </row>
    <row r="3662">
      <c r="A3662" s="114" t="n">
        <v>46235</v>
      </c>
      <c r="B3662" s="115" t="n">
        <v>2878</v>
      </c>
      <c r="C3662" s="115" t="inlineStr">
        <is>
          <t>METİN ERYİĞİT</t>
        </is>
      </c>
      <c r="D3662" s="115" t="inlineStr">
        <is>
          <t>34 GBL 998</t>
        </is>
      </c>
      <c r="E3662" s="115" t="inlineStr">
        <is>
          <t>ALİ KESKİN</t>
        </is>
      </c>
      <c r="F3662" s="115" t="n">
        <v>396158</v>
      </c>
      <c r="G3662" s="156" t="n"/>
      <c r="H3662" s="152" t="n">
        <v>466</v>
      </c>
      <c r="I3662" s="156" t="n"/>
      <c r="J3662" s="90" t="n"/>
      <c r="K3662" s="166" t="n"/>
      <c r="L3662" s="158" t="n"/>
      <c r="M3662" s="159" t="n"/>
    </row>
    <row r="3663">
      <c r="A3663" s="114" t="n">
        <v>46237</v>
      </c>
      <c r="B3663" s="115" t="n">
        <v>2879</v>
      </c>
      <c r="C3663" s="115" t="inlineStr">
        <is>
          <t>METİN ERYİĞİT</t>
        </is>
      </c>
      <c r="D3663" s="115" t="inlineStr">
        <is>
          <t>34 GBL 998</t>
        </is>
      </c>
      <c r="E3663" s="115" t="inlineStr">
        <is>
          <t>ALİ KESKİN</t>
        </is>
      </c>
      <c r="F3663" s="115" t="n">
        <v>397232</v>
      </c>
      <c r="G3663" s="156" t="n"/>
      <c r="H3663" s="152" t="n">
        <v>467</v>
      </c>
      <c r="I3663" s="156" t="n"/>
      <c r="J3663" s="90" t="n"/>
      <c r="K3663" s="166" t="n"/>
      <c r="L3663" s="158" t="n"/>
      <c r="M3663" s="159" t="n"/>
    </row>
    <row r="3664">
      <c r="A3664" s="114" t="n">
        <v>46239</v>
      </c>
      <c r="B3664" s="115" t="n">
        <v>2880</v>
      </c>
      <c r="C3664" s="115" t="inlineStr">
        <is>
          <t>METİN ERYİĞİT</t>
        </is>
      </c>
      <c r="D3664" s="115" t="inlineStr">
        <is>
          <t>34 GBL 998</t>
        </is>
      </c>
      <c r="E3664" s="115" t="inlineStr">
        <is>
          <t>ALİ KESKİN</t>
        </is>
      </c>
      <c r="F3664" s="115" t="n">
        <v>398355</v>
      </c>
      <c r="G3664" s="156" t="n"/>
      <c r="H3664" s="152" t="n">
        <v>479</v>
      </c>
      <c r="I3664" s="156" t="n"/>
      <c r="J3664" s="90" t="n"/>
      <c r="K3664" s="166" t="n"/>
      <c r="L3664" s="158" t="n"/>
      <c r="M3664" s="159" t="n"/>
    </row>
    <row r="3665">
      <c r="A3665" s="114" t="n">
        <v>46241</v>
      </c>
      <c r="B3665" s="115" t="n">
        <v>2881</v>
      </c>
      <c r="C3665" s="115" t="inlineStr">
        <is>
          <t>METİN ERYİĞİT</t>
        </is>
      </c>
      <c r="D3665" s="115" t="inlineStr">
        <is>
          <t>34 GBL 998</t>
        </is>
      </c>
      <c r="E3665" s="115" t="inlineStr">
        <is>
          <t>ALİ KESKİN</t>
        </is>
      </c>
      <c r="F3665" s="115" t="n">
        <v>399332</v>
      </c>
      <c r="G3665" s="156" t="n"/>
      <c r="H3665" s="152" t="n">
        <v>453</v>
      </c>
      <c r="I3665" s="156" t="n"/>
      <c r="J3665" s="90" t="n"/>
      <c r="K3665" s="166" t="n"/>
      <c r="L3665" s="158" t="n"/>
      <c r="M3665" s="159" t="n"/>
    </row>
    <row r="3666">
      <c r="A3666" s="114" t="n">
        <v>46244</v>
      </c>
      <c r="B3666" s="115" t="n">
        <v>2882</v>
      </c>
      <c r="C3666" s="115" t="inlineStr">
        <is>
          <t>METİN ERYİĞİT</t>
        </is>
      </c>
      <c r="D3666" s="115" t="inlineStr">
        <is>
          <t>34 GBL 998</t>
        </is>
      </c>
      <c r="E3666" s="115" t="inlineStr">
        <is>
          <t>ALİ KESKİN</t>
        </is>
      </c>
      <c r="F3666" s="115" t="n">
        <v>400310</v>
      </c>
      <c r="G3666" s="156" t="n"/>
      <c r="H3666" s="152" t="n">
        <v>463</v>
      </c>
      <c r="I3666" s="156" t="n"/>
      <c r="J3666" s="90" t="n"/>
      <c r="K3666" s="166" t="n"/>
      <c r="L3666" s="158" t="n"/>
      <c r="M3666" s="159" t="n"/>
    </row>
    <row r="3667">
      <c r="A3667" s="114" t="n">
        <v>46246</v>
      </c>
      <c r="B3667" s="115" t="n">
        <v>2883</v>
      </c>
      <c r="C3667" s="115" t="inlineStr">
        <is>
          <t>METİN ERYİĞİT</t>
        </is>
      </c>
      <c r="D3667" s="115" t="inlineStr">
        <is>
          <t>34 GBL 998</t>
        </is>
      </c>
      <c r="E3667" s="115" t="inlineStr">
        <is>
          <t>ALİ KESKİN</t>
        </is>
      </c>
      <c r="F3667" s="115" t="n">
        <v>401336</v>
      </c>
      <c r="G3667" s="156" t="n"/>
      <c r="H3667" s="152" t="n">
        <v>492</v>
      </c>
      <c r="I3667" s="156" t="n"/>
      <c r="J3667" s="90" t="n"/>
      <c r="K3667" s="166" t="n"/>
      <c r="L3667" s="158" t="n"/>
      <c r="M3667" s="159" t="n"/>
    </row>
    <row r="3668">
      <c r="A3668" s="114" t="n">
        <v>46247</v>
      </c>
      <c r="B3668" s="115" t="n">
        <v>2884</v>
      </c>
      <c r="C3668" s="115" t="inlineStr">
        <is>
          <t>METİN ERYİĞİT</t>
        </is>
      </c>
      <c r="D3668" s="115" t="inlineStr">
        <is>
          <t>34 GBL 998</t>
        </is>
      </c>
      <c r="E3668" s="115" t="inlineStr">
        <is>
          <t>ALİ KESKİN</t>
        </is>
      </c>
      <c r="F3668" s="115" t="n">
        <v>401885</v>
      </c>
      <c r="G3668" s="156" t="n"/>
      <c r="H3668" s="152" t="n">
        <v>100</v>
      </c>
      <c r="I3668" s="156" t="n"/>
      <c r="J3668" s="90" t="n"/>
      <c r="K3668" s="166" t="n"/>
      <c r="L3668" s="158" t="n"/>
      <c r="M3668" s="159" t="n"/>
    </row>
    <row r="3669">
      <c r="A3669" s="114" t="n">
        <v>46248</v>
      </c>
      <c r="B3669" s="115" t="n">
        <v>2885</v>
      </c>
      <c r="C3669" s="115" t="inlineStr">
        <is>
          <t>METİN ERYİĞİT</t>
        </is>
      </c>
      <c r="D3669" s="115" t="inlineStr">
        <is>
          <t>34 GBL 998</t>
        </is>
      </c>
      <c r="E3669" s="115" t="inlineStr">
        <is>
          <t>ALİ KESKİN</t>
        </is>
      </c>
      <c r="F3669" s="115" t="n">
        <v>402164</v>
      </c>
      <c r="G3669" s="156" t="n"/>
      <c r="H3669" s="152" t="n">
        <v>321</v>
      </c>
      <c r="I3669" s="156" t="n"/>
      <c r="J3669" s="90" t="n"/>
      <c r="K3669" s="166" t="n"/>
      <c r="L3669" s="158" t="n"/>
      <c r="M3669" s="159" t="n"/>
    </row>
    <row r="3670">
      <c r="A3670" s="114" t="n">
        <v>46249</v>
      </c>
      <c r="B3670" s="115" t="n">
        <v>2886</v>
      </c>
      <c r="C3670" s="115" t="inlineStr">
        <is>
          <t>METİN ERYİĞİT</t>
        </is>
      </c>
      <c r="D3670" s="115" t="inlineStr">
        <is>
          <t>34 GBL 998</t>
        </is>
      </c>
      <c r="E3670" s="115" t="inlineStr">
        <is>
          <t>ALİ KESKİN</t>
        </is>
      </c>
      <c r="F3670" s="115" t="n">
        <v>402805</v>
      </c>
      <c r="G3670" s="156" t="n"/>
      <c r="H3670" s="152" t="n">
        <v>302</v>
      </c>
      <c r="I3670" s="156" t="n"/>
      <c r="J3670" s="90" t="n"/>
      <c r="K3670" s="166" t="n"/>
      <c r="L3670" s="158" t="n"/>
      <c r="M3670" s="159" t="n"/>
    </row>
    <row r="3671">
      <c r="A3671" s="114" t="n">
        <v>46235</v>
      </c>
      <c r="B3671" s="115" t="n">
        <v>3773</v>
      </c>
      <c r="C3671" s="115" t="inlineStr">
        <is>
          <t>METİN ERYİĞİT</t>
        </is>
      </c>
      <c r="D3671" s="115" t="inlineStr">
        <is>
          <t>34 EGS 013</t>
        </is>
      </c>
      <c r="E3671" s="115" t="inlineStr">
        <is>
          <t>UĞUR DUMAN</t>
        </is>
      </c>
      <c r="F3671" s="115" t="n">
        <v>608090</v>
      </c>
      <c r="G3671" s="156" t="n"/>
      <c r="H3671" s="152" t="n">
        <v>270</v>
      </c>
      <c r="I3671" s="156" t="n"/>
      <c r="J3671" s="90" t="n"/>
      <c r="K3671" s="166" t="n"/>
      <c r="L3671" s="158" t="n"/>
      <c r="M3671" s="159" t="n"/>
    </row>
    <row r="3672">
      <c r="A3672" s="114" t="n">
        <v>46237</v>
      </c>
      <c r="B3672" s="115" t="n">
        <v>3774</v>
      </c>
      <c r="C3672" s="115" t="inlineStr">
        <is>
          <t>METİN ERYİĞİT</t>
        </is>
      </c>
      <c r="D3672" s="115" t="inlineStr">
        <is>
          <t>34 EGS 013</t>
        </is>
      </c>
      <c r="E3672" s="115" t="inlineStr">
        <is>
          <t>UĞUR DUMAN</t>
        </is>
      </c>
      <c r="F3672" s="115" t="n">
        <v>609074</v>
      </c>
      <c r="G3672" s="156" t="n"/>
      <c r="H3672" s="152" t="n">
        <v>497</v>
      </c>
      <c r="I3672" s="156" t="n"/>
      <c r="J3672" s="90" t="n"/>
      <c r="K3672" s="166" t="n"/>
      <c r="L3672" s="158" t="n"/>
      <c r="M3672" s="159" t="n"/>
    </row>
    <row r="3673">
      <c r="A3673" s="114" t="n">
        <v>46239</v>
      </c>
      <c r="B3673" s="115" t="n">
        <v>3775</v>
      </c>
      <c r="C3673" s="115" t="inlineStr">
        <is>
          <t>METİN ERYİĞİT</t>
        </is>
      </c>
      <c r="D3673" s="115" t="inlineStr">
        <is>
          <t>34 EGS 013</t>
        </is>
      </c>
      <c r="E3673" s="115" t="inlineStr">
        <is>
          <t>UĞUR DUMAN</t>
        </is>
      </c>
      <c r="F3673" s="115" t="n">
        <v>609944</v>
      </c>
      <c r="G3673" s="156" t="n"/>
      <c r="H3673" s="152" t="n">
        <v>430</v>
      </c>
      <c r="I3673" s="156" t="n"/>
      <c r="J3673" s="90" t="n"/>
      <c r="K3673" s="166" t="n"/>
      <c r="L3673" s="158" t="n"/>
      <c r="M3673" s="159" t="n"/>
    </row>
    <row r="3674">
      <c r="A3674" s="114" t="n">
        <v>46241</v>
      </c>
      <c r="B3674" s="115" t="n">
        <v>3776</v>
      </c>
      <c r="C3674" s="115" t="inlineStr">
        <is>
          <t>METİN ERYİĞİT</t>
        </is>
      </c>
      <c r="D3674" s="115" t="inlineStr">
        <is>
          <t>34 EGS 013</t>
        </is>
      </c>
      <c r="E3674" s="115" t="inlineStr">
        <is>
          <t>UĞUR DUMAN</t>
        </is>
      </c>
      <c r="F3674" s="115" t="n">
        <v>610760</v>
      </c>
      <c r="G3674" s="156" t="n"/>
      <c r="H3674" s="152" t="n">
        <v>440</v>
      </c>
      <c r="I3674" s="156" t="n"/>
      <c r="J3674" s="90" t="n"/>
      <c r="K3674" s="166" t="n"/>
      <c r="L3674" s="158" t="n"/>
      <c r="M3674" s="159" t="n"/>
    </row>
    <row r="3675">
      <c r="A3675" s="114" t="n">
        <v>46242</v>
      </c>
      <c r="B3675" s="115" t="n">
        <v>3777</v>
      </c>
      <c r="C3675" s="115" t="inlineStr">
        <is>
          <t>METİN ERYİĞİT</t>
        </is>
      </c>
      <c r="D3675" s="115" t="inlineStr">
        <is>
          <t>34 EGS 013</t>
        </is>
      </c>
      <c r="E3675" s="115" t="inlineStr">
        <is>
          <t>UĞUR DUMAN</t>
        </is>
      </c>
      <c r="F3675" s="115" t="n">
        <v>611326</v>
      </c>
      <c r="G3675" s="156" t="n"/>
      <c r="H3675" s="152" t="n">
        <v>285</v>
      </c>
      <c r="I3675" s="156" t="n"/>
      <c r="J3675" s="90" t="n"/>
      <c r="K3675" s="166" t="n"/>
      <c r="L3675" s="158" t="n"/>
      <c r="M3675" s="159" t="n"/>
    </row>
    <row r="3676">
      <c r="A3676" s="114" t="n">
        <v>46245</v>
      </c>
      <c r="B3676" s="115" t="n">
        <v>3778</v>
      </c>
      <c r="C3676" s="115" t="inlineStr">
        <is>
          <t>METİN ERYİĞİT</t>
        </is>
      </c>
      <c r="D3676" s="115" t="inlineStr">
        <is>
          <t>34 EGS 013</t>
        </is>
      </c>
      <c r="E3676" s="115" t="inlineStr">
        <is>
          <t>UĞUR DUMAN</t>
        </is>
      </c>
      <c r="F3676" s="115" t="n">
        <v>612194</v>
      </c>
      <c r="G3676" s="156" t="n"/>
      <c r="H3676" s="152" t="n">
        <v>453</v>
      </c>
      <c r="I3676" s="156" t="n"/>
      <c r="J3676" s="90" t="n"/>
      <c r="K3676" s="166" t="n"/>
      <c r="L3676" s="158" t="n"/>
      <c r="M3676" s="159" t="n"/>
    </row>
    <row r="3677">
      <c r="A3677" s="114" t="n">
        <v>46246</v>
      </c>
      <c r="B3677" s="115" t="n">
        <v>3779</v>
      </c>
      <c r="C3677" s="115" t="inlineStr">
        <is>
          <t>METİN ERYİĞİT</t>
        </is>
      </c>
      <c r="D3677" s="115" t="inlineStr">
        <is>
          <t>34 EGS 013</t>
        </is>
      </c>
      <c r="E3677" s="115" t="inlineStr">
        <is>
          <t>UĞUR DUMAN</t>
        </is>
      </c>
      <c r="F3677" s="115" t="n">
        <v>612808</v>
      </c>
      <c r="G3677" s="156" t="n"/>
      <c r="H3677" s="152" t="n">
        <v>332</v>
      </c>
      <c r="I3677" s="156" t="n"/>
      <c r="J3677" s="90" t="n"/>
      <c r="K3677" s="166" t="n"/>
      <c r="L3677" s="158" t="n"/>
      <c r="M3677" s="159" t="n"/>
    </row>
    <row r="3678">
      <c r="A3678" s="114" t="n">
        <v>46248</v>
      </c>
      <c r="B3678" s="115" t="n">
        <v>3780</v>
      </c>
      <c r="C3678" s="115" t="inlineStr">
        <is>
          <t>METİN ERYİĞİT</t>
        </is>
      </c>
      <c r="D3678" s="115" t="inlineStr">
        <is>
          <t>34 EGS 013</t>
        </is>
      </c>
      <c r="E3678" s="115" t="inlineStr">
        <is>
          <t>UĞUR DUMAN</t>
        </is>
      </c>
      <c r="F3678" s="115" t="n">
        <v>613685</v>
      </c>
      <c r="G3678" s="156" t="n"/>
      <c r="H3678" s="152" t="n">
        <v>511</v>
      </c>
      <c r="I3678" s="156" t="n"/>
      <c r="J3678" s="90" t="n"/>
      <c r="K3678" s="166" t="n"/>
      <c r="L3678" s="158" t="n"/>
      <c r="M3678" s="159" t="n"/>
    </row>
    <row r="3679">
      <c r="A3679" s="114" t="n">
        <v>46235</v>
      </c>
      <c r="B3679" s="115" t="n">
        <v>3820</v>
      </c>
      <c r="C3679" s="115" t="inlineStr">
        <is>
          <t>METİN ERYİĞİT</t>
        </is>
      </c>
      <c r="D3679" s="115" t="inlineStr">
        <is>
          <t>34 EGR 814</t>
        </is>
      </c>
      <c r="E3679" s="115" t="inlineStr">
        <is>
          <t>SEZGİN KOCAGİL</t>
        </is>
      </c>
      <c r="F3679" s="115" t="n">
        <v>656996</v>
      </c>
      <c r="G3679" s="156" t="n"/>
      <c r="H3679" s="152" t="n">
        <v>270</v>
      </c>
      <c r="I3679" s="156" t="n"/>
      <c r="J3679" s="90" t="n"/>
      <c r="K3679" s="166" t="n"/>
      <c r="L3679" s="158" t="n"/>
      <c r="M3679" s="159" t="n"/>
    </row>
    <row r="3680">
      <c r="A3680" s="114" t="n">
        <v>46237</v>
      </c>
      <c r="B3680" s="115" t="n">
        <v>3821</v>
      </c>
      <c r="C3680" s="115" t="inlineStr">
        <is>
          <t>METİN ERYİĞİT</t>
        </is>
      </c>
      <c r="D3680" s="115" t="inlineStr">
        <is>
          <t>34 EGR 814</t>
        </is>
      </c>
      <c r="E3680" s="115" t="inlineStr">
        <is>
          <t>SEZGİN KOCAGİL</t>
        </is>
      </c>
      <c r="F3680" s="115" t="n">
        <v>658048</v>
      </c>
      <c r="G3680" s="156" t="n"/>
      <c r="H3680" s="152" t="n">
        <v>523</v>
      </c>
      <c r="I3680" s="156" t="n"/>
      <c r="J3680" s="90" t="n"/>
      <c r="K3680" s="166" t="n"/>
      <c r="L3680" s="158" t="n"/>
      <c r="M3680" s="159" t="n"/>
    </row>
    <row r="3681">
      <c r="A3681" s="114" t="n">
        <v>46239</v>
      </c>
      <c r="B3681" s="115" t="n">
        <v>3822</v>
      </c>
      <c r="C3681" s="115" t="inlineStr">
        <is>
          <t>METİN ERYİĞİT</t>
        </is>
      </c>
      <c r="D3681" s="115" t="inlineStr">
        <is>
          <t>34 EGR 814</t>
        </is>
      </c>
      <c r="E3681" s="115" t="inlineStr">
        <is>
          <t>SEZGİN KOCAGİL</t>
        </is>
      </c>
      <c r="F3681" s="115" t="n">
        <v>659015</v>
      </c>
      <c r="G3681" s="156" t="n"/>
      <c r="H3681" s="152" t="n">
        <v>463</v>
      </c>
      <c r="I3681" s="156" t="n"/>
      <c r="J3681" s="90" t="n"/>
      <c r="K3681" s="166" t="n"/>
      <c r="L3681" s="158" t="n"/>
      <c r="M3681" s="159" t="n"/>
    </row>
    <row r="3682">
      <c r="A3682" s="114" t="n">
        <v>46241</v>
      </c>
      <c r="B3682" s="115" t="n">
        <v>3823</v>
      </c>
      <c r="C3682" s="115" t="inlineStr">
        <is>
          <t>METİN ERYİĞİT</t>
        </is>
      </c>
      <c r="D3682" s="115" t="inlineStr">
        <is>
          <t>34 EGR 814</t>
        </is>
      </c>
      <c r="E3682" s="115" t="inlineStr">
        <is>
          <t>SEZGİN KOCAGİL</t>
        </is>
      </c>
      <c r="F3682" s="115" t="n">
        <v>659989</v>
      </c>
      <c r="G3682" s="156" t="n"/>
      <c r="H3682" s="152" t="n">
        <v>498</v>
      </c>
      <c r="I3682" s="156" t="n"/>
      <c r="J3682" s="90" t="n"/>
      <c r="K3682" s="166" t="n"/>
      <c r="L3682" s="158" t="n"/>
      <c r="M3682" s="159" t="n"/>
    </row>
    <row r="3683">
      <c r="A3683" s="114" t="n">
        <v>46242</v>
      </c>
      <c r="B3683" s="115" t="n">
        <v>3824</v>
      </c>
      <c r="C3683" s="115" t="inlineStr">
        <is>
          <t>METİN ERYİĞİT</t>
        </is>
      </c>
      <c r="D3683" s="115" t="inlineStr">
        <is>
          <t>34 EGR 814</t>
        </is>
      </c>
      <c r="E3683" s="115" t="inlineStr">
        <is>
          <t>SEZGİN KOCAGİL</t>
        </is>
      </c>
      <c r="F3683" s="115" t="n">
        <v>660606</v>
      </c>
      <c r="G3683" s="156" t="n"/>
      <c r="H3683" s="152" t="n">
        <v>291</v>
      </c>
      <c r="I3683" s="156" t="n"/>
      <c r="J3683" s="90" t="n"/>
      <c r="K3683" s="166" t="n"/>
      <c r="L3683" s="158" t="n"/>
      <c r="M3683" s="159" t="n"/>
    </row>
    <row r="3684">
      <c r="A3684" s="114" t="n">
        <v>46245</v>
      </c>
      <c r="B3684" s="115" t="n">
        <v>3825</v>
      </c>
      <c r="C3684" s="115" t="inlineStr">
        <is>
          <t>METİN ERYİĞİT</t>
        </is>
      </c>
      <c r="D3684" s="115" t="inlineStr">
        <is>
          <t>34 EGR 814</t>
        </is>
      </c>
      <c r="E3684" s="115" t="inlineStr">
        <is>
          <t>SEZGİN KOCAGİL</t>
        </is>
      </c>
      <c r="F3684" s="115" t="n">
        <v>661410</v>
      </c>
      <c r="G3684" s="156" t="n"/>
      <c r="H3684" s="152" t="n">
        <v>402</v>
      </c>
      <c r="I3684" s="156" t="n"/>
      <c r="J3684" s="90" t="n"/>
      <c r="K3684" s="166" t="n"/>
      <c r="L3684" s="158" t="n"/>
      <c r="M3684" s="159" t="n"/>
    </row>
    <row r="3685">
      <c r="A3685" s="114" t="n">
        <v>46247</v>
      </c>
      <c r="B3685" s="115" t="n">
        <v>3826</v>
      </c>
      <c r="C3685" s="115" t="inlineStr">
        <is>
          <t>METİN ERYİĞİT</t>
        </is>
      </c>
      <c r="D3685" s="115" t="inlineStr">
        <is>
          <t>34 EGR 814</t>
        </is>
      </c>
      <c r="E3685" s="115" t="inlineStr">
        <is>
          <t>SEZGİN KOCAGİL</t>
        </is>
      </c>
      <c r="F3685" s="115" t="n">
        <v>662356</v>
      </c>
      <c r="G3685" s="156" t="n"/>
      <c r="H3685" s="152" t="n">
        <v>475</v>
      </c>
      <c r="I3685" s="156" t="n"/>
      <c r="J3685" s="90" t="n"/>
      <c r="K3685" s="166" t="n"/>
      <c r="L3685" s="158" t="n"/>
      <c r="M3685" s="159" t="n"/>
    </row>
    <row r="3686">
      <c r="A3686" s="114" t="n">
        <v>46248</v>
      </c>
      <c r="B3686" s="115" t="n">
        <v>3827</v>
      </c>
      <c r="C3686" s="115" t="inlineStr">
        <is>
          <t>METİN ERYİĞİT</t>
        </is>
      </c>
      <c r="D3686" s="115" t="inlineStr">
        <is>
          <t>34 EGR 814</t>
        </is>
      </c>
      <c r="E3686" s="115" t="inlineStr">
        <is>
          <t>SEZGİN KOCAGİL</t>
        </is>
      </c>
      <c r="F3686" s="115" t="n">
        <v>663158</v>
      </c>
      <c r="G3686" s="156" t="n"/>
      <c r="H3686" s="152" t="n">
        <v>445</v>
      </c>
      <c r="I3686" s="156" t="n"/>
      <c r="J3686" s="90" t="n"/>
      <c r="K3686" s="166" t="n"/>
      <c r="L3686" s="158" t="n"/>
      <c r="M3686" s="159" t="n"/>
    </row>
    <row r="3687">
      <c r="A3687" s="114" t="n">
        <v>46235</v>
      </c>
      <c r="B3687" s="115" t="n">
        <v>1847</v>
      </c>
      <c r="C3687" s="115" t="inlineStr">
        <is>
          <t>AZGÜN YAPI</t>
        </is>
      </c>
      <c r="D3687" s="115" t="inlineStr">
        <is>
          <t xml:space="preserve">34 MKT 593 </t>
        </is>
      </c>
      <c r="E3687" s="115" t="inlineStr">
        <is>
          <t>TURGUT</t>
        </is>
      </c>
      <c r="F3687" s="115" t="n"/>
      <c r="G3687" s="156" t="n"/>
      <c r="H3687" s="152" t="n">
        <v>232</v>
      </c>
      <c r="I3687" s="156" t="n"/>
      <c r="J3687" s="90" t="n"/>
      <c r="K3687" s="166" t="n"/>
      <c r="L3687" s="158" t="n"/>
      <c r="M3687" s="159" t="n"/>
    </row>
    <row r="3688">
      <c r="A3688" s="114" t="n">
        <v>46237</v>
      </c>
      <c r="B3688" s="115" t="n">
        <v>1848</v>
      </c>
      <c r="C3688" s="115" t="inlineStr">
        <is>
          <t>AZGÜN YAPI</t>
        </is>
      </c>
      <c r="D3688" s="115" t="inlineStr">
        <is>
          <t xml:space="preserve">34 MKT 593 </t>
        </is>
      </c>
      <c r="E3688" s="115" t="inlineStr">
        <is>
          <t>TURGUT</t>
        </is>
      </c>
      <c r="F3688" s="115" t="n"/>
      <c r="G3688" s="156" t="n"/>
      <c r="H3688" s="152" t="n">
        <v>410</v>
      </c>
      <c r="I3688" s="156" t="n"/>
      <c r="J3688" s="90" t="n"/>
      <c r="K3688" s="166" t="n"/>
      <c r="L3688" s="158" t="n"/>
      <c r="M3688" s="159" t="n"/>
    </row>
    <row r="3689">
      <c r="A3689" s="114" t="n">
        <v>46239</v>
      </c>
      <c r="B3689" s="115" t="n">
        <v>1849</v>
      </c>
      <c r="C3689" s="115" t="inlineStr">
        <is>
          <t>AZGÜN YAPI</t>
        </is>
      </c>
      <c r="D3689" s="115" t="inlineStr">
        <is>
          <t xml:space="preserve">34 MKT 593 </t>
        </is>
      </c>
      <c r="E3689" s="115" t="inlineStr">
        <is>
          <t>TURGUT</t>
        </is>
      </c>
      <c r="F3689" s="115" t="n"/>
      <c r="G3689" s="156" t="n"/>
      <c r="H3689" s="152" t="n">
        <v>417</v>
      </c>
      <c r="I3689" s="156" t="n"/>
      <c r="J3689" s="90" t="n"/>
      <c r="K3689" s="166" t="n"/>
      <c r="L3689" s="158" t="n"/>
      <c r="M3689" s="159" t="n"/>
    </row>
    <row r="3690">
      <c r="A3690" s="114" t="n">
        <v>46241</v>
      </c>
      <c r="B3690" s="115" t="n">
        <v>1850</v>
      </c>
      <c r="C3690" s="115" t="inlineStr">
        <is>
          <t>AZGÜN YAPI</t>
        </is>
      </c>
      <c r="D3690" s="115" t="inlineStr">
        <is>
          <t xml:space="preserve">34 MKT 593 </t>
        </is>
      </c>
      <c r="E3690" s="115" t="inlineStr">
        <is>
          <t>TURGUT</t>
        </is>
      </c>
      <c r="F3690" s="115" t="n"/>
      <c r="G3690" s="156" t="n"/>
      <c r="H3690" s="152" t="n">
        <v>390</v>
      </c>
      <c r="I3690" s="156" t="n"/>
      <c r="J3690" s="90" t="n"/>
      <c r="K3690" s="166" t="n"/>
      <c r="L3690" s="158" t="n"/>
      <c r="M3690" s="159" t="n"/>
    </row>
    <row r="3691">
      <c r="A3691" s="114" t="n">
        <v>46244</v>
      </c>
      <c r="B3691" s="115" t="n">
        <v>1951</v>
      </c>
      <c r="C3691" s="115" t="inlineStr">
        <is>
          <t>AZGÜN YAPI</t>
        </is>
      </c>
      <c r="D3691" s="115" t="inlineStr">
        <is>
          <t xml:space="preserve">34 MKT 593 </t>
        </is>
      </c>
      <c r="E3691" s="115" t="inlineStr">
        <is>
          <t>TURGUT</t>
        </is>
      </c>
      <c r="F3691" s="115" t="n"/>
      <c r="G3691" s="156" t="n"/>
      <c r="H3691" s="152" t="n">
        <v>381</v>
      </c>
      <c r="I3691" s="156" t="n"/>
      <c r="J3691" s="90" t="n"/>
      <c r="K3691" s="166" t="n"/>
      <c r="L3691" s="158" t="n"/>
      <c r="M3691" s="159" t="n"/>
    </row>
    <row r="3692">
      <c r="A3692" s="114" t="n">
        <v>46246</v>
      </c>
      <c r="B3692" s="115" t="n">
        <v>1952</v>
      </c>
      <c r="C3692" s="115" t="inlineStr">
        <is>
          <t>AZGÜN YAPI</t>
        </is>
      </c>
      <c r="D3692" s="115" t="inlineStr">
        <is>
          <t xml:space="preserve">34 MKT 593 </t>
        </is>
      </c>
      <c r="E3692" s="115" t="inlineStr">
        <is>
          <t>TURGUT</t>
        </is>
      </c>
      <c r="F3692" s="115" t="n"/>
      <c r="G3692" s="156" t="n"/>
      <c r="H3692" s="152" t="n">
        <v>375</v>
      </c>
      <c r="I3692" s="156" t="n"/>
      <c r="J3692" s="90" t="n"/>
      <c r="K3692" s="166" t="n"/>
      <c r="L3692" s="158" t="n"/>
      <c r="M3692" s="159" t="n"/>
    </row>
    <row r="3693">
      <c r="A3693" s="114" t="n">
        <v>46248</v>
      </c>
      <c r="B3693" s="115" t="n">
        <v>1953</v>
      </c>
      <c r="C3693" s="115" t="inlineStr">
        <is>
          <t>AZGÜN YAPI</t>
        </is>
      </c>
      <c r="D3693" s="115" t="inlineStr">
        <is>
          <t xml:space="preserve">34 MKT 593 </t>
        </is>
      </c>
      <c r="E3693" s="115" t="inlineStr">
        <is>
          <t>TURGUT</t>
        </is>
      </c>
      <c r="F3693" s="115" t="n"/>
      <c r="G3693" s="156" t="n"/>
      <c r="H3693" s="152" t="n">
        <v>418</v>
      </c>
      <c r="I3693" s="156" t="n"/>
      <c r="J3693" s="90" t="n"/>
      <c r="K3693" s="166" t="n"/>
      <c r="L3693" s="158" t="n"/>
      <c r="M3693" s="159" t="n"/>
    </row>
    <row r="3694">
      <c r="A3694" s="114" t="n">
        <v>46241</v>
      </c>
      <c r="B3694" s="115" t="n">
        <v>1440</v>
      </c>
      <c r="C3694" s="115" t="inlineStr">
        <is>
          <t>AZGÜN YAPI</t>
        </is>
      </c>
      <c r="D3694" s="115" t="inlineStr">
        <is>
          <t>34 MKT 859</t>
        </is>
      </c>
      <c r="E3694" s="115" t="inlineStr">
        <is>
          <t>ZİYA İNCE</t>
        </is>
      </c>
      <c r="F3694" s="115" t="n"/>
      <c r="G3694" s="156" t="n"/>
      <c r="H3694" s="152" t="n">
        <v>510</v>
      </c>
      <c r="I3694" s="156" t="n"/>
      <c r="J3694" s="90" t="n"/>
      <c r="K3694" s="166" t="n"/>
      <c r="L3694" s="158" t="n"/>
      <c r="M3694" s="159" t="n"/>
    </row>
    <row r="3695">
      <c r="A3695" s="114" t="n">
        <v>46244</v>
      </c>
      <c r="B3695" s="115" t="n">
        <v>1441</v>
      </c>
      <c r="C3695" s="115" t="inlineStr">
        <is>
          <t>AZGÜN YAPI</t>
        </is>
      </c>
      <c r="D3695" s="115" t="inlineStr">
        <is>
          <t>34 MKT 859</t>
        </is>
      </c>
      <c r="E3695" s="115" t="inlineStr">
        <is>
          <t>ZİYA İNCE</t>
        </is>
      </c>
      <c r="F3695" s="115" t="n"/>
      <c r="G3695" s="156" t="n"/>
      <c r="H3695" s="152" t="n">
        <v>394</v>
      </c>
      <c r="I3695" s="156" t="n"/>
      <c r="J3695" s="90" t="n"/>
      <c r="K3695" s="166" t="n"/>
      <c r="L3695" s="158" t="n"/>
      <c r="M3695" s="159" t="n"/>
    </row>
    <row r="3696">
      <c r="A3696" s="114" t="n">
        <v>46246</v>
      </c>
      <c r="B3696" s="115" t="n">
        <v>1442</v>
      </c>
      <c r="C3696" s="115" t="inlineStr">
        <is>
          <t>AZGÜN YAPI</t>
        </is>
      </c>
      <c r="D3696" s="115" t="inlineStr">
        <is>
          <t>34 MKT 859</t>
        </is>
      </c>
      <c r="E3696" s="115" t="inlineStr">
        <is>
          <t>ZİYA İNCE</t>
        </is>
      </c>
      <c r="F3696" s="115" t="n"/>
      <c r="G3696" s="156" t="n"/>
      <c r="H3696" s="152" t="n">
        <v>410</v>
      </c>
      <c r="I3696" s="156" t="n"/>
      <c r="J3696" s="90" t="n"/>
      <c r="K3696" s="166" t="n"/>
      <c r="L3696" s="158" t="n"/>
      <c r="M3696" s="159" t="n"/>
    </row>
    <row r="3697">
      <c r="A3697" s="114" t="n">
        <v>46248</v>
      </c>
      <c r="B3697" s="115" t="n">
        <v>1443</v>
      </c>
      <c r="C3697" s="115" t="inlineStr">
        <is>
          <t>AZGÜN YAPI</t>
        </is>
      </c>
      <c r="D3697" s="115" t="inlineStr">
        <is>
          <t>34 MKT 859</t>
        </is>
      </c>
      <c r="E3697" s="115" t="inlineStr">
        <is>
          <t>ZİYA İNCE</t>
        </is>
      </c>
      <c r="F3697" s="115" t="n"/>
      <c r="G3697" s="156" t="n"/>
      <c r="H3697" s="152" t="n">
        <v>445</v>
      </c>
      <c r="I3697" s="156" t="n"/>
      <c r="J3697" s="90" t="n"/>
      <c r="K3697" s="166" t="n"/>
      <c r="L3697" s="158" t="n"/>
      <c r="M3697" s="159" t="n"/>
    </row>
    <row r="3698">
      <c r="A3698" s="114" t="n">
        <v>46242</v>
      </c>
      <c r="B3698" s="115" t="n">
        <v>2329</v>
      </c>
      <c r="C3698" s="115" t="inlineStr">
        <is>
          <t>AZGÜN YAPI</t>
        </is>
      </c>
      <c r="D3698" s="115" t="inlineStr">
        <is>
          <t>34 DTV 263</t>
        </is>
      </c>
      <c r="E3698" s="115" t="inlineStr">
        <is>
          <t>CEM MUHTAR</t>
        </is>
      </c>
      <c r="F3698" s="115" t="n"/>
      <c r="G3698" s="156" t="n"/>
      <c r="H3698" s="152" t="n">
        <v>457</v>
      </c>
      <c r="I3698" s="156" t="n"/>
      <c r="J3698" s="90" t="n"/>
      <c r="K3698" s="166" t="n"/>
      <c r="L3698" s="158" t="n"/>
      <c r="M3698" s="159" t="n"/>
    </row>
    <row r="3699">
      <c r="A3699" s="114" t="n">
        <v>46246</v>
      </c>
      <c r="B3699" s="115" t="n">
        <v>2330</v>
      </c>
      <c r="C3699" s="115" t="inlineStr">
        <is>
          <t>AZGÜN YAPI</t>
        </is>
      </c>
      <c r="D3699" s="115" t="inlineStr">
        <is>
          <t>34 DTV 263</t>
        </is>
      </c>
      <c r="E3699" s="115" t="inlineStr">
        <is>
          <t>CEM MUHTAR</t>
        </is>
      </c>
      <c r="F3699" s="115" t="n"/>
      <c r="G3699" s="156" t="n"/>
      <c r="H3699" s="152" t="n">
        <v>400</v>
      </c>
      <c r="I3699" s="156" t="n"/>
      <c r="J3699" s="90" t="n"/>
      <c r="K3699" s="166" t="n"/>
      <c r="L3699" s="158" t="n"/>
      <c r="M3699" s="159" t="n"/>
    </row>
    <row r="3700">
      <c r="A3700" s="114" t="n">
        <v>46247</v>
      </c>
      <c r="B3700" s="115" t="n">
        <v>2331</v>
      </c>
      <c r="C3700" s="115" t="inlineStr">
        <is>
          <t>AZGÜN YAPI</t>
        </is>
      </c>
      <c r="D3700" s="115" t="inlineStr">
        <is>
          <t>34 DTV 263</t>
        </is>
      </c>
      <c r="E3700" s="115" t="inlineStr">
        <is>
          <t>CEM MUHTAR</t>
        </is>
      </c>
      <c r="F3700" s="115" t="n"/>
      <c r="G3700" s="156" t="n"/>
      <c r="H3700" s="152" t="n">
        <v>373</v>
      </c>
      <c r="I3700" s="156" t="n"/>
      <c r="J3700" s="90" t="n"/>
      <c r="K3700" s="166" t="n"/>
      <c r="L3700" s="158" t="n"/>
      <c r="M3700" s="159" t="n"/>
    </row>
    <row r="3701">
      <c r="A3701" s="114" t="n">
        <v>46248</v>
      </c>
      <c r="B3701" s="115" t="n">
        <v>2332</v>
      </c>
      <c r="C3701" s="115" t="inlineStr">
        <is>
          <t>AZGÜN YAPI</t>
        </is>
      </c>
      <c r="D3701" s="115" t="inlineStr">
        <is>
          <t>34 DTV 263</t>
        </is>
      </c>
      <c r="E3701" s="115" t="inlineStr">
        <is>
          <t>CEM MUHTAR</t>
        </is>
      </c>
      <c r="F3701" s="115" t="n"/>
      <c r="G3701" s="156" t="n"/>
      <c r="H3701" s="152" t="n">
        <v>266</v>
      </c>
      <c r="I3701" s="156" t="n"/>
      <c r="J3701" s="90" t="n"/>
      <c r="K3701" s="166" t="n"/>
      <c r="L3701" s="158" t="n"/>
      <c r="M3701" s="159" t="n"/>
    </row>
    <row r="3702">
      <c r="A3702" s="114" t="n">
        <v>46249</v>
      </c>
      <c r="B3702" s="115" t="n">
        <v>2333</v>
      </c>
      <c r="C3702" s="115" t="inlineStr">
        <is>
          <t>AZGÜN YAPI</t>
        </is>
      </c>
      <c r="D3702" s="115" t="inlineStr">
        <is>
          <t>34 DTV 263</t>
        </is>
      </c>
      <c r="E3702" s="115" t="inlineStr">
        <is>
          <t>CEM MUHTAR</t>
        </is>
      </c>
      <c r="F3702" s="115" t="n"/>
      <c r="G3702" s="156" t="n"/>
      <c r="H3702" s="152" t="n">
        <v>327</v>
      </c>
      <c r="I3702" s="156" t="n"/>
      <c r="J3702" s="90" t="n"/>
      <c r="K3702" s="166" t="n"/>
      <c r="L3702" s="158" t="n"/>
      <c r="M3702" s="159" t="n"/>
    </row>
    <row r="3703">
      <c r="A3703" s="114" t="n">
        <v>46235</v>
      </c>
      <c r="B3703" s="115" t="n">
        <v>1164</v>
      </c>
      <c r="C3703" s="115" t="inlineStr">
        <is>
          <t>AZGÜN YAPI</t>
        </is>
      </c>
      <c r="D3703" s="115" t="inlineStr">
        <is>
          <t>34 PZC 890</t>
        </is>
      </c>
      <c r="E3703" s="115" t="inlineStr">
        <is>
          <t>ALAADİN KIRAT</t>
        </is>
      </c>
      <c r="F3703" s="115" t="n"/>
      <c r="G3703" s="156" t="n"/>
      <c r="H3703" s="152" t="n">
        <v>496</v>
      </c>
      <c r="I3703" s="156" t="n"/>
      <c r="J3703" s="90" t="n"/>
      <c r="K3703" s="166" t="n"/>
      <c r="L3703" s="158" t="n"/>
      <c r="M3703" s="159" t="n"/>
    </row>
    <row r="3704">
      <c r="A3704" s="114" t="n">
        <v>46237</v>
      </c>
      <c r="B3704" s="115" t="n">
        <v>1165</v>
      </c>
      <c r="C3704" s="115" t="inlineStr">
        <is>
          <t>AZGÜN YAPI</t>
        </is>
      </c>
      <c r="D3704" s="115" t="inlineStr">
        <is>
          <t>34 PZC 890</t>
        </is>
      </c>
      <c r="E3704" s="115" t="inlineStr">
        <is>
          <t>ALAADİN KIRAT</t>
        </is>
      </c>
      <c r="F3704" s="115" t="n"/>
      <c r="G3704" s="156" t="n"/>
      <c r="H3704" s="152" t="n">
        <v>483</v>
      </c>
      <c r="I3704" s="156" t="n"/>
      <c r="J3704" s="90" t="n"/>
      <c r="K3704" s="166" t="n"/>
      <c r="L3704" s="158" t="n"/>
      <c r="M3704" s="159" t="n"/>
    </row>
    <row r="3705">
      <c r="A3705" s="114" t="n">
        <v>46238</v>
      </c>
      <c r="B3705" s="115" t="n">
        <v>1166</v>
      </c>
      <c r="C3705" s="115" t="inlineStr">
        <is>
          <t>AZGÜN YAPI</t>
        </is>
      </c>
      <c r="D3705" s="115" t="inlineStr">
        <is>
          <t>34 PZC 890</t>
        </is>
      </c>
      <c r="E3705" s="115" t="inlineStr">
        <is>
          <t>ALAADİN KIRAT</t>
        </is>
      </c>
      <c r="F3705" s="115" t="n"/>
      <c r="G3705" s="156" t="n"/>
      <c r="H3705" s="152" t="n">
        <v>159</v>
      </c>
      <c r="I3705" s="156" t="n"/>
      <c r="J3705" s="90" t="n"/>
      <c r="K3705" s="166" t="n"/>
      <c r="L3705" s="158" t="n"/>
      <c r="M3705" s="159" t="n"/>
    </row>
    <row r="3706">
      <c r="A3706" s="114" t="n">
        <v>46240</v>
      </c>
      <c r="B3706" s="115" t="n">
        <v>1167</v>
      </c>
      <c r="C3706" s="115" t="inlineStr">
        <is>
          <t>AZGÜN YAPI</t>
        </is>
      </c>
      <c r="D3706" s="115" t="inlineStr">
        <is>
          <t>34 PZC 890</t>
        </is>
      </c>
      <c r="E3706" s="115" t="inlineStr">
        <is>
          <t>ALAADİN KIRAT</t>
        </is>
      </c>
      <c r="F3706" s="115" t="n"/>
      <c r="G3706" s="156" t="n"/>
      <c r="H3706" s="152" t="n">
        <v>478</v>
      </c>
      <c r="I3706" s="156" t="n"/>
      <c r="J3706" s="90" t="n"/>
      <c r="K3706" s="166" t="n"/>
      <c r="L3706" s="158" t="n"/>
      <c r="M3706" s="159" t="n"/>
    </row>
    <row r="3707">
      <c r="A3707" s="114" t="n">
        <v>46241</v>
      </c>
      <c r="B3707" s="115" t="n">
        <v>1168</v>
      </c>
      <c r="C3707" s="115" t="inlineStr">
        <is>
          <t>AZGÜN YAPI</t>
        </is>
      </c>
      <c r="D3707" s="115" t="inlineStr">
        <is>
          <t>34 PZC 890</t>
        </is>
      </c>
      <c r="E3707" s="115" t="inlineStr">
        <is>
          <t>ALAADİN KIRAT</t>
        </is>
      </c>
      <c r="F3707" s="115" t="n"/>
      <c r="G3707" s="156" t="n"/>
      <c r="H3707" s="152" t="n">
        <v>184</v>
      </c>
      <c r="I3707" s="156" t="n"/>
      <c r="J3707" s="90" t="n"/>
      <c r="K3707" s="166" t="n"/>
      <c r="L3707" s="158" t="n"/>
      <c r="M3707" s="159" t="n"/>
    </row>
    <row r="3708">
      <c r="A3708" s="114" t="n">
        <v>46242</v>
      </c>
      <c r="B3708" s="115" t="n">
        <v>1169</v>
      </c>
      <c r="C3708" s="115" t="inlineStr">
        <is>
          <t>AZGÜN YAPI</t>
        </is>
      </c>
      <c r="D3708" s="115" t="inlineStr">
        <is>
          <t>34 PZC 890</t>
        </is>
      </c>
      <c r="E3708" s="115" t="inlineStr">
        <is>
          <t>ALAADİN KIRAT</t>
        </is>
      </c>
      <c r="F3708" s="115" t="n"/>
      <c r="G3708" s="156" t="n"/>
      <c r="H3708" s="152" t="n">
        <v>437</v>
      </c>
      <c r="I3708" s="156" t="n"/>
      <c r="J3708" s="90" t="n"/>
      <c r="K3708" s="166" t="n"/>
      <c r="L3708" s="158" t="n"/>
      <c r="M3708" s="159" t="n"/>
    </row>
    <row r="3709">
      <c r="A3709" s="114" t="n">
        <v>46244</v>
      </c>
      <c r="B3709" s="115" t="n">
        <v>1170</v>
      </c>
      <c r="C3709" s="115" t="inlineStr">
        <is>
          <t>AZGÜN YAPI</t>
        </is>
      </c>
      <c r="D3709" s="115" t="inlineStr">
        <is>
          <t>34 PZC 890</t>
        </is>
      </c>
      <c r="E3709" s="115" t="inlineStr">
        <is>
          <t>ALAADİN KIRAT</t>
        </is>
      </c>
      <c r="F3709" s="115" t="n"/>
      <c r="G3709" s="156" t="n"/>
      <c r="H3709" s="152" t="n">
        <v>415</v>
      </c>
      <c r="I3709" s="156" t="n"/>
      <c r="J3709" s="90" t="n"/>
      <c r="K3709" s="166" t="n"/>
      <c r="L3709" s="158" t="n"/>
      <c r="M3709" s="159" t="n"/>
    </row>
    <row r="3710">
      <c r="A3710" s="114" t="n">
        <v>46248</v>
      </c>
      <c r="B3710" s="115" t="n">
        <v>1171</v>
      </c>
      <c r="C3710" s="115" t="inlineStr">
        <is>
          <t>AZGÜN YAPI</t>
        </is>
      </c>
      <c r="D3710" s="115" t="inlineStr">
        <is>
          <t>34 PZC 890</t>
        </is>
      </c>
      <c r="E3710" s="115" t="inlineStr">
        <is>
          <t>ALAADİN KIRAT</t>
        </is>
      </c>
      <c r="F3710" s="115" t="n"/>
      <c r="G3710" s="156" t="n"/>
      <c r="H3710" s="152" t="n">
        <v>477</v>
      </c>
      <c r="I3710" s="156" t="n"/>
      <c r="J3710" s="90" t="n"/>
      <c r="K3710" s="166" t="n"/>
      <c r="L3710" s="158" t="n"/>
      <c r="M3710" s="159" t="n"/>
    </row>
    <row r="3711">
      <c r="A3711" s="114" t="n">
        <v>46249</v>
      </c>
      <c r="B3711" s="115" t="n">
        <v>1172</v>
      </c>
      <c r="C3711" s="115" t="inlineStr">
        <is>
          <t>AZGÜN YAPI</t>
        </is>
      </c>
      <c r="D3711" s="115" t="inlineStr">
        <is>
          <t>34 PZC 890</t>
        </is>
      </c>
      <c r="E3711" s="115" t="inlineStr">
        <is>
          <t>ALAADİN KIRAT</t>
        </is>
      </c>
      <c r="F3711" s="115" t="n"/>
      <c r="G3711" s="156" t="n"/>
      <c r="H3711" s="152" t="n">
        <v>293</v>
      </c>
      <c r="I3711" s="156" t="n"/>
      <c r="J3711" s="90" t="n"/>
      <c r="K3711" s="166" t="n"/>
      <c r="L3711" s="158" t="n"/>
      <c r="M3711" s="159" t="n"/>
    </row>
    <row r="3712">
      <c r="A3712" s="114" t="n">
        <v>46240</v>
      </c>
      <c r="B3712" s="115" t="n">
        <v>1928</v>
      </c>
      <c r="C3712" s="115" t="inlineStr">
        <is>
          <t>SELİM İNŞAAT</t>
        </is>
      </c>
      <c r="D3712" s="115" t="inlineStr">
        <is>
          <t>34 FEM 934</t>
        </is>
      </c>
      <c r="E3712" s="115" t="inlineStr">
        <is>
          <t>SELİMCAN ÖNVER</t>
        </is>
      </c>
      <c r="F3712" s="115" t="n"/>
      <c r="G3712" s="156" t="n"/>
      <c r="H3712" s="152" t="n">
        <v>63</v>
      </c>
      <c r="I3712" s="156" t="n"/>
      <c r="J3712" s="90" t="n"/>
      <c r="K3712" s="166" t="n"/>
      <c r="L3712" s="158" t="n"/>
      <c r="M3712" s="159" t="n"/>
    </row>
    <row r="3713">
      <c r="A3713" s="114" t="n">
        <v>46235</v>
      </c>
      <c r="B3713" s="115" t="n">
        <v>577</v>
      </c>
      <c r="C3713" s="115" t="inlineStr">
        <is>
          <t>SELİM İNŞAAT</t>
        </is>
      </c>
      <c r="D3713" s="115" t="inlineStr">
        <is>
          <t>34 JGR 15</t>
        </is>
      </c>
      <c r="E3713" s="115" t="inlineStr">
        <is>
          <t>DURSUN ALİ GÜREK</t>
        </is>
      </c>
      <c r="F3713" s="115" t="n"/>
      <c r="G3713" s="156" t="n"/>
      <c r="H3713" s="152" t="n">
        <v>56</v>
      </c>
      <c r="I3713" s="156" t="n"/>
      <c r="J3713" s="90" t="n"/>
      <c r="K3713" s="166" t="n"/>
      <c r="L3713" s="158" t="n"/>
      <c r="M3713" s="159" t="n"/>
    </row>
    <row r="3714">
      <c r="A3714" s="114" t="n">
        <v>46237</v>
      </c>
      <c r="B3714" s="115" t="n">
        <v>578</v>
      </c>
      <c r="C3714" s="115" t="inlineStr">
        <is>
          <t>SELİM İNŞAAT</t>
        </is>
      </c>
      <c r="D3714" s="115" t="inlineStr">
        <is>
          <t>34 JGR 15</t>
        </is>
      </c>
      <c r="E3714" s="115" t="inlineStr">
        <is>
          <t>DURSUN ALİ GÜREK</t>
        </is>
      </c>
      <c r="F3714" s="115" t="n"/>
      <c r="G3714" s="156" t="n"/>
      <c r="H3714" s="152" t="n">
        <v>69</v>
      </c>
      <c r="I3714" s="156" t="n"/>
      <c r="J3714" s="90" t="n"/>
      <c r="K3714" s="166" t="n"/>
      <c r="L3714" s="158" t="n"/>
      <c r="M3714" s="159" t="n"/>
    </row>
    <row r="3715">
      <c r="A3715" s="114" t="n">
        <v>46240</v>
      </c>
      <c r="B3715" s="115" t="n">
        <v>579</v>
      </c>
      <c r="C3715" s="115" t="inlineStr">
        <is>
          <t>SELİM İNŞAAT</t>
        </is>
      </c>
      <c r="D3715" s="115" t="inlineStr">
        <is>
          <t>34 JGR 15</t>
        </is>
      </c>
      <c r="E3715" s="115" t="inlineStr">
        <is>
          <t>DURSUN ALİ GÜREK</t>
        </is>
      </c>
      <c r="F3715" s="115" t="n"/>
      <c r="G3715" s="156" t="n"/>
      <c r="H3715" s="152" t="n">
        <v>67</v>
      </c>
      <c r="I3715" s="156" t="n"/>
      <c r="J3715" s="90" t="n"/>
      <c r="K3715" s="166" t="n"/>
      <c r="L3715" s="158" t="n"/>
      <c r="M3715" s="159" t="n"/>
    </row>
    <row r="3716">
      <c r="A3716" s="114" t="n">
        <v>46244</v>
      </c>
      <c r="B3716" s="115" t="n">
        <v>580</v>
      </c>
      <c r="C3716" s="115" t="inlineStr">
        <is>
          <t>SELİM İNŞAAT</t>
        </is>
      </c>
      <c r="D3716" s="115" t="inlineStr">
        <is>
          <t>34 JGR 15</t>
        </is>
      </c>
      <c r="E3716" s="115" t="inlineStr">
        <is>
          <t>DURSUN ALİ GÜREK</t>
        </is>
      </c>
      <c r="F3716" s="115" t="n"/>
      <c r="G3716" s="156" t="n"/>
      <c r="H3716" s="152" t="n">
        <v>65</v>
      </c>
      <c r="I3716" s="156" t="n"/>
      <c r="J3716" s="90" t="n"/>
      <c r="K3716" s="166" t="n"/>
      <c r="L3716" s="158" t="n"/>
      <c r="M3716" s="159" t="n"/>
    </row>
    <row r="3717">
      <c r="A3717" s="114" t="n">
        <v>46236</v>
      </c>
      <c r="B3717" s="115" t="n">
        <v>2658</v>
      </c>
      <c r="C3717" s="115" t="inlineStr">
        <is>
          <t>SELİM İNŞAAT</t>
        </is>
      </c>
      <c r="D3717" s="115" t="inlineStr">
        <is>
          <t>34 VF 2620</t>
        </is>
      </c>
      <c r="E3717" s="115" t="inlineStr">
        <is>
          <t>RECEP SELİM</t>
        </is>
      </c>
      <c r="F3717" s="115" t="n">
        <v>211775</v>
      </c>
      <c r="G3717" s="156" t="n"/>
      <c r="H3717" s="152" t="n">
        <v>60</v>
      </c>
      <c r="I3717" s="156" t="n"/>
      <c r="J3717" s="90" t="n"/>
      <c r="K3717" s="166" t="n"/>
      <c r="L3717" s="158" t="n"/>
      <c r="M3717" s="159" t="n"/>
    </row>
    <row r="3718">
      <c r="A3718" s="114" t="n">
        <v>46242</v>
      </c>
      <c r="B3718" s="115" t="n">
        <v>2659</v>
      </c>
      <c r="C3718" s="115" t="inlineStr">
        <is>
          <t>SELİM İNŞAAT</t>
        </is>
      </c>
      <c r="D3718" s="115" t="inlineStr">
        <is>
          <t>34 VF 2620</t>
        </is>
      </c>
      <c r="E3718" s="115" t="inlineStr">
        <is>
          <t>RECEP SELİM</t>
        </is>
      </c>
      <c r="F3718" s="115" t="n">
        <v>212050</v>
      </c>
      <c r="G3718" s="156" t="n"/>
      <c r="H3718" s="152" t="n">
        <v>62</v>
      </c>
      <c r="I3718" s="156" t="n"/>
      <c r="J3718" s="90" t="n"/>
      <c r="K3718" s="166" t="n"/>
      <c r="L3718" s="158" t="n"/>
      <c r="M3718" s="159" t="n"/>
    </row>
    <row r="3719">
      <c r="A3719" s="114" t="n">
        <v>46247</v>
      </c>
      <c r="B3719" s="115" t="n">
        <v>2660</v>
      </c>
      <c r="C3719" s="115" t="inlineStr">
        <is>
          <t>SELİM İNŞAAT</t>
        </is>
      </c>
      <c r="D3719" s="115" t="inlineStr">
        <is>
          <t>34 VF 2620</t>
        </is>
      </c>
      <c r="E3719" s="115" t="inlineStr">
        <is>
          <t>RECEP SELİM</t>
        </is>
      </c>
      <c r="F3719" s="115" t="n">
        <v>212402</v>
      </c>
      <c r="G3719" s="156" t="n"/>
      <c r="H3719" s="152" t="n">
        <v>64</v>
      </c>
      <c r="I3719" s="156" t="n"/>
      <c r="J3719" s="90" t="n"/>
      <c r="K3719" s="166" t="n"/>
      <c r="L3719" s="158" t="n"/>
      <c r="M3719" s="159" t="n"/>
    </row>
    <row r="3720">
      <c r="A3720" s="114" t="n">
        <v>46240</v>
      </c>
      <c r="B3720" s="115" t="n">
        <v>2101</v>
      </c>
      <c r="C3720" s="115" t="inlineStr">
        <is>
          <t>SELİM İNŞAAT</t>
        </is>
      </c>
      <c r="D3720" s="115" t="inlineStr">
        <is>
          <t>34 SS 061</t>
        </is>
      </c>
      <c r="E3720" s="115" t="inlineStr">
        <is>
          <t>NUSRET</t>
        </is>
      </c>
      <c r="F3720" s="115" t="n">
        <v>104</v>
      </c>
      <c r="G3720" s="156" t="n"/>
      <c r="H3720" s="152" t="n">
        <v>59</v>
      </c>
      <c r="I3720" s="156" t="n"/>
      <c r="J3720" s="90" t="n"/>
      <c r="K3720" s="166" t="n"/>
      <c r="L3720" s="158" t="n"/>
      <c r="M3720" s="159" t="n"/>
    </row>
    <row r="3721">
      <c r="A3721" s="114" t="n">
        <v>46247</v>
      </c>
      <c r="B3721" s="115" t="n">
        <v>2102</v>
      </c>
      <c r="C3721" s="115" t="inlineStr">
        <is>
          <t>SELİM İNŞAAT</t>
        </is>
      </c>
      <c r="D3721" s="115" t="inlineStr">
        <is>
          <t>34 SS 061</t>
        </is>
      </c>
      <c r="E3721" s="115" t="inlineStr">
        <is>
          <t>NUSRET</t>
        </is>
      </c>
      <c r="F3721" s="115" t="n">
        <v>609</v>
      </c>
      <c r="G3721" s="156" t="n"/>
      <c r="H3721" s="152" t="n">
        <v>67</v>
      </c>
      <c r="I3721" s="156" t="n"/>
      <c r="J3721" s="90" t="n"/>
      <c r="K3721" s="166" t="n"/>
      <c r="L3721" s="158" t="n"/>
      <c r="M3721" s="159" t="n"/>
    </row>
    <row r="3722">
      <c r="A3722" s="114" t="n">
        <v>46238</v>
      </c>
      <c r="B3722" s="115" t="n">
        <v>2152</v>
      </c>
      <c r="C3722" s="115" t="inlineStr">
        <is>
          <t>SELİM İNŞAAT</t>
        </is>
      </c>
      <c r="D3722" s="115" t="inlineStr">
        <is>
          <t>34 RDN 190</t>
        </is>
      </c>
      <c r="E3722" s="115" t="inlineStr">
        <is>
          <t>BAYRAM</t>
        </is>
      </c>
      <c r="F3722" s="115" t="n">
        <v>470</v>
      </c>
      <c r="G3722" s="156" t="n"/>
      <c r="H3722" s="152" t="n">
        <v>44</v>
      </c>
      <c r="I3722" s="156" t="n"/>
      <c r="J3722" s="90" t="n"/>
      <c r="K3722" s="166" t="n"/>
      <c r="L3722" s="158" t="n"/>
      <c r="M3722" s="159" t="n"/>
    </row>
    <row r="3723">
      <c r="A3723" s="114" t="n">
        <v>46244</v>
      </c>
      <c r="B3723" s="115" t="n">
        <v>2153</v>
      </c>
      <c r="C3723" s="115" t="inlineStr">
        <is>
          <t>SELİM İNŞAAT</t>
        </is>
      </c>
      <c r="D3723" s="115" t="inlineStr">
        <is>
          <t>34 RDN 190</t>
        </is>
      </c>
      <c r="E3723" s="115" t="inlineStr">
        <is>
          <t>BAYRAM</t>
        </is>
      </c>
      <c r="F3723" s="115" t="n">
        <v>817</v>
      </c>
      <c r="G3723" s="156" t="n"/>
      <c r="H3723" s="152" t="n">
        <v>38</v>
      </c>
      <c r="I3723" s="156" t="n"/>
      <c r="J3723" s="90" t="n"/>
      <c r="K3723" s="166" t="n"/>
      <c r="L3723" s="158" t="n"/>
      <c r="M3723" s="159" t="n"/>
    </row>
    <row r="3724">
      <c r="A3724" s="114" t="n">
        <v>46248</v>
      </c>
      <c r="B3724" s="115" t="n">
        <v>2154</v>
      </c>
      <c r="C3724" s="115" t="inlineStr">
        <is>
          <t>SELİM İNŞAAT</t>
        </is>
      </c>
      <c r="D3724" s="115" t="inlineStr">
        <is>
          <t>34 RDN 190</t>
        </is>
      </c>
      <c r="E3724" s="115" t="inlineStr">
        <is>
          <t>BAYRAM</t>
        </is>
      </c>
      <c r="F3724" s="115" t="n">
        <v>1058</v>
      </c>
      <c r="G3724" s="156" t="n"/>
      <c r="H3724" s="152" t="n">
        <v>47</v>
      </c>
      <c r="I3724" s="156" t="n"/>
      <c r="J3724" s="90" t="n"/>
      <c r="K3724" s="166" t="n"/>
      <c r="L3724" s="158" t="n"/>
      <c r="M3724" s="159" t="n"/>
    </row>
    <row r="3725">
      <c r="A3725" s="114" t="n">
        <v>46237</v>
      </c>
      <c r="B3725" s="115" t="n">
        <v>690</v>
      </c>
      <c r="C3725" s="115" t="inlineStr">
        <is>
          <t>SELİM İNŞAAT</t>
        </is>
      </c>
      <c r="D3725" s="115" t="inlineStr">
        <is>
          <t xml:space="preserve">34 GU 945 </t>
        </is>
      </c>
      <c r="E3725" s="115" t="inlineStr">
        <is>
          <t>YAKUP</t>
        </is>
      </c>
      <c r="F3725" s="115" t="n">
        <v>485457</v>
      </c>
      <c r="G3725" s="156" t="n"/>
      <c r="H3725" s="152" t="n">
        <v>64</v>
      </c>
      <c r="I3725" s="156" t="n"/>
      <c r="J3725" s="90" t="n"/>
      <c r="K3725" s="166" t="n"/>
      <c r="L3725" s="158" t="n"/>
      <c r="M3725" s="159" t="n"/>
    </row>
    <row r="3726">
      <c r="A3726" s="114" t="n">
        <v>46240</v>
      </c>
      <c r="B3726" s="115" t="n">
        <v>691</v>
      </c>
      <c r="C3726" s="115" t="inlineStr">
        <is>
          <t>SELİM İNŞAAT</t>
        </is>
      </c>
      <c r="D3726" s="115" t="inlineStr">
        <is>
          <t xml:space="preserve">34 GU 945 </t>
        </is>
      </c>
      <c r="E3726" s="115" t="inlineStr">
        <is>
          <t>YAKUP</t>
        </is>
      </c>
      <c r="F3726" s="115" t="n">
        <v>485821</v>
      </c>
      <c r="G3726" s="156" t="n"/>
      <c r="H3726" s="152" t="n">
        <v>62</v>
      </c>
      <c r="I3726" s="156" t="n"/>
      <c r="J3726" s="90" t="n"/>
      <c r="K3726" s="166" t="n"/>
      <c r="L3726" s="158" t="n"/>
      <c r="M3726" s="159" t="n"/>
    </row>
    <row r="3727">
      <c r="A3727" s="114" t="n">
        <v>46244</v>
      </c>
      <c r="B3727" s="115" t="n">
        <v>692</v>
      </c>
      <c r="C3727" s="115" t="inlineStr">
        <is>
          <t>SELİM İNŞAAT</t>
        </is>
      </c>
      <c r="D3727" s="115" t="inlineStr">
        <is>
          <t xml:space="preserve">34 GU 945 </t>
        </is>
      </c>
      <c r="E3727" s="115" t="inlineStr">
        <is>
          <t>YAKUP</t>
        </is>
      </c>
      <c r="F3727" s="115" t="n">
        <v>486065</v>
      </c>
      <c r="G3727" s="156" t="n"/>
      <c r="H3727" s="152" t="n">
        <v>36</v>
      </c>
      <c r="I3727" s="156" t="n"/>
      <c r="J3727" s="90" t="n"/>
      <c r="K3727" s="166" t="n"/>
      <c r="L3727" s="158" t="n"/>
      <c r="M3727" s="159" t="n"/>
    </row>
    <row r="3728">
      <c r="A3728" s="114" t="n">
        <v>46248</v>
      </c>
      <c r="B3728" s="115" t="n">
        <v>693</v>
      </c>
      <c r="C3728" s="115" t="inlineStr">
        <is>
          <t>SELİM İNŞAAT</t>
        </is>
      </c>
      <c r="D3728" s="115" t="inlineStr">
        <is>
          <t xml:space="preserve">34 GU 945 </t>
        </is>
      </c>
      <c r="E3728" s="115" t="inlineStr">
        <is>
          <t>YAKUP</t>
        </is>
      </c>
      <c r="F3728" s="115" t="n">
        <v>486245</v>
      </c>
      <c r="G3728" s="156" t="n"/>
      <c r="H3728" s="152" t="n">
        <v>32</v>
      </c>
      <c r="I3728" s="156" t="n"/>
      <c r="J3728" s="90" t="n"/>
      <c r="K3728" s="166" t="n"/>
      <c r="L3728" s="158" t="n"/>
      <c r="M3728" s="159" t="n"/>
    </row>
    <row r="3729">
      <c r="A3729" s="114" t="n">
        <v>46237</v>
      </c>
      <c r="B3729" s="115" t="n">
        <v>1788</v>
      </c>
      <c r="C3729" s="115" t="inlineStr">
        <is>
          <t>SELİM İNŞAAT</t>
        </is>
      </c>
      <c r="D3729" s="115" t="inlineStr">
        <is>
          <t>34 JBA 25</t>
        </is>
      </c>
      <c r="E3729" s="115" t="inlineStr">
        <is>
          <t>BAYRAM</t>
        </is>
      </c>
      <c r="F3729" s="115" t="n">
        <v>354164</v>
      </c>
      <c r="G3729" s="156" t="n"/>
      <c r="H3729" s="152" t="n">
        <v>65</v>
      </c>
      <c r="I3729" s="156" t="n"/>
      <c r="J3729" s="90" t="n"/>
      <c r="K3729" s="166" t="n"/>
      <c r="L3729" s="158" t="n"/>
      <c r="M3729" s="159" t="n"/>
    </row>
    <row r="3730">
      <c r="A3730" s="114" t="n">
        <v>46242</v>
      </c>
      <c r="B3730" s="115" t="n">
        <v>1789</v>
      </c>
      <c r="C3730" s="115" t="inlineStr">
        <is>
          <t>SELİM İNŞAAT</t>
        </is>
      </c>
      <c r="D3730" s="115" t="inlineStr">
        <is>
          <t>34 JBA 25</t>
        </is>
      </c>
      <c r="E3730" s="115" t="inlineStr">
        <is>
          <t>BAYRAM</t>
        </is>
      </c>
      <c r="F3730" s="115" t="n">
        <v>354597</v>
      </c>
      <c r="G3730" s="156" t="n"/>
      <c r="H3730" s="152" t="n">
        <v>63</v>
      </c>
      <c r="I3730" s="156" t="n"/>
      <c r="J3730" s="90" t="n"/>
      <c r="K3730" s="166" t="n"/>
      <c r="L3730" s="158" t="n"/>
      <c r="M3730" s="159" t="n"/>
    </row>
    <row r="3731">
      <c r="A3731" s="114" t="n">
        <v>46245</v>
      </c>
      <c r="B3731" s="115" t="n">
        <v>1790</v>
      </c>
      <c r="C3731" s="115" t="inlineStr">
        <is>
          <t>SELİM İNŞAAT</t>
        </is>
      </c>
      <c r="D3731" s="115" t="inlineStr">
        <is>
          <t>34 JBA 25</t>
        </is>
      </c>
      <c r="E3731" s="115" t="inlineStr">
        <is>
          <t>BAYRAM</t>
        </is>
      </c>
      <c r="F3731" s="115" t="n">
        <v>354873</v>
      </c>
      <c r="G3731" s="156" t="n"/>
      <c r="H3731" s="152" t="n">
        <v>52</v>
      </c>
      <c r="I3731" s="156" t="n"/>
      <c r="J3731" s="90" t="n"/>
      <c r="K3731" s="166" t="n"/>
      <c r="L3731" s="158" t="n"/>
      <c r="M3731" s="159" t="n"/>
    </row>
    <row r="3732">
      <c r="A3732" s="114" t="n">
        <v>46249</v>
      </c>
      <c r="B3732" s="115" t="n">
        <v>1791</v>
      </c>
      <c r="C3732" s="115" t="inlineStr">
        <is>
          <t>SELİM İNŞAAT</t>
        </is>
      </c>
      <c r="D3732" s="115" t="inlineStr">
        <is>
          <t>34 JBA 25</t>
        </is>
      </c>
      <c r="E3732" s="115" t="inlineStr">
        <is>
          <t>BAYRAM</t>
        </is>
      </c>
      <c r="F3732" s="115" t="n">
        <v>355258</v>
      </c>
      <c r="G3732" s="156" t="n"/>
      <c r="H3732" s="152" t="n">
        <v>60</v>
      </c>
      <c r="I3732" s="156" t="n"/>
      <c r="J3732" s="90" t="n"/>
      <c r="K3732" s="166" t="n"/>
      <c r="L3732" s="158" t="n"/>
      <c r="M3732" s="159" t="n"/>
    </row>
    <row r="3733">
      <c r="A3733" s="114" t="n">
        <v>46238</v>
      </c>
      <c r="B3733" s="115" t="n">
        <v>2058</v>
      </c>
      <c r="C3733" s="115" t="inlineStr">
        <is>
          <t>SELİM İNŞAAT</t>
        </is>
      </c>
      <c r="D3733" s="115" t="inlineStr">
        <is>
          <t>34 AR 7743</t>
        </is>
      </c>
      <c r="E3733" s="115" t="inlineStr">
        <is>
          <t>MEHMET SELİM</t>
        </is>
      </c>
      <c r="F3733" s="115" t="n">
        <v>385342</v>
      </c>
      <c r="G3733" s="156" t="n"/>
      <c r="H3733" s="152" t="n">
        <v>47</v>
      </c>
      <c r="I3733" s="156" t="n"/>
      <c r="J3733" s="90" t="n"/>
      <c r="K3733" s="166" t="n"/>
      <c r="L3733" s="158" t="n"/>
      <c r="M3733" s="159" t="n"/>
    </row>
    <row r="3734">
      <c r="A3734" s="114" t="n">
        <v>46239</v>
      </c>
      <c r="B3734" s="115" t="n">
        <v>2059</v>
      </c>
      <c r="C3734" s="115" t="inlineStr">
        <is>
          <t>SELİM İNŞAAT</t>
        </is>
      </c>
      <c r="D3734" s="115" t="inlineStr">
        <is>
          <t>34 AR 7743</t>
        </is>
      </c>
      <c r="E3734" s="115" t="inlineStr">
        <is>
          <t>MEHMET SELİM</t>
        </is>
      </c>
      <c r="F3734" s="115" t="n">
        <v>385518</v>
      </c>
      <c r="G3734" s="156" t="n"/>
      <c r="H3734" s="152" t="n">
        <v>45</v>
      </c>
      <c r="I3734" s="156" t="n"/>
      <c r="J3734" s="90" t="n"/>
      <c r="K3734" s="166" t="n"/>
      <c r="L3734" s="158" t="n"/>
      <c r="M3734" s="159" t="n"/>
    </row>
    <row r="3735">
      <c r="A3735" s="114" t="n">
        <v>46241</v>
      </c>
      <c r="B3735" s="115" t="n">
        <v>2060</v>
      </c>
      <c r="C3735" s="115" t="inlineStr">
        <is>
          <t>SELİM İNŞAAT</t>
        </is>
      </c>
      <c r="D3735" s="115" t="inlineStr">
        <is>
          <t>34 AR 7743</t>
        </is>
      </c>
      <c r="E3735" s="115" t="inlineStr">
        <is>
          <t>MEHMET SELİM</t>
        </is>
      </c>
      <c r="F3735" s="115" t="n">
        <v>385912</v>
      </c>
      <c r="G3735" s="156" t="n"/>
      <c r="H3735" s="152" t="n">
        <v>66</v>
      </c>
      <c r="I3735" s="156" t="n"/>
      <c r="J3735" s="90" t="n"/>
      <c r="K3735" s="166" t="n"/>
      <c r="L3735" s="158" t="n"/>
      <c r="M3735" s="159" t="n"/>
    </row>
    <row r="3736">
      <c r="A3736" s="114" t="n">
        <v>46244</v>
      </c>
      <c r="B3736" s="115" t="n">
        <v>2061</v>
      </c>
      <c r="C3736" s="115" t="inlineStr">
        <is>
          <t>SELİM İNŞAAT</t>
        </is>
      </c>
      <c r="D3736" s="115" t="inlineStr">
        <is>
          <t>34 AR 7743</t>
        </is>
      </c>
      <c r="E3736" s="115" t="inlineStr">
        <is>
          <t>MEHMET SELİM</t>
        </is>
      </c>
      <c r="F3736" s="115" t="n">
        <v>386222</v>
      </c>
      <c r="G3736" s="156" t="n"/>
      <c r="H3736" s="152" t="n">
        <v>62</v>
      </c>
      <c r="I3736" s="156" t="n"/>
      <c r="J3736" s="90" t="n"/>
      <c r="K3736" s="166" t="n"/>
      <c r="L3736" s="158" t="n"/>
      <c r="M3736" s="159" t="n"/>
    </row>
    <row r="3737">
      <c r="A3737" s="114" t="n">
        <v>46247</v>
      </c>
      <c r="B3737" s="115" t="n">
        <v>2062</v>
      </c>
      <c r="C3737" s="115" t="inlineStr">
        <is>
          <t>SELİM İNŞAAT</t>
        </is>
      </c>
      <c r="D3737" s="115" t="inlineStr">
        <is>
          <t>34 AR 7743</t>
        </is>
      </c>
      <c r="E3737" s="115" t="inlineStr">
        <is>
          <t>MEHMET SELİM</t>
        </is>
      </c>
      <c r="F3737" s="115" t="n">
        <v>386480</v>
      </c>
      <c r="G3737" s="156" t="n"/>
      <c r="H3737" s="152" t="n">
        <v>50</v>
      </c>
      <c r="I3737" s="156" t="n"/>
      <c r="J3737" s="90" t="n"/>
      <c r="K3737" s="166" t="n"/>
      <c r="L3737" s="158" t="n"/>
      <c r="M3737" s="159" t="n"/>
    </row>
    <row r="3738">
      <c r="A3738" s="114" t="n">
        <v>46250</v>
      </c>
      <c r="B3738" s="115" t="n">
        <v>2063</v>
      </c>
      <c r="C3738" s="115" t="inlineStr">
        <is>
          <t>SELİM İNŞAAT</t>
        </is>
      </c>
      <c r="D3738" s="115" t="inlineStr">
        <is>
          <t>34 AR 7743</t>
        </is>
      </c>
      <c r="E3738" s="115" t="inlineStr">
        <is>
          <t>MEHMET SELİM</t>
        </is>
      </c>
      <c r="F3738" s="115" t="n">
        <v>386728</v>
      </c>
      <c r="G3738" s="156" t="n"/>
      <c r="H3738" s="152" t="n">
        <v>59</v>
      </c>
      <c r="I3738" s="156" t="n"/>
      <c r="J3738" s="90" t="n"/>
      <c r="K3738" s="166" t="n"/>
      <c r="L3738" s="158" t="n"/>
      <c r="M3738" s="159" t="n"/>
    </row>
    <row r="3739">
      <c r="A3739" s="114" t="n">
        <v>46236</v>
      </c>
      <c r="B3739" s="115" t="n">
        <v>3506</v>
      </c>
      <c r="C3739" s="115" t="inlineStr">
        <is>
          <t>SELİM İNŞAAT</t>
        </is>
      </c>
      <c r="D3739" s="115" t="inlineStr">
        <is>
          <t>34 DKL 798</t>
        </is>
      </c>
      <c r="E3739" s="115" t="inlineStr">
        <is>
          <t>HASAN BAYCA</t>
        </is>
      </c>
      <c r="F3739" s="115" t="n">
        <v>89430</v>
      </c>
      <c r="G3739" s="156" t="n"/>
      <c r="H3739" s="152" t="n">
        <v>293</v>
      </c>
      <c r="I3739" s="156" t="n"/>
      <c r="J3739" s="90" t="n"/>
      <c r="K3739" s="166" t="n"/>
      <c r="L3739" s="158" t="n"/>
      <c r="M3739" s="159" t="n"/>
    </row>
    <row r="3740">
      <c r="A3740" s="114" t="n">
        <v>46239</v>
      </c>
      <c r="B3740" s="115" t="n">
        <v>3507</v>
      </c>
      <c r="C3740" s="115" t="inlineStr">
        <is>
          <t>SELİM İNŞAAT</t>
        </is>
      </c>
      <c r="D3740" s="115" t="inlineStr">
        <is>
          <t>34 DKL 798</t>
        </is>
      </c>
      <c r="E3740" s="115" t="inlineStr">
        <is>
          <t>HASAN BAYCA</t>
        </is>
      </c>
      <c r="F3740" s="115" t="n">
        <v>89714</v>
      </c>
      <c r="G3740" s="156" t="n"/>
      <c r="H3740" s="152" t="n">
        <v>374</v>
      </c>
      <c r="I3740" s="156" t="n"/>
      <c r="J3740" s="90" t="n"/>
      <c r="K3740" s="166" t="n"/>
      <c r="L3740" s="158" t="n"/>
      <c r="M3740" s="159" t="n"/>
    </row>
    <row r="3741">
      <c r="A3741" s="114" t="n">
        <v>46241</v>
      </c>
      <c r="B3741" s="115" t="n">
        <v>3508</v>
      </c>
      <c r="C3741" s="115" t="inlineStr">
        <is>
          <t>SELİM İNŞAAT</t>
        </is>
      </c>
      <c r="D3741" s="115" t="inlineStr">
        <is>
          <t>34 DKL 798</t>
        </is>
      </c>
      <c r="E3741" s="115" t="inlineStr">
        <is>
          <t>HASAN BAYCA</t>
        </is>
      </c>
      <c r="F3741" s="115" t="n">
        <v>89882</v>
      </c>
      <c r="G3741" s="156" t="n"/>
      <c r="H3741" s="152" t="n">
        <v>284</v>
      </c>
      <c r="I3741" s="156" t="n"/>
      <c r="J3741" s="90" t="n"/>
      <c r="K3741" s="166" t="n"/>
      <c r="L3741" s="158" t="n"/>
      <c r="M3741" s="159" t="n"/>
    </row>
    <row r="3742">
      <c r="A3742" s="114" t="n">
        <v>46245</v>
      </c>
      <c r="B3742" s="115" t="n">
        <v>3509</v>
      </c>
      <c r="C3742" s="115" t="inlineStr">
        <is>
          <t>SELİM İNŞAAT</t>
        </is>
      </c>
      <c r="D3742" s="115" t="inlineStr">
        <is>
          <t>34 DKL 798</t>
        </is>
      </c>
      <c r="E3742" s="115" t="inlineStr">
        <is>
          <t>HASAN BAYCA</t>
        </is>
      </c>
      <c r="F3742" s="115" t="n">
        <v>89991</v>
      </c>
      <c r="G3742" s="156" t="n"/>
      <c r="H3742" s="152" t="n">
        <v>219</v>
      </c>
      <c r="I3742" s="156" t="n"/>
      <c r="J3742" s="90" t="n"/>
      <c r="K3742" s="166" t="n"/>
      <c r="L3742" s="158" t="n"/>
      <c r="M3742" s="159" t="n"/>
    </row>
    <row r="3743">
      <c r="A3743" s="114" t="n">
        <v>46248</v>
      </c>
      <c r="B3743" s="115" t="n">
        <v>3510</v>
      </c>
      <c r="C3743" s="115" t="inlineStr">
        <is>
          <t>SELİM İNŞAAT</t>
        </is>
      </c>
      <c r="D3743" s="115" t="inlineStr">
        <is>
          <t>34 DKL 798</t>
        </is>
      </c>
      <c r="E3743" s="115" t="inlineStr">
        <is>
          <t>HASAN BAYCA</t>
        </is>
      </c>
      <c r="F3743" s="115" t="n">
        <v>90165</v>
      </c>
      <c r="G3743" s="156" t="n"/>
      <c r="H3743" s="152" t="n">
        <v>270</v>
      </c>
      <c r="I3743" s="156" t="n"/>
      <c r="J3743" s="90" t="n"/>
      <c r="K3743" s="166" t="n"/>
      <c r="L3743" s="158" t="n"/>
      <c r="M3743" s="159" t="n"/>
    </row>
    <row r="3744">
      <c r="A3744" s="114" t="n">
        <v>46235</v>
      </c>
      <c r="B3744" s="115" t="n">
        <v>1011</v>
      </c>
      <c r="C3744" s="115" t="inlineStr">
        <is>
          <t>SELİM İNŞAAT</t>
        </is>
      </c>
      <c r="D3744" s="115" t="inlineStr">
        <is>
          <t>34 DFE 454</t>
        </is>
      </c>
      <c r="E3744" s="115" t="inlineStr">
        <is>
          <t>VOLKAN BALMUK</t>
        </is>
      </c>
      <c r="F3744" s="115" t="n">
        <v>182596</v>
      </c>
      <c r="G3744" s="156" t="n"/>
      <c r="H3744" s="152" t="n">
        <v>295</v>
      </c>
      <c r="I3744" s="156" t="n"/>
      <c r="J3744" s="90" t="n"/>
      <c r="K3744" s="166" t="n"/>
      <c r="L3744" s="158" t="n"/>
      <c r="M3744" s="159" t="n"/>
    </row>
    <row r="3745">
      <c r="A3745" s="114" t="n">
        <v>46238</v>
      </c>
      <c r="B3745" s="115" t="n">
        <v>1012</v>
      </c>
      <c r="C3745" s="115" t="inlineStr">
        <is>
          <t>SELİM İNŞAAT</t>
        </is>
      </c>
      <c r="D3745" s="115" t="inlineStr">
        <is>
          <t>34 DFE 454</t>
        </is>
      </c>
      <c r="E3745" s="115" t="inlineStr">
        <is>
          <t>VOLKAN BALMUK</t>
        </is>
      </c>
      <c r="F3745" s="115" t="n">
        <v>182844</v>
      </c>
      <c r="G3745" s="156" t="n"/>
      <c r="H3745" s="152" t="n">
        <v>299</v>
      </c>
      <c r="I3745" s="156" t="n"/>
      <c r="J3745" s="90" t="n"/>
      <c r="K3745" s="166" t="n"/>
      <c r="L3745" s="158" t="n"/>
      <c r="M3745" s="159" t="n"/>
    </row>
    <row r="3746">
      <c r="A3746" s="114" t="n">
        <v>46242</v>
      </c>
      <c r="B3746" s="115" t="n">
        <v>1013</v>
      </c>
      <c r="C3746" s="115" t="inlineStr">
        <is>
          <t>SELİM İNŞAAT</t>
        </is>
      </c>
      <c r="D3746" s="115" t="inlineStr">
        <is>
          <t>34 DFE 454</t>
        </is>
      </c>
      <c r="E3746" s="115" t="inlineStr">
        <is>
          <t>VOLKAN BALMUK</t>
        </is>
      </c>
      <c r="F3746" s="115" t="n">
        <v>183112</v>
      </c>
      <c r="G3746" s="156" t="n"/>
      <c r="H3746" s="152" t="n">
        <v>275</v>
      </c>
      <c r="I3746" s="156" t="n"/>
      <c r="J3746" s="90" t="n"/>
      <c r="K3746" s="166" t="n"/>
      <c r="L3746" s="158" t="n"/>
      <c r="M3746" s="159" t="n"/>
    </row>
    <row r="3747">
      <c r="A3747" s="114" t="n">
        <v>46248</v>
      </c>
      <c r="B3747" s="115" t="n">
        <v>1014</v>
      </c>
      <c r="C3747" s="115" t="inlineStr">
        <is>
          <t>SELİM İNŞAAT</t>
        </is>
      </c>
      <c r="D3747" s="115" t="inlineStr">
        <is>
          <t>34 DFE 454</t>
        </is>
      </c>
      <c r="E3747" s="115" t="inlineStr">
        <is>
          <t>VOLKAN BALMUK</t>
        </is>
      </c>
      <c r="F3747" s="115" t="n">
        <v>183340</v>
      </c>
      <c r="G3747" s="156" t="n"/>
      <c r="H3747" s="152" t="n">
        <v>290</v>
      </c>
      <c r="I3747" s="156" t="n"/>
      <c r="J3747" s="90" t="n"/>
      <c r="K3747" s="166" t="n"/>
      <c r="L3747" s="158" t="n"/>
      <c r="M3747" s="159" t="n"/>
    </row>
    <row r="3748">
      <c r="A3748" s="114" t="n">
        <v>46235</v>
      </c>
      <c r="B3748" s="115" t="n">
        <v>1132</v>
      </c>
      <c r="C3748" s="115" t="inlineStr">
        <is>
          <t>SELİM İNŞAAT</t>
        </is>
      </c>
      <c r="D3748" s="115" t="inlineStr">
        <is>
          <t>34 DKL 866</t>
        </is>
      </c>
      <c r="E3748" s="115" t="inlineStr">
        <is>
          <t>SELİMCAN ÖNVER</t>
        </is>
      </c>
      <c r="F3748" s="115" t="n">
        <v>91343</v>
      </c>
      <c r="G3748" s="156" t="n"/>
      <c r="H3748" s="152" t="n">
        <v>208</v>
      </c>
      <c r="I3748" s="156" t="n"/>
      <c r="J3748" s="90" t="n"/>
      <c r="K3748" s="166" t="n"/>
      <c r="L3748" s="158" t="n"/>
      <c r="M3748" s="159" t="n"/>
    </row>
    <row r="3749">
      <c r="A3749" s="114" t="n">
        <v>46237</v>
      </c>
      <c r="B3749" s="115" t="n">
        <v>1133</v>
      </c>
      <c r="C3749" s="115" t="inlineStr">
        <is>
          <t>SELİM İNŞAAT</t>
        </is>
      </c>
      <c r="D3749" s="115" t="inlineStr">
        <is>
          <t>34 DKL 866</t>
        </is>
      </c>
      <c r="E3749" s="115" t="inlineStr">
        <is>
          <t>SELİMCAN ÖNVER</t>
        </is>
      </c>
      <c r="F3749" s="115" t="n">
        <v>91503</v>
      </c>
      <c r="G3749" s="156" t="n"/>
      <c r="H3749" s="152" t="n">
        <v>230</v>
      </c>
      <c r="I3749" s="156" t="n"/>
      <c r="J3749" s="90" t="n"/>
      <c r="K3749" s="166" t="n"/>
      <c r="L3749" s="158" t="n"/>
      <c r="M3749" s="159" t="n"/>
    </row>
    <row r="3750">
      <c r="A3750" s="114" t="n">
        <v>46239</v>
      </c>
      <c r="B3750" s="115" t="n">
        <v>1134</v>
      </c>
      <c r="C3750" s="115" t="inlineStr">
        <is>
          <t>SELİM İNŞAAT</t>
        </is>
      </c>
      <c r="D3750" s="115" t="inlineStr">
        <is>
          <t>34 DKL 866</t>
        </is>
      </c>
      <c r="E3750" s="115" t="inlineStr">
        <is>
          <t>SELİMCAN ÖNVER</t>
        </is>
      </c>
      <c r="F3750" s="115" t="n">
        <v>91708</v>
      </c>
      <c r="G3750" s="156" t="n"/>
      <c r="H3750" s="152" t="n">
        <v>245</v>
      </c>
      <c r="I3750" s="156" t="n"/>
      <c r="J3750" s="90" t="n"/>
      <c r="K3750" s="166" t="n"/>
      <c r="L3750" s="158" t="n"/>
      <c r="M3750" s="159" t="n"/>
    </row>
    <row r="3751">
      <c r="A3751" s="114" t="n">
        <v>46241</v>
      </c>
      <c r="B3751" s="115" t="n">
        <v>1135</v>
      </c>
      <c r="C3751" s="115" t="inlineStr">
        <is>
          <t>SELİM İNŞAAT</t>
        </is>
      </c>
      <c r="D3751" s="115" t="inlineStr">
        <is>
          <t>34 DKL 866</t>
        </is>
      </c>
      <c r="E3751" s="115" t="inlineStr">
        <is>
          <t>SELİMCAN ÖNVER</t>
        </is>
      </c>
      <c r="F3751" s="115" t="n">
        <v>91885</v>
      </c>
      <c r="G3751" s="156" t="n"/>
      <c r="H3751" s="152" t="n">
        <v>254</v>
      </c>
      <c r="I3751" s="156" t="n"/>
      <c r="J3751" s="90" t="n"/>
      <c r="K3751" s="166" t="n"/>
      <c r="L3751" s="158" t="n"/>
      <c r="M3751" s="159" t="n"/>
    </row>
    <row r="3752">
      <c r="A3752" s="114" t="n">
        <v>46246</v>
      </c>
      <c r="B3752" s="115" t="n">
        <v>1136</v>
      </c>
      <c r="C3752" s="115" t="inlineStr">
        <is>
          <t>SELİM İNŞAAT</t>
        </is>
      </c>
      <c r="D3752" s="115" t="inlineStr">
        <is>
          <t>34 DKL 866</t>
        </is>
      </c>
      <c r="E3752" s="115" t="inlineStr">
        <is>
          <t>SELİMCAN ÖNVER</t>
        </is>
      </c>
      <c r="F3752" s="115" t="n">
        <v>92034</v>
      </c>
      <c r="G3752" s="156" t="n"/>
      <c r="H3752" s="152" t="n">
        <v>247</v>
      </c>
      <c r="I3752" s="156" t="n"/>
      <c r="J3752" s="90" t="n"/>
      <c r="K3752" s="166" t="n"/>
      <c r="L3752" s="158" t="n"/>
      <c r="M3752" s="159" t="n"/>
    </row>
    <row r="3753">
      <c r="A3753" s="114" t="n">
        <v>46249</v>
      </c>
      <c r="B3753" s="115" t="n">
        <v>1137</v>
      </c>
      <c r="C3753" s="115" t="inlineStr">
        <is>
          <t>SELİM İNŞAAT</t>
        </is>
      </c>
      <c r="D3753" s="115" t="inlineStr">
        <is>
          <t>34 DKL 866</t>
        </is>
      </c>
      <c r="E3753" s="115" t="inlineStr">
        <is>
          <t>SELİMCAN ÖNVER</t>
        </is>
      </c>
      <c r="F3753" s="115" t="n">
        <v>92185</v>
      </c>
      <c r="G3753" s="156" t="n"/>
      <c r="H3753" s="152" t="n">
        <v>210</v>
      </c>
      <c r="I3753" s="156" t="n"/>
      <c r="J3753" s="90" t="n"/>
      <c r="K3753" s="166" t="n"/>
      <c r="L3753" s="158" t="n"/>
      <c r="M3753" s="159" t="n"/>
    </row>
    <row r="3754">
      <c r="A3754" s="114" t="n">
        <v>46240</v>
      </c>
      <c r="B3754" s="115" t="n">
        <v>1374</v>
      </c>
      <c r="C3754" s="115" t="inlineStr">
        <is>
          <t>SELİM İNŞAAT</t>
        </is>
      </c>
      <c r="D3754" s="115" t="inlineStr">
        <is>
          <t>34 DP 4161</t>
        </is>
      </c>
      <c r="E3754" s="115" t="inlineStr">
        <is>
          <t>RİFAT KARATAY</t>
        </is>
      </c>
      <c r="F3754" s="115" t="n">
        <v>326631</v>
      </c>
      <c r="G3754" s="156" t="n"/>
      <c r="H3754" s="152" t="n">
        <v>298</v>
      </c>
      <c r="I3754" s="156" t="n"/>
      <c r="J3754" s="90" t="n"/>
      <c r="K3754" s="166" t="n"/>
      <c r="L3754" s="158" t="n"/>
      <c r="M3754" s="159" t="n"/>
    </row>
    <row r="3755">
      <c r="A3755" s="114" t="n">
        <v>46244</v>
      </c>
      <c r="B3755" s="115" t="n">
        <v>1375</v>
      </c>
      <c r="C3755" s="115" t="inlineStr">
        <is>
          <t>SELİM İNŞAAT</t>
        </is>
      </c>
      <c r="D3755" s="115" t="inlineStr">
        <is>
          <t>34 DP 4161</t>
        </is>
      </c>
      <c r="E3755" s="115" t="inlineStr">
        <is>
          <t>RİFAT KARATAY</t>
        </is>
      </c>
      <c r="F3755" s="115" t="n">
        <v>326788</v>
      </c>
      <c r="G3755" s="156" t="n"/>
      <c r="H3755" s="152" t="n">
        <v>265</v>
      </c>
      <c r="I3755" s="156" t="n"/>
      <c r="J3755" s="90" t="n"/>
      <c r="K3755" s="166" t="n"/>
      <c r="L3755" s="158" t="n"/>
      <c r="M3755" s="159" t="n"/>
    </row>
    <row r="3756">
      <c r="A3756" s="114" t="n">
        <v>46246</v>
      </c>
      <c r="B3756" s="115" t="n">
        <v>1376</v>
      </c>
      <c r="C3756" s="115" t="inlineStr">
        <is>
          <t>SELİM İNŞAAT</t>
        </is>
      </c>
      <c r="D3756" s="115" t="inlineStr">
        <is>
          <t>34 DP 4161</t>
        </is>
      </c>
      <c r="E3756" s="115" t="inlineStr">
        <is>
          <t>RİFAT KARATAY</t>
        </is>
      </c>
      <c r="F3756" s="115" t="n">
        <v>326919</v>
      </c>
      <c r="G3756" s="156" t="n"/>
      <c r="H3756" s="152" t="n">
        <v>233</v>
      </c>
      <c r="I3756" s="156" t="n"/>
      <c r="J3756" s="90" t="n"/>
      <c r="K3756" s="166" t="n"/>
      <c r="L3756" s="158" t="n"/>
      <c r="M3756" s="159" t="n"/>
    </row>
    <row r="3757">
      <c r="A3757" s="114" t="n">
        <v>46250</v>
      </c>
      <c r="B3757" s="115" t="n">
        <v>1377</v>
      </c>
      <c r="C3757" s="115" t="inlineStr">
        <is>
          <t>SELİM İNŞAAT</t>
        </is>
      </c>
      <c r="D3757" s="115" t="inlineStr">
        <is>
          <t>34 DP 4161</t>
        </is>
      </c>
      <c r="E3757" s="115" t="inlineStr">
        <is>
          <t>RİFAT KARATAY</t>
        </is>
      </c>
      <c r="F3757" s="115" t="n">
        <v>327113</v>
      </c>
      <c r="G3757" s="156" t="n"/>
      <c r="H3757" s="152" t="n">
        <v>290</v>
      </c>
      <c r="I3757" s="156" t="n"/>
      <c r="J3757" s="90" t="n"/>
      <c r="K3757" s="166" t="n"/>
      <c r="L3757" s="158" t="n"/>
      <c r="M3757" s="159" t="n"/>
    </row>
    <row r="3758">
      <c r="A3758" s="114" t="n">
        <v>46237</v>
      </c>
      <c r="B3758" s="115" t="n">
        <v>338</v>
      </c>
      <c r="C3758" s="115" t="inlineStr">
        <is>
          <t>SELİM İNŞAAT</t>
        </is>
      </c>
      <c r="D3758" s="115" t="inlineStr">
        <is>
          <t>34 GER 445</t>
        </is>
      </c>
      <c r="E3758" s="115" t="inlineStr">
        <is>
          <t>BEYTULLAH</t>
        </is>
      </c>
      <c r="F3758" s="115" t="n">
        <v>66240</v>
      </c>
      <c r="G3758" s="156" t="n"/>
      <c r="H3758" s="152" t="n">
        <v>292</v>
      </c>
      <c r="I3758" s="156" t="n"/>
      <c r="J3758" s="90" t="n"/>
      <c r="K3758" s="166" t="n"/>
      <c r="L3758" s="158" t="n"/>
      <c r="M3758" s="159" t="n"/>
    </row>
    <row r="3759">
      <c r="A3759" s="114" t="n">
        <v>46239</v>
      </c>
      <c r="B3759" s="115" t="n">
        <v>339</v>
      </c>
      <c r="C3759" s="115" t="inlineStr">
        <is>
          <t>SELİM İNŞAAT</t>
        </is>
      </c>
      <c r="D3759" s="115" t="inlineStr">
        <is>
          <t>34 GER 445</t>
        </is>
      </c>
      <c r="E3759" s="115" t="inlineStr">
        <is>
          <t>BEYTULLAH</t>
        </is>
      </c>
      <c r="F3759" s="115" t="n">
        <v>66458</v>
      </c>
      <c r="G3759" s="156" t="n"/>
      <c r="H3759" s="152" t="n">
        <v>266</v>
      </c>
      <c r="I3759" s="156" t="n"/>
      <c r="J3759" s="90" t="n"/>
      <c r="K3759" s="166" t="n"/>
      <c r="L3759" s="158" t="n"/>
      <c r="M3759" s="159" t="n"/>
    </row>
    <row r="3760">
      <c r="A3760" s="114" t="n">
        <v>46244</v>
      </c>
      <c r="B3760" s="115" t="n">
        <v>340</v>
      </c>
      <c r="C3760" s="115" t="inlineStr">
        <is>
          <t>SELİM İNŞAAT</t>
        </is>
      </c>
      <c r="D3760" s="115" t="inlineStr">
        <is>
          <t>34 GER 445</t>
        </is>
      </c>
      <c r="E3760" s="115" t="inlineStr">
        <is>
          <t>BEYTULLAH</t>
        </is>
      </c>
      <c r="F3760" s="115" t="n">
        <v>66677</v>
      </c>
      <c r="G3760" s="156" t="n"/>
      <c r="H3760" s="152" t="n">
        <v>300</v>
      </c>
      <c r="I3760" s="156" t="n"/>
      <c r="J3760" s="90" t="n"/>
      <c r="K3760" s="166" t="n"/>
      <c r="L3760" s="158" t="n"/>
      <c r="M3760" s="159" t="n"/>
    </row>
    <row r="3761">
      <c r="A3761" s="114" t="n">
        <v>46246</v>
      </c>
      <c r="B3761" s="115" t="n">
        <v>341</v>
      </c>
      <c r="C3761" s="115" t="inlineStr">
        <is>
          <t>SELİM İNŞAAT</t>
        </is>
      </c>
      <c r="D3761" s="115" t="inlineStr">
        <is>
          <t>34 GER 445</t>
        </is>
      </c>
      <c r="E3761" s="115" t="inlineStr">
        <is>
          <t>BEYTULLAH</t>
        </is>
      </c>
      <c r="F3761" s="115" t="n">
        <v>66880</v>
      </c>
      <c r="G3761" s="156" t="n"/>
      <c r="H3761" s="152" t="n">
        <v>281</v>
      </c>
      <c r="I3761" s="156" t="n"/>
      <c r="J3761" s="90" t="n"/>
      <c r="K3761" s="166" t="n"/>
      <c r="L3761" s="158" t="n"/>
      <c r="M3761" s="159" t="n"/>
    </row>
    <row r="3762">
      <c r="A3762" s="114" t="n">
        <v>46250</v>
      </c>
      <c r="B3762" s="115" t="n">
        <v>342</v>
      </c>
      <c r="C3762" s="115" t="inlineStr">
        <is>
          <t>SELİM İNŞAAT</t>
        </is>
      </c>
      <c r="D3762" s="115" t="inlineStr">
        <is>
          <t>34 GER 445</t>
        </is>
      </c>
      <c r="E3762" s="115" t="inlineStr">
        <is>
          <t>BEYTULLAH</t>
        </is>
      </c>
      <c r="F3762" s="115" t="n">
        <v>66994</v>
      </c>
      <c r="G3762" s="156" t="n"/>
      <c r="H3762" s="152" t="n">
        <v>270</v>
      </c>
      <c r="I3762" s="156" t="n"/>
      <c r="J3762" s="90" t="n"/>
      <c r="K3762" s="166" t="n"/>
      <c r="L3762" s="158" t="n"/>
      <c r="M3762" s="159" t="n"/>
    </row>
    <row r="3763">
      <c r="A3763" s="114" t="n">
        <v>46237</v>
      </c>
      <c r="B3763" s="115" t="n">
        <v>1875</v>
      </c>
      <c r="C3763" s="115" t="inlineStr">
        <is>
          <t>SELİM İNŞAAT</t>
        </is>
      </c>
      <c r="D3763" s="115" t="inlineStr">
        <is>
          <t>34 GER 028</t>
        </is>
      </c>
      <c r="E3763" s="115" t="inlineStr">
        <is>
          <t>ABDULKERİM ERGEN</t>
        </is>
      </c>
      <c r="F3763" s="115" t="n">
        <v>69562</v>
      </c>
      <c r="G3763" s="156" t="n"/>
      <c r="H3763" s="152" t="n">
        <v>240</v>
      </c>
      <c r="I3763" s="156" t="n"/>
      <c r="J3763" s="90" t="n"/>
      <c r="K3763" s="166" t="n"/>
      <c r="L3763" s="158" t="n"/>
      <c r="M3763" s="159" t="n"/>
    </row>
    <row r="3764">
      <c r="A3764" s="114" t="n">
        <v>46240</v>
      </c>
      <c r="B3764" s="115" t="n">
        <v>1876</v>
      </c>
      <c r="C3764" s="115" t="inlineStr">
        <is>
          <t>SELİM İNŞAAT</t>
        </is>
      </c>
      <c r="D3764" s="115" t="inlineStr">
        <is>
          <t>34 GER 028</t>
        </is>
      </c>
      <c r="E3764" s="115" t="inlineStr">
        <is>
          <t>ABDULKERİM ERGEN</t>
        </is>
      </c>
      <c r="F3764" s="115" t="n">
        <v>69862</v>
      </c>
      <c r="G3764" s="156" t="n"/>
      <c r="H3764" s="152" t="n">
        <v>300</v>
      </c>
      <c r="I3764" s="156" t="n"/>
      <c r="J3764" s="90" t="n"/>
      <c r="K3764" s="166" t="n"/>
      <c r="L3764" s="158" t="n"/>
      <c r="M3764" s="159" t="n"/>
    </row>
    <row r="3765">
      <c r="A3765" s="114" t="n">
        <v>46245</v>
      </c>
      <c r="B3765" s="115" t="n">
        <v>1877</v>
      </c>
      <c r="C3765" s="115" t="inlineStr">
        <is>
          <t>SELİM İNŞAAT</t>
        </is>
      </c>
      <c r="D3765" s="115" t="inlineStr">
        <is>
          <t>34 GER 028</t>
        </is>
      </c>
      <c r="E3765" s="115" t="inlineStr">
        <is>
          <t>ABDULKERİM ERGEN</t>
        </is>
      </c>
      <c r="F3765" s="115" t="n">
        <v>70100</v>
      </c>
      <c r="G3765" s="156" t="n"/>
      <c r="H3765" s="152" t="n">
        <v>297</v>
      </c>
      <c r="I3765" s="156" t="n"/>
      <c r="J3765" s="90" t="n"/>
      <c r="K3765" s="166" t="n"/>
      <c r="L3765" s="158" t="n"/>
      <c r="M3765" s="159" t="n"/>
    </row>
    <row r="3766">
      <c r="A3766" s="114" t="n">
        <v>46250</v>
      </c>
      <c r="B3766" s="115" t="n">
        <v>1878</v>
      </c>
      <c r="C3766" s="115" t="inlineStr">
        <is>
          <t>SELİM İNŞAAT</t>
        </is>
      </c>
      <c r="D3766" s="115" t="inlineStr">
        <is>
          <t>34 GER 028</t>
        </is>
      </c>
      <c r="E3766" s="115" t="inlineStr">
        <is>
          <t>ABDULKERİM ERGEN</t>
        </is>
      </c>
      <c r="F3766" s="115" t="n">
        <v>70343</v>
      </c>
      <c r="G3766" s="156" t="n"/>
      <c r="H3766" s="152" t="n">
        <v>310</v>
      </c>
      <c r="I3766" s="156" t="n"/>
      <c r="J3766" s="90" t="n"/>
      <c r="K3766" s="166" t="n"/>
      <c r="L3766" s="158" t="n"/>
      <c r="M3766" s="159" t="n"/>
    </row>
    <row r="3767">
      <c r="A3767" s="114" t="n">
        <v>46245</v>
      </c>
      <c r="B3767" s="115" t="n">
        <v>4384</v>
      </c>
      <c r="C3767" s="115" t="inlineStr">
        <is>
          <t>SELİM İNŞAAT</t>
        </is>
      </c>
      <c r="D3767" s="115" t="inlineStr">
        <is>
          <t>34 EDB 829</t>
        </is>
      </c>
      <c r="E3767" s="115" t="inlineStr">
        <is>
          <t xml:space="preserve">MEHMETALİ </t>
        </is>
      </c>
      <c r="F3767" s="115" t="n">
        <v>369864</v>
      </c>
      <c r="G3767" s="156" t="n"/>
      <c r="H3767" s="152" t="n">
        <v>530</v>
      </c>
      <c r="I3767" s="156" t="n"/>
      <c r="J3767" s="90" t="n"/>
      <c r="K3767" s="166" t="n"/>
      <c r="L3767" s="158" t="n"/>
      <c r="M3767" s="159" t="n"/>
    </row>
    <row r="3768">
      <c r="A3768" s="114" t="n">
        <v>46247</v>
      </c>
      <c r="B3768" s="115" t="n">
        <v>4385</v>
      </c>
      <c r="C3768" s="115" t="inlineStr">
        <is>
          <t>SELİM İNŞAAT</t>
        </is>
      </c>
      <c r="D3768" s="115" t="inlineStr">
        <is>
          <t>34 EDB 829</t>
        </is>
      </c>
      <c r="E3768" s="115" t="inlineStr">
        <is>
          <t xml:space="preserve">MEHMETALİ </t>
        </is>
      </c>
      <c r="F3768" s="115" t="n">
        <v>370571</v>
      </c>
      <c r="G3768" s="156" t="n"/>
      <c r="H3768" s="152" t="n">
        <v>537</v>
      </c>
      <c r="I3768" s="156" t="n"/>
      <c r="J3768" s="90" t="n"/>
      <c r="K3768" s="166" t="n"/>
      <c r="L3768" s="158" t="n"/>
      <c r="M3768" s="159" t="n"/>
    </row>
    <row r="3769">
      <c r="A3769" s="114" t="n">
        <v>46249</v>
      </c>
      <c r="B3769" s="115" t="n">
        <v>4386</v>
      </c>
      <c r="C3769" s="115" t="inlineStr">
        <is>
          <t>SELİM İNŞAAT</t>
        </is>
      </c>
      <c r="D3769" s="115" t="inlineStr">
        <is>
          <t>34 EDB 829</t>
        </is>
      </c>
      <c r="E3769" s="115" t="inlineStr">
        <is>
          <t xml:space="preserve">MEHMETALİ </t>
        </is>
      </c>
      <c r="F3769" s="115" t="n">
        <v>371090</v>
      </c>
      <c r="G3769" s="156" t="n"/>
      <c r="H3769" s="152" t="n">
        <v>422</v>
      </c>
      <c r="I3769" s="156" t="n"/>
      <c r="J3769" s="90" t="n"/>
      <c r="K3769" s="166" t="n"/>
      <c r="L3769" s="158" t="n"/>
      <c r="M3769" s="159" t="n"/>
    </row>
    <row r="3770">
      <c r="A3770" s="114" t="n">
        <v>46240</v>
      </c>
      <c r="B3770" s="115" t="n">
        <v>221</v>
      </c>
      <c r="C3770" s="115" t="inlineStr">
        <is>
          <t>SELİM İNŞAAT</t>
        </is>
      </c>
      <c r="D3770" s="180" t="inlineStr">
        <is>
          <t>34 DSN 536</t>
        </is>
      </c>
      <c r="E3770" s="180" t="inlineStr">
        <is>
          <t>KURTULUŞ</t>
        </is>
      </c>
      <c r="F3770" s="115" t="n">
        <v>455554</v>
      </c>
      <c r="G3770" s="156" t="n"/>
      <c r="H3770" s="152" t="n">
        <v>423</v>
      </c>
      <c r="I3770" s="156" t="n"/>
      <c r="J3770" s="90" t="n"/>
      <c r="K3770" s="166" t="n"/>
      <c r="L3770" s="158" t="n"/>
      <c r="M3770" s="159" t="n"/>
    </row>
    <row r="3771">
      <c r="A3771" s="114" t="n">
        <v>46242</v>
      </c>
      <c r="B3771" s="115" t="n">
        <v>222</v>
      </c>
      <c r="C3771" s="115" t="inlineStr">
        <is>
          <t>SELİM İNŞAAT</t>
        </is>
      </c>
      <c r="D3771" s="180" t="inlineStr">
        <is>
          <t>34 DSN 536</t>
        </is>
      </c>
      <c r="E3771" s="180" t="inlineStr">
        <is>
          <t>KURTULUŞ</t>
        </is>
      </c>
      <c r="F3771" s="115" t="n">
        <v>456227</v>
      </c>
      <c r="G3771" s="156" t="n"/>
      <c r="H3771" s="152" t="n">
        <v>448</v>
      </c>
      <c r="I3771" s="156" t="n"/>
      <c r="J3771" s="90" t="n"/>
      <c r="K3771" s="166" t="n"/>
      <c r="L3771" s="158" t="n"/>
      <c r="M3771" s="159" t="n"/>
    </row>
    <row r="3772">
      <c r="A3772" s="114" t="n">
        <v>46237</v>
      </c>
      <c r="B3772" s="115" t="n">
        <v>886</v>
      </c>
      <c r="C3772" s="115" t="inlineStr">
        <is>
          <t>SELİM İNŞAAT</t>
        </is>
      </c>
      <c r="D3772" s="115" t="inlineStr">
        <is>
          <t>34 EGR 922</t>
        </is>
      </c>
      <c r="E3772" s="115" t="inlineStr">
        <is>
          <t>FARUK ÖZEN</t>
        </is>
      </c>
      <c r="F3772" s="115" t="n">
        <v>531693</v>
      </c>
      <c r="G3772" s="156" t="n"/>
      <c r="H3772" s="152" t="n">
        <v>562</v>
      </c>
      <c r="I3772" s="156" t="n"/>
      <c r="J3772" s="90" t="n"/>
      <c r="K3772" s="166" t="n"/>
      <c r="L3772" s="158" t="n"/>
      <c r="M3772" s="159" t="n"/>
    </row>
    <row r="3773">
      <c r="A3773" s="114" t="n">
        <v>46240</v>
      </c>
      <c r="B3773" s="115" t="n">
        <v>887</v>
      </c>
      <c r="C3773" s="115" t="inlineStr">
        <is>
          <t>SELİM İNŞAAT</t>
        </is>
      </c>
      <c r="D3773" s="115" t="inlineStr">
        <is>
          <t>34 EGR 922</t>
        </is>
      </c>
      <c r="E3773" s="115" t="inlineStr">
        <is>
          <t>FARUK ÖZEN</t>
        </is>
      </c>
      <c r="F3773" s="115" t="n">
        <v>532573</v>
      </c>
      <c r="G3773" s="156" t="n"/>
      <c r="H3773" s="152" t="n">
        <v>492</v>
      </c>
      <c r="I3773" s="156" t="n"/>
      <c r="J3773" s="90" t="n"/>
      <c r="K3773" s="166" t="n"/>
      <c r="L3773" s="158" t="n"/>
      <c r="M3773" s="159" t="n"/>
    </row>
    <row r="3774">
      <c r="A3774" s="114" t="n">
        <v>46241</v>
      </c>
      <c r="B3774" s="115" t="n">
        <v>888</v>
      </c>
      <c r="C3774" s="115" t="inlineStr">
        <is>
          <t>SELİM İNŞAAT</t>
        </is>
      </c>
      <c r="D3774" s="115" t="inlineStr">
        <is>
          <t>34 EGR 922</t>
        </is>
      </c>
      <c r="E3774" s="115" t="inlineStr">
        <is>
          <t>FARUK ÖZEN</t>
        </is>
      </c>
      <c r="F3774" s="115" t="n">
        <v>533460</v>
      </c>
      <c r="G3774" s="156" t="n"/>
      <c r="H3774" s="152" t="n">
        <v>551</v>
      </c>
      <c r="I3774" s="156" t="n"/>
      <c r="J3774" s="90" t="n"/>
      <c r="K3774" s="166" t="n"/>
      <c r="L3774" s="158" t="n"/>
      <c r="M3774" s="159" t="n"/>
    </row>
    <row r="3775">
      <c r="A3775" s="114" t="n">
        <v>46244</v>
      </c>
      <c r="B3775" s="115" t="n">
        <v>889</v>
      </c>
      <c r="C3775" s="115" t="inlineStr">
        <is>
          <t>SELİM İNŞAAT</t>
        </is>
      </c>
      <c r="D3775" s="115" t="inlineStr">
        <is>
          <t>34 EGR 922</t>
        </is>
      </c>
      <c r="E3775" s="115" t="inlineStr">
        <is>
          <t>FARUK ÖZEN</t>
        </is>
      </c>
      <c r="F3775" s="115" t="n">
        <v>534370</v>
      </c>
      <c r="G3775" s="156" t="n"/>
      <c r="H3775" s="152" t="n">
        <v>536</v>
      </c>
      <c r="I3775" s="156" t="n"/>
      <c r="J3775" s="90" t="n"/>
      <c r="K3775" s="166" t="n"/>
      <c r="L3775" s="158" t="n"/>
      <c r="M3775" s="159" t="n"/>
    </row>
    <row r="3776">
      <c r="A3776" s="114" t="n">
        <v>46246</v>
      </c>
      <c r="B3776" s="115" t="n">
        <v>890</v>
      </c>
      <c r="C3776" s="115" t="inlineStr">
        <is>
          <t>SELİM İNŞAAT</t>
        </is>
      </c>
      <c r="D3776" s="115" t="inlineStr">
        <is>
          <t>34 EGR 922</t>
        </is>
      </c>
      <c r="E3776" s="115" t="inlineStr">
        <is>
          <t>FARUK ÖZEN</t>
        </is>
      </c>
      <c r="F3776" s="115" t="n">
        <v>535064</v>
      </c>
      <c r="G3776" s="156" t="n"/>
      <c r="H3776" s="152" t="n">
        <v>441</v>
      </c>
      <c r="I3776" s="156" t="n"/>
      <c r="J3776" s="90" t="n"/>
      <c r="K3776" s="166" t="n"/>
      <c r="L3776" s="158" t="n"/>
      <c r="M3776" s="159" t="n"/>
    </row>
    <row r="3777">
      <c r="A3777" s="114" t="n">
        <v>46248</v>
      </c>
      <c r="B3777" s="115" t="n">
        <v>891</v>
      </c>
      <c r="C3777" s="115" t="inlineStr">
        <is>
          <t>SELİM İNŞAAT</t>
        </is>
      </c>
      <c r="D3777" s="115" t="inlineStr">
        <is>
          <t>34 EGR 922</t>
        </is>
      </c>
      <c r="E3777" s="115" t="inlineStr">
        <is>
          <t>FARUK ÖZEN</t>
        </is>
      </c>
      <c r="F3777" s="115" t="n">
        <v>535904</v>
      </c>
      <c r="G3777" s="156" t="n"/>
      <c r="H3777" s="152" t="n">
        <v>526</v>
      </c>
      <c r="I3777" s="156" t="n"/>
      <c r="J3777" s="90" t="n"/>
      <c r="K3777" s="166" t="n"/>
      <c r="L3777" s="158" t="n"/>
      <c r="M3777" s="159" t="n"/>
    </row>
    <row r="3778">
      <c r="A3778" s="114" t="n">
        <v>46235</v>
      </c>
      <c r="B3778" s="115" t="n">
        <v>3193</v>
      </c>
      <c r="C3778" s="115" t="inlineStr">
        <is>
          <t>SELİM İNŞAAT</t>
        </is>
      </c>
      <c r="D3778" s="115" t="inlineStr">
        <is>
          <t>34 DTV 599</t>
        </is>
      </c>
      <c r="E3778" s="115" t="inlineStr">
        <is>
          <t>ADNAN KOÇ</t>
        </is>
      </c>
      <c r="F3778" s="115" t="n">
        <v>488725</v>
      </c>
      <c r="G3778" s="156" t="n"/>
      <c r="H3778" s="152" t="n">
        <v>444</v>
      </c>
      <c r="I3778" s="156" t="n"/>
      <c r="J3778" s="90" t="n"/>
      <c r="K3778" s="166" t="n"/>
      <c r="L3778" s="158" t="n"/>
      <c r="M3778" s="159" t="n"/>
    </row>
    <row r="3779">
      <c r="A3779" s="114" t="n">
        <v>46238</v>
      </c>
      <c r="B3779" s="115" t="n">
        <v>3194</v>
      </c>
      <c r="C3779" s="115" t="inlineStr">
        <is>
          <t>SELİM İNŞAAT</t>
        </is>
      </c>
      <c r="D3779" s="115" t="inlineStr">
        <is>
          <t>34 DTV 599</t>
        </is>
      </c>
      <c r="E3779" s="115" t="inlineStr">
        <is>
          <t>ADNAN KOÇ</t>
        </is>
      </c>
      <c r="F3779" s="115" t="n">
        <v>489382</v>
      </c>
      <c r="G3779" s="156" t="n"/>
      <c r="H3779" s="152" t="n">
        <v>435</v>
      </c>
      <c r="I3779" s="156" t="n"/>
      <c r="J3779" s="90" t="n"/>
      <c r="K3779" s="166" t="n"/>
      <c r="L3779" s="158" t="n"/>
      <c r="M3779" s="159" t="n"/>
    </row>
    <row r="3780">
      <c r="A3780" s="114" t="n">
        <v>46242</v>
      </c>
      <c r="B3780" s="115" t="n">
        <v>3195</v>
      </c>
      <c r="C3780" s="115" t="inlineStr">
        <is>
          <t>SELİM İNŞAAT</t>
        </is>
      </c>
      <c r="D3780" s="115" t="inlineStr">
        <is>
          <t>34 DTV 599</t>
        </is>
      </c>
      <c r="E3780" s="115" t="inlineStr">
        <is>
          <t>ADNAN KOÇ</t>
        </is>
      </c>
      <c r="F3780" s="115" t="n">
        <v>490055</v>
      </c>
      <c r="G3780" s="156" t="n"/>
      <c r="H3780" s="152" t="n">
        <v>440</v>
      </c>
      <c r="I3780" s="156" t="n"/>
      <c r="J3780" s="90" t="n"/>
      <c r="K3780" s="166" t="n"/>
      <c r="L3780" s="158" t="n"/>
      <c r="M3780" s="159" t="n"/>
    </row>
    <row r="3781">
      <c r="A3781" s="114" t="n">
        <v>46237</v>
      </c>
      <c r="B3781" s="115" t="n">
        <v>2561</v>
      </c>
      <c r="C3781" s="115" t="inlineStr">
        <is>
          <t>SELİM İNŞAAT</t>
        </is>
      </c>
      <c r="D3781" s="115" t="inlineStr">
        <is>
          <t>34 DSN 621</t>
        </is>
      </c>
      <c r="E3781" s="115" t="inlineStr">
        <is>
          <t>HASAN BAYCA</t>
        </is>
      </c>
      <c r="F3781" s="115" t="n">
        <v>457391</v>
      </c>
      <c r="G3781" s="156" t="n"/>
      <c r="H3781" s="152" t="n">
        <v>537</v>
      </c>
      <c r="I3781" s="156" t="n"/>
      <c r="J3781" s="90" t="n"/>
      <c r="K3781" s="166" t="n"/>
      <c r="L3781" s="158" t="n"/>
      <c r="M3781" s="159" t="n"/>
    </row>
    <row r="3782">
      <c r="A3782" s="114" t="n">
        <v>46239</v>
      </c>
      <c r="B3782" s="115" t="n">
        <v>2562</v>
      </c>
      <c r="C3782" s="115" t="inlineStr">
        <is>
          <t>SELİM İNŞAAT</t>
        </is>
      </c>
      <c r="D3782" s="115" t="inlineStr">
        <is>
          <t>34 DSN 621</t>
        </is>
      </c>
      <c r="E3782" s="115" t="inlineStr">
        <is>
          <t>HASAN BAYCA</t>
        </is>
      </c>
      <c r="F3782" s="115" t="n">
        <v>457997</v>
      </c>
      <c r="G3782" s="156" t="n"/>
      <c r="H3782" s="152" t="n">
        <v>401</v>
      </c>
      <c r="I3782" s="156" t="n"/>
      <c r="J3782" s="90" t="n"/>
      <c r="K3782" s="166" t="n"/>
      <c r="L3782" s="158" t="n"/>
      <c r="M3782" s="159" t="n"/>
    </row>
    <row r="3783">
      <c r="A3783" s="114" t="n">
        <v>46241</v>
      </c>
      <c r="B3783" s="115" t="n">
        <v>2563</v>
      </c>
      <c r="C3783" s="115" t="inlineStr">
        <is>
          <t>SELİM İNŞAAT</t>
        </is>
      </c>
      <c r="D3783" s="115" t="inlineStr">
        <is>
          <t>34 DSN 621</t>
        </is>
      </c>
      <c r="E3783" s="115" t="inlineStr">
        <is>
          <t>HASAN BAYCA</t>
        </is>
      </c>
      <c r="F3783" s="115" t="n">
        <v>458742</v>
      </c>
      <c r="G3783" s="156" t="n"/>
      <c r="H3783" s="152" t="n">
        <v>498</v>
      </c>
      <c r="I3783" s="156" t="n"/>
      <c r="J3783" s="90" t="n"/>
      <c r="K3783" s="166" t="n"/>
      <c r="L3783" s="158" t="n"/>
      <c r="M3783" s="159" t="n"/>
    </row>
    <row r="3784">
      <c r="A3784" s="114" t="n">
        <v>46242</v>
      </c>
      <c r="B3784" s="115" t="n">
        <v>2564</v>
      </c>
      <c r="C3784" s="115" t="inlineStr">
        <is>
          <t>SELİM İNŞAAT</t>
        </is>
      </c>
      <c r="D3784" s="115" t="inlineStr">
        <is>
          <t>34 DSN 621</t>
        </is>
      </c>
      <c r="E3784" s="115" t="inlineStr">
        <is>
          <t>HASAN BAYCA</t>
        </is>
      </c>
      <c r="F3784" s="115" t="n">
        <v>458997</v>
      </c>
      <c r="G3784" s="156" t="n"/>
      <c r="H3784" s="152" t="n">
        <v>220</v>
      </c>
      <c r="I3784" s="156" t="n"/>
      <c r="J3784" s="90" t="n"/>
      <c r="K3784" s="166" t="n"/>
      <c r="L3784" s="158" t="n"/>
      <c r="M3784" s="159" t="n"/>
    </row>
    <row r="3785">
      <c r="A3785" s="114" t="n">
        <v>46245</v>
      </c>
      <c r="B3785" s="115" t="n">
        <v>2565</v>
      </c>
      <c r="C3785" s="115" t="inlineStr">
        <is>
          <t>SELİM İNŞAAT</t>
        </is>
      </c>
      <c r="D3785" s="115" t="inlineStr">
        <is>
          <t>34 DSN 621</t>
        </is>
      </c>
      <c r="E3785" s="115" t="inlineStr">
        <is>
          <t>HASAN BAYCA</t>
        </is>
      </c>
      <c r="F3785" s="115" t="n">
        <v>459430</v>
      </c>
      <c r="G3785" s="156" t="n"/>
      <c r="H3785" s="152" t="n">
        <v>313</v>
      </c>
      <c r="I3785" s="156" t="n"/>
      <c r="J3785" s="90" t="n"/>
      <c r="K3785" s="166" t="n"/>
      <c r="L3785" s="158" t="n"/>
      <c r="M3785" s="159" t="n"/>
    </row>
    <row r="3786">
      <c r="A3786" s="114" t="n">
        <v>46238</v>
      </c>
      <c r="B3786" s="115" t="n">
        <v>4423</v>
      </c>
      <c r="C3786" s="115" t="inlineStr">
        <is>
          <t>SELİM İNŞAAT</t>
        </is>
      </c>
      <c r="D3786" s="115" t="inlineStr">
        <is>
          <t>34 DTV 409</t>
        </is>
      </c>
      <c r="E3786" s="115" t="inlineStr">
        <is>
          <t>CEM MUHTAR</t>
        </is>
      </c>
      <c r="F3786" s="115" t="n">
        <v>456381</v>
      </c>
      <c r="G3786" s="156" t="n"/>
      <c r="H3786" s="152" t="n">
        <v>518</v>
      </c>
      <c r="I3786" s="156" t="n"/>
      <c r="J3786" s="90" t="n"/>
      <c r="K3786" s="166" t="n"/>
      <c r="L3786" s="158" t="n"/>
      <c r="M3786" s="159" t="n"/>
    </row>
    <row r="3787">
      <c r="A3787" s="114" t="n">
        <v>46246</v>
      </c>
      <c r="B3787" s="115" t="n">
        <v>4424</v>
      </c>
      <c r="C3787" s="115" t="inlineStr">
        <is>
          <t>SELİM İNŞAAT</t>
        </is>
      </c>
      <c r="D3787" s="115" t="inlineStr">
        <is>
          <t>34 DTV 409</t>
        </is>
      </c>
      <c r="E3787" s="115" t="inlineStr">
        <is>
          <t>CEM MUHTAR</t>
        </is>
      </c>
      <c r="F3787" s="115" t="n">
        <v>457069</v>
      </c>
      <c r="G3787" s="156" t="n"/>
      <c r="H3787" s="152" t="n">
        <v>520</v>
      </c>
      <c r="I3787" s="156" t="n"/>
      <c r="J3787" s="90" t="n"/>
      <c r="K3787" s="166" t="n"/>
      <c r="L3787" s="158" t="n"/>
      <c r="M3787" s="159" t="n"/>
    </row>
    <row r="3788">
      <c r="A3788" s="114" t="n">
        <v>46248</v>
      </c>
      <c r="B3788" s="115" t="n">
        <v>4425</v>
      </c>
      <c r="C3788" s="115" t="inlineStr">
        <is>
          <t>SELİM İNŞAAT</t>
        </is>
      </c>
      <c r="D3788" s="115" t="inlineStr">
        <is>
          <t>34 DTV 409</t>
        </is>
      </c>
      <c r="E3788" s="115" t="inlineStr">
        <is>
          <t>CEM MUHTAR</t>
        </is>
      </c>
      <c r="F3788" s="115" t="n">
        <v>457781</v>
      </c>
      <c r="G3788" s="156" t="n"/>
      <c r="H3788" s="152" t="n">
        <v>500</v>
      </c>
      <c r="I3788" s="156" t="n"/>
      <c r="J3788" s="90" t="n"/>
      <c r="K3788" s="166" t="n"/>
      <c r="L3788" s="158" t="n"/>
      <c r="M3788" s="159" t="n"/>
    </row>
    <row r="3789">
      <c r="A3789" s="114" t="n">
        <v>46249</v>
      </c>
      <c r="B3789" s="115" t="n">
        <v>4426</v>
      </c>
      <c r="C3789" s="115" t="inlineStr">
        <is>
          <t>SELİM İNŞAAT</t>
        </is>
      </c>
      <c r="D3789" s="115" t="inlineStr">
        <is>
          <t>34 DTV 409</t>
        </is>
      </c>
      <c r="E3789" s="115" t="inlineStr">
        <is>
          <t>CEM MUHTAR</t>
        </is>
      </c>
      <c r="F3789" s="115" t="n">
        <v>458088</v>
      </c>
      <c r="G3789" s="156" t="n"/>
      <c r="H3789" s="152" t="n">
        <v>282</v>
      </c>
      <c r="I3789" s="156" t="n"/>
      <c r="J3789" s="90" t="n"/>
      <c r="K3789" s="166" t="n"/>
      <c r="L3789" s="158" t="n"/>
      <c r="M3789" s="159" t="n"/>
    </row>
    <row r="3790">
      <c r="A3790" s="114" t="n">
        <v>46237</v>
      </c>
      <c r="B3790" s="115" t="n">
        <v>4323</v>
      </c>
      <c r="C3790" s="115" t="inlineStr">
        <is>
          <t>SELİM İNŞAAT</t>
        </is>
      </c>
      <c r="D3790" s="115" t="inlineStr">
        <is>
          <t>34 DTV 447</t>
        </is>
      </c>
      <c r="E3790" s="115" t="inlineStr">
        <is>
          <t>MEVLÜT POLAT</t>
        </is>
      </c>
      <c r="F3790" s="115" t="n">
        <v>472844</v>
      </c>
      <c r="G3790" s="156" t="n"/>
      <c r="H3790" s="152" t="n">
        <v>424</v>
      </c>
      <c r="I3790" s="156" t="n"/>
      <c r="J3790" s="90" t="n"/>
      <c r="K3790" s="166" t="n"/>
      <c r="L3790" s="158" t="n"/>
      <c r="M3790" s="159" t="n"/>
    </row>
    <row r="3791">
      <c r="A3791" s="114" t="n">
        <v>46239</v>
      </c>
      <c r="B3791" s="115" t="n">
        <v>4324</v>
      </c>
      <c r="C3791" s="115" t="inlineStr">
        <is>
          <t>SELİM İNŞAAT</t>
        </is>
      </c>
      <c r="D3791" s="115" t="inlineStr">
        <is>
          <t>34 DTV 447</t>
        </is>
      </c>
      <c r="E3791" s="115" t="inlineStr">
        <is>
          <t>MEVLÜT POLAT</t>
        </is>
      </c>
      <c r="F3791" s="115" t="n">
        <v>473682</v>
      </c>
      <c r="G3791" s="156" t="n"/>
      <c r="H3791" s="152" t="n">
        <v>540</v>
      </c>
      <c r="I3791" s="156" t="n"/>
      <c r="J3791" s="90" t="n"/>
      <c r="K3791" s="166" t="n"/>
      <c r="L3791" s="158" t="n"/>
      <c r="M3791" s="159" t="n"/>
    </row>
    <row r="3792">
      <c r="A3792" s="114" t="n">
        <v>46241</v>
      </c>
      <c r="B3792" s="115" t="n">
        <v>4325</v>
      </c>
      <c r="C3792" s="115" t="inlineStr">
        <is>
          <t>SELİM İNŞAAT</t>
        </is>
      </c>
      <c r="D3792" s="115" t="inlineStr">
        <is>
          <t>34 DTV 447</t>
        </is>
      </c>
      <c r="E3792" s="115" t="inlineStr">
        <is>
          <t>MEVLÜT POLAT</t>
        </is>
      </c>
      <c r="F3792" s="115" t="n">
        <v>474592</v>
      </c>
      <c r="G3792" s="156" t="n"/>
      <c r="H3792" s="152" t="n">
        <v>580</v>
      </c>
      <c r="I3792" s="156" t="n"/>
      <c r="J3792" s="90" t="n"/>
      <c r="K3792" s="166" t="n"/>
      <c r="L3792" s="158" t="n"/>
      <c r="M3792" s="159" t="n"/>
    </row>
    <row r="3793">
      <c r="A3793" s="114" t="n">
        <v>46244</v>
      </c>
      <c r="B3793" s="115" t="n">
        <v>4326</v>
      </c>
      <c r="C3793" s="115" t="inlineStr">
        <is>
          <t>SELİM İNŞAAT</t>
        </is>
      </c>
      <c r="D3793" s="115" t="inlineStr">
        <is>
          <t>34 DTV 447</t>
        </is>
      </c>
      <c r="E3793" s="115" t="inlineStr">
        <is>
          <t>MEVLÜT POLAT</t>
        </is>
      </c>
      <c r="F3793" s="115" t="n">
        <v>475532</v>
      </c>
      <c r="G3793" s="156" t="n"/>
      <c r="H3793" s="152" t="n">
        <v>570</v>
      </c>
      <c r="I3793" s="156" t="n"/>
      <c r="J3793" s="90" t="n"/>
      <c r="K3793" s="166" t="n"/>
      <c r="L3793" s="158" t="n"/>
      <c r="M3793" s="159" t="n"/>
    </row>
    <row r="3794">
      <c r="A3794" s="114" t="n">
        <v>46246</v>
      </c>
      <c r="B3794" s="115" t="n">
        <v>4327</v>
      </c>
      <c r="C3794" s="115" t="inlineStr">
        <is>
          <t>SELİM İNŞAAT</t>
        </is>
      </c>
      <c r="D3794" s="115" t="inlineStr">
        <is>
          <t>34 DTV 447</t>
        </is>
      </c>
      <c r="E3794" s="115" t="inlineStr">
        <is>
          <t>MEVLÜT POLAT</t>
        </is>
      </c>
      <c r="F3794" s="115" t="n">
        <v>476292</v>
      </c>
      <c r="G3794" s="156" t="n"/>
      <c r="H3794" s="152" t="n">
        <v>511</v>
      </c>
      <c r="I3794" s="156" t="n"/>
      <c r="J3794" s="90" t="n"/>
      <c r="K3794" s="166" t="n"/>
      <c r="L3794" s="158" t="n"/>
      <c r="M3794" s="159" t="n"/>
    </row>
    <row r="3795">
      <c r="A3795" s="114" t="n">
        <v>46248</v>
      </c>
      <c r="B3795" s="115" t="n">
        <v>4328</v>
      </c>
      <c r="C3795" s="115" t="inlineStr">
        <is>
          <t>SELİM İNŞAAT</t>
        </is>
      </c>
      <c r="D3795" s="115" t="inlineStr">
        <is>
          <t>34 DTV 447</t>
        </is>
      </c>
      <c r="E3795" s="115" t="inlineStr">
        <is>
          <t>MEVLÜT POLAT</t>
        </is>
      </c>
      <c r="F3795" s="115" t="n">
        <v>447128</v>
      </c>
      <c r="G3795" s="156" t="n"/>
      <c r="H3795" s="152" t="n">
        <v>550</v>
      </c>
      <c r="I3795" s="156" t="n"/>
      <c r="J3795" s="90" t="n"/>
      <c r="K3795" s="166" t="n"/>
      <c r="L3795" s="158" t="n"/>
      <c r="M3795" s="159" t="n"/>
    </row>
    <row r="3796">
      <c r="A3796" s="114" t="n">
        <v>46235</v>
      </c>
      <c r="B3796" s="115" t="n">
        <v>3852</v>
      </c>
      <c r="C3796" s="115" t="inlineStr">
        <is>
          <t>SELİM İNŞAAT</t>
        </is>
      </c>
      <c r="D3796" s="115" t="inlineStr">
        <is>
          <t>34 EDB 559</t>
        </is>
      </c>
      <c r="E3796" s="115" t="inlineStr">
        <is>
          <t>SELAMETTİN KORKMAZ</t>
        </is>
      </c>
      <c r="F3796" s="115" t="n">
        <v>383991</v>
      </c>
      <c r="G3796" s="156" t="n"/>
      <c r="H3796" s="152" t="n">
        <v>490</v>
      </c>
      <c r="I3796" s="156" t="n"/>
      <c r="J3796" s="90" t="n"/>
      <c r="K3796" s="166" t="n"/>
      <c r="L3796" s="158" t="n"/>
      <c r="M3796" s="159" t="n"/>
    </row>
    <row r="3797">
      <c r="A3797" s="114" t="n">
        <v>46238</v>
      </c>
      <c r="B3797" s="115" t="n">
        <v>3853</v>
      </c>
      <c r="C3797" s="115" t="inlineStr">
        <is>
          <t>SELİM İNŞAAT</t>
        </is>
      </c>
      <c r="D3797" s="115" t="inlineStr">
        <is>
          <t>34 EDB 559</t>
        </is>
      </c>
      <c r="E3797" s="115" t="inlineStr">
        <is>
          <t>SELAMETTİN KORKMAZ</t>
        </is>
      </c>
      <c r="F3797" s="115" t="n">
        <v>384794</v>
      </c>
      <c r="G3797" s="156" t="n"/>
      <c r="H3797" s="152" t="n">
        <v>464</v>
      </c>
      <c r="I3797" s="156" t="n"/>
      <c r="J3797" s="90" t="n"/>
      <c r="K3797" s="166" t="n"/>
      <c r="L3797" s="158" t="n"/>
      <c r="M3797" s="159" t="n"/>
    </row>
    <row r="3798">
      <c r="A3798" s="114" t="n">
        <v>46239</v>
      </c>
      <c r="B3798" s="115" t="n">
        <v>3854</v>
      </c>
      <c r="C3798" s="115" t="inlineStr">
        <is>
          <t>SELİM İNŞAAT</t>
        </is>
      </c>
      <c r="D3798" s="115" t="inlineStr">
        <is>
          <t>34 EDB 559</t>
        </is>
      </c>
      <c r="E3798" s="115" t="inlineStr">
        <is>
          <t>SELAMETTİN KORKMAZ</t>
        </is>
      </c>
      <c r="F3798" s="115" t="n">
        <v>385264</v>
      </c>
      <c r="G3798" s="156" t="n"/>
      <c r="H3798" s="152" t="n">
        <v>302</v>
      </c>
      <c r="I3798" s="156" t="n"/>
      <c r="J3798" s="90" t="n"/>
      <c r="K3798" s="166" t="n"/>
      <c r="L3798" s="158" t="n"/>
      <c r="M3798" s="159" t="n"/>
    </row>
    <row r="3799">
      <c r="A3799" s="114" t="n">
        <v>46245</v>
      </c>
      <c r="B3799" s="115" t="n">
        <v>3855</v>
      </c>
      <c r="C3799" s="115" t="inlineStr">
        <is>
          <t>SELİM İNŞAAT</t>
        </is>
      </c>
      <c r="D3799" s="115" t="inlineStr">
        <is>
          <t>34 EDB 559</t>
        </is>
      </c>
      <c r="E3799" s="115" t="inlineStr">
        <is>
          <t>SELAMETTİN KORKMAZ</t>
        </is>
      </c>
      <c r="F3799" s="115" t="n">
        <v>385989</v>
      </c>
      <c r="G3799" s="156" t="n"/>
      <c r="H3799" s="152" t="n">
        <v>475</v>
      </c>
      <c r="I3799" s="156" t="n"/>
      <c r="J3799" s="90" t="n"/>
      <c r="K3799" s="166" t="n"/>
      <c r="L3799" s="158" t="n"/>
      <c r="M3799" s="159" t="n"/>
    </row>
    <row r="3800">
      <c r="A3800" s="114" t="n">
        <v>46246</v>
      </c>
      <c r="B3800" s="115" t="n">
        <v>3856</v>
      </c>
      <c r="C3800" s="115" t="inlineStr">
        <is>
          <t>SELİM İNŞAAT</t>
        </is>
      </c>
      <c r="D3800" s="115" t="inlineStr">
        <is>
          <t>34 EDB 559</t>
        </is>
      </c>
      <c r="E3800" s="115" t="inlineStr">
        <is>
          <t>SELAMETTİN KORKMAZ</t>
        </is>
      </c>
      <c r="F3800" s="115" t="n">
        <v>386709</v>
      </c>
      <c r="G3800" s="156" t="n"/>
      <c r="H3800" s="152" t="n">
        <v>439</v>
      </c>
      <c r="I3800" s="156" t="n"/>
      <c r="J3800" s="90" t="n"/>
      <c r="K3800" s="166" t="n"/>
      <c r="L3800" s="158" t="n"/>
      <c r="M3800" s="159" t="n"/>
    </row>
    <row r="3801">
      <c r="A3801" s="114" t="n">
        <v>46248</v>
      </c>
      <c r="B3801" s="115" t="n">
        <v>3857</v>
      </c>
      <c r="C3801" s="115" t="inlineStr">
        <is>
          <t>SELİM İNŞAAT</t>
        </is>
      </c>
      <c r="D3801" s="115" t="inlineStr">
        <is>
          <t>34 EDB 559</t>
        </is>
      </c>
      <c r="E3801" s="115" t="inlineStr">
        <is>
          <t>SELAMETTİN KORKMAZ</t>
        </is>
      </c>
      <c r="F3801" s="115" t="n">
        <v>387381</v>
      </c>
      <c r="G3801" s="156" t="n"/>
      <c r="H3801" s="152" t="n">
        <v>444</v>
      </c>
      <c r="I3801" s="156" t="n"/>
      <c r="J3801" s="90" t="n"/>
      <c r="K3801" s="166" t="n"/>
      <c r="L3801" s="158" t="n"/>
      <c r="M3801" s="159" t="n"/>
    </row>
    <row r="3802">
      <c r="A3802" s="114" t="n">
        <v>46249</v>
      </c>
      <c r="B3802" s="115" t="n">
        <v>3858</v>
      </c>
      <c r="C3802" s="115" t="inlineStr">
        <is>
          <t>SELİM İNŞAAT</t>
        </is>
      </c>
      <c r="D3802" s="115" t="inlineStr">
        <is>
          <t>34 EDB 559</t>
        </is>
      </c>
      <c r="E3802" s="115" t="inlineStr">
        <is>
          <t>SELAMETTİN KORKMAZ</t>
        </is>
      </c>
      <c r="F3802" s="115" t="n">
        <v>387872</v>
      </c>
      <c r="G3802" s="156" t="n"/>
      <c r="H3802" s="152" t="n">
        <v>331</v>
      </c>
      <c r="I3802" s="156" t="n"/>
      <c r="J3802" s="90" t="n"/>
      <c r="K3802" s="166" t="n"/>
      <c r="L3802" s="158" t="n"/>
      <c r="M3802" s="159" t="n"/>
    </row>
    <row r="3803">
      <c r="A3803" s="114" t="n">
        <v>46235</v>
      </c>
      <c r="B3803" s="115" t="n">
        <v>2034</v>
      </c>
      <c r="C3803" s="115" t="inlineStr">
        <is>
          <t>SELİM İNŞAAT</t>
        </is>
      </c>
      <c r="D3803" s="115" t="inlineStr">
        <is>
          <t>34 GYZ 635</t>
        </is>
      </c>
      <c r="E3803" s="115" t="inlineStr">
        <is>
          <t>SELÇUK BASTIK</t>
        </is>
      </c>
      <c r="F3803" s="115" t="n">
        <v>263691</v>
      </c>
      <c r="G3803" s="156" t="n"/>
      <c r="H3803" s="152" t="n">
        <v>272</v>
      </c>
      <c r="I3803" s="156" t="n"/>
      <c r="J3803" s="90" t="n"/>
      <c r="K3803" s="166" t="n"/>
      <c r="L3803" s="158" t="n"/>
      <c r="M3803" s="159" t="n"/>
    </row>
    <row r="3804">
      <c r="A3804" s="114" t="n">
        <v>46240</v>
      </c>
      <c r="B3804" s="115" t="n">
        <v>2035</v>
      </c>
      <c r="C3804" s="115" t="inlineStr">
        <is>
          <t>SELİM İNŞAAT</t>
        </is>
      </c>
      <c r="D3804" s="115" t="inlineStr">
        <is>
          <t>34 GYZ 635</t>
        </is>
      </c>
      <c r="E3804" s="115" t="inlineStr">
        <is>
          <t>SELÇUK BASTIK</t>
        </is>
      </c>
      <c r="F3804" s="115" t="n">
        <v>264435</v>
      </c>
      <c r="G3804" s="156" t="n"/>
      <c r="H3804" s="152" t="n">
        <v>441</v>
      </c>
      <c r="I3804" s="156" t="n"/>
      <c r="J3804" s="90" t="n"/>
      <c r="K3804" s="166" t="n"/>
      <c r="L3804" s="158" t="n"/>
      <c r="M3804" s="159" t="n"/>
    </row>
    <row r="3805">
      <c r="A3805" s="114" t="n">
        <v>46242</v>
      </c>
      <c r="B3805" s="115" t="n">
        <v>2036</v>
      </c>
      <c r="C3805" s="115" t="inlineStr">
        <is>
          <t>SELİM İNŞAAT</t>
        </is>
      </c>
      <c r="D3805" s="115" t="inlineStr">
        <is>
          <t>34 GYZ 635</t>
        </is>
      </c>
      <c r="E3805" s="115" t="inlineStr">
        <is>
          <t>SELÇUK BASTIK</t>
        </is>
      </c>
      <c r="F3805" s="115" t="n">
        <v>265086</v>
      </c>
      <c r="G3805" s="156" t="n"/>
      <c r="H3805" s="152" t="n">
        <v>427</v>
      </c>
      <c r="I3805" s="156" t="n"/>
      <c r="J3805" s="90" t="n"/>
      <c r="K3805" s="166" t="n"/>
      <c r="L3805" s="158" t="n"/>
      <c r="M3805" s="159" t="n"/>
    </row>
    <row r="3806">
      <c r="A3806" s="114" t="n">
        <v>46244</v>
      </c>
      <c r="B3806" s="115" t="n">
        <v>2037</v>
      </c>
      <c r="C3806" s="115" t="inlineStr">
        <is>
          <t>SELİM İNŞAAT</t>
        </is>
      </c>
      <c r="D3806" s="115" t="inlineStr">
        <is>
          <t>34 GYZ 635</t>
        </is>
      </c>
      <c r="E3806" s="115" t="inlineStr">
        <is>
          <t>SELÇUK BASTIK</t>
        </is>
      </c>
      <c r="F3806" s="115" t="n">
        <v>265764</v>
      </c>
      <c r="G3806" s="156" t="n"/>
      <c r="H3806" s="152" t="n">
        <v>386</v>
      </c>
      <c r="I3806" s="156" t="n"/>
      <c r="J3806" s="90" t="n"/>
      <c r="K3806" s="166" t="n"/>
      <c r="L3806" s="158" t="n"/>
      <c r="M3806" s="159" t="n"/>
    </row>
    <row r="3807">
      <c r="A3807" s="114" t="n">
        <v>46246</v>
      </c>
      <c r="B3807" s="115" t="n">
        <v>2038</v>
      </c>
      <c r="C3807" s="115" t="inlineStr">
        <is>
          <t>SELİM İNŞAAT</t>
        </is>
      </c>
      <c r="D3807" s="115" t="inlineStr">
        <is>
          <t>34 GYZ 635</t>
        </is>
      </c>
      <c r="E3807" s="115" t="inlineStr">
        <is>
          <t>SELÇUK BASTIK</t>
        </is>
      </c>
      <c r="F3807" s="115" t="n">
        <v>266470</v>
      </c>
      <c r="G3807" s="156" t="n"/>
      <c r="H3807" s="152" t="n">
        <v>436</v>
      </c>
      <c r="I3807" s="156" t="n"/>
      <c r="J3807" s="90" t="n"/>
      <c r="K3807" s="166" t="n"/>
      <c r="L3807" s="158" t="n"/>
      <c r="M3807" s="159" t="n"/>
    </row>
    <row r="3808">
      <c r="A3808" s="114" t="n">
        <v>46248</v>
      </c>
      <c r="B3808" s="115" t="n">
        <v>2039</v>
      </c>
      <c r="C3808" s="115" t="inlineStr">
        <is>
          <t>SELİM İNŞAAT</t>
        </is>
      </c>
      <c r="D3808" s="115" t="inlineStr">
        <is>
          <t>34 GYZ 635</t>
        </is>
      </c>
      <c r="E3808" s="115" t="inlineStr">
        <is>
          <t>SELÇUK BASTIK</t>
        </is>
      </c>
      <c r="F3808" s="115" t="n">
        <v>267118</v>
      </c>
      <c r="G3808" s="156" t="n"/>
      <c r="H3808" s="152" t="n">
        <v>397</v>
      </c>
      <c r="I3808" s="156" t="n"/>
      <c r="J3808" s="90" t="n"/>
      <c r="K3808" s="166" t="n"/>
      <c r="L3808" s="158" t="n"/>
      <c r="M3808" s="159" t="n"/>
    </row>
    <row r="3809">
      <c r="A3809" s="114" t="n">
        <v>46249</v>
      </c>
      <c r="B3809" s="115" t="n">
        <v>2040</v>
      </c>
      <c r="C3809" s="115" t="inlineStr">
        <is>
          <t>SELİM İNŞAAT</t>
        </is>
      </c>
      <c r="D3809" s="115" t="inlineStr">
        <is>
          <t>34 GYZ 635</t>
        </is>
      </c>
      <c r="E3809" s="115" t="inlineStr">
        <is>
          <t>SELÇUK BASTIK</t>
        </is>
      </c>
      <c r="F3809" s="115" t="n">
        <v>267693</v>
      </c>
      <c r="G3809" s="156" t="n"/>
      <c r="H3809" s="152" t="n">
        <v>348</v>
      </c>
      <c r="I3809" s="156" t="n"/>
      <c r="J3809" s="90" t="n"/>
      <c r="K3809" s="166" t="n"/>
      <c r="L3809" s="158" t="n"/>
      <c r="M3809" s="159" t="n"/>
    </row>
    <row r="3810">
      <c r="A3810" s="114" t="n">
        <v>46235</v>
      </c>
      <c r="B3810" s="115" t="n">
        <v>3208</v>
      </c>
      <c r="C3810" s="115" t="inlineStr">
        <is>
          <t>SELİM İNŞAAT</t>
        </is>
      </c>
      <c r="D3810" s="115" t="inlineStr">
        <is>
          <t>34 EGR 737</t>
        </is>
      </c>
      <c r="E3810" s="115" t="inlineStr">
        <is>
          <t>CEM MUHTAR</t>
        </is>
      </c>
      <c r="F3810" s="115" t="n">
        <v>486863</v>
      </c>
      <c r="G3810" s="156" t="n"/>
      <c r="H3810" s="152" t="n">
        <v>419</v>
      </c>
      <c r="I3810" s="156" t="n"/>
      <c r="J3810" s="90" t="n"/>
      <c r="K3810" s="166" t="n"/>
      <c r="L3810" s="158" t="n"/>
      <c r="M3810" s="159" t="n"/>
    </row>
    <row r="3811">
      <c r="A3811" s="114" t="n">
        <v>46239</v>
      </c>
      <c r="B3811" s="115" t="n">
        <v>3209</v>
      </c>
      <c r="C3811" s="115" t="inlineStr">
        <is>
          <t>SELİM İNŞAAT</t>
        </is>
      </c>
      <c r="D3811" s="115" t="inlineStr">
        <is>
          <t>34 EGR 737</t>
        </is>
      </c>
      <c r="E3811" s="115" t="inlineStr">
        <is>
          <t>CEM MUHTAR</t>
        </is>
      </c>
      <c r="F3811" s="115" t="n">
        <v>487648</v>
      </c>
      <c r="G3811" s="156" t="n"/>
      <c r="H3811" s="152" t="n">
        <v>500</v>
      </c>
      <c r="I3811" s="156" t="n"/>
      <c r="J3811" s="90" t="n"/>
      <c r="K3811" s="166" t="n"/>
      <c r="L3811" s="158" t="n"/>
      <c r="M3811" s="159" t="n"/>
    </row>
    <row r="3812">
      <c r="A3812" s="114" t="n">
        <v>46238</v>
      </c>
      <c r="B3812" s="115" t="n">
        <v>1334</v>
      </c>
      <c r="C3812" s="115" t="inlineStr">
        <is>
          <t>SELİM İNŞAAT</t>
        </is>
      </c>
      <c r="D3812" s="115" t="inlineStr">
        <is>
          <t>34 GVZ 199</t>
        </is>
      </c>
      <c r="E3812" s="115" t="inlineStr">
        <is>
          <t>HÜSEYİN DENİZ</t>
        </is>
      </c>
      <c r="F3812" s="115" t="n">
        <v>260580</v>
      </c>
      <c r="G3812" s="156" t="n"/>
      <c r="H3812" s="152" t="n">
        <v>474</v>
      </c>
      <c r="I3812" s="156" t="n"/>
      <c r="J3812" s="90" t="n"/>
      <c r="K3812" s="166" t="n"/>
      <c r="L3812" s="158" t="n"/>
      <c r="M3812" s="159" t="n"/>
    </row>
    <row r="3813">
      <c r="A3813" s="114" t="n">
        <v>46240</v>
      </c>
      <c r="B3813" s="115" t="n">
        <v>1335</v>
      </c>
      <c r="C3813" s="115" t="inlineStr">
        <is>
          <t>SELİM İNŞAAT</t>
        </is>
      </c>
      <c r="D3813" s="115" t="inlineStr">
        <is>
          <t>34 GVZ 199</t>
        </is>
      </c>
      <c r="E3813" s="115" t="inlineStr">
        <is>
          <t>HÜSEYİN DENİZ</t>
        </is>
      </c>
      <c r="F3813" s="115" t="n">
        <v>261453</v>
      </c>
      <c r="G3813" s="156" t="n"/>
      <c r="H3813" s="152" t="n">
        <v>478</v>
      </c>
      <c r="I3813" s="156" t="n"/>
      <c r="J3813" s="90" t="n"/>
      <c r="K3813" s="166" t="n"/>
      <c r="L3813" s="158" t="n"/>
      <c r="M3813" s="159" t="n"/>
    </row>
    <row r="3814">
      <c r="A3814" s="114" t="n">
        <v>46244</v>
      </c>
      <c r="B3814" s="115" t="n">
        <v>1336</v>
      </c>
      <c r="C3814" s="115" t="inlineStr">
        <is>
          <t>SELİM İNŞAAT</t>
        </is>
      </c>
      <c r="D3814" s="115" t="inlineStr">
        <is>
          <t>34 GVZ 199</t>
        </is>
      </c>
      <c r="E3814" s="115" t="inlineStr">
        <is>
          <t>HÜSEYİN DENİZ</t>
        </is>
      </c>
      <c r="F3814" s="115" t="n">
        <v>262296</v>
      </c>
      <c r="G3814" s="156" t="n"/>
      <c r="H3814" s="152" t="n">
        <v>469</v>
      </c>
      <c r="I3814" s="156" t="n"/>
      <c r="J3814" s="90" t="n"/>
      <c r="K3814" s="166" t="n"/>
      <c r="L3814" s="158" t="n"/>
      <c r="M3814" s="159" t="n"/>
    </row>
    <row r="3815">
      <c r="A3815" s="114" t="n">
        <v>46245</v>
      </c>
      <c r="B3815" s="115" t="n">
        <v>1337</v>
      </c>
      <c r="C3815" s="115" t="inlineStr">
        <is>
          <t>SELİM İNŞAAT</t>
        </is>
      </c>
      <c r="D3815" s="115" t="inlineStr">
        <is>
          <t>34 GVZ 199</t>
        </is>
      </c>
      <c r="E3815" s="115" t="inlineStr">
        <is>
          <t>HÜSEYİN DENİZ</t>
        </is>
      </c>
      <c r="F3815" s="115" t="n">
        <v>263092</v>
      </c>
      <c r="G3815" s="156" t="n"/>
      <c r="H3815" s="152" t="n">
        <v>436</v>
      </c>
      <c r="I3815" s="156" t="n"/>
      <c r="J3815" s="90" t="n"/>
      <c r="K3815" s="166" t="n"/>
      <c r="L3815" s="158" t="n"/>
      <c r="M3815" s="159" t="n"/>
    </row>
    <row r="3816">
      <c r="A3816" s="114" t="n">
        <v>46248</v>
      </c>
      <c r="B3816" s="115" t="n">
        <v>1338</v>
      </c>
      <c r="C3816" s="115" t="inlineStr">
        <is>
          <t>SELİM İNŞAAT</t>
        </is>
      </c>
      <c r="D3816" s="115" t="inlineStr">
        <is>
          <t>34 GVZ 199</t>
        </is>
      </c>
      <c r="E3816" s="115" t="inlineStr">
        <is>
          <t>HÜSEYİN DENİZ</t>
        </is>
      </c>
      <c r="F3816" s="115" t="n">
        <v>264103</v>
      </c>
      <c r="G3816" s="156" t="n"/>
      <c r="H3816" s="152" t="n">
        <v>548</v>
      </c>
      <c r="I3816" s="156" t="n"/>
      <c r="J3816" s="90" t="n"/>
      <c r="K3816" s="166" t="n"/>
      <c r="L3816" s="158" t="n"/>
      <c r="M3816" s="159" t="n"/>
    </row>
    <row r="3817">
      <c r="A3817" s="114" t="n">
        <v>46235</v>
      </c>
      <c r="B3817" s="115" t="n">
        <v>2217</v>
      </c>
      <c r="C3817" s="115" t="inlineStr">
        <is>
          <t>SELİM İNŞAAT</t>
        </is>
      </c>
      <c r="D3817" s="115" t="inlineStr">
        <is>
          <t>34 FBR 748</t>
        </is>
      </c>
      <c r="E3817" s="115" t="inlineStr">
        <is>
          <t>YAŞAR ÖZKAYA</t>
        </is>
      </c>
      <c r="F3817" s="115" t="n">
        <v>357201</v>
      </c>
      <c r="G3817" s="156" t="n"/>
      <c r="H3817" s="152" t="n">
        <v>395</v>
      </c>
      <c r="I3817" s="156" t="n"/>
      <c r="J3817" s="90" t="n"/>
      <c r="K3817" s="166" t="n"/>
      <c r="L3817" s="158" t="n"/>
      <c r="M3817" s="159" t="n"/>
    </row>
    <row r="3818">
      <c r="A3818" s="114" t="n">
        <v>46238</v>
      </c>
      <c r="B3818" s="115" t="n">
        <v>2218</v>
      </c>
      <c r="C3818" s="115" t="inlineStr">
        <is>
          <t>SELİM İNŞAAT</t>
        </is>
      </c>
      <c r="D3818" s="115" t="inlineStr">
        <is>
          <t>34 FBR 748</t>
        </is>
      </c>
      <c r="E3818" s="115" t="inlineStr">
        <is>
          <t>YAŞAR ÖZKAYA</t>
        </is>
      </c>
      <c r="F3818" s="115" t="n">
        <v>357929</v>
      </c>
      <c r="G3818" s="156" t="n"/>
      <c r="H3818" s="152" t="n">
        <v>494</v>
      </c>
      <c r="I3818" s="156" t="n"/>
      <c r="J3818" s="90" t="n"/>
      <c r="K3818" s="166" t="n"/>
      <c r="L3818" s="158" t="n"/>
      <c r="M3818" s="159" t="n"/>
    </row>
    <row r="3819">
      <c r="A3819" s="114" t="n">
        <v>46240</v>
      </c>
      <c r="B3819" s="115" t="n">
        <v>2219</v>
      </c>
      <c r="C3819" s="115" t="inlineStr">
        <is>
          <t>SELİM İNŞAAT</t>
        </is>
      </c>
      <c r="D3819" s="115" t="inlineStr">
        <is>
          <t>34 FBR 748</t>
        </is>
      </c>
      <c r="E3819" s="115" t="inlineStr">
        <is>
          <t>YAŞAR ÖZKAYA</t>
        </is>
      </c>
      <c r="F3819" s="115" t="n">
        <v>358608</v>
      </c>
      <c r="G3819" s="156" t="n"/>
      <c r="H3819" s="152" t="n">
        <v>458</v>
      </c>
      <c r="I3819" s="156" t="n"/>
      <c r="J3819" s="90" t="n"/>
      <c r="K3819" s="166" t="n"/>
      <c r="L3819" s="158" t="n"/>
      <c r="M3819" s="159" t="n"/>
    </row>
    <row r="3820">
      <c r="A3820" s="114" t="n">
        <v>46241</v>
      </c>
      <c r="B3820" s="115" t="n">
        <v>2220</v>
      </c>
      <c r="C3820" s="115" t="inlineStr">
        <is>
          <t>SELİM İNŞAAT</t>
        </is>
      </c>
      <c r="D3820" s="115" t="inlineStr">
        <is>
          <t>34 FBR 748</t>
        </is>
      </c>
      <c r="E3820" s="115" t="inlineStr">
        <is>
          <t>YAŞAR ÖZKAYA</t>
        </is>
      </c>
      <c r="F3820" s="115" t="n">
        <v>359267</v>
      </c>
      <c r="G3820" s="156" t="n"/>
      <c r="H3820" s="152" t="n">
        <v>440</v>
      </c>
      <c r="I3820" s="156" t="n"/>
      <c r="J3820" s="90" t="n"/>
      <c r="K3820" s="166" t="n"/>
      <c r="L3820" s="158" t="n"/>
      <c r="M3820" s="159" t="n"/>
    </row>
    <row r="3821">
      <c r="A3821" s="114" t="n">
        <v>46244</v>
      </c>
      <c r="B3821" s="115" t="n">
        <v>2221</v>
      </c>
      <c r="C3821" s="115" t="inlineStr">
        <is>
          <t>SELİM İNŞAAT</t>
        </is>
      </c>
      <c r="D3821" s="115" t="inlineStr">
        <is>
          <t>34 FBR 748</t>
        </is>
      </c>
      <c r="E3821" s="115" t="inlineStr">
        <is>
          <t>YAŞAR ÖZKAYA</t>
        </is>
      </c>
      <c r="F3821" s="115" t="n">
        <v>359944</v>
      </c>
      <c r="G3821" s="156" t="n"/>
      <c r="H3821" s="152" t="n">
        <v>460</v>
      </c>
      <c r="I3821" s="156" t="n"/>
      <c r="J3821" s="90" t="n"/>
      <c r="K3821" s="166" t="n"/>
      <c r="L3821" s="158" t="n"/>
      <c r="M3821" s="159" t="n"/>
    </row>
    <row r="3822">
      <c r="A3822" s="114" t="n">
        <v>46246</v>
      </c>
      <c r="B3822" s="115" t="n">
        <v>2222</v>
      </c>
      <c r="C3822" s="115" t="inlineStr">
        <is>
          <t>SELİM İNŞAAT</t>
        </is>
      </c>
      <c r="D3822" s="115" t="inlineStr">
        <is>
          <t>34 FBR 748</t>
        </is>
      </c>
      <c r="E3822" s="115" t="inlineStr">
        <is>
          <t>YAŞAR ÖZKAYA</t>
        </is>
      </c>
      <c r="F3822" s="115" t="n">
        <v>360557</v>
      </c>
      <c r="G3822" s="156" t="n"/>
      <c r="H3822" s="152" t="n">
        <v>416</v>
      </c>
      <c r="I3822" s="156" t="n"/>
      <c r="J3822" s="90" t="n"/>
      <c r="K3822" s="166" t="n"/>
      <c r="L3822" s="158" t="n"/>
      <c r="M3822" s="159" t="n"/>
    </row>
    <row r="3823">
      <c r="A3823" s="114" t="n">
        <v>46248</v>
      </c>
      <c r="B3823" s="115" t="n">
        <v>2223</v>
      </c>
      <c r="C3823" s="115" t="inlineStr">
        <is>
          <t>SELİM İNŞAAT</t>
        </is>
      </c>
      <c r="D3823" s="115" t="inlineStr">
        <is>
          <t>34 FBR 748</t>
        </is>
      </c>
      <c r="E3823" s="115" t="inlineStr">
        <is>
          <t>YAŞAR ÖZKAYA</t>
        </is>
      </c>
      <c r="F3823" s="115" t="n">
        <v>361502</v>
      </c>
      <c r="G3823" s="156" t="n"/>
      <c r="H3823" s="152" t="n">
        <v>590</v>
      </c>
      <c r="I3823" s="156" t="n"/>
      <c r="J3823" s="90" t="n"/>
      <c r="K3823" s="166" t="n"/>
      <c r="L3823" s="158" t="n"/>
      <c r="M3823" s="159" t="n"/>
    </row>
    <row r="3824">
      <c r="A3824" s="114" t="n">
        <v>46235</v>
      </c>
      <c r="B3824" s="115" t="n">
        <v>1492</v>
      </c>
      <c r="C3824" s="115" t="inlineStr">
        <is>
          <t>SELİM İNŞAAT</t>
        </is>
      </c>
      <c r="D3824" s="115" t="inlineStr">
        <is>
          <t>34 EDB 754</t>
        </is>
      </c>
      <c r="E3824" s="115" t="inlineStr">
        <is>
          <t>AZİZ ORUÇ</t>
        </is>
      </c>
      <c r="F3824" s="115" t="n">
        <v>403019</v>
      </c>
      <c r="G3824" s="156" t="n"/>
      <c r="H3824" s="152" t="n">
        <v>515</v>
      </c>
      <c r="I3824" s="156" t="n"/>
      <c r="J3824" s="90" t="n"/>
      <c r="K3824" s="166" t="n"/>
      <c r="L3824" s="158" t="n"/>
      <c r="M3824" s="159" t="n"/>
    </row>
    <row r="3825">
      <c r="A3825" s="114" t="n">
        <v>46239</v>
      </c>
      <c r="B3825" s="115" t="n">
        <v>1493</v>
      </c>
      <c r="C3825" s="115" t="inlineStr">
        <is>
          <t>SELİM İNŞAAT</t>
        </is>
      </c>
      <c r="D3825" s="115" t="inlineStr">
        <is>
          <t>34 EDB 754</t>
        </is>
      </c>
      <c r="E3825" s="115" t="inlineStr">
        <is>
          <t>AZİZ ORUÇ</t>
        </is>
      </c>
      <c r="F3825" s="115" t="n">
        <v>403813</v>
      </c>
      <c r="G3825" s="156" t="n"/>
      <c r="H3825" s="152" t="n">
        <v>496</v>
      </c>
      <c r="I3825" s="156" t="n"/>
      <c r="J3825" s="90" t="n"/>
      <c r="K3825" s="166" t="n"/>
      <c r="L3825" s="158" t="n"/>
      <c r="M3825" s="159" t="n"/>
    </row>
    <row r="3826">
      <c r="A3826" s="114" t="n">
        <v>46241</v>
      </c>
      <c r="B3826" s="115" t="n">
        <v>1494</v>
      </c>
      <c r="C3826" s="115" t="inlineStr">
        <is>
          <t>SELİM İNŞAAT</t>
        </is>
      </c>
      <c r="D3826" s="115" t="inlineStr">
        <is>
          <t>34 EDB 754</t>
        </is>
      </c>
      <c r="E3826" s="115" t="inlineStr">
        <is>
          <t>AZİZ ORUÇ</t>
        </is>
      </c>
      <c r="F3826" s="115" t="n">
        <v>404572</v>
      </c>
      <c r="G3826" s="156" t="n"/>
      <c r="H3826" s="152" t="n">
        <v>490</v>
      </c>
      <c r="I3826" s="156" t="n"/>
      <c r="J3826" s="90" t="n"/>
      <c r="K3826" s="166" t="n"/>
      <c r="L3826" s="158" t="n"/>
      <c r="M3826" s="159" t="n"/>
    </row>
    <row r="3827">
      <c r="A3827" s="114" t="n">
        <v>46242</v>
      </c>
      <c r="B3827" s="115" t="n">
        <v>1495</v>
      </c>
      <c r="C3827" s="115" t="inlineStr">
        <is>
          <t>SELİM İNŞAAT</t>
        </is>
      </c>
      <c r="D3827" s="115" t="inlineStr">
        <is>
          <t>34 EDB 754</t>
        </is>
      </c>
      <c r="E3827" s="115" t="inlineStr">
        <is>
          <t>AZİZ ORUÇ</t>
        </is>
      </c>
      <c r="F3827" s="115" t="n">
        <v>405203</v>
      </c>
      <c r="G3827" s="156" t="n"/>
      <c r="H3827" s="152" t="n">
        <v>454</v>
      </c>
      <c r="I3827" s="156" t="n"/>
      <c r="J3827" s="90" t="n"/>
      <c r="K3827" s="166" t="n"/>
      <c r="L3827" s="158" t="n"/>
      <c r="M3827" s="159" t="n"/>
    </row>
    <row r="3828">
      <c r="A3828" s="114" t="n">
        <v>46244</v>
      </c>
      <c r="B3828" s="115" t="n">
        <v>1496</v>
      </c>
      <c r="C3828" s="115" t="inlineStr">
        <is>
          <t>SELİM İNŞAAT</t>
        </is>
      </c>
      <c r="D3828" s="115" t="inlineStr">
        <is>
          <t>34 EDB 754</t>
        </is>
      </c>
      <c r="E3828" s="115" t="inlineStr">
        <is>
          <t>AZİZ ORUÇ</t>
        </is>
      </c>
      <c r="F3828" s="115" t="n">
        <v>405913</v>
      </c>
      <c r="G3828" s="156" t="n"/>
      <c r="H3828" s="152" t="n">
        <v>477</v>
      </c>
      <c r="I3828" s="156" t="n"/>
      <c r="J3828" s="90" t="n"/>
      <c r="K3828" s="166" t="n"/>
      <c r="L3828" s="158" t="n"/>
      <c r="M3828" s="159" t="n"/>
    </row>
    <row r="3829">
      <c r="A3829" s="114" t="n">
        <v>46247</v>
      </c>
      <c r="B3829" s="115" t="n">
        <v>1497</v>
      </c>
      <c r="C3829" s="115" t="inlineStr">
        <is>
          <t>SELİM İNŞAAT</t>
        </is>
      </c>
      <c r="D3829" s="115" t="inlineStr">
        <is>
          <t>34 EDB 754</t>
        </is>
      </c>
      <c r="E3829" s="115" t="inlineStr">
        <is>
          <t>AZİZ ORUÇ</t>
        </is>
      </c>
      <c r="F3829" s="115" t="n">
        <v>406634</v>
      </c>
      <c r="G3829" s="156" t="n"/>
      <c r="H3829" s="152" t="n">
        <v>483</v>
      </c>
      <c r="I3829" s="156" t="n"/>
      <c r="J3829" s="90" t="n"/>
      <c r="K3829" s="166" t="n"/>
      <c r="L3829" s="158" t="n"/>
      <c r="M3829" s="159" t="n"/>
    </row>
    <row r="3830">
      <c r="A3830" s="114" t="n">
        <v>46248</v>
      </c>
      <c r="B3830" s="115" t="n">
        <v>1498</v>
      </c>
      <c r="C3830" s="115" t="inlineStr">
        <is>
          <t>SELİM İNŞAAT</t>
        </is>
      </c>
      <c r="D3830" s="115" t="inlineStr">
        <is>
          <t>34 EDB 754</t>
        </is>
      </c>
      <c r="E3830" s="115" t="inlineStr">
        <is>
          <t>AZİZ ORUÇ</t>
        </is>
      </c>
      <c r="F3830" s="115" t="n">
        <v>407289</v>
      </c>
      <c r="G3830" s="156" t="n"/>
      <c r="H3830" s="152" t="n">
        <v>462</v>
      </c>
      <c r="I3830" s="156" t="n"/>
      <c r="J3830" s="90" t="n"/>
      <c r="K3830" s="166" t="n"/>
      <c r="L3830" s="158" t="n"/>
      <c r="M3830" s="159" t="n"/>
    </row>
    <row r="3831">
      <c r="A3831" s="114" t="n">
        <v>46237</v>
      </c>
      <c r="B3831" s="115" t="n">
        <v>3658</v>
      </c>
      <c r="C3831" s="115" t="inlineStr">
        <is>
          <t>SELİM İNŞAAT</t>
        </is>
      </c>
      <c r="D3831" s="115" t="inlineStr">
        <is>
          <t>34 EDB 922</t>
        </is>
      </c>
      <c r="E3831" s="115" t="inlineStr">
        <is>
          <t>MUSTAFA YENİAY</t>
        </is>
      </c>
      <c r="F3831" s="115" t="n">
        <v>429905</v>
      </c>
      <c r="G3831" s="156" t="n"/>
      <c r="H3831" s="152" t="n">
        <v>300</v>
      </c>
      <c r="I3831" s="156" t="n"/>
      <c r="J3831" s="90" t="n"/>
      <c r="K3831" s="166" t="n"/>
      <c r="L3831" s="158" t="n"/>
      <c r="M3831" s="159" t="n"/>
    </row>
    <row r="3832">
      <c r="A3832" s="114" t="n">
        <v>46238</v>
      </c>
      <c r="B3832" s="115" t="n">
        <v>3659</v>
      </c>
      <c r="C3832" s="115" t="inlineStr">
        <is>
          <t>SELİM İNŞAAT</t>
        </is>
      </c>
      <c r="D3832" s="115" t="inlineStr">
        <is>
          <t>34 EDB 922</t>
        </is>
      </c>
      <c r="E3832" s="115" t="inlineStr">
        <is>
          <t>MUSTAFA YENİAY</t>
        </is>
      </c>
      <c r="F3832" s="115" t="n">
        <v>430531</v>
      </c>
      <c r="G3832" s="156" t="n"/>
      <c r="H3832" s="152" t="n">
        <v>444</v>
      </c>
      <c r="I3832" s="156" t="n"/>
      <c r="J3832" s="90" t="n"/>
      <c r="K3832" s="166" t="n"/>
      <c r="L3832" s="158" t="n"/>
      <c r="M3832" s="159" t="n"/>
    </row>
    <row r="3833">
      <c r="A3833" s="114" t="n">
        <v>46240</v>
      </c>
      <c r="B3833" s="115" t="n">
        <v>3660</v>
      </c>
      <c r="C3833" s="115" t="inlineStr">
        <is>
          <t>SELİM İNŞAAT</t>
        </is>
      </c>
      <c r="D3833" s="115" t="inlineStr">
        <is>
          <t>34 EDB 922</t>
        </is>
      </c>
      <c r="E3833" s="115" t="inlineStr">
        <is>
          <t>MUSTAFA YENİAY</t>
        </is>
      </c>
      <c r="F3833" s="115" t="n">
        <v>431148</v>
      </c>
      <c r="G3833" s="156" t="n"/>
      <c r="H3833" s="152" t="n">
        <v>450</v>
      </c>
      <c r="I3833" s="156" t="n"/>
      <c r="J3833" s="90" t="n"/>
      <c r="K3833" s="166" t="n"/>
      <c r="L3833" s="158" t="n"/>
      <c r="M3833" s="159" t="n"/>
    </row>
    <row r="3834">
      <c r="A3834" s="114" t="n">
        <v>46241</v>
      </c>
      <c r="B3834" s="115" t="n">
        <v>3661</v>
      </c>
      <c r="C3834" s="115" t="inlineStr">
        <is>
          <t>SELİM İNŞAAT</t>
        </is>
      </c>
      <c r="D3834" s="115" t="inlineStr">
        <is>
          <t>34 EDB 922</t>
        </is>
      </c>
      <c r="E3834" s="115" t="inlineStr">
        <is>
          <t>MUSTAFA YENİAY</t>
        </is>
      </c>
      <c r="F3834" s="115" t="n">
        <v>431910</v>
      </c>
      <c r="G3834" s="156" t="n"/>
      <c r="H3834" s="152" t="n">
        <v>527</v>
      </c>
      <c r="I3834" s="156" t="n"/>
      <c r="J3834" s="90" t="n"/>
      <c r="K3834" s="166" t="n"/>
      <c r="L3834" s="158" t="n"/>
      <c r="M3834" s="159" t="n"/>
    </row>
    <row r="3835">
      <c r="A3835" s="114" t="n">
        <v>46245</v>
      </c>
      <c r="B3835" s="115" t="n">
        <v>3662</v>
      </c>
      <c r="C3835" s="115" t="inlineStr">
        <is>
          <t>SELİM İNŞAAT</t>
        </is>
      </c>
      <c r="D3835" s="115" t="inlineStr">
        <is>
          <t>34 EDB 922</t>
        </is>
      </c>
      <c r="E3835" s="115" t="inlineStr">
        <is>
          <t>MUSTAFA YENİAY</t>
        </is>
      </c>
      <c r="F3835" s="115" t="n">
        <v>432717</v>
      </c>
      <c r="G3835" s="156" t="n"/>
      <c r="H3835" s="152" t="n">
        <v>547</v>
      </c>
      <c r="I3835" s="156" t="n"/>
      <c r="J3835" s="90" t="n"/>
      <c r="K3835" s="166" t="n"/>
      <c r="L3835" s="158" t="n"/>
      <c r="M3835" s="159" t="n"/>
    </row>
    <row r="3836">
      <c r="A3836" s="114" t="n">
        <v>46247</v>
      </c>
      <c r="B3836" s="115" t="n">
        <v>3663</v>
      </c>
      <c r="C3836" s="115" t="inlineStr">
        <is>
          <t>SELİM İNŞAAT</t>
        </is>
      </c>
      <c r="D3836" s="115" t="inlineStr">
        <is>
          <t>34 EDB 922</t>
        </is>
      </c>
      <c r="E3836" s="115" t="inlineStr">
        <is>
          <t>MUSTAFA YENİAY</t>
        </is>
      </c>
      <c r="F3836" s="115" t="n">
        <v>433435</v>
      </c>
      <c r="G3836" s="156" t="n"/>
      <c r="H3836" s="152" t="n">
        <v>521</v>
      </c>
      <c r="I3836" s="156" t="n"/>
      <c r="J3836" s="90" t="n"/>
      <c r="K3836" s="166" t="n"/>
      <c r="L3836" s="158" t="n"/>
      <c r="M3836" s="159" t="n"/>
    </row>
    <row r="3837">
      <c r="A3837" s="114" t="n">
        <v>46238</v>
      </c>
      <c r="B3837" s="115" t="n">
        <v>137</v>
      </c>
      <c r="C3837" s="115" t="inlineStr">
        <is>
          <t>SELİM İNŞAAT</t>
        </is>
      </c>
      <c r="D3837" s="115" t="inlineStr">
        <is>
          <t>34 GUS 848</t>
        </is>
      </c>
      <c r="E3837" s="115" t="inlineStr">
        <is>
          <t>SERDAR BOZKURT</t>
        </is>
      </c>
      <c r="F3837" s="115" t="n">
        <v>265479</v>
      </c>
      <c r="G3837" s="156" t="n"/>
      <c r="H3837" s="152" t="n">
        <v>527</v>
      </c>
      <c r="I3837" s="156" t="n"/>
      <c r="J3837" s="90" t="n"/>
      <c r="K3837" s="166" t="n"/>
      <c r="L3837" s="158" t="n"/>
      <c r="M3837" s="159" t="n"/>
    </row>
    <row r="3838">
      <c r="A3838" s="114" t="n">
        <v>46240</v>
      </c>
      <c r="B3838" s="115" t="n">
        <v>138</v>
      </c>
      <c r="C3838" s="115" t="inlineStr">
        <is>
          <t>SELİM İNŞAAT</t>
        </is>
      </c>
      <c r="D3838" s="115" t="inlineStr">
        <is>
          <t>34 GUS 848</t>
        </is>
      </c>
      <c r="E3838" s="115" t="inlineStr">
        <is>
          <t>SERDAR BOZKURT</t>
        </is>
      </c>
      <c r="F3838" s="115" t="n">
        <v>266436</v>
      </c>
      <c r="G3838" s="156" t="n"/>
      <c r="H3838" s="152" t="n">
        <v>524</v>
      </c>
      <c r="I3838" s="156" t="n"/>
      <c r="J3838" s="90" t="n"/>
      <c r="K3838" s="166" t="n"/>
      <c r="L3838" s="158" t="n"/>
      <c r="M3838" s="159" t="n"/>
    </row>
    <row r="3839">
      <c r="A3839" s="114" t="n">
        <v>46242</v>
      </c>
      <c r="B3839" s="115" t="n">
        <v>139</v>
      </c>
      <c r="C3839" s="115" t="inlineStr">
        <is>
          <t>SELİM İNŞAAT</t>
        </is>
      </c>
      <c r="D3839" s="115" t="inlineStr">
        <is>
          <t>34 GUS 848</t>
        </is>
      </c>
      <c r="E3839" s="115" t="inlineStr">
        <is>
          <t>SERDAR BOZKURT</t>
        </is>
      </c>
      <c r="F3839" s="115" t="n">
        <v>267394</v>
      </c>
      <c r="G3839" s="156" t="n"/>
      <c r="H3839" s="152" t="n">
        <v>580</v>
      </c>
      <c r="I3839" s="156" t="n"/>
      <c r="J3839" s="90" t="n"/>
      <c r="K3839" s="166" t="n"/>
      <c r="L3839" s="158" t="n"/>
      <c r="M3839" s="159" t="n"/>
    </row>
    <row r="3840">
      <c r="A3840" s="114" t="n">
        <v>46245</v>
      </c>
      <c r="B3840" s="115" t="n">
        <v>140</v>
      </c>
      <c r="C3840" s="115" t="inlineStr">
        <is>
          <t>SELİM İNŞAAT</t>
        </is>
      </c>
      <c r="D3840" s="115" t="inlineStr">
        <is>
          <t>34 GUS 848</t>
        </is>
      </c>
      <c r="E3840" s="115" t="inlineStr">
        <is>
          <t>SERDAR BOZKURT</t>
        </is>
      </c>
      <c r="F3840" s="115" t="n">
        <v>268245</v>
      </c>
      <c r="G3840" s="156" t="n"/>
      <c r="H3840" s="152" t="n">
        <v>500</v>
      </c>
      <c r="I3840" s="156" t="n"/>
      <c r="J3840" s="90" t="n"/>
      <c r="K3840" s="166" t="n"/>
      <c r="L3840" s="158" t="n"/>
      <c r="M3840" s="159" t="n"/>
    </row>
    <row r="3841">
      <c r="A3841" s="114" t="n">
        <v>46247</v>
      </c>
      <c r="B3841" s="115" t="n">
        <v>141</v>
      </c>
      <c r="C3841" s="115" t="inlineStr">
        <is>
          <t>SELİM İNŞAAT</t>
        </is>
      </c>
      <c r="D3841" s="115" t="inlineStr">
        <is>
          <t>34 GUS 848</t>
        </is>
      </c>
      <c r="E3841" s="115" t="inlineStr">
        <is>
          <t>SERDAR BOZKURT</t>
        </is>
      </c>
      <c r="F3841" s="115" t="n">
        <v>269124</v>
      </c>
      <c r="G3841" s="156" t="n"/>
      <c r="H3841" s="152" t="n">
        <v>520</v>
      </c>
      <c r="I3841" s="156" t="n"/>
      <c r="J3841" s="90" t="n"/>
      <c r="K3841" s="166" t="n"/>
      <c r="L3841" s="158" t="n"/>
      <c r="M3841" s="159" t="n"/>
    </row>
    <row r="3842">
      <c r="A3842" s="114" t="n">
        <v>46249</v>
      </c>
      <c r="B3842" s="115" t="n">
        <v>142</v>
      </c>
      <c r="C3842" s="115" t="inlineStr">
        <is>
          <t>SELİM İNŞAAT</t>
        </is>
      </c>
      <c r="D3842" s="115" t="inlineStr">
        <is>
          <t>34 GUS 848</t>
        </is>
      </c>
      <c r="E3842" s="115" t="inlineStr">
        <is>
          <t>SERDAR BOZKURT</t>
        </is>
      </c>
      <c r="F3842" s="115" t="n">
        <v>269959</v>
      </c>
      <c r="G3842" s="156" t="n"/>
      <c r="H3842" s="152" t="n">
        <v>522</v>
      </c>
      <c r="I3842" s="156" t="n"/>
      <c r="J3842" s="90" t="n"/>
      <c r="K3842" s="166" t="n"/>
      <c r="L3842" s="158" t="n"/>
      <c r="M3842" s="159" t="n"/>
    </row>
    <row r="3843">
      <c r="A3843" s="114" t="n">
        <v>46235</v>
      </c>
      <c r="B3843" s="115" t="n">
        <v>3033</v>
      </c>
      <c r="C3843" s="115" t="inlineStr">
        <is>
          <t>SELİM İNŞAAT</t>
        </is>
      </c>
      <c r="D3843" s="115" t="inlineStr">
        <is>
          <t>34 GVZ 745</t>
        </is>
      </c>
      <c r="E3843" s="115" t="inlineStr">
        <is>
          <t>MURAT DEMİRBAŞ</t>
        </is>
      </c>
      <c r="F3843" s="115" t="n">
        <v>285154</v>
      </c>
      <c r="G3843" s="156" t="n"/>
      <c r="H3843" s="152" t="n">
        <v>289</v>
      </c>
      <c r="I3843" s="156" t="n"/>
      <c r="J3843" s="90" t="n"/>
      <c r="K3843" s="166" t="n"/>
      <c r="L3843" s="158" t="n"/>
      <c r="M3843" s="159" t="n"/>
    </row>
    <row r="3844">
      <c r="A3844" s="114" t="n">
        <v>46238</v>
      </c>
      <c r="B3844" s="115" t="n">
        <v>3034</v>
      </c>
      <c r="C3844" s="115" t="inlineStr">
        <is>
          <t>SELİM İNŞAAT</t>
        </is>
      </c>
      <c r="D3844" s="115" t="inlineStr">
        <is>
          <t>34 GVZ 745</t>
        </is>
      </c>
      <c r="E3844" s="115" t="inlineStr">
        <is>
          <t>MURAT DEMİRBAŞ</t>
        </is>
      </c>
      <c r="F3844" s="115" t="n">
        <v>286035</v>
      </c>
      <c r="G3844" s="156" t="n"/>
      <c r="H3844" s="152" t="n">
        <v>557</v>
      </c>
      <c r="I3844" s="156" t="n"/>
      <c r="J3844" s="90" t="n"/>
      <c r="K3844" s="166" t="n"/>
      <c r="L3844" s="158" t="n"/>
      <c r="M3844" s="159" t="n"/>
    </row>
    <row r="3845">
      <c r="A3845" s="114" t="n">
        <v>46240</v>
      </c>
      <c r="B3845" s="115" t="n">
        <v>3035</v>
      </c>
      <c r="C3845" s="115" t="inlineStr">
        <is>
          <t>SELİM İNŞAAT</t>
        </is>
      </c>
      <c r="D3845" s="115" t="inlineStr">
        <is>
          <t>34 GVZ 745</t>
        </is>
      </c>
      <c r="E3845" s="115" t="inlineStr">
        <is>
          <t>MURAT DEMİRBAŞ</t>
        </is>
      </c>
      <c r="F3845" s="115" t="n">
        <v>286854</v>
      </c>
      <c r="G3845" s="156" t="n"/>
      <c r="H3845" s="152" t="n">
        <v>502</v>
      </c>
      <c r="I3845" s="156" t="n"/>
      <c r="J3845" s="90" t="n"/>
      <c r="K3845" s="166" t="n"/>
      <c r="L3845" s="158" t="n"/>
      <c r="M3845" s="159" t="n"/>
    </row>
    <row r="3846">
      <c r="A3846" s="114" t="n">
        <v>46242</v>
      </c>
      <c r="B3846" s="115" t="n">
        <v>3036</v>
      </c>
      <c r="C3846" s="115" t="inlineStr">
        <is>
          <t>SELİM İNŞAAT</t>
        </is>
      </c>
      <c r="D3846" s="115" t="inlineStr">
        <is>
          <t>34 GVZ 745</t>
        </is>
      </c>
      <c r="E3846" s="115" t="inlineStr">
        <is>
          <t>MURAT DEMİRBAŞ</t>
        </is>
      </c>
      <c r="F3846" s="115" t="n">
        <v>287643</v>
      </c>
      <c r="G3846" s="156" t="n"/>
      <c r="H3846" s="152" t="n">
        <v>493</v>
      </c>
      <c r="I3846" s="156" t="n"/>
      <c r="J3846" s="90" t="n"/>
      <c r="K3846" s="166" t="n"/>
      <c r="L3846" s="158" t="n"/>
      <c r="M3846" s="159" t="n"/>
    </row>
    <row r="3847">
      <c r="A3847" s="114" t="n">
        <v>46245</v>
      </c>
      <c r="B3847" s="115" t="n">
        <v>3037</v>
      </c>
      <c r="C3847" s="115" t="inlineStr">
        <is>
          <t>SELİM İNŞAAT</t>
        </is>
      </c>
      <c r="D3847" s="115" t="inlineStr">
        <is>
          <t>34 GVZ 745</t>
        </is>
      </c>
      <c r="E3847" s="115" t="inlineStr">
        <is>
          <t>MURAT DEMİRBAŞ</t>
        </is>
      </c>
      <c r="F3847" s="115" t="n">
        <v>288528</v>
      </c>
      <c r="G3847" s="156" t="n"/>
      <c r="H3847" s="152" t="n">
        <v>543</v>
      </c>
      <c r="I3847" s="156" t="n"/>
      <c r="J3847" s="90" t="n"/>
      <c r="K3847" s="166" t="n"/>
      <c r="L3847" s="158" t="n"/>
      <c r="M3847" s="159" t="n"/>
    </row>
    <row r="3848">
      <c r="A3848" s="114" t="n">
        <v>46247</v>
      </c>
      <c r="B3848" s="115" t="n">
        <v>3038</v>
      </c>
      <c r="C3848" s="115" t="inlineStr">
        <is>
          <t>SELİM İNŞAAT</t>
        </is>
      </c>
      <c r="D3848" s="115" t="inlineStr">
        <is>
          <t>34 GVZ 745</t>
        </is>
      </c>
      <c r="E3848" s="115" t="inlineStr">
        <is>
          <t>MURAT DEMİRBAŞ</t>
        </is>
      </c>
      <c r="F3848" s="115" t="n">
        <v>289317</v>
      </c>
      <c r="G3848" s="156" t="n"/>
      <c r="H3848" s="152" t="n">
        <v>504</v>
      </c>
      <c r="I3848" s="156" t="n"/>
      <c r="J3848" s="90" t="n"/>
      <c r="K3848" s="166" t="n"/>
      <c r="L3848" s="158" t="n"/>
      <c r="M3848" s="159" t="n"/>
    </row>
    <row r="3849">
      <c r="A3849" s="114" t="n">
        <v>46249</v>
      </c>
      <c r="B3849" s="115" t="n">
        <v>3039</v>
      </c>
      <c r="C3849" s="115" t="inlineStr">
        <is>
          <t>SELİM İNŞAAT</t>
        </is>
      </c>
      <c r="D3849" s="115" t="inlineStr">
        <is>
          <t>34 GVZ 745</t>
        </is>
      </c>
      <c r="E3849" s="115" t="inlineStr">
        <is>
          <t>MURAT DEMİRBAŞ</t>
        </is>
      </c>
      <c r="F3849" s="115" t="n">
        <v>290191</v>
      </c>
      <c r="G3849" s="156" t="n"/>
      <c r="H3849" s="152" t="n">
        <v>536</v>
      </c>
      <c r="I3849" s="156" t="n"/>
      <c r="J3849" s="90" t="n"/>
      <c r="K3849" s="166" t="n"/>
      <c r="L3849" s="158" t="n"/>
      <c r="M3849" s="159" t="n"/>
    </row>
    <row r="3850">
      <c r="A3850" s="114" t="n">
        <v>46237</v>
      </c>
      <c r="B3850" s="115" t="n">
        <v>1233</v>
      </c>
      <c r="C3850" s="115" t="inlineStr">
        <is>
          <t>SELİM İNŞAAT</t>
        </is>
      </c>
      <c r="D3850" s="115" t="inlineStr">
        <is>
          <t>34 FBR 705</t>
        </is>
      </c>
      <c r="E3850" s="115" t="inlineStr">
        <is>
          <t>MURAT SARI</t>
        </is>
      </c>
      <c r="F3850" s="115" t="n">
        <v>394430</v>
      </c>
      <c r="G3850" s="156" t="n"/>
      <c r="H3850" s="152" t="n">
        <v>484</v>
      </c>
      <c r="I3850" s="156" t="n"/>
      <c r="J3850" s="90" t="n"/>
      <c r="K3850" s="166" t="n"/>
      <c r="L3850" s="158" t="n"/>
      <c r="M3850" s="159" t="n"/>
    </row>
    <row r="3851">
      <c r="A3851" s="114" t="n">
        <v>46239</v>
      </c>
      <c r="B3851" s="115" t="n">
        <v>1234</v>
      </c>
      <c r="C3851" s="115" t="inlineStr">
        <is>
          <t>SELİM İNŞAAT</t>
        </is>
      </c>
      <c r="D3851" s="115" t="inlineStr">
        <is>
          <t>34 FBR 705</t>
        </is>
      </c>
      <c r="E3851" s="115" t="inlineStr">
        <is>
          <t>MURAT SARI</t>
        </is>
      </c>
      <c r="F3851" s="115" t="n">
        <v>395390</v>
      </c>
      <c r="G3851" s="156" t="n"/>
      <c r="H3851" s="152" t="n">
        <v>500</v>
      </c>
      <c r="I3851" s="156" t="n"/>
      <c r="J3851" s="90" t="n"/>
      <c r="K3851" s="166" t="n"/>
      <c r="L3851" s="158" t="n"/>
      <c r="M3851" s="159" t="n"/>
    </row>
    <row r="3852">
      <c r="A3852" s="114" t="n">
        <v>46240</v>
      </c>
      <c r="B3852" s="115" t="n">
        <v>1235</v>
      </c>
      <c r="C3852" s="115" t="inlineStr">
        <is>
          <t>SELİM İNŞAAT</t>
        </is>
      </c>
      <c r="D3852" s="115" t="inlineStr">
        <is>
          <t>34 FBR 705</t>
        </is>
      </c>
      <c r="E3852" s="115" t="inlineStr">
        <is>
          <t>MURAT SARI</t>
        </is>
      </c>
      <c r="F3852" s="115" t="n">
        <v>396046</v>
      </c>
      <c r="G3852" s="156" t="n"/>
      <c r="H3852" s="152" t="n">
        <v>488</v>
      </c>
      <c r="I3852" s="156" t="n"/>
      <c r="J3852" s="90" t="n"/>
      <c r="K3852" s="166" t="n"/>
      <c r="L3852" s="158" t="n"/>
      <c r="M3852" s="159" t="n"/>
    </row>
    <row r="3853">
      <c r="A3853" s="114" t="n">
        <v>46241</v>
      </c>
      <c r="B3853" s="115" t="n">
        <v>1236</v>
      </c>
      <c r="C3853" s="115" t="inlineStr">
        <is>
          <t>SELİM İNŞAAT</t>
        </is>
      </c>
      <c r="D3853" s="115" t="inlineStr">
        <is>
          <t>34 FBR 705</t>
        </is>
      </c>
      <c r="E3853" s="115" t="inlineStr">
        <is>
          <t>MURAT SARI</t>
        </is>
      </c>
      <c r="F3853" s="115" t="n">
        <v>396469</v>
      </c>
      <c r="G3853" s="156" t="n"/>
      <c r="H3853" s="152" t="n">
        <v>318</v>
      </c>
      <c r="I3853" s="156" t="n"/>
      <c r="J3853" s="90" t="n"/>
      <c r="K3853" s="166" t="n"/>
      <c r="L3853" s="158" t="n"/>
      <c r="M3853" s="159" t="n"/>
    </row>
    <row r="3854">
      <c r="A3854" s="114" t="n">
        <v>46244</v>
      </c>
      <c r="B3854" s="115" t="n">
        <v>1237</v>
      </c>
      <c r="C3854" s="115" t="inlineStr">
        <is>
          <t>SELİM İNŞAAT</t>
        </is>
      </c>
      <c r="D3854" s="115" t="inlineStr">
        <is>
          <t>34 FBR 705</t>
        </is>
      </c>
      <c r="E3854" s="115" t="inlineStr">
        <is>
          <t>MURAT SARI</t>
        </is>
      </c>
      <c r="F3854" s="115" t="n">
        <v>397113</v>
      </c>
      <c r="G3854" s="156" t="n"/>
      <c r="H3854" s="152" t="n">
        <v>447</v>
      </c>
      <c r="I3854" s="156" t="n"/>
      <c r="J3854" s="90" t="n"/>
      <c r="K3854" s="166" t="n"/>
      <c r="L3854" s="158" t="n"/>
      <c r="M3854" s="159" t="n"/>
    </row>
    <row r="3855">
      <c r="A3855" s="114" t="n">
        <v>46245</v>
      </c>
      <c r="B3855" s="115" t="n">
        <v>1238</v>
      </c>
      <c r="C3855" s="115" t="inlineStr">
        <is>
          <t>SELİM İNŞAAT</t>
        </is>
      </c>
      <c r="D3855" s="115" t="inlineStr">
        <is>
          <t>34 FBR 705</t>
        </is>
      </c>
      <c r="E3855" s="115" t="inlineStr">
        <is>
          <t>MURAT SARI</t>
        </is>
      </c>
      <c r="F3855" s="115" t="n">
        <v>397658</v>
      </c>
      <c r="G3855" s="156" t="n"/>
      <c r="H3855" s="152" t="n">
        <v>384</v>
      </c>
      <c r="I3855" s="156" t="n"/>
      <c r="J3855" s="90" t="n"/>
      <c r="K3855" s="166" t="n"/>
      <c r="L3855" s="158" t="n"/>
      <c r="M3855" s="159" t="n"/>
    </row>
    <row r="3856">
      <c r="A3856" s="114" t="n">
        <v>46247</v>
      </c>
      <c r="B3856" s="115" t="n">
        <v>1239</v>
      </c>
      <c r="C3856" s="115" t="inlineStr">
        <is>
          <t>SELİM İNŞAAT</t>
        </is>
      </c>
      <c r="D3856" s="115" t="inlineStr">
        <is>
          <t>34 FBR 705</t>
        </is>
      </c>
      <c r="E3856" s="115" t="inlineStr">
        <is>
          <t>MURAT SARI</t>
        </is>
      </c>
      <c r="F3856" s="115" t="n">
        <v>398381</v>
      </c>
      <c r="G3856" s="156" t="n"/>
      <c r="H3856" s="152" t="n">
        <v>529</v>
      </c>
      <c r="I3856" s="156" t="n"/>
      <c r="J3856" s="90" t="n"/>
      <c r="K3856" s="166" t="n"/>
      <c r="L3856" s="158" t="n"/>
      <c r="M3856" s="159" t="n"/>
    </row>
    <row r="3857">
      <c r="A3857" s="114" t="n">
        <v>46249</v>
      </c>
      <c r="B3857" s="115" t="n">
        <v>1240</v>
      </c>
      <c r="C3857" s="115" t="inlineStr">
        <is>
          <t>SELİM İNŞAAT</t>
        </is>
      </c>
      <c r="D3857" s="115" t="inlineStr">
        <is>
          <t>34 FBR 705</t>
        </is>
      </c>
      <c r="E3857" s="115" t="inlineStr">
        <is>
          <t>MURAT SARI</t>
        </is>
      </c>
      <c r="F3857" s="115" t="n">
        <v>398945</v>
      </c>
      <c r="G3857" s="156" t="n"/>
      <c r="H3857" s="152" t="n">
        <v>434</v>
      </c>
      <c r="I3857" s="156" t="n"/>
      <c r="J3857" s="90" t="n"/>
      <c r="K3857" s="166" t="n"/>
      <c r="L3857" s="158" t="n"/>
      <c r="M3857" s="159" t="n"/>
    </row>
    <row r="3858">
      <c r="A3858" s="114" t="n">
        <v>46237</v>
      </c>
      <c r="B3858" s="115" t="n">
        <v>2276</v>
      </c>
      <c r="C3858" s="115" t="inlineStr">
        <is>
          <t>SELİM İNŞAAT</t>
        </is>
      </c>
      <c r="D3858" s="115" t="inlineStr">
        <is>
          <t>34 FBR 742</t>
        </is>
      </c>
      <c r="E3858" s="115" t="inlineStr">
        <is>
          <t>ADNAN KOÇ</t>
        </is>
      </c>
      <c r="F3858" s="115" t="n">
        <v>392472</v>
      </c>
      <c r="G3858" s="156" t="n"/>
      <c r="H3858" s="152" t="n">
        <v>475</v>
      </c>
      <c r="I3858" s="156" t="n"/>
      <c r="J3858" s="90" t="n"/>
      <c r="K3858" s="166" t="n"/>
      <c r="L3858" s="158" t="n"/>
      <c r="M3858" s="159" t="n"/>
    </row>
    <row r="3859">
      <c r="A3859" s="114" t="n">
        <v>46238</v>
      </c>
      <c r="B3859" s="115" t="n">
        <v>2277</v>
      </c>
      <c r="C3859" s="115" t="inlineStr">
        <is>
          <t>SELİM İNŞAAT</t>
        </is>
      </c>
      <c r="D3859" s="115" t="inlineStr">
        <is>
          <t>34 FBR 742</t>
        </is>
      </c>
      <c r="E3859" s="115" t="inlineStr">
        <is>
          <t>ADNAN KOÇ</t>
        </is>
      </c>
      <c r="F3859" s="115" t="n">
        <v>392880</v>
      </c>
      <c r="G3859" s="156" t="n"/>
      <c r="H3859" s="152" t="n">
        <v>280</v>
      </c>
      <c r="I3859" s="156" t="n"/>
      <c r="J3859" s="90" t="n"/>
      <c r="K3859" s="166" t="n"/>
      <c r="L3859" s="158" t="n"/>
      <c r="M3859" s="159" t="n"/>
    </row>
    <row r="3860">
      <c r="A3860" s="114" t="n">
        <v>46240</v>
      </c>
      <c r="B3860" s="115" t="n">
        <v>2278</v>
      </c>
      <c r="C3860" s="115" t="inlineStr">
        <is>
          <t>SELİM İNŞAAT</t>
        </is>
      </c>
      <c r="D3860" s="115" t="inlineStr">
        <is>
          <t>34 FBR 742</t>
        </is>
      </c>
      <c r="E3860" s="115" t="inlineStr">
        <is>
          <t>ADNAN KOÇ</t>
        </is>
      </c>
      <c r="F3860" s="115" t="n">
        <v>393382</v>
      </c>
      <c r="G3860" s="156" t="n"/>
      <c r="H3860" s="152" t="n">
        <v>337</v>
      </c>
      <c r="I3860" s="156" t="n"/>
      <c r="J3860" s="90" t="n"/>
      <c r="K3860" s="166" t="n"/>
      <c r="L3860" s="158" t="n"/>
      <c r="M3860" s="159" t="n"/>
    </row>
    <row r="3861">
      <c r="A3861" s="114" t="n">
        <v>46241</v>
      </c>
      <c r="B3861" s="115" t="n">
        <v>2279</v>
      </c>
      <c r="C3861" s="115" t="inlineStr">
        <is>
          <t>SELİM İNŞAAT</t>
        </is>
      </c>
      <c r="D3861" s="115" t="inlineStr">
        <is>
          <t>34 FBR 742</t>
        </is>
      </c>
      <c r="E3861" s="115" t="inlineStr">
        <is>
          <t>ADNAN KOÇ</t>
        </is>
      </c>
      <c r="F3861" s="115" t="n">
        <v>394312</v>
      </c>
      <c r="G3861" s="156" t="n"/>
      <c r="H3861" s="152" t="n">
        <v>548</v>
      </c>
      <c r="I3861" s="156" t="n"/>
      <c r="J3861" s="90" t="n"/>
      <c r="K3861" s="166" t="n"/>
      <c r="L3861" s="158" t="n"/>
      <c r="M3861" s="159" t="n"/>
    </row>
    <row r="3862">
      <c r="A3862" s="114" t="n">
        <v>46244</v>
      </c>
      <c r="B3862" s="115" t="n">
        <v>2280</v>
      </c>
      <c r="C3862" s="115" t="inlineStr">
        <is>
          <t>SELİM İNŞAAT</t>
        </is>
      </c>
      <c r="D3862" s="115" t="inlineStr">
        <is>
          <t>34 FBR 742</t>
        </is>
      </c>
      <c r="E3862" s="115" t="inlineStr">
        <is>
          <t>ADNAN KOÇ</t>
        </is>
      </c>
      <c r="F3862" s="115" t="n">
        <v>395091</v>
      </c>
      <c r="G3862" s="156" t="n"/>
      <c r="H3862" s="152" t="n">
        <v>480</v>
      </c>
      <c r="I3862" s="156" t="n"/>
      <c r="J3862" s="90" t="n"/>
      <c r="K3862" s="166" t="n"/>
      <c r="L3862" s="158" t="n"/>
      <c r="M3862" s="159" t="n"/>
    </row>
    <row r="3863">
      <c r="A3863" s="114" t="n">
        <v>46246</v>
      </c>
      <c r="B3863" s="115" t="n">
        <v>2281</v>
      </c>
      <c r="C3863" s="115" t="inlineStr">
        <is>
          <t>SELİM İNŞAAT</t>
        </is>
      </c>
      <c r="D3863" s="115" t="inlineStr">
        <is>
          <t>34 FBR 742</t>
        </is>
      </c>
      <c r="E3863" s="115" t="inlineStr">
        <is>
          <t>ADNAN KOÇ</t>
        </is>
      </c>
      <c r="F3863" s="115" t="n">
        <v>395820</v>
      </c>
      <c r="G3863" s="156" t="n"/>
      <c r="H3863" s="152" t="n">
        <v>429</v>
      </c>
      <c r="I3863" s="156" t="n"/>
      <c r="J3863" s="90" t="n"/>
      <c r="K3863" s="166" t="n"/>
      <c r="L3863" s="158" t="n"/>
      <c r="M3863" s="159" t="n"/>
    </row>
    <row r="3864">
      <c r="A3864" s="114" t="n">
        <v>46247</v>
      </c>
      <c r="B3864" s="115" t="n">
        <v>2282</v>
      </c>
      <c r="C3864" s="115" t="inlineStr">
        <is>
          <t>SELİM İNŞAAT</t>
        </is>
      </c>
      <c r="D3864" s="115" t="inlineStr">
        <is>
          <t>34 FBR 742</t>
        </is>
      </c>
      <c r="E3864" s="115" t="inlineStr">
        <is>
          <t>ADNAN KOÇ</t>
        </is>
      </c>
      <c r="F3864" s="115" t="n">
        <v>396295</v>
      </c>
      <c r="G3864" s="156" t="n"/>
      <c r="H3864" s="152" t="n">
        <v>325</v>
      </c>
      <c r="I3864" s="156" t="n"/>
      <c r="J3864" s="90" t="n"/>
      <c r="K3864" s="166" t="n"/>
      <c r="L3864" s="158" t="n"/>
      <c r="M3864" s="159" t="n"/>
    </row>
    <row r="3865">
      <c r="A3865" s="114" t="n">
        <v>46249</v>
      </c>
      <c r="B3865" s="115" t="n">
        <v>2283</v>
      </c>
      <c r="C3865" s="115" t="inlineStr">
        <is>
          <t>SELİM İNŞAAT</t>
        </is>
      </c>
      <c r="D3865" s="115" t="inlineStr">
        <is>
          <t>34 FBR 742</t>
        </is>
      </c>
      <c r="E3865" s="115" t="inlineStr">
        <is>
          <t>ADNAN KOÇ</t>
        </is>
      </c>
      <c r="F3865" s="115" t="n">
        <v>396615</v>
      </c>
      <c r="G3865" s="156" t="n"/>
      <c r="H3865" s="152" t="n">
        <v>258</v>
      </c>
      <c r="I3865" s="156" t="n"/>
      <c r="J3865" s="90" t="n"/>
      <c r="K3865" s="166" t="n"/>
      <c r="L3865" s="158" t="n"/>
      <c r="M3865" s="159" t="n"/>
    </row>
    <row r="3866">
      <c r="A3866" s="114" t="n">
        <v>46238</v>
      </c>
      <c r="B3866" s="115" t="n">
        <v>3475</v>
      </c>
      <c r="C3866" s="115" t="inlineStr">
        <is>
          <t>SELİM İNŞAAT</t>
        </is>
      </c>
      <c r="D3866" s="115" t="inlineStr">
        <is>
          <t>34 GVZ 310</t>
        </is>
      </c>
      <c r="E3866" s="115" t="inlineStr">
        <is>
          <t>CELAL YÜZBAŞI</t>
        </is>
      </c>
      <c r="F3866" s="115" t="n">
        <v>279270</v>
      </c>
      <c r="G3866" s="156" t="n"/>
      <c r="H3866" s="152" t="n">
        <v>509</v>
      </c>
      <c r="I3866" s="156" t="n"/>
      <c r="J3866" s="90" t="n"/>
      <c r="K3866" s="166" t="n"/>
      <c r="L3866" s="158" t="n"/>
      <c r="M3866" s="159" t="n"/>
    </row>
    <row r="3867">
      <c r="A3867" s="114" t="n">
        <v>46239</v>
      </c>
      <c r="B3867" s="115" t="n">
        <v>3476</v>
      </c>
      <c r="C3867" s="115" t="inlineStr">
        <is>
          <t>SELİM İNŞAAT</t>
        </is>
      </c>
      <c r="D3867" s="115" t="inlineStr">
        <is>
          <t>34 GVZ 310</t>
        </is>
      </c>
      <c r="E3867" s="115" t="inlineStr">
        <is>
          <t>CELAL YÜZBAŞI</t>
        </is>
      </c>
      <c r="F3867" s="115" t="n">
        <v>279931</v>
      </c>
      <c r="G3867" s="156" t="n"/>
      <c r="H3867" s="152" t="n">
        <v>387</v>
      </c>
      <c r="I3867" s="156" t="n"/>
      <c r="J3867" s="90" t="n"/>
      <c r="K3867" s="166" t="n"/>
      <c r="L3867" s="158" t="n"/>
      <c r="M3867" s="159" t="n"/>
    </row>
    <row r="3868">
      <c r="A3868" s="114" t="n">
        <v>46240</v>
      </c>
      <c r="B3868" s="115" t="n">
        <v>3477</v>
      </c>
      <c r="C3868" s="115" t="inlineStr">
        <is>
          <t>SELİM İNŞAAT</t>
        </is>
      </c>
      <c r="D3868" s="115" t="inlineStr">
        <is>
          <t>34 GVZ 310</t>
        </is>
      </c>
      <c r="E3868" s="115" t="inlineStr">
        <is>
          <t>CELAL YÜZBAŞI</t>
        </is>
      </c>
      <c r="F3868" s="115" t="n">
        <v>280671</v>
      </c>
      <c r="G3868" s="156" t="n"/>
      <c r="H3868" s="152" t="n">
        <v>492</v>
      </c>
      <c r="I3868" s="156" t="n"/>
      <c r="J3868" s="90" t="n"/>
      <c r="K3868" s="166" t="n"/>
      <c r="L3868" s="158" t="n"/>
      <c r="M3868" s="159" t="n"/>
    </row>
    <row r="3869">
      <c r="A3869" s="114" t="n">
        <v>46244</v>
      </c>
      <c r="B3869" s="115" t="n">
        <v>3478</v>
      </c>
      <c r="C3869" s="115" t="inlineStr">
        <is>
          <t>SELİM İNŞAAT</t>
        </is>
      </c>
      <c r="D3869" s="115" t="inlineStr">
        <is>
          <t>34 GVZ 310</t>
        </is>
      </c>
      <c r="E3869" s="115" t="inlineStr">
        <is>
          <t>CELAL YÜZBAŞI</t>
        </is>
      </c>
      <c r="F3869" s="115" t="n">
        <v>281053</v>
      </c>
      <c r="G3869" s="156" t="n"/>
      <c r="H3869" s="152" t="n">
        <v>280</v>
      </c>
      <c r="I3869" s="156" t="n"/>
      <c r="J3869" s="90" t="n"/>
      <c r="K3869" s="166" t="n"/>
      <c r="L3869" s="158" t="n"/>
      <c r="M3869" s="159" t="n"/>
    </row>
    <row r="3870">
      <c r="A3870" s="114" t="n">
        <v>46246</v>
      </c>
      <c r="B3870" s="115" t="n">
        <v>3479</v>
      </c>
      <c r="C3870" s="115" t="inlineStr">
        <is>
          <t>SELİM İNŞAAT</t>
        </is>
      </c>
      <c r="D3870" s="115" t="inlineStr">
        <is>
          <t>34 GVZ 310</t>
        </is>
      </c>
      <c r="E3870" s="115" t="inlineStr">
        <is>
          <t>CELAL YÜZBAŞI</t>
        </is>
      </c>
      <c r="F3870" s="115" t="n">
        <v>281780</v>
      </c>
      <c r="G3870" s="156" t="n"/>
      <c r="H3870" s="152" t="n">
        <v>445</v>
      </c>
      <c r="I3870" s="156" t="n"/>
      <c r="J3870" s="90" t="n"/>
      <c r="K3870" s="166" t="n"/>
      <c r="L3870" s="158" t="n"/>
      <c r="M3870" s="159" t="n"/>
    </row>
    <row r="3871">
      <c r="A3871" s="114" t="n">
        <v>46248</v>
      </c>
      <c r="B3871" s="115" t="n">
        <v>3480</v>
      </c>
      <c r="C3871" s="115" t="inlineStr">
        <is>
          <t>SELİM İNŞAAT</t>
        </is>
      </c>
      <c r="D3871" s="115" t="inlineStr">
        <is>
          <t>34 GVZ 310</t>
        </is>
      </c>
      <c r="E3871" s="115" t="inlineStr">
        <is>
          <t>CELAL YÜZBAŞI</t>
        </is>
      </c>
      <c r="F3871" s="115" t="n">
        <v>282490</v>
      </c>
      <c r="G3871" s="156" t="n"/>
      <c r="H3871" s="152" t="n">
        <v>468</v>
      </c>
      <c r="I3871" s="156" t="n"/>
      <c r="J3871" s="90" t="n"/>
      <c r="K3871" s="166" t="n"/>
      <c r="L3871" s="158" t="n"/>
      <c r="M3871" s="159" t="n"/>
    </row>
    <row r="3872">
      <c r="A3872" s="114" t="n">
        <v>46249</v>
      </c>
      <c r="B3872" s="115" t="n">
        <v>3481</v>
      </c>
      <c r="C3872" s="115" t="inlineStr">
        <is>
          <t>SELİM İNŞAAT</t>
        </is>
      </c>
      <c r="D3872" s="115" t="inlineStr">
        <is>
          <t>34 GVZ 310</t>
        </is>
      </c>
      <c r="E3872" s="115" t="inlineStr">
        <is>
          <t>CELAL YÜZBAŞI</t>
        </is>
      </c>
      <c r="F3872" s="115" t="n">
        <v>282553</v>
      </c>
      <c r="G3872" s="156" t="n"/>
      <c r="H3872" s="152" t="n">
        <v>272</v>
      </c>
      <c r="I3872" s="156" t="n"/>
      <c r="J3872" s="90" t="n"/>
      <c r="K3872" s="166" t="n"/>
      <c r="L3872" s="158" t="n"/>
      <c r="M3872" s="159" t="n"/>
    </row>
    <row r="3873">
      <c r="A3873" s="114" t="n">
        <v>46237</v>
      </c>
      <c r="B3873" s="115" t="n">
        <v>3559</v>
      </c>
      <c r="C3873" s="115" t="inlineStr">
        <is>
          <t>SELİM İNŞAAT</t>
        </is>
      </c>
      <c r="D3873" s="115" t="inlineStr">
        <is>
          <t>34 DTV 352</t>
        </is>
      </c>
      <c r="E3873" s="115" t="inlineStr">
        <is>
          <t>YUSUF</t>
        </is>
      </c>
      <c r="F3873" s="115" t="n">
        <v>502941</v>
      </c>
      <c r="G3873" s="156" t="n"/>
      <c r="H3873" s="152" t="n">
        <v>520</v>
      </c>
      <c r="I3873" s="156" t="n"/>
      <c r="J3873" s="90" t="n"/>
      <c r="K3873" s="166" t="n"/>
      <c r="L3873" s="158" t="n"/>
      <c r="M3873" s="159" t="n"/>
    </row>
    <row r="3874">
      <c r="A3874" s="114" t="n">
        <v>46239</v>
      </c>
      <c r="B3874" s="115" t="n">
        <v>3560</v>
      </c>
      <c r="C3874" s="115" t="inlineStr">
        <is>
          <t>SELİM İNŞAAT</t>
        </is>
      </c>
      <c r="D3874" s="115" t="inlineStr">
        <is>
          <t>34 DTV 352</t>
        </is>
      </c>
      <c r="E3874" s="115" t="inlineStr">
        <is>
          <t>YUSUF</t>
        </is>
      </c>
      <c r="F3874" s="115" t="n">
        <v>503806</v>
      </c>
      <c r="G3874" s="156" t="n"/>
      <c r="H3874" s="152" t="n">
        <v>522</v>
      </c>
      <c r="I3874" s="156" t="n"/>
      <c r="J3874" s="90" t="n"/>
      <c r="K3874" s="166" t="n"/>
      <c r="L3874" s="158" t="n"/>
      <c r="M3874" s="159" t="n"/>
    </row>
    <row r="3875">
      <c r="A3875" s="114" t="n">
        <v>46241</v>
      </c>
      <c r="B3875" s="115" t="n">
        <v>3561</v>
      </c>
      <c r="C3875" s="115" t="inlineStr">
        <is>
          <t>SELİM İNŞAAT</t>
        </is>
      </c>
      <c r="D3875" s="115" t="inlineStr">
        <is>
          <t>34 DTV 352</t>
        </is>
      </c>
      <c r="E3875" s="115" t="inlineStr">
        <is>
          <t>YUSUF</t>
        </is>
      </c>
      <c r="F3875" s="115" t="n">
        <v>504579</v>
      </c>
      <c r="G3875" s="156" t="n"/>
      <c r="H3875" s="152" t="n">
        <v>501</v>
      </c>
      <c r="I3875" s="156" t="n"/>
      <c r="J3875" s="90" t="n"/>
      <c r="K3875" s="166" t="n"/>
      <c r="L3875" s="158" t="n"/>
      <c r="M3875" s="159" t="n"/>
    </row>
    <row r="3876">
      <c r="A3876" s="114" t="n">
        <v>46244</v>
      </c>
      <c r="B3876" s="115" t="n">
        <v>3562</v>
      </c>
      <c r="C3876" s="115" t="inlineStr">
        <is>
          <t>SELİM İNŞAAT</t>
        </is>
      </c>
      <c r="D3876" s="115" t="inlineStr">
        <is>
          <t>34 DTV 352</t>
        </is>
      </c>
      <c r="E3876" s="115" t="inlineStr">
        <is>
          <t>YUSUF</t>
        </is>
      </c>
      <c r="F3876" s="115" t="n">
        <v>505600</v>
      </c>
      <c r="G3876" s="156" t="n"/>
      <c r="H3876" s="152" t="n">
        <v>567</v>
      </c>
      <c r="I3876" s="156" t="n"/>
      <c r="J3876" s="90" t="n"/>
      <c r="K3876" s="166" t="n"/>
      <c r="L3876" s="158" t="n"/>
      <c r="M3876" s="159" t="n"/>
    </row>
    <row r="3877">
      <c r="A3877" s="114" t="n">
        <v>46246</v>
      </c>
      <c r="B3877" s="115" t="n">
        <v>3563</v>
      </c>
      <c r="C3877" s="115" t="inlineStr">
        <is>
          <t>SELİM İNŞAAT</t>
        </is>
      </c>
      <c r="D3877" s="115" t="inlineStr">
        <is>
          <t>34 DTV 352</t>
        </is>
      </c>
      <c r="E3877" s="115" t="inlineStr">
        <is>
          <t>YUSUF</t>
        </is>
      </c>
      <c r="F3877" s="115" t="n">
        <v>506190</v>
      </c>
      <c r="G3877" s="156" t="n"/>
      <c r="H3877" s="152" t="n">
        <v>477</v>
      </c>
      <c r="I3877" s="156" t="n"/>
      <c r="J3877" s="90" t="n"/>
      <c r="K3877" s="166" t="n"/>
      <c r="L3877" s="158" t="n"/>
      <c r="M3877" s="159" t="n"/>
    </row>
    <row r="3878">
      <c r="A3878" s="114" t="n">
        <v>46248</v>
      </c>
      <c r="B3878" s="115" t="n">
        <v>3564</v>
      </c>
      <c r="C3878" s="115" t="inlineStr">
        <is>
          <t>SELİM İNŞAAT</t>
        </is>
      </c>
      <c r="D3878" s="115" t="inlineStr">
        <is>
          <t>34 DTV 352</t>
        </is>
      </c>
      <c r="E3878" s="115" t="inlineStr">
        <is>
          <t>YUSUF</t>
        </is>
      </c>
      <c r="F3878" s="115" t="n">
        <v>506982</v>
      </c>
      <c r="G3878" s="156" t="n"/>
      <c r="H3878" s="152" t="n">
        <v>573</v>
      </c>
      <c r="I3878" s="156" t="n"/>
      <c r="J3878" s="90" t="n"/>
      <c r="K3878" s="166" t="n"/>
      <c r="L3878" s="158" t="n"/>
      <c r="M3878" s="159" t="n"/>
    </row>
    <row r="3879">
      <c r="A3879" s="114" t="n">
        <v>46237</v>
      </c>
      <c r="B3879" s="115" t="n">
        <v>2386</v>
      </c>
      <c r="C3879" s="115" t="inlineStr">
        <is>
          <t>SELİM İNŞAAT</t>
        </is>
      </c>
      <c r="D3879" s="115" t="inlineStr">
        <is>
          <t>34 GUS 938</t>
        </is>
      </c>
      <c r="E3879" s="115" t="inlineStr">
        <is>
          <t>MEHMET KAYA</t>
        </is>
      </c>
      <c r="F3879" s="115" t="n">
        <v>281650</v>
      </c>
      <c r="G3879" s="156" t="n"/>
      <c r="H3879" s="152" t="n">
        <v>382</v>
      </c>
      <c r="I3879" s="156" t="n"/>
      <c r="J3879" s="90" t="n"/>
      <c r="K3879" s="166" t="n"/>
      <c r="L3879" s="158" t="n"/>
      <c r="M3879" s="159" t="n"/>
    </row>
    <row r="3880">
      <c r="A3880" s="114" t="n">
        <v>46238</v>
      </c>
      <c r="B3880" s="115" t="n">
        <v>2387</v>
      </c>
      <c r="C3880" s="115" t="inlineStr">
        <is>
          <t>SELİM İNŞAAT</t>
        </is>
      </c>
      <c r="D3880" s="115" t="inlineStr">
        <is>
          <t>34 GUS 938</t>
        </is>
      </c>
      <c r="E3880" s="115" t="inlineStr">
        <is>
          <t>MEHMET KAYA</t>
        </is>
      </c>
      <c r="F3880" s="115" t="n">
        <v>282427</v>
      </c>
      <c r="G3880" s="156" t="n"/>
      <c r="H3880" s="152" t="n">
        <v>449</v>
      </c>
      <c r="I3880" s="156" t="n"/>
      <c r="J3880" s="90" t="n"/>
      <c r="K3880" s="166" t="n"/>
      <c r="L3880" s="158" t="n"/>
      <c r="M3880" s="159" t="n"/>
    </row>
    <row r="3881">
      <c r="A3881" s="114" t="n">
        <v>46240</v>
      </c>
      <c r="B3881" s="115" t="n">
        <v>2388</v>
      </c>
      <c r="C3881" s="115" t="inlineStr">
        <is>
          <t>SELİM İNŞAAT</t>
        </is>
      </c>
      <c r="D3881" s="115" t="inlineStr">
        <is>
          <t>34 GUS 938</t>
        </is>
      </c>
      <c r="E3881" s="115" t="inlineStr">
        <is>
          <t>MEHMET KAYA</t>
        </is>
      </c>
      <c r="F3881" s="115" t="n">
        <v>283168</v>
      </c>
      <c r="G3881" s="156" t="n"/>
      <c r="H3881" s="152" t="n">
        <v>438</v>
      </c>
      <c r="I3881" s="156" t="n"/>
      <c r="J3881" s="90" t="n"/>
      <c r="K3881" s="166" t="n"/>
      <c r="L3881" s="158" t="n"/>
      <c r="M3881" s="159" t="n"/>
    </row>
    <row r="3882">
      <c r="A3882" s="114" t="n">
        <v>46241</v>
      </c>
      <c r="B3882" s="115" t="n">
        <v>2389</v>
      </c>
      <c r="C3882" s="115" t="inlineStr">
        <is>
          <t>SELİM İNŞAAT</t>
        </is>
      </c>
      <c r="D3882" s="115" t="inlineStr">
        <is>
          <t>34 GUS 938</t>
        </is>
      </c>
      <c r="E3882" s="115" t="inlineStr">
        <is>
          <t>MEHMET KAYA</t>
        </is>
      </c>
      <c r="F3882" s="115" t="n">
        <v>283810</v>
      </c>
      <c r="G3882" s="156" t="n"/>
      <c r="H3882" s="152" t="n">
        <v>403</v>
      </c>
      <c r="I3882" s="156" t="n"/>
      <c r="J3882" s="90" t="n"/>
      <c r="K3882" s="166" t="n"/>
      <c r="L3882" s="158" t="n"/>
      <c r="M3882" s="159" t="n"/>
    </row>
    <row r="3883">
      <c r="A3883" s="114" t="n">
        <v>46246</v>
      </c>
      <c r="B3883" s="115" t="n">
        <v>2390</v>
      </c>
      <c r="C3883" s="115" t="inlineStr">
        <is>
          <t>SELİM İNŞAAT</t>
        </is>
      </c>
      <c r="D3883" s="115" t="inlineStr">
        <is>
          <t>34 GUS 938</t>
        </is>
      </c>
      <c r="E3883" s="115" t="inlineStr">
        <is>
          <t>MEHMET KAYA</t>
        </is>
      </c>
      <c r="F3883" s="115" t="n">
        <v>284792</v>
      </c>
      <c r="G3883" s="156" t="n"/>
      <c r="H3883" s="152" t="n">
        <v>550</v>
      </c>
      <c r="I3883" s="156" t="n"/>
      <c r="J3883" s="90" t="n"/>
      <c r="K3883" s="166" t="n"/>
      <c r="L3883" s="158" t="n"/>
      <c r="M3883" s="159" t="n"/>
    </row>
    <row r="3884">
      <c r="A3884" s="114" t="n">
        <v>46248</v>
      </c>
      <c r="B3884" s="115" t="n">
        <v>2391</v>
      </c>
      <c r="C3884" s="115" t="inlineStr">
        <is>
          <t>SELİM İNŞAAT</t>
        </is>
      </c>
      <c r="D3884" s="115" t="inlineStr">
        <is>
          <t>34 GUS 938</t>
        </is>
      </c>
      <c r="E3884" s="115" t="inlineStr">
        <is>
          <t>MEHMET KAYA</t>
        </is>
      </c>
      <c r="F3884" s="115" t="n">
        <v>285490</v>
      </c>
      <c r="G3884" s="156" t="n"/>
      <c r="H3884" s="152" t="n">
        <v>454</v>
      </c>
      <c r="I3884" s="156" t="n"/>
      <c r="J3884" s="90" t="n"/>
      <c r="K3884" s="166" t="n"/>
      <c r="L3884" s="158" t="n"/>
      <c r="M3884" s="159" t="n"/>
    </row>
    <row r="3885">
      <c r="A3885" s="114" t="n">
        <v>46249</v>
      </c>
      <c r="B3885" s="115" t="n">
        <v>2392</v>
      </c>
      <c r="C3885" s="115" t="inlineStr">
        <is>
          <t>SELİM İNŞAAT</t>
        </is>
      </c>
      <c r="D3885" s="115" t="inlineStr">
        <is>
          <t>34 GUS 938</t>
        </is>
      </c>
      <c r="E3885" s="115" t="inlineStr">
        <is>
          <t>MEHMET KAYA</t>
        </is>
      </c>
      <c r="F3885" s="115" t="n">
        <v>286350</v>
      </c>
      <c r="G3885" s="156" t="n"/>
      <c r="H3885" s="152" t="n">
        <v>478</v>
      </c>
      <c r="I3885" s="156" t="n"/>
      <c r="J3885" s="90" t="n"/>
      <c r="K3885" s="166" t="n"/>
      <c r="L3885" s="158" t="n"/>
      <c r="M3885" s="159" t="n"/>
    </row>
    <row r="3886">
      <c r="A3886" s="114" t="n">
        <v>46235</v>
      </c>
      <c r="B3886" s="115" t="n">
        <v>4156</v>
      </c>
      <c r="C3886" s="115" t="inlineStr">
        <is>
          <t>SELİM İNŞAAT</t>
        </is>
      </c>
      <c r="D3886" s="115" t="inlineStr">
        <is>
          <t>34 EDB 659</t>
        </is>
      </c>
      <c r="E3886" s="115" t="inlineStr">
        <is>
          <t>MÜCAHİT BOZBEŞ</t>
        </is>
      </c>
      <c r="F3886" s="115" t="n">
        <v>416665</v>
      </c>
      <c r="G3886" s="156" t="n"/>
      <c r="H3886" s="152" t="n">
        <v>293</v>
      </c>
      <c r="I3886" s="156" t="n"/>
      <c r="J3886" s="90" t="n"/>
      <c r="K3886" s="166" t="n"/>
      <c r="L3886" s="158" t="n"/>
      <c r="M3886" s="159" t="n"/>
    </row>
    <row r="3887">
      <c r="A3887" s="114" t="n">
        <v>46238</v>
      </c>
      <c r="B3887" s="115" t="n">
        <v>4157</v>
      </c>
      <c r="C3887" s="115" t="inlineStr">
        <is>
          <t>SELİM İNŞAAT</t>
        </is>
      </c>
      <c r="D3887" s="115" t="inlineStr">
        <is>
          <t>34 EDB 659</t>
        </is>
      </c>
      <c r="E3887" s="115" t="inlineStr">
        <is>
          <t>MÜCAHİT BOZBEŞ</t>
        </is>
      </c>
      <c r="F3887" s="115" t="n">
        <v>417387</v>
      </c>
      <c r="G3887" s="156" t="n"/>
      <c r="H3887" s="152" t="n">
        <v>474</v>
      </c>
      <c r="I3887" s="156" t="n"/>
      <c r="J3887" s="90" t="n"/>
      <c r="K3887" s="166" t="n"/>
      <c r="L3887" s="158" t="n"/>
      <c r="M3887" s="159" t="n"/>
    </row>
    <row r="3888">
      <c r="A3888" s="114" t="n">
        <v>46239</v>
      </c>
      <c r="B3888" s="115" t="n">
        <v>4158</v>
      </c>
      <c r="C3888" s="115" t="inlineStr">
        <is>
          <t>SELİM İNŞAAT</t>
        </is>
      </c>
      <c r="D3888" s="115" t="inlineStr">
        <is>
          <t>34 EDB 659</t>
        </is>
      </c>
      <c r="E3888" s="115" t="inlineStr">
        <is>
          <t>MÜCAHİT BOZBEŞ</t>
        </is>
      </c>
      <c r="F3888" s="115" t="n">
        <v>418092</v>
      </c>
      <c r="G3888" s="156" t="n"/>
      <c r="H3888" s="152" t="n">
        <v>455</v>
      </c>
      <c r="I3888" s="156" t="n"/>
      <c r="J3888" s="90" t="n"/>
      <c r="K3888" s="166" t="n"/>
      <c r="L3888" s="158" t="n"/>
      <c r="M3888" s="159" t="n"/>
    </row>
    <row r="3889">
      <c r="A3889" s="114" t="n">
        <v>46241</v>
      </c>
      <c r="B3889" s="115" t="n">
        <v>4159</v>
      </c>
      <c r="C3889" s="115" t="inlineStr">
        <is>
          <t>SELİM İNŞAAT</t>
        </is>
      </c>
      <c r="D3889" s="115" t="inlineStr">
        <is>
          <t>34 EDB 659</t>
        </is>
      </c>
      <c r="E3889" s="115" t="inlineStr">
        <is>
          <t>MÜCAHİT BOZBEŞ</t>
        </is>
      </c>
      <c r="F3889" s="115" t="n">
        <v>418847</v>
      </c>
      <c r="G3889" s="156" t="n"/>
      <c r="H3889" s="152" t="n">
        <v>491</v>
      </c>
      <c r="I3889" s="156" t="n"/>
      <c r="J3889" s="90" t="n"/>
      <c r="K3889" s="166" t="n"/>
      <c r="L3889" s="158" t="n"/>
      <c r="M3889" s="159" t="n"/>
    </row>
    <row r="3890">
      <c r="A3890" s="114" t="n">
        <v>46244</v>
      </c>
      <c r="B3890" s="115" t="n">
        <v>4160</v>
      </c>
      <c r="C3890" s="115" t="inlineStr">
        <is>
          <t>SELİM İNŞAAT</t>
        </is>
      </c>
      <c r="D3890" s="115" t="inlineStr">
        <is>
          <t>34 EDB 659</t>
        </is>
      </c>
      <c r="E3890" s="115" t="inlineStr">
        <is>
          <t>MÜCAHİT BOZBEŞ</t>
        </is>
      </c>
      <c r="F3890" s="115" t="n">
        <v>419714</v>
      </c>
      <c r="G3890" s="156" t="n"/>
      <c r="H3890" s="152" t="n">
        <v>529</v>
      </c>
      <c r="I3890" s="156" t="n"/>
      <c r="J3890" s="90" t="n"/>
      <c r="K3890" s="166" t="n"/>
      <c r="L3890" s="158" t="n"/>
      <c r="M3890" s="159" t="n"/>
    </row>
    <row r="3891">
      <c r="A3891" s="114" t="n">
        <v>46246</v>
      </c>
      <c r="B3891" s="115" t="n">
        <v>4161</v>
      </c>
      <c r="C3891" s="115" t="inlineStr">
        <is>
          <t>SELİM İNŞAAT</t>
        </is>
      </c>
      <c r="D3891" s="115" t="inlineStr">
        <is>
          <t>34 EDB 659</t>
        </is>
      </c>
      <c r="E3891" s="115" t="inlineStr">
        <is>
          <t>MÜCAHİT BOZBEŞ</t>
        </is>
      </c>
      <c r="F3891" s="115" t="n">
        <v>420289</v>
      </c>
      <c r="G3891" s="156" t="n"/>
      <c r="H3891" s="152" t="n">
        <v>437</v>
      </c>
      <c r="I3891" s="156" t="n"/>
      <c r="J3891" s="90" t="n"/>
      <c r="K3891" s="166" t="n"/>
      <c r="L3891" s="158" t="n"/>
      <c r="M3891" s="159" t="n"/>
    </row>
    <row r="3892">
      <c r="A3892" s="114" t="n">
        <v>46248</v>
      </c>
      <c r="B3892" s="115" t="n">
        <v>4162</v>
      </c>
      <c r="C3892" s="115" t="inlineStr">
        <is>
          <t>SELİM İNŞAAT</t>
        </is>
      </c>
      <c r="D3892" s="115" t="inlineStr">
        <is>
          <t>34 EDB 659</t>
        </is>
      </c>
      <c r="E3892" s="115" t="inlineStr">
        <is>
          <t>MÜCAHİT BOZBEŞ</t>
        </is>
      </c>
      <c r="F3892" s="115" t="n">
        <v>421090</v>
      </c>
      <c r="G3892" s="156" t="n"/>
      <c r="H3892" s="152" t="n">
        <v>550</v>
      </c>
      <c r="I3892" s="156" t="n"/>
      <c r="J3892" s="90" t="n"/>
      <c r="K3892" s="166" t="n"/>
      <c r="L3892" s="158" t="n"/>
      <c r="M3892" s="159" t="n"/>
    </row>
    <row r="3893">
      <c r="A3893" s="114" t="n">
        <v>46237</v>
      </c>
      <c r="B3893" s="115" t="n">
        <v>3063</v>
      </c>
      <c r="C3893" s="115" t="inlineStr">
        <is>
          <t>SELİM İNŞAAT</t>
        </is>
      </c>
      <c r="D3893" s="115" t="inlineStr">
        <is>
          <t>34 GVZ 268</t>
        </is>
      </c>
      <c r="E3893" s="115" t="inlineStr">
        <is>
          <t>KERİM KARAMAN</t>
        </is>
      </c>
      <c r="F3893" s="115" t="n">
        <v>287976</v>
      </c>
      <c r="G3893" s="156" t="n"/>
      <c r="H3893" s="152" t="n">
        <v>464</v>
      </c>
      <c r="I3893" s="156" t="n"/>
      <c r="J3893" s="90" t="n"/>
      <c r="K3893" s="166" t="n"/>
      <c r="L3893" s="158" t="n"/>
      <c r="M3893" s="159" t="n"/>
    </row>
    <row r="3894">
      <c r="A3894" s="114" t="n">
        <v>46239</v>
      </c>
      <c r="B3894" s="115" t="n">
        <v>3064</v>
      </c>
      <c r="C3894" s="115" t="inlineStr">
        <is>
          <t>SELİM İNŞAAT</t>
        </is>
      </c>
      <c r="D3894" s="115" t="inlineStr">
        <is>
          <t>34 GVZ 268</t>
        </is>
      </c>
      <c r="E3894" s="115" t="inlineStr">
        <is>
          <t>KERİM KARAMAN</t>
        </is>
      </c>
      <c r="F3894" s="115" t="n">
        <v>288813</v>
      </c>
      <c r="G3894" s="156" t="n"/>
      <c r="H3894" s="152" t="n">
        <v>480</v>
      </c>
      <c r="I3894" s="156" t="n"/>
      <c r="J3894" s="90" t="n"/>
      <c r="K3894" s="166" t="n"/>
      <c r="L3894" s="158" t="n"/>
      <c r="M3894" s="159" t="n"/>
    </row>
    <row r="3895">
      <c r="A3895" s="114" t="n">
        <v>46240</v>
      </c>
      <c r="B3895" s="115" t="n">
        <v>3065</v>
      </c>
      <c r="C3895" s="115" t="inlineStr">
        <is>
          <t>SELİM İNŞAAT</t>
        </is>
      </c>
      <c r="D3895" s="115" t="inlineStr">
        <is>
          <t>34 GVZ 268</t>
        </is>
      </c>
      <c r="E3895" s="115" t="inlineStr">
        <is>
          <t>KERİM KARAMAN</t>
        </is>
      </c>
      <c r="F3895" s="115" t="n">
        <v>289587</v>
      </c>
      <c r="G3895" s="156" t="n"/>
      <c r="H3895" s="152" t="n">
        <v>423</v>
      </c>
      <c r="I3895" s="156" t="n"/>
      <c r="J3895" s="90" t="n"/>
      <c r="K3895" s="166" t="n"/>
      <c r="L3895" s="158" t="n"/>
      <c r="M3895" s="159" t="n"/>
    </row>
    <row r="3896">
      <c r="A3896" s="114" t="n">
        <v>46241</v>
      </c>
      <c r="B3896" s="115" t="n">
        <v>3066</v>
      </c>
      <c r="C3896" s="115" t="inlineStr">
        <is>
          <t>SELİM İNŞAAT</t>
        </is>
      </c>
      <c r="D3896" s="115" t="inlineStr">
        <is>
          <t>34 GVZ 268</t>
        </is>
      </c>
      <c r="E3896" s="115" t="inlineStr">
        <is>
          <t>KERİM KARAMAN</t>
        </is>
      </c>
      <c r="F3896" s="115" t="n">
        <v>289940</v>
      </c>
      <c r="G3896" s="156" t="n"/>
      <c r="H3896" s="152" t="n">
        <v>318</v>
      </c>
      <c r="I3896" s="156" t="n"/>
      <c r="J3896" s="90" t="n"/>
      <c r="K3896" s="166" t="n"/>
      <c r="L3896" s="158" t="n"/>
      <c r="M3896" s="159" t="n"/>
    </row>
    <row r="3897">
      <c r="A3897" s="114" t="n">
        <v>46244</v>
      </c>
      <c r="B3897" s="115" t="n">
        <v>3067</v>
      </c>
      <c r="C3897" s="115" t="inlineStr">
        <is>
          <t>SELİM İNŞAAT</t>
        </is>
      </c>
      <c r="D3897" s="115" t="inlineStr">
        <is>
          <t>34 GVZ 268</t>
        </is>
      </c>
      <c r="E3897" s="115" t="inlineStr">
        <is>
          <t>KERİM KARAMAN</t>
        </is>
      </c>
      <c r="F3897" s="115" t="n">
        <v>290631</v>
      </c>
      <c r="G3897" s="156" t="n"/>
      <c r="H3897" s="152" t="n">
        <v>425</v>
      </c>
      <c r="I3897" s="156" t="n"/>
      <c r="J3897" s="90" t="n"/>
      <c r="K3897" s="166" t="n"/>
      <c r="L3897" s="158" t="n"/>
      <c r="M3897" s="159" t="n"/>
    </row>
    <row r="3898">
      <c r="A3898" s="114" t="n">
        <v>46246</v>
      </c>
      <c r="B3898" s="115" t="n">
        <v>3068</v>
      </c>
      <c r="C3898" s="115" t="inlineStr">
        <is>
          <t>SELİM İNŞAAT</t>
        </is>
      </c>
      <c r="D3898" s="115" t="inlineStr">
        <is>
          <t>34 GVZ 268</t>
        </is>
      </c>
      <c r="E3898" s="115" t="inlineStr">
        <is>
          <t>KERİM KARAMAN</t>
        </is>
      </c>
      <c r="F3898" s="115" t="n">
        <v>291368</v>
      </c>
      <c r="G3898" s="156" t="n"/>
      <c r="H3898" s="152" t="n">
        <v>457</v>
      </c>
      <c r="I3898" s="156" t="n"/>
      <c r="J3898" s="90" t="n"/>
      <c r="K3898" s="166" t="n"/>
      <c r="L3898" s="158" t="n"/>
      <c r="M3898" s="159" t="n"/>
    </row>
    <row r="3899">
      <c r="A3899" s="114" t="n">
        <v>46248</v>
      </c>
      <c r="B3899" s="115" t="n">
        <v>3069</v>
      </c>
      <c r="C3899" s="115" t="inlineStr">
        <is>
          <t>SELİM İNŞAAT</t>
        </is>
      </c>
      <c r="D3899" s="115" t="inlineStr">
        <is>
          <t>34 GVZ 268</t>
        </is>
      </c>
      <c r="E3899" s="115" t="inlineStr">
        <is>
          <t>KERİM KARAMAN</t>
        </is>
      </c>
      <c r="F3899" s="115" t="n">
        <v>292028</v>
      </c>
      <c r="G3899" s="156" t="n"/>
      <c r="H3899" s="152" t="n">
        <v>440</v>
      </c>
      <c r="I3899" s="156" t="n"/>
      <c r="J3899" s="90" t="n"/>
      <c r="K3899" s="166" t="n"/>
      <c r="L3899" s="158" t="n"/>
      <c r="M3899" s="159" t="n"/>
    </row>
    <row r="3900">
      <c r="A3900" s="114" t="n">
        <v>46249</v>
      </c>
      <c r="B3900" s="115" t="n">
        <v>3070</v>
      </c>
      <c r="C3900" s="115" t="inlineStr">
        <is>
          <t>SELİM İNŞAAT</t>
        </is>
      </c>
      <c r="D3900" s="115" t="inlineStr">
        <is>
          <t>34 GVZ 268</t>
        </is>
      </c>
      <c r="E3900" s="115" t="inlineStr">
        <is>
          <t>KERİM KARAMAN</t>
        </is>
      </c>
      <c r="F3900" s="115" t="n">
        <v>292477</v>
      </c>
      <c r="G3900" s="156" t="n"/>
      <c r="H3900" s="152" t="n">
        <v>342</v>
      </c>
      <c r="I3900" s="156" t="n"/>
      <c r="J3900" s="90" t="n"/>
      <c r="K3900" s="166" t="n"/>
      <c r="L3900" s="158" t="n"/>
      <c r="M3900" s="159" t="n"/>
    </row>
    <row r="3901">
      <c r="A3901" s="114" t="n">
        <v>46237</v>
      </c>
      <c r="B3901" s="115" t="n">
        <v>1793</v>
      </c>
      <c r="C3901" s="115" t="inlineStr">
        <is>
          <t>SELİM İNŞAAT</t>
        </is>
      </c>
      <c r="D3901" s="115" t="inlineStr">
        <is>
          <t>34 EDC 086</t>
        </is>
      </c>
      <c r="E3901" s="115" t="inlineStr">
        <is>
          <t>İRFAN DAĞLAR</t>
        </is>
      </c>
      <c r="F3901" s="115" t="n">
        <v>408517</v>
      </c>
      <c r="G3901" s="156" t="n"/>
      <c r="H3901" s="152" t="n">
        <v>452</v>
      </c>
      <c r="I3901" s="156" t="n"/>
      <c r="J3901" s="90" t="n"/>
      <c r="K3901" s="166" t="n"/>
      <c r="L3901" s="158" t="n"/>
      <c r="M3901" s="159" t="n"/>
    </row>
    <row r="3902">
      <c r="A3902" s="114" t="n">
        <v>46239</v>
      </c>
      <c r="B3902" s="115" t="n">
        <v>1794</v>
      </c>
      <c r="C3902" s="115" t="inlineStr">
        <is>
          <t>SELİM İNŞAAT</t>
        </is>
      </c>
      <c r="D3902" s="115" t="inlineStr">
        <is>
          <t>34 EDC 086</t>
        </is>
      </c>
      <c r="E3902" s="115" t="inlineStr">
        <is>
          <t>İRFAN DAĞLAR</t>
        </is>
      </c>
      <c r="F3902" s="115" t="n">
        <v>409282</v>
      </c>
      <c r="G3902" s="156" t="n"/>
      <c r="H3902" s="152" t="n">
        <v>478</v>
      </c>
      <c r="I3902" s="156" t="n"/>
      <c r="J3902" s="90" t="n"/>
      <c r="K3902" s="166" t="n"/>
      <c r="L3902" s="158" t="n"/>
      <c r="M3902" s="159" t="n"/>
    </row>
    <row r="3903">
      <c r="A3903" s="114" t="n">
        <v>46241</v>
      </c>
      <c r="B3903" s="115" t="n">
        <v>1795</v>
      </c>
      <c r="C3903" s="115" t="inlineStr">
        <is>
          <t>SELİM İNŞAAT</t>
        </is>
      </c>
      <c r="D3903" s="115" t="inlineStr">
        <is>
          <t>34 EDC 086</t>
        </is>
      </c>
      <c r="E3903" s="115" t="inlineStr">
        <is>
          <t>İRFAN DAĞLAR</t>
        </is>
      </c>
      <c r="F3903" s="115" t="n">
        <v>410031</v>
      </c>
      <c r="G3903" s="156" t="n"/>
      <c r="H3903" s="152" t="n">
        <v>442</v>
      </c>
      <c r="I3903" s="156" t="n"/>
      <c r="J3903" s="90" t="n"/>
      <c r="K3903" s="166" t="n"/>
      <c r="L3903" s="158" t="n"/>
      <c r="M3903" s="159" t="n"/>
    </row>
    <row r="3904">
      <c r="A3904" s="114" t="n">
        <v>46242</v>
      </c>
      <c r="B3904" s="115" t="n">
        <v>1796</v>
      </c>
      <c r="C3904" s="115" t="inlineStr">
        <is>
          <t>SELİM İNŞAAT</t>
        </is>
      </c>
      <c r="D3904" s="115" t="inlineStr">
        <is>
          <t>34 EDC 086</t>
        </is>
      </c>
      <c r="E3904" s="115" t="inlineStr">
        <is>
          <t>İRFAN DAĞLAR</t>
        </is>
      </c>
      <c r="F3904" s="115" t="n">
        <v>411011</v>
      </c>
      <c r="G3904" s="156" t="n"/>
      <c r="H3904" s="152" t="n">
        <v>564</v>
      </c>
      <c r="I3904" s="156" t="n"/>
      <c r="J3904" s="90" t="n"/>
      <c r="K3904" s="166" t="n"/>
      <c r="L3904" s="158" t="n"/>
      <c r="M3904" s="159" t="n"/>
    </row>
    <row r="3905">
      <c r="A3905" s="114" t="n">
        <v>46244</v>
      </c>
      <c r="B3905" s="115" t="n">
        <v>1797</v>
      </c>
      <c r="C3905" s="115" t="inlineStr">
        <is>
          <t>SELİM İNŞAAT</t>
        </is>
      </c>
      <c r="D3905" s="115" t="inlineStr">
        <is>
          <t>34 EDC 086</t>
        </is>
      </c>
      <c r="E3905" s="115" t="inlineStr">
        <is>
          <t>İRFAN DAĞLAR</t>
        </is>
      </c>
      <c r="F3905" s="115" t="n">
        <v>411467</v>
      </c>
      <c r="G3905" s="156" t="n"/>
      <c r="H3905" s="152" t="n">
        <v>342</v>
      </c>
      <c r="I3905" s="156" t="n"/>
      <c r="J3905" s="90" t="n"/>
      <c r="K3905" s="166" t="n"/>
      <c r="L3905" s="158" t="n"/>
      <c r="M3905" s="159" t="n"/>
    </row>
    <row r="3906">
      <c r="A3906" s="114" t="n">
        <v>46245</v>
      </c>
      <c r="B3906" s="115" t="n">
        <v>1798</v>
      </c>
      <c r="C3906" s="115" t="inlineStr">
        <is>
          <t>SELİM İNŞAAT</t>
        </is>
      </c>
      <c r="D3906" s="115" t="inlineStr">
        <is>
          <t>34 EDC 086</t>
        </is>
      </c>
      <c r="E3906" s="115" t="inlineStr">
        <is>
          <t>İRFAN DAĞLAR</t>
        </is>
      </c>
      <c r="F3906" s="115" t="n">
        <v>412073</v>
      </c>
      <c r="G3906" s="156" t="n"/>
      <c r="H3906" s="152" t="n">
        <v>393</v>
      </c>
      <c r="I3906" s="156" t="n"/>
      <c r="J3906" s="90" t="n"/>
      <c r="K3906" s="166" t="n"/>
      <c r="L3906" s="158" t="n"/>
      <c r="M3906" s="159" t="n"/>
    </row>
    <row r="3907">
      <c r="A3907" s="114" t="n">
        <v>46247</v>
      </c>
      <c r="B3907" s="115" t="n">
        <v>1799</v>
      </c>
      <c r="C3907" s="115" t="inlineStr">
        <is>
          <t>SELİM İNŞAAT</t>
        </is>
      </c>
      <c r="D3907" s="115" t="inlineStr">
        <is>
          <t>34 EDC 086</t>
        </is>
      </c>
      <c r="E3907" s="115" t="inlineStr">
        <is>
          <t>İRFAN DAĞLAR</t>
        </is>
      </c>
      <c r="F3907" s="115" t="n">
        <v>412672</v>
      </c>
      <c r="G3907" s="156" t="n"/>
      <c r="H3907" s="152" t="n">
        <v>412</v>
      </c>
      <c r="I3907" s="156" t="n"/>
      <c r="J3907" s="90" t="n"/>
      <c r="K3907" s="166" t="n"/>
      <c r="L3907" s="158" t="n"/>
      <c r="M3907" s="159" t="n"/>
    </row>
    <row r="3908">
      <c r="A3908" s="114" t="n">
        <v>46248</v>
      </c>
      <c r="B3908" s="115" t="n">
        <v>1800</v>
      </c>
      <c r="C3908" s="115" t="inlineStr">
        <is>
          <t>SELİM İNŞAAT</t>
        </is>
      </c>
      <c r="D3908" s="115" t="inlineStr">
        <is>
          <t>34 EDC 086</t>
        </is>
      </c>
      <c r="E3908" s="115" t="inlineStr">
        <is>
          <t>İRFAN DAĞLAR</t>
        </is>
      </c>
      <c r="F3908" s="115" t="n">
        <v>413240</v>
      </c>
      <c r="G3908" s="156" t="n"/>
      <c r="H3908" s="152" t="n">
        <v>373</v>
      </c>
      <c r="I3908" s="156" t="n"/>
      <c r="J3908" s="90" t="n"/>
      <c r="K3908" s="166" t="n"/>
      <c r="L3908" s="158" t="n"/>
      <c r="M3908" s="159" t="n"/>
    </row>
    <row r="3909">
      <c r="A3909" s="114" t="n">
        <v>46238</v>
      </c>
      <c r="B3909" s="115" t="n">
        <v>947</v>
      </c>
      <c r="C3909" s="115" t="inlineStr">
        <is>
          <t>SELİM İNŞAAT</t>
        </is>
      </c>
      <c r="D3909" s="115" t="inlineStr">
        <is>
          <t>34 FSG 229</t>
        </is>
      </c>
      <c r="E3909" s="115" t="inlineStr">
        <is>
          <t>SİNAN TANRIVERDİ</t>
        </is>
      </c>
      <c r="F3909" s="115" t="n">
        <v>326067</v>
      </c>
      <c r="G3909" s="156" t="n"/>
      <c r="H3909" s="152" t="n">
        <v>477</v>
      </c>
      <c r="I3909" s="156" t="n"/>
      <c r="J3909" s="90" t="n"/>
      <c r="K3909" s="166" t="n"/>
      <c r="L3909" s="158" t="n"/>
      <c r="M3909" s="159" t="n"/>
    </row>
    <row r="3910">
      <c r="A3910" s="114" t="n">
        <v>46239</v>
      </c>
      <c r="B3910" s="115" t="n">
        <v>948</v>
      </c>
      <c r="C3910" s="115" t="inlineStr">
        <is>
          <t>SELİM İNŞAAT</t>
        </is>
      </c>
      <c r="D3910" s="115" t="inlineStr">
        <is>
          <t>34 FSG 229</t>
        </is>
      </c>
      <c r="E3910" s="115" t="inlineStr">
        <is>
          <t>SİNAN TANRIVERDİ</t>
        </is>
      </c>
      <c r="F3910" s="115" t="n">
        <v>326828</v>
      </c>
      <c r="G3910" s="156" t="n"/>
      <c r="H3910" s="152" t="n">
        <v>500</v>
      </c>
      <c r="I3910" s="156" t="n"/>
      <c r="J3910" s="90" t="n"/>
      <c r="K3910" s="166" t="n"/>
      <c r="L3910" s="158" t="n"/>
      <c r="M3910" s="159" t="n"/>
    </row>
    <row r="3911">
      <c r="A3911" s="114" t="n">
        <v>46241</v>
      </c>
      <c r="B3911" s="115" t="n">
        <v>949</v>
      </c>
      <c r="C3911" s="115" t="inlineStr">
        <is>
          <t>SELİM İNŞAAT</t>
        </is>
      </c>
      <c r="D3911" s="115" t="inlineStr">
        <is>
          <t>34 FSG 229</t>
        </is>
      </c>
      <c r="E3911" s="115" t="inlineStr">
        <is>
          <t>SİNAN TANRIVERDİ</t>
        </is>
      </c>
      <c r="F3911" s="115" t="n">
        <v>327232</v>
      </c>
      <c r="G3911" s="156" t="n"/>
      <c r="H3911" s="152" t="n">
        <v>336</v>
      </c>
      <c r="I3911" s="156" t="n"/>
      <c r="J3911" s="90" t="n"/>
      <c r="K3911" s="166" t="n"/>
      <c r="L3911" s="158" t="n"/>
      <c r="M3911" s="159" t="n"/>
    </row>
    <row r="3912">
      <c r="A3912" s="114" t="n">
        <v>46244</v>
      </c>
      <c r="B3912" s="115" t="n">
        <v>950</v>
      </c>
      <c r="C3912" s="115" t="inlineStr">
        <is>
          <t>SELİM İNŞAAT</t>
        </is>
      </c>
      <c r="D3912" s="115" t="inlineStr">
        <is>
          <t>34 FSG 229</t>
        </is>
      </c>
      <c r="E3912" s="115" t="inlineStr">
        <is>
          <t>SİNAN TANRIVERDİ</t>
        </is>
      </c>
      <c r="F3912" s="115" t="n">
        <v>327814</v>
      </c>
      <c r="G3912" s="156" t="n"/>
      <c r="H3912" s="152" t="n">
        <v>414</v>
      </c>
      <c r="I3912" s="156" t="n"/>
      <c r="J3912" s="90" t="n"/>
      <c r="K3912" s="166" t="n"/>
      <c r="L3912" s="158" t="n"/>
      <c r="M3912" s="159" t="n"/>
    </row>
    <row r="3913">
      <c r="A3913" s="114" t="n">
        <v>46238</v>
      </c>
      <c r="B3913" s="115" t="n">
        <v>990</v>
      </c>
      <c r="C3913" s="115" t="inlineStr">
        <is>
          <t>SELİM İNŞAAT</t>
        </is>
      </c>
      <c r="D3913" s="115" t="inlineStr">
        <is>
          <t>34 DSN 636</t>
        </is>
      </c>
      <c r="E3913" s="115" t="inlineStr">
        <is>
          <t>MEHMETALİ</t>
        </is>
      </c>
      <c r="F3913" s="115" t="n">
        <v>458943</v>
      </c>
      <c r="G3913" s="156" t="n"/>
      <c r="H3913" s="152" t="n">
        <v>477</v>
      </c>
      <c r="I3913" s="156" t="n"/>
      <c r="J3913" s="90" t="n"/>
      <c r="K3913" s="166" t="n"/>
      <c r="L3913" s="158" t="n"/>
      <c r="M3913" s="159" t="n"/>
    </row>
    <row r="3914">
      <c r="A3914" s="114" t="n">
        <v>46240</v>
      </c>
      <c r="B3914" s="115" t="n">
        <v>991</v>
      </c>
      <c r="C3914" s="115" t="inlineStr">
        <is>
          <t>SELİM İNŞAAT</t>
        </is>
      </c>
      <c r="D3914" s="115" t="inlineStr">
        <is>
          <t>34 DSN 636</t>
        </is>
      </c>
      <c r="E3914" s="115" t="inlineStr">
        <is>
          <t>MEHMETALİ</t>
        </is>
      </c>
      <c r="F3914" s="115" t="n">
        <v>459638</v>
      </c>
      <c r="G3914" s="156" t="n"/>
      <c r="H3914" s="152" t="n">
        <v>435</v>
      </c>
      <c r="I3914" s="156" t="n"/>
      <c r="J3914" s="90" t="n"/>
      <c r="K3914" s="166" t="n"/>
      <c r="L3914" s="158" t="n"/>
      <c r="M3914" s="159" t="n"/>
    </row>
    <row r="3915">
      <c r="A3915" s="114" t="n">
        <v>46242</v>
      </c>
      <c r="B3915" s="115" t="n">
        <v>992</v>
      </c>
      <c r="C3915" s="115" t="inlineStr">
        <is>
          <t>SELİM İNŞAAT</t>
        </is>
      </c>
      <c r="D3915" s="115" t="inlineStr">
        <is>
          <t>34 DSN 636</t>
        </is>
      </c>
      <c r="E3915" s="115" t="inlineStr">
        <is>
          <t>MEHMETALİ</t>
        </is>
      </c>
      <c r="F3915" s="115" t="n">
        <v>460597</v>
      </c>
      <c r="G3915" s="156" t="n"/>
      <c r="H3915" s="152" t="n">
        <v>549</v>
      </c>
      <c r="I3915" s="156" t="n"/>
      <c r="J3915" s="90" t="n"/>
      <c r="K3915" s="166" t="n"/>
      <c r="L3915" s="158" t="n"/>
      <c r="M3915" s="159" t="n"/>
    </row>
    <row r="3916">
      <c r="A3916" s="114" t="n">
        <v>46246</v>
      </c>
      <c r="B3916" s="115" t="n">
        <v>993</v>
      </c>
      <c r="C3916" s="115" t="inlineStr">
        <is>
          <t>SELİM İNŞAAT</t>
        </is>
      </c>
      <c r="D3916" s="115" t="inlineStr">
        <is>
          <t>34 DSN 636</t>
        </is>
      </c>
      <c r="E3916" s="115" t="inlineStr">
        <is>
          <t>MEHMETALİ</t>
        </is>
      </c>
      <c r="F3916" s="115" t="n">
        <v>461281</v>
      </c>
      <c r="G3916" s="156" t="n"/>
      <c r="H3916" s="152" t="n">
        <v>500</v>
      </c>
      <c r="I3916" s="156" t="n"/>
      <c r="J3916" s="90" t="n"/>
      <c r="K3916" s="166" t="n"/>
      <c r="L3916" s="158" t="n"/>
      <c r="M3916" s="159" t="n"/>
    </row>
    <row r="3917">
      <c r="A3917" s="114" t="n">
        <v>46248</v>
      </c>
      <c r="B3917" s="115" t="n">
        <v>994</v>
      </c>
      <c r="C3917" s="115" t="inlineStr">
        <is>
          <t>SELİM İNŞAAT</t>
        </is>
      </c>
      <c r="D3917" s="115" t="inlineStr">
        <is>
          <t>34 DSN 636</t>
        </is>
      </c>
      <c r="E3917" s="115" t="inlineStr">
        <is>
          <t>MEHMETALİ</t>
        </is>
      </c>
      <c r="F3917" s="115" t="n">
        <v>462052</v>
      </c>
      <c r="G3917" s="156" t="n"/>
      <c r="H3917" s="152" t="n">
        <v>520</v>
      </c>
      <c r="I3917" s="156" t="n"/>
      <c r="J3917" s="90" t="n"/>
      <c r="K3917" s="166" t="n"/>
      <c r="L3917" s="158" t="n"/>
      <c r="M3917" s="159" t="n"/>
    </row>
    <row r="3918">
      <c r="A3918" s="114" t="n">
        <v>46237</v>
      </c>
      <c r="B3918" s="115" t="n">
        <v>199</v>
      </c>
      <c r="C3918" s="115" t="inlineStr">
        <is>
          <t>SELİM İNŞAAT</t>
        </is>
      </c>
      <c r="D3918" s="115" t="inlineStr">
        <is>
          <t>34 FBR 771</t>
        </is>
      </c>
      <c r="E3918" s="115" t="inlineStr">
        <is>
          <t xml:space="preserve">SALİH </t>
        </is>
      </c>
      <c r="F3918" s="115" t="n">
        <v>383175</v>
      </c>
      <c r="G3918" s="156" t="n"/>
      <c r="H3918" s="152" t="n">
        <v>354</v>
      </c>
      <c r="I3918" s="156" t="n"/>
      <c r="J3918" s="90" t="n"/>
      <c r="K3918" s="166" t="n"/>
      <c r="L3918" s="158" t="n"/>
      <c r="M3918" s="159" t="n"/>
    </row>
    <row r="3919">
      <c r="A3919" s="114" t="n">
        <v>46240</v>
      </c>
      <c r="B3919" s="115" t="n">
        <v>200</v>
      </c>
      <c r="C3919" s="115" t="inlineStr">
        <is>
          <t>SELİM İNŞAAT</t>
        </is>
      </c>
      <c r="D3919" s="115" t="inlineStr">
        <is>
          <t>34 FBR 771</t>
        </is>
      </c>
      <c r="E3919" s="115" t="inlineStr">
        <is>
          <t xml:space="preserve">SALİH </t>
        </is>
      </c>
      <c r="F3919" s="115" t="n">
        <v>384067</v>
      </c>
      <c r="G3919" s="156" t="n"/>
      <c r="H3919" s="152" t="n">
        <v>485</v>
      </c>
      <c r="I3919" s="156" t="n"/>
      <c r="J3919" s="90" t="n"/>
      <c r="K3919" s="166" t="n"/>
      <c r="L3919" s="158" t="n"/>
      <c r="M3919" s="159" t="n"/>
    </row>
    <row r="3920">
      <c r="A3920" s="114" t="n">
        <v>46241</v>
      </c>
      <c r="B3920" s="115" t="n">
        <v>4201</v>
      </c>
      <c r="C3920" s="115" t="inlineStr">
        <is>
          <t>SELİM İNŞAAT</t>
        </is>
      </c>
      <c r="D3920" s="115" t="inlineStr">
        <is>
          <t>34 FBR 771</t>
        </is>
      </c>
      <c r="E3920" s="115" t="inlineStr">
        <is>
          <t xml:space="preserve">SALİH </t>
        </is>
      </c>
      <c r="F3920" s="115" t="n">
        <v>384907</v>
      </c>
      <c r="G3920" s="156" t="n"/>
      <c r="H3920" s="152" t="n">
        <v>519</v>
      </c>
      <c r="I3920" s="156" t="n"/>
      <c r="J3920" s="90" t="n"/>
      <c r="K3920" s="166" t="n"/>
      <c r="L3920" s="158" t="n"/>
      <c r="M3920" s="159" t="n"/>
    </row>
    <row r="3921">
      <c r="A3921" s="114" t="n">
        <v>46244</v>
      </c>
      <c r="B3921" s="115" t="n">
        <v>4202</v>
      </c>
      <c r="C3921" s="115" t="inlineStr">
        <is>
          <t>SELİM İNŞAAT</t>
        </is>
      </c>
      <c r="D3921" s="115" t="inlineStr">
        <is>
          <t>34 FBR 771</t>
        </is>
      </c>
      <c r="E3921" s="115" t="inlineStr">
        <is>
          <t xml:space="preserve">SALİH </t>
        </is>
      </c>
      <c r="F3921" s="115" t="n">
        <v>38827</v>
      </c>
      <c r="G3921" s="156" t="n"/>
      <c r="H3921" s="152" t="n">
        <v>523</v>
      </c>
      <c r="I3921" s="156" t="n"/>
      <c r="J3921" s="90" t="n"/>
      <c r="K3921" s="166" t="n"/>
      <c r="L3921" s="158" t="n"/>
      <c r="M3921" s="159" t="n"/>
    </row>
    <row r="3922">
      <c r="A3922" s="114" t="n">
        <v>46246</v>
      </c>
      <c r="B3922" s="115" t="n">
        <v>4203</v>
      </c>
      <c r="C3922" s="115" t="inlineStr">
        <is>
          <t>SELİM İNŞAAT</t>
        </is>
      </c>
      <c r="D3922" s="115" t="inlineStr">
        <is>
          <t>34 FBR 771</t>
        </is>
      </c>
      <c r="E3922" s="115" t="inlineStr">
        <is>
          <t xml:space="preserve">SALİH </t>
        </is>
      </c>
      <c r="F3922" s="115" t="n">
        <v>386546</v>
      </c>
      <c r="G3922" s="156" t="n"/>
      <c r="H3922" s="152" t="n">
        <v>451</v>
      </c>
      <c r="I3922" s="156" t="n"/>
      <c r="J3922" s="90" t="n"/>
      <c r="K3922" s="166" t="n"/>
      <c r="L3922" s="158" t="n"/>
      <c r="M3922" s="159" t="n"/>
    </row>
    <row r="3923">
      <c r="A3923" s="114" t="n">
        <v>46248</v>
      </c>
      <c r="B3923" s="115" t="n">
        <v>4204</v>
      </c>
      <c r="C3923" s="115" t="inlineStr">
        <is>
          <t>SELİM İNŞAAT</t>
        </is>
      </c>
      <c r="D3923" s="115" t="inlineStr">
        <is>
          <t>34 FBR 771</t>
        </is>
      </c>
      <c r="E3923" s="115" t="inlineStr">
        <is>
          <t xml:space="preserve">SALİH </t>
        </is>
      </c>
      <c r="F3923" s="115" t="n">
        <v>387235</v>
      </c>
      <c r="G3923" s="156" t="n"/>
      <c r="H3923" s="152" t="n">
        <v>450</v>
      </c>
      <c r="I3923" s="156" t="n"/>
      <c r="J3923" s="90" t="n"/>
      <c r="K3923" s="166" t="n"/>
      <c r="L3923" s="158" t="n"/>
      <c r="M3923" s="159" t="n"/>
    </row>
    <row r="3924">
      <c r="A3924" s="114" t="n">
        <v>46249</v>
      </c>
      <c r="B3924" s="115" t="n">
        <v>4205</v>
      </c>
      <c r="C3924" s="115" t="inlineStr">
        <is>
          <t>SELİM İNŞAAT</t>
        </is>
      </c>
      <c r="D3924" s="115" t="inlineStr">
        <is>
          <t>34 FBR 771</t>
        </is>
      </c>
      <c r="E3924" s="115" t="inlineStr">
        <is>
          <t xml:space="preserve">SALİH </t>
        </is>
      </c>
      <c r="F3924" s="115" t="n">
        <v>387726</v>
      </c>
      <c r="G3924" s="156" t="n"/>
      <c r="H3924" s="152" t="n">
        <v>347</v>
      </c>
      <c r="I3924" s="156" t="n"/>
      <c r="J3924" s="90" t="n"/>
      <c r="K3924" s="166" t="n"/>
      <c r="L3924" s="158" t="n"/>
      <c r="M3924" s="159" t="n"/>
    </row>
    <row r="3925">
      <c r="A3925" s="114" t="n">
        <v>46237</v>
      </c>
      <c r="B3925" s="115" t="n">
        <v>1742</v>
      </c>
      <c r="C3925" s="115" t="inlineStr">
        <is>
          <t>SELİM İNŞAAT</t>
        </is>
      </c>
      <c r="D3925" s="115" t="inlineStr">
        <is>
          <t>34 EDC 162</t>
        </is>
      </c>
      <c r="E3925" s="115" t="inlineStr">
        <is>
          <t>YAKUP</t>
        </is>
      </c>
      <c r="F3925" s="115" t="n">
        <v>448427</v>
      </c>
      <c r="G3925" s="156" t="n"/>
      <c r="H3925" s="152" t="n">
        <v>455</v>
      </c>
      <c r="I3925" s="156" t="n"/>
      <c r="J3925" s="90" t="n"/>
      <c r="K3925" s="166" t="n"/>
      <c r="L3925" s="158" t="n"/>
      <c r="M3925" s="159" t="n"/>
    </row>
    <row r="3926">
      <c r="A3926" s="114" t="n">
        <v>46239</v>
      </c>
      <c r="B3926" s="115" t="n">
        <v>1743</v>
      </c>
      <c r="C3926" s="115" t="inlineStr">
        <is>
          <t>SELİM İNŞAAT</t>
        </is>
      </c>
      <c r="D3926" s="115" t="inlineStr">
        <is>
          <t>34 EDC 162</t>
        </is>
      </c>
      <c r="E3926" s="115" t="inlineStr">
        <is>
          <t>YAKUP</t>
        </is>
      </c>
      <c r="F3926" s="115" t="n">
        <v>449262</v>
      </c>
      <c r="G3926" s="156" t="n"/>
      <c r="H3926" s="152" t="n">
        <v>514</v>
      </c>
      <c r="I3926" s="156" t="n"/>
      <c r="J3926" s="90" t="n"/>
      <c r="K3926" s="166" t="n"/>
      <c r="L3926" s="158" t="n"/>
      <c r="M3926" s="159" t="n"/>
    </row>
    <row r="3927">
      <c r="A3927" s="114" t="n">
        <v>46241</v>
      </c>
      <c r="B3927" s="115" t="n">
        <v>1744</v>
      </c>
      <c r="C3927" s="115" t="inlineStr">
        <is>
          <t>SELİM İNŞAAT</t>
        </is>
      </c>
      <c r="D3927" s="115" t="inlineStr">
        <is>
          <t>34 EDC 162</t>
        </is>
      </c>
      <c r="E3927" s="115" t="inlineStr">
        <is>
          <t>YAKUP</t>
        </is>
      </c>
      <c r="F3927" s="115" t="n">
        <v>449750</v>
      </c>
      <c r="G3927" s="156" t="n"/>
      <c r="H3927" s="152" t="n">
        <v>373</v>
      </c>
      <c r="I3927" s="156" t="n"/>
      <c r="J3927" s="90" t="n"/>
      <c r="K3927" s="166" t="n"/>
      <c r="L3927" s="158" t="n"/>
      <c r="M3927" s="159" t="n"/>
    </row>
    <row r="3928">
      <c r="A3928" s="114" t="n">
        <v>46242</v>
      </c>
      <c r="B3928" s="115" t="n">
        <v>1745</v>
      </c>
      <c r="C3928" s="115" t="inlineStr">
        <is>
          <t>SELİM İNŞAAT</t>
        </is>
      </c>
      <c r="D3928" s="115" t="inlineStr">
        <is>
          <t>34 EDC 162</t>
        </is>
      </c>
      <c r="E3928" s="115" t="inlineStr">
        <is>
          <t>YAKUP</t>
        </is>
      </c>
      <c r="F3928" s="115" t="n">
        <v>450198</v>
      </c>
      <c r="G3928" s="156" t="n"/>
      <c r="H3928" s="152" t="n">
        <v>326</v>
      </c>
      <c r="I3928" s="156" t="n"/>
      <c r="J3928" s="90" t="n"/>
      <c r="K3928" s="166" t="n"/>
      <c r="L3928" s="158" t="n"/>
      <c r="M3928" s="159" t="n"/>
    </row>
    <row r="3929">
      <c r="A3929" s="114" t="n">
        <v>46244</v>
      </c>
      <c r="B3929" s="115" t="n">
        <v>1746</v>
      </c>
      <c r="C3929" s="115" t="inlineStr">
        <is>
          <t>SELİM İNŞAAT</t>
        </is>
      </c>
      <c r="D3929" s="115" t="inlineStr">
        <is>
          <t>34 EDC 162</t>
        </is>
      </c>
      <c r="E3929" s="115" t="inlineStr">
        <is>
          <t>YAKUP</t>
        </is>
      </c>
      <c r="F3929" s="115" t="n">
        <v>450932</v>
      </c>
      <c r="G3929" s="156" t="n"/>
      <c r="H3929" s="152" t="n">
        <v>477</v>
      </c>
      <c r="I3929" s="156" t="n"/>
      <c r="J3929" s="90" t="n"/>
      <c r="K3929" s="166" t="n"/>
      <c r="L3929" s="158" t="n"/>
      <c r="M3929" s="159" t="n"/>
    </row>
    <row r="3930">
      <c r="A3930" s="114" t="n">
        <v>46246</v>
      </c>
      <c r="B3930" s="115" t="n">
        <v>1747</v>
      </c>
      <c r="C3930" s="115" t="inlineStr">
        <is>
          <t>SELİM İNŞAAT</t>
        </is>
      </c>
      <c r="D3930" s="115" t="inlineStr">
        <is>
          <t>34 EDC 162</t>
        </is>
      </c>
      <c r="E3930" s="115" t="inlineStr">
        <is>
          <t>YAKUP</t>
        </is>
      </c>
      <c r="F3930" s="115" t="n">
        <v>451659</v>
      </c>
      <c r="G3930" s="156" t="n"/>
      <c r="H3930" s="152" t="n">
        <v>466</v>
      </c>
      <c r="I3930" s="156" t="n"/>
      <c r="J3930" s="90" t="n"/>
      <c r="K3930" s="166" t="n"/>
      <c r="L3930" s="158" t="n"/>
      <c r="M3930" s="159" t="n"/>
    </row>
    <row r="3931">
      <c r="A3931" s="114" t="n">
        <v>46248</v>
      </c>
      <c r="B3931" s="115" t="n">
        <v>1748</v>
      </c>
      <c r="C3931" s="115" t="inlineStr">
        <is>
          <t>SELİM İNŞAAT</t>
        </is>
      </c>
      <c r="D3931" s="115" t="inlineStr">
        <is>
          <t>34 EDC 162</t>
        </is>
      </c>
      <c r="E3931" s="115" t="inlineStr">
        <is>
          <t>YAKUP</t>
        </is>
      </c>
      <c r="F3931" s="115" t="n">
        <v>452303</v>
      </c>
      <c r="G3931" s="156" t="n"/>
      <c r="H3931" s="152" t="n">
        <v>462</v>
      </c>
      <c r="I3931" s="156" t="n"/>
      <c r="J3931" s="90" t="n"/>
      <c r="K3931" s="166" t="n"/>
      <c r="L3931" s="158" t="n"/>
      <c r="M3931" s="159" t="n"/>
    </row>
    <row r="3932">
      <c r="A3932" s="114" t="n">
        <v>46249</v>
      </c>
      <c r="B3932" s="115" t="n">
        <v>1749</v>
      </c>
      <c r="C3932" s="115" t="inlineStr">
        <is>
          <t>SELİM İNŞAAT</t>
        </is>
      </c>
      <c r="D3932" s="115" t="inlineStr">
        <is>
          <t>34 EDC 162</t>
        </is>
      </c>
      <c r="E3932" s="115" t="inlineStr">
        <is>
          <t>YAKUP</t>
        </is>
      </c>
      <c r="F3932" s="115" t="n">
        <v>452775</v>
      </c>
      <c r="G3932" s="156" t="n"/>
      <c r="H3932" s="152" t="n">
        <v>344</v>
      </c>
      <c r="I3932" s="156" t="n"/>
      <c r="J3932" s="90" t="n"/>
      <c r="K3932" s="166" t="n"/>
      <c r="L3932" s="158" t="n"/>
      <c r="M3932" s="159" t="n"/>
    </row>
    <row r="3933">
      <c r="A3933" s="114" t="n">
        <v>46251</v>
      </c>
      <c r="B3933" s="115" t="n">
        <v>1750</v>
      </c>
      <c r="C3933" s="115" t="inlineStr">
        <is>
          <t>SELİM İNŞAAT</t>
        </is>
      </c>
      <c r="D3933" s="115" t="inlineStr">
        <is>
          <t>34 EDC 162</t>
        </is>
      </c>
      <c r="E3933" s="115" t="inlineStr">
        <is>
          <t>YAKUP</t>
        </is>
      </c>
      <c r="F3933" s="115" t="n">
        <v>453208</v>
      </c>
      <c r="G3933" s="156" t="n"/>
      <c r="H3933" s="152" t="n">
        <v>300</v>
      </c>
      <c r="I3933" s="156" t="n"/>
      <c r="J3933" s="90" t="n"/>
      <c r="K3933" s="166" t="n"/>
      <c r="L3933" s="158" t="n"/>
      <c r="M3933" s="159" t="n"/>
    </row>
    <row r="3934">
      <c r="A3934" s="114" t="n"/>
      <c r="B3934" s="115" t="n"/>
      <c r="C3934" s="115" t="n"/>
      <c r="D3934" s="115" t="n"/>
      <c r="E3934" s="115" t="n"/>
      <c r="F3934" s="115" t="n"/>
      <c r="G3934" s="156" t="n"/>
      <c r="H3934" s="152" t="n"/>
      <c r="I3934" s="156" t="n"/>
      <c r="J3934" s="90" t="n"/>
      <c r="K3934" s="166" t="n"/>
      <c r="L3934" s="158" t="n"/>
      <c r="M3934" s="159" t="n"/>
    </row>
    <row r="3935">
      <c r="A3935" s="114" t="n"/>
      <c r="B3935" s="115" t="n"/>
      <c r="C3935" s="115" t="n"/>
      <c r="D3935" s="115" t="n"/>
      <c r="E3935" s="115" t="n"/>
      <c r="F3935" s="115" t="n"/>
      <c r="G3935" s="156" t="n"/>
      <c r="H3935" s="152" t="n"/>
      <c r="I3935" s="156" t="n"/>
      <c r="J3935" s="90" t="n"/>
      <c r="K3935" s="166" t="n"/>
      <c r="L3935" s="158" t="n"/>
      <c r="M3935" s="159" t="n"/>
    </row>
    <row r="3936">
      <c r="A3936" s="114" t="n"/>
      <c r="B3936" s="115" t="n"/>
      <c r="C3936" s="115" t="n"/>
      <c r="D3936" s="115" t="n"/>
      <c r="E3936" s="115" t="n"/>
      <c r="F3936" s="115" t="n"/>
      <c r="G3936" s="156" t="n"/>
      <c r="H3936" s="152" t="n"/>
      <c r="I3936" s="156" t="n"/>
      <c r="J3936" s="90" t="n"/>
      <c r="K3936" s="166" t="n"/>
      <c r="L3936" s="158" t="n"/>
      <c r="M3936" s="159" t="n"/>
    </row>
    <row r="3937">
      <c r="A3937" s="114" t="n"/>
      <c r="B3937" s="115" t="n"/>
      <c r="C3937" s="115" t="n"/>
      <c r="D3937" s="115" t="n"/>
      <c r="E3937" s="115" t="n"/>
      <c r="F3937" s="115" t="n"/>
      <c r="G3937" s="156" t="n"/>
      <c r="H3937" s="152" t="n"/>
      <c r="I3937" s="156" t="n"/>
      <c r="J3937" s="90" t="n"/>
      <c r="K3937" s="166" t="n"/>
      <c r="L3937" s="158" t="n"/>
      <c r="M3937" s="159" t="n"/>
    </row>
    <row r="3938">
      <c r="A3938" s="114" t="n"/>
      <c r="B3938" s="115" t="n"/>
      <c r="C3938" s="115" t="n"/>
      <c r="D3938" s="115" t="n"/>
      <c r="E3938" s="115" t="n"/>
      <c r="F3938" s="115" t="n"/>
      <c r="G3938" s="156" t="n"/>
      <c r="H3938" s="152" t="n"/>
      <c r="I3938" s="156" t="n"/>
      <c r="J3938" s="90" t="n"/>
      <c r="K3938" s="166" t="n"/>
      <c r="L3938" s="158" t="n"/>
      <c r="M3938" s="159" t="n"/>
    </row>
    <row r="3939">
      <c r="A3939" s="114" t="n"/>
      <c r="B3939" s="115" t="n"/>
      <c r="C3939" s="115" t="n"/>
      <c r="D3939" s="115" t="n"/>
      <c r="E3939" s="115" t="n"/>
      <c r="F3939" s="115" t="n"/>
      <c r="G3939" s="156" t="n"/>
      <c r="H3939" s="152" t="n"/>
      <c r="I3939" s="156" t="n"/>
      <c r="J3939" s="90" t="n"/>
      <c r="K3939" s="166" t="n"/>
      <c r="L3939" s="158" t="n"/>
      <c r="M3939" s="159" t="n"/>
    </row>
    <row r="3940">
      <c r="A3940" s="114" t="n"/>
      <c r="B3940" s="115" t="n"/>
      <c r="C3940" s="115" t="n"/>
      <c r="D3940" s="115" t="n"/>
      <c r="E3940" s="115" t="n"/>
      <c r="F3940" s="115" t="n"/>
      <c r="G3940" s="156" t="n"/>
      <c r="H3940" s="152" t="n"/>
      <c r="I3940" s="156" t="n"/>
      <c r="J3940" s="90" t="n"/>
      <c r="K3940" s="166" t="n"/>
      <c r="L3940" s="158" t="n"/>
      <c r="M3940" s="159" t="n"/>
    </row>
    <row r="3941">
      <c r="A3941" s="114" t="n"/>
      <c r="B3941" s="115" t="n"/>
      <c r="C3941" s="115" t="n"/>
      <c r="D3941" s="115" t="n"/>
      <c r="E3941" s="115" t="n"/>
      <c r="F3941" s="115" t="n"/>
      <c r="G3941" s="156" t="n"/>
      <c r="H3941" s="152" t="n"/>
      <c r="I3941" s="156" t="n"/>
      <c r="J3941" s="90" t="n"/>
      <c r="K3941" s="166" t="n"/>
      <c r="L3941" s="158" t="n"/>
      <c r="M3941" s="159" t="n"/>
    </row>
    <row r="3942">
      <c r="A3942" s="114" t="n"/>
      <c r="B3942" s="115" t="n"/>
      <c r="C3942" s="115" t="n"/>
      <c r="D3942" s="115" t="n"/>
      <c r="E3942" s="115" t="n"/>
      <c r="F3942" s="115" t="n"/>
      <c r="G3942" s="156" t="n"/>
      <c r="H3942" s="152" t="n"/>
      <c r="I3942" s="156" t="n"/>
      <c r="J3942" s="90" t="n"/>
      <c r="K3942" s="166" t="n"/>
      <c r="L3942" s="158" t="n"/>
      <c r="M3942" s="159" t="n"/>
    </row>
    <row r="3943">
      <c r="A3943" s="114" t="n"/>
      <c r="B3943" s="115" t="n"/>
      <c r="C3943" s="115" t="n"/>
      <c r="D3943" s="115" t="n"/>
      <c r="E3943" s="115" t="n"/>
      <c r="F3943" s="115" t="n"/>
      <c r="G3943" s="156" t="n"/>
      <c r="H3943" s="152" t="n"/>
      <c r="I3943" s="156" t="n"/>
      <c r="J3943" s="90" t="n"/>
      <c r="K3943" s="166" t="n"/>
      <c r="L3943" s="158" t="n"/>
      <c r="M3943" s="159" t="n"/>
    </row>
    <row r="3944">
      <c r="A3944" s="114" t="n"/>
      <c r="B3944" s="115" t="n"/>
      <c r="C3944" s="115" t="n"/>
      <c r="D3944" s="115" t="n"/>
      <c r="E3944" s="115" t="n"/>
      <c r="F3944" s="115" t="n"/>
      <c r="G3944" s="156" t="n"/>
      <c r="H3944" s="152" t="n"/>
      <c r="I3944" s="156" t="n"/>
      <c r="J3944" s="90" t="n"/>
      <c r="K3944" s="166" t="n"/>
      <c r="L3944" s="158" t="n"/>
      <c r="M3944" s="159" t="n"/>
    </row>
    <row r="3945">
      <c r="A3945" s="114" t="n"/>
      <c r="B3945" s="115" t="n"/>
      <c r="C3945" s="115" t="n"/>
      <c r="D3945" s="115" t="n"/>
      <c r="E3945" s="115" t="n"/>
      <c r="F3945" s="115" t="n"/>
      <c r="G3945" s="156" t="n"/>
      <c r="H3945" s="152" t="n"/>
      <c r="I3945" s="156" t="n"/>
      <c r="J3945" s="90" t="n"/>
      <c r="K3945" s="166" t="n"/>
      <c r="L3945" s="158" t="n"/>
      <c r="M3945" s="159" t="n"/>
    </row>
    <row r="3946">
      <c r="A3946" s="114" t="n"/>
      <c r="B3946" s="115" t="n"/>
      <c r="C3946" s="115" t="n"/>
      <c r="D3946" s="115" t="n"/>
      <c r="E3946" s="115" t="n"/>
      <c r="F3946" s="115" t="n"/>
      <c r="G3946" s="156" t="n"/>
      <c r="H3946" s="152" t="n"/>
      <c r="I3946" s="156" t="n"/>
      <c r="J3946" s="90" t="n"/>
      <c r="K3946" s="166" t="n"/>
      <c r="L3946" s="158" t="n"/>
      <c r="M3946" s="159" t="n"/>
    </row>
    <row r="3947">
      <c r="A3947" s="114" t="n"/>
      <c r="B3947" s="115" t="n"/>
      <c r="C3947" s="115" t="n"/>
      <c r="D3947" s="115" t="n"/>
      <c r="E3947" s="115" t="n"/>
      <c r="F3947" s="115" t="n"/>
      <c r="G3947" s="156" t="n"/>
      <c r="H3947" s="152" t="n"/>
      <c r="I3947" s="156" t="n"/>
      <c r="J3947" s="90" t="n"/>
      <c r="K3947" s="166" t="n"/>
      <c r="L3947" s="158" t="n"/>
      <c r="M3947" s="159" t="n"/>
    </row>
    <row r="3948">
      <c r="A3948" s="114" t="n"/>
      <c r="B3948" s="115" t="n"/>
      <c r="C3948" s="115" t="n"/>
      <c r="D3948" s="115" t="n"/>
      <c r="E3948" s="115" t="n"/>
      <c r="F3948" s="115" t="n"/>
      <c r="G3948" s="156" t="n"/>
      <c r="H3948" s="152" t="n"/>
      <c r="I3948" s="156" t="n"/>
      <c r="J3948" s="90" t="n"/>
      <c r="K3948" s="166" t="n"/>
      <c r="L3948" s="158" t="n"/>
      <c r="M3948" s="159" t="n"/>
    </row>
    <row r="3949">
      <c r="A3949" s="114" t="n"/>
      <c r="B3949" s="115" t="n"/>
      <c r="C3949" s="115" t="n"/>
      <c r="D3949" s="115" t="n"/>
      <c r="E3949" s="115" t="n"/>
      <c r="F3949" s="115" t="n"/>
      <c r="G3949" s="156" t="n"/>
      <c r="H3949" s="152" t="n"/>
      <c r="I3949" s="156" t="n"/>
      <c r="J3949" s="90" t="n"/>
      <c r="K3949" s="166" t="n"/>
      <c r="L3949" s="158" t="n"/>
      <c r="M3949" s="159" t="n"/>
    </row>
    <row r="3950">
      <c r="A3950" s="114" t="n"/>
      <c r="B3950" s="115" t="n"/>
      <c r="C3950" s="115" t="n"/>
      <c r="D3950" s="115" t="n"/>
      <c r="E3950" s="115" t="n"/>
      <c r="F3950" s="115" t="n"/>
      <c r="G3950" s="156" t="n"/>
      <c r="H3950" s="152" t="n"/>
      <c r="I3950" s="156" t="n"/>
      <c r="J3950" s="90" t="n"/>
      <c r="K3950" s="166" t="n"/>
      <c r="L3950" s="158" t="n"/>
      <c r="M3950" s="159" t="n"/>
    </row>
    <row r="3951">
      <c r="A3951" s="114" t="n"/>
      <c r="B3951" s="115" t="n"/>
      <c r="C3951" s="115" t="n"/>
      <c r="D3951" s="115" t="n"/>
      <c r="E3951" s="115" t="n"/>
      <c r="F3951" s="115" t="n"/>
      <c r="G3951" s="156" t="n"/>
      <c r="H3951" s="152" t="n"/>
      <c r="I3951" s="156" t="n"/>
      <c r="J3951" s="90" t="n"/>
      <c r="K3951" s="166" t="n"/>
      <c r="L3951" s="158" t="n"/>
      <c r="M3951" s="159" t="n"/>
    </row>
    <row r="3952">
      <c r="A3952" s="114" t="n"/>
      <c r="B3952" s="115" t="n"/>
      <c r="C3952" s="115" t="n"/>
      <c r="D3952" s="115" t="n"/>
      <c r="E3952" s="115" t="n"/>
      <c r="F3952" s="115" t="n"/>
      <c r="G3952" s="156" t="n"/>
      <c r="H3952" s="152" t="n"/>
      <c r="I3952" s="156" t="n"/>
      <c r="J3952" s="90" t="n"/>
      <c r="K3952" s="166" t="n"/>
      <c r="L3952" s="158" t="n"/>
      <c r="M3952" s="159" t="n"/>
    </row>
    <row r="3953">
      <c r="A3953" s="114" t="n"/>
      <c r="B3953" s="115" t="n"/>
      <c r="C3953" s="115" t="n"/>
      <c r="D3953" s="115" t="n"/>
      <c r="E3953" s="115" t="n"/>
      <c r="F3953" s="115" t="n"/>
      <c r="G3953" s="156" t="n"/>
      <c r="H3953" s="152" t="n"/>
      <c r="I3953" s="156" t="n"/>
      <c r="J3953" s="90" t="n"/>
      <c r="K3953" s="166" t="n"/>
      <c r="L3953" s="158" t="n"/>
      <c r="M3953" s="159" t="n"/>
    </row>
    <row r="3954">
      <c r="A3954" s="114" t="n"/>
      <c r="B3954" s="115" t="n"/>
      <c r="C3954" s="115" t="n"/>
      <c r="D3954" s="115" t="n"/>
      <c r="E3954" s="115" t="n"/>
      <c r="F3954" s="115" t="n"/>
      <c r="G3954" s="156" t="n"/>
      <c r="H3954" s="152" t="n"/>
      <c r="I3954" s="156" t="n"/>
      <c r="J3954" s="90" t="n"/>
      <c r="K3954" s="166" t="n"/>
      <c r="L3954" s="158" t="n"/>
      <c r="M3954" s="159" t="n"/>
    </row>
    <row r="3955">
      <c r="A3955" s="114" t="n"/>
      <c r="B3955" s="115" t="n"/>
      <c r="C3955" s="115" t="n"/>
      <c r="D3955" s="115" t="n"/>
      <c r="E3955" s="115" t="n"/>
      <c r="F3955" s="115" t="n"/>
      <c r="G3955" s="156" t="n"/>
      <c r="H3955" s="152" t="n"/>
      <c r="I3955" s="156" t="n"/>
      <c r="J3955" s="90" t="n"/>
      <c r="K3955" s="166" t="n"/>
      <c r="L3955" s="158" t="n"/>
      <c r="M3955" s="159" t="n"/>
    </row>
    <row r="3956">
      <c r="A3956" s="114" t="n"/>
      <c r="B3956" s="115" t="n"/>
      <c r="C3956" s="115" t="n"/>
      <c r="D3956" s="115" t="n"/>
      <c r="E3956" s="115" t="n"/>
      <c r="F3956" s="115" t="n"/>
      <c r="G3956" s="156" t="n"/>
      <c r="H3956" s="152" t="n"/>
      <c r="I3956" s="156" t="n"/>
      <c r="J3956" s="90" t="n"/>
      <c r="K3956" s="166" t="n"/>
      <c r="L3956" s="158" t="n"/>
      <c r="M3956" s="159" t="n"/>
    </row>
    <row r="3957">
      <c r="A3957" s="114" t="n"/>
      <c r="B3957" s="115" t="n"/>
      <c r="C3957" s="115" t="n"/>
      <c r="D3957" s="115" t="n"/>
      <c r="E3957" s="115" t="n"/>
      <c r="F3957" s="115" t="n"/>
      <c r="G3957" s="156" t="n"/>
      <c r="H3957" s="152" t="n"/>
      <c r="I3957" s="156" t="n"/>
      <c r="J3957" s="90" t="n"/>
      <c r="K3957" s="166" t="n"/>
      <c r="L3957" s="158" t="n"/>
      <c r="M3957" s="159" t="n"/>
    </row>
    <row r="3958">
      <c r="A3958" s="114" t="n"/>
      <c r="B3958" s="115" t="n"/>
      <c r="C3958" s="115" t="n"/>
      <c r="D3958" s="115" t="n"/>
      <c r="E3958" s="115" t="n"/>
      <c r="F3958" s="115" t="n"/>
      <c r="G3958" s="156" t="n"/>
      <c r="H3958" s="152" t="n"/>
      <c r="I3958" s="156" t="n"/>
      <c r="J3958" s="90" t="n"/>
      <c r="K3958" s="166" t="n"/>
      <c r="L3958" s="158" t="n"/>
      <c r="M3958" s="159" t="n"/>
    </row>
    <row r="3959">
      <c r="A3959" s="114" t="n"/>
      <c r="B3959" s="115" t="n"/>
      <c r="C3959" s="115" t="n"/>
      <c r="D3959" s="115" t="n"/>
      <c r="E3959" s="115" t="n"/>
      <c r="F3959" s="115" t="n"/>
      <c r="G3959" s="156" t="n"/>
      <c r="H3959" s="152" t="n"/>
      <c r="I3959" s="156" t="n"/>
      <c r="J3959" s="90" t="n"/>
      <c r="K3959" s="166" t="n"/>
      <c r="L3959" s="158" t="n"/>
      <c r="M3959" s="159" t="n"/>
    </row>
    <row r="3960">
      <c r="A3960" s="114" t="n"/>
      <c r="B3960" s="115" t="n"/>
      <c r="C3960" s="115" t="n"/>
      <c r="D3960" s="115" t="n"/>
      <c r="E3960" s="115" t="n"/>
      <c r="F3960" s="115" t="n"/>
      <c r="G3960" s="156" t="n"/>
      <c r="H3960" s="152" t="n"/>
      <c r="I3960" s="156" t="n"/>
      <c r="J3960" s="90" t="n"/>
      <c r="K3960" s="166" t="n"/>
      <c r="L3960" s="158" t="n"/>
      <c r="M3960" s="159" t="n"/>
    </row>
    <row r="3961">
      <c r="A3961" s="114" t="n"/>
      <c r="B3961" s="115" t="n"/>
      <c r="C3961" s="115" t="n"/>
      <c r="D3961" s="115" t="n"/>
      <c r="E3961" s="115" t="n"/>
      <c r="F3961" s="115" t="n"/>
      <c r="G3961" s="156" t="n"/>
      <c r="H3961" s="152" t="n"/>
      <c r="I3961" s="156" t="n"/>
      <c r="J3961" s="90" t="n"/>
      <c r="K3961" s="166" t="n"/>
      <c r="L3961" s="158" t="n"/>
      <c r="M3961" s="159" t="n"/>
    </row>
    <row r="3962">
      <c r="A3962" s="114" t="n"/>
      <c r="B3962" s="115" t="n"/>
      <c r="C3962" s="115" t="n"/>
      <c r="D3962" s="115" t="n"/>
      <c r="E3962" s="115" t="n"/>
      <c r="F3962" s="115" t="n"/>
      <c r="G3962" s="156" t="n"/>
      <c r="H3962" s="152" t="n"/>
      <c r="I3962" s="156" t="n"/>
      <c r="J3962" s="90" t="n"/>
      <c r="K3962" s="166" t="n"/>
      <c r="L3962" s="158" t="n"/>
      <c r="M3962" s="159" t="n"/>
    </row>
    <row r="3963">
      <c r="A3963" s="114" t="n"/>
      <c r="B3963" s="115" t="n"/>
      <c r="C3963" s="115" t="n"/>
      <c r="D3963" s="115" t="n"/>
      <c r="E3963" s="115" t="n"/>
      <c r="F3963" s="115" t="n"/>
      <c r="G3963" s="156" t="n"/>
      <c r="H3963" s="152" t="n"/>
      <c r="I3963" s="156" t="n"/>
      <c r="J3963" s="90" t="n"/>
      <c r="K3963" s="166" t="n"/>
      <c r="L3963" s="158" t="n"/>
      <c r="M3963" s="159" t="n"/>
    </row>
    <row r="3964">
      <c r="A3964" s="114" t="n"/>
      <c r="B3964" s="115" t="n"/>
      <c r="C3964" s="115" t="n"/>
      <c r="D3964" s="115" t="n"/>
      <c r="E3964" s="115" t="n"/>
      <c r="F3964" s="115" t="n"/>
      <c r="G3964" s="156" t="n"/>
      <c r="H3964" s="152" t="n"/>
      <c r="I3964" s="156" t="n"/>
      <c r="J3964" s="90" t="n"/>
      <c r="K3964" s="166" t="n"/>
      <c r="L3964" s="158" t="n"/>
      <c r="M3964" s="159" t="n"/>
    </row>
    <row r="3965">
      <c r="A3965" s="114" t="n"/>
      <c r="B3965" s="115" t="n"/>
      <c r="C3965" s="115" t="n"/>
      <c r="D3965" s="115" t="n"/>
      <c r="E3965" s="115" t="n"/>
      <c r="F3965" s="115" t="n"/>
      <c r="G3965" s="156" t="n"/>
      <c r="H3965" s="152" t="n"/>
      <c r="I3965" s="156" t="n"/>
      <c r="J3965" s="90" t="n"/>
      <c r="K3965" s="166" t="n"/>
      <c r="L3965" s="158" t="n"/>
      <c r="M3965" s="159" t="n"/>
    </row>
    <row r="3966">
      <c r="A3966" s="114" t="n"/>
      <c r="B3966" s="115" t="n"/>
      <c r="C3966" s="115" t="n"/>
      <c r="D3966" s="115" t="n"/>
      <c r="E3966" s="115" t="n"/>
      <c r="F3966" s="115" t="n"/>
      <c r="G3966" s="156" t="n"/>
      <c r="H3966" s="152" t="n"/>
      <c r="I3966" s="156" t="n"/>
      <c r="J3966" s="90" t="n"/>
      <c r="K3966" s="166" t="n"/>
      <c r="L3966" s="158" t="n"/>
      <c r="M3966" s="159" t="n"/>
    </row>
    <row r="3967">
      <c r="A3967" s="114" t="n"/>
      <c r="B3967" s="115" t="n"/>
      <c r="C3967" s="115" t="n"/>
      <c r="D3967" s="115" t="n"/>
      <c r="E3967" s="115" t="n"/>
      <c r="F3967" s="115" t="n"/>
      <c r="G3967" s="156" t="n"/>
      <c r="H3967" s="152" t="n"/>
      <c r="I3967" s="156" t="n"/>
      <c r="J3967" s="90" t="n"/>
      <c r="K3967" s="166" t="n"/>
      <c r="L3967" s="158" t="n"/>
      <c r="M3967" s="159" t="n"/>
    </row>
    <row r="3968">
      <c r="A3968" s="114" t="n"/>
      <c r="B3968" s="115" t="n"/>
      <c r="C3968" s="115" t="n"/>
      <c r="D3968" s="115" t="n"/>
      <c r="E3968" s="115" t="n"/>
      <c r="F3968" s="115" t="n"/>
      <c r="G3968" s="156" t="n"/>
      <c r="H3968" s="152" t="n"/>
      <c r="I3968" s="156" t="n"/>
      <c r="J3968" s="90" t="n"/>
      <c r="K3968" s="166" t="n"/>
      <c r="L3968" s="158" t="n"/>
      <c r="M3968" s="159" t="n"/>
    </row>
    <row r="3969">
      <c r="A3969" s="114" t="n"/>
      <c r="B3969" s="115" t="n"/>
      <c r="C3969" s="115" t="n"/>
      <c r="D3969" s="115" t="n"/>
      <c r="E3969" s="115" t="n"/>
      <c r="F3969" s="115" t="n"/>
      <c r="G3969" s="156" t="n"/>
      <c r="H3969" s="152" t="n"/>
      <c r="I3969" s="156" t="n"/>
      <c r="J3969" s="90" t="n"/>
      <c r="K3969" s="166" t="n"/>
      <c r="L3969" s="158" t="n"/>
      <c r="M3969" s="159" t="n"/>
    </row>
    <row r="3970">
      <c r="A3970" s="114" t="n"/>
      <c r="B3970" s="115" t="n"/>
      <c r="C3970" s="115" t="n"/>
      <c r="D3970" s="115" t="n"/>
      <c r="E3970" s="115" t="n"/>
      <c r="F3970" s="115" t="n"/>
      <c r="G3970" s="156" t="n"/>
      <c r="H3970" s="152" t="n"/>
      <c r="I3970" s="156" t="n"/>
      <c r="J3970" s="90" t="n"/>
      <c r="K3970" s="166" t="n"/>
      <c r="L3970" s="158" t="n"/>
      <c r="M3970" s="159" t="n"/>
    </row>
    <row r="3971">
      <c r="A3971" s="114" t="n"/>
      <c r="B3971" s="115" t="n"/>
      <c r="C3971" s="115" t="n"/>
      <c r="D3971" s="115" t="n"/>
      <c r="E3971" s="115" t="n"/>
      <c r="F3971" s="115" t="n"/>
      <c r="G3971" s="156" t="n"/>
      <c r="H3971" s="152" t="n"/>
      <c r="I3971" s="156" t="n"/>
      <c r="J3971" s="90" t="n"/>
      <c r="K3971" s="166" t="n"/>
      <c r="L3971" s="158" t="n"/>
      <c r="M3971" s="159" t="n"/>
    </row>
    <row r="3972">
      <c r="A3972" s="114" t="n"/>
      <c r="B3972" s="115" t="n"/>
      <c r="C3972" s="115" t="n"/>
      <c r="D3972" s="115" t="n"/>
      <c r="E3972" s="115" t="n"/>
      <c r="F3972" s="115" t="n"/>
      <c r="G3972" s="156" t="n"/>
      <c r="H3972" s="152" t="n"/>
      <c r="I3972" s="156" t="n"/>
      <c r="J3972" s="90" t="n"/>
      <c r="K3972" s="166" t="n"/>
      <c r="L3972" s="158" t="n"/>
      <c r="M3972" s="159" t="n"/>
    </row>
    <row r="3973">
      <c r="A3973" s="114" t="n"/>
      <c r="B3973" s="115" t="n"/>
      <c r="C3973" s="115" t="n"/>
      <c r="D3973" s="115" t="n"/>
      <c r="E3973" s="115" t="n"/>
      <c r="F3973" s="115" t="n"/>
      <c r="G3973" s="156" t="n"/>
      <c r="H3973" s="152" t="n"/>
      <c r="I3973" s="156" t="n"/>
      <c r="J3973" s="90" t="n"/>
      <c r="K3973" s="166" t="n"/>
      <c r="L3973" s="158" t="n"/>
      <c r="M3973" s="159" t="n"/>
    </row>
    <row r="3974">
      <c r="A3974" s="114" t="n"/>
      <c r="B3974" s="115" t="n"/>
      <c r="C3974" s="115" t="n"/>
      <c r="D3974" s="115" t="n"/>
      <c r="E3974" s="115" t="n"/>
      <c r="F3974" s="115" t="n"/>
      <c r="G3974" s="156" t="n"/>
      <c r="H3974" s="152" t="n"/>
      <c r="I3974" s="156" t="n"/>
      <c r="J3974" s="90" t="n"/>
      <c r="K3974" s="166" t="n"/>
      <c r="L3974" s="158" t="n"/>
      <c r="M3974" s="159" t="n"/>
    </row>
    <row r="3975">
      <c r="A3975" s="114" t="n"/>
      <c r="B3975" s="115" t="n"/>
      <c r="C3975" s="115" t="n"/>
      <c r="D3975" s="115" t="n"/>
      <c r="E3975" s="115" t="n"/>
      <c r="F3975" s="115" t="n"/>
      <c r="G3975" s="156" t="n"/>
      <c r="H3975" s="152" t="n"/>
      <c r="I3975" s="156" t="n"/>
      <c r="J3975" s="90" t="n"/>
      <c r="K3975" s="166" t="n"/>
      <c r="L3975" s="158" t="n"/>
      <c r="M3975" s="159" t="n"/>
    </row>
    <row r="3976">
      <c r="A3976" s="114" t="n"/>
      <c r="B3976" s="115" t="n"/>
      <c r="C3976" s="115" t="n"/>
      <c r="D3976" s="115" t="n"/>
      <c r="E3976" s="115" t="n"/>
      <c r="F3976" s="115" t="n"/>
      <c r="G3976" s="156" t="n"/>
      <c r="H3976" s="152" t="n"/>
      <c r="I3976" s="156" t="n"/>
      <c r="J3976" s="90" t="n"/>
      <c r="K3976" s="166" t="n"/>
      <c r="L3976" s="158" t="n"/>
      <c r="M3976" s="159" t="n"/>
    </row>
    <row r="3977">
      <c r="A3977" s="114" t="n"/>
      <c r="B3977" s="115" t="n"/>
      <c r="C3977" s="115" t="n"/>
      <c r="D3977" s="115" t="n"/>
      <c r="E3977" s="115" t="n"/>
      <c r="F3977" s="115" t="n"/>
      <c r="G3977" s="156" t="n"/>
      <c r="H3977" s="152" t="n"/>
      <c r="I3977" s="156" t="n"/>
      <c r="J3977" s="90" t="n"/>
      <c r="K3977" s="166" t="n"/>
      <c r="L3977" s="158" t="n"/>
      <c r="M3977" s="159" t="n"/>
    </row>
    <row r="3978">
      <c r="A3978" s="114" t="n"/>
      <c r="B3978" s="115" t="n"/>
      <c r="C3978" s="115" t="n"/>
      <c r="D3978" s="115" t="n"/>
      <c r="E3978" s="115" t="n"/>
      <c r="F3978" s="115" t="n"/>
      <c r="G3978" s="156" t="n"/>
      <c r="H3978" s="152" t="n"/>
      <c r="I3978" s="156" t="n"/>
      <c r="J3978" s="90" t="n"/>
      <c r="K3978" s="166" t="n"/>
      <c r="L3978" s="158" t="n"/>
      <c r="M3978" s="159" t="n"/>
    </row>
    <row r="3979">
      <c r="A3979" s="114" t="n"/>
      <c r="B3979" s="115" t="n"/>
      <c r="C3979" s="115" t="n"/>
      <c r="D3979" s="115" t="n"/>
      <c r="E3979" s="115" t="n"/>
      <c r="F3979" s="115" t="n"/>
      <c r="G3979" s="156" t="n"/>
      <c r="H3979" s="152" t="n"/>
      <c r="I3979" s="156" t="n"/>
      <c r="J3979" s="90" t="n"/>
      <c r="K3979" s="166" t="n"/>
      <c r="L3979" s="158" t="n"/>
      <c r="M3979" s="159" t="n"/>
    </row>
    <row r="3980">
      <c r="A3980" s="114" t="n"/>
      <c r="B3980" s="115" t="n"/>
      <c r="C3980" s="115" t="n"/>
      <c r="D3980" s="115" t="n"/>
      <c r="E3980" s="115" t="n"/>
      <c r="F3980" s="115" t="n"/>
      <c r="G3980" s="156" t="n"/>
      <c r="H3980" s="152" t="n"/>
      <c r="I3980" s="156" t="n"/>
      <c r="J3980" s="90" t="n"/>
      <c r="K3980" s="166" t="n"/>
      <c r="L3980" s="158" t="n"/>
      <c r="M3980" s="159" t="n"/>
    </row>
    <row r="3981">
      <c r="A3981" s="114" t="n"/>
      <c r="B3981" s="115" t="n"/>
      <c r="C3981" s="115" t="n"/>
      <c r="D3981" s="115" t="n"/>
      <c r="E3981" s="115" t="n"/>
      <c r="F3981" s="115" t="n"/>
      <c r="G3981" s="156" t="n"/>
      <c r="H3981" s="152" t="n"/>
      <c r="I3981" s="156" t="n"/>
      <c r="J3981" s="90" t="n"/>
      <c r="K3981" s="166" t="n"/>
      <c r="L3981" s="158" t="n"/>
      <c r="M3981" s="159" t="n"/>
    </row>
    <row r="3982">
      <c r="A3982" s="114" t="n"/>
      <c r="B3982" s="115" t="n"/>
      <c r="C3982" s="115" t="n"/>
      <c r="D3982" s="115" t="n"/>
      <c r="E3982" s="115" t="n"/>
      <c r="F3982" s="115" t="n"/>
      <c r="G3982" s="156" t="n"/>
      <c r="H3982" s="152" t="n"/>
      <c r="I3982" s="156" t="n"/>
      <c r="J3982" s="90" t="n"/>
      <c r="K3982" s="166" t="n"/>
      <c r="L3982" s="158" t="n"/>
      <c r="M3982" s="159" t="n"/>
    </row>
    <row r="3983">
      <c r="A3983" s="114" t="n"/>
      <c r="B3983" s="115" t="n"/>
      <c r="C3983" s="115" t="n"/>
      <c r="D3983" s="115" t="n"/>
      <c r="E3983" s="115" t="n"/>
      <c r="F3983" s="115" t="n"/>
      <c r="G3983" s="156" t="n"/>
      <c r="H3983" s="152" t="n"/>
      <c r="I3983" s="156" t="n"/>
      <c r="J3983" s="90" t="n"/>
      <c r="K3983" s="166" t="n"/>
      <c r="L3983" s="158" t="n"/>
      <c r="M3983" s="159" t="n"/>
    </row>
    <row r="3984">
      <c r="A3984" s="114" t="n"/>
      <c r="B3984" s="115" t="n"/>
      <c r="C3984" s="115" t="n"/>
      <c r="D3984" s="115" t="n"/>
      <c r="E3984" s="115" t="n"/>
      <c r="F3984" s="115" t="n"/>
      <c r="G3984" s="156" t="n"/>
      <c r="H3984" s="152" t="n"/>
      <c r="I3984" s="156" t="n"/>
      <c r="J3984" s="90" t="n"/>
      <c r="K3984" s="166" t="n"/>
      <c r="L3984" s="158" t="n"/>
      <c r="M3984" s="159" t="n"/>
    </row>
    <row r="3985">
      <c r="A3985" s="114" t="n"/>
      <c r="B3985" s="115" t="n"/>
      <c r="C3985" s="115" t="n"/>
      <c r="D3985" s="115" t="n"/>
      <c r="E3985" s="115" t="n"/>
      <c r="F3985" s="115" t="n"/>
      <c r="G3985" s="156" t="n"/>
      <c r="H3985" s="152" t="n"/>
      <c r="I3985" s="156" t="n"/>
      <c r="J3985" s="90" t="n"/>
      <c r="K3985" s="166" t="n"/>
      <c r="L3985" s="158" t="n"/>
      <c r="M3985" s="159" t="n"/>
    </row>
    <row r="3986">
      <c r="A3986" s="114" t="n"/>
      <c r="B3986" s="115" t="n"/>
      <c r="C3986" s="115" t="n"/>
      <c r="D3986" s="115" t="n"/>
      <c r="E3986" s="115" t="n"/>
      <c r="F3986" s="115" t="n"/>
      <c r="G3986" s="156" t="n"/>
      <c r="H3986" s="152" t="n"/>
      <c r="I3986" s="156" t="n"/>
      <c r="J3986" s="90" t="n"/>
      <c r="K3986" s="166" t="n"/>
      <c r="L3986" s="158" t="n"/>
      <c r="M3986" s="159" t="n"/>
    </row>
    <row r="3987">
      <c r="A3987" s="114" t="n"/>
      <c r="B3987" s="115" t="n"/>
      <c r="C3987" s="115" t="n"/>
      <c r="D3987" s="115" t="n"/>
      <c r="E3987" s="115" t="n"/>
      <c r="F3987" s="115" t="n"/>
      <c r="G3987" s="156" t="n"/>
      <c r="H3987" s="152" t="n"/>
      <c r="I3987" s="156" t="n"/>
      <c r="J3987" s="90" t="n"/>
      <c r="K3987" s="166" t="n"/>
      <c r="L3987" s="158" t="n"/>
      <c r="M3987" s="159" t="n"/>
    </row>
    <row r="3988">
      <c r="A3988" s="114" t="n"/>
      <c r="B3988" s="115" t="n"/>
      <c r="C3988" s="115" t="n"/>
      <c r="D3988" s="115" t="n"/>
      <c r="E3988" s="115" t="n"/>
      <c r="F3988" s="115" t="n"/>
      <c r="G3988" s="156" t="n"/>
      <c r="H3988" s="152" t="n"/>
      <c r="I3988" s="156" t="n"/>
      <c r="J3988" s="90" t="n"/>
      <c r="K3988" s="166" t="n"/>
      <c r="L3988" s="158" t="n"/>
      <c r="M3988" s="159" t="n"/>
    </row>
    <row r="3989">
      <c r="A3989" s="114" t="n"/>
      <c r="B3989" s="115" t="n"/>
      <c r="C3989" s="115" t="n"/>
      <c r="D3989" s="115" t="n"/>
      <c r="E3989" s="115" t="n"/>
      <c r="F3989" s="115" t="n"/>
      <c r="G3989" s="156" t="n"/>
      <c r="H3989" s="152" t="n"/>
      <c r="I3989" s="156" t="n"/>
      <c r="J3989" s="90" t="n"/>
      <c r="K3989" s="166" t="n"/>
      <c r="L3989" s="158" t="n"/>
      <c r="M3989" s="159" t="n"/>
    </row>
    <row r="3990">
      <c r="A3990" s="114" t="n"/>
      <c r="B3990" s="115" t="n"/>
      <c r="C3990" s="115" t="n"/>
      <c r="D3990" s="115" t="n"/>
      <c r="E3990" s="115" t="n"/>
      <c r="F3990" s="115" t="n"/>
      <c r="G3990" s="156" t="n"/>
      <c r="H3990" s="152" t="n"/>
      <c r="I3990" s="156" t="n"/>
      <c r="J3990" s="90" t="n"/>
      <c r="K3990" s="166" t="n"/>
      <c r="L3990" s="158" t="n"/>
      <c r="M3990" s="159" t="n"/>
    </row>
    <row r="3991">
      <c r="A3991" s="114" t="n"/>
      <c r="B3991" s="115" t="n"/>
      <c r="C3991" s="115" t="n"/>
      <c r="D3991" s="115" t="n"/>
      <c r="E3991" s="115" t="n"/>
      <c r="F3991" s="115" t="n"/>
      <c r="G3991" s="156" t="n"/>
      <c r="H3991" s="152" t="n"/>
      <c r="I3991" s="156" t="n"/>
      <c r="J3991" s="90" t="n"/>
      <c r="K3991" s="166" t="n"/>
      <c r="L3991" s="158" t="n"/>
      <c r="M3991" s="159" t="n"/>
    </row>
    <row r="3992">
      <c r="A3992" s="114" t="n"/>
      <c r="B3992" s="115" t="n"/>
      <c r="C3992" s="115" t="n"/>
      <c r="D3992" s="115" t="n"/>
      <c r="E3992" s="115" t="n"/>
      <c r="F3992" s="115" t="n"/>
      <c r="G3992" s="156" t="n"/>
      <c r="H3992" s="152" t="n"/>
      <c r="I3992" s="156" t="n"/>
      <c r="J3992" s="90" t="n"/>
      <c r="K3992" s="166" t="n"/>
      <c r="L3992" s="158" t="n"/>
      <c r="M3992" s="159" t="n"/>
    </row>
    <row r="3993">
      <c r="A3993" s="114" t="n"/>
      <c r="B3993" s="115" t="n"/>
      <c r="C3993" s="115" t="n"/>
      <c r="D3993" s="115" t="n"/>
      <c r="E3993" s="115" t="n"/>
      <c r="F3993" s="115" t="n"/>
      <c r="G3993" s="156" t="n"/>
      <c r="H3993" s="152" t="n"/>
      <c r="I3993" s="156" t="n"/>
      <c r="J3993" s="90" t="n"/>
      <c r="K3993" s="166" t="n"/>
      <c r="L3993" s="158" t="n"/>
      <c r="M3993" s="159" t="n"/>
    </row>
    <row r="3994">
      <c r="A3994" s="114" t="n"/>
      <c r="B3994" s="115" t="n"/>
      <c r="C3994" s="115" t="n"/>
      <c r="D3994" s="115" t="n"/>
      <c r="E3994" s="115" t="n"/>
      <c r="F3994" s="115" t="n"/>
      <c r="G3994" s="156" t="n"/>
      <c r="H3994" s="152" t="n"/>
      <c r="I3994" s="156" t="n"/>
      <c r="J3994" s="90" t="n"/>
      <c r="K3994" s="166" t="n"/>
      <c r="L3994" s="158" t="n"/>
      <c r="M3994" s="159" t="n"/>
    </row>
    <row r="3995">
      <c r="A3995" s="114" t="n"/>
      <c r="B3995" s="115" t="n"/>
      <c r="C3995" s="115" t="n"/>
      <c r="D3995" s="115" t="n"/>
      <c r="E3995" s="115" t="n"/>
      <c r="F3995" s="115" t="n"/>
      <c r="G3995" s="156" t="n"/>
      <c r="H3995" s="152" t="n"/>
      <c r="I3995" s="156" t="n"/>
      <c r="J3995" s="90" t="n"/>
      <c r="K3995" s="166" t="n"/>
      <c r="L3995" s="158" t="n"/>
      <c r="M3995" s="159" t="n"/>
    </row>
    <row r="3996">
      <c r="A3996" s="114" t="n"/>
      <c r="B3996" s="115" t="n"/>
      <c r="C3996" s="115" t="n"/>
      <c r="D3996" s="115" t="n"/>
      <c r="E3996" s="115" t="n"/>
      <c r="F3996" s="115" t="n"/>
      <c r="G3996" s="156" t="n"/>
      <c r="H3996" s="152" t="n"/>
      <c r="I3996" s="156" t="n"/>
      <c r="J3996" s="90" t="n"/>
      <c r="K3996" s="166" t="n"/>
      <c r="L3996" s="158" t="n"/>
      <c r="M3996" s="159" t="n"/>
    </row>
    <row r="3997">
      <c r="A3997" s="114" t="n"/>
      <c r="B3997" s="115" t="n"/>
      <c r="C3997" s="115" t="n"/>
      <c r="D3997" s="115" t="n"/>
      <c r="E3997" s="115" t="n"/>
      <c r="F3997" s="115" t="n"/>
      <c r="G3997" s="156" t="n"/>
      <c r="H3997" s="152" t="n"/>
      <c r="I3997" s="156" t="n"/>
      <c r="J3997" s="90" t="n"/>
      <c r="K3997" s="166" t="n"/>
      <c r="L3997" s="158" t="n"/>
      <c r="M3997" s="159" t="n"/>
    </row>
    <row r="3998">
      <c r="A3998" s="114" t="n"/>
      <c r="B3998" s="115" t="n"/>
      <c r="C3998" s="115" t="n"/>
      <c r="D3998" s="115" t="n"/>
      <c r="E3998" s="115" t="n"/>
      <c r="F3998" s="115" t="n"/>
      <c r="G3998" s="156" t="n"/>
      <c r="H3998" s="152" t="n"/>
      <c r="I3998" s="156" t="n"/>
      <c r="J3998" s="90" t="n"/>
      <c r="K3998" s="166" t="n"/>
      <c r="L3998" s="158" t="n"/>
      <c r="M3998" s="159" t="n"/>
    </row>
    <row r="3999">
      <c r="A3999" s="114" t="n"/>
      <c r="B3999" s="115" t="n"/>
      <c r="C3999" s="115" t="n"/>
      <c r="D3999" s="115" t="n"/>
      <c r="E3999" s="115" t="n"/>
      <c r="F3999" s="115" t="n"/>
      <c r="G3999" s="156" t="n"/>
      <c r="H3999" s="152" t="n"/>
      <c r="I3999" s="156" t="n"/>
      <c r="J3999" s="90" t="n"/>
      <c r="K3999" s="166" t="n"/>
      <c r="L3999" s="158" t="n"/>
      <c r="M3999" s="159" t="n"/>
    </row>
    <row r="4000">
      <c r="A4000" s="114" t="n"/>
      <c r="B4000" s="115" t="n"/>
      <c r="C4000" s="115" t="n"/>
      <c r="D4000" s="115" t="n"/>
      <c r="E4000" s="115" t="n"/>
      <c r="F4000" s="115" t="n"/>
      <c r="G4000" s="156" t="n"/>
      <c r="H4000" s="152" t="n"/>
      <c r="I4000" s="156" t="n"/>
      <c r="J4000" s="90" t="n"/>
      <c r="K4000" s="166" t="n"/>
      <c r="L4000" s="158" t="n"/>
      <c r="M4000" s="159" t="n"/>
    </row>
    <row r="4001">
      <c r="A4001" s="114" t="n"/>
      <c r="B4001" s="115" t="n"/>
      <c r="C4001" s="115" t="n"/>
      <c r="D4001" s="115" t="n"/>
      <c r="E4001" s="115" t="n"/>
      <c r="F4001" s="115" t="n"/>
      <c r="G4001" s="156" t="n"/>
      <c r="H4001" s="152" t="n"/>
      <c r="I4001" s="156" t="n"/>
      <c r="J4001" s="90" t="n"/>
      <c r="K4001" s="166" t="n"/>
      <c r="L4001" s="158" t="n"/>
      <c r="M4001" s="159" t="n"/>
    </row>
    <row r="4002">
      <c r="A4002" s="114" t="n"/>
      <c r="B4002" s="115" t="n"/>
      <c r="C4002" s="115" t="n"/>
      <c r="D4002" s="115" t="n"/>
      <c r="E4002" s="115" t="n"/>
      <c r="F4002" s="115" t="n"/>
      <c r="G4002" s="156" t="n"/>
      <c r="H4002" s="152" t="n"/>
      <c r="I4002" s="156" t="n"/>
      <c r="J4002" s="90" t="n"/>
      <c r="K4002" s="166" t="n"/>
      <c r="L4002" s="158" t="n"/>
      <c r="M4002" s="159" t="n"/>
    </row>
    <row r="4003">
      <c r="A4003" s="114" t="n"/>
      <c r="B4003" s="115" t="n"/>
      <c r="C4003" s="115" t="n"/>
      <c r="D4003" s="115" t="n"/>
      <c r="E4003" s="115" t="n"/>
      <c r="F4003" s="115" t="n"/>
      <c r="G4003" s="156" t="n"/>
      <c r="H4003" s="152" t="n"/>
      <c r="I4003" s="156" t="n"/>
      <c r="J4003" s="90" t="n"/>
      <c r="K4003" s="166" t="n"/>
      <c r="L4003" s="158" t="n"/>
      <c r="M4003" s="159" t="n"/>
    </row>
    <row r="4004">
      <c r="A4004" s="114" t="n"/>
      <c r="B4004" s="115" t="n"/>
      <c r="C4004" s="115" t="n"/>
      <c r="D4004" s="115" t="n"/>
      <c r="E4004" s="115" t="n"/>
      <c r="F4004" s="115" t="n"/>
      <c r="G4004" s="156" t="n"/>
      <c r="H4004" s="152" t="n"/>
      <c r="I4004" s="156" t="n"/>
      <c r="J4004" s="90" t="n"/>
      <c r="K4004" s="166" t="n"/>
      <c r="L4004" s="158" t="n"/>
      <c r="M4004" s="159" t="n"/>
    </row>
    <row r="4005">
      <c r="A4005" s="114" t="n"/>
      <c r="B4005" s="115" t="n"/>
      <c r="C4005" s="115" t="n"/>
      <c r="D4005" s="115" t="n"/>
      <c r="E4005" s="115" t="n"/>
      <c r="F4005" s="115" t="n"/>
      <c r="G4005" s="156" t="n"/>
      <c r="H4005" s="152" t="n"/>
      <c r="I4005" s="156" t="n"/>
      <c r="J4005" s="90" t="n"/>
      <c r="K4005" s="166" t="n"/>
      <c r="L4005" s="158" t="n"/>
      <c r="M4005" s="159" t="n"/>
    </row>
    <row r="4006">
      <c r="A4006" s="114" t="n"/>
      <c r="B4006" s="115" t="n"/>
      <c r="C4006" s="115" t="n"/>
      <c r="D4006" s="115" t="n"/>
      <c r="E4006" s="115" t="n"/>
      <c r="F4006" s="115" t="n"/>
      <c r="G4006" s="156" t="n"/>
      <c r="H4006" s="152" t="n"/>
      <c r="I4006" s="156" t="n"/>
      <c r="J4006" s="90" t="n"/>
      <c r="K4006" s="166" t="n"/>
      <c r="L4006" s="158" t="n"/>
      <c r="M4006" s="159" t="n"/>
    </row>
    <row r="4007">
      <c r="A4007" s="114" t="n"/>
      <c r="B4007" s="115" t="n"/>
      <c r="C4007" s="115" t="n"/>
      <c r="D4007" s="115" t="n"/>
      <c r="E4007" s="115" t="n"/>
      <c r="F4007" s="115" t="n"/>
      <c r="G4007" s="156" t="n"/>
      <c r="H4007" s="152" t="n"/>
      <c r="I4007" s="156" t="n"/>
      <c r="J4007" s="90" t="n"/>
      <c r="K4007" s="166" t="n"/>
      <c r="L4007" s="158" t="n"/>
      <c r="M4007" s="159" t="n"/>
    </row>
    <row r="4008">
      <c r="A4008" s="114" t="n"/>
      <c r="B4008" s="115" t="n"/>
      <c r="C4008" s="115" t="n"/>
      <c r="D4008" s="115" t="n"/>
      <c r="E4008" s="115" t="n"/>
      <c r="F4008" s="115" t="n"/>
      <c r="G4008" s="156" t="n"/>
      <c r="H4008" s="152" t="n"/>
      <c r="I4008" s="156" t="n"/>
      <c r="J4008" s="90" t="n"/>
      <c r="K4008" s="166" t="n"/>
      <c r="L4008" s="158" t="n"/>
      <c r="M4008" s="159" t="n"/>
    </row>
    <row r="4009">
      <c r="A4009" s="114" t="n"/>
      <c r="B4009" s="115" t="n"/>
      <c r="C4009" s="115" t="n"/>
      <c r="D4009" s="115" t="n"/>
      <c r="E4009" s="115" t="n"/>
      <c r="F4009" s="115" t="n"/>
      <c r="G4009" s="156" t="n"/>
      <c r="H4009" s="152" t="n"/>
      <c r="I4009" s="156" t="n"/>
      <c r="J4009" s="90" t="n"/>
      <c r="K4009" s="166" t="n"/>
      <c r="L4009" s="158" t="n"/>
      <c r="M4009" s="159" t="n"/>
    </row>
    <row r="4010">
      <c r="A4010" s="114" t="n"/>
      <c r="B4010" s="115" t="n"/>
      <c r="C4010" s="115" t="n"/>
      <c r="D4010" s="115" t="n"/>
      <c r="E4010" s="115" t="n"/>
      <c r="F4010" s="115" t="n"/>
      <c r="G4010" s="156" t="n"/>
      <c r="H4010" s="152" t="n"/>
      <c r="I4010" s="156" t="n"/>
      <c r="J4010" s="90" t="n"/>
      <c r="K4010" s="166" t="n"/>
      <c r="L4010" s="158" t="n"/>
      <c r="M4010" s="159" t="n"/>
    </row>
    <row r="4011">
      <c r="A4011" s="114" t="n"/>
      <c r="B4011" s="115" t="n"/>
      <c r="C4011" s="115" t="n"/>
      <c r="D4011" s="115" t="n"/>
      <c r="E4011" s="115" t="n"/>
      <c r="F4011" s="115" t="n"/>
      <c r="G4011" s="156" t="n"/>
      <c r="H4011" s="152" t="n"/>
      <c r="I4011" s="156" t="n"/>
      <c r="J4011" s="90" t="n"/>
      <c r="K4011" s="166" t="n"/>
      <c r="L4011" s="158" t="n"/>
      <c r="M4011" s="159" t="n"/>
    </row>
    <row r="4012">
      <c r="A4012" s="114" t="n"/>
      <c r="B4012" s="115" t="n"/>
      <c r="C4012" s="115" t="n"/>
      <c r="D4012" s="115" t="n"/>
      <c r="E4012" s="115" t="n"/>
      <c r="F4012" s="115" t="n"/>
      <c r="G4012" s="156" t="n"/>
      <c r="H4012" s="152" t="n"/>
      <c r="I4012" s="156" t="n"/>
      <c r="J4012" s="90" t="n"/>
      <c r="K4012" s="166" t="n"/>
      <c r="L4012" s="158" t="n"/>
      <c r="M4012" s="159" t="n"/>
    </row>
    <row r="4013">
      <c r="A4013" s="114" t="n"/>
      <c r="B4013" s="115" t="n"/>
      <c r="C4013" s="115" t="n"/>
      <c r="D4013" s="115" t="n"/>
      <c r="E4013" s="115" t="n"/>
      <c r="F4013" s="115" t="n"/>
      <c r="G4013" s="156" t="n"/>
      <c r="H4013" s="152" t="n"/>
      <c r="I4013" s="156" t="n"/>
      <c r="J4013" s="90" t="n"/>
      <c r="K4013" s="166" t="n"/>
      <c r="L4013" s="158" t="n"/>
      <c r="M4013" s="159" t="n"/>
    </row>
    <row r="4014">
      <c r="A4014" s="114" t="n"/>
      <c r="B4014" s="115" t="n"/>
      <c r="C4014" s="115" t="n"/>
      <c r="D4014" s="115" t="n"/>
      <c r="E4014" s="115" t="n"/>
      <c r="F4014" s="115" t="n"/>
      <c r="G4014" s="156" t="n"/>
      <c r="H4014" s="152" t="n"/>
      <c r="I4014" s="156" t="n"/>
      <c r="J4014" s="90" t="n"/>
      <c r="K4014" s="166" t="n"/>
      <c r="L4014" s="158" t="n"/>
      <c r="M4014" s="159" t="n"/>
    </row>
    <row r="4015">
      <c r="A4015" s="114" t="n"/>
      <c r="B4015" s="115" t="n"/>
      <c r="C4015" s="115" t="n"/>
      <c r="D4015" s="115" t="n"/>
      <c r="E4015" s="115" t="n"/>
      <c r="F4015" s="115" t="n"/>
      <c r="G4015" s="156" t="n"/>
      <c r="H4015" s="152" t="n"/>
      <c r="I4015" s="156" t="n"/>
      <c r="J4015" s="90" t="n"/>
      <c r="K4015" s="166" t="n"/>
      <c r="L4015" s="158" t="n"/>
      <c r="M4015" s="159" t="n"/>
    </row>
    <row r="4016">
      <c r="A4016" s="114" t="n"/>
      <c r="B4016" s="115" t="n"/>
      <c r="C4016" s="115" t="n"/>
      <c r="D4016" s="115" t="n"/>
      <c r="E4016" s="115" t="n"/>
      <c r="F4016" s="115" t="n"/>
      <c r="G4016" s="156" t="n"/>
      <c r="H4016" s="152" t="n"/>
      <c r="I4016" s="156" t="n"/>
      <c r="J4016" s="90" t="n"/>
      <c r="K4016" s="166" t="n"/>
      <c r="L4016" s="158" t="n"/>
      <c r="M4016" s="159" t="n"/>
    </row>
    <row r="4017">
      <c r="A4017" s="114" t="n"/>
      <c r="B4017" s="115" t="n"/>
      <c r="C4017" s="115" t="n"/>
      <c r="D4017" s="115" t="n"/>
      <c r="E4017" s="115" t="n"/>
      <c r="F4017" s="115" t="n"/>
      <c r="G4017" s="156" t="n"/>
      <c r="H4017" s="152" t="n"/>
      <c r="I4017" s="156" t="n"/>
      <c r="J4017" s="90" t="n"/>
      <c r="K4017" s="166" t="n"/>
      <c r="L4017" s="158" t="n"/>
      <c r="M4017" s="159" t="n"/>
    </row>
    <row r="4018">
      <c r="A4018" s="114" t="n"/>
      <c r="B4018" s="115" t="n"/>
      <c r="C4018" s="115" t="n"/>
      <c r="D4018" s="115" t="n"/>
      <c r="E4018" s="115" t="n"/>
      <c r="F4018" s="115" t="n"/>
      <c r="G4018" s="156" t="n"/>
      <c r="H4018" s="152" t="n"/>
      <c r="I4018" s="156" t="n"/>
      <c r="J4018" s="90" t="n"/>
      <c r="K4018" s="166" t="n"/>
      <c r="L4018" s="158" t="n"/>
      <c r="M4018" s="159" t="n"/>
    </row>
    <row r="4019">
      <c r="A4019" s="114" t="n"/>
      <c r="B4019" s="115" t="n"/>
      <c r="C4019" s="115" t="n"/>
      <c r="D4019" s="115" t="n"/>
      <c r="E4019" s="115" t="n"/>
      <c r="F4019" s="115" t="n"/>
      <c r="G4019" s="156" t="n"/>
      <c r="H4019" s="152" t="n"/>
      <c r="I4019" s="156" t="n"/>
      <c r="J4019" s="90" t="n"/>
      <c r="K4019" s="166" t="n"/>
      <c r="L4019" s="158" t="n"/>
      <c r="M4019" s="159" t="n"/>
    </row>
    <row r="4020">
      <c r="A4020" s="114" t="n"/>
      <c r="B4020" s="115" t="n"/>
      <c r="C4020" s="115" t="n"/>
      <c r="D4020" s="115" t="n"/>
      <c r="E4020" s="115" t="n"/>
      <c r="F4020" s="115" t="n"/>
      <c r="G4020" s="156" t="n"/>
      <c r="H4020" s="152" t="n"/>
      <c r="I4020" s="156" t="n"/>
      <c r="J4020" s="90" t="n"/>
      <c r="K4020" s="166" t="n"/>
      <c r="L4020" s="158" t="n"/>
      <c r="M4020" s="159" t="n"/>
    </row>
    <row r="4021">
      <c r="A4021" s="114" t="n"/>
      <c r="B4021" s="115" t="n"/>
      <c r="C4021" s="115" t="n"/>
      <c r="D4021" s="115" t="n"/>
      <c r="E4021" s="115" t="n"/>
      <c r="F4021" s="115" t="n"/>
      <c r="G4021" s="156" t="n"/>
      <c r="H4021" s="152" t="n"/>
      <c r="I4021" s="156" t="n"/>
      <c r="J4021" s="90" t="n"/>
      <c r="K4021" s="166" t="n"/>
      <c r="L4021" s="158" t="n"/>
      <c r="M4021" s="159" t="n"/>
    </row>
    <row r="4022">
      <c r="A4022" s="114" t="n"/>
      <c r="B4022" s="115" t="n"/>
      <c r="C4022" s="115" t="n"/>
      <c r="D4022" s="115" t="n"/>
      <c r="E4022" s="115" t="n"/>
      <c r="F4022" s="115" t="n"/>
      <c r="G4022" s="156" t="n"/>
      <c r="H4022" s="152" t="n"/>
      <c r="I4022" s="156" t="n"/>
      <c r="J4022" s="90" t="n"/>
      <c r="K4022" s="166" t="n"/>
      <c r="L4022" s="158" t="n"/>
      <c r="M4022" s="159" t="n"/>
    </row>
    <row r="4023">
      <c r="A4023" s="114" t="n"/>
      <c r="B4023" s="115" t="n"/>
      <c r="C4023" s="115" t="n"/>
      <c r="D4023" s="115" t="n"/>
      <c r="E4023" s="115" t="n"/>
      <c r="F4023" s="115" t="n"/>
      <c r="G4023" s="156" t="n"/>
      <c r="H4023" s="152" t="n"/>
      <c r="I4023" s="156" t="n"/>
      <c r="J4023" s="90" t="n"/>
      <c r="K4023" s="166" t="n"/>
      <c r="L4023" s="158" t="n"/>
      <c r="M4023" s="159" t="n"/>
    </row>
    <row r="4024">
      <c r="A4024" s="114" t="n"/>
      <c r="B4024" s="115" t="n"/>
      <c r="C4024" s="115" t="n"/>
      <c r="D4024" s="115" t="n"/>
      <c r="E4024" s="115" t="n"/>
      <c r="F4024" s="115" t="n"/>
      <c r="G4024" s="156" t="n"/>
      <c r="H4024" s="152" t="n"/>
      <c r="I4024" s="156" t="n"/>
      <c r="J4024" s="90" t="n"/>
      <c r="K4024" s="166" t="n"/>
      <c r="L4024" s="158" t="n"/>
      <c r="M4024" s="159" t="n"/>
    </row>
    <row r="4025">
      <c r="A4025" s="114" t="n"/>
      <c r="B4025" s="115" t="n"/>
      <c r="C4025" s="115" t="n"/>
      <c r="D4025" s="115" t="n"/>
      <c r="E4025" s="115" t="n"/>
      <c r="F4025" s="115" t="n"/>
      <c r="G4025" s="156" t="n"/>
      <c r="H4025" s="152" t="n"/>
      <c r="I4025" s="156" t="n"/>
      <c r="J4025" s="90" t="n"/>
      <c r="K4025" s="166" t="n"/>
      <c r="L4025" s="158" t="n"/>
      <c r="M4025" s="159" t="n"/>
    </row>
    <row r="4026">
      <c r="A4026" s="114" t="n"/>
      <c r="B4026" s="115" t="n"/>
      <c r="C4026" s="115" t="n"/>
      <c r="D4026" s="115" t="n"/>
      <c r="E4026" s="115" t="n"/>
      <c r="F4026" s="115" t="n"/>
      <c r="G4026" s="156" t="n"/>
      <c r="H4026" s="152" t="n"/>
      <c r="I4026" s="156" t="n"/>
      <c r="J4026" s="90" t="n"/>
      <c r="K4026" s="166" t="n"/>
      <c r="L4026" s="158" t="n"/>
      <c r="M4026" s="159" t="n"/>
    </row>
    <row r="4027">
      <c r="A4027" s="114" t="n"/>
      <c r="B4027" s="115" t="n"/>
      <c r="C4027" s="115" t="n"/>
      <c r="D4027" s="115" t="n"/>
      <c r="E4027" s="115" t="n"/>
      <c r="F4027" s="115" t="n"/>
      <c r="G4027" s="156" t="n"/>
      <c r="H4027" s="152" t="n"/>
      <c r="I4027" s="156" t="n"/>
      <c r="J4027" s="90" t="n"/>
      <c r="K4027" s="166" t="n"/>
      <c r="L4027" s="158" t="n"/>
      <c r="M4027" s="159" t="n"/>
    </row>
    <row r="4028">
      <c r="A4028" s="114" t="n"/>
      <c r="B4028" s="115" t="n"/>
      <c r="C4028" s="115" t="n"/>
      <c r="D4028" s="115" t="n"/>
      <c r="E4028" s="115" t="n"/>
      <c r="F4028" s="115" t="n"/>
      <c r="G4028" s="156" t="n"/>
      <c r="H4028" s="152" t="n"/>
      <c r="I4028" s="156" t="n"/>
      <c r="J4028" s="90" t="n"/>
      <c r="K4028" s="166" t="n"/>
      <c r="L4028" s="158" t="n"/>
      <c r="M4028" s="159" t="n"/>
    </row>
    <row r="4029">
      <c r="A4029" s="114" t="n"/>
      <c r="B4029" s="115" t="n"/>
      <c r="C4029" s="115" t="n"/>
      <c r="D4029" s="115" t="n"/>
      <c r="E4029" s="115" t="n"/>
      <c r="F4029" s="115" t="n"/>
      <c r="G4029" s="156" t="n"/>
      <c r="H4029" s="152" t="n"/>
      <c r="I4029" s="156" t="n"/>
      <c r="J4029" s="90" t="n"/>
      <c r="K4029" s="166" t="n"/>
      <c r="L4029" s="158" t="n"/>
      <c r="M4029" s="159" t="n"/>
    </row>
    <row r="4030">
      <c r="A4030" s="114" t="n"/>
      <c r="B4030" s="115" t="n"/>
      <c r="C4030" s="115" t="n"/>
      <c r="D4030" s="115" t="n"/>
      <c r="E4030" s="115" t="n"/>
      <c r="F4030" s="115" t="n"/>
      <c r="G4030" s="156" t="n"/>
      <c r="H4030" s="152" t="n"/>
      <c r="I4030" s="156" t="n"/>
      <c r="J4030" s="90" t="n"/>
      <c r="K4030" s="166" t="n"/>
      <c r="L4030" s="158" t="n"/>
      <c r="M4030" s="159" t="n"/>
    </row>
    <row r="4031">
      <c r="A4031" s="114" t="n"/>
      <c r="B4031" s="115" t="n"/>
      <c r="C4031" s="115" t="n"/>
      <c r="D4031" s="115" t="n"/>
      <c r="E4031" s="115" t="n"/>
      <c r="F4031" s="115" t="n"/>
      <c r="G4031" s="156" t="n"/>
      <c r="H4031" s="152" t="n"/>
      <c r="I4031" s="156" t="n"/>
      <c r="J4031" s="90" t="n"/>
      <c r="K4031" s="166" t="n"/>
      <c r="L4031" s="158" t="n"/>
      <c r="M4031" s="159" t="n"/>
    </row>
    <row r="4032">
      <c r="A4032" s="114" t="n"/>
      <c r="B4032" s="115" t="n"/>
      <c r="C4032" s="115" t="n"/>
      <c r="D4032" s="115" t="n"/>
      <c r="E4032" s="115" t="n"/>
      <c r="F4032" s="115" t="n"/>
      <c r="G4032" s="156" t="n"/>
      <c r="H4032" s="152" t="n"/>
      <c r="I4032" s="156" t="n"/>
      <c r="J4032" s="90" t="n"/>
      <c r="K4032" s="166" t="n"/>
      <c r="L4032" s="158" t="n"/>
      <c r="M4032" s="159" t="n"/>
    </row>
    <row r="4033">
      <c r="A4033" s="114" t="n"/>
      <c r="B4033" s="115" t="n"/>
      <c r="C4033" s="115" t="n"/>
      <c r="D4033" s="115" t="n"/>
      <c r="E4033" s="115" t="n"/>
      <c r="F4033" s="115" t="n"/>
      <c r="G4033" s="156" t="n"/>
      <c r="H4033" s="152" t="n"/>
      <c r="I4033" s="156" t="n"/>
      <c r="J4033" s="90" t="n"/>
      <c r="K4033" s="166" t="n"/>
      <c r="L4033" s="158" t="n"/>
      <c r="M4033" s="159" t="n"/>
    </row>
    <row r="4034">
      <c r="A4034" s="114" t="n"/>
      <c r="B4034" s="115" t="n"/>
      <c r="C4034" s="115" t="n"/>
      <c r="D4034" s="115" t="n"/>
      <c r="E4034" s="115" t="n"/>
      <c r="F4034" s="115" t="n"/>
      <c r="G4034" s="156" t="n"/>
      <c r="H4034" s="152" t="n"/>
      <c r="I4034" s="156" t="n"/>
      <c r="J4034" s="90" t="n"/>
      <c r="K4034" s="166" t="n"/>
      <c r="L4034" s="158" t="n"/>
      <c r="M4034" s="159" t="n"/>
    </row>
    <row r="4035">
      <c r="A4035" s="114" t="n"/>
      <c r="B4035" s="115" t="n"/>
      <c r="C4035" s="115" t="n"/>
      <c r="D4035" s="115" t="n"/>
      <c r="E4035" s="115" t="n"/>
      <c r="F4035" s="115" t="n"/>
      <c r="G4035" s="156" t="n"/>
      <c r="H4035" s="152" t="n"/>
      <c r="I4035" s="156" t="n"/>
      <c r="J4035" s="90" t="n"/>
      <c r="K4035" s="166" t="n"/>
      <c r="L4035" s="158" t="n"/>
      <c r="M4035" s="159" t="n"/>
    </row>
    <row r="4036">
      <c r="A4036" s="114" t="n"/>
      <c r="B4036" s="115" t="n"/>
      <c r="C4036" s="115" t="n"/>
      <c r="D4036" s="115" t="n"/>
      <c r="E4036" s="115" t="n"/>
      <c r="F4036" s="115" t="n"/>
      <c r="G4036" s="156" t="n"/>
      <c r="H4036" s="152" t="n"/>
      <c r="I4036" s="156" t="n"/>
      <c r="J4036" s="90" t="n"/>
      <c r="K4036" s="166" t="n"/>
      <c r="L4036" s="158" t="n"/>
      <c r="M4036" s="159" t="n"/>
    </row>
    <row r="4037">
      <c r="A4037" s="114" t="n"/>
      <c r="B4037" s="115" t="n"/>
      <c r="C4037" s="115" t="n"/>
      <c r="D4037" s="115" t="n"/>
      <c r="E4037" s="115" t="n"/>
      <c r="F4037" s="115" t="n"/>
      <c r="G4037" s="156" t="n"/>
      <c r="H4037" s="152" t="n"/>
      <c r="I4037" s="156" t="n"/>
      <c r="J4037" s="90" t="n"/>
      <c r="K4037" s="166" t="n"/>
      <c r="L4037" s="158" t="n"/>
      <c r="M4037" s="159" t="n"/>
    </row>
    <row r="4038">
      <c r="A4038" s="114" t="n"/>
      <c r="B4038" s="115" t="n"/>
      <c r="C4038" s="115" t="n"/>
      <c r="D4038" s="115" t="n"/>
      <c r="E4038" s="115" t="n"/>
      <c r="F4038" s="115" t="n"/>
      <c r="G4038" s="156" t="n"/>
      <c r="H4038" s="152" t="n"/>
      <c r="I4038" s="156" t="n"/>
      <c r="J4038" s="90" t="n"/>
      <c r="K4038" s="166" t="n"/>
      <c r="L4038" s="158" t="n"/>
      <c r="M4038" s="159" t="n"/>
    </row>
    <row r="4039">
      <c r="A4039" s="114" t="n"/>
      <c r="B4039" s="115" t="n"/>
      <c r="C4039" s="115" t="n"/>
      <c r="D4039" s="115" t="n"/>
      <c r="E4039" s="115" t="n"/>
      <c r="F4039" s="115" t="n"/>
      <c r="G4039" s="156" t="n"/>
      <c r="H4039" s="152" t="n"/>
      <c r="I4039" s="156" t="n"/>
      <c r="J4039" s="90" t="n"/>
      <c r="K4039" s="166" t="n"/>
      <c r="L4039" s="158" t="n"/>
      <c r="M4039" s="159" t="n"/>
    </row>
    <row r="4040">
      <c r="A4040" s="114" t="n"/>
      <c r="B4040" s="115" t="n"/>
      <c r="C4040" s="115" t="n"/>
      <c r="D4040" s="115" t="n"/>
      <c r="E4040" s="115" t="n"/>
      <c r="F4040" s="115" t="n"/>
      <c r="G4040" s="156" t="n"/>
      <c r="H4040" s="152" t="n"/>
      <c r="I4040" s="156" t="n"/>
      <c r="J4040" s="90" t="n"/>
      <c r="K4040" s="166" t="n"/>
      <c r="L4040" s="158" t="n"/>
      <c r="M4040" s="159" t="n"/>
    </row>
    <row r="4041">
      <c r="A4041" s="114" t="n"/>
      <c r="B4041" s="115" t="n"/>
      <c r="C4041" s="115" t="n"/>
      <c r="D4041" s="115" t="n"/>
      <c r="E4041" s="115" t="n"/>
      <c r="F4041" s="115" t="n"/>
      <c r="G4041" s="156" t="n"/>
      <c r="H4041" s="152" t="n"/>
      <c r="I4041" s="156" t="n"/>
      <c r="J4041" s="90" t="n"/>
      <c r="K4041" s="166" t="n"/>
      <c r="L4041" s="158" t="n"/>
      <c r="M4041" s="159" t="n"/>
    </row>
    <row r="4042">
      <c r="A4042" s="114" t="n"/>
      <c r="B4042" s="115" t="n"/>
      <c r="C4042" s="115" t="n"/>
      <c r="D4042" s="115" t="n"/>
      <c r="E4042" s="115" t="n"/>
      <c r="F4042" s="115" t="n"/>
      <c r="G4042" s="156" t="n"/>
      <c r="H4042" s="152" t="n"/>
      <c r="I4042" s="156" t="n"/>
      <c r="J4042" s="90" t="n"/>
      <c r="K4042" s="166" t="n"/>
      <c r="L4042" s="158" t="n"/>
      <c r="M4042" s="159" t="n"/>
    </row>
    <row r="4043">
      <c r="A4043" s="114" t="n"/>
      <c r="B4043" s="115" t="n"/>
      <c r="C4043" s="115" t="n"/>
      <c r="D4043" s="115" t="n"/>
      <c r="E4043" s="115" t="n"/>
      <c r="F4043" s="115" t="n"/>
      <c r="G4043" s="156" t="n"/>
      <c r="H4043" s="152" t="n"/>
      <c r="I4043" s="156" t="n"/>
      <c r="J4043" s="90" t="n"/>
      <c r="K4043" s="166" t="n"/>
      <c r="L4043" s="158" t="n"/>
      <c r="M4043" s="159" t="n"/>
    </row>
    <row r="4044">
      <c r="A4044" s="114" t="n"/>
      <c r="B4044" s="115" t="n"/>
      <c r="C4044" s="115" t="n"/>
      <c r="D4044" s="115" t="n"/>
      <c r="E4044" s="115" t="n"/>
      <c r="F4044" s="115" t="n"/>
      <c r="G4044" s="156" t="n"/>
      <c r="H4044" s="152" t="n"/>
      <c r="I4044" s="156" t="n"/>
      <c r="J4044" s="90" t="n"/>
      <c r="K4044" s="166" t="n"/>
      <c r="L4044" s="158" t="n"/>
      <c r="M4044" s="159" t="n"/>
    </row>
    <row r="4045">
      <c r="A4045" s="114" t="n"/>
      <c r="B4045" s="115" t="n"/>
      <c r="C4045" s="115" t="n"/>
      <c r="D4045" s="115" t="n"/>
      <c r="E4045" s="115" t="n"/>
      <c r="F4045" s="115" t="n"/>
      <c r="G4045" s="156" t="n"/>
      <c r="H4045" s="152" t="n"/>
      <c r="I4045" s="156" t="n"/>
      <c r="J4045" s="90" t="n"/>
      <c r="K4045" s="166" t="n"/>
      <c r="L4045" s="158" t="n"/>
      <c r="M4045" s="159" t="n"/>
    </row>
    <row r="4046">
      <c r="A4046" s="114" t="n"/>
      <c r="B4046" s="115" t="n"/>
      <c r="C4046" s="115" t="n"/>
      <c r="D4046" s="115" t="n"/>
      <c r="E4046" s="115" t="n"/>
      <c r="F4046" s="115" t="n"/>
      <c r="G4046" s="156" t="n"/>
      <c r="H4046" s="152" t="n"/>
      <c r="I4046" s="156" t="n"/>
      <c r="J4046" s="90" t="n"/>
      <c r="K4046" s="166" t="n"/>
      <c r="L4046" s="158" t="n"/>
      <c r="M4046" s="159" t="n"/>
    </row>
    <row r="4047">
      <c r="A4047" s="114" t="n"/>
      <c r="B4047" s="115" t="n"/>
      <c r="C4047" s="115" t="n"/>
      <c r="D4047" s="115" t="n"/>
      <c r="E4047" s="115" t="n"/>
      <c r="F4047" s="115" t="n"/>
      <c r="G4047" s="156" t="n"/>
      <c r="H4047" s="152" t="n"/>
      <c r="I4047" s="156" t="n"/>
      <c r="J4047" s="90" t="n"/>
      <c r="K4047" s="166" t="n"/>
      <c r="L4047" s="158" t="n"/>
      <c r="M4047" s="159" t="n"/>
    </row>
    <row r="4048">
      <c r="A4048" s="114" t="n"/>
      <c r="B4048" s="115" t="n"/>
      <c r="C4048" s="115" t="n"/>
      <c r="D4048" s="115" t="n"/>
      <c r="E4048" s="115" t="n"/>
      <c r="F4048" s="115" t="n"/>
      <c r="G4048" s="156" t="n"/>
      <c r="H4048" s="152" t="n"/>
      <c r="I4048" s="156" t="n"/>
      <c r="J4048" s="90" t="n"/>
      <c r="K4048" s="166" t="n"/>
      <c r="L4048" s="158" t="n"/>
      <c r="M4048" s="159" t="n"/>
    </row>
    <row r="4049">
      <c r="A4049" s="114" t="n"/>
      <c r="B4049" s="115" t="n"/>
      <c r="C4049" s="115" t="n"/>
      <c r="D4049" s="115" t="n"/>
      <c r="E4049" s="115" t="n"/>
      <c r="F4049" s="115" t="n"/>
      <c r="G4049" s="156" t="n"/>
      <c r="H4049" s="152" t="n"/>
      <c r="I4049" s="156" t="n"/>
      <c r="J4049" s="90" t="n"/>
      <c r="K4049" s="166" t="n"/>
      <c r="L4049" s="158" t="n"/>
      <c r="M4049" s="159" t="n"/>
    </row>
    <row r="4050">
      <c r="A4050" s="114" t="n"/>
      <c r="B4050" s="115" t="n"/>
      <c r="C4050" s="115" t="n"/>
      <c r="D4050" s="115" t="n"/>
      <c r="E4050" s="115" t="n"/>
      <c r="F4050" s="115" t="n"/>
      <c r="G4050" s="156" t="n"/>
      <c r="H4050" s="152" t="n"/>
      <c r="I4050" s="156" t="n"/>
      <c r="J4050" s="90" t="n"/>
      <c r="K4050" s="166" t="n"/>
      <c r="L4050" s="158" t="n"/>
      <c r="M4050" s="159" t="n"/>
    </row>
    <row r="4051">
      <c r="A4051" s="114" t="n"/>
      <c r="B4051" s="115" t="n"/>
      <c r="C4051" s="115" t="n"/>
      <c r="D4051" s="115" t="n"/>
      <c r="E4051" s="115" t="n"/>
      <c r="F4051" s="115" t="n"/>
      <c r="G4051" s="156" t="n"/>
      <c r="H4051" s="152" t="n"/>
      <c r="I4051" s="156" t="n"/>
      <c r="J4051" s="90" t="n"/>
      <c r="K4051" s="166" t="n"/>
      <c r="L4051" s="158" t="n"/>
      <c r="M4051" s="159" t="n"/>
    </row>
    <row r="4052">
      <c r="A4052" s="114" t="n"/>
      <c r="B4052" s="115" t="n"/>
      <c r="C4052" s="115" t="n"/>
      <c r="D4052" s="115" t="n"/>
      <c r="E4052" s="115" t="n"/>
      <c r="F4052" s="115" t="n"/>
      <c r="G4052" s="156" t="n"/>
      <c r="H4052" s="152" t="n"/>
      <c r="I4052" s="156" t="n"/>
      <c r="J4052" s="90" t="n"/>
      <c r="K4052" s="166" t="n"/>
      <c r="L4052" s="158" t="n"/>
      <c r="M4052" s="159" t="n"/>
    </row>
    <row r="4053">
      <c r="A4053" s="114" t="n"/>
      <c r="B4053" s="115" t="n"/>
      <c r="C4053" s="115" t="n"/>
      <c r="D4053" s="115" t="n"/>
      <c r="E4053" s="115" t="n"/>
      <c r="F4053" s="115" t="n"/>
      <c r="G4053" s="156" t="n"/>
      <c r="H4053" s="152" t="n"/>
      <c r="I4053" s="156" t="n"/>
      <c r="J4053" s="90" t="n"/>
      <c r="K4053" s="166" t="n"/>
      <c r="L4053" s="158" t="n"/>
      <c r="M4053" s="159" t="n"/>
    </row>
    <row r="4054">
      <c r="A4054" s="114" t="n"/>
      <c r="B4054" s="115" t="n"/>
      <c r="C4054" s="115" t="n"/>
      <c r="D4054" s="115" t="n"/>
      <c r="E4054" s="115" t="n"/>
      <c r="F4054" s="115" t="n"/>
      <c r="G4054" s="156" t="n"/>
      <c r="H4054" s="152" t="n"/>
      <c r="I4054" s="156" t="n"/>
      <c r="J4054" s="90" t="n"/>
      <c r="K4054" s="166" t="n"/>
      <c r="L4054" s="158" t="n"/>
      <c r="M4054" s="159" t="n"/>
    </row>
    <row r="4055">
      <c r="A4055" s="114" t="n"/>
      <c r="B4055" s="115" t="n"/>
      <c r="C4055" s="115" t="n"/>
      <c r="D4055" s="115" t="n"/>
      <c r="E4055" s="115" t="n"/>
      <c r="F4055" s="115" t="n"/>
      <c r="G4055" s="156" t="n"/>
      <c r="H4055" s="152" t="n"/>
      <c r="I4055" s="156" t="n"/>
      <c r="J4055" s="90" t="n"/>
      <c r="K4055" s="166" t="n"/>
      <c r="L4055" s="158" t="n"/>
      <c r="M4055" s="159" t="n"/>
    </row>
    <row r="4056">
      <c r="A4056" s="114" t="n"/>
      <c r="B4056" s="115" t="n"/>
      <c r="C4056" s="115" t="n"/>
      <c r="D4056" s="115" t="n"/>
      <c r="E4056" s="115" t="n"/>
      <c r="F4056" s="115" t="n"/>
      <c r="G4056" s="156" t="n"/>
      <c r="H4056" s="152" t="n"/>
      <c r="I4056" s="156" t="n"/>
      <c r="J4056" s="90" t="n"/>
      <c r="K4056" s="166" t="n"/>
      <c r="L4056" s="158" t="n"/>
      <c r="M4056" s="159" t="n"/>
    </row>
    <row r="4057">
      <c r="A4057" s="114" t="n"/>
      <c r="B4057" s="115" t="n"/>
      <c r="C4057" s="115" t="n"/>
      <c r="D4057" s="115" t="n"/>
      <c r="E4057" s="115" t="n"/>
      <c r="F4057" s="115" t="n"/>
      <c r="G4057" s="156" t="n"/>
      <c r="H4057" s="152" t="n"/>
      <c r="I4057" s="156" t="n"/>
      <c r="J4057" s="90" t="n"/>
      <c r="K4057" s="166" t="n"/>
      <c r="L4057" s="158" t="n"/>
      <c r="M4057" s="159" t="n"/>
    </row>
    <row r="4058">
      <c r="A4058" s="114" t="n"/>
      <c r="B4058" s="115" t="n"/>
      <c r="C4058" s="115" t="n"/>
      <c r="D4058" s="115" t="n"/>
      <c r="E4058" s="115" t="n"/>
      <c r="F4058" s="115" t="n"/>
      <c r="G4058" s="156" t="n"/>
      <c r="H4058" s="152" t="n"/>
      <c r="I4058" s="156" t="n"/>
      <c r="J4058" s="90" t="n"/>
      <c r="K4058" s="166" t="n"/>
      <c r="L4058" s="158" t="n"/>
      <c r="M4058" s="159" t="n"/>
    </row>
    <row r="4059">
      <c r="A4059" s="114" t="n"/>
      <c r="B4059" s="115" t="n"/>
      <c r="C4059" s="115" t="n"/>
      <c r="D4059" s="115" t="n"/>
      <c r="E4059" s="115" t="n"/>
      <c r="F4059" s="115" t="n"/>
      <c r="G4059" s="156" t="n"/>
      <c r="H4059" s="152" t="n"/>
      <c r="I4059" s="156" t="n"/>
      <c r="J4059" s="90" t="n"/>
      <c r="K4059" s="166" t="n"/>
      <c r="L4059" s="158" t="n"/>
      <c r="M4059" s="159" t="n"/>
    </row>
    <row r="4060">
      <c r="A4060" s="114" t="n"/>
      <c r="B4060" s="115" t="n"/>
      <c r="C4060" s="115" t="n"/>
      <c r="D4060" s="115" t="n"/>
      <c r="E4060" s="115" t="n"/>
      <c r="F4060" s="115" t="n"/>
      <c r="G4060" s="156" t="n"/>
      <c r="H4060" s="152" t="n"/>
      <c r="I4060" s="156" t="n"/>
      <c r="J4060" s="90" t="n"/>
      <c r="K4060" s="166" t="n"/>
      <c r="L4060" s="158" t="n"/>
      <c r="M4060" s="159" t="n"/>
    </row>
    <row r="4061">
      <c r="A4061" s="114" t="n"/>
      <c r="B4061" s="115" t="n"/>
      <c r="C4061" s="115" t="n"/>
      <c r="D4061" s="115" t="n"/>
      <c r="E4061" s="115" t="n"/>
      <c r="F4061" s="115" t="n"/>
      <c r="G4061" s="156" t="n"/>
      <c r="H4061" s="152" t="n"/>
      <c r="I4061" s="156" t="n"/>
      <c r="J4061" s="90" t="n"/>
      <c r="K4061" s="166" t="n"/>
      <c r="L4061" s="158" t="n"/>
      <c r="M4061" s="159" t="n"/>
    </row>
    <row r="4062">
      <c r="A4062" s="114" t="n"/>
      <c r="B4062" s="115" t="n"/>
      <c r="C4062" s="115" t="n"/>
      <c r="D4062" s="115" t="n"/>
      <c r="E4062" s="115" t="n"/>
      <c r="F4062" s="115" t="n"/>
      <c r="G4062" s="156" t="n"/>
      <c r="H4062" s="152" t="n"/>
      <c r="I4062" s="156" t="n"/>
      <c r="J4062" s="90" t="n"/>
      <c r="K4062" s="166" t="n"/>
      <c r="L4062" s="158" t="n"/>
      <c r="M4062" s="159" t="n"/>
    </row>
    <row r="4063">
      <c r="A4063" s="114" t="n"/>
      <c r="B4063" s="115" t="n"/>
      <c r="C4063" s="115" t="n"/>
      <c r="D4063" s="115" t="n"/>
      <c r="E4063" s="115" t="n"/>
      <c r="F4063" s="115" t="n"/>
      <c r="G4063" s="156" t="n"/>
      <c r="H4063" s="152" t="n"/>
      <c r="I4063" s="156" t="n"/>
      <c r="J4063" s="90" t="n"/>
      <c r="K4063" s="166" t="n"/>
      <c r="L4063" s="158" t="n"/>
      <c r="M4063" s="159" t="n"/>
    </row>
    <row r="4064">
      <c r="A4064" s="114" t="n"/>
      <c r="B4064" s="115" t="n"/>
      <c r="C4064" s="115" t="n"/>
      <c r="D4064" s="115" t="n"/>
      <c r="E4064" s="115" t="n"/>
      <c r="F4064" s="115" t="n"/>
      <c r="G4064" s="156" t="n"/>
      <c r="H4064" s="152" t="n"/>
      <c r="I4064" s="156" t="n"/>
      <c r="J4064" s="90" t="n"/>
      <c r="K4064" s="166" t="n"/>
      <c r="L4064" s="158" t="n"/>
      <c r="M4064" s="159" t="n"/>
    </row>
    <row r="4065">
      <c r="A4065" s="114" t="n"/>
      <c r="B4065" s="115" t="n"/>
      <c r="C4065" s="115" t="n"/>
      <c r="D4065" s="115" t="n"/>
      <c r="E4065" s="115" t="n"/>
      <c r="F4065" s="115" t="n"/>
      <c r="G4065" s="156" t="n"/>
      <c r="H4065" s="152" t="n"/>
      <c r="I4065" s="156" t="n"/>
      <c r="J4065" s="90" t="n"/>
      <c r="K4065" s="166" t="n"/>
      <c r="L4065" s="158" t="n"/>
      <c r="M4065" s="159" t="n"/>
    </row>
    <row r="4066">
      <c r="A4066" s="114" t="n"/>
      <c r="B4066" s="115" t="n"/>
      <c r="C4066" s="115" t="n"/>
      <c r="D4066" s="115" t="n"/>
      <c r="E4066" s="115" t="n"/>
      <c r="F4066" s="115" t="n"/>
      <c r="G4066" s="156" t="n"/>
      <c r="H4066" s="152" t="n"/>
      <c r="I4066" s="156" t="n"/>
      <c r="J4066" s="90" t="n"/>
      <c r="K4066" s="166" t="n"/>
      <c r="L4066" s="158" t="n"/>
      <c r="M4066" s="159" t="n"/>
    </row>
    <row r="4067">
      <c r="A4067" s="114" t="n"/>
      <c r="B4067" s="115" t="n"/>
      <c r="C4067" s="115" t="n"/>
      <c r="D4067" s="115" t="n"/>
      <c r="E4067" s="115" t="n"/>
      <c r="F4067" s="115" t="n"/>
      <c r="G4067" s="156" t="n"/>
      <c r="H4067" s="152" t="n"/>
      <c r="I4067" s="156" t="n"/>
      <c r="J4067" s="90" t="n"/>
      <c r="K4067" s="166" t="n"/>
      <c r="L4067" s="158" t="n"/>
      <c r="M4067" s="159" t="n"/>
    </row>
    <row r="4068">
      <c r="A4068" s="114" t="n"/>
      <c r="B4068" s="115" t="n"/>
      <c r="C4068" s="115" t="n"/>
      <c r="D4068" s="115" t="n"/>
      <c r="E4068" s="115" t="n"/>
      <c r="F4068" s="115" t="n"/>
      <c r="G4068" s="156" t="n"/>
      <c r="H4068" s="152" t="n"/>
      <c r="I4068" s="156" t="n"/>
      <c r="J4068" s="90" t="n"/>
      <c r="K4068" s="166" t="n"/>
      <c r="L4068" s="158" t="n"/>
      <c r="M4068" s="159" t="n"/>
    </row>
    <row r="4069">
      <c r="A4069" s="114" t="n"/>
      <c r="B4069" s="115" t="n"/>
      <c r="C4069" s="115" t="n"/>
      <c r="D4069" s="115" t="n"/>
      <c r="E4069" s="115" t="n"/>
      <c r="F4069" s="115" t="n"/>
      <c r="G4069" s="156" t="n"/>
      <c r="H4069" s="152" t="n"/>
      <c r="I4069" s="156" t="n"/>
      <c r="J4069" s="90" t="n"/>
      <c r="K4069" s="166" t="n"/>
      <c r="L4069" s="158" t="n"/>
      <c r="M4069" s="159" t="n"/>
    </row>
    <row r="4070">
      <c r="A4070" s="114" t="n"/>
      <c r="B4070" s="115" t="n"/>
      <c r="C4070" s="115" t="n"/>
      <c r="D4070" s="115" t="n"/>
      <c r="E4070" s="115" t="n"/>
      <c r="F4070" s="115" t="n"/>
      <c r="G4070" s="156" t="n"/>
      <c r="H4070" s="152" t="n"/>
      <c r="I4070" s="156" t="n"/>
      <c r="J4070" s="90" t="n"/>
      <c r="K4070" s="166" t="n"/>
      <c r="L4070" s="158" t="n"/>
      <c r="M4070" s="159" t="n"/>
    </row>
    <row r="4071">
      <c r="A4071" s="114" t="n"/>
      <c r="B4071" s="115" t="n"/>
      <c r="C4071" s="115" t="n"/>
      <c r="D4071" s="115" t="n"/>
      <c r="E4071" s="115" t="n"/>
      <c r="F4071" s="115" t="n"/>
      <c r="G4071" s="156" t="n"/>
      <c r="H4071" s="152" t="n"/>
      <c r="I4071" s="156" t="n"/>
      <c r="J4071" s="90" t="n"/>
      <c r="K4071" s="166" t="n"/>
      <c r="L4071" s="158" t="n"/>
      <c r="M4071" s="159" t="n"/>
    </row>
    <row r="4072">
      <c r="A4072" s="114" t="n"/>
      <c r="B4072" s="115" t="n"/>
      <c r="C4072" s="115" t="n"/>
      <c r="D4072" s="115" t="n"/>
      <c r="E4072" s="115" t="n"/>
      <c r="F4072" s="115" t="n"/>
      <c r="G4072" s="156" t="n"/>
      <c r="H4072" s="152" t="n"/>
      <c r="I4072" s="156" t="n"/>
      <c r="J4072" s="90" t="n"/>
      <c r="K4072" s="166" t="n"/>
      <c r="L4072" s="158" t="n"/>
      <c r="M4072" s="159" t="n"/>
    </row>
    <row r="4073">
      <c r="A4073" s="114" t="n"/>
      <c r="B4073" s="115" t="n"/>
      <c r="C4073" s="115" t="n"/>
      <c r="D4073" s="115" t="n"/>
      <c r="E4073" s="115" t="n"/>
      <c r="F4073" s="115" t="n"/>
      <c r="G4073" s="156" t="n"/>
      <c r="H4073" s="152" t="n"/>
      <c r="I4073" s="156" t="n"/>
      <c r="J4073" s="90" t="n"/>
      <c r="K4073" s="166" t="n"/>
      <c r="L4073" s="158" t="n"/>
      <c r="M4073" s="159" t="n"/>
    </row>
    <row r="4074">
      <c r="A4074" s="114" t="n"/>
      <c r="B4074" s="115" t="n"/>
      <c r="C4074" s="115" t="n"/>
      <c r="D4074" s="115" t="n"/>
      <c r="E4074" s="115" t="n"/>
      <c r="F4074" s="115" t="n"/>
      <c r="G4074" s="156" t="n"/>
      <c r="H4074" s="152" t="n"/>
      <c r="I4074" s="156" t="n"/>
      <c r="J4074" s="90" t="n"/>
      <c r="K4074" s="166" t="n"/>
      <c r="L4074" s="158" t="n"/>
      <c r="M4074" s="159" t="n"/>
    </row>
    <row r="4075">
      <c r="A4075" s="114" t="n"/>
      <c r="B4075" s="115" t="n"/>
      <c r="C4075" s="115" t="n"/>
      <c r="D4075" s="115" t="n"/>
      <c r="E4075" s="115" t="n"/>
      <c r="F4075" s="115" t="n"/>
      <c r="G4075" s="156" t="n"/>
      <c r="H4075" s="152" t="n"/>
      <c r="I4075" s="156" t="n"/>
      <c r="J4075" s="90" t="n"/>
      <c r="K4075" s="166" t="n"/>
      <c r="L4075" s="158" t="n"/>
      <c r="M4075" s="159" t="n"/>
    </row>
    <row r="4076">
      <c r="A4076" s="114" t="n"/>
      <c r="B4076" s="115" t="n"/>
      <c r="C4076" s="115" t="n"/>
      <c r="D4076" s="115" t="n"/>
      <c r="E4076" s="115" t="n"/>
      <c r="F4076" s="115" t="n"/>
      <c r="G4076" s="156" t="n"/>
      <c r="H4076" s="152" t="n"/>
      <c r="I4076" s="156" t="n"/>
      <c r="J4076" s="90" t="n"/>
      <c r="K4076" s="166" t="n"/>
      <c r="L4076" s="158" t="n"/>
      <c r="M4076" s="159" t="n"/>
    </row>
    <row r="4077">
      <c r="A4077" s="114" t="n"/>
      <c r="B4077" s="115" t="n"/>
      <c r="C4077" s="115" t="n"/>
      <c r="D4077" s="115" t="n"/>
      <c r="E4077" s="115" t="n"/>
      <c r="F4077" s="115" t="n"/>
      <c r="G4077" s="156" t="n"/>
      <c r="H4077" s="152" t="n"/>
      <c r="I4077" s="156" t="n"/>
      <c r="J4077" s="90" t="n"/>
      <c r="K4077" s="166" t="n"/>
      <c r="L4077" s="158" t="n"/>
      <c r="M4077" s="159" t="n"/>
    </row>
    <row r="4078">
      <c r="A4078" s="114" t="n"/>
      <c r="B4078" s="115" t="n"/>
      <c r="C4078" s="115" t="n"/>
      <c r="D4078" s="115" t="n"/>
      <c r="E4078" s="115" t="n"/>
      <c r="F4078" s="115" t="n"/>
      <c r="G4078" s="156" t="n"/>
      <c r="H4078" s="152" t="n"/>
      <c r="I4078" s="156" t="n"/>
      <c r="J4078" s="90" t="n"/>
      <c r="K4078" s="166" t="n"/>
      <c r="L4078" s="158" t="n"/>
      <c r="M4078" s="159" t="n"/>
    </row>
    <row r="4079">
      <c r="A4079" s="114" t="n"/>
      <c r="B4079" s="115" t="n"/>
      <c r="C4079" s="115" t="n"/>
      <c r="D4079" s="115" t="n"/>
      <c r="E4079" s="115" t="n"/>
      <c r="F4079" s="115" t="n"/>
      <c r="G4079" s="156" t="n"/>
      <c r="H4079" s="152" t="n"/>
      <c r="I4079" s="156" t="n"/>
      <c r="J4079" s="90" t="n"/>
      <c r="K4079" s="166" t="n"/>
      <c r="L4079" s="158" t="n"/>
      <c r="M4079" s="159" t="n"/>
    </row>
    <row r="4080">
      <c r="A4080" s="114" t="n"/>
      <c r="B4080" s="115" t="n"/>
      <c r="C4080" s="115" t="n"/>
      <c r="D4080" s="115" t="n"/>
      <c r="E4080" s="115" t="n"/>
      <c r="F4080" s="115" t="n"/>
      <c r="G4080" s="156" t="n"/>
      <c r="H4080" s="152" t="n"/>
      <c r="I4080" s="156" t="n"/>
      <c r="J4080" s="90" t="n"/>
      <c r="K4080" s="166" t="n"/>
      <c r="L4080" s="158" t="n"/>
      <c r="M4080" s="159" t="n"/>
    </row>
    <row r="4081">
      <c r="A4081" s="114" t="n"/>
      <c r="B4081" s="115" t="n"/>
      <c r="C4081" s="115" t="n"/>
      <c r="D4081" s="115" t="n"/>
      <c r="E4081" s="115" t="n"/>
      <c r="F4081" s="115" t="n"/>
      <c r="G4081" s="156" t="n"/>
      <c r="H4081" s="152" t="n"/>
      <c r="I4081" s="156" t="n"/>
      <c r="J4081" s="90" t="n"/>
      <c r="K4081" s="166" t="n"/>
      <c r="L4081" s="158" t="n"/>
      <c r="M4081" s="159" t="n"/>
    </row>
    <row r="4082">
      <c r="A4082" s="114" t="n"/>
      <c r="B4082" s="115" t="n"/>
      <c r="C4082" s="115" t="n"/>
      <c r="D4082" s="115" t="n"/>
      <c r="E4082" s="115" t="n"/>
      <c r="F4082" s="115" t="n"/>
      <c r="G4082" s="156" t="n"/>
      <c r="H4082" s="152" t="n"/>
      <c r="I4082" s="156" t="n"/>
      <c r="J4082" s="90" t="n"/>
      <c r="K4082" s="166" t="n"/>
      <c r="L4082" s="158" t="n"/>
      <c r="M4082" s="159" t="n"/>
    </row>
    <row r="4083">
      <c r="A4083" s="114" t="n"/>
      <c r="B4083" s="115" t="n"/>
      <c r="C4083" s="115" t="n"/>
      <c r="D4083" s="115" t="n"/>
      <c r="E4083" s="115" t="n"/>
      <c r="F4083" s="115" t="n"/>
      <c r="G4083" s="156" t="n"/>
      <c r="H4083" s="152" t="n"/>
      <c r="I4083" s="156" t="n"/>
      <c r="J4083" s="90" t="n"/>
      <c r="K4083" s="166" t="n"/>
      <c r="L4083" s="158" t="n"/>
      <c r="M4083" s="159" t="n"/>
    </row>
    <row r="4084">
      <c r="A4084" s="114" t="n"/>
      <c r="B4084" s="115" t="n"/>
      <c r="C4084" s="115" t="n"/>
      <c r="D4084" s="115" t="n"/>
      <c r="E4084" s="115" t="n"/>
      <c r="F4084" s="115" t="n"/>
      <c r="G4084" s="156" t="n"/>
      <c r="H4084" s="152" t="n"/>
      <c r="I4084" s="156" t="n"/>
      <c r="J4084" s="90" t="n"/>
      <c r="K4084" s="166" t="n"/>
      <c r="L4084" s="158" t="n"/>
      <c r="M4084" s="159" t="n"/>
    </row>
    <row r="4085">
      <c r="A4085" s="114" t="n"/>
      <c r="B4085" s="115" t="n"/>
      <c r="C4085" s="115" t="n"/>
      <c r="D4085" s="115" t="n"/>
      <c r="E4085" s="115" t="n"/>
      <c r="F4085" s="115" t="n"/>
      <c r="G4085" s="156" t="n"/>
      <c r="H4085" s="152" t="n"/>
      <c r="I4085" s="156" t="n"/>
      <c r="J4085" s="90" t="n"/>
      <c r="K4085" s="166" t="n"/>
      <c r="L4085" s="158" t="n"/>
      <c r="M4085" s="159" t="n"/>
    </row>
    <row r="4086">
      <c r="A4086" s="114" t="n"/>
      <c r="B4086" s="115" t="n"/>
      <c r="C4086" s="115" t="n"/>
      <c r="D4086" s="115" t="n"/>
      <c r="E4086" s="115" t="n"/>
      <c r="F4086" s="115" t="n"/>
      <c r="G4086" s="156" t="n"/>
      <c r="H4086" s="152" t="n"/>
      <c r="I4086" s="156" t="n"/>
      <c r="J4086" s="90" t="n"/>
      <c r="K4086" s="166" t="n"/>
      <c r="L4086" s="158" t="n"/>
      <c r="M4086" s="159" t="n"/>
    </row>
    <row r="4087">
      <c r="A4087" s="114" t="n"/>
      <c r="B4087" s="115" t="n"/>
      <c r="C4087" s="115" t="n"/>
      <c r="D4087" s="115" t="n"/>
      <c r="E4087" s="115" t="n"/>
      <c r="F4087" s="115" t="n"/>
      <c r="G4087" s="156" t="n"/>
      <c r="H4087" s="152" t="n"/>
      <c r="I4087" s="156" t="n"/>
      <c r="J4087" s="90" t="n"/>
      <c r="K4087" s="166" t="n"/>
      <c r="L4087" s="158" t="n"/>
      <c r="M4087" s="159" t="n"/>
    </row>
    <row r="4088">
      <c r="A4088" s="114" t="n"/>
      <c r="B4088" s="115" t="n"/>
      <c r="C4088" s="115" t="n"/>
      <c r="D4088" s="115" t="n"/>
      <c r="E4088" s="115" t="n"/>
      <c r="F4088" s="115" t="n"/>
      <c r="G4088" s="156" t="n"/>
      <c r="H4088" s="152" t="n"/>
      <c r="I4088" s="156" t="n"/>
      <c r="J4088" s="90" t="n"/>
      <c r="K4088" s="166" t="n"/>
      <c r="L4088" s="158" t="n"/>
      <c r="M4088" s="159" t="n"/>
    </row>
    <row r="4089">
      <c r="A4089" s="114" t="n"/>
      <c r="B4089" s="115" t="n"/>
      <c r="C4089" s="115" t="n"/>
      <c r="D4089" s="115" t="n"/>
      <c r="E4089" s="115" t="n"/>
      <c r="F4089" s="115" t="n"/>
      <c r="G4089" s="156" t="n"/>
      <c r="H4089" s="152" t="n"/>
      <c r="I4089" s="156" t="n"/>
      <c r="J4089" s="90" t="n"/>
      <c r="K4089" s="166" t="n"/>
      <c r="L4089" s="158" t="n"/>
      <c r="M4089" s="159" t="n"/>
    </row>
    <row r="4090">
      <c r="A4090" s="114" t="n"/>
      <c r="B4090" s="115" t="n"/>
      <c r="C4090" s="115" t="n"/>
      <c r="D4090" s="115" t="n"/>
      <c r="E4090" s="115" t="n"/>
      <c r="F4090" s="115" t="n"/>
      <c r="G4090" s="156" t="n"/>
      <c r="H4090" s="152" t="n"/>
      <c r="I4090" s="156" t="n"/>
      <c r="J4090" s="90" t="n"/>
      <c r="K4090" s="166" t="n"/>
      <c r="L4090" s="158" t="n"/>
      <c r="M4090" s="159" t="n"/>
    </row>
    <row r="4091">
      <c r="A4091" s="114" t="n"/>
      <c r="B4091" s="115" t="n"/>
      <c r="C4091" s="115" t="n"/>
      <c r="D4091" s="115" t="n"/>
      <c r="E4091" s="115" t="n"/>
      <c r="F4091" s="115" t="n"/>
      <c r="G4091" s="156" t="n"/>
      <c r="H4091" s="152" t="n"/>
      <c r="I4091" s="156" t="n"/>
      <c r="J4091" s="90" t="n"/>
      <c r="K4091" s="166" t="n"/>
      <c r="L4091" s="158" t="n"/>
      <c r="M4091" s="159" t="n"/>
    </row>
    <row r="4092">
      <c r="A4092" s="114" t="n"/>
      <c r="B4092" s="115" t="n"/>
      <c r="C4092" s="115" t="n"/>
      <c r="D4092" s="115" t="n"/>
      <c r="E4092" s="115" t="n"/>
      <c r="F4092" s="115" t="n"/>
      <c r="G4092" s="156" t="n"/>
      <c r="H4092" s="152" t="n"/>
      <c r="I4092" s="156" t="n"/>
      <c r="J4092" s="90" t="n"/>
      <c r="K4092" s="166" t="n"/>
      <c r="L4092" s="158" t="n"/>
      <c r="M4092" s="159" t="n"/>
    </row>
    <row r="4093">
      <c r="A4093" s="114" t="n"/>
      <c r="B4093" s="115" t="n"/>
      <c r="C4093" s="115" t="n"/>
      <c r="D4093" s="115" t="n"/>
      <c r="E4093" s="115" t="n"/>
      <c r="F4093" s="115" t="n"/>
      <c r="G4093" s="156" t="n"/>
      <c r="H4093" s="152" t="n"/>
      <c r="I4093" s="156" t="n"/>
      <c r="J4093" s="90" t="n"/>
      <c r="K4093" s="166" t="n"/>
      <c r="L4093" s="158" t="n"/>
      <c r="M4093" s="159" t="n"/>
    </row>
    <row r="4094">
      <c r="A4094" s="114" t="n"/>
      <c r="B4094" s="115" t="n"/>
      <c r="C4094" s="115" t="n"/>
      <c r="D4094" s="115" t="n"/>
      <c r="E4094" s="115" t="n"/>
      <c r="F4094" s="115" t="n"/>
      <c r="G4094" s="156" t="n"/>
      <c r="H4094" s="152" t="n"/>
      <c r="I4094" s="156" t="n"/>
      <c r="J4094" s="90" t="n"/>
      <c r="K4094" s="166" t="n"/>
      <c r="L4094" s="158" t="n"/>
      <c r="M4094" s="159" t="n"/>
    </row>
    <row r="4095">
      <c r="A4095" s="114" t="n"/>
      <c r="B4095" s="115" t="n"/>
      <c r="C4095" s="115" t="n"/>
      <c r="D4095" s="115" t="n"/>
      <c r="E4095" s="115" t="n"/>
      <c r="F4095" s="115" t="n"/>
      <c r="G4095" s="156" t="n"/>
      <c r="H4095" s="152" t="n"/>
      <c r="I4095" s="156" t="n"/>
      <c r="J4095" s="90" t="n"/>
      <c r="K4095" s="166" t="n"/>
      <c r="L4095" s="158" t="n"/>
      <c r="M4095" s="159" t="n"/>
    </row>
    <row r="4096">
      <c r="A4096" s="114" t="n"/>
      <c r="B4096" s="115" t="n"/>
      <c r="C4096" s="115" t="n"/>
      <c r="D4096" s="115" t="n"/>
      <c r="E4096" s="115" t="n"/>
      <c r="F4096" s="115" t="n"/>
      <c r="G4096" s="156" t="n"/>
      <c r="H4096" s="152" t="n"/>
      <c r="I4096" s="156" t="n"/>
      <c r="J4096" s="90" t="n"/>
      <c r="K4096" s="166" t="n"/>
      <c r="L4096" s="158" t="n"/>
      <c r="M4096" s="159" t="n"/>
    </row>
    <row r="4097">
      <c r="A4097" s="114" t="n"/>
      <c r="B4097" s="115" t="n"/>
      <c r="C4097" s="115" t="n"/>
      <c r="D4097" s="115" t="n"/>
      <c r="E4097" s="115" t="n"/>
      <c r="F4097" s="115" t="n"/>
      <c r="G4097" s="156" t="n"/>
      <c r="H4097" s="152" t="n"/>
      <c r="I4097" s="156" t="n"/>
      <c r="J4097" s="90" t="n"/>
      <c r="K4097" s="166" t="n"/>
      <c r="L4097" s="158" t="n"/>
      <c r="M4097" s="159" t="n"/>
    </row>
    <row r="4098">
      <c r="A4098" s="114" t="n"/>
      <c r="B4098" s="115" t="n"/>
      <c r="C4098" s="115" t="n"/>
      <c r="D4098" s="115" t="n"/>
      <c r="E4098" s="115" t="n"/>
      <c r="F4098" s="115" t="n"/>
      <c r="G4098" s="156" t="n"/>
      <c r="H4098" s="152" t="n"/>
      <c r="I4098" s="156" t="n"/>
      <c r="J4098" s="90" t="n"/>
      <c r="K4098" s="166" t="n"/>
      <c r="L4098" s="158" t="n"/>
      <c r="M4098" s="159" t="n"/>
    </row>
    <row r="4099">
      <c r="A4099" s="114" t="n"/>
      <c r="B4099" s="115" t="n"/>
      <c r="C4099" s="115" t="n"/>
      <c r="D4099" s="115" t="n"/>
      <c r="E4099" s="115" t="n"/>
      <c r="F4099" s="115" t="n"/>
      <c r="G4099" s="156" t="n"/>
      <c r="H4099" s="152" t="n"/>
      <c r="I4099" s="156" t="n"/>
      <c r="J4099" s="90" t="n"/>
      <c r="K4099" s="166" t="n"/>
      <c r="L4099" s="158" t="n"/>
      <c r="M4099" s="159" t="n"/>
    </row>
    <row r="4100">
      <c r="A4100" s="114" t="n"/>
      <c r="B4100" s="115" t="n"/>
      <c r="C4100" s="115" t="n"/>
      <c r="D4100" s="115" t="n"/>
      <c r="E4100" s="115" t="n"/>
      <c r="F4100" s="115" t="n"/>
      <c r="G4100" s="156" t="n"/>
      <c r="H4100" s="152" t="n"/>
      <c r="I4100" s="156" t="n"/>
      <c r="J4100" s="90" t="n"/>
      <c r="K4100" s="166" t="n"/>
      <c r="L4100" s="158" t="n"/>
      <c r="M4100" s="159" t="n"/>
    </row>
    <row r="4101">
      <c r="A4101" s="114" t="n"/>
      <c r="B4101" s="115" t="n"/>
      <c r="C4101" s="115" t="n"/>
      <c r="D4101" s="115" t="n"/>
      <c r="E4101" s="115" t="n"/>
      <c r="F4101" s="115" t="n"/>
      <c r="G4101" s="156" t="n"/>
      <c r="H4101" s="152" t="n"/>
      <c r="I4101" s="156" t="n"/>
      <c r="J4101" s="90" t="n"/>
      <c r="K4101" s="166" t="n"/>
      <c r="L4101" s="158" t="n"/>
      <c r="M4101" s="159" t="n"/>
    </row>
    <row r="4102">
      <c r="A4102" s="114" t="n"/>
      <c r="B4102" s="115" t="n"/>
      <c r="C4102" s="115" t="n"/>
      <c r="D4102" s="115" t="n"/>
      <c r="E4102" s="115" t="n"/>
      <c r="F4102" s="115" t="n"/>
      <c r="G4102" s="156" t="n"/>
      <c r="H4102" s="152" t="n"/>
      <c r="I4102" s="156" t="n"/>
      <c r="J4102" s="90" t="n"/>
      <c r="K4102" s="166" t="n"/>
      <c r="L4102" s="158" t="n"/>
      <c r="M4102" s="159" t="n"/>
    </row>
    <row r="4103">
      <c r="A4103" s="114" t="n"/>
      <c r="B4103" s="115" t="n"/>
      <c r="C4103" s="115" t="n"/>
      <c r="D4103" s="115" t="n"/>
      <c r="E4103" s="115" t="n"/>
      <c r="F4103" s="115" t="n"/>
      <c r="G4103" s="156" t="n"/>
      <c r="H4103" s="152" t="n"/>
      <c r="I4103" s="156" t="n"/>
      <c r="J4103" s="90" t="n"/>
      <c r="K4103" s="166" t="n"/>
      <c r="L4103" s="158" t="n"/>
      <c r="M4103" s="159" t="n"/>
    </row>
    <row r="4104">
      <c r="A4104" s="114" t="n"/>
      <c r="B4104" s="115" t="n"/>
      <c r="C4104" s="115" t="n"/>
      <c r="D4104" s="115" t="n"/>
      <c r="E4104" s="115" t="n"/>
      <c r="F4104" s="115" t="n"/>
      <c r="G4104" s="156" t="n"/>
      <c r="H4104" s="152" t="n"/>
      <c r="I4104" s="156" t="n"/>
      <c r="J4104" s="90" t="n"/>
      <c r="K4104" s="166" t="n"/>
      <c r="L4104" s="158" t="n"/>
      <c r="M4104" s="159" t="n"/>
    </row>
    <row r="4105">
      <c r="A4105" s="114" t="n"/>
      <c r="B4105" s="115" t="n"/>
      <c r="C4105" s="115" t="n"/>
      <c r="D4105" s="115" t="n"/>
      <c r="E4105" s="115" t="n"/>
      <c r="F4105" s="115" t="n"/>
      <c r="G4105" s="156" t="n"/>
      <c r="H4105" s="152" t="n"/>
      <c r="I4105" s="156" t="n"/>
      <c r="J4105" s="90" t="n"/>
      <c r="K4105" s="166" t="n"/>
      <c r="L4105" s="158" t="n"/>
      <c r="M4105" s="159" t="n"/>
    </row>
    <row r="4106">
      <c r="A4106" s="114" t="n"/>
      <c r="B4106" s="115" t="n"/>
      <c r="C4106" s="115" t="n"/>
      <c r="D4106" s="115" t="n"/>
      <c r="E4106" s="115" t="n"/>
      <c r="F4106" s="115" t="n"/>
      <c r="G4106" s="156" t="n"/>
      <c r="H4106" s="152" t="n"/>
      <c r="I4106" s="156" t="n"/>
      <c r="J4106" s="90" t="n"/>
      <c r="K4106" s="166" t="n"/>
      <c r="L4106" s="158" t="n"/>
      <c r="M4106" s="159" t="n"/>
    </row>
    <row r="4107">
      <c r="A4107" s="114" t="n"/>
      <c r="B4107" s="115" t="n"/>
      <c r="C4107" s="115" t="n"/>
      <c r="D4107" s="115" t="n"/>
      <c r="E4107" s="115" t="n"/>
      <c r="F4107" s="115" t="n"/>
      <c r="G4107" s="156" t="n"/>
      <c r="H4107" s="152" t="n"/>
      <c r="I4107" s="156" t="n"/>
      <c r="J4107" s="90" t="n"/>
      <c r="K4107" s="166" t="n"/>
      <c r="L4107" s="158" t="n"/>
      <c r="M4107" s="159" t="n"/>
    </row>
    <row r="4108">
      <c r="A4108" s="114" t="n"/>
      <c r="B4108" s="115" t="n"/>
      <c r="C4108" s="115" t="n"/>
      <c r="D4108" s="115" t="n"/>
      <c r="E4108" s="115" t="n"/>
      <c r="F4108" s="115" t="n"/>
      <c r="G4108" s="156" t="n"/>
      <c r="H4108" s="152" t="n"/>
      <c r="I4108" s="156" t="n"/>
      <c r="J4108" s="90" t="n"/>
      <c r="K4108" s="166" t="n"/>
      <c r="L4108" s="158" t="n"/>
      <c r="M4108" s="159" t="n"/>
    </row>
    <row r="4109">
      <c r="A4109" s="114" t="n"/>
      <c r="B4109" s="115" t="n"/>
      <c r="C4109" s="115" t="n"/>
      <c r="D4109" s="115" t="n"/>
      <c r="E4109" s="115" t="n"/>
      <c r="F4109" s="115" t="n"/>
      <c r="G4109" s="156" t="n"/>
      <c r="H4109" s="152" t="n"/>
      <c r="I4109" s="156" t="n"/>
      <c r="J4109" s="90" t="n"/>
      <c r="K4109" s="166" t="n"/>
      <c r="L4109" s="158" t="n"/>
      <c r="M4109" s="159" t="n"/>
    </row>
    <row r="4110">
      <c r="A4110" s="114" t="n"/>
      <c r="B4110" s="115" t="n"/>
      <c r="C4110" s="115" t="n"/>
      <c r="D4110" s="115" t="n"/>
      <c r="E4110" s="115" t="n"/>
      <c r="F4110" s="115" t="n"/>
      <c r="G4110" s="156" t="n"/>
      <c r="H4110" s="152" t="n"/>
      <c r="I4110" s="156" t="n"/>
      <c r="J4110" s="90" t="n"/>
      <c r="K4110" s="166" t="n"/>
      <c r="L4110" s="158" t="n"/>
      <c r="M4110" s="159" t="n"/>
    </row>
    <row r="4111">
      <c r="A4111" s="114" t="n"/>
      <c r="B4111" s="115" t="n"/>
      <c r="C4111" s="115" t="n"/>
      <c r="D4111" s="115" t="n"/>
      <c r="E4111" s="115" t="n"/>
      <c r="F4111" s="115" t="n"/>
      <c r="G4111" s="156" t="n"/>
      <c r="H4111" s="152" t="n"/>
      <c r="I4111" s="156" t="n"/>
      <c r="J4111" s="90" t="n"/>
      <c r="K4111" s="166" t="n"/>
      <c r="L4111" s="158" t="n"/>
      <c r="M4111" s="159" t="n"/>
    </row>
    <row r="4112">
      <c r="A4112" s="114" t="n"/>
      <c r="B4112" s="115" t="n"/>
      <c r="C4112" s="115" t="n"/>
      <c r="D4112" s="115" t="n"/>
      <c r="E4112" s="115" t="n"/>
      <c r="F4112" s="115" t="n"/>
      <c r="G4112" s="156" t="n"/>
      <c r="H4112" s="152" t="n"/>
      <c r="I4112" s="156" t="n"/>
      <c r="J4112" s="90" t="n"/>
      <c r="K4112" s="166" t="n"/>
      <c r="L4112" s="158" t="n"/>
      <c r="M4112" s="159" t="n"/>
    </row>
    <row r="4113">
      <c r="A4113" s="114" t="n"/>
      <c r="B4113" s="115" t="n"/>
      <c r="C4113" s="115" t="n"/>
      <c r="D4113" s="115" t="n"/>
      <c r="E4113" s="115" t="n"/>
      <c r="F4113" s="115" t="n"/>
      <c r="G4113" s="156" t="n"/>
      <c r="H4113" s="152" t="n"/>
      <c r="I4113" s="156" t="n"/>
      <c r="J4113" s="90" t="n"/>
      <c r="K4113" s="166" t="n"/>
      <c r="L4113" s="158" t="n"/>
      <c r="M4113" s="159" t="n"/>
    </row>
    <row r="4114">
      <c r="A4114" s="114" t="n"/>
      <c r="B4114" s="115" t="n"/>
      <c r="C4114" s="115" t="n"/>
      <c r="D4114" s="115" t="n"/>
      <c r="E4114" s="115" t="n"/>
      <c r="F4114" s="115" t="n"/>
      <c r="G4114" s="156" t="n"/>
      <c r="H4114" s="152" t="n"/>
      <c r="I4114" s="156" t="n"/>
      <c r="J4114" s="90" t="n"/>
      <c r="K4114" s="166" t="n"/>
      <c r="L4114" s="158" t="n"/>
      <c r="M4114" s="159" t="n"/>
    </row>
    <row r="4115">
      <c r="A4115" s="114" t="n"/>
      <c r="B4115" s="115" t="n"/>
      <c r="C4115" s="115" t="n"/>
      <c r="D4115" s="115" t="n"/>
      <c r="E4115" s="115" t="n"/>
      <c r="F4115" s="115" t="n"/>
      <c r="G4115" s="156" t="n"/>
      <c r="H4115" s="152" t="n"/>
      <c r="I4115" s="156" t="n"/>
      <c r="J4115" s="90" t="n"/>
      <c r="K4115" s="166" t="n"/>
      <c r="L4115" s="158" t="n"/>
      <c r="M4115" s="159" t="n"/>
    </row>
    <row r="4116">
      <c r="A4116" s="114" t="n"/>
      <c r="B4116" s="115" t="n"/>
      <c r="C4116" s="115" t="n"/>
      <c r="D4116" s="115" t="n"/>
      <c r="E4116" s="115" t="n"/>
      <c r="F4116" s="115" t="n"/>
      <c r="G4116" s="156" t="n"/>
      <c r="H4116" s="152" t="n"/>
      <c r="I4116" s="156" t="n"/>
      <c r="J4116" s="90" t="n"/>
      <c r="K4116" s="166" t="n"/>
      <c r="L4116" s="158" t="n"/>
      <c r="M4116" s="159" t="n"/>
    </row>
    <row r="4117">
      <c r="A4117" s="114" t="n"/>
      <c r="B4117" s="115" t="n"/>
      <c r="C4117" s="115" t="n"/>
      <c r="D4117" s="115" t="n"/>
      <c r="E4117" s="115" t="n"/>
      <c r="F4117" s="115" t="n"/>
      <c r="G4117" s="156" t="n"/>
      <c r="H4117" s="152" t="n"/>
      <c r="I4117" s="156" t="n"/>
      <c r="J4117" s="90" t="n"/>
      <c r="K4117" s="166" t="n"/>
      <c r="L4117" s="158" t="n"/>
      <c r="M4117" s="159" t="n"/>
    </row>
    <row r="4118">
      <c r="A4118" s="114" t="n"/>
      <c r="B4118" s="115" t="n"/>
      <c r="C4118" s="115" t="n"/>
      <c r="D4118" s="115" t="n"/>
      <c r="E4118" s="115" t="n"/>
      <c r="F4118" s="115" t="n"/>
      <c r="G4118" s="156" t="n"/>
      <c r="H4118" s="152" t="n"/>
      <c r="I4118" s="156" t="n"/>
      <c r="J4118" s="90" t="n"/>
      <c r="K4118" s="166" t="n"/>
      <c r="L4118" s="158" t="n"/>
      <c r="M4118" s="159" t="n"/>
    </row>
    <row r="4119">
      <c r="A4119" s="114" t="n"/>
      <c r="B4119" s="115" t="n"/>
      <c r="C4119" s="115" t="n"/>
      <c r="D4119" s="115" t="n"/>
      <c r="E4119" s="115" t="n"/>
      <c r="F4119" s="115" t="n"/>
      <c r="G4119" s="156" t="n"/>
      <c r="H4119" s="152" t="n"/>
      <c r="I4119" s="156" t="n"/>
      <c r="J4119" s="90" t="n"/>
      <c r="K4119" s="166" t="n"/>
      <c r="L4119" s="158" t="n"/>
      <c r="M4119" s="159" t="n"/>
    </row>
    <row r="4120">
      <c r="A4120" s="114" t="n"/>
      <c r="B4120" s="115" t="n"/>
      <c r="C4120" s="115" t="n"/>
      <c r="D4120" s="115" t="n"/>
      <c r="E4120" s="115" t="n"/>
      <c r="F4120" s="115" t="n"/>
      <c r="G4120" s="156" t="n"/>
      <c r="H4120" s="152" t="n"/>
      <c r="I4120" s="156" t="n"/>
      <c r="J4120" s="90" t="n"/>
      <c r="K4120" s="166" t="n"/>
      <c r="L4120" s="158" t="n"/>
      <c r="M4120" s="159" t="n"/>
    </row>
    <row r="4121">
      <c r="A4121" s="114" t="n"/>
      <c r="B4121" s="115" t="n"/>
      <c r="C4121" s="115" t="n"/>
      <c r="D4121" s="115" t="n"/>
      <c r="E4121" s="115" t="n"/>
      <c r="F4121" s="115" t="n"/>
      <c r="G4121" s="156" t="n"/>
      <c r="H4121" s="152" t="n"/>
      <c r="I4121" s="156" t="n"/>
      <c r="J4121" s="90" t="n"/>
      <c r="K4121" s="166" t="n"/>
      <c r="L4121" s="158" t="n"/>
      <c r="M4121" s="159" t="n"/>
    </row>
    <row r="4122">
      <c r="A4122" s="114" t="n"/>
      <c r="B4122" s="115" t="n"/>
      <c r="C4122" s="115" t="n"/>
      <c r="D4122" s="115" t="n"/>
      <c r="E4122" s="115" t="n"/>
      <c r="F4122" s="115" t="n"/>
      <c r="G4122" s="156" t="n"/>
      <c r="H4122" s="152" t="n"/>
      <c r="I4122" s="156" t="n"/>
      <c r="J4122" s="90" t="n"/>
      <c r="K4122" s="166" t="n"/>
      <c r="L4122" s="158" t="n"/>
      <c r="M4122" s="159" t="n"/>
    </row>
    <row r="4123">
      <c r="A4123" s="114" t="n"/>
      <c r="B4123" s="115" t="n"/>
      <c r="C4123" s="115" t="n"/>
      <c r="D4123" s="115" t="n"/>
      <c r="E4123" s="115" t="n"/>
      <c r="F4123" s="115" t="n"/>
      <c r="G4123" s="156" t="n"/>
      <c r="H4123" s="152" t="n"/>
      <c r="I4123" s="156" t="n"/>
      <c r="J4123" s="90" t="n"/>
      <c r="K4123" s="166" t="n"/>
      <c r="L4123" s="158" t="n"/>
      <c r="M4123" s="159" t="n"/>
    </row>
    <row r="4124">
      <c r="A4124" s="114" t="n"/>
      <c r="B4124" s="115" t="n"/>
      <c r="C4124" s="115" t="n"/>
      <c r="D4124" s="115" t="n"/>
      <c r="E4124" s="115" t="n"/>
      <c r="F4124" s="115" t="n"/>
      <c r="G4124" s="156" t="n"/>
      <c r="H4124" s="152" t="n"/>
      <c r="I4124" s="156" t="n"/>
      <c r="J4124" s="90" t="n"/>
      <c r="K4124" s="166" t="n"/>
      <c r="L4124" s="158" t="n"/>
      <c r="M4124" s="159" t="n"/>
    </row>
    <row r="4125">
      <c r="A4125" s="114" t="n"/>
      <c r="B4125" s="115" t="n"/>
      <c r="C4125" s="115" t="n"/>
      <c r="D4125" s="115" t="n"/>
      <c r="E4125" s="115" t="n"/>
      <c r="F4125" s="115" t="n"/>
      <c r="G4125" s="156" t="n"/>
      <c r="H4125" s="152" t="n"/>
      <c r="I4125" s="156" t="n"/>
      <c r="J4125" s="90" t="n"/>
      <c r="K4125" s="166" t="n"/>
      <c r="L4125" s="158" t="n"/>
      <c r="M4125" s="159" t="n"/>
    </row>
    <row r="4126">
      <c r="A4126" s="114" t="n"/>
      <c r="B4126" s="115" t="n"/>
      <c r="C4126" s="115" t="n"/>
      <c r="D4126" s="115" t="n"/>
      <c r="E4126" s="115" t="n"/>
      <c r="F4126" s="115" t="n"/>
      <c r="G4126" s="156" t="n"/>
      <c r="H4126" s="152" t="n"/>
      <c r="I4126" s="156" t="n"/>
      <c r="J4126" s="90" t="n"/>
      <c r="K4126" s="166" t="n"/>
      <c r="L4126" s="158" t="n"/>
      <c r="M4126" s="159" t="n"/>
    </row>
    <row r="4127">
      <c r="A4127" s="114" t="n"/>
      <c r="B4127" s="115" t="n"/>
      <c r="C4127" s="115" t="n"/>
      <c r="D4127" s="115" t="n"/>
      <c r="E4127" s="115" t="n"/>
      <c r="F4127" s="115" t="n"/>
      <c r="G4127" s="156" t="n"/>
      <c r="H4127" s="152" t="n"/>
      <c r="I4127" s="156" t="n"/>
      <c r="J4127" s="90" t="n"/>
      <c r="K4127" s="166" t="n"/>
      <c r="L4127" s="158" t="n"/>
      <c r="M4127" s="159" t="n"/>
    </row>
    <row r="4128">
      <c r="A4128" s="114" t="n"/>
      <c r="B4128" s="115" t="n"/>
      <c r="C4128" s="115" t="n"/>
      <c r="D4128" s="115" t="n"/>
      <c r="E4128" s="115" t="n"/>
      <c r="F4128" s="115" t="n"/>
      <c r="G4128" s="156" t="n"/>
      <c r="H4128" s="152" t="n"/>
      <c r="I4128" s="156" t="n"/>
      <c r="J4128" s="90" t="n"/>
      <c r="K4128" s="166" t="n"/>
      <c r="L4128" s="158" t="n"/>
      <c r="M4128" s="159" t="n"/>
    </row>
    <row r="4129">
      <c r="A4129" s="114" t="n"/>
      <c r="B4129" s="115" t="n"/>
      <c r="C4129" s="115" t="n"/>
      <c r="D4129" s="115" t="n"/>
      <c r="E4129" s="115" t="n"/>
      <c r="F4129" s="115" t="n"/>
      <c r="G4129" s="156" t="n"/>
      <c r="H4129" s="152" t="n"/>
      <c r="I4129" s="156" t="n"/>
      <c r="J4129" s="90" t="n"/>
      <c r="K4129" s="166" t="n"/>
      <c r="L4129" s="158" t="n"/>
      <c r="M4129" s="159" t="n"/>
    </row>
    <row r="4130">
      <c r="A4130" s="114" t="n"/>
      <c r="B4130" s="115" t="n"/>
      <c r="C4130" s="115" t="n"/>
      <c r="D4130" s="115" t="n"/>
      <c r="E4130" s="115" t="n"/>
      <c r="F4130" s="115" t="n"/>
      <c r="G4130" s="156" t="n"/>
      <c r="H4130" s="152" t="n"/>
      <c r="I4130" s="156" t="n"/>
      <c r="J4130" s="90" t="n"/>
      <c r="K4130" s="166" t="n"/>
      <c r="L4130" s="158" t="n"/>
      <c r="M4130" s="159" t="n"/>
    </row>
    <row r="4131">
      <c r="A4131" s="114" t="n"/>
      <c r="B4131" s="115" t="n"/>
      <c r="C4131" s="115" t="n"/>
      <c r="D4131" s="115" t="n"/>
      <c r="E4131" s="115" t="n"/>
      <c r="F4131" s="115" t="n"/>
      <c r="G4131" s="156" t="n"/>
      <c r="H4131" s="152" t="n"/>
      <c r="I4131" s="156" t="n"/>
      <c r="J4131" s="90" t="n"/>
      <c r="K4131" s="166" t="n"/>
      <c r="L4131" s="158" t="n"/>
      <c r="M4131" s="159" t="n"/>
    </row>
    <row r="4132">
      <c r="A4132" s="114" t="n"/>
      <c r="B4132" s="115" t="n"/>
      <c r="C4132" s="115" t="n"/>
      <c r="D4132" s="115" t="n"/>
      <c r="E4132" s="115" t="n"/>
      <c r="F4132" s="115" t="n"/>
      <c r="G4132" s="156" t="n"/>
      <c r="H4132" s="152" t="n"/>
      <c r="I4132" s="156" t="n"/>
      <c r="J4132" s="90" t="n"/>
      <c r="K4132" s="166" t="n"/>
      <c r="L4132" s="158" t="n"/>
      <c r="M4132" s="159" t="n"/>
    </row>
    <row r="4133">
      <c r="A4133" s="114" t="n"/>
      <c r="B4133" s="115" t="n"/>
      <c r="C4133" s="115" t="n"/>
      <c r="D4133" s="115" t="n"/>
      <c r="E4133" s="115" t="n"/>
      <c r="F4133" s="115" t="n"/>
      <c r="G4133" s="156" t="n"/>
      <c r="H4133" s="152" t="n"/>
      <c r="I4133" s="156" t="n"/>
      <c r="J4133" s="90" t="n"/>
      <c r="K4133" s="166" t="n"/>
      <c r="L4133" s="158" t="n"/>
      <c r="M4133" s="159" t="n"/>
    </row>
    <row r="4134">
      <c r="A4134" s="114" t="n"/>
      <c r="B4134" s="115" t="n"/>
      <c r="C4134" s="115" t="n"/>
      <c r="D4134" s="115" t="n"/>
      <c r="E4134" s="115" t="n"/>
      <c r="F4134" s="115" t="n"/>
      <c r="G4134" s="156" t="n"/>
      <c r="H4134" s="152" t="n"/>
      <c r="I4134" s="156" t="n"/>
      <c r="J4134" s="90" t="n"/>
      <c r="K4134" s="166" t="n"/>
      <c r="L4134" s="158" t="n"/>
      <c r="M4134" s="159" t="n"/>
    </row>
    <row r="4135">
      <c r="A4135" s="114" t="n"/>
      <c r="B4135" s="115" t="n"/>
      <c r="C4135" s="115" t="n"/>
      <c r="D4135" s="115" t="n"/>
      <c r="E4135" s="115" t="n"/>
      <c r="F4135" s="115" t="n"/>
      <c r="G4135" s="156" t="n"/>
      <c r="H4135" s="152" t="n"/>
      <c r="I4135" s="156" t="n"/>
      <c r="J4135" s="90" t="n"/>
      <c r="K4135" s="166" t="n"/>
      <c r="L4135" s="158" t="n"/>
      <c r="M4135" s="159" t="n"/>
    </row>
    <row r="4136">
      <c r="A4136" s="114" t="n"/>
      <c r="B4136" s="115" t="n"/>
      <c r="C4136" s="115" t="n"/>
      <c r="D4136" s="115" t="n"/>
      <c r="E4136" s="115" t="n"/>
      <c r="F4136" s="115" t="n"/>
      <c r="G4136" s="156" t="n"/>
      <c r="H4136" s="152" t="n"/>
      <c r="I4136" s="156" t="n"/>
      <c r="J4136" s="90" t="n"/>
      <c r="K4136" s="166" t="n"/>
      <c r="L4136" s="158" t="n"/>
      <c r="M4136" s="159" t="n"/>
    </row>
    <row r="4137">
      <c r="A4137" s="114" t="n"/>
      <c r="B4137" s="115" t="n"/>
      <c r="C4137" s="115" t="n"/>
      <c r="D4137" s="115" t="n"/>
      <c r="E4137" s="115" t="n"/>
      <c r="F4137" s="115" t="n"/>
      <c r="G4137" s="156" t="n"/>
      <c r="H4137" s="152" t="n"/>
      <c r="I4137" s="156" t="n"/>
      <c r="J4137" s="90" t="n"/>
      <c r="K4137" s="166" t="n"/>
      <c r="L4137" s="158" t="n"/>
      <c r="M4137" s="159" t="n"/>
    </row>
    <row r="4138">
      <c r="A4138" s="114" t="n"/>
      <c r="B4138" s="115" t="n"/>
      <c r="C4138" s="115" t="n"/>
      <c r="D4138" s="115" t="n"/>
      <c r="E4138" s="115" t="n"/>
      <c r="F4138" s="115" t="n"/>
      <c r="G4138" s="156" t="n"/>
      <c r="H4138" s="152" t="n"/>
      <c r="I4138" s="156" t="n"/>
      <c r="J4138" s="90" t="n"/>
      <c r="K4138" s="166" t="n"/>
      <c r="L4138" s="158" t="n"/>
      <c r="M4138" s="159" t="n"/>
    </row>
    <row r="4139">
      <c r="A4139" s="114" t="n"/>
      <c r="B4139" s="115" t="n"/>
      <c r="C4139" s="115" t="n"/>
      <c r="D4139" s="115" t="n"/>
      <c r="E4139" s="115" t="n"/>
      <c r="F4139" s="115" t="n"/>
      <c r="G4139" s="156" t="n"/>
      <c r="H4139" s="152" t="n"/>
      <c r="I4139" s="156" t="n"/>
      <c r="J4139" s="90" t="n"/>
      <c r="K4139" s="166" t="n"/>
      <c r="L4139" s="158" t="n"/>
      <c r="M4139" s="159" t="n"/>
    </row>
    <row r="4140">
      <c r="A4140" s="114" t="n"/>
      <c r="B4140" s="115" t="n"/>
      <c r="C4140" s="115" t="n"/>
      <c r="D4140" s="115" t="n"/>
      <c r="E4140" s="115" t="n"/>
      <c r="F4140" s="115" t="n"/>
      <c r="G4140" s="156" t="n"/>
      <c r="H4140" s="152" t="n"/>
      <c r="I4140" s="156" t="n"/>
      <c r="J4140" s="90" t="n"/>
      <c r="K4140" s="166" t="n"/>
      <c r="L4140" s="158" t="n"/>
      <c r="M4140" s="159" t="n"/>
    </row>
    <row r="4141">
      <c r="A4141" s="114" t="n"/>
      <c r="B4141" s="115" t="n"/>
      <c r="C4141" s="115" t="n"/>
      <c r="D4141" s="115" t="n"/>
      <c r="E4141" s="115" t="n"/>
      <c r="F4141" s="115" t="n"/>
      <c r="G4141" s="156" t="n"/>
      <c r="H4141" s="152" t="n"/>
      <c r="I4141" s="156" t="n"/>
      <c r="J4141" s="90" t="n"/>
      <c r="K4141" s="166" t="n"/>
      <c r="L4141" s="158" t="n"/>
      <c r="M4141" s="159" t="n"/>
    </row>
    <row r="4142">
      <c r="A4142" s="114" t="n"/>
      <c r="B4142" s="115" t="n"/>
      <c r="C4142" s="115" t="n"/>
      <c r="D4142" s="115" t="n"/>
      <c r="E4142" s="115" t="n"/>
      <c r="F4142" s="115" t="n"/>
      <c r="G4142" s="156" t="n"/>
      <c r="H4142" s="152" t="n"/>
      <c r="I4142" s="156" t="n"/>
      <c r="J4142" s="90" t="n"/>
      <c r="K4142" s="166" t="n"/>
      <c r="L4142" s="158" t="n"/>
      <c r="M4142" s="159" t="n"/>
    </row>
    <row r="4143">
      <c r="A4143" s="114" t="n"/>
      <c r="B4143" s="115" t="n"/>
      <c r="C4143" s="115" t="n"/>
      <c r="D4143" s="115" t="n"/>
      <c r="E4143" s="115" t="n"/>
      <c r="F4143" s="115" t="n"/>
      <c r="G4143" s="156" t="n"/>
      <c r="H4143" s="152" t="n"/>
      <c r="I4143" s="156" t="n"/>
      <c r="J4143" s="90" t="n"/>
      <c r="K4143" s="166" t="n"/>
      <c r="L4143" s="158" t="n"/>
      <c r="M4143" s="159" t="n"/>
    </row>
    <row r="4144">
      <c r="A4144" s="114" t="n"/>
      <c r="B4144" s="115" t="n"/>
      <c r="C4144" s="115" t="n"/>
      <c r="D4144" s="115" t="n"/>
      <c r="E4144" s="115" t="n"/>
      <c r="F4144" s="115" t="n"/>
      <c r="G4144" s="156" t="n"/>
      <c r="H4144" s="152" t="n"/>
      <c r="I4144" s="156" t="n"/>
      <c r="J4144" s="90" t="n"/>
      <c r="K4144" s="166" t="n"/>
      <c r="L4144" s="158" t="n"/>
      <c r="M4144" s="159" t="n"/>
    </row>
    <row r="4145">
      <c r="A4145" s="114" t="n"/>
      <c r="B4145" s="115" t="n"/>
      <c r="C4145" s="115" t="n"/>
      <c r="D4145" s="115" t="n"/>
      <c r="E4145" s="115" t="n"/>
      <c r="F4145" s="115" t="n"/>
      <c r="G4145" s="156" t="n"/>
      <c r="H4145" s="152" t="n"/>
      <c r="I4145" s="156" t="n"/>
      <c r="J4145" s="90" t="n"/>
      <c r="K4145" s="166" t="n"/>
      <c r="L4145" s="158" t="n"/>
      <c r="M4145" s="159" t="n"/>
    </row>
    <row r="4146">
      <c r="A4146" s="114" t="n"/>
      <c r="B4146" s="115" t="n"/>
      <c r="C4146" s="115" t="n"/>
      <c r="D4146" s="115" t="n"/>
      <c r="E4146" s="115" t="n"/>
      <c r="F4146" s="115" t="n"/>
      <c r="G4146" s="156" t="n"/>
      <c r="H4146" s="152" t="n"/>
      <c r="I4146" s="156" t="n"/>
      <c r="J4146" s="90" t="n"/>
      <c r="K4146" s="166" t="n"/>
      <c r="L4146" s="158" t="n"/>
      <c r="M4146" s="159" t="n"/>
    </row>
    <row r="4147">
      <c r="A4147" s="114" t="n"/>
      <c r="B4147" s="115" t="n"/>
      <c r="C4147" s="115" t="n"/>
      <c r="D4147" s="115" t="n"/>
      <c r="E4147" s="115" t="n"/>
      <c r="F4147" s="115" t="n"/>
      <c r="G4147" s="156" t="n"/>
      <c r="H4147" s="152" t="n"/>
      <c r="I4147" s="156" t="n"/>
      <c r="J4147" s="90" t="n"/>
      <c r="K4147" s="166" t="n"/>
      <c r="L4147" s="158" t="n"/>
      <c r="M4147" s="159" t="n"/>
    </row>
    <row r="4148">
      <c r="A4148" s="114" t="n"/>
      <c r="B4148" s="115" t="n"/>
      <c r="C4148" s="115" t="n"/>
      <c r="D4148" s="115" t="n"/>
      <c r="E4148" s="115" t="n"/>
      <c r="F4148" s="115" t="n"/>
      <c r="G4148" s="156" t="n"/>
      <c r="H4148" s="152" t="n"/>
      <c r="I4148" s="156" t="n"/>
      <c r="J4148" s="90" t="n"/>
      <c r="K4148" s="166" t="n"/>
      <c r="L4148" s="158" t="n"/>
      <c r="M4148" s="159" t="n"/>
    </row>
    <row r="4149">
      <c r="A4149" s="114" t="n"/>
      <c r="B4149" s="115" t="n"/>
      <c r="C4149" s="115" t="n"/>
      <c r="D4149" s="115" t="n"/>
      <c r="E4149" s="115" t="n"/>
      <c r="F4149" s="115" t="n"/>
      <c r="G4149" s="156" t="n"/>
      <c r="H4149" s="152" t="n"/>
      <c r="I4149" s="156" t="n"/>
      <c r="J4149" s="90" t="n"/>
      <c r="K4149" s="166" t="n"/>
      <c r="L4149" s="158" t="n"/>
      <c r="M4149" s="159" t="n"/>
    </row>
    <row r="4150">
      <c r="A4150" s="114" t="n"/>
      <c r="B4150" s="115" t="n"/>
      <c r="C4150" s="115" t="n"/>
      <c r="D4150" s="115" t="n"/>
      <c r="E4150" s="115" t="n"/>
      <c r="F4150" s="115" t="n"/>
      <c r="G4150" s="156" t="n"/>
      <c r="H4150" s="152" t="n"/>
      <c r="I4150" s="156" t="n"/>
      <c r="J4150" s="90" t="n"/>
      <c r="K4150" s="166" t="n"/>
      <c r="L4150" s="158" t="n"/>
      <c r="M4150" s="159" t="n"/>
    </row>
    <row r="4151">
      <c r="A4151" s="114" t="n"/>
      <c r="B4151" s="115" t="n"/>
      <c r="C4151" s="115" t="n"/>
      <c r="D4151" s="115" t="n"/>
      <c r="E4151" s="115" t="n"/>
      <c r="F4151" s="115" t="n"/>
      <c r="G4151" s="156" t="n"/>
      <c r="H4151" s="152" t="n"/>
      <c r="I4151" s="156" t="n"/>
      <c r="J4151" s="90" t="n"/>
      <c r="K4151" s="166" t="n"/>
      <c r="L4151" s="158" t="n"/>
      <c r="M4151" s="159" t="n"/>
    </row>
    <row r="4152">
      <c r="A4152" s="114" t="n"/>
      <c r="B4152" s="115" t="n"/>
      <c r="C4152" s="115" t="n"/>
      <c r="D4152" s="115" t="n"/>
      <c r="E4152" s="115" t="n"/>
      <c r="F4152" s="115" t="n"/>
      <c r="G4152" s="156" t="n"/>
      <c r="H4152" s="152" t="n"/>
      <c r="I4152" s="156" t="n"/>
      <c r="J4152" s="90" t="n"/>
      <c r="K4152" s="166" t="n"/>
      <c r="L4152" s="158" t="n"/>
      <c r="M4152" s="159" t="n"/>
    </row>
    <row r="4153">
      <c r="A4153" s="114" t="n"/>
      <c r="B4153" s="115" t="n"/>
      <c r="C4153" s="115" t="n"/>
      <c r="D4153" s="115" t="n"/>
      <c r="E4153" s="115" t="n"/>
      <c r="F4153" s="115" t="n"/>
      <c r="G4153" s="156" t="n"/>
      <c r="H4153" s="152" t="n"/>
      <c r="I4153" s="156" t="n"/>
      <c r="J4153" s="90" t="n"/>
      <c r="K4153" s="166" t="n"/>
      <c r="L4153" s="158" t="n"/>
      <c r="M4153" s="159" t="n"/>
    </row>
    <row r="4154">
      <c r="A4154" s="114" t="n"/>
      <c r="B4154" s="115" t="n"/>
      <c r="C4154" s="115" t="n"/>
      <c r="D4154" s="115" t="n"/>
      <c r="E4154" s="115" t="n"/>
      <c r="F4154" s="115" t="n"/>
      <c r="G4154" s="156" t="n"/>
      <c r="H4154" s="152" t="n"/>
      <c r="I4154" s="156" t="n"/>
      <c r="J4154" s="90" t="n"/>
      <c r="K4154" s="166" t="n"/>
      <c r="L4154" s="158" t="n"/>
      <c r="M4154" s="159" t="n"/>
    </row>
    <row r="4155">
      <c r="A4155" s="114" t="n"/>
      <c r="B4155" s="115" t="n"/>
      <c r="C4155" s="115" t="n"/>
      <c r="D4155" s="115" t="n"/>
      <c r="E4155" s="115" t="n"/>
      <c r="F4155" s="115" t="n"/>
      <c r="G4155" s="156" t="n"/>
      <c r="H4155" s="152" t="n"/>
      <c r="I4155" s="156" t="n"/>
      <c r="J4155" s="90" t="n"/>
      <c r="K4155" s="166" t="n"/>
      <c r="L4155" s="158" t="n"/>
      <c r="M4155" s="159" t="n"/>
    </row>
    <row r="4156">
      <c r="A4156" s="114" t="n"/>
      <c r="B4156" s="115" t="n"/>
      <c r="C4156" s="115" t="n"/>
      <c r="D4156" s="115" t="n"/>
      <c r="E4156" s="115" t="n"/>
      <c r="F4156" s="115" t="n"/>
      <c r="G4156" s="156" t="n"/>
      <c r="H4156" s="152" t="n"/>
      <c r="I4156" s="156" t="n"/>
      <c r="J4156" s="90" t="n"/>
      <c r="K4156" s="166" t="n"/>
      <c r="L4156" s="158" t="n"/>
      <c r="M4156" s="159" t="n"/>
    </row>
    <row r="4157">
      <c r="A4157" s="114" t="n"/>
      <c r="B4157" s="115" t="n"/>
      <c r="C4157" s="115" t="n"/>
      <c r="D4157" s="115" t="n"/>
      <c r="E4157" s="115" t="n"/>
      <c r="F4157" s="115" t="n"/>
      <c r="G4157" s="156" t="n"/>
      <c r="H4157" s="152" t="n"/>
      <c r="I4157" s="156" t="n"/>
      <c r="J4157" s="90" t="n"/>
      <c r="K4157" s="166" t="n"/>
      <c r="L4157" s="158" t="n"/>
      <c r="M4157" s="159" t="n"/>
    </row>
    <row r="4158">
      <c r="A4158" s="114" t="n"/>
      <c r="B4158" s="115" t="n"/>
      <c r="C4158" s="115" t="n"/>
      <c r="D4158" s="115" t="n"/>
      <c r="E4158" s="115" t="n"/>
      <c r="F4158" s="115" t="n"/>
      <c r="G4158" s="156" t="n"/>
      <c r="H4158" s="152" t="n"/>
      <c r="I4158" s="156" t="n"/>
      <c r="J4158" s="90" t="n"/>
      <c r="K4158" s="166" t="n"/>
      <c r="L4158" s="158" t="n"/>
      <c r="M4158" s="159" t="n"/>
    </row>
    <row r="4159">
      <c r="A4159" s="114" t="n"/>
      <c r="B4159" s="115" t="n"/>
      <c r="C4159" s="115" t="n"/>
      <c r="D4159" s="115" t="n"/>
      <c r="E4159" s="115" t="n"/>
      <c r="F4159" s="115" t="n"/>
      <c r="G4159" s="156" t="n"/>
      <c r="H4159" s="152" t="n"/>
      <c r="I4159" s="156" t="n"/>
      <c r="J4159" s="90" t="n"/>
      <c r="K4159" s="166" t="n"/>
      <c r="L4159" s="158" t="n"/>
      <c r="M4159" s="159" t="n"/>
    </row>
    <row r="4160">
      <c r="A4160" s="114" t="n"/>
      <c r="B4160" s="115" t="n"/>
      <c r="C4160" s="115" t="n"/>
      <c r="D4160" s="115" t="n"/>
      <c r="E4160" s="115" t="n"/>
      <c r="F4160" s="115" t="n"/>
      <c r="G4160" s="156" t="n"/>
      <c r="H4160" s="152" t="n"/>
      <c r="I4160" s="156" t="n"/>
      <c r="J4160" s="90" t="n"/>
      <c r="K4160" s="166" t="n"/>
      <c r="L4160" s="158" t="n"/>
      <c r="M4160" s="159" t="n"/>
    </row>
    <row r="4161">
      <c r="A4161" s="114" t="n"/>
      <c r="B4161" s="115" t="n"/>
      <c r="C4161" s="115" t="n"/>
      <c r="D4161" s="115" t="n"/>
      <c r="E4161" s="115" t="n"/>
      <c r="F4161" s="115" t="n"/>
      <c r="G4161" s="156" t="n"/>
      <c r="H4161" s="152" t="n"/>
      <c r="I4161" s="156" t="n"/>
      <c r="J4161" s="90" t="n"/>
      <c r="K4161" s="166" t="n"/>
      <c r="L4161" s="158" t="n"/>
      <c r="M4161" s="159" t="n"/>
    </row>
    <row r="4162">
      <c r="A4162" s="114" t="n"/>
      <c r="B4162" s="115" t="n"/>
      <c r="C4162" s="115" t="n"/>
      <c r="D4162" s="115" t="n"/>
      <c r="E4162" s="115" t="n"/>
      <c r="F4162" s="115" t="n"/>
      <c r="G4162" s="156" t="n"/>
      <c r="H4162" s="152" t="n"/>
      <c r="I4162" s="156" t="n"/>
      <c r="J4162" s="90" t="n"/>
      <c r="K4162" s="166" t="n"/>
      <c r="L4162" s="158" t="n"/>
      <c r="M4162" s="159" t="n"/>
    </row>
    <row r="4163">
      <c r="A4163" s="114" t="n"/>
      <c r="B4163" s="115" t="n"/>
      <c r="C4163" s="115" t="n"/>
      <c r="D4163" s="115" t="n"/>
      <c r="E4163" s="115" t="n"/>
      <c r="F4163" s="115" t="n"/>
      <c r="G4163" s="156" t="n"/>
      <c r="H4163" s="152" t="n"/>
      <c r="I4163" s="156" t="n"/>
      <c r="J4163" s="90" t="n"/>
      <c r="K4163" s="166" t="n"/>
      <c r="L4163" s="158" t="n"/>
      <c r="M4163" s="159" t="n"/>
    </row>
    <row r="4164">
      <c r="A4164" s="114" t="n"/>
      <c r="B4164" s="115" t="n"/>
      <c r="C4164" s="115" t="n"/>
      <c r="D4164" s="115" t="n"/>
      <c r="E4164" s="115" t="n"/>
      <c r="F4164" s="115" t="n"/>
      <c r="G4164" s="156" t="n"/>
      <c r="H4164" s="152" t="n"/>
      <c r="I4164" s="156" t="n"/>
      <c r="J4164" s="90" t="n"/>
      <c r="K4164" s="166" t="n"/>
      <c r="L4164" s="158" t="n"/>
      <c r="M4164" s="159" t="n"/>
    </row>
    <row r="4165">
      <c r="A4165" s="114" t="n"/>
      <c r="B4165" s="115" t="n"/>
      <c r="C4165" s="115" t="n"/>
      <c r="D4165" s="115" t="n"/>
      <c r="E4165" s="115" t="n"/>
      <c r="F4165" s="115" t="n"/>
      <c r="G4165" s="156" t="n"/>
      <c r="H4165" s="152" t="n"/>
      <c r="I4165" s="156" t="n"/>
      <c r="J4165" s="90" t="n"/>
      <c r="K4165" s="166" t="n"/>
      <c r="L4165" s="158" t="n"/>
      <c r="M4165" s="159" t="n"/>
    </row>
    <row r="4166">
      <c r="A4166" s="114" t="n"/>
      <c r="B4166" s="115" t="n"/>
      <c r="C4166" s="115" t="n"/>
      <c r="D4166" s="115" t="n"/>
      <c r="E4166" s="115" t="n"/>
      <c r="F4166" s="115" t="n"/>
      <c r="G4166" s="156" t="n"/>
      <c r="H4166" s="152" t="n"/>
      <c r="I4166" s="156" t="n"/>
      <c r="J4166" s="90" t="n"/>
      <c r="K4166" s="166" t="n"/>
      <c r="L4166" s="158" t="n"/>
      <c r="M4166" s="159" t="n"/>
    </row>
    <row r="4167">
      <c r="A4167" s="114" t="n"/>
      <c r="B4167" s="115" t="n"/>
      <c r="C4167" s="115" t="n"/>
      <c r="D4167" s="115" t="n"/>
      <c r="E4167" s="115" t="n"/>
      <c r="F4167" s="115" t="n"/>
      <c r="G4167" s="156" t="n"/>
      <c r="H4167" s="152" t="n"/>
      <c r="I4167" s="156" t="n"/>
      <c r="J4167" s="90" t="n"/>
      <c r="K4167" s="166" t="n"/>
      <c r="L4167" s="158" t="n"/>
      <c r="M4167" s="159" t="n"/>
    </row>
    <row r="4168">
      <c r="A4168" s="114" t="n"/>
      <c r="B4168" s="115" t="n"/>
      <c r="C4168" s="115" t="n"/>
      <c r="D4168" s="115" t="n"/>
      <c r="E4168" s="115" t="n"/>
      <c r="F4168" s="115" t="n"/>
      <c r="G4168" s="156" t="n"/>
      <c r="H4168" s="152" t="n"/>
      <c r="I4168" s="156" t="n"/>
      <c r="J4168" s="90" t="n"/>
      <c r="K4168" s="166" t="n"/>
      <c r="L4168" s="158" t="n"/>
      <c r="M4168" s="159" t="n"/>
    </row>
    <row r="4169">
      <c r="A4169" s="114" t="n"/>
      <c r="B4169" s="115" t="n"/>
      <c r="C4169" s="115" t="n"/>
      <c r="D4169" s="115" t="n"/>
      <c r="E4169" s="115" t="n"/>
      <c r="F4169" s="115" t="n"/>
      <c r="G4169" s="156" t="n"/>
      <c r="H4169" s="152" t="n"/>
      <c r="I4169" s="156" t="n"/>
      <c r="J4169" s="90" t="n"/>
      <c r="K4169" s="166" t="n"/>
      <c r="L4169" s="158" t="n"/>
      <c r="M4169" s="159" t="n"/>
    </row>
    <row r="4170">
      <c r="A4170" s="114" t="n"/>
      <c r="B4170" s="115" t="n"/>
      <c r="C4170" s="115" t="n"/>
      <c r="D4170" s="115" t="n"/>
      <c r="E4170" s="115" t="n"/>
      <c r="F4170" s="115" t="n"/>
      <c r="G4170" s="156" t="n"/>
      <c r="H4170" s="152" t="n"/>
      <c r="I4170" s="156" t="n"/>
      <c r="J4170" s="90" t="n"/>
      <c r="K4170" s="166" t="n"/>
      <c r="L4170" s="158" t="n"/>
      <c r="M4170" s="159" t="n"/>
    </row>
    <row r="4171">
      <c r="A4171" s="114" t="n"/>
      <c r="B4171" s="115" t="n"/>
      <c r="C4171" s="115" t="n"/>
      <c r="D4171" s="115" t="n"/>
      <c r="E4171" s="115" t="n"/>
      <c r="F4171" s="115" t="n"/>
      <c r="G4171" s="156" t="n"/>
      <c r="H4171" s="152" t="n"/>
      <c r="I4171" s="156" t="n"/>
      <c r="J4171" s="90" t="n"/>
      <c r="K4171" s="166" t="n"/>
      <c r="L4171" s="158" t="n"/>
      <c r="M4171" s="159" t="n"/>
    </row>
    <row r="4172">
      <c r="A4172" s="114" t="n"/>
      <c r="B4172" s="115" t="n"/>
      <c r="C4172" s="115" t="n"/>
      <c r="D4172" s="115" t="n"/>
      <c r="E4172" s="115" t="n"/>
      <c r="F4172" s="115" t="n"/>
      <c r="G4172" s="156" t="n"/>
      <c r="H4172" s="152" t="n"/>
      <c r="I4172" s="156" t="n"/>
      <c r="J4172" s="90" t="n"/>
      <c r="K4172" s="166" t="n"/>
      <c r="L4172" s="158" t="n"/>
      <c r="M4172" s="159" t="n"/>
    </row>
    <row r="4173">
      <c r="A4173" s="114" t="n"/>
      <c r="B4173" s="115" t="n"/>
      <c r="C4173" s="115" t="n"/>
      <c r="D4173" s="115" t="n"/>
      <c r="E4173" s="115" t="n"/>
      <c r="F4173" s="115" t="n"/>
      <c r="G4173" s="156" t="n"/>
      <c r="H4173" s="152" t="n"/>
      <c r="I4173" s="156" t="n"/>
      <c r="J4173" s="90" t="n"/>
      <c r="K4173" s="166" t="n"/>
      <c r="L4173" s="158" t="n"/>
      <c r="M4173" s="159" t="n"/>
    </row>
    <row r="4174">
      <c r="A4174" s="114" t="n"/>
      <c r="B4174" s="115" t="n"/>
      <c r="C4174" s="115" t="n"/>
      <c r="D4174" s="115" t="n"/>
      <c r="E4174" s="115" t="n"/>
      <c r="F4174" s="115" t="n"/>
      <c r="G4174" s="156" t="n"/>
      <c r="H4174" s="152" t="n"/>
      <c r="I4174" s="156" t="n"/>
      <c r="J4174" s="90" t="n"/>
      <c r="K4174" s="166" t="n"/>
      <c r="L4174" s="158" t="n"/>
      <c r="M4174" s="159" t="n"/>
    </row>
    <row r="4175">
      <c r="A4175" s="114" t="n"/>
      <c r="B4175" s="115" t="n"/>
      <c r="C4175" s="115" t="n"/>
      <c r="D4175" s="115" t="n"/>
      <c r="E4175" s="115" t="n"/>
      <c r="F4175" s="115" t="n"/>
      <c r="G4175" s="156" t="n"/>
      <c r="H4175" s="152" t="n"/>
      <c r="I4175" s="156" t="n"/>
      <c r="J4175" s="90" t="n"/>
      <c r="K4175" s="166" t="n"/>
      <c r="L4175" s="158" t="n"/>
      <c r="M4175" s="159" t="n"/>
    </row>
    <row r="4176">
      <c r="A4176" s="114" t="n"/>
      <c r="B4176" s="115" t="n"/>
      <c r="C4176" s="115" t="n"/>
      <c r="D4176" s="115" t="n"/>
      <c r="E4176" s="115" t="n"/>
      <c r="F4176" s="115" t="n"/>
      <c r="G4176" s="156" t="n"/>
      <c r="H4176" s="152" t="n"/>
      <c r="I4176" s="156" t="n"/>
      <c r="J4176" s="90" t="n"/>
      <c r="K4176" s="166" t="n"/>
      <c r="L4176" s="158" t="n"/>
      <c r="M4176" s="159" t="n"/>
    </row>
    <row r="4177">
      <c r="A4177" s="114" t="n"/>
      <c r="B4177" s="115" t="n"/>
      <c r="C4177" s="115" t="n"/>
      <c r="D4177" s="115" t="n"/>
      <c r="E4177" s="115" t="n"/>
      <c r="F4177" s="115" t="n"/>
      <c r="G4177" s="156" t="n"/>
      <c r="H4177" s="152" t="n"/>
      <c r="I4177" s="156" t="n"/>
      <c r="J4177" s="90" t="n"/>
      <c r="K4177" s="166" t="n"/>
      <c r="L4177" s="158" t="n"/>
      <c r="M4177" s="159" t="n"/>
    </row>
    <row r="4178">
      <c r="A4178" s="114" t="n"/>
      <c r="B4178" s="115" t="n"/>
      <c r="C4178" s="115" t="n"/>
      <c r="D4178" s="115" t="n"/>
      <c r="E4178" s="115" t="n"/>
      <c r="F4178" s="115" t="n"/>
      <c r="G4178" s="156" t="n"/>
      <c r="H4178" s="152" t="n"/>
      <c r="I4178" s="156" t="n"/>
      <c r="J4178" s="90" t="n"/>
      <c r="K4178" s="166" t="n"/>
      <c r="L4178" s="158" t="n"/>
      <c r="M4178" s="159" t="n"/>
    </row>
    <row r="4179">
      <c r="A4179" s="114" t="n"/>
      <c r="B4179" s="115" t="n"/>
      <c r="C4179" s="115" t="n"/>
      <c r="D4179" s="115" t="n"/>
      <c r="E4179" s="115" t="n"/>
      <c r="F4179" s="115" t="n"/>
      <c r="G4179" s="156" t="n"/>
      <c r="H4179" s="152" t="n"/>
      <c r="I4179" s="156" t="n"/>
      <c r="J4179" s="90" t="n"/>
      <c r="K4179" s="166" t="n"/>
      <c r="L4179" s="158" t="n"/>
      <c r="M4179" s="159" t="n"/>
    </row>
    <row r="4180">
      <c r="A4180" s="114" t="n"/>
      <c r="B4180" s="115" t="n"/>
      <c r="C4180" s="115" t="n"/>
      <c r="D4180" s="115" t="n"/>
      <c r="E4180" s="115" t="n"/>
      <c r="F4180" s="115" t="n"/>
      <c r="G4180" s="156" t="n"/>
      <c r="H4180" s="152" t="n"/>
      <c r="I4180" s="156" t="n"/>
      <c r="J4180" s="90" t="n"/>
      <c r="K4180" s="166" t="n"/>
      <c r="L4180" s="158" t="n"/>
      <c r="M4180" s="159" t="n"/>
    </row>
    <row r="4181">
      <c r="A4181" s="114" t="n"/>
      <c r="B4181" s="115" t="n"/>
      <c r="C4181" s="115" t="n"/>
      <c r="D4181" s="115" t="n"/>
      <c r="E4181" s="115" t="n"/>
      <c r="F4181" s="115" t="n"/>
      <c r="G4181" s="156" t="n"/>
      <c r="H4181" s="152" t="n"/>
      <c r="I4181" s="156" t="n"/>
      <c r="J4181" s="90" t="n"/>
      <c r="K4181" s="166" t="n"/>
      <c r="L4181" s="158" t="n"/>
      <c r="M4181" s="159" t="n"/>
    </row>
    <row r="4182">
      <c r="A4182" s="114" t="n"/>
      <c r="B4182" s="115" t="n"/>
      <c r="C4182" s="115" t="n"/>
      <c r="D4182" s="115" t="n"/>
      <c r="E4182" s="115" t="n"/>
      <c r="F4182" s="115" t="n"/>
      <c r="G4182" s="156" t="n"/>
      <c r="H4182" s="152" t="n"/>
      <c r="I4182" s="156" t="n"/>
      <c r="J4182" s="90" t="n"/>
      <c r="K4182" s="166" t="n"/>
      <c r="L4182" s="158" t="n"/>
      <c r="M4182" s="159" t="n"/>
    </row>
    <row r="4183">
      <c r="A4183" s="114" t="n"/>
      <c r="B4183" s="115" t="n"/>
      <c r="C4183" s="115" t="n"/>
      <c r="D4183" s="115" t="n"/>
      <c r="E4183" s="115" t="n"/>
      <c r="F4183" s="115" t="n"/>
      <c r="G4183" s="156" t="n"/>
      <c r="H4183" s="152" t="n"/>
      <c r="I4183" s="156" t="n"/>
      <c r="J4183" s="90" t="n"/>
      <c r="K4183" s="166" t="n"/>
      <c r="L4183" s="158" t="n"/>
      <c r="M4183" s="159" t="n"/>
    </row>
    <row r="4184">
      <c r="A4184" s="114" t="n"/>
      <c r="B4184" s="115" t="n"/>
      <c r="C4184" s="115" t="n"/>
      <c r="D4184" s="115" t="n"/>
      <c r="E4184" s="115" t="n"/>
      <c r="F4184" s="115" t="n"/>
      <c r="G4184" s="156" t="n"/>
      <c r="H4184" s="152" t="n"/>
      <c r="I4184" s="156" t="n"/>
      <c r="J4184" s="90" t="n"/>
      <c r="K4184" s="166" t="n"/>
      <c r="L4184" s="158" t="n"/>
      <c r="M4184" s="159" t="n"/>
    </row>
    <row r="4185">
      <c r="A4185" s="114" t="n"/>
      <c r="B4185" s="115" t="n"/>
      <c r="C4185" s="115" t="n"/>
      <c r="D4185" s="115" t="n"/>
      <c r="E4185" s="115" t="n"/>
      <c r="F4185" s="115" t="n"/>
      <c r="G4185" s="156" t="n"/>
      <c r="H4185" s="152" t="n"/>
      <c r="I4185" s="156" t="n"/>
      <c r="J4185" s="90" t="n"/>
      <c r="K4185" s="166" t="n"/>
      <c r="L4185" s="158" t="n"/>
      <c r="M4185" s="159" t="n"/>
    </row>
    <row r="4186">
      <c r="A4186" s="114" t="n"/>
      <c r="B4186" s="115" t="n"/>
      <c r="C4186" s="115" t="n"/>
      <c r="D4186" s="115" t="n"/>
      <c r="E4186" s="115" t="n"/>
      <c r="F4186" s="115" t="n"/>
      <c r="G4186" s="156" t="n"/>
      <c r="H4186" s="152" t="n"/>
      <c r="I4186" s="156" t="n"/>
      <c r="J4186" s="90" t="n"/>
      <c r="K4186" s="166" t="n"/>
      <c r="L4186" s="158" t="n"/>
      <c r="M4186" s="159" t="n"/>
    </row>
    <row r="4187">
      <c r="A4187" s="114" t="n"/>
      <c r="B4187" s="115" t="n"/>
      <c r="C4187" s="115" t="n"/>
      <c r="D4187" s="115" t="n"/>
      <c r="E4187" s="115" t="n"/>
      <c r="F4187" s="115" t="n"/>
      <c r="G4187" s="156" t="n"/>
      <c r="H4187" s="152" t="n"/>
      <c r="I4187" s="156" t="n"/>
      <c r="J4187" s="90" t="n"/>
      <c r="K4187" s="166" t="n"/>
      <c r="L4187" s="158" t="n"/>
      <c r="M4187" s="159" t="n"/>
    </row>
    <row r="4188">
      <c r="A4188" s="114" t="n"/>
      <c r="B4188" s="115" t="n"/>
      <c r="C4188" s="115" t="n"/>
      <c r="D4188" s="115" t="n"/>
      <c r="E4188" s="115" t="n"/>
      <c r="F4188" s="115" t="n"/>
      <c r="G4188" s="156" t="n"/>
      <c r="H4188" s="152" t="n"/>
      <c r="I4188" s="156" t="n"/>
      <c r="J4188" s="90" t="n"/>
      <c r="K4188" s="166" t="n"/>
      <c r="L4188" s="158" t="n"/>
      <c r="M4188" s="159" t="n"/>
    </row>
    <row r="4189">
      <c r="A4189" s="114" t="n"/>
      <c r="B4189" s="115" t="n"/>
      <c r="C4189" s="115" t="n"/>
      <c r="D4189" s="115" t="n"/>
      <c r="E4189" s="115" t="n"/>
      <c r="F4189" s="115" t="n"/>
      <c r="G4189" s="156" t="n"/>
      <c r="H4189" s="152" t="n"/>
      <c r="I4189" s="156" t="n"/>
      <c r="J4189" s="90" t="n"/>
      <c r="K4189" s="166" t="n"/>
      <c r="L4189" s="158" t="n"/>
      <c r="M4189" s="159" t="n"/>
    </row>
    <row r="4190">
      <c r="A4190" s="114" t="n"/>
      <c r="B4190" s="115" t="n"/>
      <c r="C4190" s="115" t="n"/>
      <c r="D4190" s="115" t="n"/>
      <c r="E4190" s="115" t="n"/>
      <c r="F4190" s="115" t="n"/>
      <c r="G4190" s="156" t="n"/>
      <c r="H4190" s="152" t="n"/>
      <c r="I4190" s="156" t="n"/>
      <c r="J4190" s="90" t="n"/>
      <c r="K4190" s="166" t="n"/>
      <c r="L4190" s="158" t="n"/>
      <c r="M4190" s="159" t="n"/>
    </row>
    <row r="4191">
      <c r="A4191" s="114" t="n"/>
      <c r="B4191" s="115" t="n"/>
      <c r="C4191" s="115" t="n"/>
      <c r="D4191" s="115" t="n"/>
      <c r="E4191" s="115" t="n"/>
      <c r="F4191" s="115" t="n"/>
      <c r="G4191" s="156" t="n"/>
      <c r="H4191" s="152" t="n"/>
      <c r="I4191" s="156" t="n"/>
      <c r="J4191" s="90" t="n"/>
      <c r="K4191" s="166" t="n"/>
      <c r="L4191" s="158" t="n"/>
      <c r="M4191" s="159" t="n"/>
    </row>
    <row r="4192">
      <c r="A4192" s="114" t="n"/>
      <c r="B4192" s="115" t="n"/>
      <c r="C4192" s="115" t="n"/>
      <c r="D4192" s="115" t="n"/>
      <c r="E4192" s="115" t="n"/>
      <c r="F4192" s="115" t="n"/>
      <c r="G4192" s="156" t="n"/>
      <c r="H4192" s="152" t="n"/>
      <c r="I4192" s="156" t="n"/>
      <c r="J4192" s="90" t="n"/>
      <c r="K4192" s="166" t="n"/>
      <c r="L4192" s="158" t="n"/>
      <c r="M4192" s="159" t="n"/>
    </row>
    <row r="4193">
      <c r="A4193" s="114" t="n"/>
      <c r="B4193" s="115" t="n"/>
      <c r="C4193" s="115" t="n"/>
      <c r="D4193" s="115" t="n"/>
      <c r="E4193" s="115" t="n"/>
      <c r="F4193" s="115" t="n"/>
      <c r="G4193" s="156" t="n"/>
      <c r="H4193" s="152" t="n"/>
      <c r="I4193" s="156" t="n"/>
      <c r="J4193" s="90" t="n"/>
      <c r="K4193" s="166" t="n"/>
      <c r="L4193" s="158" t="n"/>
      <c r="M4193" s="159" t="n"/>
    </row>
    <row r="4194">
      <c r="A4194" s="114" t="n"/>
      <c r="B4194" s="115" t="n"/>
      <c r="C4194" s="115" t="n"/>
      <c r="D4194" s="115" t="n"/>
      <c r="E4194" s="115" t="n"/>
      <c r="F4194" s="115" t="n"/>
      <c r="G4194" s="156" t="n"/>
      <c r="H4194" s="152" t="n"/>
      <c r="I4194" s="156" t="n"/>
      <c r="J4194" s="90" t="n"/>
      <c r="K4194" s="166" t="n"/>
      <c r="L4194" s="158" t="n"/>
      <c r="M4194" s="159" t="n"/>
    </row>
    <row r="4195">
      <c r="A4195" s="114" t="n"/>
      <c r="B4195" s="115" t="n"/>
      <c r="C4195" s="115" t="n"/>
      <c r="D4195" s="115" t="n"/>
      <c r="E4195" s="115" t="n"/>
      <c r="F4195" s="115" t="n"/>
      <c r="G4195" s="156" t="n"/>
      <c r="H4195" s="152" t="n"/>
      <c r="I4195" s="156" t="n"/>
      <c r="J4195" s="90" t="n"/>
      <c r="K4195" s="166" t="n"/>
      <c r="L4195" s="158" t="n"/>
      <c r="M4195" s="159" t="n"/>
    </row>
    <row r="4196">
      <c r="A4196" s="114" t="n"/>
      <c r="B4196" s="115" t="n"/>
      <c r="C4196" s="115" t="n"/>
      <c r="D4196" s="115" t="n"/>
      <c r="E4196" s="115" t="n"/>
      <c r="F4196" s="115" t="n"/>
      <c r="G4196" s="156" t="n"/>
      <c r="H4196" s="152" t="n"/>
      <c r="I4196" s="156" t="n"/>
      <c r="J4196" s="90" t="n"/>
      <c r="K4196" s="166" t="n"/>
      <c r="L4196" s="158" t="n"/>
      <c r="M4196" s="159" t="n"/>
    </row>
    <row r="4197">
      <c r="A4197" s="114" t="n"/>
      <c r="B4197" s="115" t="n"/>
      <c r="C4197" s="115" t="n"/>
      <c r="D4197" s="115" t="n"/>
      <c r="E4197" s="115" t="n"/>
      <c r="F4197" s="115" t="n"/>
      <c r="G4197" s="156" t="n"/>
      <c r="H4197" s="152" t="n"/>
      <c r="I4197" s="156" t="n"/>
      <c r="J4197" s="90" t="n"/>
      <c r="K4197" s="166" t="n"/>
      <c r="L4197" s="158" t="n"/>
      <c r="M4197" s="159" t="n"/>
    </row>
    <row r="4198">
      <c r="A4198" s="114" t="n"/>
      <c r="B4198" s="115" t="n"/>
      <c r="C4198" s="115" t="n"/>
      <c r="D4198" s="115" t="n"/>
      <c r="E4198" s="115" t="n"/>
      <c r="F4198" s="115" t="n"/>
      <c r="G4198" s="156" t="n"/>
      <c r="H4198" s="152" t="n"/>
      <c r="I4198" s="156" t="n"/>
      <c r="J4198" s="90" t="n"/>
      <c r="K4198" s="166" t="n"/>
      <c r="L4198" s="158" t="n"/>
      <c r="M4198" s="159" t="n"/>
    </row>
    <row r="4199">
      <c r="A4199" s="114" t="n"/>
      <c r="B4199" s="115" t="n"/>
      <c r="C4199" s="115" t="n"/>
      <c r="D4199" s="115" t="n"/>
      <c r="E4199" s="115" t="n"/>
      <c r="F4199" s="115" t="n"/>
      <c r="G4199" s="156" t="n"/>
      <c r="H4199" s="152" t="n"/>
      <c r="I4199" s="156" t="n"/>
      <c r="J4199" s="90" t="n"/>
      <c r="K4199" s="166" t="n"/>
      <c r="L4199" s="158" t="n"/>
      <c r="M4199" s="159" t="n"/>
    </row>
    <row r="4200">
      <c r="A4200" s="114" t="n"/>
      <c r="B4200" s="115" t="n"/>
      <c r="C4200" s="115" t="n"/>
      <c r="D4200" s="115" t="n"/>
      <c r="E4200" s="115" t="n"/>
      <c r="F4200" s="115" t="n"/>
      <c r="G4200" s="156" t="n"/>
      <c r="H4200" s="152" t="n"/>
      <c r="I4200" s="156" t="n"/>
      <c r="J4200" s="90" t="n"/>
      <c r="K4200" s="166" t="n"/>
      <c r="L4200" s="158" t="n"/>
      <c r="M4200" s="159" t="n"/>
    </row>
    <row r="4201">
      <c r="A4201" s="114" t="n"/>
      <c r="B4201" s="115" t="n"/>
      <c r="C4201" s="115" t="n"/>
      <c r="D4201" s="115" t="n"/>
      <c r="E4201" s="115" t="n"/>
      <c r="F4201" s="115" t="n"/>
      <c r="G4201" s="156" t="n"/>
      <c r="H4201" s="152" t="n"/>
      <c r="I4201" s="156" t="n"/>
      <c r="J4201" s="90" t="n"/>
      <c r="K4201" s="166" t="n"/>
      <c r="L4201" s="158" t="n"/>
      <c r="M4201" s="159" t="n"/>
    </row>
    <row r="4202">
      <c r="A4202" s="114" t="n"/>
      <c r="B4202" s="115" t="n"/>
      <c r="C4202" s="115" t="n"/>
      <c r="D4202" s="115" t="n"/>
      <c r="E4202" s="115" t="n"/>
      <c r="F4202" s="115" t="n"/>
      <c r="G4202" s="156" t="n"/>
      <c r="H4202" s="152" t="n"/>
      <c r="I4202" s="156" t="n"/>
      <c r="J4202" s="90" t="n"/>
      <c r="K4202" s="166" t="n"/>
      <c r="L4202" s="158" t="n"/>
      <c r="M4202" s="159" t="n"/>
    </row>
    <row r="4203">
      <c r="A4203" s="114" t="n"/>
      <c r="B4203" s="115" t="n"/>
      <c r="C4203" s="115" t="n"/>
      <c r="D4203" s="115" t="n"/>
      <c r="E4203" s="115" t="n"/>
      <c r="F4203" s="115" t="n"/>
      <c r="G4203" s="156" t="n"/>
      <c r="H4203" s="152" t="n"/>
      <c r="I4203" s="156" t="n"/>
      <c r="J4203" s="90" t="n"/>
      <c r="K4203" s="166" t="n"/>
      <c r="L4203" s="158" t="n"/>
      <c r="M4203" s="159" t="n"/>
    </row>
    <row r="4204">
      <c r="A4204" s="114" t="n"/>
      <c r="B4204" s="115" t="n"/>
      <c r="C4204" s="115" t="n"/>
      <c r="D4204" s="115" t="n"/>
      <c r="E4204" s="115" t="n"/>
      <c r="F4204" s="115" t="n"/>
      <c r="G4204" s="156" t="n"/>
      <c r="H4204" s="152" t="n"/>
      <c r="I4204" s="156" t="n"/>
      <c r="J4204" s="90" t="n"/>
      <c r="K4204" s="166" t="n"/>
      <c r="L4204" s="158" t="n"/>
      <c r="M4204" s="159" t="n"/>
    </row>
    <row r="4205">
      <c r="A4205" s="114" t="n"/>
      <c r="B4205" s="115" t="n"/>
      <c r="C4205" s="115" t="n"/>
      <c r="D4205" s="115" t="n"/>
      <c r="E4205" s="115" t="n"/>
      <c r="F4205" s="115" t="n"/>
      <c r="G4205" s="156" t="n"/>
      <c r="H4205" s="152" t="n"/>
      <c r="I4205" s="156" t="n"/>
      <c r="J4205" s="90" t="n"/>
      <c r="K4205" s="166" t="n"/>
      <c r="L4205" s="158" t="n"/>
      <c r="M4205" s="159" t="n"/>
    </row>
    <row r="4206">
      <c r="A4206" s="114" t="n"/>
      <c r="B4206" s="115" t="n"/>
      <c r="C4206" s="115" t="n"/>
      <c r="D4206" s="115" t="n"/>
      <c r="E4206" s="115" t="n"/>
      <c r="F4206" s="115" t="n"/>
      <c r="G4206" s="156" t="n"/>
      <c r="H4206" s="152" t="n"/>
      <c r="I4206" s="156" t="n"/>
      <c r="J4206" s="90" t="n"/>
      <c r="K4206" s="166" t="n"/>
      <c r="L4206" s="158" t="n"/>
      <c r="M4206" s="159" t="n"/>
    </row>
    <row r="4207">
      <c r="A4207" s="114" t="n"/>
      <c r="B4207" s="115" t="n"/>
      <c r="C4207" s="115" t="n"/>
      <c r="D4207" s="115" t="n"/>
      <c r="E4207" s="115" t="n"/>
      <c r="F4207" s="115" t="n"/>
      <c r="G4207" s="156" t="n"/>
      <c r="H4207" s="152" t="n"/>
      <c r="I4207" s="156" t="n"/>
      <c r="J4207" s="90" t="n"/>
      <c r="K4207" s="166" t="n"/>
      <c r="L4207" s="158" t="n"/>
      <c r="M4207" s="159" t="n"/>
    </row>
    <row r="4208">
      <c r="A4208" s="114" t="n"/>
      <c r="B4208" s="115" t="n"/>
      <c r="C4208" s="115" t="n"/>
      <c r="D4208" s="115" t="n"/>
      <c r="E4208" s="115" t="n"/>
      <c r="F4208" s="115" t="n"/>
      <c r="G4208" s="156" t="n"/>
      <c r="H4208" s="152" t="n"/>
      <c r="I4208" s="156" t="n"/>
      <c r="J4208" s="90" t="n"/>
      <c r="K4208" s="166" t="n"/>
      <c r="L4208" s="158" t="n"/>
      <c r="M4208" s="159" t="n"/>
    </row>
    <row r="4209">
      <c r="A4209" s="114" t="n"/>
      <c r="B4209" s="115" t="n"/>
      <c r="C4209" s="115" t="n"/>
      <c r="D4209" s="115" t="n"/>
      <c r="E4209" s="115" t="n"/>
      <c r="F4209" s="115" t="n"/>
      <c r="G4209" s="156" t="n"/>
      <c r="H4209" s="152" t="n"/>
      <c r="I4209" s="156" t="n"/>
      <c r="J4209" s="90" t="n"/>
      <c r="K4209" s="166" t="n"/>
      <c r="L4209" s="158" t="n"/>
      <c r="M4209" s="159" t="n"/>
    </row>
    <row r="4210">
      <c r="A4210" s="114" t="n"/>
      <c r="B4210" s="115" t="n"/>
      <c r="C4210" s="115" t="n"/>
      <c r="D4210" s="115" t="n"/>
      <c r="E4210" s="115" t="n"/>
      <c r="F4210" s="115" t="n"/>
      <c r="G4210" s="156" t="n"/>
      <c r="H4210" s="152" t="n"/>
      <c r="I4210" s="156" t="n"/>
      <c r="J4210" s="90" t="n"/>
      <c r="K4210" s="166" t="n"/>
      <c r="L4210" s="158" t="n"/>
      <c r="M4210" s="159" t="n"/>
    </row>
    <row r="4211">
      <c r="A4211" s="114" t="n"/>
      <c r="B4211" s="115" t="n"/>
      <c r="C4211" s="115" t="n"/>
      <c r="D4211" s="115" t="n"/>
      <c r="E4211" s="115" t="n"/>
      <c r="F4211" s="115" t="n"/>
      <c r="G4211" s="156" t="n"/>
      <c r="H4211" s="152" t="n"/>
      <c r="I4211" s="156" t="n"/>
      <c r="J4211" s="90" t="n"/>
      <c r="K4211" s="166" t="n"/>
      <c r="L4211" s="158" t="n"/>
      <c r="M4211" s="159" t="n"/>
    </row>
    <row r="4212">
      <c r="A4212" s="114" t="n"/>
      <c r="B4212" s="115" t="n"/>
      <c r="C4212" s="115" t="n"/>
      <c r="D4212" s="115" t="n"/>
      <c r="E4212" s="115" t="n"/>
      <c r="F4212" s="115" t="n"/>
      <c r="G4212" s="156" t="n"/>
      <c r="H4212" s="152" t="n"/>
      <c r="I4212" s="156" t="n"/>
      <c r="J4212" s="90" t="n"/>
      <c r="K4212" s="166" t="n"/>
      <c r="L4212" s="158" t="n"/>
      <c r="M4212" s="159" t="n"/>
    </row>
    <row r="4213">
      <c r="A4213" s="114" t="n"/>
      <c r="B4213" s="115" t="n"/>
      <c r="C4213" s="115" t="n"/>
      <c r="D4213" s="115" t="n"/>
      <c r="E4213" s="115" t="n"/>
      <c r="F4213" s="115" t="n"/>
      <c r="G4213" s="156" t="n"/>
      <c r="H4213" s="152" t="n"/>
      <c r="I4213" s="156" t="n"/>
      <c r="J4213" s="90" t="n"/>
      <c r="K4213" s="166" t="n"/>
      <c r="L4213" s="158" t="n"/>
      <c r="M4213" s="159" t="n"/>
    </row>
    <row r="4214">
      <c r="A4214" s="114" t="n"/>
      <c r="B4214" s="115" t="n"/>
      <c r="C4214" s="115" t="n"/>
      <c r="D4214" s="115" t="n"/>
      <c r="E4214" s="115" t="n"/>
      <c r="F4214" s="115" t="n"/>
      <c r="G4214" s="156" t="n"/>
      <c r="H4214" s="152" t="n"/>
      <c r="I4214" s="156" t="n"/>
      <c r="J4214" s="90" t="n"/>
      <c r="K4214" s="166" t="n"/>
      <c r="L4214" s="158" t="n"/>
      <c r="M4214" s="159" t="n"/>
    </row>
    <row r="4215">
      <c r="A4215" s="114" t="n"/>
      <c r="B4215" s="115" t="n"/>
      <c r="C4215" s="115" t="n"/>
      <c r="D4215" s="115" t="n"/>
      <c r="E4215" s="115" t="n"/>
      <c r="F4215" s="115" t="n"/>
      <c r="G4215" s="156" t="n"/>
      <c r="H4215" s="152" t="n"/>
      <c r="I4215" s="156" t="n"/>
      <c r="J4215" s="90" t="n"/>
      <c r="K4215" s="166" t="n"/>
      <c r="L4215" s="158" t="n"/>
      <c r="M4215" s="159" t="n"/>
    </row>
    <row r="4216">
      <c r="A4216" s="114" t="n"/>
      <c r="B4216" s="115" t="n"/>
      <c r="C4216" s="115" t="n"/>
      <c r="D4216" s="115" t="n"/>
      <c r="E4216" s="115" t="n"/>
      <c r="F4216" s="115" t="n"/>
      <c r="G4216" s="156" t="n"/>
      <c r="H4216" s="152" t="n"/>
      <c r="I4216" s="156" t="n"/>
      <c r="J4216" s="90" t="n"/>
      <c r="K4216" s="166" t="n"/>
      <c r="L4216" s="158" t="n"/>
      <c r="M4216" s="159" t="n"/>
    </row>
    <row r="4217">
      <c r="A4217" s="114" t="n"/>
      <c r="B4217" s="115" t="n"/>
      <c r="C4217" s="115" t="n"/>
      <c r="D4217" s="115" t="n"/>
      <c r="E4217" s="115" t="n"/>
      <c r="F4217" s="115" t="n"/>
      <c r="G4217" s="156" t="n"/>
      <c r="H4217" s="152" t="n"/>
      <c r="I4217" s="156" t="n"/>
      <c r="J4217" s="90" t="n"/>
      <c r="K4217" s="166" t="n"/>
      <c r="L4217" s="158" t="n"/>
      <c r="M4217" s="159" t="n"/>
    </row>
    <row r="4218">
      <c r="A4218" s="114" t="n"/>
      <c r="B4218" s="115" t="n"/>
      <c r="C4218" s="115" t="n"/>
      <c r="D4218" s="115" t="n"/>
      <c r="E4218" s="115" t="n"/>
      <c r="F4218" s="115" t="n"/>
      <c r="G4218" s="156" t="n"/>
      <c r="H4218" s="152" t="n"/>
      <c r="I4218" s="156" t="n"/>
      <c r="J4218" s="90" t="n"/>
      <c r="K4218" s="166" t="n"/>
      <c r="L4218" s="158" t="n"/>
      <c r="M4218" s="159" t="n"/>
    </row>
    <row r="4219">
      <c r="A4219" s="114" t="n"/>
      <c r="B4219" s="115" t="n"/>
      <c r="C4219" s="115" t="n"/>
      <c r="D4219" s="115" t="n"/>
      <c r="E4219" s="115" t="n"/>
      <c r="F4219" s="115" t="n"/>
      <c r="G4219" s="156" t="n"/>
      <c r="H4219" s="152" t="n"/>
      <c r="I4219" s="156" t="n"/>
      <c r="J4219" s="90" t="n"/>
      <c r="K4219" s="166" t="n"/>
      <c r="L4219" s="158" t="n"/>
      <c r="M4219" s="159" t="n"/>
    </row>
    <row r="4220">
      <c r="A4220" s="114" t="n"/>
      <c r="B4220" s="115" t="n"/>
      <c r="C4220" s="115" t="n"/>
      <c r="D4220" s="115" t="n"/>
      <c r="E4220" s="115" t="n"/>
      <c r="F4220" s="115" t="n"/>
      <c r="G4220" s="156" t="n"/>
      <c r="H4220" s="152" t="n"/>
      <c r="I4220" s="156" t="n"/>
      <c r="J4220" s="90" t="n"/>
      <c r="K4220" s="166" t="n"/>
      <c r="L4220" s="158" t="n"/>
      <c r="M4220" s="159" t="n"/>
    </row>
    <row r="4221">
      <c r="A4221" s="114" t="n"/>
      <c r="B4221" s="115" t="n"/>
      <c r="C4221" s="115" t="n"/>
      <c r="D4221" s="115" t="n"/>
      <c r="E4221" s="115" t="n"/>
      <c r="F4221" s="115" t="n"/>
      <c r="G4221" s="156" t="n"/>
      <c r="H4221" s="152" t="n"/>
      <c r="I4221" s="156" t="n"/>
      <c r="J4221" s="90" t="n"/>
      <c r="K4221" s="166" t="n"/>
      <c r="L4221" s="158" t="n"/>
      <c r="M4221" s="159" t="n"/>
    </row>
    <row r="4222">
      <c r="A4222" s="114" t="n"/>
      <c r="B4222" s="115" t="n"/>
      <c r="C4222" s="115" t="n"/>
      <c r="D4222" s="115" t="n"/>
      <c r="E4222" s="115" t="n"/>
      <c r="F4222" s="115" t="n"/>
      <c r="G4222" s="156" t="n"/>
      <c r="H4222" s="152" t="n"/>
      <c r="I4222" s="156" t="n"/>
      <c r="J4222" s="90" t="n"/>
      <c r="K4222" s="166" t="n"/>
      <c r="L4222" s="158" t="n"/>
      <c r="M4222" s="159" t="n"/>
    </row>
    <row r="4223">
      <c r="A4223" s="114" t="n"/>
      <c r="B4223" s="115" t="n"/>
      <c r="C4223" s="115" t="n"/>
      <c r="D4223" s="115" t="n"/>
      <c r="E4223" s="115" t="n"/>
      <c r="F4223" s="115" t="n"/>
      <c r="G4223" s="156" t="n"/>
      <c r="H4223" s="152" t="n"/>
      <c r="I4223" s="156" t="n"/>
      <c r="J4223" s="90" t="n"/>
      <c r="K4223" s="166" t="n"/>
      <c r="L4223" s="158" t="n"/>
      <c r="M4223" s="159" t="n"/>
    </row>
    <row r="4224">
      <c r="A4224" s="114" t="n"/>
      <c r="B4224" s="115" t="n"/>
      <c r="C4224" s="115" t="n"/>
      <c r="D4224" s="115" t="n"/>
      <c r="E4224" s="115" t="n"/>
      <c r="F4224" s="115" t="n"/>
      <c r="G4224" s="156" t="n"/>
      <c r="H4224" s="152" t="n"/>
      <c r="I4224" s="156" t="n"/>
      <c r="J4224" s="90" t="n"/>
      <c r="K4224" s="166" t="n"/>
      <c r="L4224" s="158" t="n"/>
      <c r="M4224" s="159" t="n"/>
    </row>
    <row r="4225">
      <c r="A4225" s="114" t="n"/>
      <c r="B4225" s="115" t="n"/>
      <c r="C4225" s="115" t="n"/>
      <c r="D4225" s="115" t="n"/>
      <c r="E4225" s="115" t="n"/>
      <c r="F4225" s="115" t="n"/>
      <c r="G4225" s="156" t="n"/>
      <c r="H4225" s="152" t="n"/>
      <c r="I4225" s="156" t="n"/>
      <c r="J4225" s="90" t="n"/>
      <c r="K4225" s="166" t="n"/>
      <c r="L4225" s="158" t="n"/>
      <c r="M4225" s="159" t="n"/>
    </row>
    <row r="4226">
      <c r="A4226" s="114" t="n"/>
      <c r="B4226" s="115" t="n"/>
      <c r="C4226" s="115" t="n"/>
      <c r="D4226" s="115" t="n"/>
      <c r="E4226" s="115" t="n"/>
      <c r="F4226" s="115" t="n"/>
      <c r="G4226" s="156" t="n"/>
      <c r="H4226" s="152" t="n"/>
      <c r="I4226" s="156" t="n"/>
      <c r="J4226" s="90" t="n"/>
      <c r="K4226" s="166" t="n"/>
      <c r="L4226" s="158" t="n"/>
      <c r="M4226" s="159" t="n"/>
    </row>
    <row r="4227">
      <c r="A4227" s="114" t="n"/>
      <c r="B4227" s="115" t="n"/>
      <c r="C4227" s="115" t="n"/>
      <c r="D4227" s="115" t="n"/>
      <c r="E4227" s="115" t="n"/>
      <c r="F4227" s="115" t="n"/>
      <c r="G4227" s="156" t="n"/>
      <c r="H4227" s="152" t="n"/>
      <c r="I4227" s="156" t="n"/>
      <c r="J4227" s="90" t="n"/>
      <c r="K4227" s="166" t="n"/>
      <c r="L4227" s="158" t="n"/>
      <c r="M4227" s="159" t="n"/>
    </row>
    <row r="4228">
      <c r="A4228" s="114" t="n"/>
      <c r="B4228" s="115" t="n"/>
      <c r="C4228" s="115" t="n"/>
      <c r="D4228" s="115" t="n"/>
      <c r="E4228" s="115" t="n"/>
      <c r="F4228" s="115" t="n"/>
      <c r="G4228" s="156" t="n"/>
      <c r="H4228" s="152" t="n"/>
      <c r="I4228" s="156" t="n"/>
      <c r="J4228" s="90" t="n"/>
      <c r="K4228" s="166" t="n"/>
      <c r="L4228" s="158" t="n"/>
      <c r="M4228" s="159" t="n"/>
    </row>
    <row r="4229">
      <c r="A4229" s="114" t="n"/>
      <c r="B4229" s="115" t="n"/>
      <c r="C4229" s="115" t="n"/>
      <c r="D4229" s="115" t="n"/>
      <c r="E4229" s="115" t="n"/>
      <c r="F4229" s="115" t="n"/>
      <c r="G4229" s="156" t="n"/>
      <c r="H4229" s="152" t="n"/>
      <c r="I4229" s="156" t="n"/>
      <c r="J4229" s="90" t="n"/>
      <c r="K4229" s="166" t="n"/>
      <c r="L4229" s="158" t="n"/>
      <c r="M4229" s="159" t="n"/>
    </row>
    <row r="4230">
      <c r="A4230" s="114" t="n"/>
      <c r="B4230" s="115" t="n"/>
      <c r="C4230" s="115" t="n"/>
      <c r="D4230" s="115" t="n"/>
      <c r="E4230" s="115" t="n"/>
      <c r="F4230" s="115" t="n"/>
      <c r="G4230" s="156" t="n"/>
      <c r="H4230" s="152" t="n"/>
      <c r="I4230" s="156" t="n"/>
      <c r="J4230" s="90" t="n"/>
      <c r="K4230" s="166" t="n"/>
      <c r="L4230" s="158" t="n"/>
      <c r="M4230" s="159" t="n"/>
    </row>
    <row r="4231">
      <c r="A4231" s="114" t="n"/>
      <c r="B4231" s="115" t="n"/>
      <c r="C4231" s="115" t="n"/>
      <c r="D4231" s="115" t="n"/>
      <c r="E4231" s="115" t="n"/>
      <c r="F4231" s="115" t="n"/>
      <c r="G4231" s="156" t="n"/>
      <c r="H4231" s="152" t="n"/>
      <c r="I4231" s="156" t="n"/>
      <c r="J4231" s="90" t="n"/>
      <c r="K4231" s="166" t="n"/>
      <c r="L4231" s="158" t="n"/>
      <c r="M4231" s="159" t="n"/>
    </row>
    <row r="4232">
      <c r="A4232" s="114" t="n"/>
      <c r="B4232" s="115" t="n"/>
      <c r="C4232" s="115" t="n"/>
      <c r="D4232" s="115" t="n"/>
      <c r="E4232" s="115" t="n"/>
      <c r="F4232" s="115" t="n"/>
      <c r="G4232" s="156" t="n"/>
      <c r="H4232" s="152" t="n"/>
      <c r="I4232" s="156" t="n"/>
      <c r="J4232" s="90" t="n"/>
      <c r="K4232" s="166" t="n"/>
      <c r="L4232" s="158" t="n"/>
      <c r="M4232" s="159" t="n"/>
    </row>
    <row r="4233">
      <c r="A4233" s="114" t="n"/>
      <c r="B4233" s="115" t="n"/>
      <c r="C4233" s="115" t="n"/>
      <c r="D4233" s="115" t="n"/>
      <c r="E4233" s="115" t="n"/>
      <c r="F4233" s="115" t="n"/>
      <c r="G4233" s="156" t="n"/>
      <c r="H4233" s="152" t="n"/>
      <c r="I4233" s="156" t="n"/>
      <c r="J4233" s="90" t="n"/>
      <c r="K4233" s="166" t="n"/>
      <c r="L4233" s="158" t="n"/>
      <c r="M4233" s="159" t="n"/>
    </row>
    <row r="4234">
      <c r="A4234" s="114" t="n"/>
      <c r="B4234" s="115" t="n"/>
      <c r="C4234" s="115" t="n"/>
      <c r="D4234" s="115" t="n"/>
      <c r="E4234" s="115" t="n"/>
      <c r="F4234" s="115" t="n"/>
      <c r="G4234" s="156" t="n"/>
      <c r="H4234" s="152" t="n"/>
      <c r="I4234" s="156" t="n"/>
      <c r="J4234" s="90" t="n"/>
      <c r="K4234" s="166" t="n"/>
      <c r="L4234" s="158" t="n"/>
      <c r="M4234" s="159" t="n"/>
    </row>
    <row r="4235">
      <c r="A4235" s="114" t="n"/>
      <c r="B4235" s="115" t="n"/>
      <c r="C4235" s="115" t="n"/>
      <c r="D4235" s="115" t="n"/>
      <c r="E4235" s="115" t="n"/>
      <c r="F4235" s="115" t="n"/>
      <c r="G4235" s="156" t="n"/>
      <c r="H4235" s="152" t="n"/>
      <c r="I4235" s="156" t="n"/>
      <c r="J4235" s="90" t="n"/>
      <c r="K4235" s="166" t="n"/>
      <c r="L4235" s="158" t="n"/>
      <c r="M4235" s="159" t="n"/>
    </row>
    <row r="4236">
      <c r="A4236" s="114" t="n"/>
      <c r="B4236" s="115" t="n"/>
      <c r="C4236" s="115" t="n"/>
      <c r="D4236" s="115" t="n"/>
      <c r="E4236" s="115" t="n"/>
      <c r="F4236" s="115" t="n"/>
      <c r="G4236" s="156" t="n"/>
      <c r="H4236" s="152" t="n"/>
      <c r="I4236" s="156" t="n"/>
      <c r="J4236" s="90" t="n"/>
      <c r="K4236" s="166" t="n"/>
      <c r="L4236" s="158" t="n"/>
      <c r="M4236" s="159" t="n"/>
    </row>
    <row r="4237">
      <c r="A4237" s="114" t="n"/>
      <c r="B4237" s="115" t="n"/>
      <c r="C4237" s="115" t="n"/>
      <c r="D4237" s="115" t="n"/>
      <c r="E4237" s="115" t="n"/>
      <c r="F4237" s="115" t="n"/>
      <c r="G4237" s="156" t="n"/>
      <c r="H4237" s="152" t="n"/>
      <c r="I4237" s="156" t="n"/>
      <c r="J4237" s="90" t="n"/>
      <c r="K4237" s="166" t="n"/>
      <c r="L4237" s="158" t="n"/>
      <c r="M4237" s="159" t="n"/>
    </row>
    <row r="4238">
      <c r="A4238" s="114" t="n"/>
      <c r="B4238" s="115" t="n"/>
      <c r="C4238" s="115" t="n"/>
      <c r="D4238" s="115" t="n"/>
      <c r="E4238" s="115" t="n"/>
      <c r="F4238" s="115" t="n"/>
      <c r="G4238" s="156" t="n"/>
      <c r="H4238" s="152" t="n"/>
      <c r="I4238" s="156" t="n"/>
      <c r="J4238" s="90" t="n"/>
      <c r="K4238" s="166" t="n"/>
      <c r="L4238" s="158" t="n"/>
      <c r="M4238" s="159" t="n"/>
    </row>
    <row r="4239">
      <c r="A4239" s="114" t="n"/>
      <c r="B4239" s="115" t="n"/>
      <c r="C4239" s="115" t="n"/>
      <c r="D4239" s="115" t="n"/>
      <c r="E4239" s="115" t="n"/>
      <c r="F4239" s="115" t="n"/>
      <c r="G4239" s="156" t="n"/>
      <c r="H4239" s="152" t="n"/>
      <c r="I4239" s="156" t="n"/>
      <c r="J4239" s="90" t="n"/>
      <c r="K4239" s="166" t="n"/>
      <c r="L4239" s="158" t="n"/>
      <c r="M4239" s="159" t="n"/>
    </row>
    <row r="4240">
      <c r="A4240" s="114" t="n"/>
      <c r="B4240" s="115" t="n"/>
      <c r="C4240" s="115" t="n"/>
      <c r="D4240" s="115" t="n"/>
      <c r="E4240" s="115" t="n"/>
      <c r="F4240" s="115" t="n"/>
      <c r="G4240" s="156" t="n"/>
      <c r="H4240" s="152" t="n"/>
      <c r="I4240" s="156" t="n"/>
      <c r="J4240" s="90" t="n"/>
      <c r="K4240" s="166" t="n"/>
      <c r="L4240" s="158" t="n"/>
      <c r="M4240" s="159" t="n"/>
    </row>
    <row r="4241">
      <c r="A4241" s="114" t="n"/>
      <c r="B4241" s="115" t="n"/>
      <c r="C4241" s="115" t="n"/>
      <c r="D4241" s="115" t="n"/>
      <c r="E4241" s="115" t="n"/>
      <c r="F4241" s="115" t="n"/>
      <c r="G4241" s="156" t="n"/>
      <c r="H4241" s="152" t="n"/>
      <c r="I4241" s="156" t="n"/>
      <c r="J4241" s="90" t="n"/>
      <c r="K4241" s="166" t="n"/>
      <c r="L4241" s="158" t="n"/>
      <c r="M4241" s="159" t="n"/>
    </row>
    <row r="4242">
      <c r="A4242" s="114" t="n"/>
      <c r="B4242" s="115" t="n"/>
      <c r="C4242" s="115" t="n"/>
      <c r="D4242" s="115" t="n"/>
      <c r="E4242" s="115" t="n"/>
      <c r="F4242" s="115" t="n"/>
      <c r="G4242" s="156" t="n"/>
      <c r="H4242" s="152" t="n"/>
      <c r="I4242" s="156" t="n"/>
      <c r="J4242" s="90" t="n"/>
      <c r="K4242" s="166" t="n"/>
      <c r="L4242" s="158" t="n"/>
      <c r="M4242" s="159" t="n"/>
    </row>
    <row r="4243">
      <c r="A4243" s="114" t="n"/>
      <c r="B4243" s="115" t="n"/>
      <c r="C4243" s="115" t="n"/>
      <c r="D4243" s="115" t="n"/>
      <c r="E4243" s="115" t="n"/>
      <c r="F4243" s="115" t="n"/>
      <c r="G4243" s="156" t="n"/>
      <c r="H4243" s="152" t="n"/>
      <c r="I4243" s="156" t="n"/>
      <c r="J4243" s="90" t="n"/>
      <c r="K4243" s="166" t="n"/>
      <c r="L4243" s="158" t="n"/>
      <c r="M4243" s="159" t="n"/>
    </row>
    <row r="4244">
      <c r="A4244" s="114" t="n"/>
      <c r="B4244" s="115" t="n"/>
      <c r="C4244" s="115" t="n"/>
      <c r="D4244" s="115" t="n"/>
      <c r="E4244" s="115" t="n"/>
      <c r="F4244" s="115" t="n"/>
      <c r="G4244" s="156" t="n"/>
      <c r="H4244" s="152" t="n"/>
      <c r="I4244" s="156" t="n"/>
      <c r="J4244" s="90" t="n"/>
      <c r="K4244" s="166" t="n"/>
      <c r="L4244" s="158" t="n"/>
      <c r="M4244" s="159" t="n"/>
    </row>
    <row r="4245">
      <c r="A4245" s="114" t="n"/>
      <c r="B4245" s="115" t="n"/>
      <c r="C4245" s="115" t="n"/>
      <c r="D4245" s="115" t="n"/>
      <c r="E4245" s="115" t="n"/>
      <c r="F4245" s="115" t="n"/>
      <c r="G4245" s="156" t="n"/>
      <c r="H4245" s="152" t="n"/>
      <c r="I4245" s="156" t="n"/>
      <c r="J4245" s="90" t="n"/>
      <c r="K4245" s="166" t="n"/>
      <c r="L4245" s="158" t="n"/>
      <c r="M4245" s="159" t="n"/>
    </row>
    <row r="4246">
      <c r="A4246" s="114" t="n"/>
      <c r="B4246" s="115" t="n"/>
      <c r="C4246" s="115" t="n"/>
      <c r="D4246" s="115" t="n"/>
      <c r="E4246" s="115" t="n"/>
      <c r="F4246" s="115" t="n"/>
      <c r="G4246" s="156" t="n"/>
      <c r="H4246" s="152" t="n"/>
      <c r="I4246" s="156" t="n"/>
      <c r="J4246" s="90" t="n"/>
      <c r="K4246" s="166" t="n"/>
      <c r="L4246" s="158" t="n"/>
      <c r="M4246" s="159" t="n"/>
    </row>
    <row r="4247">
      <c r="A4247" s="114" t="n"/>
      <c r="B4247" s="115" t="n"/>
      <c r="C4247" s="115" t="n"/>
      <c r="D4247" s="115" t="n"/>
      <c r="E4247" s="115" t="n"/>
      <c r="F4247" s="115" t="n"/>
      <c r="G4247" s="156" t="n"/>
      <c r="H4247" s="152" t="n"/>
      <c r="I4247" s="156" t="n"/>
      <c r="J4247" s="90" t="n"/>
      <c r="K4247" s="166" t="n"/>
      <c r="L4247" s="158" t="n"/>
      <c r="M4247" s="159" t="n"/>
    </row>
    <row r="4248">
      <c r="A4248" s="114" t="n"/>
      <c r="B4248" s="115" t="n"/>
      <c r="C4248" s="115" t="n"/>
      <c r="D4248" s="115" t="n"/>
      <c r="E4248" s="115" t="n"/>
      <c r="F4248" s="115" t="n"/>
      <c r="G4248" s="156" t="n"/>
      <c r="H4248" s="152" t="n"/>
      <c r="I4248" s="156" t="n"/>
      <c r="J4248" s="90" t="n"/>
      <c r="K4248" s="166" t="n"/>
      <c r="L4248" s="158" t="n"/>
      <c r="M4248" s="159" t="n"/>
    </row>
    <row r="4249">
      <c r="A4249" s="114" t="n"/>
      <c r="B4249" s="115" t="n"/>
      <c r="C4249" s="115" t="n"/>
      <c r="D4249" s="115" t="n"/>
      <c r="E4249" s="115" t="n"/>
      <c r="F4249" s="115" t="n"/>
      <c r="G4249" s="156" t="n"/>
      <c r="H4249" s="152" t="n"/>
      <c r="I4249" s="156" t="n"/>
      <c r="J4249" s="90" t="n"/>
      <c r="K4249" s="166" t="n"/>
      <c r="L4249" s="158" t="n"/>
      <c r="M4249" s="159" t="n"/>
    </row>
    <row r="4250">
      <c r="A4250" s="114" t="n"/>
      <c r="B4250" s="115" t="n"/>
      <c r="C4250" s="115" t="n"/>
      <c r="D4250" s="115" t="n"/>
      <c r="E4250" s="115" t="n"/>
      <c r="F4250" s="115" t="n"/>
      <c r="G4250" s="156" t="n"/>
      <c r="H4250" s="152" t="n"/>
      <c r="I4250" s="156" t="n"/>
      <c r="J4250" s="90" t="n"/>
      <c r="K4250" s="166" t="n"/>
      <c r="L4250" s="158" t="n"/>
      <c r="M4250" s="159" t="n"/>
    </row>
    <row r="4251">
      <c r="A4251" s="114" t="n"/>
      <c r="B4251" s="115" t="n"/>
      <c r="C4251" s="115" t="n"/>
      <c r="D4251" s="115" t="n"/>
      <c r="E4251" s="115" t="n"/>
      <c r="F4251" s="115" t="n"/>
      <c r="G4251" s="156" t="n"/>
      <c r="H4251" s="152" t="n"/>
      <c r="I4251" s="156" t="n"/>
      <c r="J4251" s="90" t="n"/>
      <c r="K4251" s="166" t="n"/>
      <c r="L4251" s="158" t="n"/>
      <c r="M4251" s="159" t="n"/>
    </row>
    <row r="4252">
      <c r="A4252" s="114" t="n"/>
      <c r="B4252" s="115" t="n"/>
      <c r="C4252" s="115" t="n"/>
      <c r="D4252" s="115" t="n"/>
      <c r="E4252" s="115" t="n"/>
      <c r="F4252" s="115" t="n"/>
      <c r="G4252" s="156" t="n"/>
      <c r="H4252" s="152" t="n"/>
      <c r="I4252" s="156" t="n"/>
      <c r="J4252" s="90" t="n"/>
      <c r="K4252" s="166" t="n"/>
      <c r="L4252" s="158" t="n"/>
      <c r="M4252" s="159" t="n"/>
    </row>
    <row r="4253">
      <c r="A4253" s="114" t="n"/>
      <c r="B4253" s="115" t="n"/>
      <c r="C4253" s="115" t="n"/>
      <c r="D4253" s="115" t="n"/>
      <c r="E4253" s="115" t="n"/>
      <c r="F4253" s="115" t="n"/>
      <c r="G4253" s="156" t="n"/>
      <c r="H4253" s="152" t="n"/>
      <c r="I4253" s="156" t="n"/>
      <c r="J4253" s="90" t="n"/>
      <c r="K4253" s="166" t="n"/>
      <c r="L4253" s="158" t="n"/>
      <c r="M4253" s="159" t="n"/>
    </row>
    <row r="4254">
      <c r="A4254" s="114" t="n"/>
      <c r="B4254" s="115" t="n"/>
      <c r="C4254" s="115" t="n"/>
      <c r="D4254" s="115" t="n"/>
      <c r="E4254" s="115" t="n"/>
      <c r="F4254" s="115" t="n"/>
      <c r="G4254" s="156" t="n"/>
      <c r="H4254" s="152" t="n"/>
      <c r="I4254" s="156" t="n"/>
      <c r="J4254" s="90" t="n"/>
      <c r="K4254" s="166" t="n"/>
      <c r="L4254" s="158" t="n"/>
      <c r="M4254" s="159" t="n"/>
    </row>
    <row r="4255">
      <c r="A4255" s="114" t="n"/>
      <c r="B4255" s="115" t="n"/>
      <c r="C4255" s="115" t="n"/>
      <c r="D4255" s="115" t="n"/>
      <c r="E4255" s="115" t="n"/>
      <c r="F4255" s="115" t="n"/>
      <c r="G4255" s="156" t="n"/>
      <c r="H4255" s="152" t="n"/>
      <c r="I4255" s="156" t="n"/>
      <c r="J4255" s="90" t="n"/>
      <c r="K4255" s="166" t="n"/>
      <c r="L4255" s="158" t="n"/>
      <c r="M4255" s="159" t="n"/>
    </row>
    <row r="4256">
      <c r="A4256" s="114" t="n"/>
      <c r="B4256" s="115" t="n"/>
      <c r="C4256" s="115" t="n"/>
      <c r="D4256" s="115" t="n"/>
      <c r="E4256" s="115" t="n"/>
      <c r="F4256" s="115" t="n"/>
      <c r="G4256" s="156" t="n"/>
      <c r="H4256" s="152" t="n"/>
      <c r="I4256" s="156" t="n"/>
      <c r="J4256" s="90" t="n"/>
      <c r="K4256" s="166" t="n"/>
      <c r="L4256" s="158" t="n"/>
      <c r="M4256" s="159" t="n"/>
    </row>
    <row r="4257">
      <c r="A4257" s="114" t="n"/>
      <c r="B4257" s="115" t="n"/>
      <c r="C4257" s="115" t="n"/>
      <c r="D4257" s="115" t="n"/>
      <c r="E4257" s="115" t="n"/>
      <c r="F4257" s="115" t="n"/>
      <c r="G4257" s="156" t="n"/>
      <c r="H4257" s="152" t="n"/>
      <c r="I4257" s="156" t="n"/>
      <c r="J4257" s="90" t="n"/>
      <c r="K4257" s="166" t="n"/>
      <c r="L4257" s="158" t="n"/>
      <c r="M4257" s="159" t="n"/>
    </row>
    <row r="4258">
      <c r="A4258" s="114" t="n"/>
      <c r="B4258" s="115" t="n"/>
      <c r="C4258" s="115" t="n"/>
      <c r="D4258" s="115" t="n"/>
      <c r="E4258" s="115" t="n"/>
      <c r="F4258" s="115" t="n"/>
      <c r="G4258" s="156" t="n"/>
      <c r="H4258" s="152" t="n"/>
      <c r="I4258" s="156" t="n"/>
      <c r="J4258" s="90" t="n"/>
      <c r="K4258" s="166" t="n"/>
      <c r="L4258" s="158" t="n"/>
      <c r="M4258" s="159" t="n"/>
    </row>
    <row r="4259">
      <c r="A4259" s="114" t="n"/>
      <c r="B4259" s="115" t="n"/>
      <c r="C4259" s="115" t="n"/>
      <c r="D4259" s="115" t="n"/>
      <c r="E4259" s="115" t="n"/>
      <c r="F4259" s="115" t="n"/>
      <c r="G4259" s="156" t="n"/>
      <c r="H4259" s="152" t="n"/>
      <c r="I4259" s="156" t="n"/>
      <c r="J4259" s="90" t="n"/>
      <c r="K4259" s="166" t="n"/>
      <c r="L4259" s="158" t="n"/>
      <c r="M4259" s="159" t="n"/>
    </row>
    <row r="4260">
      <c r="A4260" s="114" t="n"/>
      <c r="B4260" s="115" t="n"/>
      <c r="C4260" s="115" t="n"/>
      <c r="D4260" s="115" t="n"/>
      <c r="E4260" s="115" t="n"/>
      <c r="F4260" s="115" t="n"/>
      <c r="G4260" s="156" t="n"/>
      <c r="H4260" s="152" t="n"/>
      <c r="I4260" s="156" t="n"/>
      <c r="J4260" s="90" t="n"/>
      <c r="K4260" s="166" t="n"/>
      <c r="L4260" s="158" t="n"/>
      <c r="M4260" s="159" t="n"/>
    </row>
    <row r="4261">
      <c r="A4261" s="114" t="n"/>
      <c r="B4261" s="115" t="n"/>
      <c r="C4261" s="115" t="n"/>
      <c r="D4261" s="115" t="n"/>
      <c r="E4261" s="115" t="n"/>
      <c r="F4261" s="115" t="n"/>
      <c r="G4261" s="156" t="n"/>
      <c r="H4261" s="152" t="n"/>
      <c r="I4261" s="156" t="n"/>
      <c r="J4261" s="90" t="n"/>
      <c r="K4261" s="166" t="n"/>
      <c r="L4261" s="158" t="n"/>
      <c r="M4261" s="159" t="n"/>
    </row>
    <row r="4262">
      <c r="A4262" s="114" t="n"/>
      <c r="B4262" s="115" t="n"/>
      <c r="C4262" s="115" t="n"/>
      <c r="D4262" s="115" t="n"/>
      <c r="E4262" s="115" t="n"/>
      <c r="F4262" s="115" t="n"/>
      <c r="G4262" s="156" t="n"/>
      <c r="H4262" s="152" t="n"/>
      <c r="I4262" s="156" t="n"/>
      <c r="J4262" s="90" t="n"/>
      <c r="K4262" s="166" t="n"/>
      <c r="L4262" s="158" t="n"/>
      <c r="M4262" s="159" t="n"/>
    </row>
    <row r="4263">
      <c r="A4263" s="114" t="n"/>
      <c r="B4263" s="115" t="n"/>
      <c r="C4263" s="115" t="n"/>
      <c r="D4263" s="115" t="n"/>
      <c r="E4263" s="115" t="n"/>
      <c r="F4263" s="115" t="n"/>
      <c r="G4263" s="156" t="n"/>
      <c r="H4263" s="152" t="n"/>
      <c r="I4263" s="156" t="n"/>
      <c r="J4263" s="90" t="n"/>
      <c r="K4263" s="166" t="n"/>
      <c r="L4263" s="158" t="n"/>
      <c r="M4263" s="159" t="n"/>
    </row>
    <row r="4264">
      <c r="A4264" s="114" t="n"/>
      <c r="B4264" s="115" t="n"/>
      <c r="C4264" s="115" t="n"/>
      <c r="D4264" s="115" t="n"/>
      <c r="E4264" s="115" t="n"/>
      <c r="F4264" s="115" t="n"/>
      <c r="G4264" s="156" t="n"/>
      <c r="H4264" s="152" t="n"/>
      <c r="I4264" s="156" t="n"/>
      <c r="J4264" s="90" t="n"/>
      <c r="K4264" s="166" t="n"/>
      <c r="L4264" s="158" t="n"/>
      <c r="M4264" s="159" t="n"/>
    </row>
    <row r="4265">
      <c r="A4265" s="114" t="n"/>
      <c r="B4265" s="115" t="n"/>
      <c r="C4265" s="115" t="n"/>
      <c r="D4265" s="115" t="n"/>
      <c r="E4265" s="115" t="n"/>
      <c r="F4265" s="115" t="n"/>
      <c r="G4265" s="156" t="n"/>
      <c r="H4265" s="152" t="n"/>
      <c r="I4265" s="156" t="n"/>
      <c r="J4265" s="90" t="n"/>
      <c r="K4265" s="166" t="n"/>
      <c r="L4265" s="158" t="n"/>
      <c r="M4265" s="159" t="n"/>
    </row>
    <row r="4266">
      <c r="A4266" s="114" t="n"/>
      <c r="B4266" s="115" t="n"/>
      <c r="C4266" s="115" t="n"/>
      <c r="D4266" s="115" t="n"/>
      <c r="E4266" s="115" t="n"/>
      <c r="F4266" s="115" t="n"/>
      <c r="G4266" s="156" t="n"/>
      <c r="H4266" s="152" t="n"/>
      <c r="I4266" s="156" t="n"/>
      <c r="J4266" s="90" t="n"/>
      <c r="K4266" s="166" t="n"/>
      <c r="L4266" s="158" t="n"/>
      <c r="M4266" s="159" t="n"/>
    </row>
    <row r="4267">
      <c r="A4267" s="114" t="n"/>
      <c r="B4267" s="115" t="n"/>
      <c r="C4267" s="115" t="n"/>
      <c r="D4267" s="115" t="n"/>
      <c r="E4267" s="115" t="n"/>
      <c r="F4267" s="115" t="n"/>
      <c r="G4267" s="156" t="n"/>
      <c r="H4267" s="152" t="n"/>
      <c r="I4267" s="156" t="n"/>
      <c r="J4267" s="90" t="n"/>
      <c r="K4267" s="166" t="n"/>
      <c r="L4267" s="158" t="n"/>
      <c r="M4267" s="159" t="n"/>
    </row>
    <row r="4268">
      <c r="A4268" s="114" t="n"/>
      <c r="B4268" s="115" t="n"/>
      <c r="C4268" s="115" t="n"/>
      <c r="D4268" s="115" t="n"/>
      <c r="E4268" s="115" t="n"/>
      <c r="F4268" s="115" t="n"/>
      <c r="G4268" s="156" t="n"/>
      <c r="H4268" s="152" t="n"/>
      <c r="I4268" s="156" t="n"/>
      <c r="J4268" s="90" t="n"/>
      <c r="K4268" s="166" t="n"/>
      <c r="L4268" s="158" t="n"/>
      <c r="M4268" s="159" t="n"/>
    </row>
    <row r="4269">
      <c r="A4269" s="114" t="n"/>
      <c r="B4269" s="115" t="n"/>
      <c r="C4269" s="115" t="n"/>
      <c r="D4269" s="115" t="n"/>
      <c r="E4269" s="115" t="n"/>
      <c r="F4269" s="115" t="n"/>
      <c r="G4269" s="156" t="n"/>
      <c r="H4269" s="152" t="n"/>
      <c r="I4269" s="156" t="n"/>
      <c r="J4269" s="90" t="n"/>
      <c r="K4269" s="166" t="n"/>
      <c r="L4269" s="158" t="n"/>
      <c r="M4269" s="159" t="n"/>
    </row>
    <row r="4270">
      <c r="A4270" s="114" t="n"/>
      <c r="B4270" s="115" t="n"/>
      <c r="C4270" s="115" t="n"/>
      <c r="D4270" s="115" t="n"/>
      <c r="E4270" s="115" t="n"/>
      <c r="F4270" s="115" t="n"/>
      <c r="G4270" s="156" t="n"/>
      <c r="H4270" s="152" t="n"/>
      <c r="I4270" s="156" t="n"/>
      <c r="J4270" s="90" t="n"/>
      <c r="K4270" s="166" t="n"/>
      <c r="L4270" s="158" t="n"/>
      <c r="M4270" s="159" t="n"/>
    </row>
    <row r="4271">
      <c r="A4271" s="114" t="n"/>
      <c r="B4271" s="115" t="n"/>
      <c r="C4271" s="115" t="n"/>
      <c r="D4271" s="115" t="n"/>
      <c r="E4271" s="115" t="n"/>
      <c r="F4271" s="115" t="n"/>
      <c r="G4271" s="156" t="n"/>
      <c r="H4271" s="152" t="n"/>
      <c r="I4271" s="156" t="n"/>
      <c r="J4271" s="90" t="n"/>
      <c r="K4271" s="166" t="n"/>
      <c r="L4271" s="158" t="n"/>
      <c r="M4271" s="159" t="n"/>
    </row>
    <row r="4272">
      <c r="A4272" s="114" t="n"/>
      <c r="B4272" s="115" t="n"/>
      <c r="C4272" s="115" t="n"/>
      <c r="D4272" s="115" t="n"/>
      <c r="E4272" s="115" t="n"/>
      <c r="F4272" s="115" t="n"/>
      <c r="G4272" s="156" t="n"/>
      <c r="H4272" s="152" t="n"/>
      <c r="I4272" s="156" t="n"/>
      <c r="J4272" s="90" t="n"/>
      <c r="K4272" s="166" t="n"/>
      <c r="L4272" s="158" t="n"/>
      <c r="M4272" s="159" t="n"/>
    </row>
    <row r="4273">
      <c r="A4273" s="114" t="n"/>
      <c r="B4273" s="115" t="n"/>
      <c r="C4273" s="115" t="n"/>
      <c r="D4273" s="115" t="n"/>
      <c r="E4273" s="115" t="n"/>
      <c r="F4273" s="115" t="n"/>
      <c r="G4273" s="156" t="n"/>
      <c r="H4273" s="152" t="n"/>
      <c r="I4273" s="156" t="n"/>
      <c r="J4273" s="90" t="n"/>
      <c r="K4273" s="166" t="n"/>
      <c r="L4273" s="158" t="n"/>
      <c r="M4273" s="159" t="n"/>
    </row>
    <row r="4274">
      <c r="A4274" s="114" t="n"/>
      <c r="B4274" s="115" t="n"/>
      <c r="C4274" s="115" t="n"/>
      <c r="D4274" s="115" t="n"/>
      <c r="E4274" s="115" t="n"/>
      <c r="F4274" s="115" t="n"/>
      <c r="G4274" s="156" t="n"/>
      <c r="H4274" s="152" t="n"/>
      <c r="I4274" s="156" t="n"/>
      <c r="J4274" s="90" t="n"/>
      <c r="K4274" s="166" t="n"/>
      <c r="L4274" s="158" t="n"/>
      <c r="M4274" s="159" t="n"/>
    </row>
    <row r="4275">
      <c r="A4275" s="114" t="n"/>
      <c r="B4275" s="115" t="n"/>
      <c r="C4275" s="115" t="n"/>
      <c r="D4275" s="115" t="n"/>
      <c r="E4275" s="115" t="n"/>
      <c r="F4275" s="115" t="n"/>
      <c r="G4275" s="156" t="n"/>
      <c r="H4275" s="152" t="n"/>
      <c r="I4275" s="156" t="n"/>
      <c r="J4275" s="90" t="n"/>
      <c r="K4275" s="166" t="n"/>
      <c r="L4275" s="158" t="n"/>
      <c r="M4275" s="159" t="n"/>
    </row>
    <row r="4276">
      <c r="A4276" s="114" t="n"/>
      <c r="B4276" s="115" t="n"/>
      <c r="C4276" s="115" t="n"/>
      <c r="D4276" s="115" t="n"/>
      <c r="E4276" s="115" t="n"/>
      <c r="F4276" s="115" t="n"/>
      <c r="G4276" s="156" t="n"/>
      <c r="H4276" s="152" t="n"/>
      <c r="I4276" s="156" t="n"/>
      <c r="J4276" s="90" t="n"/>
      <c r="K4276" s="166" t="n"/>
      <c r="L4276" s="158" t="n"/>
      <c r="M4276" s="159" t="n"/>
    </row>
    <row r="4277">
      <c r="A4277" s="114" t="n"/>
      <c r="B4277" s="115" t="n"/>
      <c r="C4277" s="115" t="n"/>
      <c r="D4277" s="115" t="n"/>
      <c r="E4277" s="115" t="n"/>
      <c r="F4277" s="115" t="n"/>
      <c r="G4277" s="156" t="n"/>
      <c r="H4277" s="152" t="n"/>
      <c r="I4277" s="156" t="n"/>
      <c r="J4277" s="90" t="n"/>
      <c r="K4277" s="166" t="n"/>
      <c r="L4277" s="158" t="n"/>
      <c r="M4277" s="159" t="n"/>
    </row>
    <row r="4278">
      <c r="A4278" s="114" t="n"/>
      <c r="B4278" s="115" t="n"/>
      <c r="C4278" s="115" t="n"/>
      <c r="D4278" s="115" t="n"/>
      <c r="E4278" s="115" t="n"/>
      <c r="F4278" s="115" t="n"/>
      <c r="G4278" s="156" t="n"/>
      <c r="H4278" s="152" t="n"/>
      <c r="I4278" s="156" t="n"/>
      <c r="J4278" s="90" t="n"/>
      <c r="K4278" s="166" t="n"/>
      <c r="L4278" s="158" t="n"/>
      <c r="M4278" s="159" t="n"/>
    </row>
    <row r="4279">
      <c r="A4279" s="114" t="n"/>
      <c r="B4279" s="115" t="n"/>
      <c r="C4279" s="115" t="n"/>
      <c r="D4279" s="115" t="n"/>
      <c r="E4279" s="115" t="n"/>
      <c r="F4279" s="115" t="n"/>
      <c r="G4279" s="156" t="n"/>
      <c r="H4279" s="152" t="n"/>
      <c r="I4279" s="156" t="n"/>
      <c r="J4279" s="90" t="n"/>
      <c r="K4279" s="166" t="n"/>
      <c r="L4279" s="158" t="n"/>
      <c r="M4279" s="159" t="n"/>
    </row>
    <row r="4280">
      <c r="A4280" s="114" t="n"/>
      <c r="B4280" s="115" t="n"/>
      <c r="C4280" s="115" t="n"/>
      <c r="D4280" s="115" t="n"/>
      <c r="E4280" s="115" t="n"/>
      <c r="F4280" s="115" t="n"/>
      <c r="G4280" s="156" t="n"/>
      <c r="H4280" s="152" t="n"/>
      <c r="I4280" s="156" t="n"/>
      <c r="J4280" s="90" t="n"/>
      <c r="K4280" s="166" t="n"/>
      <c r="L4280" s="158" t="n"/>
      <c r="M4280" s="159" t="n"/>
    </row>
    <row r="4281">
      <c r="A4281" s="114" t="n"/>
      <c r="B4281" s="115" t="n"/>
      <c r="C4281" s="115" t="n"/>
      <c r="D4281" s="115" t="n"/>
      <c r="E4281" s="115" t="n"/>
      <c r="F4281" s="115" t="n"/>
      <c r="G4281" s="156" t="n"/>
      <c r="H4281" s="152" t="n"/>
      <c r="I4281" s="156" t="n"/>
      <c r="J4281" s="90" t="n"/>
      <c r="K4281" s="166" t="n"/>
      <c r="L4281" s="158" t="n"/>
      <c r="M4281" s="159" t="n"/>
    </row>
    <row r="4282">
      <c r="A4282" s="114" t="n"/>
      <c r="B4282" s="115" t="n"/>
      <c r="C4282" s="115" t="n"/>
      <c r="D4282" s="115" t="n"/>
      <c r="E4282" s="115" t="n"/>
      <c r="F4282" s="115" t="n"/>
      <c r="G4282" s="156" t="n"/>
      <c r="H4282" s="152" t="n"/>
      <c r="I4282" s="156" t="n"/>
      <c r="J4282" s="90" t="n"/>
      <c r="K4282" s="166" t="n"/>
      <c r="L4282" s="158" t="n"/>
      <c r="M4282" s="159" t="n"/>
    </row>
    <row r="4283">
      <c r="A4283" s="114" t="n"/>
      <c r="B4283" s="115" t="n"/>
      <c r="C4283" s="115" t="n"/>
      <c r="D4283" s="115" t="n"/>
      <c r="E4283" s="115" t="n"/>
      <c r="F4283" s="115" t="n"/>
      <c r="G4283" s="156" t="n"/>
      <c r="H4283" s="152" t="n"/>
      <c r="I4283" s="156" t="n"/>
      <c r="J4283" s="90" t="n"/>
      <c r="K4283" s="166" t="n"/>
      <c r="L4283" s="158" t="n"/>
      <c r="M4283" s="159" t="n"/>
    </row>
    <row r="4284">
      <c r="A4284" s="114" t="n"/>
      <c r="B4284" s="115" t="n"/>
      <c r="C4284" s="115" t="n"/>
      <c r="D4284" s="115" t="n"/>
      <c r="E4284" s="115" t="n"/>
      <c r="F4284" s="115" t="n"/>
      <c r="G4284" s="156" t="n"/>
      <c r="H4284" s="152" t="n"/>
      <c r="I4284" s="156" t="n"/>
      <c r="J4284" s="90" t="n"/>
      <c r="K4284" s="166" t="n"/>
      <c r="L4284" s="158" t="n"/>
      <c r="M4284" s="159" t="n"/>
    </row>
    <row r="4285">
      <c r="A4285" s="114" t="n"/>
      <c r="B4285" s="115" t="n"/>
      <c r="C4285" s="115" t="n"/>
      <c r="D4285" s="115" t="n"/>
      <c r="E4285" s="115" t="n"/>
      <c r="F4285" s="115" t="n"/>
      <c r="G4285" s="156" t="n"/>
      <c r="H4285" s="152" t="n"/>
      <c r="I4285" s="156" t="n"/>
      <c r="J4285" s="90" t="n"/>
      <c r="K4285" s="166" t="n"/>
      <c r="L4285" s="158" t="n"/>
      <c r="M4285" s="159" t="n"/>
    </row>
    <row r="4286">
      <c r="A4286" s="114" t="n"/>
      <c r="B4286" s="115" t="n"/>
      <c r="C4286" s="115" t="n"/>
      <c r="D4286" s="115" t="n"/>
      <c r="E4286" s="115" t="n"/>
      <c r="F4286" s="115" t="n"/>
      <c r="G4286" s="156" t="n"/>
      <c r="H4286" s="152" t="n"/>
      <c r="I4286" s="156" t="n"/>
      <c r="J4286" s="90" t="n"/>
      <c r="K4286" s="166" t="n"/>
      <c r="L4286" s="158" t="n"/>
      <c r="M4286" s="159" t="n"/>
    </row>
    <row r="4287">
      <c r="A4287" s="114" t="n"/>
      <c r="B4287" s="115" t="n"/>
      <c r="C4287" s="115" t="n"/>
      <c r="D4287" s="115" t="n"/>
      <c r="E4287" s="115" t="n"/>
      <c r="F4287" s="115" t="n"/>
      <c r="G4287" s="156" t="n"/>
      <c r="H4287" s="152" t="n"/>
      <c r="I4287" s="156" t="n"/>
      <c r="J4287" s="90" t="n"/>
      <c r="K4287" s="166" t="n"/>
      <c r="L4287" s="158" t="n"/>
      <c r="M4287" s="159" t="n"/>
    </row>
    <row r="4288">
      <c r="A4288" s="114" t="n"/>
      <c r="B4288" s="115" t="n"/>
      <c r="C4288" s="115" t="n"/>
      <c r="D4288" s="115" t="n"/>
      <c r="E4288" s="115" t="n"/>
      <c r="F4288" s="115" t="n"/>
      <c r="G4288" s="156" t="n"/>
      <c r="H4288" s="152" t="n"/>
      <c r="I4288" s="156" t="n"/>
      <c r="J4288" s="90" t="n"/>
      <c r="K4288" s="166" t="n"/>
      <c r="L4288" s="158" t="n"/>
      <c r="M4288" s="159" t="n"/>
    </row>
    <row r="4289">
      <c r="A4289" s="114" t="n"/>
      <c r="B4289" s="115" t="n"/>
      <c r="C4289" s="115" t="n"/>
      <c r="D4289" s="115" t="n"/>
      <c r="E4289" s="115" t="n"/>
      <c r="F4289" s="115" t="n"/>
      <c r="G4289" s="156" t="n"/>
      <c r="H4289" s="152" t="n"/>
      <c r="I4289" s="156" t="n"/>
      <c r="J4289" s="90" t="n"/>
      <c r="K4289" s="166" t="n"/>
      <c r="L4289" s="158" t="n"/>
      <c r="M4289" s="159" t="n"/>
    </row>
    <row r="4290">
      <c r="A4290" s="114" t="n"/>
      <c r="B4290" s="115" t="n"/>
      <c r="C4290" s="115" t="n"/>
      <c r="D4290" s="115" t="n"/>
      <c r="E4290" s="115" t="n"/>
      <c r="F4290" s="115" t="n"/>
      <c r="G4290" s="156" t="n"/>
      <c r="H4290" s="152" t="n"/>
      <c r="I4290" s="156" t="n"/>
      <c r="J4290" s="90" t="n"/>
      <c r="K4290" s="166" t="n"/>
      <c r="L4290" s="158" t="n"/>
      <c r="M4290" s="159" t="n"/>
    </row>
    <row r="4291">
      <c r="A4291" s="114" t="n"/>
      <c r="B4291" s="115" t="n"/>
      <c r="C4291" s="115" t="n"/>
      <c r="D4291" s="115" t="n"/>
      <c r="E4291" s="115" t="n"/>
      <c r="F4291" s="115" t="n"/>
      <c r="G4291" s="156" t="n"/>
      <c r="H4291" s="152" t="n"/>
      <c r="I4291" s="156" t="n"/>
      <c r="J4291" s="90" t="n"/>
      <c r="K4291" s="166" t="n"/>
      <c r="L4291" s="158" t="n"/>
      <c r="M4291" s="159" t="n"/>
    </row>
    <row r="4292">
      <c r="A4292" s="114" t="n"/>
      <c r="B4292" s="115" t="n"/>
      <c r="C4292" s="115" t="n"/>
      <c r="D4292" s="115" t="n"/>
      <c r="E4292" s="115" t="n"/>
      <c r="F4292" s="115" t="n"/>
      <c r="G4292" s="156" t="n"/>
      <c r="H4292" s="152" t="n"/>
      <c r="I4292" s="156" t="n"/>
      <c r="J4292" s="90" t="n"/>
      <c r="K4292" s="166" t="n"/>
      <c r="L4292" s="158" t="n"/>
      <c r="M4292" s="159" t="n"/>
    </row>
    <row r="4293">
      <c r="A4293" s="114" t="n"/>
      <c r="B4293" s="115" t="n"/>
      <c r="C4293" s="115" t="n"/>
      <c r="D4293" s="115" t="n"/>
      <c r="E4293" s="115" t="n"/>
      <c r="F4293" s="115" t="n"/>
      <c r="G4293" s="156" t="n"/>
      <c r="H4293" s="152" t="n"/>
      <c r="I4293" s="156" t="n"/>
      <c r="J4293" s="90" t="n"/>
      <c r="K4293" s="166" t="n"/>
      <c r="L4293" s="158" t="n"/>
      <c r="M4293" s="159" t="n"/>
    </row>
    <row r="4294">
      <c r="A4294" s="114" t="n"/>
      <c r="B4294" s="115" t="n"/>
      <c r="C4294" s="115" t="n"/>
      <c r="D4294" s="115" t="n"/>
      <c r="E4294" s="115" t="n"/>
      <c r="F4294" s="115" t="n"/>
      <c r="G4294" s="156" t="n"/>
      <c r="H4294" s="152" t="n"/>
      <c r="I4294" s="156" t="n"/>
      <c r="J4294" s="90" t="n"/>
      <c r="K4294" s="166" t="n"/>
      <c r="L4294" s="158" t="n"/>
      <c r="M4294" s="159" t="n"/>
    </row>
    <row r="4295">
      <c r="A4295" s="114" t="n"/>
      <c r="B4295" s="115" t="n"/>
      <c r="C4295" s="115" t="n"/>
      <c r="D4295" s="115" t="n"/>
      <c r="E4295" s="115" t="n"/>
      <c r="F4295" s="115" t="n"/>
      <c r="G4295" s="156" t="n"/>
      <c r="H4295" s="152" t="n"/>
      <c r="I4295" s="156" t="n"/>
      <c r="J4295" s="90" t="n"/>
      <c r="K4295" s="166" t="n"/>
      <c r="L4295" s="158" t="n"/>
      <c r="M4295" s="159" t="n"/>
    </row>
    <row r="4296">
      <c r="A4296" s="114" t="n"/>
      <c r="B4296" s="115" t="n"/>
      <c r="C4296" s="115" t="n"/>
      <c r="D4296" s="115" t="n"/>
      <c r="E4296" s="115" t="n"/>
      <c r="F4296" s="115" t="n"/>
      <c r="G4296" s="156" t="n"/>
      <c r="H4296" s="152" t="n"/>
      <c r="I4296" s="156" t="n"/>
      <c r="J4296" s="90" t="n"/>
      <c r="K4296" s="166" t="n"/>
      <c r="L4296" s="158" t="n"/>
      <c r="M4296" s="159" t="n"/>
    </row>
    <row r="4297">
      <c r="A4297" s="114" t="n"/>
      <c r="B4297" s="115" t="n"/>
      <c r="C4297" s="115" t="n"/>
      <c r="D4297" s="115" t="n"/>
      <c r="E4297" s="115" t="n"/>
      <c r="F4297" s="115" t="n"/>
      <c r="G4297" s="156" t="n"/>
      <c r="H4297" s="152" t="n"/>
      <c r="I4297" s="156" t="n"/>
      <c r="J4297" s="90" t="n"/>
      <c r="K4297" s="166" t="n"/>
      <c r="L4297" s="158" t="n"/>
      <c r="M4297" s="159" t="n"/>
    </row>
    <row r="4298">
      <c r="A4298" s="114" t="n"/>
      <c r="B4298" s="115" t="n"/>
      <c r="C4298" s="115" t="n"/>
      <c r="D4298" s="115" t="n"/>
      <c r="E4298" s="115" t="n"/>
      <c r="F4298" s="115" t="n"/>
      <c r="G4298" s="156" t="n"/>
      <c r="H4298" s="152" t="n"/>
      <c r="I4298" s="156" t="n"/>
      <c r="J4298" s="90" t="n"/>
      <c r="K4298" s="166" t="n"/>
      <c r="L4298" s="158" t="n"/>
      <c r="M4298" s="159" t="n"/>
    </row>
    <row r="4299">
      <c r="A4299" s="114" t="n"/>
      <c r="B4299" s="115" t="n"/>
      <c r="C4299" s="115" t="n"/>
      <c r="D4299" s="115" t="n"/>
      <c r="E4299" s="115" t="n"/>
      <c r="F4299" s="115" t="n"/>
      <c r="G4299" s="156" t="n"/>
      <c r="H4299" s="152" t="n"/>
      <c r="I4299" s="156" t="n"/>
      <c r="J4299" s="90" t="n"/>
      <c r="K4299" s="166" t="n"/>
      <c r="L4299" s="158" t="n"/>
      <c r="M4299" s="159" t="n"/>
    </row>
    <row r="4300">
      <c r="A4300" s="114" t="n"/>
      <c r="B4300" s="115" t="n"/>
      <c r="C4300" s="115" t="n"/>
      <c r="D4300" s="115" t="n"/>
      <c r="E4300" s="115" t="n"/>
      <c r="F4300" s="115" t="n"/>
      <c r="G4300" s="156" t="n"/>
      <c r="H4300" s="152" t="n"/>
      <c r="I4300" s="156" t="n"/>
      <c r="J4300" s="90" t="n"/>
      <c r="K4300" s="166" t="n"/>
      <c r="L4300" s="158" t="n"/>
      <c r="M4300" s="159" t="n"/>
    </row>
    <row r="4301">
      <c r="A4301" s="114" t="n"/>
      <c r="B4301" s="115" t="n"/>
      <c r="C4301" s="115" t="n"/>
      <c r="D4301" s="115" t="n"/>
      <c r="E4301" s="115" t="n"/>
      <c r="F4301" s="115" t="n"/>
      <c r="G4301" s="156" t="n"/>
      <c r="H4301" s="152" t="n"/>
      <c r="I4301" s="156" t="n"/>
      <c r="J4301" s="90" t="n"/>
      <c r="K4301" s="166" t="n"/>
      <c r="L4301" s="158" t="n"/>
      <c r="M4301" s="159" t="n"/>
    </row>
    <row r="4302">
      <c r="A4302" s="114" t="n"/>
      <c r="B4302" s="115" t="n"/>
      <c r="C4302" s="115" t="n"/>
      <c r="D4302" s="115" t="n"/>
      <c r="E4302" s="115" t="n"/>
      <c r="F4302" s="115" t="n"/>
      <c r="G4302" s="156" t="n"/>
      <c r="H4302" s="152" t="n"/>
      <c r="I4302" s="156" t="n"/>
      <c r="J4302" s="90" t="n"/>
      <c r="K4302" s="166" t="n"/>
      <c r="L4302" s="158" t="n"/>
      <c r="M4302" s="159" t="n"/>
    </row>
    <row r="4303">
      <c r="A4303" s="114" t="n"/>
      <c r="B4303" s="115" t="n"/>
      <c r="C4303" s="115" t="n"/>
      <c r="D4303" s="115" t="n"/>
      <c r="E4303" s="115" t="n"/>
      <c r="F4303" s="115" t="n"/>
      <c r="G4303" s="156" t="n"/>
      <c r="H4303" s="152" t="n"/>
      <c r="I4303" s="156" t="n"/>
      <c r="J4303" s="90" t="n"/>
      <c r="K4303" s="166" t="n"/>
      <c r="L4303" s="158" t="n"/>
      <c r="M4303" s="159" t="n"/>
    </row>
    <row r="4304">
      <c r="A4304" s="114" t="n"/>
      <c r="B4304" s="115" t="n"/>
      <c r="C4304" s="115" t="n"/>
      <c r="D4304" s="115" t="n"/>
      <c r="E4304" s="115" t="n"/>
      <c r="F4304" s="115" t="n"/>
      <c r="G4304" s="156" t="n"/>
      <c r="H4304" s="152" t="n"/>
      <c r="I4304" s="156" t="n"/>
      <c r="J4304" s="90" t="n"/>
      <c r="K4304" s="166" t="n"/>
      <c r="L4304" s="158" t="n"/>
      <c r="M4304" s="159" t="n"/>
    </row>
    <row r="4305">
      <c r="A4305" s="114" t="n"/>
      <c r="B4305" s="115" t="n"/>
      <c r="C4305" s="115" t="n"/>
      <c r="D4305" s="115" t="n"/>
      <c r="E4305" s="115" t="n"/>
      <c r="F4305" s="115" t="n"/>
      <c r="G4305" s="156" t="n"/>
      <c r="H4305" s="152" t="n"/>
      <c r="I4305" s="156" t="n"/>
      <c r="J4305" s="90" t="n"/>
      <c r="K4305" s="166" t="n"/>
      <c r="L4305" s="158" t="n"/>
      <c r="M4305" s="159" t="n"/>
    </row>
    <row r="4306">
      <c r="A4306" s="114" t="n"/>
      <c r="B4306" s="115" t="n"/>
      <c r="C4306" s="115" t="n"/>
      <c r="D4306" s="115" t="n"/>
      <c r="E4306" s="115" t="n"/>
      <c r="F4306" s="115" t="n"/>
      <c r="G4306" s="156" t="n"/>
      <c r="H4306" s="152" t="n"/>
      <c r="I4306" s="156" t="n"/>
      <c r="J4306" s="90" t="n"/>
      <c r="K4306" s="166" t="n"/>
      <c r="L4306" s="158" t="n"/>
      <c r="M4306" s="159" t="n"/>
    </row>
    <row r="4307">
      <c r="A4307" s="114" t="n"/>
      <c r="B4307" s="115" t="n"/>
      <c r="C4307" s="115" t="n"/>
      <c r="D4307" s="115" t="n"/>
      <c r="E4307" s="115" t="n"/>
      <c r="F4307" s="115" t="n"/>
      <c r="G4307" s="156" t="n"/>
      <c r="H4307" s="152" t="n"/>
      <c r="I4307" s="156" t="n"/>
      <c r="J4307" s="90" t="n"/>
      <c r="K4307" s="166" t="n"/>
      <c r="L4307" s="158" t="n"/>
      <c r="M4307" s="159" t="n"/>
    </row>
    <row r="4308">
      <c r="A4308" s="114" t="n"/>
      <c r="B4308" s="115" t="n"/>
      <c r="C4308" s="115" t="n"/>
      <c r="D4308" s="115" t="n"/>
      <c r="E4308" s="115" t="n"/>
      <c r="F4308" s="115" t="n"/>
      <c r="G4308" s="156" t="n"/>
      <c r="H4308" s="152" t="n"/>
      <c r="I4308" s="156" t="n"/>
      <c r="J4308" s="90" t="n"/>
      <c r="K4308" s="166" t="n"/>
      <c r="L4308" s="158" t="n"/>
      <c r="M4308" s="159" t="n"/>
    </row>
    <row r="4309">
      <c r="A4309" s="114" t="n"/>
      <c r="B4309" s="115" t="n"/>
      <c r="C4309" s="115" t="n"/>
      <c r="D4309" s="115" t="n"/>
      <c r="E4309" s="115" t="n"/>
      <c r="F4309" s="115" t="n"/>
      <c r="G4309" s="156" t="n"/>
      <c r="H4309" s="152" t="n"/>
      <c r="I4309" s="156" t="n"/>
      <c r="J4309" s="90" t="n"/>
      <c r="K4309" s="166" t="n"/>
      <c r="L4309" s="158" t="n"/>
      <c r="M4309" s="159" t="n"/>
    </row>
    <row r="4310">
      <c r="A4310" s="114" t="n"/>
      <c r="B4310" s="115" t="n"/>
      <c r="C4310" s="115" t="n"/>
      <c r="D4310" s="115" t="n"/>
      <c r="E4310" s="115" t="n"/>
      <c r="F4310" s="115" t="n"/>
      <c r="G4310" s="156" t="n"/>
      <c r="H4310" s="152" t="n"/>
      <c r="I4310" s="156" t="n"/>
      <c r="J4310" s="90" t="n"/>
      <c r="K4310" s="166" t="n"/>
      <c r="L4310" s="158" t="n"/>
      <c r="M4310" s="159" t="n"/>
    </row>
    <row r="4311">
      <c r="A4311" s="114" t="n"/>
      <c r="B4311" s="115" t="n"/>
      <c r="C4311" s="115" t="n"/>
      <c r="D4311" s="115" t="n"/>
      <c r="E4311" s="115" t="n"/>
      <c r="F4311" s="115" t="n"/>
      <c r="G4311" s="156" t="n"/>
      <c r="H4311" s="152" t="n"/>
      <c r="I4311" s="156" t="n"/>
      <c r="J4311" s="90" t="n"/>
      <c r="K4311" s="166" t="n"/>
      <c r="L4311" s="158" t="n"/>
      <c r="M4311" s="159" t="n"/>
    </row>
    <row r="4312">
      <c r="A4312" s="114" t="n"/>
      <c r="B4312" s="115" t="n"/>
      <c r="C4312" s="115" t="n"/>
      <c r="D4312" s="115" t="n"/>
      <c r="E4312" s="115" t="n"/>
      <c r="F4312" s="115" t="n"/>
      <c r="G4312" s="156" t="n"/>
      <c r="H4312" s="152" t="n"/>
      <c r="I4312" s="156" t="n"/>
      <c r="J4312" s="90" t="n"/>
      <c r="K4312" s="166" t="n"/>
      <c r="L4312" s="158" t="n"/>
      <c r="M4312" s="159" t="n"/>
    </row>
    <row r="4313">
      <c r="A4313" s="114" t="n"/>
      <c r="B4313" s="115" t="n"/>
      <c r="C4313" s="115" t="n"/>
      <c r="D4313" s="115" t="n"/>
      <c r="E4313" s="115" t="n"/>
      <c r="F4313" s="115" t="n"/>
      <c r="G4313" s="156" t="n"/>
      <c r="H4313" s="152" t="n"/>
      <c r="I4313" s="156" t="n"/>
      <c r="J4313" s="90" t="n"/>
      <c r="K4313" s="166" t="n"/>
      <c r="L4313" s="158" t="n"/>
      <c r="M4313" s="159" t="n"/>
    </row>
    <row r="4314">
      <c r="A4314" s="114" t="n"/>
      <c r="B4314" s="115" t="n"/>
      <c r="C4314" s="115" t="n"/>
      <c r="D4314" s="115" t="n"/>
      <c r="E4314" s="115" t="n"/>
      <c r="F4314" s="115" t="n"/>
      <c r="G4314" s="156" t="n"/>
      <c r="H4314" s="152" t="n"/>
      <c r="I4314" s="156" t="n"/>
      <c r="J4314" s="90" t="n"/>
      <c r="K4314" s="166" t="n"/>
      <c r="L4314" s="158" t="n"/>
      <c r="M4314" s="159" t="n"/>
    </row>
    <row r="4315">
      <c r="A4315" s="114" t="n"/>
      <c r="B4315" s="115" t="n"/>
      <c r="C4315" s="115" t="n"/>
      <c r="D4315" s="115" t="n"/>
      <c r="E4315" s="115" t="n"/>
      <c r="F4315" s="115" t="n"/>
      <c r="G4315" s="156" t="n"/>
      <c r="H4315" s="152" t="n"/>
      <c r="I4315" s="156" t="n"/>
      <c r="J4315" s="90" t="n"/>
      <c r="K4315" s="166" t="n"/>
      <c r="L4315" s="158" t="n"/>
      <c r="M4315" s="159" t="n"/>
    </row>
    <row r="4316">
      <c r="A4316" s="114" t="n"/>
      <c r="B4316" s="115" t="n"/>
      <c r="C4316" s="115" t="n"/>
      <c r="D4316" s="115" t="n"/>
      <c r="E4316" s="115" t="n"/>
      <c r="F4316" s="115" t="n"/>
      <c r="G4316" s="156" t="n"/>
      <c r="H4316" s="152" t="n"/>
      <c r="I4316" s="156" t="n"/>
      <c r="J4316" s="90" t="n"/>
      <c r="K4316" s="166" t="n"/>
      <c r="L4316" s="158" t="n"/>
      <c r="M4316" s="159" t="n"/>
    </row>
    <row r="4317">
      <c r="A4317" s="114" t="n"/>
      <c r="B4317" s="115" t="n"/>
      <c r="C4317" s="115" t="n"/>
      <c r="D4317" s="115" t="n"/>
      <c r="E4317" s="115" t="n"/>
      <c r="F4317" s="115" t="n"/>
      <c r="G4317" s="156" t="n"/>
      <c r="H4317" s="152" t="n"/>
      <c r="I4317" s="156" t="n"/>
      <c r="J4317" s="90" t="n"/>
      <c r="K4317" s="166" t="n"/>
      <c r="L4317" s="158" t="n"/>
      <c r="M4317" s="159" t="n"/>
    </row>
    <row r="4318">
      <c r="A4318" s="114" t="n"/>
      <c r="B4318" s="115" t="n"/>
      <c r="C4318" s="115" t="n"/>
      <c r="D4318" s="115" t="n"/>
      <c r="E4318" s="115" t="n"/>
      <c r="F4318" s="115" t="n"/>
      <c r="G4318" s="156" t="n"/>
      <c r="H4318" s="152" t="n"/>
      <c r="I4318" s="156" t="n"/>
      <c r="J4318" s="90" t="n"/>
      <c r="K4318" s="166" t="n"/>
      <c r="L4318" s="158" t="n"/>
      <c r="M4318" s="159" t="n"/>
    </row>
    <row r="4319">
      <c r="A4319" s="114" t="n"/>
      <c r="B4319" s="115" t="n"/>
      <c r="C4319" s="115" t="n"/>
      <c r="D4319" s="115" t="n"/>
      <c r="E4319" s="115" t="n"/>
      <c r="F4319" s="115" t="n"/>
      <c r="G4319" s="156" t="n"/>
      <c r="H4319" s="152" t="n"/>
      <c r="I4319" s="156" t="n"/>
      <c r="J4319" s="90" t="n"/>
      <c r="K4319" s="166" t="n"/>
      <c r="L4319" s="158" t="n"/>
      <c r="M4319" s="159" t="n"/>
    </row>
    <row r="4320">
      <c r="A4320" s="114" t="n"/>
      <c r="B4320" s="115" t="n"/>
      <c r="C4320" s="115" t="n"/>
      <c r="D4320" s="115" t="n"/>
      <c r="E4320" s="115" t="n"/>
      <c r="F4320" s="115" t="n"/>
      <c r="G4320" s="156" t="n"/>
      <c r="H4320" s="152" t="n"/>
      <c r="I4320" s="156" t="n"/>
      <c r="J4320" s="90" t="n"/>
      <c r="K4320" s="166" t="n"/>
      <c r="L4320" s="158" t="n"/>
      <c r="M4320" s="159" t="n"/>
    </row>
    <row r="4321">
      <c r="A4321" s="114" t="n"/>
      <c r="B4321" s="115" t="n"/>
      <c r="C4321" s="115" t="n"/>
      <c r="D4321" s="115" t="n"/>
      <c r="E4321" s="115" t="n"/>
      <c r="F4321" s="115" t="n"/>
      <c r="G4321" s="156" t="n"/>
      <c r="H4321" s="152" t="n"/>
      <c r="I4321" s="156" t="n"/>
      <c r="J4321" s="90" t="n"/>
      <c r="K4321" s="166" t="n"/>
      <c r="L4321" s="158" t="n"/>
      <c r="M4321" s="159" t="n"/>
    </row>
    <row r="4322">
      <c r="A4322" s="114" t="n"/>
      <c r="B4322" s="115" t="n"/>
      <c r="C4322" s="115" t="n"/>
      <c r="D4322" s="115" t="n"/>
      <c r="E4322" s="115" t="n"/>
      <c r="F4322" s="115" t="n"/>
      <c r="G4322" s="156" t="n"/>
      <c r="H4322" s="152" t="n"/>
      <c r="I4322" s="156" t="n"/>
      <c r="J4322" s="90" t="n"/>
      <c r="K4322" s="166" t="n"/>
      <c r="L4322" s="158" t="n"/>
      <c r="M4322" s="159" t="n"/>
    </row>
    <row r="4323">
      <c r="A4323" s="114" t="n"/>
      <c r="B4323" s="115" t="n"/>
      <c r="C4323" s="115" t="n"/>
      <c r="D4323" s="115" t="n"/>
      <c r="E4323" s="115" t="n"/>
      <c r="F4323" s="115" t="n"/>
      <c r="G4323" s="156" t="n"/>
      <c r="H4323" s="152" t="n"/>
      <c r="I4323" s="156" t="n"/>
      <c r="J4323" s="90" t="n"/>
      <c r="K4323" s="166" t="n"/>
      <c r="L4323" s="158" t="n"/>
      <c r="M4323" s="159" t="n"/>
    </row>
    <row r="4324">
      <c r="A4324" s="114" t="n"/>
      <c r="B4324" s="115" t="n"/>
      <c r="C4324" s="115" t="n"/>
      <c r="D4324" s="115" t="n"/>
      <c r="E4324" s="115" t="n"/>
      <c r="F4324" s="115" t="n"/>
      <c r="G4324" s="156" t="n"/>
      <c r="H4324" s="152" t="n"/>
      <c r="I4324" s="156" t="n"/>
      <c r="J4324" s="90" t="n"/>
      <c r="K4324" s="166" t="n"/>
      <c r="L4324" s="158" t="n"/>
      <c r="M4324" s="159" t="n"/>
    </row>
    <row r="4325">
      <c r="A4325" s="114" t="n"/>
      <c r="B4325" s="115" t="n"/>
      <c r="C4325" s="115" t="n"/>
      <c r="D4325" s="115" t="n"/>
      <c r="E4325" s="115" t="n"/>
      <c r="F4325" s="115" t="n"/>
      <c r="G4325" s="156" t="n"/>
      <c r="H4325" s="152" t="n"/>
      <c r="I4325" s="156" t="n"/>
      <c r="J4325" s="90" t="n"/>
      <c r="K4325" s="166" t="n"/>
      <c r="L4325" s="158" t="n"/>
      <c r="M4325" s="159" t="n"/>
    </row>
    <row r="4326">
      <c r="A4326" s="114" t="n"/>
      <c r="B4326" s="115" t="n"/>
      <c r="C4326" s="115" t="n"/>
      <c r="D4326" s="115" t="n"/>
      <c r="E4326" s="115" t="n"/>
      <c r="F4326" s="115" t="n"/>
      <c r="G4326" s="156" t="n"/>
      <c r="H4326" s="152" t="n"/>
      <c r="I4326" s="156" t="n"/>
      <c r="J4326" s="90" t="n"/>
      <c r="K4326" s="166" t="n"/>
      <c r="L4326" s="158" t="n"/>
      <c r="M4326" s="159" t="n"/>
    </row>
    <row r="4327">
      <c r="A4327" s="114" t="n"/>
      <c r="B4327" s="115" t="n"/>
      <c r="C4327" s="115" t="n"/>
      <c r="D4327" s="115" t="n"/>
      <c r="E4327" s="115" t="n"/>
      <c r="F4327" s="115" t="n"/>
      <c r="G4327" s="156" t="n"/>
      <c r="H4327" s="152" t="n"/>
      <c r="I4327" s="156" t="n"/>
      <c r="J4327" s="90" t="n"/>
      <c r="K4327" s="166" t="n"/>
      <c r="L4327" s="158" t="n"/>
      <c r="M4327" s="159" t="n"/>
    </row>
    <row r="4328">
      <c r="A4328" s="114" t="n"/>
      <c r="B4328" s="115" t="n"/>
      <c r="C4328" s="115" t="n"/>
      <c r="D4328" s="115" t="n"/>
      <c r="E4328" s="115" t="n"/>
      <c r="F4328" s="115" t="n"/>
      <c r="G4328" s="156" t="n"/>
      <c r="H4328" s="152" t="n"/>
      <c r="I4328" s="156" t="n"/>
      <c r="J4328" s="90" t="n"/>
      <c r="K4328" s="166" t="n"/>
      <c r="L4328" s="158" t="n"/>
      <c r="M4328" s="159" t="n"/>
    </row>
    <row r="4329">
      <c r="A4329" s="114" t="n"/>
      <c r="B4329" s="115" t="n"/>
      <c r="C4329" s="115" t="n"/>
      <c r="D4329" s="115" t="n"/>
      <c r="E4329" s="115" t="n"/>
      <c r="F4329" s="115" t="n"/>
      <c r="G4329" s="156" t="n"/>
      <c r="H4329" s="152" t="n"/>
      <c r="I4329" s="156" t="n"/>
      <c r="J4329" s="90" t="n"/>
      <c r="K4329" s="166" t="n"/>
      <c r="L4329" s="158" t="n"/>
      <c r="M4329" s="159" t="n"/>
    </row>
    <row r="4330">
      <c r="A4330" s="114" t="n"/>
      <c r="B4330" s="115" t="n"/>
      <c r="C4330" s="115" t="n"/>
      <c r="D4330" s="115" t="n"/>
      <c r="E4330" s="115" t="n"/>
      <c r="F4330" s="115" t="n"/>
      <c r="G4330" s="156" t="n"/>
      <c r="H4330" s="152" t="n"/>
      <c r="I4330" s="156" t="n"/>
      <c r="J4330" s="90" t="n"/>
      <c r="K4330" s="166" t="n"/>
      <c r="L4330" s="158" t="n"/>
      <c r="M4330" s="159" t="n"/>
    </row>
    <row r="4331">
      <c r="A4331" s="114" t="n"/>
      <c r="B4331" s="115" t="n"/>
      <c r="C4331" s="115" t="n"/>
      <c r="D4331" s="115" t="n"/>
      <c r="E4331" s="115" t="n"/>
      <c r="F4331" s="115" t="n"/>
      <c r="G4331" s="156" t="n"/>
      <c r="H4331" s="152" t="n"/>
      <c r="I4331" s="156" t="n"/>
      <c r="J4331" s="90" t="n"/>
      <c r="K4331" s="166" t="n"/>
      <c r="L4331" s="158" t="n"/>
      <c r="M4331" s="159" t="n"/>
    </row>
    <row r="4332">
      <c r="A4332" s="114" t="n"/>
      <c r="B4332" s="115" t="n"/>
      <c r="C4332" s="115" t="n"/>
      <c r="D4332" s="115" t="n"/>
      <c r="E4332" s="115" t="n"/>
      <c r="F4332" s="115" t="n"/>
      <c r="G4332" s="156" t="n"/>
      <c r="H4332" s="152" t="n"/>
      <c r="I4332" s="156" t="n"/>
      <c r="J4332" s="90" t="n"/>
      <c r="K4332" s="166" t="n"/>
      <c r="L4332" s="158" t="n"/>
      <c r="M4332" s="159" t="n"/>
    </row>
    <row r="4333">
      <c r="A4333" s="114" t="n"/>
      <c r="B4333" s="115" t="n"/>
      <c r="C4333" s="115" t="n"/>
      <c r="D4333" s="115" t="n"/>
      <c r="E4333" s="115" t="n"/>
      <c r="F4333" s="115" t="n"/>
      <c r="G4333" s="156" t="n"/>
      <c r="H4333" s="152" t="n"/>
      <c r="I4333" s="156" t="n"/>
      <c r="J4333" s="90" t="n"/>
      <c r="K4333" s="166" t="n"/>
      <c r="L4333" s="158" t="n"/>
      <c r="M4333" s="159" t="n"/>
    </row>
    <row r="4334">
      <c r="A4334" s="114" t="n"/>
      <c r="B4334" s="115" t="n"/>
      <c r="C4334" s="115" t="n"/>
      <c r="D4334" s="115" t="n"/>
      <c r="E4334" s="115" t="n"/>
      <c r="F4334" s="115" t="n"/>
      <c r="G4334" s="156" t="n"/>
      <c r="H4334" s="152" t="n"/>
      <c r="I4334" s="156" t="n"/>
      <c r="J4334" s="90" t="n"/>
      <c r="K4334" s="166" t="n"/>
      <c r="L4334" s="158" t="n"/>
      <c r="M4334" s="159" t="n"/>
    </row>
    <row r="4335">
      <c r="A4335" s="114" t="n"/>
      <c r="B4335" s="115" t="n"/>
      <c r="C4335" s="115" t="n"/>
      <c r="D4335" s="115" t="n"/>
      <c r="E4335" s="115" t="n"/>
      <c r="F4335" s="115" t="n"/>
      <c r="G4335" s="156" t="n"/>
      <c r="H4335" s="152" t="n"/>
      <c r="I4335" s="156" t="n"/>
      <c r="J4335" s="90" t="n"/>
      <c r="K4335" s="166" t="n"/>
      <c r="L4335" s="158" t="n"/>
      <c r="M4335" s="159" t="n"/>
    </row>
    <row r="4336">
      <c r="A4336" s="114" t="n"/>
      <c r="B4336" s="115" t="n"/>
      <c r="C4336" s="115" t="n"/>
      <c r="D4336" s="115" t="n"/>
      <c r="E4336" s="115" t="n"/>
      <c r="F4336" s="115" t="n"/>
      <c r="G4336" s="156" t="n"/>
      <c r="H4336" s="152" t="n"/>
      <c r="I4336" s="156" t="n"/>
      <c r="J4336" s="90" t="n"/>
      <c r="K4336" s="166" t="n"/>
      <c r="L4336" s="158" t="n"/>
      <c r="M4336" s="159" t="n"/>
    </row>
    <row r="4337">
      <c r="A4337" s="114" t="n"/>
      <c r="B4337" s="115" t="n"/>
      <c r="C4337" s="115" t="n"/>
      <c r="D4337" s="115" t="n"/>
      <c r="E4337" s="115" t="n"/>
      <c r="F4337" s="115" t="n"/>
      <c r="G4337" s="156" t="n"/>
      <c r="H4337" s="152" t="n"/>
      <c r="I4337" s="156" t="n"/>
      <c r="J4337" s="90" t="n"/>
      <c r="K4337" s="166" t="n"/>
      <c r="L4337" s="158" t="n"/>
      <c r="M4337" s="159" t="n"/>
    </row>
    <row r="4338">
      <c r="A4338" s="114" t="n"/>
      <c r="B4338" s="115" t="n"/>
      <c r="C4338" s="115" t="n"/>
      <c r="D4338" s="115" t="n"/>
      <c r="E4338" s="115" t="n"/>
      <c r="F4338" s="115" t="n"/>
      <c r="G4338" s="156" t="n"/>
      <c r="H4338" s="152" t="n"/>
      <c r="I4338" s="156" t="n"/>
      <c r="J4338" s="90" t="n"/>
      <c r="K4338" s="166" t="n"/>
      <c r="L4338" s="158" t="n"/>
      <c r="M4338" s="159" t="n"/>
    </row>
    <row r="4339">
      <c r="A4339" s="114" t="n"/>
      <c r="B4339" s="115" t="n"/>
      <c r="C4339" s="115" t="n"/>
      <c r="D4339" s="115" t="n"/>
      <c r="E4339" s="115" t="n"/>
      <c r="F4339" s="115" t="n"/>
      <c r="G4339" s="156" t="n"/>
      <c r="H4339" s="152" t="n"/>
      <c r="I4339" s="156" t="n"/>
      <c r="J4339" s="90" t="n"/>
      <c r="K4339" s="166" t="n"/>
      <c r="L4339" s="158" t="n"/>
      <c r="M4339" s="159" t="n"/>
    </row>
    <row r="4340">
      <c r="A4340" s="114" t="n"/>
      <c r="B4340" s="115" t="n"/>
      <c r="C4340" s="115" t="n"/>
      <c r="D4340" s="115" t="n"/>
      <c r="E4340" s="115" t="n"/>
      <c r="F4340" s="115" t="n"/>
      <c r="G4340" s="156" t="n"/>
      <c r="H4340" s="152" t="n"/>
      <c r="I4340" s="156" t="n"/>
      <c r="J4340" s="90" t="n"/>
      <c r="K4340" s="166" t="n"/>
      <c r="L4340" s="158" t="n"/>
      <c r="M4340" s="159" t="n"/>
    </row>
    <row r="4341">
      <c r="A4341" s="114" t="n"/>
      <c r="B4341" s="115" t="n"/>
      <c r="C4341" s="115" t="n"/>
      <c r="D4341" s="115" t="n"/>
      <c r="E4341" s="115" t="n"/>
      <c r="F4341" s="115" t="n"/>
      <c r="G4341" s="156" t="n"/>
      <c r="H4341" s="152" t="n"/>
      <c r="I4341" s="156" t="n"/>
      <c r="J4341" s="90" t="n"/>
      <c r="K4341" s="166" t="n"/>
      <c r="L4341" s="158" t="n"/>
      <c r="M4341" s="159" t="n"/>
    </row>
    <row r="4342">
      <c r="A4342" s="114" t="n"/>
      <c r="B4342" s="115" t="n"/>
      <c r="C4342" s="115" t="n"/>
      <c r="D4342" s="115" t="n"/>
      <c r="E4342" s="115" t="n"/>
      <c r="F4342" s="115" t="n"/>
      <c r="G4342" s="156" t="n"/>
      <c r="H4342" s="152" t="n"/>
      <c r="I4342" s="156" t="n"/>
      <c r="J4342" s="90" t="n"/>
      <c r="K4342" s="166" t="n"/>
      <c r="L4342" s="158" t="n"/>
      <c r="M4342" s="159" t="n"/>
    </row>
    <row r="4343">
      <c r="A4343" s="114" t="n"/>
      <c r="B4343" s="115" t="n"/>
      <c r="C4343" s="115" t="n"/>
      <c r="D4343" s="115" t="n"/>
      <c r="E4343" s="115" t="n"/>
      <c r="F4343" s="115" t="n"/>
      <c r="G4343" s="156" t="n"/>
      <c r="H4343" s="152" t="n"/>
      <c r="I4343" s="156" t="n"/>
      <c r="J4343" s="90" t="n"/>
      <c r="K4343" s="166" t="n"/>
      <c r="L4343" s="158" t="n"/>
      <c r="M4343" s="159" t="n"/>
    </row>
    <row r="4344">
      <c r="A4344" s="114" t="n"/>
      <c r="B4344" s="115" t="n"/>
      <c r="C4344" s="115" t="n"/>
      <c r="D4344" s="115" t="n"/>
      <c r="E4344" s="115" t="n"/>
      <c r="F4344" s="115" t="n"/>
      <c r="G4344" s="156" t="n"/>
      <c r="H4344" s="152" t="n"/>
      <c r="I4344" s="156" t="n"/>
      <c r="J4344" s="90" t="n"/>
      <c r="K4344" s="166" t="n"/>
      <c r="L4344" s="158" t="n"/>
      <c r="M4344" s="159" t="n"/>
    </row>
    <row r="4345">
      <c r="A4345" s="114" t="n"/>
      <c r="B4345" s="115" t="n"/>
      <c r="C4345" s="115" t="n"/>
      <c r="D4345" s="115" t="n"/>
      <c r="E4345" s="115" t="n"/>
      <c r="F4345" s="115" t="n"/>
      <c r="G4345" s="156" t="n"/>
      <c r="H4345" s="152" t="n"/>
      <c r="I4345" s="156" t="n"/>
      <c r="J4345" s="90" t="n"/>
      <c r="K4345" s="166" t="n"/>
      <c r="L4345" s="158" t="n"/>
      <c r="M4345" s="159" t="n"/>
    </row>
    <row r="4346">
      <c r="A4346" s="114" t="n"/>
      <c r="B4346" s="115" t="n"/>
      <c r="C4346" s="115" t="n"/>
      <c r="D4346" s="115" t="n"/>
      <c r="E4346" s="115" t="n"/>
      <c r="F4346" s="115" t="n"/>
      <c r="G4346" s="156" t="n"/>
      <c r="H4346" s="152" t="n"/>
      <c r="I4346" s="156" t="n"/>
      <c r="J4346" s="90" t="n"/>
      <c r="K4346" s="166" t="n"/>
      <c r="L4346" s="158" t="n"/>
      <c r="M4346" s="159" t="n"/>
    </row>
    <row r="4347">
      <c r="A4347" s="114" t="n"/>
      <c r="B4347" s="115" t="n"/>
      <c r="C4347" s="115" t="n"/>
      <c r="D4347" s="115" t="n"/>
      <c r="E4347" s="115" t="n"/>
      <c r="F4347" s="115" t="n"/>
      <c r="G4347" s="156" t="n"/>
      <c r="H4347" s="152" t="n"/>
      <c r="I4347" s="156" t="n"/>
      <c r="J4347" s="90" t="n"/>
      <c r="K4347" s="166" t="n"/>
      <c r="L4347" s="158" t="n"/>
      <c r="M4347" s="159" t="n"/>
    </row>
    <row r="4348">
      <c r="A4348" s="114" t="n"/>
      <c r="B4348" s="115" t="n"/>
      <c r="C4348" s="115" t="n"/>
      <c r="D4348" s="115" t="n"/>
      <c r="E4348" s="115" t="n"/>
      <c r="F4348" s="115" t="n"/>
      <c r="G4348" s="156" t="n"/>
      <c r="H4348" s="152" t="n"/>
      <c r="I4348" s="156" t="n"/>
      <c r="J4348" s="90" t="n"/>
      <c r="K4348" s="166" t="n"/>
      <c r="L4348" s="158" t="n"/>
      <c r="M4348" s="159" t="n"/>
    </row>
    <row r="4349">
      <c r="A4349" s="114" t="n"/>
      <c r="B4349" s="115" t="n"/>
      <c r="C4349" s="115" t="n"/>
      <c r="D4349" s="115" t="n"/>
      <c r="E4349" s="115" t="n"/>
      <c r="F4349" s="115" t="n"/>
      <c r="G4349" s="156" t="n"/>
      <c r="H4349" s="152" t="n"/>
      <c r="I4349" s="156" t="n"/>
      <c r="J4349" s="90" t="n"/>
      <c r="K4349" s="166" t="n"/>
      <c r="L4349" s="158" t="n"/>
      <c r="M4349" s="159" t="n"/>
    </row>
    <row r="4350">
      <c r="A4350" s="114" t="n"/>
      <c r="B4350" s="115" t="n"/>
      <c r="C4350" s="115" t="n"/>
      <c r="D4350" s="115" t="n"/>
      <c r="E4350" s="115" t="n"/>
      <c r="F4350" s="115" t="n"/>
      <c r="G4350" s="156" t="n"/>
      <c r="H4350" s="152" t="n"/>
      <c r="I4350" s="156" t="n"/>
      <c r="J4350" s="90" t="n"/>
      <c r="K4350" s="166" t="n"/>
      <c r="L4350" s="158" t="n"/>
      <c r="M4350" s="159" t="n"/>
    </row>
    <row r="4351">
      <c r="A4351" s="114" t="n"/>
      <c r="B4351" s="115" t="n"/>
      <c r="C4351" s="115" t="n"/>
      <c r="D4351" s="115" t="n"/>
      <c r="E4351" s="115" t="n"/>
      <c r="F4351" s="115" t="n"/>
      <c r="G4351" s="156" t="n"/>
      <c r="H4351" s="152" t="n"/>
      <c r="I4351" s="156" t="n"/>
      <c r="J4351" s="90" t="n"/>
      <c r="K4351" s="166" t="n"/>
      <c r="L4351" s="158" t="n"/>
      <c r="M4351" s="159" t="n"/>
    </row>
    <row r="4352">
      <c r="A4352" s="114" t="n"/>
      <c r="B4352" s="115" t="n"/>
      <c r="C4352" s="115" t="n"/>
      <c r="D4352" s="115" t="n"/>
      <c r="E4352" s="115" t="n"/>
      <c r="F4352" s="115" t="n"/>
      <c r="G4352" s="156" t="n"/>
      <c r="H4352" s="152" t="n"/>
      <c r="I4352" s="156" t="n"/>
      <c r="J4352" s="90" t="n"/>
      <c r="K4352" s="166" t="n"/>
      <c r="L4352" s="158" t="n"/>
      <c r="M4352" s="159" t="n"/>
    </row>
    <row r="4353">
      <c r="A4353" s="114" t="n"/>
      <c r="B4353" s="115" t="n"/>
      <c r="C4353" s="115" t="n"/>
      <c r="D4353" s="115" t="n"/>
      <c r="E4353" s="115" t="n"/>
      <c r="F4353" s="115" t="n"/>
      <c r="G4353" s="156" t="n"/>
      <c r="H4353" s="152" t="n"/>
      <c r="I4353" s="156" t="n"/>
      <c r="J4353" s="90" t="n"/>
      <c r="K4353" s="166" t="n"/>
      <c r="L4353" s="158" t="n"/>
      <c r="M4353" s="159" t="n"/>
    </row>
    <row r="4354">
      <c r="A4354" s="114" t="n"/>
      <c r="B4354" s="115" t="n"/>
      <c r="C4354" s="115" t="n"/>
      <c r="D4354" s="115" t="n"/>
      <c r="E4354" s="115" t="n"/>
      <c r="F4354" s="115" t="n"/>
      <c r="G4354" s="156" t="n"/>
      <c r="H4354" s="152" t="n"/>
      <c r="I4354" s="156" t="n"/>
      <c r="J4354" s="90" t="n"/>
      <c r="K4354" s="166" t="n"/>
      <c r="L4354" s="158" t="n"/>
      <c r="M4354" s="159" t="n"/>
    </row>
    <row r="4355">
      <c r="A4355" s="114" t="n"/>
      <c r="B4355" s="115" t="n"/>
      <c r="C4355" s="115" t="n"/>
      <c r="D4355" s="115" t="n"/>
      <c r="E4355" s="115" t="n"/>
      <c r="F4355" s="115" t="n"/>
      <c r="G4355" s="156" t="n"/>
      <c r="H4355" s="152" t="n"/>
      <c r="I4355" s="156" t="n"/>
      <c r="J4355" s="90" t="n"/>
      <c r="K4355" s="166" t="n"/>
      <c r="L4355" s="158" t="n"/>
      <c r="M4355" s="159" t="n"/>
    </row>
    <row r="4356">
      <c r="A4356" s="114" t="n"/>
      <c r="B4356" s="115" t="n"/>
      <c r="C4356" s="115" t="n"/>
      <c r="D4356" s="115" t="n"/>
      <c r="E4356" s="115" t="n"/>
      <c r="F4356" s="115" t="n"/>
      <c r="G4356" s="156" t="n"/>
      <c r="H4356" s="152" t="n"/>
      <c r="I4356" s="156" t="n"/>
      <c r="J4356" s="90" t="n"/>
      <c r="K4356" s="166" t="n"/>
      <c r="L4356" s="158" t="n"/>
      <c r="M4356" s="159" t="n"/>
    </row>
    <row r="4357">
      <c r="A4357" s="114" t="n"/>
      <c r="B4357" s="115" t="n"/>
      <c r="C4357" s="115" t="n"/>
      <c r="D4357" s="115" t="n"/>
      <c r="E4357" s="115" t="n"/>
      <c r="F4357" s="115" t="n"/>
      <c r="G4357" s="156" t="n"/>
      <c r="H4357" s="152" t="n"/>
      <c r="I4357" s="156" t="n"/>
      <c r="J4357" s="90" t="n"/>
      <c r="K4357" s="166" t="n"/>
      <c r="L4357" s="158" t="n"/>
      <c r="M4357" s="159" t="n"/>
    </row>
    <row r="4358">
      <c r="A4358" s="114" t="n"/>
      <c r="B4358" s="115" t="n"/>
      <c r="C4358" s="115" t="n"/>
      <c r="D4358" s="115" t="n"/>
      <c r="E4358" s="115" t="n"/>
      <c r="F4358" s="115" t="n"/>
      <c r="G4358" s="156" t="n"/>
      <c r="H4358" s="152" t="n"/>
      <c r="I4358" s="156" t="n"/>
      <c r="J4358" s="90" t="n"/>
      <c r="K4358" s="166" t="n"/>
      <c r="L4358" s="158" t="n"/>
      <c r="M4358" s="159" t="n"/>
    </row>
    <row r="4359">
      <c r="A4359" s="114" t="n"/>
      <c r="B4359" s="115" t="n"/>
      <c r="C4359" s="115" t="n"/>
      <c r="D4359" s="115" t="n"/>
      <c r="E4359" s="115" t="n"/>
      <c r="F4359" s="115" t="n"/>
      <c r="G4359" s="156" t="n"/>
      <c r="H4359" s="152" t="n"/>
      <c r="I4359" s="156" t="n"/>
      <c r="J4359" s="90" t="n"/>
      <c r="K4359" s="166" t="n"/>
      <c r="L4359" s="158" t="n"/>
      <c r="M4359" s="159" t="n"/>
    </row>
    <row r="4360">
      <c r="A4360" s="114" t="n"/>
      <c r="B4360" s="115" t="n"/>
      <c r="C4360" s="115" t="n"/>
      <c r="D4360" s="115" t="n"/>
      <c r="E4360" s="115" t="n"/>
      <c r="F4360" s="115" t="n"/>
      <c r="G4360" s="156" t="n"/>
      <c r="H4360" s="152" t="n"/>
      <c r="I4360" s="156" t="n"/>
      <c r="J4360" s="90" t="n"/>
      <c r="K4360" s="166" t="n"/>
      <c r="L4360" s="158" t="n"/>
      <c r="M4360" s="159" t="n"/>
    </row>
    <row r="4361">
      <c r="A4361" s="114" t="n"/>
      <c r="B4361" s="115" t="n"/>
      <c r="C4361" s="115" t="n"/>
      <c r="D4361" s="115" t="n"/>
      <c r="E4361" s="115" t="n"/>
      <c r="F4361" s="115" t="n"/>
      <c r="G4361" s="156" t="n"/>
      <c r="H4361" s="152" t="n"/>
      <c r="I4361" s="156" t="n"/>
      <c r="J4361" s="90" t="n"/>
      <c r="K4361" s="166" t="n"/>
      <c r="L4361" s="158" t="n"/>
      <c r="M4361" s="159" t="n"/>
    </row>
    <row r="4362">
      <c r="A4362" s="114" t="n"/>
      <c r="B4362" s="115" t="n"/>
      <c r="C4362" s="115" t="n"/>
      <c r="D4362" s="115" t="n"/>
      <c r="E4362" s="115" t="n"/>
      <c r="F4362" s="115" t="n"/>
      <c r="G4362" s="156" t="n"/>
      <c r="H4362" s="152" t="n"/>
      <c r="I4362" s="156" t="n"/>
      <c r="J4362" s="90" t="n"/>
      <c r="K4362" s="166" t="n"/>
      <c r="L4362" s="158" t="n"/>
      <c r="M4362" s="159" t="n"/>
    </row>
    <row r="4363">
      <c r="A4363" s="114" t="n"/>
      <c r="B4363" s="115" t="n"/>
      <c r="C4363" s="115" t="n"/>
      <c r="D4363" s="115" t="n"/>
      <c r="E4363" s="115" t="n"/>
      <c r="F4363" s="115" t="n"/>
      <c r="G4363" s="156" t="n"/>
      <c r="H4363" s="152" t="n"/>
      <c r="I4363" s="156" t="n"/>
      <c r="J4363" s="90" t="n"/>
      <c r="K4363" s="166" t="n"/>
      <c r="L4363" s="158" t="n"/>
      <c r="M4363" s="159" t="n"/>
    </row>
    <row r="4364">
      <c r="A4364" s="114" t="n"/>
      <c r="B4364" s="115" t="n"/>
      <c r="C4364" s="115" t="n"/>
      <c r="D4364" s="115" t="n"/>
      <c r="E4364" s="115" t="n"/>
      <c r="F4364" s="115" t="n"/>
      <c r="G4364" s="156" t="n"/>
      <c r="H4364" s="152" t="n"/>
      <c r="I4364" s="156" t="n"/>
      <c r="J4364" s="90" t="n"/>
      <c r="K4364" s="166" t="n"/>
      <c r="L4364" s="158" t="n"/>
      <c r="M4364" s="159" t="n"/>
    </row>
    <row r="4365">
      <c r="A4365" s="114" t="n"/>
      <c r="B4365" s="115" t="n"/>
      <c r="C4365" s="115" t="n"/>
      <c r="D4365" s="115" t="n"/>
      <c r="E4365" s="115" t="n"/>
      <c r="F4365" s="115" t="n"/>
      <c r="G4365" s="156" t="n"/>
      <c r="H4365" s="152" t="n"/>
      <c r="I4365" s="156" t="n"/>
      <c r="J4365" s="90" t="n"/>
      <c r="K4365" s="166" t="n"/>
      <c r="L4365" s="158" t="n"/>
      <c r="M4365" s="159" t="n"/>
    </row>
    <row r="4366">
      <c r="A4366" s="114" t="n"/>
      <c r="B4366" s="115" t="n"/>
      <c r="C4366" s="115" t="n"/>
      <c r="D4366" s="115" t="n"/>
      <c r="E4366" s="115" t="n"/>
      <c r="F4366" s="115" t="n"/>
      <c r="G4366" s="156" t="n"/>
      <c r="H4366" s="152" t="n"/>
      <c r="I4366" s="156" t="n"/>
      <c r="J4366" s="90" t="n"/>
      <c r="K4366" s="166" t="n"/>
      <c r="L4366" s="158" t="n"/>
      <c r="M4366" s="159" t="n"/>
    </row>
    <row r="4367">
      <c r="A4367" s="114" t="n"/>
      <c r="B4367" s="115" t="n"/>
      <c r="C4367" s="115" t="n"/>
      <c r="D4367" s="115" t="n"/>
      <c r="E4367" s="115" t="n"/>
      <c r="F4367" s="115" t="n"/>
      <c r="G4367" s="156" t="n"/>
      <c r="H4367" s="152" t="n"/>
      <c r="I4367" s="156" t="n"/>
      <c r="J4367" s="90" t="n"/>
      <c r="K4367" s="166" t="n"/>
      <c r="L4367" s="158" t="n"/>
      <c r="M4367" s="159" t="n"/>
    </row>
    <row r="4368">
      <c r="A4368" s="114" t="n"/>
      <c r="B4368" s="115" t="n"/>
      <c r="C4368" s="115" t="n"/>
      <c r="D4368" s="115" t="n"/>
      <c r="E4368" s="115" t="n"/>
      <c r="F4368" s="115" t="n"/>
      <c r="G4368" s="156" t="n"/>
      <c r="H4368" s="152" t="n"/>
      <c r="I4368" s="156" t="n"/>
      <c r="J4368" s="90" t="n"/>
      <c r="K4368" s="166" t="n"/>
      <c r="L4368" s="158" t="n"/>
      <c r="M4368" s="159" t="n"/>
    </row>
    <row r="4369">
      <c r="A4369" s="114" t="n"/>
      <c r="B4369" s="115" t="n"/>
      <c r="C4369" s="115" t="n"/>
      <c r="D4369" s="115" t="n"/>
      <c r="E4369" s="115" t="n"/>
      <c r="F4369" s="115" t="n"/>
      <c r="G4369" s="156" t="n"/>
      <c r="H4369" s="152" t="n"/>
      <c r="I4369" s="156" t="n"/>
      <c r="J4369" s="90" t="n"/>
      <c r="K4369" s="166" t="n"/>
      <c r="L4369" s="158" t="n"/>
      <c r="M4369" s="159" t="n"/>
    </row>
    <row r="4370">
      <c r="A4370" s="114" t="n"/>
      <c r="B4370" s="115" t="n"/>
      <c r="C4370" s="115" t="n"/>
      <c r="D4370" s="115" t="n"/>
      <c r="E4370" s="115" t="n"/>
      <c r="F4370" s="115" t="n"/>
      <c r="G4370" s="156" t="n"/>
      <c r="H4370" s="152" t="n"/>
      <c r="I4370" s="156" t="n"/>
      <c r="J4370" s="90" t="n"/>
      <c r="K4370" s="166" t="n"/>
      <c r="L4370" s="158" t="n"/>
      <c r="M4370" s="159" t="n"/>
    </row>
    <row r="4371">
      <c r="A4371" s="114" t="n"/>
      <c r="B4371" s="115" t="n"/>
      <c r="C4371" s="115" t="n"/>
      <c r="D4371" s="115" t="n"/>
      <c r="E4371" s="115" t="n"/>
      <c r="F4371" s="115" t="n"/>
      <c r="G4371" s="156" t="n"/>
      <c r="H4371" s="152" t="n"/>
      <c r="I4371" s="156" t="n"/>
      <c r="J4371" s="90" t="n"/>
      <c r="K4371" s="166" t="n"/>
      <c r="L4371" s="158" t="n"/>
      <c r="M4371" s="159" t="n"/>
    </row>
    <row r="4372">
      <c r="A4372" s="114" t="n"/>
      <c r="B4372" s="115" t="n"/>
      <c r="C4372" s="115" t="n"/>
      <c r="D4372" s="115" t="n"/>
      <c r="E4372" s="115" t="n"/>
      <c r="F4372" s="115" t="n"/>
      <c r="G4372" s="156" t="n"/>
      <c r="H4372" s="152" t="n"/>
      <c r="I4372" s="156" t="n"/>
      <c r="J4372" s="90" t="n"/>
      <c r="K4372" s="166" t="n"/>
      <c r="L4372" s="158" t="n"/>
      <c r="M4372" s="159" t="n"/>
    </row>
    <row r="4373">
      <c r="A4373" s="114" t="n"/>
      <c r="B4373" s="115" t="n"/>
      <c r="C4373" s="115" t="n"/>
      <c r="D4373" s="115" t="n"/>
      <c r="E4373" s="115" t="n"/>
      <c r="F4373" s="115" t="n"/>
      <c r="G4373" s="156" t="n"/>
      <c r="H4373" s="152" t="n"/>
      <c r="I4373" s="156" t="n"/>
      <c r="J4373" s="90" t="n"/>
      <c r="K4373" s="166" t="n"/>
      <c r="L4373" s="158" t="n"/>
      <c r="M4373" s="159" t="n"/>
    </row>
    <row r="4374">
      <c r="A4374" s="114" t="n"/>
      <c r="B4374" s="115" t="n"/>
      <c r="C4374" s="115" t="n"/>
      <c r="D4374" s="115" t="n"/>
      <c r="E4374" s="115" t="n"/>
      <c r="F4374" s="115" t="n"/>
      <c r="G4374" s="156" t="n"/>
      <c r="H4374" s="152" t="n"/>
      <c r="I4374" s="156" t="n"/>
      <c r="J4374" s="90" t="n"/>
      <c r="K4374" s="166" t="n"/>
      <c r="L4374" s="158" t="n"/>
      <c r="M4374" s="159" t="n"/>
    </row>
    <row r="4375">
      <c r="A4375" s="114" t="n"/>
      <c r="B4375" s="115" t="n"/>
      <c r="C4375" s="115" t="n"/>
      <c r="D4375" s="115" t="n"/>
      <c r="E4375" s="115" t="n"/>
      <c r="F4375" s="115" t="n"/>
      <c r="G4375" s="156" t="n"/>
      <c r="H4375" s="152" t="n"/>
      <c r="I4375" s="156" t="n"/>
      <c r="J4375" s="90" t="n"/>
      <c r="K4375" s="166" t="n"/>
      <c r="L4375" s="158" t="n"/>
      <c r="M4375" s="159" t="n"/>
    </row>
    <row r="4376">
      <c r="A4376" s="114" t="n"/>
      <c r="B4376" s="115" t="n"/>
      <c r="C4376" s="115" t="n"/>
      <c r="D4376" s="115" t="n"/>
      <c r="E4376" s="115" t="n"/>
      <c r="F4376" s="115" t="n"/>
      <c r="G4376" s="156" t="n"/>
      <c r="H4376" s="152" t="n"/>
      <c r="I4376" s="156" t="n"/>
      <c r="J4376" s="90" t="n"/>
      <c r="K4376" s="166" t="n"/>
      <c r="L4376" s="158" t="n"/>
      <c r="M4376" s="159" t="n"/>
    </row>
    <row r="4377">
      <c r="A4377" s="114" t="n"/>
      <c r="B4377" s="115" t="n"/>
      <c r="C4377" s="115" t="n"/>
      <c r="D4377" s="115" t="n"/>
      <c r="E4377" s="115" t="n"/>
      <c r="F4377" s="115" t="n"/>
      <c r="G4377" s="156" t="n"/>
      <c r="H4377" s="152" t="n"/>
      <c r="I4377" s="156" t="n"/>
      <c r="J4377" s="90" t="n"/>
      <c r="K4377" s="166" t="n"/>
      <c r="L4377" s="158" t="n"/>
      <c r="M4377" s="159" t="n"/>
    </row>
    <row r="4378">
      <c r="A4378" s="114" t="n"/>
      <c r="B4378" s="115" t="n"/>
      <c r="C4378" s="115" t="n"/>
      <c r="D4378" s="115" t="n"/>
      <c r="E4378" s="115" t="n"/>
      <c r="F4378" s="115" t="n"/>
      <c r="G4378" s="156" t="n"/>
      <c r="H4378" s="152" t="n"/>
      <c r="I4378" s="156" t="n"/>
      <c r="J4378" s="90" t="n"/>
      <c r="K4378" s="166" t="n"/>
      <c r="L4378" s="158" t="n"/>
      <c r="M4378" s="159" t="n"/>
    </row>
    <row r="4379">
      <c r="A4379" s="114" t="n"/>
      <c r="B4379" s="115" t="n"/>
      <c r="C4379" s="115" t="n"/>
      <c r="D4379" s="115" t="n"/>
      <c r="E4379" s="115" t="n"/>
      <c r="F4379" s="115" t="n"/>
      <c r="G4379" s="156" t="n"/>
      <c r="H4379" s="152" t="n"/>
      <c r="I4379" s="156" t="n"/>
      <c r="J4379" s="90" t="n"/>
      <c r="K4379" s="166" t="n"/>
      <c r="L4379" s="158" t="n"/>
      <c r="M4379" s="159" t="n"/>
    </row>
    <row r="4380">
      <c r="A4380" s="114" t="n"/>
      <c r="B4380" s="115" t="n"/>
      <c r="C4380" s="115" t="n"/>
      <c r="D4380" s="115" t="n"/>
      <c r="E4380" s="115" t="n"/>
      <c r="F4380" s="115" t="n"/>
      <c r="G4380" s="156" t="n"/>
      <c r="H4380" s="152" t="n"/>
      <c r="I4380" s="156" t="n"/>
      <c r="J4380" s="90" t="n"/>
      <c r="K4380" s="166" t="n"/>
      <c r="L4380" s="158" t="n"/>
      <c r="M4380" s="159" t="n"/>
    </row>
    <row r="4381">
      <c r="A4381" s="114" t="n"/>
      <c r="B4381" s="115" t="n"/>
      <c r="C4381" s="115" t="n"/>
      <c r="D4381" s="115" t="n"/>
      <c r="E4381" s="115" t="n"/>
      <c r="F4381" s="115" t="n"/>
      <c r="G4381" s="156" t="n"/>
      <c r="H4381" s="152" t="n"/>
      <c r="I4381" s="156" t="n"/>
      <c r="J4381" s="90" t="n"/>
      <c r="K4381" s="166" t="n"/>
      <c r="L4381" s="158" t="n"/>
      <c r="M4381" s="159" t="n"/>
    </row>
    <row r="4382">
      <c r="A4382" s="114" t="n"/>
      <c r="B4382" s="115" t="n"/>
      <c r="C4382" s="115" t="n"/>
      <c r="D4382" s="115" t="n"/>
      <c r="E4382" s="115" t="n"/>
      <c r="F4382" s="115" t="n"/>
      <c r="G4382" s="156" t="n"/>
      <c r="H4382" s="152" t="n"/>
      <c r="I4382" s="156" t="n"/>
      <c r="J4382" s="90" t="n"/>
      <c r="K4382" s="166" t="n"/>
      <c r="L4382" s="158" t="n"/>
      <c r="M4382" s="159" t="n"/>
    </row>
    <row r="4383">
      <c r="A4383" s="114" t="n"/>
      <c r="B4383" s="115" t="n"/>
      <c r="C4383" s="115" t="n"/>
      <c r="D4383" s="115" t="n"/>
      <c r="E4383" s="115" t="n"/>
      <c r="F4383" s="115" t="n"/>
      <c r="G4383" s="156" t="n"/>
      <c r="H4383" s="152" t="n"/>
      <c r="I4383" s="156" t="n"/>
      <c r="J4383" s="90" t="n"/>
      <c r="K4383" s="166" t="n"/>
      <c r="L4383" s="158" t="n"/>
      <c r="M4383" s="159" t="n"/>
    </row>
    <row r="4384">
      <c r="A4384" s="114" t="n"/>
      <c r="B4384" s="115" t="n"/>
      <c r="C4384" s="115" t="n"/>
      <c r="D4384" s="115" t="n"/>
      <c r="E4384" s="115" t="n"/>
      <c r="F4384" s="115" t="n"/>
      <c r="G4384" s="156" t="n"/>
      <c r="H4384" s="152" t="n"/>
      <c r="I4384" s="156" t="n"/>
      <c r="J4384" s="90" t="n"/>
      <c r="K4384" s="166" t="n"/>
      <c r="L4384" s="158" t="n"/>
      <c r="M4384" s="159" t="n"/>
    </row>
    <row r="4385">
      <c r="A4385" s="114" t="n"/>
      <c r="B4385" s="115" t="n"/>
      <c r="C4385" s="115" t="n"/>
      <c r="D4385" s="115" t="n"/>
      <c r="E4385" s="115" t="n"/>
      <c r="F4385" s="115" t="n"/>
      <c r="G4385" s="156" t="n"/>
      <c r="H4385" s="152" t="n"/>
      <c r="I4385" s="156" t="n"/>
      <c r="J4385" s="90" t="n"/>
      <c r="K4385" s="166" t="n"/>
      <c r="L4385" s="158" t="n"/>
      <c r="M4385" s="159" t="n"/>
    </row>
    <row r="4386">
      <c r="A4386" s="114" t="n"/>
      <c r="B4386" s="115" t="n"/>
      <c r="C4386" s="115" t="n"/>
      <c r="D4386" s="115" t="n"/>
      <c r="E4386" s="115" t="n"/>
      <c r="F4386" s="115" t="n"/>
      <c r="G4386" s="156" t="n"/>
      <c r="H4386" s="152" t="n"/>
      <c r="I4386" s="156" t="n"/>
      <c r="J4386" s="90" t="n"/>
      <c r="K4386" s="166" t="n"/>
      <c r="L4386" s="158" t="n"/>
      <c r="M4386" s="159" t="n"/>
    </row>
    <row r="4387">
      <c r="A4387" s="114" t="n"/>
      <c r="B4387" s="115" t="n"/>
      <c r="C4387" s="115" t="n"/>
      <c r="D4387" s="115" t="n"/>
      <c r="E4387" s="115" t="n"/>
      <c r="F4387" s="115" t="n"/>
      <c r="G4387" s="156" t="n"/>
      <c r="H4387" s="152" t="n"/>
      <c r="I4387" s="156" t="n"/>
      <c r="J4387" s="90" t="n"/>
      <c r="K4387" s="166" t="n"/>
      <c r="L4387" s="158" t="n"/>
      <c r="M4387" s="159" t="n"/>
    </row>
    <row r="4388">
      <c r="A4388" s="114" t="n"/>
      <c r="B4388" s="115" t="n"/>
      <c r="C4388" s="115" t="n"/>
      <c r="D4388" s="115" t="n"/>
      <c r="E4388" s="115" t="n"/>
      <c r="F4388" s="115" t="n"/>
      <c r="G4388" s="156" t="n"/>
      <c r="H4388" s="152" t="n"/>
      <c r="I4388" s="156" t="n"/>
      <c r="J4388" s="90" t="n"/>
      <c r="K4388" s="166" t="n"/>
      <c r="L4388" s="158" t="n"/>
      <c r="M4388" s="159" t="n"/>
    </row>
    <row r="4389">
      <c r="A4389" s="114" t="n"/>
      <c r="B4389" s="115" t="n"/>
      <c r="C4389" s="115" t="n"/>
      <c r="D4389" s="115" t="n"/>
      <c r="E4389" s="115" t="n"/>
      <c r="F4389" s="115" t="n"/>
      <c r="G4389" s="156" t="n"/>
      <c r="H4389" s="152" t="n"/>
      <c r="I4389" s="156" t="n"/>
      <c r="J4389" s="90" t="n"/>
      <c r="K4389" s="166" t="n"/>
      <c r="L4389" s="158" t="n"/>
      <c r="M4389" s="159" t="n"/>
    </row>
    <row r="4390">
      <c r="A4390" s="114" t="n"/>
      <c r="B4390" s="115" t="n"/>
      <c r="C4390" s="115" t="n"/>
      <c r="D4390" s="115" t="n"/>
      <c r="E4390" s="115" t="n"/>
      <c r="F4390" s="115" t="n"/>
      <c r="G4390" s="156" t="n"/>
      <c r="H4390" s="152" t="n"/>
      <c r="I4390" s="156" t="n"/>
      <c r="J4390" s="90" t="n"/>
      <c r="K4390" s="166" t="n"/>
      <c r="L4390" s="158" t="n"/>
      <c r="M4390" s="159" t="n"/>
    </row>
    <row r="4391">
      <c r="A4391" s="114" t="n"/>
      <c r="B4391" s="115" t="n"/>
      <c r="C4391" s="115" t="n"/>
      <c r="D4391" s="115" t="n"/>
      <c r="E4391" s="115" t="n"/>
      <c r="F4391" s="115" t="n"/>
      <c r="G4391" s="156" t="n"/>
      <c r="H4391" s="152" t="n"/>
      <c r="I4391" s="156" t="n"/>
      <c r="J4391" s="90" t="n"/>
      <c r="K4391" s="166" t="n"/>
      <c r="L4391" s="158" t="n"/>
      <c r="M4391" s="159" t="n"/>
    </row>
    <row r="4392">
      <c r="A4392" s="114" t="n"/>
      <c r="B4392" s="115" t="n"/>
      <c r="C4392" s="115" t="n"/>
      <c r="D4392" s="115" t="n"/>
      <c r="E4392" s="115" t="n"/>
      <c r="F4392" s="115" t="n"/>
      <c r="G4392" s="156" t="n"/>
      <c r="H4392" s="152" t="n"/>
      <c r="I4392" s="156" t="n"/>
      <c r="J4392" s="90" t="n"/>
      <c r="K4392" s="166" t="n"/>
      <c r="L4392" s="158" t="n"/>
      <c r="M4392" s="159" t="n"/>
    </row>
    <row r="4393">
      <c r="A4393" s="114" t="n"/>
      <c r="B4393" s="115" t="n"/>
      <c r="C4393" s="115" t="n"/>
      <c r="D4393" s="115" t="n"/>
      <c r="E4393" s="115" t="n"/>
      <c r="F4393" s="115" t="n"/>
      <c r="G4393" s="156" t="n"/>
      <c r="H4393" s="152" t="n"/>
      <c r="I4393" s="156" t="n"/>
      <c r="J4393" s="90" t="n"/>
      <c r="K4393" s="166" t="n"/>
      <c r="L4393" s="158" t="n"/>
      <c r="M4393" s="159" t="n"/>
    </row>
    <row r="4394">
      <c r="A4394" s="114" t="n"/>
      <c r="B4394" s="115" t="n"/>
      <c r="C4394" s="115" t="n"/>
      <c r="D4394" s="115" t="n"/>
      <c r="E4394" s="115" t="n"/>
      <c r="F4394" s="115" t="n"/>
      <c r="G4394" s="156" t="n"/>
      <c r="H4394" s="152" t="n"/>
      <c r="I4394" s="156" t="n"/>
      <c r="J4394" s="90" t="n"/>
      <c r="K4394" s="166" t="n"/>
      <c r="L4394" s="158" t="n"/>
      <c r="M4394" s="159" t="n"/>
    </row>
    <row r="4395">
      <c r="A4395" s="114" t="n"/>
      <c r="B4395" s="115" t="n"/>
      <c r="C4395" s="115" t="n"/>
      <c r="D4395" s="115" t="n"/>
      <c r="E4395" s="115" t="n"/>
      <c r="F4395" s="115" t="n"/>
      <c r="G4395" s="156" t="n"/>
      <c r="H4395" s="152" t="n"/>
      <c r="I4395" s="156" t="n"/>
      <c r="J4395" s="90" t="n"/>
      <c r="K4395" s="166" t="n"/>
      <c r="L4395" s="158" t="n"/>
      <c r="M4395" s="159" t="n"/>
    </row>
    <row r="4396">
      <c r="A4396" s="114" t="n"/>
      <c r="B4396" s="115" t="n"/>
      <c r="C4396" s="115" t="n"/>
      <c r="D4396" s="115" t="n"/>
      <c r="E4396" s="115" t="n"/>
      <c r="F4396" s="115" t="n"/>
      <c r="G4396" s="156" t="n"/>
      <c r="H4396" s="152" t="n"/>
      <c r="I4396" s="156" t="n"/>
      <c r="J4396" s="90" t="n"/>
      <c r="K4396" s="166" t="n"/>
      <c r="L4396" s="158" t="n"/>
      <c r="M4396" s="159" t="n"/>
    </row>
    <row r="4397">
      <c r="A4397" s="114" t="n"/>
      <c r="B4397" s="115" t="n"/>
      <c r="C4397" s="115" t="n"/>
      <c r="D4397" s="115" t="n"/>
      <c r="E4397" s="115" t="n"/>
      <c r="F4397" s="115" t="n"/>
      <c r="G4397" s="156" t="n"/>
      <c r="H4397" s="152" t="n"/>
      <c r="I4397" s="156" t="n"/>
      <c r="J4397" s="90" t="n"/>
      <c r="K4397" s="166" t="n"/>
      <c r="L4397" s="158" t="n"/>
      <c r="M4397" s="159" t="n"/>
    </row>
    <row r="4398">
      <c r="A4398" s="114" t="n"/>
      <c r="B4398" s="115" t="n"/>
      <c r="C4398" s="115" t="n"/>
      <c r="D4398" s="115" t="n"/>
      <c r="E4398" s="115" t="n"/>
      <c r="F4398" s="115" t="n"/>
      <c r="G4398" s="156" t="n"/>
      <c r="H4398" s="152" t="n"/>
      <c r="I4398" s="156" t="n"/>
      <c r="J4398" s="90" t="n"/>
      <c r="K4398" s="166" t="n"/>
      <c r="L4398" s="158" t="n"/>
      <c r="M4398" s="159" t="n"/>
    </row>
    <row r="4399">
      <c r="A4399" s="114" t="n"/>
      <c r="B4399" s="115" t="n"/>
      <c r="C4399" s="115" t="n"/>
      <c r="D4399" s="115" t="n"/>
      <c r="E4399" s="115" t="n"/>
      <c r="F4399" s="115" t="n"/>
      <c r="G4399" s="156" t="n"/>
      <c r="H4399" s="152" t="n"/>
      <c r="I4399" s="156" t="n"/>
      <c r="J4399" s="90" t="n"/>
      <c r="K4399" s="166" t="n"/>
      <c r="L4399" s="158" t="n"/>
      <c r="M4399" s="159" t="n"/>
    </row>
    <row r="4400">
      <c r="A4400" s="114" t="n"/>
      <c r="B4400" s="115" t="n"/>
      <c r="C4400" s="115" t="n"/>
      <c r="D4400" s="115" t="n"/>
      <c r="E4400" s="115" t="n"/>
      <c r="F4400" s="115" t="n"/>
      <c r="G4400" s="156" t="n"/>
      <c r="H4400" s="152" t="n"/>
      <c r="I4400" s="156" t="n"/>
      <c r="J4400" s="90" t="n"/>
      <c r="K4400" s="166" t="n"/>
      <c r="L4400" s="158" t="n"/>
      <c r="M4400" s="159" t="n"/>
    </row>
    <row r="4401">
      <c r="A4401" s="114" t="n"/>
      <c r="B4401" s="115" t="n"/>
      <c r="C4401" s="115" t="n"/>
      <c r="D4401" s="115" t="n"/>
      <c r="E4401" s="115" t="n"/>
      <c r="F4401" s="115" t="n"/>
      <c r="G4401" s="156" t="n"/>
      <c r="H4401" s="152" t="n"/>
      <c r="I4401" s="156" t="n"/>
      <c r="J4401" s="90" t="n"/>
      <c r="K4401" s="166" t="n"/>
      <c r="L4401" s="158" t="n"/>
      <c r="M4401" s="159" t="n"/>
    </row>
    <row r="4402">
      <c r="A4402" s="114" t="n"/>
      <c r="B4402" s="115" t="n"/>
      <c r="C4402" s="115" t="n"/>
      <c r="D4402" s="115" t="n"/>
      <c r="E4402" s="115" t="n"/>
      <c r="F4402" s="115" t="n"/>
      <c r="G4402" s="156" t="n"/>
      <c r="H4402" s="152" t="n"/>
      <c r="I4402" s="156" t="n"/>
      <c r="J4402" s="90" t="n"/>
      <c r="K4402" s="166" t="n"/>
      <c r="L4402" s="158" t="n"/>
      <c r="M4402" s="159" t="n"/>
    </row>
    <row r="4403">
      <c r="A4403" s="114" t="n"/>
      <c r="B4403" s="115" t="n"/>
      <c r="C4403" s="115" t="n"/>
      <c r="D4403" s="115" t="n"/>
      <c r="E4403" s="115" t="n"/>
      <c r="F4403" s="115" t="n"/>
      <c r="G4403" s="156" t="n"/>
      <c r="H4403" s="152" t="n"/>
      <c r="I4403" s="156" t="n"/>
      <c r="J4403" s="90" t="n"/>
      <c r="K4403" s="166" t="n"/>
      <c r="L4403" s="158" t="n"/>
      <c r="M4403" s="159" t="n"/>
    </row>
    <row r="4404">
      <c r="A4404" s="114" t="n"/>
      <c r="B4404" s="115" t="n"/>
      <c r="C4404" s="115" t="n"/>
      <c r="D4404" s="115" t="n"/>
      <c r="E4404" s="115" t="n"/>
      <c r="F4404" s="115" t="n"/>
      <c r="G4404" s="156" t="n"/>
      <c r="H4404" s="152" t="n"/>
      <c r="I4404" s="156" t="n"/>
      <c r="J4404" s="90" t="n"/>
      <c r="K4404" s="166" t="n"/>
      <c r="L4404" s="158" t="n"/>
      <c r="M4404" s="159" t="n"/>
    </row>
    <row r="4405">
      <c r="A4405" s="114" t="n"/>
      <c r="B4405" s="115" t="n"/>
      <c r="C4405" s="115" t="n"/>
      <c r="D4405" s="115" t="n"/>
      <c r="E4405" s="115" t="n"/>
      <c r="F4405" s="115" t="n"/>
      <c r="G4405" s="156" t="n"/>
      <c r="H4405" s="152" t="n"/>
      <c r="I4405" s="156" t="n"/>
      <c r="J4405" s="90" t="n"/>
      <c r="K4405" s="166" t="n"/>
      <c r="L4405" s="158" t="n"/>
      <c r="M4405" s="159" t="n"/>
    </row>
    <row r="4406">
      <c r="A4406" s="114" t="n"/>
      <c r="B4406" s="115" t="n"/>
      <c r="C4406" s="115" t="n"/>
      <c r="D4406" s="115" t="n"/>
      <c r="E4406" s="115" t="n"/>
      <c r="F4406" s="115" t="n"/>
      <c r="G4406" s="156" t="n"/>
      <c r="H4406" s="152" t="n"/>
      <c r="I4406" s="156" t="n"/>
      <c r="J4406" s="90" t="n"/>
      <c r="K4406" s="166" t="n"/>
      <c r="L4406" s="158" t="n"/>
      <c r="M4406" s="159" t="n"/>
    </row>
    <row r="4407">
      <c r="A4407" s="114" t="n"/>
      <c r="B4407" s="115" t="n"/>
      <c r="C4407" s="115" t="n"/>
      <c r="D4407" s="115" t="n"/>
      <c r="E4407" s="115" t="n"/>
      <c r="F4407" s="115" t="n"/>
      <c r="G4407" s="156" t="n"/>
      <c r="H4407" s="152" t="n"/>
      <c r="I4407" s="156" t="n"/>
      <c r="J4407" s="90" t="n"/>
      <c r="K4407" s="166" t="n"/>
      <c r="L4407" s="158" t="n"/>
      <c r="M4407" s="159" t="n"/>
    </row>
    <row r="4408">
      <c r="A4408" s="114" t="n"/>
      <c r="B4408" s="115" t="n"/>
      <c r="C4408" s="115" t="n"/>
      <c r="D4408" s="115" t="n"/>
      <c r="E4408" s="115" t="n"/>
      <c r="F4408" s="115" t="n"/>
      <c r="G4408" s="156" t="n"/>
      <c r="H4408" s="152" t="n"/>
      <c r="I4408" s="156" t="n"/>
      <c r="J4408" s="90" t="n"/>
      <c r="K4408" s="166" t="n"/>
      <c r="L4408" s="158" t="n"/>
      <c r="M4408" s="159" t="n"/>
    </row>
    <row r="4409">
      <c r="A4409" s="114" t="n"/>
      <c r="B4409" s="115" t="n"/>
      <c r="C4409" s="115" t="n"/>
      <c r="D4409" s="115" t="n"/>
      <c r="E4409" s="115" t="n"/>
      <c r="F4409" s="115" t="n"/>
      <c r="G4409" s="156" t="n"/>
      <c r="H4409" s="152" t="n"/>
      <c r="I4409" s="156" t="n"/>
      <c r="J4409" s="90" t="n"/>
      <c r="K4409" s="166" t="n"/>
      <c r="L4409" s="158" t="n"/>
      <c r="M4409" s="159" t="n"/>
    </row>
    <row r="4410">
      <c r="A4410" s="114" t="n"/>
      <c r="B4410" s="115" t="n"/>
      <c r="C4410" s="115" t="n"/>
      <c r="D4410" s="115" t="n"/>
      <c r="E4410" s="115" t="n"/>
      <c r="F4410" s="115" t="n"/>
      <c r="G4410" s="156" t="n"/>
      <c r="H4410" s="152" t="n"/>
      <c r="I4410" s="156" t="n"/>
      <c r="J4410" s="90" t="n"/>
      <c r="K4410" s="166" t="n"/>
      <c r="L4410" s="158" t="n"/>
      <c r="M4410" s="159" t="n"/>
    </row>
    <row r="4411">
      <c r="A4411" s="114" t="n"/>
      <c r="B4411" s="115" t="n"/>
      <c r="C4411" s="115" t="n"/>
      <c r="D4411" s="115" t="n"/>
      <c r="E4411" s="115" t="n"/>
      <c r="F4411" s="115" t="n"/>
      <c r="G4411" s="156" t="n"/>
      <c r="H4411" s="152" t="n"/>
      <c r="I4411" s="156" t="n"/>
      <c r="J4411" s="90" t="n"/>
      <c r="K4411" s="166" t="n"/>
      <c r="L4411" s="158" t="n"/>
      <c r="M4411" s="159" t="n"/>
    </row>
    <row r="4412">
      <c r="A4412" s="114" t="n"/>
      <c r="B4412" s="115" t="n"/>
      <c r="C4412" s="115" t="n"/>
      <c r="D4412" s="115" t="n"/>
      <c r="E4412" s="115" t="n"/>
      <c r="F4412" s="115" t="n"/>
      <c r="G4412" s="156" t="n"/>
      <c r="H4412" s="152" t="n"/>
      <c r="I4412" s="156" t="n"/>
      <c r="J4412" s="90" t="n"/>
      <c r="K4412" s="166" t="n"/>
      <c r="L4412" s="158" t="n"/>
      <c r="M4412" s="159" t="n"/>
    </row>
    <row r="4413">
      <c r="A4413" s="114" t="n"/>
      <c r="B4413" s="115" t="n"/>
      <c r="C4413" s="115" t="n"/>
      <c r="D4413" s="115" t="n"/>
      <c r="E4413" s="115" t="n"/>
      <c r="F4413" s="115" t="n"/>
      <c r="G4413" s="156" t="n"/>
      <c r="H4413" s="152" t="n"/>
      <c r="I4413" s="156" t="n"/>
      <c r="J4413" s="90" t="n"/>
      <c r="K4413" s="166" t="n"/>
      <c r="L4413" s="158" t="n"/>
      <c r="M4413" s="159" t="n"/>
    </row>
    <row r="4414">
      <c r="A4414" s="114" t="n"/>
      <c r="B4414" s="115" t="n"/>
      <c r="C4414" s="115" t="n"/>
      <c r="D4414" s="115" t="n"/>
      <c r="E4414" s="115" t="n"/>
      <c r="F4414" s="115" t="n"/>
      <c r="G4414" s="156" t="n"/>
      <c r="H4414" s="152" t="n"/>
      <c r="I4414" s="156" t="n"/>
      <c r="J4414" s="90" t="n"/>
      <c r="K4414" s="166" t="n"/>
      <c r="L4414" s="158" t="n"/>
      <c r="M4414" s="159" t="n"/>
    </row>
    <row r="4415">
      <c r="A4415" s="114" t="n"/>
      <c r="B4415" s="115" t="n"/>
      <c r="C4415" s="115" t="n"/>
      <c r="D4415" s="115" t="n"/>
      <c r="E4415" s="115" t="n"/>
      <c r="F4415" s="115" t="n"/>
      <c r="G4415" s="156" t="n"/>
      <c r="H4415" s="152" t="n"/>
      <c r="I4415" s="156" t="n"/>
      <c r="J4415" s="90" t="n"/>
      <c r="K4415" s="166" t="n"/>
      <c r="L4415" s="158" t="n"/>
      <c r="M4415" s="159" t="n"/>
    </row>
    <row r="4416">
      <c r="A4416" s="114" t="n"/>
      <c r="B4416" s="115" t="n"/>
      <c r="C4416" s="115" t="n"/>
      <c r="D4416" s="115" t="n"/>
      <c r="E4416" s="115" t="n"/>
      <c r="F4416" s="115" t="n"/>
      <c r="G4416" s="156" t="n"/>
      <c r="H4416" s="152" t="n"/>
      <c r="I4416" s="156" t="n"/>
      <c r="J4416" s="90" t="n"/>
      <c r="K4416" s="166" t="n"/>
      <c r="L4416" s="158" t="n"/>
      <c r="M4416" s="159" t="n"/>
    </row>
    <row r="4417">
      <c r="A4417" s="114" t="n"/>
      <c r="B4417" s="115" t="n"/>
      <c r="C4417" s="115" t="n"/>
      <c r="D4417" s="115" t="n"/>
      <c r="E4417" s="115" t="n"/>
      <c r="F4417" s="115" t="n"/>
      <c r="G4417" s="156" t="n"/>
      <c r="H4417" s="152" t="n"/>
      <c r="I4417" s="156" t="n"/>
      <c r="J4417" s="90" t="n"/>
      <c r="K4417" s="166" t="n"/>
      <c r="L4417" s="158" t="n"/>
      <c r="M4417" s="159" t="n"/>
    </row>
    <row r="4418">
      <c r="A4418" s="114" t="n"/>
      <c r="B4418" s="115" t="n"/>
      <c r="C4418" s="115" t="n"/>
      <c r="D4418" s="115" t="n"/>
      <c r="E4418" s="115" t="n"/>
      <c r="F4418" s="115" t="n"/>
      <c r="G4418" s="156" t="n"/>
      <c r="H4418" s="152" t="n"/>
      <c r="I4418" s="156" t="n"/>
      <c r="J4418" s="90" t="n"/>
      <c r="K4418" s="166" t="n"/>
      <c r="L4418" s="158" t="n"/>
      <c r="M4418" s="159" t="n"/>
    </row>
    <row r="4419">
      <c r="A4419" s="114" t="n"/>
      <c r="B4419" s="115" t="n"/>
      <c r="C4419" s="115" t="n"/>
      <c r="D4419" s="115" t="n"/>
      <c r="E4419" s="115" t="n"/>
      <c r="F4419" s="115" t="n"/>
      <c r="G4419" s="156" t="n"/>
      <c r="H4419" s="152" t="n"/>
      <c r="I4419" s="156" t="n"/>
      <c r="J4419" s="90" t="n"/>
      <c r="K4419" s="166" t="n"/>
      <c r="L4419" s="158" t="n"/>
      <c r="M4419" s="159" t="n"/>
    </row>
    <row r="4420">
      <c r="A4420" s="114" t="n"/>
      <c r="B4420" s="115" t="n"/>
      <c r="C4420" s="115" t="n"/>
      <c r="D4420" s="115" t="n"/>
      <c r="E4420" s="115" t="n"/>
      <c r="F4420" s="115" t="n"/>
      <c r="G4420" s="156" t="n"/>
      <c r="H4420" s="152" t="n"/>
      <c r="I4420" s="156" t="n"/>
      <c r="J4420" s="90" t="n"/>
      <c r="K4420" s="166" t="n"/>
      <c r="L4420" s="158" t="n"/>
      <c r="M4420" s="159" t="n"/>
    </row>
    <row r="4421">
      <c r="A4421" s="114" t="n"/>
      <c r="B4421" s="115" t="n"/>
      <c r="C4421" s="115" t="n"/>
      <c r="D4421" s="115" t="n"/>
      <c r="E4421" s="115" t="n"/>
      <c r="F4421" s="115" t="n"/>
      <c r="G4421" s="156" t="n"/>
      <c r="H4421" s="152" t="n"/>
      <c r="I4421" s="156" t="n"/>
      <c r="J4421" s="90" t="n"/>
      <c r="K4421" s="166" t="n"/>
      <c r="L4421" s="158" t="n"/>
      <c r="M4421" s="159" t="n"/>
    </row>
    <row r="4422">
      <c r="A4422" s="114" t="n"/>
      <c r="B4422" s="115" t="n"/>
      <c r="C4422" s="115" t="n"/>
      <c r="D4422" s="115" t="n"/>
      <c r="E4422" s="115" t="n"/>
      <c r="F4422" s="115" t="n"/>
      <c r="G4422" s="156" t="n"/>
      <c r="H4422" s="152" t="n"/>
      <c r="I4422" s="156" t="n"/>
      <c r="J4422" s="90" t="n"/>
      <c r="K4422" s="166" t="n"/>
      <c r="L4422" s="158" t="n"/>
      <c r="M4422" s="159" t="n"/>
    </row>
    <row r="4423">
      <c r="A4423" s="114" t="n"/>
      <c r="B4423" s="115" t="n"/>
      <c r="C4423" s="115" t="n"/>
      <c r="D4423" s="115" t="n"/>
      <c r="E4423" s="115" t="n"/>
      <c r="F4423" s="115" t="n"/>
      <c r="G4423" s="156" t="n"/>
      <c r="H4423" s="152" t="n"/>
      <c r="I4423" s="156" t="n"/>
      <c r="J4423" s="90" t="n"/>
      <c r="K4423" s="166" t="n"/>
      <c r="L4423" s="158" t="n"/>
      <c r="M4423" s="159" t="n"/>
    </row>
    <row r="4424">
      <c r="A4424" s="114" t="n"/>
      <c r="B4424" s="115" t="n"/>
      <c r="C4424" s="115" t="n"/>
      <c r="D4424" s="115" t="n"/>
      <c r="E4424" s="115" t="n"/>
      <c r="F4424" s="115" t="n"/>
      <c r="G4424" s="156" t="n"/>
      <c r="H4424" s="152" t="n"/>
      <c r="I4424" s="156" t="n"/>
      <c r="J4424" s="90" t="n"/>
      <c r="K4424" s="166" t="n"/>
      <c r="L4424" s="158" t="n"/>
      <c r="M4424" s="159" t="n"/>
    </row>
    <row r="4425">
      <c r="A4425" s="114" t="n"/>
      <c r="B4425" s="115" t="n"/>
      <c r="C4425" s="115" t="n"/>
      <c r="D4425" s="115" t="n"/>
      <c r="E4425" s="115" t="n"/>
      <c r="F4425" s="115" t="n"/>
      <c r="G4425" s="156" t="n"/>
      <c r="H4425" s="152" t="n"/>
      <c r="I4425" s="156" t="n"/>
      <c r="J4425" s="90" t="n"/>
      <c r="K4425" s="166" t="n"/>
      <c r="L4425" s="158" t="n"/>
      <c r="M4425" s="159" t="n"/>
    </row>
    <row r="4426">
      <c r="A4426" s="114" t="n"/>
      <c r="B4426" s="115" t="n"/>
      <c r="C4426" s="115" t="n"/>
      <c r="D4426" s="115" t="n"/>
      <c r="E4426" s="115" t="n"/>
      <c r="F4426" s="115" t="n"/>
      <c r="G4426" s="156" t="n"/>
      <c r="H4426" s="152" t="n"/>
      <c r="I4426" s="156" t="n"/>
      <c r="J4426" s="90" t="n"/>
      <c r="K4426" s="166" t="n"/>
      <c r="L4426" s="158" t="n"/>
      <c r="M4426" s="159" t="n"/>
    </row>
    <row r="4427">
      <c r="A4427" s="114" t="n"/>
      <c r="B4427" s="115" t="n"/>
      <c r="C4427" s="115" t="n"/>
      <c r="D4427" s="115" t="n"/>
      <c r="E4427" s="115" t="n"/>
      <c r="F4427" s="115" t="n"/>
      <c r="G4427" s="156" t="n"/>
      <c r="H4427" s="152" t="n"/>
      <c r="I4427" s="156" t="n"/>
      <c r="J4427" s="90" t="n"/>
      <c r="K4427" s="166" t="n"/>
      <c r="L4427" s="158" t="n"/>
      <c r="M4427" s="159" t="n"/>
    </row>
    <row r="4428">
      <c r="A4428" s="114" t="n"/>
      <c r="B4428" s="115" t="n"/>
      <c r="C4428" s="115" t="n"/>
      <c r="D4428" s="115" t="n"/>
      <c r="E4428" s="115" t="n"/>
      <c r="F4428" s="115" t="n"/>
      <c r="G4428" s="156" t="n"/>
      <c r="H4428" s="152" t="n"/>
      <c r="I4428" s="156" t="n"/>
      <c r="J4428" s="90" t="n"/>
      <c r="K4428" s="166" t="n"/>
      <c r="L4428" s="158" t="n"/>
      <c r="M4428" s="159" t="n"/>
    </row>
    <row r="4429">
      <c r="A4429" s="114" t="n"/>
      <c r="B4429" s="115" t="n"/>
      <c r="C4429" s="115" t="n"/>
      <c r="D4429" s="115" t="n"/>
      <c r="E4429" s="115" t="n"/>
      <c r="F4429" s="115" t="n"/>
      <c r="G4429" s="156" t="n"/>
      <c r="H4429" s="152" t="n"/>
      <c r="I4429" s="156" t="n"/>
      <c r="J4429" s="90" t="n"/>
      <c r="K4429" s="166" t="n"/>
      <c r="L4429" s="158" t="n"/>
      <c r="M4429" s="159" t="n"/>
    </row>
    <row r="4430">
      <c r="A4430" s="114" t="n"/>
      <c r="B4430" s="115" t="n"/>
      <c r="C4430" s="115" t="n"/>
      <c r="D4430" s="115" t="n"/>
      <c r="E4430" s="115" t="n"/>
      <c r="F4430" s="115" t="n"/>
      <c r="G4430" s="156" t="n"/>
      <c r="H4430" s="152" t="n"/>
      <c r="I4430" s="156" t="n"/>
      <c r="J4430" s="90" t="n"/>
      <c r="K4430" s="166" t="n"/>
      <c r="L4430" s="158" t="n"/>
      <c r="M4430" s="159" t="n"/>
    </row>
    <row r="4431">
      <c r="A4431" s="114" t="n"/>
      <c r="B4431" s="115" t="n"/>
      <c r="C4431" s="115" t="n"/>
      <c r="D4431" s="115" t="n"/>
      <c r="E4431" s="115" t="n"/>
      <c r="F4431" s="115" t="n"/>
      <c r="G4431" s="156" t="n"/>
      <c r="H4431" s="152" t="n"/>
      <c r="I4431" s="156" t="n"/>
      <c r="J4431" s="90" t="n"/>
      <c r="K4431" s="166" t="n"/>
      <c r="L4431" s="158" t="n"/>
      <c r="M4431" s="159" t="n"/>
    </row>
    <row r="4432">
      <c r="A4432" s="114" t="n"/>
      <c r="B4432" s="115" t="n"/>
      <c r="C4432" s="115" t="n"/>
      <c r="D4432" s="115" t="n"/>
      <c r="E4432" s="115" t="n"/>
      <c r="F4432" s="115" t="n"/>
      <c r="G4432" s="156" t="n"/>
      <c r="H4432" s="152" t="n"/>
      <c r="I4432" s="156" t="n"/>
      <c r="J4432" s="90" t="n"/>
      <c r="K4432" s="166" t="n"/>
      <c r="L4432" s="158" t="n"/>
      <c r="M4432" s="159" t="n"/>
    </row>
    <row r="4433">
      <c r="A4433" s="114" t="n"/>
      <c r="B4433" s="115" t="n"/>
      <c r="C4433" s="115" t="n"/>
      <c r="D4433" s="115" t="n"/>
      <c r="E4433" s="115" t="n"/>
      <c r="F4433" s="115" t="n"/>
      <c r="G4433" s="156" t="n"/>
      <c r="H4433" s="152" t="n"/>
      <c r="I4433" s="156" t="n"/>
      <c r="J4433" s="90" t="n"/>
      <c r="K4433" s="166" t="n"/>
      <c r="L4433" s="158" t="n"/>
      <c r="M4433" s="159" t="n"/>
    </row>
    <row r="4434">
      <c r="A4434" s="114" t="n"/>
      <c r="B4434" s="115" t="n"/>
      <c r="C4434" s="115" t="n"/>
      <c r="D4434" s="115" t="n"/>
      <c r="E4434" s="115" t="n"/>
      <c r="F4434" s="115" t="n"/>
      <c r="G4434" s="156" t="n"/>
      <c r="H4434" s="152" t="n"/>
      <c r="I4434" s="156" t="n"/>
      <c r="J4434" s="90" t="n"/>
      <c r="K4434" s="166" t="n"/>
      <c r="L4434" s="158" t="n"/>
      <c r="M4434" s="159" t="n"/>
    </row>
    <row r="4435">
      <c r="A4435" s="114" t="n"/>
      <c r="B4435" s="115" t="n"/>
      <c r="C4435" s="115" t="n"/>
      <c r="D4435" s="115" t="n"/>
      <c r="E4435" s="115" t="n"/>
      <c r="F4435" s="115" t="n"/>
      <c r="G4435" s="156" t="n"/>
      <c r="H4435" s="152" t="n"/>
      <c r="I4435" s="156" t="n"/>
      <c r="J4435" s="90" t="n"/>
      <c r="K4435" s="166" t="n"/>
      <c r="L4435" s="158" t="n"/>
      <c r="M4435" s="159" t="n"/>
    </row>
    <row r="4436">
      <c r="A4436" s="114" t="n"/>
      <c r="B4436" s="115" t="n"/>
      <c r="C4436" s="115" t="n"/>
      <c r="D4436" s="115" t="n"/>
      <c r="E4436" s="115" t="n"/>
      <c r="F4436" s="115" t="n"/>
      <c r="G4436" s="156" t="n"/>
      <c r="H4436" s="152" t="n"/>
      <c r="I4436" s="156" t="n"/>
      <c r="J4436" s="90" t="n"/>
      <c r="K4436" s="166" t="n"/>
      <c r="L4436" s="158" t="n"/>
      <c r="M4436" s="159" t="n"/>
    </row>
    <row r="4437">
      <c r="A4437" s="114" t="n"/>
      <c r="B4437" s="115" t="n"/>
      <c r="C4437" s="115" t="n"/>
      <c r="D4437" s="115" t="n"/>
      <c r="E4437" s="115" t="n"/>
      <c r="F4437" s="115" t="n"/>
      <c r="G4437" s="156" t="n"/>
      <c r="H4437" s="152" t="n"/>
      <c r="I4437" s="156" t="n"/>
      <c r="J4437" s="90" t="n"/>
      <c r="K4437" s="166" t="n"/>
      <c r="L4437" s="158" t="n"/>
      <c r="M4437" s="159" t="n"/>
    </row>
    <row r="4438">
      <c r="A4438" s="114" t="n"/>
      <c r="B4438" s="115" t="n"/>
      <c r="C4438" s="115" t="n"/>
      <c r="D4438" s="115" t="n"/>
      <c r="E4438" s="115" t="n"/>
      <c r="F4438" s="115" t="n"/>
      <c r="G4438" s="156" t="n"/>
      <c r="H4438" s="152" t="n"/>
      <c r="I4438" s="156" t="n"/>
      <c r="J4438" s="90" t="n"/>
      <c r="K4438" s="166" t="n"/>
      <c r="L4438" s="158" t="n"/>
      <c r="M4438" s="159" t="n"/>
    </row>
    <row r="4439">
      <c r="A4439" s="114" t="n"/>
      <c r="B4439" s="115" t="n"/>
      <c r="C4439" s="115" t="n"/>
      <c r="D4439" s="115" t="n"/>
      <c r="E4439" s="115" t="n"/>
      <c r="F4439" s="115" t="n"/>
      <c r="G4439" s="156" t="n"/>
      <c r="H4439" s="152" t="n"/>
      <c r="I4439" s="156" t="n"/>
      <c r="J4439" s="90" t="n"/>
      <c r="K4439" s="166" t="n"/>
      <c r="L4439" s="158" t="n"/>
      <c r="M4439" s="159" t="n"/>
    </row>
    <row r="4440">
      <c r="A4440" s="114" t="n"/>
      <c r="B4440" s="115" t="n"/>
      <c r="C4440" s="115" t="n"/>
      <c r="D4440" s="115" t="n"/>
      <c r="E4440" s="115" t="n"/>
      <c r="F4440" s="115" t="n"/>
      <c r="G4440" s="156" t="n"/>
      <c r="H4440" s="152" t="n"/>
      <c r="I4440" s="156" t="n"/>
      <c r="J4440" s="90" t="n"/>
      <c r="K4440" s="166" t="n"/>
      <c r="L4440" s="158" t="n"/>
      <c r="M4440" s="159" t="n"/>
    </row>
    <row r="4441">
      <c r="A4441" s="114" t="n"/>
      <c r="B4441" s="115" t="n"/>
      <c r="C4441" s="115" t="n"/>
      <c r="D4441" s="115" t="n"/>
      <c r="E4441" s="115" t="n"/>
      <c r="F4441" s="115" t="n"/>
      <c r="G4441" s="156" t="n"/>
      <c r="H4441" s="152" t="n"/>
      <c r="I4441" s="156" t="n"/>
      <c r="J4441" s="90" t="n"/>
      <c r="K4441" s="166" t="n"/>
      <c r="L4441" s="158" t="n"/>
      <c r="M4441" s="159" t="n"/>
    </row>
    <row r="4442">
      <c r="A4442" s="114" t="n"/>
      <c r="B4442" s="115" t="n"/>
      <c r="C4442" s="115" t="n"/>
      <c r="D4442" s="115" t="n"/>
      <c r="E4442" s="115" t="n"/>
      <c r="F4442" s="115" t="n"/>
      <c r="G4442" s="156" t="n"/>
      <c r="H4442" s="152" t="n"/>
      <c r="I4442" s="156" t="n"/>
      <c r="J4442" s="90" t="n"/>
      <c r="K4442" s="166" t="n"/>
      <c r="L4442" s="158" t="n"/>
      <c r="M4442" s="159" t="n"/>
    </row>
    <row r="4443">
      <c r="A4443" s="114" t="n"/>
      <c r="B4443" s="115" t="n"/>
      <c r="C4443" s="115" t="n"/>
      <c r="D4443" s="115" t="n"/>
      <c r="E4443" s="115" t="n"/>
      <c r="F4443" s="115" t="n"/>
      <c r="G4443" s="156" t="n"/>
      <c r="H4443" s="152" t="n"/>
      <c r="I4443" s="156" t="n"/>
      <c r="J4443" s="90" t="n"/>
      <c r="K4443" s="166" t="n"/>
      <c r="L4443" s="158" t="n"/>
      <c r="M4443" s="159" t="n"/>
    </row>
    <row r="4444">
      <c r="A4444" s="114" t="n"/>
      <c r="B4444" s="115" t="n"/>
      <c r="C4444" s="115" t="n"/>
      <c r="D4444" s="115" t="n"/>
      <c r="E4444" s="115" t="n"/>
      <c r="F4444" s="115" t="n"/>
      <c r="G4444" s="156" t="n"/>
      <c r="H4444" s="152" t="n"/>
      <c r="I4444" s="156" t="n"/>
      <c r="J4444" s="90" t="n"/>
      <c r="K4444" s="166" t="n"/>
      <c r="L4444" s="158" t="n"/>
      <c r="M4444" s="159" t="n"/>
    </row>
    <row r="4445">
      <c r="A4445" s="114" t="n"/>
      <c r="B4445" s="115" t="n"/>
      <c r="C4445" s="115" t="n"/>
      <c r="D4445" s="115" t="n"/>
      <c r="E4445" s="115" t="n"/>
      <c r="F4445" s="115" t="n"/>
      <c r="G4445" s="156" t="n"/>
      <c r="H4445" s="152" t="n"/>
      <c r="I4445" s="156" t="n"/>
      <c r="J4445" s="90" t="n"/>
      <c r="K4445" s="166" t="n"/>
      <c r="L4445" s="158" t="n"/>
      <c r="M4445" s="159" t="n"/>
    </row>
    <row r="4446">
      <c r="A4446" s="114" t="n"/>
      <c r="B4446" s="115" t="n"/>
      <c r="C4446" s="115" t="n"/>
      <c r="D4446" s="115" t="n"/>
      <c r="E4446" s="115" t="n"/>
      <c r="F4446" s="115" t="n"/>
      <c r="G4446" s="156" t="n"/>
      <c r="H4446" s="152" t="n"/>
      <c r="I4446" s="156" t="n"/>
      <c r="J4446" s="90" t="n"/>
      <c r="K4446" s="166" t="n"/>
      <c r="L4446" s="158" t="n"/>
      <c r="M4446" s="159" t="n"/>
    </row>
    <row r="4447">
      <c r="A4447" s="114" t="n"/>
      <c r="B4447" s="115" t="n"/>
      <c r="C4447" s="115" t="n"/>
      <c r="D4447" s="115" t="n"/>
      <c r="E4447" s="115" t="n"/>
      <c r="F4447" s="115" t="n"/>
      <c r="G4447" s="156" t="n"/>
      <c r="H4447" s="152" t="n"/>
      <c r="I4447" s="156" t="n"/>
      <c r="J4447" s="90" t="n"/>
      <c r="K4447" s="166" t="n"/>
      <c r="L4447" s="158" t="n"/>
      <c r="M4447" s="159" t="n"/>
    </row>
    <row r="4448">
      <c r="A4448" s="114" t="n"/>
      <c r="B4448" s="115" t="n"/>
      <c r="C4448" s="115" t="n"/>
      <c r="D4448" s="115" t="n"/>
      <c r="E4448" s="115" t="n"/>
      <c r="F4448" s="115" t="n"/>
      <c r="G4448" s="156" t="n"/>
      <c r="H4448" s="152" t="n"/>
      <c r="I4448" s="156" t="n"/>
      <c r="J4448" s="90" t="n"/>
      <c r="K4448" s="166" t="n"/>
      <c r="L4448" s="158" t="n"/>
      <c r="M4448" s="159" t="n"/>
    </row>
    <row r="4449">
      <c r="A4449" s="114" t="n"/>
      <c r="B4449" s="115" t="n"/>
      <c r="C4449" s="115" t="n"/>
      <c r="D4449" s="115" t="n"/>
      <c r="E4449" s="115" t="n"/>
      <c r="F4449" s="115" t="n"/>
      <c r="G4449" s="156" t="n"/>
      <c r="H4449" s="152" t="n"/>
      <c r="I4449" s="156" t="n"/>
      <c r="J4449" s="90" t="n"/>
      <c r="K4449" s="166" t="n"/>
      <c r="L4449" s="158" t="n"/>
      <c r="M4449" s="159" t="n"/>
    </row>
    <row r="4450">
      <c r="A4450" s="114" t="n"/>
      <c r="B4450" s="115" t="n"/>
      <c r="C4450" s="115" t="n"/>
      <c r="D4450" s="115" t="n"/>
      <c r="E4450" s="115" t="n"/>
      <c r="F4450" s="115" t="n"/>
      <c r="G4450" s="156" t="n"/>
      <c r="H4450" s="152" t="n"/>
      <c r="I4450" s="156" t="n"/>
      <c r="J4450" s="90" t="n"/>
      <c r="K4450" s="166" t="n"/>
      <c r="L4450" s="158" t="n"/>
      <c r="M4450" s="159" t="n"/>
    </row>
    <row r="4451">
      <c r="A4451" s="114" t="n"/>
      <c r="B4451" s="115" t="n"/>
      <c r="C4451" s="115" t="n"/>
      <c r="D4451" s="115" t="n"/>
      <c r="E4451" s="115" t="n"/>
      <c r="F4451" s="115" t="n"/>
      <c r="G4451" s="156" t="n"/>
      <c r="H4451" s="152" t="n"/>
      <c r="I4451" s="156" t="n"/>
      <c r="J4451" s="90" t="n"/>
      <c r="K4451" s="166" t="n"/>
      <c r="L4451" s="158" t="n"/>
      <c r="M4451" s="159" t="n"/>
    </row>
    <row r="4452">
      <c r="A4452" s="114" t="n"/>
      <c r="B4452" s="115" t="n"/>
      <c r="C4452" s="115" t="n"/>
      <c r="D4452" s="115" t="n"/>
      <c r="E4452" s="115" t="n"/>
      <c r="F4452" s="115" t="n"/>
      <c r="G4452" s="156" t="n"/>
      <c r="H4452" s="152" t="n"/>
      <c r="I4452" s="156" t="n"/>
      <c r="J4452" s="90" t="n"/>
      <c r="K4452" s="166" t="n"/>
      <c r="L4452" s="158" t="n"/>
      <c r="M4452" s="159" t="n"/>
    </row>
    <row r="4453">
      <c r="A4453" s="114" t="n"/>
      <c r="B4453" s="115" t="n"/>
      <c r="C4453" s="115" t="n"/>
      <c r="D4453" s="115" t="n"/>
      <c r="E4453" s="115" t="n"/>
      <c r="F4453" s="115" t="n"/>
      <c r="G4453" s="156" t="n"/>
      <c r="H4453" s="152" t="n"/>
      <c r="I4453" s="156" t="n"/>
      <c r="J4453" s="90" t="n"/>
      <c r="K4453" s="166" t="n"/>
      <c r="L4453" s="158" t="n"/>
      <c r="M4453" s="159" t="n"/>
    </row>
    <row r="4454">
      <c r="A4454" s="114" t="n"/>
      <c r="B4454" s="115" t="n"/>
      <c r="C4454" s="115" t="n"/>
      <c r="D4454" s="115" t="n"/>
      <c r="E4454" s="115" t="n"/>
      <c r="F4454" s="115" t="n"/>
      <c r="G4454" s="156" t="n"/>
      <c r="H4454" s="152" t="n"/>
      <c r="I4454" s="156" t="n"/>
      <c r="J4454" s="90" t="n"/>
      <c r="K4454" s="166" t="n"/>
      <c r="L4454" s="158" t="n"/>
      <c r="M4454" s="159" t="n"/>
    </row>
    <row r="4455">
      <c r="A4455" s="114" t="n"/>
      <c r="B4455" s="115" t="n"/>
      <c r="C4455" s="115" t="n"/>
      <c r="D4455" s="115" t="n"/>
      <c r="E4455" s="115" t="n"/>
      <c r="F4455" s="115" t="n"/>
      <c r="G4455" s="156" t="n"/>
      <c r="H4455" s="152" t="n"/>
      <c r="I4455" s="156" t="n"/>
      <c r="J4455" s="90" t="n"/>
      <c r="K4455" s="166" t="n"/>
      <c r="L4455" s="158" t="n"/>
      <c r="M4455" s="159" t="n"/>
    </row>
    <row r="4456">
      <c r="A4456" s="114" t="n"/>
      <c r="B4456" s="115" t="n"/>
      <c r="C4456" s="115" t="n"/>
      <c r="D4456" s="115" t="n"/>
      <c r="E4456" s="115" t="n"/>
      <c r="F4456" s="115" t="n"/>
      <c r="G4456" s="156" t="n"/>
      <c r="H4456" s="152" t="n"/>
      <c r="I4456" s="156" t="n"/>
      <c r="J4456" s="90" t="n"/>
      <c r="K4456" s="166" t="n"/>
      <c r="L4456" s="158" t="n"/>
      <c r="M4456" s="159" t="n"/>
    </row>
    <row r="4457">
      <c r="A4457" s="114" t="n"/>
      <c r="B4457" s="115" t="n"/>
      <c r="C4457" s="115" t="n"/>
      <c r="D4457" s="115" t="n"/>
      <c r="E4457" s="115" t="n"/>
      <c r="F4457" s="115" t="n"/>
      <c r="G4457" s="156" t="n"/>
      <c r="H4457" s="152" t="n"/>
      <c r="I4457" s="156" t="n"/>
      <c r="J4457" s="90" t="n"/>
      <c r="K4457" s="166" t="n"/>
      <c r="L4457" s="158" t="n"/>
      <c r="M4457" s="159" t="n"/>
    </row>
    <row r="4458">
      <c r="A4458" s="114" t="n"/>
      <c r="B4458" s="115" t="n"/>
      <c r="C4458" s="115" t="n"/>
      <c r="D4458" s="115" t="n"/>
      <c r="E4458" s="115" t="n"/>
      <c r="F4458" s="115" t="n"/>
      <c r="G4458" s="156" t="n"/>
      <c r="H4458" s="152" t="n"/>
      <c r="I4458" s="156" t="n"/>
      <c r="J4458" s="90" t="n"/>
      <c r="K4458" s="166" t="n"/>
      <c r="L4458" s="158" t="n"/>
      <c r="M4458" s="159" t="n"/>
    </row>
    <row r="4459">
      <c r="A4459" s="114" t="n"/>
      <c r="B4459" s="115" t="n"/>
      <c r="C4459" s="115" t="n"/>
      <c r="D4459" s="115" t="n"/>
      <c r="E4459" s="115" t="n"/>
      <c r="F4459" s="115" t="n"/>
      <c r="G4459" s="156" t="n"/>
      <c r="H4459" s="152" t="n"/>
      <c r="I4459" s="156" t="n"/>
      <c r="J4459" s="90" t="n"/>
      <c r="K4459" s="166" t="n"/>
      <c r="L4459" s="158" t="n"/>
      <c r="M4459" s="159" t="n"/>
    </row>
    <row r="4460">
      <c r="A4460" s="114" t="n"/>
      <c r="B4460" s="115" t="n"/>
      <c r="C4460" s="115" t="n"/>
      <c r="D4460" s="115" t="n"/>
      <c r="E4460" s="115" t="n"/>
      <c r="F4460" s="115" t="n"/>
      <c r="G4460" s="156" t="n"/>
      <c r="H4460" s="152" t="n"/>
      <c r="I4460" s="156" t="n"/>
      <c r="J4460" s="90" t="n"/>
      <c r="K4460" s="166" t="n"/>
      <c r="L4460" s="158" t="n"/>
      <c r="M4460" s="159" t="n"/>
    </row>
    <row r="4461">
      <c r="A4461" s="114" t="n"/>
      <c r="B4461" s="115" t="n"/>
      <c r="C4461" s="115" t="n"/>
      <c r="D4461" s="115" t="n"/>
      <c r="E4461" s="115" t="n"/>
      <c r="F4461" s="115" t="n"/>
      <c r="G4461" s="156" t="n"/>
      <c r="H4461" s="152" t="n"/>
      <c r="I4461" s="156" t="n"/>
      <c r="J4461" s="90" t="n"/>
      <c r="K4461" s="166" t="n"/>
      <c r="L4461" s="158" t="n"/>
      <c r="M4461" s="159" t="n"/>
    </row>
    <row r="4462">
      <c r="A4462" s="114" t="n"/>
      <c r="B4462" s="115" t="n"/>
      <c r="C4462" s="115" t="n"/>
      <c r="D4462" s="115" t="n"/>
      <c r="E4462" s="115" t="n"/>
      <c r="F4462" s="115" t="n"/>
      <c r="G4462" s="156" t="n"/>
      <c r="H4462" s="152" t="n"/>
      <c r="I4462" s="156" t="n"/>
      <c r="J4462" s="90" t="n"/>
      <c r="K4462" s="166" t="n"/>
      <c r="L4462" s="158" t="n"/>
      <c r="M4462" s="159" t="n"/>
    </row>
    <row r="4463">
      <c r="A4463" s="114" t="n"/>
      <c r="B4463" s="115" t="n"/>
      <c r="C4463" s="115" t="n"/>
      <c r="D4463" s="115" t="n"/>
      <c r="E4463" s="115" t="n"/>
      <c r="F4463" s="115" t="n"/>
      <c r="G4463" s="156" t="n"/>
      <c r="H4463" s="152" t="n"/>
      <c r="I4463" s="156" t="n"/>
      <c r="J4463" s="90" t="n"/>
      <c r="K4463" s="166" t="n"/>
      <c r="L4463" s="158" t="n"/>
      <c r="M4463" s="159" t="n"/>
    </row>
    <row r="4464">
      <c r="A4464" s="114" t="n"/>
      <c r="B4464" s="115" t="n"/>
      <c r="C4464" s="115" t="n"/>
      <c r="D4464" s="115" t="n"/>
      <c r="E4464" s="115" t="n"/>
      <c r="F4464" s="115" t="n"/>
      <c r="G4464" s="156" t="n"/>
      <c r="H4464" s="152" t="n"/>
      <c r="I4464" s="156" t="n"/>
      <c r="J4464" s="90" t="n"/>
      <c r="K4464" s="166" t="n"/>
      <c r="L4464" s="158" t="n"/>
      <c r="M4464" s="159" t="n"/>
    </row>
    <row r="4465">
      <c r="A4465" s="114" t="n"/>
      <c r="B4465" s="115" t="n"/>
      <c r="C4465" s="115" t="n"/>
      <c r="D4465" s="115" t="n"/>
      <c r="E4465" s="115" t="n"/>
      <c r="F4465" s="115" t="n"/>
      <c r="G4465" s="156" t="n"/>
      <c r="H4465" s="152" t="n"/>
      <c r="I4465" s="156" t="n"/>
      <c r="J4465" s="90" t="n"/>
      <c r="K4465" s="166" t="n"/>
      <c r="L4465" s="158" t="n"/>
      <c r="M4465" s="159" t="n"/>
    </row>
    <row r="4466">
      <c r="A4466" s="114" t="n"/>
      <c r="B4466" s="115" t="n"/>
      <c r="C4466" s="115" t="n"/>
      <c r="D4466" s="115" t="n"/>
      <c r="E4466" s="115" t="n"/>
      <c r="F4466" s="115" t="n"/>
      <c r="G4466" s="156" t="n"/>
      <c r="H4466" s="152" t="n"/>
      <c r="I4466" s="156" t="n"/>
      <c r="J4466" s="90" t="n"/>
      <c r="K4466" s="166" t="n"/>
      <c r="L4466" s="158" t="n"/>
      <c r="M4466" s="159" t="n"/>
    </row>
    <row r="4467">
      <c r="A4467" s="114" t="n"/>
      <c r="B4467" s="115" t="n"/>
      <c r="C4467" s="115" t="n"/>
      <c r="D4467" s="115" t="n"/>
      <c r="E4467" s="115" t="n"/>
      <c r="F4467" s="115" t="n"/>
      <c r="G4467" s="156" t="n"/>
      <c r="H4467" s="152" t="n"/>
      <c r="I4467" s="156" t="n"/>
      <c r="J4467" s="90" t="n"/>
      <c r="K4467" s="166" t="n"/>
      <c r="L4467" s="158" t="n"/>
      <c r="M4467" s="159" t="n"/>
    </row>
    <row r="4468">
      <c r="A4468" s="114" t="n"/>
      <c r="B4468" s="115" t="n"/>
      <c r="C4468" s="115" t="n"/>
      <c r="D4468" s="115" t="n"/>
      <c r="E4468" s="115" t="n"/>
      <c r="F4468" s="115" t="n"/>
      <c r="G4468" s="156" t="n"/>
      <c r="H4468" s="152" t="n"/>
      <c r="I4468" s="156" t="n"/>
      <c r="J4468" s="90" t="n"/>
      <c r="K4468" s="166" t="n"/>
      <c r="L4468" s="158" t="n"/>
      <c r="M4468" s="159" t="n"/>
    </row>
    <row r="4469">
      <c r="A4469" s="114" t="n"/>
      <c r="B4469" s="115" t="n"/>
      <c r="C4469" s="115" t="n"/>
      <c r="D4469" s="115" t="n"/>
      <c r="E4469" s="115" t="n"/>
      <c r="F4469" s="115" t="n"/>
      <c r="G4469" s="156" t="n"/>
      <c r="H4469" s="152" t="n"/>
      <c r="I4469" s="156" t="n"/>
      <c r="J4469" s="90" t="n"/>
      <c r="K4469" s="166" t="n"/>
      <c r="L4469" s="158" t="n"/>
      <c r="M4469" s="159" t="n"/>
    </row>
    <row r="4470">
      <c r="A4470" s="114" t="n"/>
      <c r="B4470" s="115" t="n"/>
      <c r="C4470" s="115" t="n"/>
      <c r="D4470" s="115" t="n"/>
      <c r="E4470" s="115" t="n"/>
      <c r="F4470" s="115" t="n"/>
      <c r="G4470" s="156" t="n"/>
      <c r="H4470" s="152" t="n"/>
      <c r="I4470" s="156" t="n"/>
      <c r="J4470" s="90" t="n"/>
      <c r="K4470" s="166" t="n"/>
      <c r="L4470" s="158" t="n"/>
      <c r="M4470" s="159" t="n"/>
    </row>
    <row r="4471">
      <c r="A4471" s="114" t="n"/>
      <c r="B4471" s="115" t="n"/>
      <c r="C4471" s="115" t="n"/>
      <c r="D4471" s="115" t="n"/>
      <c r="E4471" s="115" t="n"/>
      <c r="F4471" s="115" t="n"/>
      <c r="G4471" s="156" t="n"/>
      <c r="H4471" s="152" t="n"/>
      <c r="I4471" s="156" t="n"/>
      <c r="J4471" s="90" t="n"/>
      <c r="K4471" s="166" t="n"/>
      <c r="L4471" s="158" t="n"/>
      <c r="M4471" s="159" t="n"/>
    </row>
    <row r="4472">
      <c r="A4472" s="114" t="n"/>
      <c r="B4472" s="115" t="n"/>
      <c r="C4472" s="115" t="n"/>
      <c r="D4472" s="115" t="n"/>
      <c r="E4472" s="115" t="n"/>
      <c r="F4472" s="115" t="n"/>
      <c r="G4472" s="156" t="n"/>
      <c r="H4472" s="152" t="n"/>
      <c r="I4472" s="156" t="n"/>
      <c r="J4472" s="90" t="n"/>
      <c r="K4472" s="166" t="n"/>
      <c r="L4472" s="158" t="n"/>
      <c r="M4472" s="159" t="n"/>
    </row>
    <row r="4473">
      <c r="A4473" s="114" t="n"/>
      <c r="B4473" s="115" t="n"/>
      <c r="C4473" s="115" t="n"/>
      <c r="D4473" s="115" t="n"/>
      <c r="E4473" s="115" t="n"/>
      <c r="F4473" s="115" t="n"/>
      <c r="G4473" s="156" t="n"/>
      <c r="H4473" s="152" t="n"/>
      <c r="I4473" s="156" t="n"/>
      <c r="J4473" s="90" t="n"/>
      <c r="K4473" s="166" t="n"/>
      <c r="L4473" s="158" t="n"/>
      <c r="M4473" s="159" t="n"/>
    </row>
    <row r="4474">
      <c r="A4474" s="114" t="n"/>
      <c r="B4474" s="115" t="n"/>
      <c r="C4474" s="115" t="n"/>
      <c r="D4474" s="115" t="n"/>
      <c r="E4474" s="115" t="n"/>
      <c r="F4474" s="115" t="n"/>
      <c r="G4474" s="156" t="n"/>
      <c r="H4474" s="152" t="n"/>
      <c r="I4474" s="156" t="n"/>
      <c r="J4474" s="90" t="n"/>
      <c r="K4474" s="166" t="n"/>
      <c r="L4474" s="158" t="n"/>
      <c r="M4474" s="159" t="n"/>
    </row>
    <row r="4475">
      <c r="A4475" s="114" t="n"/>
      <c r="B4475" s="115" t="n"/>
      <c r="C4475" s="115" t="n"/>
      <c r="D4475" s="115" t="n"/>
      <c r="E4475" s="115" t="n"/>
      <c r="F4475" s="115" t="n"/>
      <c r="G4475" s="156" t="n"/>
      <c r="H4475" s="152" t="n"/>
      <c r="I4475" s="156" t="n"/>
      <c r="J4475" s="90" t="n"/>
      <c r="K4475" s="166" t="n"/>
      <c r="L4475" s="158" t="n"/>
      <c r="M4475" s="159" t="n"/>
    </row>
    <row r="4476">
      <c r="A4476" s="114" t="n"/>
      <c r="B4476" s="115" t="n"/>
      <c r="C4476" s="115" t="n"/>
      <c r="D4476" s="115" t="n"/>
      <c r="E4476" s="115" t="n"/>
      <c r="F4476" s="115" t="n"/>
      <c r="G4476" s="156" t="n"/>
      <c r="H4476" s="152" t="n"/>
      <c r="I4476" s="156" t="n"/>
      <c r="J4476" s="90" t="n"/>
      <c r="K4476" s="166" t="n"/>
      <c r="L4476" s="158" t="n"/>
      <c r="M4476" s="159" t="n"/>
    </row>
    <row r="4477">
      <c r="A4477" s="114" t="n"/>
      <c r="B4477" s="115" t="n"/>
      <c r="C4477" s="115" t="n"/>
      <c r="D4477" s="115" t="n"/>
      <c r="E4477" s="115" t="n"/>
      <c r="F4477" s="115" t="n"/>
      <c r="G4477" s="156" t="n"/>
      <c r="H4477" s="152" t="n"/>
      <c r="I4477" s="156" t="n"/>
      <c r="J4477" s="90" t="n"/>
      <c r="K4477" s="166" t="n"/>
      <c r="L4477" s="158" t="n"/>
      <c r="M4477" s="159" t="n"/>
    </row>
    <row r="4478">
      <c r="A4478" s="114" t="n"/>
      <c r="B4478" s="115" t="n"/>
      <c r="C4478" s="115" t="n"/>
      <c r="D4478" s="115" t="n"/>
      <c r="E4478" s="115" t="n"/>
      <c r="F4478" s="115" t="n"/>
      <c r="G4478" s="156" t="n"/>
      <c r="H4478" s="152" t="n"/>
      <c r="I4478" s="156" t="n"/>
      <c r="J4478" s="90" t="n"/>
      <c r="K4478" s="166" t="n"/>
      <c r="L4478" s="158" t="n"/>
      <c r="M4478" s="159" t="n"/>
    </row>
    <row r="4479">
      <c r="A4479" s="114" t="n"/>
      <c r="B4479" s="115" t="n"/>
      <c r="C4479" s="115" t="n"/>
      <c r="D4479" s="115" t="n"/>
      <c r="E4479" s="115" t="n"/>
      <c r="F4479" s="115" t="n"/>
      <c r="G4479" s="156" t="n"/>
      <c r="H4479" s="152" t="n"/>
      <c r="I4479" s="156" t="n"/>
      <c r="J4479" s="90" t="n"/>
      <c r="K4479" s="166" t="n"/>
      <c r="L4479" s="158" t="n"/>
      <c r="M4479" s="159" t="n"/>
    </row>
    <row r="4480">
      <c r="A4480" s="114" t="n"/>
      <c r="B4480" s="115" t="n"/>
      <c r="C4480" s="115" t="n"/>
      <c r="D4480" s="115" t="n"/>
      <c r="E4480" s="115" t="n"/>
      <c r="F4480" s="115" t="n"/>
      <c r="G4480" s="156" t="n"/>
      <c r="H4480" s="152" t="n"/>
      <c r="I4480" s="156" t="n"/>
      <c r="J4480" s="90" t="n"/>
      <c r="K4480" s="166" t="n"/>
      <c r="L4480" s="158" t="n"/>
      <c r="M4480" s="159" t="n"/>
    </row>
    <row r="4481">
      <c r="A4481" s="114" t="n"/>
      <c r="B4481" s="115" t="n"/>
      <c r="C4481" s="115" t="n"/>
      <c r="D4481" s="115" t="n"/>
      <c r="E4481" s="115" t="n"/>
      <c r="F4481" s="115" t="n"/>
      <c r="G4481" s="156" t="n"/>
      <c r="H4481" s="152" t="n"/>
      <c r="I4481" s="156" t="n"/>
      <c r="J4481" s="90" t="n"/>
      <c r="K4481" s="166" t="n"/>
      <c r="L4481" s="158" t="n"/>
      <c r="M4481" s="159" t="n"/>
    </row>
    <row r="4482">
      <c r="A4482" s="114" t="n"/>
      <c r="B4482" s="115" t="n"/>
      <c r="C4482" s="115" t="n"/>
      <c r="D4482" s="115" t="n"/>
      <c r="E4482" s="115" t="n"/>
      <c r="F4482" s="115" t="n"/>
      <c r="G4482" s="156" t="n"/>
      <c r="H4482" s="152" t="n"/>
      <c r="I4482" s="156" t="n"/>
      <c r="J4482" s="90" t="n"/>
      <c r="K4482" s="166" t="n"/>
      <c r="L4482" s="158" t="n"/>
      <c r="M4482" s="159" t="n"/>
    </row>
    <row r="4483">
      <c r="A4483" s="114" t="n"/>
      <c r="B4483" s="115" t="n"/>
      <c r="C4483" s="115" t="n"/>
      <c r="D4483" s="115" t="n"/>
      <c r="E4483" s="115" t="n"/>
      <c r="F4483" s="115" t="n"/>
      <c r="G4483" s="156" t="n"/>
      <c r="H4483" s="152" t="n"/>
      <c r="I4483" s="156" t="n"/>
      <c r="J4483" s="90" t="n"/>
      <c r="K4483" s="166" t="n"/>
      <c r="L4483" s="158" t="n"/>
      <c r="M4483" s="159" t="n"/>
    </row>
    <row r="4484">
      <c r="A4484" s="114" t="n"/>
      <c r="B4484" s="115" t="n"/>
      <c r="C4484" s="115" t="n"/>
      <c r="D4484" s="115" t="n"/>
      <c r="E4484" s="115" t="n"/>
      <c r="F4484" s="115" t="n"/>
      <c r="G4484" s="156" t="n"/>
      <c r="H4484" s="152" t="n"/>
      <c r="I4484" s="156" t="n"/>
      <c r="J4484" s="90" t="n"/>
      <c r="K4484" s="166" t="n"/>
      <c r="L4484" s="158" t="n"/>
      <c r="M4484" s="159" t="n"/>
    </row>
    <row r="4485">
      <c r="A4485" s="114" t="n"/>
      <c r="B4485" s="115" t="n"/>
      <c r="C4485" s="115" t="n"/>
      <c r="D4485" s="115" t="n"/>
      <c r="E4485" s="115" t="n"/>
      <c r="F4485" s="115" t="n"/>
      <c r="G4485" s="156" t="n"/>
      <c r="H4485" s="152" t="n"/>
      <c r="I4485" s="156" t="n"/>
      <c r="J4485" s="90" t="n"/>
      <c r="K4485" s="166" t="n"/>
      <c r="L4485" s="158" t="n"/>
      <c r="M4485" s="159" t="n"/>
    </row>
    <row r="4486">
      <c r="A4486" s="114" t="n"/>
      <c r="B4486" s="115" t="n"/>
      <c r="C4486" s="115" t="n"/>
      <c r="D4486" s="115" t="n"/>
      <c r="E4486" s="115" t="n"/>
      <c r="F4486" s="115" t="n"/>
      <c r="G4486" s="156" t="n"/>
      <c r="H4486" s="152" t="n"/>
      <c r="I4486" s="156" t="n"/>
      <c r="J4486" s="90" t="n"/>
      <c r="K4486" s="166" t="n"/>
      <c r="L4486" s="158" t="n"/>
      <c r="M4486" s="159" t="n"/>
    </row>
    <row r="4487">
      <c r="A4487" s="114" t="n"/>
      <c r="B4487" s="115" t="n"/>
      <c r="C4487" s="115" t="n"/>
      <c r="D4487" s="115" t="n"/>
      <c r="E4487" s="115" t="n"/>
      <c r="F4487" s="115" t="n"/>
      <c r="G4487" s="156" t="n"/>
      <c r="H4487" s="152" t="n"/>
      <c r="I4487" s="156" t="n"/>
      <c r="J4487" s="90" t="n"/>
      <c r="K4487" s="166" t="n"/>
      <c r="L4487" s="158" t="n"/>
      <c r="M4487" s="159" t="n"/>
    </row>
    <row r="4488">
      <c r="A4488" s="114" t="n"/>
      <c r="B4488" s="115" t="n"/>
      <c r="C4488" s="115" t="n"/>
      <c r="D4488" s="115" t="n"/>
      <c r="E4488" s="115" t="n"/>
      <c r="F4488" s="115" t="n"/>
      <c r="G4488" s="156" t="n"/>
      <c r="H4488" s="152" t="n"/>
      <c r="I4488" s="156" t="n"/>
      <c r="J4488" s="90" t="n"/>
      <c r="K4488" s="166" t="n"/>
      <c r="L4488" s="158" t="n"/>
      <c r="M4488" s="159" t="n"/>
    </row>
    <row r="4489">
      <c r="A4489" s="114" t="n"/>
      <c r="B4489" s="115" t="n"/>
      <c r="C4489" s="115" t="n"/>
      <c r="D4489" s="115" t="n"/>
      <c r="E4489" s="115" t="n"/>
      <c r="F4489" s="115" t="n"/>
      <c r="G4489" s="156" t="n"/>
      <c r="H4489" s="152" t="n"/>
      <c r="I4489" s="156" t="n"/>
      <c r="J4489" s="90" t="n"/>
      <c r="K4489" s="166" t="n"/>
      <c r="L4489" s="158" t="n"/>
      <c r="M4489" s="159" t="n"/>
    </row>
    <row r="4490">
      <c r="A4490" s="114" t="n"/>
      <c r="B4490" s="115" t="n"/>
      <c r="C4490" s="115" t="n"/>
      <c r="D4490" s="115" t="n"/>
      <c r="E4490" s="115" t="n"/>
      <c r="F4490" s="115" t="n"/>
      <c r="G4490" s="156" t="n"/>
      <c r="H4490" s="152" t="n"/>
      <c r="I4490" s="156" t="n"/>
      <c r="J4490" s="90" t="n"/>
      <c r="K4490" s="166" t="n"/>
      <c r="L4490" s="158" t="n"/>
      <c r="M4490" s="159" t="n"/>
    </row>
    <row r="4491">
      <c r="A4491" s="114" t="n"/>
      <c r="B4491" s="115" t="n"/>
      <c r="C4491" s="115" t="n"/>
      <c r="D4491" s="115" t="n"/>
      <c r="E4491" s="115" t="n"/>
      <c r="F4491" s="115" t="n"/>
      <c r="G4491" s="156" t="n"/>
      <c r="H4491" s="152" t="n"/>
      <c r="I4491" s="156" t="n"/>
      <c r="J4491" s="90" t="n"/>
      <c r="K4491" s="166" t="n"/>
      <c r="L4491" s="158" t="n"/>
      <c r="M4491" s="159" t="n"/>
    </row>
    <row r="4492">
      <c r="A4492" s="114" t="n"/>
      <c r="B4492" s="115" t="n"/>
      <c r="C4492" s="115" t="n"/>
      <c r="D4492" s="115" t="n"/>
      <c r="E4492" s="115" t="n"/>
      <c r="F4492" s="115" t="n"/>
      <c r="G4492" s="156" t="n"/>
      <c r="H4492" s="152" t="n"/>
      <c r="I4492" s="156" t="n"/>
      <c r="J4492" s="90" t="n"/>
      <c r="K4492" s="166" t="n"/>
      <c r="L4492" s="158" t="n"/>
      <c r="M4492" s="159" t="n"/>
    </row>
    <row r="4493">
      <c r="A4493" s="114" t="n"/>
      <c r="B4493" s="115" t="n"/>
      <c r="C4493" s="115" t="n"/>
      <c r="D4493" s="115" t="n"/>
      <c r="E4493" s="115" t="n"/>
      <c r="F4493" s="115" t="n"/>
      <c r="G4493" s="156" t="n"/>
      <c r="H4493" s="152" t="n"/>
      <c r="I4493" s="156" t="n"/>
      <c r="J4493" s="90" t="n"/>
      <c r="K4493" s="166" t="n"/>
      <c r="L4493" s="158" t="n"/>
      <c r="M4493" s="159" t="n"/>
    </row>
    <row r="4494">
      <c r="A4494" s="114" t="n"/>
      <c r="B4494" s="115" t="n"/>
      <c r="C4494" s="115" t="n"/>
      <c r="D4494" s="115" t="n"/>
      <c r="E4494" s="115" t="n"/>
      <c r="F4494" s="115" t="n"/>
      <c r="G4494" s="156" t="n"/>
      <c r="H4494" s="152" t="n"/>
      <c r="I4494" s="156" t="n"/>
      <c r="J4494" s="90" t="n"/>
      <c r="K4494" s="166" t="n"/>
      <c r="L4494" s="158" t="n"/>
      <c r="M4494" s="159" t="n"/>
    </row>
    <row r="4495">
      <c r="A4495" s="114" t="n"/>
      <c r="B4495" s="115" t="n"/>
      <c r="C4495" s="115" t="n"/>
      <c r="D4495" s="115" t="n"/>
      <c r="E4495" s="115" t="n"/>
      <c r="F4495" s="115" t="n"/>
      <c r="G4495" s="156" t="n"/>
      <c r="H4495" s="152" t="n"/>
      <c r="I4495" s="156" t="n"/>
      <c r="J4495" s="90" t="n"/>
      <c r="K4495" s="166" t="n"/>
      <c r="L4495" s="158" t="n"/>
      <c r="M4495" s="159" t="n"/>
    </row>
    <row r="4496">
      <c r="A4496" s="114" t="n"/>
      <c r="B4496" s="115" t="n"/>
      <c r="C4496" s="115" t="n"/>
      <c r="D4496" s="115" t="n"/>
      <c r="E4496" s="115" t="n"/>
      <c r="F4496" s="115" t="n"/>
      <c r="G4496" s="156" t="n"/>
      <c r="H4496" s="152" t="n"/>
      <c r="I4496" s="156" t="n"/>
      <c r="J4496" s="90" t="n"/>
      <c r="K4496" s="166" t="n"/>
      <c r="L4496" s="158" t="n"/>
      <c r="M4496" s="159" t="n"/>
    </row>
    <row r="4497">
      <c r="A4497" s="114" t="n"/>
      <c r="B4497" s="115" t="n"/>
      <c r="C4497" s="115" t="n"/>
      <c r="D4497" s="115" t="n"/>
      <c r="E4497" s="115" t="n"/>
      <c r="F4497" s="115" t="n"/>
      <c r="G4497" s="156" t="n"/>
      <c r="H4497" s="152" t="n"/>
      <c r="I4497" s="156" t="n"/>
      <c r="J4497" s="90" t="n"/>
      <c r="K4497" s="166" t="n"/>
      <c r="L4497" s="158" t="n"/>
      <c r="M4497" s="159" t="n"/>
    </row>
    <row r="4498">
      <c r="A4498" s="114" t="n"/>
      <c r="B4498" s="115" t="n"/>
      <c r="C4498" s="115" t="n"/>
      <c r="D4498" s="115" t="n"/>
      <c r="E4498" s="115" t="n"/>
      <c r="F4498" s="115" t="n"/>
      <c r="G4498" s="156" t="n"/>
      <c r="H4498" s="152" t="n"/>
      <c r="I4498" s="156" t="n"/>
      <c r="J4498" s="90" t="n"/>
      <c r="K4498" s="166" t="n"/>
      <c r="L4498" s="158" t="n"/>
      <c r="M4498" s="159" t="n"/>
    </row>
    <row r="4499">
      <c r="A4499" s="114" t="n"/>
      <c r="B4499" s="115" t="n"/>
      <c r="C4499" s="115" t="n"/>
      <c r="D4499" s="115" t="n"/>
      <c r="E4499" s="115" t="n"/>
      <c r="F4499" s="115" t="n"/>
      <c r="G4499" s="156" t="n"/>
      <c r="H4499" s="152" t="n"/>
      <c r="I4499" s="156" t="n"/>
      <c r="J4499" s="90" t="n"/>
      <c r="K4499" s="166" t="n"/>
      <c r="L4499" s="158" t="n"/>
      <c r="M4499" s="159" t="n"/>
    </row>
    <row r="4500">
      <c r="A4500" s="114" t="n"/>
      <c r="B4500" s="115" t="n"/>
      <c r="C4500" s="115" t="n"/>
      <c r="D4500" s="115" t="n"/>
      <c r="E4500" s="115" t="n"/>
      <c r="F4500" s="115" t="n"/>
      <c r="G4500" s="156" t="n"/>
      <c r="H4500" s="152" t="n"/>
      <c r="I4500" s="156" t="n"/>
      <c r="J4500" s="90" t="n"/>
      <c r="K4500" s="166" t="n"/>
      <c r="L4500" s="158" t="n"/>
      <c r="M4500" s="159" t="n"/>
    </row>
    <row r="4501">
      <c r="A4501" s="114" t="n"/>
      <c r="B4501" s="115" t="n"/>
      <c r="C4501" s="115" t="n"/>
      <c r="D4501" s="115" t="n"/>
      <c r="E4501" s="115" t="n"/>
      <c r="F4501" s="115" t="n"/>
      <c r="G4501" s="156" t="n"/>
      <c r="H4501" s="152" t="n"/>
      <c r="I4501" s="156" t="n"/>
      <c r="J4501" s="90" t="n"/>
      <c r="K4501" s="166" t="n"/>
      <c r="L4501" s="158" t="n"/>
      <c r="M4501" s="159" t="n"/>
    </row>
    <row r="4502">
      <c r="A4502" s="114" t="n"/>
      <c r="B4502" s="115" t="n"/>
      <c r="C4502" s="115" t="n"/>
      <c r="D4502" s="115" t="n"/>
      <c r="E4502" s="115" t="n"/>
      <c r="F4502" s="115" t="n"/>
      <c r="G4502" s="156" t="n"/>
      <c r="H4502" s="152" t="n"/>
      <c r="I4502" s="156" t="n"/>
      <c r="J4502" s="90" t="n"/>
      <c r="K4502" s="166" t="n"/>
      <c r="L4502" s="158" t="n"/>
      <c r="M4502" s="159" t="n"/>
    </row>
    <row r="4503">
      <c r="A4503" s="114" t="n"/>
      <c r="B4503" s="115" t="n"/>
      <c r="C4503" s="115" t="n"/>
      <c r="D4503" s="115" t="n"/>
      <c r="E4503" s="115" t="n"/>
      <c r="F4503" s="115" t="n"/>
      <c r="G4503" s="156" t="n"/>
      <c r="H4503" s="152" t="n"/>
      <c r="I4503" s="156" t="n"/>
      <c r="J4503" s="90" t="n"/>
      <c r="K4503" s="166" t="n"/>
      <c r="L4503" s="158" t="n"/>
      <c r="M4503" s="159" t="n"/>
    </row>
    <row r="4504">
      <c r="A4504" s="114" t="n"/>
      <c r="B4504" s="115" t="n"/>
      <c r="C4504" s="115" t="n"/>
      <c r="D4504" s="115" t="n"/>
      <c r="E4504" s="115" t="n"/>
      <c r="F4504" s="115" t="n"/>
      <c r="G4504" s="156" t="n"/>
      <c r="H4504" s="152" t="n"/>
      <c r="I4504" s="156" t="n"/>
      <c r="J4504" s="90" t="n"/>
      <c r="K4504" s="166" t="n"/>
      <c r="L4504" s="158" t="n"/>
      <c r="M4504" s="159" t="n"/>
    </row>
    <row r="4505">
      <c r="A4505" s="114" t="n"/>
      <c r="B4505" s="115" t="n"/>
      <c r="C4505" s="115" t="n"/>
      <c r="D4505" s="115" t="n"/>
      <c r="E4505" s="115" t="n"/>
      <c r="F4505" s="115" t="n"/>
      <c r="G4505" s="156" t="n"/>
      <c r="H4505" s="152" t="n"/>
      <c r="I4505" s="156" t="n"/>
      <c r="J4505" s="90" t="n"/>
      <c r="K4505" s="166" t="n"/>
      <c r="L4505" s="158" t="n"/>
      <c r="M4505" s="159" t="n"/>
    </row>
    <row r="4506">
      <c r="A4506" s="114" t="n"/>
      <c r="B4506" s="115" t="n"/>
      <c r="C4506" s="115" t="n"/>
      <c r="D4506" s="115" t="n"/>
      <c r="E4506" s="115" t="n"/>
      <c r="F4506" s="115" t="n"/>
      <c r="G4506" s="156" t="n"/>
      <c r="H4506" s="152" t="n"/>
      <c r="I4506" s="156" t="n"/>
      <c r="J4506" s="90" t="n"/>
      <c r="K4506" s="166" t="n"/>
      <c r="L4506" s="158" t="n"/>
      <c r="M4506" s="159" t="n"/>
    </row>
    <row r="4507">
      <c r="A4507" s="114" t="n"/>
      <c r="B4507" s="115" t="n"/>
      <c r="C4507" s="115" t="n"/>
      <c r="D4507" s="115" t="n"/>
      <c r="E4507" s="115" t="n"/>
      <c r="F4507" s="115" t="n"/>
      <c r="G4507" s="156" t="n"/>
      <c r="H4507" s="152" t="n"/>
      <c r="I4507" s="156" t="n"/>
      <c r="J4507" s="90" t="n"/>
      <c r="K4507" s="166" t="n"/>
      <c r="L4507" s="158" t="n"/>
      <c r="M4507" s="159" t="n"/>
    </row>
    <row r="4508">
      <c r="A4508" s="114" t="n"/>
      <c r="B4508" s="115" t="n"/>
      <c r="C4508" s="115" t="n"/>
      <c r="D4508" s="115" t="n"/>
      <c r="E4508" s="115" t="n"/>
      <c r="F4508" s="115" t="n"/>
      <c r="G4508" s="156" t="n"/>
      <c r="H4508" s="152" t="n"/>
      <c r="I4508" s="156" t="n"/>
      <c r="J4508" s="90" t="n"/>
      <c r="K4508" s="166" t="n"/>
      <c r="L4508" s="158" t="n"/>
      <c r="M4508" s="159" t="n"/>
    </row>
    <row r="4509">
      <c r="A4509" s="114" t="n"/>
      <c r="B4509" s="115" t="n"/>
      <c r="C4509" s="115" t="n"/>
      <c r="D4509" s="115" t="n"/>
      <c r="E4509" s="115" t="n"/>
      <c r="F4509" s="115" t="n"/>
      <c r="G4509" s="156" t="n"/>
      <c r="H4509" s="152" t="n"/>
      <c r="I4509" s="156" t="n"/>
      <c r="J4509" s="90" t="n"/>
      <c r="K4509" s="166" t="n"/>
      <c r="L4509" s="158" t="n"/>
      <c r="M4509" s="159" t="n"/>
    </row>
    <row r="4510">
      <c r="A4510" s="114" t="n"/>
      <c r="B4510" s="115" t="n"/>
      <c r="C4510" s="115" t="n"/>
      <c r="D4510" s="115" t="n"/>
      <c r="E4510" s="115" t="n"/>
      <c r="F4510" s="115" t="n"/>
      <c r="G4510" s="156" t="n"/>
      <c r="H4510" s="152" t="n"/>
      <c r="I4510" s="156" t="n"/>
      <c r="J4510" s="90" t="n"/>
      <c r="K4510" s="166" t="n"/>
      <c r="L4510" s="158" t="n"/>
      <c r="M4510" s="159" t="n"/>
    </row>
    <row r="4511">
      <c r="A4511" s="114" t="n"/>
      <c r="B4511" s="115" t="n"/>
      <c r="C4511" s="115" t="n"/>
      <c r="D4511" s="115" t="n"/>
      <c r="E4511" s="115" t="n"/>
      <c r="F4511" s="115" t="n"/>
      <c r="G4511" s="156" t="n"/>
      <c r="H4511" s="152" t="n"/>
      <c r="I4511" s="156" t="n"/>
      <c r="J4511" s="90" t="n"/>
      <c r="K4511" s="166" t="n"/>
      <c r="L4511" s="158" t="n"/>
      <c r="M4511" s="159" t="n"/>
    </row>
    <row r="4512">
      <c r="A4512" s="114" t="n"/>
      <c r="B4512" s="115" t="n"/>
      <c r="C4512" s="115" t="n"/>
      <c r="D4512" s="115" t="n"/>
      <c r="E4512" s="115" t="n"/>
      <c r="F4512" s="115" t="n"/>
      <c r="G4512" s="156" t="n"/>
      <c r="H4512" s="152" t="n"/>
      <c r="I4512" s="156" t="n"/>
      <c r="J4512" s="90" t="n"/>
      <c r="K4512" s="166" t="n"/>
      <c r="L4512" s="158" t="n"/>
      <c r="M4512" s="159" t="n"/>
    </row>
    <row r="4513">
      <c r="A4513" s="114" t="n"/>
      <c r="B4513" s="115" t="n"/>
      <c r="C4513" s="115" t="n"/>
      <c r="D4513" s="115" t="n"/>
      <c r="E4513" s="115" t="n"/>
      <c r="F4513" s="115" t="n"/>
      <c r="G4513" s="156" t="n"/>
      <c r="H4513" s="152" t="n"/>
      <c r="I4513" s="156" t="n"/>
      <c r="J4513" s="90" t="n"/>
      <c r="K4513" s="166" t="n"/>
      <c r="L4513" s="158" t="n"/>
      <c r="M4513" s="159" t="n"/>
    </row>
    <row r="4514">
      <c r="A4514" s="114" t="n"/>
      <c r="B4514" s="115" t="n"/>
      <c r="C4514" s="115" t="n"/>
      <c r="D4514" s="115" t="n"/>
      <c r="E4514" s="115" t="n"/>
      <c r="F4514" s="115" t="n"/>
      <c r="G4514" s="156" t="n"/>
      <c r="H4514" s="152" t="n"/>
      <c r="I4514" s="156" t="n"/>
      <c r="J4514" s="90" t="n"/>
      <c r="K4514" s="166" t="n"/>
      <c r="L4514" s="158" t="n"/>
      <c r="M4514" s="159" t="n"/>
    </row>
    <row r="4515">
      <c r="A4515" s="114" t="n"/>
      <c r="B4515" s="115" t="n"/>
      <c r="C4515" s="115" t="n"/>
      <c r="D4515" s="115" t="n"/>
      <c r="E4515" s="115" t="n"/>
      <c r="F4515" s="115" t="n"/>
      <c r="G4515" s="156" t="n"/>
      <c r="H4515" s="152" t="n"/>
      <c r="I4515" s="156" t="n"/>
      <c r="J4515" s="90" t="n"/>
      <c r="K4515" s="166" t="n"/>
      <c r="L4515" s="158" t="n"/>
      <c r="M4515" s="159" t="n"/>
    </row>
    <row r="4516">
      <c r="A4516" s="114" t="n"/>
      <c r="B4516" s="115" t="n"/>
      <c r="C4516" s="115" t="n"/>
      <c r="D4516" s="115" t="n"/>
      <c r="E4516" s="115" t="n"/>
      <c r="F4516" s="115" t="n"/>
      <c r="G4516" s="156" t="n"/>
      <c r="H4516" s="152" t="n"/>
      <c r="I4516" s="156" t="n"/>
      <c r="J4516" s="90" t="n"/>
      <c r="K4516" s="166" t="n"/>
      <c r="L4516" s="158" t="n"/>
      <c r="M4516" s="159" t="n"/>
    </row>
    <row r="4517">
      <c r="A4517" s="114" t="n"/>
      <c r="B4517" s="115" t="n"/>
      <c r="C4517" s="115" t="n"/>
      <c r="D4517" s="115" t="n"/>
      <c r="E4517" s="115" t="n"/>
      <c r="F4517" s="115" t="n"/>
      <c r="G4517" s="156" t="n"/>
      <c r="H4517" s="152" t="n"/>
      <c r="I4517" s="156" t="n"/>
      <c r="J4517" s="90" t="n"/>
      <c r="K4517" s="166" t="n"/>
      <c r="L4517" s="158" t="n"/>
      <c r="M4517" s="159" t="n"/>
    </row>
    <row r="4518">
      <c r="A4518" s="114" t="n"/>
      <c r="B4518" s="115" t="n"/>
      <c r="C4518" s="115" t="n"/>
      <c r="D4518" s="115" t="n"/>
      <c r="E4518" s="115" t="n"/>
      <c r="F4518" s="115" t="n"/>
      <c r="G4518" s="156" t="n"/>
      <c r="H4518" s="152" t="n"/>
      <c r="I4518" s="156" t="n"/>
      <c r="J4518" s="90" t="n"/>
      <c r="K4518" s="166" t="n"/>
      <c r="L4518" s="158" t="n"/>
      <c r="M4518" s="159" t="n"/>
    </row>
    <row r="4519">
      <c r="A4519" s="114" t="n"/>
      <c r="B4519" s="115" t="n"/>
      <c r="C4519" s="115" t="n"/>
      <c r="D4519" s="115" t="n"/>
      <c r="E4519" s="115" t="n"/>
      <c r="F4519" s="115" t="n"/>
      <c r="G4519" s="156" t="n"/>
      <c r="H4519" s="152" t="n"/>
      <c r="I4519" s="156" t="n"/>
      <c r="J4519" s="90" t="n"/>
      <c r="K4519" s="166" t="n"/>
      <c r="L4519" s="158" t="n"/>
      <c r="M4519" s="159" t="n"/>
    </row>
    <row r="4520">
      <c r="A4520" s="114" t="n"/>
      <c r="B4520" s="115" t="n"/>
      <c r="C4520" s="115" t="n"/>
      <c r="D4520" s="115" t="n"/>
      <c r="E4520" s="115" t="n"/>
      <c r="F4520" s="115" t="n"/>
      <c r="G4520" s="156" t="n"/>
      <c r="H4520" s="152" t="n"/>
      <c r="I4520" s="156" t="n"/>
      <c r="J4520" s="90" t="n"/>
      <c r="K4520" s="166" t="n"/>
      <c r="L4520" s="158" t="n"/>
      <c r="M4520" s="159" t="n"/>
    </row>
    <row r="4521">
      <c r="A4521" s="114" t="n"/>
      <c r="B4521" s="115" t="n"/>
      <c r="C4521" s="115" t="n"/>
      <c r="D4521" s="115" t="n"/>
      <c r="E4521" s="115" t="n"/>
      <c r="F4521" s="115" t="n"/>
      <c r="G4521" s="156" t="n"/>
      <c r="H4521" s="152" t="n"/>
      <c r="I4521" s="156" t="n"/>
      <c r="J4521" s="90" t="n"/>
      <c r="K4521" s="166" t="n"/>
      <c r="L4521" s="158" t="n"/>
      <c r="M4521" s="159" t="n"/>
    </row>
    <row r="4522">
      <c r="A4522" s="114" t="n"/>
      <c r="B4522" s="115" t="n"/>
      <c r="C4522" s="115" t="n"/>
      <c r="D4522" s="115" t="n"/>
      <c r="E4522" s="115" t="n"/>
      <c r="F4522" s="115" t="n"/>
      <c r="G4522" s="156" t="n"/>
      <c r="H4522" s="152" t="n"/>
      <c r="I4522" s="156" t="n"/>
      <c r="J4522" s="90" t="n"/>
      <c r="K4522" s="166" t="n"/>
      <c r="L4522" s="158" t="n"/>
      <c r="M4522" s="159" t="n"/>
    </row>
    <row r="4523">
      <c r="A4523" s="114" t="n"/>
      <c r="B4523" s="115" t="n"/>
      <c r="C4523" s="115" t="n"/>
      <c r="D4523" s="115" t="n"/>
      <c r="E4523" s="115" t="n"/>
      <c r="F4523" s="115" t="n"/>
      <c r="G4523" s="156" t="n"/>
      <c r="H4523" s="152" t="n"/>
      <c r="I4523" s="156" t="n"/>
      <c r="J4523" s="90" t="n"/>
      <c r="K4523" s="166" t="n"/>
      <c r="L4523" s="158" t="n"/>
      <c r="M4523" s="159" t="n"/>
    </row>
    <row r="4524">
      <c r="A4524" s="114" t="n"/>
      <c r="B4524" s="115" t="n"/>
      <c r="C4524" s="115" t="n"/>
      <c r="D4524" s="115" t="n"/>
      <c r="E4524" s="115" t="n"/>
      <c r="F4524" s="115" t="n"/>
      <c r="G4524" s="156" t="n"/>
      <c r="H4524" s="152" t="n"/>
      <c r="I4524" s="156" t="n"/>
      <c r="J4524" s="90" t="n"/>
      <c r="K4524" s="166" t="n"/>
      <c r="L4524" s="158" t="n"/>
      <c r="M4524" s="159" t="n"/>
    </row>
    <row r="4525">
      <c r="A4525" s="114" t="n"/>
      <c r="B4525" s="115" t="n"/>
      <c r="C4525" s="115" t="n"/>
      <c r="D4525" s="115" t="n"/>
      <c r="E4525" s="115" t="n"/>
      <c r="F4525" s="115" t="n"/>
      <c r="G4525" s="156" t="n"/>
      <c r="H4525" s="152" t="n"/>
      <c r="I4525" s="156" t="n"/>
      <c r="J4525" s="90" t="n"/>
      <c r="K4525" s="166" t="n"/>
      <c r="L4525" s="158" t="n"/>
      <c r="M4525" s="159" t="n"/>
    </row>
    <row r="4526">
      <c r="A4526" s="114" t="n"/>
      <c r="B4526" s="115" t="n"/>
      <c r="C4526" s="115" t="n"/>
      <c r="D4526" s="115" t="n"/>
      <c r="E4526" s="115" t="n"/>
      <c r="F4526" s="115" t="n"/>
      <c r="G4526" s="156" t="n"/>
      <c r="H4526" s="152" t="n"/>
      <c r="I4526" s="156" t="n"/>
      <c r="J4526" s="90" t="n"/>
      <c r="K4526" s="166" t="n"/>
      <c r="L4526" s="158" t="n"/>
      <c r="M4526" s="159" t="n"/>
    </row>
    <row r="4527">
      <c r="A4527" s="114" t="n"/>
      <c r="B4527" s="115" t="n"/>
      <c r="C4527" s="115" t="n"/>
      <c r="D4527" s="115" t="n"/>
      <c r="E4527" s="115" t="n"/>
      <c r="F4527" s="115" t="n"/>
      <c r="G4527" s="156" t="n"/>
      <c r="H4527" s="152" t="n"/>
      <c r="I4527" s="156" t="n"/>
      <c r="J4527" s="90" t="n"/>
      <c r="K4527" s="166" t="n"/>
      <c r="L4527" s="158" t="n"/>
      <c r="M4527" s="159" t="n"/>
    </row>
    <row r="4528">
      <c r="A4528" s="114" t="n"/>
      <c r="B4528" s="115" t="n"/>
      <c r="C4528" s="115" t="n"/>
      <c r="D4528" s="115" t="n"/>
      <c r="E4528" s="115" t="n"/>
      <c r="F4528" s="115" t="n"/>
      <c r="G4528" s="156" t="n"/>
      <c r="H4528" s="152" t="n"/>
      <c r="I4528" s="156" t="n"/>
      <c r="J4528" s="90" t="n"/>
      <c r="K4528" s="166" t="n"/>
      <c r="L4528" s="158" t="n"/>
      <c r="M4528" s="159" t="n"/>
    </row>
    <row r="4529">
      <c r="A4529" s="114" t="n"/>
      <c r="B4529" s="115" t="n"/>
      <c r="C4529" s="115" t="n"/>
      <c r="D4529" s="115" t="n"/>
      <c r="E4529" s="115" t="n"/>
      <c r="F4529" s="115" t="n"/>
      <c r="G4529" s="156" t="n"/>
      <c r="H4529" s="152" t="n"/>
      <c r="I4529" s="156" t="n"/>
      <c r="J4529" s="90" t="n"/>
      <c r="K4529" s="166" t="n"/>
      <c r="L4529" s="158" t="n"/>
      <c r="M4529" s="159" t="n"/>
    </row>
    <row r="4530">
      <c r="A4530" s="114" t="n"/>
      <c r="B4530" s="115" t="n"/>
      <c r="C4530" s="115" t="n"/>
      <c r="D4530" s="115" t="n"/>
      <c r="E4530" s="115" t="n"/>
      <c r="F4530" s="115" t="n"/>
      <c r="G4530" s="156" t="n"/>
      <c r="H4530" s="152" t="n"/>
      <c r="I4530" s="156" t="n"/>
      <c r="J4530" s="90" t="n"/>
      <c r="K4530" s="166" t="n"/>
      <c r="L4530" s="158" t="n"/>
      <c r="M4530" s="159" t="n"/>
    </row>
    <row r="4531">
      <c r="A4531" s="114" t="n"/>
      <c r="B4531" s="115" t="n"/>
      <c r="C4531" s="115" t="n"/>
      <c r="D4531" s="115" t="n"/>
      <c r="E4531" s="115" t="n"/>
      <c r="F4531" s="115" t="n"/>
      <c r="G4531" s="156" t="n"/>
      <c r="H4531" s="152" t="n"/>
      <c r="I4531" s="156" t="n"/>
      <c r="J4531" s="90" t="n"/>
      <c r="K4531" s="166" t="n"/>
      <c r="L4531" s="158" t="n"/>
      <c r="M4531" s="159" t="n"/>
    </row>
    <row r="4532">
      <c r="A4532" s="114" t="n"/>
      <c r="B4532" s="115" t="n"/>
      <c r="C4532" s="115" t="n"/>
      <c r="D4532" s="115" t="n"/>
      <c r="E4532" s="115" t="n"/>
      <c r="F4532" s="115" t="n"/>
      <c r="G4532" s="156" t="n"/>
      <c r="H4532" s="152" t="n"/>
      <c r="I4532" s="156" t="n"/>
      <c r="J4532" s="90" t="n"/>
      <c r="K4532" s="166" t="n"/>
      <c r="L4532" s="158" t="n"/>
      <c r="M4532" s="159" t="n"/>
    </row>
    <row r="4533">
      <c r="A4533" s="114" t="n"/>
      <c r="B4533" s="115" t="n"/>
      <c r="C4533" s="115" t="n"/>
      <c r="D4533" s="115" t="n"/>
      <c r="E4533" s="115" t="n"/>
      <c r="F4533" s="115" t="n"/>
      <c r="G4533" s="156" t="n"/>
      <c r="H4533" s="152" t="n"/>
      <c r="I4533" s="156" t="n"/>
      <c r="J4533" s="90" t="n"/>
      <c r="K4533" s="166" t="n"/>
      <c r="L4533" s="158" t="n"/>
      <c r="M4533" s="159" t="n"/>
    </row>
    <row r="4534">
      <c r="A4534" s="114" t="n"/>
      <c r="B4534" s="115" t="n"/>
      <c r="C4534" s="115" t="n"/>
      <c r="D4534" s="115" t="n"/>
      <c r="E4534" s="115" t="n"/>
      <c r="F4534" s="115" t="n"/>
      <c r="G4534" s="156" t="n"/>
      <c r="H4534" s="152" t="n"/>
      <c r="I4534" s="156" t="n"/>
      <c r="J4534" s="90" t="n"/>
      <c r="K4534" s="166" t="n"/>
      <c r="L4534" s="158" t="n"/>
      <c r="M4534" s="159" t="n"/>
    </row>
    <row r="4535">
      <c r="A4535" s="114" t="n"/>
      <c r="B4535" s="115" t="n"/>
      <c r="C4535" s="115" t="n"/>
      <c r="D4535" s="115" t="n"/>
      <c r="E4535" s="115" t="n"/>
      <c r="F4535" s="115" t="n"/>
      <c r="G4535" s="156" t="n"/>
      <c r="H4535" s="152" t="n"/>
      <c r="I4535" s="156" t="n"/>
      <c r="J4535" s="90" t="n"/>
      <c r="K4535" s="166" t="n"/>
      <c r="L4535" s="158" t="n"/>
      <c r="M4535" s="159" t="n"/>
    </row>
    <row r="4536">
      <c r="A4536" s="114" t="n"/>
      <c r="B4536" s="115" t="n"/>
      <c r="C4536" s="115" t="n"/>
      <c r="D4536" s="115" t="n"/>
      <c r="E4536" s="115" t="n"/>
      <c r="F4536" s="115" t="n"/>
      <c r="G4536" s="156" t="n"/>
      <c r="H4536" s="152" t="n"/>
      <c r="I4536" s="156" t="n"/>
      <c r="J4536" s="90" t="n"/>
      <c r="K4536" s="166" t="n"/>
      <c r="L4536" s="158" t="n"/>
      <c r="M4536" s="159" t="n"/>
    </row>
    <row r="4537">
      <c r="A4537" s="114" t="n"/>
      <c r="B4537" s="115" t="n"/>
      <c r="C4537" s="115" t="n"/>
      <c r="D4537" s="115" t="n"/>
      <c r="E4537" s="115" t="n"/>
      <c r="F4537" s="115" t="n"/>
      <c r="G4537" s="156" t="n"/>
      <c r="H4537" s="152" t="n"/>
      <c r="I4537" s="156" t="n"/>
      <c r="J4537" s="90" t="n"/>
      <c r="K4537" s="166" t="n"/>
      <c r="L4537" s="158" t="n"/>
      <c r="M4537" s="159" t="n"/>
    </row>
    <row r="4538">
      <c r="A4538" s="114" t="n"/>
      <c r="B4538" s="115" t="n"/>
      <c r="C4538" s="115" t="n"/>
      <c r="D4538" s="115" t="n"/>
      <c r="E4538" s="115" t="n"/>
      <c r="F4538" s="115" t="n"/>
      <c r="G4538" s="156" t="n"/>
      <c r="H4538" s="152" t="n"/>
      <c r="I4538" s="156" t="n"/>
      <c r="J4538" s="90" t="n"/>
      <c r="K4538" s="166" t="n"/>
      <c r="L4538" s="158" t="n"/>
      <c r="M4538" s="159" t="n"/>
    </row>
    <row r="4539">
      <c r="A4539" s="114" t="n"/>
      <c r="B4539" s="115" t="n"/>
      <c r="C4539" s="115" t="n"/>
      <c r="D4539" s="115" t="n"/>
      <c r="E4539" s="115" t="n"/>
      <c r="F4539" s="115" t="n"/>
      <c r="G4539" s="156" t="n"/>
      <c r="H4539" s="152" t="n"/>
      <c r="I4539" s="156" t="n"/>
      <c r="J4539" s="90" t="n"/>
      <c r="K4539" s="166" t="n"/>
      <c r="L4539" s="158" t="n"/>
      <c r="M4539" s="159" t="n"/>
    </row>
    <row r="4540">
      <c r="A4540" s="114" t="n"/>
      <c r="B4540" s="115" t="n"/>
      <c r="C4540" s="115" t="n"/>
      <c r="D4540" s="115" t="n"/>
      <c r="E4540" s="115" t="n"/>
      <c r="F4540" s="115" t="n"/>
      <c r="G4540" s="156" t="n"/>
      <c r="H4540" s="152" t="n"/>
      <c r="I4540" s="156" t="n"/>
      <c r="J4540" s="90" t="n"/>
      <c r="K4540" s="166" t="n"/>
      <c r="L4540" s="158" t="n"/>
      <c r="M4540" s="159" t="n"/>
    </row>
    <row r="4541">
      <c r="A4541" s="114" t="n"/>
      <c r="B4541" s="115" t="n"/>
      <c r="C4541" s="115" t="n"/>
      <c r="D4541" s="115" t="n"/>
      <c r="E4541" s="115" t="n"/>
      <c r="F4541" s="115" t="n"/>
      <c r="G4541" s="156" t="n"/>
      <c r="H4541" s="152" t="n"/>
      <c r="I4541" s="156" t="n"/>
      <c r="J4541" s="90" t="n"/>
      <c r="K4541" s="166" t="n"/>
      <c r="L4541" s="158" t="n"/>
      <c r="M4541" s="159" t="n"/>
    </row>
    <row r="4542">
      <c r="A4542" s="114" t="n"/>
      <c r="B4542" s="115" t="n"/>
      <c r="C4542" s="115" t="n"/>
      <c r="D4542" s="115" t="n"/>
      <c r="E4542" s="115" t="n"/>
      <c r="F4542" s="115" t="n"/>
      <c r="G4542" s="156" t="n"/>
      <c r="H4542" s="152" t="n"/>
      <c r="I4542" s="156" t="n"/>
      <c r="J4542" s="90" t="n"/>
      <c r="K4542" s="166" t="n"/>
      <c r="L4542" s="158" t="n"/>
      <c r="M4542" s="159" t="n"/>
    </row>
    <row r="4543">
      <c r="A4543" s="114" t="n"/>
      <c r="B4543" s="115" t="n"/>
      <c r="C4543" s="115" t="n"/>
      <c r="D4543" s="115" t="n"/>
      <c r="E4543" s="115" t="n"/>
      <c r="F4543" s="115" t="n"/>
      <c r="G4543" s="156" t="n"/>
      <c r="H4543" s="152" t="n"/>
      <c r="I4543" s="156" t="n"/>
      <c r="J4543" s="90" t="n"/>
      <c r="K4543" s="166" t="n"/>
      <c r="L4543" s="158" t="n"/>
      <c r="M4543" s="159" t="n"/>
    </row>
    <row r="4544">
      <c r="A4544" s="114" t="n"/>
      <c r="B4544" s="115" t="n"/>
      <c r="C4544" s="115" t="n"/>
      <c r="D4544" s="115" t="n"/>
      <c r="E4544" s="115" t="n"/>
      <c r="F4544" s="115" t="n"/>
      <c r="G4544" s="156" t="n"/>
      <c r="H4544" s="152" t="n"/>
      <c r="I4544" s="156" t="n"/>
      <c r="J4544" s="90" t="n"/>
      <c r="K4544" s="166" t="n"/>
      <c r="L4544" s="158" t="n"/>
      <c r="M4544" s="159" t="n"/>
    </row>
    <row r="4545">
      <c r="A4545" s="114" t="n"/>
      <c r="B4545" s="115" t="n"/>
      <c r="C4545" s="115" t="n"/>
      <c r="D4545" s="115" t="n"/>
      <c r="E4545" s="115" t="n"/>
      <c r="F4545" s="115" t="n"/>
      <c r="G4545" s="156" t="n"/>
      <c r="H4545" s="152" t="n"/>
      <c r="I4545" s="156" t="n"/>
      <c r="J4545" s="90" t="n"/>
      <c r="K4545" s="166" t="n"/>
      <c r="L4545" s="158" t="n"/>
      <c r="M4545" s="159" t="n"/>
    </row>
    <row r="4546">
      <c r="A4546" s="114" t="n"/>
      <c r="B4546" s="115" t="n"/>
      <c r="C4546" s="115" t="n"/>
      <c r="D4546" s="115" t="n"/>
      <c r="E4546" s="115" t="n"/>
      <c r="F4546" s="115" t="n"/>
      <c r="G4546" s="156" t="n"/>
      <c r="H4546" s="152" t="n"/>
      <c r="I4546" s="156" t="n"/>
      <c r="J4546" s="90" t="n"/>
      <c r="K4546" s="166" t="n"/>
      <c r="L4546" s="158" t="n"/>
      <c r="M4546" s="159" t="n"/>
    </row>
    <row r="4547">
      <c r="A4547" s="114" t="n"/>
      <c r="B4547" s="115" t="n"/>
      <c r="C4547" s="115" t="n"/>
      <c r="D4547" s="115" t="n"/>
      <c r="E4547" s="115" t="n"/>
      <c r="F4547" s="115" t="n"/>
      <c r="G4547" s="156" t="n"/>
      <c r="H4547" s="152" t="n"/>
      <c r="I4547" s="156" t="n"/>
      <c r="J4547" s="90" t="n"/>
      <c r="K4547" s="166" t="n"/>
      <c r="L4547" s="158" t="n"/>
      <c r="M4547" s="159" t="n"/>
    </row>
    <row r="4548">
      <c r="A4548" s="114" t="n"/>
      <c r="B4548" s="115" t="n"/>
      <c r="C4548" s="115" t="n"/>
      <c r="D4548" s="115" t="n"/>
      <c r="E4548" s="115" t="n"/>
      <c r="F4548" s="115" t="n"/>
      <c r="G4548" s="156" t="n"/>
      <c r="H4548" s="152" t="n"/>
      <c r="I4548" s="156" t="n"/>
      <c r="J4548" s="90" t="n"/>
      <c r="K4548" s="166" t="n"/>
      <c r="L4548" s="158" t="n"/>
      <c r="M4548" s="159" t="n"/>
    </row>
    <row r="4549">
      <c r="A4549" s="114" t="n"/>
      <c r="B4549" s="115" t="n"/>
      <c r="C4549" s="115" t="n"/>
      <c r="D4549" s="115" t="n"/>
      <c r="E4549" s="115" t="n"/>
      <c r="F4549" s="115" t="n"/>
      <c r="G4549" s="156" t="n"/>
      <c r="H4549" s="152" t="n"/>
      <c r="I4549" s="156" t="n"/>
      <c r="J4549" s="90" t="n"/>
      <c r="K4549" s="166" t="n"/>
      <c r="L4549" s="158" t="n"/>
      <c r="M4549" s="159" t="n"/>
    </row>
    <row r="4550">
      <c r="A4550" s="114" t="n"/>
      <c r="B4550" s="115" t="n"/>
      <c r="C4550" s="115" t="n"/>
      <c r="D4550" s="115" t="n"/>
      <c r="E4550" s="115" t="n"/>
      <c r="F4550" s="115" t="n"/>
      <c r="G4550" s="156" t="n"/>
      <c r="H4550" s="152" t="n"/>
      <c r="I4550" s="156" t="n"/>
      <c r="J4550" s="90" t="n"/>
      <c r="K4550" s="166" t="n"/>
      <c r="L4550" s="158" t="n"/>
      <c r="M4550" s="159" t="n"/>
    </row>
    <row r="4551">
      <c r="A4551" s="114" t="n"/>
      <c r="B4551" s="115" t="n"/>
      <c r="C4551" s="115" t="n"/>
      <c r="D4551" s="115" t="n"/>
      <c r="E4551" s="115" t="n"/>
      <c r="F4551" s="115" t="n"/>
      <c r="G4551" s="156" t="n"/>
      <c r="H4551" s="152" t="n"/>
      <c r="I4551" s="156" t="n"/>
      <c r="J4551" s="90" t="n"/>
      <c r="K4551" s="166" t="n"/>
      <c r="L4551" s="158" t="n"/>
      <c r="M4551" s="159" t="n"/>
    </row>
    <row r="4552">
      <c r="A4552" s="114" t="n"/>
      <c r="B4552" s="115" t="n"/>
      <c r="C4552" s="115" t="n"/>
      <c r="D4552" s="115" t="n"/>
      <c r="E4552" s="115" t="n"/>
      <c r="F4552" s="115" t="n"/>
      <c r="G4552" s="156" t="n"/>
      <c r="H4552" s="152" t="n"/>
      <c r="I4552" s="156" t="n"/>
      <c r="J4552" s="90" t="n"/>
      <c r="K4552" s="166" t="n"/>
      <c r="L4552" s="158" t="n"/>
      <c r="M4552" s="159" t="n"/>
    </row>
    <row r="4553">
      <c r="A4553" s="114" t="n"/>
      <c r="B4553" s="115" t="n"/>
      <c r="C4553" s="115" t="n"/>
      <c r="D4553" s="115" t="n"/>
      <c r="E4553" s="115" t="n"/>
      <c r="F4553" s="115" t="n"/>
      <c r="G4553" s="156" t="n"/>
      <c r="H4553" s="152" t="n"/>
      <c r="I4553" s="156" t="n"/>
      <c r="J4553" s="90" t="n"/>
      <c r="K4553" s="166" t="n"/>
      <c r="L4553" s="158" t="n"/>
      <c r="M4553" s="159" t="n"/>
    </row>
    <row r="4554">
      <c r="A4554" s="114" t="n"/>
      <c r="B4554" s="115" t="n"/>
      <c r="C4554" s="115" t="n"/>
      <c r="D4554" s="115" t="n"/>
      <c r="E4554" s="115" t="n"/>
      <c r="F4554" s="115" t="n"/>
      <c r="G4554" s="156" t="n"/>
      <c r="H4554" s="152" t="n"/>
      <c r="I4554" s="156" t="n"/>
      <c r="J4554" s="90" t="n"/>
      <c r="K4554" s="166" t="n"/>
      <c r="L4554" s="158" t="n"/>
      <c r="M4554" s="159" t="n"/>
    </row>
    <row r="4555">
      <c r="A4555" s="114" t="n"/>
      <c r="B4555" s="115" t="n"/>
      <c r="C4555" s="115" t="n"/>
      <c r="D4555" s="115" t="n"/>
      <c r="E4555" s="115" t="n"/>
      <c r="F4555" s="115" t="n"/>
      <c r="G4555" s="156" t="n"/>
      <c r="H4555" s="152" t="n"/>
      <c r="I4555" s="156" t="n"/>
      <c r="J4555" s="90" t="n"/>
      <c r="K4555" s="166" t="n"/>
      <c r="L4555" s="158" t="n"/>
      <c r="M4555" s="159" t="n"/>
    </row>
    <row r="4556">
      <c r="A4556" s="114" t="n"/>
      <c r="B4556" s="115" t="n"/>
      <c r="C4556" s="115" t="n"/>
      <c r="D4556" s="115" t="n"/>
      <c r="E4556" s="115" t="n"/>
      <c r="F4556" s="115" t="n"/>
      <c r="G4556" s="156" t="n"/>
      <c r="H4556" s="152" t="n"/>
      <c r="I4556" s="156" t="n"/>
      <c r="J4556" s="90" t="n"/>
      <c r="K4556" s="166" t="n"/>
      <c r="L4556" s="158" t="n"/>
      <c r="M4556" s="159" t="n"/>
    </row>
    <row r="4557">
      <c r="A4557" s="114" t="n"/>
      <c r="B4557" s="115" t="n"/>
      <c r="C4557" s="115" t="n"/>
      <c r="D4557" s="115" t="n"/>
      <c r="E4557" s="115" t="n"/>
      <c r="F4557" s="115" t="n"/>
      <c r="G4557" s="156" t="n"/>
      <c r="H4557" s="152" t="n"/>
      <c r="I4557" s="156" t="n"/>
      <c r="J4557" s="90" t="n"/>
      <c r="K4557" s="166" t="n"/>
      <c r="L4557" s="158" t="n"/>
      <c r="M4557" s="159" t="n"/>
    </row>
    <row r="4558">
      <c r="A4558" s="114" t="n"/>
      <c r="B4558" s="115" t="n"/>
      <c r="C4558" s="115" t="n"/>
      <c r="D4558" s="115" t="n"/>
      <c r="E4558" s="115" t="n"/>
      <c r="F4558" s="115" t="n"/>
      <c r="G4558" s="156" t="n"/>
      <c r="H4558" s="152" t="n"/>
      <c r="I4558" s="156" t="n"/>
      <c r="J4558" s="90" t="n"/>
      <c r="K4558" s="166" t="n"/>
      <c r="L4558" s="158" t="n"/>
      <c r="M4558" s="159" t="n"/>
    </row>
    <row r="4559">
      <c r="A4559" s="114" t="n"/>
      <c r="B4559" s="115" t="n"/>
      <c r="C4559" s="115" t="n"/>
      <c r="D4559" s="115" t="n"/>
      <c r="E4559" s="115" t="n"/>
      <c r="F4559" s="115" t="n"/>
      <c r="G4559" s="156" t="n"/>
      <c r="H4559" s="152" t="n"/>
      <c r="I4559" s="156" t="n"/>
      <c r="J4559" s="90" t="n"/>
      <c r="K4559" s="166" t="n"/>
      <c r="L4559" s="158" t="n"/>
      <c r="M4559" s="159" t="n"/>
    </row>
    <row r="4560">
      <c r="A4560" s="114" t="n"/>
      <c r="B4560" s="115" t="n"/>
      <c r="C4560" s="115" t="n"/>
      <c r="D4560" s="115" t="n"/>
      <c r="E4560" s="115" t="n"/>
      <c r="F4560" s="115" t="n"/>
      <c r="G4560" s="156" t="n"/>
      <c r="H4560" s="152" t="n"/>
      <c r="I4560" s="156" t="n"/>
      <c r="J4560" s="90" t="n"/>
      <c r="K4560" s="166" t="n"/>
      <c r="L4560" s="158" t="n"/>
      <c r="M4560" s="159" t="n"/>
    </row>
    <row r="4561">
      <c r="A4561" s="114" t="n"/>
      <c r="B4561" s="115" t="n"/>
      <c r="C4561" s="115" t="n"/>
      <c r="D4561" s="115" t="n"/>
      <c r="E4561" s="115" t="n"/>
      <c r="F4561" s="115" t="n"/>
      <c r="G4561" s="156" t="n"/>
      <c r="H4561" s="152" t="n"/>
      <c r="I4561" s="156" t="n"/>
      <c r="J4561" s="90" t="n"/>
      <c r="K4561" s="166" t="n"/>
      <c r="L4561" s="158" t="n"/>
      <c r="M4561" s="159" t="n"/>
    </row>
    <row r="4562">
      <c r="A4562" s="114" t="n"/>
      <c r="B4562" s="115" t="n"/>
      <c r="C4562" s="115" t="n"/>
      <c r="D4562" s="115" t="n"/>
      <c r="E4562" s="115" t="n"/>
      <c r="F4562" s="115" t="n"/>
      <c r="G4562" s="156" t="n"/>
      <c r="H4562" s="152" t="n"/>
      <c r="I4562" s="156" t="n"/>
      <c r="J4562" s="90" t="n"/>
      <c r="K4562" s="166" t="n"/>
      <c r="L4562" s="158" t="n"/>
      <c r="M4562" s="159" t="n"/>
    </row>
    <row r="4563">
      <c r="A4563" s="114" t="n"/>
      <c r="B4563" s="115" t="n"/>
      <c r="C4563" s="115" t="n"/>
      <c r="D4563" s="115" t="n"/>
      <c r="E4563" s="115" t="n"/>
      <c r="F4563" s="115" t="n"/>
      <c r="G4563" s="156" t="n"/>
      <c r="H4563" s="152" t="n"/>
      <c r="I4563" s="156" t="n"/>
      <c r="J4563" s="90" t="n"/>
      <c r="K4563" s="166" t="n"/>
      <c r="L4563" s="158" t="n"/>
      <c r="M4563" s="159" t="n"/>
    </row>
    <row r="4564">
      <c r="A4564" s="114" t="n"/>
      <c r="B4564" s="115" t="n"/>
      <c r="C4564" s="115" t="n"/>
      <c r="D4564" s="115" t="n"/>
      <c r="E4564" s="115" t="n"/>
      <c r="F4564" s="115" t="n"/>
      <c r="G4564" s="156" t="n"/>
      <c r="H4564" s="152" t="n"/>
      <c r="I4564" s="156" t="n"/>
      <c r="J4564" s="90" t="n"/>
      <c r="K4564" s="166" t="n"/>
      <c r="L4564" s="158" t="n"/>
      <c r="M4564" s="159" t="n"/>
    </row>
    <row r="4565">
      <c r="A4565" s="114" t="n"/>
      <c r="B4565" s="115" t="n"/>
      <c r="C4565" s="115" t="n"/>
      <c r="D4565" s="115" t="n"/>
      <c r="E4565" s="115" t="n"/>
      <c r="F4565" s="115" t="n"/>
      <c r="G4565" s="156" t="n"/>
      <c r="H4565" s="152" t="n"/>
      <c r="I4565" s="156" t="n"/>
      <c r="J4565" s="90" t="n"/>
      <c r="K4565" s="166" t="n"/>
      <c r="L4565" s="158" t="n"/>
      <c r="M4565" s="159" t="n"/>
    </row>
    <row r="4566">
      <c r="A4566" s="114" t="n"/>
      <c r="B4566" s="115" t="n"/>
      <c r="C4566" s="115" t="n"/>
      <c r="D4566" s="115" t="n"/>
      <c r="E4566" s="115" t="n"/>
      <c r="F4566" s="115" t="n"/>
      <c r="G4566" s="156" t="n"/>
      <c r="H4566" s="152" t="n"/>
      <c r="I4566" s="156" t="n"/>
      <c r="J4566" s="90" t="n"/>
      <c r="K4566" s="166" t="n"/>
      <c r="L4566" s="158" t="n"/>
      <c r="M4566" s="159" t="n"/>
    </row>
    <row r="4567">
      <c r="A4567" s="114" t="n"/>
      <c r="B4567" s="115" t="n"/>
      <c r="C4567" s="115" t="n"/>
      <c r="D4567" s="115" t="n"/>
      <c r="E4567" s="115" t="n"/>
      <c r="F4567" s="115" t="n"/>
      <c r="G4567" s="156" t="n"/>
      <c r="H4567" s="152" t="n"/>
      <c r="I4567" s="156" t="n"/>
      <c r="J4567" s="90" t="n"/>
      <c r="K4567" s="166" t="n"/>
      <c r="L4567" s="158" t="n"/>
      <c r="M4567" s="159" t="n"/>
    </row>
    <row r="4568">
      <c r="A4568" s="114" t="n"/>
      <c r="B4568" s="115" t="n"/>
      <c r="C4568" s="115" t="n"/>
      <c r="D4568" s="115" t="n"/>
      <c r="E4568" s="115" t="n"/>
      <c r="F4568" s="115" t="n"/>
      <c r="G4568" s="156" t="n"/>
      <c r="H4568" s="152" t="n"/>
      <c r="I4568" s="156" t="n"/>
      <c r="J4568" s="90" t="n"/>
      <c r="K4568" s="166" t="n"/>
      <c r="L4568" s="158" t="n"/>
      <c r="M4568" s="159" t="n"/>
    </row>
    <row r="4569">
      <c r="A4569" s="114" t="n"/>
      <c r="B4569" s="115" t="n"/>
      <c r="C4569" s="115" t="n"/>
      <c r="D4569" s="115" t="n"/>
      <c r="E4569" s="115" t="n"/>
      <c r="F4569" s="115" t="n"/>
      <c r="G4569" s="156" t="n"/>
      <c r="H4569" s="152" t="n"/>
      <c r="I4569" s="156" t="n"/>
      <c r="J4569" s="90" t="n"/>
      <c r="K4569" s="166" t="n"/>
      <c r="L4569" s="158" t="n"/>
      <c r="M4569" s="159" t="n"/>
    </row>
    <row r="4570">
      <c r="A4570" s="114" t="n"/>
      <c r="B4570" s="115" t="n"/>
      <c r="C4570" s="115" t="n"/>
      <c r="D4570" s="115" t="n"/>
      <c r="E4570" s="115" t="n"/>
      <c r="F4570" s="115" t="n"/>
      <c r="G4570" s="156" t="n"/>
      <c r="H4570" s="152" t="n"/>
      <c r="I4570" s="156" t="n"/>
      <c r="J4570" s="90" t="n"/>
      <c r="K4570" s="166" t="n"/>
      <c r="L4570" s="158" t="n"/>
      <c r="M4570" s="159" t="n"/>
    </row>
    <row r="4571">
      <c r="A4571" s="114" t="n"/>
      <c r="B4571" s="115" t="n"/>
      <c r="C4571" s="115" t="n"/>
      <c r="D4571" s="115" t="n"/>
      <c r="E4571" s="115" t="n"/>
      <c r="F4571" s="115" t="n"/>
      <c r="G4571" s="156" t="n"/>
      <c r="H4571" s="152" t="n"/>
      <c r="I4571" s="156" t="n"/>
      <c r="J4571" s="90" t="n"/>
      <c r="K4571" s="166" t="n"/>
      <c r="L4571" s="158" t="n"/>
      <c r="M4571" s="159" t="n"/>
    </row>
    <row r="4572">
      <c r="A4572" s="114" t="n"/>
      <c r="B4572" s="115" t="n"/>
      <c r="C4572" s="115" t="n"/>
      <c r="D4572" s="115" t="n"/>
      <c r="E4572" s="115" t="n"/>
      <c r="F4572" s="115" t="n"/>
      <c r="G4572" s="156" t="n"/>
      <c r="H4572" s="152" t="n"/>
      <c r="I4572" s="156" t="n"/>
      <c r="J4572" s="90" t="n"/>
      <c r="K4572" s="166" t="n"/>
      <c r="L4572" s="158" t="n"/>
      <c r="M4572" s="159" t="n"/>
    </row>
    <row r="4573">
      <c r="A4573" s="114" t="n"/>
      <c r="B4573" s="115" t="n"/>
      <c r="C4573" s="115" t="n"/>
      <c r="D4573" s="115" t="n"/>
      <c r="E4573" s="115" t="n"/>
      <c r="F4573" s="115" t="n"/>
      <c r="G4573" s="156" t="n"/>
      <c r="H4573" s="152" t="n"/>
      <c r="I4573" s="156" t="n"/>
      <c r="J4573" s="90" t="n"/>
      <c r="K4573" s="166" t="n"/>
      <c r="L4573" s="158" t="n"/>
      <c r="M4573" s="159" t="n"/>
    </row>
    <row r="4574">
      <c r="A4574" s="114" t="n"/>
      <c r="B4574" s="115" t="n"/>
      <c r="C4574" s="115" t="n"/>
      <c r="D4574" s="115" t="n"/>
      <c r="E4574" s="115" t="n"/>
      <c r="F4574" s="115" t="n"/>
      <c r="G4574" s="156" t="n"/>
      <c r="H4574" s="152" t="n"/>
      <c r="I4574" s="156" t="n"/>
      <c r="J4574" s="90" t="n"/>
      <c r="K4574" s="166" t="n"/>
      <c r="L4574" s="158" t="n"/>
      <c r="M4574" s="159" t="n"/>
    </row>
    <row r="4575">
      <c r="A4575" s="114" t="n"/>
      <c r="B4575" s="115" t="n"/>
      <c r="C4575" s="115" t="n"/>
      <c r="D4575" s="115" t="n"/>
      <c r="E4575" s="115" t="n"/>
      <c r="F4575" s="115" t="n"/>
      <c r="G4575" s="156" t="n"/>
      <c r="H4575" s="152" t="n"/>
      <c r="I4575" s="156" t="n"/>
      <c r="J4575" s="90" t="n"/>
      <c r="K4575" s="166" t="n"/>
      <c r="L4575" s="158" t="n"/>
      <c r="M4575" s="159" t="n"/>
    </row>
    <row r="4576">
      <c r="A4576" s="114" t="n"/>
      <c r="B4576" s="115" t="n"/>
      <c r="C4576" s="115" t="n"/>
      <c r="D4576" s="115" t="n"/>
      <c r="E4576" s="115" t="n"/>
      <c r="F4576" s="115" t="n"/>
      <c r="G4576" s="156" t="n"/>
      <c r="H4576" s="152" t="n"/>
      <c r="I4576" s="156" t="n"/>
      <c r="J4576" s="90" t="n"/>
      <c r="K4576" s="166" t="n"/>
      <c r="L4576" s="158" t="n"/>
      <c r="M4576" s="159" t="n"/>
    </row>
    <row r="4577">
      <c r="A4577" s="114" t="n"/>
      <c r="B4577" s="115" t="n"/>
      <c r="C4577" s="115" t="n"/>
      <c r="D4577" s="115" t="n"/>
      <c r="E4577" s="115" t="n"/>
      <c r="F4577" s="115" t="n"/>
      <c r="G4577" s="156" t="n"/>
      <c r="H4577" s="152" t="n"/>
      <c r="I4577" s="156" t="n"/>
      <c r="J4577" s="90" t="n"/>
      <c r="K4577" s="166" t="n"/>
      <c r="L4577" s="158" t="n"/>
      <c r="M4577" s="159" t="n"/>
    </row>
    <row r="4578">
      <c r="A4578" s="114" t="n"/>
      <c r="B4578" s="115" t="n"/>
      <c r="C4578" s="115" t="n"/>
      <c r="D4578" s="115" t="n"/>
      <c r="E4578" s="115" t="n"/>
      <c r="F4578" s="115" t="n"/>
      <c r="G4578" s="156" t="n"/>
      <c r="H4578" s="152" t="n"/>
      <c r="I4578" s="156" t="n"/>
      <c r="J4578" s="90" t="n"/>
      <c r="K4578" s="166" t="n"/>
      <c r="L4578" s="158" t="n"/>
      <c r="M4578" s="159" t="n"/>
    </row>
    <row r="4579">
      <c r="A4579" s="114" t="n"/>
      <c r="B4579" s="115" t="n"/>
      <c r="C4579" s="115" t="n"/>
      <c r="D4579" s="115" t="n"/>
      <c r="E4579" s="115" t="n"/>
      <c r="F4579" s="115" t="n"/>
      <c r="G4579" s="156" t="n"/>
      <c r="H4579" s="152" t="n"/>
      <c r="I4579" s="156" t="n"/>
      <c r="J4579" s="90" t="n"/>
      <c r="K4579" s="166" t="n"/>
      <c r="L4579" s="158" t="n"/>
      <c r="M4579" s="159" t="n"/>
    </row>
    <row r="4580">
      <c r="A4580" s="114" t="n"/>
      <c r="B4580" s="115" t="n"/>
      <c r="C4580" s="115" t="n"/>
      <c r="D4580" s="115" t="n"/>
      <c r="E4580" s="115" t="n"/>
      <c r="F4580" s="115" t="n"/>
      <c r="G4580" s="156" t="n"/>
      <c r="H4580" s="152" t="n"/>
      <c r="I4580" s="156" t="n"/>
      <c r="J4580" s="90" t="n"/>
      <c r="K4580" s="166" t="n"/>
      <c r="L4580" s="158" t="n"/>
      <c r="M4580" s="159" t="n"/>
    </row>
    <row r="4581">
      <c r="A4581" s="114" t="n"/>
      <c r="B4581" s="115" t="n"/>
      <c r="C4581" s="115" t="n"/>
      <c r="D4581" s="115" t="n"/>
      <c r="E4581" s="115" t="n"/>
      <c r="F4581" s="115" t="n"/>
      <c r="G4581" s="156" t="n"/>
      <c r="H4581" s="152" t="n"/>
      <c r="I4581" s="156" t="n"/>
      <c r="J4581" s="90" t="n"/>
      <c r="K4581" s="166" t="n"/>
      <c r="L4581" s="158" t="n"/>
      <c r="M4581" s="159" t="n"/>
    </row>
    <row r="4582">
      <c r="A4582" s="114" t="n"/>
      <c r="B4582" s="115" t="n"/>
      <c r="C4582" s="115" t="n"/>
      <c r="D4582" s="115" t="n"/>
      <c r="E4582" s="115" t="n"/>
      <c r="F4582" s="115" t="n"/>
      <c r="G4582" s="156" t="n"/>
      <c r="H4582" s="152" t="n"/>
      <c r="I4582" s="156" t="n"/>
      <c r="J4582" s="90" t="n"/>
      <c r="K4582" s="166" t="n"/>
      <c r="L4582" s="158" t="n"/>
      <c r="M4582" s="159" t="n"/>
    </row>
    <row r="4583">
      <c r="A4583" s="114" t="n"/>
      <c r="B4583" s="115" t="n"/>
      <c r="C4583" s="115" t="n"/>
      <c r="D4583" s="115" t="n"/>
      <c r="E4583" s="115" t="n"/>
      <c r="F4583" s="115" t="n"/>
      <c r="G4583" s="156" t="n"/>
      <c r="H4583" s="152" t="n"/>
      <c r="I4583" s="156" t="n"/>
      <c r="J4583" s="90" t="n"/>
      <c r="K4583" s="166" t="n"/>
      <c r="L4583" s="158" t="n"/>
      <c r="M4583" s="159" t="n"/>
    </row>
    <row r="4584">
      <c r="A4584" s="114" t="n"/>
      <c r="B4584" s="115" t="n"/>
      <c r="C4584" s="115" t="n"/>
      <c r="D4584" s="115" t="n"/>
      <c r="E4584" s="115" t="n"/>
      <c r="F4584" s="115" t="n"/>
      <c r="G4584" s="156" t="n"/>
      <c r="H4584" s="152" t="n"/>
      <c r="I4584" s="156" t="n"/>
      <c r="J4584" s="90" t="n"/>
      <c r="K4584" s="166" t="n"/>
      <c r="L4584" s="158" t="n"/>
      <c r="M4584" s="159" t="n"/>
    </row>
    <row r="4585">
      <c r="A4585" s="114" t="n"/>
      <c r="B4585" s="115" t="n"/>
      <c r="C4585" s="115" t="n"/>
      <c r="D4585" s="115" t="n"/>
      <c r="E4585" s="115" t="n"/>
      <c r="F4585" s="115" t="n"/>
      <c r="G4585" s="156" t="n"/>
      <c r="H4585" s="152" t="n"/>
      <c r="I4585" s="156" t="n"/>
      <c r="J4585" s="90" t="n"/>
      <c r="K4585" s="166" t="n"/>
      <c r="L4585" s="158" t="n"/>
      <c r="M4585" s="159" t="n"/>
    </row>
    <row r="4586">
      <c r="A4586" s="114" t="n"/>
      <c r="B4586" s="115" t="n"/>
      <c r="C4586" s="115" t="n"/>
      <c r="D4586" s="115" t="n"/>
      <c r="E4586" s="115" t="n"/>
      <c r="F4586" s="115" t="n"/>
      <c r="G4586" s="156" t="n"/>
      <c r="H4586" s="152" t="n"/>
      <c r="I4586" s="156" t="n"/>
      <c r="J4586" s="90" t="n"/>
      <c r="K4586" s="166" t="n"/>
      <c r="L4586" s="158" t="n"/>
      <c r="M4586" s="159" t="n"/>
    </row>
    <row r="4587">
      <c r="A4587" s="114" t="n"/>
      <c r="B4587" s="115" t="n"/>
      <c r="C4587" s="115" t="n"/>
      <c r="D4587" s="115" t="n"/>
      <c r="E4587" s="115" t="n"/>
      <c r="F4587" s="115" t="n"/>
      <c r="G4587" s="156" t="n"/>
      <c r="H4587" s="152" t="n"/>
      <c r="I4587" s="156" t="n"/>
      <c r="J4587" s="90" t="n"/>
      <c r="K4587" s="166" t="n"/>
      <c r="L4587" s="158" t="n"/>
      <c r="M4587" s="159" t="n"/>
    </row>
    <row r="4588">
      <c r="A4588" s="114" t="n"/>
      <c r="B4588" s="115" t="n"/>
      <c r="C4588" s="115" t="n"/>
      <c r="D4588" s="115" t="n"/>
      <c r="E4588" s="115" t="n"/>
      <c r="F4588" s="115" t="n"/>
      <c r="G4588" s="156" t="n"/>
      <c r="H4588" s="152" t="n"/>
      <c r="I4588" s="156" t="n"/>
      <c r="J4588" s="90" t="n"/>
      <c r="K4588" s="166" t="n"/>
      <c r="L4588" s="158" t="n"/>
      <c r="M4588" s="159" t="n"/>
    </row>
    <row r="4589">
      <c r="A4589" s="114" t="n"/>
      <c r="B4589" s="115" t="n"/>
      <c r="C4589" s="115" t="n"/>
      <c r="D4589" s="115" t="n"/>
      <c r="E4589" s="115" t="n"/>
      <c r="F4589" s="115" t="n"/>
      <c r="G4589" s="156" t="n"/>
      <c r="H4589" s="152" t="n"/>
      <c r="I4589" s="156" t="n"/>
      <c r="J4589" s="90" t="n"/>
      <c r="K4589" s="166" t="n"/>
      <c r="L4589" s="158" t="n"/>
      <c r="M4589" s="159" t="n"/>
    </row>
    <row r="4590">
      <c r="A4590" s="114" t="n"/>
      <c r="B4590" s="115" t="n"/>
      <c r="C4590" s="115" t="n"/>
      <c r="D4590" s="115" t="n"/>
      <c r="E4590" s="115" t="n"/>
      <c r="F4590" s="115" t="n"/>
      <c r="G4590" s="156" t="n"/>
      <c r="H4590" s="152" t="n"/>
      <c r="I4590" s="156" t="n"/>
      <c r="J4590" s="90" t="n"/>
      <c r="K4590" s="166" t="n"/>
      <c r="L4590" s="158" t="n"/>
      <c r="M4590" s="159" t="n"/>
    </row>
    <row r="4591">
      <c r="A4591" s="114" t="n"/>
      <c r="B4591" s="115" t="n"/>
      <c r="C4591" s="115" t="n"/>
      <c r="D4591" s="115" t="n"/>
      <c r="E4591" s="115" t="n"/>
      <c r="F4591" s="115" t="n"/>
      <c r="G4591" s="156" t="n"/>
      <c r="H4591" s="152" t="n"/>
      <c r="I4591" s="156" t="n"/>
      <c r="J4591" s="90" t="n"/>
      <c r="K4591" s="166" t="n"/>
      <c r="L4591" s="158" t="n"/>
      <c r="M4591" s="159" t="n"/>
    </row>
    <row r="4592">
      <c r="A4592" s="114" t="n"/>
      <c r="B4592" s="115" t="n"/>
      <c r="C4592" s="115" t="n"/>
      <c r="D4592" s="115" t="n"/>
      <c r="E4592" s="115" t="n"/>
      <c r="F4592" s="115" t="n"/>
      <c r="G4592" s="156" t="n"/>
      <c r="H4592" s="152" t="n"/>
      <c r="I4592" s="156" t="n"/>
      <c r="J4592" s="90" t="n"/>
      <c r="K4592" s="166" t="n"/>
      <c r="L4592" s="158" t="n"/>
      <c r="M4592" s="159" t="n"/>
    </row>
    <row r="4593">
      <c r="A4593" s="114" t="n"/>
      <c r="B4593" s="115" t="n"/>
      <c r="C4593" s="115" t="n"/>
      <c r="D4593" s="115" t="n"/>
      <c r="E4593" s="115" t="n"/>
      <c r="F4593" s="115" t="n"/>
      <c r="G4593" s="156" t="n"/>
      <c r="H4593" s="152" t="n"/>
      <c r="I4593" s="156" t="n"/>
      <c r="J4593" s="90" t="n"/>
      <c r="K4593" s="166" t="n"/>
      <c r="L4593" s="158" t="n"/>
      <c r="M4593" s="159" t="n"/>
    </row>
    <row r="4594">
      <c r="A4594" s="114" t="n"/>
      <c r="B4594" s="115" t="n"/>
      <c r="C4594" s="115" t="n"/>
      <c r="D4594" s="115" t="n"/>
      <c r="E4594" s="115" t="n"/>
      <c r="F4594" s="115" t="n"/>
      <c r="G4594" s="156" t="n"/>
      <c r="H4594" s="152" t="n"/>
      <c r="I4594" s="156" t="n"/>
      <c r="J4594" s="90" t="n"/>
      <c r="K4594" s="166" t="n"/>
      <c r="L4594" s="158" t="n"/>
      <c r="M4594" s="159" t="n"/>
    </row>
    <row r="4595">
      <c r="A4595" s="114" t="n"/>
      <c r="B4595" s="115" t="n"/>
      <c r="C4595" s="115" t="n"/>
      <c r="D4595" s="115" t="n"/>
      <c r="E4595" s="115" t="n"/>
      <c r="F4595" s="115" t="n"/>
      <c r="G4595" s="156" t="n"/>
      <c r="H4595" s="152" t="n"/>
      <c r="I4595" s="156" t="n"/>
      <c r="J4595" s="90" t="n"/>
      <c r="K4595" s="166" t="n"/>
      <c r="L4595" s="158" t="n"/>
      <c r="M4595" s="159" t="n"/>
    </row>
    <row r="4596">
      <c r="A4596" s="114" t="n"/>
      <c r="B4596" s="115" t="n"/>
      <c r="C4596" s="115" t="n"/>
      <c r="D4596" s="115" t="n"/>
      <c r="E4596" s="115" t="n"/>
      <c r="F4596" s="115" t="n"/>
      <c r="G4596" s="156" t="n"/>
      <c r="H4596" s="152" t="n"/>
      <c r="I4596" s="156" t="n"/>
      <c r="J4596" s="90" t="n"/>
      <c r="K4596" s="166" t="n"/>
      <c r="L4596" s="158" t="n"/>
      <c r="M4596" s="159" t="n"/>
    </row>
    <row r="4597">
      <c r="A4597" s="114" t="n"/>
      <c r="B4597" s="115" t="n"/>
      <c r="C4597" s="115" t="n"/>
      <c r="D4597" s="115" t="n"/>
      <c r="E4597" s="115" t="n"/>
      <c r="F4597" s="115" t="n"/>
      <c r="G4597" s="156" t="n"/>
      <c r="H4597" s="152" t="n"/>
      <c r="I4597" s="156" t="n"/>
      <c r="J4597" s="90" t="n"/>
      <c r="K4597" s="166" t="n"/>
      <c r="L4597" s="158" t="n"/>
      <c r="M4597" s="159" t="n"/>
    </row>
    <row r="4598">
      <c r="A4598" s="114" t="n"/>
      <c r="B4598" s="115" t="n"/>
      <c r="C4598" s="115" t="n"/>
      <c r="D4598" s="115" t="n"/>
      <c r="E4598" s="115" t="n"/>
      <c r="F4598" s="115" t="n"/>
      <c r="G4598" s="156" t="n"/>
      <c r="H4598" s="152" t="n"/>
      <c r="I4598" s="156" t="n"/>
      <c r="J4598" s="90" t="n"/>
      <c r="K4598" s="166" t="n"/>
      <c r="L4598" s="158" t="n"/>
      <c r="M4598" s="159" t="n"/>
    </row>
    <row r="4599">
      <c r="A4599" s="114" t="n"/>
      <c r="B4599" s="115" t="n"/>
      <c r="C4599" s="115" t="n"/>
      <c r="D4599" s="115" t="n"/>
      <c r="E4599" s="115" t="n"/>
      <c r="F4599" s="115" t="n"/>
      <c r="G4599" s="156" t="n"/>
      <c r="H4599" s="152" t="n"/>
      <c r="I4599" s="156" t="n"/>
      <c r="J4599" s="90" t="n"/>
      <c r="K4599" s="166" t="n"/>
      <c r="L4599" s="158" t="n"/>
      <c r="M4599" s="159" t="n"/>
    </row>
    <row r="4600">
      <c r="A4600" s="114" t="n"/>
      <c r="B4600" s="115" t="n"/>
      <c r="C4600" s="115" t="n"/>
      <c r="D4600" s="115" t="n"/>
      <c r="E4600" s="115" t="n"/>
      <c r="F4600" s="115" t="n"/>
      <c r="G4600" s="156" t="n"/>
      <c r="H4600" s="152" t="n"/>
      <c r="I4600" s="156" t="n"/>
      <c r="J4600" s="90" t="n"/>
      <c r="K4600" s="166" t="n"/>
      <c r="L4600" s="158" t="n"/>
      <c r="M4600" s="159" t="n"/>
    </row>
    <row r="4601">
      <c r="A4601" s="114" t="n"/>
      <c r="B4601" s="115" t="n"/>
      <c r="C4601" s="115" t="n"/>
      <c r="D4601" s="115" t="n"/>
      <c r="E4601" s="115" t="n"/>
      <c r="F4601" s="115" t="n"/>
      <c r="G4601" s="156" t="n"/>
      <c r="H4601" s="152" t="n"/>
      <c r="I4601" s="156" t="n"/>
      <c r="J4601" s="90" t="n"/>
      <c r="K4601" s="166" t="n"/>
      <c r="L4601" s="158" t="n"/>
      <c r="M4601" s="159" t="n"/>
    </row>
    <row r="4602">
      <c r="A4602" s="114" t="n"/>
      <c r="B4602" s="115" t="n"/>
      <c r="C4602" s="115" t="n"/>
      <c r="D4602" s="115" t="n"/>
      <c r="E4602" s="115" t="n"/>
      <c r="F4602" s="115" t="n"/>
      <c r="G4602" s="156" t="n"/>
      <c r="H4602" s="152" t="n"/>
      <c r="I4602" s="156" t="n"/>
      <c r="J4602" s="90" t="n"/>
      <c r="K4602" s="166" t="n"/>
      <c r="L4602" s="158" t="n"/>
      <c r="M4602" s="159" t="n"/>
    </row>
    <row r="4603">
      <c r="A4603" s="114" t="n"/>
      <c r="B4603" s="115" t="n"/>
      <c r="C4603" s="115" t="n"/>
      <c r="D4603" s="115" t="n"/>
      <c r="E4603" s="115" t="n"/>
      <c r="F4603" s="115" t="n"/>
      <c r="G4603" s="156" t="n"/>
      <c r="H4603" s="152" t="n"/>
      <c r="I4603" s="156" t="n"/>
      <c r="J4603" s="90" t="n"/>
      <c r="K4603" s="166" t="n"/>
      <c r="L4603" s="158" t="n"/>
      <c r="M4603" s="159" t="n"/>
    </row>
    <row r="4604">
      <c r="A4604" s="114" t="n"/>
      <c r="B4604" s="115" t="n"/>
      <c r="C4604" s="115" t="n"/>
      <c r="D4604" s="115" t="n"/>
      <c r="E4604" s="115" t="n"/>
      <c r="F4604" s="115" t="n"/>
      <c r="G4604" s="156" t="n"/>
      <c r="H4604" s="152" t="n"/>
      <c r="I4604" s="156" t="n"/>
      <c r="J4604" s="90" t="n"/>
      <c r="K4604" s="166" t="n"/>
      <c r="L4604" s="158" t="n"/>
      <c r="M4604" s="159" t="n"/>
    </row>
    <row r="4605">
      <c r="A4605" s="114" t="n"/>
      <c r="B4605" s="115" t="n"/>
      <c r="C4605" s="115" t="n"/>
      <c r="D4605" s="115" t="n"/>
      <c r="E4605" s="115" t="n"/>
      <c r="F4605" s="115" t="n"/>
      <c r="G4605" s="156" t="n"/>
      <c r="H4605" s="152" t="n"/>
      <c r="I4605" s="156" t="n"/>
      <c r="J4605" s="90" t="n"/>
      <c r="K4605" s="166" t="n"/>
      <c r="L4605" s="158" t="n"/>
      <c r="M4605" s="159" t="n"/>
    </row>
    <row r="4606">
      <c r="A4606" s="114" t="n"/>
      <c r="B4606" s="115" t="n"/>
      <c r="C4606" s="115" t="n"/>
      <c r="D4606" s="115" t="n"/>
      <c r="E4606" s="115" t="n"/>
      <c r="F4606" s="115" t="n"/>
      <c r="G4606" s="156" t="n"/>
      <c r="H4606" s="152" t="n"/>
      <c r="I4606" s="156" t="n"/>
      <c r="J4606" s="90" t="n"/>
      <c r="K4606" s="166" t="n"/>
      <c r="L4606" s="158" t="n"/>
      <c r="M4606" s="159" t="n"/>
    </row>
    <row r="4607">
      <c r="A4607" s="114" t="n"/>
      <c r="B4607" s="115" t="n"/>
      <c r="C4607" s="115" t="n"/>
      <c r="D4607" s="115" t="n"/>
      <c r="E4607" s="115" t="n"/>
      <c r="F4607" s="115" t="n"/>
      <c r="G4607" s="156" t="n"/>
      <c r="H4607" s="152" t="n"/>
      <c r="I4607" s="156" t="n"/>
      <c r="J4607" s="90" t="n"/>
      <c r="K4607" s="166" t="n"/>
      <c r="L4607" s="158" t="n"/>
      <c r="M4607" s="159" t="n"/>
    </row>
    <row r="4608">
      <c r="A4608" s="114" t="n"/>
      <c r="B4608" s="115" t="n"/>
      <c r="C4608" s="115" t="n"/>
      <c r="D4608" s="115" t="n"/>
      <c r="E4608" s="115" t="n"/>
      <c r="F4608" s="115" t="n"/>
      <c r="G4608" s="156" t="n"/>
      <c r="H4608" s="152" t="n"/>
      <c r="I4608" s="156" t="n"/>
      <c r="J4608" s="90" t="n"/>
      <c r="K4608" s="166" t="n"/>
      <c r="L4608" s="158" t="n"/>
      <c r="M4608" s="159" t="n"/>
    </row>
    <row r="4609">
      <c r="A4609" s="114" t="n"/>
      <c r="B4609" s="115" t="n"/>
      <c r="C4609" s="115" t="n"/>
      <c r="D4609" s="115" t="n"/>
      <c r="E4609" s="115" t="n"/>
      <c r="F4609" s="115" t="n"/>
      <c r="G4609" s="156" t="n"/>
      <c r="H4609" s="152" t="n"/>
      <c r="I4609" s="156" t="n"/>
      <c r="J4609" s="90" t="n"/>
      <c r="K4609" s="166" t="n"/>
      <c r="L4609" s="158" t="n"/>
      <c r="M4609" s="159" t="n"/>
    </row>
    <row r="4610">
      <c r="A4610" s="114" t="n"/>
      <c r="B4610" s="115" t="n"/>
      <c r="C4610" s="115" t="n"/>
      <c r="D4610" s="115" t="n"/>
      <c r="E4610" s="115" t="n"/>
      <c r="F4610" s="115" t="n"/>
      <c r="G4610" s="156" t="n"/>
      <c r="H4610" s="152" t="n"/>
      <c r="I4610" s="156" t="n"/>
      <c r="J4610" s="90" t="n"/>
      <c r="K4610" s="166" t="n"/>
      <c r="L4610" s="158" t="n"/>
      <c r="M4610" s="159" t="n"/>
    </row>
    <row r="4611">
      <c r="A4611" s="114" t="n"/>
      <c r="B4611" s="115" t="n"/>
      <c r="C4611" s="115" t="n"/>
      <c r="D4611" s="115" t="n"/>
      <c r="E4611" s="115" t="n"/>
      <c r="F4611" s="115" t="n"/>
      <c r="G4611" s="156" t="n"/>
      <c r="H4611" s="152" t="n"/>
      <c r="I4611" s="156" t="n"/>
      <c r="J4611" s="90" t="n"/>
      <c r="K4611" s="166" t="n"/>
      <c r="L4611" s="158" t="n"/>
      <c r="M4611" s="159" t="n"/>
    </row>
    <row r="4612">
      <c r="A4612" s="114" t="n"/>
      <c r="B4612" s="115" t="n"/>
      <c r="C4612" s="115" t="n"/>
      <c r="D4612" s="115" t="n"/>
      <c r="E4612" s="115" t="n"/>
      <c r="F4612" s="115" t="n"/>
      <c r="G4612" s="156" t="n"/>
      <c r="H4612" s="152" t="n"/>
      <c r="I4612" s="156" t="n"/>
      <c r="J4612" s="90" t="n"/>
      <c r="K4612" s="166" t="n"/>
      <c r="L4612" s="158" t="n"/>
      <c r="M4612" s="159" t="n"/>
    </row>
    <row r="4613">
      <c r="A4613" s="114" t="n"/>
      <c r="B4613" s="115" t="n"/>
      <c r="C4613" s="115" t="n"/>
      <c r="D4613" s="115" t="n"/>
      <c r="E4613" s="115" t="n"/>
      <c r="F4613" s="115" t="n"/>
      <c r="G4613" s="156" t="n"/>
      <c r="H4613" s="152" t="n"/>
      <c r="I4613" s="156" t="n"/>
      <c r="J4613" s="90" t="n"/>
      <c r="K4613" s="166" t="n"/>
      <c r="L4613" s="158" t="n"/>
      <c r="M4613" s="159" t="n"/>
    </row>
    <row r="4614">
      <c r="A4614" s="114" t="n"/>
      <c r="B4614" s="115" t="n"/>
      <c r="C4614" s="115" t="n"/>
      <c r="D4614" s="115" t="n"/>
      <c r="E4614" s="115" t="n"/>
      <c r="F4614" s="115" t="n"/>
      <c r="G4614" s="156" t="n"/>
      <c r="H4614" s="152" t="n"/>
      <c r="I4614" s="156" t="n"/>
      <c r="J4614" s="90" t="n"/>
      <c r="K4614" s="166" t="n"/>
      <c r="L4614" s="158" t="n"/>
      <c r="M4614" s="159" t="n"/>
    </row>
    <row r="4615">
      <c r="A4615" s="114" t="n"/>
      <c r="B4615" s="115" t="n"/>
      <c r="C4615" s="115" t="n"/>
      <c r="D4615" s="115" t="n"/>
      <c r="E4615" s="115" t="n"/>
      <c r="F4615" s="115" t="n"/>
      <c r="G4615" s="156" t="n"/>
      <c r="H4615" s="152" t="n"/>
      <c r="I4615" s="156" t="n"/>
      <c r="J4615" s="90" t="n"/>
      <c r="K4615" s="166" t="n"/>
      <c r="L4615" s="158" t="n"/>
      <c r="M4615" s="159" t="n"/>
    </row>
    <row r="4616">
      <c r="A4616" s="114" t="n"/>
      <c r="B4616" s="115" t="n"/>
      <c r="C4616" s="115" t="n"/>
      <c r="D4616" s="115" t="n"/>
      <c r="E4616" s="115" t="n"/>
      <c r="F4616" s="115" t="n"/>
      <c r="G4616" s="156" t="n"/>
      <c r="H4616" s="152" t="n"/>
      <c r="I4616" s="156" t="n"/>
      <c r="J4616" s="90" t="n"/>
      <c r="K4616" s="166" t="n"/>
      <c r="L4616" s="158" t="n"/>
      <c r="M4616" s="159" t="n"/>
    </row>
    <row r="4617">
      <c r="A4617" s="114" t="n"/>
      <c r="B4617" s="115" t="n"/>
      <c r="C4617" s="115" t="n"/>
      <c r="D4617" s="115" t="n"/>
      <c r="E4617" s="115" t="n"/>
      <c r="F4617" s="115" t="n"/>
      <c r="G4617" s="156" t="n"/>
      <c r="H4617" s="152" t="n"/>
      <c r="I4617" s="156" t="n"/>
      <c r="J4617" s="90" t="n"/>
      <c r="K4617" s="166" t="n"/>
      <c r="L4617" s="158" t="n"/>
      <c r="M4617" s="159" t="n"/>
    </row>
    <row r="4618">
      <c r="A4618" s="114" t="n"/>
      <c r="B4618" s="115" t="n"/>
      <c r="C4618" s="115" t="n"/>
      <c r="D4618" s="115" t="n"/>
      <c r="E4618" s="115" t="n"/>
      <c r="F4618" s="115" t="n"/>
      <c r="G4618" s="156" t="n"/>
      <c r="H4618" s="152" t="n"/>
      <c r="I4618" s="156" t="n"/>
      <c r="J4618" s="90" t="n"/>
      <c r="K4618" s="166" t="n"/>
      <c r="L4618" s="158" t="n"/>
      <c r="M4618" s="159" t="n"/>
    </row>
    <row r="4619">
      <c r="A4619" s="114" t="n"/>
      <c r="B4619" s="115" t="n"/>
      <c r="C4619" s="115" t="n"/>
      <c r="D4619" s="115" t="n"/>
      <c r="E4619" s="115" t="n"/>
      <c r="F4619" s="115" t="n"/>
      <c r="G4619" s="156" t="n"/>
      <c r="H4619" s="152" t="n"/>
      <c r="I4619" s="156" t="n"/>
      <c r="J4619" s="90" t="n"/>
      <c r="K4619" s="166" t="n"/>
      <c r="L4619" s="158" t="n"/>
      <c r="M4619" s="159" t="n"/>
    </row>
    <row r="4620">
      <c r="A4620" s="114" t="n"/>
      <c r="B4620" s="115" t="n"/>
      <c r="C4620" s="115" t="n"/>
      <c r="D4620" s="115" t="n"/>
      <c r="E4620" s="115" t="n"/>
      <c r="F4620" s="115" t="n"/>
      <c r="G4620" s="156" t="n"/>
      <c r="H4620" s="152" t="n"/>
      <c r="I4620" s="156" t="n"/>
      <c r="J4620" s="90" t="n"/>
      <c r="K4620" s="166" t="n"/>
      <c r="L4620" s="158" t="n"/>
      <c r="M4620" s="159" t="n"/>
    </row>
    <row r="4621">
      <c r="A4621" s="114" t="n"/>
      <c r="B4621" s="115" t="n"/>
      <c r="C4621" s="115" t="n"/>
      <c r="D4621" s="115" t="n"/>
      <c r="E4621" s="115" t="n"/>
      <c r="F4621" s="115" t="n"/>
      <c r="G4621" s="156" t="n"/>
      <c r="H4621" s="152" t="n"/>
      <c r="I4621" s="156" t="n"/>
      <c r="J4621" s="90" t="n"/>
      <c r="K4621" s="166" t="n"/>
      <c r="L4621" s="158" t="n"/>
      <c r="M4621" s="159" t="n"/>
    </row>
    <row r="4622">
      <c r="A4622" s="114" t="n"/>
      <c r="B4622" s="115" t="n"/>
      <c r="C4622" s="115" t="n"/>
      <c r="D4622" s="115" t="n"/>
      <c r="E4622" s="115" t="n"/>
      <c r="F4622" s="115" t="n"/>
      <c r="G4622" s="156" t="n"/>
      <c r="H4622" s="152" t="n"/>
      <c r="I4622" s="156" t="n"/>
      <c r="J4622" s="90" t="n"/>
      <c r="K4622" s="166" t="n"/>
      <c r="L4622" s="158" t="n"/>
      <c r="M4622" s="159" t="n"/>
    </row>
    <row r="4623">
      <c r="A4623" s="114" t="n"/>
      <c r="B4623" s="115" t="n"/>
      <c r="C4623" s="115" t="n"/>
      <c r="D4623" s="115" t="n"/>
      <c r="E4623" s="115" t="n"/>
      <c r="F4623" s="115" t="n"/>
      <c r="G4623" s="156" t="n"/>
      <c r="H4623" s="152" t="n"/>
      <c r="I4623" s="156" t="n"/>
      <c r="J4623" s="90" t="n"/>
      <c r="K4623" s="166" t="n"/>
      <c r="L4623" s="158" t="n"/>
      <c r="M4623" s="159" t="n"/>
    </row>
    <row r="4624">
      <c r="A4624" s="114" t="n"/>
      <c r="B4624" s="115" t="n"/>
      <c r="C4624" s="115" t="n"/>
      <c r="D4624" s="115" t="n"/>
      <c r="E4624" s="115" t="n"/>
      <c r="F4624" s="115" t="n"/>
      <c r="G4624" s="156" t="n"/>
      <c r="H4624" s="152" t="n"/>
      <c r="I4624" s="156" t="n"/>
      <c r="J4624" s="90" t="n"/>
      <c r="K4624" s="166" t="n"/>
      <c r="L4624" s="158" t="n"/>
      <c r="M4624" s="159" t="n"/>
    </row>
    <row r="4625">
      <c r="A4625" s="114" t="n"/>
      <c r="B4625" s="115" t="n"/>
      <c r="C4625" s="115" t="n"/>
      <c r="D4625" s="115" t="n"/>
      <c r="E4625" s="115" t="n"/>
      <c r="F4625" s="115" t="n"/>
      <c r="G4625" s="156" t="n"/>
      <c r="H4625" s="152" t="n"/>
      <c r="I4625" s="156" t="n"/>
      <c r="J4625" s="90" t="n"/>
      <c r="K4625" s="166" t="n"/>
      <c r="L4625" s="158" t="n"/>
      <c r="M4625" s="159" t="n"/>
    </row>
    <row r="4626">
      <c r="A4626" s="114" t="n"/>
      <c r="B4626" s="115" t="n"/>
      <c r="C4626" s="115" t="n"/>
      <c r="D4626" s="115" t="n"/>
      <c r="E4626" s="115" t="n"/>
      <c r="F4626" s="115" t="n"/>
      <c r="G4626" s="156" t="n"/>
      <c r="H4626" s="152" t="n"/>
      <c r="I4626" s="156" t="n"/>
      <c r="J4626" s="90" t="n"/>
      <c r="K4626" s="166" t="n"/>
      <c r="L4626" s="158" t="n"/>
      <c r="M4626" s="159" t="n"/>
    </row>
    <row r="4627">
      <c r="A4627" s="114" t="n"/>
      <c r="B4627" s="115" t="n"/>
      <c r="C4627" s="115" t="n"/>
      <c r="D4627" s="115" t="n"/>
      <c r="E4627" s="115" t="n"/>
      <c r="F4627" s="115" t="n"/>
      <c r="G4627" s="156" t="n"/>
      <c r="H4627" s="152" t="n"/>
      <c r="I4627" s="156" t="n"/>
      <c r="J4627" s="90" t="n"/>
      <c r="K4627" s="166" t="n"/>
      <c r="L4627" s="158" t="n"/>
      <c r="M4627" s="159" t="n"/>
    </row>
    <row r="4628">
      <c r="A4628" s="114" t="n"/>
      <c r="B4628" s="115" t="n"/>
      <c r="C4628" s="115" t="n"/>
      <c r="D4628" s="115" t="n"/>
      <c r="E4628" s="115" t="n"/>
      <c r="F4628" s="115" t="n"/>
      <c r="G4628" s="156" t="n"/>
      <c r="H4628" s="152" t="n"/>
      <c r="I4628" s="156" t="n"/>
      <c r="J4628" s="90" t="n"/>
      <c r="K4628" s="166" t="n"/>
      <c r="L4628" s="158" t="n"/>
      <c r="M4628" s="159" t="n"/>
    </row>
    <row r="4629">
      <c r="A4629" s="114" t="n"/>
      <c r="B4629" s="115" t="n"/>
      <c r="C4629" s="115" t="n"/>
      <c r="D4629" s="115" t="n"/>
      <c r="E4629" s="115" t="n"/>
      <c r="F4629" s="115" t="n"/>
      <c r="G4629" s="156" t="n"/>
      <c r="H4629" s="152" t="n"/>
      <c r="I4629" s="156" t="n"/>
      <c r="J4629" s="90" t="n"/>
      <c r="K4629" s="166" t="n"/>
      <c r="L4629" s="158" t="n"/>
      <c r="M4629" s="159" t="n"/>
    </row>
    <row r="4630">
      <c r="A4630" s="114" t="n"/>
      <c r="B4630" s="115" t="n"/>
      <c r="C4630" s="115" t="n"/>
      <c r="D4630" s="115" t="n"/>
      <c r="E4630" s="115" t="n"/>
      <c r="F4630" s="115" t="n"/>
      <c r="G4630" s="156" t="n"/>
      <c r="H4630" s="152" t="n"/>
      <c r="I4630" s="156" t="n"/>
      <c r="J4630" s="90" t="n"/>
      <c r="K4630" s="166" t="n"/>
      <c r="L4630" s="158" t="n"/>
      <c r="M4630" s="159" t="n"/>
    </row>
    <row r="4631">
      <c r="A4631" s="114" t="n"/>
      <c r="B4631" s="115" t="n"/>
      <c r="C4631" s="115" t="n"/>
      <c r="D4631" s="115" t="n"/>
      <c r="E4631" s="115" t="n"/>
      <c r="F4631" s="115" t="n"/>
      <c r="G4631" s="156" t="n"/>
      <c r="H4631" s="152" t="n"/>
      <c r="I4631" s="156" t="n"/>
      <c r="J4631" s="90" t="n"/>
      <c r="K4631" s="166" t="n"/>
      <c r="L4631" s="158" t="n"/>
      <c r="M4631" s="159" t="n"/>
    </row>
    <row r="4632">
      <c r="A4632" s="114" t="n"/>
      <c r="B4632" s="115" t="n"/>
      <c r="C4632" s="115" t="n"/>
      <c r="D4632" s="115" t="n"/>
      <c r="E4632" s="115" t="n"/>
      <c r="F4632" s="115" t="n"/>
      <c r="G4632" s="156" t="n"/>
      <c r="H4632" s="152" t="n"/>
      <c r="I4632" s="156" t="n"/>
      <c r="J4632" s="90" t="n"/>
      <c r="K4632" s="166" t="n"/>
      <c r="L4632" s="158" t="n"/>
      <c r="M4632" s="159" t="n"/>
    </row>
    <row r="4633">
      <c r="A4633" s="114" t="n"/>
      <c r="B4633" s="115" t="n"/>
      <c r="C4633" s="115" t="n"/>
      <c r="D4633" s="115" t="n"/>
      <c r="E4633" s="115" t="n"/>
      <c r="F4633" s="115" t="n"/>
      <c r="G4633" s="156" t="n"/>
      <c r="H4633" s="152" t="n"/>
      <c r="I4633" s="156" t="n"/>
      <c r="J4633" s="90" t="n"/>
      <c r="K4633" s="166" t="n"/>
      <c r="L4633" s="158" t="n"/>
      <c r="M4633" s="159" t="n"/>
    </row>
    <row r="4634">
      <c r="A4634" s="114" t="n"/>
      <c r="B4634" s="115" t="n"/>
      <c r="C4634" s="115" t="n"/>
      <c r="D4634" s="115" t="n"/>
      <c r="E4634" s="115" t="n"/>
      <c r="F4634" s="115" t="n"/>
      <c r="G4634" s="156" t="n"/>
      <c r="H4634" s="152" t="n"/>
      <c r="I4634" s="156" t="n"/>
      <c r="J4634" s="90" t="n"/>
      <c r="K4634" s="166" t="n"/>
      <c r="L4634" s="158" t="n"/>
      <c r="M4634" s="159" t="n"/>
    </row>
    <row r="4635">
      <c r="A4635" s="114" t="n"/>
      <c r="B4635" s="115" t="n"/>
      <c r="C4635" s="115" t="n"/>
      <c r="D4635" s="115" t="n"/>
      <c r="E4635" s="115" t="n"/>
      <c r="F4635" s="115" t="n"/>
      <c r="G4635" s="156" t="n"/>
      <c r="H4635" s="152" t="n"/>
      <c r="I4635" s="156" t="n"/>
      <c r="J4635" s="90" t="n"/>
      <c r="K4635" s="166" t="n"/>
      <c r="L4635" s="158" t="n"/>
      <c r="M4635" s="159" t="n"/>
    </row>
    <row r="4636">
      <c r="A4636" s="114" t="n"/>
      <c r="B4636" s="115" t="n"/>
      <c r="C4636" s="115" t="n"/>
      <c r="D4636" s="115" t="n"/>
      <c r="E4636" s="115" t="n"/>
      <c r="F4636" s="115" t="n"/>
      <c r="G4636" s="156" t="n"/>
      <c r="H4636" s="152" t="n"/>
      <c r="I4636" s="156" t="n"/>
      <c r="J4636" s="90" t="n"/>
      <c r="K4636" s="166" t="n"/>
      <c r="L4636" s="158" t="n"/>
      <c r="M4636" s="159" t="n"/>
    </row>
    <row r="4637">
      <c r="A4637" s="114" t="n"/>
      <c r="B4637" s="115" t="n"/>
      <c r="C4637" s="115" t="n"/>
      <c r="D4637" s="115" t="n"/>
      <c r="E4637" s="115" t="n"/>
      <c r="F4637" s="115" t="n"/>
      <c r="G4637" s="156" t="n"/>
      <c r="H4637" s="152" t="n"/>
      <c r="I4637" s="156" t="n"/>
      <c r="J4637" s="90" t="n"/>
      <c r="K4637" s="166" t="n"/>
      <c r="L4637" s="158" t="n"/>
      <c r="M4637" s="159" t="n"/>
    </row>
    <row r="4638">
      <c r="A4638" s="114" t="n"/>
      <c r="B4638" s="115" t="n"/>
      <c r="C4638" s="115" t="n"/>
      <c r="D4638" s="115" t="n"/>
      <c r="E4638" s="115" t="n"/>
      <c r="F4638" s="115" t="n"/>
      <c r="G4638" s="156" t="n"/>
      <c r="H4638" s="152" t="n"/>
      <c r="I4638" s="156" t="n"/>
      <c r="J4638" s="90" t="n"/>
      <c r="K4638" s="166" t="n"/>
      <c r="L4638" s="158" t="n"/>
      <c r="M4638" s="159" t="n"/>
    </row>
    <row r="4639">
      <c r="A4639" s="114" t="n"/>
      <c r="B4639" s="115" t="n"/>
      <c r="C4639" s="115" t="n"/>
      <c r="D4639" s="115" t="n"/>
      <c r="E4639" s="115" t="n"/>
      <c r="F4639" s="115" t="n"/>
      <c r="G4639" s="156" t="n"/>
      <c r="H4639" s="152" t="n"/>
      <c r="I4639" s="156" t="n"/>
      <c r="J4639" s="90" t="n"/>
      <c r="K4639" s="166" t="n"/>
      <c r="L4639" s="158" t="n"/>
      <c r="M4639" s="159" t="n"/>
    </row>
    <row r="4640">
      <c r="A4640" s="114" t="n"/>
      <c r="B4640" s="115" t="n"/>
      <c r="C4640" s="115" t="n"/>
      <c r="D4640" s="115" t="n"/>
      <c r="E4640" s="115" t="n"/>
      <c r="F4640" s="115" t="n"/>
      <c r="G4640" s="156" t="n"/>
      <c r="H4640" s="152" t="n"/>
      <c r="I4640" s="156" t="n"/>
      <c r="J4640" s="90" t="n"/>
      <c r="K4640" s="166" t="n"/>
      <c r="L4640" s="158" t="n"/>
      <c r="M4640" s="159" t="n"/>
    </row>
    <row r="4641">
      <c r="A4641" s="114" t="n"/>
      <c r="B4641" s="115" t="n"/>
      <c r="C4641" s="115" t="n"/>
      <c r="D4641" s="115" t="n"/>
      <c r="E4641" s="115" t="n"/>
      <c r="F4641" s="115" t="n"/>
      <c r="G4641" s="156" t="n"/>
      <c r="H4641" s="152" t="n"/>
      <c r="I4641" s="156" t="n"/>
      <c r="J4641" s="90" t="n"/>
      <c r="K4641" s="166" t="n"/>
      <c r="L4641" s="158" t="n"/>
      <c r="M4641" s="159" t="n"/>
    </row>
    <row r="4642">
      <c r="A4642" s="114" t="n"/>
      <c r="B4642" s="115" t="n"/>
      <c r="C4642" s="115" t="n"/>
      <c r="D4642" s="115" t="n"/>
      <c r="E4642" s="115" t="n"/>
      <c r="F4642" s="115" t="n"/>
      <c r="G4642" s="156" t="n"/>
      <c r="H4642" s="152" t="n"/>
      <c r="I4642" s="156" t="n"/>
      <c r="J4642" s="90" t="n"/>
      <c r="K4642" s="166" t="n"/>
      <c r="L4642" s="158" t="n"/>
      <c r="M4642" s="159" t="n"/>
    </row>
    <row r="4643">
      <c r="A4643" s="114" t="n"/>
      <c r="B4643" s="115" t="n"/>
      <c r="C4643" s="115" t="n"/>
      <c r="D4643" s="115" t="n"/>
      <c r="E4643" s="115" t="n"/>
      <c r="F4643" s="115" t="n"/>
      <c r="G4643" s="156" t="n"/>
      <c r="H4643" s="152" t="n"/>
      <c r="I4643" s="156" t="n"/>
      <c r="J4643" s="90" t="n"/>
      <c r="K4643" s="166" t="n"/>
      <c r="L4643" s="158" t="n"/>
      <c r="M4643" s="159" t="n"/>
    </row>
    <row r="4644">
      <c r="A4644" s="114" t="n"/>
      <c r="B4644" s="115" t="n"/>
      <c r="C4644" s="115" t="n"/>
      <c r="D4644" s="115" t="n"/>
      <c r="E4644" s="115" t="n"/>
      <c r="F4644" s="115" t="n"/>
      <c r="G4644" s="156" t="n"/>
      <c r="H4644" s="152" t="n"/>
      <c r="I4644" s="156" t="n"/>
      <c r="J4644" s="90" t="n"/>
      <c r="K4644" s="166" t="n"/>
      <c r="L4644" s="158" t="n"/>
      <c r="M4644" s="159" t="n"/>
    </row>
    <row r="4645">
      <c r="A4645" s="114" t="n"/>
      <c r="B4645" s="115" t="n"/>
      <c r="C4645" s="115" t="n"/>
      <c r="D4645" s="115" t="n"/>
      <c r="E4645" s="115" t="n"/>
      <c r="F4645" s="115" t="n"/>
      <c r="G4645" s="156" t="n"/>
      <c r="H4645" s="152" t="n"/>
      <c r="I4645" s="156" t="n"/>
      <c r="J4645" s="90" t="n"/>
      <c r="K4645" s="166" t="n"/>
      <c r="L4645" s="158" t="n"/>
      <c r="M4645" s="159" t="n"/>
    </row>
    <row r="4646">
      <c r="A4646" s="114" t="n"/>
      <c r="B4646" s="115" t="n"/>
      <c r="C4646" s="115" t="n"/>
      <c r="D4646" s="115" t="n"/>
      <c r="E4646" s="115" t="n"/>
      <c r="F4646" s="115" t="n"/>
      <c r="G4646" s="156" t="n"/>
      <c r="H4646" s="152" t="n"/>
      <c r="I4646" s="156" t="n"/>
      <c r="J4646" s="90" t="n"/>
      <c r="K4646" s="166" t="n"/>
      <c r="L4646" s="158" t="n"/>
      <c r="M4646" s="159" t="n"/>
    </row>
    <row r="4647">
      <c r="A4647" s="114" t="n"/>
      <c r="B4647" s="115" t="n"/>
      <c r="C4647" s="115" t="n"/>
      <c r="D4647" s="115" t="n"/>
      <c r="E4647" s="115" t="n"/>
      <c r="F4647" s="115" t="n"/>
      <c r="G4647" s="156" t="n"/>
      <c r="H4647" s="152" t="n"/>
      <c r="I4647" s="156" t="n"/>
      <c r="J4647" s="90" t="n"/>
      <c r="K4647" s="166" t="n"/>
      <c r="L4647" s="158" t="n"/>
      <c r="M4647" s="159" t="n"/>
    </row>
    <row r="4648">
      <c r="A4648" s="114" t="n"/>
      <c r="B4648" s="115" t="n"/>
      <c r="C4648" s="115" t="n"/>
      <c r="D4648" s="115" t="n"/>
      <c r="E4648" s="115" t="n"/>
      <c r="F4648" s="115" t="n"/>
      <c r="G4648" s="156" t="n"/>
      <c r="H4648" s="152" t="n"/>
      <c r="I4648" s="156" t="n"/>
      <c r="J4648" s="90" t="n"/>
      <c r="K4648" s="166" t="n"/>
      <c r="L4648" s="158" t="n"/>
      <c r="M4648" s="159" t="n"/>
    </row>
    <row r="4649">
      <c r="A4649" s="114" t="n"/>
      <c r="B4649" s="115" t="n"/>
      <c r="C4649" s="115" t="n"/>
      <c r="D4649" s="115" t="n"/>
      <c r="E4649" s="115" t="n"/>
      <c r="F4649" s="115" t="n"/>
      <c r="G4649" s="156" t="n"/>
      <c r="H4649" s="152" t="n"/>
      <c r="I4649" s="156" t="n"/>
      <c r="J4649" s="90" t="n"/>
      <c r="K4649" s="166" t="n"/>
      <c r="L4649" s="158" t="n"/>
      <c r="M4649" s="159" t="n"/>
    </row>
    <row r="4650">
      <c r="A4650" s="114" t="n"/>
      <c r="B4650" s="115" t="n"/>
      <c r="C4650" s="115" t="n"/>
      <c r="D4650" s="115" t="n"/>
      <c r="E4650" s="115" t="n"/>
      <c r="F4650" s="115" t="n"/>
      <c r="G4650" s="156" t="n"/>
      <c r="H4650" s="152" t="n"/>
      <c r="I4650" s="156" t="n"/>
      <c r="J4650" s="90" t="n"/>
      <c r="K4650" s="166" t="n"/>
      <c r="L4650" s="158" t="n"/>
      <c r="M4650" s="159" t="n"/>
    </row>
    <row r="4651">
      <c r="A4651" s="114" t="n"/>
      <c r="B4651" s="115" t="n"/>
      <c r="C4651" s="115" t="n"/>
      <c r="D4651" s="115" t="n"/>
      <c r="E4651" s="115" t="n"/>
      <c r="F4651" s="115" t="n"/>
      <c r="G4651" s="156" t="n"/>
      <c r="H4651" s="152" t="n"/>
      <c r="I4651" s="156" t="n"/>
      <c r="J4651" s="90" t="n"/>
      <c r="K4651" s="166" t="n"/>
      <c r="L4651" s="158" t="n"/>
      <c r="M4651" s="159" t="n"/>
    </row>
    <row r="4652">
      <c r="A4652" s="114" t="n"/>
      <c r="B4652" s="115" t="n"/>
      <c r="C4652" s="115" t="n"/>
      <c r="D4652" s="115" t="n"/>
      <c r="E4652" s="115" t="n"/>
      <c r="F4652" s="115" t="n"/>
      <c r="G4652" s="156" t="n"/>
      <c r="H4652" s="152" t="n"/>
      <c r="I4652" s="156" t="n"/>
      <c r="J4652" s="90" t="n"/>
      <c r="K4652" s="166" t="n"/>
      <c r="L4652" s="158" t="n"/>
      <c r="M4652" s="159" t="n"/>
    </row>
    <row r="4653">
      <c r="A4653" s="114" t="n"/>
      <c r="B4653" s="115" t="n"/>
      <c r="C4653" s="115" t="n"/>
      <c r="D4653" s="115" t="n"/>
      <c r="E4653" s="115" t="n"/>
      <c r="F4653" s="115" t="n"/>
      <c r="G4653" s="156" t="n"/>
      <c r="H4653" s="152" t="n"/>
      <c r="I4653" s="156" t="n"/>
      <c r="J4653" s="90" t="n"/>
      <c r="K4653" s="166" t="n"/>
      <c r="L4653" s="158" t="n"/>
      <c r="M4653" s="159" t="n"/>
    </row>
    <row r="4654">
      <c r="A4654" s="114" t="n"/>
      <c r="B4654" s="115" t="n"/>
      <c r="C4654" s="115" t="n"/>
      <c r="D4654" s="115" t="n"/>
      <c r="E4654" s="115" t="n"/>
      <c r="F4654" s="115" t="n"/>
      <c r="G4654" s="156" t="n"/>
      <c r="H4654" s="152" t="n"/>
      <c r="I4654" s="156" t="n"/>
      <c r="J4654" s="90" t="n"/>
      <c r="K4654" s="166" t="n"/>
      <c r="L4654" s="158" t="n"/>
      <c r="M4654" s="159" t="n"/>
    </row>
    <row r="4655">
      <c r="A4655" s="114" t="n"/>
      <c r="B4655" s="115" t="n"/>
      <c r="C4655" s="115" t="n"/>
      <c r="D4655" s="115" t="n"/>
      <c r="E4655" s="115" t="n"/>
      <c r="F4655" s="115" t="n"/>
      <c r="G4655" s="156" t="n"/>
      <c r="H4655" s="152" t="n"/>
      <c r="I4655" s="156" t="n"/>
      <c r="J4655" s="90" t="n"/>
      <c r="K4655" s="166" t="n"/>
      <c r="L4655" s="158" t="n"/>
      <c r="M4655" s="159" t="n"/>
    </row>
    <row r="4656">
      <c r="A4656" s="114" t="n"/>
      <c r="B4656" s="115" t="n"/>
      <c r="C4656" s="115" t="n"/>
      <c r="D4656" s="115" t="n"/>
      <c r="E4656" s="115" t="n"/>
      <c r="F4656" s="115" t="n"/>
      <c r="G4656" s="156" t="n"/>
      <c r="H4656" s="152" t="n"/>
      <c r="I4656" s="156" t="n"/>
      <c r="J4656" s="90" t="n"/>
      <c r="K4656" s="166" t="n"/>
      <c r="L4656" s="158" t="n"/>
      <c r="M4656" s="159" t="n"/>
    </row>
    <row r="4657">
      <c r="A4657" s="114" t="n"/>
      <c r="B4657" s="115" t="n"/>
      <c r="C4657" s="115" t="n"/>
      <c r="D4657" s="115" t="n"/>
      <c r="E4657" s="115" t="n"/>
      <c r="F4657" s="115" t="n"/>
      <c r="G4657" s="156" t="n"/>
      <c r="H4657" s="152" t="n"/>
      <c r="I4657" s="156" t="n"/>
      <c r="J4657" s="90" t="n"/>
      <c r="K4657" s="166" t="n"/>
      <c r="L4657" s="158" t="n"/>
      <c r="M4657" s="159" t="n"/>
    </row>
    <row r="4658">
      <c r="A4658" s="114" t="n"/>
      <c r="B4658" s="115" t="n"/>
      <c r="C4658" s="115" t="n"/>
      <c r="D4658" s="115" t="n"/>
      <c r="E4658" s="115" t="n"/>
      <c r="F4658" s="115" t="n"/>
      <c r="G4658" s="156" t="n"/>
      <c r="H4658" s="152" t="n"/>
      <c r="I4658" s="156" t="n"/>
      <c r="J4658" s="90" t="n"/>
      <c r="K4658" s="166" t="n"/>
      <c r="L4658" s="158" t="n"/>
      <c r="M4658" s="159" t="n"/>
    </row>
    <row r="4659">
      <c r="A4659" s="114" t="n"/>
      <c r="B4659" s="115" t="n"/>
      <c r="C4659" s="115" t="n"/>
      <c r="D4659" s="115" t="n"/>
      <c r="E4659" s="115" t="n"/>
      <c r="F4659" s="115" t="n"/>
      <c r="G4659" s="156" t="n"/>
      <c r="H4659" s="152" t="n"/>
      <c r="I4659" s="156" t="n"/>
      <c r="J4659" s="90" t="n"/>
      <c r="K4659" s="166" t="n"/>
      <c r="L4659" s="158" t="n"/>
      <c r="M4659" s="159" t="n"/>
    </row>
    <row r="4660">
      <c r="A4660" s="114" t="n"/>
      <c r="B4660" s="115" t="n"/>
      <c r="C4660" s="115" t="n"/>
      <c r="D4660" s="115" t="n"/>
      <c r="E4660" s="115" t="n"/>
      <c r="F4660" s="115" t="n"/>
      <c r="G4660" s="156" t="n"/>
      <c r="H4660" s="152" t="n"/>
      <c r="I4660" s="156" t="n"/>
      <c r="J4660" s="90" t="n"/>
      <c r="K4660" s="166" t="n"/>
      <c r="L4660" s="158" t="n"/>
      <c r="M4660" s="159" t="n"/>
    </row>
    <row r="4661">
      <c r="A4661" s="114" t="n"/>
      <c r="B4661" s="115" t="n"/>
      <c r="C4661" s="115" t="n"/>
      <c r="D4661" s="115" t="n"/>
      <c r="E4661" s="115" t="n"/>
      <c r="F4661" s="115" t="n"/>
      <c r="G4661" s="156" t="n"/>
      <c r="H4661" s="152" t="n"/>
      <c r="I4661" s="156" t="n"/>
      <c r="J4661" s="90" t="n"/>
      <c r="K4661" s="166" t="n"/>
      <c r="L4661" s="158" t="n"/>
      <c r="M4661" s="159" t="n"/>
    </row>
    <row r="4662">
      <c r="A4662" s="114" t="n"/>
      <c r="B4662" s="115" t="n"/>
      <c r="C4662" s="115" t="n"/>
      <c r="D4662" s="115" t="n"/>
      <c r="E4662" s="115" t="n"/>
      <c r="F4662" s="115" t="n"/>
      <c r="G4662" s="156" t="n"/>
      <c r="H4662" s="152" t="n"/>
      <c r="I4662" s="156" t="n"/>
      <c r="J4662" s="90" t="n"/>
      <c r="K4662" s="166" t="n"/>
      <c r="L4662" s="158" t="n"/>
      <c r="M4662" s="159" t="n"/>
    </row>
    <row r="4663">
      <c r="A4663" s="114" t="n"/>
      <c r="B4663" s="115" t="n"/>
      <c r="C4663" s="115" t="n"/>
      <c r="D4663" s="115" t="n"/>
      <c r="E4663" s="115" t="n"/>
      <c r="F4663" s="115" t="n"/>
      <c r="G4663" s="156" t="n"/>
      <c r="H4663" s="152" t="n"/>
      <c r="I4663" s="156" t="n"/>
      <c r="J4663" s="90" t="n"/>
      <c r="K4663" s="166" t="n"/>
      <c r="L4663" s="158" t="n"/>
      <c r="M4663" s="159" t="n"/>
    </row>
    <row r="4664">
      <c r="A4664" s="114" t="n"/>
      <c r="B4664" s="115" t="n"/>
      <c r="C4664" s="115" t="n"/>
      <c r="D4664" s="115" t="n"/>
      <c r="E4664" s="115" t="n"/>
      <c r="F4664" s="115" t="n"/>
      <c r="G4664" s="156" t="n"/>
      <c r="H4664" s="152" t="n"/>
      <c r="I4664" s="156" t="n"/>
      <c r="J4664" s="90" t="n"/>
      <c r="K4664" s="166" t="n"/>
      <c r="L4664" s="158" t="n"/>
      <c r="M4664" s="159" t="n"/>
    </row>
    <row r="4665">
      <c r="A4665" s="114" t="n"/>
      <c r="B4665" s="115" t="n"/>
      <c r="C4665" s="115" t="n"/>
      <c r="D4665" s="115" t="n"/>
      <c r="E4665" s="115" t="n"/>
      <c r="F4665" s="115" t="n"/>
      <c r="G4665" s="156" t="n"/>
      <c r="H4665" s="152" t="n"/>
      <c r="I4665" s="156" t="n"/>
      <c r="J4665" s="90" t="n"/>
      <c r="K4665" s="166" t="n"/>
      <c r="L4665" s="158" t="n"/>
      <c r="M4665" s="159" t="n"/>
    </row>
    <row r="4666">
      <c r="A4666" s="114" t="n"/>
      <c r="B4666" s="115" t="n"/>
      <c r="C4666" s="115" t="n"/>
      <c r="D4666" s="115" t="n"/>
      <c r="E4666" s="115" t="n"/>
      <c r="F4666" s="115" t="n"/>
      <c r="G4666" s="156" t="n"/>
      <c r="H4666" s="152" t="n"/>
      <c r="I4666" s="156" t="n"/>
      <c r="J4666" s="90" t="n"/>
      <c r="K4666" s="166" t="n"/>
      <c r="L4666" s="158" t="n"/>
      <c r="M4666" s="159" t="n"/>
    </row>
    <row r="4667">
      <c r="A4667" s="114" t="n"/>
      <c r="B4667" s="115" t="n"/>
      <c r="C4667" s="115" t="n"/>
      <c r="D4667" s="115" t="n"/>
      <c r="E4667" s="115" t="n"/>
      <c r="F4667" s="115" t="n"/>
      <c r="G4667" s="156" t="n"/>
      <c r="H4667" s="152" t="n"/>
      <c r="I4667" s="156" t="n"/>
      <c r="J4667" s="90" t="n"/>
      <c r="K4667" s="166" t="n"/>
      <c r="L4667" s="158" t="n"/>
      <c r="M4667" s="159" t="n"/>
    </row>
    <row r="4668">
      <c r="A4668" s="114" t="n"/>
      <c r="B4668" s="115" t="n"/>
      <c r="C4668" s="115" t="n"/>
      <c r="D4668" s="115" t="n"/>
      <c r="E4668" s="115" t="n"/>
      <c r="F4668" s="115" t="n"/>
      <c r="G4668" s="156" t="n"/>
      <c r="H4668" s="152" t="n"/>
      <c r="I4668" s="156" t="n"/>
      <c r="J4668" s="90" t="n"/>
      <c r="K4668" s="166" t="n"/>
      <c r="L4668" s="158" t="n"/>
      <c r="M4668" s="159" t="n"/>
    </row>
    <row r="4669">
      <c r="A4669" s="114" t="n"/>
      <c r="B4669" s="115" t="n"/>
      <c r="C4669" s="115" t="n"/>
      <c r="D4669" s="115" t="n"/>
      <c r="E4669" s="115" t="n"/>
      <c r="F4669" s="115" t="n"/>
      <c r="G4669" s="156" t="n"/>
      <c r="H4669" s="152" t="n"/>
      <c r="I4669" s="156" t="n"/>
      <c r="J4669" s="90" t="n"/>
      <c r="K4669" s="166" t="n"/>
      <c r="L4669" s="158" t="n"/>
      <c r="M4669" s="159" t="n"/>
    </row>
    <row r="4670">
      <c r="A4670" s="114" t="n"/>
      <c r="B4670" s="115" t="n"/>
      <c r="C4670" s="115" t="n"/>
      <c r="D4670" s="115" t="n"/>
      <c r="E4670" s="115" t="n"/>
      <c r="F4670" s="115" t="n"/>
      <c r="G4670" s="156" t="n"/>
      <c r="H4670" s="152" t="n"/>
      <c r="I4670" s="156" t="n"/>
      <c r="J4670" s="90" t="n"/>
      <c r="K4670" s="166" t="n"/>
      <c r="L4670" s="158" t="n"/>
      <c r="M4670" s="159" t="n"/>
    </row>
    <row r="4671">
      <c r="A4671" s="114" t="n"/>
      <c r="B4671" s="115" t="n"/>
      <c r="C4671" s="115" t="n"/>
      <c r="D4671" s="115" t="n"/>
      <c r="E4671" s="115" t="n"/>
      <c r="F4671" s="115" t="n"/>
      <c r="G4671" s="156" t="n"/>
      <c r="H4671" s="152" t="n"/>
      <c r="I4671" s="156" t="n"/>
      <c r="J4671" s="90" t="n"/>
      <c r="K4671" s="166" t="n"/>
      <c r="L4671" s="158" t="n"/>
      <c r="M4671" s="159" t="n"/>
    </row>
    <row r="4672">
      <c r="A4672" s="114" t="n"/>
      <c r="B4672" s="115" t="n"/>
      <c r="C4672" s="115" t="n"/>
      <c r="D4672" s="115" t="n"/>
      <c r="E4672" s="115" t="n"/>
      <c r="F4672" s="115" t="n"/>
      <c r="G4672" s="156" t="n"/>
      <c r="H4672" s="152" t="n"/>
      <c r="I4672" s="156" t="n"/>
      <c r="J4672" s="90" t="n"/>
      <c r="K4672" s="166" t="n"/>
      <c r="L4672" s="158" t="n"/>
      <c r="M4672" s="159" t="n"/>
    </row>
    <row r="4673">
      <c r="A4673" s="114" t="n"/>
      <c r="B4673" s="115" t="n"/>
      <c r="C4673" s="115" t="n"/>
      <c r="D4673" s="115" t="n"/>
      <c r="E4673" s="115" t="n"/>
      <c r="F4673" s="115" t="n"/>
      <c r="G4673" s="156" t="n"/>
      <c r="H4673" s="152" t="n"/>
      <c r="I4673" s="156" t="n"/>
      <c r="J4673" s="90" t="n"/>
      <c r="K4673" s="166" t="n"/>
      <c r="L4673" s="158" t="n"/>
      <c r="M4673" s="159" t="n"/>
    </row>
    <row r="4674">
      <c r="A4674" s="114" t="n"/>
      <c r="B4674" s="115" t="n"/>
      <c r="C4674" s="115" t="n"/>
      <c r="D4674" s="115" t="n"/>
      <c r="E4674" s="115" t="n"/>
      <c r="F4674" s="115" t="n"/>
      <c r="G4674" s="156" t="n"/>
      <c r="H4674" s="152" t="n"/>
      <c r="I4674" s="156" t="n"/>
      <c r="J4674" s="90" t="n"/>
      <c r="K4674" s="166" t="n"/>
      <c r="L4674" s="158" t="n"/>
      <c r="M4674" s="159" t="n"/>
    </row>
    <row r="4675">
      <c r="A4675" s="114" t="n"/>
      <c r="B4675" s="115" t="n"/>
      <c r="C4675" s="115" t="n"/>
      <c r="D4675" s="115" t="n"/>
      <c r="E4675" s="115" t="n"/>
      <c r="F4675" s="115" t="n"/>
      <c r="G4675" s="156" t="n"/>
      <c r="H4675" s="152" t="n"/>
      <c r="I4675" s="156" t="n"/>
      <c r="J4675" s="90" t="n"/>
      <c r="K4675" s="166" t="n"/>
      <c r="L4675" s="158" t="n"/>
      <c r="M4675" s="159" t="n"/>
    </row>
    <row r="4676">
      <c r="A4676" s="114" t="n"/>
      <c r="B4676" s="115" t="n"/>
      <c r="C4676" s="115" t="n"/>
      <c r="D4676" s="115" t="n"/>
      <c r="E4676" s="115" t="n"/>
      <c r="F4676" s="115" t="n"/>
      <c r="G4676" s="156" t="n"/>
      <c r="H4676" s="152" t="n"/>
      <c r="I4676" s="156" t="n"/>
      <c r="J4676" s="90" t="n"/>
      <c r="K4676" s="166" t="n"/>
      <c r="L4676" s="158" t="n"/>
      <c r="M4676" s="159" t="n"/>
    </row>
    <row r="4677">
      <c r="A4677" s="114" t="n"/>
      <c r="B4677" s="115" t="n"/>
      <c r="C4677" s="115" t="n"/>
      <c r="D4677" s="115" t="n"/>
      <c r="E4677" s="115" t="n"/>
      <c r="F4677" s="115" t="n"/>
      <c r="G4677" s="156" t="n"/>
      <c r="H4677" s="152" t="n"/>
      <c r="I4677" s="156" t="n"/>
      <c r="J4677" s="90" t="n"/>
      <c r="K4677" s="166" t="n"/>
      <c r="L4677" s="158" t="n"/>
      <c r="M4677" s="159" t="n"/>
    </row>
    <row r="4678">
      <c r="A4678" s="114" t="n"/>
      <c r="B4678" s="115" t="n"/>
      <c r="C4678" s="115" t="n"/>
      <c r="D4678" s="115" t="n"/>
      <c r="E4678" s="115" t="n"/>
      <c r="F4678" s="115" t="n"/>
      <c r="G4678" s="156" t="n"/>
      <c r="H4678" s="152" t="n"/>
      <c r="I4678" s="156" t="n"/>
      <c r="J4678" s="90" t="n"/>
      <c r="K4678" s="166" t="n"/>
      <c r="L4678" s="158" t="n"/>
      <c r="M4678" s="159" t="n"/>
    </row>
    <row r="4679">
      <c r="A4679" s="114" t="n"/>
      <c r="B4679" s="115" t="n"/>
      <c r="C4679" s="115" t="n"/>
      <c r="D4679" s="115" t="n"/>
      <c r="E4679" s="115" t="n"/>
      <c r="F4679" s="115" t="n"/>
      <c r="G4679" s="156" t="n"/>
      <c r="H4679" s="152" t="n"/>
      <c r="I4679" s="156" t="n"/>
      <c r="J4679" s="90" t="n"/>
      <c r="K4679" s="166" t="n"/>
      <c r="L4679" s="158" t="n"/>
      <c r="M4679" s="159" t="n"/>
    </row>
    <row r="4680">
      <c r="A4680" s="114" t="n"/>
      <c r="B4680" s="115" t="n"/>
      <c r="C4680" s="115" t="n"/>
      <c r="D4680" s="115" t="n"/>
      <c r="E4680" s="115" t="n"/>
      <c r="F4680" s="115" t="n"/>
      <c r="G4680" s="156" t="n"/>
      <c r="H4680" s="152" t="n"/>
      <c r="I4680" s="156" t="n"/>
      <c r="J4680" s="90" t="n"/>
      <c r="K4680" s="166" t="n"/>
      <c r="L4680" s="158" t="n"/>
      <c r="M4680" s="159" t="n"/>
    </row>
    <row r="4681">
      <c r="A4681" s="114" t="n"/>
      <c r="B4681" s="115" t="n"/>
      <c r="C4681" s="115" t="n"/>
      <c r="D4681" s="115" t="n"/>
      <c r="E4681" s="115" t="n"/>
      <c r="F4681" s="115" t="n"/>
      <c r="G4681" s="156" t="n"/>
      <c r="H4681" s="152" t="n"/>
      <c r="I4681" s="156" t="n"/>
      <c r="J4681" s="90" t="n"/>
      <c r="K4681" s="166" t="n"/>
      <c r="L4681" s="158" t="n"/>
      <c r="M4681" s="159" t="n"/>
    </row>
    <row r="4682">
      <c r="A4682" s="114" t="n"/>
      <c r="B4682" s="115" t="n"/>
      <c r="C4682" s="115" t="n"/>
      <c r="D4682" s="115" t="n"/>
      <c r="E4682" s="115" t="n"/>
      <c r="F4682" s="115" t="n"/>
      <c r="G4682" s="156" t="n"/>
      <c r="H4682" s="152" t="n"/>
      <c r="I4682" s="156" t="n"/>
      <c r="J4682" s="90" t="n"/>
      <c r="K4682" s="166" t="n"/>
      <c r="L4682" s="158" t="n"/>
      <c r="M4682" s="159" t="n"/>
    </row>
    <row r="4683">
      <c r="A4683" s="114" t="n"/>
      <c r="B4683" s="115" t="n"/>
      <c r="C4683" s="115" t="n"/>
      <c r="D4683" s="115" t="n"/>
      <c r="E4683" s="115" t="n"/>
      <c r="F4683" s="115" t="n"/>
      <c r="G4683" s="156" t="n"/>
      <c r="H4683" s="152" t="n"/>
      <c r="I4683" s="156" t="n"/>
      <c r="J4683" s="90" t="n"/>
      <c r="K4683" s="166" t="n"/>
      <c r="L4683" s="158" t="n"/>
      <c r="M4683" s="159" t="n"/>
    </row>
    <row r="4684">
      <c r="A4684" s="114" t="n"/>
      <c r="B4684" s="115" t="n"/>
      <c r="C4684" s="115" t="n"/>
      <c r="D4684" s="115" t="n"/>
      <c r="E4684" s="115" t="n"/>
      <c r="F4684" s="115" t="n"/>
      <c r="G4684" s="156" t="n"/>
      <c r="H4684" s="152" t="n"/>
      <c r="I4684" s="156" t="n"/>
      <c r="J4684" s="90" t="n"/>
      <c r="K4684" s="166" t="n"/>
      <c r="L4684" s="158" t="n"/>
      <c r="M4684" s="159" t="n"/>
    </row>
    <row r="4685">
      <c r="A4685" s="114" t="n"/>
      <c r="B4685" s="115" t="n"/>
      <c r="C4685" s="115" t="n"/>
      <c r="D4685" s="115" t="n"/>
      <c r="E4685" s="115" t="n"/>
      <c r="F4685" s="115" t="n"/>
      <c r="G4685" s="156" t="n"/>
      <c r="H4685" s="152" t="n"/>
      <c r="I4685" s="156" t="n"/>
      <c r="J4685" s="90" t="n"/>
      <c r="K4685" s="166" t="n"/>
      <c r="L4685" s="158" t="n"/>
      <c r="M4685" s="159" t="n"/>
    </row>
    <row r="4686">
      <c r="A4686" s="114" t="n"/>
      <c r="B4686" s="115" t="n"/>
      <c r="C4686" s="115" t="n"/>
      <c r="D4686" s="115" t="n"/>
      <c r="E4686" s="115" t="n"/>
      <c r="F4686" s="115" t="n"/>
      <c r="G4686" s="156" t="n"/>
      <c r="H4686" s="152" t="n"/>
      <c r="I4686" s="156" t="n"/>
      <c r="J4686" s="90" t="n"/>
      <c r="K4686" s="166" t="n"/>
      <c r="L4686" s="158" t="n"/>
      <c r="M4686" s="159" t="n"/>
    </row>
    <row r="4687">
      <c r="A4687" s="114" t="n"/>
      <c r="B4687" s="115" t="n"/>
      <c r="C4687" s="115" t="n"/>
      <c r="D4687" s="115" t="n"/>
      <c r="E4687" s="115" t="n"/>
      <c r="F4687" s="115" t="n"/>
      <c r="G4687" s="156" t="n"/>
      <c r="H4687" s="152" t="n"/>
      <c r="I4687" s="156" t="n"/>
      <c r="J4687" s="90" t="n"/>
      <c r="K4687" s="166" t="n"/>
      <c r="L4687" s="158" t="n"/>
      <c r="M4687" s="159" t="n"/>
    </row>
    <row r="4688">
      <c r="A4688" s="114" t="n"/>
      <c r="B4688" s="115" t="n"/>
      <c r="C4688" s="115" t="n"/>
      <c r="D4688" s="115" t="n"/>
      <c r="E4688" s="115" t="n"/>
      <c r="F4688" s="115" t="n"/>
      <c r="G4688" s="156" t="n"/>
      <c r="H4688" s="152" t="n"/>
      <c r="I4688" s="156" t="n"/>
      <c r="J4688" s="90" t="n"/>
      <c r="K4688" s="166" t="n"/>
      <c r="L4688" s="158" t="n"/>
      <c r="M4688" s="159" t="n"/>
    </row>
    <row r="4689">
      <c r="A4689" s="114" t="n"/>
      <c r="B4689" s="115" t="n"/>
      <c r="C4689" s="115" t="n"/>
      <c r="D4689" s="115" t="n"/>
      <c r="E4689" s="115" t="n"/>
      <c r="F4689" s="115" t="n"/>
      <c r="G4689" s="156" t="n"/>
      <c r="H4689" s="152" t="n"/>
      <c r="I4689" s="156" t="n"/>
      <c r="J4689" s="90" t="n"/>
      <c r="K4689" s="166" t="n"/>
      <c r="L4689" s="158" t="n"/>
      <c r="M4689" s="159" t="n"/>
    </row>
    <row r="4690">
      <c r="A4690" s="114" t="n"/>
      <c r="B4690" s="115" t="n"/>
      <c r="C4690" s="115" t="n"/>
      <c r="D4690" s="115" t="n"/>
      <c r="E4690" s="115" t="n"/>
      <c r="F4690" s="115" t="n"/>
      <c r="G4690" s="156" t="n"/>
      <c r="H4690" s="152" t="n"/>
      <c r="I4690" s="156" t="n"/>
      <c r="J4690" s="90" t="n"/>
      <c r="K4690" s="166" t="n"/>
      <c r="L4690" s="158" t="n"/>
      <c r="M4690" s="159" t="n"/>
    </row>
    <row r="4691">
      <c r="A4691" s="114" t="n"/>
      <c r="B4691" s="115" t="n"/>
      <c r="C4691" s="115" t="n"/>
      <c r="D4691" s="115" t="n"/>
      <c r="E4691" s="115" t="n"/>
      <c r="F4691" s="115" t="n"/>
      <c r="G4691" s="156" t="n"/>
      <c r="H4691" s="152" t="n"/>
      <c r="I4691" s="156" t="n"/>
      <c r="J4691" s="90" t="n"/>
      <c r="K4691" s="166" t="n"/>
      <c r="L4691" s="158" t="n"/>
      <c r="M4691" s="159" t="n"/>
    </row>
    <row r="4692">
      <c r="A4692" s="114" t="n"/>
      <c r="B4692" s="115" t="n"/>
      <c r="C4692" s="115" t="n"/>
      <c r="D4692" s="115" t="n"/>
      <c r="E4692" s="115" t="n"/>
      <c r="F4692" s="115" t="n"/>
      <c r="G4692" s="156" t="n"/>
      <c r="H4692" s="152" t="n"/>
      <c r="I4692" s="156" t="n"/>
      <c r="J4692" s="90" t="n"/>
      <c r="K4692" s="166" t="n"/>
      <c r="L4692" s="158" t="n"/>
      <c r="M4692" s="159" t="n"/>
    </row>
    <row r="4693">
      <c r="A4693" s="114" t="n"/>
      <c r="B4693" s="115" t="n"/>
      <c r="C4693" s="115" t="n"/>
      <c r="D4693" s="115" t="n"/>
      <c r="E4693" s="115" t="n"/>
      <c r="F4693" s="115" t="n"/>
      <c r="G4693" s="156" t="n"/>
      <c r="H4693" s="152" t="n"/>
      <c r="I4693" s="156" t="n"/>
      <c r="J4693" s="90" t="n"/>
      <c r="K4693" s="166" t="n"/>
      <c r="L4693" s="158" t="n"/>
      <c r="M4693" s="159" t="n"/>
    </row>
    <row r="4694">
      <c r="A4694" s="114" t="n"/>
      <c r="B4694" s="115" t="n"/>
      <c r="C4694" s="115" t="n"/>
      <c r="D4694" s="115" t="n"/>
      <c r="E4694" s="115" t="n"/>
      <c r="F4694" s="115" t="n"/>
      <c r="G4694" s="156" t="n"/>
      <c r="H4694" s="152" t="n"/>
      <c r="I4694" s="156" t="n"/>
      <c r="J4694" s="90" t="n"/>
      <c r="K4694" s="166" t="n"/>
      <c r="L4694" s="158" t="n"/>
      <c r="M4694" s="159" t="n"/>
    </row>
    <row r="4695">
      <c r="A4695" s="114" t="n"/>
      <c r="B4695" s="115" t="n"/>
      <c r="C4695" s="115" t="n"/>
      <c r="D4695" s="115" t="n"/>
      <c r="E4695" s="115" t="n"/>
      <c r="F4695" s="115" t="n"/>
      <c r="G4695" s="156" t="n"/>
      <c r="H4695" s="152" t="n"/>
      <c r="I4695" s="156" t="n"/>
      <c r="J4695" s="90" t="n"/>
      <c r="K4695" s="166" t="n"/>
      <c r="L4695" s="158" t="n"/>
      <c r="M4695" s="159" t="n"/>
    </row>
    <row r="4696">
      <c r="A4696" s="114" t="n"/>
      <c r="B4696" s="115" t="n"/>
      <c r="C4696" s="115" t="n"/>
      <c r="D4696" s="115" t="n"/>
      <c r="E4696" s="115" t="n"/>
      <c r="F4696" s="115" t="n"/>
      <c r="G4696" s="156" t="n"/>
      <c r="H4696" s="152" t="n"/>
      <c r="I4696" s="156" t="n"/>
      <c r="J4696" s="90" t="n"/>
      <c r="K4696" s="166" t="n"/>
      <c r="L4696" s="158" t="n"/>
      <c r="M4696" s="159" t="n"/>
    </row>
    <row r="4697">
      <c r="A4697" s="114" t="n"/>
      <c r="B4697" s="115" t="n"/>
      <c r="C4697" s="115" t="n"/>
      <c r="D4697" s="115" t="n"/>
      <c r="E4697" s="115" t="n"/>
      <c r="F4697" s="115" t="n"/>
      <c r="G4697" s="156" t="n"/>
      <c r="H4697" s="152" t="n"/>
      <c r="I4697" s="156" t="n"/>
      <c r="J4697" s="90" t="n"/>
      <c r="K4697" s="166" t="n"/>
      <c r="L4697" s="158" t="n"/>
      <c r="M4697" s="159" t="n"/>
    </row>
    <row r="4698">
      <c r="A4698" s="114" t="n"/>
      <c r="B4698" s="115" t="n"/>
      <c r="C4698" s="115" t="n"/>
      <c r="D4698" s="115" t="n"/>
      <c r="E4698" s="115" t="n"/>
      <c r="F4698" s="115" t="n"/>
      <c r="G4698" s="156" t="n"/>
      <c r="H4698" s="152" t="n"/>
      <c r="I4698" s="156" t="n"/>
      <c r="J4698" s="90" t="n"/>
      <c r="K4698" s="166" t="n"/>
      <c r="L4698" s="158" t="n"/>
      <c r="M4698" s="159" t="n"/>
    </row>
    <row r="4699">
      <c r="A4699" s="114" t="n"/>
      <c r="B4699" s="115" t="n"/>
      <c r="C4699" s="115" t="n"/>
      <c r="D4699" s="115" t="n"/>
      <c r="E4699" s="115" t="n"/>
      <c r="F4699" s="115" t="n"/>
      <c r="G4699" s="156" t="n"/>
      <c r="H4699" s="152" t="n"/>
      <c r="I4699" s="156" t="n"/>
      <c r="J4699" s="90" t="n"/>
      <c r="K4699" s="166" t="n"/>
      <c r="L4699" s="158" t="n"/>
      <c r="M4699" s="159" t="n"/>
    </row>
    <row r="4700">
      <c r="A4700" s="114" t="n"/>
      <c r="B4700" s="115" t="n"/>
      <c r="C4700" s="115" t="n"/>
      <c r="D4700" s="115" t="n"/>
      <c r="E4700" s="115" t="n"/>
      <c r="F4700" s="115" t="n"/>
      <c r="G4700" s="156" t="n"/>
      <c r="H4700" s="152" t="n"/>
      <c r="I4700" s="156" t="n"/>
      <c r="J4700" s="90" t="n"/>
      <c r="K4700" s="166" t="n"/>
      <c r="L4700" s="158" t="n"/>
      <c r="M4700" s="159" t="n"/>
    </row>
    <row r="4701">
      <c r="A4701" s="114" t="n"/>
      <c r="B4701" s="115" t="n"/>
      <c r="C4701" s="115" t="n"/>
      <c r="D4701" s="115" t="n"/>
      <c r="E4701" s="115" t="n"/>
      <c r="F4701" s="115" t="n"/>
      <c r="G4701" s="156" t="n"/>
      <c r="H4701" s="152" t="n"/>
      <c r="I4701" s="156" t="n"/>
      <c r="J4701" s="90" t="n"/>
      <c r="K4701" s="166" t="n"/>
      <c r="L4701" s="158" t="n"/>
      <c r="M4701" s="159" t="n"/>
    </row>
    <row r="4702">
      <c r="A4702" s="114" t="n"/>
      <c r="B4702" s="115" t="n"/>
      <c r="C4702" s="115" t="n"/>
      <c r="D4702" s="115" t="n"/>
      <c r="E4702" s="115" t="n"/>
      <c r="F4702" s="115" t="n"/>
      <c r="G4702" s="156" t="n"/>
      <c r="H4702" s="152" t="n"/>
      <c r="I4702" s="156" t="n"/>
      <c r="J4702" s="90" t="n"/>
      <c r="K4702" s="166" t="n"/>
      <c r="L4702" s="158" t="n"/>
      <c r="M4702" s="159" t="n"/>
    </row>
    <row r="4703">
      <c r="A4703" s="114" t="n"/>
      <c r="B4703" s="115" t="n"/>
      <c r="C4703" s="115" t="n"/>
      <c r="D4703" s="115" t="n"/>
      <c r="E4703" s="115" t="n"/>
      <c r="F4703" s="115" t="n"/>
      <c r="G4703" s="156" t="n"/>
      <c r="H4703" s="152" t="n"/>
      <c r="I4703" s="156" t="n"/>
      <c r="J4703" s="90" t="n"/>
      <c r="K4703" s="166" t="n"/>
      <c r="L4703" s="158" t="n"/>
      <c r="M4703" s="159" t="n"/>
    </row>
    <row r="4704">
      <c r="A4704" s="114" t="n"/>
      <c r="B4704" s="115" t="n"/>
      <c r="C4704" s="115" t="n"/>
      <c r="D4704" s="115" t="n"/>
      <c r="E4704" s="115" t="n"/>
      <c r="F4704" s="115" t="n"/>
      <c r="G4704" s="156" t="n"/>
      <c r="H4704" s="152" t="n"/>
      <c r="I4704" s="156" t="n"/>
      <c r="J4704" s="90" t="n"/>
      <c r="K4704" s="166" t="n"/>
      <c r="L4704" s="158" t="n"/>
      <c r="M4704" s="159" t="n"/>
    </row>
    <row r="4705">
      <c r="A4705" s="114" t="n"/>
      <c r="B4705" s="115" t="n"/>
      <c r="C4705" s="115" t="n"/>
      <c r="D4705" s="115" t="n"/>
      <c r="E4705" s="115" t="n"/>
      <c r="F4705" s="115" t="n"/>
      <c r="G4705" s="156" t="n"/>
      <c r="H4705" s="152" t="n"/>
      <c r="I4705" s="156" t="n"/>
      <c r="J4705" s="90" t="n"/>
      <c r="K4705" s="166" t="n"/>
      <c r="L4705" s="158" t="n"/>
      <c r="M4705" s="159" t="n"/>
    </row>
    <row r="4706">
      <c r="A4706" s="114" t="n"/>
      <c r="B4706" s="115" t="n"/>
      <c r="C4706" s="115" t="n"/>
      <c r="D4706" s="115" t="n"/>
      <c r="E4706" s="115" t="n"/>
      <c r="F4706" s="115" t="n"/>
      <c r="G4706" s="156" t="n"/>
      <c r="H4706" s="152" t="n"/>
      <c r="I4706" s="156" t="n"/>
      <c r="J4706" s="90" t="n"/>
      <c r="K4706" s="166" t="n"/>
      <c r="L4706" s="158" t="n"/>
      <c r="M4706" s="159" t="n"/>
    </row>
    <row r="4707">
      <c r="A4707" s="114" t="n"/>
      <c r="B4707" s="115" t="n"/>
      <c r="C4707" s="115" t="n"/>
      <c r="D4707" s="115" t="n"/>
      <c r="E4707" s="115" t="n"/>
      <c r="F4707" s="115" t="n"/>
      <c r="G4707" s="156" t="n"/>
      <c r="H4707" s="152" t="n"/>
      <c r="I4707" s="156" t="n"/>
      <c r="J4707" s="90" t="n"/>
      <c r="K4707" s="166" t="n"/>
      <c r="L4707" s="158" t="n"/>
      <c r="M4707" s="159" t="n"/>
    </row>
    <row r="4708">
      <c r="A4708" s="114" t="n"/>
      <c r="B4708" s="115" t="n"/>
      <c r="C4708" s="115" t="n"/>
      <c r="D4708" s="115" t="n"/>
      <c r="E4708" s="115" t="n"/>
      <c r="F4708" s="115" t="n"/>
      <c r="G4708" s="156" t="n"/>
      <c r="H4708" s="152" t="n"/>
      <c r="I4708" s="156" t="n"/>
      <c r="J4708" s="90" t="n"/>
      <c r="K4708" s="166" t="n"/>
      <c r="L4708" s="158" t="n"/>
      <c r="M4708" s="159" t="n"/>
    </row>
    <row r="4709">
      <c r="A4709" s="114" t="n"/>
      <c r="B4709" s="115" t="n"/>
      <c r="C4709" s="115" t="n"/>
      <c r="D4709" s="115" t="n"/>
      <c r="E4709" s="115" t="n"/>
      <c r="F4709" s="115" t="n"/>
      <c r="G4709" s="156" t="n"/>
      <c r="H4709" s="152" t="n"/>
      <c r="I4709" s="156" t="n"/>
      <c r="J4709" s="90" t="n"/>
      <c r="K4709" s="166" t="n"/>
      <c r="L4709" s="158" t="n"/>
      <c r="M4709" s="159" t="n"/>
    </row>
    <row r="4710">
      <c r="A4710" s="114" t="n"/>
      <c r="B4710" s="115" t="n"/>
      <c r="C4710" s="115" t="n"/>
      <c r="D4710" s="115" t="n"/>
      <c r="E4710" s="115" t="n"/>
      <c r="F4710" s="115" t="n"/>
      <c r="G4710" s="156" t="n"/>
      <c r="H4710" s="152" t="n"/>
      <c r="I4710" s="156" t="n"/>
      <c r="J4710" s="90" t="n"/>
      <c r="K4710" s="166" t="n"/>
      <c r="L4710" s="158" t="n"/>
      <c r="M4710" s="159" t="n"/>
    </row>
    <row r="4711">
      <c r="A4711" s="114" t="n"/>
      <c r="B4711" s="115" t="n"/>
      <c r="C4711" s="115" t="n"/>
      <c r="D4711" s="115" t="n"/>
      <c r="E4711" s="115" t="n"/>
      <c r="F4711" s="115" t="n"/>
      <c r="G4711" s="156" t="n"/>
      <c r="H4711" s="152" t="n"/>
      <c r="I4711" s="156" t="n"/>
      <c r="J4711" s="90" t="n"/>
      <c r="K4711" s="166" t="n"/>
      <c r="L4711" s="158" t="n"/>
      <c r="M4711" s="159" t="n"/>
    </row>
    <row r="4712">
      <c r="A4712" s="114" t="n"/>
      <c r="B4712" s="115" t="n"/>
      <c r="C4712" s="115" t="n"/>
      <c r="D4712" s="115" t="n"/>
      <c r="E4712" s="115" t="n"/>
      <c r="F4712" s="115" t="n"/>
      <c r="G4712" s="156" t="n"/>
      <c r="H4712" s="152" t="n"/>
      <c r="I4712" s="156" t="n"/>
      <c r="J4712" s="90" t="n"/>
      <c r="K4712" s="166" t="n"/>
      <c r="L4712" s="158" t="n"/>
      <c r="M4712" s="159" t="n"/>
    </row>
    <row r="4713">
      <c r="A4713" s="114" t="n"/>
      <c r="B4713" s="115" t="n"/>
      <c r="C4713" s="115" t="n"/>
      <c r="D4713" s="115" t="n"/>
      <c r="E4713" s="115" t="n"/>
      <c r="F4713" s="115" t="n"/>
      <c r="G4713" s="156" t="n"/>
      <c r="H4713" s="152" t="n"/>
      <c r="I4713" s="156" t="n"/>
      <c r="J4713" s="90" t="n"/>
      <c r="K4713" s="166" t="n"/>
      <c r="L4713" s="158" t="n"/>
      <c r="M4713" s="159" t="n"/>
    </row>
    <row r="4714">
      <c r="A4714" s="114" t="n"/>
      <c r="B4714" s="115" t="n"/>
      <c r="C4714" s="115" t="n"/>
      <c r="D4714" s="115" t="n"/>
      <c r="E4714" s="115" t="n"/>
      <c r="F4714" s="115" t="n"/>
      <c r="G4714" s="156" t="n"/>
      <c r="H4714" s="152" t="n"/>
      <c r="I4714" s="156" t="n"/>
      <c r="J4714" s="90" t="n"/>
      <c r="K4714" s="166" t="n"/>
      <c r="L4714" s="158" t="n"/>
      <c r="M4714" s="159" t="n"/>
    </row>
    <row r="4715">
      <c r="A4715" s="114" t="n"/>
      <c r="B4715" s="115" t="n"/>
      <c r="C4715" s="115" t="n"/>
      <c r="D4715" s="115" t="n"/>
      <c r="E4715" s="115" t="n"/>
      <c r="F4715" s="115" t="n"/>
      <c r="G4715" s="156" t="n"/>
      <c r="H4715" s="152" t="n"/>
      <c r="I4715" s="156" t="n"/>
      <c r="J4715" s="90" t="n"/>
      <c r="K4715" s="166" t="n"/>
      <c r="L4715" s="158" t="n"/>
      <c r="M4715" s="159" t="n"/>
    </row>
    <row r="4716">
      <c r="A4716" s="114" t="n"/>
      <c r="B4716" s="115" t="n"/>
      <c r="C4716" s="115" t="n"/>
      <c r="D4716" s="115" t="n"/>
      <c r="E4716" s="115" t="n"/>
      <c r="F4716" s="115" t="n"/>
      <c r="G4716" s="156" t="n"/>
      <c r="H4716" s="152" t="n"/>
      <c r="I4716" s="156" t="n"/>
      <c r="J4716" s="90" t="n"/>
      <c r="K4716" s="166" t="n"/>
      <c r="L4716" s="158" t="n"/>
      <c r="M4716" s="159" t="n"/>
    </row>
    <row r="4717">
      <c r="A4717" s="114" t="n"/>
      <c r="B4717" s="115" t="n"/>
      <c r="C4717" s="115" t="n"/>
      <c r="D4717" s="115" t="n"/>
      <c r="E4717" s="115" t="n"/>
      <c r="F4717" s="115" t="n"/>
      <c r="G4717" s="156" t="n"/>
      <c r="H4717" s="152" t="n"/>
      <c r="I4717" s="156" t="n"/>
      <c r="J4717" s="90" t="n"/>
      <c r="K4717" s="166" t="n"/>
      <c r="L4717" s="158" t="n"/>
      <c r="M4717" s="159" t="n"/>
    </row>
    <row r="4718">
      <c r="A4718" s="114" t="n"/>
      <c r="B4718" s="115" t="n"/>
      <c r="C4718" s="115" t="inlineStr">
        <is>
          <t>SELİM İNŞAAT</t>
        </is>
      </c>
      <c r="D4718" s="115" t="n"/>
      <c r="E4718" s="115" t="n"/>
      <c r="F4718" s="115" t="n"/>
      <c r="G4718" s="156" t="n"/>
      <c r="H4718" s="152" t="n"/>
      <c r="I4718" s="156" t="n"/>
      <c r="J4718" s="90" t="n"/>
      <c r="K4718" s="166" t="n"/>
      <c r="L4718" s="158" t="n"/>
      <c r="M4718" s="159" t="n"/>
    </row>
    <row r="4719">
      <c r="A4719" s="114" t="n"/>
      <c r="B4719" s="115" t="n"/>
      <c r="C4719" s="115" t="n"/>
      <c r="D4719" s="115" t="n"/>
      <c r="E4719" s="115" t="n"/>
      <c r="F4719" s="115" t="n"/>
      <c r="G4719" s="156" t="n"/>
      <c r="H4719" s="152" t="n"/>
      <c r="I4719" s="156" t="n"/>
      <c r="J4719" s="90" t="n"/>
      <c r="K4719" s="166" t="n"/>
      <c r="L4719" s="158" t="n"/>
      <c r="M4719" s="159" t="n"/>
    </row>
    <row r="4720">
      <c r="A4720" s="114" t="n"/>
      <c r="B4720" s="115" t="n"/>
      <c r="C4720" s="115" t="n"/>
      <c r="D4720" s="115" t="n"/>
      <c r="E4720" s="115" t="n"/>
      <c r="F4720" s="115" t="n"/>
      <c r="G4720" s="156" t="n"/>
      <c r="H4720" s="152" t="n"/>
      <c r="I4720" s="156" t="n"/>
      <c r="J4720" s="90" t="n"/>
      <c r="K4720" s="166" t="n"/>
      <c r="L4720" s="158" t="n"/>
      <c r="M4720" s="159" t="n"/>
    </row>
    <row r="4721">
      <c r="A4721" s="114" t="n"/>
      <c r="B4721" s="115" t="n"/>
      <c r="C4721" s="115" t="n"/>
      <c r="D4721" s="115" t="n"/>
      <c r="E4721" s="115" t="n"/>
      <c r="F4721" s="115" t="n"/>
      <c r="G4721" s="156" t="n"/>
      <c r="H4721" s="152" t="n"/>
      <c r="I4721" s="156" t="n"/>
      <c r="J4721" s="90" t="n"/>
      <c r="K4721" s="166" t="n"/>
      <c r="L4721" s="158" t="n"/>
      <c r="M4721" s="159" t="n"/>
    </row>
    <row r="4722">
      <c r="A4722" s="114" t="n"/>
      <c r="B4722" s="115" t="n"/>
      <c r="C4722" s="115" t="n"/>
      <c r="D4722" s="115" t="n"/>
      <c r="E4722" s="115" t="n"/>
      <c r="F4722" s="115" t="n"/>
      <c r="G4722" s="156" t="n"/>
      <c r="H4722" s="152" t="n"/>
      <c r="I4722" s="156" t="n"/>
      <c r="J4722" s="90" t="n"/>
      <c r="K4722" s="166" t="n"/>
      <c r="L4722" s="158" t="n"/>
      <c r="M4722" s="159" t="n"/>
    </row>
    <row r="4723">
      <c r="A4723" s="114" t="n"/>
      <c r="B4723" s="115" t="n"/>
      <c r="C4723" s="115" t="n"/>
      <c r="D4723" s="115" t="n"/>
      <c r="E4723" s="115" t="n"/>
      <c r="F4723" s="115" t="n"/>
      <c r="G4723" s="156" t="n"/>
      <c r="H4723" s="152" t="n"/>
      <c r="I4723" s="156" t="n"/>
      <c r="J4723" s="90" t="n"/>
      <c r="K4723" s="166" t="n"/>
      <c r="L4723" s="158" t="n"/>
      <c r="M4723" s="159" t="n"/>
    </row>
    <row r="4724">
      <c r="A4724" s="114" t="n"/>
      <c r="B4724" s="115" t="n"/>
      <c r="C4724" s="115" t="n"/>
      <c r="D4724" s="115" t="n"/>
      <c r="E4724" s="115" t="n"/>
      <c r="F4724" s="115" t="n"/>
      <c r="G4724" s="156" t="n"/>
      <c r="H4724" s="152" t="n"/>
      <c r="I4724" s="156" t="n"/>
      <c r="J4724" s="90" t="n"/>
      <c r="K4724" s="166" t="n"/>
      <c r="L4724" s="158" t="n"/>
      <c r="M4724" s="159" t="n"/>
    </row>
    <row r="4725">
      <c r="A4725" s="114" t="n"/>
      <c r="B4725" s="115" t="n"/>
      <c r="C4725" s="115" t="n"/>
      <c r="D4725" s="115" t="n"/>
      <c r="E4725" s="115" t="n"/>
      <c r="F4725" s="115" t="n"/>
      <c r="G4725" s="156" t="n"/>
      <c r="H4725" s="152" t="n"/>
      <c r="I4725" s="156" t="n"/>
      <c r="J4725" s="90" t="n"/>
      <c r="K4725" s="166" t="n"/>
      <c r="L4725" s="158" t="n"/>
      <c r="M4725" s="159" t="n"/>
    </row>
    <row r="4726">
      <c r="A4726" s="114" t="n"/>
      <c r="B4726" s="115" t="n"/>
      <c r="C4726" s="115" t="n"/>
      <c r="D4726" s="115" t="n"/>
      <c r="E4726" s="115" t="n"/>
      <c r="F4726" s="115" t="n"/>
      <c r="G4726" s="156" t="n"/>
      <c r="H4726" s="152" t="n"/>
      <c r="I4726" s="156" t="n"/>
      <c r="J4726" s="90" t="n"/>
      <c r="K4726" s="166" t="n"/>
      <c r="L4726" s="158" t="n"/>
      <c r="M4726" s="159" t="n"/>
    </row>
    <row r="4727">
      <c r="A4727" s="114" t="n"/>
      <c r="B4727" s="115" t="n"/>
      <c r="C4727" s="115" t="n"/>
      <c r="D4727" s="115" t="n"/>
      <c r="E4727" s="115" t="n"/>
      <c r="F4727" s="115" t="n"/>
      <c r="G4727" s="156" t="n"/>
      <c r="H4727" s="152" t="n"/>
      <c r="I4727" s="156" t="n"/>
      <c r="J4727" s="90" t="n"/>
      <c r="K4727" s="166" t="n"/>
      <c r="L4727" s="158" t="n"/>
      <c r="M4727" s="159" t="n"/>
    </row>
    <row r="4728">
      <c r="A4728" s="114" t="n"/>
      <c r="B4728" s="115" t="n"/>
      <c r="C4728" s="115" t="n"/>
      <c r="D4728" s="115" t="n"/>
      <c r="E4728" s="115" t="n"/>
      <c r="F4728" s="115" t="n"/>
      <c r="G4728" s="156" t="n"/>
      <c r="H4728" s="152" t="n"/>
      <c r="I4728" s="156" t="n"/>
      <c r="J4728" s="90" t="n"/>
      <c r="K4728" s="166" t="n"/>
      <c r="L4728" s="158" t="n"/>
      <c r="M4728" s="159" t="n"/>
    </row>
    <row r="4729">
      <c r="A4729" s="114" t="n"/>
      <c r="B4729" s="115" t="n"/>
      <c r="C4729" s="115" t="n"/>
      <c r="D4729" s="115" t="n"/>
      <c r="E4729" s="115" t="n"/>
      <c r="F4729" s="115" t="n"/>
      <c r="G4729" s="156" t="n"/>
      <c r="H4729" s="152" t="n"/>
      <c r="I4729" s="156" t="n"/>
      <c r="J4729" s="90" t="n"/>
      <c r="K4729" s="166" t="n"/>
      <c r="L4729" s="158" t="n"/>
      <c r="M4729" s="159" t="n"/>
    </row>
    <row r="4730">
      <c r="A4730" s="114" t="n"/>
      <c r="B4730" s="115" t="n"/>
      <c r="C4730" s="115" t="n"/>
      <c r="D4730" s="115" t="n"/>
      <c r="E4730" s="115" t="n"/>
      <c r="F4730" s="115" t="n"/>
      <c r="G4730" s="156" t="n"/>
      <c r="H4730" s="152" t="n"/>
      <c r="I4730" s="156" t="n"/>
      <c r="J4730" s="90" t="n"/>
      <c r="K4730" s="166" t="n"/>
      <c r="L4730" s="158" t="n"/>
      <c r="M4730" s="159" t="n"/>
    </row>
    <row r="4731">
      <c r="A4731" s="114" t="n"/>
      <c r="B4731" s="115" t="n"/>
      <c r="C4731" s="115" t="n"/>
      <c r="D4731" s="115" t="n"/>
      <c r="E4731" s="115" t="n"/>
      <c r="F4731" s="115" t="n"/>
      <c r="G4731" s="156" t="n"/>
      <c r="H4731" s="152" t="n"/>
      <c r="I4731" s="156" t="n"/>
      <c r="J4731" s="90" t="n"/>
      <c r="K4731" s="166" t="n"/>
      <c r="L4731" s="158" t="n"/>
      <c r="M4731" s="159" t="n"/>
    </row>
    <row r="4732">
      <c r="A4732" s="114" t="n"/>
      <c r="B4732" s="115" t="n"/>
      <c r="C4732" s="115" t="n"/>
      <c r="D4732" s="115" t="n"/>
      <c r="E4732" s="115" t="n"/>
      <c r="F4732" s="115" t="n"/>
      <c r="G4732" s="156" t="n"/>
      <c r="H4732" s="152" t="n"/>
      <c r="I4732" s="156" t="n"/>
      <c r="J4732" s="90" t="n"/>
      <c r="K4732" s="166" t="n"/>
      <c r="L4732" s="158" t="n"/>
      <c r="M4732" s="159" t="n"/>
    </row>
    <row r="4733">
      <c r="A4733" s="114" t="n"/>
      <c r="B4733" s="115" t="n"/>
      <c r="C4733" s="115" t="n"/>
      <c r="D4733" s="115" t="n"/>
      <c r="E4733" s="115" t="n"/>
      <c r="F4733" s="115" t="n"/>
      <c r="G4733" s="156" t="n"/>
      <c r="H4733" s="152" t="n"/>
      <c r="I4733" s="156" t="n"/>
      <c r="J4733" s="90" t="n"/>
      <c r="K4733" s="166" t="n"/>
      <c r="L4733" s="158" t="n"/>
      <c r="M4733" s="159" t="n"/>
    </row>
    <row r="4734">
      <c r="A4734" s="114" t="n"/>
      <c r="B4734" s="115" t="n"/>
      <c r="C4734" s="115" t="n"/>
      <c r="D4734" s="115" t="n"/>
      <c r="E4734" s="115" t="n"/>
      <c r="F4734" s="115" t="n"/>
      <c r="G4734" s="156" t="n"/>
      <c r="H4734" s="152" t="n"/>
      <c r="I4734" s="156" t="n"/>
      <c r="J4734" s="90" t="n"/>
      <c r="K4734" s="166" t="n"/>
      <c r="L4734" s="158" t="n"/>
      <c r="M4734" s="159" t="n"/>
    </row>
    <row r="4735">
      <c r="A4735" s="114" t="n"/>
      <c r="B4735" s="115" t="n"/>
      <c r="C4735" s="115" t="n"/>
      <c r="D4735" s="115" t="n"/>
      <c r="E4735" s="115" t="n"/>
      <c r="F4735" s="115" t="n"/>
      <c r="G4735" s="156" t="n"/>
      <c r="H4735" s="152" t="n"/>
      <c r="I4735" s="156" t="n"/>
      <c r="J4735" s="90" t="n"/>
      <c r="K4735" s="166" t="n"/>
      <c r="L4735" s="158" t="n"/>
      <c r="M4735" s="159" t="n"/>
    </row>
    <row r="4736">
      <c r="A4736" s="114" t="n"/>
      <c r="B4736" s="115" t="n"/>
      <c r="C4736" s="115" t="n"/>
      <c r="D4736" s="115" t="n"/>
      <c r="E4736" s="115" t="n"/>
      <c r="F4736" s="115" t="n"/>
      <c r="G4736" s="156" t="n"/>
      <c r="H4736" s="152" t="n"/>
      <c r="I4736" s="156" t="n"/>
      <c r="J4736" s="90" t="n"/>
      <c r="K4736" s="166" t="n"/>
      <c r="L4736" s="158" t="n"/>
      <c r="M4736" s="159" t="n"/>
    </row>
    <row r="4737">
      <c r="A4737" s="114" t="n"/>
      <c r="B4737" s="115" t="n"/>
      <c r="C4737" s="115" t="n"/>
      <c r="D4737" s="115" t="n"/>
      <c r="E4737" s="115" t="n"/>
      <c r="F4737" s="115" t="n"/>
      <c r="G4737" s="156" t="n"/>
      <c r="H4737" s="152" t="n"/>
      <c r="I4737" s="156" t="n"/>
      <c r="J4737" s="90" t="n"/>
      <c r="K4737" s="166" t="n"/>
      <c r="L4737" s="158" t="n"/>
      <c r="M4737" s="159" t="n"/>
    </row>
    <row r="4738">
      <c r="A4738" s="114" t="n"/>
      <c r="B4738" s="115" t="n"/>
      <c r="C4738" s="115" t="n"/>
      <c r="D4738" s="115" t="n"/>
      <c r="E4738" s="115" t="n"/>
      <c r="F4738" s="115" t="n"/>
      <c r="G4738" s="156" t="n"/>
      <c r="H4738" s="152" t="n"/>
      <c r="I4738" s="156" t="n"/>
      <c r="J4738" s="90" t="n"/>
      <c r="K4738" s="166" t="n"/>
      <c r="L4738" s="158" t="n"/>
      <c r="M4738" s="159" t="n"/>
    </row>
    <row r="4739">
      <c r="A4739" s="114" t="n"/>
      <c r="B4739" s="115" t="n"/>
      <c r="C4739" s="115" t="n"/>
      <c r="D4739" s="115" t="n"/>
      <c r="E4739" s="115" t="n"/>
      <c r="F4739" s="115" t="n"/>
      <c r="G4739" s="156" t="n"/>
      <c r="H4739" s="152" t="n"/>
      <c r="I4739" s="156" t="n"/>
      <c r="J4739" s="90" t="n"/>
      <c r="K4739" s="166" t="n"/>
      <c r="L4739" s="158" t="n"/>
      <c r="M4739" s="159" t="n"/>
    </row>
    <row r="4740">
      <c r="A4740" s="114" t="n"/>
      <c r="B4740" s="115" t="n"/>
      <c r="C4740" s="115" t="n"/>
      <c r="D4740" s="115" t="n"/>
      <c r="E4740" s="115" t="n"/>
      <c r="F4740" s="115" t="n"/>
      <c r="G4740" s="156" t="n"/>
      <c r="H4740" s="152" t="n"/>
      <c r="I4740" s="156" t="n"/>
      <c r="J4740" s="90" t="n"/>
      <c r="K4740" s="166" t="n"/>
      <c r="L4740" s="158" t="n"/>
      <c r="M4740" s="159" t="n"/>
    </row>
    <row r="4741">
      <c r="A4741" s="114" t="n"/>
      <c r="B4741" s="115" t="n"/>
      <c r="C4741" s="115" t="n"/>
      <c r="D4741" s="115" t="n"/>
      <c r="E4741" s="115" t="n"/>
      <c r="F4741" s="115" t="n"/>
      <c r="G4741" s="156" t="n"/>
      <c r="H4741" s="152" t="n"/>
      <c r="I4741" s="156" t="n"/>
      <c r="J4741" s="90" t="n"/>
      <c r="K4741" s="166" t="n"/>
      <c r="L4741" s="158" t="n"/>
      <c r="M4741" s="159" t="n"/>
    </row>
    <row r="4742">
      <c r="A4742" s="114" t="n"/>
      <c r="B4742" s="115" t="n"/>
      <c r="C4742" s="115" t="n"/>
      <c r="D4742" s="115" t="n"/>
      <c r="E4742" s="115" t="n"/>
      <c r="F4742" s="115" t="n"/>
      <c r="G4742" s="156" t="n"/>
      <c r="H4742" s="152" t="n"/>
      <c r="I4742" s="156" t="n"/>
      <c r="J4742" s="90" t="n"/>
      <c r="K4742" s="166" t="n"/>
      <c r="L4742" s="158" t="n"/>
      <c r="M4742" s="159" t="n"/>
    </row>
    <row r="4743">
      <c r="A4743" s="114" t="n"/>
      <c r="B4743" s="115" t="n"/>
      <c r="C4743" s="115" t="n"/>
      <c r="D4743" s="115" t="n"/>
      <c r="E4743" s="115" t="n"/>
      <c r="F4743" s="115" t="n"/>
      <c r="G4743" s="156" t="n"/>
      <c r="H4743" s="152" t="n"/>
      <c r="I4743" s="156" t="n"/>
      <c r="J4743" s="90" t="n"/>
      <c r="K4743" s="166" t="n"/>
      <c r="L4743" s="158" t="n"/>
      <c r="M4743" s="159" t="n"/>
    </row>
    <row r="4744">
      <c r="A4744" s="114" t="n"/>
      <c r="B4744" s="115" t="n"/>
      <c r="C4744" s="115" t="n"/>
      <c r="D4744" s="115" t="n"/>
      <c r="E4744" s="115" t="n"/>
      <c r="F4744" s="115" t="n"/>
      <c r="G4744" s="156" t="n"/>
      <c r="H4744" s="152" t="n"/>
      <c r="I4744" s="156" t="n"/>
      <c r="J4744" s="90" t="n"/>
      <c r="K4744" s="166" t="n"/>
      <c r="L4744" s="158" t="n"/>
      <c r="M4744" s="159" t="n"/>
    </row>
    <row r="4745">
      <c r="A4745" s="114" t="n"/>
      <c r="B4745" s="115" t="n"/>
      <c r="C4745" s="115" t="n"/>
      <c r="D4745" s="115" t="n"/>
      <c r="E4745" s="115" t="n"/>
      <c r="F4745" s="115" t="n"/>
      <c r="G4745" s="156" t="n"/>
      <c r="H4745" s="152" t="n"/>
      <c r="I4745" s="156" t="n"/>
      <c r="J4745" s="90" t="n"/>
      <c r="K4745" s="166" t="n"/>
      <c r="L4745" s="158" t="n"/>
      <c r="M4745" s="159" t="n"/>
    </row>
    <row r="4746">
      <c r="A4746" s="114" t="n"/>
      <c r="B4746" s="115" t="n"/>
      <c r="C4746" s="115" t="n"/>
      <c r="D4746" s="115" t="n"/>
      <c r="E4746" s="115" t="n"/>
      <c r="F4746" s="115" t="n"/>
      <c r="G4746" s="156" t="n"/>
      <c r="H4746" s="152" t="n"/>
      <c r="I4746" s="156" t="n"/>
      <c r="J4746" s="90" t="n"/>
      <c r="K4746" s="166" t="n"/>
      <c r="L4746" s="158" t="n"/>
      <c r="M4746" s="159" t="n"/>
    </row>
    <row r="4747">
      <c r="A4747" s="114" t="n"/>
      <c r="B4747" s="115" t="n"/>
      <c r="C4747" s="115" t="n"/>
      <c r="D4747" s="115" t="n"/>
      <c r="E4747" s="115" t="n"/>
      <c r="F4747" s="115" t="n"/>
      <c r="G4747" s="156" t="n"/>
      <c r="H4747" s="152" t="n"/>
      <c r="I4747" s="156" t="n"/>
      <c r="J4747" s="90" t="n"/>
      <c r="K4747" s="166" t="n"/>
      <c r="L4747" s="158" t="n"/>
      <c r="M4747" s="159" t="n"/>
    </row>
    <row r="4748">
      <c r="A4748" s="114" t="n"/>
      <c r="B4748" s="115" t="n"/>
      <c r="C4748" s="115" t="n"/>
      <c r="D4748" s="115" t="n"/>
      <c r="E4748" s="115" t="n"/>
      <c r="F4748" s="115" t="n"/>
      <c r="G4748" s="156" t="n"/>
      <c r="H4748" s="152" t="n"/>
      <c r="I4748" s="156" t="n"/>
      <c r="J4748" s="90" t="n"/>
      <c r="K4748" s="166" t="n"/>
      <c r="L4748" s="158" t="n"/>
      <c r="M4748" s="159" t="n"/>
    </row>
    <row r="4749">
      <c r="A4749" s="114" t="n"/>
      <c r="B4749" s="115" t="n"/>
      <c r="C4749" s="115" t="n"/>
      <c r="D4749" s="115" t="n"/>
      <c r="E4749" s="115" t="n"/>
      <c r="F4749" s="115" t="n"/>
      <c r="G4749" s="156" t="n"/>
      <c r="H4749" s="152" t="n"/>
      <c r="I4749" s="156" t="n"/>
      <c r="J4749" s="90" t="n"/>
      <c r="K4749" s="166" t="n"/>
      <c r="L4749" s="158" t="n"/>
      <c r="M4749" s="159" t="n"/>
    </row>
    <row r="4750">
      <c r="A4750" s="114" t="n"/>
      <c r="B4750" s="115" t="n"/>
      <c r="C4750" s="115" t="n"/>
      <c r="D4750" s="115" t="n"/>
      <c r="E4750" s="115" t="n"/>
      <c r="F4750" s="115" t="n"/>
      <c r="G4750" s="156" t="n"/>
      <c r="H4750" s="152" t="n"/>
      <c r="I4750" s="156" t="n"/>
      <c r="J4750" s="90" t="n"/>
      <c r="K4750" s="166" t="n"/>
      <c r="L4750" s="158" t="n"/>
      <c r="M4750" s="159" t="n"/>
    </row>
    <row r="4751">
      <c r="A4751" s="114" t="n"/>
      <c r="B4751" s="115" t="n"/>
      <c r="C4751" s="115" t="n"/>
      <c r="D4751" s="115" t="n"/>
      <c r="E4751" s="115" t="n"/>
      <c r="F4751" s="115" t="n"/>
      <c r="G4751" s="156" t="n"/>
      <c r="H4751" s="152" t="n"/>
      <c r="I4751" s="156" t="n"/>
      <c r="J4751" s="90" t="n"/>
      <c r="K4751" s="166" t="n"/>
      <c r="L4751" s="158" t="n"/>
      <c r="M4751" s="159" t="n"/>
    </row>
    <row r="4752">
      <c r="A4752" s="114" t="n"/>
      <c r="B4752" s="115" t="n"/>
      <c r="C4752" s="115" t="n"/>
      <c r="D4752" s="115" t="n"/>
      <c r="E4752" s="115" t="n"/>
      <c r="F4752" s="115" t="n"/>
      <c r="G4752" s="156" t="n"/>
      <c r="H4752" s="152" t="n"/>
      <c r="I4752" s="156" t="n"/>
      <c r="J4752" s="90" t="n"/>
      <c r="K4752" s="166" t="n"/>
      <c r="L4752" s="158" t="n"/>
      <c r="M4752" s="159" t="n"/>
    </row>
    <row r="4753">
      <c r="A4753" s="114" t="n"/>
      <c r="B4753" s="115" t="n"/>
      <c r="C4753" s="115" t="n"/>
      <c r="D4753" s="115" t="n"/>
      <c r="E4753" s="115" t="n"/>
      <c r="F4753" s="115" t="n"/>
      <c r="G4753" s="156" t="n"/>
      <c r="H4753" s="152" t="n"/>
      <c r="I4753" s="156" t="n"/>
      <c r="J4753" s="90" t="n"/>
      <c r="K4753" s="166" t="n"/>
      <c r="L4753" s="158" t="n"/>
      <c r="M4753" s="159" t="n"/>
    </row>
    <row r="4754">
      <c r="A4754" s="114" t="n"/>
      <c r="B4754" s="115" t="n"/>
      <c r="C4754" s="115" t="n"/>
      <c r="D4754" s="115" t="n"/>
      <c r="E4754" s="115" t="n"/>
      <c r="F4754" s="115" t="n"/>
      <c r="G4754" s="156" t="n"/>
      <c r="H4754" s="152" t="n"/>
      <c r="I4754" s="156" t="n"/>
      <c r="J4754" s="90" t="n"/>
      <c r="K4754" s="166" t="n"/>
      <c r="L4754" s="158" t="n"/>
      <c r="M4754" s="159" t="n"/>
    </row>
    <row r="4755">
      <c r="A4755" s="114" t="n"/>
      <c r="B4755" s="115" t="n"/>
      <c r="C4755" s="115" t="n"/>
      <c r="D4755" s="115" t="n"/>
      <c r="E4755" s="115" t="n"/>
      <c r="F4755" s="115" t="n"/>
      <c r="G4755" s="156" t="n"/>
      <c r="H4755" s="152" t="n"/>
      <c r="I4755" s="156" t="n"/>
      <c r="J4755" s="90" t="n"/>
      <c r="K4755" s="166" t="n"/>
      <c r="L4755" s="158" t="n"/>
      <c r="M4755" s="159" t="n"/>
    </row>
    <row r="4756">
      <c r="A4756" s="114" t="n"/>
      <c r="B4756" s="115" t="n"/>
      <c r="C4756" s="115" t="n"/>
      <c r="D4756" s="115" t="n"/>
      <c r="E4756" s="115" t="n"/>
      <c r="F4756" s="115" t="n"/>
      <c r="G4756" s="156" t="n"/>
      <c r="H4756" s="152" t="n"/>
      <c r="I4756" s="156" t="n"/>
      <c r="J4756" s="90" t="n"/>
      <c r="K4756" s="166" t="n"/>
      <c r="L4756" s="158" t="n"/>
      <c r="M4756" s="159" t="n"/>
    </row>
    <row r="4757">
      <c r="A4757" s="114" t="n"/>
      <c r="B4757" s="115" t="n"/>
      <c r="C4757" s="115" t="n"/>
      <c r="D4757" s="115" t="n"/>
      <c r="E4757" s="115" t="n"/>
      <c r="F4757" s="115" t="n"/>
      <c r="G4757" s="156" t="n"/>
      <c r="H4757" s="152" t="n"/>
      <c r="I4757" s="156" t="n"/>
      <c r="J4757" s="90" t="n"/>
      <c r="K4757" s="166" t="n"/>
      <c r="L4757" s="158">
        <f>+H4757*J4757</f>
        <v/>
      </c>
      <c r="M4757" s="159">
        <f>SUM(M2236+K4757-L4757)</f>
        <v/>
      </c>
    </row>
    <row r="4758">
      <c r="A4758" s="114" t="n"/>
      <c r="B4758" s="115" t="n"/>
      <c r="C4758" s="115" t="n"/>
      <c r="D4758" s="115" t="n"/>
      <c r="E4758" s="115" t="n"/>
      <c r="F4758" s="115" t="n"/>
      <c r="G4758" s="156" t="n"/>
      <c r="H4758" s="152" t="n"/>
      <c r="I4758" s="156" t="n"/>
      <c r="J4758" s="90" t="n"/>
      <c r="K4758" s="166" t="n"/>
      <c r="L4758" s="158">
        <f>+H4758*J4758</f>
        <v/>
      </c>
      <c r="M4758" s="159">
        <f>SUM(M4757+K4758-L4758)</f>
        <v/>
      </c>
    </row>
    <row r="4759">
      <c r="A4759" s="114" t="n"/>
      <c r="B4759" s="115" t="n"/>
      <c r="C4759" s="115" t="n"/>
      <c r="D4759" s="115" t="n"/>
      <c r="E4759" s="115" t="n"/>
      <c r="F4759" s="115" t="n"/>
      <c r="G4759" s="156" t="n"/>
      <c r="H4759" s="152" t="n"/>
      <c r="I4759" s="156" t="n"/>
      <c r="J4759" s="90" t="n"/>
      <c r="K4759" s="166" t="n"/>
      <c r="L4759" s="158">
        <f>+H4759*J4759</f>
        <v/>
      </c>
      <c r="M4759" s="159">
        <f>SUM(M4758+K4759-L4759)</f>
        <v/>
      </c>
    </row>
    <row r="4760">
      <c r="A4760" s="114" t="n"/>
      <c r="B4760" s="115" t="n"/>
      <c r="C4760" s="115" t="n"/>
      <c r="D4760" s="115" t="n"/>
      <c r="E4760" s="115" t="n"/>
      <c r="F4760" s="115" t="n"/>
      <c r="G4760" s="156" t="n"/>
      <c r="H4760" s="152" t="n"/>
      <c r="I4760" s="156" t="n"/>
      <c r="J4760" s="90" t="n"/>
      <c r="K4760" s="166" t="n"/>
      <c r="L4760" s="158">
        <f>+H4760*J4760</f>
        <v/>
      </c>
      <c r="M4760" s="159">
        <f>SUM(M4759+K4760-L4760)</f>
        <v/>
      </c>
    </row>
    <row r="4761">
      <c r="A4761" s="114" t="n"/>
      <c r="B4761" s="115" t="n"/>
      <c r="C4761" s="115" t="n"/>
      <c r="D4761" s="115" t="n"/>
      <c r="E4761" s="115" t="n"/>
      <c r="F4761" s="115" t="n"/>
      <c r="G4761" s="156" t="n"/>
      <c r="H4761" s="152" t="n"/>
      <c r="I4761" s="156" t="n"/>
      <c r="J4761" s="90" t="n"/>
      <c r="K4761" s="166" t="n"/>
      <c r="L4761" s="158">
        <f>+H4761*J4761</f>
        <v/>
      </c>
      <c r="M4761" s="159">
        <f>SUM(M4760+K4761-L4761)</f>
        <v/>
      </c>
    </row>
    <row r="4762">
      <c r="A4762" s="114" t="n"/>
      <c r="B4762" s="115" t="n"/>
      <c r="C4762" s="115" t="n"/>
      <c r="D4762" s="115" t="n"/>
      <c r="E4762" s="115" t="n"/>
      <c r="F4762" s="115" t="n"/>
      <c r="G4762" s="156" t="n"/>
      <c r="H4762" s="152" t="n"/>
      <c r="I4762" s="156" t="n"/>
      <c r="J4762" s="90" t="n"/>
      <c r="K4762" s="166" t="n"/>
      <c r="L4762" s="158">
        <f>+H4762*J4762</f>
        <v/>
      </c>
      <c r="M4762" s="159">
        <f>SUM(M4761+K4762-L4762)</f>
        <v/>
      </c>
    </row>
    <row r="4763">
      <c r="A4763" s="114" t="n"/>
      <c r="B4763" s="115" t="n"/>
      <c r="C4763" s="115" t="n"/>
      <c r="D4763" s="115" t="n"/>
      <c r="E4763" s="115" t="n"/>
      <c r="F4763" s="115" t="n"/>
      <c r="G4763" s="156" t="n"/>
      <c r="H4763" s="152" t="n"/>
      <c r="I4763" s="156" t="n"/>
      <c r="J4763" s="90" t="n"/>
      <c r="K4763" s="166" t="n"/>
      <c r="L4763" s="158" t="n"/>
      <c r="M4763" s="159" t="n"/>
    </row>
    <row r="4764">
      <c r="A4764" s="114" t="n"/>
      <c r="B4764" s="115" t="n"/>
      <c r="C4764" s="115" t="n"/>
      <c r="D4764" s="115" t="n"/>
      <c r="E4764" s="115" t="n"/>
      <c r="F4764" s="115" t="n"/>
      <c r="G4764" s="156" t="n"/>
      <c r="H4764" s="152" t="n"/>
      <c r="I4764" s="156" t="n"/>
      <c r="J4764" s="90" t="n"/>
      <c r="K4764" s="166" t="n"/>
      <c r="L4764" s="158" t="n"/>
      <c r="M4764" s="159" t="n"/>
    </row>
    <row r="4765">
      <c r="A4765" s="114" t="n"/>
      <c r="B4765" s="115" t="n"/>
      <c r="C4765" s="115" t="n"/>
      <c r="D4765" s="115" t="n"/>
      <c r="E4765" s="115" t="n"/>
      <c r="F4765" s="115" t="n"/>
      <c r="G4765" s="156" t="n"/>
      <c r="H4765" s="152" t="n"/>
      <c r="I4765" s="156">
        <f>+I4762+(G4765-H4765)</f>
        <v/>
      </c>
      <c r="J4765" s="90" t="n"/>
      <c r="K4765" s="166" t="n"/>
      <c r="L4765" s="158">
        <f>+H4765*J4765</f>
        <v/>
      </c>
      <c r="M4765" s="159">
        <f>SUM(M4762+K4765-L4765)</f>
        <v/>
      </c>
    </row>
    <row r="4766">
      <c r="A4766" s="114" t="n"/>
      <c r="B4766" s="115" t="n"/>
      <c r="C4766" s="115" t="n"/>
      <c r="D4766" s="115" t="n"/>
      <c r="E4766" s="115" t="n"/>
      <c r="F4766" s="115" t="n"/>
      <c r="G4766" s="156" t="n"/>
      <c r="H4766" s="152" t="n"/>
      <c r="I4766" s="156">
        <f>+I4765+(G4766-H4766)</f>
        <v/>
      </c>
      <c r="J4766" s="79" t="n">
        <v>45.718</v>
      </c>
      <c r="K4766" s="165" t="n"/>
      <c r="L4766" s="158">
        <f>+H4766*J4766</f>
        <v/>
      </c>
      <c r="M4766" s="159">
        <f>SUM(M4765+K4766-L4766)</f>
        <v/>
      </c>
    </row>
    <row r="4767">
      <c r="A4767" s="114" t="n"/>
      <c r="B4767" s="115" t="n"/>
      <c r="C4767" s="115" t="inlineStr">
        <is>
          <t>SELİM İNŞAAT</t>
        </is>
      </c>
      <c r="D4767" s="115" t="n"/>
      <c r="E4767" s="115" t="n"/>
      <c r="F4767" s="115" t="n"/>
      <c r="G4767" s="156" t="n"/>
      <c r="H4767" s="152" t="n"/>
      <c r="I4767" s="156">
        <f>+I4766+(G4767-H4767)</f>
        <v/>
      </c>
      <c r="J4767" s="79" t="n">
        <v>45.718</v>
      </c>
      <c r="K4767" s="165" t="n"/>
      <c r="L4767" s="158">
        <f>+H4767*J4767</f>
        <v/>
      </c>
      <c r="M4767" s="159">
        <f>SUM(M4766+K4767-L4767)</f>
        <v/>
      </c>
    </row>
    <row r="4768">
      <c r="A4768" s="181" t="n"/>
      <c r="B4768" s="181" t="n"/>
      <c r="C4768" s="182" t="n"/>
      <c r="D4768" s="105" t="n"/>
      <c r="E4768" s="105" t="n"/>
      <c r="F4768" s="105" t="n"/>
      <c r="G4768" s="106" t="inlineStr">
        <is>
          <t>ARA TOPLAM</t>
        </is>
      </c>
      <c r="H4768" s="107" t="n"/>
      <c r="I4768" s="183" t="n"/>
      <c r="J4768" s="109" t="n"/>
      <c r="K4768" s="184" t="n"/>
      <c r="L4768" s="185" t="n"/>
      <c r="M4768" s="185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AGA HAFRİYAT</dc:creator>
  <dcterms:created xsi:type="dcterms:W3CDTF">2025-02-18T07:32:55Z</dcterms:created>
  <dcterms:modified xsi:type="dcterms:W3CDTF">2026-09-10T10:31:47Z</dcterms:modified>
  <cp:lastModifiedBy>Seyfettin-Pc</cp:lastModifiedBy>
</cp:coreProperties>
</file>